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filterPrivacy="1"/>
  <xr:revisionPtr revIDLastSave="0" documentId="13_ncr:1_{9DB2C2D7-D2EC-4040-97CE-6BF15A7919B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9" i="1" l="1"/>
  <c r="H4" i="1"/>
  <c r="H5" i="1"/>
  <c r="H6" i="1"/>
  <c r="G3" i="1" s="1"/>
  <c r="H7" i="1"/>
  <c r="H8" i="1"/>
  <c r="H9" i="1"/>
  <c r="H10" i="1"/>
  <c r="H11" i="1"/>
  <c r="H12" i="1"/>
  <c r="H13" i="1"/>
  <c r="H14" i="1"/>
  <c r="H15" i="1"/>
  <c r="H25" i="1"/>
  <c r="H26" i="1"/>
  <c r="H27" i="1"/>
  <c r="H28" i="1"/>
  <c r="H24" i="1"/>
  <c r="H23" i="1"/>
  <c r="H22" i="1"/>
  <c r="H21" i="1"/>
  <c r="H20" i="1"/>
  <c r="H19" i="1"/>
  <c r="H18" i="1"/>
  <c r="H16" i="1"/>
  <c r="H17" i="1"/>
  <c r="H3" i="1" l="1"/>
</calcChain>
</file>

<file path=xl/sharedStrings.xml><?xml version="1.0" encoding="utf-8"?>
<sst xmlns="http://schemas.openxmlformats.org/spreadsheetml/2006/main" count="111" uniqueCount="70">
  <si>
    <t>Обозн</t>
  </si>
  <si>
    <t>Наименоваие</t>
  </si>
  <si>
    <t>Тип, марка</t>
  </si>
  <si>
    <t>Ед.изм.</t>
  </si>
  <si>
    <t>Кол-во</t>
  </si>
  <si>
    <t>Производитель</t>
  </si>
  <si>
    <t>DKC</t>
  </si>
  <si>
    <t>Шт.</t>
  </si>
  <si>
    <t>LDBO0-3001-4-4000-K01</t>
  </si>
  <si>
    <t>IEK</t>
  </si>
  <si>
    <t>SR1103L</t>
  </si>
  <si>
    <t>Онлайн ИБП   (3 кВА / 2,7 кВт)</t>
  </si>
  <si>
    <t xml:space="preserve">Батарейный модуль </t>
  </si>
  <si>
    <t>BMR-96-09</t>
  </si>
  <si>
    <t>Клемма винтовая проходная, 2.5 мм², серая</t>
  </si>
  <si>
    <t>EKF</t>
  </si>
  <si>
    <t>scr-ut-2,5-g</t>
  </si>
  <si>
    <t>Провод ПуГВнг 1х2,5</t>
  </si>
  <si>
    <t>М</t>
  </si>
  <si>
    <t>AR-M06N-2-C016</t>
  </si>
  <si>
    <t>Автоматический выключатель 2П 16А 6кА</t>
  </si>
  <si>
    <t>Автоматический выключатель 1П 6А 4,5кА</t>
  </si>
  <si>
    <t>MVA20-1-006-C</t>
  </si>
  <si>
    <t>Серверный шкаф</t>
  </si>
  <si>
    <t>Разобранный 19" IT-CQE 38U 600х1800х800, двери стекло + сплошная, RAL7011/7035</t>
  </si>
  <si>
    <t>R5IT3868GS</t>
  </si>
  <si>
    <t>Ролики для напольных 19" IT-корпусов ДКС серии CQE, 4шт</t>
  </si>
  <si>
    <t>R5A41</t>
  </si>
  <si>
    <t>Заглушка сплошная 19" 1U RAL9005</t>
  </si>
  <si>
    <t>R5PRK1B</t>
  </si>
  <si>
    <t>Заглушка сплошная 19" 2U RAL9005</t>
  </si>
  <si>
    <t>R5PRK2B</t>
  </si>
  <si>
    <t>Модуль 3U с DIN рейкой для 19" IT-корпусов, RAL9005</t>
  </si>
  <si>
    <t>R5CMDIT3HEB</t>
  </si>
  <si>
    <t>Блок распределения питания (PDU) 19" 10A с выключателем, Вых:8 Schuko, Вх:С14</t>
  </si>
  <si>
    <t>R519SH8OPSHC14</t>
  </si>
  <si>
    <t>Уплотнитель для ввода кабеля в корпуса CQE шириной 600 мм</t>
  </si>
  <si>
    <t>R5FPC600</t>
  </si>
  <si>
    <t xml:space="preserve">Потолочный модуль 4 вентилятора с термостатом IT CQE </t>
  </si>
  <si>
    <t>R5VSIT6004FT</t>
  </si>
  <si>
    <t>GS-104-E1</t>
  </si>
  <si>
    <t>AdvantiX</t>
  </si>
  <si>
    <t>Промышленный управляемый коммутатор DKC монтируемый в 19 стойку, 4 порта 100Base X SFP, 24x10/100Base T X порта RJ45</t>
  </si>
  <si>
    <t>N2100-4SFP24T-P5</t>
  </si>
  <si>
    <t>Межсетевой экран</t>
  </si>
  <si>
    <t>D500</t>
  </si>
  <si>
    <t>UserGate</t>
  </si>
  <si>
    <t>8 Портовый переключатель с KVM консолью</t>
  </si>
  <si>
    <t>CL1308N-ATA-RG</t>
  </si>
  <si>
    <t>ATEN</t>
  </si>
  <si>
    <t>ШТИЛЬ</t>
  </si>
  <si>
    <t>Светильник светодиодный линейный ДБО 3001 4Вт 4000K IP20</t>
  </si>
  <si>
    <t>Контактор КМИ-11810 18А 230В/АС3 1NO</t>
  </si>
  <si>
    <t>KKM11-018-230-10</t>
  </si>
  <si>
    <t>Приставка ПКИ-11 дополнительные контакты 1NO+1NC</t>
  </si>
  <si>
    <t>KPK10-11</t>
  </si>
  <si>
    <t>Механизм блокировки для КМИ(09А-32А)</t>
  </si>
  <si>
    <t>KKM10D-MB</t>
  </si>
  <si>
    <t>Лампа сигнальная ЛС-47 неон зеленая</t>
  </si>
  <si>
    <t>MLS10-230-K06</t>
  </si>
  <si>
    <t>Сумма б.НДС</t>
  </si>
  <si>
    <t>Автоматический выключатель 2П 10А 6кА</t>
  </si>
  <si>
    <t>MVA20-2-010-C</t>
  </si>
  <si>
    <t>Карта мониторинга IC-RS232/Dry contacts</t>
  </si>
  <si>
    <t>IC-RS232/Dry contacts</t>
  </si>
  <si>
    <t>Штиль</t>
  </si>
  <si>
    <t>Цена б,НДС</t>
  </si>
  <si>
    <t>Промышленный сервер Advantix Intellect</t>
  </si>
  <si>
    <t>Промышленная ЭВМ AdvantiX</t>
  </si>
  <si>
    <t>IPC-SYS1-2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</si>
</sst>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11"/>
      <color indexed="8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9">
    <xf numFmtId="0" fontId="0" fillId="0" borderId="0" xfId="0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/>
    <xf numFmtId="0" fontId="0" fillId="0" borderId="1" xfId="0" applyBorder="1" applyAlignment="1">
      <alignment vertical="center"/>
    </xf>
    <xf numFmtId="0" fontId="4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1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</cellXfs>
  <cellStyles count="11">
    <cellStyle name="Обычный" xfId="0" builtinId="0"/>
    <cellStyle name="Обычный 2 2" xfId="2" xr:uid="{00000000-0005-0000-0000-000001000000}"/>
    <cellStyle name="Обычный 2 2 2" xfId="9" xr:uid="{00000000-0005-0000-0000-000002000000}"/>
    <cellStyle name="Обычный 2 2 3" xfId="6" xr:uid="{00000000-0005-0000-0000-000003000000}"/>
    <cellStyle name="Обычный 2_Магадель" xfId="4" xr:uid="{00000000-0005-0000-0000-000004000000}"/>
    <cellStyle name="Обычный 3 2 3" xfId="1" xr:uid="{00000000-0005-0000-0000-000005000000}"/>
    <cellStyle name="Обычный 3 2 3 2" xfId="8" xr:uid="{00000000-0005-0000-0000-000006000000}"/>
    <cellStyle name="Обычный 3 2 3 2 2" xfId="3" xr:uid="{00000000-0005-0000-0000-000007000000}"/>
    <cellStyle name="Обычный 3 2 3 2 2 2" xfId="10" xr:uid="{00000000-0005-0000-0000-000008000000}"/>
    <cellStyle name="Обычный 3 2 3 2 2 3" xfId="7" xr:uid="{00000000-0005-0000-0000-000009000000}"/>
    <cellStyle name="Обычный 3 2 3 3" xfId="5" xr:uid="{00000000-0005-0000-0000-00000A000000}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697"/>
  <sheetViews>
    <sheetView tabSelected="1" zoomScaleNormal="100" workbookViewId="0">
      <selection activeCell="E22" sqref="E22"/>
    </sheetView>
  </sheetViews>
  <sheetFormatPr defaultRowHeight="16.5" x14ac:dyDescent="0.3"/>
  <cols>
    <col min="1" max="1" width="7.7109375" customWidth="1"/>
    <col min="2" max="2" width="72.7109375" customWidth="1"/>
    <col min="3" max="3" width="21.7109375" customWidth="1"/>
    <col min="4" max="4" width="16.5703125" customWidth="1"/>
    <col min="5" max="5" width="8" customWidth="1"/>
    <col min="6" max="6" width="7.42578125" customWidth="1"/>
    <col min="7" max="7" width="20.140625" style="15" bestFit="1" customWidth="1"/>
    <col min="8" max="8" width="14.140625" customWidth="1"/>
    <col min="9" max="9" width="10.140625" customWidth="1"/>
    <col min="10" max="10" width="8.85546875" style="6" customWidth="1"/>
    <col min="11" max="11" width="9.5703125" customWidth="1"/>
  </cols>
  <sheetData>
    <row r="1" spans="1:8" s="1" customFormat="1" x14ac:dyDescent="0.25">
      <c r="A1" s="2" t="s">
        <v>0</v>
      </c>
      <c r="B1" s="2" t="s">
        <v>1</v>
      </c>
      <c r="C1" s="2" t="s">
        <v>2</v>
      </c>
      <c r="D1" s="2" t="s">
        <v>5</v>
      </c>
      <c r="E1" s="2" t="s">
        <v>3</v>
      </c>
      <c r="F1" s="2" t="s">
        <v>4</v>
      </c>
      <c r="G1" s="12" t="s">
        <v>66</v>
      </c>
      <c r="H1" s="7" t="s">
        <v>60</v>
      </c>
    </row>
    <row r="2" spans="1:8" s="1" customFormat="1" x14ac:dyDescent="0.25">
      <c r="A2" s="2">
        <v>1</v>
      </c>
      <c r="B2" s="2">
        <v>2</v>
      </c>
      <c r="C2" s="2">
        <v>3</v>
      </c>
      <c r="D2" s="2">
        <v>4</v>
      </c>
      <c r="E2" s="2">
        <v>5</v>
      </c>
      <c r="F2" s="2">
        <v>6</v>
      </c>
      <c r="G2" s="12">
        <v>7</v>
      </c>
      <c r="H2" s="12">
        <v>8</v>
      </c>
    </row>
    <row r="3" spans="1:8" s="1" customFormat="1" x14ac:dyDescent="0.25">
      <c r="A3" s="2">
        <v>1</v>
      </c>
      <c r="B3" s="8" t="s">
        <v>23</v>
      </c>
      <c r="C3" s="9"/>
      <c r="D3" s="9"/>
      <c r="E3" s="9"/>
      <c r="F3" s="9">
        <v>2</v>
      </c>
      <c r="G3" s="13">
        <f>SUM(H4:H29)</f>
        <v>2027336.86</v>
      </c>
      <c r="H3" s="13">
        <f t="shared" ref="H3:H15" si="0">G3*F3</f>
        <v>4054673.72</v>
      </c>
    </row>
    <row r="4" spans="1:8" s="1" customFormat="1" x14ac:dyDescent="0.25">
      <c r="A4" s="2"/>
      <c r="B4" s="3" t="s">
        <v>24</v>
      </c>
      <c r="C4" s="2" t="s">
        <v>25</v>
      </c>
      <c r="D4" s="2" t="s">
        <v>6</v>
      </c>
      <c r="E4" s="2" t="s">
        <v>7</v>
      </c>
      <c r="F4" s="2">
        <v>1</v>
      </c>
      <c r="G4" s="17">
        <v>240818.32</v>
      </c>
      <c r="H4" s="17">
        <f t="shared" si="0"/>
        <v>240818.32</v>
      </c>
    </row>
    <row r="5" spans="1:8" s="1" customFormat="1" x14ac:dyDescent="0.25">
      <c r="A5" s="2"/>
      <c r="B5" s="3" t="s">
        <v>26</v>
      </c>
      <c r="C5" s="2" t="s">
        <v>27</v>
      </c>
      <c r="D5" s="2" t="s">
        <v>6</v>
      </c>
      <c r="E5" s="2" t="s">
        <v>7</v>
      </c>
      <c r="F5" s="2">
        <v>1</v>
      </c>
      <c r="G5" s="17">
        <v>21006.79</v>
      </c>
      <c r="H5" s="17">
        <f t="shared" si="0"/>
        <v>21006.79</v>
      </c>
    </row>
    <row r="6" spans="1:8" s="1" customFormat="1" x14ac:dyDescent="0.25">
      <c r="A6" s="2"/>
      <c r="B6" s="3" t="s">
        <v>28</v>
      </c>
      <c r="C6" s="2" t="s">
        <v>29</v>
      </c>
      <c r="D6" s="2" t="s">
        <v>6</v>
      </c>
      <c r="E6" s="2" t="s">
        <v>7</v>
      </c>
      <c r="F6" s="2">
        <v>4</v>
      </c>
      <c r="G6" s="17">
        <v>573.23</v>
      </c>
      <c r="H6" s="17">
        <f t="shared" si="0"/>
        <v>2292.92</v>
      </c>
    </row>
    <row r="7" spans="1:8" s="1" customFormat="1" x14ac:dyDescent="0.25">
      <c r="A7" s="7"/>
      <c r="B7" s="3" t="s">
        <v>30</v>
      </c>
      <c r="C7" s="2" t="s">
        <v>31</v>
      </c>
      <c r="D7" s="2" t="s">
        <v>6</v>
      </c>
      <c r="E7" s="2" t="s">
        <v>7</v>
      </c>
      <c r="F7" s="2">
        <v>8</v>
      </c>
      <c r="G7" s="17">
        <v>736.3</v>
      </c>
      <c r="H7" s="17">
        <f t="shared" si="0"/>
        <v>5890.4</v>
      </c>
    </row>
    <row r="8" spans="1:8" s="1" customFormat="1" x14ac:dyDescent="0.25">
      <c r="A8" s="2"/>
      <c r="B8" s="3" t="s">
        <v>32</v>
      </c>
      <c r="C8" s="2" t="s">
        <v>33</v>
      </c>
      <c r="D8" s="2" t="s">
        <v>6</v>
      </c>
      <c r="E8" s="2" t="s">
        <v>7</v>
      </c>
      <c r="F8" s="2">
        <v>2</v>
      </c>
      <c r="G8" s="17">
        <v>15933.33</v>
      </c>
      <c r="H8" s="17">
        <f t="shared" si="0"/>
        <v>31866.66</v>
      </c>
    </row>
    <row r="9" spans="1:8" s="1" customFormat="1" x14ac:dyDescent="0.25">
      <c r="A9" s="2"/>
      <c r="B9" s="3" t="s">
        <v>34</v>
      </c>
      <c r="C9" s="2" t="s">
        <v>35</v>
      </c>
      <c r="D9" s="2" t="s">
        <v>6</v>
      </c>
      <c r="E9" s="2" t="s">
        <v>7</v>
      </c>
      <c r="F9" s="2">
        <v>1</v>
      </c>
      <c r="G9" s="17">
        <v>5258.86</v>
      </c>
      <c r="H9" s="17">
        <f t="shared" si="0"/>
        <v>5258.86</v>
      </c>
    </row>
    <row r="10" spans="1:8" s="1" customFormat="1" x14ac:dyDescent="0.25">
      <c r="A10" s="4"/>
      <c r="B10" s="3" t="s">
        <v>36</v>
      </c>
      <c r="C10" s="2" t="s">
        <v>37</v>
      </c>
      <c r="D10" s="2" t="s">
        <v>6</v>
      </c>
      <c r="E10" s="2" t="s">
        <v>7</v>
      </c>
      <c r="F10" s="2">
        <v>1</v>
      </c>
      <c r="G10" s="17">
        <v>3052.71</v>
      </c>
      <c r="H10" s="17">
        <f t="shared" si="0"/>
        <v>3052.71</v>
      </c>
    </row>
    <row r="11" spans="1:8" s="1" customFormat="1" x14ac:dyDescent="0.25">
      <c r="A11" s="7"/>
      <c r="B11" s="3" t="s">
        <v>38</v>
      </c>
      <c r="C11" s="2" t="s">
        <v>39</v>
      </c>
      <c r="D11" s="2" t="s">
        <v>6</v>
      </c>
      <c r="E11" s="2" t="s">
        <v>7</v>
      </c>
      <c r="F11" s="2">
        <v>1</v>
      </c>
      <c r="G11" s="17">
        <v>28000.83</v>
      </c>
      <c r="H11" s="17">
        <f t="shared" si="0"/>
        <v>28000.83</v>
      </c>
    </row>
    <row r="12" spans="1:8" s="1" customFormat="1" x14ac:dyDescent="0.25">
      <c r="A12" s="4"/>
      <c r="B12" s="3" t="s">
        <v>67</v>
      </c>
      <c r="C12" s="2" t="s">
        <v>40</v>
      </c>
      <c r="D12" s="2" t="s">
        <v>41</v>
      </c>
      <c r="E12" s="2" t="s">
        <v>7</v>
      </c>
      <c r="F12" s="2">
        <v>1</v>
      </c>
      <c r="G12" s="17">
        <v>301383.03000000003</v>
      </c>
      <c r="H12" s="17">
        <f t="shared" si="0"/>
        <v>301383.03000000003</v>
      </c>
    </row>
    <row r="13" spans="1:8" s="1" customFormat="1" ht="33" x14ac:dyDescent="0.25">
      <c r="A13" s="4"/>
      <c r="B13" s="5" t="s">
        <v>42</v>
      </c>
      <c r="C13" s="2" t="s">
        <v>43</v>
      </c>
      <c r="D13" s="2" t="s">
        <v>6</v>
      </c>
      <c r="E13" s="2" t="s">
        <v>7</v>
      </c>
      <c r="F13" s="2">
        <v>1</v>
      </c>
      <c r="G13" s="17">
        <v>106619.48</v>
      </c>
      <c r="H13" s="17">
        <f t="shared" si="0"/>
        <v>106619.48</v>
      </c>
    </row>
    <row r="14" spans="1:8" s="1" customFormat="1" x14ac:dyDescent="0.25">
      <c r="A14" s="7"/>
      <c r="B14" s="3" t="s">
        <v>44</v>
      </c>
      <c r="C14" s="2" t="s">
        <v>45</v>
      </c>
      <c r="D14" s="2" t="s">
        <v>46</v>
      </c>
      <c r="E14" s="2" t="s">
        <v>7</v>
      </c>
      <c r="F14" s="2">
        <v>1</v>
      </c>
      <c r="G14" s="17"/>
      <c r="H14" s="17">
        <f t="shared" si="0"/>
        <v>0</v>
      </c>
    </row>
    <row r="15" spans="1:8" s="1" customFormat="1" x14ac:dyDescent="0.25">
      <c r="A15" s="2"/>
      <c r="B15" s="3" t="s">
        <v>47</v>
      </c>
      <c r="C15" s="2" t="s">
        <v>48</v>
      </c>
      <c r="D15" s="2" t="s">
        <v>49</v>
      </c>
      <c r="E15" s="2" t="s">
        <v>7</v>
      </c>
      <c r="F15" s="2">
        <v>1</v>
      </c>
      <c r="G15" s="17">
        <v>115314.17</v>
      </c>
      <c r="H15" s="17">
        <f t="shared" si="0"/>
        <v>115314.17</v>
      </c>
    </row>
    <row r="16" spans="1:8" s="1" customFormat="1" x14ac:dyDescent="0.25">
      <c r="A16" s="7"/>
      <c r="B16" s="3" t="s">
        <v>20</v>
      </c>
      <c r="C16" s="2" t="s">
        <v>19</v>
      </c>
      <c r="D16" s="2" t="s">
        <v>9</v>
      </c>
      <c r="E16" s="2" t="s">
        <v>7</v>
      </c>
      <c r="F16" s="2">
        <v>1</v>
      </c>
      <c r="G16" s="17">
        <v>1176.69</v>
      </c>
      <c r="H16" s="17">
        <f t="shared" ref="H16" si="1">G16*F16</f>
        <v>1176.69</v>
      </c>
    </row>
    <row r="17" spans="1:8" s="1" customFormat="1" x14ac:dyDescent="0.25">
      <c r="A17" s="7"/>
      <c r="B17" s="3" t="s">
        <v>61</v>
      </c>
      <c r="C17" s="2" t="s">
        <v>62</v>
      </c>
      <c r="D17" s="2" t="s">
        <v>9</v>
      </c>
      <c r="E17" s="2" t="s">
        <v>7</v>
      </c>
      <c r="F17" s="14">
        <v>1</v>
      </c>
      <c r="G17" s="17">
        <v>458.33</v>
      </c>
      <c r="H17" s="17">
        <f t="shared" ref="H17:H29" si="2">G17*F17</f>
        <v>458.33</v>
      </c>
    </row>
    <row r="18" spans="1:8" s="1" customFormat="1" x14ac:dyDescent="0.25">
      <c r="A18" s="2"/>
      <c r="B18" s="3" t="s">
        <v>21</v>
      </c>
      <c r="C18" s="2" t="s">
        <v>22</v>
      </c>
      <c r="D18" s="2" t="s">
        <v>9</v>
      </c>
      <c r="E18" s="2" t="s">
        <v>7</v>
      </c>
      <c r="F18" s="2">
        <v>3</v>
      </c>
      <c r="G18" s="17">
        <v>213.21</v>
      </c>
      <c r="H18" s="17">
        <f t="shared" si="2"/>
        <v>639.63</v>
      </c>
    </row>
    <row r="19" spans="1:8" s="1" customFormat="1" x14ac:dyDescent="0.25">
      <c r="A19" s="2"/>
      <c r="B19" s="3" t="s">
        <v>63</v>
      </c>
      <c r="C19" s="2" t="s">
        <v>64</v>
      </c>
      <c r="D19" s="2" t="s">
        <v>65</v>
      </c>
      <c r="E19" s="2" t="s">
        <v>7</v>
      </c>
      <c r="F19" s="2">
        <v>1</v>
      </c>
      <c r="G19" s="17">
        <v>1091.67</v>
      </c>
      <c r="H19" s="17">
        <f t="shared" si="2"/>
        <v>1091.67</v>
      </c>
    </row>
    <row r="20" spans="1:8" s="1" customFormat="1" x14ac:dyDescent="0.25">
      <c r="A20" s="2"/>
      <c r="B20" s="3" t="s">
        <v>11</v>
      </c>
      <c r="C20" s="2" t="s">
        <v>10</v>
      </c>
      <c r="D20" s="2" t="s">
        <v>50</v>
      </c>
      <c r="E20" s="2" t="s">
        <v>7</v>
      </c>
      <c r="F20" s="2">
        <v>1</v>
      </c>
      <c r="G20" s="17">
        <v>56066.67</v>
      </c>
      <c r="H20" s="17">
        <f t="shared" si="2"/>
        <v>56066.67</v>
      </c>
    </row>
    <row r="21" spans="1:8" s="1" customFormat="1" x14ac:dyDescent="0.25">
      <c r="A21" s="2"/>
      <c r="B21" s="3" t="s">
        <v>12</v>
      </c>
      <c r="C21" s="2" t="s">
        <v>13</v>
      </c>
      <c r="D21" s="2" t="s">
        <v>50</v>
      </c>
      <c r="E21" s="2" t="s">
        <v>7</v>
      </c>
      <c r="F21" s="2">
        <v>2</v>
      </c>
      <c r="G21" s="17">
        <v>34533.33</v>
      </c>
      <c r="H21" s="17">
        <f t="shared" si="2"/>
        <v>69066.66</v>
      </c>
    </row>
    <row r="22" spans="1:8" s="1" customFormat="1" x14ac:dyDescent="0.25">
      <c r="A22" s="10"/>
      <c r="B22" s="5" t="s">
        <v>51</v>
      </c>
      <c r="C22" s="10" t="s">
        <v>8</v>
      </c>
      <c r="D22" s="10" t="s">
        <v>9</v>
      </c>
      <c r="E22" s="2" t="s">
        <v>7</v>
      </c>
      <c r="F22" s="2">
        <v>2</v>
      </c>
      <c r="G22" s="17">
        <v>430.07</v>
      </c>
      <c r="H22" s="17">
        <f t="shared" si="2"/>
        <v>860.14</v>
      </c>
    </row>
    <row r="23" spans="1:8" s="1" customFormat="1" x14ac:dyDescent="0.25">
      <c r="A23" s="7"/>
      <c r="B23" s="3" t="s">
        <v>14</v>
      </c>
      <c r="C23" s="2" t="s">
        <v>16</v>
      </c>
      <c r="D23" s="2" t="s">
        <v>15</v>
      </c>
      <c r="E23" s="2" t="s">
        <v>7</v>
      </c>
      <c r="F23" s="2">
        <v>7</v>
      </c>
      <c r="G23" s="17">
        <v>37.53</v>
      </c>
      <c r="H23" s="17">
        <f t="shared" si="2"/>
        <v>262.71000000000004</v>
      </c>
    </row>
    <row r="24" spans="1:8" s="1" customFormat="1" x14ac:dyDescent="0.25">
      <c r="A24" s="7"/>
      <c r="B24" s="11" t="s">
        <v>17</v>
      </c>
      <c r="C24" s="11"/>
      <c r="D24" s="11"/>
      <c r="E24" s="2" t="s">
        <v>18</v>
      </c>
      <c r="F24" s="2">
        <v>10</v>
      </c>
      <c r="G24" s="17">
        <v>33.33</v>
      </c>
      <c r="H24" s="17">
        <f t="shared" si="2"/>
        <v>333.29999999999995</v>
      </c>
    </row>
    <row r="25" spans="1:8" s="1" customFormat="1" x14ac:dyDescent="0.25">
      <c r="A25" s="11"/>
      <c r="B25" s="3" t="s">
        <v>52</v>
      </c>
      <c r="C25" s="2" t="s">
        <v>53</v>
      </c>
      <c r="D25" s="2" t="s">
        <v>9</v>
      </c>
      <c r="E25" s="2" t="s">
        <v>7</v>
      </c>
      <c r="F25" s="2">
        <v>2</v>
      </c>
      <c r="G25" s="17">
        <v>909.33</v>
      </c>
      <c r="H25" s="17">
        <f t="shared" si="2"/>
        <v>1818.66</v>
      </c>
    </row>
    <row r="26" spans="1:8" s="1" customFormat="1" x14ac:dyDescent="0.25">
      <c r="A26" s="11"/>
      <c r="B26" s="3" t="s">
        <v>54</v>
      </c>
      <c r="C26" s="2" t="s">
        <v>55</v>
      </c>
      <c r="D26" s="2" t="s">
        <v>9</v>
      </c>
      <c r="E26" s="2" t="s">
        <v>7</v>
      </c>
      <c r="F26" s="2">
        <v>2</v>
      </c>
      <c r="G26" s="17">
        <v>228</v>
      </c>
      <c r="H26" s="17">
        <f t="shared" si="2"/>
        <v>456</v>
      </c>
    </row>
    <row r="27" spans="1:8" s="1" customFormat="1" x14ac:dyDescent="0.25">
      <c r="A27" s="11"/>
      <c r="B27" s="3" t="s">
        <v>56</v>
      </c>
      <c r="C27" s="2" t="s">
        <v>57</v>
      </c>
      <c r="D27" s="2" t="s">
        <v>9</v>
      </c>
      <c r="E27" s="2" t="s">
        <v>7</v>
      </c>
      <c r="F27" s="2">
        <v>1</v>
      </c>
      <c r="G27" s="17">
        <v>296.88</v>
      </c>
      <c r="H27" s="17">
        <f t="shared" si="2"/>
        <v>296.88</v>
      </c>
    </row>
    <row r="28" spans="1:8" s="1" customFormat="1" x14ac:dyDescent="0.25">
      <c r="A28" s="7"/>
      <c r="B28" s="7" t="s">
        <v>58</v>
      </c>
      <c r="C28" s="2" t="s">
        <v>59</v>
      </c>
      <c r="D28" s="2" t="s">
        <v>9</v>
      </c>
      <c r="E28" s="2" t="s">
        <v>7</v>
      </c>
      <c r="F28" s="2">
        <v>2</v>
      </c>
      <c r="G28" s="17">
        <v>114.17</v>
      </c>
      <c r="H28" s="17">
        <f t="shared" si="2"/>
        <v>228.34</v>
      </c>
    </row>
    <row r="29" spans="1:8" s="1" customFormat="1" x14ac:dyDescent="0.25">
      <c r="A29" s="7"/>
      <c r="B29" s="7" t="s">
        <v>68</v>
      </c>
      <c r="C29" s="12" t="s">
        <v>69</v>
      </c>
      <c r="D29" s="2" t="s">
        <v>41</v>
      </c>
      <c r="E29" s="2" t="s">
        <v>7</v>
      </c>
      <c r="F29" s="2">
        <v>7</v>
      </c>
      <c r="G29" s="18">
        <v>147582.43</v>
      </c>
      <c r="H29" s="17">
        <f t="shared" si="2"/>
        <v>1033077.01</v>
      </c>
    </row>
    <row r="30" spans="1:8" s="1" customFormat="1" ht="15" x14ac:dyDescent="0.25">
      <c r="B30" s="16"/>
    </row>
    <row r="31" spans="1:8" s="1" customFormat="1" ht="19.5" customHeight="1" x14ac:dyDescent="0.25"/>
    <row r="32" spans="1:8" s="1" customFormat="1" ht="15" x14ac:dyDescent="0.25"/>
    <row r="33" s="1" customFormat="1" ht="16.5" customHeight="1" x14ac:dyDescent="0.25"/>
    <row r="34" s="1" customFormat="1" ht="15" x14ac:dyDescent="0.25"/>
    <row r="35" s="1" customFormat="1" ht="15" x14ac:dyDescent="0.25"/>
    <row r="36" s="1" customFormat="1" ht="15" x14ac:dyDescent="0.25"/>
    <row r="37" s="1" customFormat="1" ht="15" x14ac:dyDescent="0.25"/>
    <row r="38" s="1" customFormat="1" ht="15" x14ac:dyDescent="0.25"/>
    <row r="39" s="1" customFormat="1" ht="15.75" customHeight="1" x14ac:dyDescent="0.25"/>
    <row r="40" s="1" customFormat="1" ht="15" x14ac:dyDescent="0.25"/>
    <row r="41" s="1" customFormat="1" ht="15" x14ac:dyDescent="0.25"/>
    <row r="42" s="1" customFormat="1" ht="15" x14ac:dyDescent="0.25"/>
    <row r="43" s="1" customFormat="1" ht="15" x14ac:dyDescent="0.25"/>
    <row r="44" s="1" customFormat="1" ht="15" x14ac:dyDescent="0.25"/>
    <row r="45" s="1" customFormat="1" ht="16.149999999999999" customHeight="1" x14ac:dyDescent="0.25"/>
    <row r="46" s="1" customFormat="1" ht="15" x14ac:dyDescent="0.25"/>
    <row r="47" s="1" customFormat="1" ht="15" x14ac:dyDescent="0.25"/>
    <row r="48" s="1" customFormat="1" ht="15" x14ac:dyDescent="0.25"/>
    <row r="49" spans="7:10" s="1" customFormat="1" ht="15" x14ac:dyDescent="0.25"/>
    <row r="50" spans="7:10" s="1" customFormat="1" ht="15" x14ac:dyDescent="0.25"/>
    <row r="51" spans="7:10" s="1" customFormat="1" ht="15" x14ac:dyDescent="0.25"/>
    <row r="52" spans="7:10" s="1" customFormat="1" ht="15" x14ac:dyDescent="0.25"/>
    <row r="53" spans="7:10" s="1" customFormat="1" ht="15" x14ac:dyDescent="0.25"/>
    <row r="54" spans="7:10" s="1" customFormat="1" ht="15" x14ac:dyDescent="0.25"/>
    <row r="55" spans="7:10" s="1" customFormat="1" ht="15" x14ac:dyDescent="0.25"/>
    <row r="56" spans="7:10" s="1" customFormat="1" ht="15" x14ac:dyDescent="0.25"/>
    <row r="57" spans="7:10" s="1" customFormat="1" ht="15" x14ac:dyDescent="0.25"/>
    <row r="58" spans="7:10" s="1" customFormat="1" ht="15" x14ac:dyDescent="0.25"/>
    <row r="59" spans="7:10" s="1" customFormat="1" ht="15" x14ac:dyDescent="0.25"/>
    <row r="60" spans="7:10" s="1" customFormat="1" ht="15" x14ac:dyDescent="0.25"/>
    <row r="61" spans="7:10" s="1" customFormat="1" ht="15" x14ac:dyDescent="0.25"/>
    <row r="62" spans="7:10" s="1" customFormat="1" ht="15" x14ac:dyDescent="0.25"/>
    <row r="63" spans="7:10" s="1" customFormat="1" ht="15" x14ac:dyDescent="0.25"/>
    <row r="64" spans="7:10" ht="15" x14ac:dyDescent="0.25">
      <c r="G64"/>
      <c r="J64"/>
    </row>
    <row r="65" spans="7:10" ht="15" x14ac:dyDescent="0.25">
      <c r="G65"/>
      <c r="J65"/>
    </row>
    <row r="66" spans="7:10" ht="15" x14ac:dyDescent="0.25">
      <c r="G66"/>
      <c r="J66"/>
    </row>
    <row r="67" spans="7:10" ht="15" x14ac:dyDescent="0.25">
      <c r="G67"/>
      <c r="J67"/>
    </row>
    <row r="68" spans="7:10" ht="15" x14ac:dyDescent="0.25">
      <c r="G68"/>
      <c r="J68"/>
    </row>
    <row r="69" spans="7:10" ht="15" x14ac:dyDescent="0.25">
      <c r="G69"/>
      <c r="J69"/>
    </row>
    <row r="70" spans="7:10" ht="15" x14ac:dyDescent="0.25">
      <c r="G70"/>
      <c r="J70"/>
    </row>
    <row r="71" spans="7:10" ht="15" x14ac:dyDescent="0.25">
      <c r="G71"/>
      <c r="J71"/>
    </row>
    <row r="72" spans="7:10" ht="15" x14ac:dyDescent="0.25">
      <c r="G72"/>
      <c r="J72"/>
    </row>
    <row r="73" spans="7:10" ht="15" x14ac:dyDescent="0.25">
      <c r="G73"/>
      <c r="J73"/>
    </row>
    <row r="74" spans="7:10" ht="15" x14ac:dyDescent="0.25">
      <c r="G74"/>
      <c r="J74"/>
    </row>
    <row r="75" spans="7:10" ht="15" x14ac:dyDescent="0.25">
      <c r="G75"/>
      <c r="J75"/>
    </row>
    <row r="76" spans="7:10" ht="15" x14ac:dyDescent="0.25">
      <c r="G76"/>
      <c r="J76"/>
    </row>
    <row r="77" spans="7:10" ht="15" x14ac:dyDescent="0.25">
      <c r="G77"/>
      <c r="J77"/>
    </row>
    <row r="78" spans="7:10" ht="15" x14ac:dyDescent="0.25">
      <c r="G78"/>
      <c r="J78"/>
    </row>
    <row r="79" spans="7:10" ht="15" x14ac:dyDescent="0.25">
      <c r="G79"/>
      <c r="J79"/>
    </row>
    <row r="80" spans="7:10" ht="15" x14ac:dyDescent="0.25">
      <c r="G80"/>
      <c r="J80"/>
    </row>
    <row r="81" spans="7:10" ht="15" x14ac:dyDescent="0.25">
      <c r="G81"/>
      <c r="J81"/>
    </row>
    <row r="82" spans="7:10" ht="15" x14ac:dyDescent="0.25">
      <c r="G82"/>
      <c r="J82"/>
    </row>
    <row r="83" spans="7:10" ht="15" x14ac:dyDescent="0.25">
      <c r="G83"/>
      <c r="J83"/>
    </row>
    <row r="84" spans="7:10" ht="15" x14ac:dyDescent="0.25">
      <c r="G84"/>
      <c r="J84"/>
    </row>
    <row r="85" spans="7:10" ht="15" x14ac:dyDescent="0.25">
      <c r="G85"/>
      <c r="J85"/>
    </row>
    <row r="86" spans="7:10" ht="15" x14ac:dyDescent="0.25">
      <c r="G86"/>
      <c r="J86"/>
    </row>
    <row r="87" spans="7:10" ht="15" x14ac:dyDescent="0.25">
      <c r="G87"/>
      <c r="J87"/>
    </row>
    <row r="88" spans="7:10" ht="15" x14ac:dyDescent="0.25">
      <c r="G88"/>
      <c r="J88"/>
    </row>
    <row r="89" spans="7:10" ht="15" x14ac:dyDescent="0.25">
      <c r="G89"/>
      <c r="J89"/>
    </row>
    <row r="90" spans="7:10" ht="15" x14ac:dyDescent="0.25">
      <c r="G90"/>
      <c r="J90"/>
    </row>
    <row r="91" spans="7:10" ht="15" x14ac:dyDescent="0.25">
      <c r="G91"/>
      <c r="J91"/>
    </row>
    <row r="92" spans="7:10" ht="28.15" customHeight="1" x14ac:dyDescent="0.25">
      <c r="G92"/>
      <c r="J92"/>
    </row>
    <row r="93" spans="7:10" ht="28.15" customHeight="1" x14ac:dyDescent="0.25">
      <c r="G93"/>
      <c r="J93"/>
    </row>
    <row r="94" spans="7:10" ht="15" x14ac:dyDescent="0.25">
      <c r="G94"/>
      <c r="J94"/>
    </row>
    <row r="95" spans="7:10" ht="15" x14ac:dyDescent="0.25">
      <c r="G95"/>
      <c r="J95"/>
    </row>
    <row r="96" spans="7:10" ht="15" x14ac:dyDescent="0.25">
      <c r="G96"/>
      <c r="J96"/>
    </row>
    <row r="97" spans="7:10" ht="15" x14ac:dyDescent="0.25">
      <c r="G97"/>
      <c r="J97"/>
    </row>
    <row r="98" spans="7:10" ht="15" x14ac:dyDescent="0.25">
      <c r="G98"/>
      <c r="J98"/>
    </row>
    <row r="99" spans="7:10" ht="15" x14ac:dyDescent="0.25">
      <c r="G99"/>
      <c r="J99"/>
    </row>
    <row r="100" spans="7:10" ht="15" x14ac:dyDescent="0.25">
      <c r="G100"/>
      <c r="J100"/>
    </row>
    <row r="101" spans="7:10" ht="15" x14ac:dyDescent="0.25">
      <c r="G101"/>
      <c r="J101"/>
    </row>
    <row r="102" spans="7:10" ht="15" x14ac:dyDescent="0.25">
      <c r="G102"/>
      <c r="J102"/>
    </row>
    <row r="103" spans="7:10" ht="15" x14ac:dyDescent="0.25">
      <c r="G103"/>
      <c r="J103"/>
    </row>
    <row r="104" spans="7:10" ht="15" x14ac:dyDescent="0.25">
      <c r="G104"/>
      <c r="J104"/>
    </row>
    <row r="105" spans="7:10" ht="15" x14ac:dyDescent="0.25">
      <c r="G105"/>
      <c r="J105"/>
    </row>
    <row r="106" spans="7:10" ht="15" x14ac:dyDescent="0.25">
      <c r="G106"/>
      <c r="J106"/>
    </row>
    <row r="107" spans="7:10" ht="15" x14ac:dyDescent="0.25">
      <c r="G107"/>
      <c r="J107"/>
    </row>
    <row r="108" spans="7:10" ht="15" x14ac:dyDescent="0.25">
      <c r="G108"/>
      <c r="J108"/>
    </row>
    <row r="109" spans="7:10" ht="15" x14ac:dyDescent="0.25">
      <c r="G109"/>
      <c r="J109"/>
    </row>
    <row r="110" spans="7:10" ht="15" x14ac:dyDescent="0.25">
      <c r="G110"/>
      <c r="J110"/>
    </row>
    <row r="111" spans="7:10" ht="15" x14ac:dyDescent="0.25">
      <c r="G111"/>
      <c r="J111"/>
    </row>
    <row r="112" spans="7:10" ht="15" x14ac:dyDescent="0.25">
      <c r="G112"/>
      <c r="J112"/>
    </row>
    <row r="113" spans="7:10" ht="15" x14ac:dyDescent="0.25">
      <c r="G113"/>
      <c r="J113"/>
    </row>
    <row r="114" spans="7:10" ht="15" x14ac:dyDescent="0.25">
      <c r="G114"/>
      <c r="J114"/>
    </row>
    <row r="115" spans="7:10" ht="15" x14ac:dyDescent="0.25">
      <c r="G115"/>
      <c r="J115"/>
    </row>
    <row r="116" spans="7:10" ht="15" x14ac:dyDescent="0.25">
      <c r="G116"/>
      <c r="J116"/>
    </row>
    <row r="117" spans="7:10" ht="15" x14ac:dyDescent="0.25">
      <c r="G117"/>
      <c r="J117"/>
    </row>
    <row r="118" spans="7:10" ht="15" x14ac:dyDescent="0.25">
      <c r="G118"/>
      <c r="J118"/>
    </row>
    <row r="119" spans="7:10" ht="15" x14ac:dyDescent="0.25">
      <c r="G119"/>
      <c r="J119"/>
    </row>
    <row r="120" spans="7:10" ht="15" x14ac:dyDescent="0.25">
      <c r="G120"/>
      <c r="J120"/>
    </row>
    <row r="121" spans="7:10" ht="15" x14ac:dyDescent="0.25">
      <c r="G121"/>
      <c r="J121"/>
    </row>
    <row r="122" spans="7:10" ht="15" x14ac:dyDescent="0.25">
      <c r="G122"/>
      <c r="J122"/>
    </row>
    <row r="123" spans="7:10" ht="15" x14ac:dyDescent="0.25">
      <c r="G123"/>
      <c r="J123"/>
    </row>
    <row r="124" spans="7:10" ht="15" x14ac:dyDescent="0.25">
      <c r="G124"/>
      <c r="J124"/>
    </row>
    <row r="125" spans="7:10" ht="15" x14ac:dyDescent="0.25">
      <c r="G125"/>
      <c r="J125"/>
    </row>
    <row r="126" spans="7:10" ht="15" x14ac:dyDescent="0.25">
      <c r="G126"/>
      <c r="J126"/>
    </row>
    <row r="127" spans="7:10" ht="15" x14ac:dyDescent="0.25">
      <c r="G127"/>
      <c r="J127"/>
    </row>
    <row r="128" spans="7:10" ht="15" x14ac:dyDescent="0.25">
      <c r="G128"/>
      <c r="J128"/>
    </row>
    <row r="129" spans="7:10" ht="15" x14ac:dyDescent="0.25">
      <c r="G129"/>
      <c r="J129"/>
    </row>
    <row r="130" spans="7:10" ht="15" x14ac:dyDescent="0.25">
      <c r="G130"/>
      <c r="J130"/>
    </row>
    <row r="131" spans="7:10" ht="15" x14ac:dyDescent="0.25">
      <c r="G131"/>
      <c r="J131"/>
    </row>
    <row r="132" spans="7:10" ht="15" x14ac:dyDescent="0.25">
      <c r="G132"/>
      <c r="J132"/>
    </row>
    <row r="133" spans="7:10" ht="15" x14ac:dyDescent="0.25">
      <c r="G133"/>
      <c r="J133"/>
    </row>
    <row r="134" spans="7:10" ht="15" x14ac:dyDescent="0.25">
      <c r="G134"/>
      <c r="J134"/>
    </row>
    <row r="135" spans="7:10" ht="15" x14ac:dyDescent="0.25">
      <c r="G135"/>
      <c r="J135"/>
    </row>
    <row r="136" spans="7:10" ht="15" x14ac:dyDescent="0.25">
      <c r="G136"/>
      <c r="J136"/>
    </row>
    <row r="137" spans="7:10" ht="15" x14ac:dyDescent="0.25">
      <c r="G137"/>
      <c r="J137"/>
    </row>
    <row r="138" spans="7:10" ht="15" x14ac:dyDescent="0.25">
      <c r="G138"/>
      <c r="J138"/>
    </row>
    <row r="139" spans="7:10" ht="15" x14ac:dyDescent="0.25">
      <c r="G139"/>
      <c r="J139"/>
    </row>
    <row r="140" spans="7:10" ht="15" x14ac:dyDescent="0.25">
      <c r="G140"/>
      <c r="J140"/>
    </row>
    <row r="141" spans="7:10" ht="15" x14ac:dyDescent="0.25">
      <c r="G141"/>
      <c r="J141"/>
    </row>
    <row r="142" spans="7:10" ht="15" x14ac:dyDescent="0.25">
      <c r="G142"/>
      <c r="J142"/>
    </row>
    <row r="143" spans="7:10" ht="15" x14ac:dyDescent="0.25">
      <c r="G143"/>
      <c r="J143"/>
    </row>
    <row r="144" spans="7:10" ht="15" x14ac:dyDescent="0.25">
      <c r="G144"/>
      <c r="J144"/>
    </row>
    <row r="145" spans="7:10" ht="15" x14ac:dyDescent="0.25">
      <c r="G145"/>
      <c r="J145"/>
    </row>
    <row r="146" spans="7:10" ht="15" x14ac:dyDescent="0.25">
      <c r="G146"/>
      <c r="J146"/>
    </row>
    <row r="147" spans="7:10" ht="15" x14ac:dyDescent="0.25">
      <c r="G147"/>
      <c r="J147"/>
    </row>
    <row r="148" spans="7:10" ht="15" x14ac:dyDescent="0.25">
      <c r="G148"/>
      <c r="J148"/>
    </row>
    <row r="149" spans="7:10" ht="15" x14ac:dyDescent="0.25">
      <c r="G149"/>
      <c r="J149"/>
    </row>
    <row r="150" spans="7:10" ht="15" x14ac:dyDescent="0.25">
      <c r="G150"/>
      <c r="J150"/>
    </row>
    <row r="151" spans="7:10" ht="15" x14ac:dyDescent="0.25">
      <c r="G151"/>
      <c r="J151"/>
    </row>
    <row r="152" spans="7:10" ht="15" x14ac:dyDescent="0.25">
      <c r="G152"/>
      <c r="J152"/>
    </row>
    <row r="153" spans="7:10" ht="15" x14ac:dyDescent="0.25">
      <c r="G153"/>
      <c r="J153"/>
    </row>
    <row r="154" spans="7:10" ht="15" x14ac:dyDescent="0.25">
      <c r="G154"/>
      <c r="J154"/>
    </row>
    <row r="155" spans="7:10" ht="15" x14ac:dyDescent="0.25">
      <c r="G155"/>
      <c r="J155"/>
    </row>
    <row r="156" spans="7:10" ht="15" x14ac:dyDescent="0.25">
      <c r="G156"/>
      <c r="J156"/>
    </row>
    <row r="157" spans="7:10" ht="15" x14ac:dyDescent="0.25">
      <c r="G157"/>
      <c r="J157"/>
    </row>
    <row r="158" spans="7:10" ht="15" x14ac:dyDescent="0.25">
      <c r="G158"/>
      <c r="J158"/>
    </row>
    <row r="159" spans="7:10" ht="15" x14ac:dyDescent="0.25">
      <c r="G159"/>
      <c r="J159"/>
    </row>
    <row r="160" spans="7:10" ht="37.9" customHeight="1" x14ac:dyDescent="0.25">
      <c r="G160"/>
      <c r="J160"/>
    </row>
    <row r="161" spans="7:10" ht="24.6" customHeight="1" x14ac:dyDescent="0.25">
      <c r="G161"/>
      <c r="J161"/>
    </row>
    <row r="162" spans="7:10" ht="15" x14ac:dyDescent="0.25">
      <c r="G162"/>
      <c r="J162"/>
    </row>
    <row r="163" spans="7:10" ht="15" x14ac:dyDescent="0.25">
      <c r="G163"/>
      <c r="J163"/>
    </row>
    <row r="164" spans="7:10" ht="15" x14ac:dyDescent="0.25">
      <c r="G164"/>
      <c r="J164"/>
    </row>
    <row r="165" spans="7:10" ht="15" x14ac:dyDescent="0.25">
      <c r="G165"/>
      <c r="J165"/>
    </row>
    <row r="166" spans="7:10" ht="15" x14ac:dyDescent="0.25">
      <c r="G166"/>
      <c r="J166"/>
    </row>
    <row r="167" spans="7:10" ht="15" x14ac:dyDescent="0.25">
      <c r="G167"/>
      <c r="J167"/>
    </row>
    <row r="168" spans="7:10" ht="15" x14ac:dyDescent="0.25">
      <c r="G168"/>
      <c r="J168"/>
    </row>
    <row r="169" spans="7:10" ht="15" x14ac:dyDescent="0.25">
      <c r="G169"/>
      <c r="J169"/>
    </row>
    <row r="170" spans="7:10" ht="15" x14ac:dyDescent="0.25">
      <c r="G170"/>
      <c r="J170"/>
    </row>
    <row r="171" spans="7:10" ht="15" x14ac:dyDescent="0.25">
      <c r="G171"/>
      <c r="J171"/>
    </row>
    <row r="172" spans="7:10" ht="15" x14ac:dyDescent="0.25">
      <c r="G172"/>
      <c r="J172"/>
    </row>
    <row r="173" spans="7:10" ht="15" x14ac:dyDescent="0.25">
      <c r="G173"/>
      <c r="J173"/>
    </row>
    <row r="174" spans="7:10" ht="15" x14ac:dyDescent="0.25">
      <c r="G174"/>
      <c r="J174"/>
    </row>
    <row r="175" spans="7:10" ht="15" x14ac:dyDescent="0.25">
      <c r="G175"/>
      <c r="J175"/>
    </row>
    <row r="176" spans="7:10" ht="15" x14ac:dyDescent="0.25">
      <c r="G176"/>
      <c r="J176"/>
    </row>
    <row r="177" spans="7:10" ht="15" x14ac:dyDescent="0.25">
      <c r="G177"/>
      <c r="J177"/>
    </row>
    <row r="178" spans="7:10" ht="15" x14ac:dyDescent="0.25">
      <c r="G178"/>
      <c r="J178"/>
    </row>
    <row r="179" spans="7:10" ht="15" x14ac:dyDescent="0.25">
      <c r="G179"/>
      <c r="J179"/>
    </row>
    <row r="180" spans="7:10" ht="15" x14ac:dyDescent="0.25">
      <c r="G180"/>
      <c r="J180"/>
    </row>
    <row r="181" spans="7:10" ht="15" x14ac:dyDescent="0.25">
      <c r="G181"/>
      <c r="J181"/>
    </row>
    <row r="182" spans="7:10" ht="15" x14ac:dyDescent="0.25">
      <c r="G182"/>
      <c r="J182"/>
    </row>
    <row r="183" spans="7:10" ht="15" x14ac:dyDescent="0.25">
      <c r="G183"/>
      <c r="J183"/>
    </row>
    <row r="184" spans="7:10" ht="15" x14ac:dyDescent="0.25">
      <c r="G184"/>
      <c r="J184"/>
    </row>
    <row r="185" spans="7:10" ht="15" x14ac:dyDescent="0.25">
      <c r="G185"/>
      <c r="J185"/>
    </row>
    <row r="186" spans="7:10" ht="15" x14ac:dyDescent="0.25">
      <c r="G186"/>
      <c r="J186"/>
    </row>
    <row r="187" spans="7:10" ht="15" x14ac:dyDescent="0.25">
      <c r="G187"/>
      <c r="J187"/>
    </row>
    <row r="188" spans="7:10" ht="15" x14ac:dyDescent="0.25">
      <c r="G188"/>
      <c r="J188"/>
    </row>
    <row r="189" spans="7:10" ht="15" x14ac:dyDescent="0.25">
      <c r="G189"/>
      <c r="J189"/>
    </row>
    <row r="190" spans="7:10" ht="15" x14ac:dyDescent="0.25">
      <c r="G190"/>
      <c r="J190"/>
    </row>
    <row r="191" spans="7:10" ht="15" x14ac:dyDescent="0.25">
      <c r="G191"/>
      <c r="J191"/>
    </row>
    <row r="192" spans="7:10" ht="15" x14ac:dyDescent="0.25">
      <c r="G192"/>
      <c r="J192"/>
    </row>
    <row r="193" spans="7:10" ht="15" x14ac:dyDescent="0.25">
      <c r="G193"/>
      <c r="J193"/>
    </row>
    <row r="194" spans="7:10" ht="15" x14ac:dyDescent="0.25">
      <c r="G194"/>
      <c r="J194"/>
    </row>
    <row r="195" spans="7:10" ht="15" x14ac:dyDescent="0.25">
      <c r="G195"/>
      <c r="J195"/>
    </row>
    <row r="196" spans="7:10" ht="15" x14ac:dyDescent="0.25">
      <c r="G196"/>
      <c r="J196"/>
    </row>
    <row r="197" spans="7:10" ht="15" x14ac:dyDescent="0.25">
      <c r="G197"/>
      <c r="J197"/>
    </row>
    <row r="198" spans="7:10" ht="15" x14ac:dyDescent="0.25">
      <c r="G198"/>
      <c r="J198"/>
    </row>
    <row r="199" spans="7:10" ht="15" x14ac:dyDescent="0.25">
      <c r="G199"/>
      <c r="J199"/>
    </row>
    <row r="200" spans="7:10" ht="15" x14ac:dyDescent="0.25">
      <c r="G200"/>
      <c r="J200"/>
    </row>
    <row r="201" spans="7:10" ht="15" x14ac:dyDescent="0.25">
      <c r="G201"/>
      <c r="J201"/>
    </row>
    <row r="202" spans="7:10" ht="15" x14ac:dyDescent="0.25">
      <c r="G202"/>
      <c r="J202"/>
    </row>
    <row r="203" spans="7:10" ht="15" x14ac:dyDescent="0.25">
      <c r="G203"/>
      <c r="J203"/>
    </row>
    <row r="204" spans="7:10" ht="15" x14ac:dyDescent="0.25">
      <c r="G204"/>
      <c r="J204"/>
    </row>
    <row r="205" spans="7:10" ht="15" x14ac:dyDescent="0.25">
      <c r="G205"/>
      <c r="J205"/>
    </row>
    <row r="206" spans="7:10" ht="15" x14ac:dyDescent="0.25">
      <c r="G206"/>
      <c r="J206"/>
    </row>
    <row r="207" spans="7:10" ht="15" x14ac:dyDescent="0.25">
      <c r="G207"/>
      <c r="J207"/>
    </row>
    <row r="208" spans="7:10" ht="15" x14ac:dyDescent="0.25">
      <c r="G208"/>
      <c r="J208"/>
    </row>
    <row r="209" spans="7:10" ht="15" x14ac:dyDescent="0.25">
      <c r="G209"/>
      <c r="J209"/>
    </row>
    <row r="210" spans="7:10" ht="15" x14ac:dyDescent="0.25">
      <c r="G210"/>
      <c r="J210"/>
    </row>
    <row r="211" spans="7:10" ht="15" x14ac:dyDescent="0.25">
      <c r="G211"/>
      <c r="J211"/>
    </row>
    <row r="212" spans="7:10" ht="15" x14ac:dyDescent="0.25">
      <c r="G212"/>
      <c r="J212"/>
    </row>
    <row r="213" spans="7:10" ht="15" x14ac:dyDescent="0.25">
      <c r="G213"/>
      <c r="J213"/>
    </row>
    <row r="214" spans="7:10" ht="34.9" customHeight="1" x14ac:dyDescent="0.25">
      <c r="G214"/>
      <c r="J214"/>
    </row>
    <row r="215" spans="7:10" ht="33.6" customHeight="1" x14ac:dyDescent="0.25">
      <c r="G215"/>
      <c r="J215"/>
    </row>
    <row r="216" spans="7:10" ht="34.15" customHeight="1" x14ac:dyDescent="0.25">
      <c r="G216"/>
      <c r="J216"/>
    </row>
    <row r="217" spans="7:10" ht="59.45" customHeight="1" x14ac:dyDescent="0.25">
      <c r="G217"/>
      <c r="J217"/>
    </row>
    <row r="218" spans="7:10" ht="15" x14ac:dyDescent="0.25">
      <c r="G218"/>
      <c r="J218"/>
    </row>
    <row r="219" spans="7:10" ht="15" x14ac:dyDescent="0.25">
      <c r="G219"/>
      <c r="J219"/>
    </row>
    <row r="220" spans="7:10" ht="15" x14ac:dyDescent="0.25">
      <c r="G220"/>
      <c r="J220"/>
    </row>
    <row r="221" spans="7:10" ht="15" x14ac:dyDescent="0.25">
      <c r="G221"/>
      <c r="J221"/>
    </row>
    <row r="222" spans="7:10" ht="15" x14ac:dyDescent="0.25">
      <c r="G222"/>
      <c r="J222"/>
    </row>
    <row r="223" spans="7:10" ht="15" x14ac:dyDescent="0.25">
      <c r="G223"/>
      <c r="J223"/>
    </row>
    <row r="224" spans="7:10" ht="15" x14ac:dyDescent="0.25">
      <c r="G224"/>
      <c r="J224"/>
    </row>
    <row r="225" spans="7:10" ht="15" x14ac:dyDescent="0.25">
      <c r="G225"/>
      <c r="J225"/>
    </row>
    <row r="226" spans="7:10" ht="15" x14ac:dyDescent="0.25">
      <c r="G226"/>
      <c r="J226"/>
    </row>
    <row r="227" spans="7:10" ht="15" x14ac:dyDescent="0.25">
      <c r="G227"/>
      <c r="J227"/>
    </row>
    <row r="228" spans="7:10" ht="15" x14ac:dyDescent="0.25">
      <c r="G228"/>
      <c r="J228"/>
    </row>
    <row r="229" spans="7:10" ht="15" x14ac:dyDescent="0.25">
      <c r="G229"/>
      <c r="J229"/>
    </row>
    <row r="230" spans="7:10" ht="15" x14ac:dyDescent="0.25">
      <c r="G230"/>
      <c r="J230"/>
    </row>
    <row r="231" spans="7:10" ht="15" x14ac:dyDescent="0.25">
      <c r="G231"/>
      <c r="J231"/>
    </row>
    <row r="232" spans="7:10" ht="15" x14ac:dyDescent="0.25">
      <c r="G232"/>
      <c r="J232"/>
    </row>
    <row r="233" spans="7:10" ht="15" x14ac:dyDescent="0.25">
      <c r="G233"/>
      <c r="J233"/>
    </row>
    <row r="234" spans="7:10" ht="15" x14ac:dyDescent="0.25">
      <c r="G234"/>
      <c r="J234"/>
    </row>
    <row r="235" spans="7:10" ht="15" x14ac:dyDescent="0.25">
      <c r="G235"/>
      <c r="J235"/>
    </row>
    <row r="236" spans="7:10" ht="15" x14ac:dyDescent="0.25">
      <c r="G236"/>
      <c r="J236"/>
    </row>
    <row r="237" spans="7:10" ht="27" customHeight="1" x14ac:dyDescent="0.25">
      <c r="G237"/>
      <c r="J237"/>
    </row>
    <row r="238" spans="7:10" ht="15" x14ac:dyDescent="0.25">
      <c r="G238"/>
      <c r="J238"/>
    </row>
    <row r="239" spans="7:10" ht="15" x14ac:dyDescent="0.25">
      <c r="G239"/>
      <c r="J239"/>
    </row>
    <row r="240" spans="7:10" ht="15" x14ac:dyDescent="0.25">
      <c r="G240"/>
      <c r="J240"/>
    </row>
    <row r="241" spans="7:10" ht="15" x14ac:dyDescent="0.25">
      <c r="G241"/>
      <c r="J241"/>
    </row>
    <row r="242" spans="7:10" ht="15" x14ac:dyDescent="0.25">
      <c r="G242"/>
      <c r="J242"/>
    </row>
    <row r="243" spans="7:10" ht="15" x14ac:dyDescent="0.25">
      <c r="G243"/>
      <c r="J243"/>
    </row>
    <row r="244" spans="7:10" ht="15" x14ac:dyDescent="0.25">
      <c r="G244"/>
      <c r="J244"/>
    </row>
    <row r="245" spans="7:10" ht="15" x14ac:dyDescent="0.25">
      <c r="G245"/>
      <c r="J245"/>
    </row>
    <row r="246" spans="7:10" ht="15" x14ac:dyDescent="0.25">
      <c r="G246"/>
      <c r="J246"/>
    </row>
    <row r="247" spans="7:10" ht="15" x14ac:dyDescent="0.25">
      <c r="G247"/>
      <c r="J247"/>
    </row>
    <row r="248" spans="7:10" ht="15" x14ac:dyDescent="0.25">
      <c r="G248"/>
      <c r="J248"/>
    </row>
    <row r="249" spans="7:10" ht="15" x14ac:dyDescent="0.25">
      <c r="G249"/>
      <c r="J249"/>
    </row>
    <row r="250" spans="7:10" ht="15" x14ac:dyDescent="0.25">
      <c r="G250"/>
      <c r="J250"/>
    </row>
    <row r="251" spans="7:10" ht="15" x14ac:dyDescent="0.25">
      <c r="G251"/>
      <c r="J251"/>
    </row>
    <row r="252" spans="7:10" ht="15" x14ac:dyDescent="0.25">
      <c r="G252"/>
      <c r="J252"/>
    </row>
    <row r="253" spans="7:10" ht="15" x14ac:dyDescent="0.25">
      <c r="G253"/>
      <c r="J253"/>
    </row>
    <row r="254" spans="7:10" ht="15" x14ac:dyDescent="0.25">
      <c r="G254"/>
      <c r="J254"/>
    </row>
    <row r="255" spans="7:10" ht="15" x14ac:dyDescent="0.25">
      <c r="G255"/>
      <c r="J255"/>
    </row>
    <row r="256" spans="7:10" ht="15" x14ac:dyDescent="0.25">
      <c r="G256"/>
      <c r="J256"/>
    </row>
    <row r="257" spans="7:10" ht="15" x14ac:dyDescent="0.25">
      <c r="G257"/>
      <c r="J257"/>
    </row>
    <row r="258" spans="7:10" ht="15" x14ac:dyDescent="0.25">
      <c r="G258"/>
      <c r="J258"/>
    </row>
    <row r="259" spans="7:10" ht="15" x14ac:dyDescent="0.25">
      <c r="G259"/>
      <c r="J259"/>
    </row>
    <row r="260" spans="7:10" ht="15" x14ac:dyDescent="0.25">
      <c r="G260"/>
      <c r="J260"/>
    </row>
    <row r="261" spans="7:10" ht="15" x14ac:dyDescent="0.25">
      <c r="G261"/>
      <c r="J261"/>
    </row>
    <row r="262" spans="7:10" ht="15" x14ac:dyDescent="0.25">
      <c r="G262"/>
      <c r="J262"/>
    </row>
    <row r="263" spans="7:10" ht="15" x14ac:dyDescent="0.25">
      <c r="G263"/>
      <c r="J263"/>
    </row>
    <row r="264" spans="7:10" ht="15" x14ac:dyDescent="0.25">
      <c r="G264"/>
      <c r="J264"/>
    </row>
    <row r="265" spans="7:10" ht="15" x14ac:dyDescent="0.25">
      <c r="G265"/>
      <c r="J265"/>
    </row>
    <row r="266" spans="7:10" ht="15" x14ac:dyDescent="0.25">
      <c r="G266"/>
      <c r="J266"/>
    </row>
    <row r="267" spans="7:10" ht="15" x14ac:dyDescent="0.25">
      <c r="G267"/>
      <c r="J267"/>
    </row>
    <row r="268" spans="7:10" ht="15" x14ac:dyDescent="0.25">
      <c r="G268"/>
      <c r="J268"/>
    </row>
    <row r="269" spans="7:10" ht="15" x14ac:dyDescent="0.25">
      <c r="G269"/>
      <c r="J269"/>
    </row>
    <row r="270" spans="7:10" ht="15" x14ac:dyDescent="0.25">
      <c r="G270"/>
      <c r="J270"/>
    </row>
    <row r="271" spans="7:10" ht="15" x14ac:dyDescent="0.25">
      <c r="G271"/>
      <c r="J271"/>
    </row>
    <row r="272" spans="7:10" ht="15" x14ac:dyDescent="0.25">
      <c r="G272"/>
      <c r="J272"/>
    </row>
    <row r="273" spans="7:10" ht="15" x14ac:dyDescent="0.25">
      <c r="G273"/>
      <c r="J273"/>
    </row>
    <row r="274" spans="7:10" ht="15" x14ac:dyDescent="0.25">
      <c r="G274"/>
      <c r="J274"/>
    </row>
    <row r="275" spans="7:10" ht="15" x14ac:dyDescent="0.25">
      <c r="G275"/>
      <c r="J275"/>
    </row>
    <row r="276" spans="7:10" ht="15" x14ac:dyDescent="0.25">
      <c r="G276"/>
      <c r="J276"/>
    </row>
    <row r="277" spans="7:10" ht="15" x14ac:dyDescent="0.25">
      <c r="G277"/>
      <c r="J277"/>
    </row>
    <row r="278" spans="7:10" ht="15" x14ac:dyDescent="0.25">
      <c r="G278"/>
      <c r="J278"/>
    </row>
    <row r="279" spans="7:10" ht="15" x14ac:dyDescent="0.25">
      <c r="G279"/>
      <c r="J279"/>
    </row>
    <row r="280" spans="7:10" ht="15" x14ac:dyDescent="0.25">
      <c r="G280"/>
      <c r="J280"/>
    </row>
    <row r="281" spans="7:10" ht="15" x14ac:dyDescent="0.25">
      <c r="G281"/>
      <c r="J281"/>
    </row>
    <row r="282" spans="7:10" ht="15" x14ac:dyDescent="0.25">
      <c r="G282"/>
      <c r="J282"/>
    </row>
    <row r="283" spans="7:10" ht="15" x14ac:dyDescent="0.25">
      <c r="G283"/>
      <c r="J283"/>
    </row>
    <row r="284" spans="7:10" ht="15" x14ac:dyDescent="0.25">
      <c r="G284"/>
      <c r="J284"/>
    </row>
    <row r="285" spans="7:10" ht="27" customHeight="1" x14ac:dyDescent="0.25">
      <c r="G285"/>
      <c r="J285"/>
    </row>
    <row r="286" spans="7:10" ht="33.6" customHeight="1" x14ac:dyDescent="0.25">
      <c r="G286"/>
      <c r="J286"/>
    </row>
    <row r="287" spans="7:10" ht="15" x14ac:dyDescent="0.25">
      <c r="G287"/>
      <c r="J287"/>
    </row>
    <row r="288" spans="7:10" ht="15" x14ac:dyDescent="0.25">
      <c r="G288"/>
      <c r="J288"/>
    </row>
    <row r="289" spans="7:10" ht="15" x14ac:dyDescent="0.25">
      <c r="G289"/>
      <c r="J289"/>
    </row>
    <row r="290" spans="7:10" ht="15" x14ac:dyDescent="0.25">
      <c r="G290"/>
      <c r="J290"/>
    </row>
    <row r="291" spans="7:10" ht="15" x14ac:dyDescent="0.25">
      <c r="G291"/>
      <c r="J291"/>
    </row>
    <row r="292" spans="7:10" ht="15" x14ac:dyDescent="0.25">
      <c r="G292"/>
      <c r="J292"/>
    </row>
    <row r="293" spans="7:10" ht="15" x14ac:dyDescent="0.25">
      <c r="G293"/>
      <c r="J293"/>
    </row>
    <row r="294" spans="7:10" ht="15" x14ac:dyDescent="0.25">
      <c r="G294"/>
      <c r="J294"/>
    </row>
    <row r="295" spans="7:10" ht="15" x14ac:dyDescent="0.25">
      <c r="G295"/>
      <c r="J295"/>
    </row>
    <row r="296" spans="7:10" ht="15" x14ac:dyDescent="0.25">
      <c r="G296"/>
      <c r="J296"/>
    </row>
    <row r="297" spans="7:10" ht="15" x14ac:dyDescent="0.25">
      <c r="G297"/>
      <c r="J297"/>
    </row>
    <row r="298" spans="7:10" ht="15" x14ac:dyDescent="0.25">
      <c r="G298"/>
      <c r="J298"/>
    </row>
    <row r="299" spans="7:10" ht="15" x14ac:dyDescent="0.25">
      <c r="G299"/>
      <c r="J299"/>
    </row>
    <row r="300" spans="7:10" ht="15" x14ac:dyDescent="0.25">
      <c r="G300"/>
      <c r="J300"/>
    </row>
    <row r="301" spans="7:10" ht="15" x14ac:dyDescent="0.25">
      <c r="G301"/>
      <c r="J301"/>
    </row>
    <row r="302" spans="7:10" ht="15" x14ac:dyDescent="0.25">
      <c r="G302"/>
      <c r="J302"/>
    </row>
    <row r="303" spans="7:10" ht="15" x14ac:dyDescent="0.25">
      <c r="G303"/>
      <c r="J303"/>
    </row>
    <row r="304" spans="7:10" ht="15" x14ac:dyDescent="0.25">
      <c r="G304"/>
      <c r="J304"/>
    </row>
    <row r="305" spans="7:10" ht="15" x14ac:dyDescent="0.25">
      <c r="G305"/>
      <c r="J305"/>
    </row>
    <row r="306" spans="7:10" ht="15" x14ac:dyDescent="0.25">
      <c r="G306"/>
      <c r="J306"/>
    </row>
    <row r="307" spans="7:10" ht="15" x14ac:dyDescent="0.25">
      <c r="G307"/>
      <c r="J307"/>
    </row>
    <row r="308" spans="7:10" ht="15" x14ac:dyDescent="0.25">
      <c r="G308"/>
      <c r="J308"/>
    </row>
    <row r="309" spans="7:10" ht="15" x14ac:dyDescent="0.25">
      <c r="G309"/>
      <c r="J309"/>
    </row>
    <row r="310" spans="7:10" ht="15" x14ac:dyDescent="0.25">
      <c r="G310"/>
      <c r="J310"/>
    </row>
    <row r="311" spans="7:10" ht="15" x14ac:dyDescent="0.25">
      <c r="G311"/>
      <c r="J311"/>
    </row>
    <row r="312" spans="7:10" ht="15" x14ac:dyDescent="0.25">
      <c r="G312"/>
      <c r="J312"/>
    </row>
    <row r="313" spans="7:10" ht="15" x14ac:dyDescent="0.25">
      <c r="G313"/>
      <c r="J313"/>
    </row>
    <row r="314" spans="7:10" ht="15" x14ac:dyDescent="0.25">
      <c r="G314"/>
      <c r="J314"/>
    </row>
    <row r="315" spans="7:10" ht="15" x14ac:dyDescent="0.25">
      <c r="G315"/>
      <c r="J315"/>
    </row>
    <row r="316" spans="7:10" ht="15" x14ac:dyDescent="0.25">
      <c r="G316"/>
      <c r="J316"/>
    </row>
    <row r="317" spans="7:10" ht="15" x14ac:dyDescent="0.25">
      <c r="G317"/>
      <c r="J317"/>
    </row>
    <row r="318" spans="7:10" ht="15" x14ac:dyDescent="0.25">
      <c r="G318"/>
      <c r="J318"/>
    </row>
    <row r="319" spans="7:10" ht="15" x14ac:dyDescent="0.25">
      <c r="G319"/>
      <c r="J319"/>
    </row>
    <row r="320" spans="7:10" ht="15" x14ac:dyDescent="0.25">
      <c r="G320"/>
      <c r="J320"/>
    </row>
    <row r="321" spans="7:10" ht="15" x14ac:dyDescent="0.25">
      <c r="G321"/>
      <c r="J321"/>
    </row>
    <row r="322" spans="7:10" ht="15" x14ac:dyDescent="0.25">
      <c r="G322"/>
      <c r="J322"/>
    </row>
    <row r="323" spans="7:10" ht="15" x14ac:dyDescent="0.25">
      <c r="G323"/>
      <c r="J323"/>
    </row>
    <row r="324" spans="7:10" ht="15" x14ac:dyDescent="0.25">
      <c r="G324"/>
      <c r="J324"/>
    </row>
    <row r="325" spans="7:10" ht="15" x14ac:dyDescent="0.25">
      <c r="G325"/>
      <c r="J325"/>
    </row>
    <row r="326" spans="7:10" ht="15" x14ac:dyDescent="0.25">
      <c r="G326"/>
      <c r="J326"/>
    </row>
    <row r="327" spans="7:10" ht="15" x14ac:dyDescent="0.25">
      <c r="G327"/>
      <c r="J327"/>
    </row>
    <row r="328" spans="7:10" ht="15" x14ac:dyDescent="0.25">
      <c r="G328"/>
      <c r="J328"/>
    </row>
    <row r="329" spans="7:10" ht="15" x14ac:dyDescent="0.25">
      <c r="G329"/>
      <c r="J329"/>
    </row>
    <row r="330" spans="7:10" ht="15" x14ac:dyDescent="0.25">
      <c r="G330"/>
      <c r="J330"/>
    </row>
    <row r="331" spans="7:10" ht="15" x14ac:dyDescent="0.25">
      <c r="G331"/>
      <c r="J331"/>
    </row>
    <row r="332" spans="7:10" ht="15" x14ac:dyDescent="0.25">
      <c r="G332"/>
      <c r="J332"/>
    </row>
    <row r="333" spans="7:10" ht="15" x14ac:dyDescent="0.25">
      <c r="G333"/>
      <c r="J333"/>
    </row>
    <row r="334" spans="7:10" ht="15" x14ac:dyDescent="0.25">
      <c r="G334"/>
      <c r="J334"/>
    </row>
    <row r="335" spans="7:10" ht="15" x14ac:dyDescent="0.25">
      <c r="G335"/>
      <c r="J335"/>
    </row>
    <row r="336" spans="7:10" ht="31.9" customHeight="1" x14ac:dyDescent="0.25">
      <c r="G336"/>
      <c r="J336"/>
    </row>
    <row r="337" spans="7:10" ht="29.45" customHeight="1" x14ac:dyDescent="0.25">
      <c r="G337"/>
      <c r="J337"/>
    </row>
    <row r="338" spans="7:10" ht="15" x14ac:dyDescent="0.25">
      <c r="G338"/>
      <c r="J338"/>
    </row>
    <row r="339" spans="7:10" ht="66.599999999999994" customHeight="1" x14ac:dyDescent="0.25">
      <c r="G339"/>
      <c r="J339"/>
    </row>
    <row r="340" spans="7:10" ht="15" x14ac:dyDescent="0.25">
      <c r="G340"/>
      <c r="J340"/>
    </row>
    <row r="341" spans="7:10" ht="15" x14ac:dyDescent="0.25">
      <c r="G341"/>
      <c r="J341"/>
    </row>
    <row r="342" spans="7:10" ht="15" x14ac:dyDescent="0.25">
      <c r="G342"/>
      <c r="J342"/>
    </row>
    <row r="343" spans="7:10" ht="15" x14ac:dyDescent="0.25">
      <c r="G343"/>
      <c r="J343"/>
    </row>
    <row r="344" spans="7:10" ht="15" x14ac:dyDescent="0.25">
      <c r="G344"/>
      <c r="J344"/>
    </row>
    <row r="345" spans="7:10" ht="15" x14ac:dyDescent="0.25">
      <c r="G345"/>
      <c r="J345"/>
    </row>
    <row r="346" spans="7:10" ht="15" x14ac:dyDescent="0.25">
      <c r="G346"/>
      <c r="J346"/>
    </row>
    <row r="347" spans="7:10" ht="15" x14ac:dyDescent="0.25">
      <c r="G347"/>
      <c r="J347"/>
    </row>
    <row r="348" spans="7:10" ht="15" x14ac:dyDescent="0.25">
      <c r="G348"/>
      <c r="J348"/>
    </row>
    <row r="349" spans="7:10" ht="15" x14ac:dyDescent="0.25">
      <c r="G349"/>
      <c r="J349"/>
    </row>
    <row r="350" spans="7:10" ht="15" x14ac:dyDescent="0.25">
      <c r="G350"/>
      <c r="J350"/>
    </row>
    <row r="351" spans="7:10" ht="15" x14ac:dyDescent="0.25">
      <c r="G351"/>
      <c r="J351"/>
    </row>
    <row r="352" spans="7:10" ht="15" x14ac:dyDescent="0.25">
      <c r="G352"/>
      <c r="J352"/>
    </row>
    <row r="353" spans="7:10" ht="15" x14ac:dyDescent="0.25">
      <c r="G353"/>
      <c r="J353"/>
    </row>
    <row r="354" spans="7:10" ht="15" x14ac:dyDescent="0.25">
      <c r="G354"/>
      <c r="J354"/>
    </row>
    <row r="355" spans="7:10" ht="15" x14ac:dyDescent="0.25">
      <c r="G355"/>
      <c r="J355"/>
    </row>
    <row r="356" spans="7:10" ht="15" x14ac:dyDescent="0.25">
      <c r="G356"/>
      <c r="J356"/>
    </row>
    <row r="357" spans="7:10" ht="28.9" customHeight="1" x14ac:dyDescent="0.25">
      <c r="G357"/>
      <c r="J357"/>
    </row>
    <row r="358" spans="7:10" ht="15" x14ac:dyDescent="0.25">
      <c r="G358"/>
      <c r="J358"/>
    </row>
    <row r="359" spans="7:10" ht="15" x14ac:dyDescent="0.25">
      <c r="G359"/>
      <c r="J359"/>
    </row>
    <row r="360" spans="7:10" ht="15" x14ac:dyDescent="0.25">
      <c r="G360"/>
      <c r="J360"/>
    </row>
    <row r="361" spans="7:10" ht="15" x14ac:dyDescent="0.25">
      <c r="G361"/>
      <c r="J361"/>
    </row>
    <row r="362" spans="7:10" ht="15" x14ac:dyDescent="0.25">
      <c r="G362"/>
      <c r="J362"/>
    </row>
    <row r="363" spans="7:10" ht="15" x14ac:dyDescent="0.25">
      <c r="G363"/>
      <c r="J363"/>
    </row>
    <row r="364" spans="7:10" ht="15" x14ac:dyDescent="0.25">
      <c r="G364"/>
      <c r="J364"/>
    </row>
    <row r="365" spans="7:10" ht="15" x14ac:dyDescent="0.25">
      <c r="G365"/>
      <c r="J365"/>
    </row>
    <row r="366" spans="7:10" ht="15" x14ac:dyDescent="0.25">
      <c r="G366"/>
      <c r="J366"/>
    </row>
    <row r="367" spans="7:10" ht="15" x14ac:dyDescent="0.25">
      <c r="G367"/>
      <c r="J367"/>
    </row>
    <row r="368" spans="7:10" ht="15" x14ac:dyDescent="0.25">
      <c r="G368"/>
      <c r="J368"/>
    </row>
    <row r="369" spans="7:10" ht="15" x14ac:dyDescent="0.25">
      <c r="G369"/>
      <c r="J369"/>
    </row>
    <row r="370" spans="7:10" ht="15" x14ac:dyDescent="0.25">
      <c r="G370"/>
      <c r="J370"/>
    </row>
    <row r="371" spans="7:10" ht="15" x14ac:dyDescent="0.25">
      <c r="G371"/>
      <c r="J371"/>
    </row>
    <row r="372" spans="7:10" ht="15" x14ac:dyDescent="0.25">
      <c r="G372"/>
      <c r="J372"/>
    </row>
    <row r="373" spans="7:10" ht="15" x14ac:dyDescent="0.25">
      <c r="G373"/>
      <c r="J373"/>
    </row>
    <row r="374" spans="7:10" ht="15" x14ac:dyDescent="0.25">
      <c r="G374"/>
      <c r="J374"/>
    </row>
    <row r="375" spans="7:10" ht="15" x14ac:dyDescent="0.25">
      <c r="G375"/>
      <c r="J375"/>
    </row>
    <row r="376" spans="7:10" ht="15" x14ac:dyDescent="0.25">
      <c r="G376"/>
      <c r="J376"/>
    </row>
    <row r="377" spans="7:10" ht="15" x14ac:dyDescent="0.25">
      <c r="G377"/>
      <c r="J377"/>
    </row>
    <row r="378" spans="7:10" ht="15" x14ac:dyDescent="0.25">
      <c r="J378"/>
    </row>
    <row r="379" spans="7:10" ht="15" x14ac:dyDescent="0.25">
      <c r="J379"/>
    </row>
    <row r="380" spans="7:10" ht="15" x14ac:dyDescent="0.25">
      <c r="J380"/>
    </row>
    <row r="381" spans="7:10" ht="15" x14ac:dyDescent="0.25">
      <c r="J381"/>
    </row>
    <row r="382" spans="7:10" ht="15" x14ac:dyDescent="0.25">
      <c r="J382"/>
    </row>
    <row r="383" spans="7:10" ht="15" x14ac:dyDescent="0.25">
      <c r="J383"/>
    </row>
    <row r="384" spans="7:10" ht="15" x14ac:dyDescent="0.25">
      <c r="J384"/>
    </row>
    <row r="385" spans="10:10" ht="15" x14ac:dyDescent="0.25">
      <c r="J385"/>
    </row>
    <row r="386" spans="10:10" ht="15" x14ac:dyDescent="0.25">
      <c r="J386"/>
    </row>
    <row r="387" spans="10:10" ht="15" x14ac:dyDescent="0.25">
      <c r="J387"/>
    </row>
    <row r="388" spans="10:10" ht="15" x14ac:dyDescent="0.25">
      <c r="J388"/>
    </row>
    <row r="389" spans="10:10" ht="15" x14ac:dyDescent="0.25">
      <c r="J389"/>
    </row>
    <row r="390" spans="10:10" ht="15" x14ac:dyDescent="0.25">
      <c r="J390"/>
    </row>
    <row r="391" spans="10:10" ht="15" x14ac:dyDescent="0.25">
      <c r="J391"/>
    </row>
    <row r="392" spans="10:10" ht="15" x14ac:dyDescent="0.25">
      <c r="J392"/>
    </row>
    <row r="393" spans="10:10" ht="15" x14ac:dyDescent="0.25">
      <c r="J393"/>
    </row>
    <row r="394" spans="10:10" ht="15" x14ac:dyDescent="0.25">
      <c r="J394"/>
    </row>
    <row r="395" spans="10:10" ht="15" x14ac:dyDescent="0.25">
      <c r="J395"/>
    </row>
    <row r="396" spans="10:10" ht="15" x14ac:dyDescent="0.25">
      <c r="J396"/>
    </row>
    <row r="397" spans="10:10" ht="15" x14ac:dyDescent="0.25">
      <c r="J397"/>
    </row>
    <row r="398" spans="10:10" ht="15" x14ac:dyDescent="0.25">
      <c r="J398"/>
    </row>
    <row r="399" spans="10:10" ht="15" x14ac:dyDescent="0.25">
      <c r="J399"/>
    </row>
    <row r="400" spans="10:10" ht="15" x14ac:dyDescent="0.25">
      <c r="J400"/>
    </row>
    <row r="401" spans="10:10" ht="15" x14ac:dyDescent="0.25">
      <c r="J401"/>
    </row>
    <row r="402" spans="10:10" ht="15" x14ac:dyDescent="0.25">
      <c r="J402"/>
    </row>
    <row r="403" spans="10:10" ht="15" x14ac:dyDescent="0.25">
      <c r="J403"/>
    </row>
    <row r="404" spans="10:10" ht="15" x14ac:dyDescent="0.25">
      <c r="J404"/>
    </row>
    <row r="405" spans="10:10" ht="15" x14ac:dyDescent="0.25">
      <c r="J405"/>
    </row>
    <row r="406" spans="10:10" ht="15" x14ac:dyDescent="0.25">
      <c r="J406"/>
    </row>
    <row r="407" spans="10:10" ht="15" x14ac:dyDescent="0.25">
      <c r="J407"/>
    </row>
    <row r="408" spans="10:10" ht="15" x14ac:dyDescent="0.25">
      <c r="J408"/>
    </row>
    <row r="409" spans="10:10" ht="15" x14ac:dyDescent="0.25">
      <c r="J409"/>
    </row>
    <row r="410" spans="10:10" ht="15" x14ac:dyDescent="0.25">
      <c r="J410"/>
    </row>
    <row r="411" spans="10:10" ht="15" x14ac:dyDescent="0.25">
      <c r="J411"/>
    </row>
    <row r="412" spans="10:10" ht="15" x14ac:dyDescent="0.25">
      <c r="J412"/>
    </row>
    <row r="413" spans="10:10" ht="15" x14ac:dyDescent="0.25">
      <c r="J413"/>
    </row>
    <row r="414" spans="10:10" ht="15" x14ac:dyDescent="0.25">
      <c r="J414"/>
    </row>
    <row r="415" spans="10:10" ht="15" x14ac:dyDescent="0.25">
      <c r="J415"/>
    </row>
    <row r="416" spans="10:10" ht="15" x14ac:dyDescent="0.25">
      <c r="J416"/>
    </row>
    <row r="417" spans="10:10" ht="15" x14ac:dyDescent="0.25">
      <c r="J417"/>
    </row>
    <row r="418" spans="10:10" ht="15" x14ac:dyDescent="0.25">
      <c r="J418"/>
    </row>
    <row r="419" spans="10:10" ht="15" x14ac:dyDescent="0.25">
      <c r="J419"/>
    </row>
    <row r="420" spans="10:10" ht="15" x14ac:dyDescent="0.25">
      <c r="J420"/>
    </row>
    <row r="421" spans="10:10" ht="15" x14ac:dyDescent="0.25">
      <c r="J421"/>
    </row>
    <row r="422" spans="10:10" ht="15" x14ac:dyDescent="0.25">
      <c r="J422"/>
    </row>
    <row r="423" spans="10:10" ht="15" x14ac:dyDescent="0.25">
      <c r="J423"/>
    </row>
    <row r="424" spans="10:10" ht="15" x14ac:dyDescent="0.25">
      <c r="J424"/>
    </row>
    <row r="425" spans="10:10" ht="15" x14ac:dyDescent="0.25">
      <c r="J425"/>
    </row>
    <row r="426" spans="10:10" ht="15" x14ac:dyDescent="0.25">
      <c r="J426"/>
    </row>
    <row r="427" spans="10:10" ht="15" x14ac:dyDescent="0.25">
      <c r="J427"/>
    </row>
    <row r="428" spans="10:10" ht="15" x14ac:dyDescent="0.25">
      <c r="J428"/>
    </row>
    <row r="429" spans="10:10" ht="15" x14ac:dyDescent="0.25">
      <c r="J429"/>
    </row>
    <row r="430" spans="10:10" ht="15" x14ac:dyDescent="0.25">
      <c r="J430"/>
    </row>
    <row r="431" spans="10:10" ht="15" x14ac:dyDescent="0.25">
      <c r="J431"/>
    </row>
    <row r="432" spans="10:10" ht="15" x14ac:dyDescent="0.25">
      <c r="J432"/>
    </row>
    <row r="433" spans="10:10" ht="15" x14ac:dyDescent="0.25">
      <c r="J433"/>
    </row>
    <row r="434" spans="10:10" ht="15" x14ac:dyDescent="0.25">
      <c r="J434"/>
    </row>
    <row r="435" spans="10:10" ht="15" x14ac:dyDescent="0.25">
      <c r="J435"/>
    </row>
    <row r="436" spans="10:10" ht="15" x14ac:dyDescent="0.25">
      <c r="J436"/>
    </row>
    <row r="437" spans="10:10" ht="15" x14ac:dyDescent="0.25">
      <c r="J437"/>
    </row>
    <row r="438" spans="10:10" ht="15" x14ac:dyDescent="0.25">
      <c r="J438"/>
    </row>
    <row r="439" spans="10:10" ht="15" x14ac:dyDescent="0.25">
      <c r="J439"/>
    </row>
    <row r="440" spans="10:10" ht="15" x14ac:dyDescent="0.25">
      <c r="J440"/>
    </row>
    <row r="441" spans="10:10" ht="15" x14ac:dyDescent="0.25">
      <c r="J441"/>
    </row>
    <row r="442" spans="10:10" ht="15" x14ac:dyDescent="0.25">
      <c r="J442"/>
    </row>
    <row r="443" spans="10:10" ht="15" x14ac:dyDescent="0.25">
      <c r="J443"/>
    </row>
    <row r="444" spans="10:10" ht="15" x14ac:dyDescent="0.25">
      <c r="J444"/>
    </row>
    <row r="445" spans="10:10" ht="15" x14ac:dyDescent="0.25">
      <c r="J445"/>
    </row>
    <row r="446" spans="10:10" ht="15" x14ac:dyDescent="0.25">
      <c r="J446"/>
    </row>
    <row r="447" spans="10:10" ht="15" x14ac:dyDescent="0.25">
      <c r="J447"/>
    </row>
    <row r="448" spans="10:10" ht="15" x14ac:dyDescent="0.25">
      <c r="J448"/>
    </row>
    <row r="449" spans="10:10" ht="15" x14ac:dyDescent="0.25">
      <c r="J449"/>
    </row>
    <row r="450" spans="10:10" ht="15" x14ac:dyDescent="0.25">
      <c r="J450"/>
    </row>
    <row r="451" spans="10:10" ht="15" x14ac:dyDescent="0.25">
      <c r="J451"/>
    </row>
    <row r="452" spans="10:10" ht="15" x14ac:dyDescent="0.25">
      <c r="J452"/>
    </row>
    <row r="453" spans="10:10" ht="15" x14ac:dyDescent="0.25">
      <c r="J453"/>
    </row>
    <row r="454" spans="10:10" ht="15" x14ac:dyDescent="0.25">
      <c r="J454"/>
    </row>
    <row r="455" spans="10:10" ht="15" x14ac:dyDescent="0.25">
      <c r="J455"/>
    </row>
    <row r="456" spans="10:10" ht="15" x14ac:dyDescent="0.25">
      <c r="J456"/>
    </row>
    <row r="457" spans="10:10" ht="15" x14ac:dyDescent="0.25">
      <c r="J457"/>
    </row>
    <row r="458" spans="10:10" ht="15" x14ac:dyDescent="0.25">
      <c r="J458"/>
    </row>
    <row r="459" spans="10:10" ht="15" x14ac:dyDescent="0.25">
      <c r="J459"/>
    </row>
    <row r="460" spans="10:10" ht="15" x14ac:dyDescent="0.25">
      <c r="J460"/>
    </row>
    <row r="461" spans="10:10" ht="15" x14ac:dyDescent="0.25">
      <c r="J461"/>
    </row>
    <row r="462" spans="10:10" ht="15" x14ac:dyDescent="0.25">
      <c r="J462"/>
    </row>
    <row r="463" spans="10:10" ht="15" x14ac:dyDescent="0.25">
      <c r="J463"/>
    </row>
    <row r="464" spans="10:10" ht="15" x14ac:dyDescent="0.25">
      <c r="J464"/>
    </row>
    <row r="465" spans="10:10" ht="15" x14ac:dyDescent="0.25">
      <c r="J465"/>
    </row>
    <row r="466" spans="10:10" ht="15" x14ac:dyDescent="0.25">
      <c r="J466"/>
    </row>
    <row r="467" spans="10:10" ht="15" x14ac:dyDescent="0.25">
      <c r="J467"/>
    </row>
    <row r="468" spans="10:10" ht="15" x14ac:dyDescent="0.25">
      <c r="J468"/>
    </row>
    <row r="469" spans="10:10" ht="15" x14ac:dyDescent="0.25">
      <c r="J469"/>
    </row>
    <row r="470" spans="10:10" ht="15" x14ac:dyDescent="0.25">
      <c r="J470"/>
    </row>
    <row r="471" spans="10:10" ht="15" x14ac:dyDescent="0.25">
      <c r="J471"/>
    </row>
    <row r="472" spans="10:10" ht="15" x14ac:dyDescent="0.25">
      <c r="J472"/>
    </row>
    <row r="473" spans="10:10" ht="15" x14ac:dyDescent="0.25">
      <c r="J473"/>
    </row>
    <row r="474" spans="10:10" ht="15" x14ac:dyDescent="0.25">
      <c r="J474"/>
    </row>
    <row r="475" spans="10:10" ht="15" x14ac:dyDescent="0.25">
      <c r="J475"/>
    </row>
    <row r="476" spans="10:10" ht="15" x14ac:dyDescent="0.25">
      <c r="J476"/>
    </row>
    <row r="477" spans="10:10" ht="15" x14ac:dyDescent="0.25">
      <c r="J477"/>
    </row>
    <row r="478" spans="10:10" ht="15" x14ac:dyDescent="0.25">
      <c r="J478"/>
    </row>
    <row r="479" spans="10:10" ht="15" x14ac:dyDescent="0.25">
      <c r="J479"/>
    </row>
    <row r="480" spans="10:10" ht="15" x14ac:dyDescent="0.25">
      <c r="J480"/>
    </row>
    <row r="481" spans="10:10" ht="15" x14ac:dyDescent="0.25">
      <c r="J481"/>
    </row>
    <row r="482" spans="10:10" ht="15" x14ac:dyDescent="0.25">
      <c r="J482"/>
    </row>
    <row r="483" spans="10:10" ht="15" x14ac:dyDescent="0.25">
      <c r="J483"/>
    </row>
    <row r="484" spans="10:10" ht="15" x14ac:dyDescent="0.25">
      <c r="J484"/>
    </row>
    <row r="485" spans="10:10" ht="15" x14ac:dyDescent="0.25">
      <c r="J485"/>
    </row>
    <row r="486" spans="10:10" ht="15" x14ac:dyDescent="0.25">
      <c r="J486"/>
    </row>
    <row r="487" spans="10:10" ht="15" x14ac:dyDescent="0.25">
      <c r="J487"/>
    </row>
    <row r="488" spans="10:10" ht="15" x14ac:dyDescent="0.25">
      <c r="J488"/>
    </row>
    <row r="489" spans="10:10" ht="15" x14ac:dyDescent="0.25">
      <c r="J489"/>
    </row>
    <row r="490" spans="10:10" ht="15" x14ac:dyDescent="0.25">
      <c r="J490"/>
    </row>
    <row r="491" spans="10:10" ht="15" x14ac:dyDescent="0.25">
      <c r="J491"/>
    </row>
    <row r="492" spans="10:10" ht="15" x14ac:dyDescent="0.25">
      <c r="J492"/>
    </row>
    <row r="493" spans="10:10" ht="15" x14ac:dyDescent="0.25">
      <c r="J493"/>
    </row>
    <row r="494" spans="10:10" ht="15" x14ac:dyDescent="0.25">
      <c r="J494"/>
    </row>
    <row r="495" spans="10:10" ht="15" x14ac:dyDescent="0.25">
      <c r="J495"/>
    </row>
    <row r="496" spans="10:10" ht="15" x14ac:dyDescent="0.25">
      <c r="J496"/>
    </row>
    <row r="497" spans="10:10" ht="15" x14ac:dyDescent="0.25">
      <c r="J497"/>
    </row>
    <row r="498" spans="10:10" ht="15" x14ac:dyDescent="0.25">
      <c r="J498"/>
    </row>
    <row r="499" spans="10:10" ht="15" x14ac:dyDescent="0.25">
      <c r="J499"/>
    </row>
    <row r="500" spans="10:10" ht="15" x14ac:dyDescent="0.25">
      <c r="J500"/>
    </row>
    <row r="501" spans="10:10" ht="15" x14ac:dyDescent="0.25">
      <c r="J501"/>
    </row>
    <row r="502" spans="10:10" ht="15" x14ac:dyDescent="0.25">
      <c r="J502"/>
    </row>
    <row r="503" spans="10:10" ht="15" x14ac:dyDescent="0.25">
      <c r="J503"/>
    </row>
    <row r="504" spans="10:10" ht="15" x14ac:dyDescent="0.25">
      <c r="J504"/>
    </row>
    <row r="505" spans="10:10" ht="15" x14ac:dyDescent="0.25">
      <c r="J505"/>
    </row>
    <row r="506" spans="10:10" ht="15" x14ac:dyDescent="0.25">
      <c r="J506"/>
    </row>
    <row r="507" spans="10:10" ht="15" x14ac:dyDescent="0.25">
      <c r="J507"/>
    </row>
    <row r="508" spans="10:10" ht="15" x14ac:dyDescent="0.25">
      <c r="J508"/>
    </row>
    <row r="509" spans="10:10" ht="15" x14ac:dyDescent="0.25">
      <c r="J509"/>
    </row>
    <row r="510" spans="10:10" ht="15" x14ac:dyDescent="0.25">
      <c r="J510"/>
    </row>
    <row r="511" spans="10:10" ht="15" x14ac:dyDescent="0.25">
      <c r="J511"/>
    </row>
    <row r="512" spans="10:10" ht="15" x14ac:dyDescent="0.25">
      <c r="J512"/>
    </row>
    <row r="513" spans="10:10" ht="15" x14ac:dyDescent="0.25">
      <c r="J513"/>
    </row>
    <row r="514" spans="10:10" ht="15" x14ac:dyDescent="0.25">
      <c r="J514"/>
    </row>
    <row r="515" spans="10:10" ht="15" x14ac:dyDescent="0.25">
      <c r="J515"/>
    </row>
    <row r="516" spans="10:10" ht="15" x14ac:dyDescent="0.25">
      <c r="J516"/>
    </row>
    <row r="517" spans="10:10" ht="15" x14ac:dyDescent="0.25">
      <c r="J517"/>
    </row>
    <row r="518" spans="10:10" ht="15" x14ac:dyDescent="0.25">
      <c r="J518"/>
    </row>
    <row r="519" spans="10:10" ht="15" x14ac:dyDescent="0.25">
      <c r="J519"/>
    </row>
    <row r="520" spans="10:10" ht="15" x14ac:dyDescent="0.25">
      <c r="J520"/>
    </row>
    <row r="521" spans="10:10" ht="15" x14ac:dyDescent="0.25">
      <c r="J521"/>
    </row>
    <row r="522" spans="10:10" ht="15" x14ac:dyDescent="0.25">
      <c r="J522"/>
    </row>
    <row r="523" spans="10:10" ht="15" x14ac:dyDescent="0.25">
      <c r="J523"/>
    </row>
    <row r="524" spans="10:10" ht="15" x14ac:dyDescent="0.25">
      <c r="J524"/>
    </row>
    <row r="525" spans="10:10" ht="15" x14ac:dyDescent="0.25">
      <c r="J525"/>
    </row>
    <row r="526" spans="10:10" ht="15" x14ac:dyDescent="0.25">
      <c r="J526"/>
    </row>
    <row r="527" spans="10:10" ht="15" x14ac:dyDescent="0.25">
      <c r="J527"/>
    </row>
    <row r="528" spans="10:10" ht="15" x14ac:dyDescent="0.25">
      <c r="J528"/>
    </row>
    <row r="529" spans="10:10" ht="15" x14ac:dyDescent="0.25">
      <c r="J529"/>
    </row>
    <row r="530" spans="10:10" ht="15" x14ac:dyDescent="0.25">
      <c r="J530"/>
    </row>
    <row r="531" spans="10:10" ht="15" x14ac:dyDescent="0.25">
      <c r="J531"/>
    </row>
    <row r="532" spans="10:10" ht="15" x14ac:dyDescent="0.25">
      <c r="J532"/>
    </row>
    <row r="533" spans="10:10" ht="15" x14ac:dyDescent="0.25">
      <c r="J533"/>
    </row>
    <row r="534" spans="10:10" ht="15" x14ac:dyDescent="0.25">
      <c r="J534"/>
    </row>
    <row r="535" spans="10:10" ht="15" x14ac:dyDescent="0.25">
      <c r="J535"/>
    </row>
    <row r="536" spans="10:10" ht="15" x14ac:dyDescent="0.25">
      <c r="J536"/>
    </row>
    <row r="537" spans="10:10" ht="15" x14ac:dyDescent="0.25">
      <c r="J537"/>
    </row>
    <row r="538" spans="10:10" ht="15" x14ac:dyDescent="0.25">
      <c r="J538"/>
    </row>
    <row r="539" spans="10:10" ht="15" x14ac:dyDescent="0.25">
      <c r="J539"/>
    </row>
    <row r="540" spans="10:10" ht="15" x14ac:dyDescent="0.25">
      <c r="J540"/>
    </row>
    <row r="541" spans="10:10" ht="15" x14ac:dyDescent="0.25">
      <c r="J541"/>
    </row>
    <row r="542" spans="10:10" ht="15" x14ac:dyDescent="0.25">
      <c r="J542"/>
    </row>
    <row r="543" spans="10:10" ht="15" x14ac:dyDescent="0.25">
      <c r="J543"/>
    </row>
    <row r="544" spans="10:10" ht="15" x14ac:dyDescent="0.25">
      <c r="J544"/>
    </row>
    <row r="545" spans="10:10" ht="15" x14ac:dyDescent="0.25">
      <c r="J545"/>
    </row>
    <row r="546" spans="10:10" ht="15" x14ac:dyDescent="0.25">
      <c r="J546"/>
    </row>
    <row r="547" spans="10:10" ht="15" x14ac:dyDescent="0.25">
      <c r="J547"/>
    </row>
    <row r="548" spans="10:10" ht="15" x14ac:dyDescent="0.25">
      <c r="J548"/>
    </row>
    <row r="549" spans="10:10" ht="15" x14ac:dyDescent="0.25">
      <c r="J549"/>
    </row>
    <row r="550" spans="10:10" ht="15" x14ac:dyDescent="0.25">
      <c r="J550"/>
    </row>
    <row r="551" spans="10:10" ht="15" x14ac:dyDescent="0.25">
      <c r="J551"/>
    </row>
    <row r="552" spans="10:10" ht="15" x14ac:dyDescent="0.25">
      <c r="J552"/>
    </row>
    <row r="553" spans="10:10" ht="15" x14ac:dyDescent="0.25">
      <c r="J553"/>
    </row>
    <row r="554" spans="10:10" ht="15" x14ac:dyDescent="0.25">
      <c r="J554"/>
    </row>
    <row r="555" spans="10:10" ht="15" x14ac:dyDescent="0.25">
      <c r="J555"/>
    </row>
    <row r="556" spans="10:10" ht="15" x14ac:dyDescent="0.25">
      <c r="J556"/>
    </row>
    <row r="557" spans="10:10" ht="15" x14ac:dyDescent="0.25">
      <c r="J557"/>
    </row>
    <row r="558" spans="10:10" ht="15" x14ac:dyDescent="0.25">
      <c r="J558"/>
    </row>
    <row r="559" spans="10:10" ht="15" x14ac:dyDescent="0.25">
      <c r="J559"/>
    </row>
    <row r="560" spans="10:10" ht="15" x14ac:dyDescent="0.25">
      <c r="J560"/>
    </row>
    <row r="561" spans="10:10" ht="15" x14ac:dyDescent="0.25">
      <c r="J561"/>
    </row>
    <row r="562" spans="10:10" ht="15" x14ac:dyDescent="0.25">
      <c r="J562"/>
    </row>
    <row r="563" spans="10:10" ht="15" x14ac:dyDescent="0.25">
      <c r="J563"/>
    </row>
    <row r="564" spans="10:10" ht="15" x14ac:dyDescent="0.25">
      <c r="J564"/>
    </row>
    <row r="565" spans="10:10" ht="15" x14ac:dyDescent="0.25">
      <c r="J565"/>
    </row>
    <row r="566" spans="10:10" ht="15" x14ac:dyDescent="0.25">
      <c r="J566"/>
    </row>
    <row r="567" spans="10:10" ht="15" x14ac:dyDescent="0.25">
      <c r="J567"/>
    </row>
    <row r="568" spans="10:10" ht="15" x14ac:dyDescent="0.25">
      <c r="J568"/>
    </row>
    <row r="569" spans="10:10" ht="15" x14ac:dyDescent="0.25">
      <c r="J569"/>
    </row>
    <row r="570" spans="10:10" ht="15" x14ac:dyDescent="0.25">
      <c r="J570"/>
    </row>
    <row r="571" spans="10:10" ht="15" x14ac:dyDescent="0.25">
      <c r="J571"/>
    </row>
    <row r="572" spans="10:10" ht="15" x14ac:dyDescent="0.25">
      <c r="J572"/>
    </row>
    <row r="573" spans="10:10" ht="15" x14ac:dyDescent="0.25">
      <c r="J573"/>
    </row>
    <row r="574" spans="10:10" ht="15" x14ac:dyDescent="0.25">
      <c r="J574"/>
    </row>
    <row r="575" spans="10:10" ht="15" x14ac:dyDescent="0.25">
      <c r="J575"/>
    </row>
    <row r="576" spans="10:10" ht="15" x14ac:dyDescent="0.25">
      <c r="J576"/>
    </row>
    <row r="577" spans="10:10" ht="15" x14ac:dyDescent="0.25">
      <c r="J577"/>
    </row>
    <row r="578" spans="10:10" ht="15" x14ac:dyDescent="0.25">
      <c r="J578"/>
    </row>
    <row r="579" spans="10:10" ht="15" x14ac:dyDescent="0.25">
      <c r="J579"/>
    </row>
    <row r="580" spans="10:10" ht="15" x14ac:dyDescent="0.25">
      <c r="J580"/>
    </row>
    <row r="581" spans="10:10" ht="15" x14ac:dyDescent="0.25">
      <c r="J581"/>
    </row>
    <row r="582" spans="10:10" ht="15" x14ac:dyDescent="0.25">
      <c r="J582"/>
    </row>
    <row r="583" spans="10:10" ht="15" x14ac:dyDescent="0.25">
      <c r="J583"/>
    </row>
    <row r="584" spans="10:10" ht="15" x14ac:dyDescent="0.25">
      <c r="J584"/>
    </row>
    <row r="585" spans="10:10" ht="15" x14ac:dyDescent="0.25">
      <c r="J585"/>
    </row>
    <row r="586" spans="10:10" ht="15" x14ac:dyDescent="0.25">
      <c r="J586"/>
    </row>
    <row r="587" spans="10:10" ht="15" x14ac:dyDescent="0.25">
      <c r="J587"/>
    </row>
    <row r="588" spans="10:10" ht="15" x14ac:dyDescent="0.25">
      <c r="J588"/>
    </row>
    <row r="589" spans="10:10" ht="15" x14ac:dyDescent="0.25">
      <c r="J589"/>
    </row>
    <row r="590" spans="10:10" ht="15" x14ac:dyDescent="0.25">
      <c r="J590"/>
    </row>
    <row r="591" spans="10:10" ht="15" x14ac:dyDescent="0.25">
      <c r="J591"/>
    </row>
    <row r="592" spans="10:10" ht="15" x14ac:dyDescent="0.25">
      <c r="J592"/>
    </row>
    <row r="593" spans="10:10" ht="15" x14ac:dyDescent="0.25">
      <c r="J593"/>
    </row>
    <row r="594" spans="10:10" ht="15" x14ac:dyDescent="0.25">
      <c r="J594"/>
    </row>
    <row r="595" spans="10:10" ht="15" x14ac:dyDescent="0.25">
      <c r="J595"/>
    </row>
    <row r="596" spans="10:10" ht="15" x14ac:dyDescent="0.25">
      <c r="J596"/>
    </row>
    <row r="597" spans="10:10" ht="15" x14ac:dyDescent="0.25">
      <c r="J597"/>
    </row>
    <row r="598" spans="10:10" ht="15" x14ac:dyDescent="0.25">
      <c r="J598"/>
    </row>
    <row r="599" spans="10:10" ht="15" x14ac:dyDescent="0.25">
      <c r="J599"/>
    </row>
    <row r="600" spans="10:10" ht="15" x14ac:dyDescent="0.25">
      <c r="J600"/>
    </row>
    <row r="601" spans="10:10" ht="15" x14ac:dyDescent="0.25">
      <c r="J601"/>
    </row>
    <row r="602" spans="10:10" ht="15" x14ac:dyDescent="0.25">
      <c r="J602"/>
    </row>
    <row r="603" spans="10:10" ht="15" x14ac:dyDescent="0.25">
      <c r="J603"/>
    </row>
    <row r="604" spans="10:10" ht="15" x14ac:dyDescent="0.25">
      <c r="J604"/>
    </row>
    <row r="605" spans="10:10" ht="15" x14ac:dyDescent="0.25">
      <c r="J605"/>
    </row>
    <row r="606" spans="10:10" ht="15" x14ac:dyDescent="0.25">
      <c r="J606"/>
    </row>
    <row r="607" spans="10:10" ht="15" x14ac:dyDescent="0.25">
      <c r="J607"/>
    </row>
    <row r="608" spans="10:10" ht="15" x14ac:dyDescent="0.25">
      <c r="J608"/>
    </row>
    <row r="609" spans="10:10" ht="15" x14ac:dyDescent="0.25">
      <c r="J609"/>
    </row>
    <row r="610" spans="10:10" ht="15" x14ac:dyDescent="0.25">
      <c r="J610"/>
    </row>
    <row r="611" spans="10:10" ht="15" x14ac:dyDescent="0.25">
      <c r="J611"/>
    </row>
    <row r="612" spans="10:10" ht="15" x14ac:dyDescent="0.25">
      <c r="J612"/>
    </row>
    <row r="613" spans="10:10" ht="15" x14ac:dyDescent="0.25">
      <c r="J613"/>
    </row>
    <row r="614" spans="10:10" ht="15" x14ac:dyDescent="0.25">
      <c r="J614"/>
    </row>
    <row r="615" spans="10:10" ht="15" x14ac:dyDescent="0.25">
      <c r="J615"/>
    </row>
    <row r="616" spans="10:10" ht="15" x14ac:dyDescent="0.25">
      <c r="J616"/>
    </row>
    <row r="617" spans="10:10" ht="15" x14ac:dyDescent="0.25">
      <c r="J617"/>
    </row>
    <row r="618" spans="10:10" ht="15" x14ac:dyDescent="0.25">
      <c r="J618"/>
    </row>
    <row r="619" spans="10:10" ht="15" x14ac:dyDescent="0.25">
      <c r="J619"/>
    </row>
    <row r="620" spans="10:10" ht="15" x14ac:dyDescent="0.25">
      <c r="J620"/>
    </row>
    <row r="621" spans="10:10" ht="15" x14ac:dyDescent="0.25">
      <c r="J621"/>
    </row>
    <row r="622" spans="10:10" ht="15" x14ac:dyDescent="0.25">
      <c r="J622"/>
    </row>
    <row r="623" spans="10:10" ht="15" x14ac:dyDescent="0.25">
      <c r="J623"/>
    </row>
    <row r="624" spans="10:10" ht="15" x14ac:dyDescent="0.25">
      <c r="J624"/>
    </row>
    <row r="625" spans="10:10" ht="15" x14ac:dyDescent="0.25">
      <c r="J625"/>
    </row>
    <row r="626" spans="10:10" ht="15" x14ac:dyDescent="0.25">
      <c r="J626"/>
    </row>
    <row r="627" spans="10:10" ht="15" x14ac:dyDescent="0.25">
      <c r="J627"/>
    </row>
    <row r="628" spans="10:10" ht="15" x14ac:dyDescent="0.25">
      <c r="J628"/>
    </row>
    <row r="629" spans="10:10" ht="15" x14ac:dyDescent="0.25">
      <c r="J629"/>
    </row>
    <row r="630" spans="10:10" ht="15" x14ac:dyDescent="0.25">
      <c r="J630"/>
    </row>
    <row r="631" spans="10:10" ht="15" x14ac:dyDescent="0.25">
      <c r="J631"/>
    </row>
    <row r="632" spans="10:10" ht="15" x14ac:dyDescent="0.25">
      <c r="J632"/>
    </row>
    <row r="633" spans="10:10" ht="15" x14ac:dyDescent="0.25">
      <c r="J633"/>
    </row>
    <row r="634" spans="10:10" ht="15" x14ac:dyDescent="0.25">
      <c r="J634"/>
    </row>
    <row r="635" spans="10:10" ht="15" x14ac:dyDescent="0.25">
      <c r="J635"/>
    </row>
    <row r="636" spans="10:10" ht="15" x14ac:dyDescent="0.25">
      <c r="J636"/>
    </row>
    <row r="637" spans="10:10" ht="15" x14ac:dyDescent="0.25">
      <c r="J637"/>
    </row>
    <row r="638" spans="10:10" ht="15" x14ac:dyDescent="0.25">
      <c r="J638"/>
    </row>
    <row r="639" spans="10:10" ht="15" x14ac:dyDescent="0.25">
      <c r="J639"/>
    </row>
    <row r="640" spans="10:10" ht="15" x14ac:dyDescent="0.25">
      <c r="J640"/>
    </row>
    <row r="641" spans="10:10" ht="15" x14ac:dyDescent="0.25">
      <c r="J641"/>
    </row>
    <row r="642" spans="10:10" ht="15" x14ac:dyDescent="0.25">
      <c r="J642"/>
    </row>
    <row r="643" spans="10:10" ht="15" x14ac:dyDescent="0.25">
      <c r="J643"/>
    </row>
    <row r="644" spans="10:10" ht="15" x14ac:dyDescent="0.25">
      <c r="J644"/>
    </row>
    <row r="645" spans="10:10" ht="15" x14ac:dyDescent="0.25">
      <c r="J645"/>
    </row>
    <row r="646" spans="10:10" ht="15" x14ac:dyDescent="0.25">
      <c r="J646"/>
    </row>
    <row r="647" spans="10:10" ht="15" x14ac:dyDescent="0.25">
      <c r="J647"/>
    </row>
    <row r="648" spans="10:10" ht="15" x14ac:dyDescent="0.25">
      <c r="J648"/>
    </row>
    <row r="649" spans="10:10" ht="15" x14ac:dyDescent="0.25">
      <c r="J649"/>
    </row>
    <row r="650" spans="10:10" ht="15" x14ac:dyDescent="0.25">
      <c r="J650"/>
    </row>
    <row r="651" spans="10:10" ht="15" x14ac:dyDescent="0.25">
      <c r="J651"/>
    </row>
    <row r="652" spans="10:10" ht="15" x14ac:dyDescent="0.25">
      <c r="J652"/>
    </row>
    <row r="653" spans="10:10" ht="15" x14ac:dyDescent="0.25">
      <c r="J653"/>
    </row>
    <row r="654" spans="10:10" ht="15" x14ac:dyDescent="0.25">
      <c r="J654"/>
    </row>
    <row r="655" spans="10:10" ht="15" x14ac:dyDescent="0.25">
      <c r="J655"/>
    </row>
    <row r="656" spans="10:10" ht="15" x14ac:dyDescent="0.25">
      <c r="J656"/>
    </row>
    <row r="657" spans="10:10" ht="15" x14ac:dyDescent="0.25">
      <c r="J657"/>
    </row>
    <row r="658" spans="10:10" ht="15" x14ac:dyDescent="0.25">
      <c r="J658"/>
    </row>
    <row r="659" spans="10:10" ht="15" x14ac:dyDescent="0.25">
      <c r="J659"/>
    </row>
    <row r="660" spans="10:10" ht="15" x14ac:dyDescent="0.25">
      <c r="J660"/>
    </row>
    <row r="661" spans="10:10" ht="15" x14ac:dyDescent="0.25">
      <c r="J661"/>
    </row>
    <row r="662" spans="10:10" ht="15" x14ac:dyDescent="0.25">
      <c r="J662"/>
    </row>
    <row r="663" spans="10:10" ht="15" x14ac:dyDescent="0.25">
      <c r="J663"/>
    </row>
    <row r="664" spans="10:10" ht="15" x14ac:dyDescent="0.25">
      <c r="J664"/>
    </row>
    <row r="665" spans="10:10" ht="15" x14ac:dyDescent="0.25">
      <c r="J665"/>
    </row>
    <row r="666" spans="10:10" ht="15" x14ac:dyDescent="0.25">
      <c r="J666"/>
    </row>
    <row r="667" spans="10:10" ht="15" x14ac:dyDescent="0.25">
      <c r="J667"/>
    </row>
    <row r="668" spans="10:10" ht="15" x14ac:dyDescent="0.25">
      <c r="J668"/>
    </row>
    <row r="669" spans="10:10" ht="15" x14ac:dyDescent="0.25">
      <c r="J669"/>
    </row>
    <row r="670" spans="10:10" ht="15" x14ac:dyDescent="0.25">
      <c r="J670"/>
    </row>
    <row r="671" spans="10:10" ht="15" x14ac:dyDescent="0.25">
      <c r="J671"/>
    </row>
    <row r="672" spans="10:10" ht="15" x14ac:dyDescent="0.25">
      <c r="J672"/>
    </row>
    <row r="673" spans="10:10" ht="15" x14ac:dyDescent="0.25">
      <c r="J673"/>
    </row>
    <row r="674" spans="10:10" ht="15" x14ac:dyDescent="0.25">
      <c r="J674"/>
    </row>
    <row r="675" spans="10:10" ht="15" x14ac:dyDescent="0.25">
      <c r="J675"/>
    </row>
    <row r="676" spans="10:10" ht="15" x14ac:dyDescent="0.25">
      <c r="J676"/>
    </row>
    <row r="677" spans="10:10" ht="15" x14ac:dyDescent="0.25">
      <c r="J677"/>
    </row>
    <row r="678" spans="10:10" ht="15" x14ac:dyDescent="0.25">
      <c r="J678"/>
    </row>
    <row r="679" spans="10:10" ht="15" x14ac:dyDescent="0.25">
      <c r="J679"/>
    </row>
    <row r="680" spans="10:10" ht="15" x14ac:dyDescent="0.25">
      <c r="J680"/>
    </row>
    <row r="681" spans="10:10" ht="15" x14ac:dyDescent="0.25">
      <c r="J681"/>
    </row>
    <row r="682" spans="10:10" ht="15" x14ac:dyDescent="0.25">
      <c r="J682"/>
    </row>
    <row r="683" spans="10:10" ht="15" x14ac:dyDescent="0.25">
      <c r="J683"/>
    </row>
    <row r="684" spans="10:10" ht="15" x14ac:dyDescent="0.25">
      <c r="J684"/>
    </row>
    <row r="685" spans="10:10" ht="15" x14ac:dyDescent="0.25">
      <c r="J685"/>
    </row>
    <row r="686" spans="10:10" ht="15" x14ac:dyDescent="0.25">
      <c r="J686"/>
    </row>
    <row r="687" spans="10:10" ht="15" x14ac:dyDescent="0.25">
      <c r="J687"/>
    </row>
    <row r="688" spans="10:10" ht="15" x14ac:dyDescent="0.25">
      <c r="J688"/>
    </row>
    <row r="689" spans="10:10" ht="15" x14ac:dyDescent="0.25">
      <c r="J689"/>
    </row>
    <row r="690" spans="10:10" ht="15" x14ac:dyDescent="0.25">
      <c r="J690"/>
    </row>
    <row r="691" spans="10:10" ht="15" x14ac:dyDescent="0.25">
      <c r="J691"/>
    </row>
    <row r="692" spans="10:10" ht="15" x14ac:dyDescent="0.25">
      <c r="J692"/>
    </row>
    <row r="693" spans="10:10" ht="15" x14ac:dyDescent="0.25">
      <c r="J693"/>
    </row>
    <row r="694" spans="10:10" ht="15" x14ac:dyDescent="0.25">
      <c r="J694"/>
    </row>
    <row r="695" spans="10:10" ht="15" x14ac:dyDescent="0.25">
      <c r="J695"/>
    </row>
    <row r="696" spans="10:10" ht="15" x14ac:dyDescent="0.25">
      <c r="J696"/>
    </row>
    <row r="697" spans="10:10" ht="15" x14ac:dyDescent="0.25">
      <c r="J697"/>
    </row>
  </sheetData>
  <pageMargins left="0.39370078740157483" right="0.39370078740157483" top="0.59055118110236227" bottom="0.47244094488188981" header="0.31496062992125984" footer="0.31496062992125984"/>
  <pageSetup paperSize="9" scale="77" fitToHeight="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2025-08-29T09:30:04Z</dcterms:modified>
</cp:coreProperties>
</file>