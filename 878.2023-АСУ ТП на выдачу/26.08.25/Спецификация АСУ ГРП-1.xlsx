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" i="1" l="1"/>
  <c r="H64" i="1"/>
  <c r="H63" i="1"/>
  <c r="H60" i="1"/>
  <c r="H59" i="1"/>
  <c r="H58" i="1"/>
  <c r="H47" i="1"/>
  <c r="H45" i="1"/>
  <c r="H44" i="1"/>
  <c r="H37" i="1"/>
  <c r="H36" i="1"/>
  <c r="H35" i="1"/>
  <c r="H34" i="1"/>
  <c r="H33" i="1"/>
  <c r="H32" i="1"/>
  <c r="H31" i="1"/>
  <c r="H30" i="1"/>
  <c r="H29" i="1"/>
  <c r="H28" i="1"/>
  <c r="H27" i="1"/>
  <c r="H26" i="1"/>
  <c r="H23" i="1"/>
  <c r="H24" i="1"/>
  <c r="H25" i="1"/>
  <c r="H22" i="1"/>
  <c r="H21" i="1"/>
  <c r="H20" i="1"/>
  <c r="H19" i="1"/>
  <c r="H18" i="1"/>
  <c r="H17" i="1"/>
  <c r="H16" i="1"/>
  <c r="H15" i="1"/>
  <c r="H14" i="1"/>
  <c r="H13" i="1"/>
  <c r="H12" i="1"/>
  <c r="H10" i="1"/>
  <c r="H11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<sst xmlns="http://schemas.openxmlformats.org/spreadsheetml/2006/main" count="321" uniqueCount="180">
  <si>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</si>
  <si>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</si>
  <si>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</si>
  <si>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</si>
  <si>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</si>
  <si>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</si>
  <si>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</si>
  <si>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</si>
  <si>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</si>
  <si>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</si>
  <si>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</si>
  <si>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</si>
  <si>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</si>
  <si>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</si>
  <si>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</si>
  <si>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</si>
  <si>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</si>
  <si>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</si>
  <si>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</si>
  <si>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</si>
  <si>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</si>
  <si>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</si>
  <si>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</si>
  <si>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</si>
  <si>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</si>
  <si>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</si>
  <si>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</si>
  <si>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</si>
  <si>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</si>
  <si>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</si>
  <si>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</si>
  <si>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</si>
  <si>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</si>
  <si>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</si>
  <si>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</si>
  <si>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</si>
  <si>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</si>
  <si>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</si>
  <si>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</si>
  <si>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</si>
  <si>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</si>
  <si>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</si>
  <si>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</si>
  <si>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</si>
  <si>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</si>
  <si>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</si>
  <si>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</si>
  <si>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</si>
  <si>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</si>
  <si>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</si>
  <si>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</si>
  <si>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</si>
  <si>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</si>
  <si>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</si>
  <si>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</si>
  <si>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</si>
  <si>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</si>
  <si>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</si>
  <si>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</si>
  <si>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</si>
  <si>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</si>
  <si>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</si>
  <si>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</si>
  <si>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</si>
  <si>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</si>
  <si>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</si>
  <si>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</si>
  <si>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</si>
  <si>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</si>
  <si>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</si>
  <si>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</si>
  <si>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</si>
  <si>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</si>
  <si>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</si>
  <si>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</si>
  <si>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</si>
  <si>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</si>
  <si>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</si>
  <si>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</si>
  <si>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</si>
  <si>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</si>
  <si>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</si>
  <si>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</si>
  <si>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</si>
  <si>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</si>
  <si>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</si>
  <si>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</si>
  <si>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</si>
  <si>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</si>
  <si>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</si>
  <si>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</si>
  <si>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</si>
  <si>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</si>
  <si>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</si>
  <si>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</si>
  <si>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</si>
  <si>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</si>
  <si>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</si>
  <si>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</si>
  <si>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</si>
  <si>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</si>
  <si>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</si>
  <si>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</si>
  <si>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</si>
  <si>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</si>
  <si>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</si>
  <si>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</si>
  <si>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</si>
  <si>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</si>
  <si>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</si>
  <si>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</si>
  <si>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</si>
  <si>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</si>
  <si>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</si>
  <si>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</si>
  <si>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</si>
  <si>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АСУ ГРП1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</si>
  <si>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</si>
  <si>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</si>
  <si>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</si>
  <si>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</si>
  <si>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</si>
  <si>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</si>
  <si>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</si>
  <si>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</si>
  <si>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</si>
  <si>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</si>
  <si>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</si>
  <si>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</si>
  <si>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</si>
  <si>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</si>
  <si>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</si>
  <si>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</si>
  <si>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>BBT30-11-3-22-K02</t>
  </si>
  <si>
    <t>Кнопка управления D8-11 d=22мм 1NO+1NC черная</t>
  </si>
  <si>
    <t>Цена б.НДС</t>
  </si>
  <si>
    <t>Сумма б.НДС</t>
  </si>
  <si>
    <t>13336.66</t>
  </si>
  <si>
    <t>31500.62</t>
  </si>
  <si>
    <t>20219.90</t>
  </si>
  <si>
    <t>16230.47</t>
  </si>
  <si>
    <t>13856.99</t>
  </si>
  <si>
    <t>8312.18</t>
  </si>
  <si>
    <t>7881.08</t>
  </si>
  <si>
    <t>4050.05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</si>
  <si>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</si>
  <si>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</si>
  <si>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</si>
  <si>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</si>
  <si>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</si>
  <si>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</si>
  <si>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</si>
  <si>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</si>
  <si>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</si>
  <si>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458.33</t>
  </si>
  <si>
    <t>213.21</t>
  </si>
  <si>
    <t>228.0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</si>
  <si>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</si>
  <si>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</si>
  <si>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</si>
  <si>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</si>
  <si>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</si>
  <si>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</si>
  <si>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</si>
  <si>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</si>
  <si>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</si>
  <si>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</si>
  <si>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</si>
  <si>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</si>
  <si>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</si>
  <si>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</si>
  <si>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</si>
  <si>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</si>
  <si>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1320.00</t>
  </si>
  <si>
    <t>37.53</t>
  </si>
  <si>
    <t>431.70</t>
  </si>
  <si>
    <t>33.33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</si>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</sst>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5"/>
  <sheetViews>
    <sheetView tabSelected="1" topLeftCell="A37" zoomScaleNormal="100" workbookViewId="0">
      <selection activeCell="C48" sqref="C48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6" style="10" customWidth="1"/>
    <col min="8" max="8" width="13.109375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135</v>
      </c>
      <c r="H1" s="8" t="s">
        <v>136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3">
      <c r="A3" s="2">
        <v>1</v>
      </c>
      <c r="B3" s="11" t="s">
        <v>116</v>
      </c>
      <c r="C3" s="12"/>
      <c r="D3" s="12"/>
      <c r="E3" s="12"/>
      <c r="F3" s="12">
        <v>1</v>
      </c>
      <c r="G3" s="8"/>
      <c r="H3" s="8"/>
    </row>
    <row r="4" spans="1:8" s="1" customFormat="1" x14ac:dyDescent="0.3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29" t="s">
        <v>137</v>
      </c>
      <c r="H4" s="27" t="e">
        <f>G4*F4</f>
        <v>#VALUE!</v>
      </c>
    </row>
    <row r="5" spans="1:8" s="1" customFormat="1" x14ac:dyDescent="0.3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29" t="s">
        <v>138</v>
      </c>
      <c r="H5" s="27" t="e">
        <f t="shared" ref="H5:H10" si="0">G5*F5</f>
        <v>#VALUE!</v>
      </c>
    </row>
    <row r="6" spans="1:8" s="1" customFormat="1" x14ac:dyDescent="0.3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29" t="s">
        <v>139</v>
      </c>
      <c r="H6" s="27" t="e">
        <f t="shared" si="0"/>
        <v>#VALUE!</v>
      </c>
    </row>
    <row r="7" spans="1:8" s="1" customFormat="1" x14ac:dyDescent="0.3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29" t="s">
        <v>140</v>
      </c>
      <c r="H7" s="27" t="e">
        <f t="shared" si="0"/>
        <v>#VALUE!</v>
      </c>
    </row>
    <row r="8" spans="1:8" s="1" customFormat="1" x14ac:dyDescent="0.3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29" t="s">
        <v>141</v>
      </c>
      <c r="H8" s="27" t="e">
        <f t="shared" si="0"/>
        <v>#VALUE!</v>
      </c>
    </row>
    <row r="9" spans="1:8" s="1" customFormat="1" x14ac:dyDescent="0.3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29" t="s">
        <v>142</v>
      </c>
      <c r="H9" s="27" t="e">
        <f t="shared" si="0"/>
        <v>#VALUE!</v>
      </c>
    </row>
    <row r="10" spans="1:8" s="1" customFormat="1" x14ac:dyDescent="0.3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29" t="s">
        <v>144</v>
      </c>
      <c r="H10" s="27" t="e">
        <f t="shared" si="0"/>
        <v>#VALUE!</v>
      </c>
    </row>
    <row r="11" spans="1:8" s="1" customFormat="1" x14ac:dyDescent="0.3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29" t="s">
        <v>143</v>
      </c>
      <c r="H11" s="27" t="e">
        <f t="shared" ref="H11:H37" si="1">G11*F11</f>
        <v>#VALUE!</v>
      </c>
    </row>
    <row r="12" spans="1:8" s="1" customFormat="1" x14ac:dyDescent="0.3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29" t="s">
        <v>145</v>
      </c>
      <c r="H12" s="27" t="e">
        <f t="shared" si="1"/>
        <v>#VALUE!</v>
      </c>
    </row>
    <row r="13" spans="1:8" s="1" customFormat="1" x14ac:dyDescent="0.3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29" t="s">
        <v>146</v>
      </c>
      <c r="H13" s="27" t="e">
        <f t="shared" si="1"/>
        <v>#VALUE!</v>
      </c>
    </row>
    <row r="14" spans="1:8" s="1" customFormat="1" x14ac:dyDescent="0.3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2</v>
      </c>
      <c r="G14" s="29" t="s">
        <v>147</v>
      </c>
      <c r="H14" s="27" t="e">
        <f t="shared" si="1"/>
        <v>#VALUE!</v>
      </c>
    </row>
    <row r="15" spans="1:8" s="1" customFormat="1" ht="27.6" x14ac:dyDescent="0.3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29" t="s">
        <v>148</v>
      </c>
      <c r="H15" s="27" t="e">
        <f t="shared" si="1"/>
        <v>#VALUE!</v>
      </c>
    </row>
    <row r="16" spans="1:8" s="1" customFormat="1" x14ac:dyDescent="0.3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29" t="s">
        <v>149</v>
      </c>
      <c r="H16" s="27" t="e">
        <f t="shared" si="1"/>
        <v>#VALUE!</v>
      </c>
    </row>
    <row r="17" spans="1:8" s="1" customFormat="1" x14ac:dyDescent="0.3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29" t="s">
        <v>150</v>
      </c>
      <c r="H17" s="27" t="e">
        <f t="shared" si="1"/>
        <v>#VALUE!</v>
      </c>
    </row>
    <row r="18" spans="1:8" s="1" customFormat="1" ht="27.6" x14ac:dyDescent="0.3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29" t="s">
        <v>151</v>
      </c>
      <c r="H18" s="27" t="e">
        <f t="shared" si="1"/>
        <v>#VALUE!</v>
      </c>
    </row>
    <row r="19" spans="1:8" s="1" customFormat="1" x14ac:dyDescent="0.3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29" t="s">
        <v>152</v>
      </c>
      <c r="H19" s="27" t="e">
        <f t="shared" si="1"/>
        <v>#VALUE!</v>
      </c>
    </row>
    <row r="20" spans="1:8" s="1" customFormat="1" x14ac:dyDescent="0.3">
      <c r="A20" s="15"/>
      <c r="B20" s="13" t="s">
        <v>112</v>
      </c>
      <c r="C20" s="3" t="s">
        <v>111</v>
      </c>
      <c r="D20" s="26" t="s">
        <v>33</v>
      </c>
      <c r="E20" s="3" t="s">
        <v>9</v>
      </c>
      <c r="F20" s="3">
        <v>2</v>
      </c>
      <c r="G20" s="29" t="s">
        <v>153</v>
      </c>
      <c r="H20" s="27" t="e">
        <f t="shared" si="1"/>
        <v>#VALUE!</v>
      </c>
    </row>
    <row r="21" spans="1:8" s="1" customFormat="1" x14ac:dyDescent="0.3">
      <c r="A21" s="15"/>
      <c r="B21" s="13" t="s">
        <v>117</v>
      </c>
      <c r="C21" s="26" t="s">
        <v>118</v>
      </c>
      <c r="D21" s="26" t="s">
        <v>33</v>
      </c>
      <c r="E21" s="26" t="s">
        <v>9</v>
      </c>
      <c r="F21" s="26">
        <v>1</v>
      </c>
      <c r="G21" s="29" t="s">
        <v>154</v>
      </c>
      <c r="H21" s="27" t="e">
        <f t="shared" si="1"/>
        <v>#VALUE!</v>
      </c>
    </row>
    <row r="22" spans="1:8" s="1" customFormat="1" x14ac:dyDescent="0.3">
      <c r="A22" s="15"/>
      <c r="B22" s="13" t="s">
        <v>113</v>
      </c>
      <c r="C22" s="3" t="s">
        <v>114</v>
      </c>
      <c r="D22" s="26" t="s">
        <v>33</v>
      </c>
      <c r="E22" s="3" t="s">
        <v>9</v>
      </c>
      <c r="F22" s="3">
        <v>15</v>
      </c>
      <c r="G22" s="29" t="s">
        <v>155</v>
      </c>
      <c r="H22" s="27" t="e">
        <f t="shared" si="1"/>
        <v>#VALUE!</v>
      </c>
    </row>
    <row r="23" spans="1:8" s="1" customFormat="1" x14ac:dyDescent="0.3">
      <c r="A23" s="15"/>
      <c r="B23" s="13" t="s">
        <v>125</v>
      </c>
      <c r="C23" s="26" t="s">
        <v>124</v>
      </c>
      <c r="D23" s="26" t="s">
        <v>33</v>
      </c>
      <c r="E23" s="26" t="s">
        <v>9</v>
      </c>
      <c r="F23" s="26">
        <v>2</v>
      </c>
      <c r="G23" s="29">
        <v>909.33</v>
      </c>
      <c r="H23" s="27">
        <f t="shared" si="1"/>
        <v>1818.66</v>
      </c>
    </row>
    <row r="24" spans="1:8" s="1" customFormat="1" x14ac:dyDescent="0.3">
      <c r="A24" s="15"/>
      <c r="B24" s="13" t="s">
        <v>127</v>
      </c>
      <c r="C24" s="26" t="s">
        <v>126</v>
      </c>
      <c r="D24" s="26" t="s">
        <v>33</v>
      </c>
      <c r="E24" s="26" t="s">
        <v>9</v>
      </c>
      <c r="F24" s="26">
        <v>2</v>
      </c>
      <c r="G24" s="29" t="s">
        <v>156</v>
      </c>
      <c r="H24" s="27" t="e">
        <f t="shared" si="1"/>
        <v>#VALUE!</v>
      </c>
    </row>
    <row r="25" spans="1:8" s="1" customFormat="1" x14ac:dyDescent="0.3">
      <c r="A25" s="15"/>
      <c r="B25" s="13" t="s">
        <v>128</v>
      </c>
      <c r="C25" s="26" t="s">
        <v>129</v>
      </c>
      <c r="D25" s="26" t="s">
        <v>33</v>
      </c>
      <c r="E25" s="26" t="s">
        <v>9</v>
      </c>
      <c r="F25" s="26">
        <v>1</v>
      </c>
      <c r="G25" s="29">
        <v>296.88</v>
      </c>
      <c r="H25" s="27">
        <f t="shared" si="1"/>
        <v>296.88</v>
      </c>
    </row>
    <row r="26" spans="1:8" s="1" customFormat="1" x14ac:dyDescent="0.3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29" t="s">
        <v>157</v>
      </c>
      <c r="H26" s="27" t="e">
        <f t="shared" si="1"/>
        <v>#VALUE!</v>
      </c>
    </row>
    <row r="27" spans="1:8" s="1" customFormat="1" x14ac:dyDescent="0.3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4</v>
      </c>
      <c r="G27" s="29" t="s">
        <v>158</v>
      </c>
      <c r="H27" s="27" t="e">
        <f t="shared" si="1"/>
        <v>#VALUE!</v>
      </c>
    </row>
    <row r="28" spans="1:8" s="1" customFormat="1" x14ac:dyDescent="0.3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29" t="s">
        <v>159</v>
      </c>
      <c r="H28" s="27" t="e">
        <f t="shared" si="1"/>
        <v>#VALUE!</v>
      </c>
    </row>
    <row r="29" spans="1:8" s="1" customFormat="1" x14ac:dyDescent="0.3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29" t="s">
        <v>160</v>
      </c>
      <c r="H29" s="27" t="e">
        <f t="shared" si="1"/>
        <v>#VALUE!</v>
      </c>
    </row>
    <row r="30" spans="1:8" s="1" customFormat="1" x14ac:dyDescent="0.3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29" t="s">
        <v>161</v>
      </c>
      <c r="H30" s="27" t="e">
        <f t="shared" si="1"/>
        <v>#VALUE!</v>
      </c>
    </row>
    <row r="31" spans="1:8" s="1" customFormat="1" x14ac:dyDescent="0.3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29" t="s">
        <v>162</v>
      </c>
      <c r="H31" s="27" t="e">
        <f t="shared" si="1"/>
        <v>#VALUE!</v>
      </c>
    </row>
    <row r="32" spans="1:8" s="1" customFormat="1" ht="23.25" customHeight="1" x14ac:dyDescent="0.3">
      <c r="A32" s="15"/>
      <c r="B32" s="13" t="s">
        <v>103</v>
      </c>
      <c r="C32" s="20" t="s">
        <v>104</v>
      </c>
      <c r="D32" s="20" t="s">
        <v>101</v>
      </c>
      <c r="E32" s="3" t="s">
        <v>9</v>
      </c>
      <c r="F32" s="3">
        <v>1</v>
      </c>
      <c r="G32" s="29" t="s">
        <v>163</v>
      </c>
      <c r="H32" s="27" t="e">
        <f t="shared" si="1"/>
        <v>#VALUE!</v>
      </c>
    </row>
    <row r="33" spans="1:8" s="1" customFormat="1" x14ac:dyDescent="0.3">
      <c r="A33" s="15"/>
      <c r="B33" s="13" t="s">
        <v>121</v>
      </c>
      <c r="C33" s="3" t="s">
        <v>120</v>
      </c>
      <c r="D33" s="3" t="s">
        <v>119</v>
      </c>
      <c r="E33" s="3" t="s">
        <v>9</v>
      </c>
      <c r="F33" s="3">
        <v>1</v>
      </c>
      <c r="G33" s="29" t="s">
        <v>164</v>
      </c>
      <c r="H33" s="27" t="e">
        <f t="shared" si="1"/>
        <v>#VALUE!</v>
      </c>
    </row>
    <row r="34" spans="1:8" s="1" customFormat="1" x14ac:dyDescent="0.3">
      <c r="A34" s="15"/>
      <c r="B34" s="13" t="s">
        <v>134</v>
      </c>
      <c r="C34" s="26" t="s">
        <v>133</v>
      </c>
      <c r="D34" s="26" t="s">
        <v>33</v>
      </c>
      <c r="E34" s="26" t="s">
        <v>9</v>
      </c>
      <c r="F34" s="26">
        <v>1</v>
      </c>
      <c r="G34" s="29" t="s">
        <v>165</v>
      </c>
      <c r="H34" s="27" t="e">
        <f t="shared" si="1"/>
        <v>#VALUE!</v>
      </c>
    </row>
    <row r="35" spans="1:8" s="1" customFormat="1" ht="19.5" customHeight="1" x14ac:dyDescent="0.3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29" t="s">
        <v>166</v>
      </c>
      <c r="H35" s="27" t="e">
        <f t="shared" si="1"/>
        <v>#VALUE!</v>
      </c>
    </row>
    <row r="36" spans="1:8" s="1" customFormat="1" x14ac:dyDescent="0.3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29" t="s">
        <v>167</v>
      </c>
      <c r="H36" s="27" t="e">
        <f t="shared" si="1"/>
        <v>#VALUE!</v>
      </c>
    </row>
    <row r="37" spans="1:8" s="1" customFormat="1" ht="16.5" customHeight="1" x14ac:dyDescent="0.3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29" t="s">
        <v>168</v>
      </c>
      <c r="H37" s="27" t="e">
        <f t="shared" si="1"/>
        <v>#VALUE!</v>
      </c>
    </row>
    <row r="38" spans="1:8" s="1" customFormat="1" x14ac:dyDescent="0.3">
      <c r="A38" s="15"/>
      <c r="B38" s="13" t="s">
        <v>94</v>
      </c>
      <c r="C38" s="3" t="s">
        <v>93</v>
      </c>
      <c r="D38" s="3" t="s">
        <v>47</v>
      </c>
      <c r="E38" s="3" t="s">
        <v>9</v>
      </c>
      <c r="F38" s="3">
        <v>2</v>
      </c>
      <c r="G38" s="30"/>
      <c r="H38" s="30"/>
    </row>
    <row r="39" spans="1:8" s="1" customFormat="1" x14ac:dyDescent="0.3">
      <c r="A39" s="15"/>
      <c r="B39" s="13" t="s">
        <v>95</v>
      </c>
      <c r="C39" s="3" t="s">
        <v>96</v>
      </c>
      <c r="D39" s="3" t="s">
        <v>47</v>
      </c>
      <c r="E39" s="3" t="s">
        <v>9</v>
      </c>
      <c r="F39" s="3">
        <v>2</v>
      </c>
      <c r="G39" s="30"/>
      <c r="H39" s="30"/>
    </row>
    <row r="40" spans="1:8" s="1" customFormat="1" x14ac:dyDescent="0.3">
      <c r="A40" s="15"/>
      <c r="B40" s="13" t="s">
        <v>91</v>
      </c>
      <c r="C40" s="3" t="s">
        <v>92</v>
      </c>
      <c r="D40" s="3" t="s">
        <v>47</v>
      </c>
      <c r="E40" s="3" t="s">
        <v>9</v>
      </c>
      <c r="F40" s="3">
        <v>1</v>
      </c>
      <c r="G40" s="30"/>
      <c r="H40" s="30"/>
    </row>
    <row r="41" spans="1:8" s="1" customFormat="1" x14ac:dyDescent="0.3">
      <c r="A41" s="15"/>
      <c r="B41" s="13" t="s">
        <v>91</v>
      </c>
      <c r="C41" s="3" t="s">
        <v>90</v>
      </c>
      <c r="D41" s="3" t="s">
        <v>47</v>
      </c>
      <c r="E41" s="3" t="s">
        <v>9</v>
      </c>
      <c r="F41" s="3">
        <v>1</v>
      </c>
      <c r="G41" s="30"/>
      <c r="H41" s="30"/>
    </row>
    <row r="42" spans="1:8" s="1" customFormat="1" x14ac:dyDescent="0.3">
      <c r="A42" s="15"/>
      <c r="B42" s="13" t="s">
        <v>177</v>
      </c>
      <c r="C42" s="26" t="s">
        <v>178</v>
      </c>
      <c r="D42" s="26" t="s">
        <v>47</v>
      </c>
      <c r="E42" s="26" t="s">
        <v>9</v>
      </c>
      <c r="F42" s="26">
        <v>1</v>
      </c>
      <c r="G42" s="30"/>
      <c r="H42" s="30"/>
    </row>
    <row r="43" spans="1:8" s="1" customFormat="1" x14ac:dyDescent="0.3">
      <c r="A43" s="15"/>
      <c r="B43" s="13" t="s">
        <v>177</v>
      </c>
      <c r="C43" s="26" t="s">
        <v>179</v>
      </c>
      <c r="D43" s="26" t="s">
        <v>47</v>
      </c>
      <c r="E43" s="26" t="s">
        <v>9</v>
      </c>
      <c r="F43" s="26">
        <v>3</v>
      </c>
      <c r="G43" s="30"/>
      <c r="H43" s="30"/>
    </row>
    <row r="44" spans="1:8" s="1" customFormat="1" x14ac:dyDescent="0.3">
      <c r="A44" s="15"/>
      <c r="B44" s="13" t="s">
        <v>99</v>
      </c>
      <c r="C44" s="3" t="s">
        <v>100</v>
      </c>
      <c r="D44" s="3" t="s">
        <v>62</v>
      </c>
      <c r="E44" s="3" t="s">
        <v>9</v>
      </c>
      <c r="F44" s="3">
        <v>1</v>
      </c>
      <c r="G44" s="29" t="s">
        <v>169</v>
      </c>
      <c r="H44" s="27" t="e">
        <f t="shared" ref="H44:H45" si="2">G44*F44</f>
        <v>#VALUE!</v>
      </c>
    </row>
    <row r="45" spans="1:8" s="1" customFormat="1" ht="15.75" customHeight="1" x14ac:dyDescent="0.3">
      <c r="A45" s="15"/>
      <c r="B45" s="13" t="s">
        <v>61</v>
      </c>
      <c r="C45" s="3" t="s">
        <v>60</v>
      </c>
      <c r="D45" s="3" t="s">
        <v>62</v>
      </c>
      <c r="E45" s="3" t="s">
        <v>9</v>
      </c>
      <c r="F45" s="3">
        <v>1</v>
      </c>
      <c r="G45" s="29" t="s">
        <v>170</v>
      </c>
      <c r="H45" s="27" t="e">
        <f t="shared" si="2"/>
        <v>#VALUE!</v>
      </c>
    </row>
    <row r="46" spans="1:8" s="1" customFormat="1" x14ac:dyDescent="0.3">
      <c r="A46" s="15"/>
      <c r="B46" s="13" t="s">
        <v>87</v>
      </c>
      <c r="C46" s="3"/>
      <c r="D46" s="3" t="s">
        <v>62</v>
      </c>
      <c r="E46" s="3" t="s">
        <v>9</v>
      </c>
      <c r="F46" s="3">
        <v>2</v>
      </c>
      <c r="G46" s="28"/>
      <c r="H46" s="8"/>
    </row>
    <row r="47" spans="1:8" s="1" customFormat="1" x14ac:dyDescent="0.3">
      <c r="A47" s="15"/>
      <c r="B47" s="13" t="s">
        <v>63</v>
      </c>
      <c r="C47" s="3" t="s">
        <v>64</v>
      </c>
      <c r="D47" s="3" t="s">
        <v>62</v>
      </c>
      <c r="E47" s="3" t="s">
        <v>9</v>
      </c>
      <c r="F47" s="3">
        <v>1</v>
      </c>
      <c r="G47" s="29" t="s">
        <v>171</v>
      </c>
      <c r="H47" s="27" t="e">
        <f t="shared" ref="H47" si="3">G47*F47</f>
        <v>#VALUE!</v>
      </c>
    </row>
    <row r="48" spans="1:8" s="1" customFormat="1" x14ac:dyDescent="0.3">
      <c r="A48" s="15"/>
      <c r="B48" s="13" t="s">
        <v>48</v>
      </c>
      <c r="C48" s="3" t="s">
        <v>49</v>
      </c>
      <c r="D48" s="3" t="s">
        <v>47</v>
      </c>
      <c r="E48" s="3" t="s">
        <v>9</v>
      </c>
      <c r="F48" s="3">
        <v>1</v>
      </c>
      <c r="G48" s="30"/>
      <c r="H48" s="30"/>
    </row>
    <row r="49" spans="1:8" s="1" customFormat="1" x14ac:dyDescent="0.3">
      <c r="A49" s="15"/>
      <c r="B49" s="13" t="s">
        <v>50</v>
      </c>
      <c r="C49" s="3" t="s">
        <v>51</v>
      </c>
      <c r="D49" s="3" t="s">
        <v>47</v>
      </c>
      <c r="E49" s="3" t="s">
        <v>9</v>
      </c>
      <c r="F49" s="3">
        <v>2</v>
      </c>
      <c r="G49" s="30"/>
      <c r="H49" s="30"/>
    </row>
    <row r="50" spans="1:8" s="1" customFormat="1" x14ac:dyDescent="0.3">
      <c r="A50" s="15"/>
      <c r="B50" s="13" t="s">
        <v>52</v>
      </c>
      <c r="C50" s="3" t="s">
        <v>53</v>
      </c>
      <c r="D50" s="3" t="s">
        <v>47</v>
      </c>
      <c r="E50" s="3" t="s">
        <v>9</v>
      </c>
      <c r="F50" s="3">
        <v>2</v>
      </c>
      <c r="G50" s="30"/>
      <c r="H50" s="30"/>
    </row>
    <row r="51" spans="1:8" s="1" customFormat="1" ht="16.2" customHeight="1" x14ac:dyDescent="0.3">
      <c r="A51" s="15"/>
      <c r="B51" s="13" t="s">
        <v>52</v>
      </c>
      <c r="C51" s="3" t="s">
        <v>54</v>
      </c>
      <c r="D51" s="3" t="s">
        <v>47</v>
      </c>
      <c r="E51" s="3" t="s">
        <v>9</v>
      </c>
      <c r="F51" s="3">
        <v>1</v>
      </c>
      <c r="G51" s="30"/>
      <c r="H51" s="30"/>
    </row>
    <row r="52" spans="1:8" s="1" customFormat="1" x14ac:dyDescent="0.3">
      <c r="A52" s="15"/>
      <c r="B52" s="13" t="s">
        <v>89</v>
      </c>
      <c r="C52" s="3" t="s">
        <v>88</v>
      </c>
      <c r="D52" s="3" t="s">
        <v>47</v>
      </c>
      <c r="E52" s="3" t="s">
        <v>9</v>
      </c>
      <c r="F52" s="3">
        <v>2</v>
      </c>
      <c r="G52" s="30"/>
      <c r="H52" s="30"/>
    </row>
    <row r="53" spans="1:8" s="1" customFormat="1" x14ac:dyDescent="0.3">
      <c r="A53" s="15"/>
      <c r="B53" s="13" t="s">
        <v>67</v>
      </c>
      <c r="C53" s="3" t="s">
        <v>68</v>
      </c>
      <c r="D53" s="3" t="s">
        <v>47</v>
      </c>
      <c r="E53" s="3" t="s">
        <v>9</v>
      </c>
      <c r="F53" s="3">
        <v>5</v>
      </c>
      <c r="G53" s="30"/>
      <c r="H53" s="30"/>
    </row>
    <row r="54" spans="1:8" s="1" customFormat="1" x14ac:dyDescent="0.3">
      <c r="A54" s="15"/>
      <c r="B54" s="13" t="s">
        <v>69</v>
      </c>
      <c r="C54" s="3" t="s">
        <v>70</v>
      </c>
      <c r="D54" s="3" t="s">
        <v>47</v>
      </c>
      <c r="E54" s="3" t="s">
        <v>9</v>
      </c>
      <c r="F54" s="3">
        <v>1</v>
      </c>
      <c r="G54" s="30"/>
      <c r="H54" s="30"/>
    </row>
    <row r="55" spans="1:8" s="1" customFormat="1" x14ac:dyDescent="0.3">
      <c r="A55" s="15"/>
      <c r="B55" s="13" t="s">
        <v>71</v>
      </c>
      <c r="C55" s="3" t="s">
        <v>72</v>
      </c>
      <c r="D55" s="3" t="s">
        <v>47</v>
      </c>
      <c r="E55" s="3" t="s">
        <v>9</v>
      </c>
      <c r="F55" s="3">
        <v>1</v>
      </c>
      <c r="G55" s="30"/>
      <c r="H55" s="30"/>
    </row>
    <row r="56" spans="1:8" s="1" customFormat="1" x14ac:dyDescent="0.3">
      <c r="A56" s="15"/>
      <c r="B56" s="13" t="s">
        <v>73</v>
      </c>
      <c r="C56" s="3" t="s">
        <v>74</v>
      </c>
      <c r="D56" s="3" t="s">
        <v>47</v>
      </c>
      <c r="E56" s="3" t="s">
        <v>9</v>
      </c>
      <c r="F56" s="3">
        <v>1</v>
      </c>
      <c r="G56" s="30"/>
      <c r="H56" s="30"/>
    </row>
    <row r="57" spans="1:8" s="1" customFormat="1" x14ac:dyDescent="0.3">
      <c r="A57" s="15"/>
      <c r="B57" s="14" t="s">
        <v>75</v>
      </c>
      <c r="C57" s="3" t="s">
        <v>76</v>
      </c>
      <c r="D57" s="3" t="s">
        <v>47</v>
      </c>
      <c r="E57" s="3" t="s">
        <v>9</v>
      </c>
      <c r="F57" s="3">
        <v>1</v>
      </c>
      <c r="G57" s="30"/>
      <c r="H57" s="30"/>
    </row>
    <row r="58" spans="1:8" s="1" customFormat="1" x14ac:dyDescent="0.3">
      <c r="A58" s="15"/>
      <c r="B58" s="14" t="s">
        <v>79</v>
      </c>
      <c r="C58" s="3" t="s">
        <v>77</v>
      </c>
      <c r="D58" s="3" t="s">
        <v>78</v>
      </c>
      <c r="E58" s="3" t="s">
        <v>9</v>
      </c>
      <c r="F58" s="3">
        <v>27</v>
      </c>
      <c r="G58" s="29" t="s">
        <v>172</v>
      </c>
      <c r="H58" s="27" t="e">
        <f t="shared" ref="H58:H60" si="4">G58*F58</f>
        <v>#VALUE!</v>
      </c>
    </row>
    <row r="59" spans="1:8" s="1" customFormat="1" x14ac:dyDescent="0.3">
      <c r="A59" s="15"/>
      <c r="B59" s="21" t="s">
        <v>122</v>
      </c>
      <c r="C59" s="16" t="s">
        <v>123</v>
      </c>
      <c r="D59" s="26" t="s">
        <v>78</v>
      </c>
      <c r="E59" s="26" t="s">
        <v>9</v>
      </c>
      <c r="F59" s="26">
        <v>17</v>
      </c>
      <c r="G59" s="29" t="s">
        <v>173</v>
      </c>
      <c r="H59" s="27" t="e">
        <f t="shared" si="4"/>
        <v>#VALUE!</v>
      </c>
    </row>
    <row r="60" spans="1:8" s="1" customFormat="1" x14ac:dyDescent="0.3">
      <c r="A60" s="15"/>
      <c r="B60" s="14" t="s">
        <v>80</v>
      </c>
      <c r="C60" s="3" t="s">
        <v>102</v>
      </c>
      <c r="D60" s="3" t="s">
        <v>101</v>
      </c>
      <c r="E60" s="3" t="s">
        <v>9</v>
      </c>
      <c r="F60" s="3">
        <v>92</v>
      </c>
      <c r="G60" s="29" t="s">
        <v>174</v>
      </c>
      <c r="H60" s="27" t="e">
        <f t="shared" si="4"/>
        <v>#VALUE!</v>
      </c>
    </row>
    <row r="61" spans="1:8" s="1" customFormat="1" x14ac:dyDescent="0.3">
      <c r="A61" s="15"/>
      <c r="B61" s="13" t="s">
        <v>98</v>
      </c>
      <c r="C61" s="3" t="s">
        <v>97</v>
      </c>
      <c r="D61" s="3" t="s">
        <v>47</v>
      </c>
      <c r="E61" s="3" t="s">
        <v>9</v>
      </c>
      <c r="F61" s="3">
        <v>2</v>
      </c>
      <c r="G61" s="30"/>
      <c r="H61" s="30"/>
    </row>
    <row r="62" spans="1:8" s="1" customFormat="1" ht="96.6" x14ac:dyDescent="0.3">
      <c r="A62" s="8"/>
      <c r="B62" s="21" t="s">
        <v>132</v>
      </c>
      <c r="C62" s="21"/>
      <c r="D62" s="16" t="s">
        <v>47</v>
      </c>
      <c r="E62" s="16" t="s">
        <v>9</v>
      </c>
      <c r="F62" s="16">
        <v>2</v>
      </c>
      <c r="G62" s="30"/>
      <c r="H62" s="30"/>
    </row>
    <row r="63" spans="1:8" s="1" customFormat="1" x14ac:dyDescent="0.3">
      <c r="A63" s="9"/>
      <c r="B63" s="23" t="s">
        <v>107</v>
      </c>
      <c r="C63" s="22" t="s">
        <v>106</v>
      </c>
      <c r="D63" s="22" t="s">
        <v>8</v>
      </c>
      <c r="E63" s="22" t="s">
        <v>105</v>
      </c>
      <c r="F63" s="22">
        <v>8</v>
      </c>
      <c r="G63" s="29" t="s">
        <v>175</v>
      </c>
      <c r="H63" s="27" t="e">
        <f t="shared" ref="H63:H65" si="5">G63*F63</f>
        <v>#VALUE!</v>
      </c>
    </row>
    <row r="64" spans="1:8" s="1" customFormat="1" x14ac:dyDescent="0.3">
      <c r="A64" s="9"/>
      <c r="B64" s="24" t="s">
        <v>108</v>
      </c>
      <c r="C64" s="24"/>
      <c r="D64" s="24"/>
      <c r="E64" s="25" t="s">
        <v>105</v>
      </c>
      <c r="F64" s="25">
        <v>100</v>
      </c>
      <c r="G64" s="29">
        <v>13</v>
      </c>
      <c r="H64" s="27">
        <f t="shared" si="5"/>
        <v>1300</v>
      </c>
    </row>
    <row r="65" spans="1:10" s="1" customFormat="1" x14ac:dyDescent="0.3">
      <c r="A65" s="9"/>
      <c r="B65" s="24" t="s">
        <v>109</v>
      </c>
      <c r="C65" s="24"/>
      <c r="D65" s="24"/>
      <c r="E65" s="25" t="s">
        <v>110</v>
      </c>
      <c r="F65" s="25">
        <v>50</v>
      </c>
      <c r="G65" s="29" t="s">
        <v>176</v>
      </c>
      <c r="H65" s="27" t="e">
        <f t="shared" si="5"/>
        <v>#VALUE!</v>
      </c>
    </row>
    <row r="66" spans="1:10" s="1" customFormat="1" x14ac:dyDescent="0.3">
      <c r="A66" s="24"/>
      <c r="B66" s="24" t="s">
        <v>130</v>
      </c>
      <c r="C66" s="24"/>
      <c r="D66" s="24"/>
      <c r="E66" s="25" t="s">
        <v>110</v>
      </c>
      <c r="F66" s="25">
        <v>0.5</v>
      </c>
      <c r="G66" s="28"/>
      <c r="H66" s="8"/>
    </row>
    <row r="67" spans="1:10" s="1" customFormat="1" x14ac:dyDescent="0.3">
      <c r="A67" s="24"/>
      <c r="B67" s="24" t="s">
        <v>131</v>
      </c>
      <c r="C67" s="24"/>
      <c r="D67" s="27" t="s">
        <v>33</v>
      </c>
      <c r="E67" s="26" t="s">
        <v>9</v>
      </c>
      <c r="F67" s="26">
        <v>2</v>
      </c>
      <c r="G67" s="31">
        <v>95</v>
      </c>
      <c r="H67" s="8"/>
    </row>
    <row r="68" spans="1:10" s="1" customFormat="1" x14ac:dyDescent="0.3">
      <c r="A68" s="25">
        <v>1</v>
      </c>
      <c r="B68" s="11" t="s">
        <v>115</v>
      </c>
      <c r="C68" s="12"/>
      <c r="D68" s="12"/>
      <c r="E68" s="12"/>
      <c r="F68" s="12">
        <v>1</v>
      </c>
      <c r="G68" s="31"/>
      <c r="H68" s="8"/>
    </row>
    <row r="69" spans="1:10" s="1" customFormat="1" x14ac:dyDescent="0.3">
      <c r="A69" s="24"/>
      <c r="B69" s="13" t="s">
        <v>52</v>
      </c>
      <c r="C69" s="26" t="s">
        <v>53</v>
      </c>
      <c r="D69" s="26" t="s">
        <v>47</v>
      </c>
      <c r="E69" s="26" t="s">
        <v>9</v>
      </c>
      <c r="F69" s="26">
        <v>1</v>
      </c>
      <c r="G69" s="32"/>
      <c r="H69" s="30"/>
    </row>
    <row r="70" spans="1:10" s="1" customFormat="1" x14ac:dyDescent="0.3">
      <c r="A70" s="24"/>
      <c r="B70" s="13" t="s">
        <v>52</v>
      </c>
      <c r="C70" s="26" t="s">
        <v>54</v>
      </c>
      <c r="D70" s="26" t="s">
        <v>47</v>
      </c>
      <c r="E70" s="26" t="s">
        <v>9</v>
      </c>
      <c r="F70" s="26">
        <v>1</v>
      </c>
      <c r="G70" s="32"/>
      <c r="H70" s="30"/>
    </row>
    <row r="71" spans="1:10" s="1" customFormat="1" x14ac:dyDescent="0.3">
      <c r="A71" s="24"/>
      <c r="B71" s="13" t="s">
        <v>69</v>
      </c>
      <c r="C71" s="26" t="s">
        <v>70</v>
      </c>
      <c r="D71" s="26" t="s">
        <v>47</v>
      </c>
      <c r="E71" s="26" t="s">
        <v>9</v>
      </c>
      <c r="F71" s="26">
        <v>1</v>
      </c>
      <c r="G71" s="32"/>
      <c r="H71" s="30"/>
    </row>
    <row r="72" spans="1:10" x14ac:dyDescent="0.3">
      <c r="A72" s="24"/>
      <c r="B72" s="13" t="s">
        <v>71</v>
      </c>
      <c r="C72" s="26" t="s">
        <v>72</v>
      </c>
      <c r="D72" s="26" t="s">
        <v>47</v>
      </c>
      <c r="E72" s="26" t="s">
        <v>9</v>
      </c>
      <c r="F72" s="26">
        <v>1</v>
      </c>
      <c r="G72" s="33"/>
      <c r="H72" s="34"/>
      <c r="J72"/>
    </row>
    <row r="73" spans="1:10" x14ac:dyDescent="0.3">
      <c r="A73" s="24"/>
      <c r="B73" s="13" t="s">
        <v>73</v>
      </c>
      <c r="C73" s="26" t="s">
        <v>74</v>
      </c>
      <c r="D73" s="26" t="s">
        <v>47</v>
      </c>
      <c r="E73" s="26" t="s">
        <v>9</v>
      </c>
      <c r="F73" s="26">
        <v>1</v>
      </c>
      <c r="G73" s="33"/>
      <c r="H73" s="34"/>
      <c r="J73"/>
    </row>
    <row r="74" spans="1:10" x14ac:dyDescent="0.3">
      <c r="A74" s="24"/>
      <c r="B74" s="21" t="s">
        <v>75</v>
      </c>
      <c r="C74" s="26" t="s">
        <v>76</v>
      </c>
      <c r="D74" s="26" t="s">
        <v>47</v>
      </c>
      <c r="E74" s="26" t="s">
        <v>9</v>
      </c>
      <c r="F74" s="26">
        <v>1</v>
      </c>
      <c r="G74" s="33"/>
      <c r="H74" s="34"/>
      <c r="J74"/>
    </row>
    <row r="75" spans="1:10" x14ac:dyDescent="0.3">
      <c r="G75" s="17"/>
      <c r="J75"/>
    </row>
    <row r="76" spans="1:10" x14ac:dyDescent="0.3">
      <c r="G76"/>
      <c r="J76"/>
    </row>
    <row r="77" spans="1:10" x14ac:dyDescent="0.3">
      <c r="G77"/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x14ac:dyDescent="0.3">
      <c r="G86"/>
      <c r="J86"/>
    </row>
    <row r="87" spans="7:10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x14ac:dyDescent="0.3">
      <c r="G93"/>
      <c r="J93"/>
    </row>
    <row r="94" spans="7:10" x14ac:dyDescent="0.3">
      <c r="G94"/>
      <c r="J94"/>
    </row>
    <row r="95" spans="7:10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ht="28.2" customHeight="1" x14ac:dyDescent="0.3">
      <c r="G100"/>
      <c r="J100"/>
    </row>
    <row r="101" spans="7:10" ht="28.2" customHeight="1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x14ac:dyDescent="0.3">
      <c r="G161"/>
      <c r="J161"/>
    </row>
    <row r="162" spans="7:10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ht="37.950000000000003" customHeight="1" x14ac:dyDescent="0.3">
      <c r="G168"/>
      <c r="J168"/>
    </row>
    <row r="169" spans="7:10" ht="24.6" customHeight="1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x14ac:dyDescent="0.3">
      <c r="G215"/>
      <c r="J215"/>
    </row>
    <row r="216" spans="7:10" x14ac:dyDescent="0.3">
      <c r="G216"/>
      <c r="J216"/>
    </row>
    <row r="217" spans="7:10" x14ac:dyDescent="0.3">
      <c r="G217"/>
      <c r="J217"/>
    </row>
    <row r="218" spans="7:10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ht="34.950000000000003" customHeight="1" x14ac:dyDescent="0.3">
      <c r="G222"/>
      <c r="J222"/>
    </row>
    <row r="223" spans="7:10" ht="33.6" customHeight="1" x14ac:dyDescent="0.3">
      <c r="G223"/>
      <c r="J223"/>
    </row>
    <row r="224" spans="7:10" ht="34.200000000000003" customHeight="1" x14ac:dyDescent="0.3">
      <c r="G224"/>
      <c r="J224"/>
    </row>
    <row r="225" spans="7:10" ht="59.4" customHeight="1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ht="27" customHeight="1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x14ac:dyDescent="0.3">
      <c r="G286"/>
      <c r="J286"/>
    </row>
    <row r="287" spans="7:10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ht="27" customHeight="1" x14ac:dyDescent="0.3">
      <c r="G293"/>
      <c r="J293"/>
    </row>
    <row r="294" spans="7:10" ht="33.6" customHeight="1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x14ac:dyDescent="0.3">
      <c r="G337"/>
      <c r="J337"/>
    </row>
    <row r="338" spans="7:10" x14ac:dyDescent="0.3">
      <c r="G338"/>
      <c r="J338"/>
    </row>
    <row r="339" spans="7:10" x14ac:dyDescent="0.3">
      <c r="G339"/>
      <c r="J339"/>
    </row>
    <row r="340" spans="7:10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ht="31.95" customHeight="1" x14ac:dyDescent="0.3">
      <c r="G344"/>
      <c r="J344"/>
    </row>
    <row r="345" spans="7:10" ht="29.4" customHeight="1" x14ac:dyDescent="0.3">
      <c r="G345"/>
      <c r="J345"/>
    </row>
    <row r="346" spans="7:10" x14ac:dyDescent="0.3">
      <c r="G346"/>
      <c r="J346"/>
    </row>
    <row r="347" spans="7:10" ht="66.599999999999994" customHeight="1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ht="28.95" customHeight="1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G379"/>
      <c r="J379"/>
    </row>
    <row r="380" spans="7:10" x14ac:dyDescent="0.3">
      <c r="G380"/>
      <c r="J380"/>
    </row>
    <row r="381" spans="7:10" x14ac:dyDescent="0.3">
      <c r="G381"/>
      <c r="J381"/>
    </row>
    <row r="382" spans="7:10" x14ac:dyDescent="0.3">
      <c r="G382"/>
      <c r="J382"/>
    </row>
    <row r="383" spans="7:10" x14ac:dyDescent="0.3">
      <c r="G383"/>
      <c r="J383"/>
    </row>
    <row r="384" spans="7:10" x14ac:dyDescent="0.3">
      <c r="G384"/>
      <c r="J384"/>
    </row>
    <row r="385" spans="7:10" x14ac:dyDescent="0.3">
      <c r="G385"/>
      <c r="J385"/>
    </row>
    <row r="386" spans="7:10" x14ac:dyDescent="0.3">
      <c r="J386"/>
    </row>
    <row r="387" spans="7:10" x14ac:dyDescent="0.3">
      <c r="J387"/>
    </row>
    <row r="388" spans="7:10" x14ac:dyDescent="0.3">
      <c r="J388"/>
    </row>
    <row r="389" spans="7:10" x14ac:dyDescent="0.3">
      <c r="J389"/>
    </row>
    <row r="390" spans="7:10" x14ac:dyDescent="0.3">
      <c r="J390"/>
    </row>
    <row r="391" spans="7:10" x14ac:dyDescent="0.3">
      <c r="J391"/>
    </row>
    <row r="392" spans="7:10" x14ac:dyDescent="0.3">
      <c r="J392"/>
    </row>
    <row r="393" spans="7:10" x14ac:dyDescent="0.3">
      <c r="J393"/>
    </row>
    <row r="394" spans="7:10" x14ac:dyDescent="0.3">
      <c r="J394"/>
    </row>
    <row r="395" spans="7:10" x14ac:dyDescent="0.3">
      <c r="J395"/>
    </row>
    <row r="396" spans="7:10" x14ac:dyDescent="0.3">
      <c r="J396"/>
    </row>
    <row r="397" spans="7:10" x14ac:dyDescent="0.3">
      <c r="J397"/>
    </row>
    <row r="398" spans="7:10" x14ac:dyDescent="0.3">
      <c r="J398"/>
    </row>
    <row r="399" spans="7:10" x14ac:dyDescent="0.3">
      <c r="J399"/>
    </row>
    <row r="400" spans="7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2025-08-26T06:33:37Z</dcterms:modified>
</cp:coreProperties>
</file>