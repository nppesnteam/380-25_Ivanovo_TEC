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E9462A24-C892-4290-B0BF-F608039DB501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4" i="1" l="1" a="1"/>
  <c r="AJ44" i="1" s="1"/>
  <c r="AJ45" i="1" a="1"/>
  <c r="AJ45" i="1" s="1"/>
  <c r="AJ46" i="1" a="1"/>
  <c r="AJ46" i="1" s="1"/>
  <c r="AJ47" i="1" a="1"/>
  <c r="AJ47" i="1" s="1"/>
  <c r="AJ48" i="1" a="1"/>
  <c r="AJ48" i="1" s="1"/>
  <c r="AJ49" i="1" a="1"/>
  <c r="AJ49" i="1" s="1"/>
  <c r="AEJ45" i="1"/>
  <c r="AEJ46" i="1" s="1"/>
  <c r="AEJ47" i="1" s="1"/>
  <c r="AEJ48" i="1" s="1"/>
  <c r="AEJ49" i="1" s="1"/>
  <c r="AEJ44" i="1"/>
  <c r="AEI45" i="1"/>
  <c r="AEI46" i="1" s="1"/>
  <c r="AEI47" i="1" s="1"/>
  <c r="AEI48" i="1" s="1"/>
  <c r="AEI49" i="1" s="1"/>
  <c r="AEI44" i="1"/>
  <c r="AI43" i="1" a="1"/>
  <c r="AI43" i="1" s="1"/>
  <c r="AJ43" i="1" a="1"/>
  <c r="AJ43" i="1" s="1"/>
  <c r="MC36" i="1"/>
  <c r="MC37" i="1" s="1"/>
  <c r="MC38" i="1" s="1"/>
  <c r="MC39" i="1" s="1"/>
  <c r="MC40" i="1" s="1"/>
  <c r="MC41" i="1" s="1"/>
  <c r="MC42" i="1" s="1"/>
  <c r="MR35" i="1"/>
  <c r="MR36" i="1" s="1"/>
  <c r="MR37" i="1" s="1"/>
  <c r="MR38" i="1" s="1"/>
  <c r="MR39" i="1" s="1"/>
  <c r="MR40" i="1" s="1"/>
  <c r="MR41" i="1" s="1"/>
  <c r="MR42" i="1" s="1"/>
  <c r="MQ35" i="1"/>
  <c r="MQ36" i="1" s="1"/>
  <c r="MQ37" i="1" s="1"/>
  <c r="MQ38" i="1" s="1"/>
  <c r="MQ39" i="1" s="1"/>
  <c r="MQ40" i="1" s="1"/>
  <c r="MQ41" i="1" s="1"/>
  <c r="MQ42" i="1" s="1"/>
  <c r="MJ35" i="1"/>
  <c r="MJ36" i="1" s="1"/>
  <c r="MJ37" i="1" s="1"/>
  <c r="MJ38" i="1" s="1"/>
  <c r="MJ39" i="1" s="1"/>
  <c r="MJ40" i="1" s="1"/>
  <c r="MJ41" i="1" s="1"/>
  <c r="MJ42" i="1" s="1"/>
  <c r="MI35" i="1"/>
  <c r="MI36" i="1" s="1"/>
  <c r="MI37" i="1" s="1"/>
  <c r="MI38" i="1" s="1"/>
  <c r="MI39" i="1" s="1"/>
  <c r="MI40" i="1" s="1"/>
  <c r="MI41" i="1" s="1"/>
  <c r="MI42" i="1" s="1"/>
  <c r="MH35" i="1"/>
  <c r="MH36" i="1" s="1"/>
  <c r="MH37" i="1" s="1"/>
  <c r="MH38" i="1" s="1"/>
  <c r="MH39" i="1" s="1"/>
  <c r="MH40" i="1" s="1"/>
  <c r="MH41" i="1" s="1"/>
  <c r="MH42" i="1" s="1"/>
  <c r="MG35" i="1"/>
  <c r="MG36" i="1" s="1"/>
  <c r="MG37" i="1" s="1"/>
  <c r="MG38" i="1" s="1"/>
  <c r="MG39" i="1" s="1"/>
  <c r="MG40" i="1" s="1"/>
  <c r="MG41" i="1" s="1"/>
  <c r="MG42" i="1" s="1"/>
  <c r="MF35" i="1"/>
  <c r="MF36" i="1" s="1"/>
  <c r="MF37" i="1" s="1"/>
  <c r="MF38" i="1" s="1"/>
  <c r="MF39" i="1" s="1"/>
  <c r="MF40" i="1" s="1"/>
  <c r="MF41" i="1" s="1"/>
  <c r="MF42" i="1" s="1"/>
  <c r="ME35" i="1"/>
  <c r="ME36" i="1" s="1"/>
  <c r="ME37" i="1" s="1"/>
  <c r="ME38" i="1" s="1"/>
  <c r="ME39" i="1" s="1"/>
  <c r="ME40" i="1" s="1"/>
  <c r="ME41" i="1" s="1"/>
  <c r="ME42" i="1" s="1"/>
  <c r="MD35" i="1"/>
  <c r="MD36" i="1" s="1"/>
  <c r="MD37" i="1" s="1"/>
  <c r="MD38" i="1" s="1"/>
  <c r="MD39" i="1" s="1"/>
  <c r="MD40" i="1" s="1"/>
  <c r="MD41" i="1" s="1"/>
  <c r="MD42" i="1" s="1"/>
  <c r="MC35" i="1"/>
  <c r="AG34" i="1"/>
  <c r="AF34" i="1"/>
  <c r="LY34" i="1" s="1"/>
  <c r="AE34" i="1" s="1" a="1"/>
  <c r="AE34" i="1" s="1"/>
  <c r="AC35" i="1" s="1"/>
  <c r="RW33" i="1"/>
  <c r="RX33" i="1" s="1"/>
  <c r="RY33" i="1" s="1"/>
  <c r="RZ33" i="1" s="1"/>
  <c r="SA33" i="1" s="1"/>
  <c r="SB33" i="1" s="1"/>
  <c r="SC33" i="1" s="1"/>
  <c r="SD33" i="1" s="1"/>
  <c r="SE33" i="1" s="1"/>
  <c r="SF33" i="1" s="1"/>
  <c r="SG33" i="1" s="1"/>
  <c r="SH33" i="1" s="1"/>
  <c r="SI33" i="1" s="1"/>
  <c r="SJ33" i="1" s="1"/>
  <c r="SK33" i="1" s="1"/>
  <c r="SL33" i="1" s="1"/>
  <c r="SM33" i="1" s="1"/>
  <c r="SN33" i="1" s="1"/>
  <c r="SO33" i="1" s="1"/>
  <c r="SP33" i="1" s="1"/>
  <c r="SQ33" i="1" s="1"/>
  <c r="SR33" i="1" s="1"/>
  <c r="RU33" i="1"/>
  <c r="QN33" i="1"/>
  <c r="QP33" i="1" s="1"/>
  <c r="QR33" i="1" s="1"/>
  <c r="QT33" i="1" s="1"/>
  <c r="QM33" i="1"/>
  <c r="QO33" i="1" s="1"/>
  <c r="QQ33" i="1" s="1"/>
  <c r="QS33" i="1" s="1"/>
  <c r="PZ33" i="1"/>
  <c r="RW32" i="1"/>
  <c r="RX32" i="1" s="1"/>
  <c r="RY32" i="1" s="1"/>
  <c r="RZ32" i="1" s="1"/>
  <c r="SA32" i="1" s="1"/>
  <c r="SB32" i="1" s="1"/>
  <c r="SC32" i="1" s="1"/>
  <c r="SD32" i="1" s="1"/>
  <c r="SE32" i="1" s="1"/>
  <c r="SF32" i="1" s="1"/>
  <c r="SG32" i="1" s="1"/>
  <c r="SH32" i="1" s="1"/>
  <c r="SI32" i="1" s="1"/>
  <c r="SJ32" i="1" s="1"/>
  <c r="SK32" i="1" s="1"/>
  <c r="SL32" i="1" s="1"/>
  <c r="SM32" i="1" s="1"/>
  <c r="SN32" i="1" s="1"/>
  <c r="SO32" i="1" s="1"/>
  <c r="SP32" i="1" s="1"/>
  <c r="SQ32" i="1" s="1"/>
  <c r="SR32" i="1" s="1"/>
  <c r="RU32" i="1"/>
  <c r="QN32" i="1"/>
  <c r="QP32" i="1" s="1"/>
  <c r="QR32" i="1" s="1"/>
  <c r="QT32" i="1" s="1"/>
  <c r="QM32" i="1"/>
  <c r="QO32" i="1" s="1"/>
  <c r="QQ32" i="1" s="1"/>
  <c r="QS32" i="1" s="1"/>
  <c r="PZ32" i="1"/>
  <c r="ADY31" i="1"/>
  <c r="ADY30" i="1"/>
  <c r="ADY29" i="1"/>
  <c r="ADY28" i="1"/>
  <c r="ADY27" i="1"/>
  <c r="ADY26" i="1"/>
  <c r="ADY25" i="1"/>
  <c r="ADY24" i="1"/>
  <c r="ADY23" i="1"/>
  <c r="ADY22" i="1"/>
  <c r="ADY21" i="1"/>
  <c r="ADY20" i="1"/>
  <c r="ADY19" i="1"/>
  <c r="ADY18" i="1"/>
  <c r="RW17" i="1"/>
  <c r="RX17" i="1" s="1"/>
  <c r="RY17" i="1" s="1"/>
  <c r="RZ17" i="1" s="1"/>
  <c r="SA17" i="1" s="1"/>
  <c r="SB17" i="1" s="1"/>
  <c r="SC17" i="1" s="1"/>
  <c r="SD17" i="1" s="1"/>
  <c r="SE17" i="1" s="1"/>
  <c r="SF17" i="1" s="1"/>
  <c r="SG17" i="1" s="1"/>
  <c r="SH17" i="1" s="1"/>
  <c r="SI17" i="1" s="1"/>
  <c r="SJ17" i="1" s="1"/>
  <c r="SK17" i="1" s="1"/>
  <c r="SL17" i="1" s="1"/>
  <c r="SM17" i="1" s="1"/>
  <c r="SN17" i="1" s="1"/>
  <c r="SO17" i="1" s="1"/>
  <c r="SP17" i="1" s="1"/>
  <c r="SQ17" i="1" s="1"/>
  <c r="SR17" i="1" s="1"/>
  <c r="RU17" i="1"/>
  <c r="QN17" i="1"/>
  <c r="QP17" i="1" s="1"/>
  <c r="QR17" i="1" s="1"/>
  <c r="QT17" i="1" s="1"/>
  <c r="QM17" i="1"/>
  <c r="QO17" i="1" s="1"/>
  <c r="QQ17" i="1" s="1"/>
  <c r="QS17" i="1" s="1"/>
  <c r="PZ17" i="1"/>
  <c r="RW16" i="1"/>
  <c r="RX16" i="1" s="1"/>
  <c r="RY16" i="1" s="1"/>
  <c r="RZ16" i="1" s="1"/>
  <c r="SA16" i="1" s="1"/>
  <c r="SB16" i="1" s="1"/>
  <c r="SC16" i="1" s="1"/>
  <c r="SD16" i="1" s="1"/>
  <c r="SE16" i="1" s="1"/>
  <c r="SF16" i="1" s="1"/>
  <c r="SG16" i="1" s="1"/>
  <c r="SH16" i="1" s="1"/>
  <c r="SI16" i="1" s="1"/>
  <c r="SJ16" i="1" s="1"/>
  <c r="SK16" i="1" s="1"/>
  <c r="SL16" i="1" s="1"/>
  <c r="SM16" i="1" s="1"/>
  <c r="SN16" i="1" s="1"/>
  <c r="SO16" i="1" s="1"/>
  <c r="SP16" i="1" s="1"/>
  <c r="SQ16" i="1" s="1"/>
  <c r="SR16" i="1" s="1"/>
  <c r="RU16" i="1"/>
  <c r="QN16" i="1"/>
  <c r="QP16" i="1" s="1"/>
  <c r="QR16" i="1" s="1"/>
  <c r="QT16" i="1" s="1"/>
  <c r="QM16" i="1"/>
  <c r="QO16" i="1" s="1"/>
  <c r="QQ16" i="1" s="1"/>
  <c r="QS16" i="1" s="1"/>
  <c r="PZ16" i="1"/>
  <c r="ADY5" i="1"/>
  <c r="ADY6" i="1"/>
  <c r="ADY7" i="1"/>
  <c r="ADY8" i="1"/>
  <c r="ADY9" i="1"/>
  <c r="ADY10" i="1"/>
  <c r="ADY11" i="1"/>
  <c r="ADY12" i="1"/>
  <c r="ADY13" i="1"/>
  <c r="ADY14" i="1"/>
  <c r="ADY15" i="1"/>
  <c r="ADY4" i="1"/>
  <c r="PZ3" i="1"/>
  <c r="RW3" i="1"/>
  <c r="RX3" i="1" s="1"/>
  <c r="RY3" i="1" s="1"/>
  <c r="RZ3" i="1" s="1"/>
  <c r="SA3" i="1" s="1"/>
  <c r="SB3" i="1" s="1"/>
  <c r="SC3" i="1" s="1"/>
  <c r="SD3" i="1" s="1"/>
  <c r="SE3" i="1" s="1"/>
  <c r="SF3" i="1" s="1"/>
  <c r="SG3" i="1" s="1"/>
  <c r="SH3" i="1" s="1"/>
  <c r="SI3" i="1" s="1"/>
  <c r="SJ3" i="1" s="1"/>
  <c r="SK3" i="1" s="1"/>
  <c r="SL3" i="1" s="1"/>
  <c r="SM3" i="1" s="1"/>
  <c r="SN3" i="1" s="1"/>
  <c r="SO3" i="1" s="1"/>
  <c r="SP3" i="1" s="1"/>
  <c r="SQ3" i="1" s="1"/>
  <c r="SR3" i="1" s="1"/>
  <c r="RU3" i="1"/>
  <c r="QN3" i="1"/>
  <c r="QP3" i="1" s="1"/>
  <c r="QR3" i="1" s="1"/>
  <c r="QT3" i="1" s="1"/>
  <c r="QM3" i="1"/>
  <c r="QO3" i="1" s="1"/>
  <c r="QQ3" i="1" s="1"/>
  <c r="QS3" i="1" s="1"/>
  <c r="Y2" i="1" a="1"/>
  <c r="Y2" i="1" s="1"/>
  <c r="RW2" i="1"/>
  <c r="RX2" i="1" s="1"/>
  <c r="RY2" i="1" s="1"/>
  <c r="RZ2" i="1" s="1"/>
  <c r="SA2" i="1" s="1"/>
  <c r="SB2" i="1" s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RU2" i="1"/>
  <c r="QN2" i="1"/>
  <c r="QP2" i="1" s="1"/>
  <c r="QR2" i="1" s="1"/>
  <c r="QT2" i="1" s="1"/>
  <c r="QM2" i="1"/>
  <c r="QO2" i="1" s="1"/>
  <c r="QQ2" i="1" s="1"/>
  <c r="QS2" i="1" s="1"/>
  <c r="AH44" i="1" l="1"/>
  <c r="AI44" i="1" a="1"/>
  <c r="AI44" i="1" s="1"/>
  <c r="RQ33" i="1"/>
  <c r="RO32" i="1"/>
  <c r="RP32" i="1"/>
  <c r="RR33" i="1"/>
  <c r="RQ32" i="1"/>
  <c r="RR32" i="1"/>
  <c r="RI33" i="1"/>
  <c r="RJ33" i="1"/>
  <c r="RI32" i="1"/>
  <c r="RK33" i="1"/>
  <c r="RJ32" i="1"/>
  <c r="RL33" i="1"/>
  <c r="RK32" i="1"/>
  <c r="RM33" i="1"/>
  <c r="RN33" i="1"/>
  <c r="RM32" i="1"/>
  <c r="RO33" i="1"/>
  <c r="RL32" i="1"/>
  <c r="RN32" i="1"/>
  <c r="RP33" i="1"/>
  <c r="RQ17" i="1"/>
  <c r="RO16" i="1"/>
  <c r="RP16" i="1"/>
  <c r="RR17" i="1"/>
  <c r="RQ16" i="1"/>
  <c r="RI17" i="1"/>
  <c r="RJ17" i="1"/>
  <c r="RI16" i="1"/>
  <c r="RK17" i="1"/>
  <c r="RJ16" i="1"/>
  <c r="RL17" i="1"/>
  <c r="RR16" i="1"/>
  <c r="RK16" i="1"/>
  <c r="RM17" i="1"/>
  <c r="RN17" i="1"/>
  <c r="RL16" i="1"/>
  <c r="RM16" i="1"/>
  <c r="RO17" i="1"/>
  <c r="RN16" i="1"/>
  <c r="RP17" i="1"/>
  <c r="RQ3" i="1"/>
  <c r="RI3" i="1"/>
  <c r="RK3" i="1"/>
  <c r="RR3" i="1"/>
  <c r="RJ3" i="1"/>
  <c r="RL3" i="1"/>
  <c r="RM3" i="1"/>
  <c r="RN3" i="1"/>
  <c r="RO3" i="1"/>
  <c r="RP3" i="1"/>
  <c r="PZ2" i="1"/>
  <c r="AK44" i="1" l="1"/>
  <c r="AEB44" i="1" s="1"/>
  <c r="AH45" i="1"/>
  <c r="AI45" i="1" s="1" a="1"/>
  <c r="AI45" i="1" s="1"/>
  <c r="AK45" i="1" s="1"/>
  <c r="AEB45" i="1" s="1"/>
  <c r="AL44" i="1"/>
  <c r="AEC44" i="1" s="1"/>
  <c r="RK2" i="1"/>
  <c r="RR2" i="1"/>
  <c r="RQ2" i="1"/>
  <c r="RN2" i="1"/>
  <c r="RJ2" i="1"/>
  <c r="RP2" i="1"/>
  <c r="RO2" i="1"/>
  <c r="RI2" i="1"/>
  <c r="RM2" i="1"/>
  <c r="RL2" i="1"/>
  <c r="AL45" i="1" l="1"/>
  <c r="AEC45" i="1" s="1"/>
  <c r="AH46" i="1"/>
  <c r="AI46" i="1" s="1" a="1"/>
  <c r="AI46" i="1" s="1"/>
  <c r="AL46" i="1" l="1"/>
  <c r="AEC46" i="1" s="1"/>
  <c r="AH47" i="1"/>
  <c r="AI47" i="1" s="1" a="1"/>
  <c r="AI47" i="1" s="1"/>
  <c r="AK46" i="1"/>
  <c r="AEB46" i="1" s="1"/>
  <c r="AK47" i="1" l="1"/>
  <c r="AEB47" i="1" s="1"/>
  <c r="AH48" i="1"/>
  <c r="AI48" i="1" s="1" a="1"/>
  <c r="AI48" i="1" s="1"/>
  <c r="AL47" i="1"/>
  <c r="AEC47" i="1" s="1"/>
  <c r="AK48" i="1" l="1"/>
  <c r="AEB48" i="1" s="1"/>
  <c r="AH49" i="1"/>
  <c r="AI49" i="1" s="1" a="1"/>
  <c r="AI49" i="1" s="1"/>
  <c r="AL48" i="1"/>
  <c r="AEC48" i="1" s="1"/>
  <c r="AK49" i="1" l="1"/>
  <c r="AEB49" i="1" s="1"/>
  <c r="AL49" i="1"/>
  <c r="AEC49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CA19" i="5" l="1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GZ55" i="5" l="1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CA2" i="5" l="1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AB44" i="5" l="1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AB45" i="5" l="1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B46" i="5" l="1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AA47" i="5" l="1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AB48" i="5" l="1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AA49" i="5" l="1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AA50" i="5" l="1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B53" i="5" l="1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AA54" i="5" l="1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AB55" i="5" l="1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AB57" i="5" l="1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AB58" i="5" l="1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AB59" i="5" l="1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AA60" i="5" l="1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AA61" i="5" l="1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AB62" i="5" l="1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B63" i="5" l="1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X66" i="5" l="1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AA65" i="5" l="1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B66" i="5" l="1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AB67" i="5" l="1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B68" i="5" l="1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71" i="5" l="1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AB72" i="5" l="1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73" i="5" l="1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AB74" i="5" l="1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B75" i="5" l="1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B76" i="5" l="1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AB77" i="5" l="1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B78" i="5" l="1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AA79" i="5" l="1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B80" i="5" l="1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AB81" i="5" l="1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AB83" i="5" l="1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B84" i="5" l="1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AA85" i="5" l="1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AA86" i="5" l="1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AB87" i="5" l="1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AB88" i="5" l="1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B92" i="5" l="1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B93" i="5" l="1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AB94" i="5" l="1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AB95" i="5" l="1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AB96" i="5" l="1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AA97" i="5" l="1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X100" i="5" l="1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AA99" i="5" l="1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AB102" i="5" l="1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AB103" i="5" l="1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AB104" i="5" l="1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AB105" i="5" l="1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X108" i="5" l="1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AA107" i="5" l="1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AB108" i="5" l="1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AB109" i="5" l="1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AA110" i="5" l="1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AB111" i="5" l="1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AB112" i="5" l="1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AB113" i="5" l="1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AA114" i="5" l="1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AA115" i="5" l="1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AA116" i="5" l="1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AB117" i="5" l="1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AB118" i="5" l="1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AA119" i="5" l="1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AB120" i="5" l="1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AB121" i="5" l="1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X124" i="5" l="1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AB123" i="5" l="1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AB124" i="5" l="1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AA125" i="5" l="1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AA126" i="5" l="1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AB127" i="5" l="1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AB128" i="5" l="1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AB129" i="5" l="1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AB130" i="5" l="1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AB131" i="5" l="1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AA132" i="5" l="1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AB133" i="5" l="1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AB134" i="5" l="1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AB135" i="5" l="1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AB136" i="5" l="1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AA137" i="5" l="1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KJ138" i="5" l="1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AB139" i="5" l="1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AA140" i="5" l="1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AB141" i="5" l="1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AB142" i="5" l="1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AB143" i="5" l="1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AA144" i="5" l="1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AB145" i="5" l="1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AA146" i="5" l="1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AB147" i="5" l="1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AB148" i="5" l="1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AB149" i="5" l="1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50" i="5" l="1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AB151" i="5" l="1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AB152" i="5" l="1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AB153" i="5" l="1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X156" i="5" l="1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AB155" i="5" l="1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AB156" i="5" l="1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AB157" i="5" l="1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AB158" i="5" l="1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AB159" i="5" l="1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B160" i="5" l="1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AB161" i="5" l="1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X164" i="5" l="1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AB163" i="5" l="1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AB164" i="5" l="1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AB165" i="5" l="1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J166" i="5" l="1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Z166" i="5" l="1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AB171" i="5" l="1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AB172" i="5" l="1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B173" i="5" l="1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AB168" i="5" l="1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175" i="5" l="1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AB176" i="5" l="1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B234" i="5" l="1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36" i="5" l="1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37" i="5" l="1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38" i="5" l="1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9" i="5" l="1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AA240" i="5" l="1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A241" i="5" l="1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B242" i="5" l="1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AB244" i="5" l="1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AB2" i="1"/>
  <c r="QA2" i="1" l="1"/>
  <c r="QW2" i="1"/>
  <c r="QB2" i="1"/>
  <c r="QX2" i="1"/>
  <c r="QD2" i="1" l="1"/>
  <c r="QZ2" i="1"/>
  <c r="QC2" i="1"/>
  <c r="QY2" i="1"/>
  <c r="QE2" i="1" l="1"/>
  <c r="RA2" i="1"/>
  <c r="QF2" i="1"/>
  <c r="RB2" i="1"/>
  <c r="QH2" i="1" l="1"/>
  <c r="RD2" i="1"/>
  <c r="QG2" i="1"/>
  <c r="RC2" i="1"/>
  <c r="QI2" i="1" l="1"/>
  <c r="RE2" i="1"/>
  <c r="QJ2" i="1"/>
  <c r="RH2" i="1" s="1"/>
  <c r="RF2" i="1"/>
  <c r="RG2" i="1" l="1"/>
  <c r="Z2" i="1" a="1"/>
  <c r="Z2" i="1" s="1"/>
  <c r="Y3" i="1" l="1" a="1"/>
  <c r="Y3" i="1" s="1"/>
  <c r="AB3" i="1" s="1"/>
  <c r="Y16" i="1" a="1"/>
  <c r="Y16" i="1" s="1"/>
  <c r="AA3" i="1" l="1"/>
  <c r="QB3" i="1" s="1"/>
  <c r="AB16" i="1"/>
  <c r="AA16" i="1"/>
  <c r="QA3" i="1"/>
  <c r="QW3" i="1"/>
  <c r="QX3" i="1" l="1"/>
  <c r="QX16" i="1"/>
  <c r="QB16" i="1"/>
  <c r="QA16" i="1"/>
  <c r="QW16" i="1"/>
  <c r="QC3" i="1"/>
  <c r="QY3" i="1"/>
  <c r="QZ3" i="1"/>
  <c r="QD3" i="1"/>
  <c r="QY16" i="1" l="1"/>
  <c r="QC16" i="1"/>
  <c r="QZ16" i="1"/>
  <c r="QD16" i="1"/>
  <c r="RB3" i="1"/>
  <c r="QF3" i="1"/>
  <c r="RA3" i="1"/>
  <c r="QE3" i="1"/>
  <c r="RB16" i="1" l="1"/>
  <c r="QF16" i="1"/>
  <c r="RA16" i="1"/>
  <c r="QE16" i="1"/>
  <c r="RD3" i="1"/>
  <c r="QH3" i="1"/>
  <c r="RC3" i="1"/>
  <c r="QG3" i="1"/>
  <c r="RC16" i="1" l="1"/>
  <c r="QG16" i="1"/>
  <c r="QH16" i="1"/>
  <c r="RD16" i="1"/>
  <c r="QJ3" i="1"/>
  <c r="RH3" i="1" s="1"/>
  <c r="RF3" i="1"/>
  <c r="RE3" i="1"/>
  <c r="QI3" i="1"/>
  <c r="QJ16" i="1" l="1"/>
  <c r="RH16" i="1" s="1"/>
  <c r="RF16" i="1"/>
  <c r="QI16" i="1"/>
  <c r="RE16" i="1"/>
  <c r="RG3" i="1"/>
  <c r="Z3" i="1" a="1"/>
  <c r="Z3" i="1" s="1"/>
  <c r="Y17" i="1" s="1" a="1"/>
  <c r="Y17" i="1" s="1"/>
  <c r="AB17" i="1" l="1"/>
  <c r="AA17" i="1"/>
  <c r="RG16" i="1"/>
  <c r="Z16" i="1" a="1"/>
  <c r="Z16" i="1" s="1"/>
  <c r="Y32" i="1" s="1" a="1"/>
  <c r="Y32" i="1" s="1"/>
  <c r="AA32" i="1" l="1"/>
  <c r="AB32" i="1"/>
  <c r="QB17" i="1"/>
  <c r="QX17" i="1"/>
  <c r="QA17" i="1"/>
  <c r="QW17" i="1"/>
  <c r="QA32" i="1" l="1"/>
  <c r="QW32" i="1"/>
  <c r="QX32" i="1"/>
  <c r="QB32" i="1"/>
  <c r="QC17" i="1"/>
  <c r="QY17" i="1"/>
  <c r="QZ17" i="1"/>
  <c r="QD17" i="1"/>
  <c r="QZ32" i="1" l="1"/>
  <c r="QD32" i="1"/>
  <c r="QY32" i="1"/>
  <c r="QC32" i="1"/>
  <c r="RB17" i="1"/>
  <c r="QF17" i="1"/>
  <c r="RA17" i="1"/>
  <c r="QE17" i="1"/>
  <c r="QF32" i="1" l="1"/>
  <c r="RB32" i="1"/>
  <c r="RA32" i="1"/>
  <c r="QE32" i="1"/>
  <c r="RC17" i="1"/>
  <c r="QG17" i="1"/>
  <c r="RD17" i="1"/>
  <c r="QH17" i="1"/>
  <c r="RC32" i="1" l="1"/>
  <c r="QG32" i="1"/>
  <c r="QH32" i="1"/>
  <c r="RD32" i="1"/>
  <c r="RE17" i="1"/>
  <c r="QI17" i="1"/>
  <c r="QJ17" i="1"/>
  <c r="RH17" i="1" s="1"/>
  <c r="RF17" i="1"/>
  <c r="QJ32" i="1" l="1"/>
  <c r="RH32" i="1" s="1"/>
  <c r="RF32" i="1"/>
  <c r="QI32" i="1"/>
  <c r="RE32" i="1"/>
  <c r="RG17" i="1"/>
  <c r="Z17" i="1" a="1"/>
  <c r="Z17" i="1" s="1"/>
  <c r="Y33" i="1" s="1" a="1"/>
  <c r="Y33" i="1" s="1"/>
  <c r="RG32" i="1" l="1"/>
  <c r="Z32" i="1" a="1"/>
  <c r="Z32" i="1" s="1"/>
  <c r="AB33" i="1"/>
  <c r="AA33" i="1"/>
  <c r="QB33" i="1" l="1"/>
  <c r="QX33" i="1"/>
  <c r="QA33" i="1"/>
  <c r="QW33" i="1"/>
  <c r="QC33" i="1" l="1"/>
  <c r="QY33" i="1"/>
  <c r="QZ33" i="1"/>
  <c r="QD33" i="1"/>
  <c r="RB33" i="1" l="1"/>
  <c r="QF33" i="1"/>
  <c r="RA33" i="1"/>
  <c r="QE33" i="1"/>
  <c r="RC33" i="1" l="1"/>
  <c r="QG33" i="1"/>
  <c r="RD33" i="1"/>
  <c r="QH33" i="1"/>
  <c r="QJ33" i="1" l="1"/>
  <c r="RH33" i="1" s="1"/>
  <c r="RF33" i="1"/>
  <c r="RE33" i="1"/>
  <c r="QI33" i="1"/>
  <c r="RG33" i="1" l="1"/>
  <c r="Z33" i="1" a="1"/>
  <c r="Z33" i="1" s="1"/>
  <c r="AD35" i="1" l="1" a="1"/>
  <c r="AD35" i="1" s="1"/>
  <c r="AG35" i="1" l="1"/>
  <c r="AF35" i="1"/>
  <c r="LY35" i="1" s="1"/>
  <c r="AE35" i="1" s="1" a="1"/>
  <c r="AE35" i="1" s="1"/>
  <c r="AC36" i="1" s="1"/>
  <c r="AD36" i="1" l="1" a="1"/>
  <c r="AD36" i="1" s="1"/>
  <c r="AF36" i="1" l="1"/>
  <c r="LY36" i="1" s="1"/>
  <c r="AE36" i="1" s="1" a="1"/>
  <c r="AE36" i="1" s="1"/>
  <c r="AC37" i="1" s="1"/>
  <c r="AG36" i="1"/>
  <c r="AL43" i="1" l="1"/>
  <c r="AEC43" i="1" s="1"/>
  <c r="AK43" i="1"/>
  <c r="AEB43" i="1" s="1"/>
  <c r="AD37" i="1" a="1"/>
  <c r="AD37" i="1" s="1"/>
  <c r="AG37" i="1" l="1"/>
  <c r="AF37" i="1"/>
  <c r="LY37" i="1" s="1"/>
  <c r="AE37" i="1" s="1" a="1"/>
  <c r="AE37" i="1" s="1"/>
  <c r="AC38" i="1" s="1"/>
  <c r="AD38" i="1" l="1" a="1"/>
  <c r="AD38" i="1" s="1"/>
  <c r="AF38" i="1" l="1"/>
  <c r="LY38" i="1" s="1"/>
  <c r="AE38" i="1" s="1" a="1"/>
  <c r="AE38" i="1" s="1"/>
  <c r="AC39" i="1" s="1"/>
  <c r="AG38" i="1"/>
  <c r="AD39" i="1" l="1" a="1"/>
  <c r="AD39" i="1" s="1"/>
  <c r="AG39" i="1" l="1"/>
  <c r="AF39" i="1"/>
  <c r="LY39" i="1" s="1"/>
  <c r="AE39" i="1" s="1" a="1"/>
  <c r="AE39" i="1" s="1"/>
  <c r="AC40" i="1" s="1"/>
  <c r="AD40" i="1" l="1" a="1"/>
  <c r="AD40" i="1" s="1"/>
  <c r="AF40" i="1" l="1"/>
  <c r="LY40" i="1" s="1"/>
  <c r="AE40" i="1" s="1" a="1"/>
  <c r="AE40" i="1" s="1"/>
  <c r="AC41" i="1" s="1"/>
  <c r="AG40" i="1"/>
  <c r="AD41" i="1" l="1" a="1"/>
  <c r="AD41" i="1" s="1"/>
  <c r="AG41" i="1" l="1"/>
  <c r="AF41" i="1"/>
  <c r="LY41" i="1" s="1"/>
  <c r="AE41" i="1" s="1" a="1"/>
  <c r="AE41" i="1" s="1"/>
  <c r="AC42" i="1" s="1"/>
  <c r="AD42" i="1" l="1" a="1"/>
  <c r="AD42" i="1" s="1"/>
  <c r="AF42" i="1" l="1"/>
  <c r="LY42" i="1" s="1"/>
  <c r="AE42" i="1" s="1" a="1"/>
  <c r="AE42" i="1" s="1"/>
  <c r="AD50" i="1" s="1" a="1"/>
  <c r="AD50" i="1" s="1"/>
  <c r="AG42" i="1"/>
  <c r="AF50" i="1" l="1"/>
  <c r="LY50" i="1" s="1"/>
  <c r="AE50" i="1" s="1" a="1"/>
  <c r="AE50" i="1" s="1"/>
  <c r="AG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<sst xmlns="http://schemas.openxmlformats.org/spreadsheetml/2006/main" count="9563" uniqueCount="2314">
  <si>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</si>
  <si>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</si>
  <si>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</si>
  <si>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</si>
  <si>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</si>
  <si>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</si>
  <si>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</si>
  <si>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</si>
  <si>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</si>
  <si>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</si>
  <si>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</si>
  <si>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</si>
  <si>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</si>
  <si>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</si>
  <si>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</si>
  <si>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</si>
  <si>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</si>
  <si>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</si>
  <si>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</si>
  <si>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</si>
  <si>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</si>
  <si>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</si>
  <si>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</si>
  <si>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</si>
  <si>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</si>
  <si>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</si>
  <si>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</si>
  <si>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</si>
  <si>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</si>
  <si>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</si>
  <si>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</si>
  <si>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</si>
  <si>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</si>
  <si>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</si>
  <si>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</si>
  <si>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</si>
  <si>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</si>
  <si>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</si>
  <si>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</si>
  <si>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</si>
  <si>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</si>
  <si>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</si>
  <si>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</si>
  <si>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</si>
  <si>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</si>
  <si>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</si>
  <si>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</si>
  <si>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</si>
  <si>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</si>
  <si>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</si>
  <si>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</si>
  <si>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</si>
  <si>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</si>
  <si>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</si>
  <si>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</si>
  <si>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</si>
  <si>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</si>
  <si>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</si>
  <si>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</si>
  <si>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</si>
  <si>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</si>
  <si>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</si>
  <si>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</si>
  <si>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</si>
  <si>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</si>
  <si>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</si>
  <si>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</si>
  <si>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</si>
  <si>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</si>
  <si>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</si>
  <si>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</si>
  <si>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</si>
  <si>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</si>
  <si>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</si>
  <si>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</si>
  <si>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</si>
  <si>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</si>
  <si>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</si>
  <si>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</si>
  <si>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</si>
  <si>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</si>
  <si>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</si>
  <si>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</si>
  <si>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</si>
  <si>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</si>
  <si>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</si>
  <si>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</si>
  <si>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</si>
  <si>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</si>
  <si>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</si>
  <si>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</si>
  <si>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</si>
  <si>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</si>
  <si>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</si>
  <si>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</si>
  <si>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</si>
  <si>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</si>
  <si>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</si>
  <si>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</si>
  <si>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</si>
  <si>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</si>
  <si>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</si>
  <si>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</si>
  <si>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</si>
  <si>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</si>
  <si>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</si>
  <si>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</si>
  <si>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</si>
  <si>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</si>
  <si>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</si>
  <si>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</si>
  <si>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</si>
  <si>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</si>
  <si>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</si>
  <si>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</si>
  <si>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</si>
  <si>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</si>
  <si>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</si>
  <si>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</si>
  <si>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</si>
  <si>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</si>
  <si>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</si>
  <si>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</si>
  <si>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</si>
  <si>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</si>
  <si>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</si>
  <si>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</si>
  <si>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</si>
  <si>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</si>
  <si>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</si>
  <si>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</si>
  <si>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</si>
  <si>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</si>
  <si>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</si>
  <si>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</si>
  <si>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</si>
  <si>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</si>
  <si>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</si>
  <si>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</si>
  <si>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</si>
  <si>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</si>
  <si>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</si>
  <si>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</si>
  <si>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</si>
  <si>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</si>
  <si>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</si>
  <si>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</si>
  <si>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</si>
  <si>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</si>
  <si>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</si>
  <si>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</si>
  <si>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</si>
  <si>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</si>
  <si>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</si>
  <si>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</si>
  <si>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</si>
  <si>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</si>
  <si>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</si>
  <si>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</si>
  <si>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</si>
  <si>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</si>
  <si>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</si>
  <si>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</si>
  <si>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</si>
  <si>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</si>
  <si>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</si>
  <si>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</si>
  <si>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</si>
  <si>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</si>
  <si>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</si>
  <si>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</si>
  <si>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</si>
  <si>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</si>
  <si>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</si>
  <si>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</si>
  <si>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</si>
  <si>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</si>
  <si>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</si>
  <si>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</si>
  <si>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</si>
  <si>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</si>
  <si>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</si>
  <si>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</si>
  <si>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</si>
  <si>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</si>
  <si>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</si>
  <si>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</si>
  <si>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</si>
  <si>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</si>
  <si>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</si>
  <si>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</si>
  <si>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</si>
  <si>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</si>
  <si>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</si>
  <si>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</si>
  <si>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</si>
  <si>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</si>
  <si>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</si>
  <si>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</si>
  <si>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</si>
  <si>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</si>
  <si>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</si>
  <si>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</si>
  <si>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</si>
  <si>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</si>
  <si>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</si>
  <si>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</si>
  <si>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</si>
  <si>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</si>
  <si>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</si>
  <si>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</si>
  <si>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</si>
  <si>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</si>
  <si>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</si>
  <si>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</si>
  <si>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</si>
  <si>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</si>
  <si>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</si>
  <si>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</si>
  <si>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</si>
  <si>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</si>
  <si>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</si>
  <si>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</si>
  <si>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</si>
  <si>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</si>
  <si>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</si>
  <si>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</si>
  <si>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</si>
  <si>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</si>
  <si>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</si>
  <si>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</si>
  <si>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</si>
  <si>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</si>
  <si>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</si>
  <si>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</si>
  <si>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</si>
  <si>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</si>
  <si>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</si>
  <si>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</si>
  <si>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</si>
  <si>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</si>
  <si>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</si>
  <si>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</si>
  <si>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</si>
  <si>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</si>
  <si>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</si>
  <si>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</si>
  <si>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</si>
  <si>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</si>
  <si>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</si>
  <si>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</si>
  <si>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</si>
  <si>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</si>
  <si>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</si>
  <si>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</si>
  <si>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</si>
  <si>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</si>
  <si>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</si>
  <si>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</si>
  <si>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</si>
  <si>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</si>
  <si>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</si>
  <si>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</si>
  <si>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</si>
  <si>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</si>
  <si>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</si>
  <si>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</si>
  <si>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</si>
  <si>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</si>
  <si>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</si>
  <si>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</si>
  <si>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</si>
  <si>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</si>
  <si>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</si>
  <si>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</si>
  <si>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</si>
  <si>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</si>
  <si>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</si>
  <si>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</si>
  <si>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</si>
  <si>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</si>
  <si>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</si>
  <si>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</si>
  <si>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</si>
  <si>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</si>
  <si>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</si>
  <si>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</si>
  <si>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</si>
  <si>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</si>
  <si>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</si>
  <si>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</si>
  <si>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</si>
  <si>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</si>
  <si>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</si>
  <si>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</si>
  <si>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</si>
  <si>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</si>
  <si>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</si>
  <si>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</si>
  <si>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</si>
  <si>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</si>
  <si>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</si>
  <si>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</si>
  <si>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</si>
  <si>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</si>
  <si>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</si>
  <si>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</si>
  <si>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</si>
  <si>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</si>
  <si>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</si>
  <si>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</si>
  <si>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</si>
  <si>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</si>
  <si>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</si>
  <si>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</si>
  <si>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</si>
  <si>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</si>
  <si>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</si>
  <si>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</si>
  <si>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</si>
  <si>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</si>
  <si>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</si>
  <si>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</si>
  <si>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</si>
  <si>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</si>
  <si>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</si>
  <si>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</si>
  <si>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</si>
  <si>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</si>
  <si>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</si>
  <si>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</si>
  <si>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</si>
  <si>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</si>
  <si>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</si>
  <si>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</si>
  <si>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</si>
  <si>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</si>
  <si>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</si>
  <si>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</si>
  <si>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</si>
  <si>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</si>
  <si>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</si>
  <si>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</si>
  <si>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</si>
  <si>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</si>
  <si>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</si>
  <si>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</si>
  <si>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</si>
  <si>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</si>
  <si>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</si>
  <si>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</si>
  <si>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</si>
  <si>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</si>
  <si>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</si>
  <si>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</si>
  <si>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</si>
  <si>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</si>
  <si>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</si>
  <si>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</si>
  <si>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</si>
  <si>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</si>
  <si>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</si>
  <si>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</si>
  <si>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</si>
  <si>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</si>
  <si>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</si>
  <si>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</si>
  <si>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</si>
  <si>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</si>
  <si>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</si>
  <si>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</si>
  <si>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</si>
  <si>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</si>
  <si>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</si>
  <si>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</si>
  <si>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</si>
  <si>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</si>
  <si>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</si>
  <si>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</si>
  <si>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</si>
  <si>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</si>
  <si>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</si>
  <si>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</si>
  <si>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</si>
  <si>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</si>
  <si>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</si>
  <si>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</si>
  <si>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</si>
  <si>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</si>
  <si>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</si>
  <si>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</si>
  <si>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</si>
  <si>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</si>
  <si>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</si>
  <si>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</si>
  <si>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</si>
  <si>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</si>
  <si>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</si>
  <si>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</si>
  <si>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</si>
  <si>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</si>
  <si>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</si>
  <si>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</si>
  <si>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</si>
  <si>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</si>
  <si>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</si>
  <si>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</si>
  <si>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</si>
  <si>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</si>
  <si>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</si>
  <si>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</si>
  <si>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</si>
  <si>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</si>
  <si>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</si>
  <si>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</si>
  <si>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</si>
  <si>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</si>
  <si>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</si>
  <si>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</si>
  <si>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</si>
  <si>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</si>
  <si>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</si>
  <si>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</si>
  <si>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</si>
  <si>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</si>
  <si>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</si>
  <si>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</si>
  <si>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</si>
  <si>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</si>
  <si>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</si>
  <si>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</si>
  <si>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</si>
  <si>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</si>
  <si>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</si>
  <si>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</si>
  <si>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</si>
  <si>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</si>
  <si>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</si>
  <si>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</si>
  <si>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</si>
  <si>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</si>
  <si>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</si>
  <si>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</si>
  <si>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</si>
  <si>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</si>
  <si>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</si>
  <si>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</si>
  <si>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</si>
  <si>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</si>
  <si>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</si>
  <si>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</si>
  <si>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</si>
  <si>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</si>
  <si>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</si>
  <si>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</si>
  <si>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</si>
  <si>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</si>
  <si>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</si>
  <si>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</si>
  <si>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</si>
  <si>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</si>
  <si>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</si>
  <si>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</si>
  <si>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</si>
  <si>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</si>
  <si>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</si>
  <si>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</si>
  <si>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</si>
  <si>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</si>
  <si>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</si>
  <si>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</si>
  <si>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</si>
  <si>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</si>
  <si>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</si>
  <si>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</si>
  <si>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</si>
  <si>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</si>
  <si>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</si>
  <si>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</si>
  <si>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</si>
  <si>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</si>
  <si>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</si>
  <si>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</si>
  <si>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</si>
  <si>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</si>
  <si>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</si>
  <si>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</si>
  <si>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</si>
  <si>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</si>
  <si>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</si>
  <si>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</si>
  <si>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</si>
  <si>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</si>
  <si>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</si>
  <si>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</si>
  <si>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</si>
  <si>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</si>
  <si>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</si>
  <si>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</si>
  <si>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</si>
  <si>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</si>
  <si>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</si>
  <si>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</si>
  <si>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</si>
  <si>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</si>
  <si>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</si>
  <si>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</si>
  <si>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</si>
  <si>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</si>
  <si>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</si>
  <si>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</si>
  <si>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</si>
  <si>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</si>
  <si>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</si>
  <si>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</si>
  <si>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</si>
  <si>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</si>
  <si>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</si>
  <si>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</si>
  <si>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</si>
  <si>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</si>
  <si>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</si>
  <si>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</si>
  <si>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</si>
  <si>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</si>
  <si>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</si>
  <si>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</si>
  <si>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</si>
  <si>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</si>
  <si>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</si>
  <si>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</si>
  <si>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</si>
  <si>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</si>
  <si>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</si>
  <si>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</si>
  <si>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</si>
  <si>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</si>
  <si>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</si>
  <si>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</si>
  <si>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</si>
  <si>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</si>
  <si>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</si>
  <si>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</si>
  <si>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</si>
  <si>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</si>
  <si>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</si>
  <si>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</si>
  <si>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</si>
  <si>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</si>
  <si>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</si>
  <si>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</si>
  <si>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</si>
  <si>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</si>
  <si>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</si>
  <si>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</si>
  <si>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</si>
  <si>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</si>
  <si>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</si>
  <si>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</si>
  <si>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</si>
  <si>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</si>
  <si>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</si>
  <si>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</si>
  <si>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</si>
  <si>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</si>
  <si>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</si>
  <si>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</si>
  <si>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</si>
  <si>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</si>
  <si>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</si>
  <si>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</si>
  <si>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</si>
  <si>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</si>
  <si>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</si>
  <si>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</si>
  <si>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</si>
  <si>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</si>
  <si>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</si>
  <si>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</si>
  <si>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</si>
  <si>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</si>
  <si>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</si>
  <si>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</si>
  <si>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</si>
  <si>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</si>
  <si>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</si>
  <si>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</si>
  <si>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</si>
  <si>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</si>
  <si>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</si>
  <si>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</si>
  <si>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</si>
  <si>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</si>
  <si>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</si>
  <si>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</si>
  <si>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</si>
  <si>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</si>
  <si>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</si>
  <si>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</si>
  <si>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</si>
  <si>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</si>
  <si>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</si>
  <si>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</si>
  <si>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</si>
  <si>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</si>
  <si>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</si>
  <si>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</si>
  <si>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</si>
  <si>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</si>
  <si>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</si>
  <si>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</si>
  <si>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</si>
  <si>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</si>
  <si>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</si>
  <si>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</si>
  <si>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</si>
  <si>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</si>
  <si>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</si>
  <si>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</si>
  <si>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</si>
  <si>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</si>
  <si>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</si>
  <si>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</si>
  <si>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</si>
  <si>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</si>
  <si>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</si>
  <si>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</si>
  <si>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</si>
  <si>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</si>
  <si>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</si>
  <si>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</si>
  <si>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</si>
  <si>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</si>
  <si>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</si>
  <si>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</si>
  <si>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</si>
  <si>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</si>
  <si>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</si>
  <si>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</si>
  <si>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</si>
  <si>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</si>
  <si>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</si>
  <si>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</si>
  <si>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</si>
  <si>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</si>
  <si>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</si>
  <si>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</si>
  <si>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</si>
  <si>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</si>
  <si>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</si>
  <si>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</si>
  <si>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</si>
  <si>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</si>
  <si>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</si>
  <si>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</si>
  <si>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</si>
  <si>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</si>
  <si>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</si>
  <si>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</si>
  <si>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</si>
  <si>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</si>
  <si>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</si>
  <si>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</si>
  <si>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</si>
  <si>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</si>
  <si>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</si>
  <si>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</si>
  <si>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</si>
  <si>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</si>
  <si>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</si>
  <si>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</si>
  <si>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</si>
  <si>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</si>
  <si>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</si>
  <si>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</si>
  <si>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</si>
  <si>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</si>
  <si>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</si>
  <si>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</si>
  <si>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</si>
  <si>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</si>
  <si>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</si>
  <si>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</si>
  <si>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</si>
  <si>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</si>
  <si>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</si>
  <si>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</si>
  <si>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</si>
  <si>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</si>
  <si>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</si>
  <si>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</si>
  <si>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</si>
  <si>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</si>
  <si>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</si>
  <si>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</si>
  <si>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</si>
  <si>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</si>
  <si>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</si>
  <si>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</si>
  <si>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</si>
  <si>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</si>
  <si>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</si>
  <si>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</si>
  <si>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</si>
  <si>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</si>
  <si>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</si>
  <si>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</si>
  <si>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</si>
  <si>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</si>
  <si>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</si>
  <si>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</si>
  <si>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</si>
  <si>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</si>
  <si>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</si>
  <si>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</si>
  <si>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</si>
  <si>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</si>
  <si>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</si>
  <si>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</si>
  <si>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</si>
  <si>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</si>
  <si>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</si>
  <si>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</si>
  <si>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</si>
  <si>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</si>
  <si>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</si>
  <si>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</si>
  <si>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</si>
  <si>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</si>
  <si>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</si>
  <si>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</si>
  <si>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</si>
  <si>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</si>
  <si>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</si>
  <si>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</si>
  <si>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</si>
  <si>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</si>
  <si>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</si>
  <si>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</si>
  <si>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</si>
  <si>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</si>
  <si>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</si>
  <si>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</si>
  <si>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</si>
  <si>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</si>
  <si>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</si>
  <si>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</si>
  <si>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</si>
  <si>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</si>
  <si>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</si>
  <si>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</si>
  <si>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</si>
  <si>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</si>
  <si>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</si>
  <si>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</si>
  <si>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</si>
  <si>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</si>
  <si>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</si>
  <si>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</si>
  <si>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</si>
  <si>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</si>
  <si>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</si>
  <si>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</si>
  <si>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</si>
  <si>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</si>
  <si>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</si>
  <si>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</si>
  <si>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</si>
  <si>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</si>
  <si>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</si>
  <si>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</si>
  <si>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</si>
  <si>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</si>
  <si>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</si>
  <si>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</si>
  <si>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</si>
  <si>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</si>
  <si>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</si>
  <si>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</si>
  <si>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</si>
  <si>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</si>
  <si>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</si>
  <si>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</si>
  <si>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</si>
  <si>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</si>
  <si>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</si>
  <si>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</si>
  <si>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</si>
  <si>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</si>
  <si>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</si>
  <si>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</si>
  <si>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</si>
  <si>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</si>
  <si>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</si>
  <si>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</si>
  <si>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</si>
  <si>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</si>
  <si>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</si>
  <si>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</si>
  <si>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</si>
  <si>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</si>
  <si>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</si>
  <si>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</si>
  <si>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</si>
  <si>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</si>
  <si>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</si>
  <si>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</si>
  <si>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</si>
  <si>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</si>
  <si>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</si>
  <si>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</si>
  <si>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</si>
  <si>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</si>
  <si>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</si>
  <si>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</si>
  <si>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</si>
  <si>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</si>
  <si>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</si>
  <si>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</si>
  <si>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</si>
  <si>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</si>
  <si>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</si>
  <si>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</si>
  <si>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</si>
  <si>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</si>
  <si>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</si>
  <si>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</si>
  <si>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</si>
  <si>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</si>
  <si>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</si>
  <si>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</si>
  <si>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</si>
  <si>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</si>
  <si>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</si>
  <si>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</si>
  <si>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</si>
  <si>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</si>
  <si>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</si>
  <si>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</si>
  <si>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</si>
  <si>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</si>
  <si>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</si>
  <si>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</si>
  <si>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</si>
  <si>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</si>
  <si>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</si>
  <si>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</si>
  <si>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</si>
  <si>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</si>
  <si>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</si>
  <si>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</si>
  <si>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</si>
  <si>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</si>
  <si>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</si>
  <si>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</si>
  <si>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</si>
  <si>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</si>
  <si>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</si>
  <si>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</si>
  <si>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</si>
  <si>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</si>
  <si>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</si>
  <si>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</si>
  <si>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</si>
  <si>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</si>
  <si>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</si>
  <si>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</si>
  <si>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</si>
  <si>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</si>
  <si>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</si>
  <si>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</si>
  <si>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</si>
  <si>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</si>
  <si>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</si>
  <si>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</si>
  <si>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</si>
  <si>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</si>
  <si>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</si>
  <si>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</si>
  <si>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</si>
  <si>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</si>
  <si>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</si>
  <si>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</si>
  <si>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</si>
  <si>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</si>
  <si>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</si>
  <si>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</si>
  <si>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</si>
  <si>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</si>
  <si>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</si>
  <si>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</si>
  <si>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</si>
  <si>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</si>
  <si>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</si>
  <si>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</si>
  <si>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</si>
  <si>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</si>
  <si>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</si>
  <si>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</si>
  <si>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</si>
  <si>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</si>
  <si>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</si>
  <si>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</si>
  <si>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</si>
  <si>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</si>
  <si>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</si>
  <si>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</si>
  <si>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</si>
  <si>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</si>
  <si>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</si>
  <si>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</si>
  <si>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</si>
  <si>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</si>
  <si>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</si>
  <si>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</si>
  <si>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</si>
  <si>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</si>
  <si>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</si>
  <si>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</si>
  <si>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</si>
  <si>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</si>
  <si>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</si>
  <si>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</si>
  <si>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</si>
  <si>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</si>
  <si>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</si>
  <si>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</si>
  <si>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</si>
  <si>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</si>
  <si>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</si>
  <si>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</si>
  <si>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</si>
  <si>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</si>
  <si>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</si>
  <si>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</si>
  <si>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</si>
  <si>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</si>
  <si>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</si>
  <si>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</si>
  <si>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</si>
  <si>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</si>
  <si>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</si>
  <si>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</si>
  <si>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</si>
  <si>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</si>
  <si>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</si>
  <si>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</si>
  <si>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</si>
  <si>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</si>
  <si>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</si>
  <si>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</si>
  <si>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</si>
  <si>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</si>
  <si>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</si>
  <si>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</si>
  <si>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</si>
  <si>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</si>
  <si>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</si>
  <si>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</si>
  <si>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</si>
  <si>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</si>
  <si>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</si>
  <si>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</si>
  <si>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</si>
  <si>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</si>
  <si>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</si>
  <si>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</si>
  <si>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</si>
  <si>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</si>
  <si>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</si>
  <si>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</si>
  <si>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</si>
  <si>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</si>
  <si>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</si>
  <si>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</si>
  <si>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</si>
  <si>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</si>
  <si>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</si>
  <si>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</si>
  <si>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</si>
  <si>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</si>
  <si>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</si>
  <si>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</si>
  <si>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</si>
  <si>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</si>
  <si>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</si>
  <si>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</si>
  <si>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</si>
  <si>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</si>
  <si>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</si>
  <si>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</si>
  <si>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</si>
  <si>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</si>
  <si>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</si>
  <si>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</si>
  <si>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</si>
  <si>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</si>
  <si>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</si>
  <si>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</si>
  <si>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</si>
  <si>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</si>
  <si>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</si>
  <si>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</si>
  <si>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</si>
  <si>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</si>
  <si>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</si>
  <si>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</si>
  <si>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</si>
  <si>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</si>
  <si>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</si>
  <si>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</si>
  <si>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</si>
  <si>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</si>
  <si>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</si>
  <si>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</si>
  <si>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</si>
  <si>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</si>
  <si>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</si>
  <si>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</si>
  <si>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</si>
  <si>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</si>
  <si>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</si>
  <si>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</si>
  <si>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</si>
  <si>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</si>
  <si>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</si>
  <si>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</si>
  <si>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</si>
  <si>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</si>
  <si>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</si>
  <si>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</si>
  <si>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</si>
  <si>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</si>
  <si>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</si>
  <si>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</si>
  <si>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</si>
  <si>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</si>
  <si>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</si>
  <si>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</si>
  <si>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</si>
  <si>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</si>
  <si>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</si>
  <si>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</si>
  <si>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</si>
  <si>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</si>
  <si>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</si>
  <si>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</si>
  <si>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</si>
  <si>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</si>
  <si>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</si>
  <si>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</si>
  <si>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</si>
  <si>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</si>
  <si>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</si>
  <si>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</si>
  <si>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</si>
  <si>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</si>
  <si>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</si>
  <si>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</si>
  <si>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</si>
  <si>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</si>
  <si>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</si>
  <si>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</si>
  <si>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</si>
  <si>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</si>
  <si>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</si>
  <si>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</si>
  <si>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</si>
  <si>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</si>
  <si>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</si>
  <si>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</si>
  <si>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</si>
  <si>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</si>
  <si>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</si>
  <si>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</si>
  <si>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</si>
  <si>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</si>
  <si>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</si>
  <si>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</si>
  <si>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</si>
  <si>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</si>
  <si>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</si>
  <si>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</si>
  <si>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</si>
  <si>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</si>
  <si>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</si>
  <si>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</si>
  <si>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</si>
  <si>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</si>
  <si>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</si>
  <si>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</si>
  <si>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</si>
  <si>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</si>
  <si>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</si>
  <si>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</si>
  <si>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</si>
  <si>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</si>
  <si>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</si>
  <si>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</si>
  <si>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</si>
  <si>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</si>
  <si>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</si>
  <si>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</si>
  <si>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</si>
  <si>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</si>
  <si>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</si>
  <si>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</si>
  <si>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</si>
  <si>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</si>
  <si>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</si>
  <si>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</si>
  <si>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</si>
  <si>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</si>
  <si>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</si>
  <si>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</si>
  <si>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</si>
  <si>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</si>
  <si>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</si>
  <si>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</si>
  <si>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</si>
  <si>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</si>
  <si>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</si>
  <si>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</si>
  <si>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</si>
  <si>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</si>
  <si>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</si>
  <si>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</si>
  <si>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</si>
  <si>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</si>
  <si>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</si>
  <si>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</si>
  <si>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</si>
  <si>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</si>
  <si>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</si>
  <si>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</si>
  <si>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</si>
  <si>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</si>
  <si>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</si>
  <si>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</si>
  <si>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</si>
  <si>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</si>
  <si>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</si>
  <si>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</si>
  <si>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</si>
  <si>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</si>
  <si>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</si>
  <si>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</si>
  <si>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</si>
  <si>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</si>
  <si>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</si>
  <si>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</si>
  <si>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</si>
  <si>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</si>
  <si>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</si>
  <si>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</si>
  <si>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</si>
  <si>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</si>
  <si>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</si>
  <si>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</si>
  <si>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</si>
  <si>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</si>
  <si>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</si>
  <si>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</si>
  <si>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</si>
  <si>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</si>
  <si>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</si>
  <si>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</si>
  <si>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</si>
  <si>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</si>
  <si>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</si>
  <si>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</si>
  <si>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</si>
  <si>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</si>
  <si>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</si>
  <si>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</si>
  <si>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</si>
  <si>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</si>
  <si>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</si>
  <si>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</si>
  <si>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</si>
  <si>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</si>
  <si>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</si>
  <si>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</si>
  <si>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</si>
  <si>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</si>
  <si>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</si>
  <si>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</si>
  <si>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</si>
  <si>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</si>
  <si>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</si>
  <si>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</si>
  <si>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</si>
  <si>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</si>
  <si>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</si>
  <si>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</si>
  <si>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</si>
  <si>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</si>
  <si>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</si>
  <si>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</si>
  <si>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</si>
  <si>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</si>
  <si>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</si>
  <si>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</si>
  <si>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</si>
  <si>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</si>
  <si>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</si>
  <si>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</si>
  <si>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</si>
  <si>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</si>
  <si>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</si>
  <si>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</si>
  <si>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</si>
  <si>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</si>
  <si>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</si>
  <si>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</si>
  <si>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</si>
  <si>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</si>
  <si>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</si>
  <si>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</si>
  <si>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</si>
  <si>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</si>
  <si>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</si>
  <si>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</si>
  <si>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</si>
  <si>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</si>
  <si>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</si>
  <si>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</si>
  <si>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</si>
  <si>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</si>
  <si>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</si>
  <si>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</si>
  <si>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</si>
  <si>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</si>
  <si>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</si>
  <si>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</si>
  <si>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</si>
  <si>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</si>
  <si>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</si>
  <si>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</si>
  <si>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</si>
  <si>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</si>
  <si>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</si>
  <si>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</si>
  <si>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</si>
  <si>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</si>
  <si>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</si>
  <si>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</si>
  <si>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</si>
  <si>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</si>
  <si>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</si>
  <si>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</si>
  <si>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</si>
  <si>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</si>
  <si>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</si>
  <si>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</si>
  <si>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</si>
  <si>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</si>
  <si>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</si>
  <si>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</si>
  <si>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</si>
  <si>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</si>
  <si>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</si>
  <si>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</si>
  <si>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</si>
  <si>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</si>
  <si>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</si>
  <si>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</si>
  <si>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</si>
  <si>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</si>
  <si>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</si>
  <si>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</si>
  <si>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</si>
  <si>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</si>
  <si>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</si>
  <si>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</si>
  <si>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</si>
  <si>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</si>
  <si>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</si>
  <si>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</si>
  <si>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</si>
  <si>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</si>
  <si>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</si>
  <si>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</si>
  <si>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</si>
  <si>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</si>
  <si>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</si>
  <si>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</si>
  <si>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</si>
  <si>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</si>
  <si>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</si>
  <si>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</si>
  <si>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</si>
  <si>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</si>
  <si>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</si>
  <si>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</si>
  <si>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</si>
  <si>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</si>
  <si>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</si>
  <si>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</si>
  <si>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</si>
  <si>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</si>
  <si>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</si>
  <si>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</si>
  <si>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</si>
  <si>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</si>
  <si>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</si>
  <si>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</si>
  <si>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</si>
  <si>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</si>
  <si>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</si>
  <si>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</si>
  <si>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</si>
  <si>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</si>
  <si>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</si>
  <si>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</si>
  <si>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</si>
  <si>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</si>
  <si>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</si>
  <si>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</si>
  <si>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</si>
  <si>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</si>
  <si>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</si>
  <si>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</si>
  <si>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</si>
  <si>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</si>
  <si>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</si>
  <si>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</si>
  <si>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</si>
  <si>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</si>
  <si>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</si>
  <si>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</si>
  <si>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</si>
  <si>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</si>
  <si>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</si>
  <si>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</si>
  <si>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</si>
  <si>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</si>
  <si>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</si>
  <si>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</si>
  <si>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</si>
  <si>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</si>
  <si>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</si>
  <si>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</si>
  <si>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</si>
  <si>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</si>
  <si>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</si>
  <si>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</si>
  <si>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</si>
  <si>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</si>
  <si>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</si>
  <si>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</si>
  <si>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</si>
  <si>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</si>
  <si>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</si>
  <si>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</si>
  <si>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</si>
  <si>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</si>
  <si>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</si>
  <si>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</si>
  <si>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</si>
  <si>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</si>
  <si>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</si>
  <si>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</si>
  <si>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</si>
  <si>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</si>
  <si>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</si>
  <si>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</si>
  <si>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</si>
  <si>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</si>
  <si>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</si>
  <si>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</si>
  <si>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</si>
  <si>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</si>
  <si>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</si>
  <si>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</si>
  <si>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</si>
  <si>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</si>
  <si>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</si>
  <si>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</si>
  <si>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</si>
  <si>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</si>
  <si>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</si>
  <si>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</si>
  <si>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</si>
  <si>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</si>
  <si>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</si>
  <si>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</si>
  <si>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</si>
  <si>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</si>
  <si>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</si>
  <si>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</si>
  <si>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</si>
  <si>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</si>
  <si>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</si>
  <si>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</si>
  <si>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</si>
  <si>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</si>
  <si>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</si>
  <si>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</si>
  <si>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</si>
  <si>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</si>
  <si>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</si>
  <si>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</si>
  <si>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</si>
  <si>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</si>
  <si>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</si>
  <si>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</si>
  <si>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</si>
  <si>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</si>
  <si>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</si>
  <si>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</si>
  <si>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</si>
  <si>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</si>
  <si>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</si>
  <si>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</si>
  <si>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</si>
  <si>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</si>
  <si>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</si>
  <si>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</si>
  <si>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</si>
  <si>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</si>
  <si>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</si>
  <si>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</si>
  <si>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</si>
  <si>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</si>
  <si>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</si>
  <si>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</si>
  <si>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</si>
  <si>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</si>
  <si>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</si>
  <si>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</si>
  <si>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</si>
  <si>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</si>
  <si>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</si>
  <si>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</si>
  <si>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</si>
  <si>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</si>
  <si>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</si>
  <si>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</si>
  <si>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</si>
  <si>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</si>
  <si>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</si>
  <si>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</si>
  <si>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</si>
  <si>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</si>
  <si>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</si>
  <si>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</si>
  <si>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</si>
  <si>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</si>
  <si>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</si>
  <si>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</si>
  <si>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</si>
  <si>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</si>
  <si>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</si>
  <si>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</si>
  <si>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</si>
  <si>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</si>
  <si>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</si>
  <si>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</si>
  <si>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</si>
  <si>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</si>
  <si>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</si>
  <si>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</si>
  <si>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</si>
  <si>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</si>
  <si>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</si>
  <si>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</si>
  <si>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</si>
  <si>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</si>
  <si>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</si>
  <si>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</si>
  <si>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</si>
  <si>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</si>
  <si>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</si>
  <si>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</si>
  <si>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</si>
  <si>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</si>
  <si>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</si>
  <si>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</si>
  <si>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</si>
  <si>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</si>
  <si>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</si>
  <si>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</si>
  <si>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</si>
  <si>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</si>
  <si>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</si>
  <si>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</si>
  <si>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</si>
  <si>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</si>
  <si>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</si>
  <si>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</si>
  <si>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</si>
  <si>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</si>
  <si>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</si>
  <si>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</si>
  <si>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</si>
  <si>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</si>
  <si>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</si>
  <si>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</si>
  <si>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</si>
  <si>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</si>
  <si>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</si>
  <si>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</si>
  <si>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</si>
  <si>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</si>
  <si>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</si>
  <si>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</si>
  <si>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</si>
  <si>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</si>
  <si>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</si>
  <si>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</si>
  <si>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</si>
  <si>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</si>
  <si>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</si>
  <si>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</si>
  <si>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</si>
  <si>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</si>
  <si>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</si>
  <si>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</si>
  <si>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</si>
  <si>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</si>
  <si>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</si>
  <si>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</si>
  <si>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</si>
  <si>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</si>
  <si>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</si>
  <si>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</si>
  <si>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</si>
  <si>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</si>
  <si>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</si>
  <si>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</si>
  <si>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</si>
  <si>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</si>
  <si>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</si>
  <si>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</si>
  <si>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</si>
  <si>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</si>
  <si>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</si>
  <si>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</si>
  <si>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</si>
  <si>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</si>
  <si>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</si>
  <si>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</si>
  <si>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</si>
  <si>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</si>
  <si>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</si>
  <si>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</si>
  <si>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</si>
  <si>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</si>
  <si>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</si>
  <si>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</si>
  <si>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</si>
  <si>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</si>
  <si>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</si>
  <si>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</si>
  <si>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</si>
  <si>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</si>
  <si>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</si>
  <si>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</si>
  <si>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</si>
  <si>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</si>
  <si>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</si>
  <si>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</si>
  <si>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</si>
  <si>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</si>
  <si>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</si>
  <si>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</si>
  <si>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</si>
  <si>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</si>
  <si>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</si>
  <si>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</si>
  <si>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</si>
  <si>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</si>
  <si>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</si>
  <si>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</si>
  <si>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</si>
  <si>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</si>
  <si>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</si>
  <si>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</si>
  <si>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</si>
  <si>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</si>
  <si>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</si>
  <si>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</si>
  <si>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</si>
  <si>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</si>
  <si>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</si>
  <si>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</si>
  <si>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</si>
  <si>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</si>
  <si>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</si>
  <si>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</si>
  <si>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</si>
  <si>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</si>
  <si>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</si>
  <si>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</si>
  <si>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</si>
  <si>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</si>
  <si>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</si>
  <si>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</si>
  <si>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</si>
  <si>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</si>
  <si>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</si>
  <si>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</si>
  <si>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</si>
  <si>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</si>
  <si>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</si>
  <si>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</si>
  <si>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</si>
  <si>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</si>
  <si>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</si>
  <si>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</si>
  <si>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</si>
  <si>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</si>
  <si>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</si>
  <si>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</si>
  <si>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</si>
  <si>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</si>
  <si>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</si>
  <si>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</si>
  <si>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</si>
  <si>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</si>
  <si>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</si>
  <si>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</si>
  <si>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</si>
  <si>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</si>
  <si>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</si>
  <si>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</si>
  <si>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</si>
  <si>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</si>
  <si>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</si>
  <si>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</si>
  <si>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</si>
  <si>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</si>
  <si>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</si>
  <si>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</si>
  <si>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</si>
  <si>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</si>
  <si>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</si>
  <si>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</si>
  <si>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</si>
  <si>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</si>
  <si>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</si>
  <si>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</si>
  <si>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</si>
  <si>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</si>
  <si>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</si>
  <si>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</si>
  <si>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</si>
  <si>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</si>
  <si>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</si>
  <si>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</si>
  <si>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</si>
  <si>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</si>
  <si>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</si>
  <si>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</si>
  <si>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</si>
  <si>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</si>
  <si>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</si>
  <si>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</si>
  <si>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</si>
  <si>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</si>
  <si>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</si>
  <si>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</si>
  <si>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</si>
  <si>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</si>
  <si>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</si>
  <si>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</si>
  <si>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</si>
  <si>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</si>
  <si>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</si>
  <si>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</si>
  <si>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</si>
  <si>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</si>
  <si>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</si>
  <si>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</si>
  <si>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</si>
  <si>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</si>
  <si>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</si>
  <si>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</si>
  <si>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</si>
  <si>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</si>
  <si>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</si>
  <si>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</si>
  <si>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</si>
  <si>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</si>
  <si>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</si>
  <si>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</si>
  <si>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</si>
  <si>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</si>
  <si>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</si>
  <si>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</si>
  <si>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</si>
  <si>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</si>
  <si>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</si>
  <si>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</si>
  <si>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</si>
  <si>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</si>
  <si>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</si>
  <si>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</si>
  <si>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</si>
  <si>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</si>
  <si>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</si>
  <si>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</si>
  <si>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</si>
  <si>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</si>
  <si>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</si>
  <si>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</si>
  <si>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</si>
  <si>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</si>
  <si>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</si>
  <si>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</si>
  <si>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</si>
  <si>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</si>
  <si>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</si>
  <si>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</si>
  <si>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</si>
  <si>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</si>
  <si>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</si>
  <si>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</si>
  <si>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</si>
  <si>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</si>
  <si>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</si>
  <si>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</si>
  <si>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</si>
  <si>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</si>
  <si>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</si>
  <si>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</si>
  <si>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</si>
  <si>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</si>
  <si>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</si>
  <si>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</si>
  <si>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</si>
  <si>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</si>
  <si>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</si>
  <si>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</si>
  <si>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</si>
  <si>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</si>
  <si>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</si>
  <si>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</si>
  <si>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</si>
  <si>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</si>
  <si>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</si>
  <si>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</si>
  <si>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</si>
  <si>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</si>
  <si>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</si>
  <si>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</si>
  <si>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</si>
  <si>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</si>
  <si>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</si>
  <si>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</si>
  <si>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</si>
  <si>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</si>
  <si>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</si>
  <si>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</si>
  <si>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</si>
  <si>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</si>
  <si>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</si>
  <si>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</si>
  <si>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</si>
  <si>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</si>
  <si>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</si>
  <si>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</si>
  <si>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</si>
  <si>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</si>
  <si>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</si>
  <si>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</si>
  <si>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</si>
  <si>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</si>
  <si>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</si>
  <si>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</si>
  <si>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</si>
  <si>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</si>
  <si>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</si>
  <si>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</si>
  <si>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</si>
  <si>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</si>
  <si>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</si>
  <si>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</si>
  <si>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</si>
  <si>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</si>
  <si>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</si>
  <si>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</si>
  <si>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</si>
  <si>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</si>
  <si>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</si>
  <si>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</si>
  <si>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</si>
  <si>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</si>
  <si>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</si>
  <si>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</si>
  <si>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</si>
  <si>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</si>
  <si>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</si>
  <si>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</si>
  <si>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</si>
  <si>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</si>
  <si>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</si>
  <si>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</si>
  <si>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</si>
  <si>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</si>
  <si>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</si>
  <si>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</si>
  <si>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</si>
  <si>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</si>
  <si>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</si>
  <si>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</si>
  <si>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</si>
  <si>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</si>
  <si>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</si>
  <si>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</si>
  <si>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</si>
  <si>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</si>
  <si>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</si>
  <si>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</si>
  <si>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</si>
  <si>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</si>
  <si>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</si>
  <si>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</si>
  <si>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</si>
  <si>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</si>
  <si>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</si>
  <si>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</si>
  <si>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</si>
  <si>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</si>
  <si>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</si>
  <si>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</si>
  <si>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</si>
  <si>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</si>
  <si>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</si>
  <si>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</si>
  <si>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</si>
  <si>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</si>
  <si>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</si>
  <si>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</si>
  <si>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</si>
  <si>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</si>
  <si>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</si>
  <si>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</si>
  <si>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</si>
  <si>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</si>
  <si>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</si>
  <si>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</si>
  <si>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</si>
  <si>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</si>
  <si>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</si>
  <si>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</si>
  <si>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</si>
  <si>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</si>
  <si>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</si>
  <si>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</si>
  <si>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</si>
  <si>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</si>
  <si>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</si>
  <si>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</si>
  <si>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</si>
  <si>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</si>
  <si>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</si>
  <si>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</si>
  <si>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</si>
  <si>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</si>
  <si>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</si>
  <si>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</si>
  <si>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</si>
  <si>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</si>
  <si>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</si>
  <si>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</si>
  <si>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</si>
  <si>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</si>
  <si>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</si>
  <si>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</si>
  <si>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</si>
  <si>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</si>
  <si>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</si>
  <si>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</si>
  <si>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</si>
  <si>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</si>
  <si>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</si>
  <si>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</si>
  <si>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</si>
  <si>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</si>
  <si>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</si>
  <si>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</si>
  <si>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</si>
  <si>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</si>
  <si>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</si>
  <si>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</si>
  <si>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</si>
  <si>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</si>
  <si>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</si>
  <si>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</si>
  <si>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</si>
  <si>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</si>
  <si>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</si>
  <si>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</si>
  <si>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</si>
  <si>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</si>
  <si>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</si>
  <si>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</si>
  <si>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</si>
  <si>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</si>
  <si>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</si>
  <si>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</si>
  <si>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</si>
  <si>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</si>
  <si>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</si>
  <si>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</si>
  <si>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</si>
  <si>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</si>
  <si>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</si>
  <si>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</si>
  <si>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</si>
  <si>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</si>
  <si>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</si>
  <si>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</si>
  <si>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</si>
  <si>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</si>
  <si>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</si>
  <si>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</si>
  <si>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</si>
  <si>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</si>
  <si>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</si>
  <si>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</si>
  <si>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</si>
  <si>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</si>
  <si>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</si>
  <si>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</si>
  <si>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</si>
  <si>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</si>
  <si>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</si>
  <si>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</si>
  <si>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</si>
  <si>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</si>
  <si>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</si>
  <si>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</si>
  <si>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</si>
  <si>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</si>
  <si>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</si>
  <si>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</si>
  <si>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</si>
  <si>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</si>
  <si>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</si>
  <si>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</si>
  <si>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</si>
  <si>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</si>
  <si>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</si>
  <si>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</si>
  <si>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</si>
  <si>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</si>
  <si>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</si>
  <si>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</si>
  <si>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</si>
  <si>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</si>
  <si>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</si>
  <si>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</si>
  <si>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</si>
  <si>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</si>
  <si>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</si>
  <si>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</si>
  <si>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</si>
  <si>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</si>
  <si>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</si>
  <si>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</si>
  <si>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</si>
  <si>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</si>
  <si>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</si>
  <si>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</si>
  <si>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</si>
  <si>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</si>
  <si>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</si>
  <si>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</si>
  <si>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</si>
  <si>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</si>
  <si>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</si>
  <si>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</si>
  <si>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</si>
  <si>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</si>
  <si>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</si>
  <si>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</si>
  <si>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</si>
  <si>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</si>
  <si>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</si>
  <si>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</si>
  <si>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</si>
  <si>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</si>
  <si>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</si>
  <si>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</si>
  <si>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</si>
  <si>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</si>
  <si>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</si>
  <si>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</si>
  <si>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</si>
  <si>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</si>
  <si>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</si>
  <si>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</si>
  <si>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</si>
  <si>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</si>
  <si>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</si>
  <si>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</si>
  <si>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</si>
  <si>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</si>
  <si>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</si>
  <si>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</si>
  <si>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</si>
  <si>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Шкаф АСУ Зд (N1CJU01)</t>
  </si>
  <si>
    <t>A3.5</t>
  </si>
  <si>
    <t>A3.7</t>
  </si>
  <si>
    <t>A3.9</t>
  </si>
  <si>
    <t>A3.11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</si>
  <si>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</si>
  <si>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</si>
  <si>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</si>
  <si>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</si>
  <si>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</si>
  <si>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</si>
  <si>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</si>
  <si>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</si>
  <si>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</si>
  <si>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</si>
  <si>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</si>
  <si>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</si>
  <si>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</si>
  <si>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</si>
  <si>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</si>
  <si>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</si>
  <si>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</si>
  <si>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</si>
  <si>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</si>
  <si>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</si>
  <si>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</si>
  <si>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</si>
  <si>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</si>
  <si>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</si>
  <si>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</si>
  <si>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</si>
  <si>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</si>
  <si>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</si>
  <si>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</si>
  <si>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</si>
  <si>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</si>
  <si>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</si>
  <si>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</si>
  <si>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</si>
  <si>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</si>
  <si>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</si>
  <si>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</si>
  <si>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</si>
  <si>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</si>
  <si>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</si>
  <si>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</si>
  <si>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</si>
  <si>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</si>
  <si>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</si>
  <si>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</si>
  <si>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</si>
  <si>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</si>
  <si>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</si>
  <si>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</si>
  <si>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</si>
  <si>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</si>
  <si>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</si>
  <si>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</si>
  <si>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</si>
  <si>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</si>
  <si>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</si>
  <si>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</si>
  <si>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</si>
  <si>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</si>
  <si>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</si>
  <si>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</si>
  <si>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</si>
  <si>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E3</t>
  </si>
  <si>
    <t>Силовой трансформатор Т-1</t>
  </si>
  <si>
    <t>se0038</t>
  </si>
  <si>
    <t>E3-1</t>
  </si>
  <si>
    <t>E3-2</t>
  </si>
  <si>
    <t>Силовой трансформатор Т-2</t>
  </si>
  <si>
    <t>Шкаф АСУ ЭТО (E3CJU01)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</si>
  <si>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</si>
  <si>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</si>
  <si>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</si>
  <si>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</si>
  <si>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</si>
  <si>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</si>
  <si>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</si>
  <si>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</si>
  <si>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</si>
  <si>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</si>
  <si>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</si>
  <si>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E3-3</t>
  </si>
  <si>
    <t>se0039</t>
  </si>
  <si>
    <t>se0040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</si>
  <si>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</si>
  <si>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</si>
  <si>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</si>
  <si>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</si>
  <si>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</si>
  <si>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</si>
  <si>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</si>
  <si>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</si>
  <si>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</si>
  <si>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</si>
  <si>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</si>
  <si>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Switch</t>
  </si>
  <si>
    <t>Port</t>
  </si>
  <si>
    <t>SW3</t>
  </si>
  <si>
    <t>eth</t>
  </si>
  <si>
    <t>Сигналы с ячейки 5 (Ввод 1)</t>
  </si>
  <si>
    <t>Сигналы с ячейки 1 (Ввод 1 к ТСН-35 2ТП-1000/6/0,4 кВ аккумулирующей насосной)</t>
  </si>
  <si>
    <t>Сигналы с ячейки 2 (Ввод 1 к РУ-6 кВ здания расположения теплообменников)</t>
  </si>
  <si>
    <t>Сигналы с ячейки 3 (Ввод 1 к Т-1 2ТП-3200/6/0,4 кВ здания РУСН)</t>
  </si>
  <si>
    <t>Сигналы с ячейки 4 (Ввод к ТСН-1 здания РУСН)</t>
  </si>
  <si>
    <t>Сигналы с ячейки 6 (секционный выключатель I с.ш. РУ-6 кВ)</t>
  </si>
  <si>
    <t>Сигналы с ячейки 7 (секционный выключатель II с.ш. РУ-6 кВ)</t>
  </si>
  <si>
    <t>Сигналы с ячейки 9 (Ввод к ТСН-2 здания РУСН)</t>
  </si>
  <si>
    <t>Сигналы с ячейки 10 (Ввод 2 к Т-2 2ТП-3200/6/0,4 кВ здания РУСН)</t>
  </si>
  <si>
    <t>Сигналы с ячейки 11 (Ввод 2 к РУ-6 кВ здания расположения теплообменников)</t>
  </si>
  <si>
    <t>Сигналы с ячейки 12 (Ввод 2 к ТСН-36 2ТП-1000/6/0,4 кВ аккумулирующей насосной)</t>
  </si>
  <si>
    <t>F0AAT01</t>
  </si>
  <si>
    <t>F0AAT02</t>
  </si>
  <si>
    <t>F0CBB05</t>
  </si>
  <si>
    <t>F0CBB08</t>
  </si>
  <si>
    <t>F0CBB01</t>
  </si>
  <si>
    <t>F0CBB02</t>
  </si>
  <si>
    <t>F0CBB03</t>
  </si>
  <si>
    <t>F0CBB04</t>
  </si>
  <si>
    <t>F0CBB06</t>
  </si>
  <si>
    <t>F0CBB07</t>
  </si>
  <si>
    <t>F0CBB09</t>
  </si>
  <si>
    <t>F0CBB10</t>
  </si>
  <si>
    <t>F0CBB11</t>
  </si>
  <si>
    <t>F0CBB12</t>
  </si>
  <si>
    <t>F0AAT01CY001</t>
  </si>
  <si>
    <t>F0AAT01CY002</t>
  </si>
  <si>
    <t>F0AAT01CY003</t>
  </si>
  <si>
    <t>F0AAT01CY004</t>
  </si>
  <si>
    <t>F0AAT01CY005</t>
  </si>
  <si>
    <t>F0AAT01CY006</t>
  </si>
  <si>
    <t>F0AAT01CY007</t>
  </si>
  <si>
    <t>F0AAT01CY008</t>
  </si>
  <si>
    <t>F0AAT01CY009</t>
  </si>
  <si>
    <t>F0AAT01CY010</t>
  </si>
  <si>
    <t>F0AAT01CY011</t>
  </si>
  <si>
    <t>F0AAT02CY001</t>
  </si>
  <si>
    <t>F0AAT02CY002</t>
  </si>
  <si>
    <t>F0AAT02CY003</t>
  </si>
  <si>
    <t>F0AAT02CY004</t>
  </si>
  <si>
    <t>F0AAT02CY005</t>
  </si>
  <si>
    <t>F0AAT02CY006</t>
  </si>
  <si>
    <t>F0AAT02CY007</t>
  </si>
  <si>
    <t>F0AAT02CY008</t>
  </si>
  <si>
    <t>F0AAT02CY009</t>
  </si>
  <si>
    <t>F0AAT02CY010</t>
  </si>
  <si>
    <t>F0AAT02CY011</t>
  </si>
  <si>
    <t>N1AAT01</t>
  </si>
  <si>
    <t>N1AAT02</t>
  </si>
  <si>
    <t>N1CBB05</t>
  </si>
  <si>
    <t>N1CBB08</t>
  </si>
  <si>
    <t>N1CBB01</t>
  </si>
  <si>
    <t>N1CBB02</t>
  </si>
  <si>
    <t>N1CBB03</t>
  </si>
  <si>
    <t>N1CBB04</t>
  </si>
  <si>
    <t>N1CBB06</t>
  </si>
  <si>
    <t>N1CBB07</t>
  </si>
  <si>
    <t>N1CBB09</t>
  </si>
  <si>
    <t>N1CBB10</t>
  </si>
  <si>
    <t>N1CBB11</t>
  </si>
  <si>
    <t>N1CBB12</t>
  </si>
  <si>
    <t>Встроенная трансформаторная подстанция. Силовой трансформатор Т-4</t>
  </si>
  <si>
    <t>Встроенная трансформаторная подстанция. Силовой трансформатор Т-3</t>
  </si>
  <si>
    <t>N1CBB13</t>
  </si>
  <si>
    <t>N1CBB14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</si>
  <si>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</si>
  <si>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</si>
  <si>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</si>
  <si>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</si>
  <si>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</si>
  <si>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</si>
  <si>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</si>
  <si>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</si>
  <si>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</si>
  <si>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</si>
  <si>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</si>
  <si>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</si>
  <si>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</si>
  <si>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</si>
  <si>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</si>
  <si>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</si>
  <si>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Сигналы с ячейки 8 (Ввод 2)</t>
  </si>
  <si>
    <t xml:space="preserve">Сигналы с ячейки 1 (Ввод к ТСН-3 здания расположения теплообменников)  </t>
  </si>
  <si>
    <t xml:space="preserve">Сигналы с ячейки 2 (Ввод 1 к Т-3 2ТП-1000/6/0,4 кВ здания расположения теплообменников)  </t>
  </si>
  <si>
    <t xml:space="preserve">Сигналы с ячейки 3 (питание сетевого насоса К3.1)  </t>
  </si>
  <si>
    <t xml:space="preserve">Сигналы с ячейки 4 (питание сетевого насоса К3.2)  </t>
  </si>
  <si>
    <t xml:space="preserve">Сигналы с ячейки 5 (Ввод 1 РУ-6 кВ здания расположения теплообменников)  </t>
  </si>
  <si>
    <t xml:space="preserve">Сигналы с ячейки 6 (Ввод 1 ВЧРП здания расположения теплообменников)  </t>
  </si>
  <si>
    <t xml:space="preserve">Сигналы с ячейки 7 (секционный выключатель I с.ш. РУ-6 кВ)  </t>
  </si>
  <si>
    <t xml:space="preserve">Сигналы с ячейки 8 (секционный выключатель II с.ш. РУ-6 кВ)  </t>
  </si>
  <si>
    <t xml:space="preserve">Сигналы с ячейки 9 (Ввод 2 РУ-6 кВ здания расположения теплообменников)  </t>
  </si>
  <si>
    <t xml:space="preserve">Сигналы с ячейки 10 (Ввод 2 ВЧРП здания расположения теплообменников)  </t>
  </si>
  <si>
    <t xml:space="preserve">Сигналы с ячейки 11 (питание сетевого насоса К3.3)  </t>
  </si>
  <si>
    <t xml:space="preserve">Сигналы с ячейки 12 (питание сетевого насоса К3.4)  </t>
  </si>
  <si>
    <t xml:space="preserve">Сигналы с ячейки 13 (Ввод 2 к Т-4 2ТП-1000/6/0,4 кВ здания расположения теплообменников)  </t>
  </si>
  <si>
    <t xml:space="preserve">Сигналы с ячейки 14 (Ввод к ТСН-4 здания расположения теплообменников)  </t>
  </si>
  <si>
    <t>N1AAT01CY001</t>
  </si>
  <si>
    <t>N1AAT01CY002</t>
  </si>
  <si>
    <t>N1AAT01CY003</t>
  </si>
  <si>
    <t>N1AAT01CY004</t>
  </si>
  <si>
    <t>N1AAT01CY005</t>
  </si>
  <si>
    <t>N1AAT01CY006</t>
  </si>
  <si>
    <t>N1AAT01CY007</t>
  </si>
  <si>
    <t>N1AAT01CY008</t>
  </si>
  <si>
    <t>N1AAT01CY009</t>
  </si>
  <si>
    <t>N1AAT01CY010</t>
  </si>
  <si>
    <t>N1AAT01CY011</t>
  </si>
  <si>
    <t>N1AAT02CY001</t>
  </si>
  <si>
    <t>N1AAT02CY002</t>
  </si>
  <si>
    <t>N1AAT02CY003</t>
  </si>
  <si>
    <t>N1AAT02CY004</t>
  </si>
  <si>
    <t>N1AAT02CY005</t>
  </si>
  <si>
    <t>N1AAT02CY006</t>
  </si>
  <si>
    <t>N1AAT02CY007</t>
  </si>
  <si>
    <t>N1AAT02CY008</t>
  </si>
  <si>
    <t>N1AAT02CY009</t>
  </si>
  <si>
    <t>N1AAT02CY010</t>
  </si>
  <si>
    <t>N1AAT02CY011</t>
  </si>
  <si>
    <t>N2AAT01</t>
  </si>
  <si>
    <t>N2AAT02</t>
  </si>
  <si>
    <t>E3-31</t>
  </si>
  <si>
    <t>E3-32</t>
  </si>
  <si>
    <t>N2AAT01CY001</t>
  </si>
  <si>
    <t>N2AAT01CY002</t>
  </si>
  <si>
    <t>N2AAT01CY003</t>
  </si>
  <si>
    <t>N2AAT01CY004</t>
  </si>
  <si>
    <t>N2AAT01CY005</t>
  </si>
  <si>
    <t>N2AAT01CY006</t>
  </si>
  <si>
    <t>N2AAT01CY007</t>
  </si>
  <si>
    <t>N2AAT01CY008</t>
  </si>
  <si>
    <t>N2AAT01CY009</t>
  </si>
  <si>
    <t>N2AAT01CY010</t>
  </si>
  <si>
    <t>N2AAT01CY011</t>
  </si>
  <si>
    <t>N2AAT02CY001</t>
  </si>
  <si>
    <t>N2AAT02CY002</t>
  </si>
  <si>
    <t>N2AAT02CY003</t>
  </si>
  <si>
    <t>N2AAT02CY004</t>
  </si>
  <si>
    <t>N2AAT02CY005</t>
  </si>
  <si>
    <t>N2AAT02CY006</t>
  </si>
  <si>
    <t>N2AAT02CY007</t>
  </si>
  <si>
    <t>N2AAT02CY008</t>
  </si>
  <si>
    <t>N2AAT02CY009</t>
  </si>
  <si>
    <t>N2AAT02CY010</t>
  </si>
  <si>
    <t>N2AAT02CY011</t>
  </si>
  <si>
    <t>Питание ввода №1 в норме (ЭТО)</t>
  </si>
  <si>
    <t>Питание ввода №2 в норме (ЭТО)</t>
  </si>
  <si>
    <t>Ввод 1 включен (ЭТО)</t>
  </si>
  <si>
    <t>Ввод 2 включен (ЭТО)</t>
  </si>
  <si>
    <t>Питание ИБП в норме (ЭТО)</t>
  </si>
  <si>
    <t>Питание цепей внешних сигналов включено (ЭТО)</t>
  </si>
  <si>
    <t>Питание цепей внутренних сигналов включено (ЭТО)</t>
  </si>
  <si>
    <t>Питание датчиков 220В включено (ЭТО)</t>
  </si>
  <si>
    <t>Дверь шкафа открыта (ЭТО)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</si>
  <si>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</si>
  <si>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</si>
  <si>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Силовой трансформатор Т-1 не в норме</t>
  </si>
  <si>
    <t>SO1</t>
  </si>
  <si>
    <t>SO2</t>
  </si>
  <si>
    <t>SO3</t>
  </si>
  <si>
    <t>SO4</t>
  </si>
  <si>
    <t>SO5</t>
  </si>
  <si>
    <t>SO6</t>
  </si>
  <si>
    <t>SO7</t>
  </si>
  <si>
    <t>Силовой трансформатор Т-2 не в норме</t>
  </si>
  <si>
    <t>Силовой трансформатор Т-3 не в норме</t>
  </si>
  <si>
    <t>Силовой трансформатор Т-4 не в норме</t>
  </si>
  <si>
    <t>Силовой трансформатор ТСН-35 не в норме</t>
  </si>
  <si>
    <t>Силовой трансформатор ТСН-36 не в норме</t>
  </si>
  <si>
    <t>Звуковая сигнализация</t>
  </si>
  <si>
    <t>Сброс звуковой сигнализации</t>
  </si>
  <si>
    <t>SD10</t>
  </si>
  <si>
    <t>Ki-10</t>
  </si>
  <si>
    <t>Ko-01</t>
  </si>
  <si>
    <t>Ko-02</t>
  </si>
  <si>
    <t>Ko-03</t>
  </si>
  <si>
    <t>Ko-04</t>
  </si>
  <si>
    <t>Ko-05</t>
  </si>
  <si>
    <t>Ko-06</t>
  </si>
  <si>
    <t>Ko-07</t>
  </si>
  <si>
    <t>HL10</t>
  </si>
  <si>
    <t>HL11</t>
  </si>
  <si>
    <t>HL12</t>
  </si>
  <si>
    <t>HL13</t>
  </si>
  <si>
    <t>HL14</t>
  </si>
  <si>
    <t>HL15</t>
  </si>
  <si>
    <t>HL16</t>
  </si>
  <si>
    <t>SB1</t>
  </si>
  <si>
    <t>РУ-6 кВ ВК</t>
  </si>
  <si>
    <t>РУ-6 кВ Зд</t>
  </si>
  <si>
    <t>se0041</t>
  </si>
  <si>
    <t>E3CJU01 GH001</t>
  </si>
  <si>
    <t>E3CJU01 GH002</t>
  </si>
  <si>
    <t>E3CJU01 GH003</t>
  </si>
  <si>
    <t>E3CJU01 GH004</t>
  </si>
  <si>
    <t>E3CJU01 GH005</t>
  </si>
  <si>
    <t>E3CJU01 GH006</t>
  </si>
  <si>
    <t>E3CJU01 GH007</t>
  </si>
  <si>
    <t>E3CJU01 GH008</t>
  </si>
  <si>
    <t>E3CJU01 GH009</t>
  </si>
  <si>
    <t>F0AAT01 SA001</t>
  </si>
  <si>
    <t>F0AAT02 SA001</t>
  </si>
  <si>
    <t>N1AAT01 SA001</t>
  </si>
  <si>
    <t>N1AAT02 SA001</t>
  </si>
  <si>
    <t>N2AAT01 SA001</t>
  </si>
  <si>
    <t>N2AAT02 SA001</t>
  </si>
  <si>
    <t>E3CJU01 YH001</t>
  </si>
  <si>
    <t>E3CJU01 XH001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</si>
</sst>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M50"/>
  <sheetViews>
    <sheetView tabSelected="1" zoomScale="85" zoomScaleNormal="85" workbookViewId="0">
      <pane ySplit="1" topLeftCell="A2" activePane="bottomLeft" state="frozen"/>
      <selection pane="bottomLeft" activeCell="A54" sqref="A54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9" bestFit="1" customWidth="1"/>
    <col min="36" max="36" width="8.7109375" style="59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19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8" t="s">
        <v>1791</v>
      </c>
      <c r="AJ1" s="58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19" t="s">
        <v>114</v>
      </c>
      <c r="LX1" s="4" t="s">
        <v>35</v>
      </c>
      <c r="LY1" s="5" t="s">
        <v>51</v>
      </c>
      <c r="LZ1" s="5" t="s">
        <v>50</v>
      </c>
      <c r="MA1" s="5" t="s">
        <v>404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856</v>
      </c>
      <c r="MH1" s="5" t="s">
        <v>857</v>
      </c>
      <c r="MI1" s="5" t="s">
        <v>858</v>
      </c>
      <c r="MJ1" s="5" t="s">
        <v>859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860</v>
      </c>
      <c r="MP1" s="5" t="s">
        <v>861</v>
      </c>
      <c r="MQ1" s="5" t="s">
        <v>862</v>
      </c>
      <c r="MR1" s="5" t="s">
        <v>863</v>
      </c>
      <c r="MS1" s="9" t="s">
        <v>864</v>
      </c>
      <c r="MT1" s="40" t="s">
        <v>924</v>
      </c>
      <c r="MU1" s="37" t="s">
        <v>925</v>
      </c>
      <c r="MV1" s="41" t="s">
        <v>928</v>
      </c>
      <c r="MW1" s="41" t="s">
        <v>929</v>
      </c>
      <c r="MX1" s="41" t="s">
        <v>930</v>
      </c>
      <c r="MY1" s="41" t="s">
        <v>35</v>
      </c>
      <c r="MZ1" s="41" t="s">
        <v>37</v>
      </c>
      <c r="NA1" s="41" t="s">
        <v>36</v>
      </c>
      <c r="NB1" s="41" t="s">
        <v>39</v>
      </c>
      <c r="NC1" s="41" t="s">
        <v>38</v>
      </c>
      <c r="ND1" s="41" t="s">
        <v>41</v>
      </c>
      <c r="NE1" s="41" t="s">
        <v>40</v>
      </c>
      <c r="NF1" s="41" t="s">
        <v>557</v>
      </c>
      <c r="NG1" s="41" t="s">
        <v>558</v>
      </c>
      <c r="NH1" s="5" t="s">
        <v>855</v>
      </c>
      <c r="NI1" s="5" t="s">
        <v>918</v>
      </c>
      <c r="NJ1" s="5" t="s">
        <v>919</v>
      </c>
      <c r="NK1" s="5" t="s">
        <v>920</v>
      </c>
      <c r="NL1" s="5" t="s">
        <v>921</v>
      </c>
      <c r="NM1" s="5" t="s">
        <v>922</v>
      </c>
      <c r="NN1" s="5" t="s">
        <v>923</v>
      </c>
      <c r="NO1" s="5" t="s">
        <v>404</v>
      </c>
      <c r="NP1" s="5" t="s">
        <v>405</v>
      </c>
      <c r="NQ1" s="5" t="s">
        <v>406</v>
      </c>
      <c r="NR1" s="5" t="s">
        <v>407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856</v>
      </c>
      <c r="OB1" s="5" t="s">
        <v>857</v>
      </c>
      <c r="OC1" s="5" t="s">
        <v>858</v>
      </c>
      <c r="OD1" s="9" t="s">
        <v>859</v>
      </c>
      <c r="OE1" s="5" t="s">
        <v>953</v>
      </c>
      <c r="OF1" s="9" t="s">
        <v>954</v>
      </c>
      <c r="OG1" s="23" t="s">
        <v>35</v>
      </c>
      <c r="OH1" s="23" t="s">
        <v>924</v>
      </c>
      <c r="OI1" s="23" t="s">
        <v>925</v>
      </c>
      <c r="OJ1" s="23" t="s">
        <v>1032</v>
      </c>
      <c r="OK1" s="23" t="s">
        <v>1033</v>
      </c>
      <c r="OL1" s="23" t="s">
        <v>557</v>
      </c>
      <c r="OM1" s="23" t="s">
        <v>558</v>
      </c>
      <c r="ON1" s="23" t="s">
        <v>1015</v>
      </c>
      <c r="OO1" s="23" t="s">
        <v>1016</v>
      </c>
      <c r="OP1" s="23" t="s">
        <v>1017</v>
      </c>
      <c r="OQ1" s="23" t="s">
        <v>1018</v>
      </c>
      <c r="OR1" s="23" t="s">
        <v>1036</v>
      </c>
      <c r="OS1" s="23" t="s">
        <v>1037</v>
      </c>
      <c r="OT1" s="23" t="s">
        <v>1038</v>
      </c>
      <c r="OU1" s="23" t="s">
        <v>1039</v>
      </c>
      <c r="OV1" s="32" t="s">
        <v>401</v>
      </c>
      <c r="OW1" s="5" t="s">
        <v>402</v>
      </c>
      <c r="OX1" s="32" t="s">
        <v>555</v>
      </c>
      <c r="OY1" s="5" t="s">
        <v>556</v>
      </c>
      <c r="OZ1" s="32" t="s">
        <v>1019</v>
      </c>
      <c r="PA1" s="5" t="s">
        <v>1020</v>
      </c>
      <c r="PB1" s="32" t="s">
        <v>1021</v>
      </c>
      <c r="PC1" s="5" t="s">
        <v>1022</v>
      </c>
      <c r="PD1" s="32" t="s">
        <v>1040</v>
      </c>
      <c r="PE1" s="5" t="s">
        <v>1041</v>
      </c>
      <c r="PF1" s="32" t="s">
        <v>1042</v>
      </c>
      <c r="PG1" s="5" t="s">
        <v>1043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30" t="s">
        <v>294</v>
      </c>
      <c r="PR1" s="30" t="s">
        <v>295</v>
      </c>
      <c r="PS1" s="30" t="s">
        <v>296</v>
      </c>
      <c r="PT1" s="30" t="s">
        <v>297</v>
      </c>
      <c r="PU1" s="30" t="s">
        <v>298</v>
      </c>
      <c r="PV1" s="30" t="s">
        <v>1014</v>
      </c>
      <c r="PW1" s="30" t="s">
        <v>1044</v>
      </c>
      <c r="PX1" s="30" t="s">
        <v>1045</v>
      </c>
      <c r="PY1" s="30" t="s">
        <v>1046</v>
      </c>
      <c r="PZ1" s="42" t="s">
        <v>1062</v>
      </c>
      <c r="QA1" s="42" t="s">
        <v>558</v>
      </c>
      <c r="QB1" s="42" t="s">
        <v>557</v>
      </c>
      <c r="QC1" s="42" t="s">
        <v>1016</v>
      </c>
      <c r="QD1" s="42" t="s">
        <v>1015</v>
      </c>
      <c r="QE1" s="42" t="s">
        <v>1018</v>
      </c>
      <c r="QF1" s="42" t="s">
        <v>1017</v>
      </c>
      <c r="QG1" s="42" t="s">
        <v>1037</v>
      </c>
      <c r="QH1" s="42" t="s">
        <v>1036</v>
      </c>
      <c r="QI1" s="42" t="s">
        <v>1039</v>
      </c>
      <c r="QJ1" s="42" t="s">
        <v>1038</v>
      </c>
      <c r="QK1" s="42" t="s">
        <v>1063</v>
      </c>
      <c r="QL1" s="42" t="s">
        <v>1064</v>
      </c>
      <c r="QM1" s="42" t="s">
        <v>1065</v>
      </c>
      <c r="QN1" s="42" t="s">
        <v>1066</v>
      </c>
      <c r="QO1" s="42" t="s">
        <v>1067</v>
      </c>
      <c r="QP1" s="42" t="s">
        <v>1068</v>
      </c>
      <c r="QQ1" s="42" t="s">
        <v>1069</v>
      </c>
      <c r="QR1" s="42" t="s">
        <v>1070</v>
      </c>
      <c r="QS1" s="42" t="s">
        <v>1071</v>
      </c>
      <c r="QT1" s="42" t="s">
        <v>1072</v>
      </c>
      <c r="QU1" s="42" t="s">
        <v>1073</v>
      </c>
      <c r="QV1" s="42" t="s">
        <v>1074</v>
      </c>
      <c r="QW1" s="42" t="s">
        <v>402</v>
      </c>
      <c r="QX1" s="42" t="s">
        <v>401</v>
      </c>
      <c r="QY1" s="42" t="s">
        <v>556</v>
      </c>
      <c r="QZ1" s="42" t="s">
        <v>555</v>
      </c>
      <c r="RA1" s="42" t="s">
        <v>1020</v>
      </c>
      <c r="RB1" s="42" t="s">
        <v>1019</v>
      </c>
      <c r="RC1" s="42" t="s">
        <v>1022</v>
      </c>
      <c r="RD1" s="42" t="s">
        <v>1021</v>
      </c>
      <c r="RE1" s="42" t="s">
        <v>1041</v>
      </c>
      <c r="RF1" s="42" t="s">
        <v>1040</v>
      </c>
      <c r="RG1" s="42" t="s">
        <v>1043</v>
      </c>
      <c r="RH1" s="42" t="s">
        <v>1042</v>
      </c>
      <c r="RI1" s="42" t="s">
        <v>1075</v>
      </c>
      <c r="RJ1" s="42" t="s">
        <v>1076</v>
      </c>
      <c r="RK1" s="42" t="s">
        <v>1077</v>
      </c>
      <c r="RL1" s="42" t="s">
        <v>1078</v>
      </c>
      <c r="RM1" s="42" t="s">
        <v>1079</v>
      </c>
      <c r="RN1" s="42" t="s">
        <v>1080</v>
      </c>
      <c r="RO1" s="42" t="s">
        <v>1081</v>
      </c>
      <c r="RP1" s="42" t="s">
        <v>1082</v>
      </c>
      <c r="RQ1" s="42" t="s">
        <v>1083</v>
      </c>
      <c r="RR1" s="42" t="s">
        <v>1084</v>
      </c>
      <c r="RS1" s="42" t="s">
        <v>1085</v>
      </c>
      <c r="RT1" s="42" t="s">
        <v>1086</v>
      </c>
      <c r="RU1" s="42" t="s">
        <v>35</v>
      </c>
      <c r="RV1" s="42" t="s">
        <v>98</v>
      </c>
      <c r="RW1" s="42" t="s">
        <v>99</v>
      </c>
      <c r="RX1" s="42" t="s">
        <v>100</v>
      </c>
      <c r="RY1" s="42" t="s">
        <v>101</v>
      </c>
      <c r="RZ1" s="42" t="s">
        <v>102</v>
      </c>
      <c r="SA1" s="42" t="s">
        <v>103</v>
      </c>
      <c r="SB1" s="42" t="s">
        <v>104</v>
      </c>
      <c r="SC1" s="42" t="s">
        <v>105</v>
      </c>
      <c r="SD1" s="42" t="s">
        <v>106</v>
      </c>
      <c r="SE1" s="42" t="s">
        <v>107</v>
      </c>
      <c r="SF1" s="42" t="s">
        <v>108</v>
      </c>
      <c r="SG1" s="42" t="s">
        <v>109</v>
      </c>
      <c r="SH1" s="42" t="s">
        <v>110</v>
      </c>
      <c r="SI1" s="42" t="s">
        <v>111</v>
      </c>
      <c r="SJ1" s="42" t="s">
        <v>1087</v>
      </c>
      <c r="SK1" s="42" t="s">
        <v>1088</v>
      </c>
      <c r="SL1" s="42" t="s">
        <v>1089</v>
      </c>
      <c r="SM1" s="42" t="s">
        <v>1090</v>
      </c>
      <c r="SN1" s="42" t="s">
        <v>1091</v>
      </c>
      <c r="SO1" s="42" t="s">
        <v>1092</v>
      </c>
      <c r="SP1" s="42" t="s">
        <v>1093</v>
      </c>
      <c r="SQ1" s="42" t="s">
        <v>1094</v>
      </c>
      <c r="SR1" s="42" t="s">
        <v>1095</v>
      </c>
      <c r="SS1" s="42" t="s">
        <v>1096</v>
      </c>
      <c r="ST1" s="42" t="s">
        <v>1097</v>
      </c>
      <c r="SU1" s="42" t="s">
        <v>1139</v>
      </c>
      <c r="SV1" s="42" t="s">
        <v>924</v>
      </c>
      <c r="SW1" s="42" t="s">
        <v>1032</v>
      </c>
      <c r="SX1" s="42" t="s">
        <v>1098</v>
      </c>
      <c r="SY1" s="42" t="s">
        <v>1099</v>
      </c>
      <c r="SZ1" s="42" t="s">
        <v>1100</v>
      </c>
      <c r="TA1" s="42" t="s">
        <v>1101</v>
      </c>
      <c r="TB1" s="42" t="s">
        <v>1102</v>
      </c>
      <c r="TC1" s="42" t="s">
        <v>1103</v>
      </c>
      <c r="TD1" s="42" t="s">
        <v>1104</v>
      </c>
      <c r="TE1" s="42" t="s">
        <v>1105</v>
      </c>
      <c r="TF1" s="42" t="s">
        <v>1106</v>
      </c>
      <c r="TG1" s="42" t="s">
        <v>1140</v>
      </c>
      <c r="TH1" s="42" t="s">
        <v>925</v>
      </c>
      <c r="TI1" s="42" t="s">
        <v>1033</v>
      </c>
      <c r="TJ1" s="42" t="s">
        <v>1107</v>
      </c>
      <c r="TK1" s="42" t="s">
        <v>1108</v>
      </c>
      <c r="TL1" s="42" t="s">
        <v>1109</v>
      </c>
      <c r="TM1" s="42" t="s">
        <v>1110</v>
      </c>
      <c r="TN1" s="42" t="s">
        <v>1111</v>
      </c>
      <c r="TO1" s="42" t="s">
        <v>1112</v>
      </c>
      <c r="TP1" s="42" t="s">
        <v>1113</v>
      </c>
      <c r="TQ1" s="42" t="s">
        <v>1114</v>
      </c>
      <c r="TR1" s="52" t="s">
        <v>1115</v>
      </c>
      <c r="TS1" s="39" t="s">
        <v>1943</v>
      </c>
      <c r="TT1" s="23" t="s">
        <v>1944</v>
      </c>
      <c r="TU1" s="23" t="s">
        <v>1945</v>
      </c>
      <c r="TV1" s="23" t="s">
        <v>1978</v>
      </c>
      <c r="TW1" s="23" t="s">
        <v>1946</v>
      </c>
      <c r="TX1" s="23" t="s">
        <v>1947</v>
      </c>
      <c r="TY1" s="23" t="s">
        <v>1948</v>
      </c>
      <c r="TZ1" s="23" t="s">
        <v>1949</v>
      </c>
      <c r="UA1" s="23" t="s">
        <v>35</v>
      </c>
      <c r="UB1" s="23" t="s">
        <v>98</v>
      </c>
      <c r="UC1" s="23" t="s">
        <v>99</v>
      </c>
      <c r="UD1" s="23" t="s">
        <v>100</v>
      </c>
      <c r="UE1" s="23" t="s">
        <v>31</v>
      </c>
      <c r="UF1" s="23" t="s">
        <v>112</v>
      </c>
      <c r="UG1" s="23" t="s">
        <v>113</v>
      </c>
      <c r="UH1" s="24" t="s">
        <v>114</v>
      </c>
      <c r="UI1" s="39" t="s">
        <v>35</v>
      </c>
      <c r="UJ1" s="23" t="s">
        <v>924</v>
      </c>
      <c r="UK1" s="23" t="s">
        <v>925</v>
      </c>
      <c r="UL1" s="23" t="s">
        <v>37</v>
      </c>
      <c r="UM1" s="23" t="s">
        <v>36</v>
      </c>
      <c r="UN1" s="23" t="s">
        <v>51</v>
      </c>
      <c r="UO1" s="23" t="s">
        <v>50</v>
      </c>
      <c r="UP1" s="23" t="s">
        <v>53</v>
      </c>
      <c r="UQ1" s="23" t="s">
        <v>52</v>
      </c>
      <c r="UR1" s="23" t="s">
        <v>73</v>
      </c>
      <c r="US1" s="23" t="s">
        <v>74</v>
      </c>
      <c r="UT1" s="23" t="s">
        <v>70</v>
      </c>
      <c r="UU1" s="23" t="s">
        <v>71</v>
      </c>
      <c r="UV1" s="23" t="s">
        <v>68</v>
      </c>
      <c r="UW1" s="23" t="s">
        <v>69</v>
      </c>
      <c r="UX1" s="23" t="s">
        <v>98</v>
      </c>
      <c r="UY1" s="23" t="s">
        <v>99</v>
      </c>
      <c r="UZ1" s="23" t="s">
        <v>100</v>
      </c>
      <c r="VA1" s="23" t="s">
        <v>101</v>
      </c>
      <c r="VB1" s="23" t="s">
        <v>1995</v>
      </c>
      <c r="VC1" s="23" t="s">
        <v>1998</v>
      </c>
      <c r="VD1" s="23" t="s">
        <v>1996</v>
      </c>
      <c r="VE1" s="23" t="s">
        <v>1997</v>
      </c>
      <c r="VF1" s="23" t="s">
        <v>112</v>
      </c>
      <c r="VG1" s="23" t="s">
        <v>113</v>
      </c>
      <c r="VH1" s="24" t="s">
        <v>114</v>
      </c>
      <c r="VI1" s="28" t="s">
        <v>144</v>
      </c>
      <c r="VJ1" s="19" t="s">
        <v>1999</v>
      </c>
      <c r="VK1" s="20" t="s">
        <v>2000</v>
      </c>
      <c r="VL1" s="4" t="s">
        <v>35</v>
      </c>
      <c r="VM1" s="32" t="s">
        <v>98</v>
      </c>
      <c r="VN1" s="32" t="s">
        <v>99</v>
      </c>
      <c r="VO1" s="32" t="s">
        <v>100</v>
      </c>
      <c r="VP1" s="32" t="s">
        <v>101</v>
      </c>
      <c r="VQ1" s="32" t="s">
        <v>37</v>
      </c>
      <c r="VR1" s="32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404</v>
      </c>
      <c r="VX1" s="5" t="s">
        <v>405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858</v>
      </c>
      <c r="WF1" s="5" t="s">
        <v>859</v>
      </c>
      <c r="WG1" s="5" t="s">
        <v>862</v>
      </c>
      <c r="WH1" s="5" t="s">
        <v>863</v>
      </c>
      <c r="WI1" s="31" t="s">
        <v>864</v>
      </c>
      <c r="WJ1" s="23" t="s">
        <v>2001</v>
      </c>
      <c r="WK1" s="19" t="s">
        <v>2002</v>
      </c>
      <c r="WL1" s="20" t="s">
        <v>2003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1087</v>
      </c>
      <c r="XC1" t="s">
        <v>1088</v>
      </c>
      <c r="XD1" t="s">
        <v>1089</v>
      </c>
      <c r="XE1" t="s">
        <v>1090</v>
      </c>
      <c r="XF1" t="s">
        <v>1091</v>
      </c>
      <c r="XG1" t="s">
        <v>1092</v>
      </c>
      <c r="XH1" t="s">
        <v>46</v>
      </c>
      <c r="XI1" t="s">
        <v>47</v>
      </c>
      <c r="XJ1" t="s">
        <v>48</v>
      </c>
      <c r="XK1" t="s">
        <v>49</v>
      </c>
      <c r="XL1" t="s">
        <v>2027</v>
      </c>
      <c r="XM1" t="s">
        <v>2026</v>
      </c>
      <c r="XN1" t="s">
        <v>2028</v>
      </c>
      <c r="XO1" t="s">
        <v>2025</v>
      </c>
      <c r="XP1" t="s">
        <v>2029</v>
      </c>
      <c r="XQ1" t="s">
        <v>2024</v>
      </c>
      <c r="XR1" t="s">
        <v>2030</v>
      </c>
      <c r="XS1" t="s">
        <v>2023</v>
      </c>
      <c r="XT1" t="s">
        <v>2031</v>
      </c>
      <c r="XU1" t="s">
        <v>2022</v>
      </c>
      <c r="XV1" t="s">
        <v>2021</v>
      </c>
      <c r="XW1" t="s">
        <v>2020</v>
      </c>
      <c r="XX1" t="s">
        <v>2019</v>
      </c>
      <c r="XY1" t="s">
        <v>2018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2033</v>
      </c>
      <c r="YG1" t="s">
        <v>2032</v>
      </c>
      <c r="YH1" t="s">
        <v>2035</v>
      </c>
      <c r="YI1" t="s">
        <v>2034</v>
      </c>
      <c r="YJ1" t="s">
        <v>2037</v>
      </c>
      <c r="YK1" t="s">
        <v>2036</v>
      </c>
      <c r="YL1" t="s">
        <v>2039</v>
      </c>
      <c r="YM1" t="s">
        <v>2038</v>
      </c>
      <c r="YN1" t="s">
        <v>2041</v>
      </c>
      <c r="YO1" t="s">
        <v>2040</v>
      </c>
      <c r="YP1" t="s">
        <v>2043</v>
      </c>
      <c r="YQ1" t="s">
        <v>2042</v>
      </c>
      <c r="YR1" t="s">
        <v>2044</v>
      </c>
      <c r="YS1" t="s">
        <v>2045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2046</v>
      </c>
      <c r="ZD1" t="s">
        <v>2047</v>
      </c>
      <c r="ZE1" t="s">
        <v>82</v>
      </c>
      <c r="ZF1" t="s">
        <v>2048</v>
      </c>
      <c r="ZG1" t="s">
        <v>83</v>
      </c>
      <c r="ZH1" t="s">
        <v>2049</v>
      </c>
      <c r="ZI1" t="s">
        <v>84</v>
      </c>
      <c r="ZJ1" t="s">
        <v>2050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2051</v>
      </c>
      <c r="ZW1" t="s">
        <v>2052</v>
      </c>
      <c r="ZX1" t="s">
        <v>1999</v>
      </c>
      <c r="ZY1" t="s">
        <v>2000</v>
      </c>
      <c r="ZZ1" t="s">
        <v>2053</v>
      </c>
      <c r="AAA1" t="s">
        <v>2054</v>
      </c>
      <c r="AAB1" t="s">
        <v>2055</v>
      </c>
      <c r="AAC1" t="s">
        <v>2056</v>
      </c>
      <c r="AAD1" t="s">
        <v>2057</v>
      </c>
      <c r="AAE1" t="s">
        <v>2058</v>
      </c>
      <c r="AAF1" t="s">
        <v>2059</v>
      </c>
      <c r="AAG1" t="s">
        <v>2060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2061</v>
      </c>
      <c r="AAX1" t="s">
        <v>2062</v>
      </c>
      <c r="AAY1" t="s">
        <v>2063</v>
      </c>
      <c r="AAZ1" t="s">
        <v>2064</v>
      </c>
      <c r="ABA1" t="s">
        <v>2065</v>
      </c>
      <c r="ABB1" s="16" t="s">
        <v>2066</v>
      </c>
      <c r="ABC1" s="19" t="s">
        <v>1999</v>
      </c>
      <c r="ABD1" s="20" t="s">
        <v>2000</v>
      </c>
      <c r="ABE1" s="19" t="s">
        <v>2053</v>
      </c>
      <c r="ABF1" s="19" t="s">
        <v>2054</v>
      </c>
      <c r="ABG1" s="4" t="s">
        <v>35</v>
      </c>
      <c r="ABH1" s="32" t="s">
        <v>98</v>
      </c>
      <c r="ABI1" s="32" t="s">
        <v>99</v>
      </c>
      <c r="ABJ1" s="32" t="s">
        <v>100</v>
      </c>
      <c r="ABK1" s="32" t="s">
        <v>101</v>
      </c>
      <c r="ABL1" s="32" t="s">
        <v>102</v>
      </c>
      <c r="ABM1" s="32" t="s">
        <v>103</v>
      </c>
      <c r="ABN1" s="32" t="s">
        <v>104</v>
      </c>
      <c r="ABO1" s="32" t="s">
        <v>105</v>
      </c>
      <c r="ABP1" s="32" t="s">
        <v>37</v>
      </c>
      <c r="ABQ1" s="32" t="s">
        <v>36</v>
      </c>
      <c r="ABR1" s="32" t="s">
        <v>39</v>
      </c>
      <c r="ABS1" s="32" t="s">
        <v>38</v>
      </c>
      <c r="ABT1" s="32" t="s">
        <v>41</v>
      </c>
      <c r="ABU1" s="32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404</v>
      </c>
      <c r="ACE1" s="5" t="s">
        <v>405</v>
      </c>
      <c r="ACF1" s="5" t="s">
        <v>406</v>
      </c>
      <c r="ACG1" s="5" t="s">
        <v>407</v>
      </c>
      <c r="ACH1" s="5" t="s">
        <v>408</v>
      </c>
      <c r="ACI1" s="5" t="s">
        <v>409</v>
      </c>
      <c r="ACJ1" s="5" t="s">
        <v>410</v>
      </c>
      <c r="ACK1" s="5" t="s">
        <v>2067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858</v>
      </c>
      <c r="ACU1" s="5" t="s">
        <v>859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42" t="s">
        <v>35</v>
      </c>
      <c r="ADF1" s="42" t="s">
        <v>98</v>
      </c>
      <c r="ADG1" s="42" t="s">
        <v>99</v>
      </c>
      <c r="ADH1" s="42" t="s">
        <v>100</v>
      </c>
      <c r="ADI1" s="42" t="s">
        <v>101</v>
      </c>
      <c r="ADJ1" s="42" t="s">
        <v>558</v>
      </c>
      <c r="ADK1" s="42" t="s">
        <v>557</v>
      </c>
      <c r="ADL1" s="42" t="s">
        <v>921</v>
      </c>
      <c r="ADM1" s="42" t="s">
        <v>922</v>
      </c>
      <c r="ADN1" s="42" t="s">
        <v>923</v>
      </c>
      <c r="ADO1" s="42" t="s">
        <v>862</v>
      </c>
      <c r="ADP1" s="42" t="s">
        <v>863</v>
      </c>
      <c r="ADQ1" s="42" t="s">
        <v>864</v>
      </c>
      <c r="ADR1" s="42" t="s">
        <v>2068</v>
      </c>
      <c r="ADS1" s="42" t="s">
        <v>2069</v>
      </c>
      <c r="ADT1" s="42" t="s">
        <v>2070</v>
      </c>
      <c r="ADU1" s="42" t="s">
        <v>924</v>
      </c>
      <c r="ADV1" s="52" t="s">
        <v>925</v>
      </c>
      <c r="ADW1" s="53" t="s">
        <v>2103</v>
      </c>
      <c r="ADX1" s="42" t="s">
        <v>2104</v>
      </c>
      <c r="ADY1" s="42" t="s">
        <v>1947</v>
      </c>
      <c r="ADZ1" s="42" t="s">
        <v>31</v>
      </c>
      <c r="AEA1" s="54" t="s">
        <v>112</v>
      </c>
      <c r="AEB1" t="s">
        <v>62</v>
      </c>
      <c r="AEC1" t="s">
        <v>63</v>
      </c>
      <c r="AED1" t="s">
        <v>73</v>
      </c>
      <c r="AEE1" s="5" t="s">
        <v>68</v>
      </c>
      <c r="AEF1" s="5" t="s">
        <v>69</v>
      </c>
      <c r="AEG1" s="5" t="s">
        <v>70</v>
      </c>
      <c r="AEH1" s="5" t="s">
        <v>71</v>
      </c>
      <c r="AEI1" s="60" t="s">
        <v>859</v>
      </c>
      <c r="AEJ1" s="60" t="s">
        <v>858</v>
      </c>
      <c r="AEK1" s="60" t="s">
        <v>404</v>
      </c>
      <c r="AEL1" s="60" t="s">
        <v>862</v>
      </c>
      <c r="AEM1" s="60" t="s">
        <v>863</v>
      </c>
    </row>
    <row r="2" spans="1:819" ht="15.75" thickBot="1" x14ac:dyDescent="0.3">
      <c r="A2" t="s">
        <v>2118</v>
      </c>
      <c r="B2" t="s">
        <v>2072</v>
      </c>
      <c r="P2" t="s">
        <v>2073</v>
      </c>
      <c r="T2" s="14" t="s">
        <v>2071</v>
      </c>
      <c r="U2">
        <v>1</v>
      </c>
      <c r="V2" s="15"/>
      <c r="W2" t="s">
        <v>2074</v>
      </c>
      <c r="X2" t="s">
        <v>400</v>
      </c>
      <c r="Y2" s="43" t="str" cm="1">
        <f t="array" ref="Y2">IF(COUNTIFS($X$2:$X2,$X2)=1,"1",VALUE(SUBSTITUTE(INDEX(Y:Y,_xlfn.XMATCH($X2,$X$1:$X1,0,-1)),"A",""))+INDEX(Z:Z,_xlfn.XMATCH($X2,$X$1:$X1,0,-1))+1)</f>
        <v>1</v>
      </c>
      <c r="Z2" s="43" cm="1">
        <f t="array" ref="Z2">SUM(IF(ISNUMBER(FIND("TmAi",$BE$1:$AAL$1)),IF(IFERROR(ISODD(SUBSTITUTE($BE2:$AAL2,"A","")),FALSE),IF(ISODD(SUBSTITUTE($BE2:$AAL2,"A","")),1,0),0)))</f>
        <v>10</v>
      </c>
      <c r="AA2" t="str">
        <f t="shared" ref="AA2:AA3" si="0">CONCATENATE($Y2*2-1,"A")</f>
        <v>1A</v>
      </c>
      <c r="AB2" t="str">
        <f t="shared" ref="AB2:AB3" si="1">CONCATENATE($Y2*2-1,"B")</f>
        <v>1B</v>
      </c>
      <c r="AP2" t="s">
        <v>2077</v>
      </c>
      <c r="AS2" t="s">
        <v>396</v>
      </c>
      <c r="JZ2" s="27"/>
      <c r="KS2" s="16"/>
      <c r="PZ2" s="25" t="str">
        <f>REPLACE(X2,FIND(".",X2)+1,3,MID(X2,FIND(".",X2)+1,3)+1)</f>
        <v>A3.2</v>
      </c>
      <c r="QA2" s="12" t="str">
        <f>CONCATENATE(VALUE(SUBSTITUTE($AB2,"B",""))+2,"B")</f>
        <v>3B</v>
      </c>
      <c r="QB2" s="12" t="str">
        <f>CONCATENATE(VALUE(SUBSTITUTE($AA2,"A",""))+2,"A")</f>
        <v>3A</v>
      </c>
      <c r="QC2" s="12" t="str">
        <f>CONCATENATE(VALUE(SUBSTITUTE(QA2,"B",""))+2,"B")</f>
        <v>5B</v>
      </c>
      <c r="QD2" s="12" t="str">
        <f>CONCATENATE(VALUE(SUBSTITUTE(QB2,"A",""))+2,"A")</f>
        <v>5A</v>
      </c>
      <c r="QE2" s="12" t="str">
        <f t="shared" ref="QE2" si="2">CONCATENATE(VALUE(SUBSTITUTE(QC2,"B",""))+2,"B")</f>
        <v>7B</v>
      </c>
      <c r="QF2" s="12" t="str">
        <f t="shared" ref="QF2" si="3">CONCATENATE(VALUE(SUBSTITUTE(QD2,"A",""))+2,"A")</f>
        <v>7A</v>
      </c>
      <c r="QG2" s="12" t="str">
        <f t="shared" ref="QG2" si="4">CONCATENATE(VALUE(SUBSTITUTE(QE2,"B",""))+2,"B")</f>
        <v>9B</v>
      </c>
      <c r="QH2" s="12" t="str">
        <f t="shared" ref="QH2" si="5">CONCATENATE(VALUE(SUBSTITUTE(QF2,"A",""))+2,"A")</f>
        <v>9A</v>
      </c>
      <c r="QI2" s="12" t="str">
        <f t="shared" ref="QI2" si="6">CONCATENATE(VALUE(SUBSTITUTE(QG2,"B",""))+2,"B")</f>
        <v>11B</v>
      </c>
      <c r="QJ2" s="12" t="str">
        <f t="shared" ref="QJ2" si="7">CONCATENATE(VALUE(SUBSTITUTE(QH2,"A",""))+2,"A")</f>
        <v>11A</v>
      </c>
      <c r="QK2" s="12" t="s">
        <v>135</v>
      </c>
      <c r="QL2" s="12" t="s">
        <v>136</v>
      </c>
      <c r="QM2" s="12" t="str">
        <f t="shared" ref="QM2" si="8">CONCATENATE(VALUE(SUBSTITUTE(QK2,"B",""))+2,"B")</f>
        <v>3B</v>
      </c>
      <c r="QN2" s="12" t="str">
        <f t="shared" ref="QN2" si="9">CONCATENATE(VALUE(SUBSTITUTE(QL2,"A",""))+2,"A")</f>
        <v>3A</v>
      </c>
      <c r="QO2" s="12" t="str">
        <f t="shared" ref="QO2" si="10">CONCATENATE(VALUE(SUBSTITUTE(QM2,"B",""))+2,"B")</f>
        <v>5B</v>
      </c>
      <c r="QP2" s="12" t="str">
        <f t="shared" ref="QP2" si="11">CONCATENATE(VALUE(SUBSTITUTE(QN2,"A",""))+2,"A")</f>
        <v>5A</v>
      </c>
      <c r="QQ2" s="12" t="str">
        <f t="shared" ref="QQ2" si="12">CONCATENATE(VALUE(SUBSTITUTE(QO2,"B",""))+2,"B")</f>
        <v>7B</v>
      </c>
      <c r="QR2" s="12" t="str">
        <f t="shared" ref="QR2" si="13">CONCATENATE(VALUE(SUBSTITUTE(QP2,"A",""))+2,"A")</f>
        <v>7A</v>
      </c>
      <c r="QS2" s="12" t="str">
        <f t="shared" ref="QS2" si="14">CONCATENATE(VALUE(SUBSTITUTE(QQ2,"B",""))+2,"B")</f>
        <v>9B</v>
      </c>
      <c r="QT2" s="12" t="str">
        <f t="shared" ref="QT2" si="15">CONCATENATE(VALUE(SUBSTITUTE(QR2,"A",""))+2,"A")</f>
        <v>9A</v>
      </c>
      <c r="QU2" s="12"/>
      <c r="QV2" s="12"/>
      <c r="QW2" s="12" t="str">
        <f>CONCATENATE($T2,"-AI",REPLACE($X2,1,3,""),"-",AB2)</f>
        <v>E3-AI1-1B</v>
      </c>
      <c r="QX2" s="12" t="str">
        <f>CONCATENATE($T2,"-AI",REPLACE($X2,1,3,""),"-",AA2)</f>
        <v>E3-AI1-1A</v>
      </c>
      <c r="QY2" s="12" t="str">
        <f>CONCATENATE($T2,"-AI",REPLACE($X2,1,3,""),"-",QA2)</f>
        <v>E3-AI1-3B</v>
      </c>
      <c r="QZ2" s="12" t="str">
        <f>CONCATENATE($T2,"-AI",REPLACE($X2,1,3,""),"-",QB2)</f>
        <v>E3-AI1-3A</v>
      </c>
      <c r="RA2" s="12" t="str">
        <f t="shared" ref="RA2" si="16">CONCATENATE($T2,"-AI",REPLACE($X2,1,3,""),"-",QC2)</f>
        <v>E3-AI1-5B</v>
      </c>
      <c r="RB2" s="12" t="str">
        <f t="shared" ref="RB2" si="17">CONCATENATE($T2,"-AI",REPLACE($X2,1,3,""),"-",QD2)</f>
        <v>E3-AI1-5A</v>
      </c>
      <c r="RC2" s="12" t="str">
        <f t="shared" ref="RC2" si="18">CONCATENATE($T2,"-AI",REPLACE($X2,1,3,""),"-",QE2)</f>
        <v>E3-AI1-7B</v>
      </c>
      <c r="RD2" s="12" t="str">
        <f t="shared" ref="RD2" si="19">CONCATENATE($T2,"-AI",REPLACE($X2,1,3,""),"-",QF2)</f>
        <v>E3-AI1-7A</v>
      </c>
      <c r="RE2" s="12" t="str">
        <f t="shared" ref="RE2" si="20">CONCATENATE($T2,"-AI",REPLACE($X2,1,3,""),"-",QG2)</f>
        <v>E3-AI1-9B</v>
      </c>
      <c r="RF2" s="12" t="str">
        <f t="shared" ref="RF2" si="21">CONCATENATE($T2,"-AI",REPLACE($X2,1,3,""),"-",QH2)</f>
        <v>E3-AI1-9A</v>
      </c>
      <c r="RG2" s="12" t="str">
        <f t="shared" ref="RG2" si="22">CONCATENATE($T2,"-AI",REPLACE($X2,1,3,""),"-",QI2)</f>
        <v>E3-AI1-11B</v>
      </c>
      <c r="RH2" s="12" t="str">
        <f t="shared" ref="RH2" si="23">CONCATENATE($T2,"-AI",REPLACE($X2,1,3,""),"-",QJ2)</f>
        <v>E3-AI1-11A</v>
      </c>
      <c r="RI2" s="12" t="str">
        <f t="shared" ref="RI2" si="24">CONCATENATE($T2,"-AI",REPLACE($PZ2,1,3,""),"-",QK2)</f>
        <v>E3-AI2-1B</v>
      </c>
      <c r="RJ2" s="12" t="str">
        <f t="shared" ref="RJ2" si="25">CONCATENATE($T2,"-AI",REPLACE($PZ2,1,3,""),"-",QL2)</f>
        <v>E3-AI2-1A</v>
      </c>
      <c r="RK2" s="12" t="str">
        <f t="shared" ref="RK2" si="26">CONCATENATE($T2,"-AI",REPLACE($PZ2,1,3,""),"-",QM2)</f>
        <v>E3-AI2-3B</v>
      </c>
      <c r="RL2" s="12" t="str">
        <f t="shared" ref="RL2" si="27">CONCATENATE($T2,"-AI",REPLACE($PZ2,1,3,""),"-",QN2)</f>
        <v>E3-AI2-3A</v>
      </c>
      <c r="RM2" s="12" t="str">
        <f t="shared" ref="RM2" si="28">CONCATENATE($T2,"-AI",REPLACE($PZ2,1,3,""),"-",QO2)</f>
        <v>E3-AI2-5B</v>
      </c>
      <c r="RN2" s="12" t="str">
        <f t="shared" ref="RN2" si="29">CONCATENATE($T2,"-AI",REPLACE($PZ2,1,3,""),"-",QP2)</f>
        <v>E3-AI2-5A</v>
      </c>
      <c r="RO2" s="12" t="str">
        <f t="shared" ref="RO2" si="30">CONCATENATE($T2,"-AI",REPLACE($PZ2,1,3,""),"-",QQ2)</f>
        <v>E3-AI2-7B</v>
      </c>
      <c r="RP2" s="12" t="str">
        <f t="shared" ref="RP2" si="31">CONCATENATE($T2,"-AI",REPLACE($PZ2,1,3,""),"-",QR2)</f>
        <v>E3-AI2-7A</v>
      </c>
      <c r="RQ2" s="12" t="str">
        <f t="shared" ref="RQ2" si="32">CONCATENATE($T2,"-AI",REPLACE($PZ2,1,3,""),"-",QS2)</f>
        <v>E3-AI2-9B</v>
      </c>
      <c r="RR2" s="12" t="str">
        <f t="shared" ref="RR2" si="33">CONCATENATE($T2,"-AI",REPLACE($PZ2,1,3,""),"-",QT2)</f>
        <v>E3-AI2-9A</v>
      </c>
      <c r="RS2" s="12"/>
      <c r="RT2" s="12"/>
      <c r="RU2" s="12" t="str">
        <f t="shared" ref="RU2:RU3" si="34">CONCATENATE("XT",$U2)</f>
        <v>XT1</v>
      </c>
      <c r="RV2" s="12">
        <v>1</v>
      </c>
      <c r="RW2" s="12">
        <f>RV2+1</f>
        <v>2</v>
      </c>
      <c r="RX2" s="12">
        <f t="shared" ref="RX2" si="35">RW2+1</f>
        <v>3</v>
      </c>
      <c r="RY2" s="12">
        <f t="shared" ref="RY2" si="36">RX2+1</f>
        <v>4</v>
      </c>
      <c r="RZ2" s="12">
        <f t="shared" ref="RZ2" si="37">RY2+1</f>
        <v>5</v>
      </c>
      <c r="SA2" s="12">
        <f t="shared" ref="SA2" si="38">RZ2+1</f>
        <v>6</v>
      </c>
      <c r="SB2" s="12">
        <f t="shared" ref="SB2" si="39">SA2+1</f>
        <v>7</v>
      </c>
      <c r="SC2" s="12">
        <f t="shared" ref="SC2" si="40">SB2+1</f>
        <v>8</v>
      </c>
      <c r="SD2" s="12">
        <f t="shared" ref="SD2" si="41">SC2+1</f>
        <v>9</v>
      </c>
      <c r="SE2" s="12">
        <f t="shared" ref="SE2" si="42">SD2+1</f>
        <v>10</v>
      </c>
      <c r="SF2" s="12">
        <f t="shared" ref="SF2" si="43">SE2+1</f>
        <v>11</v>
      </c>
      <c r="SG2" s="12">
        <f t="shared" ref="SG2" si="44">SF2+1</f>
        <v>12</v>
      </c>
      <c r="SH2" s="12">
        <f t="shared" ref="SH2" si="45">SG2+1</f>
        <v>13</v>
      </c>
      <c r="SI2" s="12">
        <f t="shared" ref="SI2" si="46">SH2+1</f>
        <v>14</v>
      </c>
      <c r="SJ2" s="12">
        <f t="shared" ref="SJ2" si="47">SI2+1</f>
        <v>15</v>
      </c>
      <c r="SK2" s="12">
        <f t="shared" ref="SK2" si="48">SJ2+1</f>
        <v>16</v>
      </c>
      <c r="SL2" s="12">
        <f t="shared" ref="SL2" si="49">SK2+1</f>
        <v>17</v>
      </c>
      <c r="SM2" s="12">
        <f t="shared" ref="SM2" si="50">SL2+1</f>
        <v>18</v>
      </c>
      <c r="SN2" s="12">
        <f t="shared" ref="SN2" si="51">SM2+1</f>
        <v>19</v>
      </c>
      <c r="SO2" s="12">
        <f t="shared" ref="SO2" si="52">SN2+1</f>
        <v>20</v>
      </c>
      <c r="SP2" s="12">
        <f t="shared" ref="SP2" si="53">SO2+1</f>
        <v>21</v>
      </c>
      <c r="SQ2" s="12">
        <f t="shared" ref="SQ2" si="54">SP2+1</f>
        <v>22</v>
      </c>
      <c r="SR2" s="12">
        <f t="shared" ref="SR2" si="55">SQ2+1</f>
        <v>23</v>
      </c>
      <c r="SS2" s="12"/>
      <c r="ST2" s="12"/>
      <c r="SU2" s="12" t="s">
        <v>2132</v>
      </c>
      <c r="SV2" s="12" t="s">
        <v>2133</v>
      </c>
      <c r="SW2" s="12" t="s">
        <v>2134</v>
      </c>
      <c r="SX2" s="12" t="s">
        <v>2135</v>
      </c>
      <c r="SY2" s="12" t="s">
        <v>2136</v>
      </c>
      <c r="SZ2" s="12" t="s">
        <v>2137</v>
      </c>
      <c r="TA2" s="12" t="s">
        <v>2138</v>
      </c>
      <c r="TB2" s="12" t="s">
        <v>2139</v>
      </c>
      <c r="TC2" s="12" t="s">
        <v>2140</v>
      </c>
      <c r="TD2" s="12" t="s">
        <v>2141</v>
      </c>
      <c r="TE2" s="12" t="s">
        <v>2142</v>
      </c>
      <c r="TF2" s="12"/>
      <c r="TG2" s="12" t="s">
        <v>2078</v>
      </c>
      <c r="TH2" s="12" t="s">
        <v>2079</v>
      </c>
      <c r="TI2" s="12" t="s">
        <v>2080</v>
      </c>
      <c r="TJ2" s="12" t="s">
        <v>2081</v>
      </c>
      <c r="TK2" s="12" t="s">
        <v>2082</v>
      </c>
      <c r="TL2" s="12" t="s">
        <v>2083</v>
      </c>
      <c r="TM2" s="12" t="s">
        <v>2084</v>
      </c>
      <c r="TN2" s="12" t="s">
        <v>2085</v>
      </c>
      <c r="TO2" s="12" t="s">
        <v>2086</v>
      </c>
      <c r="TP2" s="12" t="s">
        <v>2087</v>
      </c>
      <c r="TQ2" s="12" t="s">
        <v>2088</v>
      </c>
      <c r="TR2" s="13"/>
    </row>
    <row r="3" spans="1:819" ht="15.75" thickBot="1" x14ac:dyDescent="0.3">
      <c r="A3" t="s">
        <v>2119</v>
      </c>
      <c r="B3" t="s">
        <v>2076</v>
      </c>
      <c r="P3" t="s">
        <v>2073</v>
      </c>
      <c r="T3" s="14" t="s">
        <v>2071</v>
      </c>
      <c r="U3">
        <v>2</v>
      </c>
      <c r="V3" s="15"/>
      <c r="W3" t="s">
        <v>2075</v>
      </c>
      <c r="X3" t="s">
        <v>484</v>
      </c>
      <c r="Y3" s="43" t="str" cm="1">
        <f t="array" ref="Y3">IF(COUNTIFS($X$2:$X3,$X3)=1,"1",VALUE(SUBSTITUTE(INDEX(Y:Y,_xlfn.XMATCH($X3,$X$1:$X2,0,-1)),"A",""))+INDEX(Z:Z,_xlfn.XMATCH($X3,$X$1:$X2,0,-1))+1)</f>
        <v>1</v>
      </c>
      <c r="Z3" s="43" cm="1">
        <f t="array" ref="Z3">SUM(IF(ISNUMBER(FIND("TmAi",$BE$1:$AAL$1)),IF(IFERROR(ISODD(SUBSTITUTE($BE3:$AAL3,"A","")),FALSE),IF(ISODD(SUBSTITUTE($BE3:$AAL3,"A","")),1,0),0)))</f>
        <v>10</v>
      </c>
      <c r="AA3" t="str">
        <f t="shared" si="0"/>
        <v>1A</v>
      </c>
      <c r="AB3" t="str">
        <f t="shared" si="1"/>
        <v>1B</v>
      </c>
      <c r="AP3" t="s">
        <v>2077</v>
      </c>
      <c r="AS3" t="s">
        <v>396</v>
      </c>
      <c r="JZ3" s="27"/>
      <c r="KS3" s="16"/>
      <c r="PZ3" s="25" t="str">
        <f>REPLACE(X3,FIND(".",X3)+1,3,MID(X3,FIND(".",X3)+1,3)+1)</f>
        <v>A3.4</v>
      </c>
      <c r="QA3" s="12" t="str">
        <f>CONCATENATE(VALUE(SUBSTITUTE($AB3,"B",""))+2,"B")</f>
        <v>3B</v>
      </c>
      <c r="QB3" s="12" t="str">
        <f>CONCATENATE(VALUE(SUBSTITUTE($AA3,"A",""))+2,"A")</f>
        <v>3A</v>
      </c>
      <c r="QC3" s="12" t="str">
        <f>CONCATENATE(VALUE(SUBSTITUTE(QA3,"B",""))+2,"B")</f>
        <v>5B</v>
      </c>
      <c r="QD3" s="12" t="str">
        <f>CONCATENATE(VALUE(SUBSTITUTE(QB3,"A",""))+2,"A")</f>
        <v>5A</v>
      </c>
      <c r="QE3" s="12" t="str">
        <f t="shared" ref="QE3" si="56">CONCATENATE(VALUE(SUBSTITUTE(QC3,"B",""))+2,"B")</f>
        <v>7B</v>
      </c>
      <c r="QF3" s="12" t="str">
        <f t="shared" ref="QF3" si="57">CONCATENATE(VALUE(SUBSTITUTE(QD3,"A",""))+2,"A")</f>
        <v>7A</v>
      </c>
      <c r="QG3" s="12" t="str">
        <f t="shared" ref="QG3" si="58">CONCATENATE(VALUE(SUBSTITUTE(QE3,"B",""))+2,"B")</f>
        <v>9B</v>
      </c>
      <c r="QH3" s="12" t="str">
        <f t="shared" ref="QH3" si="59">CONCATENATE(VALUE(SUBSTITUTE(QF3,"A",""))+2,"A")</f>
        <v>9A</v>
      </c>
      <c r="QI3" s="12" t="str">
        <f t="shared" ref="QI3" si="60">CONCATENATE(VALUE(SUBSTITUTE(QG3,"B",""))+2,"B")</f>
        <v>11B</v>
      </c>
      <c r="QJ3" s="12" t="str">
        <f t="shared" ref="QJ3" si="61">CONCATENATE(VALUE(SUBSTITUTE(QH3,"A",""))+2,"A")</f>
        <v>11A</v>
      </c>
      <c r="QK3" s="12" t="s">
        <v>135</v>
      </c>
      <c r="QL3" s="12" t="s">
        <v>136</v>
      </c>
      <c r="QM3" s="12" t="str">
        <f t="shared" ref="QM3" si="62">CONCATENATE(VALUE(SUBSTITUTE(QK3,"B",""))+2,"B")</f>
        <v>3B</v>
      </c>
      <c r="QN3" s="12" t="str">
        <f t="shared" ref="QN3" si="63">CONCATENATE(VALUE(SUBSTITUTE(QL3,"A",""))+2,"A")</f>
        <v>3A</v>
      </c>
      <c r="QO3" s="12" t="str">
        <f t="shared" ref="QO3" si="64">CONCATENATE(VALUE(SUBSTITUTE(QM3,"B",""))+2,"B")</f>
        <v>5B</v>
      </c>
      <c r="QP3" s="12" t="str">
        <f t="shared" ref="QP3" si="65">CONCATENATE(VALUE(SUBSTITUTE(QN3,"A",""))+2,"A")</f>
        <v>5A</v>
      </c>
      <c r="QQ3" s="12" t="str">
        <f t="shared" ref="QQ3" si="66">CONCATENATE(VALUE(SUBSTITUTE(QO3,"B",""))+2,"B")</f>
        <v>7B</v>
      </c>
      <c r="QR3" s="12" t="str">
        <f t="shared" ref="QR3" si="67">CONCATENATE(VALUE(SUBSTITUTE(QP3,"A",""))+2,"A")</f>
        <v>7A</v>
      </c>
      <c r="QS3" s="12" t="str">
        <f t="shared" ref="QS3" si="68">CONCATENATE(VALUE(SUBSTITUTE(QQ3,"B",""))+2,"B")</f>
        <v>9B</v>
      </c>
      <c r="QT3" s="12" t="str">
        <f t="shared" ref="QT3" si="69">CONCATENATE(VALUE(SUBSTITUTE(QR3,"A",""))+2,"A")</f>
        <v>9A</v>
      </c>
      <c r="QU3" s="12"/>
      <c r="QV3" s="12"/>
      <c r="QW3" s="12" t="str">
        <f>CONCATENATE($T3,"-AI",REPLACE($X3,1,3,""),"-",AB3)</f>
        <v>E3-AI3-1B</v>
      </c>
      <c r="QX3" s="12" t="str">
        <f>CONCATENATE($T3,"-AI",REPLACE($X3,1,3,""),"-",AA3)</f>
        <v>E3-AI3-1A</v>
      </c>
      <c r="QY3" s="12" t="str">
        <f>CONCATENATE($T3,"-AI",REPLACE($X3,1,3,""),"-",QA3)</f>
        <v>E3-AI3-3B</v>
      </c>
      <c r="QZ3" s="12" t="str">
        <f>CONCATENATE($T3,"-AI",REPLACE($X3,1,3,""),"-",QB3)</f>
        <v>E3-AI3-3A</v>
      </c>
      <c r="RA3" s="12" t="str">
        <f t="shared" ref="RA3" si="70">CONCATENATE($T3,"-AI",REPLACE($X3,1,3,""),"-",QC3)</f>
        <v>E3-AI3-5B</v>
      </c>
      <c r="RB3" s="12" t="str">
        <f t="shared" ref="RB3" si="71">CONCATENATE($T3,"-AI",REPLACE($X3,1,3,""),"-",QD3)</f>
        <v>E3-AI3-5A</v>
      </c>
      <c r="RC3" s="12" t="str">
        <f t="shared" ref="RC3" si="72">CONCATENATE($T3,"-AI",REPLACE($X3,1,3,""),"-",QE3)</f>
        <v>E3-AI3-7B</v>
      </c>
      <c r="RD3" s="12" t="str">
        <f t="shared" ref="RD3" si="73">CONCATENATE($T3,"-AI",REPLACE($X3,1,3,""),"-",QF3)</f>
        <v>E3-AI3-7A</v>
      </c>
      <c r="RE3" s="12" t="str">
        <f t="shared" ref="RE3" si="74">CONCATENATE($T3,"-AI",REPLACE($X3,1,3,""),"-",QG3)</f>
        <v>E3-AI3-9B</v>
      </c>
      <c r="RF3" s="12" t="str">
        <f t="shared" ref="RF3" si="75">CONCATENATE($T3,"-AI",REPLACE($X3,1,3,""),"-",QH3)</f>
        <v>E3-AI3-9A</v>
      </c>
      <c r="RG3" s="12" t="str">
        <f t="shared" ref="RG3" si="76">CONCATENATE($T3,"-AI",REPLACE($X3,1,3,""),"-",QI3)</f>
        <v>E3-AI3-11B</v>
      </c>
      <c r="RH3" s="12" t="str">
        <f t="shared" ref="RH3" si="77">CONCATENATE($T3,"-AI",REPLACE($X3,1,3,""),"-",QJ3)</f>
        <v>E3-AI3-11A</v>
      </c>
      <c r="RI3" s="12" t="str">
        <f t="shared" ref="RI3" si="78">CONCATENATE($T3,"-AI",REPLACE($PZ3,1,3,""),"-",QK3)</f>
        <v>E3-AI4-1B</v>
      </c>
      <c r="RJ3" s="12" t="str">
        <f t="shared" ref="RJ3" si="79">CONCATENATE($T3,"-AI",REPLACE($PZ3,1,3,""),"-",QL3)</f>
        <v>E3-AI4-1A</v>
      </c>
      <c r="RK3" s="12" t="str">
        <f t="shared" ref="RK3" si="80">CONCATENATE($T3,"-AI",REPLACE($PZ3,1,3,""),"-",QM3)</f>
        <v>E3-AI4-3B</v>
      </c>
      <c r="RL3" s="12" t="str">
        <f t="shared" ref="RL3" si="81">CONCATENATE($T3,"-AI",REPLACE($PZ3,1,3,""),"-",QN3)</f>
        <v>E3-AI4-3A</v>
      </c>
      <c r="RM3" s="12" t="str">
        <f t="shared" ref="RM3" si="82">CONCATENATE($T3,"-AI",REPLACE($PZ3,1,3,""),"-",QO3)</f>
        <v>E3-AI4-5B</v>
      </c>
      <c r="RN3" s="12" t="str">
        <f t="shared" ref="RN3" si="83">CONCATENATE($T3,"-AI",REPLACE($PZ3,1,3,""),"-",QP3)</f>
        <v>E3-AI4-5A</v>
      </c>
      <c r="RO3" s="12" t="str">
        <f t="shared" ref="RO3" si="84">CONCATENATE($T3,"-AI",REPLACE($PZ3,1,3,""),"-",QQ3)</f>
        <v>E3-AI4-7B</v>
      </c>
      <c r="RP3" s="12" t="str">
        <f t="shared" ref="RP3" si="85">CONCATENATE($T3,"-AI",REPLACE($PZ3,1,3,""),"-",QR3)</f>
        <v>E3-AI4-7A</v>
      </c>
      <c r="RQ3" s="12" t="str">
        <f t="shared" ref="RQ3" si="86">CONCATENATE($T3,"-AI",REPLACE($PZ3,1,3,""),"-",QS3)</f>
        <v>E3-AI4-9B</v>
      </c>
      <c r="RR3" s="12" t="str">
        <f t="shared" ref="RR3" si="87">CONCATENATE($T3,"-AI",REPLACE($PZ3,1,3,""),"-",QT3)</f>
        <v>E3-AI4-9A</v>
      </c>
      <c r="RS3" s="12"/>
      <c r="RT3" s="12"/>
      <c r="RU3" s="12" t="str">
        <f t="shared" si="34"/>
        <v>XT2</v>
      </c>
      <c r="RV3" s="12">
        <v>1</v>
      </c>
      <c r="RW3" s="12">
        <f>RV3+1</f>
        <v>2</v>
      </c>
      <c r="RX3" s="12">
        <f t="shared" ref="RX3" si="88">RW3+1</f>
        <v>3</v>
      </c>
      <c r="RY3" s="12">
        <f t="shared" ref="RY3" si="89">RX3+1</f>
        <v>4</v>
      </c>
      <c r="RZ3" s="12">
        <f t="shared" ref="RZ3" si="90">RY3+1</f>
        <v>5</v>
      </c>
      <c r="SA3" s="12">
        <f t="shared" ref="SA3" si="91">RZ3+1</f>
        <v>6</v>
      </c>
      <c r="SB3" s="12">
        <f t="shared" ref="SB3" si="92">SA3+1</f>
        <v>7</v>
      </c>
      <c r="SC3" s="12">
        <f t="shared" ref="SC3" si="93">SB3+1</f>
        <v>8</v>
      </c>
      <c r="SD3" s="12">
        <f t="shared" ref="SD3" si="94">SC3+1</f>
        <v>9</v>
      </c>
      <c r="SE3" s="12">
        <f t="shared" ref="SE3" si="95">SD3+1</f>
        <v>10</v>
      </c>
      <c r="SF3" s="12">
        <f t="shared" ref="SF3" si="96">SE3+1</f>
        <v>11</v>
      </c>
      <c r="SG3" s="12">
        <f t="shared" ref="SG3" si="97">SF3+1</f>
        <v>12</v>
      </c>
      <c r="SH3" s="12">
        <f t="shared" ref="SH3" si="98">SG3+1</f>
        <v>13</v>
      </c>
      <c r="SI3" s="12">
        <f t="shared" ref="SI3" si="99">SH3+1</f>
        <v>14</v>
      </c>
      <c r="SJ3" s="12">
        <f t="shared" ref="SJ3" si="100">SI3+1</f>
        <v>15</v>
      </c>
      <c r="SK3" s="12">
        <f t="shared" ref="SK3" si="101">SJ3+1</f>
        <v>16</v>
      </c>
      <c r="SL3" s="12">
        <f t="shared" ref="SL3" si="102">SK3+1</f>
        <v>17</v>
      </c>
      <c r="SM3" s="12">
        <f t="shared" ref="SM3" si="103">SL3+1</f>
        <v>18</v>
      </c>
      <c r="SN3" s="12">
        <f t="shared" ref="SN3" si="104">SM3+1</f>
        <v>19</v>
      </c>
      <c r="SO3" s="12">
        <f t="shared" ref="SO3" si="105">SN3+1</f>
        <v>20</v>
      </c>
      <c r="SP3" s="12">
        <f t="shared" ref="SP3" si="106">SO3+1</f>
        <v>21</v>
      </c>
      <c r="SQ3" s="12">
        <f t="shared" ref="SQ3" si="107">SP3+1</f>
        <v>22</v>
      </c>
      <c r="SR3" s="12">
        <f t="shared" ref="SR3" si="108">SQ3+1</f>
        <v>23</v>
      </c>
      <c r="SS3" s="12"/>
      <c r="ST3" s="12"/>
      <c r="SU3" s="12" t="s">
        <v>2143</v>
      </c>
      <c r="SV3" s="12" t="s">
        <v>2144</v>
      </c>
      <c r="SW3" s="12" t="s">
        <v>2145</v>
      </c>
      <c r="SX3" s="12" t="s">
        <v>2146</v>
      </c>
      <c r="SY3" s="12" t="s">
        <v>2147</v>
      </c>
      <c r="SZ3" s="12" t="s">
        <v>2148</v>
      </c>
      <c r="TA3" s="12" t="s">
        <v>2149</v>
      </c>
      <c r="TB3" s="12" t="s">
        <v>2150</v>
      </c>
      <c r="TC3" s="12" t="s">
        <v>2151</v>
      </c>
      <c r="TD3" s="12" t="s">
        <v>2152</v>
      </c>
      <c r="TE3" s="12" t="s">
        <v>2153</v>
      </c>
      <c r="TF3" s="12"/>
      <c r="TG3" s="12" t="s">
        <v>2078</v>
      </c>
      <c r="TH3" s="12" t="s">
        <v>2079</v>
      </c>
      <c r="TI3" s="12" t="s">
        <v>2080</v>
      </c>
      <c r="TJ3" s="12" t="s">
        <v>2081</v>
      </c>
      <c r="TK3" s="12" t="s">
        <v>2082</v>
      </c>
      <c r="TL3" s="12" t="s">
        <v>2083</v>
      </c>
      <c r="TM3" s="12" t="s">
        <v>2084</v>
      </c>
      <c r="TN3" s="12" t="s">
        <v>2085</v>
      </c>
      <c r="TO3" s="12" t="s">
        <v>2086</v>
      </c>
      <c r="TP3" s="12" t="s">
        <v>2087</v>
      </c>
      <c r="TQ3" s="12" t="s">
        <v>2088</v>
      </c>
      <c r="TR3" s="13"/>
    </row>
    <row r="4" spans="1:819" x14ac:dyDescent="0.25">
      <c r="A4" t="s">
        <v>2120</v>
      </c>
      <c r="B4" t="s">
        <v>2107</v>
      </c>
      <c r="C4" t="s">
        <v>2294</v>
      </c>
      <c r="P4" t="s">
        <v>2090</v>
      </c>
      <c r="T4" s="14" t="s">
        <v>2071</v>
      </c>
      <c r="V4" t="s">
        <v>2089</v>
      </c>
      <c r="AP4" t="s">
        <v>137</v>
      </c>
      <c r="ADW4" s="25" t="s">
        <v>2105</v>
      </c>
      <c r="ADX4" s="12">
        <v>5</v>
      </c>
      <c r="ADY4" s="12" t="str">
        <f t="shared" ref="ADY4:ADY15" si="109">V4</f>
        <v>E3-3</v>
      </c>
      <c r="ADZ4" s="12"/>
      <c r="AEA4" s="13" t="s">
        <v>2106</v>
      </c>
    </row>
    <row r="5" spans="1:819" x14ac:dyDescent="0.25">
      <c r="A5" t="s">
        <v>2121</v>
      </c>
      <c r="B5" t="s">
        <v>2188</v>
      </c>
      <c r="C5" t="s">
        <v>2294</v>
      </c>
      <c r="P5" t="s">
        <v>2090</v>
      </c>
      <c r="T5" s="14" t="s">
        <v>2071</v>
      </c>
      <c r="V5" t="s">
        <v>2092</v>
      </c>
      <c r="AP5" t="s">
        <v>137</v>
      </c>
      <c r="ADW5" s="27" t="s">
        <v>2105</v>
      </c>
      <c r="ADX5">
        <v>8</v>
      </c>
      <c r="ADY5" t="str">
        <f t="shared" si="109"/>
        <v>E3-4</v>
      </c>
      <c r="AEA5" s="16" t="s">
        <v>2106</v>
      </c>
    </row>
    <row r="6" spans="1:819" x14ac:dyDescent="0.25">
      <c r="A6" t="s">
        <v>2122</v>
      </c>
      <c r="B6" t="s">
        <v>2108</v>
      </c>
      <c r="C6" t="s">
        <v>2294</v>
      </c>
      <c r="P6" t="s">
        <v>2090</v>
      </c>
      <c r="T6" s="14" t="s">
        <v>2071</v>
      </c>
      <c r="V6" t="s">
        <v>2093</v>
      </c>
      <c r="AP6" t="s">
        <v>137</v>
      </c>
      <c r="ADW6" s="27" t="s">
        <v>2105</v>
      </c>
      <c r="ADX6">
        <v>1</v>
      </c>
      <c r="ADY6" t="str">
        <f t="shared" si="109"/>
        <v>E3-5</v>
      </c>
      <c r="AEA6" s="16" t="s">
        <v>2106</v>
      </c>
    </row>
    <row r="7" spans="1:819" x14ac:dyDescent="0.25">
      <c r="A7" t="s">
        <v>2123</v>
      </c>
      <c r="B7" t="s">
        <v>2109</v>
      </c>
      <c r="C7" t="s">
        <v>2294</v>
      </c>
      <c r="P7" t="s">
        <v>2090</v>
      </c>
      <c r="T7" s="14" t="s">
        <v>2071</v>
      </c>
      <c r="V7" t="s">
        <v>2094</v>
      </c>
      <c r="AP7" t="s">
        <v>137</v>
      </c>
      <c r="ADW7" s="27" t="s">
        <v>2105</v>
      </c>
      <c r="ADX7">
        <v>2</v>
      </c>
      <c r="ADY7" t="str">
        <f t="shared" si="109"/>
        <v>E3-6</v>
      </c>
      <c r="AEA7" s="16" t="s">
        <v>2106</v>
      </c>
    </row>
    <row r="8" spans="1:819" x14ac:dyDescent="0.25">
      <c r="A8" t="s">
        <v>2124</v>
      </c>
      <c r="B8" t="s">
        <v>2110</v>
      </c>
      <c r="C8" t="s">
        <v>2294</v>
      </c>
      <c r="P8" t="s">
        <v>2090</v>
      </c>
      <c r="T8" s="14" t="s">
        <v>2071</v>
      </c>
      <c r="V8" t="s">
        <v>2095</v>
      </c>
      <c r="AP8" t="s">
        <v>137</v>
      </c>
      <c r="ADW8" s="27" t="s">
        <v>2105</v>
      </c>
      <c r="ADX8">
        <v>3</v>
      </c>
      <c r="ADY8" t="str">
        <f t="shared" si="109"/>
        <v>E3-7</v>
      </c>
      <c r="AEA8" s="16" t="s">
        <v>2106</v>
      </c>
    </row>
    <row r="9" spans="1:819" x14ac:dyDescent="0.25">
      <c r="A9" t="s">
        <v>2125</v>
      </c>
      <c r="B9" t="s">
        <v>2111</v>
      </c>
      <c r="C9" t="s">
        <v>2294</v>
      </c>
      <c r="P9" t="s">
        <v>2090</v>
      </c>
      <c r="T9" s="14" t="s">
        <v>2071</v>
      </c>
      <c r="V9" t="s">
        <v>2096</v>
      </c>
      <c r="AP9" t="s">
        <v>137</v>
      </c>
      <c r="ADW9" s="27" t="s">
        <v>2105</v>
      </c>
      <c r="ADX9">
        <v>4</v>
      </c>
      <c r="ADY9" t="str">
        <f t="shared" si="109"/>
        <v>E3-8</v>
      </c>
      <c r="AEA9" s="16" t="s">
        <v>2106</v>
      </c>
    </row>
    <row r="10" spans="1:819" x14ac:dyDescent="0.25">
      <c r="A10" t="s">
        <v>2126</v>
      </c>
      <c r="B10" t="s">
        <v>2112</v>
      </c>
      <c r="C10" t="s">
        <v>2294</v>
      </c>
      <c r="P10" t="s">
        <v>2090</v>
      </c>
      <c r="T10" s="14" t="s">
        <v>2071</v>
      </c>
      <c r="V10" t="s">
        <v>2097</v>
      </c>
      <c r="AP10" t="s">
        <v>137</v>
      </c>
      <c r="ADW10" s="27" t="s">
        <v>2105</v>
      </c>
      <c r="ADX10">
        <v>6</v>
      </c>
      <c r="ADY10" t="str">
        <f t="shared" si="109"/>
        <v>E3-9</v>
      </c>
      <c r="AEA10" s="16" t="s">
        <v>2106</v>
      </c>
    </row>
    <row r="11" spans="1:819" x14ac:dyDescent="0.25">
      <c r="A11" t="s">
        <v>2127</v>
      </c>
      <c r="B11" t="s">
        <v>2113</v>
      </c>
      <c r="C11" t="s">
        <v>2294</v>
      </c>
      <c r="P11" t="s">
        <v>2090</v>
      </c>
      <c r="T11" s="14" t="s">
        <v>2071</v>
      </c>
      <c r="V11" t="s">
        <v>2098</v>
      </c>
      <c r="AP11" t="s">
        <v>137</v>
      </c>
      <c r="ADW11" s="27" t="s">
        <v>2105</v>
      </c>
      <c r="ADX11">
        <v>7</v>
      </c>
      <c r="ADY11" t="str">
        <f t="shared" si="109"/>
        <v>E3-10</v>
      </c>
      <c r="AEA11" s="16" t="s">
        <v>2106</v>
      </c>
    </row>
    <row r="12" spans="1:819" x14ac:dyDescent="0.25">
      <c r="A12" t="s">
        <v>2128</v>
      </c>
      <c r="B12" t="s">
        <v>2114</v>
      </c>
      <c r="C12" t="s">
        <v>2294</v>
      </c>
      <c r="P12" t="s">
        <v>2090</v>
      </c>
      <c r="T12" s="14" t="s">
        <v>2071</v>
      </c>
      <c r="V12" t="s">
        <v>2099</v>
      </c>
      <c r="AP12" t="s">
        <v>137</v>
      </c>
      <c r="ADW12" s="27" t="s">
        <v>2105</v>
      </c>
      <c r="ADX12">
        <v>9</v>
      </c>
      <c r="ADY12" t="str">
        <f t="shared" si="109"/>
        <v>E3-11</v>
      </c>
      <c r="AEA12" s="16" t="s">
        <v>2106</v>
      </c>
    </row>
    <row r="13" spans="1:819" x14ac:dyDescent="0.25">
      <c r="A13" t="s">
        <v>2129</v>
      </c>
      <c r="B13" t="s">
        <v>2115</v>
      </c>
      <c r="C13" t="s">
        <v>2294</v>
      </c>
      <c r="P13" t="s">
        <v>2090</v>
      </c>
      <c r="T13" s="14" t="s">
        <v>2071</v>
      </c>
      <c r="V13" t="s">
        <v>2100</v>
      </c>
      <c r="AP13" t="s">
        <v>137</v>
      </c>
      <c r="ADW13" s="27" t="s">
        <v>2105</v>
      </c>
      <c r="ADX13">
        <v>10</v>
      </c>
      <c r="ADY13" t="str">
        <f t="shared" si="109"/>
        <v>E3-12</v>
      </c>
      <c r="AEA13" s="16" t="s">
        <v>2106</v>
      </c>
    </row>
    <row r="14" spans="1:819" x14ac:dyDescent="0.25">
      <c r="A14" t="s">
        <v>2130</v>
      </c>
      <c r="B14" t="s">
        <v>2116</v>
      </c>
      <c r="C14" t="s">
        <v>2294</v>
      </c>
      <c r="P14" t="s">
        <v>2090</v>
      </c>
      <c r="T14" s="14" t="s">
        <v>2071</v>
      </c>
      <c r="V14" t="s">
        <v>2101</v>
      </c>
      <c r="AP14" t="s">
        <v>137</v>
      </c>
      <c r="ADW14" s="27" t="s">
        <v>2105</v>
      </c>
      <c r="ADX14">
        <v>11</v>
      </c>
      <c r="ADY14" t="str">
        <f t="shared" si="109"/>
        <v>E3-13</v>
      </c>
      <c r="AEA14" s="16" t="s">
        <v>2106</v>
      </c>
    </row>
    <row r="15" spans="1:819" ht="15.75" thickBot="1" x14ac:dyDescent="0.3">
      <c r="A15" t="s">
        <v>2131</v>
      </c>
      <c r="B15" t="s">
        <v>2117</v>
      </c>
      <c r="C15" t="s">
        <v>2294</v>
      </c>
      <c r="P15" t="s">
        <v>2090</v>
      </c>
      <c r="T15" s="14" t="s">
        <v>2071</v>
      </c>
      <c r="V15" t="s">
        <v>2102</v>
      </c>
      <c r="AP15" t="s">
        <v>137</v>
      </c>
      <c r="ADW15" s="27" t="s">
        <v>2105</v>
      </c>
      <c r="ADX15">
        <v>12</v>
      </c>
      <c r="ADY15" t="str">
        <f t="shared" si="109"/>
        <v>E3-14</v>
      </c>
      <c r="AEA15" s="16" t="s">
        <v>2106</v>
      </c>
    </row>
    <row r="16" spans="1:819" ht="15.75" thickBot="1" x14ac:dyDescent="0.3">
      <c r="A16" t="s">
        <v>2154</v>
      </c>
      <c r="B16" t="s">
        <v>2169</v>
      </c>
      <c r="P16" t="s">
        <v>2073</v>
      </c>
      <c r="T16" s="14" t="s">
        <v>2071</v>
      </c>
      <c r="U16">
        <v>3</v>
      </c>
      <c r="V16" s="15"/>
      <c r="W16" t="s">
        <v>2172</v>
      </c>
      <c r="X16" t="s">
        <v>2005</v>
      </c>
      <c r="Y16" s="43" t="str" cm="1">
        <f t="array" ref="Y16">IF(COUNTIFS($X$2:$X16,$X16)=1,"1",VALUE(SUBSTITUTE(INDEX(Y:Y,_xlfn.XMATCH($X16,$X$1:$X15,0,-1)),"A",""))+INDEX(Z:Z,_xlfn.XMATCH($X16,$X$1:$X15,0,-1))+1)</f>
        <v>1</v>
      </c>
      <c r="Z16" s="43" cm="1">
        <f t="array" ref="Z16">SUM(IF(ISNUMBER(FIND("TmAi",$BE$1:$AAL$1)),IF(IFERROR(ISODD(SUBSTITUTE($BE16:$AAL16,"A","")),FALSE),IF(ISODD(SUBSTITUTE($BE16:$AAL16,"A","")),1,0),0)))</f>
        <v>10</v>
      </c>
      <c r="AA16" t="str">
        <f t="shared" ref="AA16:AA17" si="110">CONCATENATE($Y16*2-1,"A")</f>
        <v>1A</v>
      </c>
      <c r="AB16" t="str">
        <f t="shared" ref="AB16:AB17" si="111">CONCATENATE($Y16*2-1,"B")</f>
        <v>1B</v>
      </c>
      <c r="AP16" t="s">
        <v>2077</v>
      </c>
      <c r="AS16" t="s">
        <v>396</v>
      </c>
      <c r="JZ16" s="27"/>
      <c r="KS16" s="16"/>
      <c r="PZ16" s="25" t="str">
        <f>REPLACE(X16,FIND(".",X16)+1,3,MID(X16,FIND(".",X16)+1,3)+1)</f>
        <v>A3.6</v>
      </c>
      <c r="QA16" s="12" t="str">
        <f>CONCATENATE(VALUE(SUBSTITUTE($AB16,"B",""))+2,"B")</f>
        <v>3B</v>
      </c>
      <c r="QB16" s="12" t="str">
        <f>CONCATENATE(VALUE(SUBSTITUTE($AA16,"A",""))+2,"A")</f>
        <v>3A</v>
      </c>
      <c r="QC16" s="12" t="str">
        <f>CONCATENATE(VALUE(SUBSTITUTE(QA16,"B",""))+2,"B")</f>
        <v>5B</v>
      </c>
      <c r="QD16" s="12" t="str">
        <f>CONCATENATE(VALUE(SUBSTITUTE(QB16,"A",""))+2,"A")</f>
        <v>5A</v>
      </c>
      <c r="QE16" s="12" t="str">
        <f t="shared" ref="QE16:QE17" si="112">CONCATENATE(VALUE(SUBSTITUTE(QC16,"B",""))+2,"B")</f>
        <v>7B</v>
      </c>
      <c r="QF16" s="12" t="str">
        <f t="shared" ref="QF16:QF17" si="113">CONCATENATE(VALUE(SUBSTITUTE(QD16,"A",""))+2,"A")</f>
        <v>7A</v>
      </c>
      <c r="QG16" s="12" t="str">
        <f t="shared" ref="QG16:QG17" si="114">CONCATENATE(VALUE(SUBSTITUTE(QE16,"B",""))+2,"B")</f>
        <v>9B</v>
      </c>
      <c r="QH16" s="12" t="str">
        <f t="shared" ref="QH16:QH17" si="115">CONCATENATE(VALUE(SUBSTITUTE(QF16,"A",""))+2,"A")</f>
        <v>9A</v>
      </c>
      <c r="QI16" s="12" t="str">
        <f t="shared" ref="QI16:QI17" si="116">CONCATENATE(VALUE(SUBSTITUTE(QG16,"B",""))+2,"B")</f>
        <v>11B</v>
      </c>
      <c r="QJ16" s="12" t="str">
        <f t="shared" ref="QJ16:QJ17" si="117">CONCATENATE(VALUE(SUBSTITUTE(QH16,"A",""))+2,"A")</f>
        <v>11A</v>
      </c>
      <c r="QK16" s="12" t="s">
        <v>135</v>
      </c>
      <c r="QL16" s="12" t="s">
        <v>136</v>
      </c>
      <c r="QM16" s="12" t="str">
        <f t="shared" ref="QM16:QM17" si="118">CONCATENATE(VALUE(SUBSTITUTE(QK16,"B",""))+2,"B")</f>
        <v>3B</v>
      </c>
      <c r="QN16" s="12" t="str">
        <f t="shared" ref="QN16:QN17" si="119">CONCATENATE(VALUE(SUBSTITUTE(QL16,"A",""))+2,"A")</f>
        <v>3A</v>
      </c>
      <c r="QO16" s="12" t="str">
        <f t="shared" ref="QO16:QO17" si="120">CONCATENATE(VALUE(SUBSTITUTE(QM16,"B",""))+2,"B")</f>
        <v>5B</v>
      </c>
      <c r="QP16" s="12" t="str">
        <f t="shared" ref="QP16:QP17" si="121">CONCATENATE(VALUE(SUBSTITUTE(QN16,"A",""))+2,"A")</f>
        <v>5A</v>
      </c>
      <c r="QQ16" s="12" t="str">
        <f t="shared" ref="QQ16:QQ17" si="122">CONCATENATE(VALUE(SUBSTITUTE(QO16,"B",""))+2,"B")</f>
        <v>7B</v>
      </c>
      <c r="QR16" s="12" t="str">
        <f t="shared" ref="QR16:QR17" si="123">CONCATENATE(VALUE(SUBSTITUTE(QP16,"A",""))+2,"A")</f>
        <v>7A</v>
      </c>
      <c r="QS16" s="12" t="str">
        <f t="shared" ref="QS16:QS17" si="124">CONCATENATE(VALUE(SUBSTITUTE(QQ16,"B",""))+2,"B")</f>
        <v>9B</v>
      </c>
      <c r="QT16" s="12" t="str">
        <f t="shared" ref="QT16:QT17" si="125">CONCATENATE(VALUE(SUBSTITUTE(QR16,"A",""))+2,"A")</f>
        <v>9A</v>
      </c>
      <c r="QU16" s="12"/>
      <c r="QV16" s="12"/>
      <c r="QW16" s="12" t="str">
        <f>CONCATENATE($T16,"-AI",REPLACE($X16,1,3,""),"-",AB16)</f>
        <v>E3-AI5-1B</v>
      </c>
      <c r="QX16" s="12" t="str">
        <f>CONCATENATE($T16,"-AI",REPLACE($X16,1,3,""),"-",AA16)</f>
        <v>E3-AI5-1A</v>
      </c>
      <c r="QY16" s="12" t="str">
        <f>CONCATENATE($T16,"-AI",REPLACE($X16,1,3,""),"-",QA16)</f>
        <v>E3-AI5-3B</v>
      </c>
      <c r="QZ16" s="12" t="str">
        <f>CONCATENATE($T16,"-AI",REPLACE($X16,1,3,""),"-",QB16)</f>
        <v>E3-AI5-3A</v>
      </c>
      <c r="RA16" s="12" t="str">
        <f t="shared" ref="RA16:RA17" si="126">CONCATENATE($T16,"-AI",REPLACE($X16,1,3,""),"-",QC16)</f>
        <v>E3-AI5-5B</v>
      </c>
      <c r="RB16" s="12" t="str">
        <f t="shared" ref="RB16:RB17" si="127">CONCATENATE($T16,"-AI",REPLACE($X16,1,3,""),"-",QD16)</f>
        <v>E3-AI5-5A</v>
      </c>
      <c r="RC16" s="12" t="str">
        <f t="shared" ref="RC16:RC17" si="128">CONCATENATE($T16,"-AI",REPLACE($X16,1,3,""),"-",QE16)</f>
        <v>E3-AI5-7B</v>
      </c>
      <c r="RD16" s="12" t="str">
        <f t="shared" ref="RD16:RD17" si="129">CONCATENATE($T16,"-AI",REPLACE($X16,1,3,""),"-",QF16)</f>
        <v>E3-AI5-7A</v>
      </c>
      <c r="RE16" s="12" t="str">
        <f t="shared" ref="RE16:RE17" si="130">CONCATENATE($T16,"-AI",REPLACE($X16,1,3,""),"-",QG16)</f>
        <v>E3-AI5-9B</v>
      </c>
      <c r="RF16" s="12" t="str">
        <f t="shared" ref="RF16:RF17" si="131">CONCATENATE($T16,"-AI",REPLACE($X16,1,3,""),"-",QH16)</f>
        <v>E3-AI5-9A</v>
      </c>
      <c r="RG16" s="12" t="str">
        <f t="shared" ref="RG16:RG17" si="132">CONCATENATE($T16,"-AI",REPLACE($X16,1,3,""),"-",QI16)</f>
        <v>E3-AI5-11B</v>
      </c>
      <c r="RH16" s="12" t="str">
        <f t="shared" ref="RH16:RH17" si="133">CONCATENATE($T16,"-AI",REPLACE($X16,1,3,""),"-",QJ16)</f>
        <v>E3-AI5-11A</v>
      </c>
      <c r="RI16" s="12" t="str">
        <f t="shared" ref="RI16:RI17" si="134">CONCATENATE($T16,"-AI",REPLACE($PZ16,1,3,""),"-",QK16)</f>
        <v>E3-AI6-1B</v>
      </c>
      <c r="RJ16" s="12" t="str">
        <f t="shared" ref="RJ16:RJ17" si="135">CONCATENATE($T16,"-AI",REPLACE($PZ16,1,3,""),"-",QL16)</f>
        <v>E3-AI6-1A</v>
      </c>
      <c r="RK16" s="12" t="str">
        <f t="shared" ref="RK16:RK17" si="136">CONCATENATE($T16,"-AI",REPLACE($PZ16,1,3,""),"-",QM16)</f>
        <v>E3-AI6-3B</v>
      </c>
      <c r="RL16" s="12" t="str">
        <f t="shared" ref="RL16:RL17" si="137">CONCATENATE($T16,"-AI",REPLACE($PZ16,1,3,""),"-",QN16)</f>
        <v>E3-AI6-3A</v>
      </c>
      <c r="RM16" s="12" t="str">
        <f t="shared" ref="RM16:RM17" si="138">CONCATENATE($T16,"-AI",REPLACE($PZ16,1,3,""),"-",QO16)</f>
        <v>E3-AI6-5B</v>
      </c>
      <c r="RN16" s="12" t="str">
        <f t="shared" ref="RN16:RN17" si="139">CONCATENATE($T16,"-AI",REPLACE($PZ16,1,3,""),"-",QP16)</f>
        <v>E3-AI6-5A</v>
      </c>
      <c r="RO16" s="12" t="str">
        <f t="shared" ref="RO16:RO17" si="140">CONCATENATE($T16,"-AI",REPLACE($PZ16,1,3,""),"-",QQ16)</f>
        <v>E3-AI6-7B</v>
      </c>
      <c r="RP16" s="12" t="str">
        <f t="shared" ref="RP16:RP17" si="141">CONCATENATE($T16,"-AI",REPLACE($PZ16,1,3,""),"-",QR16)</f>
        <v>E3-AI6-7A</v>
      </c>
      <c r="RQ16" s="12" t="str">
        <f t="shared" ref="RQ16:RQ17" si="142">CONCATENATE($T16,"-AI",REPLACE($PZ16,1,3,""),"-",QS16)</f>
        <v>E3-AI6-9B</v>
      </c>
      <c r="RR16" s="12" t="str">
        <f t="shared" ref="RR16:RR17" si="143">CONCATENATE($T16,"-AI",REPLACE($PZ16,1,3,""),"-",QT16)</f>
        <v>E3-AI6-9A</v>
      </c>
      <c r="RS16" s="12"/>
      <c r="RT16" s="12"/>
      <c r="RU16" s="12" t="str">
        <f t="shared" ref="RU16:RU17" si="144">CONCATENATE("XT",$U16)</f>
        <v>XT3</v>
      </c>
      <c r="RV16" s="12">
        <v>1</v>
      </c>
      <c r="RW16" s="12">
        <f>RV16+1</f>
        <v>2</v>
      </c>
      <c r="RX16" s="12">
        <f t="shared" ref="RX16:RX17" si="145">RW16+1</f>
        <v>3</v>
      </c>
      <c r="RY16" s="12">
        <f t="shared" ref="RY16:RY17" si="146">RX16+1</f>
        <v>4</v>
      </c>
      <c r="RZ16" s="12">
        <f t="shared" ref="RZ16:RZ17" si="147">RY16+1</f>
        <v>5</v>
      </c>
      <c r="SA16" s="12">
        <f t="shared" ref="SA16:SA17" si="148">RZ16+1</f>
        <v>6</v>
      </c>
      <c r="SB16" s="12">
        <f t="shared" ref="SB16:SB17" si="149">SA16+1</f>
        <v>7</v>
      </c>
      <c r="SC16" s="12">
        <f t="shared" ref="SC16:SC17" si="150">SB16+1</f>
        <v>8</v>
      </c>
      <c r="SD16" s="12">
        <f t="shared" ref="SD16:SD17" si="151">SC16+1</f>
        <v>9</v>
      </c>
      <c r="SE16" s="12">
        <f t="shared" ref="SE16:SE17" si="152">SD16+1</f>
        <v>10</v>
      </c>
      <c r="SF16" s="12">
        <f t="shared" ref="SF16:SF17" si="153">SE16+1</f>
        <v>11</v>
      </c>
      <c r="SG16" s="12">
        <f t="shared" ref="SG16:SG17" si="154">SF16+1</f>
        <v>12</v>
      </c>
      <c r="SH16" s="12">
        <f t="shared" ref="SH16:SH17" si="155">SG16+1</f>
        <v>13</v>
      </c>
      <c r="SI16" s="12">
        <f t="shared" ref="SI16:SI17" si="156">SH16+1</f>
        <v>14</v>
      </c>
      <c r="SJ16" s="12">
        <f t="shared" ref="SJ16:SJ17" si="157">SI16+1</f>
        <v>15</v>
      </c>
      <c r="SK16" s="12">
        <f t="shared" ref="SK16:SK17" si="158">SJ16+1</f>
        <v>16</v>
      </c>
      <c r="SL16" s="12">
        <f t="shared" ref="SL16:SL17" si="159">SK16+1</f>
        <v>17</v>
      </c>
      <c r="SM16" s="12">
        <f t="shared" ref="SM16:SM17" si="160">SL16+1</f>
        <v>18</v>
      </c>
      <c r="SN16" s="12">
        <f t="shared" ref="SN16:SN17" si="161">SM16+1</f>
        <v>19</v>
      </c>
      <c r="SO16" s="12">
        <f t="shared" ref="SO16:SO17" si="162">SN16+1</f>
        <v>20</v>
      </c>
      <c r="SP16" s="12">
        <f t="shared" ref="SP16:SP17" si="163">SO16+1</f>
        <v>21</v>
      </c>
      <c r="SQ16" s="12">
        <f t="shared" ref="SQ16:SQ17" si="164">SP16+1</f>
        <v>22</v>
      </c>
      <c r="SR16" s="12">
        <f t="shared" ref="SR16:SR17" si="165">SQ16+1</f>
        <v>23</v>
      </c>
      <c r="SS16" s="12"/>
      <c r="ST16" s="12"/>
      <c r="SU16" s="12" t="s">
        <v>2203</v>
      </c>
      <c r="SV16" s="12" t="s">
        <v>2204</v>
      </c>
      <c r="SW16" s="12" t="s">
        <v>2205</v>
      </c>
      <c r="SX16" s="12" t="s">
        <v>2206</v>
      </c>
      <c r="SY16" s="12" t="s">
        <v>2207</v>
      </c>
      <c r="SZ16" s="12" t="s">
        <v>2208</v>
      </c>
      <c r="TA16" s="12" t="s">
        <v>2209</v>
      </c>
      <c r="TB16" s="12" t="s">
        <v>2210</v>
      </c>
      <c r="TC16" s="12" t="s">
        <v>2211</v>
      </c>
      <c r="TD16" s="12" t="s">
        <v>2212</v>
      </c>
      <c r="TE16" s="12" t="s">
        <v>2213</v>
      </c>
      <c r="TF16" s="12"/>
      <c r="TG16" s="12" t="s">
        <v>2078</v>
      </c>
      <c r="TH16" s="12" t="s">
        <v>2079</v>
      </c>
      <c r="TI16" s="12" t="s">
        <v>2080</v>
      </c>
      <c r="TJ16" s="12" t="s">
        <v>2081</v>
      </c>
      <c r="TK16" s="12" t="s">
        <v>2082</v>
      </c>
      <c r="TL16" s="12" t="s">
        <v>2083</v>
      </c>
      <c r="TM16" s="12" t="s">
        <v>2084</v>
      </c>
      <c r="TN16" s="12" t="s">
        <v>2085</v>
      </c>
      <c r="TO16" s="12" t="s">
        <v>2086</v>
      </c>
      <c r="TP16" s="12" t="s">
        <v>2087</v>
      </c>
      <c r="TQ16" s="12" t="s">
        <v>2088</v>
      </c>
      <c r="TR16" s="13"/>
    </row>
    <row r="17" spans="1:807" ht="15.75" thickBot="1" x14ac:dyDescent="0.3">
      <c r="A17" t="s">
        <v>2155</v>
      </c>
      <c r="B17" t="s">
        <v>2168</v>
      </c>
      <c r="P17" t="s">
        <v>2073</v>
      </c>
      <c r="T17" s="14" t="s">
        <v>2071</v>
      </c>
      <c r="U17">
        <v>4</v>
      </c>
      <c r="V17" s="15"/>
      <c r="W17" t="s">
        <v>2173</v>
      </c>
      <c r="X17" t="s">
        <v>2006</v>
      </c>
      <c r="Y17" s="43" t="str" cm="1">
        <f t="array" ref="Y17">IF(COUNTIFS($X$2:$X17,$X17)=1,"1",VALUE(SUBSTITUTE(INDEX(Y:Y,_xlfn.XMATCH($X17,$X$1:$X16,0,-1)),"A",""))+INDEX(Z:Z,_xlfn.XMATCH($X17,$X$1:$X16,0,-1))+1)</f>
        <v>1</v>
      </c>
      <c r="Z17" s="43" cm="1">
        <f t="array" ref="Z17">SUM(IF(ISNUMBER(FIND("TmAi",$BE$1:$AAL$1)),IF(IFERROR(ISODD(SUBSTITUTE($BE17:$AAL17,"A","")),FALSE),IF(ISODD(SUBSTITUTE($BE17:$AAL17,"A","")),1,0),0)))</f>
        <v>10</v>
      </c>
      <c r="AA17" t="str">
        <f t="shared" si="110"/>
        <v>1A</v>
      </c>
      <c r="AB17" t="str">
        <f t="shared" si="111"/>
        <v>1B</v>
      </c>
      <c r="AP17" t="s">
        <v>2077</v>
      </c>
      <c r="AS17" t="s">
        <v>396</v>
      </c>
      <c r="JZ17" s="27"/>
      <c r="KS17" s="16"/>
      <c r="PZ17" s="25" t="str">
        <f>REPLACE(X17,FIND(".",X17)+1,3,MID(X17,FIND(".",X17)+1,3)+1)</f>
        <v>A3.8</v>
      </c>
      <c r="QA17" s="12" t="str">
        <f>CONCATENATE(VALUE(SUBSTITUTE($AB17,"B",""))+2,"B")</f>
        <v>3B</v>
      </c>
      <c r="QB17" s="12" t="str">
        <f>CONCATENATE(VALUE(SUBSTITUTE($AA17,"A",""))+2,"A")</f>
        <v>3A</v>
      </c>
      <c r="QC17" s="12" t="str">
        <f>CONCATENATE(VALUE(SUBSTITUTE(QA17,"B",""))+2,"B")</f>
        <v>5B</v>
      </c>
      <c r="QD17" s="12" t="str">
        <f>CONCATENATE(VALUE(SUBSTITUTE(QB17,"A",""))+2,"A")</f>
        <v>5A</v>
      </c>
      <c r="QE17" s="12" t="str">
        <f t="shared" si="112"/>
        <v>7B</v>
      </c>
      <c r="QF17" s="12" t="str">
        <f t="shared" si="113"/>
        <v>7A</v>
      </c>
      <c r="QG17" s="12" t="str">
        <f t="shared" si="114"/>
        <v>9B</v>
      </c>
      <c r="QH17" s="12" t="str">
        <f t="shared" si="115"/>
        <v>9A</v>
      </c>
      <c r="QI17" s="12" t="str">
        <f t="shared" si="116"/>
        <v>11B</v>
      </c>
      <c r="QJ17" s="12" t="str">
        <f t="shared" si="117"/>
        <v>11A</v>
      </c>
      <c r="QK17" s="12" t="s">
        <v>135</v>
      </c>
      <c r="QL17" s="12" t="s">
        <v>136</v>
      </c>
      <c r="QM17" s="12" t="str">
        <f t="shared" si="118"/>
        <v>3B</v>
      </c>
      <c r="QN17" s="12" t="str">
        <f t="shared" si="119"/>
        <v>3A</v>
      </c>
      <c r="QO17" s="12" t="str">
        <f t="shared" si="120"/>
        <v>5B</v>
      </c>
      <c r="QP17" s="12" t="str">
        <f t="shared" si="121"/>
        <v>5A</v>
      </c>
      <c r="QQ17" s="12" t="str">
        <f t="shared" si="122"/>
        <v>7B</v>
      </c>
      <c r="QR17" s="12" t="str">
        <f t="shared" si="123"/>
        <v>7A</v>
      </c>
      <c r="QS17" s="12" t="str">
        <f t="shared" si="124"/>
        <v>9B</v>
      </c>
      <c r="QT17" s="12" t="str">
        <f t="shared" si="125"/>
        <v>9A</v>
      </c>
      <c r="QU17" s="12"/>
      <c r="QV17" s="12"/>
      <c r="QW17" s="12" t="str">
        <f>CONCATENATE($T17,"-AI",REPLACE($X17,1,3,""),"-",AB17)</f>
        <v>E3-AI7-1B</v>
      </c>
      <c r="QX17" s="12" t="str">
        <f>CONCATENATE($T17,"-AI",REPLACE($X17,1,3,""),"-",AA17)</f>
        <v>E3-AI7-1A</v>
      </c>
      <c r="QY17" s="12" t="str">
        <f>CONCATENATE($T17,"-AI",REPLACE($X17,1,3,""),"-",QA17)</f>
        <v>E3-AI7-3B</v>
      </c>
      <c r="QZ17" s="12" t="str">
        <f>CONCATENATE($T17,"-AI",REPLACE($X17,1,3,""),"-",QB17)</f>
        <v>E3-AI7-3A</v>
      </c>
      <c r="RA17" s="12" t="str">
        <f t="shared" si="126"/>
        <v>E3-AI7-5B</v>
      </c>
      <c r="RB17" s="12" t="str">
        <f t="shared" si="127"/>
        <v>E3-AI7-5A</v>
      </c>
      <c r="RC17" s="12" t="str">
        <f t="shared" si="128"/>
        <v>E3-AI7-7B</v>
      </c>
      <c r="RD17" s="12" t="str">
        <f t="shared" si="129"/>
        <v>E3-AI7-7A</v>
      </c>
      <c r="RE17" s="12" t="str">
        <f t="shared" si="130"/>
        <v>E3-AI7-9B</v>
      </c>
      <c r="RF17" s="12" t="str">
        <f t="shared" si="131"/>
        <v>E3-AI7-9A</v>
      </c>
      <c r="RG17" s="12" t="str">
        <f t="shared" si="132"/>
        <v>E3-AI7-11B</v>
      </c>
      <c r="RH17" s="12" t="str">
        <f t="shared" si="133"/>
        <v>E3-AI7-11A</v>
      </c>
      <c r="RI17" s="12" t="str">
        <f t="shared" si="134"/>
        <v>E3-AI8-1B</v>
      </c>
      <c r="RJ17" s="12" t="str">
        <f t="shared" si="135"/>
        <v>E3-AI8-1A</v>
      </c>
      <c r="RK17" s="12" t="str">
        <f t="shared" si="136"/>
        <v>E3-AI8-3B</v>
      </c>
      <c r="RL17" s="12" t="str">
        <f t="shared" si="137"/>
        <v>E3-AI8-3A</v>
      </c>
      <c r="RM17" s="12" t="str">
        <f t="shared" si="138"/>
        <v>E3-AI8-5B</v>
      </c>
      <c r="RN17" s="12" t="str">
        <f t="shared" si="139"/>
        <v>E3-AI8-5A</v>
      </c>
      <c r="RO17" s="12" t="str">
        <f t="shared" si="140"/>
        <v>E3-AI8-7B</v>
      </c>
      <c r="RP17" s="12" t="str">
        <f t="shared" si="141"/>
        <v>E3-AI8-7A</v>
      </c>
      <c r="RQ17" s="12" t="str">
        <f t="shared" si="142"/>
        <v>E3-AI8-9B</v>
      </c>
      <c r="RR17" s="12" t="str">
        <f t="shared" si="143"/>
        <v>E3-AI8-9A</v>
      </c>
      <c r="RS17" s="12"/>
      <c r="RT17" s="12"/>
      <c r="RU17" s="12" t="str">
        <f t="shared" si="144"/>
        <v>XT4</v>
      </c>
      <c r="RV17" s="12">
        <v>1</v>
      </c>
      <c r="RW17" s="12">
        <f>RV17+1</f>
        <v>2</v>
      </c>
      <c r="RX17" s="12">
        <f t="shared" si="145"/>
        <v>3</v>
      </c>
      <c r="RY17" s="12">
        <f t="shared" si="146"/>
        <v>4</v>
      </c>
      <c r="RZ17" s="12">
        <f t="shared" si="147"/>
        <v>5</v>
      </c>
      <c r="SA17" s="12">
        <f t="shared" si="148"/>
        <v>6</v>
      </c>
      <c r="SB17" s="12">
        <f t="shared" si="149"/>
        <v>7</v>
      </c>
      <c r="SC17" s="12">
        <f t="shared" si="150"/>
        <v>8</v>
      </c>
      <c r="SD17" s="12">
        <f t="shared" si="151"/>
        <v>9</v>
      </c>
      <c r="SE17" s="12">
        <f t="shared" si="152"/>
        <v>10</v>
      </c>
      <c r="SF17" s="12">
        <f t="shared" si="153"/>
        <v>11</v>
      </c>
      <c r="SG17" s="12">
        <f t="shared" si="154"/>
        <v>12</v>
      </c>
      <c r="SH17" s="12">
        <f t="shared" si="155"/>
        <v>13</v>
      </c>
      <c r="SI17" s="12">
        <f t="shared" si="156"/>
        <v>14</v>
      </c>
      <c r="SJ17" s="12">
        <f t="shared" si="157"/>
        <v>15</v>
      </c>
      <c r="SK17" s="12">
        <f t="shared" si="158"/>
        <v>16</v>
      </c>
      <c r="SL17" s="12">
        <f t="shared" si="159"/>
        <v>17</v>
      </c>
      <c r="SM17" s="12">
        <f t="shared" si="160"/>
        <v>18</v>
      </c>
      <c r="SN17" s="12">
        <f t="shared" si="161"/>
        <v>19</v>
      </c>
      <c r="SO17" s="12">
        <f t="shared" si="162"/>
        <v>20</v>
      </c>
      <c r="SP17" s="12">
        <f t="shared" si="163"/>
        <v>21</v>
      </c>
      <c r="SQ17" s="12">
        <f t="shared" si="164"/>
        <v>22</v>
      </c>
      <c r="SR17" s="12">
        <f t="shared" si="165"/>
        <v>23</v>
      </c>
      <c r="SS17" s="12"/>
      <c r="ST17" s="12"/>
      <c r="SU17" s="12" t="s">
        <v>2214</v>
      </c>
      <c r="SV17" s="12" t="s">
        <v>2215</v>
      </c>
      <c r="SW17" s="12" t="s">
        <v>2216</v>
      </c>
      <c r="SX17" s="12" t="s">
        <v>2217</v>
      </c>
      <c r="SY17" s="12" t="s">
        <v>2218</v>
      </c>
      <c r="SZ17" s="12" t="s">
        <v>2219</v>
      </c>
      <c r="TA17" s="12" t="s">
        <v>2220</v>
      </c>
      <c r="TB17" s="12" t="s">
        <v>2221</v>
      </c>
      <c r="TC17" s="12" t="s">
        <v>2222</v>
      </c>
      <c r="TD17" s="12" t="s">
        <v>2223</v>
      </c>
      <c r="TE17" s="12" t="s">
        <v>2224</v>
      </c>
      <c r="TF17" s="12"/>
      <c r="TG17" s="12" t="s">
        <v>2078</v>
      </c>
      <c r="TH17" s="12" t="s">
        <v>2079</v>
      </c>
      <c r="TI17" s="12" t="s">
        <v>2080</v>
      </c>
      <c r="TJ17" s="12" t="s">
        <v>2081</v>
      </c>
      <c r="TK17" s="12" t="s">
        <v>2082</v>
      </c>
      <c r="TL17" s="12" t="s">
        <v>2083</v>
      </c>
      <c r="TM17" s="12" t="s">
        <v>2084</v>
      </c>
      <c r="TN17" s="12" t="s">
        <v>2085</v>
      </c>
      <c r="TO17" s="12" t="s">
        <v>2086</v>
      </c>
      <c r="TP17" s="12" t="s">
        <v>2087</v>
      </c>
      <c r="TQ17" s="12" t="s">
        <v>2088</v>
      </c>
      <c r="TR17" s="13"/>
    </row>
    <row r="18" spans="1:807" x14ac:dyDescent="0.25">
      <c r="A18" t="s">
        <v>2158</v>
      </c>
      <c r="B18" t="s">
        <v>2189</v>
      </c>
      <c r="C18" t="s">
        <v>2295</v>
      </c>
      <c r="P18" t="s">
        <v>2296</v>
      </c>
      <c r="T18" s="14" t="s">
        <v>2071</v>
      </c>
      <c r="V18" t="s">
        <v>2174</v>
      </c>
      <c r="AP18" t="s">
        <v>2004</v>
      </c>
      <c r="ADW18" s="25" t="s">
        <v>2105</v>
      </c>
      <c r="ADX18" s="12">
        <v>1</v>
      </c>
      <c r="ADY18" s="12" t="str">
        <f t="shared" ref="ADY18:ADY31" si="166">V18</f>
        <v>E3-17</v>
      </c>
      <c r="ADZ18" s="12"/>
      <c r="AEA18" s="13" t="s">
        <v>2106</v>
      </c>
    </row>
    <row r="19" spans="1:807" x14ac:dyDescent="0.25">
      <c r="A19" t="s">
        <v>2159</v>
      </c>
      <c r="B19" t="s">
        <v>2190</v>
      </c>
      <c r="C19" t="s">
        <v>2295</v>
      </c>
      <c r="P19" t="s">
        <v>2296</v>
      </c>
      <c r="T19" s="14" t="s">
        <v>2071</v>
      </c>
      <c r="V19" t="s">
        <v>2175</v>
      </c>
      <c r="AP19" t="s">
        <v>2004</v>
      </c>
      <c r="ADW19" s="27" t="s">
        <v>2105</v>
      </c>
      <c r="ADX19">
        <v>2</v>
      </c>
      <c r="ADY19" t="str">
        <f t="shared" si="166"/>
        <v>E3-18</v>
      </c>
      <c r="AEA19" s="16" t="s">
        <v>2106</v>
      </c>
    </row>
    <row r="20" spans="1:807" x14ac:dyDescent="0.25">
      <c r="A20" t="s">
        <v>2160</v>
      </c>
      <c r="B20" t="s">
        <v>2191</v>
      </c>
      <c r="C20" t="s">
        <v>2295</v>
      </c>
      <c r="P20" t="s">
        <v>2296</v>
      </c>
      <c r="T20" s="14" t="s">
        <v>2071</v>
      </c>
      <c r="V20" t="s">
        <v>2176</v>
      </c>
      <c r="AP20" t="s">
        <v>2004</v>
      </c>
      <c r="ADW20" s="27" t="s">
        <v>2105</v>
      </c>
      <c r="ADX20">
        <v>3</v>
      </c>
      <c r="ADY20" t="str">
        <f t="shared" si="166"/>
        <v>E3-19</v>
      </c>
      <c r="AEA20" s="16" t="s">
        <v>2106</v>
      </c>
    </row>
    <row r="21" spans="1:807" x14ac:dyDescent="0.25">
      <c r="A21" t="s">
        <v>2161</v>
      </c>
      <c r="B21" t="s">
        <v>2192</v>
      </c>
      <c r="C21" t="s">
        <v>2295</v>
      </c>
      <c r="P21" t="s">
        <v>2296</v>
      </c>
      <c r="T21" s="14" t="s">
        <v>2071</v>
      </c>
      <c r="V21" t="s">
        <v>2177</v>
      </c>
      <c r="AP21" t="s">
        <v>2004</v>
      </c>
      <c r="ADW21" s="27" t="s">
        <v>2105</v>
      </c>
      <c r="ADX21">
        <v>4</v>
      </c>
      <c r="ADY21" t="str">
        <f t="shared" si="166"/>
        <v>E3-20</v>
      </c>
      <c r="AEA21" s="16" t="s">
        <v>2106</v>
      </c>
    </row>
    <row r="22" spans="1:807" x14ac:dyDescent="0.25">
      <c r="A22" t="s">
        <v>2156</v>
      </c>
      <c r="B22" t="s">
        <v>2193</v>
      </c>
      <c r="C22" t="s">
        <v>2295</v>
      </c>
      <c r="P22" t="s">
        <v>2296</v>
      </c>
      <c r="T22" s="14" t="s">
        <v>2071</v>
      </c>
      <c r="V22" t="s">
        <v>2178</v>
      </c>
      <c r="AP22" t="s">
        <v>2004</v>
      </c>
      <c r="ADW22" s="27" t="s">
        <v>2105</v>
      </c>
      <c r="ADX22">
        <v>5</v>
      </c>
      <c r="ADY22" t="str">
        <f t="shared" si="166"/>
        <v>E3-21</v>
      </c>
      <c r="AEA22" s="16" t="s">
        <v>2106</v>
      </c>
    </row>
    <row r="23" spans="1:807" x14ac:dyDescent="0.25">
      <c r="A23" t="s">
        <v>2162</v>
      </c>
      <c r="B23" t="s">
        <v>2194</v>
      </c>
      <c r="C23" t="s">
        <v>2295</v>
      </c>
      <c r="P23" t="s">
        <v>2296</v>
      </c>
      <c r="T23" s="14" t="s">
        <v>2071</v>
      </c>
      <c r="V23" t="s">
        <v>2179</v>
      </c>
      <c r="AP23" t="s">
        <v>2004</v>
      </c>
      <c r="ADW23" s="27" t="s">
        <v>2105</v>
      </c>
      <c r="ADX23">
        <v>6</v>
      </c>
      <c r="ADY23" t="str">
        <f t="shared" si="166"/>
        <v>E3-22</v>
      </c>
      <c r="AEA23" s="16" t="s">
        <v>2106</v>
      </c>
    </row>
    <row r="24" spans="1:807" x14ac:dyDescent="0.25">
      <c r="A24" t="s">
        <v>2163</v>
      </c>
      <c r="B24" t="s">
        <v>2195</v>
      </c>
      <c r="C24" t="s">
        <v>2295</v>
      </c>
      <c r="P24" t="s">
        <v>2296</v>
      </c>
      <c r="T24" s="14" t="s">
        <v>2071</v>
      </c>
      <c r="V24" t="s">
        <v>2180</v>
      </c>
      <c r="AP24" t="s">
        <v>2004</v>
      </c>
      <c r="ADW24" s="27" t="s">
        <v>2105</v>
      </c>
      <c r="ADX24">
        <v>7</v>
      </c>
      <c r="ADY24" t="str">
        <f t="shared" si="166"/>
        <v>E3-23</v>
      </c>
      <c r="AEA24" s="16" t="s">
        <v>2106</v>
      </c>
    </row>
    <row r="25" spans="1:807" x14ac:dyDescent="0.25">
      <c r="A25" t="s">
        <v>2157</v>
      </c>
      <c r="B25" t="s">
        <v>2196</v>
      </c>
      <c r="C25" t="s">
        <v>2295</v>
      </c>
      <c r="P25" t="s">
        <v>2296</v>
      </c>
      <c r="T25" s="14" t="s">
        <v>2071</v>
      </c>
      <c r="V25" t="s">
        <v>2181</v>
      </c>
      <c r="AP25" t="s">
        <v>2004</v>
      </c>
      <c r="ADW25" s="27" t="s">
        <v>2105</v>
      </c>
      <c r="ADX25">
        <v>8</v>
      </c>
      <c r="ADY25" t="str">
        <f t="shared" si="166"/>
        <v>E3-24</v>
      </c>
      <c r="AEA25" s="16" t="s">
        <v>2106</v>
      </c>
    </row>
    <row r="26" spans="1:807" x14ac:dyDescent="0.25">
      <c r="A26" t="s">
        <v>2164</v>
      </c>
      <c r="B26" t="s">
        <v>2197</v>
      </c>
      <c r="C26" t="s">
        <v>2295</v>
      </c>
      <c r="P26" t="s">
        <v>2296</v>
      </c>
      <c r="T26" s="14" t="s">
        <v>2071</v>
      </c>
      <c r="V26" t="s">
        <v>2182</v>
      </c>
      <c r="AP26" t="s">
        <v>2004</v>
      </c>
      <c r="ADW26" s="27" t="s">
        <v>2105</v>
      </c>
      <c r="ADX26">
        <v>9</v>
      </c>
      <c r="ADY26" t="str">
        <f t="shared" si="166"/>
        <v>E3-25</v>
      </c>
      <c r="AEA26" s="16" t="s">
        <v>2106</v>
      </c>
    </row>
    <row r="27" spans="1:807" x14ac:dyDescent="0.25">
      <c r="A27" t="s">
        <v>2165</v>
      </c>
      <c r="B27" t="s">
        <v>2198</v>
      </c>
      <c r="C27" t="s">
        <v>2295</v>
      </c>
      <c r="P27" t="s">
        <v>2296</v>
      </c>
      <c r="T27" s="14" t="s">
        <v>2071</v>
      </c>
      <c r="V27" t="s">
        <v>2183</v>
      </c>
      <c r="AP27" t="s">
        <v>2004</v>
      </c>
      <c r="ADW27" s="27" t="s">
        <v>2105</v>
      </c>
      <c r="ADX27">
        <v>10</v>
      </c>
      <c r="ADY27" t="str">
        <f t="shared" si="166"/>
        <v>E3-26</v>
      </c>
      <c r="AEA27" s="16" t="s">
        <v>2106</v>
      </c>
    </row>
    <row r="28" spans="1:807" x14ac:dyDescent="0.25">
      <c r="A28" t="s">
        <v>2166</v>
      </c>
      <c r="B28" t="s">
        <v>2199</v>
      </c>
      <c r="C28" t="s">
        <v>2295</v>
      </c>
      <c r="P28" t="s">
        <v>2296</v>
      </c>
      <c r="T28" s="14" t="s">
        <v>2071</v>
      </c>
      <c r="V28" t="s">
        <v>2184</v>
      </c>
      <c r="AP28" t="s">
        <v>2004</v>
      </c>
      <c r="ADW28" s="27" t="s">
        <v>2105</v>
      </c>
      <c r="ADX28">
        <v>11</v>
      </c>
      <c r="ADY28" t="str">
        <f t="shared" si="166"/>
        <v>E3-27</v>
      </c>
      <c r="AEA28" s="16" t="s">
        <v>2106</v>
      </c>
    </row>
    <row r="29" spans="1:807" x14ac:dyDescent="0.25">
      <c r="A29" t="s">
        <v>2167</v>
      </c>
      <c r="B29" t="s">
        <v>2200</v>
      </c>
      <c r="C29" t="s">
        <v>2295</v>
      </c>
      <c r="P29" t="s">
        <v>2296</v>
      </c>
      <c r="T29" s="14" t="s">
        <v>2071</v>
      </c>
      <c r="V29" t="s">
        <v>2185</v>
      </c>
      <c r="AP29" t="s">
        <v>2004</v>
      </c>
      <c r="ADW29" s="27" t="s">
        <v>2105</v>
      </c>
      <c r="ADX29">
        <v>12</v>
      </c>
      <c r="ADY29" t="str">
        <f t="shared" si="166"/>
        <v>E3-28</v>
      </c>
      <c r="AEA29" s="16" t="s">
        <v>2106</v>
      </c>
    </row>
    <row r="30" spans="1:807" x14ac:dyDescent="0.25">
      <c r="A30" t="s">
        <v>2170</v>
      </c>
      <c r="B30" t="s">
        <v>2201</v>
      </c>
      <c r="C30" t="s">
        <v>2295</v>
      </c>
      <c r="P30" t="s">
        <v>2296</v>
      </c>
      <c r="T30" s="14" t="s">
        <v>2071</v>
      </c>
      <c r="V30" t="s">
        <v>2186</v>
      </c>
      <c r="AP30" t="s">
        <v>2004</v>
      </c>
      <c r="ADW30" s="27" t="s">
        <v>2105</v>
      </c>
      <c r="ADX30">
        <v>13</v>
      </c>
      <c r="ADY30" t="str">
        <f t="shared" si="166"/>
        <v>E3-29</v>
      </c>
      <c r="AEA30" s="16" t="s">
        <v>2106</v>
      </c>
    </row>
    <row r="31" spans="1:807" ht="15.75" thickBot="1" x14ac:dyDescent="0.3">
      <c r="A31" t="s">
        <v>2171</v>
      </c>
      <c r="B31" t="s">
        <v>2202</v>
      </c>
      <c r="C31" t="s">
        <v>2295</v>
      </c>
      <c r="P31" t="s">
        <v>2296</v>
      </c>
      <c r="T31" s="14" t="s">
        <v>2071</v>
      </c>
      <c r="V31" t="s">
        <v>2187</v>
      </c>
      <c r="AP31" t="s">
        <v>2004</v>
      </c>
      <c r="ADW31" s="27" t="s">
        <v>2105</v>
      </c>
      <c r="ADX31">
        <v>14</v>
      </c>
      <c r="ADY31" t="str">
        <f t="shared" si="166"/>
        <v>E3-30</v>
      </c>
      <c r="AEA31" s="16" t="s">
        <v>2106</v>
      </c>
    </row>
    <row r="32" spans="1:807" ht="15.75" thickBot="1" x14ac:dyDescent="0.3">
      <c r="A32" t="s">
        <v>2225</v>
      </c>
      <c r="B32" t="s">
        <v>2260</v>
      </c>
      <c r="P32" t="s">
        <v>2073</v>
      </c>
      <c r="T32" s="14" t="s">
        <v>2071</v>
      </c>
      <c r="U32">
        <v>5</v>
      </c>
      <c r="V32" s="15"/>
      <c r="W32" t="s">
        <v>2227</v>
      </c>
      <c r="X32" t="s">
        <v>2007</v>
      </c>
      <c r="Y32" s="43" t="str" cm="1">
        <f t="array" ref="Y32">IF(COUNTIFS($X$2:$X32,$X32)=1,"1",VALUE(SUBSTITUTE(INDEX(Y:Y,_xlfn.XMATCH($X32,$X$1:$X31,0,-1)),"A",""))+INDEX(Z:Z,_xlfn.XMATCH($X32,$X$1:$X31,0,-1))+1)</f>
        <v>1</v>
      </c>
      <c r="Z32" s="43" cm="1">
        <f t="array" ref="Z32">SUM(IF(ISNUMBER(FIND("TmAi",$BE$1:$AAL$1)),IF(IFERROR(ISODD(SUBSTITUTE($BE32:$AAL32,"A","")),FALSE),IF(ISODD(SUBSTITUTE($BE32:$AAL32,"A","")),1,0),0)))</f>
        <v>10</v>
      </c>
      <c r="AA32" t="str">
        <f t="shared" ref="AA32:AA33" si="167">CONCATENATE($Y32*2-1,"A")</f>
        <v>1A</v>
      </c>
      <c r="AB32" t="str">
        <f t="shared" ref="AB32:AB33" si="168">CONCATENATE($Y32*2-1,"B")</f>
        <v>1B</v>
      </c>
      <c r="AP32" t="s">
        <v>2077</v>
      </c>
      <c r="AS32" t="s">
        <v>396</v>
      </c>
      <c r="JZ32" s="27"/>
      <c r="KS32" s="16"/>
      <c r="PZ32" s="25" t="str">
        <f>REPLACE(X32,FIND(".",X32)+1,3,MID(X32,FIND(".",X32)+1,3)+1)</f>
        <v>A3.10</v>
      </c>
      <c r="QA32" s="12" t="str">
        <f>CONCATENATE(VALUE(SUBSTITUTE($AB32,"B",""))+2,"B")</f>
        <v>3B</v>
      </c>
      <c r="QB32" s="12" t="str">
        <f>CONCATENATE(VALUE(SUBSTITUTE($AA32,"A",""))+2,"A")</f>
        <v>3A</v>
      </c>
      <c r="QC32" s="12" t="str">
        <f>CONCATENATE(VALUE(SUBSTITUTE(QA32,"B",""))+2,"B")</f>
        <v>5B</v>
      </c>
      <c r="QD32" s="12" t="str">
        <f>CONCATENATE(VALUE(SUBSTITUTE(QB32,"A",""))+2,"A")</f>
        <v>5A</v>
      </c>
      <c r="QE32" s="12" t="str">
        <f t="shared" ref="QE32:QE33" si="169">CONCATENATE(VALUE(SUBSTITUTE(QC32,"B",""))+2,"B")</f>
        <v>7B</v>
      </c>
      <c r="QF32" s="12" t="str">
        <f t="shared" ref="QF32:QF33" si="170">CONCATENATE(VALUE(SUBSTITUTE(QD32,"A",""))+2,"A")</f>
        <v>7A</v>
      </c>
      <c r="QG32" s="12" t="str">
        <f t="shared" ref="QG32:QG33" si="171">CONCATENATE(VALUE(SUBSTITUTE(QE32,"B",""))+2,"B")</f>
        <v>9B</v>
      </c>
      <c r="QH32" s="12" t="str">
        <f t="shared" ref="QH32:QH33" si="172">CONCATENATE(VALUE(SUBSTITUTE(QF32,"A",""))+2,"A")</f>
        <v>9A</v>
      </c>
      <c r="QI32" s="12" t="str">
        <f t="shared" ref="QI32:QI33" si="173">CONCATENATE(VALUE(SUBSTITUTE(QG32,"B",""))+2,"B")</f>
        <v>11B</v>
      </c>
      <c r="QJ32" s="12" t="str">
        <f t="shared" ref="QJ32:QJ33" si="174">CONCATENATE(VALUE(SUBSTITUTE(QH32,"A",""))+2,"A")</f>
        <v>11A</v>
      </c>
      <c r="QK32" s="12" t="s">
        <v>135</v>
      </c>
      <c r="QL32" s="12" t="s">
        <v>136</v>
      </c>
      <c r="QM32" s="12" t="str">
        <f t="shared" ref="QM32:QM33" si="175">CONCATENATE(VALUE(SUBSTITUTE(QK32,"B",""))+2,"B")</f>
        <v>3B</v>
      </c>
      <c r="QN32" s="12" t="str">
        <f t="shared" ref="QN32:QN33" si="176">CONCATENATE(VALUE(SUBSTITUTE(QL32,"A",""))+2,"A")</f>
        <v>3A</v>
      </c>
      <c r="QO32" s="12" t="str">
        <f t="shared" ref="QO32:QO33" si="177">CONCATENATE(VALUE(SUBSTITUTE(QM32,"B",""))+2,"B")</f>
        <v>5B</v>
      </c>
      <c r="QP32" s="12" t="str">
        <f t="shared" ref="QP32:QP33" si="178">CONCATENATE(VALUE(SUBSTITUTE(QN32,"A",""))+2,"A")</f>
        <v>5A</v>
      </c>
      <c r="QQ32" s="12" t="str">
        <f t="shared" ref="QQ32:QQ33" si="179">CONCATENATE(VALUE(SUBSTITUTE(QO32,"B",""))+2,"B")</f>
        <v>7B</v>
      </c>
      <c r="QR32" s="12" t="str">
        <f t="shared" ref="QR32:QR33" si="180">CONCATENATE(VALUE(SUBSTITUTE(QP32,"A",""))+2,"A")</f>
        <v>7A</v>
      </c>
      <c r="QS32" s="12" t="str">
        <f t="shared" ref="QS32:QS33" si="181">CONCATENATE(VALUE(SUBSTITUTE(QQ32,"B",""))+2,"B")</f>
        <v>9B</v>
      </c>
      <c r="QT32" s="12" t="str">
        <f t="shared" ref="QT32:QT33" si="182">CONCATENATE(VALUE(SUBSTITUTE(QR32,"A",""))+2,"A")</f>
        <v>9A</v>
      </c>
      <c r="QU32" s="12"/>
      <c r="QV32" s="12"/>
      <c r="QW32" s="12" t="str">
        <f>CONCATENATE($T32,"-AI",REPLACE($X32,1,3,""),"-",AB32)</f>
        <v>E3-AI9-1B</v>
      </c>
      <c r="QX32" s="12" t="str">
        <f>CONCATENATE($T32,"-AI",REPLACE($X32,1,3,""),"-",AA32)</f>
        <v>E3-AI9-1A</v>
      </c>
      <c r="QY32" s="12" t="str">
        <f>CONCATENATE($T32,"-AI",REPLACE($X32,1,3,""),"-",QA32)</f>
        <v>E3-AI9-3B</v>
      </c>
      <c r="QZ32" s="12" t="str">
        <f>CONCATENATE($T32,"-AI",REPLACE($X32,1,3,""),"-",QB32)</f>
        <v>E3-AI9-3A</v>
      </c>
      <c r="RA32" s="12" t="str">
        <f t="shared" ref="RA32:RA33" si="183">CONCATENATE($T32,"-AI",REPLACE($X32,1,3,""),"-",QC32)</f>
        <v>E3-AI9-5B</v>
      </c>
      <c r="RB32" s="12" t="str">
        <f t="shared" ref="RB32:RB33" si="184">CONCATENATE($T32,"-AI",REPLACE($X32,1,3,""),"-",QD32)</f>
        <v>E3-AI9-5A</v>
      </c>
      <c r="RC32" s="12" t="str">
        <f t="shared" ref="RC32:RC33" si="185">CONCATENATE($T32,"-AI",REPLACE($X32,1,3,""),"-",QE32)</f>
        <v>E3-AI9-7B</v>
      </c>
      <c r="RD32" s="12" t="str">
        <f t="shared" ref="RD32:RD33" si="186">CONCATENATE($T32,"-AI",REPLACE($X32,1,3,""),"-",QF32)</f>
        <v>E3-AI9-7A</v>
      </c>
      <c r="RE32" s="12" t="str">
        <f t="shared" ref="RE32:RE33" si="187">CONCATENATE($T32,"-AI",REPLACE($X32,1,3,""),"-",QG32)</f>
        <v>E3-AI9-9B</v>
      </c>
      <c r="RF32" s="12" t="str">
        <f t="shared" ref="RF32:RF33" si="188">CONCATENATE($T32,"-AI",REPLACE($X32,1,3,""),"-",QH32)</f>
        <v>E3-AI9-9A</v>
      </c>
      <c r="RG32" s="12" t="str">
        <f t="shared" ref="RG32:RG33" si="189">CONCATENATE($T32,"-AI",REPLACE($X32,1,3,""),"-",QI32)</f>
        <v>E3-AI9-11B</v>
      </c>
      <c r="RH32" s="12" t="str">
        <f t="shared" ref="RH32:RH33" si="190">CONCATENATE($T32,"-AI",REPLACE($X32,1,3,""),"-",QJ32)</f>
        <v>E3-AI9-11A</v>
      </c>
      <c r="RI32" s="12" t="str">
        <f t="shared" ref="RI32:RI33" si="191">CONCATENATE($T32,"-AI",REPLACE($PZ32,1,3,""),"-",QK32)</f>
        <v>E3-AI10-1B</v>
      </c>
      <c r="RJ32" s="12" t="str">
        <f t="shared" ref="RJ32:RJ33" si="192">CONCATENATE($T32,"-AI",REPLACE($PZ32,1,3,""),"-",QL32)</f>
        <v>E3-AI10-1A</v>
      </c>
      <c r="RK32" s="12" t="str">
        <f t="shared" ref="RK32:RK33" si="193">CONCATENATE($T32,"-AI",REPLACE($PZ32,1,3,""),"-",QM32)</f>
        <v>E3-AI10-3B</v>
      </c>
      <c r="RL32" s="12" t="str">
        <f t="shared" ref="RL32:RL33" si="194">CONCATENATE($T32,"-AI",REPLACE($PZ32,1,3,""),"-",QN32)</f>
        <v>E3-AI10-3A</v>
      </c>
      <c r="RM32" s="12" t="str">
        <f t="shared" ref="RM32:RM33" si="195">CONCATENATE($T32,"-AI",REPLACE($PZ32,1,3,""),"-",QO32)</f>
        <v>E3-AI10-5B</v>
      </c>
      <c r="RN32" s="12" t="str">
        <f t="shared" ref="RN32:RN33" si="196">CONCATENATE($T32,"-AI",REPLACE($PZ32,1,3,""),"-",QP32)</f>
        <v>E3-AI10-5A</v>
      </c>
      <c r="RO32" s="12" t="str">
        <f t="shared" ref="RO32:RO33" si="197">CONCATENATE($T32,"-AI",REPLACE($PZ32,1,3,""),"-",QQ32)</f>
        <v>E3-AI10-7B</v>
      </c>
      <c r="RP32" s="12" t="str">
        <f t="shared" ref="RP32:RP33" si="198">CONCATENATE($T32,"-AI",REPLACE($PZ32,1,3,""),"-",QR32)</f>
        <v>E3-AI10-7A</v>
      </c>
      <c r="RQ32" s="12" t="str">
        <f t="shared" ref="RQ32:RQ33" si="199">CONCATENATE($T32,"-AI",REPLACE($PZ32,1,3,""),"-",QS32)</f>
        <v>E3-AI10-9B</v>
      </c>
      <c r="RR32" s="12" t="str">
        <f t="shared" ref="RR32:RR33" si="200">CONCATENATE($T32,"-AI",REPLACE($PZ32,1,3,""),"-",QT32)</f>
        <v>E3-AI10-9A</v>
      </c>
      <c r="RS32" s="12"/>
      <c r="RT32" s="12"/>
      <c r="RU32" s="12" t="str">
        <f t="shared" ref="RU32:RU33" si="201">CONCATENATE("XT",$U32)</f>
        <v>XT5</v>
      </c>
      <c r="RV32" s="12">
        <v>1</v>
      </c>
      <c r="RW32" s="12">
        <f>RV32+1</f>
        <v>2</v>
      </c>
      <c r="RX32" s="12">
        <f t="shared" ref="RX32:RX33" si="202">RW32+1</f>
        <v>3</v>
      </c>
      <c r="RY32" s="12">
        <f t="shared" ref="RY32:RY33" si="203">RX32+1</f>
        <v>4</v>
      </c>
      <c r="RZ32" s="12">
        <f t="shared" ref="RZ32:RZ33" si="204">RY32+1</f>
        <v>5</v>
      </c>
      <c r="SA32" s="12">
        <f t="shared" ref="SA32:SA33" si="205">RZ32+1</f>
        <v>6</v>
      </c>
      <c r="SB32" s="12">
        <f t="shared" ref="SB32:SB33" si="206">SA32+1</f>
        <v>7</v>
      </c>
      <c r="SC32" s="12">
        <f t="shared" ref="SC32:SC33" si="207">SB32+1</f>
        <v>8</v>
      </c>
      <c r="SD32" s="12">
        <f t="shared" ref="SD32:SD33" si="208">SC32+1</f>
        <v>9</v>
      </c>
      <c r="SE32" s="12">
        <f t="shared" ref="SE32:SE33" si="209">SD32+1</f>
        <v>10</v>
      </c>
      <c r="SF32" s="12">
        <f t="shared" ref="SF32:SF33" si="210">SE32+1</f>
        <v>11</v>
      </c>
      <c r="SG32" s="12">
        <f t="shared" ref="SG32:SG33" si="211">SF32+1</f>
        <v>12</v>
      </c>
      <c r="SH32" s="12">
        <f t="shared" ref="SH32:SH33" si="212">SG32+1</f>
        <v>13</v>
      </c>
      <c r="SI32" s="12">
        <f t="shared" ref="SI32:SI33" si="213">SH32+1</f>
        <v>14</v>
      </c>
      <c r="SJ32" s="12">
        <f t="shared" ref="SJ32:SJ33" si="214">SI32+1</f>
        <v>15</v>
      </c>
      <c r="SK32" s="12">
        <f t="shared" ref="SK32:SK33" si="215">SJ32+1</f>
        <v>16</v>
      </c>
      <c r="SL32" s="12">
        <f t="shared" ref="SL32:SL33" si="216">SK32+1</f>
        <v>17</v>
      </c>
      <c r="SM32" s="12">
        <f t="shared" ref="SM32:SM33" si="217">SL32+1</f>
        <v>18</v>
      </c>
      <c r="SN32" s="12">
        <f t="shared" ref="SN32:SN33" si="218">SM32+1</f>
        <v>19</v>
      </c>
      <c r="SO32" s="12">
        <f t="shared" ref="SO32:SO33" si="219">SN32+1</f>
        <v>20</v>
      </c>
      <c r="SP32" s="12">
        <f t="shared" ref="SP32:SP33" si="220">SO32+1</f>
        <v>21</v>
      </c>
      <c r="SQ32" s="12">
        <f t="shared" ref="SQ32:SQ33" si="221">SP32+1</f>
        <v>22</v>
      </c>
      <c r="SR32" s="12">
        <f t="shared" ref="SR32:SR33" si="222">SQ32+1</f>
        <v>23</v>
      </c>
      <c r="SS32" s="12"/>
      <c r="ST32" s="12"/>
      <c r="SU32" s="12" t="s">
        <v>2229</v>
      </c>
      <c r="SV32" s="12" t="s">
        <v>2230</v>
      </c>
      <c r="SW32" s="12" t="s">
        <v>2231</v>
      </c>
      <c r="SX32" s="12" t="s">
        <v>2232</v>
      </c>
      <c r="SY32" s="12" t="s">
        <v>2233</v>
      </c>
      <c r="SZ32" s="12" t="s">
        <v>2234</v>
      </c>
      <c r="TA32" s="12" t="s">
        <v>2235</v>
      </c>
      <c r="TB32" s="12" t="s">
        <v>2236</v>
      </c>
      <c r="TC32" s="12" t="s">
        <v>2237</v>
      </c>
      <c r="TD32" s="12" t="s">
        <v>2238</v>
      </c>
      <c r="TE32" s="12" t="s">
        <v>2239</v>
      </c>
      <c r="TF32" s="12"/>
      <c r="TG32" s="12" t="s">
        <v>2078</v>
      </c>
      <c r="TH32" s="12" t="s">
        <v>2079</v>
      </c>
      <c r="TI32" s="12" t="s">
        <v>2080</v>
      </c>
      <c r="TJ32" s="12" t="s">
        <v>2081</v>
      </c>
      <c r="TK32" s="12" t="s">
        <v>2082</v>
      </c>
      <c r="TL32" s="12" t="s">
        <v>2083</v>
      </c>
      <c r="TM32" s="12" t="s">
        <v>2084</v>
      </c>
      <c r="TN32" s="12" t="s">
        <v>2085</v>
      </c>
      <c r="TO32" s="12" t="s">
        <v>2086</v>
      </c>
      <c r="TP32" s="12" t="s">
        <v>2087</v>
      </c>
      <c r="TQ32" s="12" t="s">
        <v>2088</v>
      </c>
      <c r="TR32" s="13"/>
    </row>
    <row r="33" spans="1:819" ht="15.75" thickBot="1" x14ac:dyDescent="0.3">
      <c r="A33" t="s">
        <v>2226</v>
      </c>
      <c r="B33" t="s">
        <v>2261</v>
      </c>
      <c r="P33" t="s">
        <v>2073</v>
      </c>
      <c r="T33" s="14" t="s">
        <v>2071</v>
      </c>
      <c r="U33">
        <v>6</v>
      </c>
      <c r="V33" s="15"/>
      <c r="W33" t="s">
        <v>2228</v>
      </c>
      <c r="X33" t="s">
        <v>2008</v>
      </c>
      <c r="Y33" s="43" t="str" cm="1">
        <f t="array" ref="Y33">IF(COUNTIFS($X$2:$X33,$X33)=1,"1",VALUE(SUBSTITUTE(INDEX(Y:Y,_xlfn.XMATCH($X33,$X$1:$X32,0,-1)),"A",""))+INDEX(Z:Z,_xlfn.XMATCH($X33,$X$1:$X32,0,-1))+1)</f>
        <v>1</v>
      </c>
      <c r="Z33" s="43" cm="1">
        <f t="array" ref="Z33">SUM(IF(ISNUMBER(FIND("TmAi",$BE$1:$AAL$1)),IF(IFERROR(ISODD(SUBSTITUTE($BE33:$AAL33,"A","")),FALSE),IF(ISODD(SUBSTITUTE($BE33:$AAL33,"A","")),1,0),0)))</f>
        <v>10</v>
      </c>
      <c r="AA33" t="str">
        <f t="shared" si="167"/>
        <v>1A</v>
      </c>
      <c r="AB33" t="str">
        <f t="shared" si="168"/>
        <v>1B</v>
      </c>
      <c r="AP33" t="s">
        <v>2077</v>
      </c>
      <c r="AS33" t="s">
        <v>396</v>
      </c>
      <c r="JZ33" s="27"/>
      <c r="KS33" s="16"/>
      <c r="PZ33" s="25" t="str">
        <f>REPLACE(X33,FIND(".",X33)+1,3,MID(X33,FIND(".",X33)+1,3)+1)</f>
        <v>A3.12</v>
      </c>
      <c r="QA33" s="12" t="str">
        <f>CONCATENATE(VALUE(SUBSTITUTE($AB33,"B",""))+2,"B")</f>
        <v>3B</v>
      </c>
      <c r="QB33" s="12" t="str">
        <f>CONCATENATE(VALUE(SUBSTITUTE($AA33,"A",""))+2,"A")</f>
        <v>3A</v>
      </c>
      <c r="QC33" s="12" t="str">
        <f>CONCATENATE(VALUE(SUBSTITUTE(QA33,"B",""))+2,"B")</f>
        <v>5B</v>
      </c>
      <c r="QD33" s="12" t="str">
        <f>CONCATENATE(VALUE(SUBSTITUTE(QB33,"A",""))+2,"A")</f>
        <v>5A</v>
      </c>
      <c r="QE33" s="12" t="str">
        <f t="shared" si="169"/>
        <v>7B</v>
      </c>
      <c r="QF33" s="12" t="str">
        <f t="shared" si="170"/>
        <v>7A</v>
      </c>
      <c r="QG33" s="12" t="str">
        <f t="shared" si="171"/>
        <v>9B</v>
      </c>
      <c r="QH33" s="12" t="str">
        <f t="shared" si="172"/>
        <v>9A</v>
      </c>
      <c r="QI33" s="12" t="str">
        <f t="shared" si="173"/>
        <v>11B</v>
      </c>
      <c r="QJ33" s="12" t="str">
        <f t="shared" si="174"/>
        <v>11A</v>
      </c>
      <c r="QK33" s="12" t="s">
        <v>135</v>
      </c>
      <c r="QL33" s="12" t="s">
        <v>136</v>
      </c>
      <c r="QM33" s="12" t="str">
        <f t="shared" si="175"/>
        <v>3B</v>
      </c>
      <c r="QN33" s="12" t="str">
        <f t="shared" si="176"/>
        <v>3A</v>
      </c>
      <c r="QO33" s="12" t="str">
        <f t="shared" si="177"/>
        <v>5B</v>
      </c>
      <c r="QP33" s="12" t="str">
        <f t="shared" si="178"/>
        <v>5A</v>
      </c>
      <c r="QQ33" s="12" t="str">
        <f t="shared" si="179"/>
        <v>7B</v>
      </c>
      <c r="QR33" s="12" t="str">
        <f t="shared" si="180"/>
        <v>7A</v>
      </c>
      <c r="QS33" s="12" t="str">
        <f t="shared" si="181"/>
        <v>9B</v>
      </c>
      <c r="QT33" s="12" t="str">
        <f t="shared" si="182"/>
        <v>9A</v>
      </c>
      <c r="QU33" s="12"/>
      <c r="QV33" s="12"/>
      <c r="QW33" s="12" t="str">
        <f>CONCATENATE($T33,"-AI",REPLACE($X33,1,3,""),"-",AB33)</f>
        <v>E3-AI11-1B</v>
      </c>
      <c r="QX33" s="12" t="str">
        <f>CONCATENATE($T33,"-AI",REPLACE($X33,1,3,""),"-",AA33)</f>
        <v>E3-AI11-1A</v>
      </c>
      <c r="QY33" s="12" t="str">
        <f>CONCATENATE($T33,"-AI",REPLACE($X33,1,3,""),"-",QA33)</f>
        <v>E3-AI11-3B</v>
      </c>
      <c r="QZ33" s="12" t="str">
        <f>CONCATENATE($T33,"-AI",REPLACE($X33,1,3,""),"-",QB33)</f>
        <v>E3-AI11-3A</v>
      </c>
      <c r="RA33" s="12" t="str">
        <f t="shared" si="183"/>
        <v>E3-AI11-5B</v>
      </c>
      <c r="RB33" s="12" t="str">
        <f t="shared" si="184"/>
        <v>E3-AI11-5A</v>
      </c>
      <c r="RC33" s="12" t="str">
        <f t="shared" si="185"/>
        <v>E3-AI11-7B</v>
      </c>
      <c r="RD33" s="12" t="str">
        <f t="shared" si="186"/>
        <v>E3-AI11-7A</v>
      </c>
      <c r="RE33" s="12" t="str">
        <f t="shared" si="187"/>
        <v>E3-AI11-9B</v>
      </c>
      <c r="RF33" s="12" t="str">
        <f t="shared" si="188"/>
        <v>E3-AI11-9A</v>
      </c>
      <c r="RG33" s="12" t="str">
        <f t="shared" si="189"/>
        <v>E3-AI11-11B</v>
      </c>
      <c r="RH33" s="12" t="str">
        <f t="shared" si="190"/>
        <v>E3-AI11-11A</v>
      </c>
      <c r="RI33" s="12" t="str">
        <f t="shared" si="191"/>
        <v>E3-AI12-1B</v>
      </c>
      <c r="RJ33" s="12" t="str">
        <f t="shared" si="192"/>
        <v>E3-AI12-1A</v>
      </c>
      <c r="RK33" s="12" t="str">
        <f t="shared" si="193"/>
        <v>E3-AI12-3B</v>
      </c>
      <c r="RL33" s="12" t="str">
        <f t="shared" si="194"/>
        <v>E3-AI12-3A</v>
      </c>
      <c r="RM33" s="12" t="str">
        <f t="shared" si="195"/>
        <v>E3-AI12-5B</v>
      </c>
      <c r="RN33" s="12" t="str">
        <f t="shared" si="196"/>
        <v>E3-AI12-5A</v>
      </c>
      <c r="RO33" s="12" t="str">
        <f t="shared" si="197"/>
        <v>E3-AI12-7B</v>
      </c>
      <c r="RP33" s="12" t="str">
        <f t="shared" si="198"/>
        <v>E3-AI12-7A</v>
      </c>
      <c r="RQ33" s="12" t="str">
        <f t="shared" si="199"/>
        <v>E3-AI12-9B</v>
      </c>
      <c r="RR33" s="12" t="str">
        <f t="shared" si="200"/>
        <v>E3-AI12-9A</v>
      </c>
      <c r="RS33" s="12"/>
      <c r="RT33" s="12"/>
      <c r="RU33" s="12" t="str">
        <f t="shared" si="201"/>
        <v>XT6</v>
      </c>
      <c r="RV33" s="12">
        <v>1</v>
      </c>
      <c r="RW33" s="12">
        <f>RV33+1</f>
        <v>2</v>
      </c>
      <c r="RX33" s="12">
        <f t="shared" si="202"/>
        <v>3</v>
      </c>
      <c r="RY33" s="12">
        <f t="shared" si="203"/>
        <v>4</v>
      </c>
      <c r="RZ33" s="12">
        <f t="shared" si="204"/>
        <v>5</v>
      </c>
      <c r="SA33" s="12">
        <f t="shared" si="205"/>
        <v>6</v>
      </c>
      <c r="SB33" s="12">
        <f t="shared" si="206"/>
        <v>7</v>
      </c>
      <c r="SC33" s="12">
        <f t="shared" si="207"/>
        <v>8</v>
      </c>
      <c r="SD33" s="12">
        <f t="shared" si="208"/>
        <v>9</v>
      </c>
      <c r="SE33" s="12">
        <f t="shared" si="209"/>
        <v>10</v>
      </c>
      <c r="SF33" s="12">
        <f t="shared" si="210"/>
        <v>11</v>
      </c>
      <c r="SG33" s="12">
        <f t="shared" si="211"/>
        <v>12</v>
      </c>
      <c r="SH33" s="12">
        <f t="shared" si="212"/>
        <v>13</v>
      </c>
      <c r="SI33" s="12">
        <f t="shared" si="213"/>
        <v>14</v>
      </c>
      <c r="SJ33" s="12">
        <f t="shared" si="214"/>
        <v>15</v>
      </c>
      <c r="SK33" s="12">
        <f t="shared" si="215"/>
        <v>16</v>
      </c>
      <c r="SL33" s="12">
        <f t="shared" si="216"/>
        <v>17</v>
      </c>
      <c r="SM33" s="12">
        <f t="shared" si="217"/>
        <v>18</v>
      </c>
      <c r="SN33" s="12">
        <f t="shared" si="218"/>
        <v>19</v>
      </c>
      <c r="SO33" s="12">
        <f t="shared" si="219"/>
        <v>20</v>
      </c>
      <c r="SP33" s="12">
        <f t="shared" si="220"/>
        <v>21</v>
      </c>
      <c r="SQ33" s="12">
        <f t="shared" si="221"/>
        <v>22</v>
      </c>
      <c r="SR33" s="12">
        <f t="shared" si="222"/>
        <v>23</v>
      </c>
      <c r="SS33" s="12"/>
      <c r="ST33" s="12"/>
      <c r="SU33" s="12" t="s">
        <v>2240</v>
      </c>
      <c r="SV33" s="12" t="s">
        <v>2241</v>
      </c>
      <c r="SW33" s="12" t="s">
        <v>2242</v>
      </c>
      <c r="SX33" s="12" t="s">
        <v>2243</v>
      </c>
      <c r="SY33" s="12" t="s">
        <v>2244</v>
      </c>
      <c r="SZ33" s="12" t="s">
        <v>2245</v>
      </c>
      <c r="TA33" s="12" t="s">
        <v>2246</v>
      </c>
      <c r="TB33" s="12" t="s">
        <v>2247</v>
      </c>
      <c r="TC33" s="12" t="s">
        <v>2248</v>
      </c>
      <c r="TD33" s="12" t="s">
        <v>2249</v>
      </c>
      <c r="TE33" s="12" t="s">
        <v>2250</v>
      </c>
      <c r="TF33" s="12"/>
      <c r="TG33" s="12" t="s">
        <v>2078</v>
      </c>
      <c r="TH33" s="12" t="s">
        <v>2079</v>
      </c>
      <c r="TI33" s="12" t="s">
        <v>2080</v>
      </c>
      <c r="TJ33" s="12" t="s">
        <v>2081</v>
      </c>
      <c r="TK33" s="12" t="s">
        <v>2082</v>
      </c>
      <c r="TL33" s="12" t="s">
        <v>2083</v>
      </c>
      <c r="TM33" s="12" t="s">
        <v>2084</v>
      </c>
      <c r="TN33" s="12" t="s">
        <v>2085</v>
      </c>
      <c r="TO33" s="12" t="s">
        <v>2086</v>
      </c>
      <c r="TP33" s="12" t="s">
        <v>2087</v>
      </c>
      <c r="TQ33" s="12" t="s">
        <v>2088</v>
      </c>
      <c r="TR33" s="13"/>
    </row>
    <row r="34" spans="1:819" x14ac:dyDescent="0.25">
      <c r="A34" t="s">
        <v>2297</v>
      </c>
      <c r="B34" t="s">
        <v>2251</v>
      </c>
      <c r="P34" t="s">
        <v>1873</v>
      </c>
      <c r="T34" s="14" t="s">
        <v>2071</v>
      </c>
      <c r="AC34" t="s">
        <v>131</v>
      </c>
      <c r="AD34" s="43">
        <v>1</v>
      </c>
      <c r="AE34" s="43" cm="1">
        <f t="array" ref="AE34">SUM(IF(ISNUMBER(FIND("TmDi",$BE$1:$AAL$1)),IF(IFERROR(ISNUMBER(VALUE(SUBSTITUTE($BE34:$AAL34,"B",""))),FALSE),IF(ISNUMBER(VALUE(SUBSTITUTE($BE34:$AAL34,"B",""))),1,0),0)))</f>
        <v>0</v>
      </c>
      <c r="AF34" t="str">
        <f t="shared" ref="AF34:AF42" si="223">CONCATENATE("C",$AD34)</f>
        <v>C1</v>
      </c>
      <c r="AG34" t="str">
        <f t="shared" ref="AG34:AG42" si="224">CONCATENATE("B",$AD34)</f>
        <v>B1</v>
      </c>
      <c r="AP34" t="s">
        <v>2077</v>
      </c>
      <c r="AT34" t="s">
        <v>854</v>
      </c>
      <c r="AU34" t="s">
        <v>1399</v>
      </c>
      <c r="LY34" s="25" t="str">
        <f>CONCATENATE("DI",REPLACE($AC34,1,3,""),"-",$AF34)</f>
        <v>DI1-C1</v>
      </c>
      <c r="LZ34" s="12"/>
      <c r="MA34" s="12" t="s">
        <v>1884</v>
      </c>
      <c r="MB34" s="12" t="s">
        <v>1883</v>
      </c>
      <c r="MC34" s="12">
        <v>11</v>
      </c>
      <c r="MD34" s="12">
        <v>14</v>
      </c>
      <c r="ME34" s="12" t="s">
        <v>142</v>
      </c>
      <c r="MF34" s="12" t="s">
        <v>143</v>
      </c>
      <c r="MG34" s="12" t="s">
        <v>488</v>
      </c>
      <c r="MH34" s="12" t="s">
        <v>487</v>
      </c>
      <c r="MI34" s="12" t="s">
        <v>414</v>
      </c>
      <c r="MJ34" s="12" t="s">
        <v>413</v>
      </c>
      <c r="MK34" s="12"/>
      <c r="ML34" s="12"/>
      <c r="MM34" s="12"/>
      <c r="MN34" s="12"/>
      <c r="MO34" s="12"/>
      <c r="MP34" s="12"/>
      <c r="MQ34" s="12">
        <v>1</v>
      </c>
      <c r="MR34" s="13">
        <v>2</v>
      </c>
      <c r="MS34" s="27"/>
    </row>
    <row r="35" spans="1:819" x14ac:dyDescent="0.25">
      <c r="A35" t="s">
        <v>2298</v>
      </c>
      <c r="B35" t="s">
        <v>2252</v>
      </c>
      <c r="P35" t="s">
        <v>1873</v>
      </c>
      <c r="T35" s="14" t="s">
        <v>2071</v>
      </c>
      <c r="AC35" t="str">
        <f t="shared" ref="AC35:AC42" si="225">IF(AD34+AE34&gt;31,REPLACE(AC34,LEN(AC34),1,VALUE(RIGHT(AC34,1))+1),AC34)</f>
        <v>A5.1</v>
      </c>
      <c r="AD35" s="43" cm="1">
        <f t="array" ref="AD35">IF(COUNTIFS(AC$2:AC35,AC35)=1,"1",VALUE(SUBSTITUTE(INDEX(AD:AD,_xlfn.XMATCH(AC35,AC$1:AC34,0,-1)),"A",""))+INDEX(AE:AE,_xlfn.XMATCH(AC35,AC$1:AC34,0,-1))+1)</f>
        <v>2</v>
      </c>
      <c r="AE35" s="43" cm="1">
        <f t="array" ref="AE35">SUM(IF(ISNUMBER(FIND("TmDi",$BE$1:$AAL$1)),IF(IFERROR(ISNUMBER(VALUE(SUBSTITUTE($BE35:$AAL35,"B",""))),FALSE),IF(ISNUMBER(VALUE(SUBSTITUTE($BE35:$AAL35,"B",""))),1,0),0)))</f>
        <v>0</v>
      </c>
      <c r="AF35" t="str">
        <f t="shared" si="223"/>
        <v>C2</v>
      </c>
      <c r="AG35" t="str">
        <f t="shared" si="224"/>
        <v>B2</v>
      </c>
      <c r="AP35" t="s">
        <v>2077</v>
      </c>
      <c r="AT35" t="s">
        <v>854</v>
      </c>
      <c r="AU35" t="s">
        <v>1399</v>
      </c>
      <c r="LY35" s="27" t="str">
        <f>CONCATENATE("DI",REPLACE($AC35,1,3,""),"-",$AF35)</f>
        <v>DI1-C2</v>
      </c>
      <c r="MA35" t="s">
        <v>1885</v>
      </c>
      <c r="MB35" t="s">
        <v>1886</v>
      </c>
      <c r="MC35">
        <f t="shared" ref="MC35:MJ35" si="226">MC34</f>
        <v>11</v>
      </c>
      <c r="MD35">
        <f t="shared" si="226"/>
        <v>14</v>
      </c>
      <c r="ME35" t="str">
        <f t="shared" si="226"/>
        <v>A1</v>
      </c>
      <c r="MF35" t="str">
        <f t="shared" si="226"/>
        <v>A2</v>
      </c>
      <c r="MG35" t="str">
        <f t="shared" si="226"/>
        <v>0v3</v>
      </c>
      <c r="MH35" t="str">
        <f t="shared" si="226"/>
        <v>24v3</v>
      </c>
      <c r="MI35" t="str">
        <f t="shared" si="226"/>
        <v>0v6</v>
      </c>
      <c r="MJ35" t="str">
        <f t="shared" si="226"/>
        <v>24v6</v>
      </c>
      <c r="MQ35">
        <f>MQ34</f>
        <v>1</v>
      </c>
      <c r="MR35" s="16">
        <f>MR34</f>
        <v>2</v>
      </c>
    </row>
    <row r="36" spans="1:819" x14ac:dyDescent="0.25">
      <c r="A36" t="s">
        <v>2299</v>
      </c>
      <c r="B36" t="s">
        <v>2253</v>
      </c>
      <c r="P36" t="s">
        <v>1873</v>
      </c>
      <c r="T36" s="14" t="s">
        <v>2071</v>
      </c>
      <c r="AC36" t="str">
        <f t="shared" si="225"/>
        <v>A5.1</v>
      </c>
      <c r="AD36" s="43" cm="1">
        <f t="array" ref="AD36">IF(COUNTIFS(AC$2:AC36,AC36)=1,"1",VALUE(SUBSTITUTE(INDEX(AD:AD,_xlfn.XMATCH(AC36,AC$1:AC35,0,-1)),"A",""))+INDEX(AE:AE,_xlfn.XMATCH(AC36,AC$1:AC35,0,-1))+1)</f>
        <v>3</v>
      </c>
      <c r="AE36" s="43" cm="1">
        <f t="array" ref="AE36">SUM(IF(ISNUMBER(FIND("TmDi",$BE$1:$AAL$1)),IF(IFERROR(ISNUMBER(VALUE(SUBSTITUTE($BE36:$AAL36,"B",""))),FALSE),IF(ISNUMBER(VALUE(SUBSTITUTE($BE36:$AAL36,"B",""))),1,0),0)))</f>
        <v>0</v>
      </c>
      <c r="AF36" t="str">
        <f t="shared" si="223"/>
        <v>C3</v>
      </c>
      <c r="AG36" t="str">
        <f t="shared" si="224"/>
        <v>B3</v>
      </c>
      <c r="AP36" t="s">
        <v>2077</v>
      </c>
      <c r="AT36" t="s">
        <v>854</v>
      </c>
      <c r="AU36" t="s">
        <v>1399</v>
      </c>
      <c r="LY36" s="27" t="str">
        <f t="shared" ref="LY36:LY42" si="227">CONCATENATE("DI",REPLACE($AC36,1,3,""),"-",$AF36)</f>
        <v>DI1-C3</v>
      </c>
      <c r="MA36" t="s">
        <v>1887</v>
      </c>
      <c r="MB36" t="s">
        <v>1888</v>
      </c>
      <c r="MC36">
        <f t="shared" ref="MC36:MJ36" si="228">MC35</f>
        <v>11</v>
      </c>
      <c r="MD36">
        <f t="shared" si="228"/>
        <v>14</v>
      </c>
      <c r="ME36" t="str">
        <f t="shared" si="228"/>
        <v>A1</v>
      </c>
      <c r="MF36" t="str">
        <f t="shared" si="228"/>
        <v>A2</v>
      </c>
      <c r="MG36" t="str">
        <f t="shared" si="228"/>
        <v>0v3</v>
      </c>
      <c r="MH36" t="str">
        <f t="shared" si="228"/>
        <v>24v3</v>
      </c>
      <c r="MI36" t="str">
        <f t="shared" si="228"/>
        <v>0v6</v>
      </c>
      <c r="MJ36" t="str">
        <f t="shared" si="228"/>
        <v>24v6</v>
      </c>
      <c r="MQ36">
        <f t="shared" ref="MQ36:MR36" si="229">MQ35</f>
        <v>1</v>
      </c>
      <c r="MR36" s="16">
        <f t="shared" si="229"/>
        <v>2</v>
      </c>
    </row>
    <row r="37" spans="1:819" x14ac:dyDescent="0.25">
      <c r="A37" t="s">
        <v>2300</v>
      </c>
      <c r="B37" t="s">
        <v>2254</v>
      </c>
      <c r="P37" t="s">
        <v>1873</v>
      </c>
      <c r="T37" s="14" t="s">
        <v>2071</v>
      </c>
      <c r="AC37" t="str">
        <f t="shared" si="225"/>
        <v>A5.1</v>
      </c>
      <c r="AD37" s="43" cm="1">
        <f t="array" ref="AD37">IF(COUNTIFS(AC$2:AC37,AC37)=1,"1",VALUE(SUBSTITUTE(INDEX(AD:AD,_xlfn.XMATCH(AC37,AC$1:AC36,0,-1)),"A",""))+INDEX(AE:AE,_xlfn.XMATCH(AC37,AC$1:AC36,0,-1))+1)</f>
        <v>4</v>
      </c>
      <c r="AE37" s="43" cm="1">
        <f t="array" ref="AE37">SUM(IF(ISNUMBER(FIND("TmDi",$BE$1:$AAL$1)),IF(IFERROR(ISNUMBER(VALUE(SUBSTITUTE($BE37:$AAL37,"B",""))),FALSE),IF(ISNUMBER(VALUE(SUBSTITUTE($BE37:$AAL37,"B",""))),1,0),0)))</f>
        <v>0</v>
      </c>
      <c r="AF37" t="str">
        <f t="shared" si="223"/>
        <v>C4</v>
      </c>
      <c r="AG37" t="str">
        <f t="shared" si="224"/>
        <v>B4</v>
      </c>
      <c r="AP37" t="s">
        <v>2077</v>
      </c>
      <c r="AT37" t="s">
        <v>854</v>
      </c>
      <c r="AU37" t="s">
        <v>1399</v>
      </c>
      <c r="LY37" s="27" t="str">
        <f t="shared" si="227"/>
        <v>DI1-C4</v>
      </c>
      <c r="MA37" t="s">
        <v>1889</v>
      </c>
      <c r="MB37" t="s">
        <v>1890</v>
      </c>
      <c r="MC37">
        <f t="shared" ref="MC37:MJ37" si="230">MC36</f>
        <v>11</v>
      </c>
      <c r="MD37">
        <f t="shared" si="230"/>
        <v>14</v>
      </c>
      <c r="ME37" t="str">
        <f t="shared" si="230"/>
        <v>A1</v>
      </c>
      <c r="MF37" t="str">
        <f t="shared" si="230"/>
        <v>A2</v>
      </c>
      <c r="MG37" t="str">
        <f t="shared" si="230"/>
        <v>0v3</v>
      </c>
      <c r="MH37" t="str">
        <f t="shared" si="230"/>
        <v>24v3</v>
      </c>
      <c r="MI37" t="str">
        <f t="shared" si="230"/>
        <v>0v6</v>
      </c>
      <c r="MJ37" t="str">
        <f t="shared" si="230"/>
        <v>24v6</v>
      </c>
      <c r="MQ37">
        <f t="shared" ref="MQ37:MR37" si="231">MQ36</f>
        <v>1</v>
      </c>
      <c r="MR37" s="16">
        <f t="shared" si="231"/>
        <v>2</v>
      </c>
    </row>
    <row r="38" spans="1:819" x14ac:dyDescent="0.25">
      <c r="A38" t="s">
        <v>2301</v>
      </c>
      <c r="B38" t="s">
        <v>2255</v>
      </c>
      <c r="P38" t="s">
        <v>1873</v>
      </c>
      <c r="T38" s="14" t="s">
        <v>2071</v>
      </c>
      <c r="AC38" t="str">
        <f t="shared" si="225"/>
        <v>A5.1</v>
      </c>
      <c r="AD38" s="43" cm="1">
        <f t="array" ref="AD38">IF(COUNTIFS(AC$2:AC38,AC38)=1,"1",VALUE(SUBSTITUTE(INDEX(AD:AD,_xlfn.XMATCH(AC38,AC$1:AC37,0,-1)),"A",""))+INDEX(AE:AE,_xlfn.XMATCH(AC38,AC$1:AC37,0,-1))+1)</f>
        <v>5</v>
      </c>
      <c r="AE38" s="43" cm="1">
        <f t="array" ref="AE38">SUM(IF(ISNUMBER(FIND("TmDi",$BE$1:$AAL$1)),IF(IFERROR(ISNUMBER(VALUE(SUBSTITUTE($BE38:$AAL38,"B",""))),FALSE),IF(ISNUMBER(VALUE(SUBSTITUTE($BE38:$AAL38,"B",""))),1,0),0)))</f>
        <v>0</v>
      </c>
      <c r="AF38" t="str">
        <f t="shared" si="223"/>
        <v>C5</v>
      </c>
      <c r="AG38" t="str">
        <f t="shared" si="224"/>
        <v>B5</v>
      </c>
      <c r="AP38" t="s">
        <v>2077</v>
      </c>
      <c r="AT38" t="s">
        <v>854</v>
      </c>
      <c r="AU38" t="s">
        <v>1399</v>
      </c>
      <c r="LY38" s="27" t="str">
        <f t="shared" si="227"/>
        <v>DI1-C5</v>
      </c>
      <c r="MA38" t="s">
        <v>1891</v>
      </c>
      <c r="MB38" t="s">
        <v>1892</v>
      </c>
      <c r="MC38">
        <f t="shared" ref="MC38:MJ38" si="232">MC37</f>
        <v>11</v>
      </c>
      <c r="MD38">
        <f t="shared" si="232"/>
        <v>14</v>
      </c>
      <c r="ME38" t="str">
        <f t="shared" si="232"/>
        <v>A1</v>
      </c>
      <c r="MF38" t="str">
        <f t="shared" si="232"/>
        <v>A2</v>
      </c>
      <c r="MG38" t="str">
        <f t="shared" si="232"/>
        <v>0v3</v>
      </c>
      <c r="MH38" t="str">
        <f t="shared" si="232"/>
        <v>24v3</v>
      </c>
      <c r="MI38" t="str">
        <f t="shared" si="232"/>
        <v>0v6</v>
      </c>
      <c r="MJ38" t="str">
        <f t="shared" si="232"/>
        <v>24v6</v>
      </c>
      <c r="MQ38">
        <f t="shared" ref="MQ38:MR38" si="233">MQ37</f>
        <v>1</v>
      </c>
      <c r="MR38" s="16">
        <f t="shared" si="233"/>
        <v>2</v>
      </c>
    </row>
    <row r="39" spans="1:819" x14ac:dyDescent="0.25">
      <c r="A39" t="s">
        <v>2302</v>
      </c>
      <c r="B39" t="s">
        <v>2256</v>
      </c>
      <c r="P39" t="s">
        <v>1873</v>
      </c>
      <c r="T39" s="14" t="s">
        <v>2071</v>
      </c>
      <c r="AC39" t="str">
        <f t="shared" si="225"/>
        <v>A5.1</v>
      </c>
      <c r="AD39" s="43" cm="1">
        <f t="array" ref="AD39">IF(COUNTIFS(AC$2:AC39,AC39)=1,"1",VALUE(SUBSTITUTE(INDEX(AD:AD,_xlfn.XMATCH(AC39,AC$1:AC38,0,-1)),"A",""))+INDEX(AE:AE,_xlfn.XMATCH(AC39,AC$1:AC38,0,-1))+1)</f>
        <v>6</v>
      </c>
      <c r="AE39" s="43" cm="1">
        <f t="array" ref="AE39">SUM(IF(ISNUMBER(FIND("TmDi",$BE$1:$AAL$1)),IF(IFERROR(ISNUMBER(VALUE(SUBSTITUTE($BE39:$AAL39,"B",""))),FALSE),IF(ISNUMBER(VALUE(SUBSTITUTE($BE39:$AAL39,"B",""))),1,0),0)))</f>
        <v>0</v>
      </c>
      <c r="AF39" t="str">
        <f t="shared" si="223"/>
        <v>C6</v>
      </c>
      <c r="AG39" t="str">
        <f t="shared" si="224"/>
        <v>B6</v>
      </c>
      <c r="AP39" t="s">
        <v>2077</v>
      </c>
      <c r="AT39" t="s">
        <v>854</v>
      </c>
      <c r="AU39" t="s">
        <v>1399</v>
      </c>
      <c r="LY39" s="27" t="str">
        <f t="shared" si="227"/>
        <v>DI1-C6</v>
      </c>
      <c r="MA39" t="s">
        <v>1893</v>
      </c>
      <c r="MB39" t="s">
        <v>1894</v>
      </c>
      <c r="MC39">
        <f t="shared" ref="MC39:MJ39" si="234">MC38</f>
        <v>11</v>
      </c>
      <c r="MD39">
        <f t="shared" si="234"/>
        <v>14</v>
      </c>
      <c r="ME39" t="str">
        <f t="shared" si="234"/>
        <v>A1</v>
      </c>
      <c r="MF39" t="str">
        <f t="shared" si="234"/>
        <v>A2</v>
      </c>
      <c r="MG39" t="str">
        <f t="shared" si="234"/>
        <v>0v3</v>
      </c>
      <c r="MH39" t="str">
        <f t="shared" si="234"/>
        <v>24v3</v>
      </c>
      <c r="MI39" t="str">
        <f t="shared" si="234"/>
        <v>0v6</v>
      </c>
      <c r="MJ39" t="str">
        <f t="shared" si="234"/>
        <v>24v6</v>
      </c>
      <c r="MQ39">
        <f t="shared" ref="MQ39:MR39" si="235">MQ38</f>
        <v>1</v>
      </c>
      <c r="MR39" s="16">
        <f t="shared" si="235"/>
        <v>2</v>
      </c>
    </row>
    <row r="40" spans="1:819" x14ac:dyDescent="0.25">
      <c r="A40" t="s">
        <v>2303</v>
      </c>
      <c r="B40" t="s">
        <v>2257</v>
      </c>
      <c r="P40" t="s">
        <v>1873</v>
      </c>
      <c r="T40" s="14" t="s">
        <v>2071</v>
      </c>
      <c r="AC40" t="str">
        <f t="shared" si="225"/>
        <v>A5.1</v>
      </c>
      <c r="AD40" s="43" cm="1">
        <f t="array" ref="AD40">IF(COUNTIFS(AC$2:AC40,AC40)=1,"1",VALUE(SUBSTITUTE(INDEX(AD:AD,_xlfn.XMATCH(AC40,AC$1:AC39,0,-1)),"A",""))+INDEX(AE:AE,_xlfn.XMATCH(AC40,AC$1:AC39,0,-1))+1)</f>
        <v>7</v>
      </c>
      <c r="AE40" s="43" cm="1">
        <f t="array" ref="AE40">SUM(IF(ISNUMBER(FIND("TmDi",$BE$1:$AAL$1)),IF(IFERROR(ISNUMBER(VALUE(SUBSTITUTE($BE40:$AAL40,"B",""))),FALSE),IF(ISNUMBER(VALUE(SUBSTITUTE($BE40:$AAL40,"B",""))),1,0),0)))</f>
        <v>0</v>
      </c>
      <c r="AF40" t="str">
        <f t="shared" si="223"/>
        <v>C7</v>
      </c>
      <c r="AG40" t="str">
        <f t="shared" si="224"/>
        <v>B7</v>
      </c>
      <c r="AP40" t="s">
        <v>2077</v>
      </c>
      <c r="AT40" t="s">
        <v>854</v>
      </c>
      <c r="AU40" t="s">
        <v>1399</v>
      </c>
      <c r="LY40" s="27" t="str">
        <f t="shared" si="227"/>
        <v>DI1-C7</v>
      </c>
      <c r="MA40" t="s">
        <v>1895</v>
      </c>
      <c r="MB40" t="s">
        <v>1896</v>
      </c>
      <c r="MC40">
        <f t="shared" ref="MC40:MJ40" si="236">MC39</f>
        <v>11</v>
      </c>
      <c r="MD40">
        <f t="shared" si="236"/>
        <v>14</v>
      </c>
      <c r="ME40" t="str">
        <f t="shared" si="236"/>
        <v>A1</v>
      </c>
      <c r="MF40" t="str">
        <f t="shared" si="236"/>
        <v>A2</v>
      </c>
      <c r="MG40" t="str">
        <f t="shared" si="236"/>
        <v>0v3</v>
      </c>
      <c r="MH40" t="str">
        <f t="shared" si="236"/>
        <v>24v3</v>
      </c>
      <c r="MI40" t="str">
        <f t="shared" si="236"/>
        <v>0v6</v>
      </c>
      <c r="MJ40" t="str">
        <f t="shared" si="236"/>
        <v>24v6</v>
      </c>
      <c r="MQ40">
        <f t="shared" ref="MQ40:MR40" si="237">MQ39</f>
        <v>1</v>
      </c>
      <c r="MR40" s="16">
        <f t="shared" si="237"/>
        <v>2</v>
      </c>
    </row>
    <row r="41" spans="1:819" x14ac:dyDescent="0.25">
      <c r="A41" t="s">
        <v>2304</v>
      </c>
      <c r="B41" t="s">
        <v>2258</v>
      </c>
      <c r="P41" t="s">
        <v>1873</v>
      </c>
      <c r="T41" s="14" t="s">
        <v>2071</v>
      </c>
      <c r="AC41" t="str">
        <f t="shared" si="225"/>
        <v>A5.1</v>
      </c>
      <c r="AD41" s="43" cm="1">
        <f t="array" ref="AD41">IF(COUNTIFS(AC$2:AC41,AC41)=1,"1",VALUE(SUBSTITUTE(INDEX(AD:AD,_xlfn.XMATCH(AC41,AC$1:AC40,0,-1)),"A",""))+INDEX(AE:AE,_xlfn.XMATCH(AC41,AC$1:AC40,0,-1))+1)</f>
        <v>8</v>
      </c>
      <c r="AE41" s="43" cm="1">
        <f t="array" ref="AE41">SUM(IF(ISNUMBER(FIND("TmDi",$BE$1:$AAL$1)),IF(IFERROR(ISNUMBER(VALUE(SUBSTITUTE($BE41:$AAL41,"B",""))),FALSE),IF(ISNUMBER(VALUE(SUBSTITUTE($BE41:$AAL41,"B",""))),1,0),0)))</f>
        <v>0</v>
      </c>
      <c r="AF41" t="str">
        <f t="shared" si="223"/>
        <v>C8</v>
      </c>
      <c r="AG41" t="str">
        <f t="shared" si="224"/>
        <v>B8</v>
      </c>
      <c r="AP41" t="s">
        <v>2077</v>
      </c>
      <c r="AT41" t="s">
        <v>854</v>
      </c>
      <c r="AU41" t="s">
        <v>1399</v>
      </c>
      <c r="LY41" s="27" t="str">
        <f t="shared" si="227"/>
        <v>DI1-C8</v>
      </c>
      <c r="MA41" t="s">
        <v>1897</v>
      </c>
      <c r="MB41" t="s">
        <v>1898</v>
      </c>
      <c r="MC41">
        <f t="shared" ref="MC41:MJ41" si="238">MC40</f>
        <v>11</v>
      </c>
      <c r="MD41">
        <f t="shared" si="238"/>
        <v>14</v>
      </c>
      <c r="ME41" t="str">
        <f t="shared" si="238"/>
        <v>A1</v>
      </c>
      <c r="MF41" t="str">
        <f t="shared" si="238"/>
        <v>A2</v>
      </c>
      <c r="MG41" t="str">
        <f t="shared" si="238"/>
        <v>0v3</v>
      </c>
      <c r="MH41" t="str">
        <f t="shared" si="238"/>
        <v>24v3</v>
      </c>
      <c r="MI41" t="str">
        <f t="shared" si="238"/>
        <v>0v6</v>
      </c>
      <c r="MJ41" t="str">
        <f t="shared" si="238"/>
        <v>24v6</v>
      </c>
      <c r="MQ41">
        <f t="shared" ref="MQ41:MR41" si="239">MQ40</f>
        <v>1</v>
      </c>
      <c r="MR41" s="16">
        <f t="shared" si="239"/>
        <v>2</v>
      </c>
    </row>
    <row r="42" spans="1:819" ht="15.75" thickBot="1" x14ac:dyDescent="0.3">
      <c r="A42" t="s">
        <v>2305</v>
      </c>
      <c r="B42" t="s">
        <v>2259</v>
      </c>
      <c r="P42" t="s">
        <v>1873</v>
      </c>
      <c r="T42" s="14" t="s">
        <v>2071</v>
      </c>
      <c r="AC42" t="str">
        <f t="shared" si="225"/>
        <v>A5.1</v>
      </c>
      <c r="AD42" s="43" cm="1">
        <f t="array" ref="AD42">IF(COUNTIFS(AC$2:AC42,AC42)=1,"1",VALUE(SUBSTITUTE(INDEX(AD:AD,_xlfn.XMATCH(AC42,AC$1:AC41,0,-1)),"A",""))+INDEX(AE:AE,_xlfn.XMATCH(AC42,AC$1:AC41,0,-1))+1)</f>
        <v>9</v>
      </c>
      <c r="AE42" s="43" cm="1">
        <f t="array" ref="AE42">SUM(IF(ISNUMBER(FIND("TmDi",$BE$1:$AAL$1)),IF(IFERROR(ISNUMBER(VALUE(SUBSTITUTE($BE42:$AAL42,"B",""))),FALSE),IF(ISNUMBER(VALUE(SUBSTITUTE($BE42:$AAL42,"B",""))),1,0),0)))</f>
        <v>0</v>
      </c>
      <c r="AF42" t="str">
        <f t="shared" si="223"/>
        <v>C9</v>
      </c>
      <c r="AG42" t="str">
        <f t="shared" si="224"/>
        <v>B9</v>
      </c>
      <c r="AP42" t="s">
        <v>2077</v>
      </c>
      <c r="AT42" t="s">
        <v>854</v>
      </c>
      <c r="AU42" t="s">
        <v>1399</v>
      </c>
      <c r="LY42" s="27" t="str">
        <f t="shared" si="227"/>
        <v>DI1-C9</v>
      </c>
      <c r="MA42" t="s">
        <v>1899</v>
      </c>
      <c r="MB42" t="s">
        <v>1900</v>
      </c>
      <c r="MC42">
        <f t="shared" ref="MC42:MJ42" si="240">MC41</f>
        <v>11</v>
      </c>
      <c r="MD42">
        <f t="shared" si="240"/>
        <v>14</v>
      </c>
      <c r="ME42" t="str">
        <f t="shared" si="240"/>
        <v>A1</v>
      </c>
      <c r="MF42" t="str">
        <f t="shared" si="240"/>
        <v>A2</v>
      </c>
      <c r="MG42" t="str">
        <f t="shared" si="240"/>
        <v>0v3</v>
      </c>
      <c r="MH42" t="str">
        <f t="shared" si="240"/>
        <v>24v3</v>
      </c>
      <c r="MI42" t="str">
        <f t="shared" si="240"/>
        <v>0v6</v>
      </c>
      <c r="MJ42" t="str">
        <f t="shared" si="240"/>
        <v>24v6</v>
      </c>
      <c r="MQ42">
        <f t="shared" ref="MQ42:MR42" si="241">MQ41</f>
        <v>1</v>
      </c>
      <c r="MR42" s="16">
        <f t="shared" si="241"/>
        <v>2</v>
      </c>
    </row>
    <row r="43" spans="1:819" x14ac:dyDescent="0.25">
      <c r="A43" t="s">
        <v>2306</v>
      </c>
      <c r="B43" t="s">
        <v>2262</v>
      </c>
      <c r="C43" t="s">
        <v>2286</v>
      </c>
      <c r="P43" t="s">
        <v>2091</v>
      </c>
      <c r="T43" s="14" t="s">
        <v>2071</v>
      </c>
      <c r="AD43" s="43"/>
      <c r="AE43" s="43"/>
      <c r="AH43" t="s">
        <v>132</v>
      </c>
      <c r="AI43" s="59" t="str" cm="1">
        <f t="array" ref="AI43">IF(COUNTIFS(AH$2:AH43,AH43)=1,"1",VALUE(SUBSTITUTE(INDEX(AI:AI,_xlfn.XMATCH(AH43,AH$1:AH42,0,-1)),"A",""))+INDEX(AJ:AJ,_xlfn.XMATCH(AH43,AH$1:AH42,0,-1))+1)</f>
        <v>1</v>
      </c>
      <c r="AJ43" s="57" cm="1">
        <f t="array" ref="AJ43">SUM(IF(ISNUMBER(FIND("TmDo",$BE$1:$AAL$1)),IF(IFERROR(ISNUMBER(VALUE(SUBSTITUTE($BE43:$AAL43,"B",""))),FALSE),IF(ISNUMBER(VALUE(SUBSTITUTE($BE43:$AAL43,"B",""))),1,0),0)))</f>
        <v>0</v>
      </c>
      <c r="AK43" t="str">
        <f>CONCATENATE($AI43,"A")</f>
        <v>1A</v>
      </c>
      <c r="AL43" t="str">
        <f>CONCATENATE($AI43,"B")</f>
        <v>1B</v>
      </c>
      <c r="AP43" t="s">
        <v>2077</v>
      </c>
      <c r="AT43" t="s">
        <v>854</v>
      </c>
      <c r="AU43" t="s">
        <v>1399</v>
      </c>
      <c r="LY43" s="27"/>
      <c r="MR43" s="16"/>
      <c r="AEB43" s="25" t="str">
        <f>CONCATENATE("DO",REPLACE($AH43,1,3,""),"-",$AK43)</f>
        <v>DO1-1A</v>
      </c>
      <c r="AEC43" s="12" t="str">
        <f>CONCATENATE("DO",REPLACE($AH43,1,3,""),"-",$AL43)</f>
        <v>DO1-1B</v>
      </c>
      <c r="AED43" s="12" t="s">
        <v>2279</v>
      </c>
      <c r="AEE43" s="12" t="s">
        <v>142</v>
      </c>
      <c r="AEF43" s="12" t="s">
        <v>143</v>
      </c>
      <c r="AEG43" s="12">
        <v>11</v>
      </c>
      <c r="AEH43" s="12">
        <v>14</v>
      </c>
      <c r="AEI43" s="12" t="s">
        <v>413</v>
      </c>
      <c r="AEJ43" s="12" t="s">
        <v>414</v>
      </c>
      <c r="AEK43" s="12" t="s">
        <v>2263</v>
      </c>
      <c r="AEL43" s="12" t="s">
        <v>547</v>
      </c>
      <c r="AEM43" s="13" t="s">
        <v>548</v>
      </c>
    </row>
    <row r="44" spans="1:819" x14ac:dyDescent="0.25">
      <c r="A44" t="s">
        <v>2307</v>
      </c>
      <c r="B44" t="s">
        <v>2270</v>
      </c>
      <c r="C44" t="s">
        <v>2287</v>
      </c>
      <c r="P44" t="s">
        <v>2091</v>
      </c>
      <c r="T44" s="14" t="s">
        <v>2071</v>
      </c>
      <c r="AD44" s="43"/>
      <c r="AE44" s="43"/>
      <c r="AH44" t="str">
        <f>IF(AI43+AJ43&gt;27,REPLACE(AH43,LEN(AH43),1,VALUE(RIGHT(AH43,1))+1),AH43)</f>
        <v>A6.1</v>
      </c>
      <c r="AI44" s="59" cm="1">
        <f t="array" ref="AI44">IF(COUNTIFS(AH$2:AH44,AH44)=1,"1",VALUE(SUBSTITUTE(INDEX(AI:AI,_xlfn.XMATCH(AH44,AH$1:AH43,0,-1)),"A",""))+INDEX(AJ:AJ,_xlfn.XMATCH(AH44,AH$1:AH43,0,-1))+1)</f>
        <v>2</v>
      </c>
      <c r="AJ44" s="57" cm="1">
        <f t="array" ref="AJ44">SUM(IF(ISNUMBER(FIND("TmDo",$BE$1:$AAL$1)),IF(IFERROR(ISNUMBER(VALUE(SUBSTITUTE($BE44:$AAL44,"B",""))),FALSE),IF(ISNUMBER(VALUE(SUBSTITUTE($BE44:$AAL44,"B",""))),1,0),0)))</f>
        <v>0</v>
      </c>
      <c r="AK44" t="str">
        <f t="shared" ref="AK44:AK49" si="242">CONCATENATE($AI44,"A")</f>
        <v>2A</v>
      </c>
      <c r="AL44" t="str">
        <f t="shared" ref="AL44:AL49" si="243">CONCATENATE($AI44,"B")</f>
        <v>2B</v>
      </c>
      <c r="AP44" t="s">
        <v>2077</v>
      </c>
      <c r="AT44" t="s">
        <v>854</v>
      </c>
      <c r="AU44" t="s">
        <v>1399</v>
      </c>
      <c r="AEB44" s="27" t="str">
        <f t="shared" ref="AEB44:AEB49" si="244">CONCATENATE("DO",REPLACE($AH44,1,3,""),"-",$AK44)</f>
        <v>DO1-2A</v>
      </c>
      <c r="AEC44" t="str">
        <f t="shared" ref="AEC44:AEC49" si="245">CONCATENATE("DO",REPLACE($AH44,1,3,""),"-",$AL44)</f>
        <v>DO1-2B</v>
      </c>
      <c r="AED44" t="s">
        <v>2280</v>
      </c>
      <c r="AEE44" t="s">
        <v>142</v>
      </c>
      <c r="AEF44" t="s">
        <v>143</v>
      </c>
      <c r="AEG44">
        <v>11</v>
      </c>
      <c r="AEH44">
        <v>14</v>
      </c>
      <c r="AEI44" t="str">
        <f>AEI43</f>
        <v>24v6</v>
      </c>
      <c r="AEJ44" t="str">
        <f>AEJ43</f>
        <v>0v6</v>
      </c>
      <c r="AEK44" t="s">
        <v>2264</v>
      </c>
      <c r="AEL44" t="s">
        <v>547</v>
      </c>
      <c r="AEM44" s="16" t="s">
        <v>548</v>
      </c>
    </row>
    <row r="45" spans="1:819" x14ac:dyDescent="0.25">
      <c r="A45" t="s">
        <v>2308</v>
      </c>
      <c r="B45" t="s">
        <v>2271</v>
      </c>
      <c r="C45" t="s">
        <v>2288</v>
      </c>
      <c r="P45" t="s">
        <v>2091</v>
      </c>
      <c r="T45" s="14" t="s">
        <v>2071</v>
      </c>
      <c r="AD45" s="43"/>
      <c r="AE45" s="43"/>
      <c r="AH45" t="str">
        <f t="shared" ref="AH45:AH49" si="246">IF(AI44+AJ44&gt;27,REPLACE(AH44,LEN(AH44),1,VALUE(RIGHT(AH44,1))+1),AH44)</f>
        <v>A6.1</v>
      </c>
      <c r="AI45" s="59" cm="1">
        <f t="array" ref="AI45">IF(COUNTIFS(AH$2:AH45,AH45)=1,"1",VALUE(SUBSTITUTE(INDEX(AI:AI,_xlfn.XMATCH(AH45,AH$1:AH44,0,-1)),"A",""))+INDEX(AJ:AJ,_xlfn.XMATCH(AH45,AH$1:AH44,0,-1))+1)</f>
        <v>3</v>
      </c>
      <c r="AJ45" s="57" cm="1">
        <f t="array" ref="AJ45">SUM(IF(ISNUMBER(FIND("TmDo",$BE$1:$AAL$1)),IF(IFERROR(ISNUMBER(VALUE(SUBSTITUTE($BE45:$AAL45,"B",""))),FALSE),IF(ISNUMBER(VALUE(SUBSTITUTE($BE45:$AAL45,"B",""))),1,0),0)))</f>
        <v>0</v>
      </c>
      <c r="AK45" t="str">
        <f t="shared" si="242"/>
        <v>3A</v>
      </c>
      <c r="AL45" t="str">
        <f t="shared" si="243"/>
        <v>3B</v>
      </c>
      <c r="AP45" t="s">
        <v>2077</v>
      </c>
      <c r="AT45" t="s">
        <v>854</v>
      </c>
      <c r="AU45" t="s">
        <v>1399</v>
      </c>
      <c r="AEB45" s="27" t="str">
        <f t="shared" si="244"/>
        <v>DO1-3A</v>
      </c>
      <c r="AEC45" t="str">
        <f t="shared" si="245"/>
        <v>DO1-3B</v>
      </c>
      <c r="AED45" t="s">
        <v>2281</v>
      </c>
      <c r="AEE45" t="s">
        <v>142</v>
      </c>
      <c r="AEF45" t="s">
        <v>143</v>
      </c>
      <c r="AEG45">
        <v>11</v>
      </c>
      <c r="AEH45">
        <v>14</v>
      </c>
      <c r="AEI45" t="str">
        <f t="shared" ref="AEI45:AEI49" si="247">AEI44</f>
        <v>24v6</v>
      </c>
      <c r="AEJ45" t="str">
        <f t="shared" ref="AEJ45:AEJ49" si="248">AEJ44</f>
        <v>0v6</v>
      </c>
      <c r="AEK45" t="s">
        <v>2265</v>
      </c>
      <c r="AEL45" t="s">
        <v>547</v>
      </c>
      <c r="AEM45" s="16" t="s">
        <v>548</v>
      </c>
    </row>
    <row r="46" spans="1:819" x14ac:dyDescent="0.25">
      <c r="A46" t="s">
        <v>2309</v>
      </c>
      <c r="B46" t="s">
        <v>2272</v>
      </c>
      <c r="C46" t="s">
        <v>2289</v>
      </c>
      <c r="P46" t="s">
        <v>2091</v>
      </c>
      <c r="T46" s="14" t="s">
        <v>2071</v>
      </c>
      <c r="AD46" s="43"/>
      <c r="AE46" s="43"/>
      <c r="AH46" t="str">
        <f t="shared" si="246"/>
        <v>A6.1</v>
      </c>
      <c r="AI46" s="59" cm="1">
        <f t="array" ref="AI46">IF(COUNTIFS(AH$2:AH46,AH46)=1,"1",VALUE(SUBSTITUTE(INDEX(AI:AI,_xlfn.XMATCH(AH46,AH$1:AH45,0,-1)),"A",""))+INDEX(AJ:AJ,_xlfn.XMATCH(AH46,AH$1:AH45,0,-1))+1)</f>
        <v>4</v>
      </c>
      <c r="AJ46" s="57" cm="1">
        <f t="array" ref="AJ46">SUM(IF(ISNUMBER(FIND("TmDo",$BE$1:$AAL$1)),IF(IFERROR(ISNUMBER(VALUE(SUBSTITUTE($BE46:$AAL46,"B",""))),FALSE),IF(ISNUMBER(VALUE(SUBSTITUTE($BE46:$AAL46,"B",""))),1,0),0)))</f>
        <v>0</v>
      </c>
      <c r="AK46" t="str">
        <f t="shared" si="242"/>
        <v>4A</v>
      </c>
      <c r="AL46" t="str">
        <f t="shared" si="243"/>
        <v>4B</v>
      </c>
      <c r="AP46" t="s">
        <v>2077</v>
      </c>
      <c r="AT46" t="s">
        <v>854</v>
      </c>
      <c r="AU46" t="s">
        <v>1399</v>
      </c>
      <c r="AEB46" s="27" t="str">
        <f t="shared" si="244"/>
        <v>DO1-4A</v>
      </c>
      <c r="AEC46" t="str">
        <f t="shared" si="245"/>
        <v>DO1-4B</v>
      </c>
      <c r="AED46" t="s">
        <v>2282</v>
      </c>
      <c r="AEE46" t="s">
        <v>142</v>
      </c>
      <c r="AEF46" t="s">
        <v>143</v>
      </c>
      <c r="AEG46">
        <v>11</v>
      </c>
      <c r="AEH46">
        <v>14</v>
      </c>
      <c r="AEI46" t="str">
        <f t="shared" si="247"/>
        <v>24v6</v>
      </c>
      <c r="AEJ46" t="str">
        <f t="shared" si="248"/>
        <v>0v6</v>
      </c>
      <c r="AEK46" t="s">
        <v>2266</v>
      </c>
      <c r="AEL46" t="s">
        <v>547</v>
      </c>
      <c r="AEM46" s="16" t="s">
        <v>548</v>
      </c>
    </row>
    <row r="47" spans="1:819" x14ac:dyDescent="0.25">
      <c r="A47" t="s">
        <v>2310</v>
      </c>
      <c r="B47" t="s">
        <v>2273</v>
      </c>
      <c r="C47" t="s">
        <v>2290</v>
      </c>
      <c r="P47" t="s">
        <v>2091</v>
      </c>
      <c r="T47" s="14" t="s">
        <v>2071</v>
      </c>
      <c r="AD47" s="43"/>
      <c r="AE47" s="43"/>
      <c r="AH47" t="str">
        <f t="shared" si="246"/>
        <v>A6.1</v>
      </c>
      <c r="AI47" s="59" cm="1">
        <f t="array" ref="AI47">IF(COUNTIFS(AH$2:AH47,AH47)=1,"1",VALUE(SUBSTITUTE(INDEX(AI:AI,_xlfn.XMATCH(AH47,AH$1:AH46,0,-1)),"A",""))+INDEX(AJ:AJ,_xlfn.XMATCH(AH47,AH$1:AH46,0,-1))+1)</f>
        <v>5</v>
      </c>
      <c r="AJ47" s="57" cm="1">
        <f t="array" ref="AJ47">SUM(IF(ISNUMBER(FIND("TmDo",$BE$1:$AAL$1)),IF(IFERROR(ISNUMBER(VALUE(SUBSTITUTE($BE47:$AAL47,"B",""))),FALSE),IF(ISNUMBER(VALUE(SUBSTITUTE($BE47:$AAL47,"B",""))),1,0),0)))</f>
        <v>0</v>
      </c>
      <c r="AK47" t="str">
        <f t="shared" si="242"/>
        <v>5A</v>
      </c>
      <c r="AL47" t="str">
        <f t="shared" si="243"/>
        <v>5B</v>
      </c>
      <c r="AP47" t="s">
        <v>2077</v>
      </c>
      <c r="AT47" t="s">
        <v>854</v>
      </c>
      <c r="AU47" t="s">
        <v>1399</v>
      </c>
      <c r="AEB47" s="27" t="str">
        <f t="shared" si="244"/>
        <v>DO1-5A</v>
      </c>
      <c r="AEC47" t="str">
        <f t="shared" si="245"/>
        <v>DO1-5B</v>
      </c>
      <c r="AED47" t="s">
        <v>2283</v>
      </c>
      <c r="AEE47" t="s">
        <v>142</v>
      </c>
      <c r="AEF47" t="s">
        <v>143</v>
      </c>
      <c r="AEG47">
        <v>11</v>
      </c>
      <c r="AEH47">
        <v>14</v>
      </c>
      <c r="AEI47" t="str">
        <f t="shared" si="247"/>
        <v>24v6</v>
      </c>
      <c r="AEJ47" t="str">
        <f t="shared" si="248"/>
        <v>0v6</v>
      </c>
      <c r="AEK47" t="s">
        <v>2267</v>
      </c>
      <c r="AEL47" t="s">
        <v>547</v>
      </c>
      <c r="AEM47" s="16" t="s">
        <v>548</v>
      </c>
    </row>
    <row r="48" spans="1:819" x14ac:dyDescent="0.25">
      <c r="A48" t="s">
        <v>2311</v>
      </c>
      <c r="B48" t="s">
        <v>2274</v>
      </c>
      <c r="C48" t="s">
        <v>2291</v>
      </c>
      <c r="P48" t="s">
        <v>2091</v>
      </c>
      <c r="T48" s="14" t="s">
        <v>2071</v>
      </c>
      <c r="AD48" s="43"/>
      <c r="AE48" s="43"/>
      <c r="AH48" t="str">
        <f t="shared" si="246"/>
        <v>A6.1</v>
      </c>
      <c r="AI48" s="59" cm="1">
        <f t="array" ref="AI48">IF(COUNTIFS(AH$2:AH48,AH48)=1,"1",VALUE(SUBSTITUTE(INDEX(AI:AI,_xlfn.XMATCH(AH48,AH$1:AH47,0,-1)),"A",""))+INDEX(AJ:AJ,_xlfn.XMATCH(AH48,AH$1:AH47,0,-1))+1)</f>
        <v>6</v>
      </c>
      <c r="AJ48" s="57" cm="1">
        <f t="array" ref="AJ48">SUM(IF(ISNUMBER(FIND("TmDo",$BE$1:$AAL$1)),IF(IFERROR(ISNUMBER(VALUE(SUBSTITUTE($BE48:$AAL48,"B",""))),FALSE),IF(ISNUMBER(VALUE(SUBSTITUTE($BE48:$AAL48,"B",""))),1,0),0)))</f>
        <v>0</v>
      </c>
      <c r="AK48" t="str">
        <f t="shared" si="242"/>
        <v>6A</v>
      </c>
      <c r="AL48" t="str">
        <f t="shared" si="243"/>
        <v>6B</v>
      </c>
      <c r="AP48" t="s">
        <v>2077</v>
      </c>
      <c r="AT48" t="s">
        <v>854</v>
      </c>
      <c r="AU48" t="s">
        <v>1399</v>
      </c>
      <c r="AEB48" s="27" t="str">
        <f t="shared" si="244"/>
        <v>DO1-6A</v>
      </c>
      <c r="AEC48" t="str">
        <f t="shared" si="245"/>
        <v>DO1-6B</v>
      </c>
      <c r="AED48" t="s">
        <v>2284</v>
      </c>
      <c r="AEE48" t="s">
        <v>142</v>
      </c>
      <c r="AEF48" t="s">
        <v>143</v>
      </c>
      <c r="AEG48">
        <v>11</v>
      </c>
      <c r="AEH48">
        <v>14</v>
      </c>
      <c r="AEI48" t="str">
        <f t="shared" si="247"/>
        <v>24v6</v>
      </c>
      <c r="AEJ48" t="str">
        <f t="shared" si="248"/>
        <v>0v6</v>
      </c>
      <c r="AEK48" t="s">
        <v>2268</v>
      </c>
      <c r="AEL48" t="s">
        <v>547</v>
      </c>
      <c r="AEM48" s="16" t="s">
        <v>548</v>
      </c>
    </row>
    <row r="49" spans="1:819" ht="15.75" thickBot="1" x14ac:dyDescent="0.3">
      <c r="A49" t="s">
        <v>2312</v>
      </c>
      <c r="B49" t="s">
        <v>2275</v>
      </c>
      <c r="C49" t="s">
        <v>2292</v>
      </c>
      <c r="P49" t="s">
        <v>2091</v>
      </c>
      <c r="T49" s="14" t="s">
        <v>2071</v>
      </c>
      <c r="AD49" s="43"/>
      <c r="AE49" s="43"/>
      <c r="AH49" t="str">
        <f t="shared" si="246"/>
        <v>A6.1</v>
      </c>
      <c r="AI49" s="59" cm="1">
        <f t="array" ref="AI49">IF(COUNTIFS(AH$2:AH49,AH49)=1,"1",VALUE(SUBSTITUTE(INDEX(AI:AI,_xlfn.XMATCH(AH49,AH$1:AH48,0,-1)),"A",""))+INDEX(AJ:AJ,_xlfn.XMATCH(AH49,AH$1:AH48,0,-1))+1)</f>
        <v>7</v>
      </c>
      <c r="AJ49" s="57" cm="1">
        <f t="array" ref="AJ49">SUM(IF(ISNUMBER(FIND("TmDo",$BE$1:$AAL$1)),IF(IFERROR(ISNUMBER(VALUE(SUBSTITUTE($BE49:$AAL49,"B",""))),FALSE),IF(ISNUMBER(VALUE(SUBSTITUTE($BE49:$AAL49,"B",""))),1,0),0)))</f>
        <v>0</v>
      </c>
      <c r="AK49" t="str">
        <f t="shared" si="242"/>
        <v>7A</v>
      </c>
      <c r="AL49" t="str">
        <f t="shared" si="243"/>
        <v>7B</v>
      </c>
      <c r="AP49" t="s">
        <v>2077</v>
      </c>
      <c r="AT49" t="s">
        <v>854</v>
      </c>
      <c r="AU49" t="s">
        <v>1399</v>
      </c>
      <c r="AEB49" s="28" t="str">
        <f t="shared" si="244"/>
        <v>DO1-7A</v>
      </c>
      <c r="AEC49" s="19" t="str">
        <f t="shared" si="245"/>
        <v>DO1-7B</v>
      </c>
      <c r="AED49" s="19" t="s">
        <v>2285</v>
      </c>
      <c r="AEE49" s="19" t="s">
        <v>142</v>
      </c>
      <c r="AEF49" s="19" t="s">
        <v>143</v>
      </c>
      <c r="AEG49" s="19">
        <v>11</v>
      </c>
      <c r="AEH49" s="19">
        <v>14</v>
      </c>
      <c r="AEI49" s="19" t="str">
        <f t="shared" si="247"/>
        <v>24v6</v>
      </c>
      <c r="AEJ49" s="19" t="str">
        <f t="shared" si="248"/>
        <v>0v6</v>
      </c>
      <c r="AEK49" s="19" t="s">
        <v>2269</v>
      </c>
      <c r="AEL49" s="19" t="s">
        <v>547</v>
      </c>
      <c r="AEM49" s="20" t="s">
        <v>548</v>
      </c>
    </row>
    <row r="50" spans="1:819" x14ac:dyDescent="0.25">
      <c r="A50" t="s">
        <v>2313</v>
      </c>
      <c r="B50" t="s">
        <v>2276</v>
      </c>
      <c r="C50" t="s">
        <v>2293</v>
      </c>
      <c r="P50" t="s">
        <v>1873</v>
      </c>
      <c r="T50" s="14" t="s">
        <v>2071</v>
      </c>
      <c r="AC50" t="s">
        <v>131</v>
      </c>
      <c r="AD50" s="43" cm="1">
        <f t="array" ref="AD50">IF(COUNTIFS(AC$2:AC50,AC50)=1,"1",VALUE(SUBSTITUTE(INDEX(AD:AD,_xlfn.XMATCH(AC50,AC$1:AC49,0,-1)),"A",""))+INDEX(AE:AE,_xlfn.XMATCH(AC50,AC$1:AC49,0,-1))+1)</f>
        <v>10</v>
      </c>
      <c r="AE50" s="43" cm="1">
        <f t="array" ref="AE50">SUM(IF(ISNUMBER(FIND("TmDi",$BE$1:$AAL$1)),IF(IFERROR(ISNUMBER(VALUE(SUBSTITUTE($BE50:$AAL50,"B",""))),FALSE),IF(ISNUMBER(VALUE(SUBSTITUTE($BE50:$AAL50,"B",""))),1,0),0)))</f>
        <v>0</v>
      </c>
      <c r="AF50" t="str">
        <f t="shared" ref="AF50" si="249">CONCATENATE("C",$AD50)</f>
        <v>C10</v>
      </c>
      <c r="AG50" t="str">
        <f t="shared" ref="AG50" si="250">CONCATENATE("B",$AD50)</f>
        <v>B10</v>
      </c>
      <c r="AP50" t="s">
        <v>2077</v>
      </c>
      <c r="AT50" t="s">
        <v>854</v>
      </c>
      <c r="AU50" t="s">
        <v>1399</v>
      </c>
      <c r="LY50" s="27" t="str">
        <f t="shared" ref="LY50" si="251">CONCATENATE("DI",REPLACE($AC50,1,3,""),"-",$AF50)</f>
        <v>DI1-C10</v>
      </c>
      <c r="MA50" t="s">
        <v>2277</v>
      </c>
      <c r="MB50" t="s">
        <v>2278</v>
      </c>
      <c r="MC50">
        <v>11</v>
      </c>
      <c r="MD50">
        <v>14</v>
      </c>
      <c r="ME50" t="s">
        <v>142</v>
      </c>
      <c r="MF50" t="s">
        <v>143</v>
      </c>
      <c r="MG50" t="s">
        <v>488</v>
      </c>
      <c r="MH50" t="s">
        <v>487</v>
      </c>
      <c r="MI50" t="s">
        <v>414</v>
      </c>
      <c r="MJ50" t="s">
        <v>413</v>
      </c>
      <c r="MQ50">
        <v>1</v>
      </c>
      <c r="MR50" s="16">
        <v>2</v>
      </c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9AB05732-8CDF-4498-BEB9-1BCA58682F96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92381913-483E-455D-A820-02450A2954D7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53ECD390-04CF-42BC-872B-272C913C40E2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C91D07E6-D237-4353-8AFD-0D74BE60AA18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7CEFB35B-0E34-4CC6-8B32-E3BC7CD4D381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37D37CA1-575F-42DA-B21E-1D6F82CE8201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8444EFD7-C7FE-4B16-8818-8101559FC557}"/>
    </customSheetView>
  </customSheetViews>
  <phoneticPr fontId="3" type="noConversion"/>
  <conditionalFormatting sqref="A1">
    <cfRule type="duplicateValues" dxfId="25" priority="129"/>
  </conditionalFormatting>
  <conditionalFormatting sqref="A1:A1048576">
    <cfRule type="duplicateValues" dxfId="24" priority="130"/>
  </conditionalFormatting>
  <conditionalFormatting sqref="B4:B15 B1 B18:B31 B34:B1048576">
    <cfRule type="duplicateValues" dxfId="23" priority="51"/>
  </conditionalFormatting>
  <conditionalFormatting sqref="V4:V15 V1:W3 V16:W17 V18:V31 V32:W1048576">
    <cfRule type="duplicateValues" dxfId="22" priority="37"/>
  </conditionalFormatting>
  <conditionalFormatting sqref="V16:V17 V1:V3 V32:V1048576">
    <cfRule type="duplicateValues" dxfId="21" priority="39"/>
  </conditionalFormatting>
  <conditionalFormatting sqref="Y1:Y1048576">
    <cfRule type="cellIs" dxfId="20" priority="6" operator="greaterThan">
      <formula>8</formula>
    </cfRule>
    <cfRule type="cellIs" dxfId="19" priority="38" operator="equal">
      <formula>"Y:Y+Z:Z&gt;8"</formula>
    </cfRule>
  </conditionalFormatting>
  <conditionalFormatting sqref="AD1">
    <cfRule type="cellIs" dxfId="18" priority="36" operator="equal">
      <formula>"Y:Y+Z:Z&gt;8"</formula>
    </cfRule>
  </conditionalFormatting>
  <conditionalFormatting sqref="AD34:AD50">
    <cfRule type="cellIs" dxfId="17" priority="1" operator="equal">
      <formula>"Y:Y+Z:Z&gt;8"</formula>
    </cfRule>
  </conditionalFormatting>
  <conditionalFormatting sqref="AI1">
    <cfRule type="cellIs" dxfId="16" priority="33" operator="equal">
      <formula>"Y:Y+Z:Z&gt;8"</formula>
    </cfRule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" sqref="C2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2009</v>
      </c>
      <c r="C27" t="s">
        <v>2017</v>
      </c>
      <c r="D27" t="s">
        <v>974</v>
      </c>
      <c r="E27" t="s">
        <v>1781</v>
      </c>
    </row>
    <row r="28" spans="1:5" x14ac:dyDescent="0.25">
      <c r="A28" t="s">
        <v>1917</v>
      </c>
      <c r="B28" t="s">
        <v>2013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B29" t="s">
        <v>2010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2014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2011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2015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2012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2016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B37" t="s">
        <v>968</v>
      </c>
      <c r="C37" t="s">
        <v>969</v>
      </c>
      <c r="D37" t="s">
        <v>1922</v>
      </c>
    </row>
    <row r="38" spans="1:5" x14ac:dyDescent="0.25">
      <c r="A38" t="s">
        <v>974</v>
      </c>
      <c r="B38" t="s">
        <v>976</v>
      </c>
      <c r="C38" t="s">
        <v>969</v>
      </c>
      <c r="D38" t="s">
        <v>1923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2025-09-01T03:29:33Z</dcterms:modified>
</cp:coreProperties>
</file>