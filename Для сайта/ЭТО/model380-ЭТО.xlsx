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Для сайта\ЭТО\"/>
    </mc:Choice>
  </mc:AlternateContent>
  <xr:revisionPtr revIDLastSave="0" documentId="13_ncr:1_{0F56F73B-2887-412C-BA0A-26005634728F}" xr6:coauthVersionLast="47" xr6:coauthVersionMax="47" xr10:uidLastSave="{00000000-0000-0000-0000-000000000000}"/>
  <bookViews>
    <workbookView xWindow="-120" yWindow="-120" windowWidth="29040" windowHeight="15840" tabRatio="688" xr2:uid="{00000000-000D-0000-FFFF-FFFF00000000}"/>
  </bookViews>
  <sheets>
    <sheet name="Лист1" sheetId="1" r:id="rId1"/>
    <sheet name="250630" sheetId="5" r:id="rId2"/>
    <sheet name="250620" sheetId="4" r:id="rId3"/>
    <sheet name="Кабеля между шкафами" sheetId="2" r:id="rId4"/>
  </sheets>
  <definedNames>
    <definedName name="_xlnm._FilterDatabase" localSheetId="2" hidden="1">'250620'!$P$1:$P$224</definedName>
    <definedName name="_xlnm._FilterDatabase" localSheetId="1" hidden="1">'250630'!$P$1:$P$294</definedName>
    <definedName name="_xlnm._FilterDatabase" localSheetId="0" hidden="1">Лист1!$P$1:$P$1</definedName>
    <definedName name="Z_2AA7760F_427D_46EA_9E7F_EB5415B3542C_.wvu.Cols" localSheetId="2" hidden="1">'250620'!$D:$O,'250620'!$Q:$S,'250620'!$W:$W,'250620'!$AC:$AK,'250620'!$AM:$AN,'250620'!$AP:$AQ,'250620'!$AU:$JU</definedName>
    <definedName name="Z_2AA7760F_427D_46EA_9E7F_EB5415B3542C_.wvu.Cols" localSheetId="1" hidden="1">'250630'!$D:$O,'250630'!$Q:$S,'250630'!$W:$W,'250630'!$AC:$AO,'250630'!$AQ:$AR,'250630'!$AT:$AU,'250630'!$AY:$JY</definedName>
    <definedName name="Z_2AA7760F_427D_46EA_9E7F_EB5415B3542C_.wvu.Cols" localSheetId="0" hidden="1">Лист1!$D:$O,Лист1!$Q:$S,Лист1!$W:$W,Лист1!$AC:$AO,Лист1!$AQ:$AR,Лист1!$AT:$AU,Лист1!$AY:$JY</definedName>
    <definedName name="Z_2AA7760F_427D_46EA_9E7F_EB5415B3542C_.wvu.FilterData" localSheetId="2" hidden="1">'250620'!$P$1:$P$152</definedName>
    <definedName name="Z_2AA7760F_427D_46EA_9E7F_EB5415B3542C_.wvu.FilterData" localSheetId="1" hidden="1">'250630'!$P$1:$P$152</definedName>
    <definedName name="Z_2AA7760F_427D_46EA_9E7F_EB5415B3542C_.wvu.FilterData" localSheetId="0" hidden="1">Лист1!$P$1:$P$1</definedName>
    <definedName name="Z_6000112E_A5E6_4231_BD98_47DC722AA734_.wvu.Cols" localSheetId="2" hidden="1">'250620'!$D:$O,'250620'!$Q:$S,'250620'!$W:$AB,'250620'!$AF:$AK,'250620'!$AM:$AO,'250620'!$AQ:$AQ,'250620'!$AU:$KO</definedName>
    <definedName name="Z_6000112E_A5E6_4231_BD98_47DC722AA734_.wvu.Cols" localSheetId="1" hidden="1">'250630'!$D:$O,'250630'!$Q:$S,'250630'!$W:$AB,'250630'!$AH:$AO,'250630'!$AQ:$AS,'250630'!$AU:$AU,'250630'!$AY:$KS</definedName>
    <definedName name="Z_6000112E_A5E6_4231_BD98_47DC722AA734_.wvu.Cols" localSheetId="0" hidden="1">Лист1!$D:$O,Лист1!$Q:$S,Лист1!$W:$AB,Лист1!$AH:$AO,Лист1!$AQ:$AS,Лист1!$AU:$AU,Лист1!$AY:$KS</definedName>
    <definedName name="Z_6000112E_A5E6_4231_BD98_47DC722AA734_.wvu.FilterData" localSheetId="2" hidden="1">'250620'!$P$1:$P$186</definedName>
    <definedName name="Z_6000112E_A5E6_4231_BD98_47DC722AA734_.wvu.FilterData" localSheetId="1" hidden="1">'250630'!$P$1:$P$186</definedName>
    <definedName name="Z_6000112E_A5E6_4231_BD98_47DC722AA734_.wvu.FilterData" localSheetId="0" hidden="1">Лист1!$P$1:$P$1</definedName>
    <definedName name="Z_7FEA431A_A608_4A51_A317_26884A517696_.wvu.Cols" localSheetId="2" hidden="1">'250620'!$D:$O,'250620'!$Q:$S,'250620'!$W:$W,'250620'!$AC:$AK,'250620'!$AN:$AN,'250620'!$AP:$AQ,'250620'!$AU:$LI</definedName>
    <definedName name="Z_7FEA431A_A608_4A51_A317_26884A517696_.wvu.Cols" localSheetId="1" hidden="1">'250630'!$D:$O,'250630'!$Q:$S,'250630'!$W:$W,'250630'!$AC:$AO,'250630'!$AR:$AR,'250630'!$AT:$AU,'250630'!$AY:$LM</definedName>
    <definedName name="Z_7FEA431A_A608_4A51_A317_26884A517696_.wvu.Cols" localSheetId="0" hidden="1">Лист1!$D:$O,Лист1!$Q:$S,Лист1!$W:$W,Лист1!$AC:$AO,Лист1!$AR:$AR,Лист1!$AT:$AU,Лист1!$AY:$LM</definedName>
    <definedName name="Z_7FEA431A_A608_4A51_A317_26884A517696_.wvu.FilterData" localSheetId="2" hidden="1">'250620'!$P$1:$P$186</definedName>
    <definedName name="Z_7FEA431A_A608_4A51_A317_26884A517696_.wvu.FilterData" localSheetId="1" hidden="1">'250630'!$P$1:$P$186</definedName>
    <definedName name="Z_7FEA431A_A608_4A51_A317_26884A517696_.wvu.FilterData" localSheetId="0" hidden="1">Лист1!$P$1:$P$1</definedName>
    <definedName name="Z_9CAC7FA4_7183_4976_BDEB_B1D0832FBE64_.wvu.Cols" localSheetId="2" hidden="1">'250620'!$D:$O,'250620'!$Q:$S</definedName>
    <definedName name="Z_9CAC7FA4_7183_4976_BDEB_B1D0832FBE64_.wvu.Cols" localSheetId="1" hidden="1">'250630'!$D:$O,'250630'!$Q:$S</definedName>
    <definedName name="Z_9CAC7FA4_7183_4976_BDEB_B1D0832FBE64_.wvu.Cols" localSheetId="0" hidden="1">Лист1!$D:$O,Лист1!$Q:$S</definedName>
    <definedName name="Z_9CAC7FA4_7183_4976_BDEB_B1D0832FBE64_.wvu.FilterData" localSheetId="2" hidden="1">'250620'!$P$1:$P$186</definedName>
    <definedName name="Z_9CAC7FA4_7183_4976_BDEB_B1D0832FBE64_.wvu.FilterData" localSheetId="1" hidden="1">'250630'!$P$1:$P$186</definedName>
    <definedName name="Z_9CAC7FA4_7183_4976_BDEB_B1D0832FBE64_.wvu.FilterData" localSheetId="0" hidden="1">Лист1!$P$1:$P$1</definedName>
    <definedName name="Z_A7A1A132_6B40_4748_B234_5C4C7FE3C00A_.wvu.Cols" localSheetId="2" hidden="1">'250620'!$C:$O,'250620'!$Q:$S,'250620'!$AR:$AT,'250620'!$BA:$EM</definedName>
    <definedName name="Z_A7A1A132_6B40_4748_B234_5C4C7FE3C00A_.wvu.Cols" localSheetId="1" hidden="1">'250630'!$C:$O,'250630'!$Q:$S,'250630'!$AV:$AX,'250630'!$BE:$EQ</definedName>
    <definedName name="Z_A7A1A132_6B40_4748_B234_5C4C7FE3C00A_.wvu.Cols" localSheetId="0" hidden="1">Лист1!$C:$O,Лист1!$Q:$S,Лист1!$AV:$AX,Лист1!$BE:$EQ</definedName>
    <definedName name="Z_A7A1A132_6B40_4748_B234_5C4C7FE3C00A_.wvu.FilterData" localSheetId="2" hidden="1">'250620'!$P$1:$P$42</definedName>
    <definedName name="Z_A7A1A132_6B40_4748_B234_5C4C7FE3C00A_.wvu.FilterData" localSheetId="1" hidden="1">'250630'!$P$1:$P$42</definedName>
    <definedName name="Z_A7A1A132_6B40_4748_B234_5C4C7FE3C00A_.wvu.FilterData" localSheetId="0" hidden="1">Лист1!$P$1:$P$1</definedName>
    <definedName name="Z_C835B057_266C_4AD9_BD8A_E692A165D221_.wvu.Cols" localSheetId="2" hidden="1">'250620'!$C:$O,'250620'!$Q:$S,'250620'!$AJ:$AK,'250620'!$AN:$AN,'250620'!$AU:$AZ</definedName>
    <definedName name="Z_C835B057_266C_4AD9_BD8A_E692A165D221_.wvu.Cols" localSheetId="1" hidden="1">'250630'!$C:$O,'250630'!$Q:$S,'250630'!$AN:$AO,'250630'!$AR:$AR,'250630'!$AY:$BD</definedName>
    <definedName name="Z_C835B057_266C_4AD9_BD8A_E692A165D221_.wvu.Cols" localSheetId="0" hidden="1">Лист1!$C:$O,Лист1!$Q:$S,Лист1!$AN:$AO,Лист1!$AR:$AR,Лист1!$AY:$BD</definedName>
    <definedName name="Z_C835B057_266C_4AD9_BD8A_E692A165D221_.wvu.FilterData" localSheetId="2" hidden="1">'250620'!$P$1:$P$42</definedName>
    <definedName name="Z_C835B057_266C_4AD9_BD8A_E692A165D221_.wvu.FilterData" localSheetId="1" hidden="1">'250630'!$P$1:$P$42</definedName>
    <definedName name="Z_C835B057_266C_4AD9_BD8A_E692A165D221_.wvu.FilterData" localSheetId="0" hidden="1">Лист1!$P$1:$P$1</definedName>
    <definedName name="Z_FF0A9AC6_3E8C_4AE0_B1AB_88458BDDC2AD_.wvu.Cols" localSheetId="2" hidden="1">'250620'!$C:$O,'250620'!$Q:$S,'250620'!$AJ:$AK,'250620'!$AN:$AN,'250620'!$AR:$AT,'250620'!$BA:$GO</definedName>
    <definedName name="Z_FF0A9AC6_3E8C_4AE0_B1AB_88458BDDC2AD_.wvu.Cols" localSheetId="1" hidden="1">'250630'!$C:$O,'250630'!$Q:$S,'250630'!$AN:$AO,'250630'!$AR:$AR,'250630'!$AV:$AX,'250630'!$BE:$GS</definedName>
    <definedName name="Z_FF0A9AC6_3E8C_4AE0_B1AB_88458BDDC2AD_.wvu.Cols" localSheetId="0" hidden="1">Лист1!$C:$O,Лист1!$Q:$S,Лист1!$AN:$AO,Лист1!$AR:$AR,Лист1!$AV:$AX,Лист1!$BE:$GS</definedName>
    <definedName name="Z_FF0A9AC6_3E8C_4AE0_B1AB_88458BDDC2AD_.wvu.FilterData" localSheetId="2" hidden="1">'250620'!$P$1:$P$44</definedName>
    <definedName name="Z_FF0A9AC6_3E8C_4AE0_B1AB_88458BDDC2AD_.wvu.FilterData" localSheetId="1" hidden="1">'250630'!$P$1:$P$44</definedName>
    <definedName name="Z_FF0A9AC6_3E8C_4AE0_B1AB_88458BDDC2AD_.wvu.FilterData" localSheetId="0" hidden="1">Лист1!$P$1:$P$1</definedName>
  </definedNames>
  <calcPr calcId="191029"/>
  <customWorkbookViews>
    <customWorkbookView name="Общий" guid="{9CAC7FA4-7183-4976-BDEB-B1D0832FBE64}" maximized="1" xWindow="-8" yWindow="-8" windowWidth="1936" windowHeight="1056" activeSheetId="1"/>
    <customWorkbookView name="se0009" guid="{7FEA431A-A608-4A51-A317-26884A517696}" maximized="1" xWindow="-8" yWindow="-8" windowWidth="1936" windowHeight="1056" activeSheetId="1"/>
    <customWorkbookView name="se0008" guid="{6000112E-A5E6-4231-BD98-47DC722AA734}" maximized="1" xWindow="-8" yWindow="-8" windowWidth="1936" windowHeight="1056" activeSheetId="1"/>
    <customWorkbookView name="se0005,6,7" guid="{2AA7760F-427D-46EA-9E7F-EB5415B3542C}" maximized="1" xWindow="-8" yWindow="-8" windowWidth="1936" windowHeight="1056" activeSheetId="1"/>
    <customWorkbookView name="se0003" guid="{A7A1A132-6B40-4748-B234-5C4C7FE3C00A}" maximized="1" xWindow="-8" yWindow="-8" windowWidth="1936" windowHeight="1056" activeSheetId="1"/>
    <customWorkbookView name="se0001, se0002" guid="{C835B057-266C-4AD9-BD8A-E692A165D221}" maximized="1" xWindow="-8" yWindow="-8" windowWidth="1936" windowHeight="1056" activeSheetId="1"/>
    <customWorkbookView name="se0004" guid="{FF0A9AC6-3E8C-4AE0-B1AB-88458BDDC2AD}" maximized="1" xWindow="-8" yWindow="-8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4" i="1" l="1" a="1"/>
  <c r="AJ44" i="1" s="1"/>
  <c r="AJ45" i="1" a="1"/>
  <c r="AJ45" i="1" s="1"/>
  <c r="AJ46" i="1" a="1"/>
  <c r="AJ46" i="1" s="1"/>
  <c r="AJ47" i="1" a="1"/>
  <c r="AJ47" i="1" s="1"/>
  <c r="AJ48" i="1" a="1"/>
  <c r="AJ48" i="1" s="1"/>
  <c r="AJ49" i="1" a="1"/>
  <c r="AJ49" i="1" s="1"/>
  <c r="AEJ45" i="1"/>
  <c r="AEJ46" i="1" s="1"/>
  <c r="AEJ47" i="1" s="1"/>
  <c r="AEJ48" i="1" s="1"/>
  <c r="AEJ49" i="1" s="1"/>
  <c r="AEJ44" i="1"/>
  <c r="AEI45" i="1"/>
  <c r="AEI46" i="1" s="1"/>
  <c r="AEI47" i="1" s="1"/>
  <c r="AEI48" i="1" s="1"/>
  <c r="AEI49" i="1" s="1"/>
  <c r="AEI44" i="1"/>
  <c r="AI43" i="1" a="1"/>
  <c r="AI43" i="1" s="1"/>
  <c r="AJ43" i="1" a="1"/>
  <c r="AJ43" i="1" s="1"/>
  <c r="MC36" i="1"/>
  <c r="MC37" i="1" s="1"/>
  <c r="MC38" i="1" s="1"/>
  <c r="MC39" i="1" s="1"/>
  <c r="MC40" i="1" s="1"/>
  <c r="MC41" i="1" s="1"/>
  <c r="MC42" i="1" s="1"/>
  <c r="MR35" i="1"/>
  <c r="MR36" i="1" s="1"/>
  <c r="MR37" i="1" s="1"/>
  <c r="MR38" i="1" s="1"/>
  <c r="MR39" i="1" s="1"/>
  <c r="MR40" i="1" s="1"/>
  <c r="MR41" i="1" s="1"/>
  <c r="MR42" i="1" s="1"/>
  <c r="MQ35" i="1"/>
  <c r="MQ36" i="1" s="1"/>
  <c r="MQ37" i="1" s="1"/>
  <c r="MQ38" i="1" s="1"/>
  <c r="MQ39" i="1" s="1"/>
  <c r="MQ40" i="1" s="1"/>
  <c r="MQ41" i="1" s="1"/>
  <c r="MQ42" i="1" s="1"/>
  <c r="MJ35" i="1"/>
  <c r="MJ36" i="1" s="1"/>
  <c r="MJ37" i="1" s="1"/>
  <c r="MJ38" i="1" s="1"/>
  <c r="MJ39" i="1" s="1"/>
  <c r="MJ40" i="1" s="1"/>
  <c r="MJ41" i="1" s="1"/>
  <c r="MJ42" i="1" s="1"/>
  <c r="MI35" i="1"/>
  <c r="MI36" i="1" s="1"/>
  <c r="MI37" i="1" s="1"/>
  <c r="MI38" i="1" s="1"/>
  <c r="MI39" i="1" s="1"/>
  <c r="MI40" i="1" s="1"/>
  <c r="MI41" i="1" s="1"/>
  <c r="MI42" i="1" s="1"/>
  <c r="MH35" i="1"/>
  <c r="MH36" i="1" s="1"/>
  <c r="MH37" i="1" s="1"/>
  <c r="MH38" i="1" s="1"/>
  <c r="MH39" i="1" s="1"/>
  <c r="MH40" i="1" s="1"/>
  <c r="MH41" i="1" s="1"/>
  <c r="MH42" i="1" s="1"/>
  <c r="MG35" i="1"/>
  <c r="MG36" i="1" s="1"/>
  <c r="MG37" i="1" s="1"/>
  <c r="MG38" i="1" s="1"/>
  <c r="MG39" i="1" s="1"/>
  <c r="MG40" i="1" s="1"/>
  <c r="MG41" i="1" s="1"/>
  <c r="MG42" i="1" s="1"/>
  <c r="MF35" i="1"/>
  <c r="MF36" i="1" s="1"/>
  <c r="MF37" i="1" s="1"/>
  <c r="MF38" i="1" s="1"/>
  <c r="MF39" i="1" s="1"/>
  <c r="MF40" i="1" s="1"/>
  <c r="MF41" i="1" s="1"/>
  <c r="MF42" i="1" s="1"/>
  <c r="ME35" i="1"/>
  <c r="ME36" i="1" s="1"/>
  <c r="ME37" i="1" s="1"/>
  <c r="ME38" i="1" s="1"/>
  <c r="ME39" i="1" s="1"/>
  <c r="ME40" i="1" s="1"/>
  <c r="ME41" i="1" s="1"/>
  <c r="ME42" i="1" s="1"/>
  <c r="MD35" i="1"/>
  <c r="MD36" i="1" s="1"/>
  <c r="MD37" i="1" s="1"/>
  <c r="MD38" i="1" s="1"/>
  <c r="MD39" i="1" s="1"/>
  <c r="MD40" i="1" s="1"/>
  <c r="MD41" i="1" s="1"/>
  <c r="MD42" i="1" s="1"/>
  <c r="MC35" i="1"/>
  <c r="AG34" i="1"/>
  <c r="AF34" i="1"/>
  <c r="LY34" i="1" s="1"/>
  <c r="AE34" i="1" s="1" a="1"/>
  <c r="AE34" i="1" s="1"/>
  <c r="AC35" i="1" s="1"/>
  <c r="RW33" i="1"/>
  <c r="RX33" i="1" s="1"/>
  <c r="RY33" i="1" s="1"/>
  <c r="RZ33" i="1" s="1"/>
  <c r="SA33" i="1" s="1"/>
  <c r="SB33" i="1" s="1"/>
  <c r="SC33" i="1" s="1"/>
  <c r="SD33" i="1" s="1"/>
  <c r="SE33" i="1" s="1"/>
  <c r="SF33" i="1" s="1"/>
  <c r="SG33" i="1" s="1"/>
  <c r="SH33" i="1" s="1"/>
  <c r="SI33" i="1" s="1"/>
  <c r="SJ33" i="1" s="1"/>
  <c r="SK33" i="1" s="1"/>
  <c r="SL33" i="1" s="1"/>
  <c r="SM33" i="1" s="1"/>
  <c r="SN33" i="1" s="1"/>
  <c r="SO33" i="1" s="1"/>
  <c r="SP33" i="1" s="1"/>
  <c r="SQ33" i="1" s="1"/>
  <c r="SR33" i="1" s="1"/>
  <c r="RU33" i="1"/>
  <c r="QN33" i="1"/>
  <c r="QP33" i="1" s="1"/>
  <c r="QR33" i="1" s="1"/>
  <c r="QT33" i="1" s="1"/>
  <c r="QM33" i="1"/>
  <c r="QO33" i="1" s="1"/>
  <c r="QQ33" i="1" s="1"/>
  <c r="QS33" i="1" s="1"/>
  <c r="PZ33" i="1"/>
  <c r="RW32" i="1"/>
  <c r="RX32" i="1" s="1"/>
  <c r="RY32" i="1" s="1"/>
  <c r="RZ32" i="1" s="1"/>
  <c r="SA32" i="1" s="1"/>
  <c r="SB32" i="1" s="1"/>
  <c r="SC32" i="1" s="1"/>
  <c r="SD32" i="1" s="1"/>
  <c r="SE32" i="1" s="1"/>
  <c r="SF32" i="1" s="1"/>
  <c r="SG32" i="1" s="1"/>
  <c r="SH32" i="1" s="1"/>
  <c r="SI32" i="1" s="1"/>
  <c r="SJ32" i="1" s="1"/>
  <c r="SK32" i="1" s="1"/>
  <c r="SL32" i="1" s="1"/>
  <c r="SM32" i="1" s="1"/>
  <c r="SN32" i="1" s="1"/>
  <c r="SO32" i="1" s="1"/>
  <c r="SP32" i="1" s="1"/>
  <c r="SQ32" i="1" s="1"/>
  <c r="SR32" i="1" s="1"/>
  <c r="RU32" i="1"/>
  <c r="QN32" i="1"/>
  <c r="QP32" i="1" s="1"/>
  <c r="QR32" i="1" s="1"/>
  <c r="QT32" i="1" s="1"/>
  <c r="QM32" i="1"/>
  <c r="QO32" i="1" s="1"/>
  <c r="QQ32" i="1" s="1"/>
  <c r="QS32" i="1" s="1"/>
  <c r="PZ32" i="1"/>
  <c r="ADY31" i="1"/>
  <c r="ADY30" i="1"/>
  <c r="ADY29" i="1"/>
  <c r="ADY28" i="1"/>
  <c r="ADY27" i="1"/>
  <c r="ADY26" i="1"/>
  <c r="ADY25" i="1"/>
  <c r="ADY24" i="1"/>
  <c r="ADY23" i="1"/>
  <c r="ADY22" i="1"/>
  <c r="ADY21" i="1"/>
  <c r="ADY20" i="1"/>
  <c r="ADY19" i="1"/>
  <c r="ADY18" i="1"/>
  <c r="RW17" i="1"/>
  <c r="RX17" i="1" s="1"/>
  <c r="RY17" i="1" s="1"/>
  <c r="RZ17" i="1" s="1"/>
  <c r="SA17" i="1" s="1"/>
  <c r="SB17" i="1" s="1"/>
  <c r="SC17" i="1" s="1"/>
  <c r="SD17" i="1" s="1"/>
  <c r="SE17" i="1" s="1"/>
  <c r="SF17" i="1" s="1"/>
  <c r="SG17" i="1" s="1"/>
  <c r="SH17" i="1" s="1"/>
  <c r="SI17" i="1" s="1"/>
  <c r="SJ17" i="1" s="1"/>
  <c r="SK17" i="1" s="1"/>
  <c r="SL17" i="1" s="1"/>
  <c r="SM17" i="1" s="1"/>
  <c r="SN17" i="1" s="1"/>
  <c r="SO17" i="1" s="1"/>
  <c r="SP17" i="1" s="1"/>
  <c r="SQ17" i="1" s="1"/>
  <c r="SR17" i="1" s="1"/>
  <c r="RU17" i="1"/>
  <c r="QN17" i="1"/>
  <c r="QP17" i="1" s="1"/>
  <c r="QR17" i="1" s="1"/>
  <c r="QT17" i="1" s="1"/>
  <c r="QM17" i="1"/>
  <c r="QO17" i="1" s="1"/>
  <c r="QQ17" i="1" s="1"/>
  <c r="QS17" i="1" s="1"/>
  <c r="PZ17" i="1"/>
  <c r="RW16" i="1"/>
  <c r="RX16" i="1" s="1"/>
  <c r="RY16" i="1" s="1"/>
  <c r="RZ16" i="1" s="1"/>
  <c r="SA16" i="1" s="1"/>
  <c r="SB16" i="1" s="1"/>
  <c r="SC16" i="1" s="1"/>
  <c r="SD16" i="1" s="1"/>
  <c r="SE16" i="1" s="1"/>
  <c r="SF16" i="1" s="1"/>
  <c r="SG16" i="1" s="1"/>
  <c r="SH16" i="1" s="1"/>
  <c r="SI16" i="1" s="1"/>
  <c r="SJ16" i="1" s="1"/>
  <c r="SK16" i="1" s="1"/>
  <c r="SL16" i="1" s="1"/>
  <c r="SM16" i="1" s="1"/>
  <c r="SN16" i="1" s="1"/>
  <c r="SO16" i="1" s="1"/>
  <c r="SP16" i="1" s="1"/>
  <c r="SQ16" i="1" s="1"/>
  <c r="SR16" i="1" s="1"/>
  <c r="RU16" i="1"/>
  <c r="QN16" i="1"/>
  <c r="QP16" i="1" s="1"/>
  <c r="QR16" i="1" s="1"/>
  <c r="QT16" i="1" s="1"/>
  <c r="QM16" i="1"/>
  <c r="QO16" i="1" s="1"/>
  <c r="QQ16" i="1" s="1"/>
  <c r="QS16" i="1" s="1"/>
  <c r="PZ16" i="1"/>
  <c r="ADY5" i="1"/>
  <c r="ADY6" i="1"/>
  <c r="ADY7" i="1"/>
  <c r="ADY8" i="1"/>
  <c r="ADY9" i="1"/>
  <c r="ADY10" i="1"/>
  <c r="ADY11" i="1"/>
  <c r="ADY12" i="1"/>
  <c r="ADY13" i="1"/>
  <c r="ADY14" i="1"/>
  <c r="ADY15" i="1"/>
  <c r="ADY4" i="1"/>
  <c r="PZ3" i="1"/>
  <c r="RW3" i="1"/>
  <c r="RX3" i="1" s="1"/>
  <c r="RY3" i="1" s="1"/>
  <c r="RZ3" i="1" s="1"/>
  <c r="SA3" i="1" s="1"/>
  <c r="SB3" i="1" s="1"/>
  <c r="SC3" i="1" s="1"/>
  <c r="SD3" i="1" s="1"/>
  <c r="SE3" i="1" s="1"/>
  <c r="SF3" i="1" s="1"/>
  <c r="SG3" i="1" s="1"/>
  <c r="SH3" i="1" s="1"/>
  <c r="SI3" i="1" s="1"/>
  <c r="SJ3" i="1" s="1"/>
  <c r="SK3" i="1" s="1"/>
  <c r="SL3" i="1" s="1"/>
  <c r="SM3" i="1" s="1"/>
  <c r="SN3" i="1" s="1"/>
  <c r="SO3" i="1" s="1"/>
  <c r="SP3" i="1" s="1"/>
  <c r="SQ3" i="1" s="1"/>
  <c r="SR3" i="1" s="1"/>
  <c r="RU3" i="1"/>
  <c r="QN3" i="1"/>
  <c r="QP3" i="1" s="1"/>
  <c r="QR3" i="1" s="1"/>
  <c r="QT3" i="1" s="1"/>
  <c r="QM3" i="1"/>
  <c r="QO3" i="1" s="1"/>
  <c r="QQ3" i="1" s="1"/>
  <c r="QS3" i="1" s="1"/>
  <c r="Y2" i="1" a="1"/>
  <c r="Y2" i="1" s="1"/>
  <c r="RW2" i="1"/>
  <c r="RX2" i="1" s="1"/>
  <c r="RY2" i="1" s="1"/>
  <c r="RZ2" i="1" s="1"/>
  <c r="SA2" i="1" s="1"/>
  <c r="SB2" i="1" s="1"/>
  <c r="SC2" i="1" s="1"/>
  <c r="SD2" i="1" s="1"/>
  <c r="SE2" i="1" s="1"/>
  <c r="SF2" i="1" s="1"/>
  <c r="SG2" i="1" s="1"/>
  <c r="SH2" i="1" s="1"/>
  <c r="SI2" i="1" s="1"/>
  <c r="SJ2" i="1" s="1"/>
  <c r="SK2" i="1" s="1"/>
  <c r="SL2" i="1" s="1"/>
  <c r="SM2" i="1" s="1"/>
  <c r="SN2" i="1" s="1"/>
  <c r="SO2" i="1" s="1"/>
  <c r="SP2" i="1" s="1"/>
  <c r="SQ2" i="1" s="1"/>
  <c r="SR2" i="1" s="1"/>
  <c r="RU2" i="1"/>
  <c r="QN2" i="1"/>
  <c r="QP2" i="1" s="1"/>
  <c r="QR2" i="1" s="1"/>
  <c r="QT2" i="1" s="1"/>
  <c r="QM2" i="1"/>
  <c r="QO2" i="1" s="1"/>
  <c r="QQ2" i="1" s="1"/>
  <c r="QS2" i="1" s="1"/>
  <c r="AH44" i="1" l="1"/>
  <c r="AI44" i="1" a="1"/>
  <c r="AI44" i="1" s="1"/>
  <c r="RQ33" i="1"/>
  <c r="RO32" i="1"/>
  <c r="RP32" i="1"/>
  <c r="RR33" i="1"/>
  <c r="RQ32" i="1"/>
  <c r="RR32" i="1"/>
  <c r="RI33" i="1"/>
  <c r="RJ33" i="1"/>
  <c r="RI32" i="1"/>
  <c r="RK33" i="1"/>
  <c r="RJ32" i="1"/>
  <c r="RL33" i="1"/>
  <c r="RK32" i="1"/>
  <c r="RM33" i="1"/>
  <c r="RN33" i="1"/>
  <c r="RM32" i="1"/>
  <c r="RO33" i="1"/>
  <c r="RL32" i="1"/>
  <c r="RN32" i="1"/>
  <c r="RP33" i="1"/>
  <c r="RQ17" i="1"/>
  <c r="RO16" i="1"/>
  <c r="RP16" i="1"/>
  <c r="RR17" i="1"/>
  <c r="RQ16" i="1"/>
  <c r="RI17" i="1"/>
  <c r="RJ17" i="1"/>
  <c r="RI16" i="1"/>
  <c r="RK17" i="1"/>
  <c r="RJ16" i="1"/>
  <c r="RL17" i="1"/>
  <c r="RR16" i="1"/>
  <c r="RK16" i="1"/>
  <c r="RM17" i="1"/>
  <c r="RN17" i="1"/>
  <c r="RL16" i="1"/>
  <c r="RM16" i="1"/>
  <c r="RO17" i="1"/>
  <c r="RN16" i="1"/>
  <c r="RP17" i="1"/>
  <c r="RQ3" i="1"/>
  <c r="RI3" i="1"/>
  <c r="RK3" i="1"/>
  <c r="RR3" i="1"/>
  <c r="RJ3" i="1"/>
  <c r="RL3" i="1"/>
  <c r="RM3" i="1"/>
  <c r="RN3" i="1"/>
  <c r="RO3" i="1"/>
  <c r="RP3" i="1"/>
  <c r="PZ2" i="1"/>
  <c r="AK44" i="1" l="1"/>
  <c r="AEB44" i="1" s="1"/>
  <c r="AH45" i="1"/>
  <c r="AI45" i="1" s="1" a="1"/>
  <c r="AI45" i="1" s="1"/>
  <c r="AK45" i="1" s="1"/>
  <c r="AEB45" i="1" s="1"/>
  <c r="AL44" i="1"/>
  <c r="AEC44" i="1" s="1"/>
  <c r="RK2" i="1"/>
  <c r="RR2" i="1"/>
  <c r="RQ2" i="1"/>
  <c r="RN2" i="1"/>
  <c r="RJ2" i="1"/>
  <c r="RP2" i="1"/>
  <c r="RO2" i="1"/>
  <c r="RI2" i="1"/>
  <c r="RM2" i="1"/>
  <c r="RL2" i="1"/>
  <c r="AL45" i="1" l="1"/>
  <c r="AEC45" i="1" s="1"/>
  <c r="AH46" i="1"/>
  <c r="AI46" i="1" s="1" a="1"/>
  <c r="AI46" i="1" s="1"/>
  <c r="AL46" i="1" l="1"/>
  <c r="AEC46" i="1" s="1"/>
  <c r="AH47" i="1"/>
  <c r="AI47" i="1" s="1" a="1"/>
  <c r="AI47" i="1" s="1"/>
  <c r="AK46" i="1"/>
  <c r="AEB46" i="1" s="1"/>
  <c r="AK47" i="1" l="1"/>
  <c r="AEB47" i="1" s="1"/>
  <c r="AH48" i="1"/>
  <c r="AI48" i="1" s="1" a="1"/>
  <c r="AI48" i="1" s="1"/>
  <c r="AL47" i="1"/>
  <c r="AEC47" i="1" s="1"/>
  <c r="AK48" i="1" l="1"/>
  <c r="AEB48" i="1" s="1"/>
  <c r="AH49" i="1"/>
  <c r="AI49" i="1" s="1" a="1"/>
  <c r="AI49" i="1" s="1"/>
  <c r="AL48" i="1"/>
  <c r="AEC48" i="1" s="1"/>
  <c r="AK49" i="1" l="1"/>
  <c r="AEB49" i="1" s="1"/>
  <c r="AL49" i="1"/>
  <c r="AEC49" i="1" s="1"/>
  <c r="JZ305" i="5"/>
  <c r="X305" i="5"/>
  <c r="KJ304" i="5"/>
  <c r="KK304" i="5" s="1"/>
  <c r="JZ304" i="5"/>
  <c r="Y304" i="5" a="1"/>
  <c r="Y304" i="5" s="1"/>
  <c r="TY303" i="5"/>
  <c r="V303" i="5"/>
  <c r="TY302" i="5"/>
  <c r="V302" i="5"/>
  <c r="TY301" i="5"/>
  <c r="V301" i="5"/>
  <c r="TY300" i="5"/>
  <c r="V300" i="5"/>
  <c r="TY299" i="5"/>
  <c r="V299" i="5"/>
  <c r="UA298" i="5"/>
  <c r="UB298" i="5" s="1"/>
  <c r="TZ298" i="5"/>
  <c r="TZ299" i="5" s="1"/>
  <c r="TY298" i="5"/>
  <c r="V298" i="5"/>
  <c r="UB297" i="5"/>
  <c r="UA297" i="5"/>
  <c r="TZ297" i="5"/>
  <c r="TY297" i="5"/>
  <c r="V297" i="5"/>
  <c r="UB296" i="5"/>
  <c r="UA296" i="5"/>
  <c r="TZ296" i="5"/>
  <c r="TY296" i="5"/>
  <c r="V296" i="5"/>
  <c r="UB295" i="5"/>
  <c r="UA295" i="5"/>
  <c r="TY295" i="5"/>
  <c r="V295" i="5"/>
  <c r="MO288" i="5"/>
  <c r="MO289" i="5" s="1"/>
  <c r="MO290" i="5" s="1"/>
  <c r="MO291" i="5" s="1"/>
  <c r="MO292" i="5" s="1"/>
  <c r="MO293" i="5" s="1"/>
  <c r="MO294" i="5" s="1"/>
  <c r="MH288" i="5"/>
  <c r="MH289" i="5" s="1"/>
  <c r="MH290" i="5" s="1"/>
  <c r="MH291" i="5" s="1"/>
  <c r="MH292" i="5" s="1"/>
  <c r="MH293" i="5" s="1"/>
  <c r="MH294" i="5" s="1"/>
  <c r="MD288" i="5"/>
  <c r="MD289" i="5" s="1"/>
  <c r="MD290" i="5" s="1"/>
  <c r="MD291" i="5" s="1"/>
  <c r="MD292" i="5" s="1"/>
  <c r="MD293" i="5" s="1"/>
  <c r="MD294" i="5" s="1"/>
  <c r="MB288" i="5"/>
  <c r="MB289" i="5" s="1"/>
  <c r="MB290" i="5" s="1"/>
  <c r="MB291" i="5" s="1"/>
  <c r="MB292" i="5" s="1"/>
  <c r="MB293" i="5" s="1"/>
  <c r="MB294" i="5" s="1"/>
  <c r="MA288" i="5"/>
  <c r="MA289" i="5" s="1"/>
  <c r="MA290" i="5" s="1"/>
  <c r="MA291" i="5" s="1"/>
  <c r="MA292" i="5" s="1"/>
  <c r="MA293" i="5" s="1"/>
  <c r="MA294" i="5" s="1"/>
  <c r="MP287" i="5"/>
  <c r="MP288" i="5" s="1"/>
  <c r="MP289" i="5" s="1"/>
  <c r="MP290" i="5" s="1"/>
  <c r="MP291" i="5" s="1"/>
  <c r="MP292" i="5" s="1"/>
  <c r="MP293" i="5" s="1"/>
  <c r="MP294" i="5" s="1"/>
  <c r="MO287" i="5"/>
  <c r="MH287" i="5"/>
  <c r="MG287" i="5"/>
  <c r="MG288" i="5" s="1"/>
  <c r="MG289" i="5" s="1"/>
  <c r="MG290" i="5" s="1"/>
  <c r="MG291" i="5" s="1"/>
  <c r="MG292" i="5" s="1"/>
  <c r="MG293" i="5" s="1"/>
  <c r="MG294" i="5" s="1"/>
  <c r="MF287" i="5"/>
  <c r="MF288" i="5" s="1"/>
  <c r="MF289" i="5" s="1"/>
  <c r="MF290" i="5" s="1"/>
  <c r="MF291" i="5" s="1"/>
  <c r="MF292" i="5" s="1"/>
  <c r="MF293" i="5" s="1"/>
  <c r="MF294" i="5" s="1"/>
  <c r="ME287" i="5"/>
  <c r="ME288" i="5" s="1"/>
  <c r="ME289" i="5" s="1"/>
  <c r="ME290" i="5" s="1"/>
  <c r="ME291" i="5" s="1"/>
  <c r="ME292" i="5" s="1"/>
  <c r="ME293" i="5" s="1"/>
  <c r="ME294" i="5" s="1"/>
  <c r="MD287" i="5"/>
  <c r="MC287" i="5"/>
  <c r="MC288" i="5" s="1"/>
  <c r="MC289" i="5" s="1"/>
  <c r="MC290" i="5" s="1"/>
  <c r="MC291" i="5" s="1"/>
  <c r="MC292" i="5" s="1"/>
  <c r="MC293" i="5" s="1"/>
  <c r="MC294" i="5" s="1"/>
  <c r="MB287" i="5"/>
  <c r="MA287" i="5"/>
  <c r="DH285" i="5"/>
  <c r="DG285" i="5"/>
  <c r="DF285" i="5"/>
  <c r="DE285" i="5"/>
  <c r="DD285" i="5"/>
  <c r="DC285" i="5"/>
  <c r="DB285" i="5"/>
  <c r="DA285" i="5"/>
  <c r="CZ285" i="5"/>
  <c r="CY285" i="5"/>
  <c r="CX285" i="5"/>
  <c r="CW285" i="5"/>
  <c r="CV285" i="5"/>
  <c r="CU285" i="5"/>
  <c r="CT285" i="5"/>
  <c r="CS285" i="5"/>
  <c r="CR285" i="5"/>
  <c r="CQ285" i="5"/>
  <c r="CP285" i="5"/>
  <c r="CO285" i="5"/>
  <c r="CN285" i="5"/>
  <c r="CM285" i="5"/>
  <c r="CL285" i="5"/>
  <c r="BR285" i="5"/>
  <c r="BQ285" i="5"/>
  <c r="BS285" i="5" s="1"/>
  <c r="BP285" i="5"/>
  <c r="BE285" i="5"/>
  <c r="DH284" i="5"/>
  <c r="DG284" i="5"/>
  <c r="DF284" i="5"/>
  <c r="DE284" i="5"/>
  <c r="DD284" i="5"/>
  <c r="DC284" i="5"/>
  <c r="DB284" i="5"/>
  <c r="DA284" i="5"/>
  <c r="CZ284" i="5"/>
  <c r="CY284" i="5"/>
  <c r="CX284" i="5"/>
  <c r="CW284" i="5"/>
  <c r="CV284" i="5"/>
  <c r="CU284" i="5"/>
  <c r="CT284" i="5"/>
  <c r="CS284" i="5"/>
  <c r="CR284" i="5"/>
  <c r="CQ284" i="5"/>
  <c r="CP284" i="5"/>
  <c r="CO284" i="5"/>
  <c r="CN284" i="5"/>
  <c r="CM284" i="5"/>
  <c r="CL284" i="5"/>
  <c r="BS284" i="5"/>
  <c r="BQ284" i="5"/>
  <c r="BP284" i="5"/>
  <c r="BR284" i="5" s="1"/>
  <c r="BE284" i="5"/>
  <c r="DH283" i="5"/>
  <c r="DG283" i="5"/>
  <c r="DF283" i="5"/>
  <c r="DE283" i="5"/>
  <c r="DD283" i="5"/>
  <c r="DC283" i="5"/>
  <c r="DB283" i="5"/>
  <c r="DA283" i="5"/>
  <c r="CZ283" i="5"/>
  <c r="CY283" i="5"/>
  <c r="CX283" i="5"/>
  <c r="CW283" i="5"/>
  <c r="CV283" i="5"/>
  <c r="CU283" i="5"/>
  <c r="CT283" i="5"/>
  <c r="CS283" i="5"/>
  <c r="CR283" i="5"/>
  <c r="CQ283" i="5"/>
  <c r="CP283" i="5"/>
  <c r="CO283" i="5"/>
  <c r="CN283" i="5"/>
  <c r="CM283" i="5"/>
  <c r="CL283" i="5"/>
  <c r="CI283" i="5"/>
  <c r="CH283" i="5"/>
  <c r="CG283" i="5"/>
  <c r="CF283" i="5"/>
  <c r="BS283" i="5"/>
  <c r="CK283" i="5" s="1"/>
  <c r="BQ283" i="5"/>
  <c r="BP283" i="5"/>
  <c r="BR283" i="5" s="1"/>
  <c r="CJ283" i="5" s="1"/>
  <c r="BE283" i="5"/>
  <c r="DH282" i="5"/>
  <c r="DG282" i="5"/>
  <c r="DF282" i="5"/>
  <c r="DE282" i="5"/>
  <c r="DD282" i="5"/>
  <c r="DC282" i="5"/>
  <c r="DB282" i="5"/>
  <c r="DA282" i="5"/>
  <c r="CZ282" i="5"/>
  <c r="CY282" i="5"/>
  <c r="CX282" i="5"/>
  <c r="CW282" i="5"/>
  <c r="CV282" i="5"/>
  <c r="CU282" i="5"/>
  <c r="CT282" i="5"/>
  <c r="CS282" i="5"/>
  <c r="CR282" i="5"/>
  <c r="CQ282" i="5"/>
  <c r="CP282" i="5"/>
  <c r="CO282" i="5"/>
  <c r="CN282" i="5"/>
  <c r="CM282" i="5"/>
  <c r="CL282" i="5"/>
  <c r="BE282" i="5"/>
  <c r="IQ281" i="5"/>
  <c r="IP281" i="5"/>
  <c r="IO281" i="5"/>
  <c r="IN281" i="5"/>
  <c r="IM281" i="5"/>
  <c r="IL281" i="5"/>
  <c r="IK281" i="5"/>
  <c r="IJ281" i="5"/>
  <c r="II281" i="5"/>
  <c r="IH281" i="5"/>
  <c r="IG281" i="5"/>
  <c r="IF281" i="5"/>
  <c r="IE281" i="5"/>
  <c r="ID281" i="5"/>
  <c r="IC281" i="5"/>
  <c r="IB281" i="5"/>
  <c r="IA281" i="5"/>
  <c r="HZ281" i="5"/>
  <c r="HY281" i="5"/>
  <c r="GT281" i="5"/>
  <c r="DH280" i="5"/>
  <c r="DG280" i="5"/>
  <c r="DF280" i="5"/>
  <c r="DE280" i="5"/>
  <c r="DD280" i="5"/>
  <c r="DC280" i="5"/>
  <c r="DB280" i="5"/>
  <c r="DA280" i="5"/>
  <c r="CZ280" i="5"/>
  <c r="CY280" i="5"/>
  <c r="CX280" i="5"/>
  <c r="CW280" i="5"/>
  <c r="CV280" i="5"/>
  <c r="CU280" i="5"/>
  <c r="CT280" i="5"/>
  <c r="CS280" i="5"/>
  <c r="CR280" i="5"/>
  <c r="CQ280" i="5"/>
  <c r="CP280" i="5"/>
  <c r="CO280" i="5"/>
  <c r="CN280" i="5"/>
  <c r="CM280" i="5"/>
  <c r="CL280" i="5"/>
  <c r="BE280" i="5"/>
  <c r="IQ279" i="5"/>
  <c r="IP279" i="5"/>
  <c r="IO279" i="5"/>
  <c r="IN279" i="5"/>
  <c r="IM279" i="5"/>
  <c r="IL279" i="5"/>
  <c r="IK279" i="5"/>
  <c r="IJ279" i="5"/>
  <c r="II279" i="5"/>
  <c r="IH279" i="5"/>
  <c r="IG279" i="5"/>
  <c r="IF279" i="5"/>
  <c r="IE279" i="5"/>
  <c r="ID279" i="5"/>
  <c r="IC279" i="5"/>
  <c r="IB279" i="5"/>
  <c r="IA279" i="5"/>
  <c r="HZ279" i="5"/>
  <c r="HY279" i="5"/>
  <c r="HT279" i="5"/>
  <c r="HS279" i="5"/>
  <c r="GT279" i="5"/>
  <c r="DH278" i="5"/>
  <c r="DG278" i="5"/>
  <c r="DF278" i="5"/>
  <c r="DE278" i="5"/>
  <c r="DD278" i="5"/>
  <c r="DC278" i="5"/>
  <c r="DB278" i="5"/>
  <c r="DA278" i="5"/>
  <c r="CZ278" i="5"/>
  <c r="CY278" i="5"/>
  <c r="CX278" i="5"/>
  <c r="CW278" i="5"/>
  <c r="CV278" i="5"/>
  <c r="CU278" i="5"/>
  <c r="CT278" i="5"/>
  <c r="CS278" i="5"/>
  <c r="CR278" i="5"/>
  <c r="CQ278" i="5"/>
  <c r="CP278" i="5"/>
  <c r="CO278" i="5"/>
  <c r="CN278" i="5"/>
  <c r="CM278" i="5"/>
  <c r="CL278" i="5"/>
  <c r="BE278" i="5"/>
  <c r="IQ277" i="5"/>
  <c r="IP277" i="5"/>
  <c r="IO277" i="5"/>
  <c r="IN277" i="5"/>
  <c r="IM277" i="5"/>
  <c r="IL277" i="5"/>
  <c r="IK277" i="5"/>
  <c r="IJ277" i="5"/>
  <c r="II277" i="5"/>
  <c r="IH277" i="5"/>
  <c r="IG277" i="5"/>
  <c r="IF277" i="5"/>
  <c r="IE277" i="5"/>
  <c r="ID277" i="5"/>
  <c r="IC277" i="5"/>
  <c r="IB277" i="5"/>
  <c r="IA277" i="5"/>
  <c r="HZ277" i="5"/>
  <c r="HY277" i="5"/>
  <c r="GT277" i="5"/>
  <c r="DH276" i="5"/>
  <c r="DG276" i="5"/>
  <c r="DF276" i="5"/>
  <c r="DE276" i="5"/>
  <c r="DD276" i="5"/>
  <c r="DC276" i="5"/>
  <c r="DB276" i="5"/>
  <c r="DA276" i="5"/>
  <c r="CZ276" i="5"/>
  <c r="CY276" i="5"/>
  <c r="CX276" i="5"/>
  <c r="CW276" i="5"/>
  <c r="CV276" i="5"/>
  <c r="CU276" i="5"/>
  <c r="CT276" i="5"/>
  <c r="CS276" i="5"/>
  <c r="CR276" i="5"/>
  <c r="CQ276" i="5"/>
  <c r="CP276" i="5"/>
  <c r="CO276" i="5"/>
  <c r="CN276" i="5"/>
  <c r="CM276" i="5"/>
  <c r="CL276" i="5"/>
  <c r="BE276" i="5"/>
  <c r="IQ275" i="5"/>
  <c r="IP275" i="5"/>
  <c r="IO275" i="5"/>
  <c r="IN275" i="5"/>
  <c r="IM275" i="5"/>
  <c r="IL275" i="5"/>
  <c r="IK275" i="5"/>
  <c r="IJ275" i="5"/>
  <c r="II275" i="5"/>
  <c r="IH275" i="5"/>
  <c r="IG275" i="5"/>
  <c r="IF275" i="5"/>
  <c r="IE275" i="5"/>
  <c r="ID275" i="5"/>
  <c r="IC275" i="5"/>
  <c r="IB275" i="5"/>
  <c r="IA275" i="5"/>
  <c r="HZ275" i="5"/>
  <c r="HY275" i="5"/>
  <c r="HT275" i="5"/>
  <c r="HS275" i="5"/>
  <c r="GT275" i="5"/>
  <c r="DH274" i="5"/>
  <c r="DG274" i="5"/>
  <c r="DF274" i="5"/>
  <c r="DE274" i="5"/>
  <c r="DD274" i="5"/>
  <c r="DC274" i="5"/>
  <c r="DB274" i="5"/>
  <c r="DA274" i="5"/>
  <c r="CZ274" i="5"/>
  <c r="CY274" i="5"/>
  <c r="CX274" i="5"/>
  <c r="CW274" i="5"/>
  <c r="CV274" i="5"/>
  <c r="CU274" i="5"/>
  <c r="CT274" i="5"/>
  <c r="CS274" i="5"/>
  <c r="CR274" i="5"/>
  <c r="CQ274" i="5"/>
  <c r="CP274" i="5"/>
  <c r="CO274" i="5"/>
  <c r="CN274" i="5"/>
  <c r="CM274" i="5"/>
  <c r="CL274" i="5"/>
  <c r="BE274" i="5"/>
  <c r="IQ273" i="5"/>
  <c r="IP273" i="5"/>
  <c r="IO273" i="5"/>
  <c r="IN273" i="5"/>
  <c r="IM273" i="5"/>
  <c r="IL273" i="5"/>
  <c r="IK273" i="5"/>
  <c r="IJ273" i="5"/>
  <c r="II273" i="5"/>
  <c r="IH273" i="5"/>
  <c r="IG273" i="5"/>
  <c r="IF273" i="5"/>
  <c r="IE273" i="5"/>
  <c r="ID273" i="5"/>
  <c r="IC273" i="5"/>
  <c r="IB273" i="5"/>
  <c r="IA273" i="5"/>
  <c r="HZ273" i="5"/>
  <c r="HY273" i="5"/>
  <c r="GT273" i="5"/>
  <c r="DH272" i="5"/>
  <c r="DG272" i="5"/>
  <c r="DF272" i="5"/>
  <c r="DE272" i="5"/>
  <c r="DD272" i="5"/>
  <c r="DC272" i="5"/>
  <c r="DB272" i="5"/>
  <c r="DA272" i="5"/>
  <c r="CZ272" i="5"/>
  <c r="CY272" i="5"/>
  <c r="CX272" i="5"/>
  <c r="CW272" i="5"/>
  <c r="CV272" i="5"/>
  <c r="CU272" i="5"/>
  <c r="CT272" i="5"/>
  <c r="CS272" i="5"/>
  <c r="CR272" i="5"/>
  <c r="CQ272" i="5"/>
  <c r="CP272" i="5"/>
  <c r="CO272" i="5"/>
  <c r="CN272" i="5"/>
  <c r="CM272" i="5"/>
  <c r="CL272" i="5"/>
  <c r="BE272" i="5"/>
  <c r="IQ271" i="5"/>
  <c r="IP271" i="5"/>
  <c r="IO271" i="5"/>
  <c r="IN271" i="5"/>
  <c r="IM271" i="5"/>
  <c r="IL271" i="5"/>
  <c r="IK271" i="5"/>
  <c r="IJ271" i="5"/>
  <c r="II271" i="5"/>
  <c r="IH271" i="5"/>
  <c r="IG271" i="5"/>
  <c r="IF271" i="5"/>
  <c r="IE271" i="5"/>
  <c r="ID271" i="5"/>
  <c r="IC271" i="5"/>
  <c r="IB271" i="5"/>
  <c r="IA271" i="5"/>
  <c r="HZ271" i="5"/>
  <c r="HY271" i="5"/>
  <c r="HT271" i="5"/>
  <c r="HS271" i="5"/>
  <c r="GT271" i="5"/>
  <c r="DH270" i="5"/>
  <c r="DG270" i="5"/>
  <c r="DF270" i="5"/>
  <c r="DE270" i="5"/>
  <c r="DD270" i="5"/>
  <c r="DC270" i="5"/>
  <c r="DB270" i="5"/>
  <c r="DA270" i="5"/>
  <c r="CZ270" i="5"/>
  <c r="CY270" i="5"/>
  <c r="CX270" i="5"/>
  <c r="CW270" i="5"/>
  <c r="CV270" i="5"/>
  <c r="CU270" i="5"/>
  <c r="CT270" i="5"/>
  <c r="CS270" i="5"/>
  <c r="CR270" i="5"/>
  <c r="CQ270" i="5"/>
  <c r="CP270" i="5"/>
  <c r="CO270" i="5"/>
  <c r="CN270" i="5"/>
  <c r="CM270" i="5"/>
  <c r="CL270" i="5"/>
  <c r="BE270" i="5"/>
  <c r="IQ269" i="5"/>
  <c r="IP269" i="5"/>
  <c r="IO269" i="5"/>
  <c r="IN269" i="5"/>
  <c r="IM269" i="5"/>
  <c r="IL269" i="5"/>
  <c r="IK269" i="5"/>
  <c r="IJ269" i="5"/>
  <c r="II269" i="5"/>
  <c r="IH269" i="5"/>
  <c r="IG269" i="5"/>
  <c r="IF269" i="5"/>
  <c r="IE269" i="5"/>
  <c r="ID269" i="5"/>
  <c r="IC269" i="5"/>
  <c r="IB269" i="5"/>
  <c r="IA269" i="5"/>
  <c r="HZ269" i="5"/>
  <c r="HY269" i="5"/>
  <c r="GT269" i="5"/>
  <c r="DH268" i="5"/>
  <c r="DG268" i="5"/>
  <c r="DF268" i="5"/>
  <c r="DE268" i="5"/>
  <c r="DD268" i="5"/>
  <c r="DC268" i="5"/>
  <c r="DB268" i="5"/>
  <c r="DA268" i="5"/>
  <c r="CZ268" i="5"/>
  <c r="CY268" i="5"/>
  <c r="CX268" i="5"/>
  <c r="CW268" i="5"/>
  <c r="CV268" i="5"/>
  <c r="CU268" i="5"/>
  <c r="CT268" i="5"/>
  <c r="CS268" i="5"/>
  <c r="CR268" i="5"/>
  <c r="CQ268" i="5"/>
  <c r="CP268" i="5"/>
  <c r="CO268" i="5"/>
  <c r="CN268" i="5"/>
  <c r="CM268" i="5"/>
  <c r="CL268" i="5"/>
  <c r="CE268" i="5"/>
  <c r="CD268" i="5"/>
  <c r="BE268" i="5"/>
  <c r="AC268" i="5"/>
  <c r="IQ267" i="5"/>
  <c r="IP267" i="5"/>
  <c r="IO267" i="5"/>
  <c r="IN267" i="5"/>
  <c r="IM267" i="5"/>
  <c r="IL267" i="5"/>
  <c r="IK267" i="5"/>
  <c r="IJ267" i="5"/>
  <c r="II267" i="5"/>
  <c r="IH267" i="5"/>
  <c r="IG267" i="5"/>
  <c r="IF267" i="5"/>
  <c r="IE267" i="5"/>
  <c r="ID267" i="5"/>
  <c r="IC267" i="5"/>
  <c r="IB267" i="5"/>
  <c r="IA267" i="5"/>
  <c r="HZ267" i="5"/>
  <c r="HY267" i="5"/>
  <c r="HT267" i="5"/>
  <c r="HS267" i="5"/>
  <c r="GT267" i="5"/>
  <c r="AI267" i="5" a="1"/>
  <c r="AI267" i="5" s="1"/>
  <c r="AF267" i="5"/>
  <c r="AD267" i="5"/>
  <c r="AG267" i="5" s="1"/>
  <c r="HJ267" i="5" s="1"/>
  <c r="AD267" i="5" a="1"/>
  <c r="JZ266" i="5"/>
  <c r="JZ265" i="5"/>
  <c r="JZ264" i="5"/>
  <c r="JZ263" i="5"/>
  <c r="JZ262" i="5"/>
  <c r="JZ261" i="5"/>
  <c r="JZ260" i="5"/>
  <c r="JZ259" i="5"/>
  <c r="JZ258" i="5"/>
  <c r="JZ257" i="5"/>
  <c r="JZ256" i="5"/>
  <c r="JZ255" i="5"/>
  <c r="JZ254" i="5"/>
  <c r="JZ253" i="5"/>
  <c r="JZ252" i="5"/>
  <c r="JZ251" i="5"/>
  <c r="JZ250" i="5"/>
  <c r="JZ249" i="5"/>
  <c r="JZ248" i="5"/>
  <c r="JZ247" i="5"/>
  <c r="JZ246" i="5"/>
  <c r="JZ245" i="5"/>
  <c r="JZ244" i="5"/>
  <c r="JZ243" i="5"/>
  <c r="JZ242" i="5"/>
  <c r="JZ241" i="5"/>
  <c r="JZ240" i="5"/>
  <c r="JZ239" i="5"/>
  <c r="JZ238" i="5"/>
  <c r="JZ237" i="5"/>
  <c r="JZ236" i="5"/>
  <c r="JZ235" i="5"/>
  <c r="JZ234" i="5"/>
  <c r="JZ233" i="5"/>
  <c r="LX232" i="5"/>
  <c r="LW232" i="5"/>
  <c r="LX231" i="5"/>
  <c r="LW231" i="5"/>
  <c r="MJ230" i="5"/>
  <c r="LX230" i="5"/>
  <c r="LW230" i="5"/>
  <c r="FU229" i="5"/>
  <c r="FT229" i="5"/>
  <c r="FP229" i="5"/>
  <c r="FO229" i="5"/>
  <c r="FN229" i="5"/>
  <c r="FM229" i="5"/>
  <c r="FI229" i="5"/>
  <c r="FF229" i="5"/>
  <c r="FE229" i="5"/>
  <c r="EZ229" i="5"/>
  <c r="EY229" i="5"/>
  <c r="ER229" i="5"/>
  <c r="AO229" i="5"/>
  <c r="AN229" i="5"/>
  <c r="FU228" i="5"/>
  <c r="FT228" i="5"/>
  <c r="FP228" i="5"/>
  <c r="FO228" i="5"/>
  <c r="FN228" i="5"/>
  <c r="FM228" i="5"/>
  <c r="FI228" i="5"/>
  <c r="FF228" i="5"/>
  <c r="FE228" i="5"/>
  <c r="EZ228" i="5"/>
  <c r="EY228" i="5"/>
  <c r="ER228" i="5"/>
  <c r="AO228" i="5"/>
  <c r="AN228" i="5"/>
  <c r="FU227" i="5"/>
  <c r="FT227" i="5"/>
  <c r="FS227" i="5"/>
  <c r="FR227" i="5"/>
  <c r="FQ227" i="5"/>
  <c r="FP227" i="5"/>
  <c r="FO227" i="5"/>
  <c r="FN227" i="5"/>
  <c r="FM227" i="5"/>
  <c r="FL227" i="5"/>
  <c r="FK227" i="5"/>
  <c r="FJ227" i="5"/>
  <c r="FI227" i="5"/>
  <c r="FG227" i="5"/>
  <c r="FF227" i="5"/>
  <c r="FE227" i="5"/>
  <c r="FA227" i="5"/>
  <c r="EZ227" i="5"/>
  <c r="EY227" i="5"/>
  <c r="EX227" i="5"/>
  <c r="FH227" i="5" s="1"/>
  <c r="EW227" i="5"/>
  <c r="ET227" i="5"/>
  <c r="FB227" i="5" s="1"/>
  <c r="ES227" i="5"/>
  <c r="EU227" i="5" s="1"/>
  <c r="FC227" i="5" s="1"/>
  <c r="ER227" i="5"/>
  <c r="AO227" i="5"/>
  <c r="AN227" i="5"/>
  <c r="FU226" i="5"/>
  <c r="FT226" i="5"/>
  <c r="FS226" i="5"/>
  <c r="FR226" i="5"/>
  <c r="FQ226" i="5"/>
  <c r="FP226" i="5"/>
  <c r="FO226" i="5"/>
  <c r="FN226" i="5"/>
  <c r="FM226" i="5"/>
  <c r="FL226" i="5"/>
  <c r="FK226" i="5"/>
  <c r="FJ226" i="5"/>
  <c r="FI226" i="5"/>
  <c r="FH226" i="5"/>
  <c r="FF226" i="5"/>
  <c r="FE226" i="5"/>
  <c r="FD226" i="5"/>
  <c r="FB226" i="5"/>
  <c r="EZ226" i="5"/>
  <c r="EY226" i="5"/>
  <c r="EX226" i="5"/>
  <c r="EW226" i="5"/>
  <c r="FG226" i="5" s="1"/>
  <c r="ET226" i="5"/>
  <c r="EV226" i="5" s="1"/>
  <c r="ES226" i="5"/>
  <c r="FA226" i="5" s="1"/>
  <c r="ER226" i="5"/>
  <c r="AO226" i="5"/>
  <c r="AN226" i="5"/>
  <c r="FU225" i="5"/>
  <c r="FT225" i="5"/>
  <c r="FS225" i="5"/>
  <c r="FR225" i="5"/>
  <c r="FQ225" i="5"/>
  <c r="FP225" i="5"/>
  <c r="FO225" i="5"/>
  <c r="FN225" i="5"/>
  <c r="FM225" i="5"/>
  <c r="FL225" i="5"/>
  <c r="FK225" i="5"/>
  <c r="FJ225" i="5"/>
  <c r="FI225" i="5"/>
  <c r="FG225" i="5"/>
  <c r="FF225" i="5"/>
  <c r="FE225" i="5"/>
  <c r="FB225" i="5"/>
  <c r="EZ225" i="5"/>
  <c r="EY225" i="5"/>
  <c r="EX225" i="5"/>
  <c r="FH225" i="5" s="1"/>
  <c r="EW225" i="5"/>
  <c r="EV225" i="5"/>
  <c r="FD225" i="5" s="1"/>
  <c r="ET225" i="5"/>
  <c r="ES225" i="5"/>
  <c r="ER225" i="5"/>
  <c r="AO225" i="5"/>
  <c r="AN225" i="5"/>
  <c r="JZ224" i="5"/>
  <c r="JZ223" i="5"/>
  <c r="JZ222" i="5"/>
  <c r="KF221" i="5"/>
  <c r="JZ221" i="5"/>
  <c r="JZ220" i="5"/>
  <c r="JZ219" i="5"/>
  <c r="JZ218" i="5"/>
  <c r="KK217" i="5"/>
  <c r="KJ217" i="5"/>
  <c r="JZ217" i="5"/>
  <c r="KK216" i="5"/>
  <c r="KJ216" i="5"/>
  <c r="JZ216" i="5"/>
  <c r="OE215" i="5"/>
  <c r="KJ214" i="5"/>
  <c r="KK214" i="5" s="1"/>
  <c r="JZ214" i="5"/>
  <c r="OE213" i="5"/>
  <c r="KK212" i="5"/>
  <c r="KJ212" i="5"/>
  <c r="JZ212" i="5"/>
  <c r="OE211" i="5"/>
  <c r="KJ210" i="5"/>
  <c r="KK210" i="5" s="1"/>
  <c r="JZ210" i="5"/>
  <c r="OE209" i="5"/>
  <c r="KK208" i="5"/>
  <c r="KJ208" i="5"/>
  <c r="JZ208" i="5"/>
  <c r="OE207" i="5"/>
  <c r="KK206" i="5"/>
  <c r="KJ206" i="5"/>
  <c r="JZ206" i="5"/>
  <c r="OE205" i="5"/>
  <c r="KJ204" i="5"/>
  <c r="KK204" i="5" s="1"/>
  <c r="JZ204" i="5"/>
  <c r="OE203" i="5"/>
  <c r="RS202" i="5"/>
  <c r="QP202" i="5"/>
  <c r="QR202" i="5" s="1"/>
  <c r="QT202" i="5" s="1"/>
  <c r="QM202" i="5"/>
  <c r="QO202" i="5" s="1"/>
  <c r="QQ202" i="5" s="1"/>
  <c r="QS202" i="5" s="1"/>
  <c r="QL202" i="5"/>
  <c r="QN202" i="5" s="1"/>
  <c r="QK202" i="5"/>
  <c r="KJ201" i="5"/>
  <c r="KK201" i="5" s="1"/>
  <c r="JZ201" i="5"/>
  <c r="OE200" i="5"/>
  <c r="OE199" i="5"/>
  <c r="OE198" i="5"/>
  <c r="RS197" i="5"/>
  <c r="QQ197" i="5"/>
  <c r="QS197" i="5" s="1"/>
  <c r="QL197" i="5"/>
  <c r="QN197" i="5" s="1"/>
  <c r="QP197" i="5" s="1"/>
  <c r="QR197" i="5" s="1"/>
  <c r="QT197" i="5" s="1"/>
  <c r="QK197" i="5"/>
  <c r="QM197" i="5" s="1"/>
  <c r="QO197" i="5" s="1"/>
  <c r="KJ196" i="5"/>
  <c r="KK196" i="5" s="1"/>
  <c r="JZ196" i="5"/>
  <c r="OE195" i="5"/>
  <c r="OE194" i="5"/>
  <c r="OE193" i="5"/>
  <c r="RS192" i="5"/>
  <c r="QR192" i="5"/>
  <c r="QT192" i="5" s="1"/>
  <c r="QO192" i="5"/>
  <c r="QQ192" i="5" s="1"/>
  <c r="QS192" i="5" s="1"/>
  <c r="QN192" i="5"/>
  <c r="QP192" i="5" s="1"/>
  <c r="QM192" i="5"/>
  <c r="QL192" i="5"/>
  <c r="QK192" i="5"/>
  <c r="KK191" i="5"/>
  <c r="KJ191" i="5"/>
  <c r="JZ191" i="5"/>
  <c r="OE190" i="5"/>
  <c r="OE189" i="5"/>
  <c r="OE188" i="5"/>
  <c r="RS187" i="5"/>
  <c r="QO187" i="5"/>
  <c r="QQ187" i="5" s="1"/>
  <c r="QS187" i="5" s="1"/>
  <c r="QN187" i="5"/>
  <c r="QP187" i="5" s="1"/>
  <c r="QR187" i="5" s="1"/>
  <c r="QT187" i="5" s="1"/>
  <c r="QM187" i="5"/>
  <c r="QL187" i="5"/>
  <c r="QK187" i="5"/>
  <c r="KJ186" i="5"/>
  <c r="KK186" i="5" s="1"/>
  <c r="JZ186" i="5"/>
  <c r="OE185" i="5"/>
  <c r="OE184" i="5"/>
  <c r="OE183" i="5"/>
  <c r="JZ182" i="5"/>
  <c r="JZ181" i="5"/>
  <c r="NF180" i="5"/>
  <c r="MY180" i="5"/>
  <c r="NG180" i="5" s="1"/>
  <c r="MX180" i="5"/>
  <c r="MZ180" i="5" s="1"/>
  <c r="NB180" i="5" s="1"/>
  <c r="MW180" i="5"/>
  <c r="NG179" i="5"/>
  <c r="NF179" i="5"/>
  <c r="NC179" i="5"/>
  <c r="NI179" i="5" s="1"/>
  <c r="MZ179" i="5"/>
  <c r="NB179" i="5" s="1"/>
  <c r="MY179" i="5"/>
  <c r="NA179" i="5" s="1"/>
  <c r="NH179" i="5" s="1"/>
  <c r="MX179" i="5"/>
  <c r="MW179" i="5"/>
  <c r="ML178" i="5"/>
  <c r="MI178" i="5"/>
  <c r="MJ178" i="5" s="1"/>
  <c r="MK178" i="5" s="1"/>
  <c r="LZ178" i="5"/>
  <c r="LX178" i="5"/>
  <c r="LW178" i="5"/>
  <c r="MK177" i="5"/>
  <c r="ML177" i="5" s="1"/>
  <c r="MJ177" i="5"/>
  <c r="LZ177" i="5"/>
  <c r="LX177" i="5"/>
  <c r="LW177" i="5"/>
  <c r="LN176" i="5"/>
  <c r="LN175" i="5"/>
  <c r="LN174" i="5"/>
  <c r="LN173" i="5"/>
  <c r="LR172" i="5"/>
  <c r="LS172" i="5" s="1"/>
  <c r="LQ172" i="5"/>
  <c r="LQ173" i="5" s="1"/>
  <c r="LQ174" i="5" s="1"/>
  <c r="LR174" i="5" s="1"/>
  <c r="LS174" i="5" s="1"/>
  <c r="LN172" i="5"/>
  <c r="LS171" i="5"/>
  <c r="LR171" i="5"/>
  <c r="LQ171" i="5"/>
  <c r="LN171" i="5"/>
  <c r="LS170" i="5"/>
  <c r="LR170" i="5"/>
  <c r="LN170" i="5"/>
  <c r="KW169" i="5"/>
  <c r="KU169" i="5"/>
  <c r="KT169" i="5"/>
  <c r="JZ168" i="5"/>
  <c r="JZ167" i="5"/>
  <c r="JZ166" i="5"/>
  <c r="JZ165" i="5"/>
  <c r="JZ164" i="5"/>
  <c r="JZ163" i="5"/>
  <c r="JZ162" i="5"/>
  <c r="JZ161" i="5"/>
  <c r="JZ160" i="5"/>
  <c r="JZ159" i="5"/>
  <c r="JZ158" i="5"/>
  <c r="JZ157" i="5"/>
  <c r="JZ156" i="5"/>
  <c r="JZ155" i="5"/>
  <c r="JZ154" i="5"/>
  <c r="JZ153" i="5"/>
  <c r="JZ152" i="5"/>
  <c r="JZ151" i="5"/>
  <c r="JZ150" i="5"/>
  <c r="JZ149" i="5"/>
  <c r="JZ148" i="5"/>
  <c r="JZ147" i="5"/>
  <c r="JZ146" i="5"/>
  <c r="JZ145" i="5"/>
  <c r="JZ144" i="5"/>
  <c r="JZ143" i="5"/>
  <c r="JZ142" i="5"/>
  <c r="JZ141" i="5"/>
  <c r="JZ140" i="5"/>
  <c r="JZ139" i="5"/>
  <c r="JZ138" i="5"/>
  <c r="JZ137" i="5"/>
  <c r="JZ136" i="5"/>
  <c r="JZ135" i="5"/>
  <c r="JZ134" i="5"/>
  <c r="JZ133" i="5"/>
  <c r="JZ132" i="5"/>
  <c r="JZ131" i="5"/>
  <c r="JZ130" i="5"/>
  <c r="JZ129" i="5"/>
  <c r="JZ128" i="5"/>
  <c r="JZ127" i="5"/>
  <c r="JZ126" i="5"/>
  <c r="JZ125" i="5"/>
  <c r="JZ124" i="5"/>
  <c r="JZ123" i="5"/>
  <c r="JZ122" i="5"/>
  <c r="JZ121" i="5"/>
  <c r="JZ120" i="5"/>
  <c r="JZ119" i="5"/>
  <c r="JZ118" i="5"/>
  <c r="JZ117" i="5"/>
  <c r="JZ116" i="5"/>
  <c r="JZ115" i="5"/>
  <c r="JZ114" i="5"/>
  <c r="JZ113" i="5"/>
  <c r="JZ112" i="5"/>
  <c r="JZ111" i="5"/>
  <c r="JZ110" i="5"/>
  <c r="JZ109" i="5"/>
  <c r="JZ108" i="5"/>
  <c r="JZ107" i="5"/>
  <c r="JZ106" i="5"/>
  <c r="JZ105" i="5"/>
  <c r="JZ104" i="5"/>
  <c r="JZ103" i="5"/>
  <c r="JZ102" i="5"/>
  <c r="JZ101" i="5"/>
  <c r="JZ100" i="5"/>
  <c r="JZ99" i="5"/>
  <c r="JZ98" i="5"/>
  <c r="JZ97" i="5"/>
  <c r="JZ96" i="5"/>
  <c r="JZ95" i="5"/>
  <c r="JZ94" i="5"/>
  <c r="JZ93" i="5"/>
  <c r="JZ92" i="5"/>
  <c r="JZ91" i="5"/>
  <c r="JZ90" i="5"/>
  <c r="JZ89" i="5"/>
  <c r="JZ88" i="5"/>
  <c r="JZ87" i="5"/>
  <c r="JZ86" i="5"/>
  <c r="JZ85" i="5"/>
  <c r="JZ84" i="5"/>
  <c r="JZ83" i="5"/>
  <c r="JZ82" i="5"/>
  <c r="JZ81" i="5"/>
  <c r="JZ80" i="5"/>
  <c r="JZ79" i="5"/>
  <c r="JZ78" i="5"/>
  <c r="JZ77" i="5"/>
  <c r="JZ76" i="5"/>
  <c r="JZ75" i="5"/>
  <c r="JZ74" i="5"/>
  <c r="JZ73" i="5"/>
  <c r="JZ72" i="5"/>
  <c r="JZ71" i="5"/>
  <c r="JZ70" i="5"/>
  <c r="JZ69" i="5"/>
  <c r="JZ68" i="5"/>
  <c r="JZ67" i="5"/>
  <c r="JZ66" i="5"/>
  <c r="JZ65" i="5"/>
  <c r="JZ64" i="5"/>
  <c r="JZ63" i="5"/>
  <c r="JZ62" i="5"/>
  <c r="JZ61" i="5"/>
  <c r="JZ60" i="5"/>
  <c r="JZ59" i="5"/>
  <c r="JZ58" i="5"/>
  <c r="JZ57" i="5"/>
  <c r="JZ56" i="5"/>
  <c r="HX55" i="5"/>
  <c r="HV55" i="5"/>
  <c r="HU55" i="5"/>
  <c r="HJ55" i="5"/>
  <c r="HI55" i="5"/>
  <c r="HF55" i="5"/>
  <c r="HE55" i="5"/>
  <c r="HW55" i="5" s="1"/>
  <c r="GV55" i="5"/>
  <c r="GU55" i="5"/>
  <c r="JN54" i="5"/>
  <c r="JN55" i="5" s="1"/>
  <c r="HX54" i="5"/>
  <c r="HV54" i="5"/>
  <c r="HU54" i="5"/>
  <c r="HM54" i="5"/>
  <c r="HL54" i="5"/>
  <c r="HJ54" i="5"/>
  <c r="HI54" i="5"/>
  <c r="HF54" i="5"/>
  <c r="HE54" i="5"/>
  <c r="HW54" i="5" s="1"/>
  <c r="HA54" i="5"/>
  <c r="GW54" i="5"/>
  <c r="GY54" i="5" s="1"/>
  <c r="HO54" i="5" s="1"/>
  <c r="GV54" i="5"/>
  <c r="GX54" i="5" s="1"/>
  <c r="GU54" i="5"/>
  <c r="HK54" i="5" s="1"/>
  <c r="HX53" i="5"/>
  <c r="HV53" i="5"/>
  <c r="HU53" i="5"/>
  <c r="HK53" i="5"/>
  <c r="HJ53" i="5"/>
  <c r="HI53" i="5"/>
  <c r="HF53" i="5"/>
  <c r="HE53" i="5"/>
  <c r="HW53" i="5" s="1"/>
  <c r="GX53" i="5"/>
  <c r="GW53" i="5"/>
  <c r="GV53" i="5"/>
  <c r="HL53" i="5" s="1"/>
  <c r="GU53" i="5"/>
  <c r="HX52" i="5"/>
  <c r="HW52" i="5"/>
  <c r="HV52" i="5"/>
  <c r="HU52" i="5"/>
  <c r="HL52" i="5"/>
  <c r="HK52" i="5"/>
  <c r="HJ52" i="5"/>
  <c r="HI52" i="5"/>
  <c r="HF52" i="5"/>
  <c r="HE52" i="5"/>
  <c r="GZ52" i="5"/>
  <c r="GX52" i="5"/>
  <c r="HN52" i="5" s="1"/>
  <c r="GW52" i="5"/>
  <c r="GY52" i="5" s="1"/>
  <c r="GV52" i="5"/>
  <c r="GU52" i="5"/>
  <c r="IY51" i="5"/>
  <c r="IY52" i="5" s="1"/>
  <c r="IY53" i="5" s="1"/>
  <c r="IY54" i="5" s="1"/>
  <c r="IY55" i="5" s="1"/>
  <c r="HV51" i="5"/>
  <c r="HU51" i="5"/>
  <c r="HN51" i="5"/>
  <c r="HL51" i="5"/>
  <c r="HJ51" i="5"/>
  <c r="HI51" i="5"/>
  <c r="HF51" i="5"/>
  <c r="HX51" i="5" s="1"/>
  <c r="HE51" i="5"/>
  <c r="HW51" i="5" s="1"/>
  <c r="HB51" i="5"/>
  <c r="HD51" i="5" s="1"/>
  <c r="HT51" i="5" s="1"/>
  <c r="GZ51" i="5"/>
  <c r="HP51" i="5" s="1"/>
  <c r="GV51" i="5"/>
  <c r="GX51" i="5" s="1"/>
  <c r="GU51" i="5"/>
  <c r="JK50" i="5"/>
  <c r="JK51" i="5" s="1"/>
  <c r="JK52" i="5" s="1"/>
  <c r="JK53" i="5" s="1"/>
  <c r="JK54" i="5" s="1"/>
  <c r="JK55" i="5" s="1"/>
  <c r="HX50" i="5"/>
  <c r="HV50" i="5"/>
  <c r="HU50" i="5"/>
  <c r="HO50" i="5"/>
  <c r="HL50" i="5"/>
  <c r="HK50" i="5"/>
  <c r="HJ50" i="5"/>
  <c r="HI50" i="5"/>
  <c r="HF50" i="5"/>
  <c r="HE50" i="5"/>
  <c r="HW50" i="5" s="1"/>
  <c r="GX50" i="5"/>
  <c r="GW50" i="5"/>
  <c r="GY50" i="5" s="1"/>
  <c r="HA50" i="5" s="1"/>
  <c r="GV50" i="5"/>
  <c r="GU50" i="5"/>
  <c r="JF49" i="5"/>
  <c r="JF50" i="5" s="1"/>
  <c r="JF51" i="5" s="1"/>
  <c r="JF52" i="5" s="1"/>
  <c r="JF53" i="5" s="1"/>
  <c r="JF54" i="5" s="1"/>
  <c r="JF55" i="5" s="1"/>
  <c r="IT49" i="5"/>
  <c r="IT50" i="5" s="1"/>
  <c r="IT51" i="5" s="1"/>
  <c r="IT52" i="5" s="1"/>
  <c r="IT53" i="5" s="1"/>
  <c r="IT54" i="5" s="1"/>
  <c r="IT55" i="5" s="1"/>
  <c r="HX49" i="5"/>
  <c r="HV49" i="5"/>
  <c r="HU49" i="5"/>
  <c r="HK49" i="5"/>
  <c r="HJ49" i="5"/>
  <c r="HI49" i="5"/>
  <c r="HF49" i="5"/>
  <c r="HE49" i="5"/>
  <c r="HW49" i="5" s="1"/>
  <c r="GX49" i="5"/>
  <c r="GW49" i="5"/>
  <c r="GY49" i="5" s="1"/>
  <c r="GV49" i="5"/>
  <c r="HL49" i="5" s="1"/>
  <c r="GU49" i="5"/>
  <c r="JR48" i="5"/>
  <c r="JR49" i="5" s="1"/>
  <c r="JR50" i="5" s="1"/>
  <c r="JR51" i="5" s="1"/>
  <c r="JR52" i="5" s="1"/>
  <c r="JR53" i="5" s="1"/>
  <c r="JR54" i="5" s="1"/>
  <c r="JR55" i="5" s="1"/>
  <c r="JM48" i="5"/>
  <c r="JM49" i="5" s="1"/>
  <c r="JM50" i="5" s="1"/>
  <c r="JM51" i="5" s="1"/>
  <c r="JM52" i="5" s="1"/>
  <c r="JM53" i="5" s="1"/>
  <c r="JM54" i="5" s="1"/>
  <c r="JM55" i="5" s="1"/>
  <c r="HX48" i="5"/>
  <c r="HV48" i="5"/>
  <c r="HU48" i="5"/>
  <c r="HL48" i="5"/>
  <c r="HJ48" i="5"/>
  <c r="HI48" i="5"/>
  <c r="HF48" i="5"/>
  <c r="HE48" i="5"/>
  <c r="HW48" i="5" s="1"/>
  <c r="GX48" i="5"/>
  <c r="GW48" i="5"/>
  <c r="GY48" i="5" s="1"/>
  <c r="HA48" i="5" s="1"/>
  <c r="HQ48" i="5" s="1"/>
  <c r="GV48" i="5"/>
  <c r="GU48" i="5"/>
  <c r="HK48" i="5" s="1"/>
  <c r="JX47" i="5"/>
  <c r="JX48" i="5" s="1"/>
  <c r="JX49" i="5" s="1"/>
  <c r="JX50" i="5" s="1"/>
  <c r="JX51" i="5" s="1"/>
  <c r="JX52" i="5" s="1"/>
  <c r="JX53" i="5" s="1"/>
  <c r="JX54" i="5" s="1"/>
  <c r="JX55" i="5" s="1"/>
  <c r="JS47" i="5"/>
  <c r="JS48" i="5" s="1"/>
  <c r="JS49" i="5" s="1"/>
  <c r="JS50" i="5" s="1"/>
  <c r="JS51" i="5" s="1"/>
  <c r="JS52" i="5" s="1"/>
  <c r="JS53" i="5" s="1"/>
  <c r="JS54" i="5" s="1"/>
  <c r="JS55" i="5" s="1"/>
  <c r="JM47" i="5"/>
  <c r="IZ47" i="5"/>
  <c r="IZ48" i="5" s="1"/>
  <c r="IZ49" i="5" s="1"/>
  <c r="IZ50" i="5" s="1"/>
  <c r="IZ51" i="5" s="1"/>
  <c r="IZ52" i="5" s="1"/>
  <c r="IZ53" i="5" s="1"/>
  <c r="IZ54" i="5" s="1"/>
  <c r="IZ55" i="5" s="1"/>
  <c r="IV47" i="5"/>
  <c r="IV48" i="5" s="1"/>
  <c r="IV49" i="5" s="1"/>
  <c r="IV50" i="5" s="1"/>
  <c r="IV51" i="5" s="1"/>
  <c r="IV52" i="5" s="1"/>
  <c r="IV53" i="5" s="1"/>
  <c r="IV54" i="5" s="1"/>
  <c r="IV55" i="5" s="1"/>
  <c r="HX47" i="5"/>
  <c r="HV47" i="5"/>
  <c r="HU47" i="5"/>
  <c r="HL47" i="5"/>
  <c r="HK47" i="5"/>
  <c r="HJ47" i="5"/>
  <c r="HI47" i="5"/>
  <c r="HF47" i="5"/>
  <c r="HE47" i="5"/>
  <c r="HW47" i="5" s="1"/>
  <c r="GX47" i="5"/>
  <c r="GW47" i="5"/>
  <c r="GY47" i="5" s="1"/>
  <c r="GV47" i="5"/>
  <c r="GU47" i="5"/>
  <c r="JV46" i="5"/>
  <c r="JV47" i="5" s="1"/>
  <c r="JV48" i="5" s="1"/>
  <c r="JV49" i="5" s="1"/>
  <c r="JV50" i="5" s="1"/>
  <c r="JV51" i="5" s="1"/>
  <c r="JV52" i="5" s="1"/>
  <c r="JV53" i="5" s="1"/>
  <c r="JV54" i="5" s="1"/>
  <c r="JV55" i="5" s="1"/>
  <c r="JO46" i="5"/>
  <c r="JO47" i="5" s="1"/>
  <c r="JO48" i="5" s="1"/>
  <c r="JO49" i="5" s="1"/>
  <c r="JO50" i="5" s="1"/>
  <c r="JO51" i="5" s="1"/>
  <c r="JO52" i="5" s="1"/>
  <c r="JO53" i="5" s="1"/>
  <c r="JO54" i="5" s="1"/>
  <c r="JO55" i="5" s="1"/>
  <c r="JN46" i="5"/>
  <c r="JN47" i="5" s="1"/>
  <c r="JN48" i="5" s="1"/>
  <c r="JN49" i="5" s="1"/>
  <c r="JN50" i="5" s="1"/>
  <c r="JN51" i="5" s="1"/>
  <c r="JN52" i="5" s="1"/>
  <c r="JN53" i="5" s="1"/>
  <c r="JB46" i="5"/>
  <c r="JB47" i="5" s="1"/>
  <c r="JB48" i="5" s="1"/>
  <c r="JB49" i="5" s="1"/>
  <c r="JB50" i="5" s="1"/>
  <c r="JB51" i="5" s="1"/>
  <c r="JB52" i="5" s="1"/>
  <c r="JB53" i="5" s="1"/>
  <c r="JB54" i="5" s="1"/>
  <c r="JB55" i="5" s="1"/>
  <c r="IT46" i="5"/>
  <c r="IT47" i="5" s="1"/>
  <c r="IT48" i="5" s="1"/>
  <c r="IQ46" i="5"/>
  <c r="IL46" i="5"/>
  <c r="IG46" i="5"/>
  <c r="IE46" i="5"/>
  <c r="IB46" i="5"/>
  <c r="HZ46" i="5"/>
  <c r="HY46" i="5"/>
  <c r="HX46" i="5"/>
  <c r="HV46" i="5"/>
  <c r="HU46" i="5"/>
  <c r="HN46" i="5"/>
  <c r="HL46" i="5"/>
  <c r="HK46" i="5"/>
  <c r="HJ46" i="5"/>
  <c r="HI46" i="5"/>
  <c r="HF46" i="5"/>
  <c r="HE46" i="5"/>
  <c r="HW46" i="5" s="1"/>
  <c r="GZ46" i="5"/>
  <c r="GW46" i="5"/>
  <c r="HM46" i="5" s="1"/>
  <c r="GV46" i="5"/>
  <c r="GX46" i="5" s="1"/>
  <c r="GU46" i="5"/>
  <c r="U46" i="5"/>
  <c r="JY45" i="5"/>
  <c r="JY46" i="5" s="1"/>
  <c r="JY47" i="5" s="1"/>
  <c r="JY48" i="5" s="1"/>
  <c r="JY49" i="5" s="1"/>
  <c r="JY50" i="5" s="1"/>
  <c r="JY51" i="5" s="1"/>
  <c r="JY52" i="5" s="1"/>
  <c r="JY53" i="5" s="1"/>
  <c r="JY54" i="5" s="1"/>
  <c r="JY55" i="5" s="1"/>
  <c r="JX45" i="5"/>
  <c r="JX46" i="5" s="1"/>
  <c r="JR45" i="5"/>
  <c r="JR46" i="5" s="1"/>
  <c r="JR47" i="5" s="1"/>
  <c r="JQ45" i="5"/>
  <c r="JQ46" i="5" s="1"/>
  <c r="JQ47" i="5" s="1"/>
  <c r="JQ48" i="5" s="1"/>
  <c r="JQ49" i="5" s="1"/>
  <c r="JQ50" i="5" s="1"/>
  <c r="JQ51" i="5" s="1"/>
  <c r="JQ52" i="5" s="1"/>
  <c r="JQ53" i="5" s="1"/>
  <c r="JQ54" i="5" s="1"/>
  <c r="JQ55" i="5" s="1"/>
  <c r="JO45" i="5"/>
  <c r="JN45" i="5"/>
  <c r="JM45" i="5"/>
  <c r="JM46" i="5" s="1"/>
  <c r="JL45" i="5"/>
  <c r="JL46" i="5" s="1"/>
  <c r="JL47" i="5" s="1"/>
  <c r="JL48" i="5" s="1"/>
  <c r="JL49" i="5" s="1"/>
  <c r="JL50" i="5" s="1"/>
  <c r="JL51" i="5" s="1"/>
  <c r="JL52" i="5" s="1"/>
  <c r="JL53" i="5" s="1"/>
  <c r="JL54" i="5" s="1"/>
  <c r="JL55" i="5" s="1"/>
  <c r="JJ45" i="5"/>
  <c r="JJ46" i="5" s="1"/>
  <c r="JJ47" i="5" s="1"/>
  <c r="JJ48" i="5" s="1"/>
  <c r="JJ49" i="5" s="1"/>
  <c r="JJ50" i="5" s="1"/>
  <c r="JJ51" i="5" s="1"/>
  <c r="JJ52" i="5" s="1"/>
  <c r="JJ53" i="5" s="1"/>
  <c r="JJ54" i="5" s="1"/>
  <c r="JJ55" i="5" s="1"/>
  <c r="JH45" i="5"/>
  <c r="JH46" i="5" s="1"/>
  <c r="JH47" i="5" s="1"/>
  <c r="JH48" i="5" s="1"/>
  <c r="JH49" i="5" s="1"/>
  <c r="JH50" i="5" s="1"/>
  <c r="JH51" i="5" s="1"/>
  <c r="JH52" i="5" s="1"/>
  <c r="JH53" i="5" s="1"/>
  <c r="JH54" i="5" s="1"/>
  <c r="JH55" i="5" s="1"/>
  <c r="JC45" i="5"/>
  <c r="JC46" i="5" s="1"/>
  <c r="JC47" i="5" s="1"/>
  <c r="JC48" i="5" s="1"/>
  <c r="JC49" i="5" s="1"/>
  <c r="JC50" i="5" s="1"/>
  <c r="JC51" i="5" s="1"/>
  <c r="JC52" i="5" s="1"/>
  <c r="JC53" i="5" s="1"/>
  <c r="JC54" i="5" s="1"/>
  <c r="JC55" i="5" s="1"/>
  <c r="JB45" i="5"/>
  <c r="JA45" i="5"/>
  <c r="JA46" i="5" s="1"/>
  <c r="JA47" i="5" s="1"/>
  <c r="JA48" i="5" s="1"/>
  <c r="JA49" i="5" s="1"/>
  <c r="JA50" i="5" s="1"/>
  <c r="JA51" i="5" s="1"/>
  <c r="JA52" i="5" s="1"/>
  <c r="JA53" i="5" s="1"/>
  <c r="JA54" i="5" s="1"/>
  <c r="JA55" i="5" s="1"/>
  <c r="IX45" i="5"/>
  <c r="IX46" i="5" s="1"/>
  <c r="IX47" i="5" s="1"/>
  <c r="IX48" i="5" s="1"/>
  <c r="IX49" i="5" s="1"/>
  <c r="IX50" i="5" s="1"/>
  <c r="IX51" i="5" s="1"/>
  <c r="IX52" i="5" s="1"/>
  <c r="IX53" i="5" s="1"/>
  <c r="IX54" i="5" s="1"/>
  <c r="IX55" i="5" s="1"/>
  <c r="IT45" i="5"/>
  <c r="IR45" i="5"/>
  <c r="IR46" i="5" s="1"/>
  <c r="IR47" i="5" s="1"/>
  <c r="IR48" i="5" s="1"/>
  <c r="IR49" i="5" s="1"/>
  <c r="IR50" i="5" s="1"/>
  <c r="IR51" i="5" s="1"/>
  <c r="IR52" i="5" s="1"/>
  <c r="IR53" i="5" s="1"/>
  <c r="IR54" i="5" s="1"/>
  <c r="IR55" i="5" s="1"/>
  <c r="IQ45" i="5"/>
  <c r="IO45" i="5"/>
  <c r="IN45" i="5"/>
  <c r="IM45" i="5"/>
  <c r="IL45" i="5"/>
  <c r="IK45" i="5"/>
  <c r="IG45" i="5"/>
  <c r="IE45" i="5"/>
  <c r="ID45" i="5"/>
  <c r="IB45" i="5"/>
  <c r="IA45" i="5"/>
  <c r="HZ45" i="5"/>
  <c r="HY45" i="5"/>
  <c r="HX45" i="5"/>
  <c r="HV45" i="5"/>
  <c r="HU45" i="5"/>
  <c r="HO45" i="5"/>
  <c r="HL45" i="5"/>
  <c r="HJ45" i="5"/>
  <c r="HI45" i="5"/>
  <c r="HF45" i="5"/>
  <c r="HE45" i="5"/>
  <c r="HW45" i="5" s="1"/>
  <c r="GX45" i="5"/>
  <c r="HN45" i="5" s="1"/>
  <c r="GW45" i="5"/>
  <c r="GY45" i="5" s="1"/>
  <c r="HA45" i="5" s="1"/>
  <c r="GV45" i="5"/>
  <c r="GU45" i="5"/>
  <c r="HK45" i="5" s="1"/>
  <c r="GT45" i="5"/>
  <c r="U45" i="5"/>
  <c r="JY44" i="5"/>
  <c r="JX44" i="5"/>
  <c r="JW44" i="5"/>
  <c r="JW45" i="5" s="1"/>
  <c r="JW46" i="5" s="1"/>
  <c r="JW47" i="5" s="1"/>
  <c r="JW48" i="5" s="1"/>
  <c r="JW49" i="5" s="1"/>
  <c r="JW50" i="5" s="1"/>
  <c r="JW51" i="5" s="1"/>
  <c r="JW52" i="5" s="1"/>
  <c r="JW53" i="5" s="1"/>
  <c r="JW54" i="5" s="1"/>
  <c r="JW55" i="5" s="1"/>
  <c r="JV44" i="5"/>
  <c r="JV45" i="5" s="1"/>
  <c r="JU44" i="5"/>
  <c r="JU45" i="5" s="1"/>
  <c r="JU46" i="5" s="1"/>
  <c r="JU47" i="5" s="1"/>
  <c r="JU48" i="5" s="1"/>
  <c r="JU49" i="5" s="1"/>
  <c r="JU50" i="5" s="1"/>
  <c r="JU51" i="5" s="1"/>
  <c r="JU52" i="5" s="1"/>
  <c r="JU53" i="5" s="1"/>
  <c r="JU54" i="5" s="1"/>
  <c r="JU55" i="5" s="1"/>
  <c r="JT44" i="5"/>
  <c r="JT45" i="5" s="1"/>
  <c r="JT46" i="5" s="1"/>
  <c r="JT47" i="5" s="1"/>
  <c r="JT48" i="5" s="1"/>
  <c r="JT49" i="5" s="1"/>
  <c r="JT50" i="5" s="1"/>
  <c r="JT51" i="5" s="1"/>
  <c r="JT52" i="5" s="1"/>
  <c r="JT53" i="5" s="1"/>
  <c r="JT54" i="5" s="1"/>
  <c r="JT55" i="5" s="1"/>
  <c r="JS44" i="5"/>
  <c r="JS45" i="5" s="1"/>
  <c r="JS46" i="5" s="1"/>
  <c r="JR44" i="5"/>
  <c r="JQ44" i="5"/>
  <c r="JP44" i="5"/>
  <c r="JP45" i="5" s="1"/>
  <c r="JP46" i="5" s="1"/>
  <c r="JP47" i="5" s="1"/>
  <c r="JP48" i="5" s="1"/>
  <c r="JP49" i="5" s="1"/>
  <c r="JP50" i="5" s="1"/>
  <c r="JP51" i="5" s="1"/>
  <c r="JP52" i="5" s="1"/>
  <c r="JP53" i="5" s="1"/>
  <c r="JP54" i="5" s="1"/>
  <c r="JP55" i="5" s="1"/>
  <c r="JO44" i="5"/>
  <c r="JN44" i="5"/>
  <c r="JM44" i="5"/>
  <c r="JL44" i="5"/>
  <c r="JK44" i="5"/>
  <c r="JK45" i="5" s="1"/>
  <c r="JK46" i="5" s="1"/>
  <c r="JK47" i="5" s="1"/>
  <c r="JK48" i="5" s="1"/>
  <c r="JK49" i="5" s="1"/>
  <c r="JJ44" i="5"/>
  <c r="JI44" i="5"/>
  <c r="JI45" i="5" s="1"/>
  <c r="JI46" i="5" s="1"/>
  <c r="JI47" i="5" s="1"/>
  <c r="JI48" i="5" s="1"/>
  <c r="JI49" i="5" s="1"/>
  <c r="JI50" i="5" s="1"/>
  <c r="JI51" i="5" s="1"/>
  <c r="JI52" i="5" s="1"/>
  <c r="JI53" i="5" s="1"/>
  <c r="JI54" i="5" s="1"/>
  <c r="JI55" i="5" s="1"/>
  <c r="JH44" i="5"/>
  <c r="JG44" i="5"/>
  <c r="JG45" i="5" s="1"/>
  <c r="JG46" i="5" s="1"/>
  <c r="JG47" i="5" s="1"/>
  <c r="JG48" i="5" s="1"/>
  <c r="JG49" i="5" s="1"/>
  <c r="JG50" i="5" s="1"/>
  <c r="JG51" i="5" s="1"/>
  <c r="JG52" i="5" s="1"/>
  <c r="JG53" i="5" s="1"/>
  <c r="JG54" i="5" s="1"/>
  <c r="JG55" i="5" s="1"/>
  <c r="JF44" i="5"/>
  <c r="JF45" i="5" s="1"/>
  <c r="JF46" i="5" s="1"/>
  <c r="JF47" i="5" s="1"/>
  <c r="JF48" i="5" s="1"/>
  <c r="JE44" i="5"/>
  <c r="JE45" i="5" s="1"/>
  <c r="JE46" i="5" s="1"/>
  <c r="JE47" i="5" s="1"/>
  <c r="JE48" i="5" s="1"/>
  <c r="JE49" i="5" s="1"/>
  <c r="JE50" i="5" s="1"/>
  <c r="JE51" i="5" s="1"/>
  <c r="JE52" i="5" s="1"/>
  <c r="JE53" i="5" s="1"/>
  <c r="JE54" i="5" s="1"/>
  <c r="JE55" i="5" s="1"/>
  <c r="JD44" i="5"/>
  <c r="JD45" i="5" s="1"/>
  <c r="JD46" i="5" s="1"/>
  <c r="JD47" i="5" s="1"/>
  <c r="JD48" i="5" s="1"/>
  <c r="JD49" i="5" s="1"/>
  <c r="JD50" i="5" s="1"/>
  <c r="JD51" i="5" s="1"/>
  <c r="JD52" i="5" s="1"/>
  <c r="JD53" i="5" s="1"/>
  <c r="JD54" i="5" s="1"/>
  <c r="JD55" i="5" s="1"/>
  <c r="JC44" i="5"/>
  <c r="JB44" i="5"/>
  <c r="JA44" i="5"/>
  <c r="IZ44" i="5"/>
  <c r="IZ45" i="5" s="1"/>
  <c r="IZ46" i="5" s="1"/>
  <c r="IY44" i="5"/>
  <c r="IY45" i="5" s="1"/>
  <c r="IY46" i="5" s="1"/>
  <c r="IY47" i="5" s="1"/>
  <c r="IY48" i="5" s="1"/>
  <c r="IY49" i="5" s="1"/>
  <c r="IY50" i="5" s="1"/>
  <c r="IX44" i="5"/>
  <c r="IW44" i="5"/>
  <c r="IW45" i="5" s="1"/>
  <c r="IW46" i="5" s="1"/>
  <c r="IW47" i="5" s="1"/>
  <c r="IW48" i="5" s="1"/>
  <c r="IW49" i="5" s="1"/>
  <c r="IW50" i="5" s="1"/>
  <c r="IW51" i="5" s="1"/>
  <c r="IW52" i="5" s="1"/>
  <c r="IW53" i="5" s="1"/>
  <c r="IW54" i="5" s="1"/>
  <c r="IW55" i="5" s="1"/>
  <c r="IV44" i="5"/>
  <c r="IV45" i="5" s="1"/>
  <c r="IV46" i="5" s="1"/>
  <c r="IU44" i="5"/>
  <c r="IU45" i="5" s="1"/>
  <c r="IU46" i="5" s="1"/>
  <c r="IU47" i="5" s="1"/>
  <c r="IU48" i="5" s="1"/>
  <c r="IU49" i="5" s="1"/>
  <c r="IU50" i="5" s="1"/>
  <c r="IU51" i="5" s="1"/>
  <c r="IU52" i="5" s="1"/>
  <c r="IU53" i="5" s="1"/>
  <c r="IU54" i="5" s="1"/>
  <c r="IU55" i="5" s="1"/>
  <c r="IT44" i="5"/>
  <c r="IS44" i="5"/>
  <c r="IS45" i="5" s="1"/>
  <c r="IS46" i="5" s="1"/>
  <c r="IS47" i="5" s="1"/>
  <c r="IS48" i="5" s="1"/>
  <c r="IS49" i="5" s="1"/>
  <c r="IS50" i="5" s="1"/>
  <c r="IS51" i="5" s="1"/>
  <c r="IS52" i="5" s="1"/>
  <c r="IS53" i="5" s="1"/>
  <c r="IS54" i="5" s="1"/>
  <c r="IS55" i="5" s="1"/>
  <c r="IR44" i="5"/>
  <c r="IP44" i="5"/>
  <c r="IO44" i="5"/>
  <c r="IN44" i="5"/>
  <c r="IM44" i="5"/>
  <c r="IL44" i="5"/>
  <c r="IJ44" i="5"/>
  <c r="II44" i="5"/>
  <c r="IH44" i="5"/>
  <c r="IG44" i="5"/>
  <c r="IF44" i="5"/>
  <c r="ID44" i="5"/>
  <c r="IC44" i="5"/>
  <c r="IB44" i="5"/>
  <c r="IA44" i="5"/>
  <c r="HZ44" i="5"/>
  <c r="HY44" i="5"/>
  <c r="HV44" i="5"/>
  <c r="HU44" i="5"/>
  <c r="HL44" i="5"/>
  <c r="HK44" i="5"/>
  <c r="HJ44" i="5"/>
  <c r="HI44" i="5"/>
  <c r="HF44" i="5"/>
  <c r="HX44" i="5" s="1"/>
  <c r="HE44" i="5"/>
  <c r="HW44" i="5" s="1"/>
  <c r="GW44" i="5"/>
  <c r="GV44" i="5"/>
  <c r="GX44" i="5" s="1"/>
  <c r="GZ44" i="5" s="1"/>
  <c r="HB44" i="5" s="1"/>
  <c r="GU44" i="5"/>
  <c r="GT44" i="5"/>
  <c r="X44" i="5"/>
  <c r="U44" i="5"/>
  <c r="IQ43" i="5"/>
  <c r="IP43" i="5"/>
  <c r="IO43" i="5"/>
  <c r="IN43" i="5"/>
  <c r="IM43" i="5"/>
  <c r="IL43" i="5"/>
  <c r="IK43" i="5"/>
  <c r="IJ43" i="5"/>
  <c r="II43" i="5"/>
  <c r="IH43" i="5"/>
  <c r="IG43" i="5"/>
  <c r="IF43" i="5"/>
  <c r="IE43" i="5"/>
  <c r="ID43" i="5"/>
  <c r="IC43" i="5"/>
  <c r="IB43" i="5"/>
  <c r="IA43" i="5"/>
  <c r="HZ43" i="5"/>
  <c r="HY43" i="5"/>
  <c r="HW43" i="5"/>
  <c r="HV43" i="5"/>
  <c r="HU43" i="5"/>
  <c r="HM43" i="5"/>
  <c r="HL43" i="5"/>
  <c r="HK43" i="5"/>
  <c r="HJ43" i="5"/>
  <c r="HI43" i="5"/>
  <c r="HF43" i="5"/>
  <c r="HX43" i="5" s="1"/>
  <c r="HE43" i="5"/>
  <c r="HC43" i="5"/>
  <c r="HS43" i="5" s="1"/>
  <c r="GY43" i="5"/>
  <c r="HA43" i="5" s="1"/>
  <c r="HQ43" i="5" s="1"/>
  <c r="GW43" i="5"/>
  <c r="GV43" i="5"/>
  <c r="GX43" i="5" s="1"/>
  <c r="GU43" i="5"/>
  <c r="GT43" i="5"/>
  <c r="Y43" i="5" a="1"/>
  <c r="Y43" i="5" s="1"/>
  <c r="FU42" i="5"/>
  <c r="FT42" i="5"/>
  <c r="FS42" i="5"/>
  <c r="FR42" i="5"/>
  <c r="FQ42" i="5"/>
  <c r="FP42" i="5"/>
  <c r="FO42" i="5"/>
  <c r="FN42" i="5"/>
  <c r="FM42" i="5"/>
  <c r="FL42" i="5"/>
  <c r="FK42" i="5"/>
  <c r="FJ42" i="5"/>
  <c r="FI42" i="5"/>
  <c r="FH42" i="5"/>
  <c r="FG42" i="5"/>
  <c r="FF42" i="5"/>
  <c r="FE42" i="5"/>
  <c r="EZ42" i="5"/>
  <c r="EY42" i="5"/>
  <c r="EX42" i="5"/>
  <c r="EW42" i="5"/>
  <c r="ET42" i="5"/>
  <c r="FB42" i="5" s="1"/>
  <c r="ES42" i="5"/>
  <c r="FA42" i="5" s="1"/>
  <c r="ER42" i="5"/>
  <c r="AR42" i="5"/>
  <c r="AO42" i="5"/>
  <c r="AN42" i="5"/>
  <c r="FU41" i="5"/>
  <c r="FT41" i="5"/>
  <c r="FS41" i="5"/>
  <c r="FR41" i="5"/>
  <c r="FQ41" i="5"/>
  <c r="FP41" i="5"/>
  <c r="FO41" i="5"/>
  <c r="FN41" i="5"/>
  <c r="FM41" i="5"/>
  <c r="FL41" i="5"/>
  <c r="FK41" i="5"/>
  <c r="FJ41" i="5"/>
  <c r="FI41" i="5"/>
  <c r="FH41" i="5"/>
  <c r="FF41" i="5"/>
  <c r="FE41" i="5"/>
  <c r="FC41" i="5"/>
  <c r="FB41" i="5"/>
  <c r="FA41" i="5"/>
  <c r="EZ41" i="5"/>
  <c r="EY41" i="5"/>
  <c r="EX41" i="5"/>
  <c r="EW41" i="5"/>
  <c r="FG41" i="5" s="1"/>
  <c r="EV41" i="5"/>
  <c r="FD41" i="5" s="1"/>
  <c r="ET41" i="5"/>
  <c r="ES41" i="5"/>
  <c r="EU41" i="5" s="1"/>
  <c r="ER41" i="5"/>
  <c r="AR41" i="5"/>
  <c r="AO41" i="5"/>
  <c r="AN41" i="5"/>
  <c r="FU40" i="5"/>
  <c r="FT40" i="5"/>
  <c r="FS40" i="5"/>
  <c r="FR40" i="5"/>
  <c r="FQ40" i="5"/>
  <c r="FP40" i="5"/>
  <c r="FO40" i="5"/>
  <c r="FN40" i="5"/>
  <c r="FM40" i="5"/>
  <c r="FL40" i="5"/>
  <c r="FK40" i="5"/>
  <c r="FJ40" i="5"/>
  <c r="FI40" i="5"/>
  <c r="FG40" i="5"/>
  <c r="FF40" i="5"/>
  <c r="FE40" i="5"/>
  <c r="EZ40" i="5"/>
  <c r="EY40" i="5"/>
  <c r="EX40" i="5"/>
  <c r="FH40" i="5" s="1"/>
  <c r="EW40" i="5"/>
  <c r="ET40" i="5"/>
  <c r="EV40" i="5" s="1"/>
  <c r="FD40" i="5" s="1"/>
  <c r="ES40" i="5"/>
  <c r="EU40" i="5" s="1"/>
  <c r="FC40" i="5" s="1"/>
  <c r="ER40" i="5"/>
  <c r="AR40" i="5"/>
  <c r="AO40" i="5"/>
  <c r="AN40" i="5"/>
  <c r="FU39" i="5"/>
  <c r="FT39" i="5"/>
  <c r="FS39" i="5"/>
  <c r="FR39" i="5"/>
  <c r="FQ39" i="5"/>
  <c r="FP39" i="5"/>
  <c r="FO39" i="5"/>
  <c r="FN39" i="5"/>
  <c r="FM39" i="5"/>
  <c r="FL39" i="5"/>
  <c r="FK39" i="5"/>
  <c r="FJ39" i="5"/>
  <c r="FI39" i="5"/>
  <c r="FH39" i="5"/>
  <c r="FF39" i="5"/>
  <c r="FE39" i="5"/>
  <c r="FB39" i="5"/>
  <c r="FA39" i="5"/>
  <c r="EZ39" i="5"/>
  <c r="EY39" i="5"/>
  <c r="EX39" i="5"/>
  <c r="EW39" i="5"/>
  <c r="FG39" i="5" s="1"/>
  <c r="EV39" i="5"/>
  <c r="FD39" i="5" s="1"/>
  <c r="EU39" i="5"/>
  <c r="FC39" i="5" s="1"/>
  <c r="ET39" i="5"/>
  <c r="ES39" i="5"/>
  <c r="ER39" i="5"/>
  <c r="AR39" i="5"/>
  <c r="AO39" i="5"/>
  <c r="AN39" i="5"/>
  <c r="FU38" i="5"/>
  <c r="FT38" i="5"/>
  <c r="FS38" i="5"/>
  <c r="FR38" i="5"/>
  <c r="FQ38" i="5"/>
  <c r="FP38" i="5"/>
  <c r="FO38" i="5"/>
  <c r="FN38" i="5"/>
  <c r="FM38" i="5"/>
  <c r="FL38" i="5"/>
  <c r="FK38" i="5"/>
  <c r="FJ38" i="5"/>
  <c r="FI38" i="5"/>
  <c r="FF38" i="5"/>
  <c r="FE38" i="5"/>
  <c r="FA38" i="5"/>
  <c r="EZ38" i="5"/>
  <c r="EY38" i="5"/>
  <c r="EX38" i="5"/>
  <c r="FH38" i="5" s="1"/>
  <c r="EW38" i="5"/>
  <c r="FG38" i="5" s="1"/>
  <c r="EV38" i="5"/>
  <c r="FD38" i="5" s="1"/>
  <c r="EU38" i="5"/>
  <c r="FC38" i="5" s="1"/>
  <c r="ET38" i="5"/>
  <c r="FB38" i="5" s="1"/>
  <c r="ES38" i="5"/>
  <c r="ER38" i="5"/>
  <c r="AR38" i="5"/>
  <c r="AO38" i="5"/>
  <c r="AN38" i="5"/>
  <c r="FU37" i="5"/>
  <c r="FT37" i="5"/>
  <c r="FS37" i="5"/>
  <c r="FR37" i="5"/>
  <c r="FQ37" i="5"/>
  <c r="FP37" i="5"/>
  <c r="FO37" i="5"/>
  <c r="FN37" i="5"/>
  <c r="FM37" i="5"/>
  <c r="FL37" i="5"/>
  <c r="FK37" i="5"/>
  <c r="FJ37" i="5"/>
  <c r="FI37" i="5"/>
  <c r="FF37" i="5"/>
  <c r="FE37" i="5"/>
  <c r="FD37" i="5"/>
  <c r="FB37" i="5"/>
  <c r="FA37" i="5"/>
  <c r="EZ37" i="5"/>
  <c r="EY37" i="5"/>
  <c r="EX37" i="5"/>
  <c r="FH37" i="5" s="1"/>
  <c r="EW37" i="5"/>
  <c r="FG37" i="5" s="1"/>
  <c r="EV37" i="5"/>
  <c r="ET37" i="5"/>
  <c r="ES37" i="5"/>
  <c r="EU37" i="5" s="1"/>
  <c r="FC37" i="5" s="1"/>
  <c r="ER37" i="5"/>
  <c r="AR37" i="5"/>
  <c r="AO37" i="5"/>
  <c r="AN37" i="5"/>
  <c r="FU36" i="5"/>
  <c r="FT36" i="5"/>
  <c r="FS36" i="5"/>
  <c r="FR36" i="5"/>
  <c r="FQ36" i="5"/>
  <c r="FP36" i="5"/>
  <c r="FO36" i="5"/>
  <c r="FN36" i="5"/>
  <c r="FM36" i="5"/>
  <c r="FL36" i="5"/>
  <c r="FK36" i="5"/>
  <c r="FJ36" i="5"/>
  <c r="FI36" i="5"/>
  <c r="FG36" i="5"/>
  <c r="FF36" i="5"/>
  <c r="FE36" i="5"/>
  <c r="FA36" i="5"/>
  <c r="EZ36" i="5"/>
  <c r="EY36" i="5"/>
  <c r="EX36" i="5"/>
  <c r="FH36" i="5" s="1"/>
  <c r="EW36" i="5"/>
  <c r="EU36" i="5"/>
  <c r="FC36" i="5" s="1"/>
  <c r="ET36" i="5"/>
  <c r="EV36" i="5" s="1"/>
  <c r="FD36" i="5" s="1"/>
  <c r="ES36" i="5"/>
  <c r="ER36" i="5"/>
  <c r="AR36" i="5"/>
  <c r="AO36" i="5"/>
  <c r="AN36" i="5"/>
  <c r="FU35" i="5"/>
  <c r="FT35" i="5"/>
  <c r="FS35" i="5"/>
  <c r="FR35" i="5"/>
  <c r="FQ35" i="5"/>
  <c r="FP35" i="5"/>
  <c r="FO35" i="5"/>
  <c r="FN35" i="5"/>
  <c r="FM35" i="5"/>
  <c r="FL35" i="5"/>
  <c r="FK35" i="5"/>
  <c r="FJ35" i="5"/>
  <c r="FI35" i="5"/>
  <c r="FH35" i="5"/>
  <c r="FF35" i="5"/>
  <c r="FE35" i="5"/>
  <c r="FD35" i="5"/>
  <c r="FC35" i="5"/>
  <c r="FB35" i="5"/>
  <c r="FA35" i="5"/>
  <c r="EZ35" i="5"/>
  <c r="EY35" i="5"/>
  <c r="EX35" i="5"/>
  <c r="EW35" i="5"/>
  <c r="FG35" i="5" s="1"/>
  <c r="EV35" i="5"/>
  <c r="EU35" i="5"/>
  <c r="ET35" i="5"/>
  <c r="ES35" i="5"/>
  <c r="ER35" i="5"/>
  <c r="AR35" i="5"/>
  <c r="AO35" i="5"/>
  <c r="AN35" i="5"/>
  <c r="FU34" i="5"/>
  <c r="FT34" i="5"/>
  <c r="FS34" i="5"/>
  <c r="FR34" i="5"/>
  <c r="FQ34" i="5"/>
  <c r="FP34" i="5"/>
  <c r="FO34" i="5"/>
  <c r="FN34" i="5"/>
  <c r="FM34" i="5"/>
  <c r="FL34" i="5"/>
  <c r="FK34" i="5"/>
  <c r="FJ34" i="5"/>
  <c r="FI34" i="5"/>
  <c r="FF34" i="5"/>
  <c r="FE34" i="5"/>
  <c r="FB34" i="5"/>
  <c r="EZ34" i="5"/>
  <c r="EY34" i="5"/>
  <c r="EX34" i="5"/>
  <c r="FH34" i="5" s="1"/>
  <c r="EW34" i="5"/>
  <c r="FG34" i="5" s="1"/>
  <c r="EV34" i="5"/>
  <c r="FD34" i="5" s="1"/>
  <c r="EU34" i="5"/>
  <c r="FC34" i="5" s="1"/>
  <c r="ET34" i="5"/>
  <c r="ES34" i="5"/>
  <c r="FA34" i="5" s="1"/>
  <c r="ER34" i="5"/>
  <c r="AR34" i="5"/>
  <c r="AO34" i="5"/>
  <c r="AN34" i="5"/>
  <c r="DH33" i="5"/>
  <c r="DG33" i="5"/>
  <c r="DF33" i="5"/>
  <c r="DE33" i="5"/>
  <c r="DD33" i="5"/>
  <c r="DC33" i="5"/>
  <c r="DB33" i="5"/>
  <c r="DA33" i="5"/>
  <c r="CZ33" i="5"/>
  <c r="CY33" i="5"/>
  <c r="CX33" i="5"/>
  <c r="CW33" i="5"/>
  <c r="CV33" i="5"/>
  <c r="CU33" i="5"/>
  <c r="CT33" i="5"/>
  <c r="CS33" i="5"/>
  <c r="CR33" i="5"/>
  <c r="CQ33" i="5"/>
  <c r="CP33" i="5"/>
  <c r="CO33" i="5"/>
  <c r="CN33" i="5"/>
  <c r="CM33" i="5"/>
  <c r="CL33" i="5"/>
  <c r="CI33" i="5"/>
  <c r="CG33" i="5"/>
  <c r="CF33" i="5"/>
  <c r="BU33" i="5"/>
  <c r="BT33" i="5"/>
  <c r="BS33" i="5"/>
  <c r="CK33" i="5" s="1"/>
  <c r="BQ33" i="5"/>
  <c r="BP33" i="5"/>
  <c r="CH33" i="5" s="1"/>
  <c r="BH33" i="5"/>
  <c r="BX33" i="5" s="1"/>
  <c r="BG33" i="5"/>
  <c r="BF33" i="5"/>
  <c r="BV33" i="5" s="1"/>
  <c r="BE33" i="5"/>
  <c r="DH32" i="5"/>
  <c r="DG32" i="5"/>
  <c r="DF32" i="5"/>
  <c r="DE32" i="5"/>
  <c r="DD32" i="5"/>
  <c r="DC32" i="5"/>
  <c r="DB32" i="5"/>
  <c r="DA32" i="5"/>
  <c r="CZ32" i="5"/>
  <c r="CY32" i="5"/>
  <c r="CX32" i="5"/>
  <c r="CW32" i="5"/>
  <c r="CV32" i="5"/>
  <c r="CU32" i="5"/>
  <c r="CT32" i="5"/>
  <c r="CS32" i="5"/>
  <c r="CR32" i="5"/>
  <c r="CQ32" i="5"/>
  <c r="CP32" i="5"/>
  <c r="CO32" i="5"/>
  <c r="CN32" i="5"/>
  <c r="CM32" i="5"/>
  <c r="CL32" i="5"/>
  <c r="CK32" i="5"/>
  <c r="CJ32" i="5"/>
  <c r="CH32" i="5"/>
  <c r="CG32" i="5"/>
  <c r="CF32" i="5"/>
  <c r="BU32" i="5"/>
  <c r="BT32" i="5"/>
  <c r="BS32" i="5"/>
  <c r="BQ32" i="5"/>
  <c r="CI32" i="5" s="1"/>
  <c r="BP32" i="5"/>
  <c r="BR32" i="5" s="1"/>
  <c r="BM32" i="5"/>
  <c r="BO32" i="5" s="1"/>
  <c r="CE32" i="5" s="1"/>
  <c r="BI32" i="5"/>
  <c r="BK32" i="5" s="1"/>
  <c r="CA32" i="5" s="1"/>
  <c r="BG32" i="5"/>
  <c r="BW32" i="5" s="1"/>
  <c r="BF32" i="5"/>
  <c r="BV32" i="5" s="1"/>
  <c r="BE32" i="5"/>
  <c r="DH31" i="5"/>
  <c r="DG31" i="5"/>
  <c r="DF31" i="5"/>
  <c r="DE31" i="5"/>
  <c r="DD31" i="5"/>
  <c r="DC31" i="5"/>
  <c r="DB31" i="5"/>
  <c r="DA31" i="5"/>
  <c r="CZ31" i="5"/>
  <c r="CY31" i="5"/>
  <c r="CX31" i="5"/>
  <c r="CW31" i="5"/>
  <c r="CV31" i="5"/>
  <c r="CU31" i="5"/>
  <c r="CT31" i="5"/>
  <c r="CS31" i="5"/>
  <c r="CR31" i="5"/>
  <c r="CQ31" i="5"/>
  <c r="CP31" i="5"/>
  <c r="CO31" i="5"/>
  <c r="CN31" i="5"/>
  <c r="CM31" i="5"/>
  <c r="CL31" i="5"/>
  <c r="CI31" i="5"/>
  <c r="CG31" i="5"/>
  <c r="CF31" i="5"/>
  <c r="BY31" i="5"/>
  <c r="BW31" i="5"/>
  <c r="BU31" i="5"/>
  <c r="BT31" i="5"/>
  <c r="BQ31" i="5"/>
  <c r="BS31" i="5" s="1"/>
  <c r="CK31" i="5" s="1"/>
  <c r="BP31" i="5"/>
  <c r="BR31" i="5" s="1"/>
  <c r="CJ31" i="5" s="1"/>
  <c r="BK31" i="5"/>
  <c r="CA31" i="5" s="1"/>
  <c r="BI31" i="5"/>
  <c r="BH31" i="5"/>
  <c r="BJ31" i="5" s="1"/>
  <c r="BZ31" i="5" s="1"/>
  <c r="BG31" i="5"/>
  <c r="BF31" i="5"/>
  <c r="BV31" i="5" s="1"/>
  <c r="BE31" i="5"/>
  <c r="DH30" i="5"/>
  <c r="DG30" i="5"/>
  <c r="DF30" i="5"/>
  <c r="DE30" i="5"/>
  <c r="DD30" i="5"/>
  <c r="DC30" i="5"/>
  <c r="DB30" i="5"/>
  <c r="DA30" i="5"/>
  <c r="CZ30" i="5"/>
  <c r="CY30" i="5"/>
  <c r="CX30" i="5"/>
  <c r="CW30" i="5"/>
  <c r="CV30" i="5"/>
  <c r="CU30" i="5"/>
  <c r="CT30" i="5"/>
  <c r="CS30" i="5"/>
  <c r="CR30" i="5"/>
  <c r="CQ30" i="5"/>
  <c r="CP30" i="5"/>
  <c r="CO30" i="5"/>
  <c r="CN30" i="5"/>
  <c r="CM30" i="5"/>
  <c r="CL30" i="5"/>
  <c r="CI30" i="5"/>
  <c r="CG30" i="5"/>
  <c r="CF30" i="5"/>
  <c r="BU30" i="5"/>
  <c r="BT30" i="5"/>
  <c r="BS30" i="5"/>
  <c r="CK30" i="5" s="1"/>
  <c r="BQ30" i="5"/>
  <c r="BP30" i="5"/>
  <c r="BR30" i="5" s="1"/>
  <c r="CJ30" i="5" s="1"/>
  <c r="BH30" i="5"/>
  <c r="BJ30" i="5" s="1"/>
  <c r="BL30" i="5" s="1"/>
  <c r="BG30" i="5"/>
  <c r="BW30" i="5" s="1"/>
  <c r="BF30" i="5"/>
  <c r="BV30" i="5" s="1"/>
  <c r="BE30" i="5"/>
  <c r="DH29" i="5"/>
  <c r="DG29" i="5"/>
  <c r="DF29" i="5"/>
  <c r="DE29" i="5"/>
  <c r="DD29" i="5"/>
  <c r="DC29" i="5"/>
  <c r="DB29" i="5"/>
  <c r="DA29" i="5"/>
  <c r="CZ29" i="5"/>
  <c r="CY29" i="5"/>
  <c r="CX29" i="5"/>
  <c r="CW29" i="5"/>
  <c r="CV29" i="5"/>
  <c r="CU29" i="5"/>
  <c r="CT29" i="5"/>
  <c r="CS29" i="5"/>
  <c r="CR29" i="5"/>
  <c r="CQ29" i="5"/>
  <c r="CP29" i="5"/>
  <c r="CO29" i="5"/>
  <c r="CN29" i="5"/>
  <c r="CM29" i="5"/>
  <c r="CL29" i="5"/>
  <c r="CG29" i="5"/>
  <c r="CF29" i="5"/>
  <c r="BU29" i="5"/>
  <c r="BT29" i="5"/>
  <c r="BQ29" i="5"/>
  <c r="CI29" i="5" s="1"/>
  <c r="BP29" i="5"/>
  <c r="BR29" i="5" s="1"/>
  <c r="CJ29" i="5" s="1"/>
  <c r="BG29" i="5"/>
  <c r="BF29" i="5"/>
  <c r="BV29" i="5" s="1"/>
  <c r="BE29" i="5"/>
  <c r="DH28" i="5"/>
  <c r="DG28" i="5"/>
  <c r="DF28" i="5"/>
  <c r="DE28" i="5"/>
  <c r="DD28" i="5"/>
  <c r="DC28" i="5"/>
  <c r="DB28" i="5"/>
  <c r="DA28" i="5"/>
  <c r="CZ28" i="5"/>
  <c r="CY28" i="5"/>
  <c r="CX28" i="5"/>
  <c r="CW28" i="5"/>
  <c r="CV28" i="5"/>
  <c r="CU28" i="5"/>
  <c r="CT28" i="5"/>
  <c r="CS28" i="5"/>
  <c r="CR28" i="5"/>
  <c r="CQ28" i="5"/>
  <c r="CP28" i="5"/>
  <c r="CO28" i="5"/>
  <c r="CN28" i="5"/>
  <c r="CM28" i="5"/>
  <c r="CL28" i="5"/>
  <c r="CK28" i="5"/>
  <c r="CI28" i="5"/>
  <c r="CG28" i="5"/>
  <c r="CF28" i="5"/>
  <c r="BW28" i="5"/>
  <c r="BU28" i="5"/>
  <c r="BT28" i="5"/>
  <c r="BQ28" i="5"/>
  <c r="BS28" i="5" s="1"/>
  <c r="BP28" i="5"/>
  <c r="CH28" i="5" s="1"/>
  <c r="BI28" i="5"/>
  <c r="BY28" i="5" s="1"/>
  <c r="BG28" i="5"/>
  <c r="BF28" i="5"/>
  <c r="BE28" i="5"/>
  <c r="DH27" i="5"/>
  <c r="DG27" i="5"/>
  <c r="DF27" i="5"/>
  <c r="DE27" i="5"/>
  <c r="DD27" i="5"/>
  <c r="DC27" i="5"/>
  <c r="DB27" i="5"/>
  <c r="DA27" i="5"/>
  <c r="CZ27" i="5"/>
  <c r="CY27" i="5"/>
  <c r="CX27" i="5"/>
  <c r="CW27" i="5"/>
  <c r="CV27" i="5"/>
  <c r="CU27" i="5"/>
  <c r="CT27" i="5"/>
  <c r="CS27" i="5"/>
  <c r="CR27" i="5"/>
  <c r="CQ27" i="5"/>
  <c r="CP27" i="5"/>
  <c r="CO27" i="5"/>
  <c r="CN27" i="5"/>
  <c r="CM27" i="5"/>
  <c r="CL27" i="5"/>
  <c r="CG27" i="5"/>
  <c r="CF27" i="5"/>
  <c r="BY27" i="5"/>
  <c r="BW27" i="5"/>
  <c r="BU27" i="5"/>
  <c r="BT27" i="5"/>
  <c r="BQ27" i="5"/>
  <c r="CI27" i="5" s="1"/>
  <c r="BP27" i="5"/>
  <c r="BR27" i="5" s="1"/>
  <c r="CJ27" i="5" s="1"/>
  <c r="BK27" i="5"/>
  <c r="CA27" i="5" s="1"/>
  <c r="BH27" i="5"/>
  <c r="BX27" i="5" s="1"/>
  <c r="BG27" i="5"/>
  <c r="BI27" i="5" s="1"/>
  <c r="BF27" i="5"/>
  <c r="BV27" i="5" s="1"/>
  <c r="BE27" i="5"/>
  <c r="DH26" i="5"/>
  <c r="DG26" i="5"/>
  <c r="DF26" i="5"/>
  <c r="DE26" i="5"/>
  <c r="DD26" i="5"/>
  <c r="DC26" i="5"/>
  <c r="DB26" i="5"/>
  <c r="DA26" i="5"/>
  <c r="CZ26" i="5"/>
  <c r="CY26" i="5"/>
  <c r="CX26" i="5"/>
  <c r="CW26" i="5"/>
  <c r="CV26" i="5"/>
  <c r="CU26" i="5"/>
  <c r="CT26" i="5"/>
  <c r="CS26" i="5"/>
  <c r="CR26" i="5"/>
  <c r="CQ26" i="5"/>
  <c r="CP26" i="5"/>
  <c r="CO26" i="5"/>
  <c r="CN26" i="5"/>
  <c r="CM26" i="5"/>
  <c r="CL26" i="5"/>
  <c r="CH26" i="5"/>
  <c r="CG26" i="5"/>
  <c r="CF26" i="5"/>
  <c r="BU26" i="5"/>
  <c r="BT26" i="5"/>
  <c r="BR26" i="5"/>
  <c r="CJ26" i="5" s="1"/>
  <c r="BQ26" i="5"/>
  <c r="CI26" i="5" s="1"/>
  <c r="BP26" i="5"/>
  <c r="BH26" i="5"/>
  <c r="BJ26" i="5" s="1"/>
  <c r="BL26" i="5" s="1"/>
  <c r="BG26" i="5"/>
  <c r="BW26" i="5" s="1"/>
  <c r="BF26" i="5"/>
  <c r="BV26" i="5" s="1"/>
  <c r="BE26" i="5"/>
  <c r="DH25" i="5"/>
  <c r="DG25" i="5"/>
  <c r="DF25" i="5"/>
  <c r="DE25" i="5"/>
  <c r="DD25" i="5"/>
  <c r="DC25" i="5"/>
  <c r="DB25" i="5"/>
  <c r="DA25" i="5"/>
  <c r="CZ25" i="5"/>
  <c r="CY25" i="5"/>
  <c r="CX25" i="5"/>
  <c r="CW25" i="5"/>
  <c r="CV25" i="5"/>
  <c r="CU25" i="5"/>
  <c r="CT25" i="5"/>
  <c r="CS25" i="5"/>
  <c r="CR25" i="5"/>
  <c r="CQ25" i="5"/>
  <c r="CP25" i="5"/>
  <c r="CO25" i="5"/>
  <c r="CN25" i="5"/>
  <c r="CM25" i="5"/>
  <c r="CL25" i="5"/>
  <c r="CG25" i="5"/>
  <c r="CF25" i="5"/>
  <c r="BY25" i="5"/>
  <c r="BX25" i="5"/>
  <c r="BW25" i="5"/>
  <c r="BV25" i="5"/>
  <c r="BU25" i="5"/>
  <c r="BT25" i="5"/>
  <c r="BR25" i="5"/>
  <c r="CJ25" i="5" s="1"/>
  <c r="BQ25" i="5"/>
  <c r="BS25" i="5" s="1"/>
  <c r="CK25" i="5" s="1"/>
  <c r="BP25" i="5"/>
  <c r="CH25" i="5" s="1"/>
  <c r="BK25" i="5"/>
  <c r="CA25" i="5" s="1"/>
  <c r="BJ25" i="5"/>
  <c r="BZ25" i="5" s="1"/>
  <c r="BI25" i="5"/>
  <c r="BG25" i="5"/>
  <c r="BF25" i="5"/>
  <c r="BH25" i="5" s="1"/>
  <c r="BE25" i="5"/>
  <c r="DH24" i="5"/>
  <c r="DG24" i="5"/>
  <c r="DF24" i="5"/>
  <c r="DE24" i="5"/>
  <c r="DD24" i="5"/>
  <c r="DC24" i="5"/>
  <c r="DB24" i="5"/>
  <c r="DA24" i="5"/>
  <c r="CZ24" i="5"/>
  <c r="CY24" i="5"/>
  <c r="CX24" i="5"/>
  <c r="CW24" i="5"/>
  <c r="CV24" i="5"/>
  <c r="CU24" i="5"/>
  <c r="CT24" i="5"/>
  <c r="CS24" i="5"/>
  <c r="CR24" i="5"/>
  <c r="CQ24" i="5"/>
  <c r="CP24" i="5"/>
  <c r="CO24" i="5"/>
  <c r="CN24" i="5"/>
  <c r="CM24" i="5"/>
  <c r="CL24" i="5"/>
  <c r="CI24" i="5"/>
  <c r="CG24" i="5"/>
  <c r="CF24" i="5"/>
  <c r="BW24" i="5"/>
  <c r="BV24" i="5"/>
  <c r="BU24" i="5"/>
  <c r="BT24" i="5"/>
  <c r="BS24" i="5"/>
  <c r="CK24" i="5" s="1"/>
  <c r="BQ24" i="5"/>
  <c r="BP24" i="5"/>
  <c r="CH24" i="5" s="1"/>
  <c r="BI24" i="5"/>
  <c r="BK24" i="5" s="1"/>
  <c r="BH24" i="5"/>
  <c r="BG24" i="5"/>
  <c r="BF24" i="5"/>
  <c r="BE24" i="5"/>
  <c r="DH23" i="5"/>
  <c r="DG23" i="5"/>
  <c r="DF23" i="5"/>
  <c r="DE23" i="5"/>
  <c r="DD23" i="5"/>
  <c r="DC23" i="5"/>
  <c r="DB23" i="5"/>
  <c r="DA23" i="5"/>
  <c r="CZ23" i="5"/>
  <c r="CY23" i="5"/>
  <c r="CX23" i="5"/>
  <c r="CW23" i="5"/>
  <c r="CV23" i="5"/>
  <c r="CU23" i="5"/>
  <c r="CT23" i="5"/>
  <c r="CS23" i="5"/>
  <c r="CR23" i="5"/>
  <c r="CQ23" i="5"/>
  <c r="CP23" i="5"/>
  <c r="CO23" i="5"/>
  <c r="CN23" i="5"/>
  <c r="CM23" i="5"/>
  <c r="CL23" i="5"/>
  <c r="CJ23" i="5"/>
  <c r="CH23" i="5"/>
  <c r="CG23" i="5"/>
  <c r="CF23" i="5"/>
  <c r="BU23" i="5"/>
  <c r="BT23" i="5"/>
  <c r="BR23" i="5"/>
  <c r="BQ23" i="5"/>
  <c r="CI23" i="5" s="1"/>
  <c r="BP23" i="5"/>
  <c r="BI23" i="5"/>
  <c r="BG23" i="5"/>
  <c r="BW23" i="5" s="1"/>
  <c r="BF23" i="5"/>
  <c r="BV23" i="5" s="1"/>
  <c r="BE23" i="5"/>
  <c r="DH22" i="5"/>
  <c r="DG22" i="5"/>
  <c r="DF22" i="5"/>
  <c r="DE22" i="5"/>
  <c r="DD22" i="5"/>
  <c r="DC22" i="5"/>
  <c r="DB22" i="5"/>
  <c r="DA22" i="5"/>
  <c r="CZ22" i="5"/>
  <c r="CY22" i="5"/>
  <c r="CX22" i="5"/>
  <c r="CW22" i="5"/>
  <c r="CV22" i="5"/>
  <c r="CU22" i="5"/>
  <c r="CT22" i="5"/>
  <c r="CS22" i="5"/>
  <c r="CR22" i="5"/>
  <c r="CQ22" i="5"/>
  <c r="CP22" i="5"/>
  <c r="CO22" i="5"/>
  <c r="CN22" i="5"/>
  <c r="CM22" i="5"/>
  <c r="CL22" i="5"/>
  <c r="CH22" i="5"/>
  <c r="CG22" i="5"/>
  <c r="CF22" i="5"/>
  <c r="BW22" i="5"/>
  <c r="BV22" i="5"/>
  <c r="BU22" i="5"/>
  <c r="BT22" i="5"/>
  <c r="BR22" i="5"/>
  <c r="CJ22" i="5" s="1"/>
  <c r="BQ22" i="5"/>
  <c r="BP22" i="5"/>
  <c r="BI22" i="5"/>
  <c r="BY22" i="5" s="1"/>
  <c r="BH22" i="5"/>
  <c r="BX22" i="5" s="1"/>
  <c r="BG22" i="5"/>
  <c r="BF22" i="5"/>
  <c r="BE22" i="5"/>
  <c r="DH21" i="5"/>
  <c r="DG21" i="5"/>
  <c r="DF21" i="5"/>
  <c r="DE21" i="5"/>
  <c r="DD21" i="5"/>
  <c r="DC21" i="5"/>
  <c r="DB21" i="5"/>
  <c r="DA21" i="5"/>
  <c r="CZ21" i="5"/>
  <c r="CY21" i="5"/>
  <c r="CX21" i="5"/>
  <c r="CW21" i="5"/>
  <c r="CV21" i="5"/>
  <c r="CU21" i="5"/>
  <c r="CT21" i="5"/>
  <c r="CS21" i="5"/>
  <c r="CR21" i="5"/>
  <c r="CQ21" i="5"/>
  <c r="CP21" i="5"/>
  <c r="CO21" i="5"/>
  <c r="CN21" i="5"/>
  <c r="CM21" i="5"/>
  <c r="CL21" i="5"/>
  <c r="CG21" i="5"/>
  <c r="CF21" i="5"/>
  <c r="BU21" i="5"/>
  <c r="BT21" i="5"/>
  <c r="BS21" i="5"/>
  <c r="CK21" i="5" s="1"/>
  <c r="BQ21" i="5"/>
  <c r="CI21" i="5" s="1"/>
  <c r="BP21" i="5"/>
  <c r="CH21" i="5" s="1"/>
  <c r="BG21" i="5"/>
  <c r="BW21" i="5" s="1"/>
  <c r="BF21" i="5"/>
  <c r="BE21" i="5"/>
  <c r="DH20" i="5"/>
  <c r="DG20" i="5"/>
  <c r="DF20" i="5"/>
  <c r="DE20" i="5"/>
  <c r="DD20" i="5"/>
  <c r="DC20" i="5"/>
  <c r="DB20" i="5"/>
  <c r="DA20" i="5"/>
  <c r="CZ20" i="5"/>
  <c r="CY20" i="5"/>
  <c r="CX20" i="5"/>
  <c r="CW20" i="5"/>
  <c r="CV20" i="5"/>
  <c r="CU20" i="5"/>
  <c r="CT20" i="5"/>
  <c r="CS20" i="5"/>
  <c r="CR20" i="5"/>
  <c r="CQ20" i="5"/>
  <c r="CP20" i="5"/>
  <c r="CO20" i="5"/>
  <c r="CN20" i="5"/>
  <c r="CM20" i="5"/>
  <c r="CL20" i="5"/>
  <c r="CJ20" i="5"/>
  <c r="CH20" i="5"/>
  <c r="CG20" i="5"/>
  <c r="CF20" i="5"/>
  <c r="BU20" i="5"/>
  <c r="BT20" i="5"/>
  <c r="BR20" i="5"/>
  <c r="BQ20" i="5"/>
  <c r="CI20" i="5" s="1"/>
  <c r="BP20" i="5"/>
  <c r="BG20" i="5"/>
  <c r="BW20" i="5" s="1"/>
  <c r="BF20" i="5"/>
  <c r="BH20" i="5" s="1"/>
  <c r="BX20" i="5" s="1"/>
  <c r="BE20" i="5"/>
  <c r="DH19" i="5"/>
  <c r="DG19" i="5"/>
  <c r="DF19" i="5"/>
  <c r="DE19" i="5"/>
  <c r="DD19" i="5"/>
  <c r="DC19" i="5"/>
  <c r="DB19" i="5"/>
  <c r="DA19" i="5"/>
  <c r="CZ19" i="5"/>
  <c r="CY19" i="5"/>
  <c r="CX19" i="5"/>
  <c r="CW19" i="5"/>
  <c r="CV19" i="5"/>
  <c r="CU19" i="5"/>
  <c r="CT19" i="5"/>
  <c r="CS19" i="5"/>
  <c r="CR19" i="5"/>
  <c r="CQ19" i="5"/>
  <c r="CP19" i="5"/>
  <c r="CO19" i="5"/>
  <c r="CN19" i="5"/>
  <c r="CM19" i="5"/>
  <c r="CL19" i="5"/>
  <c r="CH19" i="5"/>
  <c r="CG19" i="5"/>
  <c r="CF19" i="5"/>
  <c r="BU19" i="5"/>
  <c r="BT19" i="5"/>
  <c r="BR19" i="5"/>
  <c r="CJ19" i="5" s="1"/>
  <c r="BQ19" i="5"/>
  <c r="CI19" i="5" s="1"/>
  <c r="BP19" i="5"/>
  <c r="BG19" i="5"/>
  <c r="BI19" i="5" s="1"/>
  <c r="BK19" i="5" s="1"/>
  <c r="BF19" i="5"/>
  <c r="BV19" i="5" s="1"/>
  <c r="BE19" i="5"/>
  <c r="DH18" i="5"/>
  <c r="DG18" i="5"/>
  <c r="DF18" i="5"/>
  <c r="DE18" i="5"/>
  <c r="DD18" i="5"/>
  <c r="DC18" i="5"/>
  <c r="DB18" i="5"/>
  <c r="DA18" i="5"/>
  <c r="CZ18" i="5"/>
  <c r="CY18" i="5"/>
  <c r="CX18" i="5"/>
  <c r="CW18" i="5"/>
  <c r="CV18" i="5"/>
  <c r="CU18" i="5"/>
  <c r="CT18" i="5"/>
  <c r="CS18" i="5"/>
  <c r="CR18" i="5"/>
  <c r="CQ18" i="5"/>
  <c r="CP18" i="5"/>
  <c r="CO18" i="5"/>
  <c r="CN18" i="5"/>
  <c r="CM18" i="5"/>
  <c r="CL18" i="5"/>
  <c r="CI18" i="5"/>
  <c r="CH18" i="5"/>
  <c r="CG18" i="5"/>
  <c r="CF18" i="5"/>
  <c r="BX18" i="5"/>
  <c r="BV18" i="5"/>
  <c r="BU18" i="5"/>
  <c r="BT18" i="5"/>
  <c r="BS18" i="5"/>
  <c r="CK18" i="5" s="1"/>
  <c r="BQ18" i="5"/>
  <c r="BP18" i="5"/>
  <c r="BR18" i="5" s="1"/>
  <c r="CJ18" i="5" s="1"/>
  <c r="BJ18" i="5"/>
  <c r="BZ18" i="5" s="1"/>
  <c r="BG18" i="5"/>
  <c r="BI18" i="5" s="1"/>
  <c r="BY18" i="5" s="1"/>
  <c r="BF18" i="5"/>
  <c r="BH18" i="5" s="1"/>
  <c r="BE18" i="5"/>
  <c r="DH17" i="5"/>
  <c r="DG17" i="5"/>
  <c r="DF17" i="5"/>
  <c r="DE17" i="5"/>
  <c r="DD17" i="5"/>
  <c r="DC17" i="5"/>
  <c r="DB17" i="5"/>
  <c r="DA17" i="5"/>
  <c r="CZ17" i="5"/>
  <c r="CY17" i="5"/>
  <c r="CX17" i="5"/>
  <c r="CW17" i="5"/>
  <c r="CV17" i="5"/>
  <c r="CU17" i="5"/>
  <c r="CT17" i="5"/>
  <c r="CS17" i="5"/>
  <c r="CR17" i="5"/>
  <c r="CQ17" i="5"/>
  <c r="CP17" i="5"/>
  <c r="CO17" i="5"/>
  <c r="CN17" i="5"/>
  <c r="CM17" i="5"/>
  <c r="CL17" i="5"/>
  <c r="CI17" i="5"/>
  <c r="CH17" i="5"/>
  <c r="CG17" i="5"/>
  <c r="CF17" i="5"/>
  <c r="BU17" i="5"/>
  <c r="BT17" i="5"/>
  <c r="BR17" i="5"/>
  <c r="CJ17" i="5" s="1"/>
  <c r="BQ17" i="5"/>
  <c r="BS17" i="5" s="1"/>
  <c r="CK17" i="5" s="1"/>
  <c r="BP17" i="5"/>
  <c r="BI17" i="5"/>
  <c r="BK17" i="5" s="1"/>
  <c r="CA17" i="5" s="1"/>
  <c r="BG17" i="5"/>
  <c r="BW17" i="5" s="1"/>
  <c r="BF17" i="5"/>
  <c r="BV17" i="5" s="1"/>
  <c r="BE17" i="5"/>
  <c r="DH16" i="5"/>
  <c r="DG16" i="5"/>
  <c r="DF16" i="5"/>
  <c r="DE16" i="5"/>
  <c r="DD16" i="5"/>
  <c r="DC16" i="5"/>
  <c r="DB16" i="5"/>
  <c r="DA16" i="5"/>
  <c r="CZ16" i="5"/>
  <c r="CY16" i="5"/>
  <c r="CX16" i="5"/>
  <c r="CW16" i="5"/>
  <c r="CV16" i="5"/>
  <c r="CU16" i="5"/>
  <c r="CT16" i="5"/>
  <c r="CS16" i="5"/>
  <c r="CR16" i="5"/>
  <c r="CQ16" i="5"/>
  <c r="CP16" i="5"/>
  <c r="CO16" i="5"/>
  <c r="CN16" i="5"/>
  <c r="CM16" i="5"/>
  <c r="CL16" i="5"/>
  <c r="CI16" i="5"/>
  <c r="CG16" i="5"/>
  <c r="CF16" i="5"/>
  <c r="BW16" i="5"/>
  <c r="BU16" i="5"/>
  <c r="BT16" i="5"/>
  <c r="BS16" i="5"/>
  <c r="CK16" i="5" s="1"/>
  <c r="BR16" i="5"/>
  <c r="CJ16" i="5" s="1"/>
  <c r="BQ16" i="5"/>
  <c r="BP16" i="5"/>
  <c r="CH16" i="5" s="1"/>
  <c r="BI16" i="5"/>
  <c r="BY16" i="5" s="1"/>
  <c r="BG16" i="5"/>
  <c r="BF16" i="5"/>
  <c r="BH16" i="5" s="1"/>
  <c r="BX16" i="5" s="1"/>
  <c r="BE16" i="5"/>
  <c r="DH15" i="5"/>
  <c r="DG15" i="5"/>
  <c r="DF15" i="5"/>
  <c r="DE15" i="5"/>
  <c r="DD15" i="5"/>
  <c r="DC15" i="5"/>
  <c r="DB15" i="5"/>
  <c r="DA15" i="5"/>
  <c r="CZ15" i="5"/>
  <c r="CY15" i="5"/>
  <c r="CX15" i="5"/>
  <c r="CW15" i="5"/>
  <c r="CV15" i="5"/>
  <c r="CU15" i="5"/>
  <c r="CT15" i="5"/>
  <c r="CS15" i="5"/>
  <c r="CR15" i="5"/>
  <c r="CQ15" i="5"/>
  <c r="CP15" i="5"/>
  <c r="CO15" i="5"/>
  <c r="CN15" i="5"/>
  <c r="CM15" i="5"/>
  <c r="CL15" i="5"/>
  <c r="CG15" i="5"/>
  <c r="CF15" i="5"/>
  <c r="BW15" i="5"/>
  <c r="BU15" i="5"/>
  <c r="BT15" i="5"/>
  <c r="BQ15" i="5"/>
  <c r="CI15" i="5" s="1"/>
  <c r="BP15" i="5"/>
  <c r="BR15" i="5" s="1"/>
  <c r="CJ15" i="5" s="1"/>
  <c r="BG15" i="5"/>
  <c r="BI15" i="5" s="1"/>
  <c r="BF15" i="5"/>
  <c r="BH15" i="5" s="1"/>
  <c r="BX15" i="5" s="1"/>
  <c r="BE15" i="5"/>
  <c r="DH14" i="5"/>
  <c r="DG14" i="5"/>
  <c r="DF14" i="5"/>
  <c r="DE14" i="5"/>
  <c r="DD14" i="5"/>
  <c r="DC14" i="5"/>
  <c r="DB14" i="5"/>
  <c r="DA14" i="5"/>
  <c r="CZ14" i="5"/>
  <c r="CY14" i="5"/>
  <c r="CX14" i="5"/>
  <c r="CW14" i="5"/>
  <c r="CV14" i="5"/>
  <c r="CU14" i="5"/>
  <c r="CT14" i="5"/>
  <c r="CS14" i="5"/>
  <c r="CR14" i="5"/>
  <c r="CQ14" i="5"/>
  <c r="CP14" i="5"/>
  <c r="CO14" i="5"/>
  <c r="CN14" i="5"/>
  <c r="CM14" i="5"/>
  <c r="CL14" i="5"/>
  <c r="CJ14" i="5"/>
  <c r="CI14" i="5"/>
  <c r="CH14" i="5"/>
  <c r="CG14" i="5"/>
  <c r="CF14" i="5"/>
  <c r="BW14" i="5"/>
  <c r="BV14" i="5"/>
  <c r="BU14" i="5"/>
  <c r="BT14" i="5"/>
  <c r="BR14" i="5"/>
  <c r="BQ14" i="5"/>
  <c r="BS14" i="5" s="1"/>
  <c r="CK14" i="5" s="1"/>
  <c r="BP14" i="5"/>
  <c r="BI14" i="5"/>
  <c r="BY14" i="5" s="1"/>
  <c r="BH14" i="5"/>
  <c r="BX14" i="5" s="1"/>
  <c r="BG14" i="5"/>
  <c r="BF14" i="5"/>
  <c r="BE14" i="5"/>
  <c r="DH13" i="5"/>
  <c r="DG13" i="5"/>
  <c r="DF13" i="5"/>
  <c r="DE13" i="5"/>
  <c r="DD13" i="5"/>
  <c r="DC13" i="5"/>
  <c r="DB13" i="5"/>
  <c r="DA13" i="5"/>
  <c r="CZ13" i="5"/>
  <c r="CY13" i="5"/>
  <c r="CX13" i="5"/>
  <c r="CW13" i="5"/>
  <c r="CV13" i="5"/>
  <c r="CU13" i="5"/>
  <c r="CT13" i="5"/>
  <c r="CS13" i="5"/>
  <c r="CR13" i="5"/>
  <c r="CQ13" i="5"/>
  <c r="CP13" i="5"/>
  <c r="CO13" i="5"/>
  <c r="CN13" i="5"/>
  <c r="CM13" i="5"/>
  <c r="CL13" i="5"/>
  <c r="CH13" i="5"/>
  <c r="CG13" i="5"/>
  <c r="CF13" i="5"/>
  <c r="BW13" i="5"/>
  <c r="BU13" i="5"/>
  <c r="BT13" i="5"/>
  <c r="BR13" i="5"/>
  <c r="CJ13" i="5" s="1"/>
  <c r="BQ13" i="5"/>
  <c r="CI13" i="5" s="1"/>
  <c r="BP13" i="5"/>
  <c r="BI13" i="5"/>
  <c r="BG13" i="5"/>
  <c r="BF13" i="5"/>
  <c r="BV13" i="5" s="1"/>
  <c r="BE13" i="5"/>
  <c r="DH12" i="5"/>
  <c r="DG12" i="5"/>
  <c r="DF12" i="5"/>
  <c r="DE12" i="5"/>
  <c r="DD12" i="5"/>
  <c r="DC12" i="5"/>
  <c r="DB12" i="5"/>
  <c r="DA12" i="5"/>
  <c r="CZ12" i="5"/>
  <c r="CY12" i="5"/>
  <c r="CX12" i="5"/>
  <c r="CW12" i="5"/>
  <c r="CV12" i="5"/>
  <c r="CU12" i="5"/>
  <c r="CT12" i="5"/>
  <c r="CS12" i="5"/>
  <c r="CR12" i="5"/>
  <c r="CQ12" i="5"/>
  <c r="CP12" i="5"/>
  <c r="CO12" i="5"/>
  <c r="CN12" i="5"/>
  <c r="CM12" i="5"/>
  <c r="CL12" i="5"/>
  <c r="CH12" i="5"/>
  <c r="CG12" i="5"/>
  <c r="CF12" i="5"/>
  <c r="BX12" i="5"/>
  <c r="BW12" i="5"/>
  <c r="BV12" i="5"/>
  <c r="BU12" i="5"/>
  <c r="BT12" i="5"/>
  <c r="BR12" i="5"/>
  <c r="CJ12" i="5" s="1"/>
  <c r="BQ12" i="5"/>
  <c r="BS12" i="5" s="1"/>
  <c r="CK12" i="5" s="1"/>
  <c r="BP12" i="5"/>
  <c r="BL12" i="5"/>
  <c r="CB12" i="5" s="1"/>
  <c r="BJ12" i="5"/>
  <c r="BZ12" i="5" s="1"/>
  <c r="BI12" i="5"/>
  <c r="BY12" i="5" s="1"/>
  <c r="BG12" i="5"/>
  <c r="BF12" i="5"/>
  <c r="BH12" i="5" s="1"/>
  <c r="BE12" i="5"/>
  <c r="DH11" i="5"/>
  <c r="DG11" i="5"/>
  <c r="DF11" i="5"/>
  <c r="DE11" i="5"/>
  <c r="DD11" i="5"/>
  <c r="DC11" i="5"/>
  <c r="DB11" i="5"/>
  <c r="DA11" i="5"/>
  <c r="CZ11" i="5"/>
  <c r="CY11" i="5"/>
  <c r="CX11" i="5"/>
  <c r="CW11" i="5"/>
  <c r="CV11" i="5"/>
  <c r="CU11" i="5"/>
  <c r="CT11" i="5"/>
  <c r="CS11" i="5"/>
  <c r="CR11" i="5"/>
  <c r="CQ11" i="5"/>
  <c r="CP11" i="5"/>
  <c r="CO11" i="5"/>
  <c r="CN11" i="5"/>
  <c r="CM11" i="5"/>
  <c r="CL11" i="5"/>
  <c r="CJ11" i="5"/>
  <c r="CH11" i="5"/>
  <c r="CG11" i="5"/>
  <c r="CF11" i="5"/>
  <c r="BW11" i="5"/>
  <c r="BV11" i="5"/>
  <c r="BU11" i="5"/>
  <c r="BT11" i="5"/>
  <c r="BR11" i="5"/>
  <c r="BQ11" i="5"/>
  <c r="CI11" i="5" s="1"/>
  <c r="BP11" i="5"/>
  <c r="BI11" i="5"/>
  <c r="BY11" i="5" s="1"/>
  <c r="BG11" i="5"/>
  <c r="BF11" i="5"/>
  <c r="BH11" i="5" s="1"/>
  <c r="BE11" i="5"/>
  <c r="DH10" i="5"/>
  <c r="DG10" i="5"/>
  <c r="DF10" i="5"/>
  <c r="DE10" i="5"/>
  <c r="DD10" i="5"/>
  <c r="DC10" i="5"/>
  <c r="DB10" i="5"/>
  <c r="DA10" i="5"/>
  <c r="CZ10" i="5"/>
  <c r="CY10" i="5"/>
  <c r="CX10" i="5"/>
  <c r="CW10" i="5"/>
  <c r="CV10" i="5"/>
  <c r="CU10" i="5"/>
  <c r="CT10" i="5"/>
  <c r="CS10" i="5"/>
  <c r="CR10" i="5"/>
  <c r="CQ10" i="5"/>
  <c r="CP10" i="5"/>
  <c r="CO10" i="5"/>
  <c r="CN10" i="5"/>
  <c r="CM10" i="5"/>
  <c r="CL10" i="5"/>
  <c r="CK10" i="5"/>
  <c r="CI10" i="5"/>
  <c r="CG10" i="5"/>
  <c r="CF10" i="5"/>
  <c r="BV10" i="5"/>
  <c r="BU10" i="5"/>
  <c r="BT10" i="5"/>
  <c r="BQ10" i="5"/>
  <c r="BS10" i="5" s="1"/>
  <c r="BP10" i="5"/>
  <c r="CH10" i="5" s="1"/>
  <c r="BH10" i="5"/>
  <c r="BX10" i="5" s="1"/>
  <c r="BG10" i="5"/>
  <c r="BW10" i="5" s="1"/>
  <c r="BF10" i="5"/>
  <c r="BE10" i="5"/>
  <c r="DH9" i="5"/>
  <c r="DG9" i="5"/>
  <c r="DF9" i="5"/>
  <c r="DE9" i="5"/>
  <c r="DD9" i="5"/>
  <c r="DC9" i="5"/>
  <c r="DB9" i="5"/>
  <c r="DA9" i="5"/>
  <c r="CZ9" i="5"/>
  <c r="CY9" i="5"/>
  <c r="CX9" i="5"/>
  <c r="CW9" i="5"/>
  <c r="CV9" i="5"/>
  <c r="CU9" i="5"/>
  <c r="CT9" i="5"/>
  <c r="CS9" i="5"/>
  <c r="CR9" i="5"/>
  <c r="CQ9" i="5"/>
  <c r="CP9" i="5"/>
  <c r="CO9" i="5"/>
  <c r="CN9" i="5"/>
  <c r="CM9" i="5"/>
  <c r="CL9" i="5"/>
  <c r="CI9" i="5"/>
  <c r="CH9" i="5"/>
  <c r="CG9" i="5"/>
  <c r="CF9" i="5"/>
  <c r="BU9" i="5"/>
  <c r="BT9" i="5"/>
  <c r="BQ9" i="5"/>
  <c r="BS9" i="5" s="1"/>
  <c r="CK9" i="5" s="1"/>
  <c r="BP9" i="5"/>
  <c r="BR9" i="5" s="1"/>
  <c r="CJ9" i="5" s="1"/>
  <c r="BG9" i="5"/>
  <c r="BI9" i="5" s="1"/>
  <c r="BF9" i="5"/>
  <c r="BH9" i="5" s="1"/>
  <c r="BJ9" i="5" s="1"/>
  <c r="BE9" i="5"/>
  <c r="DH8" i="5"/>
  <c r="DG8" i="5"/>
  <c r="DF8" i="5"/>
  <c r="DE8" i="5"/>
  <c r="DD8" i="5"/>
  <c r="DC8" i="5"/>
  <c r="DB8" i="5"/>
  <c r="DA8" i="5"/>
  <c r="CZ8" i="5"/>
  <c r="CY8" i="5"/>
  <c r="CX8" i="5"/>
  <c r="CW8" i="5"/>
  <c r="CV8" i="5"/>
  <c r="CU8" i="5"/>
  <c r="CT8" i="5"/>
  <c r="CS8" i="5"/>
  <c r="CR8" i="5"/>
  <c r="CQ8" i="5"/>
  <c r="CP8" i="5"/>
  <c r="CO8" i="5"/>
  <c r="CN8" i="5"/>
  <c r="CM8" i="5"/>
  <c r="CL8" i="5"/>
  <c r="CH8" i="5"/>
  <c r="CG8" i="5"/>
  <c r="CF8" i="5"/>
  <c r="BZ8" i="5"/>
  <c r="BV8" i="5"/>
  <c r="BU8" i="5"/>
  <c r="BT8" i="5"/>
  <c r="BR8" i="5"/>
  <c r="CJ8" i="5" s="1"/>
  <c r="BQ8" i="5"/>
  <c r="CI8" i="5" s="1"/>
  <c r="BP8" i="5"/>
  <c r="BJ8" i="5"/>
  <c r="BL8" i="5" s="1"/>
  <c r="BG8" i="5"/>
  <c r="BI8" i="5" s="1"/>
  <c r="BF8" i="5"/>
  <c r="BH8" i="5" s="1"/>
  <c r="BX8" i="5" s="1"/>
  <c r="BE8" i="5"/>
  <c r="DH7" i="5"/>
  <c r="DG7" i="5"/>
  <c r="DF7" i="5"/>
  <c r="DE7" i="5"/>
  <c r="DD7" i="5"/>
  <c r="DC7" i="5"/>
  <c r="DB7" i="5"/>
  <c r="DA7" i="5"/>
  <c r="CZ7" i="5"/>
  <c r="CY7" i="5"/>
  <c r="CX7" i="5"/>
  <c r="CW7" i="5"/>
  <c r="CV7" i="5"/>
  <c r="CU7" i="5"/>
  <c r="CT7" i="5"/>
  <c r="CS7" i="5"/>
  <c r="CR7" i="5"/>
  <c r="CQ7" i="5"/>
  <c r="CP7" i="5"/>
  <c r="CO7" i="5"/>
  <c r="CN7" i="5"/>
  <c r="CM7" i="5"/>
  <c r="CL7" i="5"/>
  <c r="CH7" i="5"/>
  <c r="CG7" i="5"/>
  <c r="CF7" i="5"/>
  <c r="BV7" i="5"/>
  <c r="BU7" i="5"/>
  <c r="BT7" i="5"/>
  <c r="BR7" i="5"/>
  <c r="CJ7" i="5" s="1"/>
  <c r="BQ7" i="5"/>
  <c r="CI7" i="5" s="1"/>
  <c r="BP7" i="5"/>
  <c r="BJ7" i="5"/>
  <c r="BL7" i="5" s="1"/>
  <c r="BN7" i="5" s="1"/>
  <c r="CD7" i="5" s="1"/>
  <c r="BH7" i="5"/>
  <c r="BX7" i="5" s="1"/>
  <c r="BG7" i="5"/>
  <c r="BW7" i="5" s="1"/>
  <c r="BF7" i="5"/>
  <c r="BE7" i="5"/>
  <c r="DH6" i="5"/>
  <c r="DG6" i="5"/>
  <c r="DF6" i="5"/>
  <c r="DE6" i="5"/>
  <c r="DD6" i="5"/>
  <c r="DC6" i="5"/>
  <c r="DB6" i="5"/>
  <c r="DA6" i="5"/>
  <c r="CZ6" i="5"/>
  <c r="CY6" i="5"/>
  <c r="CX6" i="5"/>
  <c r="CW6" i="5"/>
  <c r="CV6" i="5"/>
  <c r="CU6" i="5"/>
  <c r="CT6" i="5"/>
  <c r="CS6" i="5"/>
  <c r="CR6" i="5"/>
  <c r="CQ6" i="5"/>
  <c r="CP6" i="5"/>
  <c r="CO6" i="5"/>
  <c r="CN6" i="5"/>
  <c r="CM6" i="5"/>
  <c r="CL6" i="5"/>
  <c r="CJ6" i="5"/>
  <c r="CI6" i="5"/>
  <c r="CG6" i="5"/>
  <c r="CF6" i="5"/>
  <c r="BY6" i="5"/>
  <c r="BX6" i="5"/>
  <c r="BW6" i="5"/>
  <c r="BU6" i="5"/>
  <c r="BT6" i="5"/>
  <c r="BR6" i="5"/>
  <c r="BQ6" i="5"/>
  <c r="BS6" i="5" s="1"/>
  <c r="CK6" i="5" s="1"/>
  <c r="BP6" i="5"/>
  <c r="CH6" i="5" s="1"/>
  <c r="BK6" i="5"/>
  <c r="BM6" i="5" s="1"/>
  <c r="BG6" i="5"/>
  <c r="BI6" i="5" s="1"/>
  <c r="BF6" i="5"/>
  <c r="BH6" i="5" s="1"/>
  <c r="BJ6" i="5" s="1"/>
  <c r="BE6" i="5"/>
  <c r="DH5" i="5"/>
  <c r="DG5" i="5"/>
  <c r="DF5" i="5"/>
  <c r="DE5" i="5"/>
  <c r="DD5" i="5"/>
  <c r="DC5" i="5"/>
  <c r="DB5" i="5"/>
  <c r="DA5" i="5"/>
  <c r="CZ5" i="5"/>
  <c r="CY5" i="5"/>
  <c r="CX5" i="5"/>
  <c r="CW5" i="5"/>
  <c r="CV5" i="5"/>
  <c r="CU5" i="5"/>
  <c r="CT5" i="5"/>
  <c r="CS5" i="5"/>
  <c r="CR5" i="5"/>
  <c r="CQ5" i="5"/>
  <c r="CP5" i="5"/>
  <c r="CO5" i="5"/>
  <c r="CN5" i="5"/>
  <c r="CM5" i="5"/>
  <c r="CL5" i="5"/>
  <c r="CJ5" i="5"/>
  <c r="CH5" i="5"/>
  <c r="CG5" i="5"/>
  <c r="CF5" i="5"/>
  <c r="BU5" i="5"/>
  <c r="BT5" i="5"/>
  <c r="BR5" i="5"/>
  <c r="BQ5" i="5"/>
  <c r="CI5" i="5" s="1"/>
  <c r="BP5" i="5"/>
  <c r="BI5" i="5"/>
  <c r="BY5" i="5" s="1"/>
  <c r="BG5" i="5"/>
  <c r="BW5" i="5" s="1"/>
  <c r="BF5" i="5"/>
  <c r="BV5" i="5" s="1"/>
  <c r="BE5" i="5"/>
  <c r="DH4" i="5"/>
  <c r="DG4" i="5"/>
  <c r="DF4" i="5"/>
  <c r="DE4" i="5"/>
  <c r="DD4" i="5"/>
  <c r="DC4" i="5"/>
  <c r="DB4" i="5"/>
  <c r="DA4" i="5"/>
  <c r="CZ4" i="5"/>
  <c r="CY4" i="5"/>
  <c r="CX4" i="5"/>
  <c r="CW4" i="5"/>
  <c r="CV4" i="5"/>
  <c r="CU4" i="5"/>
  <c r="CT4" i="5"/>
  <c r="CS4" i="5"/>
  <c r="CR4" i="5"/>
  <c r="CQ4" i="5"/>
  <c r="CP4" i="5"/>
  <c r="CO4" i="5"/>
  <c r="CN4" i="5"/>
  <c r="CM4" i="5"/>
  <c r="CL4" i="5"/>
  <c r="CI4" i="5"/>
  <c r="CG4" i="5"/>
  <c r="CF4" i="5"/>
  <c r="BU4" i="5"/>
  <c r="BT4" i="5"/>
  <c r="BS4" i="5"/>
  <c r="CK4" i="5" s="1"/>
  <c r="BQ4" i="5"/>
  <c r="BP4" i="5"/>
  <c r="CH4" i="5" s="1"/>
  <c r="BG4" i="5"/>
  <c r="BW4" i="5" s="1"/>
  <c r="BF4" i="5"/>
  <c r="BH4" i="5" s="1"/>
  <c r="BX4" i="5" s="1"/>
  <c r="BE4" i="5"/>
  <c r="DH3" i="5"/>
  <c r="DG3" i="5"/>
  <c r="DF3" i="5"/>
  <c r="DE3" i="5"/>
  <c r="DD3" i="5"/>
  <c r="DC3" i="5"/>
  <c r="DB3" i="5"/>
  <c r="DA3" i="5"/>
  <c r="CZ3" i="5"/>
  <c r="CY3" i="5"/>
  <c r="CX3" i="5"/>
  <c r="CW3" i="5"/>
  <c r="CV3" i="5"/>
  <c r="CU3" i="5"/>
  <c r="CT3" i="5"/>
  <c r="CS3" i="5"/>
  <c r="CR3" i="5"/>
  <c r="CQ3" i="5"/>
  <c r="CP3" i="5"/>
  <c r="CO3" i="5"/>
  <c r="CN3" i="5"/>
  <c r="CM3" i="5"/>
  <c r="CL3" i="5"/>
  <c r="CK3" i="5"/>
  <c r="CH3" i="5"/>
  <c r="CG3" i="5"/>
  <c r="CF3" i="5"/>
  <c r="BY3" i="5"/>
  <c r="BX3" i="5"/>
  <c r="BU3" i="5"/>
  <c r="BT3" i="5"/>
  <c r="BS3" i="5"/>
  <c r="BR3" i="5"/>
  <c r="CJ3" i="5" s="1"/>
  <c r="BQ3" i="5"/>
  <c r="CI3" i="5" s="1"/>
  <c r="BP3" i="5"/>
  <c r="BI3" i="5"/>
  <c r="BK3" i="5" s="1"/>
  <c r="BG3" i="5"/>
  <c r="BW3" i="5" s="1"/>
  <c r="BF3" i="5"/>
  <c r="BH3" i="5" s="1"/>
  <c r="BJ3" i="5" s="1"/>
  <c r="BE3" i="5"/>
  <c r="DH2" i="5"/>
  <c r="DG2" i="5"/>
  <c r="DF2" i="5"/>
  <c r="DE2" i="5"/>
  <c r="DD2" i="5"/>
  <c r="DC2" i="5"/>
  <c r="DB2" i="5"/>
  <c r="DA2" i="5"/>
  <c r="CZ2" i="5"/>
  <c r="CY2" i="5"/>
  <c r="CX2" i="5"/>
  <c r="CW2" i="5"/>
  <c r="CV2" i="5"/>
  <c r="CU2" i="5"/>
  <c r="CT2" i="5"/>
  <c r="CS2" i="5"/>
  <c r="CR2" i="5"/>
  <c r="CQ2" i="5"/>
  <c r="CP2" i="5"/>
  <c r="CO2" i="5"/>
  <c r="CN2" i="5"/>
  <c r="CM2" i="5"/>
  <c r="CL2" i="5"/>
  <c r="CH2" i="5"/>
  <c r="CG2" i="5"/>
  <c r="CF2" i="5"/>
  <c r="BZ2" i="5"/>
  <c r="BX2" i="5"/>
  <c r="BU2" i="5"/>
  <c r="BT2" i="5"/>
  <c r="BR2" i="5"/>
  <c r="CJ2" i="5" s="1"/>
  <c r="BQ2" i="5"/>
  <c r="CI2" i="5" s="1"/>
  <c r="BP2" i="5"/>
  <c r="BH2" i="5"/>
  <c r="BJ2" i="5" s="1"/>
  <c r="BL2" i="5" s="1"/>
  <c r="BG2" i="5"/>
  <c r="BW2" i="5" s="1"/>
  <c r="BF2" i="5"/>
  <c r="BV2" i="5" s="1"/>
  <c r="BE2" i="5"/>
  <c r="G2" i="5"/>
  <c r="CA19" i="5" l="1"/>
  <c r="BM19" i="5"/>
  <c r="BK8" i="5"/>
  <c r="BY8" i="5"/>
  <c r="BZ9" i="5"/>
  <c r="BL9" i="5"/>
  <c r="CB26" i="5"/>
  <c r="BN26" i="5"/>
  <c r="CD26" i="5" s="1"/>
  <c r="AB43" i="5"/>
  <c r="HH43" i="5" s="1"/>
  <c r="AA43" i="5"/>
  <c r="HG43" i="5" s="1"/>
  <c r="BJ11" i="5"/>
  <c r="BX11" i="5"/>
  <c r="CB8" i="5"/>
  <c r="BN8" i="5"/>
  <c r="CD8" i="5" s="1"/>
  <c r="BK9" i="5"/>
  <c r="BY9" i="5"/>
  <c r="HN43" i="5"/>
  <c r="GZ43" i="5"/>
  <c r="HD44" i="5"/>
  <c r="HT44" i="5" s="1"/>
  <c r="HR44" i="5"/>
  <c r="BL3" i="5"/>
  <c r="BZ3" i="5"/>
  <c r="CB2" i="5"/>
  <c r="BN2" i="5"/>
  <c r="CD2" i="5" s="1"/>
  <c r="BZ6" i="5"/>
  <c r="BL6" i="5"/>
  <c r="CA24" i="5"/>
  <c r="BM24" i="5"/>
  <c r="CB30" i="5"/>
  <c r="BN30" i="5"/>
  <c r="CD30" i="5" s="1"/>
  <c r="BM3" i="5"/>
  <c r="CA3" i="5"/>
  <c r="BO6" i="5"/>
  <c r="CE6" i="5" s="1"/>
  <c r="CC6" i="5"/>
  <c r="BY15" i="5"/>
  <c r="BK15" i="5"/>
  <c r="HC45" i="5"/>
  <c r="HS45" i="5" s="1"/>
  <c r="HQ45" i="5"/>
  <c r="CC32" i="5"/>
  <c r="BJ14" i="5"/>
  <c r="BH23" i="5"/>
  <c r="EU42" i="5"/>
  <c r="FC42" i="5" s="1"/>
  <c r="BX9" i="5"/>
  <c r="CH15" i="5"/>
  <c r="BJ20" i="5"/>
  <c r="BV20" i="5"/>
  <c r="BX26" i="5"/>
  <c r="BW29" i="5"/>
  <c r="BI29" i="5"/>
  <c r="CB7" i="5"/>
  <c r="BJ10" i="5"/>
  <c r="BS11" i="5"/>
  <c r="CK11" i="5" s="1"/>
  <c r="BN12" i="5"/>
  <c r="CD12" i="5" s="1"/>
  <c r="BH13" i="5"/>
  <c r="BV16" i="5"/>
  <c r="BM25" i="5"/>
  <c r="BK28" i="5"/>
  <c r="BH32" i="5"/>
  <c r="HO43" i="5"/>
  <c r="HP44" i="5"/>
  <c r="BV3" i="5"/>
  <c r="BW8" i="5"/>
  <c r="BJ16" i="5"/>
  <c r="BR4" i="5"/>
  <c r="CJ4" i="5" s="1"/>
  <c r="BV6" i="5"/>
  <c r="BK16" i="5"/>
  <c r="BH17" i="5"/>
  <c r="BI21" i="5"/>
  <c r="BS23" i="5"/>
  <c r="CK23" i="5" s="1"/>
  <c r="BR24" i="5"/>
  <c r="CJ24" i="5" s="1"/>
  <c r="BM31" i="5"/>
  <c r="BJ33" i="5"/>
  <c r="IM46" i="5"/>
  <c r="IA46" i="5"/>
  <c r="IP46" i="5"/>
  <c r="IC46" i="5"/>
  <c r="IH46" i="5"/>
  <c r="IF46" i="5"/>
  <c r="ID46" i="5"/>
  <c r="IO46" i="5"/>
  <c r="GT46" i="5"/>
  <c r="IN46" i="5"/>
  <c r="IJ46" i="5"/>
  <c r="II46" i="5"/>
  <c r="IK46" i="5"/>
  <c r="HN47" i="5"/>
  <c r="GZ47" i="5"/>
  <c r="HM50" i="5"/>
  <c r="HN49" i="5"/>
  <c r="GZ49" i="5"/>
  <c r="HR51" i="5"/>
  <c r="GY53" i="5"/>
  <c r="HM53" i="5"/>
  <c r="GZ45" i="5"/>
  <c r="HC50" i="5"/>
  <c r="HS50" i="5" s="1"/>
  <c r="HQ50" i="5"/>
  <c r="HN53" i="5"/>
  <c r="GZ53" i="5"/>
  <c r="BS2" i="5"/>
  <c r="CK2" i="5" s="1"/>
  <c r="BI4" i="5"/>
  <c r="BV4" i="5"/>
  <c r="BW9" i="5"/>
  <c r="BK14" i="5"/>
  <c r="BS15" i="5"/>
  <c r="CK15" i="5" s="1"/>
  <c r="BM17" i="5"/>
  <c r="BL18" i="5"/>
  <c r="BK22" i="5"/>
  <c r="BK23" i="5"/>
  <c r="BY23" i="5"/>
  <c r="BS26" i="5"/>
  <c r="CK26" i="5" s="1"/>
  <c r="BS27" i="5"/>
  <c r="CK27" i="5" s="1"/>
  <c r="CH27" i="5"/>
  <c r="BR28" i="5"/>
  <c r="CJ28" i="5" s="1"/>
  <c r="BS29" i="5"/>
  <c r="CK29" i="5" s="1"/>
  <c r="CH29" i="5"/>
  <c r="EV42" i="5"/>
  <c r="FD42" i="5" s="1"/>
  <c r="U47" i="5"/>
  <c r="HM48" i="5"/>
  <c r="HN50" i="5"/>
  <c r="GZ50" i="5"/>
  <c r="BW19" i="5"/>
  <c r="BY24" i="5"/>
  <c r="BV28" i="5"/>
  <c r="BH28" i="5"/>
  <c r="CH31" i="5"/>
  <c r="GY46" i="5"/>
  <c r="HN48" i="5"/>
  <c r="GZ48" i="5"/>
  <c r="HO49" i="5"/>
  <c r="HA49" i="5"/>
  <c r="BY17" i="5"/>
  <c r="BS7" i="5"/>
  <c r="CK7" i="5" s="1"/>
  <c r="BJ22" i="5"/>
  <c r="CH30" i="5"/>
  <c r="BJ4" i="5"/>
  <c r="BS5" i="5"/>
  <c r="CK5" i="5" s="1"/>
  <c r="CA6" i="5"/>
  <c r="BR10" i="5"/>
  <c r="CJ10" i="5" s="1"/>
  <c r="BS20" i="5"/>
  <c r="CK20" i="5" s="1"/>
  <c r="BX24" i="5"/>
  <c r="BJ24" i="5"/>
  <c r="BR33" i="5"/>
  <c r="CJ33" i="5" s="1"/>
  <c r="HO48" i="5"/>
  <c r="HB52" i="5"/>
  <c r="HP52" i="5"/>
  <c r="BI2" i="5"/>
  <c r="BH5" i="5"/>
  <c r="BI7" i="5"/>
  <c r="BS8" i="5"/>
  <c r="CK8" i="5" s="1"/>
  <c r="BK12" i="5"/>
  <c r="BS13" i="5"/>
  <c r="CK13" i="5" s="1"/>
  <c r="BV15" i="5"/>
  <c r="BH19" i="5"/>
  <c r="BY19" i="5"/>
  <c r="BI20" i="5"/>
  <c r="BR21" i="5"/>
  <c r="CJ21" i="5" s="1"/>
  <c r="FA40" i="5"/>
  <c r="HP46" i="5"/>
  <c r="HB46" i="5"/>
  <c r="HK51" i="5"/>
  <c r="GW51" i="5"/>
  <c r="BV9" i="5"/>
  <c r="BK11" i="5"/>
  <c r="BW18" i="5"/>
  <c r="BS19" i="5"/>
  <c r="CK19" i="5" s="1"/>
  <c r="CI25" i="5"/>
  <c r="BX30" i="5"/>
  <c r="FB36" i="5"/>
  <c r="FB40" i="5"/>
  <c r="HN44" i="5"/>
  <c r="HC48" i="5"/>
  <c r="HS48" i="5" s="1"/>
  <c r="BZ7" i="5"/>
  <c r="BI10" i="5"/>
  <c r="BS22" i="5"/>
  <c r="CK22" i="5" s="1"/>
  <c r="CI22" i="5"/>
  <c r="BL25" i="5"/>
  <c r="BI26" i="5"/>
  <c r="BZ26" i="5"/>
  <c r="BJ27" i="5"/>
  <c r="BH29" i="5"/>
  <c r="BI30" i="5"/>
  <c r="BX31" i="5"/>
  <c r="HM44" i="5"/>
  <c r="GY44" i="5"/>
  <c r="HM49" i="5"/>
  <c r="HM47" i="5"/>
  <c r="HC54" i="5"/>
  <c r="HS54" i="5" s="1"/>
  <c r="HQ54" i="5"/>
  <c r="BK18" i="5"/>
  <c r="CI12" i="5"/>
  <c r="BJ15" i="5"/>
  <c r="BK5" i="5"/>
  <c r="BH21" i="5"/>
  <c r="BV21" i="5"/>
  <c r="BZ30" i="5"/>
  <c r="BW33" i="5"/>
  <c r="BI33" i="5"/>
  <c r="BY13" i="5"/>
  <c r="BK13" i="5"/>
  <c r="BM27" i="5"/>
  <c r="BL31" i="5"/>
  <c r="BY32" i="5"/>
  <c r="HA47" i="5"/>
  <c r="HO47" i="5"/>
  <c r="HK55" i="5"/>
  <c r="GW55" i="5"/>
  <c r="HM52" i="5"/>
  <c r="HN54" i="5"/>
  <c r="GZ54" i="5"/>
  <c r="HM45" i="5"/>
  <c r="HO52" i="5"/>
  <c r="HA52" i="5"/>
  <c r="X45" i="5"/>
  <c r="II45" i="5"/>
  <c r="IP45" i="5"/>
  <c r="IC45" i="5"/>
  <c r="IH45" i="5"/>
  <c r="IF45" i="5"/>
  <c r="IJ45" i="5"/>
  <c r="HL55" i="5"/>
  <c r="GX55" i="5"/>
  <c r="IQ44" i="5"/>
  <c r="IE44" i="5"/>
  <c r="IK44" i="5"/>
  <c r="LR173" i="5"/>
  <c r="LS173" i="5" s="1"/>
  <c r="NA180" i="5"/>
  <c r="LQ175" i="5"/>
  <c r="EU226" i="5"/>
  <c r="FC226" i="5" s="1"/>
  <c r="EU225" i="5"/>
  <c r="FC225" i="5" s="1"/>
  <c r="FA225" i="5"/>
  <c r="EV227" i="5"/>
  <c r="FD227" i="5" s="1"/>
  <c r="AL267" i="5"/>
  <c r="AK267" i="5"/>
  <c r="GV267" i="5"/>
  <c r="GU267" i="5"/>
  <c r="HI267" i="5"/>
  <c r="AC269" i="5"/>
  <c r="TZ300" i="5"/>
  <c r="UA299" i="5"/>
  <c r="UB299" i="5" s="1"/>
  <c r="AB304" i="5"/>
  <c r="KD304" i="5" s="1"/>
  <c r="AA304" i="5"/>
  <c r="KC304" i="5" s="1"/>
  <c r="GZ55" i="5" l="1"/>
  <c r="HN55" i="5"/>
  <c r="BK33" i="5"/>
  <c r="BY33" i="5"/>
  <c r="CA12" i="5"/>
  <c r="BM12" i="5"/>
  <c r="HO46" i="5"/>
  <c r="HA46" i="5"/>
  <c r="CC31" i="5"/>
  <c r="BO31" i="5"/>
  <c r="CE31" i="5" s="1"/>
  <c r="BZ11" i="5"/>
  <c r="BL11" i="5"/>
  <c r="AC270" i="5"/>
  <c r="HS269" i="5"/>
  <c r="HT269" i="5"/>
  <c r="BY10" i="5"/>
  <c r="BK10" i="5"/>
  <c r="GY51" i="5"/>
  <c r="HM51" i="5"/>
  <c r="CA14" i="5"/>
  <c r="BM14" i="5"/>
  <c r="HO53" i="5"/>
  <c r="HA53" i="5"/>
  <c r="BJ32" i="5"/>
  <c r="BX32" i="5"/>
  <c r="HA44" i="5"/>
  <c r="HO44" i="5"/>
  <c r="BK7" i="5"/>
  <c r="BY7" i="5"/>
  <c r="BJ28" i="5"/>
  <c r="BX28" i="5"/>
  <c r="CA28" i="5"/>
  <c r="BM28" i="5"/>
  <c r="BZ20" i="5"/>
  <c r="BL20" i="5"/>
  <c r="CB3" i="5"/>
  <c r="BN3" i="5"/>
  <c r="CD3" i="5" s="1"/>
  <c r="Z304" i="5" a="1"/>
  <c r="Z304" i="5" s="1"/>
  <c r="Y305" i="5" s="1" a="1"/>
  <c r="Y305" i="5" s="1"/>
  <c r="GY55" i="5"/>
  <c r="HM55" i="5"/>
  <c r="HD46" i="5"/>
  <c r="HT46" i="5" s="1"/>
  <c r="HR46" i="5"/>
  <c r="BX5" i="5"/>
  <c r="BJ5" i="5"/>
  <c r="BL4" i="5"/>
  <c r="BZ4" i="5"/>
  <c r="HB49" i="5"/>
  <c r="HP49" i="5"/>
  <c r="BY21" i="5"/>
  <c r="BK21" i="5"/>
  <c r="BO25" i="5"/>
  <c r="CE25" i="5" s="1"/>
  <c r="CC25" i="5"/>
  <c r="GW267" i="5"/>
  <c r="HK267" i="5"/>
  <c r="BJ21" i="5"/>
  <c r="BX21" i="5"/>
  <c r="BY2" i="5"/>
  <c r="BK2" i="5"/>
  <c r="BK4" i="5"/>
  <c r="BY4" i="5"/>
  <c r="BJ17" i="5"/>
  <c r="BX17" i="5"/>
  <c r="CC3" i="5"/>
  <c r="BO3" i="5"/>
  <c r="CE3" i="5" s="1"/>
  <c r="CA5" i="5"/>
  <c r="BM5" i="5"/>
  <c r="BK30" i="5"/>
  <c r="BY30" i="5"/>
  <c r="BZ22" i="5"/>
  <c r="BL22" i="5"/>
  <c r="BM16" i="5"/>
  <c r="CA16" i="5"/>
  <c r="BX13" i="5"/>
  <c r="BJ13" i="5"/>
  <c r="HP43" i="5"/>
  <c r="HB43" i="5"/>
  <c r="TZ301" i="5"/>
  <c r="UA300" i="5"/>
  <c r="UB300" i="5" s="1"/>
  <c r="HQ47" i="5"/>
  <c r="HC47" i="5"/>
  <c r="HS47" i="5" s="1"/>
  <c r="BL15" i="5"/>
  <c r="BZ15" i="5"/>
  <c r="BX29" i="5"/>
  <c r="BJ29" i="5"/>
  <c r="HR52" i="5"/>
  <c r="HD52" i="5"/>
  <c r="HT52" i="5" s="1"/>
  <c r="HB53" i="5"/>
  <c r="HP53" i="5"/>
  <c r="BJ23" i="5"/>
  <c r="BX23" i="5"/>
  <c r="BN9" i="5"/>
  <c r="CD9" i="5" s="1"/>
  <c r="CB9" i="5"/>
  <c r="LR175" i="5"/>
  <c r="LS175" i="5" s="1"/>
  <c r="LQ176" i="5"/>
  <c r="LR176" i="5" s="1"/>
  <c r="LS176" i="5" s="1"/>
  <c r="BZ27" i="5"/>
  <c r="BL27" i="5"/>
  <c r="BK20" i="5"/>
  <c r="BY20" i="5"/>
  <c r="HP47" i="5"/>
  <c r="HB47" i="5"/>
  <c r="BZ14" i="5"/>
  <c r="BL14" i="5"/>
  <c r="BO24" i="5"/>
  <c r="CE24" i="5" s="1"/>
  <c r="CC24" i="5"/>
  <c r="HU267" i="5"/>
  <c r="HE267" i="5"/>
  <c r="HW267" i="5" s="1"/>
  <c r="NH180" i="5"/>
  <c r="NC180" i="5"/>
  <c r="X46" i="5"/>
  <c r="HC52" i="5"/>
  <c r="HS52" i="5" s="1"/>
  <c r="HQ52" i="5"/>
  <c r="CB31" i="5"/>
  <c r="BN31" i="5"/>
  <c r="CD31" i="5" s="1"/>
  <c r="BM18" i="5"/>
  <c r="CA18" i="5"/>
  <c r="HC49" i="5"/>
  <c r="HS49" i="5" s="1"/>
  <c r="HQ49" i="5"/>
  <c r="HP50" i="5"/>
  <c r="HB50" i="5"/>
  <c r="CA23" i="5"/>
  <c r="BM23" i="5"/>
  <c r="BL16" i="5"/>
  <c r="BZ16" i="5"/>
  <c r="BL10" i="5"/>
  <c r="BZ10" i="5"/>
  <c r="CA9" i="5"/>
  <c r="BM9" i="5"/>
  <c r="HF267" i="5"/>
  <c r="HX267" i="5" s="1"/>
  <c r="HV267" i="5"/>
  <c r="BO27" i="5"/>
  <c r="CE27" i="5" s="1"/>
  <c r="CC27" i="5"/>
  <c r="BK26" i="5"/>
  <c r="BY26" i="5"/>
  <c r="BX19" i="5"/>
  <c r="BJ19" i="5"/>
  <c r="BZ24" i="5"/>
  <c r="BL24" i="5"/>
  <c r="BM22" i="5"/>
  <c r="CA22" i="5"/>
  <c r="CB6" i="5"/>
  <c r="BN6" i="5"/>
  <c r="CD6" i="5" s="1"/>
  <c r="CA8" i="5"/>
  <c r="BM8" i="5"/>
  <c r="HL267" i="5"/>
  <c r="GX267" i="5"/>
  <c r="CA13" i="5"/>
  <c r="BM13" i="5"/>
  <c r="CB25" i="5"/>
  <c r="BN25" i="5"/>
  <c r="CD25" i="5" s="1"/>
  <c r="HP48" i="5"/>
  <c r="HB48" i="5"/>
  <c r="CB18" i="5"/>
  <c r="BN18" i="5"/>
  <c r="CD18" i="5" s="1"/>
  <c r="HP45" i="5"/>
  <c r="HB45" i="5"/>
  <c r="BK29" i="5"/>
  <c r="BY29" i="5"/>
  <c r="BO19" i="5"/>
  <c r="CE19" i="5" s="1"/>
  <c r="CC19" i="5"/>
  <c r="HB54" i="5"/>
  <c r="HP54" i="5"/>
  <c r="BM11" i="5"/>
  <c r="CA11" i="5"/>
  <c r="IQ47" i="5"/>
  <c r="IE47" i="5"/>
  <c r="IN47" i="5"/>
  <c r="IA47" i="5"/>
  <c r="IG47" i="5"/>
  <c r="GT47" i="5"/>
  <c r="ID47" i="5"/>
  <c r="IM47" i="5"/>
  <c r="II47" i="5"/>
  <c r="IH47" i="5"/>
  <c r="IB47" i="5"/>
  <c r="U48" i="5"/>
  <c r="HZ47" i="5"/>
  <c r="IP47" i="5"/>
  <c r="IO47" i="5"/>
  <c r="IL47" i="5"/>
  <c r="IK47" i="5"/>
  <c r="IJ47" i="5"/>
  <c r="IF47" i="5"/>
  <c r="IC47" i="5"/>
  <c r="HY47" i="5"/>
  <c r="BO17" i="5"/>
  <c r="CE17" i="5" s="1"/>
  <c r="CC17" i="5"/>
  <c r="BZ33" i="5"/>
  <c r="BL33" i="5"/>
  <c r="BM15" i="5"/>
  <c r="CA15" i="5"/>
  <c r="CA2" i="5" l="1"/>
  <c r="BM2" i="5"/>
  <c r="HR54" i="5"/>
  <c r="HD54" i="5"/>
  <c r="HT54" i="5" s="1"/>
  <c r="CC22" i="5"/>
  <c r="BO22" i="5"/>
  <c r="CE22" i="5" s="1"/>
  <c r="CB15" i="5"/>
  <c r="BN15" i="5"/>
  <c r="CD15" i="5" s="1"/>
  <c r="CC9" i="5"/>
  <c r="BO9" i="5"/>
  <c r="CE9" i="5" s="1"/>
  <c r="CB22" i="5"/>
  <c r="BN22" i="5"/>
  <c r="CD22" i="5" s="1"/>
  <c r="BO13" i="5"/>
  <c r="CE13" i="5" s="1"/>
  <c r="CC13" i="5"/>
  <c r="CB24" i="5"/>
  <c r="BN24" i="5"/>
  <c r="CD24" i="5" s="1"/>
  <c r="X47" i="5"/>
  <c r="HR49" i="5"/>
  <c r="HD49" i="5"/>
  <c r="HT49" i="5" s="1"/>
  <c r="BL28" i="5"/>
  <c r="BZ28" i="5"/>
  <c r="CC18" i="5"/>
  <c r="BO18" i="5"/>
  <c r="CE18" i="5" s="1"/>
  <c r="CB14" i="5"/>
  <c r="BN14" i="5"/>
  <c r="CD14" i="5" s="1"/>
  <c r="CA30" i="5"/>
  <c r="BM30" i="5"/>
  <c r="BZ21" i="5"/>
  <c r="BL21" i="5"/>
  <c r="HA51" i="5"/>
  <c r="HO51" i="5"/>
  <c r="HC46" i="5"/>
  <c r="HQ46" i="5"/>
  <c r="CB4" i="5"/>
  <c r="BN4" i="5"/>
  <c r="CD4" i="5" s="1"/>
  <c r="CA7" i="5"/>
  <c r="BM7" i="5"/>
  <c r="CA10" i="5"/>
  <c r="BM10" i="5"/>
  <c r="BO12" i="5"/>
  <c r="CE12" i="5" s="1"/>
  <c r="CC12" i="5"/>
  <c r="BL19" i="5"/>
  <c r="BZ19" i="5"/>
  <c r="CA29" i="5"/>
  <c r="BM29" i="5"/>
  <c r="BL23" i="5"/>
  <c r="BZ23" i="5"/>
  <c r="BL5" i="5"/>
  <c r="BZ5" i="5"/>
  <c r="HN267" i="5"/>
  <c r="GZ267" i="5"/>
  <c r="HR43" i="5"/>
  <c r="Z43" i="5" s="1" a="1"/>
  <c r="Z43" i="5" s="1"/>
  <c r="Y44" i="5" s="1" a="1"/>
  <c r="Y44" i="5" s="1"/>
  <c r="HD43" i="5"/>
  <c r="HT43" i="5" s="1"/>
  <c r="HQ44" i="5"/>
  <c r="HC44" i="5"/>
  <c r="BO5" i="5"/>
  <c r="CE5" i="5" s="1"/>
  <c r="CC5" i="5"/>
  <c r="CB10" i="5"/>
  <c r="BN10" i="5"/>
  <c r="CD10" i="5" s="1"/>
  <c r="HD47" i="5"/>
  <c r="HT47" i="5" s="1"/>
  <c r="HR47" i="5"/>
  <c r="UA301" i="5"/>
  <c r="UB301" i="5" s="1"/>
  <c r="TZ302" i="5"/>
  <c r="HR45" i="5"/>
  <c r="HD45" i="5"/>
  <c r="HT45" i="5" s="1"/>
  <c r="CC15" i="5"/>
  <c r="BO15" i="5"/>
  <c r="CE15" i="5" s="1"/>
  <c r="BO8" i="5"/>
  <c r="CE8" i="5" s="1"/>
  <c r="CC8" i="5"/>
  <c r="CC23" i="5"/>
  <c r="BO23" i="5"/>
  <c r="CE23" i="5" s="1"/>
  <c r="CA20" i="5"/>
  <c r="BM20" i="5"/>
  <c r="GY267" i="5"/>
  <c r="HM267" i="5"/>
  <c r="CE270" i="5"/>
  <c r="CD270" i="5"/>
  <c r="AD271" i="5" a="1"/>
  <c r="AD271" i="5" s="1"/>
  <c r="CA33" i="5"/>
  <c r="BM33" i="5"/>
  <c r="BM26" i="5"/>
  <c r="CA26" i="5"/>
  <c r="BN16" i="5"/>
  <c r="CD16" i="5" s="1"/>
  <c r="CB16" i="5"/>
  <c r="HR53" i="5"/>
  <c r="HD53" i="5"/>
  <c r="HT53" i="5" s="1"/>
  <c r="BN33" i="5"/>
  <c r="CD33" i="5" s="1"/>
  <c r="CB33" i="5"/>
  <c r="BL13" i="5"/>
  <c r="BZ13" i="5"/>
  <c r="CB20" i="5"/>
  <c r="BN20" i="5"/>
  <c r="CD20" i="5" s="1"/>
  <c r="NI180" i="5"/>
  <c r="Z180" i="5" s="1" a="1"/>
  <c r="Z180" i="5" s="1"/>
  <c r="CB27" i="5"/>
  <c r="BN27" i="5"/>
  <c r="CD27" i="5" s="1"/>
  <c r="BL17" i="5"/>
  <c r="BZ17" i="5"/>
  <c r="BL32" i="5"/>
  <c r="BZ32" i="5"/>
  <c r="HR50" i="5"/>
  <c r="HD50" i="5"/>
  <c r="HT50" i="5" s="1"/>
  <c r="BL29" i="5"/>
  <c r="BZ29" i="5"/>
  <c r="HO55" i="5"/>
  <c r="HA55" i="5"/>
  <c r="BO28" i="5"/>
  <c r="CE28" i="5" s="1"/>
  <c r="CC28" i="5"/>
  <c r="HC53" i="5"/>
  <c r="HS53" i="5" s="1"/>
  <c r="HQ53" i="5"/>
  <c r="HB55" i="5"/>
  <c r="HP55" i="5"/>
  <c r="AB305" i="5"/>
  <c r="KD305" i="5" s="1"/>
  <c r="AA305" i="5"/>
  <c r="KC305" i="5" s="1"/>
  <c r="II48" i="5"/>
  <c r="IN48" i="5"/>
  <c r="IA48" i="5"/>
  <c r="IF48" i="5"/>
  <c r="IQ48" i="5"/>
  <c r="ID48" i="5"/>
  <c r="IH48" i="5"/>
  <c r="IB48" i="5"/>
  <c r="U49" i="5"/>
  <c r="HZ48" i="5"/>
  <c r="GT48" i="5"/>
  <c r="IM48" i="5"/>
  <c r="IL48" i="5"/>
  <c r="HY48" i="5"/>
  <c r="IE48" i="5"/>
  <c r="IO48" i="5"/>
  <c r="IP48" i="5"/>
  <c r="IK48" i="5"/>
  <c r="IJ48" i="5"/>
  <c r="IG48" i="5"/>
  <c r="IC48" i="5"/>
  <c r="HD48" i="5"/>
  <c r="HT48" i="5" s="1"/>
  <c r="HR48" i="5"/>
  <c r="CC11" i="5"/>
  <c r="BO11" i="5"/>
  <c r="CE11" i="5" s="1"/>
  <c r="BO16" i="5"/>
  <c r="CE16" i="5" s="1"/>
  <c r="CC16" i="5"/>
  <c r="CA4" i="5"/>
  <c r="BM4" i="5"/>
  <c r="CA21" i="5"/>
  <c r="BM21" i="5"/>
  <c r="CB11" i="5"/>
  <c r="BN11" i="5"/>
  <c r="CD11" i="5" s="1"/>
  <c r="BO14" i="5"/>
  <c r="CE14" i="5" s="1"/>
  <c r="CC14" i="5"/>
  <c r="JV234" i="4"/>
  <c r="JV233" i="4"/>
  <c r="LT232" i="4"/>
  <c r="LS232" i="4"/>
  <c r="LT231" i="4"/>
  <c r="LS231" i="4"/>
  <c r="MF230" i="4"/>
  <c r="LT230" i="4"/>
  <c r="LS230" i="4"/>
  <c r="FQ229" i="4"/>
  <c r="FP229" i="4"/>
  <c r="FL229" i="4"/>
  <c r="FK229" i="4"/>
  <c r="FJ229" i="4"/>
  <c r="FI229" i="4"/>
  <c r="FE229" i="4"/>
  <c r="FB229" i="4"/>
  <c r="FA229" i="4"/>
  <c r="EV229" i="4"/>
  <c r="EU229" i="4"/>
  <c r="EN229" i="4"/>
  <c r="AK229" i="4"/>
  <c r="AJ229" i="4"/>
  <c r="FQ228" i="4"/>
  <c r="FP228" i="4"/>
  <c r="FL228" i="4"/>
  <c r="FK228" i="4"/>
  <c r="FJ228" i="4"/>
  <c r="FI228" i="4"/>
  <c r="FE228" i="4"/>
  <c r="FB228" i="4"/>
  <c r="FA228" i="4"/>
  <c r="EV228" i="4"/>
  <c r="EU228" i="4"/>
  <c r="EN228" i="4"/>
  <c r="AK228" i="4"/>
  <c r="AJ228" i="4"/>
  <c r="FQ227" i="4"/>
  <c r="FP227" i="4"/>
  <c r="FO227" i="4"/>
  <c r="FN227" i="4"/>
  <c r="FM227" i="4"/>
  <c r="FL227" i="4"/>
  <c r="FK227" i="4"/>
  <c r="FJ227" i="4"/>
  <c r="FI227" i="4"/>
  <c r="FH227" i="4"/>
  <c r="FG227" i="4"/>
  <c r="FF227" i="4"/>
  <c r="FE227" i="4"/>
  <c r="FD227" i="4"/>
  <c r="FB227" i="4"/>
  <c r="FA227" i="4"/>
  <c r="EW227" i="4"/>
  <c r="EV227" i="4"/>
  <c r="EU227" i="4"/>
  <c r="ET227" i="4"/>
  <c r="ES227" i="4"/>
  <c r="FC227" i="4" s="1"/>
  <c r="ER227" i="4"/>
  <c r="EZ227" i="4" s="1"/>
  <c r="EP227" i="4"/>
  <c r="EX227" i="4" s="1"/>
  <c r="EO227" i="4"/>
  <c r="EQ227" i="4" s="1"/>
  <c r="EY227" i="4" s="1"/>
  <c r="EN227" i="4"/>
  <c r="AK227" i="4"/>
  <c r="AJ227" i="4"/>
  <c r="FQ226" i="4"/>
  <c r="FP226" i="4"/>
  <c r="FO226" i="4"/>
  <c r="FN226" i="4"/>
  <c r="FM226" i="4"/>
  <c r="FL226" i="4"/>
  <c r="FK226" i="4"/>
  <c r="FJ226" i="4"/>
  <c r="FI226" i="4"/>
  <c r="FH226" i="4"/>
  <c r="FG226" i="4"/>
  <c r="FF226" i="4"/>
  <c r="FE226" i="4"/>
  <c r="FD226" i="4"/>
  <c r="FC226" i="4"/>
  <c r="FB226" i="4"/>
  <c r="FA226" i="4"/>
  <c r="EZ226" i="4"/>
  <c r="EX226" i="4"/>
  <c r="EV226" i="4"/>
  <c r="EU226" i="4"/>
  <c r="ET226" i="4"/>
  <c r="ES226" i="4"/>
  <c r="ER226" i="4"/>
  <c r="EQ226" i="4"/>
  <c r="EY226" i="4" s="1"/>
  <c r="EP226" i="4"/>
  <c r="EO226" i="4"/>
  <c r="EW226" i="4" s="1"/>
  <c r="EN226" i="4"/>
  <c r="AK226" i="4"/>
  <c r="AJ226" i="4"/>
  <c r="FQ225" i="4"/>
  <c r="FP225" i="4"/>
  <c r="FO225" i="4"/>
  <c r="FN225" i="4"/>
  <c r="FM225" i="4"/>
  <c r="FL225" i="4"/>
  <c r="FK225" i="4"/>
  <c r="FJ225" i="4"/>
  <c r="FI225" i="4"/>
  <c r="FH225" i="4"/>
  <c r="FG225" i="4"/>
  <c r="FF225" i="4"/>
  <c r="FE225" i="4"/>
  <c r="FC225" i="4"/>
  <c r="FB225" i="4"/>
  <c r="FA225" i="4"/>
  <c r="EX225" i="4"/>
  <c r="EV225" i="4"/>
  <c r="EU225" i="4"/>
  <c r="ET225" i="4"/>
  <c r="FD225" i="4" s="1"/>
  <c r="ES225" i="4"/>
  <c r="EP225" i="4"/>
  <c r="ER225" i="4" s="1"/>
  <c r="EZ225" i="4" s="1"/>
  <c r="EO225" i="4"/>
  <c r="EW225" i="4" s="1"/>
  <c r="EN225" i="4"/>
  <c r="AK225" i="4"/>
  <c r="AJ225" i="4"/>
  <c r="JV224" i="4"/>
  <c r="JV223" i="4"/>
  <c r="JV222" i="4"/>
  <c r="KB221" i="4"/>
  <c r="JV221" i="4"/>
  <c r="JV220" i="4"/>
  <c r="JV219" i="4"/>
  <c r="JV218" i="4"/>
  <c r="KG217" i="4"/>
  <c r="KF217" i="4"/>
  <c r="JV217" i="4"/>
  <c r="KG216" i="4"/>
  <c r="KF216" i="4"/>
  <c r="JV216" i="4"/>
  <c r="OA215" i="4"/>
  <c r="KF214" i="4"/>
  <c r="KG214" i="4" s="1"/>
  <c r="JV214" i="4"/>
  <c r="OA213" i="4"/>
  <c r="KG212" i="4"/>
  <c r="KF212" i="4"/>
  <c r="JV212" i="4"/>
  <c r="OA211" i="4"/>
  <c r="KG210" i="4"/>
  <c r="KF210" i="4"/>
  <c r="JV210" i="4"/>
  <c r="OA209" i="4"/>
  <c r="KG208" i="4"/>
  <c r="KF208" i="4"/>
  <c r="JV208" i="4"/>
  <c r="OA207" i="4"/>
  <c r="KG206" i="4"/>
  <c r="KF206" i="4"/>
  <c r="JV206" i="4"/>
  <c r="OA205" i="4"/>
  <c r="KG204" i="4"/>
  <c r="KF204" i="4"/>
  <c r="JV204" i="4"/>
  <c r="OA203" i="4"/>
  <c r="RO202" i="4"/>
  <c r="QJ202" i="4"/>
  <c r="QL202" i="4" s="1"/>
  <c r="QN202" i="4" s="1"/>
  <c r="QP202" i="4" s="1"/>
  <c r="QI202" i="4"/>
  <c r="QK202" i="4" s="1"/>
  <c r="QM202" i="4" s="1"/>
  <c r="QO202" i="4" s="1"/>
  <c r="QH202" i="4"/>
  <c r="QG202" i="4"/>
  <c r="KF201" i="4"/>
  <c r="KG201" i="4" s="1"/>
  <c r="JV201" i="4"/>
  <c r="OA200" i="4"/>
  <c r="OA199" i="4"/>
  <c r="OA198" i="4"/>
  <c r="RO197" i="4"/>
  <c r="QM197" i="4"/>
  <c r="QO197" i="4" s="1"/>
  <c r="QL197" i="4"/>
  <c r="QN197" i="4" s="1"/>
  <c r="QP197" i="4" s="1"/>
  <c r="QJ197" i="4"/>
  <c r="QH197" i="4"/>
  <c r="QG197" i="4"/>
  <c r="QI197" i="4" s="1"/>
  <c r="QK197" i="4" s="1"/>
  <c r="KF196" i="4"/>
  <c r="KG196" i="4" s="1"/>
  <c r="JV196" i="4"/>
  <c r="OA195" i="4"/>
  <c r="OA194" i="4"/>
  <c r="OA193" i="4"/>
  <c r="RO192" i="4"/>
  <c r="QN192" i="4"/>
  <c r="QP192" i="4" s="1"/>
  <c r="QL192" i="4"/>
  <c r="QJ192" i="4"/>
  <c r="QH192" i="4"/>
  <c r="QG192" i="4"/>
  <c r="QI192" i="4" s="1"/>
  <c r="QK192" i="4" s="1"/>
  <c r="QM192" i="4" s="1"/>
  <c r="QO192" i="4" s="1"/>
  <c r="KG191" i="4"/>
  <c r="KF191" i="4"/>
  <c r="JV191" i="4"/>
  <c r="OA190" i="4"/>
  <c r="OA189" i="4"/>
  <c r="OA188" i="4"/>
  <c r="RO187" i="4"/>
  <c r="QN187" i="4"/>
  <c r="QP187" i="4" s="1"/>
  <c r="QH187" i="4"/>
  <c r="QJ187" i="4" s="1"/>
  <c r="QL187" i="4" s="1"/>
  <c r="QG187" i="4"/>
  <c r="QI187" i="4" s="1"/>
  <c r="QK187" i="4" s="1"/>
  <c r="QM187" i="4" s="1"/>
  <c r="QO187" i="4" s="1"/>
  <c r="KF186" i="4"/>
  <c r="KG186" i="4" s="1"/>
  <c r="JV186" i="4"/>
  <c r="OA185" i="4"/>
  <c r="OA184" i="4"/>
  <c r="OA183" i="4"/>
  <c r="JV182" i="4"/>
  <c r="JV181" i="4"/>
  <c r="NB180" i="4"/>
  <c r="MW180" i="4"/>
  <c r="ND180" i="4" s="1"/>
  <c r="MV180" i="4"/>
  <c r="MU180" i="4"/>
  <c r="NC180" i="4" s="1"/>
  <c r="MT180" i="4"/>
  <c r="MS180" i="4"/>
  <c r="NC179" i="4"/>
  <c r="NB179" i="4"/>
  <c r="MW179" i="4"/>
  <c r="MV179" i="4"/>
  <c r="MX179" i="4" s="1"/>
  <c r="MU179" i="4"/>
  <c r="MT179" i="4"/>
  <c r="MS179" i="4"/>
  <c r="MF178" i="4"/>
  <c r="MG178" i="4" s="1"/>
  <c r="MH178" i="4" s="1"/>
  <c r="ME178" i="4"/>
  <c r="LV178" i="4"/>
  <c r="LT178" i="4"/>
  <c r="LS178" i="4"/>
  <c r="MH177" i="4"/>
  <c r="MF177" i="4"/>
  <c r="MG177" i="4" s="1"/>
  <c r="LV177" i="4"/>
  <c r="LT177" i="4"/>
  <c r="LS177" i="4"/>
  <c r="LJ176" i="4"/>
  <c r="LJ175" i="4"/>
  <c r="LJ174" i="4"/>
  <c r="LJ173" i="4"/>
  <c r="LJ172" i="4"/>
  <c r="LM171" i="4"/>
  <c r="LN171" i="4" s="1"/>
  <c r="LO171" i="4" s="1"/>
  <c r="LJ171" i="4"/>
  <c r="LO170" i="4"/>
  <c r="LN170" i="4"/>
  <c r="LJ170" i="4"/>
  <c r="KS169" i="4"/>
  <c r="KQ169" i="4"/>
  <c r="KP169" i="4"/>
  <c r="JV168" i="4"/>
  <c r="JV167" i="4"/>
  <c r="JV166" i="4"/>
  <c r="JV165" i="4"/>
  <c r="JV164" i="4"/>
  <c r="JV163" i="4"/>
  <c r="JV162" i="4"/>
  <c r="JV161" i="4"/>
  <c r="JV160" i="4"/>
  <c r="JV159" i="4"/>
  <c r="JV158" i="4"/>
  <c r="JV157" i="4"/>
  <c r="JV156" i="4"/>
  <c r="JV155" i="4"/>
  <c r="JV154" i="4"/>
  <c r="JV153" i="4"/>
  <c r="JV152" i="4"/>
  <c r="JV151" i="4"/>
  <c r="JV150" i="4"/>
  <c r="JV149" i="4"/>
  <c r="JV148" i="4"/>
  <c r="JV147" i="4"/>
  <c r="JV146" i="4"/>
  <c r="JV145" i="4"/>
  <c r="JV144" i="4"/>
  <c r="JV143" i="4"/>
  <c r="JV142" i="4"/>
  <c r="JV141" i="4"/>
  <c r="JV140" i="4"/>
  <c r="JV139" i="4"/>
  <c r="JV138" i="4"/>
  <c r="JV137" i="4"/>
  <c r="JV136" i="4"/>
  <c r="JV135" i="4"/>
  <c r="JV134" i="4"/>
  <c r="JV133" i="4"/>
  <c r="JV132" i="4"/>
  <c r="JV131" i="4"/>
  <c r="JV130" i="4"/>
  <c r="JV129" i="4"/>
  <c r="JV128" i="4"/>
  <c r="JV127" i="4"/>
  <c r="JV126" i="4"/>
  <c r="JV125" i="4"/>
  <c r="JV124" i="4"/>
  <c r="JV123" i="4"/>
  <c r="JV122" i="4"/>
  <c r="JV121" i="4"/>
  <c r="JV120" i="4"/>
  <c r="JV119" i="4"/>
  <c r="JV118" i="4"/>
  <c r="JV117" i="4"/>
  <c r="JV116" i="4"/>
  <c r="JV115" i="4"/>
  <c r="JV114" i="4"/>
  <c r="JV113" i="4"/>
  <c r="JV112" i="4"/>
  <c r="JV111" i="4"/>
  <c r="JV110" i="4"/>
  <c r="JV109" i="4"/>
  <c r="JV108" i="4"/>
  <c r="JV107" i="4"/>
  <c r="JV106" i="4"/>
  <c r="JV105" i="4"/>
  <c r="JV104" i="4"/>
  <c r="JV103" i="4"/>
  <c r="JV102" i="4"/>
  <c r="JV101" i="4"/>
  <c r="JV100" i="4"/>
  <c r="JV99" i="4"/>
  <c r="JV98" i="4"/>
  <c r="JV97" i="4"/>
  <c r="JV96" i="4"/>
  <c r="JV95" i="4"/>
  <c r="JV94" i="4"/>
  <c r="JV93" i="4"/>
  <c r="JV92" i="4"/>
  <c r="JV91" i="4"/>
  <c r="JV90" i="4"/>
  <c r="JV89" i="4"/>
  <c r="JV88" i="4"/>
  <c r="JV87" i="4"/>
  <c r="JV86" i="4"/>
  <c r="JV85" i="4"/>
  <c r="JV84" i="4"/>
  <c r="JV83" i="4"/>
  <c r="JV82" i="4"/>
  <c r="JV81" i="4"/>
  <c r="JV80" i="4"/>
  <c r="JV79" i="4"/>
  <c r="JV78" i="4"/>
  <c r="JV77" i="4"/>
  <c r="JV76" i="4"/>
  <c r="JV75" i="4"/>
  <c r="JV74" i="4"/>
  <c r="JV73" i="4"/>
  <c r="JV72" i="4"/>
  <c r="JV71" i="4"/>
  <c r="JV70" i="4"/>
  <c r="JV69" i="4"/>
  <c r="JV68" i="4"/>
  <c r="JV67" i="4"/>
  <c r="JV66" i="4"/>
  <c r="JV65" i="4"/>
  <c r="JV64" i="4"/>
  <c r="JV63" i="4"/>
  <c r="JV62" i="4"/>
  <c r="JV61" i="4"/>
  <c r="JV60" i="4"/>
  <c r="JV59" i="4"/>
  <c r="JV58" i="4"/>
  <c r="JV57" i="4"/>
  <c r="JV56" i="4"/>
  <c r="HS55" i="4"/>
  <c r="HR55" i="4"/>
  <c r="HQ55" i="4"/>
  <c r="HJ55" i="4"/>
  <c r="HH55" i="4"/>
  <c r="HF55" i="4"/>
  <c r="HE55" i="4"/>
  <c r="HB55" i="4"/>
  <c r="HT55" i="4" s="1"/>
  <c r="HA55" i="4"/>
  <c r="GV55" i="4"/>
  <c r="GS55" i="4"/>
  <c r="HI55" i="4" s="1"/>
  <c r="GR55" i="4"/>
  <c r="GT55" i="4" s="1"/>
  <c r="GQ55" i="4"/>
  <c r="HG55" i="4" s="1"/>
  <c r="IQ54" i="4"/>
  <c r="IQ55" i="4" s="1"/>
  <c r="HT54" i="4"/>
  <c r="HR54" i="4"/>
  <c r="HQ54" i="4"/>
  <c r="HJ54" i="4"/>
  <c r="HI54" i="4"/>
  <c r="HH54" i="4"/>
  <c r="HF54" i="4"/>
  <c r="HE54" i="4"/>
  <c r="HB54" i="4"/>
  <c r="HA54" i="4"/>
  <c r="HS54" i="4" s="1"/>
  <c r="GS54" i="4"/>
  <c r="GU54" i="4" s="1"/>
  <c r="GR54" i="4"/>
  <c r="GT54" i="4" s="1"/>
  <c r="GV54" i="4" s="1"/>
  <c r="GQ54" i="4"/>
  <c r="HG54" i="4" s="1"/>
  <c r="HS53" i="4"/>
  <c r="HR53" i="4"/>
  <c r="HQ53" i="4"/>
  <c r="HH53" i="4"/>
  <c r="HF53" i="4"/>
  <c r="HE53" i="4"/>
  <c r="HB53" i="4"/>
  <c r="HT53" i="4" s="1"/>
  <c r="HA53" i="4"/>
  <c r="GV53" i="4"/>
  <c r="GT53" i="4"/>
  <c r="HJ53" i="4" s="1"/>
  <c r="GR53" i="4"/>
  <c r="GQ53" i="4"/>
  <c r="IZ52" i="4"/>
  <c r="IZ53" i="4" s="1"/>
  <c r="IZ54" i="4" s="1"/>
  <c r="IZ55" i="4" s="1"/>
  <c r="HS52" i="4"/>
  <c r="HR52" i="4"/>
  <c r="HQ52" i="4"/>
  <c r="HL52" i="4"/>
  <c r="HH52" i="4"/>
  <c r="HF52" i="4"/>
  <c r="HE52" i="4"/>
  <c r="HB52" i="4"/>
  <c r="HT52" i="4" s="1"/>
  <c r="HA52" i="4"/>
  <c r="GX52" i="4"/>
  <c r="GR52" i="4"/>
  <c r="GT52" i="4" s="1"/>
  <c r="GV52" i="4" s="1"/>
  <c r="GQ52" i="4"/>
  <c r="JR51" i="4"/>
  <c r="JR52" i="4" s="1"/>
  <c r="JR53" i="4" s="1"/>
  <c r="JR54" i="4" s="1"/>
  <c r="JR55" i="4" s="1"/>
  <c r="HT51" i="4"/>
  <c r="HS51" i="4"/>
  <c r="HR51" i="4"/>
  <c r="HQ51" i="4"/>
  <c r="HM51" i="4"/>
  <c r="HH51" i="4"/>
  <c r="HG51" i="4"/>
  <c r="HF51" i="4"/>
  <c r="HE51" i="4"/>
  <c r="HB51" i="4"/>
  <c r="HA51" i="4"/>
  <c r="GY51" i="4"/>
  <c r="HO51" i="4" s="1"/>
  <c r="GW51" i="4"/>
  <c r="GU51" i="4"/>
  <c r="HK51" i="4" s="1"/>
  <c r="GT51" i="4"/>
  <c r="GV51" i="4" s="1"/>
  <c r="GS51" i="4"/>
  <c r="HI51" i="4" s="1"/>
  <c r="GR51" i="4"/>
  <c r="GQ51" i="4"/>
  <c r="HS50" i="4"/>
  <c r="HR50" i="4"/>
  <c r="HQ50" i="4"/>
  <c r="HG50" i="4"/>
  <c r="HF50" i="4"/>
  <c r="HE50" i="4"/>
  <c r="HB50" i="4"/>
  <c r="HT50" i="4" s="1"/>
  <c r="HA50" i="4"/>
  <c r="GR50" i="4"/>
  <c r="GQ50" i="4"/>
  <c r="GS50" i="4" s="1"/>
  <c r="JF49" i="4"/>
  <c r="JF50" i="4" s="1"/>
  <c r="JF51" i="4" s="1"/>
  <c r="JF52" i="4" s="1"/>
  <c r="JF53" i="4" s="1"/>
  <c r="JF54" i="4" s="1"/>
  <c r="JF55" i="4" s="1"/>
  <c r="IU49" i="4"/>
  <c r="IU50" i="4" s="1"/>
  <c r="IU51" i="4" s="1"/>
  <c r="IU52" i="4" s="1"/>
  <c r="IU53" i="4" s="1"/>
  <c r="IU54" i="4" s="1"/>
  <c r="IU55" i="4" s="1"/>
  <c r="IR49" i="4"/>
  <c r="IR50" i="4" s="1"/>
  <c r="IR51" i="4" s="1"/>
  <c r="IR52" i="4" s="1"/>
  <c r="IR53" i="4" s="1"/>
  <c r="IR54" i="4" s="1"/>
  <c r="IR55" i="4" s="1"/>
  <c r="HT49" i="4"/>
  <c r="HR49" i="4"/>
  <c r="HQ49" i="4"/>
  <c r="HH49" i="4"/>
  <c r="HF49" i="4"/>
  <c r="HE49" i="4"/>
  <c r="HB49" i="4"/>
  <c r="HA49" i="4"/>
  <c r="HS49" i="4" s="1"/>
  <c r="GS49" i="4"/>
  <c r="GR49" i="4"/>
  <c r="GT49" i="4" s="1"/>
  <c r="GV49" i="4" s="1"/>
  <c r="GQ49" i="4"/>
  <c r="HG49" i="4" s="1"/>
  <c r="JT48" i="4"/>
  <c r="JT49" i="4" s="1"/>
  <c r="JT50" i="4" s="1"/>
  <c r="JT51" i="4" s="1"/>
  <c r="JT52" i="4" s="1"/>
  <c r="JT53" i="4" s="1"/>
  <c r="JT54" i="4" s="1"/>
  <c r="JT55" i="4" s="1"/>
  <c r="JJ48" i="4"/>
  <c r="JJ49" i="4" s="1"/>
  <c r="JJ50" i="4" s="1"/>
  <c r="JJ51" i="4" s="1"/>
  <c r="JJ52" i="4" s="1"/>
  <c r="JJ53" i="4" s="1"/>
  <c r="JJ54" i="4" s="1"/>
  <c r="JJ55" i="4" s="1"/>
  <c r="IU48" i="4"/>
  <c r="IQ48" i="4"/>
  <c r="IQ49" i="4" s="1"/>
  <c r="IQ50" i="4" s="1"/>
  <c r="IQ51" i="4" s="1"/>
  <c r="IQ52" i="4" s="1"/>
  <c r="IQ53" i="4" s="1"/>
  <c r="HS48" i="4"/>
  <c r="HR48" i="4"/>
  <c r="HQ48" i="4"/>
  <c r="HI48" i="4"/>
  <c r="HG48" i="4"/>
  <c r="HF48" i="4"/>
  <c r="HE48" i="4"/>
  <c r="HB48" i="4"/>
  <c r="HT48" i="4" s="1"/>
  <c r="HA48" i="4"/>
  <c r="GY48" i="4"/>
  <c r="HO48" i="4" s="1"/>
  <c r="GU48" i="4"/>
  <c r="GW48" i="4" s="1"/>
  <c r="HM48" i="4" s="1"/>
  <c r="GS48" i="4"/>
  <c r="GR48" i="4"/>
  <c r="GQ48" i="4"/>
  <c r="JT47" i="4"/>
  <c r="JH47" i="4"/>
  <c r="JH48" i="4" s="1"/>
  <c r="JH49" i="4" s="1"/>
  <c r="JH50" i="4" s="1"/>
  <c r="JH51" i="4" s="1"/>
  <c r="JH52" i="4" s="1"/>
  <c r="JH53" i="4" s="1"/>
  <c r="JH54" i="4" s="1"/>
  <c r="JH55" i="4" s="1"/>
  <c r="JC47" i="4"/>
  <c r="JC48" i="4" s="1"/>
  <c r="JC49" i="4" s="1"/>
  <c r="JC50" i="4" s="1"/>
  <c r="JC51" i="4" s="1"/>
  <c r="JC52" i="4" s="1"/>
  <c r="JC53" i="4" s="1"/>
  <c r="JC54" i="4" s="1"/>
  <c r="JC55" i="4" s="1"/>
  <c r="IN47" i="4"/>
  <c r="IN48" i="4" s="1"/>
  <c r="IN49" i="4" s="1"/>
  <c r="IN50" i="4" s="1"/>
  <c r="IN51" i="4" s="1"/>
  <c r="IN52" i="4" s="1"/>
  <c r="IN53" i="4" s="1"/>
  <c r="IN54" i="4" s="1"/>
  <c r="IN55" i="4" s="1"/>
  <c r="HR47" i="4"/>
  <c r="HQ47" i="4"/>
  <c r="HJ47" i="4"/>
  <c r="HH47" i="4"/>
  <c r="HF47" i="4"/>
  <c r="HE47" i="4"/>
  <c r="HB47" i="4"/>
  <c r="HT47" i="4" s="1"/>
  <c r="HA47" i="4"/>
  <c r="HS47" i="4" s="1"/>
  <c r="GV47" i="4"/>
  <c r="HL47" i="4" s="1"/>
  <c r="GR47" i="4"/>
  <c r="GT47" i="4" s="1"/>
  <c r="GQ47" i="4"/>
  <c r="JP46" i="4"/>
  <c r="JP47" i="4" s="1"/>
  <c r="JP48" i="4" s="1"/>
  <c r="JP49" i="4" s="1"/>
  <c r="JP50" i="4" s="1"/>
  <c r="JP51" i="4" s="1"/>
  <c r="JP52" i="4" s="1"/>
  <c r="JP53" i="4" s="1"/>
  <c r="JP54" i="4" s="1"/>
  <c r="JP55" i="4" s="1"/>
  <c r="JK46" i="4"/>
  <c r="JK47" i="4" s="1"/>
  <c r="JK48" i="4" s="1"/>
  <c r="JK49" i="4" s="1"/>
  <c r="JK50" i="4" s="1"/>
  <c r="JK51" i="4" s="1"/>
  <c r="JK52" i="4" s="1"/>
  <c r="JK53" i="4" s="1"/>
  <c r="JK54" i="4" s="1"/>
  <c r="JK55" i="4" s="1"/>
  <c r="JF46" i="4"/>
  <c r="JF47" i="4" s="1"/>
  <c r="JF48" i="4" s="1"/>
  <c r="JB46" i="4"/>
  <c r="JB47" i="4" s="1"/>
  <c r="JB48" i="4" s="1"/>
  <c r="JB49" i="4" s="1"/>
  <c r="JB50" i="4" s="1"/>
  <c r="JB51" i="4" s="1"/>
  <c r="JB52" i="4" s="1"/>
  <c r="JB53" i="4" s="1"/>
  <c r="JB54" i="4" s="1"/>
  <c r="JB55" i="4" s="1"/>
  <c r="IY46" i="4"/>
  <c r="IY47" i="4" s="1"/>
  <c r="IY48" i="4" s="1"/>
  <c r="IY49" i="4" s="1"/>
  <c r="IY50" i="4" s="1"/>
  <c r="IY51" i="4" s="1"/>
  <c r="IY52" i="4" s="1"/>
  <c r="IY53" i="4" s="1"/>
  <c r="IY54" i="4" s="1"/>
  <c r="IY55" i="4" s="1"/>
  <c r="IT46" i="4"/>
  <c r="IT47" i="4" s="1"/>
  <c r="IT48" i="4" s="1"/>
  <c r="IT49" i="4" s="1"/>
  <c r="IT50" i="4" s="1"/>
  <c r="IT51" i="4" s="1"/>
  <c r="IT52" i="4" s="1"/>
  <c r="IT53" i="4" s="1"/>
  <c r="IT54" i="4" s="1"/>
  <c r="IT55" i="4" s="1"/>
  <c r="IR46" i="4"/>
  <c r="IR47" i="4" s="1"/>
  <c r="IR48" i="4" s="1"/>
  <c r="IN46" i="4"/>
  <c r="IF46" i="4"/>
  <c r="HW46" i="4"/>
  <c r="HT46" i="4"/>
  <c r="HR46" i="4"/>
  <c r="HQ46" i="4"/>
  <c r="HK46" i="4"/>
  <c r="HI46" i="4"/>
  <c r="HF46" i="4"/>
  <c r="HE46" i="4"/>
  <c r="HB46" i="4"/>
  <c r="HA46" i="4"/>
  <c r="HS46" i="4" s="1"/>
  <c r="GW46" i="4"/>
  <c r="GT46" i="4"/>
  <c r="HJ46" i="4" s="1"/>
  <c r="GS46" i="4"/>
  <c r="GU46" i="4" s="1"/>
  <c r="GR46" i="4"/>
  <c r="HH46" i="4" s="1"/>
  <c r="GQ46" i="4"/>
  <c r="HG46" i="4" s="1"/>
  <c r="U46" i="4"/>
  <c r="IJ46" i="4" s="1"/>
  <c r="JT45" i="4"/>
  <c r="JT46" i="4" s="1"/>
  <c r="JS45" i="4"/>
  <c r="JS46" i="4" s="1"/>
  <c r="JS47" i="4" s="1"/>
  <c r="JS48" i="4" s="1"/>
  <c r="JS49" i="4" s="1"/>
  <c r="JS50" i="4" s="1"/>
  <c r="JS51" i="4" s="1"/>
  <c r="JS52" i="4" s="1"/>
  <c r="JS53" i="4" s="1"/>
  <c r="JS54" i="4" s="1"/>
  <c r="JS55" i="4" s="1"/>
  <c r="JL45" i="4"/>
  <c r="JL46" i="4" s="1"/>
  <c r="JL47" i="4" s="1"/>
  <c r="JL48" i="4" s="1"/>
  <c r="JL49" i="4" s="1"/>
  <c r="JL50" i="4" s="1"/>
  <c r="JL51" i="4" s="1"/>
  <c r="JL52" i="4" s="1"/>
  <c r="JL53" i="4" s="1"/>
  <c r="JL54" i="4" s="1"/>
  <c r="JL55" i="4" s="1"/>
  <c r="JH45" i="4"/>
  <c r="JH46" i="4" s="1"/>
  <c r="JG45" i="4"/>
  <c r="JG46" i="4" s="1"/>
  <c r="JG47" i="4" s="1"/>
  <c r="JG48" i="4" s="1"/>
  <c r="JG49" i="4" s="1"/>
  <c r="JG50" i="4" s="1"/>
  <c r="JG51" i="4" s="1"/>
  <c r="JG52" i="4" s="1"/>
  <c r="JG53" i="4" s="1"/>
  <c r="JG54" i="4" s="1"/>
  <c r="JG55" i="4" s="1"/>
  <c r="JE45" i="4"/>
  <c r="JE46" i="4" s="1"/>
  <c r="JE47" i="4" s="1"/>
  <c r="JE48" i="4" s="1"/>
  <c r="JE49" i="4" s="1"/>
  <c r="JE50" i="4" s="1"/>
  <c r="JE51" i="4" s="1"/>
  <c r="JE52" i="4" s="1"/>
  <c r="JE53" i="4" s="1"/>
  <c r="JE54" i="4" s="1"/>
  <c r="JE55" i="4" s="1"/>
  <c r="JA45" i="4"/>
  <c r="JA46" i="4" s="1"/>
  <c r="JA47" i="4" s="1"/>
  <c r="JA48" i="4" s="1"/>
  <c r="JA49" i="4" s="1"/>
  <c r="JA50" i="4" s="1"/>
  <c r="JA51" i="4" s="1"/>
  <c r="JA52" i="4" s="1"/>
  <c r="JA53" i="4" s="1"/>
  <c r="JA54" i="4" s="1"/>
  <c r="JA55" i="4" s="1"/>
  <c r="IZ45" i="4"/>
  <c r="IZ46" i="4" s="1"/>
  <c r="IZ47" i="4" s="1"/>
  <c r="IZ48" i="4" s="1"/>
  <c r="IZ49" i="4" s="1"/>
  <c r="IZ50" i="4" s="1"/>
  <c r="IZ51" i="4" s="1"/>
  <c r="IW45" i="4"/>
  <c r="IW46" i="4" s="1"/>
  <c r="IW47" i="4" s="1"/>
  <c r="IW48" i="4" s="1"/>
  <c r="IW49" i="4" s="1"/>
  <c r="IW50" i="4" s="1"/>
  <c r="IW51" i="4" s="1"/>
  <c r="IW52" i="4" s="1"/>
  <c r="IW53" i="4" s="1"/>
  <c r="IW54" i="4" s="1"/>
  <c r="IW55" i="4" s="1"/>
  <c r="IU45" i="4"/>
  <c r="IU46" i="4" s="1"/>
  <c r="IU47" i="4" s="1"/>
  <c r="IR45" i="4"/>
  <c r="IQ45" i="4"/>
  <c r="IQ46" i="4" s="1"/>
  <c r="IQ47" i="4" s="1"/>
  <c r="IK45" i="4"/>
  <c r="IJ45" i="4"/>
  <c r="II45" i="4"/>
  <c r="IE45" i="4"/>
  <c r="IC45" i="4"/>
  <c r="IB45" i="4"/>
  <c r="HZ45" i="4"/>
  <c r="HX45" i="4"/>
  <c r="HW45" i="4"/>
  <c r="HR45" i="4"/>
  <c r="HQ45" i="4"/>
  <c r="HG45" i="4"/>
  <c r="HF45" i="4"/>
  <c r="HE45" i="4"/>
  <c r="HB45" i="4"/>
  <c r="HT45" i="4" s="1"/>
  <c r="HA45" i="4"/>
  <c r="HS45" i="4" s="1"/>
  <c r="GU45" i="4"/>
  <c r="GS45" i="4"/>
  <c r="HI45" i="4" s="1"/>
  <c r="GR45" i="4"/>
  <c r="GQ45" i="4"/>
  <c r="U45" i="4"/>
  <c r="JU44" i="4"/>
  <c r="JU45" i="4" s="1"/>
  <c r="JU46" i="4" s="1"/>
  <c r="JU47" i="4" s="1"/>
  <c r="JU48" i="4" s="1"/>
  <c r="JU49" i="4" s="1"/>
  <c r="JU50" i="4" s="1"/>
  <c r="JU51" i="4" s="1"/>
  <c r="JU52" i="4" s="1"/>
  <c r="JU53" i="4" s="1"/>
  <c r="JU54" i="4" s="1"/>
  <c r="JU55" i="4" s="1"/>
  <c r="JT44" i="4"/>
  <c r="JS44" i="4"/>
  <c r="JR44" i="4"/>
  <c r="JR45" i="4" s="1"/>
  <c r="JR46" i="4" s="1"/>
  <c r="JR47" i="4" s="1"/>
  <c r="JR48" i="4" s="1"/>
  <c r="JR49" i="4" s="1"/>
  <c r="JR50" i="4" s="1"/>
  <c r="JQ44" i="4"/>
  <c r="JQ45" i="4" s="1"/>
  <c r="JQ46" i="4" s="1"/>
  <c r="JQ47" i="4" s="1"/>
  <c r="JQ48" i="4" s="1"/>
  <c r="JQ49" i="4" s="1"/>
  <c r="JQ50" i="4" s="1"/>
  <c r="JQ51" i="4" s="1"/>
  <c r="JQ52" i="4" s="1"/>
  <c r="JQ53" i="4" s="1"/>
  <c r="JQ54" i="4" s="1"/>
  <c r="JQ55" i="4" s="1"/>
  <c r="JP44" i="4"/>
  <c r="JP45" i="4" s="1"/>
  <c r="JO44" i="4"/>
  <c r="JO45" i="4" s="1"/>
  <c r="JO46" i="4" s="1"/>
  <c r="JO47" i="4" s="1"/>
  <c r="JO48" i="4" s="1"/>
  <c r="JO49" i="4" s="1"/>
  <c r="JO50" i="4" s="1"/>
  <c r="JO51" i="4" s="1"/>
  <c r="JO52" i="4" s="1"/>
  <c r="JO53" i="4" s="1"/>
  <c r="JO54" i="4" s="1"/>
  <c r="JO55" i="4" s="1"/>
  <c r="JN44" i="4"/>
  <c r="JN45" i="4" s="1"/>
  <c r="JN46" i="4" s="1"/>
  <c r="JN47" i="4" s="1"/>
  <c r="JN48" i="4" s="1"/>
  <c r="JN49" i="4" s="1"/>
  <c r="JN50" i="4" s="1"/>
  <c r="JN51" i="4" s="1"/>
  <c r="JN52" i="4" s="1"/>
  <c r="JN53" i="4" s="1"/>
  <c r="JN54" i="4" s="1"/>
  <c r="JN55" i="4" s="1"/>
  <c r="JM44" i="4"/>
  <c r="JM45" i="4" s="1"/>
  <c r="JM46" i="4" s="1"/>
  <c r="JM47" i="4" s="1"/>
  <c r="JM48" i="4" s="1"/>
  <c r="JM49" i="4" s="1"/>
  <c r="JM50" i="4" s="1"/>
  <c r="JM51" i="4" s="1"/>
  <c r="JM52" i="4" s="1"/>
  <c r="JM53" i="4" s="1"/>
  <c r="JM54" i="4" s="1"/>
  <c r="JM55" i="4" s="1"/>
  <c r="JL44" i="4"/>
  <c r="JK44" i="4"/>
  <c r="JK45" i="4" s="1"/>
  <c r="JJ44" i="4"/>
  <c r="JJ45" i="4" s="1"/>
  <c r="JJ46" i="4" s="1"/>
  <c r="JJ47" i="4" s="1"/>
  <c r="JI44" i="4"/>
  <c r="JI45" i="4" s="1"/>
  <c r="JI46" i="4" s="1"/>
  <c r="JI47" i="4" s="1"/>
  <c r="JI48" i="4" s="1"/>
  <c r="JI49" i="4" s="1"/>
  <c r="JI50" i="4" s="1"/>
  <c r="JI51" i="4" s="1"/>
  <c r="JI52" i="4" s="1"/>
  <c r="JI53" i="4" s="1"/>
  <c r="JI54" i="4" s="1"/>
  <c r="JI55" i="4" s="1"/>
  <c r="JH44" i="4"/>
  <c r="JG44" i="4"/>
  <c r="JF44" i="4"/>
  <c r="JF45" i="4" s="1"/>
  <c r="JE44" i="4"/>
  <c r="JD44" i="4"/>
  <c r="JD45" i="4" s="1"/>
  <c r="JD46" i="4" s="1"/>
  <c r="JD47" i="4" s="1"/>
  <c r="JD48" i="4" s="1"/>
  <c r="JD49" i="4" s="1"/>
  <c r="JD50" i="4" s="1"/>
  <c r="JD51" i="4" s="1"/>
  <c r="JD52" i="4" s="1"/>
  <c r="JD53" i="4" s="1"/>
  <c r="JD54" i="4" s="1"/>
  <c r="JD55" i="4" s="1"/>
  <c r="JC44" i="4"/>
  <c r="JC45" i="4" s="1"/>
  <c r="JC46" i="4" s="1"/>
  <c r="JB44" i="4"/>
  <c r="JB45" i="4" s="1"/>
  <c r="JA44" i="4"/>
  <c r="IZ44" i="4"/>
  <c r="IY44" i="4"/>
  <c r="IY45" i="4" s="1"/>
  <c r="IX44" i="4"/>
  <c r="IX45" i="4" s="1"/>
  <c r="IX46" i="4" s="1"/>
  <c r="IX47" i="4" s="1"/>
  <c r="IX48" i="4" s="1"/>
  <c r="IX49" i="4" s="1"/>
  <c r="IX50" i="4" s="1"/>
  <c r="IX51" i="4" s="1"/>
  <c r="IX52" i="4" s="1"/>
  <c r="IX53" i="4" s="1"/>
  <c r="IX54" i="4" s="1"/>
  <c r="IX55" i="4" s="1"/>
  <c r="IW44" i="4"/>
  <c r="IV44" i="4"/>
  <c r="IV45" i="4" s="1"/>
  <c r="IV46" i="4" s="1"/>
  <c r="IV47" i="4" s="1"/>
  <c r="IV48" i="4" s="1"/>
  <c r="IV49" i="4" s="1"/>
  <c r="IV50" i="4" s="1"/>
  <c r="IV51" i="4" s="1"/>
  <c r="IV52" i="4" s="1"/>
  <c r="IV53" i="4" s="1"/>
  <c r="IV54" i="4" s="1"/>
  <c r="IV55" i="4" s="1"/>
  <c r="IU44" i="4"/>
  <c r="IT44" i="4"/>
  <c r="IT45" i="4" s="1"/>
  <c r="IS44" i="4"/>
  <c r="IS45" i="4" s="1"/>
  <c r="IS46" i="4" s="1"/>
  <c r="IS47" i="4" s="1"/>
  <c r="IS48" i="4" s="1"/>
  <c r="IS49" i="4" s="1"/>
  <c r="IS50" i="4" s="1"/>
  <c r="IS51" i="4" s="1"/>
  <c r="IS52" i="4" s="1"/>
  <c r="IS53" i="4" s="1"/>
  <c r="IS54" i="4" s="1"/>
  <c r="IS55" i="4" s="1"/>
  <c r="IR44" i="4"/>
  <c r="IQ44" i="4"/>
  <c r="IP44" i="4"/>
  <c r="IP45" i="4" s="1"/>
  <c r="IP46" i="4" s="1"/>
  <c r="IP47" i="4" s="1"/>
  <c r="IP48" i="4" s="1"/>
  <c r="IP49" i="4" s="1"/>
  <c r="IP50" i="4" s="1"/>
  <c r="IP51" i="4" s="1"/>
  <c r="IP52" i="4" s="1"/>
  <c r="IP53" i="4" s="1"/>
  <c r="IP54" i="4" s="1"/>
  <c r="IP55" i="4" s="1"/>
  <c r="IO44" i="4"/>
  <c r="IO45" i="4" s="1"/>
  <c r="IO46" i="4" s="1"/>
  <c r="IO47" i="4" s="1"/>
  <c r="IO48" i="4" s="1"/>
  <c r="IO49" i="4" s="1"/>
  <c r="IO50" i="4" s="1"/>
  <c r="IO51" i="4" s="1"/>
  <c r="IO52" i="4" s="1"/>
  <c r="IO53" i="4" s="1"/>
  <c r="IO54" i="4" s="1"/>
  <c r="IO55" i="4" s="1"/>
  <c r="IN44" i="4"/>
  <c r="IN45" i="4" s="1"/>
  <c r="IL44" i="4"/>
  <c r="IK44" i="4"/>
  <c r="IJ44" i="4"/>
  <c r="IH44" i="4"/>
  <c r="IF44" i="4"/>
  <c r="IE44" i="4"/>
  <c r="ID44" i="4"/>
  <c r="IB44" i="4"/>
  <c r="IA44" i="4"/>
  <c r="HY44" i="4"/>
  <c r="HV44" i="4"/>
  <c r="HU44" i="4"/>
  <c r="HR44" i="4"/>
  <c r="HQ44" i="4"/>
  <c r="HJ44" i="4"/>
  <c r="HF44" i="4"/>
  <c r="HE44" i="4"/>
  <c r="HB44" i="4"/>
  <c r="HT44" i="4" s="1"/>
  <c r="HA44" i="4"/>
  <c r="HS44" i="4" s="1"/>
  <c r="GX44" i="4"/>
  <c r="GV44" i="4"/>
  <c r="HL44" i="4" s="1"/>
  <c r="GR44" i="4"/>
  <c r="GT44" i="4" s="1"/>
  <c r="GQ44" i="4"/>
  <c r="HG44" i="4" s="1"/>
  <c r="GP44" i="4"/>
  <c r="X44" i="4"/>
  <c r="U44" i="4"/>
  <c r="IM43" i="4"/>
  <c r="IL43" i="4"/>
  <c r="IK43" i="4"/>
  <c r="IJ43" i="4"/>
  <c r="II43" i="4"/>
  <c r="IH43" i="4"/>
  <c r="IG43" i="4"/>
  <c r="IF43" i="4"/>
  <c r="IE43" i="4"/>
  <c r="ID43" i="4"/>
  <c r="IC43" i="4"/>
  <c r="IB43" i="4"/>
  <c r="IA43" i="4"/>
  <c r="HZ43" i="4"/>
  <c r="HY43" i="4"/>
  <c r="HX43" i="4"/>
  <c r="HW43" i="4"/>
  <c r="HV43" i="4"/>
  <c r="HU43" i="4"/>
  <c r="HT43" i="4"/>
  <c r="HS43" i="4"/>
  <c r="HR43" i="4"/>
  <c r="HQ43" i="4"/>
  <c r="HH43" i="4"/>
  <c r="HG43" i="4"/>
  <c r="HF43" i="4"/>
  <c r="HE43" i="4"/>
  <c r="HB43" i="4"/>
  <c r="HA43" i="4"/>
  <c r="GV43" i="4"/>
  <c r="GX43" i="4" s="1"/>
  <c r="HN43" i="4" s="1"/>
  <c r="GU43" i="4"/>
  <c r="GT43" i="4"/>
  <c r="HJ43" i="4" s="1"/>
  <c r="GR43" i="4"/>
  <c r="GQ43" i="4"/>
  <c r="GS43" i="4" s="1"/>
  <c r="HI43" i="4" s="1"/>
  <c r="GP43" i="4"/>
  <c r="Y43" i="4" a="1"/>
  <c r="Y43" i="4" s="1"/>
  <c r="FQ42" i="4"/>
  <c r="FP42" i="4"/>
  <c r="FO42" i="4"/>
  <c r="FN42" i="4"/>
  <c r="FM42" i="4"/>
  <c r="FL42" i="4"/>
  <c r="FK42" i="4"/>
  <c r="FJ42" i="4"/>
  <c r="FI42" i="4"/>
  <c r="FH42" i="4"/>
  <c r="FG42" i="4"/>
  <c r="FF42" i="4"/>
  <c r="FE42" i="4"/>
  <c r="FB42" i="4"/>
  <c r="FA42" i="4"/>
  <c r="EW42" i="4"/>
  <c r="EV42" i="4"/>
  <c r="EU42" i="4"/>
  <c r="ET42" i="4"/>
  <c r="FD42" i="4" s="1"/>
  <c r="ES42" i="4"/>
  <c r="FC42" i="4" s="1"/>
  <c r="EQ42" i="4"/>
  <c r="EY42" i="4" s="1"/>
  <c r="EP42" i="4"/>
  <c r="EO42" i="4"/>
  <c r="EN42" i="4"/>
  <c r="AN42" i="4"/>
  <c r="AK42" i="4"/>
  <c r="AJ42" i="4"/>
  <c r="FQ41" i="4"/>
  <c r="FP41" i="4"/>
  <c r="FO41" i="4"/>
  <c r="FN41" i="4"/>
  <c r="FM41" i="4"/>
  <c r="FL41" i="4"/>
  <c r="FK41" i="4"/>
  <c r="FJ41" i="4"/>
  <c r="FI41" i="4"/>
  <c r="FH41" i="4"/>
  <c r="FG41" i="4"/>
  <c r="FF41" i="4"/>
  <c r="FE41" i="4"/>
  <c r="FB41" i="4"/>
  <c r="FA41" i="4"/>
  <c r="EY41" i="4"/>
  <c r="EX41" i="4"/>
  <c r="EW41" i="4"/>
  <c r="EV41" i="4"/>
  <c r="EU41" i="4"/>
  <c r="ET41" i="4"/>
  <c r="FD41" i="4" s="1"/>
  <c r="ES41" i="4"/>
  <c r="FC41" i="4" s="1"/>
  <c r="EP41" i="4"/>
  <c r="ER41" i="4" s="1"/>
  <c r="EZ41" i="4" s="1"/>
  <c r="EO41" i="4"/>
  <c r="EQ41" i="4" s="1"/>
  <c r="EN41" i="4"/>
  <c r="AN41" i="4"/>
  <c r="AK41" i="4"/>
  <c r="AJ41" i="4"/>
  <c r="FQ40" i="4"/>
  <c r="FP40" i="4"/>
  <c r="FO40" i="4"/>
  <c r="FN40" i="4"/>
  <c r="FM40" i="4"/>
  <c r="FL40" i="4"/>
  <c r="FK40" i="4"/>
  <c r="FJ40" i="4"/>
  <c r="FI40" i="4"/>
  <c r="FH40" i="4"/>
  <c r="FG40" i="4"/>
  <c r="FF40" i="4"/>
  <c r="FE40" i="4"/>
  <c r="FB40" i="4"/>
  <c r="FA40" i="4"/>
  <c r="EX40" i="4"/>
  <c r="EW40" i="4"/>
  <c r="EV40" i="4"/>
  <c r="EU40" i="4"/>
  <c r="ET40" i="4"/>
  <c r="FD40" i="4" s="1"/>
  <c r="ES40" i="4"/>
  <c r="FC40" i="4" s="1"/>
  <c r="ER40" i="4"/>
  <c r="EZ40" i="4" s="1"/>
  <c r="EQ40" i="4"/>
  <c r="EY40" i="4" s="1"/>
  <c r="EP40" i="4"/>
  <c r="EO40" i="4"/>
  <c r="EN40" i="4"/>
  <c r="AN40" i="4"/>
  <c r="AK40" i="4"/>
  <c r="AJ40" i="4"/>
  <c r="FQ39" i="4"/>
  <c r="FP39" i="4"/>
  <c r="FO39" i="4"/>
  <c r="FN39" i="4"/>
  <c r="FM39" i="4"/>
  <c r="FL39" i="4"/>
  <c r="FK39" i="4"/>
  <c r="FJ39" i="4"/>
  <c r="FI39" i="4"/>
  <c r="FH39" i="4"/>
  <c r="FG39" i="4"/>
  <c r="FF39" i="4"/>
  <c r="FE39" i="4"/>
  <c r="FD39" i="4"/>
  <c r="FB39" i="4"/>
  <c r="FA39" i="4"/>
  <c r="EV39" i="4"/>
  <c r="EU39" i="4"/>
  <c r="ET39" i="4"/>
  <c r="ES39" i="4"/>
  <c r="FC39" i="4" s="1"/>
  <c r="EP39" i="4"/>
  <c r="EX39" i="4" s="1"/>
  <c r="EO39" i="4"/>
  <c r="EQ39" i="4" s="1"/>
  <c r="EY39" i="4" s="1"/>
  <c r="EN39" i="4"/>
  <c r="AN39" i="4"/>
  <c r="AK39" i="4"/>
  <c r="AJ39" i="4"/>
  <c r="FQ38" i="4"/>
  <c r="FP38" i="4"/>
  <c r="FO38" i="4"/>
  <c r="FN38" i="4"/>
  <c r="FM38" i="4"/>
  <c r="FL38" i="4"/>
  <c r="FK38" i="4"/>
  <c r="FJ38" i="4"/>
  <c r="FI38" i="4"/>
  <c r="FH38" i="4"/>
  <c r="FG38" i="4"/>
  <c r="FF38" i="4"/>
  <c r="FE38" i="4"/>
  <c r="FB38" i="4"/>
  <c r="FA38" i="4"/>
  <c r="EX38" i="4"/>
  <c r="EV38" i="4"/>
  <c r="EU38" i="4"/>
  <c r="ET38" i="4"/>
  <c r="FD38" i="4" s="1"/>
  <c r="ES38" i="4"/>
  <c r="FC38" i="4" s="1"/>
  <c r="EP38" i="4"/>
  <c r="ER38" i="4" s="1"/>
  <c r="EZ38" i="4" s="1"/>
  <c r="EO38" i="4"/>
  <c r="EQ38" i="4" s="1"/>
  <c r="EY38" i="4" s="1"/>
  <c r="EN38" i="4"/>
  <c r="AN38" i="4"/>
  <c r="AK38" i="4"/>
  <c r="AJ38" i="4"/>
  <c r="FQ37" i="4"/>
  <c r="FP37" i="4"/>
  <c r="FO37" i="4"/>
  <c r="FN37" i="4"/>
  <c r="FM37" i="4"/>
  <c r="FL37" i="4"/>
  <c r="FK37" i="4"/>
  <c r="FJ37" i="4"/>
  <c r="FI37" i="4"/>
  <c r="FH37" i="4"/>
  <c r="FG37" i="4"/>
  <c r="FF37" i="4"/>
  <c r="FE37" i="4"/>
  <c r="FB37" i="4"/>
  <c r="FA37" i="4"/>
  <c r="EZ37" i="4"/>
  <c r="EX37" i="4"/>
  <c r="EW37" i="4"/>
  <c r="EV37" i="4"/>
  <c r="EU37" i="4"/>
  <c r="ET37" i="4"/>
  <c r="FD37" i="4" s="1"/>
  <c r="ES37" i="4"/>
  <c r="FC37" i="4" s="1"/>
  <c r="EQ37" i="4"/>
  <c r="EY37" i="4" s="1"/>
  <c r="EP37" i="4"/>
  <c r="ER37" i="4" s="1"/>
  <c r="EO37" i="4"/>
  <c r="EN37" i="4"/>
  <c r="AN37" i="4"/>
  <c r="AK37" i="4"/>
  <c r="AJ37" i="4"/>
  <c r="FQ36" i="4"/>
  <c r="FP36" i="4"/>
  <c r="FO36" i="4"/>
  <c r="FN36" i="4"/>
  <c r="FM36" i="4"/>
  <c r="FL36" i="4"/>
  <c r="FK36" i="4"/>
  <c r="FJ36" i="4"/>
  <c r="FI36" i="4"/>
  <c r="FH36" i="4"/>
  <c r="FG36" i="4"/>
  <c r="FF36" i="4"/>
  <c r="FE36" i="4"/>
  <c r="FD36" i="4"/>
  <c r="FB36" i="4"/>
  <c r="FA36" i="4"/>
  <c r="EZ36" i="4"/>
  <c r="EX36" i="4"/>
  <c r="EW36" i="4"/>
  <c r="EV36" i="4"/>
  <c r="EU36" i="4"/>
  <c r="ET36" i="4"/>
  <c r="ES36" i="4"/>
  <c r="FC36" i="4" s="1"/>
  <c r="ER36" i="4"/>
  <c r="EQ36" i="4"/>
  <c r="EY36" i="4" s="1"/>
  <c r="EP36" i="4"/>
  <c r="EO36" i="4"/>
  <c r="EN36" i="4"/>
  <c r="AN36" i="4"/>
  <c r="AK36" i="4"/>
  <c r="AJ36" i="4"/>
  <c r="FQ35" i="4"/>
  <c r="FP35" i="4"/>
  <c r="FO35" i="4"/>
  <c r="FN35" i="4"/>
  <c r="FM35" i="4"/>
  <c r="FL35" i="4"/>
  <c r="FK35" i="4"/>
  <c r="FJ35" i="4"/>
  <c r="FI35" i="4"/>
  <c r="FH35" i="4"/>
  <c r="FG35" i="4"/>
  <c r="FF35" i="4"/>
  <c r="FE35" i="4"/>
  <c r="FD35" i="4"/>
  <c r="FB35" i="4"/>
  <c r="FA35" i="4"/>
  <c r="EW35" i="4"/>
  <c r="EV35" i="4"/>
  <c r="EU35" i="4"/>
  <c r="ET35" i="4"/>
  <c r="ES35" i="4"/>
  <c r="FC35" i="4" s="1"/>
  <c r="ER35" i="4"/>
  <c r="EZ35" i="4" s="1"/>
  <c r="EQ35" i="4"/>
  <c r="EY35" i="4" s="1"/>
  <c r="EP35" i="4"/>
  <c r="EX35" i="4" s="1"/>
  <c r="EO35" i="4"/>
  <c r="EN35" i="4"/>
  <c r="AN35" i="4"/>
  <c r="AK35" i="4"/>
  <c r="AJ35" i="4"/>
  <c r="FQ34" i="4"/>
  <c r="FP34" i="4"/>
  <c r="FO34" i="4"/>
  <c r="FN34" i="4"/>
  <c r="FM34" i="4"/>
  <c r="FL34" i="4"/>
  <c r="FK34" i="4"/>
  <c r="FJ34" i="4"/>
  <c r="FI34" i="4"/>
  <c r="FH34" i="4"/>
  <c r="FG34" i="4"/>
  <c r="FF34" i="4"/>
  <c r="FE34" i="4"/>
  <c r="FC34" i="4"/>
  <c r="FB34" i="4"/>
  <c r="FA34" i="4"/>
  <c r="EW34" i="4"/>
  <c r="EV34" i="4"/>
  <c r="EU34" i="4"/>
  <c r="ET34" i="4"/>
  <c r="FD34" i="4" s="1"/>
  <c r="ES34" i="4"/>
  <c r="EQ34" i="4"/>
  <c r="EY34" i="4" s="1"/>
  <c r="EP34" i="4"/>
  <c r="EO34" i="4"/>
  <c r="EN34" i="4"/>
  <c r="AN34" i="4"/>
  <c r="AK34" i="4"/>
  <c r="AJ34" i="4"/>
  <c r="DD33" i="4"/>
  <c r="DC33" i="4"/>
  <c r="DB33" i="4"/>
  <c r="DA33" i="4"/>
  <c r="CZ33" i="4"/>
  <c r="CY33" i="4"/>
  <c r="CX33" i="4"/>
  <c r="CW33" i="4"/>
  <c r="CV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C33" i="4"/>
  <c r="CB33" i="4"/>
  <c r="BQ33" i="4"/>
  <c r="BP33" i="4"/>
  <c r="BO33" i="4"/>
  <c r="CG33" i="4" s="1"/>
  <c r="BM33" i="4"/>
  <c r="CE33" i="4" s="1"/>
  <c r="BL33" i="4"/>
  <c r="BN33" i="4" s="1"/>
  <c r="CF33" i="4" s="1"/>
  <c r="BE33" i="4"/>
  <c r="BG33" i="4" s="1"/>
  <c r="BC33" i="4"/>
  <c r="BS33" i="4" s="1"/>
  <c r="BB33" i="4"/>
  <c r="BA33" i="4"/>
  <c r="DD32" i="4"/>
  <c r="DC32" i="4"/>
  <c r="DB32" i="4"/>
  <c r="DA32" i="4"/>
  <c r="CZ32" i="4"/>
  <c r="CY32" i="4"/>
  <c r="CX32" i="4"/>
  <c r="CW32" i="4"/>
  <c r="CV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D32" i="4"/>
  <c r="CC32" i="4"/>
  <c r="CB32" i="4"/>
  <c r="BS32" i="4"/>
  <c r="BQ32" i="4"/>
  <c r="BP32" i="4"/>
  <c r="BN32" i="4"/>
  <c r="CF32" i="4" s="1"/>
  <c r="BM32" i="4"/>
  <c r="BL32" i="4"/>
  <c r="BE32" i="4"/>
  <c r="BD32" i="4"/>
  <c r="BC32" i="4"/>
  <c r="BB32" i="4"/>
  <c r="BR32" i="4" s="1"/>
  <c r="BA32" i="4"/>
  <c r="DD31" i="4"/>
  <c r="DC31" i="4"/>
  <c r="DB31" i="4"/>
  <c r="DA31" i="4"/>
  <c r="CZ31" i="4"/>
  <c r="CY31" i="4"/>
  <c r="CX31" i="4"/>
  <c r="CW31" i="4"/>
  <c r="CV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F31" i="4"/>
  <c r="CD31" i="4"/>
  <c r="CC31" i="4"/>
  <c r="CB31" i="4"/>
  <c r="BS31" i="4"/>
  <c r="BQ31" i="4"/>
  <c r="BP31" i="4"/>
  <c r="BM31" i="4"/>
  <c r="CE31" i="4" s="1"/>
  <c r="BL31" i="4"/>
  <c r="BN31" i="4" s="1"/>
  <c r="BE31" i="4"/>
  <c r="BC31" i="4"/>
  <c r="BB31" i="4"/>
  <c r="BR31" i="4" s="1"/>
  <c r="BA31" i="4"/>
  <c r="DD30" i="4"/>
  <c r="DC30" i="4"/>
  <c r="DB30" i="4"/>
  <c r="DA30" i="4"/>
  <c r="CZ30" i="4"/>
  <c r="CY30" i="4"/>
  <c r="CX30" i="4"/>
  <c r="CW30" i="4"/>
  <c r="CV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C30" i="4"/>
  <c r="CB30" i="4"/>
  <c r="BQ30" i="4"/>
  <c r="BP30" i="4"/>
  <c r="BM30" i="4"/>
  <c r="BL30" i="4"/>
  <c r="BN30" i="4" s="1"/>
  <c r="CF30" i="4" s="1"/>
  <c r="BD30" i="4"/>
  <c r="BC30" i="4"/>
  <c r="BB30" i="4"/>
  <c r="BR30" i="4" s="1"/>
  <c r="BA30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F29" i="4"/>
  <c r="CD29" i="4"/>
  <c r="CC29" i="4"/>
  <c r="CB29" i="4"/>
  <c r="BU29" i="4"/>
  <c r="BT29" i="4"/>
  <c r="BS29" i="4"/>
  <c r="BR29" i="4"/>
  <c r="BQ29" i="4"/>
  <c r="BP29" i="4"/>
  <c r="BN29" i="4"/>
  <c r="BM29" i="4"/>
  <c r="BO29" i="4" s="1"/>
  <c r="CG29" i="4" s="1"/>
  <c r="BL29" i="4"/>
  <c r="BG29" i="4"/>
  <c r="BW29" i="4" s="1"/>
  <c r="BE29" i="4"/>
  <c r="BD29" i="4"/>
  <c r="BF29" i="4" s="1"/>
  <c r="BV29" i="4" s="1"/>
  <c r="BC29" i="4"/>
  <c r="BB29" i="4"/>
  <c r="BA29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C28" i="4"/>
  <c r="CB28" i="4"/>
  <c r="BQ28" i="4"/>
  <c r="BP28" i="4"/>
  <c r="BM28" i="4"/>
  <c r="BO28" i="4" s="1"/>
  <c r="CG28" i="4" s="1"/>
  <c r="BL28" i="4"/>
  <c r="CD28" i="4" s="1"/>
  <c r="BC28" i="4"/>
  <c r="BB28" i="4"/>
  <c r="BD28" i="4" s="1"/>
  <c r="BA28" i="4"/>
  <c r="DD27" i="4"/>
  <c r="DC27" i="4"/>
  <c r="DB27" i="4"/>
  <c r="DA27" i="4"/>
  <c r="CZ27" i="4"/>
  <c r="CY27" i="4"/>
  <c r="CX27" i="4"/>
  <c r="CW27" i="4"/>
  <c r="CV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F27" i="4"/>
  <c r="CC27" i="4"/>
  <c r="CB27" i="4"/>
  <c r="BW27" i="4"/>
  <c r="BR27" i="4"/>
  <c r="BQ27" i="4"/>
  <c r="BP27" i="4"/>
  <c r="BM27" i="4"/>
  <c r="BL27" i="4"/>
  <c r="BN27" i="4" s="1"/>
  <c r="BE27" i="4"/>
  <c r="BG27" i="4" s="1"/>
  <c r="BI27" i="4" s="1"/>
  <c r="BD27" i="4"/>
  <c r="BC27" i="4"/>
  <c r="BS27" i="4" s="1"/>
  <c r="BB27" i="4"/>
  <c r="BA27" i="4"/>
  <c r="DD26" i="4"/>
  <c r="DC26" i="4"/>
  <c r="DB26" i="4"/>
  <c r="DA26" i="4"/>
  <c r="CZ26" i="4"/>
  <c r="CY26" i="4"/>
  <c r="CX26" i="4"/>
  <c r="CW26" i="4"/>
  <c r="CV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D26" i="4"/>
  <c r="CC26" i="4"/>
  <c r="CB26" i="4"/>
  <c r="BS26" i="4"/>
  <c r="BQ26" i="4"/>
  <c r="BP26" i="4"/>
  <c r="BN26" i="4"/>
  <c r="CF26" i="4" s="1"/>
  <c r="BM26" i="4"/>
  <c r="BO26" i="4" s="1"/>
  <c r="CG26" i="4" s="1"/>
  <c r="BL26" i="4"/>
  <c r="BE26" i="4"/>
  <c r="BC26" i="4"/>
  <c r="BB26" i="4"/>
  <c r="BD26" i="4" s="1"/>
  <c r="BT26" i="4" s="1"/>
  <c r="BA26" i="4"/>
  <c r="DD25" i="4"/>
  <c r="DC25" i="4"/>
  <c r="DB25" i="4"/>
  <c r="DA25" i="4"/>
  <c r="CZ25" i="4"/>
  <c r="CY25" i="4"/>
  <c r="CX25" i="4"/>
  <c r="CW25" i="4"/>
  <c r="CV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C25" i="4"/>
  <c r="CB25" i="4"/>
  <c r="BT25" i="4"/>
  <c r="BR25" i="4"/>
  <c r="BQ25" i="4"/>
  <c r="BP25" i="4"/>
  <c r="BM25" i="4"/>
  <c r="BO25" i="4" s="1"/>
  <c r="BL25" i="4"/>
  <c r="BN25" i="4" s="1"/>
  <c r="CF25" i="4" s="1"/>
  <c r="BE25" i="4"/>
  <c r="BG25" i="4" s="1"/>
  <c r="BD25" i="4"/>
  <c r="BF25" i="4" s="1"/>
  <c r="BH25" i="4" s="1"/>
  <c r="BC25" i="4"/>
  <c r="BS25" i="4" s="1"/>
  <c r="BB25" i="4"/>
  <c r="BA25" i="4"/>
  <c r="DD24" i="4"/>
  <c r="DC24" i="4"/>
  <c r="DB24" i="4"/>
  <c r="DA24" i="4"/>
  <c r="CZ24" i="4"/>
  <c r="CY24" i="4"/>
  <c r="CX24" i="4"/>
  <c r="CW24" i="4"/>
  <c r="CV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D24" i="4"/>
  <c r="CC24" i="4"/>
  <c r="CB24" i="4"/>
  <c r="BR24" i="4"/>
  <c r="BQ24" i="4"/>
  <c r="BP24" i="4"/>
  <c r="BO24" i="4"/>
  <c r="BN24" i="4"/>
  <c r="BM24" i="4"/>
  <c r="CE24" i="4" s="1"/>
  <c r="BL24" i="4"/>
  <c r="BE24" i="4"/>
  <c r="BD24" i="4"/>
  <c r="BF24" i="4" s="1"/>
  <c r="BC24" i="4"/>
  <c r="BS24" i="4" s="1"/>
  <c r="BB24" i="4"/>
  <c r="BA24" i="4"/>
  <c r="DD23" i="4"/>
  <c r="DC23" i="4"/>
  <c r="DB23" i="4"/>
  <c r="DA23" i="4"/>
  <c r="CZ23" i="4"/>
  <c r="CY23" i="4"/>
  <c r="CX23" i="4"/>
  <c r="CW23" i="4"/>
  <c r="CV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E23" i="4"/>
  <c r="CC23" i="4"/>
  <c r="CB23" i="4"/>
  <c r="BY23" i="4"/>
  <c r="BU23" i="4"/>
  <c r="BT23" i="4"/>
  <c r="BS23" i="4"/>
  <c r="BQ23" i="4"/>
  <c r="BP23" i="4"/>
  <c r="BM23" i="4"/>
  <c r="BO23" i="4" s="1"/>
  <c r="BL23" i="4"/>
  <c r="BN23" i="4" s="1"/>
  <c r="CF23" i="4" s="1"/>
  <c r="BK23" i="4"/>
  <c r="CA23" i="4" s="1"/>
  <c r="BG23" i="4"/>
  <c r="BI23" i="4" s="1"/>
  <c r="BF23" i="4"/>
  <c r="BV23" i="4" s="1"/>
  <c r="BE23" i="4"/>
  <c r="BD23" i="4"/>
  <c r="BC23" i="4"/>
  <c r="BB23" i="4"/>
  <c r="BR23" i="4" s="1"/>
  <c r="BA23" i="4"/>
  <c r="DD22" i="4"/>
  <c r="DC22" i="4"/>
  <c r="DB22" i="4"/>
  <c r="DA22" i="4"/>
  <c r="CZ22" i="4"/>
  <c r="CY22" i="4"/>
  <c r="CX22" i="4"/>
  <c r="CW22" i="4"/>
  <c r="CV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F22" i="4"/>
  <c r="CD22" i="4"/>
  <c r="CC22" i="4"/>
  <c r="CB22" i="4"/>
  <c r="BS22" i="4"/>
  <c r="BQ22" i="4"/>
  <c r="BP22" i="4"/>
  <c r="BO22" i="4"/>
  <c r="CG22" i="4" s="1"/>
  <c r="BN22" i="4"/>
  <c r="BM22" i="4"/>
  <c r="CE22" i="4" s="1"/>
  <c r="BL22" i="4"/>
  <c r="BI22" i="4"/>
  <c r="BE22" i="4"/>
  <c r="BG22" i="4" s="1"/>
  <c r="BW22" i="4" s="1"/>
  <c r="BC22" i="4"/>
  <c r="BB22" i="4"/>
  <c r="BR22" i="4" s="1"/>
  <c r="BA22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C21" i="4"/>
  <c r="CB21" i="4"/>
  <c r="BQ21" i="4"/>
  <c r="BP21" i="4"/>
  <c r="BO21" i="4"/>
  <c r="BN21" i="4"/>
  <c r="CF21" i="4" s="1"/>
  <c r="BM21" i="4"/>
  <c r="CE21" i="4" s="1"/>
  <c r="BL21" i="4"/>
  <c r="CD21" i="4" s="1"/>
  <c r="BF21" i="4"/>
  <c r="BV21" i="4" s="1"/>
  <c r="BC21" i="4"/>
  <c r="BS21" i="4" s="1"/>
  <c r="BB21" i="4"/>
  <c r="BD21" i="4" s="1"/>
  <c r="BT21" i="4" s="1"/>
  <c r="BA21" i="4"/>
  <c r="DD20" i="4"/>
  <c r="DC20" i="4"/>
  <c r="DB20" i="4"/>
  <c r="DA20" i="4"/>
  <c r="CZ20" i="4"/>
  <c r="CY20" i="4"/>
  <c r="CX20" i="4"/>
  <c r="CW20" i="4"/>
  <c r="CV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D20" i="4"/>
  <c r="CC20" i="4"/>
  <c r="CB20" i="4"/>
  <c r="BV20" i="4"/>
  <c r="BS20" i="4"/>
  <c r="BR20" i="4"/>
  <c r="BQ20" i="4"/>
  <c r="BP20" i="4"/>
  <c r="BM20" i="4"/>
  <c r="BO20" i="4" s="1"/>
  <c r="CG20" i="4" s="1"/>
  <c r="BL20" i="4"/>
  <c r="BN20" i="4" s="1"/>
  <c r="CF20" i="4" s="1"/>
  <c r="BI20" i="4"/>
  <c r="BK20" i="4" s="1"/>
  <c r="CA20" i="4" s="1"/>
  <c r="BG20" i="4"/>
  <c r="BW20" i="4" s="1"/>
  <c r="BE20" i="4"/>
  <c r="BU20" i="4" s="1"/>
  <c r="BD20" i="4"/>
  <c r="BF20" i="4" s="1"/>
  <c r="BH20" i="4" s="1"/>
  <c r="BC20" i="4"/>
  <c r="BB20" i="4"/>
  <c r="BA20" i="4"/>
  <c r="DD19" i="4"/>
  <c r="DC19" i="4"/>
  <c r="DB19" i="4"/>
  <c r="DA19" i="4"/>
  <c r="CZ19" i="4"/>
  <c r="CY19" i="4"/>
  <c r="CX19" i="4"/>
  <c r="CW19" i="4"/>
  <c r="CV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E19" i="4"/>
  <c r="CC19" i="4"/>
  <c r="CB19" i="4"/>
  <c r="BX19" i="4"/>
  <c r="BT19" i="4"/>
  <c r="BR19" i="4"/>
  <c r="BQ19" i="4"/>
  <c r="BP19" i="4"/>
  <c r="BO19" i="4"/>
  <c r="CG19" i="4" s="1"/>
  <c r="BM19" i="4"/>
  <c r="BL19" i="4"/>
  <c r="CD19" i="4" s="1"/>
  <c r="BF19" i="4"/>
  <c r="BH19" i="4" s="1"/>
  <c r="BJ19" i="4" s="1"/>
  <c r="BZ19" i="4" s="1"/>
  <c r="BC19" i="4"/>
  <c r="BS19" i="4" s="1"/>
  <c r="BB19" i="4"/>
  <c r="BD19" i="4" s="1"/>
  <c r="BA19" i="4"/>
  <c r="DD18" i="4"/>
  <c r="DC18" i="4"/>
  <c r="DB18" i="4"/>
  <c r="DA18" i="4"/>
  <c r="CZ18" i="4"/>
  <c r="CY18" i="4"/>
  <c r="CX18" i="4"/>
  <c r="CW18" i="4"/>
  <c r="CV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D18" i="4"/>
  <c r="CC18" i="4"/>
  <c r="CB18" i="4"/>
  <c r="BQ18" i="4"/>
  <c r="BP18" i="4"/>
  <c r="BM18" i="4"/>
  <c r="CE18" i="4" s="1"/>
  <c r="BL18" i="4"/>
  <c r="BN18" i="4" s="1"/>
  <c r="CF18" i="4" s="1"/>
  <c r="BC18" i="4"/>
  <c r="BB18" i="4"/>
  <c r="BR18" i="4" s="1"/>
  <c r="BA18" i="4"/>
  <c r="DD17" i="4"/>
  <c r="DC17" i="4"/>
  <c r="DB17" i="4"/>
  <c r="DA17" i="4"/>
  <c r="CZ17" i="4"/>
  <c r="CY17" i="4"/>
  <c r="CX17" i="4"/>
  <c r="CW17" i="4"/>
  <c r="CV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F17" i="4"/>
  <c r="CD17" i="4"/>
  <c r="CC17" i="4"/>
  <c r="CB17" i="4"/>
  <c r="BW17" i="4"/>
  <c r="BS17" i="4"/>
  <c r="BQ17" i="4"/>
  <c r="BP17" i="4"/>
  <c r="BN17" i="4"/>
  <c r="BM17" i="4"/>
  <c r="BO17" i="4" s="1"/>
  <c r="CG17" i="4" s="1"/>
  <c r="BL17" i="4"/>
  <c r="BI17" i="4"/>
  <c r="BK17" i="4" s="1"/>
  <c r="CA17" i="4" s="1"/>
  <c r="BE17" i="4"/>
  <c r="BG17" i="4" s="1"/>
  <c r="BC17" i="4"/>
  <c r="BB17" i="4"/>
  <c r="BD17" i="4" s="1"/>
  <c r="BA17" i="4"/>
  <c r="DD16" i="4"/>
  <c r="DC16" i="4"/>
  <c r="DB16" i="4"/>
  <c r="DA16" i="4"/>
  <c r="CZ16" i="4"/>
  <c r="CY16" i="4"/>
  <c r="CX16" i="4"/>
  <c r="CW16" i="4"/>
  <c r="CV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F16" i="4"/>
  <c r="CD16" i="4"/>
  <c r="CC16" i="4"/>
  <c r="CB16" i="4"/>
  <c r="BS16" i="4"/>
  <c r="BQ16" i="4"/>
  <c r="BP16" i="4"/>
  <c r="BM16" i="4"/>
  <c r="CE16" i="4" s="1"/>
  <c r="BL16" i="4"/>
  <c r="BN16" i="4" s="1"/>
  <c r="BC16" i="4"/>
  <c r="BE16" i="4" s="1"/>
  <c r="BG16" i="4" s="1"/>
  <c r="BB16" i="4"/>
  <c r="BR16" i="4" s="1"/>
  <c r="BA16" i="4"/>
  <c r="DD15" i="4"/>
  <c r="DC15" i="4"/>
  <c r="DB15" i="4"/>
  <c r="DA15" i="4"/>
  <c r="CZ15" i="4"/>
  <c r="CY15" i="4"/>
  <c r="CX15" i="4"/>
  <c r="CW15" i="4"/>
  <c r="CV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C15" i="4"/>
  <c r="CB15" i="4"/>
  <c r="BY15" i="4"/>
  <c r="BR15" i="4"/>
  <c r="BQ15" i="4"/>
  <c r="BP15" i="4"/>
  <c r="BM15" i="4"/>
  <c r="BL15" i="4"/>
  <c r="CD15" i="4" s="1"/>
  <c r="BI15" i="4"/>
  <c r="BK15" i="4" s="1"/>
  <c r="CA15" i="4" s="1"/>
  <c r="BE15" i="4"/>
  <c r="BG15" i="4" s="1"/>
  <c r="BW15" i="4" s="1"/>
  <c r="BD15" i="4"/>
  <c r="BC15" i="4"/>
  <c r="BS15" i="4" s="1"/>
  <c r="BB15" i="4"/>
  <c r="BA15" i="4"/>
  <c r="DD14" i="4"/>
  <c r="DC14" i="4"/>
  <c r="DB14" i="4"/>
  <c r="DA14" i="4"/>
  <c r="CZ14" i="4"/>
  <c r="CY14" i="4"/>
  <c r="CX14" i="4"/>
  <c r="CW14" i="4"/>
  <c r="CV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F14" i="4"/>
  <c r="CC14" i="4"/>
  <c r="CB14" i="4"/>
  <c r="BX14" i="4"/>
  <c r="BW14" i="4"/>
  <c r="BT14" i="4"/>
  <c r="BS14" i="4"/>
  <c r="BQ14" i="4"/>
  <c r="BP14" i="4"/>
  <c r="BN14" i="4"/>
  <c r="BM14" i="4"/>
  <c r="BO14" i="4" s="1"/>
  <c r="CG14" i="4" s="1"/>
  <c r="BL14" i="4"/>
  <c r="CD14" i="4" s="1"/>
  <c r="BJ14" i="4"/>
  <c r="BZ14" i="4" s="1"/>
  <c r="BI14" i="4"/>
  <c r="BG14" i="4"/>
  <c r="BF14" i="4"/>
  <c r="BH14" i="4" s="1"/>
  <c r="BE14" i="4"/>
  <c r="BU14" i="4" s="1"/>
  <c r="BC14" i="4"/>
  <c r="BB14" i="4"/>
  <c r="BD14" i="4" s="1"/>
  <c r="BA14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D13" i="4"/>
  <c r="CC13" i="4"/>
  <c r="CB13" i="4"/>
  <c r="BV13" i="4"/>
  <c r="BT13" i="4"/>
  <c r="BR13" i="4"/>
  <c r="BQ13" i="4"/>
  <c r="BP13" i="4"/>
  <c r="BN13" i="4"/>
  <c r="CF13" i="4" s="1"/>
  <c r="BM13" i="4"/>
  <c r="BO13" i="4" s="1"/>
  <c r="CG13" i="4" s="1"/>
  <c r="BL13" i="4"/>
  <c r="BH13" i="4"/>
  <c r="BE13" i="4"/>
  <c r="BG13" i="4" s="1"/>
  <c r="BD13" i="4"/>
  <c r="BF13" i="4" s="1"/>
  <c r="BC13" i="4"/>
  <c r="BS13" i="4" s="1"/>
  <c r="BB13" i="4"/>
  <c r="BA13" i="4"/>
  <c r="DD12" i="4"/>
  <c r="DC12" i="4"/>
  <c r="DB12" i="4"/>
  <c r="DA12" i="4"/>
  <c r="CZ12" i="4"/>
  <c r="CY12" i="4"/>
  <c r="CX12" i="4"/>
  <c r="CW12" i="4"/>
  <c r="CV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D12" i="4"/>
  <c r="CC12" i="4"/>
  <c r="CB12" i="4"/>
  <c r="BR12" i="4"/>
  <c r="BQ12" i="4"/>
  <c r="BP12" i="4"/>
  <c r="BO12" i="4"/>
  <c r="BN12" i="4"/>
  <c r="CF12" i="4" s="1"/>
  <c r="BM12" i="4"/>
  <c r="CE12" i="4" s="1"/>
  <c r="BL12" i="4"/>
  <c r="BE12" i="4"/>
  <c r="BD12" i="4"/>
  <c r="BF12" i="4" s="1"/>
  <c r="BC12" i="4"/>
  <c r="BS12" i="4" s="1"/>
  <c r="BB12" i="4"/>
  <c r="BA12" i="4"/>
  <c r="DD11" i="4"/>
  <c r="DC11" i="4"/>
  <c r="DB11" i="4"/>
  <c r="DA11" i="4"/>
  <c r="CZ11" i="4"/>
  <c r="CY11" i="4"/>
  <c r="CX11" i="4"/>
  <c r="CW11" i="4"/>
  <c r="CV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E11" i="4"/>
  <c r="CC11" i="4"/>
  <c r="CB11" i="4"/>
  <c r="BY11" i="4"/>
  <c r="BU11" i="4"/>
  <c r="BS11" i="4"/>
  <c r="BQ11" i="4"/>
  <c r="BP11" i="4"/>
  <c r="BM11" i="4"/>
  <c r="BO11" i="4" s="1"/>
  <c r="BL11" i="4"/>
  <c r="BG11" i="4"/>
  <c r="BI11" i="4" s="1"/>
  <c r="BK11" i="4" s="1"/>
  <c r="CA11" i="4" s="1"/>
  <c r="BE11" i="4"/>
  <c r="BC11" i="4"/>
  <c r="BB11" i="4"/>
  <c r="BR11" i="4" s="1"/>
  <c r="BA11" i="4"/>
  <c r="DD10" i="4"/>
  <c r="DC10" i="4"/>
  <c r="DB10" i="4"/>
  <c r="DA10" i="4"/>
  <c r="CZ10" i="4"/>
  <c r="CY10" i="4"/>
  <c r="CX10" i="4"/>
  <c r="CW10" i="4"/>
  <c r="CV10" i="4"/>
  <c r="CU10" i="4"/>
  <c r="CT10" i="4"/>
  <c r="CS10" i="4"/>
  <c r="CR10" i="4"/>
  <c r="CQ10" i="4"/>
  <c r="CP10" i="4"/>
  <c r="CO10" i="4"/>
  <c r="CN10" i="4"/>
  <c r="CM10" i="4"/>
  <c r="CL10" i="4"/>
  <c r="CK10" i="4"/>
  <c r="CJ10" i="4"/>
  <c r="CI10" i="4"/>
  <c r="CH10" i="4"/>
  <c r="CE10" i="4"/>
  <c r="CD10" i="4"/>
  <c r="CC10" i="4"/>
  <c r="CB10" i="4"/>
  <c r="BS10" i="4"/>
  <c r="BQ10" i="4"/>
  <c r="BP10" i="4"/>
  <c r="BO10" i="4"/>
  <c r="CG10" i="4" s="1"/>
  <c r="BN10" i="4"/>
  <c r="CF10" i="4" s="1"/>
  <c r="BM10" i="4"/>
  <c r="BL10" i="4"/>
  <c r="BE10" i="4"/>
  <c r="BG10" i="4" s="1"/>
  <c r="BW10" i="4" s="1"/>
  <c r="BC10" i="4"/>
  <c r="BB10" i="4"/>
  <c r="BD10" i="4" s="1"/>
  <c r="BA10" i="4"/>
  <c r="DD9" i="4"/>
  <c r="DC9" i="4"/>
  <c r="DB9" i="4"/>
  <c r="DA9" i="4"/>
  <c r="CZ9" i="4"/>
  <c r="CY9" i="4"/>
  <c r="CX9" i="4"/>
  <c r="CW9" i="4"/>
  <c r="CV9" i="4"/>
  <c r="CU9" i="4"/>
  <c r="CT9" i="4"/>
  <c r="CS9" i="4"/>
  <c r="CR9" i="4"/>
  <c r="CQ9" i="4"/>
  <c r="CP9" i="4"/>
  <c r="CO9" i="4"/>
  <c r="CN9" i="4"/>
  <c r="CM9" i="4"/>
  <c r="CL9" i="4"/>
  <c r="CK9" i="4"/>
  <c r="CJ9" i="4"/>
  <c r="CI9" i="4"/>
  <c r="CH9" i="4"/>
  <c r="CG9" i="4"/>
  <c r="CC9" i="4"/>
  <c r="CB9" i="4"/>
  <c r="BQ9" i="4"/>
  <c r="BP9" i="4"/>
  <c r="BO9" i="4"/>
  <c r="BN9" i="4"/>
  <c r="CF9" i="4" s="1"/>
  <c r="BM9" i="4"/>
  <c r="CE9" i="4" s="1"/>
  <c r="BL9" i="4"/>
  <c r="CD9" i="4" s="1"/>
  <c r="BC9" i="4"/>
  <c r="BB9" i="4"/>
  <c r="BA9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E8" i="4"/>
  <c r="CC8" i="4"/>
  <c r="CB8" i="4"/>
  <c r="BT8" i="4"/>
  <c r="BS8" i="4"/>
  <c r="BR8" i="4"/>
  <c r="BQ8" i="4"/>
  <c r="BP8" i="4"/>
  <c r="BO8" i="4"/>
  <c r="CG8" i="4" s="1"/>
  <c r="BN8" i="4"/>
  <c r="CF8" i="4" s="1"/>
  <c r="BM8" i="4"/>
  <c r="BL8" i="4"/>
  <c r="CD8" i="4" s="1"/>
  <c r="BG8" i="4"/>
  <c r="BI8" i="4" s="1"/>
  <c r="BY8" i="4" s="1"/>
  <c r="BF8" i="4"/>
  <c r="BD8" i="4"/>
  <c r="BC8" i="4"/>
  <c r="BE8" i="4" s="1"/>
  <c r="BU8" i="4" s="1"/>
  <c r="BB8" i="4"/>
  <c r="BA8" i="4"/>
  <c r="DD7" i="4"/>
  <c r="DC7" i="4"/>
  <c r="DB7" i="4"/>
  <c r="DA7" i="4"/>
  <c r="CZ7" i="4"/>
  <c r="CY7" i="4"/>
  <c r="CX7" i="4"/>
  <c r="CW7" i="4"/>
  <c r="CV7" i="4"/>
  <c r="CU7" i="4"/>
  <c r="CT7" i="4"/>
  <c r="CS7" i="4"/>
  <c r="CR7" i="4"/>
  <c r="CQ7" i="4"/>
  <c r="CP7" i="4"/>
  <c r="CO7" i="4"/>
  <c r="CN7" i="4"/>
  <c r="CM7" i="4"/>
  <c r="CL7" i="4"/>
  <c r="CK7" i="4"/>
  <c r="CJ7" i="4"/>
  <c r="CI7" i="4"/>
  <c r="CH7" i="4"/>
  <c r="CE7" i="4"/>
  <c r="CD7" i="4"/>
  <c r="CC7" i="4"/>
  <c r="CB7" i="4"/>
  <c r="BW7" i="4"/>
  <c r="BQ7" i="4"/>
  <c r="BP7" i="4"/>
  <c r="BO7" i="4"/>
  <c r="CG7" i="4" s="1"/>
  <c r="BN7" i="4"/>
  <c r="CF7" i="4" s="1"/>
  <c r="BM7" i="4"/>
  <c r="BL7" i="4"/>
  <c r="BK7" i="4"/>
  <c r="CA7" i="4" s="1"/>
  <c r="BG7" i="4"/>
  <c r="BI7" i="4" s="1"/>
  <c r="BY7" i="4" s="1"/>
  <c r="BC7" i="4"/>
  <c r="BE7" i="4" s="1"/>
  <c r="BU7" i="4" s="1"/>
  <c r="BB7" i="4"/>
  <c r="BR7" i="4" s="1"/>
  <c r="BA7" i="4"/>
  <c r="DD6" i="4"/>
  <c r="DC6" i="4"/>
  <c r="DB6" i="4"/>
  <c r="DA6" i="4"/>
  <c r="CZ6" i="4"/>
  <c r="CY6" i="4"/>
  <c r="CX6" i="4"/>
  <c r="CW6" i="4"/>
  <c r="CV6" i="4"/>
  <c r="CU6" i="4"/>
  <c r="CT6" i="4"/>
  <c r="CS6" i="4"/>
  <c r="CR6" i="4"/>
  <c r="CQ6" i="4"/>
  <c r="CP6" i="4"/>
  <c r="CO6" i="4"/>
  <c r="CN6" i="4"/>
  <c r="CM6" i="4"/>
  <c r="CL6" i="4"/>
  <c r="CK6" i="4"/>
  <c r="CJ6" i="4"/>
  <c r="CI6" i="4"/>
  <c r="CH6" i="4"/>
  <c r="CE6" i="4"/>
  <c r="CD6" i="4"/>
  <c r="CC6" i="4"/>
  <c r="CB6" i="4"/>
  <c r="BS6" i="4"/>
  <c r="BQ6" i="4"/>
  <c r="BP6" i="4"/>
  <c r="BO6" i="4"/>
  <c r="CG6" i="4" s="1"/>
  <c r="BN6" i="4"/>
  <c r="CF6" i="4" s="1"/>
  <c r="BM6" i="4"/>
  <c r="BL6" i="4"/>
  <c r="BC6" i="4"/>
  <c r="BE6" i="4" s="1"/>
  <c r="BU6" i="4" s="1"/>
  <c r="BB6" i="4"/>
  <c r="BR6" i="4" s="1"/>
  <c r="BA6" i="4"/>
  <c r="DD5" i="4"/>
  <c r="DC5" i="4"/>
  <c r="DB5" i="4"/>
  <c r="DA5" i="4"/>
  <c r="CZ5" i="4"/>
  <c r="CY5" i="4"/>
  <c r="CX5" i="4"/>
  <c r="CW5" i="4"/>
  <c r="CV5" i="4"/>
  <c r="CU5" i="4"/>
  <c r="CT5" i="4"/>
  <c r="CS5" i="4"/>
  <c r="CR5" i="4"/>
  <c r="CQ5" i="4"/>
  <c r="CP5" i="4"/>
  <c r="CO5" i="4"/>
  <c r="CN5" i="4"/>
  <c r="CM5" i="4"/>
  <c r="CL5" i="4"/>
  <c r="CK5" i="4"/>
  <c r="CJ5" i="4"/>
  <c r="CI5" i="4"/>
  <c r="CH5" i="4"/>
  <c r="CE5" i="4"/>
  <c r="CD5" i="4"/>
  <c r="CC5" i="4"/>
  <c r="CB5" i="4"/>
  <c r="BQ5" i="4"/>
  <c r="BP5" i="4"/>
  <c r="BO5" i="4"/>
  <c r="CG5" i="4" s="1"/>
  <c r="BN5" i="4"/>
  <c r="CF5" i="4" s="1"/>
  <c r="BM5" i="4"/>
  <c r="BL5" i="4"/>
  <c r="BC5" i="4"/>
  <c r="BE5" i="4" s="1"/>
  <c r="BU5" i="4" s="1"/>
  <c r="BB5" i="4"/>
  <c r="BA5" i="4"/>
  <c r="DD4" i="4"/>
  <c r="DC4" i="4"/>
  <c r="DB4" i="4"/>
  <c r="DA4" i="4"/>
  <c r="CZ4" i="4"/>
  <c r="CY4" i="4"/>
  <c r="CX4" i="4"/>
  <c r="CW4" i="4"/>
  <c r="CV4" i="4"/>
  <c r="CU4" i="4"/>
  <c r="CT4" i="4"/>
  <c r="CS4" i="4"/>
  <c r="CR4" i="4"/>
  <c r="CQ4" i="4"/>
  <c r="CP4" i="4"/>
  <c r="CO4" i="4"/>
  <c r="CN4" i="4"/>
  <c r="CM4" i="4"/>
  <c r="CL4" i="4"/>
  <c r="CK4" i="4"/>
  <c r="CJ4" i="4"/>
  <c r="CI4" i="4"/>
  <c r="CH4" i="4"/>
  <c r="CE4" i="4"/>
  <c r="CC4" i="4"/>
  <c r="CB4" i="4"/>
  <c r="BU4" i="4"/>
  <c r="BS4" i="4"/>
  <c r="BQ4" i="4"/>
  <c r="BP4" i="4"/>
  <c r="BO4" i="4"/>
  <c r="CG4" i="4" s="1"/>
  <c r="BM4" i="4"/>
  <c r="BL4" i="4"/>
  <c r="CD4" i="4" s="1"/>
  <c r="BI4" i="4"/>
  <c r="BG4" i="4"/>
  <c r="BW4" i="4" s="1"/>
  <c r="BC4" i="4"/>
  <c r="BE4" i="4" s="1"/>
  <c r="BB4" i="4"/>
  <c r="BR4" i="4" s="1"/>
  <c r="BA4" i="4"/>
  <c r="DD3" i="4"/>
  <c r="DC3" i="4"/>
  <c r="DB3" i="4"/>
  <c r="DA3" i="4"/>
  <c r="CZ3" i="4"/>
  <c r="CY3" i="4"/>
  <c r="CX3" i="4"/>
  <c r="CW3" i="4"/>
  <c r="CV3" i="4"/>
  <c r="CU3" i="4"/>
  <c r="CT3" i="4"/>
  <c r="CS3" i="4"/>
  <c r="CR3" i="4"/>
  <c r="CQ3" i="4"/>
  <c r="CP3" i="4"/>
  <c r="CO3" i="4"/>
  <c r="CN3" i="4"/>
  <c r="CM3" i="4"/>
  <c r="CL3" i="4"/>
  <c r="CK3" i="4"/>
  <c r="CJ3" i="4"/>
  <c r="CI3" i="4"/>
  <c r="CH3" i="4"/>
  <c r="CE3" i="4"/>
  <c r="CD3" i="4"/>
  <c r="CC3" i="4"/>
  <c r="CB3" i="4"/>
  <c r="BQ3" i="4"/>
  <c r="BP3" i="4"/>
  <c r="BO3" i="4"/>
  <c r="CG3" i="4" s="1"/>
  <c r="BN3" i="4"/>
  <c r="CF3" i="4" s="1"/>
  <c r="BM3" i="4"/>
  <c r="BL3" i="4"/>
  <c r="BC3" i="4"/>
  <c r="BS3" i="4" s="1"/>
  <c r="BB3" i="4"/>
  <c r="BR3" i="4" s="1"/>
  <c r="BA3" i="4"/>
  <c r="DD2" i="4"/>
  <c r="DC2" i="4"/>
  <c r="DB2" i="4"/>
  <c r="DA2" i="4"/>
  <c r="CZ2" i="4"/>
  <c r="CY2" i="4"/>
  <c r="CX2" i="4"/>
  <c r="CW2" i="4"/>
  <c r="CV2" i="4"/>
  <c r="CU2" i="4"/>
  <c r="CT2" i="4"/>
  <c r="CS2" i="4"/>
  <c r="CR2" i="4"/>
  <c r="CQ2" i="4"/>
  <c r="CP2" i="4"/>
  <c r="CO2" i="4"/>
  <c r="CN2" i="4"/>
  <c r="CM2" i="4"/>
  <c r="CL2" i="4"/>
  <c r="CK2" i="4"/>
  <c r="CJ2" i="4"/>
  <c r="CI2" i="4"/>
  <c r="CH2" i="4"/>
  <c r="CE2" i="4"/>
  <c r="CC2" i="4"/>
  <c r="CB2" i="4"/>
  <c r="BY2" i="4"/>
  <c r="BS2" i="4"/>
  <c r="BR2" i="4"/>
  <c r="BQ2" i="4"/>
  <c r="BP2" i="4"/>
  <c r="BM2" i="4"/>
  <c r="BO2" i="4" s="1"/>
  <c r="CG2" i="4" s="1"/>
  <c r="BL2" i="4"/>
  <c r="CD2" i="4" s="1"/>
  <c r="BG2" i="4"/>
  <c r="BI2" i="4" s="1"/>
  <c r="BK2" i="4" s="1"/>
  <c r="CA2" i="4" s="1"/>
  <c r="BD2" i="4"/>
  <c r="BC2" i="4"/>
  <c r="BE2" i="4" s="1"/>
  <c r="BU2" i="4" s="1"/>
  <c r="BB2" i="4"/>
  <c r="BA2" i="4"/>
  <c r="G2" i="4"/>
  <c r="AB44" i="5" l="1"/>
  <c r="HH44" i="5" s="1"/>
  <c r="AA44" i="5"/>
  <c r="HG44" i="5" s="1"/>
  <c r="HC51" i="5"/>
  <c r="HS51" i="5" s="1"/>
  <c r="HQ51" i="5"/>
  <c r="BN32" i="5"/>
  <c r="CD32" i="5" s="1"/>
  <c r="CB32" i="5"/>
  <c r="HC55" i="5"/>
  <c r="HS55" i="5" s="1"/>
  <c r="HQ55" i="5"/>
  <c r="CC20" i="5"/>
  <c r="BO20" i="5"/>
  <c r="CE20" i="5" s="1"/>
  <c r="HS44" i="5"/>
  <c r="Z44" i="5" a="1"/>
  <c r="Z44" i="5" s="1"/>
  <c r="Y45" i="5" s="1" a="1"/>
  <c r="Y45" i="5" s="1"/>
  <c r="CB5" i="5"/>
  <c r="BN5" i="5"/>
  <c r="CD5" i="5" s="1"/>
  <c r="BO10" i="5"/>
  <c r="CE10" i="5" s="1"/>
  <c r="CC10" i="5"/>
  <c r="HO267" i="5"/>
  <c r="HA267" i="5"/>
  <c r="HQ267" i="5" s="1"/>
  <c r="CB17" i="5"/>
  <c r="BN17" i="5"/>
  <c r="CD17" i="5" s="1"/>
  <c r="BO26" i="5"/>
  <c r="CE26" i="5" s="1"/>
  <c r="CC26" i="5"/>
  <c r="CB29" i="5"/>
  <c r="BN29" i="5"/>
  <c r="CD29" i="5" s="1"/>
  <c r="CB13" i="5"/>
  <c r="BN13" i="5"/>
  <c r="CD13" i="5" s="1"/>
  <c r="TZ303" i="5"/>
  <c r="UA303" i="5" s="1"/>
  <c r="UB303" i="5" s="1"/>
  <c r="UA302" i="5"/>
  <c r="UB302" i="5" s="1"/>
  <c r="CB23" i="5"/>
  <c r="BN23" i="5"/>
  <c r="CD23" i="5" s="1"/>
  <c r="CC7" i="5"/>
  <c r="BO7" i="5"/>
  <c r="CE7" i="5" s="1"/>
  <c r="BN21" i="5"/>
  <c r="CD21" i="5" s="1"/>
  <c r="CB21" i="5"/>
  <c r="CB28" i="5"/>
  <c r="BN28" i="5"/>
  <c r="CD28" i="5" s="1"/>
  <c r="BO33" i="5"/>
  <c r="CE33" i="5" s="1"/>
  <c r="CC33" i="5"/>
  <c r="CC29" i="5"/>
  <c r="BO29" i="5"/>
  <c r="CE29" i="5" s="1"/>
  <c r="BO30" i="5"/>
  <c r="CE30" i="5" s="1"/>
  <c r="CC30" i="5"/>
  <c r="CC21" i="5"/>
  <c r="BO21" i="5"/>
  <c r="CE21" i="5" s="1"/>
  <c r="IM49" i="5"/>
  <c r="IA49" i="5"/>
  <c r="IL49" i="5"/>
  <c r="HZ49" i="5"/>
  <c r="IE49" i="5"/>
  <c r="IJ49" i="5"/>
  <c r="GT49" i="5"/>
  <c r="U50" i="5"/>
  <c r="IH49" i="5"/>
  <c r="ID49" i="5"/>
  <c r="IQ49" i="5"/>
  <c r="IP49" i="5"/>
  <c r="IK49" i="5"/>
  <c r="II49" i="5"/>
  <c r="IO49" i="5"/>
  <c r="IN49" i="5"/>
  <c r="IF49" i="5"/>
  <c r="IG49" i="5"/>
  <c r="IC49" i="5"/>
  <c r="IB49" i="5"/>
  <c r="HY49" i="5"/>
  <c r="HR55" i="5"/>
  <c r="HD55" i="5"/>
  <c r="HT55" i="5" s="1"/>
  <c r="BN19" i="5"/>
  <c r="CD19" i="5" s="1"/>
  <c r="CB19" i="5"/>
  <c r="CC2" i="5"/>
  <c r="BO2" i="5"/>
  <c r="CE2" i="5" s="1"/>
  <c r="HS46" i="5"/>
  <c r="X48" i="5"/>
  <c r="CC4" i="5"/>
  <c r="BO4" i="5"/>
  <c r="CE4" i="5" s="1"/>
  <c r="AF271" i="5"/>
  <c r="AG271" i="5"/>
  <c r="HB267" i="5"/>
  <c r="HR267" i="5" s="1"/>
  <c r="HP267" i="5"/>
  <c r="BN11" i="4"/>
  <c r="CF11" i="4" s="1"/>
  <c r="CD11" i="4"/>
  <c r="BH24" i="4"/>
  <c r="BV24" i="4"/>
  <c r="BY14" i="4"/>
  <c r="BK14" i="4"/>
  <c r="CA14" i="4" s="1"/>
  <c r="BX25" i="4"/>
  <c r="BJ25" i="4"/>
  <c r="BZ25" i="4" s="1"/>
  <c r="BF28" i="4"/>
  <c r="BT28" i="4"/>
  <c r="BH12" i="4"/>
  <c r="BV12" i="4"/>
  <c r="BW25" i="4"/>
  <c r="BI25" i="4"/>
  <c r="BF2" i="4"/>
  <c r="BT2" i="4"/>
  <c r="BV8" i="4"/>
  <c r="BH8" i="4"/>
  <c r="BT17" i="4"/>
  <c r="BF17" i="4"/>
  <c r="BK27" i="4"/>
  <c r="CA27" i="4" s="1"/>
  <c r="BY27" i="4"/>
  <c r="GW54" i="4"/>
  <c r="HK54" i="4"/>
  <c r="BR9" i="4"/>
  <c r="BD9" i="4"/>
  <c r="BW13" i="4"/>
  <c r="BI13" i="4"/>
  <c r="BW16" i="4"/>
  <c r="BI16" i="4"/>
  <c r="BR5" i="4"/>
  <c r="BD5" i="4"/>
  <c r="BX13" i="4"/>
  <c r="BJ13" i="4"/>
  <c r="BZ13" i="4" s="1"/>
  <c r="BT10" i="4"/>
  <c r="BF10" i="4"/>
  <c r="BY4" i="4"/>
  <c r="BK4" i="4"/>
  <c r="CA4" i="4" s="1"/>
  <c r="BJ20" i="4"/>
  <c r="BZ20" i="4" s="1"/>
  <c r="BX20" i="4"/>
  <c r="BK22" i="4"/>
  <c r="CA22" i="4" s="1"/>
  <c r="BY22" i="4"/>
  <c r="BG32" i="4"/>
  <c r="BU32" i="4"/>
  <c r="BN19" i="4"/>
  <c r="CF19" i="4" s="1"/>
  <c r="BW23" i="4"/>
  <c r="BG24" i="4"/>
  <c r="BU24" i="4"/>
  <c r="BT24" i="4"/>
  <c r="BU25" i="4"/>
  <c r="BF26" i="4"/>
  <c r="BN28" i="4"/>
  <c r="CF28" i="4" s="1"/>
  <c r="CE29" i="4"/>
  <c r="BD31" i="4"/>
  <c r="EW39" i="4"/>
  <c r="GS44" i="4"/>
  <c r="CE28" i="4"/>
  <c r="BW8" i="4"/>
  <c r="BV25" i="4"/>
  <c r="BW2" i="4"/>
  <c r="BG5" i="4"/>
  <c r="BK8" i="4"/>
  <c r="CA8" i="4" s="1"/>
  <c r="CE15" i="4"/>
  <c r="BO15" i="4"/>
  <c r="CG15" i="4" s="1"/>
  <c r="BO18" i="4"/>
  <c r="CG18" i="4" s="1"/>
  <c r="BD3" i="4"/>
  <c r="BO16" i="4"/>
  <c r="CG16" i="4" s="1"/>
  <c r="ER34" i="4"/>
  <c r="EZ34" i="4" s="1"/>
  <c r="EX34" i="4"/>
  <c r="BE3" i="4"/>
  <c r="BN4" i="4"/>
  <c r="CF4" i="4" s="1"/>
  <c r="BD6" i="4"/>
  <c r="BU10" i="4"/>
  <c r="BD11" i="4"/>
  <c r="CE13" i="4"/>
  <c r="CE14" i="4"/>
  <c r="BN15" i="4"/>
  <c r="CF15" i="4" s="1"/>
  <c r="CE17" i="4"/>
  <c r="CE20" i="4"/>
  <c r="CD27" i="4"/>
  <c r="BR28" i="4"/>
  <c r="BS30" i="4"/>
  <c r="BE30" i="4"/>
  <c r="BO32" i="4"/>
  <c r="CG32" i="4" s="1"/>
  <c r="CE32" i="4"/>
  <c r="BR33" i="4"/>
  <c r="BD33" i="4"/>
  <c r="BU33" i="4"/>
  <c r="GW43" i="4"/>
  <c r="HK43" i="4"/>
  <c r="GZ44" i="4"/>
  <c r="HP44" i="4" s="1"/>
  <c r="HN44" i="4"/>
  <c r="GS53" i="4"/>
  <c r="HG53" i="4"/>
  <c r="BH23" i="4"/>
  <c r="BU31" i="4"/>
  <c r="BG31" i="4"/>
  <c r="BG6" i="4"/>
  <c r="BI10" i="4"/>
  <c r="BR17" i="4"/>
  <c r="BE19" i="4"/>
  <c r="CD23" i="4"/>
  <c r="BW33" i="4"/>
  <c r="BI33" i="4"/>
  <c r="GV46" i="4"/>
  <c r="HL49" i="4"/>
  <c r="GX49" i="4"/>
  <c r="HL54" i="4"/>
  <c r="GX54" i="4"/>
  <c r="GU55" i="4"/>
  <c r="BS5" i="4"/>
  <c r="CE27" i="4"/>
  <c r="BO27" i="4"/>
  <c r="CG27" i="4" s="1"/>
  <c r="BN2" i="4"/>
  <c r="CF2" i="4" s="1"/>
  <c r="BT20" i="4"/>
  <c r="BR21" i="4"/>
  <c r="CD25" i="4"/>
  <c r="CE26" i="4"/>
  <c r="BS28" i="4"/>
  <c r="BE28" i="4"/>
  <c r="BH29" i="4"/>
  <c r="GZ43" i="4"/>
  <c r="HP43" i="4" s="1"/>
  <c r="X45" i="4"/>
  <c r="HY46" i="4"/>
  <c r="HK48" i="4"/>
  <c r="GU49" i="4"/>
  <c r="HI49" i="4"/>
  <c r="GX53" i="4"/>
  <c r="HL53" i="4"/>
  <c r="BY20" i="4"/>
  <c r="BT27" i="4"/>
  <c r="BF27" i="4"/>
  <c r="BT32" i="4"/>
  <c r="BF32" i="4"/>
  <c r="BU26" i="4"/>
  <c r="BG26" i="4"/>
  <c r="BR10" i="4"/>
  <c r="HG47" i="4"/>
  <c r="GS47" i="4"/>
  <c r="BT30" i="4"/>
  <c r="BF30" i="4"/>
  <c r="HL43" i="4"/>
  <c r="BD4" i="4"/>
  <c r="BD7" i="4"/>
  <c r="BW11" i="4"/>
  <c r="BG12" i="4"/>
  <c r="BU12" i="4"/>
  <c r="BT12" i="4"/>
  <c r="BR14" i="4"/>
  <c r="BS18" i="4"/>
  <c r="BE18" i="4"/>
  <c r="BS7" i="4"/>
  <c r="BU13" i="4"/>
  <c r="BU15" i="4"/>
  <c r="BD16" i="4"/>
  <c r="BU16" i="4"/>
  <c r="BU17" i="4"/>
  <c r="BD18" i="4"/>
  <c r="BV19" i="4"/>
  <c r="BE21" i="4"/>
  <c r="BD22" i="4"/>
  <c r="CE25" i="4"/>
  <c r="BI29" i="4"/>
  <c r="BO31" i="4"/>
  <c r="CG31" i="4" s="1"/>
  <c r="EW38" i="4"/>
  <c r="ER39" i="4"/>
  <c r="EZ39" i="4" s="1"/>
  <c r="GT45" i="4"/>
  <c r="HH45" i="4"/>
  <c r="ID46" i="4"/>
  <c r="BS9" i="4"/>
  <c r="BE9" i="4"/>
  <c r="CD30" i="4"/>
  <c r="HH48" i="4"/>
  <c r="GT48" i="4"/>
  <c r="HH50" i="4"/>
  <c r="GT50" i="4"/>
  <c r="BY17" i="4"/>
  <c r="BT15" i="4"/>
  <c r="BF15" i="4"/>
  <c r="BU27" i="4"/>
  <c r="EX42" i="4"/>
  <c r="ER42" i="4"/>
  <c r="EZ42" i="4" s="1"/>
  <c r="BV14" i="4"/>
  <c r="BH21" i="4"/>
  <c r="BU22" i="4"/>
  <c r="BR26" i="4"/>
  <c r="CE30" i="4"/>
  <c r="BO30" i="4"/>
  <c r="CG30" i="4" s="1"/>
  <c r="CD33" i="4"/>
  <c r="AB43" i="4"/>
  <c r="HD43" i="4" s="1"/>
  <c r="AA43" i="4"/>
  <c r="HC43" i="4" s="1"/>
  <c r="HK45" i="4"/>
  <c r="GW45" i="4"/>
  <c r="HJ51" i="4"/>
  <c r="IE46" i="4"/>
  <c r="U47" i="4"/>
  <c r="IL46" i="4"/>
  <c r="HZ46" i="4"/>
  <c r="GP46" i="4"/>
  <c r="IG46" i="4"/>
  <c r="IB46" i="4"/>
  <c r="IA46" i="4"/>
  <c r="HX46" i="4"/>
  <c r="HV46" i="4"/>
  <c r="IM46" i="4"/>
  <c r="HU46" i="4"/>
  <c r="II46" i="4"/>
  <c r="IH46" i="4"/>
  <c r="IC46" i="4"/>
  <c r="IK46" i="4"/>
  <c r="HL51" i="4"/>
  <c r="GX51" i="4"/>
  <c r="HH44" i="4"/>
  <c r="HX44" i="4"/>
  <c r="IF45" i="4"/>
  <c r="HG52" i="4"/>
  <c r="GS52" i="4"/>
  <c r="HM46" i="4"/>
  <c r="GY46" i="4"/>
  <c r="HO46" i="4" s="1"/>
  <c r="II44" i="4"/>
  <c r="HW44" i="4"/>
  <c r="IM44" i="4"/>
  <c r="HZ44" i="4"/>
  <c r="IG44" i="4"/>
  <c r="IC44" i="4"/>
  <c r="GP45" i="4"/>
  <c r="HU45" i="4"/>
  <c r="IL45" i="4"/>
  <c r="GU50" i="4"/>
  <c r="HI50" i="4"/>
  <c r="HN52" i="4"/>
  <c r="GZ52" i="4"/>
  <c r="HP52" i="4" s="1"/>
  <c r="HJ49" i="4"/>
  <c r="IM45" i="4"/>
  <c r="IA45" i="4"/>
  <c r="IH45" i="4"/>
  <c r="HV45" i="4"/>
  <c r="HY45" i="4"/>
  <c r="IG45" i="4"/>
  <c r="ID45" i="4"/>
  <c r="HL55" i="4"/>
  <c r="GX55" i="4"/>
  <c r="GX47" i="4"/>
  <c r="HJ52" i="4"/>
  <c r="MY179" i="4"/>
  <c r="NE179" i="4" s="1"/>
  <c r="ND179" i="4"/>
  <c r="LM172" i="4"/>
  <c r="MX180" i="4"/>
  <c r="MY180" i="4"/>
  <c r="NE180" i="4" s="1"/>
  <c r="EQ225" i="4"/>
  <c r="EY225" i="4" s="1"/>
  <c r="AB45" i="5" l="1"/>
  <c r="HH45" i="5" s="1"/>
  <c r="AA45" i="5"/>
  <c r="HG45" i="5" s="1"/>
  <c r="Z45" i="5" s="1" a="1"/>
  <c r="Z45" i="5" s="1"/>
  <c r="Y46" i="5" s="1" a="1"/>
  <c r="Y46" i="5" s="1"/>
  <c r="GU271" i="5"/>
  <c r="HI271" i="5"/>
  <c r="X49" i="5"/>
  <c r="IQ50" i="5"/>
  <c r="IE50" i="5"/>
  <c r="U51" i="5"/>
  <c r="IP50" i="5"/>
  <c r="ID50" i="5"/>
  <c r="GT50" i="5"/>
  <c r="IK50" i="5"/>
  <c r="IF50" i="5"/>
  <c r="IB50" i="5"/>
  <c r="IN50" i="5"/>
  <c r="HZ50" i="5"/>
  <c r="IH50" i="5"/>
  <c r="HY50" i="5"/>
  <c r="IM50" i="5"/>
  <c r="IL50" i="5"/>
  <c r="IO50" i="5"/>
  <c r="IJ50" i="5"/>
  <c r="II50" i="5"/>
  <c r="IG50" i="5"/>
  <c r="IA50" i="5"/>
  <c r="IC50" i="5"/>
  <c r="HJ271" i="5"/>
  <c r="GV271" i="5"/>
  <c r="HK50" i="4"/>
  <c r="GW50" i="4"/>
  <c r="BU9" i="4"/>
  <c r="BG9" i="4"/>
  <c r="BG21" i="4"/>
  <c r="BU21" i="4"/>
  <c r="BI26" i="4"/>
  <c r="BW26" i="4"/>
  <c r="BK33" i="4"/>
  <c r="CA33" i="4" s="1"/>
  <c r="BY33" i="4"/>
  <c r="GU53" i="4"/>
  <c r="HI53" i="4"/>
  <c r="HM54" i="4"/>
  <c r="GY54" i="4"/>
  <c r="HO54" i="4" s="1"/>
  <c r="BX12" i="4"/>
  <c r="BJ12" i="4"/>
  <c r="BZ12" i="4" s="1"/>
  <c r="HI52" i="4"/>
  <c r="GU52" i="4"/>
  <c r="HM45" i="4"/>
  <c r="GY45" i="4"/>
  <c r="HO45" i="4" s="1"/>
  <c r="BF18" i="4"/>
  <c r="BT18" i="4"/>
  <c r="BW12" i="4"/>
  <c r="BI12" i="4"/>
  <c r="BV32" i="4"/>
  <c r="BH32" i="4"/>
  <c r="HI44" i="4"/>
  <c r="GU44" i="4"/>
  <c r="BH28" i="4"/>
  <c r="BV28" i="4"/>
  <c r="BU19" i="4"/>
  <c r="BG19" i="4"/>
  <c r="BT3" i="4"/>
  <c r="BF3" i="4"/>
  <c r="BW32" i="4"/>
  <c r="BI32" i="4"/>
  <c r="BT5" i="4"/>
  <c r="BF5" i="4"/>
  <c r="BH17" i="4"/>
  <c r="BV17" i="4"/>
  <c r="BV15" i="4"/>
  <c r="BH15" i="4"/>
  <c r="HJ45" i="4"/>
  <c r="GV45" i="4"/>
  <c r="BT7" i="4"/>
  <c r="BF7" i="4"/>
  <c r="BV27" i="4"/>
  <c r="BH27" i="4"/>
  <c r="HM43" i="4"/>
  <c r="GY43" i="4"/>
  <c r="BF31" i="4"/>
  <c r="BT31" i="4"/>
  <c r="HN55" i="4"/>
  <c r="GZ55" i="4"/>
  <c r="HP55" i="4" s="1"/>
  <c r="BF16" i="4"/>
  <c r="BT16" i="4"/>
  <c r="BT4" i="4"/>
  <c r="BF4" i="4"/>
  <c r="X46" i="4"/>
  <c r="HK55" i="4"/>
  <c r="GW55" i="4"/>
  <c r="BK10" i="4"/>
  <c r="CA10" i="4" s="1"/>
  <c r="BY10" i="4"/>
  <c r="BK16" i="4"/>
  <c r="CA16" i="4" s="1"/>
  <c r="BY16" i="4"/>
  <c r="BJ8" i="4"/>
  <c r="BZ8" i="4" s="1"/>
  <c r="BX8" i="4"/>
  <c r="BJ29" i="4"/>
  <c r="BZ29" i="4" s="1"/>
  <c r="BX29" i="4"/>
  <c r="HN54" i="4"/>
  <c r="GZ54" i="4"/>
  <c r="HP54" i="4" s="1"/>
  <c r="BI6" i="4"/>
  <c r="BW6" i="4"/>
  <c r="BF33" i="4"/>
  <c r="BT33" i="4"/>
  <c r="HN51" i="4"/>
  <c r="GZ51" i="4"/>
  <c r="HP51" i="4" s="1"/>
  <c r="GV50" i="4"/>
  <c r="HJ50" i="4"/>
  <c r="BV30" i="4"/>
  <c r="BH30" i="4"/>
  <c r="BG28" i="4"/>
  <c r="BU28" i="4"/>
  <c r="BW31" i="4"/>
  <c r="BI31" i="4"/>
  <c r="BT11" i="4"/>
  <c r="BF11" i="4"/>
  <c r="BH26" i="4"/>
  <c r="BV26" i="4"/>
  <c r="BK13" i="4"/>
  <c r="CA13" i="4" s="1"/>
  <c r="BY13" i="4"/>
  <c r="LM173" i="4"/>
  <c r="LN172" i="4"/>
  <c r="LO172" i="4" s="1"/>
  <c r="HN53" i="4"/>
  <c r="GZ53" i="4"/>
  <c r="HP53" i="4" s="1"/>
  <c r="GZ49" i="4"/>
  <c r="HP49" i="4" s="1"/>
  <c r="HN49" i="4"/>
  <c r="BH2" i="4"/>
  <c r="BV2" i="4"/>
  <c r="GV48" i="4"/>
  <c r="HJ48" i="4"/>
  <c r="BY29" i="4"/>
  <c r="BK29" i="4"/>
  <c r="CA29" i="4" s="1"/>
  <c r="BG18" i="4"/>
  <c r="BU18" i="4"/>
  <c r="HI47" i="4"/>
  <c r="GU47" i="4"/>
  <c r="BJ23" i="4"/>
  <c r="BZ23" i="4" s="1"/>
  <c r="BX23" i="4"/>
  <c r="BF6" i="4"/>
  <c r="BT6" i="4"/>
  <c r="BI5" i="4"/>
  <c r="BW5" i="4"/>
  <c r="BT9" i="4"/>
  <c r="BF9" i="4"/>
  <c r="BK25" i="4"/>
  <c r="CA25" i="4" s="1"/>
  <c r="BY25" i="4"/>
  <c r="BX24" i="4"/>
  <c r="BJ24" i="4"/>
  <c r="BZ24" i="4" s="1"/>
  <c r="Z180" i="4" a="1"/>
  <c r="Z180" i="4" s="1"/>
  <c r="HK49" i="4"/>
  <c r="GW49" i="4"/>
  <c r="HL46" i="4"/>
  <c r="GX46" i="4"/>
  <c r="BG30" i="4"/>
  <c r="BU30" i="4"/>
  <c r="GZ47" i="4"/>
  <c r="HP47" i="4" s="1"/>
  <c r="HN47" i="4"/>
  <c r="II47" i="4"/>
  <c r="HW47" i="4"/>
  <c r="ID47" i="4"/>
  <c r="IM47" i="4"/>
  <c r="HY47" i="4"/>
  <c r="IK47" i="4"/>
  <c r="HV47" i="4"/>
  <c r="IH47" i="4"/>
  <c r="IG47" i="4"/>
  <c r="IA47" i="4"/>
  <c r="GP47" i="4"/>
  <c r="HX47" i="4"/>
  <c r="HU47" i="4"/>
  <c r="IL47" i="4"/>
  <c r="IJ47" i="4"/>
  <c r="IC47" i="4"/>
  <c r="IB47" i="4"/>
  <c r="IF47" i="4"/>
  <c r="U48" i="4"/>
  <c r="IE47" i="4"/>
  <c r="HZ47" i="4"/>
  <c r="BX21" i="4"/>
  <c r="BJ21" i="4"/>
  <c r="BZ21" i="4" s="1"/>
  <c r="BT22" i="4"/>
  <c r="BF22" i="4"/>
  <c r="BU3" i="4"/>
  <c r="BG3" i="4"/>
  <c r="BI24" i="4"/>
  <c r="BW24" i="4"/>
  <c r="BV10" i="4"/>
  <c r="BH10" i="4"/>
  <c r="AB46" i="5" l="1"/>
  <c r="HH46" i="5" s="1"/>
  <c r="AA46" i="5"/>
  <c r="HG46" i="5" s="1"/>
  <c r="Z46" i="5" s="1" a="1"/>
  <c r="Z46" i="5" s="1"/>
  <c r="Y47" i="5" s="1" a="1"/>
  <c r="Y47" i="5" s="1"/>
  <c r="HL271" i="5"/>
  <c r="GX271" i="5"/>
  <c r="HK271" i="5"/>
  <c r="GW271" i="5"/>
  <c r="X50" i="5"/>
  <c r="II51" i="5"/>
  <c r="IH51" i="5"/>
  <c r="IQ51" i="5"/>
  <c r="IC51" i="5"/>
  <c r="IL51" i="5"/>
  <c r="IJ51" i="5"/>
  <c r="GT51" i="5"/>
  <c r="IF51" i="5"/>
  <c r="IN51" i="5"/>
  <c r="IE51" i="5"/>
  <c r="ID51" i="5"/>
  <c r="HZ51" i="5"/>
  <c r="HY51" i="5"/>
  <c r="IP51" i="5"/>
  <c r="IO51" i="5"/>
  <c r="U52" i="5"/>
  <c r="IM51" i="5"/>
  <c r="IK51" i="5"/>
  <c r="IG51" i="5"/>
  <c r="IB51" i="5"/>
  <c r="IA51" i="5"/>
  <c r="HN46" i="4"/>
  <c r="GZ46" i="4"/>
  <c r="BY5" i="4"/>
  <c r="BK5" i="4"/>
  <c r="CA5" i="4" s="1"/>
  <c r="BW18" i="4"/>
  <c r="BI18" i="4"/>
  <c r="BK31" i="4"/>
  <c r="CA31" i="4" s="1"/>
  <c r="BY31" i="4"/>
  <c r="GY55" i="4"/>
  <c r="HO55" i="4" s="1"/>
  <c r="HM55" i="4"/>
  <c r="BV16" i="4"/>
  <c r="BH16" i="4"/>
  <c r="BV7" i="4"/>
  <c r="BH7" i="4"/>
  <c r="HK44" i="4"/>
  <c r="GW44" i="4"/>
  <c r="BH18" i="4"/>
  <c r="BV18" i="4"/>
  <c r="IF48" i="4"/>
  <c r="IM48" i="4"/>
  <c r="IA48" i="4"/>
  <c r="IH48" i="4"/>
  <c r="HV48" i="4"/>
  <c r="IL48" i="4"/>
  <c r="HW48" i="4"/>
  <c r="IJ48" i="4"/>
  <c r="IG48" i="4"/>
  <c r="IE48" i="4"/>
  <c r="II48" i="4"/>
  <c r="ID48" i="4"/>
  <c r="U49" i="4"/>
  <c r="HZ48" i="4"/>
  <c r="GP48" i="4"/>
  <c r="HY48" i="4"/>
  <c r="IB48" i="4"/>
  <c r="IK48" i="4"/>
  <c r="IC48" i="4"/>
  <c r="HX48" i="4"/>
  <c r="HU48" i="4"/>
  <c r="BY6" i="4"/>
  <c r="BK6" i="4"/>
  <c r="CA6" i="4" s="1"/>
  <c r="BH3" i="4"/>
  <c r="BV3" i="4"/>
  <c r="BI21" i="4"/>
  <c r="BW21" i="4"/>
  <c r="BW28" i="4"/>
  <c r="BI28" i="4"/>
  <c r="BW19" i="4"/>
  <c r="BI19" i="4"/>
  <c r="GW52" i="4"/>
  <c r="HK52" i="4"/>
  <c r="GX48" i="4"/>
  <c r="HL48" i="4"/>
  <c r="BJ30" i="4"/>
  <c r="BZ30" i="4" s="1"/>
  <c r="BX30" i="4"/>
  <c r="BH31" i="4"/>
  <c r="BV31" i="4"/>
  <c r="BX15" i="4"/>
  <c r="BJ15" i="4"/>
  <c r="BZ15" i="4" s="1"/>
  <c r="GY50" i="4"/>
  <c r="HO50" i="4" s="1"/>
  <c r="HM50" i="4"/>
  <c r="GY49" i="4"/>
  <c r="HO49" i="4" s="1"/>
  <c r="HM49" i="4"/>
  <c r="GX45" i="4"/>
  <c r="HL45" i="4"/>
  <c r="LM174" i="4"/>
  <c r="LN173" i="4"/>
  <c r="LO173" i="4" s="1"/>
  <c r="HO43" i="4"/>
  <c r="Z43" i="4" a="1"/>
  <c r="Z43" i="4" s="1"/>
  <c r="Y44" i="4" s="1" a="1"/>
  <c r="Y44" i="4" s="1"/>
  <c r="BI9" i="4"/>
  <c r="BW9" i="4"/>
  <c r="BX2" i="4"/>
  <c r="BJ2" i="4"/>
  <c r="BZ2" i="4" s="1"/>
  <c r="BJ10" i="4"/>
  <c r="BZ10" i="4" s="1"/>
  <c r="BX10" i="4"/>
  <c r="HL50" i="4"/>
  <c r="GX50" i="4"/>
  <c r="BX32" i="4"/>
  <c r="BJ32" i="4"/>
  <c r="BZ32" i="4" s="1"/>
  <c r="GW53" i="4"/>
  <c r="HK53" i="4"/>
  <c r="BV6" i="4"/>
  <c r="BH6" i="4"/>
  <c r="BV22" i="4"/>
  <c r="BH22" i="4"/>
  <c r="X47" i="4"/>
  <c r="BX17" i="4"/>
  <c r="BJ17" i="4"/>
  <c r="BZ17" i="4" s="1"/>
  <c r="BY12" i="4"/>
  <c r="BK12" i="4"/>
  <c r="CA12" i="4" s="1"/>
  <c r="BY24" i="4"/>
  <c r="BK24" i="4"/>
  <c r="CA24" i="4" s="1"/>
  <c r="BV11" i="4"/>
  <c r="BH11" i="4"/>
  <c r="BX27" i="4"/>
  <c r="BJ27" i="4"/>
  <c r="BZ27" i="4" s="1"/>
  <c r="BV9" i="4"/>
  <c r="BH9" i="4"/>
  <c r="HK47" i="4"/>
  <c r="GW47" i="4"/>
  <c r="BJ26" i="4"/>
  <c r="BZ26" i="4" s="1"/>
  <c r="BX26" i="4"/>
  <c r="BH4" i="4"/>
  <c r="BV4" i="4"/>
  <c r="BV5" i="4"/>
  <c r="BH5" i="4"/>
  <c r="BI3" i="4"/>
  <c r="BW3" i="4"/>
  <c r="BI30" i="4"/>
  <c r="BW30" i="4"/>
  <c r="BV33" i="4"/>
  <c r="BH33" i="4"/>
  <c r="BY32" i="4"/>
  <c r="BK32" i="4"/>
  <c r="CA32" i="4" s="1"/>
  <c r="BJ28" i="4"/>
  <c r="BZ28" i="4" s="1"/>
  <c r="BX28" i="4"/>
  <c r="BY26" i="4"/>
  <c r="BK26" i="4"/>
  <c r="CA26" i="4" s="1"/>
  <c r="AA47" i="5" l="1"/>
  <c r="HG47" i="5" s="1"/>
  <c r="Z47" i="5" s="1" a="1"/>
  <c r="Z47" i="5" s="1"/>
  <c r="Y48" i="5" s="1" a="1"/>
  <c r="Y48" i="5" s="1"/>
  <c r="AB47" i="5"/>
  <c r="HH47" i="5" s="1"/>
  <c r="HN271" i="5"/>
  <c r="GZ271" i="5"/>
  <c r="IM52" i="5"/>
  <c r="IA52" i="5"/>
  <c r="IL52" i="5"/>
  <c r="HZ52" i="5"/>
  <c r="IQ52" i="5"/>
  <c r="IE52" i="5"/>
  <c r="IB52" i="5"/>
  <c r="IJ52" i="5"/>
  <c r="IH52" i="5"/>
  <c r="IF52" i="5"/>
  <c r="U53" i="5"/>
  <c r="ID52" i="5"/>
  <c r="IN52" i="5"/>
  <c r="IK52" i="5"/>
  <c r="IP52" i="5"/>
  <c r="IO52" i="5"/>
  <c r="II52" i="5"/>
  <c r="IG52" i="5"/>
  <c r="IC52" i="5"/>
  <c r="HY52" i="5"/>
  <c r="GT52" i="5"/>
  <c r="HM271" i="5"/>
  <c r="GY271" i="5"/>
  <c r="X51" i="5"/>
  <c r="BY3" i="4"/>
  <c r="BK3" i="4"/>
  <c r="CA3" i="4" s="1"/>
  <c r="HM52" i="4"/>
  <c r="GY52" i="4"/>
  <c r="HO52" i="4" s="1"/>
  <c r="BX6" i="4"/>
  <c r="BJ6" i="4"/>
  <c r="BZ6" i="4" s="1"/>
  <c r="IB49" i="4"/>
  <c r="IL49" i="4"/>
  <c r="HY49" i="4"/>
  <c r="IG49" i="4"/>
  <c r="IA49" i="4"/>
  <c r="GP49" i="4"/>
  <c r="HX49" i="4"/>
  <c r="U50" i="4"/>
  <c r="IM49" i="4"/>
  <c r="HV49" i="4"/>
  <c r="IJ49" i="4"/>
  <c r="II49" i="4"/>
  <c r="IH49" i="4"/>
  <c r="IF49" i="4"/>
  <c r="IE49" i="4"/>
  <c r="HZ49" i="4"/>
  <c r="HW49" i="4"/>
  <c r="IK49" i="4"/>
  <c r="ID49" i="4"/>
  <c r="IC49" i="4"/>
  <c r="HU49" i="4"/>
  <c r="BX5" i="4"/>
  <c r="BJ5" i="4"/>
  <c r="BZ5" i="4" s="1"/>
  <c r="BJ11" i="4"/>
  <c r="BZ11" i="4" s="1"/>
  <c r="BX11" i="4"/>
  <c r="BK19" i="4"/>
  <c r="CA19" i="4" s="1"/>
  <c r="BY19" i="4"/>
  <c r="BK9" i="4"/>
  <c r="CA9" i="4" s="1"/>
  <c r="BY9" i="4"/>
  <c r="BJ18" i="4"/>
  <c r="BZ18" i="4" s="1"/>
  <c r="BX18" i="4"/>
  <c r="BY18" i="4"/>
  <c r="BK18" i="4"/>
  <c r="CA18" i="4" s="1"/>
  <c r="AA44" i="4"/>
  <c r="HC44" i="4" s="1"/>
  <c r="AB44" i="4"/>
  <c r="HD44" i="4" s="1"/>
  <c r="GY44" i="4"/>
  <c r="HM44" i="4"/>
  <c r="BX9" i="4"/>
  <c r="BJ9" i="4"/>
  <c r="BZ9" i="4" s="1"/>
  <c r="BX22" i="4"/>
  <c r="BJ22" i="4"/>
  <c r="BZ22" i="4" s="1"/>
  <c r="GY53" i="4"/>
  <c r="HO53" i="4" s="1"/>
  <c r="HM53" i="4"/>
  <c r="BK28" i="4"/>
  <c r="CA28" i="4" s="1"/>
  <c r="BY28" i="4"/>
  <c r="BJ31" i="4"/>
  <c r="BZ31" i="4" s="1"/>
  <c r="BX31" i="4"/>
  <c r="BJ33" i="4"/>
  <c r="BZ33" i="4" s="1"/>
  <c r="BX33" i="4"/>
  <c r="GY47" i="4"/>
  <c r="HM47" i="4"/>
  <c r="BK21" i="4"/>
  <c r="CA21" i="4" s="1"/>
  <c r="BY21" i="4"/>
  <c r="BX7" i="4"/>
  <c r="BJ7" i="4"/>
  <c r="BZ7" i="4" s="1"/>
  <c r="HP46" i="4"/>
  <c r="BJ4" i="4"/>
  <c r="BZ4" i="4" s="1"/>
  <c r="BX4" i="4"/>
  <c r="X48" i="4"/>
  <c r="HN50" i="4"/>
  <c r="GZ50" i="4"/>
  <c r="HP50" i="4" s="1"/>
  <c r="LM175" i="4"/>
  <c r="LN174" i="4"/>
  <c r="LO174" i="4" s="1"/>
  <c r="BX16" i="4"/>
  <c r="BJ16" i="4"/>
  <c r="BZ16" i="4" s="1"/>
  <c r="BY30" i="4"/>
  <c r="BK30" i="4"/>
  <c r="CA30" i="4" s="1"/>
  <c r="GZ45" i="4"/>
  <c r="HP45" i="4" s="1"/>
  <c r="HN45" i="4"/>
  <c r="GZ48" i="4"/>
  <c r="HP48" i="4" s="1"/>
  <c r="HN48" i="4"/>
  <c r="BX3" i="4"/>
  <c r="BJ3" i="4"/>
  <c r="BZ3" i="4" s="1"/>
  <c r="AB48" i="5" l="1"/>
  <c r="HH48" i="5" s="1"/>
  <c r="AA48" i="5"/>
  <c r="HG48" i="5" s="1"/>
  <c r="Z48" i="5" s="1" a="1"/>
  <c r="Z48" i="5" s="1"/>
  <c r="Y49" i="5" s="1" a="1"/>
  <c r="Y49" i="5" s="1"/>
  <c r="X52" i="5"/>
  <c r="Y51" i="5" a="1"/>
  <c r="Y51" i="5" s="1"/>
  <c r="HP271" i="5"/>
  <c r="HB271" i="5"/>
  <c r="HR271" i="5" s="1"/>
  <c r="HO271" i="5"/>
  <c r="HA271" i="5"/>
  <c r="HQ271" i="5" s="1"/>
  <c r="IQ53" i="5"/>
  <c r="IE53" i="5"/>
  <c r="U54" i="5"/>
  <c r="IP53" i="5"/>
  <c r="ID53" i="5"/>
  <c r="GT53" i="5"/>
  <c r="IL53" i="5"/>
  <c r="HZ53" i="5"/>
  <c r="II53" i="5"/>
  <c r="IG53" i="5"/>
  <c r="HY53" i="5"/>
  <c r="IN53" i="5"/>
  <c r="IK53" i="5"/>
  <c r="IC53" i="5"/>
  <c r="IM53" i="5"/>
  <c r="IJ53" i="5"/>
  <c r="IO53" i="5"/>
  <c r="IH53" i="5"/>
  <c r="IF53" i="5"/>
  <c r="IB53" i="5"/>
  <c r="IA53" i="5"/>
  <c r="X49" i="4"/>
  <c r="HO47" i="4"/>
  <c r="LN175" i="4"/>
  <c r="LO175" i="4" s="1"/>
  <c r="LM176" i="4"/>
  <c r="LN176" i="4" s="1"/>
  <c r="LO176" i="4" s="1"/>
  <c r="HO44" i="4"/>
  <c r="Z44" i="4" a="1"/>
  <c r="Z44" i="4" s="1"/>
  <c r="Y45" i="4" s="1" a="1"/>
  <c r="Y45" i="4" s="1"/>
  <c r="IF50" i="4"/>
  <c r="IL50" i="4"/>
  <c r="HY50" i="4"/>
  <c r="IG50" i="4"/>
  <c r="IA50" i="4"/>
  <c r="IH50" i="4"/>
  <c r="ID50" i="4"/>
  <c r="IB50" i="4"/>
  <c r="HZ50" i="4"/>
  <c r="HX50" i="4"/>
  <c r="IC50" i="4"/>
  <c r="HV50" i="4"/>
  <c r="HU50" i="4"/>
  <c r="U51" i="4"/>
  <c r="IM50" i="4"/>
  <c r="GP50" i="4"/>
  <c r="II50" i="4"/>
  <c r="IJ50" i="4"/>
  <c r="IE50" i="4"/>
  <c r="HW50" i="4"/>
  <c r="IK50" i="4"/>
  <c r="AA49" i="5" l="1"/>
  <c r="HG49" i="5" s="1"/>
  <c r="Z49" i="5" s="1" a="1"/>
  <c r="Z49" i="5" s="1"/>
  <c r="Y50" i="5" s="1" a="1"/>
  <c r="Y50" i="5" s="1"/>
  <c r="AB49" i="5"/>
  <c r="HH49" i="5" s="1"/>
  <c r="AA51" i="5"/>
  <c r="HG51" i="5" s="1"/>
  <c r="Z51" i="5" s="1" a="1"/>
  <c r="Z51" i="5" s="1"/>
  <c r="Y52" i="5" s="1" a="1"/>
  <c r="Y52" i="5" s="1"/>
  <c r="AB51" i="5"/>
  <c r="HH51" i="5" s="1"/>
  <c r="X53" i="5"/>
  <c r="II54" i="5"/>
  <c r="IH54" i="5"/>
  <c r="IP54" i="5"/>
  <c r="ID54" i="5"/>
  <c r="GT54" i="5"/>
  <c r="IM54" i="5"/>
  <c r="IA54" i="5"/>
  <c r="HZ54" i="5"/>
  <c r="IK54" i="5"/>
  <c r="IG54" i="5"/>
  <c r="IE54" i="5"/>
  <c r="IJ54" i="5"/>
  <c r="IF54" i="5"/>
  <c r="HY54" i="5"/>
  <c r="IQ54" i="5"/>
  <c r="IO54" i="5"/>
  <c r="IB54" i="5"/>
  <c r="U55" i="5"/>
  <c r="IL54" i="5"/>
  <c r="IN54" i="5"/>
  <c r="IC54" i="5"/>
  <c r="PF198" i="5" a="1"/>
  <c r="PF198" i="5" s="1"/>
  <c r="PG198" i="5" s="1"/>
  <c r="PH198" i="5" s="1"/>
  <c r="PI198" i="5" s="1"/>
  <c r="PJ198" i="5" s="1"/>
  <c r="PK198" i="5" s="1"/>
  <c r="AB45" i="4"/>
  <c r="HD45" i="4" s="1"/>
  <c r="AA45" i="4"/>
  <c r="HC45" i="4" s="1"/>
  <c r="Z45" i="4" s="1" a="1"/>
  <c r="Z45" i="4" s="1"/>
  <c r="Y46" i="4" s="1" a="1"/>
  <c r="Y46" i="4" s="1"/>
  <c r="U52" i="4"/>
  <c r="IL51" i="4"/>
  <c r="HZ51" i="4"/>
  <c r="GP51" i="4"/>
  <c r="ID51" i="4"/>
  <c r="IB51" i="4"/>
  <c r="IJ51" i="4"/>
  <c r="HV51" i="4"/>
  <c r="IE51" i="4"/>
  <c r="IA51" i="4"/>
  <c r="HX51" i="4"/>
  <c r="HU51" i="4"/>
  <c r="IM51" i="4"/>
  <c r="IK51" i="4"/>
  <c r="II51" i="4"/>
  <c r="IH51" i="4"/>
  <c r="IF51" i="4"/>
  <c r="IC51" i="4"/>
  <c r="IG51" i="4"/>
  <c r="HY51" i="4"/>
  <c r="HW51" i="4"/>
  <c r="X50" i="4"/>
  <c r="AA50" i="5" l="1"/>
  <c r="HG50" i="5" s="1"/>
  <c r="Z50" i="5" s="1" a="1"/>
  <c r="Z50" i="5" s="1"/>
  <c r="AB50" i="5"/>
  <c r="HH50" i="5" s="1"/>
  <c r="AB52" i="5"/>
  <c r="HH52" i="5" s="1"/>
  <c r="AA52" i="5"/>
  <c r="HG52" i="5" s="1"/>
  <c r="Z52" i="5" s="1" a="1"/>
  <c r="Z52" i="5" s="1"/>
  <c r="Y53" i="5" s="1" a="1"/>
  <c r="Y53" i="5" s="1"/>
  <c r="II55" i="5"/>
  <c r="IG55" i="5"/>
  <c r="GT55" i="5"/>
  <c r="IF55" i="5"/>
  <c r="IO55" i="5"/>
  <c r="IB55" i="5"/>
  <c r="IL55" i="5"/>
  <c r="HY55" i="5"/>
  <c r="IC55" i="5"/>
  <c r="IA55" i="5"/>
  <c r="IN55" i="5"/>
  <c r="IK55" i="5"/>
  <c r="IH55" i="5"/>
  <c r="HZ55" i="5"/>
  <c r="IM55" i="5"/>
  <c r="IJ55" i="5"/>
  <c r="IE55" i="5"/>
  <c r="ID55" i="5"/>
  <c r="IQ55" i="5"/>
  <c r="IP55" i="5"/>
  <c r="PF215" i="5" a="1"/>
  <c r="PF215" i="5" s="1"/>
  <c r="PG215" i="5" s="1"/>
  <c r="PH215" i="5" s="1"/>
  <c r="PI215" i="5" s="1"/>
  <c r="PJ215" i="5" s="1"/>
  <c r="PK215" i="5" s="1"/>
  <c r="PF199" i="5" a="1"/>
  <c r="PF199" i="5" s="1"/>
  <c r="PG199" i="5" s="1"/>
  <c r="PH199" i="5" s="1"/>
  <c r="PI199" i="5" s="1"/>
  <c r="PJ199" i="5" s="1"/>
  <c r="PK199" i="5" s="1"/>
  <c r="KI218" i="5" a="1"/>
  <c r="KI218" i="5" s="1"/>
  <c r="KJ218" i="5" s="1"/>
  <c r="KK218" i="5" s="1"/>
  <c r="KI305" i="5" a="1"/>
  <c r="KI305" i="5" s="1"/>
  <c r="PF193" i="5" a="1"/>
  <c r="PF193" i="5" s="1"/>
  <c r="PG193" i="5" s="1"/>
  <c r="PH193" i="5" s="1"/>
  <c r="PI193" i="5" s="1"/>
  <c r="PJ193" i="5" s="1"/>
  <c r="PK193" i="5" s="1"/>
  <c r="KI259" i="5" a="1"/>
  <c r="KI259" i="5" s="1"/>
  <c r="KJ259" i="5" s="1"/>
  <c r="KK259" i="5" s="1"/>
  <c r="KI222" i="5" a="1"/>
  <c r="KI222" i="5" s="1"/>
  <c r="KJ222" i="5" s="1"/>
  <c r="KK222" i="5" s="1"/>
  <c r="KL222" i="5" s="1"/>
  <c r="KI247" i="5" a="1"/>
  <c r="KI247" i="5" s="1"/>
  <c r="KJ247" i="5" s="1"/>
  <c r="KK247" i="5" s="1"/>
  <c r="KI251" i="5" a="1"/>
  <c r="KI251" i="5" s="1"/>
  <c r="KJ251" i="5" s="1"/>
  <c r="KK251" i="5" s="1"/>
  <c r="PF188" i="5" a="1"/>
  <c r="PF188" i="5" s="1"/>
  <c r="PG188" i="5" s="1"/>
  <c r="PH188" i="5" s="1"/>
  <c r="PI188" i="5" s="1"/>
  <c r="PJ188" i="5" s="1"/>
  <c r="PK188" i="5" s="1"/>
  <c r="KI233" i="5" a="1"/>
  <c r="KI233" i="5" s="1"/>
  <c r="KJ233" i="5" s="1"/>
  <c r="KK233" i="5" s="1"/>
  <c r="KI234" i="5" a="1"/>
  <c r="KI234" i="5" s="1"/>
  <c r="KJ234" i="5" s="1"/>
  <c r="KK234" i="5" s="1"/>
  <c r="KI252" i="5" a="1"/>
  <c r="KI252" i="5" s="1"/>
  <c r="KJ252" i="5" s="1"/>
  <c r="KK252" i="5" s="1"/>
  <c r="KI263" i="5" a="1"/>
  <c r="KI263" i="5" s="1"/>
  <c r="KJ263" i="5" s="1"/>
  <c r="KK263" i="5" s="1"/>
  <c r="KI243" i="5" a="1"/>
  <c r="KI243" i="5" s="1"/>
  <c r="KJ243" i="5" s="1"/>
  <c r="KK243" i="5" s="1"/>
  <c r="KI253" i="5" a="1"/>
  <c r="KI253" i="5" s="1"/>
  <c r="KJ253" i="5" s="1"/>
  <c r="KK253" i="5" s="1"/>
  <c r="KI192" i="5" a="1"/>
  <c r="KI192" i="5" s="1"/>
  <c r="KI187" i="5" a="1"/>
  <c r="KI187" i="5" s="1"/>
  <c r="PF195" i="5" a="1"/>
  <c r="PF195" i="5" s="1"/>
  <c r="PG195" i="5" s="1"/>
  <c r="PH195" i="5" s="1"/>
  <c r="PI195" i="5" s="1"/>
  <c r="PJ195" i="5" s="1"/>
  <c r="PK195" i="5" s="1"/>
  <c r="PL195" i="5" s="1"/>
  <c r="PM195" i="5" s="1"/>
  <c r="PN195" i="5" s="1"/>
  <c r="KI57" i="5" a="1"/>
  <c r="KI57" i="5" s="1"/>
  <c r="KJ57" i="5" s="1"/>
  <c r="KK57" i="5" s="1"/>
  <c r="KI254" i="5" a="1"/>
  <c r="KI254" i="5" s="1"/>
  <c r="KJ254" i="5" s="1"/>
  <c r="KK254" i="5" s="1"/>
  <c r="PF211" i="5" a="1"/>
  <c r="PF211" i="5" s="1"/>
  <c r="PG211" i="5" s="1"/>
  <c r="PH211" i="5" s="1"/>
  <c r="PI211" i="5" s="1"/>
  <c r="PJ211" i="5" s="1"/>
  <c r="PK211" i="5" s="1"/>
  <c r="LF169" i="5" a="1"/>
  <c r="LF169" i="5" s="1"/>
  <c r="LG169" i="5" s="1"/>
  <c r="LH169" i="5" s="1"/>
  <c r="KI235" i="5" a="1"/>
  <c r="KI235" i="5" s="1"/>
  <c r="KJ235" i="5" s="1"/>
  <c r="KK235" i="5" s="1"/>
  <c r="KI236" i="5" a="1"/>
  <c r="KI236" i="5" s="1"/>
  <c r="KJ236" i="5" s="1"/>
  <c r="KK236" i="5" s="1"/>
  <c r="KI223" i="5" a="1"/>
  <c r="KI223" i="5" s="1"/>
  <c r="KJ223" i="5" s="1"/>
  <c r="KK223" i="5" s="1"/>
  <c r="KI221" i="5" a="1"/>
  <c r="KI221" i="5" s="1"/>
  <c r="KJ221" i="5" s="1"/>
  <c r="KK221" i="5" s="1"/>
  <c r="KL221" i="5" s="1"/>
  <c r="KI264" i="5" a="1"/>
  <c r="KI264" i="5" s="1"/>
  <c r="KJ264" i="5" s="1"/>
  <c r="KK264" i="5" s="1"/>
  <c r="KI244" i="5" a="1"/>
  <c r="KI244" i="5" s="1"/>
  <c r="KJ244" i="5" s="1"/>
  <c r="KK244" i="5" s="1"/>
  <c r="PF183" i="5" a="1"/>
  <c r="PF183" i="5" s="1"/>
  <c r="PG183" i="5" s="1"/>
  <c r="PH183" i="5" s="1"/>
  <c r="PI183" i="5" s="1"/>
  <c r="PJ183" i="5" s="1"/>
  <c r="PK183" i="5" s="1"/>
  <c r="PF200" i="5" a="1"/>
  <c r="PF200" i="5" s="1"/>
  <c r="PG200" i="5" s="1"/>
  <c r="PH200" i="5" s="1"/>
  <c r="PI200" i="5" s="1"/>
  <c r="PJ200" i="5" s="1"/>
  <c r="PK200" i="5" s="1"/>
  <c r="PL200" i="5" s="1"/>
  <c r="PM200" i="5" s="1"/>
  <c r="PN200" i="5" s="1"/>
  <c r="PF209" i="5" a="1"/>
  <c r="PF209" i="5" s="1"/>
  <c r="PG209" i="5" s="1"/>
  <c r="PH209" i="5" s="1"/>
  <c r="PI209" i="5" s="1"/>
  <c r="PJ209" i="5" s="1"/>
  <c r="PK209" i="5" s="1"/>
  <c r="PF184" i="5" a="1"/>
  <c r="PF184" i="5" s="1"/>
  <c r="PG184" i="5" s="1"/>
  <c r="PH184" i="5" s="1"/>
  <c r="PI184" i="5" s="1"/>
  <c r="PJ184" i="5" s="1"/>
  <c r="PK184" i="5" s="1"/>
  <c r="KI249" i="5" a="1"/>
  <c r="KI249" i="5" s="1"/>
  <c r="KJ249" i="5" s="1"/>
  <c r="KK249" i="5" s="1"/>
  <c r="KI197" i="5" a="1"/>
  <c r="KI197" i="5" s="1"/>
  <c r="PF205" i="5" a="1"/>
  <c r="PF205" i="5" s="1"/>
  <c r="PG205" i="5" s="1"/>
  <c r="PH205" i="5" s="1"/>
  <c r="PI205" i="5" s="1"/>
  <c r="PJ205" i="5" s="1"/>
  <c r="PK205" i="5" s="1"/>
  <c r="KI248" i="5" a="1"/>
  <c r="KI248" i="5" s="1"/>
  <c r="KJ248" i="5" s="1"/>
  <c r="KK248" i="5" s="1"/>
  <c r="KI255" i="5" a="1"/>
  <c r="KI255" i="5" s="1"/>
  <c r="KJ255" i="5" s="1"/>
  <c r="KK255" i="5" s="1"/>
  <c r="PF213" i="5" a="1"/>
  <c r="PF213" i="5" s="1"/>
  <c r="PG213" i="5" s="1"/>
  <c r="PH213" i="5" s="1"/>
  <c r="PI213" i="5" s="1"/>
  <c r="PJ213" i="5" s="1"/>
  <c r="PK213" i="5" s="1"/>
  <c r="PF194" i="5" a="1"/>
  <c r="PF194" i="5" s="1"/>
  <c r="PG194" i="5" s="1"/>
  <c r="PH194" i="5" s="1"/>
  <c r="PI194" i="5" s="1"/>
  <c r="PJ194" i="5" s="1"/>
  <c r="PK194" i="5" s="1"/>
  <c r="KI239" i="5" a="1"/>
  <c r="KI239" i="5" s="1"/>
  <c r="KJ239" i="5" s="1"/>
  <c r="KK239" i="5" s="1"/>
  <c r="KI260" i="5" a="1"/>
  <c r="KI260" i="5" s="1"/>
  <c r="KJ260" i="5" s="1"/>
  <c r="KK260" i="5" s="1"/>
  <c r="KI56" i="5" a="1"/>
  <c r="KI56" i="5" s="1"/>
  <c r="KJ56" i="5" s="1"/>
  <c r="KK56" i="5" s="1"/>
  <c r="KI202" i="5" a="1"/>
  <c r="KI202" i="5" s="1"/>
  <c r="PF207" i="5" a="1"/>
  <c r="PF207" i="5" s="1"/>
  <c r="PG207" i="5" s="1"/>
  <c r="PH207" i="5" s="1"/>
  <c r="PI207" i="5" s="1"/>
  <c r="PJ207" i="5" s="1"/>
  <c r="PK207" i="5" s="1"/>
  <c r="PF203" i="5" a="1"/>
  <c r="PF203" i="5" s="1"/>
  <c r="PG203" i="5" s="1"/>
  <c r="PH203" i="5" s="1"/>
  <c r="PI203" i="5" s="1"/>
  <c r="PJ203" i="5" s="1"/>
  <c r="PK203" i="5" s="1"/>
  <c r="X54" i="5"/>
  <c r="AA46" i="4"/>
  <c r="HC46" i="4" s="1"/>
  <c r="Z46" i="4" s="1" a="1"/>
  <c r="Z46" i="4" s="1"/>
  <c r="Y47" i="4" s="1" a="1"/>
  <c r="Y47" i="4" s="1"/>
  <c r="AB46" i="4"/>
  <c r="HD46" i="4" s="1"/>
  <c r="ID52" i="4"/>
  <c r="IA52" i="4"/>
  <c r="GP52" i="4"/>
  <c r="IH52" i="4"/>
  <c r="IB52" i="4"/>
  <c r="IJ52" i="4"/>
  <c r="HV52" i="4"/>
  <c r="HZ52" i="4"/>
  <c r="HX52" i="4"/>
  <c r="IM52" i="4"/>
  <c r="HU52" i="4"/>
  <c r="IL52" i="4"/>
  <c r="U53" i="4"/>
  <c r="IK52" i="4"/>
  <c r="II52" i="4"/>
  <c r="IF52" i="4"/>
  <c r="IC52" i="4"/>
  <c r="HY52" i="4"/>
  <c r="IG52" i="4"/>
  <c r="IE52" i="4"/>
  <c r="HW52" i="4"/>
  <c r="X51" i="4"/>
  <c r="AB53" i="5" l="1"/>
  <c r="HH53" i="5" s="1"/>
  <c r="AA53" i="5"/>
  <c r="HG53" i="5" s="1"/>
  <c r="Z53" i="5" s="1" a="1"/>
  <c r="Z53" i="5" s="1"/>
  <c r="Y54" i="5" s="1" a="1"/>
  <c r="Y54" i="5" s="1"/>
  <c r="KI265" i="5" a="1"/>
  <c r="KI265" i="5" s="1"/>
  <c r="X55" i="5"/>
  <c r="KI245" i="5" a="1"/>
  <c r="KI245" i="5" s="1"/>
  <c r="KI237" i="5" a="1"/>
  <c r="KI237" i="5" s="1"/>
  <c r="KI250" i="5" a="1"/>
  <c r="KI250" i="5" s="1"/>
  <c r="KJ250" i="5" s="1"/>
  <c r="KK250" i="5" s="1"/>
  <c r="KI256" i="5" a="1"/>
  <c r="KI256" i="5" s="1"/>
  <c r="PF189" i="5" a="1"/>
  <c r="PF189" i="5" s="1"/>
  <c r="KI261" i="5" a="1"/>
  <c r="KI261" i="5" s="1"/>
  <c r="KI240" i="5" a="1"/>
  <c r="KI240" i="5" s="1"/>
  <c r="KI224" i="5" a="1"/>
  <c r="KI224" i="5" s="1"/>
  <c r="KJ224" i="5" s="1"/>
  <c r="KK224" i="5" s="1"/>
  <c r="KJ305" i="5"/>
  <c r="KK305" i="5" s="1"/>
  <c r="Z305" i="5" a="1"/>
  <c r="Z305" i="5" s="1"/>
  <c r="KI58" i="5" a="1"/>
  <c r="KI58" i="5" s="1"/>
  <c r="KI219" i="5" a="1"/>
  <c r="KI219" i="5" s="1"/>
  <c r="PF185" i="5" a="1"/>
  <c r="PF185" i="5" s="1"/>
  <c r="PG185" i="5" s="1"/>
  <c r="PH185" i="5" s="1"/>
  <c r="PI185" i="5" s="1"/>
  <c r="PJ185" i="5" s="1"/>
  <c r="PK185" i="5" s="1"/>
  <c r="PL185" i="5" s="1"/>
  <c r="PM185" i="5" s="1"/>
  <c r="PN185" i="5" s="1"/>
  <c r="AA47" i="4"/>
  <c r="HC47" i="4" s="1"/>
  <c r="Z47" i="4" s="1" a="1"/>
  <c r="Z47" i="4" s="1"/>
  <c r="Y48" i="4" s="1" a="1"/>
  <c r="Y48" i="4" s="1"/>
  <c r="AB47" i="4"/>
  <c r="HD47" i="4" s="1"/>
  <c r="X52" i="4"/>
  <c r="Y51" i="4" a="1"/>
  <c r="Y51" i="4" s="1"/>
  <c r="IH53" i="4"/>
  <c r="HV53" i="4"/>
  <c r="IA53" i="4"/>
  <c r="HZ53" i="4"/>
  <c r="II53" i="4"/>
  <c r="IC53" i="4"/>
  <c r="HY53" i="4"/>
  <c r="HW53" i="4"/>
  <c r="GP53" i="4"/>
  <c r="IL53" i="4"/>
  <c r="IK53" i="4"/>
  <c r="U54" i="4"/>
  <c r="IJ53" i="4"/>
  <c r="IG53" i="4"/>
  <c r="ID53" i="4"/>
  <c r="HX53" i="4"/>
  <c r="HU53" i="4"/>
  <c r="IF53" i="4"/>
  <c r="IM53" i="4"/>
  <c r="IE53" i="4"/>
  <c r="IB53" i="4"/>
  <c r="AA54" i="5" l="1"/>
  <c r="HG54" i="5" s="1"/>
  <c r="Z54" i="5" s="1" a="1"/>
  <c r="Z54" i="5" s="1"/>
  <c r="Y55" i="5" s="1" a="1"/>
  <c r="Y55" i="5" s="1"/>
  <c r="AB54" i="5"/>
  <c r="HH54" i="5" s="1"/>
  <c r="KJ245" i="5"/>
  <c r="KK245" i="5" s="1"/>
  <c r="KI246" i="5" a="1"/>
  <c r="KI246" i="5" s="1"/>
  <c r="KJ246" i="5" s="1"/>
  <c r="KK246" i="5" s="1"/>
  <c r="KJ219" i="5"/>
  <c r="KK219" i="5" s="1"/>
  <c r="KI220" i="5" a="1"/>
  <c r="KI220" i="5" s="1"/>
  <c r="KJ220" i="5" s="1"/>
  <c r="KK220" i="5" s="1"/>
  <c r="KJ240" i="5"/>
  <c r="KK240" i="5" s="1"/>
  <c r="KI241" i="5" a="1"/>
  <c r="KI241" i="5" s="1"/>
  <c r="KJ58" i="5"/>
  <c r="KK58" i="5" s="1"/>
  <c r="KI59" i="5" a="1"/>
  <c r="KI59" i="5" s="1"/>
  <c r="PG189" i="5"/>
  <c r="PH189" i="5" s="1"/>
  <c r="PI189" i="5" s="1"/>
  <c r="PJ189" i="5" s="1"/>
  <c r="PK189" i="5" s="1"/>
  <c r="X57" i="5"/>
  <c r="Y56" i="5" a="1"/>
  <c r="Y56" i="5" s="1"/>
  <c r="KJ261" i="5"/>
  <c r="KK261" i="5" s="1"/>
  <c r="KI262" i="5" a="1"/>
  <c r="KI262" i="5" s="1"/>
  <c r="KJ262" i="5" s="1"/>
  <c r="KK262" i="5" s="1"/>
  <c r="KJ256" i="5"/>
  <c r="KK256" i="5" s="1"/>
  <c r="KI257" i="5" a="1"/>
  <c r="KI257" i="5" s="1"/>
  <c r="KJ265" i="5"/>
  <c r="KK265" i="5" s="1"/>
  <c r="KI266" i="5" a="1"/>
  <c r="KI266" i="5" s="1"/>
  <c r="KJ266" i="5" s="1"/>
  <c r="KK266" i="5" s="1"/>
  <c r="KJ237" i="5"/>
  <c r="KK237" i="5" s="1"/>
  <c r="KI238" i="5" a="1"/>
  <c r="KI238" i="5" s="1"/>
  <c r="KJ238" i="5" s="1"/>
  <c r="KK238" i="5" s="1"/>
  <c r="AB48" i="4"/>
  <c r="HD48" i="4" s="1"/>
  <c r="AA48" i="4"/>
  <c r="HC48" i="4" s="1"/>
  <c r="Z48" i="4" s="1" a="1"/>
  <c r="Z48" i="4" s="1"/>
  <c r="Y49" i="4" s="1" a="1"/>
  <c r="Y49" i="4" s="1"/>
  <c r="U55" i="4"/>
  <c r="IL54" i="4"/>
  <c r="HZ54" i="4"/>
  <c r="GP54" i="4"/>
  <c r="IM54" i="4"/>
  <c r="HY54" i="4"/>
  <c r="IG54" i="4"/>
  <c r="IB54" i="4"/>
  <c r="II54" i="4"/>
  <c r="HU54" i="4"/>
  <c r="HX54" i="4"/>
  <c r="HV54" i="4"/>
  <c r="IK54" i="4"/>
  <c r="IJ54" i="4"/>
  <c r="IH54" i="4"/>
  <c r="IF54" i="4"/>
  <c r="IC54" i="4"/>
  <c r="HW54" i="4"/>
  <c r="IE54" i="4"/>
  <c r="ID54" i="4"/>
  <c r="IA54" i="4"/>
  <c r="PB209" i="4" a="1"/>
  <c r="PB209" i="4" s="1"/>
  <c r="PC209" i="4" s="1"/>
  <c r="PD209" i="4" s="1"/>
  <c r="PE209" i="4" s="1"/>
  <c r="PF209" i="4" s="1"/>
  <c r="PG209" i="4" s="1"/>
  <c r="PB198" i="4" a="1"/>
  <c r="PB198" i="4" s="1"/>
  <c r="PC198" i="4" s="1"/>
  <c r="PD198" i="4" s="1"/>
  <c r="PE198" i="4" s="1"/>
  <c r="PF198" i="4" s="1"/>
  <c r="PG198" i="4" s="1"/>
  <c r="KE56" i="4" a="1"/>
  <c r="KE56" i="4" s="1"/>
  <c r="KF56" i="4" s="1"/>
  <c r="KG56" i="4" s="1"/>
  <c r="AA51" i="4"/>
  <c r="HC51" i="4" s="1"/>
  <c r="Z51" i="4" s="1" a="1"/>
  <c r="Z51" i="4" s="1"/>
  <c r="Y52" i="4" s="1" a="1"/>
  <c r="Y52" i="4" s="1"/>
  <c r="AB51" i="4"/>
  <c r="HD51" i="4" s="1"/>
  <c r="X53" i="4"/>
  <c r="AB55" i="5" l="1"/>
  <c r="HH55" i="5" s="1"/>
  <c r="AA55" i="5"/>
  <c r="HG55" i="5" s="1"/>
  <c r="Z55" i="5" s="1" a="1"/>
  <c r="Z55" i="5" s="1"/>
  <c r="KJ257" i="5"/>
  <c r="KK257" i="5" s="1"/>
  <c r="KI258" i="5" a="1"/>
  <c r="KI258" i="5" s="1"/>
  <c r="KJ258" i="5" s="1"/>
  <c r="KK258" i="5" s="1"/>
  <c r="KJ59" i="5"/>
  <c r="KK59" i="5" s="1"/>
  <c r="KI60" i="5" a="1"/>
  <c r="KI60" i="5" s="1"/>
  <c r="KJ241" i="5"/>
  <c r="KK241" i="5" s="1"/>
  <c r="KI242" i="5" a="1"/>
  <c r="KI242" i="5" s="1"/>
  <c r="KJ242" i="5" s="1"/>
  <c r="KK242" i="5" s="1"/>
  <c r="X58" i="5"/>
  <c r="AB56" i="5"/>
  <c r="KD56" i="5" s="1"/>
  <c r="AA56" i="5"/>
  <c r="KC56" i="5" s="1"/>
  <c r="Z56" i="5" s="1" a="1"/>
  <c r="Z56" i="5" s="1"/>
  <c r="Y57" i="5" s="1" a="1"/>
  <c r="Y57" i="5" s="1"/>
  <c r="PF190" i="5" a="1"/>
  <c r="PF190" i="5" s="1"/>
  <c r="PG190" i="5" s="1"/>
  <c r="PH190" i="5" s="1"/>
  <c r="PI190" i="5" s="1"/>
  <c r="PJ190" i="5" s="1"/>
  <c r="PK190" i="5" s="1"/>
  <c r="PL190" i="5" s="1"/>
  <c r="PM190" i="5" s="1"/>
  <c r="PN190" i="5" s="1"/>
  <c r="AA49" i="4"/>
  <c r="HC49" i="4" s="1"/>
  <c r="Z49" i="4" s="1" a="1"/>
  <c r="Z49" i="4" s="1"/>
  <c r="Y50" i="4" s="1" a="1"/>
  <c r="Y50" i="4" s="1"/>
  <c r="AB49" i="4"/>
  <c r="HD49" i="4" s="1"/>
  <c r="AB52" i="4"/>
  <c r="HD52" i="4" s="1"/>
  <c r="AA52" i="4"/>
  <c r="HC52" i="4" s="1"/>
  <c r="Z52" i="4" s="1" a="1"/>
  <c r="Z52" i="4" s="1"/>
  <c r="Y53" i="4" s="1" a="1"/>
  <c r="Y53" i="4" s="1"/>
  <c r="X54" i="4"/>
  <c r="ID55" i="4"/>
  <c r="IJ55" i="4"/>
  <c r="HW55" i="4"/>
  <c r="IM55" i="4"/>
  <c r="HY55" i="4"/>
  <c r="IG55" i="4"/>
  <c r="IA55" i="4"/>
  <c r="IL55" i="4"/>
  <c r="GP55" i="4"/>
  <c r="II55" i="4"/>
  <c r="IF55" i="4"/>
  <c r="IE55" i="4"/>
  <c r="IC55" i="4"/>
  <c r="IB55" i="4"/>
  <c r="HX55" i="4"/>
  <c r="HU55" i="4"/>
  <c r="IK55" i="4"/>
  <c r="IH55" i="4"/>
  <c r="HV55" i="4"/>
  <c r="HZ55" i="4"/>
  <c r="KE57" i="4" a="1"/>
  <c r="KE57" i="4" s="1"/>
  <c r="KF57" i="4" s="1"/>
  <c r="KG57" i="4" s="1"/>
  <c r="PB203" i="4" a="1"/>
  <c r="PB203" i="4" s="1"/>
  <c r="PC203" i="4" s="1"/>
  <c r="PD203" i="4" s="1"/>
  <c r="PE203" i="4" s="1"/>
  <c r="PF203" i="4" s="1"/>
  <c r="PG203" i="4" s="1"/>
  <c r="PB211" i="4" a="1"/>
  <c r="PB211" i="4" s="1"/>
  <c r="PC211" i="4" s="1"/>
  <c r="PD211" i="4" s="1"/>
  <c r="PE211" i="4" s="1"/>
  <c r="PF211" i="4" s="1"/>
  <c r="PG211" i="4" s="1"/>
  <c r="KE187" i="4" a="1"/>
  <c r="KE187" i="4" s="1"/>
  <c r="LB169" i="4" a="1"/>
  <c r="LB169" i="4" s="1"/>
  <c r="LC169" i="4" s="1"/>
  <c r="LD169" i="4" s="1"/>
  <c r="PB200" i="4" a="1"/>
  <c r="PB200" i="4" s="1"/>
  <c r="PC200" i="4" s="1"/>
  <c r="PD200" i="4" s="1"/>
  <c r="PE200" i="4" s="1"/>
  <c r="PF200" i="4" s="1"/>
  <c r="PG200" i="4" s="1"/>
  <c r="PH200" i="4" s="1"/>
  <c r="PI200" i="4" s="1"/>
  <c r="PJ200" i="4" s="1"/>
  <c r="PB199" i="4" a="1"/>
  <c r="PB199" i="4" s="1"/>
  <c r="PC199" i="4" s="1"/>
  <c r="PD199" i="4" s="1"/>
  <c r="PE199" i="4" s="1"/>
  <c r="PF199" i="4" s="1"/>
  <c r="PG199" i="4" s="1"/>
  <c r="PB213" i="4" a="1"/>
  <c r="PB213" i="4" s="1"/>
  <c r="PC213" i="4" s="1"/>
  <c r="PD213" i="4" s="1"/>
  <c r="PE213" i="4" s="1"/>
  <c r="PF213" i="4" s="1"/>
  <c r="PG213" i="4" s="1"/>
  <c r="KE233" i="4" a="1"/>
  <c r="KE233" i="4" s="1"/>
  <c r="KF233" i="4" s="1"/>
  <c r="KG233" i="4" s="1"/>
  <c r="PB205" i="4" a="1"/>
  <c r="PB205" i="4" s="1"/>
  <c r="PC205" i="4" s="1"/>
  <c r="PD205" i="4" s="1"/>
  <c r="PE205" i="4" s="1"/>
  <c r="PF205" i="4" s="1"/>
  <c r="PG205" i="4" s="1"/>
  <c r="PB193" i="4" a="1"/>
  <c r="PB193" i="4" s="1"/>
  <c r="PC193" i="4" s="1"/>
  <c r="PD193" i="4" s="1"/>
  <c r="PE193" i="4" s="1"/>
  <c r="PF193" i="4" s="1"/>
  <c r="PG193" i="4" s="1"/>
  <c r="KE221" i="4" a="1"/>
  <c r="KE221" i="4" s="1"/>
  <c r="KF221" i="4" s="1"/>
  <c r="KG221" i="4" s="1"/>
  <c r="KH221" i="4" s="1"/>
  <c r="PB194" i="4" a="1"/>
  <c r="PB194" i="4" s="1"/>
  <c r="PC194" i="4" s="1"/>
  <c r="PD194" i="4" s="1"/>
  <c r="PE194" i="4" s="1"/>
  <c r="PF194" i="4" s="1"/>
  <c r="PG194" i="4" s="1"/>
  <c r="PB183" i="4" a="1"/>
  <c r="PB183" i="4" s="1"/>
  <c r="PC183" i="4" s="1"/>
  <c r="PD183" i="4" s="1"/>
  <c r="PE183" i="4" s="1"/>
  <c r="PF183" i="4" s="1"/>
  <c r="PG183" i="4" s="1"/>
  <c r="PB188" i="4" a="1"/>
  <c r="PB188" i="4" s="1"/>
  <c r="PC188" i="4" s="1"/>
  <c r="PD188" i="4" s="1"/>
  <c r="PE188" i="4" s="1"/>
  <c r="PF188" i="4" s="1"/>
  <c r="PG188" i="4" s="1"/>
  <c r="KE192" i="4" a="1"/>
  <c r="KE192" i="4" s="1"/>
  <c r="KE202" i="4" a="1"/>
  <c r="KE202" i="4" s="1"/>
  <c r="KE197" i="4" a="1"/>
  <c r="KE197" i="4" s="1"/>
  <c r="PB189" i="4" a="1"/>
  <c r="PB189" i="4" s="1"/>
  <c r="PC189" i="4" s="1"/>
  <c r="PD189" i="4" s="1"/>
  <c r="PE189" i="4" s="1"/>
  <c r="PF189" i="4" s="1"/>
  <c r="PG189" i="4" s="1"/>
  <c r="KE218" i="4" a="1"/>
  <c r="KE218" i="4" s="1"/>
  <c r="KF218" i="4" s="1"/>
  <c r="KG218" i="4" s="1"/>
  <c r="PB215" i="4" a="1"/>
  <c r="PB215" i="4" s="1"/>
  <c r="PC215" i="4" s="1"/>
  <c r="PD215" i="4" s="1"/>
  <c r="PE215" i="4" s="1"/>
  <c r="PF215" i="4" s="1"/>
  <c r="PG215" i="4" s="1"/>
  <c r="KE222" i="4" a="1"/>
  <c r="KE222" i="4" s="1"/>
  <c r="KF222" i="4" s="1"/>
  <c r="KG222" i="4" s="1"/>
  <c r="KH222" i="4" s="1"/>
  <c r="PB207" i="4" a="1"/>
  <c r="PB207" i="4" s="1"/>
  <c r="PC207" i="4" s="1"/>
  <c r="PD207" i="4" s="1"/>
  <c r="PE207" i="4" s="1"/>
  <c r="PF207" i="4" s="1"/>
  <c r="PG207" i="4" s="1"/>
  <c r="AB57" i="5" l="1"/>
  <c r="KD57" i="5" s="1"/>
  <c r="AA57" i="5"/>
  <c r="KC57" i="5" s="1"/>
  <c r="Z57" i="5" s="1" a="1"/>
  <c r="Z57" i="5" s="1"/>
  <c r="Y58" i="5" s="1" a="1"/>
  <c r="Y58" i="5" s="1"/>
  <c r="X59" i="5"/>
  <c r="KJ60" i="5"/>
  <c r="KK60" i="5" s="1"/>
  <c r="KI61" i="5" a="1"/>
  <c r="KI61" i="5" s="1"/>
  <c r="AA53" i="4"/>
  <c r="HC53" i="4" s="1"/>
  <c r="Z53" i="4" s="1" a="1"/>
  <c r="Z53" i="4" s="1"/>
  <c r="Y54" i="4" s="1" a="1"/>
  <c r="Y54" i="4" s="1"/>
  <c r="AB53" i="4"/>
  <c r="HD53" i="4" s="1"/>
  <c r="AA50" i="4"/>
  <c r="HC50" i="4" s="1"/>
  <c r="Z50" i="4" s="1" a="1"/>
  <c r="Z50" i="4" s="1"/>
  <c r="AB50" i="4"/>
  <c r="HD50" i="4" s="1"/>
  <c r="KE234" i="4" a="1"/>
  <c r="KE234" i="4" s="1"/>
  <c r="PB195" i="4" a="1"/>
  <c r="PB195" i="4" s="1"/>
  <c r="PC195" i="4" s="1"/>
  <c r="PD195" i="4" s="1"/>
  <c r="PE195" i="4" s="1"/>
  <c r="PF195" i="4" s="1"/>
  <c r="PG195" i="4" s="1"/>
  <c r="PH195" i="4" s="1"/>
  <c r="PI195" i="4" s="1"/>
  <c r="PJ195" i="4" s="1"/>
  <c r="KE219" i="4" a="1"/>
  <c r="KE219" i="4" s="1"/>
  <c r="X55" i="4"/>
  <c r="KE58" i="4" a="1"/>
  <c r="KE58" i="4" s="1"/>
  <c r="KE223" i="4" a="1"/>
  <c r="KE223" i="4" s="1"/>
  <c r="PB190" i="4" a="1"/>
  <c r="PB190" i="4" s="1"/>
  <c r="PC190" i="4" s="1"/>
  <c r="PD190" i="4" s="1"/>
  <c r="PE190" i="4" s="1"/>
  <c r="PF190" i="4" s="1"/>
  <c r="PG190" i="4" s="1"/>
  <c r="PH190" i="4" s="1"/>
  <c r="PI190" i="4" s="1"/>
  <c r="PJ190" i="4" s="1"/>
  <c r="PB184" i="4" a="1"/>
  <c r="PB184" i="4" s="1"/>
  <c r="AB58" i="5" l="1"/>
  <c r="KD58" i="5" s="1"/>
  <c r="AA58" i="5"/>
  <c r="KC58" i="5" s="1"/>
  <c r="Z58" i="5" s="1" a="1"/>
  <c r="Z58" i="5" s="1"/>
  <c r="Y59" i="5" s="1" a="1"/>
  <c r="Y59" i="5" s="1"/>
  <c r="KJ61" i="5"/>
  <c r="KK61" i="5" s="1"/>
  <c r="KI62" i="5" a="1"/>
  <c r="KI62" i="5" s="1"/>
  <c r="X60" i="5"/>
  <c r="AA54" i="4"/>
  <c r="HC54" i="4" s="1"/>
  <c r="Z54" i="4" s="1" a="1"/>
  <c r="Z54" i="4" s="1"/>
  <c r="Y55" i="4" s="1" a="1"/>
  <c r="Y55" i="4" s="1"/>
  <c r="AB54" i="4"/>
  <c r="HD54" i="4" s="1"/>
  <c r="Y56" i="4" a="1"/>
  <c r="Y56" i="4" s="1"/>
  <c r="X57" i="4"/>
  <c r="KF219" i="4"/>
  <c r="KG219" i="4" s="1"/>
  <c r="KE220" i="4" a="1"/>
  <c r="KE220" i="4" s="1"/>
  <c r="KF220" i="4" s="1"/>
  <c r="KG220" i="4" s="1"/>
  <c r="PC184" i="4"/>
  <c r="PD184" i="4" s="1"/>
  <c r="PE184" i="4" s="1"/>
  <c r="PF184" i="4" s="1"/>
  <c r="PG184" i="4" s="1"/>
  <c r="PB185" i="4" a="1"/>
  <c r="PB185" i="4" s="1"/>
  <c r="PC185" i="4" s="1"/>
  <c r="PD185" i="4" s="1"/>
  <c r="PE185" i="4" s="1"/>
  <c r="PF185" i="4" s="1"/>
  <c r="PG185" i="4" s="1"/>
  <c r="PH185" i="4" s="1"/>
  <c r="PI185" i="4" s="1"/>
  <c r="PJ185" i="4" s="1"/>
  <c r="KF234" i="4"/>
  <c r="KG234" i="4" s="1"/>
  <c r="KF223" i="4"/>
  <c r="KG223" i="4" s="1"/>
  <c r="KE224" i="4" a="1"/>
  <c r="KE224" i="4" s="1"/>
  <c r="KF224" i="4" s="1"/>
  <c r="KG224" i="4" s="1"/>
  <c r="KF58" i="4"/>
  <c r="KG58" i="4" s="1"/>
  <c r="KE59" i="4" a="1"/>
  <c r="KE59" i="4" s="1"/>
  <c r="AB59" i="5" l="1"/>
  <c r="KD59" i="5" s="1"/>
  <c r="AA59" i="5"/>
  <c r="KC59" i="5" s="1"/>
  <c r="Z59" i="5" s="1" a="1"/>
  <c r="Z59" i="5" s="1"/>
  <c r="Y60" i="5" s="1" a="1"/>
  <c r="Y60" i="5" s="1"/>
  <c r="X61" i="5"/>
  <c r="KJ62" i="5"/>
  <c r="KK62" i="5" s="1"/>
  <c r="KI63" i="5" a="1"/>
  <c r="KI63" i="5" s="1"/>
  <c r="AA55" i="4"/>
  <c r="HC55" i="4" s="1"/>
  <c r="Z55" i="4" s="1" a="1"/>
  <c r="Z55" i="4" s="1"/>
  <c r="AB55" i="4"/>
  <c r="HD55" i="4" s="1"/>
  <c r="KF59" i="4"/>
  <c r="KG59" i="4" s="1"/>
  <c r="KE60" i="4" a="1"/>
  <c r="KE60" i="4" s="1"/>
  <c r="X58" i="4"/>
  <c r="AA56" i="4"/>
  <c r="JY56" i="4" s="1"/>
  <c r="Z56" i="4" s="1" a="1"/>
  <c r="Z56" i="4" s="1"/>
  <c r="Y57" i="4" s="1" a="1"/>
  <c r="Y57" i="4" s="1"/>
  <c r="AB56" i="4"/>
  <c r="JZ56" i="4" s="1"/>
  <c r="AA60" i="5" l="1"/>
  <c r="KC60" i="5" s="1"/>
  <c r="Z60" i="5" s="1" a="1"/>
  <c r="Z60" i="5" s="1"/>
  <c r="Y61" i="5" s="1" a="1"/>
  <c r="Y61" i="5" s="1"/>
  <c r="AB60" i="5"/>
  <c r="KD60" i="5" s="1"/>
  <c r="KJ63" i="5"/>
  <c r="KK63" i="5" s="1"/>
  <c r="KI64" i="5" a="1"/>
  <c r="KI64" i="5" s="1"/>
  <c r="X62" i="5"/>
  <c r="AB57" i="4"/>
  <c r="JZ57" i="4" s="1"/>
  <c r="AA57" i="4"/>
  <c r="JY57" i="4" s="1"/>
  <c r="Z57" i="4" s="1" a="1"/>
  <c r="Z57" i="4" s="1"/>
  <c r="Y58" i="4" s="1" a="1"/>
  <c r="Y58" i="4" s="1"/>
  <c r="X59" i="4"/>
  <c r="KF60" i="4"/>
  <c r="KG60" i="4" s="1"/>
  <c r="KE61" i="4" a="1"/>
  <c r="KE61" i="4" s="1"/>
  <c r="AA61" i="5" l="1"/>
  <c r="KC61" i="5" s="1"/>
  <c r="Z61" i="5" s="1" a="1"/>
  <c r="Z61" i="5" s="1"/>
  <c r="Y62" i="5" s="1" a="1"/>
  <c r="Y62" i="5" s="1"/>
  <c r="AB61" i="5"/>
  <c r="KD61" i="5" s="1"/>
  <c r="KJ64" i="5"/>
  <c r="KK64" i="5" s="1"/>
  <c r="KI65" i="5" a="1"/>
  <c r="KI65" i="5" s="1"/>
  <c r="X63" i="5"/>
  <c r="AB58" i="4"/>
  <c r="JZ58" i="4" s="1"/>
  <c r="AA58" i="4"/>
  <c r="JY58" i="4" s="1"/>
  <c r="Z58" i="4" s="1" a="1"/>
  <c r="Z58" i="4" s="1"/>
  <c r="Y59" i="4" s="1" a="1"/>
  <c r="Y59" i="4" s="1"/>
  <c r="KF61" i="4"/>
  <c r="KG61" i="4" s="1"/>
  <c r="KE62" i="4" a="1"/>
  <c r="KE62" i="4" s="1"/>
  <c r="X60" i="4"/>
  <c r="AB62" i="5" l="1"/>
  <c r="KD62" i="5" s="1"/>
  <c r="AA62" i="5"/>
  <c r="KC62" i="5" s="1"/>
  <c r="Z62" i="5" s="1" a="1"/>
  <c r="Z62" i="5" s="1"/>
  <c r="Y63" i="5" s="1" a="1"/>
  <c r="Y63" i="5" s="1"/>
  <c r="X64" i="5"/>
  <c r="KJ65" i="5"/>
  <c r="KK65" i="5" s="1"/>
  <c r="KI66" i="5" a="1"/>
  <c r="KI66" i="5" s="1"/>
  <c r="AB59" i="4"/>
  <c r="JZ59" i="4" s="1"/>
  <c r="AA59" i="4"/>
  <c r="JY59" i="4" s="1"/>
  <c r="Z59" i="4" s="1" a="1"/>
  <c r="Z59" i="4" s="1"/>
  <c r="Y60" i="4" s="1" a="1"/>
  <c r="Y60" i="4" s="1"/>
  <c r="KF62" i="4"/>
  <c r="KG62" i="4" s="1"/>
  <c r="KE63" i="4" a="1"/>
  <c r="KE63" i="4" s="1"/>
  <c r="X61" i="4"/>
  <c r="AB63" i="5" l="1"/>
  <c r="KD63" i="5" s="1"/>
  <c r="AA63" i="5"/>
  <c r="KC63" i="5" s="1"/>
  <c r="Z63" i="5" s="1" a="1"/>
  <c r="Z63" i="5" s="1"/>
  <c r="KJ66" i="5"/>
  <c r="KK66" i="5" s="1"/>
  <c r="KI67" i="5" a="1"/>
  <c r="KI67" i="5" s="1"/>
  <c r="X65" i="5"/>
  <c r="Y64" i="5" a="1"/>
  <c r="Y64" i="5" s="1"/>
  <c r="AB60" i="4"/>
  <c r="JZ60" i="4" s="1"/>
  <c r="AA60" i="4"/>
  <c r="JY60" i="4" s="1"/>
  <c r="Z60" i="4" s="1" a="1"/>
  <c r="Z60" i="4" s="1"/>
  <c r="Y61" i="4" s="1" a="1"/>
  <c r="Y61" i="4" s="1"/>
  <c r="KF63" i="4"/>
  <c r="KG63" i="4" s="1"/>
  <c r="KE64" i="4" a="1"/>
  <c r="KE64" i="4" s="1"/>
  <c r="X62" i="4"/>
  <c r="X66" i="5" l="1"/>
  <c r="AB64" i="5"/>
  <c r="KD64" i="5" s="1"/>
  <c r="AA64" i="5"/>
  <c r="KC64" i="5" s="1"/>
  <c r="Z64" i="5" s="1" a="1"/>
  <c r="Z64" i="5" s="1"/>
  <c r="Y65" i="5" s="1" a="1"/>
  <c r="Y65" i="5" s="1"/>
  <c r="KJ67" i="5"/>
  <c r="KK67" i="5" s="1"/>
  <c r="KI68" i="5" a="1"/>
  <c r="KI68" i="5" s="1"/>
  <c r="AB61" i="4"/>
  <c r="JZ61" i="4" s="1"/>
  <c r="AA61" i="4"/>
  <c r="JY61" i="4" s="1"/>
  <c r="Z61" i="4" s="1" a="1"/>
  <c r="Z61" i="4" s="1"/>
  <c r="Y62" i="4" s="1" a="1"/>
  <c r="Y62" i="4" s="1"/>
  <c r="X63" i="4"/>
  <c r="KF64" i="4"/>
  <c r="KG64" i="4" s="1"/>
  <c r="KE65" i="4" a="1"/>
  <c r="KE65" i="4" s="1"/>
  <c r="AA65" i="5" l="1"/>
  <c r="KC65" i="5" s="1"/>
  <c r="Z65" i="5" s="1" a="1"/>
  <c r="Z65" i="5" s="1"/>
  <c r="Y66" i="5" s="1" a="1"/>
  <c r="Y66" i="5" s="1"/>
  <c r="AB65" i="5"/>
  <c r="KD65" i="5" s="1"/>
  <c r="KJ68" i="5"/>
  <c r="KK68" i="5" s="1"/>
  <c r="KL68" i="5" s="1"/>
  <c r="KM68" i="5" s="1"/>
  <c r="KI69" i="5" a="1"/>
  <c r="KI69" i="5" s="1"/>
  <c r="X67" i="5"/>
  <c r="AB62" i="4"/>
  <c r="JZ62" i="4" s="1"/>
  <c r="AA62" i="4"/>
  <c r="JY62" i="4" s="1"/>
  <c r="Z62" i="4" s="1" a="1"/>
  <c r="Z62" i="4" s="1"/>
  <c r="Y63" i="4" s="1" a="1"/>
  <c r="Y63" i="4" s="1"/>
  <c r="KF65" i="4"/>
  <c r="KG65" i="4" s="1"/>
  <c r="KE66" i="4" a="1"/>
  <c r="KE66" i="4" s="1"/>
  <c r="X64" i="4"/>
  <c r="AB66" i="5" l="1"/>
  <c r="KD66" i="5" s="1"/>
  <c r="AA66" i="5"/>
  <c r="KC66" i="5" s="1"/>
  <c r="Z66" i="5" s="1" a="1"/>
  <c r="Z66" i="5" s="1"/>
  <c r="Y67" i="5" s="1" a="1"/>
  <c r="Y67" i="5" s="1"/>
  <c r="KJ69" i="5"/>
  <c r="KK69" i="5" s="1"/>
  <c r="KL69" i="5" s="1"/>
  <c r="KI70" i="5" a="1"/>
  <c r="KI70" i="5" s="1"/>
  <c r="X68" i="5"/>
  <c r="AB63" i="4"/>
  <c r="JZ63" i="4" s="1"/>
  <c r="AA63" i="4"/>
  <c r="JY63" i="4" s="1"/>
  <c r="Z63" i="4" s="1" a="1"/>
  <c r="Z63" i="4" s="1"/>
  <c r="X65" i="4"/>
  <c r="Y64" i="4" a="1"/>
  <c r="Y64" i="4" s="1"/>
  <c r="KF66" i="4"/>
  <c r="KG66" i="4" s="1"/>
  <c r="KE67" i="4" a="1"/>
  <c r="KE67" i="4" s="1"/>
  <c r="AB67" i="5" l="1"/>
  <c r="KD67" i="5" s="1"/>
  <c r="AA67" i="5"/>
  <c r="KC67" i="5" s="1"/>
  <c r="Z67" i="5" s="1" a="1"/>
  <c r="Z67" i="5" s="1"/>
  <c r="Y68" i="5" s="1" a="1"/>
  <c r="Y68" i="5" s="1"/>
  <c r="X70" i="5"/>
  <c r="Y69" i="5" a="1"/>
  <c r="Y69" i="5" s="1"/>
  <c r="KJ70" i="5"/>
  <c r="KK70" i="5" s="1"/>
  <c r="KL70" i="5" s="1"/>
  <c r="KI71" i="5" a="1"/>
  <c r="KI71" i="5" s="1"/>
  <c r="AA64" i="4"/>
  <c r="JY64" i="4" s="1"/>
  <c r="Z64" i="4" s="1" a="1"/>
  <c r="Z64" i="4" s="1"/>
  <c r="Y65" i="4" s="1" a="1"/>
  <c r="Y65" i="4" s="1"/>
  <c r="AB64" i="4"/>
  <c r="JZ64" i="4" s="1"/>
  <c r="X66" i="4"/>
  <c r="KF67" i="4"/>
  <c r="KG67" i="4" s="1"/>
  <c r="KE68" i="4" a="1"/>
  <c r="KE68" i="4" s="1"/>
  <c r="AB68" i="5" l="1"/>
  <c r="KD68" i="5" s="1"/>
  <c r="AA68" i="5"/>
  <c r="KC68" i="5" s="1"/>
  <c r="Z68" i="5" s="1" a="1"/>
  <c r="Z68" i="5" s="1"/>
  <c r="Y71" i="5" s="1" a="1"/>
  <c r="Y71" i="5" s="1"/>
  <c r="KJ71" i="5"/>
  <c r="KK71" i="5" s="1"/>
  <c r="KI72" i="5" a="1"/>
  <c r="KI72" i="5" s="1"/>
  <c r="X72" i="5"/>
  <c r="AB69" i="5"/>
  <c r="AA69" i="5"/>
  <c r="AB65" i="4"/>
  <c r="JZ65" i="4" s="1"/>
  <c r="AA65" i="4"/>
  <c r="JY65" i="4" s="1"/>
  <c r="Z65" i="4" s="1" a="1"/>
  <c r="Z65" i="4" s="1"/>
  <c r="Y66" i="4" s="1" a="1"/>
  <c r="Y66" i="4" s="1"/>
  <c r="KF68" i="4"/>
  <c r="KG68" i="4" s="1"/>
  <c r="KH68" i="4" s="1"/>
  <c r="KI68" i="4" s="1"/>
  <c r="KE69" i="4" a="1"/>
  <c r="KE69" i="4" s="1"/>
  <c r="X67" i="4"/>
  <c r="AB71" i="5" l="1"/>
  <c r="KD71" i="5" s="1"/>
  <c r="AA71" i="5"/>
  <c r="KC71" i="5" s="1"/>
  <c r="Z71" i="5" s="1" a="1"/>
  <c r="Z71" i="5" s="1"/>
  <c r="Y72" i="5" s="1" a="1"/>
  <c r="Y72" i="5" s="1"/>
  <c r="KB69" i="5"/>
  <c r="KF69" i="5" s="1"/>
  <c r="KD69" i="5"/>
  <c r="X73" i="5"/>
  <c r="KJ72" i="5"/>
  <c r="KK72" i="5" s="1"/>
  <c r="KI73" i="5" a="1"/>
  <c r="KI73" i="5" s="1"/>
  <c r="KC69" i="5"/>
  <c r="KA69" i="5"/>
  <c r="AB66" i="4"/>
  <c r="JZ66" i="4" s="1"/>
  <c r="AA66" i="4"/>
  <c r="JY66" i="4" s="1"/>
  <c r="Z66" i="4" s="1" a="1"/>
  <c r="Z66" i="4" s="1"/>
  <c r="Y67" i="4" s="1" a="1"/>
  <c r="Y67" i="4" s="1"/>
  <c r="KF69" i="4"/>
  <c r="KG69" i="4" s="1"/>
  <c r="KH69" i="4" s="1"/>
  <c r="KE70" i="4" a="1"/>
  <c r="KE70" i="4" s="1"/>
  <c r="X68" i="4"/>
  <c r="AB72" i="5" l="1"/>
  <c r="KD72" i="5" s="1"/>
  <c r="AA72" i="5"/>
  <c r="KC72" i="5" s="1"/>
  <c r="Z72" i="5" s="1" a="1"/>
  <c r="Z72" i="5" s="1"/>
  <c r="Y73" i="5" s="1" a="1"/>
  <c r="Y73" i="5" s="1"/>
  <c r="X74" i="5"/>
  <c r="KE69" i="5"/>
  <c r="Z69" i="5" a="1"/>
  <c r="Z69" i="5" s="1"/>
  <c r="Y70" i="5" s="1" a="1"/>
  <c r="Y70" i="5" s="1"/>
  <c r="KJ73" i="5"/>
  <c r="KK73" i="5" s="1"/>
  <c r="KI74" i="5" a="1"/>
  <c r="KI74" i="5" s="1"/>
  <c r="AA67" i="4"/>
  <c r="JY67" i="4" s="1"/>
  <c r="Z67" i="4" s="1" a="1"/>
  <c r="Z67" i="4" s="1"/>
  <c r="Y68" i="4" s="1" a="1"/>
  <c r="Y68" i="4" s="1"/>
  <c r="AB67" i="4"/>
  <c r="JZ67" i="4" s="1"/>
  <c r="Y69" i="4" a="1"/>
  <c r="Y69" i="4" s="1"/>
  <c r="X70" i="4"/>
  <c r="KF70" i="4"/>
  <c r="KG70" i="4" s="1"/>
  <c r="KH70" i="4" s="1"/>
  <c r="KE71" i="4" a="1"/>
  <c r="KE71" i="4" s="1"/>
  <c r="AA73" i="5" l="1"/>
  <c r="KC73" i="5" s="1"/>
  <c r="Z73" i="5" s="1" a="1"/>
  <c r="Z73" i="5" s="1"/>
  <c r="AB73" i="5"/>
  <c r="KD73" i="5" s="1"/>
  <c r="KJ74" i="5"/>
  <c r="KK74" i="5" s="1"/>
  <c r="KI75" i="5" a="1"/>
  <c r="KI75" i="5" s="1"/>
  <c r="X75" i="5"/>
  <c r="Y74" i="5" a="1"/>
  <c r="Y74" i="5" s="1"/>
  <c r="AB70" i="5"/>
  <c r="AA70" i="5"/>
  <c r="AB68" i="4"/>
  <c r="JZ68" i="4" s="1"/>
  <c r="AA68" i="4"/>
  <c r="JY68" i="4" s="1"/>
  <c r="Z68" i="4" s="1" a="1"/>
  <c r="Z68" i="4" s="1"/>
  <c r="Y71" i="4" s="1" a="1"/>
  <c r="Y71" i="4" s="1"/>
  <c r="KF71" i="4"/>
  <c r="KG71" i="4" s="1"/>
  <c r="KE72" i="4" a="1"/>
  <c r="KE72" i="4" s="1"/>
  <c r="AB69" i="4"/>
  <c r="AA69" i="4"/>
  <c r="X72" i="4"/>
  <c r="AB74" i="5" l="1"/>
  <c r="KD74" i="5" s="1"/>
  <c r="AA74" i="5"/>
  <c r="KC74" i="5" s="1"/>
  <c r="Z74" i="5" s="1" a="1"/>
  <c r="Z74" i="5" s="1"/>
  <c r="Y75" i="5" s="1" a="1"/>
  <c r="Y75" i="5" s="1"/>
  <c r="X76" i="5"/>
  <c r="KJ75" i="5"/>
  <c r="KK75" i="5" s="1"/>
  <c r="KI76" i="5" a="1"/>
  <c r="KI76" i="5" s="1"/>
  <c r="KA70" i="5"/>
  <c r="KC70" i="5"/>
  <c r="KB70" i="5"/>
  <c r="KF70" i="5" s="1"/>
  <c r="KD70" i="5"/>
  <c r="AB71" i="4"/>
  <c r="JZ71" i="4" s="1"/>
  <c r="AA71" i="4"/>
  <c r="JY71" i="4" s="1"/>
  <c r="Z71" i="4" s="1" a="1"/>
  <c r="Z71" i="4" s="1"/>
  <c r="Y72" i="4" s="1" a="1"/>
  <c r="Y72" i="4" s="1"/>
  <c r="JY69" i="4"/>
  <c r="JW69" i="4"/>
  <c r="JX69" i="4"/>
  <c r="KB69" i="4" s="1"/>
  <c r="JZ69" i="4"/>
  <c r="KF72" i="4"/>
  <c r="KG72" i="4" s="1"/>
  <c r="KE73" i="4" a="1"/>
  <c r="KE73" i="4" s="1"/>
  <c r="X73" i="4"/>
  <c r="AB75" i="5" l="1"/>
  <c r="KD75" i="5" s="1"/>
  <c r="AA75" i="5"/>
  <c r="KC75" i="5" s="1"/>
  <c r="Z75" i="5" s="1" a="1"/>
  <c r="Z75" i="5" s="1"/>
  <c r="Y76" i="5" s="1" a="1"/>
  <c r="Y76" i="5" s="1"/>
  <c r="KJ76" i="5"/>
  <c r="KK76" i="5" s="1"/>
  <c r="KL76" i="5" s="1"/>
  <c r="KM76" i="5" s="1"/>
  <c r="KI77" i="5" a="1"/>
  <c r="KI77" i="5" s="1"/>
  <c r="X77" i="5"/>
  <c r="Z70" i="5" a="1"/>
  <c r="Z70" i="5" s="1"/>
  <c r="KE70" i="5"/>
  <c r="AB72" i="4"/>
  <c r="JZ72" i="4" s="1"/>
  <c r="AA72" i="4"/>
  <c r="JY72" i="4" s="1"/>
  <c r="Z72" i="4" s="1" a="1"/>
  <c r="Z72" i="4" s="1"/>
  <c r="Y73" i="4" s="1" a="1"/>
  <c r="Y73" i="4" s="1"/>
  <c r="KA69" i="4"/>
  <c r="Z69" i="4" a="1"/>
  <c r="Z69" i="4" s="1"/>
  <c r="Y70" i="4" s="1" a="1"/>
  <c r="Y70" i="4" s="1"/>
  <c r="X74" i="4"/>
  <c r="KF73" i="4"/>
  <c r="KG73" i="4" s="1"/>
  <c r="KE74" i="4" a="1"/>
  <c r="KE74" i="4" s="1"/>
  <c r="AB76" i="5" l="1"/>
  <c r="KD76" i="5" s="1"/>
  <c r="AA76" i="5"/>
  <c r="KC76" i="5" s="1"/>
  <c r="Z76" i="5" s="1" a="1"/>
  <c r="Z76" i="5" s="1"/>
  <c r="Y77" i="5" s="1" a="1"/>
  <c r="Y77" i="5" s="1"/>
  <c r="X78" i="5"/>
  <c r="KJ77" i="5"/>
  <c r="KK77" i="5" s="1"/>
  <c r="KI78" i="5" a="1"/>
  <c r="KI78" i="5" s="1"/>
  <c r="AA73" i="4"/>
  <c r="JY73" i="4" s="1"/>
  <c r="Z73" i="4" s="1" a="1"/>
  <c r="Z73" i="4" s="1"/>
  <c r="AB73" i="4"/>
  <c r="JZ73" i="4" s="1"/>
  <c r="KF74" i="4"/>
  <c r="KG74" i="4" s="1"/>
  <c r="KE75" i="4" a="1"/>
  <c r="KE75" i="4" s="1"/>
  <c r="AB70" i="4"/>
  <c r="AA70" i="4"/>
  <c r="Y74" i="4" a="1"/>
  <c r="Y74" i="4" s="1"/>
  <c r="X75" i="4"/>
  <c r="AB77" i="5" l="1"/>
  <c r="KD77" i="5" s="1"/>
  <c r="AA77" i="5"/>
  <c r="KC77" i="5" s="1"/>
  <c r="Z77" i="5" s="1" a="1"/>
  <c r="Z77" i="5" s="1"/>
  <c r="Y78" i="5" s="1" a="1"/>
  <c r="Y78" i="5" s="1"/>
  <c r="KJ78" i="5"/>
  <c r="KK78" i="5" s="1"/>
  <c r="KI79" i="5" a="1"/>
  <c r="KI79" i="5" s="1"/>
  <c r="X79" i="5"/>
  <c r="KF75" i="4"/>
  <c r="KG75" i="4" s="1"/>
  <c r="KE76" i="4" a="1"/>
  <c r="KE76" i="4" s="1"/>
  <c r="X76" i="4"/>
  <c r="JW70" i="4"/>
  <c r="JY70" i="4"/>
  <c r="JX70" i="4"/>
  <c r="KB70" i="4" s="1"/>
  <c r="JZ70" i="4"/>
  <c r="AB74" i="4"/>
  <c r="JZ74" i="4" s="1"/>
  <c r="AA74" i="4"/>
  <c r="JY74" i="4" s="1"/>
  <c r="Z74" i="4" s="1" a="1"/>
  <c r="Z74" i="4" s="1"/>
  <c r="Y75" i="4" s="1" a="1"/>
  <c r="Y75" i="4" s="1"/>
  <c r="AB78" i="5" l="1"/>
  <c r="KD78" i="5" s="1"/>
  <c r="AA78" i="5"/>
  <c r="KC78" i="5" s="1"/>
  <c r="Z78" i="5" s="1" a="1"/>
  <c r="Z78" i="5" s="1"/>
  <c r="Y79" i="5" s="1" a="1"/>
  <c r="Y79" i="5" s="1"/>
  <c r="KJ79" i="5"/>
  <c r="KK79" i="5" s="1"/>
  <c r="KI80" i="5" a="1"/>
  <c r="KI80" i="5" s="1"/>
  <c r="X80" i="5"/>
  <c r="AB75" i="4"/>
  <c r="JZ75" i="4" s="1"/>
  <c r="AA75" i="4"/>
  <c r="JY75" i="4" s="1"/>
  <c r="Z75" i="4" s="1" a="1"/>
  <c r="Z75" i="4" s="1"/>
  <c r="Y76" i="4" s="1" a="1"/>
  <c r="Y76" i="4" s="1"/>
  <c r="X77" i="4"/>
  <c r="Z70" i="4" a="1"/>
  <c r="Z70" i="4" s="1"/>
  <c r="KA70" i="4"/>
  <c r="KF76" i="4"/>
  <c r="KG76" i="4" s="1"/>
  <c r="KH76" i="4" s="1"/>
  <c r="KI76" i="4" s="1"/>
  <c r="KE77" i="4" a="1"/>
  <c r="KE77" i="4" s="1"/>
  <c r="AA79" i="5" l="1"/>
  <c r="KC79" i="5" s="1"/>
  <c r="Z79" i="5" s="1" a="1"/>
  <c r="Z79" i="5" s="1"/>
  <c r="Y80" i="5" s="1" a="1"/>
  <c r="Y80" i="5" s="1"/>
  <c r="AB79" i="5"/>
  <c r="KD79" i="5" s="1"/>
  <c r="X81" i="5"/>
  <c r="KJ80" i="5"/>
  <c r="KK80" i="5" s="1"/>
  <c r="KI81" i="5" a="1"/>
  <c r="KI81" i="5" s="1"/>
  <c r="AB76" i="4"/>
  <c r="JZ76" i="4" s="1"/>
  <c r="AA76" i="4"/>
  <c r="JY76" i="4" s="1"/>
  <c r="Z76" i="4" s="1" a="1"/>
  <c r="Z76" i="4" s="1"/>
  <c r="Y77" i="4" s="1" a="1"/>
  <c r="Y77" i="4" s="1"/>
  <c r="X78" i="4"/>
  <c r="KF77" i="4"/>
  <c r="KG77" i="4" s="1"/>
  <c r="KE78" i="4" a="1"/>
  <c r="KE78" i="4" s="1"/>
  <c r="AB80" i="5" l="1"/>
  <c r="KD80" i="5" s="1"/>
  <c r="AA80" i="5"/>
  <c r="KC80" i="5" s="1"/>
  <c r="Z80" i="5" s="1" a="1"/>
  <c r="Z80" i="5" s="1"/>
  <c r="Y81" i="5" s="1" a="1"/>
  <c r="Y81" i="5" s="1"/>
  <c r="X82" i="5"/>
  <c r="KJ81" i="5"/>
  <c r="KK81" i="5" s="1"/>
  <c r="KI82" i="5" a="1"/>
  <c r="KI82" i="5" s="1"/>
  <c r="AB77" i="4"/>
  <c r="JZ77" i="4" s="1"/>
  <c r="AA77" i="4"/>
  <c r="JY77" i="4" s="1"/>
  <c r="Z77" i="4" s="1" a="1"/>
  <c r="Z77" i="4" s="1"/>
  <c r="Y78" i="4" s="1" a="1"/>
  <c r="Y78" i="4" s="1"/>
  <c r="KF78" i="4"/>
  <c r="KG78" i="4" s="1"/>
  <c r="KE79" i="4" a="1"/>
  <c r="KE79" i="4" s="1"/>
  <c r="X79" i="4"/>
  <c r="AB81" i="5" l="1"/>
  <c r="KD81" i="5" s="1"/>
  <c r="AA81" i="5"/>
  <c r="KC81" i="5" s="1"/>
  <c r="Z81" i="5" s="1" a="1"/>
  <c r="Z81" i="5" s="1"/>
  <c r="KJ82" i="5"/>
  <c r="KK82" i="5" s="1"/>
  <c r="KI83" i="5" a="1"/>
  <c r="KI83" i="5" s="1"/>
  <c r="Y82" i="5" a="1"/>
  <c r="Y82" i="5" s="1"/>
  <c r="X83" i="5"/>
  <c r="AB78" i="4"/>
  <c r="JZ78" i="4" s="1"/>
  <c r="AA78" i="4"/>
  <c r="JY78" i="4" s="1"/>
  <c r="Z78" i="4" s="1" a="1"/>
  <c r="Z78" i="4" s="1"/>
  <c r="Y79" i="4" s="1" a="1"/>
  <c r="Y79" i="4" s="1"/>
  <c r="KF79" i="4"/>
  <c r="KG79" i="4" s="1"/>
  <c r="KE80" i="4" a="1"/>
  <c r="KE80" i="4" s="1"/>
  <c r="X80" i="4"/>
  <c r="X84" i="5" l="1"/>
  <c r="KJ83" i="5"/>
  <c r="KK83" i="5" s="1"/>
  <c r="KI84" i="5" a="1"/>
  <c r="KI84" i="5" s="1"/>
  <c r="AB82" i="5"/>
  <c r="KD82" i="5" s="1"/>
  <c r="AA82" i="5"/>
  <c r="KC82" i="5" s="1"/>
  <c r="Z82" i="5" s="1" a="1"/>
  <c r="Z82" i="5" s="1"/>
  <c r="Y83" i="5" s="1" a="1"/>
  <c r="Y83" i="5" s="1"/>
  <c r="AA79" i="4"/>
  <c r="JY79" i="4" s="1"/>
  <c r="Z79" i="4" s="1" a="1"/>
  <c r="Z79" i="4" s="1"/>
  <c r="Y80" i="4" s="1" a="1"/>
  <c r="Y80" i="4" s="1"/>
  <c r="AB79" i="4"/>
  <c r="JZ79" i="4" s="1"/>
  <c r="X81" i="4"/>
  <c r="KF80" i="4"/>
  <c r="KG80" i="4" s="1"/>
  <c r="KE81" i="4" a="1"/>
  <c r="KE81" i="4" s="1"/>
  <c r="AB83" i="5" l="1"/>
  <c r="KD83" i="5" s="1"/>
  <c r="AA83" i="5"/>
  <c r="KC83" i="5" s="1"/>
  <c r="Z83" i="5" s="1" a="1"/>
  <c r="Z83" i="5" s="1"/>
  <c r="Y84" i="5" s="1" a="1"/>
  <c r="Y84" i="5" s="1"/>
  <c r="KJ84" i="5"/>
  <c r="KK84" i="5" s="1"/>
  <c r="KI85" i="5" a="1"/>
  <c r="KI85" i="5" s="1"/>
  <c r="X85" i="5"/>
  <c r="AB80" i="4"/>
  <c r="JZ80" i="4" s="1"/>
  <c r="AA80" i="4"/>
  <c r="JY80" i="4" s="1"/>
  <c r="Z80" i="4" s="1" a="1"/>
  <c r="Z80" i="4" s="1"/>
  <c r="Y81" i="4" s="1" a="1"/>
  <c r="Y81" i="4" s="1"/>
  <c r="X82" i="4"/>
  <c r="KF81" i="4"/>
  <c r="KG81" i="4" s="1"/>
  <c r="KE82" i="4" a="1"/>
  <c r="KE82" i="4" s="1"/>
  <c r="AB84" i="5" l="1"/>
  <c r="KD84" i="5" s="1"/>
  <c r="AA84" i="5"/>
  <c r="KC84" i="5" s="1"/>
  <c r="Z84" i="5" s="1" a="1"/>
  <c r="Z84" i="5" s="1"/>
  <c r="Y85" i="5" s="1" a="1"/>
  <c r="Y85" i="5" s="1"/>
  <c r="X86" i="5"/>
  <c r="KJ85" i="5"/>
  <c r="KK85" i="5" s="1"/>
  <c r="KI86" i="5" a="1"/>
  <c r="KI86" i="5" s="1"/>
  <c r="AB81" i="4"/>
  <c r="JZ81" i="4" s="1"/>
  <c r="AA81" i="4"/>
  <c r="JY81" i="4" s="1"/>
  <c r="Z81" i="4" s="1" a="1"/>
  <c r="Z81" i="4" s="1"/>
  <c r="KF82" i="4"/>
  <c r="KG82" i="4" s="1"/>
  <c r="KE83" i="4" a="1"/>
  <c r="KE83" i="4" s="1"/>
  <c r="X83" i="4"/>
  <c r="Y82" i="4" a="1"/>
  <c r="Y82" i="4" s="1"/>
  <c r="AA85" i="5" l="1"/>
  <c r="KC85" i="5" s="1"/>
  <c r="Z85" i="5" s="1" a="1"/>
  <c r="Z85" i="5" s="1"/>
  <c r="Y86" i="5" s="1" a="1"/>
  <c r="Y86" i="5" s="1"/>
  <c r="AB85" i="5"/>
  <c r="KD85" i="5" s="1"/>
  <c r="KJ86" i="5"/>
  <c r="KK86" i="5" s="1"/>
  <c r="KI87" i="5" a="1"/>
  <c r="KI87" i="5" s="1"/>
  <c r="X87" i="5"/>
  <c r="AA82" i="4"/>
  <c r="JY82" i="4" s="1"/>
  <c r="Z82" i="4" s="1" a="1"/>
  <c r="Z82" i="4" s="1"/>
  <c r="Y83" i="4" s="1" a="1"/>
  <c r="Y83" i="4" s="1"/>
  <c r="AB82" i="4"/>
  <c r="JZ82" i="4" s="1"/>
  <c r="KF83" i="4"/>
  <c r="KG83" i="4" s="1"/>
  <c r="KE84" i="4" a="1"/>
  <c r="KE84" i="4" s="1"/>
  <c r="X84" i="4"/>
  <c r="AA86" i="5" l="1"/>
  <c r="KC86" i="5" s="1"/>
  <c r="Z86" i="5" s="1" a="1"/>
  <c r="Z86" i="5" s="1"/>
  <c r="Y87" i="5" s="1" a="1"/>
  <c r="Y87" i="5" s="1"/>
  <c r="AB86" i="5"/>
  <c r="KD86" i="5" s="1"/>
  <c r="X88" i="5"/>
  <c r="KJ87" i="5"/>
  <c r="KK87" i="5" s="1"/>
  <c r="KI88" i="5" a="1"/>
  <c r="KI88" i="5" s="1"/>
  <c r="AB83" i="4"/>
  <c r="JZ83" i="4" s="1"/>
  <c r="AA83" i="4"/>
  <c r="JY83" i="4" s="1"/>
  <c r="Z83" i="4" s="1" a="1"/>
  <c r="Z83" i="4" s="1"/>
  <c r="Y84" i="4" s="1" a="1"/>
  <c r="Y84" i="4" s="1"/>
  <c r="X85" i="4"/>
  <c r="KF84" i="4"/>
  <c r="KG84" i="4" s="1"/>
  <c r="KE85" i="4" a="1"/>
  <c r="KE85" i="4" s="1"/>
  <c r="AB87" i="5" l="1"/>
  <c r="KD87" i="5" s="1"/>
  <c r="AA87" i="5"/>
  <c r="KC87" i="5" s="1"/>
  <c r="Z87" i="5" s="1" a="1"/>
  <c r="Z87" i="5" s="1"/>
  <c r="Y88" i="5" s="1" a="1"/>
  <c r="Y88" i="5" s="1"/>
  <c r="KJ88" i="5"/>
  <c r="KK88" i="5" s="1"/>
  <c r="KI89" i="5" a="1"/>
  <c r="KI89" i="5" s="1"/>
  <c r="X89" i="5"/>
  <c r="AB84" i="4"/>
  <c r="JZ84" i="4" s="1"/>
  <c r="AA84" i="4"/>
  <c r="JY84" i="4" s="1"/>
  <c r="Z84" i="4" s="1" a="1"/>
  <c r="Z84" i="4" s="1"/>
  <c r="Y85" i="4" s="1" a="1"/>
  <c r="Y85" i="4" s="1"/>
  <c r="KF85" i="4"/>
  <c r="KG85" i="4" s="1"/>
  <c r="KE86" i="4" a="1"/>
  <c r="KE86" i="4" s="1"/>
  <c r="X86" i="4"/>
  <c r="AB88" i="5" l="1"/>
  <c r="KD88" i="5" s="1"/>
  <c r="AA88" i="5"/>
  <c r="KC88" i="5" s="1"/>
  <c r="Z88" i="5" s="1" a="1"/>
  <c r="Z88" i="5" s="1"/>
  <c r="Y89" i="5" s="1" a="1"/>
  <c r="Y89" i="5" s="1"/>
  <c r="X90" i="5"/>
  <c r="KJ89" i="5"/>
  <c r="KK89" i="5" s="1"/>
  <c r="KL89" i="5" s="1"/>
  <c r="KM89" i="5" s="1"/>
  <c r="KI90" i="5" a="1"/>
  <c r="KI90" i="5" s="1"/>
  <c r="AB85" i="4"/>
  <c r="JZ85" i="4" s="1"/>
  <c r="AA85" i="4"/>
  <c r="JY85" i="4" s="1"/>
  <c r="Z85" i="4" s="1" a="1"/>
  <c r="Z85" i="4" s="1"/>
  <c r="Y86" i="4" s="1" a="1"/>
  <c r="Y86" i="4" s="1"/>
  <c r="X87" i="4"/>
  <c r="KF86" i="4"/>
  <c r="KG86" i="4" s="1"/>
  <c r="KE87" i="4" a="1"/>
  <c r="KE87" i="4" s="1"/>
  <c r="AB89" i="5" l="1"/>
  <c r="KD89" i="5" s="1"/>
  <c r="AA89" i="5"/>
  <c r="KC89" i="5" s="1"/>
  <c r="Z89" i="5" s="1" a="1"/>
  <c r="Z89" i="5" s="1"/>
  <c r="KJ90" i="5"/>
  <c r="KK90" i="5" s="1"/>
  <c r="KI91" i="5" a="1"/>
  <c r="KI91" i="5" s="1"/>
  <c r="X91" i="5"/>
  <c r="Y90" i="5" a="1"/>
  <c r="Y90" i="5" s="1"/>
  <c r="AB86" i="4"/>
  <c r="JZ86" i="4" s="1"/>
  <c r="AA86" i="4"/>
  <c r="JY86" i="4" s="1"/>
  <c r="Z86" i="4" s="1" a="1"/>
  <c r="Z86" i="4" s="1"/>
  <c r="Y87" i="4" s="1" a="1"/>
  <c r="Y87" i="4" s="1"/>
  <c r="KF87" i="4"/>
  <c r="KG87" i="4" s="1"/>
  <c r="KE88" i="4" a="1"/>
  <c r="KE88" i="4" s="1"/>
  <c r="X88" i="4"/>
  <c r="X92" i="5" l="1"/>
  <c r="KJ91" i="5"/>
  <c r="KK91" i="5" s="1"/>
  <c r="KI92" i="5" a="1"/>
  <c r="KI92" i="5" s="1"/>
  <c r="AB90" i="5"/>
  <c r="KD90" i="5" s="1"/>
  <c r="AA90" i="5"/>
  <c r="KC90" i="5" s="1"/>
  <c r="Z90" i="5" s="1" a="1"/>
  <c r="Z90" i="5" s="1"/>
  <c r="Y91" i="5" s="1" a="1"/>
  <c r="Y91" i="5" s="1"/>
  <c r="AB87" i="4"/>
  <c r="JZ87" i="4" s="1"/>
  <c r="AA87" i="4"/>
  <c r="JY87" i="4" s="1"/>
  <c r="Z87" i="4" s="1" a="1"/>
  <c r="Z87" i="4" s="1"/>
  <c r="Y88" i="4" s="1" a="1"/>
  <c r="Y88" i="4" s="1"/>
  <c r="KF88" i="4"/>
  <c r="KG88" i="4" s="1"/>
  <c r="KE89" i="4" a="1"/>
  <c r="KE89" i="4" s="1"/>
  <c r="X89" i="4"/>
  <c r="AB91" i="5" l="1"/>
  <c r="KD91" i="5" s="1"/>
  <c r="AA91" i="5"/>
  <c r="KC91" i="5" s="1"/>
  <c r="Z91" i="5" s="1" a="1"/>
  <c r="Z91" i="5" s="1"/>
  <c r="Y92" i="5" s="1" a="1"/>
  <c r="Y92" i="5" s="1"/>
  <c r="KJ92" i="5"/>
  <c r="KK92" i="5" s="1"/>
  <c r="KI93" i="5" a="1"/>
  <c r="KI93" i="5" s="1"/>
  <c r="X93" i="5"/>
  <c r="AA88" i="4"/>
  <c r="JY88" i="4" s="1"/>
  <c r="Z88" i="4" s="1" a="1"/>
  <c r="Z88" i="4" s="1"/>
  <c r="Y89" i="4" s="1" a="1"/>
  <c r="Y89" i="4" s="1"/>
  <c r="AB88" i="4"/>
  <c r="JZ88" i="4" s="1"/>
  <c r="KF89" i="4"/>
  <c r="KG89" i="4" s="1"/>
  <c r="KH89" i="4" s="1"/>
  <c r="KI89" i="4" s="1"/>
  <c r="KE90" i="4" a="1"/>
  <c r="KE90" i="4" s="1"/>
  <c r="X90" i="4"/>
  <c r="AB92" i="5" l="1"/>
  <c r="KD92" i="5" s="1"/>
  <c r="AA92" i="5"/>
  <c r="KC92" i="5" s="1"/>
  <c r="Z92" i="5" s="1" a="1"/>
  <c r="Z92" i="5" s="1"/>
  <c r="Y93" i="5" s="1" a="1"/>
  <c r="Y93" i="5" s="1"/>
  <c r="X94" i="5"/>
  <c r="KJ93" i="5"/>
  <c r="KK93" i="5" s="1"/>
  <c r="KI94" i="5" a="1"/>
  <c r="KI94" i="5" s="1"/>
  <c r="AA89" i="4"/>
  <c r="JY89" i="4" s="1"/>
  <c r="Z89" i="4" s="1" a="1"/>
  <c r="Z89" i="4" s="1"/>
  <c r="AB89" i="4"/>
  <c r="JZ89" i="4" s="1"/>
  <c r="Y90" i="4" a="1"/>
  <c r="Y90" i="4" s="1"/>
  <c r="X91" i="4"/>
  <c r="KF90" i="4"/>
  <c r="KG90" i="4" s="1"/>
  <c r="KE91" i="4" a="1"/>
  <c r="KE91" i="4" s="1"/>
  <c r="AB93" i="5" l="1"/>
  <c r="KD93" i="5" s="1"/>
  <c r="AA93" i="5"/>
  <c r="KC93" i="5" s="1"/>
  <c r="Z93" i="5" s="1" a="1"/>
  <c r="Z93" i="5" s="1"/>
  <c r="Y94" i="5" s="1" a="1"/>
  <c r="Y94" i="5" s="1"/>
  <c r="KJ94" i="5"/>
  <c r="KK94" i="5" s="1"/>
  <c r="KI95" i="5" a="1"/>
  <c r="KI95" i="5" s="1"/>
  <c r="X95" i="5"/>
  <c r="KF91" i="4"/>
  <c r="KG91" i="4" s="1"/>
  <c r="KE92" i="4" a="1"/>
  <c r="KE92" i="4" s="1"/>
  <c r="AB90" i="4"/>
  <c r="JZ90" i="4" s="1"/>
  <c r="AA90" i="4"/>
  <c r="JY90" i="4" s="1"/>
  <c r="Z90" i="4" s="1" a="1"/>
  <c r="Z90" i="4" s="1"/>
  <c r="Y91" i="4" s="1" a="1"/>
  <c r="Y91" i="4" s="1"/>
  <c r="X92" i="4"/>
  <c r="AB94" i="5" l="1"/>
  <c r="KD94" i="5" s="1"/>
  <c r="AA94" i="5"/>
  <c r="KC94" i="5" s="1"/>
  <c r="Z94" i="5" s="1" a="1"/>
  <c r="Z94" i="5" s="1"/>
  <c r="Y95" i="5" s="1" a="1"/>
  <c r="Y95" i="5" s="1"/>
  <c r="X96" i="5"/>
  <c r="KJ95" i="5"/>
  <c r="KK95" i="5" s="1"/>
  <c r="KI96" i="5" a="1"/>
  <c r="KI96" i="5" s="1"/>
  <c r="AB91" i="4"/>
  <c r="JZ91" i="4" s="1"/>
  <c r="AA91" i="4"/>
  <c r="JY91" i="4" s="1"/>
  <c r="Z91" i="4" s="1" a="1"/>
  <c r="Z91" i="4" s="1"/>
  <c r="Y92" i="4" s="1" a="1"/>
  <c r="Y92" i="4" s="1"/>
  <c r="X93" i="4"/>
  <c r="KF92" i="4"/>
  <c r="KG92" i="4" s="1"/>
  <c r="KE93" i="4" a="1"/>
  <c r="KE93" i="4" s="1"/>
  <c r="AB95" i="5" l="1"/>
  <c r="KD95" i="5" s="1"/>
  <c r="AA95" i="5"/>
  <c r="KC95" i="5" s="1"/>
  <c r="Z95" i="5" s="1" a="1"/>
  <c r="Z95" i="5" s="1"/>
  <c r="Y96" i="5" s="1" a="1"/>
  <c r="Y96" i="5" s="1"/>
  <c r="KJ96" i="5"/>
  <c r="KK96" i="5" s="1"/>
  <c r="KI97" i="5" a="1"/>
  <c r="KI97" i="5" s="1"/>
  <c r="X97" i="5"/>
  <c r="AA92" i="4"/>
  <c r="JY92" i="4" s="1"/>
  <c r="Z92" i="4" s="1" a="1"/>
  <c r="Z92" i="4" s="1"/>
  <c r="Y93" i="4" s="1" a="1"/>
  <c r="Y93" i="4" s="1"/>
  <c r="AB92" i="4"/>
  <c r="JZ92" i="4" s="1"/>
  <c r="KF93" i="4"/>
  <c r="KG93" i="4" s="1"/>
  <c r="KE94" i="4" a="1"/>
  <c r="KE94" i="4" s="1"/>
  <c r="X94" i="4"/>
  <c r="AB96" i="5" l="1"/>
  <c r="KD96" i="5" s="1"/>
  <c r="AA96" i="5"/>
  <c r="KC96" i="5" s="1"/>
  <c r="Z96" i="5" s="1" a="1"/>
  <c r="Z96" i="5" s="1"/>
  <c r="Y97" i="5" s="1" a="1"/>
  <c r="Y97" i="5" s="1"/>
  <c r="X98" i="5"/>
  <c r="KJ97" i="5"/>
  <c r="KK97" i="5" s="1"/>
  <c r="KI98" i="5" a="1"/>
  <c r="KI98" i="5" s="1"/>
  <c r="AB93" i="4"/>
  <c r="JZ93" i="4" s="1"/>
  <c r="AA93" i="4"/>
  <c r="JY93" i="4" s="1"/>
  <c r="Z93" i="4" s="1" a="1"/>
  <c r="Z93" i="4" s="1"/>
  <c r="Y94" i="4" s="1" a="1"/>
  <c r="Y94" i="4" s="1"/>
  <c r="KF94" i="4"/>
  <c r="KG94" i="4" s="1"/>
  <c r="KE95" i="4" a="1"/>
  <c r="KE95" i="4" s="1"/>
  <c r="X95" i="4"/>
  <c r="AA97" i="5" l="1"/>
  <c r="KC97" i="5" s="1"/>
  <c r="Z97" i="5" s="1" a="1"/>
  <c r="Z97" i="5" s="1"/>
  <c r="AB97" i="5"/>
  <c r="KD97" i="5" s="1"/>
  <c r="KJ98" i="5"/>
  <c r="KK98" i="5" s="1"/>
  <c r="KI99" i="5" a="1"/>
  <c r="KI99" i="5" s="1"/>
  <c r="Y98" i="5" a="1"/>
  <c r="Y98" i="5" s="1"/>
  <c r="X99" i="5"/>
  <c r="AB94" i="4"/>
  <c r="JZ94" i="4" s="1"/>
  <c r="AA94" i="4"/>
  <c r="JY94" i="4" s="1"/>
  <c r="Z94" i="4" s="1" a="1"/>
  <c r="Z94" i="4" s="1"/>
  <c r="Y95" i="4" s="1" a="1"/>
  <c r="Y95" i="4" s="1"/>
  <c r="KF95" i="4"/>
  <c r="KG95" i="4" s="1"/>
  <c r="KE96" i="4" a="1"/>
  <c r="KE96" i="4" s="1"/>
  <c r="X96" i="4"/>
  <c r="X100" i="5" l="1"/>
  <c r="AB98" i="5"/>
  <c r="KD98" i="5" s="1"/>
  <c r="AA98" i="5"/>
  <c r="KC98" i="5" s="1"/>
  <c r="Z98" i="5" s="1" a="1"/>
  <c r="Z98" i="5" s="1"/>
  <c r="Y99" i="5" s="1" a="1"/>
  <c r="Y99" i="5" s="1"/>
  <c r="KJ99" i="5"/>
  <c r="KK99" i="5" s="1"/>
  <c r="KI100" i="5" a="1"/>
  <c r="KI100" i="5" s="1"/>
  <c r="AB95" i="4"/>
  <c r="JZ95" i="4" s="1"/>
  <c r="AA95" i="4"/>
  <c r="JY95" i="4" s="1"/>
  <c r="Z95" i="4" s="1" a="1"/>
  <c r="Z95" i="4" s="1"/>
  <c r="Y96" i="4" s="1" a="1"/>
  <c r="Y96" i="4" s="1"/>
  <c r="KF96" i="4"/>
  <c r="KG96" i="4" s="1"/>
  <c r="KE97" i="4" a="1"/>
  <c r="KE97" i="4" s="1"/>
  <c r="X97" i="4"/>
  <c r="AA99" i="5" l="1"/>
  <c r="KC99" i="5" s="1"/>
  <c r="Z99" i="5" s="1" a="1"/>
  <c r="Z99" i="5" s="1"/>
  <c r="Y100" i="5" s="1" a="1"/>
  <c r="Y100" i="5" s="1"/>
  <c r="AB99" i="5"/>
  <c r="KD99" i="5" s="1"/>
  <c r="KJ100" i="5"/>
  <c r="KK100" i="5" s="1"/>
  <c r="KI101" i="5" a="1"/>
  <c r="KI101" i="5" s="1"/>
  <c r="X101" i="5"/>
  <c r="AB96" i="4"/>
  <c r="JZ96" i="4" s="1"/>
  <c r="AA96" i="4"/>
  <c r="JY96" i="4" s="1"/>
  <c r="Z96" i="4" s="1" a="1"/>
  <c r="Z96" i="4" s="1"/>
  <c r="Y97" i="4" s="1" a="1"/>
  <c r="Y97" i="4" s="1"/>
  <c r="X98" i="4"/>
  <c r="KF97" i="4"/>
  <c r="KG97" i="4" s="1"/>
  <c r="KE98" i="4" a="1"/>
  <c r="KE98" i="4" s="1"/>
  <c r="AB100" i="5" l="1"/>
  <c r="KD100" i="5" s="1"/>
  <c r="AA100" i="5"/>
  <c r="KC100" i="5" s="1"/>
  <c r="Z100" i="5" s="1" a="1"/>
  <c r="Z100" i="5" s="1"/>
  <c r="Y101" i="5" s="1" a="1"/>
  <c r="Y101" i="5" s="1"/>
  <c r="X102" i="5"/>
  <c r="KJ101" i="5"/>
  <c r="KK101" i="5" s="1"/>
  <c r="KI102" i="5" a="1"/>
  <c r="KI102" i="5" s="1"/>
  <c r="AB97" i="4"/>
  <c r="JZ97" i="4" s="1"/>
  <c r="AA97" i="4"/>
  <c r="JY97" i="4" s="1"/>
  <c r="Z97" i="4" s="1" a="1"/>
  <c r="Z97" i="4" s="1"/>
  <c r="X99" i="4"/>
  <c r="Y98" i="4" a="1"/>
  <c r="Y98" i="4" s="1"/>
  <c r="KF98" i="4"/>
  <c r="KG98" i="4" s="1"/>
  <c r="KE99" i="4" a="1"/>
  <c r="KE99" i="4" s="1"/>
  <c r="AB101" i="5" l="1"/>
  <c r="KD101" i="5" s="1"/>
  <c r="AA101" i="5"/>
  <c r="KC101" i="5" s="1"/>
  <c r="Z101" i="5" s="1" a="1"/>
  <c r="Z101" i="5" s="1"/>
  <c r="Y102" i="5" s="1" a="1"/>
  <c r="Y102" i="5" s="1"/>
  <c r="KJ102" i="5"/>
  <c r="KK102" i="5" s="1"/>
  <c r="KI103" i="5" a="1"/>
  <c r="KI103" i="5" s="1"/>
  <c r="X103" i="5"/>
  <c r="KF99" i="4"/>
  <c r="KG99" i="4" s="1"/>
  <c r="KE100" i="4" a="1"/>
  <c r="KE100" i="4" s="1"/>
  <c r="AB98" i="4"/>
  <c r="JZ98" i="4" s="1"/>
  <c r="AA98" i="4"/>
  <c r="JY98" i="4" s="1"/>
  <c r="Z98" i="4" s="1" a="1"/>
  <c r="Z98" i="4" s="1"/>
  <c r="Y99" i="4" s="1" a="1"/>
  <c r="Y99" i="4" s="1"/>
  <c r="X100" i="4"/>
  <c r="AB102" i="5" l="1"/>
  <c r="KD102" i="5" s="1"/>
  <c r="AA102" i="5"/>
  <c r="KC102" i="5" s="1"/>
  <c r="Z102" i="5" s="1" a="1"/>
  <c r="Z102" i="5" s="1"/>
  <c r="Y103" i="5" s="1" a="1"/>
  <c r="Y103" i="5" s="1"/>
  <c r="X104" i="5"/>
  <c r="KJ103" i="5"/>
  <c r="KK103" i="5" s="1"/>
  <c r="KI104" i="5" a="1"/>
  <c r="KI104" i="5" s="1"/>
  <c r="AB99" i="4"/>
  <c r="JZ99" i="4" s="1"/>
  <c r="AA99" i="4"/>
  <c r="JY99" i="4" s="1"/>
  <c r="Z99" i="4" s="1" a="1"/>
  <c r="Z99" i="4" s="1"/>
  <c r="Y100" i="4" s="1" a="1"/>
  <c r="Y100" i="4" s="1"/>
  <c r="X101" i="4"/>
  <c r="KF100" i="4"/>
  <c r="KG100" i="4" s="1"/>
  <c r="KE101" i="4" a="1"/>
  <c r="KE101" i="4" s="1"/>
  <c r="AB103" i="5" l="1"/>
  <c r="KD103" i="5" s="1"/>
  <c r="AA103" i="5"/>
  <c r="KC103" i="5" s="1"/>
  <c r="Z103" i="5" s="1" a="1"/>
  <c r="Z103" i="5" s="1"/>
  <c r="Y104" i="5" s="1" a="1"/>
  <c r="Y104" i="5" s="1"/>
  <c r="KJ104" i="5"/>
  <c r="KK104" i="5" s="1"/>
  <c r="KI105" i="5" a="1"/>
  <c r="KI105" i="5" s="1"/>
  <c r="X105" i="5"/>
  <c r="AB100" i="4"/>
  <c r="JZ100" i="4" s="1"/>
  <c r="AA100" i="4"/>
  <c r="JY100" i="4" s="1"/>
  <c r="Z100" i="4" s="1" a="1"/>
  <c r="Z100" i="4" s="1"/>
  <c r="Y101" i="4" s="1" a="1"/>
  <c r="Y101" i="4" s="1"/>
  <c r="KF101" i="4"/>
  <c r="KG101" i="4" s="1"/>
  <c r="KE102" i="4" a="1"/>
  <c r="KE102" i="4" s="1"/>
  <c r="X102" i="4"/>
  <c r="AB104" i="5" l="1"/>
  <c r="KD104" i="5" s="1"/>
  <c r="AA104" i="5"/>
  <c r="KC104" i="5" s="1"/>
  <c r="Z104" i="5" s="1" a="1"/>
  <c r="Z104" i="5" s="1"/>
  <c r="Y105" i="5" s="1" a="1"/>
  <c r="Y105" i="5" s="1"/>
  <c r="X106" i="5"/>
  <c r="KJ105" i="5"/>
  <c r="KK105" i="5" s="1"/>
  <c r="KI106" i="5" a="1"/>
  <c r="KI106" i="5" s="1"/>
  <c r="AB101" i="4"/>
  <c r="JZ101" i="4" s="1"/>
  <c r="AA101" i="4"/>
  <c r="JY101" i="4" s="1"/>
  <c r="Z101" i="4" s="1" a="1"/>
  <c r="Z101" i="4" s="1"/>
  <c r="Y102" i="4" s="1" a="1"/>
  <c r="Y102" i="4" s="1"/>
  <c r="X103" i="4"/>
  <c r="KF102" i="4"/>
  <c r="KG102" i="4" s="1"/>
  <c r="KE103" i="4" a="1"/>
  <c r="KE103" i="4" s="1"/>
  <c r="AB105" i="5" l="1"/>
  <c r="KD105" i="5" s="1"/>
  <c r="AA105" i="5"/>
  <c r="KC105" i="5" s="1"/>
  <c r="Z105" i="5" s="1" a="1"/>
  <c r="Z105" i="5" s="1"/>
  <c r="KJ106" i="5"/>
  <c r="KK106" i="5" s="1"/>
  <c r="KI107" i="5" a="1"/>
  <c r="KI107" i="5" s="1"/>
  <c r="Y106" i="5" a="1"/>
  <c r="Y106" i="5" s="1"/>
  <c r="X107" i="5"/>
  <c r="AB102" i="4"/>
  <c r="JZ102" i="4" s="1"/>
  <c r="AA102" i="4"/>
  <c r="JY102" i="4" s="1"/>
  <c r="Z102" i="4" s="1" a="1"/>
  <c r="Z102" i="4" s="1"/>
  <c r="Y103" i="4" s="1" a="1"/>
  <c r="Y103" i="4" s="1"/>
  <c r="KF103" i="4"/>
  <c r="KG103" i="4" s="1"/>
  <c r="KE104" i="4" a="1"/>
  <c r="KE104" i="4" s="1"/>
  <c r="X104" i="4"/>
  <c r="X108" i="5" l="1"/>
  <c r="AB106" i="5"/>
  <c r="KD106" i="5" s="1"/>
  <c r="AA106" i="5"/>
  <c r="KC106" i="5" s="1"/>
  <c r="Z106" i="5" s="1" a="1"/>
  <c r="Z106" i="5" s="1"/>
  <c r="Y107" i="5" s="1" a="1"/>
  <c r="Y107" i="5" s="1"/>
  <c r="KJ107" i="5"/>
  <c r="KK107" i="5" s="1"/>
  <c r="KI108" i="5" a="1"/>
  <c r="KI108" i="5" s="1"/>
  <c r="AB103" i="4"/>
  <c r="JZ103" i="4" s="1"/>
  <c r="AA103" i="4"/>
  <c r="JY103" i="4" s="1"/>
  <c r="Z103" i="4" s="1" a="1"/>
  <c r="Z103" i="4" s="1"/>
  <c r="Y104" i="4" s="1" a="1"/>
  <c r="Y104" i="4" s="1"/>
  <c r="X105" i="4"/>
  <c r="KF104" i="4"/>
  <c r="KG104" i="4" s="1"/>
  <c r="KE105" i="4" a="1"/>
  <c r="KE105" i="4" s="1"/>
  <c r="AA107" i="5" l="1"/>
  <c r="KC107" i="5" s="1"/>
  <c r="Z107" i="5" s="1" a="1"/>
  <c r="Z107" i="5" s="1"/>
  <c r="Y108" i="5" s="1" a="1"/>
  <c r="Y108" i="5" s="1"/>
  <c r="AB107" i="5"/>
  <c r="KD107" i="5" s="1"/>
  <c r="KJ108" i="5"/>
  <c r="KK108" i="5" s="1"/>
  <c r="KI109" i="5" a="1"/>
  <c r="KI109" i="5" s="1"/>
  <c r="X109" i="5"/>
  <c r="AB104" i="4"/>
  <c r="JZ104" i="4" s="1"/>
  <c r="AA104" i="4"/>
  <c r="JY104" i="4" s="1"/>
  <c r="Z104" i="4" s="1" a="1"/>
  <c r="Z104" i="4" s="1"/>
  <c r="Y105" i="4" s="1" a="1"/>
  <c r="Y105" i="4" s="1"/>
  <c r="X106" i="4"/>
  <c r="KF105" i="4"/>
  <c r="KG105" i="4" s="1"/>
  <c r="KE106" i="4" a="1"/>
  <c r="KE106" i="4" s="1"/>
  <c r="AB108" i="5" l="1"/>
  <c r="KD108" i="5" s="1"/>
  <c r="AA108" i="5"/>
  <c r="KC108" i="5" s="1"/>
  <c r="Z108" i="5" s="1" a="1"/>
  <c r="Z108" i="5" s="1"/>
  <c r="Y109" i="5" s="1" a="1"/>
  <c r="Y109" i="5" s="1"/>
  <c r="X110" i="5"/>
  <c r="KJ109" i="5"/>
  <c r="KK109" i="5" s="1"/>
  <c r="KI110" i="5" a="1"/>
  <c r="KI110" i="5" s="1"/>
  <c r="AB105" i="4"/>
  <c r="JZ105" i="4" s="1"/>
  <c r="AA105" i="4"/>
  <c r="JY105" i="4" s="1"/>
  <c r="Z105" i="4" s="1" a="1"/>
  <c r="Z105" i="4" s="1"/>
  <c r="KF106" i="4"/>
  <c r="KG106" i="4" s="1"/>
  <c r="KE107" i="4" a="1"/>
  <c r="KE107" i="4" s="1"/>
  <c r="X107" i="4"/>
  <c r="Y106" i="4" a="1"/>
  <c r="Y106" i="4" s="1"/>
  <c r="AB109" i="5" l="1"/>
  <c r="KD109" i="5" s="1"/>
  <c r="AA109" i="5"/>
  <c r="KC109" i="5" s="1"/>
  <c r="Z109" i="5" s="1" a="1"/>
  <c r="Z109" i="5" s="1"/>
  <c r="Y110" i="5" s="1" a="1"/>
  <c r="Y110" i="5" s="1"/>
  <c r="KJ110" i="5"/>
  <c r="KK110" i="5" s="1"/>
  <c r="KI111" i="5" a="1"/>
  <c r="KI111" i="5" s="1"/>
  <c r="X111" i="5"/>
  <c r="AA106" i="4"/>
  <c r="JY106" i="4" s="1"/>
  <c r="Z106" i="4" s="1" a="1"/>
  <c r="Z106" i="4" s="1"/>
  <c r="Y107" i="4" s="1" a="1"/>
  <c r="Y107" i="4" s="1"/>
  <c r="AB106" i="4"/>
  <c r="JZ106" i="4" s="1"/>
  <c r="X108" i="4"/>
  <c r="KF107" i="4"/>
  <c r="KG107" i="4" s="1"/>
  <c r="KE108" i="4" a="1"/>
  <c r="KE108" i="4" s="1"/>
  <c r="AA110" i="5" l="1"/>
  <c r="KC110" i="5" s="1"/>
  <c r="Z110" i="5" s="1" a="1"/>
  <c r="Z110" i="5" s="1"/>
  <c r="Y111" i="5" s="1" a="1"/>
  <c r="Y111" i="5" s="1"/>
  <c r="AB110" i="5"/>
  <c r="KD110" i="5" s="1"/>
  <c r="X112" i="5"/>
  <c r="KJ111" i="5"/>
  <c r="KK111" i="5" s="1"/>
  <c r="KI112" i="5" a="1"/>
  <c r="KI112" i="5" s="1"/>
  <c r="AA107" i="4"/>
  <c r="JY107" i="4" s="1"/>
  <c r="Z107" i="4" s="1" a="1"/>
  <c r="Z107" i="4" s="1"/>
  <c r="Y108" i="4" s="1" a="1"/>
  <c r="Y108" i="4" s="1"/>
  <c r="AB107" i="4"/>
  <c r="JZ107" i="4" s="1"/>
  <c r="KF108" i="4"/>
  <c r="KG108" i="4" s="1"/>
  <c r="KE109" i="4" a="1"/>
  <c r="KE109" i="4" s="1"/>
  <c r="X109" i="4"/>
  <c r="AB111" i="5" l="1"/>
  <c r="KD111" i="5" s="1"/>
  <c r="AA111" i="5"/>
  <c r="KC111" i="5" s="1"/>
  <c r="Z111" i="5" s="1" a="1"/>
  <c r="Z111" i="5" s="1"/>
  <c r="Y112" i="5" s="1" a="1"/>
  <c r="Y112" i="5" s="1"/>
  <c r="KJ112" i="5"/>
  <c r="KK112" i="5" s="1"/>
  <c r="KI113" i="5" a="1"/>
  <c r="KI113" i="5" s="1"/>
  <c r="X113" i="5"/>
  <c r="AA108" i="4"/>
  <c r="JY108" i="4" s="1"/>
  <c r="Z108" i="4" s="1" a="1"/>
  <c r="Z108" i="4" s="1"/>
  <c r="Y109" i="4" s="1" a="1"/>
  <c r="Y109" i="4" s="1"/>
  <c r="AB108" i="4"/>
  <c r="JZ108" i="4" s="1"/>
  <c r="X110" i="4"/>
  <c r="KF109" i="4"/>
  <c r="KG109" i="4" s="1"/>
  <c r="KE110" i="4" a="1"/>
  <c r="KE110" i="4" s="1"/>
  <c r="AB112" i="5" l="1"/>
  <c r="KD112" i="5" s="1"/>
  <c r="AA112" i="5"/>
  <c r="KC112" i="5" s="1"/>
  <c r="Z112" i="5" s="1" a="1"/>
  <c r="Z112" i="5" s="1"/>
  <c r="Y113" i="5" s="1" a="1"/>
  <c r="Y113" i="5" s="1"/>
  <c r="X114" i="5"/>
  <c r="KJ113" i="5"/>
  <c r="KK113" i="5" s="1"/>
  <c r="KI114" i="5" a="1"/>
  <c r="KI114" i="5" s="1"/>
  <c r="AB109" i="4"/>
  <c r="JZ109" i="4" s="1"/>
  <c r="AA109" i="4"/>
  <c r="JY109" i="4" s="1"/>
  <c r="Z109" i="4" s="1" a="1"/>
  <c r="Z109" i="4" s="1"/>
  <c r="Y110" i="4" s="1" a="1"/>
  <c r="Y110" i="4" s="1"/>
  <c r="KF110" i="4"/>
  <c r="KG110" i="4" s="1"/>
  <c r="KE111" i="4" a="1"/>
  <c r="KE111" i="4" s="1"/>
  <c r="X111" i="4"/>
  <c r="AB113" i="5" l="1"/>
  <c r="KD113" i="5" s="1"/>
  <c r="AA113" i="5"/>
  <c r="KC113" i="5" s="1"/>
  <c r="Z113" i="5" s="1" a="1"/>
  <c r="Z113" i="5" s="1"/>
  <c r="KJ114" i="5"/>
  <c r="KK114" i="5" s="1"/>
  <c r="KI115" i="5" a="1"/>
  <c r="KI115" i="5" s="1"/>
  <c r="X115" i="5"/>
  <c r="Y114" i="5" a="1"/>
  <c r="Y114" i="5" s="1"/>
  <c r="AA110" i="4"/>
  <c r="JY110" i="4" s="1"/>
  <c r="Z110" i="4" s="1" a="1"/>
  <c r="Z110" i="4" s="1"/>
  <c r="Y111" i="4" s="1" a="1"/>
  <c r="Y111" i="4" s="1"/>
  <c r="AB110" i="4"/>
  <c r="JZ110" i="4" s="1"/>
  <c r="KF111" i="4"/>
  <c r="KG111" i="4" s="1"/>
  <c r="KE112" i="4" a="1"/>
  <c r="KE112" i="4" s="1"/>
  <c r="X112" i="4"/>
  <c r="AA114" i="5" l="1"/>
  <c r="KC114" i="5" s="1"/>
  <c r="Z114" i="5" s="1" a="1"/>
  <c r="Z114" i="5" s="1"/>
  <c r="Y115" i="5" s="1" a="1"/>
  <c r="Y115" i="5" s="1"/>
  <c r="AB114" i="5"/>
  <c r="KD114" i="5" s="1"/>
  <c r="X116" i="5"/>
  <c r="KJ115" i="5"/>
  <c r="KK115" i="5" s="1"/>
  <c r="KI116" i="5" a="1"/>
  <c r="KI116" i="5" s="1"/>
  <c r="AB111" i="4"/>
  <c r="JZ111" i="4" s="1"/>
  <c r="AA111" i="4"/>
  <c r="JY111" i="4" s="1"/>
  <c r="Z111" i="4" s="1" a="1"/>
  <c r="Z111" i="4" s="1"/>
  <c r="Y112" i="4" s="1" a="1"/>
  <c r="Y112" i="4" s="1"/>
  <c r="X113" i="4"/>
  <c r="KF112" i="4"/>
  <c r="KG112" i="4" s="1"/>
  <c r="KE113" i="4" a="1"/>
  <c r="KE113" i="4" s="1"/>
  <c r="AA115" i="5" l="1"/>
  <c r="KC115" i="5" s="1"/>
  <c r="Z115" i="5" s="1" a="1"/>
  <c r="Z115" i="5" s="1"/>
  <c r="Y116" i="5" s="1" a="1"/>
  <c r="Y116" i="5" s="1"/>
  <c r="AB115" i="5"/>
  <c r="KD115" i="5" s="1"/>
  <c r="KJ116" i="5"/>
  <c r="KK116" i="5" s="1"/>
  <c r="KI117" i="5" a="1"/>
  <c r="KI117" i="5" s="1"/>
  <c r="X117" i="5"/>
  <c r="AB112" i="4"/>
  <c r="JZ112" i="4" s="1"/>
  <c r="AA112" i="4"/>
  <c r="JY112" i="4" s="1"/>
  <c r="Z112" i="4" s="1" a="1"/>
  <c r="Z112" i="4" s="1"/>
  <c r="Y113" i="4" s="1" a="1"/>
  <c r="Y113" i="4" s="1"/>
  <c r="X114" i="4"/>
  <c r="KF113" i="4"/>
  <c r="KG113" i="4" s="1"/>
  <c r="KE114" i="4" a="1"/>
  <c r="KE114" i="4" s="1"/>
  <c r="AA116" i="5" l="1"/>
  <c r="KC116" i="5" s="1"/>
  <c r="Z116" i="5" s="1" a="1"/>
  <c r="Z116" i="5" s="1"/>
  <c r="Y117" i="5" s="1" a="1"/>
  <c r="Y117" i="5" s="1"/>
  <c r="AB116" i="5"/>
  <c r="KD116" i="5" s="1"/>
  <c r="X118" i="5"/>
  <c r="KJ117" i="5"/>
  <c r="KK117" i="5" s="1"/>
  <c r="KI118" i="5" a="1"/>
  <c r="KI118" i="5" s="1"/>
  <c r="AB113" i="4"/>
  <c r="JZ113" i="4" s="1"/>
  <c r="AA113" i="4"/>
  <c r="JY113" i="4" s="1"/>
  <c r="Z113" i="4" s="1" a="1"/>
  <c r="Z113" i="4" s="1"/>
  <c r="KF114" i="4"/>
  <c r="KG114" i="4" s="1"/>
  <c r="KE115" i="4" a="1"/>
  <c r="KE115" i="4" s="1"/>
  <c r="X115" i="4"/>
  <c r="Y114" i="4" a="1"/>
  <c r="Y114" i="4" s="1"/>
  <c r="AB117" i="5" l="1"/>
  <c r="KD117" i="5" s="1"/>
  <c r="AA117" i="5"/>
  <c r="KC117" i="5" s="1"/>
  <c r="Z117" i="5" s="1" a="1"/>
  <c r="Z117" i="5" s="1"/>
  <c r="Y118" i="5" s="1" a="1"/>
  <c r="Y118" i="5" s="1"/>
  <c r="KJ118" i="5"/>
  <c r="KK118" i="5" s="1"/>
  <c r="KI119" i="5" a="1"/>
  <c r="KI119" i="5" s="1"/>
  <c r="X119" i="5"/>
  <c r="X116" i="4"/>
  <c r="AB114" i="4"/>
  <c r="JZ114" i="4" s="1"/>
  <c r="AA114" i="4"/>
  <c r="JY114" i="4" s="1"/>
  <c r="Z114" i="4" s="1" a="1"/>
  <c r="Z114" i="4" s="1"/>
  <c r="Y115" i="4" s="1" a="1"/>
  <c r="Y115" i="4" s="1"/>
  <c r="KF115" i="4"/>
  <c r="KG115" i="4" s="1"/>
  <c r="KE116" i="4" a="1"/>
  <c r="KE116" i="4" s="1"/>
  <c r="AB118" i="5" l="1"/>
  <c r="KD118" i="5" s="1"/>
  <c r="AA118" i="5"/>
  <c r="KC118" i="5" s="1"/>
  <c r="Z118" i="5" s="1" a="1"/>
  <c r="Z118" i="5" s="1"/>
  <c r="Y119" i="5" s="1" a="1"/>
  <c r="Y119" i="5" s="1"/>
  <c r="X120" i="5"/>
  <c r="KJ119" i="5"/>
  <c r="KK119" i="5" s="1"/>
  <c r="KI120" i="5" a="1"/>
  <c r="KI120" i="5" s="1"/>
  <c r="AB115" i="4"/>
  <c r="JZ115" i="4" s="1"/>
  <c r="AA115" i="4"/>
  <c r="JY115" i="4" s="1"/>
  <c r="Z115" i="4" s="1" a="1"/>
  <c r="Z115" i="4" s="1"/>
  <c r="Y116" i="4" s="1" a="1"/>
  <c r="Y116" i="4" s="1"/>
  <c r="KF116" i="4"/>
  <c r="KG116" i="4" s="1"/>
  <c r="KE117" i="4" a="1"/>
  <c r="KE117" i="4" s="1"/>
  <c r="X117" i="4"/>
  <c r="AA119" i="5" l="1"/>
  <c r="KC119" i="5" s="1"/>
  <c r="Z119" i="5" s="1" a="1"/>
  <c r="Z119" i="5" s="1"/>
  <c r="Y120" i="5" s="1" a="1"/>
  <c r="Y120" i="5" s="1"/>
  <c r="AB119" i="5"/>
  <c r="KD119" i="5" s="1"/>
  <c r="KJ120" i="5"/>
  <c r="KK120" i="5" s="1"/>
  <c r="KI121" i="5" a="1"/>
  <c r="KI121" i="5" s="1"/>
  <c r="X121" i="5"/>
  <c r="AB116" i="4"/>
  <c r="JZ116" i="4" s="1"/>
  <c r="AA116" i="4"/>
  <c r="JY116" i="4" s="1"/>
  <c r="Z116" i="4" s="1" a="1"/>
  <c r="Z116" i="4" s="1"/>
  <c r="Y117" i="4" s="1" a="1"/>
  <c r="Y117" i="4" s="1"/>
  <c r="KF117" i="4"/>
  <c r="KG117" i="4" s="1"/>
  <c r="KE118" i="4" a="1"/>
  <c r="KE118" i="4" s="1"/>
  <c r="X118" i="4"/>
  <c r="AB120" i="5" l="1"/>
  <c r="KD120" i="5" s="1"/>
  <c r="AA120" i="5"/>
  <c r="KC120" i="5" s="1"/>
  <c r="Z120" i="5" s="1" a="1"/>
  <c r="Z120" i="5" s="1"/>
  <c r="Y121" i="5" s="1" a="1"/>
  <c r="Y121" i="5" s="1"/>
  <c r="KJ121" i="5"/>
  <c r="KK121" i="5" s="1"/>
  <c r="KI122" i="5" a="1"/>
  <c r="KI122" i="5" s="1"/>
  <c r="X122" i="5"/>
  <c r="AB117" i="4"/>
  <c r="JZ117" i="4" s="1"/>
  <c r="AA117" i="4"/>
  <c r="JY117" i="4" s="1"/>
  <c r="Z117" i="4" s="1" a="1"/>
  <c r="Z117" i="4" s="1"/>
  <c r="Y118" i="4" s="1" a="1"/>
  <c r="Y118" i="4" s="1"/>
  <c r="X119" i="4"/>
  <c r="KF118" i="4"/>
  <c r="KG118" i="4" s="1"/>
  <c r="KE119" i="4" a="1"/>
  <c r="KE119" i="4" s="1"/>
  <c r="AB121" i="5" l="1"/>
  <c r="KD121" i="5" s="1"/>
  <c r="AA121" i="5"/>
  <c r="KC121" i="5" s="1"/>
  <c r="Z121" i="5" s="1" a="1"/>
  <c r="Z121" i="5" s="1"/>
  <c r="KJ122" i="5"/>
  <c r="KK122" i="5" s="1"/>
  <c r="KI123" i="5" a="1"/>
  <c r="KI123" i="5" s="1"/>
  <c r="X123" i="5"/>
  <c r="Y122" i="5" a="1"/>
  <c r="Y122" i="5" s="1"/>
  <c r="AA118" i="4"/>
  <c r="JY118" i="4" s="1"/>
  <c r="Z118" i="4" s="1" a="1"/>
  <c r="Z118" i="4" s="1"/>
  <c r="Y119" i="4" s="1" a="1"/>
  <c r="Y119" i="4" s="1"/>
  <c r="AB118" i="4"/>
  <c r="JZ118" i="4" s="1"/>
  <c r="KF119" i="4"/>
  <c r="KG119" i="4" s="1"/>
  <c r="KE120" i="4" a="1"/>
  <c r="KE120" i="4" s="1"/>
  <c r="X120" i="4"/>
  <c r="X124" i="5" l="1"/>
  <c r="AA122" i="5"/>
  <c r="KC122" i="5" s="1"/>
  <c r="Z122" i="5" s="1" a="1"/>
  <c r="Z122" i="5" s="1"/>
  <c r="Y123" i="5" s="1" a="1"/>
  <c r="Y123" i="5" s="1"/>
  <c r="AB122" i="5"/>
  <c r="KD122" i="5" s="1"/>
  <c r="KJ123" i="5"/>
  <c r="KK123" i="5" s="1"/>
  <c r="KI124" i="5" a="1"/>
  <c r="KI124" i="5" s="1"/>
  <c r="AA119" i="4"/>
  <c r="JY119" i="4" s="1"/>
  <c r="Z119" i="4" s="1" a="1"/>
  <c r="Z119" i="4" s="1"/>
  <c r="Y120" i="4" s="1" a="1"/>
  <c r="Y120" i="4" s="1"/>
  <c r="AB119" i="4"/>
  <c r="JZ119" i="4" s="1"/>
  <c r="X121" i="4"/>
  <c r="KF120" i="4"/>
  <c r="KG120" i="4" s="1"/>
  <c r="KE121" i="4" a="1"/>
  <c r="KE121" i="4" s="1"/>
  <c r="AB123" i="5" l="1"/>
  <c r="KD123" i="5" s="1"/>
  <c r="AA123" i="5"/>
  <c r="KC123" i="5" s="1"/>
  <c r="Z123" i="5" s="1" a="1"/>
  <c r="Z123" i="5" s="1"/>
  <c r="Y124" i="5" s="1" a="1"/>
  <c r="Y124" i="5" s="1"/>
  <c r="KJ124" i="5"/>
  <c r="KK124" i="5" s="1"/>
  <c r="KI125" i="5" a="1"/>
  <c r="KI125" i="5" s="1"/>
  <c r="X125" i="5"/>
  <c r="AA120" i="4"/>
  <c r="JY120" i="4" s="1"/>
  <c r="Z120" i="4" s="1" a="1"/>
  <c r="Z120" i="4" s="1"/>
  <c r="Y121" i="4" s="1" a="1"/>
  <c r="Y121" i="4" s="1"/>
  <c r="AB120" i="4"/>
  <c r="JZ120" i="4" s="1"/>
  <c r="KF121" i="4"/>
  <c r="KG121" i="4" s="1"/>
  <c r="KE122" i="4" a="1"/>
  <c r="KE122" i="4" s="1"/>
  <c r="X122" i="4"/>
  <c r="AB124" i="5" l="1"/>
  <c r="KD124" i="5" s="1"/>
  <c r="AA124" i="5"/>
  <c r="KC124" i="5" s="1"/>
  <c r="Z124" i="5" s="1" a="1"/>
  <c r="Z124" i="5" s="1"/>
  <c r="Y125" i="5" s="1" a="1"/>
  <c r="Y125" i="5" s="1"/>
  <c r="KJ125" i="5"/>
  <c r="KK125" i="5" s="1"/>
  <c r="KI126" i="5" a="1"/>
  <c r="KI126" i="5" s="1"/>
  <c r="X126" i="5"/>
  <c r="AB121" i="4"/>
  <c r="JZ121" i="4" s="1"/>
  <c r="AA121" i="4"/>
  <c r="JY121" i="4" s="1"/>
  <c r="Z121" i="4" s="1" a="1"/>
  <c r="Z121" i="4" s="1"/>
  <c r="Y122" i="4" a="1"/>
  <c r="Y122" i="4" s="1"/>
  <c r="X123" i="4"/>
  <c r="KF122" i="4"/>
  <c r="KG122" i="4" s="1"/>
  <c r="KE123" i="4" a="1"/>
  <c r="KE123" i="4" s="1"/>
  <c r="AA125" i="5" l="1"/>
  <c r="KC125" i="5" s="1"/>
  <c r="Z125" i="5" s="1" a="1"/>
  <c r="Z125" i="5" s="1"/>
  <c r="Y126" i="5" s="1" a="1"/>
  <c r="Y126" i="5" s="1"/>
  <c r="AB125" i="5"/>
  <c r="KD125" i="5" s="1"/>
  <c r="X127" i="5"/>
  <c r="KJ126" i="5"/>
  <c r="KK126" i="5" s="1"/>
  <c r="KI127" i="5" a="1"/>
  <c r="KI127" i="5" s="1"/>
  <c r="KF123" i="4"/>
  <c r="KG123" i="4" s="1"/>
  <c r="KE124" i="4" a="1"/>
  <c r="KE124" i="4" s="1"/>
  <c r="AB122" i="4"/>
  <c r="JZ122" i="4" s="1"/>
  <c r="AA122" i="4"/>
  <c r="JY122" i="4" s="1"/>
  <c r="Z122" i="4" s="1" a="1"/>
  <c r="Z122" i="4" s="1"/>
  <c r="Y123" i="4" s="1" a="1"/>
  <c r="Y123" i="4" s="1"/>
  <c r="X124" i="4"/>
  <c r="AA126" i="5" l="1"/>
  <c r="KC126" i="5" s="1"/>
  <c r="Z126" i="5" s="1" a="1"/>
  <c r="Z126" i="5" s="1"/>
  <c r="Y127" i="5" s="1" a="1"/>
  <c r="Y127" i="5" s="1"/>
  <c r="AB126" i="5"/>
  <c r="KD126" i="5" s="1"/>
  <c r="KJ127" i="5"/>
  <c r="KK127" i="5" s="1"/>
  <c r="KI128" i="5" a="1"/>
  <c r="KI128" i="5" s="1"/>
  <c r="X128" i="5"/>
  <c r="AB123" i="4"/>
  <c r="JZ123" i="4" s="1"/>
  <c r="AA123" i="4"/>
  <c r="JY123" i="4" s="1"/>
  <c r="Z123" i="4" s="1" a="1"/>
  <c r="Z123" i="4" s="1"/>
  <c r="Y124" i="4" s="1" a="1"/>
  <c r="Y124" i="4" s="1"/>
  <c r="X125" i="4"/>
  <c r="KF124" i="4"/>
  <c r="KG124" i="4" s="1"/>
  <c r="KE125" i="4" a="1"/>
  <c r="KE125" i="4" s="1"/>
  <c r="AB127" i="5" l="1"/>
  <c r="KD127" i="5" s="1"/>
  <c r="AA127" i="5"/>
  <c r="KC127" i="5" s="1"/>
  <c r="Z127" i="5" s="1" a="1"/>
  <c r="Z127" i="5" s="1"/>
  <c r="Y128" i="5" s="1" a="1"/>
  <c r="Y128" i="5" s="1"/>
  <c r="X129" i="5"/>
  <c r="KJ128" i="5"/>
  <c r="KK128" i="5" s="1"/>
  <c r="KI129" i="5" a="1"/>
  <c r="KI129" i="5" s="1"/>
  <c r="AB124" i="4"/>
  <c r="JZ124" i="4" s="1"/>
  <c r="AA124" i="4"/>
  <c r="JY124" i="4" s="1"/>
  <c r="Z124" i="4" s="1" a="1"/>
  <c r="Z124" i="4" s="1"/>
  <c r="Y125" i="4" s="1" a="1"/>
  <c r="Y125" i="4" s="1"/>
  <c r="KF125" i="4"/>
  <c r="KG125" i="4" s="1"/>
  <c r="KE126" i="4" a="1"/>
  <c r="KE126" i="4" s="1"/>
  <c r="X126" i="4"/>
  <c r="AB128" i="5" l="1"/>
  <c r="KD128" i="5" s="1"/>
  <c r="AA128" i="5"/>
  <c r="KC128" i="5" s="1"/>
  <c r="Z128" i="5" s="1" a="1"/>
  <c r="Z128" i="5" s="1"/>
  <c r="Y129" i="5" s="1" a="1"/>
  <c r="Y129" i="5" s="1"/>
  <c r="KJ129" i="5"/>
  <c r="KK129" i="5" s="1"/>
  <c r="KI130" i="5" a="1"/>
  <c r="KI130" i="5" s="1"/>
  <c r="X130" i="5"/>
  <c r="AA125" i="4"/>
  <c r="JY125" i="4" s="1"/>
  <c r="Z125" i="4" s="1" a="1"/>
  <c r="Z125" i="4" s="1"/>
  <c r="Y126" i="4" s="1" a="1"/>
  <c r="Y126" i="4" s="1"/>
  <c r="AB125" i="4"/>
  <c r="JZ125" i="4" s="1"/>
  <c r="KF126" i="4"/>
  <c r="KG126" i="4" s="1"/>
  <c r="KE127" i="4" a="1"/>
  <c r="KE127" i="4" s="1"/>
  <c r="X127" i="4"/>
  <c r="AB129" i="5" l="1"/>
  <c r="KD129" i="5" s="1"/>
  <c r="AA129" i="5"/>
  <c r="KC129" i="5" s="1"/>
  <c r="Z129" i="5" s="1" a="1"/>
  <c r="Z129" i="5" s="1"/>
  <c r="KJ130" i="5"/>
  <c r="KK130" i="5" s="1"/>
  <c r="KI131" i="5" a="1"/>
  <c r="KI131" i="5" s="1"/>
  <c r="X131" i="5"/>
  <c r="Y130" i="5" a="1"/>
  <c r="Y130" i="5" s="1"/>
  <c r="AB126" i="4"/>
  <c r="JZ126" i="4" s="1"/>
  <c r="AA126" i="4"/>
  <c r="JY126" i="4" s="1"/>
  <c r="Z126" i="4" s="1" a="1"/>
  <c r="Z126" i="4" s="1"/>
  <c r="Y127" i="4" s="1" a="1"/>
  <c r="Y127" i="4" s="1"/>
  <c r="KF127" i="4"/>
  <c r="KG127" i="4" s="1"/>
  <c r="KE128" i="4" a="1"/>
  <c r="KE128" i="4" s="1"/>
  <c r="X128" i="4"/>
  <c r="AB130" i="5" l="1"/>
  <c r="KD130" i="5" s="1"/>
  <c r="AA130" i="5"/>
  <c r="KC130" i="5" s="1"/>
  <c r="Z130" i="5" s="1" a="1"/>
  <c r="Z130" i="5" s="1"/>
  <c r="Y131" i="5" s="1" a="1"/>
  <c r="Y131" i="5" s="1"/>
  <c r="KJ131" i="5"/>
  <c r="KK131" i="5" s="1"/>
  <c r="KI132" i="5" a="1"/>
  <c r="KI132" i="5" s="1"/>
  <c r="X132" i="5"/>
  <c r="AB127" i="4"/>
  <c r="JZ127" i="4" s="1"/>
  <c r="AA127" i="4"/>
  <c r="JY127" i="4" s="1"/>
  <c r="Z127" i="4" s="1" a="1"/>
  <c r="Z127" i="4" s="1"/>
  <c r="Y128" i="4" s="1" a="1"/>
  <c r="Y128" i="4" s="1"/>
  <c r="X129" i="4"/>
  <c r="KF128" i="4"/>
  <c r="KG128" i="4" s="1"/>
  <c r="KE129" i="4" a="1"/>
  <c r="KE129" i="4" s="1"/>
  <c r="AB131" i="5" l="1"/>
  <c r="KD131" i="5" s="1"/>
  <c r="AA131" i="5"/>
  <c r="KC131" i="5" s="1"/>
  <c r="Z131" i="5" s="1" a="1"/>
  <c r="Z131" i="5" s="1"/>
  <c r="Y132" i="5" s="1" a="1"/>
  <c r="Y132" i="5" s="1"/>
  <c r="X133" i="5"/>
  <c r="KJ132" i="5"/>
  <c r="KK132" i="5" s="1"/>
  <c r="KI133" i="5" a="1"/>
  <c r="KI133" i="5" s="1"/>
  <c r="AB128" i="4"/>
  <c r="JZ128" i="4" s="1"/>
  <c r="AA128" i="4"/>
  <c r="JY128" i="4" s="1"/>
  <c r="Z128" i="4" s="1" a="1"/>
  <c r="Z128" i="4" s="1"/>
  <c r="Y129" i="4" s="1" a="1"/>
  <c r="Y129" i="4" s="1"/>
  <c r="KF129" i="4"/>
  <c r="KG129" i="4" s="1"/>
  <c r="KE130" i="4" a="1"/>
  <c r="KE130" i="4" s="1"/>
  <c r="X130" i="4"/>
  <c r="AA132" i="5" l="1"/>
  <c r="KC132" i="5" s="1"/>
  <c r="Z132" i="5" s="1" a="1"/>
  <c r="Z132" i="5" s="1"/>
  <c r="Y133" i="5" s="1" a="1"/>
  <c r="Y133" i="5" s="1"/>
  <c r="AB132" i="5"/>
  <c r="KD132" i="5" s="1"/>
  <c r="KJ133" i="5"/>
  <c r="KK133" i="5" s="1"/>
  <c r="KI134" i="5" a="1"/>
  <c r="KI134" i="5" s="1"/>
  <c r="X134" i="5"/>
  <c r="AB129" i="4"/>
  <c r="JZ129" i="4" s="1"/>
  <c r="AA129" i="4"/>
  <c r="JY129" i="4" s="1"/>
  <c r="Z129" i="4" s="1" a="1"/>
  <c r="Z129" i="4" s="1"/>
  <c r="X131" i="4"/>
  <c r="Y130" i="4" a="1"/>
  <c r="Y130" i="4" s="1"/>
  <c r="KF130" i="4"/>
  <c r="KG130" i="4" s="1"/>
  <c r="KE131" i="4" a="1"/>
  <c r="KE131" i="4" s="1"/>
  <c r="AB133" i="5" l="1"/>
  <c r="KD133" i="5" s="1"/>
  <c r="AA133" i="5"/>
  <c r="KC133" i="5" s="1"/>
  <c r="Z133" i="5" s="1" a="1"/>
  <c r="Z133" i="5" s="1"/>
  <c r="Y134" i="5" s="1" a="1"/>
  <c r="Y134" i="5" s="1"/>
  <c r="X135" i="5"/>
  <c r="KJ134" i="5"/>
  <c r="KK134" i="5" s="1"/>
  <c r="KI135" i="5" a="1"/>
  <c r="KI135" i="5" s="1"/>
  <c r="X132" i="4"/>
  <c r="AB130" i="4"/>
  <c r="JZ130" i="4" s="1"/>
  <c r="AA130" i="4"/>
  <c r="JY130" i="4" s="1"/>
  <c r="Z130" i="4" s="1" a="1"/>
  <c r="Z130" i="4" s="1"/>
  <c r="Y131" i="4" s="1" a="1"/>
  <c r="Y131" i="4" s="1"/>
  <c r="KF131" i="4"/>
  <c r="KG131" i="4" s="1"/>
  <c r="KE132" i="4" a="1"/>
  <c r="KE132" i="4" s="1"/>
  <c r="AB134" i="5" l="1"/>
  <c r="KD134" i="5" s="1"/>
  <c r="AA134" i="5"/>
  <c r="KC134" i="5" s="1"/>
  <c r="Z134" i="5" s="1" a="1"/>
  <c r="Z134" i="5" s="1"/>
  <c r="Y135" i="5" s="1" a="1"/>
  <c r="Y135" i="5" s="1"/>
  <c r="X136" i="5"/>
  <c r="KJ135" i="5"/>
  <c r="KK135" i="5" s="1"/>
  <c r="KI136" i="5" a="1"/>
  <c r="KI136" i="5" s="1"/>
  <c r="AA131" i="4"/>
  <c r="JY131" i="4" s="1"/>
  <c r="Z131" i="4" s="1" a="1"/>
  <c r="Z131" i="4" s="1"/>
  <c r="Y132" i="4" s="1" a="1"/>
  <c r="Y132" i="4" s="1"/>
  <c r="AB131" i="4"/>
  <c r="JZ131" i="4" s="1"/>
  <c r="KF132" i="4"/>
  <c r="KG132" i="4" s="1"/>
  <c r="KE133" i="4" a="1"/>
  <c r="KE133" i="4" s="1"/>
  <c r="X133" i="4"/>
  <c r="AB135" i="5" l="1"/>
  <c r="KD135" i="5" s="1"/>
  <c r="AA135" i="5"/>
  <c r="KC135" i="5" s="1"/>
  <c r="Z135" i="5" s="1" a="1"/>
  <c r="Z135" i="5" s="1"/>
  <c r="Y136" i="5" s="1" a="1"/>
  <c r="Y136" i="5" s="1"/>
  <c r="KJ136" i="5"/>
  <c r="KK136" i="5" s="1"/>
  <c r="KI137" i="5" a="1"/>
  <c r="KI137" i="5" s="1"/>
  <c r="X137" i="5"/>
  <c r="AB132" i="4"/>
  <c r="JZ132" i="4" s="1"/>
  <c r="AA132" i="4"/>
  <c r="JY132" i="4" s="1"/>
  <c r="Z132" i="4" s="1" a="1"/>
  <c r="Z132" i="4" s="1"/>
  <c r="Y133" i="4" s="1" a="1"/>
  <c r="Y133" i="4" s="1"/>
  <c r="X134" i="4"/>
  <c r="KF133" i="4"/>
  <c r="KG133" i="4" s="1"/>
  <c r="KE134" i="4" a="1"/>
  <c r="KE134" i="4" s="1"/>
  <c r="AB136" i="5" l="1"/>
  <c r="KD136" i="5" s="1"/>
  <c r="AA136" i="5"/>
  <c r="KC136" i="5" s="1"/>
  <c r="Z136" i="5" s="1" a="1"/>
  <c r="Z136" i="5" s="1"/>
  <c r="Y137" i="5" s="1" a="1"/>
  <c r="Y137" i="5" s="1"/>
  <c r="X138" i="5"/>
  <c r="KJ137" i="5"/>
  <c r="KK137" i="5" s="1"/>
  <c r="AB133" i="4"/>
  <c r="JZ133" i="4" s="1"/>
  <c r="AA133" i="4"/>
  <c r="JY133" i="4" s="1"/>
  <c r="Z133" i="4" s="1" a="1"/>
  <c r="Z133" i="4" s="1"/>
  <c r="Y134" i="4" s="1" a="1"/>
  <c r="Y134" i="4" s="1"/>
  <c r="KF134" i="4"/>
  <c r="KG134" i="4" s="1"/>
  <c r="KE135" i="4" a="1"/>
  <c r="KE135" i="4" s="1"/>
  <c r="X135" i="4"/>
  <c r="AA137" i="5" l="1"/>
  <c r="KC137" i="5" s="1"/>
  <c r="Z137" i="5" s="1" a="1"/>
  <c r="Z137" i="5" s="1"/>
  <c r="AB137" i="5"/>
  <c r="KD137" i="5" s="1"/>
  <c r="X139" i="5"/>
  <c r="Y138" i="5" a="1"/>
  <c r="Y138" i="5" s="1"/>
  <c r="KI138" i="5" a="1"/>
  <c r="KI138" i="5" s="1"/>
  <c r="AB134" i="4"/>
  <c r="JZ134" i="4" s="1"/>
  <c r="AA134" i="4"/>
  <c r="JY134" i="4" s="1"/>
  <c r="Z134" i="4" s="1" a="1"/>
  <c r="Z134" i="4" s="1"/>
  <c r="Y135" i="4" s="1" a="1"/>
  <c r="Y135" i="4" s="1"/>
  <c r="X136" i="4"/>
  <c r="KF135" i="4"/>
  <c r="KG135" i="4" s="1"/>
  <c r="KE136" i="4" a="1"/>
  <c r="KE136" i="4" s="1"/>
  <c r="KJ138" i="5" l="1"/>
  <c r="KK138" i="5" s="1"/>
  <c r="KI139" i="5" a="1"/>
  <c r="KI139" i="5" s="1"/>
  <c r="AB138" i="5"/>
  <c r="KD138" i="5" s="1"/>
  <c r="AA138" i="5"/>
  <c r="KC138" i="5" s="1"/>
  <c r="Z138" i="5" s="1" a="1"/>
  <c r="Z138" i="5" s="1"/>
  <c r="Y139" i="5" s="1" a="1"/>
  <c r="Y139" i="5" s="1"/>
  <c r="X140" i="5"/>
  <c r="AA135" i="4"/>
  <c r="JY135" i="4" s="1"/>
  <c r="Z135" i="4" s="1" a="1"/>
  <c r="Z135" i="4" s="1"/>
  <c r="Y136" i="4" s="1" a="1"/>
  <c r="Y136" i="4" s="1"/>
  <c r="AB135" i="4"/>
  <c r="JZ135" i="4" s="1"/>
  <c r="X137" i="4"/>
  <c r="KF136" i="4"/>
  <c r="KG136" i="4" s="1"/>
  <c r="KE137" i="4" a="1"/>
  <c r="KE137" i="4" s="1"/>
  <c r="AB139" i="5" l="1"/>
  <c r="KD139" i="5" s="1"/>
  <c r="AA139" i="5"/>
  <c r="KC139" i="5" s="1"/>
  <c r="Z139" i="5" s="1" a="1"/>
  <c r="Z139" i="5" s="1"/>
  <c r="Y140" i="5" s="1" a="1"/>
  <c r="Y140" i="5" s="1"/>
  <c r="X141" i="5"/>
  <c r="KJ139" i="5"/>
  <c r="KK139" i="5" s="1"/>
  <c r="KI140" i="5" a="1"/>
  <c r="KI140" i="5" s="1"/>
  <c r="AB136" i="4"/>
  <c r="JZ136" i="4" s="1"/>
  <c r="AA136" i="4"/>
  <c r="JY136" i="4" s="1"/>
  <c r="Z136" i="4" s="1" a="1"/>
  <c r="Z136" i="4" s="1"/>
  <c r="Y137" i="4" s="1" a="1"/>
  <c r="Y137" i="4" s="1"/>
  <c r="KF137" i="4"/>
  <c r="KG137" i="4" s="1"/>
  <c r="KE138" i="4" a="1"/>
  <c r="KE138" i="4" s="1"/>
  <c r="X138" i="4"/>
  <c r="AA140" i="5" l="1"/>
  <c r="KC140" i="5" s="1"/>
  <c r="Z140" i="5" s="1" a="1"/>
  <c r="Z140" i="5" s="1"/>
  <c r="Y141" i="5" s="1" a="1"/>
  <c r="Y141" i="5" s="1"/>
  <c r="AB140" i="5"/>
  <c r="KD140" i="5" s="1"/>
  <c r="KJ140" i="5"/>
  <c r="KK140" i="5" s="1"/>
  <c r="KI141" i="5" a="1"/>
  <c r="KI141" i="5" s="1"/>
  <c r="X142" i="5"/>
  <c r="AA137" i="4"/>
  <c r="JY137" i="4" s="1"/>
  <c r="Z137" i="4" s="1" a="1"/>
  <c r="Z137" i="4" s="1"/>
  <c r="AB137" i="4"/>
  <c r="JZ137" i="4" s="1"/>
  <c r="X139" i="4"/>
  <c r="Y138" i="4" a="1"/>
  <c r="Y138" i="4" s="1"/>
  <c r="KF138" i="4"/>
  <c r="KG138" i="4" s="1"/>
  <c r="KE139" i="4" a="1"/>
  <c r="KE139" i="4" s="1"/>
  <c r="AB141" i="5" l="1"/>
  <c r="KD141" i="5" s="1"/>
  <c r="AA141" i="5"/>
  <c r="KC141" i="5" s="1"/>
  <c r="Z141" i="5" s="1" a="1"/>
  <c r="Z141" i="5" s="1"/>
  <c r="Y142" i="5" s="1" a="1"/>
  <c r="Y142" i="5" s="1"/>
  <c r="X143" i="5"/>
  <c r="KJ141" i="5"/>
  <c r="KK141" i="5" s="1"/>
  <c r="KI142" i="5" a="1"/>
  <c r="KI142" i="5" s="1"/>
  <c r="AB138" i="4"/>
  <c r="JZ138" i="4" s="1"/>
  <c r="AA138" i="4"/>
  <c r="JY138" i="4" s="1"/>
  <c r="Z138" i="4" s="1" a="1"/>
  <c r="Z138" i="4" s="1"/>
  <c r="Y139" i="4" s="1" a="1"/>
  <c r="Y139" i="4" s="1"/>
  <c r="X140" i="4"/>
  <c r="KF139" i="4"/>
  <c r="KG139" i="4" s="1"/>
  <c r="KE140" i="4" a="1"/>
  <c r="KE140" i="4" s="1"/>
  <c r="AB142" i="5" l="1"/>
  <c r="KD142" i="5" s="1"/>
  <c r="AA142" i="5"/>
  <c r="KC142" i="5" s="1"/>
  <c r="Z142" i="5" s="1" a="1"/>
  <c r="Z142" i="5" s="1"/>
  <c r="Y143" i="5" s="1" a="1"/>
  <c r="Y143" i="5" s="1"/>
  <c r="KJ142" i="5"/>
  <c r="KK142" i="5" s="1"/>
  <c r="KI143" i="5" a="1"/>
  <c r="KI143" i="5" s="1"/>
  <c r="X144" i="5"/>
  <c r="AB139" i="4"/>
  <c r="JZ139" i="4" s="1"/>
  <c r="AA139" i="4"/>
  <c r="JY139" i="4" s="1"/>
  <c r="Z139" i="4" s="1" a="1"/>
  <c r="Z139" i="4" s="1"/>
  <c r="Y140" i="4" s="1" a="1"/>
  <c r="Y140" i="4" s="1"/>
  <c r="KF140" i="4"/>
  <c r="KG140" i="4" s="1"/>
  <c r="KE141" i="4" a="1"/>
  <c r="KE141" i="4" s="1"/>
  <c r="X141" i="4"/>
  <c r="AB143" i="5" l="1"/>
  <c r="KD143" i="5" s="1"/>
  <c r="AA143" i="5"/>
  <c r="KC143" i="5" s="1"/>
  <c r="Z143" i="5" s="1" a="1"/>
  <c r="Z143" i="5" s="1"/>
  <c r="Y144" i="5" s="1" a="1"/>
  <c r="Y144" i="5" s="1"/>
  <c r="X145" i="5"/>
  <c r="KJ143" i="5"/>
  <c r="KK143" i="5" s="1"/>
  <c r="KI144" i="5" a="1"/>
  <c r="KI144" i="5" s="1"/>
  <c r="AA140" i="4"/>
  <c r="JY140" i="4" s="1"/>
  <c r="Z140" i="4" s="1" a="1"/>
  <c r="Z140" i="4" s="1"/>
  <c r="Y141" i="4" s="1" a="1"/>
  <c r="Y141" i="4" s="1"/>
  <c r="AB140" i="4"/>
  <c r="JZ140" i="4" s="1"/>
  <c r="KF141" i="4"/>
  <c r="KG141" i="4" s="1"/>
  <c r="KE142" i="4" a="1"/>
  <c r="KE142" i="4" s="1"/>
  <c r="X142" i="4"/>
  <c r="AA144" i="5" l="1"/>
  <c r="KC144" i="5" s="1"/>
  <c r="Z144" i="5" s="1" a="1"/>
  <c r="Z144" i="5" s="1"/>
  <c r="Y145" i="5" s="1" a="1"/>
  <c r="Y145" i="5" s="1"/>
  <c r="AB144" i="5"/>
  <c r="KD144" i="5" s="1"/>
  <c r="KJ144" i="5"/>
  <c r="KK144" i="5" s="1"/>
  <c r="KI145" i="5" a="1"/>
  <c r="KI145" i="5" s="1"/>
  <c r="X146" i="5"/>
  <c r="AB141" i="4"/>
  <c r="JZ141" i="4" s="1"/>
  <c r="AA141" i="4"/>
  <c r="JY141" i="4" s="1"/>
  <c r="Z141" i="4" s="1" a="1"/>
  <c r="Z141" i="4" s="1"/>
  <c r="Y142" i="4" s="1" a="1"/>
  <c r="Y142" i="4" s="1"/>
  <c r="X143" i="4"/>
  <c r="KF142" i="4"/>
  <c r="KG142" i="4" s="1"/>
  <c r="KE143" i="4" a="1"/>
  <c r="KE143" i="4" s="1"/>
  <c r="AB145" i="5" l="1"/>
  <c r="KD145" i="5" s="1"/>
  <c r="AA145" i="5"/>
  <c r="KC145" i="5" s="1"/>
  <c r="Z145" i="5" s="1" a="1"/>
  <c r="Z145" i="5" s="1"/>
  <c r="X147" i="5"/>
  <c r="Y146" i="5" a="1"/>
  <c r="Y146" i="5" s="1"/>
  <c r="KJ145" i="5"/>
  <c r="KK145" i="5" s="1"/>
  <c r="KI146" i="5" a="1"/>
  <c r="KI146" i="5" s="1"/>
  <c r="AA142" i="4"/>
  <c r="JY142" i="4" s="1"/>
  <c r="Z142" i="4" s="1" a="1"/>
  <c r="Z142" i="4" s="1"/>
  <c r="Y143" i="4" s="1" a="1"/>
  <c r="Y143" i="4" s="1"/>
  <c r="AB142" i="4"/>
  <c r="JZ142" i="4" s="1"/>
  <c r="KF143" i="4"/>
  <c r="KG143" i="4" s="1"/>
  <c r="KE144" i="4" a="1"/>
  <c r="KE144" i="4" s="1"/>
  <c r="X144" i="4"/>
  <c r="AA146" i="5" l="1"/>
  <c r="KC146" i="5" s="1"/>
  <c r="Z146" i="5" s="1" a="1"/>
  <c r="Z146" i="5" s="1"/>
  <c r="Y147" i="5" s="1" a="1"/>
  <c r="Y147" i="5" s="1"/>
  <c r="AB146" i="5"/>
  <c r="KD146" i="5" s="1"/>
  <c r="X148" i="5"/>
  <c r="KJ146" i="5"/>
  <c r="KK146" i="5" s="1"/>
  <c r="KI147" i="5" a="1"/>
  <c r="KI147" i="5" s="1"/>
  <c r="AB143" i="4"/>
  <c r="JZ143" i="4" s="1"/>
  <c r="AA143" i="4"/>
  <c r="JY143" i="4" s="1"/>
  <c r="Z143" i="4" s="1" a="1"/>
  <c r="Z143" i="4" s="1"/>
  <c r="Y144" i="4" s="1" a="1"/>
  <c r="Y144" i="4" s="1"/>
  <c r="X145" i="4"/>
  <c r="KF144" i="4"/>
  <c r="KG144" i="4" s="1"/>
  <c r="KE145" i="4" a="1"/>
  <c r="KE145" i="4" s="1"/>
  <c r="AB147" i="5" l="1"/>
  <c r="KD147" i="5" s="1"/>
  <c r="AA147" i="5"/>
  <c r="KC147" i="5" s="1"/>
  <c r="Z147" i="5" s="1" a="1"/>
  <c r="Z147" i="5" s="1"/>
  <c r="Y148" i="5" s="1" a="1"/>
  <c r="Y148" i="5" s="1"/>
  <c r="X149" i="5"/>
  <c r="KJ147" i="5"/>
  <c r="KK147" i="5" s="1"/>
  <c r="KI148" i="5" a="1"/>
  <c r="KI148" i="5" s="1"/>
  <c r="AB144" i="4"/>
  <c r="JZ144" i="4" s="1"/>
  <c r="AA144" i="4"/>
  <c r="JY144" i="4" s="1"/>
  <c r="Z144" i="4" s="1" a="1"/>
  <c r="Z144" i="4" s="1"/>
  <c r="Y145" i="4" s="1" a="1"/>
  <c r="Y145" i="4" s="1"/>
  <c r="KF145" i="4"/>
  <c r="KG145" i="4" s="1"/>
  <c r="KE146" i="4" a="1"/>
  <c r="KE146" i="4" s="1"/>
  <c r="X146" i="4"/>
  <c r="AB148" i="5" l="1"/>
  <c r="KD148" i="5" s="1"/>
  <c r="AA148" i="5"/>
  <c r="KC148" i="5" s="1"/>
  <c r="Z148" i="5" s="1" a="1"/>
  <c r="Z148" i="5" s="1"/>
  <c r="Y149" i="5" s="1" a="1"/>
  <c r="Y149" i="5" s="1"/>
  <c r="KJ148" i="5"/>
  <c r="KK148" i="5" s="1"/>
  <c r="KI149" i="5" a="1"/>
  <c r="KI149" i="5" s="1"/>
  <c r="X150" i="5"/>
  <c r="AB145" i="4"/>
  <c r="JZ145" i="4" s="1"/>
  <c r="AA145" i="4"/>
  <c r="JY145" i="4" s="1"/>
  <c r="Z145" i="4" s="1" a="1"/>
  <c r="Z145" i="4" s="1"/>
  <c r="Y146" i="4" a="1"/>
  <c r="Y146" i="4" s="1"/>
  <c r="X147" i="4"/>
  <c r="KF146" i="4"/>
  <c r="KG146" i="4" s="1"/>
  <c r="KE147" i="4" a="1"/>
  <c r="KE147" i="4" s="1"/>
  <c r="AB149" i="5" l="1"/>
  <c r="KD149" i="5" s="1"/>
  <c r="AA149" i="5"/>
  <c r="KC149" i="5" s="1"/>
  <c r="Z149" i="5" s="1" a="1"/>
  <c r="Z149" i="5" s="1"/>
  <c r="Y150" i="5" s="1" a="1"/>
  <c r="Y150" i="5" s="1"/>
  <c r="X151" i="5"/>
  <c r="KJ149" i="5"/>
  <c r="KK149" i="5" s="1"/>
  <c r="KI150" i="5" a="1"/>
  <c r="KI150" i="5" s="1"/>
  <c r="X148" i="4"/>
  <c r="KF147" i="4"/>
  <c r="KG147" i="4" s="1"/>
  <c r="KE148" i="4" a="1"/>
  <c r="KE148" i="4" s="1"/>
  <c r="AB146" i="4"/>
  <c r="JZ146" i="4" s="1"/>
  <c r="AA146" i="4"/>
  <c r="JY146" i="4" s="1"/>
  <c r="Z146" i="4" s="1" a="1"/>
  <c r="Z146" i="4" s="1"/>
  <c r="Y147" i="4" s="1" a="1"/>
  <c r="Y147" i="4" s="1"/>
  <c r="AB150" i="5" l="1"/>
  <c r="KD150" i="5" s="1"/>
  <c r="AA150" i="5"/>
  <c r="KC150" i="5" s="1"/>
  <c r="Z150" i="5" s="1" a="1"/>
  <c r="Z150" i="5" s="1"/>
  <c r="Y151" i="5" s="1" a="1"/>
  <c r="Y151" i="5" s="1"/>
  <c r="KJ150" i="5"/>
  <c r="KK150" i="5" s="1"/>
  <c r="KI151" i="5" a="1"/>
  <c r="KI151" i="5" s="1"/>
  <c r="X152" i="5"/>
  <c r="AB147" i="4"/>
  <c r="JZ147" i="4" s="1"/>
  <c r="AA147" i="4"/>
  <c r="JY147" i="4" s="1"/>
  <c r="Z147" i="4" s="1" a="1"/>
  <c r="Z147" i="4" s="1"/>
  <c r="Y148" i="4" s="1" a="1"/>
  <c r="Y148" i="4" s="1"/>
  <c r="KF148" i="4"/>
  <c r="KG148" i="4" s="1"/>
  <c r="KE149" i="4" a="1"/>
  <c r="KE149" i="4" s="1"/>
  <c r="X149" i="4"/>
  <c r="AB151" i="5" l="1"/>
  <c r="KD151" i="5" s="1"/>
  <c r="AA151" i="5"/>
  <c r="KC151" i="5" s="1"/>
  <c r="Z151" i="5" s="1" a="1"/>
  <c r="Z151" i="5" s="1"/>
  <c r="Y152" i="5" s="1" a="1"/>
  <c r="Y152" i="5" s="1"/>
  <c r="KJ151" i="5"/>
  <c r="KK151" i="5" s="1"/>
  <c r="KI152" i="5" a="1"/>
  <c r="KI152" i="5" s="1"/>
  <c r="X153" i="5"/>
  <c r="AB148" i="4"/>
  <c r="JZ148" i="4" s="1"/>
  <c r="AA148" i="4"/>
  <c r="JY148" i="4" s="1"/>
  <c r="Z148" i="4" s="1" a="1"/>
  <c r="Z148" i="4" s="1"/>
  <c r="Y149" i="4" s="1" a="1"/>
  <c r="Y149" i="4" s="1"/>
  <c r="KF149" i="4"/>
  <c r="KG149" i="4" s="1"/>
  <c r="KE150" i="4" a="1"/>
  <c r="KE150" i="4" s="1"/>
  <c r="X150" i="4"/>
  <c r="AB152" i="5" l="1"/>
  <c r="KD152" i="5" s="1"/>
  <c r="AA152" i="5"/>
  <c r="KC152" i="5" s="1"/>
  <c r="Z152" i="5" s="1" a="1"/>
  <c r="Z152" i="5" s="1"/>
  <c r="Y153" i="5" s="1" a="1"/>
  <c r="Y153" i="5" s="1"/>
  <c r="KJ152" i="5"/>
  <c r="KK152" i="5" s="1"/>
  <c r="KI153" i="5" a="1"/>
  <c r="KI153" i="5" s="1"/>
  <c r="X154" i="5"/>
  <c r="AB149" i="4"/>
  <c r="JZ149" i="4" s="1"/>
  <c r="AA149" i="4"/>
  <c r="JY149" i="4" s="1"/>
  <c r="Z149" i="4" s="1" a="1"/>
  <c r="Z149" i="4" s="1"/>
  <c r="Y150" i="4" s="1" a="1"/>
  <c r="Y150" i="4" s="1"/>
  <c r="X151" i="4"/>
  <c r="KF150" i="4"/>
  <c r="KG150" i="4" s="1"/>
  <c r="KE151" i="4" a="1"/>
  <c r="KE151" i="4" s="1"/>
  <c r="AB153" i="5" l="1"/>
  <c r="KD153" i="5" s="1"/>
  <c r="AA153" i="5"/>
  <c r="KC153" i="5" s="1"/>
  <c r="Z153" i="5" s="1" a="1"/>
  <c r="Z153" i="5" s="1"/>
  <c r="KJ153" i="5"/>
  <c r="KK153" i="5" s="1"/>
  <c r="KI154" i="5" a="1"/>
  <c r="KI154" i="5" s="1"/>
  <c r="X155" i="5"/>
  <c r="Y154" i="5" a="1"/>
  <c r="Y154" i="5" s="1"/>
  <c r="AA150" i="4"/>
  <c r="JY150" i="4" s="1"/>
  <c r="Z150" i="4" s="1" a="1"/>
  <c r="Z150" i="4" s="1"/>
  <c r="Y151" i="4" s="1" a="1"/>
  <c r="Y151" i="4" s="1"/>
  <c r="AB150" i="4"/>
  <c r="JZ150" i="4" s="1"/>
  <c r="KF151" i="4"/>
  <c r="KG151" i="4" s="1"/>
  <c r="KE152" i="4" a="1"/>
  <c r="KE152" i="4" s="1"/>
  <c r="X152" i="4"/>
  <c r="X156" i="5" l="1"/>
  <c r="KJ154" i="5"/>
  <c r="KK154" i="5" s="1"/>
  <c r="KI155" i="5" a="1"/>
  <c r="KI155" i="5" s="1"/>
  <c r="AB154" i="5"/>
  <c r="KD154" i="5" s="1"/>
  <c r="AA154" i="5"/>
  <c r="KC154" i="5" s="1"/>
  <c r="Z154" i="5" s="1" a="1"/>
  <c r="Z154" i="5" s="1"/>
  <c r="Y155" i="5" s="1" a="1"/>
  <c r="Y155" i="5" s="1"/>
  <c r="AB151" i="4"/>
  <c r="JZ151" i="4" s="1"/>
  <c r="AA151" i="4"/>
  <c r="JY151" i="4" s="1"/>
  <c r="Z151" i="4" s="1" a="1"/>
  <c r="Z151" i="4" s="1"/>
  <c r="Y152" i="4" s="1" a="1"/>
  <c r="Y152" i="4" s="1"/>
  <c r="X153" i="4"/>
  <c r="KF152" i="4"/>
  <c r="KG152" i="4" s="1"/>
  <c r="KE153" i="4" a="1"/>
  <c r="KE153" i="4" s="1"/>
  <c r="AB155" i="5" l="1"/>
  <c r="KD155" i="5" s="1"/>
  <c r="AA155" i="5"/>
  <c r="KC155" i="5" s="1"/>
  <c r="Z155" i="5" s="1" a="1"/>
  <c r="Z155" i="5" s="1"/>
  <c r="Y156" i="5" s="1" a="1"/>
  <c r="Y156" i="5" s="1"/>
  <c r="KJ155" i="5"/>
  <c r="KK155" i="5" s="1"/>
  <c r="KI156" i="5" a="1"/>
  <c r="KI156" i="5" s="1"/>
  <c r="X157" i="5"/>
  <c r="AB152" i="4"/>
  <c r="JZ152" i="4" s="1"/>
  <c r="AA152" i="4"/>
  <c r="JY152" i="4" s="1"/>
  <c r="Z152" i="4" s="1" a="1"/>
  <c r="Z152" i="4" s="1"/>
  <c r="Y153" i="4" s="1" a="1"/>
  <c r="Y153" i="4" s="1"/>
  <c r="X154" i="4"/>
  <c r="KF153" i="4"/>
  <c r="KG153" i="4" s="1"/>
  <c r="KE154" i="4" a="1"/>
  <c r="KE154" i="4" s="1"/>
  <c r="AB156" i="5" l="1"/>
  <c r="KD156" i="5" s="1"/>
  <c r="AA156" i="5"/>
  <c r="KC156" i="5" s="1"/>
  <c r="Z156" i="5" s="1" a="1"/>
  <c r="Z156" i="5" s="1"/>
  <c r="Y157" i="5" s="1" a="1"/>
  <c r="Y157" i="5" s="1"/>
  <c r="X158" i="5"/>
  <c r="KJ156" i="5"/>
  <c r="KK156" i="5" s="1"/>
  <c r="KI157" i="5" a="1"/>
  <c r="KI157" i="5" s="1"/>
  <c r="AB153" i="4"/>
  <c r="JZ153" i="4" s="1"/>
  <c r="AA153" i="4"/>
  <c r="JY153" i="4" s="1"/>
  <c r="Z153" i="4" s="1" a="1"/>
  <c r="Z153" i="4" s="1"/>
  <c r="KF154" i="4"/>
  <c r="KG154" i="4" s="1"/>
  <c r="KE155" i="4" a="1"/>
  <c r="KE155" i="4" s="1"/>
  <c r="X155" i="4"/>
  <c r="Y154" i="4" a="1"/>
  <c r="Y154" i="4" s="1"/>
  <c r="AB157" i="5" l="1"/>
  <c r="KD157" i="5" s="1"/>
  <c r="AA157" i="5"/>
  <c r="KC157" i="5" s="1"/>
  <c r="Z157" i="5" s="1" a="1"/>
  <c r="Z157" i="5" s="1"/>
  <c r="Y158" i="5" s="1" a="1"/>
  <c r="Y158" i="5" s="1"/>
  <c r="KJ157" i="5"/>
  <c r="KK157" i="5" s="1"/>
  <c r="KI158" i="5" a="1"/>
  <c r="KI158" i="5" s="1"/>
  <c r="X159" i="5"/>
  <c r="KF155" i="4"/>
  <c r="KG155" i="4" s="1"/>
  <c r="KE156" i="4" a="1"/>
  <c r="KE156" i="4" s="1"/>
  <c r="X156" i="4"/>
  <c r="AA154" i="4"/>
  <c r="JY154" i="4" s="1"/>
  <c r="Z154" i="4" s="1" a="1"/>
  <c r="Z154" i="4" s="1"/>
  <c r="Y155" i="4" s="1" a="1"/>
  <c r="Y155" i="4" s="1"/>
  <c r="AB154" i="4"/>
  <c r="JZ154" i="4" s="1"/>
  <c r="AB158" i="5" l="1"/>
  <c r="KD158" i="5" s="1"/>
  <c r="AA158" i="5"/>
  <c r="KC158" i="5" s="1"/>
  <c r="Z158" i="5" s="1" a="1"/>
  <c r="Z158" i="5" s="1"/>
  <c r="Y159" i="5" s="1" a="1"/>
  <c r="Y159" i="5" s="1"/>
  <c r="X160" i="5"/>
  <c r="KJ158" i="5"/>
  <c r="KK158" i="5" s="1"/>
  <c r="KI159" i="5" a="1"/>
  <c r="KI159" i="5" s="1"/>
  <c r="AB155" i="4"/>
  <c r="JZ155" i="4" s="1"/>
  <c r="AA155" i="4"/>
  <c r="JY155" i="4" s="1"/>
  <c r="Z155" i="4" s="1" a="1"/>
  <c r="Z155" i="4" s="1"/>
  <c r="Y156" i="4" s="1" a="1"/>
  <c r="Y156" i="4" s="1"/>
  <c r="X157" i="4"/>
  <c r="KF156" i="4"/>
  <c r="KG156" i="4" s="1"/>
  <c r="KE157" i="4" a="1"/>
  <c r="KE157" i="4" s="1"/>
  <c r="AB159" i="5" l="1"/>
  <c r="KD159" i="5" s="1"/>
  <c r="AA159" i="5"/>
  <c r="KC159" i="5" s="1"/>
  <c r="Z159" i="5" s="1" a="1"/>
  <c r="Z159" i="5" s="1"/>
  <c r="Y160" i="5" s="1" a="1"/>
  <c r="Y160" i="5" s="1"/>
  <c r="KJ159" i="5"/>
  <c r="KK159" i="5" s="1"/>
  <c r="KI160" i="5" a="1"/>
  <c r="KI160" i="5" s="1"/>
  <c r="X161" i="5"/>
  <c r="AB156" i="4"/>
  <c r="JZ156" i="4" s="1"/>
  <c r="AA156" i="4"/>
  <c r="JY156" i="4" s="1"/>
  <c r="Z156" i="4" s="1" a="1"/>
  <c r="Z156" i="4" s="1"/>
  <c r="Y157" i="4" s="1" a="1"/>
  <c r="Y157" i="4" s="1"/>
  <c r="KF157" i="4"/>
  <c r="KG157" i="4" s="1"/>
  <c r="KE158" i="4" a="1"/>
  <c r="KE158" i="4" s="1"/>
  <c r="X158" i="4"/>
  <c r="AB160" i="5" l="1"/>
  <c r="KD160" i="5" s="1"/>
  <c r="AA160" i="5"/>
  <c r="KC160" i="5" s="1"/>
  <c r="Z160" i="5" s="1" a="1"/>
  <c r="Z160" i="5" s="1"/>
  <c r="Y161" i="5" s="1" a="1"/>
  <c r="Y161" i="5" s="1"/>
  <c r="X162" i="5"/>
  <c r="KJ160" i="5"/>
  <c r="KK160" i="5" s="1"/>
  <c r="KI161" i="5" a="1"/>
  <c r="KI161" i="5" s="1"/>
  <c r="AB157" i="4"/>
  <c r="JZ157" i="4" s="1"/>
  <c r="AA157" i="4"/>
  <c r="JY157" i="4" s="1"/>
  <c r="Z157" i="4" s="1" a="1"/>
  <c r="Z157" i="4" s="1"/>
  <c r="Y158" i="4" s="1" a="1"/>
  <c r="Y158" i="4" s="1"/>
  <c r="X159" i="4"/>
  <c r="KF158" i="4"/>
  <c r="KG158" i="4" s="1"/>
  <c r="KE159" i="4" a="1"/>
  <c r="KE159" i="4" s="1"/>
  <c r="AB161" i="5" l="1"/>
  <c r="KD161" i="5" s="1"/>
  <c r="AA161" i="5"/>
  <c r="KC161" i="5" s="1"/>
  <c r="Z161" i="5" s="1" a="1"/>
  <c r="Z161" i="5" s="1"/>
  <c r="KJ161" i="5"/>
  <c r="KK161" i="5" s="1"/>
  <c r="KI162" i="5" a="1"/>
  <c r="KI162" i="5" s="1"/>
  <c r="X163" i="5"/>
  <c r="Y162" i="5" a="1"/>
  <c r="Y162" i="5" s="1"/>
  <c r="AB158" i="4"/>
  <c r="JZ158" i="4" s="1"/>
  <c r="AA158" i="4"/>
  <c r="JY158" i="4" s="1"/>
  <c r="Z158" i="4" s="1" a="1"/>
  <c r="Z158" i="4" s="1"/>
  <c r="Y159" i="4" s="1" a="1"/>
  <c r="Y159" i="4" s="1"/>
  <c r="X160" i="4"/>
  <c r="KF159" i="4"/>
  <c r="KG159" i="4" s="1"/>
  <c r="KE160" i="4" a="1"/>
  <c r="KE160" i="4" s="1"/>
  <c r="X164" i="5" l="1"/>
  <c r="AB162" i="5"/>
  <c r="KD162" i="5" s="1"/>
  <c r="AA162" i="5"/>
  <c r="KC162" i="5" s="1"/>
  <c r="Z162" i="5" s="1" a="1"/>
  <c r="Z162" i="5" s="1"/>
  <c r="Y163" i="5" s="1" a="1"/>
  <c r="Y163" i="5" s="1"/>
  <c r="KJ162" i="5"/>
  <c r="KK162" i="5" s="1"/>
  <c r="KI163" i="5" a="1"/>
  <c r="KI163" i="5" s="1"/>
  <c r="AB159" i="4"/>
  <c r="JZ159" i="4" s="1"/>
  <c r="AA159" i="4"/>
  <c r="JY159" i="4" s="1"/>
  <c r="Z159" i="4" s="1" a="1"/>
  <c r="Z159" i="4" s="1"/>
  <c r="Y160" i="4" s="1" a="1"/>
  <c r="Y160" i="4" s="1"/>
  <c r="KF160" i="4"/>
  <c r="KG160" i="4" s="1"/>
  <c r="KE161" i="4" a="1"/>
  <c r="KE161" i="4" s="1"/>
  <c r="X161" i="4"/>
  <c r="AB163" i="5" l="1"/>
  <c r="KD163" i="5" s="1"/>
  <c r="AA163" i="5"/>
  <c r="KC163" i="5" s="1"/>
  <c r="Z163" i="5" s="1" a="1"/>
  <c r="Z163" i="5" s="1"/>
  <c r="Y164" i="5" s="1" a="1"/>
  <c r="Y164" i="5" s="1"/>
  <c r="KJ163" i="5"/>
  <c r="KK163" i="5" s="1"/>
  <c r="KI164" i="5" a="1"/>
  <c r="KI164" i="5" s="1"/>
  <c r="X165" i="5"/>
  <c r="AB160" i="4"/>
  <c r="JZ160" i="4" s="1"/>
  <c r="AA160" i="4"/>
  <c r="JY160" i="4" s="1"/>
  <c r="Z160" i="4" s="1" a="1"/>
  <c r="Z160" i="4" s="1"/>
  <c r="Y161" i="4" s="1" a="1"/>
  <c r="Y161" i="4" s="1"/>
  <c r="X162" i="4"/>
  <c r="KF161" i="4"/>
  <c r="KG161" i="4" s="1"/>
  <c r="KE162" i="4" a="1"/>
  <c r="KE162" i="4" s="1"/>
  <c r="AB164" i="5" l="1"/>
  <c r="KD164" i="5" s="1"/>
  <c r="AA164" i="5"/>
  <c r="KC164" i="5" s="1"/>
  <c r="Z164" i="5" s="1" a="1"/>
  <c r="Z164" i="5" s="1"/>
  <c r="Y165" i="5" s="1" a="1"/>
  <c r="Y165" i="5" s="1"/>
  <c r="X167" i="5"/>
  <c r="Y166" i="5" a="1"/>
  <c r="Y166" i="5" s="1"/>
  <c r="KJ164" i="5"/>
  <c r="KK164" i="5" s="1"/>
  <c r="KI165" i="5" a="1"/>
  <c r="KI165" i="5" s="1"/>
  <c r="AB161" i="4"/>
  <c r="JZ161" i="4" s="1"/>
  <c r="AA161" i="4"/>
  <c r="JY161" i="4" s="1"/>
  <c r="Z161" i="4" s="1" a="1"/>
  <c r="Z161" i="4" s="1"/>
  <c r="KF162" i="4"/>
  <c r="KG162" i="4" s="1"/>
  <c r="KE163" i="4" a="1"/>
  <c r="KE163" i="4" s="1"/>
  <c r="X163" i="4"/>
  <c r="Y162" i="4" a="1"/>
  <c r="Y162" i="4" s="1"/>
  <c r="AB165" i="5" l="1"/>
  <c r="KD165" i="5" s="1"/>
  <c r="AA165" i="5"/>
  <c r="KC165" i="5" s="1"/>
  <c r="Z165" i="5" s="1" a="1"/>
  <c r="Z165" i="5" s="1"/>
  <c r="AB166" i="5"/>
  <c r="AA166" i="5"/>
  <c r="X168" i="5"/>
  <c r="KJ165" i="5"/>
  <c r="KK165" i="5" s="1"/>
  <c r="KI166" i="5" a="1"/>
  <c r="KI166" i="5" s="1"/>
  <c r="AA162" i="4"/>
  <c r="JY162" i="4" s="1"/>
  <c r="Z162" i="4" s="1" a="1"/>
  <c r="Z162" i="4" s="1"/>
  <c r="Y163" i="4" s="1" a="1"/>
  <c r="Y163" i="4" s="1"/>
  <c r="AB162" i="4"/>
  <c r="JZ162" i="4" s="1"/>
  <c r="X164" i="4"/>
  <c r="KF163" i="4"/>
  <c r="KG163" i="4" s="1"/>
  <c r="KE164" i="4" a="1"/>
  <c r="KE164" i="4" s="1"/>
  <c r="KJ166" i="5" l="1"/>
  <c r="KK166" i="5" s="1"/>
  <c r="KL166" i="5" s="1"/>
  <c r="KI167" i="5" a="1"/>
  <c r="KI167" i="5" s="1"/>
  <c r="KC166" i="5"/>
  <c r="KA166" i="5"/>
  <c r="KD166" i="5"/>
  <c r="KB166" i="5"/>
  <c r="KF166" i="5" s="1"/>
  <c r="Y170" i="5" a="1"/>
  <c r="Y170" i="5" s="1"/>
  <c r="X171" i="5"/>
  <c r="AB163" i="4"/>
  <c r="JZ163" i="4" s="1"/>
  <c r="AA163" i="4"/>
  <c r="JY163" i="4" s="1"/>
  <c r="Z163" i="4" s="1" a="1"/>
  <c r="Z163" i="4" s="1"/>
  <c r="Y164" i="4" s="1" a="1"/>
  <c r="Y164" i="4" s="1"/>
  <c r="X165" i="4"/>
  <c r="KF164" i="4"/>
  <c r="KG164" i="4" s="1"/>
  <c r="KE165" i="4" a="1"/>
  <c r="KE165" i="4" s="1"/>
  <c r="Z166" i="5" l="1" a="1"/>
  <c r="Z166" i="5" s="1"/>
  <c r="Y167" i="5" s="1" a="1"/>
  <c r="Y167" i="5" s="1"/>
  <c r="KE166" i="5"/>
  <c r="X172" i="5"/>
  <c r="KJ167" i="5"/>
  <c r="KK167" i="5" s="1"/>
  <c r="KL167" i="5" s="1"/>
  <c r="KI168" i="5" a="1"/>
  <c r="KI168" i="5" s="1"/>
  <c r="AB170" i="5"/>
  <c r="LP170" i="5" s="1"/>
  <c r="AA170" i="5"/>
  <c r="LO170" i="5" s="1"/>
  <c r="Z170" i="5" s="1" a="1"/>
  <c r="Z170" i="5" s="1"/>
  <c r="Y171" i="5" s="1" a="1"/>
  <c r="Y171" i="5" s="1"/>
  <c r="AA164" i="4"/>
  <c r="JY164" i="4" s="1"/>
  <c r="Z164" i="4" s="1" a="1"/>
  <c r="Z164" i="4" s="1"/>
  <c r="Y165" i="4" s="1" a="1"/>
  <c r="Y165" i="4" s="1"/>
  <c r="AB164" i="4"/>
  <c r="JZ164" i="4" s="1"/>
  <c r="KF165" i="4"/>
  <c r="KG165" i="4" s="1"/>
  <c r="KE166" i="4" a="1"/>
  <c r="KE166" i="4" s="1"/>
  <c r="Y166" i="4" a="1"/>
  <c r="Y166" i="4" s="1"/>
  <c r="X167" i="4"/>
  <c r="AB171" i="5" l="1"/>
  <c r="LP171" i="5" s="1"/>
  <c r="AA171" i="5"/>
  <c r="LO171" i="5" s="1"/>
  <c r="Z171" i="5" s="1" a="1"/>
  <c r="Z171" i="5" s="1"/>
  <c r="Y172" i="5" s="1" a="1"/>
  <c r="Y172" i="5" s="1"/>
  <c r="X173" i="5"/>
  <c r="KJ168" i="5"/>
  <c r="KK168" i="5" s="1"/>
  <c r="KL168" i="5" s="1"/>
  <c r="KI181" i="5" a="1"/>
  <c r="KI181" i="5" s="1"/>
  <c r="AB167" i="5"/>
  <c r="AA167" i="5"/>
  <c r="AB165" i="4"/>
  <c r="JZ165" i="4" s="1"/>
  <c r="AA165" i="4"/>
  <c r="JY165" i="4" s="1"/>
  <c r="Z165" i="4" s="1" a="1"/>
  <c r="Z165" i="4" s="1"/>
  <c r="AA166" i="4"/>
  <c r="AB166" i="4"/>
  <c r="X168" i="4"/>
  <c r="KF166" i="4"/>
  <c r="KG166" i="4" s="1"/>
  <c r="KH166" i="4" s="1"/>
  <c r="KE167" i="4" a="1"/>
  <c r="KE167" i="4" s="1"/>
  <c r="AB172" i="5" l="1"/>
  <c r="LP172" i="5" s="1"/>
  <c r="AA172" i="5"/>
  <c r="LO172" i="5" s="1"/>
  <c r="Z172" i="5" s="1" a="1"/>
  <c r="Z172" i="5" s="1"/>
  <c r="Y173" i="5" s="1" a="1"/>
  <c r="Y173" i="5" s="1"/>
  <c r="KJ181" i="5"/>
  <c r="KK181" i="5" s="1"/>
  <c r="KL181" i="5" s="1"/>
  <c r="KM181" i="5" s="1"/>
  <c r="KI182" i="5" a="1"/>
  <c r="KI182" i="5" s="1"/>
  <c r="KJ182" i="5" s="1"/>
  <c r="KK182" i="5" s="1"/>
  <c r="KL182" i="5" s="1"/>
  <c r="KM182" i="5" s="1"/>
  <c r="KA167" i="5"/>
  <c r="KC167" i="5"/>
  <c r="KB167" i="5"/>
  <c r="KF167" i="5" s="1"/>
  <c r="KD167" i="5"/>
  <c r="X174" i="5"/>
  <c r="X171" i="4"/>
  <c r="Y170" i="4" a="1"/>
  <c r="Y170" i="4" s="1"/>
  <c r="JZ166" i="4"/>
  <c r="JX166" i="4"/>
  <c r="KB166" i="4" s="1"/>
  <c r="KF167" i="4"/>
  <c r="KG167" i="4" s="1"/>
  <c r="KH167" i="4" s="1"/>
  <c r="KE168" i="4" a="1"/>
  <c r="KE168" i="4" s="1"/>
  <c r="JW166" i="4"/>
  <c r="JY166" i="4"/>
  <c r="AB173" i="5" l="1"/>
  <c r="LP173" i="5" s="1"/>
  <c r="AA173" i="5"/>
  <c r="LO173" i="5" s="1"/>
  <c r="Z173" i="5" s="1" a="1"/>
  <c r="Z173" i="5" s="1"/>
  <c r="Y174" i="5" a="1"/>
  <c r="Y174" i="5" s="1"/>
  <c r="X175" i="5"/>
  <c r="Z167" i="5" a="1"/>
  <c r="Z167" i="5" s="1"/>
  <c r="Y168" i="5" s="1" a="1"/>
  <c r="Y168" i="5" s="1"/>
  <c r="KE167" i="5"/>
  <c r="AB170" i="4"/>
  <c r="LL170" i="4" s="1"/>
  <c r="AA170" i="4"/>
  <c r="LK170" i="4" s="1"/>
  <c r="Z170" i="4" s="1" a="1"/>
  <c r="Z170" i="4" s="1"/>
  <c r="Y171" i="4" s="1" a="1"/>
  <c r="Y171" i="4" s="1"/>
  <c r="KF168" i="4"/>
  <c r="KG168" i="4" s="1"/>
  <c r="KH168" i="4" s="1"/>
  <c r="KE181" i="4" a="1"/>
  <c r="KE181" i="4" s="1"/>
  <c r="X172" i="4"/>
  <c r="KA166" i="4"/>
  <c r="Z166" i="4" a="1"/>
  <c r="Z166" i="4" s="1"/>
  <c r="Y167" i="4" s="1" a="1"/>
  <c r="Y167" i="4" s="1"/>
  <c r="AB168" i="5" l="1"/>
  <c r="AA168" i="5"/>
  <c r="X176" i="5"/>
  <c r="AB174" i="5"/>
  <c r="LP174" i="5" s="1"/>
  <c r="AA174" i="5"/>
  <c r="LO174" i="5" s="1"/>
  <c r="Z174" i="5" s="1" a="1"/>
  <c r="Z174" i="5" s="1"/>
  <c r="Y175" i="5" s="1" a="1"/>
  <c r="Y175" i="5" s="1"/>
  <c r="AB171" i="4"/>
  <c r="LL171" i="4" s="1"/>
  <c r="AA171" i="4"/>
  <c r="LK171" i="4" s="1"/>
  <c r="Z171" i="4" s="1" a="1"/>
  <c r="Z171" i="4" s="1"/>
  <c r="Y172" i="4" s="1" a="1"/>
  <c r="Y172" i="4" s="1"/>
  <c r="KF181" i="4"/>
  <c r="KG181" i="4" s="1"/>
  <c r="KH181" i="4" s="1"/>
  <c r="KI181" i="4" s="1"/>
  <c r="KE182" i="4" a="1"/>
  <c r="KE182" i="4" s="1"/>
  <c r="KF182" i="4" s="1"/>
  <c r="KG182" i="4" s="1"/>
  <c r="KH182" i="4" s="1"/>
  <c r="KI182" i="4" s="1"/>
  <c r="X173" i="4"/>
  <c r="AB167" i="4"/>
  <c r="AA167" i="4"/>
  <c r="AB175" i="5" l="1"/>
  <c r="LP175" i="5" s="1"/>
  <c r="AA175" i="5"/>
  <c r="LO175" i="5" s="1"/>
  <c r="Z175" i="5" s="1" a="1"/>
  <c r="Z175" i="5" s="1"/>
  <c r="Y176" i="5" s="1" a="1"/>
  <c r="Y176" i="5" s="1"/>
  <c r="X180" i="5"/>
  <c r="KA168" i="5"/>
  <c r="KC168" i="5"/>
  <c r="KB168" i="5"/>
  <c r="KF168" i="5" s="1"/>
  <c r="KD168" i="5"/>
  <c r="AB172" i="4"/>
  <c r="LL172" i="4" s="1"/>
  <c r="AA172" i="4"/>
  <c r="LK172" i="4" s="1"/>
  <c r="Z172" i="4" s="1" a="1"/>
  <c r="Z172" i="4" s="1"/>
  <c r="Y173" i="4" s="1" a="1"/>
  <c r="Y173" i="4" s="1"/>
  <c r="JW167" i="4"/>
  <c r="JY167" i="4"/>
  <c r="X174" i="4"/>
  <c r="JX167" i="4"/>
  <c r="KB167" i="4" s="1"/>
  <c r="JZ167" i="4"/>
  <c r="AB176" i="5" l="1"/>
  <c r="LP176" i="5" s="1"/>
  <c r="AA176" i="5"/>
  <c r="LO176" i="5" s="1"/>
  <c r="Z176" i="5" s="1" a="1"/>
  <c r="Z176" i="5" s="1"/>
  <c r="Y179" i="5" s="1" a="1"/>
  <c r="Y179" i="5" s="1"/>
  <c r="X181" i="5"/>
  <c r="Z168" i="5" a="1"/>
  <c r="Z168" i="5" s="1"/>
  <c r="KE168" i="5"/>
  <c r="AA173" i="4"/>
  <c r="LK173" i="4" s="1"/>
  <c r="Z173" i="4" s="1" a="1"/>
  <c r="Z173" i="4" s="1"/>
  <c r="AB173" i="4"/>
  <c r="LL173" i="4" s="1"/>
  <c r="Z167" i="4" a="1"/>
  <c r="Z167" i="4" s="1"/>
  <c r="Y168" i="4" s="1" a="1"/>
  <c r="Y168" i="4" s="1"/>
  <c r="KA167" i="4"/>
  <c r="Y174" i="4" a="1"/>
  <c r="Y174" i="4" s="1"/>
  <c r="X175" i="4"/>
  <c r="AB179" i="5" l="1"/>
  <c r="NE179" i="5" s="1"/>
  <c r="AA179" i="5"/>
  <c r="ND179" i="5" s="1"/>
  <c r="Z179" i="5" s="1" a="1"/>
  <c r="Z179" i="5" s="1"/>
  <c r="Y180" i="5" s="1" a="1"/>
  <c r="Y180" i="5" s="1"/>
  <c r="X182" i="5"/>
  <c r="X176" i="4"/>
  <c r="AB174" i="4"/>
  <c r="LL174" i="4" s="1"/>
  <c r="AA174" i="4"/>
  <c r="LK174" i="4" s="1"/>
  <c r="Z174" i="4" s="1" a="1"/>
  <c r="Z174" i="4" s="1"/>
  <c r="Y175" i="4" s="1" a="1"/>
  <c r="Y175" i="4" s="1"/>
  <c r="AB168" i="4"/>
  <c r="AA168" i="4"/>
  <c r="AB180" i="5" l="1"/>
  <c r="AA180" i="5"/>
  <c r="Y181" i="5" a="1"/>
  <c r="Y181" i="5" s="1"/>
  <c r="X184" i="5"/>
  <c r="Y183" i="5" a="1"/>
  <c r="Y183" i="5" s="1"/>
  <c r="AA175" i="4"/>
  <c r="LK175" i="4" s="1"/>
  <c r="Z175" i="4" s="1" a="1"/>
  <c r="Z175" i="4" s="1"/>
  <c r="Y176" i="4" s="1" a="1"/>
  <c r="Y176" i="4" s="1"/>
  <c r="AB175" i="4"/>
  <c r="LL175" i="4" s="1"/>
  <c r="JW168" i="4"/>
  <c r="JY168" i="4"/>
  <c r="JX168" i="4"/>
  <c r="KB168" i="4" s="1"/>
  <c r="JZ168" i="4"/>
  <c r="X180" i="4"/>
  <c r="X185" i="5" l="1"/>
  <c r="AB183" i="5"/>
  <c r="AA183" i="5"/>
  <c r="AB181" i="5"/>
  <c r="KD181" i="5" s="1"/>
  <c r="AA181" i="5"/>
  <c r="KC181" i="5" s="1"/>
  <c r="Z181" i="5" s="1" a="1"/>
  <c r="Z181" i="5" s="1"/>
  <c r="Y182" i="5" s="1" a="1"/>
  <c r="Y182" i="5" s="1"/>
  <c r="AB176" i="4"/>
  <c r="LL176" i="4" s="1"/>
  <c r="AA176" i="4"/>
  <c r="LK176" i="4" s="1"/>
  <c r="Z176" i="4" s="1" a="1"/>
  <c r="Z176" i="4" s="1"/>
  <c r="Y179" i="4" s="1" a="1"/>
  <c r="Y179" i="4" s="1"/>
  <c r="X181" i="4"/>
  <c r="Z168" i="4" a="1"/>
  <c r="Z168" i="4" s="1"/>
  <c r="KA168" i="4"/>
  <c r="OK183" i="5" l="1"/>
  <c r="OU183" i="5"/>
  <c r="OT183" i="5"/>
  <c r="OJ183" i="5"/>
  <c r="AB182" i="5"/>
  <c r="KD182" i="5" s="1"/>
  <c r="AA182" i="5"/>
  <c r="KC182" i="5" s="1"/>
  <c r="Z182" i="5" s="1" a="1"/>
  <c r="Z182" i="5" s="1"/>
  <c r="X187" i="5"/>
  <c r="Y186" i="5" a="1"/>
  <c r="Y186" i="5" s="1"/>
  <c r="AA179" i="4"/>
  <c r="MZ179" i="4" s="1"/>
  <c r="Z179" i="4" s="1" a="1"/>
  <c r="Z179" i="4" s="1"/>
  <c r="Y180" i="4" s="1" a="1"/>
  <c r="Y180" i="4" s="1"/>
  <c r="AB179" i="4"/>
  <c r="NA179" i="4" s="1"/>
  <c r="X182" i="4"/>
  <c r="PX187" i="5" l="1"/>
  <c r="X189" i="5"/>
  <c r="Y188" i="5" a="1"/>
  <c r="Y188" i="5" s="1"/>
  <c r="AB186" i="5"/>
  <c r="KD186" i="5" s="1"/>
  <c r="AA186" i="5"/>
  <c r="KC186" i="5" s="1"/>
  <c r="Z186" i="5" s="1" a="1"/>
  <c r="Z186" i="5" s="1"/>
  <c r="Y187" i="5" s="1" a="1"/>
  <c r="Y187" i="5" s="1"/>
  <c r="OV183" i="5"/>
  <c r="OL183" i="5"/>
  <c r="OW183" i="5"/>
  <c r="OM183" i="5"/>
  <c r="AA180" i="4"/>
  <c r="AB180" i="4"/>
  <c r="Y181" i="4" a="1"/>
  <c r="Y181" i="4" s="1"/>
  <c r="X184" i="4"/>
  <c r="Y183" i="4" a="1"/>
  <c r="Y183" i="4" s="1"/>
  <c r="AB187" i="5" l="1"/>
  <c r="AA187" i="5"/>
  <c r="ON183" i="5"/>
  <c r="OX183" i="5"/>
  <c r="OO183" i="5"/>
  <c r="PA183" i="5" s="1"/>
  <c r="OY183" i="5"/>
  <c r="AA188" i="5"/>
  <c r="AB188" i="5"/>
  <c r="X190" i="5"/>
  <c r="RI187" i="5"/>
  <c r="RR187" i="5"/>
  <c r="RP187" i="5"/>
  <c r="RH187" i="5"/>
  <c r="RG187" i="5"/>
  <c r="RQ187" i="5"/>
  <c r="RM187" i="5"/>
  <c r="RK187" i="5"/>
  <c r="RO187" i="5"/>
  <c r="RN187" i="5"/>
  <c r="RL187" i="5"/>
  <c r="RJ187" i="5"/>
  <c r="AA183" i="4"/>
  <c r="AB183" i="4"/>
  <c r="AB181" i="4"/>
  <c r="JZ181" i="4" s="1"/>
  <c r="AA181" i="4"/>
  <c r="JY181" i="4" s="1"/>
  <c r="Z181" i="4" s="1" a="1"/>
  <c r="Z181" i="4" s="1"/>
  <c r="Y182" i="4" s="1" a="1"/>
  <c r="Y182" i="4" s="1"/>
  <c r="X185" i="4"/>
  <c r="OU188" i="5" l="1"/>
  <c r="OK188" i="5"/>
  <c r="OT188" i="5"/>
  <c r="OJ188" i="5"/>
  <c r="OZ183" i="5"/>
  <c r="Z183" i="5" a="1"/>
  <c r="Z183" i="5" s="1"/>
  <c r="Y184" i="5" s="1" a="1"/>
  <c r="Y184" i="5" s="1"/>
  <c r="X192" i="5"/>
  <c r="Y191" i="5" a="1"/>
  <c r="Y191" i="5" s="1"/>
  <c r="PZ187" i="5"/>
  <c r="QV187" i="5"/>
  <c r="PY187" i="5"/>
  <c r="QU187" i="5"/>
  <c r="AA182" i="4"/>
  <c r="JY182" i="4" s="1"/>
  <c r="Z182" i="4" s="1" a="1"/>
  <c r="Z182" i="4" s="1"/>
  <c r="AB182" i="4"/>
  <c r="JZ182" i="4" s="1"/>
  <c r="X187" i="4"/>
  <c r="Y186" i="4" a="1"/>
  <c r="Y186" i="4" s="1"/>
  <c r="OQ183" i="4"/>
  <c r="OG183" i="4"/>
  <c r="OP183" i="4"/>
  <c r="OF183" i="4"/>
  <c r="AA191" i="5" l="1"/>
  <c r="KC191" i="5" s="1"/>
  <c r="Z191" i="5" s="1" a="1"/>
  <c r="Z191" i="5" s="1"/>
  <c r="Y192" i="5" s="1" a="1"/>
  <c r="Y192" i="5" s="1"/>
  <c r="AB191" i="5"/>
  <c r="KD191" i="5" s="1"/>
  <c r="PX192" i="5"/>
  <c r="X194" i="5"/>
  <c r="Y193" i="5" a="1"/>
  <c r="Y193" i="5" s="1"/>
  <c r="AB184" i="5"/>
  <c r="AA184" i="5"/>
  <c r="QA187" i="5"/>
  <c r="QW187" i="5"/>
  <c r="OL188" i="5"/>
  <c r="OV188" i="5"/>
  <c r="QB187" i="5"/>
  <c r="QX187" i="5"/>
  <c r="OW188" i="5"/>
  <c r="OM188" i="5"/>
  <c r="OS183" i="4"/>
  <c r="OI183" i="4"/>
  <c r="OH183" i="4"/>
  <c r="OR183" i="4"/>
  <c r="AA186" i="4"/>
  <c r="JY186" i="4" s="1"/>
  <c r="Z186" i="4" s="1" a="1"/>
  <c r="Z186" i="4" s="1"/>
  <c r="Y187" i="4" s="1" a="1"/>
  <c r="Y187" i="4" s="1"/>
  <c r="AB186" i="4"/>
  <c r="JZ186" i="4" s="1"/>
  <c r="PT187" i="4"/>
  <c r="X189" i="4"/>
  <c r="Y188" i="4" a="1"/>
  <c r="Y188" i="4" s="1"/>
  <c r="AB192" i="5" l="1"/>
  <c r="AA192" i="5"/>
  <c r="OJ184" i="5"/>
  <c r="OT184" i="5"/>
  <c r="OK184" i="5"/>
  <c r="OU184" i="5"/>
  <c r="AB193" i="5"/>
  <c r="AA193" i="5"/>
  <c r="OY188" i="5"/>
  <c r="OO188" i="5"/>
  <c r="PA188" i="5" s="1"/>
  <c r="QD187" i="5"/>
  <c r="QZ187" i="5"/>
  <c r="X195" i="5"/>
  <c r="QC187" i="5"/>
  <c r="QY187" i="5"/>
  <c r="ON188" i="5"/>
  <c r="OX188" i="5"/>
  <c r="RN192" i="5"/>
  <c r="RL192" i="5"/>
  <c r="RJ192" i="5"/>
  <c r="RO192" i="5"/>
  <c r="RM192" i="5"/>
  <c r="RK192" i="5"/>
  <c r="RH192" i="5"/>
  <c r="RR192" i="5"/>
  <c r="RQ192" i="5"/>
  <c r="RP192" i="5"/>
  <c r="RI192" i="5"/>
  <c r="RG192" i="5"/>
  <c r="AA187" i="4"/>
  <c r="AB187" i="4"/>
  <c r="AA188" i="4"/>
  <c r="AB188" i="4"/>
  <c r="RJ187" i="4"/>
  <c r="RH187" i="4"/>
  <c r="RN187" i="4"/>
  <c r="RL187" i="4"/>
  <c r="RI187" i="4"/>
  <c r="RG187" i="4"/>
  <c r="RE187" i="4"/>
  <c r="RC187" i="4"/>
  <c r="RM187" i="4"/>
  <c r="RK187" i="4"/>
  <c r="RF187" i="4"/>
  <c r="RD187" i="4"/>
  <c r="OJ183" i="4"/>
  <c r="OT183" i="4"/>
  <c r="OU183" i="4"/>
  <c r="OK183" i="4"/>
  <c r="OW183" i="4" s="1"/>
  <c r="X190" i="4"/>
  <c r="OJ193" i="5" l="1"/>
  <c r="OT193" i="5"/>
  <c r="OK193" i="5"/>
  <c r="OU193" i="5"/>
  <c r="Y196" i="5" a="1"/>
  <c r="Y196" i="5" s="1"/>
  <c r="X197" i="5"/>
  <c r="OM184" i="5"/>
  <c r="OW184" i="5"/>
  <c r="OL184" i="5"/>
  <c r="OV184" i="5"/>
  <c r="QE187" i="5"/>
  <c r="RA187" i="5"/>
  <c r="QF187" i="5"/>
  <c r="RB187" i="5"/>
  <c r="PZ192" i="5"/>
  <c r="QV192" i="5"/>
  <c r="OZ188" i="5"/>
  <c r="Z188" i="5" a="1"/>
  <c r="Z188" i="5" s="1"/>
  <c r="Y189" i="5" s="1" a="1"/>
  <c r="Y189" i="5" s="1"/>
  <c r="PY192" i="5"/>
  <c r="QU192" i="5"/>
  <c r="OV183" i="4"/>
  <c r="Z183" i="4" a="1"/>
  <c r="Z183" i="4" s="1"/>
  <c r="Y184" i="4" s="1" a="1"/>
  <c r="Y184" i="4" s="1"/>
  <c r="OG188" i="4"/>
  <c r="OQ188" i="4"/>
  <c r="OF188" i="4"/>
  <c r="OP188" i="4"/>
  <c r="PU187" i="4"/>
  <c r="QQ187" i="4"/>
  <c r="X192" i="4"/>
  <c r="Y191" i="4" a="1"/>
  <c r="Y191" i="4" s="1"/>
  <c r="PV187" i="4"/>
  <c r="QR187" i="4"/>
  <c r="PX197" i="5" l="1"/>
  <c r="X199" i="5"/>
  <c r="Y198" i="5" a="1"/>
  <c r="Y198" i="5" s="1"/>
  <c r="QB192" i="5"/>
  <c r="QX192" i="5"/>
  <c r="QH187" i="5"/>
  <c r="RF187" i="5" s="1"/>
  <c r="RD187" i="5"/>
  <c r="OO184" i="5"/>
  <c r="PA184" i="5" s="1"/>
  <c r="OY184" i="5"/>
  <c r="QG187" i="5"/>
  <c r="RC187" i="5"/>
  <c r="AB196" i="5"/>
  <c r="KD196" i="5" s="1"/>
  <c r="AA196" i="5"/>
  <c r="KC196" i="5" s="1"/>
  <c r="Z196" i="5" s="1" a="1"/>
  <c r="Z196" i="5" s="1"/>
  <c r="Y197" i="5" s="1" a="1"/>
  <c r="Y197" i="5" s="1"/>
  <c r="AB189" i="5"/>
  <c r="AA189" i="5"/>
  <c r="OW193" i="5"/>
  <c r="OM193" i="5"/>
  <c r="QA192" i="5"/>
  <c r="QW192" i="5"/>
  <c r="ON184" i="5"/>
  <c r="OX184" i="5"/>
  <c r="OV193" i="5"/>
  <c r="OL193" i="5"/>
  <c r="AB191" i="4"/>
  <c r="JZ191" i="4" s="1"/>
  <c r="AA191" i="4"/>
  <c r="JY191" i="4" s="1"/>
  <c r="Z191" i="4" s="1" a="1"/>
  <c r="Z191" i="4" s="1"/>
  <c r="Y192" i="4" s="1" a="1"/>
  <c r="Y192" i="4" s="1"/>
  <c r="PW187" i="4"/>
  <c r="QS187" i="4"/>
  <c r="OH188" i="4"/>
  <c r="OR188" i="4"/>
  <c r="PX187" i="4"/>
  <c r="QT187" i="4"/>
  <c r="OS188" i="4"/>
  <c r="OI188" i="4"/>
  <c r="AA184" i="4"/>
  <c r="AB184" i="4"/>
  <c r="PT192" i="4"/>
  <c r="X194" i="4"/>
  <c r="Y193" i="4" a="1"/>
  <c r="Y193" i="4" s="1"/>
  <c r="AB197" i="5" l="1"/>
  <c r="AA197" i="5"/>
  <c r="OJ189" i="5"/>
  <c r="OT189" i="5"/>
  <c r="OY193" i="5"/>
  <c r="OO193" i="5"/>
  <c r="PA193" i="5" s="1"/>
  <c r="QD192" i="5"/>
  <c r="QZ192" i="5"/>
  <c r="RG197" i="5"/>
  <c r="RQ197" i="5"/>
  <c r="RP197" i="5"/>
  <c r="RO197" i="5"/>
  <c r="RM197" i="5"/>
  <c r="RL197" i="5"/>
  <c r="RK197" i="5"/>
  <c r="RJ197" i="5"/>
  <c r="RI197" i="5"/>
  <c r="RH197" i="5"/>
  <c r="RR197" i="5"/>
  <c r="RN197" i="5"/>
  <c r="OX193" i="5"/>
  <c r="ON193" i="5"/>
  <c r="OK189" i="5"/>
  <c r="OU189" i="5"/>
  <c r="AB198" i="5"/>
  <c r="AA198" i="5"/>
  <c r="OZ184" i="5"/>
  <c r="Z184" i="5" a="1"/>
  <c r="Z184" i="5" s="1"/>
  <c r="Y185" i="5" s="1" a="1"/>
  <c r="Y185" i="5" s="1"/>
  <c r="X200" i="5"/>
  <c r="QC192" i="5"/>
  <c r="QY192" i="5"/>
  <c r="RE187" i="5"/>
  <c r="Z187" i="5" a="1"/>
  <c r="Z187" i="5" s="1"/>
  <c r="AB192" i="4"/>
  <c r="AA192" i="4"/>
  <c r="OU188" i="4"/>
  <c r="OK188" i="4"/>
  <c r="OW188" i="4" s="1"/>
  <c r="AB193" i="4"/>
  <c r="AA193" i="4"/>
  <c r="OG184" i="4"/>
  <c r="OQ184" i="4"/>
  <c r="PZ187" i="4"/>
  <c r="QV187" i="4"/>
  <c r="X195" i="4"/>
  <c r="RD192" i="4"/>
  <c r="RC192" i="4"/>
  <c r="RM192" i="4"/>
  <c r="RE192" i="4"/>
  <c r="RN192" i="4"/>
  <c r="RL192" i="4"/>
  <c r="RJ192" i="4"/>
  <c r="RK192" i="4"/>
  <c r="RI192" i="4"/>
  <c r="RH192" i="4"/>
  <c r="RG192" i="4"/>
  <c r="RF192" i="4"/>
  <c r="OJ188" i="4"/>
  <c r="OT188" i="4"/>
  <c r="PY187" i="4"/>
  <c r="QU187" i="4"/>
  <c r="OF184" i="4"/>
  <c r="OP184" i="4"/>
  <c r="OZ193" i="5" l="1"/>
  <c r="Z193" i="5" a="1"/>
  <c r="Z193" i="5" s="1"/>
  <c r="Y194" i="5" s="1" a="1"/>
  <c r="Y194" i="5" s="1"/>
  <c r="QF192" i="5"/>
  <c r="RB192" i="5"/>
  <c r="QE192" i="5"/>
  <c r="RA192" i="5"/>
  <c r="OJ198" i="5"/>
  <c r="OT198" i="5"/>
  <c r="OK198" i="5"/>
  <c r="OU198" i="5"/>
  <c r="OL189" i="5"/>
  <c r="OV189" i="5"/>
  <c r="X202" i="5"/>
  <c r="Y201" i="5" a="1"/>
  <c r="Y201" i="5" s="1"/>
  <c r="PZ197" i="5"/>
  <c r="QV197" i="5"/>
  <c r="AB185" i="5"/>
  <c r="AA185" i="5"/>
  <c r="OM189" i="5"/>
  <c r="OW189" i="5"/>
  <c r="PY197" i="5"/>
  <c r="QU197" i="5"/>
  <c r="QA187" i="4"/>
  <c r="QW187" i="4"/>
  <c r="QB187" i="4"/>
  <c r="QX187" i="4"/>
  <c r="OI184" i="4"/>
  <c r="OS184" i="4"/>
  <c r="OP193" i="4"/>
  <c r="OF193" i="4"/>
  <c r="OQ193" i="4"/>
  <c r="OG193" i="4"/>
  <c r="OV188" i="4"/>
  <c r="Z188" i="4" a="1"/>
  <c r="Z188" i="4" s="1"/>
  <c r="Y189" i="4" s="1" a="1"/>
  <c r="Y189" i="4" s="1"/>
  <c r="OH184" i="4"/>
  <c r="OR184" i="4"/>
  <c r="PV192" i="4"/>
  <c r="QR192" i="4"/>
  <c r="X197" i="4"/>
  <c r="Y196" i="4" a="1"/>
  <c r="Y196" i="4" s="1"/>
  <c r="PU192" i="4"/>
  <c r="QQ192" i="4"/>
  <c r="OO189" i="5" l="1"/>
  <c r="PA189" i="5" s="1"/>
  <c r="OY189" i="5"/>
  <c r="OK185" i="5"/>
  <c r="OU185" i="5"/>
  <c r="OM198" i="5"/>
  <c r="OW198" i="5"/>
  <c r="QB197" i="5"/>
  <c r="QX197" i="5"/>
  <c r="OL198" i="5"/>
  <c r="OV198" i="5"/>
  <c r="AB201" i="5"/>
  <c r="KD201" i="5" s="1"/>
  <c r="AA201" i="5"/>
  <c r="KC201" i="5" s="1"/>
  <c r="Z201" i="5" s="1" a="1"/>
  <c r="Z201" i="5" s="1"/>
  <c r="Y202" i="5" s="1" a="1"/>
  <c r="Y202" i="5" s="1"/>
  <c r="QG192" i="5"/>
  <c r="RC192" i="5"/>
  <c r="PX202" i="5"/>
  <c r="X217" i="5"/>
  <c r="Y203" i="5" a="1"/>
  <c r="Y203" i="5" s="1"/>
  <c r="Y207" i="5" a="1"/>
  <c r="Y207" i="5" s="1"/>
  <c r="Y213" i="5" a="1"/>
  <c r="Y213" i="5" s="1"/>
  <c r="Y204" i="5" a="1"/>
  <c r="Y204" i="5" s="1"/>
  <c r="QA197" i="5"/>
  <c r="QW197" i="5"/>
  <c r="QH192" i="5"/>
  <c r="RF192" i="5" s="1"/>
  <c r="RD192" i="5"/>
  <c r="AA194" i="5"/>
  <c r="AB194" i="5"/>
  <c r="OJ185" i="5"/>
  <c r="OT185" i="5"/>
  <c r="ON189" i="5"/>
  <c r="OX189" i="5"/>
  <c r="OS193" i="4"/>
  <c r="OI193" i="4"/>
  <c r="PW192" i="4"/>
  <c r="QS192" i="4"/>
  <c r="AB196" i="4"/>
  <c r="JZ196" i="4" s="1"/>
  <c r="AA196" i="4"/>
  <c r="JY196" i="4" s="1"/>
  <c r="Z196" i="4" s="1" a="1"/>
  <c r="Z196" i="4" s="1"/>
  <c r="Y197" i="4" s="1" a="1"/>
  <c r="Y197" i="4" s="1"/>
  <c r="OH193" i="4"/>
  <c r="OR193" i="4"/>
  <c r="PT197" i="4"/>
  <c r="Y198" i="4" a="1"/>
  <c r="Y198" i="4" s="1"/>
  <c r="X199" i="4"/>
  <c r="OK184" i="4"/>
  <c r="OW184" i="4" s="1"/>
  <c r="OU184" i="4"/>
  <c r="PX192" i="4"/>
  <c r="QT192" i="4"/>
  <c r="QD187" i="4"/>
  <c r="RB187" i="4" s="1"/>
  <c r="QZ187" i="4"/>
  <c r="OJ184" i="4"/>
  <c r="OT184" i="4"/>
  <c r="AA189" i="4"/>
  <c r="AB189" i="4"/>
  <c r="QC187" i="4"/>
  <c r="QY187" i="4"/>
  <c r="AA202" i="5" l="1"/>
  <c r="AB202" i="5"/>
  <c r="AB207" i="5"/>
  <c r="AA207" i="5"/>
  <c r="ON198" i="5"/>
  <c r="OX198" i="5"/>
  <c r="AA213" i="5"/>
  <c r="AB213" i="5"/>
  <c r="QC197" i="5"/>
  <c r="QY197" i="5"/>
  <c r="AA203" i="5"/>
  <c r="AB203" i="5"/>
  <c r="QD197" i="5"/>
  <c r="QZ197" i="5"/>
  <c r="OZ189" i="5"/>
  <c r="Z189" i="5" a="1"/>
  <c r="Z189" i="5" s="1"/>
  <c r="Y190" i="5" s="1" a="1"/>
  <c r="Y190" i="5" s="1"/>
  <c r="X218" i="5"/>
  <c r="Y217" i="5" a="1"/>
  <c r="Y217" i="5" s="1"/>
  <c r="OL185" i="5"/>
  <c r="OV185" i="5"/>
  <c r="OK194" i="5"/>
  <c r="OU194" i="5"/>
  <c r="OO198" i="5"/>
  <c r="PA198" i="5" s="1"/>
  <c r="OY198" i="5"/>
  <c r="OJ194" i="5"/>
  <c r="OT194" i="5"/>
  <c r="RL202" i="5"/>
  <c r="RK202" i="5"/>
  <c r="RG202" i="5"/>
  <c r="RQ202" i="5"/>
  <c r="RM202" i="5"/>
  <c r="RJ202" i="5"/>
  <c r="RI202" i="5"/>
  <c r="RH202" i="5"/>
  <c r="RR202" i="5"/>
  <c r="RP202" i="5"/>
  <c r="RO202" i="5"/>
  <c r="RN202" i="5"/>
  <c r="OM185" i="5"/>
  <c r="OW185" i="5"/>
  <c r="AA204" i="5"/>
  <c r="KC204" i="5" s="1"/>
  <c r="Z204" i="5" s="1" a="1"/>
  <c r="Z204" i="5" s="1"/>
  <c r="Y206" i="5" s="1" a="1"/>
  <c r="Y206" i="5" s="1"/>
  <c r="AB204" i="5"/>
  <c r="KD204" i="5" s="1"/>
  <c r="RE192" i="5"/>
  <c r="Z192" i="5" a="1"/>
  <c r="Z192" i="5" s="1"/>
  <c r="AB197" i="4"/>
  <c r="AA197" i="4"/>
  <c r="OG189" i="4"/>
  <c r="OQ189" i="4"/>
  <c r="OF189" i="4"/>
  <c r="OP189" i="4"/>
  <c r="OV184" i="4"/>
  <c r="Z184" i="4" a="1"/>
  <c r="Z184" i="4" s="1"/>
  <c r="Y185" i="4" s="1" a="1"/>
  <c r="Y185" i="4" s="1"/>
  <c r="OJ193" i="4"/>
  <c r="OT193" i="4"/>
  <c r="PZ192" i="4"/>
  <c r="QV192" i="4"/>
  <c r="RL197" i="4"/>
  <c r="RI197" i="4"/>
  <c r="RH197" i="4"/>
  <c r="RF197" i="4"/>
  <c r="RN197" i="4"/>
  <c r="RM197" i="4"/>
  <c r="RJ197" i="4"/>
  <c r="RK197" i="4"/>
  <c r="RG197" i="4"/>
  <c r="RE197" i="4"/>
  <c r="RD197" i="4"/>
  <c r="RC197" i="4"/>
  <c r="PY192" i="4"/>
  <c r="QU192" i="4"/>
  <c r="X200" i="4"/>
  <c r="OK193" i="4"/>
  <c r="OW193" i="4" s="1"/>
  <c r="OU193" i="4"/>
  <c r="RA187" i="4"/>
  <c r="Z187" i="4" a="1"/>
  <c r="Z187" i="4" s="1"/>
  <c r="AB198" i="4"/>
  <c r="AA198" i="4"/>
  <c r="AB217" i="5" l="1"/>
  <c r="KD217" i="5" s="1"/>
  <c r="AA217" i="5"/>
  <c r="KC217" i="5" s="1"/>
  <c r="Z217" i="5" s="1" a="1"/>
  <c r="Z217" i="5" s="1"/>
  <c r="Y218" i="5" s="1" a="1"/>
  <c r="Y218" i="5" s="1"/>
  <c r="QE197" i="5"/>
  <c r="RA197" i="5"/>
  <c r="OL194" i="5"/>
  <c r="OV194" i="5"/>
  <c r="OU213" i="5"/>
  <c r="OK213" i="5"/>
  <c r="OJ213" i="5"/>
  <c r="OT213" i="5"/>
  <c r="OT203" i="5"/>
  <c r="OJ203" i="5"/>
  <c r="X219" i="5"/>
  <c r="AA190" i="5"/>
  <c r="AB190" i="5"/>
  <c r="OZ198" i="5"/>
  <c r="Z198" i="5" a="1"/>
  <c r="Z198" i="5" s="1"/>
  <c r="Y199" i="5" s="1" a="1"/>
  <c r="Y199" i="5" s="1"/>
  <c r="OT207" i="5"/>
  <c r="OJ207" i="5"/>
  <c r="OM194" i="5"/>
  <c r="OW194" i="5"/>
  <c r="OK207" i="5"/>
  <c r="OU207" i="5"/>
  <c r="QF197" i="5"/>
  <c r="RB197" i="5"/>
  <c r="AA206" i="5"/>
  <c r="KC206" i="5" s="1"/>
  <c r="Z206" i="5" s="1" a="1"/>
  <c r="Z206" i="5" s="1"/>
  <c r="Y208" i="5" s="1" a="1"/>
  <c r="Y208" i="5" s="1"/>
  <c r="AB206" i="5"/>
  <c r="KD206" i="5" s="1"/>
  <c r="ON185" i="5"/>
  <c r="OX185" i="5"/>
  <c r="PY202" i="5"/>
  <c r="QU202" i="5"/>
  <c r="OU203" i="5"/>
  <c r="OK203" i="5"/>
  <c r="PZ202" i="5"/>
  <c r="QV202" i="5"/>
  <c r="OO185" i="5"/>
  <c r="OY185" i="5"/>
  <c r="QB192" i="4"/>
  <c r="QX192" i="4"/>
  <c r="OP198" i="4"/>
  <c r="OF198" i="4"/>
  <c r="AB185" i="4"/>
  <c r="AA185" i="4"/>
  <c r="OV193" i="4"/>
  <c r="Z193" i="4" a="1"/>
  <c r="Z193" i="4" s="1"/>
  <c r="Y194" i="4" s="1" a="1"/>
  <c r="Y194" i="4" s="1"/>
  <c r="Y201" i="4" a="1"/>
  <c r="Y201" i="4" s="1"/>
  <c r="X202" i="4"/>
  <c r="OH189" i="4"/>
  <c r="OR189" i="4"/>
  <c r="OG198" i="4"/>
  <c r="OQ198" i="4"/>
  <c r="OI189" i="4"/>
  <c r="OS189" i="4"/>
  <c r="QA192" i="4"/>
  <c r="QW192" i="4"/>
  <c r="PV197" i="4"/>
  <c r="QR197" i="4"/>
  <c r="PU197" i="4"/>
  <c r="QQ197" i="4"/>
  <c r="AB208" i="5" l="1"/>
  <c r="KD208" i="5" s="1"/>
  <c r="AA208" i="5"/>
  <c r="KC208" i="5" s="1"/>
  <c r="Z208" i="5" s="1" a="1"/>
  <c r="Z208" i="5" s="1"/>
  <c r="Y210" i="5" s="1" a="1"/>
  <c r="Y210" i="5" s="1"/>
  <c r="AB218" i="5"/>
  <c r="KD218" i="5" s="1"/>
  <c r="AA218" i="5"/>
  <c r="KC218" i="5" s="1"/>
  <c r="Z218" i="5" s="1" a="1"/>
  <c r="Z218" i="5" s="1"/>
  <c r="Y219" i="5" s="1" a="1"/>
  <c r="Y219" i="5" s="1"/>
  <c r="OW213" i="5"/>
  <c r="OM213" i="5"/>
  <c r="OK190" i="5"/>
  <c r="OU190" i="5"/>
  <c r="OJ190" i="5"/>
  <c r="OT190" i="5"/>
  <c r="ON194" i="5"/>
  <c r="OX194" i="5"/>
  <c r="OW203" i="5"/>
  <c r="OM203" i="5"/>
  <c r="OM207" i="5"/>
  <c r="OW207" i="5"/>
  <c r="AA199" i="5"/>
  <c r="AB199" i="5"/>
  <c r="OQ185" i="5"/>
  <c r="PA185" i="5"/>
  <c r="QB202" i="5"/>
  <c r="QX202" i="5"/>
  <c r="X220" i="5"/>
  <c r="QG197" i="5"/>
  <c r="RC197" i="5"/>
  <c r="OV213" i="5"/>
  <c r="OL213" i="5"/>
  <c r="QH197" i="5"/>
  <c r="RF197" i="5" s="1"/>
  <c r="RD197" i="5"/>
  <c r="QA202" i="5"/>
  <c r="QW202" i="5"/>
  <c r="OO194" i="5"/>
  <c r="PA194" i="5" s="1"/>
  <c r="OY194" i="5"/>
  <c r="OV203" i="5"/>
  <c r="OL203" i="5"/>
  <c r="OL207" i="5"/>
  <c r="OV207" i="5"/>
  <c r="OP185" i="5"/>
  <c r="OZ185" i="5"/>
  <c r="OJ189" i="4"/>
  <c r="OT189" i="4"/>
  <c r="PT202" i="4"/>
  <c r="Y204" i="4" a="1"/>
  <c r="Y204" i="4" s="1"/>
  <c r="Y207" i="4" a="1"/>
  <c r="Y207" i="4" s="1"/>
  <c r="X217" i="4"/>
  <c r="Y203" i="4" a="1"/>
  <c r="Y203" i="4" s="1"/>
  <c r="Y213" i="4" a="1"/>
  <c r="Y213" i="4" s="1"/>
  <c r="AA201" i="4"/>
  <c r="JY201" i="4" s="1"/>
  <c r="Z201" i="4" s="1" a="1"/>
  <c r="Z201" i="4" s="1"/>
  <c r="Y202" i="4" s="1" a="1"/>
  <c r="Y202" i="4" s="1"/>
  <c r="AB201" i="4"/>
  <c r="JZ201" i="4" s="1"/>
  <c r="PW197" i="4"/>
  <c r="QS197" i="4"/>
  <c r="QC192" i="4"/>
  <c r="QY192" i="4"/>
  <c r="OF185" i="4"/>
  <c r="OP185" i="4"/>
  <c r="OK189" i="4"/>
  <c r="OW189" i="4" s="1"/>
  <c r="OU189" i="4"/>
  <c r="OG185" i="4"/>
  <c r="OQ185" i="4"/>
  <c r="AA194" i="4"/>
  <c r="AB194" i="4"/>
  <c r="OR198" i="4"/>
  <c r="OH198" i="4"/>
  <c r="OS198" i="4"/>
  <c r="OI198" i="4"/>
  <c r="PX197" i="4"/>
  <c r="QT197" i="4"/>
  <c r="QD192" i="4"/>
  <c r="RB192" i="4" s="1"/>
  <c r="QZ192" i="4"/>
  <c r="AB219" i="5" l="1"/>
  <c r="KD219" i="5" s="1"/>
  <c r="AA219" i="5"/>
  <c r="KC219" i="5" s="1"/>
  <c r="Z219" i="5" s="1" a="1"/>
  <c r="Z219" i="5" s="1"/>
  <c r="Y220" i="5" s="1" a="1"/>
  <c r="Y220" i="5" s="1"/>
  <c r="AB210" i="5"/>
  <c r="KD210" i="5" s="1"/>
  <c r="AA210" i="5"/>
  <c r="KC210" i="5" s="1"/>
  <c r="Z210" i="5" s="1" a="1"/>
  <c r="Z210" i="5" s="1"/>
  <c r="Y212" i="5" s="1" a="1"/>
  <c r="Y212" i="5" s="1"/>
  <c r="OX203" i="5"/>
  <c r="ON203" i="5"/>
  <c r="RE197" i="5"/>
  <c r="Z197" i="5" a="1"/>
  <c r="Z197" i="5" s="1"/>
  <c r="OL190" i="5"/>
  <c r="OV190" i="5"/>
  <c r="OK199" i="5"/>
  <c r="OU199" i="5"/>
  <c r="OM190" i="5"/>
  <c r="OW190" i="5"/>
  <c r="OS185" i="5"/>
  <c r="PE185" i="5" s="1"/>
  <c r="PC185" i="5"/>
  <c r="OJ199" i="5"/>
  <c r="OT199" i="5"/>
  <c r="OY213" i="5"/>
  <c r="OO213" i="5"/>
  <c r="PA213" i="5" s="1"/>
  <c r="OO207" i="5"/>
  <c r="PA207" i="5" s="1"/>
  <c r="OY207" i="5"/>
  <c r="QC202" i="5"/>
  <c r="QY202" i="5"/>
  <c r="OY203" i="5"/>
  <c r="OO203" i="5"/>
  <c r="PA203" i="5" s="1"/>
  <c r="OR185" i="5"/>
  <c r="PB185" i="5"/>
  <c r="Y221" i="5" a="1"/>
  <c r="Y221" i="5" s="1"/>
  <c r="X222" i="5"/>
  <c r="OZ194" i="5"/>
  <c r="Z194" i="5" a="1"/>
  <c r="Z194" i="5" s="1"/>
  <c r="Y195" i="5" s="1" a="1"/>
  <c r="Y195" i="5" s="1"/>
  <c r="ON207" i="5"/>
  <c r="OX207" i="5"/>
  <c r="OX213" i="5"/>
  <c r="ON213" i="5"/>
  <c r="QD202" i="5"/>
  <c r="QZ202" i="5"/>
  <c r="AA202" i="4"/>
  <c r="AB202" i="4"/>
  <c r="AA207" i="4"/>
  <c r="AB207" i="4"/>
  <c r="OG194" i="4"/>
  <c r="OQ194" i="4"/>
  <c r="PY197" i="4"/>
  <c r="QU197" i="4"/>
  <c r="OF194" i="4"/>
  <c r="OP194" i="4"/>
  <c r="OI185" i="4"/>
  <c r="OS185" i="4"/>
  <c r="AB204" i="4"/>
  <c r="JZ204" i="4" s="1"/>
  <c r="AA204" i="4"/>
  <c r="JY204" i="4" s="1"/>
  <c r="Z204" i="4" s="1" a="1"/>
  <c r="Z204" i="4" s="1"/>
  <c r="Y206" i="4" s="1" a="1"/>
  <c r="Y206" i="4" s="1"/>
  <c r="AA213" i="4"/>
  <c r="AB213" i="4"/>
  <c r="OU198" i="4"/>
  <c r="OK198" i="4"/>
  <c r="OW198" i="4" s="1"/>
  <c r="AB203" i="4"/>
  <c r="AA203" i="4"/>
  <c r="RE202" i="4"/>
  <c r="RN202" i="4"/>
  <c r="RM202" i="4"/>
  <c r="RK202" i="4"/>
  <c r="RL202" i="4"/>
  <c r="RJ202" i="4"/>
  <c r="RI202" i="4"/>
  <c r="RH202" i="4"/>
  <c r="RF202" i="4"/>
  <c r="RC202" i="4"/>
  <c r="RG202" i="4"/>
  <c r="RD202" i="4"/>
  <c r="OH185" i="4"/>
  <c r="OR185" i="4"/>
  <c r="PZ197" i="4"/>
  <c r="QV197" i="4"/>
  <c r="OT198" i="4"/>
  <c r="OJ198" i="4"/>
  <c r="RA192" i="4"/>
  <c r="Z192" i="4" a="1"/>
  <c r="Z192" i="4" s="1"/>
  <c r="Y217" i="4" a="1"/>
  <c r="Y217" i="4" s="1"/>
  <c r="X218" i="4"/>
  <c r="OV189" i="4"/>
  <c r="Z189" i="4" a="1"/>
  <c r="Z189" i="4" s="1"/>
  <c r="Y190" i="4" s="1" a="1"/>
  <c r="Y190" i="4" s="1"/>
  <c r="AB212" i="5" l="1"/>
  <c r="KD212" i="5" s="1"/>
  <c r="AA212" i="5"/>
  <c r="KC212" i="5" s="1"/>
  <c r="Z212" i="5" s="1" a="1"/>
  <c r="Z212" i="5" s="1"/>
  <c r="Y214" i="5" s="1" a="1"/>
  <c r="Y214" i="5" s="1"/>
  <c r="AB220" i="5"/>
  <c r="KD220" i="5" s="1"/>
  <c r="AA220" i="5"/>
  <c r="KC220" i="5" s="1"/>
  <c r="Z220" i="5" s="1" a="1"/>
  <c r="Z220" i="5" s="1"/>
  <c r="OL199" i="5"/>
  <c r="OV199" i="5"/>
  <c r="OZ203" i="5"/>
  <c r="Z203" i="5" a="1"/>
  <c r="Z203" i="5" s="1"/>
  <c r="Y205" i="5" s="1" a="1"/>
  <c r="Y205" i="5" s="1"/>
  <c r="ON190" i="5"/>
  <c r="OX190" i="5"/>
  <c r="QF202" i="5"/>
  <c r="RB202" i="5"/>
  <c r="OZ213" i="5"/>
  <c r="Z213" i="5" a="1"/>
  <c r="Z213" i="5" s="1"/>
  <c r="Y215" i="5" s="1" a="1"/>
  <c r="Y215" i="5" s="1"/>
  <c r="PD185" i="5"/>
  <c r="Z185" i="5" a="1"/>
  <c r="Z185" i="5" s="1"/>
  <c r="OZ207" i="5"/>
  <c r="Z207" i="5" a="1"/>
  <c r="Z207" i="5" s="1"/>
  <c r="Y209" i="5" s="1" a="1"/>
  <c r="Y209" i="5" s="1"/>
  <c r="AA195" i="5"/>
  <c r="AB195" i="5"/>
  <c r="QE202" i="5"/>
  <c r="RA202" i="5"/>
  <c r="OO190" i="5"/>
  <c r="OY190" i="5"/>
  <c r="KF222" i="5"/>
  <c r="X224" i="5"/>
  <c r="Y223" i="5" a="1"/>
  <c r="Y223" i="5" s="1"/>
  <c r="OM199" i="5"/>
  <c r="OW199" i="5"/>
  <c r="AA221" i="5"/>
  <c r="AB221" i="5"/>
  <c r="KD221" i="5" s="1"/>
  <c r="OK185" i="4"/>
  <c r="OU185" i="4"/>
  <c r="OJ185" i="4"/>
  <c r="OT185" i="4"/>
  <c r="OH194" i="4"/>
  <c r="OR194" i="4"/>
  <c r="AA217" i="4"/>
  <c r="JY217" i="4" s="1"/>
  <c r="Z217" i="4" s="1" a="1"/>
  <c r="Z217" i="4" s="1"/>
  <c r="Y218" i="4" s="1" a="1"/>
  <c r="Y218" i="4" s="1"/>
  <c r="AB217" i="4"/>
  <c r="JZ217" i="4" s="1"/>
  <c r="OP203" i="4"/>
  <c r="OF203" i="4"/>
  <c r="OQ203" i="4"/>
  <c r="OG203" i="4"/>
  <c r="QA197" i="4"/>
  <c r="QW197" i="4"/>
  <c r="OI194" i="4"/>
  <c r="OS194" i="4"/>
  <c r="OV198" i="4"/>
  <c r="Z198" i="4" a="1"/>
  <c r="Z198" i="4" s="1"/>
  <c r="Y199" i="4" s="1" a="1"/>
  <c r="Y199" i="4" s="1"/>
  <c r="OQ213" i="4"/>
  <c r="OG213" i="4"/>
  <c r="OQ207" i="4"/>
  <c r="OG207" i="4"/>
  <c r="X219" i="4"/>
  <c r="OF213" i="4"/>
  <c r="OP213" i="4"/>
  <c r="OF207" i="4"/>
  <c r="OP207" i="4"/>
  <c r="AB206" i="4"/>
  <c r="JZ206" i="4" s="1"/>
  <c r="AA206" i="4"/>
  <c r="JY206" i="4" s="1"/>
  <c r="Z206" i="4" s="1" a="1"/>
  <c r="Z206" i="4" s="1"/>
  <c r="Y208" i="4" s="1" a="1"/>
  <c r="Y208" i="4" s="1"/>
  <c r="QB197" i="4"/>
  <c r="QX197" i="4"/>
  <c r="PU202" i="4"/>
  <c r="QQ202" i="4"/>
  <c r="AB190" i="4"/>
  <c r="AA190" i="4"/>
  <c r="PV202" i="4"/>
  <c r="QR202" i="4"/>
  <c r="AA214" i="5" l="1"/>
  <c r="KC214" i="5" s="1"/>
  <c r="Z214" i="5" s="1" a="1"/>
  <c r="Z214" i="5" s="1"/>
  <c r="Y216" i="5" s="1" a="1"/>
  <c r="Y216" i="5" s="1"/>
  <c r="AB214" i="5"/>
  <c r="KD214" i="5" s="1"/>
  <c r="AB205" i="5"/>
  <c r="AA205" i="5"/>
  <c r="OO199" i="5"/>
  <c r="PA199" i="5" s="1"/>
  <c r="OY199" i="5"/>
  <c r="AB223" i="5"/>
  <c r="KD223" i="5" s="1"/>
  <c r="AA223" i="5"/>
  <c r="KC223" i="5" s="1"/>
  <c r="Z223" i="5" s="1" a="1"/>
  <c r="Z223" i="5" s="1"/>
  <c r="Y224" i="5" s="1" a="1"/>
  <c r="Y224" i="5" s="1"/>
  <c r="OK195" i="5"/>
  <c r="OU195" i="5"/>
  <c r="X234" i="5"/>
  <c r="Y233" i="5" a="1"/>
  <c r="Y233" i="5" s="1"/>
  <c r="OJ195" i="5"/>
  <c r="OT195" i="5"/>
  <c r="AA209" i="5"/>
  <c r="AB209" i="5"/>
  <c r="ON199" i="5"/>
  <c r="OX199" i="5"/>
  <c r="AA215" i="5"/>
  <c r="AB215" i="5"/>
  <c r="KC221" i="5"/>
  <c r="KA221" i="5"/>
  <c r="OQ190" i="5"/>
  <c r="PA190" i="5"/>
  <c r="QH202" i="5"/>
  <c r="RF202" i="5" s="1"/>
  <c r="RD202" i="5"/>
  <c r="QG202" i="5"/>
  <c r="RC202" i="5"/>
  <c r="OP190" i="5"/>
  <c r="OZ190" i="5"/>
  <c r="AB208" i="4"/>
  <c r="JZ208" i="4" s="1"/>
  <c r="AA208" i="4"/>
  <c r="JY208" i="4" s="1"/>
  <c r="Z208" i="4" s="1" a="1"/>
  <c r="Z208" i="4" s="1"/>
  <c r="Y210" i="4" s="1" a="1"/>
  <c r="Y210" i="4" s="1"/>
  <c r="AA218" i="4"/>
  <c r="JY218" i="4" s="1"/>
  <c r="Z218" i="4" s="1" a="1"/>
  <c r="Z218" i="4" s="1"/>
  <c r="Y219" i="4" s="1" a="1"/>
  <c r="Y219" i="4" s="1"/>
  <c r="AB218" i="4"/>
  <c r="JZ218" i="4" s="1"/>
  <c r="OH203" i="4"/>
  <c r="OR203" i="4"/>
  <c r="OI213" i="4"/>
  <c r="OS213" i="4"/>
  <c r="AB199" i="4"/>
  <c r="AA199" i="4"/>
  <c r="OR207" i="4"/>
  <c r="OH207" i="4"/>
  <c r="PX202" i="4"/>
  <c r="QT202" i="4"/>
  <c r="OJ194" i="4"/>
  <c r="OT194" i="4"/>
  <c r="QD197" i="4"/>
  <c r="RB197" i="4" s="1"/>
  <c r="QZ197" i="4"/>
  <c r="OF190" i="4"/>
  <c r="OP190" i="4"/>
  <c r="OK194" i="4"/>
  <c r="OW194" i="4" s="1"/>
  <c r="OU194" i="4"/>
  <c r="OL185" i="4"/>
  <c r="OV185" i="4"/>
  <c r="OS207" i="4"/>
  <c r="OI207" i="4"/>
  <c r="OR213" i="4"/>
  <c r="OH213" i="4"/>
  <c r="OG190" i="4"/>
  <c r="OQ190" i="4"/>
  <c r="X220" i="4"/>
  <c r="QC197" i="4"/>
  <c r="QY197" i="4"/>
  <c r="PW202" i="4"/>
  <c r="QS202" i="4"/>
  <c r="OI203" i="4"/>
  <c r="OS203" i="4"/>
  <c r="OM185" i="4"/>
  <c r="OW185" i="4"/>
  <c r="AB224" i="5" l="1"/>
  <c r="KD224" i="5" s="1"/>
  <c r="AA224" i="5"/>
  <c r="KC224" i="5" s="1"/>
  <c r="Z224" i="5" s="1" a="1"/>
  <c r="Z224" i="5" s="1"/>
  <c r="AA216" i="5"/>
  <c r="KC216" i="5" s="1"/>
  <c r="Z216" i="5" s="1" a="1"/>
  <c r="Z216" i="5" s="1"/>
  <c r="AB216" i="5"/>
  <c r="KD216" i="5" s="1"/>
  <c r="OT215" i="5"/>
  <c r="OJ215" i="5"/>
  <c r="OK209" i="5"/>
  <c r="OU209" i="5"/>
  <c r="OU215" i="5"/>
  <c r="OK215" i="5"/>
  <c r="OR190" i="5"/>
  <c r="PB190" i="5"/>
  <c r="OZ199" i="5"/>
  <c r="Z199" i="5" a="1"/>
  <c r="Z199" i="5" s="1"/>
  <c r="Y200" i="5" s="1" a="1"/>
  <c r="Y200" i="5" s="1"/>
  <c r="OJ209" i="5"/>
  <c r="OT209" i="5"/>
  <c r="OM195" i="5"/>
  <c r="OW195" i="5"/>
  <c r="OS190" i="5"/>
  <c r="PE190" i="5" s="1"/>
  <c r="PC190" i="5"/>
  <c r="Z221" i="5" a="1"/>
  <c r="Z221" i="5" s="1"/>
  <c r="Y222" i="5" s="1" a="1"/>
  <c r="Y222" i="5" s="1"/>
  <c r="KE221" i="5"/>
  <c r="OL195" i="5"/>
  <c r="OV195" i="5"/>
  <c r="OT205" i="5"/>
  <c r="OJ205" i="5"/>
  <c r="AB233" i="5"/>
  <c r="KD233" i="5" s="1"/>
  <c r="AA233" i="5"/>
  <c r="KC233" i="5" s="1"/>
  <c r="Z233" i="5" s="1" a="1"/>
  <c r="Z233" i="5" s="1"/>
  <c r="Y234" i="5" s="1" a="1"/>
  <c r="Y234" i="5" s="1"/>
  <c r="OU205" i="5"/>
  <c r="OK205" i="5"/>
  <c r="X236" i="5"/>
  <c r="Y235" i="5" a="1"/>
  <c r="Y235" i="5" s="1"/>
  <c r="RE202" i="5"/>
  <c r="Z202" i="5" a="1"/>
  <c r="Z202" i="5" s="1"/>
  <c r="AB210" i="4"/>
  <c r="JZ210" i="4" s="1"/>
  <c r="AA210" i="4"/>
  <c r="JY210" i="4" s="1"/>
  <c r="Z210" i="4" s="1" a="1"/>
  <c r="Z210" i="4" s="1"/>
  <c r="Y212" i="4" s="1" a="1"/>
  <c r="Y212" i="4" s="1"/>
  <c r="AB219" i="4"/>
  <c r="JZ219" i="4" s="1"/>
  <c r="AA219" i="4"/>
  <c r="JY219" i="4" s="1"/>
  <c r="Z219" i="4" s="1" a="1"/>
  <c r="Z219" i="4" s="1"/>
  <c r="Y220" i="4" s="1" a="1"/>
  <c r="Y220" i="4" s="1"/>
  <c r="X222" i="4"/>
  <c r="Y221" i="4" a="1"/>
  <c r="Y221" i="4" s="1"/>
  <c r="OI190" i="4"/>
  <c r="OS190" i="4"/>
  <c r="OH190" i="4"/>
  <c r="OR190" i="4"/>
  <c r="OG199" i="4"/>
  <c r="OQ199" i="4"/>
  <c r="RA197" i="4"/>
  <c r="Z197" i="4" a="1"/>
  <c r="Z197" i="4" s="1"/>
  <c r="OT207" i="4"/>
  <c r="OJ207" i="4"/>
  <c r="OF199" i="4"/>
  <c r="OP199" i="4"/>
  <c r="OK203" i="4"/>
  <c r="OW203" i="4" s="1"/>
  <c r="OU203" i="4"/>
  <c r="OJ213" i="4"/>
  <c r="OT213" i="4"/>
  <c r="OU213" i="4"/>
  <c r="OK213" i="4"/>
  <c r="OW213" i="4" s="1"/>
  <c r="ON185" i="4"/>
  <c r="OX185" i="4"/>
  <c r="OO185" i="4"/>
  <c r="PA185" i="4" s="1"/>
  <c r="OY185" i="4"/>
  <c r="OU207" i="4"/>
  <c r="OK207" i="4"/>
  <c r="OW207" i="4" s="1"/>
  <c r="OV194" i="4"/>
  <c r="Z194" i="4" a="1"/>
  <c r="Z194" i="4" s="1"/>
  <c r="Y195" i="4" s="1" a="1"/>
  <c r="Y195" i="4" s="1"/>
  <c r="PY202" i="4"/>
  <c r="QU202" i="4"/>
  <c r="OT203" i="4"/>
  <c r="OJ203" i="4"/>
  <c r="PZ202" i="4"/>
  <c r="QV202" i="4"/>
  <c r="AB234" i="5" l="1"/>
  <c r="KD234" i="5" s="1"/>
  <c r="AA234" i="5"/>
  <c r="KC234" i="5" s="1"/>
  <c r="Z234" i="5" s="1" a="1"/>
  <c r="Z234" i="5" s="1"/>
  <c r="OW205" i="5"/>
  <c r="OM205" i="5"/>
  <c r="OW215" i="5"/>
  <c r="OM215" i="5"/>
  <c r="AA222" i="5"/>
  <c r="AB222" i="5"/>
  <c r="KD222" i="5" s="1"/>
  <c r="OM209" i="5"/>
  <c r="OW209" i="5"/>
  <c r="X237" i="5"/>
  <c r="OV205" i="5"/>
  <c r="OL205" i="5"/>
  <c r="OO195" i="5"/>
  <c r="OY195" i="5"/>
  <c r="OV215" i="5"/>
  <c r="OL215" i="5"/>
  <c r="AB235" i="5"/>
  <c r="KD235" i="5" s="1"/>
  <c r="AA235" i="5"/>
  <c r="KC235" i="5" s="1"/>
  <c r="Z235" i="5" s="1" a="1"/>
  <c r="Z235" i="5" s="1"/>
  <c r="Y236" i="5" s="1" a="1"/>
  <c r="Y236" i="5" s="1"/>
  <c r="OV209" i="5"/>
  <c r="OL209" i="5"/>
  <c r="AB200" i="5"/>
  <c r="AA200" i="5"/>
  <c r="ON195" i="5"/>
  <c r="OX195" i="5"/>
  <c r="PD190" i="5"/>
  <c r="Z190" i="5" a="1"/>
  <c r="Z190" i="5" s="1"/>
  <c r="AB220" i="4"/>
  <c r="JZ220" i="4" s="1"/>
  <c r="AA220" i="4"/>
  <c r="JY220" i="4" s="1"/>
  <c r="Z220" i="4" s="1" a="1"/>
  <c r="Z220" i="4" s="1"/>
  <c r="AB212" i="4"/>
  <c r="JZ212" i="4" s="1"/>
  <c r="AA212" i="4"/>
  <c r="JY212" i="4" s="1"/>
  <c r="Z212" i="4" s="1" a="1"/>
  <c r="Z212" i="4" s="1"/>
  <c r="Y214" i="4" s="1" a="1"/>
  <c r="Y214" i="4" s="1"/>
  <c r="OV213" i="4"/>
  <c r="Z213" i="4" a="1"/>
  <c r="Z213" i="4" s="1"/>
  <c r="Y215" i="4" s="1" a="1"/>
  <c r="Y215" i="4" s="1"/>
  <c r="OK190" i="4"/>
  <c r="OU190" i="4"/>
  <c r="AB221" i="4"/>
  <c r="JZ221" i="4" s="1"/>
  <c r="AA221" i="4"/>
  <c r="QA202" i="4"/>
  <c r="QW202" i="4"/>
  <c r="KB222" i="4"/>
  <c r="X224" i="4"/>
  <c r="Y223" i="4" a="1"/>
  <c r="Y223" i="4" s="1"/>
  <c r="OH199" i="4"/>
  <c r="OR199" i="4"/>
  <c r="OV207" i="4"/>
  <c r="Z207" i="4" a="1"/>
  <c r="Z207" i="4" s="1"/>
  <c r="Y209" i="4" s="1" a="1"/>
  <c r="Y209" i="4" s="1"/>
  <c r="QB202" i="4"/>
  <c r="QX202" i="4"/>
  <c r="OZ185" i="4"/>
  <c r="Z185" i="4" a="1"/>
  <c r="Z185" i="4" s="1"/>
  <c r="OV203" i="4"/>
  <c r="Z203" i="4" a="1"/>
  <c r="Z203" i="4" s="1"/>
  <c r="Y205" i="4" s="1" a="1"/>
  <c r="Y205" i="4" s="1"/>
  <c r="OI199" i="4"/>
  <c r="OS199" i="4"/>
  <c r="AB195" i="4"/>
  <c r="AA195" i="4"/>
  <c r="OJ190" i="4"/>
  <c r="OT190" i="4"/>
  <c r="AB236" i="5" l="1"/>
  <c r="KD236" i="5" s="1"/>
  <c r="AA236" i="5"/>
  <c r="KC236" i="5" s="1"/>
  <c r="Z236" i="5" s="1" a="1"/>
  <c r="Z236" i="5" s="1"/>
  <c r="Y237" i="5" s="1" a="1"/>
  <c r="Y237" i="5" s="1"/>
  <c r="OX215" i="5"/>
  <c r="ON215" i="5"/>
  <c r="OJ200" i="5"/>
  <c r="OT200" i="5"/>
  <c r="OK200" i="5"/>
  <c r="OU200" i="5"/>
  <c r="OO209" i="5"/>
  <c r="PA209" i="5" s="1"/>
  <c r="OY209" i="5"/>
  <c r="OQ195" i="5"/>
  <c r="PA195" i="5"/>
  <c r="ON209" i="5"/>
  <c r="OX209" i="5"/>
  <c r="KA222" i="5"/>
  <c r="KC222" i="5"/>
  <c r="OY215" i="5"/>
  <c r="OO215" i="5"/>
  <c r="PA215" i="5" s="1"/>
  <c r="OX205" i="5"/>
  <c r="ON205" i="5"/>
  <c r="OY205" i="5"/>
  <c r="OO205" i="5"/>
  <c r="PA205" i="5" s="1"/>
  <c r="OP195" i="5"/>
  <c r="OZ195" i="5"/>
  <c r="X238" i="5"/>
  <c r="AA214" i="4"/>
  <c r="JY214" i="4" s="1"/>
  <c r="Z214" i="4" s="1" a="1"/>
  <c r="Z214" i="4" s="1"/>
  <c r="Y216" i="4" s="1" a="1"/>
  <c r="Y216" i="4" s="1"/>
  <c r="AB214" i="4"/>
  <c r="JZ214" i="4" s="1"/>
  <c r="OK199" i="4"/>
  <c r="OW199" i="4" s="1"/>
  <c r="OU199" i="4"/>
  <c r="AB223" i="4"/>
  <c r="JZ223" i="4" s="1"/>
  <c r="AA223" i="4"/>
  <c r="JY223" i="4" s="1"/>
  <c r="Z223" i="4" s="1" a="1"/>
  <c r="Z223" i="4" s="1"/>
  <c r="Y224" i="4" s="1" a="1"/>
  <c r="Y224" i="4" s="1"/>
  <c r="X234" i="4"/>
  <c r="Y233" i="4" a="1"/>
  <c r="Y233" i="4" s="1"/>
  <c r="OM190" i="4"/>
  <c r="OW190" i="4"/>
  <c r="AB215" i="4"/>
  <c r="AA215" i="4"/>
  <c r="AA205" i="4"/>
  <c r="AB205" i="4"/>
  <c r="AA209" i="4"/>
  <c r="AB209" i="4"/>
  <c r="OF195" i="4"/>
  <c r="OP195" i="4"/>
  <c r="QC202" i="4"/>
  <c r="QY202" i="4"/>
  <c r="OG195" i="4"/>
  <c r="OQ195" i="4"/>
  <c r="JY221" i="4"/>
  <c r="JW221" i="4"/>
  <c r="OJ199" i="4"/>
  <c r="OT199" i="4"/>
  <c r="QD202" i="4"/>
  <c r="RB202" i="4" s="1"/>
  <c r="QZ202" i="4"/>
  <c r="OL190" i="4"/>
  <c r="OV190" i="4"/>
  <c r="AB237" i="5" l="1"/>
  <c r="KD237" i="5" s="1"/>
  <c r="AA237" i="5"/>
  <c r="KC237" i="5" s="1"/>
  <c r="Z237" i="5" s="1" a="1"/>
  <c r="Z237" i="5" s="1"/>
  <c r="Y238" i="5" s="1" a="1"/>
  <c r="Y238" i="5" s="1"/>
  <c r="OZ209" i="5"/>
  <c r="Z209" i="5" a="1"/>
  <c r="Z209" i="5" s="1"/>
  <c r="Y211" i="5" s="1" a="1"/>
  <c r="Y211" i="5" s="1"/>
  <c r="X239" i="5"/>
  <c r="OM200" i="5"/>
  <c r="OW200" i="5"/>
  <c r="Z222" i="5" a="1"/>
  <c r="Z222" i="5" s="1"/>
  <c r="KE222" i="5"/>
  <c r="OL200" i="5"/>
  <c r="OV200" i="5"/>
  <c r="OZ215" i="5"/>
  <c r="Z215" i="5" a="1"/>
  <c r="Z215" i="5" s="1"/>
  <c r="OR195" i="5"/>
  <c r="PB195" i="5"/>
  <c r="OZ205" i="5"/>
  <c r="Z205" i="5" a="1"/>
  <c r="Z205" i="5" s="1"/>
  <c r="OS195" i="5"/>
  <c r="PE195" i="5" s="1"/>
  <c r="PC195" i="5"/>
  <c r="AA216" i="4"/>
  <c r="JY216" i="4" s="1"/>
  <c r="Z216" i="4" s="1" a="1"/>
  <c r="Z216" i="4" s="1"/>
  <c r="AB216" i="4"/>
  <c r="JZ216" i="4" s="1"/>
  <c r="AB224" i="4"/>
  <c r="JZ224" i="4" s="1"/>
  <c r="AA224" i="4"/>
  <c r="JY224" i="4" s="1"/>
  <c r="Z224" i="4" s="1" a="1"/>
  <c r="Z224" i="4" s="1"/>
  <c r="ON190" i="4"/>
  <c r="OX190" i="4"/>
  <c r="OH195" i="4"/>
  <c r="OR195" i="4"/>
  <c r="AB233" i="4"/>
  <c r="JZ233" i="4" s="1"/>
  <c r="AA233" i="4"/>
  <c r="JY233" i="4" s="1"/>
  <c r="Z233" i="4" s="1" a="1"/>
  <c r="Z233" i="4" s="1"/>
  <c r="Y234" i="4" s="1" a="1"/>
  <c r="Y234" i="4" s="1"/>
  <c r="OP209" i="4"/>
  <c r="OF209" i="4"/>
  <c r="OG205" i="4"/>
  <c r="OQ205" i="4"/>
  <c r="OO190" i="4"/>
  <c r="PA190" i="4" s="1"/>
  <c r="OY190" i="4"/>
  <c r="RA202" i="4"/>
  <c r="Z202" i="4" a="1"/>
  <c r="Z202" i="4" s="1"/>
  <c r="Z221" i="4" a="1"/>
  <c r="Z221" i="4" s="1"/>
  <c r="Y222" i="4" s="1" a="1"/>
  <c r="Y222" i="4" s="1"/>
  <c r="KA221" i="4"/>
  <c r="OF205" i="4"/>
  <c r="OP205" i="4"/>
  <c r="OQ209" i="4"/>
  <c r="OG209" i="4"/>
  <c r="OV199" i="4"/>
  <c r="Z199" i="4" a="1"/>
  <c r="Z199" i="4" s="1"/>
  <c r="Y200" i="4" s="1" a="1"/>
  <c r="Y200" i="4" s="1"/>
  <c r="OF215" i="4"/>
  <c r="OP215" i="4"/>
  <c r="OG215" i="4"/>
  <c r="OQ215" i="4"/>
  <c r="OI195" i="4"/>
  <c r="OS195" i="4"/>
  <c r="AB238" i="5" l="1"/>
  <c r="KD238" i="5" s="1"/>
  <c r="AA238" i="5"/>
  <c r="KC238" i="5" s="1"/>
  <c r="Z238" i="5" s="1" a="1"/>
  <c r="Z238" i="5" s="1"/>
  <c r="Y239" i="5" s="1" a="1"/>
  <c r="Y239" i="5" s="1"/>
  <c r="PD195" i="5"/>
  <c r="Z195" i="5" a="1"/>
  <c r="Z195" i="5" s="1"/>
  <c r="OO200" i="5"/>
  <c r="OY200" i="5"/>
  <c r="X240" i="5"/>
  <c r="ON200" i="5"/>
  <c r="OX200" i="5"/>
  <c r="AA211" i="5"/>
  <c r="AB211" i="5"/>
  <c r="AB234" i="4"/>
  <c r="JZ234" i="4" s="1"/>
  <c r="AA234" i="4"/>
  <c r="JY234" i="4" s="1"/>
  <c r="Z234" i="4" s="1" a="1"/>
  <c r="Z234" i="4" s="1"/>
  <c r="OH205" i="4"/>
  <c r="OR205" i="4"/>
  <c r="OK195" i="4"/>
  <c r="OU195" i="4"/>
  <c r="OS215" i="4"/>
  <c r="OI215" i="4"/>
  <c r="OJ195" i="4"/>
  <c r="OT195" i="4"/>
  <c r="AA200" i="4"/>
  <c r="AB200" i="4"/>
  <c r="OR209" i="4"/>
  <c r="OH209" i="4"/>
  <c r="OR215" i="4"/>
  <c r="OH215" i="4"/>
  <c r="OZ190" i="4"/>
  <c r="Z190" i="4" a="1"/>
  <c r="Z190" i="4" s="1"/>
  <c r="AB222" i="4"/>
  <c r="JZ222" i="4" s="1"/>
  <c r="AA222" i="4"/>
  <c r="OS209" i="4"/>
  <c r="OI209" i="4"/>
  <c r="OI205" i="4"/>
  <c r="OS205" i="4"/>
  <c r="AA239" i="5" l="1"/>
  <c r="KC239" i="5" s="1"/>
  <c r="Z239" i="5" s="1" a="1"/>
  <c r="Z239" i="5" s="1"/>
  <c r="Y240" i="5" s="1" a="1"/>
  <c r="Y240" i="5" s="1"/>
  <c r="AB239" i="5"/>
  <c r="KD239" i="5" s="1"/>
  <c r="OP200" i="5"/>
  <c r="OZ200" i="5"/>
  <c r="X241" i="5"/>
  <c r="OQ200" i="5"/>
  <c r="PA200" i="5"/>
  <c r="OU211" i="5"/>
  <c r="OK211" i="5"/>
  <c r="OJ211" i="5"/>
  <c r="OT211" i="5"/>
  <c r="OF200" i="4"/>
  <c r="OP200" i="4"/>
  <c r="OL195" i="4"/>
  <c r="OV195" i="4"/>
  <c r="OU215" i="4"/>
  <c r="OK215" i="4"/>
  <c r="OW215" i="4" s="1"/>
  <c r="OU205" i="4"/>
  <c r="OK205" i="4"/>
  <c r="OW205" i="4" s="1"/>
  <c r="OJ215" i="4"/>
  <c r="OT215" i="4"/>
  <c r="OM195" i="4"/>
  <c r="OW195" i="4"/>
  <c r="JW222" i="4"/>
  <c r="JY222" i="4"/>
  <c r="OT209" i="4"/>
  <c r="OJ209" i="4"/>
  <c r="OJ205" i="4"/>
  <c r="OT205" i="4"/>
  <c r="OK209" i="4"/>
  <c r="OW209" i="4" s="1"/>
  <c r="OU209" i="4"/>
  <c r="OG200" i="4"/>
  <c r="OQ200" i="4"/>
  <c r="AA240" i="5" l="1"/>
  <c r="KC240" i="5" s="1"/>
  <c r="Z240" i="5" s="1" a="1"/>
  <c r="Z240" i="5" s="1"/>
  <c r="Y241" i="5" s="1" a="1"/>
  <c r="Y241" i="5" s="1"/>
  <c r="AB240" i="5"/>
  <c r="KD240" i="5" s="1"/>
  <c r="X242" i="5"/>
  <c r="OV211" i="5"/>
  <c r="OL211" i="5"/>
  <c r="OS200" i="5"/>
  <c r="PE200" i="5" s="1"/>
  <c r="PC200" i="5"/>
  <c r="OR200" i="5"/>
  <c r="PB200" i="5"/>
  <c r="OW211" i="5"/>
  <c r="OM211" i="5"/>
  <c r="OI200" i="4"/>
  <c r="OS200" i="4"/>
  <c r="OO195" i="4"/>
  <c r="PA195" i="4" s="1"/>
  <c r="OY195" i="4"/>
  <c r="OV205" i="4"/>
  <c r="Z205" i="4" a="1"/>
  <c r="Z205" i="4" s="1"/>
  <c r="OV215" i="4"/>
  <c r="Z215" i="4" a="1"/>
  <c r="Z215" i="4" s="1"/>
  <c r="ON195" i="4"/>
  <c r="OX195" i="4"/>
  <c r="Z222" i="4" a="1"/>
  <c r="Z222" i="4" s="1"/>
  <c r="KA222" i="4"/>
  <c r="OV209" i="4"/>
  <c r="Z209" i="4" a="1"/>
  <c r="Z209" i="4" s="1"/>
  <c r="Y211" i="4" s="1" a="1"/>
  <c r="Y211" i="4" s="1"/>
  <c r="OH200" i="4"/>
  <c r="OR200" i="4"/>
  <c r="AA241" i="5" l="1"/>
  <c r="KC241" i="5" s="1"/>
  <c r="Z241" i="5" s="1" a="1"/>
  <c r="Z241" i="5" s="1"/>
  <c r="Y242" i="5" s="1" a="1"/>
  <c r="Y242" i="5" s="1"/>
  <c r="AB241" i="5"/>
  <c r="KD241" i="5" s="1"/>
  <c r="X244" i="5"/>
  <c r="Y243" i="5" a="1"/>
  <c r="Y243" i="5" s="1"/>
  <c r="PD200" i="5"/>
  <c r="Z200" i="5" a="1"/>
  <c r="Z200" i="5" s="1"/>
  <c r="ON211" i="5"/>
  <c r="OX211" i="5"/>
  <c r="OY211" i="5"/>
  <c r="OO211" i="5"/>
  <c r="PA211" i="5" s="1"/>
  <c r="OZ195" i="4"/>
  <c r="Z195" i="4" a="1"/>
  <c r="Z195" i="4" s="1"/>
  <c r="OK200" i="4"/>
  <c r="OU200" i="4"/>
  <c r="OJ200" i="4"/>
  <c r="OT200" i="4"/>
  <c r="AA211" i="4"/>
  <c r="AB211" i="4"/>
  <c r="AB242" i="5" l="1"/>
  <c r="KD242" i="5" s="1"/>
  <c r="AA242" i="5"/>
  <c r="KC242" i="5" s="1"/>
  <c r="Z242" i="5" s="1" a="1"/>
  <c r="Z242" i="5" s="1"/>
  <c r="OZ211" i="5"/>
  <c r="Z211" i="5" a="1"/>
  <c r="Z211" i="5" s="1"/>
  <c r="AB243" i="5"/>
  <c r="KD243" i="5" s="1"/>
  <c r="AA243" i="5"/>
  <c r="KC243" i="5" s="1"/>
  <c r="Z243" i="5" s="1" a="1"/>
  <c r="Z243" i="5" s="1"/>
  <c r="Y244" i="5" s="1" a="1"/>
  <c r="Y244" i="5" s="1"/>
  <c r="X245" i="5"/>
  <c r="OL200" i="4"/>
  <c r="OV200" i="4"/>
  <c r="OQ211" i="4"/>
  <c r="OG211" i="4"/>
  <c r="OM200" i="4"/>
  <c r="OW200" i="4"/>
  <c r="OP211" i="4"/>
  <c r="OF211" i="4"/>
  <c r="AB244" i="5" l="1"/>
  <c r="KD244" i="5" s="1"/>
  <c r="AA244" i="5"/>
  <c r="KC244" i="5" s="1"/>
  <c r="Z244" i="5" s="1" a="1"/>
  <c r="Z244" i="5" s="1"/>
  <c r="Y245" i="5" s="1" a="1"/>
  <c r="Y245" i="5" s="1"/>
  <c r="X246" i="5"/>
  <c r="OO200" i="4"/>
  <c r="PA200" i="4" s="1"/>
  <c r="OY200" i="4"/>
  <c r="OH211" i="4"/>
  <c r="OR211" i="4"/>
  <c r="OI211" i="4"/>
  <c r="OS211" i="4"/>
  <c r="ON200" i="4"/>
  <c r="OX200" i="4"/>
  <c r="AB245" i="5" l="1"/>
  <c r="KD245" i="5" s="1"/>
  <c r="AA245" i="5"/>
  <c r="KC245" i="5" s="1"/>
  <c r="Z245" i="5" s="1" a="1"/>
  <c r="Z245" i="5" s="1"/>
  <c r="Y246" i="5" s="1" a="1"/>
  <c r="Y246" i="5" s="1"/>
  <c r="X247" i="5"/>
  <c r="OZ200" i="4"/>
  <c r="Z200" i="4" a="1"/>
  <c r="Z200" i="4" s="1"/>
  <c r="OU211" i="4"/>
  <c r="OK211" i="4"/>
  <c r="OW211" i="4" s="1"/>
  <c r="OJ211" i="4"/>
  <c r="OT211" i="4"/>
  <c r="AB246" i="5" l="1"/>
  <c r="KD246" i="5" s="1"/>
  <c r="AA246" i="5"/>
  <c r="KC246" i="5" s="1"/>
  <c r="Z246" i="5" s="1" a="1"/>
  <c r="Z246" i="5" s="1"/>
  <c r="Y247" i="5" s="1" a="1"/>
  <c r="Y247" i="5" s="1"/>
  <c r="X248" i="5"/>
  <c r="OV211" i="4"/>
  <c r="Z211" i="4" a="1"/>
  <c r="Z211" i="4" s="1"/>
  <c r="AB247" i="5" l="1"/>
  <c r="KD247" i="5" s="1"/>
  <c r="AA247" i="5"/>
  <c r="KC247" i="5" s="1"/>
  <c r="Z247" i="5" s="1" a="1"/>
  <c r="Z247" i="5" s="1"/>
  <c r="Y248" i="5" s="1" a="1"/>
  <c r="Y248" i="5" s="1"/>
  <c r="X249" i="5"/>
  <c r="AB248" i="5" l="1"/>
  <c r="KD248" i="5" s="1"/>
  <c r="AA248" i="5"/>
  <c r="KC248" i="5" s="1"/>
  <c r="Z248" i="5" s="1" a="1"/>
  <c r="Z248" i="5" s="1"/>
  <c r="Y249" i="5" s="1" a="1"/>
  <c r="Y249" i="5" s="1"/>
  <c r="X250" i="5"/>
  <c r="AB249" i="5" l="1"/>
  <c r="KD249" i="5" s="1"/>
  <c r="AA249" i="5"/>
  <c r="KC249" i="5" s="1"/>
  <c r="Z249" i="5" s="1" a="1"/>
  <c r="Z249" i="5" s="1"/>
  <c r="Y250" i="5" s="1" a="1"/>
  <c r="Y250" i="5" s="1"/>
  <c r="X251" i="5"/>
  <c r="AB250" i="5" l="1"/>
  <c r="KD250" i="5" s="1"/>
  <c r="AA250" i="5"/>
  <c r="KC250" i="5" s="1"/>
  <c r="Z250" i="5" s="1" a="1"/>
  <c r="Z250" i="5" s="1"/>
  <c r="X252" i="5"/>
  <c r="Y251" i="5" a="1"/>
  <c r="Y251" i="5" s="1"/>
  <c r="X253" i="5" l="1"/>
  <c r="AB251" i="5"/>
  <c r="KD251" i="5" s="1"/>
  <c r="AA251" i="5"/>
  <c r="KC251" i="5" s="1"/>
  <c r="Z251" i="5" s="1" a="1"/>
  <c r="Z251" i="5" s="1"/>
  <c r="Y252" i="5" s="1" a="1"/>
  <c r="Y252" i="5" s="1"/>
  <c r="AB252" i="5" l="1"/>
  <c r="KD252" i="5" s="1"/>
  <c r="AA252" i="5"/>
  <c r="KC252" i="5" s="1"/>
  <c r="Z252" i="5" s="1" a="1"/>
  <c r="Z252" i="5" s="1"/>
  <c r="Y253" i="5" s="1" a="1"/>
  <c r="Y253" i="5" s="1"/>
  <c r="X254" i="5"/>
  <c r="AA253" i="5" l="1"/>
  <c r="KC253" i="5" s="1"/>
  <c r="Z253" i="5" s="1" a="1"/>
  <c r="Z253" i="5" s="1"/>
  <c r="Y254" i="5" s="1" a="1"/>
  <c r="Y254" i="5" s="1"/>
  <c r="AB253" i="5"/>
  <c r="KD253" i="5" s="1"/>
  <c r="X255" i="5"/>
  <c r="AB254" i="5" l="1"/>
  <c r="KD254" i="5" s="1"/>
  <c r="AA254" i="5"/>
  <c r="KC254" i="5" s="1"/>
  <c r="Z254" i="5" s="1" a="1"/>
  <c r="Z254" i="5" s="1"/>
  <c r="Y255" i="5" s="1" a="1"/>
  <c r="Y255" i="5" s="1"/>
  <c r="X256" i="5"/>
  <c r="AB255" i="5" l="1"/>
  <c r="KD255" i="5" s="1"/>
  <c r="AA255" i="5"/>
  <c r="KC255" i="5" s="1"/>
  <c r="Z255" i="5" s="1" a="1"/>
  <c r="Z255" i="5" s="1"/>
  <c r="Y256" i="5" s="1" a="1"/>
  <c r="Y256" i="5" s="1"/>
  <c r="X257" i="5"/>
  <c r="AB256" i="5" l="1"/>
  <c r="KD256" i="5" s="1"/>
  <c r="AA256" i="5"/>
  <c r="KC256" i="5" s="1"/>
  <c r="Z256" i="5" s="1" a="1"/>
  <c r="Z256" i="5" s="1"/>
  <c r="Y257" i="5" s="1" a="1"/>
  <c r="Y257" i="5" s="1"/>
  <c r="X258" i="5"/>
  <c r="AB257" i="5" l="1"/>
  <c r="KD257" i="5" s="1"/>
  <c r="AA257" i="5"/>
  <c r="KC257" i="5" s="1"/>
  <c r="Z257" i="5" s="1" a="1"/>
  <c r="Z257" i="5" s="1"/>
  <c r="Y258" i="5" s="1" a="1"/>
  <c r="Y258" i="5" s="1"/>
  <c r="X259" i="5"/>
  <c r="AB258" i="5" l="1"/>
  <c r="KD258" i="5" s="1"/>
  <c r="AA258" i="5"/>
  <c r="KC258" i="5" s="1"/>
  <c r="Z258" i="5" s="1" a="1"/>
  <c r="Z258" i="5" s="1"/>
  <c r="X260" i="5"/>
  <c r="Y259" i="5" a="1"/>
  <c r="Y259" i="5" s="1"/>
  <c r="AB259" i="5" l="1"/>
  <c r="KD259" i="5" s="1"/>
  <c r="AA259" i="5"/>
  <c r="KC259" i="5" s="1"/>
  <c r="Z259" i="5" s="1" a="1"/>
  <c r="Z259" i="5" s="1"/>
  <c r="Y260" i="5" s="1" a="1"/>
  <c r="Y260" i="5" s="1"/>
  <c r="X261" i="5"/>
  <c r="AA260" i="5" l="1"/>
  <c r="KC260" i="5" s="1"/>
  <c r="Z260" i="5" s="1" a="1"/>
  <c r="Z260" i="5" s="1"/>
  <c r="Y261" i="5" s="1" a="1"/>
  <c r="Y261" i="5" s="1"/>
  <c r="AB260" i="5"/>
  <c r="KD260" i="5" s="1"/>
  <c r="X262" i="5"/>
  <c r="AB261" i="5" l="1"/>
  <c r="KD261" i="5" s="1"/>
  <c r="AA261" i="5"/>
  <c r="KC261" i="5" s="1"/>
  <c r="Z261" i="5" s="1" a="1"/>
  <c r="Z261" i="5" s="1"/>
  <c r="Y262" i="5" s="1" a="1"/>
  <c r="Y262" i="5" s="1"/>
  <c r="X263" i="5"/>
  <c r="AB262" i="5" l="1"/>
  <c r="KD262" i="5" s="1"/>
  <c r="AA262" i="5"/>
  <c r="KC262" i="5" s="1"/>
  <c r="Z262" i="5" s="1" a="1"/>
  <c r="Z262" i="5" s="1"/>
  <c r="Y263" i="5" s="1" a="1"/>
  <c r="Y263" i="5" s="1"/>
  <c r="X264" i="5"/>
  <c r="AB263" i="5" l="1"/>
  <c r="KD263" i="5" s="1"/>
  <c r="AA263" i="5"/>
  <c r="KC263" i="5" s="1"/>
  <c r="Z263" i="5" s="1" a="1"/>
  <c r="Z263" i="5" s="1"/>
  <c r="Y264" i="5" s="1" a="1"/>
  <c r="Y264" i="5" s="1"/>
  <c r="X265" i="5"/>
  <c r="AB264" i="5" l="1"/>
  <c r="KD264" i="5" s="1"/>
  <c r="AA264" i="5"/>
  <c r="KC264" i="5" s="1"/>
  <c r="Z264" i="5" s="1" a="1"/>
  <c r="Z264" i="5" s="1"/>
  <c r="Y265" i="5" s="1" a="1"/>
  <c r="Y265" i="5" s="1"/>
  <c r="X266" i="5"/>
  <c r="AB265" i="5" l="1"/>
  <c r="KD265" i="5" s="1"/>
  <c r="AA265" i="5"/>
  <c r="KC265" i="5" s="1"/>
  <c r="Z265" i="5" s="1" a="1"/>
  <c r="Z265" i="5" s="1"/>
  <c r="Y266" i="5" s="1" a="1"/>
  <c r="Y266" i="5" s="1"/>
  <c r="X267" i="5"/>
  <c r="X269" i="5" s="1" a="1"/>
  <c r="X269" i="5" s="1"/>
  <c r="AB266" i="5" l="1"/>
  <c r="KD266" i="5" s="1"/>
  <c r="AA266" i="5"/>
  <c r="KC266" i="5" s="1"/>
  <c r="Z266" i="5" s="1" a="1"/>
  <c r="Z266" i="5" s="1"/>
  <c r="Y267" i="5" a="1"/>
  <c r="Y267" i="5" s="1"/>
  <c r="X271" i="5" a="1"/>
  <c r="X271" i="5" s="1"/>
  <c r="AB267" i="5" l="1"/>
  <c r="HH267" i="5" s="1"/>
  <c r="AA267" i="5"/>
  <c r="HG267" i="5" s="1"/>
  <c r="X273" i="5" a="1"/>
  <c r="X273" i="5" s="1"/>
  <c r="Z267" i="5" l="1" a="1"/>
  <c r="Z267" i="5" s="1"/>
  <c r="Y269" i="5" s="1" a="1"/>
  <c r="Y269" i="5" s="1"/>
  <c r="AJ267" i="5" a="1"/>
  <c r="AJ267" i="5" s="1"/>
  <c r="AH268" i="5" s="1"/>
  <c r="AE267" i="5" a="1"/>
  <c r="AE267" i="5" s="1"/>
  <c r="AD268" i="5" s="1" a="1"/>
  <c r="AD268" i="5" s="1"/>
  <c r="X275" i="5" a="1"/>
  <c r="X275" i="5" s="1"/>
  <c r="AF268" i="5" l="1"/>
  <c r="AG268" i="5"/>
  <c r="AI268" i="5" a="1"/>
  <c r="AI268" i="5" s="1"/>
  <c r="AA269" i="5"/>
  <c r="HG269" i="5" s="1"/>
  <c r="AB269" i="5"/>
  <c r="HH269" i="5" s="1"/>
  <c r="X277" i="5" a="1"/>
  <c r="X277" i="5" s="1"/>
  <c r="BG268" i="5" l="1"/>
  <c r="BU268" i="5"/>
  <c r="BF268" i="5"/>
  <c r="BT268" i="5"/>
  <c r="X279" i="5" a="1"/>
  <c r="X279" i="5" s="1"/>
  <c r="X281" i="5" s="1" a="1"/>
  <c r="X281" i="5" s="1"/>
  <c r="AL268" i="5"/>
  <c r="AK268" i="5"/>
  <c r="BQ268" i="5" l="1"/>
  <c r="CG268" i="5"/>
  <c r="BP268" i="5"/>
  <c r="CF268" i="5"/>
  <c r="BI268" i="5"/>
  <c r="BW268" i="5"/>
  <c r="BV268" i="5"/>
  <c r="BH268" i="5"/>
  <c r="BR268" i="5" l="1"/>
  <c r="CJ268" i="5" s="1"/>
  <c r="CH268" i="5"/>
  <c r="BS268" i="5"/>
  <c r="CK268" i="5" s="1"/>
  <c r="CI268" i="5"/>
  <c r="BK268" i="5"/>
  <c r="BY268" i="5"/>
  <c r="BX268" i="5"/>
  <c r="BJ268" i="5"/>
  <c r="BM268" i="5" l="1"/>
  <c r="CC268" i="5" s="1"/>
  <c r="CA268" i="5"/>
  <c r="BL268" i="5"/>
  <c r="CB268" i="5" s="1"/>
  <c r="BZ268" i="5"/>
  <c r="AE268" i="5" a="1"/>
  <c r="AE268" i="5" s="1"/>
  <c r="AD269" i="5" s="1" a="1"/>
  <c r="AD269" i="5" s="1"/>
  <c r="AJ268" i="5" a="1"/>
  <c r="AJ268" i="5" s="1"/>
  <c r="AH269" i="5" s="1"/>
  <c r="AI269" i="5" l="1" a="1"/>
  <c r="AI269" i="5" s="1"/>
  <c r="AG269" i="5"/>
  <c r="AF269" i="5"/>
  <c r="GU269" i="5" l="1"/>
  <c r="HI269" i="5"/>
  <c r="GV269" i="5"/>
  <c r="HJ269" i="5"/>
  <c r="AK269" i="5"/>
  <c r="AL269" i="5"/>
  <c r="HF269" i="5" l="1"/>
  <c r="HX269" i="5" s="1"/>
  <c r="HV269" i="5"/>
  <c r="HE269" i="5"/>
  <c r="HW269" i="5" s="1"/>
  <c r="HU269" i="5"/>
  <c r="GX269" i="5"/>
  <c r="HL269" i="5"/>
  <c r="GW269" i="5"/>
  <c r="HK269" i="5"/>
  <c r="GY269" i="5" l="1"/>
  <c r="HM269" i="5"/>
  <c r="GZ269" i="5"/>
  <c r="HN269" i="5"/>
  <c r="HB269" i="5" l="1"/>
  <c r="HR269" i="5" s="1"/>
  <c r="HP269" i="5"/>
  <c r="HA269" i="5"/>
  <c r="HQ269" i="5" s="1"/>
  <c r="HO269" i="5"/>
  <c r="Z269" i="5" a="1"/>
  <c r="Z269" i="5" s="1"/>
  <c r="Y271" i="5" s="1" a="1"/>
  <c r="Y271" i="5" s="1"/>
  <c r="AE269" i="5" a="1"/>
  <c r="AE269" i="5" s="1"/>
  <c r="AD270" i="5" s="1" a="1"/>
  <c r="AD270" i="5" s="1"/>
  <c r="AJ269" i="5" a="1"/>
  <c r="AJ269" i="5" s="1"/>
  <c r="AH270" i="5" s="1"/>
  <c r="AB271" i="5" l="1"/>
  <c r="HH271" i="5" s="1"/>
  <c r="AA271" i="5"/>
  <c r="HG271" i="5" s="1"/>
  <c r="AI270" i="5" a="1"/>
  <c r="AI270" i="5" s="1"/>
  <c r="AG270" i="5"/>
  <c r="AF270" i="5"/>
  <c r="AL270" i="5" l="1"/>
  <c r="AK270" i="5"/>
  <c r="BF270" i="5"/>
  <c r="BT270" i="5"/>
  <c r="BG270" i="5"/>
  <c r="BU270" i="5"/>
  <c r="BH270" i="5" l="1"/>
  <c r="BV270" i="5"/>
  <c r="BQ270" i="5"/>
  <c r="CG270" i="5"/>
  <c r="BI270" i="5"/>
  <c r="BW270" i="5"/>
  <c r="BP270" i="5"/>
  <c r="CF270" i="5"/>
  <c r="BK270" i="5" l="1"/>
  <c r="BY270" i="5"/>
  <c r="BS270" i="5"/>
  <c r="CK270" i="5" s="1"/>
  <c r="CI270" i="5"/>
  <c r="BR270" i="5"/>
  <c r="CJ270" i="5" s="1"/>
  <c r="CH270" i="5"/>
  <c r="BJ270" i="5"/>
  <c r="BX270" i="5"/>
  <c r="BL270" i="5" l="1"/>
  <c r="CB270" i="5" s="1"/>
  <c r="BZ270" i="5"/>
  <c r="AJ270" i="5" a="1"/>
  <c r="AJ270" i="5" s="1"/>
  <c r="AH271" i="5" s="1"/>
  <c r="AE270" i="5" a="1"/>
  <c r="AE270" i="5" s="1"/>
  <c r="BM270" i="5"/>
  <c r="CC270" i="5" s="1"/>
  <c r="CA270" i="5"/>
  <c r="AI271" i="5" l="1" a="1"/>
  <c r="AI271" i="5" s="1"/>
  <c r="AL271" i="5" l="1"/>
  <c r="AK271" i="5"/>
  <c r="HE271" i="5" l="1"/>
  <c r="HU271" i="5"/>
  <c r="HF271" i="5"/>
  <c r="HX271" i="5" s="1"/>
  <c r="HV271" i="5"/>
  <c r="AE271" i="5" l="1" a="1"/>
  <c r="AE271" i="5" s="1"/>
  <c r="AC272" i="5" s="1"/>
  <c r="Z271" i="5" a="1"/>
  <c r="Z271" i="5" s="1"/>
  <c r="Y273" i="5" s="1" a="1"/>
  <c r="Y273" i="5" s="1"/>
  <c r="AJ271" i="5" a="1"/>
  <c r="AJ271" i="5" s="1"/>
  <c r="AH272" i="5" s="1"/>
  <c r="HW271" i="5"/>
  <c r="AI272" i="5" l="1" a="1"/>
  <c r="AI272" i="5" s="1"/>
  <c r="AB273" i="5"/>
  <c r="HH273" i="5" s="1"/>
  <c r="AA273" i="5"/>
  <c r="HG273" i="5" s="1"/>
  <c r="AD272" i="5" a="1"/>
  <c r="AD272" i="5" s="1"/>
  <c r="CE272" i="5"/>
  <c r="CD272" i="5"/>
  <c r="AF272" i="5" l="1"/>
  <c r="AG272" i="5"/>
  <c r="AL272" i="5"/>
  <c r="AK272" i="5"/>
  <c r="BG272" i="5" l="1"/>
  <c r="BU272" i="5"/>
  <c r="BQ272" i="5"/>
  <c r="CG272" i="5"/>
  <c r="BP272" i="5"/>
  <c r="CF272" i="5"/>
  <c r="BF272" i="5"/>
  <c r="BT272" i="5"/>
  <c r="BH272" i="5" l="1"/>
  <c r="BV272" i="5"/>
  <c r="BS272" i="5"/>
  <c r="CK272" i="5" s="1"/>
  <c r="CI272" i="5"/>
  <c r="BR272" i="5"/>
  <c r="CJ272" i="5" s="1"/>
  <c r="CH272" i="5"/>
  <c r="BI272" i="5"/>
  <c r="BW272" i="5"/>
  <c r="BK272" i="5" l="1"/>
  <c r="BY272" i="5"/>
  <c r="BJ272" i="5"/>
  <c r="BX272" i="5"/>
  <c r="BL272" i="5" l="1"/>
  <c r="CB272" i="5" s="1"/>
  <c r="BZ272" i="5"/>
  <c r="AJ272" i="5" a="1"/>
  <c r="AJ272" i="5" s="1"/>
  <c r="AH273" i="5" s="1"/>
  <c r="AE272" i="5" a="1"/>
  <c r="AE272" i="5" s="1"/>
  <c r="AC273" i="5" s="1"/>
  <c r="BM272" i="5"/>
  <c r="CC272" i="5" s="1"/>
  <c r="CA272" i="5"/>
  <c r="AI273" i="5" l="1" a="1"/>
  <c r="AI273" i="5" s="1"/>
  <c r="HS273" i="5"/>
  <c r="AD273" i="5" a="1"/>
  <c r="AD273" i="5" s="1"/>
  <c r="HT273" i="5"/>
  <c r="AG273" i="5" l="1"/>
  <c r="AF273" i="5"/>
  <c r="AL273" i="5"/>
  <c r="AK273" i="5"/>
  <c r="HF273" i="5" l="1"/>
  <c r="HX273" i="5" s="1"/>
  <c r="HV273" i="5"/>
  <c r="HE273" i="5"/>
  <c r="HW273" i="5" s="1"/>
  <c r="HU273" i="5"/>
  <c r="GU273" i="5"/>
  <c r="HI273" i="5"/>
  <c r="GV273" i="5"/>
  <c r="HJ273" i="5"/>
  <c r="GW273" i="5" l="1"/>
  <c r="HK273" i="5"/>
  <c r="GX273" i="5"/>
  <c r="HL273" i="5"/>
  <c r="GZ273" i="5" l="1"/>
  <c r="HN273" i="5"/>
  <c r="GY273" i="5"/>
  <c r="HM273" i="5"/>
  <c r="HA273" i="5" l="1"/>
  <c r="HQ273" i="5" s="1"/>
  <c r="HO273" i="5"/>
  <c r="AE273" i="5" a="1"/>
  <c r="AE273" i="5" s="1"/>
  <c r="AC274" i="5" s="1"/>
  <c r="Z273" i="5" a="1"/>
  <c r="Z273" i="5" s="1"/>
  <c r="Y275" i="5" s="1" a="1"/>
  <c r="Y275" i="5" s="1"/>
  <c r="AJ273" i="5" a="1"/>
  <c r="AJ273" i="5" s="1"/>
  <c r="AH274" i="5" s="1"/>
  <c r="HB273" i="5"/>
  <c r="HR273" i="5" s="1"/>
  <c r="HP273" i="5"/>
  <c r="CE274" i="5" l="1"/>
  <c r="CD274" i="5"/>
  <c r="AD274" i="5" a="1"/>
  <c r="AD274" i="5" s="1"/>
  <c r="AD275" i="5" a="1"/>
  <c r="AD275" i="5" s="1"/>
  <c r="AB275" i="5"/>
  <c r="HH275" i="5" s="1"/>
  <c r="AA275" i="5"/>
  <c r="HG275" i="5" s="1"/>
  <c r="AI274" i="5" a="1"/>
  <c r="AI274" i="5" s="1"/>
  <c r="AI275" i="5" a="1"/>
  <c r="AI275" i="5" s="1"/>
  <c r="AG274" i="5" l="1"/>
  <c r="AF274" i="5"/>
  <c r="AL275" i="5"/>
  <c r="AK275" i="5"/>
  <c r="AG275" i="5"/>
  <c r="AF275" i="5"/>
  <c r="AL274" i="5"/>
  <c r="AK274" i="5"/>
  <c r="BP274" i="5" l="1"/>
  <c r="CF274" i="5"/>
  <c r="BQ274" i="5"/>
  <c r="CG274" i="5"/>
  <c r="HI275" i="5"/>
  <c r="GU275" i="5"/>
  <c r="HV275" i="5"/>
  <c r="HF275" i="5"/>
  <c r="HX275" i="5" s="1"/>
  <c r="BF274" i="5"/>
  <c r="BT274" i="5"/>
  <c r="HJ275" i="5"/>
  <c r="GV275" i="5"/>
  <c r="HU275" i="5"/>
  <c r="HE275" i="5"/>
  <c r="HW275" i="5" s="1"/>
  <c r="BG274" i="5"/>
  <c r="BU274" i="5"/>
  <c r="HL275" i="5" l="1"/>
  <c r="GX275" i="5"/>
  <c r="HK275" i="5"/>
  <c r="GW275" i="5"/>
  <c r="BI274" i="5"/>
  <c r="BW274" i="5"/>
  <c r="BS274" i="5"/>
  <c r="CK274" i="5" s="1"/>
  <c r="CI274" i="5"/>
  <c r="BH274" i="5"/>
  <c r="BV274" i="5"/>
  <c r="BR274" i="5"/>
  <c r="CJ274" i="5" s="1"/>
  <c r="CH274" i="5"/>
  <c r="BJ274" i="5" l="1"/>
  <c r="BX274" i="5"/>
  <c r="BK274" i="5"/>
  <c r="BY274" i="5"/>
  <c r="HM275" i="5"/>
  <c r="GY275" i="5"/>
  <c r="HN275" i="5"/>
  <c r="GZ275" i="5"/>
  <c r="HO275" i="5" l="1"/>
  <c r="HA275" i="5"/>
  <c r="HQ275" i="5" s="1"/>
  <c r="AE275" i="5" a="1"/>
  <c r="AE275" i="5" s="1"/>
  <c r="AC276" i="5" s="1"/>
  <c r="AJ275" i="5" a="1"/>
  <c r="AJ275" i="5" s="1"/>
  <c r="AH276" i="5" s="1"/>
  <c r="Z275" i="5" a="1"/>
  <c r="Z275" i="5" s="1"/>
  <c r="Y277" i="5" s="1" a="1"/>
  <c r="Y277" i="5" s="1"/>
  <c r="BM274" i="5"/>
  <c r="CC274" i="5" s="1"/>
  <c r="CA274" i="5"/>
  <c r="HP275" i="5"/>
  <c r="HB275" i="5"/>
  <c r="HR275" i="5" s="1"/>
  <c r="BL274" i="5"/>
  <c r="CB274" i="5" s="1"/>
  <c r="BZ274" i="5"/>
  <c r="AJ274" i="5" a="1"/>
  <c r="AJ274" i="5" s="1"/>
  <c r="AE274" i="5" a="1"/>
  <c r="AE274" i="5" s="1"/>
  <c r="AA277" i="5" l="1"/>
  <c r="HG277" i="5" s="1"/>
  <c r="AB277" i="5"/>
  <c r="HH277" i="5" s="1"/>
  <c r="AI276" i="5" a="1"/>
  <c r="AI276" i="5" s="1"/>
  <c r="CE276" i="5"/>
  <c r="CD276" i="5"/>
  <c r="AD276" i="5" a="1"/>
  <c r="AD276" i="5" s="1"/>
  <c r="AL276" i="5" l="1"/>
  <c r="AK276" i="5"/>
  <c r="AF276" i="5"/>
  <c r="AG276" i="5"/>
  <c r="BP276" i="5" l="1"/>
  <c r="CF276" i="5"/>
  <c r="BG276" i="5"/>
  <c r="BU276" i="5"/>
  <c r="BF276" i="5"/>
  <c r="BT276" i="5"/>
  <c r="BQ276" i="5"/>
  <c r="CG276" i="5"/>
  <c r="BS276" i="5" l="1"/>
  <c r="CK276" i="5" s="1"/>
  <c r="CI276" i="5"/>
  <c r="BI276" i="5"/>
  <c r="BW276" i="5"/>
  <c r="BH276" i="5"/>
  <c r="BV276" i="5"/>
  <c r="BR276" i="5"/>
  <c r="CJ276" i="5" s="1"/>
  <c r="CH276" i="5"/>
  <c r="BJ276" i="5" l="1"/>
  <c r="BX276" i="5"/>
  <c r="BK276" i="5"/>
  <c r="BY276" i="5"/>
  <c r="BM276" i="5" l="1"/>
  <c r="CC276" i="5" s="1"/>
  <c r="CA276" i="5"/>
  <c r="BL276" i="5"/>
  <c r="CB276" i="5" s="1"/>
  <c r="BZ276" i="5"/>
  <c r="AJ276" i="5" a="1"/>
  <c r="AJ276" i="5" s="1"/>
  <c r="AH277" i="5" s="1"/>
  <c r="AE276" i="5" a="1"/>
  <c r="AE276" i="5" s="1"/>
  <c r="AC277" i="5" s="1"/>
  <c r="AI277" i="5" l="1" a="1"/>
  <c r="AI277" i="5" s="1"/>
  <c r="HS277" i="5"/>
  <c r="AD277" i="5" a="1"/>
  <c r="AD277" i="5" s="1"/>
  <c r="HT277" i="5"/>
  <c r="AG277" i="5" l="1"/>
  <c r="AF277" i="5"/>
  <c r="AL277" i="5"/>
  <c r="AK277" i="5"/>
  <c r="GU277" i="5" l="1"/>
  <c r="HI277" i="5"/>
  <c r="HE277" i="5"/>
  <c r="HW277" i="5" s="1"/>
  <c r="HU277" i="5"/>
  <c r="HF277" i="5"/>
  <c r="HX277" i="5" s="1"/>
  <c r="HV277" i="5"/>
  <c r="GV277" i="5"/>
  <c r="HJ277" i="5"/>
  <c r="GX277" i="5" l="1"/>
  <c r="HL277" i="5"/>
  <c r="GW277" i="5"/>
  <c r="HK277" i="5"/>
  <c r="GY277" i="5" l="1"/>
  <c r="HM277" i="5"/>
  <c r="GZ277" i="5"/>
  <c r="HN277" i="5"/>
  <c r="HB277" i="5" l="1"/>
  <c r="HR277" i="5" s="1"/>
  <c r="HP277" i="5"/>
  <c r="HA277" i="5"/>
  <c r="HQ277" i="5" s="1"/>
  <c r="HO277" i="5"/>
  <c r="AJ277" i="5" a="1"/>
  <c r="AJ277" i="5" s="1"/>
  <c r="AH278" i="5" s="1"/>
  <c r="Z277" i="5" a="1"/>
  <c r="Z277" i="5" s="1"/>
  <c r="Y279" i="5" s="1" a="1"/>
  <c r="Y279" i="5" s="1"/>
  <c r="AE277" i="5" a="1"/>
  <c r="AE277" i="5" s="1"/>
  <c r="AC278" i="5" s="1"/>
  <c r="CE278" i="5" l="1"/>
  <c r="CD278" i="5"/>
  <c r="AD278" i="5" a="1"/>
  <c r="AD278" i="5" s="1"/>
  <c r="AD279" i="5" a="1"/>
  <c r="AD279" i="5" s="1"/>
  <c r="AI278" i="5" a="1"/>
  <c r="AI278" i="5" s="1"/>
  <c r="AA279" i="5"/>
  <c r="HG279" i="5" s="1"/>
  <c r="AB279" i="5"/>
  <c r="HH279" i="5" s="1"/>
  <c r="AL278" i="5" l="1"/>
  <c r="AK278" i="5"/>
  <c r="AG278" i="5"/>
  <c r="AF278" i="5"/>
  <c r="AF279" i="5"/>
  <c r="AG279" i="5"/>
  <c r="HI279" i="5" l="1"/>
  <c r="GU279" i="5"/>
  <c r="BP278" i="5"/>
  <c r="CF278" i="5"/>
  <c r="BG278" i="5"/>
  <c r="BU278" i="5"/>
  <c r="HJ279" i="5"/>
  <c r="GV279" i="5"/>
  <c r="BF278" i="5"/>
  <c r="BT278" i="5"/>
  <c r="BQ278" i="5"/>
  <c r="CG278" i="5"/>
  <c r="BS278" i="5" l="1"/>
  <c r="CK278" i="5" s="1"/>
  <c r="CI278" i="5"/>
  <c r="BH278" i="5"/>
  <c r="BV278" i="5"/>
  <c r="HL279" i="5"/>
  <c r="GX279" i="5"/>
  <c r="BR278" i="5"/>
  <c r="CJ278" i="5" s="1"/>
  <c r="CH278" i="5"/>
  <c r="HK279" i="5"/>
  <c r="GW279" i="5"/>
  <c r="BI278" i="5"/>
  <c r="BW278" i="5"/>
  <c r="HM279" i="5" l="1"/>
  <c r="GY279" i="5"/>
  <c r="HN279" i="5"/>
  <c r="GZ279" i="5"/>
  <c r="BK278" i="5"/>
  <c r="BY278" i="5"/>
  <c r="BJ278" i="5"/>
  <c r="BX278" i="5"/>
  <c r="BM278" i="5" l="1"/>
  <c r="CC278" i="5" s="1"/>
  <c r="CA278" i="5"/>
  <c r="BL278" i="5"/>
  <c r="CB278" i="5" s="1"/>
  <c r="BZ278" i="5"/>
  <c r="AJ278" i="5" a="1"/>
  <c r="AJ278" i="5" s="1"/>
  <c r="AH279" i="5" s="1"/>
  <c r="AE278" i="5" a="1"/>
  <c r="AE278" i="5" s="1"/>
  <c r="HO279" i="5"/>
  <c r="HA279" i="5"/>
  <c r="HQ279" i="5" s="1"/>
  <c r="HP279" i="5"/>
  <c r="HB279" i="5"/>
  <c r="HR279" i="5" s="1"/>
  <c r="AI279" i="5" l="1" a="1"/>
  <c r="AI279" i="5" s="1"/>
  <c r="AL279" i="5" l="1"/>
  <c r="AK279" i="5"/>
  <c r="HE279" i="5" l="1"/>
  <c r="HU279" i="5"/>
  <c r="HF279" i="5"/>
  <c r="HX279" i="5" s="1"/>
  <c r="HV279" i="5"/>
  <c r="AE279" i="5" l="1" a="1"/>
  <c r="AE279" i="5" s="1"/>
  <c r="AC280" i="5" s="1"/>
  <c r="Z279" i="5" a="1"/>
  <c r="Z279" i="5" s="1"/>
  <c r="Y281" i="5" s="1" a="1"/>
  <c r="Y281" i="5" s="1"/>
  <c r="AJ279" i="5" a="1"/>
  <c r="AJ279" i="5" s="1"/>
  <c r="AH280" i="5" s="1"/>
  <c r="HW279" i="5"/>
  <c r="AI280" i="5" l="1" a="1"/>
  <c r="AI280" i="5" s="1"/>
  <c r="AB281" i="5"/>
  <c r="HH281" i="5" s="1"/>
  <c r="AA281" i="5"/>
  <c r="HG281" i="5" s="1"/>
  <c r="CE280" i="5"/>
  <c r="CD280" i="5"/>
  <c r="AD280" i="5" a="1"/>
  <c r="AD280" i="5" s="1"/>
  <c r="AL280" i="5" l="1"/>
  <c r="AK280" i="5"/>
  <c r="AG280" i="5"/>
  <c r="AF280" i="5"/>
  <c r="BG280" i="5" l="1"/>
  <c r="BU280" i="5"/>
  <c r="BP280" i="5"/>
  <c r="CF280" i="5"/>
  <c r="BF280" i="5"/>
  <c r="BT280" i="5"/>
  <c r="BQ280" i="5"/>
  <c r="CG280" i="5"/>
  <c r="BS280" i="5" l="1"/>
  <c r="CK280" i="5" s="1"/>
  <c r="CI280" i="5"/>
  <c r="BR280" i="5"/>
  <c r="CJ280" i="5" s="1"/>
  <c r="CH280" i="5"/>
  <c r="BH280" i="5"/>
  <c r="BV280" i="5"/>
  <c r="BI280" i="5"/>
  <c r="BW280" i="5"/>
  <c r="BJ280" i="5" l="1"/>
  <c r="BX280" i="5"/>
  <c r="BK280" i="5"/>
  <c r="BY280" i="5"/>
  <c r="BM280" i="5" l="1"/>
  <c r="CC280" i="5" s="1"/>
  <c r="CA280" i="5"/>
  <c r="BL280" i="5"/>
  <c r="CB280" i="5" s="1"/>
  <c r="BZ280" i="5"/>
  <c r="AJ280" i="5" a="1"/>
  <c r="AJ280" i="5" s="1"/>
  <c r="AH281" i="5" s="1"/>
  <c r="AE280" i="5" a="1"/>
  <c r="AE280" i="5" s="1"/>
  <c r="AC281" i="5" s="1"/>
  <c r="HT281" i="5" l="1"/>
  <c r="HS281" i="5"/>
  <c r="AD281" i="5" a="1"/>
  <c r="AD281" i="5" s="1"/>
  <c r="AI281" i="5" a="1"/>
  <c r="AI281" i="5" s="1"/>
  <c r="AF281" i="5" l="1"/>
  <c r="AG281" i="5"/>
  <c r="AL281" i="5"/>
  <c r="AK281" i="5"/>
  <c r="GV281" i="5" l="1"/>
  <c r="HJ281" i="5"/>
  <c r="HF281" i="5"/>
  <c r="HX281" i="5" s="1"/>
  <c r="HV281" i="5"/>
  <c r="HE281" i="5"/>
  <c r="HW281" i="5" s="1"/>
  <c r="HU281" i="5"/>
  <c r="GU281" i="5"/>
  <c r="HI281" i="5"/>
  <c r="GW281" i="5" l="1"/>
  <c r="HK281" i="5"/>
  <c r="GX281" i="5"/>
  <c r="HL281" i="5"/>
  <c r="GZ281" i="5" l="1"/>
  <c r="HN281" i="5"/>
  <c r="GY281" i="5"/>
  <c r="HM281" i="5"/>
  <c r="HA281" i="5" l="1"/>
  <c r="HQ281" i="5" s="1"/>
  <c r="HO281" i="5"/>
  <c r="AJ281" i="5" a="1"/>
  <c r="AJ281" i="5" s="1"/>
  <c r="AH282" i="5" s="1"/>
  <c r="AE281" i="5" a="1"/>
  <c r="AE281" i="5" s="1"/>
  <c r="AC282" i="5" s="1"/>
  <c r="Z281" i="5" a="1"/>
  <c r="Z281" i="5" s="1"/>
  <c r="HB281" i="5"/>
  <c r="HR281" i="5" s="1"/>
  <c r="HP281" i="5"/>
  <c r="CE282" i="5" l="1"/>
  <c r="CD282" i="5"/>
  <c r="AD282" i="5" a="1"/>
  <c r="AD282" i="5" s="1"/>
  <c r="AD283" i="5" a="1"/>
  <c r="AD283" i="5" s="1"/>
  <c r="AI282" i="5" a="1"/>
  <c r="AI282" i="5" s="1"/>
  <c r="AI283" i="5" a="1"/>
  <c r="AI283" i="5" s="1"/>
  <c r="AG282" i="5" l="1"/>
  <c r="AF282" i="5"/>
  <c r="AL282" i="5"/>
  <c r="AK282" i="5"/>
  <c r="AG283" i="5"/>
  <c r="AF283" i="5"/>
  <c r="BG283" i="5" l="1"/>
  <c r="BU283" i="5"/>
  <c r="BQ282" i="5"/>
  <c r="CG282" i="5"/>
  <c r="BT283" i="5"/>
  <c r="BF283" i="5"/>
  <c r="BF282" i="5"/>
  <c r="BT282" i="5"/>
  <c r="BP282" i="5"/>
  <c r="CF282" i="5"/>
  <c r="BG282" i="5"/>
  <c r="BU282" i="5"/>
  <c r="BI282" i="5" l="1"/>
  <c r="BW282" i="5"/>
  <c r="BR282" i="5"/>
  <c r="CJ282" i="5" s="1"/>
  <c r="CH282" i="5"/>
  <c r="BH283" i="5"/>
  <c r="BV283" i="5"/>
  <c r="BH282" i="5"/>
  <c r="BV282" i="5"/>
  <c r="BS282" i="5"/>
  <c r="CK282" i="5" s="1"/>
  <c r="CI282" i="5"/>
  <c r="BW283" i="5"/>
  <c r="BI283" i="5"/>
  <c r="BJ282" i="5" l="1"/>
  <c r="BX282" i="5"/>
  <c r="BX283" i="5"/>
  <c r="BJ283" i="5"/>
  <c r="BY283" i="5"/>
  <c r="BK283" i="5"/>
  <c r="BK282" i="5"/>
  <c r="BY282" i="5"/>
  <c r="BM282" i="5" l="1"/>
  <c r="CC282" i="5" s="1"/>
  <c r="CA282" i="5"/>
  <c r="BM283" i="5"/>
  <c r="CA283" i="5"/>
  <c r="BZ283" i="5"/>
  <c r="BL283" i="5"/>
  <c r="BL282" i="5"/>
  <c r="CB282" i="5" s="1"/>
  <c r="BZ282" i="5"/>
  <c r="AE282" i="5" a="1"/>
  <c r="AE282" i="5" s="1"/>
  <c r="AJ282" i="5" a="1"/>
  <c r="AJ282" i="5" s="1"/>
  <c r="CB283" i="5" l="1"/>
  <c r="BN283" i="5"/>
  <c r="CC283" i="5"/>
  <c r="BO283" i="5"/>
  <c r="CE283" i="5" s="1"/>
  <c r="CD283" i="5" l="1"/>
  <c r="AE283" i="5" a="1"/>
  <c r="AE283" i="5" s="1"/>
  <c r="AC284" i="5" s="1"/>
  <c r="AJ283" i="5" a="1"/>
  <c r="AJ283" i="5" s="1"/>
  <c r="AH284" i="5" s="1"/>
  <c r="AD284" i="5" l="1" a="1"/>
  <c r="AD284" i="5" s="1"/>
  <c r="CJ284" i="5"/>
  <c r="CI284" i="5"/>
  <c r="CH284" i="5"/>
  <c r="CG284" i="5"/>
  <c r="CF284" i="5"/>
  <c r="AI284" i="5" a="1"/>
  <c r="AI284" i="5" s="1"/>
  <c r="CK284" i="5"/>
  <c r="AG284" i="5" l="1"/>
  <c r="AF284" i="5"/>
  <c r="BF284" i="5" l="1"/>
  <c r="BT284" i="5"/>
  <c r="BG284" i="5"/>
  <c r="BU284" i="5"/>
  <c r="BI284" i="5" l="1"/>
  <c r="BW284" i="5"/>
  <c r="BH284" i="5"/>
  <c r="BV284" i="5"/>
  <c r="BJ284" i="5" l="1"/>
  <c r="BX284" i="5"/>
  <c r="BK284" i="5"/>
  <c r="BY284" i="5"/>
  <c r="BM284" i="5" l="1"/>
  <c r="CA284" i="5"/>
  <c r="BL284" i="5"/>
  <c r="BZ284" i="5"/>
  <c r="BN284" i="5" l="1"/>
  <c r="CB284" i="5"/>
  <c r="BO284" i="5"/>
  <c r="CE284" i="5" s="1"/>
  <c r="CC284" i="5"/>
  <c r="CD284" i="5" l="1"/>
  <c r="AJ284" i="5" a="1"/>
  <c r="AJ284" i="5" s="1"/>
  <c r="AH285" i="5" s="1"/>
  <c r="AE284" i="5" a="1"/>
  <c r="AE284" i="5" s="1"/>
  <c r="AC285" i="5" s="1"/>
  <c r="AD285" i="5" l="1" a="1"/>
  <c r="AD285" i="5" s="1"/>
  <c r="AD286" i="5" a="1"/>
  <c r="AD286" i="5" s="1"/>
  <c r="CK285" i="5"/>
  <c r="AI285" i="5" a="1"/>
  <c r="AI285" i="5" s="1"/>
  <c r="CJ285" i="5"/>
  <c r="CH285" i="5"/>
  <c r="CG285" i="5"/>
  <c r="CF285" i="5"/>
  <c r="CI285" i="5"/>
  <c r="AF285" i="5" l="1"/>
  <c r="AG285" i="5"/>
  <c r="AG286" i="5"/>
  <c r="AF286" i="5"/>
  <c r="LX286" i="5" s="1"/>
  <c r="AE286" i="5" s="1" a="1"/>
  <c r="AE286" i="5" s="1"/>
  <c r="AC287" i="5" s="1"/>
  <c r="AD287" i="5" l="1" a="1"/>
  <c r="AD287" i="5" s="1"/>
  <c r="BG285" i="5"/>
  <c r="BU285" i="5"/>
  <c r="BF285" i="5"/>
  <c r="BT285" i="5"/>
  <c r="BH285" i="5" l="1"/>
  <c r="BV285" i="5"/>
  <c r="BI285" i="5"/>
  <c r="BW285" i="5"/>
  <c r="AG287" i="5"/>
  <c r="AF287" i="5"/>
  <c r="LX287" i="5" s="1"/>
  <c r="AE287" i="5" s="1" a="1"/>
  <c r="AE287" i="5" s="1"/>
  <c r="AC288" i="5" s="1"/>
  <c r="AD288" i="5" l="1" a="1"/>
  <c r="AD288" i="5" s="1"/>
  <c r="BK285" i="5"/>
  <c r="BY285" i="5"/>
  <c r="BJ285" i="5"/>
  <c r="BX285" i="5"/>
  <c r="BL285" i="5" l="1"/>
  <c r="BZ285" i="5"/>
  <c r="BM285" i="5"/>
  <c r="CA285" i="5"/>
  <c r="AG288" i="5"/>
  <c r="AF288" i="5"/>
  <c r="LX288" i="5" s="1"/>
  <c r="AE288" i="5" s="1" a="1"/>
  <c r="AE288" i="5" s="1"/>
  <c r="AC289" i="5" s="1"/>
  <c r="AD289" i="5" l="1" a="1"/>
  <c r="AD289" i="5" s="1"/>
  <c r="BO285" i="5"/>
  <c r="CE285" i="5" s="1"/>
  <c r="CC285" i="5"/>
  <c r="BN285" i="5"/>
  <c r="CB285" i="5"/>
  <c r="AG289" i="5" l="1"/>
  <c r="AF289" i="5"/>
  <c r="LX289" i="5" s="1"/>
  <c r="AE289" i="5" s="1" a="1"/>
  <c r="AE289" i="5" s="1"/>
  <c r="AC290" i="5" s="1"/>
  <c r="CD285" i="5"/>
  <c r="AE285" i="5" a="1"/>
  <c r="AE285" i="5" s="1"/>
  <c r="AJ285" i="5" a="1"/>
  <c r="AJ285" i="5" s="1"/>
  <c r="AD290" i="5" l="1" a="1"/>
  <c r="AD290" i="5" s="1"/>
  <c r="AG290" i="5" l="1"/>
  <c r="AF290" i="5"/>
  <c r="LX290" i="5" s="1"/>
  <c r="AE290" i="5" s="1" a="1"/>
  <c r="AE290" i="5" s="1"/>
  <c r="AC291" i="5" s="1"/>
  <c r="AD291" i="5" l="1" a="1"/>
  <c r="AD291" i="5" s="1"/>
  <c r="AG291" i="5" l="1"/>
  <c r="AF291" i="5"/>
  <c r="LX291" i="5" s="1"/>
  <c r="AE291" i="5" s="1" a="1"/>
  <c r="AE291" i="5" s="1"/>
  <c r="AC292" i="5" s="1"/>
  <c r="AD292" i="5" l="1" a="1"/>
  <c r="AD292" i="5" s="1"/>
  <c r="AG292" i="5" l="1"/>
  <c r="AF292" i="5"/>
  <c r="LX292" i="5" s="1"/>
  <c r="AE292" i="5" s="1" a="1"/>
  <c r="AE292" i="5" s="1"/>
  <c r="AC293" i="5" s="1"/>
  <c r="AD293" i="5" l="1" a="1"/>
  <c r="AD293" i="5" s="1"/>
  <c r="AG293" i="5" l="1"/>
  <c r="AF293" i="5"/>
  <c r="LX293" i="5" s="1"/>
  <c r="AE293" i="5" s="1" a="1"/>
  <c r="AE293" i="5" s="1"/>
  <c r="AC294" i="5" s="1"/>
  <c r="AD294" i="5" l="1" a="1"/>
  <c r="AD294" i="5" s="1"/>
  <c r="AG294" i="5" l="1"/>
  <c r="AF294" i="5"/>
  <c r="LX294" i="5" s="1"/>
  <c r="AE294" i="5" s="1" a="1"/>
  <c r="AE294" i="5" s="1"/>
  <c r="AA2" i="1" l="1"/>
  <c r="AB2" i="1"/>
  <c r="QA2" i="1" l="1"/>
  <c r="QW2" i="1"/>
  <c r="QB2" i="1"/>
  <c r="QX2" i="1"/>
  <c r="QD2" i="1" l="1"/>
  <c r="QZ2" i="1"/>
  <c r="QC2" i="1"/>
  <c r="QY2" i="1"/>
  <c r="QE2" i="1" l="1"/>
  <c r="RA2" i="1"/>
  <c r="QF2" i="1"/>
  <c r="RB2" i="1"/>
  <c r="QH2" i="1" l="1"/>
  <c r="RD2" i="1"/>
  <c r="QG2" i="1"/>
  <c r="RC2" i="1"/>
  <c r="QI2" i="1" l="1"/>
  <c r="RE2" i="1"/>
  <c r="QJ2" i="1"/>
  <c r="RH2" i="1" s="1"/>
  <c r="RF2" i="1"/>
  <c r="RG2" i="1" l="1"/>
  <c r="Z2" i="1" a="1"/>
  <c r="Z2" i="1" s="1"/>
  <c r="Y3" i="1" l="1" a="1"/>
  <c r="Y3" i="1" s="1"/>
  <c r="AB3" i="1" s="1"/>
  <c r="Y16" i="1" a="1"/>
  <c r="Y16" i="1" s="1"/>
  <c r="AA3" i="1" l="1"/>
  <c r="QB3" i="1" s="1"/>
  <c r="AB16" i="1"/>
  <c r="AA16" i="1"/>
  <c r="QA3" i="1"/>
  <c r="QW3" i="1"/>
  <c r="QX3" i="1" l="1"/>
  <c r="QX16" i="1"/>
  <c r="QB16" i="1"/>
  <c r="QA16" i="1"/>
  <c r="QW16" i="1"/>
  <c r="QC3" i="1"/>
  <c r="QY3" i="1"/>
  <c r="QZ3" i="1"/>
  <c r="QD3" i="1"/>
  <c r="QY16" i="1" l="1"/>
  <c r="QC16" i="1"/>
  <c r="QZ16" i="1"/>
  <c r="QD16" i="1"/>
  <c r="RB3" i="1"/>
  <c r="QF3" i="1"/>
  <c r="RA3" i="1"/>
  <c r="QE3" i="1"/>
  <c r="RB16" i="1" l="1"/>
  <c r="QF16" i="1"/>
  <c r="RA16" i="1"/>
  <c r="QE16" i="1"/>
  <c r="RD3" i="1"/>
  <c r="QH3" i="1"/>
  <c r="RC3" i="1"/>
  <c r="QG3" i="1"/>
  <c r="RC16" i="1" l="1"/>
  <c r="QG16" i="1"/>
  <c r="QH16" i="1"/>
  <c r="RD16" i="1"/>
  <c r="QJ3" i="1"/>
  <c r="RH3" i="1" s="1"/>
  <c r="RF3" i="1"/>
  <c r="RE3" i="1"/>
  <c r="QI3" i="1"/>
  <c r="QJ16" i="1" l="1"/>
  <c r="RH16" i="1" s="1"/>
  <c r="RF16" i="1"/>
  <c r="QI16" i="1"/>
  <c r="RE16" i="1"/>
  <c r="RG3" i="1"/>
  <c r="Z3" i="1" a="1"/>
  <c r="Z3" i="1" s="1"/>
  <c r="Y17" i="1" s="1" a="1"/>
  <c r="Y17" i="1" s="1"/>
  <c r="AB17" i="1" l="1"/>
  <c r="AA17" i="1"/>
  <c r="RG16" i="1"/>
  <c r="Z16" i="1" a="1"/>
  <c r="Z16" i="1" s="1"/>
  <c r="Y32" i="1" s="1" a="1"/>
  <c r="Y32" i="1" s="1"/>
  <c r="AA32" i="1" l="1"/>
  <c r="AB32" i="1"/>
  <c r="QB17" i="1"/>
  <c r="QX17" i="1"/>
  <c r="QA17" i="1"/>
  <c r="QW17" i="1"/>
  <c r="QA32" i="1" l="1"/>
  <c r="QW32" i="1"/>
  <c r="QX32" i="1"/>
  <c r="QB32" i="1"/>
  <c r="QC17" i="1"/>
  <c r="QY17" i="1"/>
  <c r="QZ17" i="1"/>
  <c r="QD17" i="1"/>
  <c r="QZ32" i="1" l="1"/>
  <c r="QD32" i="1"/>
  <c r="QY32" i="1"/>
  <c r="QC32" i="1"/>
  <c r="RB17" i="1"/>
  <c r="QF17" i="1"/>
  <c r="RA17" i="1"/>
  <c r="QE17" i="1"/>
  <c r="QF32" i="1" l="1"/>
  <c r="RB32" i="1"/>
  <c r="RA32" i="1"/>
  <c r="QE32" i="1"/>
  <c r="RC17" i="1"/>
  <c r="QG17" i="1"/>
  <c r="RD17" i="1"/>
  <c r="QH17" i="1"/>
  <c r="RC32" i="1" l="1"/>
  <c r="QG32" i="1"/>
  <c r="QH32" i="1"/>
  <c r="RD32" i="1"/>
  <c r="RE17" i="1"/>
  <c r="QI17" i="1"/>
  <c r="QJ17" i="1"/>
  <c r="RH17" i="1" s="1"/>
  <c r="RF17" i="1"/>
  <c r="QJ32" i="1" l="1"/>
  <c r="RH32" i="1" s="1"/>
  <c r="RF32" i="1"/>
  <c r="QI32" i="1"/>
  <c r="RE32" i="1"/>
  <c r="RG17" i="1"/>
  <c r="Z17" i="1" a="1"/>
  <c r="Z17" i="1" s="1"/>
  <c r="Y33" i="1" s="1" a="1"/>
  <c r="Y33" i="1" s="1"/>
  <c r="RG32" i="1" l="1"/>
  <c r="Z32" i="1" a="1"/>
  <c r="Z32" i="1" s="1"/>
  <c r="AB33" i="1"/>
  <c r="AA33" i="1"/>
  <c r="QB33" i="1" l="1"/>
  <c r="QX33" i="1"/>
  <c r="QA33" i="1"/>
  <c r="QW33" i="1"/>
  <c r="QC33" i="1" l="1"/>
  <c r="QY33" i="1"/>
  <c r="QZ33" i="1"/>
  <c r="QD33" i="1"/>
  <c r="RB33" i="1" l="1"/>
  <c r="QF33" i="1"/>
  <c r="RA33" i="1"/>
  <c r="QE33" i="1"/>
  <c r="RC33" i="1" l="1"/>
  <c r="QG33" i="1"/>
  <c r="RD33" i="1"/>
  <c r="QH33" i="1"/>
  <c r="QJ33" i="1" l="1"/>
  <c r="RH33" i="1" s="1"/>
  <c r="RF33" i="1"/>
  <c r="RE33" i="1"/>
  <c r="QI33" i="1"/>
  <c r="RG33" i="1" l="1"/>
  <c r="Z33" i="1" a="1"/>
  <c r="Z33" i="1" s="1"/>
  <c r="AD35" i="1" l="1" a="1"/>
  <c r="AD35" i="1" s="1"/>
  <c r="AG35" i="1" l="1"/>
  <c r="AF35" i="1"/>
  <c r="LY35" i="1" s="1"/>
  <c r="AE35" i="1" s="1" a="1"/>
  <c r="AE35" i="1" s="1"/>
  <c r="AC36" i="1" s="1"/>
  <c r="AD36" i="1" l="1" a="1"/>
  <c r="AD36" i="1" s="1"/>
  <c r="AF36" i="1" l="1"/>
  <c r="LY36" i="1" s="1"/>
  <c r="AE36" i="1" s="1" a="1"/>
  <c r="AE36" i="1" s="1"/>
  <c r="AC37" i="1" s="1"/>
  <c r="AG36" i="1"/>
  <c r="AL43" i="1" l="1"/>
  <c r="AEC43" i="1" s="1"/>
  <c r="AK43" i="1"/>
  <c r="AEB43" i="1" s="1"/>
  <c r="AD37" i="1" a="1"/>
  <c r="AD37" i="1" s="1"/>
  <c r="AG37" i="1" l="1"/>
  <c r="AF37" i="1"/>
  <c r="LY37" i="1" s="1"/>
  <c r="AE37" i="1" s="1" a="1"/>
  <c r="AE37" i="1" s="1"/>
  <c r="AC38" i="1" s="1"/>
  <c r="AD38" i="1" l="1" a="1"/>
  <c r="AD38" i="1" s="1"/>
  <c r="AF38" i="1" l="1"/>
  <c r="LY38" i="1" s="1"/>
  <c r="AE38" i="1" s="1" a="1"/>
  <c r="AE38" i="1" s="1"/>
  <c r="AC39" i="1" s="1"/>
  <c r="AG38" i="1"/>
  <c r="AD39" i="1" l="1" a="1"/>
  <c r="AD39" i="1" s="1"/>
  <c r="AG39" i="1" l="1"/>
  <c r="AF39" i="1"/>
  <c r="LY39" i="1" s="1"/>
  <c r="AE39" i="1" s="1" a="1"/>
  <c r="AE39" i="1" s="1"/>
  <c r="AC40" i="1" s="1"/>
  <c r="AD40" i="1" l="1" a="1"/>
  <c r="AD40" i="1" s="1"/>
  <c r="AF40" i="1" l="1"/>
  <c r="LY40" i="1" s="1"/>
  <c r="AE40" i="1" s="1" a="1"/>
  <c r="AE40" i="1" s="1"/>
  <c r="AC41" i="1" s="1"/>
  <c r="AG40" i="1"/>
  <c r="AD41" i="1" l="1" a="1"/>
  <c r="AD41" i="1" s="1"/>
  <c r="AG41" i="1" l="1"/>
  <c r="AF41" i="1"/>
  <c r="LY41" i="1" s="1"/>
  <c r="AE41" i="1" s="1" a="1"/>
  <c r="AE41" i="1" s="1"/>
  <c r="AC42" i="1" s="1"/>
  <c r="AD42" i="1" l="1" a="1"/>
  <c r="AD42" i="1" s="1"/>
  <c r="AF42" i="1" l="1"/>
  <c r="LY42" i="1" s="1"/>
  <c r="AE42" i="1" s="1" a="1"/>
  <c r="AE42" i="1" s="1"/>
  <c r="AD50" i="1" s="1" a="1"/>
  <c r="AD50" i="1" s="1"/>
  <c r="AG42" i="1"/>
  <c r="AF50" i="1" l="1"/>
  <c r="LY50" i="1" s="1"/>
  <c r="AE50" i="1" s="1" a="1"/>
  <c r="AE50" i="1" s="1"/>
  <c r="AG5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<sst xmlns="http://schemas.openxmlformats.org/spreadsheetml/2006/main" count="9563" uniqueCount="2314">
  <si>
    <t>id</t>
  </si>
  <si>
    <t>role</t>
  </si>
  <si>
    <t>name</t>
  </si>
  <si>
    <t>maker</t>
  </si>
  <si>
    <t>minparam</t>
  </si>
  <si>
    <t>maxparam</t>
  </si>
  <si>
    <t>param</t>
  </si>
  <si>
    <t>muparam</t>
  </si>
  <si>
    <t>diam</t>
  </si>
  <si>
    <t>power</t>
  </si>
  <si>
    <t>code</t>
  </si>
  <si>
    <t>addinfo</t>
  </si>
  <si>
    <t>weight</t>
  </si>
  <si>
    <t>цена без НДС</t>
  </si>
  <si>
    <t>дата цены</t>
  </si>
  <si>
    <t>se</t>
  </si>
  <si>
    <t>sm</t>
  </si>
  <si>
    <t>ST</t>
  </si>
  <si>
    <t>book</t>
  </si>
  <si>
    <t>CpNum</t>
  </si>
  <si>
    <t>MechNum</t>
  </si>
  <si>
    <t>AmDi</t>
  </si>
  <si>
    <t>AmDo</t>
  </si>
  <si>
    <t>TmDi1-</t>
  </si>
  <si>
    <t>TmDi1+</t>
  </si>
  <si>
    <t>TmDo1-</t>
  </si>
  <si>
    <t>TmDo1+</t>
  </si>
  <si>
    <t>CP</t>
  </si>
  <si>
    <t>PP</t>
  </si>
  <si>
    <t>DiModName</t>
  </si>
  <si>
    <t>DoModName</t>
  </si>
  <si>
    <t>XTpp</t>
  </si>
  <si>
    <t>LC</t>
  </si>
  <si>
    <t>LCg</t>
  </si>
  <si>
    <t>LCt</t>
  </si>
  <si>
    <t>XTcp</t>
  </si>
  <si>
    <t>TmDi2-</t>
  </si>
  <si>
    <t>TmDi2+</t>
  </si>
  <si>
    <t>TmDi3-</t>
  </si>
  <si>
    <t>TmDi3+</t>
  </si>
  <si>
    <t>TmDi4-</t>
  </si>
  <si>
    <t>TmDi4+</t>
  </si>
  <si>
    <t>TmDi5-</t>
  </si>
  <si>
    <t>TmDi5+</t>
  </si>
  <si>
    <t>TmDi6-</t>
  </si>
  <si>
    <t>TmDi6+</t>
  </si>
  <si>
    <t>TmDo2-</t>
  </si>
  <si>
    <t>TmDo2+</t>
  </si>
  <si>
    <t>TmDo3-</t>
  </si>
  <si>
    <t>TmDo3+</t>
  </si>
  <si>
    <t>WcpDi1-</t>
  </si>
  <si>
    <t>WcpDi1+</t>
  </si>
  <si>
    <t>WcpDi2-</t>
  </si>
  <si>
    <t>WcpDi2+</t>
  </si>
  <si>
    <t>WcpDi3-</t>
  </si>
  <si>
    <t>WcpDi3+</t>
  </si>
  <si>
    <t>WcpDi4-</t>
  </si>
  <si>
    <t>WcpDi4+</t>
  </si>
  <si>
    <t>WcpDi5-</t>
  </si>
  <si>
    <t>WcpDi5+</t>
  </si>
  <si>
    <t>WcpDi6-</t>
  </si>
  <si>
    <t>WcpDi6+</t>
  </si>
  <si>
    <t>WcpDo1-</t>
  </si>
  <si>
    <t>WcpDo1+</t>
  </si>
  <si>
    <t>WcpDo2-</t>
  </si>
  <si>
    <t>WcpDo2+</t>
  </si>
  <si>
    <t>WcpDo3-</t>
  </si>
  <si>
    <t>WcpDo3+</t>
  </si>
  <si>
    <t>KL</t>
  </si>
  <si>
    <t>KN</t>
  </si>
  <si>
    <t>Ks</t>
  </si>
  <si>
    <t>Ko</t>
  </si>
  <si>
    <t>Kc</t>
  </si>
  <si>
    <t>KLcp1</t>
  </si>
  <si>
    <t>KLcp2</t>
  </si>
  <si>
    <t>KLcp3</t>
  </si>
  <si>
    <t>KLcp4</t>
  </si>
  <si>
    <t>KLcp5</t>
  </si>
  <si>
    <t>KLcp6</t>
  </si>
  <si>
    <t>KLcp7</t>
  </si>
  <si>
    <t>KLcp8</t>
  </si>
  <si>
    <t>KLcp9</t>
  </si>
  <si>
    <t>WcpKl1+</t>
  </si>
  <si>
    <t>WcpKl2+</t>
  </si>
  <si>
    <t>WcpKl3+</t>
  </si>
  <si>
    <t>WcpKl4+</t>
  </si>
  <si>
    <t>WcpKl5+</t>
  </si>
  <si>
    <t>WcpKl5-</t>
  </si>
  <si>
    <t>WcpKl6+</t>
  </si>
  <si>
    <t>WcpKl6-</t>
  </si>
  <si>
    <t>WcpKl7+</t>
  </si>
  <si>
    <t>WcpKl7-</t>
  </si>
  <si>
    <t>WcpKl8+</t>
  </si>
  <si>
    <t>WcpKl8-</t>
  </si>
  <si>
    <t>WcpKl9+</t>
  </si>
  <si>
    <t>WcpKl9-</t>
  </si>
  <si>
    <t>Ncp</t>
  </si>
  <si>
    <t>Lcp</t>
  </si>
  <si>
    <t>Tcp1</t>
  </si>
  <si>
    <t>Tcp2</t>
  </si>
  <si>
    <t>Tcp3</t>
  </si>
  <si>
    <t>Tcp4</t>
  </si>
  <si>
    <t>Tcp5</t>
  </si>
  <si>
    <t>Tcp6</t>
  </si>
  <si>
    <t>Tcp7</t>
  </si>
  <si>
    <t>Tcp8</t>
  </si>
  <si>
    <t>Tcp9</t>
  </si>
  <si>
    <t>Tcp10</t>
  </si>
  <si>
    <t>Tcp11</t>
  </si>
  <si>
    <t>Tcp12</t>
  </si>
  <si>
    <t>Tcp13</t>
  </si>
  <si>
    <t>Tcp14</t>
  </si>
  <si>
    <t>Tpp1</t>
  </si>
  <si>
    <t>Tpp2</t>
  </si>
  <si>
    <t>Tpp3</t>
  </si>
  <si>
    <t>Tpp4</t>
  </si>
  <si>
    <t>Tpp5</t>
  </si>
  <si>
    <t>Tpp6</t>
  </si>
  <si>
    <t>Tpp7</t>
  </si>
  <si>
    <t>Tpp8</t>
  </si>
  <si>
    <t>Tpp9</t>
  </si>
  <si>
    <t>Tpp10</t>
  </si>
  <si>
    <t>Tpp11</t>
  </si>
  <si>
    <t>Tpp12</t>
  </si>
  <si>
    <t>Tpp13</t>
  </si>
  <si>
    <t>Tpp14</t>
  </si>
  <si>
    <t>Затвор дисковый К-4 на выходе котловой воды из ВК-2</t>
  </si>
  <si>
    <t>ПЭМ-Б5М У2, 1,5кВт</t>
  </si>
  <si>
    <t xml:space="preserve">АБС ЗЭиМ </t>
  </si>
  <si>
    <t>se0001</t>
  </si>
  <si>
    <t>ГС</t>
  </si>
  <si>
    <t>A5.1</t>
  </si>
  <si>
    <t>A6.1</t>
  </si>
  <si>
    <t>C1</t>
  </si>
  <si>
    <t>B1</t>
  </si>
  <si>
    <t>1B</t>
  </si>
  <si>
    <t>1A</t>
  </si>
  <si>
    <t>Шкаф АСУТП ВК (F0CJU01)</t>
  </si>
  <si>
    <t>Шкаф управления запорной арматурой ШУЗ (F0CDA01)</t>
  </si>
  <si>
    <t>Терминальная панель TP-D</t>
  </si>
  <si>
    <t>Терминальная панель TP-O</t>
  </si>
  <si>
    <t>1X</t>
  </si>
  <si>
    <t>A1</t>
  </si>
  <si>
    <t>A2</t>
  </si>
  <si>
    <t>N</t>
  </si>
  <si>
    <t>L6</t>
  </si>
  <si>
    <t>F0NDG10AA002</t>
  </si>
  <si>
    <t>Затвор дисковый секционирующий К-1С на коллекторе обратной котловой воды</t>
  </si>
  <si>
    <t>C7</t>
  </si>
  <si>
    <t>B7</t>
  </si>
  <si>
    <t>2X</t>
  </si>
  <si>
    <t>F1NDF10AA001</t>
  </si>
  <si>
    <t>Затвор дисковый К-2 на выходе котловой воды из ВК-1</t>
  </si>
  <si>
    <t>C13</t>
  </si>
  <si>
    <t>B13</t>
  </si>
  <si>
    <t>3X</t>
  </si>
  <si>
    <t>F0NDF10AA002</t>
  </si>
  <si>
    <t>Затвор дисковый секционирующий К-2С на коллекторе прямой котловой воды</t>
  </si>
  <si>
    <t>4X</t>
  </si>
  <si>
    <t>F2NDG10AA001</t>
  </si>
  <si>
    <t>Затвор дисковый К-3 на входе котловой воды в ВК-2</t>
  </si>
  <si>
    <t>5X</t>
  </si>
  <si>
    <t>F2NDF10АА001</t>
  </si>
  <si>
    <t>6X</t>
  </si>
  <si>
    <t>F3NDG10AA001</t>
  </si>
  <si>
    <t>Затвор дисковый К-5 на входе котловой воды в ВК-3</t>
  </si>
  <si>
    <t>7X</t>
  </si>
  <si>
    <t>F3NDF10AA001</t>
  </si>
  <si>
    <t>Затвор дисковый К-6 на выходе котловой воды из ВК-3</t>
  </si>
  <si>
    <t>8X</t>
  </si>
  <si>
    <t>F4NDG10AA001</t>
  </si>
  <si>
    <t>Затвор дисковый К-7 на входе котловой воды в ВК-4</t>
  </si>
  <si>
    <t>9X</t>
  </si>
  <si>
    <t>F4NDF10AA001</t>
  </si>
  <si>
    <t>Затвор дисковый К-8 на выходе котловой воды из ВК-4</t>
  </si>
  <si>
    <t>10X</t>
  </si>
  <si>
    <t>F5NDG10AA001</t>
  </si>
  <si>
    <t xml:space="preserve">Затвор дисковый К-9 на входе котловой воды в ВК-5          </t>
  </si>
  <si>
    <t>11X</t>
  </si>
  <si>
    <t>F5NDF10AA001</t>
  </si>
  <si>
    <t>Затвор дисковый К-10 на выходе котловой воды из ВК-5</t>
  </si>
  <si>
    <t>12X</t>
  </si>
  <si>
    <t>F6NDG10AA001</t>
  </si>
  <si>
    <t xml:space="preserve">Затвор дисковый К-11 на входе котловой воды в ВК-6          </t>
  </si>
  <si>
    <t>13X</t>
  </si>
  <si>
    <t>F6NDF10AA001</t>
  </si>
  <si>
    <t>Затвор дисковый К-12 на выходе котловой воды из ВК-6</t>
  </si>
  <si>
    <t>14X</t>
  </si>
  <si>
    <t>F7NDG10AA001</t>
  </si>
  <si>
    <t>Затвор дисковый К-13 на входе котловой воды в ВК-7</t>
  </si>
  <si>
    <t>15X</t>
  </si>
  <si>
    <t>F7NDF10AA001</t>
  </si>
  <si>
    <t>Затвор дисковый К-14 на выходе котловой воды из ВК-7</t>
  </si>
  <si>
    <t>16X</t>
  </si>
  <si>
    <t>F8NDG10AA001</t>
  </si>
  <si>
    <t>Затвор дисковый К-15 на входе котловой воды в ВК-8</t>
  </si>
  <si>
    <t>17X</t>
  </si>
  <si>
    <t>F8NDF10AA001</t>
  </si>
  <si>
    <t>Затвор дисковый К-16 на выходе котловой воды из ВК-8</t>
  </si>
  <si>
    <t>18X</t>
  </si>
  <si>
    <t>F0NDG12AA001</t>
  </si>
  <si>
    <t>Затвор дисковый К-26 на входе насосной группы №2</t>
  </si>
  <si>
    <t>19X</t>
  </si>
  <si>
    <t>F0NDG11AA001</t>
  </si>
  <si>
    <t>Затвор дисковый К-27 на входе насосной группы №1</t>
  </si>
  <si>
    <t>20X</t>
  </si>
  <si>
    <t>F0NDG04AA001</t>
  </si>
  <si>
    <t>Затвор дисковый К-28 на всасе котлового насоса №4</t>
  </si>
  <si>
    <t>21X</t>
  </si>
  <si>
    <t>F0NDG04AA002</t>
  </si>
  <si>
    <t>Затвор дисковый К-29 на напоре котлового насоса №4</t>
  </si>
  <si>
    <t>22X</t>
  </si>
  <si>
    <t>F0NDG03AA001</t>
  </si>
  <si>
    <t>Затвор дисковый К-30 на всасе котлового насоса №3</t>
  </si>
  <si>
    <t>23X</t>
  </si>
  <si>
    <t>F0NDG03AA002</t>
  </si>
  <si>
    <t>Затвор дисковый К-31 на напоре котлового насоса №3</t>
  </si>
  <si>
    <t>24X</t>
  </si>
  <si>
    <t>F0NDG02AA001</t>
  </si>
  <si>
    <t>Затвор дисковый К-32 на всасе котлового насоса №2</t>
  </si>
  <si>
    <t>25X</t>
  </si>
  <si>
    <t>F0NDG02AA002</t>
  </si>
  <si>
    <t>Затвор дисковый К-33 на напоре котлового насоса №2</t>
  </si>
  <si>
    <t>26X</t>
  </si>
  <si>
    <t>F0NDG01AA001</t>
  </si>
  <si>
    <t>Затвор дисковый К-34 на всасе котлового насоса №1</t>
  </si>
  <si>
    <t>27X</t>
  </si>
  <si>
    <t>F0NDG01AA002</t>
  </si>
  <si>
    <t>Затвор дисковый К-35 на напоре котлового насоса №1</t>
  </si>
  <si>
    <t>28X</t>
  </si>
  <si>
    <t>F0NDG12AA002</t>
  </si>
  <si>
    <t>Затвор дисковый К-36 на выходе насосной группы №2</t>
  </si>
  <si>
    <t>29X</t>
  </si>
  <si>
    <t>F0NDG11AA002</t>
  </si>
  <si>
    <t>Затвор дисковый К-37 на выходе насосной группы №1</t>
  </si>
  <si>
    <t>30X</t>
  </si>
  <si>
    <t>F0GDH11AA001</t>
  </si>
  <si>
    <t>Задвижка на линии аварийного слива РК.КА9</t>
  </si>
  <si>
    <t>53X</t>
  </si>
  <si>
    <t>C19</t>
  </si>
  <si>
    <t>C25</t>
  </si>
  <si>
    <t>B19</t>
  </si>
  <si>
    <t>B25</t>
  </si>
  <si>
    <t>4B</t>
  </si>
  <si>
    <t>4A</t>
  </si>
  <si>
    <t>7B</t>
  </si>
  <si>
    <t>7A</t>
  </si>
  <si>
    <t>10B</t>
  </si>
  <si>
    <t>13B</t>
  </si>
  <si>
    <t>16B</t>
  </si>
  <si>
    <t>19B</t>
  </si>
  <si>
    <t>22B</t>
  </si>
  <si>
    <t>25B</t>
  </si>
  <si>
    <t>28B</t>
  </si>
  <si>
    <t>10A</t>
  </si>
  <si>
    <t>13A</t>
  </si>
  <si>
    <t>16A</t>
  </si>
  <si>
    <t>19A</t>
  </si>
  <si>
    <t>22A</t>
  </si>
  <si>
    <t>25A</t>
  </si>
  <si>
    <t>28A</t>
  </si>
  <si>
    <t>A5.2</t>
  </si>
  <si>
    <t>A5.3</t>
  </si>
  <si>
    <t>A5.4</t>
  </si>
  <si>
    <t>A5.5</t>
  </si>
  <si>
    <t>A5.6</t>
  </si>
  <si>
    <t>A5.7</t>
  </si>
  <si>
    <t>A6.2</t>
  </si>
  <si>
    <t>A6.3</t>
  </si>
  <si>
    <t>A6.4</t>
  </si>
  <si>
    <t>Затвор дисковый К-1 на входе котловой воды в ВК-1</t>
  </si>
  <si>
    <t>F1NDG10АА001</t>
  </si>
  <si>
    <t>Регулятор температуры в баке газоотделителе Р-66</t>
  </si>
  <si>
    <t>F0GAD12AA801</t>
  </si>
  <si>
    <t>Регулятор уровня в баке газоотделителе РТ-68</t>
  </si>
  <si>
    <t>F0GAD16AA801</t>
  </si>
  <si>
    <t>se0002</t>
  </si>
  <si>
    <t>A5.8</t>
  </si>
  <si>
    <t>A5.9</t>
  </si>
  <si>
    <t>Кран запорный бака раствора щелочи 9Д</t>
  </si>
  <si>
    <t>F0GCN01AA001</t>
  </si>
  <si>
    <t>se0003</t>
  </si>
  <si>
    <t>54X</t>
  </si>
  <si>
    <t>XTpp1</t>
  </si>
  <si>
    <t>XTpp2</t>
  </si>
  <si>
    <t>9B</t>
  </si>
  <si>
    <t>9A</t>
  </si>
  <si>
    <t>Ccb</t>
  </si>
  <si>
    <t>Cpp</t>
  </si>
  <si>
    <t>F0-A71</t>
  </si>
  <si>
    <t>F0-A70</t>
  </si>
  <si>
    <t>F0-A73</t>
  </si>
  <si>
    <t>F0-A72</t>
  </si>
  <si>
    <t>WcpN</t>
  </si>
  <si>
    <t>Tcb1</t>
  </si>
  <si>
    <t>Tcb2</t>
  </si>
  <si>
    <t>Tcb3</t>
  </si>
  <si>
    <t>Tcb4</t>
  </si>
  <si>
    <t>Tcb5</t>
  </si>
  <si>
    <t>Tpp21</t>
  </si>
  <si>
    <t>Tpp22</t>
  </si>
  <si>
    <t>CB</t>
  </si>
  <si>
    <t>WcpL</t>
  </si>
  <si>
    <t>LCcb</t>
  </si>
  <si>
    <t>LCcbg</t>
  </si>
  <si>
    <t>LCcbt</t>
  </si>
  <si>
    <t>LCpp</t>
  </si>
  <si>
    <t>LCppg</t>
  </si>
  <si>
    <t>LCppt</t>
  </si>
  <si>
    <t>F0-A1</t>
  </si>
  <si>
    <t>F0-A3</t>
  </si>
  <si>
    <t>F0-A5</t>
  </si>
  <si>
    <t>F0-A7</t>
  </si>
  <si>
    <t>F0-A9</t>
  </si>
  <si>
    <t>F0-A11</t>
  </si>
  <si>
    <t>F0-A13</t>
  </si>
  <si>
    <t>F0-A15</t>
  </si>
  <si>
    <t>F0-A17</t>
  </si>
  <si>
    <t>F0-A19</t>
  </si>
  <si>
    <t>F0-A21</t>
  </si>
  <si>
    <t>F0-A23</t>
  </si>
  <si>
    <t>F0-A25</t>
  </si>
  <si>
    <t>F0-A27</t>
  </si>
  <si>
    <t>F0-A29</t>
  </si>
  <si>
    <t>F0-A31</t>
  </si>
  <si>
    <t>F0-A33</t>
  </si>
  <si>
    <t>F0-A35</t>
  </si>
  <si>
    <t>F0-A37</t>
  </si>
  <si>
    <t>F0-A39</t>
  </si>
  <si>
    <t>F0-A41</t>
  </si>
  <si>
    <t>F0-A43</t>
  </si>
  <si>
    <t>F0-A45</t>
  </si>
  <si>
    <t>F0-A47</t>
  </si>
  <si>
    <t>F0-A49</t>
  </si>
  <si>
    <t>F0-A51</t>
  </si>
  <si>
    <t>F0-A53</t>
  </si>
  <si>
    <t>F0-A55</t>
  </si>
  <si>
    <t>F0-A57</t>
  </si>
  <si>
    <t>F0-A59</t>
  </si>
  <si>
    <t>F0-A61</t>
  </si>
  <si>
    <t>F0-A63</t>
  </si>
  <si>
    <t>Регулятор уровня в вакуумном деаэраторе РТ-63</t>
  </si>
  <si>
    <t>F0GHJ20AA801</t>
  </si>
  <si>
    <t>Регулятор давления рабочей воды на эжектора РД-5</t>
  </si>
  <si>
    <t>F0GAD17AA801</t>
  </si>
  <si>
    <t>F0-A74</t>
  </si>
  <si>
    <t>F0-A75</t>
  </si>
  <si>
    <t>F0-A76</t>
  </si>
  <si>
    <t>F0-A77</t>
  </si>
  <si>
    <t>Клапан регулирующий до теплообменников по сети Т21 РТ-70</t>
  </si>
  <si>
    <t>F0NDG24AA801</t>
  </si>
  <si>
    <t>F0-A78</t>
  </si>
  <si>
    <t>F0-A79</t>
  </si>
  <si>
    <t>F0-A80</t>
  </si>
  <si>
    <t>F0-A81</t>
  </si>
  <si>
    <t>Регулятор давления обратной котловой воды РД-К</t>
  </si>
  <si>
    <t>F0NDG20AA803</t>
  </si>
  <si>
    <t>Регулятор производительности ХВО РД-3</t>
  </si>
  <si>
    <t>F0GAC01AA801</t>
  </si>
  <si>
    <t>F0-A82</t>
  </si>
  <si>
    <t>F0-A83</t>
  </si>
  <si>
    <t>F0-A84</t>
  </si>
  <si>
    <t>F0-A85</t>
  </si>
  <si>
    <t>Регулятор температуры сырой воды РТ-4</t>
  </si>
  <si>
    <t>F0GAC01AA802</t>
  </si>
  <si>
    <t>Регулятор температуры умягченной воды РТ-71</t>
  </si>
  <si>
    <t>F0GBJ01AA801</t>
  </si>
  <si>
    <t>F0-A86</t>
  </si>
  <si>
    <t>F0-A87</t>
  </si>
  <si>
    <t>C4</t>
  </si>
  <si>
    <t>B4</t>
  </si>
  <si>
    <t>11B</t>
  </si>
  <si>
    <t>15B</t>
  </si>
  <si>
    <t>17B</t>
  </si>
  <si>
    <t>11A</t>
  </si>
  <si>
    <t>15A</t>
  </si>
  <si>
    <t>17A</t>
  </si>
  <si>
    <t>C10</t>
  </si>
  <si>
    <t>B10</t>
  </si>
  <si>
    <t>C16</t>
  </si>
  <si>
    <t>B16</t>
  </si>
  <si>
    <t>C22</t>
  </si>
  <si>
    <t>B22</t>
  </si>
  <si>
    <t>A6.5</t>
  </si>
  <si>
    <t>3B</t>
  </si>
  <si>
    <t>5B</t>
  </si>
  <si>
    <t>3A</t>
  </si>
  <si>
    <t>5A</t>
  </si>
  <si>
    <t>A6.6</t>
  </si>
  <si>
    <t>Затвор дисковый РК.КА1 регулятор расхода воды через ВК-1</t>
  </si>
  <si>
    <t>F1NDG10AA801</t>
  </si>
  <si>
    <t>se0004</t>
  </si>
  <si>
    <t>F0-A93</t>
  </si>
  <si>
    <t>F0-A94</t>
  </si>
  <si>
    <t>32X</t>
  </si>
  <si>
    <t>AiModName</t>
  </si>
  <si>
    <t>TP-U</t>
  </si>
  <si>
    <t>AmAi</t>
  </si>
  <si>
    <t>TmAi1-</t>
  </si>
  <si>
    <t>TmAi1+</t>
  </si>
  <si>
    <t>A3.1</t>
  </si>
  <si>
    <t>WcpAi1-</t>
  </si>
  <si>
    <t>WcpAi1+</t>
  </si>
  <si>
    <t>WcpKlDiH</t>
  </si>
  <si>
    <t>WcpKl1</t>
  </si>
  <si>
    <t>WcpKl2</t>
  </si>
  <si>
    <t>WcpKl3</t>
  </si>
  <si>
    <t>WcpKl4</t>
  </si>
  <si>
    <t>WcpKl5</t>
  </si>
  <si>
    <t>WcpKl6</t>
  </si>
  <si>
    <t>WcpKl7</t>
  </si>
  <si>
    <t>24Vcp</t>
  </si>
  <si>
    <t>0Vcp</t>
  </si>
  <si>
    <t>24v6</t>
  </si>
  <si>
    <t>0v6</t>
  </si>
  <si>
    <t>F2NDG10AA801</t>
  </si>
  <si>
    <t>Затвор дисковый РК.КА2 регулятор расхода воды через ВК-2</t>
  </si>
  <si>
    <t>F0-A97</t>
  </si>
  <si>
    <t>F0-A98</t>
  </si>
  <si>
    <t>33X</t>
  </si>
  <si>
    <t>WcpKlDoA</t>
  </si>
  <si>
    <t>F3NDG10AA801</t>
  </si>
  <si>
    <t>F0-A101</t>
  </si>
  <si>
    <t>Затвор дисковый РК.КА3 регулятор расхода воды через ВК-3</t>
  </si>
  <si>
    <t>34X</t>
  </si>
  <si>
    <t>35X</t>
  </si>
  <si>
    <t>Затвор дисковый РК.КА4 регулятор расхода воды через ВК-4</t>
  </si>
  <si>
    <t>F4NDG10AA801</t>
  </si>
  <si>
    <t>F0-A106</t>
  </si>
  <si>
    <t>F0-A109</t>
  </si>
  <si>
    <t>F0-A110</t>
  </si>
  <si>
    <t>F0-A113</t>
  </si>
  <si>
    <t>F0-A118</t>
  </si>
  <si>
    <t>F0-A121</t>
  </si>
  <si>
    <t>F0-A122</t>
  </si>
  <si>
    <t>F0-A125</t>
  </si>
  <si>
    <t>F0-A130</t>
  </si>
  <si>
    <t>F0-A133</t>
  </si>
  <si>
    <t>F0-A134</t>
  </si>
  <si>
    <t>F0-A137</t>
  </si>
  <si>
    <t>F0-A142</t>
  </si>
  <si>
    <t>A5.10</t>
  </si>
  <si>
    <t>A5.11</t>
  </si>
  <si>
    <t>21B</t>
  </si>
  <si>
    <t>23B</t>
  </si>
  <si>
    <t>21A</t>
  </si>
  <si>
    <t>23A</t>
  </si>
  <si>
    <t>36X</t>
  </si>
  <si>
    <t>37X</t>
  </si>
  <si>
    <t>38X</t>
  </si>
  <si>
    <t>39X</t>
  </si>
  <si>
    <t>40X</t>
  </si>
  <si>
    <t>41X</t>
  </si>
  <si>
    <t>43X</t>
  </si>
  <si>
    <t>F0-A102</t>
  </si>
  <si>
    <t>F0-A105</t>
  </si>
  <si>
    <t>F0-A114</t>
  </si>
  <si>
    <t>F0-A117</t>
  </si>
  <si>
    <t>F0-A126</t>
  </si>
  <si>
    <t>F0-A129</t>
  </si>
  <si>
    <t>F0-A138</t>
  </si>
  <si>
    <t>F0-A141</t>
  </si>
  <si>
    <t>Затвор дисковый РК.КА5 регулятор расхода воды через ВК-5</t>
  </si>
  <si>
    <t>F5NDG10AA801</t>
  </si>
  <si>
    <t>Затвор дисковый РК.КА6 регулятор расхода воды через ВК-6</t>
  </si>
  <si>
    <t>F6NDG10AA801</t>
  </si>
  <si>
    <t>Затвор дисковый РК.КА7 регулятор расхода воды через ВК-7</t>
  </si>
  <si>
    <t>F7NDG10AA801</t>
  </si>
  <si>
    <t>Затвор дисковый РК.КА8 регулятор расхода воды через ВК-8</t>
  </si>
  <si>
    <t>F8NDG10AA801</t>
  </si>
  <si>
    <t>Регулирующий клапан РТ-1 на трубопроводе байпаса насосов НСВ</t>
  </si>
  <si>
    <t>F0GAF03AA801</t>
  </si>
  <si>
    <t>Регулятор температуры ХОВ на вакуумный деаэратор РТ-59</t>
  </si>
  <si>
    <t>F0GHJ20AA802</t>
  </si>
  <si>
    <t>47X</t>
  </si>
  <si>
    <t>48X</t>
  </si>
  <si>
    <t>Регулятор температуры обратной котловой воды Ду200 РТ-об1</t>
  </si>
  <si>
    <t>F0NDG20AA801</t>
  </si>
  <si>
    <t>Регулятор температуры обратной котловой воды Ду400 РТ-об2</t>
  </si>
  <si>
    <t>F0NDG20AA802</t>
  </si>
  <si>
    <t>Регулятор расхода сырой воды на охладитель выпара РД-2</t>
  </si>
  <si>
    <t>F0GHJ10AA801</t>
  </si>
  <si>
    <t>se0005</t>
  </si>
  <si>
    <t>F0-1</t>
  </si>
  <si>
    <t>A3.3</t>
  </si>
  <si>
    <t>Температура исходной воды</t>
  </si>
  <si>
    <t>F0GAA01CT001</t>
  </si>
  <si>
    <t>24v3</t>
  </si>
  <si>
    <t>0v3</t>
  </si>
  <si>
    <t>T1+</t>
  </si>
  <si>
    <t>T2+</t>
  </si>
  <si>
    <t>T1-</t>
  </si>
  <si>
    <t>ТПУ-205</t>
  </si>
  <si>
    <t>Давление исходной воды</t>
  </si>
  <si>
    <t>F0GAA01CP001</t>
  </si>
  <si>
    <t>F0-2</t>
  </si>
  <si>
    <t>F0-3</t>
  </si>
  <si>
    <t>F0-4</t>
  </si>
  <si>
    <t>АИР-20/М2-Н</t>
  </si>
  <si>
    <t>Давление исходной воды до сетчатого фильтра</t>
  </si>
  <si>
    <t>F0GAA01CP002</t>
  </si>
  <si>
    <t>Давление исходной воды после сетчатого фильтра</t>
  </si>
  <si>
    <t>F0GAA01CP003</t>
  </si>
  <si>
    <t>se0006</t>
  </si>
  <si>
    <t>F0-5</t>
  </si>
  <si>
    <t>F0-6</t>
  </si>
  <si>
    <t>F0-7</t>
  </si>
  <si>
    <t>F0-8</t>
  </si>
  <si>
    <t>F0-9</t>
  </si>
  <si>
    <t>A3.4</t>
  </si>
  <si>
    <t>Давление сырой воды на всасе НСВ-1 (К5.1)</t>
  </si>
  <si>
    <t>F0GAF01CP001</t>
  </si>
  <si>
    <t>Давление сырой воды на напоре НСВ-1 (К5.1)</t>
  </si>
  <si>
    <t>F0GAF01CP002</t>
  </si>
  <si>
    <t>Давление сырой воды на всасе НСВ-2 (К5.2)</t>
  </si>
  <si>
    <t>Давление сырой воды на напоре НСВ-2 (К5.2)</t>
  </si>
  <si>
    <t>F0GAF02CP002</t>
  </si>
  <si>
    <t>F0GAF02CP001</t>
  </si>
  <si>
    <t>Давление исходной воды после насосов НСВ</t>
  </si>
  <si>
    <t>F0GAF10CP001</t>
  </si>
  <si>
    <t>Давление исходной воды в трубопроводе байпаса насосов НСВ</t>
  </si>
  <si>
    <t>F0GAF03CP001</t>
  </si>
  <si>
    <t>F0-10</t>
  </si>
  <si>
    <t>Температура воды аварийной подпитки</t>
  </si>
  <si>
    <t>F0-12</t>
  </si>
  <si>
    <t>F0GAD11CT001</t>
  </si>
  <si>
    <t>Давление воды аварийной подпитки</t>
  </si>
  <si>
    <t>F0GAD11CP001</t>
  </si>
  <si>
    <t>F0-13</t>
  </si>
  <si>
    <t>Уровень в баке-аккумуляторе запаса котловой воды</t>
  </si>
  <si>
    <t>F0GBK10CL001</t>
  </si>
  <si>
    <t>УЛМ-31.А1</t>
  </si>
  <si>
    <t>F0-14</t>
  </si>
  <si>
    <t>Температура воды после подогревателя исходной воды К11</t>
  </si>
  <si>
    <t>F0GAC01CT101</t>
  </si>
  <si>
    <t>F0GBJ01CT101</t>
  </si>
  <si>
    <t>Температура умягченной воды после подогревателя К16</t>
  </si>
  <si>
    <t>4-x пров R</t>
  </si>
  <si>
    <t>Температура воды в баке-газоотделителе</t>
  </si>
  <si>
    <t>F0GAD13CT001</t>
  </si>
  <si>
    <t>Давление на всасе насоса рабочей воды К10.5.1</t>
  </si>
  <si>
    <t>F0GAD14CP001</t>
  </si>
  <si>
    <t>se0007</t>
  </si>
  <si>
    <t>F0-15</t>
  </si>
  <si>
    <t>F0-16</t>
  </si>
  <si>
    <t>F0-17</t>
  </si>
  <si>
    <t>F0-18</t>
  </si>
  <si>
    <t>+</t>
  </si>
  <si>
    <t>-</t>
  </si>
  <si>
    <t>Xid1</t>
  </si>
  <si>
    <t>Xid2</t>
  </si>
  <si>
    <t>4-20мА</t>
  </si>
  <si>
    <t>24В</t>
  </si>
  <si>
    <t>T2-</t>
  </si>
  <si>
    <t>F0</t>
  </si>
  <si>
    <t>WcpAi2-</t>
  </si>
  <si>
    <t>WcpAi2+</t>
  </si>
  <si>
    <t>TmAi2-</t>
  </si>
  <si>
    <t>TmAi2+</t>
  </si>
  <si>
    <t>Давление на напоре насоса рабочей воды К10.5.1</t>
  </si>
  <si>
    <t>F0GAD14CP002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</si>
  <si>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</si>
  <si>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</si>
  <si>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</si>
  <si>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</si>
  <si>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баке-газоотделителе</t>
  </si>
  <si>
    <t>F0GAD13CL001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</si>
  <si>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</si>
  <si>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</si>
  <si>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</si>
  <si>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</si>
  <si>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</si>
  <si>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</si>
  <si>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</si>
  <si>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</si>
  <si>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Температура деаэрированной воды на выходе из бака-аккумулятора вакуумного деаэратора</t>
  </si>
  <si>
    <t>F0GDH11CT001</t>
  </si>
  <si>
    <t>F0-19</t>
  </si>
  <si>
    <t>F0-20</t>
  </si>
  <si>
    <t>F0-21</t>
  </si>
  <si>
    <t>F0-22</t>
  </si>
  <si>
    <t>F0-23</t>
  </si>
  <si>
    <t>F0-24</t>
  </si>
  <si>
    <t>F0-25</t>
  </si>
  <si>
    <t>F0-26</t>
  </si>
  <si>
    <t>F0-27</t>
  </si>
  <si>
    <t>Давление деаэрированной воды на выходе из бака-аккумулятора вакуумного деаэратора</t>
  </si>
  <si>
    <t>F0GDH11CP001</t>
  </si>
  <si>
    <t>F0-28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</si>
  <si>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</si>
  <si>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</si>
  <si>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</si>
  <si>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</si>
  <si>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</si>
  <si>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Давление на напоре насоса подпитки теплосети К6.2</t>
  </si>
  <si>
    <t>Давление на всасе насоса подпитки теплосети К6.3</t>
  </si>
  <si>
    <t>Давление на напоре насоса подпитки теплосети К6.3</t>
  </si>
  <si>
    <t>F0NDK12CP001</t>
  </si>
  <si>
    <t>F0NDK12CP002</t>
  </si>
  <si>
    <t>F0NDK13CP001</t>
  </si>
  <si>
    <t>F0NDK13CP002</t>
  </si>
  <si>
    <t>F0-30</t>
  </si>
  <si>
    <t>F0-31</t>
  </si>
  <si>
    <t>F0-32</t>
  </si>
  <si>
    <t>F0-33</t>
  </si>
  <si>
    <t>F0-34</t>
  </si>
  <si>
    <t>F0-35</t>
  </si>
  <si>
    <t>Уровень в баке-аккумуляторе вакуумного деаэратора</t>
  </si>
  <si>
    <t>F0GDH11CL002</t>
  </si>
  <si>
    <t>F0-36</t>
  </si>
  <si>
    <t>Давление подпитки теплосети от деаэратора</t>
  </si>
  <si>
    <t>F0NDK20CP001</t>
  </si>
  <si>
    <t>F0-37</t>
  </si>
  <si>
    <t>Температура подпитки теплосети от деаэратора</t>
  </si>
  <si>
    <t>F0NDK20CT001</t>
  </si>
  <si>
    <t>Давление хим.очищенной воды перед ПХОВ 1</t>
  </si>
  <si>
    <t>F0GHJ11CP001</t>
  </si>
  <si>
    <t>Температура хим.очищенной воды перед ПХОВ-1</t>
  </si>
  <si>
    <t>F0GHJ11CT001</t>
  </si>
  <si>
    <t>Давление греющей воды на ПХОВ-1</t>
  </si>
  <si>
    <t>F0GHJ11CP003</t>
  </si>
  <si>
    <t>Температура греющей воды на ПХОВ-1</t>
  </si>
  <si>
    <t>F0GHJ11CT003</t>
  </si>
  <si>
    <t>Давление хим.очищенной воды после ПХОВ 1</t>
  </si>
  <si>
    <t>F0GHJ11CP002</t>
  </si>
  <si>
    <t>Температура хим.очищенной воды после ПХОВ-1</t>
  </si>
  <si>
    <t>F0GHJ11CT002</t>
  </si>
  <si>
    <t>Давление греющей воды после ПХОВ-1</t>
  </si>
  <si>
    <t>F0GHJ11CP004</t>
  </si>
  <si>
    <t>F0-38</t>
  </si>
  <si>
    <t>F0-39</t>
  </si>
  <si>
    <t>F0-40</t>
  </si>
  <si>
    <t>F0-41</t>
  </si>
  <si>
    <t>F0-42</t>
  </si>
  <si>
    <t>F0-43</t>
  </si>
  <si>
    <t>F0-44</t>
  </si>
  <si>
    <t>F0-45</t>
  </si>
  <si>
    <t>Температура греющей воды после ПХОВ-1</t>
  </si>
  <si>
    <t>F0GHJ11CT004</t>
  </si>
  <si>
    <t>Давление хим.очищенной воды перед ПХОВ 2</t>
  </si>
  <si>
    <t>F0GHJ12CP001</t>
  </si>
  <si>
    <t>Температура хим.очищенной воды перед ПХОВ-2</t>
  </si>
  <si>
    <t>F0GHJ12CT001</t>
  </si>
  <si>
    <t>Давление греющей воды на ПХОВ-2</t>
  </si>
  <si>
    <t>F0GHJ12CP003</t>
  </si>
  <si>
    <t>Температура греющей воды на ПХОВ-2</t>
  </si>
  <si>
    <t>F0GHJ12CT003</t>
  </si>
  <si>
    <t>Давление хим.очищенной воды после ПХОВ 2</t>
  </si>
  <si>
    <t>F0GHJ12CP002</t>
  </si>
  <si>
    <t>Температура хим.очищенной воды после ПХОВ-2</t>
  </si>
  <si>
    <t>F0GHJ12CT002</t>
  </si>
  <si>
    <t>Давление греющей воды после ПХОВ-2</t>
  </si>
  <si>
    <t>F0GHJ12CP004</t>
  </si>
  <si>
    <t>Температура греющей воды после ПХОВ-2</t>
  </si>
  <si>
    <t>F0GHJ12CT004</t>
  </si>
  <si>
    <t>F0-46</t>
  </si>
  <si>
    <t>F0-47</t>
  </si>
  <si>
    <t>F0-48</t>
  </si>
  <si>
    <t>F0-49</t>
  </si>
  <si>
    <t>F0-50</t>
  </si>
  <si>
    <t>F0-51</t>
  </si>
  <si>
    <t>F0-52</t>
  </si>
  <si>
    <t>F0-53</t>
  </si>
  <si>
    <t>F0-54</t>
  </si>
  <si>
    <t>Температура хим.очищенной воды к ваккумному деаэратору подпитки т/с</t>
  </si>
  <si>
    <t>F0GHJ20CT002</t>
  </si>
  <si>
    <t>Температура обратной котловой воды на выходе из системы вентиляции</t>
  </si>
  <si>
    <t>F0NDG23CT001</t>
  </si>
  <si>
    <t>Давление обратной котловой воды на выходе из системы вентиляции</t>
  </si>
  <si>
    <t>F0NDG23CP001</t>
  </si>
  <si>
    <t>Давление обратной котловой воды на входе в котельную</t>
  </si>
  <si>
    <t>F0NDG20CP001</t>
  </si>
  <si>
    <t>Давление на всасе насоса №1 подпитки котлового контура К23.1</t>
  </si>
  <si>
    <t>F0GBK11CP001</t>
  </si>
  <si>
    <t>Давление на напоре насоса №1 подпитки котлового контура К23.1</t>
  </si>
  <si>
    <t>F0GBK11CP002</t>
  </si>
  <si>
    <t>Давление на всасе насоса №2 подпитки котлового контура К23.2</t>
  </si>
  <si>
    <t>F0GBK12CP001</t>
  </si>
  <si>
    <t>Давление на напоре насоса №2 подпитки котлового контура К23.2</t>
  </si>
  <si>
    <t>F0GBK12CP002</t>
  </si>
  <si>
    <t>Температура обратной котловой воды на входе в котельную</t>
  </si>
  <si>
    <t>F0NDG20CT001</t>
  </si>
  <si>
    <t>F0-63</t>
  </si>
  <si>
    <t>F0-55</t>
  </si>
  <si>
    <t>F0-56</t>
  </si>
  <si>
    <t>F0-57</t>
  </si>
  <si>
    <t>F0-58</t>
  </si>
  <si>
    <t>F0-59</t>
  </si>
  <si>
    <t>F0-60</t>
  </si>
  <si>
    <t>F0-61</t>
  </si>
  <si>
    <t>F0-62</t>
  </si>
  <si>
    <t>Температура воды после задвижки Т21 Котёл К1.1</t>
  </si>
  <si>
    <t>F1NDG10CT001</t>
  </si>
  <si>
    <t>Давление воды перед котлом Т21 Котёл К1.1</t>
  </si>
  <si>
    <t>F1NDG10CP001</t>
  </si>
  <si>
    <t>Температура воды перед котлом Т21 Котёл К1.1</t>
  </si>
  <si>
    <t>F1NDG10CT002</t>
  </si>
  <si>
    <t>F2NDG10CT001</t>
  </si>
  <si>
    <t>F2NDG10CP001</t>
  </si>
  <si>
    <t>F2NDG10CT002</t>
  </si>
  <si>
    <t>F3NDG10CT001</t>
  </si>
  <si>
    <t>F3NDG10CP001</t>
  </si>
  <si>
    <t>F3NDG10CT002</t>
  </si>
  <si>
    <t>F4NDG10CT001</t>
  </si>
  <si>
    <t>F4NDG10CP001</t>
  </si>
  <si>
    <t>F4NDG10CT002</t>
  </si>
  <si>
    <t>F5NDG10CT001</t>
  </si>
  <si>
    <t>F5NDG10CP001</t>
  </si>
  <si>
    <t>F5NDG10CT002</t>
  </si>
  <si>
    <t>F6NDG10CT001</t>
  </si>
  <si>
    <t>F6NDG10CP001</t>
  </si>
  <si>
    <t>F6NDG10CT002</t>
  </si>
  <si>
    <t>F7NDG10CT001</t>
  </si>
  <si>
    <t>F7NDG10CP001</t>
  </si>
  <si>
    <t>F7NDG10CT002</t>
  </si>
  <si>
    <t>F8NDG10CT001</t>
  </si>
  <si>
    <t>F8NDG10CP001</t>
  </si>
  <si>
    <t>F8NDG10CT002</t>
  </si>
  <si>
    <t>Температура воды после задвижки Т21 Котёл К1.2</t>
  </si>
  <si>
    <t>Давление воды перед котлом Т21 Котёл К1.2</t>
  </si>
  <si>
    <t>Температура воды перед котлом Т21 Котёл К1.2</t>
  </si>
  <si>
    <t>Температура воды после задвижки Т21 Котёл К1.3</t>
  </si>
  <si>
    <t>Давление воды перед котлом Т21 Котёл К1.3</t>
  </si>
  <si>
    <t>Температура воды перед котлом Т21 Котёл К1.3</t>
  </si>
  <si>
    <t>Температура воды после задвижки Т21 Котёл К1.4</t>
  </si>
  <si>
    <t>Давление воды перед котлом Т21 Котёл К1.4</t>
  </si>
  <si>
    <t>Температура воды перед котлом Т21 Котёл К1.4</t>
  </si>
  <si>
    <t>Температура воды после задвижки Т21 Котёл К1.5</t>
  </si>
  <si>
    <t>Давление воды перед котлом Т21 Котёл К1.5</t>
  </si>
  <si>
    <t>Температура воды перед котлом Т21 Котёл К1.5</t>
  </si>
  <si>
    <t>Температура воды после задвижки Т21 Котёл К1.6</t>
  </si>
  <si>
    <t>Давление воды перед котлом Т21 Котёл К1.6</t>
  </si>
  <si>
    <t>Температура воды перед котлом Т21 Котёл К1.6</t>
  </si>
  <si>
    <t>Температура воды после задвижки Т21 Котёл К1.7</t>
  </si>
  <si>
    <t>Давление воды перед котлом Т21 Котёл К1.7</t>
  </si>
  <si>
    <t>Температура воды перед котлом Т21 Котёл К1.7</t>
  </si>
  <si>
    <t>Температура воды после задвижки Т21 Котёл К1.8</t>
  </si>
  <si>
    <t>Давление воды перед котлом Т21 Котёл К1.8</t>
  </si>
  <si>
    <t>Температура воды перед котлом Т21 Котёл К1.8</t>
  </si>
  <si>
    <t>F0-73</t>
  </si>
  <si>
    <t>F0-74</t>
  </si>
  <si>
    <t>F0-75</t>
  </si>
  <si>
    <t>F0-76</t>
  </si>
  <si>
    <t>F0-77</t>
  </si>
  <si>
    <t>F0-78</t>
  </si>
  <si>
    <t>F0-79</t>
  </si>
  <si>
    <t>F0-80</t>
  </si>
  <si>
    <t>F0-81</t>
  </si>
  <si>
    <t>F0-82</t>
  </si>
  <si>
    <t>F0-83</t>
  </si>
  <si>
    <t>F0-84</t>
  </si>
  <si>
    <t>F0-85</t>
  </si>
  <si>
    <t>F0-86</t>
  </si>
  <si>
    <t>F0-87</t>
  </si>
  <si>
    <t>F0-88</t>
  </si>
  <si>
    <t>F0-89</t>
  </si>
  <si>
    <t>F0-90</t>
  </si>
  <si>
    <t>F0-91</t>
  </si>
  <si>
    <t>F0-92</t>
  </si>
  <si>
    <t>F0-93</t>
  </si>
  <si>
    <t>F0-94</t>
  </si>
  <si>
    <t>F0-95</t>
  </si>
  <si>
    <t>F0-96</t>
  </si>
  <si>
    <t>Давление прямой котловой воды на подогреватели ХОВ</t>
  </si>
  <si>
    <t>F0NDF22CP001</t>
  </si>
  <si>
    <t>Температура прямой котловой воды на подогреватели ХОВ</t>
  </si>
  <si>
    <t>F0NDF22CT001</t>
  </si>
  <si>
    <t>F0-99</t>
  </si>
  <si>
    <t>F1NDF10CP001</t>
  </si>
  <si>
    <t>F0-97</t>
  </si>
  <si>
    <t>F0-98</t>
  </si>
  <si>
    <t>Давление воды после котла Т11 Котёл К1.1</t>
  </si>
  <si>
    <t>Температура воды после котла Т11 Котёл К1.1</t>
  </si>
  <si>
    <t>F0-100</t>
  </si>
  <si>
    <t>F1NDF10CT001</t>
  </si>
  <si>
    <t>F2NDF10CP001</t>
  </si>
  <si>
    <t>F2NDF10CT001</t>
  </si>
  <si>
    <t>F3NDF10CP001</t>
  </si>
  <si>
    <t>F3NDF10CT001</t>
  </si>
  <si>
    <t>F4NDF10CP001</t>
  </si>
  <si>
    <t>F4NDF10CT001</t>
  </si>
  <si>
    <t>F5NDF10CP001</t>
  </si>
  <si>
    <t>F5NDF10CT001</t>
  </si>
  <si>
    <t>F6NDF10CP001</t>
  </si>
  <si>
    <t>F6NDF10CT001</t>
  </si>
  <si>
    <t>F7NDF10CP001</t>
  </si>
  <si>
    <t>F7NDF10CT001</t>
  </si>
  <si>
    <t>F8NDF10CP001</t>
  </si>
  <si>
    <t>F8NDF10CT001</t>
  </si>
  <si>
    <t>Давление воды после котла Т11 Котёл К1.2</t>
  </si>
  <si>
    <t>Температура воды после котла Т11 Котёл К1.2</t>
  </si>
  <si>
    <t>Давление воды после котла Т11 Котёл К1.3</t>
  </si>
  <si>
    <t>Температура воды после котла Т11 Котёл К1.3</t>
  </si>
  <si>
    <t>Давление воды после котла Т11 Котёл К1.4</t>
  </si>
  <si>
    <t>Температура воды после котла Т11 Котёл К1.4</t>
  </si>
  <si>
    <t>Давление воды после котла Т11 Котёл К1.5</t>
  </si>
  <si>
    <t>Температура воды после котла Т11 Котёл К1.5</t>
  </si>
  <si>
    <t>Давление воды после котла Т11 Котёл К1.6</t>
  </si>
  <si>
    <t>Температура воды после котла Т11 Котёл К1.6</t>
  </si>
  <si>
    <t>Давление воды после котла Т11 Котёл К1.7</t>
  </si>
  <si>
    <t>Температура воды после котла Т11 Котёл К1.7</t>
  </si>
  <si>
    <t>Давление воды после котла Т11 Котёл К1.8</t>
  </si>
  <si>
    <t>Температура воды после котла Т11 Котёл К1.8</t>
  </si>
  <si>
    <t>F0-101</t>
  </si>
  <si>
    <t>F0-102</t>
  </si>
  <si>
    <t>F0-103</t>
  </si>
  <si>
    <t>F0-104</t>
  </si>
  <si>
    <t>F0-105</t>
  </si>
  <si>
    <t>F0-106</t>
  </si>
  <si>
    <t>F0-107</t>
  </si>
  <si>
    <t>F0-108</t>
  </si>
  <si>
    <t>F0-109</t>
  </si>
  <si>
    <t>F0-110</t>
  </si>
  <si>
    <t>F0-111</t>
  </si>
  <si>
    <t>F0-112</t>
  </si>
  <si>
    <t>F0-113</t>
  </si>
  <si>
    <t>F0-114</t>
  </si>
  <si>
    <t>Температура прямой котловой воды в общем коллекторе котлов</t>
  </si>
  <si>
    <t>F0NDF10CT001</t>
  </si>
  <si>
    <t>Температура наружного воздуха</t>
  </si>
  <si>
    <t>F0UZK10CT001</t>
  </si>
  <si>
    <t>Давление на всасе НКП-1</t>
  </si>
  <si>
    <t>F0LFM11CP001</t>
  </si>
  <si>
    <t>Давление на напоре НКП-1</t>
  </si>
  <si>
    <t>F0LFM11CP002</t>
  </si>
  <si>
    <t>Давление на всасе НКП-2</t>
  </si>
  <si>
    <t>F0LFM12CP001</t>
  </si>
  <si>
    <t>Давление на напоре НКП-2</t>
  </si>
  <si>
    <t>F0LFM12CP002</t>
  </si>
  <si>
    <t>Давление до теплообменников по сети Т11</t>
  </si>
  <si>
    <t>F0NDF15СР001</t>
  </si>
  <si>
    <t>Температура до теплообменников по сети Т11</t>
  </si>
  <si>
    <t>F0NDF15СТ101</t>
  </si>
  <si>
    <t>A3.16</t>
  </si>
  <si>
    <t>Температура Т3 в систему ГВС АБК котельной</t>
  </si>
  <si>
    <t>F0GKB20СТ101</t>
  </si>
  <si>
    <t>Температура В1 от насосной станции</t>
  </si>
  <si>
    <t>F0GKB10СТ101</t>
  </si>
  <si>
    <t>F0-115</t>
  </si>
  <si>
    <t>F0-116</t>
  </si>
  <si>
    <t>F0-117</t>
  </si>
  <si>
    <t>F0-118</t>
  </si>
  <si>
    <t>F0-119</t>
  </si>
  <si>
    <t>F0-120</t>
  </si>
  <si>
    <t>F0-121</t>
  </si>
  <si>
    <t>F0-122</t>
  </si>
  <si>
    <t>F0-123</t>
  </si>
  <si>
    <t>F0-124</t>
  </si>
  <si>
    <t>F0-125</t>
  </si>
  <si>
    <t>se0008</t>
  </si>
  <si>
    <t>ЭМИС-ПОТОК 285</t>
  </si>
  <si>
    <t>Датчик реле протока через охладитель выпара</t>
  </si>
  <si>
    <t>F0GHJ10CF151</t>
  </si>
  <si>
    <t>A5.12</t>
  </si>
  <si>
    <t>TP-D</t>
  </si>
  <si>
    <t>WcpDi1</t>
  </si>
  <si>
    <t>0VcpM</t>
  </si>
  <si>
    <t>24VcpM</t>
  </si>
  <si>
    <t>0VcpS</t>
  </si>
  <si>
    <t>24VcpS</t>
  </si>
  <si>
    <t>T24V</t>
  </si>
  <si>
    <t>T0V</t>
  </si>
  <si>
    <t>T1</t>
  </si>
  <si>
    <t>T2</t>
  </si>
  <si>
    <t>T3</t>
  </si>
  <si>
    <t>F0-SD1-1</t>
  </si>
  <si>
    <t>F0-1UZ</t>
  </si>
  <si>
    <t>Расход воды аварийной подпитки</t>
  </si>
  <si>
    <t>F0GAD11CF001</t>
  </si>
  <si>
    <t>se0009</t>
  </si>
  <si>
    <t>1UZ</t>
  </si>
  <si>
    <t>I вых +</t>
  </si>
  <si>
    <t>I вых -</t>
  </si>
  <si>
    <t>Щит в аппаратной</t>
  </si>
  <si>
    <t>F0-2UZ</t>
  </si>
  <si>
    <t>F0-3UZ</t>
  </si>
  <si>
    <t>F0-4UZ</t>
  </si>
  <si>
    <t>F0-5UZ</t>
  </si>
  <si>
    <t>Расход воды на теплообменник К12</t>
  </si>
  <si>
    <t>F0NDF22CF001</t>
  </si>
  <si>
    <t>Расход воды на теплообменники К11, К16</t>
  </si>
  <si>
    <t>F0NDF22CF002</t>
  </si>
  <si>
    <t>Расход воды на бак-газоотделитель</t>
  </si>
  <si>
    <t>F0GAD12CF001</t>
  </si>
  <si>
    <t>Расход подпитки теплосети от деаэратора</t>
  </si>
  <si>
    <t>F0NDK20CF001</t>
  </si>
  <si>
    <t>F0-6UZ</t>
  </si>
  <si>
    <t>F0-7UZ</t>
  </si>
  <si>
    <t>Расход сырой воды к ХВО</t>
  </si>
  <si>
    <t>F0GAD18CF001</t>
  </si>
  <si>
    <t>Расход хим.очищенной воды к ваккумному деаэратору подпитки т/с</t>
  </si>
  <si>
    <t>F0GHJ20CF001</t>
  </si>
  <si>
    <t>2UZ</t>
  </si>
  <si>
    <t>3UZ</t>
  </si>
  <si>
    <t>4UZ</t>
  </si>
  <si>
    <t>5UZ</t>
  </si>
  <si>
    <t>6UZ</t>
  </si>
  <si>
    <t>7UZ</t>
  </si>
  <si>
    <t>se0010</t>
  </si>
  <si>
    <t>режим b-01</t>
  </si>
  <si>
    <t>Сигнализация начала/окончания процесса регенирации Фильтр К9.2.1 сработала</t>
  </si>
  <si>
    <t>F0GBJ01CF151</t>
  </si>
  <si>
    <t>Сигнализация начала/окончания процесса регенирации Фильтр К9.2.2 сработала</t>
  </si>
  <si>
    <t>F0GBJ02CF151</t>
  </si>
  <si>
    <t>F0-TM1</t>
  </si>
  <si>
    <t>F0-TM2</t>
  </si>
  <si>
    <t>C2</t>
  </si>
  <si>
    <t>B2</t>
  </si>
  <si>
    <t>C3</t>
  </si>
  <si>
    <t>B3</t>
  </si>
  <si>
    <t>F0-SD2-1</t>
  </si>
  <si>
    <t>F0-SD3-1</t>
  </si>
  <si>
    <t>F0-AT1</t>
  </si>
  <si>
    <t>Содержание кислорода в подпиточной воде котлового контура после БВД-10</t>
  </si>
  <si>
    <t>F0GBK10CQ003</t>
  </si>
  <si>
    <t>МАРК-409 Т/1</t>
  </si>
  <si>
    <t>se0011</t>
  </si>
  <si>
    <t>A3.17</t>
  </si>
  <si>
    <t>WcpDi2</t>
  </si>
  <si>
    <t>WcpDi3</t>
  </si>
  <si>
    <t>WcpDi4</t>
  </si>
  <si>
    <t>WcpAi1</t>
  </si>
  <si>
    <t>WcpAi2</t>
  </si>
  <si>
    <t>WcpAiCom</t>
  </si>
  <si>
    <t>id2</t>
  </si>
  <si>
    <t>role2</t>
  </si>
  <si>
    <t>F0NDG20CQ003</t>
  </si>
  <si>
    <t>Содержание кислорода в обратной котловой воде после подпитки</t>
  </si>
  <si>
    <t>Cda</t>
  </si>
  <si>
    <t>Cdb</t>
  </si>
  <si>
    <t>Caab</t>
  </si>
  <si>
    <t>F0-AT2</t>
  </si>
  <si>
    <t>F0-AT3</t>
  </si>
  <si>
    <t>F0-AT1-A</t>
  </si>
  <si>
    <t>F0-AT1-B</t>
  </si>
  <si>
    <t>F0-AT2-MIN</t>
  </si>
  <si>
    <t>F0-AT2-MAX</t>
  </si>
  <si>
    <t>F0-AT3-MIN</t>
  </si>
  <si>
    <t>F0-AT3-MAX</t>
  </si>
  <si>
    <t>K57-01</t>
  </si>
  <si>
    <t>K57-02</t>
  </si>
  <si>
    <t>K57-03</t>
  </si>
  <si>
    <t>K57-04</t>
  </si>
  <si>
    <t>C8</t>
  </si>
  <si>
    <t>B8</t>
  </si>
  <si>
    <t>МАРК-9010</t>
  </si>
  <si>
    <t>se0012</t>
  </si>
  <si>
    <t>F0-AT1-COM</t>
  </si>
  <si>
    <t>pH сырой воды после ХВО</t>
  </si>
  <si>
    <t>F0GHJ01CQ001</t>
  </si>
  <si>
    <t>K57-05</t>
  </si>
  <si>
    <t>K57-06</t>
  </si>
  <si>
    <t>F0-AT5-A</t>
  </si>
  <si>
    <t>NcpS</t>
  </si>
  <si>
    <t>LcpS</t>
  </si>
  <si>
    <t>F0-AT6-MAX</t>
  </si>
  <si>
    <t>F0-AT6-MIN</t>
  </si>
  <si>
    <t>F0-AT5-COM</t>
  </si>
  <si>
    <t>F0-AT7</t>
  </si>
  <si>
    <t>F0-AT5</t>
  </si>
  <si>
    <t>F0-AT6</t>
  </si>
  <si>
    <t>F0-L7</t>
  </si>
  <si>
    <t>Уровень воды бака раствора щелочи</t>
  </si>
  <si>
    <t>F0GCN01СL001</t>
  </si>
  <si>
    <t>F0GCN01СL002</t>
  </si>
  <si>
    <t>F0-126</t>
  </si>
  <si>
    <t>F0-127</t>
  </si>
  <si>
    <t>ШКА1</t>
  </si>
  <si>
    <t>F0-Eth1</t>
  </si>
  <si>
    <t>UTP cat5e 4x2x0.5</t>
  </si>
  <si>
    <t>Откуда</t>
  </si>
  <si>
    <t>Куда</t>
  </si>
  <si>
    <t>Маркировка</t>
  </si>
  <si>
    <t>Тип кабеля</t>
  </si>
  <si>
    <t>F0CJU01</t>
  </si>
  <si>
    <t>ШКА2</t>
  </si>
  <si>
    <t>F0-Eth2</t>
  </si>
  <si>
    <t>ШКА3</t>
  </si>
  <si>
    <t>F0-Eth3</t>
  </si>
  <si>
    <t>ШКА4</t>
  </si>
  <si>
    <t>F0-Eth4</t>
  </si>
  <si>
    <t>ШКА5</t>
  </si>
  <si>
    <t>F0-Eth5</t>
  </si>
  <si>
    <t>ШКА6</t>
  </si>
  <si>
    <t>F0-Eth6</t>
  </si>
  <si>
    <t>ШКА7</t>
  </si>
  <si>
    <t>F0-Eth7</t>
  </si>
  <si>
    <t>ШКА8</t>
  </si>
  <si>
    <t>F0-Eth8</t>
  </si>
  <si>
    <t>F0-Eth9</t>
  </si>
  <si>
    <t>ШУГ1</t>
  </si>
  <si>
    <t>ШУГ2</t>
  </si>
  <si>
    <t>F0-Eth10</t>
  </si>
  <si>
    <t>ШУГ3</t>
  </si>
  <si>
    <t>F0-Eth11</t>
  </si>
  <si>
    <t>ШУГ4</t>
  </si>
  <si>
    <t>F0-Eth12</t>
  </si>
  <si>
    <t>ШУГ5</t>
  </si>
  <si>
    <t>F0-Eth13</t>
  </si>
  <si>
    <t>ШУГ6</t>
  </si>
  <si>
    <t>F0-Eth14</t>
  </si>
  <si>
    <t>ШУГ7</t>
  </si>
  <si>
    <t>F0-Eth15</t>
  </si>
  <si>
    <t>ШУГ8</t>
  </si>
  <si>
    <t>F0-Eth16</t>
  </si>
  <si>
    <t>Щит КИП БВД-10</t>
  </si>
  <si>
    <t>КИПвЭВнг(А)-LS 1x2x0.78</t>
  </si>
  <si>
    <t>F0-K1</t>
  </si>
  <si>
    <t>F0-K2</t>
  </si>
  <si>
    <t>F0-K3</t>
  </si>
  <si>
    <t>F0-K4</t>
  </si>
  <si>
    <t>se0013</t>
  </si>
  <si>
    <t>3-x пров R</t>
  </si>
  <si>
    <t>Температура подшипника №1 ЭД котлового насоса К4.1</t>
  </si>
  <si>
    <t>Tcb6</t>
  </si>
  <si>
    <t>TmAi3-</t>
  </si>
  <si>
    <t>TmAi3+</t>
  </si>
  <si>
    <t>TmAi4-</t>
  </si>
  <si>
    <t>TmAi4+</t>
  </si>
  <si>
    <t>WcpAi3-</t>
  </si>
  <si>
    <t>WcpAi3+</t>
  </si>
  <si>
    <t>WcpAi4-</t>
  </si>
  <si>
    <t>WcpAi4+</t>
  </si>
  <si>
    <t>Соединительная коробка СК-1 К4.1</t>
  </si>
  <si>
    <t>Температура подшипника №2 ЭД котлового насоса К4.1</t>
  </si>
  <si>
    <t>Температура подшипника №3 ЭД котлового насоса К4.1</t>
  </si>
  <si>
    <t>Температура подшипника №4 ЭД котлового насоса К4.1</t>
  </si>
  <si>
    <t>F0NDG01CT101</t>
  </si>
  <si>
    <t>F0NDG01CT102</t>
  </si>
  <si>
    <t>F0NDG01CT103</t>
  </si>
  <si>
    <t>F0NDG01CT104</t>
  </si>
  <si>
    <t>F0NDG01CT105</t>
  </si>
  <si>
    <t>id3</t>
  </si>
  <si>
    <t>role3</t>
  </si>
  <si>
    <t>F0NDG01CT106</t>
  </si>
  <si>
    <t>F0NDG01CT107</t>
  </si>
  <si>
    <t>TmAi5-</t>
  </si>
  <si>
    <t>TmAi5+</t>
  </si>
  <si>
    <t>TmAi6-</t>
  </si>
  <si>
    <t>TmAi6+</t>
  </si>
  <si>
    <t>WcpAi5-</t>
  </si>
  <si>
    <t>WcpAi5+</t>
  </si>
  <si>
    <t>WcpAi6-</t>
  </si>
  <si>
    <t>WcpAi6+</t>
  </si>
  <si>
    <t>Tcb7</t>
  </si>
  <si>
    <t>Tcb8</t>
  </si>
  <si>
    <t>Tcb9</t>
  </si>
  <si>
    <t>se0014</t>
  </si>
  <si>
    <t>Соединительная коробка СК-2 К4.1</t>
  </si>
  <si>
    <t>Температура обмоток электродвигателя фаза W котлового насоса К4.1</t>
  </si>
  <si>
    <t>Температура обмоток электродвигателя фаза V котлового насоса К4.1</t>
  </si>
  <si>
    <t>Температура обмоток электродвигателя фаза U котлового насоса К4.1</t>
  </si>
  <si>
    <t>F0-K5</t>
  </si>
  <si>
    <t>Ток ЭД котлового насоса К4.1</t>
  </si>
  <si>
    <t>F0NDG01CE012</t>
  </si>
  <si>
    <t>A3.18</t>
  </si>
  <si>
    <t>A3.30</t>
  </si>
  <si>
    <t>A3.31</t>
  </si>
  <si>
    <t>Соединительная коробка СК-3 К4.1</t>
  </si>
  <si>
    <t>Вибрация подшипника №1, вертикальная составляющая</t>
  </si>
  <si>
    <t>F0NDG01CY001</t>
  </si>
  <si>
    <t>se0015</t>
  </si>
  <si>
    <t>AmAi2</t>
  </si>
  <si>
    <t>TmAi7+</t>
  </si>
  <si>
    <t>TmAi7-</t>
  </si>
  <si>
    <t>TmAi8+</t>
  </si>
  <si>
    <t>TmAi8-</t>
  </si>
  <si>
    <t>TmAi9+</t>
  </si>
  <si>
    <t>TmAi9-</t>
  </si>
  <si>
    <t>TmAi10+</t>
  </si>
  <si>
    <t>TmAi10-</t>
  </si>
  <si>
    <t>TmAi11+</t>
  </si>
  <si>
    <t>TmAi11-</t>
  </si>
  <si>
    <t>TmAi12+</t>
  </si>
  <si>
    <t>TmAi12-</t>
  </si>
  <si>
    <t>WcpAi7+</t>
  </si>
  <si>
    <t>WcpAi7-</t>
  </si>
  <si>
    <t>WcpAi8+</t>
  </si>
  <si>
    <t>WcpAi8-</t>
  </si>
  <si>
    <t>WcpAi9+</t>
  </si>
  <si>
    <t>WcpAi9-</t>
  </si>
  <si>
    <t>WcpAi10+</t>
  </si>
  <si>
    <t>WcpAi10-</t>
  </si>
  <si>
    <t>WcpAi11+</t>
  </si>
  <si>
    <t>WcpAi11-</t>
  </si>
  <si>
    <t>WcpAi12+</t>
  </si>
  <si>
    <t>WcpAi12-</t>
  </si>
  <si>
    <t>Tcp15</t>
  </si>
  <si>
    <t>Tcp16</t>
  </si>
  <si>
    <t>Tcp17</t>
  </si>
  <si>
    <t>Tcp18</t>
  </si>
  <si>
    <t>Tcp19</t>
  </si>
  <si>
    <t>Tcp20</t>
  </si>
  <si>
    <t>Tcp21</t>
  </si>
  <si>
    <t>Tcp22</t>
  </si>
  <si>
    <t>Tcp23</t>
  </si>
  <si>
    <t>Tcp24</t>
  </si>
  <si>
    <t>Tcp25</t>
  </si>
  <si>
    <t>id4</t>
  </si>
  <si>
    <t>id5</t>
  </si>
  <si>
    <t>id6</t>
  </si>
  <si>
    <t>id7</t>
  </si>
  <si>
    <t>id8</t>
  </si>
  <si>
    <t>id9</t>
  </si>
  <si>
    <t>id10</t>
  </si>
  <si>
    <t>id11</t>
  </si>
  <si>
    <t>id12</t>
  </si>
  <si>
    <t>role4</t>
  </si>
  <si>
    <t>role5</t>
  </si>
  <si>
    <t>role6</t>
  </si>
  <si>
    <t>role7</t>
  </si>
  <si>
    <t>role8</t>
  </si>
  <si>
    <t>role9</t>
  </si>
  <si>
    <t>role10</t>
  </si>
  <si>
    <t>role11</t>
  </si>
  <si>
    <t>role12</t>
  </si>
  <si>
    <t>F0NDG01CY002</t>
  </si>
  <si>
    <t>F0NDG01CY003</t>
  </si>
  <si>
    <t>F0NDG01CY004</t>
  </si>
  <si>
    <t>F0NDG01CY005</t>
  </si>
  <si>
    <t>F0NDG01CY006</t>
  </si>
  <si>
    <t>F0NDG01CY007</t>
  </si>
  <si>
    <t>F0NDG01CY008</t>
  </si>
  <si>
    <t>F0NDG01CY009</t>
  </si>
  <si>
    <t>F0NDG01CY010</t>
  </si>
  <si>
    <t>F0NDG01CY011</t>
  </si>
  <si>
    <t>F0NDG01CY012</t>
  </si>
  <si>
    <t>Электродвигатель котлового насоса К4.1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</si>
  <si>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</si>
  <si>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</si>
  <si>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</si>
  <si>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осевая составляющая</t>
  </si>
  <si>
    <t>Вибрация подшипника №2, горизонтальная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</si>
  <si>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</si>
  <si>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</si>
  <si>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</si>
  <si>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</si>
  <si>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</si>
  <si>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</si>
  <si>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id1</t>
  </si>
  <si>
    <t>role1</t>
  </si>
  <si>
    <t>F0NDG01CP151</t>
  </si>
  <si>
    <t>ШУ К4.1-4.4</t>
  </si>
  <si>
    <t>Ток ЭД котлового насоса К4.2</t>
  </si>
  <si>
    <t>F0-K6</t>
  </si>
  <si>
    <t>Электродвигатель котлового насоса К4.2</t>
  </si>
  <si>
    <t>F0-K7</t>
  </si>
  <si>
    <t>Соединительная коробка СК-3 К4.2</t>
  </si>
  <si>
    <t>A3.20</t>
  </si>
  <si>
    <t>F0-K8</t>
  </si>
  <si>
    <t>F0-K9</t>
  </si>
  <si>
    <t>F0-K10</t>
  </si>
  <si>
    <t>Соединительная коробка СК-1 К4.2</t>
  </si>
  <si>
    <t>Соединительная коробка СК-2 К4.2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</si>
  <si>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</si>
  <si>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</si>
  <si>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</si>
  <si>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</si>
  <si>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</si>
  <si>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</si>
  <si>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</si>
  <si>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</si>
  <si>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</si>
  <si>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</si>
  <si>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</si>
  <si>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</si>
  <si>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Температура подшипника №1 ЭД котлового насоса К4.2</t>
  </si>
  <si>
    <t>Температура подшипника №3 ЭД котлового насоса К4.2</t>
  </si>
  <si>
    <t>Температура обмоток электродвигателя фаза U котлового насоса К4.2</t>
  </si>
  <si>
    <t>F0NDG02CT101</t>
  </si>
  <si>
    <t>F0NDG02CT103</t>
  </si>
  <si>
    <t>F0NDG02CT105</t>
  </si>
  <si>
    <t>F0NDG02CE012</t>
  </si>
  <si>
    <t>F0NDG02CP151</t>
  </si>
  <si>
    <t>F0NDG02CT102</t>
  </si>
  <si>
    <t>F0NDG02CT104</t>
  </si>
  <si>
    <t>F0NDG02CT106</t>
  </si>
  <si>
    <t>F0-K11</t>
  </si>
  <si>
    <t>A3.32</t>
  </si>
  <si>
    <t>Температура подшипника №2 ЭД котлового насоса К4.2</t>
  </si>
  <si>
    <t>F0-K12</t>
  </si>
  <si>
    <t>Температура подшипника №4 ЭД котлового насоса К4.2</t>
  </si>
  <si>
    <t>F0-K13</t>
  </si>
  <si>
    <t>Температура обмоток электродвигателя фаза V котлового насоса К4.2</t>
  </si>
  <si>
    <t>F0-K14</t>
  </si>
  <si>
    <t>F0-K15</t>
  </si>
  <si>
    <t>F0NDG03CT101</t>
  </si>
  <si>
    <t>F0NDG03CT102</t>
  </si>
  <si>
    <t>F0NDG03CT103</t>
  </si>
  <si>
    <t>F0NDG03CT104</t>
  </si>
  <si>
    <t>F0NDG03CT105</t>
  </si>
  <si>
    <t>F0NDG03CT106</t>
  </si>
  <si>
    <t>F0NDG03CE012</t>
  </si>
  <si>
    <t>F0NDG03CP151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</si>
  <si>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</si>
  <si>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</si>
  <si>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</si>
  <si>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</si>
  <si>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</si>
  <si>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</si>
  <si>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</si>
  <si>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</si>
  <si>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</si>
  <si>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</si>
  <si>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</si>
  <si>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</si>
  <si>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Температура подшипника №1 ЭД котлового насоса К4.3</t>
  </si>
  <si>
    <t>Соединительная коробка СК-1 К4.3</t>
  </si>
  <si>
    <t>Температура подшипника №3 ЭД котлового насоса К4.3</t>
  </si>
  <si>
    <t>Температура обмоток электродвигателя фаза U котлового насоса К4.3</t>
  </si>
  <si>
    <t>Соединительная коробка СК-2 К4.3</t>
  </si>
  <si>
    <t>Ток ЭД котлового насоса К4.3</t>
  </si>
  <si>
    <t>Электродвигатель котлового насоса К4.3</t>
  </si>
  <si>
    <t>Соединительная коробка СК-3 К4.3</t>
  </si>
  <si>
    <t>A3.22</t>
  </si>
  <si>
    <t>Температура подшипника №1 ЭД котлового насоса К4.4</t>
  </si>
  <si>
    <t>Соединительная коробка СК-1 К4.4</t>
  </si>
  <si>
    <t>Температура подшипника №3 ЭД котлового насоса К4.4</t>
  </si>
  <si>
    <t>Температура обмоток электродвигателя фаза U котлового насоса К4.4</t>
  </si>
  <si>
    <t>Соединительная коробка СК-2 К4.4</t>
  </si>
  <si>
    <t>Ток ЭД котлового насоса К4.4</t>
  </si>
  <si>
    <t>Электродвигатель котлового насоса К4.4</t>
  </si>
  <si>
    <t>Соединительная коробка СК-3 К4.4</t>
  </si>
  <si>
    <t>F0NDG04CT101</t>
  </si>
  <si>
    <t>F0NDG04CT102</t>
  </si>
  <si>
    <t>F0NDG04CT103</t>
  </si>
  <si>
    <t>F0NDG04CT104</t>
  </si>
  <si>
    <t>F0NDG04CT105</t>
  </si>
  <si>
    <t>F0NDG04CT106</t>
  </si>
  <si>
    <t>F0NDG04CE012</t>
  </si>
  <si>
    <t>F0NDG04CP151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</si>
  <si>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</si>
  <si>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</si>
  <si>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</si>
  <si>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</si>
  <si>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</si>
  <si>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</si>
  <si>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</si>
  <si>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</si>
  <si>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</si>
  <si>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</si>
  <si>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</si>
  <si>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</si>
  <si>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F0-K16</t>
  </si>
  <si>
    <t>F0-K17</t>
  </si>
  <si>
    <t>F0-K18</t>
  </si>
  <si>
    <t>F0-K19</t>
  </si>
  <si>
    <t>A3.24</t>
  </si>
  <si>
    <t>ШУ К4.1-К4.4</t>
  </si>
  <si>
    <t>F0-K21</t>
  </si>
  <si>
    <t>F0-K22</t>
  </si>
  <si>
    <t>F0GAF01CT101</t>
  </si>
  <si>
    <t>A3.33</t>
  </si>
  <si>
    <t>Соединительная коробка СК-1 К5.1</t>
  </si>
  <si>
    <t>F0GAF02CT102</t>
  </si>
  <si>
    <t>F0GAF01CE012</t>
  </si>
  <si>
    <t>F0-K23</t>
  </si>
  <si>
    <t>A3.25</t>
  </si>
  <si>
    <t>ШУ К5.1, К5.2</t>
  </si>
  <si>
    <t>F0GAF01CT102</t>
  </si>
  <si>
    <t>F0-K24</t>
  </si>
  <si>
    <t>Соединительная коробка СК-1 К5.2</t>
  </si>
  <si>
    <t>F0-K25</t>
  </si>
  <si>
    <t>F0GAF02CT101</t>
  </si>
  <si>
    <t>F0GAF02CE012</t>
  </si>
  <si>
    <t>F0-K27</t>
  </si>
  <si>
    <t>F0-K28</t>
  </si>
  <si>
    <t>F0-K29</t>
  </si>
  <si>
    <t>F0-K30</t>
  </si>
  <si>
    <t>ШУ К6.1-К6.3</t>
  </si>
  <si>
    <t>Соединительная коробка СК-1 К6.1</t>
  </si>
  <si>
    <t>Соединительная коробка СК-1 К6.2</t>
  </si>
  <si>
    <t>F0NDK11CE012</t>
  </si>
  <si>
    <t>F0NDK12CE012</t>
  </si>
  <si>
    <t>F0NDK12CT102</t>
  </si>
  <si>
    <t>F0NDK11CT102</t>
  </si>
  <si>
    <t>F0NDK11CT101</t>
  </si>
  <si>
    <t>F0NDK12CT101</t>
  </si>
  <si>
    <t>Соединительная коробка СК-1 К6.3</t>
  </si>
  <si>
    <t>F0-K31</t>
  </si>
  <si>
    <t>F0-K32</t>
  </si>
  <si>
    <t>A3.34</t>
  </si>
  <si>
    <t>F0NDK13CT101</t>
  </si>
  <si>
    <t>F0NDK13CE012</t>
  </si>
  <si>
    <t>F0NDK13CT102</t>
  </si>
  <si>
    <t>F0-K34</t>
  </si>
  <si>
    <t>F0-K35</t>
  </si>
  <si>
    <t>F0-K36</t>
  </si>
  <si>
    <t>F0-K37</t>
  </si>
  <si>
    <t>ШУ К10.5.1, K10.5.2</t>
  </si>
  <si>
    <t>Соединительная коробка СК-1 К10.5.1</t>
  </si>
  <si>
    <t>Соединительная коробка СК-1 К10.5.2</t>
  </si>
  <si>
    <t>ШУ К10.5.1, К10.5.2</t>
  </si>
  <si>
    <t>F0GAD01CT101</t>
  </si>
  <si>
    <t>F0GAD01CE012</t>
  </si>
  <si>
    <t>F0GAD02CT101</t>
  </si>
  <si>
    <t>F0GAD02CE012</t>
  </si>
  <si>
    <t>F0GAD01CT102</t>
  </si>
  <si>
    <t>F0GAD02CT102</t>
  </si>
  <si>
    <t>F0-K39</t>
  </si>
  <si>
    <t>ШУ К23.1, K23.2</t>
  </si>
  <si>
    <t>F0-K42</t>
  </si>
  <si>
    <t>ШУ НКП-1, НКП-2</t>
  </si>
  <si>
    <t>F0GBK01CE012</t>
  </si>
  <si>
    <t>F0GBK02CE012</t>
  </si>
  <si>
    <t>F0-K40</t>
  </si>
  <si>
    <t>F0-K43</t>
  </si>
  <si>
    <t>ШУ К23.1, К23.2</t>
  </si>
  <si>
    <t>F0LFM01CE012</t>
  </si>
  <si>
    <t>F0LFM02CE012</t>
  </si>
  <si>
    <t>Температура подшипника №1 ЭД насоса сырой воды К5.1</t>
  </si>
  <si>
    <t>Температура подшипника №1 ЭД насоса сырой воды К5.2</t>
  </si>
  <si>
    <t>Температура подшипника №2 ЭД насоса сырой воды К5.1</t>
  </si>
  <si>
    <t>Температура подшипника №2 ЭД насоса сырой воды К5.2</t>
  </si>
  <si>
    <t>Температура подшипника №2 ЭД насоса рабочей воды К10.5.1</t>
  </si>
  <si>
    <t>Температура подшипника №2 ЭД насоса рабочей воды К10.5.2</t>
  </si>
  <si>
    <t>Температура подшипника №2 ЭД насоса подпитки теплосети К6.1</t>
  </si>
  <si>
    <t>Температура подшипника №2 ЭД насоса подпитки теплосети К6.2</t>
  </si>
  <si>
    <t>Температура подшипника №2 ЭД насоса подпитки теплосети К6.3</t>
  </si>
  <si>
    <t>Температура обмоток электродвигателя фаза W котлового насоса К4.2</t>
  </si>
  <si>
    <t>F0NDG02CT107</t>
  </si>
  <si>
    <t>F0NDG03CT107</t>
  </si>
  <si>
    <t>F0NDG04CT107</t>
  </si>
  <si>
    <t>Температура подшипника №2 ЭД котлового насоса К4.3</t>
  </si>
  <si>
    <t>Температура подшипника №4 ЭД котлового насоса К4.3</t>
  </si>
  <si>
    <t>Температура обмоток электродвигателя фаза V котлового насоса К4.3</t>
  </si>
  <si>
    <t>Температура обмоток электродвигателя фаза W котлового насоса К4.3</t>
  </si>
  <si>
    <t>Температура подшипника №2 ЭД котлового насоса К4.4</t>
  </si>
  <si>
    <t>Температура подшипника №4 ЭД котлового насоса К4.4</t>
  </si>
  <si>
    <t>Температура обмоток электродвигателя фаза V котлового насоса К4.4</t>
  </si>
  <si>
    <t>Температура обмоток электродвигателя фаза W котлового насоса К4.4</t>
  </si>
  <si>
    <t>Температура подшипника №1 ЭД насоса подпитки теплосети К6.1</t>
  </si>
  <si>
    <t>Температура подшипника №1 ЭД насоса подпитки теплосети К6.2</t>
  </si>
  <si>
    <t>Температура подшипника №1 ЭД насоса подпитки теплосети К6.3</t>
  </si>
  <si>
    <t>Температура подшипника №1 ЭД насоса рабочей воды К10.5.1</t>
  </si>
  <si>
    <t>Температура подшипника №1 ЭД насоса рабочей воды К10.5.2</t>
  </si>
  <si>
    <t>Ток ЭД насоса рабочей воды К10.5.1</t>
  </si>
  <si>
    <t>Ток ЭД насоса рабочей воды К10.5.2</t>
  </si>
  <si>
    <t>Ток ЭД насоса подпитки теплосети К6.3</t>
  </si>
  <si>
    <t>Ток ЭД насоса подпитки теплосети К6.1</t>
  </si>
  <si>
    <t>Ток ЭД насоса подпитки теплосети К6.2</t>
  </si>
  <si>
    <t>Ток ЭД насоса сырой воды К5.1</t>
  </si>
  <si>
    <t>Ток ЭД насоса сырой воды К5.2</t>
  </si>
  <si>
    <t>Ток ЭД насоса подпитки котлового контура К23.1</t>
  </si>
  <si>
    <t>Ток ЭД насоса подпитки котлового контура К23.2</t>
  </si>
  <si>
    <t>Ток ЭД насоса кислотной промывки НКП-1</t>
  </si>
  <si>
    <t>Ток ЭД насоса кислотной промывки НКП-2</t>
  </si>
  <si>
    <t>Температура внутреннего контура теплосети</t>
  </si>
  <si>
    <t>Температура внешнего контура теплосети</t>
  </si>
  <si>
    <t>Давление подпитки теплосети</t>
  </si>
  <si>
    <t>Давление рециркуляции теплосети</t>
  </si>
  <si>
    <t>F0SAH10СT101</t>
  </si>
  <si>
    <t>F0SAH11СT101</t>
  </si>
  <si>
    <t>F0SAH20СP001</t>
  </si>
  <si>
    <t>F0SAH21СP001</t>
  </si>
  <si>
    <t>ТС-1088</t>
  </si>
  <si>
    <t>se0016</t>
  </si>
  <si>
    <t>A3.35</t>
  </si>
  <si>
    <t>A3.36</t>
  </si>
  <si>
    <t>A3.37</t>
  </si>
  <si>
    <t>F1-K11</t>
  </si>
  <si>
    <t>F1-K12</t>
  </si>
  <si>
    <t>A3.38</t>
  </si>
  <si>
    <t>Метран - 150TGR</t>
  </si>
  <si>
    <t>№chanAi</t>
  </si>
  <si>
    <t>AiCount</t>
  </si>
  <si>
    <t>A3.28</t>
  </si>
  <si>
    <t>A3.27</t>
  </si>
  <si>
    <t>F1-K13</t>
  </si>
  <si>
    <t>F1-K14</t>
  </si>
  <si>
    <t>se0018</t>
  </si>
  <si>
    <t>Клапан регулирующий К5 по сети Т1 до теплообменника К1 отопления и ГВС</t>
  </si>
  <si>
    <t>F0NDF24AA801</t>
  </si>
  <si>
    <t>F1-K16</t>
  </si>
  <si>
    <t>F1-К20</t>
  </si>
  <si>
    <t>A5.13</t>
  </si>
  <si>
    <t>A6.7</t>
  </si>
  <si>
    <t>F0NDF24AA802</t>
  </si>
  <si>
    <t>se0019</t>
  </si>
  <si>
    <t>F1-К21</t>
  </si>
  <si>
    <t>F1-K17</t>
  </si>
  <si>
    <t>F0NDF24AA803</t>
  </si>
  <si>
    <t>F1-К22</t>
  </si>
  <si>
    <t>F1-K18</t>
  </si>
  <si>
    <t>Клапан регулирующий К5а по сети Т1 до теплообменника К1 отопления и ГВС</t>
  </si>
  <si>
    <t>Клапан регулирующий К6 по сети Т1 до теплообменника К2 вентиляции</t>
  </si>
  <si>
    <t>F1-K19</t>
  </si>
  <si>
    <t>F1-К23</t>
  </si>
  <si>
    <t>F1-К24</t>
  </si>
  <si>
    <t>Клапан электромагнитный К7 по сети Т94 подпитки контура отопления и ГВС</t>
  </si>
  <si>
    <t>Клапан электромагнитный К13 на линии заполнения теплоносителя по сети Т21 системы вентиляции</t>
  </si>
  <si>
    <t>F0NDG24AA001</t>
  </si>
  <si>
    <t>F0SAH21AA001</t>
  </si>
  <si>
    <t>se0017</t>
  </si>
  <si>
    <t>C11</t>
  </si>
  <si>
    <t>B11</t>
  </si>
  <si>
    <t>8B</t>
  </si>
  <si>
    <t>8A</t>
  </si>
  <si>
    <t>F1-K15</t>
  </si>
  <si>
    <t>TP-O</t>
  </si>
  <si>
    <t>ШУ К12</t>
  </si>
  <si>
    <t>МКЭШвнг (А)-LS 1x2x0.75</t>
  </si>
  <si>
    <t>Сигнализация "сухого хода" насосов К3 раб, К3 рез</t>
  </si>
  <si>
    <t>F1-К4</t>
  </si>
  <si>
    <t>Шкаф ШУ-К3</t>
  </si>
  <si>
    <t>_XT</t>
  </si>
  <si>
    <t>C14</t>
  </si>
  <si>
    <t>B14</t>
  </si>
  <si>
    <t>Шкаф ШУ-К4</t>
  </si>
  <si>
    <t>C15</t>
  </si>
  <si>
    <t>B15</t>
  </si>
  <si>
    <t>Сигнализация "сухого хода" насосов К4 раб, К4 рез</t>
  </si>
  <si>
    <t>Сигнализация "сухого хода" насосов К12</t>
  </si>
  <si>
    <t>F1-К8</t>
  </si>
  <si>
    <t>F1-К10</t>
  </si>
  <si>
    <t>Шкаф ШУ-К12</t>
  </si>
  <si>
    <t>F0-SD4-1</t>
  </si>
  <si>
    <t>K77-01</t>
  </si>
  <si>
    <t>K77-02</t>
  </si>
  <si>
    <t>K77-03</t>
  </si>
  <si>
    <t>F2-1</t>
  </si>
  <si>
    <t>F2-2</t>
  </si>
  <si>
    <t>K-F0-9Д</t>
  </si>
  <si>
    <t>К-F0-T1</t>
  </si>
  <si>
    <t>K-F0-AT7</t>
  </si>
  <si>
    <t>K-F0-126</t>
  </si>
  <si>
    <t>K-F0-127</t>
  </si>
  <si>
    <t>K-F0-P2</t>
  </si>
  <si>
    <t>K-F0-P3</t>
  </si>
  <si>
    <t>K-F0-P4</t>
  </si>
  <si>
    <t>K-F0-P5</t>
  </si>
  <si>
    <t>K-F0-P6</t>
  </si>
  <si>
    <t>K-F0-P7</t>
  </si>
  <si>
    <t>K-F0-P8</t>
  </si>
  <si>
    <t>K-F0-P9</t>
  </si>
  <si>
    <t>K-F0-P10</t>
  </si>
  <si>
    <t>K-F0-T12</t>
  </si>
  <si>
    <t>K-F0-P13</t>
  </si>
  <si>
    <t>K-F0-L14</t>
  </si>
  <si>
    <t>K-F0-T15</t>
  </si>
  <si>
    <t>K-F0-T16</t>
  </si>
  <si>
    <t>K-F0-T17</t>
  </si>
  <si>
    <t>K-F0-P18</t>
  </si>
  <si>
    <t>K-F0-P19</t>
  </si>
  <si>
    <t>K-F0-P20</t>
  </si>
  <si>
    <t>K-F0-P21</t>
  </si>
  <si>
    <t>K-F0-L22</t>
  </si>
  <si>
    <t>K-F0-P23</t>
  </si>
  <si>
    <t>K-F0-T24</t>
  </si>
  <si>
    <t>K-F0-T25</t>
  </si>
  <si>
    <t>K-F0-P26</t>
  </si>
  <si>
    <t>K-F0-T27</t>
  </si>
  <si>
    <t>K-F0-P28</t>
  </si>
  <si>
    <t>K-F0-P30</t>
  </si>
  <si>
    <t>K-F0-P31</t>
  </si>
  <si>
    <t>K-F0-P32</t>
  </si>
  <si>
    <t>K-F0-P33</t>
  </si>
  <si>
    <t>K-F0-P34</t>
  </si>
  <si>
    <t>K-F0-P35</t>
  </si>
  <si>
    <t>K-F0-L36</t>
  </si>
  <si>
    <t>K-F0-P37</t>
  </si>
  <si>
    <t>K-F0-T38</t>
  </si>
  <si>
    <t>K-F0-P39</t>
  </si>
  <si>
    <t>K-F0-T40</t>
  </si>
  <si>
    <t>K-F0-P41</t>
  </si>
  <si>
    <t>K-F0-T42</t>
  </si>
  <si>
    <t>K-F0-P43</t>
  </si>
  <si>
    <t>K-F0-T44</t>
  </si>
  <si>
    <t>K-F0-P45</t>
  </si>
  <si>
    <t>K-F0-T46</t>
  </si>
  <si>
    <t>K-F0-P47</t>
  </si>
  <si>
    <t>K-F0-T48</t>
  </si>
  <si>
    <t>K-F0-P49</t>
  </si>
  <si>
    <t>K-F0-T50</t>
  </si>
  <si>
    <t>K-F0-P51</t>
  </si>
  <si>
    <t>K-F0-T52</t>
  </si>
  <si>
    <t>K-F0-P53</t>
  </si>
  <si>
    <t>K-F0-T54</t>
  </si>
  <si>
    <t>K-F0-T55</t>
  </si>
  <si>
    <t>K-F0-T56</t>
  </si>
  <si>
    <t>K-F0-P57</t>
  </si>
  <si>
    <t>K-F0-P58</t>
  </si>
  <si>
    <t>K-F0-P59</t>
  </si>
  <si>
    <t>K-F0-P60</t>
  </si>
  <si>
    <t>K-F0-P61</t>
  </si>
  <si>
    <t>K-F0-P62</t>
  </si>
  <si>
    <t>K-F0-T63</t>
  </si>
  <si>
    <t>K-F0-T73</t>
  </si>
  <si>
    <t>K-F0-P74</t>
  </si>
  <si>
    <t>K-F0-T75</t>
  </si>
  <si>
    <t>K-F0-T76</t>
  </si>
  <si>
    <t>K-F0-P77</t>
  </si>
  <si>
    <t>K-F0-T78</t>
  </si>
  <si>
    <t>K-F0-T79</t>
  </si>
  <si>
    <t>K-F0-P80</t>
  </si>
  <si>
    <t>K-F0-T81</t>
  </si>
  <si>
    <t>K-F0-T82</t>
  </si>
  <si>
    <t>K-F0-P83</t>
  </si>
  <si>
    <t>K-F0-T84</t>
  </si>
  <si>
    <t>K-F0-T85</t>
  </si>
  <si>
    <t>K-F0-P86</t>
  </si>
  <si>
    <t>K-F0-T87</t>
  </si>
  <si>
    <t>K-F0-T88</t>
  </si>
  <si>
    <t>K-F0-P89</t>
  </si>
  <si>
    <t>K-F0-T90</t>
  </si>
  <si>
    <t>K-F0-T91</t>
  </si>
  <si>
    <t>K-F0-P92</t>
  </si>
  <si>
    <t>K-F0-T93</t>
  </si>
  <si>
    <t>K-F0-T94</t>
  </si>
  <si>
    <t>K-F0-P95</t>
  </si>
  <si>
    <t>K-F0-T96</t>
  </si>
  <si>
    <t>K-F0-P97</t>
  </si>
  <si>
    <t>K-F0-T98</t>
  </si>
  <si>
    <t>K-F0-P99</t>
  </si>
  <si>
    <t>K-F0-T100</t>
  </si>
  <si>
    <t>K-F0-P101</t>
  </si>
  <si>
    <t>K-F0-T102</t>
  </si>
  <si>
    <t>K-F0-P103</t>
  </si>
  <si>
    <t>K-F0-T104</t>
  </si>
  <si>
    <t>K-F0-P105</t>
  </si>
  <si>
    <t>K-F0-T106</t>
  </si>
  <si>
    <t>K-F0-P107</t>
  </si>
  <si>
    <t>K-F0-T108</t>
  </si>
  <si>
    <t>K-F0-P109</t>
  </si>
  <si>
    <t>K-F0-T110</t>
  </si>
  <si>
    <t>K-F0-P111</t>
  </si>
  <si>
    <t>K-F0-T112</t>
  </si>
  <si>
    <t>K-F0-P113</t>
  </si>
  <si>
    <t>K-F0-T114</t>
  </si>
  <si>
    <t>K-F0-T115</t>
  </si>
  <si>
    <t>K-F0-T116</t>
  </si>
  <si>
    <t>K-F0-P117</t>
  </si>
  <si>
    <t>K-F0-P118</t>
  </si>
  <si>
    <t>K-F0-P119</t>
  </si>
  <si>
    <t>K-F0-P120</t>
  </si>
  <si>
    <t>K-F0-P121</t>
  </si>
  <si>
    <t>K-F0-T122</t>
  </si>
  <si>
    <t>K-F0-T123</t>
  </si>
  <si>
    <t>K-F0-T124</t>
  </si>
  <si>
    <t>K-F0-F125</t>
  </si>
  <si>
    <t>K-F0-F1UZ</t>
  </si>
  <si>
    <t>K-F0-F2UZ</t>
  </si>
  <si>
    <t>K-F0-F3UZ</t>
  </si>
  <si>
    <t>K-F0-F4UZ</t>
  </si>
  <si>
    <t>K-F0-F5UZ</t>
  </si>
  <si>
    <t>K-F0-F6UZ</t>
  </si>
  <si>
    <t>K-F0-F7UZ</t>
  </si>
  <si>
    <t>K-F0-FTM1</t>
  </si>
  <si>
    <t>K-F0-FTM2</t>
  </si>
  <si>
    <t>К-F0-T128</t>
  </si>
  <si>
    <t>K-F0-T129</t>
  </si>
  <si>
    <t>K-F0-P130</t>
  </si>
  <si>
    <t>K-F0-P131</t>
  </si>
  <si>
    <t>KС-F0-К5</t>
  </si>
  <si>
    <t>KС-F0-К6</t>
  </si>
  <si>
    <t>K-F0-К5</t>
  </si>
  <si>
    <t>KС-F0-К5а</t>
  </si>
  <si>
    <t>КС-F0-К7</t>
  </si>
  <si>
    <t>КС-F0-К13</t>
  </si>
  <si>
    <t>K-F0-К5а</t>
  </si>
  <si>
    <t>К-F0-К7</t>
  </si>
  <si>
    <t>K-F0-К6</t>
  </si>
  <si>
    <t>К-F0-К13</t>
  </si>
  <si>
    <t>K-F0-K-1</t>
  </si>
  <si>
    <t>K-F0-K-1C</t>
  </si>
  <si>
    <t>K-F0-K-2</t>
  </si>
  <si>
    <t>K-F0-K-2C</t>
  </si>
  <si>
    <t>K-F0-K-3</t>
  </si>
  <si>
    <t>K-F0-K-4</t>
  </si>
  <si>
    <t>K-F0-K-5</t>
  </si>
  <si>
    <t>K-F0-K-6</t>
  </si>
  <si>
    <t>K-F0-K-7</t>
  </si>
  <si>
    <t>K-F0-K-8</t>
  </si>
  <si>
    <t>K-F0-K-9</t>
  </si>
  <si>
    <t>K-F0-K-10</t>
  </si>
  <si>
    <t>K-F0-K-11</t>
  </si>
  <si>
    <t>K-F0-K-12</t>
  </si>
  <si>
    <t>K-F0-K-13</t>
  </si>
  <si>
    <t>K-F0-K-14</t>
  </si>
  <si>
    <t>K-F0-K-15</t>
  </si>
  <si>
    <t>K-F0-K-16</t>
  </si>
  <si>
    <t>K-F0-K-26</t>
  </si>
  <si>
    <t>K-F0-K-27</t>
  </si>
  <si>
    <t>K-F0-K-28</t>
  </si>
  <si>
    <t>K-F0-K-29</t>
  </si>
  <si>
    <t>K-F0-K-30</t>
  </si>
  <si>
    <t>K-F0-K-31</t>
  </si>
  <si>
    <t>K-F0-K-32</t>
  </si>
  <si>
    <t>K-F0-K-33</t>
  </si>
  <si>
    <t>K-F0-K-34</t>
  </si>
  <si>
    <t>K-F0-K-35</t>
  </si>
  <si>
    <t>K-F0-K-36</t>
  </si>
  <si>
    <t>K-F0-K-37</t>
  </si>
  <si>
    <t>K-F0-РК.КА9</t>
  </si>
  <si>
    <t>KС-F0-Р-66</t>
  </si>
  <si>
    <t>K-F0-Р-66</t>
  </si>
  <si>
    <t>KС-F0-РД-5</t>
  </si>
  <si>
    <t>K-F0-РД-5</t>
  </si>
  <si>
    <t>KС-F0-РТ-70</t>
  </si>
  <si>
    <t>K-F0-РТ-70</t>
  </si>
  <si>
    <t>KС-F0-РД-К</t>
  </si>
  <si>
    <t>K-F0-РД-К</t>
  </si>
  <si>
    <t>KС-F0-РД-3</t>
  </si>
  <si>
    <t>K-F0-РД-3</t>
  </si>
  <si>
    <t>KС-F0-РТ-4</t>
  </si>
  <si>
    <t>K-F0-РТ-4</t>
  </si>
  <si>
    <t>KС-F0-РТ-71</t>
  </si>
  <si>
    <t>K-F0-РТ-71</t>
  </si>
  <si>
    <t>KС-F0-РК.КА1</t>
  </si>
  <si>
    <t>KС-F0-РК.КА2</t>
  </si>
  <si>
    <t>KС-F0-РК.КА3</t>
  </si>
  <si>
    <t>KС-F0-РК.КА4</t>
  </si>
  <si>
    <t>KС-F0-РК.КА5</t>
  </si>
  <si>
    <t>KС-F0-РК.КА6</t>
  </si>
  <si>
    <t>KС-F0-РК.КА7</t>
  </si>
  <si>
    <t>KС-F0-РК.КА8</t>
  </si>
  <si>
    <t>K-F0-РК.КА1</t>
  </si>
  <si>
    <t>K-F0-РК.КА2</t>
  </si>
  <si>
    <t>K-F0-РК.КА3</t>
  </si>
  <si>
    <t>K-F0-РК.КА4</t>
  </si>
  <si>
    <t>K-F0-РК.КА5</t>
  </si>
  <si>
    <t>K-F0-РК.КА6</t>
  </si>
  <si>
    <t>K-F0-РК.КА7</t>
  </si>
  <si>
    <t>K-F0-РК.КА8</t>
  </si>
  <si>
    <t>K-F0-РТ-1</t>
  </si>
  <si>
    <t>KС-F0-РТ-1</t>
  </si>
  <si>
    <t>KС-F0-РТ-59</t>
  </si>
  <si>
    <t>K-F0-РТ-59</t>
  </si>
  <si>
    <t>KС-F0-РТ-об1</t>
  </si>
  <si>
    <t>K-F0-РТ-об1</t>
  </si>
  <si>
    <t>KС-F0-РТ-об2</t>
  </si>
  <si>
    <t>K-F0-РТ-об2</t>
  </si>
  <si>
    <t>KС-F0-РД-2</t>
  </si>
  <si>
    <t>K-F0-РД-2</t>
  </si>
  <si>
    <t>K-F0-K4.1-T1</t>
  </si>
  <si>
    <t>K-F0-K4.1-T3</t>
  </si>
  <si>
    <t>K-F0-K4.1-T2</t>
  </si>
  <si>
    <t>K-F0-K4.1-E4</t>
  </si>
  <si>
    <t>K-F0-K4.1-V5</t>
  </si>
  <si>
    <t>K-F0-K4.2-T1</t>
  </si>
  <si>
    <t>K-F0-K4.2-T2</t>
  </si>
  <si>
    <t>K-F0-K4.2-T3</t>
  </si>
  <si>
    <t>K-F0-K4.2-E4</t>
  </si>
  <si>
    <t>K-F0-K4.2-V5</t>
  </si>
  <si>
    <t>K-F0-K4.3-T1</t>
  </si>
  <si>
    <t>K-F0-K4.3-T2</t>
  </si>
  <si>
    <t>K-F0-K4.3-T3</t>
  </si>
  <si>
    <t>K-F0-K4.3-E4</t>
  </si>
  <si>
    <t>K-F0-K4.3-V5</t>
  </si>
  <si>
    <t>K-F0-K4.4-T1</t>
  </si>
  <si>
    <t>K-F0-K4.4-T2</t>
  </si>
  <si>
    <t>K-F0-K4.4-T3</t>
  </si>
  <si>
    <t>K-F0-K4.4-E4</t>
  </si>
  <si>
    <t>K-F0-K4.4-V5</t>
  </si>
  <si>
    <t>K-F0-K5.1-T1</t>
  </si>
  <si>
    <t>K-F0-K5.1-E2</t>
  </si>
  <si>
    <t>K-F0-K5.2-T1</t>
  </si>
  <si>
    <t>K-F0-K5.2-E2</t>
  </si>
  <si>
    <t>K-F0-K6.1-T1</t>
  </si>
  <si>
    <t>K-F0-K6.1-E2</t>
  </si>
  <si>
    <t>K-F0-K6.2-T1</t>
  </si>
  <si>
    <t>K-F0-K6.2-E2</t>
  </si>
  <si>
    <t>K-F0-K6.3-T1</t>
  </si>
  <si>
    <t>K-F0-K6.3-E2</t>
  </si>
  <si>
    <t>K-F0-K10.5.1-T1</t>
  </si>
  <si>
    <t>K-F0-K10.5.1-E2</t>
  </si>
  <si>
    <t>K-F0-K10.5.2-T1</t>
  </si>
  <si>
    <t>K-F0-K10.5.2-E2</t>
  </si>
  <si>
    <t>K-F0-K23.1-E1</t>
  </si>
  <si>
    <t>K-F0-K23.2-E1</t>
  </si>
  <si>
    <t>K-F0-НКП-1-E1</t>
  </si>
  <si>
    <t>K-F0-НКП-2-E1</t>
  </si>
  <si>
    <t>К-F0-К3-HG</t>
  </si>
  <si>
    <t>K-F0-К4-HG</t>
  </si>
  <si>
    <t>K-F0-К12-HG</t>
  </si>
  <si>
    <t>K-F0-P132</t>
  </si>
  <si>
    <t>K-F0-P133</t>
  </si>
  <si>
    <t>F0EKG10СР001</t>
  </si>
  <si>
    <t>F0EKG10СТ001</t>
  </si>
  <si>
    <t>Давление газа на входе в котельную</t>
  </si>
  <si>
    <t>Температура газа на входе в котельную</t>
  </si>
  <si>
    <t>K-F0-P134</t>
  </si>
  <si>
    <t>K-F0-P135</t>
  </si>
  <si>
    <t>K-F0-P136</t>
  </si>
  <si>
    <t>K-F0-P137</t>
  </si>
  <si>
    <t>F1HHG20СР001</t>
  </si>
  <si>
    <t>F1HHG20СР002</t>
  </si>
  <si>
    <t>F1HHG20СР003</t>
  </si>
  <si>
    <t>F1HHG20СР004</t>
  </si>
  <si>
    <t>Давление газа перед фильтром котла №1</t>
  </si>
  <si>
    <t>Давление газа после фильтра котла №1</t>
  </si>
  <si>
    <t>Давление газа перед котлом до регулятора №1</t>
  </si>
  <si>
    <t>Давление газа перед котлом после регулятора №1</t>
  </si>
  <si>
    <t>А3.29</t>
  </si>
  <si>
    <t>Давление газа перед фильтром котла №2</t>
  </si>
  <si>
    <t>K-F0-P138</t>
  </si>
  <si>
    <t>Давление газа после фильтра котла №2</t>
  </si>
  <si>
    <t>K-F0-P139</t>
  </si>
  <si>
    <t>Давление газа перед котлом до регулятора №2</t>
  </si>
  <si>
    <t>K-F0-P140</t>
  </si>
  <si>
    <t>Давление газа перед котлом после регулятора №2</t>
  </si>
  <si>
    <t>K-F0-P141</t>
  </si>
  <si>
    <t>F2HHG20СР001</t>
  </si>
  <si>
    <t>F2HHG20СР002</t>
  </si>
  <si>
    <t>F2HHG20СР003</t>
  </si>
  <si>
    <t>F2HHG20СР004</t>
  </si>
  <si>
    <t>Давление газа перед фильтром котла №3</t>
  </si>
  <si>
    <t>K-F0-P142</t>
  </si>
  <si>
    <t>Давление газа после фильтра котла №3</t>
  </si>
  <si>
    <t>K-F0-P143</t>
  </si>
  <si>
    <t>Давление газа перед котлом до регулятора №3</t>
  </si>
  <si>
    <t>K-F0-P144</t>
  </si>
  <si>
    <t>Давление газа перед котлом после регулятора №3</t>
  </si>
  <si>
    <t>K-F0-P145</t>
  </si>
  <si>
    <t>Давление газа перед фильтром котла №4</t>
  </si>
  <si>
    <t>K-F0-P146</t>
  </si>
  <si>
    <t>F3HHG20СР001</t>
  </si>
  <si>
    <t>F3HHG20СР002</t>
  </si>
  <si>
    <t>F3HHG20СР003</t>
  </si>
  <si>
    <t>F3HHG20СР004</t>
  </si>
  <si>
    <t>K-F0-P147</t>
  </si>
  <si>
    <t>K-F0-P148</t>
  </si>
  <si>
    <t>K-F0-P149</t>
  </si>
  <si>
    <t>K-F0-P150</t>
  </si>
  <si>
    <t>K-F0-P151</t>
  </si>
  <si>
    <t>K-F0-P152</t>
  </si>
  <si>
    <t>K-F0-P153</t>
  </si>
  <si>
    <t>K-F0-P154</t>
  </si>
  <si>
    <t>Давление газа после фильтра котла №4</t>
  </si>
  <si>
    <t>K-F0-P155</t>
  </si>
  <si>
    <t>Давление газа перед котлом до регулятора №4</t>
  </si>
  <si>
    <t>K-F0-P156</t>
  </si>
  <si>
    <t>Давление газа перед котлом после регулятора №4</t>
  </si>
  <si>
    <t>K-F0-P157</t>
  </si>
  <si>
    <t>K-F0-P158</t>
  </si>
  <si>
    <t>K-F0-P159</t>
  </si>
  <si>
    <t>K-F0-P160</t>
  </si>
  <si>
    <t>K-F0-P161</t>
  </si>
  <si>
    <t>Давление газа перед фильтром котла №5</t>
  </si>
  <si>
    <t>Давление газа после фильтра котла №5</t>
  </si>
  <si>
    <t>Давление газа перед котлом до регулятора №5</t>
  </si>
  <si>
    <t>Давление газа перед котлом после регулятора №5</t>
  </si>
  <si>
    <t>Давление газа перед фильтром котла №6</t>
  </si>
  <si>
    <t>Давление газа после фильтра котла №6</t>
  </si>
  <si>
    <t>Давление газа перед котлом до регулятора №6</t>
  </si>
  <si>
    <t>Давление газа перед котлом после регулятора №6</t>
  </si>
  <si>
    <t>Давление газа перед фильтром котла №7</t>
  </si>
  <si>
    <t>Давление газа после фильтра котла №7</t>
  </si>
  <si>
    <t>Давление газа перед котлом до регулятора №7</t>
  </si>
  <si>
    <t>Давление газа перед котлом после регулятора №7</t>
  </si>
  <si>
    <t>Давление газа перед фильтром котла №8</t>
  </si>
  <si>
    <t>K-F0-P162</t>
  </si>
  <si>
    <t>Давление газа после фильтра котла №8</t>
  </si>
  <si>
    <t>K-F0-P163</t>
  </si>
  <si>
    <t>Давление газа перед котлом до регулятора №8</t>
  </si>
  <si>
    <t>K-F0-P164</t>
  </si>
  <si>
    <t>Давление газа перед котлом после регулятора №8</t>
  </si>
  <si>
    <t>K-F0-P165</t>
  </si>
  <si>
    <t>F4HHG20СР001</t>
  </si>
  <si>
    <t>F4HHG20СР002</t>
  </si>
  <si>
    <t>F4HHG20СР003</t>
  </si>
  <si>
    <t>F4HHG20СР004</t>
  </si>
  <si>
    <t>F5HHG20СР001</t>
  </si>
  <si>
    <t>F5HHG20СР002</t>
  </si>
  <si>
    <t>F5HHG20СР003</t>
  </si>
  <si>
    <t>F5HHG20СР004</t>
  </si>
  <si>
    <t>F6HHG20СР001</t>
  </si>
  <si>
    <t>F6HHG20СР002</t>
  </si>
  <si>
    <t>F6HHG20СР003</t>
  </si>
  <si>
    <t>F6HHG20СР004</t>
  </si>
  <si>
    <t>F7HHG20СР001</t>
  </si>
  <si>
    <t>F7HHG20СР002</t>
  </si>
  <si>
    <t>F7HHG20СР003</t>
  </si>
  <si>
    <t>F7HHG20СР004</t>
  </si>
  <si>
    <t>F8HHG20СР001</t>
  </si>
  <si>
    <t>F8HHG20СР002</t>
  </si>
  <si>
    <t>F8HHG20СР003</t>
  </si>
  <si>
    <t>F8HHG20СР004</t>
  </si>
  <si>
    <t>Шкаф УУГ1</t>
  </si>
  <si>
    <t>АТМ</t>
  </si>
  <si>
    <t>АОВ</t>
  </si>
  <si>
    <t>АГСВ</t>
  </si>
  <si>
    <t>F1HHG20AA801</t>
  </si>
  <si>
    <t>F1HHG20AA201</t>
  </si>
  <si>
    <t>se0022</t>
  </si>
  <si>
    <t>se0021</t>
  </si>
  <si>
    <t>Заслонка регулирующая газа котла №1</t>
  </si>
  <si>
    <t>Затвор продувной свечи газа котла №1</t>
  </si>
  <si>
    <t>A5.14</t>
  </si>
  <si>
    <t>№chanDi</t>
  </si>
  <si>
    <t>DiCount</t>
  </si>
  <si>
    <t>№chanDo</t>
  </si>
  <si>
    <t>DoCount</t>
  </si>
  <si>
    <t>A6.8</t>
  </si>
  <si>
    <t>Шкаф ШУЗГ (F0CDA01GH001)</t>
  </si>
  <si>
    <t>KС-F0-РДГ.КА1</t>
  </si>
  <si>
    <t>K-F0-РДГ.КА1</t>
  </si>
  <si>
    <t>K-F0-СП.КА1</t>
  </si>
  <si>
    <t>Заслонка регулирующая газа котла №2</t>
  </si>
  <si>
    <t>KС-F0-РДГ.КА2</t>
  </si>
  <si>
    <t>K-F0-РДГ.КА2</t>
  </si>
  <si>
    <t>A5.15</t>
  </si>
  <si>
    <t>A6.9</t>
  </si>
  <si>
    <t>Затвор продувной свечи газа котла №2</t>
  </si>
  <si>
    <t>K-F0-СП.КА2</t>
  </si>
  <si>
    <t>L7</t>
  </si>
  <si>
    <t>Заслонка регулирующая газа котла №3</t>
  </si>
  <si>
    <t>KС-F0-РДГ.КА3</t>
  </si>
  <si>
    <t>K-F0-РДГ.КА3</t>
  </si>
  <si>
    <t>A5.16</t>
  </si>
  <si>
    <t>Затвор продувной свечи газа котла №3</t>
  </si>
  <si>
    <t>K-F0-СП.КА3</t>
  </si>
  <si>
    <t>L8</t>
  </si>
  <si>
    <t>Заслонка регулирующая газа котла №4</t>
  </si>
  <si>
    <t>KС-F0-РДГ.КА4</t>
  </si>
  <si>
    <t>K-F0-РДГ.КА4</t>
  </si>
  <si>
    <t>A5.17</t>
  </si>
  <si>
    <t>Затвор продувной свечи газа котла №4</t>
  </si>
  <si>
    <t>K-F0-СП.КА4</t>
  </si>
  <si>
    <t>L9</t>
  </si>
  <si>
    <t>Заслонка регулирующая газа котла №5</t>
  </si>
  <si>
    <t>KС-F0-РДГ.КА5</t>
  </si>
  <si>
    <t>K-F0-РДГ.КА5</t>
  </si>
  <si>
    <t>Затвор продувной свечи газа котла №5</t>
  </si>
  <si>
    <t>K-F0-СП.КА5</t>
  </si>
  <si>
    <t>L10</t>
  </si>
  <si>
    <t>Заслонка регулирующая газа котла №6</t>
  </si>
  <si>
    <t>KС-F0-РДГ.КА6</t>
  </si>
  <si>
    <t>K-F0-РДГ.КА6</t>
  </si>
  <si>
    <t>Затвор продувной свечи газа котла №6</t>
  </si>
  <si>
    <t>K-F0-СП.КА6</t>
  </si>
  <si>
    <t>L11</t>
  </si>
  <si>
    <t>Заслонка регулирующая газа котла №7</t>
  </si>
  <si>
    <t>KС-F0-РДГ.КА7</t>
  </si>
  <si>
    <t>K-F0-РДГ.КА7</t>
  </si>
  <si>
    <t>Затвор продувной свечи газа котла №7</t>
  </si>
  <si>
    <t>K-F0-СП.КА7</t>
  </si>
  <si>
    <t>L12</t>
  </si>
  <si>
    <t>Заслонка регулирующая газа котла №8</t>
  </si>
  <si>
    <t>KС-F0-РДГ.КА8</t>
  </si>
  <si>
    <t>K-F0-РДГ.КА8</t>
  </si>
  <si>
    <t>Затвор продувной свечи газа котла №8</t>
  </si>
  <si>
    <t>K-F0-СП.КА8</t>
  </si>
  <si>
    <t>L13</t>
  </si>
  <si>
    <t>F2HHG20AA801</t>
  </si>
  <si>
    <t>F2HHG20AA201</t>
  </si>
  <si>
    <t>F3HHG20AA801</t>
  </si>
  <si>
    <t>F3HHG20AA201</t>
  </si>
  <si>
    <t>F4HHG20AA801</t>
  </si>
  <si>
    <t>F4HHG20AA201</t>
  </si>
  <si>
    <t>F5HHG20AA801</t>
  </si>
  <si>
    <t>F5HHG20AA201</t>
  </si>
  <si>
    <t>F6HHG20AA801</t>
  </si>
  <si>
    <t>F6HHG20AA201</t>
  </si>
  <si>
    <t>F7HHG20AA801</t>
  </si>
  <si>
    <t>F7HHG20AA201</t>
  </si>
  <si>
    <t>F8HHG20AA801</t>
  </si>
  <si>
    <t>F8HHG20AA201</t>
  </si>
  <si>
    <t>Задвижка ГК-3</t>
  </si>
  <si>
    <t>F0EKG10AA001</t>
  </si>
  <si>
    <t>K-F0-ГК-3</t>
  </si>
  <si>
    <t>A5.18</t>
  </si>
  <si>
    <t>A6.10</t>
  </si>
  <si>
    <t>F0EKG10AA002</t>
  </si>
  <si>
    <t>K-F0-ГК-4</t>
  </si>
  <si>
    <t>A5.19</t>
  </si>
  <si>
    <t>Затвор дисковый на котлы №1-5</t>
  </si>
  <si>
    <t>F0EKG10AA003</t>
  </si>
  <si>
    <t>K-F0-ГК-5</t>
  </si>
  <si>
    <t>Затвор дисковый на котлы №6-8</t>
  </si>
  <si>
    <t>МЭОФ 4000(6000)/63-0,25 ЦА 2</t>
  </si>
  <si>
    <t>АМАКС-ЗДЭ-100-1,6-0,2</t>
  </si>
  <si>
    <t>АНМ.609.14.33-ЯС</t>
  </si>
  <si>
    <t>se0023</t>
  </si>
  <si>
    <t>Питание ввода №1 в норме</t>
  </si>
  <si>
    <t>Питание ввода №2 в норме</t>
  </si>
  <si>
    <t>Ввод 1 включен</t>
  </si>
  <si>
    <t>Ввод 2 включен</t>
  </si>
  <si>
    <t>Питание ИБП в норме</t>
  </si>
  <si>
    <t>Питание цепей внешних сигналов включено</t>
  </si>
  <si>
    <t>Питание цепей внутренних сигналов включено</t>
  </si>
  <si>
    <t>Питание датчиков 220В включено</t>
  </si>
  <si>
    <t>Дверь шкафа открыта</t>
  </si>
  <si>
    <t>Ki-01</t>
  </si>
  <si>
    <t>SD1</t>
  </si>
  <si>
    <t>SD2</t>
  </si>
  <si>
    <t>Ki-02</t>
  </si>
  <si>
    <t>SD3</t>
  </si>
  <si>
    <t>Ki-03</t>
  </si>
  <si>
    <t>SD4</t>
  </si>
  <si>
    <t>Ki-04</t>
  </si>
  <si>
    <t>SD5</t>
  </si>
  <si>
    <t>Ki-05</t>
  </si>
  <si>
    <t>SD6</t>
  </si>
  <si>
    <t>Ki-06</t>
  </si>
  <si>
    <t>SD7</t>
  </si>
  <si>
    <t>Ki-07</t>
  </si>
  <si>
    <t>SD8</t>
  </si>
  <si>
    <t>Ki-08</t>
  </si>
  <si>
    <t>SD9</t>
  </si>
  <si>
    <t>Ki-09</t>
  </si>
  <si>
    <t>F0CJU01GH001 XM01</t>
  </si>
  <si>
    <t>F0CJU01GH001 XM02</t>
  </si>
  <si>
    <t>F0CJU01GH001 XM03</t>
  </si>
  <si>
    <t>F0CJU01GH001 XM04</t>
  </si>
  <si>
    <t>F0CJU01GH001 XM05</t>
  </si>
  <si>
    <t>F0CJU01GH001 XM06</t>
  </si>
  <si>
    <t>F0CJU01GH001 XM07</t>
  </si>
  <si>
    <t>F0CJU01GH001 XM08</t>
  </si>
  <si>
    <t>F0CJU01GH001 XM09</t>
  </si>
  <si>
    <t>KС-F0-РТ-68</t>
  </si>
  <si>
    <t>K-F0-РТ-68</t>
  </si>
  <si>
    <t>KС-F0-РТ-63</t>
  </si>
  <si>
    <t>K-F0-РТ-63</t>
  </si>
  <si>
    <t>K3XG02</t>
  </si>
  <si>
    <t>K4XG02</t>
  </si>
  <si>
    <t>K12XG02</t>
  </si>
  <si>
    <t>E1CJU01</t>
  </si>
  <si>
    <t>E2CJU01</t>
  </si>
  <si>
    <t>N1CJU01</t>
  </si>
  <si>
    <t>N2CJU01</t>
  </si>
  <si>
    <t>АСУ ЭТО</t>
  </si>
  <si>
    <t>Шкаф Серверный №1</t>
  </si>
  <si>
    <t>Шкаф Серверный №2</t>
  </si>
  <si>
    <t>К-F0-УУГ1</t>
  </si>
  <si>
    <t>К-F0-БВД10</t>
  </si>
  <si>
    <t>К-F0-К12</t>
  </si>
  <si>
    <t>К-F0-K4.1</t>
  </si>
  <si>
    <t>К-F0-K5.1</t>
  </si>
  <si>
    <t>К-F0-K6.1</t>
  </si>
  <si>
    <t>К-F0-K10.5.1</t>
  </si>
  <si>
    <t>К-F0-К23.1</t>
  </si>
  <si>
    <t>К-F0-НКП1</t>
  </si>
  <si>
    <t>Сигналы с щита КИП БВД-10</t>
  </si>
  <si>
    <t>Сигналы с ШУ К4.1-К4.4</t>
  </si>
  <si>
    <t>Сигналы с ШУ К5.1, К5.2</t>
  </si>
  <si>
    <t>Сигналы с ШУ К6.1-К6.3</t>
  </si>
  <si>
    <t>Сигналы с ШУ К10.5.1, K10.5.2</t>
  </si>
  <si>
    <t>Сигналы с ШУ К23.1, K23.2</t>
  </si>
  <si>
    <t>Сигналы с ШУ НКП-1, НКП-2</t>
  </si>
  <si>
    <t>Сигналы с ШУ К12</t>
  </si>
  <si>
    <t>Сигналы со шкафа УУГ1</t>
  </si>
  <si>
    <t>se0020</t>
  </si>
  <si>
    <t>AmCom</t>
  </si>
  <si>
    <t>TmComA</t>
  </si>
  <si>
    <t>TmComB</t>
  </si>
  <si>
    <t>ComModName</t>
  </si>
  <si>
    <t>WcpA</t>
  </si>
  <si>
    <t>WcpB</t>
  </si>
  <si>
    <t>WcpSG</t>
  </si>
  <si>
    <t>A7.1
Port3</t>
  </si>
  <si>
    <t>A</t>
  </si>
  <si>
    <t>B</t>
  </si>
  <si>
    <t>SG</t>
  </si>
  <si>
    <t>S343-0</t>
  </si>
  <si>
    <t>Com1-3-A</t>
  </si>
  <si>
    <t>Com1-3-B</t>
  </si>
  <si>
    <t>Com1-3-SG</t>
  </si>
  <si>
    <t>Com1-4-A</t>
  </si>
  <si>
    <t>Com1-4-B</t>
  </si>
  <si>
    <t>Com1-4-SG</t>
  </si>
  <si>
    <t>A7.1
Port4</t>
  </si>
  <si>
    <t>A7.1
Port5</t>
  </si>
  <si>
    <t>A7.1
Port6</t>
  </si>
  <si>
    <t>Com1-5-A</t>
  </si>
  <si>
    <t>Com1-6-A</t>
  </si>
  <si>
    <t>Com1-5-B</t>
  </si>
  <si>
    <t>Com1-6-B</t>
  </si>
  <si>
    <t>Com1-5-SG</t>
  </si>
  <si>
    <t>Com1-6-SG</t>
  </si>
  <si>
    <t>A7.2
Port3</t>
  </si>
  <si>
    <t>A7.2
Port4</t>
  </si>
  <si>
    <t>A7.2
Port5</t>
  </si>
  <si>
    <t>A7.2
Port6</t>
  </si>
  <si>
    <t>A7.2
Port7</t>
  </si>
  <si>
    <t>Com1-7-A</t>
  </si>
  <si>
    <t>Com1-7-B</t>
  </si>
  <si>
    <t>Com1-7-SG</t>
  </si>
  <si>
    <t>TmComSG</t>
  </si>
  <si>
    <t>A3.39</t>
  </si>
  <si>
    <t>A3.40</t>
  </si>
  <si>
    <t>A3.41</t>
  </si>
  <si>
    <t>A3.42</t>
  </si>
  <si>
    <t>Давление до фильтра №1</t>
  </si>
  <si>
    <t>Давление после фильтра №1</t>
  </si>
  <si>
    <t>E1EKE10CP001</t>
  </si>
  <si>
    <t>E1EKE10CP002</t>
  </si>
  <si>
    <t>E1</t>
  </si>
  <si>
    <t>K-E1-P1</t>
  </si>
  <si>
    <t>K-E1-P2</t>
  </si>
  <si>
    <t>Шкаф АСУ ГРП-1 (E1CJU01)</t>
  </si>
  <si>
    <t>Засорение фильтра №1</t>
  </si>
  <si>
    <t>E1EKE01CP151</t>
  </si>
  <si>
    <t>Элемер-АИР-30</t>
  </si>
  <si>
    <t>se0024</t>
  </si>
  <si>
    <t>WppL</t>
  </si>
  <si>
    <t>WppDi1</t>
  </si>
  <si>
    <t>WppDi2</t>
  </si>
  <si>
    <t>WppL2</t>
  </si>
  <si>
    <t>Desc1</t>
  </si>
  <si>
    <t>Desc2</t>
  </si>
  <si>
    <t>T4</t>
  </si>
  <si>
    <t>name1</t>
  </si>
  <si>
    <t>name2</t>
  </si>
  <si>
    <t>Шкаф АСУ Зд (N1CJU01)</t>
  </si>
  <si>
    <t>A3.5</t>
  </si>
  <si>
    <t>A3.7</t>
  </si>
  <si>
    <t>A3.9</t>
  </si>
  <si>
    <t>A3.11</t>
  </si>
  <si>
    <t>E1-Eth1</t>
  </si>
  <si>
    <t>E2-Eth1</t>
  </si>
  <si>
    <t>N1-Eth1</t>
  </si>
  <si>
    <t>N2-Eth1</t>
  </si>
  <si>
    <t>E1-Eth2</t>
  </si>
  <si>
    <t>E2-Eth2</t>
  </si>
  <si>
    <t>N1-Eth2</t>
  </si>
  <si>
    <t>N2-Eth2</t>
  </si>
  <si>
    <t>ТОЛ-П-8У-2.7 кН</t>
  </si>
  <si>
    <t>TmDo10+</t>
  </si>
  <si>
    <t>TmDo10-</t>
  </si>
  <si>
    <t>TmDo9+</t>
  </si>
  <si>
    <t>TmDo9-</t>
  </si>
  <si>
    <t>TmDo8+</t>
  </si>
  <si>
    <t>TmDo7+</t>
  </si>
  <si>
    <t>TmDo6+</t>
  </si>
  <si>
    <t>TmDo5+</t>
  </si>
  <si>
    <t>TmDo4+</t>
  </si>
  <si>
    <t>TmDo4-</t>
  </si>
  <si>
    <t>TmDo5-</t>
  </si>
  <si>
    <t>TmDo6-</t>
  </si>
  <si>
    <t>TmDo7-</t>
  </si>
  <si>
    <t>TmDo8-</t>
  </si>
  <si>
    <t>WcpDo4+</t>
  </si>
  <si>
    <t>WcpDo4-</t>
  </si>
  <si>
    <t>WcpDo5+</t>
  </si>
  <si>
    <t>WcpDo5-</t>
  </si>
  <si>
    <t>WcpDo6+</t>
  </si>
  <si>
    <t>WcpDo6-</t>
  </si>
  <si>
    <t>WcpDo7+</t>
  </si>
  <si>
    <t>WcpDo7-</t>
  </si>
  <si>
    <t>WcpDo8+</t>
  </si>
  <si>
    <t>WcpDo8-</t>
  </si>
  <si>
    <t>WcpDo9+</t>
  </si>
  <si>
    <t>WcpDo9-</t>
  </si>
  <si>
    <t>WcpDo10-</t>
  </si>
  <si>
    <t>WcpDo10+</t>
  </si>
  <si>
    <t>KLcp10</t>
  </si>
  <si>
    <t>WcpKl1-</t>
  </si>
  <si>
    <t>WcpKl2-</t>
  </si>
  <si>
    <t>WcpKl3-</t>
  </si>
  <si>
    <t>WcpKl4-</t>
  </si>
  <si>
    <t>WcpKl10-</t>
  </si>
  <si>
    <t>WcpKl10+</t>
  </si>
  <si>
    <t>Desc3</t>
  </si>
  <si>
    <t>Desc4</t>
  </si>
  <si>
    <t>Desc5</t>
  </si>
  <si>
    <t>Desc6</t>
  </si>
  <si>
    <t>Desc7</t>
  </si>
  <si>
    <t>Desc8</t>
  </si>
  <si>
    <t>Desc9</t>
  </si>
  <si>
    <t>Desc10</t>
  </si>
  <si>
    <t>Tpp15</t>
  </si>
  <si>
    <t>Tpp16</t>
  </si>
  <si>
    <t>Tpp17</t>
  </si>
  <si>
    <t>Tpp18</t>
  </si>
  <si>
    <t>Tpp19</t>
  </si>
  <si>
    <t>Tpp20</t>
  </si>
  <si>
    <t>WcpKl8</t>
  </si>
  <si>
    <t>ch1</t>
  </si>
  <si>
    <t>chCom</t>
  </si>
  <si>
    <t>ch2</t>
  </si>
  <si>
    <t>E3</t>
  </si>
  <si>
    <t>Силовой трансформатор Т-1</t>
  </si>
  <si>
    <t>se0038</t>
  </si>
  <si>
    <t>E3-1</t>
  </si>
  <si>
    <t>E3-2</t>
  </si>
  <si>
    <t>Силовой трансформатор Т-2</t>
  </si>
  <si>
    <t>Шкаф АСУ ЭТО (E3CJU01)</t>
  </si>
  <si>
    <t>температура обмотки фаза а, высокая сторона</t>
  </si>
  <si>
    <t>температура обмотки фаза в, высокая сторона</t>
  </si>
  <si>
    <t>температура обмотки фаза с, высокая сторона</t>
  </si>
  <si>
    <t>температура обмотки фаза а, низкая сторона</t>
  </si>
  <si>
    <t>температура обмотки фаза в, низкая сторона</t>
  </si>
  <si>
    <t>температура обмотки фаза с, низкая сторона</t>
  </si>
  <si>
    <t>напряжение низкая сторона</t>
  </si>
  <si>
    <t>напряжение высокая сторона</t>
  </si>
  <si>
    <t>ток фаза а низкая сторона</t>
  </si>
  <si>
    <t>ток фаза в низкая сторона</t>
  </si>
  <si>
    <t>ток фаза с низкая сторона</t>
  </si>
  <si>
    <t>E3-3</t>
  </si>
  <si>
    <t>se0039</t>
  </si>
  <si>
    <t>se0040</t>
  </si>
  <si>
    <t>E3-4</t>
  </si>
  <si>
    <t>E3-5</t>
  </si>
  <si>
    <t>E3-6</t>
  </si>
  <si>
    <t>E3-7</t>
  </si>
  <si>
    <t>E3-8</t>
  </si>
  <si>
    <t>E3-9</t>
  </si>
  <si>
    <t>E3-10</t>
  </si>
  <si>
    <t>E3-11</t>
  </si>
  <si>
    <t>E3-12</t>
  </si>
  <si>
    <t>E3-13</t>
  </si>
  <si>
    <t>E3-14</t>
  </si>
  <si>
    <t>Switch</t>
  </si>
  <si>
    <t>Port</t>
  </si>
  <si>
    <t>SW3</t>
  </si>
  <si>
    <t>eth</t>
  </si>
  <si>
    <t>Сигналы с ячейки 5 (Ввод 1)</t>
  </si>
  <si>
    <t>Сигналы с ячейки 1 (Ввод 1 к ТСН-35 2ТП-1000/6/0,4 кВ аккумулирующей насосной)</t>
  </si>
  <si>
    <t>Сигналы с ячейки 2 (Ввод 1 к РУ-6 кВ здания расположения теплообменников)</t>
  </si>
  <si>
    <t>Сигналы с ячейки 3 (Ввод 1 к Т-1 2ТП-3200/6/0,4 кВ здания РУСН)</t>
  </si>
  <si>
    <t>Сигналы с ячейки 4 (Ввод к ТСН-1 здания РУСН)</t>
  </si>
  <si>
    <t>Сигналы с ячейки 6 (секционный выключатель I с.ш. РУ-6 кВ)</t>
  </si>
  <si>
    <t>Сигналы с ячейки 7 (секционный выключатель II с.ш. РУ-6 кВ)</t>
  </si>
  <si>
    <t>Сигналы с ячейки 9 (Ввод к ТСН-2 здания РУСН)</t>
  </si>
  <si>
    <t>Сигналы с ячейки 10 (Ввод 2 к Т-2 2ТП-3200/6/0,4 кВ здания РУСН)</t>
  </si>
  <si>
    <t>Сигналы с ячейки 11 (Ввод 2 к РУ-6 кВ здания расположения теплообменников)</t>
  </si>
  <si>
    <t>Сигналы с ячейки 12 (Ввод 2 к ТСН-36 2ТП-1000/6/0,4 кВ аккумулирующей насосной)</t>
  </si>
  <si>
    <t>F0AAT01</t>
  </si>
  <si>
    <t>F0AAT02</t>
  </si>
  <si>
    <t>F0CBB05</t>
  </si>
  <si>
    <t>F0CBB08</t>
  </si>
  <si>
    <t>F0CBB01</t>
  </si>
  <si>
    <t>F0CBB02</t>
  </si>
  <si>
    <t>F0CBB03</t>
  </si>
  <si>
    <t>F0CBB04</t>
  </si>
  <si>
    <t>F0CBB06</t>
  </si>
  <si>
    <t>F0CBB07</t>
  </si>
  <si>
    <t>F0CBB09</t>
  </si>
  <si>
    <t>F0CBB10</t>
  </si>
  <si>
    <t>F0CBB11</t>
  </si>
  <si>
    <t>F0CBB12</t>
  </si>
  <si>
    <t>F0AAT01CY001</t>
  </si>
  <si>
    <t>F0AAT01CY002</t>
  </si>
  <si>
    <t>F0AAT01CY003</t>
  </si>
  <si>
    <t>F0AAT01CY004</t>
  </si>
  <si>
    <t>F0AAT01CY005</t>
  </si>
  <si>
    <t>F0AAT01CY006</t>
  </si>
  <si>
    <t>F0AAT01CY007</t>
  </si>
  <si>
    <t>F0AAT01CY008</t>
  </si>
  <si>
    <t>F0AAT01CY009</t>
  </si>
  <si>
    <t>F0AAT01CY010</t>
  </si>
  <si>
    <t>F0AAT01CY011</t>
  </si>
  <si>
    <t>F0AAT02CY001</t>
  </si>
  <si>
    <t>F0AAT02CY002</t>
  </si>
  <si>
    <t>F0AAT02CY003</t>
  </si>
  <si>
    <t>F0AAT02CY004</t>
  </si>
  <si>
    <t>F0AAT02CY005</t>
  </si>
  <si>
    <t>F0AAT02CY006</t>
  </si>
  <si>
    <t>F0AAT02CY007</t>
  </si>
  <si>
    <t>F0AAT02CY008</t>
  </si>
  <si>
    <t>F0AAT02CY009</t>
  </si>
  <si>
    <t>F0AAT02CY010</t>
  </si>
  <si>
    <t>F0AAT02CY011</t>
  </si>
  <si>
    <t>N1AAT01</t>
  </si>
  <si>
    <t>N1AAT02</t>
  </si>
  <si>
    <t>N1CBB05</t>
  </si>
  <si>
    <t>N1CBB08</t>
  </si>
  <si>
    <t>N1CBB01</t>
  </si>
  <si>
    <t>N1CBB02</t>
  </si>
  <si>
    <t>N1CBB03</t>
  </si>
  <si>
    <t>N1CBB04</t>
  </si>
  <si>
    <t>N1CBB06</t>
  </si>
  <si>
    <t>N1CBB07</t>
  </si>
  <si>
    <t>N1CBB09</t>
  </si>
  <si>
    <t>N1CBB10</t>
  </si>
  <si>
    <t>N1CBB11</t>
  </si>
  <si>
    <t>N1CBB12</t>
  </si>
  <si>
    <t>Встроенная трансформаторная подстанция. Силовой трансформатор Т-4</t>
  </si>
  <si>
    <t>Встроенная трансформаторная подстанция. Силовой трансформатор Т-3</t>
  </si>
  <si>
    <t>N1CBB13</t>
  </si>
  <si>
    <t>N1CBB14</t>
  </si>
  <si>
    <t>E3-15</t>
  </si>
  <si>
    <t>E3-16</t>
  </si>
  <si>
    <t>E3-17</t>
  </si>
  <si>
    <t>E3-18</t>
  </si>
  <si>
    <t>E3-19</t>
  </si>
  <si>
    <t>E3-20</t>
  </si>
  <si>
    <t>E3-21</t>
  </si>
  <si>
    <t>E3-22</t>
  </si>
  <si>
    <t>E3-23</t>
  </si>
  <si>
    <t>E3-24</t>
  </si>
  <si>
    <t>E3-25</t>
  </si>
  <si>
    <t>E3-26</t>
  </si>
  <si>
    <t>E3-27</t>
  </si>
  <si>
    <t>E3-28</t>
  </si>
  <si>
    <t>E3-29</t>
  </si>
  <si>
    <t>E3-30</t>
  </si>
  <si>
    <t>Сигналы с ячейки 8 (Ввод 2)</t>
  </si>
  <si>
    <t xml:space="preserve">Сигналы с ячейки 1 (Ввод к ТСН-3 здания расположения теплообменников)  </t>
  </si>
  <si>
    <t xml:space="preserve">Сигналы с ячейки 2 (Ввод 1 к Т-3 2ТП-1000/6/0,4 кВ здания расположения теплообменников)  </t>
  </si>
  <si>
    <t xml:space="preserve">Сигналы с ячейки 3 (питание сетевого насоса К3.1)  </t>
  </si>
  <si>
    <t xml:space="preserve">Сигналы с ячейки 4 (питание сетевого насоса К3.2)  </t>
  </si>
  <si>
    <t xml:space="preserve">Сигналы с ячейки 5 (Ввод 1 РУ-6 кВ здания расположения теплообменников)  </t>
  </si>
  <si>
    <t xml:space="preserve">Сигналы с ячейки 6 (Ввод 1 ВЧРП здания расположения теплообменников)  </t>
  </si>
  <si>
    <t xml:space="preserve">Сигналы с ячейки 7 (секционный выключатель I с.ш. РУ-6 кВ)  </t>
  </si>
  <si>
    <t xml:space="preserve">Сигналы с ячейки 8 (секционный выключатель II с.ш. РУ-6 кВ)  </t>
  </si>
  <si>
    <t xml:space="preserve">Сигналы с ячейки 9 (Ввод 2 РУ-6 кВ здания расположения теплообменников)  </t>
  </si>
  <si>
    <t xml:space="preserve">Сигналы с ячейки 10 (Ввод 2 ВЧРП здания расположения теплообменников)  </t>
  </si>
  <si>
    <t xml:space="preserve">Сигналы с ячейки 11 (питание сетевого насоса К3.3)  </t>
  </si>
  <si>
    <t xml:space="preserve">Сигналы с ячейки 12 (питание сетевого насоса К3.4)  </t>
  </si>
  <si>
    <t xml:space="preserve">Сигналы с ячейки 13 (Ввод 2 к Т-4 2ТП-1000/6/0,4 кВ здания расположения теплообменников)  </t>
  </si>
  <si>
    <t xml:space="preserve">Сигналы с ячейки 14 (Ввод к ТСН-4 здания расположения теплообменников)  </t>
  </si>
  <si>
    <t>N1AAT01CY001</t>
  </si>
  <si>
    <t>N1AAT01CY002</t>
  </si>
  <si>
    <t>N1AAT01CY003</t>
  </si>
  <si>
    <t>N1AAT01CY004</t>
  </si>
  <si>
    <t>N1AAT01CY005</t>
  </si>
  <si>
    <t>N1AAT01CY006</t>
  </si>
  <si>
    <t>N1AAT01CY007</t>
  </si>
  <si>
    <t>N1AAT01CY008</t>
  </si>
  <si>
    <t>N1AAT01CY009</t>
  </si>
  <si>
    <t>N1AAT01CY010</t>
  </si>
  <si>
    <t>N1AAT01CY011</t>
  </si>
  <si>
    <t>N1AAT02CY001</t>
  </si>
  <si>
    <t>N1AAT02CY002</t>
  </si>
  <si>
    <t>N1AAT02CY003</t>
  </si>
  <si>
    <t>N1AAT02CY004</t>
  </si>
  <si>
    <t>N1AAT02CY005</t>
  </si>
  <si>
    <t>N1AAT02CY006</t>
  </si>
  <si>
    <t>N1AAT02CY007</t>
  </si>
  <si>
    <t>N1AAT02CY008</t>
  </si>
  <si>
    <t>N1AAT02CY009</t>
  </si>
  <si>
    <t>N1AAT02CY010</t>
  </si>
  <si>
    <t>N1AAT02CY011</t>
  </si>
  <si>
    <t>N2AAT01</t>
  </si>
  <si>
    <t>N2AAT02</t>
  </si>
  <si>
    <t>E3-31</t>
  </si>
  <si>
    <t>E3-32</t>
  </si>
  <si>
    <t>N2AAT01CY001</t>
  </si>
  <si>
    <t>N2AAT01CY002</t>
  </si>
  <si>
    <t>N2AAT01CY003</t>
  </si>
  <si>
    <t>N2AAT01CY004</t>
  </si>
  <si>
    <t>N2AAT01CY005</t>
  </si>
  <si>
    <t>N2AAT01CY006</t>
  </si>
  <si>
    <t>N2AAT01CY007</t>
  </si>
  <si>
    <t>N2AAT01CY008</t>
  </si>
  <si>
    <t>N2AAT01CY009</t>
  </si>
  <si>
    <t>N2AAT01CY010</t>
  </si>
  <si>
    <t>N2AAT01CY011</t>
  </si>
  <si>
    <t>N2AAT02CY001</t>
  </si>
  <si>
    <t>N2AAT02CY002</t>
  </si>
  <si>
    <t>N2AAT02CY003</t>
  </si>
  <si>
    <t>N2AAT02CY004</t>
  </si>
  <si>
    <t>N2AAT02CY005</t>
  </si>
  <si>
    <t>N2AAT02CY006</t>
  </si>
  <si>
    <t>N2AAT02CY007</t>
  </si>
  <si>
    <t>N2AAT02CY008</t>
  </si>
  <si>
    <t>N2AAT02CY009</t>
  </si>
  <si>
    <t>N2AAT02CY010</t>
  </si>
  <si>
    <t>N2AAT02CY011</t>
  </si>
  <si>
    <t>E3CJU01GH001</t>
  </si>
  <si>
    <t>E3CJU01GH002</t>
  </si>
  <si>
    <t>E3CJU01GH003</t>
  </si>
  <si>
    <t>E3CJU01GH004</t>
  </si>
  <si>
    <t>E3CJU01GH005</t>
  </si>
  <si>
    <t>E3CJU01GH006</t>
  </si>
  <si>
    <t>E3CJU01GH007</t>
  </si>
  <si>
    <t>E3CJU01GH008</t>
  </si>
  <si>
    <t>E3CJU01GH009</t>
  </si>
  <si>
    <t>Питание ввода №1 в норме (ЭТО)</t>
  </si>
  <si>
    <t>Питание ввода №2 в норме (ЭТО)</t>
  </si>
  <si>
    <t>Ввод 1 включен (ЭТО)</t>
  </si>
  <si>
    <t>Ввод 2 включен (ЭТО)</t>
  </si>
  <si>
    <t>Питание ИБП в норме (ЭТО)</t>
  </si>
  <si>
    <t>Питание цепей внешних сигналов включено (ЭТО)</t>
  </si>
  <si>
    <t>Питание цепей внутренних сигналов включено (ЭТО)</t>
  </si>
  <si>
    <t>Питание датчиков 220В включено (ЭТО)</t>
  </si>
  <si>
    <t>Дверь шкафа открыта (ЭТО)</t>
  </si>
  <si>
    <t>Встроенная трансформаторная подстанция КТП СН НАБ ТЦ. Силовой трансформатор ТСН-35</t>
  </si>
  <si>
    <t>Встроенная трансформаторная подстанция КТП СН НАБ ТЦ. Силовой трансформатор ТСН-36</t>
  </si>
  <si>
    <t>F0AAT01SA001</t>
  </si>
  <si>
    <t>Силовой трансформатор Т-1 не в норме</t>
  </si>
  <si>
    <t>SO1</t>
  </si>
  <si>
    <t>SO2</t>
  </si>
  <si>
    <t>SO3</t>
  </si>
  <si>
    <t>SO4</t>
  </si>
  <si>
    <t>SO5</t>
  </si>
  <si>
    <t>SO6</t>
  </si>
  <si>
    <t>SO7</t>
  </si>
  <si>
    <t>Силовой трансформатор Т-2 не в норме</t>
  </si>
  <si>
    <t>Силовой трансформатор Т-3 не в норме</t>
  </si>
  <si>
    <t>Силовой трансформатор Т-4 не в норме</t>
  </si>
  <si>
    <t>Силовой трансформатор ТСН-35 не в норме</t>
  </si>
  <si>
    <t>Силовой трансформатор ТСН-36 не в норме</t>
  </si>
  <si>
    <t>N1AAT01SA001</t>
  </si>
  <si>
    <t>F0AAT02SA001</t>
  </si>
  <si>
    <t>N1AAT02SA001</t>
  </si>
  <si>
    <t>N2AAT02SA001</t>
  </si>
  <si>
    <t>N2AAT01SA001</t>
  </si>
  <si>
    <t>Звуковая сигнализация</t>
  </si>
  <si>
    <t>E3CJU01YH001</t>
  </si>
  <si>
    <t>E3CJU01XH001</t>
  </si>
  <si>
    <t>Сброс звуковой сигнализации</t>
  </si>
  <si>
    <t>SD10</t>
  </si>
  <si>
    <t>Ki-10</t>
  </si>
  <si>
    <t>Ko-01</t>
  </si>
  <si>
    <t>Ko-02</t>
  </si>
  <si>
    <t>Ko-03</t>
  </si>
  <si>
    <t>Ko-04</t>
  </si>
  <si>
    <t>Ko-05</t>
  </si>
  <si>
    <t>Ko-06</t>
  </si>
  <si>
    <t>Ko-07</t>
  </si>
  <si>
    <t>HL10</t>
  </si>
  <si>
    <t>HL11</t>
  </si>
  <si>
    <t>HL12</t>
  </si>
  <si>
    <t>HL13</t>
  </si>
  <si>
    <t>HL14</t>
  </si>
  <si>
    <t>HL15</t>
  </si>
  <si>
    <t>HL16</t>
  </si>
  <si>
    <t>SB1</t>
  </si>
  <si>
    <t>РУ-6 кВ ВК</t>
  </si>
  <si>
    <t>РУ-6 кВ Зд</t>
  </si>
  <si>
    <t>se0041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</si>
</sst>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/>
    <xf numFmtId="0" fontId="2" fillId="0" borderId="0" xfId="0" applyFont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2" xfId="0" applyFill="1" applyBorder="1"/>
    <xf numFmtId="0" fontId="0" fillId="0" borderId="3" xfId="0" applyBorder="1"/>
    <xf numFmtId="0" fontId="0" fillId="0" borderId="4" xfId="0" applyBorder="1" applyAlignment="1">
      <alignment horizontal="left"/>
    </xf>
    <xf numFmtId="1" fontId="0" fillId="0" borderId="5" xfId="0" applyNumberFormat="1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1" fontId="0" fillId="0" borderId="0" xfId="0" applyNumberFormat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  <xf numFmtId="1" fontId="0" fillId="0" borderId="10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left"/>
    </xf>
    <xf numFmtId="1" fontId="0" fillId="0" borderId="13" xfId="0" applyNumberForma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2" borderId="15" xfId="0" applyFill="1" applyBorder="1"/>
    <xf numFmtId="0" fontId="0" fillId="0" borderId="7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1" fontId="0" fillId="0" borderId="5" xfId="0" applyNumberFormat="1" applyBorder="1"/>
    <xf numFmtId="1" fontId="0" fillId="0" borderId="13" xfId="0" applyNumberFormat="1" applyBorder="1"/>
    <xf numFmtId="1" fontId="0" fillId="0" borderId="10" xfId="0" applyNumberFormat="1" applyBorder="1"/>
    <xf numFmtId="0" fontId="0" fillId="0" borderId="29" xfId="0" applyBorder="1"/>
    <xf numFmtId="0" fontId="0" fillId="0" borderId="28" xfId="0" applyBorder="1"/>
    <xf numFmtId="0" fontId="0" fillId="0" borderId="30" xfId="0" applyBorder="1"/>
    <xf numFmtId="0" fontId="1" fillId="0" borderId="0" xfId="0" applyFont="1"/>
    <xf numFmtId="0" fontId="0" fillId="0" borderId="10" xfId="0" applyBorder="1" applyAlignment="1">
      <alignment wrapText="1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31" xfId="0" applyBorder="1"/>
  </cellXfs>
  <cellStyles count="1">
    <cellStyle name="Обычный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M50"/>
  <sheetViews>
    <sheetView tabSelected="1" zoomScale="85" zoomScaleNormal="85" workbookViewId="0">
      <pane ySplit="1" topLeftCell="A2" activePane="bottomLeft" state="frozen"/>
      <selection pane="bottomLeft" activeCell="C19" sqref="C19"/>
    </sheetView>
  </sheetViews>
  <sheetFormatPr defaultRowHeight="15" x14ac:dyDescent="0.25"/>
  <cols>
    <col min="1" max="1" width="19.28515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10.28515625" bestFit="1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style="59" bestFit="1" customWidth="1"/>
    <col min="36" max="36" width="8.7109375" style="59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7" bestFit="1" customWidth="1"/>
    <col min="43" max="43" width="59.140625" bestFit="1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10.5703125" bestFit="1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14" width="9.140625" customWidth="1"/>
    <col min="215" max="216" width="12.42578125" bestFit="1" customWidth="1"/>
    <col min="217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90" width="15.710937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39" max="339" width="10.28515625" bestFit="1" customWidth="1"/>
    <col min="358" max="358" width="9.5703125" customWidth="1"/>
    <col min="378" max="378" width="14.5703125" bestFit="1" customWidth="1"/>
    <col min="382" max="382" width="12" bestFit="1" customWidth="1"/>
    <col min="397" max="397" width="5.42578125" bestFit="1" customWidth="1"/>
    <col min="398" max="401" width="5.42578125" customWidth="1"/>
    <col min="402" max="402" width="7.28515625" bestFit="1" customWidth="1"/>
    <col min="403" max="403" width="7.7109375" bestFit="1" customWidth="1"/>
    <col min="404" max="411" width="7.7109375" customWidth="1"/>
    <col min="412" max="412" width="11.7109375" bestFit="1" customWidth="1"/>
    <col min="413" max="413" width="11.5703125" bestFit="1" customWidth="1"/>
    <col min="414" max="414" width="11.7109375" bestFit="1" customWidth="1"/>
    <col min="415" max="415" width="11.5703125" bestFit="1" customWidth="1"/>
    <col min="416" max="423" width="11.5703125" customWidth="1"/>
    <col min="424" max="424" width="7.7109375" bestFit="1" customWidth="1"/>
    <col min="425" max="428" width="5.28515625" bestFit="1" customWidth="1"/>
    <col min="429" max="432" width="5.28515625" customWidth="1"/>
    <col min="433" max="433" width="4.42578125" bestFit="1" customWidth="1"/>
    <col min="434" max="434" width="4" bestFit="1" customWidth="1"/>
    <col min="435" max="435" width="4.42578125" bestFit="1" customWidth="1"/>
    <col min="436" max="436" width="4" bestFit="1" customWidth="1"/>
    <col min="437" max="438" width="4.85546875" bestFit="1" customWidth="1"/>
    <col min="439" max="441" width="5.2851562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0.5703125" bestFit="1" customWidth="1"/>
    <col min="470" max="470" width="10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bestFit="1" customWidth="1"/>
    <col min="475" max="475" width="11.5703125" bestFit="1" customWidth="1"/>
    <col min="476" max="476" width="11.7109375" customWidth="1"/>
    <col min="477" max="477" width="10.5703125" bestFit="1" customWidth="1"/>
    <col min="478" max="478" width="10.7109375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0.5703125" bestFit="1" customWidth="1"/>
    <col min="486" max="486" width="10.7109375" bestFit="1" customWidth="1"/>
    <col min="487" max="487" width="11.5703125" bestFit="1" customWidth="1"/>
    <col min="488" max="488" width="11.7109375" bestFit="1" customWidth="1"/>
    <col min="539" max="539" width="8" bestFit="1" customWidth="1"/>
    <col min="540" max="540" width="9" bestFit="1" customWidth="1"/>
    <col min="541" max="541" width="8.85546875" bestFit="1" customWidth="1"/>
    <col min="542" max="542" width="10" bestFit="1" customWidth="1"/>
    <col min="543" max="543" width="14.42578125" bestFit="1" customWidth="1"/>
    <col min="544" max="544" width="9.7109375" bestFit="1" customWidth="1"/>
    <col min="545" max="545" width="9.5703125" bestFit="1" customWidth="1"/>
    <col min="546" max="546" width="10.7109375" bestFit="1" customWidth="1"/>
    <col min="547" max="547" width="6.42578125" bestFit="1" customWidth="1"/>
    <col min="574" max="575" width="9.7109375" bestFit="1" customWidth="1"/>
    <col min="595" max="595" width="10.28515625" bestFit="1" customWidth="1"/>
    <col min="596" max="596" width="10.28515625" customWidth="1"/>
    <col min="597" max="598" width="6.85546875" bestFit="1" customWidth="1"/>
    <col min="792" max="793" width="9.42578125" bestFit="1" customWidth="1"/>
    <col min="794" max="794" width="10.5703125" bestFit="1" customWidth="1"/>
  </cols>
  <sheetData>
    <row r="1" spans="1:819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8" t="s">
        <v>1791</v>
      </c>
      <c r="AJ1" s="58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855</v>
      </c>
      <c r="KV1" s="5" t="s">
        <v>404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856</v>
      </c>
      <c r="LC1" s="5" t="s">
        <v>857</v>
      </c>
      <c r="LD1" s="5" t="s">
        <v>858</v>
      </c>
      <c r="LE1" s="5" t="s">
        <v>859</v>
      </c>
      <c r="LF1" s="5" t="s">
        <v>98</v>
      </c>
      <c r="LG1" s="5" t="s">
        <v>99</v>
      </c>
      <c r="LH1" s="5" t="s">
        <v>100</v>
      </c>
      <c r="LI1" s="5" t="s">
        <v>860</v>
      </c>
      <c r="LJ1" s="5" t="s">
        <v>861</v>
      </c>
      <c r="LK1" s="5" t="s">
        <v>862</v>
      </c>
      <c r="LL1" s="5" t="s">
        <v>863</v>
      </c>
      <c r="LM1" s="9" t="s">
        <v>864</v>
      </c>
      <c r="LN1" s="39" t="s">
        <v>35</v>
      </c>
      <c r="LO1" s="32" t="s">
        <v>401</v>
      </c>
      <c r="LP1" s="5" t="s">
        <v>402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19" t="s">
        <v>114</v>
      </c>
      <c r="LX1" s="4" t="s">
        <v>35</v>
      </c>
      <c r="LY1" s="5" t="s">
        <v>51</v>
      </c>
      <c r="LZ1" s="5" t="s">
        <v>50</v>
      </c>
      <c r="MA1" s="5" t="s">
        <v>404</v>
      </c>
      <c r="MB1" s="5" t="s">
        <v>73</v>
      </c>
      <c r="MC1" s="5" t="s">
        <v>70</v>
      </c>
      <c r="MD1" s="5" t="s">
        <v>71</v>
      </c>
      <c r="ME1" s="5" t="s">
        <v>68</v>
      </c>
      <c r="MF1" s="5" t="s">
        <v>69</v>
      </c>
      <c r="MG1" s="5" t="s">
        <v>856</v>
      </c>
      <c r="MH1" s="5" t="s">
        <v>857</v>
      </c>
      <c r="MI1" s="5" t="s">
        <v>858</v>
      </c>
      <c r="MJ1" s="5" t="s">
        <v>859</v>
      </c>
      <c r="MK1" s="5" t="s">
        <v>98</v>
      </c>
      <c r="ML1" s="5" t="s">
        <v>99</v>
      </c>
      <c r="MM1" s="5" t="s">
        <v>100</v>
      </c>
      <c r="MN1" s="5" t="s">
        <v>101</v>
      </c>
      <c r="MO1" s="5" t="s">
        <v>860</v>
      </c>
      <c r="MP1" s="5" t="s">
        <v>861</v>
      </c>
      <c r="MQ1" s="5" t="s">
        <v>862</v>
      </c>
      <c r="MR1" s="5" t="s">
        <v>863</v>
      </c>
      <c r="MS1" s="9" t="s">
        <v>864</v>
      </c>
      <c r="MT1" s="40" t="s">
        <v>924</v>
      </c>
      <c r="MU1" s="37" t="s">
        <v>925</v>
      </c>
      <c r="MV1" s="41" t="s">
        <v>928</v>
      </c>
      <c r="MW1" s="41" t="s">
        <v>929</v>
      </c>
      <c r="MX1" s="41" t="s">
        <v>930</v>
      </c>
      <c r="MY1" s="41" t="s">
        <v>35</v>
      </c>
      <c r="MZ1" s="41" t="s">
        <v>37</v>
      </c>
      <c r="NA1" s="41" t="s">
        <v>36</v>
      </c>
      <c r="NB1" s="41" t="s">
        <v>39</v>
      </c>
      <c r="NC1" s="41" t="s">
        <v>38</v>
      </c>
      <c r="ND1" s="41" t="s">
        <v>41</v>
      </c>
      <c r="NE1" s="41" t="s">
        <v>40</v>
      </c>
      <c r="NF1" s="41" t="s">
        <v>557</v>
      </c>
      <c r="NG1" s="41" t="s">
        <v>558</v>
      </c>
      <c r="NH1" s="5" t="s">
        <v>855</v>
      </c>
      <c r="NI1" s="5" t="s">
        <v>918</v>
      </c>
      <c r="NJ1" s="5" t="s">
        <v>919</v>
      </c>
      <c r="NK1" s="5" t="s">
        <v>920</v>
      </c>
      <c r="NL1" s="5" t="s">
        <v>921</v>
      </c>
      <c r="NM1" s="5" t="s">
        <v>922</v>
      </c>
      <c r="NN1" s="5" t="s">
        <v>923</v>
      </c>
      <c r="NO1" s="5" t="s">
        <v>404</v>
      </c>
      <c r="NP1" s="5" t="s">
        <v>405</v>
      </c>
      <c r="NQ1" s="5" t="s">
        <v>406</v>
      </c>
      <c r="NR1" s="5" t="s">
        <v>407</v>
      </c>
      <c r="NS1" s="5" t="s">
        <v>73</v>
      </c>
      <c r="NT1" s="5" t="s">
        <v>74</v>
      </c>
      <c r="NU1" s="5" t="s">
        <v>75</v>
      </c>
      <c r="NV1" s="5" t="s">
        <v>76</v>
      </c>
      <c r="NW1" s="5" t="s">
        <v>70</v>
      </c>
      <c r="NX1" s="5" t="s">
        <v>71</v>
      </c>
      <c r="NY1" s="5" t="s">
        <v>68</v>
      </c>
      <c r="NZ1" s="5" t="s">
        <v>69</v>
      </c>
      <c r="OA1" s="5" t="s">
        <v>856</v>
      </c>
      <c r="OB1" s="5" t="s">
        <v>857</v>
      </c>
      <c r="OC1" s="5" t="s">
        <v>858</v>
      </c>
      <c r="OD1" s="9" t="s">
        <v>859</v>
      </c>
      <c r="OE1" s="5" t="s">
        <v>953</v>
      </c>
      <c r="OF1" s="9" t="s">
        <v>954</v>
      </c>
      <c r="OG1" s="23" t="s">
        <v>35</v>
      </c>
      <c r="OH1" s="23" t="s">
        <v>924</v>
      </c>
      <c r="OI1" s="23" t="s">
        <v>925</v>
      </c>
      <c r="OJ1" s="23" t="s">
        <v>1032</v>
      </c>
      <c r="OK1" s="23" t="s">
        <v>1033</v>
      </c>
      <c r="OL1" s="23" t="s">
        <v>557</v>
      </c>
      <c r="OM1" s="23" t="s">
        <v>558</v>
      </c>
      <c r="ON1" s="23" t="s">
        <v>1015</v>
      </c>
      <c r="OO1" s="23" t="s">
        <v>1016</v>
      </c>
      <c r="OP1" s="23" t="s">
        <v>1017</v>
      </c>
      <c r="OQ1" s="23" t="s">
        <v>1018</v>
      </c>
      <c r="OR1" s="23" t="s">
        <v>1036</v>
      </c>
      <c r="OS1" s="23" t="s">
        <v>1037</v>
      </c>
      <c r="OT1" s="23" t="s">
        <v>1038</v>
      </c>
      <c r="OU1" s="23" t="s">
        <v>1039</v>
      </c>
      <c r="OV1" s="32" t="s">
        <v>401</v>
      </c>
      <c r="OW1" s="5" t="s">
        <v>402</v>
      </c>
      <c r="OX1" s="32" t="s">
        <v>555</v>
      </c>
      <c r="OY1" s="5" t="s">
        <v>556</v>
      </c>
      <c r="OZ1" s="32" t="s">
        <v>1019</v>
      </c>
      <c r="PA1" s="5" t="s">
        <v>1020</v>
      </c>
      <c r="PB1" s="32" t="s">
        <v>1021</v>
      </c>
      <c r="PC1" s="5" t="s">
        <v>1022</v>
      </c>
      <c r="PD1" s="32" t="s">
        <v>1040</v>
      </c>
      <c r="PE1" s="5" t="s">
        <v>1041</v>
      </c>
      <c r="PF1" s="32" t="s">
        <v>1042</v>
      </c>
      <c r="PG1" s="5" t="s">
        <v>1043</v>
      </c>
      <c r="PH1" s="5" t="s">
        <v>98</v>
      </c>
      <c r="PI1" s="5" t="s">
        <v>99</v>
      </c>
      <c r="PJ1" s="5" t="s">
        <v>100</v>
      </c>
      <c r="PK1" s="5" t="s">
        <v>101</v>
      </c>
      <c r="PL1" s="5" t="s">
        <v>102</v>
      </c>
      <c r="PM1" s="5" t="s">
        <v>103</v>
      </c>
      <c r="PN1" s="5" t="s">
        <v>104</v>
      </c>
      <c r="PO1" s="5" t="s">
        <v>105</v>
      </c>
      <c r="PP1" s="5" t="s">
        <v>106</v>
      </c>
      <c r="PQ1" s="30" t="s">
        <v>294</v>
      </c>
      <c r="PR1" s="30" t="s">
        <v>295</v>
      </c>
      <c r="PS1" s="30" t="s">
        <v>296</v>
      </c>
      <c r="PT1" s="30" t="s">
        <v>297</v>
      </c>
      <c r="PU1" s="30" t="s">
        <v>298</v>
      </c>
      <c r="PV1" s="30" t="s">
        <v>1014</v>
      </c>
      <c r="PW1" s="30" t="s">
        <v>1044</v>
      </c>
      <c r="PX1" s="30" t="s">
        <v>1045</v>
      </c>
      <c r="PY1" s="30" t="s">
        <v>1046</v>
      </c>
      <c r="PZ1" s="42" t="s">
        <v>1062</v>
      </c>
      <c r="QA1" s="42" t="s">
        <v>558</v>
      </c>
      <c r="QB1" s="42" t="s">
        <v>557</v>
      </c>
      <c r="QC1" s="42" t="s">
        <v>1016</v>
      </c>
      <c r="QD1" s="42" t="s">
        <v>1015</v>
      </c>
      <c r="QE1" s="42" t="s">
        <v>1018</v>
      </c>
      <c r="QF1" s="42" t="s">
        <v>1017</v>
      </c>
      <c r="QG1" s="42" t="s">
        <v>1037</v>
      </c>
      <c r="QH1" s="42" t="s">
        <v>1036</v>
      </c>
      <c r="QI1" s="42" t="s">
        <v>1039</v>
      </c>
      <c r="QJ1" s="42" t="s">
        <v>1038</v>
      </c>
      <c r="QK1" s="42" t="s">
        <v>1063</v>
      </c>
      <c r="QL1" s="42" t="s">
        <v>1064</v>
      </c>
      <c r="QM1" s="42" t="s">
        <v>1065</v>
      </c>
      <c r="QN1" s="42" t="s">
        <v>1066</v>
      </c>
      <c r="QO1" s="42" t="s">
        <v>1067</v>
      </c>
      <c r="QP1" s="42" t="s">
        <v>1068</v>
      </c>
      <c r="QQ1" s="42" t="s">
        <v>1069</v>
      </c>
      <c r="QR1" s="42" t="s">
        <v>1070</v>
      </c>
      <c r="QS1" s="42" t="s">
        <v>1071</v>
      </c>
      <c r="QT1" s="42" t="s">
        <v>1072</v>
      </c>
      <c r="QU1" s="42" t="s">
        <v>1073</v>
      </c>
      <c r="QV1" s="42" t="s">
        <v>1074</v>
      </c>
      <c r="QW1" s="42" t="s">
        <v>402</v>
      </c>
      <c r="QX1" s="42" t="s">
        <v>401</v>
      </c>
      <c r="QY1" s="42" t="s">
        <v>556</v>
      </c>
      <c r="QZ1" s="42" t="s">
        <v>555</v>
      </c>
      <c r="RA1" s="42" t="s">
        <v>1020</v>
      </c>
      <c r="RB1" s="42" t="s">
        <v>1019</v>
      </c>
      <c r="RC1" s="42" t="s">
        <v>1022</v>
      </c>
      <c r="RD1" s="42" t="s">
        <v>1021</v>
      </c>
      <c r="RE1" s="42" t="s">
        <v>1041</v>
      </c>
      <c r="RF1" s="42" t="s">
        <v>1040</v>
      </c>
      <c r="RG1" s="42" t="s">
        <v>1043</v>
      </c>
      <c r="RH1" s="42" t="s">
        <v>1042</v>
      </c>
      <c r="RI1" s="42" t="s">
        <v>1075</v>
      </c>
      <c r="RJ1" s="42" t="s">
        <v>1076</v>
      </c>
      <c r="RK1" s="42" t="s">
        <v>1077</v>
      </c>
      <c r="RL1" s="42" t="s">
        <v>1078</v>
      </c>
      <c r="RM1" s="42" t="s">
        <v>1079</v>
      </c>
      <c r="RN1" s="42" t="s">
        <v>1080</v>
      </c>
      <c r="RO1" s="42" t="s">
        <v>1081</v>
      </c>
      <c r="RP1" s="42" t="s">
        <v>1082</v>
      </c>
      <c r="RQ1" s="42" t="s">
        <v>1083</v>
      </c>
      <c r="RR1" s="42" t="s">
        <v>1084</v>
      </c>
      <c r="RS1" s="42" t="s">
        <v>1085</v>
      </c>
      <c r="RT1" s="42" t="s">
        <v>1086</v>
      </c>
      <c r="RU1" s="42" t="s">
        <v>35</v>
      </c>
      <c r="RV1" s="42" t="s">
        <v>98</v>
      </c>
      <c r="RW1" s="42" t="s">
        <v>99</v>
      </c>
      <c r="RX1" s="42" t="s">
        <v>100</v>
      </c>
      <c r="RY1" s="42" t="s">
        <v>101</v>
      </c>
      <c r="RZ1" s="42" t="s">
        <v>102</v>
      </c>
      <c r="SA1" s="42" t="s">
        <v>103</v>
      </c>
      <c r="SB1" s="42" t="s">
        <v>104</v>
      </c>
      <c r="SC1" s="42" t="s">
        <v>105</v>
      </c>
      <c r="SD1" s="42" t="s">
        <v>106</v>
      </c>
      <c r="SE1" s="42" t="s">
        <v>107</v>
      </c>
      <c r="SF1" s="42" t="s">
        <v>108</v>
      </c>
      <c r="SG1" s="42" t="s">
        <v>109</v>
      </c>
      <c r="SH1" s="42" t="s">
        <v>110</v>
      </c>
      <c r="SI1" s="42" t="s">
        <v>111</v>
      </c>
      <c r="SJ1" s="42" t="s">
        <v>1087</v>
      </c>
      <c r="SK1" s="42" t="s">
        <v>1088</v>
      </c>
      <c r="SL1" s="42" t="s">
        <v>1089</v>
      </c>
      <c r="SM1" s="42" t="s">
        <v>1090</v>
      </c>
      <c r="SN1" s="42" t="s">
        <v>1091</v>
      </c>
      <c r="SO1" s="42" t="s">
        <v>1092</v>
      </c>
      <c r="SP1" s="42" t="s">
        <v>1093</v>
      </c>
      <c r="SQ1" s="42" t="s">
        <v>1094</v>
      </c>
      <c r="SR1" s="42" t="s">
        <v>1095</v>
      </c>
      <c r="SS1" s="42" t="s">
        <v>1096</v>
      </c>
      <c r="ST1" s="42" t="s">
        <v>1097</v>
      </c>
      <c r="SU1" s="42" t="s">
        <v>1139</v>
      </c>
      <c r="SV1" s="42" t="s">
        <v>924</v>
      </c>
      <c r="SW1" s="42" t="s">
        <v>1032</v>
      </c>
      <c r="SX1" s="42" t="s">
        <v>1098</v>
      </c>
      <c r="SY1" s="42" t="s">
        <v>1099</v>
      </c>
      <c r="SZ1" s="42" t="s">
        <v>1100</v>
      </c>
      <c r="TA1" s="42" t="s">
        <v>1101</v>
      </c>
      <c r="TB1" s="42" t="s">
        <v>1102</v>
      </c>
      <c r="TC1" s="42" t="s">
        <v>1103</v>
      </c>
      <c r="TD1" s="42" t="s">
        <v>1104</v>
      </c>
      <c r="TE1" s="42" t="s">
        <v>1105</v>
      </c>
      <c r="TF1" s="42" t="s">
        <v>1106</v>
      </c>
      <c r="TG1" s="42" t="s">
        <v>1140</v>
      </c>
      <c r="TH1" s="42" t="s">
        <v>925</v>
      </c>
      <c r="TI1" s="42" t="s">
        <v>1033</v>
      </c>
      <c r="TJ1" s="42" t="s">
        <v>1107</v>
      </c>
      <c r="TK1" s="42" t="s">
        <v>1108</v>
      </c>
      <c r="TL1" s="42" t="s">
        <v>1109</v>
      </c>
      <c r="TM1" s="42" t="s">
        <v>1110</v>
      </c>
      <c r="TN1" s="42" t="s">
        <v>1111</v>
      </c>
      <c r="TO1" s="42" t="s">
        <v>1112</v>
      </c>
      <c r="TP1" s="42" t="s">
        <v>1113</v>
      </c>
      <c r="TQ1" s="42" t="s">
        <v>1114</v>
      </c>
      <c r="TR1" s="52" t="s">
        <v>1115</v>
      </c>
      <c r="TS1" s="39" t="s">
        <v>1943</v>
      </c>
      <c r="TT1" s="23" t="s">
        <v>1944</v>
      </c>
      <c r="TU1" s="23" t="s">
        <v>1945</v>
      </c>
      <c r="TV1" s="23" t="s">
        <v>1978</v>
      </c>
      <c r="TW1" s="23" t="s">
        <v>1946</v>
      </c>
      <c r="TX1" s="23" t="s">
        <v>1947</v>
      </c>
      <c r="TY1" s="23" t="s">
        <v>1948</v>
      </c>
      <c r="TZ1" s="23" t="s">
        <v>1949</v>
      </c>
      <c r="UA1" s="23" t="s">
        <v>35</v>
      </c>
      <c r="UB1" s="23" t="s">
        <v>98</v>
      </c>
      <c r="UC1" s="23" t="s">
        <v>99</v>
      </c>
      <c r="UD1" s="23" t="s">
        <v>100</v>
      </c>
      <c r="UE1" s="23" t="s">
        <v>31</v>
      </c>
      <c r="UF1" s="23" t="s">
        <v>112</v>
      </c>
      <c r="UG1" s="23" t="s">
        <v>113</v>
      </c>
      <c r="UH1" s="24" t="s">
        <v>114</v>
      </c>
      <c r="UI1" s="39" t="s">
        <v>35</v>
      </c>
      <c r="UJ1" s="23" t="s">
        <v>924</v>
      </c>
      <c r="UK1" s="23" t="s">
        <v>925</v>
      </c>
      <c r="UL1" s="23" t="s">
        <v>37</v>
      </c>
      <c r="UM1" s="23" t="s">
        <v>36</v>
      </c>
      <c r="UN1" s="23" t="s">
        <v>51</v>
      </c>
      <c r="UO1" s="23" t="s">
        <v>50</v>
      </c>
      <c r="UP1" s="23" t="s">
        <v>53</v>
      </c>
      <c r="UQ1" s="23" t="s">
        <v>52</v>
      </c>
      <c r="UR1" s="23" t="s">
        <v>73</v>
      </c>
      <c r="US1" s="23" t="s">
        <v>74</v>
      </c>
      <c r="UT1" s="23" t="s">
        <v>70</v>
      </c>
      <c r="UU1" s="23" t="s">
        <v>71</v>
      </c>
      <c r="UV1" s="23" t="s">
        <v>68</v>
      </c>
      <c r="UW1" s="23" t="s">
        <v>69</v>
      </c>
      <c r="UX1" s="23" t="s">
        <v>98</v>
      </c>
      <c r="UY1" s="23" t="s">
        <v>99</v>
      </c>
      <c r="UZ1" s="23" t="s">
        <v>100</v>
      </c>
      <c r="VA1" s="23" t="s">
        <v>101</v>
      </c>
      <c r="VB1" s="23" t="s">
        <v>1995</v>
      </c>
      <c r="VC1" s="23" t="s">
        <v>1998</v>
      </c>
      <c r="VD1" s="23" t="s">
        <v>1996</v>
      </c>
      <c r="VE1" s="23" t="s">
        <v>1997</v>
      </c>
      <c r="VF1" s="23" t="s">
        <v>112</v>
      </c>
      <c r="VG1" s="23" t="s">
        <v>113</v>
      </c>
      <c r="VH1" s="24" t="s">
        <v>114</v>
      </c>
      <c r="VI1" s="28" t="s">
        <v>144</v>
      </c>
      <c r="VJ1" s="19" t="s">
        <v>1999</v>
      </c>
      <c r="VK1" s="20" t="s">
        <v>2000</v>
      </c>
      <c r="VL1" s="4" t="s">
        <v>35</v>
      </c>
      <c r="VM1" s="32" t="s">
        <v>98</v>
      </c>
      <c r="VN1" s="32" t="s">
        <v>99</v>
      </c>
      <c r="VO1" s="32" t="s">
        <v>100</v>
      </c>
      <c r="VP1" s="32" t="s">
        <v>101</v>
      </c>
      <c r="VQ1" s="32" t="s">
        <v>37</v>
      </c>
      <c r="VR1" s="32" t="s">
        <v>36</v>
      </c>
      <c r="VS1" s="5" t="s">
        <v>51</v>
      </c>
      <c r="VT1" s="5" t="s">
        <v>50</v>
      </c>
      <c r="VU1" s="5" t="s">
        <v>53</v>
      </c>
      <c r="VV1" s="5" t="s">
        <v>52</v>
      </c>
      <c r="VW1" s="5" t="s">
        <v>404</v>
      </c>
      <c r="VX1" s="5" t="s">
        <v>405</v>
      </c>
      <c r="VY1" s="5" t="s">
        <v>73</v>
      </c>
      <c r="VZ1" s="5" t="s">
        <v>74</v>
      </c>
      <c r="WA1" s="5" t="s">
        <v>70</v>
      </c>
      <c r="WB1" s="5" t="s">
        <v>71</v>
      </c>
      <c r="WC1" s="5" t="s">
        <v>68</v>
      </c>
      <c r="WD1" s="5" t="s">
        <v>69</v>
      </c>
      <c r="WE1" s="5" t="s">
        <v>858</v>
      </c>
      <c r="WF1" s="5" t="s">
        <v>859</v>
      </c>
      <c r="WG1" s="5" t="s">
        <v>862</v>
      </c>
      <c r="WH1" s="5" t="s">
        <v>863</v>
      </c>
      <c r="WI1" s="31" t="s">
        <v>864</v>
      </c>
      <c r="WJ1" s="23" t="s">
        <v>2001</v>
      </c>
      <c r="WK1" s="19" t="s">
        <v>2002</v>
      </c>
      <c r="WL1" s="20" t="s">
        <v>2003</v>
      </c>
      <c r="WM1" t="s">
        <v>35</v>
      </c>
      <c r="WN1" t="s">
        <v>98</v>
      </c>
      <c r="WO1" t="s">
        <v>99</v>
      </c>
      <c r="WP1" t="s">
        <v>100</v>
      </c>
      <c r="WQ1" t="s">
        <v>101</v>
      </c>
      <c r="WR1" t="s">
        <v>102</v>
      </c>
      <c r="WS1" t="s">
        <v>103</v>
      </c>
      <c r="WT1" t="s">
        <v>104</v>
      </c>
      <c r="WU1" t="s">
        <v>105</v>
      </c>
      <c r="WV1" t="s">
        <v>106</v>
      </c>
      <c r="WW1" t="s">
        <v>107</v>
      </c>
      <c r="WX1" t="s">
        <v>108</v>
      </c>
      <c r="WY1" t="s">
        <v>109</v>
      </c>
      <c r="WZ1" t="s">
        <v>110</v>
      </c>
      <c r="XA1" t="s">
        <v>111</v>
      </c>
      <c r="XB1" t="s">
        <v>1087</v>
      </c>
      <c r="XC1" t="s">
        <v>1088</v>
      </c>
      <c r="XD1" t="s">
        <v>1089</v>
      </c>
      <c r="XE1" t="s">
        <v>1090</v>
      </c>
      <c r="XF1" t="s">
        <v>1091</v>
      </c>
      <c r="XG1" t="s">
        <v>1092</v>
      </c>
      <c r="XH1" t="s">
        <v>46</v>
      </c>
      <c r="XI1" t="s">
        <v>47</v>
      </c>
      <c r="XJ1" t="s">
        <v>48</v>
      </c>
      <c r="XK1" t="s">
        <v>49</v>
      </c>
      <c r="XL1" t="s">
        <v>2027</v>
      </c>
      <c r="XM1" t="s">
        <v>2026</v>
      </c>
      <c r="XN1" t="s">
        <v>2028</v>
      </c>
      <c r="XO1" t="s">
        <v>2025</v>
      </c>
      <c r="XP1" t="s">
        <v>2029</v>
      </c>
      <c r="XQ1" t="s">
        <v>2024</v>
      </c>
      <c r="XR1" t="s">
        <v>2030</v>
      </c>
      <c r="XS1" t="s">
        <v>2023</v>
      </c>
      <c r="XT1" t="s">
        <v>2031</v>
      </c>
      <c r="XU1" t="s">
        <v>2022</v>
      </c>
      <c r="XV1" t="s">
        <v>2021</v>
      </c>
      <c r="XW1" t="s">
        <v>2020</v>
      </c>
      <c r="XX1" t="s">
        <v>2019</v>
      </c>
      <c r="XY1" t="s">
        <v>2018</v>
      </c>
      <c r="XZ1" t="s">
        <v>62</v>
      </c>
      <c r="YA1" t="s">
        <v>63</v>
      </c>
      <c r="YB1" t="s">
        <v>64</v>
      </c>
      <c r="YC1" t="s">
        <v>65</v>
      </c>
      <c r="YD1" t="s">
        <v>66</v>
      </c>
      <c r="YE1" t="s">
        <v>67</v>
      </c>
      <c r="YF1" t="s">
        <v>2033</v>
      </c>
      <c r="YG1" t="s">
        <v>2032</v>
      </c>
      <c r="YH1" t="s">
        <v>2035</v>
      </c>
      <c r="YI1" t="s">
        <v>2034</v>
      </c>
      <c r="YJ1" t="s">
        <v>2037</v>
      </c>
      <c r="YK1" t="s">
        <v>2036</v>
      </c>
      <c r="YL1" t="s">
        <v>2039</v>
      </c>
      <c r="YM1" t="s">
        <v>2038</v>
      </c>
      <c r="YN1" t="s">
        <v>2041</v>
      </c>
      <c r="YO1" t="s">
        <v>2040</v>
      </c>
      <c r="YP1" t="s">
        <v>2043</v>
      </c>
      <c r="YQ1" t="s">
        <v>2042</v>
      </c>
      <c r="YR1" t="s">
        <v>2044</v>
      </c>
      <c r="YS1" t="s">
        <v>2045</v>
      </c>
      <c r="YT1" t="s">
        <v>73</v>
      </c>
      <c r="YU1" t="s">
        <v>74</v>
      </c>
      <c r="YV1" t="s">
        <v>75</v>
      </c>
      <c r="YW1" t="s">
        <v>76</v>
      </c>
      <c r="YX1" t="s">
        <v>77</v>
      </c>
      <c r="YY1" t="s">
        <v>78</v>
      </c>
      <c r="YZ1" t="s">
        <v>79</v>
      </c>
      <c r="ZA1" t="s">
        <v>80</v>
      </c>
      <c r="ZB1" t="s">
        <v>81</v>
      </c>
      <c r="ZC1" t="s">
        <v>2046</v>
      </c>
      <c r="ZD1" t="s">
        <v>2047</v>
      </c>
      <c r="ZE1" t="s">
        <v>82</v>
      </c>
      <c r="ZF1" t="s">
        <v>2048</v>
      </c>
      <c r="ZG1" t="s">
        <v>83</v>
      </c>
      <c r="ZH1" t="s">
        <v>2049</v>
      </c>
      <c r="ZI1" t="s">
        <v>84</v>
      </c>
      <c r="ZJ1" t="s">
        <v>2050</v>
      </c>
      <c r="ZK1" t="s">
        <v>85</v>
      </c>
      <c r="ZL1" t="s">
        <v>87</v>
      </c>
      <c r="ZM1" t="s">
        <v>86</v>
      </c>
      <c r="ZN1" t="s">
        <v>89</v>
      </c>
      <c r="ZO1" t="s">
        <v>88</v>
      </c>
      <c r="ZP1" t="s">
        <v>91</v>
      </c>
      <c r="ZQ1" t="s">
        <v>90</v>
      </c>
      <c r="ZR1" t="s">
        <v>93</v>
      </c>
      <c r="ZS1" t="s">
        <v>92</v>
      </c>
      <c r="ZT1" t="s">
        <v>95</v>
      </c>
      <c r="ZU1" t="s">
        <v>94</v>
      </c>
      <c r="ZV1" t="s">
        <v>2051</v>
      </c>
      <c r="ZW1" t="s">
        <v>2052</v>
      </c>
      <c r="ZX1" t="s">
        <v>1999</v>
      </c>
      <c r="ZY1" t="s">
        <v>2000</v>
      </c>
      <c r="ZZ1" t="s">
        <v>2053</v>
      </c>
      <c r="AAA1" t="s">
        <v>2054</v>
      </c>
      <c r="AAB1" t="s">
        <v>2055</v>
      </c>
      <c r="AAC1" t="s">
        <v>2056</v>
      </c>
      <c r="AAD1" t="s">
        <v>2057</v>
      </c>
      <c r="AAE1" t="s">
        <v>2058</v>
      </c>
      <c r="AAF1" t="s">
        <v>2059</v>
      </c>
      <c r="AAG1" t="s">
        <v>2060</v>
      </c>
      <c r="AAH1" t="s">
        <v>31</v>
      </c>
      <c r="AAI1" t="s">
        <v>112</v>
      </c>
      <c r="AAJ1" t="s">
        <v>113</v>
      </c>
      <c r="AAK1" t="s">
        <v>114</v>
      </c>
      <c r="AAL1" t="s">
        <v>115</v>
      </c>
      <c r="AAM1" t="s">
        <v>116</v>
      </c>
      <c r="AAN1" t="s">
        <v>117</v>
      </c>
      <c r="AAO1" t="s">
        <v>118</v>
      </c>
      <c r="AAP1" t="s">
        <v>119</v>
      </c>
      <c r="AAQ1" t="s">
        <v>120</v>
      </c>
      <c r="AAR1" t="s">
        <v>121</v>
      </c>
      <c r="AAS1" t="s">
        <v>122</v>
      </c>
      <c r="AAT1" t="s">
        <v>123</v>
      </c>
      <c r="AAU1" t="s">
        <v>124</v>
      </c>
      <c r="AAV1" t="s">
        <v>125</v>
      </c>
      <c r="AAW1" t="s">
        <v>2061</v>
      </c>
      <c r="AAX1" t="s">
        <v>2062</v>
      </c>
      <c r="AAY1" t="s">
        <v>2063</v>
      </c>
      <c r="AAZ1" t="s">
        <v>2064</v>
      </c>
      <c r="ABA1" t="s">
        <v>2065</v>
      </c>
      <c r="ABB1" s="16" t="s">
        <v>2066</v>
      </c>
      <c r="ABC1" s="19" t="s">
        <v>1999</v>
      </c>
      <c r="ABD1" s="20" t="s">
        <v>2000</v>
      </c>
      <c r="ABE1" s="19" t="s">
        <v>2053</v>
      </c>
      <c r="ABF1" s="19" t="s">
        <v>2054</v>
      </c>
      <c r="ABG1" s="4" t="s">
        <v>35</v>
      </c>
      <c r="ABH1" s="32" t="s">
        <v>98</v>
      </c>
      <c r="ABI1" s="32" t="s">
        <v>99</v>
      </c>
      <c r="ABJ1" s="32" t="s">
        <v>100</v>
      </c>
      <c r="ABK1" s="32" t="s">
        <v>101</v>
      </c>
      <c r="ABL1" s="32" t="s">
        <v>102</v>
      </c>
      <c r="ABM1" s="32" t="s">
        <v>103</v>
      </c>
      <c r="ABN1" s="32" t="s">
        <v>104</v>
      </c>
      <c r="ABO1" s="32" t="s">
        <v>105</v>
      </c>
      <c r="ABP1" s="32" t="s">
        <v>37</v>
      </c>
      <c r="ABQ1" s="32" t="s">
        <v>36</v>
      </c>
      <c r="ABR1" s="32" t="s">
        <v>39</v>
      </c>
      <c r="ABS1" s="32" t="s">
        <v>38</v>
      </c>
      <c r="ABT1" s="32" t="s">
        <v>41</v>
      </c>
      <c r="ABU1" s="32" t="s">
        <v>40</v>
      </c>
      <c r="ABV1" s="5" t="s">
        <v>51</v>
      </c>
      <c r="ABW1" s="5" t="s">
        <v>50</v>
      </c>
      <c r="ABX1" s="5" t="s">
        <v>53</v>
      </c>
      <c r="ABY1" s="5" t="s">
        <v>52</v>
      </c>
      <c r="ABZ1" s="5" t="s">
        <v>55</v>
      </c>
      <c r="ACA1" s="5" t="s">
        <v>54</v>
      </c>
      <c r="ACB1" s="5" t="s">
        <v>57</v>
      </c>
      <c r="ACC1" s="5" t="s">
        <v>56</v>
      </c>
      <c r="ACD1" s="5" t="s">
        <v>404</v>
      </c>
      <c r="ACE1" s="5" t="s">
        <v>405</v>
      </c>
      <c r="ACF1" s="5" t="s">
        <v>406</v>
      </c>
      <c r="ACG1" s="5" t="s">
        <v>407</v>
      </c>
      <c r="ACH1" s="5" t="s">
        <v>408</v>
      </c>
      <c r="ACI1" s="5" t="s">
        <v>409</v>
      </c>
      <c r="ACJ1" s="5" t="s">
        <v>410</v>
      </c>
      <c r="ACK1" s="5" t="s">
        <v>2067</v>
      </c>
      <c r="ACL1" s="5" t="s">
        <v>73</v>
      </c>
      <c r="ACM1" s="5" t="s">
        <v>74</v>
      </c>
      <c r="ACN1" s="5" t="s">
        <v>75</v>
      </c>
      <c r="ACO1" s="5" t="s">
        <v>76</v>
      </c>
      <c r="ACP1" s="5" t="s">
        <v>68</v>
      </c>
      <c r="ACQ1" s="5" t="s">
        <v>69</v>
      </c>
      <c r="ACR1" s="5" t="s">
        <v>70</v>
      </c>
      <c r="ACS1" s="5" t="s">
        <v>71</v>
      </c>
      <c r="ACT1" s="5" t="s">
        <v>858</v>
      </c>
      <c r="ACU1" s="5" t="s">
        <v>859</v>
      </c>
      <c r="ACV1" s="5" t="s">
        <v>31</v>
      </c>
      <c r="ACW1" s="5" t="s">
        <v>112</v>
      </c>
      <c r="ACX1" s="5" t="s">
        <v>113</v>
      </c>
      <c r="ACY1" s="5" t="s">
        <v>114</v>
      </c>
      <c r="ACZ1" s="5" t="s">
        <v>115</v>
      </c>
      <c r="ADA1" s="5" t="s">
        <v>116</v>
      </c>
      <c r="ADB1" s="5" t="s">
        <v>117</v>
      </c>
      <c r="ADC1" s="5" t="s">
        <v>118</v>
      </c>
      <c r="ADD1" s="5" t="s">
        <v>119</v>
      </c>
      <c r="ADE1" s="42" t="s">
        <v>35</v>
      </c>
      <c r="ADF1" s="42" t="s">
        <v>98</v>
      </c>
      <c r="ADG1" s="42" t="s">
        <v>99</v>
      </c>
      <c r="ADH1" s="42" t="s">
        <v>100</v>
      </c>
      <c r="ADI1" s="42" t="s">
        <v>101</v>
      </c>
      <c r="ADJ1" s="42" t="s">
        <v>558</v>
      </c>
      <c r="ADK1" s="42" t="s">
        <v>557</v>
      </c>
      <c r="ADL1" s="42" t="s">
        <v>921</v>
      </c>
      <c r="ADM1" s="42" t="s">
        <v>922</v>
      </c>
      <c r="ADN1" s="42" t="s">
        <v>923</v>
      </c>
      <c r="ADO1" s="42" t="s">
        <v>862</v>
      </c>
      <c r="ADP1" s="42" t="s">
        <v>863</v>
      </c>
      <c r="ADQ1" s="42" t="s">
        <v>864</v>
      </c>
      <c r="ADR1" s="42" t="s">
        <v>2068</v>
      </c>
      <c r="ADS1" s="42" t="s">
        <v>2069</v>
      </c>
      <c r="ADT1" s="42" t="s">
        <v>2070</v>
      </c>
      <c r="ADU1" s="42" t="s">
        <v>924</v>
      </c>
      <c r="ADV1" s="52" t="s">
        <v>925</v>
      </c>
      <c r="ADW1" s="53" t="s">
        <v>2103</v>
      </c>
      <c r="ADX1" s="42" t="s">
        <v>2104</v>
      </c>
      <c r="ADY1" s="42" t="s">
        <v>1947</v>
      </c>
      <c r="ADZ1" s="42" t="s">
        <v>31</v>
      </c>
      <c r="AEA1" s="54" t="s">
        <v>112</v>
      </c>
      <c r="AEB1" t="s">
        <v>62</v>
      </c>
      <c r="AEC1" t="s">
        <v>63</v>
      </c>
      <c r="AED1" t="s">
        <v>73</v>
      </c>
      <c r="AEE1" s="5" t="s">
        <v>68</v>
      </c>
      <c r="AEF1" s="5" t="s">
        <v>69</v>
      </c>
      <c r="AEG1" s="5" t="s">
        <v>70</v>
      </c>
      <c r="AEH1" s="5" t="s">
        <v>71</v>
      </c>
      <c r="AEI1" s="60" t="s">
        <v>859</v>
      </c>
      <c r="AEJ1" s="60" t="s">
        <v>858</v>
      </c>
      <c r="AEK1" s="60" t="s">
        <v>404</v>
      </c>
      <c r="AEL1" s="60" t="s">
        <v>862</v>
      </c>
      <c r="AEM1" s="60" t="s">
        <v>863</v>
      </c>
    </row>
    <row r="2" spans="1:819" ht="15.75" thickBot="1" x14ac:dyDescent="0.3">
      <c r="A2" t="s">
        <v>2118</v>
      </c>
      <c r="B2" t="s">
        <v>2072</v>
      </c>
      <c r="P2" t="s">
        <v>2073</v>
      </c>
      <c r="T2" s="14" t="s">
        <v>2071</v>
      </c>
      <c r="U2">
        <v>1</v>
      </c>
      <c r="V2" s="15"/>
      <c r="W2" t="s">
        <v>2074</v>
      </c>
      <c r="X2" t="s">
        <v>400</v>
      </c>
      <c r="Y2" s="43" t="str" cm="1">
        <f t="array" ref="Y2">IF(COUNTIFS($X$2:$X2,$X2)=1,"1",VALUE(SUBSTITUTE(INDEX(Y:Y,_xlfn.XMATCH($X2,$X$1:$X1,0,-1)),"A",""))+INDEX(Z:Z,_xlfn.XMATCH($X2,$X$1:$X1,0,-1))+1)</f>
        <v>1</v>
      </c>
      <c r="Z2" s="43" cm="1">
        <f t="array" ref="Z2">SUM(IF(ISNUMBER(FIND("TmAi",$BE$1:$AAL$1)),IF(IFERROR(ISODD(SUBSTITUTE($BE2:$AAL2,"A","")),FALSE),IF(ISODD(SUBSTITUTE($BE2:$AAL2,"A","")),1,0),0)))</f>
        <v>10</v>
      </c>
      <c r="AA2" t="str">
        <f t="shared" ref="AA2:AA3" si="0">CONCATENATE($Y2*2-1,"A")</f>
        <v>1A</v>
      </c>
      <c r="AB2" t="str">
        <f t="shared" ref="AB2:AB3" si="1">CONCATENATE($Y2*2-1,"B")</f>
        <v>1B</v>
      </c>
      <c r="AP2" t="s">
        <v>2077</v>
      </c>
      <c r="AS2" t="s">
        <v>396</v>
      </c>
      <c r="JZ2" s="27"/>
      <c r="KS2" s="16"/>
      <c r="PZ2" s="25" t="str">
        <f>REPLACE(X2,FIND(".",X2)+1,3,MID(X2,FIND(".",X2)+1,3)+1)</f>
        <v>A3.2</v>
      </c>
      <c r="QA2" s="12" t="str">
        <f>CONCATENATE(VALUE(SUBSTITUTE($AB2,"B",""))+2,"B")</f>
        <v>3B</v>
      </c>
      <c r="QB2" s="12" t="str">
        <f>CONCATENATE(VALUE(SUBSTITUTE($AA2,"A",""))+2,"A")</f>
        <v>3A</v>
      </c>
      <c r="QC2" s="12" t="str">
        <f>CONCATENATE(VALUE(SUBSTITUTE(QA2,"B",""))+2,"B")</f>
        <v>5B</v>
      </c>
      <c r="QD2" s="12" t="str">
        <f>CONCATENATE(VALUE(SUBSTITUTE(QB2,"A",""))+2,"A")</f>
        <v>5A</v>
      </c>
      <c r="QE2" s="12" t="str">
        <f t="shared" ref="QE2" si="2">CONCATENATE(VALUE(SUBSTITUTE(QC2,"B",""))+2,"B")</f>
        <v>7B</v>
      </c>
      <c r="QF2" s="12" t="str">
        <f t="shared" ref="QF2" si="3">CONCATENATE(VALUE(SUBSTITUTE(QD2,"A",""))+2,"A")</f>
        <v>7A</v>
      </c>
      <c r="QG2" s="12" t="str">
        <f t="shared" ref="QG2" si="4">CONCATENATE(VALUE(SUBSTITUTE(QE2,"B",""))+2,"B")</f>
        <v>9B</v>
      </c>
      <c r="QH2" s="12" t="str">
        <f t="shared" ref="QH2" si="5">CONCATENATE(VALUE(SUBSTITUTE(QF2,"A",""))+2,"A")</f>
        <v>9A</v>
      </c>
      <c r="QI2" s="12" t="str">
        <f t="shared" ref="QI2" si="6">CONCATENATE(VALUE(SUBSTITUTE(QG2,"B",""))+2,"B")</f>
        <v>11B</v>
      </c>
      <c r="QJ2" s="12" t="str">
        <f t="shared" ref="QJ2" si="7">CONCATENATE(VALUE(SUBSTITUTE(QH2,"A",""))+2,"A")</f>
        <v>11A</v>
      </c>
      <c r="QK2" s="12" t="s">
        <v>135</v>
      </c>
      <c r="QL2" s="12" t="s">
        <v>136</v>
      </c>
      <c r="QM2" s="12" t="str">
        <f t="shared" ref="QM2" si="8">CONCATENATE(VALUE(SUBSTITUTE(QK2,"B",""))+2,"B")</f>
        <v>3B</v>
      </c>
      <c r="QN2" s="12" t="str">
        <f t="shared" ref="QN2" si="9">CONCATENATE(VALUE(SUBSTITUTE(QL2,"A",""))+2,"A")</f>
        <v>3A</v>
      </c>
      <c r="QO2" s="12" t="str">
        <f t="shared" ref="QO2" si="10">CONCATENATE(VALUE(SUBSTITUTE(QM2,"B",""))+2,"B")</f>
        <v>5B</v>
      </c>
      <c r="QP2" s="12" t="str">
        <f t="shared" ref="QP2" si="11">CONCATENATE(VALUE(SUBSTITUTE(QN2,"A",""))+2,"A")</f>
        <v>5A</v>
      </c>
      <c r="QQ2" s="12" t="str">
        <f t="shared" ref="QQ2" si="12">CONCATENATE(VALUE(SUBSTITUTE(QO2,"B",""))+2,"B")</f>
        <v>7B</v>
      </c>
      <c r="QR2" s="12" t="str">
        <f t="shared" ref="QR2" si="13">CONCATENATE(VALUE(SUBSTITUTE(QP2,"A",""))+2,"A")</f>
        <v>7A</v>
      </c>
      <c r="QS2" s="12" t="str">
        <f t="shared" ref="QS2" si="14">CONCATENATE(VALUE(SUBSTITUTE(QQ2,"B",""))+2,"B")</f>
        <v>9B</v>
      </c>
      <c r="QT2" s="12" t="str">
        <f t="shared" ref="QT2" si="15">CONCATENATE(VALUE(SUBSTITUTE(QR2,"A",""))+2,"A")</f>
        <v>9A</v>
      </c>
      <c r="QU2" s="12"/>
      <c r="QV2" s="12"/>
      <c r="QW2" s="12" t="str">
        <f>CONCATENATE($T2,"-AI",REPLACE($X2,1,3,""),"-",AB2)</f>
        <v>E3-AI1-1B</v>
      </c>
      <c r="QX2" s="12" t="str">
        <f>CONCATENATE($T2,"-AI",REPLACE($X2,1,3,""),"-",AA2)</f>
        <v>E3-AI1-1A</v>
      </c>
      <c r="QY2" s="12" t="str">
        <f>CONCATENATE($T2,"-AI",REPLACE($X2,1,3,""),"-",QA2)</f>
        <v>E3-AI1-3B</v>
      </c>
      <c r="QZ2" s="12" t="str">
        <f>CONCATENATE($T2,"-AI",REPLACE($X2,1,3,""),"-",QB2)</f>
        <v>E3-AI1-3A</v>
      </c>
      <c r="RA2" s="12" t="str">
        <f t="shared" ref="RA2" si="16">CONCATENATE($T2,"-AI",REPLACE($X2,1,3,""),"-",QC2)</f>
        <v>E3-AI1-5B</v>
      </c>
      <c r="RB2" s="12" t="str">
        <f t="shared" ref="RB2" si="17">CONCATENATE($T2,"-AI",REPLACE($X2,1,3,""),"-",QD2)</f>
        <v>E3-AI1-5A</v>
      </c>
      <c r="RC2" s="12" t="str">
        <f t="shared" ref="RC2" si="18">CONCATENATE($T2,"-AI",REPLACE($X2,1,3,""),"-",QE2)</f>
        <v>E3-AI1-7B</v>
      </c>
      <c r="RD2" s="12" t="str">
        <f t="shared" ref="RD2" si="19">CONCATENATE($T2,"-AI",REPLACE($X2,1,3,""),"-",QF2)</f>
        <v>E3-AI1-7A</v>
      </c>
      <c r="RE2" s="12" t="str">
        <f t="shared" ref="RE2" si="20">CONCATENATE($T2,"-AI",REPLACE($X2,1,3,""),"-",QG2)</f>
        <v>E3-AI1-9B</v>
      </c>
      <c r="RF2" s="12" t="str">
        <f t="shared" ref="RF2" si="21">CONCATENATE($T2,"-AI",REPLACE($X2,1,3,""),"-",QH2)</f>
        <v>E3-AI1-9A</v>
      </c>
      <c r="RG2" s="12" t="str">
        <f t="shared" ref="RG2" si="22">CONCATENATE($T2,"-AI",REPLACE($X2,1,3,""),"-",QI2)</f>
        <v>E3-AI1-11B</v>
      </c>
      <c r="RH2" s="12" t="str">
        <f t="shared" ref="RH2" si="23">CONCATENATE($T2,"-AI",REPLACE($X2,1,3,""),"-",QJ2)</f>
        <v>E3-AI1-11A</v>
      </c>
      <c r="RI2" s="12" t="str">
        <f t="shared" ref="RI2" si="24">CONCATENATE($T2,"-AI",REPLACE($PZ2,1,3,""),"-",QK2)</f>
        <v>E3-AI2-1B</v>
      </c>
      <c r="RJ2" s="12" t="str">
        <f t="shared" ref="RJ2" si="25">CONCATENATE($T2,"-AI",REPLACE($PZ2,1,3,""),"-",QL2)</f>
        <v>E3-AI2-1A</v>
      </c>
      <c r="RK2" s="12" t="str">
        <f t="shared" ref="RK2" si="26">CONCATENATE($T2,"-AI",REPLACE($PZ2,1,3,""),"-",QM2)</f>
        <v>E3-AI2-3B</v>
      </c>
      <c r="RL2" s="12" t="str">
        <f t="shared" ref="RL2" si="27">CONCATENATE($T2,"-AI",REPLACE($PZ2,1,3,""),"-",QN2)</f>
        <v>E3-AI2-3A</v>
      </c>
      <c r="RM2" s="12" t="str">
        <f t="shared" ref="RM2" si="28">CONCATENATE($T2,"-AI",REPLACE($PZ2,1,3,""),"-",QO2)</f>
        <v>E3-AI2-5B</v>
      </c>
      <c r="RN2" s="12" t="str">
        <f t="shared" ref="RN2" si="29">CONCATENATE($T2,"-AI",REPLACE($PZ2,1,3,""),"-",QP2)</f>
        <v>E3-AI2-5A</v>
      </c>
      <c r="RO2" s="12" t="str">
        <f t="shared" ref="RO2" si="30">CONCATENATE($T2,"-AI",REPLACE($PZ2,1,3,""),"-",QQ2)</f>
        <v>E3-AI2-7B</v>
      </c>
      <c r="RP2" s="12" t="str">
        <f t="shared" ref="RP2" si="31">CONCATENATE($T2,"-AI",REPLACE($PZ2,1,3,""),"-",QR2)</f>
        <v>E3-AI2-7A</v>
      </c>
      <c r="RQ2" s="12" t="str">
        <f t="shared" ref="RQ2" si="32">CONCATENATE($T2,"-AI",REPLACE($PZ2,1,3,""),"-",QS2)</f>
        <v>E3-AI2-9B</v>
      </c>
      <c r="RR2" s="12" t="str">
        <f t="shared" ref="RR2" si="33">CONCATENATE($T2,"-AI",REPLACE($PZ2,1,3,""),"-",QT2)</f>
        <v>E3-AI2-9A</v>
      </c>
      <c r="RS2" s="12"/>
      <c r="RT2" s="12"/>
      <c r="RU2" s="12" t="str">
        <f t="shared" ref="RU2:RU3" si="34">CONCATENATE("XT",$U2)</f>
        <v>XT1</v>
      </c>
      <c r="RV2" s="12">
        <v>1</v>
      </c>
      <c r="RW2" s="12">
        <f>RV2+1</f>
        <v>2</v>
      </c>
      <c r="RX2" s="12">
        <f t="shared" ref="RX2" si="35">RW2+1</f>
        <v>3</v>
      </c>
      <c r="RY2" s="12">
        <f t="shared" ref="RY2" si="36">RX2+1</f>
        <v>4</v>
      </c>
      <c r="RZ2" s="12">
        <f t="shared" ref="RZ2" si="37">RY2+1</f>
        <v>5</v>
      </c>
      <c r="SA2" s="12">
        <f t="shared" ref="SA2" si="38">RZ2+1</f>
        <v>6</v>
      </c>
      <c r="SB2" s="12">
        <f t="shared" ref="SB2" si="39">SA2+1</f>
        <v>7</v>
      </c>
      <c r="SC2" s="12">
        <f t="shared" ref="SC2" si="40">SB2+1</f>
        <v>8</v>
      </c>
      <c r="SD2" s="12">
        <f t="shared" ref="SD2" si="41">SC2+1</f>
        <v>9</v>
      </c>
      <c r="SE2" s="12">
        <f t="shared" ref="SE2" si="42">SD2+1</f>
        <v>10</v>
      </c>
      <c r="SF2" s="12">
        <f t="shared" ref="SF2" si="43">SE2+1</f>
        <v>11</v>
      </c>
      <c r="SG2" s="12">
        <f t="shared" ref="SG2" si="44">SF2+1</f>
        <v>12</v>
      </c>
      <c r="SH2" s="12">
        <f t="shared" ref="SH2" si="45">SG2+1</f>
        <v>13</v>
      </c>
      <c r="SI2" s="12">
        <f t="shared" ref="SI2" si="46">SH2+1</f>
        <v>14</v>
      </c>
      <c r="SJ2" s="12">
        <f t="shared" ref="SJ2" si="47">SI2+1</f>
        <v>15</v>
      </c>
      <c r="SK2" s="12">
        <f t="shared" ref="SK2" si="48">SJ2+1</f>
        <v>16</v>
      </c>
      <c r="SL2" s="12">
        <f t="shared" ref="SL2" si="49">SK2+1</f>
        <v>17</v>
      </c>
      <c r="SM2" s="12">
        <f t="shared" ref="SM2" si="50">SL2+1</f>
        <v>18</v>
      </c>
      <c r="SN2" s="12">
        <f t="shared" ref="SN2" si="51">SM2+1</f>
        <v>19</v>
      </c>
      <c r="SO2" s="12">
        <f t="shared" ref="SO2" si="52">SN2+1</f>
        <v>20</v>
      </c>
      <c r="SP2" s="12">
        <f t="shared" ref="SP2" si="53">SO2+1</f>
        <v>21</v>
      </c>
      <c r="SQ2" s="12">
        <f t="shared" ref="SQ2" si="54">SP2+1</f>
        <v>22</v>
      </c>
      <c r="SR2" s="12">
        <f t="shared" ref="SR2" si="55">SQ2+1</f>
        <v>23</v>
      </c>
      <c r="SS2" s="12"/>
      <c r="ST2" s="12"/>
      <c r="SU2" s="12" t="s">
        <v>2132</v>
      </c>
      <c r="SV2" s="12" t="s">
        <v>2133</v>
      </c>
      <c r="SW2" s="12" t="s">
        <v>2134</v>
      </c>
      <c r="SX2" s="12" t="s">
        <v>2135</v>
      </c>
      <c r="SY2" s="12" t="s">
        <v>2136</v>
      </c>
      <c r="SZ2" s="12" t="s">
        <v>2137</v>
      </c>
      <c r="TA2" s="12" t="s">
        <v>2138</v>
      </c>
      <c r="TB2" s="12" t="s">
        <v>2139</v>
      </c>
      <c r="TC2" s="12" t="s">
        <v>2140</v>
      </c>
      <c r="TD2" s="12" t="s">
        <v>2141</v>
      </c>
      <c r="TE2" s="12" t="s">
        <v>2142</v>
      </c>
      <c r="TF2" s="12"/>
      <c r="TG2" s="12" t="s">
        <v>2078</v>
      </c>
      <c r="TH2" s="12" t="s">
        <v>2079</v>
      </c>
      <c r="TI2" s="12" t="s">
        <v>2080</v>
      </c>
      <c r="TJ2" s="12" t="s">
        <v>2081</v>
      </c>
      <c r="TK2" s="12" t="s">
        <v>2082</v>
      </c>
      <c r="TL2" s="12" t="s">
        <v>2083</v>
      </c>
      <c r="TM2" s="12" t="s">
        <v>2084</v>
      </c>
      <c r="TN2" s="12" t="s">
        <v>2085</v>
      </c>
      <c r="TO2" s="12" t="s">
        <v>2086</v>
      </c>
      <c r="TP2" s="12" t="s">
        <v>2087</v>
      </c>
      <c r="TQ2" s="12" t="s">
        <v>2088</v>
      </c>
      <c r="TR2" s="13"/>
    </row>
    <row r="3" spans="1:819" ht="15.75" thickBot="1" x14ac:dyDescent="0.3">
      <c r="A3" t="s">
        <v>2119</v>
      </c>
      <c r="B3" t="s">
        <v>2076</v>
      </c>
      <c r="P3" t="s">
        <v>2073</v>
      </c>
      <c r="T3" s="14" t="s">
        <v>2071</v>
      </c>
      <c r="U3">
        <v>2</v>
      </c>
      <c r="V3" s="15"/>
      <c r="W3" t="s">
        <v>2075</v>
      </c>
      <c r="X3" t="s">
        <v>484</v>
      </c>
      <c r="Y3" s="43" t="str" cm="1">
        <f t="array" ref="Y3">IF(COUNTIFS($X$2:$X3,$X3)=1,"1",VALUE(SUBSTITUTE(INDEX(Y:Y,_xlfn.XMATCH($X3,$X$1:$X2,0,-1)),"A",""))+INDEX(Z:Z,_xlfn.XMATCH($X3,$X$1:$X2,0,-1))+1)</f>
        <v>1</v>
      </c>
      <c r="Z3" s="43" cm="1">
        <f t="array" ref="Z3">SUM(IF(ISNUMBER(FIND("TmAi",$BE$1:$AAL$1)),IF(IFERROR(ISODD(SUBSTITUTE($BE3:$AAL3,"A","")),FALSE),IF(ISODD(SUBSTITUTE($BE3:$AAL3,"A","")),1,0),0)))</f>
        <v>10</v>
      </c>
      <c r="AA3" t="str">
        <f t="shared" si="0"/>
        <v>1A</v>
      </c>
      <c r="AB3" t="str">
        <f t="shared" si="1"/>
        <v>1B</v>
      </c>
      <c r="AP3" t="s">
        <v>2077</v>
      </c>
      <c r="AS3" t="s">
        <v>396</v>
      </c>
      <c r="JZ3" s="27"/>
      <c r="KS3" s="16"/>
      <c r="PZ3" s="25" t="str">
        <f>REPLACE(X3,FIND(".",X3)+1,3,MID(X3,FIND(".",X3)+1,3)+1)</f>
        <v>A3.4</v>
      </c>
      <c r="QA3" s="12" t="str">
        <f>CONCATENATE(VALUE(SUBSTITUTE($AB3,"B",""))+2,"B")</f>
        <v>3B</v>
      </c>
      <c r="QB3" s="12" t="str">
        <f>CONCATENATE(VALUE(SUBSTITUTE($AA3,"A",""))+2,"A")</f>
        <v>3A</v>
      </c>
      <c r="QC3" s="12" t="str">
        <f>CONCATENATE(VALUE(SUBSTITUTE(QA3,"B",""))+2,"B")</f>
        <v>5B</v>
      </c>
      <c r="QD3" s="12" t="str">
        <f>CONCATENATE(VALUE(SUBSTITUTE(QB3,"A",""))+2,"A")</f>
        <v>5A</v>
      </c>
      <c r="QE3" s="12" t="str">
        <f t="shared" ref="QE3" si="56">CONCATENATE(VALUE(SUBSTITUTE(QC3,"B",""))+2,"B")</f>
        <v>7B</v>
      </c>
      <c r="QF3" s="12" t="str">
        <f t="shared" ref="QF3" si="57">CONCATENATE(VALUE(SUBSTITUTE(QD3,"A",""))+2,"A")</f>
        <v>7A</v>
      </c>
      <c r="QG3" s="12" t="str">
        <f t="shared" ref="QG3" si="58">CONCATENATE(VALUE(SUBSTITUTE(QE3,"B",""))+2,"B")</f>
        <v>9B</v>
      </c>
      <c r="QH3" s="12" t="str">
        <f t="shared" ref="QH3" si="59">CONCATENATE(VALUE(SUBSTITUTE(QF3,"A",""))+2,"A")</f>
        <v>9A</v>
      </c>
      <c r="QI3" s="12" t="str">
        <f t="shared" ref="QI3" si="60">CONCATENATE(VALUE(SUBSTITUTE(QG3,"B",""))+2,"B")</f>
        <v>11B</v>
      </c>
      <c r="QJ3" s="12" t="str">
        <f t="shared" ref="QJ3" si="61">CONCATENATE(VALUE(SUBSTITUTE(QH3,"A",""))+2,"A")</f>
        <v>11A</v>
      </c>
      <c r="QK3" s="12" t="s">
        <v>135</v>
      </c>
      <c r="QL3" s="12" t="s">
        <v>136</v>
      </c>
      <c r="QM3" s="12" t="str">
        <f t="shared" ref="QM3" si="62">CONCATENATE(VALUE(SUBSTITUTE(QK3,"B",""))+2,"B")</f>
        <v>3B</v>
      </c>
      <c r="QN3" s="12" t="str">
        <f t="shared" ref="QN3" si="63">CONCATENATE(VALUE(SUBSTITUTE(QL3,"A",""))+2,"A")</f>
        <v>3A</v>
      </c>
      <c r="QO3" s="12" t="str">
        <f t="shared" ref="QO3" si="64">CONCATENATE(VALUE(SUBSTITUTE(QM3,"B",""))+2,"B")</f>
        <v>5B</v>
      </c>
      <c r="QP3" s="12" t="str">
        <f t="shared" ref="QP3" si="65">CONCATENATE(VALUE(SUBSTITUTE(QN3,"A",""))+2,"A")</f>
        <v>5A</v>
      </c>
      <c r="QQ3" s="12" t="str">
        <f t="shared" ref="QQ3" si="66">CONCATENATE(VALUE(SUBSTITUTE(QO3,"B",""))+2,"B")</f>
        <v>7B</v>
      </c>
      <c r="QR3" s="12" t="str">
        <f t="shared" ref="QR3" si="67">CONCATENATE(VALUE(SUBSTITUTE(QP3,"A",""))+2,"A")</f>
        <v>7A</v>
      </c>
      <c r="QS3" s="12" t="str">
        <f t="shared" ref="QS3" si="68">CONCATENATE(VALUE(SUBSTITUTE(QQ3,"B",""))+2,"B")</f>
        <v>9B</v>
      </c>
      <c r="QT3" s="12" t="str">
        <f t="shared" ref="QT3" si="69">CONCATENATE(VALUE(SUBSTITUTE(QR3,"A",""))+2,"A")</f>
        <v>9A</v>
      </c>
      <c r="QU3" s="12"/>
      <c r="QV3" s="12"/>
      <c r="QW3" s="12" t="str">
        <f>CONCATENATE($T3,"-AI",REPLACE($X3,1,3,""),"-",AB3)</f>
        <v>E3-AI3-1B</v>
      </c>
      <c r="QX3" s="12" t="str">
        <f>CONCATENATE($T3,"-AI",REPLACE($X3,1,3,""),"-",AA3)</f>
        <v>E3-AI3-1A</v>
      </c>
      <c r="QY3" s="12" t="str">
        <f>CONCATENATE($T3,"-AI",REPLACE($X3,1,3,""),"-",QA3)</f>
        <v>E3-AI3-3B</v>
      </c>
      <c r="QZ3" s="12" t="str">
        <f>CONCATENATE($T3,"-AI",REPLACE($X3,1,3,""),"-",QB3)</f>
        <v>E3-AI3-3A</v>
      </c>
      <c r="RA3" s="12" t="str">
        <f t="shared" ref="RA3" si="70">CONCATENATE($T3,"-AI",REPLACE($X3,1,3,""),"-",QC3)</f>
        <v>E3-AI3-5B</v>
      </c>
      <c r="RB3" s="12" t="str">
        <f t="shared" ref="RB3" si="71">CONCATENATE($T3,"-AI",REPLACE($X3,1,3,""),"-",QD3)</f>
        <v>E3-AI3-5A</v>
      </c>
      <c r="RC3" s="12" t="str">
        <f t="shared" ref="RC3" si="72">CONCATENATE($T3,"-AI",REPLACE($X3,1,3,""),"-",QE3)</f>
        <v>E3-AI3-7B</v>
      </c>
      <c r="RD3" s="12" t="str">
        <f t="shared" ref="RD3" si="73">CONCATENATE($T3,"-AI",REPLACE($X3,1,3,""),"-",QF3)</f>
        <v>E3-AI3-7A</v>
      </c>
      <c r="RE3" s="12" t="str">
        <f t="shared" ref="RE3" si="74">CONCATENATE($T3,"-AI",REPLACE($X3,1,3,""),"-",QG3)</f>
        <v>E3-AI3-9B</v>
      </c>
      <c r="RF3" s="12" t="str">
        <f t="shared" ref="RF3" si="75">CONCATENATE($T3,"-AI",REPLACE($X3,1,3,""),"-",QH3)</f>
        <v>E3-AI3-9A</v>
      </c>
      <c r="RG3" s="12" t="str">
        <f t="shared" ref="RG3" si="76">CONCATENATE($T3,"-AI",REPLACE($X3,1,3,""),"-",QI3)</f>
        <v>E3-AI3-11B</v>
      </c>
      <c r="RH3" s="12" t="str">
        <f t="shared" ref="RH3" si="77">CONCATENATE($T3,"-AI",REPLACE($X3,1,3,""),"-",QJ3)</f>
        <v>E3-AI3-11A</v>
      </c>
      <c r="RI3" s="12" t="str">
        <f t="shared" ref="RI3" si="78">CONCATENATE($T3,"-AI",REPLACE($PZ3,1,3,""),"-",QK3)</f>
        <v>E3-AI4-1B</v>
      </c>
      <c r="RJ3" s="12" t="str">
        <f t="shared" ref="RJ3" si="79">CONCATENATE($T3,"-AI",REPLACE($PZ3,1,3,""),"-",QL3)</f>
        <v>E3-AI4-1A</v>
      </c>
      <c r="RK3" s="12" t="str">
        <f t="shared" ref="RK3" si="80">CONCATENATE($T3,"-AI",REPLACE($PZ3,1,3,""),"-",QM3)</f>
        <v>E3-AI4-3B</v>
      </c>
      <c r="RL3" s="12" t="str">
        <f t="shared" ref="RL3" si="81">CONCATENATE($T3,"-AI",REPLACE($PZ3,1,3,""),"-",QN3)</f>
        <v>E3-AI4-3A</v>
      </c>
      <c r="RM3" s="12" t="str">
        <f t="shared" ref="RM3" si="82">CONCATENATE($T3,"-AI",REPLACE($PZ3,1,3,""),"-",QO3)</f>
        <v>E3-AI4-5B</v>
      </c>
      <c r="RN3" s="12" t="str">
        <f t="shared" ref="RN3" si="83">CONCATENATE($T3,"-AI",REPLACE($PZ3,1,3,""),"-",QP3)</f>
        <v>E3-AI4-5A</v>
      </c>
      <c r="RO3" s="12" t="str">
        <f t="shared" ref="RO3" si="84">CONCATENATE($T3,"-AI",REPLACE($PZ3,1,3,""),"-",QQ3)</f>
        <v>E3-AI4-7B</v>
      </c>
      <c r="RP3" s="12" t="str">
        <f t="shared" ref="RP3" si="85">CONCATENATE($T3,"-AI",REPLACE($PZ3,1,3,""),"-",QR3)</f>
        <v>E3-AI4-7A</v>
      </c>
      <c r="RQ3" s="12" t="str">
        <f t="shared" ref="RQ3" si="86">CONCATENATE($T3,"-AI",REPLACE($PZ3,1,3,""),"-",QS3)</f>
        <v>E3-AI4-9B</v>
      </c>
      <c r="RR3" s="12" t="str">
        <f t="shared" ref="RR3" si="87">CONCATENATE($T3,"-AI",REPLACE($PZ3,1,3,""),"-",QT3)</f>
        <v>E3-AI4-9A</v>
      </c>
      <c r="RS3" s="12"/>
      <c r="RT3" s="12"/>
      <c r="RU3" s="12" t="str">
        <f t="shared" si="34"/>
        <v>XT2</v>
      </c>
      <c r="RV3" s="12">
        <v>1</v>
      </c>
      <c r="RW3" s="12">
        <f>RV3+1</f>
        <v>2</v>
      </c>
      <c r="RX3" s="12">
        <f t="shared" ref="RX3" si="88">RW3+1</f>
        <v>3</v>
      </c>
      <c r="RY3" s="12">
        <f t="shared" ref="RY3" si="89">RX3+1</f>
        <v>4</v>
      </c>
      <c r="RZ3" s="12">
        <f t="shared" ref="RZ3" si="90">RY3+1</f>
        <v>5</v>
      </c>
      <c r="SA3" s="12">
        <f t="shared" ref="SA3" si="91">RZ3+1</f>
        <v>6</v>
      </c>
      <c r="SB3" s="12">
        <f t="shared" ref="SB3" si="92">SA3+1</f>
        <v>7</v>
      </c>
      <c r="SC3" s="12">
        <f t="shared" ref="SC3" si="93">SB3+1</f>
        <v>8</v>
      </c>
      <c r="SD3" s="12">
        <f t="shared" ref="SD3" si="94">SC3+1</f>
        <v>9</v>
      </c>
      <c r="SE3" s="12">
        <f t="shared" ref="SE3" si="95">SD3+1</f>
        <v>10</v>
      </c>
      <c r="SF3" s="12">
        <f t="shared" ref="SF3" si="96">SE3+1</f>
        <v>11</v>
      </c>
      <c r="SG3" s="12">
        <f t="shared" ref="SG3" si="97">SF3+1</f>
        <v>12</v>
      </c>
      <c r="SH3" s="12">
        <f t="shared" ref="SH3" si="98">SG3+1</f>
        <v>13</v>
      </c>
      <c r="SI3" s="12">
        <f t="shared" ref="SI3" si="99">SH3+1</f>
        <v>14</v>
      </c>
      <c r="SJ3" s="12">
        <f t="shared" ref="SJ3" si="100">SI3+1</f>
        <v>15</v>
      </c>
      <c r="SK3" s="12">
        <f t="shared" ref="SK3" si="101">SJ3+1</f>
        <v>16</v>
      </c>
      <c r="SL3" s="12">
        <f t="shared" ref="SL3" si="102">SK3+1</f>
        <v>17</v>
      </c>
      <c r="SM3" s="12">
        <f t="shared" ref="SM3" si="103">SL3+1</f>
        <v>18</v>
      </c>
      <c r="SN3" s="12">
        <f t="shared" ref="SN3" si="104">SM3+1</f>
        <v>19</v>
      </c>
      <c r="SO3" s="12">
        <f t="shared" ref="SO3" si="105">SN3+1</f>
        <v>20</v>
      </c>
      <c r="SP3" s="12">
        <f t="shared" ref="SP3" si="106">SO3+1</f>
        <v>21</v>
      </c>
      <c r="SQ3" s="12">
        <f t="shared" ref="SQ3" si="107">SP3+1</f>
        <v>22</v>
      </c>
      <c r="SR3" s="12">
        <f t="shared" ref="SR3" si="108">SQ3+1</f>
        <v>23</v>
      </c>
      <c r="SS3" s="12"/>
      <c r="ST3" s="12"/>
      <c r="SU3" s="12" t="s">
        <v>2143</v>
      </c>
      <c r="SV3" s="12" t="s">
        <v>2144</v>
      </c>
      <c r="SW3" s="12" t="s">
        <v>2145</v>
      </c>
      <c r="SX3" s="12" t="s">
        <v>2146</v>
      </c>
      <c r="SY3" s="12" t="s">
        <v>2147</v>
      </c>
      <c r="SZ3" s="12" t="s">
        <v>2148</v>
      </c>
      <c r="TA3" s="12" t="s">
        <v>2149</v>
      </c>
      <c r="TB3" s="12" t="s">
        <v>2150</v>
      </c>
      <c r="TC3" s="12" t="s">
        <v>2151</v>
      </c>
      <c r="TD3" s="12" t="s">
        <v>2152</v>
      </c>
      <c r="TE3" s="12" t="s">
        <v>2153</v>
      </c>
      <c r="TF3" s="12"/>
      <c r="TG3" s="12" t="s">
        <v>2078</v>
      </c>
      <c r="TH3" s="12" t="s">
        <v>2079</v>
      </c>
      <c r="TI3" s="12" t="s">
        <v>2080</v>
      </c>
      <c r="TJ3" s="12" t="s">
        <v>2081</v>
      </c>
      <c r="TK3" s="12" t="s">
        <v>2082</v>
      </c>
      <c r="TL3" s="12" t="s">
        <v>2083</v>
      </c>
      <c r="TM3" s="12" t="s">
        <v>2084</v>
      </c>
      <c r="TN3" s="12" t="s">
        <v>2085</v>
      </c>
      <c r="TO3" s="12" t="s">
        <v>2086</v>
      </c>
      <c r="TP3" s="12" t="s">
        <v>2087</v>
      </c>
      <c r="TQ3" s="12" t="s">
        <v>2088</v>
      </c>
      <c r="TR3" s="13"/>
    </row>
    <row r="4" spans="1:819" x14ac:dyDescent="0.25">
      <c r="A4" t="s">
        <v>2120</v>
      </c>
      <c r="B4" t="s">
        <v>2107</v>
      </c>
      <c r="C4" t="s">
        <v>2311</v>
      </c>
      <c r="P4" t="s">
        <v>2090</v>
      </c>
      <c r="T4" s="14" t="s">
        <v>2071</v>
      </c>
      <c r="V4" t="s">
        <v>2089</v>
      </c>
      <c r="AP4" t="s">
        <v>137</v>
      </c>
      <c r="ADW4" s="25" t="s">
        <v>2105</v>
      </c>
      <c r="ADX4" s="12">
        <v>5</v>
      </c>
      <c r="ADY4" s="12" t="str">
        <f t="shared" ref="ADY4:ADY15" si="109">V4</f>
        <v>E3-3</v>
      </c>
      <c r="ADZ4" s="12"/>
      <c r="AEA4" s="13" t="s">
        <v>2106</v>
      </c>
    </row>
    <row r="5" spans="1:819" x14ac:dyDescent="0.25">
      <c r="A5" t="s">
        <v>2121</v>
      </c>
      <c r="B5" t="s">
        <v>2188</v>
      </c>
      <c r="C5" t="s">
        <v>2311</v>
      </c>
      <c r="P5" t="s">
        <v>2090</v>
      </c>
      <c r="T5" s="14" t="s">
        <v>2071</v>
      </c>
      <c r="V5" t="s">
        <v>2092</v>
      </c>
      <c r="AP5" t="s">
        <v>137</v>
      </c>
      <c r="ADW5" s="27" t="s">
        <v>2105</v>
      </c>
      <c r="ADX5">
        <v>8</v>
      </c>
      <c r="ADY5" t="str">
        <f t="shared" si="109"/>
        <v>E3-4</v>
      </c>
      <c r="AEA5" s="16" t="s">
        <v>2106</v>
      </c>
    </row>
    <row r="6" spans="1:819" x14ac:dyDescent="0.25">
      <c r="A6" t="s">
        <v>2122</v>
      </c>
      <c r="B6" t="s">
        <v>2108</v>
      </c>
      <c r="C6" t="s">
        <v>2311</v>
      </c>
      <c r="P6" t="s">
        <v>2090</v>
      </c>
      <c r="T6" s="14" t="s">
        <v>2071</v>
      </c>
      <c r="V6" t="s">
        <v>2093</v>
      </c>
      <c r="AP6" t="s">
        <v>137</v>
      </c>
      <c r="ADW6" s="27" t="s">
        <v>2105</v>
      </c>
      <c r="ADX6">
        <v>1</v>
      </c>
      <c r="ADY6" t="str">
        <f t="shared" si="109"/>
        <v>E3-5</v>
      </c>
      <c r="AEA6" s="16" t="s">
        <v>2106</v>
      </c>
    </row>
    <row r="7" spans="1:819" x14ac:dyDescent="0.25">
      <c r="A7" t="s">
        <v>2123</v>
      </c>
      <c r="B7" t="s">
        <v>2109</v>
      </c>
      <c r="C7" t="s">
        <v>2311</v>
      </c>
      <c r="P7" t="s">
        <v>2090</v>
      </c>
      <c r="T7" s="14" t="s">
        <v>2071</v>
      </c>
      <c r="V7" t="s">
        <v>2094</v>
      </c>
      <c r="AP7" t="s">
        <v>137</v>
      </c>
      <c r="ADW7" s="27" t="s">
        <v>2105</v>
      </c>
      <c r="ADX7">
        <v>2</v>
      </c>
      <c r="ADY7" t="str">
        <f t="shared" si="109"/>
        <v>E3-6</v>
      </c>
      <c r="AEA7" s="16" t="s">
        <v>2106</v>
      </c>
    </row>
    <row r="8" spans="1:819" x14ac:dyDescent="0.25">
      <c r="A8" t="s">
        <v>2124</v>
      </c>
      <c r="B8" t="s">
        <v>2110</v>
      </c>
      <c r="C8" t="s">
        <v>2311</v>
      </c>
      <c r="P8" t="s">
        <v>2090</v>
      </c>
      <c r="T8" s="14" t="s">
        <v>2071</v>
      </c>
      <c r="V8" t="s">
        <v>2095</v>
      </c>
      <c r="AP8" t="s">
        <v>137</v>
      </c>
      <c r="ADW8" s="27" t="s">
        <v>2105</v>
      </c>
      <c r="ADX8">
        <v>3</v>
      </c>
      <c r="ADY8" t="str">
        <f t="shared" si="109"/>
        <v>E3-7</v>
      </c>
      <c r="AEA8" s="16" t="s">
        <v>2106</v>
      </c>
    </row>
    <row r="9" spans="1:819" x14ac:dyDescent="0.25">
      <c r="A9" t="s">
        <v>2125</v>
      </c>
      <c r="B9" t="s">
        <v>2111</v>
      </c>
      <c r="C9" t="s">
        <v>2311</v>
      </c>
      <c r="P9" t="s">
        <v>2090</v>
      </c>
      <c r="T9" s="14" t="s">
        <v>2071</v>
      </c>
      <c r="V9" t="s">
        <v>2096</v>
      </c>
      <c r="AP9" t="s">
        <v>137</v>
      </c>
      <c r="ADW9" s="27" t="s">
        <v>2105</v>
      </c>
      <c r="ADX9">
        <v>4</v>
      </c>
      <c r="ADY9" t="str">
        <f t="shared" si="109"/>
        <v>E3-8</v>
      </c>
      <c r="AEA9" s="16" t="s">
        <v>2106</v>
      </c>
    </row>
    <row r="10" spans="1:819" x14ac:dyDescent="0.25">
      <c r="A10" t="s">
        <v>2126</v>
      </c>
      <c r="B10" t="s">
        <v>2112</v>
      </c>
      <c r="C10" t="s">
        <v>2311</v>
      </c>
      <c r="P10" t="s">
        <v>2090</v>
      </c>
      <c r="T10" s="14" t="s">
        <v>2071</v>
      </c>
      <c r="V10" t="s">
        <v>2097</v>
      </c>
      <c r="AP10" t="s">
        <v>137</v>
      </c>
      <c r="ADW10" s="27" t="s">
        <v>2105</v>
      </c>
      <c r="ADX10">
        <v>6</v>
      </c>
      <c r="ADY10" t="str">
        <f t="shared" si="109"/>
        <v>E3-9</v>
      </c>
      <c r="AEA10" s="16" t="s">
        <v>2106</v>
      </c>
    </row>
    <row r="11" spans="1:819" x14ac:dyDescent="0.25">
      <c r="A11" t="s">
        <v>2127</v>
      </c>
      <c r="B11" t="s">
        <v>2113</v>
      </c>
      <c r="C11" t="s">
        <v>2311</v>
      </c>
      <c r="P11" t="s">
        <v>2090</v>
      </c>
      <c r="T11" s="14" t="s">
        <v>2071</v>
      </c>
      <c r="V11" t="s">
        <v>2098</v>
      </c>
      <c r="AP11" t="s">
        <v>137</v>
      </c>
      <c r="ADW11" s="27" t="s">
        <v>2105</v>
      </c>
      <c r="ADX11">
        <v>7</v>
      </c>
      <c r="ADY11" t="str">
        <f t="shared" si="109"/>
        <v>E3-10</v>
      </c>
      <c r="AEA11" s="16" t="s">
        <v>2106</v>
      </c>
    </row>
    <row r="12" spans="1:819" x14ac:dyDescent="0.25">
      <c r="A12" t="s">
        <v>2128</v>
      </c>
      <c r="B12" t="s">
        <v>2114</v>
      </c>
      <c r="C12" t="s">
        <v>2311</v>
      </c>
      <c r="P12" t="s">
        <v>2090</v>
      </c>
      <c r="T12" s="14" t="s">
        <v>2071</v>
      </c>
      <c r="V12" t="s">
        <v>2099</v>
      </c>
      <c r="AP12" t="s">
        <v>137</v>
      </c>
      <c r="ADW12" s="27" t="s">
        <v>2105</v>
      </c>
      <c r="ADX12">
        <v>9</v>
      </c>
      <c r="ADY12" t="str">
        <f t="shared" si="109"/>
        <v>E3-11</v>
      </c>
      <c r="AEA12" s="16" t="s">
        <v>2106</v>
      </c>
    </row>
    <row r="13" spans="1:819" x14ac:dyDescent="0.25">
      <c r="A13" t="s">
        <v>2129</v>
      </c>
      <c r="B13" t="s">
        <v>2115</v>
      </c>
      <c r="C13" t="s">
        <v>2311</v>
      </c>
      <c r="P13" t="s">
        <v>2090</v>
      </c>
      <c r="T13" s="14" t="s">
        <v>2071</v>
      </c>
      <c r="V13" t="s">
        <v>2100</v>
      </c>
      <c r="AP13" t="s">
        <v>137</v>
      </c>
      <c r="ADW13" s="27" t="s">
        <v>2105</v>
      </c>
      <c r="ADX13">
        <v>10</v>
      </c>
      <c r="ADY13" t="str">
        <f t="shared" si="109"/>
        <v>E3-12</v>
      </c>
      <c r="AEA13" s="16" t="s">
        <v>2106</v>
      </c>
    </row>
    <row r="14" spans="1:819" x14ac:dyDescent="0.25">
      <c r="A14" t="s">
        <v>2130</v>
      </c>
      <c r="B14" t="s">
        <v>2116</v>
      </c>
      <c r="C14" t="s">
        <v>2311</v>
      </c>
      <c r="P14" t="s">
        <v>2090</v>
      </c>
      <c r="T14" s="14" t="s">
        <v>2071</v>
      </c>
      <c r="V14" t="s">
        <v>2101</v>
      </c>
      <c r="AP14" t="s">
        <v>137</v>
      </c>
      <c r="ADW14" s="27" t="s">
        <v>2105</v>
      </c>
      <c r="ADX14">
        <v>11</v>
      </c>
      <c r="ADY14" t="str">
        <f t="shared" si="109"/>
        <v>E3-13</v>
      </c>
      <c r="AEA14" s="16" t="s">
        <v>2106</v>
      </c>
    </row>
    <row r="15" spans="1:819" ht="15.75" thickBot="1" x14ac:dyDescent="0.3">
      <c r="A15" t="s">
        <v>2131</v>
      </c>
      <c r="B15" t="s">
        <v>2117</v>
      </c>
      <c r="C15" t="s">
        <v>2311</v>
      </c>
      <c r="P15" t="s">
        <v>2090</v>
      </c>
      <c r="T15" s="14" t="s">
        <v>2071</v>
      </c>
      <c r="V15" t="s">
        <v>2102</v>
      </c>
      <c r="AP15" t="s">
        <v>137</v>
      </c>
      <c r="ADW15" s="27" t="s">
        <v>2105</v>
      </c>
      <c r="ADX15">
        <v>12</v>
      </c>
      <c r="ADY15" t="str">
        <f t="shared" si="109"/>
        <v>E3-14</v>
      </c>
      <c r="AEA15" s="16" t="s">
        <v>2106</v>
      </c>
    </row>
    <row r="16" spans="1:819" ht="15.75" thickBot="1" x14ac:dyDescent="0.3">
      <c r="A16" t="s">
        <v>2154</v>
      </c>
      <c r="B16" t="s">
        <v>2169</v>
      </c>
      <c r="P16" t="s">
        <v>2073</v>
      </c>
      <c r="T16" s="14" t="s">
        <v>2071</v>
      </c>
      <c r="U16">
        <v>3</v>
      </c>
      <c r="V16" s="15"/>
      <c r="W16" t="s">
        <v>2172</v>
      </c>
      <c r="X16" t="s">
        <v>2005</v>
      </c>
      <c r="Y16" s="43" t="str" cm="1">
        <f t="array" ref="Y16">IF(COUNTIFS($X$2:$X16,$X16)=1,"1",VALUE(SUBSTITUTE(INDEX(Y:Y,_xlfn.XMATCH($X16,$X$1:$X15,0,-1)),"A",""))+INDEX(Z:Z,_xlfn.XMATCH($X16,$X$1:$X15,0,-1))+1)</f>
        <v>1</v>
      </c>
      <c r="Z16" s="43" cm="1">
        <f t="array" ref="Z16">SUM(IF(ISNUMBER(FIND("TmAi",$BE$1:$AAL$1)),IF(IFERROR(ISODD(SUBSTITUTE($BE16:$AAL16,"A","")),FALSE),IF(ISODD(SUBSTITUTE($BE16:$AAL16,"A","")),1,0),0)))</f>
        <v>10</v>
      </c>
      <c r="AA16" t="str">
        <f t="shared" ref="AA16:AA17" si="110">CONCATENATE($Y16*2-1,"A")</f>
        <v>1A</v>
      </c>
      <c r="AB16" t="str">
        <f t="shared" ref="AB16:AB17" si="111">CONCATENATE($Y16*2-1,"B")</f>
        <v>1B</v>
      </c>
      <c r="AP16" t="s">
        <v>2077</v>
      </c>
      <c r="AS16" t="s">
        <v>396</v>
      </c>
      <c r="JZ16" s="27"/>
      <c r="KS16" s="16"/>
      <c r="PZ16" s="25" t="str">
        <f>REPLACE(X16,FIND(".",X16)+1,3,MID(X16,FIND(".",X16)+1,3)+1)</f>
        <v>A3.6</v>
      </c>
      <c r="QA16" s="12" t="str">
        <f>CONCATENATE(VALUE(SUBSTITUTE($AB16,"B",""))+2,"B")</f>
        <v>3B</v>
      </c>
      <c r="QB16" s="12" t="str">
        <f>CONCATENATE(VALUE(SUBSTITUTE($AA16,"A",""))+2,"A")</f>
        <v>3A</v>
      </c>
      <c r="QC16" s="12" t="str">
        <f>CONCATENATE(VALUE(SUBSTITUTE(QA16,"B",""))+2,"B")</f>
        <v>5B</v>
      </c>
      <c r="QD16" s="12" t="str">
        <f>CONCATENATE(VALUE(SUBSTITUTE(QB16,"A",""))+2,"A")</f>
        <v>5A</v>
      </c>
      <c r="QE16" s="12" t="str">
        <f t="shared" ref="QE16:QE17" si="112">CONCATENATE(VALUE(SUBSTITUTE(QC16,"B",""))+2,"B")</f>
        <v>7B</v>
      </c>
      <c r="QF16" s="12" t="str">
        <f t="shared" ref="QF16:QF17" si="113">CONCATENATE(VALUE(SUBSTITUTE(QD16,"A",""))+2,"A")</f>
        <v>7A</v>
      </c>
      <c r="QG16" s="12" t="str">
        <f t="shared" ref="QG16:QG17" si="114">CONCATENATE(VALUE(SUBSTITUTE(QE16,"B",""))+2,"B")</f>
        <v>9B</v>
      </c>
      <c r="QH16" s="12" t="str">
        <f t="shared" ref="QH16:QH17" si="115">CONCATENATE(VALUE(SUBSTITUTE(QF16,"A",""))+2,"A")</f>
        <v>9A</v>
      </c>
      <c r="QI16" s="12" t="str">
        <f t="shared" ref="QI16:QI17" si="116">CONCATENATE(VALUE(SUBSTITUTE(QG16,"B",""))+2,"B")</f>
        <v>11B</v>
      </c>
      <c r="QJ16" s="12" t="str">
        <f t="shared" ref="QJ16:QJ17" si="117">CONCATENATE(VALUE(SUBSTITUTE(QH16,"A",""))+2,"A")</f>
        <v>11A</v>
      </c>
      <c r="QK16" s="12" t="s">
        <v>135</v>
      </c>
      <c r="QL16" s="12" t="s">
        <v>136</v>
      </c>
      <c r="QM16" s="12" t="str">
        <f t="shared" ref="QM16:QM17" si="118">CONCATENATE(VALUE(SUBSTITUTE(QK16,"B",""))+2,"B")</f>
        <v>3B</v>
      </c>
      <c r="QN16" s="12" t="str">
        <f t="shared" ref="QN16:QN17" si="119">CONCATENATE(VALUE(SUBSTITUTE(QL16,"A",""))+2,"A")</f>
        <v>3A</v>
      </c>
      <c r="QO16" s="12" t="str">
        <f t="shared" ref="QO16:QO17" si="120">CONCATENATE(VALUE(SUBSTITUTE(QM16,"B",""))+2,"B")</f>
        <v>5B</v>
      </c>
      <c r="QP16" s="12" t="str">
        <f t="shared" ref="QP16:QP17" si="121">CONCATENATE(VALUE(SUBSTITUTE(QN16,"A",""))+2,"A")</f>
        <v>5A</v>
      </c>
      <c r="QQ16" s="12" t="str">
        <f t="shared" ref="QQ16:QQ17" si="122">CONCATENATE(VALUE(SUBSTITUTE(QO16,"B",""))+2,"B")</f>
        <v>7B</v>
      </c>
      <c r="QR16" s="12" t="str">
        <f t="shared" ref="QR16:QR17" si="123">CONCATENATE(VALUE(SUBSTITUTE(QP16,"A",""))+2,"A")</f>
        <v>7A</v>
      </c>
      <c r="QS16" s="12" t="str">
        <f t="shared" ref="QS16:QS17" si="124">CONCATENATE(VALUE(SUBSTITUTE(QQ16,"B",""))+2,"B")</f>
        <v>9B</v>
      </c>
      <c r="QT16" s="12" t="str">
        <f t="shared" ref="QT16:QT17" si="125">CONCATENATE(VALUE(SUBSTITUTE(QR16,"A",""))+2,"A")</f>
        <v>9A</v>
      </c>
      <c r="QU16" s="12"/>
      <c r="QV16" s="12"/>
      <c r="QW16" s="12" t="str">
        <f>CONCATENATE($T16,"-AI",REPLACE($X16,1,3,""),"-",AB16)</f>
        <v>E3-AI5-1B</v>
      </c>
      <c r="QX16" s="12" t="str">
        <f>CONCATENATE($T16,"-AI",REPLACE($X16,1,3,""),"-",AA16)</f>
        <v>E3-AI5-1A</v>
      </c>
      <c r="QY16" s="12" t="str">
        <f>CONCATENATE($T16,"-AI",REPLACE($X16,1,3,""),"-",QA16)</f>
        <v>E3-AI5-3B</v>
      </c>
      <c r="QZ16" s="12" t="str">
        <f>CONCATENATE($T16,"-AI",REPLACE($X16,1,3,""),"-",QB16)</f>
        <v>E3-AI5-3A</v>
      </c>
      <c r="RA16" s="12" t="str">
        <f t="shared" ref="RA16:RA17" si="126">CONCATENATE($T16,"-AI",REPLACE($X16,1,3,""),"-",QC16)</f>
        <v>E3-AI5-5B</v>
      </c>
      <c r="RB16" s="12" t="str">
        <f t="shared" ref="RB16:RB17" si="127">CONCATENATE($T16,"-AI",REPLACE($X16,1,3,""),"-",QD16)</f>
        <v>E3-AI5-5A</v>
      </c>
      <c r="RC16" s="12" t="str">
        <f t="shared" ref="RC16:RC17" si="128">CONCATENATE($T16,"-AI",REPLACE($X16,1,3,""),"-",QE16)</f>
        <v>E3-AI5-7B</v>
      </c>
      <c r="RD16" s="12" t="str">
        <f t="shared" ref="RD16:RD17" si="129">CONCATENATE($T16,"-AI",REPLACE($X16,1,3,""),"-",QF16)</f>
        <v>E3-AI5-7A</v>
      </c>
      <c r="RE16" s="12" t="str">
        <f t="shared" ref="RE16:RE17" si="130">CONCATENATE($T16,"-AI",REPLACE($X16,1,3,""),"-",QG16)</f>
        <v>E3-AI5-9B</v>
      </c>
      <c r="RF16" s="12" t="str">
        <f t="shared" ref="RF16:RF17" si="131">CONCATENATE($T16,"-AI",REPLACE($X16,1,3,""),"-",QH16)</f>
        <v>E3-AI5-9A</v>
      </c>
      <c r="RG16" s="12" t="str">
        <f t="shared" ref="RG16:RG17" si="132">CONCATENATE($T16,"-AI",REPLACE($X16,1,3,""),"-",QI16)</f>
        <v>E3-AI5-11B</v>
      </c>
      <c r="RH16" s="12" t="str">
        <f t="shared" ref="RH16:RH17" si="133">CONCATENATE($T16,"-AI",REPLACE($X16,1,3,""),"-",QJ16)</f>
        <v>E3-AI5-11A</v>
      </c>
      <c r="RI16" s="12" t="str">
        <f t="shared" ref="RI16:RI17" si="134">CONCATENATE($T16,"-AI",REPLACE($PZ16,1,3,""),"-",QK16)</f>
        <v>E3-AI6-1B</v>
      </c>
      <c r="RJ16" s="12" t="str">
        <f t="shared" ref="RJ16:RJ17" si="135">CONCATENATE($T16,"-AI",REPLACE($PZ16,1,3,""),"-",QL16)</f>
        <v>E3-AI6-1A</v>
      </c>
      <c r="RK16" s="12" t="str">
        <f t="shared" ref="RK16:RK17" si="136">CONCATENATE($T16,"-AI",REPLACE($PZ16,1,3,""),"-",QM16)</f>
        <v>E3-AI6-3B</v>
      </c>
      <c r="RL16" s="12" t="str">
        <f t="shared" ref="RL16:RL17" si="137">CONCATENATE($T16,"-AI",REPLACE($PZ16,1,3,""),"-",QN16)</f>
        <v>E3-AI6-3A</v>
      </c>
      <c r="RM16" s="12" t="str">
        <f t="shared" ref="RM16:RM17" si="138">CONCATENATE($T16,"-AI",REPLACE($PZ16,1,3,""),"-",QO16)</f>
        <v>E3-AI6-5B</v>
      </c>
      <c r="RN16" s="12" t="str">
        <f t="shared" ref="RN16:RN17" si="139">CONCATENATE($T16,"-AI",REPLACE($PZ16,1,3,""),"-",QP16)</f>
        <v>E3-AI6-5A</v>
      </c>
      <c r="RO16" s="12" t="str">
        <f t="shared" ref="RO16:RO17" si="140">CONCATENATE($T16,"-AI",REPLACE($PZ16,1,3,""),"-",QQ16)</f>
        <v>E3-AI6-7B</v>
      </c>
      <c r="RP16" s="12" t="str">
        <f t="shared" ref="RP16:RP17" si="141">CONCATENATE($T16,"-AI",REPLACE($PZ16,1,3,""),"-",QR16)</f>
        <v>E3-AI6-7A</v>
      </c>
      <c r="RQ16" s="12" t="str">
        <f t="shared" ref="RQ16:RQ17" si="142">CONCATENATE($T16,"-AI",REPLACE($PZ16,1,3,""),"-",QS16)</f>
        <v>E3-AI6-9B</v>
      </c>
      <c r="RR16" s="12" t="str">
        <f t="shared" ref="RR16:RR17" si="143">CONCATENATE($T16,"-AI",REPLACE($PZ16,1,3,""),"-",QT16)</f>
        <v>E3-AI6-9A</v>
      </c>
      <c r="RS16" s="12"/>
      <c r="RT16" s="12"/>
      <c r="RU16" s="12" t="str">
        <f t="shared" ref="RU16:RU17" si="144">CONCATENATE("XT",$U16)</f>
        <v>XT3</v>
      </c>
      <c r="RV16" s="12">
        <v>1</v>
      </c>
      <c r="RW16" s="12">
        <f>RV16+1</f>
        <v>2</v>
      </c>
      <c r="RX16" s="12">
        <f t="shared" ref="RX16:RX17" si="145">RW16+1</f>
        <v>3</v>
      </c>
      <c r="RY16" s="12">
        <f t="shared" ref="RY16:RY17" si="146">RX16+1</f>
        <v>4</v>
      </c>
      <c r="RZ16" s="12">
        <f t="shared" ref="RZ16:RZ17" si="147">RY16+1</f>
        <v>5</v>
      </c>
      <c r="SA16" s="12">
        <f t="shared" ref="SA16:SA17" si="148">RZ16+1</f>
        <v>6</v>
      </c>
      <c r="SB16" s="12">
        <f t="shared" ref="SB16:SB17" si="149">SA16+1</f>
        <v>7</v>
      </c>
      <c r="SC16" s="12">
        <f t="shared" ref="SC16:SC17" si="150">SB16+1</f>
        <v>8</v>
      </c>
      <c r="SD16" s="12">
        <f t="shared" ref="SD16:SD17" si="151">SC16+1</f>
        <v>9</v>
      </c>
      <c r="SE16" s="12">
        <f t="shared" ref="SE16:SE17" si="152">SD16+1</f>
        <v>10</v>
      </c>
      <c r="SF16" s="12">
        <f t="shared" ref="SF16:SF17" si="153">SE16+1</f>
        <v>11</v>
      </c>
      <c r="SG16" s="12">
        <f t="shared" ref="SG16:SG17" si="154">SF16+1</f>
        <v>12</v>
      </c>
      <c r="SH16" s="12">
        <f t="shared" ref="SH16:SH17" si="155">SG16+1</f>
        <v>13</v>
      </c>
      <c r="SI16" s="12">
        <f t="shared" ref="SI16:SI17" si="156">SH16+1</f>
        <v>14</v>
      </c>
      <c r="SJ16" s="12">
        <f t="shared" ref="SJ16:SJ17" si="157">SI16+1</f>
        <v>15</v>
      </c>
      <c r="SK16" s="12">
        <f t="shared" ref="SK16:SK17" si="158">SJ16+1</f>
        <v>16</v>
      </c>
      <c r="SL16" s="12">
        <f t="shared" ref="SL16:SL17" si="159">SK16+1</f>
        <v>17</v>
      </c>
      <c r="SM16" s="12">
        <f t="shared" ref="SM16:SM17" si="160">SL16+1</f>
        <v>18</v>
      </c>
      <c r="SN16" s="12">
        <f t="shared" ref="SN16:SN17" si="161">SM16+1</f>
        <v>19</v>
      </c>
      <c r="SO16" s="12">
        <f t="shared" ref="SO16:SO17" si="162">SN16+1</f>
        <v>20</v>
      </c>
      <c r="SP16" s="12">
        <f t="shared" ref="SP16:SP17" si="163">SO16+1</f>
        <v>21</v>
      </c>
      <c r="SQ16" s="12">
        <f t="shared" ref="SQ16:SQ17" si="164">SP16+1</f>
        <v>22</v>
      </c>
      <c r="SR16" s="12">
        <f t="shared" ref="SR16:SR17" si="165">SQ16+1</f>
        <v>23</v>
      </c>
      <c r="SS16" s="12"/>
      <c r="ST16" s="12"/>
      <c r="SU16" s="12" t="s">
        <v>2203</v>
      </c>
      <c r="SV16" s="12" t="s">
        <v>2204</v>
      </c>
      <c r="SW16" s="12" t="s">
        <v>2205</v>
      </c>
      <c r="SX16" s="12" t="s">
        <v>2206</v>
      </c>
      <c r="SY16" s="12" t="s">
        <v>2207</v>
      </c>
      <c r="SZ16" s="12" t="s">
        <v>2208</v>
      </c>
      <c r="TA16" s="12" t="s">
        <v>2209</v>
      </c>
      <c r="TB16" s="12" t="s">
        <v>2210</v>
      </c>
      <c r="TC16" s="12" t="s">
        <v>2211</v>
      </c>
      <c r="TD16" s="12" t="s">
        <v>2212</v>
      </c>
      <c r="TE16" s="12" t="s">
        <v>2213</v>
      </c>
      <c r="TF16" s="12"/>
      <c r="TG16" s="12" t="s">
        <v>2078</v>
      </c>
      <c r="TH16" s="12" t="s">
        <v>2079</v>
      </c>
      <c r="TI16" s="12" t="s">
        <v>2080</v>
      </c>
      <c r="TJ16" s="12" t="s">
        <v>2081</v>
      </c>
      <c r="TK16" s="12" t="s">
        <v>2082</v>
      </c>
      <c r="TL16" s="12" t="s">
        <v>2083</v>
      </c>
      <c r="TM16" s="12" t="s">
        <v>2084</v>
      </c>
      <c r="TN16" s="12" t="s">
        <v>2085</v>
      </c>
      <c r="TO16" s="12" t="s">
        <v>2086</v>
      </c>
      <c r="TP16" s="12" t="s">
        <v>2087</v>
      </c>
      <c r="TQ16" s="12" t="s">
        <v>2088</v>
      </c>
      <c r="TR16" s="13"/>
    </row>
    <row r="17" spans="1:807" ht="15.75" thickBot="1" x14ac:dyDescent="0.3">
      <c r="A17" t="s">
        <v>2155</v>
      </c>
      <c r="B17" t="s">
        <v>2168</v>
      </c>
      <c r="P17" t="s">
        <v>2073</v>
      </c>
      <c r="T17" s="14" t="s">
        <v>2071</v>
      </c>
      <c r="U17">
        <v>4</v>
      </c>
      <c r="V17" s="15"/>
      <c r="W17" t="s">
        <v>2173</v>
      </c>
      <c r="X17" t="s">
        <v>2006</v>
      </c>
      <c r="Y17" s="43" t="str" cm="1">
        <f t="array" ref="Y17">IF(COUNTIFS($X$2:$X17,$X17)=1,"1",VALUE(SUBSTITUTE(INDEX(Y:Y,_xlfn.XMATCH($X17,$X$1:$X16,0,-1)),"A",""))+INDEX(Z:Z,_xlfn.XMATCH($X17,$X$1:$X16,0,-1))+1)</f>
        <v>1</v>
      </c>
      <c r="Z17" s="43" cm="1">
        <f t="array" ref="Z17">SUM(IF(ISNUMBER(FIND("TmAi",$BE$1:$AAL$1)),IF(IFERROR(ISODD(SUBSTITUTE($BE17:$AAL17,"A","")),FALSE),IF(ISODD(SUBSTITUTE($BE17:$AAL17,"A","")),1,0),0)))</f>
        <v>10</v>
      </c>
      <c r="AA17" t="str">
        <f t="shared" si="110"/>
        <v>1A</v>
      </c>
      <c r="AB17" t="str">
        <f t="shared" si="111"/>
        <v>1B</v>
      </c>
      <c r="AP17" t="s">
        <v>2077</v>
      </c>
      <c r="AS17" t="s">
        <v>396</v>
      </c>
      <c r="JZ17" s="27"/>
      <c r="KS17" s="16"/>
      <c r="PZ17" s="25" t="str">
        <f>REPLACE(X17,FIND(".",X17)+1,3,MID(X17,FIND(".",X17)+1,3)+1)</f>
        <v>A3.8</v>
      </c>
      <c r="QA17" s="12" t="str">
        <f>CONCATENATE(VALUE(SUBSTITUTE($AB17,"B",""))+2,"B")</f>
        <v>3B</v>
      </c>
      <c r="QB17" s="12" t="str">
        <f>CONCATENATE(VALUE(SUBSTITUTE($AA17,"A",""))+2,"A")</f>
        <v>3A</v>
      </c>
      <c r="QC17" s="12" t="str">
        <f>CONCATENATE(VALUE(SUBSTITUTE(QA17,"B",""))+2,"B")</f>
        <v>5B</v>
      </c>
      <c r="QD17" s="12" t="str">
        <f>CONCATENATE(VALUE(SUBSTITUTE(QB17,"A",""))+2,"A")</f>
        <v>5A</v>
      </c>
      <c r="QE17" s="12" t="str">
        <f t="shared" si="112"/>
        <v>7B</v>
      </c>
      <c r="QF17" s="12" t="str">
        <f t="shared" si="113"/>
        <v>7A</v>
      </c>
      <c r="QG17" s="12" t="str">
        <f t="shared" si="114"/>
        <v>9B</v>
      </c>
      <c r="QH17" s="12" t="str">
        <f t="shared" si="115"/>
        <v>9A</v>
      </c>
      <c r="QI17" s="12" t="str">
        <f t="shared" si="116"/>
        <v>11B</v>
      </c>
      <c r="QJ17" s="12" t="str">
        <f t="shared" si="117"/>
        <v>11A</v>
      </c>
      <c r="QK17" s="12" t="s">
        <v>135</v>
      </c>
      <c r="QL17" s="12" t="s">
        <v>136</v>
      </c>
      <c r="QM17" s="12" t="str">
        <f t="shared" si="118"/>
        <v>3B</v>
      </c>
      <c r="QN17" s="12" t="str">
        <f t="shared" si="119"/>
        <v>3A</v>
      </c>
      <c r="QO17" s="12" t="str">
        <f t="shared" si="120"/>
        <v>5B</v>
      </c>
      <c r="QP17" s="12" t="str">
        <f t="shared" si="121"/>
        <v>5A</v>
      </c>
      <c r="QQ17" s="12" t="str">
        <f t="shared" si="122"/>
        <v>7B</v>
      </c>
      <c r="QR17" s="12" t="str">
        <f t="shared" si="123"/>
        <v>7A</v>
      </c>
      <c r="QS17" s="12" t="str">
        <f t="shared" si="124"/>
        <v>9B</v>
      </c>
      <c r="QT17" s="12" t="str">
        <f t="shared" si="125"/>
        <v>9A</v>
      </c>
      <c r="QU17" s="12"/>
      <c r="QV17" s="12"/>
      <c r="QW17" s="12" t="str">
        <f>CONCATENATE($T17,"-AI",REPLACE($X17,1,3,""),"-",AB17)</f>
        <v>E3-AI7-1B</v>
      </c>
      <c r="QX17" s="12" t="str">
        <f>CONCATENATE($T17,"-AI",REPLACE($X17,1,3,""),"-",AA17)</f>
        <v>E3-AI7-1A</v>
      </c>
      <c r="QY17" s="12" t="str">
        <f>CONCATENATE($T17,"-AI",REPLACE($X17,1,3,""),"-",QA17)</f>
        <v>E3-AI7-3B</v>
      </c>
      <c r="QZ17" s="12" t="str">
        <f>CONCATENATE($T17,"-AI",REPLACE($X17,1,3,""),"-",QB17)</f>
        <v>E3-AI7-3A</v>
      </c>
      <c r="RA17" s="12" t="str">
        <f t="shared" si="126"/>
        <v>E3-AI7-5B</v>
      </c>
      <c r="RB17" s="12" t="str">
        <f t="shared" si="127"/>
        <v>E3-AI7-5A</v>
      </c>
      <c r="RC17" s="12" t="str">
        <f t="shared" si="128"/>
        <v>E3-AI7-7B</v>
      </c>
      <c r="RD17" s="12" t="str">
        <f t="shared" si="129"/>
        <v>E3-AI7-7A</v>
      </c>
      <c r="RE17" s="12" t="str">
        <f t="shared" si="130"/>
        <v>E3-AI7-9B</v>
      </c>
      <c r="RF17" s="12" t="str">
        <f t="shared" si="131"/>
        <v>E3-AI7-9A</v>
      </c>
      <c r="RG17" s="12" t="str">
        <f t="shared" si="132"/>
        <v>E3-AI7-11B</v>
      </c>
      <c r="RH17" s="12" t="str">
        <f t="shared" si="133"/>
        <v>E3-AI7-11A</v>
      </c>
      <c r="RI17" s="12" t="str">
        <f t="shared" si="134"/>
        <v>E3-AI8-1B</v>
      </c>
      <c r="RJ17" s="12" t="str">
        <f t="shared" si="135"/>
        <v>E3-AI8-1A</v>
      </c>
      <c r="RK17" s="12" t="str">
        <f t="shared" si="136"/>
        <v>E3-AI8-3B</v>
      </c>
      <c r="RL17" s="12" t="str">
        <f t="shared" si="137"/>
        <v>E3-AI8-3A</v>
      </c>
      <c r="RM17" s="12" t="str">
        <f t="shared" si="138"/>
        <v>E3-AI8-5B</v>
      </c>
      <c r="RN17" s="12" t="str">
        <f t="shared" si="139"/>
        <v>E3-AI8-5A</v>
      </c>
      <c r="RO17" s="12" t="str">
        <f t="shared" si="140"/>
        <v>E3-AI8-7B</v>
      </c>
      <c r="RP17" s="12" t="str">
        <f t="shared" si="141"/>
        <v>E3-AI8-7A</v>
      </c>
      <c r="RQ17" s="12" t="str">
        <f t="shared" si="142"/>
        <v>E3-AI8-9B</v>
      </c>
      <c r="RR17" s="12" t="str">
        <f t="shared" si="143"/>
        <v>E3-AI8-9A</v>
      </c>
      <c r="RS17" s="12"/>
      <c r="RT17" s="12"/>
      <c r="RU17" s="12" t="str">
        <f t="shared" si="144"/>
        <v>XT4</v>
      </c>
      <c r="RV17" s="12">
        <v>1</v>
      </c>
      <c r="RW17" s="12">
        <f>RV17+1</f>
        <v>2</v>
      </c>
      <c r="RX17" s="12">
        <f t="shared" si="145"/>
        <v>3</v>
      </c>
      <c r="RY17" s="12">
        <f t="shared" si="146"/>
        <v>4</v>
      </c>
      <c r="RZ17" s="12">
        <f t="shared" si="147"/>
        <v>5</v>
      </c>
      <c r="SA17" s="12">
        <f t="shared" si="148"/>
        <v>6</v>
      </c>
      <c r="SB17" s="12">
        <f t="shared" si="149"/>
        <v>7</v>
      </c>
      <c r="SC17" s="12">
        <f t="shared" si="150"/>
        <v>8</v>
      </c>
      <c r="SD17" s="12">
        <f t="shared" si="151"/>
        <v>9</v>
      </c>
      <c r="SE17" s="12">
        <f t="shared" si="152"/>
        <v>10</v>
      </c>
      <c r="SF17" s="12">
        <f t="shared" si="153"/>
        <v>11</v>
      </c>
      <c r="SG17" s="12">
        <f t="shared" si="154"/>
        <v>12</v>
      </c>
      <c r="SH17" s="12">
        <f t="shared" si="155"/>
        <v>13</v>
      </c>
      <c r="SI17" s="12">
        <f t="shared" si="156"/>
        <v>14</v>
      </c>
      <c r="SJ17" s="12">
        <f t="shared" si="157"/>
        <v>15</v>
      </c>
      <c r="SK17" s="12">
        <f t="shared" si="158"/>
        <v>16</v>
      </c>
      <c r="SL17" s="12">
        <f t="shared" si="159"/>
        <v>17</v>
      </c>
      <c r="SM17" s="12">
        <f t="shared" si="160"/>
        <v>18</v>
      </c>
      <c r="SN17" s="12">
        <f t="shared" si="161"/>
        <v>19</v>
      </c>
      <c r="SO17" s="12">
        <f t="shared" si="162"/>
        <v>20</v>
      </c>
      <c r="SP17" s="12">
        <f t="shared" si="163"/>
        <v>21</v>
      </c>
      <c r="SQ17" s="12">
        <f t="shared" si="164"/>
        <v>22</v>
      </c>
      <c r="SR17" s="12">
        <f t="shared" si="165"/>
        <v>23</v>
      </c>
      <c r="SS17" s="12"/>
      <c r="ST17" s="12"/>
      <c r="SU17" s="12" t="s">
        <v>2214</v>
      </c>
      <c r="SV17" s="12" t="s">
        <v>2215</v>
      </c>
      <c r="SW17" s="12" t="s">
        <v>2216</v>
      </c>
      <c r="SX17" s="12" t="s">
        <v>2217</v>
      </c>
      <c r="SY17" s="12" t="s">
        <v>2218</v>
      </c>
      <c r="SZ17" s="12" t="s">
        <v>2219</v>
      </c>
      <c r="TA17" s="12" t="s">
        <v>2220</v>
      </c>
      <c r="TB17" s="12" t="s">
        <v>2221</v>
      </c>
      <c r="TC17" s="12" t="s">
        <v>2222</v>
      </c>
      <c r="TD17" s="12" t="s">
        <v>2223</v>
      </c>
      <c r="TE17" s="12" t="s">
        <v>2224</v>
      </c>
      <c r="TF17" s="12"/>
      <c r="TG17" s="12" t="s">
        <v>2078</v>
      </c>
      <c r="TH17" s="12" t="s">
        <v>2079</v>
      </c>
      <c r="TI17" s="12" t="s">
        <v>2080</v>
      </c>
      <c r="TJ17" s="12" t="s">
        <v>2081</v>
      </c>
      <c r="TK17" s="12" t="s">
        <v>2082</v>
      </c>
      <c r="TL17" s="12" t="s">
        <v>2083</v>
      </c>
      <c r="TM17" s="12" t="s">
        <v>2084</v>
      </c>
      <c r="TN17" s="12" t="s">
        <v>2085</v>
      </c>
      <c r="TO17" s="12" t="s">
        <v>2086</v>
      </c>
      <c r="TP17" s="12" t="s">
        <v>2087</v>
      </c>
      <c r="TQ17" s="12" t="s">
        <v>2088</v>
      </c>
      <c r="TR17" s="13"/>
    </row>
    <row r="18" spans="1:807" x14ac:dyDescent="0.25">
      <c r="A18" t="s">
        <v>2158</v>
      </c>
      <c r="B18" t="s">
        <v>2189</v>
      </c>
      <c r="C18" t="s">
        <v>2312</v>
      </c>
      <c r="P18" t="s">
        <v>2313</v>
      </c>
      <c r="T18" s="14" t="s">
        <v>2071</v>
      </c>
      <c r="V18" t="s">
        <v>2174</v>
      </c>
      <c r="AP18" t="s">
        <v>2004</v>
      </c>
      <c r="ADW18" s="25" t="s">
        <v>2105</v>
      </c>
      <c r="ADX18" s="12">
        <v>1</v>
      </c>
      <c r="ADY18" s="12" t="str">
        <f t="shared" ref="ADY18:ADY31" si="166">V18</f>
        <v>E3-17</v>
      </c>
      <c r="ADZ18" s="12"/>
      <c r="AEA18" s="13" t="s">
        <v>2106</v>
      </c>
    </row>
    <row r="19" spans="1:807" x14ac:dyDescent="0.25">
      <c r="A19" t="s">
        <v>2159</v>
      </c>
      <c r="B19" t="s">
        <v>2190</v>
      </c>
      <c r="C19" t="s">
        <v>2312</v>
      </c>
      <c r="P19" t="s">
        <v>2313</v>
      </c>
      <c r="T19" s="14" t="s">
        <v>2071</v>
      </c>
      <c r="V19" t="s">
        <v>2175</v>
      </c>
      <c r="AP19" t="s">
        <v>2004</v>
      </c>
      <c r="ADW19" s="27" t="s">
        <v>2105</v>
      </c>
      <c r="ADX19">
        <v>2</v>
      </c>
      <c r="ADY19" t="str">
        <f t="shared" si="166"/>
        <v>E3-18</v>
      </c>
      <c r="AEA19" s="16" t="s">
        <v>2106</v>
      </c>
    </row>
    <row r="20" spans="1:807" x14ac:dyDescent="0.25">
      <c r="A20" t="s">
        <v>2160</v>
      </c>
      <c r="B20" t="s">
        <v>2191</v>
      </c>
      <c r="C20" t="s">
        <v>2312</v>
      </c>
      <c r="P20" t="s">
        <v>2313</v>
      </c>
      <c r="T20" s="14" t="s">
        <v>2071</v>
      </c>
      <c r="V20" t="s">
        <v>2176</v>
      </c>
      <c r="AP20" t="s">
        <v>2004</v>
      </c>
      <c r="ADW20" s="27" t="s">
        <v>2105</v>
      </c>
      <c r="ADX20">
        <v>3</v>
      </c>
      <c r="ADY20" t="str">
        <f t="shared" si="166"/>
        <v>E3-19</v>
      </c>
      <c r="AEA20" s="16" t="s">
        <v>2106</v>
      </c>
    </row>
    <row r="21" spans="1:807" x14ac:dyDescent="0.25">
      <c r="A21" t="s">
        <v>2161</v>
      </c>
      <c r="B21" t="s">
        <v>2192</v>
      </c>
      <c r="C21" t="s">
        <v>2312</v>
      </c>
      <c r="P21" t="s">
        <v>2313</v>
      </c>
      <c r="T21" s="14" t="s">
        <v>2071</v>
      </c>
      <c r="V21" t="s">
        <v>2177</v>
      </c>
      <c r="AP21" t="s">
        <v>2004</v>
      </c>
      <c r="ADW21" s="27" t="s">
        <v>2105</v>
      </c>
      <c r="ADX21">
        <v>4</v>
      </c>
      <c r="ADY21" t="str">
        <f t="shared" si="166"/>
        <v>E3-20</v>
      </c>
      <c r="AEA21" s="16" t="s">
        <v>2106</v>
      </c>
    </row>
    <row r="22" spans="1:807" x14ac:dyDescent="0.25">
      <c r="A22" t="s">
        <v>2156</v>
      </c>
      <c r="B22" t="s">
        <v>2193</v>
      </c>
      <c r="C22" t="s">
        <v>2312</v>
      </c>
      <c r="P22" t="s">
        <v>2313</v>
      </c>
      <c r="T22" s="14" t="s">
        <v>2071</v>
      </c>
      <c r="V22" t="s">
        <v>2178</v>
      </c>
      <c r="AP22" t="s">
        <v>2004</v>
      </c>
      <c r="ADW22" s="27" t="s">
        <v>2105</v>
      </c>
      <c r="ADX22">
        <v>5</v>
      </c>
      <c r="ADY22" t="str">
        <f t="shared" si="166"/>
        <v>E3-21</v>
      </c>
      <c r="AEA22" s="16" t="s">
        <v>2106</v>
      </c>
    </row>
    <row r="23" spans="1:807" x14ac:dyDescent="0.25">
      <c r="A23" t="s">
        <v>2162</v>
      </c>
      <c r="B23" t="s">
        <v>2194</v>
      </c>
      <c r="C23" t="s">
        <v>2312</v>
      </c>
      <c r="P23" t="s">
        <v>2313</v>
      </c>
      <c r="T23" s="14" t="s">
        <v>2071</v>
      </c>
      <c r="V23" t="s">
        <v>2179</v>
      </c>
      <c r="AP23" t="s">
        <v>2004</v>
      </c>
      <c r="ADW23" s="27" t="s">
        <v>2105</v>
      </c>
      <c r="ADX23">
        <v>6</v>
      </c>
      <c r="ADY23" t="str">
        <f t="shared" si="166"/>
        <v>E3-22</v>
      </c>
      <c r="AEA23" s="16" t="s">
        <v>2106</v>
      </c>
    </row>
    <row r="24" spans="1:807" x14ac:dyDescent="0.25">
      <c r="A24" t="s">
        <v>2163</v>
      </c>
      <c r="B24" t="s">
        <v>2195</v>
      </c>
      <c r="C24" t="s">
        <v>2312</v>
      </c>
      <c r="P24" t="s">
        <v>2313</v>
      </c>
      <c r="T24" s="14" t="s">
        <v>2071</v>
      </c>
      <c r="V24" t="s">
        <v>2180</v>
      </c>
      <c r="AP24" t="s">
        <v>2004</v>
      </c>
      <c r="ADW24" s="27" t="s">
        <v>2105</v>
      </c>
      <c r="ADX24">
        <v>7</v>
      </c>
      <c r="ADY24" t="str">
        <f t="shared" si="166"/>
        <v>E3-23</v>
      </c>
      <c r="AEA24" s="16" t="s">
        <v>2106</v>
      </c>
    </row>
    <row r="25" spans="1:807" x14ac:dyDescent="0.25">
      <c r="A25" t="s">
        <v>2157</v>
      </c>
      <c r="B25" t="s">
        <v>2196</v>
      </c>
      <c r="C25" t="s">
        <v>2312</v>
      </c>
      <c r="P25" t="s">
        <v>2313</v>
      </c>
      <c r="T25" s="14" t="s">
        <v>2071</v>
      </c>
      <c r="V25" t="s">
        <v>2181</v>
      </c>
      <c r="AP25" t="s">
        <v>2004</v>
      </c>
      <c r="ADW25" s="27" t="s">
        <v>2105</v>
      </c>
      <c r="ADX25">
        <v>8</v>
      </c>
      <c r="ADY25" t="str">
        <f t="shared" si="166"/>
        <v>E3-24</v>
      </c>
      <c r="AEA25" s="16" t="s">
        <v>2106</v>
      </c>
    </row>
    <row r="26" spans="1:807" x14ac:dyDescent="0.25">
      <c r="A26" t="s">
        <v>2164</v>
      </c>
      <c r="B26" t="s">
        <v>2197</v>
      </c>
      <c r="C26" t="s">
        <v>2312</v>
      </c>
      <c r="P26" t="s">
        <v>2313</v>
      </c>
      <c r="T26" s="14" t="s">
        <v>2071</v>
      </c>
      <c r="V26" t="s">
        <v>2182</v>
      </c>
      <c r="AP26" t="s">
        <v>2004</v>
      </c>
      <c r="ADW26" s="27" t="s">
        <v>2105</v>
      </c>
      <c r="ADX26">
        <v>9</v>
      </c>
      <c r="ADY26" t="str">
        <f t="shared" si="166"/>
        <v>E3-25</v>
      </c>
      <c r="AEA26" s="16" t="s">
        <v>2106</v>
      </c>
    </row>
    <row r="27" spans="1:807" x14ac:dyDescent="0.25">
      <c r="A27" t="s">
        <v>2165</v>
      </c>
      <c r="B27" t="s">
        <v>2198</v>
      </c>
      <c r="C27" t="s">
        <v>2312</v>
      </c>
      <c r="P27" t="s">
        <v>2313</v>
      </c>
      <c r="T27" s="14" t="s">
        <v>2071</v>
      </c>
      <c r="V27" t="s">
        <v>2183</v>
      </c>
      <c r="AP27" t="s">
        <v>2004</v>
      </c>
      <c r="ADW27" s="27" t="s">
        <v>2105</v>
      </c>
      <c r="ADX27">
        <v>10</v>
      </c>
      <c r="ADY27" t="str">
        <f t="shared" si="166"/>
        <v>E3-26</v>
      </c>
      <c r="AEA27" s="16" t="s">
        <v>2106</v>
      </c>
    </row>
    <row r="28" spans="1:807" x14ac:dyDescent="0.25">
      <c r="A28" t="s">
        <v>2166</v>
      </c>
      <c r="B28" t="s">
        <v>2199</v>
      </c>
      <c r="C28" t="s">
        <v>2312</v>
      </c>
      <c r="P28" t="s">
        <v>2313</v>
      </c>
      <c r="T28" s="14" t="s">
        <v>2071</v>
      </c>
      <c r="V28" t="s">
        <v>2184</v>
      </c>
      <c r="AP28" t="s">
        <v>2004</v>
      </c>
      <c r="ADW28" s="27" t="s">
        <v>2105</v>
      </c>
      <c r="ADX28">
        <v>11</v>
      </c>
      <c r="ADY28" t="str">
        <f t="shared" si="166"/>
        <v>E3-27</v>
      </c>
      <c r="AEA28" s="16" t="s">
        <v>2106</v>
      </c>
    </row>
    <row r="29" spans="1:807" x14ac:dyDescent="0.25">
      <c r="A29" t="s">
        <v>2167</v>
      </c>
      <c r="B29" t="s">
        <v>2200</v>
      </c>
      <c r="C29" t="s">
        <v>2312</v>
      </c>
      <c r="P29" t="s">
        <v>2313</v>
      </c>
      <c r="T29" s="14" t="s">
        <v>2071</v>
      </c>
      <c r="V29" t="s">
        <v>2185</v>
      </c>
      <c r="AP29" t="s">
        <v>2004</v>
      </c>
      <c r="ADW29" s="27" t="s">
        <v>2105</v>
      </c>
      <c r="ADX29">
        <v>12</v>
      </c>
      <c r="ADY29" t="str">
        <f t="shared" si="166"/>
        <v>E3-28</v>
      </c>
      <c r="AEA29" s="16" t="s">
        <v>2106</v>
      </c>
    </row>
    <row r="30" spans="1:807" x14ac:dyDescent="0.25">
      <c r="A30" t="s">
        <v>2170</v>
      </c>
      <c r="B30" t="s">
        <v>2201</v>
      </c>
      <c r="C30" t="s">
        <v>2312</v>
      </c>
      <c r="P30" t="s">
        <v>2313</v>
      </c>
      <c r="T30" s="14" t="s">
        <v>2071</v>
      </c>
      <c r="V30" t="s">
        <v>2186</v>
      </c>
      <c r="AP30" t="s">
        <v>2004</v>
      </c>
      <c r="ADW30" s="27" t="s">
        <v>2105</v>
      </c>
      <c r="ADX30">
        <v>13</v>
      </c>
      <c r="ADY30" t="str">
        <f t="shared" si="166"/>
        <v>E3-29</v>
      </c>
      <c r="AEA30" s="16" t="s">
        <v>2106</v>
      </c>
    </row>
    <row r="31" spans="1:807" ht="15.75" thickBot="1" x14ac:dyDescent="0.3">
      <c r="A31" t="s">
        <v>2171</v>
      </c>
      <c r="B31" t="s">
        <v>2202</v>
      </c>
      <c r="C31" t="s">
        <v>2312</v>
      </c>
      <c r="P31" t="s">
        <v>2313</v>
      </c>
      <c r="T31" s="14" t="s">
        <v>2071</v>
      </c>
      <c r="V31" t="s">
        <v>2187</v>
      </c>
      <c r="AP31" t="s">
        <v>2004</v>
      </c>
      <c r="ADW31" s="27" t="s">
        <v>2105</v>
      </c>
      <c r="ADX31">
        <v>14</v>
      </c>
      <c r="ADY31" t="str">
        <f t="shared" si="166"/>
        <v>E3-30</v>
      </c>
      <c r="AEA31" s="16" t="s">
        <v>2106</v>
      </c>
    </row>
    <row r="32" spans="1:807" ht="15.75" thickBot="1" x14ac:dyDescent="0.3">
      <c r="A32" t="s">
        <v>2225</v>
      </c>
      <c r="B32" t="s">
        <v>2269</v>
      </c>
      <c r="P32" t="s">
        <v>2073</v>
      </c>
      <c r="T32" s="14" t="s">
        <v>2071</v>
      </c>
      <c r="U32">
        <v>5</v>
      </c>
      <c r="V32" s="15"/>
      <c r="W32" t="s">
        <v>2227</v>
      </c>
      <c r="X32" t="s">
        <v>2007</v>
      </c>
      <c r="Y32" s="43" t="str" cm="1">
        <f t="array" ref="Y32">IF(COUNTIFS($X$2:$X32,$X32)=1,"1",VALUE(SUBSTITUTE(INDEX(Y:Y,_xlfn.XMATCH($X32,$X$1:$X31,0,-1)),"A",""))+INDEX(Z:Z,_xlfn.XMATCH($X32,$X$1:$X31,0,-1))+1)</f>
        <v>1</v>
      </c>
      <c r="Z32" s="43" cm="1">
        <f t="array" ref="Z32">SUM(IF(ISNUMBER(FIND("TmAi",$BE$1:$AAL$1)),IF(IFERROR(ISODD(SUBSTITUTE($BE32:$AAL32,"A","")),FALSE),IF(ISODD(SUBSTITUTE($BE32:$AAL32,"A","")),1,0),0)))</f>
        <v>10</v>
      </c>
      <c r="AA32" t="str">
        <f t="shared" ref="AA32:AA33" si="167">CONCATENATE($Y32*2-1,"A")</f>
        <v>1A</v>
      </c>
      <c r="AB32" t="str">
        <f t="shared" ref="AB32:AB33" si="168">CONCATENATE($Y32*2-1,"B")</f>
        <v>1B</v>
      </c>
      <c r="AP32" t="s">
        <v>2077</v>
      </c>
      <c r="AS32" t="s">
        <v>396</v>
      </c>
      <c r="JZ32" s="27"/>
      <c r="KS32" s="16"/>
      <c r="PZ32" s="25" t="str">
        <f>REPLACE(X32,FIND(".",X32)+1,3,MID(X32,FIND(".",X32)+1,3)+1)</f>
        <v>A3.10</v>
      </c>
      <c r="QA32" s="12" t="str">
        <f>CONCATENATE(VALUE(SUBSTITUTE($AB32,"B",""))+2,"B")</f>
        <v>3B</v>
      </c>
      <c r="QB32" s="12" t="str">
        <f>CONCATENATE(VALUE(SUBSTITUTE($AA32,"A",""))+2,"A")</f>
        <v>3A</v>
      </c>
      <c r="QC32" s="12" t="str">
        <f>CONCATENATE(VALUE(SUBSTITUTE(QA32,"B",""))+2,"B")</f>
        <v>5B</v>
      </c>
      <c r="QD32" s="12" t="str">
        <f>CONCATENATE(VALUE(SUBSTITUTE(QB32,"A",""))+2,"A")</f>
        <v>5A</v>
      </c>
      <c r="QE32" s="12" t="str">
        <f t="shared" ref="QE32:QE33" si="169">CONCATENATE(VALUE(SUBSTITUTE(QC32,"B",""))+2,"B")</f>
        <v>7B</v>
      </c>
      <c r="QF32" s="12" t="str">
        <f t="shared" ref="QF32:QF33" si="170">CONCATENATE(VALUE(SUBSTITUTE(QD32,"A",""))+2,"A")</f>
        <v>7A</v>
      </c>
      <c r="QG32" s="12" t="str">
        <f t="shared" ref="QG32:QG33" si="171">CONCATENATE(VALUE(SUBSTITUTE(QE32,"B",""))+2,"B")</f>
        <v>9B</v>
      </c>
      <c r="QH32" s="12" t="str">
        <f t="shared" ref="QH32:QH33" si="172">CONCATENATE(VALUE(SUBSTITUTE(QF32,"A",""))+2,"A")</f>
        <v>9A</v>
      </c>
      <c r="QI32" s="12" t="str">
        <f t="shared" ref="QI32:QI33" si="173">CONCATENATE(VALUE(SUBSTITUTE(QG32,"B",""))+2,"B")</f>
        <v>11B</v>
      </c>
      <c r="QJ32" s="12" t="str">
        <f t="shared" ref="QJ32:QJ33" si="174">CONCATENATE(VALUE(SUBSTITUTE(QH32,"A",""))+2,"A")</f>
        <v>11A</v>
      </c>
      <c r="QK32" s="12" t="s">
        <v>135</v>
      </c>
      <c r="QL32" s="12" t="s">
        <v>136</v>
      </c>
      <c r="QM32" s="12" t="str">
        <f t="shared" ref="QM32:QM33" si="175">CONCATENATE(VALUE(SUBSTITUTE(QK32,"B",""))+2,"B")</f>
        <v>3B</v>
      </c>
      <c r="QN32" s="12" t="str">
        <f t="shared" ref="QN32:QN33" si="176">CONCATENATE(VALUE(SUBSTITUTE(QL32,"A",""))+2,"A")</f>
        <v>3A</v>
      </c>
      <c r="QO32" s="12" t="str">
        <f t="shared" ref="QO32:QO33" si="177">CONCATENATE(VALUE(SUBSTITUTE(QM32,"B",""))+2,"B")</f>
        <v>5B</v>
      </c>
      <c r="QP32" s="12" t="str">
        <f t="shared" ref="QP32:QP33" si="178">CONCATENATE(VALUE(SUBSTITUTE(QN32,"A",""))+2,"A")</f>
        <v>5A</v>
      </c>
      <c r="QQ32" s="12" t="str">
        <f t="shared" ref="QQ32:QQ33" si="179">CONCATENATE(VALUE(SUBSTITUTE(QO32,"B",""))+2,"B")</f>
        <v>7B</v>
      </c>
      <c r="QR32" s="12" t="str">
        <f t="shared" ref="QR32:QR33" si="180">CONCATENATE(VALUE(SUBSTITUTE(QP32,"A",""))+2,"A")</f>
        <v>7A</v>
      </c>
      <c r="QS32" s="12" t="str">
        <f t="shared" ref="QS32:QS33" si="181">CONCATENATE(VALUE(SUBSTITUTE(QQ32,"B",""))+2,"B")</f>
        <v>9B</v>
      </c>
      <c r="QT32" s="12" t="str">
        <f t="shared" ref="QT32:QT33" si="182">CONCATENATE(VALUE(SUBSTITUTE(QR32,"A",""))+2,"A")</f>
        <v>9A</v>
      </c>
      <c r="QU32" s="12"/>
      <c r="QV32" s="12"/>
      <c r="QW32" s="12" t="str">
        <f>CONCATENATE($T32,"-AI",REPLACE($X32,1,3,""),"-",AB32)</f>
        <v>E3-AI9-1B</v>
      </c>
      <c r="QX32" s="12" t="str">
        <f>CONCATENATE($T32,"-AI",REPLACE($X32,1,3,""),"-",AA32)</f>
        <v>E3-AI9-1A</v>
      </c>
      <c r="QY32" s="12" t="str">
        <f>CONCATENATE($T32,"-AI",REPLACE($X32,1,3,""),"-",QA32)</f>
        <v>E3-AI9-3B</v>
      </c>
      <c r="QZ32" s="12" t="str">
        <f>CONCATENATE($T32,"-AI",REPLACE($X32,1,3,""),"-",QB32)</f>
        <v>E3-AI9-3A</v>
      </c>
      <c r="RA32" s="12" t="str">
        <f t="shared" ref="RA32:RA33" si="183">CONCATENATE($T32,"-AI",REPLACE($X32,1,3,""),"-",QC32)</f>
        <v>E3-AI9-5B</v>
      </c>
      <c r="RB32" s="12" t="str">
        <f t="shared" ref="RB32:RB33" si="184">CONCATENATE($T32,"-AI",REPLACE($X32,1,3,""),"-",QD32)</f>
        <v>E3-AI9-5A</v>
      </c>
      <c r="RC32" s="12" t="str">
        <f t="shared" ref="RC32:RC33" si="185">CONCATENATE($T32,"-AI",REPLACE($X32,1,3,""),"-",QE32)</f>
        <v>E3-AI9-7B</v>
      </c>
      <c r="RD32" s="12" t="str">
        <f t="shared" ref="RD32:RD33" si="186">CONCATENATE($T32,"-AI",REPLACE($X32,1,3,""),"-",QF32)</f>
        <v>E3-AI9-7A</v>
      </c>
      <c r="RE32" s="12" t="str">
        <f t="shared" ref="RE32:RE33" si="187">CONCATENATE($T32,"-AI",REPLACE($X32,1,3,""),"-",QG32)</f>
        <v>E3-AI9-9B</v>
      </c>
      <c r="RF32" s="12" t="str">
        <f t="shared" ref="RF32:RF33" si="188">CONCATENATE($T32,"-AI",REPLACE($X32,1,3,""),"-",QH32)</f>
        <v>E3-AI9-9A</v>
      </c>
      <c r="RG32" s="12" t="str">
        <f t="shared" ref="RG32:RG33" si="189">CONCATENATE($T32,"-AI",REPLACE($X32,1,3,""),"-",QI32)</f>
        <v>E3-AI9-11B</v>
      </c>
      <c r="RH32" s="12" t="str">
        <f t="shared" ref="RH32:RH33" si="190">CONCATENATE($T32,"-AI",REPLACE($X32,1,3,""),"-",QJ32)</f>
        <v>E3-AI9-11A</v>
      </c>
      <c r="RI32" s="12" t="str">
        <f t="shared" ref="RI32:RI33" si="191">CONCATENATE($T32,"-AI",REPLACE($PZ32,1,3,""),"-",QK32)</f>
        <v>E3-AI10-1B</v>
      </c>
      <c r="RJ32" s="12" t="str">
        <f t="shared" ref="RJ32:RJ33" si="192">CONCATENATE($T32,"-AI",REPLACE($PZ32,1,3,""),"-",QL32)</f>
        <v>E3-AI10-1A</v>
      </c>
      <c r="RK32" s="12" t="str">
        <f t="shared" ref="RK32:RK33" si="193">CONCATENATE($T32,"-AI",REPLACE($PZ32,1,3,""),"-",QM32)</f>
        <v>E3-AI10-3B</v>
      </c>
      <c r="RL32" s="12" t="str">
        <f t="shared" ref="RL32:RL33" si="194">CONCATENATE($T32,"-AI",REPLACE($PZ32,1,3,""),"-",QN32)</f>
        <v>E3-AI10-3A</v>
      </c>
      <c r="RM32" s="12" t="str">
        <f t="shared" ref="RM32:RM33" si="195">CONCATENATE($T32,"-AI",REPLACE($PZ32,1,3,""),"-",QO32)</f>
        <v>E3-AI10-5B</v>
      </c>
      <c r="RN32" s="12" t="str">
        <f t="shared" ref="RN32:RN33" si="196">CONCATENATE($T32,"-AI",REPLACE($PZ32,1,3,""),"-",QP32)</f>
        <v>E3-AI10-5A</v>
      </c>
      <c r="RO32" s="12" t="str">
        <f t="shared" ref="RO32:RO33" si="197">CONCATENATE($T32,"-AI",REPLACE($PZ32,1,3,""),"-",QQ32)</f>
        <v>E3-AI10-7B</v>
      </c>
      <c r="RP32" s="12" t="str">
        <f t="shared" ref="RP32:RP33" si="198">CONCATENATE($T32,"-AI",REPLACE($PZ32,1,3,""),"-",QR32)</f>
        <v>E3-AI10-7A</v>
      </c>
      <c r="RQ32" s="12" t="str">
        <f t="shared" ref="RQ32:RQ33" si="199">CONCATENATE($T32,"-AI",REPLACE($PZ32,1,3,""),"-",QS32)</f>
        <v>E3-AI10-9B</v>
      </c>
      <c r="RR32" s="12" t="str">
        <f t="shared" ref="RR32:RR33" si="200">CONCATENATE($T32,"-AI",REPLACE($PZ32,1,3,""),"-",QT32)</f>
        <v>E3-AI10-9A</v>
      </c>
      <c r="RS32" s="12"/>
      <c r="RT32" s="12"/>
      <c r="RU32" s="12" t="str">
        <f t="shared" ref="RU32:RU33" si="201">CONCATENATE("XT",$U32)</f>
        <v>XT5</v>
      </c>
      <c r="RV32" s="12">
        <v>1</v>
      </c>
      <c r="RW32" s="12">
        <f>RV32+1</f>
        <v>2</v>
      </c>
      <c r="RX32" s="12">
        <f t="shared" ref="RX32:RX33" si="202">RW32+1</f>
        <v>3</v>
      </c>
      <c r="RY32" s="12">
        <f t="shared" ref="RY32:RY33" si="203">RX32+1</f>
        <v>4</v>
      </c>
      <c r="RZ32" s="12">
        <f t="shared" ref="RZ32:RZ33" si="204">RY32+1</f>
        <v>5</v>
      </c>
      <c r="SA32" s="12">
        <f t="shared" ref="SA32:SA33" si="205">RZ32+1</f>
        <v>6</v>
      </c>
      <c r="SB32" s="12">
        <f t="shared" ref="SB32:SB33" si="206">SA32+1</f>
        <v>7</v>
      </c>
      <c r="SC32" s="12">
        <f t="shared" ref="SC32:SC33" si="207">SB32+1</f>
        <v>8</v>
      </c>
      <c r="SD32" s="12">
        <f t="shared" ref="SD32:SD33" si="208">SC32+1</f>
        <v>9</v>
      </c>
      <c r="SE32" s="12">
        <f t="shared" ref="SE32:SE33" si="209">SD32+1</f>
        <v>10</v>
      </c>
      <c r="SF32" s="12">
        <f t="shared" ref="SF32:SF33" si="210">SE32+1</f>
        <v>11</v>
      </c>
      <c r="SG32" s="12">
        <f t="shared" ref="SG32:SG33" si="211">SF32+1</f>
        <v>12</v>
      </c>
      <c r="SH32" s="12">
        <f t="shared" ref="SH32:SH33" si="212">SG32+1</f>
        <v>13</v>
      </c>
      <c r="SI32" s="12">
        <f t="shared" ref="SI32:SI33" si="213">SH32+1</f>
        <v>14</v>
      </c>
      <c r="SJ32" s="12">
        <f t="shared" ref="SJ32:SJ33" si="214">SI32+1</f>
        <v>15</v>
      </c>
      <c r="SK32" s="12">
        <f t="shared" ref="SK32:SK33" si="215">SJ32+1</f>
        <v>16</v>
      </c>
      <c r="SL32" s="12">
        <f t="shared" ref="SL32:SL33" si="216">SK32+1</f>
        <v>17</v>
      </c>
      <c r="SM32" s="12">
        <f t="shared" ref="SM32:SM33" si="217">SL32+1</f>
        <v>18</v>
      </c>
      <c r="SN32" s="12">
        <f t="shared" ref="SN32:SN33" si="218">SM32+1</f>
        <v>19</v>
      </c>
      <c r="SO32" s="12">
        <f t="shared" ref="SO32:SO33" si="219">SN32+1</f>
        <v>20</v>
      </c>
      <c r="SP32" s="12">
        <f t="shared" ref="SP32:SP33" si="220">SO32+1</f>
        <v>21</v>
      </c>
      <c r="SQ32" s="12">
        <f t="shared" ref="SQ32:SQ33" si="221">SP32+1</f>
        <v>22</v>
      </c>
      <c r="SR32" s="12">
        <f t="shared" ref="SR32:SR33" si="222">SQ32+1</f>
        <v>23</v>
      </c>
      <c r="SS32" s="12"/>
      <c r="ST32" s="12"/>
      <c r="SU32" s="12" t="s">
        <v>2229</v>
      </c>
      <c r="SV32" s="12" t="s">
        <v>2230</v>
      </c>
      <c r="SW32" s="12" t="s">
        <v>2231</v>
      </c>
      <c r="SX32" s="12" t="s">
        <v>2232</v>
      </c>
      <c r="SY32" s="12" t="s">
        <v>2233</v>
      </c>
      <c r="SZ32" s="12" t="s">
        <v>2234</v>
      </c>
      <c r="TA32" s="12" t="s">
        <v>2235</v>
      </c>
      <c r="TB32" s="12" t="s">
        <v>2236</v>
      </c>
      <c r="TC32" s="12" t="s">
        <v>2237</v>
      </c>
      <c r="TD32" s="12" t="s">
        <v>2238</v>
      </c>
      <c r="TE32" s="12" t="s">
        <v>2239</v>
      </c>
      <c r="TF32" s="12"/>
      <c r="TG32" s="12" t="s">
        <v>2078</v>
      </c>
      <c r="TH32" s="12" t="s">
        <v>2079</v>
      </c>
      <c r="TI32" s="12" t="s">
        <v>2080</v>
      </c>
      <c r="TJ32" s="12" t="s">
        <v>2081</v>
      </c>
      <c r="TK32" s="12" t="s">
        <v>2082</v>
      </c>
      <c r="TL32" s="12" t="s">
        <v>2083</v>
      </c>
      <c r="TM32" s="12" t="s">
        <v>2084</v>
      </c>
      <c r="TN32" s="12" t="s">
        <v>2085</v>
      </c>
      <c r="TO32" s="12" t="s">
        <v>2086</v>
      </c>
      <c r="TP32" s="12" t="s">
        <v>2087</v>
      </c>
      <c r="TQ32" s="12" t="s">
        <v>2088</v>
      </c>
      <c r="TR32" s="13"/>
    </row>
    <row r="33" spans="1:819" ht="15.75" thickBot="1" x14ac:dyDescent="0.3">
      <c r="A33" t="s">
        <v>2226</v>
      </c>
      <c r="B33" t="s">
        <v>2270</v>
      </c>
      <c r="P33" t="s">
        <v>2073</v>
      </c>
      <c r="T33" s="14" t="s">
        <v>2071</v>
      </c>
      <c r="U33">
        <v>6</v>
      </c>
      <c r="V33" s="15"/>
      <c r="W33" t="s">
        <v>2228</v>
      </c>
      <c r="X33" t="s">
        <v>2008</v>
      </c>
      <c r="Y33" s="43" t="str" cm="1">
        <f t="array" ref="Y33">IF(COUNTIFS($X$2:$X33,$X33)=1,"1",VALUE(SUBSTITUTE(INDEX(Y:Y,_xlfn.XMATCH($X33,$X$1:$X32,0,-1)),"A",""))+INDEX(Z:Z,_xlfn.XMATCH($X33,$X$1:$X32,0,-1))+1)</f>
        <v>1</v>
      </c>
      <c r="Z33" s="43" cm="1">
        <f t="array" ref="Z33">SUM(IF(ISNUMBER(FIND("TmAi",$BE$1:$AAL$1)),IF(IFERROR(ISODD(SUBSTITUTE($BE33:$AAL33,"A","")),FALSE),IF(ISODD(SUBSTITUTE($BE33:$AAL33,"A","")),1,0),0)))</f>
        <v>10</v>
      </c>
      <c r="AA33" t="str">
        <f t="shared" si="167"/>
        <v>1A</v>
      </c>
      <c r="AB33" t="str">
        <f t="shared" si="168"/>
        <v>1B</v>
      </c>
      <c r="AP33" t="s">
        <v>2077</v>
      </c>
      <c r="AS33" t="s">
        <v>396</v>
      </c>
      <c r="JZ33" s="27"/>
      <c r="KS33" s="16"/>
      <c r="PZ33" s="25" t="str">
        <f>REPLACE(X33,FIND(".",X33)+1,3,MID(X33,FIND(".",X33)+1,3)+1)</f>
        <v>A3.12</v>
      </c>
      <c r="QA33" s="12" t="str">
        <f>CONCATENATE(VALUE(SUBSTITUTE($AB33,"B",""))+2,"B")</f>
        <v>3B</v>
      </c>
      <c r="QB33" s="12" t="str">
        <f>CONCATENATE(VALUE(SUBSTITUTE($AA33,"A",""))+2,"A")</f>
        <v>3A</v>
      </c>
      <c r="QC33" s="12" t="str">
        <f>CONCATENATE(VALUE(SUBSTITUTE(QA33,"B",""))+2,"B")</f>
        <v>5B</v>
      </c>
      <c r="QD33" s="12" t="str">
        <f>CONCATENATE(VALUE(SUBSTITUTE(QB33,"A",""))+2,"A")</f>
        <v>5A</v>
      </c>
      <c r="QE33" s="12" t="str">
        <f t="shared" si="169"/>
        <v>7B</v>
      </c>
      <c r="QF33" s="12" t="str">
        <f t="shared" si="170"/>
        <v>7A</v>
      </c>
      <c r="QG33" s="12" t="str">
        <f t="shared" si="171"/>
        <v>9B</v>
      </c>
      <c r="QH33" s="12" t="str">
        <f t="shared" si="172"/>
        <v>9A</v>
      </c>
      <c r="QI33" s="12" t="str">
        <f t="shared" si="173"/>
        <v>11B</v>
      </c>
      <c r="QJ33" s="12" t="str">
        <f t="shared" si="174"/>
        <v>11A</v>
      </c>
      <c r="QK33" s="12" t="s">
        <v>135</v>
      </c>
      <c r="QL33" s="12" t="s">
        <v>136</v>
      </c>
      <c r="QM33" s="12" t="str">
        <f t="shared" si="175"/>
        <v>3B</v>
      </c>
      <c r="QN33" s="12" t="str">
        <f t="shared" si="176"/>
        <v>3A</v>
      </c>
      <c r="QO33" s="12" t="str">
        <f t="shared" si="177"/>
        <v>5B</v>
      </c>
      <c r="QP33" s="12" t="str">
        <f t="shared" si="178"/>
        <v>5A</v>
      </c>
      <c r="QQ33" s="12" t="str">
        <f t="shared" si="179"/>
        <v>7B</v>
      </c>
      <c r="QR33" s="12" t="str">
        <f t="shared" si="180"/>
        <v>7A</v>
      </c>
      <c r="QS33" s="12" t="str">
        <f t="shared" si="181"/>
        <v>9B</v>
      </c>
      <c r="QT33" s="12" t="str">
        <f t="shared" si="182"/>
        <v>9A</v>
      </c>
      <c r="QU33" s="12"/>
      <c r="QV33" s="12"/>
      <c r="QW33" s="12" t="str">
        <f>CONCATENATE($T33,"-AI",REPLACE($X33,1,3,""),"-",AB33)</f>
        <v>E3-AI11-1B</v>
      </c>
      <c r="QX33" s="12" t="str">
        <f>CONCATENATE($T33,"-AI",REPLACE($X33,1,3,""),"-",AA33)</f>
        <v>E3-AI11-1A</v>
      </c>
      <c r="QY33" s="12" t="str">
        <f>CONCATENATE($T33,"-AI",REPLACE($X33,1,3,""),"-",QA33)</f>
        <v>E3-AI11-3B</v>
      </c>
      <c r="QZ33" s="12" t="str">
        <f>CONCATENATE($T33,"-AI",REPLACE($X33,1,3,""),"-",QB33)</f>
        <v>E3-AI11-3A</v>
      </c>
      <c r="RA33" s="12" t="str">
        <f t="shared" si="183"/>
        <v>E3-AI11-5B</v>
      </c>
      <c r="RB33" s="12" t="str">
        <f t="shared" si="184"/>
        <v>E3-AI11-5A</v>
      </c>
      <c r="RC33" s="12" t="str">
        <f t="shared" si="185"/>
        <v>E3-AI11-7B</v>
      </c>
      <c r="RD33" s="12" t="str">
        <f t="shared" si="186"/>
        <v>E3-AI11-7A</v>
      </c>
      <c r="RE33" s="12" t="str">
        <f t="shared" si="187"/>
        <v>E3-AI11-9B</v>
      </c>
      <c r="RF33" s="12" t="str">
        <f t="shared" si="188"/>
        <v>E3-AI11-9A</v>
      </c>
      <c r="RG33" s="12" t="str">
        <f t="shared" si="189"/>
        <v>E3-AI11-11B</v>
      </c>
      <c r="RH33" s="12" t="str">
        <f t="shared" si="190"/>
        <v>E3-AI11-11A</v>
      </c>
      <c r="RI33" s="12" t="str">
        <f t="shared" si="191"/>
        <v>E3-AI12-1B</v>
      </c>
      <c r="RJ33" s="12" t="str">
        <f t="shared" si="192"/>
        <v>E3-AI12-1A</v>
      </c>
      <c r="RK33" s="12" t="str">
        <f t="shared" si="193"/>
        <v>E3-AI12-3B</v>
      </c>
      <c r="RL33" s="12" t="str">
        <f t="shared" si="194"/>
        <v>E3-AI12-3A</v>
      </c>
      <c r="RM33" s="12" t="str">
        <f t="shared" si="195"/>
        <v>E3-AI12-5B</v>
      </c>
      <c r="RN33" s="12" t="str">
        <f t="shared" si="196"/>
        <v>E3-AI12-5A</v>
      </c>
      <c r="RO33" s="12" t="str">
        <f t="shared" si="197"/>
        <v>E3-AI12-7B</v>
      </c>
      <c r="RP33" s="12" t="str">
        <f t="shared" si="198"/>
        <v>E3-AI12-7A</v>
      </c>
      <c r="RQ33" s="12" t="str">
        <f t="shared" si="199"/>
        <v>E3-AI12-9B</v>
      </c>
      <c r="RR33" s="12" t="str">
        <f t="shared" si="200"/>
        <v>E3-AI12-9A</v>
      </c>
      <c r="RS33" s="12"/>
      <c r="RT33" s="12"/>
      <c r="RU33" s="12" t="str">
        <f t="shared" si="201"/>
        <v>XT6</v>
      </c>
      <c r="RV33" s="12">
        <v>1</v>
      </c>
      <c r="RW33" s="12">
        <f>RV33+1</f>
        <v>2</v>
      </c>
      <c r="RX33" s="12">
        <f t="shared" si="202"/>
        <v>3</v>
      </c>
      <c r="RY33" s="12">
        <f t="shared" si="203"/>
        <v>4</v>
      </c>
      <c r="RZ33" s="12">
        <f t="shared" si="204"/>
        <v>5</v>
      </c>
      <c r="SA33" s="12">
        <f t="shared" si="205"/>
        <v>6</v>
      </c>
      <c r="SB33" s="12">
        <f t="shared" si="206"/>
        <v>7</v>
      </c>
      <c r="SC33" s="12">
        <f t="shared" si="207"/>
        <v>8</v>
      </c>
      <c r="SD33" s="12">
        <f t="shared" si="208"/>
        <v>9</v>
      </c>
      <c r="SE33" s="12">
        <f t="shared" si="209"/>
        <v>10</v>
      </c>
      <c r="SF33" s="12">
        <f t="shared" si="210"/>
        <v>11</v>
      </c>
      <c r="SG33" s="12">
        <f t="shared" si="211"/>
        <v>12</v>
      </c>
      <c r="SH33" s="12">
        <f t="shared" si="212"/>
        <v>13</v>
      </c>
      <c r="SI33" s="12">
        <f t="shared" si="213"/>
        <v>14</v>
      </c>
      <c r="SJ33" s="12">
        <f t="shared" si="214"/>
        <v>15</v>
      </c>
      <c r="SK33" s="12">
        <f t="shared" si="215"/>
        <v>16</v>
      </c>
      <c r="SL33" s="12">
        <f t="shared" si="216"/>
        <v>17</v>
      </c>
      <c r="SM33" s="12">
        <f t="shared" si="217"/>
        <v>18</v>
      </c>
      <c r="SN33" s="12">
        <f t="shared" si="218"/>
        <v>19</v>
      </c>
      <c r="SO33" s="12">
        <f t="shared" si="219"/>
        <v>20</v>
      </c>
      <c r="SP33" s="12">
        <f t="shared" si="220"/>
        <v>21</v>
      </c>
      <c r="SQ33" s="12">
        <f t="shared" si="221"/>
        <v>22</v>
      </c>
      <c r="SR33" s="12">
        <f t="shared" si="222"/>
        <v>23</v>
      </c>
      <c r="SS33" s="12"/>
      <c r="ST33" s="12"/>
      <c r="SU33" s="12" t="s">
        <v>2240</v>
      </c>
      <c r="SV33" s="12" t="s">
        <v>2241</v>
      </c>
      <c r="SW33" s="12" t="s">
        <v>2242</v>
      </c>
      <c r="SX33" s="12" t="s">
        <v>2243</v>
      </c>
      <c r="SY33" s="12" t="s">
        <v>2244</v>
      </c>
      <c r="SZ33" s="12" t="s">
        <v>2245</v>
      </c>
      <c r="TA33" s="12" t="s">
        <v>2246</v>
      </c>
      <c r="TB33" s="12" t="s">
        <v>2247</v>
      </c>
      <c r="TC33" s="12" t="s">
        <v>2248</v>
      </c>
      <c r="TD33" s="12" t="s">
        <v>2249</v>
      </c>
      <c r="TE33" s="12" t="s">
        <v>2250</v>
      </c>
      <c r="TF33" s="12"/>
      <c r="TG33" s="12" t="s">
        <v>2078</v>
      </c>
      <c r="TH33" s="12" t="s">
        <v>2079</v>
      </c>
      <c r="TI33" s="12" t="s">
        <v>2080</v>
      </c>
      <c r="TJ33" s="12" t="s">
        <v>2081</v>
      </c>
      <c r="TK33" s="12" t="s">
        <v>2082</v>
      </c>
      <c r="TL33" s="12" t="s">
        <v>2083</v>
      </c>
      <c r="TM33" s="12" t="s">
        <v>2084</v>
      </c>
      <c r="TN33" s="12" t="s">
        <v>2085</v>
      </c>
      <c r="TO33" s="12" t="s">
        <v>2086</v>
      </c>
      <c r="TP33" s="12" t="s">
        <v>2087</v>
      </c>
      <c r="TQ33" s="12" t="s">
        <v>2088</v>
      </c>
      <c r="TR33" s="13"/>
    </row>
    <row r="34" spans="1:819" x14ac:dyDescent="0.25">
      <c r="A34" t="s">
        <v>2251</v>
      </c>
      <c r="B34" t="s">
        <v>2260</v>
      </c>
      <c r="P34" t="s">
        <v>1873</v>
      </c>
      <c r="T34" s="14" t="s">
        <v>2071</v>
      </c>
      <c r="AC34" t="s">
        <v>131</v>
      </c>
      <c r="AD34" s="43">
        <v>1</v>
      </c>
      <c r="AE34" s="43" cm="1">
        <f t="array" ref="AE34">SUM(IF(ISNUMBER(FIND("TmDi",$BE$1:$AAL$1)),IF(IFERROR(ISNUMBER(VALUE(SUBSTITUTE($BE34:$AAL34,"B",""))),FALSE),IF(ISNUMBER(VALUE(SUBSTITUTE($BE34:$AAL34,"B",""))),1,0),0)))</f>
        <v>0</v>
      </c>
      <c r="AF34" t="str">
        <f t="shared" ref="AF34:AF42" si="223">CONCATENATE("C",$AD34)</f>
        <v>C1</v>
      </c>
      <c r="AG34" t="str">
        <f t="shared" ref="AG34:AG42" si="224">CONCATENATE("B",$AD34)</f>
        <v>B1</v>
      </c>
      <c r="AP34" t="s">
        <v>2077</v>
      </c>
      <c r="AT34" t="s">
        <v>854</v>
      </c>
      <c r="AU34" t="s">
        <v>1399</v>
      </c>
      <c r="LY34" s="25" t="str">
        <f>CONCATENATE("DI",REPLACE($AC34,1,3,""),"-",$AF34)</f>
        <v>DI1-C1</v>
      </c>
      <c r="LZ34" s="12"/>
      <c r="MA34" s="12" t="s">
        <v>1884</v>
      </c>
      <c r="MB34" s="12" t="s">
        <v>1883</v>
      </c>
      <c r="MC34" s="12">
        <v>11</v>
      </c>
      <c r="MD34" s="12">
        <v>14</v>
      </c>
      <c r="ME34" s="12" t="s">
        <v>142</v>
      </c>
      <c r="MF34" s="12" t="s">
        <v>143</v>
      </c>
      <c r="MG34" s="12" t="s">
        <v>488</v>
      </c>
      <c r="MH34" s="12" t="s">
        <v>487</v>
      </c>
      <c r="MI34" s="12" t="s">
        <v>414</v>
      </c>
      <c r="MJ34" s="12" t="s">
        <v>413</v>
      </c>
      <c r="MK34" s="12"/>
      <c r="ML34" s="12"/>
      <c r="MM34" s="12"/>
      <c r="MN34" s="12"/>
      <c r="MO34" s="12"/>
      <c r="MP34" s="12"/>
      <c r="MQ34" s="12">
        <v>1</v>
      </c>
      <c r="MR34" s="13">
        <v>2</v>
      </c>
      <c r="MS34" s="27"/>
    </row>
    <row r="35" spans="1:819" x14ac:dyDescent="0.25">
      <c r="A35" t="s">
        <v>2252</v>
      </c>
      <c r="B35" t="s">
        <v>2261</v>
      </c>
      <c r="P35" t="s">
        <v>1873</v>
      </c>
      <c r="T35" s="14" t="s">
        <v>2071</v>
      </c>
      <c r="AC35" t="str">
        <f t="shared" ref="AC35:AC42" si="225">IF(AD34+AE34&gt;31,REPLACE(AC34,LEN(AC34),1,VALUE(RIGHT(AC34,1))+1),AC34)</f>
        <v>A5.1</v>
      </c>
      <c r="AD35" s="43" cm="1">
        <f t="array" ref="AD35">IF(COUNTIFS(AC$2:AC35,AC35)=1,"1",VALUE(SUBSTITUTE(INDEX(AD:AD,_xlfn.XMATCH(AC35,AC$1:AC34,0,-1)),"A",""))+INDEX(AE:AE,_xlfn.XMATCH(AC35,AC$1:AC34,0,-1))+1)</f>
        <v>2</v>
      </c>
      <c r="AE35" s="43" cm="1">
        <f t="array" ref="AE35">SUM(IF(ISNUMBER(FIND("TmDi",$BE$1:$AAL$1)),IF(IFERROR(ISNUMBER(VALUE(SUBSTITUTE($BE35:$AAL35,"B",""))),FALSE),IF(ISNUMBER(VALUE(SUBSTITUTE($BE35:$AAL35,"B",""))),1,0),0)))</f>
        <v>0</v>
      </c>
      <c r="AF35" t="str">
        <f t="shared" si="223"/>
        <v>C2</v>
      </c>
      <c r="AG35" t="str">
        <f t="shared" si="224"/>
        <v>B2</v>
      </c>
      <c r="AP35" t="s">
        <v>2077</v>
      </c>
      <c r="AT35" t="s">
        <v>854</v>
      </c>
      <c r="AU35" t="s">
        <v>1399</v>
      </c>
      <c r="LY35" s="27" t="str">
        <f>CONCATENATE("DI",REPLACE($AC35,1,3,""),"-",$AF35)</f>
        <v>DI1-C2</v>
      </c>
      <c r="MA35" t="s">
        <v>1885</v>
      </c>
      <c r="MB35" t="s">
        <v>1886</v>
      </c>
      <c r="MC35">
        <f t="shared" ref="MC35:MJ35" si="226">MC34</f>
        <v>11</v>
      </c>
      <c r="MD35">
        <f t="shared" si="226"/>
        <v>14</v>
      </c>
      <c r="ME35" t="str">
        <f t="shared" si="226"/>
        <v>A1</v>
      </c>
      <c r="MF35" t="str">
        <f t="shared" si="226"/>
        <v>A2</v>
      </c>
      <c r="MG35" t="str">
        <f t="shared" si="226"/>
        <v>0v3</v>
      </c>
      <c r="MH35" t="str">
        <f t="shared" si="226"/>
        <v>24v3</v>
      </c>
      <c r="MI35" t="str">
        <f t="shared" si="226"/>
        <v>0v6</v>
      </c>
      <c r="MJ35" t="str">
        <f t="shared" si="226"/>
        <v>24v6</v>
      </c>
      <c r="MQ35">
        <f>MQ34</f>
        <v>1</v>
      </c>
      <c r="MR35" s="16">
        <f>MR34</f>
        <v>2</v>
      </c>
    </row>
    <row r="36" spans="1:819" x14ac:dyDescent="0.25">
      <c r="A36" t="s">
        <v>2253</v>
      </c>
      <c r="B36" t="s">
        <v>2262</v>
      </c>
      <c r="P36" t="s">
        <v>1873</v>
      </c>
      <c r="T36" s="14" t="s">
        <v>2071</v>
      </c>
      <c r="AC36" t="str">
        <f t="shared" si="225"/>
        <v>A5.1</v>
      </c>
      <c r="AD36" s="43" cm="1">
        <f t="array" ref="AD36">IF(COUNTIFS(AC$2:AC36,AC36)=1,"1",VALUE(SUBSTITUTE(INDEX(AD:AD,_xlfn.XMATCH(AC36,AC$1:AC35,0,-1)),"A",""))+INDEX(AE:AE,_xlfn.XMATCH(AC36,AC$1:AC35,0,-1))+1)</f>
        <v>3</v>
      </c>
      <c r="AE36" s="43" cm="1">
        <f t="array" ref="AE36">SUM(IF(ISNUMBER(FIND("TmDi",$BE$1:$AAL$1)),IF(IFERROR(ISNUMBER(VALUE(SUBSTITUTE($BE36:$AAL36,"B",""))),FALSE),IF(ISNUMBER(VALUE(SUBSTITUTE($BE36:$AAL36,"B",""))),1,0),0)))</f>
        <v>0</v>
      </c>
      <c r="AF36" t="str">
        <f t="shared" si="223"/>
        <v>C3</v>
      </c>
      <c r="AG36" t="str">
        <f t="shared" si="224"/>
        <v>B3</v>
      </c>
      <c r="AP36" t="s">
        <v>2077</v>
      </c>
      <c r="AT36" t="s">
        <v>854</v>
      </c>
      <c r="AU36" t="s">
        <v>1399</v>
      </c>
      <c r="LY36" s="27" t="str">
        <f t="shared" ref="LY36:LY42" si="227">CONCATENATE("DI",REPLACE($AC36,1,3,""),"-",$AF36)</f>
        <v>DI1-C3</v>
      </c>
      <c r="MA36" t="s">
        <v>1887</v>
      </c>
      <c r="MB36" t="s">
        <v>1888</v>
      </c>
      <c r="MC36">
        <f t="shared" ref="MC36:MJ36" si="228">MC35</f>
        <v>11</v>
      </c>
      <c r="MD36">
        <f t="shared" si="228"/>
        <v>14</v>
      </c>
      <c r="ME36" t="str">
        <f t="shared" si="228"/>
        <v>A1</v>
      </c>
      <c r="MF36" t="str">
        <f t="shared" si="228"/>
        <v>A2</v>
      </c>
      <c r="MG36" t="str">
        <f t="shared" si="228"/>
        <v>0v3</v>
      </c>
      <c r="MH36" t="str">
        <f t="shared" si="228"/>
        <v>24v3</v>
      </c>
      <c r="MI36" t="str">
        <f t="shared" si="228"/>
        <v>0v6</v>
      </c>
      <c r="MJ36" t="str">
        <f t="shared" si="228"/>
        <v>24v6</v>
      </c>
      <c r="MQ36">
        <f t="shared" ref="MQ36:MR36" si="229">MQ35</f>
        <v>1</v>
      </c>
      <c r="MR36" s="16">
        <f t="shared" si="229"/>
        <v>2</v>
      </c>
    </row>
    <row r="37" spans="1:819" x14ac:dyDescent="0.25">
      <c r="A37" t="s">
        <v>2254</v>
      </c>
      <c r="B37" t="s">
        <v>2263</v>
      </c>
      <c r="P37" t="s">
        <v>1873</v>
      </c>
      <c r="T37" s="14" t="s">
        <v>2071</v>
      </c>
      <c r="AC37" t="str">
        <f t="shared" si="225"/>
        <v>A5.1</v>
      </c>
      <c r="AD37" s="43" cm="1">
        <f t="array" ref="AD37">IF(COUNTIFS(AC$2:AC37,AC37)=1,"1",VALUE(SUBSTITUTE(INDEX(AD:AD,_xlfn.XMATCH(AC37,AC$1:AC36,0,-1)),"A",""))+INDEX(AE:AE,_xlfn.XMATCH(AC37,AC$1:AC36,0,-1))+1)</f>
        <v>4</v>
      </c>
      <c r="AE37" s="43" cm="1">
        <f t="array" ref="AE37">SUM(IF(ISNUMBER(FIND("TmDi",$BE$1:$AAL$1)),IF(IFERROR(ISNUMBER(VALUE(SUBSTITUTE($BE37:$AAL37,"B",""))),FALSE),IF(ISNUMBER(VALUE(SUBSTITUTE($BE37:$AAL37,"B",""))),1,0),0)))</f>
        <v>0</v>
      </c>
      <c r="AF37" t="str">
        <f t="shared" si="223"/>
        <v>C4</v>
      </c>
      <c r="AG37" t="str">
        <f t="shared" si="224"/>
        <v>B4</v>
      </c>
      <c r="AP37" t="s">
        <v>2077</v>
      </c>
      <c r="AT37" t="s">
        <v>854</v>
      </c>
      <c r="AU37" t="s">
        <v>1399</v>
      </c>
      <c r="LY37" s="27" t="str">
        <f t="shared" si="227"/>
        <v>DI1-C4</v>
      </c>
      <c r="MA37" t="s">
        <v>1889</v>
      </c>
      <c r="MB37" t="s">
        <v>1890</v>
      </c>
      <c r="MC37">
        <f t="shared" ref="MC37:MJ37" si="230">MC36</f>
        <v>11</v>
      </c>
      <c r="MD37">
        <f t="shared" si="230"/>
        <v>14</v>
      </c>
      <c r="ME37" t="str">
        <f t="shared" si="230"/>
        <v>A1</v>
      </c>
      <c r="MF37" t="str">
        <f t="shared" si="230"/>
        <v>A2</v>
      </c>
      <c r="MG37" t="str">
        <f t="shared" si="230"/>
        <v>0v3</v>
      </c>
      <c r="MH37" t="str">
        <f t="shared" si="230"/>
        <v>24v3</v>
      </c>
      <c r="MI37" t="str">
        <f t="shared" si="230"/>
        <v>0v6</v>
      </c>
      <c r="MJ37" t="str">
        <f t="shared" si="230"/>
        <v>24v6</v>
      </c>
      <c r="MQ37">
        <f t="shared" ref="MQ37:MR37" si="231">MQ36</f>
        <v>1</v>
      </c>
      <c r="MR37" s="16">
        <f t="shared" si="231"/>
        <v>2</v>
      </c>
    </row>
    <row r="38" spans="1:819" x14ac:dyDescent="0.25">
      <c r="A38" t="s">
        <v>2255</v>
      </c>
      <c r="B38" t="s">
        <v>2264</v>
      </c>
      <c r="P38" t="s">
        <v>1873</v>
      </c>
      <c r="T38" s="14" t="s">
        <v>2071</v>
      </c>
      <c r="AC38" t="str">
        <f t="shared" si="225"/>
        <v>A5.1</v>
      </c>
      <c r="AD38" s="43" cm="1">
        <f t="array" ref="AD38">IF(COUNTIFS(AC$2:AC38,AC38)=1,"1",VALUE(SUBSTITUTE(INDEX(AD:AD,_xlfn.XMATCH(AC38,AC$1:AC37,0,-1)),"A",""))+INDEX(AE:AE,_xlfn.XMATCH(AC38,AC$1:AC37,0,-1))+1)</f>
        <v>5</v>
      </c>
      <c r="AE38" s="43" cm="1">
        <f t="array" ref="AE38">SUM(IF(ISNUMBER(FIND("TmDi",$BE$1:$AAL$1)),IF(IFERROR(ISNUMBER(VALUE(SUBSTITUTE($BE38:$AAL38,"B",""))),FALSE),IF(ISNUMBER(VALUE(SUBSTITUTE($BE38:$AAL38,"B",""))),1,0),0)))</f>
        <v>0</v>
      </c>
      <c r="AF38" t="str">
        <f t="shared" si="223"/>
        <v>C5</v>
      </c>
      <c r="AG38" t="str">
        <f t="shared" si="224"/>
        <v>B5</v>
      </c>
      <c r="AP38" t="s">
        <v>2077</v>
      </c>
      <c r="AT38" t="s">
        <v>854</v>
      </c>
      <c r="AU38" t="s">
        <v>1399</v>
      </c>
      <c r="LY38" s="27" t="str">
        <f t="shared" si="227"/>
        <v>DI1-C5</v>
      </c>
      <c r="MA38" t="s">
        <v>1891</v>
      </c>
      <c r="MB38" t="s">
        <v>1892</v>
      </c>
      <c r="MC38">
        <f t="shared" ref="MC38:MJ38" si="232">MC37</f>
        <v>11</v>
      </c>
      <c r="MD38">
        <f t="shared" si="232"/>
        <v>14</v>
      </c>
      <c r="ME38" t="str">
        <f t="shared" si="232"/>
        <v>A1</v>
      </c>
      <c r="MF38" t="str">
        <f t="shared" si="232"/>
        <v>A2</v>
      </c>
      <c r="MG38" t="str">
        <f t="shared" si="232"/>
        <v>0v3</v>
      </c>
      <c r="MH38" t="str">
        <f t="shared" si="232"/>
        <v>24v3</v>
      </c>
      <c r="MI38" t="str">
        <f t="shared" si="232"/>
        <v>0v6</v>
      </c>
      <c r="MJ38" t="str">
        <f t="shared" si="232"/>
        <v>24v6</v>
      </c>
      <c r="MQ38">
        <f t="shared" ref="MQ38:MR38" si="233">MQ37</f>
        <v>1</v>
      </c>
      <c r="MR38" s="16">
        <f t="shared" si="233"/>
        <v>2</v>
      </c>
    </row>
    <row r="39" spans="1:819" x14ac:dyDescent="0.25">
      <c r="A39" t="s">
        <v>2256</v>
      </c>
      <c r="B39" t="s">
        <v>2265</v>
      </c>
      <c r="P39" t="s">
        <v>1873</v>
      </c>
      <c r="T39" s="14" t="s">
        <v>2071</v>
      </c>
      <c r="AC39" t="str">
        <f t="shared" si="225"/>
        <v>A5.1</v>
      </c>
      <c r="AD39" s="43" cm="1">
        <f t="array" ref="AD39">IF(COUNTIFS(AC$2:AC39,AC39)=1,"1",VALUE(SUBSTITUTE(INDEX(AD:AD,_xlfn.XMATCH(AC39,AC$1:AC38,0,-1)),"A",""))+INDEX(AE:AE,_xlfn.XMATCH(AC39,AC$1:AC38,0,-1))+1)</f>
        <v>6</v>
      </c>
      <c r="AE39" s="43" cm="1">
        <f t="array" ref="AE39">SUM(IF(ISNUMBER(FIND("TmDi",$BE$1:$AAL$1)),IF(IFERROR(ISNUMBER(VALUE(SUBSTITUTE($BE39:$AAL39,"B",""))),FALSE),IF(ISNUMBER(VALUE(SUBSTITUTE($BE39:$AAL39,"B",""))),1,0),0)))</f>
        <v>0</v>
      </c>
      <c r="AF39" t="str">
        <f t="shared" si="223"/>
        <v>C6</v>
      </c>
      <c r="AG39" t="str">
        <f t="shared" si="224"/>
        <v>B6</v>
      </c>
      <c r="AP39" t="s">
        <v>2077</v>
      </c>
      <c r="AT39" t="s">
        <v>854</v>
      </c>
      <c r="AU39" t="s">
        <v>1399</v>
      </c>
      <c r="LY39" s="27" t="str">
        <f t="shared" si="227"/>
        <v>DI1-C6</v>
      </c>
      <c r="MA39" t="s">
        <v>1893</v>
      </c>
      <c r="MB39" t="s">
        <v>1894</v>
      </c>
      <c r="MC39">
        <f t="shared" ref="MC39:MJ39" si="234">MC38</f>
        <v>11</v>
      </c>
      <c r="MD39">
        <f t="shared" si="234"/>
        <v>14</v>
      </c>
      <c r="ME39" t="str">
        <f t="shared" si="234"/>
        <v>A1</v>
      </c>
      <c r="MF39" t="str">
        <f t="shared" si="234"/>
        <v>A2</v>
      </c>
      <c r="MG39" t="str">
        <f t="shared" si="234"/>
        <v>0v3</v>
      </c>
      <c r="MH39" t="str">
        <f t="shared" si="234"/>
        <v>24v3</v>
      </c>
      <c r="MI39" t="str">
        <f t="shared" si="234"/>
        <v>0v6</v>
      </c>
      <c r="MJ39" t="str">
        <f t="shared" si="234"/>
        <v>24v6</v>
      </c>
      <c r="MQ39">
        <f t="shared" ref="MQ39:MR39" si="235">MQ38</f>
        <v>1</v>
      </c>
      <c r="MR39" s="16">
        <f t="shared" si="235"/>
        <v>2</v>
      </c>
    </row>
    <row r="40" spans="1:819" x14ac:dyDescent="0.25">
      <c r="A40" t="s">
        <v>2257</v>
      </c>
      <c r="B40" t="s">
        <v>2266</v>
      </c>
      <c r="P40" t="s">
        <v>1873</v>
      </c>
      <c r="T40" s="14" t="s">
        <v>2071</v>
      </c>
      <c r="AC40" t="str">
        <f t="shared" si="225"/>
        <v>A5.1</v>
      </c>
      <c r="AD40" s="43" cm="1">
        <f t="array" ref="AD40">IF(COUNTIFS(AC$2:AC40,AC40)=1,"1",VALUE(SUBSTITUTE(INDEX(AD:AD,_xlfn.XMATCH(AC40,AC$1:AC39,0,-1)),"A",""))+INDEX(AE:AE,_xlfn.XMATCH(AC40,AC$1:AC39,0,-1))+1)</f>
        <v>7</v>
      </c>
      <c r="AE40" s="43" cm="1">
        <f t="array" ref="AE40">SUM(IF(ISNUMBER(FIND("TmDi",$BE$1:$AAL$1)),IF(IFERROR(ISNUMBER(VALUE(SUBSTITUTE($BE40:$AAL40,"B",""))),FALSE),IF(ISNUMBER(VALUE(SUBSTITUTE($BE40:$AAL40,"B",""))),1,0),0)))</f>
        <v>0</v>
      </c>
      <c r="AF40" t="str">
        <f t="shared" si="223"/>
        <v>C7</v>
      </c>
      <c r="AG40" t="str">
        <f t="shared" si="224"/>
        <v>B7</v>
      </c>
      <c r="AP40" t="s">
        <v>2077</v>
      </c>
      <c r="AT40" t="s">
        <v>854</v>
      </c>
      <c r="AU40" t="s">
        <v>1399</v>
      </c>
      <c r="LY40" s="27" t="str">
        <f t="shared" si="227"/>
        <v>DI1-C7</v>
      </c>
      <c r="MA40" t="s">
        <v>1895</v>
      </c>
      <c r="MB40" t="s">
        <v>1896</v>
      </c>
      <c r="MC40">
        <f t="shared" ref="MC40:MJ40" si="236">MC39</f>
        <v>11</v>
      </c>
      <c r="MD40">
        <f t="shared" si="236"/>
        <v>14</v>
      </c>
      <c r="ME40" t="str">
        <f t="shared" si="236"/>
        <v>A1</v>
      </c>
      <c r="MF40" t="str">
        <f t="shared" si="236"/>
        <v>A2</v>
      </c>
      <c r="MG40" t="str">
        <f t="shared" si="236"/>
        <v>0v3</v>
      </c>
      <c r="MH40" t="str">
        <f t="shared" si="236"/>
        <v>24v3</v>
      </c>
      <c r="MI40" t="str">
        <f t="shared" si="236"/>
        <v>0v6</v>
      </c>
      <c r="MJ40" t="str">
        <f t="shared" si="236"/>
        <v>24v6</v>
      </c>
      <c r="MQ40">
        <f t="shared" ref="MQ40:MR40" si="237">MQ39</f>
        <v>1</v>
      </c>
      <c r="MR40" s="16">
        <f t="shared" si="237"/>
        <v>2</v>
      </c>
    </row>
    <row r="41" spans="1:819" x14ac:dyDescent="0.25">
      <c r="A41" t="s">
        <v>2258</v>
      </c>
      <c r="B41" t="s">
        <v>2267</v>
      </c>
      <c r="P41" t="s">
        <v>1873</v>
      </c>
      <c r="T41" s="14" t="s">
        <v>2071</v>
      </c>
      <c r="AC41" t="str">
        <f t="shared" si="225"/>
        <v>A5.1</v>
      </c>
      <c r="AD41" s="43" cm="1">
        <f t="array" ref="AD41">IF(COUNTIFS(AC$2:AC41,AC41)=1,"1",VALUE(SUBSTITUTE(INDEX(AD:AD,_xlfn.XMATCH(AC41,AC$1:AC40,0,-1)),"A",""))+INDEX(AE:AE,_xlfn.XMATCH(AC41,AC$1:AC40,0,-1))+1)</f>
        <v>8</v>
      </c>
      <c r="AE41" s="43" cm="1">
        <f t="array" ref="AE41">SUM(IF(ISNUMBER(FIND("TmDi",$BE$1:$AAL$1)),IF(IFERROR(ISNUMBER(VALUE(SUBSTITUTE($BE41:$AAL41,"B",""))),FALSE),IF(ISNUMBER(VALUE(SUBSTITUTE($BE41:$AAL41,"B",""))),1,0),0)))</f>
        <v>0</v>
      </c>
      <c r="AF41" t="str">
        <f t="shared" si="223"/>
        <v>C8</v>
      </c>
      <c r="AG41" t="str">
        <f t="shared" si="224"/>
        <v>B8</v>
      </c>
      <c r="AP41" t="s">
        <v>2077</v>
      </c>
      <c r="AT41" t="s">
        <v>854</v>
      </c>
      <c r="AU41" t="s">
        <v>1399</v>
      </c>
      <c r="LY41" s="27" t="str">
        <f t="shared" si="227"/>
        <v>DI1-C8</v>
      </c>
      <c r="MA41" t="s">
        <v>1897</v>
      </c>
      <c r="MB41" t="s">
        <v>1898</v>
      </c>
      <c r="MC41">
        <f t="shared" ref="MC41:MJ41" si="238">MC40</f>
        <v>11</v>
      </c>
      <c r="MD41">
        <f t="shared" si="238"/>
        <v>14</v>
      </c>
      <c r="ME41" t="str">
        <f t="shared" si="238"/>
        <v>A1</v>
      </c>
      <c r="MF41" t="str">
        <f t="shared" si="238"/>
        <v>A2</v>
      </c>
      <c r="MG41" t="str">
        <f t="shared" si="238"/>
        <v>0v3</v>
      </c>
      <c r="MH41" t="str">
        <f t="shared" si="238"/>
        <v>24v3</v>
      </c>
      <c r="MI41" t="str">
        <f t="shared" si="238"/>
        <v>0v6</v>
      </c>
      <c r="MJ41" t="str">
        <f t="shared" si="238"/>
        <v>24v6</v>
      </c>
      <c r="MQ41">
        <f t="shared" ref="MQ41:MR41" si="239">MQ40</f>
        <v>1</v>
      </c>
      <c r="MR41" s="16">
        <f t="shared" si="239"/>
        <v>2</v>
      </c>
    </row>
    <row r="42" spans="1:819" ht="15.75" thickBot="1" x14ac:dyDescent="0.3">
      <c r="A42" t="s">
        <v>2259</v>
      </c>
      <c r="B42" t="s">
        <v>2268</v>
      </c>
      <c r="P42" t="s">
        <v>1873</v>
      </c>
      <c r="T42" s="14" t="s">
        <v>2071</v>
      </c>
      <c r="AC42" t="str">
        <f t="shared" si="225"/>
        <v>A5.1</v>
      </c>
      <c r="AD42" s="43" cm="1">
        <f t="array" ref="AD42">IF(COUNTIFS(AC$2:AC42,AC42)=1,"1",VALUE(SUBSTITUTE(INDEX(AD:AD,_xlfn.XMATCH(AC42,AC$1:AC41,0,-1)),"A",""))+INDEX(AE:AE,_xlfn.XMATCH(AC42,AC$1:AC41,0,-1))+1)</f>
        <v>9</v>
      </c>
      <c r="AE42" s="43" cm="1">
        <f t="array" ref="AE42">SUM(IF(ISNUMBER(FIND("TmDi",$BE$1:$AAL$1)),IF(IFERROR(ISNUMBER(VALUE(SUBSTITUTE($BE42:$AAL42,"B",""))),FALSE),IF(ISNUMBER(VALUE(SUBSTITUTE($BE42:$AAL42,"B",""))),1,0),0)))</f>
        <v>0</v>
      </c>
      <c r="AF42" t="str">
        <f t="shared" si="223"/>
        <v>C9</v>
      </c>
      <c r="AG42" t="str">
        <f t="shared" si="224"/>
        <v>B9</v>
      </c>
      <c r="AP42" t="s">
        <v>2077</v>
      </c>
      <c r="AT42" t="s">
        <v>854</v>
      </c>
      <c r="AU42" t="s">
        <v>1399</v>
      </c>
      <c r="LY42" s="27" t="str">
        <f t="shared" si="227"/>
        <v>DI1-C9</v>
      </c>
      <c r="MA42" t="s">
        <v>1899</v>
      </c>
      <c r="MB42" t="s">
        <v>1900</v>
      </c>
      <c r="MC42">
        <f t="shared" ref="MC42:MJ42" si="240">MC41</f>
        <v>11</v>
      </c>
      <c r="MD42">
        <f t="shared" si="240"/>
        <v>14</v>
      </c>
      <c r="ME42" t="str">
        <f t="shared" si="240"/>
        <v>A1</v>
      </c>
      <c r="MF42" t="str">
        <f t="shared" si="240"/>
        <v>A2</v>
      </c>
      <c r="MG42" t="str">
        <f t="shared" si="240"/>
        <v>0v3</v>
      </c>
      <c r="MH42" t="str">
        <f t="shared" si="240"/>
        <v>24v3</v>
      </c>
      <c r="MI42" t="str">
        <f t="shared" si="240"/>
        <v>0v6</v>
      </c>
      <c r="MJ42" t="str">
        <f t="shared" si="240"/>
        <v>24v6</v>
      </c>
      <c r="MQ42">
        <f t="shared" ref="MQ42:MR42" si="241">MQ41</f>
        <v>1</v>
      </c>
      <c r="MR42" s="16">
        <f t="shared" si="241"/>
        <v>2</v>
      </c>
    </row>
    <row r="43" spans="1:819" x14ac:dyDescent="0.25">
      <c r="A43" t="s">
        <v>2271</v>
      </c>
      <c r="B43" t="s">
        <v>2272</v>
      </c>
      <c r="C43" t="s">
        <v>2303</v>
      </c>
      <c r="P43" t="s">
        <v>2091</v>
      </c>
      <c r="T43" s="14" t="s">
        <v>2071</v>
      </c>
      <c r="AD43" s="43"/>
      <c r="AE43" s="43"/>
      <c r="AH43" t="s">
        <v>132</v>
      </c>
      <c r="AI43" s="59" t="str" cm="1">
        <f t="array" ref="AI43">IF(COUNTIFS(AH$2:AH43,AH43)=1,"1",VALUE(SUBSTITUTE(INDEX(AI:AI,_xlfn.XMATCH(AH43,AH$1:AH42,0,-1)),"A",""))+INDEX(AJ:AJ,_xlfn.XMATCH(AH43,AH$1:AH42,0,-1))+1)</f>
        <v>1</v>
      </c>
      <c r="AJ43" s="57" cm="1">
        <f t="array" ref="AJ43">SUM(IF(ISNUMBER(FIND("TmDo",$BE$1:$AAL$1)),IF(IFERROR(ISNUMBER(VALUE(SUBSTITUTE($BE43:$AAL43,"B",""))),FALSE),IF(ISNUMBER(VALUE(SUBSTITUTE($BE43:$AAL43,"B",""))),1,0),0)))</f>
        <v>0</v>
      </c>
      <c r="AK43" t="str">
        <f>CONCATENATE($AI43,"A")</f>
        <v>1A</v>
      </c>
      <c r="AL43" t="str">
        <f>CONCATENATE($AI43,"B")</f>
        <v>1B</v>
      </c>
      <c r="AP43" t="s">
        <v>2077</v>
      </c>
      <c r="AT43" t="s">
        <v>854</v>
      </c>
      <c r="AU43" t="s">
        <v>1399</v>
      </c>
      <c r="LY43" s="27"/>
      <c r="MR43" s="16"/>
      <c r="AEB43" s="25" t="str">
        <f>CONCATENATE("DO",REPLACE($AH43,1,3,""),"-",$AK43)</f>
        <v>DO1-1A</v>
      </c>
      <c r="AEC43" s="12" t="str">
        <f>CONCATENATE("DO",REPLACE($AH43,1,3,""),"-",$AL43)</f>
        <v>DO1-1B</v>
      </c>
      <c r="AED43" s="12" t="s">
        <v>2296</v>
      </c>
      <c r="AEE43" s="12" t="s">
        <v>142</v>
      </c>
      <c r="AEF43" s="12" t="s">
        <v>143</v>
      </c>
      <c r="AEG43" s="12">
        <v>11</v>
      </c>
      <c r="AEH43" s="12">
        <v>14</v>
      </c>
      <c r="AEI43" s="12" t="s">
        <v>413</v>
      </c>
      <c r="AEJ43" s="12" t="s">
        <v>414</v>
      </c>
      <c r="AEK43" s="12" t="s">
        <v>2273</v>
      </c>
      <c r="AEL43" s="12" t="s">
        <v>547</v>
      </c>
      <c r="AEM43" s="13" t="s">
        <v>548</v>
      </c>
    </row>
    <row r="44" spans="1:819" x14ac:dyDescent="0.25">
      <c r="A44" t="s">
        <v>2286</v>
      </c>
      <c r="B44" t="s">
        <v>2280</v>
      </c>
      <c r="C44" t="s">
        <v>2304</v>
      </c>
      <c r="P44" t="s">
        <v>2091</v>
      </c>
      <c r="T44" s="14" t="s">
        <v>2071</v>
      </c>
      <c r="AD44" s="43"/>
      <c r="AE44" s="43"/>
      <c r="AH44" t="str">
        <f>IF(AI43+AJ43&gt;27,REPLACE(AH43,LEN(AH43),1,VALUE(RIGHT(AH43,1))+1),AH43)</f>
        <v>A6.1</v>
      </c>
      <c r="AI44" s="59" cm="1">
        <f t="array" ref="AI44">IF(COUNTIFS(AH$2:AH44,AH44)=1,"1",VALUE(SUBSTITUTE(INDEX(AI:AI,_xlfn.XMATCH(AH44,AH$1:AH43,0,-1)),"A",""))+INDEX(AJ:AJ,_xlfn.XMATCH(AH44,AH$1:AH43,0,-1))+1)</f>
        <v>2</v>
      </c>
      <c r="AJ44" s="57" cm="1">
        <f t="array" ref="AJ44">SUM(IF(ISNUMBER(FIND("TmDo",$BE$1:$AAL$1)),IF(IFERROR(ISNUMBER(VALUE(SUBSTITUTE($BE44:$AAL44,"B",""))),FALSE),IF(ISNUMBER(VALUE(SUBSTITUTE($BE44:$AAL44,"B",""))),1,0),0)))</f>
        <v>0</v>
      </c>
      <c r="AK44" t="str">
        <f t="shared" ref="AK44:AK49" si="242">CONCATENATE($AI44,"A")</f>
        <v>2A</v>
      </c>
      <c r="AL44" t="str">
        <f t="shared" ref="AL44:AL49" si="243">CONCATENATE($AI44,"B")</f>
        <v>2B</v>
      </c>
      <c r="AP44" t="s">
        <v>2077</v>
      </c>
      <c r="AT44" t="s">
        <v>854</v>
      </c>
      <c r="AU44" t="s">
        <v>1399</v>
      </c>
      <c r="AEB44" s="27" t="str">
        <f t="shared" ref="AEB44:AEB49" si="244">CONCATENATE("DO",REPLACE($AH44,1,3,""),"-",$AK44)</f>
        <v>DO1-2A</v>
      </c>
      <c r="AEC44" t="str">
        <f t="shared" ref="AEC44:AEC49" si="245">CONCATENATE("DO",REPLACE($AH44,1,3,""),"-",$AL44)</f>
        <v>DO1-2B</v>
      </c>
      <c r="AED44" t="s">
        <v>2297</v>
      </c>
      <c r="AEE44" t="s">
        <v>142</v>
      </c>
      <c r="AEF44" t="s">
        <v>143</v>
      </c>
      <c r="AEG44">
        <v>11</v>
      </c>
      <c r="AEH44">
        <v>14</v>
      </c>
      <c r="AEI44" t="str">
        <f>AEI43</f>
        <v>24v6</v>
      </c>
      <c r="AEJ44" t="str">
        <f>AEJ43</f>
        <v>0v6</v>
      </c>
      <c r="AEK44" t="s">
        <v>2274</v>
      </c>
      <c r="AEL44" t="s">
        <v>547</v>
      </c>
      <c r="AEM44" s="16" t="s">
        <v>548</v>
      </c>
    </row>
    <row r="45" spans="1:819" x14ac:dyDescent="0.25">
      <c r="A45" t="s">
        <v>2285</v>
      </c>
      <c r="B45" t="s">
        <v>2281</v>
      </c>
      <c r="C45" t="s">
        <v>2305</v>
      </c>
      <c r="P45" t="s">
        <v>2091</v>
      </c>
      <c r="T45" s="14" t="s">
        <v>2071</v>
      </c>
      <c r="AD45" s="43"/>
      <c r="AE45" s="43"/>
      <c r="AH45" t="str">
        <f t="shared" ref="AH45:AH49" si="246">IF(AI44+AJ44&gt;27,REPLACE(AH44,LEN(AH44),1,VALUE(RIGHT(AH44,1))+1),AH44)</f>
        <v>A6.1</v>
      </c>
      <c r="AI45" s="59" cm="1">
        <f t="array" ref="AI45">IF(COUNTIFS(AH$2:AH45,AH45)=1,"1",VALUE(SUBSTITUTE(INDEX(AI:AI,_xlfn.XMATCH(AH45,AH$1:AH44,0,-1)),"A",""))+INDEX(AJ:AJ,_xlfn.XMATCH(AH45,AH$1:AH44,0,-1))+1)</f>
        <v>3</v>
      </c>
      <c r="AJ45" s="57" cm="1">
        <f t="array" ref="AJ45">SUM(IF(ISNUMBER(FIND("TmDo",$BE$1:$AAL$1)),IF(IFERROR(ISNUMBER(VALUE(SUBSTITUTE($BE45:$AAL45,"B",""))),FALSE),IF(ISNUMBER(VALUE(SUBSTITUTE($BE45:$AAL45,"B",""))),1,0),0)))</f>
        <v>0</v>
      </c>
      <c r="AK45" t="str">
        <f t="shared" si="242"/>
        <v>3A</v>
      </c>
      <c r="AL45" t="str">
        <f t="shared" si="243"/>
        <v>3B</v>
      </c>
      <c r="AP45" t="s">
        <v>2077</v>
      </c>
      <c r="AT45" t="s">
        <v>854</v>
      </c>
      <c r="AU45" t="s">
        <v>1399</v>
      </c>
      <c r="AEB45" s="27" t="str">
        <f t="shared" si="244"/>
        <v>DO1-3A</v>
      </c>
      <c r="AEC45" t="str">
        <f t="shared" si="245"/>
        <v>DO1-3B</v>
      </c>
      <c r="AED45" t="s">
        <v>2298</v>
      </c>
      <c r="AEE45" t="s">
        <v>142</v>
      </c>
      <c r="AEF45" t="s">
        <v>143</v>
      </c>
      <c r="AEG45">
        <v>11</v>
      </c>
      <c r="AEH45">
        <v>14</v>
      </c>
      <c r="AEI45" t="str">
        <f t="shared" ref="AEI45:AEI49" si="247">AEI44</f>
        <v>24v6</v>
      </c>
      <c r="AEJ45" t="str">
        <f t="shared" ref="AEJ45:AEJ49" si="248">AEJ44</f>
        <v>0v6</v>
      </c>
      <c r="AEK45" t="s">
        <v>2275</v>
      </c>
      <c r="AEL45" t="s">
        <v>547</v>
      </c>
      <c r="AEM45" s="16" t="s">
        <v>548</v>
      </c>
    </row>
    <row r="46" spans="1:819" x14ac:dyDescent="0.25">
      <c r="A46" t="s">
        <v>2287</v>
      </c>
      <c r="B46" t="s">
        <v>2282</v>
      </c>
      <c r="C46" t="s">
        <v>2306</v>
      </c>
      <c r="P46" t="s">
        <v>2091</v>
      </c>
      <c r="T46" s="14" t="s">
        <v>2071</v>
      </c>
      <c r="AD46" s="43"/>
      <c r="AE46" s="43"/>
      <c r="AH46" t="str">
        <f t="shared" si="246"/>
        <v>A6.1</v>
      </c>
      <c r="AI46" s="59" cm="1">
        <f t="array" ref="AI46">IF(COUNTIFS(AH$2:AH46,AH46)=1,"1",VALUE(SUBSTITUTE(INDEX(AI:AI,_xlfn.XMATCH(AH46,AH$1:AH45,0,-1)),"A",""))+INDEX(AJ:AJ,_xlfn.XMATCH(AH46,AH$1:AH45,0,-1))+1)</f>
        <v>4</v>
      </c>
      <c r="AJ46" s="57" cm="1">
        <f t="array" ref="AJ46">SUM(IF(ISNUMBER(FIND("TmDo",$BE$1:$AAL$1)),IF(IFERROR(ISNUMBER(VALUE(SUBSTITUTE($BE46:$AAL46,"B",""))),FALSE),IF(ISNUMBER(VALUE(SUBSTITUTE($BE46:$AAL46,"B",""))),1,0),0)))</f>
        <v>0</v>
      </c>
      <c r="AK46" t="str">
        <f t="shared" si="242"/>
        <v>4A</v>
      </c>
      <c r="AL46" t="str">
        <f t="shared" si="243"/>
        <v>4B</v>
      </c>
      <c r="AP46" t="s">
        <v>2077</v>
      </c>
      <c r="AT46" t="s">
        <v>854</v>
      </c>
      <c r="AU46" t="s">
        <v>1399</v>
      </c>
      <c r="AEB46" s="27" t="str">
        <f t="shared" si="244"/>
        <v>DO1-4A</v>
      </c>
      <c r="AEC46" t="str">
        <f t="shared" si="245"/>
        <v>DO1-4B</v>
      </c>
      <c r="AED46" t="s">
        <v>2299</v>
      </c>
      <c r="AEE46" t="s">
        <v>142</v>
      </c>
      <c r="AEF46" t="s">
        <v>143</v>
      </c>
      <c r="AEG46">
        <v>11</v>
      </c>
      <c r="AEH46">
        <v>14</v>
      </c>
      <c r="AEI46" t="str">
        <f t="shared" si="247"/>
        <v>24v6</v>
      </c>
      <c r="AEJ46" t="str">
        <f t="shared" si="248"/>
        <v>0v6</v>
      </c>
      <c r="AEK46" t="s">
        <v>2276</v>
      </c>
      <c r="AEL46" t="s">
        <v>547</v>
      </c>
      <c r="AEM46" s="16" t="s">
        <v>548</v>
      </c>
    </row>
    <row r="47" spans="1:819" x14ac:dyDescent="0.25">
      <c r="A47" t="s">
        <v>2289</v>
      </c>
      <c r="B47" t="s">
        <v>2283</v>
      </c>
      <c r="C47" t="s">
        <v>2307</v>
      </c>
      <c r="P47" t="s">
        <v>2091</v>
      </c>
      <c r="T47" s="14" t="s">
        <v>2071</v>
      </c>
      <c r="AD47" s="43"/>
      <c r="AE47" s="43"/>
      <c r="AH47" t="str">
        <f t="shared" si="246"/>
        <v>A6.1</v>
      </c>
      <c r="AI47" s="59" cm="1">
        <f t="array" ref="AI47">IF(COUNTIFS(AH$2:AH47,AH47)=1,"1",VALUE(SUBSTITUTE(INDEX(AI:AI,_xlfn.XMATCH(AH47,AH$1:AH46,0,-1)),"A",""))+INDEX(AJ:AJ,_xlfn.XMATCH(AH47,AH$1:AH46,0,-1))+1)</f>
        <v>5</v>
      </c>
      <c r="AJ47" s="57" cm="1">
        <f t="array" ref="AJ47">SUM(IF(ISNUMBER(FIND("TmDo",$BE$1:$AAL$1)),IF(IFERROR(ISNUMBER(VALUE(SUBSTITUTE($BE47:$AAL47,"B",""))),FALSE),IF(ISNUMBER(VALUE(SUBSTITUTE($BE47:$AAL47,"B",""))),1,0),0)))</f>
        <v>0</v>
      </c>
      <c r="AK47" t="str">
        <f t="shared" si="242"/>
        <v>5A</v>
      </c>
      <c r="AL47" t="str">
        <f t="shared" si="243"/>
        <v>5B</v>
      </c>
      <c r="AP47" t="s">
        <v>2077</v>
      </c>
      <c r="AT47" t="s">
        <v>854</v>
      </c>
      <c r="AU47" t="s">
        <v>1399</v>
      </c>
      <c r="AEB47" s="27" t="str">
        <f t="shared" si="244"/>
        <v>DO1-5A</v>
      </c>
      <c r="AEC47" t="str">
        <f t="shared" si="245"/>
        <v>DO1-5B</v>
      </c>
      <c r="AED47" t="s">
        <v>2300</v>
      </c>
      <c r="AEE47" t="s">
        <v>142</v>
      </c>
      <c r="AEF47" t="s">
        <v>143</v>
      </c>
      <c r="AEG47">
        <v>11</v>
      </c>
      <c r="AEH47">
        <v>14</v>
      </c>
      <c r="AEI47" t="str">
        <f t="shared" si="247"/>
        <v>24v6</v>
      </c>
      <c r="AEJ47" t="str">
        <f t="shared" si="248"/>
        <v>0v6</v>
      </c>
      <c r="AEK47" t="s">
        <v>2277</v>
      </c>
      <c r="AEL47" t="s">
        <v>547</v>
      </c>
      <c r="AEM47" s="16" t="s">
        <v>548</v>
      </c>
    </row>
    <row r="48" spans="1:819" x14ac:dyDescent="0.25">
      <c r="A48" t="s">
        <v>2288</v>
      </c>
      <c r="B48" t="s">
        <v>2284</v>
      </c>
      <c r="C48" t="s">
        <v>2308</v>
      </c>
      <c r="P48" t="s">
        <v>2091</v>
      </c>
      <c r="T48" s="14" t="s">
        <v>2071</v>
      </c>
      <c r="AD48" s="43"/>
      <c r="AE48" s="43"/>
      <c r="AH48" t="str">
        <f t="shared" si="246"/>
        <v>A6.1</v>
      </c>
      <c r="AI48" s="59" cm="1">
        <f t="array" ref="AI48">IF(COUNTIFS(AH$2:AH48,AH48)=1,"1",VALUE(SUBSTITUTE(INDEX(AI:AI,_xlfn.XMATCH(AH48,AH$1:AH47,0,-1)),"A",""))+INDEX(AJ:AJ,_xlfn.XMATCH(AH48,AH$1:AH47,0,-1))+1)</f>
        <v>6</v>
      </c>
      <c r="AJ48" s="57" cm="1">
        <f t="array" ref="AJ48">SUM(IF(ISNUMBER(FIND("TmDo",$BE$1:$AAL$1)),IF(IFERROR(ISNUMBER(VALUE(SUBSTITUTE($BE48:$AAL48,"B",""))),FALSE),IF(ISNUMBER(VALUE(SUBSTITUTE($BE48:$AAL48,"B",""))),1,0),0)))</f>
        <v>0</v>
      </c>
      <c r="AK48" t="str">
        <f t="shared" si="242"/>
        <v>6A</v>
      </c>
      <c r="AL48" t="str">
        <f t="shared" si="243"/>
        <v>6B</v>
      </c>
      <c r="AP48" t="s">
        <v>2077</v>
      </c>
      <c r="AT48" t="s">
        <v>854</v>
      </c>
      <c r="AU48" t="s">
        <v>1399</v>
      </c>
      <c r="AEB48" s="27" t="str">
        <f t="shared" si="244"/>
        <v>DO1-6A</v>
      </c>
      <c r="AEC48" t="str">
        <f t="shared" si="245"/>
        <v>DO1-6B</v>
      </c>
      <c r="AED48" t="s">
        <v>2301</v>
      </c>
      <c r="AEE48" t="s">
        <v>142</v>
      </c>
      <c r="AEF48" t="s">
        <v>143</v>
      </c>
      <c r="AEG48">
        <v>11</v>
      </c>
      <c r="AEH48">
        <v>14</v>
      </c>
      <c r="AEI48" t="str">
        <f t="shared" si="247"/>
        <v>24v6</v>
      </c>
      <c r="AEJ48" t="str">
        <f t="shared" si="248"/>
        <v>0v6</v>
      </c>
      <c r="AEK48" t="s">
        <v>2278</v>
      </c>
      <c r="AEL48" t="s">
        <v>547</v>
      </c>
      <c r="AEM48" s="16" t="s">
        <v>548</v>
      </c>
    </row>
    <row r="49" spans="1:819" ht="15.75" thickBot="1" x14ac:dyDescent="0.3">
      <c r="A49" t="s">
        <v>2291</v>
      </c>
      <c r="B49" t="s">
        <v>2290</v>
      </c>
      <c r="C49" t="s">
        <v>2309</v>
      </c>
      <c r="P49" t="s">
        <v>2091</v>
      </c>
      <c r="T49" s="14" t="s">
        <v>2071</v>
      </c>
      <c r="AD49" s="43"/>
      <c r="AE49" s="43"/>
      <c r="AH49" t="str">
        <f t="shared" si="246"/>
        <v>A6.1</v>
      </c>
      <c r="AI49" s="59" cm="1">
        <f t="array" ref="AI49">IF(COUNTIFS(AH$2:AH49,AH49)=1,"1",VALUE(SUBSTITUTE(INDEX(AI:AI,_xlfn.XMATCH(AH49,AH$1:AH48,0,-1)),"A",""))+INDEX(AJ:AJ,_xlfn.XMATCH(AH49,AH$1:AH48,0,-1))+1)</f>
        <v>7</v>
      </c>
      <c r="AJ49" s="57" cm="1">
        <f t="array" ref="AJ49">SUM(IF(ISNUMBER(FIND("TmDo",$BE$1:$AAL$1)),IF(IFERROR(ISNUMBER(VALUE(SUBSTITUTE($BE49:$AAL49,"B",""))),FALSE),IF(ISNUMBER(VALUE(SUBSTITUTE($BE49:$AAL49,"B",""))),1,0),0)))</f>
        <v>0</v>
      </c>
      <c r="AK49" t="str">
        <f t="shared" si="242"/>
        <v>7A</v>
      </c>
      <c r="AL49" t="str">
        <f t="shared" si="243"/>
        <v>7B</v>
      </c>
      <c r="AP49" t="s">
        <v>2077</v>
      </c>
      <c r="AT49" t="s">
        <v>854</v>
      </c>
      <c r="AU49" t="s">
        <v>1399</v>
      </c>
      <c r="AEB49" s="28" t="str">
        <f t="shared" si="244"/>
        <v>DO1-7A</v>
      </c>
      <c r="AEC49" s="19" t="str">
        <f t="shared" si="245"/>
        <v>DO1-7B</v>
      </c>
      <c r="AED49" s="19" t="s">
        <v>2302</v>
      </c>
      <c r="AEE49" s="19" t="s">
        <v>142</v>
      </c>
      <c r="AEF49" s="19" t="s">
        <v>143</v>
      </c>
      <c r="AEG49" s="19">
        <v>11</v>
      </c>
      <c r="AEH49" s="19">
        <v>14</v>
      </c>
      <c r="AEI49" s="19" t="str">
        <f t="shared" si="247"/>
        <v>24v6</v>
      </c>
      <c r="AEJ49" s="19" t="str">
        <f t="shared" si="248"/>
        <v>0v6</v>
      </c>
      <c r="AEK49" s="19" t="s">
        <v>2279</v>
      </c>
      <c r="AEL49" s="19" t="s">
        <v>547</v>
      </c>
      <c r="AEM49" s="20" t="s">
        <v>548</v>
      </c>
    </row>
    <row r="50" spans="1:819" x14ac:dyDescent="0.25">
      <c r="A50" t="s">
        <v>2292</v>
      </c>
      <c r="B50" t="s">
        <v>2293</v>
      </c>
      <c r="C50" t="s">
        <v>2310</v>
      </c>
      <c r="P50" t="s">
        <v>1873</v>
      </c>
      <c r="T50" s="14" t="s">
        <v>2071</v>
      </c>
      <c r="AC50" t="s">
        <v>131</v>
      </c>
      <c r="AD50" s="43" cm="1">
        <f t="array" ref="AD50">IF(COUNTIFS(AC$2:AC50,AC50)=1,"1",VALUE(SUBSTITUTE(INDEX(AD:AD,_xlfn.XMATCH(AC50,AC$1:AC49,0,-1)),"A",""))+INDEX(AE:AE,_xlfn.XMATCH(AC50,AC$1:AC49,0,-1))+1)</f>
        <v>10</v>
      </c>
      <c r="AE50" s="43" cm="1">
        <f t="array" ref="AE50">SUM(IF(ISNUMBER(FIND("TmDi",$BE$1:$AAL$1)),IF(IFERROR(ISNUMBER(VALUE(SUBSTITUTE($BE50:$AAL50,"B",""))),FALSE),IF(ISNUMBER(VALUE(SUBSTITUTE($BE50:$AAL50,"B",""))),1,0),0)))</f>
        <v>0</v>
      </c>
      <c r="AF50" t="str">
        <f t="shared" ref="AF50" si="249">CONCATENATE("C",$AD50)</f>
        <v>C10</v>
      </c>
      <c r="AG50" t="str">
        <f t="shared" ref="AG50" si="250">CONCATENATE("B",$AD50)</f>
        <v>B10</v>
      </c>
      <c r="AP50" t="s">
        <v>2077</v>
      </c>
      <c r="AT50" t="s">
        <v>854</v>
      </c>
      <c r="AU50" t="s">
        <v>1399</v>
      </c>
      <c r="LY50" s="27" t="str">
        <f t="shared" ref="LY50" si="251">CONCATENATE("DI",REPLACE($AC50,1,3,""),"-",$AF50)</f>
        <v>DI1-C10</v>
      </c>
      <c r="MA50" t="s">
        <v>2294</v>
      </c>
      <c r="MB50" t="s">
        <v>2295</v>
      </c>
      <c r="MC50">
        <v>11</v>
      </c>
      <c r="MD50">
        <v>14</v>
      </c>
      <c r="ME50" t="s">
        <v>142</v>
      </c>
      <c r="MF50" t="s">
        <v>143</v>
      </c>
      <c r="MG50" t="s">
        <v>488</v>
      </c>
      <c r="MH50" t="s">
        <v>487</v>
      </c>
      <c r="MI50" t="s">
        <v>414</v>
      </c>
      <c r="MJ50" t="s">
        <v>413</v>
      </c>
      <c r="MQ50">
        <v>1</v>
      </c>
      <c r="MR50" s="16">
        <v>2</v>
      </c>
    </row>
  </sheetData>
  <autoFilter ref="P1" xr:uid="{00000000-0001-0000-0000-000000000000}"/>
  <customSheetViews>
    <customSheetView guid="{9CAC7FA4-7183-4976-BDEB-B1D0832FBE64}" scale="70" showAutoFilter="1" hiddenColumns="1">
      <selection activeCell="P17" sqref="P17"/>
      <pageMargins left="0.7" right="0.7" top="0.75" bottom="0.75" header="0.3" footer="0.3"/>
      <autoFilter ref="P1:P186" xr:uid="{9536B0B7-9288-4D7D-8805-C1DD23E90C82}"/>
    </customSheetView>
    <customSheetView guid="{7FEA431A-A608-4A51-A317-26884A517696}" scale="85" filter="1" showAutoFilter="1" hiddenColumns="1">
      <pane ySplit="54" topLeftCell="A170" activePane="bottomLeft" state="frozen"/>
      <selection pane="bottomLeft" activeCell="Y178" sqref="Y178"/>
      <pageMargins left="0.7" right="0.7" top="0.75" bottom="0.75" header="0.3" footer="0.3"/>
      <autoFilter ref="P1:P186" xr:uid="{9CD0EF01-B739-46DF-B36C-F41288E8D950}">
        <filterColumn colId="0">
          <filters>
            <filter val="se0009"/>
          </filters>
        </filterColumn>
      </autoFilter>
    </customSheetView>
    <customSheetView guid="{6000112E-A5E6-4231-BD98-47DC722AA734}" scale="70" filter="1" showAutoFilter="1" hiddenColumns="1">
      <pane ySplit="1" topLeftCell="A169" activePane="bottomLeft" state="frozen"/>
      <selection pane="bottomLeft" activeCell="P169" sqref="P169"/>
      <pageMargins left="0.7" right="0.7" top="0.75" bottom="0.75" header="0.3" footer="0.3"/>
      <autoFilter ref="P1:P186" xr:uid="{5D0D10D7-5D06-4A6B-8E49-B7EE8702C099}">
        <filterColumn colId="0">
          <filters>
            <filter val="se0008"/>
          </filters>
        </filterColumn>
      </autoFilter>
    </customSheetView>
    <customSheetView guid="{2AA7760F-427D-46EA-9E7F-EB5415B3542C}" scale="70" filter="1" showAutoFilter="1" hiddenColumns="1" topLeftCell="A105">
      <selection activeCell="V58" sqref="V58"/>
      <pageMargins left="0.7" right="0.7" top="0.75" bottom="0.75" header="0.3" footer="0.3"/>
      <autoFilter ref="P1:P152" xr:uid="{24C74C69-3484-4B8F-BF60-7D895F85AB55}">
        <filterColumn colId="0">
          <filters>
            <filter val="se0005"/>
            <filter val="se0006"/>
            <filter val="se0007"/>
          </filters>
        </filterColumn>
      </autoFilter>
    </customSheetView>
    <customSheetView guid="{A7A1A132-6B40-4748-B234-5C4C7FE3C00A}" scale="70" filter="1" showAutoFilter="1" hiddenColumns="1">
      <selection activeCell="Z38" sqref="Z38"/>
      <pageMargins left="0.7" right="0.7" top="0.75" bottom="0.75" header="0.3" footer="0.3"/>
      <autoFilter ref="P1:P42" xr:uid="{B804BB14-0E64-43EE-BABA-C32075E42970}">
        <filterColumn colId="0">
          <filters>
            <filter val="se0003"/>
          </filters>
        </filterColumn>
      </autoFilter>
    </customSheetView>
    <customSheetView guid="{C835B057-266C-4AD9-BD8A-E692A165D221}" scale="70" filter="1" showAutoFilter="1" hiddenColumns="1">
      <selection activeCell="B7" sqref="B7"/>
      <pageMargins left="0.7" right="0.7" top="0.75" bottom="0.75" header="0.3" footer="0.3"/>
      <autoFilter ref="P1:P42" xr:uid="{53BFE394-822F-40D3-A706-D21D6300C991}">
        <filterColumn colId="0">
          <filters>
            <filter val="se0001"/>
            <filter val="se0002"/>
          </filters>
        </filterColumn>
      </autoFilter>
    </customSheetView>
    <customSheetView guid="{FF0A9AC6-3E8C-4AE0-B1AB-88458BDDC2AD}" scale="70" filter="1" showAutoFilter="1" hiddenColumns="1">
      <pane ySplit="1" topLeftCell="A43" activePane="bottomLeft" state="frozen"/>
      <selection pane="bottomLeft" activeCell="P45" sqref="P45"/>
      <pageMargins left="0.7" right="0.7" top="0.75" bottom="0.75" header="0.3" footer="0.3"/>
      <autoFilter ref="P1:P44" xr:uid="{CD81636D-19C5-408F-AE71-E359FB8B6BF0}">
        <filterColumn colId="0">
          <filters>
            <filter val="se0004"/>
          </filters>
        </filterColumn>
      </autoFilter>
    </customSheetView>
  </customSheetViews>
  <phoneticPr fontId="3" type="noConversion"/>
  <conditionalFormatting sqref="A1">
    <cfRule type="duplicateValues" dxfId="25" priority="129"/>
  </conditionalFormatting>
  <conditionalFormatting sqref="A1:A1048576">
    <cfRule type="duplicateValues" dxfId="24" priority="130"/>
  </conditionalFormatting>
  <conditionalFormatting sqref="B4:B15 B1 B18:B31 B34:B1048576">
    <cfRule type="duplicateValues" dxfId="23" priority="51"/>
  </conditionalFormatting>
  <conditionalFormatting sqref="V4:V15 V1:W3 V16:W17 V18:V31 V32:W1048576">
    <cfRule type="duplicateValues" dxfId="22" priority="37"/>
  </conditionalFormatting>
  <conditionalFormatting sqref="V16:V17 V1:V3 V32:V1048576">
    <cfRule type="duplicateValues" dxfId="21" priority="39"/>
  </conditionalFormatting>
  <conditionalFormatting sqref="Y1:Y1048576">
    <cfRule type="cellIs" dxfId="20" priority="6" operator="greaterThan">
      <formula>8</formula>
    </cfRule>
    <cfRule type="cellIs" dxfId="19" priority="38" operator="equal">
      <formula>"Y:Y+Z:Z&gt;8"</formula>
    </cfRule>
  </conditionalFormatting>
  <conditionalFormatting sqref="AD1">
    <cfRule type="cellIs" dxfId="18" priority="36" operator="equal">
      <formula>"Y:Y+Z:Z&gt;8"</formula>
    </cfRule>
  </conditionalFormatting>
  <conditionalFormatting sqref="AD34:AD50">
    <cfRule type="cellIs" dxfId="17" priority="1" operator="equal">
      <formula>"Y:Y+Z:Z&gt;8"</formula>
    </cfRule>
  </conditionalFormatting>
  <conditionalFormatting sqref="AI1">
    <cfRule type="cellIs" dxfId="16" priority="33" operator="equal">
      <formula>"Y:Y+Z:Z&gt;8"</formula>
    </cfRule>
  </conditionalFormatting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B05E-3736-4B5D-8254-5BA2EB9AB999}">
  <dimension ref="A1:UF306"/>
  <sheetViews>
    <sheetView zoomScale="70" zoomScaleNormal="70" workbookViewId="0">
      <pane ySplit="1" topLeftCell="A284" activePane="bottomLeft" state="frozen"/>
      <selection pane="bottomLeft" activeCell="V309" sqref="V309"/>
    </sheetView>
  </sheetViews>
  <sheetFormatPr defaultRowHeight="15" x14ac:dyDescent="0.25"/>
  <cols>
    <col min="1" max="1" width="19.140625" bestFit="1" customWidth="1"/>
    <col min="2" max="2" width="90.28515625" bestFit="1" customWidth="1"/>
    <col min="3" max="3" width="29.140625" bestFit="1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2" width="13.140625" bestFit="1" customWidth="1"/>
    <col min="23" max="23" width="14.85546875" bestFit="1" customWidth="1"/>
    <col min="24" max="24" width="7.7109375" bestFit="1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9.140625" bestFit="1" customWidth="1"/>
    <col min="31" max="31" width="8.140625" bestFit="1" customWidth="1"/>
    <col min="32" max="32" width="7.28515625" customWidth="1"/>
    <col min="33" max="33" width="7.7109375" customWidth="1"/>
    <col min="34" max="34" width="6.42578125" customWidth="1"/>
    <col min="35" max="35" width="9.7109375" bestFit="1" customWidth="1"/>
    <col min="36" max="36" width="8.7109375" bestFit="1" customWidth="1"/>
    <col min="37" max="37" width="7.85546875" customWidth="1"/>
    <col min="38" max="38" width="8.28515625" customWidth="1"/>
    <col min="39" max="39" width="5.42578125" customWidth="1"/>
    <col min="40" max="41" width="6.42578125" customWidth="1"/>
    <col min="42" max="42" width="24.5703125" customWidth="1"/>
    <col min="43" max="43" width="52.28515625" customWidth="1"/>
    <col min="44" max="44" width="40.42578125" customWidth="1"/>
    <col min="45" max="45" width="12.140625" customWidth="1"/>
    <col min="46" max="46" width="26.42578125" customWidth="1"/>
    <col min="47" max="47" width="26.5703125" customWidth="1"/>
    <col min="48" max="48" width="3.140625" customWidth="1"/>
    <col min="49" max="49" width="4.28515625" customWidth="1"/>
    <col min="50" max="50" width="3.85546875" customWidth="1"/>
    <col min="51" max="51" width="5" customWidth="1"/>
    <col min="52" max="52" width="6" customWidth="1"/>
    <col min="53" max="53" width="5.7109375" customWidth="1"/>
    <col min="54" max="54" width="5.28515625" customWidth="1"/>
    <col min="55" max="55" width="6.28515625" customWidth="1"/>
    <col min="56" max="56" width="7.7109375" bestFit="1" customWidth="1"/>
    <col min="57" max="57" width="6.42578125" bestFit="1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28515625" customWidth="1"/>
    <col min="65" max="65" width="7.7109375" customWidth="1"/>
    <col min="66" max="66" width="7.28515625" customWidth="1"/>
    <col min="67" max="67" width="7.7109375" customWidth="1"/>
    <col min="68" max="68" width="7.85546875" customWidth="1"/>
    <col min="69" max="69" width="8.28515625" customWidth="1"/>
    <col min="70" max="70" width="7.85546875" customWidth="1"/>
    <col min="71" max="71" width="8.2851562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8.42578125" customWidth="1"/>
    <col min="81" max="81" width="8.7109375" customWidth="1"/>
    <col min="82" max="82" width="8.42578125" customWidth="1"/>
    <col min="83" max="83" width="8.7109375" customWidth="1"/>
    <col min="84" max="84" width="9" customWidth="1"/>
    <col min="85" max="85" width="9.28515625" customWidth="1"/>
    <col min="86" max="86" width="9" customWidth="1"/>
    <col min="87" max="87" width="9.28515625" customWidth="1"/>
    <col min="88" max="88" width="9" customWidth="1"/>
    <col min="89" max="89" width="9.28515625" customWidth="1"/>
    <col min="90" max="98" width="7.140625" customWidth="1"/>
    <col min="99" max="102" width="9.7109375" customWidth="1"/>
    <col min="103" max="103" width="10.7109375" customWidth="1"/>
    <col min="104" max="104" width="8.7109375" customWidth="1"/>
    <col min="105" max="105" width="11.7109375" customWidth="1"/>
    <col min="106" max="106" width="12.42578125" customWidth="1"/>
    <col min="107" max="108" width="9.7109375" customWidth="1"/>
    <col min="109" max="112" width="10.7109375" customWidth="1"/>
    <col min="113" max="114" width="3.5703125" customWidth="1"/>
    <col min="115" max="117" width="3.42578125" customWidth="1"/>
    <col min="118" max="118" width="4.42578125" customWidth="1"/>
    <col min="119" max="119" width="4.7109375" customWidth="1"/>
    <col min="120" max="128" width="5.28515625" customWidth="1"/>
    <col min="129" max="133" width="6.28515625" customWidth="1"/>
    <col min="134" max="142" width="5.42578125" customWidth="1"/>
    <col min="143" max="147" width="6.42578125" customWidth="1"/>
    <col min="148" max="169" width="9.140625" customWidth="1"/>
    <col min="170" max="171" width="10.7109375" bestFit="1" customWidth="1"/>
    <col min="172" max="173" width="9.5703125" bestFit="1" customWidth="1"/>
    <col min="174" max="175" width="10.5703125" bestFit="1" customWidth="1"/>
    <col min="176" max="176" width="12.85546875" bestFit="1" customWidth="1"/>
    <col min="177" max="177" width="13.42578125" bestFit="1" customWidth="1"/>
    <col min="178" max="179" width="3.5703125" bestFit="1" customWidth="1"/>
    <col min="180" max="181" width="3.42578125" bestFit="1" customWidth="1"/>
    <col min="182" max="182" width="4" bestFit="1" customWidth="1"/>
    <col min="183" max="183" width="4.42578125" bestFit="1" customWidth="1"/>
    <col min="184" max="197" width="5.28515625" bestFit="1" customWidth="1"/>
    <col min="198" max="201" width="6.42578125" bestFit="1" customWidth="1"/>
    <col min="202" max="240" width="9.140625" customWidth="1"/>
    <col min="241" max="249" width="14.42578125" customWidth="1"/>
    <col min="250" max="250" width="11.7109375" customWidth="1"/>
    <col min="251" max="251" width="12.42578125" customWidth="1"/>
    <col min="252" max="288" width="9.140625" customWidth="1"/>
    <col min="289" max="289" width="11.7109375" bestFit="1" customWidth="1"/>
    <col min="290" max="290" width="11.5703125" bestFit="1" customWidth="1"/>
    <col min="291" max="291" width="11.7109375" bestFit="1" customWidth="1"/>
    <col min="292" max="292" width="11.5703125" bestFit="1" customWidth="1"/>
    <col min="293" max="294" width="11.5703125" customWidth="1"/>
    <col min="295" max="299" width="5.140625" customWidth="1"/>
    <col min="300" max="306" width="9.140625" customWidth="1"/>
    <col min="307" max="308" width="10.5703125" customWidth="1"/>
    <col min="309" max="325" width="9.140625" customWidth="1"/>
    <col min="327" max="328" width="10.5703125" bestFit="1" customWidth="1"/>
    <col min="356" max="356" width="9.5703125" customWidth="1"/>
    <col min="376" max="376" width="14.5703125" bestFit="1" customWidth="1"/>
    <col min="380" max="380" width="12" bestFit="1" customWidth="1"/>
    <col min="395" max="395" width="5.42578125" bestFit="1" customWidth="1"/>
    <col min="396" max="399" width="5.42578125" customWidth="1"/>
    <col min="400" max="400" width="7.28515625" bestFit="1" customWidth="1"/>
    <col min="401" max="401" width="7.7109375" bestFit="1" customWidth="1"/>
    <col min="402" max="409" width="7.7109375" customWidth="1"/>
    <col min="410" max="410" width="11.7109375" bestFit="1" customWidth="1"/>
    <col min="411" max="411" width="11.5703125" bestFit="1" customWidth="1"/>
    <col min="412" max="412" width="11.7109375" bestFit="1" customWidth="1"/>
    <col min="413" max="413" width="11.5703125" bestFit="1" customWidth="1"/>
    <col min="414" max="421" width="11.5703125" customWidth="1"/>
    <col min="422" max="422" width="7.7109375" bestFit="1" customWidth="1"/>
    <col min="423" max="426" width="5.28515625" bestFit="1" customWidth="1"/>
    <col min="427" max="430" width="5.28515625" customWidth="1"/>
    <col min="431" max="431" width="4.42578125" bestFit="1" customWidth="1"/>
    <col min="432" max="432" width="4" bestFit="1" customWidth="1"/>
    <col min="433" max="433" width="4.42578125" bestFit="1" customWidth="1"/>
    <col min="434" max="434" width="4" bestFit="1" customWidth="1"/>
    <col min="435" max="436" width="4.85546875" bestFit="1" customWidth="1"/>
    <col min="437" max="439" width="5.28515625" bestFit="1" customWidth="1"/>
    <col min="463" max="463" width="10.5703125" bestFit="1" customWidth="1"/>
    <col min="464" max="464" width="10.7109375" bestFit="1" customWidth="1"/>
    <col min="465" max="465" width="10.5703125" bestFit="1" customWidth="1"/>
    <col min="466" max="466" width="10.7109375" bestFit="1" customWidth="1"/>
    <col min="467" max="467" width="10.5703125" bestFit="1" customWidth="1"/>
    <col min="468" max="468" width="10.7109375" bestFit="1" customWidth="1"/>
    <col min="469" max="469" width="11.5703125" bestFit="1" customWidth="1"/>
    <col min="470" max="470" width="11.7109375" bestFit="1" customWidth="1"/>
    <col min="471" max="471" width="11.5703125" bestFit="1" customWidth="1"/>
    <col min="472" max="472" width="11.7109375" bestFit="1" customWidth="1"/>
    <col min="473" max="473" width="11.5703125" bestFit="1" customWidth="1"/>
    <col min="474" max="474" width="11.7109375" customWidth="1"/>
    <col min="475" max="475" width="10.5703125" bestFit="1" customWidth="1"/>
    <col min="476" max="476" width="10.7109375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0.5703125" bestFit="1" customWidth="1"/>
    <col min="482" max="482" width="10.7109375" bestFit="1" customWidth="1"/>
    <col min="483" max="483" width="10.5703125" bestFit="1" customWidth="1"/>
    <col min="484" max="484" width="10.7109375" bestFit="1" customWidth="1"/>
    <col min="485" max="485" width="11.5703125" bestFit="1" customWidth="1"/>
    <col min="486" max="486" width="11.7109375" bestFit="1" customWidth="1"/>
    <col min="537" max="537" width="8" bestFit="1" customWidth="1"/>
    <col min="538" max="538" width="9" bestFit="1" customWidth="1"/>
    <col min="539" max="539" width="8.85546875" bestFit="1" customWidth="1"/>
    <col min="540" max="540" width="10" bestFit="1" customWidth="1"/>
    <col min="541" max="541" width="14.42578125" bestFit="1" customWidth="1"/>
    <col min="542" max="542" width="9.7109375" bestFit="1" customWidth="1"/>
    <col min="543" max="543" width="9.5703125" bestFit="1" customWidth="1"/>
    <col min="544" max="544" width="10.7109375" bestFit="1" customWidth="1"/>
    <col min="545" max="545" width="6.42578125" bestFit="1" customWidth="1"/>
  </cols>
  <sheetData>
    <row r="1" spans="1:55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5" t="s">
        <v>1789</v>
      </c>
      <c r="AE1" s="5" t="s">
        <v>1790</v>
      </c>
      <c r="AF1" s="5" t="s">
        <v>23</v>
      </c>
      <c r="AG1" s="5" t="s">
        <v>24</v>
      </c>
      <c r="AH1" s="8" t="s">
        <v>22</v>
      </c>
      <c r="AI1" s="5" t="s">
        <v>1791</v>
      </c>
      <c r="AJ1" s="5" t="s">
        <v>1792</v>
      </c>
      <c r="AK1" s="5" t="s">
        <v>25</v>
      </c>
      <c r="AL1" s="5" t="s">
        <v>26</v>
      </c>
      <c r="AM1" s="8" t="s">
        <v>31</v>
      </c>
      <c r="AN1" s="8" t="s">
        <v>283</v>
      </c>
      <c r="AO1" s="8" t="s">
        <v>284</v>
      </c>
      <c r="AP1" s="8" t="s">
        <v>27</v>
      </c>
      <c r="AQ1" s="8" t="s">
        <v>28</v>
      </c>
      <c r="AR1" s="8" t="s">
        <v>301</v>
      </c>
      <c r="AS1" s="8" t="s">
        <v>395</v>
      </c>
      <c r="AT1" s="8" t="s">
        <v>29</v>
      </c>
      <c r="AU1" s="8" t="s">
        <v>30</v>
      </c>
      <c r="AV1" s="26" t="s">
        <v>32</v>
      </c>
      <c r="AW1" s="26" t="s">
        <v>33</v>
      </c>
      <c r="AX1" s="26" t="s">
        <v>34</v>
      </c>
      <c r="AY1" s="26" t="s">
        <v>303</v>
      </c>
      <c r="AZ1" s="26" t="s">
        <v>304</v>
      </c>
      <c r="BA1" s="26" t="s">
        <v>305</v>
      </c>
      <c r="BB1" s="26" t="s">
        <v>306</v>
      </c>
      <c r="BC1" s="26" t="s">
        <v>307</v>
      </c>
      <c r="BD1" s="26" t="s">
        <v>308</v>
      </c>
      <c r="BE1" s="5" t="s">
        <v>35</v>
      </c>
      <c r="BF1" s="5" t="s">
        <v>36</v>
      </c>
      <c r="BG1" s="5" t="s">
        <v>37</v>
      </c>
      <c r="BH1" s="5" t="s">
        <v>38</v>
      </c>
      <c r="BI1" s="5" t="s">
        <v>39</v>
      </c>
      <c r="BJ1" s="5" t="s">
        <v>40</v>
      </c>
      <c r="BK1" s="5" t="s">
        <v>41</v>
      </c>
      <c r="BL1" s="5" t="s">
        <v>42</v>
      </c>
      <c r="BM1" s="5" t="s">
        <v>43</v>
      </c>
      <c r="BN1" s="5" t="s">
        <v>44</v>
      </c>
      <c r="BO1" s="5" t="s">
        <v>45</v>
      </c>
      <c r="BP1" s="5" t="s">
        <v>46</v>
      </c>
      <c r="BQ1" s="5" t="s">
        <v>47</v>
      </c>
      <c r="BR1" s="5" t="s">
        <v>48</v>
      </c>
      <c r="BS1" s="5" t="s">
        <v>49</v>
      </c>
      <c r="BT1" s="5" t="s">
        <v>50</v>
      </c>
      <c r="BU1" s="5" t="s">
        <v>51</v>
      </c>
      <c r="BV1" s="5" t="s">
        <v>52</v>
      </c>
      <c r="BW1" s="5" t="s">
        <v>53</v>
      </c>
      <c r="BX1" s="5" t="s">
        <v>54</v>
      </c>
      <c r="BY1" s="5" t="s">
        <v>55</v>
      </c>
      <c r="BZ1" s="5" t="s">
        <v>56</v>
      </c>
      <c r="CA1" s="5" t="s">
        <v>57</v>
      </c>
      <c r="CB1" s="5" t="s">
        <v>58</v>
      </c>
      <c r="CC1" s="5" t="s">
        <v>59</v>
      </c>
      <c r="CD1" s="5" t="s">
        <v>60</v>
      </c>
      <c r="CE1" s="5" t="s">
        <v>61</v>
      </c>
      <c r="CF1" s="5" t="s">
        <v>62</v>
      </c>
      <c r="CG1" s="5" t="s">
        <v>63</v>
      </c>
      <c r="CH1" s="5" t="s">
        <v>64</v>
      </c>
      <c r="CI1" s="5" t="s">
        <v>65</v>
      </c>
      <c r="CJ1" s="5" t="s">
        <v>66</v>
      </c>
      <c r="CK1" s="5" t="s">
        <v>67</v>
      </c>
      <c r="CL1" s="5" t="s">
        <v>73</v>
      </c>
      <c r="CM1" s="5" t="s">
        <v>74</v>
      </c>
      <c r="CN1" s="5" t="s">
        <v>75</v>
      </c>
      <c r="CO1" s="5" t="s">
        <v>76</v>
      </c>
      <c r="CP1" s="5" t="s">
        <v>77</v>
      </c>
      <c r="CQ1" s="5" t="s">
        <v>78</v>
      </c>
      <c r="CR1" s="5" t="s">
        <v>79</v>
      </c>
      <c r="CS1" s="5" t="s">
        <v>80</v>
      </c>
      <c r="CT1" s="5" t="s">
        <v>81</v>
      </c>
      <c r="CU1" s="5" t="s">
        <v>82</v>
      </c>
      <c r="CV1" s="5" t="s">
        <v>83</v>
      </c>
      <c r="CW1" s="5" t="s">
        <v>84</v>
      </c>
      <c r="CX1" s="5" t="s">
        <v>85</v>
      </c>
      <c r="CY1" s="5" t="s">
        <v>86</v>
      </c>
      <c r="CZ1" s="5" t="s">
        <v>87</v>
      </c>
      <c r="DA1" s="5" t="s">
        <v>88</v>
      </c>
      <c r="DB1" s="5" t="s">
        <v>89</v>
      </c>
      <c r="DC1" s="5" t="s">
        <v>90</v>
      </c>
      <c r="DD1" s="5" t="s">
        <v>91</v>
      </c>
      <c r="DE1" s="5" t="s">
        <v>92</v>
      </c>
      <c r="DF1" s="5" t="s">
        <v>93</v>
      </c>
      <c r="DG1" s="5" t="s">
        <v>94</v>
      </c>
      <c r="DH1" s="5" t="s">
        <v>95</v>
      </c>
      <c r="DI1" s="5" t="s">
        <v>68</v>
      </c>
      <c r="DJ1" s="5" t="s">
        <v>69</v>
      </c>
      <c r="DK1" s="5" t="s">
        <v>70</v>
      </c>
      <c r="DL1" s="5" t="s">
        <v>71</v>
      </c>
      <c r="DM1" s="5" t="s">
        <v>72</v>
      </c>
      <c r="DN1" s="5" t="s">
        <v>96</v>
      </c>
      <c r="DO1" s="5" t="s">
        <v>97</v>
      </c>
      <c r="DP1" s="5" t="s">
        <v>98</v>
      </c>
      <c r="DQ1" s="5" t="s">
        <v>99</v>
      </c>
      <c r="DR1" s="5" t="s">
        <v>100</v>
      </c>
      <c r="DS1" s="5" t="s">
        <v>101</v>
      </c>
      <c r="DT1" s="5" t="s">
        <v>102</v>
      </c>
      <c r="DU1" s="5" t="s">
        <v>103</v>
      </c>
      <c r="DV1" s="5" t="s">
        <v>104</v>
      </c>
      <c r="DW1" s="5" t="s">
        <v>105</v>
      </c>
      <c r="DX1" s="5" t="s">
        <v>106</v>
      </c>
      <c r="DY1" s="5" t="s">
        <v>107</v>
      </c>
      <c r="DZ1" s="5" t="s">
        <v>108</v>
      </c>
      <c r="EA1" s="5" t="s">
        <v>109</v>
      </c>
      <c r="EB1" s="5" t="s">
        <v>110</v>
      </c>
      <c r="EC1" s="5" t="s">
        <v>111</v>
      </c>
      <c r="ED1" s="5" t="s">
        <v>112</v>
      </c>
      <c r="EE1" s="5" t="s">
        <v>113</v>
      </c>
      <c r="EF1" s="5" t="s">
        <v>114</v>
      </c>
      <c r="EG1" s="5" t="s">
        <v>115</v>
      </c>
      <c r="EH1" s="5" t="s">
        <v>116</v>
      </c>
      <c r="EI1" s="5" t="s">
        <v>117</v>
      </c>
      <c r="EJ1" s="5" t="s">
        <v>118</v>
      </c>
      <c r="EK1" s="5" t="s">
        <v>119</v>
      </c>
      <c r="EL1" s="5" t="s">
        <v>120</v>
      </c>
      <c r="EM1" s="5" t="s">
        <v>121</v>
      </c>
      <c r="EN1" s="5" t="s">
        <v>122</v>
      </c>
      <c r="EO1" s="5" t="s">
        <v>123</v>
      </c>
      <c r="EP1" s="5" t="s">
        <v>124</v>
      </c>
      <c r="EQ1" s="9" t="s">
        <v>125</v>
      </c>
      <c r="ER1" s="5" t="s">
        <v>35</v>
      </c>
      <c r="ES1" s="5" t="s">
        <v>36</v>
      </c>
      <c r="ET1" s="5" t="s">
        <v>37</v>
      </c>
      <c r="EU1" s="5" t="s">
        <v>38</v>
      </c>
      <c r="EV1" s="5" t="s">
        <v>39</v>
      </c>
      <c r="EW1" s="5" t="s">
        <v>46</v>
      </c>
      <c r="EX1" s="5" t="s">
        <v>47</v>
      </c>
      <c r="EY1" s="5" t="s">
        <v>50</v>
      </c>
      <c r="EZ1" s="5" t="s">
        <v>51</v>
      </c>
      <c r="FA1" s="5" t="s">
        <v>52</v>
      </c>
      <c r="FB1" s="5" t="s">
        <v>53</v>
      </c>
      <c r="FC1" s="5" t="s">
        <v>54</v>
      </c>
      <c r="FD1" s="5" t="s">
        <v>55</v>
      </c>
      <c r="FE1" s="5" t="s">
        <v>62</v>
      </c>
      <c r="FF1" s="5" t="s">
        <v>63</v>
      </c>
      <c r="FG1" s="5" t="s">
        <v>64</v>
      </c>
      <c r="FH1" s="5" t="s">
        <v>65</v>
      </c>
      <c r="FI1" s="5" t="s">
        <v>73</v>
      </c>
      <c r="FJ1" s="5" t="s">
        <v>74</v>
      </c>
      <c r="FK1" s="5" t="s">
        <v>75</v>
      </c>
      <c r="FL1" s="5" t="s">
        <v>76</v>
      </c>
      <c r="FM1" s="5" t="s">
        <v>77</v>
      </c>
      <c r="FN1" s="5" t="s">
        <v>293</v>
      </c>
      <c r="FO1" s="5" t="s">
        <v>302</v>
      </c>
      <c r="FP1" s="5" t="s">
        <v>82</v>
      </c>
      <c r="FQ1" s="5" t="s">
        <v>83</v>
      </c>
      <c r="FR1" s="5" t="s">
        <v>84</v>
      </c>
      <c r="FS1" s="5" t="s">
        <v>85</v>
      </c>
      <c r="FT1" s="5" t="s">
        <v>86</v>
      </c>
      <c r="FU1" s="5" t="s">
        <v>87</v>
      </c>
      <c r="FV1" s="5" t="s">
        <v>68</v>
      </c>
      <c r="FW1" s="5" t="s">
        <v>69</v>
      </c>
      <c r="FX1" s="5" t="s">
        <v>70</v>
      </c>
      <c r="FY1" s="5" t="s">
        <v>71</v>
      </c>
      <c r="FZ1" s="5" t="s">
        <v>97</v>
      </c>
      <c r="GA1" s="5" t="s">
        <v>96</v>
      </c>
      <c r="GB1" s="5" t="s">
        <v>98</v>
      </c>
      <c r="GC1" s="5" t="s">
        <v>99</v>
      </c>
      <c r="GD1" s="5" t="s">
        <v>100</v>
      </c>
      <c r="GE1" s="5" t="s">
        <v>101</v>
      </c>
      <c r="GF1" s="5" t="s">
        <v>102</v>
      </c>
      <c r="GG1" s="5" t="s">
        <v>103</v>
      </c>
      <c r="GH1" s="5" t="s">
        <v>104</v>
      </c>
      <c r="GI1" s="5" t="s">
        <v>105</v>
      </c>
      <c r="GJ1" s="5" t="s">
        <v>106</v>
      </c>
      <c r="GK1" s="5" t="s">
        <v>294</v>
      </c>
      <c r="GL1" s="5" t="s">
        <v>295</v>
      </c>
      <c r="GM1" s="5" t="s">
        <v>296</v>
      </c>
      <c r="GN1" s="5" t="s">
        <v>297</v>
      </c>
      <c r="GO1" s="5" t="s">
        <v>298</v>
      </c>
      <c r="GP1" s="5" t="s">
        <v>122</v>
      </c>
      <c r="GQ1" s="5" t="s">
        <v>123</v>
      </c>
      <c r="GR1" s="5" t="s">
        <v>299</v>
      </c>
      <c r="GS1" s="31" t="s">
        <v>300</v>
      </c>
      <c r="GT1" s="4" t="s">
        <v>35</v>
      </c>
      <c r="GU1" s="5" t="s">
        <v>36</v>
      </c>
      <c r="GV1" s="5" t="s">
        <v>37</v>
      </c>
      <c r="GW1" s="5" t="s">
        <v>38</v>
      </c>
      <c r="GX1" s="5" t="s">
        <v>39</v>
      </c>
      <c r="GY1" s="5" t="s">
        <v>40</v>
      </c>
      <c r="GZ1" s="5" t="s">
        <v>41</v>
      </c>
      <c r="HA1" s="5" t="s">
        <v>42</v>
      </c>
      <c r="HB1" s="5" t="s">
        <v>43</v>
      </c>
      <c r="HC1" s="5" t="s">
        <v>44</v>
      </c>
      <c r="HD1" s="5" t="s">
        <v>45</v>
      </c>
      <c r="HE1" s="5" t="s">
        <v>46</v>
      </c>
      <c r="HF1" s="5" t="s">
        <v>47</v>
      </c>
      <c r="HG1" s="5" t="s">
        <v>401</v>
      </c>
      <c r="HH1" s="5" t="s">
        <v>402</v>
      </c>
      <c r="HI1" s="5" t="s">
        <v>50</v>
      </c>
      <c r="HJ1" s="5" t="s">
        <v>51</v>
      </c>
      <c r="HK1" s="5" t="s">
        <v>52</v>
      </c>
      <c r="HL1" s="5" t="s">
        <v>53</v>
      </c>
      <c r="HM1" s="5" t="s">
        <v>54</v>
      </c>
      <c r="HN1" s="5" t="s">
        <v>55</v>
      </c>
      <c r="HO1" s="5" t="s">
        <v>56</v>
      </c>
      <c r="HP1" s="5" t="s">
        <v>57</v>
      </c>
      <c r="HQ1" s="5" t="s">
        <v>58</v>
      </c>
      <c r="HR1" s="5" t="s">
        <v>59</v>
      </c>
      <c r="HS1" s="5" t="s">
        <v>60</v>
      </c>
      <c r="HT1" s="5" t="s">
        <v>61</v>
      </c>
      <c r="HU1" s="5" t="s">
        <v>62</v>
      </c>
      <c r="HV1" s="5" t="s">
        <v>63</v>
      </c>
      <c r="HW1" s="5" t="s">
        <v>64</v>
      </c>
      <c r="HX1" s="5" t="s">
        <v>65</v>
      </c>
      <c r="HY1" s="5" t="s">
        <v>73</v>
      </c>
      <c r="HZ1" s="5" t="s">
        <v>74</v>
      </c>
      <c r="IA1" s="5" t="s">
        <v>75</v>
      </c>
      <c r="IB1" s="5" t="s">
        <v>76</v>
      </c>
      <c r="IC1" s="5" t="s">
        <v>77</v>
      </c>
      <c r="ID1" s="5" t="s">
        <v>78</v>
      </c>
      <c r="IE1" s="5" t="s">
        <v>79</v>
      </c>
      <c r="IF1" s="5" t="s">
        <v>80</v>
      </c>
      <c r="IG1" s="5" t="s">
        <v>403</v>
      </c>
      <c r="IH1" s="5" t="s">
        <v>420</v>
      </c>
      <c r="II1" s="5" t="s">
        <v>404</v>
      </c>
      <c r="IJ1" s="5" t="s">
        <v>405</v>
      </c>
      <c r="IK1" s="5" t="s">
        <v>406</v>
      </c>
      <c r="IL1" s="5" t="s">
        <v>407</v>
      </c>
      <c r="IM1" s="5" t="s">
        <v>408</v>
      </c>
      <c r="IN1" s="5" t="s">
        <v>409</v>
      </c>
      <c r="IO1" s="5" t="s">
        <v>410</v>
      </c>
      <c r="IP1" s="5" t="s">
        <v>92</v>
      </c>
      <c r="IQ1" s="5" t="s">
        <v>93</v>
      </c>
      <c r="IR1" s="5" t="s">
        <v>68</v>
      </c>
      <c r="IS1" s="5" t="s">
        <v>69</v>
      </c>
      <c r="IT1" s="5" t="s">
        <v>70</v>
      </c>
      <c r="IU1" s="5" t="s">
        <v>71</v>
      </c>
      <c r="IV1" s="5" t="s">
        <v>411</v>
      </c>
      <c r="IW1" s="5" t="s">
        <v>412</v>
      </c>
      <c r="IX1" s="5" t="s">
        <v>98</v>
      </c>
      <c r="IY1" s="5" t="s">
        <v>99</v>
      </c>
      <c r="IZ1" s="5" t="s">
        <v>100</v>
      </c>
      <c r="JA1" s="5" t="s">
        <v>101</v>
      </c>
      <c r="JB1" s="5" t="s">
        <v>102</v>
      </c>
      <c r="JC1" s="5" t="s">
        <v>103</v>
      </c>
      <c r="JD1" s="5" t="s">
        <v>104</v>
      </c>
      <c r="JE1" s="5" t="s">
        <v>105</v>
      </c>
      <c r="JF1" s="5" t="s">
        <v>106</v>
      </c>
      <c r="JG1" s="5" t="s">
        <v>107</v>
      </c>
      <c r="JH1" s="5" t="s">
        <v>108</v>
      </c>
      <c r="JI1" s="5" t="s">
        <v>109</v>
      </c>
      <c r="JJ1" s="5" t="s">
        <v>110</v>
      </c>
      <c r="JK1" s="5" t="s">
        <v>111</v>
      </c>
      <c r="JL1" s="5" t="s">
        <v>112</v>
      </c>
      <c r="JM1" s="5" t="s">
        <v>113</v>
      </c>
      <c r="JN1" s="5" t="s">
        <v>114</v>
      </c>
      <c r="JO1" s="5" t="s">
        <v>115</v>
      </c>
      <c r="JP1" s="5" t="s">
        <v>116</v>
      </c>
      <c r="JQ1" s="5" t="s">
        <v>117</v>
      </c>
      <c r="JR1" s="5" t="s">
        <v>118</v>
      </c>
      <c r="JS1" s="5" t="s">
        <v>119</v>
      </c>
      <c r="JT1" s="5" t="s">
        <v>120</v>
      </c>
      <c r="JU1" s="5" t="s">
        <v>121</v>
      </c>
      <c r="JV1" s="5" t="s">
        <v>122</v>
      </c>
      <c r="JW1" s="5" t="s">
        <v>123</v>
      </c>
      <c r="JX1" s="5" t="s">
        <v>124</v>
      </c>
      <c r="JY1" s="9" t="s">
        <v>125</v>
      </c>
      <c r="JZ1" s="23" t="s">
        <v>35</v>
      </c>
      <c r="KA1" s="23" t="s">
        <v>557</v>
      </c>
      <c r="KB1" s="23" t="s">
        <v>558</v>
      </c>
      <c r="KC1" s="32" t="s">
        <v>401</v>
      </c>
      <c r="KD1" s="5" t="s">
        <v>402</v>
      </c>
      <c r="KE1" s="32" t="s">
        <v>555</v>
      </c>
      <c r="KF1" s="5" t="s">
        <v>556</v>
      </c>
      <c r="KG1" s="5" t="s">
        <v>412</v>
      </c>
      <c r="KH1" s="5" t="s">
        <v>411</v>
      </c>
      <c r="KI1" s="5" t="s">
        <v>98</v>
      </c>
      <c r="KJ1" s="5" t="s">
        <v>99</v>
      </c>
      <c r="KK1" s="5" t="s">
        <v>100</v>
      </c>
      <c r="KL1" s="5" t="s">
        <v>101</v>
      </c>
      <c r="KM1" s="5" t="s">
        <v>102</v>
      </c>
      <c r="KN1" s="30" t="s">
        <v>489</v>
      </c>
      <c r="KO1" s="35" t="s">
        <v>491</v>
      </c>
      <c r="KP1" s="30" t="s">
        <v>490</v>
      </c>
      <c r="KQ1" s="35" t="s">
        <v>553</v>
      </c>
      <c r="KR1" s="19" t="s">
        <v>549</v>
      </c>
      <c r="KS1" s="19" t="s">
        <v>550</v>
      </c>
      <c r="KT1" s="4" t="s">
        <v>35</v>
      </c>
      <c r="KU1" s="5" t="s">
        <v>855</v>
      </c>
      <c r="KV1" s="5" t="s">
        <v>404</v>
      </c>
      <c r="KW1" s="5" t="s">
        <v>73</v>
      </c>
      <c r="KX1" s="5" t="s">
        <v>70</v>
      </c>
      <c r="KY1" s="5" t="s">
        <v>71</v>
      </c>
      <c r="KZ1" s="5" t="s">
        <v>68</v>
      </c>
      <c r="LA1" s="5" t="s">
        <v>69</v>
      </c>
      <c r="LB1" s="5" t="s">
        <v>856</v>
      </c>
      <c r="LC1" s="5" t="s">
        <v>857</v>
      </c>
      <c r="LD1" s="5" t="s">
        <v>858</v>
      </c>
      <c r="LE1" s="5" t="s">
        <v>859</v>
      </c>
      <c r="LF1" s="5" t="s">
        <v>98</v>
      </c>
      <c r="LG1" s="5" t="s">
        <v>99</v>
      </c>
      <c r="LH1" s="5" t="s">
        <v>100</v>
      </c>
      <c r="LI1" s="5" t="s">
        <v>860</v>
      </c>
      <c r="LJ1" s="5" t="s">
        <v>861</v>
      </c>
      <c r="LK1" s="5" t="s">
        <v>862</v>
      </c>
      <c r="LL1" s="5" t="s">
        <v>863</v>
      </c>
      <c r="LM1" s="9" t="s">
        <v>864</v>
      </c>
      <c r="LN1" s="39" t="s">
        <v>35</v>
      </c>
      <c r="LO1" s="32" t="s">
        <v>401</v>
      </c>
      <c r="LP1" s="5" t="s">
        <v>402</v>
      </c>
      <c r="LQ1" s="5" t="s">
        <v>98</v>
      </c>
      <c r="LR1" s="5" t="s">
        <v>99</v>
      </c>
      <c r="LS1" s="5" t="s">
        <v>100</v>
      </c>
      <c r="LT1" s="37" t="s">
        <v>31</v>
      </c>
      <c r="LU1" s="30" t="s">
        <v>112</v>
      </c>
      <c r="LV1" s="38" t="s">
        <v>113</v>
      </c>
      <c r="LW1" s="4" t="s">
        <v>35</v>
      </c>
      <c r="LX1" s="5" t="s">
        <v>855</v>
      </c>
      <c r="LY1" s="5" t="s">
        <v>404</v>
      </c>
      <c r="LZ1" s="5" t="s">
        <v>73</v>
      </c>
      <c r="MA1" s="5" t="s">
        <v>70</v>
      </c>
      <c r="MB1" s="5" t="s">
        <v>71</v>
      </c>
      <c r="MC1" s="5" t="s">
        <v>68</v>
      </c>
      <c r="MD1" s="5" t="s">
        <v>69</v>
      </c>
      <c r="ME1" s="5" t="s">
        <v>856</v>
      </c>
      <c r="MF1" s="5" t="s">
        <v>857</v>
      </c>
      <c r="MG1" s="5" t="s">
        <v>858</v>
      </c>
      <c r="MH1" s="5" t="s">
        <v>859</v>
      </c>
      <c r="MI1" s="5" t="s">
        <v>98</v>
      </c>
      <c r="MJ1" s="5" t="s">
        <v>99</v>
      </c>
      <c r="MK1" s="5" t="s">
        <v>100</v>
      </c>
      <c r="ML1" s="5" t="s">
        <v>101</v>
      </c>
      <c r="MM1" s="5" t="s">
        <v>860</v>
      </c>
      <c r="MN1" s="5" t="s">
        <v>861</v>
      </c>
      <c r="MO1" s="5" t="s">
        <v>862</v>
      </c>
      <c r="MP1" s="5" t="s">
        <v>863</v>
      </c>
      <c r="MQ1" s="9" t="s">
        <v>864</v>
      </c>
      <c r="MR1" s="40" t="s">
        <v>924</v>
      </c>
      <c r="MS1" s="37" t="s">
        <v>925</v>
      </c>
      <c r="MT1" s="41" t="s">
        <v>928</v>
      </c>
      <c r="MU1" s="41" t="s">
        <v>929</v>
      </c>
      <c r="MV1" s="41" t="s">
        <v>930</v>
      </c>
      <c r="MW1" s="41" t="s">
        <v>35</v>
      </c>
      <c r="MX1" s="41" t="s">
        <v>37</v>
      </c>
      <c r="MY1" s="41" t="s">
        <v>36</v>
      </c>
      <c r="MZ1" s="41" t="s">
        <v>39</v>
      </c>
      <c r="NA1" s="41" t="s">
        <v>38</v>
      </c>
      <c r="NB1" s="41" t="s">
        <v>41</v>
      </c>
      <c r="NC1" s="41" t="s">
        <v>40</v>
      </c>
      <c r="ND1" s="41" t="s">
        <v>557</v>
      </c>
      <c r="NE1" s="41" t="s">
        <v>558</v>
      </c>
      <c r="NF1" s="5" t="s">
        <v>855</v>
      </c>
      <c r="NG1" s="5" t="s">
        <v>918</v>
      </c>
      <c r="NH1" s="5" t="s">
        <v>919</v>
      </c>
      <c r="NI1" s="5" t="s">
        <v>920</v>
      </c>
      <c r="NJ1" s="5" t="s">
        <v>921</v>
      </c>
      <c r="NK1" s="5" t="s">
        <v>922</v>
      </c>
      <c r="NL1" s="5" t="s">
        <v>923</v>
      </c>
      <c r="NM1" s="5" t="s">
        <v>404</v>
      </c>
      <c r="NN1" s="5" t="s">
        <v>405</v>
      </c>
      <c r="NO1" s="5" t="s">
        <v>406</v>
      </c>
      <c r="NP1" s="5" t="s">
        <v>407</v>
      </c>
      <c r="NQ1" s="5" t="s">
        <v>73</v>
      </c>
      <c r="NR1" s="5" t="s">
        <v>74</v>
      </c>
      <c r="NS1" s="5" t="s">
        <v>75</v>
      </c>
      <c r="NT1" s="5" t="s">
        <v>76</v>
      </c>
      <c r="NU1" s="5" t="s">
        <v>70</v>
      </c>
      <c r="NV1" s="5" t="s">
        <v>71</v>
      </c>
      <c r="NW1" s="5" t="s">
        <v>68</v>
      </c>
      <c r="NX1" s="5" t="s">
        <v>69</v>
      </c>
      <c r="NY1" s="5" t="s">
        <v>856</v>
      </c>
      <c r="NZ1" s="5" t="s">
        <v>857</v>
      </c>
      <c r="OA1" s="5" t="s">
        <v>858</v>
      </c>
      <c r="OB1" s="9" t="s">
        <v>859</v>
      </c>
      <c r="OC1" s="5" t="s">
        <v>953</v>
      </c>
      <c r="OD1" s="9" t="s">
        <v>954</v>
      </c>
      <c r="OE1" s="23" t="s">
        <v>35</v>
      </c>
      <c r="OF1" s="23" t="s">
        <v>924</v>
      </c>
      <c r="OG1" s="23" t="s">
        <v>925</v>
      </c>
      <c r="OH1" s="23" t="s">
        <v>1032</v>
      </c>
      <c r="OI1" s="23" t="s">
        <v>1033</v>
      </c>
      <c r="OJ1" s="23" t="s">
        <v>557</v>
      </c>
      <c r="OK1" s="23" t="s">
        <v>558</v>
      </c>
      <c r="OL1" s="23" t="s">
        <v>1015</v>
      </c>
      <c r="OM1" s="23" t="s">
        <v>1016</v>
      </c>
      <c r="ON1" s="23" t="s">
        <v>1017</v>
      </c>
      <c r="OO1" s="23" t="s">
        <v>1018</v>
      </c>
      <c r="OP1" s="23" t="s">
        <v>1036</v>
      </c>
      <c r="OQ1" s="23" t="s">
        <v>1037</v>
      </c>
      <c r="OR1" s="23" t="s">
        <v>1038</v>
      </c>
      <c r="OS1" s="23" t="s">
        <v>1039</v>
      </c>
      <c r="OT1" s="32" t="s">
        <v>401</v>
      </c>
      <c r="OU1" s="5" t="s">
        <v>402</v>
      </c>
      <c r="OV1" s="32" t="s">
        <v>555</v>
      </c>
      <c r="OW1" s="5" t="s">
        <v>556</v>
      </c>
      <c r="OX1" s="32" t="s">
        <v>1019</v>
      </c>
      <c r="OY1" s="5" t="s">
        <v>1020</v>
      </c>
      <c r="OZ1" s="32" t="s">
        <v>1021</v>
      </c>
      <c r="PA1" s="5" t="s">
        <v>1022</v>
      </c>
      <c r="PB1" s="32" t="s">
        <v>1040</v>
      </c>
      <c r="PC1" s="5" t="s">
        <v>1041</v>
      </c>
      <c r="PD1" s="32" t="s">
        <v>1042</v>
      </c>
      <c r="PE1" s="5" t="s">
        <v>1043</v>
      </c>
      <c r="PF1" s="5" t="s">
        <v>98</v>
      </c>
      <c r="PG1" s="5" t="s">
        <v>99</v>
      </c>
      <c r="PH1" s="5" t="s">
        <v>100</v>
      </c>
      <c r="PI1" s="5" t="s">
        <v>101</v>
      </c>
      <c r="PJ1" s="5" t="s">
        <v>102</v>
      </c>
      <c r="PK1" s="5" t="s">
        <v>103</v>
      </c>
      <c r="PL1" s="5" t="s">
        <v>104</v>
      </c>
      <c r="PM1" s="5" t="s">
        <v>105</v>
      </c>
      <c r="PN1" s="5" t="s">
        <v>106</v>
      </c>
      <c r="PO1" s="30" t="s">
        <v>294</v>
      </c>
      <c r="PP1" s="30" t="s">
        <v>295</v>
      </c>
      <c r="PQ1" s="30" t="s">
        <v>296</v>
      </c>
      <c r="PR1" s="30" t="s">
        <v>297</v>
      </c>
      <c r="PS1" s="30" t="s">
        <v>298</v>
      </c>
      <c r="PT1" s="30" t="s">
        <v>1014</v>
      </c>
      <c r="PU1" s="30" t="s">
        <v>1044</v>
      </c>
      <c r="PV1" s="30" t="s">
        <v>1045</v>
      </c>
      <c r="PW1" s="30" t="s">
        <v>1046</v>
      </c>
      <c r="PX1" s="42" t="s">
        <v>1062</v>
      </c>
      <c r="PY1" s="42" t="s">
        <v>558</v>
      </c>
      <c r="PZ1" s="42" t="s">
        <v>557</v>
      </c>
      <c r="QA1" s="42" t="s">
        <v>1016</v>
      </c>
      <c r="QB1" s="42" t="s">
        <v>1015</v>
      </c>
      <c r="QC1" s="42" t="s">
        <v>1018</v>
      </c>
      <c r="QD1" s="42" t="s">
        <v>1017</v>
      </c>
      <c r="QE1" s="42" t="s">
        <v>1037</v>
      </c>
      <c r="QF1" s="42" t="s">
        <v>1036</v>
      </c>
      <c r="QG1" s="42" t="s">
        <v>1039</v>
      </c>
      <c r="QH1" s="42" t="s">
        <v>1038</v>
      </c>
      <c r="QI1" s="42" t="s">
        <v>1063</v>
      </c>
      <c r="QJ1" s="42" t="s">
        <v>1064</v>
      </c>
      <c r="QK1" s="42" t="s">
        <v>1065</v>
      </c>
      <c r="QL1" s="42" t="s">
        <v>1066</v>
      </c>
      <c r="QM1" s="42" t="s">
        <v>1067</v>
      </c>
      <c r="QN1" s="42" t="s">
        <v>1068</v>
      </c>
      <c r="QO1" s="42" t="s">
        <v>1069</v>
      </c>
      <c r="QP1" s="42" t="s">
        <v>1070</v>
      </c>
      <c r="QQ1" s="42" t="s">
        <v>1071</v>
      </c>
      <c r="QR1" s="42" t="s">
        <v>1072</v>
      </c>
      <c r="QS1" s="42" t="s">
        <v>1073</v>
      </c>
      <c r="QT1" s="42" t="s">
        <v>1074</v>
      </c>
      <c r="QU1" s="42" t="s">
        <v>402</v>
      </c>
      <c r="QV1" s="42" t="s">
        <v>401</v>
      </c>
      <c r="QW1" s="42" t="s">
        <v>556</v>
      </c>
      <c r="QX1" s="42" t="s">
        <v>555</v>
      </c>
      <c r="QY1" s="42" t="s">
        <v>1020</v>
      </c>
      <c r="QZ1" s="42" t="s">
        <v>1019</v>
      </c>
      <c r="RA1" s="42" t="s">
        <v>1022</v>
      </c>
      <c r="RB1" s="42" t="s">
        <v>1021</v>
      </c>
      <c r="RC1" s="42" t="s">
        <v>1041</v>
      </c>
      <c r="RD1" s="42" t="s">
        <v>1040</v>
      </c>
      <c r="RE1" s="42" t="s">
        <v>1043</v>
      </c>
      <c r="RF1" s="42" t="s">
        <v>1042</v>
      </c>
      <c r="RG1" s="42" t="s">
        <v>1075</v>
      </c>
      <c r="RH1" s="42" t="s">
        <v>1076</v>
      </c>
      <c r="RI1" s="42" t="s">
        <v>1077</v>
      </c>
      <c r="RJ1" s="42" t="s">
        <v>1078</v>
      </c>
      <c r="RK1" s="42" t="s">
        <v>1079</v>
      </c>
      <c r="RL1" s="42" t="s">
        <v>1080</v>
      </c>
      <c r="RM1" s="42" t="s">
        <v>1081</v>
      </c>
      <c r="RN1" s="42" t="s">
        <v>1082</v>
      </c>
      <c r="RO1" s="42" t="s">
        <v>1083</v>
      </c>
      <c r="RP1" s="42" t="s">
        <v>1084</v>
      </c>
      <c r="RQ1" s="42" t="s">
        <v>1085</v>
      </c>
      <c r="RR1" s="42" t="s">
        <v>1086</v>
      </c>
      <c r="RS1" s="42" t="s">
        <v>35</v>
      </c>
      <c r="RT1" s="42" t="s">
        <v>98</v>
      </c>
      <c r="RU1" s="42" t="s">
        <v>99</v>
      </c>
      <c r="RV1" s="42" t="s">
        <v>100</v>
      </c>
      <c r="RW1" s="42" t="s">
        <v>101</v>
      </c>
      <c r="RX1" s="42" t="s">
        <v>102</v>
      </c>
      <c r="RY1" s="42" t="s">
        <v>103</v>
      </c>
      <c r="RZ1" s="42" t="s">
        <v>104</v>
      </c>
      <c r="SA1" s="42" t="s">
        <v>105</v>
      </c>
      <c r="SB1" s="42" t="s">
        <v>106</v>
      </c>
      <c r="SC1" s="42" t="s">
        <v>107</v>
      </c>
      <c r="SD1" s="42" t="s">
        <v>108</v>
      </c>
      <c r="SE1" s="42" t="s">
        <v>109</v>
      </c>
      <c r="SF1" s="42" t="s">
        <v>110</v>
      </c>
      <c r="SG1" s="42" t="s">
        <v>111</v>
      </c>
      <c r="SH1" s="42" t="s">
        <v>1087</v>
      </c>
      <c r="SI1" s="42" t="s">
        <v>1088</v>
      </c>
      <c r="SJ1" s="42" t="s">
        <v>1089</v>
      </c>
      <c r="SK1" s="42" t="s">
        <v>1090</v>
      </c>
      <c r="SL1" s="42" t="s">
        <v>1091</v>
      </c>
      <c r="SM1" s="42" t="s">
        <v>1092</v>
      </c>
      <c r="SN1" s="42" t="s">
        <v>1093</v>
      </c>
      <c r="SO1" s="42" t="s">
        <v>1094</v>
      </c>
      <c r="SP1" s="42" t="s">
        <v>1095</v>
      </c>
      <c r="SQ1" s="42" t="s">
        <v>1096</v>
      </c>
      <c r="SR1" s="42" t="s">
        <v>1097</v>
      </c>
      <c r="SS1" s="42" t="s">
        <v>1139</v>
      </c>
      <c r="ST1" s="42" t="s">
        <v>924</v>
      </c>
      <c r="SU1" s="42" t="s">
        <v>1032</v>
      </c>
      <c r="SV1" s="42" t="s">
        <v>1098</v>
      </c>
      <c r="SW1" s="42" t="s">
        <v>1099</v>
      </c>
      <c r="SX1" s="42" t="s">
        <v>1100</v>
      </c>
      <c r="SY1" s="42" t="s">
        <v>1101</v>
      </c>
      <c r="SZ1" s="42" t="s">
        <v>1102</v>
      </c>
      <c r="TA1" s="42" t="s">
        <v>1103</v>
      </c>
      <c r="TB1" s="42" t="s">
        <v>1104</v>
      </c>
      <c r="TC1" s="42" t="s">
        <v>1105</v>
      </c>
      <c r="TD1" s="42" t="s">
        <v>1106</v>
      </c>
      <c r="TE1" s="42" t="s">
        <v>1140</v>
      </c>
      <c r="TF1" s="42" t="s">
        <v>925</v>
      </c>
      <c r="TG1" s="42" t="s">
        <v>1033</v>
      </c>
      <c r="TH1" s="42" t="s">
        <v>1107</v>
      </c>
      <c r="TI1" s="42" t="s">
        <v>1108</v>
      </c>
      <c r="TJ1" s="42" t="s">
        <v>1109</v>
      </c>
      <c r="TK1" s="42" t="s">
        <v>1110</v>
      </c>
      <c r="TL1" s="42" t="s">
        <v>1111</v>
      </c>
      <c r="TM1" s="42" t="s">
        <v>1112</v>
      </c>
      <c r="TN1" s="42" t="s">
        <v>1113</v>
      </c>
      <c r="TO1" s="42" t="s">
        <v>1114</v>
      </c>
      <c r="TP1" s="52" t="s">
        <v>1115</v>
      </c>
      <c r="TQ1" s="53" t="s">
        <v>1943</v>
      </c>
      <c r="TR1" s="42" t="s">
        <v>1944</v>
      </c>
      <c r="TS1" s="42" t="s">
        <v>1945</v>
      </c>
      <c r="TT1" s="42" t="s">
        <v>1978</v>
      </c>
      <c r="TU1" s="42" t="s">
        <v>1946</v>
      </c>
      <c r="TV1" s="42" t="s">
        <v>1947</v>
      </c>
      <c r="TW1" s="42" t="s">
        <v>1948</v>
      </c>
      <c r="TX1" s="42" t="s">
        <v>1949</v>
      </c>
      <c r="TY1" s="42" t="s">
        <v>35</v>
      </c>
      <c r="TZ1" s="42" t="s">
        <v>98</v>
      </c>
      <c r="UA1" s="42" t="s">
        <v>99</v>
      </c>
      <c r="UB1" s="42" t="s">
        <v>100</v>
      </c>
      <c r="UC1" s="42" t="s">
        <v>31</v>
      </c>
      <c r="UD1" s="42" t="s">
        <v>112</v>
      </c>
      <c r="UE1" s="42" t="s">
        <v>113</v>
      </c>
      <c r="UF1" s="54" t="s">
        <v>114</v>
      </c>
    </row>
    <row r="2" spans="1:55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1563</v>
      </c>
      <c r="W2" s="11"/>
      <c r="X2" s="12"/>
      <c r="Y2" s="12"/>
      <c r="Z2" s="12"/>
      <c r="AA2" s="12"/>
      <c r="AB2" s="12"/>
      <c r="AC2" s="12" t="s">
        <v>131</v>
      </c>
      <c r="AD2" s="12"/>
      <c r="AE2" s="12"/>
      <c r="AF2" s="12" t="s">
        <v>133</v>
      </c>
      <c r="AG2" s="12" t="s">
        <v>134</v>
      </c>
      <c r="AH2" s="12" t="s">
        <v>132</v>
      </c>
      <c r="AI2" s="12"/>
      <c r="AJ2" s="12"/>
      <c r="AK2" s="12" t="s">
        <v>135</v>
      </c>
      <c r="AL2" s="12" t="s">
        <v>136</v>
      </c>
      <c r="AM2" s="12" t="s">
        <v>141</v>
      </c>
      <c r="AN2" s="12"/>
      <c r="AO2" s="12"/>
      <c r="AP2" s="12" t="s">
        <v>137</v>
      </c>
      <c r="AQ2" s="12" t="s">
        <v>138</v>
      </c>
      <c r="AR2" s="12"/>
      <c r="AS2" s="12"/>
      <c r="AT2" s="12" t="s">
        <v>139</v>
      </c>
      <c r="AU2" s="12" t="s">
        <v>140</v>
      </c>
      <c r="AV2" s="12"/>
      <c r="AW2" s="12"/>
      <c r="AX2" s="12"/>
      <c r="AY2" s="12"/>
      <c r="AZ2" s="12"/>
      <c r="BA2" s="12"/>
      <c r="BB2" s="12"/>
      <c r="BC2" s="12"/>
      <c r="BD2" s="13"/>
      <c r="BE2" s="12" t="str">
        <f t="shared" ref="BE2:BE33" si="0">CONCATENATE("XT",U2)</f>
        <v>XT1</v>
      </c>
      <c r="BF2" s="12" t="str">
        <f t="shared" ref="BF2:BF33" si="1">CONCATENATE("C",REPLACE(AF2,1,1,"")+1)</f>
        <v>C2</v>
      </c>
      <c r="BG2" s="12" t="str">
        <f t="shared" ref="BG2:BG33" si="2">CONCATENATE("B",REPLACE(AG2,1,1,"")+1)</f>
        <v>B2</v>
      </c>
      <c r="BH2" s="12" t="str">
        <f t="shared" ref="BH2:BH33" si="3">CONCATENATE("C",REPLACE(BF2,1,1,"")+1)</f>
        <v>C3</v>
      </c>
      <c r="BI2" s="12" t="str">
        <f t="shared" ref="BI2:BI33" si="4">CONCATENATE("B",REPLACE(BG2,1,1,"")+1)</f>
        <v>B3</v>
      </c>
      <c r="BJ2" s="12" t="str">
        <f t="shared" ref="BJ2:BJ33" si="5">CONCATENATE("C",REPLACE(BH2,1,1,"")+1)</f>
        <v>C4</v>
      </c>
      <c r="BK2" s="12" t="str">
        <f t="shared" ref="BK2:BK33" si="6">CONCATENATE("B",REPLACE(BI2,1,1,"")+1)</f>
        <v>B4</v>
      </c>
      <c r="BL2" s="12" t="str">
        <f t="shared" ref="BL2:BL33" si="7">CONCATENATE("C",REPLACE(BJ2,1,1,"")+1)</f>
        <v>C5</v>
      </c>
      <c r="BM2" s="12" t="str">
        <f t="shared" ref="BM2:BM33" si="8">CONCATENATE("B",REPLACE(BK2,1,1,"")+1)</f>
        <v>B5</v>
      </c>
      <c r="BN2" s="12" t="str">
        <f t="shared" ref="BN2:BN33" si="9">CONCATENATE("C",REPLACE(BL2,1,1,"")+1)</f>
        <v>C6</v>
      </c>
      <c r="BO2" s="12" t="str">
        <f t="shared" ref="BO2:BO33" si="10">CONCATENATE("B",REPLACE(BM2,1,1,"")+1)</f>
        <v>B6</v>
      </c>
      <c r="BP2" s="12" t="str">
        <f t="shared" ref="BP2:BP33" si="11">CONCATENATE(REPLACE(AK2,LEN(AK2),1,"")+1,"B")</f>
        <v>2B</v>
      </c>
      <c r="BQ2" s="12" t="str">
        <f t="shared" ref="BQ2:BQ33" si="12">CONCATENATE(REPLACE(AL2,LEN(AL2),1,"")+1,"A")</f>
        <v>2A</v>
      </c>
      <c r="BR2" s="12" t="str">
        <f>CONCATENATE(REPLACE(BP2,LEN(BP2),1,"")+1,"B")</f>
        <v>3B</v>
      </c>
      <c r="BS2" s="12" t="str">
        <f>CONCATENATE(REPLACE(BQ2,LEN(BQ2),1,"")+1,"A")</f>
        <v>3A</v>
      </c>
      <c r="BT2" s="12" t="str">
        <f t="shared" ref="BT2:BU33" si="13">CONCATENATE("DI",REPLACE($AC2,1,3,""),"-",AF2)</f>
        <v>DI1-C1</v>
      </c>
      <c r="BU2" s="12" t="str">
        <f t="shared" si="13"/>
        <v>DI1-B1</v>
      </c>
      <c r="BV2" s="12" t="str">
        <f t="shared" ref="BV2:CE17" si="14">CONCATENATE("DI",REPLACE($AC2,1,3,""),"-",BF2)</f>
        <v>DI1-C2</v>
      </c>
      <c r="BW2" s="12" t="str">
        <f t="shared" si="14"/>
        <v>DI1-B2</v>
      </c>
      <c r="BX2" s="12" t="str">
        <f t="shared" si="14"/>
        <v>DI1-C3</v>
      </c>
      <c r="BY2" s="12" t="str">
        <f t="shared" si="14"/>
        <v>DI1-B3</v>
      </c>
      <c r="BZ2" s="12" t="str">
        <f t="shared" si="14"/>
        <v>DI1-C4</v>
      </c>
      <c r="CA2" s="12" t="str">
        <f t="shared" si="14"/>
        <v>DI1-B4</v>
      </c>
      <c r="CB2" s="12" t="str">
        <f t="shared" si="14"/>
        <v>DI1-C5</v>
      </c>
      <c r="CC2" s="12" t="str">
        <f t="shared" si="14"/>
        <v>DI1-B5</v>
      </c>
      <c r="CD2" s="12" t="str">
        <f t="shared" si="14"/>
        <v>DI1-C6</v>
      </c>
      <c r="CE2" s="12" t="str">
        <f t="shared" si="14"/>
        <v>DI1-B6</v>
      </c>
      <c r="CF2" s="12" t="str">
        <f t="shared" ref="CF2:CG33" si="15">CONCATENATE("DO",REPLACE($AH2,1,3,""),"-",AK2)</f>
        <v>DO1-1B</v>
      </c>
      <c r="CG2" s="12" t="str">
        <f t="shared" si="15"/>
        <v>DO1-1A</v>
      </c>
      <c r="CH2" s="12" t="str">
        <f t="shared" ref="CH2:CK33" si="16">CONCATENATE("DO",REPLACE($AH2,1,3,""),"-",BP2)</f>
        <v>DO1-2B</v>
      </c>
      <c r="CI2" s="12" t="str">
        <f t="shared" si="16"/>
        <v>DO1-2A</v>
      </c>
      <c r="CJ2" s="12" t="str">
        <f t="shared" si="16"/>
        <v>DO1-3B</v>
      </c>
      <c r="CK2" s="12" t="str">
        <f t="shared" si="16"/>
        <v>DO1-3A</v>
      </c>
      <c r="CL2" s="12" t="str">
        <f>CONCATENATE("K",$U2,"-10")</f>
        <v>K1-10</v>
      </c>
      <c r="CM2" s="12" t="str">
        <f>CONCATENATE("K",$U2,"-03")</f>
        <v>K1-03</v>
      </c>
      <c r="CN2" s="12" t="str">
        <f>CONCATENATE("K",$U2,"-04")</f>
        <v>K1-04</v>
      </c>
      <c r="CO2" s="12" t="str">
        <f>CONCATENATE("K",$U2,"-01")</f>
        <v>K1-01</v>
      </c>
      <c r="CP2" s="12" t="str">
        <f>CONCATENATE("K",$U2,"-08")</f>
        <v>K1-08</v>
      </c>
      <c r="CQ2" s="12" t="str">
        <f>CONCATENATE("K",$U2,"-02")</f>
        <v>K1-02</v>
      </c>
      <c r="CR2" s="12" t="str">
        <f>CONCATENATE("K",$U2,"-09")</f>
        <v>K1-09</v>
      </c>
      <c r="CS2" s="12" t="str">
        <f>CONCATENATE("K",$U2,"-05")</f>
        <v>K1-05</v>
      </c>
      <c r="CT2" s="12" t="str">
        <f>CONCATENATE("K",$U2,"-11")</f>
        <v>K1-11</v>
      </c>
      <c r="CU2" s="12" t="str">
        <f>CONCATENATE($T2,"-M",$U2,"-A9")</f>
        <v>F0-M1-A9</v>
      </c>
      <c r="CV2" s="12" t="str">
        <f>CONCATENATE($T2,"-M",$U2,"-A7")</f>
        <v>F0-M1-A7</v>
      </c>
      <c r="CW2" s="12" t="str">
        <f>CONCATENATE($T2,"-M",$U2,"-A8")</f>
        <v>F0-M1-A8</v>
      </c>
      <c r="CX2" s="12" t="str">
        <f>CONCATENATE($T2,"-M",$U2,"-A6")</f>
        <v>F0-M1-A6</v>
      </c>
      <c r="CY2" s="12" t="str">
        <f>CONCATENATE($T2,"-M",$U2,"-A30")</f>
        <v>F0-M1-A30</v>
      </c>
      <c r="CZ2" s="12" t="str">
        <f>CONCATENATE($T2,"-M",$U2,"-N")</f>
        <v>F0-M1-N</v>
      </c>
      <c r="DA2" s="12" t="str">
        <f t="shared" ref="DA2:DA33" si="17">CONCATENATE($T2,"-A220-M",U2)</f>
        <v>F0-A220-M1</v>
      </c>
      <c r="DB2" s="12" t="str">
        <f>CONCATENATE($T2,"-M",$U2,"-XM01")</f>
        <v>F0-M1-XM01</v>
      </c>
      <c r="DC2" s="12" t="str">
        <f>CONCATENATE($T2,"-M",$U2,"-A1")</f>
        <v>F0-M1-A1</v>
      </c>
      <c r="DD2" s="12" t="str">
        <f>CONCATENATE($T2,"-M",$U2,"-A5")</f>
        <v>F0-M1-A5</v>
      </c>
      <c r="DE2" s="12" t="str">
        <f>CONCATENATE($T2,"-M",$U2,"-A11")</f>
        <v>F0-M1-A11</v>
      </c>
      <c r="DF2" s="12" t="str">
        <f>CONCATENATE($T2,"-M",$U2,"-A12")</f>
        <v>F0-M1-A12</v>
      </c>
      <c r="DG2" s="12" t="str">
        <f>CONCATENATE($T2,"-M",$U2,"-A19")</f>
        <v>F0-M1-A19</v>
      </c>
      <c r="DH2" s="12" t="str">
        <f>CONCATENATE($T2,"-M",$U2,"-A20")</f>
        <v>F0-M1-A20</v>
      </c>
      <c r="DI2" s="12" t="s">
        <v>142</v>
      </c>
      <c r="DJ2" s="12" t="s">
        <v>143</v>
      </c>
      <c r="DK2" s="12">
        <v>11</v>
      </c>
      <c r="DL2" s="12">
        <v>14</v>
      </c>
      <c r="DM2" s="12">
        <v>12</v>
      </c>
      <c r="DN2" s="12" t="s">
        <v>144</v>
      </c>
      <c r="DO2" s="12" t="s">
        <v>145</v>
      </c>
      <c r="DP2" s="12">
        <v>1</v>
      </c>
      <c r="DQ2" s="12">
        <v>2</v>
      </c>
      <c r="DR2" s="12">
        <v>3</v>
      </c>
      <c r="DS2" s="12">
        <v>4</v>
      </c>
      <c r="DT2" s="12">
        <v>5</v>
      </c>
      <c r="DU2" s="12">
        <v>6</v>
      </c>
      <c r="DV2" s="12">
        <v>7</v>
      </c>
      <c r="DW2" s="12">
        <v>8</v>
      </c>
      <c r="DX2" s="12">
        <v>9</v>
      </c>
      <c r="DY2" s="12">
        <v>10</v>
      </c>
      <c r="DZ2" s="12">
        <v>11</v>
      </c>
      <c r="EA2" s="12">
        <v>12</v>
      </c>
      <c r="EB2" s="12">
        <v>13</v>
      </c>
      <c r="EC2" s="12">
        <v>14</v>
      </c>
      <c r="ED2" s="12">
        <v>1</v>
      </c>
      <c r="EE2" s="12">
        <v>3</v>
      </c>
      <c r="EF2" s="12">
        <v>4</v>
      </c>
      <c r="EG2" s="12">
        <v>7</v>
      </c>
      <c r="EH2" s="12">
        <v>8</v>
      </c>
      <c r="EI2" s="12">
        <v>9</v>
      </c>
      <c r="EJ2" s="12">
        <v>10</v>
      </c>
      <c r="EK2" s="12">
        <v>13</v>
      </c>
      <c r="EL2" s="12">
        <v>14</v>
      </c>
      <c r="EM2" s="12">
        <v>15</v>
      </c>
      <c r="EN2" s="12">
        <v>16</v>
      </c>
      <c r="EO2" s="12">
        <v>22</v>
      </c>
      <c r="EP2" s="12">
        <v>23</v>
      </c>
      <c r="EQ2" s="13">
        <v>24</v>
      </c>
    </row>
    <row r="3" spans="1:55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1564</v>
      </c>
      <c r="W3" s="15"/>
      <c r="AC3" t="s">
        <v>131</v>
      </c>
      <c r="AF3" t="s">
        <v>148</v>
      </c>
      <c r="AG3" t="s">
        <v>149</v>
      </c>
      <c r="AH3" t="s">
        <v>132</v>
      </c>
      <c r="AK3" t="s">
        <v>243</v>
      </c>
      <c r="AL3" t="s">
        <v>244</v>
      </c>
      <c r="AM3" t="s">
        <v>150</v>
      </c>
      <c r="AP3" t="s">
        <v>137</v>
      </c>
      <c r="AQ3" t="s">
        <v>138</v>
      </c>
      <c r="AT3" t="s">
        <v>139</v>
      </c>
      <c r="AU3" t="s">
        <v>140</v>
      </c>
      <c r="BD3" s="16"/>
      <c r="BE3" t="str">
        <f t="shared" si="0"/>
        <v>XT2</v>
      </c>
      <c r="BF3" t="str">
        <f t="shared" si="1"/>
        <v>C8</v>
      </c>
      <c r="BG3" t="str">
        <f t="shared" si="2"/>
        <v>B8</v>
      </c>
      <c r="BH3" t="str">
        <f t="shared" si="3"/>
        <v>C9</v>
      </c>
      <c r="BI3" t="str">
        <f t="shared" si="4"/>
        <v>B9</v>
      </c>
      <c r="BJ3" t="str">
        <f t="shared" si="5"/>
        <v>C10</v>
      </c>
      <c r="BK3" t="str">
        <f t="shared" si="6"/>
        <v>B10</v>
      </c>
      <c r="BL3" t="str">
        <f t="shared" si="7"/>
        <v>C11</v>
      </c>
      <c r="BM3" t="str">
        <f t="shared" si="8"/>
        <v>B11</v>
      </c>
      <c r="BN3" t="str">
        <f t="shared" si="9"/>
        <v>C12</v>
      </c>
      <c r="BO3" t="str">
        <f t="shared" si="10"/>
        <v>B12</v>
      </c>
      <c r="BP3" t="str">
        <f t="shared" si="11"/>
        <v>5B</v>
      </c>
      <c r="BQ3" t="str">
        <f t="shared" si="12"/>
        <v>5A</v>
      </c>
      <c r="BR3" t="str">
        <f t="shared" ref="BR3:BR33" si="18">CONCATENATE(REPLACE(BP3,LEN(BP3),1,"")+1,"B")</f>
        <v>6B</v>
      </c>
      <c r="BS3" t="str">
        <f t="shared" ref="BS3:BS33" si="19">CONCATENATE(REPLACE(BQ3,LEN(BQ3),1,"")+1,"A")</f>
        <v>6A</v>
      </c>
      <c r="BT3" t="str">
        <f t="shared" si="13"/>
        <v>DI1-C7</v>
      </c>
      <c r="BU3" t="str">
        <f t="shared" si="13"/>
        <v>DI1-B7</v>
      </c>
      <c r="BV3" t="str">
        <f t="shared" si="14"/>
        <v>DI1-C8</v>
      </c>
      <c r="BW3" t="str">
        <f t="shared" si="14"/>
        <v>DI1-B8</v>
      </c>
      <c r="BX3" t="str">
        <f t="shared" si="14"/>
        <v>DI1-C9</v>
      </c>
      <c r="BY3" t="str">
        <f t="shared" si="14"/>
        <v>DI1-B9</v>
      </c>
      <c r="BZ3" t="str">
        <f t="shared" si="14"/>
        <v>DI1-C10</v>
      </c>
      <c r="CA3" t="str">
        <f t="shared" si="14"/>
        <v>DI1-B10</v>
      </c>
      <c r="CB3" t="str">
        <f t="shared" si="14"/>
        <v>DI1-C11</v>
      </c>
      <c r="CC3" t="str">
        <f t="shared" si="14"/>
        <v>DI1-B11</v>
      </c>
      <c r="CD3" t="str">
        <f t="shared" si="14"/>
        <v>DI1-C12</v>
      </c>
      <c r="CE3" t="str">
        <f t="shared" si="14"/>
        <v>DI1-B12</v>
      </c>
      <c r="CF3" t="str">
        <f t="shared" si="15"/>
        <v>DO1-4B</v>
      </c>
      <c r="CG3" t="str">
        <f t="shared" si="15"/>
        <v>DO1-4A</v>
      </c>
      <c r="CH3" t="str">
        <f t="shared" si="16"/>
        <v>DO1-5B</v>
      </c>
      <c r="CI3" t="str">
        <f t="shared" si="16"/>
        <v>DO1-5A</v>
      </c>
      <c r="CJ3" t="str">
        <f t="shared" si="16"/>
        <v>DO1-6B</v>
      </c>
      <c r="CK3" t="str">
        <f t="shared" si="16"/>
        <v>DO1-6A</v>
      </c>
      <c r="CL3" t="str">
        <f t="shared" ref="CL3:CL33" si="20">CONCATENATE("K",$U3,"-10")</f>
        <v>K2-10</v>
      </c>
      <c r="CM3" t="str">
        <f t="shared" ref="CM3:CM33" si="21">CONCATENATE("K",$U3,"-03")</f>
        <v>K2-03</v>
      </c>
      <c r="CN3" t="str">
        <f t="shared" ref="CN3:CN33" si="22">CONCATENATE("K",$U3,"-04")</f>
        <v>K2-04</v>
      </c>
      <c r="CO3" t="str">
        <f t="shared" ref="CO3:CO33" si="23">CONCATENATE("K",$U3,"-01")</f>
        <v>K2-01</v>
      </c>
      <c r="CP3" t="str">
        <f t="shared" ref="CP3:CP33" si="24">CONCATENATE("K",$U3,"-08")</f>
        <v>K2-08</v>
      </c>
      <c r="CQ3" t="str">
        <f t="shared" ref="CQ3:CQ33" si="25">CONCATENATE("K",$U3,"-02")</f>
        <v>K2-02</v>
      </c>
      <c r="CR3" t="str">
        <f t="shared" ref="CR3:CR33" si="26">CONCATENATE("K",$U3,"-09")</f>
        <v>K2-09</v>
      </c>
      <c r="CS3" t="str">
        <f t="shared" ref="CS3:CS33" si="27">CONCATENATE("K",$U3,"-05")</f>
        <v>K2-05</v>
      </c>
      <c r="CT3" t="str">
        <f t="shared" ref="CT3:CT33" si="28">CONCATENATE("K",$U3,"-11")</f>
        <v>K2-11</v>
      </c>
      <c r="CU3" t="str">
        <f t="shared" ref="CU3:CU33" si="29">CONCATENATE($T3,"-M",$U3,"-A9")</f>
        <v>F0-M2-A9</v>
      </c>
      <c r="CV3" t="str">
        <f t="shared" ref="CV3:CV33" si="30">CONCATENATE($T3,"-M",$U3,"-A7")</f>
        <v>F0-M2-A7</v>
      </c>
      <c r="CW3" t="str">
        <f t="shared" ref="CW3:CW33" si="31">CONCATENATE($T3,"-M",$U3,"-A8")</f>
        <v>F0-M2-A8</v>
      </c>
      <c r="CX3" t="str">
        <f t="shared" ref="CX3:CX33" si="32">CONCATENATE($T3,"-M",$U3,"-A6")</f>
        <v>F0-M2-A6</v>
      </c>
      <c r="CY3" t="str">
        <f t="shared" ref="CY3:CY33" si="33">CONCATENATE($T3,"-M",$U3,"-A30")</f>
        <v>F0-M2-A30</v>
      </c>
      <c r="CZ3" t="str">
        <f t="shared" ref="CZ3:CZ33" si="34">CONCATENATE($T3,"-M",$U3,"-N")</f>
        <v>F0-M2-N</v>
      </c>
      <c r="DA3" t="str">
        <f t="shared" si="17"/>
        <v>F0-A220-M2</v>
      </c>
      <c r="DB3" t="str">
        <f t="shared" ref="DB3:DB33" si="35">CONCATENATE($T3,"-M",$U3,"-XM01")</f>
        <v>F0-M2-XM01</v>
      </c>
      <c r="DC3" t="str">
        <f t="shared" ref="DC3:DC33" si="36">CONCATENATE($T3,"-M",$U3,"-A1")</f>
        <v>F0-M2-A1</v>
      </c>
      <c r="DD3" t="str">
        <f t="shared" ref="DD3:DD33" si="37">CONCATENATE($T3,"-M",$U3,"-A5")</f>
        <v>F0-M2-A5</v>
      </c>
      <c r="DE3" t="str">
        <f t="shared" ref="DE3:DE33" si="38">CONCATENATE($T3,"-M",$U3,"-A11")</f>
        <v>F0-M2-A11</v>
      </c>
      <c r="DF3" t="str">
        <f t="shared" ref="DF3:DF33" si="39">CONCATENATE($T3,"-M",$U3,"-A12")</f>
        <v>F0-M2-A12</v>
      </c>
      <c r="DG3" t="str">
        <f t="shared" ref="DG3:DG33" si="40">CONCATENATE($T3,"-M",$U3,"-A19")</f>
        <v>F0-M2-A19</v>
      </c>
      <c r="DH3" t="str">
        <f t="shared" ref="DH3:DH33" si="41">CONCATENATE($T3,"-M",$U3,"-A20")</f>
        <v>F0-M2-A20</v>
      </c>
      <c r="DI3" t="s">
        <v>142</v>
      </c>
      <c r="DJ3" t="s">
        <v>143</v>
      </c>
      <c r="DK3">
        <v>11</v>
      </c>
      <c r="DL3">
        <v>14</v>
      </c>
      <c r="DM3">
        <v>12</v>
      </c>
      <c r="DN3" t="s">
        <v>144</v>
      </c>
      <c r="DO3" t="s">
        <v>145</v>
      </c>
      <c r="DP3">
        <v>1</v>
      </c>
      <c r="DQ3">
        <v>2</v>
      </c>
      <c r="DR3">
        <v>3</v>
      </c>
      <c r="DS3">
        <v>4</v>
      </c>
      <c r="DT3">
        <v>5</v>
      </c>
      <c r="DU3">
        <v>6</v>
      </c>
      <c r="DV3">
        <v>7</v>
      </c>
      <c r="DW3">
        <v>8</v>
      </c>
      <c r="DX3">
        <v>9</v>
      </c>
      <c r="DY3">
        <v>10</v>
      </c>
      <c r="DZ3">
        <v>11</v>
      </c>
      <c r="EA3">
        <v>12</v>
      </c>
      <c r="EB3">
        <v>13</v>
      </c>
      <c r="EC3">
        <v>14</v>
      </c>
      <c r="ED3">
        <v>1</v>
      </c>
      <c r="EE3">
        <v>3</v>
      </c>
      <c r="EF3">
        <v>4</v>
      </c>
      <c r="EG3">
        <v>7</v>
      </c>
      <c r="EH3">
        <v>8</v>
      </c>
      <c r="EI3">
        <v>9</v>
      </c>
      <c r="EJ3">
        <v>10</v>
      </c>
      <c r="EK3">
        <v>13</v>
      </c>
      <c r="EL3">
        <v>14</v>
      </c>
      <c r="EM3">
        <v>15</v>
      </c>
      <c r="EN3">
        <v>16</v>
      </c>
      <c r="EO3">
        <v>22</v>
      </c>
      <c r="EP3">
        <v>23</v>
      </c>
      <c r="EQ3" s="16">
        <v>24</v>
      </c>
    </row>
    <row r="4" spans="1:55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1565</v>
      </c>
      <c r="W4" s="15"/>
      <c r="AC4" t="s">
        <v>131</v>
      </c>
      <c r="AF4" t="s">
        <v>153</v>
      </c>
      <c r="AG4" t="s">
        <v>154</v>
      </c>
      <c r="AH4" t="s">
        <v>132</v>
      </c>
      <c r="AK4" t="s">
        <v>245</v>
      </c>
      <c r="AL4" t="s">
        <v>246</v>
      </c>
      <c r="AM4" t="s">
        <v>155</v>
      </c>
      <c r="AP4" t="s">
        <v>137</v>
      </c>
      <c r="AQ4" t="s">
        <v>138</v>
      </c>
      <c r="AT4" t="s">
        <v>139</v>
      </c>
      <c r="AU4" t="s">
        <v>140</v>
      </c>
      <c r="BD4" s="16"/>
      <c r="BE4" t="str">
        <f t="shared" si="0"/>
        <v>XT3</v>
      </c>
      <c r="BF4" t="str">
        <f t="shared" si="1"/>
        <v>C14</v>
      </c>
      <c r="BG4" t="str">
        <f t="shared" si="2"/>
        <v>B14</v>
      </c>
      <c r="BH4" t="str">
        <f t="shared" si="3"/>
        <v>C15</v>
      </c>
      <c r="BI4" t="str">
        <f t="shared" si="4"/>
        <v>B15</v>
      </c>
      <c r="BJ4" t="str">
        <f t="shared" si="5"/>
        <v>C16</v>
      </c>
      <c r="BK4" t="str">
        <f t="shared" si="6"/>
        <v>B16</v>
      </c>
      <c r="BL4" t="str">
        <f t="shared" si="7"/>
        <v>C17</v>
      </c>
      <c r="BM4" t="str">
        <f t="shared" si="8"/>
        <v>B17</v>
      </c>
      <c r="BN4" t="str">
        <f t="shared" si="9"/>
        <v>C18</v>
      </c>
      <c r="BO4" t="str">
        <f t="shared" si="10"/>
        <v>B18</v>
      </c>
      <c r="BP4" t="str">
        <f t="shared" si="11"/>
        <v>8B</v>
      </c>
      <c r="BQ4" t="str">
        <f t="shared" si="12"/>
        <v>8A</v>
      </c>
      <c r="BR4" t="str">
        <f t="shared" si="18"/>
        <v>9B</v>
      </c>
      <c r="BS4" t="str">
        <f t="shared" si="19"/>
        <v>9A</v>
      </c>
      <c r="BT4" t="str">
        <f t="shared" si="13"/>
        <v>DI1-C13</v>
      </c>
      <c r="BU4" t="str">
        <f t="shared" si="13"/>
        <v>DI1-B13</v>
      </c>
      <c r="BV4" t="str">
        <f t="shared" si="14"/>
        <v>DI1-C14</v>
      </c>
      <c r="BW4" t="str">
        <f t="shared" si="14"/>
        <v>DI1-B14</v>
      </c>
      <c r="BX4" t="str">
        <f t="shared" si="14"/>
        <v>DI1-C15</v>
      </c>
      <c r="BY4" t="str">
        <f t="shared" si="14"/>
        <v>DI1-B15</v>
      </c>
      <c r="BZ4" t="str">
        <f t="shared" si="14"/>
        <v>DI1-C16</v>
      </c>
      <c r="CA4" t="str">
        <f t="shared" si="14"/>
        <v>DI1-B16</v>
      </c>
      <c r="CB4" t="str">
        <f t="shared" si="14"/>
        <v>DI1-C17</v>
      </c>
      <c r="CC4" t="str">
        <f t="shared" si="14"/>
        <v>DI1-B17</v>
      </c>
      <c r="CD4" t="str">
        <f t="shared" si="14"/>
        <v>DI1-C18</v>
      </c>
      <c r="CE4" t="str">
        <f t="shared" si="14"/>
        <v>DI1-B18</v>
      </c>
      <c r="CF4" t="str">
        <f t="shared" si="15"/>
        <v>DO1-7B</v>
      </c>
      <c r="CG4" t="str">
        <f t="shared" si="15"/>
        <v>DO1-7A</v>
      </c>
      <c r="CH4" t="str">
        <f t="shared" si="16"/>
        <v>DO1-8B</v>
      </c>
      <c r="CI4" t="str">
        <f t="shared" si="16"/>
        <v>DO1-8A</v>
      </c>
      <c r="CJ4" t="str">
        <f t="shared" si="16"/>
        <v>DO1-9B</v>
      </c>
      <c r="CK4" t="str">
        <f t="shared" si="16"/>
        <v>DO1-9A</v>
      </c>
      <c r="CL4" t="str">
        <f t="shared" si="20"/>
        <v>K3-10</v>
      </c>
      <c r="CM4" t="str">
        <f t="shared" si="21"/>
        <v>K3-03</v>
      </c>
      <c r="CN4" t="str">
        <f t="shared" si="22"/>
        <v>K3-04</v>
      </c>
      <c r="CO4" t="str">
        <f t="shared" si="23"/>
        <v>K3-01</v>
      </c>
      <c r="CP4" t="str">
        <f t="shared" si="24"/>
        <v>K3-08</v>
      </c>
      <c r="CQ4" t="str">
        <f t="shared" si="25"/>
        <v>K3-02</v>
      </c>
      <c r="CR4" t="str">
        <f t="shared" si="26"/>
        <v>K3-09</v>
      </c>
      <c r="CS4" t="str">
        <f t="shared" si="27"/>
        <v>K3-05</v>
      </c>
      <c r="CT4" t="str">
        <f t="shared" si="28"/>
        <v>K3-11</v>
      </c>
      <c r="CU4" t="str">
        <f t="shared" si="29"/>
        <v>F0-M3-A9</v>
      </c>
      <c r="CV4" t="str">
        <f t="shared" si="30"/>
        <v>F0-M3-A7</v>
      </c>
      <c r="CW4" t="str">
        <f t="shared" si="31"/>
        <v>F0-M3-A8</v>
      </c>
      <c r="CX4" t="str">
        <f t="shared" si="32"/>
        <v>F0-M3-A6</v>
      </c>
      <c r="CY4" t="str">
        <f t="shared" si="33"/>
        <v>F0-M3-A30</v>
      </c>
      <c r="CZ4" t="str">
        <f t="shared" si="34"/>
        <v>F0-M3-N</v>
      </c>
      <c r="DA4" t="str">
        <f t="shared" si="17"/>
        <v>F0-A220-M3</v>
      </c>
      <c r="DB4" t="str">
        <f t="shared" si="35"/>
        <v>F0-M3-XM01</v>
      </c>
      <c r="DC4" t="str">
        <f t="shared" si="36"/>
        <v>F0-M3-A1</v>
      </c>
      <c r="DD4" t="str">
        <f t="shared" si="37"/>
        <v>F0-M3-A5</v>
      </c>
      <c r="DE4" t="str">
        <f t="shared" si="38"/>
        <v>F0-M3-A11</v>
      </c>
      <c r="DF4" t="str">
        <f t="shared" si="39"/>
        <v>F0-M3-A12</v>
      </c>
      <c r="DG4" t="str">
        <f t="shared" si="40"/>
        <v>F0-M3-A19</v>
      </c>
      <c r="DH4" t="str">
        <f t="shared" si="41"/>
        <v>F0-M3-A20</v>
      </c>
      <c r="DI4" t="s">
        <v>142</v>
      </c>
      <c r="DJ4" t="s">
        <v>143</v>
      </c>
      <c r="DK4">
        <v>11</v>
      </c>
      <c r="DL4">
        <v>14</v>
      </c>
      <c r="DM4">
        <v>12</v>
      </c>
      <c r="DN4" t="s">
        <v>144</v>
      </c>
      <c r="DO4" t="s">
        <v>145</v>
      </c>
      <c r="DP4">
        <v>1</v>
      </c>
      <c r="DQ4">
        <v>2</v>
      </c>
      <c r="DR4">
        <v>3</v>
      </c>
      <c r="DS4">
        <v>4</v>
      </c>
      <c r="DT4">
        <v>5</v>
      </c>
      <c r="DU4">
        <v>6</v>
      </c>
      <c r="DV4">
        <v>7</v>
      </c>
      <c r="DW4">
        <v>8</v>
      </c>
      <c r="DX4">
        <v>9</v>
      </c>
      <c r="DY4">
        <v>10</v>
      </c>
      <c r="DZ4">
        <v>11</v>
      </c>
      <c r="EA4">
        <v>12</v>
      </c>
      <c r="EB4">
        <v>13</v>
      </c>
      <c r="EC4">
        <v>14</v>
      </c>
      <c r="ED4">
        <v>1</v>
      </c>
      <c r="EE4">
        <v>3</v>
      </c>
      <c r="EF4">
        <v>4</v>
      </c>
      <c r="EG4">
        <v>7</v>
      </c>
      <c r="EH4">
        <v>8</v>
      </c>
      <c r="EI4">
        <v>9</v>
      </c>
      <c r="EJ4">
        <v>10</v>
      </c>
      <c r="EK4">
        <v>13</v>
      </c>
      <c r="EL4">
        <v>14</v>
      </c>
      <c r="EM4">
        <v>15</v>
      </c>
      <c r="EN4">
        <v>16</v>
      </c>
      <c r="EO4">
        <v>22</v>
      </c>
      <c r="EP4">
        <v>23</v>
      </c>
      <c r="EQ4" s="16">
        <v>24</v>
      </c>
    </row>
    <row r="5" spans="1:55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1566</v>
      </c>
      <c r="W5" s="15"/>
      <c r="AC5" t="s">
        <v>131</v>
      </c>
      <c r="AF5" t="s">
        <v>239</v>
      </c>
      <c r="AG5" t="s">
        <v>241</v>
      </c>
      <c r="AH5" t="s">
        <v>132</v>
      </c>
      <c r="AK5" t="s">
        <v>247</v>
      </c>
      <c r="AL5" t="s">
        <v>254</v>
      </c>
      <c r="AM5" t="s">
        <v>158</v>
      </c>
      <c r="AP5" t="s">
        <v>137</v>
      </c>
      <c r="AQ5" t="s">
        <v>138</v>
      </c>
      <c r="AT5" t="s">
        <v>139</v>
      </c>
      <c r="AU5" t="s">
        <v>140</v>
      </c>
      <c r="BD5" s="16"/>
      <c r="BE5" t="str">
        <f t="shared" si="0"/>
        <v>XT4</v>
      </c>
      <c r="BF5" t="str">
        <f t="shared" si="1"/>
        <v>C20</v>
      </c>
      <c r="BG5" t="str">
        <f t="shared" si="2"/>
        <v>B20</v>
      </c>
      <c r="BH5" t="str">
        <f t="shared" si="3"/>
        <v>C21</v>
      </c>
      <c r="BI5" t="str">
        <f t="shared" si="4"/>
        <v>B21</v>
      </c>
      <c r="BJ5" t="str">
        <f t="shared" si="5"/>
        <v>C22</v>
      </c>
      <c r="BK5" t="str">
        <f t="shared" si="6"/>
        <v>B22</v>
      </c>
      <c r="BL5" t="str">
        <f t="shared" si="7"/>
        <v>C23</v>
      </c>
      <c r="BM5" t="str">
        <f t="shared" si="8"/>
        <v>B23</v>
      </c>
      <c r="BN5" t="str">
        <f t="shared" si="9"/>
        <v>C24</v>
      </c>
      <c r="BO5" t="str">
        <f t="shared" si="10"/>
        <v>B24</v>
      </c>
      <c r="BP5" t="str">
        <f t="shared" si="11"/>
        <v>11B</v>
      </c>
      <c r="BQ5" t="str">
        <f t="shared" si="12"/>
        <v>11A</v>
      </c>
      <c r="BR5" t="str">
        <f t="shared" si="18"/>
        <v>12B</v>
      </c>
      <c r="BS5" t="str">
        <f t="shared" si="19"/>
        <v>12A</v>
      </c>
      <c r="BT5" t="str">
        <f t="shared" si="13"/>
        <v>DI1-C19</v>
      </c>
      <c r="BU5" t="str">
        <f t="shared" si="13"/>
        <v>DI1-B19</v>
      </c>
      <c r="BV5" t="str">
        <f t="shared" si="14"/>
        <v>DI1-C20</v>
      </c>
      <c r="BW5" t="str">
        <f t="shared" si="14"/>
        <v>DI1-B20</v>
      </c>
      <c r="BX5" t="str">
        <f t="shared" si="14"/>
        <v>DI1-C21</v>
      </c>
      <c r="BY5" t="str">
        <f t="shared" si="14"/>
        <v>DI1-B21</v>
      </c>
      <c r="BZ5" t="str">
        <f t="shared" si="14"/>
        <v>DI1-C22</v>
      </c>
      <c r="CA5" t="str">
        <f t="shared" si="14"/>
        <v>DI1-B22</v>
      </c>
      <c r="CB5" t="str">
        <f t="shared" si="14"/>
        <v>DI1-C23</v>
      </c>
      <c r="CC5" t="str">
        <f t="shared" si="14"/>
        <v>DI1-B23</v>
      </c>
      <c r="CD5" t="str">
        <f t="shared" si="14"/>
        <v>DI1-C24</v>
      </c>
      <c r="CE5" t="str">
        <f t="shared" si="14"/>
        <v>DI1-B24</v>
      </c>
      <c r="CF5" t="str">
        <f t="shared" si="15"/>
        <v>DO1-10B</v>
      </c>
      <c r="CG5" t="str">
        <f t="shared" si="15"/>
        <v>DO1-10A</v>
      </c>
      <c r="CH5" t="str">
        <f t="shared" si="16"/>
        <v>DO1-11B</v>
      </c>
      <c r="CI5" t="str">
        <f t="shared" si="16"/>
        <v>DO1-11A</v>
      </c>
      <c r="CJ5" t="str">
        <f t="shared" si="16"/>
        <v>DO1-12B</v>
      </c>
      <c r="CK5" t="str">
        <f t="shared" si="16"/>
        <v>DO1-12A</v>
      </c>
      <c r="CL5" t="str">
        <f t="shared" si="20"/>
        <v>K4-10</v>
      </c>
      <c r="CM5" t="str">
        <f t="shared" si="21"/>
        <v>K4-03</v>
      </c>
      <c r="CN5" t="str">
        <f t="shared" si="22"/>
        <v>K4-04</v>
      </c>
      <c r="CO5" t="str">
        <f t="shared" si="23"/>
        <v>K4-01</v>
      </c>
      <c r="CP5" t="str">
        <f t="shared" si="24"/>
        <v>K4-08</v>
      </c>
      <c r="CQ5" t="str">
        <f t="shared" si="25"/>
        <v>K4-02</v>
      </c>
      <c r="CR5" t="str">
        <f t="shared" si="26"/>
        <v>K4-09</v>
      </c>
      <c r="CS5" t="str">
        <f t="shared" si="27"/>
        <v>K4-05</v>
      </c>
      <c r="CT5" t="str">
        <f t="shared" si="28"/>
        <v>K4-11</v>
      </c>
      <c r="CU5" t="str">
        <f t="shared" si="29"/>
        <v>F0-M4-A9</v>
      </c>
      <c r="CV5" t="str">
        <f t="shared" si="30"/>
        <v>F0-M4-A7</v>
      </c>
      <c r="CW5" t="str">
        <f t="shared" si="31"/>
        <v>F0-M4-A8</v>
      </c>
      <c r="CX5" t="str">
        <f t="shared" si="32"/>
        <v>F0-M4-A6</v>
      </c>
      <c r="CY5" t="str">
        <f t="shared" si="33"/>
        <v>F0-M4-A30</v>
      </c>
      <c r="CZ5" t="str">
        <f t="shared" si="34"/>
        <v>F0-M4-N</v>
      </c>
      <c r="DA5" t="str">
        <f t="shared" si="17"/>
        <v>F0-A220-M4</v>
      </c>
      <c r="DB5" t="str">
        <f t="shared" si="35"/>
        <v>F0-M4-XM01</v>
      </c>
      <c r="DC5" t="str">
        <f t="shared" si="36"/>
        <v>F0-M4-A1</v>
      </c>
      <c r="DD5" t="str">
        <f t="shared" si="37"/>
        <v>F0-M4-A5</v>
      </c>
      <c r="DE5" t="str">
        <f t="shared" si="38"/>
        <v>F0-M4-A11</v>
      </c>
      <c r="DF5" t="str">
        <f t="shared" si="39"/>
        <v>F0-M4-A12</v>
      </c>
      <c r="DG5" t="str">
        <f t="shared" si="40"/>
        <v>F0-M4-A19</v>
      </c>
      <c r="DH5" t="str">
        <f t="shared" si="41"/>
        <v>F0-M4-A20</v>
      </c>
      <c r="DI5" t="s">
        <v>142</v>
      </c>
      <c r="DJ5" t="s">
        <v>143</v>
      </c>
      <c r="DK5">
        <v>11</v>
      </c>
      <c r="DL5">
        <v>14</v>
      </c>
      <c r="DM5">
        <v>12</v>
      </c>
      <c r="DN5" t="s">
        <v>144</v>
      </c>
      <c r="DO5" t="s">
        <v>145</v>
      </c>
      <c r="DP5">
        <v>1</v>
      </c>
      <c r="DQ5">
        <v>2</v>
      </c>
      <c r="DR5">
        <v>3</v>
      </c>
      <c r="DS5">
        <v>4</v>
      </c>
      <c r="DT5">
        <v>5</v>
      </c>
      <c r="DU5">
        <v>6</v>
      </c>
      <c r="DV5">
        <v>7</v>
      </c>
      <c r="DW5">
        <v>8</v>
      </c>
      <c r="DX5">
        <v>9</v>
      </c>
      <c r="DY5">
        <v>10</v>
      </c>
      <c r="DZ5">
        <v>11</v>
      </c>
      <c r="EA5">
        <v>12</v>
      </c>
      <c r="EB5">
        <v>13</v>
      </c>
      <c r="EC5">
        <v>14</v>
      </c>
      <c r="ED5">
        <v>1</v>
      </c>
      <c r="EE5">
        <v>3</v>
      </c>
      <c r="EF5">
        <v>4</v>
      </c>
      <c r="EG5">
        <v>7</v>
      </c>
      <c r="EH5">
        <v>8</v>
      </c>
      <c r="EI5">
        <v>9</v>
      </c>
      <c r="EJ5">
        <v>10</v>
      </c>
      <c r="EK5">
        <v>13</v>
      </c>
      <c r="EL5">
        <v>14</v>
      </c>
      <c r="EM5">
        <v>15</v>
      </c>
      <c r="EN5">
        <v>16</v>
      </c>
      <c r="EO5">
        <v>22</v>
      </c>
      <c r="EP5">
        <v>23</v>
      </c>
      <c r="EQ5" s="16">
        <v>24</v>
      </c>
    </row>
    <row r="6" spans="1:55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1567</v>
      </c>
      <c r="W6" s="15"/>
      <c r="AC6" t="s">
        <v>131</v>
      </c>
      <c r="AF6" t="s">
        <v>240</v>
      </c>
      <c r="AG6" t="s">
        <v>242</v>
      </c>
      <c r="AH6" t="s">
        <v>132</v>
      </c>
      <c r="AK6" t="s">
        <v>248</v>
      </c>
      <c r="AL6" t="s">
        <v>255</v>
      </c>
      <c r="AM6" t="s">
        <v>161</v>
      </c>
      <c r="AP6" t="s">
        <v>137</v>
      </c>
      <c r="AQ6" t="s">
        <v>138</v>
      </c>
      <c r="AT6" t="s">
        <v>139</v>
      </c>
      <c r="AU6" t="s">
        <v>140</v>
      </c>
      <c r="BD6" s="16"/>
      <c r="BE6" t="str">
        <f t="shared" si="0"/>
        <v>XT5</v>
      </c>
      <c r="BF6" t="str">
        <f t="shared" si="1"/>
        <v>C26</v>
      </c>
      <c r="BG6" t="str">
        <f t="shared" si="2"/>
        <v>B26</v>
      </c>
      <c r="BH6" t="str">
        <f t="shared" si="3"/>
        <v>C27</v>
      </c>
      <c r="BI6" t="str">
        <f t="shared" si="4"/>
        <v>B27</v>
      </c>
      <c r="BJ6" t="str">
        <f t="shared" si="5"/>
        <v>C28</v>
      </c>
      <c r="BK6" t="str">
        <f t="shared" si="6"/>
        <v>B28</v>
      </c>
      <c r="BL6" t="str">
        <f t="shared" si="7"/>
        <v>C29</v>
      </c>
      <c r="BM6" t="str">
        <f t="shared" si="8"/>
        <v>B29</v>
      </c>
      <c r="BN6" t="str">
        <f t="shared" si="9"/>
        <v>C30</v>
      </c>
      <c r="BO6" t="str">
        <f t="shared" si="10"/>
        <v>B30</v>
      </c>
      <c r="BP6" t="str">
        <f t="shared" si="11"/>
        <v>14B</v>
      </c>
      <c r="BQ6" t="str">
        <f t="shared" si="12"/>
        <v>14A</v>
      </c>
      <c r="BR6" t="str">
        <f t="shared" si="18"/>
        <v>15B</v>
      </c>
      <c r="BS6" t="str">
        <f t="shared" si="19"/>
        <v>15A</v>
      </c>
      <c r="BT6" t="str">
        <f t="shared" si="13"/>
        <v>DI1-C25</v>
      </c>
      <c r="BU6" t="str">
        <f t="shared" si="13"/>
        <v>DI1-B25</v>
      </c>
      <c r="BV6" t="str">
        <f t="shared" si="14"/>
        <v>DI1-C26</v>
      </c>
      <c r="BW6" t="str">
        <f t="shared" si="14"/>
        <v>DI1-B26</v>
      </c>
      <c r="BX6" t="str">
        <f t="shared" si="14"/>
        <v>DI1-C27</v>
      </c>
      <c r="BY6" t="str">
        <f t="shared" si="14"/>
        <v>DI1-B27</v>
      </c>
      <c r="BZ6" t="str">
        <f t="shared" si="14"/>
        <v>DI1-C28</v>
      </c>
      <c r="CA6" t="str">
        <f t="shared" si="14"/>
        <v>DI1-B28</v>
      </c>
      <c r="CB6" t="str">
        <f t="shared" si="14"/>
        <v>DI1-C29</v>
      </c>
      <c r="CC6" t="str">
        <f t="shared" si="14"/>
        <v>DI1-B29</v>
      </c>
      <c r="CD6" t="str">
        <f t="shared" si="14"/>
        <v>DI1-C30</v>
      </c>
      <c r="CE6" t="str">
        <f t="shared" si="14"/>
        <v>DI1-B30</v>
      </c>
      <c r="CF6" t="str">
        <f t="shared" si="15"/>
        <v>DO1-13B</v>
      </c>
      <c r="CG6" t="str">
        <f t="shared" si="15"/>
        <v>DO1-13A</v>
      </c>
      <c r="CH6" t="str">
        <f t="shared" si="16"/>
        <v>DO1-14B</v>
      </c>
      <c r="CI6" t="str">
        <f t="shared" si="16"/>
        <v>DO1-14A</v>
      </c>
      <c r="CJ6" t="str">
        <f t="shared" si="16"/>
        <v>DO1-15B</v>
      </c>
      <c r="CK6" t="str">
        <f t="shared" si="16"/>
        <v>DO1-15A</v>
      </c>
      <c r="CL6" t="str">
        <f t="shared" si="20"/>
        <v>K5-10</v>
      </c>
      <c r="CM6" t="str">
        <f t="shared" si="21"/>
        <v>K5-03</v>
      </c>
      <c r="CN6" t="str">
        <f t="shared" si="22"/>
        <v>K5-04</v>
      </c>
      <c r="CO6" t="str">
        <f t="shared" si="23"/>
        <v>K5-01</v>
      </c>
      <c r="CP6" t="str">
        <f t="shared" si="24"/>
        <v>K5-08</v>
      </c>
      <c r="CQ6" t="str">
        <f t="shared" si="25"/>
        <v>K5-02</v>
      </c>
      <c r="CR6" t="str">
        <f t="shared" si="26"/>
        <v>K5-09</v>
      </c>
      <c r="CS6" t="str">
        <f t="shared" si="27"/>
        <v>K5-05</v>
      </c>
      <c r="CT6" t="str">
        <f t="shared" si="28"/>
        <v>K5-11</v>
      </c>
      <c r="CU6" t="str">
        <f t="shared" si="29"/>
        <v>F0-M5-A9</v>
      </c>
      <c r="CV6" t="str">
        <f t="shared" si="30"/>
        <v>F0-M5-A7</v>
      </c>
      <c r="CW6" t="str">
        <f t="shared" si="31"/>
        <v>F0-M5-A8</v>
      </c>
      <c r="CX6" t="str">
        <f t="shared" si="32"/>
        <v>F0-M5-A6</v>
      </c>
      <c r="CY6" t="str">
        <f t="shared" si="33"/>
        <v>F0-M5-A30</v>
      </c>
      <c r="CZ6" t="str">
        <f t="shared" si="34"/>
        <v>F0-M5-N</v>
      </c>
      <c r="DA6" t="str">
        <f t="shared" si="17"/>
        <v>F0-A220-M5</v>
      </c>
      <c r="DB6" t="str">
        <f t="shared" si="35"/>
        <v>F0-M5-XM01</v>
      </c>
      <c r="DC6" t="str">
        <f t="shared" si="36"/>
        <v>F0-M5-A1</v>
      </c>
      <c r="DD6" t="str">
        <f t="shared" si="37"/>
        <v>F0-M5-A5</v>
      </c>
      <c r="DE6" t="str">
        <f t="shared" si="38"/>
        <v>F0-M5-A11</v>
      </c>
      <c r="DF6" t="str">
        <f t="shared" si="39"/>
        <v>F0-M5-A12</v>
      </c>
      <c r="DG6" t="str">
        <f t="shared" si="40"/>
        <v>F0-M5-A19</v>
      </c>
      <c r="DH6" t="str">
        <f t="shared" si="41"/>
        <v>F0-M5-A20</v>
      </c>
      <c r="DI6" t="s">
        <v>142</v>
      </c>
      <c r="DJ6" t="s">
        <v>143</v>
      </c>
      <c r="DK6">
        <v>11</v>
      </c>
      <c r="DL6">
        <v>14</v>
      </c>
      <c r="DM6">
        <v>12</v>
      </c>
      <c r="DN6" t="s">
        <v>144</v>
      </c>
      <c r="DO6" t="s">
        <v>145</v>
      </c>
      <c r="DP6">
        <v>1</v>
      </c>
      <c r="DQ6">
        <v>2</v>
      </c>
      <c r="DR6">
        <v>3</v>
      </c>
      <c r="DS6">
        <v>4</v>
      </c>
      <c r="DT6">
        <v>5</v>
      </c>
      <c r="DU6">
        <v>6</v>
      </c>
      <c r="DV6">
        <v>7</v>
      </c>
      <c r="DW6">
        <v>8</v>
      </c>
      <c r="DX6">
        <v>9</v>
      </c>
      <c r="DY6">
        <v>10</v>
      </c>
      <c r="DZ6">
        <v>11</v>
      </c>
      <c r="EA6">
        <v>12</v>
      </c>
      <c r="EB6">
        <v>13</v>
      </c>
      <c r="EC6">
        <v>14</v>
      </c>
      <c r="ED6">
        <v>1</v>
      </c>
      <c r="EE6">
        <v>3</v>
      </c>
      <c r="EF6">
        <v>4</v>
      </c>
      <c r="EG6">
        <v>7</v>
      </c>
      <c r="EH6">
        <v>8</v>
      </c>
      <c r="EI6">
        <v>9</v>
      </c>
      <c r="EJ6">
        <v>10</v>
      </c>
      <c r="EK6">
        <v>13</v>
      </c>
      <c r="EL6">
        <v>14</v>
      </c>
      <c r="EM6">
        <v>15</v>
      </c>
      <c r="EN6">
        <v>16</v>
      </c>
      <c r="EO6">
        <v>22</v>
      </c>
      <c r="EP6">
        <v>23</v>
      </c>
      <c r="EQ6" s="16">
        <v>24</v>
      </c>
    </row>
    <row r="7" spans="1:55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1568</v>
      </c>
      <c r="W7" s="15"/>
      <c r="AC7" t="s">
        <v>261</v>
      </c>
      <c r="AF7" t="s">
        <v>133</v>
      </c>
      <c r="AG7" t="s">
        <v>134</v>
      </c>
      <c r="AH7" t="s">
        <v>132</v>
      </c>
      <c r="AK7" t="s">
        <v>249</v>
      </c>
      <c r="AL7" t="s">
        <v>256</v>
      </c>
      <c r="AM7" t="s">
        <v>163</v>
      </c>
      <c r="AP7" t="s">
        <v>137</v>
      </c>
      <c r="AQ7" t="s">
        <v>138</v>
      </c>
      <c r="AT7" t="s">
        <v>139</v>
      </c>
      <c r="AU7" t="s">
        <v>140</v>
      </c>
      <c r="BD7" s="16"/>
      <c r="BE7" t="str">
        <f t="shared" si="0"/>
        <v>XT6</v>
      </c>
      <c r="BF7" t="str">
        <f t="shared" si="1"/>
        <v>C2</v>
      </c>
      <c r="BG7" t="str">
        <f t="shared" si="2"/>
        <v>B2</v>
      </c>
      <c r="BH7" t="str">
        <f t="shared" si="3"/>
        <v>C3</v>
      </c>
      <c r="BI7" t="str">
        <f t="shared" si="4"/>
        <v>B3</v>
      </c>
      <c r="BJ7" t="str">
        <f t="shared" si="5"/>
        <v>C4</v>
      </c>
      <c r="BK7" t="str">
        <f t="shared" si="6"/>
        <v>B4</v>
      </c>
      <c r="BL7" t="str">
        <f t="shared" si="7"/>
        <v>C5</v>
      </c>
      <c r="BM7" t="str">
        <f t="shared" si="8"/>
        <v>B5</v>
      </c>
      <c r="BN7" t="str">
        <f t="shared" si="9"/>
        <v>C6</v>
      </c>
      <c r="BO7" t="str">
        <f t="shared" si="10"/>
        <v>B6</v>
      </c>
      <c r="BP7" t="str">
        <f t="shared" si="11"/>
        <v>17B</v>
      </c>
      <c r="BQ7" t="str">
        <f t="shared" si="12"/>
        <v>17A</v>
      </c>
      <c r="BR7" t="str">
        <f t="shared" si="18"/>
        <v>18B</v>
      </c>
      <c r="BS7" t="str">
        <f t="shared" si="19"/>
        <v>18A</v>
      </c>
      <c r="BT7" t="str">
        <f t="shared" si="13"/>
        <v>DI2-C1</v>
      </c>
      <c r="BU7" t="str">
        <f t="shared" si="13"/>
        <v>DI2-B1</v>
      </c>
      <c r="BV7" t="str">
        <f t="shared" si="14"/>
        <v>DI2-C2</v>
      </c>
      <c r="BW7" t="str">
        <f t="shared" si="14"/>
        <v>DI2-B2</v>
      </c>
      <c r="BX7" t="str">
        <f t="shared" si="14"/>
        <v>DI2-C3</v>
      </c>
      <c r="BY7" t="str">
        <f t="shared" si="14"/>
        <v>DI2-B3</v>
      </c>
      <c r="BZ7" t="str">
        <f t="shared" si="14"/>
        <v>DI2-C4</v>
      </c>
      <c r="CA7" t="str">
        <f t="shared" si="14"/>
        <v>DI2-B4</v>
      </c>
      <c r="CB7" t="str">
        <f t="shared" si="14"/>
        <v>DI2-C5</v>
      </c>
      <c r="CC7" t="str">
        <f t="shared" si="14"/>
        <v>DI2-B5</v>
      </c>
      <c r="CD7" t="str">
        <f t="shared" si="14"/>
        <v>DI2-C6</v>
      </c>
      <c r="CE7" t="str">
        <f t="shared" si="14"/>
        <v>DI2-B6</v>
      </c>
      <c r="CF7" t="str">
        <f t="shared" si="15"/>
        <v>DO1-16B</v>
      </c>
      <c r="CG7" t="str">
        <f t="shared" si="15"/>
        <v>DO1-16A</v>
      </c>
      <c r="CH7" t="str">
        <f t="shared" si="16"/>
        <v>DO1-17B</v>
      </c>
      <c r="CI7" t="str">
        <f t="shared" si="16"/>
        <v>DO1-17A</v>
      </c>
      <c r="CJ7" t="str">
        <f t="shared" si="16"/>
        <v>DO1-18B</v>
      </c>
      <c r="CK7" t="str">
        <f t="shared" si="16"/>
        <v>DO1-18A</v>
      </c>
      <c r="CL7" t="str">
        <f t="shared" si="20"/>
        <v>K6-10</v>
      </c>
      <c r="CM7" t="str">
        <f t="shared" si="21"/>
        <v>K6-03</v>
      </c>
      <c r="CN7" t="str">
        <f t="shared" si="22"/>
        <v>K6-04</v>
      </c>
      <c r="CO7" t="str">
        <f t="shared" si="23"/>
        <v>K6-01</v>
      </c>
      <c r="CP7" t="str">
        <f t="shared" si="24"/>
        <v>K6-08</v>
      </c>
      <c r="CQ7" t="str">
        <f t="shared" si="25"/>
        <v>K6-02</v>
      </c>
      <c r="CR7" t="str">
        <f t="shared" si="26"/>
        <v>K6-09</v>
      </c>
      <c r="CS7" t="str">
        <f t="shared" si="27"/>
        <v>K6-05</v>
      </c>
      <c r="CT7" t="str">
        <f t="shared" si="28"/>
        <v>K6-11</v>
      </c>
      <c r="CU7" t="str">
        <f t="shared" si="29"/>
        <v>F0-M6-A9</v>
      </c>
      <c r="CV7" t="str">
        <f t="shared" si="30"/>
        <v>F0-M6-A7</v>
      </c>
      <c r="CW7" t="str">
        <f t="shared" si="31"/>
        <v>F0-M6-A8</v>
      </c>
      <c r="CX7" t="str">
        <f t="shared" si="32"/>
        <v>F0-M6-A6</v>
      </c>
      <c r="CY7" t="str">
        <f t="shared" si="33"/>
        <v>F0-M6-A30</v>
      </c>
      <c r="CZ7" t="str">
        <f t="shared" si="34"/>
        <v>F0-M6-N</v>
      </c>
      <c r="DA7" t="str">
        <f t="shared" si="17"/>
        <v>F0-A220-M6</v>
      </c>
      <c r="DB7" t="str">
        <f t="shared" si="35"/>
        <v>F0-M6-XM01</v>
      </c>
      <c r="DC7" t="str">
        <f t="shared" si="36"/>
        <v>F0-M6-A1</v>
      </c>
      <c r="DD7" t="str">
        <f t="shared" si="37"/>
        <v>F0-M6-A5</v>
      </c>
      <c r="DE7" t="str">
        <f t="shared" si="38"/>
        <v>F0-M6-A11</v>
      </c>
      <c r="DF7" t="str">
        <f t="shared" si="39"/>
        <v>F0-M6-A12</v>
      </c>
      <c r="DG7" t="str">
        <f t="shared" si="40"/>
        <v>F0-M6-A19</v>
      </c>
      <c r="DH7" t="str">
        <f t="shared" si="41"/>
        <v>F0-M6-A20</v>
      </c>
      <c r="DI7" t="s">
        <v>142</v>
      </c>
      <c r="DJ7" t="s">
        <v>143</v>
      </c>
      <c r="DK7">
        <v>11</v>
      </c>
      <c r="DL7">
        <v>14</v>
      </c>
      <c r="DM7">
        <v>12</v>
      </c>
      <c r="DN7" t="s">
        <v>144</v>
      </c>
      <c r="DO7" t="s">
        <v>145</v>
      </c>
      <c r="DP7">
        <v>1</v>
      </c>
      <c r="DQ7">
        <v>2</v>
      </c>
      <c r="DR7">
        <v>3</v>
      </c>
      <c r="DS7">
        <v>4</v>
      </c>
      <c r="DT7">
        <v>5</v>
      </c>
      <c r="DU7">
        <v>6</v>
      </c>
      <c r="DV7">
        <v>7</v>
      </c>
      <c r="DW7">
        <v>8</v>
      </c>
      <c r="DX7">
        <v>9</v>
      </c>
      <c r="DY7">
        <v>10</v>
      </c>
      <c r="DZ7">
        <v>11</v>
      </c>
      <c r="EA7">
        <v>12</v>
      </c>
      <c r="EB7">
        <v>13</v>
      </c>
      <c r="EC7">
        <v>14</v>
      </c>
      <c r="ED7">
        <v>1</v>
      </c>
      <c r="EE7">
        <v>3</v>
      </c>
      <c r="EF7">
        <v>4</v>
      </c>
      <c r="EG7">
        <v>7</v>
      </c>
      <c r="EH7">
        <v>8</v>
      </c>
      <c r="EI7">
        <v>9</v>
      </c>
      <c r="EJ7">
        <v>10</v>
      </c>
      <c r="EK7">
        <v>13</v>
      </c>
      <c r="EL7">
        <v>14</v>
      </c>
      <c r="EM7">
        <v>15</v>
      </c>
      <c r="EN7">
        <v>16</v>
      </c>
      <c r="EO7">
        <v>22</v>
      </c>
      <c r="EP7">
        <v>23</v>
      </c>
      <c r="EQ7" s="16">
        <v>24</v>
      </c>
    </row>
    <row r="8" spans="1:55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1569</v>
      </c>
      <c r="W8" s="15"/>
      <c r="AC8" t="s">
        <v>261</v>
      </c>
      <c r="AF8" t="s">
        <v>148</v>
      </c>
      <c r="AG8" t="s">
        <v>149</v>
      </c>
      <c r="AH8" t="s">
        <v>132</v>
      </c>
      <c r="AK8" t="s">
        <v>250</v>
      </c>
      <c r="AL8" t="s">
        <v>257</v>
      </c>
      <c r="AM8" t="s">
        <v>166</v>
      </c>
      <c r="AP8" t="s">
        <v>137</v>
      </c>
      <c r="AQ8" t="s">
        <v>138</v>
      </c>
      <c r="AT8" t="s">
        <v>139</v>
      </c>
      <c r="AU8" t="s">
        <v>140</v>
      </c>
      <c r="BD8" s="16"/>
      <c r="BE8" t="str">
        <f t="shared" si="0"/>
        <v>XT7</v>
      </c>
      <c r="BF8" t="str">
        <f t="shared" si="1"/>
        <v>C8</v>
      </c>
      <c r="BG8" t="str">
        <f t="shared" si="2"/>
        <v>B8</v>
      </c>
      <c r="BH8" t="str">
        <f t="shared" si="3"/>
        <v>C9</v>
      </c>
      <c r="BI8" t="str">
        <f t="shared" si="4"/>
        <v>B9</v>
      </c>
      <c r="BJ8" t="str">
        <f t="shared" si="5"/>
        <v>C10</v>
      </c>
      <c r="BK8" t="str">
        <f t="shared" si="6"/>
        <v>B10</v>
      </c>
      <c r="BL8" t="str">
        <f t="shared" si="7"/>
        <v>C11</v>
      </c>
      <c r="BM8" t="str">
        <f t="shared" si="8"/>
        <v>B11</v>
      </c>
      <c r="BN8" t="str">
        <f t="shared" si="9"/>
        <v>C12</v>
      </c>
      <c r="BO8" t="str">
        <f t="shared" si="10"/>
        <v>B12</v>
      </c>
      <c r="BP8" t="str">
        <f t="shared" si="11"/>
        <v>20B</v>
      </c>
      <c r="BQ8" t="str">
        <f t="shared" si="12"/>
        <v>20A</v>
      </c>
      <c r="BR8" t="str">
        <f t="shared" si="18"/>
        <v>21B</v>
      </c>
      <c r="BS8" t="str">
        <f t="shared" si="19"/>
        <v>21A</v>
      </c>
      <c r="BT8" t="str">
        <f t="shared" si="13"/>
        <v>DI2-C7</v>
      </c>
      <c r="BU8" t="str">
        <f t="shared" si="13"/>
        <v>DI2-B7</v>
      </c>
      <c r="BV8" t="str">
        <f t="shared" si="14"/>
        <v>DI2-C8</v>
      </c>
      <c r="BW8" t="str">
        <f t="shared" si="14"/>
        <v>DI2-B8</v>
      </c>
      <c r="BX8" t="str">
        <f t="shared" si="14"/>
        <v>DI2-C9</v>
      </c>
      <c r="BY8" t="str">
        <f t="shared" si="14"/>
        <v>DI2-B9</v>
      </c>
      <c r="BZ8" t="str">
        <f t="shared" si="14"/>
        <v>DI2-C10</v>
      </c>
      <c r="CA8" t="str">
        <f t="shared" si="14"/>
        <v>DI2-B10</v>
      </c>
      <c r="CB8" t="str">
        <f t="shared" si="14"/>
        <v>DI2-C11</v>
      </c>
      <c r="CC8" t="str">
        <f t="shared" si="14"/>
        <v>DI2-B11</v>
      </c>
      <c r="CD8" t="str">
        <f t="shared" si="14"/>
        <v>DI2-C12</v>
      </c>
      <c r="CE8" t="str">
        <f t="shared" si="14"/>
        <v>DI2-B12</v>
      </c>
      <c r="CF8" t="str">
        <f t="shared" si="15"/>
        <v>DO1-19B</v>
      </c>
      <c r="CG8" t="str">
        <f t="shared" si="15"/>
        <v>DO1-19A</v>
      </c>
      <c r="CH8" t="str">
        <f t="shared" si="16"/>
        <v>DO1-20B</v>
      </c>
      <c r="CI8" t="str">
        <f t="shared" si="16"/>
        <v>DO1-20A</v>
      </c>
      <c r="CJ8" t="str">
        <f t="shared" si="16"/>
        <v>DO1-21B</v>
      </c>
      <c r="CK8" t="str">
        <f t="shared" si="16"/>
        <v>DO1-21A</v>
      </c>
      <c r="CL8" t="str">
        <f t="shared" si="20"/>
        <v>K7-10</v>
      </c>
      <c r="CM8" t="str">
        <f t="shared" si="21"/>
        <v>K7-03</v>
      </c>
      <c r="CN8" t="str">
        <f t="shared" si="22"/>
        <v>K7-04</v>
      </c>
      <c r="CO8" t="str">
        <f t="shared" si="23"/>
        <v>K7-01</v>
      </c>
      <c r="CP8" t="str">
        <f t="shared" si="24"/>
        <v>K7-08</v>
      </c>
      <c r="CQ8" t="str">
        <f t="shared" si="25"/>
        <v>K7-02</v>
      </c>
      <c r="CR8" t="str">
        <f t="shared" si="26"/>
        <v>K7-09</v>
      </c>
      <c r="CS8" t="str">
        <f t="shared" si="27"/>
        <v>K7-05</v>
      </c>
      <c r="CT8" t="str">
        <f t="shared" si="28"/>
        <v>K7-11</v>
      </c>
      <c r="CU8" t="str">
        <f t="shared" si="29"/>
        <v>F0-M7-A9</v>
      </c>
      <c r="CV8" t="str">
        <f t="shared" si="30"/>
        <v>F0-M7-A7</v>
      </c>
      <c r="CW8" t="str">
        <f t="shared" si="31"/>
        <v>F0-M7-A8</v>
      </c>
      <c r="CX8" t="str">
        <f t="shared" si="32"/>
        <v>F0-M7-A6</v>
      </c>
      <c r="CY8" t="str">
        <f t="shared" si="33"/>
        <v>F0-M7-A30</v>
      </c>
      <c r="CZ8" t="str">
        <f t="shared" si="34"/>
        <v>F0-M7-N</v>
      </c>
      <c r="DA8" t="str">
        <f t="shared" si="17"/>
        <v>F0-A220-M7</v>
      </c>
      <c r="DB8" t="str">
        <f t="shared" si="35"/>
        <v>F0-M7-XM01</v>
      </c>
      <c r="DC8" t="str">
        <f t="shared" si="36"/>
        <v>F0-M7-A1</v>
      </c>
      <c r="DD8" t="str">
        <f t="shared" si="37"/>
        <v>F0-M7-A5</v>
      </c>
      <c r="DE8" t="str">
        <f t="shared" si="38"/>
        <v>F0-M7-A11</v>
      </c>
      <c r="DF8" t="str">
        <f t="shared" si="39"/>
        <v>F0-M7-A12</v>
      </c>
      <c r="DG8" t="str">
        <f t="shared" si="40"/>
        <v>F0-M7-A19</v>
      </c>
      <c r="DH8" t="str">
        <f t="shared" si="41"/>
        <v>F0-M7-A20</v>
      </c>
      <c r="DI8" t="s">
        <v>142</v>
      </c>
      <c r="DJ8" t="s">
        <v>143</v>
      </c>
      <c r="DK8">
        <v>11</v>
      </c>
      <c r="DL8">
        <v>14</v>
      </c>
      <c r="DM8">
        <v>12</v>
      </c>
      <c r="DN8" t="s">
        <v>144</v>
      </c>
      <c r="DO8" t="s">
        <v>145</v>
      </c>
      <c r="DP8">
        <v>1</v>
      </c>
      <c r="DQ8">
        <v>2</v>
      </c>
      <c r="DR8">
        <v>3</v>
      </c>
      <c r="DS8">
        <v>4</v>
      </c>
      <c r="DT8">
        <v>5</v>
      </c>
      <c r="DU8">
        <v>6</v>
      </c>
      <c r="DV8">
        <v>7</v>
      </c>
      <c r="DW8">
        <v>8</v>
      </c>
      <c r="DX8">
        <v>9</v>
      </c>
      <c r="DY8">
        <v>10</v>
      </c>
      <c r="DZ8">
        <v>11</v>
      </c>
      <c r="EA8">
        <v>12</v>
      </c>
      <c r="EB8">
        <v>13</v>
      </c>
      <c r="EC8">
        <v>14</v>
      </c>
      <c r="ED8">
        <v>1</v>
      </c>
      <c r="EE8">
        <v>3</v>
      </c>
      <c r="EF8">
        <v>4</v>
      </c>
      <c r="EG8">
        <v>7</v>
      </c>
      <c r="EH8">
        <v>8</v>
      </c>
      <c r="EI8">
        <v>9</v>
      </c>
      <c r="EJ8">
        <v>10</v>
      </c>
      <c r="EK8">
        <v>13</v>
      </c>
      <c r="EL8">
        <v>14</v>
      </c>
      <c r="EM8">
        <v>15</v>
      </c>
      <c r="EN8">
        <v>16</v>
      </c>
      <c r="EO8">
        <v>22</v>
      </c>
      <c r="EP8">
        <v>23</v>
      </c>
      <c r="EQ8" s="16">
        <v>24</v>
      </c>
    </row>
    <row r="9" spans="1:55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1570</v>
      </c>
      <c r="W9" s="15"/>
      <c r="AC9" t="s">
        <v>261</v>
      </c>
      <c r="AF9" t="s">
        <v>153</v>
      </c>
      <c r="AG9" t="s">
        <v>154</v>
      </c>
      <c r="AH9" t="s">
        <v>132</v>
      </c>
      <c r="AK9" t="s">
        <v>251</v>
      </c>
      <c r="AL9" t="s">
        <v>258</v>
      </c>
      <c r="AM9" t="s">
        <v>169</v>
      </c>
      <c r="AP9" t="s">
        <v>137</v>
      </c>
      <c r="AQ9" t="s">
        <v>138</v>
      </c>
      <c r="AT9" t="s">
        <v>139</v>
      </c>
      <c r="AU9" t="s">
        <v>140</v>
      </c>
      <c r="BD9" s="16"/>
      <c r="BE9" t="str">
        <f t="shared" si="0"/>
        <v>XT8</v>
      </c>
      <c r="BF9" t="str">
        <f t="shared" si="1"/>
        <v>C14</v>
      </c>
      <c r="BG9" t="str">
        <f t="shared" si="2"/>
        <v>B14</v>
      </c>
      <c r="BH9" t="str">
        <f t="shared" si="3"/>
        <v>C15</v>
      </c>
      <c r="BI9" t="str">
        <f t="shared" si="4"/>
        <v>B15</v>
      </c>
      <c r="BJ9" t="str">
        <f t="shared" si="5"/>
        <v>C16</v>
      </c>
      <c r="BK9" t="str">
        <f t="shared" si="6"/>
        <v>B16</v>
      </c>
      <c r="BL9" t="str">
        <f t="shared" si="7"/>
        <v>C17</v>
      </c>
      <c r="BM9" t="str">
        <f t="shared" si="8"/>
        <v>B17</v>
      </c>
      <c r="BN9" t="str">
        <f t="shared" si="9"/>
        <v>C18</v>
      </c>
      <c r="BO9" t="str">
        <f t="shared" si="10"/>
        <v>B18</v>
      </c>
      <c r="BP9" t="str">
        <f t="shared" si="11"/>
        <v>23B</v>
      </c>
      <c r="BQ9" t="str">
        <f t="shared" si="12"/>
        <v>23A</v>
      </c>
      <c r="BR9" t="str">
        <f t="shared" si="18"/>
        <v>24B</v>
      </c>
      <c r="BS9" t="str">
        <f t="shared" si="19"/>
        <v>24A</v>
      </c>
      <c r="BT9" t="str">
        <f t="shared" si="13"/>
        <v>DI2-C13</v>
      </c>
      <c r="BU9" t="str">
        <f t="shared" si="13"/>
        <v>DI2-B13</v>
      </c>
      <c r="BV9" t="str">
        <f t="shared" si="14"/>
        <v>DI2-C14</v>
      </c>
      <c r="BW9" t="str">
        <f t="shared" si="14"/>
        <v>DI2-B14</v>
      </c>
      <c r="BX9" t="str">
        <f t="shared" si="14"/>
        <v>DI2-C15</v>
      </c>
      <c r="BY9" t="str">
        <f t="shared" si="14"/>
        <v>DI2-B15</v>
      </c>
      <c r="BZ9" t="str">
        <f t="shared" si="14"/>
        <v>DI2-C16</v>
      </c>
      <c r="CA9" t="str">
        <f t="shared" si="14"/>
        <v>DI2-B16</v>
      </c>
      <c r="CB9" t="str">
        <f t="shared" si="14"/>
        <v>DI2-C17</v>
      </c>
      <c r="CC9" t="str">
        <f t="shared" si="14"/>
        <v>DI2-B17</v>
      </c>
      <c r="CD9" t="str">
        <f t="shared" si="14"/>
        <v>DI2-C18</v>
      </c>
      <c r="CE9" t="str">
        <f t="shared" si="14"/>
        <v>DI2-B18</v>
      </c>
      <c r="CF9" t="str">
        <f t="shared" si="15"/>
        <v>DO1-22B</v>
      </c>
      <c r="CG9" t="str">
        <f t="shared" si="15"/>
        <v>DO1-22A</v>
      </c>
      <c r="CH9" t="str">
        <f t="shared" si="16"/>
        <v>DO1-23B</v>
      </c>
      <c r="CI9" t="str">
        <f t="shared" si="16"/>
        <v>DO1-23A</v>
      </c>
      <c r="CJ9" t="str">
        <f t="shared" si="16"/>
        <v>DO1-24B</v>
      </c>
      <c r="CK9" t="str">
        <f t="shared" si="16"/>
        <v>DO1-24A</v>
      </c>
      <c r="CL9" t="str">
        <f t="shared" si="20"/>
        <v>K8-10</v>
      </c>
      <c r="CM9" t="str">
        <f t="shared" si="21"/>
        <v>K8-03</v>
      </c>
      <c r="CN9" t="str">
        <f t="shared" si="22"/>
        <v>K8-04</v>
      </c>
      <c r="CO9" t="str">
        <f t="shared" si="23"/>
        <v>K8-01</v>
      </c>
      <c r="CP9" t="str">
        <f t="shared" si="24"/>
        <v>K8-08</v>
      </c>
      <c r="CQ9" t="str">
        <f t="shared" si="25"/>
        <v>K8-02</v>
      </c>
      <c r="CR9" t="str">
        <f t="shared" si="26"/>
        <v>K8-09</v>
      </c>
      <c r="CS9" t="str">
        <f t="shared" si="27"/>
        <v>K8-05</v>
      </c>
      <c r="CT9" t="str">
        <f t="shared" si="28"/>
        <v>K8-11</v>
      </c>
      <c r="CU9" t="str">
        <f t="shared" si="29"/>
        <v>F0-M8-A9</v>
      </c>
      <c r="CV9" t="str">
        <f t="shared" si="30"/>
        <v>F0-M8-A7</v>
      </c>
      <c r="CW9" t="str">
        <f t="shared" si="31"/>
        <v>F0-M8-A8</v>
      </c>
      <c r="CX9" t="str">
        <f t="shared" si="32"/>
        <v>F0-M8-A6</v>
      </c>
      <c r="CY9" t="str">
        <f t="shared" si="33"/>
        <v>F0-M8-A30</v>
      </c>
      <c r="CZ9" t="str">
        <f t="shared" si="34"/>
        <v>F0-M8-N</v>
      </c>
      <c r="DA9" t="str">
        <f t="shared" si="17"/>
        <v>F0-A220-M8</v>
      </c>
      <c r="DB9" t="str">
        <f t="shared" si="35"/>
        <v>F0-M8-XM01</v>
      </c>
      <c r="DC9" t="str">
        <f t="shared" si="36"/>
        <v>F0-M8-A1</v>
      </c>
      <c r="DD9" t="str">
        <f t="shared" si="37"/>
        <v>F0-M8-A5</v>
      </c>
      <c r="DE9" t="str">
        <f t="shared" si="38"/>
        <v>F0-M8-A11</v>
      </c>
      <c r="DF9" t="str">
        <f t="shared" si="39"/>
        <v>F0-M8-A12</v>
      </c>
      <c r="DG9" t="str">
        <f t="shared" si="40"/>
        <v>F0-M8-A19</v>
      </c>
      <c r="DH9" t="str">
        <f t="shared" si="41"/>
        <v>F0-M8-A20</v>
      </c>
      <c r="DI9" t="s">
        <v>142</v>
      </c>
      <c r="DJ9" t="s">
        <v>143</v>
      </c>
      <c r="DK9">
        <v>11</v>
      </c>
      <c r="DL9">
        <v>14</v>
      </c>
      <c r="DM9">
        <v>12</v>
      </c>
      <c r="DN9" t="s">
        <v>144</v>
      </c>
      <c r="DO9" t="s">
        <v>145</v>
      </c>
      <c r="DP9">
        <v>1</v>
      </c>
      <c r="DQ9">
        <v>2</v>
      </c>
      <c r="DR9">
        <v>3</v>
      </c>
      <c r="DS9">
        <v>4</v>
      </c>
      <c r="DT9">
        <v>5</v>
      </c>
      <c r="DU9">
        <v>6</v>
      </c>
      <c r="DV9">
        <v>7</v>
      </c>
      <c r="DW9">
        <v>8</v>
      </c>
      <c r="DX9">
        <v>9</v>
      </c>
      <c r="DY9">
        <v>10</v>
      </c>
      <c r="DZ9">
        <v>11</v>
      </c>
      <c r="EA9">
        <v>12</v>
      </c>
      <c r="EB9">
        <v>13</v>
      </c>
      <c r="EC9">
        <v>14</v>
      </c>
      <c r="ED9">
        <v>1</v>
      </c>
      <c r="EE9">
        <v>3</v>
      </c>
      <c r="EF9">
        <v>4</v>
      </c>
      <c r="EG9">
        <v>7</v>
      </c>
      <c r="EH9">
        <v>8</v>
      </c>
      <c r="EI9">
        <v>9</v>
      </c>
      <c r="EJ9">
        <v>10</v>
      </c>
      <c r="EK9">
        <v>13</v>
      </c>
      <c r="EL9">
        <v>14</v>
      </c>
      <c r="EM9">
        <v>15</v>
      </c>
      <c r="EN9">
        <v>16</v>
      </c>
      <c r="EO9">
        <v>22</v>
      </c>
      <c r="EP9">
        <v>23</v>
      </c>
      <c r="EQ9" s="16">
        <v>24</v>
      </c>
    </row>
    <row r="10" spans="1:55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1571</v>
      </c>
      <c r="W10" s="15"/>
      <c r="AC10" t="s">
        <v>261</v>
      </c>
      <c r="AF10" t="s">
        <v>239</v>
      </c>
      <c r="AG10" t="s">
        <v>241</v>
      </c>
      <c r="AH10" t="s">
        <v>132</v>
      </c>
      <c r="AK10" t="s">
        <v>252</v>
      </c>
      <c r="AL10" t="s">
        <v>259</v>
      </c>
      <c r="AM10" t="s">
        <v>172</v>
      </c>
      <c r="AP10" t="s">
        <v>137</v>
      </c>
      <c r="AQ10" t="s">
        <v>138</v>
      </c>
      <c r="AT10" t="s">
        <v>139</v>
      </c>
      <c r="AU10" t="s">
        <v>140</v>
      </c>
      <c r="BD10" s="16"/>
      <c r="BE10" t="str">
        <f t="shared" si="0"/>
        <v>XT9</v>
      </c>
      <c r="BF10" t="str">
        <f t="shared" si="1"/>
        <v>C20</v>
      </c>
      <c r="BG10" t="str">
        <f t="shared" si="2"/>
        <v>B20</v>
      </c>
      <c r="BH10" t="str">
        <f t="shared" si="3"/>
        <v>C21</v>
      </c>
      <c r="BI10" t="str">
        <f t="shared" si="4"/>
        <v>B21</v>
      </c>
      <c r="BJ10" t="str">
        <f t="shared" si="5"/>
        <v>C22</v>
      </c>
      <c r="BK10" t="str">
        <f t="shared" si="6"/>
        <v>B22</v>
      </c>
      <c r="BL10" t="str">
        <f t="shared" si="7"/>
        <v>C23</v>
      </c>
      <c r="BM10" t="str">
        <f t="shared" si="8"/>
        <v>B23</v>
      </c>
      <c r="BN10" t="str">
        <f t="shared" si="9"/>
        <v>C24</v>
      </c>
      <c r="BO10" t="str">
        <f t="shared" si="10"/>
        <v>B24</v>
      </c>
      <c r="BP10" t="str">
        <f t="shared" si="11"/>
        <v>26B</v>
      </c>
      <c r="BQ10" t="str">
        <f t="shared" si="12"/>
        <v>26A</v>
      </c>
      <c r="BR10" t="str">
        <f t="shared" si="18"/>
        <v>27B</v>
      </c>
      <c r="BS10" t="str">
        <f t="shared" si="19"/>
        <v>27A</v>
      </c>
      <c r="BT10" t="str">
        <f t="shared" si="13"/>
        <v>DI2-C19</v>
      </c>
      <c r="BU10" t="str">
        <f t="shared" si="13"/>
        <v>DI2-B19</v>
      </c>
      <c r="BV10" t="str">
        <f t="shared" si="14"/>
        <v>DI2-C20</v>
      </c>
      <c r="BW10" t="str">
        <f t="shared" si="14"/>
        <v>DI2-B20</v>
      </c>
      <c r="BX10" t="str">
        <f t="shared" si="14"/>
        <v>DI2-C21</v>
      </c>
      <c r="BY10" t="str">
        <f t="shared" si="14"/>
        <v>DI2-B21</v>
      </c>
      <c r="BZ10" t="str">
        <f t="shared" si="14"/>
        <v>DI2-C22</v>
      </c>
      <c r="CA10" t="str">
        <f t="shared" si="14"/>
        <v>DI2-B22</v>
      </c>
      <c r="CB10" t="str">
        <f t="shared" si="14"/>
        <v>DI2-C23</v>
      </c>
      <c r="CC10" t="str">
        <f t="shared" si="14"/>
        <v>DI2-B23</v>
      </c>
      <c r="CD10" t="str">
        <f t="shared" si="14"/>
        <v>DI2-C24</v>
      </c>
      <c r="CE10" t="str">
        <f t="shared" si="14"/>
        <v>DI2-B24</v>
      </c>
      <c r="CF10" t="str">
        <f t="shared" si="15"/>
        <v>DO1-25B</v>
      </c>
      <c r="CG10" t="str">
        <f t="shared" si="15"/>
        <v>DO1-25A</v>
      </c>
      <c r="CH10" t="str">
        <f t="shared" si="16"/>
        <v>DO1-26B</v>
      </c>
      <c r="CI10" t="str">
        <f t="shared" si="16"/>
        <v>DO1-26A</v>
      </c>
      <c r="CJ10" t="str">
        <f t="shared" si="16"/>
        <v>DO1-27B</v>
      </c>
      <c r="CK10" t="str">
        <f t="shared" si="16"/>
        <v>DO1-27A</v>
      </c>
      <c r="CL10" t="str">
        <f t="shared" si="20"/>
        <v>K9-10</v>
      </c>
      <c r="CM10" t="str">
        <f t="shared" si="21"/>
        <v>K9-03</v>
      </c>
      <c r="CN10" t="str">
        <f t="shared" si="22"/>
        <v>K9-04</v>
      </c>
      <c r="CO10" t="str">
        <f t="shared" si="23"/>
        <v>K9-01</v>
      </c>
      <c r="CP10" t="str">
        <f t="shared" si="24"/>
        <v>K9-08</v>
      </c>
      <c r="CQ10" t="str">
        <f t="shared" si="25"/>
        <v>K9-02</v>
      </c>
      <c r="CR10" t="str">
        <f t="shared" si="26"/>
        <v>K9-09</v>
      </c>
      <c r="CS10" t="str">
        <f t="shared" si="27"/>
        <v>K9-05</v>
      </c>
      <c r="CT10" t="str">
        <f t="shared" si="28"/>
        <v>K9-11</v>
      </c>
      <c r="CU10" t="str">
        <f t="shared" si="29"/>
        <v>F0-M9-A9</v>
      </c>
      <c r="CV10" t="str">
        <f t="shared" si="30"/>
        <v>F0-M9-A7</v>
      </c>
      <c r="CW10" t="str">
        <f t="shared" si="31"/>
        <v>F0-M9-A8</v>
      </c>
      <c r="CX10" t="str">
        <f t="shared" si="32"/>
        <v>F0-M9-A6</v>
      </c>
      <c r="CY10" t="str">
        <f t="shared" si="33"/>
        <v>F0-M9-A30</v>
      </c>
      <c r="CZ10" t="str">
        <f t="shared" si="34"/>
        <v>F0-M9-N</v>
      </c>
      <c r="DA10" t="str">
        <f t="shared" si="17"/>
        <v>F0-A220-M9</v>
      </c>
      <c r="DB10" t="str">
        <f t="shared" si="35"/>
        <v>F0-M9-XM01</v>
      </c>
      <c r="DC10" t="str">
        <f t="shared" si="36"/>
        <v>F0-M9-A1</v>
      </c>
      <c r="DD10" t="str">
        <f t="shared" si="37"/>
        <v>F0-M9-A5</v>
      </c>
      <c r="DE10" t="str">
        <f t="shared" si="38"/>
        <v>F0-M9-A11</v>
      </c>
      <c r="DF10" t="str">
        <f t="shared" si="39"/>
        <v>F0-M9-A12</v>
      </c>
      <c r="DG10" t="str">
        <f t="shared" si="40"/>
        <v>F0-M9-A19</v>
      </c>
      <c r="DH10" t="str">
        <f t="shared" si="41"/>
        <v>F0-M9-A20</v>
      </c>
      <c r="DI10" t="s">
        <v>142</v>
      </c>
      <c r="DJ10" t="s">
        <v>143</v>
      </c>
      <c r="DK10">
        <v>11</v>
      </c>
      <c r="DL10">
        <v>14</v>
      </c>
      <c r="DM10">
        <v>12</v>
      </c>
      <c r="DN10" t="s">
        <v>144</v>
      </c>
      <c r="DO10" t="s">
        <v>145</v>
      </c>
      <c r="DP10">
        <v>1</v>
      </c>
      <c r="DQ10">
        <v>2</v>
      </c>
      <c r="DR10">
        <v>3</v>
      </c>
      <c r="DS10">
        <v>4</v>
      </c>
      <c r="DT10">
        <v>5</v>
      </c>
      <c r="DU10">
        <v>6</v>
      </c>
      <c r="DV10">
        <v>7</v>
      </c>
      <c r="DW10">
        <v>8</v>
      </c>
      <c r="DX10">
        <v>9</v>
      </c>
      <c r="DY10">
        <v>10</v>
      </c>
      <c r="DZ10">
        <v>11</v>
      </c>
      <c r="EA10">
        <v>12</v>
      </c>
      <c r="EB10">
        <v>13</v>
      </c>
      <c r="EC10">
        <v>14</v>
      </c>
      <c r="ED10">
        <v>1</v>
      </c>
      <c r="EE10">
        <v>3</v>
      </c>
      <c r="EF10">
        <v>4</v>
      </c>
      <c r="EG10">
        <v>7</v>
      </c>
      <c r="EH10">
        <v>8</v>
      </c>
      <c r="EI10">
        <v>9</v>
      </c>
      <c r="EJ10">
        <v>10</v>
      </c>
      <c r="EK10">
        <v>13</v>
      </c>
      <c r="EL10">
        <v>14</v>
      </c>
      <c r="EM10">
        <v>15</v>
      </c>
      <c r="EN10">
        <v>16</v>
      </c>
      <c r="EO10">
        <v>22</v>
      </c>
      <c r="EP10">
        <v>23</v>
      </c>
      <c r="EQ10" s="16">
        <v>24</v>
      </c>
    </row>
    <row r="11" spans="1:55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1572</v>
      </c>
      <c r="W11" s="15"/>
      <c r="AC11" t="s">
        <v>261</v>
      </c>
      <c r="AF11" t="s">
        <v>240</v>
      </c>
      <c r="AG11" t="s">
        <v>242</v>
      </c>
      <c r="AH11" t="s">
        <v>132</v>
      </c>
      <c r="AK11" t="s">
        <v>253</v>
      </c>
      <c r="AL11" t="s">
        <v>260</v>
      </c>
      <c r="AM11" t="s">
        <v>175</v>
      </c>
      <c r="AP11" t="s">
        <v>137</v>
      </c>
      <c r="AQ11" t="s">
        <v>138</v>
      </c>
      <c r="AT11" t="s">
        <v>139</v>
      </c>
      <c r="AU11" t="s">
        <v>140</v>
      </c>
      <c r="BD11" s="16"/>
      <c r="BE11" t="str">
        <f t="shared" si="0"/>
        <v>XT10</v>
      </c>
      <c r="BF11" t="str">
        <f t="shared" si="1"/>
        <v>C26</v>
      </c>
      <c r="BG11" t="str">
        <f t="shared" si="2"/>
        <v>B26</v>
      </c>
      <c r="BH11" t="str">
        <f t="shared" si="3"/>
        <v>C27</v>
      </c>
      <c r="BI11" t="str">
        <f t="shared" si="4"/>
        <v>B27</v>
      </c>
      <c r="BJ11" t="str">
        <f t="shared" si="5"/>
        <v>C28</v>
      </c>
      <c r="BK11" t="str">
        <f t="shared" si="6"/>
        <v>B28</v>
      </c>
      <c r="BL11" t="str">
        <f t="shared" si="7"/>
        <v>C29</v>
      </c>
      <c r="BM11" t="str">
        <f t="shared" si="8"/>
        <v>B29</v>
      </c>
      <c r="BN11" t="str">
        <f t="shared" si="9"/>
        <v>C30</v>
      </c>
      <c r="BO11" t="str">
        <f t="shared" si="10"/>
        <v>B30</v>
      </c>
      <c r="BP11" t="str">
        <f t="shared" si="11"/>
        <v>29B</v>
      </c>
      <c r="BQ11" t="str">
        <f t="shared" si="12"/>
        <v>29A</v>
      </c>
      <c r="BR11" t="str">
        <f t="shared" si="18"/>
        <v>30B</v>
      </c>
      <c r="BS11" t="str">
        <f t="shared" si="19"/>
        <v>30A</v>
      </c>
      <c r="BT11" t="str">
        <f t="shared" si="13"/>
        <v>DI2-C25</v>
      </c>
      <c r="BU11" t="str">
        <f t="shared" si="13"/>
        <v>DI2-B25</v>
      </c>
      <c r="BV11" t="str">
        <f t="shared" si="14"/>
        <v>DI2-C26</v>
      </c>
      <c r="BW11" t="str">
        <f t="shared" si="14"/>
        <v>DI2-B26</v>
      </c>
      <c r="BX11" t="str">
        <f t="shared" si="14"/>
        <v>DI2-C27</v>
      </c>
      <c r="BY11" t="str">
        <f t="shared" si="14"/>
        <v>DI2-B27</v>
      </c>
      <c r="BZ11" t="str">
        <f t="shared" si="14"/>
        <v>DI2-C28</v>
      </c>
      <c r="CA11" t="str">
        <f t="shared" si="14"/>
        <v>DI2-B28</v>
      </c>
      <c r="CB11" t="str">
        <f t="shared" si="14"/>
        <v>DI2-C29</v>
      </c>
      <c r="CC11" t="str">
        <f t="shared" si="14"/>
        <v>DI2-B29</v>
      </c>
      <c r="CD11" t="str">
        <f t="shared" si="14"/>
        <v>DI2-C30</v>
      </c>
      <c r="CE11" t="str">
        <f t="shared" si="14"/>
        <v>DI2-B30</v>
      </c>
      <c r="CF11" t="str">
        <f t="shared" si="15"/>
        <v>DO1-28B</v>
      </c>
      <c r="CG11" t="str">
        <f t="shared" si="15"/>
        <v>DO1-28A</v>
      </c>
      <c r="CH11" t="str">
        <f t="shared" si="16"/>
        <v>DO1-29B</v>
      </c>
      <c r="CI11" t="str">
        <f t="shared" si="16"/>
        <v>DO1-29A</v>
      </c>
      <c r="CJ11" t="str">
        <f t="shared" si="16"/>
        <v>DO1-30B</v>
      </c>
      <c r="CK11" t="str">
        <f t="shared" si="16"/>
        <v>DO1-30A</v>
      </c>
      <c r="CL11" t="str">
        <f t="shared" si="20"/>
        <v>K10-10</v>
      </c>
      <c r="CM11" t="str">
        <f t="shared" si="21"/>
        <v>K10-03</v>
      </c>
      <c r="CN11" t="str">
        <f t="shared" si="22"/>
        <v>K10-04</v>
      </c>
      <c r="CO11" t="str">
        <f t="shared" si="23"/>
        <v>K10-01</v>
      </c>
      <c r="CP11" t="str">
        <f t="shared" si="24"/>
        <v>K10-08</v>
      </c>
      <c r="CQ11" t="str">
        <f t="shared" si="25"/>
        <v>K10-02</v>
      </c>
      <c r="CR11" t="str">
        <f t="shared" si="26"/>
        <v>K10-09</v>
      </c>
      <c r="CS11" t="str">
        <f t="shared" si="27"/>
        <v>K10-05</v>
      </c>
      <c r="CT11" t="str">
        <f t="shared" si="28"/>
        <v>K10-11</v>
      </c>
      <c r="CU11" t="str">
        <f t="shared" si="29"/>
        <v>F0-M10-A9</v>
      </c>
      <c r="CV11" t="str">
        <f t="shared" si="30"/>
        <v>F0-M10-A7</v>
      </c>
      <c r="CW11" t="str">
        <f t="shared" si="31"/>
        <v>F0-M10-A8</v>
      </c>
      <c r="CX11" t="str">
        <f t="shared" si="32"/>
        <v>F0-M10-A6</v>
      </c>
      <c r="CY11" t="str">
        <f t="shared" si="33"/>
        <v>F0-M10-A30</v>
      </c>
      <c r="CZ11" t="str">
        <f t="shared" si="34"/>
        <v>F0-M10-N</v>
      </c>
      <c r="DA11" t="str">
        <f t="shared" si="17"/>
        <v>F0-A220-M10</v>
      </c>
      <c r="DB11" t="str">
        <f t="shared" si="35"/>
        <v>F0-M10-XM01</v>
      </c>
      <c r="DC11" t="str">
        <f t="shared" si="36"/>
        <v>F0-M10-A1</v>
      </c>
      <c r="DD11" t="str">
        <f t="shared" si="37"/>
        <v>F0-M10-A5</v>
      </c>
      <c r="DE11" t="str">
        <f t="shared" si="38"/>
        <v>F0-M10-A11</v>
      </c>
      <c r="DF11" t="str">
        <f t="shared" si="39"/>
        <v>F0-M10-A12</v>
      </c>
      <c r="DG11" t="str">
        <f t="shared" si="40"/>
        <v>F0-M10-A19</v>
      </c>
      <c r="DH11" t="str">
        <f t="shared" si="41"/>
        <v>F0-M10-A20</v>
      </c>
      <c r="DI11" t="s">
        <v>142</v>
      </c>
      <c r="DJ11" t="s">
        <v>143</v>
      </c>
      <c r="DK11">
        <v>11</v>
      </c>
      <c r="DL11">
        <v>14</v>
      </c>
      <c r="DM11">
        <v>12</v>
      </c>
      <c r="DN11" t="s">
        <v>144</v>
      </c>
      <c r="DO11" t="s">
        <v>145</v>
      </c>
      <c r="DP11">
        <v>1</v>
      </c>
      <c r="DQ11">
        <v>2</v>
      </c>
      <c r="DR11">
        <v>3</v>
      </c>
      <c r="DS11">
        <v>4</v>
      </c>
      <c r="DT11">
        <v>5</v>
      </c>
      <c r="DU11">
        <v>6</v>
      </c>
      <c r="DV11">
        <v>7</v>
      </c>
      <c r="DW11">
        <v>8</v>
      </c>
      <c r="DX11">
        <v>9</v>
      </c>
      <c r="DY11">
        <v>10</v>
      </c>
      <c r="DZ11">
        <v>11</v>
      </c>
      <c r="EA11">
        <v>12</v>
      </c>
      <c r="EB11">
        <v>13</v>
      </c>
      <c r="EC11">
        <v>14</v>
      </c>
      <c r="ED11">
        <v>1</v>
      </c>
      <c r="EE11">
        <v>3</v>
      </c>
      <c r="EF11">
        <v>4</v>
      </c>
      <c r="EG11">
        <v>7</v>
      </c>
      <c r="EH11">
        <v>8</v>
      </c>
      <c r="EI11">
        <v>9</v>
      </c>
      <c r="EJ11">
        <v>10</v>
      </c>
      <c r="EK11">
        <v>13</v>
      </c>
      <c r="EL11">
        <v>14</v>
      </c>
      <c r="EM11">
        <v>15</v>
      </c>
      <c r="EN11">
        <v>16</v>
      </c>
      <c r="EO11">
        <v>22</v>
      </c>
      <c r="EP11">
        <v>23</v>
      </c>
      <c r="EQ11" s="16">
        <v>24</v>
      </c>
    </row>
    <row r="12" spans="1:55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1573</v>
      </c>
      <c r="W12" s="15"/>
      <c r="AC12" t="s">
        <v>262</v>
      </c>
      <c r="AF12" t="s">
        <v>133</v>
      </c>
      <c r="AG12" t="s">
        <v>134</v>
      </c>
      <c r="AH12" t="s">
        <v>267</v>
      </c>
      <c r="AK12" t="s">
        <v>135</v>
      </c>
      <c r="AL12" t="s">
        <v>136</v>
      </c>
      <c r="AM12" t="s">
        <v>178</v>
      </c>
      <c r="AP12" t="s">
        <v>137</v>
      </c>
      <c r="AQ12" t="s">
        <v>138</v>
      </c>
      <c r="AT12" t="s">
        <v>139</v>
      </c>
      <c r="AU12" t="s">
        <v>140</v>
      </c>
      <c r="BD12" s="16"/>
      <c r="BE12" t="str">
        <f t="shared" si="0"/>
        <v>XT11</v>
      </c>
      <c r="BF12" t="str">
        <f t="shared" si="1"/>
        <v>C2</v>
      </c>
      <c r="BG12" t="str">
        <f t="shared" si="2"/>
        <v>B2</v>
      </c>
      <c r="BH12" t="str">
        <f t="shared" si="3"/>
        <v>C3</v>
      </c>
      <c r="BI12" t="str">
        <f t="shared" si="4"/>
        <v>B3</v>
      </c>
      <c r="BJ12" t="str">
        <f t="shared" si="5"/>
        <v>C4</v>
      </c>
      <c r="BK12" t="str">
        <f t="shared" si="6"/>
        <v>B4</v>
      </c>
      <c r="BL12" t="str">
        <f t="shared" si="7"/>
        <v>C5</v>
      </c>
      <c r="BM12" t="str">
        <f t="shared" si="8"/>
        <v>B5</v>
      </c>
      <c r="BN12" t="str">
        <f t="shared" si="9"/>
        <v>C6</v>
      </c>
      <c r="BO12" t="str">
        <f t="shared" si="10"/>
        <v>B6</v>
      </c>
      <c r="BP12" t="str">
        <f t="shared" si="11"/>
        <v>2B</v>
      </c>
      <c r="BQ12" t="str">
        <f t="shared" si="12"/>
        <v>2A</v>
      </c>
      <c r="BR12" t="str">
        <f t="shared" si="18"/>
        <v>3B</v>
      </c>
      <c r="BS12" t="str">
        <f t="shared" si="19"/>
        <v>3A</v>
      </c>
      <c r="BT12" t="str">
        <f t="shared" si="13"/>
        <v>DI3-C1</v>
      </c>
      <c r="BU12" t="str">
        <f t="shared" si="13"/>
        <v>DI3-B1</v>
      </c>
      <c r="BV12" t="str">
        <f t="shared" si="14"/>
        <v>DI3-C2</v>
      </c>
      <c r="BW12" t="str">
        <f t="shared" si="14"/>
        <v>DI3-B2</v>
      </c>
      <c r="BX12" t="str">
        <f t="shared" si="14"/>
        <v>DI3-C3</v>
      </c>
      <c r="BY12" t="str">
        <f t="shared" si="14"/>
        <v>DI3-B3</v>
      </c>
      <c r="BZ12" t="str">
        <f t="shared" si="14"/>
        <v>DI3-C4</v>
      </c>
      <c r="CA12" t="str">
        <f t="shared" si="14"/>
        <v>DI3-B4</v>
      </c>
      <c r="CB12" t="str">
        <f t="shared" si="14"/>
        <v>DI3-C5</v>
      </c>
      <c r="CC12" t="str">
        <f t="shared" si="14"/>
        <v>DI3-B5</v>
      </c>
      <c r="CD12" t="str">
        <f t="shared" si="14"/>
        <v>DI3-C6</v>
      </c>
      <c r="CE12" t="str">
        <f t="shared" si="14"/>
        <v>DI3-B6</v>
      </c>
      <c r="CF12" t="str">
        <f t="shared" si="15"/>
        <v>DO2-1B</v>
      </c>
      <c r="CG12" t="str">
        <f t="shared" si="15"/>
        <v>DO2-1A</v>
      </c>
      <c r="CH12" t="str">
        <f t="shared" si="16"/>
        <v>DO2-2B</v>
      </c>
      <c r="CI12" t="str">
        <f t="shared" si="16"/>
        <v>DO2-2A</v>
      </c>
      <c r="CJ12" t="str">
        <f t="shared" si="16"/>
        <v>DO2-3B</v>
      </c>
      <c r="CK12" t="str">
        <f t="shared" si="16"/>
        <v>DO2-3A</v>
      </c>
      <c r="CL12" t="str">
        <f t="shared" si="20"/>
        <v>K11-10</v>
      </c>
      <c r="CM12" t="str">
        <f t="shared" si="21"/>
        <v>K11-03</v>
      </c>
      <c r="CN12" t="str">
        <f t="shared" si="22"/>
        <v>K11-04</v>
      </c>
      <c r="CO12" t="str">
        <f t="shared" si="23"/>
        <v>K11-01</v>
      </c>
      <c r="CP12" t="str">
        <f t="shared" si="24"/>
        <v>K11-08</v>
      </c>
      <c r="CQ12" t="str">
        <f t="shared" si="25"/>
        <v>K11-02</v>
      </c>
      <c r="CR12" t="str">
        <f t="shared" si="26"/>
        <v>K11-09</v>
      </c>
      <c r="CS12" t="str">
        <f t="shared" si="27"/>
        <v>K11-05</v>
      </c>
      <c r="CT12" t="str">
        <f t="shared" si="28"/>
        <v>K11-11</v>
      </c>
      <c r="CU12" t="str">
        <f t="shared" si="29"/>
        <v>F0-M11-A9</v>
      </c>
      <c r="CV12" t="str">
        <f t="shared" si="30"/>
        <v>F0-M11-A7</v>
      </c>
      <c r="CW12" t="str">
        <f t="shared" si="31"/>
        <v>F0-M11-A8</v>
      </c>
      <c r="CX12" t="str">
        <f t="shared" si="32"/>
        <v>F0-M11-A6</v>
      </c>
      <c r="CY12" t="str">
        <f t="shared" si="33"/>
        <v>F0-M11-A30</v>
      </c>
      <c r="CZ12" t="str">
        <f t="shared" si="34"/>
        <v>F0-M11-N</v>
      </c>
      <c r="DA12" t="str">
        <f t="shared" si="17"/>
        <v>F0-A220-M11</v>
      </c>
      <c r="DB12" t="str">
        <f t="shared" si="35"/>
        <v>F0-M11-XM01</v>
      </c>
      <c r="DC12" t="str">
        <f t="shared" si="36"/>
        <v>F0-M11-A1</v>
      </c>
      <c r="DD12" t="str">
        <f t="shared" si="37"/>
        <v>F0-M11-A5</v>
      </c>
      <c r="DE12" t="str">
        <f t="shared" si="38"/>
        <v>F0-M11-A11</v>
      </c>
      <c r="DF12" t="str">
        <f t="shared" si="39"/>
        <v>F0-M11-A12</v>
      </c>
      <c r="DG12" t="str">
        <f t="shared" si="40"/>
        <v>F0-M11-A19</v>
      </c>
      <c r="DH12" t="str">
        <f t="shared" si="41"/>
        <v>F0-M11-A20</v>
      </c>
      <c r="DI12" t="s">
        <v>142</v>
      </c>
      <c r="DJ12" t="s">
        <v>143</v>
      </c>
      <c r="DK12">
        <v>11</v>
      </c>
      <c r="DL12">
        <v>14</v>
      </c>
      <c r="DM12">
        <v>12</v>
      </c>
      <c r="DN12" t="s">
        <v>144</v>
      </c>
      <c r="DO12" t="s">
        <v>145</v>
      </c>
      <c r="DP12">
        <v>1</v>
      </c>
      <c r="DQ12">
        <v>2</v>
      </c>
      <c r="DR12">
        <v>3</v>
      </c>
      <c r="DS12">
        <v>4</v>
      </c>
      <c r="DT12">
        <v>5</v>
      </c>
      <c r="DU12">
        <v>6</v>
      </c>
      <c r="DV12">
        <v>7</v>
      </c>
      <c r="DW12">
        <v>8</v>
      </c>
      <c r="DX12">
        <v>9</v>
      </c>
      <c r="DY12">
        <v>10</v>
      </c>
      <c r="DZ12">
        <v>11</v>
      </c>
      <c r="EA12">
        <v>12</v>
      </c>
      <c r="EB12">
        <v>13</v>
      </c>
      <c r="EC12">
        <v>14</v>
      </c>
      <c r="ED12">
        <v>1</v>
      </c>
      <c r="EE12">
        <v>3</v>
      </c>
      <c r="EF12">
        <v>4</v>
      </c>
      <c r="EG12">
        <v>7</v>
      </c>
      <c r="EH12">
        <v>8</v>
      </c>
      <c r="EI12">
        <v>9</v>
      </c>
      <c r="EJ12">
        <v>10</v>
      </c>
      <c r="EK12">
        <v>13</v>
      </c>
      <c r="EL12">
        <v>14</v>
      </c>
      <c r="EM12">
        <v>15</v>
      </c>
      <c r="EN12">
        <v>16</v>
      </c>
      <c r="EO12">
        <v>22</v>
      </c>
      <c r="EP12">
        <v>23</v>
      </c>
      <c r="EQ12" s="16">
        <v>24</v>
      </c>
    </row>
    <row r="13" spans="1:55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1574</v>
      </c>
      <c r="W13" s="15"/>
      <c r="AC13" t="s">
        <v>262</v>
      </c>
      <c r="AF13" t="s">
        <v>148</v>
      </c>
      <c r="AG13" t="s">
        <v>149</v>
      </c>
      <c r="AH13" t="s">
        <v>267</v>
      </c>
      <c r="AK13" t="s">
        <v>243</v>
      </c>
      <c r="AL13" t="s">
        <v>244</v>
      </c>
      <c r="AM13" t="s">
        <v>181</v>
      </c>
      <c r="AP13" t="s">
        <v>137</v>
      </c>
      <c r="AQ13" t="s">
        <v>138</v>
      </c>
      <c r="AT13" t="s">
        <v>139</v>
      </c>
      <c r="AU13" t="s">
        <v>140</v>
      </c>
      <c r="BD13" s="16"/>
      <c r="BE13" t="str">
        <f t="shared" si="0"/>
        <v>XT12</v>
      </c>
      <c r="BF13" t="str">
        <f t="shared" si="1"/>
        <v>C8</v>
      </c>
      <c r="BG13" t="str">
        <f t="shared" si="2"/>
        <v>B8</v>
      </c>
      <c r="BH13" t="str">
        <f t="shared" si="3"/>
        <v>C9</v>
      </c>
      <c r="BI13" t="str">
        <f t="shared" si="4"/>
        <v>B9</v>
      </c>
      <c r="BJ13" t="str">
        <f t="shared" si="5"/>
        <v>C10</v>
      </c>
      <c r="BK13" t="str">
        <f t="shared" si="6"/>
        <v>B10</v>
      </c>
      <c r="BL13" t="str">
        <f t="shared" si="7"/>
        <v>C11</v>
      </c>
      <c r="BM13" t="str">
        <f t="shared" si="8"/>
        <v>B11</v>
      </c>
      <c r="BN13" t="str">
        <f t="shared" si="9"/>
        <v>C12</v>
      </c>
      <c r="BO13" t="str">
        <f t="shared" si="10"/>
        <v>B12</v>
      </c>
      <c r="BP13" t="str">
        <f t="shared" si="11"/>
        <v>5B</v>
      </c>
      <c r="BQ13" t="str">
        <f t="shared" si="12"/>
        <v>5A</v>
      </c>
      <c r="BR13" t="str">
        <f t="shared" si="18"/>
        <v>6B</v>
      </c>
      <c r="BS13" t="str">
        <f t="shared" si="19"/>
        <v>6A</v>
      </c>
      <c r="BT13" t="str">
        <f t="shared" si="13"/>
        <v>DI3-C7</v>
      </c>
      <c r="BU13" t="str">
        <f t="shared" si="13"/>
        <v>DI3-B7</v>
      </c>
      <c r="BV13" t="str">
        <f t="shared" si="14"/>
        <v>DI3-C8</v>
      </c>
      <c r="BW13" t="str">
        <f t="shared" si="14"/>
        <v>DI3-B8</v>
      </c>
      <c r="BX13" t="str">
        <f t="shared" si="14"/>
        <v>DI3-C9</v>
      </c>
      <c r="BY13" t="str">
        <f t="shared" si="14"/>
        <v>DI3-B9</v>
      </c>
      <c r="BZ13" t="str">
        <f t="shared" si="14"/>
        <v>DI3-C10</v>
      </c>
      <c r="CA13" t="str">
        <f t="shared" si="14"/>
        <v>DI3-B10</v>
      </c>
      <c r="CB13" t="str">
        <f t="shared" si="14"/>
        <v>DI3-C11</v>
      </c>
      <c r="CC13" t="str">
        <f t="shared" si="14"/>
        <v>DI3-B11</v>
      </c>
      <c r="CD13" t="str">
        <f t="shared" si="14"/>
        <v>DI3-C12</v>
      </c>
      <c r="CE13" t="str">
        <f t="shared" si="14"/>
        <v>DI3-B12</v>
      </c>
      <c r="CF13" t="str">
        <f t="shared" si="15"/>
        <v>DO2-4B</v>
      </c>
      <c r="CG13" t="str">
        <f t="shared" si="15"/>
        <v>DO2-4A</v>
      </c>
      <c r="CH13" t="str">
        <f t="shared" si="16"/>
        <v>DO2-5B</v>
      </c>
      <c r="CI13" t="str">
        <f t="shared" si="16"/>
        <v>DO2-5A</v>
      </c>
      <c r="CJ13" t="str">
        <f t="shared" si="16"/>
        <v>DO2-6B</v>
      </c>
      <c r="CK13" t="str">
        <f t="shared" si="16"/>
        <v>DO2-6A</v>
      </c>
      <c r="CL13" t="str">
        <f t="shared" si="20"/>
        <v>K12-10</v>
      </c>
      <c r="CM13" t="str">
        <f t="shared" si="21"/>
        <v>K12-03</v>
      </c>
      <c r="CN13" t="str">
        <f t="shared" si="22"/>
        <v>K12-04</v>
      </c>
      <c r="CO13" t="str">
        <f t="shared" si="23"/>
        <v>K12-01</v>
      </c>
      <c r="CP13" t="str">
        <f t="shared" si="24"/>
        <v>K12-08</v>
      </c>
      <c r="CQ13" t="str">
        <f t="shared" si="25"/>
        <v>K12-02</v>
      </c>
      <c r="CR13" t="str">
        <f t="shared" si="26"/>
        <v>K12-09</v>
      </c>
      <c r="CS13" t="str">
        <f t="shared" si="27"/>
        <v>K12-05</v>
      </c>
      <c r="CT13" t="str">
        <f t="shared" si="28"/>
        <v>K12-11</v>
      </c>
      <c r="CU13" t="str">
        <f t="shared" si="29"/>
        <v>F0-M12-A9</v>
      </c>
      <c r="CV13" t="str">
        <f t="shared" si="30"/>
        <v>F0-M12-A7</v>
      </c>
      <c r="CW13" t="str">
        <f t="shared" si="31"/>
        <v>F0-M12-A8</v>
      </c>
      <c r="CX13" t="str">
        <f t="shared" si="32"/>
        <v>F0-M12-A6</v>
      </c>
      <c r="CY13" t="str">
        <f t="shared" si="33"/>
        <v>F0-M12-A30</v>
      </c>
      <c r="CZ13" t="str">
        <f t="shared" si="34"/>
        <v>F0-M12-N</v>
      </c>
      <c r="DA13" t="str">
        <f t="shared" si="17"/>
        <v>F0-A220-M12</v>
      </c>
      <c r="DB13" t="str">
        <f t="shared" si="35"/>
        <v>F0-M12-XM01</v>
      </c>
      <c r="DC13" t="str">
        <f t="shared" si="36"/>
        <v>F0-M12-A1</v>
      </c>
      <c r="DD13" t="str">
        <f t="shared" si="37"/>
        <v>F0-M12-A5</v>
      </c>
      <c r="DE13" t="str">
        <f t="shared" si="38"/>
        <v>F0-M12-A11</v>
      </c>
      <c r="DF13" t="str">
        <f t="shared" si="39"/>
        <v>F0-M12-A12</v>
      </c>
      <c r="DG13" t="str">
        <f t="shared" si="40"/>
        <v>F0-M12-A19</v>
      </c>
      <c r="DH13" t="str">
        <f t="shared" si="41"/>
        <v>F0-M12-A20</v>
      </c>
      <c r="DI13" t="s">
        <v>142</v>
      </c>
      <c r="DJ13" t="s">
        <v>143</v>
      </c>
      <c r="DK13">
        <v>11</v>
      </c>
      <c r="DL13">
        <v>14</v>
      </c>
      <c r="DM13">
        <v>12</v>
      </c>
      <c r="DN13" t="s">
        <v>144</v>
      </c>
      <c r="DO13" t="s">
        <v>145</v>
      </c>
      <c r="DP13">
        <v>1</v>
      </c>
      <c r="DQ13">
        <v>2</v>
      </c>
      <c r="DR13">
        <v>3</v>
      </c>
      <c r="DS13">
        <v>4</v>
      </c>
      <c r="DT13">
        <v>5</v>
      </c>
      <c r="DU13">
        <v>6</v>
      </c>
      <c r="DV13">
        <v>7</v>
      </c>
      <c r="DW13">
        <v>8</v>
      </c>
      <c r="DX13">
        <v>9</v>
      </c>
      <c r="DY13">
        <v>10</v>
      </c>
      <c r="DZ13">
        <v>11</v>
      </c>
      <c r="EA13">
        <v>12</v>
      </c>
      <c r="EB13">
        <v>13</v>
      </c>
      <c r="EC13">
        <v>14</v>
      </c>
      <c r="ED13">
        <v>1</v>
      </c>
      <c r="EE13">
        <v>3</v>
      </c>
      <c r="EF13">
        <v>4</v>
      </c>
      <c r="EG13">
        <v>7</v>
      </c>
      <c r="EH13">
        <v>8</v>
      </c>
      <c r="EI13">
        <v>9</v>
      </c>
      <c r="EJ13">
        <v>10</v>
      </c>
      <c r="EK13">
        <v>13</v>
      </c>
      <c r="EL13">
        <v>14</v>
      </c>
      <c r="EM13">
        <v>15</v>
      </c>
      <c r="EN13">
        <v>16</v>
      </c>
      <c r="EO13">
        <v>22</v>
      </c>
      <c r="EP13">
        <v>23</v>
      </c>
      <c r="EQ13" s="16">
        <v>24</v>
      </c>
    </row>
    <row r="14" spans="1:55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1575</v>
      </c>
      <c r="W14" s="15"/>
      <c r="AC14" t="s">
        <v>262</v>
      </c>
      <c r="AF14" t="s">
        <v>153</v>
      </c>
      <c r="AG14" t="s">
        <v>154</v>
      </c>
      <c r="AH14" t="s">
        <v>267</v>
      </c>
      <c r="AK14" t="s">
        <v>245</v>
      </c>
      <c r="AL14" t="s">
        <v>246</v>
      </c>
      <c r="AM14" t="s">
        <v>184</v>
      </c>
      <c r="AP14" t="s">
        <v>137</v>
      </c>
      <c r="AQ14" t="s">
        <v>138</v>
      </c>
      <c r="AT14" t="s">
        <v>139</v>
      </c>
      <c r="AU14" t="s">
        <v>140</v>
      </c>
      <c r="BD14" s="16"/>
      <c r="BE14" t="str">
        <f t="shared" si="0"/>
        <v>XT13</v>
      </c>
      <c r="BF14" t="str">
        <f t="shared" si="1"/>
        <v>C14</v>
      </c>
      <c r="BG14" t="str">
        <f t="shared" si="2"/>
        <v>B14</v>
      </c>
      <c r="BH14" t="str">
        <f t="shared" si="3"/>
        <v>C15</v>
      </c>
      <c r="BI14" t="str">
        <f t="shared" si="4"/>
        <v>B15</v>
      </c>
      <c r="BJ14" t="str">
        <f t="shared" si="5"/>
        <v>C16</v>
      </c>
      <c r="BK14" t="str">
        <f t="shared" si="6"/>
        <v>B16</v>
      </c>
      <c r="BL14" t="str">
        <f t="shared" si="7"/>
        <v>C17</v>
      </c>
      <c r="BM14" t="str">
        <f t="shared" si="8"/>
        <v>B17</v>
      </c>
      <c r="BN14" t="str">
        <f t="shared" si="9"/>
        <v>C18</v>
      </c>
      <c r="BO14" t="str">
        <f t="shared" si="10"/>
        <v>B18</v>
      </c>
      <c r="BP14" t="str">
        <f t="shared" si="11"/>
        <v>8B</v>
      </c>
      <c r="BQ14" t="str">
        <f t="shared" si="12"/>
        <v>8A</v>
      </c>
      <c r="BR14" t="str">
        <f t="shared" si="18"/>
        <v>9B</v>
      </c>
      <c r="BS14" t="str">
        <f t="shared" si="19"/>
        <v>9A</v>
      </c>
      <c r="BT14" t="str">
        <f t="shared" si="13"/>
        <v>DI3-C13</v>
      </c>
      <c r="BU14" t="str">
        <f t="shared" si="13"/>
        <v>DI3-B13</v>
      </c>
      <c r="BV14" t="str">
        <f t="shared" si="14"/>
        <v>DI3-C14</v>
      </c>
      <c r="BW14" t="str">
        <f t="shared" si="14"/>
        <v>DI3-B14</v>
      </c>
      <c r="BX14" t="str">
        <f t="shared" si="14"/>
        <v>DI3-C15</v>
      </c>
      <c r="BY14" t="str">
        <f t="shared" si="14"/>
        <v>DI3-B15</v>
      </c>
      <c r="BZ14" t="str">
        <f t="shared" si="14"/>
        <v>DI3-C16</v>
      </c>
      <c r="CA14" t="str">
        <f t="shared" si="14"/>
        <v>DI3-B16</v>
      </c>
      <c r="CB14" t="str">
        <f t="shared" si="14"/>
        <v>DI3-C17</v>
      </c>
      <c r="CC14" t="str">
        <f t="shared" si="14"/>
        <v>DI3-B17</v>
      </c>
      <c r="CD14" t="str">
        <f t="shared" si="14"/>
        <v>DI3-C18</v>
      </c>
      <c r="CE14" t="str">
        <f t="shared" si="14"/>
        <v>DI3-B18</v>
      </c>
      <c r="CF14" t="str">
        <f t="shared" si="15"/>
        <v>DO2-7B</v>
      </c>
      <c r="CG14" t="str">
        <f t="shared" si="15"/>
        <v>DO2-7A</v>
      </c>
      <c r="CH14" t="str">
        <f t="shared" si="16"/>
        <v>DO2-8B</v>
      </c>
      <c r="CI14" t="str">
        <f t="shared" si="16"/>
        <v>DO2-8A</v>
      </c>
      <c r="CJ14" t="str">
        <f t="shared" si="16"/>
        <v>DO2-9B</v>
      </c>
      <c r="CK14" t="str">
        <f t="shared" si="16"/>
        <v>DO2-9A</v>
      </c>
      <c r="CL14" t="str">
        <f t="shared" si="20"/>
        <v>K13-10</v>
      </c>
      <c r="CM14" t="str">
        <f t="shared" si="21"/>
        <v>K13-03</v>
      </c>
      <c r="CN14" t="str">
        <f t="shared" si="22"/>
        <v>K13-04</v>
      </c>
      <c r="CO14" t="str">
        <f t="shared" si="23"/>
        <v>K13-01</v>
      </c>
      <c r="CP14" t="str">
        <f t="shared" si="24"/>
        <v>K13-08</v>
      </c>
      <c r="CQ14" t="str">
        <f t="shared" si="25"/>
        <v>K13-02</v>
      </c>
      <c r="CR14" t="str">
        <f t="shared" si="26"/>
        <v>K13-09</v>
      </c>
      <c r="CS14" t="str">
        <f t="shared" si="27"/>
        <v>K13-05</v>
      </c>
      <c r="CT14" t="str">
        <f t="shared" si="28"/>
        <v>K13-11</v>
      </c>
      <c r="CU14" t="str">
        <f t="shared" si="29"/>
        <v>F0-M13-A9</v>
      </c>
      <c r="CV14" t="str">
        <f t="shared" si="30"/>
        <v>F0-M13-A7</v>
      </c>
      <c r="CW14" t="str">
        <f t="shared" si="31"/>
        <v>F0-M13-A8</v>
      </c>
      <c r="CX14" t="str">
        <f t="shared" si="32"/>
        <v>F0-M13-A6</v>
      </c>
      <c r="CY14" t="str">
        <f t="shared" si="33"/>
        <v>F0-M13-A30</v>
      </c>
      <c r="CZ14" t="str">
        <f t="shared" si="34"/>
        <v>F0-M13-N</v>
      </c>
      <c r="DA14" t="str">
        <f t="shared" si="17"/>
        <v>F0-A220-M13</v>
      </c>
      <c r="DB14" t="str">
        <f t="shared" si="35"/>
        <v>F0-M13-XM01</v>
      </c>
      <c r="DC14" t="str">
        <f t="shared" si="36"/>
        <v>F0-M13-A1</v>
      </c>
      <c r="DD14" t="str">
        <f t="shared" si="37"/>
        <v>F0-M13-A5</v>
      </c>
      <c r="DE14" t="str">
        <f t="shared" si="38"/>
        <v>F0-M13-A11</v>
      </c>
      <c r="DF14" t="str">
        <f t="shared" si="39"/>
        <v>F0-M13-A12</v>
      </c>
      <c r="DG14" t="str">
        <f t="shared" si="40"/>
        <v>F0-M13-A19</v>
      </c>
      <c r="DH14" t="str">
        <f t="shared" si="41"/>
        <v>F0-M13-A20</v>
      </c>
      <c r="DI14" t="s">
        <v>142</v>
      </c>
      <c r="DJ14" t="s">
        <v>143</v>
      </c>
      <c r="DK14">
        <v>11</v>
      </c>
      <c r="DL14">
        <v>14</v>
      </c>
      <c r="DM14">
        <v>12</v>
      </c>
      <c r="DN14" t="s">
        <v>144</v>
      </c>
      <c r="DO14" t="s">
        <v>145</v>
      </c>
      <c r="DP14">
        <v>1</v>
      </c>
      <c r="DQ14">
        <v>2</v>
      </c>
      <c r="DR14">
        <v>3</v>
      </c>
      <c r="DS14">
        <v>4</v>
      </c>
      <c r="DT14">
        <v>5</v>
      </c>
      <c r="DU14">
        <v>6</v>
      </c>
      <c r="DV14">
        <v>7</v>
      </c>
      <c r="DW14">
        <v>8</v>
      </c>
      <c r="DX14">
        <v>9</v>
      </c>
      <c r="DY14">
        <v>10</v>
      </c>
      <c r="DZ14">
        <v>11</v>
      </c>
      <c r="EA14">
        <v>12</v>
      </c>
      <c r="EB14">
        <v>13</v>
      </c>
      <c r="EC14">
        <v>14</v>
      </c>
      <c r="ED14">
        <v>1</v>
      </c>
      <c r="EE14">
        <v>3</v>
      </c>
      <c r="EF14">
        <v>4</v>
      </c>
      <c r="EG14">
        <v>7</v>
      </c>
      <c r="EH14">
        <v>8</v>
      </c>
      <c r="EI14">
        <v>9</v>
      </c>
      <c r="EJ14">
        <v>10</v>
      </c>
      <c r="EK14">
        <v>13</v>
      </c>
      <c r="EL14">
        <v>14</v>
      </c>
      <c r="EM14">
        <v>15</v>
      </c>
      <c r="EN14">
        <v>16</v>
      </c>
      <c r="EO14">
        <v>22</v>
      </c>
      <c r="EP14">
        <v>23</v>
      </c>
      <c r="EQ14" s="16">
        <v>24</v>
      </c>
    </row>
    <row r="15" spans="1:55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1576</v>
      </c>
      <c r="W15" s="15"/>
      <c r="AC15" t="s">
        <v>262</v>
      </c>
      <c r="AF15" t="s">
        <v>239</v>
      </c>
      <c r="AG15" t="s">
        <v>241</v>
      </c>
      <c r="AH15" t="s">
        <v>267</v>
      </c>
      <c r="AK15" t="s">
        <v>247</v>
      </c>
      <c r="AL15" t="s">
        <v>254</v>
      </c>
      <c r="AM15" t="s">
        <v>187</v>
      </c>
      <c r="AP15" t="s">
        <v>137</v>
      </c>
      <c r="AQ15" t="s">
        <v>138</v>
      </c>
      <c r="AT15" t="s">
        <v>139</v>
      </c>
      <c r="AU15" t="s">
        <v>140</v>
      </c>
      <c r="BD15" s="16"/>
      <c r="BE15" t="str">
        <f t="shared" si="0"/>
        <v>XT14</v>
      </c>
      <c r="BF15" t="str">
        <f t="shared" si="1"/>
        <v>C20</v>
      </c>
      <c r="BG15" t="str">
        <f t="shared" si="2"/>
        <v>B20</v>
      </c>
      <c r="BH15" t="str">
        <f t="shared" si="3"/>
        <v>C21</v>
      </c>
      <c r="BI15" t="str">
        <f t="shared" si="4"/>
        <v>B21</v>
      </c>
      <c r="BJ15" t="str">
        <f t="shared" si="5"/>
        <v>C22</v>
      </c>
      <c r="BK15" t="str">
        <f t="shared" si="6"/>
        <v>B22</v>
      </c>
      <c r="BL15" t="str">
        <f t="shared" si="7"/>
        <v>C23</v>
      </c>
      <c r="BM15" t="str">
        <f t="shared" si="8"/>
        <v>B23</v>
      </c>
      <c r="BN15" t="str">
        <f t="shared" si="9"/>
        <v>C24</v>
      </c>
      <c r="BO15" t="str">
        <f t="shared" si="10"/>
        <v>B24</v>
      </c>
      <c r="BP15" t="str">
        <f t="shared" si="11"/>
        <v>11B</v>
      </c>
      <c r="BQ15" t="str">
        <f t="shared" si="12"/>
        <v>11A</v>
      </c>
      <c r="BR15" t="str">
        <f t="shared" si="18"/>
        <v>12B</v>
      </c>
      <c r="BS15" t="str">
        <f t="shared" si="19"/>
        <v>12A</v>
      </c>
      <c r="BT15" t="str">
        <f t="shared" si="13"/>
        <v>DI3-C19</v>
      </c>
      <c r="BU15" t="str">
        <f t="shared" si="13"/>
        <v>DI3-B19</v>
      </c>
      <c r="BV15" t="str">
        <f t="shared" si="14"/>
        <v>DI3-C20</v>
      </c>
      <c r="BW15" t="str">
        <f t="shared" si="14"/>
        <v>DI3-B20</v>
      </c>
      <c r="BX15" t="str">
        <f t="shared" si="14"/>
        <v>DI3-C21</v>
      </c>
      <c r="BY15" t="str">
        <f t="shared" si="14"/>
        <v>DI3-B21</v>
      </c>
      <c r="BZ15" t="str">
        <f t="shared" si="14"/>
        <v>DI3-C22</v>
      </c>
      <c r="CA15" t="str">
        <f t="shared" si="14"/>
        <v>DI3-B22</v>
      </c>
      <c r="CB15" t="str">
        <f t="shared" si="14"/>
        <v>DI3-C23</v>
      </c>
      <c r="CC15" t="str">
        <f t="shared" si="14"/>
        <v>DI3-B23</v>
      </c>
      <c r="CD15" t="str">
        <f t="shared" si="14"/>
        <v>DI3-C24</v>
      </c>
      <c r="CE15" t="str">
        <f t="shared" si="14"/>
        <v>DI3-B24</v>
      </c>
      <c r="CF15" t="str">
        <f t="shared" si="15"/>
        <v>DO2-10B</v>
      </c>
      <c r="CG15" t="str">
        <f t="shared" si="15"/>
        <v>DO2-10A</v>
      </c>
      <c r="CH15" t="str">
        <f t="shared" si="16"/>
        <v>DO2-11B</v>
      </c>
      <c r="CI15" t="str">
        <f t="shared" si="16"/>
        <v>DO2-11A</v>
      </c>
      <c r="CJ15" t="str">
        <f t="shared" si="16"/>
        <v>DO2-12B</v>
      </c>
      <c r="CK15" t="str">
        <f t="shared" si="16"/>
        <v>DO2-12A</v>
      </c>
      <c r="CL15" t="str">
        <f t="shared" si="20"/>
        <v>K14-10</v>
      </c>
      <c r="CM15" t="str">
        <f t="shared" si="21"/>
        <v>K14-03</v>
      </c>
      <c r="CN15" t="str">
        <f t="shared" si="22"/>
        <v>K14-04</v>
      </c>
      <c r="CO15" t="str">
        <f t="shared" si="23"/>
        <v>K14-01</v>
      </c>
      <c r="CP15" t="str">
        <f t="shared" si="24"/>
        <v>K14-08</v>
      </c>
      <c r="CQ15" t="str">
        <f t="shared" si="25"/>
        <v>K14-02</v>
      </c>
      <c r="CR15" t="str">
        <f t="shared" si="26"/>
        <v>K14-09</v>
      </c>
      <c r="CS15" t="str">
        <f t="shared" si="27"/>
        <v>K14-05</v>
      </c>
      <c r="CT15" t="str">
        <f t="shared" si="28"/>
        <v>K14-11</v>
      </c>
      <c r="CU15" t="str">
        <f t="shared" si="29"/>
        <v>F0-M14-A9</v>
      </c>
      <c r="CV15" t="str">
        <f t="shared" si="30"/>
        <v>F0-M14-A7</v>
      </c>
      <c r="CW15" t="str">
        <f t="shared" si="31"/>
        <v>F0-M14-A8</v>
      </c>
      <c r="CX15" t="str">
        <f t="shared" si="32"/>
        <v>F0-M14-A6</v>
      </c>
      <c r="CY15" t="str">
        <f t="shared" si="33"/>
        <v>F0-M14-A30</v>
      </c>
      <c r="CZ15" t="str">
        <f t="shared" si="34"/>
        <v>F0-M14-N</v>
      </c>
      <c r="DA15" t="str">
        <f t="shared" si="17"/>
        <v>F0-A220-M14</v>
      </c>
      <c r="DB15" t="str">
        <f t="shared" si="35"/>
        <v>F0-M14-XM01</v>
      </c>
      <c r="DC15" t="str">
        <f t="shared" si="36"/>
        <v>F0-M14-A1</v>
      </c>
      <c r="DD15" t="str">
        <f t="shared" si="37"/>
        <v>F0-M14-A5</v>
      </c>
      <c r="DE15" t="str">
        <f t="shared" si="38"/>
        <v>F0-M14-A11</v>
      </c>
      <c r="DF15" t="str">
        <f t="shared" si="39"/>
        <v>F0-M14-A12</v>
      </c>
      <c r="DG15" t="str">
        <f t="shared" si="40"/>
        <v>F0-M14-A19</v>
      </c>
      <c r="DH15" t="str">
        <f t="shared" si="41"/>
        <v>F0-M14-A20</v>
      </c>
      <c r="DI15" t="s">
        <v>142</v>
      </c>
      <c r="DJ15" t="s">
        <v>143</v>
      </c>
      <c r="DK15">
        <v>11</v>
      </c>
      <c r="DL15">
        <v>14</v>
      </c>
      <c r="DM15">
        <v>12</v>
      </c>
      <c r="DN15" t="s">
        <v>144</v>
      </c>
      <c r="DO15" t="s">
        <v>145</v>
      </c>
      <c r="DP15">
        <v>1</v>
      </c>
      <c r="DQ15">
        <v>2</v>
      </c>
      <c r="DR15">
        <v>3</v>
      </c>
      <c r="DS15">
        <v>4</v>
      </c>
      <c r="DT15">
        <v>5</v>
      </c>
      <c r="DU15">
        <v>6</v>
      </c>
      <c r="DV15">
        <v>7</v>
      </c>
      <c r="DW15">
        <v>8</v>
      </c>
      <c r="DX15">
        <v>9</v>
      </c>
      <c r="DY15">
        <v>10</v>
      </c>
      <c r="DZ15">
        <v>11</v>
      </c>
      <c r="EA15">
        <v>12</v>
      </c>
      <c r="EB15">
        <v>13</v>
      </c>
      <c r="EC15">
        <v>14</v>
      </c>
      <c r="ED15">
        <v>1</v>
      </c>
      <c r="EE15">
        <v>3</v>
      </c>
      <c r="EF15">
        <v>4</v>
      </c>
      <c r="EG15">
        <v>7</v>
      </c>
      <c r="EH15">
        <v>8</v>
      </c>
      <c r="EI15">
        <v>9</v>
      </c>
      <c r="EJ15">
        <v>10</v>
      </c>
      <c r="EK15">
        <v>13</v>
      </c>
      <c r="EL15">
        <v>14</v>
      </c>
      <c r="EM15">
        <v>15</v>
      </c>
      <c r="EN15">
        <v>16</v>
      </c>
      <c r="EO15">
        <v>22</v>
      </c>
      <c r="EP15">
        <v>23</v>
      </c>
      <c r="EQ15" s="16">
        <v>24</v>
      </c>
    </row>
    <row r="16" spans="1:55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1577</v>
      </c>
      <c r="W16" s="15"/>
      <c r="AC16" t="s">
        <v>262</v>
      </c>
      <c r="AF16" t="s">
        <v>240</v>
      </c>
      <c r="AG16" t="s">
        <v>242</v>
      </c>
      <c r="AH16" t="s">
        <v>267</v>
      </c>
      <c r="AK16" t="s">
        <v>248</v>
      </c>
      <c r="AL16" t="s">
        <v>255</v>
      </c>
      <c r="AM16" t="s">
        <v>190</v>
      </c>
      <c r="AP16" t="s">
        <v>137</v>
      </c>
      <c r="AQ16" t="s">
        <v>138</v>
      </c>
      <c r="AT16" t="s">
        <v>139</v>
      </c>
      <c r="AU16" t="s">
        <v>140</v>
      </c>
      <c r="BD16" s="16"/>
      <c r="BE16" t="str">
        <f t="shared" si="0"/>
        <v>XT15</v>
      </c>
      <c r="BF16" t="str">
        <f t="shared" si="1"/>
        <v>C26</v>
      </c>
      <c r="BG16" t="str">
        <f t="shared" si="2"/>
        <v>B26</v>
      </c>
      <c r="BH16" t="str">
        <f t="shared" si="3"/>
        <v>C27</v>
      </c>
      <c r="BI16" t="str">
        <f t="shared" si="4"/>
        <v>B27</v>
      </c>
      <c r="BJ16" t="str">
        <f t="shared" si="5"/>
        <v>C28</v>
      </c>
      <c r="BK16" t="str">
        <f t="shared" si="6"/>
        <v>B28</v>
      </c>
      <c r="BL16" t="str">
        <f t="shared" si="7"/>
        <v>C29</v>
      </c>
      <c r="BM16" t="str">
        <f t="shared" si="8"/>
        <v>B29</v>
      </c>
      <c r="BN16" t="str">
        <f t="shared" si="9"/>
        <v>C30</v>
      </c>
      <c r="BO16" t="str">
        <f t="shared" si="10"/>
        <v>B30</v>
      </c>
      <c r="BP16" t="str">
        <f t="shared" si="11"/>
        <v>14B</v>
      </c>
      <c r="BQ16" t="str">
        <f t="shared" si="12"/>
        <v>14A</v>
      </c>
      <c r="BR16" t="str">
        <f t="shared" si="18"/>
        <v>15B</v>
      </c>
      <c r="BS16" t="str">
        <f t="shared" si="19"/>
        <v>15A</v>
      </c>
      <c r="BT16" t="str">
        <f t="shared" si="13"/>
        <v>DI3-C25</v>
      </c>
      <c r="BU16" t="str">
        <f t="shared" si="13"/>
        <v>DI3-B25</v>
      </c>
      <c r="BV16" t="str">
        <f t="shared" si="14"/>
        <v>DI3-C26</v>
      </c>
      <c r="BW16" t="str">
        <f t="shared" si="14"/>
        <v>DI3-B26</v>
      </c>
      <c r="BX16" t="str">
        <f t="shared" si="14"/>
        <v>DI3-C27</v>
      </c>
      <c r="BY16" t="str">
        <f t="shared" si="14"/>
        <v>DI3-B27</v>
      </c>
      <c r="BZ16" t="str">
        <f t="shared" si="14"/>
        <v>DI3-C28</v>
      </c>
      <c r="CA16" t="str">
        <f t="shared" si="14"/>
        <v>DI3-B28</v>
      </c>
      <c r="CB16" t="str">
        <f t="shared" si="14"/>
        <v>DI3-C29</v>
      </c>
      <c r="CC16" t="str">
        <f t="shared" si="14"/>
        <v>DI3-B29</v>
      </c>
      <c r="CD16" t="str">
        <f t="shared" si="14"/>
        <v>DI3-C30</v>
      </c>
      <c r="CE16" t="str">
        <f t="shared" si="14"/>
        <v>DI3-B30</v>
      </c>
      <c r="CF16" t="str">
        <f t="shared" si="15"/>
        <v>DO2-13B</v>
      </c>
      <c r="CG16" t="str">
        <f t="shared" si="15"/>
        <v>DO2-13A</v>
      </c>
      <c r="CH16" t="str">
        <f t="shared" si="16"/>
        <v>DO2-14B</v>
      </c>
      <c r="CI16" t="str">
        <f t="shared" si="16"/>
        <v>DO2-14A</v>
      </c>
      <c r="CJ16" t="str">
        <f t="shared" si="16"/>
        <v>DO2-15B</v>
      </c>
      <c r="CK16" t="str">
        <f t="shared" si="16"/>
        <v>DO2-15A</v>
      </c>
      <c r="CL16" t="str">
        <f t="shared" si="20"/>
        <v>K15-10</v>
      </c>
      <c r="CM16" t="str">
        <f t="shared" si="21"/>
        <v>K15-03</v>
      </c>
      <c r="CN16" t="str">
        <f t="shared" si="22"/>
        <v>K15-04</v>
      </c>
      <c r="CO16" t="str">
        <f t="shared" si="23"/>
        <v>K15-01</v>
      </c>
      <c r="CP16" t="str">
        <f t="shared" si="24"/>
        <v>K15-08</v>
      </c>
      <c r="CQ16" t="str">
        <f t="shared" si="25"/>
        <v>K15-02</v>
      </c>
      <c r="CR16" t="str">
        <f t="shared" si="26"/>
        <v>K15-09</v>
      </c>
      <c r="CS16" t="str">
        <f t="shared" si="27"/>
        <v>K15-05</v>
      </c>
      <c r="CT16" t="str">
        <f t="shared" si="28"/>
        <v>K15-11</v>
      </c>
      <c r="CU16" t="str">
        <f t="shared" si="29"/>
        <v>F0-M15-A9</v>
      </c>
      <c r="CV16" t="str">
        <f t="shared" si="30"/>
        <v>F0-M15-A7</v>
      </c>
      <c r="CW16" t="str">
        <f t="shared" si="31"/>
        <v>F0-M15-A8</v>
      </c>
      <c r="CX16" t="str">
        <f t="shared" si="32"/>
        <v>F0-M15-A6</v>
      </c>
      <c r="CY16" t="str">
        <f t="shared" si="33"/>
        <v>F0-M15-A30</v>
      </c>
      <c r="CZ16" t="str">
        <f t="shared" si="34"/>
        <v>F0-M15-N</v>
      </c>
      <c r="DA16" t="str">
        <f t="shared" si="17"/>
        <v>F0-A220-M15</v>
      </c>
      <c r="DB16" t="str">
        <f t="shared" si="35"/>
        <v>F0-M15-XM01</v>
      </c>
      <c r="DC16" t="str">
        <f t="shared" si="36"/>
        <v>F0-M15-A1</v>
      </c>
      <c r="DD16" t="str">
        <f t="shared" si="37"/>
        <v>F0-M15-A5</v>
      </c>
      <c r="DE16" t="str">
        <f t="shared" si="38"/>
        <v>F0-M15-A11</v>
      </c>
      <c r="DF16" t="str">
        <f t="shared" si="39"/>
        <v>F0-M15-A12</v>
      </c>
      <c r="DG16" t="str">
        <f t="shared" si="40"/>
        <v>F0-M15-A19</v>
      </c>
      <c r="DH16" t="str">
        <f t="shared" si="41"/>
        <v>F0-M15-A20</v>
      </c>
      <c r="DI16" t="s">
        <v>142</v>
      </c>
      <c r="DJ16" t="s">
        <v>143</v>
      </c>
      <c r="DK16">
        <v>11</v>
      </c>
      <c r="DL16">
        <v>14</v>
      </c>
      <c r="DM16">
        <v>12</v>
      </c>
      <c r="DN16" t="s">
        <v>144</v>
      </c>
      <c r="DO16" t="s">
        <v>145</v>
      </c>
      <c r="DP16">
        <v>1</v>
      </c>
      <c r="DQ16">
        <v>2</v>
      </c>
      <c r="DR16">
        <v>3</v>
      </c>
      <c r="DS16">
        <v>4</v>
      </c>
      <c r="DT16">
        <v>5</v>
      </c>
      <c r="DU16">
        <v>6</v>
      </c>
      <c r="DV16">
        <v>7</v>
      </c>
      <c r="DW16">
        <v>8</v>
      </c>
      <c r="DX16">
        <v>9</v>
      </c>
      <c r="DY16">
        <v>10</v>
      </c>
      <c r="DZ16">
        <v>11</v>
      </c>
      <c r="EA16">
        <v>12</v>
      </c>
      <c r="EB16">
        <v>13</v>
      </c>
      <c r="EC16">
        <v>14</v>
      </c>
      <c r="ED16">
        <v>1</v>
      </c>
      <c r="EE16">
        <v>3</v>
      </c>
      <c r="EF16">
        <v>4</v>
      </c>
      <c r="EG16">
        <v>7</v>
      </c>
      <c r="EH16">
        <v>8</v>
      </c>
      <c r="EI16">
        <v>9</v>
      </c>
      <c r="EJ16">
        <v>10</v>
      </c>
      <c r="EK16">
        <v>13</v>
      </c>
      <c r="EL16">
        <v>14</v>
      </c>
      <c r="EM16">
        <v>15</v>
      </c>
      <c r="EN16">
        <v>16</v>
      </c>
      <c r="EO16">
        <v>22</v>
      </c>
      <c r="EP16">
        <v>23</v>
      </c>
      <c r="EQ16" s="16">
        <v>24</v>
      </c>
    </row>
    <row r="17" spans="1:147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1578</v>
      </c>
      <c r="W17" s="15"/>
      <c r="AC17" t="s">
        <v>263</v>
      </c>
      <c r="AF17" t="s">
        <v>133</v>
      </c>
      <c r="AG17" t="s">
        <v>134</v>
      </c>
      <c r="AH17" t="s">
        <v>267</v>
      </c>
      <c r="AK17" t="s">
        <v>249</v>
      </c>
      <c r="AL17" t="s">
        <v>256</v>
      </c>
      <c r="AM17" t="s">
        <v>193</v>
      </c>
      <c r="AP17" t="s">
        <v>137</v>
      </c>
      <c r="AQ17" t="s">
        <v>138</v>
      </c>
      <c r="AT17" t="s">
        <v>139</v>
      </c>
      <c r="AU17" t="s">
        <v>140</v>
      </c>
      <c r="BD17" s="16"/>
      <c r="BE17" t="str">
        <f t="shared" si="0"/>
        <v>XT16</v>
      </c>
      <c r="BF17" t="str">
        <f t="shared" si="1"/>
        <v>C2</v>
      </c>
      <c r="BG17" t="str">
        <f t="shared" si="2"/>
        <v>B2</v>
      </c>
      <c r="BH17" t="str">
        <f t="shared" si="3"/>
        <v>C3</v>
      </c>
      <c r="BI17" t="str">
        <f t="shared" si="4"/>
        <v>B3</v>
      </c>
      <c r="BJ17" t="str">
        <f t="shared" si="5"/>
        <v>C4</v>
      </c>
      <c r="BK17" t="str">
        <f t="shared" si="6"/>
        <v>B4</v>
      </c>
      <c r="BL17" t="str">
        <f t="shared" si="7"/>
        <v>C5</v>
      </c>
      <c r="BM17" t="str">
        <f t="shared" si="8"/>
        <v>B5</v>
      </c>
      <c r="BN17" t="str">
        <f t="shared" si="9"/>
        <v>C6</v>
      </c>
      <c r="BO17" t="str">
        <f t="shared" si="10"/>
        <v>B6</v>
      </c>
      <c r="BP17" t="str">
        <f t="shared" si="11"/>
        <v>17B</v>
      </c>
      <c r="BQ17" t="str">
        <f t="shared" si="12"/>
        <v>17A</v>
      </c>
      <c r="BR17" t="str">
        <f t="shared" si="18"/>
        <v>18B</v>
      </c>
      <c r="BS17" t="str">
        <f t="shared" si="19"/>
        <v>18A</v>
      </c>
      <c r="BT17" t="str">
        <f t="shared" si="13"/>
        <v>DI4-C1</v>
      </c>
      <c r="BU17" t="str">
        <f t="shared" si="13"/>
        <v>DI4-B1</v>
      </c>
      <c r="BV17" t="str">
        <f t="shared" si="14"/>
        <v>DI4-C2</v>
      </c>
      <c r="BW17" t="str">
        <f t="shared" si="14"/>
        <v>DI4-B2</v>
      </c>
      <c r="BX17" t="str">
        <f t="shared" si="14"/>
        <v>DI4-C3</v>
      </c>
      <c r="BY17" t="str">
        <f t="shared" si="14"/>
        <v>DI4-B3</v>
      </c>
      <c r="BZ17" t="str">
        <f t="shared" si="14"/>
        <v>DI4-C4</v>
      </c>
      <c r="CA17" t="str">
        <f t="shared" si="14"/>
        <v>DI4-B4</v>
      </c>
      <c r="CB17" t="str">
        <f t="shared" si="14"/>
        <v>DI4-C5</v>
      </c>
      <c r="CC17" t="str">
        <f t="shared" si="14"/>
        <v>DI4-B5</v>
      </c>
      <c r="CD17" t="str">
        <f t="shared" si="14"/>
        <v>DI4-C6</v>
      </c>
      <c r="CE17" t="str">
        <f t="shared" si="14"/>
        <v>DI4-B6</v>
      </c>
      <c r="CF17" t="str">
        <f t="shared" si="15"/>
        <v>DO2-16B</v>
      </c>
      <c r="CG17" t="str">
        <f t="shared" si="15"/>
        <v>DO2-16A</v>
      </c>
      <c r="CH17" t="str">
        <f t="shared" si="16"/>
        <v>DO2-17B</v>
      </c>
      <c r="CI17" t="str">
        <f t="shared" si="16"/>
        <v>DO2-17A</v>
      </c>
      <c r="CJ17" t="str">
        <f t="shared" si="16"/>
        <v>DO2-18B</v>
      </c>
      <c r="CK17" t="str">
        <f t="shared" si="16"/>
        <v>DO2-18A</v>
      </c>
      <c r="CL17" t="str">
        <f t="shared" si="20"/>
        <v>K16-10</v>
      </c>
      <c r="CM17" t="str">
        <f t="shared" si="21"/>
        <v>K16-03</v>
      </c>
      <c r="CN17" t="str">
        <f t="shared" si="22"/>
        <v>K16-04</v>
      </c>
      <c r="CO17" t="str">
        <f t="shared" si="23"/>
        <v>K16-01</v>
      </c>
      <c r="CP17" t="str">
        <f t="shared" si="24"/>
        <v>K16-08</v>
      </c>
      <c r="CQ17" t="str">
        <f t="shared" si="25"/>
        <v>K16-02</v>
      </c>
      <c r="CR17" t="str">
        <f t="shared" si="26"/>
        <v>K16-09</v>
      </c>
      <c r="CS17" t="str">
        <f t="shared" si="27"/>
        <v>K16-05</v>
      </c>
      <c r="CT17" t="str">
        <f t="shared" si="28"/>
        <v>K16-11</v>
      </c>
      <c r="CU17" t="str">
        <f t="shared" si="29"/>
        <v>F0-M16-A9</v>
      </c>
      <c r="CV17" t="str">
        <f t="shared" si="30"/>
        <v>F0-M16-A7</v>
      </c>
      <c r="CW17" t="str">
        <f t="shared" si="31"/>
        <v>F0-M16-A8</v>
      </c>
      <c r="CX17" t="str">
        <f t="shared" si="32"/>
        <v>F0-M16-A6</v>
      </c>
      <c r="CY17" t="str">
        <f t="shared" si="33"/>
        <v>F0-M16-A30</v>
      </c>
      <c r="CZ17" t="str">
        <f t="shared" si="34"/>
        <v>F0-M16-N</v>
      </c>
      <c r="DA17" t="str">
        <f t="shared" si="17"/>
        <v>F0-A220-M16</v>
      </c>
      <c r="DB17" t="str">
        <f t="shared" si="35"/>
        <v>F0-M16-XM01</v>
      </c>
      <c r="DC17" t="str">
        <f t="shared" si="36"/>
        <v>F0-M16-A1</v>
      </c>
      <c r="DD17" t="str">
        <f t="shared" si="37"/>
        <v>F0-M16-A5</v>
      </c>
      <c r="DE17" t="str">
        <f t="shared" si="38"/>
        <v>F0-M16-A11</v>
      </c>
      <c r="DF17" t="str">
        <f t="shared" si="39"/>
        <v>F0-M16-A12</v>
      </c>
      <c r="DG17" t="str">
        <f t="shared" si="40"/>
        <v>F0-M16-A19</v>
      </c>
      <c r="DH17" t="str">
        <f t="shared" si="41"/>
        <v>F0-M16-A20</v>
      </c>
      <c r="DI17" t="s">
        <v>142</v>
      </c>
      <c r="DJ17" t="s">
        <v>143</v>
      </c>
      <c r="DK17">
        <v>11</v>
      </c>
      <c r="DL17">
        <v>14</v>
      </c>
      <c r="DM17">
        <v>12</v>
      </c>
      <c r="DN17" t="s">
        <v>144</v>
      </c>
      <c r="DO17" t="s">
        <v>145</v>
      </c>
      <c r="DP17">
        <v>1</v>
      </c>
      <c r="DQ17">
        <v>2</v>
      </c>
      <c r="DR17">
        <v>3</v>
      </c>
      <c r="DS17">
        <v>4</v>
      </c>
      <c r="DT17">
        <v>5</v>
      </c>
      <c r="DU17">
        <v>6</v>
      </c>
      <c r="DV17">
        <v>7</v>
      </c>
      <c r="DW17">
        <v>8</v>
      </c>
      <c r="DX17">
        <v>9</v>
      </c>
      <c r="DY17">
        <v>10</v>
      </c>
      <c r="DZ17">
        <v>11</v>
      </c>
      <c r="EA17">
        <v>12</v>
      </c>
      <c r="EB17">
        <v>13</v>
      </c>
      <c r="EC17">
        <v>14</v>
      </c>
      <c r="ED17">
        <v>1</v>
      </c>
      <c r="EE17">
        <v>3</v>
      </c>
      <c r="EF17">
        <v>4</v>
      </c>
      <c r="EG17">
        <v>7</v>
      </c>
      <c r="EH17">
        <v>8</v>
      </c>
      <c r="EI17">
        <v>9</v>
      </c>
      <c r="EJ17">
        <v>10</v>
      </c>
      <c r="EK17">
        <v>13</v>
      </c>
      <c r="EL17">
        <v>14</v>
      </c>
      <c r="EM17">
        <v>15</v>
      </c>
      <c r="EN17">
        <v>16</v>
      </c>
      <c r="EO17">
        <v>22</v>
      </c>
      <c r="EP17">
        <v>23</v>
      </c>
      <c r="EQ17" s="16">
        <v>24</v>
      </c>
    </row>
    <row r="18" spans="1:147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1579</v>
      </c>
      <c r="W18" s="15"/>
      <c r="AC18" t="s">
        <v>263</v>
      </c>
      <c r="AF18" t="s">
        <v>148</v>
      </c>
      <c r="AG18" t="s">
        <v>149</v>
      </c>
      <c r="AH18" t="s">
        <v>267</v>
      </c>
      <c r="AK18" t="s">
        <v>250</v>
      </c>
      <c r="AL18" t="s">
        <v>257</v>
      </c>
      <c r="AM18" t="s">
        <v>196</v>
      </c>
      <c r="AP18" t="s">
        <v>137</v>
      </c>
      <c r="AQ18" t="s">
        <v>138</v>
      </c>
      <c r="AT18" t="s">
        <v>139</v>
      </c>
      <c r="AU18" t="s">
        <v>140</v>
      </c>
      <c r="BD18" s="16"/>
      <c r="BE18" t="str">
        <f t="shared" si="0"/>
        <v>XT17</v>
      </c>
      <c r="BF18" t="str">
        <f t="shared" si="1"/>
        <v>C8</v>
      </c>
      <c r="BG18" t="str">
        <f t="shared" si="2"/>
        <v>B8</v>
      </c>
      <c r="BH18" t="str">
        <f t="shared" si="3"/>
        <v>C9</v>
      </c>
      <c r="BI18" t="str">
        <f t="shared" si="4"/>
        <v>B9</v>
      </c>
      <c r="BJ18" t="str">
        <f t="shared" si="5"/>
        <v>C10</v>
      </c>
      <c r="BK18" t="str">
        <f t="shared" si="6"/>
        <v>B10</v>
      </c>
      <c r="BL18" t="str">
        <f t="shared" si="7"/>
        <v>C11</v>
      </c>
      <c r="BM18" t="str">
        <f t="shared" si="8"/>
        <v>B11</v>
      </c>
      <c r="BN18" t="str">
        <f t="shared" si="9"/>
        <v>C12</v>
      </c>
      <c r="BO18" t="str">
        <f t="shared" si="10"/>
        <v>B12</v>
      </c>
      <c r="BP18" t="str">
        <f t="shared" si="11"/>
        <v>20B</v>
      </c>
      <c r="BQ18" t="str">
        <f t="shared" si="12"/>
        <v>20A</v>
      </c>
      <c r="BR18" t="str">
        <f t="shared" si="18"/>
        <v>21B</v>
      </c>
      <c r="BS18" t="str">
        <f t="shared" si="19"/>
        <v>21A</v>
      </c>
      <c r="BT18" t="str">
        <f t="shared" si="13"/>
        <v>DI4-C7</v>
      </c>
      <c r="BU18" t="str">
        <f t="shared" si="13"/>
        <v>DI4-B7</v>
      </c>
      <c r="BV18" t="str">
        <f t="shared" ref="BV18:CE33" si="42">CONCATENATE("DI",REPLACE($AC18,1,3,""),"-",BF18)</f>
        <v>DI4-C8</v>
      </c>
      <c r="BW18" t="str">
        <f t="shared" si="42"/>
        <v>DI4-B8</v>
      </c>
      <c r="BX18" t="str">
        <f t="shared" si="42"/>
        <v>DI4-C9</v>
      </c>
      <c r="BY18" t="str">
        <f t="shared" si="42"/>
        <v>DI4-B9</v>
      </c>
      <c r="BZ18" t="str">
        <f t="shared" si="42"/>
        <v>DI4-C10</v>
      </c>
      <c r="CA18" t="str">
        <f t="shared" si="42"/>
        <v>DI4-B10</v>
      </c>
      <c r="CB18" t="str">
        <f t="shared" si="42"/>
        <v>DI4-C11</v>
      </c>
      <c r="CC18" t="str">
        <f t="shared" si="42"/>
        <v>DI4-B11</v>
      </c>
      <c r="CD18" t="str">
        <f t="shared" si="42"/>
        <v>DI4-C12</v>
      </c>
      <c r="CE18" t="str">
        <f t="shared" si="42"/>
        <v>DI4-B12</v>
      </c>
      <c r="CF18" t="str">
        <f t="shared" si="15"/>
        <v>DO2-19B</v>
      </c>
      <c r="CG18" t="str">
        <f t="shared" si="15"/>
        <v>DO2-19A</v>
      </c>
      <c r="CH18" t="str">
        <f t="shared" si="16"/>
        <v>DO2-20B</v>
      </c>
      <c r="CI18" t="str">
        <f t="shared" si="16"/>
        <v>DO2-20A</v>
      </c>
      <c r="CJ18" t="str">
        <f t="shared" si="16"/>
        <v>DO2-21B</v>
      </c>
      <c r="CK18" t="str">
        <f t="shared" si="16"/>
        <v>DO2-21A</v>
      </c>
      <c r="CL18" t="str">
        <f t="shared" si="20"/>
        <v>K17-10</v>
      </c>
      <c r="CM18" t="str">
        <f t="shared" si="21"/>
        <v>K17-03</v>
      </c>
      <c r="CN18" t="str">
        <f t="shared" si="22"/>
        <v>K17-04</v>
      </c>
      <c r="CO18" t="str">
        <f t="shared" si="23"/>
        <v>K17-01</v>
      </c>
      <c r="CP18" t="str">
        <f t="shared" si="24"/>
        <v>K17-08</v>
      </c>
      <c r="CQ18" t="str">
        <f t="shared" si="25"/>
        <v>K17-02</v>
      </c>
      <c r="CR18" t="str">
        <f t="shared" si="26"/>
        <v>K17-09</v>
      </c>
      <c r="CS18" t="str">
        <f t="shared" si="27"/>
        <v>K17-05</v>
      </c>
      <c r="CT18" t="str">
        <f t="shared" si="28"/>
        <v>K17-11</v>
      </c>
      <c r="CU18" t="str">
        <f t="shared" si="29"/>
        <v>F0-M17-A9</v>
      </c>
      <c r="CV18" t="str">
        <f t="shared" si="30"/>
        <v>F0-M17-A7</v>
      </c>
      <c r="CW18" t="str">
        <f t="shared" si="31"/>
        <v>F0-M17-A8</v>
      </c>
      <c r="CX18" t="str">
        <f t="shared" si="32"/>
        <v>F0-M17-A6</v>
      </c>
      <c r="CY18" t="str">
        <f t="shared" si="33"/>
        <v>F0-M17-A30</v>
      </c>
      <c r="CZ18" t="str">
        <f t="shared" si="34"/>
        <v>F0-M17-N</v>
      </c>
      <c r="DA18" t="str">
        <f t="shared" si="17"/>
        <v>F0-A220-M17</v>
      </c>
      <c r="DB18" t="str">
        <f t="shared" si="35"/>
        <v>F0-M17-XM01</v>
      </c>
      <c r="DC18" t="str">
        <f t="shared" si="36"/>
        <v>F0-M17-A1</v>
      </c>
      <c r="DD18" t="str">
        <f t="shared" si="37"/>
        <v>F0-M17-A5</v>
      </c>
      <c r="DE18" t="str">
        <f t="shared" si="38"/>
        <v>F0-M17-A11</v>
      </c>
      <c r="DF18" t="str">
        <f t="shared" si="39"/>
        <v>F0-M17-A12</v>
      </c>
      <c r="DG18" t="str">
        <f t="shared" si="40"/>
        <v>F0-M17-A19</v>
      </c>
      <c r="DH18" t="str">
        <f t="shared" si="41"/>
        <v>F0-M17-A20</v>
      </c>
      <c r="DI18" t="s">
        <v>142</v>
      </c>
      <c r="DJ18" t="s">
        <v>143</v>
      </c>
      <c r="DK18">
        <v>11</v>
      </c>
      <c r="DL18">
        <v>14</v>
      </c>
      <c r="DM18">
        <v>12</v>
      </c>
      <c r="DN18" t="s">
        <v>144</v>
      </c>
      <c r="DO18" t="s">
        <v>145</v>
      </c>
      <c r="DP18">
        <v>1</v>
      </c>
      <c r="DQ18">
        <v>2</v>
      </c>
      <c r="DR18">
        <v>3</v>
      </c>
      <c r="DS18">
        <v>4</v>
      </c>
      <c r="DT18">
        <v>5</v>
      </c>
      <c r="DU18">
        <v>6</v>
      </c>
      <c r="DV18">
        <v>7</v>
      </c>
      <c r="DW18">
        <v>8</v>
      </c>
      <c r="DX18">
        <v>9</v>
      </c>
      <c r="DY18">
        <v>10</v>
      </c>
      <c r="DZ18">
        <v>11</v>
      </c>
      <c r="EA18">
        <v>12</v>
      </c>
      <c r="EB18">
        <v>13</v>
      </c>
      <c r="EC18">
        <v>14</v>
      </c>
      <c r="ED18">
        <v>1</v>
      </c>
      <c r="EE18">
        <v>3</v>
      </c>
      <c r="EF18">
        <v>4</v>
      </c>
      <c r="EG18">
        <v>7</v>
      </c>
      <c r="EH18">
        <v>8</v>
      </c>
      <c r="EI18">
        <v>9</v>
      </c>
      <c r="EJ18">
        <v>10</v>
      </c>
      <c r="EK18">
        <v>13</v>
      </c>
      <c r="EL18">
        <v>14</v>
      </c>
      <c r="EM18">
        <v>15</v>
      </c>
      <c r="EN18">
        <v>16</v>
      </c>
      <c r="EO18">
        <v>22</v>
      </c>
      <c r="EP18">
        <v>23</v>
      </c>
      <c r="EQ18" s="16">
        <v>24</v>
      </c>
    </row>
    <row r="19" spans="1:147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1580</v>
      </c>
      <c r="W19" s="15"/>
      <c r="AC19" t="s">
        <v>263</v>
      </c>
      <c r="AF19" t="s">
        <v>153</v>
      </c>
      <c r="AG19" t="s">
        <v>154</v>
      </c>
      <c r="AH19" t="s">
        <v>267</v>
      </c>
      <c r="AK19" t="s">
        <v>251</v>
      </c>
      <c r="AL19" t="s">
        <v>258</v>
      </c>
      <c r="AM19" t="s">
        <v>199</v>
      </c>
      <c r="AP19" t="s">
        <v>137</v>
      </c>
      <c r="AQ19" t="s">
        <v>138</v>
      </c>
      <c r="AT19" t="s">
        <v>139</v>
      </c>
      <c r="AU19" t="s">
        <v>140</v>
      </c>
      <c r="BD19" s="16"/>
      <c r="BE19" t="str">
        <f t="shared" si="0"/>
        <v>XT18</v>
      </c>
      <c r="BF19" t="str">
        <f t="shared" si="1"/>
        <v>C14</v>
      </c>
      <c r="BG19" t="str">
        <f t="shared" si="2"/>
        <v>B14</v>
      </c>
      <c r="BH19" t="str">
        <f t="shared" si="3"/>
        <v>C15</v>
      </c>
      <c r="BI19" t="str">
        <f t="shared" si="4"/>
        <v>B15</v>
      </c>
      <c r="BJ19" t="str">
        <f t="shared" si="5"/>
        <v>C16</v>
      </c>
      <c r="BK19" t="str">
        <f t="shared" si="6"/>
        <v>B16</v>
      </c>
      <c r="BL19" t="str">
        <f t="shared" si="7"/>
        <v>C17</v>
      </c>
      <c r="BM19" t="str">
        <f t="shared" si="8"/>
        <v>B17</v>
      </c>
      <c r="BN19" t="str">
        <f t="shared" si="9"/>
        <v>C18</v>
      </c>
      <c r="BO19" t="str">
        <f t="shared" si="10"/>
        <v>B18</v>
      </c>
      <c r="BP19" t="str">
        <f t="shared" si="11"/>
        <v>23B</v>
      </c>
      <c r="BQ19" t="str">
        <f t="shared" si="12"/>
        <v>23A</v>
      </c>
      <c r="BR19" t="str">
        <f t="shared" si="18"/>
        <v>24B</v>
      </c>
      <c r="BS19" t="str">
        <f t="shared" si="19"/>
        <v>24A</v>
      </c>
      <c r="BT19" t="str">
        <f t="shared" si="13"/>
        <v>DI4-C13</v>
      </c>
      <c r="BU19" t="str">
        <f t="shared" si="13"/>
        <v>DI4-B13</v>
      </c>
      <c r="BV19" t="str">
        <f t="shared" si="42"/>
        <v>DI4-C14</v>
      </c>
      <c r="BW19" t="str">
        <f t="shared" si="42"/>
        <v>DI4-B14</v>
      </c>
      <c r="BX19" t="str">
        <f t="shared" si="42"/>
        <v>DI4-C15</v>
      </c>
      <c r="BY19" t="str">
        <f t="shared" si="42"/>
        <v>DI4-B15</v>
      </c>
      <c r="BZ19" t="str">
        <f t="shared" si="42"/>
        <v>DI4-C16</v>
      </c>
      <c r="CA19" t="str">
        <f t="shared" si="42"/>
        <v>DI4-B16</v>
      </c>
      <c r="CB19" t="str">
        <f t="shared" si="42"/>
        <v>DI4-C17</v>
      </c>
      <c r="CC19" t="str">
        <f t="shared" si="42"/>
        <v>DI4-B17</v>
      </c>
      <c r="CD19" t="str">
        <f t="shared" si="42"/>
        <v>DI4-C18</v>
      </c>
      <c r="CE19" t="str">
        <f t="shared" si="42"/>
        <v>DI4-B18</v>
      </c>
      <c r="CF19" t="str">
        <f t="shared" si="15"/>
        <v>DO2-22B</v>
      </c>
      <c r="CG19" t="str">
        <f t="shared" si="15"/>
        <v>DO2-22A</v>
      </c>
      <c r="CH19" t="str">
        <f t="shared" si="16"/>
        <v>DO2-23B</v>
      </c>
      <c r="CI19" t="str">
        <f t="shared" si="16"/>
        <v>DO2-23A</v>
      </c>
      <c r="CJ19" t="str">
        <f t="shared" si="16"/>
        <v>DO2-24B</v>
      </c>
      <c r="CK19" t="str">
        <f t="shared" si="16"/>
        <v>DO2-24A</v>
      </c>
      <c r="CL19" t="str">
        <f t="shared" si="20"/>
        <v>K18-10</v>
      </c>
      <c r="CM19" t="str">
        <f t="shared" si="21"/>
        <v>K18-03</v>
      </c>
      <c r="CN19" t="str">
        <f t="shared" si="22"/>
        <v>K18-04</v>
      </c>
      <c r="CO19" t="str">
        <f t="shared" si="23"/>
        <v>K18-01</v>
      </c>
      <c r="CP19" t="str">
        <f t="shared" si="24"/>
        <v>K18-08</v>
      </c>
      <c r="CQ19" t="str">
        <f t="shared" si="25"/>
        <v>K18-02</v>
      </c>
      <c r="CR19" t="str">
        <f t="shared" si="26"/>
        <v>K18-09</v>
      </c>
      <c r="CS19" t="str">
        <f t="shared" si="27"/>
        <v>K18-05</v>
      </c>
      <c r="CT19" t="str">
        <f t="shared" si="28"/>
        <v>K18-11</v>
      </c>
      <c r="CU19" t="str">
        <f t="shared" si="29"/>
        <v>F0-M18-A9</v>
      </c>
      <c r="CV19" t="str">
        <f t="shared" si="30"/>
        <v>F0-M18-A7</v>
      </c>
      <c r="CW19" t="str">
        <f t="shared" si="31"/>
        <v>F0-M18-A8</v>
      </c>
      <c r="CX19" t="str">
        <f t="shared" si="32"/>
        <v>F0-M18-A6</v>
      </c>
      <c r="CY19" t="str">
        <f t="shared" si="33"/>
        <v>F0-M18-A30</v>
      </c>
      <c r="CZ19" t="str">
        <f t="shared" si="34"/>
        <v>F0-M18-N</v>
      </c>
      <c r="DA19" t="str">
        <f t="shared" si="17"/>
        <v>F0-A220-M18</v>
      </c>
      <c r="DB19" t="str">
        <f t="shared" si="35"/>
        <v>F0-M18-XM01</v>
      </c>
      <c r="DC19" t="str">
        <f t="shared" si="36"/>
        <v>F0-M18-A1</v>
      </c>
      <c r="DD19" t="str">
        <f t="shared" si="37"/>
        <v>F0-M18-A5</v>
      </c>
      <c r="DE19" t="str">
        <f t="shared" si="38"/>
        <v>F0-M18-A11</v>
      </c>
      <c r="DF19" t="str">
        <f t="shared" si="39"/>
        <v>F0-M18-A12</v>
      </c>
      <c r="DG19" t="str">
        <f t="shared" si="40"/>
        <v>F0-M18-A19</v>
      </c>
      <c r="DH19" t="str">
        <f t="shared" si="41"/>
        <v>F0-M18-A20</v>
      </c>
      <c r="DI19" t="s">
        <v>142</v>
      </c>
      <c r="DJ19" t="s">
        <v>143</v>
      </c>
      <c r="DK19">
        <v>11</v>
      </c>
      <c r="DL19">
        <v>14</v>
      </c>
      <c r="DM19">
        <v>12</v>
      </c>
      <c r="DN19" t="s">
        <v>144</v>
      </c>
      <c r="DO19" t="s">
        <v>145</v>
      </c>
      <c r="DP19">
        <v>1</v>
      </c>
      <c r="DQ19">
        <v>2</v>
      </c>
      <c r="DR19">
        <v>3</v>
      </c>
      <c r="DS19">
        <v>4</v>
      </c>
      <c r="DT19">
        <v>5</v>
      </c>
      <c r="DU19">
        <v>6</v>
      </c>
      <c r="DV19">
        <v>7</v>
      </c>
      <c r="DW19">
        <v>8</v>
      </c>
      <c r="DX19">
        <v>9</v>
      </c>
      <c r="DY19">
        <v>10</v>
      </c>
      <c r="DZ19">
        <v>11</v>
      </c>
      <c r="EA19">
        <v>12</v>
      </c>
      <c r="EB19">
        <v>13</v>
      </c>
      <c r="EC19">
        <v>14</v>
      </c>
      <c r="ED19">
        <v>1</v>
      </c>
      <c r="EE19">
        <v>3</v>
      </c>
      <c r="EF19">
        <v>4</v>
      </c>
      <c r="EG19">
        <v>7</v>
      </c>
      <c r="EH19">
        <v>8</v>
      </c>
      <c r="EI19">
        <v>9</v>
      </c>
      <c r="EJ19">
        <v>10</v>
      </c>
      <c r="EK19">
        <v>13</v>
      </c>
      <c r="EL19">
        <v>14</v>
      </c>
      <c r="EM19">
        <v>15</v>
      </c>
      <c r="EN19">
        <v>16</v>
      </c>
      <c r="EO19">
        <v>22</v>
      </c>
      <c r="EP19">
        <v>23</v>
      </c>
      <c r="EQ19" s="16">
        <v>24</v>
      </c>
    </row>
    <row r="20" spans="1:147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1581</v>
      </c>
      <c r="W20" s="15"/>
      <c r="AC20" t="s">
        <v>263</v>
      </c>
      <c r="AF20" t="s">
        <v>239</v>
      </c>
      <c r="AG20" t="s">
        <v>241</v>
      </c>
      <c r="AH20" t="s">
        <v>267</v>
      </c>
      <c r="AK20" t="s">
        <v>252</v>
      </c>
      <c r="AL20" t="s">
        <v>259</v>
      </c>
      <c r="AM20" t="s">
        <v>202</v>
      </c>
      <c r="AP20" t="s">
        <v>137</v>
      </c>
      <c r="AQ20" t="s">
        <v>138</v>
      </c>
      <c r="AT20" t="s">
        <v>139</v>
      </c>
      <c r="AU20" t="s">
        <v>140</v>
      </c>
      <c r="BD20" s="16"/>
      <c r="BE20" t="str">
        <f t="shared" si="0"/>
        <v>XT19</v>
      </c>
      <c r="BF20" t="str">
        <f t="shared" si="1"/>
        <v>C20</v>
      </c>
      <c r="BG20" t="str">
        <f t="shared" si="2"/>
        <v>B20</v>
      </c>
      <c r="BH20" t="str">
        <f t="shared" si="3"/>
        <v>C21</v>
      </c>
      <c r="BI20" t="str">
        <f t="shared" si="4"/>
        <v>B21</v>
      </c>
      <c r="BJ20" t="str">
        <f t="shared" si="5"/>
        <v>C22</v>
      </c>
      <c r="BK20" t="str">
        <f t="shared" si="6"/>
        <v>B22</v>
      </c>
      <c r="BL20" t="str">
        <f t="shared" si="7"/>
        <v>C23</v>
      </c>
      <c r="BM20" t="str">
        <f t="shared" si="8"/>
        <v>B23</v>
      </c>
      <c r="BN20" t="str">
        <f t="shared" si="9"/>
        <v>C24</v>
      </c>
      <c r="BO20" t="str">
        <f t="shared" si="10"/>
        <v>B24</v>
      </c>
      <c r="BP20" t="str">
        <f t="shared" si="11"/>
        <v>26B</v>
      </c>
      <c r="BQ20" t="str">
        <f t="shared" si="12"/>
        <v>26A</v>
      </c>
      <c r="BR20" t="str">
        <f t="shared" si="18"/>
        <v>27B</v>
      </c>
      <c r="BS20" t="str">
        <f t="shared" si="19"/>
        <v>27A</v>
      </c>
      <c r="BT20" t="str">
        <f t="shared" si="13"/>
        <v>DI4-C19</v>
      </c>
      <c r="BU20" t="str">
        <f t="shared" si="13"/>
        <v>DI4-B19</v>
      </c>
      <c r="BV20" t="str">
        <f t="shared" si="42"/>
        <v>DI4-C20</v>
      </c>
      <c r="BW20" t="str">
        <f t="shared" si="42"/>
        <v>DI4-B20</v>
      </c>
      <c r="BX20" t="str">
        <f t="shared" si="42"/>
        <v>DI4-C21</v>
      </c>
      <c r="BY20" t="str">
        <f t="shared" si="42"/>
        <v>DI4-B21</v>
      </c>
      <c r="BZ20" t="str">
        <f t="shared" si="42"/>
        <v>DI4-C22</v>
      </c>
      <c r="CA20" t="str">
        <f t="shared" si="42"/>
        <v>DI4-B22</v>
      </c>
      <c r="CB20" t="str">
        <f t="shared" si="42"/>
        <v>DI4-C23</v>
      </c>
      <c r="CC20" t="str">
        <f t="shared" si="42"/>
        <v>DI4-B23</v>
      </c>
      <c r="CD20" t="str">
        <f t="shared" si="42"/>
        <v>DI4-C24</v>
      </c>
      <c r="CE20" t="str">
        <f t="shared" si="42"/>
        <v>DI4-B24</v>
      </c>
      <c r="CF20" t="str">
        <f t="shared" si="15"/>
        <v>DO2-25B</v>
      </c>
      <c r="CG20" t="str">
        <f t="shared" si="15"/>
        <v>DO2-25A</v>
      </c>
      <c r="CH20" t="str">
        <f t="shared" si="16"/>
        <v>DO2-26B</v>
      </c>
      <c r="CI20" t="str">
        <f t="shared" si="16"/>
        <v>DO2-26A</v>
      </c>
      <c r="CJ20" t="str">
        <f t="shared" si="16"/>
        <v>DO2-27B</v>
      </c>
      <c r="CK20" t="str">
        <f t="shared" si="16"/>
        <v>DO2-27A</v>
      </c>
      <c r="CL20" t="str">
        <f t="shared" si="20"/>
        <v>K19-10</v>
      </c>
      <c r="CM20" t="str">
        <f t="shared" si="21"/>
        <v>K19-03</v>
      </c>
      <c r="CN20" t="str">
        <f t="shared" si="22"/>
        <v>K19-04</v>
      </c>
      <c r="CO20" t="str">
        <f t="shared" si="23"/>
        <v>K19-01</v>
      </c>
      <c r="CP20" t="str">
        <f t="shared" si="24"/>
        <v>K19-08</v>
      </c>
      <c r="CQ20" t="str">
        <f t="shared" si="25"/>
        <v>K19-02</v>
      </c>
      <c r="CR20" t="str">
        <f t="shared" si="26"/>
        <v>K19-09</v>
      </c>
      <c r="CS20" t="str">
        <f t="shared" si="27"/>
        <v>K19-05</v>
      </c>
      <c r="CT20" t="str">
        <f t="shared" si="28"/>
        <v>K19-11</v>
      </c>
      <c r="CU20" t="str">
        <f t="shared" si="29"/>
        <v>F0-M19-A9</v>
      </c>
      <c r="CV20" t="str">
        <f t="shared" si="30"/>
        <v>F0-M19-A7</v>
      </c>
      <c r="CW20" t="str">
        <f t="shared" si="31"/>
        <v>F0-M19-A8</v>
      </c>
      <c r="CX20" t="str">
        <f t="shared" si="32"/>
        <v>F0-M19-A6</v>
      </c>
      <c r="CY20" t="str">
        <f t="shared" si="33"/>
        <v>F0-M19-A30</v>
      </c>
      <c r="CZ20" t="str">
        <f t="shared" si="34"/>
        <v>F0-M19-N</v>
      </c>
      <c r="DA20" t="str">
        <f t="shared" si="17"/>
        <v>F0-A220-M19</v>
      </c>
      <c r="DB20" t="str">
        <f t="shared" si="35"/>
        <v>F0-M19-XM01</v>
      </c>
      <c r="DC20" t="str">
        <f t="shared" si="36"/>
        <v>F0-M19-A1</v>
      </c>
      <c r="DD20" t="str">
        <f t="shared" si="37"/>
        <v>F0-M19-A5</v>
      </c>
      <c r="DE20" t="str">
        <f t="shared" si="38"/>
        <v>F0-M19-A11</v>
      </c>
      <c r="DF20" t="str">
        <f t="shared" si="39"/>
        <v>F0-M19-A12</v>
      </c>
      <c r="DG20" t="str">
        <f t="shared" si="40"/>
        <v>F0-M19-A19</v>
      </c>
      <c r="DH20" t="str">
        <f t="shared" si="41"/>
        <v>F0-M19-A20</v>
      </c>
      <c r="DI20" t="s">
        <v>142</v>
      </c>
      <c r="DJ20" t="s">
        <v>143</v>
      </c>
      <c r="DK20">
        <v>11</v>
      </c>
      <c r="DL20">
        <v>14</v>
      </c>
      <c r="DM20">
        <v>12</v>
      </c>
      <c r="DN20" t="s">
        <v>144</v>
      </c>
      <c r="DO20" t="s">
        <v>145</v>
      </c>
      <c r="DP20">
        <v>1</v>
      </c>
      <c r="DQ20">
        <v>2</v>
      </c>
      <c r="DR20">
        <v>3</v>
      </c>
      <c r="DS20">
        <v>4</v>
      </c>
      <c r="DT20">
        <v>5</v>
      </c>
      <c r="DU20">
        <v>6</v>
      </c>
      <c r="DV20">
        <v>7</v>
      </c>
      <c r="DW20">
        <v>8</v>
      </c>
      <c r="DX20">
        <v>9</v>
      </c>
      <c r="DY20">
        <v>10</v>
      </c>
      <c r="DZ20">
        <v>11</v>
      </c>
      <c r="EA20">
        <v>12</v>
      </c>
      <c r="EB20">
        <v>13</v>
      </c>
      <c r="EC20">
        <v>14</v>
      </c>
      <c r="ED20">
        <v>1</v>
      </c>
      <c r="EE20">
        <v>3</v>
      </c>
      <c r="EF20">
        <v>4</v>
      </c>
      <c r="EG20">
        <v>7</v>
      </c>
      <c r="EH20">
        <v>8</v>
      </c>
      <c r="EI20">
        <v>9</v>
      </c>
      <c r="EJ20">
        <v>10</v>
      </c>
      <c r="EK20">
        <v>13</v>
      </c>
      <c r="EL20">
        <v>14</v>
      </c>
      <c r="EM20">
        <v>15</v>
      </c>
      <c r="EN20">
        <v>16</v>
      </c>
      <c r="EO20">
        <v>22</v>
      </c>
      <c r="EP20">
        <v>23</v>
      </c>
      <c r="EQ20" s="16">
        <v>24</v>
      </c>
    </row>
    <row r="21" spans="1:147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1582</v>
      </c>
      <c r="W21" s="15"/>
      <c r="AC21" t="s">
        <v>263</v>
      </c>
      <c r="AF21" t="s">
        <v>240</v>
      </c>
      <c r="AG21" t="s">
        <v>242</v>
      </c>
      <c r="AH21" t="s">
        <v>267</v>
      </c>
      <c r="AK21" t="s">
        <v>253</v>
      </c>
      <c r="AL21" t="s">
        <v>260</v>
      </c>
      <c r="AM21" t="s">
        <v>205</v>
      </c>
      <c r="AP21" t="s">
        <v>137</v>
      </c>
      <c r="AQ21" t="s">
        <v>138</v>
      </c>
      <c r="AT21" t="s">
        <v>139</v>
      </c>
      <c r="AU21" t="s">
        <v>140</v>
      </c>
      <c r="BD21" s="16"/>
      <c r="BE21" t="str">
        <f t="shared" si="0"/>
        <v>XT20</v>
      </c>
      <c r="BF21" t="str">
        <f t="shared" si="1"/>
        <v>C26</v>
      </c>
      <c r="BG21" t="str">
        <f t="shared" si="2"/>
        <v>B26</v>
      </c>
      <c r="BH21" t="str">
        <f t="shared" si="3"/>
        <v>C27</v>
      </c>
      <c r="BI21" t="str">
        <f t="shared" si="4"/>
        <v>B27</v>
      </c>
      <c r="BJ21" t="str">
        <f t="shared" si="5"/>
        <v>C28</v>
      </c>
      <c r="BK21" t="str">
        <f t="shared" si="6"/>
        <v>B28</v>
      </c>
      <c r="BL21" t="str">
        <f t="shared" si="7"/>
        <v>C29</v>
      </c>
      <c r="BM21" t="str">
        <f t="shared" si="8"/>
        <v>B29</v>
      </c>
      <c r="BN21" t="str">
        <f t="shared" si="9"/>
        <v>C30</v>
      </c>
      <c r="BO21" t="str">
        <f t="shared" si="10"/>
        <v>B30</v>
      </c>
      <c r="BP21" t="str">
        <f t="shared" si="11"/>
        <v>29B</v>
      </c>
      <c r="BQ21" t="str">
        <f t="shared" si="12"/>
        <v>29A</v>
      </c>
      <c r="BR21" t="str">
        <f t="shared" si="18"/>
        <v>30B</v>
      </c>
      <c r="BS21" t="str">
        <f t="shared" si="19"/>
        <v>30A</v>
      </c>
      <c r="BT21" t="str">
        <f t="shared" si="13"/>
        <v>DI4-C25</v>
      </c>
      <c r="BU21" t="str">
        <f t="shared" si="13"/>
        <v>DI4-B25</v>
      </c>
      <c r="BV21" t="str">
        <f t="shared" si="42"/>
        <v>DI4-C26</v>
      </c>
      <c r="BW21" t="str">
        <f t="shared" si="42"/>
        <v>DI4-B26</v>
      </c>
      <c r="BX21" t="str">
        <f t="shared" si="42"/>
        <v>DI4-C27</v>
      </c>
      <c r="BY21" t="str">
        <f t="shared" si="42"/>
        <v>DI4-B27</v>
      </c>
      <c r="BZ21" t="str">
        <f t="shared" si="42"/>
        <v>DI4-C28</v>
      </c>
      <c r="CA21" t="str">
        <f t="shared" si="42"/>
        <v>DI4-B28</v>
      </c>
      <c r="CB21" t="str">
        <f t="shared" si="42"/>
        <v>DI4-C29</v>
      </c>
      <c r="CC21" t="str">
        <f t="shared" si="42"/>
        <v>DI4-B29</v>
      </c>
      <c r="CD21" t="str">
        <f t="shared" si="42"/>
        <v>DI4-C30</v>
      </c>
      <c r="CE21" t="str">
        <f t="shared" si="42"/>
        <v>DI4-B30</v>
      </c>
      <c r="CF21" t="str">
        <f t="shared" si="15"/>
        <v>DO2-28B</v>
      </c>
      <c r="CG21" t="str">
        <f t="shared" si="15"/>
        <v>DO2-28A</v>
      </c>
      <c r="CH21" t="str">
        <f t="shared" si="16"/>
        <v>DO2-29B</v>
      </c>
      <c r="CI21" t="str">
        <f t="shared" si="16"/>
        <v>DO2-29A</v>
      </c>
      <c r="CJ21" t="str">
        <f t="shared" si="16"/>
        <v>DO2-30B</v>
      </c>
      <c r="CK21" t="str">
        <f t="shared" si="16"/>
        <v>DO2-30A</v>
      </c>
      <c r="CL21" t="str">
        <f t="shared" si="20"/>
        <v>K20-10</v>
      </c>
      <c r="CM21" t="str">
        <f t="shared" si="21"/>
        <v>K20-03</v>
      </c>
      <c r="CN21" t="str">
        <f t="shared" si="22"/>
        <v>K20-04</v>
      </c>
      <c r="CO21" t="str">
        <f t="shared" si="23"/>
        <v>K20-01</v>
      </c>
      <c r="CP21" t="str">
        <f t="shared" si="24"/>
        <v>K20-08</v>
      </c>
      <c r="CQ21" t="str">
        <f t="shared" si="25"/>
        <v>K20-02</v>
      </c>
      <c r="CR21" t="str">
        <f t="shared" si="26"/>
        <v>K20-09</v>
      </c>
      <c r="CS21" t="str">
        <f t="shared" si="27"/>
        <v>K20-05</v>
      </c>
      <c r="CT21" t="str">
        <f t="shared" si="28"/>
        <v>K20-11</v>
      </c>
      <c r="CU21" t="str">
        <f t="shared" si="29"/>
        <v>F0-M20-A9</v>
      </c>
      <c r="CV21" t="str">
        <f t="shared" si="30"/>
        <v>F0-M20-A7</v>
      </c>
      <c r="CW21" t="str">
        <f t="shared" si="31"/>
        <v>F0-M20-A8</v>
      </c>
      <c r="CX21" t="str">
        <f t="shared" si="32"/>
        <v>F0-M20-A6</v>
      </c>
      <c r="CY21" t="str">
        <f t="shared" si="33"/>
        <v>F0-M20-A30</v>
      </c>
      <c r="CZ21" t="str">
        <f t="shared" si="34"/>
        <v>F0-M20-N</v>
      </c>
      <c r="DA21" t="str">
        <f t="shared" si="17"/>
        <v>F0-A220-M20</v>
      </c>
      <c r="DB21" t="str">
        <f t="shared" si="35"/>
        <v>F0-M20-XM01</v>
      </c>
      <c r="DC21" t="str">
        <f t="shared" si="36"/>
        <v>F0-M20-A1</v>
      </c>
      <c r="DD21" t="str">
        <f t="shared" si="37"/>
        <v>F0-M20-A5</v>
      </c>
      <c r="DE21" t="str">
        <f t="shared" si="38"/>
        <v>F0-M20-A11</v>
      </c>
      <c r="DF21" t="str">
        <f t="shared" si="39"/>
        <v>F0-M20-A12</v>
      </c>
      <c r="DG21" t="str">
        <f t="shared" si="40"/>
        <v>F0-M20-A19</v>
      </c>
      <c r="DH21" t="str">
        <f t="shared" si="41"/>
        <v>F0-M20-A20</v>
      </c>
      <c r="DI21" t="s">
        <v>142</v>
      </c>
      <c r="DJ21" t="s">
        <v>143</v>
      </c>
      <c r="DK21">
        <v>11</v>
      </c>
      <c r="DL21">
        <v>14</v>
      </c>
      <c r="DM21">
        <v>12</v>
      </c>
      <c r="DN21" t="s">
        <v>144</v>
      </c>
      <c r="DO21" t="s">
        <v>145</v>
      </c>
      <c r="DP21">
        <v>1</v>
      </c>
      <c r="DQ21">
        <v>2</v>
      </c>
      <c r="DR21">
        <v>3</v>
      </c>
      <c r="DS21">
        <v>4</v>
      </c>
      <c r="DT21">
        <v>5</v>
      </c>
      <c r="DU21">
        <v>6</v>
      </c>
      <c r="DV21">
        <v>7</v>
      </c>
      <c r="DW21">
        <v>8</v>
      </c>
      <c r="DX21">
        <v>9</v>
      </c>
      <c r="DY21">
        <v>10</v>
      </c>
      <c r="DZ21">
        <v>11</v>
      </c>
      <c r="EA21">
        <v>12</v>
      </c>
      <c r="EB21">
        <v>13</v>
      </c>
      <c r="EC21">
        <v>14</v>
      </c>
      <c r="ED21">
        <v>1</v>
      </c>
      <c r="EE21">
        <v>3</v>
      </c>
      <c r="EF21">
        <v>4</v>
      </c>
      <c r="EG21">
        <v>7</v>
      </c>
      <c r="EH21">
        <v>8</v>
      </c>
      <c r="EI21">
        <v>9</v>
      </c>
      <c r="EJ21">
        <v>10</v>
      </c>
      <c r="EK21">
        <v>13</v>
      </c>
      <c r="EL21">
        <v>14</v>
      </c>
      <c r="EM21">
        <v>15</v>
      </c>
      <c r="EN21">
        <v>16</v>
      </c>
      <c r="EO21">
        <v>22</v>
      </c>
      <c r="EP21">
        <v>23</v>
      </c>
      <c r="EQ21" s="16">
        <v>24</v>
      </c>
    </row>
    <row r="22" spans="1:147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1583</v>
      </c>
      <c r="W22" s="15"/>
      <c r="AC22" t="s">
        <v>264</v>
      </c>
      <c r="AF22" t="s">
        <v>133</v>
      </c>
      <c r="AG22" t="s">
        <v>134</v>
      </c>
      <c r="AH22" t="s">
        <v>268</v>
      </c>
      <c r="AK22" t="s">
        <v>135</v>
      </c>
      <c r="AL22" t="s">
        <v>136</v>
      </c>
      <c r="AM22" t="s">
        <v>208</v>
      </c>
      <c r="AP22" t="s">
        <v>137</v>
      </c>
      <c r="AQ22" t="s">
        <v>138</v>
      </c>
      <c r="AT22" t="s">
        <v>139</v>
      </c>
      <c r="AU22" t="s">
        <v>140</v>
      </c>
      <c r="BD22" s="16"/>
      <c r="BE22" t="str">
        <f t="shared" si="0"/>
        <v>XT21</v>
      </c>
      <c r="BF22" t="str">
        <f t="shared" si="1"/>
        <v>C2</v>
      </c>
      <c r="BG22" t="str">
        <f t="shared" si="2"/>
        <v>B2</v>
      </c>
      <c r="BH22" t="str">
        <f t="shared" si="3"/>
        <v>C3</v>
      </c>
      <c r="BI22" t="str">
        <f t="shared" si="4"/>
        <v>B3</v>
      </c>
      <c r="BJ22" t="str">
        <f t="shared" si="5"/>
        <v>C4</v>
      </c>
      <c r="BK22" t="str">
        <f t="shared" si="6"/>
        <v>B4</v>
      </c>
      <c r="BL22" t="str">
        <f t="shared" si="7"/>
        <v>C5</v>
      </c>
      <c r="BM22" t="str">
        <f t="shared" si="8"/>
        <v>B5</v>
      </c>
      <c r="BN22" t="str">
        <f t="shared" si="9"/>
        <v>C6</v>
      </c>
      <c r="BO22" t="str">
        <f t="shared" si="10"/>
        <v>B6</v>
      </c>
      <c r="BP22" t="str">
        <f t="shared" si="11"/>
        <v>2B</v>
      </c>
      <c r="BQ22" t="str">
        <f t="shared" si="12"/>
        <v>2A</v>
      </c>
      <c r="BR22" t="str">
        <f t="shared" si="18"/>
        <v>3B</v>
      </c>
      <c r="BS22" t="str">
        <f t="shared" si="19"/>
        <v>3A</v>
      </c>
      <c r="BT22" t="str">
        <f t="shared" si="13"/>
        <v>DI5-C1</v>
      </c>
      <c r="BU22" t="str">
        <f t="shared" si="13"/>
        <v>DI5-B1</v>
      </c>
      <c r="BV22" t="str">
        <f t="shared" si="42"/>
        <v>DI5-C2</v>
      </c>
      <c r="BW22" t="str">
        <f t="shared" si="42"/>
        <v>DI5-B2</v>
      </c>
      <c r="BX22" t="str">
        <f t="shared" si="42"/>
        <v>DI5-C3</v>
      </c>
      <c r="BY22" t="str">
        <f t="shared" si="42"/>
        <v>DI5-B3</v>
      </c>
      <c r="BZ22" t="str">
        <f t="shared" si="42"/>
        <v>DI5-C4</v>
      </c>
      <c r="CA22" t="str">
        <f t="shared" si="42"/>
        <v>DI5-B4</v>
      </c>
      <c r="CB22" t="str">
        <f t="shared" si="42"/>
        <v>DI5-C5</v>
      </c>
      <c r="CC22" t="str">
        <f t="shared" si="42"/>
        <v>DI5-B5</v>
      </c>
      <c r="CD22" t="str">
        <f t="shared" si="42"/>
        <v>DI5-C6</v>
      </c>
      <c r="CE22" t="str">
        <f t="shared" si="42"/>
        <v>DI5-B6</v>
      </c>
      <c r="CF22" t="str">
        <f t="shared" si="15"/>
        <v>DO3-1B</v>
      </c>
      <c r="CG22" t="str">
        <f t="shared" si="15"/>
        <v>DO3-1A</v>
      </c>
      <c r="CH22" t="str">
        <f t="shared" si="16"/>
        <v>DO3-2B</v>
      </c>
      <c r="CI22" t="str">
        <f t="shared" si="16"/>
        <v>DO3-2A</v>
      </c>
      <c r="CJ22" t="str">
        <f t="shared" si="16"/>
        <v>DO3-3B</v>
      </c>
      <c r="CK22" t="str">
        <f t="shared" si="16"/>
        <v>DO3-3A</v>
      </c>
      <c r="CL22" t="str">
        <f t="shared" si="20"/>
        <v>K21-10</v>
      </c>
      <c r="CM22" t="str">
        <f t="shared" si="21"/>
        <v>K21-03</v>
      </c>
      <c r="CN22" t="str">
        <f t="shared" si="22"/>
        <v>K21-04</v>
      </c>
      <c r="CO22" t="str">
        <f t="shared" si="23"/>
        <v>K21-01</v>
      </c>
      <c r="CP22" t="str">
        <f t="shared" si="24"/>
        <v>K21-08</v>
      </c>
      <c r="CQ22" t="str">
        <f t="shared" si="25"/>
        <v>K21-02</v>
      </c>
      <c r="CR22" t="str">
        <f t="shared" si="26"/>
        <v>K21-09</v>
      </c>
      <c r="CS22" t="str">
        <f t="shared" si="27"/>
        <v>K21-05</v>
      </c>
      <c r="CT22" t="str">
        <f t="shared" si="28"/>
        <v>K21-11</v>
      </c>
      <c r="CU22" t="str">
        <f t="shared" si="29"/>
        <v>F0-M21-A9</v>
      </c>
      <c r="CV22" t="str">
        <f t="shared" si="30"/>
        <v>F0-M21-A7</v>
      </c>
      <c r="CW22" t="str">
        <f t="shared" si="31"/>
        <v>F0-M21-A8</v>
      </c>
      <c r="CX22" t="str">
        <f t="shared" si="32"/>
        <v>F0-M21-A6</v>
      </c>
      <c r="CY22" t="str">
        <f t="shared" si="33"/>
        <v>F0-M21-A30</v>
      </c>
      <c r="CZ22" t="str">
        <f t="shared" si="34"/>
        <v>F0-M21-N</v>
      </c>
      <c r="DA22" t="str">
        <f t="shared" si="17"/>
        <v>F0-A220-M21</v>
      </c>
      <c r="DB22" t="str">
        <f t="shared" si="35"/>
        <v>F0-M21-XM01</v>
      </c>
      <c r="DC22" t="str">
        <f t="shared" si="36"/>
        <v>F0-M21-A1</v>
      </c>
      <c r="DD22" t="str">
        <f t="shared" si="37"/>
        <v>F0-M21-A5</v>
      </c>
      <c r="DE22" t="str">
        <f t="shared" si="38"/>
        <v>F0-M21-A11</v>
      </c>
      <c r="DF22" t="str">
        <f t="shared" si="39"/>
        <v>F0-M21-A12</v>
      </c>
      <c r="DG22" t="str">
        <f t="shared" si="40"/>
        <v>F0-M21-A19</v>
      </c>
      <c r="DH22" t="str">
        <f t="shared" si="41"/>
        <v>F0-M21-A20</v>
      </c>
      <c r="DI22" t="s">
        <v>142</v>
      </c>
      <c r="DJ22" t="s">
        <v>143</v>
      </c>
      <c r="DK22">
        <v>11</v>
      </c>
      <c r="DL22">
        <v>14</v>
      </c>
      <c r="DM22">
        <v>12</v>
      </c>
      <c r="DN22" t="s">
        <v>144</v>
      </c>
      <c r="DO22" t="s">
        <v>145</v>
      </c>
      <c r="DP22">
        <v>1</v>
      </c>
      <c r="DQ22">
        <v>2</v>
      </c>
      <c r="DR22">
        <v>3</v>
      </c>
      <c r="DS22">
        <v>4</v>
      </c>
      <c r="DT22">
        <v>5</v>
      </c>
      <c r="DU22">
        <v>6</v>
      </c>
      <c r="DV22">
        <v>7</v>
      </c>
      <c r="DW22">
        <v>8</v>
      </c>
      <c r="DX22">
        <v>9</v>
      </c>
      <c r="DY22">
        <v>10</v>
      </c>
      <c r="DZ22">
        <v>11</v>
      </c>
      <c r="EA22">
        <v>12</v>
      </c>
      <c r="EB22">
        <v>13</v>
      </c>
      <c r="EC22">
        <v>14</v>
      </c>
      <c r="ED22">
        <v>1</v>
      </c>
      <c r="EE22">
        <v>3</v>
      </c>
      <c r="EF22">
        <v>4</v>
      </c>
      <c r="EG22">
        <v>7</v>
      </c>
      <c r="EH22">
        <v>8</v>
      </c>
      <c r="EI22">
        <v>9</v>
      </c>
      <c r="EJ22">
        <v>10</v>
      </c>
      <c r="EK22">
        <v>13</v>
      </c>
      <c r="EL22">
        <v>14</v>
      </c>
      <c r="EM22">
        <v>15</v>
      </c>
      <c r="EN22">
        <v>16</v>
      </c>
      <c r="EO22">
        <v>22</v>
      </c>
      <c r="EP22">
        <v>23</v>
      </c>
      <c r="EQ22" s="16">
        <v>24</v>
      </c>
    </row>
    <row r="23" spans="1:147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1584</v>
      </c>
      <c r="W23" s="15"/>
      <c r="AC23" t="s">
        <v>264</v>
      </c>
      <c r="AF23" t="s">
        <v>148</v>
      </c>
      <c r="AG23" t="s">
        <v>149</v>
      </c>
      <c r="AH23" t="s">
        <v>268</v>
      </c>
      <c r="AK23" t="s">
        <v>243</v>
      </c>
      <c r="AL23" t="s">
        <v>244</v>
      </c>
      <c r="AM23" t="s">
        <v>211</v>
      </c>
      <c r="AP23" t="s">
        <v>137</v>
      </c>
      <c r="AQ23" t="s">
        <v>138</v>
      </c>
      <c r="AT23" t="s">
        <v>139</v>
      </c>
      <c r="AU23" t="s">
        <v>140</v>
      </c>
      <c r="BD23" s="16"/>
      <c r="BE23" t="str">
        <f t="shared" si="0"/>
        <v>XT22</v>
      </c>
      <c r="BF23" t="str">
        <f t="shared" si="1"/>
        <v>C8</v>
      </c>
      <c r="BG23" t="str">
        <f t="shared" si="2"/>
        <v>B8</v>
      </c>
      <c r="BH23" t="str">
        <f t="shared" si="3"/>
        <v>C9</v>
      </c>
      <c r="BI23" t="str">
        <f t="shared" si="4"/>
        <v>B9</v>
      </c>
      <c r="BJ23" t="str">
        <f t="shared" si="5"/>
        <v>C10</v>
      </c>
      <c r="BK23" t="str">
        <f t="shared" si="6"/>
        <v>B10</v>
      </c>
      <c r="BL23" t="str">
        <f t="shared" si="7"/>
        <v>C11</v>
      </c>
      <c r="BM23" t="str">
        <f t="shared" si="8"/>
        <v>B11</v>
      </c>
      <c r="BN23" t="str">
        <f t="shared" si="9"/>
        <v>C12</v>
      </c>
      <c r="BO23" t="str">
        <f t="shared" si="10"/>
        <v>B12</v>
      </c>
      <c r="BP23" t="str">
        <f t="shared" si="11"/>
        <v>5B</v>
      </c>
      <c r="BQ23" t="str">
        <f t="shared" si="12"/>
        <v>5A</v>
      </c>
      <c r="BR23" t="str">
        <f t="shared" si="18"/>
        <v>6B</v>
      </c>
      <c r="BS23" t="str">
        <f t="shared" si="19"/>
        <v>6A</v>
      </c>
      <c r="BT23" t="str">
        <f t="shared" si="13"/>
        <v>DI5-C7</v>
      </c>
      <c r="BU23" t="str">
        <f t="shared" si="13"/>
        <v>DI5-B7</v>
      </c>
      <c r="BV23" t="str">
        <f t="shared" si="42"/>
        <v>DI5-C8</v>
      </c>
      <c r="BW23" t="str">
        <f t="shared" si="42"/>
        <v>DI5-B8</v>
      </c>
      <c r="BX23" t="str">
        <f t="shared" si="42"/>
        <v>DI5-C9</v>
      </c>
      <c r="BY23" t="str">
        <f t="shared" si="42"/>
        <v>DI5-B9</v>
      </c>
      <c r="BZ23" t="str">
        <f t="shared" si="42"/>
        <v>DI5-C10</v>
      </c>
      <c r="CA23" t="str">
        <f t="shared" si="42"/>
        <v>DI5-B10</v>
      </c>
      <c r="CB23" t="str">
        <f t="shared" si="42"/>
        <v>DI5-C11</v>
      </c>
      <c r="CC23" t="str">
        <f t="shared" si="42"/>
        <v>DI5-B11</v>
      </c>
      <c r="CD23" t="str">
        <f t="shared" si="42"/>
        <v>DI5-C12</v>
      </c>
      <c r="CE23" t="str">
        <f t="shared" si="42"/>
        <v>DI5-B12</v>
      </c>
      <c r="CF23" t="str">
        <f t="shared" si="15"/>
        <v>DO3-4B</v>
      </c>
      <c r="CG23" t="str">
        <f t="shared" si="15"/>
        <v>DO3-4A</v>
      </c>
      <c r="CH23" t="str">
        <f t="shared" si="16"/>
        <v>DO3-5B</v>
      </c>
      <c r="CI23" t="str">
        <f t="shared" si="16"/>
        <v>DO3-5A</v>
      </c>
      <c r="CJ23" t="str">
        <f t="shared" si="16"/>
        <v>DO3-6B</v>
      </c>
      <c r="CK23" t="str">
        <f t="shared" si="16"/>
        <v>DO3-6A</v>
      </c>
      <c r="CL23" t="str">
        <f t="shared" si="20"/>
        <v>K22-10</v>
      </c>
      <c r="CM23" t="str">
        <f t="shared" si="21"/>
        <v>K22-03</v>
      </c>
      <c r="CN23" t="str">
        <f t="shared" si="22"/>
        <v>K22-04</v>
      </c>
      <c r="CO23" t="str">
        <f t="shared" si="23"/>
        <v>K22-01</v>
      </c>
      <c r="CP23" t="str">
        <f t="shared" si="24"/>
        <v>K22-08</v>
      </c>
      <c r="CQ23" t="str">
        <f t="shared" si="25"/>
        <v>K22-02</v>
      </c>
      <c r="CR23" t="str">
        <f t="shared" si="26"/>
        <v>K22-09</v>
      </c>
      <c r="CS23" t="str">
        <f t="shared" si="27"/>
        <v>K22-05</v>
      </c>
      <c r="CT23" t="str">
        <f t="shared" si="28"/>
        <v>K22-11</v>
      </c>
      <c r="CU23" t="str">
        <f t="shared" si="29"/>
        <v>F0-M22-A9</v>
      </c>
      <c r="CV23" t="str">
        <f t="shared" si="30"/>
        <v>F0-M22-A7</v>
      </c>
      <c r="CW23" t="str">
        <f t="shared" si="31"/>
        <v>F0-M22-A8</v>
      </c>
      <c r="CX23" t="str">
        <f t="shared" si="32"/>
        <v>F0-M22-A6</v>
      </c>
      <c r="CY23" t="str">
        <f t="shared" si="33"/>
        <v>F0-M22-A30</v>
      </c>
      <c r="CZ23" t="str">
        <f t="shared" si="34"/>
        <v>F0-M22-N</v>
      </c>
      <c r="DA23" t="str">
        <f t="shared" si="17"/>
        <v>F0-A220-M22</v>
      </c>
      <c r="DB23" t="str">
        <f t="shared" si="35"/>
        <v>F0-M22-XM01</v>
      </c>
      <c r="DC23" t="str">
        <f t="shared" si="36"/>
        <v>F0-M22-A1</v>
      </c>
      <c r="DD23" t="str">
        <f t="shared" si="37"/>
        <v>F0-M22-A5</v>
      </c>
      <c r="DE23" t="str">
        <f t="shared" si="38"/>
        <v>F0-M22-A11</v>
      </c>
      <c r="DF23" t="str">
        <f t="shared" si="39"/>
        <v>F0-M22-A12</v>
      </c>
      <c r="DG23" t="str">
        <f t="shared" si="40"/>
        <v>F0-M22-A19</v>
      </c>
      <c r="DH23" t="str">
        <f t="shared" si="41"/>
        <v>F0-M22-A20</v>
      </c>
      <c r="DI23" t="s">
        <v>142</v>
      </c>
      <c r="DJ23" t="s">
        <v>143</v>
      </c>
      <c r="DK23">
        <v>11</v>
      </c>
      <c r="DL23">
        <v>14</v>
      </c>
      <c r="DM23">
        <v>12</v>
      </c>
      <c r="DN23" t="s">
        <v>144</v>
      </c>
      <c r="DO23" t="s">
        <v>145</v>
      </c>
      <c r="DP23">
        <v>1</v>
      </c>
      <c r="DQ23">
        <v>2</v>
      </c>
      <c r="DR23">
        <v>3</v>
      </c>
      <c r="DS23">
        <v>4</v>
      </c>
      <c r="DT23">
        <v>5</v>
      </c>
      <c r="DU23">
        <v>6</v>
      </c>
      <c r="DV23">
        <v>7</v>
      </c>
      <c r="DW23">
        <v>8</v>
      </c>
      <c r="DX23">
        <v>9</v>
      </c>
      <c r="DY23">
        <v>10</v>
      </c>
      <c r="DZ23">
        <v>11</v>
      </c>
      <c r="EA23">
        <v>12</v>
      </c>
      <c r="EB23">
        <v>13</v>
      </c>
      <c r="EC23">
        <v>14</v>
      </c>
      <c r="ED23">
        <v>1</v>
      </c>
      <c r="EE23">
        <v>3</v>
      </c>
      <c r="EF23">
        <v>4</v>
      </c>
      <c r="EG23">
        <v>7</v>
      </c>
      <c r="EH23">
        <v>8</v>
      </c>
      <c r="EI23">
        <v>9</v>
      </c>
      <c r="EJ23">
        <v>10</v>
      </c>
      <c r="EK23">
        <v>13</v>
      </c>
      <c r="EL23">
        <v>14</v>
      </c>
      <c r="EM23">
        <v>15</v>
      </c>
      <c r="EN23">
        <v>16</v>
      </c>
      <c r="EO23">
        <v>22</v>
      </c>
      <c r="EP23">
        <v>23</v>
      </c>
      <c r="EQ23" s="16">
        <v>24</v>
      </c>
    </row>
    <row r="24" spans="1:147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1585</v>
      </c>
      <c r="W24" s="15"/>
      <c r="AC24" t="s">
        <v>264</v>
      </c>
      <c r="AF24" t="s">
        <v>153</v>
      </c>
      <c r="AG24" t="s">
        <v>154</v>
      </c>
      <c r="AH24" t="s">
        <v>268</v>
      </c>
      <c r="AK24" t="s">
        <v>245</v>
      </c>
      <c r="AL24" t="s">
        <v>246</v>
      </c>
      <c r="AM24" t="s">
        <v>214</v>
      </c>
      <c r="AP24" t="s">
        <v>137</v>
      </c>
      <c r="AQ24" t="s">
        <v>138</v>
      </c>
      <c r="AT24" t="s">
        <v>139</v>
      </c>
      <c r="AU24" t="s">
        <v>140</v>
      </c>
      <c r="BD24" s="16"/>
      <c r="BE24" t="str">
        <f t="shared" si="0"/>
        <v>XT23</v>
      </c>
      <c r="BF24" t="str">
        <f t="shared" si="1"/>
        <v>C14</v>
      </c>
      <c r="BG24" t="str">
        <f t="shared" si="2"/>
        <v>B14</v>
      </c>
      <c r="BH24" t="str">
        <f t="shared" si="3"/>
        <v>C15</v>
      </c>
      <c r="BI24" t="str">
        <f t="shared" si="4"/>
        <v>B15</v>
      </c>
      <c r="BJ24" t="str">
        <f t="shared" si="5"/>
        <v>C16</v>
      </c>
      <c r="BK24" t="str">
        <f t="shared" si="6"/>
        <v>B16</v>
      </c>
      <c r="BL24" t="str">
        <f t="shared" si="7"/>
        <v>C17</v>
      </c>
      <c r="BM24" t="str">
        <f t="shared" si="8"/>
        <v>B17</v>
      </c>
      <c r="BN24" t="str">
        <f t="shared" si="9"/>
        <v>C18</v>
      </c>
      <c r="BO24" t="str">
        <f t="shared" si="10"/>
        <v>B18</v>
      </c>
      <c r="BP24" t="str">
        <f t="shared" si="11"/>
        <v>8B</v>
      </c>
      <c r="BQ24" t="str">
        <f t="shared" si="12"/>
        <v>8A</v>
      </c>
      <c r="BR24" t="str">
        <f t="shared" si="18"/>
        <v>9B</v>
      </c>
      <c r="BS24" t="str">
        <f t="shared" si="19"/>
        <v>9A</v>
      </c>
      <c r="BT24" t="str">
        <f t="shared" si="13"/>
        <v>DI5-C13</v>
      </c>
      <c r="BU24" t="str">
        <f t="shared" si="13"/>
        <v>DI5-B13</v>
      </c>
      <c r="BV24" t="str">
        <f t="shared" si="42"/>
        <v>DI5-C14</v>
      </c>
      <c r="BW24" t="str">
        <f t="shared" si="42"/>
        <v>DI5-B14</v>
      </c>
      <c r="BX24" t="str">
        <f t="shared" si="42"/>
        <v>DI5-C15</v>
      </c>
      <c r="BY24" t="str">
        <f t="shared" si="42"/>
        <v>DI5-B15</v>
      </c>
      <c r="BZ24" t="str">
        <f t="shared" si="42"/>
        <v>DI5-C16</v>
      </c>
      <c r="CA24" t="str">
        <f t="shared" si="42"/>
        <v>DI5-B16</v>
      </c>
      <c r="CB24" t="str">
        <f t="shared" si="42"/>
        <v>DI5-C17</v>
      </c>
      <c r="CC24" t="str">
        <f t="shared" si="42"/>
        <v>DI5-B17</v>
      </c>
      <c r="CD24" t="str">
        <f t="shared" si="42"/>
        <v>DI5-C18</v>
      </c>
      <c r="CE24" t="str">
        <f t="shared" si="42"/>
        <v>DI5-B18</v>
      </c>
      <c r="CF24" t="str">
        <f t="shared" si="15"/>
        <v>DO3-7B</v>
      </c>
      <c r="CG24" t="str">
        <f t="shared" si="15"/>
        <v>DO3-7A</v>
      </c>
      <c r="CH24" t="str">
        <f t="shared" si="16"/>
        <v>DO3-8B</v>
      </c>
      <c r="CI24" t="str">
        <f t="shared" si="16"/>
        <v>DO3-8A</v>
      </c>
      <c r="CJ24" t="str">
        <f t="shared" si="16"/>
        <v>DO3-9B</v>
      </c>
      <c r="CK24" t="str">
        <f t="shared" si="16"/>
        <v>DO3-9A</v>
      </c>
      <c r="CL24" t="str">
        <f t="shared" si="20"/>
        <v>K23-10</v>
      </c>
      <c r="CM24" t="str">
        <f t="shared" si="21"/>
        <v>K23-03</v>
      </c>
      <c r="CN24" t="str">
        <f t="shared" si="22"/>
        <v>K23-04</v>
      </c>
      <c r="CO24" t="str">
        <f t="shared" si="23"/>
        <v>K23-01</v>
      </c>
      <c r="CP24" t="str">
        <f t="shared" si="24"/>
        <v>K23-08</v>
      </c>
      <c r="CQ24" t="str">
        <f t="shared" si="25"/>
        <v>K23-02</v>
      </c>
      <c r="CR24" t="str">
        <f t="shared" si="26"/>
        <v>K23-09</v>
      </c>
      <c r="CS24" t="str">
        <f t="shared" si="27"/>
        <v>K23-05</v>
      </c>
      <c r="CT24" t="str">
        <f t="shared" si="28"/>
        <v>K23-11</v>
      </c>
      <c r="CU24" t="str">
        <f t="shared" si="29"/>
        <v>F0-M23-A9</v>
      </c>
      <c r="CV24" t="str">
        <f t="shared" si="30"/>
        <v>F0-M23-A7</v>
      </c>
      <c r="CW24" t="str">
        <f t="shared" si="31"/>
        <v>F0-M23-A8</v>
      </c>
      <c r="CX24" t="str">
        <f t="shared" si="32"/>
        <v>F0-M23-A6</v>
      </c>
      <c r="CY24" t="str">
        <f t="shared" si="33"/>
        <v>F0-M23-A30</v>
      </c>
      <c r="CZ24" t="str">
        <f t="shared" si="34"/>
        <v>F0-M23-N</v>
      </c>
      <c r="DA24" t="str">
        <f t="shared" si="17"/>
        <v>F0-A220-M23</v>
      </c>
      <c r="DB24" t="str">
        <f t="shared" si="35"/>
        <v>F0-M23-XM01</v>
      </c>
      <c r="DC24" t="str">
        <f t="shared" si="36"/>
        <v>F0-M23-A1</v>
      </c>
      <c r="DD24" t="str">
        <f t="shared" si="37"/>
        <v>F0-M23-A5</v>
      </c>
      <c r="DE24" t="str">
        <f t="shared" si="38"/>
        <v>F0-M23-A11</v>
      </c>
      <c r="DF24" t="str">
        <f t="shared" si="39"/>
        <v>F0-M23-A12</v>
      </c>
      <c r="DG24" t="str">
        <f t="shared" si="40"/>
        <v>F0-M23-A19</v>
      </c>
      <c r="DH24" t="str">
        <f t="shared" si="41"/>
        <v>F0-M23-A20</v>
      </c>
      <c r="DI24" t="s">
        <v>142</v>
      </c>
      <c r="DJ24" t="s">
        <v>143</v>
      </c>
      <c r="DK24">
        <v>11</v>
      </c>
      <c r="DL24">
        <v>14</v>
      </c>
      <c r="DM24">
        <v>12</v>
      </c>
      <c r="DN24" t="s">
        <v>144</v>
      </c>
      <c r="DO24" t="s">
        <v>145</v>
      </c>
      <c r="DP24">
        <v>1</v>
      </c>
      <c r="DQ24">
        <v>2</v>
      </c>
      <c r="DR24">
        <v>3</v>
      </c>
      <c r="DS24">
        <v>4</v>
      </c>
      <c r="DT24">
        <v>5</v>
      </c>
      <c r="DU24">
        <v>6</v>
      </c>
      <c r="DV24">
        <v>7</v>
      </c>
      <c r="DW24">
        <v>8</v>
      </c>
      <c r="DX24">
        <v>9</v>
      </c>
      <c r="DY24">
        <v>10</v>
      </c>
      <c r="DZ24">
        <v>11</v>
      </c>
      <c r="EA24">
        <v>12</v>
      </c>
      <c r="EB24">
        <v>13</v>
      </c>
      <c r="EC24">
        <v>14</v>
      </c>
      <c r="ED24">
        <v>1</v>
      </c>
      <c r="EE24">
        <v>3</v>
      </c>
      <c r="EF24">
        <v>4</v>
      </c>
      <c r="EG24">
        <v>7</v>
      </c>
      <c r="EH24">
        <v>8</v>
      </c>
      <c r="EI24">
        <v>9</v>
      </c>
      <c r="EJ24">
        <v>10</v>
      </c>
      <c r="EK24">
        <v>13</v>
      </c>
      <c r="EL24">
        <v>14</v>
      </c>
      <c r="EM24">
        <v>15</v>
      </c>
      <c r="EN24">
        <v>16</v>
      </c>
      <c r="EO24">
        <v>22</v>
      </c>
      <c r="EP24">
        <v>23</v>
      </c>
      <c r="EQ24" s="16">
        <v>24</v>
      </c>
    </row>
    <row r="25" spans="1:147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1586</v>
      </c>
      <c r="W25" s="15"/>
      <c r="AC25" t="s">
        <v>264</v>
      </c>
      <c r="AF25" t="s">
        <v>239</v>
      </c>
      <c r="AG25" t="s">
        <v>241</v>
      </c>
      <c r="AH25" t="s">
        <v>268</v>
      </c>
      <c r="AK25" t="s">
        <v>247</v>
      </c>
      <c r="AL25" t="s">
        <v>254</v>
      </c>
      <c r="AM25" t="s">
        <v>217</v>
      </c>
      <c r="AP25" t="s">
        <v>137</v>
      </c>
      <c r="AQ25" t="s">
        <v>138</v>
      </c>
      <c r="AT25" t="s">
        <v>139</v>
      </c>
      <c r="AU25" t="s">
        <v>140</v>
      </c>
      <c r="BD25" s="16"/>
      <c r="BE25" t="str">
        <f t="shared" si="0"/>
        <v>XT24</v>
      </c>
      <c r="BF25" t="str">
        <f t="shared" si="1"/>
        <v>C20</v>
      </c>
      <c r="BG25" t="str">
        <f t="shared" si="2"/>
        <v>B20</v>
      </c>
      <c r="BH25" t="str">
        <f t="shared" si="3"/>
        <v>C21</v>
      </c>
      <c r="BI25" t="str">
        <f t="shared" si="4"/>
        <v>B21</v>
      </c>
      <c r="BJ25" t="str">
        <f t="shared" si="5"/>
        <v>C22</v>
      </c>
      <c r="BK25" t="str">
        <f t="shared" si="6"/>
        <v>B22</v>
      </c>
      <c r="BL25" t="str">
        <f t="shared" si="7"/>
        <v>C23</v>
      </c>
      <c r="BM25" t="str">
        <f t="shared" si="8"/>
        <v>B23</v>
      </c>
      <c r="BN25" t="str">
        <f t="shared" si="9"/>
        <v>C24</v>
      </c>
      <c r="BO25" t="str">
        <f t="shared" si="10"/>
        <v>B24</v>
      </c>
      <c r="BP25" t="str">
        <f t="shared" si="11"/>
        <v>11B</v>
      </c>
      <c r="BQ25" t="str">
        <f t="shared" si="12"/>
        <v>11A</v>
      </c>
      <c r="BR25" t="str">
        <f t="shared" si="18"/>
        <v>12B</v>
      </c>
      <c r="BS25" t="str">
        <f t="shared" si="19"/>
        <v>12A</v>
      </c>
      <c r="BT25" t="str">
        <f t="shared" si="13"/>
        <v>DI5-C19</v>
      </c>
      <c r="BU25" t="str">
        <f t="shared" si="13"/>
        <v>DI5-B19</v>
      </c>
      <c r="BV25" t="str">
        <f t="shared" si="42"/>
        <v>DI5-C20</v>
      </c>
      <c r="BW25" t="str">
        <f t="shared" si="42"/>
        <v>DI5-B20</v>
      </c>
      <c r="BX25" t="str">
        <f t="shared" si="42"/>
        <v>DI5-C21</v>
      </c>
      <c r="BY25" t="str">
        <f t="shared" si="42"/>
        <v>DI5-B21</v>
      </c>
      <c r="BZ25" t="str">
        <f t="shared" si="42"/>
        <v>DI5-C22</v>
      </c>
      <c r="CA25" t="str">
        <f t="shared" si="42"/>
        <v>DI5-B22</v>
      </c>
      <c r="CB25" t="str">
        <f t="shared" si="42"/>
        <v>DI5-C23</v>
      </c>
      <c r="CC25" t="str">
        <f t="shared" si="42"/>
        <v>DI5-B23</v>
      </c>
      <c r="CD25" t="str">
        <f t="shared" si="42"/>
        <v>DI5-C24</v>
      </c>
      <c r="CE25" t="str">
        <f t="shared" si="42"/>
        <v>DI5-B24</v>
      </c>
      <c r="CF25" t="str">
        <f t="shared" si="15"/>
        <v>DO3-10B</v>
      </c>
      <c r="CG25" t="str">
        <f t="shared" si="15"/>
        <v>DO3-10A</v>
      </c>
      <c r="CH25" t="str">
        <f t="shared" si="16"/>
        <v>DO3-11B</v>
      </c>
      <c r="CI25" t="str">
        <f t="shared" si="16"/>
        <v>DO3-11A</v>
      </c>
      <c r="CJ25" t="str">
        <f t="shared" si="16"/>
        <v>DO3-12B</v>
      </c>
      <c r="CK25" t="str">
        <f t="shared" si="16"/>
        <v>DO3-12A</v>
      </c>
      <c r="CL25" t="str">
        <f t="shared" si="20"/>
        <v>K24-10</v>
      </c>
      <c r="CM25" t="str">
        <f t="shared" si="21"/>
        <v>K24-03</v>
      </c>
      <c r="CN25" t="str">
        <f t="shared" si="22"/>
        <v>K24-04</v>
      </c>
      <c r="CO25" t="str">
        <f t="shared" si="23"/>
        <v>K24-01</v>
      </c>
      <c r="CP25" t="str">
        <f t="shared" si="24"/>
        <v>K24-08</v>
      </c>
      <c r="CQ25" t="str">
        <f t="shared" si="25"/>
        <v>K24-02</v>
      </c>
      <c r="CR25" t="str">
        <f t="shared" si="26"/>
        <v>K24-09</v>
      </c>
      <c r="CS25" t="str">
        <f t="shared" si="27"/>
        <v>K24-05</v>
      </c>
      <c r="CT25" t="str">
        <f t="shared" si="28"/>
        <v>K24-11</v>
      </c>
      <c r="CU25" t="str">
        <f t="shared" si="29"/>
        <v>F0-M24-A9</v>
      </c>
      <c r="CV25" t="str">
        <f t="shared" si="30"/>
        <v>F0-M24-A7</v>
      </c>
      <c r="CW25" t="str">
        <f t="shared" si="31"/>
        <v>F0-M24-A8</v>
      </c>
      <c r="CX25" t="str">
        <f t="shared" si="32"/>
        <v>F0-M24-A6</v>
      </c>
      <c r="CY25" t="str">
        <f t="shared" si="33"/>
        <v>F0-M24-A30</v>
      </c>
      <c r="CZ25" t="str">
        <f t="shared" si="34"/>
        <v>F0-M24-N</v>
      </c>
      <c r="DA25" t="str">
        <f t="shared" si="17"/>
        <v>F0-A220-M24</v>
      </c>
      <c r="DB25" t="str">
        <f t="shared" si="35"/>
        <v>F0-M24-XM01</v>
      </c>
      <c r="DC25" t="str">
        <f t="shared" si="36"/>
        <v>F0-M24-A1</v>
      </c>
      <c r="DD25" t="str">
        <f t="shared" si="37"/>
        <v>F0-M24-A5</v>
      </c>
      <c r="DE25" t="str">
        <f t="shared" si="38"/>
        <v>F0-M24-A11</v>
      </c>
      <c r="DF25" t="str">
        <f t="shared" si="39"/>
        <v>F0-M24-A12</v>
      </c>
      <c r="DG25" t="str">
        <f t="shared" si="40"/>
        <v>F0-M24-A19</v>
      </c>
      <c r="DH25" t="str">
        <f t="shared" si="41"/>
        <v>F0-M24-A20</v>
      </c>
      <c r="DI25" t="s">
        <v>142</v>
      </c>
      <c r="DJ25" t="s">
        <v>143</v>
      </c>
      <c r="DK25">
        <v>11</v>
      </c>
      <c r="DL25">
        <v>14</v>
      </c>
      <c r="DM25">
        <v>12</v>
      </c>
      <c r="DN25" t="s">
        <v>144</v>
      </c>
      <c r="DO25" t="s">
        <v>145</v>
      </c>
      <c r="DP25">
        <v>1</v>
      </c>
      <c r="DQ25">
        <v>2</v>
      </c>
      <c r="DR25">
        <v>3</v>
      </c>
      <c r="DS25">
        <v>4</v>
      </c>
      <c r="DT25">
        <v>5</v>
      </c>
      <c r="DU25">
        <v>6</v>
      </c>
      <c r="DV25">
        <v>7</v>
      </c>
      <c r="DW25">
        <v>8</v>
      </c>
      <c r="DX25">
        <v>9</v>
      </c>
      <c r="DY25">
        <v>10</v>
      </c>
      <c r="DZ25">
        <v>11</v>
      </c>
      <c r="EA25">
        <v>12</v>
      </c>
      <c r="EB25">
        <v>13</v>
      </c>
      <c r="EC25">
        <v>14</v>
      </c>
      <c r="ED25">
        <v>1</v>
      </c>
      <c r="EE25">
        <v>3</v>
      </c>
      <c r="EF25">
        <v>4</v>
      </c>
      <c r="EG25">
        <v>7</v>
      </c>
      <c r="EH25">
        <v>8</v>
      </c>
      <c r="EI25">
        <v>9</v>
      </c>
      <c r="EJ25">
        <v>10</v>
      </c>
      <c r="EK25">
        <v>13</v>
      </c>
      <c r="EL25">
        <v>14</v>
      </c>
      <c r="EM25">
        <v>15</v>
      </c>
      <c r="EN25">
        <v>16</v>
      </c>
      <c r="EO25">
        <v>22</v>
      </c>
      <c r="EP25">
        <v>23</v>
      </c>
      <c r="EQ25" s="16">
        <v>24</v>
      </c>
    </row>
    <row r="26" spans="1:147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1587</v>
      </c>
      <c r="W26" s="15"/>
      <c r="AC26" t="s">
        <v>264</v>
      </c>
      <c r="AF26" t="s">
        <v>240</v>
      </c>
      <c r="AG26" t="s">
        <v>242</v>
      </c>
      <c r="AH26" t="s">
        <v>268</v>
      </c>
      <c r="AK26" t="s">
        <v>248</v>
      </c>
      <c r="AL26" t="s">
        <v>255</v>
      </c>
      <c r="AM26" t="s">
        <v>220</v>
      </c>
      <c r="AP26" t="s">
        <v>137</v>
      </c>
      <c r="AQ26" t="s">
        <v>138</v>
      </c>
      <c r="AT26" t="s">
        <v>139</v>
      </c>
      <c r="AU26" t="s">
        <v>140</v>
      </c>
      <c r="BD26" s="16"/>
      <c r="BE26" t="str">
        <f t="shared" si="0"/>
        <v>XT25</v>
      </c>
      <c r="BF26" t="str">
        <f t="shared" si="1"/>
        <v>C26</v>
      </c>
      <c r="BG26" t="str">
        <f t="shared" si="2"/>
        <v>B26</v>
      </c>
      <c r="BH26" t="str">
        <f t="shared" si="3"/>
        <v>C27</v>
      </c>
      <c r="BI26" t="str">
        <f t="shared" si="4"/>
        <v>B27</v>
      </c>
      <c r="BJ26" t="str">
        <f t="shared" si="5"/>
        <v>C28</v>
      </c>
      <c r="BK26" t="str">
        <f t="shared" si="6"/>
        <v>B28</v>
      </c>
      <c r="BL26" t="str">
        <f t="shared" si="7"/>
        <v>C29</v>
      </c>
      <c r="BM26" t="str">
        <f t="shared" si="8"/>
        <v>B29</v>
      </c>
      <c r="BN26" t="str">
        <f t="shared" si="9"/>
        <v>C30</v>
      </c>
      <c r="BO26" t="str">
        <f t="shared" si="10"/>
        <v>B30</v>
      </c>
      <c r="BP26" t="str">
        <f t="shared" si="11"/>
        <v>14B</v>
      </c>
      <c r="BQ26" t="str">
        <f t="shared" si="12"/>
        <v>14A</v>
      </c>
      <c r="BR26" t="str">
        <f t="shared" si="18"/>
        <v>15B</v>
      </c>
      <c r="BS26" t="str">
        <f t="shared" si="19"/>
        <v>15A</v>
      </c>
      <c r="BT26" t="str">
        <f t="shared" si="13"/>
        <v>DI5-C25</v>
      </c>
      <c r="BU26" t="str">
        <f t="shared" si="13"/>
        <v>DI5-B25</v>
      </c>
      <c r="BV26" t="str">
        <f t="shared" si="42"/>
        <v>DI5-C26</v>
      </c>
      <c r="BW26" t="str">
        <f t="shared" si="42"/>
        <v>DI5-B26</v>
      </c>
      <c r="BX26" t="str">
        <f t="shared" si="42"/>
        <v>DI5-C27</v>
      </c>
      <c r="BY26" t="str">
        <f t="shared" si="42"/>
        <v>DI5-B27</v>
      </c>
      <c r="BZ26" t="str">
        <f t="shared" si="42"/>
        <v>DI5-C28</v>
      </c>
      <c r="CA26" t="str">
        <f t="shared" si="42"/>
        <v>DI5-B28</v>
      </c>
      <c r="CB26" t="str">
        <f t="shared" si="42"/>
        <v>DI5-C29</v>
      </c>
      <c r="CC26" t="str">
        <f t="shared" si="42"/>
        <v>DI5-B29</v>
      </c>
      <c r="CD26" t="str">
        <f t="shared" si="42"/>
        <v>DI5-C30</v>
      </c>
      <c r="CE26" t="str">
        <f t="shared" si="42"/>
        <v>DI5-B30</v>
      </c>
      <c r="CF26" t="str">
        <f t="shared" si="15"/>
        <v>DO3-13B</v>
      </c>
      <c r="CG26" t="str">
        <f t="shared" si="15"/>
        <v>DO3-13A</v>
      </c>
      <c r="CH26" t="str">
        <f t="shared" si="16"/>
        <v>DO3-14B</v>
      </c>
      <c r="CI26" t="str">
        <f t="shared" si="16"/>
        <v>DO3-14A</v>
      </c>
      <c r="CJ26" t="str">
        <f t="shared" si="16"/>
        <v>DO3-15B</v>
      </c>
      <c r="CK26" t="str">
        <f t="shared" si="16"/>
        <v>DO3-15A</v>
      </c>
      <c r="CL26" t="str">
        <f t="shared" si="20"/>
        <v>K25-10</v>
      </c>
      <c r="CM26" t="str">
        <f t="shared" si="21"/>
        <v>K25-03</v>
      </c>
      <c r="CN26" t="str">
        <f t="shared" si="22"/>
        <v>K25-04</v>
      </c>
      <c r="CO26" t="str">
        <f t="shared" si="23"/>
        <v>K25-01</v>
      </c>
      <c r="CP26" t="str">
        <f t="shared" si="24"/>
        <v>K25-08</v>
      </c>
      <c r="CQ26" t="str">
        <f t="shared" si="25"/>
        <v>K25-02</v>
      </c>
      <c r="CR26" t="str">
        <f t="shared" si="26"/>
        <v>K25-09</v>
      </c>
      <c r="CS26" t="str">
        <f t="shared" si="27"/>
        <v>K25-05</v>
      </c>
      <c r="CT26" t="str">
        <f t="shared" si="28"/>
        <v>K25-11</v>
      </c>
      <c r="CU26" t="str">
        <f t="shared" si="29"/>
        <v>F0-M25-A9</v>
      </c>
      <c r="CV26" t="str">
        <f t="shared" si="30"/>
        <v>F0-M25-A7</v>
      </c>
      <c r="CW26" t="str">
        <f t="shared" si="31"/>
        <v>F0-M25-A8</v>
      </c>
      <c r="CX26" t="str">
        <f t="shared" si="32"/>
        <v>F0-M25-A6</v>
      </c>
      <c r="CY26" t="str">
        <f t="shared" si="33"/>
        <v>F0-M25-A30</v>
      </c>
      <c r="CZ26" t="str">
        <f t="shared" si="34"/>
        <v>F0-M25-N</v>
      </c>
      <c r="DA26" t="str">
        <f t="shared" si="17"/>
        <v>F0-A220-M25</v>
      </c>
      <c r="DB26" t="str">
        <f t="shared" si="35"/>
        <v>F0-M25-XM01</v>
      </c>
      <c r="DC26" t="str">
        <f t="shared" si="36"/>
        <v>F0-M25-A1</v>
      </c>
      <c r="DD26" t="str">
        <f t="shared" si="37"/>
        <v>F0-M25-A5</v>
      </c>
      <c r="DE26" t="str">
        <f t="shared" si="38"/>
        <v>F0-M25-A11</v>
      </c>
      <c r="DF26" t="str">
        <f t="shared" si="39"/>
        <v>F0-M25-A12</v>
      </c>
      <c r="DG26" t="str">
        <f t="shared" si="40"/>
        <v>F0-M25-A19</v>
      </c>
      <c r="DH26" t="str">
        <f t="shared" si="41"/>
        <v>F0-M25-A20</v>
      </c>
      <c r="DI26" t="s">
        <v>142</v>
      </c>
      <c r="DJ26" t="s">
        <v>143</v>
      </c>
      <c r="DK26">
        <v>11</v>
      </c>
      <c r="DL26">
        <v>14</v>
      </c>
      <c r="DM26">
        <v>12</v>
      </c>
      <c r="DN26" t="s">
        <v>144</v>
      </c>
      <c r="DO26" t="s">
        <v>145</v>
      </c>
      <c r="DP26">
        <v>1</v>
      </c>
      <c r="DQ26">
        <v>2</v>
      </c>
      <c r="DR26">
        <v>3</v>
      </c>
      <c r="DS26">
        <v>4</v>
      </c>
      <c r="DT26">
        <v>5</v>
      </c>
      <c r="DU26">
        <v>6</v>
      </c>
      <c r="DV26">
        <v>7</v>
      </c>
      <c r="DW26">
        <v>8</v>
      </c>
      <c r="DX26">
        <v>9</v>
      </c>
      <c r="DY26">
        <v>10</v>
      </c>
      <c r="DZ26">
        <v>11</v>
      </c>
      <c r="EA26">
        <v>12</v>
      </c>
      <c r="EB26">
        <v>13</v>
      </c>
      <c r="EC26">
        <v>14</v>
      </c>
      <c r="ED26">
        <v>1</v>
      </c>
      <c r="EE26">
        <v>3</v>
      </c>
      <c r="EF26">
        <v>4</v>
      </c>
      <c r="EG26">
        <v>7</v>
      </c>
      <c r="EH26">
        <v>8</v>
      </c>
      <c r="EI26">
        <v>9</v>
      </c>
      <c r="EJ26">
        <v>10</v>
      </c>
      <c r="EK26">
        <v>13</v>
      </c>
      <c r="EL26">
        <v>14</v>
      </c>
      <c r="EM26">
        <v>15</v>
      </c>
      <c r="EN26">
        <v>16</v>
      </c>
      <c r="EO26">
        <v>22</v>
      </c>
      <c r="EP26">
        <v>23</v>
      </c>
      <c r="EQ26" s="16">
        <v>24</v>
      </c>
    </row>
    <row r="27" spans="1:147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1588</v>
      </c>
      <c r="W27" s="15"/>
      <c r="AC27" t="s">
        <v>265</v>
      </c>
      <c r="AF27" t="s">
        <v>133</v>
      </c>
      <c r="AG27" t="s">
        <v>134</v>
      </c>
      <c r="AH27" t="s">
        <v>268</v>
      </c>
      <c r="AK27" t="s">
        <v>249</v>
      </c>
      <c r="AL27" t="s">
        <v>256</v>
      </c>
      <c r="AM27" t="s">
        <v>223</v>
      </c>
      <c r="AP27" t="s">
        <v>137</v>
      </c>
      <c r="AQ27" t="s">
        <v>138</v>
      </c>
      <c r="AT27" t="s">
        <v>139</v>
      </c>
      <c r="AU27" t="s">
        <v>140</v>
      </c>
      <c r="BD27" s="16"/>
      <c r="BE27" t="str">
        <f t="shared" si="0"/>
        <v>XT26</v>
      </c>
      <c r="BF27" t="str">
        <f t="shared" si="1"/>
        <v>C2</v>
      </c>
      <c r="BG27" t="str">
        <f t="shared" si="2"/>
        <v>B2</v>
      </c>
      <c r="BH27" t="str">
        <f t="shared" si="3"/>
        <v>C3</v>
      </c>
      <c r="BI27" t="str">
        <f t="shared" si="4"/>
        <v>B3</v>
      </c>
      <c r="BJ27" t="str">
        <f t="shared" si="5"/>
        <v>C4</v>
      </c>
      <c r="BK27" t="str">
        <f t="shared" si="6"/>
        <v>B4</v>
      </c>
      <c r="BL27" t="str">
        <f t="shared" si="7"/>
        <v>C5</v>
      </c>
      <c r="BM27" t="str">
        <f t="shared" si="8"/>
        <v>B5</v>
      </c>
      <c r="BN27" t="str">
        <f t="shared" si="9"/>
        <v>C6</v>
      </c>
      <c r="BO27" t="str">
        <f t="shared" si="10"/>
        <v>B6</v>
      </c>
      <c r="BP27" t="str">
        <f t="shared" si="11"/>
        <v>17B</v>
      </c>
      <c r="BQ27" t="str">
        <f t="shared" si="12"/>
        <v>17A</v>
      </c>
      <c r="BR27" t="str">
        <f t="shared" si="18"/>
        <v>18B</v>
      </c>
      <c r="BS27" t="str">
        <f t="shared" si="19"/>
        <v>18A</v>
      </c>
      <c r="BT27" t="str">
        <f t="shared" si="13"/>
        <v>DI6-C1</v>
      </c>
      <c r="BU27" t="str">
        <f t="shared" si="13"/>
        <v>DI6-B1</v>
      </c>
      <c r="BV27" t="str">
        <f t="shared" si="42"/>
        <v>DI6-C2</v>
      </c>
      <c r="BW27" t="str">
        <f t="shared" si="42"/>
        <v>DI6-B2</v>
      </c>
      <c r="BX27" t="str">
        <f t="shared" si="42"/>
        <v>DI6-C3</v>
      </c>
      <c r="BY27" t="str">
        <f t="shared" si="42"/>
        <v>DI6-B3</v>
      </c>
      <c r="BZ27" t="str">
        <f t="shared" si="42"/>
        <v>DI6-C4</v>
      </c>
      <c r="CA27" t="str">
        <f t="shared" si="42"/>
        <v>DI6-B4</v>
      </c>
      <c r="CB27" t="str">
        <f t="shared" si="42"/>
        <v>DI6-C5</v>
      </c>
      <c r="CC27" t="str">
        <f t="shared" si="42"/>
        <v>DI6-B5</v>
      </c>
      <c r="CD27" t="str">
        <f t="shared" si="42"/>
        <v>DI6-C6</v>
      </c>
      <c r="CE27" t="str">
        <f t="shared" si="42"/>
        <v>DI6-B6</v>
      </c>
      <c r="CF27" t="str">
        <f t="shared" si="15"/>
        <v>DO3-16B</v>
      </c>
      <c r="CG27" t="str">
        <f t="shared" si="15"/>
        <v>DO3-16A</v>
      </c>
      <c r="CH27" t="str">
        <f t="shared" si="16"/>
        <v>DO3-17B</v>
      </c>
      <c r="CI27" t="str">
        <f t="shared" si="16"/>
        <v>DO3-17A</v>
      </c>
      <c r="CJ27" t="str">
        <f t="shared" si="16"/>
        <v>DO3-18B</v>
      </c>
      <c r="CK27" t="str">
        <f t="shared" si="16"/>
        <v>DO3-18A</v>
      </c>
      <c r="CL27" t="str">
        <f t="shared" si="20"/>
        <v>K26-10</v>
      </c>
      <c r="CM27" t="str">
        <f t="shared" si="21"/>
        <v>K26-03</v>
      </c>
      <c r="CN27" t="str">
        <f t="shared" si="22"/>
        <v>K26-04</v>
      </c>
      <c r="CO27" t="str">
        <f t="shared" si="23"/>
        <v>K26-01</v>
      </c>
      <c r="CP27" t="str">
        <f t="shared" si="24"/>
        <v>K26-08</v>
      </c>
      <c r="CQ27" t="str">
        <f t="shared" si="25"/>
        <v>K26-02</v>
      </c>
      <c r="CR27" t="str">
        <f t="shared" si="26"/>
        <v>K26-09</v>
      </c>
      <c r="CS27" t="str">
        <f t="shared" si="27"/>
        <v>K26-05</v>
      </c>
      <c r="CT27" t="str">
        <f t="shared" si="28"/>
        <v>K26-11</v>
      </c>
      <c r="CU27" t="str">
        <f t="shared" si="29"/>
        <v>F0-M26-A9</v>
      </c>
      <c r="CV27" t="str">
        <f t="shared" si="30"/>
        <v>F0-M26-A7</v>
      </c>
      <c r="CW27" t="str">
        <f t="shared" si="31"/>
        <v>F0-M26-A8</v>
      </c>
      <c r="CX27" t="str">
        <f t="shared" si="32"/>
        <v>F0-M26-A6</v>
      </c>
      <c r="CY27" t="str">
        <f t="shared" si="33"/>
        <v>F0-M26-A30</v>
      </c>
      <c r="CZ27" t="str">
        <f t="shared" si="34"/>
        <v>F0-M26-N</v>
      </c>
      <c r="DA27" t="str">
        <f t="shared" si="17"/>
        <v>F0-A220-M26</v>
      </c>
      <c r="DB27" t="str">
        <f t="shared" si="35"/>
        <v>F0-M26-XM01</v>
      </c>
      <c r="DC27" t="str">
        <f t="shared" si="36"/>
        <v>F0-M26-A1</v>
      </c>
      <c r="DD27" t="str">
        <f t="shared" si="37"/>
        <v>F0-M26-A5</v>
      </c>
      <c r="DE27" t="str">
        <f t="shared" si="38"/>
        <v>F0-M26-A11</v>
      </c>
      <c r="DF27" t="str">
        <f t="shared" si="39"/>
        <v>F0-M26-A12</v>
      </c>
      <c r="DG27" t="str">
        <f t="shared" si="40"/>
        <v>F0-M26-A19</v>
      </c>
      <c r="DH27" t="str">
        <f t="shared" si="41"/>
        <v>F0-M26-A20</v>
      </c>
      <c r="DI27" t="s">
        <v>142</v>
      </c>
      <c r="DJ27" t="s">
        <v>143</v>
      </c>
      <c r="DK27">
        <v>11</v>
      </c>
      <c r="DL27">
        <v>14</v>
      </c>
      <c r="DM27">
        <v>12</v>
      </c>
      <c r="DN27" t="s">
        <v>144</v>
      </c>
      <c r="DO27" t="s">
        <v>145</v>
      </c>
      <c r="DP27">
        <v>1</v>
      </c>
      <c r="DQ27">
        <v>2</v>
      </c>
      <c r="DR27">
        <v>3</v>
      </c>
      <c r="DS27">
        <v>4</v>
      </c>
      <c r="DT27">
        <v>5</v>
      </c>
      <c r="DU27">
        <v>6</v>
      </c>
      <c r="DV27">
        <v>7</v>
      </c>
      <c r="DW27">
        <v>8</v>
      </c>
      <c r="DX27">
        <v>9</v>
      </c>
      <c r="DY27">
        <v>10</v>
      </c>
      <c r="DZ27">
        <v>11</v>
      </c>
      <c r="EA27">
        <v>12</v>
      </c>
      <c r="EB27">
        <v>13</v>
      </c>
      <c r="EC27">
        <v>14</v>
      </c>
      <c r="ED27">
        <v>1</v>
      </c>
      <c r="EE27">
        <v>3</v>
      </c>
      <c r="EF27">
        <v>4</v>
      </c>
      <c r="EG27">
        <v>7</v>
      </c>
      <c r="EH27">
        <v>8</v>
      </c>
      <c r="EI27">
        <v>9</v>
      </c>
      <c r="EJ27">
        <v>10</v>
      </c>
      <c r="EK27">
        <v>13</v>
      </c>
      <c r="EL27">
        <v>14</v>
      </c>
      <c r="EM27">
        <v>15</v>
      </c>
      <c r="EN27">
        <v>16</v>
      </c>
      <c r="EO27">
        <v>22</v>
      </c>
      <c r="EP27">
        <v>23</v>
      </c>
      <c r="EQ27" s="16">
        <v>24</v>
      </c>
    </row>
    <row r="28" spans="1:147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1589</v>
      </c>
      <c r="W28" s="15"/>
      <c r="AC28" t="s">
        <v>265</v>
      </c>
      <c r="AF28" t="s">
        <v>148</v>
      </c>
      <c r="AG28" t="s">
        <v>149</v>
      </c>
      <c r="AH28" t="s">
        <v>268</v>
      </c>
      <c r="AK28" t="s">
        <v>250</v>
      </c>
      <c r="AL28" t="s">
        <v>257</v>
      </c>
      <c r="AM28" t="s">
        <v>226</v>
      </c>
      <c r="AP28" t="s">
        <v>137</v>
      </c>
      <c r="AQ28" t="s">
        <v>138</v>
      </c>
      <c r="AT28" t="s">
        <v>139</v>
      </c>
      <c r="AU28" t="s">
        <v>140</v>
      </c>
      <c r="BD28" s="16"/>
      <c r="BE28" t="str">
        <f t="shared" si="0"/>
        <v>XT27</v>
      </c>
      <c r="BF28" t="str">
        <f t="shared" si="1"/>
        <v>C8</v>
      </c>
      <c r="BG28" t="str">
        <f t="shared" si="2"/>
        <v>B8</v>
      </c>
      <c r="BH28" t="str">
        <f t="shared" si="3"/>
        <v>C9</v>
      </c>
      <c r="BI28" t="str">
        <f t="shared" si="4"/>
        <v>B9</v>
      </c>
      <c r="BJ28" t="str">
        <f t="shared" si="5"/>
        <v>C10</v>
      </c>
      <c r="BK28" t="str">
        <f t="shared" si="6"/>
        <v>B10</v>
      </c>
      <c r="BL28" t="str">
        <f t="shared" si="7"/>
        <v>C11</v>
      </c>
      <c r="BM28" t="str">
        <f t="shared" si="8"/>
        <v>B11</v>
      </c>
      <c r="BN28" t="str">
        <f t="shared" si="9"/>
        <v>C12</v>
      </c>
      <c r="BO28" t="str">
        <f t="shared" si="10"/>
        <v>B12</v>
      </c>
      <c r="BP28" t="str">
        <f t="shared" si="11"/>
        <v>20B</v>
      </c>
      <c r="BQ28" t="str">
        <f t="shared" si="12"/>
        <v>20A</v>
      </c>
      <c r="BR28" t="str">
        <f t="shared" si="18"/>
        <v>21B</v>
      </c>
      <c r="BS28" t="str">
        <f t="shared" si="19"/>
        <v>21A</v>
      </c>
      <c r="BT28" t="str">
        <f t="shared" si="13"/>
        <v>DI6-C7</v>
      </c>
      <c r="BU28" t="str">
        <f t="shared" si="13"/>
        <v>DI6-B7</v>
      </c>
      <c r="BV28" t="str">
        <f t="shared" si="42"/>
        <v>DI6-C8</v>
      </c>
      <c r="BW28" t="str">
        <f t="shared" si="42"/>
        <v>DI6-B8</v>
      </c>
      <c r="BX28" t="str">
        <f t="shared" si="42"/>
        <v>DI6-C9</v>
      </c>
      <c r="BY28" t="str">
        <f t="shared" si="42"/>
        <v>DI6-B9</v>
      </c>
      <c r="BZ28" t="str">
        <f t="shared" si="42"/>
        <v>DI6-C10</v>
      </c>
      <c r="CA28" t="str">
        <f t="shared" si="42"/>
        <v>DI6-B10</v>
      </c>
      <c r="CB28" t="str">
        <f t="shared" si="42"/>
        <v>DI6-C11</v>
      </c>
      <c r="CC28" t="str">
        <f t="shared" si="42"/>
        <v>DI6-B11</v>
      </c>
      <c r="CD28" t="str">
        <f t="shared" si="42"/>
        <v>DI6-C12</v>
      </c>
      <c r="CE28" t="str">
        <f t="shared" si="42"/>
        <v>DI6-B12</v>
      </c>
      <c r="CF28" t="str">
        <f t="shared" si="15"/>
        <v>DO3-19B</v>
      </c>
      <c r="CG28" t="str">
        <f t="shared" si="15"/>
        <v>DO3-19A</v>
      </c>
      <c r="CH28" t="str">
        <f t="shared" si="16"/>
        <v>DO3-20B</v>
      </c>
      <c r="CI28" t="str">
        <f t="shared" si="16"/>
        <v>DO3-20A</v>
      </c>
      <c r="CJ28" t="str">
        <f t="shared" si="16"/>
        <v>DO3-21B</v>
      </c>
      <c r="CK28" t="str">
        <f t="shared" si="16"/>
        <v>DO3-21A</v>
      </c>
      <c r="CL28" t="str">
        <f t="shared" si="20"/>
        <v>K27-10</v>
      </c>
      <c r="CM28" t="str">
        <f t="shared" si="21"/>
        <v>K27-03</v>
      </c>
      <c r="CN28" t="str">
        <f t="shared" si="22"/>
        <v>K27-04</v>
      </c>
      <c r="CO28" t="str">
        <f t="shared" si="23"/>
        <v>K27-01</v>
      </c>
      <c r="CP28" t="str">
        <f t="shared" si="24"/>
        <v>K27-08</v>
      </c>
      <c r="CQ28" t="str">
        <f t="shared" si="25"/>
        <v>K27-02</v>
      </c>
      <c r="CR28" t="str">
        <f t="shared" si="26"/>
        <v>K27-09</v>
      </c>
      <c r="CS28" t="str">
        <f t="shared" si="27"/>
        <v>K27-05</v>
      </c>
      <c r="CT28" t="str">
        <f t="shared" si="28"/>
        <v>K27-11</v>
      </c>
      <c r="CU28" t="str">
        <f t="shared" si="29"/>
        <v>F0-M27-A9</v>
      </c>
      <c r="CV28" t="str">
        <f t="shared" si="30"/>
        <v>F0-M27-A7</v>
      </c>
      <c r="CW28" t="str">
        <f t="shared" si="31"/>
        <v>F0-M27-A8</v>
      </c>
      <c r="CX28" t="str">
        <f t="shared" si="32"/>
        <v>F0-M27-A6</v>
      </c>
      <c r="CY28" t="str">
        <f t="shared" si="33"/>
        <v>F0-M27-A30</v>
      </c>
      <c r="CZ28" t="str">
        <f t="shared" si="34"/>
        <v>F0-M27-N</v>
      </c>
      <c r="DA28" t="str">
        <f t="shared" si="17"/>
        <v>F0-A220-M27</v>
      </c>
      <c r="DB28" t="str">
        <f t="shared" si="35"/>
        <v>F0-M27-XM01</v>
      </c>
      <c r="DC28" t="str">
        <f t="shared" si="36"/>
        <v>F0-M27-A1</v>
      </c>
      <c r="DD28" t="str">
        <f t="shared" si="37"/>
        <v>F0-M27-A5</v>
      </c>
      <c r="DE28" t="str">
        <f t="shared" si="38"/>
        <v>F0-M27-A11</v>
      </c>
      <c r="DF28" t="str">
        <f t="shared" si="39"/>
        <v>F0-M27-A12</v>
      </c>
      <c r="DG28" t="str">
        <f t="shared" si="40"/>
        <v>F0-M27-A19</v>
      </c>
      <c r="DH28" t="str">
        <f t="shared" si="41"/>
        <v>F0-M27-A20</v>
      </c>
      <c r="DI28" t="s">
        <v>142</v>
      </c>
      <c r="DJ28" t="s">
        <v>143</v>
      </c>
      <c r="DK28">
        <v>11</v>
      </c>
      <c r="DL28">
        <v>14</v>
      </c>
      <c r="DM28">
        <v>12</v>
      </c>
      <c r="DN28" t="s">
        <v>144</v>
      </c>
      <c r="DO28" t="s">
        <v>145</v>
      </c>
      <c r="DP28">
        <v>1</v>
      </c>
      <c r="DQ28">
        <v>2</v>
      </c>
      <c r="DR28">
        <v>3</v>
      </c>
      <c r="DS28">
        <v>4</v>
      </c>
      <c r="DT28">
        <v>5</v>
      </c>
      <c r="DU28">
        <v>6</v>
      </c>
      <c r="DV28">
        <v>7</v>
      </c>
      <c r="DW28">
        <v>8</v>
      </c>
      <c r="DX28">
        <v>9</v>
      </c>
      <c r="DY28">
        <v>10</v>
      </c>
      <c r="DZ28">
        <v>11</v>
      </c>
      <c r="EA28">
        <v>12</v>
      </c>
      <c r="EB28">
        <v>13</v>
      </c>
      <c r="EC28">
        <v>14</v>
      </c>
      <c r="ED28">
        <v>1</v>
      </c>
      <c r="EE28">
        <v>3</v>
      </c>
      <c r="EF28">
        <v>4</v>
      </c>
      <c r="EG28">
        <v>7</v>
      </c>
      <c r="EH28">
        <v>8</v>
      </c>
      <c r="EI28">
        <v>9</v>
      </c>
      <c r="EJ28">
        <v>10</v>
      </c>
      <c r="EK28">
        <v>13</v>
      </c>
      <c r="EL28">
        <v>14</v>
      </c>
      <c r="EM28">
        <v>15</v>
      </c>
      <c r="EN28">
        <v>16</v>
      </c>
      <c r="EO28">
        <v>22</v>
      </c>
      <c r="EP28">
        <v>23</v>
      </c>
      <c r="EQ28" s="16">
        <v>24</v>
      </c>
    </row>
    <row r="29" spans="1:147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1590</v>
      </c>
      <c r="W29" s="15"/>
      <c r="AC29" t="s">
        <v>265</v>
      </c>
      <c r="AF29" t="s">
        <v>153</v>
      </c>
      <c r="AG29" t="s">
        <v>154</v>
      </c>
      <c r="AH29" t="s">
        <v>268</v>
      </c>
      <c r="AK29" t="s">
        <v>251</v>
      </c>
      <c r="AL29" t="s">
        <v>258</v>
      </c>
      <c r="AM29" t="s">
        <v>229</v>
      </c>
      <c r="AP29" t="s">
        <v>137</v>
      </c>
      <c r="AQ29" t="s">
        <v>138</v>
      </c>
      <c r="AT29" t="s">
        <v>139</v>
      </c>
      <c r="AU29" t="s">
        <v>140</v>
      </c>
      <c r="BD29" s="16"/>
      <c r="BE29" t="str">
        <f t="shared" si="0"/>
        <v>XT28</v>
      </c>
      <c r="BF29" t="str">
        <f t="shared" si="1"/>
        <v>C14</v>
      </c>
      <c r="BG29" t="str">
        <f t="shared" si="2"/>
        <v>B14</v>
      </c>
      <c r="BH29" t="str">
        <f t="shared" si="3"/>
        <v>C15</v>
      </c>
      <c r="BI29" t="str">
        <f t="shared" si="4"/>
        <v>B15</v>
      </c>
      <c r="BJ29" t="str">
        <f t="shared" si="5"/>
        <v>C16</v>
      </c>
      <c r="BK29" t="str">
        <f t="shared" si="6"/>
        <v>B16</v>
      </c>
      <c r="BL29" t="str">
        <f t="shared" si="7"/>
        <v>C17</v>
      </c>
      <c r="BM29" t="str">
        <f t="shared" si="8"/>
        <v>B17</v>
      </c>
      <c r="BN29" t="str">
        <f t="shared" si="9"/>
        <v>C18</v>
      </c>
      <c r="BO29" t="str">
        <f t="shared" si="10"/>
        <v>B18</v>
      </c>
      <c r="BP29" t="str">
        <f t="shared" si="11"/>
        <v>23B</v>
      </c>
      <c r="BQ29" t="str">
        <f t="shared" si="12"/>
        <v>23A</v>
      </c>
      <c r="BR29" t="str">
        <f t="shared" si="18"/>
        <v>24B</v>
      </c>
      <c r="BS29" t="str">
        <f t="shared" si="19"/>
        <v>24A</v>
      </c>
      <c r="BT29" t="str">
        <f t="shared" si="13"/>
        <v>DI6-C13</v>
      </c>
      <c r="BU29" t="str">
        <f t="shared" si="13"/>
        <v>DI6-B13</v>
      </c>
      <c r="BV29" t="str">
        <f t="shared" si="42"/>
        <v>DI6-C14</v>
      </c>
      <c r="BW29" t="str">
        <f t="shared" si="42"/>
        <v>DI6-B14</v>
      </c>
      <c r="BX29" t="str">
        <f t="shared" si="42"/>
        <v>DI6-C15</v>
      </c>
      <c r="BY29" t="str">
        <f t="shared" si="42"/>
        <v>DI6-B15</v>
      </c>
      <c r="BZ29" t="str">
        <f t="shared" si="42"/>
        <v>DI6-C16</v>
      </c>
      <c r="CA29" t="str">
        <f t="shared" si="42"/>
        <v>DI6-B16</v>
      </c>
      <c r="CB29" t="str">
        <f t="shared" si="42"/>
        <v>DI6-C17</v>
      </c>
      <c r="CC29" t="str">
        <f t="shared" si="42"/>
        <v>DI6-B17</v>
      </c>
      <c r="CD29" t="str">
        <f t="shared" si="42"/>
        <v>DI6-C18</v>
      </c>
      <c r="CE29" t="str">
        <f t="shared" si="42"/>
        <v>DI6-B18</v>
      </c>
      <c r="CF29" t="str">
        <f t="shared" si="15"/>
        <v>DO3-22B</v>
      </c>
      <c r="CG29" t="str">
        <f t="shared" si="15"/>
        <v>DO3-22A</v>
      </c>
      <c r="CH29" t="str">
        <f t="shared" si="16"/>
        <v>DO3-23B</v>
      </c>
      <c r="CI29" t="str">
        <f t="shared" si="16"/>
        <v>DO3-23A</v>
      </c>
      <c r="CJ29" t="str">
        <f t="shared" si="16"/>
        <v>DO3-24B</v>
      </c>
      <c r="CK29" t="str">
        <f t="shared" si="16"/>
        <v>DO3-24A</v>
      </c>
      <c r="CL29" t="str">
        <f t="shared" si="20"/>
        <v>K28-10</v>
      </c>
      <c r="CM29" t="str">
        <f t="shared" si="21"/>
        <v>K28-03</v>
      </c>
      <c r="CN29" t="str">
        <f t="shared" si="22"/>
        <v>K28-04</v>
      </c>
      <c r="CO29" t="str">
        <f t="shared" si="23"/>
        <v>K28-01</v>
      </c>
      <c r="CP29" t="str">
        <f t="shared" si="24"/>
        <v>K28-08</v>
      </c>
      <c r="CQ29" t="str">
        <f t="shared" si="25"/>
        <v>K28-02</v>
      </c>
      <c r="CR29" t="str">
        <f t="shared" si="26"/>
        <v>K28-09</v>
      </c>
      <c r="CS29" t="str">
        <f t="shared" si="27"/>
        <v>K28-05</v>
      </c>
      <c r="CT29" t="str">
        <f t="shared" si="28"/>
        <v>K28-11</v>
      </c>
      <c r="CU29" t="str">
        <f t="shared" si="29"/>
        <v>F0-M28-A9</v>
      </c>
      <c r="CV29" t="str">
        <f t="shared" si="30"/>
        <v>F0-M28-A7</v>
      </c>
      <c r="CW29" t="str">
        <f t="shared" si="31"/>
        <v>F0-M28-A8</v>
      </c>
      <c r="CX29" t="str">
        <f t="shared" si="32"/>
        <v>F0-M28-A6</v>
      </c>
      <c r="CY29" t="str">
        <f t="shared" si="33"/>
        <v>F0-M28-A30</v>
      </c>
      <c r="CZ29" t="str">
        <f t="shared" si="34"/>
        <v>F0-M28-N</v>
      </c>
      <c r="DA29" t="str">
        <f t="shared" si="17"/>
        <v>F0-A220-M28</v>
      </c>
      <c r="DB29" t="str">
        <f t="shared" si="35"/>
        <v>F0-M28-XM01</v>
      </c>
      <c r="DC29" t="str">
        <f t="shared" si="36"/>
        <v>F0-M28-A1</v>
      </c>
      <c r="DD29" t="str">
        <f t="shared" si="37"/>
        <v>F0-M28-A5</v>
      </c>
      <c r="DE29" t="str">
        <f t="shared" si="38"/>
        <v>F0-M28-A11</v>
      </c>
      <c r="DF29" t="str">
        <f t="shared" si="39"/>
        <v>F0-M28-A12</v>
      </c>
      <c r="DG29" t="str">
        <f t="shared" si="40"/>
        <v>F0-M28-A19</v>
      </c>
      <c r="DH29" t="str">
        <f t="shared" si="41"/>
        <v>F0-M28-A20</v>
      </c>
      <c r="DI29" t="s">
        <v>142</v>
      </c>
      <c r="DJ29" t="s">
        <v>143</v>
      </c>
      <c r="DK29">
        <v>11</v>
      </c>
      <c r="DL29">
        <v>14</v>
      </c>
      <c r="DM29">
        <v>12</v>
      </c>
      <c r="DN29" t="s">
        <v>144</v>
      </c>
      <c r="DO29" t="s">
        <v>145</v>
      </c>
      <c r="DP29">
        <v>1</v>
      </c>
      <c r="DQ29">
        <v>2</v>
      </c>
      <c r="DR29">
        <v>3</v>
      </c>
      <c r="DS29">
        <v>4</v>
      </c>
      <c r="DT29">
        <v>5</v>
      </c>
      <c r="DU29">
        <v>6</v>
      </c>
      <c r="DV29">
        <v>7</v>
      </c>
      <c r="DW29">
        <v>8</v>
      </c>
      <c r="DX29">
        <v>9</v>
      </c>
      <c r="DY29">
        <v>10</v>
      </c>
      <c r="DZ29">
        <v>11</v>
      </c>
      <c r="EA29">
        <v>12</v>
      </c>
      <c r="EB29">
        <v>13</v>
      </c>
      <c r="EC29">
        <v>14</v>
      </c>
      <c r="ED29">
        <v>1</v>
      </c>
      <c r="EE29">
        <v>3</v>
      </c>
      <c r="EF29">
        <v>4</v>
      </c>
      <c r="EG29">
        <v>7</v>
      </c>
      <c r="EH29">
        <v>8</v>
      </c>
      <c r="EI29">
        <v>9</v>
      </c>
      <c r="EJ29">
        <v>10</v>
      </c>
      <c r="EK29">
        <v>13</v>
      </c>
      <c r="EL29">
        <v>14</v>
      </c>
      <c r="EM29">
        <v>15</v>
      </c>
      <c r="EN29">
        <v>16</v>
      </c>
      <c r="EO29">
        <v>22</v>
      </c>
      <c r="EP29">
        <v>23</v>
      </c>
      <c r="EQ29" s="16">
        <v>24</v>
      </c>
    </row>
    <row r="30" spans="1:147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1591</v>
      </c>
      <c r="W30" s="15"/>
      <c r="AC30" t="s">
        <v>265</v>
      </c>
      <c r="AF30" t="s">
        <v>239</v>
      </c>
      <c r="AG30" t="s">
        <v>241</v>
      </c>
      <c r="AH30" t="s">
        <v>268</v>
      </c>
      <c r="AK30" t="s">
        <v>252</v>
      </c>
      <c r="AL30" t="s">
        <v>259</v>
      </c>
      <c r="AM30" t="s">
        <v>232</v>
      </c>
      <c r="AP30" t="s">
        <v>137</v>
      </c>
      <c r="AQ30" t="s">
        <v>138</v>
      </c>
      <c r="AT30" t="s">
        <v>139</v>
      </c>
      <c r="AU30" t="s">
        <v>140</v>
      </c>
      <c r="BD30" s="16"/>
      <c r="BE30" t="str">
        <f t="shared" si="0"/>
        <v>XT29</v>
      </c>
      <c r="BF30" t="str">
        <f t="shared" si="1"/>
        <v>C20</v>
      </c>
      <c r="BG30" t="str">
        <f t="shared" si="2"/>
        <v>B20</v>
      </c>
      <c r="BH30" t="str">
        <f t="shared" si="3"/>
        <v>C21</v>
      </c>
      <c r="BI30" t="str">
        <f t="shared" si="4"/>
        <v>B21</v>
      </c>
      <c r="BJ30" t="str">
        <f t="shared" si="5"/>
        <v>C22</v>
      </c>
      <c r="BK30" t="str">
        <f t="shared" si="6"/>
        <v>B22</v>
      </c>
      <c r="BL30" t="str">
        <f t="shared" si="7"/>
        <v>C23</v>
      </c>
      <c r="BM30" t="str">
        <f t="shared" si="8"/>
        <v>B23</v>
      </c>
      <c r="BN30" t="str">
        <f t="shared" si="9"/>
        <v>C24</v>
      </c>
      <c r="BO30" t="str">
        <f t="shared" si="10"/>
        <v>B24</v>
      </c>
      <c r="BP30" t="str">
        <f t="shared" si="11"/>
        <v>26B</v>
      </c>
      <c r="BQ30" t="str">
        <f t="shared" si="12"/>
        <v>26A</v>
      </c>
      <c r="BR30" t="str">
        <f t="shared" si="18"/>
        <v>27B</v>
      </c>
      <c r="BS30" t="str">
        <f t="shared" si="19"/>
        <v>27A</v>
      </c>
      <c r="BT30" t="str">
        <f t="shared" si="13"/>
        <v>DI6-C19</v>
      </c>
      <c r="BU30" t="str">
        <f t="shared" si="13"/>
        <v>DI6-B19</v>
      </c>
      <c r="BV30" t="str">
        <f t="shared" si="42"/>
        <v>DI6-C20</v>
      </c>
      <c r="BW30" t="str">
        <f t="shared" si="42"/>
        <v>DI6-B20</v>
      </c>
      <c r="BX30" t="str">
        <f t="shared" si="42"/>
        <v>DI6-C21</v>
      </c>
      <c r="BY30" t="str">
        <f t="shared" si="42"/>
        <v>DI6-B21</v>
      </c>
      <c r="BZ30" t="str">
        <f t="shared" si="42"/>
        <v>DI6-C22</v>
      </c>
      <c r="CA30" t="str">
        <f t="shared" si="42"/>
        <v>DI6-B22</v>
      </c>
      <c r="CB30" t="str">
        <f t="shared" si="42"/>
        <v>DI6-C23</v>
      </c>
      <c r="CC30" t="str">
        <f t="shared" si="42"/>
        <v>DI6-B23</v>
      </c>
      <c r="CD30" t="str">
        <f t="shared" si="42"/>
        <v>DI6-C24</v>
      </c>
      <c r="CE30" t="str">
        <f t="shared" si="42"/>
        <v>DI6-B24</v>
      </c>
      <c r="CF30" t="str">
        <f t="shared" si="15"/>
        <v>DO3-25B</v>
      </c>
      <c r="CG30" t="str">
        <f t="shared" si="15"/>
        <v>DO3-25A</v>
      </c>
      <c r="CH30" t="str">
        <f t="shared" si="16"/>
        <v>DO3-26B</v>
      </c>
      <c r="CI30" t="str">
        <f t="shared" si="16"/>
        <v>DO3-26A</v>
      </c>
      <c r="CJ30" t="str">
        <f t="shared" si="16"/>
        <v>DO3-27B</v>
      </c>
      <c r="CK30" t="str">
        <f t="shared" si="16"/>
        <v>DO3-27A</v>
      </c>
      <c r="CL30" t="str">
        <f t="shared" si="20"/>
        <v>K29-10</v>
      </c>
      <c r="CM30" t="str">
        <f t="shared" si="21"/>
        <v>K29-03</v>
      </c>
      <c r="CN30" t="str">
        <f t="shared" si="22"/>
        <v>K29-04</v>
      </c>
      <c r="CO30" t="str">
        <f t="shared" si="23"/>
        <v>K29-01</v>
      </c>
      <c r="CP30" t="str">
        <f t="shared" si="24"/>
        <v>K29-08</v>
      </c>
      <c r="CQ30" t="str">
        <f t="shared" si="25"/>
        <v>K29-02</v>
      </c>
      <c r="CR30" t="str">
        <f t="shared" si="26"/>
        <v>K29-09</v>
      </c>
      <c r="CS30" t="str">
        <f t="shared" si="27"/>
        <v>K29-05</v>
      </c>
      <c r="CT30" t="str">
        <f t="shared" si="28"/>
        <v>K29-11</v>
      </c>
      <c r="CU30" t="str">
        <f t="shared" si="29"/>
        <v>F0-M29-A9</v>
      </c>
      <c r="CV30" t="str">
        <f t="shared" si="30"/>
        <v>F0-M29-A7</v>
      </c>
      <c r="CW30" t="str">
        <f t="shared" si="31"/>
        <v>F0-M29-A8</v>
      </c>
      <c r="CX30" t="str">
        <f t="shared" si="32"/>
        <v>F0-M29-A6</v>
      </c>
      <c r="CY30" t="str">
        <f t="shared" si="33"/>
        <v>F0-M29-A30</v>
      </c>
      <c r="CZ30" t="str">
        <f t="shared" si="34"/>
        <v>F0-M29-N</v>
      </c>
      <c r="DA30" t="str">
        <f t="shared" si="17"/>
        <v>F0-A220-M29</v>
      </c>
      <c r="DB30" t="str">
        <f t="shared" si="35"/>
        <v>F0-M29-XM01</v>
      </c>
      <c r="DC30" t="str">
        <f t="shared" si="36"/>
        <v>F0-M29-A1</v>
      </c>
      <c r="DD30" t="str">
        <f t="shared" si="37"/>
        <v>F0-M29-A5</v>
      </c>
      <c r="DE30" t="str">
        <f t="shared" si="38"/>
        <v>F0-M29-A11</v>
      </c>
      <c r="DF30" t="str">
        <f t="shared" si="39"/>
        <v>F0-M29-A12</v>
      </c>
      <c r="DG30" t="str">
        <f t="shared" si="40"/>
        <v>F0-M29-A19</v>
      </c>
      <c r="DH30" t="str">
        <f t="shared" si="41"/>
        <v>F0-M29-A20</v>
      </c>
      <c r="DI30" t="s">
        <v>142</v>
      </c>
      <c r="DJ30" t="s">
        <v>143</v>
      </c>
      <c r="DK30">
        <v>11</v>
      </c>
      <c r="DL30">
        <v>14</v>
      </c>
      <c r="DM30">
        <v>12</v>
      </c>
      <c r="DN30" t="s">
        <v>144</v>
      </c>
      <c r="DO30" t="s">
        <v>145</v>
      </c>
      <c r="DP30">
        <v>1</v>
      </c>
      <c r="DQ30">
        <v>2</v>
      </c>
      <c r="DR30">
        <v>3</v>
      </c>
      <c r="DS30">
        <v>4</v>
      </c>
      <c r="DT30">
        <v>5</v>
      </c>
      <c r="DU30">
        <v>6</v>
      </c>
      <c r="DV30">
        <v>7</v>
      </c>
      <c r="DW30">
        <v>8</v>
      </c>
      <c r="DX30">
        <v>9</v>
      </c>
      <c r="DY30">
        <v>10</v>
      </c>
      <c r="DZ30">
        <v>11</v>
      </c>
      <c r="EA30">
        <v>12</v>
      </c>
      <c r="EB30">
        <v>13</v>
      </c>
      <c r="EC30">
        <v>14</v>
      </c>
      <c r="ED30">
        <v>1</v>
      </c>
      <c r="EE30">
        <v>3</v>
      </c>
      <c r="EF30">
        <v>4</v>
      </c>
      <c r="EG30">
        <v>7</v>
      </c>
      <c r="EH30">
        <v>8</v>
      </c>
      <c r="EI30">
        <v>9</v>
      </c>
      <c r="EJ30">
        <v>10</v>
      </c>
      <c r="EK30">
        <v>13</v>
      </c>
      <c r="EL30">
        <v>14</v>
      </c>
      <c r="EM30">
        <v>15</v>
      </c>
      <c r="EN30">
        <v>16</v>
      </c>
      <c r="EO30">
        <v>22</v>
      </c>
      <c r="EP30">
        <v>23</v>
      </c>
      <c r="EQ30" s="16">
        <v>24</v>
      </c>
    </row>
    <row r="31" spans="1:147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1592</v>
      </c>
      <c r="W31" s="15"/>
      <c r="AC31" t="s">
        <v>265</v>
      </c>
      <c r="AF31" t="s">
        <v>240</v>
      </c>
      <c r="AG31" t="s">
        <v>242</v>
      </c>
      <c r="AH31" t="s">
        <v>268</v>
      </c>
      <c r="AK31" t="s">
        <v>253</v>
      </c>
      <c r="AL31" t="s">
        <v>260</v>
      </c>
      <c r="AM31" t="s">
        <v>235</v>
      </c>
      <c r="AP31" t="s">
        <v>137</v>
      </c>
      <c r="AQ31" t="s">
        <v>138</v>
      </c>
      <c r="AT31" t="s">
        <v>139</v>
      </c>
      <c r="AU31" t="s">
        <v>140</v>
      </c>
      <c r="BD31" s="16"/>
      <c r="BE31" t="str">
        <f t="shared" si="0"/>
        <v>XT30</v>
      </c>
      <c r="BF31" t="str">
        <f t="shared" si="1"/>
        <v>C26</v>
      </c>
      <c r="BG31" t="str">
        <f t="shared" si="2"/>
        <v>B26</v>
      </c>
      <c r="BH31" t="str">
        <f t="shared" si="3"/>
        <v>C27</v>
      </c>
      <c r="BI31" t="str">
        <f t="shared" si="4"/>
        <v>B27</v>
      </c>
      <c r="BJ31" t="str">
        <f t="shared" si="5"/>
        <v>C28</v>
      </c>
      <c r="BK31" t="str">
        <f t="shared" si="6"/>
        <v>B28</v>
      </c>
      <c r="BL31" t="str">
        <f t="shared" si="7"/>
        <v>C29</v>
      </c>
      <c r="BM31" t="str">
        <f t="shared" si="8"/>
        <v>B29</v>
      </c>
      <c r="BN31" t="str">
        <f t="shared" si="9"/>
        <v>C30</v>
      </c>
      <c r="BO31" t="str">
        <f t="shared" si="10"/>
        <v>B30</v>
      </c>
      <c r="BP31" t="str">
        <f t="shared" si="11"/>
        <v>29B</v>
      </c>
      <c r="BQ31" t="str">
        <f t="shared" si="12"/>
        <v>29A</v>
      </c>
      <c r="BR31" t="str">
        <f t="shared" si="18"/>
        <v>30B</v>
      </c>
      <c r="BS31" t="str">
        <f t="shared" si="19"/>
        <v>30A</v>
      </c>
      <c r="BT31" t="str">
        <f t="shared" si="13"/>
        <v>DI6-C25</v>
      </c>
      <c r="BU31" t="str">
        <f t="shared" si="13"/>
        <v>DI6-B25</v>
      </c>
      <c r="BV31" t="str">
        <f t="shared" si="42"/>
        <v>DI6-C26</v>
      </c>
      <c r="BW31" t="str">
        <f t="shared" si="42"/>
        <v>DI6-B26</v>
      </c>
      <c r="BX31" t="str">
        <f t="shared" si="42"/>
        <v>DI6-C27</v>
      </c>
      <c r="BY31" t="str">
        <f t="shared" si="42"/>
        <v>DI6-B27</v>
      </c>
      <c r="BZ31" t="str">
        <f t="shared" si="42"/>
        <v>DI6-C28</v>
      </c>
      <c r="CA31" t="str">
        <f t="shared" si="42"/>
        <v>DI6-B28</v>
      </c>
      <c r="CB31" t="str">
        <f t="shared" si="42"/>
        <v>DI6-C29</v>
      </c>
      <c r="CC31" t="str">
        <f t="shared" si="42"/>
        <v>DI6-B29</v>
      </c>
      <c r="CD31" t="str">
        <f t="shared" si="42"/>
        <v>DI6-C30</v>
      </c>
      <c r="CE31" t="str">
        <f t="shared" si="42"/>
        <v>DI6-B30</v>
      </c>
      <c r="CF31" t="str">
        <f t="shared" si="15"/>
        <v>DO3-28B</v>
      </c>
      <c r="CG31" t="str">
        <f t="shared" si="15"/>
        <v>DO3-28A</v>
      </c>
      <c r="CH31" t="str">
        <f t="shared" si="16"/>
        <v>DO3-29B</v>
      </c>
      <c r="CI31" t="str">
        <f t="shared" si="16"/>
        <v>DO3-29A</v>
      </c>
      <c r="CJ31" t="str">
        <f t="shared" si="16"/>
        <v>DO3-30B</v>
      </c>
      <c r="CK31" t="str">
        <f t="shared" si="16"/>
        <v>DO3-30A</v>
      </c>
      <c r="CL31" t="str">
        <f t="shared" si="20"/>
        <v>K30-10</v>
      </c>
      <c r="CM31" t="str">
        <f t="shared" si="21"/>
        <v>K30-03</v>
      </c>
      <c r="CN31" t="str">
        <f t="shared" si="22"/>
        <v>K30-04</v>
      </c>
      <c r="CO31" t="str">
        <f t="shared" si="23"/>
        <v>K30-01</v>
      </c>
      <c r="CP31" t="str">
        <f t="shared" si="24"/>
        <v>K30-08</v>
      </c>
      <c r="CQ31" t="str">
        <f t="shared" si="25"/>
        <v>K30-02</v>
      </c>
      <c r="CR31" t="str">
        <f t="shared" si="26"/>
        <v>K30-09</v>
      </c>
      <c r="CS31" t="str">
        <f t="shared" si="27"/>
        <v>K30-05</v>
      </c>
      <c r="CT31" t="str">
        <f t="shared" si="28"/>
        <v>K30-11</v>
      </c>
      <c r="CU31" t="str">
        <f t="shared" si="29"/>
        <v>F0-M30-A9</v>
      </c>
      <c r="CV31" t="str">
        <f t="shared" si="30"/>
        <v>F0-M30-A7</v>
      </c>
      <c r="CW31" t="str">
        <f t="shared" si="31"/>
        <v>F0-M30-A8</v>
      </c>
      <c r="CX31" t="str">
        <f t="shared" si="32"/>
        <v>F0-M30-A6</v>
      </c>
      <c r="CY31" t="str">
        <f t="shared" si="33"/>
        <v>F0-M30-A30</v>
      </c>
      <c r="CZ31" t="str">
        <f t="shared" si="34"/>
        <v>F0-M30-N</v>
      </c>
      <c r="DA31" t="str">
        <f t="shared" si="17"/>
        <v>F0-A220-M30</v>
      </c>
      <c r="DB31" t="str">
        <f t="shared" si="35"/>
        <v>F0-M30-XM01</v>
      </c>
      <c r="DC31" t="str">
        <f t="shared" si="36"/>
        <v>F0-M30-A1</v>
      </c>
      <c r="DD31" t="str">
        <f t="shared" si="37"/>
        <v>F0-M30-A5</v>
      </c>
      <c r="DE31" t="str">
        <f t="shared" si="38"/>
        <v>F0-M30-A11</v>
      </c>
      <c r="DF31" t="str">
        <f t="shared" si="39"/>
        <v>F0-M30-A12</v>
      </c>
      <c r="DG31" t="str">
        <f t="shared" si="40"/>
        <v>F0-M30-A19</v>
      </c>
      <c r="DH31" t="str">
        <f t="shared" si="41"/>
        <v>F0-M30-A20</v>
      </c>
      <c r="DI31" t="s">
        <v>142</v>
      </c>
      <c r="DJ31" t="s">
        <v>143</v>
      </c>
      <c r="DK31">
        <v>11</v>
      </c>
      <c r="DL31">
        <v>14</v>
      </c>
      <c r="DM31">
        <v>12</v>
      </c>
      <c r="DN31" t="s">
        <v>144</v>
      </c>
      <c r="DO31" t="s">
        <v>145</v>
      </c>
      <c r="DP31">
        <v>1</v>
      </c>
      <c r="DQ31">
        <v>2</v>
      </c>
      <c r="DR31">
        <v>3</v>
      </c>
      <c r="DS31">
        <v>4</v>
      </c>
      <c r="DT31">
        <v>5</v>
      </c>
      <c r="DU31">
        <v>6</v>
      </c>
      <c r="DV31">
        <v>7</v>
      </c>
      <c r="DW31">
        <v>8</v>
      </c>
      <c r="DX31">
        <v>9</v>
      </c>
      <c r="DY31">
        <v>10</v>
      </c>
      <c r="DZ31">
        <v>11</v>
      </c>
      <c r="EA31">
        <v>12</v>
      </c>
      <c r="EB31">
        <v>13</v>
      </c>
      <c r="EC31">
        <v>14</v>
      </c>
      <c r="ED31">
        <v>1</v>
      </c>
      <c r="EE31">
        <v>3</v>
      </c>
      <c r="EF31">
        <v>4</v>
      </c>
      <c r="EG31">
        <v>7</v>
      </c>
      <c r="EH31">
        <v>8</v>
      </c>
      <c r="EI31">
        <v>9</v>
      </c>
      <c r="EJ31">
        <v>10</v>
      </c>
      <c r="EK31">
        <v>13</v>
      </c>
      <c r="EL31">
        <v>14</v>
      </c>
      <c r="EM31">
        <v>15</v>
      </c>
      <c r="EN31">
        <v>16</v>
      </c>
      <c r="EO31">
        <v>22</v>
      </c>
      <c r="EP31">
        <v>23</v>
      </c>
      <c r="EQ31" s="16">
        <v>24</v>
      </c>
    </row>
    <row r="32" spans="1:147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1593</v>
      </c>
      <c r="W32" s="18"/>
      <c r="X32" s="19"/>
      <c r="Y32" s="19"/>
      <c r="Z32" s="19"/>
      <c r="AA32" s="19"/>
      <c r="AB32" s="19"/>
      <c r="AC32" s="19" t="s">
        <v>266</v>
      </c>
      <c r="AD32" s="19"/>
      <c r="AE32" s="19"/>
      <c r="AF32" s="19" t="s">
        <v>133</v>
      </c>
      <c r="AG32" s="19" t="s">
        <v>134</v>
      </c>
      <c r="AH32" s="19" t="s">
        <v>269</v>
      </c>
      <c r="AI32" s="19"/>
      <c r="AJ32" s="19"/>
      <c r="AK32" s="19" t="s">
        <v>135</v>
      </c>
      <c r="AL32" s="19" t="s">
        <v>136</v>
      </c>
      <c r="AM32" s="19" t="s">
        <v>238</v>
      </c>
      <c r="AN32" s="19"/>
      <c r="AO32" s="19"/>
      <c r="AP32" s="19" t="s">
        <v>137</v>
      </c>
      <c r="AQ32" s="19" t="s">
        <v>138</v>
      </c>
      <c r="AR32" s="19"/>
      <c r="AS32" s="19"/>
      <c r="AT32" s="19" t="s">
        <v>139</v>
      </c>
      <c r="AU32" s="19" t="s">
        <v>140</v>
      </c>
      <c r="AX32" s="19"/>
      <c r="BD32" s="16"/>
      <c r="BE32" s="19" t="str">
        <f t="shared" si="0"/>
        <v>XT31</v>
      </c>
      <c r="BF32" s="19" t="str">
        <f t="shared" si="1"/>
        <v>C2</v>
      </c>
      <c r="BG32" s="19" t="str">
        <f t="shared" si="2"/>
        <v>B2</v>
      </c>
      <c r="BH32" s="19" t="str">
        <f t="shared" si="3"/>
        <v>C3</v>
      </c>
      <c r="BI32" s="19" t="str">
        <f t="shared" si="4"/>
        <v>B3</v>
      </c>
      <c r="BJ32" s="19" t="str">
        <f t="shared" si="5"/>
        <v>C4</v>
      </c>
      <c r="BK32" s="19" t="str">
        <f t="shared" si="6"/>
        <v>B4</v>
      </c>
      <c r="BL32" s="19" t="str">
        <f t="shared" si="7"/>
        <v>C5</v>
      </c>
      <c r="BM32" s="19" t="str">
        <f t="shared" si="8"/>
        <v>B5</v>
      </c>
      <c r="BN32" s="19" t="str">
        <f t="shared" si="9"/>
        <v>C6</v>
      </c>
      <c r="BO32" s="19" t="str">
        <f t="shared" si="10"/>
        <v>B6</v>
      </c>
      <c r="BP32" s="19" t="str">
        <f t="shared" si="11"/>
        <v>2B</v>
      </c>
      <c r="BQ32" s="19" t="str">
        <f t="shared" si="12"/>
        <v>2A</v>
      </c>
      <c r="BR32" s="19" t="str">
        <f t="shared" si="18"/>
        <v>3B</v>
      </c>
      <c r="BS32" s="19" t="str">
        <f t="shared" si="19"/>
        <v>3A</v>
      </c>
      <c r="BT32" s="19" t="str">
        <f t="shared" si="13"/>
        <v>DI7-C1</v>
      </c>
      <c r="BU32" s="19" t="str">
        <f t="shared" si="13"/>
        <v>DI7-B1</v>
      </c>
      <c r="BV32" s="19" t="str">
        <f t="shared" si="42"/>
        <v>DI7-C2</v>
      </c>
      <c r="BW32" s="19" t="str">
        <f t="shared" si="42"/>
        <v>DI7-B2</v>
      </c>
      <c r="BX32" s="19" t="str">
        <f t="shared" si="42"/>
        <v>DI7-C3</v>
      </c>
      <c r="BY32" s="19" t="str">
        <f t="shared" si="42"/>
        <v>DI7-B3</v>
      </c>
      <c r="BZ32" s="19" t="str">
        <f t="shared" si="42"/>
        <v>DI7-C4</v>
      </c>
      <c r="CA32" s="19" t="str">
        <f t="shared" si="42"/>
        <v>DI7-B4</v>
      </c>
      <c r="CB32" s="19" t="str">
        <f t="shared" si="42"/>
        <v>DI7-C5</v>
      </c>
      <c r="CC32" s="19" t="str">
        <f t="shared" si="42"/>
        <v>DI7-B5</v>
      </c>
      <c r="CD32" s="19" t="str">
        <f t="shared" si="42"/>
        <v>DI7-C6</v>
      </c>
      <c r="CE32" s="19" t="str">
        <f t="shared" si="42"/>
        <v>DI7-B6</v>
      </c>
      <c r="CF32" s="19" t="str">
        <f t="shared" si="15"/>
        <v>DO4-1B</v>
      </c>
      <c r="CG32" s="19" t="str">
        <f t="shared" si="15"/>
        <v>DO4-1A</v>
      </c>
      <c r="CH32" s="19" t="str">
        <f t="shared" si="16"/>
        <v>DO4-2B</v>
      </c>
      <c r="CI32" s="19" t="str">
        <f t="shared" si="16"/>
        <v>DO4-2A</v>
      </c>
      <c r="CJ32" s="19" t="str">
        <f t="shared" si="16"/>
        <v>DO4-3B</v>
      </c>
      <c r="CK32" s="19" t="str">
        <f t="shared" si="16"/>
        <v>DO4-3A</v>
      </c>
      <c r="CL32" s="19" t="str">
        <f t="shared" si="20"/>
        <v>K31-10</v>
      </c>
      <c r="CM32" s="19" t="str">
        <f t="shared" si="21"/>
        <v>K31-03</v>
      </c>
      <c r="CN32" s="19" t="str">
        <f t="shared" si="22"/>
        <v>K31-04</v>
      </c>
      <c r="CO32" s="19" t="str">
        <f t="shared" si="23"/>
        <v>K31-01</v>
      </c>
      <c r="CP32" s="19" t="str">
        <f t="shared" si="24"/>
        <v>K31-08</v>
      </c>
      <c r="CQ32" s="19" t="str">
        <f t="shared" si="25"/>
        <v>K31-02</v>
      </c>
      <c r="CR32" s="19" t="str">
        <f t="shared" si="26"/>
        <v>K31-09</v>
      </c>
      <c r="CS32" s="19" t="str">
        <f t="shared" si="27"/>
        <v>K31-05</v>
      </c>
      <c r="CT32" s="19" t="str">
        <f t="shared" si="28"/>
        <v>K31-11</v>
      </c>
      <c r="CU32" s="19" t="str">
        <f t="shared" si="29"/>
        <v>F0-M31-A9</v>
      </c>
      <c r="CV32" s="19" t="str">
        <f t="shared" si="30"/>
        <v>F0-M31-A7</v>
      </c>
      <c r="CW32" s="19" t="str">
        <f t="shared" si="31"/>
        <v>F0-M31-A8</v>
      </c>
      <c r="CX32" s="19" t="str">
        <f t="shared" si="32"/>
        <v>F0-M31-A6</v>
      </c>
      <c r="CY32" s="19" t="str">
        <f t="shared" si="33"/>
        <v>F0-M31-A30</v>
      </c>
      <c r="CZ32" s="19" t="str">
        <f t="shared" si="34"/>
        <v>F0-M31-N</v>
      </c>
      <c r="DA32" s="19" t="str">
        <f t="shared" si="17"/>
        <v>F0-A220-M31</v>
      </c>
      <c r="DB32" s="19" t="str">
        <f t="shared" si="35"/>
        <v>F0-M31-XM01</v>
      </c>
      <c r="DC32" s="19" t="str">
        <f t="shared" si="36"/>
        <v>F0-M31-A1</v>
      </c>
      <c r="DD32" s="19" t="str">
        <f t="shared" si="37"/>
        <v>F0-M31-A5</v>
      </c>
      <c r="DE32" s="19" t="str">
        <f t="shared" si="38"/>
        <v>F0-M31-A11</v>
      </c>
      <c r="DF32" s="19" t="str">
        <f t="shared" si="39"/>
        <v>F0-M31-A12</v>
      </c>
      <c r="DG32" s="19" t="str">
        <f t="shared" si="40"/>
        <v>F0-M31-A19</v>
      </c>
      <c r="DH32" s="19" t="str">
        <f t="shared" si="41"/>
        <v>F0-M31-A20</v>
      </c>
      <c r="DI32" s="19" t="s">
        <v>142</v>
      </c>
      <c r="DJ32" s="19" t="s">
        <v>143</v>
      </c>
      <c r="DK32" s="19">
        <v>11</v>
      </c>
      <c r="DL32" s="19">
        <v>14</v>
      </c>
      <c r="DM32" s="19">
        <v>12</v>
      </c>
      <c r="DN32" s="19" t="s">
        <v>144</v>
      </c>
      <c r="DO32" s="19" t="s">
        <v>145</v>
      </c>
      <c r="DP32" s="19">
        <v>1</v>
      </c>
      <c r="DQ32" s="19">
        <v>2</v>
      </c>
      <c r="DR32" s="19">
        <v>3</v>
      </c>
      <c r="DS32" s="19">
        <v>4</v>
      </c>
      <c r="DT32" s="19">
        <v>5</v>
      </c>
      <c r="DU32" s="19">
        <v>6</v>
      </c>
      <c r="DV32" s="19">
        <v>7</v>
      </c>
      <c r="DW32" s="19">
        <v>8</v>
      </c>
      <c r="DX32" s="19">
        <v>9</v>
      </c>
      <c r="DY32" s="19">
        <v>10</v>
      </c>
      <c r="DZ32" s="19">
        <v>11</v>
      </c>
      <c r="EA32" s="19">
        <v>12</v>
      </c>
      <c r="EB32" s="19">
        <v>13</v>
      </c>
      <c r="EC32" s="19">
        <v>14</v>
      </c>
      <c r="ED32" s="19">
        <v>1</v>
      </c>
      <c r="EE32" s="19">
        <v>3</v>
      </c>
      <c r="EF32" s="19">
        <v>4</v>
      </c>
      <c r="EG32" s="19">
        <v>7</v>
      </c>
      <c r="EH32" s="19">
        <v>8</v>
      </c>
      <c r="EI32" s="19">
        <v>9</v>
      </c>
      <c r="EJ32" s="19">
        <v>10</v>
      </c>
      <c r="EK32" s="19">
        <v>13</v>
      </c>
      <c r="EL32" s="19">
        <v>14</v>
      </c>
      <c r="EM32" s="19">
        <v>15</v>
      </c>
      <c r="EN32" s="19">
        <v>16</v>
      </c>
      <c r="EO32" s="19">
        <v>22</v>
      </c>
      <c r="EP32" s="19">
        <v>23</v>
      </c>
      <c r="EQ32" s="20">
        <v>24</v>
      </c>
    </row>
    <row r="33" spans="1:285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18" t="s">
        <v>1422</v>
      </c>
      <c r="W33" s="22"/>
      <c r="X33" s="23"/>
      <c r="Y33" s="23"/>
      <c r="Z33" s="23"/>
      <c r="AA33" s="23"/>
      <c r="AB33" s="23"/>
      <c r="AC33" s="23" t="s">
        <v>266</v>
      </c>
      <c r="AD33" s="23"/>
      <c r="AE33" s="23"/>
      <c r="AF33" s="23" t="s">
        <v>148</v>
      </c>
      <c r="AG33" s="23" t="s">
        <v>149</v>
      </c>
      <c r="AH33" s="23" t="s">
        <v>269</v>
      </c>
      <c r="AI33" s="23"/>
      <c r="AJ33" s="23"/>
      <c r="AK33" s="23" t="s">
        <v>243</v>
      </c>
      <c r="AL33" s="23" t="s">
        <v>244</v>
      </c>
      <c r="AM33" s="23" t="s">
        <v>282</v>
      </c>
      <c r="AN33" s="23"/>
      <c r="AO33" s="23"/>
      <c r="AP33" s="23" t="s">
        <v>137</v>
      </c>
      <c r="AQ33" s="23" t="s">
        <v>138</v>
      </c>
      <c r="AR33" s="23"/>
      <c r="AS33" s="23"/>
      <c r="AT33" s="23" t="s">
        <v>139</v>
      </c>
      <c r="AU33" s="23" t="s">
        <v>140</v>
      </c>
      <c r="AV33" s="23"/>
      <c r="AW33" s="23"/>
      <c r="AX33" s="23"/>
      <c r="AY33" s="12"/>
      <c r="AZ33" s="12"/>
      <c r="BA33" s="12"/>
      <c r="BB33" s="12"/>
      <c r="BC33" s="12"/>
      <c r="BD33" s="13"/>
      <c r="BE33" s="23" t="str">
        <f t="shared" si="0"/>
        <v>XT32</v>
      </c>
      <c r="BF33" s="23" t="str">
        <f t="shared" si="1"/>
        <v>C8</v>
      </c>
      <c r="BG33" s="23" t="str">
        <f t="shared" si="2"/>
        <v>B8</v>
      </c>
      <c r="BH33" s="23" t="str">
        <f t="shared" si="3"/>
        <v>C9</v>
      </c>
      <c r="BI33" s="23" t="str">
        <f t="shared" si="4"/>
        <v>B9</v>
      </c>
      <c r="BJ33" s="23" t="str">
        <f t="shared" si="5"/>
        <v>C10</v>
      </c>
      <c r="BK33" s="23" t="str">
        <f t="shared" si="6"/>
        <v>B10</v>
      </c>
      <c r="BL33" s="23" t="str">
        <f t="shared" si="7"/>
        <v>C11</v>
      </c>
      <c r="BM33" s="23" t="str">
        <f t="shared" si="8"/>
        <v>B11</v>
      </c>
      <c r="BN33" s="23" t="str">
        <f t="shared" si="9"/>
        <v>C12</v>
      </c>
      <c r="BO33" s="23" t="str">
        <f t="shared" si="10"/>
        <v>B12</v>
      </c>
      <c r="BP33" s="23" t="str">
        <f t="shared" si="11"/>
        <v>5B</v>
      </c>
      <c r="BQ33" s="23" t="str">
        <f t="shared" si="12"/>
        <v>5A</v>
      </c>
      <c r="BR33" s="23" t="str">
        <f t="shared" si="18"/>
        <v>6B</v>
      </c>
      <c r="BS33" s="23" t="str">
        <f t="shared" si="19"/>
        <v>6A</v>
      </c>
      <c r="BT33" s="23" t="str">
        <f t="shared" si="13"/>
        <v>DI7-C7</v>
      </c>
      <c r="BU33" s="23" t="str">
        <f t="shared" si="13"/>
        <v>DI7-B7</v>
      </c>
      <c r="BV33" s="23" t="str">
        <f t="shared" si="42"/>
        <v>DI7-C8</v>
      </c>
      <c r="BW33" s="23" t="str">
        <f t="shared" si="42"/>
        <v>DI7-B8</v>
      </c>
      <c r="BX33" s="23" t="str">
        <f t="shared" si="42"/>
        <v>DI7-C9</v>
      </c>
      <c r="BY33" s="23" t="str">
        <f t="shared" si="42"/>
        <v>DI7-B9</v>
      </c>
      <c r="BZ33" s="23" t="str">
        <f t="shared" si="42"/>
        <v>DI7-C10</v>
      </c>
      <c r="CA33" s="23" t="str">
        <f t="shared" si="42"/>
        <v>DI7-B10</v>
      </c>
      <c r="CB33" s="23" t="str">
        <f t="shared" si="42"/>
        <v>DI7-C11</v>
      </c>
      <c r="CC33" s="23" t="str">
        <f t="shared" si="42"/>
        <v>DI7-B11</v>
      </c>
      <c r="CD33" s="23" t="str">
        <f t="shared" si="42"/>
        <v>DI7-C12</v>
      </c>
      <c r="CE33" s="23" t="str">
        <f t="shared" si="42"/>
        <v>DI7-B12</v>
      </c>
      <c r="CF33" s="23" t="str">
        <f t="shared" si="15"/>
        <v>DO4-4B</v>
      </c>
      <c r="CG33" s="23" t="str">
        <f t="shared" si="15"/>
        <v>DO4-4A</v>
      </c>
      <c r="CH33" s="23" t="str">
        <f t="shared" si="16"/>
        <v>DO4-5B</v>
      </c>
      <c r="CI33" s="23" t="str">
        <f t="shared" si="16"/>
        <v>DO4-5A</v>
      </c>
      <c r="CJ33" s="23" t="str">
        <f t="shared" si="16"/>
        <v>DO4-6B</v>
      </c>
      <c r="CK33" s="23" t="str">
        <f t="shared" si="16"/>
        <v>DO4-6A</v>
      </c>
      <c r="CL33" s="23" t="str">
        <f t="shared" si="20"/>
        <v>K32-10</v>
      </c>
      <c r="CM33" s="23" t="str">
        <f t="shared" si="21"/>
        <v>K32-03</v>
      </c>
      <c r="CN33" s="23" t="str">
        <f t="shared" si="22"/>
        <v>K32-04</v>
      </c>
      <c r="CO33" s="23" t="str">
        <f t="shared" si="23"/>
        <v>K32-01</v>
      </c>
      <c r="CP33" s="23" t="str">
        <f t="shared" si="24"/>
        <v>K32-08</v>
      </c>
      <c r="CQ33" s="23" t="str">
        <f t="shared" si="25"/>
        <v>K32-02</v>
      </c>
      <c r="CR33" s="23" t="str">
        <f t="shared" si="26"/>
        <v>K32-09</v>
      </c>
      <c r="CS33" s="23" t="str">
        <f t="shared" si="27"/>
        <v>K32-05</v>
      </c>
      <c r="CT33" s="23" t="str">
        <f t="shared" si="28"/>
        <v>K32-11</v>
      </c>
      <c r="CU33" s="23" t="str">
        <f t="shared" si="29"/>
        <v>F0-M32-A9</v>
      </c>
      <c r="CV33" s="23" t="str">
        <f t="shared" si="30"/>
        <v>F0-M32-A7</v>
      </c>
      <c r="CW33" s="23" t="str">
        <f t="shared" si="31"/>
        <v>F0-M32-A8</v>
      </c>
      <c r="CX33" s="23" t="str">
        <f t="shared" si="32"/>
        <v>F0-M32-A6</v>
      </c>
      <c r="CY33" s="23" t="str">
        <f t="shared" si="33"/>
        <v>F0-M32-A30</v>
      </c>
      <c r="CZ33" s="23" t="str">
        <f t="shared" si="34"/>
        <v>F0-M32-N</v>
      </c>
      <c r="DA33" s="23" t="str">
        <f t="shared" si="17"/>
        <v>F0-A220-M32</v>
      </c>
      <c r="DB33" s="23" t="str">
        <f t="shared" si="35"/>
        <v>F0-M32-XM01</v>
      </c>
      <c r="DC33" s="23" t="str">
        <f t="shared" si="36"/>
        <v>F0-M32-A1</v>
      </c>
      <c r="DD33" s="23" t="str">
        <f t="shared" si="37"/>
        <v>F0-M32-A5</v>
      </c>
      <c r="DE33" s="23" t="str">
        <f t="shared" si="38"/>
        <v>F0-M32-A11</v>
      </c>
      <c r="DF33" s="23" t="str">
        <f t="shared" si="39"/>
        <v>F0-M32-A12</v>
      </c>
      <c r="DG33" s="23" t="str">
        <f t="shared" si="40"/>
        <v>F0-M32-A19</v>
      </c>
      <c r="DH33" s="23" t="str">
        <f t="shared" si="41"/>
        <v>F0-M32-A20</v>
      </c>
      <c r="DI33" s="23" t="s">
        <v>142</v>
      </c>
      <c r="DJ33" s="23" t="s">
        <v>143</v>
      </c>
      <c r="DK33" s="23">
        <v>11</v>
      </c>
      <c r="DL33" s="23">
        <v>14</v>
      </c>
      <c r="DM33" s="23">
        <v>12</v>
      </c>
      <c r="DN33" s="23" t="s">
        <v>144</v>
      </c>
      <c r="DO33" s="23" t="s">
        <v>145</v>
      </c>
      <c r="DP33" s="23">
        <v>1</v>
      </c>
      <c r="DQ33" s="23">
        <v>2</v>
      </c>
      <c r="DR33" s="23">
        <v>3</v>
      </c>
      <c r="DS33" s="23">
        <v>4</v>
      </c>
      <c r="DT33" s="23">
        <v>5</v>
      </c>
      <c r="DU33" s="23">
        <v>6</v>
      </c>
      <c r="DV33" s="23">
        <v>7</v>
      </c>
      <c r="DW33" s="23">
        <v>8</v>
      </c>
      <c r="DX33" s="23">
        <v>9</v>
      </c>
      <c r="DY33" s="23">
        <v>10</v>
      </c>
      <c r="DZ33" s="23">
        <v>11</v>
      </c>
      <c r="EA33" s="23">
        <v>12</v>
      </c>
      <c r="EB33" s="23">
        <v>13</v>
      </c>
      <c r="EC33" s="23">
        <v>14</v>
      </c>
      <c r="ED33" s="23">
        <v>1</v>
      </c>
      <c r="EE33" s="23">
        <v>3</v>
      </c>
      <c r="EF33" s="23">
        <v>4</v>
      </c>
      <c r="EG33" s="23">
        <v>7</v>
      </c>
      <c r="EH33" s="23">
        <v>8</v>
      </c>
      <c r="EI33" s="23">
        <v>9</v>
      </c>
      <c r="EJ33" s="23">
        <v>10</v>
      </c>
      <c r="EK33" s="23">
        <v>13</v>
      </c>
      <c r="EL33" s="23">
        <v>14</v>
      </c>
      <c r="EM33" s="23">
        <v>15</v>
      </c>
      <c r="EN33" s="23">
        <v>16</v>
      </c>
      <c r="EO33" s="23">
        <v>22</v>
      </c>
      <c r="EP33" s="23">
        <v>23</v>
      </c>
      <c r="EQ33" s="24">
        <v>24</v>
      </c>
    </row>
    <row r="34" spans="1:285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1594</v>
      </c>
      <c r="W34" s="11" t="s">
        <v>1595</v>
      </c>
      <c r="X34" s="12"/>
      <c r="Y34" s="12"/>
      <c r="Z34" s="12"/>
      <c r="AA34" s="12"/>
      <c r="AB34" s="12"/>
      <c r="AC34" s="12" t="s">
        <v>277</v>
      </c>
      <c r="AD34" s="12"/>
      <c r="AE34" s="12"/>
      <c r="AF34" s="12" t="s">
        <v>133</v>
      </c>
      <c r="AG34" s="12" t="s">
        <v>134</v>
      </c>
      <c r="AH34" s="12" t="s">
        <v>383</v>
      </c>
      <c r="AI34" s="12"/>
      <c r="AJ34" s="12"/>
      <c r="AK34" s="12" t="s">
        <v>135</v>
      </c>
      <c r="AL34" s="12" t="s">
        <v>136</v>
      </c>
      <c r="AM34" s="12">
        <v>31</v>
      </c>
      <c r="AN34" s="12" t="str">
        <f>CONCATENATE(AM34,"XT")</f>
        <v>31XT</v>
      </c>
      <c r="AO34" s="12" t="str">
        <f t="shared" ref="AO34:AO42" si="43">CONCATENATE(AM34,"X")</f>
        <v>31X</v>
      </c>
      <c r="AP34" s="12" t="s">
        <v>137</v>
      </c>
      <c r="AQ34" s="12" t="s">
        <v>138</v>
      </c>
      <c r="AR34" s="12" t="str">
        <f t="shared" ref="AR34:AR42" si="44">CONCATENATE("Соединительная коробка (",REPLACE(A34,SEARCH("AA",A34),2,"GB"),")")</f>
        <v>Соединительная коробка (F0GAD12GB801)</v>
      </c>
      <c r="AS34" s="12"/>
      <c r="AT34" s="12" t="s">
        <v>139</v>
      </c>
      <c r="AU34" s="12" t="s">
        <v>140</v>
      </c>
      <c r="AV34" s="12"/>
      <c r="AW34" s="12"/>
      <c r="AX34" s="12"/>
      <c r="AY34" s="12"/>
      <c r="AZ34" s="12"/>
      <c r="BA34" s="12"/>
      <c r="BB34" s="12"/>
      <c r="BC34" s="12"/>
      <c r="BD34" s="13"/>
      <c r="ER34" s="25" t="str">
        <f t="shared" ref="ER34:ER42" si="45">CONCATENATE("XT",U34)</f>
        <v>XT33</v>
      </c>
      <c r="ES34" s="12" t="str">
        <f t="shared" ref="ES34:ES42" si="46">CONCATENATE("C",REPLACE(AF34,1,1,"")+1)</f>
        <v>C2</v>
      </c>
      <c r="ET34" s="12" t="str">
        <f>CONCATENATE("B",REPLACE(AG34,1,1,"")+1)</f>
        <v>B2</v>
      </c>
      <c r="EU34" s="12" t="str">
        <f>CONCATENATE("C",REPLACE(ES34,1,1,"")+1)</f>
        <v>C3</v>
      </c>
      <c r="EV34" s="12" t="str">
        <f>CONCATENATE("B",REPLACE(ET34,1,1,"")+1)</f>
        <v>B3</v>
      </c>
      <c r="EW34" s="12" t="str">
        <f>CONCATENATE(REPLACE(AK34,LEN(AK34),1,"")+1,"B")</f>
        <v>2B</v>
      </c>
      <c r="EX34" s="12" t="str">
        <f>CONCATENATE(REPLACE(AL34,LEN(AL34),1,"")+1,"A")</f>
        <v>2A</v>
      </c>
      <c r="EY34" s="12" t="str">
        <f>CONCATENATE("DI",REPLACE($AC34,1,3,""),"-",AF34)</f>
        <v>DI8-C1</v>
      </c>
      <c r="EZ34" s="12" t="str">
        <f>CONCATENATE("DI",REPLACE($AC34,1,3,""),"-",AG34)</f>
        <v>DI8-B1</v>
      </c>
      <c r="FA34" s="12" t="str">
        <f t="shared" ref="FA34:FD42" si="47">CONCATENATE("DI",REPLACE($AC34,1,3,""),"-",ES34)</f>
        <v>DI8-C2</v>
      </c>
      <c r="FB34" s="12" t="str">
        <f t="shared" si="47"/>
        <v>DI8-B2</v>
      </c>
      <c r="FC34" s="12" t="str">
        <f t="shared" si="47"/>
        <v>DI8-C3</v>
      </c>
      <c r="FD34" s="12" t="str">
        <f t="shared" si="47"/>
        <v>DI8-B3</v>
      </c>
      <c r="FE34" s="12" t="str">
        <f>CONCATENATE("DO",REPLACE($AH34,1,3,""),"-",AK34)</f>
        <v>DO5-1B</v>
      </c>
      <c r="FF34" s="12" t="str">
        <f>CONCATENATE("DO",REPLACE($AH34,1,3,""),"-",AL34)</f>
        <v>DO5-1A</v>
      </c>
      <c r="FG34" s="12" t="str">
        <f>CONCATENATE("DO",REPLACE($AH34,1,3,""),"-",EW34)</f>
        <v>DO5-2B</v>
      </c>
      <c r="FH34" s="12" t="str">
        <f>CONCATENATE("DO",REPLACE($AH34,1,3,""),"-",EX34)</f>
        <v>DO5-2A</v>
      </c>
      <c r="FI34" s="12" t="str">
        <f>CONCATENATE("K",$U34,"-03")</f>
        <v>K33-03</v>
      </c>
      <c r="FJ34" s="12" t="str">
        <f>CONCATENATE("K",$U34,"-04")</f>
        <v>K33-04</v>
      </c>
      <c r="FK34" s="12" t="str">
        <f>CONCATENATE("K",$U34,"-01")</f>
        <v>K33-01</v>
      </c>
      <c r="FL34" s="12" t="str">
        <f>CONCATENATE("K",$U34,"-02")</f>
        <v>K33-02</v>
      </c>
      <c r="FM34" s="12" t="str">
        <f t="shared" ref="FM34:FM42" si="48">CONCATENATE("K",$U34,"-05")</f>
        <v>K33-05</v>
      </c>
      <c r="FN34" s="12" t="str">
        <f>CONCATENATE($T34,"-M",$U34,"-H1")</f>
        <v>F0-M33-H1</v>
      </c>
      <c r="FO34" s="12" t="str">
        <f>CONCATENATE($T34,"-M",$U34,"-A1")</f>
        <v>F0-M33-A1</v>
      </c>
      <c r="FP34" s="12" t="str">
        <f>CONCATENATE($T34,"-M",$U34,"-3")</f>
        <v>F0-M33-3</v>
      </c>
      <c r="FQ34" s="12" t="str">
        <f>CONCATENATE($T34,"-M",$U34,"-2")</f>
        <v>F0-M33-2</v>
      </c>
      <c r="FR34" s="12" t="str">
        <f>CONCATENATE($T34,"-M",$U34,"-16")</f>
        <v>F0-M33-16</v>
      </c>
      <c r="FS34" s="12" t="str">
        <f>CONCATENATE($T34,"-M",$U34,"-15")</f>
        <v>F0-M33-15</v>
      </c>
      <c r="FT34" s="12" t="str">
        <f>CONCATENATE($T34,"-A220-M",$U34,)</f>
        <v>F0-A220-M33</v>
      </c>
      <c r="FU34" s="12" t="str">
        <f t="shared" ref="FU34:FU42" si="49">CONCATENATE($T34,"-M",$U34,"-XM01")</f>
        <v>F0-M33-XM01</v>
      </c>
      <c r="FV34" s="12" t="s">
        <v>142</v>
      </c>
      <c r="FW34" s="12" t="s">
        <v>143</v>
      </c>
      <c r="FX34" s="12">
        <v>11</v>
      </c>
      <c r="FY34" s="12">
        <v>14</v>
      </c>
      <c r="FZ34" s="12" t="s">
        <v>145</v>
      </c>
      <c r="GA34" s="12" t="s">
        <v>144</v>
      </c>
      <c r="GB34" s="12">
        <v>1</v>
      </c>
      <c r="GC34" s="12">
        <v>2</v>
      </c>
      <c r="GD34" s="12">
        <v>3</v>
      </c>
      <c r="GE34" s="12">
        <v>4</v>
      </c>
      <c r="GF34" s="12">
        <v>5</v>
      </c>
      <c r="GG34" s="12">
        <v>6</v>
      </c>
      <c r="GH34" s="12">
        <v>7</v>
      </c>
      <c r="GI34" s="12">
        <v>8</v>
      </c>
      <c r="GJ34" s="12">
        <v>9</v>
      </c>
      <c r="GK34" s="12">
        <v>1</v>
      </c>
      <c r="GL34" s="12">
        <v>2</v>
      </c>
      <c r="GM34" s="12">
        <v>3</v>
      </c>
      <c r="GN34" s="12">
        <v>4</v>
      </c>
      <c r="GO34" s="12">
        <v>5</v>
      </c>
      <c r="GP34" s="12">
        <v>1</v>
      </c>
      <c r="GQ34" s="12">
        <v>2</v>
      </c>
      <c r="GR34" s="12">
        <v>4</v>
      </c>
      <c r="GS34" s="13">
        <v>5</v>
      </c>
    </row>
    <row r="35" spans="1:285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1910</v>
      </c>
      <c r="W35" s="15" t="s">
        <v>1911</v>
      </c>
      <c r="AC35" t="s">
        <v>277</v>
      </c>
      <c r="AF35" t="s">
        <v>369</v>
      </c>
      <c r="AG35" t="s">
        <v>370</v>
      </c>
      <c r="AH35" t="s">
        <v>383</v>
      </c>
      <c r="AK35" t="s">
        <v>384</v>
      </c>
      <c r="AL35" t="s">
        <v>386</v>
      </c>
      <c r="AM35">
        <v>45</v>
      </c>
      <c r="AN35" t="str">
        <f t="shared" ref="AN35:AN42" si="50">CONCATENATE(AM35,"XT")</f>
        <v>45XT</v>
      </c>
      <c r="AO35" t="str">
        <f t="shared" si="43"/>
        <v>45X</v>
      </c>
      <c r="AP35" t="s">
        <v>137</v>
      </c>
      <c r="AQ35" t="s">
        <v>138</v>
      </c>
      <c r="AR35" t="str">
        <f t="shared" si="44"/>
        <v>Соединительная коробка (F0GAD16GB801)</v>
      </c>
      <c r="AT35" t="s">
        <v>139</v>
      </c>
      <c r="AU35" t="s">
        <v>140</v>
      </c>
      <c r="BD35" s="16"/>
      <c r="ER35" s="27" t="str">
        <f t="shared" si="45"/>
        <v>XT34</v>
      </c>
      <c r="ES35" t="str">
        <f t="shared" si="46"/>
        <v>C5</v>
      </c>
      <c r="ET35" t="str">
        <f>CONCATENATE("B",REPLACE(AG35,1,1,"")+1)</f>
        <v>B5</v>
      </c>
      <c r="EU35" t="str">
        <f>CONCATENATE("C",REPLACE(ES35,1,1,"")+1)</f>
        <v>C6</v>
      </c>
      <c r="EV35" t="str">
        <f>CONCATENATE("B",REPLACE(ET35,1,1,"")+1)</f>
        <v>B6</v>
      </c>
      <c r="EW35" t="str">
        <f>CONCATENATE(REPLACE(AK35,LEN(AK35),1,"")+1,"B")</f>
        <v>4B</v>
      </c>
      <c r="EX35" t="str">
        <f>CONCATENATE(REPLACE(AL35,LEN(AL35),1,"")+1,"A")</f>
        <v>4A</v>
      </c>
      <c r="EY35" t="str">
        <f>CONCATENATE("DI",REPLACE($AC35,1,3,""),"-",AF35)</f>
        <v>DI8-C4</v>
      </c>
      <c r="EZ35" t="str">
        <f>CONCATENATE("DI",REPLACE($AC35,1,3,""),"-",AG35)</f>
        <v>DI8-B4</v>
      </c>
      <c r="FA35" t="str">
        <f t="shared" si="47"/>
        <v>DI8-C5</v>
      </c>
      <c r="FB35" t="str">
        <f t="shared" si="47"/>
        <v>DI8-B5</v>
      </c>
      <c r="FC35" t="str">
        <f t="shared" si="47"/>
        <v>DI8-C6</v>
      </c>
      <c r="FD35" t="str">
        <f t="shared" si="47"/>
        <v>DI8-B6</v>
      </c>
      <c r="FE35" t="str">
        <f>CONCATENATE("DO",REPLACE($AH35,1,3,""),"-",AK35)</f>
        <v>DO5-3B</v>
      </c>
      <c r="FF35" t="str">
        <f>CONCATENATE("DO",REPLACE($AH35,1,3,""),"-",AL35)</f>
        <v>DO5-3A</v>
      </c>
      <c r="FG35" t="str">
        <f>CONCATENATE("DO",REPLACE($AH35,1,3,""),"-",EW35)</f>
        <v>DO5-4B</v>
      </c>
      <c r="FH35" t="str">
        <f>CONCATENATE("DO",REPLACE($AH35,1,3,""),"-",EX35)</f>
        <v>DO5-4A</v>
      </c>
      <c r="FI35" t="str">
        <f>CONCATENATE("K",$U35,"-03")</f>
        <v>K34-03</v>
      </c>
      <c r="FJ35" t="str">
        <f>CONCATENATE("K",$U35,"-04")</f>
        <v>K34-04</v>
      </c>
      <c r="FK35" t="str">
        <f>CONCATENATE("K",$U35,"-01")</f>
        <v>K34-01</v>
      </c>
      <c r="FL35" t="str">
        <f>CONCATENATE("K",$U35,"-02")</f>
        <v>K34-02</v>
      </c>
      <c r="FM35" t="str">
        <f t="shared" si="48"/>
        <v>K34-05</v>
      </c>
      <c r="FN35" t="str">
        <f>CONCATENATE($T35,"-M",$U35,"-H1")</f>
        <v>F0-M34-H1</v>
      </c>
      <c r="FO35" t="str">
        <f>CONCATENATE($T35,"-M",$U35,"-A1")</f>
        <v>F0-M34-A1</v>
      </c>
      <c r="FP35" t="str">
        <f>CONCATENATE($T35,"-M",$U35,"-3")</f>
        <v>F0-M34-3</v>
      </c>
      <c r="FQ35" t="str">
        <f>CONCATENATE($T35,"-M",$U35,"-2")</f>
        <v>F0-M34-2</v>
      </c>
      <c r="FR35" t="str">
        <f>CONCATENATE($T35,"-M",$U35,"-16")</f>
        <v>F0-M34-16</v>
      </c>
      <c r="FS35" t="str">
        <f>CONCATENATE($T35,"-M",$U35,"-15")</f>
        <v>F0-M34-15</v>
      </c>
      <c r="FT35" t="str">
        <f>CONCATENATE($T35,"-A220-M",$U35,)</f>
        <v>F0-A220-M34</v>
      </c>
      <c r="FU35" t="str">
        <f t="shared" si="49"/>
        <v>F0-M34-XM01</v>
      </c>
      <c r="FV35" t="s">
        <v>142</v>
      </c>
      <c r="FW35" t="s">
        <v>143</v>
      </c>
      <c r="FX35">
        <v>11</v>
      </c>
      <c r="FY35">
        <v>14</v>
      </c>
      <c r="FZ35" t="s">
        <v>145</v>
      </c>
      <c r="GA35" t="s">
        <v>144</v>
      </c>
      <c r="GB35">
        <v>1</v>
      </c>
      <c r="GC35">
        <v>2</v>
      </c>
      <c r="GD35">
        <v>3</v>
      </c>
      <c r="GE35">
        <v>4</v>
      </c>
      <c r="GF35">
        <v>5</v>
      </c>
      <c r="GG35">
        <v>6</v>
      </c>
      <c r="GH35">
        <v>7</v>
      </c>
      <c r="GI35">
        <v>8</v>
      </c>
      <c r="GJ35">
        <v>9</v>
      </c>
      <c r="GK35">
        <v>1</v>
      </c>
      <c r="GL35">
        <v>2</v>
      </c>
      <c r="GM35">
        <v>3</v>
      </c>
      <c r="GN35">
        <v>4</v>
      </c>
      <c r="GO35">
        <v>5</v>
      </c>
      <c r="GP35">
        <v>1</v>
      </c>
      <c r="GQ35">
        <v>2</v>
      </c>
      <c r="GR35">
        <v>4</v>
      </c>
      <c r="GS35" s="16">
        <v>5</v>
      </c>
    </row>
    <row r="36" spans="1:285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1912</v>
      </c>
      <c r="W36" t="s">
        <v>1913</v>
      </c>
      <c r="AC36" t="s">
        <v>277</v>
      </c>
      <c r="AF36" t="s">
        <v>148</v>
      </c>
      <c r="AG36" t="s">
        <v>149</v>
      </c>
      <c r="AH36" t="s">
        <v>383</v>
      </c>
      <c r="AK36" t="s">
        <v>385</v>
      </c>
      <c r="AL36" t="s">
        <v>387</v>
      </c>
      <c r="AM36">
        <v>44</v>
      </c>
      <c r="AN36" t="str">
        <f t="shared" si="50"/>
        <v>44XT</v>
      </c>
      <c r="AO36" t="str">
        <f t="shared" si="43"/>
        <v>44X</v>
      </c>
      <c r="AP36" t="s">
        <v>137</v>
      </c>
      <c r="AQ36" t="s">
        <v>138</v>
      </c>
      <c r="AR36" t="str">
        <f t="shared" si="44"/>
        <v>Соединительная коробка (F0GHJ20GB801)</v>
      </c>
      <c r="AT36" t="s">
        <v>139</v>
      </c>
      <c r="AU36" t="s">
        <v>140</v>
      </c>
      <c r="BD36" s="16"/>
      <c r="ER36" s="27" t="str">
        <f t="shared" si="45"/>
        <v>XT35</v>
      </c>
      <c r="ES36" t="str">
        <f t="shared" si="46"/>
        <v>C8</v>
      </c>
      <c r="ET36" t="str">
        <f t="shared" ref="ET36:ET42" si="51">CONCATENATE("B",REPLACE(AG36,1,1,"")+1)</f>
        <v>B8</v>
      </c>
      <c r="EU36" t="str">
        <f t="shared" ref="EU36:EU42" si="52">CONCATENATE("C",REPLACE(ES36,1,1,"")+1)</f>
        <v>C9</v>
      </c>
      <c r="EV36" t="str">
        <f t="shared" ref="EV36:EV42" si="53">CONCATENATE("B",REPLACE(ET36,1,1,"")+1)</f>
        <v>B9</v>
      </c>
      <c r="EW36" t="str">
        <f t="shared" ref="EW36:EW42" si="54">CONCATENATE(REPLACE(AK36,LEN(AK36),1,"")+1,"B")</f>
        <v>6B</v>
      </c>
      <c r="EX36" t="str">
        <f t="shared" ref="EX36:EX42" si="55">CONCATENATE(REPLACE(AL36,LEN(AL36),1,"")+1,"A")</f>
        <v>6A</v>
      </c>
      <c r="EY36" t="str">
        <f t="shared" ref="EY36:EZ42" si="56">CONCATENATE("DI",REPLACE($AC36,1,3,""),"-",AF36)</f>
        <v>DI8-C7</v>
      </c>
      <c r="EZ36" t="str">
        <f t="shared" si="56"/>
        <v>DI8-B7</v>
      </c>
      <c r="FA36" t="str">
        <f t="shared" si="47"/>
        <v>DI8-C8</v>
      </c>
      <c r="FB36" t="str">
        <f t="shared" si="47"/>
        <v>DI8-B8</v>
      </c>
      <c r="FC36" t="str">
        <f t="shared" si="47"/>
        <v>DI8-C9</v>
      </c>
      <c r="FD36" t="str">
        <f t="shared" si="47"/>
        <v>DI8-B9</v>
      </c>
      <c r="FE36" t="str">
        <f t="shared" ref="FE36:FF42" si="57">CONCATENATE("DO",REPLACE($AH36,1,3,""),"-",AK36)</f>
        <v>DO5-5B</v>
      </c>
      <c r="FF36" t="str">
        <f t="shared" si="57"/>
        <v>DO5-5A</v>
      </c>
      <c r="FG36" t="str">
        <f t="shared" ref="FG36:FH42" si="58">CONCATENATE("DO",REPLACE($AH36,1,3,""),"-",EW36)</f>
        <v>DO5-6B</v>
      </c>
      <c r="FH36" t="str">
        <f t="shared" si="58"/>
        <v>DO5-6A</v>
      </c>
      <c r="FI36" t="str">
        <f t="shared" ref="FI36:FI42" si="59">CONCATENATE("K",$U36,"-03")</f>
        <v>K35-03</v>
      </c>
      <c r="FJ36" t="str">
        <f t="shared" ref="FJ36:FJ42" si="60">CONCATENATE("K",$U36,"-04")</f>
        <v>K35-04</v>
      </c>
      <c r="FK36" t="str">
        <f t="shared" ref="FK36:FK42" si="61">CONCATENATE("K",$U36,"-01")</f>
        <v>K35-01</v>
      </c>
      <c r="FL36" t="str">
        <f t="shared" ref="FL36:FL42" si="62">CONCATENATE("K",$U36,"-02")</f>
        <v>K35-02</v>
      </c>
      <c r="FM36" t="str">
        <f t="shared" si="48"/>
        <v>K35-05</v>
      </c>
      <c r="FN36" t="str">
        <f t="shared" ref="FN36:FN42" si="63">CONCATENATE($T36,"-M",$U36,"-H1")</f>
        <v>F0-M35-H1</v>
      </c>
      <c r="FO36" t="str">
        <f t="shared" ref="FO36:FO42" si="64">CONCATENATE($T36,"-M",$U36,"-A1")</f>
        <v>F0-M35-A1</v>
      </c>
      <c r="FP36" t="str">
        <f t="shared" ref="FP36:FP42" si="65">CONCATENATE($T36,"-M",$U36,"-3")</f>
        <v>F0-M35-3</v>
      </c>
      <c r="FQ36" t="str">
        <f t="shared" ref="FQ36:FQ42" si="66">CONCATENATE($T36,"-M",$U36,"-2")</f>
        <v>F0-M35-2</v>
      </c>
      <c r="FR36" t="str">
        <f t="shared" ref="FR36:FR42" si="67">CONCATENATE($T36,"-M",$U36,"-16")</f>
        <v>F0-M35-16</v>
      </c>
      <c r="FS36" t="str">
        <f t="shared" ref="FS36:FS42" si="68">CONCATENATE($T36,"-M",$U36,"-15")</f>
        <v>F0-M35-15</v>
      </c>
      <c r="FT36" t="str">
        <f t="shared" ref="FT36:FT42" si="69">CONCATENATE($T36,"-A220-M",$U36,)</f>
        <v>F0-A220-M35</v>
      </c>
      <c r="FU36" t="str">
        <f t="shared" si="49"/>
        <v>F0-M35-XM01</v>
      </c>
      <c r="FV36" t="s">
        <v>142</v>
      </c>
      <c r="FW36" t="s">
        <v>143</v>
      </c>
      <c r="FX36">
        <v>11</v>
      </c>
      <c r="FY36">
        <v>14</v>
      </c>
      <c r="FZ36" t="s">
        <v>145</v>
      </c>
      <c r="GA36" t="s">
        <v>144</v>
      </c>
      <c r="GB36">
        <v>1</v>
      </c>
      <c r="GC36">
        <v>2</v>
      </c>
      <c r="GD36">
        <v>3</v>
      </c>
      <c r="GE36">
        <v>4</v>
      </c>
      <c r="GF36">
        <v>5</v>
      </c>
      <c r="GG36">
        <v>6</v>
      </c>
      <c r="GH36">
        <v>7</v>
      </c>
      <c r="GI36">
        <v>8</v>
      </c>
      <c r="GJ36">
        <v>9</v>
      </c>
      <c r="GK36">
        <v>1</v>
      </c>
      <c r="GL36">
        <v>2</v>
      </c>
      <c r="GM36">
        <v>3</v>
      </c>
      <c r="GN36">
        <v>4</v>
      </c>
      <c r="GO36">
        <v>5</v>
      </c>
      <c r="GP36">
        <v>1</v>
      </c>
      <c r="GQ36">
        <v>2</v>
      </c>
      <c r="GR36">
        <v>4</v>
      </c>
      <c r="GS36" s="16">
        <v>5</v>
      </c>
    </row>
    <row r="37" spans="1:285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1596</v>
      </c>
      <c r="W37" s="15" t="s">
        <v>1597</v>
      </c>
      <c r="AC37" t="s">
        <v>277</v>
      </c>
      <c r="AF37" t="s">
        <v>377</v>
      </c>
      <c r="AG37" t="s">
        <v>378</v>
      </c>
      <c r="AH37" t="s">
        <v>383</v>
      </c>
      <c r="AK37" t="s">
        <v>245</v>
      </c>
      <c r="AL37" t="s">
        <v>246</v>
      </c>
      <c r="AM37">
        <v>42</v>
      </c>
      <c r="AN37" t="str">
        <f t="shared" si="50"/>
        <v>42XT</v>
      </c>
      <c r="AO37" t="str">
        <f t="shared" si="43"/>
        <v>42X</v>
      </c>
      <c r="AP37" t="s">
        <v>137</v>
      </c>
      <c r="AQ37" t="s">
        <v>138</v>
      </c>
      <c r="AR37" t="str">
        <f t="shared" si="44"/>
        <v>Соединительная коробка (F0GAD17GB801)</v>
      </c>
      <c r="AT37" t="s">
        <v>139</v>
      </c>
      <c r="AU37" t="s">
        <v>140</v>
      </c>
      <c r="BD37" s="16"/>
      <c r="ER37" s="27" t="str">
        <f t="shared" si="45"/>
        <v>XT36</v>
      </c>
      <c r="ES37" t="str">
        <f t="shared" si="46"/>
        <v>C11</v>
      </c>
      <c r="ET37" t="str">
        <f t="shared" si="51"/>
        <v>B11</v>
      </c>
      <c r="EU37" t="str">
        <f t="shared" si="52"/>
        <v>C12</v>
      </c>
      <c r="EV37" t="str">
        <f t="shared" si="53"/>
        <v>B12</v>
      </c>
      <c r="EW37" t="str">
        <f t="shared" si="54"/>
        <v>8B</v>
      </c>
      <c r="EX37" t="str">
        <f t="shared" si="55"/>
        <v>8A</v>
      </c>
      <c r="EY37" t="str">
        <f t="shared" si="56"/>
        <v>DI8-C10</v>
      </c>
      <c r="EZ37" t="str">
        <f t="shared" si="56"/>
        <v>DI8-B10</v>
      </c>
      <c r="FA37" t="str">
        <f t="shared" si="47"/>
        <v>DI8-C11</v>
      </c>
      <c r="FB37" t="str">
        <f t="shared" si="47"/>
        <v>DI8-B11</v>
      </c>
      <c r="FC37" t="str">
        <f t="shared" si="47"/>
        <v>DI8-C12</v>
      </c>
      <c r="FD37" t="str">
        <f t="shared" si="47"/>
        <v>DI8-B12</v>
      </c>
      <c r="FE37" t="str">
        <f t="shared" si="57"/>
        <v>DO5-7B</v>
      </c>
      <c r="FF37" t="str">
        <f t="shared" si="57"/>
        <v>DO5-7A</v>
      </c>
      <c r="FG37" t="str">
        <f t="shared" si="58"/>
        <v>DO5-8B</v>
      </c>
      <c r="FH37" t="str">
        <f t="shared" si="58"/>
        <v>DO5-8A</v>
      </c>
      <c r="FI37" t="str">
        <f t="shared" si="59"/>
        <v>K36-03</v>
      </c>
      <c r="FJ37" t="str">
        <f t="shared" si="60"/>
        <v>K36-04</v>
      </c>
      <c r="FK37" t="str">
        <f t="shared" si="61"/>
        <v>K36-01</v>
      </c>
      <c r="FL37" t="str">
        <f t="shared" si="62"/>
        <v>K36-02</v>
      </c>
      <c r="FM37" t="str">
        <f t="shared" si="48"/>
        <v>K36-05</v>
      </c>
      <c r="FN37" t="str">
        <f t="shared" si="63"/>
        <v>F0-M36-H1</v>
      </c>
      <c r="FO37" t="str">
        <f t="shared" si="64"/>
        <v>F0-M36-A1</v>
      </c>
      <c r="FP37" t="str">
        <f t="shared" si="65"/>
        <v>F0-M36-3</v>
      </c>
      <c r="FQ37" t="str">
        <f t="shared" si="66"/>
        <v>F0-M36-2</v>
      </c>
      <c r="FR37" t="str">
        <f t="shared" si="67"/>
        <v>F0-M36-16</v>
      </c>
      <c r="FS37" t="str">
        <f t="shared" si="68"/>
        <v>F0-M36-15</v>
      </c>
      <c r="FT37" t="str">
        <f t="shared" si="69"/>
        <v>F0-A220-M36</v>
      </c>
      <c r="FU37" t="str">
        <f t="shared" si="49"/>
        <v>F0-M36-XM01</v>
      </c>
      <c r="FV37" t="s">
        <v>142</v>
      </c>
      <c r="FW37" t="s">
        <v>143</v>
      </c>
      <c r="FX37">
        <v>11</v>
      </c>
      <c r="FY37">
        <v>14</v>
      </c>
      <c r="FZ37" t="s">
        <v>145</v>
      </c>
      <c r="GA37" t="s">
        <v>144</v>
      </c>
      <c r="GB37">
        <v>1</v>
      </c>
      <c r="GC37">
        <v>2</v>
      </c>
      <c r="GD37">
        <v>3</v>
      </c>
      <c r="GE37">
        <v>4</v>
      </c>
      <c r="GF37">
        <v>5</v>
      </c>
      <c r="GG37">
        <v>6</v>
      </c>
      <c r="GH37">
        <v>7</v>
      </c>
      <c r="GI37">
        <v>8</v>
      </c>
      <c r="GJ37">
        <v>9</v>
      </c>
      <c r="GK37">
        <v>1</v>
      </c>
      <c r="GL37">
        <v>2</v>
      </c>
      <c r="GM37">
        <v>3</v>
      </c>
      <c r="GN37">
        <v>4</v>
      </c>
      <c r="GO37">
        <v>5</v>
      </c>
      <c r="GP37">
        <v>1</v>
      </c>
      <c r="GQ37">
        <v>2</v>
      </c>
      <c r="GR37">
        <v>4</v>
      </c>
      <c r="GS37" s="16">
        <v>5</v>
      </c>
    </row>
    <row r="38" spans="1:285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1598</v>
      </c>
      <c r="W38" t="s">
        <v>1599</v>
      </c>
      <c r="AC38" t="s">
        <v>277</v>
      </c>
      <c r="AF38" t="s">
        <v>153</v>
      </c>
      <c r="AG38" t="s">
        <v>154</v>
      </c>
      <c r="AH38" t="s">
        <v>383</v>
      </c>
      <c r="AK38" t="s">
        <v>285</v>
      </c>
      <c r="AL38" t="s">
        <v>286</v>
      </c>
      <c r="AM38">
        <v>46</v>
      </c>
      <c r="AN38" t="str">
        <f t="shared" si="50"/>
        <v>46XT</v>
      </c>
      <c r="AO38" t="str">
        <f t="shared" si="43"/>
        <v>46X</v>
      </c>
      <c r="AP38" t="s">
        <v>137</v>
      </c>
      <c r="AQ38" t="s">
        <v>138</v>
      </c>
      <c r="AR38" t="str">
        <f t="shared" si="44"/>
        <v>Соединительная коробка (F0NDG24GB801)</v>
      </c>
      <c r="AT38" t="s">
        <v>139</v>
      </c>
      <c r="AU38" t="s">
        <v>140</v>
      </c>
      <c r="BD38" s="16"/>
      <c r="ER38" s="27" t="str">
        <f t="shared" si="45"/>
        <v>XT37</v>
      </c>
      <c r="ES38" t="str">
        <f t="shared" si="46"/>
        <v>C14</v>
      </c>
      <c r="ET38" t="str">
        <f t="shared" si="51"/>
        <v>B14</v>
      </c>
      <c r="EU38" t="str">
        <f t="shared" si="52"/>
        <v>C15</v>
      </c>
      <c r="EV38" t="str">
        <f t="shared" si="53"/>
        <v>B15</v>
      </c>
      <c r="EW38" t="str">
        <f t="shared" si="54"/>
        <v>10B</v>
      </c>
      <c r="EX38" t="str">
        <f t="shared" si="55"/>
        <v>10A</v>
      </c>
      <c r="EY38" t="str">
        <f t="shared" si="56"/>
        <v>DI8-C13</v>
      </c>
      <c r="EZ38" t="str">
        <f t="shared" si="56"/>
        <v>DI8-B13</v>
      </c>
      <c r="FA38" t="str">
        <f t="shared" si="47"/>
        <v>DI8-C14</v>
      </c>
      <c r="FB38" t="str">
        <f t="shared" si="47"/>
        <v>DI8-B14</v>
      </c>
      <c r="FC38" t="str">
        <f t="shared" si="47"/>
        <v>DI8-C15</v>
      </c>
      <c r="FD38" t="str">
        <f t="shared" si="47"/>
        <v>DI8-B15</v>
      </c>
      <c r="FE38" t="str">
        <f t="shared" si="57"/>
        <v>DO5-9B</v>
      </c>
      <c r="FF38" t="str">
        <f t="shared" si="57"/>
        <v>DO5-9A</v>
      </c>
      <c r="FG38" t="str">
        <f t="shared" si="58"/>
        <v>DO5-10B</v>
      </c>
      <c r="FH38" t="str">
        <f t="shared" si="58"/>
        <v>DO5-10A</v>
      </c>
      <c r="FI38" t="str">
        <f t="shared" si="59"/>
        <v>K37-03</v>
      </c>
      <c r="FJ38" t="str">
        <f t="shared" si="60"/>
        <v>K37-04</v>
      </c>
      <c r="FK38" t="str">
        <f t="shared" si="61"/>
        <v>K37-01</v>
      </c>
      <c r="FL38" t="str">
        <f t="shared" si="62"/>
        <v>K37-02</v>
      </c>
      <c r="FM38" t="str">
        <f t="shared" si="48"/>
        <v>K37-05</v>
      </c>
      <c r="FN38" t="str">
        <f t="shared" si="63"/>
        <v>F0-M37-H1</v>
      </c>
      <c r="FO38" t="str">
        <f t="shared" si="64"/>
        <v>F0-M37-A1</v>
      </c>
      <c r="FP38" t="str">
        <f t="shared" si="65"/>
        <v>F0-M37-3</v>
      </c>
      <c r="FQ38" t="str">
        <f t="shared" si="66"/>
        <v>F0-M37-2</v>
      </c>
      <c r="FR38" t="str">
        <f t="shared" si="67"/>
        <v>F0-M37-16</v>
      </c>
      <c r="FS38" t="str">
        <f t="shared" si="68"/>
        <v>F0-M37-15</v>
      </c>
      <c r="FT38" t="str">
        <f t="shared" si="69"/>
        <v>F0-A220-M37</v>
      </c>
      <c r="FU38" t="str">
        <f t="shared" si="49"/>
        <v>F0-M37-XM01</v>
      </c>
      <c r="FV38" t="s">
        <v>142</v>
      </c>
      <c r="FW38" t="s">
        <v>143</v>
      </c>
      <c r="FX38">
        <v>11</v>
      </c>
      <c r="FY38">
        <v>14</v>
      </c>
      <c r="FZ38" t="s">
        <v>145</v>
      </c>
      <c r="GA38" t="s">
        <v>144</v>
      </c>
      <c r="GB38">
        <v>1</v>
      </c>
      <c r="GC38">
        <v>2</v>
      </c>
      <c r="GD38">
        <v>3</v>
      </c>
      <c r="GE38">
        <v>4</v>
      </c>
      <c r="GF38">
        <v>5</v>
      </c>
      <c r="GG38">
        <v>6</v>
      </c>
      <c r="GH38">
        <v>7</v>
      </c>
      <c r="GI38">
        <v>8</v>
      </c>
      <c r="GJ38">
        <v>9</v>
      </c>
      <c r="GK38">
        <v>1</v>
      </c>
      <c r="GL38">
        <v>2</v>
      </c>
      <c r="GM38">
        <v>3</v>
      </c>
      <c r="GN38">
        <v>4</v>
      </c>
      <c r="GO38">
        <v>5</v>
      </c>
      <c r="GP38">
        <v>1</v>
      </c>
      <c r="GQ38">
        <v>2</v>
      </c>
      <c r="GR38">
        <v>4</v>
      </c>
      <c r="GS38" s="16">
        <v>5</v>
      </c>
    </row>
    <row r="39" spans="1:285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1600</v>
      </c>
      <c r="W39" s="15" t="s">
        <v>1601</v>
      </c>
      <c r="AC39" t="s">
        <v>277</v>
      </c>
      <c r="AF39" t="s">
        <v>379</v>
      </c>
      <c r="AG39" t="s">
        <v>380</v>
      </c>
      <c r="AH39" t="s">
        <v>383</v>
      </c>
      <c r="AK39" t="s">
        <v>371</v>
      </c>
      <c r="AL39" t="s">
        <v>374</v>
      </c>
      <c r="AM39">
        <v>55</v>
      </c>
      <c r="AN39" t="str">
        <f t="shared" si="50"/>
        <v>55XT</v>
      </c>
      <c r="AO39" t="str">
        <f t="shared" si="43"/>
        <v>55X</v>
      </c>
      <c r="AP39" t="s">
        <v>137</v>
      </c>
      <c r="AQ39" t="s">
        <v>138</v>
      </c>
      <c r="AR39" t="str">
        <f t="shared" si="44"/>
        <v>Соединительная коробка (F0NDG20GB803)</v>
      </c>
      <c r="AT39" t="s">
        <v>139</v>
      </c>
      <c r="AU39" t="s">
        <v>140</v>
      </c>
      <c r="BD39" s="16"/>
      <c r="ER39" s="27" t="str">
        <f t="shared" si="45"/>
        <v>XT38</v>
      </c>
      <c r="ES39" t="str">
        <f t="shared" si="46"/>
        <v>C17</v>
      </c>
      <c r="ET39" t="str">
        <f t="shared" si="51"/>
        <v>B17</v>
      </c>
      <c r="EU39" t="str">
        <f t="shared" si="52"/>
        <v>C18</v>
      </c>
      <c r="EV39" t="str">
        <f t="shared" si="53"/>
        <v>B18</v>
      </c>
      <c r="EW39" t="str">
        <f t="shared" si="54"/>
        <v>12B</v>
      </c>
      <c r="EX39" t="str">
        <f t="shared" si="55"/>
        <v>12A</v>
      </c>
      <c r="EY39" t="str">
        <f t="shared" si="56"/>
        <v>DI8-C16</v>
      </c>
      <c r="EZ39" t="str">
        <f t="shared" si="56"/>
        <v>DI8-B16</v>
      </c>
      <c r="FA39" t="str">
        <f t="shared" si="47"/>
        <v>DI8-C17</v>
      </c>
      <c r="FB39" t="str">
        <f t="shared" si="47"/>
        <v>DI8-B17</v>
      </c>
      <c r="FC39" t="str">
        <f t="shared" si="47"/>
        <v>DI8-C18</v>
      </c>
      <c r="FD39" t="str">
        <f t="shared" si="47"/>
        <v>DI8-B18</v>
      </c>
      <c r="FE39" t="str">
        <f t="shared" si="57"/>
        <v>DO5-11B</v>
      </c>
      <c r="FF39" t="str">
        <f t="shared" si="57"/>
        <v>DO5-11A</v>
      </c>
      <c r="FG39" t="str">
        <f t="shared" si="58"/>
        <v>DO5-12B</v>
      </c>
      <c r="FH39" t="str">
        <f t="shared" si="58"/>
        <v>DO5-12A</v>
      </c>
      <c r="FI39" t="str">
        <f t="shared" si="59"/>
        <v>K38-03</v>
      </c>
      <c r="FJ39" t="str">
        <f t="shared" si="60"/>
        <v>K38-04</v>
      </c>
      <c r="FK39" t="str">
        <f t="shared" si="61"/>
        <v>K38-01</v>
      </c>
      <c r="FL39" t="str">
        <f t="shared" si="62"/>
        <v>K38-02</v>
      </c>
      <c r="FM39" t="str">
        <f t="shared" si="48"/>
        <v>K38-05</v>
      </c>
      <c r="FN39" t="str">
        <f t="shared" si="63"/>
        <v>F0-M38-H1</v>
      </c>
      <c r="FO39" t="str">
        <f t="shared" si="64"/>
        <v>F0-M38-A1</v>
      </c>
      <c r="FP39" t="str">
        <f t="shared" si="65"/>
        <v>F0-M38-3</v>
      </c>
      <c r="FQ39" t="str">
        <f t="shared" si="66"/>
        <v>F0-M38-2</v>
      </c>
      <c r="FR39" t="str">
        <f t="shared" si="67"/>
        <v>F0-M38-16</v>
      </c>
      <c r="FS39" t="str">
        <f t="shared" si="68"/>
        <v>F0-M38-15</v>
      </c>
      <c r="FT39" t="str">
        <f t="shared" si="69"/>
        <v>F0-A220-M38</v>
      </c>
      <c r="FU39" t="str">
        <f t="shared" si="49"/>
        <v>F0-M38-XM01</v>
      </c>
      <c r="FV39" t="s">
        <v>142</v>
      </c>
      <c r="FW39" t="s">
        <v>143</v>
      </c>
      <c r="FX39">
        <v>11</v>
      </c>
      <c r="FY39">
        <v>14</v>
      </c>
      <c r="FZ39" t="s">
        <v>145</v>
      </c>
      <c r="GA39" t="s">
        <v>144</v>
      </c>
      <c r="GB39">
        <v>1</v>
      </c>
      <c r="GC39">
        <v>2</v>
      </c>
      <c r="GD39">
        <v>3</v>
      </c>
      <c r="GE39">
        <v>4</v>
      </c>
      <c r="GF39">
        <v>5</v>
      </c>
      <c r="GG39">
        <v>6</v>
      </c>
      <c r="GH39">
        <v>7</v>
      </c>
      <c r="GI39">
        <v>8</v>
      </c>
      <c r="GJ39">
        <v>9</v>
      </c>
      <c r="GK39">
        <v>1</v>
      </c>
      <c r="GL39">
        <v>2</v>
      </c>
      <c r="GM39">
        <v>3</v>
      </c>
      <c r="GN39">
        <v>4</v>
      </c>
      <c r="GO39">
        <v>5</v>
      </c>
      <c r="GP39">
        <v>1</v>
      </c>
      <c r="GQ39">
        <v>2</v>
      </c>
      <c r="GR39">
        <v>4</v>
      </c>
      <c r="GS39" s="16">
        <v>5</v>
      </c>
    </row>
    <row r="40" spans="1:285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1602</v>
      </c>
      <c r="W40" t="s">
        <v>1603</v>
      </c>
      <c r="AC40" t="s">
        <v>277</v>
      </c>
      <c r="AF40" t="s">
        <v>239</v>
      </c>
      <c r="AG40" t="s">
        <v>241</v>
      </c>
      <c r="AH40" t="s">
        <v>383</v>
      </c>
      <c r="AK40" t="s">
        <v>248</v>
      </c>
      <c r="AL40" t="s">
        <v>255</v>
      </c>
      <c r="AM40">
        <v>56</v>
      </c>
      <c r="AN40" t="str">
        <f t="shared" si="50"/>
        <v>56XT</v>
      </c>
      <c r="AO40" t="str">
        <f t="shared" si="43"/>
        <v>56X</v>
      </c>
      <c r="AP40" t="s">
        <v>137</v>
      </c>
      <c r="AQ40" t="s">
        <v>138</v>
      </c>
      <c r="AR40" t="str">
        <f t="shared" si="44"/>
        <v>Соединительная коробка (F0GAC01GB801)</v>
      </c>
      <c r="AT40" t="s">
        <v>139</v>
      </c>
      <c r="AU40" t="s">
        <v>140</v>
      </c>
      <c r="BD40" s="16"/>
      <c r="ER40" s="27" t="str">
        <f t="shared" si="45"/>
        <v>XT39</v>
      </c>
      <c r="ES40" t="str">
        <f t="shared" si="46"/>
        <v>C20</v>
      </c>
      <c r="ET40" t="str">
        <f t="shared" si="51"/>
        <v>B20</v>
      </c>
      <c r="EU40" t="str">
        <f t="shared" si="52"/>
        <v>C21</v>
      </c>
      <c r="EV40" t="str">
        <f t="shared" si="53"/>
        <v>B21</v>
      </c>
      <c r="EW40" t="str">
        <f t="shared" si="54"/>
        <v>14B</v>
      </c>
      <c r="EX40" t="str">
        <f t="shared" si="55"/>
        <v>14A</v>
      </c>
      <c r="EY40" t="str">
        <f t="shared" si="56"/>
        <v>DI8-C19</v>
      </c>
      <c r="EZ40" t="str">
        <f t="shared" si="56"/>
        <v>DI8-B19</v>
      </c>
      <c r="FA40" t="str">
        <f t="shared" si="47"/>
        <v>DI8-C20</v>
      </c>
      <c r="FB40" t="str">
        <f t="shared" si="47"/>
        <v>DI8-B20</v>
      </c>
      <c r="FC40" t="str">
        <f t="shared" si="47"/>
        <v>DI8-C21</v>
      </c>
      <c r="FD40" t="str">
        <f t="shared" si="47"/>
        <v>DI8-B21</v>
      </c>
      <c r="FE40" t="str">
        <f t="shared" si="57"/>
        <v>DO5-13B</v>
      </c>
      <c r="FF40" t="str">
        <f t="shared" si="57"/>
        <v>DO5-13A</v>
      </c>
      <c r="FG40" t="str">
        <f t="shared" si="58"/>
        <v>DO5-14B</v>
      </c>
      <c r="FH40" t="str">
        <f t="shared" si="58"/>
        <v>DO5-14A</v>
      </c>
      <c r="FI40" t="str">
        <f t="shared" si="59"/>
        <v>K39-03</v>
      </c>
      <c r="FJ40" t="str">
        <f t="shared" si="60"/>
        <v>K39-04</v>
      </c>
      <c r="FK40" t="str">
        <f t="shared" si="61"/>
        <v>K39-01</v>
      </c>
      <c r="FL40" t="str">
        <f t="shared" si="62"/>
        <v>K39-02</v>
      </c>
      <c r="FM40" t="str">
        <f t="shared" si="48"/>
        <v>K39-05</v>
      </c>
      <c r="FN40" t="str">
        <f t="shared" si="63"/>
        <v>F0-M39-H1</v>
      </c>
      <c r="FO40" t="str">
        <f t="shared" si="64"/>
        <v>F0-M39-A1</v>
      </c>
      <c r="FP40" t="str">
        <f t="shared" si="65"/>
        <v>F0-M39-3</v>
      </c>
      <c r="FQ40" t="str">
        <f t="shared" si="66"/>
        <v>F0-M39-2</v>
      </c>
      <c r="FR40" t="str">
        <f t="shared" si="67"/>
        <v>F0-M39-16</v>
      </c>
      <c r="FS40" t="str">
        <f t="shared" si="68"/>
        <v>F0-M39-15</v>
      </c>
      <c r="FT40" t="str">
        <f t="shared" si="69"/>
        <v>F0-A220-M39</v>
      </c>
      <c r="FU40" t="str">
        <f t="shared" si="49"/>
        <v>F0-M39-XM01</v>
      </c>
      <c r="FV40" t="s">
        <v>142</v>
      </c>
      <c r="FW40" t="s">
        <v>143</v>
      </c>
      <c r="FX40">
        <v>11</v>
      </c>
      <c r="FY40">
        <v>14</v>
      </c>
      <c r="FZ40" t="s">
        <v>145</v>
      </c>
      <c r="GA40" t="s">
        <v>144</v>
      </c>
      <c r="GB40">
        <v>1</v>
      </c>
      <c r="GC40">
        <v>2</v>
      </c>
      <c r="GD40">
        <v>3</v>
      </c>
      <c r="GE40">
        <v>4</v>
      </c>
      <c r="GF40">
        <v>5</v>
      </c>
      <c r="GG40">
        <v>6</v>
      </c>
      <c r="GH40">
        <v>7</v>
      </c>
      <c r="GI40">
        <v>8</v>
      </c>
      <c r="GJ40">
        <v>9</v>
      </c>
      <c r="GK40">
        <v>1</v>
      </c>
      <c r="GL40">
        <v>2</v>
      </c>
      <c r="GM40">
        <v>3</v>
      </c>
      <c r="GN40">
        <v>4</v>
      </c>
      <c r="GO40">
        <v>5</v>
      </c>
      <c r="GP40">
        <v>1</v>
      </c>
      <c r="GQ40">
        <v>2</v>
      </c>
      <c r="GR40">
        <v>4</v>
      </c>
      <c r="GS40" s="16">
        <v>5</v>
      </c>
    </row>
    <row r="41" spans="1:285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1604</v>
      </c>
      <c r="W41" s="15" t="s">
        <v>1605</v>
      </c>
      <c r="AC41" t="s">
        <v>277</v>
      </c>
      <c r="AF41" t="s">
        <v>381</v>
      </c>
      <c r="AG41" t="s">
        <v>382</v>
      </c>
      <c r="AH41" t="s">
        <v>383</v>
      </c>
      <c r="AK41" t="s">
        <v>372</v>
      </c>
      <c r="AL41" t="s">
        <v>375</v>
      </c>
      <c r="AM41">
        <v>57</v>
      </c>
      <c r="AN41" t="str">
        <f t="shared" si="50"/>
        <v>57XT</v>
      </c>
      <c r="AO41" t="str">
        <f t="shared" si="43"/>
        <v>57X</v>
      </c>
      <c r="AP41" t="s">
        <v>137</v>
      </c>
      <c r="AQ41" t="s">
        <v>138</v>
      </c>
      <c r="AR41" t="str">
        <f t="shared" si="44"/>
        <v>Соединительная коробка (F0GAC01GB802)</v>
      </c>
      <c r="AT41" t="s">
        <v>139</v>
      </c>
      <c r="AU41" t="s">
        <v>140</v>
      </c>
      <c r="BD41" s="16"/>
      <c r="ER41" s="27" t="str">
        <f t="shared" si="45"/>
        <v>XT40</v>
      </c>
      <c r="ES41" t="str">
        <f t="shared" si="46"/>
        <v>C23</v>
      </c>
      <c r="ET41" t="str">
        <f t="shared" si="51"/>
        <v>B23</v>
      </c>
      <c r="EU41" t="str">
        <f t="shared" si="52"/>
        <v>C24</v>
      </c>
      <c r="EV41" t="str">
        <f t="shared" si="53"/>
        <v>B24</v>
      </c>
      <c r="EW41" t="str">
        <f t="shared" si="54"/>
        <v>16B</v>
      </c>
      <c r="EX41" t="str">
        <f t="shared" si="55"/>
        <v>16A</v>
      </c>
      <c r="EY41" t="str">
        <f t="shared" si="56"/>
        <v>DI8-C22</v>
      </c>
      <c r="EZ41" t="str">
        <f t="shared" si="56"/>
        <v>DI8-B22</v>
      </c>
      <c r="FA41" t="str">
        <f t="shared" si="47"/>
        <v>DI8-C23</v>
      </c>
      <c r="FB41" t="str">
        <f t="shared" si="47"/>
        <v>DI8-B23</v>
      </c>
      <c r="FC41" t="str">
        <f t="shared" si="47"/>
        <v>DI8-C24</v>
      </c>
      <c r="FD41" t="str">
        <f t="shared" si="47"/>
        <v>DI8-B24</v>
      </c>
      <c r="FE41" t="str">
        <f t="shared" si="57"/>
        <v>DO5-15B</v>
      </c>
      <c r="FF41" t="str">
        <f t="shared" si="57"/>
        <v>DO5-15A</v>
      </c>
      <c r="FG41" t="str">
        <f t="shared" si="58"/>
        <v>DO5-16B</v>
      </c>
      <c r="FH41" t="str">
        <f t="shared" si="58"/>
        <v>DO5-16A</v>
      </c>
      <c r="FI41" t="str">
        <f t="shared" si="59"/>
        <v>K40-03</v>
      </c>
      <c r="FJ41" t="str">
        <f t="shared" si="60"/>
        <v>K40-04</v>
      </c>
      <c r="FK41" t="str">
        <f t="shared" si="61"/>
        <v>K40-01</v>
      </c>
      <c r="FL41" t="str">
        <f t="shared" si="62"/>
        <v>K40-02</v>
      </c>
      <c r="FM41" t="str">
        <f t="shared" si="48"/>
        <v>K40-05</v>
      </c>
      <c r="FN41" t="str">
        <f t="shared" si="63"/>
        <v>F0-M40-H1</v>
      </c>
      <c r="FO41" t="str">
        <f t="shared" si="64"/>
        <v>F0-M40-A1</v>
      </c>
      <c r="FP41" t="str">
        <f t="shared" si="65"/>
        <v>F0-M40-3</v>
      </c>
      <c r="FQ41" t="str">
        <f t="shared" si="66"/>
        <v>F0-M40-2</v>
      </c>
      <c r="FR41" t="str">
        <f t="shared" si="67"/>
        <v>F0-M40-16</v>
      </c>
      <c r="FS41" t="str">
        <f t="shared" si="68"/>
        <v>F0-M40-15</v>
      </c>
      <c r="FT41" t="str">
        <f t="shared" si="69"/>
        <v>F0-A220-M40</v>
      </c>
      <c r="FU41" t="str">
        <f t="shared" si="49"/>
        <v>F0-M40-XM01</v>
      </c>
      <c r="FV41" t="s">
        <v>142</v>
      </c>
      <c r="FW41" t="s">
        <v>143</v>
      </c>
      <c r="FX41">
        <v>11</v>
      </c>
      <c r="FY41">
        <v>14</v>
      </c>
      <c r="FZ41" t="s">
        <v>145</v>
      </c>
      <c r="GA41" t="s">
        <v>144</v>
      </c>
      <c r="GB41">
        <v>1</v>
      </c>
      <c r="GC41">
        <v>2</v>
      </c>
      <c r="GD41">
        <v>3</v>
      </c>
      <c r="GE41">
        <v>4</v>
      </c>
      <c r="GF41">
        <v>5</v>
      </c>
      <c r="GG41">
        <v>6</v>
      </c>
      <c r="GH41">
        <v>7</v>
      </c>
      <c r="GI41">
        <v>8</v>
      </c>
      <c r="GJ41">
        <v>9</v>
      </c>
      <c r="GK41">
        <v>1</v>
      </c>
      <c r="GL41">
        <v>2</v>
      </c>
      <c r="GM41">
        <v>3</v>
      </c>
      <c r="GN41">
        <v>4</v>
      </c>
      <c r="GO41">
        <v>5</v>
      </c>
      <c r="GP41">
        <v>1</v>
      </c>
      <c r="GQ41">
        <v>2</v>
      </c>
      <c r="GR41">
        <v>4</v>
      </c>
      <c r="GS41" s="16">
        <v>5</v>
      </c>
    </row>
    <row r="42" spans="1:285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1606</v>
      </c>
      <c r="W42" s="19" t="s">
        <v>1607</v>
      </c>
      <c r="X42" s="19"/>
      <c r="Y42" s="19"/>
      <c r="Z42" s="19"/>
      <c r="AA42" s="19"/>
      <c r="AB42" s="19"/>
      <c r="AC42" s="19" t="s">
        <v>277</v>
      </c>
      <c r="AD42" s="19"/>
      <c r="AE42" s="19"/>
      <c r="AF42" s="19" t="s">
        <v>240</v>
      </c>
      <c r="AG42" s="19" t="s">
        <v>242</v>
      </c>
      <c r="AH42" s="19" t="s">
        <v>383</v>
      </c>
      <c r="AI42" s="19"/>
      <c r="AJ42" s="19"/>
      <c r="AK42" s="19" t="s">
        <v>373</v>
      </c>
      <c r="AL42" s="19" t="s">
        <v>376</v>
      </c>
      <c r="AM42" s="19">
        <v>58</v>
      </c>
      <c r="AN42" s="19" t="str">
        <f t="shared" si="50"/>
        <v>58XT</v>
      </c>
      <c r="AO42" s="19" t="str">
        <f t="shared" si="43"/>
        <v>58X</v>
      </c>
      <c r="AP42" s="19" t="s">
        <v>137</v>
      </c>
      <c r="AQ42" s="19" t="s">
        <v>138</v>
      </c>
      <c r="AR42" s="19" t="str">
        <f t="shared" si="44"/>
        <v>Соединительная коробка (F0GBJ01GB801)</v>
      </c>
      <c r="AS42" s="19"/>
      <c r="AT42" s="19" t="s">
        <v>139</v>
      </c>
      <c r="AU42" s="19" t="s">
        <v>140</v>
      </c>
      <c r="AV42" s="19"/>
      <c r="AW42" s="19"/>
      <c r="AX42" s="19"/>
      <c r="AY42" s="19"/>
      <c r="AZ42" s="19"/>
      <c r="BA42" s="19"/>
      <c r="BB42" s="19"/>
      <c r="BC42" s="19"/>
      <c r="BD42" s="20"/>
      <c r="ER42" s="28" t="str">
        <f t="shared" si="45"/>
        <v>XT41</v>
      </c>
      <c r="ES42" s="19" t="str">
        <f t="shared" si="46"/>
        <v>C26</v>
      </c>
      <c r="ET42" s="19" t="str">
        <f t="shared" si="51"/>
        <v>B26</v>
      </c>
      <c r="EU42" s="19" t="str">
        <f t="shared" si="52"/>
        <v>C27</v>
      </c>
      <c r="EV42" s="19" t="str">
        <f t="shared" si="53"/>
        <v>B27</v>
      </c>
      <c r="EW42" s="19" t="str">
        <f t="shared" si="54"/>
        <v>18B</v>
      </c>
      <c r="EX42" s="19" t="str">
        <f t="shared" si="55"/>
        <v>18A</v>
      </c>
      <c r="EY42" s="19" t="str">
        <f t="shared" si="56"/>
        <v>DI8-C25</v>
      </c>
      <c r="EZ42" s="19" t="str">
        <f t="shared" si="56"/>
        <v>DI8-B25</v>
      </c>
      <c r="FA42" s="19" t="str">
        <f t="shared" si="47"/>
        <v>DI8-C26</v>
      </c>
      <c r="FB42" s="19" t="str">
        <f t="shared" si="47"/>
        <v>DI8-B26</v>
      </c>
      <c r="FC42" s="19" t="str">
        <f t="shared" si="47"/>
        <v>DI8-C27</v>
      </c>
      <c r="FD42" s="19" t="str">
        <f t="shared" si="47"/>
        <v>DI8-B27</v>
      </c>
      <c r="FE42" s="19" t="str">
        <f t="shared" si="57"/>
        <v>DO5-17B</v>
      </c>
      <c r="FF42" s="19" t="str">
        <f t="shared" si="57"/>
        <v>DO5-17A</v>
      </c>
      <c r="FG42" s="19" t="str">
        <f t="shared" si="58"/>
        <v>DO5-18B</v>
      </c>
      <c r="FH42" s="19" t="str">
        <f t="shared" si="58"/>
        <v>DO5-18A</v>
      </c>
      <c r="FI42" s="19" t="str">
        <f t="shared" si="59"/>
        <v>K41-03</v>
      </c>
      <c r="FJ42" s="19" t="str">
        <f t="shared" si="60"/>
        <v>K41-04</v>
      </c>
      <c r="FK42" s="19" t="str">
        <f t="shared" si="61"/>
        <v>K41-01</v>
      </c>
      <c r="FL42" s="19" t="str">
        <f t="shared" si="62"/>
        <v>K41-02</v>
      </c>
      <c r="FM42" s="19" t="str">
        <f t="shared" si="48"/>
        <v>K41-05</v>
      </c>
      <c r="FN42" s="19" t="str">
        <f t="shared" si="63"/>
        <v>F0-M41-H1</v>
      </c>
      <c r="FO42" s="19" t="str">
        <f t="shared" si="64"/>
        <v>F0-M41-A1</v>
      </c>
      <c r="FP42" s="19" t="str">
        <f t="shared" si="65"/>
        <v>F0-M41-3</v>
      </c>
      <c r="FQ42" s="19" t="str">
        <f t="shared" si="66"/>
        <v>F0-M41-2</v>
      </c>
      <c r="FR42" s="19" t="str">
        <f t="shared" si="67"/>
        <v>F0-M41-16</v>
      </c>
      <c r="FS42" s="19" t="str">
        <f t="shared" si="68"/>
        <v>F0-M41-15</v>
      </c>
      <c r="FT42" s="19" t="str">
        <f t="shared" si="69"/>
        <v>F0-A220-M41</v>
      </c>
      <c r="FU42" s="19" t="str">
        <f t="shared" si="49"/>
        <v>F0-M41-XM01</v>
      </c>
      <c r="FV42" s="19" t="s">
        <v>142</v>
      </c>
      <c r="FW42" s="19" t="s">
        <v>143</v>
      </c>
      <c r="FX42" s="19">
        <v>11</v>
      </c>
      <c r="FY42" s="19">
        <v>14</v>
      </c>
      <c r="FZ42" s="19" t="s">
        <v>145</v>
      </c>
      <c r="GA42" s="19" t="s">
        <v>144</v>
      </c>
      <c r="GB42" s="19">
        <v>1</v>
      </c>
      <c r="GC42" s="19">
        <v>2</v>
      </c>
      <c r="GD42" s="19">
        <v>3</v>
      </c>
      <c r="GE42" s="19">
        <v>4</v>
      </c>
      <c r="GF42" s="19">
        <v>5</v>
      </c>
      <c r="GG42" s="19">
        <v>6</v>
      </c>
      <c r="GH42" s="19">
        <v>7</v>
      </c>
      <c r="GI42" s="19">
        <v>8</v>
      </c>
      <c r="GJ42" s="19">
        <v>9</v>
      </c>
      <c r="GK42" s="19">
        <v>1</v>
      </c>
      <c r="GL42" s="19">
        <v>2</v>
      </c>
      <c r="GM42" s="19">
        <v>3</v>
      </c>
      <c r="GN42" s="19">
        <v>4</v>
      </c>
      <c r="GO42" s="19">
        <v>5</v>
      </c>
      <c r="GP42" s="19">
        <v>1</v>
      </c>
      <c r="GQ42" s="19">
        <v>2</v>
      </c>
      <c r="GR42" s="19">
        <v>4</v>
      </c>
      <c r="GS42" s="20">
        <v>5</v>
      </c>
    </row>
    <row r="43" spans="1:285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1608</v>
      </c>
      <c r="W43" s="11" t="s">
        <v>1616</v>
      </c>
      <c r="X43" s="12" t="s">
        <v>400</v>
      </c>
      <c r="Y43" s="43" t="str" cm="1">
        <f t="array" ref="Y43">IF(COUNTIFS($X$2:$X43,$X43)=1,"1",VALUE(SUBSTITUTE(INDEX(Y:Y,_xlfn.XMATCH($X43,$X$1:$X42,0,-1)),"A",""))+INDEX(Z:Z,_xlfn.XMATCH($X43,$X$1:$X42,0,-1))+1)</f>
        <v>1</v>
      </c>
      <c r="Z43" s="43" cm="1">
        <f t="array" ref="Z43">SUM(IF(ISNUMBER(FIND("TmAi",$BE$1:$AAD$1)),IF(IFERROR(ISODD(SUBSTITUTE($BE43:$AAD43,"A","")),FALSE),IF(ISODD(SUBSTITUTE($BE43:$AAD43,"A","")),1,0),0)))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2"/>
      <c r="AE43" s="12"/>
      <c r="AF43" s="11" t="s">
        <v>133</v>
      </c>
      <c r="AG43" s="11" t="s">
        <v>134</v>
      </c>
      <c r="AH43" s="11" t="s">
        <v>388</v>
      </c>
      <c r="AI43" s="11"/>
      <c r="AJ43" s="11"/>
      <c r="AK43" s="11" t="s">
        <v>135</v>
      </c>
      <c r="AL43" s="11" t="s">
        <v>136</v>
      </c>
      <c r="AM43" s="12" t="s">
        <v>394</v>
      </c>
      <c r="AN43" s="12"/>
      <c r="AO43" s="12"/>
      <c r="AP43" s="12" t="s">
        <v>137</v>
      </c>
      <c r="AQ43" s="12" t="s">
        <v>138</v>
      </c>
      <c r="AR43" s="12"/>
      <c r="AS43" s="12" t="s">
        <v>396</v>
      </c>
      <c r="AT43" s="12" t="s">
        <v>139</v>
      </c>
      <c r="AU43" s="12" t="s">
        <v>140</v>
      </c>
      <c r="AV43" s="12"/>
      <c r="AW43" s="12"/>
      <c r="AX43" s="12"/>
      <c r="AY43" s="12"/>
      <c r="AZ43" s="12"/>
      <c r="BA43" s="12"/>
      <c r="BB43" s="12"/>
      <c r="BC43" s="12"/>
      <c r="BD43" s="13"/>
      <c r="GT43" s="25" t="str">
        <f t="shared" ref="GT43:GT55" si="70">CONCATENATE("XT",U43)</f>
        <v>XT42</v>
      </c>
      <c r="GU43" s="12" t="str">
        <f t="shared" ref="GU43:GU55" si="71">CONCATENATE("C",REPLACE(AF43,1,1,"")+1)</f>
        <v>C2</v>
      </c>
      <c r="GV43" s="12" t="str">
        <f>CONCATENATE("B",REPLACE(AG43,1,1,"")+1)</f>
        <v>B2</v>
      </c>
      <c r="GW43" s="12" t="str">
        <f>CONCATENATE("C",REPLACE(GU43,1,1,"")+1)</f>
        <v>C3</v>
      </c>
      <c r="GX43" s="12" t="str">
        <f>CONCATENATE("B",REPLACE(GV43,1,1,"")+1)</f>
        <v>B3</v>
      </c>
      <c r="GY43" s="12" t="str">
        <f>CONCATENATE("C",REPLACE(GW43,1,1,"")+1)</f>
        <v>C4</v>
      </c>
      <c r="GZ43" s="12" t="str">
        <f>CONCATENATE("B",REPLACE(GX43,1,1,"")+1)</f>
        <v>B4</v>
      </c>
      <c r="HA43" s="12" t="str">
        <f>CONCATENATE("C",REPLACE(GY43,1,1,"")+1)</f>
        <v>C5</v>
      </c>
      <c r="HB43" s="12" t="str">
        <f>CONCATENATE("B",REPLACE(GZ43,1,1,"")+1)</f>
        <v>B5</v>
      </c>
      <c r="HC43" s="12" t="str">
        <f>CONCATENATE("C",REPLACE(HA43,1,1,"")+1)</f>
        <v>C6</v>
      </c>
      <c r="HD43" s="12" t="str">
        <f>CONCATENATE("B",REPLACE(HB43,1,1,"")+1)</f>
        <v>B6</v>
      </c>
      <c r="HE43" s="12" t="str">
        <f>CONCATENATE(REPLACE(AK43,LEN(AK43),1,"")+1,"B")</f>
        <v>2B</v>
      </c>
      <c r="HF43" s="12" t="str">
        <f>CONCATENATE(REPLACE(AL43,LEN(AL43),1,"")+1,"A")</f>
        <v>2A</v>
      </c>
      <c r="HG43" s="12" t="str">
        <f t="shared" ref="HG43:HH55" si="72">CONCATENATE("AI",REPLACE($X43,1,3,""),"-",AA43)</f>
        <v>AI1-1A</v>
      </c>
      <c r="HH43" s="12" t="str">
        <f t="shared" si="72"/>
        <v>AI1-1B</v>
      </c>
      <c r="HI43" s="12" t="str">
        <f>CONCATENATE("DI",REPLACE($AC43,1,3,""),"-",AF43)</f>
        <v>DI9-C1</v>
      </c>
      <c r="HJ43" s="12" t="str">
        <f>CONCATENATE("DI",REPLACE($AC43,1,3,""),"-",AG43)</f>
        <v>DI9-B1</v>
      </c>
      <c r="HK43" s="12" t="str">
        <f t="shared" ref="HK43:HT55" si="73">CONCATENATE("DI",REPLACE($AC43,1,3,""),"-",GU43)</f>
        <v>DI9-C2</v>
      </c>
      <c r="HL43" s="12" t="str">
        <f t="shared" si="73"/>
        <v>DI9-B2</v>
      </c>
      <c r="HM43" s="12" t="str">
        <f t="shared" si="73"/>
        <v>DI9-C3</v>
      </c>
      <c r="HN43" s="12" t="str">
        <f t="shared" si="73"/>
        <v>DI9-B3</v>
      </c>
      <c r="HO43" s="12" t="str">
        <f t="shared" si="73"/>
        <v>DI9-C4</v>
      </c>
      <c r="HP43" s="12" t="str">
        <f t="shared" si="73"/>
        <v>DI9-B4</v>
      </c>
      <c r="HQ43" s="12" t="str">
        <f t="shared" si="73"/>
        <v>DI9-C5</v>
      </c>
      <c r="HR43" s="12" t="str">
        <f t="shared" si="73"/>
        <v>DI9-B5</v>
      </c>
      <c r="HS43" s="12" t="str">
        <f t="shared" si="73"/>
        <v>DI9-C6</v>
      </c>
      <c r="HT43" s="12" t="str">
        <f t="shared" si="73"/>
        <v>DI9-B6</v>
      </c>
      <c r="HU43" s="12" t="str">
        <f>CONCATENATE("DO",REPLACE($AH43,1,3,""),"-",AK43)</f>
        <v>DO6-1B</v>
      </c>
      <c r="HV43" s="12" t="str">
        <f>CONCATENATE("DO",REPLACE($AH43,1,3,""),"-",AL43)</f>
        <v>DO6-1A</v>
      </c>
      <c r="HW43" s="12" t="str">
        <f>CONCATENATE("DO",REPLACE($AH43,1,3,""),"-",HE43)</f>
        <v>DO6-2B</v>
      </c>
      <c r="HX43" s="12" t="str">
        <f>CONCATENATE("DO",REPLACE($AH43,1,3,""),"-",HF43)</f>
        <v>DO6-2A</v>
      </c>
      <c r="HY43" s="12" t="str">
        <f>CONCATENATE("K",$U43,"-01")</f>
        <v>K42-01</v>
      </c>
      <c r="HZ43" s="12" t="str">
        <f>CONCATENATE("K",$U43,"-02")</f>
        <v>K42-02</v>
      </c>
      <c r="IA43" s="12" t="str">
        <f>CONCATENATE("K",$U43,"-03")</f>
        <v>K42-03</v>
      </c>
      <c r="IB43" s="12" t="str">
        <f>CONCATENATE("K",$U43,"-04")</f>
        <v>K42-04</v>
      </c>
      <c r="IC43" s="12" t="str">
        <f>CONCATENATE("K",$U43,"-05")</f>
        <v>K42-05</v>
      </c>
      <c r="ID43" s="12" t="str">
        <f>CONCATENATE("K",$U43,"-06")</f>
        <v>K42-06</v>
      </c>
      <c r="IE43" s="12" t="str">
        <f>CONCATENATE("K",$U43,"-07")</f>
        <v>K42-07</v>
      </c>
      <c r="IF43" s="12" t="str">
        <f>CONCATENATE("K",$U43,"-08")</f>
        <v>K42-08</v>
      </c>
      <c r="IG43" s="12" t="str">
        <f>CONCATENATE($T43,"-M",$U43,"-AMS-12")</f>
        <v>F0-M42-AMS-12</v>
      </c>
      <c r="IH43" s="12" t="str">
        <f>CONCATENATE($T43,"-M",$U43,"-AMS-10")</f>
        <v>F0-M42-AMS-10</v>
      </c>
      <c r="II43" s="12" t="str">
        <f>CONCATENATE($T43,"-M",$U43,"-AMS-11")</f>
        <v>F0-M42-AMS-11</v>
      </c>
      <c r="IJ43" s="12" t="str">
        <f>CONCATENATE($T43,"-M",$U43,"-AMS-13")</f>
        <v>F0-M42-AMS-13</v>
      </c>
      <c r="IK43" s="12" t="str">
        <f>CONCATENATE($T43,"-M",$U43,"-AMS-9")</f>
        <v>F0-M42-AMS-9</v>
      </c>
      <c r="IL43" s="12" t="str">
        <f>CONCATENATE($T43,"-M",$U43,"-AMS-7")</f>
        <v>F0-M42-AMS-7</v>
      </c>
      <c r="IM43" s="12" t="str">
        <f>CONCATENATE($T43,"-M",$U43,"-AMS-18")</f>
        <v>F0-M42-AMS-18</v>
      </c>
      <c r="IN43" s="12" t="str">
        <f>CONCATENATE($T43,"-M",$U43,"-AMS-20")</f>
        <v>F0-M42-AMS-20</v>
      </c>
      <c r="IO43" s="12" t="str">
        <f>CONCATENATE($T43,"-M",$U43,"-AMS-17")</f>
        <v>F0-M42-AMS-17</v>
      </c>
      <c r="IP43" s="12" t="str">
        <f>CONCATENATE($T43,"-+24-M",$U43,)</f>
        <v>F0-+24-M42</v>
      </c>
      <c r="IQ43" s="12" t="str">
        <f>CONCATENATE($T43,"-M",$U43,"-XM01")</f>
        <v>F0-M42-XM01</v>
      </c>
      <c r="IR43" s="12" t="s">
        <v>142</v>
      </c>
      <c r="IS43" s="12" t="s">
        <v>143</v>
      </c>
      <c r="IT43" s="12">
        <v>11</v>
      </c>
      <c r="IU43" s="12">
        <v>14</v>
      </c>
      <c r="IV43" s="12" t="s">
        <v>413</v>
      </c>
      <c r="IW43" s="12" t="s">
        <v>414</v>
      </c>
      <c r="IX43" s="12">
        <v>1</v>
      </c>
      <c r="IY43" s="12">
        <v>2</v>
      </c>
      <c r="IZ43" s="12">
        <v>3</v>
      </c>
      <c r="JA43" s="12">
        <v>4</v>
      </c>
      <c r="JB43" s="12">
        <v>5</v>
      </c>
      <c r="JC43" s="12">
        <v>6</v>
      </c>
      <c r="JD43" s="12">
        <v>7</v>
      </c>
      <c r="JE43" s="12">
        <v>8</v>
      </c>
      <c r="JF43" s="12">
        <v>9</v>
      </c>
      <c r="JG43" s="12">
        <v>10</v>
      </c>
      <c r="JH43" s="12">
        <v>11</v>
      </c>
      <c r="JI43" s="12">
        <v>12</v>
      </c>
      <c r="JJ43" s="12">
        <v>13</v>
      </c>
      <c r="JK43" s="12">
        <v>14</v>
      </c>
      <c r="JL43" s="12">
        <v>17</v>
      </c>
      <c r="JM43" s="12">
        <v>15</v>
      </c>
      <c r="JN43" s="12">
        <v>18</v>
      </c>
      <c r="JO43" s="12">
        <v>11</v>
      </c>
      <c r="JP43" s="12">
        <v>9</v>
      </c>
      <c r="JQ43" s="12">
        <v>6</v>
      </c>
      <c r="JR43" s="12">
        <v>20</v>
      </c>
      <c r="JS43" s="12">
        <v>7</v>
      </c>
      <c r="JT43" s="12">
        <v>10</v>
      </c>
      <c r="JU43" s="12">
        <v>22</v>
      </c>
      <c r="JV43" s="12">
        <v>23</v>
      </c>
      <c r="JW43" s="12">
        <v>26</v>
      </c>
      <c r="JX43" s="12">
        <v>27</v>
      </c>
      <c r="JY43" s="13">
        <v>30</v>
      </c>
    </row>
    <row r="44" spans="1:285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1609</v>
      </c>
      <c r="W44" t="s">
        <v>1617</v>
      </c>
      <c r="X44" t="str">
        <f>IF(COUNTIF(X$1:X43,X43)&gt;7,REPLACE(X43,LEN(X43),1,VALUE(RIGHT(X43,1))+1),X43)</f>
        <v>A3.1</v>
      </c>
      <c r="Y44" s="43" cm="1">
        <f t="array" ref="Y44">IF(COUNTIFS($X$2:$X44,$X44)=1,"1",VALUE(SUBSTITUTE(INDEX(Y:Y,_xlfn.XMATCH($X44,$X$1:$X43,0,-1)),"A",""))+INDEX(Z:Z,_xlfn.XMATCH($X44,$X$1:$X43,0,-1))+1)</f>
        <v>2</v>
      </c>
      <c r="Z44" s="43" cm="1">
        <f t="array" ref="Z44">SUM(IF(ISNUMBER(FIND("TmAi",$BE$1:$AAD$1)),IF(IFERROR(ISODD(SUBSTITUTE($BE44:$AAD44,"A","")),FALSE),IF(ISODD(SUBSTITUTE($BE44:$AAD44,"A","")),1,0),0)))</f>
        <v>0</v>
      </c>
      <c r="AA44" t="str">
        <f t="shared" ref="AA44:AA55" si="74">CONCATENATE($Y44*2-1,"A")</f>
        <v>3A</v>
      </c>
      <c r="AB44" t="str">
        <f t="shared" ref="AB44:AB55" si="75">CONCATENATE($Y44*2-1,"B")</f>
        <v>3B</v>
      </c>
      <c r="AC44" t="s">
        <v>278</v>
      </c>
      <c r="AF44" t="s">
        <v>148</v>
      </c>
      <c r="AG44" t="s">
        <v>149</v>
      </c>
      <c r="AH44" t="s">
        <v>388</v>
      </c>
      <c r="AK44" t="s">
        <v>384</v>
      </c>
      <c r="AL44" t="s">
        <v>386</v>
      </c>
      <c r="AM44" t="s">
        <v>419</v>
      </c>
      <c r="AP44" t="s">
        <v>137</v>
      </c>
      <c r="AQ44" t="s">
        <v>138</v>
      </c>
      <c r="AS44" t="s">
        <v>396</v>
      </c>
      <c r="AT44" t="s">
        <v>139</v>
      </c>
      <c r="AU44" t="s">
        <v>140</v>
      </c>
      <c r="BD44" s="16"/>
      <c r="GT44" s="27" t="str">
        <f t="shared" si="70"/>
        <v>XT43</v>
      </c>
      <c r="GU44" t="str">
        <f t="shared" si="71"/>
        <v>C8</v>
      </c>
      <c r="GV44" t="str">
        <f>CONCATENATE("B",REPLACE(AG44,1,1,"")+1)</f>
        <v>B8</v>
      </c>
      <c r="GW44" t="str">
        <f>CONCATENATE("C",REPLACE(GU44,1,1,"")+1)</f>
        <v>C9</v>
      </c>
      <c r="GX44" t="str">
        <f>CONCATENATE("B",REPLACE(GV44,1,1,"")+1)</f>
        <v>B9</v>
      </c>
      <c r="GY44" t="str">
        <f>CONCATENATE("C",REPLACE(GW44,1,1,"")+1)</f>
        <v>C10</v>
      </c>
      <c r="GZ44" t="str">
        <f>CONCATENATE("B",REPLACE(GX44,1,1,"")+1)</f>
        <v>B10</v>
      </c>
      <c r="HA44" t="str">
        <f>CONCATENATE("C",REPLACE(GY44,1,1,"")+1)</f>
        <v>C11</v>
      </c>
      <c r="HB44" t="str">
        <f>CONCATENATE("B",REPLACE(GZ44,1,1,"")+1)</f>
        <v>B11</v>
      </c>
      <c r="HC44" t="str">
        <f>CONCATENATE("C",REPLACE(HA44,1,1,"")+1)</f>
        <v>C12</v>
      </c>
      <c r="HD44" t="str">
        <f>CONCATENATE("B",REPLACE(HB44,1,1,"")+1)</f>
        <v>B12</v>
      </c>
      <c r="HE44" t="str">
        <f>CONCATENATE(REPLACE(AK44,LEN(AK44),1,"")+1,"B")</f>
        <v>4B</v>
      </c>
      <c r="HF44" t="str">
        <f>CONCATENATE(REPLACE(AL44,LEN(AL44),1,"")+1,"A")</f>
        <v>4A</v>
      </c>
      <c r="HG44" t="str">
        <f t="shared" si="72"/>
        <v>AI1-3A</v>
      </c>
      <c r="HH44" t="str">
        <f t="shared" si="72"/>
        <v>AI1-3B</v>
      </c>
      <c r="HI44" t="str">
        <f>CONCATENATE("DI",REPLACE($AC44,1,3,""),"-",AF44)</f>
        <v>DI9-C7</v>
      </c>
      <c r="HJ44" t="str">
        <f>CONCATENATE("DI",REPLACE($AC44,1,3,""),"-",AG44)</f>
        <v>DI9-B7</v>
      </c>
      <c r="HK44" t="str">
        <f t="shared" si="73"/>
        <v>DI9-C8</v>
      </c>
      <c r="HL44" t="str">
        <f t="shared" si="73"/>
        <v>DI9-B8</v>
      </c>
      <c r="HM44" t="str">
        <f t="shared" si="73"/>
        <v>DI9-C9</v>
      </c>
      <c r="HN44" t="str">
        <f t="shared" si="73"/>
        <v>DI9-B9</v>
      </c>
      <c r="HO44" t="str">
        <f t="shared" si="73"/>
        <v>DI9-C10</v>
      </c>
      <c r="HP44" t="str">
        <f t="shared" si="73"/>
        <v>DI9-B10</v>
      </c>
      <c r="HQ44" t="str">
        <f t="shared" si="73"/>
        <v>DI9-C11</v>
      </c>
      <c r="HR44" t="str">
        <f t="shared" si="73"/>
        <v>DI9-B11</v>
      </c>
      <c r="HS44" t="str">
        <f t="shared" si="73"/>
        <v>DI9-C12</v>
      </c>
      <c r="HT44" t="str">
        <f t="shared" si="73"/>
        <v>DI9-B12</v>
      </c>
      <c r="HU44" t="str">
        <f>CONCATENATE("DO",REPLACE($AH44,1,3,""),"-",AK44)</f>
        <v>DO6-3B</v>
      </c>
      <c r="HV44" t="str">
        <f>CONCATENATE("DO",REPLACE($AH44,1,3,""),"-",AL44)</f>
        <v>DO6-3A</v>
      </c>
      <c r="HW44" t="str">
        <f>CONCATENATE("DO",REPLACE($AH44,1,3,""),"-",HE44)</f>
        <v>DO6-4B</v>
      </c>
      <c r="HX44" t="str">
        <f>CONCATENATE("DO",REPLACE($AH44,1,3,""),"-",HF44)</f>
        <v>DO6-4A</v>
      </c>
      <c r="HY44" t="str">
        <f>CONCATENATE("K",$U44,"-01")</f>
        <v>K43-01</v>
      </c>
      <c r="HZ44" t="str">
        <f>CONCATENATE("K",$U44,"-02")</f>
        <v>K43-02</v>
      </c>
      <c r="IA44" t="str">
        <f>CONCATENATE("K",$U44,"-03")</f>
        <v>K43-03</v>
      </c>
      <c r="IB44" t="str">
        <f>CONCATENATE("K",$U44,"-04")</f>
        <v>K43-04</v>
      </c>
      <c r="IC44" t="str">
        <f>CONCATENATE("K",$U44,"-05")</f>
        <v>K43-05</v>
      </c>
      <c r="ID44" t="str">
        <f>CONCATENATE("K",$U44,"-06")</f>
        <v>K43-06</v>
      </c>
      <c r="IE44" t="str">
        <f>CONCATENATE("K",$U44,"-07")</f>
        <v>K43-07</v>
      </c>
      <c r="IF44" t="str">
        <f>CONCATENATE("K",$U44,"-08")</f>
        <v>K43-08</v>
      </c>
      <c r="IG44" t="str">
        <f>CONCATENATE($T44,"-M",$U44,"-AMS-12")</f>
        <v>F0-M43-AMS-12</v>
      </c>
      <c r="IH44" t="str">
        <f>CONCATENATE($T44,"-M",$U44,"-AMS-10")</f>
        <v>F0-M43-AMS-10</v>
      </c>
      <c r="II44" t="str">
        <f>CONCATENATE($T44,"-M",$U44,"-AMS-11")</f>
        <v>F0-M43-AMS-11</v>
      </c>
      <c r="IJ44" t="str">
        <f>CONCATENATE($T44,"-M",$U44,"-AMS-13")</f>
        <v>F0-M43-AMS-13</v>
      </c>
      <c r="IK44" t="str">
        <f>CONCATENATE($T44,"-M",$U44,"-AMS-9")</f>
        <v>F0-M43-AMS-9</v>
      </c>
      <c r="IL44" t="str">
        <f>CONCATENATE($T44,"-M",$U44,"-AMS-7")</f>
        <v>F0-M43-AMS-7</v>
      </c>
      <c r="IM44" t="str">
        <f>CONCATENATE($T44,"-M",$U44,"-AMS-18")</f>
        <v>F0-M43-AMS-18</v>
      </c>
      <c r="IN44" t="str">
        <f>CONCATENATE($T44,"-M",$U44,"-AMS-20")</f>
        <v>F0-M43-AMS-20</v>
      </c>
      <c r="IO44" t="str">
        <f>CONCATENATE($T44,"-M",$U44,"-AMS-17")</f>
        <v>F0-M43-AMS-17</v>
      </c>
      <c r="IP44" t="str">
        <f>CONCATENATE($T44,"-+24-M",$U44,)</f>
        <v>F0-+24-M43</v>
      </c>
      <c r="IQ44" t="str">
        <f>CONCATENATE($T44,"-M",$U44,"-XM01")</f>
        <v>F0-M43-XM01</v>
      </c>
      <c r="IR44" t="str">
        <f t="shared" ref="IR44:JY51" si="76">IR43</f>
        <v>A1</v>
      </c>
      <c r="IS44" t="str">
        <f t="shared" si="76"/>
        <v>A2</v>
      </c>
      <c r="IT44">
        <f t="shared" si="76"/>
        <v>11</v>
      </c>
      <c r="IU44">
        <f t="shared" si="76"/>
        <v>14</v>
      </c>
      <c r="IV44" t="str">
        <f t="shared" si="76"/>
        <v>24v6</v>
      </c>
      <c r="IW44" t="str">
        <f t="shared" si="76"/>
        <v>0v6</v>
      </c>
      <c r="IX44">
        <f t="shared" si="76"/>
        <v>1</v>
      </c>
      <c r="IY44">
        <f t="shared" si="76"/>
        <v>2</v>
      </c>
      <c r="IZ44">
        <f t="shared" si="76"/>
        <v>3</v>
      </c>
      <c r="JA44">
        <f t="shared" si="76"/>
        <v>4</v>
      </c>
      <c r="JB44">
        <f t="shared" si="76"/>
        <v>5</v>
      </c>
      <c r="JC44">
        <f t="shared" si="76"/>
        <v>6</v>
      </c>
      <c r="JD44">
        <f t="shared" si="76"/>
        <v>7</v>
      </c>
      <c r="JE44">
        <f t="shared" si="76"/>
        <v>8</v>
      </c>
      <c r="JF44">
        <f t="shared" si="76"/>
        <v>9</v>
      </c>
      <c r="JG44">
        <f t="shared" si="76"/>
        <v>10</v>
      </c>
      <c r="JH44">
        <f t="shared" si="76"/>
        <v>11</v>
      </c>
      <c r="JI44">
        <f t="shared" si="76"/>
        <v>12</v>
      </c>
      <c r="JJ44">
        <f t="shared" si="76"/>
        <v>13</v>
      </c>
      <c r="JK44">
        <f t="shared" si="76"/>
        <v>14</v>
      </c>
      <c r="JL44">
        <f t="shared" si="76"/>
        <v>17</v>
      </c>
      <c r="JM44">
        <f t="shared" si="76"/>
        <v>15</v>
      </c>
      <c r="JN44">
        <f t="shared" si="76"/>
        <v>18</v>
      </c>
      <c r="JO44">
        <f t="shared" si="76"/>
        <v>11</v>
      </c>
      <c r="JP44">
        <f t="shared" si="76"/>
        <v>9</v>
      </c>
      <c r="JQ44">
        <f t="shared" si="76"/>
        <v>6</v>
      </c>
      <c r="JR44">
        <f t="shared" si="76"/>
        <v>20</v>
      </c>
      <c r="JS44">
        <f t="shared" si="76"/>
        <v>7</v>
      </c>
      <c r="JT44">
        <f t="shared" si="76"/>
        <v>10</v>
      </c>
      <c r="JU44">
        <f t="shared" si="76"/>
        <v>22</v>
      </c>
      <c r="JV44">
        <f t="shared" si="76"/>
        <v>23</v>
      </c>
      <c r="JW44">
        <f t="shared" si="76"/>
        <v>26</v>
      </c>
      <c r="JX44">
        <f t="shared" si="76"/>
        <v>27</v>
      </c>
      <c r="JY44" s="16">
        <f t="shared" si="76"/>
        <v>30</v>
      </c>
    </row>
    <row r="45" spans="1:285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7">U44+1</f>
        <v>44</v>
      </c>
      <c r="V45" s="15" t="s">
        <v>1610</v>
      </c>
      <c r="W45" s="15" t="s">
        <v>1618</v>
      </c>
      <c r="X45" t="str">
        <f>IF(COUNTIF(X$1:X44,X44)&gt;7,REPLACE(X44,LEN(X44),1,VALUE(RIGHT(X44,1))+1),X44)</f>
        <v>A3.1</v>
      </c>
      <c r="Y45" s="43" cm="1">
        <f t="array" ref="Y45">IF(COUNTIFS($X$2:$X45,$X45)=1,"1",VALUE(SUBSTITUTE(INDEX(Y:Y,_xlfn.XMATCH($X45,$X$1:$X44,0,-1)),"A",""))+INDEX(Z:Z,_xlfn.XMATCH($X45,$X$1:$X44,0,-1))+1)</f>
        <v>3</v>
      </c>
      <c r="Z45" s="43" cm="1">
        <f t="array" ref="Z45">SUM(IF(ISNUMBER(FIND("TmAi",$BE$1:$AAD$1)),IF(IFERROR(ISODD(SUBSTITUTE($BE45:$AAD45,"A","")),FALSE),IF(ISODD(SUBSTITUTE($BE45:$AAD45,"A","")),1,0),0)))</f>
        <v>0</v>
      </c>
      <c r="AA45" t="str">
        <f t="shared" si="74"/>
        <v>5A</v>
      </c>
      <c r="AB45" t="str">
        <f t="shared" si="75"/>
        <v>5B</v>
      </c>
      <c r="AC45" s="15" t="s">
        <v>278</v>
      </c>
      <c r="AD45" s="15"/>
      <c r="AE45" s="15"/>
      <c r="AF45" s="15" t="s">
        <v>153</v>
      </c>
      <c r="AG45" s="15" t="s">
        <v>154</v>
      </c>
      <c r="AH45" s="15" t="s">
        <v>388</v>
      </c>
      <c r="AI45" s="15"/>
      <c r="AJ45" s="15"/>
      <c r="AK45" s="15" t="s">
        <v>385</v>
      </c>
      <c r="AL45" s="15" t="s">
        <v>387</v>
      </c>
      <c r="AM45" s="15" t="s">
        <v>424</v>
      </c>
      <c r="AP45" t="s">
        <v>137</v>
      </c>
      <c r="AQ45" t="s">
        <v>138</v>
      </c>
      <c r="AS45" t="s">
        <v>396</v>
      </c>
      <c r="AT45" t="s">
        <v>139</v>
      </c>
      <c r="AU45" t="s">
        <v>140</v>
      </c>
      <c r="BD45" s="16"/>
      <c r="GT45" s="27" t="str">
        <f t="shared" si="70"/>
        <v>XT44</v>
      </c>
      <c r="GU45" t="str">
        <f t="shared" si="71"/>
        <v>C14</v>
      </c>
      <c r="GV45" t="str">
        <f t="shared" ref="GV45:GV55" si="78">CONCATENATE("B",REPLACE(AG45,1,1,"")+1)</f>
        <v>B14</v>
      </c>
      <c r="GW45" t="str">
        <f t="shared" ref="GW45:GW55" si="79">CONCATENATE("C",REPLACE(GU45,1,1,"")+1)</f>
        <v>C15</v>
      </c>
      <c r="GX45" t="str">
        <f t="shared" ref="GX45:GX55" si="80">CONCATENATE("B",REPLACE(GV45,1,1,"")+1)</f>
        <v>B15</v>
      </c>
      <c r="GY45" t="str">
        <f t="shared" ref="GY45:GY55" si="81">CONCATENATE("C",REPLACE(GW45,1,1,"")+1)</f>
        <v>C16</v>
      </c>
      <c r="GZ45" t="str">
        <f t="shared" ref="GZ45:GZ55" si="82">CONCATENATE("B",REPLACE(GX45,1,1,"")+1)</f>
        <v>B16</v>
      </c>
      <c r="HA45" t="str">
        <f t="shared" ref="HA45:HA55" si="83">CONCATENATE("C",REPLACE(GY45,1,1,"")+1)</f>
        <v>C17</v>
      </c>
      <c r="HB45" t="str">
        <f t="shared" ref="HB45:HB55" si="84">CONCATENATE("B",REPLACE(GZ45,1,1,"")+1)</f>
        <v>B17</v>
      </c>
      <c r="HC45" t="str">
        <f t="shared" ref="HC45:HC55" si="85">CONCATENATE("C",REPLACE(HA45,1,1,"")+1)</f>
        <v>C18</v>
      </c>
      <c r="HD45" t="str">
        <f t="shared" ref="HD45:HD55" si="86">CONCATENATE("B",REPLACE(HB45,1,1,"")+1)</f>
        <v>B18</v>
      </c>
      <c r="HE45" t="str">
        <f t="shared" ref="HE45:HE55" si="87">CONCATENATE(REPLACE(AK45,LEN(AK45),1,"")+1,"B")</f>
        <v>6B</v>
      </c>
      <c r="HF45" t="str">
        <f t="shared" ref="HF45:HF55" si="88">CONCATENATE(REPLACE(AL45,LEN(AL45),1,"")+1,"A")</f>
        <v>6A</v>
      </c>
      <c r="HG45" t="str">
        <f t="shared" si="72"/>
        <v>AI1-5A</v>
      </c>
      <c r="HH45" t="str">
        <f t="shared" si="72"/>
        <v>AI1-5B</v>
      </c>
      <c r="HI45" t="str">
        <f t="shared" ref="HI45:HJ55" si="89">CONCATENATE("DI",REPLACE($AC45,1,3,""),"-",AF45)</f>
        <v>DI9-C13</v>
      </c>
      <c r="HJ45" t="str">
        <f t="shared" si="89"/>
        <v>DI9-B13</v>
      </c>
      <c r="HK45" t="str">
        <f t="shared" si="73"/>
        <v>DI9-C14</v>
      </c>
      <c r="HL45" t="str">
        <f t="shared" si="73"/>
        <v>DI9-B14</v>
      </c>
      <c r="HM45" t="str">
        <f t="shared" si="73"/>
        <v>DI9-C15</v>
      </c>
      <c r="HN45" t="str">
        <f t="shared" si="73"/>
        <v>DI9-B15</v>
      </c>
      <c r="HO45" t="str">
        <f t="shared" si="73"/>
        <v>DI9-C16</v>
      </c>
      <c r="HP45" t="str">
        <f t="shared" si="73"/>
        <v>DI9-B16</v>
      </c>
      <c r="HQ45" t="str">
        <f t="shared" si="73"/>
        <v>DI9-C17</v>
      </c>
      <c r="HR45" t="str">
        <f t="shared" si="73"/>
        <v>DI9-B17</v>
      </c>
      <c r="HS45" t="str">
        <f t="shared" si="73"/>
        <v>DI9-C18</v>
      </c>
      <c r="HT45" t="str">
        <f t="shared" si="73"/>
        <v>DI9-B18</v>
      </c>
      <c r="HU45" t="str">
        <f t="shared" ref="HU45:HV55" si="90">CONCATENATE("DO",REPLACE($AH45,1,3,""),"-",AK45)</f>
        <v>DO6-5B</v>
      </c>
      <c r="HV45" t="str">
        <f t="shared" si="90"/>
        <v>DO6-5A</v>
      </c>
      <c r="HW45" t="str">
        <f t="shared" ref="HW45:HX55" si="91">CONCATENATE("DO",REPLACE($AH45,1,3,""),"-",HE45)</f>
        <v>DO6-6B</v>
      </c>
      <c r="HX45" t="str">
        <f t="shared" si="91"/>
        <v>DO6-6A</v>
      </c>
      <c r="HY45" t="str">
        <f t="shared" ref="HY45:HY55" si="92">CONCATENATE("K",$U45,"-01")</f>
        <v>K44-01</v>
      </c>
      <c r="HZ45" t="str">
        <f t="shared" ref="HZ45:HZ55" si="93">CONCATENATE("K",$U45,"-02")</f>
        <v>K44-02</v>
      </c>
      <c r="IA45" t="str">
        <f t="shared" ref="IA45:IA55" si="94">CONCATENATE("K",$U45,"-03")</f>
        <v>K44-03</v>
      </c>
      <c r="IB45" t="str">
        <f t="shared" ref="IB45:IB55" si="95">CONCATENATE("K",$U45,"-04")</f>
        <v>K44-04</v>
      </c>
      <c r="IC45" t="str">
        <f t="shared" ref="IC45:IC55" si="96">CONCATENATE("K",$U45,"-05")</f>
        <v>K44-05</v>
      </c>
      <c r="ID45" t="str">
        <f t="shared" ref="ID45:ID55" si="97">CONCATENATE("K",$U45,"-06")</f>
        <v>K44-06</v>
      </c>
      <c r="IE45" t="str">
        <f t="shared" ref="IE45:IE55" si="98">CONCATENATE("K",$U45,"-07")</f>
        <v>K44-07</v>
      </c>
      <c r="IF45" t="str">
        <f t="shared" ref="IF45:IF55" si="99">CONCATENATE("K",$U45,"-08")</f>
        <v>K44-08</v>
      </c>
      <c r="IG45" t="str">
        <f t="shared" ref="IG45:IG55" si="100">CONCATENATE($T45,"-M",$U45,"-AMS-12")</f>
        <v>F0-M44-AMS-12</v>
      </c>
      <c r="IH45" t="str">
        <f t="shared" ref="IH45:IH55" si="101">CONCATENATE($T45,"-M",$U45,"-AMS-10")</f>
        <v>F0-M44-AMS-10</v>
      </c>
      <c r="II45" t="str">
        <f t="shared" ref="II45:II55" si="102">CONCATENATE($T45,"-M",$U45,"-AMS-11")</f>
        <v>F0-M44-AMS-11</v>
      </c>
      <c r="IJ45" t="str">
        <f t="shared" ref="IJ45:IJ55" si="103">CONCATENATE($T45,"-M",$U45,"-AMS-13")</f>
        <v>F0-M44-AMS-13</v>
      </c>
      <c r="IK45" t="str">
        <f t="shared" ref="IK45:IK55" si="104">CONCATENATE($T45,"-M",$U45,"-AMS-9")</f>
        <v>F0-M44-AMS-9</v>
      </c>
      <c r="IL45" t="str">
        <f t="shared" ref="IL45:IL55" si="105">CONCATENATE($T45,"-M",$U45,"-AMS-7")</f>
        <v>F0-M44-AMS-7</v>
      </c>
      <c r="IM45" t="str">
        <f t="shared" ref="IM45:IM55" si="106">CONCATENATE($T45,"-M",$U45,"-AMS-18")</f>
        <v>F0-M44-AMS-18</v>
      </c>
      <c r="IN45" t="str">
        <f t="shared" ref="IN45:IN55" si="107">CONCATENATE($T45,"-M",$U45,"-AMS-20")</f>
        <v>F0-M44-AMS-20</v>
      </c>
      <c r="IO45" t="str">
        <f t="shared" ref="IO45:IO55" si="108">CONCATENATE($T45,"-M",$U45,"-AMS-17")</f>
        <v>F0-M44-AMS-17</v>
      </c>
      <c r="IP45" t="str">
        <f t="shared" ref="IP45:IP55" si="109">CONCATENATE($T45,"-+24-M",$U45,)</f>
        <v>F0-+24-M44</v>
      </c>
      <c r="IQ45" t="str">
        <f t="shared" ref="IQ45:IQ55" si="110">CONCATENATE($T45,"-M",$U45,"-XM01")</f>
        <v>F0-M44-XM01</v>
      </c>
      <c r="IR45" t="str">
        <f t="shared" si="76"/>
        <v>A1</v>
      </c>
      <c r="IS45" t="str">
        <f t="shared" si="76"/>
        <v>A2</v>
      </c>
      <c r="IT45">
        <f t="shared" si="76"/>
        <v>11</v>
      </c>
      <c r="IU45">
        <f t="shared" si="76"/>
        <v>14</v>
      </c>
      <c r="IV45" t="str">
        <f t="shared" si="76"/>
        <v>24v6</v>
      </c>
      <c r="IW45" t="str">
        <f t="shared" si="76"/>
        <v>0v6</v>
      </c>
      <c r="IX45">
        <f t="shared" si="76"/>
        <v>1</v>
      </c>
      <c r="IY45">
        <f t="shared" si="76"/>
        <v>2</v>
      </c>
      <c r="IZ45">
        <f t="shared" si="76"/>
        <v>3</v>
      </c>
      <c r="JA45">
        <f t="shared" si="76"/>
        <v>4</v>
      </c>
      <c r="JB45">
        <f t="shared" si="76"/>
        <v>5</v>
      </c>
      <c r="JC45">
        <f t="shared" si="76"/>
        <v>6</v>
      </c>
      <c r="JD45">
        <f t="shared" si="76"/>
        <v>7</v>
      </c>
      <c r="JE45">
        <f t="shared" si="76"/>
        <v>8</v>
      </c>
      <c r="JF45">
        <f t="shared" si="76"/>
        <v>9</v>
      </c>
      <c r="JG45">
        <f t="shared" si="76"/>
        <v>10</v>
      </c>
      <c r="JH45">
        <f t="shared" si="76"/>
        <v>11</v>
      </c>
      <c r="JI45">
        <f t="shared" si="76"/>
        <v>12</v>
      </c>
      <c r="JJ45">
        <f t="shared" si="76"/>
        <v>13</v>
      </c>
      <c r="JK45">
        <f t="shared" si="76"/>
        <v>14</v>
      </c>
      <c r="JL45">
        <f t="shared" si="76"/>
        <v>17</v>
      </c>
      <c r="JM45">
        <f t="shared" si="76"/>
        <v>15</v>
      </c>
      <c r="JN45">
        <f t="shared" si="76"/>
        <v>18</v>
      </c>
      <c r="JO45">
        <f t="shared" si="76"/>
        <v>11</v>
      </c>
      <c r="JP45">
        <f t="shared" si="76"/>
        <v>9</v>
      </c>
      <c r="JQ45">
        <f t="shared" si="76"/>
        <v>6</v>
      </c>
      <c r="JR45">
        <f t="shared" si="76"/>
        <v>20</v>
      </c>
      <c r="JS45">
        <f t="shared" si="76"/>
        <v>7</v>
      </c>
      <c r="JT45">
        <f t="shared" si="76"/>
        <v>10</v>
      </c>
      <c r="JU45">
        <f t="shared" si="76"/>
        <v>22</v>
      </c>
      <c r="JV45">
        <f t="shared" si="76"/>
        <v>23</v>
      </c>
      <c r="JW45">
        <f t="shared" si="76"/>
        <v>26</v>
      </c>
      <c r="JX45">
        <f t="shared" si="76"/>
        <v>27</v>
      </c>
      <c r="JY45" s="16">
        <f t="shared" si="76"/>
        <v>30</v>
      </c>
    </row>
    <row r="46" spans="1:285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7"/>
        <v>45</v>
      </c>
      <c r="V46" t="s">
        <v>1611</v>
      </c>
      <c r="W46" t="s">
        <v>1619</v>
      </c>
      <c r="X46" t="str">
        <f>IF(COUNTIF(X$1:X45,X45)&gt;7,REPLACE(X45,LEN(X45),1,VALUE(RIGHT(X45,1))+1),X45)</f>
        <v>A3.1</v>
      </c>
      <c r="Y46" s="43" cm="1">
        <f t="array" ref="Y46">IF(COUNTIFS($X$2:$X46,$X46)=1,"1",VALUE(SUBSTITUTE(INDEX(Y:Y,_xlfn.XMATCH($X46,$X$1:$X45,0,-1)),"A",""))+INDEX(Z:Z,_xlfn.XMATCH($X46,$X$1:$X45,0,-1))+1)</f>
        <v>4</v>
      </c>
      <c r="Z46" s="43" cm="1">
        <f t="array" ref="Z46">SUM(IF(ISNUMBER(FIND("TmAi",$BE$1:$AAD$1)),IF(IFERROR(ISODD(SUBSTITUTE($BE46:$AAD46,"A","")),FALSE),IF(ISODD(SUBSTITUTE($BE46:$AAD46,"A","")),1,0),0)))</f>
        <v>0</v>
      </c>
      <c r="AA46" t="str">
        <f t="shared" si="74"/>
        <v>7A</v>
      </c>
      <c r="AB46" t="str">
        <f t="shared" si="75"/>
        <v>7B</v>
      </c>
      <c r="AC46" s="15" t="s">
        <v>278</v>
      </c>
      <c r="AD46" s="15"/>
      <c r="AE46" s="15"/>
      <c r="AF46" t="s">
        <v>239</v>
      </c>
      <c r="AG46" t="s">
        <v>241</v>
      </c>
      <c r="AH46" s="15" t="s">
        <v>388</v>
      </c>
      <c r="AI46" s="15"/>
      <c r="AJ46" s="15"/>
      <c r="AK46" t="s">
        <v>245</v>
      </c>
      <c r="AL46" t="s">
        <v>246</v>
      </c>
      <c r="AM46" t="s">
        <v>425</v>
      </c>
      <c r="AP46" t="s">
        <v>137</v>
      </c>
      <c r="AQ46" t="s">
        <v>138</v>
      </c>
      <c r="AS46" t="s">
        <v>396</v>
      </c>
      <c r="AT46" t="s">
        <v>139</v>
      </c>
      <c r="AU46" t="s">
        <v>140</v>
      </c>
      <c r="BD46" s="16"/>
      <c r="GT46" s="27" t="str">
        <f t="shared" si="70"/>
        <v>XT45</v>
      </c>
      <c r="GU46" t="str">
        <f t="shared" si="71"/>
        <v>C20</v>
      </c>
      <c r="GV46" t="str">
        <f t="shared" si="78"/>
        <v>B20</v>
      </c>
      <c r="GW46" t="str">
        <f t="shared" si="79"/>
        <v>C21</v>
      </c>
      <c r="GX46" t="str">
        <f t="shared" si="80"/>
        <v>B21</v>
      </c>
      <c r="GY46" t="str">
        <f t="shared" si="81"/>
        <v>C22</v>
      </c>
      <c r="GZ46" t="str">
        <f t="shared" si="82"/>
        <v>B22</v>
      </c>
      <c r="HA46" t="str">
        <f t="shared" si="83"/>
        <v>C23</v>
      </c>
      <c r="HB46" t="str">
        <f t="shared" si="84"/>
        <v>B23</v>
      </c>
      <c r="HC46" t="str">
        <f t="shared" si="85"/>
        <v>C24</v>
      </c>
      <c r="HD46" t="str">
        <f t="shared" si="86"/>
        <v>B24</v>
      </c>
      <c r="HE46" t="str">
        <f t="shared" si="87"/>
        <v>8B</v>
      </c>
      <c r="HF46" t="str">
        <f t="shared" si="88"/>
        <v>8A</v>
      </c>
      <c r="HG46" t="str">
        <f t="shared" si="72"/>
        <v>AI1-7A</v>
      </c>
      <c r="HH46" t="str">
        <f t="shared" si="72"/>
        <v>AI1-7B</v>
      </c>
      <c r="HI46" t="str">
        <f t="shared" si="89"/>
        <v>DI9-C19</v>
      </c>
      <c r="HJ46" t="str">
        <f t="shared" si="89"/>
        <v>DI9-B19</v>
      </c>
      <c r="HK46" t="str">
        <f t="shared" si="73"/>
        <v>DI9-C20</v>
      </c>
      <c r="HL46" t="str">
        <f t="shared" si="73"/>
        <v>DI9-B20</v>
      </c>
      <c r="HM46" t="str">
        <f t="shared" si="73"/>
        <v>DI9-C21</v>
      </c>
      <c r="HN46" t="str">
        <f t="shared" si="73"/>
        <v>DI9-B21</v>
      </c>
      <c r="HO46" t="str">
        <f t="shared" si="73"/>
        <v>DI9-C22</v>
      </c>
      <c r="HP46" t="str">
        <f t="shared" si="73"/>
        <v>DI9-B22</v>
      </c>
      <c r="HQ46" t="str">
        <f t="shared" si="73"/>
        <v>DI9-C23</v>
      </c>
      <c r="HR46" t="str">
        <f t="shared" si="73"/>
        <v>DI9-B23</v>
      </c>
      <c r="HS46" t="str">
        <f t="shared" si="73"/>
        <v>DI9-C24</v>
      </c>
      <c r="HT46" t="str">
        <f t="shared" si="73"/>
        <v>DI9-B24</v>
      </c>
      <c r="HU46" t="str">
        <f t="shared" si="90"/>
        <v>DO6-7B</v>
      </c>
      <c r="HV46" t="str">
        <f t="shared" si="90"/>
        <v>DO6-7A</v>
      </c>
      <c r="HW46" t="str">
        <f t="shared" si="91"/>
        <v>DO6-8B</v>
      </c>
      <c r="HX46" t="str">
        <f t="shared" si="91"/>
        <v>DO6-8A</v>
      </c>
      <c r="HY46" t="str">
        <f t="shared" si="92"/>
        <v>K45-01</v>
      </c>
      <c r="HZ46" t="str">
        <f t="shared" si="93"/>
        <v>K45-02</v>
      </c>
      <c r="IA46" t="str">
        <f t="shared" si="94"/>
        <v>K45-03</v>
      </c>
      <c r="IB46" t="str">
        <f t="shared" si="95"/>
        <v>K45-04</v>
      </c>
      <c r="IC46" t="str">
        <f t="shared" si="96"/>
        <v>K45-05</v>
      </c>
      <c r="ID46" t="str">
        <f t="shared" si="97"/>
        <v>K45-06</v>
      </c>
      <c r="IE46" t="str">
        <f t="shared" si="98"/>
        <v>K45-07</v>
      </c>
      <c r="IF46" t="str">
        <f t="shared" si="99"/>
        <v>K45-08</v>
      </c>
      <c r="IG46" t="str">
        <f t="shared" si="100"/>
        <v>F0-M45-AMS-12</v>
      </c>
      <c r="IH46" t="str">
        <f t="shared" si="101"/>
        <v>F0-M45-AMS-10</v>
      </c>
      <c r="II46" t="str">
        <f t="shared" si="102"/>
        <v>F0-M45-AMS-11</v>
      </c>
      <c r="IJ46" t="str">
        <f t="shared" si="103"/>
        <v>F0-M45-AMS-13</v>
      </c>
      <c r="IK46" t="str">
        <f t="shared" si="104"/>
        <v>F0-M45-AMS-9</v>
      </c>
      <c r="IL46" t="str">
        <f t="shared" si="105"/>
        <v>F0-M45-AMS-7</v>
      </c>
      <c r="IM46" t="str">
        <f t="shared" si="106"/>
        <v>F0-M45-AMS-18</v>
      </c>
      <c r="IN46" t="str">
        <f t="shared" si="107"/>
        <v>F0-M45-AMS-20</v>
      </c>
      <c r="IO46" t="str">
        <f t="shared" si="108"/>
        <v>F0-M45-AMS-17</v>
      </c>
      <c r="IP46" t="str">
        <f t="shared" si="109"/>
        <v>F0-+24-M45</v>
      </c>
      <c r="IQ46" t="str">
        <f t="shared" si="110"/>
        <v>F0-M45-XM01</v>
      </c>
      <c r="IR46" t="str">
        <f t="shared" si="76"/>
        <v>A1</v>
      </c>
      <c r="IS46" t="str">
        <f t="shared" si="76"/>
        <v>A2</v>
      </c>
      <c r="IT46">
        <f t="shared" si="76"/>
        <v>11</v>
      </c>
      <c r="IU46">
        <f t="shared" si="76"/>
        <v>14</v>
      </c>
      <c r="IV46" t="str">
        <f t="shared" si="76"/>
        <v>24v6</v>
      </c>
      <c r="IW46" t="str">
        <f t="shared" si="76"/>
        <v>0v6</v>
      </c>
      <c r="IX46">
        <f t="shared" si="76"/>
        <v>1</v>
      </c>
      <c r="IY46">
        <f t="shared" si="76"/>
        <v>2</v>
      </c>
      <c r="IZ46">
        <f t="shared" si="76"/>
        <v>3</v>
      </c>
      <c r="JA46">
        <f t="shared" si="76"/>
        <v>4</v>
      </c>
      <c r="JB46">
        <f t="shared" si="76"/>
        <v>5</v>
      </c>
      <c r="JC46">
        <f t="shared" si="76"/>
        <v>6</v>
      </c>
      <c r="JD46">
        <f t="shared" si="76"/>
        <v>7</v>
      </c>
      <c r="JE46">
        <f t="shared" si="76"/>
        <v>8</v>
      </c>
      <c r="JF46">
        <f t="shared" si="76"/>
        <v>9</v>
      </c>
      <c r="JG46">
        <f t="shared" si="76"/>
        <v>10</v>
      </c>
      <c r="JH46">
        <f t="shared" si="76"/>
        <v>11</v>
      </c>
      <c r="JI46">
        <f t="shared" si="76"/>
        <v>12</v>
      </c>
      <c r="JJ46">
        <f t="shared" si="76"/>
        <v>13</v>
      </c>
      <c r="JK46">
        <f t="shared" si="76"/>
        <v>14</v>
      </c>
      <c r="JL46">
        <f t="shared" si="76"/>
        <v>17</v>
      </c>
      <c r="JM46">
        <f t="shared" si="76"/>
        <v>15</v>
      </c>
      <c r="JN46">
        <f t="shared" si="76"/>
        <v>18</v>
      </c>
      <c r="JO46">
        <f t="shared" si="76"/>
        <v>11</v>
      </c>
      <c r="JP46">
        <f t="shared" si="76"/>
        <v>9</v>
      </c>
      <c r="JQ46">
        <f t="shared" si="76"/>
        <v>6</v>
      </c>
      <c r="JR46">
        <f t="shared" si="76"/>
        <v>20</v>
      </c>
      <c r="JS46">
        <f t="shared" si="76"/>
        <v>7</v>
      </c>
      <c r="JT46">
        <f t="shared" si="76"/>
        <v>10</v>
      </c>
      <c r="JU46">
        <f t="shared" si="76"/>
        <v>22</v>
      </c>
      <c r="JV46">
        <f t="shared" si="76"/>
        <v>23</v>
      </c>
      <c r="JW46">
        <f t="shared" si="76"/>
        <v>26</v>
      </c>
      <c r="JX46">
        <f t="shared" si="76"/>
        <v>27</v>
      </c>
      <c r="JY46" s="16">
        <f t="shared" si="76"/>
        <v>30</v>
      </c>
    </row>
    <row r="47" spans="1:285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7"/>
        <v>46</v>
      </c>
      <c r="V47" t="s">
        <v>1612</v>
      </c>
      <c r="W47" t="s">
        <v>1620</v>
      </c>
      <c r="X47" t="str">
        <f>IF(COUNTIF(X$1:X46,X46)&gt;7,REPLACE(X46,LEN(X46),1,VALUE(RIGHT(X46,1))+1),X46)</f>
        <v>A3.1</v>
      </c>
      <c r="Y47" s="43" cm="1">
        <f t="array" ref="Y47">IF(COUNTIFS($X$2:$X47,$X47)=1,"1",VALUE(SUBSTITUTE(INDEX(Y:Y,_xlfn.XMATCH($X47,$X$1:$X46,0,-1)),"A",""))+INDEX(Z:Z,_xlfn.XMATCH($X47,$X$1:$X46,0,-1))+1)</f>
        <v>5</v>
      </c>
      <c r="Z47" s="43" cm="1">
        <f t="array" ref="Z47">SUM(IF(ISNUMBER(FIND("TmAi",$BE$1:$AAD$1)),IF(IFERROR(ISODD(SUBSTITUTE($BE47:$AAD47,"A","")),FALSE),IF(ISODD(SUBSTITUTE($BE47:$AAD47,"A","")),1,0),0)))</f>
        <v>0</v>
      </c>
      <c r="AA47" t="str">
        <f t="shared" si="74"/>
        <v>9A</v>
      </c>
      <c r="AB47" t="str">
        <f t="shared" si="75"/>
        <v>9B</v>
      </c>
      <c r="AC47" s="15" t="s">
        <v>278</v>
      </c>
      <c r="AD47" s="15"/>
      <c r="AE47" s="15"/>
      <c r="AF47" t="s">
        <v>240</v>
      </c>
      <c r="AG47" t="s">
        <v>242</v>
      </c>
      <c r="AH47" s="15" t="s">
        <v>388</v>
      </c>
      <c r="AI47" s="15"/>
      <c r="AJ47" s="15"/>
      <c r="AK47" s="15" t="s">
        <v>285</v>
      </c>
      <c r="AL47" s="15" t="s">
        <v>286</v>
      </c>
      <c r="AM47" s="15" t="s">
        <v>447</v>
      </c>
      <c r="AP47" t="s">
        <v>137</v>
      </c>
      <c r="AQ47" t="s">
        <v>138</v>
      </c>
      <c r="AS47" t="s">
        <v>396</v>
      </c>
      <c r="AT47" t="s">
        <v>139</v>
      </c>
      <c r="AU47" t="s">
        <v>140</v>
      </c>
      <c r="BD47" s="16"/>
      <c r="GT47" s="27" t="str">
        <f t="shared" si="70"/>
        <v>XT46</v>
      </c>
      <c r="GU47" t="str">
        <f t="shared" si="71"/>
        <v>C26</v>
      </c>
      <c r="GV47" t="str">
        <f t="shared" si="78"/>
        <v>B26</v>
      </c>
      <c r="GW47" t="str">
        <f t="shared" si="79"/>
        <v>C27</v>
      </c>
      <c r="GX47" t="str">
        <f t="shared" si="80"/>
        <v>B27</v>
      </c>
      <c r="GY47" t="str">
        <f t="shared" si="81"/>
        <v>C28</v>
      </c>
      <c r="GZ47" t="str">
        <f t="shared" si="82"/>
        <v>B28</v>
      </c>
      <c r="HA47" t="str">
        <f t="shared" si="83"/>
        <v>C29</v>
      </c>
      <c r="HB47" t="str">
        <f t="shared" si="84"/>
        <v>B29</v>
      </c>
      <c r="HC47" t="str">
        <f t="shared" si="85"/>
        <v>C30</v>
      </c>
      <c r="HD47" t="str">
        <f t="shared" si="86"/>
        <v>B30</v>
      </c>
      <c r="HE47" t="str">
        <f t="shared" si="87"/>
        <v>10B</v>
      </c>
      <c r="HF47" t="str">
        <f t="shared" si="88"/>
        <v>10A</v>
      </c>
      <c r="HG47" t="str">
        <f t="shared" si="72"/>
        <v>AI1-9A</v>
      </c>
      <c r="HH47" t="str">
        <f t="shared" si="72"/>
        <v>AI1-9B</v>
      </c>
      <c r="HI47" t="str">
        <f t="shared" si="89"/>
        <v>DI9-C25</v>
      </c>
      <c r="HJ47" t="str">
        <f t="shared" si="89"/>
        <v>DI9-B25</v>
      </c>
      <c r="HK47" t="str">
        <f t="shared" si="73"/>
        <v>DI9-C26</v>
      </c>
      <c r="HL47" t="str">
        <f t="shared" si="73"/>
        <v>DI9-B26</v>
      </c>
      <c r="HM47" t="str">
        <f t="shared" si="73"/>
        <v>DI9-C27</v>
      </c>
      <c r="HN47" t="str">
        <f t="shared" si="73"/>
        <v>DI9-B27</v>
      </c>
      <c r="HO47" t="str">
        <f t="shared" si="73"/>
        <v>DI9-C28</v>
      </c>
      <c r="HP47" t="str">
        <f t="shared" si="73"/>
        <v>DI9-B28</v>
      </c>
      <c r="HQ47" t="str">
        <f t="shared" si="73"/>
        <v>DI9-C29</v>
      </c>
      <c r="HR47" t="str">
        <f t="shared" si="73"/>
        <v>DI9-B29</v>
      </c>
      <c r="HS47" t="str">
        <f t="shared" si="73"/>
        <v>DI9-C30</v>
      </c>
      <c r="HT47" t="str">
        <f t="shared" si="73"/>
        <v>DI9-B30</v>
      </c>
      <c r="HU47" t="str">
        <f t="shared" si="90"/>
        <v>DO6-9B</v>
      </c>
      <c r="HV47" t="str">
        <f t="shared" si="90"/>
        <v>DO6-9A</v>
      </c>
      <c r="HW47" t="str">
        <f t="shared" si="91"/>
        <v>DO6-10B</v>
      </c>
      <c r="HX47" t="str">
        <f t="shared" si="91"/>
        <v>DO6-10A</v>
      </c>
      <c r="HY47" t="str">
        <f t="shared" si="92"/>
        <v>K46-01</v>
      </c>
      <c r="HZ47" t="str">
        <f t="shared" si="93"/>
        <v>K46-02</v>
      </c>
      <c r="IA47" t="str">
        <f t="shared" si="94"/>
        <v>K46-03</v>
      </c>
      <c r="IB47" t="str">
        <f t="shared" si="95"/>
        <v>K46-04</v>
      </c>
      <c r="IC47" t="str">
        <f t="shared" si="96"/>
        <v>K46-05</v>
      </c>
      <c r="ID47" t="str">
        <f t="shared" si="97"/>
        <v>K46-06</v>
      </c>
      <c r="IE47" t="str">
        <f t="shared" si="98"/>
        <v>K46-07</v>
      </c>
      <c r="IF47" t="str">
        <f t="shared" si="99"/>
        <v>K46-08</v>
      </c>
      <c r="IG47" t="str">
        <f t="shared" si="100"/>
        <v>F0-M46-AMS-12</v>
      </c>
      <c r="IH47" t="str">
        <f t="shared" si="101"/>
        <v>F0-M46-AMS-10</v>
      </c>
      <c r="II47" t="str">
        <f t="shared" si="102"/>
        <v>F0-M46-AMS-11</v>
      </c>
      <c r="IJ47" t="str">
        <f t="shared" si="103"/>
        <v>F0-M46-AMS-13</v>
      </c>
      <c r="IK47" t="str">
        <f t="shared" si="104"/>
        <v>F0-M46-AMS-9</v>
      </c>
      <c r="IL47" t="str">
        <f t="shared" si="105"/>
        <v>F0-M46-AMS-7</v>
      </c>
      <c r="IM47" t="str">
        <f t="shared" si="106"/>
        <v>F0-M46-AMS-18</v>
      </c>
      <c r="IN47" t="str">
        <f t="shared" si="107"/>
        <v>F0-M46-AMS-20</v>
      </c>
      <c r="IO47" t="str">
        <f t="shared" si="108"/>
        <v>F0-M46-AMS-17</v>
      </c>
      <c r="IP47" t="str">
        <f t="shared" si="109"/>
        <v>F0-+24-M46</v>
      </c>
      <c r="IQ47" t="str">
        <f t="shared" si="110"/>
        <v>F0-M46-XM01</v>
      </c>
      <c r="IR47" t="str">
        <f t="shared" si="76"/>
        <v>A1</v>
      </c>
      <c r="IS47" t="str">
        <f t="shared" si="76"/>
        <v>A2</v>
      </c>
      <c r="IT47">
        <f t="shared" si="76"/>
        <v>11</v>
      </c>
      <c r="IU47">
        <f t="shared" si="76"/>
        <v>14</v>
      </c>
      <c r="IV47" t="str">
        <f t="shared" si="76"/>
        <v>24v6</v>
      </c>
      <c r="IW47" t="str">
        <f t="shared" si="76"/>
        <v>0v6</v>
      </c>
      <c r="IX47">
        <f t="shared" si="76"/>
        <v>1</v>
      </c>
      <c r="IY47">
        <f t="shared" si="76"/>
        <v>2</v>
      </c>
      <c r="IZ47">
        <f t="shared" si="76"/>
        <v>3</v>
      </c>
      <c r="JA47">
        <f t="shared" si="76"/>
        <v>4</v>
      </c>
      <c r="JB47">
        <f t="shared" si="76"/>
        <v>5</v>
      </c>
      <c r="JC47">
        <f t="shared" si="76"/>
        <v>6</v>
      </c>
      <c r="JD47">
        <f t="shared" si="76"/>
        <v>7</v>
      </c>
      <c r="JE47">
        <f t="shared" si="76"/>
        <v>8</v>
      </c>
      <c r="JF47">
        <f t="shared" si="76"/>
        <v>9</v>
      </c>
      <c r="JG47">
        <f t="shared" si="76"/>
        <v>10</v>
      </c>
      <c r="JH47">
        <f t="shared" si="76"/>
        <v>11</v>
      </c>
      <c r="JI47">
        <f t="shared" si="76"/>
        <v>12</v>
      </c>
      <c r="JJ47">
        <f t="shared" si="76"/>
        <v>13</v>
      </c>
      <c r="JK47">
        <f t="shared" si="76"/>
        <v>14</v>
      </c>
      <c r="JL47">
        <f t="shared" si="76"/>
        <v>17</v>
      </c>
      <c r="JM47">
        <f t="shared" si="76"/>
        <v>15</v>
      </c>
      <c r="JN47">
        <f t="shared" si="76"/>
        <v>18</v>
      </c>
      <c r="JO47">
        <f t="shared" si="76"/>
        <v>11</v>
      </c>
      <c r="JP47">
        <f t="shared" si="76"/>
        <v>9</v>
      </c>
      <c r="JQ47">
        <f t="shared" si="76"/>
        <v>6</v>
      </c>
      <c r="JR47">
        <f t="shared" si="76"/>
        <v>20</v>
      </c>
      <c r="JS47">
        <f t="shared" si="76"/>
        <v>7</v>
      </c>
      <c r="JT47">
        <f t="shared" si="76"/>
        <v>10</v>
      </c>
      <c r="JU47">
        <f t="shared" si="76"/>
        <v>22</v>
      </c>
      <c r="JV47">
        <f t="shared" si="76"/>
        <v>23</v>
      </c>
      <c r="JW47">
        <f t="shared" si="76"/>
        <v>26</v>
      </c>
      <c r="JX47">
        <f t="shared" si="76"/>
        <v>27</v>
      </c>
      <c r="JY47" s="16">
        <f t="shared" si="76"/>
        <v>30</v>
      </c>
    </row>
    <row r="48" spans="1:285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7"/>
        <v>47</v>
      </c>
      <c r="V48" t="s">
        <v>1613</v>
      </c>
      <c r="W48" t="s">
        <v>1621</v>
      </c>
      <c r="X48" t="str">
        <f>IF(COUNTIF(X$1:X47,X47)&gt;7,REPLACE(X47,LEN(X47),1,VALUE(RIGHT(X47,1))+1),X47)</f>
        <v>A3.1</v>
      </c>
      <c r="Y48" s="43" cm="1">
        <f t="array" ref="Y48">IF(COUNTIFS($X$2:$X48,$X48)=1,"1",VALUE(SUBSTITUTE(INDEX(Y:Y,_xlfn.XMATCH($X48,$X$1:$X47,0,-1)),"A",""))+INDEX(Z:Z,_xlfn.XMATCH($X48,$X$1:$X47,0,-1))+1)</f>
        <v>6</v>
      </c>
      <c r="Z48" s="43" cm="1">
        <f t="array" ref="Z48">SUM(IF(ISNUMBER(FIND("TmAi",$BE$1:$AAD$1)),IF(IFERROR(ISODD(SUBSTITUTE($BE48:$AAD48,"A","")),FALSE),IF(ISODD(SUBSTITUTE($BE48:$AAD48,"A","")),1,0),0)))</f>
        <v>0</v>
      </c>
      <c r="AA48" t="str">
        <f t="shared" si="74"/>
        <v>11A</v>
      </c>
      <c r="AB48" t="str">
        <f t="shared" si="75"/>
        <v>11B</v>
      </c>
      <c r="AC48" s="15" t="s">
        <v>441</v>
      </c>
      <c r="AD48" s="15"/>
      <c r="AE48" s="15"/>
      <c r="AF48" t="s">
        <v>133</v>
      </c>
      <c r="AG48" t="s">
        <v>134</v>
      </c>
      <c r="AH48" s="15" t="s">
        <v>388</v>
      </c>
      <c r="AI48" s="15"/>
      <c r="AJ48" s="15"/>
      <c r="AK48" t="s">
        <v>371</v>
      </c>
      <c r="AL48" t="s">
        <v>374</v>
      </c>
      <c r="AM48" t="s">
        <v>448</v>
      </c>
      <c r="AP48" t="s">
        <v>137</v>
      </c>
      <c r="AQ48" t="s">
        <v>138</v>
      </c>
      <c r="AS48" t="s">
        <v>396</v>
      </c>
      <c r="AT48" t="s">
        <v>139</v>
      </c>
      <c r="AU48" t="s">
        <v>140</v>
      </c>
      <c r="BD48" s="16"/>
      <c r="GT48" s="27" t="str">
        <f t="shared" si="70"/>
        <v>XT47</v>
      </c>
      <c r="GU48" t="str">
        <f t="shared" si="71"/>
        <v>C2</v>
      </c>
      <c r="GV48" t="str">
        <f t="shared" si="78"/>
        <v>B2</v>
      </c>
      <c r="GW48" t="str">
        <f t="shared" si="79"/>
        <v>C3</v>
      </c>
      <c r="GX48" t="str">
        <f t="shared" si="80"/>
        <v>B3</v>
      </c>
      <c r="GY48" t="str">
        <f t="shared" si="81"/>
        <v>C4</v>
      </c>
      <c r="GZ48" t="str">
        <f t="shared" si="82"/>
        <v>B4</v>
      </c>
      <c r="HA48" t="str">
        <f t="shared" si="83"/>
        <v>C5</v>
      </c>
      <c r="HB48" t="str">
        <f t="shared" si="84"/>
        <v>B5</v>
      </c>
      <c r="HC48" t="str">
        <f t="shared" si="85"/>
        <v>C6</v>
      </c>
      <c r="HD48" t="str">
        <f t="shared" si="86"/>
        <v>B6</v>
      </c>
      <c r="HE48" t="str">
        <f t="shared" si="87"/>
        <v>12B</v>
      </c>
      <c r="HF48" t="str">
        <f t="shared" si="88"/>
        <v>12A</v>
      </c>
      <c r="HG48" t="str">
        <f t="shared" si="72"/>
        <v>AI1-11A</v>
      </c>
      <c r="HH48" t="str">
        <f t="shared" si="72"/>
        <v>AI1-11B</v>
      </c>
      <c r="HI48" t="str">
        <f t="shared" si="89"/>
        <v>DI10-C1</v>
      </c>
      <c r="HJ48" t="str">
        <f t="shared" si="89"/>
        <v>DI10-B1</v>
      </c>
      <c r="HK48" t="str">
        <f t="shared" si="73"/>
        <v>DI10-C2</v>
      </c>
      <c r="HL48" t="str">
        <f t="shared" si="73"/>
        <v>DI10-B2</v>
      </c>
      <c r="HM48" t="str">
        <f t="shared" si="73"/>
        <v>DI10-C3</v>
      </c>
      <c r="HN48" t="str">
        <f t="shared" si="73"/>
        <v>DI10-B3</v>
      </c>
      <c r="HO48" t="str">
        <f t="shared" si="73"/>
        <v>DI10-C4</v>
      </c>
      <c r="HP48" t="str">
        <f t="shared" si="73"/>
        <v>DI10-B4</v>
      </c>
      <c r="HQ48" t="str">
        <f t="shared" si="73"/>
        <v>DI10-C5</v>
      </c>
      <c r="HR48" t="str">
        <f t="shared" si="73"/>
        <v>DI10-B5</v>
      </c>
      <c r="HS48" t="str">
        <f t="shared" si="73"/>
        <v>DI10-C6</v>
      </c>
      <c r="HT48" t="str">
        <f t="shared" si="73"/>
        <v>DI10-B6</v>
      </c>
      <c r="HU48" t="str">
        <f t="shared" si="90"/>
        <v>DO6-11B</v>
      </c>
      <c r="HV48" t="str">
        <f t="shared" si="90"/>
        <v>DO6-11A</v>
      </c>
      <c r="HW48" t="str">
        <f t="shared" si="91"/>
        <v>DO6-12B</v>
      </c>
      <c r="HX48" t="str">
        <f t="shared" si="91"/>
        <v>DO6-12A</v>
      </c>
      <c r="HY48" t="str">
        <f t="shared" si="92"/>
        <v>K47-01</v>
      </c>
      <c r="HZ48" t="str">
        <f t="shared" si="93"/>
        <v>K47-02</v>
      </c>
      <c r="IA48" t="str">
        <f t="shared" si="94"/>
        <v>K47-03</v>
      </c>
      <c r="IB48" t="str">
        <f t="shared" si="95"/>
        <v>K47-04</v>
      </c>
      <c r="IC48" t="str">
        <f t="shared" si="96"/>
        <v>K47-05</v>
      </c>
      <c r="ID48" t="str">
        <f t="shared" si="97"/>
        <v>K47-06</v>
      </c>
      <c r="IE48" t="str">
        <f t="shared" si="98"/>
        <v>K47-07</v>
      </c>
      <c r="IF48" t="str">
        <f t="shared" si="99"/>
        <v>K47-08</v>
      </c>
      <c r="IG48" t="str">
        <f t="shared" si="100"/>
        <v>F0-M47-AMS-12</v>
      </c>
      <c r="IH48" t="str">
        <f t="shared" si="101"/>
        <v>F0-M47-AMS-10</v>
      </c>
      <c r="II48" t="str">
        <f t="shared" si="102"/>
        <v>F0-M47-AMS-11</v>
      </c>
      <c r="IJ48" t="str">
        <f t="shared" si="103"/>
        <v>F0-M47-AMS-13</v>
      </c>
      <c r="IK48" t="str">
        <f t="shared" si="104"/>
        <v>F0-M47-AMS-9</v>
      </c>
      <c r="IL48" t="str">
        <f t="shared" si="105"/>
        <v>F0-M47-AMS-7</v>
      </c>
      <c r="IM48" t="str">
        <f t="shared" si="106"/>
        <v>F0-M47-AMS-18</v>
      </c>
      <c r="IN48" t="str">
        <f t="shared" si="107"/>
        <v>F0-M47-AMS-20</v>
      </c>
      <c r="IO48" t="str">
        <f t="shared" si="108"/>
        <v>F0-M47-AMS-17</v>
      </c>
      <c r="IP48" t="str">
        <f t="shared" si="109"/>
        <v>F0-+24-M47</v>
      </c>
      <c r="IQ48" t="str">
        <f t="shared" si="110"/>
        <v>F0-M47-XM01</v>
      </c>
      <c r="IR48" t="str">
        <f t="shared" si="76"/>
        <v>A1</v>
      </c>
      <c r="IS48" t="str">
        <f t="shared" si="76"/>
        <v>A2</v>
      </c>
      <c r="IT48">
        <f t="shared" si="76"/>
        <v>11</v>
      </c>
      <c r="IU48">
        <f t="shared" si="76"/>
        <v>14</v>
      </c>
      <c r="IV48" t="str">
        <f t="shared" si="76"/>
        <v>24v6</v>
      </c>
      <c r="IW48" t="str">
        <f t="shared" si="76"/>
        <v>0v6</v>
      </c>
      <c r="IX48">
        <f t="shared" si="76"/>
        <v>1</v>
      </c>
      <c r="IY48">
        <f t="shared" si="76"/>
        <v>2</v>
      </c>
      <c r="IZ48">
        <f t="shared" si="76"/>
        <v>3</v>
      </c>
      <c r="JA48">
        <f t="shared" si="76"/>
        <v>4</v>
      </c>
      <c r="JB48">
        <f t="shared" si="76"/>
        <v>5</v>
      </c>
      <c r="JC48">
        <f t="shared" si="76"/>
        <v>6</v>
      </c>
      <c r="JD48">
        <f t="shared" si="76"/>
        <v>7</v>
      </c>
      <c r="JE48">
        <f t="shared" si="76"/>
        <v>8</v>
      </c>
      <c r="JF48">
        <f t="shared" si="76"/>
        <v>9</v>
      </c>
      <c r="JG48">
        <f t="shared" si="76"/>
        <v>10</v>
      </c>
      <c r="JH48">
        <f t="shared" si="76"/>
        <v>11</v>
      </c>
      <c r="JI48">
        <f t="shared" si="76"/>
        <v>12</v>
      </c>
      <c r="JJ48">
        <f t="shared" si="76"/>
        <v>13</v>
      </c>
      <c r="JK48">
        <f t="shared" si="76"/>
        <v>14</v>
      </c>
      <c r="JL48">
        <f t="shared" si="76"/>
        <v>17</v>
      </c>
      <c r="JM48">
        <f t="shared" si="76"/>
        <v>15</v>
      </c>
      <c r="JN48">
        <f t="shared" si="76"/>
        <v>18</v>
      </c>
      <c r="JO48">
        <f t="shared" si="76"/>
        <v>11</v>
      </c>
      <c r="JP48">
        <f t="shared" si="76"/>
        <v>9</v>
      </c>
      <c r="JQ48">
        <f t="shared" si="76"/>
        <v>6</v>
      </c>
      <c r="JR48">
        <f t="shared" si="76"/>
        <v>20</v>
      </c>
      <c r="JS48">
        <f t="shared" si="76"/>
        <v>7</v>
      </c>
      <c r="JT48">
        <f t="shared" si="76"/>
        <v>10</v>
      </c>
      <c r="JU48">
        <f t="shared" si="76"/>
        <v>22</v>
      </c>
      <c r="JV48">
        <f t="shared" si="76"/>
        <v>23</v>
      </c>
      <c r="JW48">
        <f t="shared" si="76"/>
        <v>26</v>
      </c>
      <c r="JX48">
        <f t="shared" si="76"/>
        <v>27</v>
      </c>
      <c r="JY48" s="16">
        <f t="shared" si="76"/>
        <v>30</v>
      </c>
    </row>
    <row r="49" spans="1:305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7"/>
        <v>48</v>
      </c>
      <c r="V49" t="s">
        <v>1614</v>
      </c>
      <c r="W49" t="s">
        <v>1622</v>
      </c>
      <c r="X49" t="str">
        <f>IF(COUNTIF(X$1:X48,X48)&gt;7,REPLACE(X48,LEN(X48),1,VALUE(RIGHT(X48,1))+1),X48)</f>
        <v>A3.1</v>
      </c>
      <c r="Y49" s="43" cm="1">
        <f t="array" ref="Y49">IF(COUNTIFS($X$2:$X49,$X49)=1,"1",VALUE(SUBSTITUTE(INDEX(Y:Y,_xlfn.XMATCH($X49,$X$1:$X48,0,-1)),"A",""))+INDEX(Z:Z,_xlfn.XMATCH($X49,$X$1:$X48,0,-1))+1)</f>
        <v>7</v>
      </c>
      <c r="Z49" s="43" cm="1">
        <f t="array" ref="Z49">SUM(IF(ISNUMBER(FIND("TmAi",$BE$1:$AAD$1)),IF(IFERROR(ISODD(SUBSTITUTE($BE49:$AAD49,"A","")),FALSE),IF(ISODD(SUBSTITUTE($BE49:$AAD49,"A","")),1,0),0)))</f>
        <v>0</v>
      </c>
      <c r="AA49" t="str">
        <f t="shared" si="74"/>
        <v>13A</v>
      </c>
      <c r="AB49" t="str">
        <f t="shared" si="75"/>
        <v>13B</v>
      </c>
      <c r="AC49" s="15" t="s">
        <v>441</v>
      </c>
      <c r="AD49" s="15"/>
      <c r="AE49" s="15"/>
      <c r="AF49" t="s">
        <v>148</v>
      </c>
      <c r="AG49" t="s">
        <v>149</v>
      </c>
      <c r="AH49" s="15" t="s">
        <v>388</v>
      </c>
      <c r="AI49" s="15"/>
      <c r="AJ49" s="15"/>
      <c r="AK49" s="15" t="s">
        <v>248</v>
      </c>
      <c r="AL49" s="15" t="s">
        <v>255</v>
      </c>
      <c r="AM49" s="15" t="s">
        <v>449</v>
      </c>
      <c r="AP49" t="s">
        <v>137</v>
      </c>
      <c r="AQ49" t="s">
        <v>138</v>
      </c>
      <c r="AS49" t="s">
        <v>396</v>
      </c>
      <c r="AT49" t="s">
        <v>139</v>
      </c>
      <c r="AU49" t="s">
        <v>140</v>
      </c>
      <c r="BD49" s="16"/>
      <c r="GT49" s="27" t="str">
        <f t="shared" si="70"/>
        <v>XT48</v>
      </c>
      <c r="GU49" t="str">
        <f t="shared" si="71"/>
        <v>C8</v>
      </c>
      <c r="GV49" t="str">
        <f t="shared" si="78"/>
        <v>B8</v>
      </c>
      <c r="GW49" t="str">
        <f t="shared" si="79"/>
        <v>C9</v>
      </c>
      <c r="GX49" t="str">
        <f t="shared" si="80"/>
        <v>B9</v>
      </c>
      <c r="GY49" t="str">
        <f t="shared" si="81"/>
        <v>C10</v>
      </c>
      <c r="GZ49" t="str">
        <f t="shared" si="82"/>
        <v>B10</v>
      </c>
      <c r="HA49" t="str">
        <f t="shared" si="83"/>
        <v>C11</v>
      </c>
      <c r="HB49" t="str">
        <f t="shared" si="84"/>
        <v>B11</v>
      </c>
      <c r="HC49" t="str">
        <f t="shared" si="85"/>
        <v>C12</v>
      </c>
      <c r="HD49" t="str">
        <f t="shared" si="86"/>
        <v>B12</v>
      </c>
      <c r="HE49" t="str">
        <f t="shared" si="87"/>
        <v>14B</v>
      </c>
      <c r="HF49" t="str">
        <f t="shared" si="88"/>
        <v>14A</v>
      </c>
      <c r="HG49" t="str">
        <f t="shared" si="72"/>
        <v>AI1-13A</v>
      </c>
      <c r="HH49" t="str">
        <f t="shared" si="72"/>
        <v>AI1-13B</v>
      </c>
      <c r="HI49" t="str">
        <f t="shared" si="89"/>
        <v>DI10-C7</v>
      </c>
      <c r="HJ49" t="str">
        <f t="shared" si="89"/>
        <v>DI10-B7</v>
      </c>
      <c r="HK49" t="str">
        <f t="shared" si="73"/>
        <v>DI10-C8</v>
      </c>
      <c r="HL49" t="str">
        <f t="shared" si="73"/>
        <v>DI10-B8</v>
      </c>
      <c r="HM49" t="str">
        <f t="shared" si="73"/>
        <v>DI10-C9</v>
      </c>
      <c r="HN49" t="str">
        <f t="shared" si="73"/>
        <v>DI10-B9</v>
      </c>
      <c r="HO49" t="str">
        <f t="shared" si="73"/>
        <v>DI10-C10</v>
      </c>
      <c r="HP49" t="str">
        <f t="shared" si="73"/>
        <v>DI10-B10</v>
      </c>
      <c r="HQ49" t="str">
        <f t="shared" si="73"/>
        <v>DI10-C11</v>
      </c>
      <c r="HR49" t="str">
        <f t="shared" si="73"/>
        <v>DI10-B11</v>
      </c>
      <c r="HS49" t="str">
        <f t="shared" si="73"/>
        <v>DI10-C12</v>
      </c>
      <c r="HT49" t="str">
        <f t="shared" si="73"/>
        <v>DI10-B12</v>
      </c>
      <c r="HU49" t="str">
        <f t="shared" si="90"/>
        <v>DO6-13B</v>
      </c>
      <c r="HV49" t="str">
        <f t="shared" si="90"/>
        <v>DO6-13A</v>
      </c>
      <c r="HW49" t="str">
        <f t="shared" si="91"/>
        <v>DO6-14B</v>
      </c>
      <c r="HX49" t="str">
        <f t="shared" si="91"/>
        <v>DO6-14A</v>
      </c>
      <c r="HY49" t="str">
        <f t="shared" si="92"/>
        <v>K48-01</v>
      </c>
      <c r="HZ49" t="str">
        <f t="shared" si="93"/>
        <v>K48-02</v>
      </c>
      <c r="IA49" t="str">
        <f t="shared" si="94"/>
        <v>K48-03</v>
      </c>
      <c r="IB49" t="str">
        <f t="shared" si="95"/>
        <v>K48-04</v>
      </c>
      <c r="IC49" t="str">
        <f t="shared" si="96"/>
        <v>K48-05</v>
      </c>
      <c r="ID49" t="str">
        <f t="shared" si="97"/>
        <v>K48-06</v>
      </c>
      <c r="IE49" t="str">
        <f t="shared" si="98"/>
        <v>K48-07</v>
      </c>
      <c r="IF49" t="str">
        <f t="shared" si="99"/>
        <v>K48-08</v>
      </c>
      <c r="IG49" t="str">
        <f t="shared" si="100"/>
        <v>F0-M48-AMS-12</v>
      </c>
      <c r="IH49" t="str">
        <f t="shared" si="101"/>
        <v>F0-M48-AMS-10</v>
      </c>
      <c r="II49" t="str">
        <f t="shared" si="102"/>
        <v>F0-M48-AMS-11</v>
      </c>
      <c r="IJ49" t="str">
        <f t="shared" si="103"/>
        <v>F0-M48-AMS-13</v>
      </c>
      <c r="IK49" t="str">
        <f t="shared" si="104"/>
        <v>F0-M48-AMS-9</v>
      </c>
      <c r="IL49" t="str">
        <f t="shared" si="105"/>
        <v>F0-M48-AMS-7</v>
      </c>
      <c r="IM49" t="str">
        <f t="shared" si="106"/>
        <v>F0-M48-AMS-18</v>
      </c>
      <c r="IN49" t="str">
        <f t="shared" si="107"/>
        <v>F0-M48-AMS-20</v>
      </c>
      <c r="IO49" t="str">
        <f t="shared" si="108"/>
        <v>F0-M48-AMS-17</v>
      </c>
      <c r="IP49" t="str">
        <f t="shared" si="109"/>
        <v>F0-+24-M48</v>
      </c>
      <c r="IQ49" t="str">
        <f t="shared" si="110"/>
        <v>F0-M48-XM01</v>
      </c>
      <c r="IR49" t="str">
        <f t="shared" si="76"/>
        <v>A1</v>
      </c>
      <c r="IS49" t="str">
        <f t="shared" si="76"/>
        <v>A2</v>
      </c>
      <c r="IT49">
        <f t="shared" si="76"/>
        <v>11</v>
      </c>
      <c r="IU49">
        <f t="shared" si="76"/>
        <v>14</v>
      </c>
      <c r="IV49" t="str">
        <f t="shared" si="76"/>
        <v>24v6</v>
      </c>
      <c r="IW49" t="str">
        <f t="shared" si="76"/>
        <v>0v6</v>
      </c>
      <c r="IX49">
        <f t="shared" si="76"/>
        <v>1</v>
      </c>
      <c r="IY49">
        <f t="shared" si="76"/>
        <v>2</v>
      </c>
      <c r="IZ49">
        <f t="shared" si="76"/>
        <v>3</v>
      </c>
      <c r="JA49">
        <f t="shared" si="76"/>
        <v>4</v>
      </c>
      <c r="JB49">
        <f t="shared" si="76"/>
        <v>5</v>
      </c>
      <c r="JC49">
        <f t="shared" si="76"/>
        <v>6</v>
      </c>
      <c r="JD49">
        <f t="shared" si="76"/>
        <v>7</v>
      </c>
      <c r="JE49">
        <f t="shared" si="76"/>
        <v>8</v>
      </c>
      <c r="JF49">
        <f t="shared" si="76"/>
        <v>9</v>
      </c>
      <c r="JG49">
        <f t="shared" si="76"/>
        <v>10</v>
      </c>
      <c r="JH49">
        <f t="shared" si="76"/>
        <v>11</v>
      </c>
      <c r="JI49">
        <f t="shared" si="76"/>
        <v>12</v>
      </c>
      <c r="JJ49">
        <f t="shared" si="76"/>
        <v>13</v>
      </c>
      <c r="JK49">
        <f t="shared" si="76"/>
        <v>14</v>
      </c>
      <c r="JL49">
        <f t="shared" si="76"/>
        <v>17</v>
      </c>
      <c r="JM49">
        <f t="shared" si="76"/>
        <v>15</v>
      </c>
      <c r="JN49">
        <f t="shared" si="76"/>
        <v>18</v>
      </c>
      <c r="JO49">
        <f t="shared" si="76"/>
        <v>11</v>
      </c>
      <c r="JP49">
        <f t="shared" si="76"/>
        <v>9</v>
      </c>
      <c r="JQ49">
        <f t="shared" si="76"/>
        <v>6</v>
      </c>
      <c r="JR49">
        <f t="shared" si="76"/>
        <v>20</v>
      </c>
      <c r="JS49">
        <f t="shared" si="76"/>
        <v>7</v>
      </c>
      <c r="JT49">
        <f t="shared" si="76"/>
        <v>10</v>
      </c>
      <c r="JU49">
        <f t="shared" si="76"/>
        <v>22</v>
      </c>
      <c r="JV49">
        <f t="shared" si="76"/>
        <v>23</v>
      </c>
      <c r="JW49">
        <f t="shared" si="76"/>
        <v>26</v>
      </c>
      <c r="JX49">
        <f t="shared" si="76"/>
        <v>27</v>
      </c>
      <c r="JY49" s="16">
        <f t="shared" si="76"/>
        <v>30</v>
      </c>
    </row>
    <row r="50" spans="1:305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7"/>
        <v>49</v>
      </c>
      <c r="V50" t="s">
        <v>1615</v>
      </c>
      <c r="W50" t="s">
        <v>1623</v>
      </c>
      <c r="X50" s="33" t="str">
        <f>IF(COUNTIF(X$1:X49,X49)&gt;7,REPLACE(X49,LEN(X49),1,VALUE(RIGHT(X49,1))+1),X49)</f>
        <v>A3.1</v>
      </c>
      <c r="Y50" s="45" cm="1">
        <f t="array" ref="Y50">IF(COUNTIFS($X$2:$X50,$X50)=1,"1",VALUE(SUBSTITUTE(INDEX(Y:Y,_xlfn.XMATCH($X50,$X$1:$X49,0,-1)),"A",""))+INDEX(Z:Z,_xlfn.XMATCH($X50,$X$1:$X49,0,-1))+1)</f>
        <v>8</v>
      </c>
      <c r="Z50" s="43" cm="1">
        <f t="array" ref="Z50">SUM(IF(ISNUMBER(FIND("TmAi",$BE$1:$AAD$1)),IF(IFERROR(ISODD(SUBSTITUTE($BE50:$AAD50,"A","")),FALSE),IF(ISODD(SUBSTITUTE($BE50:$AAD50,"A","")),1,0),0)))</f>
        <v>0</v>
      </c>
      <c r="AA50" t="str">
        <f t="shared" si="74"/>
        <v>15A</v>
      </c>
      <c r="AB50" t="str">
        <f t="shared" si="75"/>
        <v>15B</v>
      </c>
      <c r="AC50" s="15" t="s">
        <v>441</v>
      </c>
      <c r="AD50" s="15"/>
      <c r="AE50" s="15"/>
      <c r="AF50" t="s">
        <v>153</v>
      </c>
      <c r="AG50" t="s">
        <v>154</v>
      </c>
      <c r="AH50" s="15" t="s">
        <v>388</v>
      </c>
      <c r="AI50" s="15"/>
      <c r="AJ50" s="15"/>
      <c r="AK50" t="s">
        <v>372</v>
      </c>
      <c r="AL50" t="s">
        <v>375</v>
      </c>
      <c r="AM50" t="s">
        <v>450</v>
      </c>
      <c r="AP50" t="s">
        <v>137</v>
      </c>
      <c r="AQ50" t="s">
        <v>138</v>
      </c>
      <c r="AS50" t="s">
        <v>396</v>
      </c>
      <c r="AT50" t="s">
        <v>139</v>
      </c>
      <c r="AU50" t="s">
        <v>140</v>
      </c>
      <c r="BD50" s="16"/>
      <c r="GT50" s="27" t="str">
        <f t="shared" si="70"/>
        <v>XT49</v>
      </c>
      <c r="GU50" t="str">
        <f t="shared" si="71"/>
        <v>C14</v>
      </c>
      <c r="GV50" t="str">
        <f t="shared" si="78"/>
        <v>B14</v>
      </c>
      <c r="GW50" t="str">
        <f t="shared" si="79"/>
        <v>C15</v>
      </c>
      <c r="GX50" t="str">
        <f t="shared" si="80"/>
        <v>B15</v>
      </c>
      <c r="GY50" t="str">
        <f t="shared" si="81"/>
        <v>C16</v>
      </c>
      <c r="GZ50" t="str">
        <f t="shared" si="82"/>
        <v>B16</v>
      </c>
      <c r="HA50" t="str">
        <f t="shared" si="83"/>
        <v>C17</v>
      </c>
      <c r="HB50" t="str">
        <f t="shared" si="84"/>
        <v>B17</v>
      </c>
      <c r="HC50" t="str">
        <f t="shared" si="85"/>
        <v>C18</v>
      </c>
      <c r="HD50" t="str">
        <f t="shared" si="86"/>
        <v>B18</v>
      </c>
      <c r="HE50" t="str">
        <f t="shared" si="87"/>
        <v>16B</v>
      </c>
      <c r="HF50" t="str">
        <f t="shared" si="88"/>
        <v>16A</v>
      </c>
      <c r="HG50" t="str">
        <f t="shared" si="72"/>
        <v>AI1-15A</v>
      </c>
      <c r="HH50" t="str">
        <f t="shared" si="72"/>
        <v>AI1-15B</v>
      </c>
      <c r="HI50" t="str">
        <f t="shared" si="89"/>
        <v>DI10-C13</v>
      </c>
      <c r="HJ50" t="str">
        <f t="shared" si="89"/>
        <v>DI10-B13</v>
      </c>
      <c r="HK50" t="str">
        <f t="shared" si="73"/>
        <v>DI10-C14</v>
      </c>
      <c r="HL50" t="str">
        <f t="shared" si="73"/>
        <v>DI10-B14</v>
      </c>
      <c r="HM50" t="str">
        <f t="shared" si="73"/>
        <v>DI10-C15</v>
      </c>
      <c r="HN50" t="str">
        <f t="shared" si="73"/>
        <v>DI10-B15</v>
      </c>
      <c r="HO50" t="str">
        <f t="shared" si="73"/>
        <v>DI10-C16</v>
      </c>
      <c r="HP50" t="str">
        <f t="shared" si="73"/>
        <v>DI10-B16</v>
      </c>
      <c r="HQ50" t="str">
        <f t="shared" si="73"/>
        <v>DI10-C17</v>
      </c>
      <c r="HR50" t="str">
        <f t="shared" si="73"/>
        <v>DI10-B17</v>
      </c>
      <c r="HS50" t="str">
        <f t="shared" si="73"/>
        <v>DI10-C18</v>
      </c>
      <c r="HT50" t="str">
        <f t="shared" si="73"/>
        <v>DI10-B18</v>
      </c>
      <c r="HU50" t="str">
        <f t="shared" si="90"/>
        <v>DO6-15B</v>
      </c>
      <c r="HV50" t="str">
        <f t="shared" si="90"/>
        <v>DO6-15A</v>
      </c>
      <c r="HW50" t="str">
        <f t="shared" si="91"/>
        <v>DO6-16B</v>
      </c>
      <c r="HX50" t="str">
        <f t="shared" si="91"/>
        <v>DO6-16A</v>
      </c>
      <c r="HY50" t="str">
        <f t="shared" si="92"/>
        <v>K49-01</v>
      </c>
      <c r="HZ50" t="str">
        <f t="shared" si="93"/>
        <v>K49-02</v>
      </c>
      <c r="IA50" t="str">
        <f t="shared" si="94"/>
        <v>K49-03</v>
      </c>
      <c r="IB50" t="str">
        <f t="shared" si="95"/>
        <v>K49-04</v>
      </c>
      <c r="IC50" t="str">
        <f t="shared" si="96"/>
        <v>K49-05</v>
      </c>
      <c r="ID50" t="str">
        <f t="shared" si="97"/>
        <v>K49-06</v>
      </c>
      <c r="IE50" t="str">
        <f t="shared" si="98"/>
        <v>K49-07</v>
      </c>
      <c r="IF50" t="str">
        <f t="shared" si="99"/>
        <v>K49-08</v>
      </c>
      <c r="IG50" t="str">
        <f t="shared" si="100"/>
        <v>F0-M49-AMS-12</v>
      </c>
      <c r="IH50" t="str">
        <f t="shared" si="101"/>
        <v>F0-M49-AMS-10</v>
      </c>
      <c r="II50" t="str">
        <f t="shared" si="102"/>
        <v>F0-M49-AMS-11</v>
      </c>
      <c r="IJ50" t="str">
        <f t="shared" si="103"/>
        <v>F0-M49-AMS-13</v>
      </c>
      <c r="IK50" t="str">
        <f t="shared" si="104"/>
        <v>F0-M49-AMS-9</v>
      </c>
      <c r="IL50" t="str">
        <f t="shared" si="105"/>
        <v>F0-M49-AMS-7</v>
      </c>
      <c r="IM50" t="str">
        <f t="shared" si="106"/>
        <v>F0-M49-AMS-18</v>
      </c>
      <c r="IN50" t="str">
        <f t="shared" si="107"/>
        <v>F0-M49-AMS-20</v>
      </c>
      <c r="IO50" t="str">
        <f t="shared" si="108"/>
        <v>F0-M49-AMS-17</v>
      </c>
      <c r="IP50" t="str">
        <f t="shared" si="109"/>
        <v>F0-+24-M49</v>
      </c>
      <c r="IQ50" t="str">
        <f t="shared" si="110"/>
        <v>F0-M49-XM01</v>
      </c>
      <c r="IR50" t="str">
        <f t="shared" si="76"/>
        <v>A1</v>
      </c>
      <c r="IS50" t="str">
        <f t="shared" si="76"/>
        <v>A2</v>
      </c>
      <c r="IT50">
        <f t="shared" si="76"/>
        <v>11</v>
      </c>
      <c r="IU50">
        <f t="shared" si="76"/>
        <v>14</v>
      </c>
      <c r="IV50" t="str">
        <f t="shared" si="76"/>
        <v>24v6</v>
      </c>
      <c r="IW50" t="str">
        <f t="shared" si="76"/>
        <v>0v6</v>
      </c>
      <c r="IX50">
        <f t="shared" si="76"/>
        <v>1</v>
      </c>
      <c r="IY50">
        <f t="shared" si="76"/>
        <v>2</v>
      </c>
      <c r="IZ50">
        <f t="shared" si="76"/>
        <v>3</v>
      </c>
      <c r="JA50">
        <f t="shared" si="76"/>
        <v>4</v>
      </c>
      <c r="JB50">
        <f t="shared" si="76"/>
        <v>5</v>
      </c>
      <c r="JC50">
        <f t="shared" si="76"/>
        <v>6</v>
      </c>
      <c r="JD50">
        <f t="shared" si="76"/>
        <v>7</v>
      </c>
      <c r="JE50">
        <f t="shared" si="76"/>
        <v>8</v>
      </c>
      <c r="JF50">
        <f t="shared" si="76"/>
        <v>9</v>
      </c>
      <c r="JG50">
        <f t="shared" si="76"/>
        <v>10</v>
      </c>
      <c r="JH50">
        <f t="shared" si="76"/>
        <v>11</v>
      </c>
      <c r="JI50">
        <f t="shared" si="76"/>
        <v>12</v>
      </c>
      <c r="JJ50">
        <f t="shared" si="76"/>
        <v>13</v>
      </c>
      <c r="JK50">
        <f t="shared" si="76"/>
        <v>14</v>
      </c>
      <c r="JL50">
        <f t="shared" si="76"/>
        <v>17</v>
      </c>
      <c r="JM50">
        <f t="shared" si="76"/>
        <v>15</v>
      </c>
      <c r="JN50">
        <f t="shared" si="76"/>
        <v>18</v>
      </c>
      <c r="JO50">
        <f t="shared" si="76"/>
        <v>11</v>
      </c>
      <c r="JP50">
        <f t="shared" si="76"/>
        <v>9</v>
      </c>
      <c r="JQ50">
        <f t="shared" si="76"/>
        <v>6</v>
      </c>
      <c r="JR50">
        <f t="shared" si="76"/>
        <v>20</v>
      </c>
      <c r="JS50">
        <f t="shared" si="76"/>
        <v>7</v>
      </c>
      <c r="JT50">
        <f t="shared" si="76"/>
        <v>10</v>
      </c>
      <c r="JU50">
        <f t="shared" si="76"/>
        <v>22</v>
      </c>
      <c r="JV50">
        <f t="shared" si="76"/>
        <v>23</v>
      </c>
      <c r="JW50">
        <f t="shared" si="76"/>
        <v>26</v>
      </c>
      <c r="JX50">
        <f t="shared" si="76"/>
        <v>27</v>
      </c>
      <c r="JY50" s="16">
        <f t="shared" si="76"/>
        <v>30</v>
      </c>
    </row>
    <row r="51" spans="1:305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7"/>
        <v>50</v>
      </c>
      <c r="V51" t="s">
        <v>1625</v>
      </c>
      <c r="W51" t="s">
        <v>1624</v>
      </c>
      <c r="X51" t="str">
        <f>IF(COUNTIF(X$1:X50,X50)&gt;7,REPLACE(X50,LEN(X50),1,VALUE(RIGHT(X50,1))+1),X50)</f>
        <v>A3.2</v>
      </c>
      <c r="Y51" s="43" t="str" cm="1">
        <f t="array" ref="Y51">IF(COUNTIFS($X$2:$X51,$X51)=1,"1",VALUE(SUBSTITUTE(INDEX(Y:Y,_xlfn.XMATCH($X51,$X$1:$X50,0,-1)),"A",""))+INDEX(Z:Z,_xlfn.XMATCH($X51,$X$1:$X50,0,-1))+1)</f>
        <v>1</v>
      </c>
      <c r="Z51" s="43" cm="1">
        <f t="array" ref="Z51">SUM(IF(ISNUMBER(FIND("TmAi",$BE$1:$AAD$1)),IF(IFERROR(ISODD(SUBSTITUTE($BE51:$AAD51,"A","")),FALSE),IF(ISODD(SUBSTITUTE($BE51:$AAD51,"A","")),1,0),0)))</f>
        <v>0</v>
      </c>
      <c r="AA51" t="str">
        <f t="shared" si="74"/>
        <v>1A</v>
      </c>
      <c r="AB51" t="str">
        <f t="shared" si="75"/>
        <v>1B</v>
      </c>
      <c r="AC51" s="15" t="s">
        <v>441</v>
      </c>
      <c r="AD51" s="15"/>
      <c r="AE51" s="15"/>
      <c r="AF51" t="s">
        <v>239</v>
      </c>
      <c r="AG51" t="s">
        <v>241</v>
      </c>
      <c r="AH51" s="15" t="s">
        <v>388</v>
      </c>
      <c r="AI51" s="15"/>
      <c r="AJ51" s="15"/>
      <c r="AK51" s="15" t="s">
        <v>373</v>
      </c>
      <c r="AL51" s="15" t="s">
        <v>376</v>
      </c>
      <c r="AM51" s="15" t="s">
        <v>451</v>
      </c>
      <c r="AP51" t="s">
        <v>137</v>
      </c>
      <c r="AQ51" t="s">
        <v>138</v>
      </c>
      <c r="AS51" t="s">
        <v>396</v>
      </c>
      <c r="AT51" t="s">
        <v>139</v>
      </c>
      <c r="AU51" t="s">
        <v>140</v>
      </c>
      <c r="BD51" s="16"/>
      <c r="GT51" s="27" t="str">
        <f t="shared" si="70"/>
        <v>XT50</v>
      </c>
      <c r="GU51" t="str">
        <f t="shared" si="71"/>
        <v>C20</v>
      </c>
      <c r="GV51" t="str">
        <f t="shared" si="78"/>
        <v>B20</v>
      </c>
      <c r="GW51" t="str">
        <f t="shared" si="79"/>
        <v>C21</v>
      </c>
      <c r="GX51" t="str">
        <f t="shared" si="80"/>
        <v>B21</v>
      </c>
      <c r="GY51" t="str">
        <f t="shared" si="81"/>
        <v>C22</v>
      </c>
      <c r="GZ51" t="str">
        <f t="shared" si="82"/>
        <v>B22</v>
      </c>
      <c r="HA51" t="str">
        <f t="shared" si="83"/>
        <v>C23</v>
      </c>
      <c r="HB51" t="str">
        <f t="shared" si="84"/>
        <v>B23</v>
      </c>
      <c r="HC51" t="str">
        <f t="shared" si="85"/>
        <v>C24</v>
      </c>
      <c r="HD51" t="str">
        <f t="shared" si="86"/>
        <v>B24</v>
      </c>
      <c r="HE51" t="str">
        <f t="shared" si="87"/>
        <v>18B</v>
      </c>
      <c r="HF51" t="str">
        <f t="shared" si="88"/>
        <v>18A</v>
      </c>
      <c r="HG51" t="str">
        <f t="shared" si="72"/>
        <v>AI2-1A</v>
      </c>
      <c r="HH51" t="str">
        <f t="shared" si="72"/>
        <v>AI2-1B</v>
      </c>
      <c r="HI51" t="str">
        <f t="shared" si="89"/>
        <v>DI10-C19</v>
      </c>
      <c r="HJ51" t="str">
        <f t="shared" si="89"/>
        <v>DI10-B19</v>
      </c>
      <c r="HK51" t="str">
        <f t="shared" si="73"/>
        <v>DI10-C20</v>
      </c>
      <c r="HL51" t="str">
        <f t="shared" si="73"/>
        <v>DI10-B20</v>
      </c>
      <c r="HM51" t="str">
        <f t="shared" si="73"/>
        <v>DI10-C21</v>
      </c>
      <c r="HN51" t="str">
        <f t="shared" si="73"/>
        <v>DI10-B21</v>
      </c>
      <c r="HO51" t="str">
        <f t="shared" si="73"/>
        <v>DI10-C22</v>
      </c>
      <c r="HP51" t="str">
        <f t="shared" si="73"/>
        <v>DI10-B22</v>
      </c>
      <c r="HQ51" t="str">
        <f t="shared" si="73"/>
        <v>DI10-C23</v>
      </c>
      <c r="HR51" t="str">
        <f t="shared" si="73"/>
        <v>DI10-B23</v>
      </c>
      <c r="HS51" t="str">
        <f t="shared" si="73"/>
        <v>DI10-C24</v>
      </c>
      <c r="HT51" t="str">
        <f t="shared" si="73"/>
        <v>DI10-B24</v>
      </c>
      <c r="HU51" t="str">
        <f t="shared" si="90"/>
        <v>DO6-17B</v>
      </c>
      <c r="HV51" t="str">
        <f t="shared" si="90"/>
        <v>DO6-17A</v>
      </c>
      <c r="HW51" t="str">
        <f t="shared" si="91"/>
        <v>DO6-18B</v>
      </c>
      <c r="HX51" t="str">
        <f t="shared" si="91"/>
        <v>DO6-18A</v>
      </c>
      <c r="HY51" t="str">
        <f t="shared" si="92"/>
        <v>K50-01</v>
      </c>
      <c r="HZ51" t="str">
        <f t="shared" si="93"/>
        <v>K50-02</v>
      </c>
      <c r="IA51" t="str">
        <f t="shared" si="94"/>
        <v>K50-03</v>
      </c>
      <c r="IB51" t="str">
        <f t="shared" si="95"/>
        <v>K50-04</v>
      </c>
      <c r="IC51" t="str">
        <f t="shared" si="96"/>
        <v>K50-05</v>
      </c>
      <c r="ID51" t="str">
        <f t="shared" si="97"/>
        <v>K50-06</v>
      </c>
      <c r="IE51" t="str">
        <f t="shared" si="98"/>
        <v>K50-07</v>
      </c>
      <c r="IF51" t="str">
        <f t="shared" si="99"/>
        <v>K50-08</v>
      </c>
      <c r="IG51" t="str">
        <f t="shared" si="100"/>
        <v>F0-M50-AMS-12</v>
      </c>
      <c r="IH51" t="str">
        <f t="shared" si="101"/>
        <v>F0-M50-AMS-10</v>
      </c>
      <c r="II51" t="str">
        <f t="shared" si="102"/>
        <v>F0-M50-AMS-11</v>
      </c>
      <c r="IJ51" t="str">
        <f t="shared" si="103"/>
        <v>F0-M50-AMS-13</v>
      </c>
      <c r="IK51" t="str">
        <f t="shared" si="104"/>
        <v>F0-M50-AMS-9</v>
      </c>
      <c r="IL51" t="str">
        <f t="shared" si="105"/>
        <v>F0-M50-AMS-7</v>
      </c>
      <c r="IM51" t="str">
        <f t="shared" si="106"/>
        <v>F0-M50-AMS-18</v>
      </c>
      <c r="IN51" t="str">
        <f t="shared" si="107"/>
        <v>F0-M50-AMS-20</v>
      </c>
      <c r="IO51" t="str">
        <f t="shared" si="108"/>
        <v>F0-M50-AMS-17</v>
      </c>
      <c r="IP51" t="str">
        <f t="shared" si="109"/>
        <v>F0-+24-M50</v>
      </c>
      <c r="IQ51" t="str">
        <f t="shared" si="110"/>
        <v>F0-M50-XM01</v>
      </c>
      <c r="IR51" t="str">
        <f t="shared" si="76"/>
        <v>A1</v>
      </c>
      <c r="IS51" t="str">
        <f t="shared" si="76"/>
        <v>A2</v>
      </c>
      <c r="IT51">
        <f t="shared" si="76"/>
        <v>11</v>
      </c>
      <c r="IU51">
        <f t="shared" si="76"/>
        <v>14</v>
      </c>
      <c r="IV51" t="str">
        <f t="shared" si="76"/>
        <v>24v6</v>
      </c>
      <c r="IW51" t="str">
        <f t="shared" si="76"/>
        <v>0v6</v>
      </c>
      <c r="IX51">
        <f t="shared" si="76"/>
        <v>1</v>
      </c>
      <c r="IY51">
        <f t="shared" si="76"/>
        <v>2</v>
      </c>
      <c r="IZ51">
        <f t="shared" si="76"/>
        <v>3</v>
      </c>
      <c r="JA51">
        <f t="shared" si="76"/>
        <v>4</v>
      </c>
      <c r="JB51">
        <f t="shared" si="76"/>
        <v>5</v>
      </c>
      <c r="JC51">
        <f t="shared" si="76"/>
        <v>6</v>
      </c>
      <c r="JD51">
        <f t="shared" si="76"/>
        <v>7</v>
      </c>
      <c r="JE51">
        <f t="shared" si="76"/>
        <v>8</v>
      </c>
      <c r="JF51">
        <f t="shared" si="76"/>
        <v>9</v>
      </c>
      <c r="JG51">
        <f t="shared" si="76"/>
        <v>10</v>
      </c>
      <c r="JH51">
        <f t="shared" si="76"/>
        <v>11</v>
      </c>
      <c r="JI51">
        <f t="shared" ref="JI51:JY51" si="111">JI50</f>
        <v>12</v>
      </c>
      <c r="JJ51">
        <f t="shared" si="111"/>
        <v>13</v>
      </c>
      <c r="JK51">
        <f t="shared" si="111"/>
        <v>14</v>
      </c>
      <c r="JL51">
        <f t="shared" si="111"/>
        <v>17</v>
      </c>
      <c r="JM51">
        <f t="shared" si="111"/>
        <v>15</v>
      </c>
      <c r="JN51">
        <f t="shared" si="111"/>
        <v>18</v>
      </c>
      <c r="JO51">
        <f t="shared" si="111"/>
        <v>11</v>
      </c>
      <c r="JP51">
        <f t="shared" si="111"/>
        <v>9</v>
      </c>
      <c r="JQ51">
        <f t="shared" si="111"/>
        <v>6</v>
      </c>
      <c r="JR51">
        <f t="shared" si="111"/>
        <v>20</v>
      </c>
      <c r="JS51">
        <f t="shared" si="111"/>
        <v>7</v>
      </c>
      <c r="JT51">
        <f t="shared" si="111"/>
        <v>10</v>
      </c>
      <c r="JU51">
        <f t="shared" si="111"/>
        <v>22</v>
      </c>
      <c r="JV51">
        <f t="shared" si="111"/>
        <v>23</v>
      </c>
      <c r="JW51">
        <f t="shared" si="111"/>
        <v>26</v>
      </c>
      <c r="JX51">
        <f t="shared" si="111"/>
        <v>27</v>
      </c>
      <c r="JY51" s="16">
        <f t="shared" si="111"/>
        <v>30</v>
      </c>
    </row>
    <row r="52" spans="1:305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7"/>
        <v>51</v>
      </c>
      <c r="V52" t="s">
        <v>1626</v>
      </c>
      <c r="W52" t="s">
        <v>1627</v>
      </c>
      <c r="X52" t="str">
        <f>IF(COUNTIF(X$1:X51,X51)&gt;7,REPLACE(X51,LEN(X51),1,VALUE(RIGHT(X51,1))+1),X51)</f>
        <v>A3.2</v>
      </c>
      <c r="Y52" s="43" cm="1">
        <f t="array" ref="Y52">IF(COUNTIFS($X$2:$X52,$X52)=1,"1",VALUE(SUBSTITUTE(INDEX(Y:Y,_xlfn.XMATCH($X52,$X$1:$X51,0,-1)),"A",""))+INDEX(Z:Z,_xlfn.XMATCH($X52,$X$1:$X51,0,-1))+1)</f>
        <v>2</v>
      </c>
      <c r="Z52" s="43" cm="1">
        <f t="array" ref="Z52">SUM(IF(ISNUMBER(FIND("TmAi",$BE$1:$AAD$1)),IF(IFERROR(ISODD(SUBSTITUTE($BE52:$AAD52,"A","")),FALSE),IF(ISODD(SUBSTITUTE($BE52:$AAD52,"A","")),1,0),0)))</f>
        <v>0</v>
      </c>
      <c r="AA52" t="str">
        <f t="shared" si="74"/>
        <v>3A</v>
      </c>
      <c r="AB52" t="str">
        <f t="shared" si="75"/>
        <v>3B</v>
      </c>
      <c r="AC52" s="15" t="s">
        <v>441</v>
      </c>
      <c r="AD52" s="15"/>
      <c r="AE52" s="15"/>
      <c r="AF52" t="s">
        <v>240</v>
      </c>
      <c r="AG52" t="s">
        <v>242</v>
      </c>
      <c r="AH52" s="15" t="s">
        <v>388</v>
      </c>
      <c r="AI52" s="15"/>
      <c r="AJ52" s="15"/>
      <c r="AK52" t="s">
        <v>250</v>
      </c>
      <c r="AL52" t="s">
        <v>257</v>
      </c>
      <c r="AM52" t="s">
        <v>453</v>
      </c>
      <c r="AP52" t="s">
        <v>137</v>
      </c>
      <c r="AQ52" t="s">
        <v>138</v>
      </c>
      <c r="AS52" t="s">
        <v>396</v>
      </c>
      <c r="AT52" t="s">
        <v>139</v>
      </c>
      <c r="AU52" t="s">
        <v>140</v>
      </c>
      <c r="BD52" s="16"/>
      <c r="GT52" s="27" t="str">
        <f t="shared" si="70"/>
        <v>XT51</v>
      </c>
      <c r="GU52" t="str">
        <f t="shared" si="71"/>
        <v>C26</v>
      </c>
      <c r="GV52" t="str">
        <f t="shared" si="78"/>
        <v>B26</v>
      </c>
      <c r="GW52" t="str">
        <f t="shared" si="79"/>
        <v>C27</v>
      </c>
      <c r="GX52" t="str">
        <f t="shared" si="80"/>
        <v>B27</v>
      </c>
      <c r="GY52" t="str">
        <f t="shared" si="81"/>
        <v>C28</v>
      </c>
      <c r="GZ52" t="str">
        <f t="shared" si="82"/>
        <v>B28</v>
      </c>
      <c r="HA52" t="str">
        <f t="shared" si="83"/>
        <v>C29</v>
      </c>
      <c r="HB52" t="str">
        <f t="shared" si="84"/>
        <v>B29</v>
      </c>
      <c r="HC52" t="str">
        <f t="shared" si="85"/>
        <v>C30</v>
      </c>
      <c r="HD52" t="str">
        <f t="shared" si="86"/>
        <v>B30</v>
      </c>
      <c r="HE52" t="str">
        <f t="shared" si="87"/>
        <v>20B</v>
      </c>
      <c r="HF52" t="str">
        <f t="shared" si="88"/>
        <v>20A</v>
      </c>
      <c r="HG52" t="str">
        <f t="shared" si="72"/>
        <v>AI2-3A</v>
      </c>
      <c r="HH52" t="str">
        <f t="shared" si="72"/>
        <v>AI2-3B</v>
      </c>
      <c r="HI52" t="str">
        <f t="shared" si="89"/>
        <v>DI10-C25</v>
      </c>
      <c r="HJ52" t="str">
        <f t="shared" si="89"/>
        <v>DI10-B25</v>
      </c>
      <c r="HK52" t="str">
        <f t="shared" si="73"/>
        <v>DI10-C26</v>
      </c>
      <c r="HL52" t="str">
        <f t="shared" si="73"/>
        <v>DI10-B26</v>
      </c>
      <c r="HM52" t="str">
        <f t="shared" si="73"/>
        <v>DI10-C27</v>
      </c>
      <c r="HN52" t="str">
        <f t="shared" si="73"/>
        <v>DI10-B27</v>
      </c>
      <c r="HO52" t="str">
        <f t="shared" si="73"/>
        <v>DI10-C28</v>
      </c>
      <c r="HP52" t="str">
        <f t="shared" si="73"/>
        <v>DI10-B28</v>
      </c>
      <c r="HQ52" t="str">
        <f t="shared" si="73"/>
        <v>DI10-C29</v>
      </c>
      <c r="HR52" t="str">
        <f t="shared" si="73"/>
        <v>DI10-B29</v>
      </c>
      <c r="HS52" t="str">
        <f t="shared" si="73"/>
        <v>DI10-C30</v>
      </c>
      <c r="HT52" t="str">
        <f t="shared" si="73"/>
        <v>DI10-B30</v>
      </c>
      <c r="HU52" t="str">
        <f t="shared" si="90"/>
        <v>DO6-19B</v>
      </c>
      <c r="HV52" t="str">
        <f t="shared" si="90"/>
        <v>DO6-19A</v>
      </c>
      <c r="HW52" t="str">
        <f t="shared" si="91"/>
        <v>DO6-20B</v>
      </c>
      <c r="HX52" t="str">
        <f t="shared" si="91"/>
        <v>DO6-20A</v>
      </c>
      <c r="HY52" t="str">
        <f t="shared" si="92"/>
        <v>K51-01</v>
      </c>
      <c r="HZ52" t="str">
        <f t="shared" si="93"/>
        <v>K51-02</v>
      </c>
      <c r="IA52" t="str">
        <f t="shared" si="94"/>
        <v>K51-03</v>
      </c>
      <c r="IB52" t="str">
        <f t="shared" si="95"/>
        <v>K51-04</v>
      </c>
      <c r="IC52" t="str">
        <f t="shared" si="96"/>
        <v>K51-05</v>
      </c>
      <c r="ID52" t="str">
        <f t="shared" si="97"/>
        <v>K51-06</v>
      </c>
      <c r="IE52" t="str">
        <f t="shared" si="98"/>
        <v>K51-07</v>
      </c>
      <c r="IF52" t="str">
        <f t="shared" si="99"/>
        <v>K51-08</v>
      </c>
      <c r="IG52" t="str">
        <f t="shared" si="100"/>
        <v>F0-M51-AMS-12</v>
      </c>
      <c r="IH52" t="str">
        <f t="shared" si="101"/>
        <v>F0-M51-AMS-10</v>
      </c>
      <c r="II52" t="str">
        <f t="shared" si="102"/>
        <v>F0-M51-AMS-11</v>
      </c>
      <c r="IJ52" t="str">
        <f t="shared" si="103"/>
        <v>F0-M51-AMS-13</v>
      </c>
      <c r="IK52" t="str">
        <f t="shared" si="104"/>
        <v>F0-M51-AMS-9</v>
      </c>
      <c r="IL52" t="str">
        <f t="shared" si="105"/>
        <v>F0-M51-AMS-7</v>
      </c>
      <c r="IM52" t="str">
        <f t="shared" si="106"/>
        <v>F0-M51-AMS-18</v>
      </c>
      <c r="IN52" t="str">
        <f t="shared" si="107"/>
        <v>F0-M51-AMS-20</v>
      </c>
      <c r="IO52" t="str">
        <f t="shared" si="108"/>
        <v>F0-M51-AMS-17</v>
      </c>
      <c r="IP52" t="str">
        <f t="shared" si="109"/>
        <v>F0-+24-M51</v>
      </c>
      <c r="IQ52" t="str">
        <f t="shared" si="110"/>
        <v>F0-M51-XM01</v>
      </c>
      <c r="IR52" t="str">
        <f t="shared" ref="IR52:JY55" si="112">IR51</f>
        <v>A1</v>
      </c>
      <c r="IS52" t="str">
        <f t="shared" si="112"/>
        <v>A2</v>
      </c>
      <c r="IT52">
        <f t="shared" si="112"/>
        <v>11</v>
      </c>
      <c r="IU52">
        <f t="shared" si="112"/>
        <v>14</v>
      </c>
      <c r="IV52" t="str">
        <f t="shared" si="112"/>
        <v>24v6</v>
      </c>
      <c r="IW52" t="str">
        <f t="shared" si="112"/>
        <v>0v6</v>
      </c>
      <c r="IX52">
        <f t="shared" si="112"/>
        <v>1</v>
      </c>
      <c r="IY52">
        <f t="shared" si="112"/>
        <v>2</v>
      </c>
      <c r="IZ52">
        <f t="shared" si="112"/>
        <v>3</v>
      </c>
      <c r="JA52">
        <f t="shared" si="112"/>
        <v>4</v>
      </c>
      <c r="JB52">
        <f t="shared" si="112"/>
        <v>5</v>
      </c>
      <c r="JC52">
        <f t="shared" si="112"/>
        <v>6</v>
      </c>
      <c r="JD52">
        <f t="shared" si="112"/>
        <v>7</v>
      </c>
      <c r="JE52">
        <f t="shared" si="112"/>
        <v>8</v>
      </c>
      <c r="JF52">
        <f t="shared" si="112"/>
        <v>9</v>
      </c>
      <c r="JG52">
        <f t="shared" si="112"/>
        <v>10</v>
      </c>
      <c r="JH52">
        <f t="shared" si="112"/>
        <v>11</v>
      </c>
      <c r="JI52">
        <f t="shared" si="112"/>
        <v>12</v>
      </c>
      <c r="JJ52">
        <f t="shared" si="112"/>
        <v>13</v>
      </c>
      <c r="JK52">
        <f t="shared" si="112"/>
        <v>14</v>
      </c>
      <c r="JL52">
        <f t="shared" si="112"/>
        <v>17</v>
      </c>
      <c r="JM52">
        <f t="shared" si="112"/>
        <v>15</v>
      </c>
      <c r="JN52">
        <f t="shared" si="112"/>
        <v>18</v>
      </c>
      <c r="JO52">
        <f t="shared" si="112"/>
        <v>11</v>
      </c>
      <c r="JP52">
        <f t="shared" si="112"/>
        <v>9</v>
      </c>
      <c r="JQ52">
        <f t="shared" si="112"/>
        <v>6</v>
      </c>
      <c r="JR52">
        <f t="shared" si="112"/>
        <v>20</v>
      </c>
      <c r="JS52">
        <f t="shared" si="112"/>
        <v>7</v>
      </c>
      <c r="JT52">
        <f t="shared" si="112"/>
        <v>10</v>
      </c>
      <c r="JU52">
        <f t="shared" si="112"/>
        <v>22</v>
      </c>
      <c r="JV52">
        <f t="shared" si="112"/>
        <v>23</v>
      </c>
      <c r="JW52">
        <f t="shared" si="112"/>
        <v>26</v>
      </c>
      <c r="JX52">
        <f t="shared" si="112"/>
        <v>27</v>
      </c>
      <c r="JY52" s="16">
        <f t="shared" si="112"/>
        <v>30</v>
      </c>
    </row>
    <row r="53" spans="1:305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7"/>
        <v>52</v>
      </c>
      <c r="V53" t="s">
        <v>1628</v>
      </c>
      <c r="W53" t="s">
        <v>1629</v>
      </c>
      <c r="X53" t="str">
        <f>IF(COUNTIF(X$1:X52,X52)&gt;7,REPLACE(X52,LEN(X52),1,VALUE(RIGHT(X52,1))+1),X52)</f>
        <v>A3.2</v>
      </c>
      <c r="Y53" s="43" cm="1">
        <f t="array" ref="Y53">IF(COUNTIFS($X$2:$X53,$X53)=1,"1",VALUE(SUBSTITUTE(INDEX(Y:Y,_xlfn.XMATCH($X53,$X$1:$X52,0,-1)),"A",""))+INDEX(Z:Z,_xlfn.XMATCH($X53,$X$1:$X52,0,-1))+1)</f>
        <v>3</v>
      </c>
      <c r="Z53" s="43" cm="1">
        <f t="array" ref="Z53">SUM(IF(ISNUMBER(FIND("TmAi",$BE$1:$AAD$1)),IF(IFERROR(ISODD(SUBSTITUTE($BE53:$AAD53,"A","")),FALSE),IF(ISODD(SUBSTITUTE($BE53:$AAD53,"A","")),1,0),0)))</f>
        <v>0</v>
      </c>
      <c r="AA53" t="str">
        <f t="shared" si="74"/>
        <v>5A</v>
      </c>
      <c r="AB53" t="str">
        <f t="shared" si="75"/>
        <v>5B</v>
      </c>
      <c r="AC53" s="15" t="s">
        <v>442</v>
      </c>
      <c r="AD53" s="15"/>
      <c r="AE53" s="15"/>
      <c r="AF53" t="s">
        <v>133</v>
      </c>
      <c r="AG53" t="s">
        <v>134</v>
      </c>
      <c r="AH53" s="15" t="s">
        <v>388</v>
      </c>
      <c r="AI53" s="15"/>
      <c r="AJ53" s="15"/>
      <c r="AK53" s="15" t="s">
        <v>443</v>
      </c>
      <c r="AL53" s="15" t="s">
        <v>445</v>
      </c>
      <c r="AM53" s="15" t="s">
        <v>474</v>
      </c>
      <c r="AP53" t="s">
        <v>137</v>
      </c>
      <c r="AQ53" t="s">
        <v>138</v>
      </c>
      <c r="AS53" t="s">
        <v>396</v>
      </c>
      <c r="AT53" t="s">
        <v>139</v>
      </c>
      <c r="AU53" t="s">
        <v>140</v>
      </c>
      <c r="BD53" s="16"/>
      <c r="GT53" s="27" t="str">
        <f t="shared" si="70"/>
        <v>XT52</v>
      </c>
      <c r="GU53" t="str">
        <f t="shared" si="71"/>
        <v>C2</v>
      </c>
      <c r="GV53" t="str">
        <f t="shared" si="78"/>
        <v>B2</v>
      </c>
      <c r="GW53" t="str">
        <f t="shared" si="79"/>
        <v>C3</v>
      </c>
      <c r="GX53" t="str">
        <f t="shared" si="80"/>
        <v>B3</v>
      </c>
      <c r="GY53" t="str">
        <f t="shared" si="81"/>
        <v>C4</v>
      </c>
      <c r="GZ53" t="str">
        <f t="shared" si="82"/>
        <v>B4</v>
      </c>
      <c r="HA53" t="str">
        <f t="shared" si="83"/>
        <v>C5</v>
      </c>
      <c r="HB53" t="str">
        <f t="shared" si="84"/>
        <v>B5</v>
      </c>
      <c r="HC53" t="str">
        <f t="shared" si="85"/>
        <v>C6</v>
      </c>
      <c r="HD53" t="str">
        <f t="shared" si="86"/>
        <v>B6</v>
      </c>
      <c r="HE53" t="str">
        <f t="shared" si="87"/>
        <v>22B</v>
      </c>
      <c r="HF53" t="str">
        <f t="shared" si="88"/>
        <v>22A</v>
      </c>
      <c r="HG53" t="str">
        <f t="shared" si="72"/>
        <v>AI2-5A</v>
      </c>
      <c r="HH53" t="str">
        <f t="shared" si="72"/>
        <v>AI2-5B</v>
      </c>
      <c r="HI53" t="str">
        <f t="shared" si="89"/>
        <v>DI11-C1</v>
      </c>
      <c r="HJ53" t="str">
        <f t="shared" si="89"/>
        <v>DI11-B1</v>
      </c>
      <c r="HK53" t="str">
        <f t="shared" si="73"/>
        <v>DI11-C2</v>
      </c>
      <c r="HL53" t="str">
        <f t="shared" si="73"/>
        <v>DI11-B2</v>
      </c>
      <c r="HM53" t="str">
        <f t="shared" si="73"/>
        <v>DI11-C3</v>
      </c>
      <c r="HN53" t="str">
        <f t="shared" si="73"/>
        <v>DI11-B3</v>
      </c>
      <c r="HO53" t="str">
        <f t="shared" si="73"/>
        <v>DI11-C4</v>
      </c>
      <c r="HP53" t="str">
        <f t="shared" si="73"/>
        <v>DI11-B4</v>
      </c>
      <c r="HQ53" t="str">
        <f t="shared" si="73"/>
        <v>DI11-C5</v>
      </c>
      <c r="HR53" t="str">
        <f t="shared" si="73"/>
        <v>DI11-B5</v>
      </c>
      <c r="HS53" t="str">
        <f t="shared" si="73"/>
        <v>DI11-C6</v>
      </c>
      <c r="HT53" t="str">
        <f t="shared" si="73"/>
        <v>DI11-B6</v>
      </c>
      <c r="HU53" t="str">
        <f t="shared" si="90"/>
        <v>DO6-21B</v>
      </c>
      <c r="HV53" t="str">
        <f t="shared" si="90"/>
        <v>DO6-21A</v>
      </c>
      <c r="HW53" t="str">
        <f t="shared" si="91"/>
        <v>DO6-22B</v>
      </c>
      <c r="HX53" t="str">
        <f t="shared" si="91"/>
        <v>DO6-22A</v>
      </c>
      <c r="HY53" t="str">
        <f t="shared" si="92"/>
        <v>K52-01</v>
      </c>
      <c r="HZ53" t="str">
        <f t="shared" si="93"/>
        <v>K52-02</v>
      </c>
      <c r="IA53" t="str">
        <f t="shared" si="94"/>
        <v>K52-03</v>
      </c>
      <c r="IB53" t="str">
        <f t="shared" si="95"/>
        <v>K52-04</v>
      </c>
      <c r="IC53" t="str">
        <f t="shared" si="96"/>
        <v>K52-05</v>
      </c>
      <c r="ID53" t="str">
        <f t="shared" si="97"/>
        <v>K52-06</v>
      </c>
      <c r="IE53" t="str">
        <f t="shared" si="98"/>
        <v>K52-07</v>
      </c>
      <c r="IF53" t="str">
        <f t="shared" si="99"/>
        <v>K52-08</v>
      </c>
      <c r="IG53" t="str">
        <f t="shared" si="100"/>
        <v>F0-M52-AMS-12</v>
      </c>
      <c r="IH53" t="str">
        <f t="shared" si="101"/>
        <v>F0-M52-AMS-10</v>
      </c>
      <c r="II53" t="str">
        <f t="shared" si="102"/>
        <v>F0-M52-AMS-11</v>
      </c>
      <c r="IJ53" t="str">
        <f t="shared" si="103"/>
        <v>F0-M52-AMS-13</v>
      </c>
      <c r="IK53" t="str">
        <f t="shared" si="104"/>
        <v>F0-M52-AMS-9</v>
      </c>
      <c r="IL53" t="str">
        <f t="shared" si="105"/>
        <v>F0-M52-AMS-7</v>
      </c>
      <c r="IM53" t="str">
        <f t="shared" si="106"/>
        <v>F0-M52-AMS-18</v>
      </c>
      <c r="IN53" t="str">
        <f t="shared" si="107"/>
        <v>F0-M52-AMS-20</v>
      </c>
      <c r="IO53" t="str">
        <f t="shared" si="108"/>
        <v>F0-M52-AMS-17</v>
      </c>
      <c r="IP53" t="str">
        <f t="shared" si="109"/>
        <v>F0-+24-M52</v>
      </c>
      <c r="IQ53" t="str">
        <f t="shared" si="110"/>
        <v>F0-M52-XM01</v>
      </c>
      <c r="IR53" t="str">
        <f t="shared" si="112"/>
        <v>A1</v>
      </c>
      <c r="IS53" t="str">
        <f t="shared" si="112"/>
        <v>A2</v>
      </c>
      <c r="IT53">
        <f t="shared" si="112"/>
        <v>11</v>
      </c>
      <c r="IU53">
        <f t="shared" si="112"/>
        <v>14</v>
      </c>
      <c r="IV53" t="str">
        <f t="shared" si="112"/>
        <v>24v6</v>
      </c>
      <c r="IW53" t="str">
        <f t="shared" si="112"/>
        <v>0v6</v>
      </c>
      <c r="IX53">
        <f t="shared" si="112"/>
        <v>1</v>
      </c>
      <c r="IY53">
        <f t="shared" si="112"/>
        <v>2</v>
      </c>
      <c r="IZ53">
        <f t="shared" si="112"/>
        <v>3</v>
      </c>
      <c r="JA53">
        <f t="shared" si="112"/>
        <v>4</v>
      </c>
      <c r="JB53">
        <f t="shared" si="112"/>
        <v>5</v>
      </c>
      <c r="JC53">
        <f t="shared" si="112"/>
        <v>6</v>
      </c>
      <c r="JD53">
        <f t="shared" si="112"/>
        <v>7</v>
      </c>
      <c r="JE53">
        <f t="shared" si="112"/>
        <v>8</v>
      </c>
      <c r="JF53">
        <f t="shared" si="112"/>
        <v>9</v>
      </c>
      <c r="JG53">
        <f t="shared" si="112"/>
        <v>10</v>
      </c>
      <c r="JH53">
        <f t="shared" si="112"/>
        <v>11</v>
      </c>
      <c r="JI53">
        <f t="shared" si="112"/>
        <v>12</v>
      </c>
      <c r="JJ53">
        <f t="shared" si="112"/>
        <v>13</v>
      </c>
      <c r="JK53">
        <f t="shared" si="112"/>
        <v>14</v>
      </c>
      <c r="JL53">
        <f t="shared" si="112"/>
        <v>17</v>
      </c>
      <c r="JM53">
        <f t="shared" si="112"/>
        <v>15</v>
      </c>
      <c r="JN53">
        <f t="shared" si="112"/>
        <v>18</v>
      </c>
      <c r="JO53">
        <f t="shared" si="112"/>
        <v>11</v>
      </c>
      <c r="JP53">
        <f t="shared" si="112"/>
        <v>9</v>
      </c>
      <c r="JQ53">
        <f t="shared" si="112"/>
        <v>6</v>
      </c>
      <c r="JR53">
        <f t="shared" si="112"/>
        <v>20</v>
      </c>
      <c r="JS53">
        <f t="shared" si="112"/>
        <v>7</v>
      </c>
      <c r="JT53">
        <f t="shared" si="112"/>
        <v>10</v>
      </c>
      <c r="JU53">
        <f t="shared" si="112"/>
        <v>22</v>
      </c>
      <c r="JV53">
        <f t="shared" si="112"/>
        <v>23</v>
      </c>
      <c r="JW53">
        <f t="shared" si="112"/>
        <v>26</v>
      </c>
      <c r="JX53">
        <f t="shared" si="112"/>
        <v>27</v>
      </c>
      <c r="JY53" s="16">
        <f t="shared" si="112"/>
        <v>30</v>
      </c>
    </row>
    <row r="54" spans="1:305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7"/>
        <v>53</v>
      </c>
      <c r="V54" t="s">
        <v>1630</v>
      </c>
      <c r="W54" t="s">
        <v>1631</v>
      </c>
      <c r="X54" t="str">
        <f>IF(COUNTIF(X$1:X53,X53)&gt;7,REPLACE(X53,LEN(X53),1,VALUE(RIGHT(X53,1))+1),X53)</f>
        <v>A3.2</v>
      </c>
      <c r="Y54" s="43" cm="1">
        <f t="array" ref="Y54">IF(COUNTIFS($X$2:$X54,$X54)=1,"1",VALUE(SUBSTITUTE(INDEX(Y:Y,_xlfn.XMATCH($X54,$X$1:$X53,0,-1)),"A",""))+INDEX(Z:Z,_xlfn.XMATCH($X54,$X$1:$X53,0,-1))+1)</f>
        <v>4</v>
      </c>
      <c r="Z54" s="43" cm="1">
        <f t="array" ref="Z54">SUM(IF(ISNUMBER(FIND("TmAi",$BE$1:$AAD$1)),IF(IFERROR(ISODD(SUBSTITUTE($BE54:$AAD54,"A","")),FALSE),IF(ISODD(SUBSTITUTE($BE54:$AAD54,"A","")),1,0),0)))</f>
        <v>0</v>
      </c>
      <c r="AA54" t="str">
        <f t="shared" si="74"/>
        <v>7A</v>
      </c>
      <c r="AB54" t="str">
        <f t="shared" si="75"/>
        <v>7B</v>
      </c>
      <c r="AC54" s="15" t="s">
        <v>442</v>
      </c>
      <c r="AD54" s="15"/>
      <c r="AE54" s="15"/>
      <c r="AF54" t="s">
        <v>148</v>
      </c>
      <c r="AG54" t="s">
        <v>149</v>
      </c>
      <c r="AH54" s="15" t="s">
        <v>388</v>
      </c>
      <c r="AI54" s="15"/>
      <c r="AJ54" s="15"/>
      <c r="AK54" t="s">
        <v>444</v>
      </c>
      <c r="AL54" t="s">
        <v>446</v>
      </c>
      <c r="AM54" t="s">
        <v>475</v>
      </c>
      <c r="AP54" t="s">
        <v>137</v>
      </c>
      <c r="AQ54" t="s">
        <v>138</v>
      </c>
      <c r="AS54" t="s">
        <v>396</v>
      </c>
      <c r="AT54" t="s">
        <v>139</v>
      </c>
      <c r="AU54" t="s">
        <v>140</v>
      </c>
      <c r="BD54" s="16"/>
      <c r="GT54" s="27" t="str">
        <f t="shared" si="70"/>
        <v>XT53</v>
      </c>
      <c r="GU54" t="str">
        <f t="shared" si="71"/>
        <v>C8</v>
      </c>
      <c r="GV54" t="str">
        <f t="shared" si="78"/>
        <v>B8</v>
      </c>
      <c r="GW54" t="str">
        <f t="shared" si="79"/>
        <v>C9</v>
      </c>
      <c r="GX54" t="str">
        <f t="shared" si="80"/>
        <v>B9</v>
      </c>
      <c r="GY54" t="str">
        <f t="shared" si="81"/>
        <v>C10</v>
      </c>
      <c r="GZ54" t="str">
        <f t="shared" si="82"/>
        <v>B10</v>
      </c>
      <c r="HA54" t="str">
        <f t="shared" si="83"/>
        <v>C11</v>
      </c>
      <c r="HB54" t="str">
        <f t="shared" si="84"/>
        <v>B11</v>
      </c>
      <c r="HC54" t="str">
        <f t="shared" si="85"/>
        <v>C12</v>
      </c>
      <c r="HD54" t="str">
        <f t="shared" si="86"/>
        <v>B12</v>
      </c>
      <c r="HE54" t="str">
        <f t="shared" si="87"/>
        <v>24B</v>
      </c>
      <c r="HF54" t="str">
        <f t="shared" si="88"/>
        <v>24A</v>
      </c>
      <c r="HG54" t="str">
        <f t="shared" si="72"/>
        <v>AI2-7A</v>
      </c>
      <c r="HH54" t="str">
        <f t="shared" si="72"/>
        <v>AI2-7B</v>
      </c>
      <c r="HI54" t="str">
        <f t="shared" si="89"/>
        <v>DI11-C7</v>
      </c>
      <c r="HJ54" t="str">
        <f t="shared" si="89"/>
        <v>DI11-B7</v>
      </c>
      <c r="HK54" t="str">
        <f t="shared" si="73"/>
        <v>DI11-C8</v>
      </c>
      <c r="HL54" t="str">
        <f t="shared" si="73"/>
        <v>DI11-B8</v>
      </c>
      <c r="HM54" t="str">
        <f t="shared" si="73"/>
        <v>DI11-C9</v>
      </c>
      <c r="HN54" t="str">
        <f t="shared" si="73"/>
        <v>DI11-B9</v>
      </c>
      <c r="HO54" t="str">
        <f t="shared" si="73"/>
        <v>DI11-C10</v>
      </c>
      <c r="HP54" t="str">
        <f t="shared" si="73"/>
        <v>DI11-B10</v>
      </c>
      <c r="HQ54" t="str">
        <f t="shared" si="73"/>
        <v>DI11-C11</v>
      </c>
      <c r="HR54" t="str">
        <f t="shared" si="73"/>
        <v>DI11-B11</v>
      </c>
      <c r="HS54" t="str">
        <f t="shared" si="73"/>
        <v>DI11-C12</v>
      </c>
      <c r="HT54" t="str">
        <f t="shared" si="73"/>
        <v>DI11-B12</v>
      </c>
      <c r="HU54" t="str">
        <f t="shared" si="90"/>
        <v>DO6-23B</v>
      </c>
      <c r="HV54" t="str">
        <f t="shared" si="90"/>
        <v>DO6-23A</v>
      </c>
      <c r="HW54" t="str">
        <f t="shared" si="91"/>
        <v>DO6-24B</v>
      </c>
      <c r="HX54" t="str">
        <f t="shared" si="91"/>
        <v>DO6-24A</v>
      </c>
      <c r="HY54" t="str">
        <f t="shared" si="92"/>
        <v>K53-01</v>
      </c>
      <c r="HZ54" t="str">
        <f t="shared" si="93"/>
        <v>K53-02</v>
      </c>
      <c r="IA54" t="str">
        <f t="shared" si="94"/>
        <v>K53-03</v>
      </c>
      <c r="IB54" t="str">
        <f t="shared" si="95"/>
        <v>K53-04</v>
      </c>
      <c r="IC54" t="str">
        <f t="shared" si="96"/>
        <v>K53-05</v>
      </c>
      <c r="ID54" t="str">
        <f t="shared" si="97"/>
        <v>K53-06</v>
      </c>
      <c r="IE54" t="str">
        <f t="shared" si="98"/>
        <v>K53-07</v>
      </c>
      <c r="IF54" t="str">
        <f t="shared" si="99"/>
        <v>K53-08</v>
      </c>
      <c r="IG54" t="str">
        <f t="shared" si="100"/>
        <v>F0-M53-AMS-12</v>
      </c>
      <c r="IH54" t="str">
        <f t="shared" si="101"/>
        <v>F0-M53-AMS-10</v>
      </c>
      <c r="II54" t="str">
        <f t="shared" si="102"/>
        <v>F0-M53-AMS-11</v>
      </c>
      <c r="IJ54" t="str">
        <f t="shared" si="103"/>
        <v>F0-M53-AMS-13</v>
      </c>
      <c r="IK54" t="str">
        <f t="shared" si="104"/>
        <v>F0-M53-AMS-9</v>
      </c>
      <c r="IL54" t="str">
        <f t="shared" si="105"/>
        <v>F0-M53-AMS-7</v>
      </c>
      <c r="IM54" t="str">
        <f t="shared" si="106"/>
        <v>F0-M53-AMS-18</v>
      </c>
      <c r="IN54" t="str">
        <f t="shared" si="107"/>
        <v>F0-M53-AMS-20</v>
      </c>
      <c r="IO54" t="str">
        <f t="shared" si="108"/>
        <v>F0-M53-AMS-17</v>
      </c>
      <c r="IP54" t="str">
        <f t="shared" si="109"/>
        <v>F0-+24-M53</v>
      </c>
      <c r="IQ54" t="str">
        <f t="shared" si="110"/>
        <v>F0-M53-XM01</v>
      </c>
      <c r="IR54" t="str">
        <f t="shared" si="112"/>
        <v>A1</v>
      </c>
      <c r="IS54" t="str">
        <f t="shared" si="112"/>
        <v>A2</v>
      </c>
      <c r="IT54">
        <f t="shared" si="112"/>
        <v>11</v>
      </c>
      <c r="IU54">
        <f t="shared" si="112"/>
        <v>14</v>
      </c>
      <c r="IV54" t="str">
        <f t="shared" si="112"/>
        <v>24v6</v>
      </c>
      <c r="IW54" t="str">
        <f t="shared" si="112"/>
        <v>0v6</v>
      </c>
      <c r="IX54">
        <f t="shared" si="112"/>
        <v>1</v>
      </c>
      <c r="IY54">
        <f t="shared" si="112"/>
        <v>2</v>
      </c>
      <c r="IZ54">
        <f t="shared" si="112"/>
        <v>3</v>
      </c>
      <c r="JA54">
        <f t="shared" si="112"/>
        <v>4</v>
      </c>
      <c r="JB54">
        <f t="shared" si="112"/>
        <v>5</v>
      </c>
      <c r="JC54">
        <f t="shared" si="112"/>
        <v>6</v>
      </c>
      <c r="JD54">
        <f t="shared" si="112"/>
        <v>7</v>
      </c>
      <c r="JE54">
        <f t="shared" si="112"/>
        <v>8</v>
      </c>
      <c r="JF54">
        <f t="shared" si="112"/>
        <v>9</v>
      </c>
      <c r="JG54">
        <f t="shared" si="112"/>
        <v>10</v>
      </c>
      <c r="JH54">
        <f t="shared" si="112"/>
        <v>11</v>
      </c>
      <c r="JI54">
        <f t="shared" si="112"/>
        <v>12</v>
      </c>
      <c r="JJ54">
        <f t="shared" si="112"/>
        <v>13</v>
      </c>
      <c r="JK54">
        <f t="shared" si="112"/>
        <v>14</v>
      </c>
      <c r="JL54">
        <f t="shared" si="112"/>
        <v>17</v>
      </c>
      <c r="JM54">
        <f t="shared" si="112"/>
        <v>15</v>
      </c>
      <c r="JN54">
        <f t="shared" si="112"/>
        <v>18</v>
      </c>
      <c r="JO54">
        <f t="shared" si="112"/>
        <v>11</v>
      </c>
      <c r="JP54">
        <f t="shared" si="112"/>
        <v>9</v>
      </c>
      <c r="JQ54">
        <f t="shared" si="112"/>
        <v>6</v>
      </c>
      <c r="JR54">
        <f t="shared" si="112"/>
        <v>20</v>
      </c>
      <c r="JS54">
        <f t="shared" si="112"/>
        <v>7</v>
      </c>
      <c r="JT54">
        <f t="shared" si="112"/>
        <v>10</v>
      </c>
      <c r="JU54">
        <f t="shared" si="112"/>
        <v>22</v>
      </c>
      <c r="JV54">
        <f t="shared" si="112"/>
        <v>23</v>
      </c>
      <c r="JW54">
        <f t="shared" si="112"/>
        <v>26</v>
      </c>
      <c r="JX54">
        <f t="shared" si="112"/>
        <v>27</v>
      </c>
      <c r="JY54" s="16">
        <f t="shared" si="112"/>
        <v>30</v>
      </c>
    </row>
    <row r="55" spans="1:305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7"/>
        <v>54</v>
      </c>
      <c r="V55" s="19" t="s">
        <v>1632</v>
      </c>
      <c r="W55" s="19" t="s">
        <v>1633</v>
      </c>
      <c r="X55" s="19" t="str">
        <f>IF(COUNTIF(X$1:X54,X54)&gt;7,REPLACE(X54,LEN(X54),1,VALUE(RIGHT(X54,1))+1),X54)</f>
        <v>A3.2</v>
      </c>
      <c r="Y55" s="44" cm="1">
        <f t="array" ref="Y55">IF(COUNTIFS($X$2:$X55,$X55)=1,"1",VALUE(SUBSTITUTE(INDEX(Y:Y,_xlfn.XMATCH($X55,$X$1:$X54,0,-1)),"A",""))+INDEX(Z:Z,_xlfn.XMATCH($X55,$X$1:$X54,0,-1))+1)</f>
        <v>5</v>
      </c>
      <c r="Z55" s="44" cm="1">
        <f t="array" ref="Z55">SUM(IF(ISNUMBER(FIND("TmAi",$BE$1:$AAD$1)),IF(IFERROR(ISODD(SUBSTITUTE($BE55:$AAD55,"A","")),FALSE),IF(ISODD(SUBSTITUTE($BE55:$AAD55,"A","")),1,0),0)))</f>
        <v>0</v>
      </c>
      <c r="AA55" s="19" t="str">
        <f t="shared" si="74"/>
        <v>9A</v>
      </c>
      <c r="AB55" s="19" t="str">
        <f t="shared" si="75"/>
        <v>9B</v>
      </c>
      <c r="AC55" s="18" t="s">
        <v>442</v>
      </c>
      <c r="AD55" s="18"/>
      <c r="AE55" s="18"/>
      <c r="AF55" s="19" t="s">
        <v>153</v>
      </c>
      <c r="AG55" s="19" t="s">
        <v>154</v>
      </c>
      <c r="AH55" s="18" t="s">
        <v>388</v>
      </c>
      <c r="AI55" s="18"/>
      <c r="AJ55" s="18"/>
      <c r="AK55" s="18" t="s">
        <v>252</v>
      </c>
      <c r="AL55" s="18" t="s">
        <v>259</v>
      </c>
      <c r="AM55" s="18" t="s">
        <v>452</v>
      </c>
      <c r="AN55" s="19"/>
      <c r="AO55" s="19"/>
      <c r="AP55" s="19" t="s">
        <v>137</v>
      </c>
      <c r="AQ55" s="19" t="s">
        <v>138</v>
      </c>
      <c r="AR55" s="19"/>
      <c r="AS55" s="19" t="s">
        <v>396</v>
      </c>
      <c r="AT55" s="19" t="s">
        <v>139</v>
      </c>
      <c r="AU55" s="19" t="s">
        <v>140</v>
      </c>
      <c r="AV55" s="19"/>
      <c r="AW55" s="19"/>
      <c r="AX55" s="19"/>
      <c r="AY55" s="19"/>
      <c r="AZ55" s="19"/>
      <c r="BA55" s="19"/>
      <c r="BB55" s="19"/>
      <c r="BC55" s="19"/>
      <c r="BD55" s="20"/>
      <c r="GT55" s="28" t="str">
        <f t="shared" si="70"/>
        <v>XT54</v>
      </c>
      <c r="GU55" s="19" t="str">
        <f t="shared" si="71"/>
        <v>C14</v>
      </c>
      <c r="GV55" s="19" t="str">
        <f t="shared" si="78"/>
        <v>B14</v>
      </c>
      <c r="GW55" s="19" t="str">
        <f t="shared" si="79"/>
        <v>C15</v>
      </c>
      <c r="GX55" s="19" t="str">
        <f t="shared" si="80"/>
        <v>B15</v>
      </c>
      <c r="GY55" s="19" t="str">
        <f t="shared" si="81"/>
        <v>C16</v>
      </c>
      <c r="GZ55" s="19" t="str">
        <f t="shared" si="82"/>
        <v>B16</v>
      </c>
      <c r="HA55" s="19" t="str">
        <f t="shared" si="83"/>
        <v>C17</v>
      </c>
      <c r="HB55" s="19" t="str">
        <f t="shared" si="84"/>
        <v>B17</v>
      </c>
      <c r="HC55" s="19" t="str">
        <f t="shared" si="85"/>
        <v>C18</v>
      </c>
      <c r="HD55" s="19" t="str">
        <f t="shared" si="86"/>
        <v>B18</v>
      </c>
      <c r="HE55" s="19" t="str">
        <f t="shared" si="87"/>
        <v>26B</v>
      </c>
      <c r="HF55" s="19" t="str">
        <f t="shared" si="88"/>
        <v>26A</v>
      </c>
      <c r="HG55" s="19" t="str">
        <f t="shared" si="72"/>
        <v>AI2-9A</v>
      </c>
      <c r="HH55" s="19" t="str">
        <f t="shared" si="72"/>
        <v>AI2-9B</v>
      </c>
      <c r="HI55" s="19" t="str">
        <f t="shared" si="89"/>
        <v>DI11-C13</v>
      </c>
      <c r="HJ55" s="19" t="str">
        <f t="shared" si="89"/>
        <v>DI11-B13</v>
      </c>
      <c r="HK55" s="19" t="str">
        <f t="shared" si="73"/>
        <v>DI11-C14</v>
      </c>
      <c r="HL55" s="19" t="str">
        <f t="shared" si="73"/>
        <v>DI11-B14</v>
      </c>
      <c r="HM55" s="19" t="str">
        <f t="shared" si="73"/>
        <v>DI11-C15</v>
      </c>
      <c r="HN55" s="19" t="str">
        <f t="shared" si="73"/>
        <v>DI11-B15</v>
      </c>
      <c r="HO55" s="19" t="str">
        <f t="shared" si="73"/>
        <v>DI11-C16</v>
      </c>
      <c r="HP55" s="19" t="str">
        <f t="shared" si="73"/>
        <v>DI11-B16</v>
      </c>
      <c r="HQ55" s="19" t="str">
        <f t="shared" si="73"/>
        <v>DI11-C17</v>
      </c>
      <c r="HR55" s="19" t="str">
        <f t="shared" si="73"/>
        <v>DI11-B17</v>
      </c>
      <c r="HS55" s="19" t="str">
        <f t="shared" si="73"/>
        <v>DI11-C18</v>
      </c>
      <c r="HT55" s="19" t="str">
        <f t="shared" si="73"/>
        <v>DI11-B18</v>
      </c>
      <c r="HU55" s="19" t="str">
        <f t="shared" si="90"/>
        <v>DO6-25B</v>
      </c>
      <c r="HV55" s="19" t="str">
        <f t="shared" si="90"/>
        <v>DO6-25A</v>
      </c>
      <c r="HW55" s="19" t="str">
        <f t="shared" si="91"/>
        <v>DO6-26B</v>
      </c>
      <c r="HX55" s="19" t="str">
        <f t="shared" si="91"/>
        <v>DO6-26A</v>
      </c>
      <c r="HY55" s="19" t="str">
        <f t="shared" si="92"/>
        <v>K54-01</v>
      </c>
      <c r="HZ55" s="19" t="str">
        <f t="shared" si="93"/>
        <v>K54-02</v>
      </c>
      <c r="IA55" s="19" t="str">
        <f t="shared" si="94"/>
        <v>K54-03</v>
      </c>
      <c r="IB55" s="19" t="str">
        <f t="shared" si="95"/>
        <v>K54-04</v>
      </c>
      <c r="IC55" s="19" t="str">
        <f t="shared" si="96"/>
        <v>K54-05</v>
      </c>
      <c r="ID55" s="19" t="str">
        <f t="shared" si="97"/>
        <v>K54-06</v>
      </c>
      <c r="IE55" s="19" t="str">
        <f t="shared" si="98"/>
        <v>K54-07</v>
      </c>
      <c r="IF55" s="19" t="str">
        <f t="shared" si="99"/>
        <v>K54-08</v>
      </c>
      <c r="IG55" s="19" t="str">
        <f t="shared" si="100"/>
        <v>F0-M54-AMS-12</v>
      </c>
      <c r="IH55" s="19" t="str">
        <f t="shared" si="101"/>
        <v>F0-M54-AMS-10</v>
      </c>
      <c r="II55" s="19" t="str">
        <f t="shared" si="102"/>
        <v>F0-M54-AMS-11</v>
      </c>
      <c r="IJ55" s="19" t="str">
        <f t="shared" si="103"/>
        <v>F0-M54-AMS-13</v>
      </c>
      <c r="IK55" s="19" t="str">
        <f t="shared" si="104"/>
        <v>F0-M54-AMS-9</v>
      </c>
      <c r="IL55" s="19" t="str">
        <f t="shared" si="105"/>
        <v>F0-M54-AMS-7</v>
      </c>
      <c r="IM55" s="19" t="str">
        <f t="shared" si="106"/>
        <v>F0-M54-AMS-18</v>
      </c>
      <c r="IN55" s="19" t="str">
        <f t="shared" si="107"/>
        <v>F0-M54-AMS-20</v>
      </c>
      <c r="IO55" s="19" t="str">
        <f t="shared" si="108"/>
        <v>F0-M54-AMS-17</v>
      </c>
      <c r="IP55" s="19" t="str">
        <f t="shared" si="109"/>
        <v>F0-+24-M54</v>
      </c>
      <c r="IQ55" s="19" t="str">
        <f t="shared" si="110"/>
        <v>F0-M54-XM01</v>
      </c>
      <c r="IR55" s="19" t="str">
        <f t="shared" si="112"/>
        <v>A1</v>
      </c>
      <c r="IS55" s="19" t="str">
        <f t="shared" si="112"/>
        <v>A2</v>
      </c>
      <c r="IT55" s="19">
        <f t="shared" si="112"/>
        <v>11</v>
      </c>
      <c r="IU55" s="19">
        <f t="shared" si="112"/>
        <v>14</v>
      </c>
      <c r="IV55" s="19" t="str">
        <f t="shared" si="112"/>
        <v>24v6</v>
      </c>
      <c r="IW55" s="19" t="str">
        <f t="shared" si="112"/>
        <v>0v6</v>
      </c>
      <c r="IX55" s="19">
        <f t="shared" si="112"/>
        <v>1</v>
      </c>
      <c r="IY55" s="19">
        <f t="shared" si="112"/>
        <v>2</v>
      </c>
      <c r="IZ55" s="19">
        <f t="shared" si="112"/>
        <v>3</v>
      </c>
      <c r="JA55" s="19">
        <f t="shared" si="112"/>
        <v>4</v>
      </c>
      <c r="JB55" s="19">
        <f t="shared" si="112"/>
        <v>5</v>
      </c>
      <c r="JC55" s="19">
        <f t="shared" si="112"/>
        <v>6</v>
      </c>
      <c r="JD55" s="19">
        <f t="shared" si="112"/>
        <v>7</v>
      </c>
      <c r="JE55" s="19">
        <f t="shared" si="112"/>
        <v>8</v>
      </c>
      <c r="JF55" s="19">
        <f t="shared" si="112"/>
        <v>9</v>
      </c>
      <c r="JG55" s="19">
        <f t="shared" si="112"/>
        <v>10</v>
      </c>
      <c r="JH55" s="19">
        <f t="shared" si="112"/>
        <v>11</v>
      </c>
      <c r="JI55" s="19">
        <f t="shared" si="112"/>
        <v>12</v>
      </c>
      <c r="JJ55" s="19">
        <f t="shared" si="112"/>
        <v>13</v>
      </c>
      <c r="JK55" s="19">
        <f t="shared" si="112"/>
        <v>14</v>
      </c>
      <c r="JL55" s="19">
        <f t="shared" si="112"/>
        <v>17</v>
      </c>
      <c r="JM55" s="19">
        <f t="shared" si="112"/>
        <v>15</v>
      </c>
      <c r="JN55" s="19">
        <f t="shared" si="112"/>
        <v>18</v>
      </c>
      <c r="JO55" s="19">
        <f t="shared" si="112"/>
        <v>11</v>
      </c>
      <c r="JP55" s="19">
        <f t="shared" si="112"/>
        <v>9</v>
      </c>
      <c r="JQ55" s="19">
        <f t="shared" si="112"/>
        <v>6</v>
      </c>
      <c r="JR55" s="19">
        <f t="shared" si="112"/>
        <v>20</v>
      </c>
      <c r="JS55" s="19">
        <f t="shared" si="112"/>
        <v>7</v>
      </c>
      <c r="JT55" s="19">
        <f t="shared" si="112"/>
        <v>10</v>
      </c>
      <c r="JU55" s="19">
        <f t="shared" si="112"/>
        <v>22</v>
      </c>
      <c r="JV55" s="19">
        <f t="shared" si="112"/>
        <v>23</v>
      </c>
      <c r="JW55" s="19">
        <f t="shared" si="112"/>
        <v>26</v>
      </c>
      <c r="JX55" s="19">
        <f t="shared" si="112"/>
        <v>27</v>
      </c>
      <c r="JY55" s="20">
        <f t="shared" si="112"/>
        <v>30</v>
      </c>
    </row>
    <row r="56" spans="1:305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1423</v>
      </c>
      <c r="X56" t="s">
        <v>484</v>
      </c>
      <c r="Y56" s="43" t="str" cm="1">
        <f t="array" ref="Y56">IF(COUNTIFS($X$2:$X56,$X56)=1,"1",VALUE(SUBSTITUTE(INDEX(Y:Y,_xlfn.XMATCH($X56,$X$1:$X55,0,-1)),"A",""))+INDEX(Z:Z,_xlfn.XMATCH($X56,$X$1:$X55,0,-1))+1)</f>
        <v>1</v>
      </c>
      <c r="Z56" s="43" cm="1">
        <f t="array" ref="Z56">SUM(IF(ISNUMBER(FIND("TmAi",$BE$1:$AAD$1)),IF(IFERROR(ISODD(SUBSTITUTE($BE56:$AAD56,"A","")),FALSE),IF(ISODD(SUBSTITUTE($BE56:$AAD56,"A","")),1,0),0)))</f>
        <v>0</v>
      </c>
      <c r="AA56" t="str">
        <f>CONCATENATE($Y56*2-1,"B")</f>
        <v>1B</v>
      </c>
      <c r="AB56" t="str">
        <f>CONCATENATE($Y56*2,"B")</f>
        <v>2B</v>
      </c>
      <c r="AP56" t="s">
        <v>137</v>
      </c>
      <c r="AS56" t="s">
        <v>396</v>
      </c>
      <c r="JZ56" s="25" t="str">
        <f t="shared" ref="JZ56:JZ119" si="113">CONCATENATE("XT",U56)</f>
        <v>XT55</v>
      </c>
      <c r="KA56" s="12"/>
      <c r="KB56" s="12"/>
      <c r="KC56" s="12" t="str">
        <f t="shared" ref="KC56:KC119" si="114">CONCATENATE(T56,"-AI",REPLACE($X56,1,3,""),"-",AA56)</f>
        <v>F0-AI3-1B</v>
      </c>
      <c r="KD56" s="12" t="str">
        <f t="shared" ref="KD56:KD119" si="115">CONCATENATE(T56,"-AI",REPLACE($X56,1,3,""),"-",AB56)</f>
        <v>F0-AI3-2B</v>
      </c>
      <c r="KE56" s="12"/>
      <c r="KF56" s="12"/>
      <c r="KG56" s="12"/>
      <c r="KH56" s="12"/>
      <c r="KI56" s="12" cm="1">
        <f t="array" ref="KI56">IF(COUNTIFS($U$2:$U56,$U56)=1,1,INDEX(KI:KI,_xlfn.XMATCH(U56,U$1:U55,0,-1))+COUNT(KI55:KM55))</f>
        <v>1</v>
      </c>
      <c r="KJ56" s="12">
        <f>KI56+1</f>
        <v>2</v>
      </c>
      <c r="KK56" s="12">
        <f>KJ56+1</f>
        <v>3</v>
      </c>
      <c r="KL56" s="12"/>
      <c r="KM56" s="12"/>
      <c r="KN56" s="12">
        <v>1</v>
      </c>
      <c r="KO56" s="13">
        <v>2</v>
      </c>
      <c r="KP56" s="12"/>
      <c r="KQ56" s="12"/>
      <c r="KR56" s="12"/>
      <c r="KS56" s="13"/>
    </row>
    <row r="57" spans="1:305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1427</v>
      </c>
      <c r="X57" t="str">
        <f>IF(COUNTIF(X$1:X56,X56)&gt;7,REPLACE(X56,LEN(X56),1,VALUE(RIGHT(X56,1))+1),X56)</f>
        <v>A3.3</v>
      </c>
      <c r="Y57" s="43" cm="1">
        <f t="array" ref="Y57">IF(COUNTIFS($X$2:$X57,$X57)=1,"1",VALUE(SUBSTITUTE(INDEX(Y:Y,_xlfn.XMATCH($X57,$X$1:$X56,0,-1)),"A",""))+INDEX(Z:Z,_xlfn.XMATCH($X57,$X$1:$X56,0,-1))+1)</f>
        <v>2</v>
      </c>
      <c r="Z57" s="43" cm="1">
        <f t="array" ref="Z57">SUM(IF(ISNUMBER(FIND("TmAi",$BE$1:$AAD$1)),IF(IFERROR(ISODD(SUBSTITUTE($BE57:$AAD57,"A","")),FALSE),IF(ISODD(SUBSTITUTE($BE57:$AAD57,"A","")),1,0),0)))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P57" t="s">
        <v>137</v>
      </c>
      <c r="AS57" t="s">
        <v>396</v>
      </c>
      <c r="JZ57" s="27" t="str">
        <f t="shared" si="113"/>
        <v>XT55</v>
      </c>
      <c r="KC57" t="str">
        <f t="shared" si="114"/>
        <v>F0-AI3-3B</v>
      </c>
      <c r="KD57" t="str">
        <f t="shared" si="115"/>
        <v>F0-AI3-4B</v>
      </c>
      <c r="KI57" cm="1">
        <f t="array" ref="KI57">IF(COUNTIFS($U$2:$U57,$U57)=1,1,INDEX(KI:KI,_xlfn.XMATCH(U57,U$1:U56,0,-1))+COUNT(KI56:KM56))</f>
        <v>4</v>
      </c>
      <c r="KJ57">
        <f>KI57+1</f>
        <v>5</v>
      </c>
      <c r="KK57">
        <f>KJ57+1</f>
        <v>6</v>
      </c>
      <c r="KN57">
        <v>1</v>
      </c>
      <c r="KO57" s="16">
        <v>2</v>
      </c>
      <c r="KS57" s="16"/>
    </row>
    <row r="58" spans="1:305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1428</v>
      </c>
      <c r="X58" t="str">
        <f>IF(COUNTIF(X$1:X57,X57)&gt;7,REPLACE(X57,LEN(X57),1,VALUE(RIGHT(X57,1))+1),X57)</f>
        <v>A3.3</v>
      </c>
      <c r="Y58" s="43" cm="1">
        <f t="array" ref="Y58">IF(COUNTIFS($X$2:$X58,$X58)=1,"1",VALUE(SUBSTITUTE(INDEX(Y:Y,_xlfn.XMATCH($X58,$X$1:$X57,0,-1)),"A",""))+INDEX(Z:Z,_xlfn.XMATCH($X58,$X$1:$X57,0,-1))+1)</f>
        <v>3</v>
      </c>
      <c r="Z58" s="43" cm="1">
        <f t="array" ref="Z58">SUM(IF(ISNUMBER(FIND("TmAi",$BE$1:$AAD$1)),IF(IFERROR(ISODD(SUBSTITUTE($BE58:$AAD58,"A","")),FALSE),IF(ISODD(SUBSTITUTE($BE58:$AAD58,"A","")),1,0),0)))</f>
        <v>0</v>
      </c>
      <c r="AA58" t="str">
        <f t="shared" si="116"/>
        <v>5B</v>
      </c>
      <c r="AB58" t="str">
        <f t="shared" si="117"/>
        <v>6B</v>
      </c>
      <c r="AP58" t="s">
        <v>137</v>
      </c>
      <c r="AS58" t="s">
        <v>396</v>
      </c>
      <c r="JZ58" s="27" t="str">
        <f t="shared" si="113"/>
        <v>XT55</v>
      </c>
      <c r="KC58" t="str">
        <f t="shared" si="114"/>
        <v>F0-AI3-5B</v>
      </c>
      <c r="KD58" t="str">
        <f t="shared" si="115"/>
        <v>F0-AI3-6B</v>
      </c>
      <c r="KI58" cm="1">
        <f t="array" ref="KI58">IF(COUNTIFS($U$2:$U58,$U58)=1,1,INDEX(KI:KI,_xlfn.XMATCH(U58,U$1:U57,0,-1))+COUNT(KI57:KM57))</f>
        <v>7</v>
      </c>
      <c r="KJ58">
        <f t="shared" ref="KJ58:KM68" si="118">KI58+1</f>
        <v>8</v>
      </c>
      <c r="KK58">
        <f t="shared" si="118"/>
        <v>9</v>
      </c>
      <c r="KN58">
        <v>1</v>
      </c>
      <c r="KO58" s="16">
        <v>2</v>
      </c>
      <c r="KS58" s="16"/>
    </row>
    <row r="59" spans="1:305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1429</v>
      </c>
      <c r="X59" t="str">
        <f>IF(COUNTIF(X$1:X58,X58)&gt;7,REPLACE(X58,LEN(X58),1,VALUE(RIGHT(X58,1))+1),X58)</f>
        <v>A3.3</v>
      </c>
      <c r="Y59" s="43" cm="1">
        <f t="array" ref="Y59">IF(COUNTIFS($X$2:$X59,$X59)=1,"1",VALUE(SUBSTITUTE(INDEX(Y:Y,_xlfn.XMATCH($X59,$X$1:$X58,0,-1)),"A",""))+INDEX(Z:Z,_xlfn.XMATCH($X59,$X$1:$X58,0,-1))+1)</f>
        <v>4</v>
      </c>
      <c r="Z59" s="43" cm="1">
        <f t="array" ref="Z59">SUM(IF(ISNUMBER(FIND("TmAi",$BE$1:$AAD$1)),IF(IFERROR(ISODD(SUBSTITUTE($BE59:$AAD59,"A","")),FALSE),IF(ISODD(SUBSTITUTE($BE59:$AAD59,"A","")),1,0),0)))</f>
        <v>0</v>
      </c>
      <c r="AA59" t="str">
        <f t="shared" si="116"/>
        <v>7B</v>
      </c>
      <c r="AB59" t="str">
        <f t="shared" si="117"/>
        <v>8B</v>
      </c>
      <c r="AP59" t="s">
        <v>137</v>
      </c>
      <c r="AS59" t="s">
        <v>396</v>
      </c>
      <c r="JZ59" s="27" t="str">
        <f t="shared" si="113"/>
        <v>XT55</v>
      </c>
      <c r="KC59" t="str">
        <f t="shared" si="114"/>
        <v>F0-AI3-7B</v>
      </c>
      <c r="KD59" t="str">
        <f t="shared" si="115"/>
        <v>F0-AI3-8B</v>
      </c>
      <c r="KI59" cm="1">
        <f t="array" ref="KI59">IF(COUNTIFS($U$2:$U59,$U59)=1,1,INDEX(KI:KI,_xlfn.XMATCH(U59,U$1:U58,0,-1))+COUNT(KI58:KM58))</f>
        <v>10</v>
      </c>
      <c r="KJ59">
        <f t="shared" si="118"/>
        <v>11</v>
      </c>
      <c r="KK59">
        <f t="shared" si="118"/>
        <v>12</v>
      </c>
      <c r="KN59">
        <v>1</v>
      </c>
      <c r="KO59" s="16">
        <v>2</v>
      </c>
      <c r="KS59" s="16"/>
    </row>
    <row r="60" spans="1:305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1430</v>
      </c>
      <c r="X60" t="str">
        <f>IF(COUNTIF(X$1:X59,X59)&gt;7,REPLACE(X59,LEN(X59),1,VALUE(RIGHT(X59,1))+1),X59)</f>
        <v>A3.3</v>
      </c>
      <c r="Y60" s="43" cm="1">
        <f t="array" ref="Y60">IF(COUNTIFS($X$2:$X60,$X60)=1,"1",VALUE(SUBSTITUTE(INDEX(Y:Y,_xlfn.XMATCH($X60,$X$1:$X59,0,-1)),"A",""))+INDEX(Z:Z,_xlfn.XMATCH($X60,$X$1:$X59,0,-1))+1)</f>
        <v>5</v>
      </c>
      <c r="Z60" s="43" cm="1">
        <f t="array" ref="Z60">SUM(IF(ISNUMBER(FIND("TmAi",$BE$1:$AAD$1)),IF(IFERROR(ISODD(SUBSTITUTE($BE60:$AAD60,"A","")),FALSE),IF(ISODD(SUBSTITUTE($BE60:$AAD60,"A","")),1,0),0)))</f>
        <v>0</v>
      </c>
      <c r="AA60" t="str">
        <f t="shared" si="116"/>
        <v>9B</v>
      </c>
      <c r="AB60" t="str">
        <f t="shared" si="117"/>
        <v>10B</v>
      </c>
      <c r="AP60" t="s">
        <v>137</v>
      </c>
      <c r="AS60" t="s">
        <v>396</v>
      </c>
      <c r="JZ60" s="27" t="str">
        <f t="shared" si="113"/>
        <v>XT55</v>
      </c>
      <c r="KC60" t="str">
        <f t="shared" si="114"/>
        <v>F0-AI3-9B</v>
      </c>
      <c r="KD60" t="str">
        <f t="shared" si="115"/>
        <v>F0-AI3-10B</v>
      </c>
      <c r="KI60" cm="1">
        <f t="array" ref="KI60">IF(COUNTIFS($U$2:$U60,$U60)=1,1,INDEX(KI:KI,_xlfn.XMATCH(U60,U$1:U59,0,-1))+COUNT(KI59:KM59))</f>
        <v>13</v>
      </c>
      <c r="KJ60">
        <f t="shared" si="118"/>
        <v>14</v>
      </c>
      <c r="KK60">
        <f t="shared" si="118"/>
        <v>15</v>
      </c>
      <c r="KN60">
        <v>1</v>
      </c>
      <c r="KO60" s="16">
        <v>2</v>
      </c>
      <c r="KS60" s="16"/>
    </row>
    <row r="61" spans="1:305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1431</v>
      </c>
      <c r="X61" t="str">
        <f>IF(COUNTIF(X$1:X60,X60)&gt;7,REPLACE(X60,LEN(X60),1,VALUE(RIGHT(X60,1))+1),X60)</f>
        <v>A3.3</v>
      </c>
      <c r="Y61" s="43" cm="1">
        <f t="array" ref="Y61">IF(COUNTIFS($X$2:$X61,$X61)=1,"1",VALUE(SUBSTITUTE(INDEX(Y:Y,_xlfn.XMATCH($X61,$X$1:$X60,0,-1)),"A",""))+INDEX(Z:Z,_xlfn.XMATCH($X61,$X$1:$X60,0,-1))+1)</f>
        <v>6</v>
      </c>
      <c r="Z61" s="43" cm="1">
        <f t="array" ref="Z61">SUM(IF(ISNUMBER(FIND("TmAi",$BE$1:$AAD$1)),IF(IFERROR(ISODD(SUBSTITUTE($BE61:$AAD61,"A","")),FALSE),IF(ISODD(SUBSTITUTE($BE61:$AAD61,"A","")),1,0),0)))</f>
        <v>0</v>
      </c>
      <c r="AA61" t="str">
        <f t="shared" si="116"/>
        <v>11B</v>
      </c>
      <c r="AB61" t="str">
        <f t="shared" si="117"/>
        <v>12B</v>
      </c>
      <c r="AP61" t="s">
        <v>137</v>
      </c>
      <c r="AS61" t="s">
        <v>396</v>
      </c>
      <c r="JZ61" s="27" t="str">
        <f t="shared" si="113"/>
        <v>XT55</v>
      </c>
      <c r="KC61" t="str">
        <f t="shared" si="114"/>
        <v>F0-AI3-11B</v>
      </c>
      <c r="KD61" t="str">
        <f t="shared" si="115"/>
        <v>F0-AI3-12B</v>
      </c>
      <c r="KI61" cm="1">
        <f t="array" ref="KI61">IF(COUNTIFS($U$2:$U61,$U61)=1,1,INDEX(KI:KI,_xlfn.XMATCH(U61,U$1:U60,0,-1))+COUNT(KI60:KM60))</f>
        <v>16</v>
      </c>
      <c r="KJ61">
        <f t="shared" si="118"/>
        <v>17</v>
      </c>
      <c r="KK61">
        <f t="shared" si="118"/>
        <v>18</v>
      </c>
      <c r="KN61">
        <v>1</v>
      </c>
      <c r="KO61" s="16">
        <v>2</v>
      </c>
      <c r="KS61" s="16"/>
    </row>
    <row r="62" spans="1:305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1432</v>
      </c>
      <c r="X62" t="str">
        <f>IF(COUNTIF(X$1:X61,X61)&gt;7,REPLACE(X61,LEN(X61),1,VALUE(RIGHT(X61,1))+1),X61)</f>
        <v>A3.3</v>
      </c>
      <c r="Y62" s="43" cm="1">
        <f t="array" ref="Y62">IF(COUNTIFS($X$2:$X62,$X62)=1,"1",VALUE(SUBSTITUTE(INDEX(Y:Y,_xlfn.XMATCH($X62,$X$1:$X61,0,-1)),"A",""))+INDEX(Z:Z,_xlfn.XMATCH($X62,$X$1:$X61,0,-1))+1)</f>
        <v>7</v>
      </c>
      <c r="Z62" s="43" cm="1">
        <f t="array" ref="Z62">SUM(IF(ISNUMBER(FIND("TmAi",$BE$1:$AAD$1)),IF(IFERROR(ISODD(SUBSTITUTE($BE62:$AAD62,"A","")),FALSE),IF(ISODD(SUBSTITUTE($BE62:$AAD62,"A","")),1,0),0)))</f>
        <v>0</v>
      </c>
      <c r="AA62" t="str">
        <f t="shared" si="116"/>
        <v>13B</v>
      </c>
      <c r="AB62" t="str">
        <f t="shared" si="117"/>
        <v>14B</v>
      </c>
      <c r="AP62" t="s">
        <v>137</v>
      </c>
      <c r="AS62" t="s">
        <v>396</v>
      </c>
      <c r="JZ62" s="27" t="str">
        <f t="shared" si="113"/>
        <v>XT55</v>
      </c>
      <c r="KC62" t="str">
        <f t="shared" si="114"/>
        <v>F0-AI3-13B</v>
      </c>
      <c r="KD62" t="str">
        <f t="shared" si="115"/>
        <v>F0-AI3-14B</v>
      </c>
      <c r="KI62" cm="1">
        <f t="array" ref="KI62">IF(COUNTIFS($U$2:$U62,$U62)=1,1,INDEX(KI:KI,_xlfn.XMATCH(U62,U$1:U61,0,-1))+COUNT(KI61:KM61))</f>
        <v>19</v>
      </c>
      <c r="KJ62">
        <f t="shared" si="118"/>
        <v>20</v>
      </c>
      <c r="KK62">
        <f t="shared" si="118"/>
        <v>21</v>
      </c>
      <c r="KN62">
        <v>1</v>
      </c>
      <c r="KO62" s="16">
        <v>2</v>
      </c>
      <c r="KS62" s="16"/>
    </row>
    <row r="63" spans="1:305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1433</v>
      </c>
      <c r="X63" s="33" t="str">
        <f>IF(COUNTIF(X$1:X62,X62)&gt;7,REPLACE(X62,LEN(X62),1,VALUE(RIGHT(X62,1))+1),X62)</f>
        <v>A3.3</v>
      </c>
      <c r="Y63" s="45" cm="1">
        <f t="array" ref="Y63">IF(COUNTIFS($X$2:$X63,$X63)=1,"1",VALUE(SUBSTITUTE(INDEX(Y:Y,_xlfn.XMATCH($X63,$X$1:$X62,0,-1)),"A",""))+INDEX(Z:Z,_xlfn.XMATCH($X63,$X$1:$X62,0,-1))+1)</f>
        <v>8</v>
      </c>
      <c r="Z63" s="43" cm="1">
        <f t="array" ref="Z63">SUM(IF(ISNUMBER(FIND("TmAi",$BE$1:$AAD$1)),IF(IFERROR(ISODD(SUBSTITUTE($BE63:$AAD63,"A","")),FALSE),IF(ISODD(SUBSTITUTE($BE63:$AAD63,"A","")),1,0),0)))</f>
        <v>0</v>
      </c>
      <c r="AA63" t="str">
        <f t="shared" si="116"/>
        <v>15B</v>
      </c>
      <c r="AB63" t="str">
        <f t="shared" si="117"/>
        <v>16B</v>
      </c>
      <c r="AP63" t="s">
        <v>137</v>
      </c>
      <c r="AS63" t="s">
        <v>396</v>
      </c>
      <c r="JZ63" s="27" t="str">
        <f t="shared" si="113"/>
        <v>XT55</v>
      </c>
      <c r="KC63" t="str">
        <f t="shared" si="114"/>
        <v>F0-AI3-15B</v>
      </c>
      <c r="KD63" t="str">
        <f t="shared" si="115"/>
        <v>F0-AI3-16B</v>
      </c>
      <c r="KI63" cm="1">
        <f t="array" ref="KI63">IF(COUNTIFS($U$2:$U63,$U63)=1,1,INDEX(KI:KI,_xlfn.XMATCH(U63,U$1:U62,0,-1))+COUNT(KI62:KM62))</f>
        <v>22</v>
      </c>
      <c r="KJ63">
        <f t="shared" si="118"/>
        <v>23</v>
      </c>
      <c r="KK63">
        <f t="shared" si="118"/>
        <v>24</v>
      </c>
      <c r="KN63">
        <v>1</v>
      </c>
      <c r="KO63" s="16">
        <v>2</v>
      </c>
      <c r="KS63" s="16"/>
    </row>
    <row r="64" spans="1:305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1434</v>
      </c>
      <c r="X64" t="str">
        <f>IF(COUNTIF(X$1:X63,X63)&gt;7,REPLACE(X63,LEN(X63),1,VALUE(RIGHT(X63,1))+1),X63)</f>
        <v>A3.4</v>
      </c>
      <c r="Y64" s="43" t="str" cm="1">
        <f t="array" ref="Y64">IF(COUNTIFS($X$2:$X64,$X64)=1,"1",VALUE(SUBSTITUTE(INDEX(Y:Y,_xlfn.XMATCH($X64,$X$1:$X63,0,-1)),"A",""))+INDEX(Z:Z,_xlfn.XMATCH($X64,$X$1:$X63,0,-1))+1)</f>
        <v>1</v>
      </c>
      <c r="Z64" s="43" cm="1">
        <f t="array" ref="Z64">SUM(IF(ISNUMBER(FIND("TmAi",$BE$1:$AAD$1)),IF(IFERROR(ISODD(SUBSTITUTE($BE64:$AAD64,"A","")),FALSE),IF(ISODD(SUBSTITUTE($BE64:$AAD64,"A","")),1,0),0)))</f>
        <v>0</v>
      </c>
      <c r="AA64" t="str">
        <f t="shared" si="116"/>
        <v>1B</v>
      </c>
      <c r="AB64" t="str">
        <f t="shared" si="117"/>
        <v>2B</v>
      </c>
      <c r="AP64" t="s">
        <v>137</v>
      </c>
      <c r="AS64" t="s">
        <v>396</v>
      </c>
      <c r="JZ64" s="27" t="str">
        <f t="shared" si="113"/>
        <v>XT55</v>
      </c>
      <c r="KC64" t="str">
        <f t="shared" si="114"/>
        <v>F0-AI4-1B</v>
      </c>
      <c r="KD64" t="str">
        <f t="shared" si="115"/>
        <v>F0-AI4-2B</v>
      </c>
      <c r="KI64" cm="1">
        <f t="array" ref="KI64">IF(COUNTIFS($U$2:$U64,$U64)=1,1,INDEX(KI:KI,_xlfn.XMATCH(U64,U$1:U63,0,-1))+COUNT(KI63:KM63))</f>
        <v>25</v>
      </c>
      <c r="KJ64">
        <f t="shared" si="118"/>
        <v>26</v>
      </c>
      <c r="KK64">
        <f t="shared" si="118"/>
        <v>27</v>
      </c>
      <c r="KN64">
        <v>1</v>
      </c>
      <c r="KO64" s="16">
        <v>2</v>
      </c>
      <c r="KS64" s="16"/>
    </row>
    <row r="65" spans="1:305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1435</v>
      </c>
      <c r="X65" t="str">
        <f>IF(COUNTIF(X$1:X64,X64)&gt;7,REPLACE(X64,LEN(X64),1,VALUE(RIGHT(X64,1))+1),X64)</f>
        <v>A3.4</v>
      </c>
      <c r="Y65" s="43" cm="1">
        <f t="array" ref="Y65">IF(COUNTIFS($X$2:$X65,$X65)=1,"1",VALUE(SUBSTITUTE(INDEX(Y:Y,_xlfn.XMATCH($X65,$X$1:$X64,0,-1)),"A",""))+INDEX(Z:Z,_xlfn.XMATCH($X65,$X$1:$X64,0,-1))+1)</f>
        <v>2</v>
      </c>
      <c r="Z65" s="43" cm="1">
        <f t="array" ref="Z65">SUM(IF(ISNUMBER(FIND("TmAi",$BE$1:$AAD$1)),IF(IFERROR(ISODD(SUBSTITUTE($BE65:$AAD65,"A","")),FALSE),IF(ISODD(SUBSTITUTE($BE65:$AAD65,"A","")),1,0),0)))</f>
        <v>0</v>
      </c>
      <c r="AA65" t="str">
        <f t="shared" si="116"/>
        <v>3B</v>
      </c>
      <c r="AB65" t="str">
        <f t="shared" si="117"/>
        <v>4B</v>
      </c>
      <c r="AP65" t="s">
        <v>137</v>
      </c>
      <c r="AS65" t="s">
        <v>396</v>
      </c>
      <c r="JZ65" s="27" t="str">
        <f t="shared" si="113"/>
        <v>XT55</v>
      </c>
      <c r="KC65" t="str">
        <f t="shared" si="114"/>
        <v>F0-AI4-3B</v>
      </c>
      <c r="KD65" t="str">
        <f t="shared" si="115"/>
        <v>F0-AI4-4B</v>
      </c>
      <c r="KI65" cm="1">
        <f t="array" ref="KI65">IF(COUNTIFS($U$2:$U65,$U65)=1,1,INDEX(KI:KI,_xlfn.XMATCH(U65,U$1:U64,0,-1))+COUNT(KI64:KM64))</f>
        <v>28</v>
      </c>
      <c r="KJ65">
        <f t="shared" si="118"/>
        <v>29</v>
      </c>
      <c r="KK65">
        <f t="shared" si="118"/>
        <v>30</v>
      </c>
      <c r="KN65">
        <v>1</v>
      </c>
      <c r="KO65" s="16">
        <v>2</v>
      </c>
      <c r="KS65" s="16"/>
    </row>
    <row r="66" spans="1:305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1436</v>
      </c>
      <c r="X66" t="str">
        <f>IF(COUNTIF(X$1:X65,X65)&gt;7,REPLACE(X65,LEN(X65),1,VALUE(RIGHT(X65,1))+1),X65)</f>
        <v>A3.4</v>
      </c>
      <c r="Y66" s="43" cm="1">
        <f t="array" ref="Y66">IF(COUNTIFS($X$2:$X66,$X66)=1,"1",VALUE(SUBSTITUTE(INDEX(Y:Y,_xlfn.XMATCH($X66,$X$1:$X65,0,-1)),"A",""))+INDEX(Z:Z,_xlfn.XMATCH($X66,$X$1:$X65,0,-1))+1)</f>
        <v>3</v>
      </c>
      <c r="Z66" s="43" cm="1">
        <f t="array" ref="Z66">SUM(IF(ISNUMBER(FIND("TmAi",$BE$1:$AAD$1)),IF(IFERROR(ISODD(SUBSTITUTE($BE66:$AAD66,"A","")),FALSE),IF(ISODD(SUBSTITUTE($BE66:$AAD66,"A","")),1,0),0)))</f>
        <v>0</v>
      </c>
      <c r="AA66" t="str">
        <f t="shared" si="116"/>
        <v>5B</v>
      </c>
      <c r="AB66" t="str">
        <f t="shared" si="117"/>
        <v>6B</v>
      </c>
      <c r="AP66" t="s">
        <v>137</v>
      </c>
      <c r="AS66" t="s">
        <v>396</v>
      </c>
      <c r="JZ66" s="27" t="str">
        <f t="shared" si="113"/>
        <v>XT55</v>
      </c>
      <c r="KC66" t="str">
        <f t="shared" si="114"/>
        <v>F0-AI4-5B</v>
      </c>
      <c r="KD66" t="str">
        <f t="shared" si="115"/>
        <v>F0-AI4-6B</v>
      </c>
      <c r="KI66" cm="1">
        <f t="array" ref="KI66">IF(COUNTIFS($U$2:$U66,$U66)=1,1,INDEX(KI:KI,_xlfn.XMATCH(U66,U$1:U65,0,-1))+COUNT(KI65:KM65))</f>
        <v>31</v>
      </c>
      <c r="KJ66">
        <f t="shared" si="118"/>
        <v>32</v>
      </c>
      <c r="KK66">
        <f t="shared" si="118"/>
        <v>33</v>
      </c>
      <c r="KN66">
        <v>1</v>
      </c>
      <c r="KO66" s="16">
        <v>2</v>
      </c>
      <c r="KS66" s="16"/>
    </row>
    <row r="67" spans="1:305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1437</v>
      </c>
      <c r="X67" t="str">
        <f>IF(COUNTIF(X$1:X66,X66)&gt;7,REPLACE(X66,LEN(X66),1,VALUE(RIGHT(X66,1))+1),X66)</f>
        <v>A3.4</v>
      </c>
      <c r="Y67" s="43" cm="1">
        <f t="array" ref="Y67">IF(COUNTIFS($X$2:$X67,$X67)=1,"1",VALUE(SUBSTITUTE(INDEX(Y:Y,_xlfn.XMATCH($X67,$X$1:$X66,0,-1)),"A",""))+INDEX(Z:Z,_xlfn.XMATCH($X67,$X$1:$X66,0,-1))+1)</f>
        <v>4</v>
      </c>
      <c r="Z67" s="43" cm="1">
        <f t="array" ref="Z67">SUM(IF(ISNUMBER(FIND("TmAi",$BE$1:$AAD$1)),IF(IFERROR(ISODD(SUBSTITUTE($BE67:$AAD67,"A","")),FALSE),IF(ISODD(SUBSTITUTE($BE67:$AAD67,"A","")),1,0),0)))</f>
        <v>0</v>
      </c>
      <c r="AA67" t="str">
        <f t="shared" si="116"/>
        <v>7B</v>
      </c>
      <c r="AB67" t="str">
        <f t="shared" si="117"/>
        <v>8B</v>
      </c>
      <c r="AP67" t="s">
        <v>137</v>
      </c>
      <c r="AS67" t="s">
        <v>396</v>
      </c>
      <c r="JZ67" s="27" t="str">
        <f t="shared" si="113"/>
        <v>XT55</v>
      </c>
      <c r="KC67" t="str">
        <f t="shared" si="114"/>
        <v>F0-AI4-7B</v>
      </c>
      <c r="KD67" t="str">
        <f t="shared" si="115"/>
        <v>F0-AI4-8B</v>
      </c>
      <c r="KI67" cm="1">
        <f t="array" ref="KI67">IF(COUNTIFS($U$2:$U67,$U67)=1,1,INDEX(KI:KI,_xlfn.XMATCH(U67,U$1:U66,0,-1))+COUNT(KI66:KM66))</f>
        <v>34</v>
      </c>
      <c r="KJ67">
        <f t="shared" si="118"/>
        <v>35</v>
      </c>
      <c r="KK67">
        <f t="shared" si="118"/>
        <v>36</v>
      </c>
      <c r="KN67">
        <v>1</v>
      </c>
      <c r="KO67" s="16">
        <v>2</v>
      </c>
      <c r="KS67" s="16"/>
    </row>
    <row r="68" spans="1:305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1438</v>
      </c>
      <c r="X68" s="33" t="str">
        <f>IF(COUNTIF(X$1:X67,X67)&gt;7,REPLACE(X67,LEN(X67),1,VALUE(RIGHT(X67,1))+1),X67)</f>
        <v>A3.4</v>
      </c>
      <c r="Y68" s="45" cm="1">
        <f t="array" ref="Y68">IF(COUNTIFS($X$2:$X68,$X68)=1,"1",VALUE(SUBSTITUTE(INDEX(Y:Y,_xlfn.XMATCH($X68,$X$1:$X67,0,-1)),"A",""))+INDEX(Z:Z,_xlfn.XMATCH($X68,$X$1:$X67,0,-1))+1)</f>
        <v>5</v>
      </c>
      <c r="Z68" s="43" cm="1">
        <f t="array" ref="Z68">SUM(IF(ISNUMBER(FIND("TmAi",$BE$1:$AAD$1)),IF(IFERROR(ISODD(SUBSTITUTE($BE68:$AAD68,"A","")),FALSE),IF(ISODD(SUBSTITUTE($BE68:$AAD68,"A","")),1,0),0)))</f>
        <v>0</v>
      </c>
      <c r="AA68" t="str">
        <f>CONCATENATE($Y68*2-1,"A")</f>
        <v>9A</v>
      </c>
      <c r="AB68" t="str">
        <f>CONCATENATE($Y68*2-1,"B")</f>
        <v>9B</v>
      </c>
      <c r="AP68" t="s">
        <v>137</v>
      </c>
      <c r="AS68" t="s">
        <v>396</v>
      </c>
      <c r="JZ68" s="27" t="str">
        <f t="shared" si="113"/>
        <v>XT55</v>
      </c>
      <c r="KC68" t="str">
        <f t="shared" si="114"/>
        <v>F0-AI4-9A</v>
      </c>
      <c r="KD68" t="str">
        <f t="shared" si="115"/>
        <v>F0-AI4-9B</v>
      </c>
      <c r="KG68" t="s">
        <v>488</v>
      </c>
      <c r="KH68" t="s">
        <v>487</v>
      </c>
      <c r="KI68" cm="1">
        <f t="array" ref="KI68">IF(COUNTIFS($U$2:$U68,$U68)=1,1,INDEX(KI:KI,_xlfn.XMATCH(U68,U$1:U67,0,-1))+COUNT(KI67:KM67))</f>
        <v>37</v>
      </c>
      <c r="KJ68">
        <f t="shared" si="118"/>
        <v>38</v>
      </c>
      <c r="KK68">
        <f t="shared" si="118"/>
        <v>39</v>
      </c>
      <c r="KL68">
        <f t="shared" si="118"/>
        <v>40</v>
      </c>
      <c r="KM68">
        <f t="shared" si="118"/>
        <v>41</v>
      </c>
      <c r="KN68" t="s">
        <v>547</v>
      </c>
      <c r="KO68" s="16" t="s">
        <v>548</v>
      </c>
      <c r="KP68" t="s">
        <v>547</v>
      </c>
      <c r="KQ68" t="s">
        <v>548</v>
      </c>
      <c r="KR68" t="s">
        <v>551</v>
      </c>
      <c r="KS68" s="16" t="s">
        <v>552</v>
      </c>
    </row>
    <row r="69" spans="1:305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1439</v>
      </c>
      <c r="X69" t="s">
        <v>1281</v>
      </c>
      <c r="Y69" s="43" t="str" cm="1">
        <f t="array" ref="Y69">IF(COUNTIFS($X$2:$X69,$X69)=1,"1",VALUE(SUBSTITUTE(INDEX(Y:Y,_xlfn.XMATCH($X69,$X$1:$X68,0,-1)),"A",""))+INDEX(Z:Z,_xlfn.XMATCH($X69,$X$1:$X68,0,-1))+1)</f>
        <v>1</v>
      </c>
      <c r="Z69" s="43" cm="1">
        <f t="array" ref="Z69">SUM(IF(ISNUMBER(FIND("TmAi",$BE$1:$AAD$1)),IF(IFERROR(ISODD(SUBSTITUTE($BE69:$AAD69,"A","")),FALSE),IF(ISODD(SUBSTITUTE($BE69:$AAD69,"A","")),1,0),0)))</f>
        <v>0</v>
      </c>
      <c r="AA69" t="str">
        <f>CONCATENATE($Y69*2-1,"A")</f>
        <v>1A</v>
      </c>
      <c r="AB69" t="str">
        <f>CONCATENATE($Y69*2-1,"B")</f>
        <v>1B</v>
      </c>
      <c r="AP69" t="s">
        <v>137</v>
      </c>
      <c r="AS69" t="s">
        <v>396</v>
      </c>
      <c r="JZ69" s="27" t="str">
        <f t="shared" si="113"/>
        <v>XT55</v>
      </c>
      <c r="KA69" t="str">
        <f>REPLACE(AA69,1,1,LEFT(AA69,1)+1)</f>
        <v>2A</v>
      </c>
      <c r="KB69" t="str">
        <f>REPLACE(AB69,1,1,LEFT(AB69,1)+1)</f>
        <v>2B</v>
      </c>
      <c r="KC69" t="str">
        <f t="shared" si="114"/>
        <v>F0-AI34-1A</v>
      </c>
      <c r="KD69" t="str">
        <f t="shared" si="115"/>
        <v>F0-AI34-1B</v>
      </c>
      <c r="KE69" t="str">
        <f>CONCATENATE($T69,"-AI",REPLACE($X69,1,3,""),"-",KA69)</f>
        <v>F0-AI34-2A</v>
      </c>
      <c r="KF69" t="str">
        <f>CONCATENATE($T69,"-AI",REPLACE($X69,1,3,""),"-",KB69)</f>
        <v>F0-AI34-2B</v>
      </c>
      <c r="KI69" cm="1">
        <f t="array" ref="KI69">IF(COUNTIFS($U$2:$U69,$U69)=1,1,INDEX(KI:KI,_xlfn.XMATCH(U69,U$1:U68,0,-1))+COUNT(KI68:KM68))</f>
        <v>42</v>
      </c>
      <c r="KJ69">
        <f>KI69+1</f>
        <v>43</v>
      </c>
      <c r="KK69">
        <f>KJ69+1</f>
        <v>44</v>
      </c>
      <c r="KL69">
        <f>KK69+1</f>
        <v>45</v>
      </c>
      <c r="KN69">
        <v>1</v>
      </c>
      <c r="KO69" s="16">
        <v>2</v>
      </c>
      <c r="KP69">
        <v>3</v>
      </c>
      <c r="KQ69">
        <v>4</v>
      </c>
      <c r="KS69" s="16"/>
    </row>
    <row r="70" spans="1:305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1440</v>
      </c>
      <c r="X70" s="33" t="str">
        <f>IF(COUNTIF(X$1:X69,X69)&gt;3,REPLACE(X69,LEN(X69),1,VALUE(RIGHT(X69,1))+1),X69)</f>
        <v>A3.34</v>
      </c>
      <c r="Y70" s="45" cm="1">
        <f t="array" ref="Y70">IF(COUNTIFS($X$2:$X70,$X70)=1,"1",VALUE(SUBSTITUTE(INDEX(Y:Y,_xlfn.XMATCH($X70,$X$1:$X69,0,-1)),"A",""))+INDEX(Z:Z,_xlfn.XMATCH($X70,$X$1:$X69,0,-1))+1)</f>
        <v>2</v>
      </c>
      <c r="Z70" s="43" cm="1">
        <f t="array" ref="Z70">SUM(IF(ISNUMBER(FIND("TmAi",$BE$1:$AAD$1)),IF(IFERROR(ISODD(SUBSTITUTE($BE70:$AAD70,"A","")),FALSE),IF(ISODD(SUBSTITUTE($BE70:$AAD70,"A","")),1,0),0)))</f>
        <v>0</v>
      </c>
      <c r="AA70" t="str">
        <f>CONCATENATE($Y70*2-1,"A")</f>
        <v>3A</v>
      </c>
      <c r="AB70" t="str">
        <f>CONCATENATE($Y70*2-1,"B")</f>
        <v>3B</v>
      </c>
      <c r="AP70" t="s">
        <v>137</v>
      </c>
      <c r="AS70" t="s">
        <v>396</v>
      </c>
      <c r="JZ70" s="27" t="str">
        <f t="shared" si="113"/>
        <v>XT55</v>
      </c>
      <c r="KA70" t="str">
        <f>REPLACE(AA70,1,1,LEFT(AA70,1)+1)</f>
        <v>4A</v>
      </c>
      <c r="KB70" t="str">
        <f>REPLACE(AB70,1,1,LEFT(AB70,1)+1)</f>
        <v>4B</v>
      </c>
      <c r="KC70" t="str">
        <f t="shared" si="114"/>
        <v>F0-AI34-3A</v>
      </c>
      <c r="KD70" t="str">
        <f t="shared" si="115"/>
        <v>F0-AI34-3B</v>
      </c>
      <c r="KE70" t="str">
        <f>CONCATENATE($T70,"-AI",REPLACE($X70,1,3,""),"-",KA70)</f>
        <v>F0-AI34-4A</v>
      </c>
      <c r="KF70" t="str">
        <f>CONCATENATE($T70,"-AI",REPLACE($X70,1,3,""),"-",KB70)</f>
        <v>F0-AI34-4B</v>
      </c>
      <c r="KI70" cm="1">
        <f t="array" ref="KI70">IF(COUNTIFS($U$2:$U70,$U70)=1,1,INDEX(KI:KI,_xlfn.XMATCH(U70,U$1:U69,0,-1))+COUNT(KI69:KM69))</f>
        <v>46</v>
      </c>
      <c r="KJ70">
        <f t="shared" ref="KJ70:KM85" si="119">KI70+1</f>
        <v>47</v>
      </c>
      <c r="KK70">
        <f t="shared" si="119"/>
        <v>48</v>
      </c>
      <c r="KL70">
        <f t="shared" si="119"/>
        <v>49</v>
      </c>
      <c r="KN70">
        <v>1</v>
      </c>
      <c r="KO70" s="16">
        <v>2</v>
      </c>
      <c r="KP70">
        <v>3</v>
      </c>
      <c r="KQ70">
        <v>4</v>
      </c>
      <c r="KS70" s="16"/>
    </row>
    <row r="71" spans="1:305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1441</v>
      </c>
      <c r="X71" t="s">
        <v>509</v>
      </c>
      <c r="Y71" s="43" cm="1">
        <f t="array" ref="Y71">IF(COUNTIFS($X$2:$X71,$X71)=1,"1",VALUE(SUBSTITUTE(INDEX(Y:Y,_xlfn.XMATCH($X71,$X$1:$X70,0,-1)),"A",""))+INDEX(Z:Z,_xlfn.XMATCH($X71,$X$1:$X70,0,-1))+1)</f>
        <v>6</v>
      </c>
      <c r="Z71" s="43" cm="1">
        <f t="array" ref="Z71">SUM(IF(ISNUMBER(FIND("TmAi",$BE$1:$AAD$1)),IF(IFERROR(ISODD(SUBSTITUTE($BE71:$AAD71,"A","")),FALSE),IF(ISODD(SUBSTITUTE($BE71:$AAD71,"A","")),1,0),0)))</f>
        <v>0</v>
      </c>
      <c r="AA71" t="str">
        <f t="shared" ref="AA71:AA75" si="120">CONCATENATE($Y71*2-1,"B")</f>
        <v>11B</v>
      </c>
      <c r="AB71" t="str">
        <f t="shared" ref="AB71:AB75" si="121">CONCATENATE($Y71*2,"B")</f>
        <v>12B</v>
      </c>
      <c r="AP71" t="s">
        <v>137</v>
      </c>
      <c r="AS71" t="s">
        <v>396</v>
      </c>
      <c r="JZ71" s="27" t="str">
        <f t="shared" si="113"/>
        <v>XT55</v>
      </c>
      <c r="KC71" t="str">
        <f t="shared" si="114"/>
        <v>F0-AI4-11B</v>
      </c>
      <c r="KD71" t="str">
        <f t="shared" si="115"/>
        <v>F0-AI4-12B</v>
      </c>
      <c r="KI71" cm="1">
        <f t="array" ref="KI71">IF(COUNTIFS($U$2:$U71,$U71)=1,1,INDEX(KI:KI,_xlfn.XMATCH(U71,U$1:U70,0,-1))+COUNT(KI70:KM70))</f>
        <v>50</v>
      </c>
      <c r="KJ71">
        <f t="shared" si="119"/>
        <v>51</v>
      </c>
      <c r="KK71">
        <f t="shared" si="119"/>
        <v>52</v>
      </c>
      <c r="KN71">
        <v>1</v>
      </c>
      <c r="KO71" s="16">
        <v>2</v>
      </c>
      <c r="KS71" s="16"/>
    </row>
    <row r="72" spans="1:305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1442</v>
      </c>
      <c r="X72" t="str">
        <f>IF(COUNTIF(X$1:X71,X71)&gt;7,REPLACE(X71,LEN(X71),1,VALUE(RIGHT(X71,1))+1),X71)</f>
        <v>A3.4</v>
      </c>
      <c r="Y72" s="43" cm="1">
        <f t="array" ref="Y72">IF(COUNTIFS($X$2:$X72,$X72)=1,"1",VALUE(SUBSTITUTE(INDEX(Y:Y,_xlfn.XMATCH($X72,$X$1:$X71,0,-1)),"A",""))+INDEX(Z:Z,_xlfn.XMATCH($X72,$X$1:$X71,0,-1))+1)</f>
        <v>7</v>
      </c>
      <c r="Z72" s="43" cm="1">
        <f t="array" ref="Z72">SUM(IF(ISNUMBER(FIND("TmAi",$BE$1:$AAD$1)),IF(IFERROR(ISODD(SUBSTITUTE($BE72:$AAD72,"A","")),FALSE),IF(ISODD(SUBSTITUTE($BE72:$AAD72,"A","")),1,0),0)))</f>
        <v>0</v>
      </c>
      <c r="AA72" t="str">
        <f t="shared" si="120"/>
        <v>13B</v>
      </c>
      <c r="AB72" t="str">
        <f t="shared" si="121"/>
        <v>14B</v>
      </c>
      <c r="AP72" t="s">
        <v>137</v>
      </c>
      <c r="AS72" t="s">
        <v>396</v>
      </c>
      <c r="JZ72" s="27" t="str">
        <f t="shared" si="113"/>
        <v>XT55</v>
      </c>
      <c r="KC72" t="str">
        <f t="shared" si="114"/>
        <v>F0-AI4-13B</v>
      </c>
      <c r="KD72" t="str">
        <f t="shared" si="115"/>
        <v>F0-AI4-14B</v>
      </c>
      <c r="KI72" cm="1">
        <f t="array" ref="KI72">IF(COUNTIFS($U$2:$U72,$U72)=1,1,INDEX(KI:KI,_xlfn.XMATCH(U72,U$1:U71,0,-1))+COUNT(KI71:KM71))</f>
        <v>53</v>
      </c>
      <c r="KJ72">
        <f t="shared" si="119"/>
        <v>54</v>
      </c>
      <c r="KK72">
        <f t="shared" si="119"/>
        <v>55</v>
      </c>
      <c r="KN72">
        <v>1</v>
      </c>
      <c r="KO72" s="16">
        <v>2</v>
      </c>
      <c r="KS72" s="16"/>
    </row>
    <row r="73" spans="1:305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1443</v>
      </c>
      <c r="X73" s="33" t="str">
        <f>IF(COUNTIF(X$1:X72,X72)&gt;7,REPLACE(X72,LEN(X72),1,VALUE(RIGHT(X72,1))+1),X72)</f>
        <v>A3.4</v>
      </c>
      <c r="Y73" s="45" cm="1">
        <f t="array" ref="Y73">IF(COUNTIFS($X$2:$X73,$X73)=1,"1",VALUE(SUBSTITUTE(INDEX(Y:Y,_xlfn.XMATCH($X73,$X$1:$X72,0,-1)),"A",""))+INDEX(Z:Z,_xlfn.XMATCH($X73,$X$1:$X72,0,-1))+1)</f>
        <v>8</v>
      </c>
      <c r="Z73" s="43" cm="1">
        <f t="array" ref="Z73">SUM(IF(ISNUMBER(FIND("TmAi",$BE$1:$AAD$1)),IF(IFERROR(ISODD(SUBSTITUTE($BE73:$AAD73,"A","")),FALSE),IF(ISODD(SUBSTITUTE($BE73:$AAD73,"A","")),1,0),0)))</f>
        <v>0</v>
      </c>
      <c r="AA73" t="str">
        <f t="shared" si="120"/>
        <v>15B</v>
      </c>
      <c r="AB73" t="str">
        <f t="shared" si="121"/>
        <v>16B</v>
      </c>
      <c r="AP73" t="s">
        <v>137</v>
      </c>
      <c r="AS73" t="s">
        <v>396</v>
      </c>
      <c r="JZ73" s="27" t="str">
        <f t="shared" si="113"/>
        <v>XT55</v>
      </c>
      <c r="KC73" t="str">
        <f t="shared" si="114"/>
        <v>F0-AI4-15B</v>
      </c>
      <c r="KD73" t="str">
        <f t="shared" si="115"/>
        <v>F0-AI4-16B</v>
      </c>
      <c r="KI73" cm="1">
        <f t="array" ref="KI73">IF(COUNTIFS($U$2:$U73,$U73)=1,1,INDEX(KI:KI,_xlfn.XMATCH(U73,U$1:U72,0,-1))+COUNT(KI72:KM72))</f>
        <v>56</v>
      </c>
      <c r="KJ73">
        <f t="shared" si="119"/>
        <v>57</v>
      </c>
      <c r="KK73">
        <f t="shared" si="119"/>
        <v>58</v>
      </c>
      <c r="KN73">
        <v>1</v>
      </c>
      <c r="KO73" s="16">
        <v>2</v>
      </c>
      <c r="KS73" s="16"/>
    </row>
    <row r="74" spans="1:305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1444</v>
      </c>
      <c r="X74" t="str">
        <f>IF(COUNTIF(X$1:X73,X73)&gt;7,REPLACE(X73,LEN(X73),1,VALUE(RIGHT(X73,1))+1),X73)</f>
        <v>A3.5</v>
      </c>
      <c r="Y74" s="43" t="str" cm="1">
        <f t="array" ref="Y74">IF(COUNTIFS($X$2:$X74,$X74)=1,"1",VALUE(SUBSTITUTE(INDEX(Y:Y,_xlfn.XMATCH($X74,$X$1:$X73,0,-1)),"A",""))+INDEX(Z:Z,_xlfn.XMATCH($X74,$X$1:$X73,0,-1))+1)</f>
        <v>1</v>
      </c>
      <c r="Z74" s="43" cm="1">
        <f t="array" ref="Z74">SUM(IF(ISNUMBER(FIND("TmAi",$BE$1:$AAD$1)),IF(IFERROR(ISODD(SUBSTITUTE($BE74:$AAD74,"A","")),FALSE),IF(ISODD(SUBSTITUTE($BE74:$AAD74,"A","")),1,0),0)))</f>
        <v>0</v>
      </c>
      <c r="AA74" t="str">
        <f t="shared" si="120"/>
        <v>1B</v>
      </c>
      <c r="AB74" t="str">
        <f t="shared" si="121"/>
        <v>2B</v>
      </c>
      <c r="AP74" t="s">
        <v>137</v>
      </c>
      <c r="AS74" t="s">
        <v>396</v>
      </c>
      <c r="JZ74" s="27" t="str">
        <f t="shared" si="113"/>
        <v>XT55</v>
      </c>
      <c r="KC74" t="str">
        <f t="shared" si="114"/>
        <v>F0-AI5-1B</v>
      </c>
      <c r="KD74" t="str">
        <f t="shared" si="115"/>
        <v>F0-AI5-2B</v>
      </c>
      <c r="KI74" cm="1">
        <f t="array" ref="KI74">IF(COUNTIFS($U$2:$U74,$U74)=1,1,INDEX(KI:KI,_xlfn.XMATCH(U74,U$1:U73,0,-1))+COUNT(KI73:KM73))</f>
        <v>59</v>
      </c>
      <c r="KJ74">
        <f t="shared" si="119"/>
        <v>60</v>
      </c>
      <c r="KK74">
        <f t="shared" si="119"/>
        <v>61</v>
      </c>
      <c r="KN74">
        <v>1</v>
      </c>
      <c r="KO74" s="16">
        <v>2</v>
      </c>
      <c r="KS74" s="16"/>
    </row>
    <row r="75" spans="1:305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1445</v>
      </c>
      <c r="X75" t="str">
        <f>IF(COUNTIF(X$1:X74,X74)&gt;7,REPLACE(X74,LEN(X74),1,VALUE(RIGHT(X74,1))+1),X74)</f>
        <v>A3.5</v>
      </c>
      <c r="Y75" s="43" cm="1">
        <f t="array" ref="Y75">IF(COUNTIFS($X$2:$X75,$X75)=1,"1",VALUE(SUBSTITUTE(INDEX(Y:Y,_xlfn.XMATCH($X75,$X$1:$X74,0,-1)),"A",""))+INDEX(Z:Z,_xlfn.XMATCH($X75,$X$1:$X74,0,-1))+1)</f>
        <v>2</v>
      </c>
      <c r="Z75" s="43" cm="1">
        <f t="array" ref="Z75">SUM(IF(ISNUMBER(FIND("TmAi",$BE$1:$AAD$1)),IF(IFERROR(ISODD(SUBSTITUTE($BE75:$AAD75,"A","")),FALSE),IF(ISODD(SUBSTITUTE($BE75:$AAD75,"A","")),1,0),0)))</f>
        <v>0</v>
      </c>
      <c r="AA75" t="str">
        <f t="shared" si="120"/>
        <v>3B</v>
      </c>
      <c r="AB75" t="str">
        <f t="shared" si="121"/>
        <v>4B</v>
      </c>
      <c r="AP75" t="s">
        <v>137</v>
      </c>
      <c r="AS75" t="s">
        <v>396</v>
      </c>
      <c r="JZ75" s="27" t="str">
        <f t="shared" si="113"/>
        <v>XT55</v>
      </c>
      <c r="KC75" t="str">
        <f t="shared" si="114"/>
        <v>F0-AI5-3B</v>
      </c>
      <c r="KD75" t="str">
        <f t="shared" si="115"/>
        <v>F0-AI5-4B</v>
      </c>
      <c r="KI75" cm="1">
        <f t="array" ref="KI75">IF(COUNTIFS($U$2:$U75,$U75)=1,1,INDEX(KI:KI,_xlfn.XMATCH(U75,U$1:U74,0,-1))+COUNT(KI74:KM74))</f>
        <v>62</v>
      </c>
      <c r="KJ75">
        <f t="shared" si="119"/>
        <v>63</v>
      </c>
      <c r="KK75">
        <f t="shared" si="119"/>
        <v>64</v>
      </c>
      <c r="KN75">
        <v>1</v>
      </c>
      <c r="KO75" s="16">
        <v>2</v>
      </c>
      <c r="KS75" s="16"/>
    </row>
    <row r="76" spans="1:305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1446</v>
      </c>
      <c r="X76" t="str">
        <f>IF(COUNTIF(X$1:X75,X75)&gt;7,REPLACE(X75,LEN(X75),1,VALUE(RIGHT(X75,1))+1),X75)</f>
        <v>A3.5</v>
      </c>
      <c r="Y76" s="43" cm="1">
        <f t="array" ref="Y76">IF(COUNTIFS($X$2:$X76,$X76)=1,"1",VALUE(SUBSTITUTE(INDEX(Y:Y,_xlfn.XMATCH($X76,$X$1:$X75,0,-1)),"A",""))+INDEX(Z:Z,_xlfn.XMATCH($X76,$X$1:$X75,0,-1))+1)</f>
        <v>3</v>
      </c>
      <c r="Z76" s="43" cm="1">
        <f t="array" ref="Z76">SUM(IF(ISNUMBER(FIND("TmAi",$BE$1:$AAD$1)),IF(IFERROR(ISODD(SUBSTITUTE($BE76:$AAD76,"A","")),FALSE),IF(ISODD(SUBSTITUTE($BE76:$AAD76,"A","")),1,0),0)))</f>
        <v>0</v>
      </c>
      <c r="AA76" t="str">
        <f>CONCATENATE($Y76*2-1,"A")</f>
        <v>5A</v>
      </c>
      <c r="AB76" t="str">
        <f>CONCATENATE($Y76*2-1,"B")</f>
        <v>5B</v>
      </c>
      <c r="AP76" t="s">
        <v>137</v>
      </c>
      <c r="AS76" t="s">
        <v>396</v>
      </c>
      <c r="JZ76" s="27" t="str">
        <f t="shared" si="113"/>
        <v>XT55</v>
      </c>
      <c r="KC76" t="str">
        <f t="shared" si="114"/>
        <v>F0-AI5-5A</v>
      </c>
      <c r="KD76" t="str">
        <f t="shared" si="115"/>
        <v>F0-AI5-5B</v>
      </c>
      <c r="KG76" t="s">
        <v>488</v>
      </c>
      <c r="KH76" t="s">
        <v>487</v>
      </c>
      <c r="KI76" cm="1">
        <f t="array" ref="KI76">IF(COUNTIFS($U$2:$U76,$U76)=1,1,INDEX(KI:KI,_xlfn.XMATCH(U76,U$1:U75,0,-1))+COUNT(KI75:KM75))</f>
        <v>65</v>
      </c>
      <c r="KJ76">
        <f t="shared" si="119"/>
        <v>66</v>
      </c>
      <c r="KK76">
        <f t="shared" si="119"/>
        <v>67</v>
      </c>
      <c r="KL76">
        <f t="shared" si="119"/>
        <v>68</v>
      </c>
      <c r="KM76">
        <f t="shared" si="119"/>
        <v>69</v>
      </c>
      <c r="KN76" t="s">
        <v>547</v>
      </c>
      <c r="KO76" s="16" t="s">
        <v>548</v>
      </c>
      <c r="KP76" t="s">
        <v>547</v>
      </c>
      <c r="KQ76" t="s">
        <v>548</v>
      </c>
      <c r="KR76" t="s">
        <v>551</v>
      </c>
      <c r="KS76" s="16" t="s">
        <v>552</v>
      </c>
    </row>
    <row r="77" spans="1:305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1447</v>
      </c>
      <c r="X77" t="str">
        <f>IF(COUNTIF(X$1:X76,X76)&gt;7,REPLACE(X76,LEN(X76),1,VALUE(RIGHT(X76,1))+1),X76)</f>
        <v>A3.5</v>
      </c>
      <c r="Y77" s="43" cm="1">
        <f t="array" ref="Y77">IF(COUNTIFS($X$2:$X77,$X77)=1,"1",VALUE(SUBSTITUTE(INDEX(Y:Y,_xlfn.XMATCH($X77,$X$1:$X76,0,-1)),"A",""))+INDEX(Z:Z,_xlfn.XMATCH($X77,$X$1:$X76,0,-1))+1)</f>
        <v>4</v>
      </c>
      <c r="Z77" s="43" cm="1">
        <f t="array" ref="Z77">SUM(IF(ISNUMBER(FIND("TmAi",$BE$1:$AAD$1)),IF(IFERROR(ISODD(SUBSTITUTE($BE77:$AAD77,"A","")),FALSE),IF(ISODD(SUBSTITUTE($BE77:$AAD77,"A","")),1,0),0)))</f>
        <v>0</v>
      </c>
      <c r="AA77" t="str">
        <f t="shared" ref="AA77:AA88" si="122">CONCATENATE($Y77*2-1,"B")</f>
        <v>7B</v>
      </c>
      <c r="AB77" t="str">
        <f t="shared" ref="AB77:AB88" si="123">CONCATENATE($Y77*2,"B")</f>
        <v>8B</v>
      </c>
      <c r="AP77" t="s">
        <v>137</v>
      </c>
      <c r="AS77" t="s">
        <v>396</v>
      </c>
      <c r="JZ77" s="27" t="str">
        <f t="shared" si="113"/>
        <v>XT55</v>
      </c>
      <c r="KC77" t="str">
        <f t="shared" si="114"/>
        <v>F0-AI5-7B</v>
      </c>
      <c r="KD77" t="str">
        <f t="shared" si="115"/>
        <v>F0-AI5-8B</v>
      </c>
      <c r="KI77" cm="1">
        <f t="array" ref="KI77">IF(COUNTIFS($U$2:$U77,$U77)=1,1,INDEX(KI:KI,_xlfn.XMATCH(U77,U$1:U76,0,-1))+COUNT(KI76:KM76))</f>
        <v>70</v>
      </c>
      <c r="KJ77">
        <f t="shared" si="119"/>
        <v>71</v>
      </c>
      <c r="KK77">
        <f t="shared" si="119"/>
        <v>72</v>
      </c>
      <c r="KN77">
        <v>1</v>
      </c>
      <c r="KO77" s="16">
        <v>2</v>
      </c>
      <c r="KS77" s="16"/>
    </row>
    <row r="78" spans="1:305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1448</v>
      </c>
      <c r="X78" t="str">
        <f>IF(COUNTIF(X$1:X77,X77)&gt;7,REPLACE(X77,LEN(X77),1,VALUE(RIGHT(X77,1))+1),X77)</f>
        <v>A3.5</v>
      </c>
      <c r="Y78" s="43" cm="1">
        <f t="array" ref="Y78">IF(COUNTIFS($X$2:$X78,$X78)=1,"1",VALUE(SUBSTITUTE(INDEX(Y:Y,_xlfn.XMATCH($X78,$X$1:$X77,0,-1)),"A",""))+INDEX(Z:Z,_xlfn.XMATCH($X78,$X$1:$X77,0,-1))+1)</f>
        <v>5</v>
      </c>
      <c r="Z78" s="43" cm="1">
        <f t="array" ref="Z78">SUM(IF(ISNUMBER(FIND("TmAi",$BE$1:$AAD$1)),IF(IFERROR(ISODD(SUBSTITUTE($BE78:$AAD78,"A","")),FALSE),IF(ISODD(SUBSTITUTE($BE78:$AAD78,"A","")),1,0),0)))</f>
        <v>0</v>
      </c>
      <c r="AA78" t="str">
        <f t="shared" si="122"/>
        <v>9B</v>
      </c>
      <c r="AB78" t="str">
        <f t="shared" si="123"/>
        <v>10B</v>
      </c>
      <c r="AP78" t="s">
        <v>137</v>
      </c>
      <c r="AS78" t="s">
        <v>396</v>
      </c>
      <c r="JZ78" s="27" t="str">
        <f t="shared" si="113"/>
        <v>XT55</v>
      </c>
      <c r="KC78" t="str">
        <f t="shared" si="114"/>
        <v>F0-AI5-9B</v>
      </c>
      <c r="KD78" t="str">
        <f t="shared" si="115"/>
        <v>F0-AI5-10B</v>
      </c>
      <c r="KI78" cm="1">
        <f t="array" ref="KI78">IF(COUNTIFS($U$2:$U78,$U78)=1,1,INDEX(KI:KI,_xlfn.XMATCH(U78,U$1:U77,0,-1))+COUNT(KI77:KM77))</f>
        <v>73</v>
      </c>
      <c r="KJ78">
        <f t="shared" si="119"/>
        <v>74</v>
      </c>
      <c r="KK78">
        <f t="shared" si="119"/>
        <v>75</v>
      </c>
      <c r="KN78">
        <v>1</v>
      </c>
      <c r="KO78" s="16">
        <v>2</v>
      </c>
      <c r="KS78" s="16"/>
    </row>
    <row r="79" spans="1:305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1449</v>
      </c>
      <c r="X79" t="str">
        <f>IF(COUNTIF(X$1:X78,X78)&gt;7,REPLACE(X78,LEN(X78),1,VALUE(RIGHT(X78,1))+1),X78)</f>
        <v>A3.5</v>
      </c>
      <c r="Y79" s="43" cm="1">
        <f t="array" ref="Y79">IF(COUNTIFS($X$2:$X79,$X79)=1,"1",VALUE(SUBSTITUTE(INDEX(Y:Y,_xlfn.XMATCH($X79,$X$1:$X78,0,-1)),"A",""))+INDEX(Z:Z,_xlfn.XMATCH($X79,$X$1:$X78,0,-1))+1)</f>
        <v>6</v>
      </c>
      <c r="Z79" s="43" cm="1">
        <f t="array" ref="Z79">SUM(IF(ISNUMBER(FIND("TmAi",$BE$1:$AAD$1)),IF(IFERROR(ISODD(SUBSTITUTE($BE79:$AAD79,"A","")),FALSE),IF(ISODD(SUBSTITUTE($BE79:$AAD79,"A","")),1,0),0)))</f>
        <v>0</v>
      </c>
      <c r="AA79" t="str">
        <f t="shared" si="122"/>
        <v>11B</v>
      </c>
      <c r="AB79" t="str">
        <f t="shared" si="123"/>
        <v>12B</v>
      </c>
      <c r="AP79" t="s">
        <v>137</v>
      </c>
      <c r="AS79" t="s">
        <v>396</v>
      </c>
      <c r="JZ79" s="27" t="str">
        <f t="shared" si="113"/>
        <v>XT55</v>
      </c>
      <c r="KC79" t="str">
        <f t="shared" si="114"/>
        <v>F0-AI5-11B</v>
      </c>
      <c r="KD79" t="str">
        <f t="shared" si="115"/>
        <v>F0-AI5-12B</v>
      </c>
      <c r="KI79" cm="1">
        <f t="array" ref="KI79">IF(COUNTIFS($U$2:$U79,$U79)=1,1,INDEX(KI:KI,_xlfn.XMATCH(U79,U$1:U78,0,-1))+COUNT(KI78:KM78))</f>
        <v>76</v>
      </c>
      <c r="KJ79">
        <f t="shared" si="119"/>
        <v>77</v>
      </c>
      <c r="KK79">
        <f t="shared" si="119"/>
        <v>78</v>
      </c>
      <c r="KN79">
        <v>1</v>
      </c>
      <c r="KO79" s="16">
        <v>2</v>
      </c>
      <c r="KS79" s="16"/>
    </row>
    <row r="80" spans="1:305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1450</v>
      </c>
      <c r="X80" t="str">
        <f>IF(COUNTIF(X$1:X79,X79)&gt;7,REPLACE(X79,LEN(X79),1,VALUE(RIGHT(X79,1))+1),X79)</f>
        <v>A3.5</v>
      </c>
      <c r="Y80" s="43" cm="1">
        <f t="array" ref="Y80">IF(COUNTIFS($X$2:$X80,$X80)=1,"1",VALUE(SUBSTITUTE(INDEX(Y:Y,_xlfn.XMATCH($X80,$X$1:$X79,0,-1)),"A",""))+INDEX(Z:Z,_xlfn.XMATCH($X80,$X$1:$X79,0,-1))+1)</f>
        <v>7</v>
      </c>
      <c r="Z80" s="43" cm="1">
        <f t="array" ref="Z80">SUM(IF(ISNUMBER(FIND("TmAi",$BE$1:$AAD$1)),IF(IFERROR(ISODD(SUBSTITUTE($BE80:$AAD80,"A","")),FALSE),IF(ISODD(SUBSTITUTE($BE80:$AAD80,"A","")),1,0),0)))</f>
        <v>0</v>
      </c>
      <c r="AA80" t="str">
        <f t="shared" si="122"/>
        <v>13B</v>
      </c>
      <c r="AB80" t="str">
        <f t="shared" si="123"/>
        <v>14B</v>
      </c>
      <c r="AP80" t="s">
        <v>137</v>
      </c>
      <c r="AS80" t="s">
        <v>396</v>
      </c>
      <c r="JZ80" s="27" t="str">
        <f t="shared" si="113"/>
        <v>XT55</v>
      </c>
      <c r="KC80" t="str">
        <f t="shared" si="114"/>
        <v>F0-AI5-13B</v>
      </c>
      <c r="KD80" t="str">
        <f t="shared" si="115"/>
        <v>F0-AI5-14B</v>
      </c>
      <c r="KI80" cm="1">
        <f t="array" ref="KI80">IF(COUNTIFS($U$2:$U80,$U80)=1,1,INDEX(KI:KI,_xlfn.XMATCH(U80,U$1:U79,0,-1))+COUNT(KI79:KM79))</f>
        <v>79</v>
      </c>
      <c r="KJ80">
        <f t="shared" si="119"/>
        <v>80</v>
      </c>
      <c r="KK80">
        <f t="shared" si="119"/>
        <v>81</v>
      </c>
      <c r="KN80">
        <v>1</v>
      </c>
      <c r="KO80" s="16">
        <v>2</v>
      </c>
      <c r="KS80" s="16"/>
    </row>
    <row r="81" spans="1:305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1451</v>
      </c>
      <c r="X81" s="33" t="str">
        <f>IF(COUNTIF(X$1:X80,X80)&gt;7,REPLACE(X80,LEN(X80),1,VALUE(RIGHT(X80,1))+1),X80)</f>
        <v>A3.5</v>
      </c>
      <c r="Y81" s="45" cm="1">
        <f t="array" ref="Y81">IF(COUNTIFS($X$2:$X81,$X81)=1,"1",VALUE(SUBSTITUTE(INDEX(Y:Y,_xlfn.XMATCH($X81,$X$1:$X80,0,-1)),"A",""))+INDEX(Z:Z,_xlfn.XMATCH($X81,$X$1:$X80,0,-1))+1)</f>
        <v>8</v>
      </c>
      <c r="Z81" s="43" cm="1">
        <f t="array" ref="Z81">SUM(IF(ISNUMBER(FIND("TmAi",$BE$1:$AAD$1)),IF(IFERROR(ISODD(SUBSTITUTE($BE81:$AAD81,"A","")),FALSE),IF(ISODD(SUBSTITUTE($BE81:$AAD81,"A","")),1,0),0)))</f>
        <v>0</v>
      </c>
      <c r="AA81" t="str">
        <f t="shared" si="122"/>
        <v>15B</v>
      </c>
      <c r="AB81" t="str">
        <f t="shared" si="123"/>
        <v>16B</v>
      </c>
      <c r="AP81" t="s">
        <v>137</v>
      </c>
      <c r="AS81" t="s">
        <v>396</v>
      </c>
      <c r="JZ81" s="27" t="str">
        <f t="shared" si="113"/>
        <v>XT55</v>
      </c>
      <c r="KC81" t="str">
        <f t="shared" si="114"/>
        <v>F0-AI5-15B</v>
      </c>
      <c r="KD81" t="str">
        <f t="shared" si="115"/>
        <v>F0-AI5-16B</v>
      </c>
      <c r="KI81" cm="1">
        <f t="array" ref="KI81">IF(COUNTIFS($U$2:$U81,$U81)=1,1,INDEX(KI:KI,_xlfn.XMATCH(U81,U$1:U80,0,-1))+COUNT(KI80:KM80))</f>
        <v>82</v>
      </c>
      <c r="KJ81">
        <f t="shared" si="119"/>
        <v>83</v>
      </c>
      <c r="KK81">
        <f t="shared" si="119"/>
        <v>84</v>
      </c>
      <c r="KN81">
        <v>1</v>
      </c>
      <c r="KO81" s="16">
        <v>2</v>
      </c>
      <c r="KS81" s="16"/>
    </row>
    <row r="82" spans="1:305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1452</v>
      </c>
      <c r="X82" t="str">
        <f>IF(COUNTIF(X$1:X81,X81)&gt;7,REPLACE(X81,LEN(X81),1,VALUE(RIGHT(X81,1))+1),X81)</f>
        <v>A3.6</v>
      </c>
      <c r="Y82" s="43" t="str" cm="1">
        <f t="array" ref="Y82">IF(COUNTIFS($X$2:$X82,$X82)=1,"1",VALUE(SUBSTITUTE(INDEX(Y:Y,_xlfn.XMATCH($X82,$X$1:$X81,0,-1)),"A",""))+INDEX(Z:Z,_xlfn.XMATCH($X82,$X$1:$X81,0,-1))+1)</f>
        <v>1</v>
      </c>
      <c r="Z82" s="43" cm="1">
        <f t="array" ref="Z82">SUM(IF(ISNUMBER(FIND("TmAi",$BE$1:$AAD$1)),IF(IFERROR(ISODD(SUBSTITUTE($BE82:$AAD82,"A","")),FALSE),IF(ISODD(SUBSTITUTE($BE82:$AAD82,"A","")),1,0),0)))</f>
        <v>0</v>
      </c>
      <c r="AA82" t="str">
        <f t="shared" si="122"/>
        <v>1B</v>
      </c>
      <c r="AB82" t="str">
        <f t="shared" si="123"/>
        <v>2B</v>
      </c>
      <c r="AP82" t="s">
        <v>137</v>
      </c>
      <c r="AS82" t="s">
        <v>396</v>
      </c>
      <c r="JZ82" s="27" t="str">
        <f t="shared" si="113"/>
        <v>XT55</v>
      </c>
      <c r="KC82" t="str">
        <f t="shared" si="114"/>
        <v>F0-AI6-1B</v>
      </c>
      <c r="KD82" t="str">
        <f t="shared" si="115"/>
        <v>F0-AI6-2B</v>
      </c>
      <c r="KI82" cm="1">
        <f t="array" ref="KI82">IF(COUNTIFS($U$2:$U82,$U82)=1,1,INDEX(KI:KI,_xlfn.XMATCH(U82,U$1:U81,0,-1))+COUNT(KI81:KM81))</f>
        <v>85</v>
      </c>
      <c r="KJ82">
        <f t="shared" si="119"/>
        <v>86</v>
      </c>
      <c r="KK82">
        <f t="shared" si="119"/>
        <v>87</v>
      </c>
      <c r="KN82">
        <v>1</v>
      </c>
      <c r="KO82" s="16">
        <v>2</v>
      </c>
      <c r="KS82" s="16"/>
    </row>
    <row r="83" spans="1:305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1453</v>
      </c>
      <c r="X83" t="str">
        <f>IF(COUNTIF(X$1:X82,X82)&gt;7,REPLACE(X82,LEN(X82),1,VALUE(RIGHT(X82,1))+1),X82)</f>
        <v>A3.6</v>
      </c>
      <c r="Y83" s="43" cm="1">
        <f t="array" ref="Y83">IF(COUNTIFS($X$2:$X83,$X83)=1,"1",VALUE(SUBSTITUTE(INDEX(Y:Y,_xlfn.XMATCH($X83,$X$1:$X82,0,-1)),"A",""))+INDEX(Z:Z,_xlfn.XMATCH($X83,$X$1:$X82,0,-1))+1)</f>
        <v>2</v>
      </c>
      <c r="Z83" s="43" cm="1">
        <f t="array" ref="Z83">SUM(IF(ISNUMBER(FIND("TmAi",$BE$1:$AAD$1)),IF(IFERROR(ISODD(SUBSTITUTE($BE83:$AAD83,"A","")),FALSE),IF(ISODD(SUBSTITUTE($BE83:$AAD83,"A","")),1,0),0)))</f>
        <v>0</v>
      </c>
      <c r="AA83" t="str">
        <f t="shared" si="122"/>
        <v>3B</v>
      </c>
      <c r="AB83" t="str">
        <f t="shared" si="123"/>
        <v>4B</v>
      </c>
      <c r="AP83" t="s">
        <v>137</v>
      </c>
      <c r="AS83" t="s">
        <v>396</v>
      </c>
      <c r="JZ83" s="27" t="str">
        <f t="shared" si="113"/>
        <v>XT55</v>
      </c>
      <c r="KC83" t="str">
        <f t="shared" si="114"/>
        <v>F0-AI6-3B</v>
      </c>
      <c r="KD83" t="str">
        <f t="shared" si="115"/>
        <v>F0-AI6-4B</v>
      </c>
      <c r="KI83" cm="1">
        <f t="array" ref="KI83">IF(COUNTIFS($U$2:$U83,$U83)=1,1,INDEX(KI:KI,_xlfn.XMATCH(U83,U$1:U82,0,-1))+COUNT(KI82:KM82))</f>
        <v>88</v>
      </c>
      <c r="KJ83">
        <f t="shared" si="119"/>
        <v>89</v>
      </c>
      <c r="KK83">
        <f t="shared" si="119"/>
        <v>90</v>
      </c>
      <c r="KN83">
        <v>1</v>
      </c>
      <c r="KO83" s="16">
        <v>2</v>
      </c>
      <c r="KS83" s="16"/>
    </row>
    <row r="84" spans="1:305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1454</v>
      </c>
      <c r="X84" t="str">
        <f>IF(COUNTIF(X$1:X83,X83)&gt;7,REPLACE(X83,LEN(X83),1,VALUE(RIGHT(X83,1))+1),X83)</f>
        <v>A3.6</v>
      </c>
      <c r="Y84" s="43" cm="1">
        <f t="array" ref="Y84">IF(COUNTIFS($X$2:$X84,$X84)=1,"1",VALUE(SUBSTITUTE(INDEX(Y:Y,_xlfn.XMATCH($X84,$X$1:$X83,0,-1)),"A",""))+INDEX(Z:Z,_xlfn.XMATCH($X84,$X$1:$X83,0,-1))+1)</f>
        <v>3</v>
      </c>
      <c r="Z84" s="43" cm="1">
        <f t="array" ref="Z84">SUM(IF(ISNUMBER(FIND("TmAi",$BE$1:$AAD$1)),IF(IFERROR(ISODD(SUBSTITUTE($BE84:$AAD84,"A","")),FALSE),IF(ISODD(SUBSTITUTE($BE84:$AAD84,"A","")),1,0),0)))</f>
        <v>0</v>
      </c>
      <c r="AA84" t="str">
        <f t="shared" si="122"/>
        <v>5B</v>
      </c>
      <c r="AB84" t="str">
        <f t="shared" si="123"/>
        <v>6B</v>
      </c>
      <c r="AP84" t="s">
        <v>137</v>
      </c>
      <c r="AS84" t="s">
        <v>396</v>
      </c>
      <c r="JZ84" s="27" t="str">
        <f t="shared" si="113"/>
        <v>XT55</v>
      </c>
      <c r="KC84" t="str">
        <f t="shared" si="114"/>
        <v>F0-AI6-5B</v>
      </c>
      <c r="KD84" t="str">
        <f t="shared" si="115"/>
        <v>F0-AI6-6B</v>
      </c>
      <c r="KI84" cm="1">
        <f t="array" ref="KI84">IF(COUNTIFS($U$2:$U84,$U84)=1,1,INDEX(KI:KI,_xlfn.XMATCH(U84,U$1:U83,0,-1))+COUNT(KI83:KM83))</f>
        <v>91</v>
      </c>
      <c r="KJ84">
        <f t="shared" si="119"/>
        <v>92</v>
      </c>
      <c r="KK84">
        <f t="shared" si="119"/>
        <v>93</v>
      </c>
      <c r="KN84">
        <v>1</v>
      </c>
      <c r="KO84" s="16">
        <v>2</v>
      </c>
      <c r="KS84" s="16"/>
    </row>
    <row r="85" spans="1:305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1455</v>
      </c>
      <c r="X85" t="str">
        <f>IF(COUNTIF(X$1:X84,X84)&gt;7,REPLACE(X84,LEN(X84),1,VALUE(RIGHT(X84,1))+1),X84)</f>
        <v>A3.6</v>
      </c>
      <c r="Y85" s="43" cm="1">
        <f t="array" ref="Y85">IF(COUNTIFS($X$2:$X85,$X85)=1,"1",VALUE(SUBSTITUTE(INDEX(Y:Y,_xlfn.XMATCH($X85,$X$1:$X84,0,-1)),"A",""))+INDEX(Z:Z,_xlfn.XMATCH($X85,$X$1:$X84,0,-1))+1)</f>
        <v>4</v>
      </c>
      <c r="Z85" s="43" cm="1">
        <f t="array" ref="Z85">SUM(IF(ISNUMBER(FIND("TmAi",$BE$1:$AAD$1)),IF(IFERROR(ISODD(SUBSTITUTE($BE85:$AAD85,"A","")),FALSE),IF(ISODD(SUBSTITUTE($BE85:$AAD85,"A","")),1,0),0)))</f>
        <v>0</v>
      </c>
      <c r="AA85" t="str">
        <f t="shared" si="122"/>
        <v>7B</v>
      </c>
      <c r="AB85" t="str">
        <f t="shared" si="123"/>
        <v>8B</v>
      </c>
      <c r="AP85" t="s">
        <v>137</v>
      </c>
      <c r="AS85" t="s">
        <v>396</v>
      </c>
      <c r="JZ85" s="27" t="str">
        <f t="shared" si="113"/>
        <v>XT55</v>
      </c>
      <c r="KC85" t="str">
        <f t="shared" si="114"/>
        <v>F0-AI6-7B</v>
      </c>
      <c r="KD85" t="str">
        <f t="shared" si="115"/>
        <v>F0-AI6-8B</v>
      </c>
      <c r="KI85" cm="1">
        <f t="array" ref="KI85">IF(COUNTIFS($U$2:$U85,$U85)=1,1,INDEX(KI:KI,_xlfn.XMATCH(U85,U$1:U84,0,-1))+COUNT(KI84:KM84))</f>
        <v>94</v>
      </c>
      <c r="KJ85">
        <f t="shared" si="119"/>
        <v>95</v>
      </c>
      <c r="KK85">
        <f t="shared" si="119"/>
        <v>96</v>
      </c>
      <c r="KN85">
        <v>1</v>
      </c>
      <c r="KO85" s="16">
        <v>2</v>
      </c>
      <c r="KS85" s="16"/>
    </row>
    <row r="86" spans="1:305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1456</v>
      </c>
      <c r="X86" t="str">
        <f>IF(COUNTIF(X$1:X85,X85)&gt;7,REPLACE(X85,LEN(X85),1,VALUE(RIGHT(X85,1))+1),X85)</f>
        <v>A3.6</v>
      </c>
      <c r="Y86" s="43" cm="1">
        <f t="array" ref="Y86">IF(COUNTIFS($X$2:$X86,$X86)=1,"1",VALUE(SUBSTITUTE(INDEX(Y:Y,_xlfn.XMATCH($X86,$X$1:$X85,0,-1)),"A",""))+INDEX(Z:Z,_xlfn.XMATCH($X86,$X$1:$X85,0,-1))+1)</f>
        <v>5</v>
      </c>
      <c r="Z86" s="43" cm="1">
        <f t="array" ref="Z86">SUM(IF(ISNUMBER(FIND("TmAi",$BE$1:$AAD$1)),IF(IFERROR(ISODD(SUBSTITUTE($BE86:$AAD86,"A","")),FALSE),IF(ISODD(SUBSTITUTE($BE86:$AAD86,"A","")),1,0),0)))</f>
        <v>0</v>
      </c>
      <c r="AA86" t="str">
        <f t="shared" si="122"/>
        <v>9B</v>
      </c>
      <c r="AB86" t="str">
        <f t="shared" si="123"/>
        <v>10B</v>
      </c>
      <c r="AP86" t="s">
        <v>137</v>
      </c>
      <c r="AS86" t="s">
        <v>396</v>
      </c>
      <c r="JZ86" s="27" t="str">
        <f t="shared" si="113"/>
        <v>XT55</v>
      </c>
      <c r="KC86" t="str">
        <f t="shared" si="114"/>
        <v>F0-AI6-9B</v>
      </c>
      <c r="KD86" t="str">
        <f t="shared" si="115"/>
        <v>F0-AI6-10B</v>
      </c>
      <c r="KI86" cm="1">
        <f t="array" ref="KI86">IF(COUNTIFS($U$2:$U86,$U86)=1,1,INDEX(KI:KI,_xlfn.XMATCH(U86,U$1:U85,0,-1))+COUNT(KI85:KM85))</f>
        <v>97</v>
      </c>
      <c r="KJ86">
        <f t="shared" ref="KJ86:KM101" si="124">KI86+1</f>
        <v>98</v>
      </c>
      <c r="KK86">
        <f t="shared" si="124"/>
        <v>99</v>
      </c>
      <c r="KN86">
        <v>1</v>
      </c>
      <c r="KO86" s="16">
        <v>2</v>
      </c>
      <c r="KS86" s="16"/>
    </row>
    <row r="87" spans="1:305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1457</v>
      </c>
      <c r="X87" t="str">
        <f>IF(COUNTIF(X$1:X86,X86)&gt;7,REPLACE(X86,LEN(X86),1,VALUE(RIGHT(X86,1))+1),X86)</f>
        <v>A3.6</v>
      </c>
      <c r="Y87" s="43" cm="1">
        <f t="array" ref="Y87">IF(COUNTIFS($X$2:$X87,$X87)=1,"1",VALUE(SUBSTITUTE(INDEX(Y:Y,_xlfn.XMATCH($X87,$X$1:$X86,0,-1)),"A",""))+INDEX(Z:Z,_xlfn.XMATCH($X87,$X$1:$X86,0,-1))+1)</f>
        <v>6</v>
      </c>
      <c r="Z87" s="43" cm="1">
        <f t="array" ref="Z87">SUM(IF(ISNUMBER(FIND("TmAi",$BE$1:$AAD$1)),IF(IFERROR(ISODD(SUBSTITUTE($BE87:$AAD87,"A","")),FALSE),IF(ISODD(SUBSTITUTE($BE87:$AAD87,"A","")),1,0),0)))</f>
        <v>0</v>
      </c>
      <c r="AA87" t="str">
        <f t="shared" si="122"/>
        <v>11B</v>
      </c>
      <c r="AB87" t="str">
        <f t="shared" si="123"/>
        <v>12B</v>
      </c>
      <c r="AP87" t="s">
        <v>137</v>
      </c>
      <c r="AS87" t="s">
        <v>396</v>
      </c>
      <c r="JZ87" s="27" t="str">
        <f t="shared" si="113"/>
        <v>XT55</v>
      </c>
      <c r="KC87" t="str">
        <f t="shared" si="114"/>
        <v>F0-AI6-11B</v>
      </c>
      <c r="KD87" t="str">
        <f t="shared" si="115"/>
        <v>F0-AI6-12B</v>
      </c>
      <c r="KI87" cm="1">
        <f t="array" ref="KI87">IF(COUNTIFS($U$2:$U87,$U87)=1,1,INDEX(KI:KI,_xlfn.XMATCH(U87,U$1:U86,0,-1))+COUNT(KI86:KM86))</f>
        <v>100</v>
      </c>
      <c r="KJ87">
        <f t="shared" si="124"/>
        <v>101</v>
      </c>
      <c r="KK87">
        <f t="shared" si="124"/>
        <v>102</v>
      </c>
      <c r="KN87">
        <v>1</v>
      </c>
      <c r="KO87" s="16">
        <v>2</v>
      </c>
      <c r="KS87" s="16"/>
    </row>
    <row r="88" spans="1:305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1458</v>
      </c>
      <c r="X88" t="str">
        <f>IF(COUNTIF(X$1:X87,X87)&gt;7,REPLACE(X87,LEN(X87),1,VALUE(RIGHT(X87,1))+1),X87)</f>
        <v>A3.6</v>
      </c>
      <c r="Y88" s="43" cm="1">
        <f t="array" ref="Y88">IF(COUNTIFS($X$2:$X88,$X88)=1,"1",VALUE(SUBSTITUTE(INDEX(Y:Y,_xlfn.XMATCH($X88,$X$1:$X87,0,-1)),"A",""))+INDEX(Z:Z,_xlfn.XMATCH($X88,$X$1:$X87,0,-1))+1)</f>
        <v>7</v>
      </c>
      <c r="Z88" s="43" cm="1">
        <f t="array" ref="Z88">SUM(IF(ISNUMBER(FIND("TmAi",$BE$1:$AAD$1)),IF(IFERROR(ISODD(SUBSTITUTE($BE88:$AAD88,"A","")),FALSE),IF(ISODD(SUBSTITUTE($BE88:$AAD88,"A","")),1,0),0)))</f>
        <v>0</v>
      </c>
      <c r="AA88" t="str">
        <f t="shared" si="122"/>
        <v>13B</v>
      </c>
      <c r="AB88" t="str">
        <f t="shared" si="123"/>
        <v>14B</v>
      </c>
      <c r="AP88" t="s">
        <v>137</v>
      </c>
      <c r="AS88" t="s">
        <v>396</v>
      </c>
      <c r="JZ88" s="27" t="str">
        <f t="shared" si="113"/>
        <v>XT55</v>
      </c>
      <c r="KC88" t="str">
        <f t="shared" si="114"/>
        <v>F0-AI6-13B</v>
      </c>
      <c r="KD88" t="str">
        <f t="shared" si="115"/>
        <v>F0-AI6-14B</v>
      </c>
      <c r="KI88" cm="1">
        <f t="array" ref="KI88">IF(COUNTIFS($U$2:$U88,$U88)=1,1,INDEX(KI:KI,_xlfn.XMATCH(U88,U$1:U87,0,-1))+COUNT(KI87:KM87))</f>
        <v>103</v>
      </c>
      <c r="KJ88">
        <f t="shared" si="124"/>
        <v>104</v>
      </c>
      <c r="KK88">
        <f t="shared" si="124"/>
        <v>105</v>
      </c>
      <c r="KN88">
        <v>1</v>
      </c>
      <c r="KO88" s="16">
        <v>2</v>
      </c>
      <c r="KS88" s="16"/>
    </row>
    <row r="89" spans="1:305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1459</v>
      </c>
      <c r="X89" s="33" t="str">
        <f>IF(COUNTIF(X$1:X88,X88)&gt;7,REPLACE(X88,LEN(X88),1,VALUE(RIGHT(X88,1))+1),X88)</f>
        <v>A3.6</v>
      </c>
      <c r="Y89" s="45" cm="1">
        <f t="array" ref="Y89">IF(COUNTIFS($X$2:$X89,$X89)=1,"1",VALUE(SUBSTITUTE(INDEX(Y:Y,_xlfn.XMATCH($X89,$X$1:$X88,0,-1)),"A",""))+INDEX(Z:Z,_xlfn.XMATCH($X89,$X$1:$X88,0,-1))+1)</f>
        <v>8</v>
      </c>
      <c r="Z89" s="43" cm="1">
        <f t="array" ref="Z89">SUM(IF(ISNUMBER(FIND("TmAi",$BE$1:$AAD$1)),IF(IFERROR(ISODD(SUBSTITUTE($BE89:$AAD89,"A","")),FALSE),IF(ISODD(SUBSTITUTE($BE89:$AAD89,"A","")),1,0),0)))</f>
        <v>0</v>
      </c>
      <c r="AA89" t="str">
        <f>CONCATENATE($Y89*2-1,"A")</f>
        <v>15A</v>
      </c>
      <c r="AB89" t="str">
        <f>CONCATENATE($Y89*2-1,"B")</f>
        <v>15B</v>
      </c>
      <c r="AP89" t="s">
        <v>137</v>
      </c>
      <c r="AS89" t="s">
        <v>396</v>
      </c>
      <c r="JZ89" s="27" t="str">
        <f t="shared" si="113"/>
        <v>XT55</v>
      </c>
      <c r="KC89" t="str">
        <f t="shared" si="114"/>
        <v>F0-AI6-15A</v>
      </c>
      <c r="KD89" t="str">
        <f t="shared" si="115"/>
        <v>F0-AI6-15B</v>
      </c>
      <c r="KG89" t="s">
        <v>488</v>
      </c>
      <c r="KH89" t="s">
        <v>487</v>
      </c>
      <c r="KI89" cm="1">
        <f t="array" ref="KI89">IF(COUNTIFS($U$2:$U89,$U89)=1,1,INDEX(KI:KI,_xlfn.XMATCH(U89,U$1:U88,0,-1))+COUNT(KI88:KM88))</f>
        <v>106</v>
      </c>
      <c r="KJ89">
        <f t="shared" si="124"/>
        <v>107</v>
      </c>
      <c r="KK89">
        <f t="shared" si="124"/>
        <v>108</v>
      </c>
      <c r="KL89">
        <f t="shared" si="124"/>
        <v>109</v>
      </c>
      <c r="KM89">
        <f t="shared" si="124"/>
        <v>110</v>
      </c>
      <c r="KN89" t="s">
        <v>547</v>
      </c>
      <c r="KO89" s="16" t="s">
        <v>548</v>
      </c>
      <c r="KP89" t="s">
        <v>547</v>
      </c>
      <c r="KQ89" t="s">
        <v>548</v>
      </c>
      <c r="KR89" t="s">
        <v>551</v>
      </c>
      <c r="KS89" s="16" t="s">
        <v>552</v>
      </c>
    </row>
    <row r="90" spans="1:305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1460</v>
      </c>
      <c r="X90" t="str">
        <f>IF(COUNTIF(X$1:X89,X89)&gt;7,REPLACE(X89,LEN(X89),1,VALUE(RIGHT(X89,1))+1),X89)</f>
        <v>A3.7</v>
      </c>
      <c r="Y90" s="43" t="str" cm="1">
        <f t="array" ref="Y90">IF(COUNTIFS($X$2:$X90,$X90)=1,"1",VALUE(SUBSTITUTE(INDEX(Y:Y,_xlfn.XMATCH($X90,$X$1:$X89,0,-1)),"A",""))+INDEX(Z:Z,_xlfn.XMATCH($X90,$X$1:$X89,0,-1))+1)</f>
        <v>1</v>
      </c>
      <c r="Z90" s="43" cm="1">
        <f t="array" ref="Z90">SUM(IF(ISNUMBER(FIND("TmAi",$BE$1:$AAD$1)),IF(IFERROR(ISODD(SUBSTITUTE($BE90:$AAD90,"A","")),FALSE),IF(ISODD(SUBSTITUTE($BE90:$AAD90,"A","")),1,0),0)))</f>
        <v>0</v>
      </c>
      <c r="AA90" t="str">
        <f t="shared" ref="AA90:AA153" si="125">CONCATENATE($Y90*2-1,"B")</f>
        <v>1B</v>
      </c>
      <c r="AB90" t="str">
        <f t="shared" ref="AB90:AB153" si="126">CONCATENATE($Y90*2,"B")</f>
        <v>2B</v>
      </c>
      <c r="AP90" t="s">
        <v>137</v>
      </c>
      <c r="AS90" t="s">
        <v>396</v>
      </c>
      <c r="JZ90" s="27" t="str">
        <f t="shared" si="113"/>
        <v>XT55</v>
      </c>
      <c r="KC90" t="str">
        <f t="shared" si="114"/>
        <v>F0-AI7-1B</v>
      </c>
      <c r="KD90" t="str">
        <f t="shared" si="115"/>
        <v>F0-AI7-2B</v>
      </c>
      <c r="KI90" cm="1">
        <f t="array" ref="KI90">IF(COUNTIFS($U$2:$U90,$U90)=1,1,INDEX(KI:KI,_xlfn.XMATCH(U90,U$1:U89,0,-1))+COUNT(KI89:KM89))</f>
        <v>111</v>
      </c>
      <c r="KJ90">
        <f t="shared" si="124"/>
        <v>112</v>
      </c>
      <c r="KK90">
        <f t="shared" si="124"/>
        <v>113</v>
      </c>
      <c r="KN90">
        <v>1</v>
      </c>
      <c r="KO90" s="16">
        <v>2</v>
      </c>
      <c r="KS90" s="16"/>
    </row>
    <row r="91" spans="1:305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1461</v>
      </c>
      <c r="X91" t="str">
        <f>IF(COUNTIF(X$1:X90,X90)&gt;7,REPLACE(X90,LEN(X90),1,VALUE(RIGHT(X90,1))+1),X90)</f>
        <v>A3.7</v>
      </c>
      <c r="Y91" s="43" cm="1">
        <f t="array" ref="Y91">IF(COUNTIFS($X$2:$X91,$X91)=1,"1",VALUE(SUBSTITUTE(INDEX(Y:Y,_xlfn.XMATCH($X91,$X$1:$X90,0,-1)),"A",""))+INDEX(Z:Z,_xlfn.XMATCH($X91,$X$1:$X90,0,-1))+1)</f>
        <v>2</v>
      </c>
      <c r="Z91" s="43" cm="1">
        <f t="array" ref="Z91">SUM(IF(ISNUMBER(FIND("TmAi",$BE$1:$AAD$1)),IF(IFERROR(ISODD(SUBSTITUTE($BE91:$AAD91,"A","")),FALSE),IF(ISODD(SUBSTITUTE($BE91:$AAD91,"A","")),1,0),0)))</f>
        <v>0</v>
      </c>
      <c r="AA91" t="str">
        <f t="shared" si="125"/>
        <v>3B</v>
      </c>
      <c r="AB91" t="str">
        <f t="shared" si="126"/>
        <v>4B</v>
      </c>
      <c r="AP91" t="s">
        <v>137</v>
      </c>
      <c r="AS91" t="s">
        <v>396</v>
      </c>
      <c r="JZ91" s="27" t="str">
        <f t="shared" si="113"/>
        <v>XT55</v>
      </c>
      <c r="KC91" t="str">
        <f t="shared" si="114"/>
        <v>F0-AI7-3B</v>
      </c>
      <c r="KD91" t="str">
        <f t="shared" si="115"/>
        <v>F0-AI7-4B</v>
      </c>
      <c r="KI91" cm="1">
        <f t="array" ref="KI91">IF(COUNTIFS($U$2:$U91,$U91)=1,1,INDEX(KI:KI,_xlfn.XMATCH(U91,U$1:U90,0,-1))+COUNT(KI90:KM90))</f>
        <v>114</v>
      </c>
      <c r="KJ91">
        <f t="shared" si="124"/>
        <v>115</v>
      </c>
      <c r="KK91">
        <f t="shared" si="124"/>
        <v>116</v>
      </c>
      <c r="KN91">
        <v>1</v>
      </c>
      <c r="KO91" s="16">
        <v>2</v>
      </c>
      <c r="KS91" s="16"/>
    </row>
    <row r="92" spans="1:305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1462</v>
      </c>
      <c r="X92" t="str">
        <f>IF(COUNTIF(X$1:X91,X91)&gt;7,REPLACE(X91,LEN(X91),1,VALUE(RIGHT(X91,1))+1),X91)</f>
        <v>A3.7</v>
      </c>
      <c r="Y92" s="43" cm="1">
        <f t="array" ref="Y92">IF(COUNTIFS($X$2:$X92,$X92)=1,"1",VALUE(SUBSTITUTE(INDEX(Y:Y,_xlfn.XMATCH($X92,$X$1:$X91,0,-1)),"A",""))+INDEX(Z:Z,_xlfn.XMATCH($X92,$X$1:$X91,0,-1))+1)</f>
        <v>3</v>
      </c>
      <c r="Z92" s="43" cm="1">
        <f t="array" ref="Z92">SUM(IF(ISNUMBER(FIND("TmAi",$BE$1:$AAD$1)),IF(IFERROR(ISODD(SUBSTITUTE($BE92:$AAD92,"A","")),FALSE),IF(ISODD(SUBSTITUTE($BE92:$AAD92,"A","")),1,0),0)))</f>
        <v>0</v>
      </c>
      <c r="AA92" t="str">
        <f t="shared" si="125"/>
        <v>5B</v>
      </c>
      <c r="AB92" t="str">
        <f t="shared" si="126"/>
        <v>6B</v>
      </c>
      <c r="AP92" t="s">
        <v>137</v>
      </c>
      <c r="AS92" t="s">
        <v>396</v>
      </c>
      <c r="JZ92" s="27" t="str">
        <f t="shared" si="113"/>
        <v>XT55</v>
      </c>
      <c r="KC92" t="str">
        <f t="shared" si="114"/>
        <v>F0-AI7-5B</v>
      </c>
      <c r="KD92" t="str">
        <f t="shared" si="115"/>
        <v>F0-AI7-6B</v>
      </c>
      <c r="KI92" cm="1">
        <f t="array" ref="KI92">IF(COUNTIFS($U$2:$U92,$U92)=1,1,INDEX(KI:KI,_xlfn.XMATCH(U92,U$1:U91,0,-1))+COUNT(KI91:KM91))</f>
        <v>117</v>
      </c>
      <c r="KJ92">
        <f t="shared" si="124"/>
        <v>118</v>
      </c>
      <c r="KK92">
        <f t="shared" si="124"/>
        <v>119</v>
      </c>
      <c r="KN92">
        <v>1</v>
      </c>
      <c r="KO92" s="16">
        <v>2</v>
      </c>
      <c r="KS92" s="16"/>
    </row>
    <row r="93" spans="1:305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1463</v>
      </c>
      <c r="X93" t="str">
        <f>IF(COUNTIF(X$1:X92,X92)&gt;7,REPLACE(X92,LEN(X92),1,VALUE(RIGHT(X92,1))+1),X92)</f>
        <v>A3.7</v>
      </c>
      <c r="Y93" s="43" cm="1">
        <f t="array" ref="Y93">IF(COUNTIFS($X$2:$X93,$X93)=1,"1",VALUE(SUBSTITUTE(INDEX(Y:Y,_xlfn.XMATCH($X93,$X$1:$X92,0,-1)),"A",""))+INDEX(Z:Z,_xlfn.XMATCH($X93,$X$1:$X92,0,-1))+1)</f>
        <v>4</v>
      </c>
      <c r="Z93" s="43" cm="1">
        <f t="array" ref="Z93">SUM(IF(ISNUMBER(FIND("TmAi",$BE$1:$AAD$1)),IF(IFERROR(ISODD(SUBSTITUTE($BE93:$AAD93,"A","")),FALSE),IF(ISODD(SUBSTITUTE($BE93:$AAD93,"A","")),1,0),0)))</f>
        <v>0</v>
      </c>
      <c r="AA93" t="str">
        <f t="shared" si="125"/>
        <v>7B</v>
      </c>
      <c r="AB93" t="str">
        <f t="shared" si="126"/>
        <v>8B</v>
      </c>
      <c r="AP93" t="s">
        <v>137</v>
      </c>
      <c r="AS93" t="s">
        <v>396</v>
      </c>
      <c r="JZ93" s="27" t="str">
        <f t="shared" si="113"/>
        <v>XT55</v>
      </c>
      <c r="KC93" t="str">
        <f t="shared" si="114"/>
        <v>F0-AI7-7B</v>
      </c>
      <c r="KD93" t="str">
        <f t="shared" si="115"/>
        <v>F0-AI7-8B</v>
      </c>
      <c r="KI93" cm="1">
        <f t="array" ref="KI93">IF(COUNTIFS($U$2:$U93,$U93)=1,1,INDEX(KI:KI,_xlfn.XMATCH(U93,U$1:U92,0,-1))+COUNT(KI92:KM92))</f>
        <v>120</v>
      </c>
      <c r="KJ93">
        <f t="shared" si="124"/>
        <v>121</v>
      </c>
      <c r="KK93">
        <f t="shared" si="124"/>
        <v>122</v>
      </c>
      <c r="KN93">
        <v>1</v>
      </c>
      <c r="KO93" s="16">
        <v>2</v>
      </c>
      <c r="KS93" s="16"/>
    </row>
    <row r="94" spans="1:305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1464</v>
      </c>
      <c r="X94" t="str">
        <f>IF(COUNTIF(X$1:X93,X93)&gt;7,REPLACE(X93,LEN(X93),1,VALUE(RIGHT(X93,1))+1),X93)</f>
        <v>A3.7</v>
      </c>
      <c r="Y94" s="43" cm="1">
        <f t="array" ref="Y94">IF(COUNTIFS($X$2:$X94,$X94)=1,"1",VALUE(SUBSTITUTE(INDEX(Y:Y,_xlfn.XMATCH($X94,$X$1:$X93,0,-1)),"A",""))+INDEX(Z:Z,_xlfn.XMATCH($X94,$X$1:$X93,0,-1))+1)</f>
        <v>5</v>
      </c>
      <c r="Z94" s="43" cm="1">
        <f t="array" ref="Z94">SUM(IF(ISNUMBER(FIND("TmAi",$BE$1:$AAD$1)),IF(IFERROR(ISODD(SUBSTITUTE($BE94:$AAD94,"A","")),FALSE),IF(ISODD(SUBSTITUTE($BE94:$AAD94,"A","")),1,0),0)))</f>
        <v>0</v>
      </c>
      <c r="AA94" t="str">
        <f t="shared" si="125"/>
        <v>9B</v>
      </c>
      <c r="AB94" t="str">
        <f t="shared" si="126"/>
        <v>10B</v>
      </c>
      <c r="AP94" t="s">
        <v>137</v>
      </c>
      <c r="AS94" t="s">
        <v>396</v>
      </c>
      <c r="JZ94" s="27" t="str">
        <f t="shared" si="113"/>
        <v>XT55</v>
      </c>
      <c r="KC94" t="str">
        <f t="shared" si="114"/>
        <v>F0-AI7-9B</v>
      </c>
      <c r="KD94" t="str">
        <f t="shared" si="115"/>
        <v>F0-AI7-10B</v>
      </c>
      <c r="KI94" cm="1">
        <f t="array" ref="KI94">IF(COUNTIFS($U$2:$U94,$U94)=1,1,INDEX(KI:KI,_xlfn.XMATCH(U94,U$1:U93,0,-1))+COUNT(KI93:KM93))</f>
        <v>123</v>
      </c>
      <c r="KJ94">
        <f t="shared" si="124"/>
        <v>124</v>
      </c>
      <c r="KK94">
        <f t="shared" si="124"/>
        <v>125</v>
      </c>
      <c r="KN94">
        <v>1</v>
      </c>
      <c r="KO94" s="16">
        <v>2</v>
      </c>
      <c r="KS94" s="16"/>
    </row>
    <row r="95" spans="1:305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1465</v>
      </c>
      <c r="X95" t="str">
        <f>IF(COUNTIF(X$1:X94,X94)&gt;7,REPLACE(X94,LEN(X94),1,VALUE(RIGHT(X94,1))+1),X94)</f>
        <v>A3.7</v>
      </c>
      <c r="Y95" s="43" cm="1">
        <f t="array" ref="Y95">IF(COUNTIFS($X$2:$X95,$X95)=1,"1",VALUE(SUBSTITUTE(INDEX(Y:Y,_xlfn.XMATCH($X95,$X$1:$X94,0,-1)),"A",""))+INDEX(Z:Z,_xlfn.XMATCH($X95,$X$1:$X94,0,-1))+1)</f>
        <v>6</v>
      </c>
      <c r="Z95" s="43" cm="1">
        <f t="array" ref="Z95">SUM(IF(ISNUMBER(FIND("TmAi",$BE$1:$AAD$1)),IF(IFERROR(ISODD(SUBSTITUTE($BE95:$AAD95,"A","")),FALSE),IF(ISODD(SUBSTITUTE($BE95:$AAD95,"A","")),1,0),0)))</f>
        <v>0</v>
      </c>
      <c r="AA95" t="str">
        <f t="shared" si="125"/>
        <v>11B</v>
      </c>
      <c r="AB95" t="str">
        <f t="shared" si="126"/>
        <v>12B</v>
      </c>
      <c r="AP95" t="s">
        <v>137</v>
      </c>
      <c r="AS95" t="s">
        <v>396</v>
      </c>
      <c r="JZ95" s="27" t="str">
        <f t="shared" si="113"/>
        <v>XT55</v>
      </c>
      <c r="KC95" t="str">
        <f t="shared" si="114"/>
        <v>F0-AI7-11B</v>
      </c>
      <c r="KD95" t="str">
        <f t="shared" si="115"/>
        <v>F0-AI7-12B</v>
      </c>
      <c r="KI95" cm="1">
        <f t="array" ref="KI95">IF(COUNTIFS($U$2:$U95,$U95)=1,1,INDEX(KI:KI,_xlfn.XMATCH(U95,U$1:U94,0,-1))+COUNT(KI94:KM94))</f>
        <v>126</v>
      </c>
      <c r="KJ95">
        <f t="shared" si="124"/>
        <v>127</v>
      </c>
      <c r="KK95">
        <f t="shared" si="124"/>
        <v>128</v>
      </c>
      <c r="KN95">
        <v>1</v>
      </c>
      <c r="KO95" s="16">
        <v>2</v>
      </c>
      <c r="KS95" s="16"/>
    </row>
    <row r="96" spans="1:305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1466</v>
      </c>
      <c r="X96" t="str">
        <f>IF(COUNTIF(X$1:X95,X95)&gt;7,REPLACE(X95,LEN(X95),1,VALUE(RIGHT(X95,1))+1),X95)</f>
        <v>A3.7</v>
      </c>
      <c r="Y96" s="43" cm="1">
        <f t="array" ref="Y96">IF(COUNTIFS($X$2:$X96,$X96)=1,"1",VALUE(SUBSTITUTE(INDEX(Y:Y,_xlfn.XMATCH($X96,$X$1:$X95,0,-1)),"A",""))+INDEX(Z:Z,_xlfn.XMATCH($X96,$X$1:$X95,0,-1))+1)</f>
        <v>7</v>
      </c>
      <c r="Z96" s="43" cm="1">
        <f t="array" ref="Z96">SUM(IF(ISNUMBER(FIND("TmAi",$BE$1:$AAD$1)),IF(IFERROR(ISODD(SUBSTITUTE($BE96:$AAD96,"A","")),FALSE),IF(ISODD(SUBSTITUTE($BE96:$AAD96,"A","")),1,0),0)))</f>
        <v>0</v>
      </c>
      <c r="AA96" t="str">
        <f t="shared" si="125"/>
        <v>13B</v>
      </c>
      <c r="AB96" t="str">
        <f t="shared" si="126"/>
        <v>14B</v>
      </c>
      <c r="AP96" t="s">
        <v>137</v>
      </c>
      <c r="AS96" t="s">
        <v>396</v>
      </c>
      <c r="JZ96" s="27" t="str">
        <f t="shared" si="113"/>
        <v>XT55</v>
      </c>
      <c r="KC96" t="str">
        <f t="shared" si="114"/>
        <v>F0-AI7-13B</v>
      </c>
      <c r="KD96" t="str">
        <f t="shared" si="115"/>
        <v>F0-AI7-14B</v>
      </c>
      <c r="KI96" cm="1">
        <f t="array" ref="KI96">IF(COUNTIFS($U$2:$U96,$U96)=1,1,INDEX(KI:KI,_xlfn.XMATCH(U96,U$1:U95,0,-1))+COUNT(KI95:KM95))</f>
        <v>129</v>
      </c>
      <c r="KJ96">
        <f t="shared" si="124"/>
        <v>130</v>
      </c>
      <c r="KK96">
        <f t="shared" si="124"/>
        <v>131</v>
      </c>
      <c r="KN96">
        <v>1</v>
      </c>
      <c r="KO96" s="16">
        <v>2</v>
      </c>
      <c r="KS96" s="16"/>
    </row>
    <row r="97" spans="1:305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1467</v>
      </c>
      <c r="X97" s="33" t="str">
        <f>IF(COUNTIF(X$1:X96,X96)&gt;7,REPLACE(X96,LEN(X96),1,VALUE(RIGHT(X96,1))+1),X96)</f>
        <v>A3.7</v>
      </c>
      <c r="Y97" s="45" cm="1">
        <f t="array" ref="Y97">IF(COUNTIFS($X$2:$X97,$X97)=1,"1",VALUE(SUBSTITUTE(INDEX(Y:Y,_xlfn.XMATCH($X97,$X$1:$X96,0,-1)),"A",""))+INDEX(Z:Z,_xlfn.XMATCH($X97,$X$1:$X96,0,-1))+1)</f>
        <v>8</v>
      </c>
      <c r="Z97" s="43" cm="1">
        <f t="array" ref="Z97">SUM(IF(ISNUMBER(FIND("TmAi",$BE$1:$AAD$1)),IF(IFERROR(ISODD(SUBSTITUTE($BE97:$AAD97,"A","")),FALSE),IF(ISODD(SUBSTITUTE($BE97:$AAD97,"A","")),1,0),0)))</f>
        <v>0</v>
      </c>
      <c r="AA97" t="str">
        <f t="shared" si="125"/>
        <v>15B</v>
      </c>
      <c r="AB97" t="str">
        <f t="shared" si="126"/>
        <v>16B</v>
      </c>
      <c r="AP97" t="s">
        <v>137</v>
      </c>
      <c r="AS97" t="s">
        <v>396</v>
      </c>
      <c r="JZ97" s="27" t="str">
        <f t="shared" si="113"/>
        <v>XT55</v>
      </c>
      <c r="KC97" t="str">
        <f t="shared" si="114"/>
        <v>F0-AI7-15B</v>
      </c>
      <c r="KD97" t="str">
        <f t="shared" si="115"/>
        <v>F0-AI7-16B</v>
      </c>
      <c r="KI97" cm="1">
        <f t="array" ref="KI97">IF(COUNTIFS($U$2:$U97,$U97)=1,1,INDEX(KI:KI,_xlfn.XMATCH(U97,U$1:U96,0,-1))+COUNT(KI96:KM96))</f>
        <v>132</v>
      </c>
      <c r="KJ97">
        <f t="shared" si="124"/>
        <v>133</v>
      </c>
      <c r="KK97">
        <f t="shared" si="124"/>
        <v>134</v>
      </c>
      <c r="KN97">
        <v>1</v>
      </c>
      <c r="KO97" s="16">
        <v>2</v>
      </c>
      <c r="KS97" s="16"/>
    </row>
    <row r="98" spans="1:305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1468</v>
      </c>
      <c r="X98" t="str">
        <f>IF(COUNTIF(X$1:X97,X97)&gt;7,REPLACE(X97,LEN(X97),1,VALUE(RIGHT(X97,1))+1),X97)</f>
        <v>A3.8</v>
      </c>
      <c r="Y98" s="43" t="str" cm="1">
        <f t="array" ref="Y98">IF(COUNTIFS($X$2:$X98,$X98)=1,"1",VALUE(SUBSTITUTE(INDEX(Y:Y,_xlfn.XMATCH($X98,$X$1:$X97,0,-1)),"A",""))+INDEX(Z:Z,_xlfn.XMATCH($X98,$X$1:$X97,0,-1))+1)</f>
        <v>1</v>
      </c>
      <c r="Z98" s="43" cm="1">
        <f t="array" ref="Z98">SUM(IF(ISNUMBER(FIND("TmAi",$BE$1:$AAD$1)),IF(IFERROR(ISODD(SUBSTITUTE($BE98:$AAD98,"A","")),FALSE),IF(ISODD(SUBSTITUTE($BE98:$AAD98,"A","")),1,0),0)))</f>
        <v>0</v>
      </c>
      <c r="AA98" t="str">
        <f t="shared" si="125"/>
        <v>1B</v>
      </c>
      <c r="AB98" t="str">
        <f t="shared" si="126"/>
        <v>2B</v>
      </c>
      <c r="AP98" t="s">
        <v>137</v>
      </c>
      <c r="AS98" t="s">
        <v>396</v>
      </c>
      <c r="JZ98" s="27" t="str">
        <f t="shared" si="113"/>
        <v>XT55</v>
      </c>
      <c r="KC98" t="str">
        <f t="shared" si="114"/>
        <v>F0-AI8-1B</v>
      </c>
      <c r="KD98" t="str">
        <f t="shared" si="115"/>
        <v>F0-AI8-2B</v>
      </c>
      <c r="KI98" cm="1">
        <f t="array" ref="KI98">IF(COUNTIFS($U$2:$U98,$U98)=1,1,INDEX(KI:KI,_xlfn.XMATCH(U98,U$1:U97,0,-1))+COUNT(KI97:KM97))</f>
        <v>135</v>
      </c>
      <c r="KJ98">
        <f t="shared" si="124"/>
        <v>136</v>
      </c>
      <c r="KK98">
        <f t="shared" si="124"/>
        <v>137</v>
      </c>
      <c r="KN98">
        <v>1</v>
      </c>
      <c r="KO98" s="16">
        <v>2</v>
      </c>
      <c r="KS98" s="16"/>
    </row>
    <row r="99" spans="1:305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1469</v>
      </c>
      <c r="X99" t="str">
        <f>IF(COUNTIF(X$1:X98,X98)&gt;7,REPLACE(X98,LEN(X98),1,VALUE(RIGHT(X98,1))+1),X98)</f>
        <v>A3.8</v>
      </c>
      <c r="Y99" s="43" cm="1">
        <f t="array" ref="Y99">IF(COUNTIFS($X$2:$X99,$X99)=1,"1",VALUE(SUBSTITUTE(INDEX(Y:Y,_xlfn.XMATCH($X99,$X$1:$X98,0,-1)),"A",""))+INDEX(Z:Z,_xlfn.XMATCH($X99,$X$1:$X98,0,-1))+1)</f>
        <v>2</v>
      </c>
      <c r="Z99" s="43" cm="1">
        <f t="array" ref="Z99">SUM(IF(ISNUMBER(FIND("TmAi",$BE$1:$AAD$1)),IF(IFERROR(ISODD(SUBSTITUTE($BE99:$AAD99,"A","")),FALSE),IF(ISODD(SUBSTITUTE($BE99:$AAD99,"A","")),1,0),0)))</f>
        <v>0</v>
      </c>
      <c r="AA99" t="str">
        <f t="shared" si="125"/>
        <v>3B</v>
      </c>
      <c r="AB99" t="str">
        <f t="shared" si="126"/>
        <v>4B</v>
      </c>
      <c r="AP99" t="s">
        <v>137</v>
      </c>
      <c r="AS99" t="s">
        <v>396</v>
      </c>
      <c r="JZ99" s="27" t="str">
        <f t="shared" si="113"/>
        <v>XT55</v>
      </c>
      <c r="KC99" t="str">
        <f t="shared" si="114"/>
        <v>F0-AI8-3B</v>
      </c>
      <c r="KD99" t="str">
        <f t="shared" si="115"/>
        <v>F0-AI8-4B</v>
      </c>
      <c r="KI99" cm="1">
        <f t="array" ref="KI99">IF(COUNTIFS($U$2:$U99,$U99)=1,1,INDEX(KI:KI,_xlfn.XMATCH(U99,U$1:U98,0,-1))+COUNT(KI98:KM98))</f>
        <v>138</v>
      </c>
      <c r="KJ99">
        <f t="shared" si="124"/>
        <v>139</v>
      </c>
      <c r="KK99">
        <f t="shared" si="124"/>
        <v>140</v>
      </c>
      <c r="KN99">
        <v>1</v>
      </c>
      <c r="KO99" s="16">
        <v>2</v>
      </c>
      <c r="KS99" s="16"/>
    </row>
    <row r="100" spans="1:305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1470</v>
      </c>
      <c r="X100" t="str">
        <f>IF(COUNTIF(X$1:X99,X99)&gt;7,REPLACE(X99,LEN(X99),1,VALUE(RIGHT(X99,1))+1),X99)</f>
        <v>A3.8</v>
      </c>
      <c r="Y100" s="43" cm="1">
        <f t="array" ref="Y100">IF(COUNTIFS($X$2:$X100,$X100)=1,"1",VALUE(SUBSTITUTE(INDEX(Y:Y,_xlfn.XMATCH($X100,$X$1:$X99,0,-1)),"A",""))+INDEX(Z:Z,_xlfn.XMATCH($X100,$X$1:$X99,0,-1))+1)</f>
        <v>3</v>
      </c>
      <c r="Z100" s="43" cm="1">
        <f t="array" ref="Z100">SUM(IF(ISNUMBER(FIND("TmAi",$BE$1:$AAD$1)),IF(IFERROR(ISODD(SUBSTITUTE($BE100:$AAD100,"A","")),FALSE),IF(ISODD(SUBSTITUTE($BE100:$AAD100,"A","")),1,0),0)))</f>
        <v>0</v>
      </c>
      <c r="AA100" t="str">
        <f t="shared" si="125"/>
        <v>5B</v>
      </c>
      <c r="AB100" t="str">
        <f t="shared" si="126"/>
        <v>6B</v>
      </c>
      <c r="AP100" t="s">
        <v>137</v>
      </c>
      <c r="AS100" t="s">
        <v>396</v>
      </c>
      <c r="JZ100" s="27" t="str">
        <f t="shared" si="113"/>
        <v>XT55</v>
      </c>
      <c r="KC100" t="str">
        <f t="shared" si="114"/>
        <v>F0-AI8-5B</v>
      </c>
      <c r="KD100" t="str">
        <f t="shared" si="115"/>
        <v>F0-AI8-6B</v>
      </c>
      <c r="KI100" cm="1">
        <f t="array" ref="KI100">IF(COUNTIFS($U$2:$U100,$U100)=1,1,INDEX(KI:KI,_xlfn.XMATCH(U100,U$1:U99,0,-1))+COUNT(KI99:KM99))</f>
        <v>141</v>
      </c>
      <c r="KJ100">
        <f t="shared" si="124"/>
        <v>142</v>
      </c>
      <c r="KK100">
        <f t="shared" si="124"/>
        <v>143</v>
      </c>
      <c r="KN100">
        <v>1</v>
      </c>
      <c r="KO100" s="16">
        <v>2</v>
      </c>
      <c r="KS100" s="16"/>
    </row>
    <row r="101" spans="1:305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1471</v>
      </c>
      <c r="X101" t="str">
        <f>IF(COUNTIF(X$1:X100,X100)&gt;7,REPLACE(X100,LEN(X100),1,VALUE(RIGHT(X100,1))+1),X100)</f>
        <v>A3.8</v>
      </c>
      <c r="Y101" s="43" cm="1">
        <f t="array" ref="Y101">IF(COUNTIFS($X$2:$X101,$X101)=1,"1",VALUE(SUBSTITUTE(INDEX(Y:Y,_xlfn.XMATCH($X101,$X$1:$X100,0,-1)),"A",""))+INDEX(Z:Z,_xlfn.XMATCH($X101,$X$1:$X100,0,-1))+1)</f>
        <v>4</v>
      </c>
      <c r="Z101" s="43" cm="1">
        <f t="array" ref="Z101">SUM(IF(ISNUMBER(FIND("TmAi",$BE$1:$AAD$1)),IF(IFERROR(ISODD(SUBSTITUTE($BE101:$AAD101,"A","")),FALSE),IF(ISODD(SUBSTITUTE($BE101:$AAD101,"A","")),1,0),0)))</f>
        <v>0</v>
      </c>
      <c r="AA101" t="str">
        <f t="shared" si="125"/>
        <v>7B</v>
      </c>
      <c r="AB101" t="str">
        <f t="shared" si="126"/>
        <v>8B</v>
      </c>
      <c r="AP101" t="s">
        <v>137</v>
      </c>
      <c r="AS101" t="s">
        <v>396</v>
      </c>
      <c r="JZ101" s="27" t="str">
        <f t="shared" si="113"/>
        <v>XT55</v>
      </c>
      <c r="KC101" t="str">
        <f t="shared" si="114"/>
        <v>F0-AI8-7B</v>
      </c>
      <c r="KD101" t="str">
        <f t="shared" si="115"/>
        <v>F0-AI8-8B</v>
      </c>
      <c r="KI101" cm="1">
        <f t="array" ref="KI101">IF(COUNTIFS($U$2:$U101,$U101)=1,1,INDEX(KI:KI,_xlfn.XMATCH(U101,U$1:U100,0,-1))+COUNT(KI100:KM100))</f>
        <v>144</v>
      </c>
      <c r="KJ101">
        <f t="shared" si="124"/>
        <v>145</v>
      </c>
      <c r="KK101">
        <f t="shared" si="124"/>
        <v>146</v>
      </c>
      <c r="KN101">
        <v>1</v>
      </c>
      <c r="KO101" s="16">
        <v>2</v>
      </c>
      <c r="KS101" s="16"/>
    </row>
    <row r="102" spans="1:305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1472</v>
      </c>
      <c r="X102" t="str">
        <f>IF(COUNTIF(X$1:X101,X101)&gt;7,REPLACE(X101,LEN(X101),1,VALUE(RIGHT(X101,1))+1),X101)</f>
        <v>A3.8</v>
      </c>
      <c r="Y102" s="43" cm="1">
        <f t="array" ref="Y102">IF(COUNTIFS($X$2:$X102,$X102)=1,"1",VALUE(SUBSTITUTE(INDEX(Y:Y,_xlfn.XMATCH($X102,$X$1:$X101,0,-1)),"A",""))+INDEX(Z:Z,_xlfn.XMATCH($X102,$X$1:$X101,0,-1))+1)</f>
        <v>5</v>
      </c>
      <c r="Z102" s="43" cm="1">
        <f t="array" ref="Z102">SUM(IF(ISNUMBER(FIND("TmAi",$BE$1:$AAD$1)),IF(IFERROR(ISODD(SUBSTITUTE($BE102:$AAD102,"A","")),FALSE),IF(ISODD(SUBSTITUTE($BE102:$AAD102,"A","")),1,0),0)))</f>
        <v>0</v>
      </c>
      <c r="AA102" t="str">
        <f t="shared" si="125"/>
        <v>9B</v>
      </c>
      <c r="AB102" t="str">
        <f t="shared" si="126"/>
        <v>10B</v>
      </c>
      <c r="AP102" t="s">
        <v>137</v>
      </c>
      <c r="AS102" t="s">
        <v>396</v>
      </c>
      <c r="JZ102" s="27" t="str">
        <f t="shared" si="113"/>
        <v>XT55</v>
      </c>
      <c r="KC102" t="str">
        <f t="shared" si="114"/>
        <v>F0-AI8-9B</v>
      </c>
      <c r="KD102" t="str">
        <f t="shared" si="115"/>
        <v>F0-AI8-10B</v>
      </c>
      <c r="KI102" cm="1">
        <f t="array" ref="KI102">IF(COUNTIFS($U$2:$U102,$U102)=1,1,INDEX(KI:KI,_xlfn.XMATCH(U102,U$1:U101,0,-1))+COUNT(KI101:KM101))</f>
        <v>147</v>
      </c>
      <c r="KJ102">
        <f t="shared" ref="KJ102:KK122" si="127">KI102+1</f>
        <v>148</v>
      </c>
      <c r="KK102">
        <f t="shared" si="127"/>
        <v>149</v>
      </c>
      <c r="KN102">
        <v>1</v>
      </c>
      <c r="KO102" s="16">
        <v>2</v>
      </c>
      <c r="KS102" s="16"/>
    </row>
    <row r="103" spans="1:305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1473</v>
      </c>
      <c r="X103" t="str">
        <f>IF(COUNTIF(X$1:X102,X102)&gt;7,REPLACE(X102,LEN(X102),1,VALUE(RIGHT(X102,1))+1),X102)</f>
        <v>A3.8</v>
      </c>
      <c r="Y103" s="43" cm="1">
        <f t="array" ref="Y103">IF(COUNTIFS($X$2:$X103,$X103)=1,"1",VALUE(SUBSTITUTE(INDEX(Y:Y,_xlfn.XMATCH($X103,$X$1:$X102,0,-1)),"A",""))+INDEX(Z:Z,_xlfn.XMATCH($X103,$X$1:$X102,0,-1))+1)</f>
        <v>6</v>
      </c>
      <c r="Z103" s="43" cm="1">
        <f t="array" ref="Z103">SUM(IF(ISNUMBER(FIND("TmAi",$BE$1:$AAD$1)),IF(IFERROR(ISODD(SUBSTITUTE($BE103:$AAD103,"A","")),FALSE),IF(ISODD(SUBSTITUTE($BE103:$AAD103,"A","")),1,0),0)))</f>
        <v>0</v>
      </c>
      <c r="AA103" t="str">
        <f t="shared" si="125"/>
        <v>11B</v>
      </c>
      <c r="AB103" t="str">
        <f t="shared" si="126"/>
        <v>12B</v>
      </c>
      <c r="AP103" t="s">
        <v>137</v>
      </c>
      <c r="AS103" t="s">
        <v>396</v>
      </c>
      <c r="JZ103" s="27" t="str">
        <f t="shared" si="113"/>
        <v>XT55</v>
      </c>
      <c r="KC103" t="str">
        <f t="shared" si="114"/>
        <v>F0-AI8-11B</v>
      </c>
      <c r="KD103" t="str">
        <f t="shared" si="115"/>
        <v>F0-AI8-12B</v>
      </c>
      <c r="KI103" cm="1">
        <f t="array" ref="KI103">IF(COUNTIFS($U$2:$U103,$U103)=1,1,INDEX(KI:KI,_xlfn.XMATCH(U103,U$1:U102,0,-1))+COUNT(KI102:KM102))</f>
        <v>150</v>
      </c>
      <c r="KJ103">
        <f t="shared" si="127"/>
        <v>151</v>
      </c>
      <c r="KK103">
        <f t="shared" si="127"/>
        <v>152</v>
      </c>
      <c r="KN103">
        <v>1</v>
      </c>
      <c r="KO103" s="16">
        <v>2</v>
      </c>
      <c r="KS103" s="16"/>
    </row>
    <row r="104" spans="1:305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1474</v>
      </c>
      <c r="X104" t="str">
        <f>IF(COUNTIF(X$1:X103,X103)&gt;7,REPLACE(X103,LEN(X103),1,VALUE(RIGHT(X103,1))+1),X103)</f>
        <v>A3.8</v>
      </c>
      <c r="Y104" s="43" cm="1">
        <f t="array" ref="Y104">IF(COUNTIFS($X$2:$X104,$X104)=1,"1",VALUE(SUBSTITUTE(INDEX(Y:Y,_xlfn.XMATCH($X104,$X$1:$X103,0,-1)),"A",""))+INDEX(Z:Z,_xlfn.XMATCH($X104,$X$1:$X103,0,-1))+1)</f>
        <v>7</v>
      </c>
      <c r="Z104" s="43" cm="1">
        <f t="array" ref="Z104">SUM(IF(ISNUMBER(FIND("TmAi",$BE$1:$AAD$1)),IF(IFERROR(ISODD(SUBSTITUTE($BE104:$AAD104,"A","")),FALSE),IF(ISODD(SUBSTITUTE($BE104:$AAD104,"A","")),1,0),0)))</f>
        <v>0</v>
      </c>
      <c r="AA104" t="str">
        <f t="shared" si="125"/>
        <v>13B</v>
      </c>
      <c r="AB104" t="str">
        <f t="shared" si="126"/>
        <v>14B</v>
      </c>
      <c r="AP104" t="s">
        <v>137</v>
      </c>
      <c r="AS104" t="s">
        <v>396</v>
      </c>
      <c r="JZ104" s="27" t="str">
        <f t="shared" si="113"/>
        <v>XT55</v>
      </c>
      <c r="KC104" t="str">
        <f t="shared" si="114"/>
        <v>F0-AI8-13B</v>
      </c>
      <c r="KD104" t="str">
        <f t="shared" si="115"/>
        <v>F0-AI8-14B</v>
      </c>
      <c r="KI104" cm="1">
        <f t="array" ref="KI104">IF(COUNTIFS($U$2:$U104,$U104)=1,1,INDEX(KI:KI,_xlfn.XMATCH(U104,U$1:U103,0,-1))+COUNT(KI103:KM103))</f>
        <v>153</v>
      </c>
      <c r="KJ104">
        <f t="shared" si="127"/>
        <v>154</v>
      </c>
      <c r="KK104">
        <f t="shared" si="127"/>
        <v>155</v>
      </c>
      <c r="KN104">
        <v>1</v>
      </c>
      <c r="KO104" s="16">
        <v>2</v>
      </c>
      <c r="KS104" s="16"/>
    </row>
    <row r="105" spans="1:305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1475</v>
      </c>
      <c r="X105" s="33" t="str">
        <f>IF(COUNTIF(X$1:X104,X104)&gt;7,REPLACE(X104,LEN(X104),1,VALUE(RIGHT(X104,1))+1),X104)</f>
        <v>A3.8</v>
      </c>
      <c r="Y105" s="45" cm="1">
        <f t="array" ref="Y105">IF(COUNTIFS($X$2:$X105,$X105)=1,"1",VALUE(SUBSTITUTE(INDEX(Y:Y,_xlfn.XMATCH($X105,$X$1:$X104,0,-1)),"A",""))+INDEX(Z:Z,_xlfn.XMATCH($X105,$X$1:$X104,0,-1))+1)</f>
        <v>8</v>
      </c>
      <c r="Z105" s="43" cm="1">
        <f t="array" ref="Z105">SUM(IF(ISNUMBER(FIND("TmAi",$BE$1:$AAD$1)),IF(IFERROR(ISODD(SUBSTITUTE($BE105:$AAD105,"A","")),FALSE),IF(ISODD(SUBSTITUTE($BE105:$AAD105,"A","")),1,0),0)))</f>
        <v>0</v>
      </c>
      <c r="AA105" t="str">
        <f t="shared" si="125"/>
        <v>15B</v>
      </c>
      <c r="AB105" t="str">
        <f t="shared" si="126"/>
        <v>16B</v>
      </c>
      <c r="AP105" t="s">
        <v>137</v>
      </c>
      <c r="AS105" t="s">
        <v>396</v>
      </c>
      <c r="JZ105" s="27" t="str">
        <f t="shared" si="113"/>
        <v>XT55</v>
      </c>
      <c r="KC105" t="str">
        <f t="shared" si="114"/>
        <v>F0-AI8-15B</v>
      </c>
      <c r="KD105" t="str">
        <f t="shared" si="115"/>
        <v>F0-AI8-16B</v>
      </c>
      <c r="KI105" cm="1">
        <f t="array" ref="KI105">IF(COUNTIFS($U$2:$U105,$U105)=1,1,INDEX(KI:KI,_xlfn.XMATCH(U105,U$1:U104,0,-1))+COUNT(KI104:KM104))</f>
        <v>156</v>
      </c>
      <c r="KJ105">
        <f t="shared" si="127"/>
        <v>157</v>
      </c>
      <c r="KK105">
        <f t="shared" si="127"/>
        <v>158</v>
      </c>
      <c r="KN105">
        <v>1</v>
      </c>
      <c r="KO105" s="16">
        <v>2</v>
      </c>
      <c r="KS105" s="16"/>
    </row>
    <row r="106" spans="1:305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1476</v>
      </c>
      <c r="X106" t="str">
        <f>IF(COUNTIF(X$1:X105,X105)&gt;7,REPLACE(X105,LEN(X105),1,VALUE(RIGHT(X105,1))+1),X105)</f>
        <v>A3.9</v>
      </c>
      <c r="Y106" s="43" t="str" cm="1">
        <f t="array" ref="Y106">IF(COUNTIFS($X$2:$X106,$X106)=1,"1",VALUE(SUBSTITUTE(INDEX(Y:Y,_xlfn.XMATCH($X106,$X$1:$X105,0,-1)),"A",""))+INDEX(Z:Z,_xlfn.XMATCH($X106,$X$1:$X105,0,-1))+1)</f>
        <v>1</v>
      </c>
      <c r="Z106" s="43" cm="1">
        <f t="array" ref="Z106">SUM(IF(ISNUMBER(FIND("TmAi",$BE$1:$AAD$1)),IF(IFERROR(ISODD(SUBSTITUTE($BE106:$AAD106,"A","")),FALSE),IF(ISODD(SUBSTITUTE($BE106:$AAD106,"A","")),1,0),0)))</f>
        <v>0</v>
      </c>
      <c r="AA106" t="str">
        <f t="shared" si="125"/>
        <v>1B</v>
      </c>
      <c r="AB106" t="str">
        <f t="shared" si="126"/>
        <v>2B</v>
      </c>
      <c r="AP106" t="s">
        <v>137</v>
      </c>
      <c r="AS106" t="s">
        <v>396</v>
      </c>
      <c r="JZ106" s="27" t="str">
        <f t="shared" si="113"/>
        <v>XT55</v>
      </c>
      <c r="KC106" t="str">
        <f t="shared" si="114"/>
        <v>F0-AI9-1B</v>
      </c>
      <c r="KD106" t="str">
        <f t="shared" si="115"/>
        <v>F0-AI9-2B</v>
      </c>
      <c r="KI106" cm="1">
        <f t="array" ref="KI106">IF(COUNTIFS($U$2:$U106,$U106)=1,1,INDEX(KI:KI,_xlfn.XMATCH(U106,U$1:U105,0,-1))+COUNT(KI105:KM105))</f>
        <v>159</v>
      </c>
      <c r="KJ106">
        <f t="shared" si="127"/>
        <v>160</v>
      </c>
      <c r="KK106">
        <f t="shared" si="127"/>
        <v>161</v>
      </c>
      <c r="KN106">
        <v>1</v>
      </c>
      <c r="KO106" s="16">
        <v>2</v>
      </c>
      <c r="KS106" s="16"/>
    </row>
    <row r="107" spans="1:305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1477</v>
      </c>
      <c r="X107" t="str">
        <f>IF(COUNTIF(X$1:X106,X106)&gt;7,REPLACE(X106,LEN(X106),1,VALUE(RIGHT(X106,1))+1),X106)</f>
        <v>A3.9</v>
      </c>
      <c r="Y107" s="43" cm="1">
        <f t="array" ref="Y107">IF(COUNTIFS($X$2:$X107,$X107)=1,"1",VALUE(SUBSTITUTE(INDEX(Y:Y,_xlfn.XMATCH($X107,$X$1:$X106,0,-1)),"A",""))+INDEX(Z:Z,_xlfn.XMATCH($X107,$X$1:$X106,0,-1))+1)</f>
        <v>2</v>
      </c>
      <c r="Z107" s="43" cm="1">
        <f t="array" ref="Z107">SUM(IF(ISNUMBER(FIND("TmAi",$BE$1:$AAD$1)),IF(IFERROR(ISODD(SUBSTITUTE($BE107:$AAD107,"A","")),FALSE),IF(ISODD(SUBSTITUTE($BE107:$AAD107,"A","")),1,0),0)))</f>
        <v>0</v>
      </c>
      <c r="AA107" t="str">
        <f t="shared" si="125"/>
        <v>3B</v>
      </c>
      <c r="AB107" t="str">
        <f t="shared" si="126"/>
        <v>4B</v>
      </c>
      <c r="AP107" t="s">
        <v>137</v>
      </c>
      <c r="AS107" t="s">
        <v>396</v>
      </c>
      <c r="JZ107" s="27" t="str">
        <f t="shared" si="113"/>
        <v>XT55</v>
      </c>
      <c r="KC107" t="str">
        <f t="shared" si="114"/>
        <v>F0-AI9-3B</v>
      </c>
      <c r="KD107" t="str">
        <f t="shared" si="115"/>
        <v>F0-AI9-4B</v>
      </c>
      <c r="KI107" cm="1">
        <f t="array" ref="KI107">IF(COUNTIFS($U$2:$U107,$U107)=1,1,INDEX(KI:KI,_xlfn.XMATCH(U107,U$1:U106,0,-1))+COUNT(KI106:KM106))</f>
        <v>162</v>
      </c>
      <c r="KJ107">
        <f t="shared" si="127"/>
        <v>163</v>
      </c>
      <c r="KK107">
        <f t="shared" si="127"/>
        <v>164</v>
      </c>
      <c r="KN107">
        <v>1</v>
      </c>
      <c r="KO107" s="16">
        <v>2</v>
      </c>
      <c r="KS107" s="16"/>
    </row>
    <row r="108" spans="1:305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1478</v>
      </c>
      <c r="X108" t="str">
        <f>IF(COUNTIF(X$1:X107,X107)&gt;7,REPLACE(X107,LEN(X107),1,VALUE(RIGHT(X107,1))+1),X107)</f>
        <v>A3.9</v>
      </c>
      <c r="Y108" s="43" cm="1">
        <f t="array" ref="Y108">IF(COUNTIFS($X$2:$X108,$X108)=1,"1",VALUE(SUBSTITUTE(INDEX(Y:Y,_xlfn.XMATCH($X108,$X$1:$X107,0,-1)),"A",""))+INDEX(Z:Z,_xlfn.XMATCH($X108,$X$1:$X107,0,-1))+1)</f>
        <v>3</v>
      </c>
      <c r="Z108" s="43" cm="1">
        <f t="array" ref="Z108">SUM(IF(ISNUMBER(FIND("TmAi",$BE$1:$AAD$1)),IF(IFERROR(ISODD(SUBSTITUTE($BE108:$AAD108,"A","")),FALSE),IF(ISODD(SUBSTITUTE($BE108:$AAD108,"A","")),1,0),0)))</f>
        <v>0</v>
      </c>
      <c r="AA108" t="str">
        <f t="shared" si="125"/>
        <v>5B</v>
      </c>
      <c r="AB108" t="str">
        <f t="shared" si="126"/>
        <v>6B</v>
      </c>
      <c r="AP108" t="s">
        <v>137</v>
      </c>
      <c r="AS108" t="s">
        <v>396</v>
      </c>
      <c r="JZ108" s="27" t="str">
        <f t="shared" si="113"/>
        <v>XT55</v>
      </c>
      <c r="KC108" t="str">
        <f t="shared" si="114"/>
        <v>F0-AI9-5B</v>
      </c>
      <c r="KD108" t="str">
        <f t="shared" si="115"/>
        <v>F0-AI9-6B</v>
      </c>
      <c r="KI108" cm="1">
        <f t="array" ref="KI108">IF(COUNTIFS($U$2:$U108,$U108)=1,1,INDEX(KI:KI,_xlfn.XMATCH(U108,U$1:U107,0,-1))+COUNT(KI107:KM107))</f>
        <v>165</v>
      </c>
      <c r="KJ108">
        <f t="shared" si="127"/>
        <v>166</v>
      </c>
      <c r="KK108">
        <f t="shared" si="127"/>
        <v>167</v>
      </c>
      <c r="KN108">
        <v>1</v>
      </c>
      <c r="KO108" s="16">
        <v>2</v>
      </c>
      <c r="KS108" s="16"/>
    </row>
    <row r="109" spans="1:305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1479</v>
      </c>
      <c r="X109" t="str">
        <f>IF(COUNTIF(X$1:X108,X108)&gt;7,REPLACE(X108,LEN(X108),1,VALUE(RIGHT(X108,1))+1),X108)</f>
        <v>A3.9</v>
      </c>
      <c r="Y109" s="43" cm="1">
        <f t="array" ref="Y109">IF(COUNTIFS($X$2:$X109,$X109)=1,"1",VALUE(SUBSTITUTE(INDEX(Y:Y,_xlfn.XMATCH($X109,$X$1:$X108,0,-1)),"A",""))+INDEX(Z:Z,_xlfn.XMATCH($X109,$X$1:$X108,0,-1))+1)</f>
        <v>4</v>
      </c>
      <c r="Z109" s="43" cm="1">
        <f t="array" ref="Z109">SUM(IF(ISNUMBER(FIND("TmAi",$BE$1:$AAD$1)),IF(IFERROR(ISODD(SUBSTITUTE($BE109:$AAD109,"A","")),FALSE),IF(ISODD(SUBSTITUTE($BE109:$AAD109,"A","")),1,0),0)))</f>
        <v>0</v>
      </c>
      <c r="AA109" t="str">
        <f t="shared" si="125"/>
        <v>7B</v>
      </c>
      <c r="AB109" t="str">
        <f t="shared" si="126"/>
        <v>8B</v>
      </c>
      <c r="AP109" t="s">
        <v>137</v>
      </c>
      <c r="AS109" t="s">
        <v>396</v>
      </c>
      <c r="JZ109" s="27" t="str">
        <f t="shared" si="113"/>
        <v>XT55</v>
      </c>
      <c r="KC109" t="str">
        <f t="shared" si="114"/>
        <v>F0-AI9-7B</v>
      </c>
      <c r="KD109" t="str">
        <f t="shared" si="115"/>
        <v>F0-AI9-8B</v>
      </c>
      <c r="KI109" cm="1">
        <f t="array" ref="KI109">IF(COUNTIFS($U$2:$U109,$U109)=1,1,INDEX(KI:KI,_xlfn.XMATCH(U109,U$1:U108,0,-1))+COUNT(KI108:KM108))</f>
        <v>168</v>
      </c>
      <c r="KJ109">
        <f t="shared" si="127"/>
        <v>169</v>
      </c>
      <c r="KK109">
        <f t="shared" si="127"/>
        <v>170</v>
      </c>
      <c r="KN109">
        <v>1</v>
      </c>
      <c r="KO109" s="16">
        <v>2</v>
      </c>
      <c r="KS109" s="16"/>
    </row>
    <row r="110" spans="1:305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1480</v>
      </c>
      <c r="X110" t="str">
        <f>IF(COUNTIF(X$1:X109,X109)&gt;7,REPLACE(X109,LEN(X109),1,VALUE(RIGHT(X109,1))+1),X109)</f>
        <v>A3.9</v>
      </c>
      <c r="Y110" s="43" cm="1">
        <f t="array" ref="Y110">IF(COUNTIFS($X$2:$X110,$X110)=1,"1",VALUE(SUBSTITUTE(INDEX(Y:Y,_xlfn.XMATCH($X110,$X$1:$X109,0,-1)),"A",""))+INDEX(Z:Z,_xlfn.XMATCH($X110,$X$1:$X109,0,-1))+1)</f>
        <v>5</v>
      </c>
      <c r="Z110" s="43" cm="1">
        <f t="array" ref="Z110">SUM(IF(ISNUMBER(FIND("TmAi",$BE$1:$AAD$1)),IF(IFERROR(ISODD(SUBSTITUTE($BE110:$AAD110,"A","")),FALSE),IF(ISODD(SUBSTITUTE($BE110:$AAD110,"A","")),1,0),0)))</f>
        <v>0</v>
      </c>
      <c r="AA110" t="str">
        <f t="shared" si="125"/>
        <v>9B</v>
      </c>
      <c r="AB110" t="str">
        <f t="shared" si="126"/>
        <v>10B</v>
      </c>
      <c r="AP110" t="s">
        <v>137</v>
      </c>
      <c r="AS110" t="s">
        <v>396</v>
      </c>
      <c r="JZ110" s="27" t="str">
        <f t="shared" si="113"/>
        <v>XT55</v>
      </c>
      <c r="KC110" t="str">
        <f t="shared" si="114"/>
        <v>F0-AI9-9B</v>
      </c>
      <c r="KD110" t="str">
        <f t="shared" si="115"/>
        <v>F0-AI9-10B</v>
      </c>
      <c r="KI110" cm="1">
        <f t="array" ref="KI110">IF(COUNTIFS($U$2:$U110,$U110)=1,1,INDEX(KI:KI,_xlfn.XMATCH(U110,U$1:U109,0,-1))+COUNT(KI109:KM109))</f>
        <v>171</v>
      </c>
      <c r="KJ110">
        <f t="shared" si="127"/>
        <v>172</v>
      </c>
      <c r="KK110">
        <f t="shared" si="127"/>
        <v>173</v>
      </c>
      <c r="KN110">
        <v>1</v>
      </c>
      <c r="KO110" s="16">
        <v>2</v>
      </c>
      <c r="KS110" s="16"/>
    </row>
    <row r="111" spans="1:305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1481</v>
      </c>
      <c r="X111" t="str">
        <f>IF(COUNTIF(X$1:X110,X110)&gt;7,REPLACE(X110,LEN(X110),1,VALUE(RIGHT(X110,1))+1),X110)</f>
        <v>A3.9</v>
      </c>
      <c r="Y111" s="43" cm="1">
        <f t="array" ref="Y111">IF(COUNTIFS($X$2:$X111,$X111)=1,"1",VALUE(SUBSTITUTE(INDEX(Y:Y,_xlfn.XMATCH($X111,$X$1:$X110,0,-1)),"A",""))+INDEX(Z:Z,_xlfn.XMATCH($X111,$X$1:$X110,0,-1))+1)</f>
        <v>6</v>
      </c>
      <c r="Z111" s="43" cm="1">
        <f t="array" ref="Z111">SUM(IF(ISNUMBER(FIND("TmAi",$BE$1:$AAD$1)),IF(IFERROR(ISODD(SUBSTITUTE($BE111:$AAD111,"A","")),FALSE),IF(ISODD(SUBSTITUTE($BE111:$AAD111,"A","")),1,0),0)))</f>
        <v>0</v>
      </c>
      <c r="AA111" t="str">
        <f t="shared" si="125"/>
        <v>11B</v>
      </c>
      <c r="AB111" t="str">
        <f t="shared" si="126"/>
        <v>12B</v>
      </c>
      <c r="AP111" t="s">
        <v>137</v>
      </c>
      <c r="AS111" t="s">
        <v>396</v>
      </c>
      <c r="JZ111" s="27" t="str">
        <f t="shared" si="113"/>
        <v>XT55</v>
      </c>
      <c r="KC111" t="str">
        <f t="shared" si="114"/>
        <v>F0-AI9-11B</v>
      </c>
      <c r="KD111" t="str">
        <f t="shared" si="115"/>
        <v>F0-AI9-12B</v>
      </c>
      <c r="KI111" cm="1">
        <f t="array" ref="KI111">IF(COUNTIFS($U$2:$U111,$U111)=1,1,INDEX(KI:KI,_xlfn.XMATCH(U111,U$1:U110,0,-1))+COUNT(KI110:KM110))</f>
        <v>174</v>
      </c>
      <c r="KJ111">
        <f t="shared" si="127"/>
        <v>175</v>
      </c>
      <c r="KK111">
        <f t="shared" si="127"/>
        <v>176</v>
      </c>
      <c r="KN111">
        <v>1</v>
      </c>
      <c r="KO111" s="16">
        <v>2</v>
      </c>
      <c r="KS111" s="16"/>
    </row>
    <row r="112" spans="1:305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1482</v>
      </c>
      <c r="X112" t="str">
        <f>IF(COUNTIF(X$1:X111,X111)&gt;7,REPLACE(X111,LEN(X111),1,VALUE(RIGHT(X111,1))+1),X111)</f>
        <v>A3.9</v>
      </c>
      <c r="Y112" s="43" cm="1">
        <f t="array" ref="Y112">IF(COUNTIFS($X$2:$X112,$X112)=1,"1",VALUE(SUBSTITUTE(INDEX(Y:Y,_xlfn.XMATCH($X112,$X$1:$X111,0,-1)),"A",""))+INDEX(Z:Z,_xlfn.XMATCH($X112,$X$1:$X111,0,-1))+1)</f>
        <v>7</v>
      </c>
      <c r="Z112" s="43" cm="1">
        <f t="array" ref="Z112">SUM(IF(ISNUMBER(FIND("TmAi",$BE$1:$AAD$1)),IF(IFERROR(ISODD(SUBSTITUTE($BE112:$AAD112,"A","")),FALSE),IF(ISODD(SUBSTITUTE($BE112:$AAD112,"A","")),1,0),0)))</f>
        <v>0</v>
      </c>
      <c r="AA112" t="str">
        <f t="shared" si="125"/>
        <v>13B</v>
      </c>
      <c r="AB112" t="str">
        <f t="shared" si="126"/>
        <v>14B</v>
      </c>
      <c r="AP112" t="s">
        <v>137</v>
      </c>
      <c r="AS112" t="s">
        <v>396</v>
      </c>
      <c r="JZ112" s="27" t="str">
        <f t="shared" si="113"/>
        <v>XT55</v>
      </c>
      <c r="KC112" t="str">
        <f t="shared" si="114"/>
        <v>F0-AI9-13B</v>
      </c>
      <c r="KD112" t="str">
        <f t="shared" si="115"/>
        <v>F0-AI9-14B</v>
      </c>
      <c r="KI112" cm="1">
        <f t="array" ref="KI112">IF(COUNTIFS($U$2:$U112,$U112)=1,1,INDEX(KI:KI,_xlfn.XMATCH(U112,U$1:U111,0,-1))+COUNT(KI111:KM111))</f>
        <v>177</v>
      </c>
      <c r="KJ112">
        <f t="shared" si="127"/>
        <v>178</v>
      </c>
      <c r="KK112">
        <f t="shared" si="127"/>
        <v>179</v>
      </c>
      <c r="KN112">
        <v>1</v>
      </c>
      <c r="KO112" s="16">
        <v>2</v>
      </c>
      <c r="KS112" s="16"/>
    </row>
    <row r="113" spans="1:305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1483</v>
      </c>
      <c r="X113" s="33" t="str">
        <f>IF(COUNTIF(X$1:X112,X112)&gt;7,REPLACE(X112,LEN(X112),1,VALUE(RIGHT(X112,1))+1),X112)</f>
        <v>A3.9</v>
      </c>
      <c r="Y113" s="45" cm="1">
        <f t="array" ref="Y113">IF(COUNTIFS($X$2:$X113,$X113)=1,"1",VALUE(SUBSTITUTE(INDEX(Y:Y,_xlfn.XMATCH($X113,$X$1:$X112,0,-1)),"A",""))+INDEX(Z:Z,_xlfn.XMATCH($X113,$X$1:$X112,0,-1))+1)</f>
        <v>8</v>
      </c>
      <c r="Z113" s="43" cm="1">
        <f t="array" ref="Z113">SUM(IF(ISNUMBER(FIND("TmAi",$BE$1:$AAD$1)),IF(IFERROR(ISODD(SUBSTITUTE($BE113:$AAD113,"A","")),FALSE),IF(ISODD(SUBSTITUTE($BE113:$AAD113,"A","")),1,0),0)))</f>
        <v>0</v>
      </c>
      <c r="AA113" t="str">
        <f t="shared" si="125"/>
        <v>15B</v>
      </c>
      <c r="AB113" t="str">
        <f t="shared" si="126"/>
        <v>16B</v>
      </c>
      <c r="AP113" t="s">
        <v>137</v>
      </c>
      <c r="AS113" t="s">
        <v>396</v>
      </c>
      <c r="JZ113" s="27" t="str">
        <f t="shared" si="113"/>
        <v>XT55</v>
      </c>
      <c r="KC113" t="str">
        <f t="shared" si="114"/>
        <v>F0-AI9-15B</v>
      </c>
      <c r="KD113" t="str">
        <f t="shared" si="115"/>
        <v>F0-AI9-16B</v>
      </c>
      <c r="KI113" cm="1">
        <f t="array" ref="KI113">IF(COUNTIFS($U$2:$U113,$U113)=1,1,INDEX(KI:KI,_xlfn.XMATCH(U113,U$1:U112,0,-1))+COUNT(KI112:KM112))</f>
        <v>180</v>
      </c>
      <c r="KJ113">
        <f t="shared" si="127"/>
        <v>181</v>
      </c>
      <c r="KK113">
        <f t="shared" si="127"/>
        <v>182</v>
      </c>
      <c r="KN113">
        <v>1</v>
      </c>
      <c r="KO113" s="16">
        <v>2</v>
      </c>
      <c r="KS113" s="16"/>
    </row>
    <row r="114" spans="1:305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1484</v>
      </c>
      <c r="X114" t="str">
        <f>IF(COUNTIF(X$1:X113,X113)&gt;7,REPLACE(X113,LEN(X113),1,VALUE(RIGHT(X113,1))+1),X113)</f>
        <v>A3.10</v>
      </c>
      <c r="Y114" s="43" t="str" cm="1">
        <f t="array" ref="Y114">IF(COUNTIFS($X$2:$X114,$X114)=1,"1",VALUE(SUBSTITUTE(INDEX(Y:Y,_xlfn.XMATCH($X114,$X$1:$X113,0,-1)),"A",""))+INDEX(Z:Z,_xlfn.XMATCH($X114,$X$1:$X113,0,-1))+1)</f>
        <v>1</v>
      </c>
      <c r="Z114" s="43" cm="1">
        <f t="array" ref="Z114">SUM(IF(ISNUMBER(FIND("TmAi",$BE$1:$AAD$1)),IF(IFERROR(ISODD(SUBSTITUTE($BE114:$AAD114,"A","")),FALSE),IF(ISODD(SUBSTITUTE($BE114:$AAD114,"A","")),1,0),0)))</f>
        <v>0</v>
      </c>
      <c r="AA114" t="str">
        <f t="shared" si="125"/>
        <v>1B</v>
      </c>
      <c r="AB114" t="str">
        <f t="shared" si="126"/>
        <v>2B</v>
      </c>
      <c r="AP114" t="s">
        <v>137</v>
      </c>
      <c r="AS114" t="s">
        <v>396</v>
      </c>
      <c r="JZ114" s="27" t="str">
        <f t="shared" si="113"/>
        <v>XT55</v>
      </c>
      <c r="KC114" t="str">
        <f t="shared" si="114"/>
        <v>F0-AI10-1B</v>
      </c>
      <c r="KD114" t="str">
        <f t="shared" si="115"/>
        <v>F0-AI10-2B</v>
      </c>
      <c r="KI114" cm="1">
        <f t="array" ref="KI114">IF(COUNTIFS($U$2:$U114,$U114)=1,1,INDEX(KI:KI,_xlfn.XMATCH(U114,U$1:U113,0,-1))+COUNT(KI113:KM113))</f>
        <v>183</v>
      </c>
      <c r="KJ114">
        <f t="shared" si="127"/>
        <v>184</v>
      </c>
      <c r="KK114">
        <f t="shared" si="127"/>
        <v>185</v>
      </c>
      <c r="KN114">
        <v>1</v>
      </c>
      <c r="KO114" s="16">
        <v>2</v>
      </c>
      <c r="KS114" s="16"/>
    </row>
    <row r="115" spans="1:305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1485</v>
      </c>
      <c r="X115" t="str">
        <f>IF(COUNTIF(X$1:X114,X114)&gt;7,REPLACE(X114,LEN(X114),1,VALUE(RIGHT(X114,1))+1),X114)</f>
        <v>A3.10</v>
      </c>
      <c r="Y115" s="43" cm="1">
        <f t="array" ref="Y115">IF(COUNTIFS($X$2:$X115,$X115)=1,"1",VALUE(SUBSTITUTE(INDEX(Y:Y,_xlfn.XMATCH($X115,$X$1:$X114,0,-1)),"A",""))+INDEX(Z:Z,_xlfn.XMATCH($X115,$X$1:$X114,0,-1))+1)</f>
        <v>2</v>
      </c>
      <c r="Z115" s="43" cm="1">
        <f t="array" ref="Z115">SUM(IF(ISNUMBER(FIND("TmAi",$BE$1:$AAD$1)),IF(IFERROR(ISODD(SUBSTITUTE($BE115:$AAD115,"A","")),FALSE),IF(ISODD(SUBSTITUTE($BE115:$AAD115,"A","")),1,0),0)))</f>
        <v>0</v>
      </c>
      <c r="AA115" t="str">
        <f t="shared" si="125"/>
        <v>3B</v>
      </c>
      <c r="AB115" t="str">
        <f t="shared" si="126"/>
        <v>4B</v>
      </c>
      <c r="AP115" t="s">
        <v>137</v>
      </c>
      <c r="AS115" t="s">
        <v>396</v>
      </c>
      <c r="JZ115" s="27" t="str">
        <f t="shared" si="113"/>
        <v>XT55</v>
      </c>
      <c r="KC115" t="str">
        <f t="shared" si="114"/>
        <v>F0-AI10-3B</v>
      </c>
      <c r="KD115" t="str">
        <f t="shared" si="115"/>
        <v>F0-AI10-4B</v>
      </c>
      <c r="KI115" cm="1">
        <f t="array" ref="KI115">IF(COUNTIFS($U$2:$U115,$U115)=1,1,INDEX(KI:KI,_xlfn.XMATCH(U115,U$1:U114,0,-1))+COUNT(KI114:KM114))</f>
        <v>186</v>
      </c>
      <c r="KJ115">
        <f t="shared" si="127"/>
        <v>187</v>
      </c>
      <c r="KK115">
        <f t="shared" si="127"/>
        <v>188</v>
      </c>
      <c r="KN115">
        <v>1</v>
      </c>
      <c r="KO115" s="16">
        <v>2</v>
      </c>
      <c r="KS115" s="16"/>
    </row>
    <row r="116" spans="1:305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1486</v>
      </c>
      <c r="X116" t="str">
        <f>IF(COUNTIF(X$1:X115,X115)&gt;7,REPLACE(X115,LEN(X115),1,VALUE(RIGHT(X115,1))+1),X115)</f>
        <v>A3.10</v>
      </c>
      <c r="Y116" s="43" cm="1">
        <f t="array" ref="Y116">IF(COUNTIFS($X$2:$X116,$X116)=1,"1",VALUE(SUBSTITUTE(INDEX(Y:Y,_xlfn.XMATCH($X116,$X$1:$X115,0,-1)),"A",""))+INDEX(Z:Z,_xlfn.XMATCH($X116,$X$1:$X115,0,-1))+1)</f>
        <v>3</v>
      </c>
      <c r="Z116" s="43" cm="1">
        <f t="array" ref="Z116">SUM(IF(ISNUMBER(FIND("TmAi",$BE$1:$AAD$1)),IF(IFERROR(ISODD(SUBSTITUTE($BE116:$AAD116,"A","")),FALSE),IF(ISODD(SUBSTITUTE($BE116:$AAD116,"A","")),1,0),0)))</f>
        <v>0</v>
      </c>
      <c r="AA116" t="str">
        <f t="shared" si="125"/>
        <v>5B</v>
      </c>
      <c r="AB116" t="str">
        <f t="shared" si="126"/>
        <v>6B</v>
      </c>
      <c r="AP116" t="s">
        <v>137</v>
      </c>
      <c r="AS116" t="s">
        <v>396</v>
      </c>
      <c r="JZ116" s="27" t="str">
        <f t="shared" si="113"/>
        <v>XT55</v>
      </c>
      <c r="KC116" t="str">
        <f t="shared" si="114"/>
        <v>F0-AI10-5B</v>
      </c>
      <c r="KD116" t="str">
        <f t="shared" si="115"/>
        <v>F0-AI10-6B</v>
      </c>
      <c r="KI116" cm="1">
        <f t="array" ref="KI116">IF(COUNTIFS($U$2:$U116,$U116)=1,1,INDEX(KI:KI,_xlfn.XMATCH(U116,U$1:U115,0,-1))+COUNT(KI115:KM115))</f>
        <v>189</v>
      </c>
      <c r="KJ116">
        <f t="shared" si="127"/>
        <v>190</v>
      </c>
      <c r="KK116">
        <f t="shared" si="127"/>
        <v>191</v>
      </c>
      <c r="KN116">
        <v>1</v>
      </c>
      <c r="KO116" s="16">
        <v>2</v>
      </c>
      <c r="KS116" s="16"/>
    </row>
    <row r="117" spans="1:305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1487</v>
      </c>
      <c r="X117" t="str">
        <f>IF(COUNTIF(X$1:X116,X116)&gt;7,REPLACE(X116,LEN(X116),1,VALUE(RIGHT(X116,1))+1),X116)</f>
        <v>A3.10</v>
      </c>
      <c r="Y117" s="43" cm="1">
        <f t="array" ref="Y117">IF(COUNTIFS($X$2:$X117,$X117)=1,"1",VALUE(SUBSTITUTE(INDEX(Y:Y,_xlfn.XMATCH($X117,$X$1:$X116,0,-1)),"A",""))+INDEX(Z:Z,_xlfn.XMATCH($X117,$X$1:$X116,0,-1))+1)</f>
        <v>4</v>
      </c>
      <c r="Z117" s="43" cm="1">
        <f t="array" ref="Z117">SUM(IF(ISNUMBER(FIND("TmAi",$BE$1:$AAD$1)),IF(IFERROR(ISODD(SUBSTITUTE($BE117:$AAD117,"A","")),FALSE),IF(ISODD(SUBSTITUTE($BE117:$AAD117,"A","")),1,0),0)))</f>
        <v>0</v>
      </c>
      <c r="AA117" t="str">
        <f t="shared" si="125"/>
        <v>7B</v>
      </c>
      <c r="AB117" t="str">
        <f t="shared" si="126"/>
        <v>8B</v>
      </c>
      <c r="AP117" t="s">
        <v>137</v>
      </c>
      <c r="AS117" t="s">
        <v>396</v>
      </c>
      <c r="JZ117" s="27" t="str">
        <f t="shared" si="113"/>
        <v>XT55</v>
      </c>
      <c r="KC117" t="str">
        <f t="shared" si="114"/>
        <v>F0-AI10-7B</v>
      </c>
      <c r="KD117" t="str">
        <f t="shared" si="115"/>
        <v>F0-AI10-8B</v>
      </c>
      <c r="KI117" cm="1">
        <f t="array" ref="KI117">IF(COUNTIFS($U$2:$U117,$U117)=1,1,INDEX(KI:KI,_xlfn.XMATCH(U117,U$1:U116,0,-1))+COUNT(KI116:KM116))</f>
        <v>192</v>
      </c>
      <c r="KJ117">
        <f t="shared" si="127"/>
        <v>193</v>
      </c>
      <c r="KK117">
        <f t="shared" si="127"/>
        <v>194</v>
      </c>
      <c r="KN117">
        <v>1</v>
      </c>
      <c r="KO117" s="16">
        <v>2</v>
      </c>
      <c r="KS117" s="16"/>
    </row>
    <row r="118" spans="1:305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1488</v>
      </c>
      <c r="X118" t="str">
        <f>IF(COUNTIF(X$1:X117,X117)&gt;7,REPLACE(X117,LEN(X117),1,VALUE(RIGHT(X117,1))+1),X117)</f>
        <v>A3.10</v>
      </c>
      <c r="Y118" s="43" cm="1">
        <f t="array" ref="Y118">IF(COUNTIFS($X$2:$X118,$X118)=1,"1",VALUE(SUBSTITUTE(INDEX(Y:Y,_xlfn.XMATCH($X118,$X$1:$X117,0,-1)),"A",""))+INDEX(Z:Z,_xlfn.XMATCH($X118,$X$1:$X117,0,-1))+1)</f>
        <v>5</v>
      </c>
      <c r="Z118" s="43" cm="1">
        <f t="array" ref="Z118">SUM(IF(ISNUMBER(FIND("TmAi",$BE$1:$AAD$1)),IF(IFERROR(ISODD(SUBSTITUTE($BE118:$AAD118,"A","")),FALSE),IF(ISODD(SUBSTITUTE($BE118:$AAD118,"A","")),1,0),0)))</f>
        <v>0</v>
      </c>
      <c r="AA118" t="str">
        <f t="shared" si="125"/>
        <v>9B</v>
      </c>
      <c r="AB118" t="str">
        <f t="shared" si="126"/>
        <v>10B</v>
      </c>
      <c r="AP118" t="s">
        <v>137</v>
      </c>
      <c r="AS118" t="s">
        <v>396</v>
      </c>
      <c r="JZ118" s="27" t="str">
        <f t="shared" si="113"/>
        <v>XT55</v>
      </c>
      <c r="KC118" t="str">
        <f t="shared" si="114"/>
        <v>F0-AI10-9B</v>
      </c>
      <c r="KD118" t="str">
        <f t="shared" si="115"/>
        <v>F0-AI10-10B</v>
      </c>
      <c r="KI118" cm="1">
        <f t="array" ref="KI118">IF(COUNTIFS($U$2:$U118,$U118)=1,1,INDEX(KI:KI,_xlfn.XMATCH(U118,U$1:U117,0,-1))+COUNT(KI117:KM117))</f>
        <v>195</v>
      </c>
      <c r="KJ118">
        <f t="shared" si="127"/>
        <v>196</v>
      </c>
      <c r="KK118">
        <f t="shared" si="127"/>
        <v>197</v>
      </c>
      <c r="KN118">
        <v>1</v>
      </c>
      <c r="KO118" s="16">
        <v>2</v>
      </c>
      <c r="KS118" s="16"/>
    </row>
    <row r="119" spans="1:305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1489</v>
      </c>
      <c r="X119" t="str">
        <f>IF(COUNTIF(X$1:X118,X118)&gt;7,REPLACE(X118,LEN(X118),1,VALUE(RIGHT(X118,1))+1),X118)</f>
        <v>A3.10</v>
      </c>
      <c r="Y119" s="43" cm="1">
        <f t="array" ref="Y119">IF(COUNTIFS($X$2:$X119,$X119)=1,"1",VALUE(SUBSTITUTE(INDEX(Y:Y,_xlfn.XMATCH($X119,$X$1:$X118,0,-1)),"A",""))+INDEX(Z:Z,_xlfn.XMATCH($X119,$X$1:$X118,0,-1))+1)</f>
        <v>6</v>
      </c>
      <c r="Z119" s="43" cm="1">
        <f t="array" ref="Z119">SUM(IF(ISNUMBER(FIND("TmAi",$BE$1:$AAD$1)),IF(IFERROR(ISODD(SUBSTITUTE($BE119:$AAD119,"A","")),FALSE),IF(ISODD(SUBSTITUTE($BE119:$AAD119,"A","")),1,0),0)))</f>
        <v>0</v>
      </c>
      <c r="AA119" t="str">
        <f t="shared" si="125"/>
        <v>11B</v>
      </c>
      <c r="AB119" t="str">
        <f t="shared" si="126"/>
        <v>12B</v>
      </c>
      <c r="AP119" t="s">
        <v>137</v>
      </c>
      <c r="AS119" t="s">
        <v>396</v>
      </c>
      <c r="JZ119" s="27" t="str">
        <f t="shared" si="113"/>
        <v>XT55</v>
      </c>
      <c r="KC119" t="str">
        <f t="shared" si="114"/>
        <v>F0-AI10-11B</v>
      </c>
      <c r="KD119" t="str">
        <f t="shared" si="115"/>
        <v>F0-AI10-12B</v>
      </c>
      <c r="KI119" cm="1">
        <f t="array" ref="KI119">IF(COUNTIFS($U$2:$U119,$U119)=1,1,INDEX(KI:KI,_xlfn.XMATCH(U119,U$1:U118,0,-1))+COUNT(KI118:KM118))</f>
        <v>198</v>
      </c>
      <c r="KJ119">
        <f t="shared" si="127"/>
        <v>199</v>
      </c>
      <c r="KK119">
        <f t="shared" si="127"/>
        <v>200</v>
      </c>
      <c r="KN119">
        <v>1</v>
      </c>
      <c r="KO119" s="16">
        <v>2</v>
      </c>
      <c r="KS119" s="16"/>
    </row>
    <row r="120" spans="1:305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1490</v>
      </c>
      <c r="X120" t="str">
        <f>IF(COUNTIF(X$1:X119,X119)&gt;7,REPLACE(X119,LEN(X119),1,VALUE(RIGHT(X119,1))+1),X119)</f>
        <v>A3.10</v>
      </c>
      <c r="Y120" s="43" cm="1">
        <f t="array" ref="Y120">IF(COUNTIFS($X$2:$X120,$X120)=1,"1",VALUE(SUBSTITUTE(INDEX(Y:Y,_xlfn.XMATCH($X120,$X$1:$X119,0,-1)),"A",""))+INDEX(Z:Z,_xlfn.XMATCH($X120,$X$1:$X119,0,-1))+1)</f>
        <v>7</v>
      </c>
      <c r="Z120" s="43" cm="1">
        <f t="array" ref="Z120">SUM(IF(ISNUMBER(FIND("TmAi",$BE$1:$AAD$1)),IF(IFERROR(ISODD(SUBSTITUTE($BE120:$AAD120,"A","")),FALSE),IF(ISODD(SUBSTITUTE($BE120:$AAD120,"A","")),1,0),0)))</f>
        <v>0</v>
      </c>
      <c r="AA120" t="str">
        <f t="shared" si="125"/>
        <v>13B</v>
      </c>
      <c r="AB120" t="str">
        <f t="shared" si="126"/>
        <v>14B</v>
      </c>
      <c r="AP120" t="s">
        <v>137</v>
      </c>
      <c r="AS120" t="s">
        <v>396</v>
      </c>
      <c r="JZ120" s="27" t="str">
        <f t="shared" ref="JZ120:JZ168" si="128">CONCATENATE("XT",U120)</f>
        <v>XT55</v>
      </c>
      <c r="KC120" t="str">
        <f t="shared" ref="KC120:KC168" si="129">CONCATENATE(T120,"-AI",REPLACE($X120,1,3,""),"-",AA120)</f>
        <v>F0-AI10-13B</v>
      </c>
      <c r="KD120" t="str">
        <f t="shared" ref="KD120:KD168" si="130">CONCATENATE(T120,"-AI",REPLACE($X120,1,3,""),"-",AB120)</f>
        <v>F0-AI10-14B</v>
      </c>
      <c r="KI120" cm="1">
        <f t="array" ref="KI120">IF(COUNTIFS($U$2:$U120,$U120)=1,1,INDEX(KI:KI,_xlfn.XMATCH(U120,U$1:U119,0,-1))+COUNT(KI119:KM119))</f>
        <v>201</v>
      </c>
      <c r="KJ120">
        <f t="shared" si="127"/>
        <v>202</v>
      </c>
      <c r="KK120">
        <f t="shared" si="127"/>
        <v>203</v>
      </c>
      <c r="KN120">
        <v>1</v>
      </c>
      <c r="KO120" s="16">
        <v>2</v>
      </c>
      <c r="KS120" s="16"/>
    </row>
    <row r="121" spans="1:305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1491</v>
      </c>
      <c r="X121" s="33" t="str">
        <f>IF(COUNTIF(X$1:X120,X120)&gt;7,REPLACE(X120,LEN(X120),1,VALUE(RIGHT(X120,1))+1),X120)</f>
        <v>A3.10</v>
      </c>
      <c r="Y121" s="45" cm="1">
        <f t="array" ref="Y121">IF(COUNTIFS($X$2:$X121,$X121)=1,"1",VALUE(SUBSTITUTE(INDEX(Y:Y,_xlfn.XMATCH($X121,$X$1:$X120,0,-1)),"A",""))+INDEX(Z:Z,_xlfn.XMATCH($X121,$X$1:$X120,0,-1))+1)</f>
        <v>8</v>
      </c>
      <c r="Z121" s="43" cm="1">
        <f t="array" ref="Z121">SUM(IF(ISNUMBER(FIND("TmAi",$BE$1:$AAD$1)),IF(IFERROR(ISODD(SUBSTITUTE($BE121:$AAD121,"A","")),FALSE),IF(ISODD(SUBSTITUTE($BE121:$AAD121,"A","")),1,0),0)))</f>
        <v>0</v>
      </c>
      <c r="AA121" t="str">
        <f t="shared" si="125"/>
        <v>15B</v>
      </c>
      <c r="AB121" t="str">
        <f t="shared" si="126"/>
        <v>16B</v>
      </c>
      <c r="AP121" t="s">
        <v>137</v>
      </c>
      <c r="AS121" t="s">
        <v>396</v>
      </c>
      <c r="JZ121" s="27" t="str">
        <f t="shared" si="128"/>
        <v>XT55</v>
      </c>
      <c r="KC121" t="str">
        <f t="shared" si="129"/>
        <v>F0-AI10-15B</v>
      </c>
      <c r="KD121" t="str">
        <f t="shared" si="130"/>
        <v>F0-AI10-16B</v>
      </c>
      <c r="KI121" cm="1">
        <f t="array" ref="KI121">IF(COUNTIFS($U$2:$U121,$U121)=1,1,INDEX(KI:KI,_xlfn.XMATCH(U121,U$1:U120,0,-1))+COUNT(KI120:KM120))</f>
        <v>204</v>
      </c>
      <c r="KJ121">
        <f t="shared" si="127"/>
        <v>205</v>
      </c>
      <c r="KK121">
        <f t="shared" si="127"/>
        <v>206</v>
      </c>
      <c r="KN121">
        <v>1</v>
      </c>
      <c r="KO121" s="16">
        <v>2</v>
      </c>
      <c r="KS121" s="16"/>
    </row>
    <row r="122" spans="1:305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1492</v>
      </c>
      <c r="X122" t="str">
        <f>IF(COUNTIF(X$1:X121,X121)&gt;7,REPLACE(X121,LEN(X121),1,VALUE(RIGHT(X121,1))+1),X121)</f>
        <v>A3.11</v>
      </c>
      <c r="Y122" s="43" t="str" cm="1">
        <f t="array" ref="Y122">IF(COUNTIFS($X$2:$X122,$X122)=1,"1",VALUE(SUBSTITUTE(INDEX(Y:Y,_xlfn.XMATCH($X122,$X$1:$X121,0,-1)),"A",""))+INDEX(Z:Z,_xlfn.XMATCH($X122,$X$1:$X121,0,-1))+1)</f>
        <v>1</v>
      </c>
      <c r="Z122" s="43" cm="1">
        <f t="array" ref="Z122">SUM(IF(ISNUMBER(FIND("TmAi",$BE$1:$AAD$1)),IF(IFERROR(ISODD(SUBSTITUTE($BE122:$AAD122,"A","")),FALSE),IF(ISODD(SUBSTITUTE($BE122:$AAD122,"A","")),1,0),0)))</f>
        <v>0</v>
      </c>
      <c r="AA122" t="str">
        <f t="shared" si="125"/>
        <v>1B</v>
      </c>
      <c r="AB122" t="str">
        <f t="shared" si="126"/>
        <v>2B</v>
      </c>
      <c r="AP122" t="s">
        <v>137</v>
      </c>
      <c r="AS122" t="s">
        <v>396</v>
      </c>
      <c r="JZ122" s="27" t="str">
        <f t="shared" si="128"/>
        <v>XT55</v>
      </c>
      <c r="KC122" t="str">
        <f t="shared" si="129"/>
        <v>F0-AI11-1B</v>
      </c>
      <c r="KD122" t="str">
        <f t="shared" si="130"/>
        <v>F0-AI11-2B</v>
      </c>
      <c r="KI122" cm="1">
        <f t="array" ref="KI122">IF(COUNTIFS($U$2:$U122,$U122)=1,1,INDEX(KI:KI,_xlfn.XMATCH(U122,U$1:U121,0,-1))+COUNT(KI121:KM121))</f>
        <v>207</v>
      </c>
      <c r="KJ122">
        <f t="shared" si="127"/>
        <v>208</v>
      </c>
      <c r="KK122">
        <f t="shared" si="127"/>
        <v>209</v>
      </c>
      <c r="KN122">
        <v>1</v>
      </c>
      <c r="KO122" s="16">
        <v>2</v>
      </c>
      <c r="KS122" s="16"/>
    </row>
    <row r="123" spans="1:305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1493</v>
      </c>
      <c r="X123" t="str">
        <f>IF(COUNTIF(X$1:X122,X122)&gt;7,REPLACE(X122,LEN(X122),1,VALUE(RIGHT(X122,1))+1),X122)</f>
        <v>A3.11</v>
      </c>
      <c r="Y123" s="43" cm="1">
        <f t="array" ref="Y123">IF(COUNTIFS($X$2:$X123,$X123)=1,"1",VALUE(SUBSTITUTE(INDEX(Y:Y,_xlfn.XMATCH($X123,$X$1:$X122,0,-1)),"A",""))+INDEX(Z:Z,_xlfn.XMATCH($X123,$X$1:$X122,0,-1))+1)</f>
        <v>2</v>
      </c>
      <c r="Z123" s="43" cm="1">
        <f t="array" ref="Z123">SUM(IF(ISNUMBER(FIND("TmAi",$BE$1:$AAD$1)),IF(IFERROR(ISODD(SUBSTITUTE($BE123:$AAD123,"A","")),FALSE),IF(ISODD(SUBSTITUTE($BE123:$AAD123,"A","")),1,0),0)))</f>
        <v>0</v>
      </c>
      <c r="AA123" t="str">
        <f t="shared" si="125"/>
        <v>3B</v>
      </c>
      <c r="AB123" t="str">
        <f t="shared" si="126"/>
        <v>4B</v>
      </c>
      <c r="AP123" t="s">
        <v>137</v>
      </c>
      <c r="AS123" t="s">
        <v>396</v>
      </c>
      <c r="JZ123" s="27" t="str">
        <f t="shared" si="128"/>
        <v>XT55</v>
      </c>
      <c r="KC123" t="str">
        <f t="shared" si="129"/>
        <v>F0-AI11-3B</v>
      </c>
      <c r="KD123" t="str">
        <f t="shared" si="130"/>
        <v>F0-AI11-4B</v>
      </c>
      <c r="KI123" cm="1">
        <f t="array" ref="KI123">IF(COUNTIFS($U$2:$U123,$U123)=1,1,INDEX(KI:KI,_xlfn.XMATCH(U123,U$1:U122,0,-1))+COUNT(KI122:KM122))</f>
        <v>210</v>
      </c>
      <c r="KJ123">
        <f t="shared" ref="KJ123:KK161" si="131">KI123+1</f>
        <v>211</v>
      </c>
      <c r="KK123">
        <f t="shared" si="131"/>
        <v>212</v>
      </c>
      <c r="KN123">
        <v>1</v>
      </c>
      <c r="KO123" s="16">
        <v>2</v>
      </c>
      <c r="KS123" s="16"/>
    </row>
    <row r="124" spans="1:305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1494</v>
      </c>
      <c r="X124" t="str">
        <f>IF(COUNTIF(X$1:X123,X123)&gt;7,REPLACE(X123,LEN(X123),1,VALUE(RIGHT(X123,1))+1),X123)</f>
        <v>A3.11</v>
      </c>
      <c r="Y124" s="43" cm="1">
        <f t="array" ref="Y124">IF(COUNTIFS($X$2:$X124,$X124)=1,"1",VALUE(SUBSTITUTE(INDEX(Y:Y,_xlfn.XMATCH($X124,$X$1:$X123,0,-1)),"A",""))+INDEX(Z:Z,_xlfn.XMATCH($X124,$X$1:$X123,0,-1))+1)</f>
        <v>3</v>
      </c>
      <c r="Z124" s="43" cm="1">
        <f t="array" ref="Z124">SUM(IF(ISNUMBER(FIND("TmAi",$BE$1:$AAD$1)),IF(IFERROR(ISODD(SUBSTITUTE($BE124:$AAD124,"A","")),FALSE),IF(ISODD(SUBSTITUTE($BE124:$AAD124,"A","")),1,0),0)))</f>
        <v>0</v>
      </c>
      <c r="AA124" t="str">
        <f t="shared" si="125"/>
        <v>5B</v>
      </c>
      <c r="AB124" t="str">
        <f t="shared" si="126"/>
        <v>6B</v>
      </c>
      <c r="AP124" t="s">
        <v>137</v>
      </c>
      <c r="AS124" t="s">
        <v>396</v>
      </c>
      <c r="JZ124" s="27" t="str">
        <f t="shared" si="128"/>
        <v>XT55</v>
      </c>
      <c r="KC124" t="str">
        <f t="shared" si="129"/>
        <v>F0-AI11-5B</v>
      </c>
      <c r="KD124" t="str">
        <f t="shared" si="130"/>
        <v>F0-AI11-6B</v>
      </c>
      <c r="KI124" cm="1">
        <f t="array" ref="KI124">IF(COUNTIFS($U$2:$U124,$U124)=1,1,INDEX(KI:KI,_xlfn.XMATCH(U124,U$1:U123,0,-1))+COUNT(KI123:KM123))</f>
        <v>213</v>
      </c>
      <c r="KJ124">
        <f t="shared" si="131"/>
        <v>214</v>
      </c>
      <c r="KK124">
        <f t="shared" si="131"/>
        <v>215</v>
      </c>
      <c r="KN124">
        <v>1</v>
      </c>
      <c r="KO124" s="16">
        <v>2</v>
      </c>
      <c r="KS124" s="16"/>
    </row>
    <row r="125" spans="1:305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1495</v>
      </c>
      <c r="X125" t="str">
        <f>IF(COUNTIF(X$1:X124,X124)&gt;7,REPLACE(X124,LEN(X124),1,VALUE(RIGHT(X124,1))+1),X124)</f>
        <v>A3.11</v>
      </c>
      <c r="Y125" s="43" cm="1">
        <f t="array" ref="Y125">IF(COUNTIFS($X$2:$X125,$X125)=1,"1",VALUE(SUBSTITUTE(INDEX(Y:Y,_xlfn.XMATCH($X125,$X$1:$X124,0,-1)),"A",""))+INDEX(Z:Z,_xlfn.XMATCH($X125,$X$1:$X124,0,-1))+1)</f>
        <v>4</v>
      </c>
      <c r="Z125" s="43" cm="1">
        <f t="array" ref="Z125">SUM(IF(ISNUMBER(FIND("TmAi",$BE$1:$AAD$1)),IF(IFERROR(ISODD(SUBSTITUTE($BE125:$AAD125,"A","")),FALSE),IF(ISODD(SUBSTITUTE($BE125:$AAD125,"A","")),1,0),0)))</f>
        <v>0</v>
      </c>
      <c r="AA125" t="str">
        <f t="shared" si="125"/>
        <v>7B</v>
      </c>
      <c r="AB125" t="str">
        <f t="shared" si="126"/>
        <v>8B</v>
      </c>
      <c r="AP125" t="s">
        <v>137</v>
      </c>
      <c r="AS125" t="s">
        <v>396</v>
      </c>
      <c r="JZ125" s="27" t="str">
        <f t="shared" si="128"/>
        <v>XT55</v>
      </c>
      <c r="KC125" t="str">
        <f t="shared" si="129"/>
        <v>F0-AI11-7B</v>
      </c>
      <c r="KD125" t="str">
        <f t="shared" si="130"/>
        <v>F0-AI11-8B</v>
      </c>
      <c r="KI125" cm="1">
        <f t="array" ref="KI125">IF(COUNTIFS($U$2:$U125,$U125)=1,1,INDEX(KI:KI,_xlfn.XMATCH(U125,U$1:U124,0,-1))+COUNT(KI124:KM124))</f>
        <v>216</v>
      </c>
      <c r="KJ125">
        <f t="shared" si="131"/>
        <v>217</v>
      </c>
      <c r="KK125">
        <f t="shared" si="131"/>
        <v>218</v>
      </c>
      <c r="KN125">
        <v>1</v>
      </c>
      <c r="KO125" s="16">
        <v>2</v>
      </c>
      <c r="KS125" s="16"/>
    </row>
    <row r="126" spans="1:305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1496</v>
      </c>
      <c r="X126" t="str">
        <f>IF(COUNTIF(X$1:X125,X125)&gt;7,REPLACE(X125,LEN(X125),1,VALUE(RIGHT(X125,1))+1),X125)</f>
        <v>A3.11</v>
      </c>
      <c r="Y126" s="43" cm="1">
        <f t="array" ref="Y126">IF(COUNTIFS($X$2:$X126,$X126)=1,"1",VALUE(SUBSTITUTE(INDEX(Y:Y,_xlfn.XMATCH($X126,$X$1:$X125,0,-1)),"A",""))+INDEX(Z:Z,_xlfn.XMATCH($X126,$X$1:$X125,0,-1))+1)</f>
        <v>5</v>
      </c>
      <c r="Z126" s="43" cm="1">
        <f t="array" ref="Z126">SUM(IF(ISNUMBER(FIND("TmAi",$BE$1:$AAD$1)),IF(IFERROR(ISODD(SUBSTITUTE($BE126:$AAD126,"A","")),FALSE),IF(ISODD(SUBSTITUTE($BE126:$AAD126,"A","")),1,0),0)))</f>
        <v>0</v>
      </c>
      <c r="AA126" t="str">
        <f t="shared" si="125"/>
        <v>9B</v>
      </c>
      <c r="AB126" t="str">
        <f t="shared" si="126"/>
        <v>10B</v>
      </c>
      <c r="AP126" t="s">
        <v>137</v>
      </c>
      <c r="AS126" t="s">
        <v>396</v>
      </c>
      <c r="JZ126" s="27" t="str">
        <f t="shared" si="128"/>
        <v>XT55</v>
      </c>
      <c r="KC126" t="str">
        <f t="shared" si="129"/>
        <v>F0-AI11-9B</v>
      </c>
      <c r="KD126" t="str">
        <f t="shared" si="130"/>
        <v>F0-AI11-10B</v>
      </c>
      <c r="KI126" cm="1">
        <f t="array" ref="KI126">IF(COUNTIFS($U$2:$U126,$U126)=1,1,INDEX(KI:KI,_xlfn.XMATCH(U126,U$1:U125,0,-1))+COUNT(KI125:KM125))</f>
        <v>219</v>
      </c>
      <c r="KJ126">
        <f t="shared" si="131"/>
        <v>220</v>
      </c>
      <c r="KK126">
        <f t="shared" si="131"/>
        <v>221</v>
      </c>
      <c r="KN126">
        <v>1</v>
      </c>
      <c r="KO126" s="16">
        <v>2</v>
      </c>
      <c r="KS126" s="16"/>
    </row>
    <row r="127" spans="1:305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1497</v>
      </c>
      <c r="X127" t="str">
        <f>IF(COUNTIF(X$1:X126,X126)&gt;7,REPLACE(X126,LEN(X126),1,VALUE(RIGHT(X126,1))+1),X126)</f>
        <v>A3.11</v>
      </c>
      <c r="Y127" s="43" cm="1">
        <f t="array" ref="Y127">IF(COUNTIFS($X$2:$X127,$X127)=1,"1",VALUE(SUBSTITUTE(INDEX(Y:Y,_xlfn.XMATCH($X127,$X$1:$X126,0,-1)),"A",""))+INDEX(Z:Z,_xlfn.XMATCH($X127,$X$1:$X126,0,-1))+1)</f>
        <v>6</v>
      </c>
      <c r="Z127" s="43" cm="1">
        <f t="array" ref="Z127">SUM(IF(ISNUMBER(FIND("TmAi",$BE$1:$AAD$1)),IF(IFERROR(ISODD(SUBSTITUTE($BE127:$AAD127,"A","")),FALSE),IF(ISODD(SUBSTITUTE($BE127:$AAD127,"A","")),1,0),0)))</f>
        <v>0</v>
      </c>
      <c r="AA127" t="str">
        <f t="shared" si="125"/>
        <v>11B</v>
      </c>
      <c r="AB127" t="str">
        <f t="shared" si="126"/>
        <v>12B</v>
      </c>
      <c r="AP127" t="s">
        <v>137</v>
      </c>
      <c r="AS127" t="s">
        <v>396</v>
      </c>
      <c r="JZ127" s="27" t="str">
        <f t="shared" si="128"/>
        <v>XT55</v>
      </c>
      <c r="KC127" t="str">
        <f t="shared" si="129"/>
        <v>F0-AI11-11B</v>
      </c>
      <c r="KD127" t="str">
        <f t="shared" si="130"/>
        <v>F0-AI11-12B</v>
      </c>
      <c r="KI127" cm="1">
        <f t="array" ref="KI127">IF(COUNTIFS($U$2:$U127,$U127)=1,1,INDEX(KI:KI,_xlfn.XMATCH(U127,U$1:U126,0,-1))+COUNT(KI126:KM126))</f>
        <v>222</v>
      </c>
      <c r="KJ127">
        <f t="shared" si="131"/>
        <v>223</v>
      </c>
      <c r="KK127">
        <f t="shared" si="131"/>
        <v>224</v>
      </c>
      <c r="KN127">
        <v>1</v>
      </c>
      <c r="KO127" s="16">
        <v>2</v>
      </c>
      <c r="KS127" s="16"/>
    </row>
    <row r="128" spans="1:305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1498</v>
      </c>
      <c r="X128" t="str">
        <f>IF(COUNTIF(X$1:X127,X127)&gt;7,REPLACE(X127,LEN(X127),1,VALUE(RIGHT(X127,1))+1),X127)</f>
        <v>A3.11</v>
      </c>
      <c r="Y128" s="43" cm="1">
        <f t="array" ref="Y128">IF(COUNTIFS($X$2:$X128,$X128)=1,"1",VALUE(SUBSTITUTE(INDEX(Y:Y,_xlfn.XMATCH($X128,$X$1:$X127,0,-1)),"A",""))+INDEX(Z:Z,_xlfn.XMATCH($X128,$X$1:$X127,0,-1))+1)</f>
        <v>7</v>
      </c>
      <c r="Z128" s="43" cm="1">
        <f t="array" ref="Z128">SUM(IF(ISNUMBER(FIND("TmAi",$BE$1:$AAD$1)),IF(IFERROR(ISODD(SUBSTITUTE($BE128:$AAD128,"A","")),FALSE),IF(ISODD(SUBSTITUTE($BE128:$AAD128,"A","")),1,0),0)))</f>
        <v>0</v>
      </c>
      <c r="AA128" t="str">
        <f t="shared" si="125"/>
        <v>13B</v>
      </c>
      <c r="AB128" t="str">
        <f t="shared" si="126"/>
        <v>14B</v>
      </c>
      <c r="AP128" t="s">
        <v>137</v>
      </c>
      <c r="AS128" t="s">
        <v>396</v>
      </c>
      <c r="JZ128" s="27" t="str">
        <f t="shared" si="128"/>
        <v>XT55</v>
      </c>
      <c r="KC128" t="str">
        <f t="shared" si="129"/>
        <v>F0-AI11-13B</v>
      </c>
      <c r="KD128" t="str">
        <f t="shared" si="130"/>
        <v>F0-AI11-14B</v>
      </c>
      <c r="KI128" cm="1">
        <f t="array" ref="KI128">IF(COUNTIFS($U$2:$U128,$U128)=1,1,INDEX(KI:KI,_xlfn.XMATCH(U128,U$1:U127,0,-1))+COUNT(KI127:KM127))</f>
        <v>225</v>
      </c>
      <c r="KJ128">
        <f t="shared" si="131"/>
        <v>226</v>
      </c>
      <c r="KK128">
        <f t="shared" si="131"/>
        <v>227</v>
      </c>
      <c r="KN128">
        <v>1</v>
      </c>
      <c r="KO128" s="16">
        <v>2</v>
      </c>
      <c r="KS128" s="16"/>
    </row>
    <row r="129" spans="1:305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1499</v>
      </c>
      <c r="X129" s="33" t="str">
        <f>IF(COUNTIF(X$1:X128,X128)&gt;7,REPLACE(X128,LEN(X128),1,VALUE(RIGHT(X128,1))+1),X128)</f>
        <v>A3.11</v>
      </c>
      <c r="Y129" s="45" cm="1">
        <f t="array" ref="Y129">IF(COUNTIFS($X$2:$X129,$X129)=1,"1",VALUE(SUBSTITUTE(INDEX(Y:Y,_xlfn.XMATCH($X129,$X$1:$X128,0,-1)),"A",""))+INDEX(Z:Z,_xlfn.XMATCH($X129,$X$1:$X128,0,-1))+1)</f>
        <v>8</v>
      </c>
      <c r="Z129" s="43" cm="1">
        <f t="array" ref="Z129">SUM(IF(ISNUMBER(FIND("TmAi",$BE$1:$AAD$1)),IF(IFERROR(ISODD(SUBSTITUTE($BE129:$AAD129,"A","")),FALSE),IF(ISODD(SUBSTITUTE($BE129:$AAD129,"A","")),1,0),0)))</f>
        <v>0</v>
      </c>
      <c r="AA129" t="str">
        <f t="shared" si="125"/>
        <v>15B</v>
      </c>
      <c r="AB129" t="str">
        <f t="shared" si="126"/>
        <v>16B</v>
      </c>
      <c r="AP129" t="s">
        <v>137</v>
      </c>
      <c r="AS129" t="s">
        <v>396</v>
      </c>
      <c r="JZ129" s="27" t="str">
        <f t="shared" si="128"/>
        <v>XT55</v>
      </c>
      <c r="KC129" t="str">
        <f t="shared" si="129"/>
        <v>F0-AI11-15B</v>
      </c>
      <c r="KD129" t="str">
        <f t="shared" si="130"/>
        <v>F0-AI11-16B</v>
      </c>
      <c r="KI129" cm="1">
        <f t="array" ref="KI129">IF(COUNTIFS($U$2:$U129,$U129)=1,1,INDEX(KI:KI,_xlfn.XMATCH(U129,U$1:U128,0,-1))+COUNT(KI128:KM128))</f>
        <v>228</v>
      </c>
      <c r="KJ129">
        <f t="shared" si="131"/>
        <v>229</v>
      </c>
      <c r="KK129">
        <f t="shared" si="131"/>
        <v>230</v>
      </c>
      <c r="KN129">
        <v>1</v>
      </c>
      <c r="KO129" s="16">
        <v>2</v>
      </c>
      <c r="KS129" s="16"/>
    </row>
    <row r="130" spans="1:305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1500</v>
      </c>
      <c r="X130" t="str">
        <f>IF(COUNTIF(X$1:X129,X129)&gt;7,REPLACE(X129,LEN(X129),1,VALUE(RIGHT(X129,1))+1),X129)</f>
        <v>A3.12</v>
      </c>
      <c r="Y130" s="43" t="str" cm="1">
        <f t="array" ref="Y130">IF(COUNTIFS($X$2:$X130,$X130)=1,"1",VALUE(SUBSTITUTE(INDEX(Y:Y,_xlfn.XMATCH($X130,$X$1:$X129,0,-1)),"A",""))+INDEX(Z:Z,_xlfn.XMATCH($X130,$X$1:$X129,0,-1))+1)</f>
        <v>1</v>
      </c>
      <c r="Z130" s="43" cm="1">
        <f t="array" ref="Z130">SUM(IF(ISNUMBER(FIND("TmAi",$BE$1:$AAD$1)),IF(IFERROR(ISODD(SUBSTITUTE($BE130:$AAD130,"A","")),FALSE),IF(ISODD(SUBSTITUTE($BE130:$AAD130,"A","")),1,0),0)))</f>
        <v>0</v>
      </c>
      <c r="AA130" t="str">
        <f t="shared" si="125"/>
        <v>1B</v>
      </c>
      <c r="AB130" t="str">
        <f t="shared" si="126"/>
        <v>2B</v>
      </c>
      <c r="AP130" t="s">
        <v>137</v>
      </c>
      <c r="AS130" t="s">
        <v>396</v>
      </c>
      <c r="JZ130" s="27" t="str">
        <f t="shared" si="128"/>
        <v>XT55</v>
      </c>
      <c r="KC130" t="str">
        <f t="shared" si="129"/>
        <v>F0-AI12-1B</v>
      </c>
      <c r="KD130" t="str">
        <f t="shared" si="130"/>
        <v>F0-AI12-2B</v>
      </c>
      <c r="KI130" cm="1">
        <f t="array" ref="KI130">IF(COUNTIFS($U$2:$U130,$U130)=1,1,INDEX(KI:KI,_xlfn.XMATCH(U130,U$1:U129,0,-1))+COUNT(KI129:KM129))</f>
        <v>231</v>
      </c>
      <c r="KJ130">
        <f t="shared" si="131"/>
        <v>232</v>
      </c>
      <c r="KK130">
        <f t="shared" si="131"/>
        <v>233</v>
      </c>
      <c r="KN130">
        <v>1</v>
      </c>
      <c r="KO130" s="16">
        <v>2</v>
      </c>
      <c r="KS130" s="16"/>
    </row>
    <row r="131" spans="1:305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1501</v>
      </c>
      <c r="X131" t="str">
        <f>IF(COUNTIF(X$1:X130,X130)&gt;7,REPLACE(X130,LEN(X130),1,VALUE(RIGHT(X130,1))+1),X130)</f>
        <v>A3.12</v>
      </c>
      <c r="Y131" s="43" cm="1">
        <f t="array" ref="Y131">IF(COUNTIFS($X$2:$X131,$X131)=1,"1",VALUE(SUBSTITUTE(INDEX(Y:Y,_xlfn.XMATCH($X131,$X$1:$X130,0,-1)),"A",""))+INDEX(Z:Z,_xlfn.XMATCH($X131,$X$1:$X130,0,-1))+1)</f>
        <v>2</v>
      </c>
      <c r="Z131" s="43" cm="1">
        <f t="array" ref="Z131">SUM(IF(ISNUMBER(FIND("TmAi",$BE$1:$AAD$1)),IF(IFERROR(ISODD(SUBSTITUTE($BE131:$AAD131,"A","")),FALSE),IF(ISODD(SUBSTITUTE($BE131:$AAD131,"A","")),1,0),0)))</f>
        <v>0</v>
      </c>
      <c r="AA131" t="str">
        <f t="shared" si="125"/>
        <v>3B</v>
      </c>
      <c r="AB131" t="str">
        <f t="shared" si="126"/>
        <v>4B</v>
      </c>
      <c r="AP131" t="s">
        <v>137</v>
      </c>
      <c r="AS131" t="s">
        <v>396</v>
      </c>
      <c r="JZ131" s="27" t="str">
        <f t="shared" si="128"/>
        <v>XT55</v>
      </c>
      <c r="KC131" t="str">
        <f t="shared" si="129"/>
        <v>F0-AI12-3B</v>
      </c>
      <c r="KD131" t="str">
        <f t="shared" si="130"/>
        <v>F0-AI12-4B</v>
      </c>
      <c r="KI131" cm="1">
        <f t="array" ref="KI131">IF(COUNTIFS($U$2:$U131,$U131)=1,1,INDEX(KI:KI,_xlfn.XMATCH(U131,U$1:U130,0,-1))+COUNT(KI130:KM130))</f>
        <v>234</v>
      </c>
      <c r="KJ131">
        <f t="shared" si="131"/>
        <v>235</v>
      </c>
      <c r="KK131">
        <f t="shared" si="131"/>
        <v>236</v>
      </c>
      <c r="KN131">
        <v>1</v>
      </c>
      <c r="KO131" s="16">
        <v>2</v>
      </c>
      <c r="KS131" s="16"/>
    </row>
    <row r="132" spans="1:305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1502</v>
      </c>
      <c r="X132" t="str">
        <f>IF(COUNTIF(X$1:X131,X131)&gt;7,REPLACE(X131,LEN(X131),1,VALUE(RIGHT(X131,1))+1),X131)</f>
        <v>A3.12</v>
      </c>
      <c r="Y132" s="43" cm="1">
        <f t="array" ref="Y132">IF(COUNTIFS($X$2:$X132,$X132)=1,"1",VALUE(SUBSTITUTE(INDEX(Y:Y,_xlfn.XMATCH($X132,$X$1:$X131,0,-1)),"A",""))+INDEX(Z:Z,_xlfn.XMATCH($X132,$X$1:$X131,0,-1))+1)</f>
        <v>3</v>
      </c>
      <c r="Z132" s="43" cm="1">
        <f t="array" ref="Z132">SUM(IF(ISNUMBER(FIND("TmAi",$BE$1:$AAD$1)),IF(IFERROR(ISODD(SUBSTITUTE($BE132:$AAD132,"A","")),FALSE),IF(ISODD(SUBSTITUTE($BE132:$AAD132,"A","")),1,0),0)))</f>
        <v>0</v>
      </c>
      <c r="AA132" t="str">
        <f t="shared" si="125"/>
        <v>5B</v>
      </c>
      <c r="AB132" t="str">
        <f t="shared" si="126"/>
        <v>6B</v>
      </c>
      <c r="AP132" t="s">
        <v>137</v>
      </c>
      <c r="AS132" t="s">
        <v>396</v>
      </c>
      <c r="JZ132" s="27" t="str">
        <f t="shared" si="128"/>
        <v>XT55</v>
      </c>
      <c r="KC132" t="str">
        <f t="shared" si="129"/>
        <v>F0-AI12-5B</v>
      </c>
      <c r="KD132" t="str">
        <f t="shared" si="130"/>
        <v>F0-AI12-6B</v>
      </c>
      <c r="KI132" cm="1">
        <f t="array" ref="KI132">IF(COUNTIFS($U$2:$U132,$U132)=1,1,INDEX(KI:KI,_xlfn.XMATCH(U132,U$1:U131,0,-1))+COUNT(KI131:KM131))</f>
        <v>237</v>
      </c>
      <c r="KJ132">
        <f t="shared" si="131"/>
        <v>238</v>
      </c>
      <c r="KK132">
        <f t="shared" si="131"/>
        <v>239</v>
      </c>
      <c r="KN132">
        <v>1</v>
      </c>
      <c r="KO132" s="16">
        <v>2</v>
      </c>
      <c r="KS132" s="16"/>
    </row>
    <row r="133" spans="1:305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1503</v>
      </c>
      <c r="X133" t="str">
        <f>IF(COUNTIF(X$1:X132,X132)&gt;7,REPLACE(X132,LEN(X132),1,VALUE(RIGHT(X132,1))+1),X132)</f>
        <v>A3.12</v>
      </c>
      <c r="Y133" s="43" cm="1">
        <f t="array" ref="Y133">IF(COUNTIFS($X$2:$X133,$X133)=1,"1",VALUE(SUBSTITUTE(INDEX(Y:Y,_xlfn.XMATCH($X133,$X$1:$X132,0,-1)),"A",""))+INDEX(Z:Z,_xlfn.XMATCH($X133,$X$1:$X132,0,-1))+1)</f>
        <v>4</v>
      </c>
      <c r="Z133" s="43" cm="1">
        <f t="array" ref="Z133">SUM(IF(ISNUMBER(FIND("TmAi",$BE$1:$AAD$1)),IF(IFERROR(ISODD(SUBSTITUTE($BE133:$AAD133,"A","")),FALSE),IF(ISODD(SUBSTITUTE($BE133:$AAD133,"A","")),1,0),0)))</f>
        <v>0</v>
      </c>
      <c r="AA133" t="str">
        <f t="shared" si="125"/>
        <v>7B</v>
      </c>
      <c r="AB133" t="str">
        <f t="shared" si="126"/>
        <v>8B</v>
      </c>
      <c r="AP133" t="s">
        <v>137</v>
      </c>
      <c r="AS133" t="s">
        <v>396</v>
      </c>
      <c r="JZ133" s="27" t="str">
        <f t="shared" si="128"/>
        <v>XT55</v>
      </c>
      <c r="KC133" t="str">
        <f t="shared" si="129"/>
        <v>F0-AI12-7B</v>
      </c>
      <c r="KD133" t="str">
        <f t="shared" si="130"/>
        <v>F0-AI12-8B</v>
      </c>
      <c r="KI133" cm="1">
        <f t="array" ref="KI133">IF(COUNTIFS($U$2:$U133,$U133)=1,1,INDEX(KI:KI,_xlfn.XMATCH(U133,U$1:U132,0,-1))+COUNT(KI132:KM132))</f>
        <v>240</v>
      </c>
      <c r="KJ133">
        <f t="shared" si="131"/>
        <v>241</v>
      </c>
      <c r="KK133">
        <f t="shared" si="131"/>
        <v>242</v>
      </c>
      <c r="KN133">
        <v>1</v>
      </c>
      <c r="KO133" s="16">
        <v>2</v>
      </c>
      <c r="KS133" s="16"/>
    </row>
    <row r="134" spans="1:305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1504</v>
      </c>
      <c r="X134" t="str">
        <f>IF(COUNTIF(X$1:X133,X133)&gt;7,REPLACE(X133,LEN(X133),1,VALUE(RIGHT(X133,1))+1),X133)</f>
        <v>A3.12</v>
      </c>
      <c r="Y134" s="43" cm="1">
        <f t="array" ref="Y134">IF(COUNTIFS($X$2:$X134,$X134)=1,"1",VALUE(SUBSTITUTE(INDEX(Y:Y,_xlfn.XMATCH($X134,$X$1:$X133,0,-1)),"A",""))+INDEX(Z:Z,_xlfn.XMATCH($X134,$X$1:$X133,0,-1))+1)</f>
        <v>5</v>
      </c>
      <c r="Z134" s="43" cm="1">
        <f t="array" ref="Z134">SUM(IF(ISNUMBER(FIND("TmAi",$BE$1:$AAD$1)),IF(IFERROR(ISODD(SUBSTITUTE($BE134:$AAD134,"A","")),FALSE),IF(ISODD(SUBSTITUTE($BE134:$AAD134,"A","")),1,0),0)))</f>
        <v>0</v>
      </c>
      <c r="AA134" t="str">
        <f t="shared" si="125"/>
        <v>9B</v>
      </c>
      <c r="AB134" t="str">
        <f t="shared" si="126"/>
        <v>10B</v>
      </c>
      <c r="AP134" t="s">
        <v>137</v>
      </c>
      <c r="AS134" t="s">
        <v>396</v>
      </c>
      <c r="JZ134" s="27" t="str">
        <f t="shared" si="128"/>
        <v>XT55</v>
      </c>
      <c r="KC134" t="str">
        <f t="shared" si="129"/>
        <v>F0-AI12-9B</v>
      </c>
      <c r="KD134" t="str">
        <f t="shared" si="130"/>
        <v>F0-AI12-10B</v>
      </c>
      <c r="KI134" cm="1">
        <f t="array" ref="KI134">IF(COUNTIFS($U$2:$U134,$U134)=1,1,INDEX(KI:KI,_xlfn.XMATCH(U134,U$1:U133,0,-1))+COUNT(KI133:KM133))</f>
        <v>243</v>
      </c>
      <c r="KJ134">
        <f t="shared" si="131"/>
        <v>244</v>
      </c>
      <c r="KK134">
        <f t="shared" si="131"/>
        <v>245</v>
      </c>
      <c r="KN134">
        <v>1</v>
      </c>
      <c r="KO134" s="16">
        <v>2</v>
      </c>
      <c r="KS134" s="16"/>
    </row>
    <row r="135" spans="1:305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1505</v>
      </c>
      <c r="X135" t="str">
        <f>IF(COUNTIF(X$1:X134,X134)&gt;7,REPLACE(X134,LEN(X134),1,VALUE(RIGHT(X134,1))+1),X134)</f>
        <v>A3.12</v>
      </c>
      <c r="Y135" s="43" cm="1">
        <f t="array" ref="Y135">IF(COUNTIFS($X$2:$X135,$X135)=1,"1",VALUE(SUBSTITUTE(INDEX(Y:Y,_xlfn.XMATCH($X135,$X$1:$X134,0,-1)),"A",""))+INDEX(Z:Z,_xlfn.XMATCH($X135,$X$1:$X134,0,-1))+1)</f>
        <v>6</v>
      </c>
      <c r="Z135" s="43" cm="1">
        <f t="array" ref="Z135">SUM(IF(ISNUMBER(FIND("TmAi",$BE$1:$AAD$1)),IF(IFERROR(ISODD(SUBSTITUTE($BE135:$AAD135,"A","")),FALSE),IF(ISODD(SUBSTITUTE($BE135:$AAD135,"A","")),1,0),0)))</f>
        <v>0</v>
      </c>
      <c r="AA135" t="str">
        <f t="shared" si="125"/>
        <v>11B</v>
      </c>
      <c r="AB135" t="str">
        <f t="shared" si="126"/>
        <v>12B</v>
      </c>
      <c r="AP135" t="s">
        <v>137</v>
      </c>
      <c r="AS135" t="s">
        <v>396</v>
      </c>
      <c r="JZ135" s="27" t="str">
        <f t="shared" si="128"/>
        <v>XT55</v>
      </c>
      <c r="KC135" t="str">
        <f t="shared" si="129"/>
        <v>F0-AI12-11B</v>
      </c>
      <c r="KD135" t="str">
        <f t="shared" si="130"/>
        <v>F0-AI12-12B</v>
      </c>
      <c r="KI135" cm="1">
        <f t="array" ref="KI135">IF(COUNTIFS($U$2:$U135,$U135)=1,1,INDEX(KI:KI,_xlfn.XMATCH(U135,U$1:U134,0,-1))+COUNT(KI134:KM134))</f>
        <v>246</v>
      </c>
      <c r="KJ135">
        <f t="shared" si="131"/>
        <v>247</v>
      </c>
      <c r="KK135">
        <f t="shared" si="131"/>
        <v>248</v>
      </c>
      <c r="KN135">
        <v>1</v>
      </c>
      <c r="KO135" s="16">
        <v>2</v>
      </c>
      <c r="KS135" s="16"/>
    </row>
    <row r="136" spans="1:305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1506</v>
      </c>
      <c r="X136" t="str">
        <f>IF(COUNTIF(X$1:X135,X135)&gt;7,REPLACE(X135,LEN(X135),1,VALUE(RIGHT(X135,1))+1),X135)</f>
        <v>A3.12</v>
      </c>
      <c r="Y136" s="43" cm="1">
        <f t="array" ref="Y136">IF(COUNTIFS($X$2:$X136,$X136)=1,"1",VALUE(SUBSTITUTE(INDEX(Y:Y,_xlfn.XMATCH($X136,$X$1:$X135,0,-1)),"A",""))+INDEX(Z:Z,_xlfn.XMATCH($X136,$X$1:$X135,0,-1))+1)</f>
        <v>7</v>
      </c>
      <c r="Z136" s="43" cm="1">
        <f t="array" ref="Z136">SUM(IF(ISNUMBER(FIND("TmAi",$BE$1:$AAD$1)),IF(IFERROR(ISODD(SUBSTITUTE($BE136:$AAD136,"A","")),FALSE),IF(ISODD(SUBSTITUTE($BE136:$AAD136,"A","")),1,0),0)))</f>
        <v>0</v>
      </c>
      <c r="AA136" t="str">
        <f t="shared" si="125"/>
        <v>13B</v>
      </c>
      <c r="AB136" t="str">
        <f t="shared" si="126"/>
        <v>14B</v>
      </c>
      <c r="AP136" t="s">
        <v>137</v>
      </c>
      <c r="AS136" t="s">
        <v>396</v>
      </c>
      <c r="JZ136" s="27" t="str">
        <f t="shared" si="128"/>
        <v>XT55</v>
      </c>
      <c r="KC136" t="str">
        <f t="shared" si="129"/>
        <v>F0-AI12-13B</v>
      </c>
      <c r="KD136" t="str">
        <f t="shared" si="130"/>
        <v>F0-AI12-14B</v>
      </c>
      <c r="KI136" cm="1">
        <f t="array" ref="KI136">IF(COUNTIFS($U$2:$U136,$U136)=1,1,INDEX(KI:KI,_xlfn.XMATCH(U136,U$1:U135,0,-1))+COUNT(KI135:KM135))</f>
        <v>249</v>
      </c>
      <c r="KJ136">
        <f t="shared" si="131"/>
        <v>250</v>
      </c>
      <c r="KK136">
        <f t="shared" si="131"/>
        <v>251</v>
      </c>
      <c r="KN136">
        <v>1</v>
      </c>
      <c r="KO136" s="16">
        <v>2</v>
      </c>
      <c r="KS136" s="16"/>
    </row>
    <row r="137" spans="1:305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1507</v>
      </c>
      <c r="X137" s="33" t="str">
        <f>IF(COUNTIF(X$1:X136,X136)&gt;7,REPLACE(X136,LEN(X136),1,VALUE(RIGHT(X136,1))+1),X136)</f>
        <v>A3.12</v>
      </c>
      <c r="Y137" s="45" cm="1">
        <f t="array" ref="Y137">IF(COUNTIFS($X$2:$X137,$X137)=1,"1",VALUE(SUBSTITUTE(INDEX(Y:Y,_xlfn.XMATCH($X137,$X$1:$X136,0,-1)),"A",""))+INDEX(Z:Z,_xlfn.XMATCH($X137,$X$1:$X136,0,-1))+1)</f>
        <v>8</v>
      </c>
      <c r="Z137" s="43" cm="1">
        <f t="array" ref="Z137">SUM(IF(ISNUMBER(FIND("TmAi",$BE$1:$AAD$1)),IF(IFERROR(ISODD(SUBSTITUTE($BE137:$AAD137,"A","")),FALSE),IF(ISODD(SUBSTITUTE($BE137:$AAD137,"A","")),1,0),0)))</f>
        <v>0</v>
      </c>
      <c r="AA137" t="str">
        <f t="shared" si="125"/>
        <v>15B</v>
      </c>
      <c r="AB137" t="str">
        <f t="shared" si="126"/>
        <v>16B</v>
      </c>
      <c r="AP137" t="s">
        <v>137</v>
      </c>
      <c r="AS137" t="s">
        <v>396</v>
      </c>
      <c r="JZ137" s="27" t="str">
        <f t="shared" si="128"/>
        <v>XT55</v>
      </c>
      <c r="KC137" t="str">
        <f t="shared" si="129"/>
        <v>F0-AI12-15B</v>
      </c>
      <c r="KD137" t="str">
        <f t="shared" si="130"/>
        <v>F0-AI12-16B</v>
      </c>
      <c r="KI137" cm="1">
        <f t="array" ref="KI137">IF(COUNTIFS($U$2:$U137,$U137)=1,1,INDEX(KI:KI,_xlfn.XMATCH(U137,U$1:U136,0,-1))+COUNT(KI136:KM136))</f>
        <v>252</v>
      </c>
      <c r="KJ137">
        <f t="shared" si="131"/>
        <v>253</v>
      </c>
      <c r="KK137">
        <f t="shared" si="131"/>
        <v>254</v>
      </c>
      <c r="KN137">
        <v>1</v>
      </c>
      <c r="KO137" s="16">
        <v>2</v>
      </c>
      <c r="KS137" s="16"/>
    </row>
    <row r="138" spans="1:305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1508</v>
      </c>
      <c r="X138" t="str">
        <f>IF(COUNTIF(X$1:X137,X137)&gt;7,REPLACE(X137,LEN(X137),1,VALUE(RIGHT(X137,1))+1),X137)</f>
        <v>A3.13</v>
      </c>
      <c r="Y138" s="43" t="str" cm="1">
        <f t="array" ref="Y138">IF(COUNTIFS($X$2:$X138,$X138)=1,"1",VALUE(SUBSTITUTE(INDEX(Y:Y,_xlfn.XMATCH($X138,$X$1:$X137,0,-1)),"A",""))+INDEX(Z:Z,_xlfn.XMATCH($X138,$X$1:$X137,0,-1))+1)</f>
        <v>1</v>
      </c>
      <c r="Z138" s="43" cm="1">
        <f t="array" ref="Z138">SUM(IF(ISNUMBER(FIND("TmAi",$BE$1:$AAD$1)),IF(IFERROR(ISODD(SUBSTITUTE($BE138:$AAD138,"A","")),FALSE),IF(ISODD(SUBSTITUTE($BE138:$AAD138,"A","")),1,0),0)))</f>
        <v>0</v>
      </c>
      <c r="AA138" t="str">
        <f t="shared" si="125"/>
        <v>1B</v>
      </c>
      <c r="AB138" t="str">
        <f t="shared" si="126"/>
        <v>2B</v>
      </c>
      <c r="AP138" t="s">
        <v>137</v>
      </c>
      <c r="AS138" t="s">
        <v>396</v>
      </c>
      <c r="JZ138" s="27" t="str">
        <f t="shared" si="128"/>
        <v>XT55</v>
      </c>
      <c r="KC138" t="str">
        <f t="shared" si="129"/>
        <v>F0-AI13-1B</v>
      </c>
      <c r="KD138" t="str">
        <f t="shared" si="130"/>
        <v>F0-AI13-2B</v>
      </c>
      <c r="KI138" cm="1">
        <f t="array" ref="KI138">IF(COUNTIFS($U$2:$U138,$U138)=1,1,INDEX(KI:KI,_xlfn.XMATCH(U138,U$1:U137,0,-1))+COUNT(KI137:KM137))</f>
        <v>255</v>
      </c>
      <c r="KJ138">
        <f t="shared" si="131"/>
        <v>256</v>
      </c>
      <c r="KK138">
        <f t="shared" si="131"/>
        <v>257</v>
      </c>
      <c r="KN138">
        <v>1</v>
      </c>
      <c r="KO138" s="16">
        <v>2</v>
      </c>
      <c r="KS138" s="16"/>
    </row>
    <row r="139" spans="1:305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1509</v>
      </c>
      <c r="X139" t="str">
        <f>IF(COUNTIF(X$1:X138,X138)&gt;7,REPLACE(X138,LEN(X138),1,VALUE(RIGHT(X138,1))+1),X138)</f>
        <v>A3.13</v>
      </c>
      <c r="Y139" s="43" cm="1">
        <f t="array" ref="Y139">IF(COUNTIFS($X$2:$X139,$X139)=1,"1",VALUE(SUBSTITUTE(INDEX(Y:Y,_xlfn.XMATCH($X139,$X$1:$X138,0,-1)),"A",""))+INDEX(Z:Z,_xlfn.XMATCH($X139,$X$1:$X138,0,-1))+1)</f>
        <v>2</v>
      </c>
      <c r="Z139" s="43" cm="1">
        <f t="array" ref="Z139">SUM(IF(ISNUMBER(FIND("TmAi",$BE$1:$AAD$1)),IF(IFERROR(ISODD(SUBSTITUTE($BE139:$AAD139,"A","")),FALSE),IF(ISODD(SUBSTITUTE($BE139:$AAD139,"A","")),1,0),0)))</f>
        <v>0</v>
      </c>
      <c r="AA139" t="str">
        <f t="shared" si="125"/>
        <v>3B</v>
      </c>
      <c r="AB139" t="str">
        <f t="shared" si="126"/>
        <v>4B</v>
      </c>
      <c r="AP139" t="s">
        <v>137</v>
      </c>
      <c r="AS139" t="s">
        <v>396</v>
      </c>
      <c r="JZ139" s="27" t="str">
        <f t="shared" si="128"/>
        <v>XT55</v>
      </c>
      <c r="KC139" t="str">
        <f t="shared" si="129"/>
        <v>F0-AI13-3B</v>
      </c>
      <c r="KD139" t="str">
        <f t="shared" si="130"/>
        <v>F0-AI13-4B</v>
      </c>
      <c r="KI139" cm="1">
        <f t="array" ref="KI139">IF(COUNTIFS($U$2:$U139,$U139)=1,1,INDEX(KI:KI,_xlfn.XMATCH(U139,U$1:U138,0,-1))+COUNT(KI138:KM138))</f>
        <v>258</v>
      </c>
      <c r="KJ139">
        <f t="shared" si="131"/>
        <v>259</v>
      </c>
      <c r="KK139">
        <f t="shared" si="131"/>
        <v>260</v>
      </c>
      <c r="KN139">
        <v>1</v>
      </c>
      <c r="KO139" s="16">
        <v>2</v>
      </c>
      <c r="KS139" s="16"/>
    </row>
    <row r="140" spans="1:305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1510</v>
      </c>
      <c r="X140" t="str">
        <f>IF(COUNTIF(X$1:X139,X139)&gt;7,REPLACE(X139,LEN(X139),1,VALUE(RIGHT(X139,1))+1),X139)</f>
        <v>A3.13</v>
      </c>
      <c r="Y140" s="43" cm="1">
        <f t="array" ref="Y140">IF(COUNTIFS($X$2:$X140,$X140)=1,"1",VALUE(SUBSTITUTE(INDEX(Y:Y,_xlfn.XMATCH($X140,$X$1:$X139,0,-1)),"A",""))+INDEX(Z:Z,_xlfn.XMATCH($X140,$X$1:$X139,0,-1))+1)</f>
        <v>3</v>
      </c>
      <c r="Z140" s="43" cm="1">
        <f t="array" ref="Z140">SUM(IF(ISNUMBER(FIND("TmAi",$BE$1:$AAD$1)),IF(IFERROR(ISODD(SUBSTITUTE($BE140:$AAD140,"A","")),FALSE),IF(ISODD(SUBSTITUTE($BE140:$AAD140,"A","")),1,0),0)))</f>
        <v>0</v>
      </c>
      <c r="AA140" t="str">
        <f t="shared" si="125"/>
        <v>5B</v>
      </c>
      <c r="AB140" t="str">
        <f t="shared" si="126"/>
        <v>6B</v>
      </c>
      <c r="AP140" t="s">
        <v>137</v>
      </c>
      <c r="AS140" t="s">
        <v>396</v>
      </c>
      <c r="JZ140" s="27" t="str">
        <f t="shared" si="128"/>
        <v>XT55</v>
      </c>
      <c r="KC140" t="str">
        <f t="shared" si="129"/>
        <v>F0-AI13-5B</v>
      </c>
      <c r="KD140" t="str">
        <f t="shared" si="130"/>
        <v>F0-AI13-6B</v>
      </c>
      <c r="KI140" cm="1">
        <f t="array" ref="KI140">IF(COUNTIFS($U$2:$U140,$U140)=1,1,INDEX(KI:KI,_xlfn.XMATCH(U140,U$1:U139,0,-1))+COUNT(KI139:KM139))</f>
        <v>261</v>
      </c>
      <c r="KJ140">
        <f t="shared" si="131"/>
        <v>262</v>
      </c>
      <c r="KK140">
        <f t="shared" si="131"/>
        <v>263</v>
      </c>
      <c r="KN140">
        <v>1</v>
      </c>
      <c r="KO140" s="16">
        <v>2</v>
      </c>
      <c r="KS140" s="16"/>
    </row>
    <row r="141" spans="1:305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1511</v>
      </c>
      <c r="X141" t="str">
        <f>IF(COUNTIF(X$1:X140,X140)&gt;7,REPLACE(X140,LEN(X140),1,VALUE(RIGHT(X140,1))+1),X140)</f>
        <v>A3.13</v>
      </c>
      <c r="Y141" s="43" cm="1">
        <f t="array" ref="Y141">IF(COUNTIFS($X$2:$X141,$X141)=1,"1",VALUE(SUBSTITUTE(INDEX(Y:Y,_xlfn.XMATCH($X141,$X$1:$X140,0,-1)),"A",""))+INDEX(Z:Z,_xlfn.XMATCH($X141,$X$1:$X140,0,-1))+1)</f>
        <v>4</v>
      </c>
      <c r="Z141" s="43" cm="1">
        <f t="array" ref="Z141">SUM(IF(ISNUMBER(FIND("TmAi",$BE$1:$AAD$1)),IF(IFERROR(ISODD(SUBSTITUTE($BE141:$AAD141,"A","")),FALSE),IF(ISODD(SUBSTITUTE($BE141:$AAD141,"A","")),1,0),0)))</f>
        <v>0</v>
      </c>
      <c r="AA141" t="str">
        <f t="shared" si="125"/>
        <v>7B</v>
      </c>
      <c r="AB141" t="str">
        <f t="shared" si="126"/>
        <v>8B</v>
      </c>
      <c r="AP141" t="s">
        <v>137</v>
      </c>
      <c r="AS141" t="s">
        <v>396</v>
      </c>
      <c r="JZ141" s="27" t="str">
        <f t="shared" si="128"/>
        <v>XT55</v>
      </c>
      <c r="KC141" t="str">
        <f t="shared" si="129"/>
        <v>F0-AI13-7B</v>
      </c>
      <c r="KD141" t="str">
        <f t="shared" si="130"/>
        <v>F0-AI13-8B</v>
      </c>
      <c r="KI141" cm="1">
        <f t="array" ref="KI141">IF(COUNTIFS($U$2:$U141,$U141)=1,1,INDEX(KI:KI,_xlfn.XMATCH(U141,U$1:U140,0,-1))+COUNT(KI140:KM140))</f>
        <v>264</v>
      </c>
      <c r="KJ141">
        <f t="shared" si="131"/>
        <v>265</v>
      </c>
      <c r="KK141">
        <f t="shared" si="131"/>
        <v>266</v>
      </c>
      <c r="KN141">
        <v>1</v>
      </c>
      <c r="KO141" s="16">
        <v>2</v>
      </c>
      <c r="KS141" s="16"/>
    </row>
    <row r="142" spans="1:305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1512</v>
      </c>
      <c r="X142" t="str">
        <f>IF(COUNTIF(X$1:X141,X141)&gt;7,REPLACE(X141,LEN(X141),1,VALUE(RIGHT(X141,1))+1),X141)</f>
        <v>A3.13</v>
      </c>
      <c r="Y142" s="43" cm="1">
        <f t="array" ref="Y142">IF(COUNTIFS($X$2:$X142,$X142)=1,"1",VALUE(SUBSTITUTE(INDEX(Y:Y,_xlfn.XMATCH($X142,$X$1:$X141,0,-1)),"A",""))+INDEX(Z:Z,_xlfn.XMATCH($X142,$X$1:$X141,0,-1))+1)</f>
        <v>5</v>
      </c>
      <c r="Z142" s="43" cm="1">
        <f t="array" ref="Z142">SUM(IF(ISNUMBER(FIND("TmAi",$BE$1:$AAD$1)),IF(IFERROR(ISODD(SUBSTITUTE($BE142:$AAD142,"A","")),FALSE),IF(ISODD(SUBSTITUTE($BE142:$AAD142,"A","")),1,0),0)))</f>
        <v>0</v>
      </c>
      <c r="AA142" t="str">
        <f t="shared" si="125"/>
        <v>9B</v>
      </c>
      <c r="AB142" t="str">
        <f t="shared" si="126"/>
        <v>10B</v>
      </c>
      <c r="AP142" t="s">
        <v>137</v>
      </c>
      <c r="AS142" t="s">
        <v>396</v>
      </c>
      <c r="JZ142" s="27" t="str">
        <f t="shared" si="128"/>
        <v>XT55</v>
      </c>
      <c r="KC142" t="str">
        <f t="shared" si="129"/>
        <v>F0-AI13-9B</v>
      </c>
      <c r="KD142" t="str">
        <f t="shared" si="130"/>
        <v>F0-AI13-10B</v>
      </c>
      <c r="KI142" cm="1">
        <f t="array" ref="KI142">IF(COUNTIFS($U$2:$U142,$U142)=1,1,INDEX(KI:KI,_xlfn.XMATCH(U142,U$1:U141,0,-1))+COUNT(KI141:KM141))</f>
        <v>267</v>
      </c>
      <c r="KJ142">
        <f t="shared" si="131"/>
        <v>268</v>
      </c>
      <c r="KK142">
        <f t="shared" si="131"/>
        <v>269</v>
      </c>
      <c r="KN142">
        <v>1</v>
      </c>
      <c r="KO142" s="16">
        <v>2</v>
      </c>
      <c r="KS142" s="16"/>
    </row>
    <row r="143" spans="1:305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1513</v>
      </c>
      <c r="X143" t="str">
        <f>IF(COUNTIF(X$1:X142,X142)&gt;7,REPLACE(X142,LEN(X142),1,VALUE(RIGHT(X142,1))+1),X142)</f>
        <v>A3.13</v>
      </c>
      <c r="Y143" s="43" cm="1">
        <f t="array" ref="Y143">IF(COUNTIFS($X$2:$X143,$X143)=1,"1",VALUE(SUBSTITUTE(INDEX(Y:Y,_xlfn.XMATCH($X143,$X$1:$X142,0,-1)),"A",""))+INDEX(Z:Z,_xlfn.XMATCH($X143,$X$1:$X142,0,-1))+1)</f>
        <v>6</v>
      </c>
      <c r="Z143" s="43" cm="1">
        <f t="array" ref="Z143">SUM(IF(ISNUMBER(FIND("TmAi",$BE$1:$AAD$1)),IF(IFERROR(ISODD(SUBSTITUTE($BE143:$AAD143,"A","")),FALSE),IF(ISODD(SUBSTITUTE($BE143:$AAD143,"A","")),1,0),0)))</f>
        <v>0</v>
      </c>
      <c r="AA143" t="str">
        <f t="shared" si="125"/>
        <v>11B</v>
      </c>
      <c r="AB143" t="str">
        <f t="shared" si="126"/>
        <v>12B</v>
      </c>
      <c r="AP143" t="s">
        <v>137</v>
      </c>
      <c r="AS143" t="s">
        <v>396</v>
      </c>
      <c r="JZ143" s="27" t="str">
        <f t="shared" si="128"/>
        <v>XT55</v>
      </c>
      <c r="KC143" t="str">
        <f t="shared" si="129"/>
        <v>F0-AI13-11B</v>
      </c>
      <c r="KD143" t="str">
        <f t="shared" si="130"/>
        <v>F0-AI13-12B</v>
      </c>
      <c r="KI143" cm="1">
        <f t="array" ref="KI143">IF(COUNTIFS($U$2:$U143,$U143)=1,1,INDEX(KI:KI,_xlfn.XMATCH(U143,U$1:U142,0,-1))+COUNT(KI142:KM142))</f>
        <v>270</v>
      </c>
      <c r="KJ143">
        <f t="shared" si="131"/>
        <v>271</v>
      </c>
      <c r="KK143">
        <f t="shared" si="131"/>
        <v>272</v>
      </c>
      <c r="KN143">
        <v>1</v>
      </c>
      <c r="KO143" s="16">
        <v>2</v>
      </c>
      <c r="KS143" s="16"/>
    </row>
    <row r="144" spans="1:305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1514</v>
      </c>
      <c r="X144" t="str">
        <f>IF(COUNTIF(X$1:X143,X143)&gt;7,REPLACE(X143,LEN(X143),1,VALUE(RIGHT(X143,1))+1),X143)</f>
        <v>A3.13</v>
      </c>
      <c r="Y144" s="43" cm="1">
        <f t="array" ref="Y144">IF(COUNTIFS($X$2:$X144,$X144)=1,"1",VALUE(SUBSTITUTE(INDEX(Y:Y,_xlfn.XMATCH($X144,$X$1:$X143,0,-1)),"A",""))+INDEX(Z:Z,_xlfn.XMATCH($X144,$X$1:$X143,0,-1))+1)</f>
        <v>7</v>
      </c>
      <c r="Z144" s="43" cm="1">
        <f t="array" ref="Z144">SUM(IF(ISNUMBER(FIND("TmAi",$BE$1:$AAD$1)),IF(IFERROR(ISODD(SUBSTITUTE($BE144:$AAD144,"A","")),FALSE),IF(ISODD(SUBSTITUTE($BE144:$AAD144,"A","")),1,0),0)))</f>
        <v>0</v>
      </c>
      <c r="AA144" t="str">
        <f t="shared" si="125"/>
        <v>13B</v>
      </c>
      <c r="AB144" t="str">
        <f t="shared" si="126"/>
        <v>14B</v>
      </c>
      <c r="AP144" t="s">
        <v>137</v>
      </c>
      <c r="AS144" t="s">
        <v>396</v>
      </c>
      <c r="JZ144" s="27" t="str">
        <f t="shared" si="128"/>
        <v>XT55</v>
      </c>
      <c r="KC144" t="str">
        <f t="shared" si="129"/>
        <v>F0-AI13-13B</v>
      </c>
      <c r="KD144" t="str">
        <f t="shared" si="130"/>
        <v>F0-AI13-14B</v>
      </c>
      <c r="KI144" cm="1">
        <f t="array" ref="KI144">IF(COUNTIFS($U$2:$U144,$U144)=1,1,INDEX(KI:KI,_xlfn.XMATCH(U144,U$1:U143,0,-1))+COUNT(KI143:KM143))</f>
        <v>273</v>
      </c>
      <c r="KJ144">
        <f t="shared" si="131"/>
        <v>274</v>
      </c>
      <c r="KK144">
        <f t="shared" si="131"/>
        <v>275</v>
      </c>
      <c r="KN144">
        <v>1</v>
      </c>
      <c r="KO144" s="16">
        <v>2</v>
      </c>
      <c r="KS144" s="16"/>
    </row>
    <row r="145" spans="1:305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1515</v>
      </c>
      <c r="X145" s="33" t="str">
        <f>IF(COUNTIF(X$1:X144,X144)&gt;7,REPLACE(X144,LEN(X144),1,VALUE(RIGHT(X144,1))+1),X144)</f>
        <v>A3.13</v>
      </c>
      <c r="Y145" s="45" cm="1">
        <f t="array" ref="Y145">IF(COUNTIFS($X$2:$X145,$X145)=1,"1",VALUE(SUBSTITUTE(INDEX(Y:Y,_xlfn.XMATCH($X145,$X$1:$X144,0,-1)),"A",""))+INDEX(Z:Z,_xlfn.XMATCH($X145,$X$1:$X144,0,-1))+1)</f>
        <v>8</v>
      </c>
      <c r="Z145" s="43" cm="1">
        <f t="array" ref="Z145">SUM(IF(ISNUMBER(FIND("TmAi",$BE$1:$AAD$1)),IF(IFERROR(ISODD(SUBSTITUTE($BE145:$AAD145,"A","")),FALSE),IF(ISODD(SUBSTITUTE($BE145:$AAD145,"A","")),1,0),0)))</f>
        <v>0</v>
      </c>
      <c r="AA145" t="str">
        <f t="shared" si="125"/>
        <v>15B</v>
      </c>
      <c r="AB145" t="str">
        <f t="shared" si="126"/>
        <v>16B</v>
      </c>
      <c r="AP145" t="s">
        <v>137</v>
      </c>
      <c r="AS145" t="s">
        <v>396</v>
      </c>
      <c r="JZ145" s="27" t="str">
        <f t="shared" si="128"/>
        <v>XT55</v>
      </c>
      <c r="KC145" t="str">
        <f t="shared" si="129"/>
        <v>F0-AI13-15B</v>
      </c>
      <c r="KD145" t="str">
        <f t="shared" si="130"/>
        <v>F0-AI13-16B</v>
      </c>
      <c r="KI145" cm="1">
        <f t="array" ref="KI145">IF(COUNTIFS($U$2:$U145,$U145)=1,1,INDEX(KI:KI,_xlfn.XMATCH(U145,U$1:U144,0,-1))+COUNT(KI144:KM144))</f>
        <v>276</v>
      </c>
      <c r="KJ145">
        <f t="shared" si="131"/>
        <v>277</v>
      </c>
      <c r="KK145">
        <f t="shared" si="131"/>
        <v>278</v>
      </c>
      <c r="KN145">
        <v>1</v>
      </c>
      <c r="KO145" s="16">
        <v>2</v>
      </c>
      <c r="KS145" s="16"/>
    </row>
    <row r="146" spans="1:305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1516</v>
      </c>
      <c r="X146" t="str">
        <f>IF(COUNTIF(X$1:X145,X145)&gt;7,REPLACE(X145,LEN(X145),1,VALUE(RIGHT(X145,1))+1),X145)</f>
        <v>A3.14</v>
      </c>
      <c r="Y146" s="43" t="str" cm="1">
        <f t="array" ref="Y146">IF(COUNTIFS($X$2:$X146,$X146)=1,"1",VALUE(SUBSTITUTE(INDEX(Y:Y,_xlfn.XMATCH($X146,$X$1:$X145,0,-1)),"A",""))+INDEX(Z:Z,_xlfn.XMATCH($X146,$X$1:$X145,0,-1))+1)</f>
        <v>1</v>
      </c>
      <c r="Z146" s="43" cm="1">
        <f t="array" ref="Z146">SUM(IF(ISNUMBER(FIND("TmAi",$BE$1:$AAD$1)),IF(IFERROR(ISODD(SUBSTITUTE($BE146:$AAD146,"A","")),FALSE),IF(ISODD(SUBSTITUTE($BE146:$AAD146,"A","")),1,0),0)))</f>
        <v>0</v>
      </c>
      <c r="AA146" t="str">
        <f t="shared" si="125"/>
        <v>1B</v>
      </c>
      <c r="AB146" t="str">
        <f t="shared" si="126"/>
        <v>2B</v>
      </c>
      <c r="AP146" t="s">
        <v>137</v>
      </c>
      <c r="AS146" t="s">
        <v>396</v>
      </c>
      <c r="JZ146" s="27" t="str">
        <f t="shared" si="128"/>
        <v>XT55</v>
      </c>
      <c r="KC146" t="str">
        <f t="shared" si="129"/>
        <v>F0-AI14-1B</v>
      </c>
      <c r="KD146" t="str">
        <f t="shared" si="130"/>
        <v>F0-AI14-2B</v>
      </c>
      <c r="KI146" cm="1">
        <f t="array" ref="KI146">IF(COUNTIFS($U$2:$U146,$U146)=1,1,INDEX(KI:KI,_xlfn.XMATCH(U146,U$1:U145,0,-1))+COUNT(KI145:KM145))</f>
        <v>279</v>
      </c>
      <c r="KJ146">
        <f t="shared" si="131"/>
        <v>280</v>
      </c>
      <c r="KK146">
        <f t="shared" si="131"/>
        <v>281</v>
      </c>
      <c r="KN146">
        <v>1</v>
      </c>
      <c r="KO146" s="16">
        <v>2</v>
      </c>
      <c r="KS146" s="16"/>
    </row>
    <row r="147" spans="1:305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1517</v>
      </c>
      <c r="X147" t="str">
        <f>IF(COUNTIF(X$1:X146,X146)&gt;7,REPLACE(X146,LEN(X146),1,VALUE(RIGHT(X146,1))+1),X146)</f>
        <v>A3.14</v>
      </c>
      <c r="Y147" s="43" cm="1">
        <f t="array" ref="Y147">IF(COUNTIFS($X$2:$X147,$X147)=1,"1",VALUE(SUBSTITUTE(INDEX(Y:Y,_xlfn.XMATCH($X147,$X$1:$X146,0,-1)),"A",""))+INDEX(Z:Z,_xlfn.XMATCH($X147,$X$1:$X146,0,-1))+1)</f>
        <v>2</v>
      </c>
      <c r="Z147" s="43" cm="1">
        <f t="array" ref="Z147">SUM(IF(ISNUMBER(FIND("TmAi",$BE$1:$AAD$1)),IF(IFERROR(ISODD(SUBSTITUTE($BE147:$AAD147,"A","")),FALSE),IF(ISODD(SUBSTITUTE($BE147:$AAD147,"A","")),1,0),0)))</f>
        <v>0</v>
      </c>
      <c r="AA147" t="str">
        <f t="shared" si="125"/>
        <v>3B</v>
      </c>
      <c r="AB147" t="str">
        <f t="shared" si="126"/>
        <v>4B</v>
      </c>
      <c r="AP147" t="s">
        <v>137</v>
      </c>
      <c r="AS147" t="s">
        <v>396</v>
      </c>
      <c r="JZ147" s="27" t="str">
        <f t="shared" si="128"/>
        <v>XT55</v>
      </c>
      <c r="KC147" t="str">
        <f t="shared" si="129"/>
        <v>F0-AI14-3B</v>
      </c>
      <c r="KD147" t="str">
        <f t="shared" si="130"/>
        <v>F0-AI14-4B</v>
      </c>
      <c r="KI147" cm="1">
        <f t="array" ref="KI147">IF(COUNTIFS($U$2:$U147,$U147)=1,1,INDEX(KI:KI,_xlfn.XMATCH(U147,U$1:U146,0,-1))+COUNT(KI146:KM146))</f>
        <v>282</v>
      </c>
      <c r="KJ147">
        <f t="shared" si="131"/>
        <v>283</v>
      </c>
      <c r="KK147">
        <f t="shared" si="131"/>
        <v>284</v>
      </c>
      <c r="KN147">
        <v>1</v>
      </c>
      <c r="KO147" s="16">
        <v>2</v>
      </c>
      <c r="KS147" s="16"/>
    </row>
    <row r="148" spans="1:305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1518</v>
      </c>
      <c r="X148" t="str">
        <f>IF(COUNTIF(X$1:X147,X147)&gt;7,REPLACE(X147,LEN(X147),1,VALUE(RIGHT(X147,1))+1),X147)</f>
        <v>A3.14</v>
      </c>
      <c r="Y148" s="43" cm="1">
        <f t="array" ref="Y148">IF(COUNTIFS($X$2:$X148,$X148)=1,"1",VALUE(SUBSTITUTE(INDEX(Y:Y,_xlfn.XMATCH($X148,$X$1:$X147,0,-1)),"A",""))+INDEX(Z:Z,_xlfn.XMATCH($X148,$X$1:$X147,0,-1))+1)</f>
        <v>3</v>
      </c>
      <c r="Z148" s="43" cm="1">
        <f t="array" ref="Z148">SUM(IF(ISNUMBER(FIND("TmAi",$BE$1:$AAD$1)),IF(IFERROR(ISODD(SUBSTITUTE($BE148:$AAD148,"A","")),FALSE),IF(ISODD(SUBSTITUTE($BE148:$AAD148,"A","")),1,0),0)))</f>
        <v>0</v>
      </c>
      <c r="AA148" t="str">
        <f t="shared" si="125"/>
        <v>5B</v>
      </c>
      <c r="AB148" t="str">
        <f t="shared" si="126"/>
        <v>6B</v>
      </c>
      <c r="AP148" t="s">
        <v>137</v>
      </c>
      <c r="AS148" t="s">
        <v>396</v>
      </c>
      <c r="JZ148" s="27" t="str">
        <f t="shared" si="128"/>
        <v>XT55</v>
      </c>
      <c r="KC148" t="str">
        <f t="shared" si="129"/>
        <v>F0-AI14-5B</v>
      </c>
      <c r="KD148" t="str">
        <f t="shared" si="130"/>
        <v>F0-AI14-6B</v>
      </c>
      <c r="KI148" cm="1">
        <f t="array" ref="KI148">IF(COUNTIFS($U$2:$U148,$U148)=1,1,INDEX(KI:KI,_xlfn.XMATCH(U148,U$1:U147,0,-1))+COUNT(KI147:KM147))</f>
        <v>285</v>
      </c>
      <c r="KJ148">
        <f t="shared" si="131"/>
        <v>286</v>
      </c>
      <c r="KK148">
        <f t="shared" si="131"/>
        <v>287</v>
      </c>
      <c r="KN148">
        <v>1</v>
      </c>
      <c r="KO148" s="16">
        <v>2</v>
      </c>
      <c r="KS148" s="16"/>
    </row>
    <row r="149" spans="1:305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1519</v>
      </c>
      <c r="X149" t="str">
        <f>IF(COUNTIF(X$1:X148,X148)&gt;7,REPLACE(X148,LEN(X148),1,VALUE(RIGHT(X148,1))+1),X148)</f>
        <v>A3.14</v>
      </c>
      <c r="Y149" s="43" cm="1">
        <f t="array" ref="Y149">IF(COUNTIFS($X$2:$X149,$X149)=1,"1",VALUE(SUBSTITUTE(INDEX(Y:Y,_xlfn.XMATCH($X149,$X$1:$X148,0,-1)),"A",""))+INDEX(Z:Z,_xlfn.XMATCH($X149,$X$1:$X148,0,-1))+1)</f>
        <v>4</v>
      </c>
      <c r="Z149" s="43" cm="1">
        <f t="array" ref="Z149">SUM(IF(ISNUMBER(FIND("TmAi",$BE$1:$AAD$1)),IF(IFERROR(ISODD(SUBSTITUTE($BE149:$AAD149,"A","")),FALSE),IF(ISODD(SUBSTITUTE($BE149:$AAD149,"A","")),1,0),0)))</f>
        <v>0</v>
      </c>
      <c r="AA149" t="str">
        <f t="shared" si="125"/>
        <v>7B</v>
      </c>
      <c r="AB149" t="str">
        <f t="shared" si="126"/>
        <v>8B</v>
      </c>
      <c r="AP149" t="s">
        <v>137</v>
      </c>
      <c r="AS149" t="s">
        <v>396</v>
      </c>
      <c r="JZ149" s="27" t="str">
        <f t="shared" si="128"/>
        <v>XT55</v>
      </c>
      <c r="KC149" t="str">
        <f t="shared" si="129"/>
        <v>F0-AI14-7B</v>
      </c>
      <c r="KD149" t="str">
        <f t="shared" si="130"/>
        <v>F0-AI14-8B</v>
      </c>
      <c r="KI149" cm="1">
        <f t="array" ref="KI149">IF(COUNTIFS($U$2:$U149,$U149)=1,1,INDEX(KI:KI,_xlfn.XMATCH(U149,U$1:U148,0,-1))+COUNT(KI148:KM148))</f>
        <v>288</v>
      </c>
      <c r="KJ149">
        <f t="shared" si="131"/>
        <v>289</v>
      </c>
      <c r="KK149">
        <f t="shared" si="131"/>
        <v>290</v>
      </c>
      <c r="KN149">
        <v>1</v>
      </c>
      <c r="KO149" s="16">
        <v>2</v>
      </c>
      <c r="KS149" s="16"/>
    </row>
    <row r="150" spans="1:305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1520</v>
      </c>
      <c r="X150" t="str">
        <f>IF(COUNTIF(X$1:X149,X149)&gt;7,REPLACE(X149,LEN(X149),1,VALUE(RIGHT(X149,1))+1),X149)</f>
        <v>A3.14</v>
      </c>
      <c r="Y150" s="43" cm="1">
        <f t="array" ref="Y150">IF(COUNTIFS($X$2:$X150,$X150)=1,"1",VALUE(SUBSTITUTE(INDEX(Y:Y,_xlfn.XMATCH($X150,$X$1:$X149,0,-1)),"A",""))+INDEX(Z:Z,_xlfn.XMATCH($X150,$X$1:$X149,0,-1))+1)</f>
        <v>5</v>
      </c>
      <c r="Z150" s="43" cm="1">
        <f t="array" ref="Z150">SUM(IF(ISNUMBER(FIND("TmAi",$BE$1:$AAD$1)),IF(IFERROR(ISODD(SUBSTITUTE($BE150:$AAD150,"A","")),FALSE),IF(ISODD(SUBSTITUTE($BE150:$AAD150,"A","")),1,0),0)))</f>
        <v>0</v>
      </c>
      <c r="AA150" t="str">
        <f t="shared" si="125"/>
        <v>9B</v>
      </c>
      <c r="AB150" t="str">
        <f t="shared" si="126"/>
        <v>10B</v>
      </c>
      <c r="AP150" t="s">
        <v>137</v>
      </c>
      <c r="AS150" t="s">
        <v>396</v>
      </c>
      <c r="JZ150" s="27" t="str">
        <f t="shared" si="128"/>
        <v>XT55</v>
      </c>
      <c r="KC150" t="str">
        <f t="shared" si="129"/>
        <v>F0-AI14-9B</v>
      </c>
      <c r="KD150" t="str">
        <f t="shared" si="130"/>
        <v>F0-AI14-10B</v>
      </c>
      <c r="KI150" cm="1">
        <f t="array" ref="KI150">IF(COUNTIFS($U$2:$U150,$U150)=1,1,INDEX(KI:KI,_xlfn.XMATCH(U150,U$1:U149,0,-1))+COUNT(KI149:KM149))</f>
        <v>291</v>
      </c>
      <c r="KJ150">
        <f t="shared" si="131"/>
        <v>292</v>
      </c>
      <c r="KK150">
        <f t="shared" si="131"/>
        <v>293</v>
      </c>
      <c r="KN150">
        <v>1</v>
      </c>
      <c r="KO150" s="16">
        <v>2</v>
      </c>
      <c r="KS150" s="16"/>
    </row>
    <row r="151" spans="1:305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1521</v>
      </c>
      <c r="X151" t="str">
        <f>IF(COUNTIF(X$1:X150,X150)&gt;7,REPLACE(X150,LEN(X150),1,VALUE(RIGHT(X150,1))+1),X150)</f>
        <v>A3.14</v>
      </c>
      <c r="Y151" s="43" cm="1">
        <f t="array" ref="Y151">IF(COUNTIFS($X$2:$X151,$X151)=1,"1",VALUE(SUBSTITUTE(INDEX(Y:Y,_xlfn.XMATCH($X151,$X$1:$X150,0,-1)),"A",""))+INDEX(Z:Z,_xlfn.XMATCH($X151,$X$1:$X150,0,-1))+1)</f>
        <v>6</v>
      </c>
      <c r="Z151" s="43" cm="1">
        <f t="array" ref="Z151">SUM(IF(ISNUMBER(FIND("TmAi",$BE$1:$AAD$1)),IF(IFERROR(ISODD(SUBSTITUTE($BE151:$AAD151,"A","")),FALSE),IF(ISODD(SUBSTITUTE($BE151:$AAD151,"A","")),1,0),0)))</f>
        <v>0</v>
      </c>
      <c r="AA151" t="str">
        <f t="shared" si="125"/>
        <v>11B</v>
      </c>
      <c r="AB151" t="str">
        <f t="shared" si="126"/>
        <v>12B</v>
      </c>
      <c r="AP151" t="s">
        <v>137</v>
      </c>
      <c r="AS151" t="s">
        <v>396</v>
      </c>
      <c r="JZ151" s="27" t="str">
        <f t="shared" si="128"/>
        <v>XT55</v>
      </c>
      <c r="KC151" t="str">
        <f t="shared" si="129"/>
        <v>F0-AI14-11B</v>
      </c>
      <c r="KD151" t="str">
        <f t="shared" si="130"/>
        <v>F0-AI14-12B</v>
      </c>
      <c r="KI151" cm="1">
        <f t="array" ref="KI151">IF(COUNTIFS($U$2:$U151,$U151)=1,1,INDEX(KI:KI,_xlfn.XMATCH(U151,U$1:U150,0,-1))+COUNT(KI150:KM150))</f>
        <v>294</v>
      </c>
      <c r="KJ151">
        <f t="shared" si="131"/>
        <v>295</v>
      </c>
      <c r="KK151">
        <f t="shared" si="131"/>
        <v>296</v>
      </c>
      <c r="KN151">
        <v>1</v>
      </c>
      <c r="KO151" s="16">
        <v>2</v>
      </c>
      <c r="KS151" s="16"/>
    </row>
    <row r="152" spans="1:305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1522</v>
      </c>
      <c r="X152" t="str">
        <f>IF(COUNTIF(X$1:X151,X151)&gt;7,REPLACE(X151,LEN(X151),1,VALUE(RIGHT(X151,1))+1),X151)</f>
        <v>A3.14</v>
      </c>
      <c r="Y152" s="43" cm="1">
        <f t="array" ref="Y152">IF(COUNTIFS($X$2:$X152,$X152)=1,"1",VALUE(SUBSTITUTE(INDEX(Y:Y,_xlfn.XMATCH($X152,$X$1:$X151,0,-1)),"A",""))+INDEX(Z:Z,_xlfn.XMATCH($X152,$X$1:$X151,0,-1))+1)</f>
        <v>7</v>
      </c>
      <c r="Z152" s="43" cm="1">
        <f t="array" ref="Z152">SUM(IF(ISNUMBER(FIND("TmAi",$BE$1:$AAD$1)),IF(IFERROR(ISODD(SUBSTITUTE($BE152:$AAD152,"A","")),FALSE),IF(ISODD(SUBSTITUTE($BE152:$AAD152,"A","")),1,0),0)))</f>
        <v>0</v>
      </c>
      <c r="AA152" t="str">
        <f t="shared" si="125"/>
        <v>13B</v>
      </c>
      <c r="AB152" t="str">
        <f t="shared" si="126"/>
        <v>14B</v>
      </c>
      <c r="AP152" t="s">
        <v>137</v>
      </c>
      <c r="AS152" t="s">
        <v>396</v>
      </c>
      <c r="JZ152" s="27" t="str">
        <f t="shared" si="128"/>
        <v>XT55</v>
      </c>
      <c r="KC152" t="str">
        <f t="shared" si="129"/>
        <v>F0-AI14-13B</v>
      </c>
      <c r="KD152" t="str">
        <f t="shared" si="130"/>
        <v>F0-AI14-14B</v>
      </c>
      <c r="KI152" cm="1">
        <f t="array" ref="KI152">IF(COUNTIFS($U$2:$U152,$U152)=1,1,INDEX(KI:KI,_xlfn.XMATCH(U152,U$1:U151,0,-1))+COUNT(KI151:KM151))</f>
        <v>297</v>
      </c>
      <c r="KJ152">
        <f t="shared" si="131"/>
        <v>298</v>
      </c>
      <c r="KK152">
        <f t="shared" si="131"/>
        <v>299</v>
      </c>
      <c r="KN152">
        <v>1</v>
      </c>
      <c r="KO152" s="16">
        <v>2</v>
      </c>
      <c r="KS152" s="16"/>
    </row>
    <row r="153" spans="1:305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1523</v>
      </c>
      <c r="X153" s="33" t="str">
        <f>IF(COUNTIF(X$1:X152,X152)&gt;7,REPLACE(X152,LEN(X152),1,VALUE(RIGHT(X152,1))+1),X152)</f>
        <v>A3.14</v>
      </c>
      <c r="Y153" s="45" cm="1">
        <f t="array" ref="Y153">IF(COUNTIFS($X$2:$X153,$X153)=1,"1",VALUE(SUBSTITUTE(INDEX(Y:Y,_xlfn.XMATCH($X153,$X$1:$X152,0,-1)),"A",""))+INDEX(Z:Z,_xlfn.XMATCH($X153,$X$1:$X152,0,-1))+1)</f>
        <v>8</v>
      </c>
      <c r="Z153" s="43" cm="1">
        <f t="array" ref="Z153">SUM(IF(ISNUMBER(FIND("TmAi",$BE$1:$AAD$1)),IF(IFERROR(ISODD(SUBSTITUTE($BE153:$AAD153,"A","")),FALSE),IF(ISODD(SUBSTITUTE($BE153:$AAD153,"A","")),1,0),0)))</f>
        <v>0</v>
      </c>
      <c r="AA153" t="str">
        <f t="shared" si="125"/>
        <v>15B</v>
      </c>
      <c r="AB153" t="str">
        <f t="shared" si="126"/>
        <v>16B</v>
      </c>
      <c r="AP153" t="s">
        <v>137</v>
      </c>
      <c r="AS153" t="s">
        <v>396</v>
      </c>
      <c r="JZ153" s="27" t="str">
        <f t="shared" si="128"/>
        <v>XT55</v>
      </c>
      <c r="KC153" t="str">
        <f t="shared" si="129"/>
        <v>F0-AI14-15B</v>
      </c>
      <c r="KD153" t="str">
        <f t="shared" si="130"/>
        <v>F0-AI14-16B</v>
      </c>
      <c r="KI153" cm="1">
        <f t="array" ref="KI153">IF(COUNTIFS($U$2:$U153,$U153)=1,1,INDEX(KI:KI,_xlfn.XMATCH(U153,U$1:U152,0,-1))+COUNT(KI152:KM152))</f>
        <v>300</v>
      </c>
      <c r="KJ153">
        <f t="shared" si="131"/>
        <v>301</v>
      </c>
      <c r="KK153">
        <f t="shared" si="131"/>
        <v>302</v>
      </c>
      <c r="KN153">
        <v>1</v>
      </c>
      <c r="KO153" s="16">
        <v>2</v>
      </c>
      <c r="KS153" s="16"/>
    </row>
    <row r="154" spans="1:305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1524</v>
      </c>
      <c r="X154" t="str">
        <f>IF(COUNTIF(X$1:X153,X153)&gt;7,REPLACE(X153,LEN(X153),1,VALUE(RIGHT(X153,1))+1),X153)</f>
        <v>A3.15</v>
      </c>
      <c r="Y154" s="43" t="str" cm="1">
        <f t="array" ref="Y154">IF(COUNTIFS($X$2:$X154,$X154)=1,"1",VALUE(SUBSTITUTE(INDEX(Y:Y,_xlfn.XMATCH($X154,$X$1:$X153,0,-1)),"A",""))+INDEX(Z:Z,_xlfn.XMATCH($X154,$X$1:$X153,0,-1))+1)</f>
        <v>1</v>
      </c>
      <c r="Z154" s="43" cm="1">
        <f t="array" ref="Z154">SUM(IF(ISNUMBER(FIND("TmAi",$BE$1:$AAD$1)),IF(IFERROR(ISODD(SUBSTITUTE($BE154:$AAD154,"A","")),FALSE),IF(ISODD(SUBSTITUTE($BE154:$AAD154,"A","")),1,0),0)))</f>
        <v>0</v>
      </c>
      <c r="AA154" t="str">
        <f t="shared" ref="AA154:AA165" si="132">CONCATENATE($Y154*2-1,"B")</f>
        <v>1B</v>
      </c>
      <c r="AB154" t="str">
        <f t="shared" ref="AB154:AB165" si="133">CONCATENATE($Y154*2,"B")</f>
        <v>2B</v>
      </c>
      <c r="AP154" t="s">
        <v>137</v>
      </c>
      <c r="AS154" t="s">
        <v>396</v>
      </c>
      <c r="JZ154" s="27" t="str">
        <f t="shared" si="128"/>
        <v>XT55</v>
      </c>
      <c r="KC154" t="str">
        <f t="shared" si="129"/>
        <v>F0-AI15-1B</v>
      </c>
      <c r="KD154" t="str">
        <f t="shared" si="130"/>
        <v>F0-AI15-2B</v>
      </c>
      <c r="KI154" cm="1">
        <f t="array" ref="KI154">IF(COUNTIFS($U$2:$U154,$U154)=1,1,INDEX(KI:KI,_xlfn.XMATCH(U154,U$1:U153,0,-1))+COUNT(KI153:KM153))</f>
        <v>303</v>
      </c>
      <c r="KJ154">
        <f t="shared" si="131"/>
        <v>304</v>
      </c>
      <c r="KK154">
        <f t="shared" si="131"/>
        <v>305</v>
      </c>
      <c r="KN154">
        <v>1</v>
      </c>
      <c r="KO154" s="16">
        <v>2</v>
      </c>
      <c r="KS154" s="16"/>
    </row>
    <row r="155" spans="1:305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1525</v>
      </c>
      <c r="X155" t="str">
        <f>IF(COUNTIF(X$1:X154,X154)&gt;7,REPLACE(X154,LEN(X154),1,VALUE(RIGHT(X154,1))+1),X154)</f>
        <v>A3.15</v>
      </c>
      <c r="Y155" s="43" cm="1">
        <f t="array" ref="Y155">IF(COUNTIFS($X$2:$X155,$X155)=1,"1",VALUE(SUBSTITUTE(INDEX(Y:Y,_xlfn.XMATCH($X155,$X$1:$X154,0,-1)),"A",""))+INDEX(Z:Z,_xlfn.XMATCH($X155,$X$1:$X154,0,-1))+1)</f>
        <v>2</v>
      </c>
      <c r="Z155" s="43" cm="1">
        <f t="array" ref="Z155">SUM(IF(ISNUMBER(FIND("TmAi",$BE$1:$AAD$1)),IF(IFERROR(ISODD(SUBSTITUTE($BE155:$AAD155,"A","")),FALSE),IF(ISODD(SUBSTITUTE($BE155:$AAD155,"A","")),1,0),0)))</f>
        <v>0</v>
      </c>
      <c r="AA155" t="str">
        <f t="shared" si="132"/>
        <v>3B</v>
      </c>
      <c r="AB155" t="str">
        <f t="shared" si="133"/>
        <v>4B</v>
      </c>
      <c r="AP155" t="s">
        <v>137</v>
      </c>
      <c r="AS155" t="s">
        <v>396</v>
      </c>
      <c r="JZ155" s="27" t="str">
        <f t="shared" si="128"/>
        <v>XT55</v>
      </c>
      <c r="KC155" t="str">
        <f t="shared" si="129"/>
        <v>F0-AI15-3B</v>
      </c>
      <c r="KD155" t="str">
        <f t="shared" si="130"/>
        <v>F0-AI15-4B</v>
      </c>
      <c r="KI155" cm="1">
        <f t="array" ref="KI155">IF(COUNTIFS($U$2:$U155,$U155)=1,1,INDEX(KI:KI,_xlfn.XMATCH(U155,U$1:U154,0,-1))+COUNT(KI154:KM154))</f>
        <v>306</v>
      </c>
      <c r="KJ155">
        <f t="shared" si="131"/>
        <v>307</v>
      </c>
      <c r="KK155">
        <f t="shared" si="131"/>
        <v>308</v>
      </c>
      <c r="KN155">
        <v>1</v>
      </c>
      <c r="KO155" s="16">
        <v>2</v>
      </c>
      <c r="KS155" s="16"/>
    </row>
    <row r="156" spans="1:305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1526</v>
      </c>
      <c r="X156" t="str">
        <f>IF(COUNTIF(X$1:X155,X155)&gt;7,REPLACE(X155,LEN(X155),1,VALUE(RIGHT(X155,1))+1),X155)</f>
        <v>A3.15</v>
      </c>
      <c r="Y156" s="43" cm="1">
        <f t="array" ref="Y156">IF(COUNTIFS($X$2:$X156,$X156)=1,"1",VALUE(SUBSTITUTE(INDEX(Y:Y,_xlfn.XMATCH($X156,$X$1:$X155,0,-1)),"A",""))+INDEX(Z:Z,_xlfn.XMATCH($X156,$X$1:$X155,0,-1))+1)</f>
        <v>3</v>
      </c>
      <c r="Z156" s="43" cm="1">
        <f t="array" ref="Z156">SUM(IF(ISNUMBER(FIND("TmAi",$BE$1:$AAD$1)),IF(IFERROR(ISODD(SUBSTITUTE($BE156:$AAD156,"A","")),FALSE),IF(ISODD(SUBSTITUTE($BE156:$AAD156,"A","")),1,0),0)))</f>
        <v>0</v>
      </c>
      <c r="AA156" t="str">
        <f t="shared" si="132"/>
        <v>5B</v>
      </c>
      <c r="AB156" t="str">
        <f t="shared" si="133"/>
        <v>6B</v>
      </c>
      <c r="AP156" t="s">
        <v>137</v>
      </c>
      <c r="AS156" t="s">
        <v>396</v>
      </c>
      <c r="JZ156" s="27" t="str">
        <f t="shared" si="128"/>
        <v>XT55</v>
      </c>
      <c r="KC156" t="str">
        <f t="shared" si="129"/>
        <v>F0-AI15-5B</v>
      </c>
      <c r="KD156" t="str">
        <f t="shared" si="130"/>
        <v>F0-AI15-6B</v>
      </c>
      <c r="KI156" cm="1">
        <f t="array" ref="KI156">IF(COUNTIFS($U$2:$U156,$U156)=1,1,INDEX(KI:KI,_xlfn.XMATCH(U156,U$1:U155,0,-1))+COUNT(KI155:KM155))</f>
        <v>309</v>
      </c>
      <c r="KJ156">
        <f t="shared" si="131"/>
        <v>310</v>
      </c>
      <c r="KK156">
        <f t="shared" si="131"/>
        <v>311</v>
      </c>
      <c r="KN156">
        <v>1</v>
      </c>
      <c r="KO156" s="16">
        <v>2</v>
      </c>
      <c r="KS156" s="16"/>
    </row>
    <row r="157" spans="1:305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1527</v>
      </c>
      <c r="X157" t="str">
        <f>IF(COUNTIF(X$1:X156,X156)&gt;7,REPLACE(X156,LEN(X156),1,VALUE(RIGHT(X156,1))+1),X156)</f>
        <v>A3.15</v>
      </c>
      <c r="Y157" s="43" cm="1">
        <f t="array" ref="Y157">IF(COUNTIFS($X$2:$X157,$X157)=1,"1",VALUE(SUBSTITUTE(INDEX(Y:Y,_xlfn.XMATCH($X157,$X$1:$X156,0,-1)),"A",""))+INDEX(Z:Z,_xlfn.XMATCH($X157,$X$1:$X156,0,-1))+1)</f>
        <v>4</v>
      </c>
      <c r="Z157" s="43" cm="1">
        <f t="array" ref="Z157">SUM(IF(ISNUMBER(FIND("TmAi",$BE$1:$AAD$1)),IF(IFERROR(ISODD(SUBSTITUTE($BE157:$AAD157,"A","")),FALSE),IF(ISODD(SUBSTITUTE($BE157:$AAD157,"A","")),1,0),0)))</f>
        <v>0</v>
      </c>
      <c r="AA157" t="str">
        <f t="shared" si="132"/>
        <v>7B</v>
      </c>
      <c r="AB157" t="str">
        <f t="shared" si="133"/>
        <v>8B</v>
      </c>
      <c r="AP157" t="s">
        <v>137</v>
      </c>
      <c r="AS157" t="s">
        <v>396</v>
      </c>
      <c r="JZ157" s="27" t="str">
        <f t="shared" si="128"/>
        <v>XT55</v>
      </c>
      <c r="KC157" t="str">
        <f t="shared" si="129"/>
        <v>F0-AI15-7B</v>
      </c>
      <c r="KD157" t="str">
        <f t="shared" si="130"/>
        <v>F0-AI15-8B</v>
      </c>
      <c r="KI157" cm="1">
        <f t="array" ref="KI157">IF(COUNTIFS($U$2:$U157,$U157)=1,1,INDEX(KI:KI,_xlfn.XMATCH(U157,U$1:U156,0,-1))+COUNT(KI156:KM156))</f>
        <v>312</v>
      </c>
      <c r="KJ157">
        <f t="shared" si="131"/>
        <v>313</v>
      </c>
      <c r="KK157">
        <f t="shared" si="131"/>
        <v>314</v>
      </c>
      <c r="KN157">
        <v>1</v>
      </c>
      <c r="KO157" s="16">
        <v>2</v>
      </c>
      <c r="KS157" s="16"/>
    </row>
    <row r="158" spans="1:305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1528</v>
      </c>
      <c r="X158" t="str">
        <f>IF(COUNTIF(X$1:X157,X157)&gt;7,REPLACE(X157,LEN(X157),1,VALUE(RIGHT(X157,1))+1),X157)</f>
        <v>A3.15</v>
      </c>
      <c r="Y158" s="43" cm="1">
        <f t="array" ref="Y158">IF(COUNTIFS($X$2:$X158,$X158)=1,"1",VALUE(SUBSTITUTE(INDEX(Y:Y,_xlfn.XMATCH($X158,$X$1:$X157,0,-1)),"A",""))+INDEX(Z:Z,_xlfn.XMATCH($X158,$X$1:$X157,0,-1))+1)</f>
        <v>5</v>
      </c>
      <c r="Z158" s="43" cm="1">
        <f t="array" ref="Z158">SUM(IF(ISNUMBER(FIND("TmAi",$BE$1:$AAD$1)),IF(IFERROR(ISODD(SUBSTITUTE($BE158:$AAD158,"A","")),FALSE),IF(ISODD(SUBSTITUTE($BE158:$AAD158,"A","")),1,0),0)))</f>
        <v>0</v>
      </c>
      <c r="AA158" t="str">
        <f t="shared" si="132"/>
        <v>9B</v>
      </c>
      <c r="AB158" t="str">
        <f t="shared" si="133"/>
        <v>10B</v>
      </c>
      <c r="AP158" t="s">
        <v>137</v>
      </c>
      <c r="AS158" t="s">
        <v>396</v>
      </c>
      <c r="JZ158" s="27" t="str">
        <f t="shared" si="128"/>
        <v>XT55</v>
      </c>
      <c r="KC158" t="str">
        <f t="shared" si="129"/>
        <v>F0-AI15-9B</v>
      </c>
      <c r="KD158" t="str">
        <f t="shared" si="130"/>
        <v>F0-AI15-10B</v>
      </c>
      <c r="KI158" cm="1">
        <f t="array" ref="KI158">IF(COUNTIFS($U$2:$U158,$U158)=1,1,INDEX(KI:KI,_xlfn.XMATCH(U158,U$1:U157,0,-1))+COUNT(KI157:KM157))</f>
        <v>315</v>
      </c>
      <c r="KJ158">
        <f t="shared" si="131"/>
        <v>316</v>
      </c>
      <c r="KK158">
        <f t="shared" si="131"/>
        <v>317</v>
      </c>
      <c r="KN158">
        <v>1</v>
      </c>
      <c r="KO158" s="16">
        <v>2</v>
      </c>
      <c r="KS158" s="16"/>
    </row>
    <row r="159" spans="1:305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1529</v>
      </c>
      <c r="X159" t="str">
        <f>IF(COUNTIF(X$1:X158,X158)&gt;7,REPLACE(X158,LEN(X158),1,VALUE(RIGHT(X158,1))+1),X158)</f>
        <v>A3.15</v>
      </c>
      <c r="Y159" s="43" cm="1">
        <f t="array" ref="Y159">IF(COUNTIFS($X$2:$X159,$X159)=1,"1",VALUE(SUBSTITUTE(INDEX(Y:Y,_xlfn.XMATCH($X159,$X$1:$X158,0,-1)),"A",""))+INDEX(Z:Z,_xlfn.XMATCH($X159,$X$1:$X158,0,-1))+1)</f>
        <v>6</v>
      </c>
      <c r="Z159" s="43" cm="1">
        <f t="array" ref="Z159">SUM(IF(ISNUMBER(FIND("TmAi",$BE$1:$AAD$1)),IF(IFERROR(ISODD(SUBSTITUTE($BE159:$AAD159,"A","")),FALSE),IF(ISODD(SUBSTITUTE($BE159:$AAD159,"A","")),1,0),0)))</f>
        <v>0</v>
      </c>
      <c r="AA159" t="str">
        <f t="shared" si="132"/>
        <v>11B</v>
      </c>
      <c r="AB159" t="str">
        <f t="shared" si="133"/>
        <v>12B</v>
      </c>
      <c r="AP159" t="s">
        <v>137</v>
      </c>
      <c r="AS159" t="s">
        <v>396</v>
      </c>
      <c r="JZ159" s="27" t="str">
        <f t="shared" si="128"/>
        <v>XT55</v>
      </c>
      <c r="KC159" t="str">
        <f t="shared" si="129"/>
        <v>F0-AI15-11B</v>
      </c>
      <c r="KD159" t="str">
        <f t="shared" si="130"/>
        <v>F0-AI15-12B</v>
      </c>
      <c r="KI159" cm="1">
        <f t="array" ref="KI159">IF(COUNTIFS($U$2:$U159,$U159)=1,1,INDEX(KI:KI,_xlfn.XMATCH(U159,U$1:U158,0,-1))+COUNT(KI158:KM158))</f>
        <v>318</v>
      </c>
      <c r="KJ159">
        <f t="shared" si="131"/>
        <v>319</v>
      </c>
      <c r="KK159">
        <f t="shared" si="131"/>
        <v>320</v>
      </c>
      <c r="KN159">
        <v>1</v>
      </c>
      <c r="KO159" s="16">
        <v>2</v>
      </c>
      <c r="KS159" s="16"/>
    </row>
    <row r="160" spans="1:305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1530</v>
      </c>
      <c r="X160" t="str">
        <f>IF(COUNTIF(X$1:X159,X159)&gt;7,REPLACE(X159,LEN(X159),1,VALUE(RIGHT(X159,1))+1),X159)</f>
        <v>A3.15</v>
      </c>
      <c r="Y160" s="43" cm="1">
        <f t="array" ref="Y160">IF(COUNTIFS($X$2:$X160,$X160)=1,"1",VALUE(SUBSTITUTE(INDEX(Y:Y,_xlfn.XMATCH($X160,$X$1:$X159,0,-1)),"A",""))+INDEX(Z:Z,_xlfn.XMATCH($X160,$X$1:$X159,0,-1))+1)</f>
        <v>7</v>
      </c>
      <c r="Z160" s="43" cm="1">
        <f t="array" ref="Z160">SUM(IF(ISNUMBER(FIND("TmAi",$BE$1:$AAD$1)),IF(IFERROR(ISODD(SUBSTITUTE($BE160:$AAD160,"A","")),FALSE),IF(ISODD(SUBSTITUTE($BE160:$AAD160,"A","")),1,0),0)))</f>
        <v>0</v>
      </c>
      <c r="AA160" t="str">
        <f t="shared" si="132"/>
        <v>13B</v>
      </c>
      <c r="AB160" t="str">
        <f t="shared" si="133"/>
        <v>14B</v>
      </c>
      <c r="AP160" t="s">
        <v>137</v>
      </c>
      <c r="AS160" t="s">
        <v>396</v>
      </c>
      <c r="JZ160" s="27" t="str">
        <f t="shared" si="128"/>
        <v>XT55</v>
      </c>
      <c r="KC160" t="str">
        <f t="shared" si="129"/>
        <v>F0-AI15-13B</v>
      </c>
      <c r="KD160" t="str">
        <f t="shared" si="130"/>
        <v>F0-AI15-14B</v>
      </c>
      <c r="KI160" cm="1">
        <f t="array" ref="KI160">IF(COUNTIFS($U$2:$U160,$U160)=1,1,INDEX(KI:KI,_xlfn.XMATCH(U160,U$1:U159,0,-1))+COUNT(KI159:KM159))</f>
        <v>321</v>
      </c>
      <c r="KJ160">
        <f t="shared" si="131"/>
        <v>322</v>
      </c>
      <c r="KK160">
        <f t="shared" si="131"/>
        <v>323</v>
      </c>
      <c r="KN160">
        <v>1</v>
      </c>
      <c r="KO160" s="16">
        <v>2</v>
      </c>
      <c r="KS160" s="16"/>
    </row>
    <row r="161" spans="1:334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1531</v>
      </c>
      <c r="X161" s="33" t="str">
        <f>IF(COUNTIF(X$1:X160,X160)&gt;7,REPLACE(X160,LEN(X160),1,VALUE(RIGHT(X160,1))+1),X160)</f>
        <v>A3.15</v>
      </c>
      <c r="Y161" s="45" cm="1">
        <f t="array" ref="Y161">IF(COUNTIFS($X$2:$X161,$X161)=1,"1",VALUE(SUBSTITUTE(INDEX(Y:Y,_xlfn.XMATCH($X161,$X$1:$X160,0,-1)),"A",""))+INDEX(Z:Z,_xlfn.XMATCH($X161,$X$1:$X160,0,-1))+1)</f>
        <v>8</v>
      </c>
      <c r="Z161" s="43" cm="1">
        <f t="array" ref="Z161">SUM(IF(ISNUMBER(FIND("TmAi",$BE$1:$AAD$1)),IF(IFERROR(ISODD(SUBSTITUTE($BE161:$AAD161,"A","")),FALSE),IF(ISODD(SUBSTITUTE($BE161:$AAD161,"A","")),1,0),0)))</f>
        <v>0</v>
      </c>
      <c r="AA161" t="str">
        <f t="shared" si="132"/>
        <v>15B</v>
      </c>
      <c r="AB161" t="str">
        <f t="shared" si="133"/>
        <v>16B</v>
      </c>
      <c r="AP161" t="s">
        <v>137</v>
      </c>
      <c r="AS161" t="s">
        <v>396</v>
      </c>
      <c r="JZ161" s="27" t="str">
        <f t="shared" si="128"/>
        <v>XT55</v>
      </c>
      <c r="KC161" t="str">
        <f t="shared" si="129"/>
        <v>F0-AI15-15B</v>
      </c>
      <c r="KD161" t="str">
        <f t="shared" si="130"/>
        <v>F0-AI15-16B</v>
      </c>
      <c r="KI161" cm="1">
        <f t="array" ref="KI161">IF(COUNTIFS($U$2:$U161,$U161)=1,1,INDEX(KI:KI,_xlfn.XMATCH(U161,U$1:U160,0,-1))+COUNT(KI160:KM160))</f>
        <v>324</v>
      </c>
      <c r="KJ161">
        <f t="shared" si="131"/>
        <v>325</v>
      </c>
      <c r="KK161">
        <f t="shared" si="131"/>
        <v>326</v>
      </c>
      <c r="KN161">
        <v>1</v>
      </c>
      <c r="KO161" s="16">
        <v>2</v>
      </c>
      <c r="KS161" s="16"/>
    </row>
    <row r="162" spans="1:334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1532</v>
      </c>
      <c r="X162" t="str">
        <f>IF(COUNTIF(X$1:X161,X161)&gt;7,REPLACE(X161,LEN(X161),1,VALUE(RIGHT(X161,1))+1),X161)</f>
        <v>A3.16</v>
      </c>
      <c r="Y162" s="43" t="str" cm="1">
        <f t="array" ref="Y162">IF(COUNTIFS($X$2:$X162,$X162)=1,"1",VALUE(SUBSTITUTE(INDEX(Y:Y,_xlfn.XMATCH($X162,$X$1:$X161,0,-1)),"A",""))+INDEX(Z:Z,_xlfn.XMATCH($X162,$X$1:$X161,0,-1))+1)</f>
        <v>1</v>
      </c>
      <c r="Z162" s="46" cm="1">
        <f t="array" ref="Z162">SUM(IF(ISNUMBER(FIND("TmAi",$BE$1:$AAD$1)),IF(IFERROR(ISODD(SUBSTITUTE($BE162:$AAD162,"A","")),FALSE),IF(ISODD(SUBSTITUTE($BE162:$AAD162,"A","")),1,0),0)))</f>
        <v>0</v>
      </c>
      <c r="AA162" t="str">
        <f t="shared" si="132"/>
        <v>1B</v>
      </c>
      <c r="AB162" t="str">
        <f t="shared" si="133"/>
        <v>2B</v>
      </c>
      <c r="AP162" t="s">
        <v>137</v>
      </c>
      <c r="AS162" t="s">
        <v>396</v>
      </c>
      <c r="JZ162" s="27" t="str">
        <f t="shared" si="128"/>
        <v>XT55</v>
      </c>
      <c r="KC162" t="str">
        <f t="shared" si="129"/>
        <v>F0-AI16-1B</v>
      </c>
      <c r="KD162" t="str">
        <f t="shared" si="130"/>
        <v>F0-AI16-2B</v>
      </c>
      <c r="KI162" cm="1">
        <f t="array" ref="KI162">IF(COUNTIFS($U$2:$U162,$U162)=1,1,INDEX(KI:KI,_xlfn.XMATCH(U162,U$1:U161,0,-1))+COUNT(KI161:KM161))</f>
        <v>327</v>
      </c>
      <c r="KJ162">
        <f t="shared" ref="KJ162:KL168" si="134">KI162+1</f>
        <v>328</v>
      </c>
      <c r="KK162">
        <f t="shared" si="134"/>
        <v>329</v>
      </c>
      <c r="KN162">
        <v>1</v>
      </c>
      <c r="KO162" s="16">
        <v>2</v>
      </c>
      <c r="KS162" s="16"/>
    </row>
    <row r="163" spans="1:334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1533</v>
      </c>
      <c r="X163" t="str">
        <f>IF(COUNTIF(X$1:X162,X162)&gt;7,REPLACE(X162,LEN(X162),1,VALUE(RIGHT(X162,1))+1),X162)</f>
        <v>A3.16</v>
      </c>
      <c r="Y163" s="43" cm="1">
        <f t="array" ref="Y163">IF(COUNTIFS($X$2:$X163,$X163)=1,"1",VALUE(SUBSTITUTE(INDEX(Y:Y,_xlfn.XMATCH($X163,$X$1:$X162,0,-1)),"A",""))+INDEX(Z:Z,_xlfn.XMATCH($X163,$X$1:$X162,0,-1))+1)</f>
        <v>2</v>
      </c>
      <c r="Z163" s="46" cm="1">
        <f t="array" ref="Z163">SUM(IF(ISNUMBER(FIND("TmAi",$BE$1:$AAD$1)),IF(IFERROR(ISODD(SUBSTITUTE($BE163:$AAD163,"A","")),FALSE),IF(ISODD(SUBSTITUTE($BE163:$AAD163,"A","")),1,0),0)))</f>
        <v>0</v>
      </c>
      <c r="AA163" t="str">
        <f t="shared" si="132"/>
        <v>3B</v>
      </c>
      <c r="AB163" t="str">
        <f t="shared" si="133"/>
        <v>4B</v>
      </c>
      <c r="AP163" t="s">
        <v>137</v>
      </c>
      <c r="AS163" t="s">
        <v>396</v>
      </c>
      <c r="JZ163" s="27" t="str">
        <f t="shared" si="128"/>
        <v>XT55</v>
      </c>
      <c r="KC163" t="str">
        <f t="shared" si="129"/>
        <v>F0-AI16-3B</v>
      </c>
      <c r="KD163" t="str">
        <f t="shared" si="130"/>
        <v>F0-AI16-4B</v>
      </c>
      <c r="KI163" cm="1">
        <f t="array" ref="KI163">IF(COUNTIFS($U$2:$U163,$U163)=1,1,INDEX(KI:KI,_xlfn.XMATCH(U163,U$1:U162,0,-1))+COUNT(KI162:KM162))</f>
        <v>330</v>
      </c>
      <c r="KJ163">
        <f t="shared" si="134"/>
        <v>331</v>
      </c>
      <c r="KK163">
        <f t="shared" si="134"/>
        <v>332</v>
      </c>
      <c r="KN163">
        <v>1</v>
      </c>
      <c r="KO163" s="16">
        <v>2</v>
      </c>
      <c r="KS163" s="16"/>
    </row>
    <row r="164" spans="1:334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1534</v>
      </c>
      <c r="X164" t="str">
        <f>IF(COUNTIF(X$1:X163,X163)&gt;7,REPLACE(X163,LEN(X163),1,VALUE(RIGHT(X163,1))+1),X163)</f>
        <v>A3.16</v>
      </c>
      <c r="Y164" s="43" cm="1">
        <f t="array" ref="Y164">IF(COUNTIFS($X$2:$X164,$X164)=1,"1",VALUE(SUBSTITUTE(INDEX(Y:Y,_xlfn.XMATCH($X164,$X$1:$X163,0,-1)),"A",""))+INDEX(Z:Z,_xlfn.XMATCH($X164,$X$1:$X163,0,-1))+1)</f>
        <v>3</v>
      </c>
      <c r="Z164" s="46" cm="1">
        <f t="array" ref="Z164">SUM(IF(ISNUMBER(FIND("TmAi",$BE$1:$AAD$1)),IF(IFERROR(ISODD(SUBSTITUTE($BE164:$AAD164,"A","")),FALSE),IF(ISODD(SUBSTITUTE($BE164:$AAD164,"A","")),1,0),0)))</f>
        <v>0</v>
      </c>
      <c r="AA164" t="str">
        <f t="shared" si="132"/>
        <v>5B</v>
      </c>
      <c r="AB164" t="str">
        <f t="shared" si="133"/>
        <v>6B</v>
      </c>
      <c r="AP164" t="s">
        <v>137</v>
      </c>
      <c r="AS164" t="s">
        <v>396</v>
      </c>
      <c r="JZ164" s="27" t="str">
        <f t="shared" si="128"/>
        <v>XT55</v>
      </c>
      <c r="KC164" t="str">
        <f t="shared" si="129"/>
        <v>F0-AI16-5B</v>
      </c>
      <c r="KD164" t="str">
        <f t="shared" si="130"/>
        <v>F0-AI16-6B</v>
      </c>
      <c r="KI164" cm="1">
        <f t="array" ref="KI164">IF(COUNTIFS($U$2:$U164,$U164)=1,1,INDEX(KI:KI,_xlfn.XMATCH(U164,U$1:U163,0,-1))+COUNT(KI163:KM163))</f>
        <v>333</v>
      </c>
      <c r="KJ164">
        <f t="shared" si="134"/>
        <v>334</v>
      </c>
      <c r="KK164">
        <f t="shared" si="134"/>
        <v>335</v>
      </c>
      <c r="KN164">
        <v>1</v>
      </c>
      <c r="KO164" s="16">
        <v>2</v>
      </c>
      <c r="KS164" s="16"/>
    </row>
    <row r="165" spans="1:334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1535</v>
      </c>
      <c r="X165" s="33" t="str">
        <f>IF(COUNTIF(X$1:X164,X164)&gt;7,REPLACE(X164,LEN(X164),1,VALUE(RIGHT(X164,1))+1),X164)</f>
        <v>A3.16</v>
      </c>
      <c r="Y165" s="45" cm="1">
        <f t="array" ref="Y165">IF(COUNTIFS($X$2:$X165,$X165)=1,"1",VALUE(SUBSTITUTE(INDEX(Y:Y,_xlfn.XMATCH($X165,$X$1:$X164,0,-1)),"A",""))+INDEX(Z:Z,_xlfn.XMATCH($X165,$X$1:$X164,0,-1))+1)</f>
        <v>4</v>
      </c>
      <c r="Z165" s="46" cm="1">
        <f t="array" ref="Z165">SUM(IF(ISNUMBER(FIND("TmAi",$BE$1:$AAD$1)),IF(IFERROR(ISODD(SUBSTITUTE($BE165:$AAD165,"A","")),FALSE),IF(ISODD(SUBSTITUTE($BE165:$AAD165,"A","")),1,0),0)))</f>
        <v>0</v>
      </c>
      <c r="AA165" t="str">
        <f t="shared" si="132"/>
        <v>7B</v>
      </c>
      <c r="AB165" t="str">
        <f t="shared" si="133"/>
        <v>8B</v>
      </c>
      <c r="AP165" t="s">
        <v>137</v>
      </c>
      <c r="AS165" t="s">
        <v>396</v>
      </c>
      <c r="JZ165" s="27" t="str">
        <f t="shared" si="128"/>
        <v>XT55</v>
      </c>
      <c r="KC165" t="str">
        <f t="shared" si="129"/>
        <v>F0-AI16-7B</v>
      </c>
      <c r="KD165" t="str">
        <f t="shared" si="130"/>
        <v>F0-AI16-8B</v>
      </c>
      <c r="KI165" cm="1">
        <f t="array" ref="KI165">IF(COUNTIFS($U$2:$U165,$U165)=1,1,INDEX(KI:KI,_xlfn.XMATCH(U165,U$1:U164,0,-1))+COUNT(KI164:KM164))</f>
        <v>336</v>
      </c>
      <c r="KJ165">
        <f t="shared" si="134"/>
        <v>337</v>
      </c>
      <c r="KK165">
        <f t="shared" si="134"/>
        <v>338</v>
      </c>
      <c r="KN165">
        <v>1</v>
      </c>
      <c r="KO165" s="16">
        <v>2</v>
      </c>
      <c r="KS165" s="16"/>
    </row>
    <row r="166" spans="1:334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1536</v>
      </c>
      <c r="X166" t="s">
        <v>1281</v>
      </c>
      <c r="Y166" s="43" cm="1">
        <f t="array" ref="Y166">IF(COUNTIFS($X$2:$X166,$X166)=1,"1",VALUE(SUBSTITUTE(INDEX(Y:Y,_xlfn.XMATCH($X166,$X$1:$X165,0,-1)),"A",""))+INDEX(Z:Z,_xlfn.XMATCH($X166,$X$1:$X165,0,-1))+1)</f>
        <v>3</v>
      </c>
      <c r="Z166" s="46" cm="1">
        <f t="array" ref="Z166">SUM(IF(ISNUMBER(FIND("TmAi",$BE$1:$AAD$1)),IF(IFERROR(ISODD(SUBSTITUTE($BE166:$AAD166,"A","")),FALSE),IF(ISODD(SUBSTITUTE($BE166:$AAD166,"A","")),1,0),0)))</f>
        <v>0</v>
      </c>
      <c r="AA166" t="str">
        <f t="shared" ref="AA166:AA168" si="135">CONCATENATE($Y166*2-1,"A")</f>
        <v>5A</v>
      </c>
      <c r="AB166" t="str">
        <f t="shared" ref="AB166:AB168" si="136">CONCATENATE($Y166*2-1,"B")</f>
        <v>5B</v>
      </c>
      <c r="AP166" t="s">
        <v>137</v>
      </c>
      <c r="AS166" t="s">
        <v>396</v>
      </c>
      <c r="JZ166" s="27" t="str">
        <f t="shared" si="128"/>
        <v>XT55</v>
      </c>
      <c r="KA166" t="str">
        <f>REPLACE($AA166,1,1,LEFT($AA166,1)+1)</f>
        <v>6A</v>
      </c>
      <c r="KB166" t="str">
        <f>REPLACE(AB166,1,1,LEFT(AB166,1)+1)</f>
        <v>6B</v>
      </c>
      <c r="KC166" t="str">
        <f t="shared" si="129"/>
        <v>F0-AI34-5A</v>
      </c>
      <c r="KD166" t="str">
        <f t="shared" si="130"/>
        <v>F0-AI34-5B</v>
      </c>
      <c r="KE166" t="str">
        <f>CONCATENATE($T166,"-AI",REPLACE($X166,1,3,""),"-",KA166)</f>
        <v>F0-AI34-6A</v>
      </c>
      <c r="KF166" t="str">
        <f>CONCATENATE($T166,"-AI",REPLACE($X166,1,3,""),"-",KB166)</f>
        <v>F0-AI34-6B</v>
      </c>
      <c r="KI166" cm="1">
        <f t="array" ref="KI166">IF(COUNTIFS($U$2:$U166,$U166)=1,1,INDEX(KI:KI,_xlfn.XMATCH(U166,U$1:U165,0,-1))+COUNT(KI165:KM165))</f>
        <v>339</v>
      </c>
      <c r="KJ166">
        <f t="shared" si="134"/>
        <v>340</v>
      </c>
      <c r="KK166">
        <f t="shared" si="134"/>
        <v>341</v>
      </c>
      <c r="KL166">
        <f>KK166+1</f>
        <v>342</v>
      </c>
      <c r="KN166">
        <v>1</v>
      </c>
      <c r="KO166" s="16">
        <v>2</v>
      </c>
      <c r="KP166">
        <v>3</v>
      </c>
      <c r="KQ166">
        <v>4</v>
      </c>
      <c r="KS166" s="16"/>
    </row>
    <row r="167" spans="1:334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1537</v>
      </c>
      <c r="X167" t="str">
        <f>IF(COUNTIF(X$1:X166,X166)&gt;7,REPLACE(X166,LEN(X166),1,VALUE(RIGHT(X166,1))+1),X166)</f>
        <v>A3.34</v>
      </c>
      <c r="Y167" s="43" cm="1">
        <f t="array" ref="Y167">IF(COUNTIFS($X$2:$X167,$X167)=1,"1",VALUE(SUBSTITUTE(INDEX(Y:Y,_xlfn.XMATCH($X167,$X$1:$X166,0,-1)),"A",""))+INDEX(Z:Z,_xlfn.XMATCH($X167,$X$1:$X166,0,-1))+1)</f>
        <v>4</v>
      </c>
      <c r="Z167" s="46" cm="1">
        <f t="array" ref="Z167">SUM(IF(ISNUMBER(FIND("TmAi",$BE$1:$AAD$1)),IF(IFERROR(ISODD(SUBSTITUTE($BE167:$AAD167,"A","")),FALSE),IF(ISODD(SUBSTITUTE($BE167:$AAD167,"A","")),1,0),0)))</f>
        <v>0</v>
      </c>
      <c r="AA167" t="str">
        <f t="shared" si="135"/>
        <v>7A</v>
      </c>
      <c r="AB167" t="str">
        <f t="shared" si="136"/>
        <v>7B</v>
      </c>
      <c r="AP167" t="s">
        <v>137</v>
      </c>
      <c r="AS167" t="s">
        <v>396</v>
      </c>
      <c r="JZ167" s="27" t="str">
        <f t="shared" si="128"/>
        <v>XT55</v>
      </c>
      <c r="KA167" t="str">
        <f>REPLACE(AA167,1,1,LEFT(AA167,1)+1)</f>
        <v>8A</v>
      </c>
      <c r="KB167" t="str">
        <f>REPLACE(AB167,1,1,LEFT(AB167,1)+1)</f>
        <v>8B</v>
      </c>
      <c r="KC167" t="str">
        <f t="shared" si="129"/>
        <v>F0-AI34-7A</v>
      </c>
      <c r="KD167" t="str">
        <f t="shared" si="130"/>
        <v>F0-AI34-7B</v>
      </c>
      <c r="KE167" t="str">
        <f t="shared" ref="KE167:KF168" si="137">CONCATENATE($T167,"-AI",REPLACE($X167,1,3,""),"-",KA167)</f>
        <v>F0-AI34-8A</v>
      </c>
      <c r="KF167" t="str">
        <f t="shared" si="137"/>
        <v>F0-AI34-8B</v>
      </c>
      <c r="KI167" cm="1">
        <f t="array" ref="KI167">IF(COUNTIFS($U$2:$U167,$U167)=1,1,INDEX(KI:KI,_xlfn.XMATCH(U167,U$1:U166,0,-1))+COUNT(KI166:KM166))</f>
        <v>343</v>
      </c>
      <c r="KJ167">
        <f t="shared" si="134"/>
        <v>344</v>
      </c>
      <c r="KK167">
        <f t="shared" si="134"/>
        <v>345</v>
      </c>
      <c r="KL167">
        <f t="shared" si="134"/>
        <v>346</v>
      </c>
      <c r="KN167">
        <v>1</v>
      </c>
      <c r="KO167" s="16">
        <v>2</v>
      </c>
      <c r="KP167">
        <v>3</v>
      </c>
      <c r="KQ167">
        <v>4</v>
      </c>
      <c r="KS167" s="16"/>
    </row>
    <row r="168" spans="1:334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1538</v>
      </c>
      <c r="X168" s="33" t="str">
        <f>IF(COUNTIF(X$1:X167,X167)&gt;7,REPLACE(X167,LEN(X167),1,VALUE(RIGHT(X167,1))+1),X167)</f>
        <v>A3.34</v>
      </c>
      <c r="Y168" s="45" cm="1">
        <f t="array" ref="Y168">IF(COUNTIFS($X$2:$X168,$X168)=1,"1",VALUE(SUBSTITUTE(INDEX(Y:Y,_xlfn.XMATCH($X168,$X$1:$X167,0,-1)),"A",""))+INDEX(Z:Z,_xlfn.XMATCH($X168,$X$1:$X167,0,-1))+1)</f>
        <v>5</v>
      </c>
      <c r="Z168" s="46" cm="1">
        <f t="array" ref="Z168">SUM(IF(ISNUMBER(FIND("TmAi",$BE$1:$AAD$1)),IF(IFERROR(ISODD(SUBSTITUTE($BE168:$AAD168,"A","")),FALSE),IF(ISODD(SUBSTITUTE($BE168:$AAD168,"A","")),1,0),0)))</f>
        <v>0</v>
      </c>
      <c r="AA168" t="str">
        <f t="shared" si="135"/>
        <v>9A</v>
      </c>
      <c r="AB168" t="str">
        <f t="shared" si="136"/>
        <v>9B</v>
      </c>
      <c r="AP168" t="s">
        <v>137</v>
      </c>
      <c r="AS168" t="s">
        <v>396</v>
      </c>
      <c r="JZ168" s="28" t="str">
        <f t="shared" si="128"/>
        <v>XT55</v>
      </c>
      <c r="KA168" s="19" t="str">
        <f>REPLACE($AA168,1,1,LEFT($AA168,1)+1)</f>
        <v>10A</v>
      </c>
      <c r="KB168" s="19" t="str">
        <f>REPLACE($AB168,1,1,LEFT($AB168,1)+1)</f>
        <v>10B</v>
      </c>
      <c r="KC168" s="19" t="str">
        <f t="shared" si="129"/>
        <v>F0-AI34-9A</v>
      </c>
      <c r="KD168" s="19" t="str">
        <f t="shared" si="130"/>
        <v>F0-AI34-9B</v>
      </c>
      <c r="KE168" s="19" t="str">
        <f t="shared" si="137"/>
        <v>F0-AI34-10A</v>
      </c>
      <c r="KF168" s="19" t="str">
        <f t="shared" si="137"/>
        <v>F0-AI34-10B</v>
      </c>
      <c r="KG168" s="19"/>
      <c r="KH168" s="19"/>
      <c r="KI168" s="19" cm="1">
        <f t="array" ref="KI168">IF(COUNTIFS($U$2:$U168,$U168)=1,1,INDEX(KI:KI,_xlfn.XMATCH(U168,U$1:U167,0,-1))+COUNT(KI167:KM167))</f>
        <v>347</v>
      </c>
      <c r="KJ168" s="19">
        <f t="shared" si="134"/>
        <v>348</v>
      </c>
      <c r="KK168" s="19">
        <f t="shared" si="134"/>
        <v>349</v>
      </c>
      <c r="KL168" s="19">
        <f t="shared" si="134"/>
        <v>350</v>
      </c>
      <c r="KM168" s="19"/>
      <c r="KN168" s="19">
        <v>1</v>
      </c>
      <c r="KO168" s="20">
        <v>2</v>
      </c>
      <c r="KP168" s="19">
        <v>3</v>
      </c>
      <c r="KQ168" s="19">
        <v>4</v>
      </c>
      <c r="KR168" s="19"/>
      <c r="KS168" s="20"/>
    </row>
    <row r="169" spans="1:334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1539</v>
      </c>
      <c r="Y169" s="43"/>
      <c r="Z169" s="46"/>
      <c r="AC169" t="s">
        <v>853</v>
      </c>
      <c r="AF169" t="s">
        <v>133</v>
      </c>
      <c r="AG169" t="s">
        <v>134</v>
      </c>
      <c r="AP169" t="s">
        <v>137</v>
      </c>
      <c r="AT169" t="s">
        <v>854</v>
      </c>
      <c r="KT169" s="25" t="str">
        <f>CONCATENATE("XT",U169)</f>
        <v>XT56</v>
      </c>
      <c r="KU169" s="12" t="str">
        <f>CONCATENATE("DI",REPLACE($AC169,1,3,""),"-",$AF169)</f>
        <v>DI12-C1</v>
      </c>
      <c r="KV169" s="12" t="s">
        <v>865</v>
      </c>
      <c r="KW169" s="12" t="str">
        <f>CONCATENATE("K",$U169,"-01")</f>
        <v>K56-01</v>
      </c>
      <c r="KX169" s="12">
        <v>11</v>
      </c>
      <c r="KY169" s="12">
        <v>14</v>
      </c>
      <c r="KZ169" s="12" t="s">
        <v>142</v>
      </c>
      <c r="LA169" s="12" t="s">
        <v>143</v>
      </c>
      <c r="LB169" s="12" t="s">
        <v>488</v>
      </c>
      <c r="LC169" s="12" t="s">
        <v>487</v>
      </c>
      <c r="LD169" s="12" t="s">
        <v>414</v>
      </c>
      <c r="LE169" s="12" t="s">
        <v>413</v>
      </c>
      <c r="LF169" s="12" cm="1">
        <f t="array" ref="LF169">IF(COUNTIFS($U$2:$U169,$U169)=1,1,INDEX(LF:LF,_xlfn.XMATCH(AW169,AW$1:AW168,0,-1))+COUNT(LF168:LJ168))</f>
        <v>1</v>
      </c>
      <c r="LG169" s="12">
        <f>LF169+1</f>
        <v>2</v>
      </c>
      <c r="LH169" s="12">
        <f>LG169+1</f>
        <v>3</v>
      </c>
      <c r="LI169" s="12" t="s">
        <v>547</v>
      </c>
      <c r="LJ169" s="12" t="s">
        <v>548</v>
      </c>
      <c r="LK169" s="12">
        <v>1</v>
      </c>
      <c r="LL169" s="12">
        <v>2</v>
      </c>
      <c r="LM169" s="13">
        <v>3</v>
      </c>
    </row>
    <row r="170" spans="1:334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1540</v>
      </c>
      <c r="X170" t="s">
        <v>833</v>
      </c>
      <c r="Y170" s="43" cm="1">
        <f t="array" ref="Y170">IF(COUNTIFS($X$2:$X170,$X170)=1,"1",VALUE(SUBSTITUTE(INDEX(Y:Y,_xlfn.XMATCH($X170,$X$1:$X169,0,-1)),"A",""))+INDEX(Z:Z,_xlfn.XMATCH($X170,$X$1:$X169,0,-1))+1)</f>
        <v>5</v>
      </c>
      <c r="Z170" s="46" cm="1">
        <f t="array" ref="Z170">SUM(IF(ISNUMBER(FIND("TmAi",$BE$1:$AAD$1)),IF(IFERROR(ISODD(SUBSTITUTE($BE170:$AAD170,"A","")),FALSE),IF(ISODD(SUBSTITUTE($BE170:$AAD170,"A","")),1,0),0)))</f>
        <v>0</v>
      </c>
      <c r="AA170" t="str">
        <f t="shared" ref="AA170:AA176" si="138">CONCATENATE($Y170*2-1,"A")</f>
        <v>9A</v>
      </c>
      <c r="AB170" t="str">
        <f t="shared" ref="AB170:AB176" si="139">CONCATENATE($Y170*2-1,"B")</f>
        <v>9B</v>
      </c>
      <c r="AP170" t="s">
        <v>137</v>
      </c>
      <c r="AQ170" t="s">
        <v>873</v>
      </c>
      <c r="AS170" t="s">
        <v>396</v>
      </c>
      <c r="KS170" s="16"/>
      <c r="LN170" s="25" t="str">
        <f t="shared" ref="LN170:LN176" si="140">CONCATENATE("XT",U170)</f>
        <v>XT57</v>
      </c>
      <c r="LO170" s="12" t="str">
        <f t="shared" ref="LO170:LO176" si="141">CONCATENATE(T170,"-AI",REPLACE($X170,1,3,""),"-",AA170)</f>
        <v>F0-AI16-9A</v>
      </c>
      <c r="LP170" s="12" t="str">
        <f t="shared" ref="LP170:LP176" si="142">CONCATENATE(T170,"-AI",REPLACE($X170,1,3,""),"-",AB170)</f>
        <v>F0-AI16-9B</v>
      </c>
      <c r="LQ170" s="12">
        <v>1</v>
      </c>
      <c r="LR170" s="12">
        <f t="shared" ref="LR170:LS176" si="143">LQ170+1</f>
        <v>2</v>
      </c>
      <c r="LS170" s="12">
        <f t="shared" si="143"/>
        <v>3</v>
      </c>
      <c r="LT170" s="12" t="s">
        <v>870</v>
      </c>
      <c r="LU170" s="12" t="s">
        <v>871</v>
      </c>
      <c r="LV170" s="13" t="s">
        <v>872</v>
      </c>
    </row>
    <row r="171" spans="1:334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1541</v>
      </c>
      <c r="X171" t="str">
        <f>IF(COUNTIF(X$1:X170,X170)&gt;7,REPLACE(X170,LEN(X170),1,VALUE(RIGHT(X170,1))+1),X170)</f>
        <v>A3.16</v>
      </c>
      <c r="Y171" s="43" cm="1">
        <f t="array" ref="Y171">IF(COUNTIFS($X$2:$X171,$X171)=1,"1",VALUE(SUBSTITUTE(INDEX(Y:Y,_xlfn.XMATCH($X171,$X$1:$X170,0,-1)),"A",""))+INDEX(Z:Z,_xlfn.XMATCH($X171,$X$1:$X170,0,-1))+1)</f>
        <v>6</v>
      </c>
      <c r="Z171" s="46" cm="1">
        <f t="array" ref="Z171">SUM(IF(ISNUMBER(FIND("TmAi",$BE$1:$AAD$1)),IF(IFERROR(ISODD(SUBSTITUTE($BE171:$AAD171,"A","")),FALSE),IF(ISODD(SUBSTITUTE($BE171:$AAD171,"A","")),1,0),0)))</f>
        <v>0</v>
      </c>
      <c r="AA171" t="str">
        <f t="shared" si="138"/>
        <v>11A</v>
      </c>
      <c r="AB171" t="str">
        <f t="shared" si="139"/>
        <v>11B</v>
      </c>
      <c r="AP171" t="s">
        <v>137</v>
      </c>
      <c r="AQ171" t="s">
        <v>873</v>
      </c>
      <c r="AS171" t="s">
        <v>396</v>
      </c>
      <c r="LN171" s="27" t="str">
        <f t="shared" si="140"/>
        <v>XT57</v>
      </c>
      <c r="LO171" t="str">
        <f t="shared" si="141"/>
        <v>F0-AI16-11A</v>
      </c>
      <c r="LP171" t="str">
        <f t="shared" si="142"/>
        <v>F0-AI16-11B</v>
      </c>
      <c r="LQ171">
        <f>LQ170+3</f>
        <v>4</v>
      </c>
      <c r="LR171">
        <f t="shared" si="143"/>
        <v>5</v>
      </c>
      <c r="LS171">
        <f t="shared" si="143"/>
        <v>6</v>
      </c>
      <c r="LT171" t="s">
        <v>892</v>
      </c>
      <c r="LU171" t="s">
        <v>871</v>
      </c>
      <c r="LV171" s="16" t="s">
        <v>872</v>
      </c>
    </row>
    <row r="172" spans="1:334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1542</v>
      </c>
      <c r="X172" t="str">
        <f>IF(COUNTIF(X$1:X171,X171)&gt;7,REPLACE(X171,LEN(X171),1,VALUE(RIGHT(X171,1))+1),X171)</f>
        <v>A3.16</v>
      </c>
      <c r="Y172" s="43" cm="1">
        <f t="array" ref="Y172">IF(COUNTIFS($X$2:$X172,$X172)=1,"1",VALUE(SUBSTITUTE(INDEX(Y:Y,_xlfn.XMATCH($X172,$X$1:$X171,0,-1)),"A",""))+INDEX(Z:Z,_xlfn.XMATCH($X172,$X$1:$X171,0,-1))+1)</f>
        <v>7</v>
      </c>
      <c r="Z172" s="46" cm="1">
        <f t="array" ref="Z172">SUM(IF(ISNUMBER(FIND("TmAi",$BE$1:$AAD$1)),IF(IFERROR(ISODD(SUBSTITUTE($BE172:$AAD172,"A","")),FALSE),IF(ISODD(SUBSTITUTE($BE172:$AAD172,"A","")),1,0),0)))</f>
        <v>0</v>
      </c>
      <c r="AA172" t="str">
        <f t="shared" si="138"/>
        <v>13A</v>
      </c>
      <c r="AB172" t="str">
        <f t="shared" si="139"/>
        <v>13B</v>
      </c>
      <c r="AP172" t="s">
        <v>137</v>
      </c>
      <c r="AQ172" t="s">
        <v>873</v>
      </c>
      <c r="AS172" t="s">
        <v>396</v>
      </c>
      <c r="LN172" s="27" t="str">
        <f t="shared" si="140"/>
        <v>XT57</v>
      </c>
      <c r="LO172" t="str">
        <f t="shared" si="141"/>
        <v>F0-AI16-13A</v>
      </c>
      <c r="LP172" t="str">
        <f t="shared" si="142"/>
        <v>F0-AI16-13B</v>
      </c>
      <c r="LQ172">
        <f t="shared" ref="LQ172:LQ176" si="144">LQ171+3</f>
        <v>7</v>
      </c>
      <c r="LR172">
        <f t="shared" si="143"/>
        <v>8</v>
      </c>
      <c r="LS172">
        <f t="shared" si="143"/>
        <v>9</v>
      </c>
      <c r="LT172" t="s">
        <v>893</v>
      </c>
      <c r="LU172" t="s">
        <v>871</v>
      </c>
      <c r="LV172" s="16" t="s">
        <v>872</v>
      </c>
    </row>
    <row r="173" spans="1:334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1543</v>
      </c>
      <c r="X173" s="33" t="str">
        <f>IF(COUNTIF(X$1:X172,X172)&gt;7,REPLACE(X172,LEN(X172),1,VALUE(RIGHT(X172,1))+1),X172)</f>
        <v>A3.16</v>
      </c>
      <c r="Y173" s="45" cm="1">
        <f t="array" ref="Y173">IF(COUNTIFS($X$2:$X173,$X173)=1,"1",VALUE(SUBSTITUTE(INDEX(Y:Y,_xlfn.XMATCH($X173,$X$1:$X172,0,-1)),"A",""))+INDEX(Z:Z,_xlfn.XMATCH($X173,$X$1:$X172,0,-1))+1)</f>
        <v>8</v>
      </c>
      <c r="Z173" s="46" cm="1">
        <f t="array" ref="Z173">SUM(IF(ISNUMBER(FIND("TmAi",$BE$1:$AAD$1)),IF(IFERROR(ISODD(SUBSTITUTE($BE173:$AAD173,"A","")),FALSE),IF(ISODD(SUBSTITUTE($BE173:$AAD173,"A","")),1,0),0)))</f>
        <v>0</v>
      </c>
      <c r="AA173" t="str">
        <f t="shared" si="138"/>
        <v>15A</v>
      </c>
      <c r="AB173" t="str">
        <f t="shared" si="139"/>
        <v>15B</v>
      </c>
      <c r="AP173" t="s">
        <v>137</v>
      </c>
      <c r="AQ173" t="s">
        <v>873</v>
      </c>
      <c r="AS173" t="s">
        <v>396</v>
      </c>
      <c r="LN173" s="27" t="str">
        <f t="shared" si="140"/>
        <v>XT57</v>
      </c>
      <c r="LO173" t="str">
        <f t="shared" si="141"/>
        <v>F0-AI16-15A</v>
      </c>
      <c r="LP173" t="str">
        <f t="shared" si="142"/>
        <v>F0-AI16-15B</v>
      </c>
      <c r="LQ173">
        <f t="shared" si="144"/>
        <v>10</v>
      </c>
      <c r="LR173">
        <f t="shared" si="143"/>
        <v>11</v>
      </c>
      <c r="LS173">
        <f t="shared" si="143"/>
        <v>12</v>
      </c>
      <c r="LT173" t="s">
        <v>894</v>
      </c>
      <c r="LU173" t="s">
        <v>871</v>
      </c>
      <c r="LV173" s="16" t="s">
        <v>872</v>
      </c>
    </row>
    <row r="174" spans="1:334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1544</v>
      </c>
      <c r="X174" t="str">
        <f>IF(COUNTIF(X$1:X173,X173)&gt;7,REPLACE(X173,LEN(X173),1,VALUE(RIGHT(X173,1))+1),X173)</f>
        <v>A3.17</v>
      </c>
      <c r="Y174" s="43" t="str" cm="1">
        <f t="array" ref="Y174">IF(COUNTIFS($X$2:$X174,$X174)=1,"1",VALUE(SUBSTITUTE(INDEX(Y:Y,_xlfn.XMATCH($X174,$X$1:$X173,0,-1)),"A",""))+INDEX(Z:Z,_xlfn.XMATCH($X174,$X$1:$X173,0,-1))+1)</f>
        <v>1</v>
      </c>
      <c r="Z174" s="46" cm="1">
        <f t="array" ref="Z174">SUM(IF(ISNUMBER(FIND("TmAi",$BE$1:$AAD$1)),IF(IFERROR(ISODD(SUBSTITUTE($BE174:$AAD174,"A","")),FALSE),IF(ISODD(SUBSTITUTE($BE174:$AAD174,"A","")),1,0),0)))</f>
        <v>0</v>
      </c>
      <c r="AA174" t="str">
        <f t="shared" si="138"/>
        <v>1A</v>
      </c>
      <c r="AB174" t="str">
        <f t="shared" si="139"/>
        <v>1B</v>
      </c>
      <c r="AP174" t="s">
        <v>137</v>
      </c>
      <c r="AQ174" t="s">
        <v>873</v>
      </c>
      <c r="AS174" t="s">
        <v>396</v>
      </c>
      <c r="LN174" s="27" t="str">
        <f t="shared" si="140"/>
        <v>XT57</v>
      </c>
      <c r="LO174" t="str">
        <f t="shared" si="141"/>
        <v>F0-AI17-1A</v>
      </c>
      <c r="LP174" t="str">
        <f t="shared" si="142"/>
        <v>F0-AI17-1B</v>
      </c>
      <c r="LQ174">
        <f t="shared" si="144"/>
        <v>13</v>
      </c>
      <c r="LR174">
        <f t="shared" si="143"/>
        <v>14</v>
      </c>
      <c r="LS174">
        <f t="shared" si="143"/>
        <v>15</v>
      </c>
      <c r="LT174" t="s">
        <v>895</v>
      </c>
      <c r="LU174" t="s">
        <v>871</v>
      </c>
      <c r="LV174" s="16" t="s">
        <v>872</v>
      </c>
    </row>
    <row r="175" spans="1:334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1545</v>
      </c>
      <c r="X175" t="str">
        <f>IF(COUNTIF(X$1:X174,X174)&gt;7,REPLACE(X174,LEN(X174),1,VALUE(RIGHT(X174,1))+1),X174)</f>
        <v>A3.17</v>
      </c>
      <c r="Y175" s="43" cm="1">
        <f t="array" ref="Y175">IF(COUNTIFS($X$2:$X175,$X175)=1,"1",VALUE(SUBSTITUTE(INDEX(Y:Y,_xlfn.XMATCH($X175,$X$1:$X174,0,-1)),"A",""))+INDEX(Z:Z,_xlfn.XMATCH($X175,$X$1:$X174,0,-1))+1)</f>
        <v>2</v>
      </c>
      <c r="Z175" s="46" cm="1">
        <f t="array" ref="Z175">SUM(IF(ISNUMBER(FIND("TmAi",$BE$1:$AAD$1)),IF(IFERROR(ISODD(SUBSTITUTE($BE175:$AAD175,"A","")),FALSE),IF(ISODD(SUBSTITUTE($BE175:$AAD175,"A","")),1,0),0)))</f>
        <v>0</v>
      </c>
      <c r="AA175" t="str">
        <f t="shared" si="138"/>
        <v>3A</v>
      </c>
      <c r="AB175" t="str">
        <f t="shared" si="139"/>
        <v>3B</v>
      </c>
      <c r="AP175" t="s">
        <v>137</v>
      </c>
      <c r="AQ175" t="s">
        <v>873</v>
      </c>
      <c r="AS175" t="s">
        <v>396</v>
      </c>
      <c r="LN175" s="27" t="str">
        <f t="shared" si="140"/>
        <v>XT57</v>
      </c>
      <c r="LO175" t="str">
        <f t="shared" si="141"/>
        <v>F0-AI17-3A</v>
      </c>
      <c r="LP175" t="str">
        <f t="shared" si="142"/>
        <v>F0-AI17-3B</v>
      </c>
      <c r="LQ175">
        <f t="shared" si="144"/>
        <v>16</v>
      </c>
      <c r="LR175">
        <f t="shared" si="143"/>
        <v>17</v>
      </c>
      <c r="LS175">
        <f t="shared" si="143"/>
        <v>18</v>
      </c>
      <c r="LT175" t="s">
        <v>896</v>
      </c>
      <c r="LU175" t="s">
        <v>871</v>
      </c>
      <c r="LV175" s="16" t="s">
        <v>872</v>
      </c>
    </row>
    <row r="176" spans="1:334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1546</v>
      </c>
      <c r="X176" t="str">
        <f>IF(COUNTIF(X$1:X175,X175)&gt;7,REPLACE(X175,LEN(X175),1,VALUE(RIGHT(X175,1))+1),X175)</f>
        <v>A3.17</v>
      </c>
      <c r="Y176" s="43" cm="1">
        <f t="array" ref="Y176">IF(COUNTIFS($X$2:$X176,$X176)=1,"1",VALUE(SUBSTITUTE(INDEX(Y:Y,_xlfn.XMATCH($X176,$X$1:$X175,0,-1)),"A",""))+INDEX(Z:Z,_xlfn.XMATCH($X176,$X$1:$X175,0,-1))+1)</f>
        <v>3</v>
      </c>
      <c r="Z176" s="46" cm="1">
        <f t="array" ref="Z176">SUM(IF(ISNUMBER(FIND("TmAi",$BE$1:$AAD$1)),IF(IFERROR(ISODD(SUBSTITUTE($BE176:$AAD176,"A","")),FALSE),IF(ISODD(SUBSTITUTE($BE176:$AAD176,"A","")),1,0),0)))</f>
        <v>0</v>
      </c>
      <c r="AA176" t="str">
        <f t="shared" si="138"/>
        <v>5A</v>
      </c>
      <c r="AB176" t="str">
        <f t="shared" si="139"/>
        <v>5B</v>
      </c>
      <c r="AP176" t="s">
        <v>137</v>
      </c>
      <c r="AQ176" t="s">
        <v>873</v>
      </c>
      <c r="AS176" t="s">
        <v>396</v>
      </c>
      <c r="LN176" s="27" t="str">
        <f t="shared" si="140"/>
        <v>XT57</v>
      </c>
      <c r="LO176" t="str">
        <f t="shared" si="141"/>
        <v>F0-AI17-5A</v>
      </c>
      <c r="LP176" t="str">
        <f t="shared" si="142"/>
        <v>F0-AI17-5B</v>
      </c>
      <c r="LQ176">
        <f t="shared" si="144"/>
        <v>19</v>
      </c>
      <c r="LR176">
        <f t="shared" si="143"/>
        <v>20</v>
      </c>
      <c r="LS176">
        <f t="shared" si="143"/>
        <v>21</v>
      </c>
      <c r="LT176" t="s">
        <v>897</v>
      </c>
      <c r="LU176" t="s">
        <v>871</v>
      </c>
      <c r="LV176" s="16" t="s">
        <v>872</v>
      </c>
    </row>
    <row r="177" spans="1:536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1547</v>
      </c>
      <c r="Y177" s="43"/>
      <c r="Z177" s="46"/>
      <c r="AC177" t="s">
        <v>853</v>
      </c>
      <c r="AF177" t="s">
        <v>906</v>
      </c>
      <c r="AG177" t="s">
        <v>907</v>
      </c>
      <c r="AP177" t="s">
        <v>137</v>
      </c>
      <c r="AS177" t="s">
        <v>396</v>
      </c>
      <c r="AT177" t="s">
        <v>854</v>
      </c>
      <c r="LW177" s="25" t="str">
        <f>CONCATENATE("XT",U177)</f>
        <v>XT56</v>
      </c>
      <c r="LX177" s="12" t="str">
        <f>CONCATENATE("DI",REPLACE($AC177,1,3,""),"-",$AF177)</f>
        <v>DI12-C2</v>
      </c>
      <c r="LY177" s="12" t="s">
        <v>910</v>
      </c>
      <c r="LZ177" s="12" t="str">
        <f>CONCATENATE("K",$U177,"-02")</f>
        <v>K56-02</v>
      </c>
      <c r="MA177" s="12">
        <v>11</v>
      </c>
      <c r="MB177" s="12">
        <v>14</v>
      </c>
      <c r="MC177" s="12" t="s">
        <v>142</v>
      </c>
      <c r="MD177" s="12" t="s">
        <v>143</v>
      </c>
      <c r="ME177" s="12" t="s">
        <v>488</v>
      </c>
      <c r="MF177" s="12" t="s">
        <v>487</v>
      </c>
      <c r="MG177" s="12" t="s">
        <v>414</v>
      </c>
      <c r="MH177" s="12" t="s">
        <v>413</v>
      </c>
      <c r="MI177" s="12">
        <v>4</v>
      </c>
      <c r="MJ177" s="12">
        <f t="shared" ref="MJ177:ML178" si="145">MI177+1</f>
        <v>5</v>
      </c>
      <c r="MK177" s="12">
        <f t="shared" si="145"/>
        <v>6</v>
      </c>
      <c r="ML177" s="12">
        <f t="shared" si="145"/>
        <v>7</v>
      </c>
      <c r="MM177" s="12">
        <v>1</v>
      </c>
      <c r="MN177" s="12">
        <v>2</v>
      </c>
      <c r="MO177" s="12">
        <v>3</v>
      </c>
      <c r="MP177" s="12">
        <v>4</v>
      </c>
      <c r="MQ177" s="13">
        <v>5</v>
      </c>
    </row>
    <row r="178" spans="1:536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1548</v>
      </c>
      <c r="Y178" s="43"/>
      <c r="Z178" s="46"/>
      <c r="AC178" t="s">
        <v>853</v>
      </c>
      <c r="AF178" t="s">
        <v>908</v>
      </c>
      <c r="AG178" t="s">
        <v>909</v>
      </c>
      <c r="AP178" t="s">
        <v>137</v>
      </c>
      <c r="AS178" t="s">
        <v>396</v>
      </c>
      <c r="AT178" t="s">
        <v>854</v>
      </c>
      <c r="LW178" s="27" t="str">
        <f>CONCATENATE("XT",$U178)</f>
        <v>XT56</v>
      </c>
      <c r="LX178" t="str">
        <f>CONCATENATE("DI",REPLACE($AC178,1,3,""),"-",$AF178)</f>
        <v>DI12-C3</v>
      </c>
      <c r="LY178" t="s">
        <v>911</v>
      </c>
      <c r="LZ178" t="str">
        <f>CONCATENATE("K",$U178,"-03")</f>
        <v>K56-03</v>
      </c>
      <c r="MA178">
        <v>11</v>
      </c>
      <c r="MB178">
        <v>14</v>
      </c>
      <c r="MC178" t="s">
        <v>142</v>
      </c>
      <c r="MD178" t="s">
        <v>143</v>
      </c>
      <c r="ME178" t="s">
        <v>488</v>
      </c>
      <c r="MF178" t="s">
        <v>487</v>
      </c>
      <c r="MG178" t="s">
        <v>414</v>
      </c>
      <c r="MH178" t="s">
        <v>413</v>
      </c>
      <c r="MI178">
        <f>MI177+4</f>
        <v>8</v>
      </c>
      <c r="MJ178">
        <f t="shared" si="145"/>
        <v>9</v>
      </c>
      <c r="MK178">
        <f t="shared" si="145"/>
        <v>10</v>
      </c>
      <c r="ML178">
        <f t="shared" si="145"/>
        <v>11</v>
      </c>
      <c r="MM178">
        <v>1</v>
      </c>
      <c r="MN178">
        <v>2</v>
      </c>
      <c r="MO178">
        <v>3</v>
      </c>
      <c r="MP178">
        <v>4</v>
      </c>
      <c r="MQ178" s="16">
        <v>5</v>
      </c>
    </row>
    <row r="179" spans="1:536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 cm="1">
        <f t="array" ref="Y179">IF(COUNTIFS($X$2:$X179,$X179)=1,"1",VALUE(SUBSTITUTE(INDEX(Y:Y,_xlfn.XMATCH($X179,$X$1:$X178,0,-1)),"A",""))+INDEX(Z:Z,_xlfn.XMATCH($X179,$X$1:$X178,0,-1))+1)</f>
        <v>4</v>
      </c>
      <c r="Z179" s="46" cm="1">
        <f t="array" ref="Z179">SUM(IF(ISNUMBER(FIND("TmAi",$BE$1:$AAD$1)),IF(IFERROR(ISODD(SUBSTITUTE($BE179:$AAD179,"A","")),FALSE),IF(ISODD(SUBSTITUTE($BE179:$AAD179,"A","")),1,0),0)))</f>
        <v>1</v>
      </c>
      <c r="AA179" t="str">
        <f t="shared" ref="AA179:AA185" si="146">CONCATENATE($Y179*2-1,"A")</f>
        <v>7A</v>
      </c>
      <c r="AB179" t="str">
        <f t="shared" ref="AB179:AB185" si="147">CONCATENATE($Y179*2-1,"B")</f>
        <v>7B</v>
      </c>
      <c r="AC179" t="s">
        <v>853</v>
      </c>
      <c r="AF179" t="s">
        <v>369</v>
      </c>
      <c r="AG179" t="s">
        <v>370</v>
      </c>
      <c r="AP179" t="s">
        <v>137</v>
      </c>
      <c r="AQ179" t="s">
        <v>873</v>
      </c>
      <c r="AS179" t="s">
        <v>396</v>
      </c>
      <c r="AT179" t="s">
        <v>139</v>
      </c>
      <c r="MR179" s="25" t="s">
        <v>926</v>
      </c>
      <c r="MS179" s="12" t="s">
        <v>927</v>
      </c>
      <c r="MT179" s="12" t="s">
        <v>931</v>
      </c>
      <c r="MU179" s="12" t="s">
        <v>932</v>
      </c>
      <c r="MV179" s="12" t="s">
        <v>912</v>
      </c>
      <c r="MW179" s="12" t="str">
        <f>CONCATENATE("XT",$U179)</f>
        <v>XT58</v>
      </c>
      <c r="MX179" s="12" t="str">
        <f>CONCATENATE("B",REPLACE(AF179,1,1,"")+1)</f>
        <v>B5</v>
      </c>
      <c r="MY179" s="12" t="str">
        <f>CONCATENATE("C",REPLACE(AG179,1,1,"")+1)</f>
        <v>C5</v>
      </c>
      <c r="MZ179" s="12" t="str">
        <f>CONCATENATE("B",REPLACE(MX179,1,1,"")+1)</f>
        <v>B6</v>
      </c>
      <c r="NA179" s="12" t="str">
        <f>CONCATENATE("C",REPLACE(MY179,1,1,"")+1)</f>
        <v>C6</v>
      </c>
      <c r="NB179" s="12" t="str">
        <f>CONCATENATE("B",REPLACE(MZ179,1,1,"")+1)</f>
        <v>B7</v>
      </c>
      <c r="NC179" s="12" t="str">
        <f>CONCATENATE("C",REPLACE(NA179,1,1,"")+1)</f>
        <v>C7</v>
      </c>
      <c r="ND179" s="12" t="str">
        <f>REPLACE($AA179,1,1,LEFT($AA179,1)+2)</f>
        <v>9A</v>
      </c>
      <c r="NE179" s="12" t="str">
        <f>REPLACE($AB179,1,1,LEFT($AB179,1)+2)</f>
        <v>9B</v>
      </c>
      <c r="NF179" s="12" t="str">
        <f>CONCATENATE("DI",REPLACE($AC179,1,3,""),"-",$AF179)</f>
        <v>DI12-C4</v>
      </c>
      <c r="NG179" s="12" t="str">
        <f>CONCATENATE("DI",REPLACE($AC179,1,3,""),"-",$MY179)</f>
        <v>DI12-C5</v>
      </c>
      <c r="NH179" s="12" t="str">
        <f>CONCATENATE("DI",REPLACE($AC179,1,3,""),"-",$NA179)</f>
        <v>DI12-C6</v>
      </c>
      <c r="NI179" s="12" t="str">
        <f>CONCATENATE("DI",REPLACE($AC179,1,3,""),"-",$NC179)</f>
        <v>DI12-C7</v>
      </c>
      <c r="NJ179" s="12" t="s">
        <v>933</v>
      </c>
      <c r="NK179" s="12" t="s">
        <v>934</v>
      </c>
      <c r="NL179" s="12" t="s">
        <v>947</v>
      </c>
      <c r="NM179" s="12" t="s">
        <v>935</v>
      </c>
      <c r="NN179" s="12" t="s">
        <v>936</v>
      </c>
      <c r="NO179" s="12" t="s">
        <v>937</v>
      </c>
      <c r="NP179" s="12" t="s">
        <v>938</v>
      </c>
      <c r="NQ179" s="12" t="s">
        <v>939</v>
      </c>
      <c r="NR179" s="12" t="s">
        <v>940</v>
      </c>
      <c r="NS179" s="12" t="s">
        <v>941</v>
      </c>
      <c r="NT179" s="12" t="s">
        <v>942</v>
      </c>
      <c r="NU179" s="12">
        <v>11</v>
      </c>
      <c r="NV179" s="12">
        <v>14</v>
      </c>
      <c r="NW179" s="12" t="s">
        <v>142</v>
      </c>
      <c r="NX179" s="12" t="s">
        <v>143</v>
      </c>
      <c r="NY179" s="12" t="s">
        <v>488</v>
      </c>
      <c r="NZ179" s="12" t="s">
        <v>487</v>
      </c>
      <c r="OA179" s="12" t="s">
        <v>414</v>
      </c>
      <c r="OB179" s="13" t="s">
        <v>413</v>
      </c>
    </row>
    <row r="180" spans="1:536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1424</v>
      </c>
      <c r="X180" t="str">
        <f>IF(COUNTIF(X$1:X179,X179)&gt;7,REPLACE(X179,LEN(X179),1,VALUE(RIGHT(X179,1))+1),X179)</f>
        <v>A3.17</v>
      </c>
      <c r="Y180" s="43" cm="1">
        <f t="array" ref="Y180">IF(COUNTIFS($X$2:$X180,$X180)=1,"1",VALUE(SUBSTITUTE(INDEX(Y:Y,_xlfn.XMATCH($X180,$X$1:$X179,0,-1)),"A",""))+INDEX(Z:Z,_xlfn.XMATCH($X180,$X$1:$X179,0,-1))+1)</f>
        <v>6</v>
      </c>
      <c r="Z180" s="46" cm="1">
        <f t="array" ref="Z180">SUM(IF(ISNUMBER(FIND("TmAi",$BE$1:$AAD$1)),IF(IFERROR(ISODD(SUBSTITUTE($BE180:$AAD180,"A","")),FALSE),IF(ISODD(SUBSTITUTE($BE180:$AAD180,"A","")),1,0),0)))</f>
        <v>0</v>
      </c>
      <c r="AA180" t="str">
        <f t="shared" si="146"/>
        <v>11A</v>
      </c>
      <c r="AB180" t="str">
        <f t="shared" si="147"/>
        <v>11B</v>
      </c>
      <c r="AC180" t="s">
        <v>853</v>
      </c>
      <c r="AF180" t="s">
        <v>943</v>
      </c>
      <c r="AG180" t="s">
        <v>944</v>
      </c>
      <c r="AP180" t="s">
        <v>137</v>
      </c>
      <c r="AQ180" t="s">
        <v>873</v>
      </c>
      <c r="AS180" t="s">
        <v>396</v>
      </c>
      <c r="AT180" t="s">
        <v>139</v>
      </c>
      <c r="MR180" s="25"/>
      <c r="MS180" s="12"/>
      <c r="MT180" s="12" t="s">
        <v>960</v>
      </c>
      <c r="MU180" s="12"/>
      <c r="MV180" s="12" t="s">
        <v>959</v>
      </c>
      <c r="MW180" s="12" t="str">
        <f>CONCATENATE("XT",$U180)</f>
        <v>XT58</v>
      </c>
      <c r="MX180" s="12" t="str">
        <f>CONCATENATE("B",REPLACE(AF180,1,1,"")+1)</f>
        <v>B9</v>
      </c>
      <c r="MY180" s="12" t="str">
        <f>CONCATENATE("C",REPLACE(AG180,1,1,"")+1)</f>
        <v>C9</v>
      </c>
      <c r="MZ180" s="12" t="str">
        <f>CONCATENATE("B",REPLACE(MX180,1,1,"")+1)</f>
        <v>B10</v>
      </c>
      <c r="NA180" s="12" t="str">
        <f>CONCATENATE("C",REPLACE(MY180,1,1,"")+1)</f>
        <v>C10</v>
      </c>
      <c r="NB180" s="12" t="str">
        <f>CONCATENATE("B",REPLACE(MZ180,1,1,"")+1)</f>
        <v>B11</v>
      </c>
      <c r="NC180" s="12" t="str">
        <f>CONCATENATE("C",REPLACE(NA180,1,1,"")+1)</f>
        <v>C11</v>
      </c>
      <c r="ND180" s="12"/>
      <c r="NE180" s="12"/>
      <c r="NF180" s="12" t="str">
        <f>CONCATENATE("DI",REPLACE($AC180,1,3,""),"-",$AF180)</f>
        <v>DI12-C8</v>
      </c>
      <c r="NG180" s="12" t="str">
        <f>CONCATENATE("DI",REPLACE($AC180,1,3,""),"-",$MY180)</f>
        <v>DI12-C9</v>
      </c>
      <c r="NH180" s="12" t="str">
        <f>CONCATENATE("DI",REPLACE($AC180,1,3,""),"-",$NA180)</f>
        <v>DI12-C10</v>
      </c>
      <c r="NI180" s="12" t="str">
        <f>CONCATENATE("DI",REPLACE($AC180,1,3,""),"-",$NC180)</f>
        <v>DI12-C11</v>
      </c>
      <c r="NJ180" s="12" t="s">
        <v>952</v>
      </c>
      <c r="NK180" s="12"/>
      <c r="NL180" s="12" t="s">
        <v>957</v>
      </c>
      <c r="NM180" s="12" t="s">
        <v>956</v>
      </c>
      <c r="NN180" s="12" t="s">
        <v>955</v>
      </c>
      <c r="NO180" s="12"/>
      <c r="NP180" s="12"/>
      <c r="NQ180" s="12" t="s">
        <v>950</v>
      </c>
      <c r="NR180" s="12" t="s">
        <v>951</v>
      </c>
      <c r="NS180" s="12"/>
      <c r="NT180" s="12"/>
      <c r="NU180" s="12">
        <v>11</v>
      </c>
      <c r="NV180" s="12">
        <v>14</v>
      </c>
      <c r="NW180" s="12" t="s">
        <v>142</v>
      </c>
      <c r="NX180" s="12" t="s">
        <v>143</v>
      </c>
      <c r="NY180" s="12" t="s">
        <v>488</v>
      </c>
      <c r="NZ180" s="12" t="s">
        <v>487</v>
      </c>
      <c r="OA180" s="12" t="s">
        <v>414</v>
      </c>
      <c r="OB180" s="12" t="s">
        <v>413</v>
      </c>
      <c r="OC180" s="12" t="s">
        <v>144</v>
      </c>
      <c r="OD180" s="13" t="s">
        <v>961</v>
      </c>
    </row>
    <row r="181" spans="1:536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1425</v>
      </c>
      <c r="X181" t="str">
        <f>IF(COUNTIF(X$1:X180,X180)&gt;7,REPLACE(X180,LEN(X180),1,VALUE(RIGHT(X180,1))+1),X180)</f>
        <v>A3.17</v>
      </c>
      <c r="Y181" s="43" cm="1">
        <f t="array" ref="Y181">IF(COUNTIFS($X$2:$X181,$X181)=1,"1",VALUE(SUBSTITUTE(INDEX(Y:Y,_xlfn.XMATCH($X181,$X$1:$X180,0,-1)),"A",""))+INDEX(Z:Z,_xlfn.XMATCH($X181,$X$1:$X180,0,-1))+1)</f>
        <v>7</v>
      </c>
      <c r="Z181" s="46" cm="1">
        <f t="array" ref="Z181">SUM(IF(ISNUMBER(FIND("TmAi",$BE$1:$AAD$1)),IF(IFERROR(ISODD(SUBSTITUTE($BE181:$AAD181,"A","")),FALSE),IF(ISODD(SUBSTITUTE($BE181:$AAD181,"A","")),1,0),0)))</f>
        <v>0</v>
      </c>
      <c r="AA181" t="str">
        <f t="shared" si="146"/>
        <v>13A</v>
      </c>
      <c r="AB181" t="str">
        <f t="shared" si="147"/>
        <v>13B</v>
      </c>
      <c r="AP181" t="s">
        <v>137</v>
      </c>
      <c r="AQ181" t="s">
        <v>873</v>
      </c>
      <c r="AS181" t="s">
        <v>396</v>
      </c>
      <c r="JZ181" s="27" t="str">
        <f>CONCATENATE("XT",U181)</f>
        <v>XT55</v>
      </c>
      <c r="KC181" t="str">
        <f>CONCATENATE(T181,"-AI",REPLACE($X181,1,3,""),"-",AA181)</f>
        <v>F0-AI17-13A</v>
      </c>
      <c r="KD181" t="str">
        <f>CONCATENATE(T181,"-AI",REPLACE($X181,1,3,""),"-",AB181)</f>
        <v>F0-AI17-13B</v>
      </c>
      <c r="KG181" t="s">
        <v>488</v>
      </c>
      <c r="KH181" t="s">
        <v>487</v>
      </c>
      <c r="KI181" cm="1">
        <f t="array" ref="KI181">IF(COUNTIFS($U$2:$U181,$U181)=1,1,INDEX(KI:KI,_xlfn.XMATCH(U181,U$1:U180,0,-1))+COUNT(KI168:KM168))</f>
        <v>351</v>
      </c>
      <c r="KJ181">
        <f t="shared" ref="KJ181:KM182" si="148">KI181+1</f>
        <v>352</v>
      </c>
      <c r="KK181">
        <f t="shared" si="148"/>
        <v>353</v>
      </c>
      <c r="KL181">
        <f t="shared" si="148"/>
        <v>354</v>
      </c>
      <c r="KM181">
        <f t="shared" si="148"/>
        <v>355</v>
      </c>
      <c r="KN181" t="s">
        <v>547</v>
      </c>
      <c r="KO181" s="16" t="s">
        <v>548</v>
      </c>
      <c r="KP181" t="s">
        <v>547</v>
      </c>
      <c r="KQ181" t="s">
        <v>548</v>
      </c>
      <c r="KR181" t="s">
        <v>551</v>
      </c>
      <c r="KS181" s="16" t="s">
        <v>552</v>
      </c>
    </row>
    <row r="182" spans="1:536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1426</v>
      </c>
      <c r="X182" s="33" t="str">
        <f>IF(COUNTIF(X$1:X181,X181)&gt;7,REPLACE(X181,LEN(X181),1,VALUE(RIGHT(X181,1))+1),X181)</f>
        <v>A3.17</v>
      </c>
      <c r="Y182" s="45" cm="1">
        <f t="array" ref="Y182">IF(COUNTIFS($X$2:$X182,$X182)=1,"1",VALUE(SUBSTITUTE(INDEX(Y:Y,_xlfn.XMATCH($X182,$X$1:$X181,0,-1)),"A",""))+INDEX(Z:Z,_xlfn.XMATCH($X182,$X$1:$X181,0,-1))+1)</f>
        <v>8</v>
      </c>
      <c r="Z182" s="46" cm="1">
        <f t="array" ref="Z182">SUM(IF(ISNUMBER(FIND("TmAi",$BE$1:$AAD$1)),IF(IFERROR(ISODD(SUBSTITUTE($BE182:$AAD182,"A","")),FALSE),IF(ISODD(SUBSTITUTE($BE182:$AAD182,"A","")),1,0),0)))</f>
        <v>0</v>
      </c>
      <c r="AA182" t="str">
        <f t="shared" si="146"/>
        <v>15A</v>
      </c>
      <c r="AB182" t="str">
        <f t="shared" si="147"/>
        <v>15B</v>
      </c>
      <c r="AP182" t="s">
        <v>137</v>
      </c>
      <c r="AQ182" t="s">
        <v>873</v>
      </c>
      <c r="AS182" t="s">
        <v>396</v>
      </c>
      <c r="JZ182" s="27" t="str">
        <f>CONCATENATE("XT",U182)</f>
        <v>XT55</v>
      </c>
      <c r="KC182" t="str">
        <f>CONCATENATE(T182,"-AI",REPLACE($X182,1,3,""),"-",AA182)</f>
        <v>F0-AI17-15A</v>
      </c>
      <c r="KD182" t="str">
        <f>CONCATENATE(T182,"-AI",REPLACE($X182,1,3,""),"-",AB182)</f>
        <v>F0-AI17-15B</v>
      </c>
      <c r="KG182" t="s">
        <v>488</v>
      </c>
      <c r="KH182" t="s">
        <v>487</v>
      </c>
      <c r="KI182" cm="1">
        <f t="array" ref="KI182">IF(COUNTIFS($U$2:$U182,$U182)=1,1,INDEX(KI:KI,_xlfn.XMATCH(U182,U$1:U181,0,-1))+COUNT(KI181:KM181))</f>
        <v>356</v>
      </c>
      <c r="KJ182">
        <f t="shared" si="148"/>
        <v>357</v>
      </c>
      <c r="KK182">
        <f t="shared" si="148"/>
        <v>358</v>
      </c>
      <c r="KL182">
        <f t="shared" si="148"/>
        <v>359</v>
      </c>
      <c r="KM182">
        <f t="shared" si="148"/>
        <v>360</v>
      </c>
      <c r="KN182" t="s">
        <v>547</v>
      </c>
      <c r="KO182" s="16" t="s">
        <v>548</v>
      </c>
      <c r="KP182" t="s">
        <v>547</v>
      </c>
      <c r="KQ182" t="s">
        <v>548</v>
      </c>
      <c r="KR182" t="s">
        <v>551</v>
      </c>
      <c r="KS182" s="16" t="s">
        <v>552</v>
      </c>
    </row>
    <row r="183" spans="1:536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1634</v>
      </c>
      <c r="X183" t="s">
        <v>1357</v>
      </c>
      <c r="Y183" s="43" t="str" cm="1">
        <f t="array" ref="Y183">IF(COUNTIFS($X$2:$X183,$X183)=1,"1",VALUE(SUBSTITUTE(INDEX(Y:Y,_xlfn.XMATCH($X183,$X$1:$X182,0,-1)),"A",""))+INDEX(Z:Z,_xlfn.XMATCH($X183,$X$1:$X182,0,-1))+1)</f>
        <v>1</v>
      </c>
      <c r="Z183" s="46" cm="1">
        <f t="array" ref="Z183">SUM(IF(ISNUMBER(FIND("TmAi",$BE$1:$AAD$1)),IF(IFERROR(ISODD(SUBSTITUTE($BE183:$AAD183,"A","")),FALSE),IF(ISODD(SUBSTITUTE($BE183:$AAD183,"A","")),1,0),0)))</f>
        <v>1</v>
      </c>
      <c r="AA183" t="str">
        <f t="shared" si="146"/>
        <v>1A</v>
      </c>
      <c r="AB183" t="str">
        <f t="shared" si="147"/>
        <v>1B</v>
      </c>
      <c r="AP183" t="s">
        <v>137</v>
      </c>
      <c r="AR183" t="s">
        <v>1023</v>
      </c>
      <c r="AS183" t="s">
        <v>396</v>
      </c>
      <c r="OE183" s="25" t="str">
        <f>CONCATENATE("XT",$U183)</f>
        <v>XT59</v>
      </c>
      <c r="OF183" s="12" t="s">
        <v>1028</v>
      </c>
      <c r="OG183" s="12" t="s">
        <v>1024</v>
      </c>
      <c r="OH183" s="12"/>
      <c r="OI183" s="12"/>
      <c r="OJ183" s="12" t="str">
        <f>CONCATENATE(REPLACE($AA183,LEN($AA183),1,"")+1,RIGHT($AA183))</f>
        <v>2A</v>
      </c>
      <c r="OK183" s="12" t="str">
        <f>CONCATENATE(REPLACE($AB183,LEN($AB183),1,"")+1,RIGHT($AB183))</f>
        <v>2B</v>
      </c>
      <c r="OL183" s="12" t="str">
        <f>CONCATENATE(REPLACE(OJ183,LEN(OJ183),1,"")+1,RIGHT(OJ183))</f>
        <v>3A</v>
      </c>
      <c r="OM183" s="12" t="str">
        <f t="shared" ref="OM183:OS185" si="149">CONCATENATE(REPLACE(OK183,LEN(OK183),1,"")+1,RIGHT(OK183))</f>
        <v>3B</v>
      </c>
      <c r="ON183" s="12" t="str">
        <f t="shared" si="149"/>
        <v>4A</v>
      </c>
      <c r="OO183" s="12" t="str">
        <f t="shared" si="149"/>
        <v>4B</v>
      </c>
      <c r="OP183" s="12"/>
      <c r="OQ183" s="12"/>
      <c r="OR183" s="12"/>
      <c r="OS183" s="12"/>
      <c r="OT183" s="12" t="str">
        <f>CONCATENATE($T183,"-AI",REPLACE($X183,1,3,""),"-",$AA183)</f>
        <v>F0-AI35-1A</v>
      </c>
      <c r="OU183" s="12" t="str">
        <f>CONCATENATE($T183,"-AI",REPLACE($X183,1,3,""),"-",$AB183)</f>
        <v>F0-AI35-1B</v>
      </c>
      <c r="OV183" s="12" t="str">
        <f t="shared" ref="OV183:PE185" si="150">CONCATENATE($T183,"-AI",REPLACE($X183,1,3,""),"-",OJ183)</f>
        <v>F0-AI35-2A</v>
      </c>
      <c r="OW183" s="12" t="str">
        <f t="shared" si="150"/>
        <v>F0-AI35-2B</v>
      </c>
      <c r="OX183" s="12" t="str">
        <f t="shared" si="150"/>
        <v>F0-AI35-3A</v>
      </c>
      <c r="OY183" s="12" t="str">
        <f t="shared" si="150"/>
        <v>F0-AI35-3B</v>
      </c>
      <c r="OZ183" s="12" t="str">
        <f t="shared" si="150"/>
        <v>F0-AI35-4A</v>
      </c>
      <c r="PA183" s="12" t="str">
        <f t="shared" si="150"/>
        <v>F0-AI35-4B</v>
      </c>
      <c r="PB183" s="12"/>
      <c r="PC183" s="12"/>
      <c r="PD183" s="12"/>
      <c r="PE183" s="12"/>
      <c r="PF183" s="12" cm="1">
        <f t="array" ref="PF183">IF(COUNTIFS($U$2:$U183,$U183)=1,1,INDEX(PF:PF,_xlfn.XMATCH($U183,$U$1:EF182,0,-1))+COUNT(PF182:PK182))</f>
        <v>1</v>
      </c>
      <c r="PG183" s="12">
        <f t="shared" ref="PG183:PN185" si="151">PF183+1</f>
        <v>2</v>
      </c>
      <c r="PH183" s="12">
        <f t="shared" si="151"/>
        <v>3</v>
      </c>
      <c r="PI183" s="12">
        <f>PH183+1</f>
        <v>4</v>
      </c>
      <c r="PJ183" s="12">
        <f t="shared" ref="PJ183:PK183" si="152">PI183+1</f>
        <v>5</v>
      </c>
      <c r="PK183" s="12">
        <f t="shared" si="152"/>
        <v>6</v>
      </c>
      <c r="PL183" s="12"/>
      <c r="PM183" s="12"/>
      <c r="PN183" s="12"/>
      <c r="PO183" s="12">
        <v>1</v>
      </c>
      <c r="PP183" s="12">
        <v>2</v>
      </c>
      <c r="PQ183" s="12">
        <v>3</v>
      </c>
      <c r="PR183" s="12">
        <v>4</v>
      </c>
      <c r="PS183" s="12">
        <v>5</v>
      </c>
      <c r="PT183" s="13">
        <v>6</v>
      </c>
    </row>
    <row r="184" spans="1:536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1636</v>
      </c>
      <c r="X184" t="str">
        <f>IF(COUNTIF(X$1:X183,X183)&gt;7,REPLACE(X183,LEN(X183),1,VALUE(RIGHT(X183,1))+1),X183)</f>
        <v>A3.35</v>
      </c>
      <c r="Y184" s="43" cm="1">
        <f t="array" ref="Y184">IF(COUNTIFS($X$2:$X184,$X184)=1,"1",VALUE(SUBSTITUTE(INDEX(Y:Y,_xlfn.XMATCH($X184,$X$1:$X183,0,-1)),"A",""))+INDEX(Z:Z,_xlfn.XMATCH($X184,$X$1:$X183,0,-1))+1)</f>
        <v>3</v>
      </c>
      <c r="Z184" s="46" cm="1">
        <f t="array" ref="Z184">SUM(IF(ISNUMBER(FIND("TmAi",$BE$1:$AAD$1)),IF(IFERROR(ISODD(SUBSTITUTE($BE184:$AAD184,"A","")),FALSE),IF(ISODD(SUBSTITUTE($BE184:$AAD184,"A","")),1,0),0)))</f>
        <v>1</v>
      </c>
      <c r="AA184" t="str">
        <f t="shared" si="146"/>
        <v>5A</v>
      </c>
      <c r="AB184" t="str">
        <f t="shared" si="147"/>
        <v>5B</v>
      </c>
      <c r="AP184" t="s">
        <v>137</v>
      </c>
      <c r="AR184" t="s">
        <v>1023</v>
      </c>
      <c r="AS184" t="s">
        <v>396</v>
      </c>
      <c r="OE184" s="27" t="str">
        <f t="shared" ref="OE184:OE185" si="153">CONCATENATE("XT",$U184)</f>
        <v>XT59</v>
      </c>
      <c r="OF184" t="s">
        <v>1030</v>
      </c>
      <c r="OG184" t="s">
        <v>1026</v>
      </c>
      <c r="OJ184" t="str">
        <f t="shared" ref="OJ184:OJ185" si="154">CONCATENATE(REPLACE($AA184,LEN($AA184),1,"")+1,RIGHT($AA184))</f>
        <v>6A</v>
      </c>
      <c r="OK184" t="str">
        <f t="shared" ref="OK184:OK185" si="155">CONCATENATE(REPLACE($AB184,LEN($AB184),1,"")+1,RIGHT($AB184))</f>
        <v>6B</v>
      </c>
      <c r="OL184" t="str">
        <f t="shared" ref="OL184:OL185" si="156">CONCATENATE(REPLACE(OJ184,LEN(OJ184),1,"")+1,RIGHT(OJ184))</f>
        <v>7A</v>
      </c>
      <c r="OM184" t="str">
        <f t="shared" si="149"/>
        <v>7B</v>
      </c>
      <c r="ON184" t="str">
        <f t="shared" si="149"/>
        <v>8A</v>
      </c>
      <c r="OO184" t="str">
        <f t="shared" si="149"/>
        <v>8B</v>
      </c>
      <c r="OT184" t="str">
        <f>CONCATENATE($T184,"-AI",REPLACE($X184,1,3,""),"-",$AA184)</f>
        <v>F0-AI35-5A</v>
      </c>
      <c r="OU184" t="str">
        <f>CONCATENATE($T184,"-AI",REPLACE($X184,1,3,""),"-",$AB184)</f>
        <v>F0-AI35-5B</v>
      </c>
      <c r="OV184" t="str">
        <f t="shared" si="150"/>
        <v>F0-AI35-6A</v>
      </c>
      <c r="OW184" t="str">
        <f t="shared" si="150"/>
        <v>F0-AI35-6B</v>
      </c>
      <c r="OX184" t="str">
        <f t="shared" si="150"/>
        <v>F0-AI35-7A</v>
      </c>
      <c r="OY184" t="str">
        <f t="shared" si="150"/>
        <v>F0-AI35-7B</v>
      </c>
      <c r="OZ184" t="str">
        <f t="shared" si="150"/>
        <v>F0-AI35-8A</v>
      </c>
      <c r="PA184" t="str">
        <f t="shared" si="150"/>
        <v>F0-AI35-8B</v>
      </c>
      <c r="PF184" cm="1">
        <f t="array" ref="PF184">IF(COUNTIFS($U$2:$U184,$U184)=1,1,INDEX(PF:PF,_xlfn.XMATCH($U184,$U$1:$U183,0,-1))+COUNT(PF183:PK183))</f>
        <v>7</v>
      </c>
      <c r="PG184">
        <f t="shared" si="151"/>
        <v>8</v>
      </c>
      <c r="PH184">
        <f t="shared" si="151"/>
        <v>9</v>
      </c>
      <c r="PI184">
        <f t="shared" si="151"/>
        <v>10</v>
      </c>
      <c r="PJ184">
        <f t="shared" si="151"/>
        <v>11</v>
      </c>
      <c r="PK184">
        <f t="shared" si="151"/>
        <v>12</v>
      </c>
      <c r="PO184">
        <v>7</v>
      </c>
      <c r="PP184">
        <v>8</v>
      </c>
      <c r="PQ184">
        <v>9</v>
      </c>
      <c r="PR184">
        <v>10</v>
      </c>
      <c r="PS184">
        <v>11</v>
      </c>
      <c r="PT184" s="16">
        <v>12</v>
      </c>
    </row>
    <row r="185" spans="1:536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1635</v>
      </c>
      <c r="X185" s="33" t="str">
        <f>IF(COUNTIF(X$1:X184,X184)&gt;7,REPLACE(X184,LEN(X184),1,VALUE(RIGHT(X184,1))+1),X184)</f>
        <v>A3.35</v>
      </c>
      <c r="Y185" s="45" cm="1">
        <f t="array" ref="Y185">IF(COUNTIFS($X$2:$X185,$X185)=1,"1",VALUE(SUBSTITUTE(INDEX(Y:Y,_xlfn.XMATCH($X185,$X$1:$X184,0,-1)),"A",""))+INDEX(Z:Z,_xlfn.XMATCH($X185,$X$1:$X184,0,-1))+1)</f>
        <v>5</v>
      </c>
      <c r="Z185" s="46" cm="1">
        <f t="array" ref="Z185">SUM(IF(ISNUMBER(FIND("TmAi",$BE$1:$AAD$1)),IF(IFERROR(ISODD(SUBSTITUTE($BE185:$AAD185,"A","")),FALSE),IF(ISODD(SUBSTITUTE($BE185:$AAD185,"A","")),1,0),0)))</f>
        <v>2</v>
      </c>
      <c r="AA185" t="str">
        <f t="shared" si="146"/>
        <v>9A</v>
      </c>
      <c r="AB185" t="str">
        <f t="shared" si="147"/>
        <v>9B</v>
      </c>
      <c r="AP185" t="s">
        <v>137</v>
      </c>
      <c r="AR185" t="s">
        <v>1048</v>
      </c>
      <c r="AS185" t="s">
        <v>396</v>
      </c>
      <c r="OE185" s="27" t="str">
        <f t="shared" si="153"/>
        <v>XT59</v>
      </c>
      <c r="OF185" t="s">
        <v>1034</v>
      </c>
      <c r="OG185" t="s">
        <v>1050</v>
      </c>
      <c r="OH185" t="s">
        <v>1035</v>
      </c>
      <c r="OI185" t="s">
        <v>1049</v>
      </c>
      <c r="OJ185" t="str">
        <f t="shared" si="154"/>
        <v>10A</v>
      </c>
      <c r="OK185" t="str">
        <f t="shared" si="155"/>
        <v>10B</v>
      </c>
      <c r="OL185" t="str">
        <f t="shared" si="156"/>
        <v>11A</v>
      </c>
      <c r="OM185" t="str">
        <f t="shared" si="149"/>
        <v>11B</v>
      </c>
      <c r="ON185" t="str">
        <f t="shared" si="149"/>
        <v>12A</v>
      </c>
      <c r="OO185" t="str">
        <f t="shared" si="149"/>
        <v>12B</v>
      </c>
      <c r="OP185" t="str">
        <f t="shared" si="149"/>
        <v>13A</v>
      </c>
      <c r="OQ185" t="str">
        <f t="shared" si="149"/>
        <v>13B</v>
      </c>
      <c r="OR185" t="str">
        <f t="shared" si="149"/>
        <v>14A</v>
      </c>
      <c r="OS185" t="str">
        <f t="shared" si="149"/>
        <v>14B</v>
      </c>
      <c r="OT185" t="str">
        <f>CONCATENATE($T185,"-AI",REPLACE($X185,1,3,""),"-",$AA185)</f>
        <v>F0-AI35-9A</v>
      </c>
      <c r="OU185" t="str">
        <f>CONCATENATE($T185,"-AI",REPLACE($X185,1,3,""),"-",$AB185)</f>
        <v>F0-AI35-9B</v>
      </c>
      <c r="OV185" t="str">
        <f t="shared" si="150"/>
        <v>F0-AI35-10A</v>
      </c>
      <c r="OW185" t="str">
        <f t="shared" si="150"/>
        <v>F0-AI35-10B</v>
      </c>
      <c r="OX185" t="str">
        <f t="shared" si="150"/>
        <v>F0-AI35-11A</v>
      </c>
      <c r="OY185" t="str">
        <f t="shared" si="150"/>
        <v>F0-AI35-11B</v>
      </c>
      <c r="OZ185" t="str">
        <f t="shared" si="150"/>
        <v>F0-AI35-12A</v>
      </c>
      <c r="PA185" t="str">
        <f t="shared" si="150"/>
        <v>F0-AI35-12B</v>
      </c>
      <c r="PB185" t="str">
        <f t="shared" si="150"/>
        <v>F0-AI35-13A</v>
      </c>
      <c r="PC185" t="str">
        <f t="shared" si="150"/>
        <v>F0-AI35-13B</v>
      </c>
      <c r="PD185" t="str">
        <f t="shared" si="150"/>
        <v>F0-AI35-14A</v>
      </c>
      <c r="PE185" t="str">
        <f t="shared" si="150"/>
        <v>F0-AI35-14B</v>
      </c>
      <c r="PF185" cm="1">
        <f t="array" ref="PF185">IF(COUNTIFS($U$2:$U185,$U185)=1,1,INDEX(PF:PF,_xlfn.XMATCH($U185,$U$1:$U184,0,-1))+COUNT(PF184:PK184))</f>
        <v>13</v>
      </c>
      <c r="PG185">
        <f t="shared" si="151"/>
        <v>14</v>
      </c>
      <c r="PH185">
        <f t="shared" si="151"/>
        <v>15</v>
      </c>
      <c r="PI185">
        <f t="shared" si="151"/>
        <v>16</v>
      </c>
      <c r="PJ185">
        <f t="shared" si="151"/>
        <v>17</v>
      </c>
      <c r="PK185">
        <f t="shared" si="151"/>
        <v>18</v>
      </c>
      <c r="PL185">
        <f t="shared" si="151"/>
        <v>19</v>
      </c>
      <c r="PM185">
        <f t="shared" si="151"/>
        <v>20</v>
      </c>
      <c r="PN185">
        <f t="shared" si="151"/>
        <v>21</v>
      </c>
      <c r="PO185">
        <v>1</v>
      </c>
      <c r="PP185">
        <v>2</v>
      </c>
      <c r="PQ185">
        <v>3</v>
      </c>
      <c r="PR185">
        <v>4</v>
      </c>
      <c r="PS185">
        <v>5</v>
      </c>
      <c r="PT185">
        <v>6</v>
      </c>
      <c r="PU185" s="23">
        <v>7</v>
      </c>
      <c r="PV185" s="23">
        <v>8</v>
      </c>
      <c r="PW185" s="24">
        <v>9</v>
      </c>
    </row>
    <row r="186" spans="1:536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1637</v>
      </c>
      <c r="X186" t="s">
        <v>1055</v>
      </c>
      <c r="Y186" s="43" t="str" cm="1">
        <f t="array" ref="Y186">IF(COUNTIFS($X$2:$X186,$X186)=1,"1",VALUE(SUBSTITUTE(INDEX(Y:Y,_xlfn.XMATCH($X186,$X$1:$X185,0,-1)),"A",""))+INDEX(Z:Z,_xlfn.XMATCH($X186,$X$1:$X185,0,-1))+1)</f>
        <v>1</v>
      </c>
      <c r="Z186" s="46" cm="1">
        <f t="array" ref="Z186">SUM(IF(ISNUMBER(FIND("TmAi",$BE$1:$AAD$1)),IF(IFERROR(ISODD(SUBSTITUTE($BE186:$AAD186,"A","")),FALSE),IF(ISODD(SUBSTITUTE($BE186:$AAD186,"A","")),1,0),0)))</f>
        <v>0</v>
      </c>
      <c r="AA186" t="str">
        <f t="shared" ref="AA186" si="157">CONCATENATE($Y186*2-1,"B")</f>
        <v>1B</v>
      </c>
      <c r="AB186" t="str">
        <f t="shared" ref="AB186" si="158">CONCATENATE($Y186*2,"B")</f>
        <v>2B</v>
      </c>
      <c r="AP186" t="s">
        <v>137</v>
      </c>
      <c r="AQ186" t="s">
        <v>1142</v>
      </c>
      <c r="AS186" t="s">
        <v>396</v>
      </c>
      <c r="JZ186" s="27" t="str">
        <f>CONCATENATE("XT",U186)</f>
        <v>XT59</v>
      </c>
      <c r="KC186" t="str">
        <f>CONCATENATE(T186,"-AI",REPLACE($X186,1,3,""),"-",AA186)</f>
        <v>F0-AI18-1B</v>
      </c>
      <c r="KD186" t="str">
        <f>CONCATENATE(T186,"-AI",REPLACE($X186,1,3,""),"-",AB186)</f>
        <v>F0-AI18-2B</v>
      </c>
      <c r="KI186">
        <v>22</v>
      </c>
      <c r="KJ186">
        <f t="shared" ref="KJ186:KK186" si="159">KI186+1</f>
        <v>23</v>
      </c>
      <c r="KK186">
        <f t="shared" si="159"/>
        <v>24</v>
      </c>
      <c r="KN186" t="s">
        <v>548</v>
      </c>
      <c r="KO186" s="16" t="s">
        <v>548</v>
      </c>
      <c r="KS186" s="16"/>
      <c r="OE186" s="27"/>
      <c r="PT186" s="16"/>
    </row>
    <row r="187" spans="1:536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1638</v>
      </c>
      <c r="X187" s="33" t="str">
        <f>IF(COUNTIF(X$1:X186,X186)&gt;3,REPLACE(X186,LEN(X186),1,VALUE(RIGHT(X186,1))+1),X186)</f>
        <v>A3.18</v>
      </c>
      <c r="Y187" s="45" cm="1">
        <f t="array" ref="Y187">IF(COUNTIFS($X$2:$X187,$X187)=1,"1",VALUE(SUBSTITUTE(INDEX(Y:Y,_xlfn.XMATCH($X187,$X$1:$X186,0,-1)),"A",""))+INDEX(Z:Z,_xlfn.XMATCH($X187,$X$1:$X186,0,-1))+1)</f>
        <v>2</v>
      </c>
      <c r="Z187" s="46" cm="1">
        <f t="array" ref="Z187">SUM(IF(ISNUMBER(FIND("TmAi",$BE$1:$AAD$1)),IF(IFERROR(ISODD(SUBSTITUTE($BE187:$AAD187,"A","")),FALSE),IF(ISODD(SUBSTITUTE($BE187:$AAD187,"A","")),1,0),0)))</f>
        <v>11</v>
      </c>
      <c r="AA187" t="str">
        <f t="shared" ref="AA187:AA190" si="160">CONCATENATE($Y187*2-1,"A")</f>
        <v>3A</v>
      </c>
      <c r="AB187" t="str">
        <f t="shared" ref="AB187:AB190" si="161">CONCATENATE($Y187*2-1,"B")</f>
        <v>3B</v>
      </c>
      <c r="AP187" t="s">
        <v>137</v>
      </c>
      <c r="AR187" t="s">
        <v>1058</v>
      </c>
      <c r="AS187" t="s">
        <v>396</v>
      </c>
      <c r="JZ187" s="27"/>
      <c r="KI187" cm="1">
        <f t="array" ref="KI187">IF(COUNTIFS($U$2:$U187,$U187)=1,1,INDEX(KI:KI,_xlfn.XMATCH(U187,U$1:U186,0,-1))+COUNT(KI186:KM186))</f>
        <v>25</v>
      </c>
      <c r="KO187" s="16"/>
      <c r="KS187" s="16"/>
      <c r="PX187" s="25" t="str">
        <f>REPLACE(X187,FIND(".",X187)+1,3,MID(X187,FIND(".",X187)+1,3)+1)</f>
        <v>A3.19</v>
      </c>
      <c r="PY187" s="12" t="str">
        <f>CONCATENATE(VALUE(SUBSTITUTE($AB187,"B",""))+2,"B")</f>
        <v>5B</v>
      </c>
      <c r="PZ187" s="12" t="str">
        <f>CONCATENATE(VALUE(SUBSTITUTE($AA187,"A",""))+2,"A")</f>
        <v>5A</v>
      </c>
      <c r="QA187" s="12" t="str">
        <f>CONCATENATE(VALUE(SUBSTITUTE(PY187,"B",""))+2,"B")</f>
        <v>7B</v>
      </c>
      <c r="QB187" s="12" t="str">
        <f>CONCATENATE(VALUE(SUBSTITUTE(PZ187,"A",""))+2,"A")</f>
        <v>7A</v>
      </c>
      <c r="QC187" s="12" t="str">
        <f t="shared" ref="QC187" si="162">CONCATENATE(VALUE(SUBSTITUTE(QA187,"B",""))+2,"B")</f>
        <v>9B</v>
      </c>
      <c r="QD187" s="12" t="str">
        <f t="shared" ref="QD187" si="163">CONCATENATE(VALUE(SUBSTITUTE(QB187,"A",""))+2,"A")</f>
        <v>9A</v>
      </c>
      <c r="QE187" s="12" t="str">
        <f t="shared" ref="QE187" si="164">CONCATENATE(VALUE(SUBSTITUTE(QC187,"B",""))+2,"B")</f>
        <v>11B</v>
      </c>
      <c r="QF187" s="12" t="str">
        <f t="shared" ref="QF187" si="165">CONCATENATE(VALUE(SUBSTITUTE(QD187,"A",""))+2,"A")</f>
        <v>11A</v>
      </c>
      <c r="QG187" s="12" t="str">
        <f t="shared" ref="QG187" si="166">CONCATENATE(VALUE(SUBSTITUTE(QE187,"B",""))+2,"B")</f>
        <v>13B</v>
      </c>
      <c r="QH187" s="12" t="str">
        <f t="shared" ref="QH187" si="167">CONCATENATE(VALUE(SUBSTITUTE(QF187,"A",""))+2,"A")</f>
        <v>13A</v>
      </c>
      <c r="QI187" s="12" t="s">
        <v>135</v>
      </c>
      <c r="QJ187" s="12" t="s">
        <v>136</v>
      </c>
      <c r="QK187" s="12" t="str">
        <f t="shared" ref="QK187" si="168">CONCATENATE(VALUE(SUBSTITUTE(QI187,"B",""))+2,"B")</f>
        <v>3B</v>
      </c>
      <c r="QL187" s="12" t="str">
        <f t="shared" ref="QL187" si="169">CONCATENATE(VALUE(SUBSTITUTE(QJ187,"A",""))+2,"A")</f>
        <v>3A</v>
      </c>
      <c r="QM187" s="12" t="str">
        <f t="shared" ref="QM187" si="170">CONCATENATE(VALUE(SUBSTITUTE(QK187,"B",""))+2,"B")</f>
        <v>5B</v>
      </c>
      <c r="QN187" s="12" t="str">
        <f t="shared" ref="QN187" si="171">CONCATENATE(VALUE(SUBSTITUTE(QL187,"A",""))+2,"A")</f>
        <v>5A</v>
      </c>
      <c r="QO187" s="12" t="str">
        <f t="shared" ref="QO187" si="172">CONCATENATE(VALUE(SUBSTITUTE(QM187,"B",""))+2,"B")</f>
        <v>7B</v>
      </c>
      <c r="QP187" s="12" t="str">
        <f t="shared" ref="QP187" si="173">CONCATENATE(VALUE(SUBSTITUTE(QN187,"A",""))+2,"A")</f>
        <v>7A</v>
      </c>
      <c r="QQ187" s="12" t="str">
        <f t="shared" ref="QQ187" si="174">CONCATENATE(VALUE(SUBSTITUTE(QO187,"B",""))+2,"B")</f>
        <v>9B</v>
      </c>
      <c r="QR187" s="12" t="str">
        <f t="shared" ref="QR187" si="175">CONCATENATE(VALUE(SUBSTITUTE(QP187,"A",""))+2,"A")</f>
        <v>9A</v>
      </c>
      <c r="QS187" s="12" t="str">
        <f t="shared" ref="QS187" si="176">CONCATENATE(VALUE(SUBSTITUTE(QQ187,"B",""))+2,"B")</f>
        <v>11B</v>
      </c>
      <c r="QT187" s="12" t="str">
        <f t="shared" ref="QT187" si="177">CONCATENATE(VALUE(SUBSTITUTE(QR187,"A",""))+2,"A")</f>
        <v>11A</v>
      </c>
      <c r="QU187" s="12" t="str">
        <f>CONCATENATE($T187,"-AI",REPLACE($X187,1,3,""),"-",AB187)</f>
        <v>F0-AI18-3B</v>
      </c>
      <c r="QV187" s="12" t="str">
        <f>CONCATENATE($T187,"-AI",REPLACE($X187,1,3,""),"-",AA187)</f>
        <v>F0-AI18-3A</v>
      </c>
      <c r="QW187" s="12" t="str">
        <f>CONCATENATE($T187,"-AI",REPLACE($X187,1,3,""),"-",PY187)</f>
        <v>F0-AI18-5B</v>
      </c>
      <c r="QX187" s="12" t="str">
        <f>CONCATENATE($T187,"-AI",REPLACE($X187,1,3,""),"-",PZ187)</f>
        <v>F0-AI18-5A</v>
      </c>
      <c r="QY187" s="12" t="str">
        <f t="shared" ref="QY187:RF187" si="178">CONCATENATE($T187,"-AI",REPLACE($X187,1,3,""),"-",QA187)</f>
        <v>F0-AI18-7B</v>
      </c>
      <c r="QZ187" s="12" t="str">
        <f t="shared" si="178"/>
        <v>F0-AI18-7A</v>
      </c>
      <c r="RA187" s="12" t="str">
        <f t="shared" si="178"/>
        <v>F0-AI18-9B</v>
      </c>
      <c r="RB187" s="12" t="str">
        <f t="shared" si="178"/>
        <v>F0-AI18-9A</v>
      </c>
      <c r="RC187" s="12" t="str">
        <f t="shared" si="178"/>
        <v>F0-AI18-11B</v>
      </c>
      <c r="RD187" s="12" t="str">
        <f t="shared" si="178"/>
        <v>F0-AI18-11A</v>
      </c>
      <c r="RE187" s="12" t="str">
        <f t="shared" si="178"/>
        <v>F0-AI18-13B</v>
      </c>
      <c r="RF187" s="12" t="str">
        <f t="shared" si="178"/>
        <v>F0-AI18-13A</v>
      </c>
      <c r="RG187" s="12" t="str">
        <f t="shared" ref="RG187:RR187" si="179">CONCATENATE($T187,"-AI",REPLACE($PX187,1,3,""),"-",QI187)</f>
        <v>F0-AI19-1B</v>
      </c>
      <c r="RH187" s="12" t="str">
        <f t="shared" si="179"/>
        <v>F0-AI19-1A</v>
      </c>
      <c r="RI187" s="12" t="str">
        <f t="shared" si="179"/>
        <v>F0-AI19-3B</v>
      </c>
      <c r="RJ187" s="12" t="str">
        <f t="shared" si="179"/>
        <v>F0-AI19-3A</v>
      </c>
      <c r="RK187" s="12" t="str">
        <f t="shared" si="179"/>
        <v>F0-AI19-5B</v>
      </c>
      <c r="RL187" s="12" t="str">
        <f t="shared" si="179"/>
        <v>F0-AI19-5A</v>
      </c>
      <c r="RM187" s="12" t="str">
        <f t="shared" si="179"/>
        <v>F0-AI19-7B</v>
      </c>
      <c r="RN187" s="12" t="str">
        <f t="shared" si="179"/>
        <v>F0-AI19-7A</v>
      </c>
      <c r="RO187" s="12" t="str">
        <f t="shared" si="179"/>
        <v>F0-AI19-9B</v>
      </c>
      <c r="RP187" s="12" t="str">
        <f t="shared" si="179"/>
        <v>F0-AI19-9A</v>
      </c>
      <c r="RQ187" s="12" t="str">
        <f t="shared" si="179"/>
        <v>F0-AI19-11B</v>
      </c>
      <c r="RR187" s="12" t="str">
        <f t="shared" si="179"/>
        <v>F0-AI19-11A</v>
      </c>
      <c r="RS187" s="12" t="str">
        <f t="shared" ref="RS187" si="180">CONCATENATE("XT",$U187)</f>
        <v>XT59</v>
      </c>
      <c r="RT187" s="12">
        <v>22</v>
      </c>
      <c r="RU187" s="12">
        <v>23</v>
      </c>
      <c r="RV187" s="12">
        <v>24</v>
      </c>
      <c r="RW187" s="12">
        <v>25</v>
      </c>
      <c r="RX187" s="12">
        <v>26</v>
      </c>
      <c r="RY187" s="12">
        <v>27</v>
      </c>
      <c r="RZ187" s="12">
        <v>28</v>
      </c>
      <c r="SA187" s="12">
        <v>29</v>
      </c>
      <c r="SB187" s="12">
        <v>30</v>
      </c>
      <c r="SC187" s="12">
        <v>31</v>
      </c>
      <c r="SD187" s="12">
        <v>32</v>
      </c>
      <c r="SE187" s="12">
        <v>33</v>
      </c>
      <c r="SF187" s="12">
        <v>34</v>
      </c>
      <c r="SG187" s="12">
        <v>35</v>
      </c>
      <c r="SH187" s="12">
        <v>36</v>
      </c>
      <c r="SI187" s="12">
        <v>37</v>
      </c>
      <c r="SJ187" s="12">
        <v>38</v>
      </c>
      <c r="SK187" s="12">
        <v>39</v>
      </c>
      <c r="SL187" s="12">
        <v>40</v>
      </c>
      <c r="SM187" s="12">
        <v>41</v>
      </c>
      <c r="SN187" s="12">
        <v>42</v>
      </c>
      <c r="SO187" s="12">
        <v>43</v>
      </c>
      <c r="SP187" s="12">
        <v>44</v>
      </c>
      <c r="SQ187" s="12">
        <v>45</v>
      </c>
      <c r="SR187" s="12">
        <v>46</v>
      </c>
      <c r="SS187" s="12" t="s">
        <v>1060</v>
      </c>
      <c r="ST187" s="12" t="s">
        <v>1116</v>
      </c>
      <c r="SU187" s="12" t="s">
        <v>1117</v>
      </c>
      <c r="SV187" s="12" t="s">
        <v>1118</v>
      </c>
      <c r="SW187" s="12" t="s">
        <v>1119</v>
      </c>
      <c r="SX187" s="12" t="s">
        <v>1120</v>
      </c>
      <c r="SY187" s="12" t="s">
        <v>1121</v>
      </c>
      <c r="SZ187" s="12" t="s">
        <v>1122</v>
      </c>
      <c r="TA187" s="12" t="s">
        <v>1123</v>
      </c>
      <c r="TB187" s="12" t="s">
        <v>1124</v>
      </c>
      <c r="TC187" s="12" t="s">
        <v>1125</v>
      </c>
      <c r="TD187" s="12" t="s">
        <v>1126</v>
      </c>
      <c r="TE187" s="12" t="s">
        <v>1059</v>
      </c>
      <c r="TF187" s="12" t="s">
        <v>1128</v>
      </c>
      <c r="TG187" s="12" t="s">
        <v>1129</v>
      </c>
      <c r="TH187" s="12" t="s">
        <v>1130</v>
      </c>
      <c r="TI187" s="12" t="s">
        <v>1132</v>
      </c>
      <c r="TJ187" s="12" t="s">
        <v>1131</v>
      </c>
      <c r="TK187" s="12" t="s">
        <v>1133</v>
      </c>
      <c r="TL187" s="12" t="s">
        <v>1134</v>
      </c>
      <c r="TM187" s="12" t="s">
        <v>1135</v>
      </c>
      <c r="TN187" s="12" t="s">
        <v>1136</v>
      </c>
      <c r="TO187" s="12" t="s">
        <v>1137</v>
      </c>
      <c r="TP187" s="13" t="s">
        <v>1138</v>
      </c>
    </row>
    <row r="188" spans="1:536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1639</v>
      </c>
      <c r="X188" t="s">
        <v>1358</v>
      </c>
      <c r="Y188" s="43" t="str" cm="1">
        <f t="array" ref="Y188">IF(COUNTIFS($X$2:$X188,$X188)=1,"1",VALUE(SUBSTITUTE(INDEX(Y:Y,_xlfn.XMATCH($X188,$X$1:$X187,0,-1)),"A",""))+INDEX(Z:Z,_xlfn.XMATCH($X188,$X$1:$X187,0,-1))+1)</f>
        <v>1</v>
      </c>
      <c r="Z188" s="46" cm="1">
        <f t="array" ref="Z188">SUM(IF(ISNUMBER(FIND("TmAi",$BE$1:$AAD$1)),IF(IFERROR(ISODD(SUBSTITUTE($BE188:$AAD188,"A","")),FALSE),IF(ISODD(SUBSTITUTE($BE188:$AAD188,"A","")),1,0),0)))</f>
        <v>1</v>
      </c>
      <c r="AA188" t="str">
        <f t="shared" si="160"/>
        <v>1A</v>
      </c>
      <c r="AB188" t="str">
        <f t="shared" si="161"/>
        <v>1B</v>
      </c>
      <c r="AP188" t="s">
        <v>137</v>
      </c>
      <c r="AR188" t="s">
        <v>1152</v>
      </c>
      <c r="AS188" t="s">
        <v>396</v>
      </c>
      <c r="OE188" s="25" t="str">
        <f>CONCATENATE("XT",$U188)</f>
        <v>XT60</v>
      </c>
      <c r="OF188" s="12" t="s">
        <v>1174</v>
      </c>
      <c r="OG188" s="12" t="s">
        <v>1179</v>
      </c>
      <c r="OH188" s="12"/>
      <c r="OI188" s="12"/>
      <c r="OJ188" s="12" t="str">
        <f>CONCATENATE(REPLACE($AA188,LEN($AA188),1,"")+1,RIGHT($AA188))</f>
        <v>2A</v>
      </c>
      <c r="OK188" s="12" t="str">
        <f>CONCATENATE(REPLACE($AB188,LEN($AB188),1,"")+1,RIGHT($AB188))</f>
        <v>2B</v>
      </c>
      <c r="OL188" s="12" t="str">
        <f>CONCATENATE(REPLACE(OJ188,LEN(OJ188),1,"")+1,RIGHT(OJ188))</f>
        <v>3A</v>
      </c>
      <c r="OM188" s="12" t="str">
        <f t="shared" ref="OM188:OS190" si="181">CONCATENATE(REPLACE(OK188,LEN(OK188),1,"")+1,RIGHT(OK188))</f>
        <v>3B</v>
      </c>
      <c r="ON188" s="12" t="str">
        <f t="shared" si="181"/>
        <v>4A</v>
      </c>
      <c r="OO188" s="12" t="str">
        <f t="shared" si="181"/>
        <v>4B</v>
      </c>
      <c r="OP188" s="12"/>
      <c r="OQ188" s="12"/>
      <c r="OR188" s="12"/>
      <c r="OS188" s="12"/>
      <c r="OT188" s="12" t="str">
        <f>CONCATENATE($T188,"-AI",REPLACE($X188,1,3,""),"-",$AA188)</f>
        <v>F0-AI36-1A</v>
      </c>
      <c r="OU188" s="12" t="str">
        <f>CONCATENATE($T188,"-AI",REPLACE($X188,1,3,""),"-",$AB188)</f>
        <v>F0-AI36-1B</v>
      </c>
      <c r="OV188" s="12" t="str">
        <f t="shared" ref="OV188:PE190" si="182">CONCATENATE($T188,"-AI",REPLACE($X188,1,3,""),"-",OJ188)</f>
        <v>F0-AI36-2A</v>
      </c>
      <c r="OW188" s="12" t="str">
        <f t="shared" si="182"/>
        <v>F0-AI36-2B</v>
      </c>
      <c r="OX188" s="12" t="str">
        <f t="shared" si="182"/>
        <v>F0-AI36-3A</v>
      </c>
      <c r="OY188" s="12" t="str">
        <f t="shared" si="182"/>
        <v>F0-AI36-3B</v>
      </c>
      <c r="OZ188" s="12" t="str">
        <f t="shared" si="182"/>
        <v>F0-AI36-4A</v>
      </c>
      <c r="PA188" s="12" t="str">
        <f t="shared" si="182"/>
        <v>F0-AI36-4B</v>
      </c>
      <c r="PB188" s="12"/>
      <c r="PC188" s="12"/>
      <c r="PD188" s="12"/>
      <c r="PE188" s="12"/>
      <c r="PF188" s="12" cm="1">
        <f t="array" ref="PF188">IF(COUNTIFS($U$2:$U188,$U188)=1,1,INDEX(PF:PF,_xlfn.XMATCH($U188,$U$1:EF187,0,-1))+COUNT(PF187:PK187))</f>
        <v>1</v>
      </c>
      <c r="PG188" s="12">
        <f t="shared" ref="PG188:PI190" si="183">PF188+1</f>
        <v>2</v>
      </c>
      <c r="PH188" s="12">
        <f t="shared" si="183"/>
        <v>3</v>
      </c>
      <c r="PI188" s="12">
        <f>PH188+1</f>
        <v>4</v>
      </c>
      <c r="PJ188" s="12">
        <f t="shared" ref="PJ188:PN190" si="184">PI188+1</f>
        <v>5</v>
      </c>
      <c r="PK188" s="12">
        <f t="shared" si="184"/>
        <v>6</v>
      </c>
      <c r="PL188" s="12"/>
      <c r="PM188" s="12"/>
      <c r="PN188" s="12"/>
      <c r="PO188" s="12">
        <v>1</v>
      </c>
      <c r="PP188" s="12">
        <v>2</v>
      </c>
      <c r="PQ188" s="12">
        <v>3</v>
      </c>
      <c r="PR188" s="12">
        <v>4</v>
      </c>
      <c r="PS188" s="12">
        <v>5</v>
      </c>
      <c r="PT188" s="13">
        <v>6</v>
      </c>
    </row>
    <row r="189" spans="1:536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1640</v>
      </c>
      <c r="X189" t="str">
        <f>IF(COUNTIF(X$1:X188,X188)&gt;7,REPLACE(X188,LEN(X188),1,VALUE(RIGHT(X188,1))+1),X188)</f>
        <v>A3.36</v>
      </c>
      <c r="Y189" s="43" cm="1">
        <f t="array" ref="Y189">IF(COUNTIFS($X$2:$X189,$X189)=1,"1",VALUE(SUBSTITUTE(INDEX(Y:Y,_xlfn.XMATCH($X189,$X$1:$X188,0,-1)),"A",""))+INDEX(Z:Z,_xlfn.XMATCH($X189,$X$1:$X188,0,-1))+1)</f>
        <v>3</v>
      </c>
      <c r="Z189" s="46" cm="1">
        <f t="array" ref="Z189">SUM(IF(ISNUMBER(FIND("TmAi",$BE$1:$AAD$1)),IF(IFERROR(ISODD(SUBSTITUTE($BE189:$AAD189,"A","")),FALSE),IF(ISODD(SUBSTITUTE($BE189:$AAD189,"A","")),1,0),0)))</f>
        <v>1</v>
      </c>
      <c r="AA189" t="str">
        <f t="shared" si="160"/>
        <v>5A</v>
      </c>
      <c r="AB189" t="str">
        <f t="shared" si="161"/>
        <v>5B</v>
      </c>
      <c r="AP189" t="s">
        <v>137</v>
      </c>
      <c r="AR189" t="s">
        <v>1152</v>
      </c>
      <c r="AS189" t="s">
        <v>396</v>
      </c>
      <c r="OE189" s="27" t="str">
        <f t="shared" ref="OE189:OE190" si="185">CONCATENATE("XT",$U189)</f>
        <v>XT60</v>
      </c>
      <c r="OF189" t="s">
        <v>1175</v>
      </c>
      <c r="OG189" t="s">
        <v>1181</v>
      </c>
      <c r="OJ189" t="str">
        <f t="shared" ref="OJ189:OJ190" si="186">CONCATENATE(REPLACE($AA189,LEN($AA189),1,"")+1,RIGHT($AA189))</f>
        <v>6A</v>
      </c>
      <c r="OK189" t="str">
        <f t="shared" ref="OK189:OK190" si="187">CONCATENATE(REPLACE($AB189,LEN($AB189),1,"")+1,RIGHT($AB189))</f>
        <v>6B</v>
      </c>
      <c r="OL189" t="str">
        <f t="shared" ref="OL189:OL190" si="188">CONCATENATE(REPLACE(OJ189,LEN(OJ189),1,"")+1,RIGHT(OJ189))</f>
        <v>7A</v>
      </c>
      <c r="OM189" t="str">
        <f t="shared" si="181"/>
        <v>7B</v>
      </c>
      <c r="ON189" t="str">
        <f t="shared" si="181"/>
        <v>8A</v>
      </c>
      <c r="OO189" t="str">
        <f t="shared" si="181"/>
        <v>8B</v>
      </c>
      <c r="OT189" t="str">
        <f>CONCATENATE($T189,"-AI",REPLACE($X189,1,3,""),"-",$AA189)</f>
        <v>F0-AI36-5A</v>
      </c>
      <c r="OU189" t="str">
        <f>CONCATENATE($T189,"-AI",REPLACE($X189,1,3,""),"-",$AB189)</f>
        <v>F0-AI36-5B</v>
      </c>
      <c r="OV189" t="str">
        <f t="shared" si="182"/>
        <v>F0-AI36-6A</v>
      </c>
      <c r="OW189" t="str">
        <f t="shared" si="182"/>
        <v>F0-AI36-6B</v>
      </c>
      <c r="OX189" t="str">
        <f t="shared" si="182"/>
        <v>F0-AI36-7A</v>
      </c>
      <c r="OY189" t="str">
        <f t="shared" si="182"/>
        <v>F0-AI36-7B</v>
      </c>
      <c r="OZ189" t="str">
        <f t="shared" si="182"/>
        <v>F0-AI36-8A</v>
      </c>
      <c r="PA189" t="str">
        <f t="shared" si="182"/>
        <v>F0-AI36-8B</v>
      </c>
      <c r="PF189" cm="1">
        <f t="array" ref="PF189">IF(COUNTIFS($U$2:$U189,$U189)=1,1,INDEX(PF:PF,_xlfn.XMATCH($U189,$U$1:$U188,0,-1))+COUNT(PF188:PK188))</f>
        <v>7</v>
      </c>
      <c r="PG189">
        <f t="shared" si="183"/>
        <v>8</v>
      </c>
      <c r="PH189">
        <f t="shared" si="183"/>
        <v>9</v>
      </c>
      <c r="PI189">
        <f t="shared" si="183"/>
        <v>10</v>
      </c>
      <c r="PJ189">
        <f t="shared" si="184"/>
        <v>11</v>
      </c>
      <c r="PK189">
        <f t="shared" si="184"/>
        <v>12</v>
      </c>
      <c r="PO189">
        <v>7</v>
      </c>
      <c r="PP189">
        <v>8</v>
      </c>
      <c r="PQ189">
        <v>9</v>
      </c>
      <c r="PR189">
        <v>10</v>
      </c>
      <c r="PS189">
        <v>11</v>
      </c>
      <c r="PT189" s="16">
        <v>12</v>
      </c>
    </row>
    <row r="190" spans="1:536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1641</v>
      </c>
      <c r="X190" s="33" t="str">
        <f>IF(COUNTIF(X$1:X189,X189)&gt;7,REPLACE(X189,LEN(X189),1,VALUE(RIGHT(X189,1))+1),X189)</f>
        <v>A3.36</v>
      </c>
      <c r="Y190" s="45" cm="1">
        <f t="array" ref="Y190">IF(COUNTIFS($X$2:$X190,$X190)=1,"1",VALUE(SUBSTITUTE(INDEX(Y:Y,_xlfn.XMATCH($X190,$X$1:$X189,0,-1)),"A",""))+INDEX(Z:Z,_xlfn.XMATCH($X190,$X$1:$X189,0,-1))+1)</f>
        <v>5</v>
      </c>
      <c r="Z190" s="46" cm="1">
        <f t="array" ref="Z190">SUM(IF(ISNUMBER(FIND("TmAi",$BE$1:$AAD$1)),IF(IFERROR(ISODD(SUBSTITUTE($BE190:$AAD190,"A","")),FALSE),IF(ISODD(SUBSTITUTE($BE190:$AAD190,"A","")),1,0),0)))</f>
        <v>2</v>
      </c>
      <c r="AA190" t="str">
        <f t="shared" si="160"/>
        <v>9A</v>
      </c>
      <c r="AB190" t="str">
        <f t="shared" si="161"/>
        <v>9B</v>
      </c>
      <c r="AP190" t="s">
        <v>137</v>
      </c>
      <c r="AR190" t="s">
        <v>1153</v>
      </c>
      <c r="AS190" t="s">
        <v>396</v>
      </c>
      <c r="OE190" s="27" t="str">
        <f t="shared" si="185"/>
        <v>XT60</v>
      </c>
      <c r="OF190" t="s">
        <v>1176</v>
      </c>
      <c r="OG190" t="s">
        <v>1183</v>
      </c>
      <c r="OH190" t="s">
        <v>1320</v>
      </c>
      <c r="OI190" t="s">
        <v>1319</v>
      </c>
      <c r="OJ190" t="str">
        <f t="shared" si="186"/>
        <v>10A</v>
      </c>
      <c r="OK190" t="str">
        <f t="shared" si="187"/>
        <v>10B</v>
      </c>
      <c r="OL190" t="str">
        <f t="shared" si="188"/>
        <v>11A</v>
      </c>
      <c r="OM190" t="str">
        <f t="shared" si="181"/>
        <v>11B</v>
      </c>
      <c r="ON190" t="str">
        <f t="shared" si="181"/>
        <v>12A</v>
      </c>
      <c r="OO190" t="str">
        <f t="shared" si="181"/>
        <v>12B</v>
      </c>
      <c r="OP190" t="str">
        <f t="shared" si="181"/>
        <v>13A</v>
      </c>
      <c r="OQ190" t="str">
        <f t="shared" si="181"/>
        <v>13B</v>
      </c>
      <c r="OR190" t="str">
        <f t="shared" si="181"/>
        <v>14A</v>
      </c>
      <c r="OS190" t="str">
        <f t="shared" si="181"/>
        <v>14B</v>
      </c>
      <c r="OT190" t="str">
        <f>CONCATENATE($T190,"-AI",REPLACE($X190,1,3,""),"-",$AA190)</f>
        <v>F0-AI36-9A</v>
      </c>
      <c r="OU190" t="str">
        <f>CONCATENATE($T190,"-AI",REPLACE($X190,1,3,""),"-",$AB190)</f>
        <v>F0-AI36-9B</v>
      </c>
      <c r="OV190" t="str">
        <f t="shared" si="182"/>
        <v>F0-AI36-10A</v>
      </c>
      <c r="OW190" t="str">
        <f t="shared" si="182"/>
        <v>F0-AI36-10B</v>
      </c>
      <c r="OX190" t="str">
        <f t="shared" si="182"/>
        <v>F0-AI36-11A</v>
      </c>
      <c r="OY190" t="str">
        <f t="shared" si="182"/>
        <v>F0-AI36-11B</v>
      </c>
      <c r="OZ190" t="str">
        <f t="shared" si="182"/>
        <v>F0-AI36-12A</v>
      </c>
      <c r="PA190" t="str">
        <f t="shared" si="182"/>
        <v>F0-AI36-12B</v>
      </c>
      <c r="PB190" t="str">
        <f t="shared" si="182"/>
        <v>F0-AI36-13A</v>
      </c>
      <c r="PC190" t="str">
        <f t="shared" si="182"/>
        <v>F0-AI36-13B</v>
      </c>
      <c r="PD190" t="str">
        <f t="shared" si="182"/>
        <v>F0-AI36-14A</v>
      </c>
      <c r="PE190" t="str">
        <f t="shared" si="182"/>
        <v>F0-AI36-14B</v>
      </c>
      <c r="PF190" cm="1">
        <f t="array" ref="PF190">IF(COUNTIFS($U$2:$U190,$U190)=1,1,INDEX(PF:PF,_xlfn.XMATCH($U190,$U$1:$U189,0,-1))+COUNT(PF189:PK189))</f>
        <v>13</v>
      </c>
      <c r="PG190">
        <f t="shared" si="183"/>
        <v>14</v>
      </c>
      <c r="PH190">
        <f t="shared" si="183"/>
        <v>15</v>
      </c>
      <c r="PI190">
        <f t="shared" si="183"/>
        <v>16</v>
      </c>
      <c r="PJ190">
        <f t="shared" si="184"/>
        <v>17</v>
      </c>
      <c r="PK190">
        <f t="shared" si="184"/>
        <v>18</v>
      </c>
      <c r="PL190">
        <f t="shared" si="184"/>
        <v>19</v>
      </c>
      <c r="PM190">
        <f t="shared" si="184"/>
        <v>20</v>
      </c>
      <c r="PN190">
        <f t="shared" si="184"/>
        <v>21</v>
      </c>
      <c r="PO190">
        <v>1</v>
      </c>
      <c r="PP190">
        <v>2</v>
      </c>
      <c r="PQ190">
        <v>3</v>
      </c>
      <c r="PR190">
        <v>4</v>
      </c>
      <c r="PS190">
        <v>5</v>
      </c>
      <c r="PT190">
        <v>6</v>
      </c>
      <c r="PU190" s="23">
        <v>7</v>
      </c>
      <c r="PV190" s="23">
        <v>8</v>
      </c>
      <c r="PW190" s="24">
        <v>9</v>
      </c>
    </row>
    <row r="191" spans="1:536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1642</v>
      </c>
      <c r="X191" t="s">
        <v>1148</v>
      </c>
      <c r="Y191" s="43" t="str" cm="1">
        <f t="array" ref="Y191">IF(COUNTIFS($X$2:$X191,$X191)=1,"1",VALUE(SUBSTITUTE(INDEX(Y:Y,_xlfn.XMATCH($X191,$X$1:$X190,0,-1)),"A",""))+INDEX(Z:Z,_xlfn.XMATCH($X191,$X$1:$X190,0,-1))+1)</f>
        <v>1</v>
      </c>
      <c r="Z191" s="46" cm="1">
        <f t="array" ref="Z191">SUM(IF(ISNUMBER(FIND("TmAi",$BE$1:$AAD$1)),IF(IFERROR(ISODD(SUBSTITUTE($BE191:$AAD191,"A","")),FALSE),IF(ISODD(SUBSTITUTE($BE191:$AAD191,"A","")),1,0),0)))</f>
        <v>0</v>
      </c>
      <c r="AA191" t="str">
        <f t="shared" ref="AA191" si="189">CONCATENATE($Y191*2-1,"B")</f>
        <v>1B</v>
      </c>
      <c r="AB191" t="str">
        <f t="shared" ref="AB191" si="190">CONCATENATE($Y191*2,"B")</f>
        <v>2B</v>
      </c>
      <c r="AP191" t="s">
        <v>137</v>
      </c>
      <c r="AQ191" t="s">
        <v>1142</v>
      </c>
      <c r="AS191" t="s">
        <v>396</v>
      </c>
      <c r="JZ191" s="27" t="str">
        <f>CONCATENATE("XT",U191)</f>
        <v>XT60</v>
      </c>
      <c r="KC191" t="str">
        <f>CONCATENATE(T191,"-AI",REPLACE($X191,1,3,""),"-",AA191)</f>
        <v>F0-AI20-1B</v>
      </c>
      <c r="KD191" t="str">
        <f>CONCATENATE(T191,"-AI",REPLACE($X191,1,3,""),"-",AB191)</f>
        <v>F0-AI20-2B</v>
      </c>
      <c r="KI191">
        <v>22</v>
      </c>
      <c r="KJ191">
        <f t="shared" ref="KJ191:KK191" si="191">KI191+1</f>
        <v>23</v>
      </c>
      <c r="KK191">
        <f t="shared" si="191"/>
        <v>24</v>
      </c>
      <c r="KN191" t="s">
        <v>548</v>
      </c>
      <c r="KO191" s="16" t="s">
        <v>548</v>
      </c>
      <c r="KS191" s="16"/>
      <c r="OE191" s="27"/>
      <c r="PT191" s="16"/>
    </row>
    <row r="192" spans="1:536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1643</v>
      </c>
      <c r="X192" s="33" t="str">
        <f>IF(COUNTIF(X$1:X191,X191)&gt;3,REPLACE(X191,LEN(X191),1,VALUE(RIGHT(X191,1))+1),X191)</f>
        <v>A3.20</v>
      </c>
      <c r="Y192" s="45" cm="1">
        <f t="array" ref="Y192">IF(COUNTIFS($X$2:$X192,$X192)=1,"1",VALUE(SUBSTITUTE(INDEX(Y:Y,_xlfn.XMATCH($X192,$X$1:$X191,0,-1)),"A",""))+INDEX(Z:Z,_xlfn.XMATCH($X192,$X$1:$X191,0,-1))+1)</f>
        <v>2</v>
      </c>
      <c r="Z192" s="46" cm="1">
        <f t="array" ref="Z192">SUM(IF(ISNUMBER(FIND("TmAi",$BE$1:$AAD$1)),IF(IFERROR(ISODD(SUBSTITUTE($BE192:$AAD192,"A","")),FALSE),IF(ISODD(SUBSTITUTE($BE192:$AAD192,"A","")),1,0),0)))</f>
        <v>11</v>
      </c>
      <c r="AA192" t="str">
        <f t="shared" ref="AA192:AA195" si="192">CONCATENATE($Y192*2-1,"A")</f>
        <v>3A</v>
      </c>
      <c r="AB192" t="str">
        <f t="shared" ref="AB192:AB195" si="193">CONCATENATE($Y192*2-1,"B")</f>
        <v>3B</v>
      </c>
      <c r="AP192" t="s">
        <v>137</v>
      </c>
      <c r="AR192" t="s">
        <v>1147</v>
      </c>
      <c r="AS192" t="s">
        <v>396</v>
      </c>
      <c r="JZ192" s="27"/>
      <c r="KI192" cm="1">
        <f t="array" ref="KI192">IF(COUNTIFS($U$2:$U192,$U192)=1,1,INDEX(KI:KI,_xlfn.XMATCH(U192,U$1:U191,0,-1))+COUNT(KI191:KM191))</f>
        <v>25</v>
      </c>
      <c r="KO192" s="16"/>
      <c r="KS192" s="16"/>
      <c r="PX192" s="25" t="str">
        <f>REPLACE(X192,FIND(".",X192)+1,3,MID(X192,FIND(".",X192)+1,3)+1)</f>
        <v>A3.21</v>
      </c>
      <c r="PY192" s="12" t="str">
        <f>CONCATENATE(VALUE(SUBSTITUTE($AB192,"B",""))+2,"B")</f>
        <v>5B</v>
      </c>
      <c r="PZ192" s="12" t="str">
        <f>CONCATENATE(VALUE(SUBSTITUTE($AA192,"A",""))+2,"A")</f>
        <v>5A</v>
      </c>
      <c r="QA192" s="12" t="str">
        <f>CONCATENATE(VALUE(SUBSTITUTE(PY192,"B",""))+2,"B")</f>
        <v>7B</v>
      </c>
      <c r="QB192" s="12" t="str">
        <f>CONCATENATE(VALUE(SUBSTITUTE(PZ192,"A",""))+2,"A")</f>
        <v>7A</v>
      </c>
      <c r="QC192" s="12" t="str">
        <f t="shared" ref="QC192" si="194">CONCATENATE(VALUE(SUBSTITUTE(QA192,"B",""))+2,"B")</f>
        <v>9B</v>
      </c>
      <c r="QD192" s="12" t="str">
        <f t="shared" ref="QD192" si="195">CONCATENATE(VALUE(SUBSTITUTE(QB192,"A",""))+2,"A")</f>
        <v>9A</v>
      </c>
      <c r="QE192" s="12" t="str">
        <f t="shared" ref="QE192" si="196">CONCATENATE(VALUE(SUBSTITUTE(QC192,"B",""))+2,"B")</f>
        <v>11B</v>
      </c>
      <c r="QF192" s="12" t="str">
        <f t="shared" ref="QF192" si="197">CONCATENATE(VALUE(SUBSTITUTE(QD192,"A",""))+2,"A")</f>
        <v>11A</v>
      </c>
      <c r="QG192" s="12" t="str">
        <f t="shared" ref="QG192" si="198">CONCATENATE(VALUE(SUBSTITUTE(QE192,"B",""))+2,"B")</f>
        <v>13B</v>
      </c>
      <c r="QH192" s="12" t="str">
        <f t="shared" ref="QH192" si="199">CONCATENATE(VALUE(SUBSTITUTE(QF192,"A",""))+2,"A")</f>
        <v>13A</v>
      </c>
      <c r="QI192" s="12" t="s">
        <v>135</v>
      </c>
      <c r="QJ192" s="12" t="s">
        <v>136</v>
      </c>
      <c r="QK192" s="12" t="str">
        <f t="shared" ref="QK192" si="200">CONCATENATE(VALUE(SUBSTITUTE(QI192,"B",""))+2,"B")</f>
        <v>3B</v>
      </c>
      <c r="QL192" s="12" t="str">
        <f t="shared" ref="QL192" si="201">CONCATENATE(VALUE(SUBSTITUTE(QJ192,"A",""))+2,"A")</f>
        <v>3A</v>
      </c>
      <c r="QM192" s="12" t="str">
        <f t="shared" ref="QM192" si="202">CONCATENATE(VALUE(SUBSTITUTE(QK192,"B",""))+2,"B")</f>
        <v>5B</v>
      </c>
      <c r="QN192" s="12" t="str">
        <f t="shared" ref="QN192" si="203">CONCATENATE(VALUE(SUBSTITUTE(QL192,"A",""))+2,"A")</f>
        <v>5A</v>
      </c>
      <c r="QO192" s="12" t="str">
        <f t="shared" ref="QO192" si="204">CONCATENATE(VALUE(SUBSTITUTE(QM192,"B",""))+2,"B")</f>
        <v>7B</v>
      </c>
      <c r="QP192" s="12" t="str">
        <f t="shared" ref="QP192" si="205">CONCATENATE(VALUE(SUBSTITUTE(QN192,"A",""))+2,"A")</f>
        <v>7A</v>
      </c>
      <c r="QQ192" s="12" t="str">
        <f t="shared" ref="QQ192" si="206">CONCATENATE(VALUE(SUBSTITUTE(QO192,"B",""))+2,"B")</f>
        <v>9B</v>
      </c>
      <c r="QR192" s="12" t="str">
        <f t="shared" ref="QR192" si="207">CONCATENATE(VALUE(SUBSTITUTE(QP192,"A",""))+2,"A")</f>
        <v>9A</v>
      </c>
      <c r="QS192" s="12" t="str">
        <f t="shared" ref="QS192" si="208">CONCATENATE(VALUE(SUBSTITUTE(QQ192,"B",""))+2,"B")</f>
        <v>11B</v>
      </c>
      <c r="QT192" s="12" t="str">
        <f t="shared" ref="QT192" si="209">CONCATENATE(VALUE(SUBSTITUTE(QR192,"A",""))+2,"A")</f>
        <v>11A</v>
      </c>
      <c r="QU192" s="12" t="str">
        <f>CONCATENATE($T192,"-AI",REPLACE($X192,1,3,""),"-",AB192)</f>
        <v>F0-AI20-3B</v>
      </c>
      <c r="QV192" s="12" t="str">
        <f>CONCATENATE($T192,"-AI",REPLACE($X192,1,3,""),"-",AA192)</f>
        <v>F0-AI20-3A</v>
      </c>
      <c r="QW192" s="12" t="str">
        <f>CONCATENATE($T192,"-AI",REPLACE($X192,1,3,""),"-",PY192)</f>
        <v>F0-AI20-5B</v>
      </c>
      <c r="QX192" s="12" t="str">
        <f>CONCATENATE($T192,"-AI",REPLACE($X192,1,3,""),"-",PZ192)</f>
        <v>F0-AI20-5A</v>
      </c>
      <c r="QY192" s="12" t="str">
        <f t="shared" ref="QY192:RF192" si="210">CONCATENATE($T192,"-AI",REPLACE($X192,1,3,""),"-",QA192)</f>
        <v>F0-AI20-7B</v>
      </c>
      <c r="QZ192" s="12" t="str">
        <f t="shared" si="210"/>
        <v>F0-AI20-7A</v>
      </c>
      <c r="RA192" s="12" t="str">
        <f t="shared" si="210"/>
        <v>F0-AI20-9B</v>
      </c>
      <c r="RB192" s="12" t="str">
        <f t="shared" si="210"/>
        <v>F0-AI20-9A</v>
      </c>
      <c r="RC192" s="12" t="str">
        <f t="shared" si="210"/>
        <v>F0-AI20-11B</v>
      </c>
      <c r="RD192" s="12" t="str">
        <f t="shared" si="210"/>
        <v>F0-AI20-11A</v>
      </c>
      <c r="RE192" s="12" t="str">
        <f t="shared" si="210"/>
        <v>F0-AI20-13B</v>
      </c>
      <c r="RF192" s="12" t="str">
        <f t="shared" si="210"/>
        <v>F0-AI20-13A</v>
      </c>
      <c r="RG192" s="12" t="str">
        <f t="shared" ref="RG192:RR192" si="211">CONCATENATE($T192,"-AI",REPLACE($PX192,1,3,""),"-",QI192)</f>
        <v>F0-AI21-1B</v>
      </c>
      <c r="RH192" s="12" t="str">
        <f t="shared" si="211"/>
        <v>F0-AI21-1A</v>
      </c>
      <c r="RI192" s="12" t="str">
        <f t="shared" si="211"/>
        <v>F0-AI21-3B</v>
      </c>
      <c r="RJ192" s="12" t="str">
        <f t="shared" si="211"/>
        <v>F0-AI21-3A</v>
      </c>
      <c r="RK192" s="12" t="str">
        <f t="shared" si="211"/>
        <v>F0-AI21-5B</v>
      </c>
      <c r="RL192" s="12" t="str">
        <f t="shared" si="211"/>
        <v>F0-AI21-5A</v>
      </c>
      <c r="RM192" s="12" t="str">
        <f t="shared" si="211"/>
        <v>F0-AI21-7B</v>
      </c>
      <c r="RN192" s="12" t="str">
        <f t="shared" si="211"/>
        <v>F0-AI21-7A</v>
      </c>
      <c r="RO192" s="12" t="str">
        <f t="shared" si="211"/>
        <v>F0-AI21-9B</v>
      </c>
      <c r="RP192" s="12" t="str">
        <f t="shared" si="211"/>
        <v>F0-AI21-9A</v>
      </c>
      <c r="RQ192" s="12" t="str">
        <f t="shared" si="211"/>
        <v>F0-AI21-11B</v>
      </c>
      <c r="RR192" s="12" t="str">
        <f t="shared" si="211"/>
        <v>F0-AI21-11A</v>
      </c>
      <c r="RS192" s="12" t="str">
        <f t="shared" ref="RS192" si="212">CONCATENATE("XT",$U192)</f>
        <v>XT60</v>
      </c>
      <c r="RT192" s="12">
        <v>22</v>
      </c>
      <c r="RU192" s="12">
        <v>23</v>
      </c>
      <c r="RV192" s="12">
        <v>24</v>
      </c>
      <c r="RW192" s="12">
        <v>25</v>
      </c>
      <c r="RX192" s="12">
        <v>26</v>
      </c>
      <c r="RY192" s="12">
        <v>27</v>
      </c>
      <c r="RZ192" s="12">
        <v>28</v>
      </c>
      <c r="SA192" s="12">
        <v>29</v>
      </c>
      <c r="SB192" s="12">
        <v>30</v>
      </c>
      <c r="SC192" s="12">
        <v>31</v>
      </c>
      <c r="SD192" s="12">
        <v>32</v>
      </c>
      <c r="SE192" s="12">
        <v>33</v>
      </c>
      <c r="SF192" s="12">
        <v>34</v>
      </c>
      <c r="SG192" s="12">
        <v>35</v>
      </c>
      <c r="SH192" s="12">
        <v>36</v>
      </c>
      <c r="SI192" s="12">
        <v>37</v>
      </c>
      <c r="SJ192" s="12">
        <v>38</v>
      </c>
      <c r="SK192" s="12">
        <v>39</v>
      </c>
      <c r="SL192" s="12">
        <v>40</v>
      </c>
      <c r="SM192" s="12">
        <v>41</v>
      </c>
      <c r="SN192" s="12">
        <v>42</v>
      </c>
      <c r="SO192" s="12">
        <v>43</v>
      </c>
      <c r="SP192" s="12">
        <v>44</v>
      </c>
      <c r="SQ192" s="12">
        <v>45</v>
      </c>
      <c r="SR192" s="12">
        <v>46</v>
      </c>
      <c r="SS192" s="12" t="s">
        <v>1154</v>
      </c>
      <c r="ST192" s="12" t="s">
        <v>1155</v>
      </c>
      <c r="SU192" s="12" t="s">
        <v>1156</v>
      </c>
      <c r="SV192" s="12" t="s">
        <v>1157</v>
      </c>
      <c r="SW192" s="12" t="s">
        <v>1158</v>
      </c>
      <c r="SX192" s="12" t="s">
        <v>1159</v>
      </c>
      <c r="SY192" s="12" t="s">
        <v>1160</v>
      </c>
      <c r="SZ192" s="12" t="s">
        <v>1161</v>
      </c>
      <c r="TA192" s="12" t="s">
        <v>1162</v>
      </c>
      <c r="TB192" s="12" t="s">
        <v>1163</v>
      </c>
      <c r="TC192" s="12" t="s">
        <v>1164</v>
      </c>
      <c r="TD192" s="12" t="s">
        <v>1165</v>
      </c>
      <c r="TE192" s="12" t="s">
        <v>1059</v>
      </c>
      <c r="TF192" s="12" t="s">
        <v>1128</v>
      </c>
      <c r="TG192" s="12" t="s">
        <v>1129</v>
      </c>
      <c r="TH192" s="12" t="s">
        <v>1130</v>
      </c>
      <c r="TI192" s="12" t="s">
        <v>1132</v>
      </c>
      <c r="TJ192" s="12" t="s">
        <v>1131</v>
      </c>
      <c r="TK192" s="12" t="s">
        <v>1133</v>
      </c>
      <c r="TL192" s="12" t="s">
        <v>1134</v>
      </c>
      <c r="TM192" s="12" t="s">
        <v>1135</v>
      </c>
      <c r="TN192" s="12" t="s">
        <v>1136</v>
      </c>
      <c r="TO192" s="12" t="s">
        <v>1137</v>
      </c>
      <c r="TP192" s="13" t="s">
        <v>1138</v>
      </c>
    </row>
    <row r="193" spans="1:536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1644</v>
      </c>
      <c r="X193" t="s">
        <v>1359</v>
      </c>
      <c r="Y193" s="43" t="str" cm="1">
        <f t="array" ref="Y193">IF(COUNTIFS($X$2:$X193,$X193)=1,"1",VALUE(SUBSTITUTE(INDEX(Y:Y,_xlfn.XMATCH($X193,$X$1:$X192,0,-1)),"A",""))+INDEX(Z:Z,_xlfn.XMATCH($X193,$X$1:$X192,0,-1))+1)</f>
        <v>1</v>
      </c>
      <c r="Z193" s="46" cm="1">
        <f t="array" ref="Z193">SUM(IF(ISNUMBER(FIND("TmAi",$BE$1:$AAD$1)),IF(IFERROR(ISODD(SUBSTITUTE($BE193:$AAD193,"A","")),FALSE),IF(ISODD(SUBSTITUTE($BE193:$AAD193,"A","")),1,0),0)))</f>
        <v>1</v>
      </c>
      <c r="AA193" t="str">
        <f t="shared" si="192"/>
        <v>1A</v>
      </c>
      <c r="AB193" t="str">
        <f t="shared" si="193"/>
        <v>1B</v>
      </c>
      <c r="AP193" t="s">
        <v>137</v>
      </c>
      <c r="AR193" t="s">
        <v>1207</v>
      </c>
      <c r="AS193" t="s">
        <v>396</v>
      </c>
      <c r="OE193" s="25" t="str">
        <f>CONCATENATE("XT",$U193)</f>
        <v>XT61</v>
      </c>
      <c r="OF193" s="12" t="s">
        <v>1187</v>
      </c>
      <c r="OG193" s="12" t="s">
        <v>1323</v>
      </c>
      <c r="OH193" s="12"/>
      <c r="OI193" s="12"/>
      <c r="OJ193" s="12" t="str">
        <f>CONCATENATE(REPLACE($AA193,LEN($AA193),1,"")+1,RIGHT($AA193))</f>
        <v>2A</v>
      </c>
      <c r="OK193" s="12" t="str">
        <f>CONCATENATE(REPLACE($AB193,LEN($AB193),1,"")+1,RIGHT($AB193))</f>
        <v>2B</v>
      </c>
      <c r="OL193" s="12" t="str">
        <f>CONCATENATE(REPLACE(OJ193,LEN(OJ193),1,"")+1,RIGHT(OJ193))</f>
        <v>3A</v>
      </c>
      <c r="OM193" s="12" t="str">
        <f t="shared" ref="OM193:OS195" si="213">CONCATENATE(REPLACE(OK193,LEN(OK193),1,"")+1,RIGHT(OK193))</f>
        <v>3B</v>
      </c>
      <c r="ON193" s="12" t="str">
        <f t="shared" si="213"/>
        <v>4A</v>
      </c>
      <c r="OO193" s="12" t="str">
        <f t="shared" si="213"/>
        <v>4B</v>
      </c>
      <c r="OP193" s="12"/>
      <c r="OQ193" s="12"/>
      <c r="OR193" s="12"/>
      <c r="OS193" s="12"/>
      <c r="OT193" s="12" t="str">
        <f>CONCATENATE($T193,"-AI",REPLACE($X193,1,3,""),"-",$AA193)</f>
        <v>F0-AI37-1A</v>
      </c>
      <c r="OU193" s="12" t="str">
        <f>CONCATENATE($T193,"-AI",REPLACE($X193,1,3,""),"-",$AB193)</f>
        <v>F0-AI37-1B</v>
      </c>
      <c r="OV193" s="12" t="str">
        <f t="shared" ref="OV193:PE195" si="214">CONCATENATE($T193,"-AI",REPLACE($X193,1,3,""),"-",OJ193)</f>
        <v>F0-AI37-2A</v>
      </c>
      <c r="OW193" s="12" t="str">
        <f t="shared" si="214"/>
        <v>F0-AI37-2B</v>
      </c>
      <c r="OX193" s="12" t="str">
        <f t="shared" si="214"/>
        <v>F0-AI37-3A</v>
      </c>
      <c r="OY193" s="12" t="str">
        <f t="shared" si="214"/>
        <v>F0-AI37-3B</v>
      </c>
      <c r="OZ193" s="12" t="str">
        <f t="shared" si="214"/>
        <v>F0-AI37-4A</v>
      </c>
      <c r="PA193" s="12" t="str">
        <f t="shared" si="214"/>
        <v>F0-AI37-4B</v>
      </c>
      <c r="PB193" s="12"/>
      <c r="PC193" s="12"/>
      <c r="PD193" s="12"/>
      <c r="PE193" s="12"/>
      <c r="PF193" s="12" cm="1">
        <f t="array" ref="PF193">IF(COUNTIFS($U$2:$U193,$U193)=1,1,INDEX(PF:PF,_xlfn.XMATCH($U193,$U$1:EF192,0,-1))+COUNT(PF192:PK192))</f>
        <v>1</v>
      </c>
      <c r="PG193" s="12">
        <f t="shared" ref="PG193:PI195" si="215">PF193+1</f>
        <v>2</v>
      </c>
      <c r="PH193" s="12">
        <f t="shared" si="215"/>
        <v>3</v>
      </c>
      <c r="PI193" s="12">
        <f>PH193+1</f>
        <v>4</v>
      </c>
      <c r="PJ193" s="12">
        <f t="shared" ref="PJ193:PN195" si="216">PI193+1</f>
        <v>5</v>
      </c>
      <c r="PK193" s="12">
        <f t="shared" si="216"/>
        <v>6</v>
      </c>
      <c r="PL193" s="12"/>
      <c r="PM193" s="12"/>
      <c r="PN193" s="12"/>
      <c r="PO193" s="12">
        <v>1</v>
      </c>
      <c r="PP193" s="12">
        <v>2</v>
      </c>
      <c r="PQ193" s="12">
        <v>3</v>
      </c>
      <c r="PR193" s="12">
        <v>4</v>
      </c>
      <c r="PS193" s="12">
        <v>5</v>
      </c>
      <c r="PT193" s="13">
        <v>6</v>
      </c>
    </row>
    <row r="194" spans="1:536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1645</v>
      </c>
      <c r="X194" t="str">
        <f>IF(COUNTIF(X$1:X193,X193)&gt;7,REPLACE(X193,LEN(X193),1,VALUE(RIGHT(X193,1))+1),X193)</f>
        <v>A3.37</v>
      </c>
      <c r="Y194" s="43" cm="1">
        <f t="array" ref="Y194">IF(COUNTIFS($X$2:$X194,$X194)=1,"1",VALUE(SUBSTITUTE(INDEX(Y:Y,_xlfn.XMATCH($X194,$X$1:$X193,0,-1)),"A",""))+INDEX(Z:Z,_xlfn.XMATCH($X194,$X$1:$X193,0,-1))+1)</f>
        <v>3</v>
      </c>
      <c r="Z194" s="46" cm="1">
        <f t="array" ref="Z194">SUM(IF(ISNUMBER(FIND("TmAi",$BE$1:$AAD$1)),IF(IFERROR(ISODD(SUBSTITUTE($BE194:$AAD194,"A","")),FALSE),IF(ISODD(SUBSTITUTE($BE194:$AAD194,"A","")),1,0),0)))</f>
        <v>1</v>
      </c>
      <c r="AA194" t="str">
        <f t="shared" si="192"/>
        <v>5A</v>
      </c>
      <c r="AB194" t="str">
        <f t="shared" si="193"/>
        <v>5B</v>
      </c>
      <c r="AP194" t="s">
        <v>137</v>
      </c>
      <c r="AR194" t="s">
        <v>1207</v>
      </c>
      <c r="AS194" t="s">
        <v>396</v>
      </c>
      <c r="OE194" s="27" t="str">
        <f t="shared" ref="OE194:OE195" si="217">CONCATENATE("XT",$U194)</f>
        <v>XT61</v>
      </c>
      <c r="OF194" t="s">
        <v>1189</v>
      </c>
      <c r="OG194" t="s">
        <v>1324</v>
      </c>
      <c r="OJ194" t="str">
        <f t="shared" ref="OJ194:OJ195" si="218">CONCATENATE(REPLACE($AA194,LEN($AA194),1,"")+1,RIGHT($AA194))</f>
        <v>6A</v>
      </c>
      <c r="OK194" t="str">
        <f t="shared" ref="OK194:OK195" si="219">CONCATENATE(REPLACE($AB194,LEN($AB194),1,"")+1,RIGHT($AB194))</f>
        <v>6B</v>
      </c>
      <c r="OL194" t="str">
        <f t="shared" ref="OL194:OL195" si="220">CONCATENATE(REPLACE(OJ194,LEN(OJ194),1,"")+1,RIGHT(OJ194))</f>
        <v>7A</v>
      </c>
      <c r="OM194" t="str">
        <f t="shared" si="213"/>
        <v>7B</v>
      </c>
      <c r="ON194" t="str">
        <f t="shared" si="213"/>
        <v>8A</v>
      </c>
      <c r="OO194" t="str">
        <f t="shared" si="213"/>
        <v>8B</v>
      </c>
      <c r="OT194" t="str">
        <f>CONCATENATE($T194,"-AI",REPLACE($X194,1,3,""),"-",$AA194)</f>
        <v>F0-AI37-5A</v>
      </c>
      <c r="OU194" t="str">
        <f>CONCATENATE($T194,"-AI",REPLACE($X194,1,3,""),"-",$AB194)</f>
        <v>F0-AI37-5B</v>
      </c>
      <c r="OV194" t="str">
        <f t="shared" si="214"/>
        <v>F0-AI37-6A</v>
      </c>
      <c r="OW194" t="str">
        <f t="shared" si="214"/>
        <v>F0-AI37-6B</v>
      </c>
      <c r="OX194" t="str">
        <f t="shared" si="214"/>
        <v>F0-AI37-7A</v>
      </c>
      <c r="OY194" t="str">
        <f t="shared" si="214"/>
        <v>F0-AI37-7B</v>
      </c>
      <c r="OZ194" t="str">
        <f t="shared" si="214"/>
        <v>F0-AI37-8A</v>
      </c>
      <c r="PA194" t="str">
        <f t="shared" si="214"/>
        <v>F0-AI37-8B</v>
      </c>
      <c r="PF194" cm="1">
        <f t="array" ref="PF194">IF(COUNTIFS($U$2:$U194,$U194)=1,1,INDEX(PF:PF,_xlfn.XMATCH($U194,$U$1:$U193,0,-1))+COUNT(PF193:PK193))</f>
        <v>7</v>
      </c>
      <c r="PG194">
        <f t="shared" si="215"/>
        <v>8</v>
      </c>
      <c r="PH194">
        <f t="shared" si="215"/>
        <v>9</v>
      </c>
      <c r="PI194">
        <f t="shared" si="215"/>
        <v>10</v>
      </c>
      <c r="PJ194">
        <f t="shared" si="216"/>
        <v>11</v>
      </c>
      <c r="PK194">
        <f t="shared" si="216"/>
        <v>12</v>
      </c>
      <c r="PO194">
        <v>7</v>
      </c>
      <c r="PP194">
        <v>8</v>
      </c>
      <c r="PQ194">
        <v>9</v>
      </c>
      <c r="PR194">
        <v>10</v>
      </c>
      <c r="PS194">
        <v>11</v>
      </c>
      <c r="PT194" s="16">
        <v>12</v>
      </c>
    </row>
    <row r="195" spans="1:536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1646</v>
      </c>
      <c r="X195" s="33" t="str">
        <f>IF(COUNTIF(X$1:X194,X194)&gt;7,REPLACE(X194,LEN(X194),1,VALUE(RIGHT(X194,1))+1),X194)</f>
        <v>A3.37</v>
      </c>
      <c r="Y195" s="45" cm="1">
        <f t="array" ref="Y195">IF(COUNTIFS($X$2:$X195,$X195)=1,"1",VALUE(SUBSTITUTE(INDEX(Y:Y,_xlfn.XMATCH($X195,$X$1:$X194,0,-1)),"A",""))+INDEX(Z:Z,_xlfn.XMATCH($X195,$X$1:$X194,0,-1))+1)</f>
        <v>5</v>
      </c>
      <c r="Z195" s="46" cm="1">
        <f t="array" ref="Z195">SUM(IF(ISNUMBER(FIND("TmAi",$BE$1:$AAD$1)),IF(IFERROR(ISODD(SUBSTITUTE($BE195:$AAD195,"A","")),FALSE),IF(ISODD(SUBSTITUTE($BE195:$AAD195,"A","")),1,0),0)))</f>
        <v>2</v>
      </c>
      <c r="AA195" t="str">
        <f t="shared" si="192"/>
        <v>9A</v>
      </c>
      <c r="AB195" t="str">
        <f t="shared" si="193"/>
        <v>9B</v>
      </c>
      <c r="AP195" t="s">
        <v>137</v>
      </c>
      <c r="AR195" t="s">
        <v>1210</v>
      </c>
      <c r="AS195" t="s">
        <v>396</v>
      </c>
      <c r="OE195" s="27" t="str">
        <f t="shared" si="217"/>
        <v>XT61</v>
      </c>
      <c r="OF195" t="s">
        <v>1191</v>
      </c>
      <c r="OG195" t="s">
        <v>1325</v>
      </c>
      <c r="OH195" t="s">
        <v>1321</v>
      </c>
      <c r="OI195" t="s">
        <v>1326</v>
      </c>
      <c r="OJ195" t="str">
        <f t="shared" si="218"/>
        <v>10A</v>
      </c>
      <c r="OK195" t="str">
        <f t="shared" si="219"/>
        <v>10B</v>
      </c>
      <c r="OL195" t="str">
        <f t="shared" si="220"/>
        <v>11A</v>
      </c>
      <c r="OM195" t="str">
        <f t="shared" si="213"/>
        <v>11B</v>
      </c>
      <c r="ON195" t="str">
        <f t="shared" si="213"/>
        <v>12A</v>
      </c>
      <c r="OO195" t="str">
        <f t="shared" si="213"/>
        <v>12B</v>
      </c>
      <c r="OP195" t="str">
        <f t="shared" si="213"/>
        <v>13A</v>
      </c>
      <c r="OQ195" t="str">
        <f t="shared" si="213"/>
        <v>13B</v>
      </c>
      <c r="OR195" t="str">
        <f t="shared" si="213"/>
        <v>14A</v>
      </c>
      <c r="OS195" t="str">
        <f t="shared" si="213"/>
        <v>14B</v>
      </c>
      <c r="OT195" t="str">
        <f>CONCATENATE($T195,"-AI",REPLACE($X195,1,3,""),"-",$AA195)</f>
        <v>F0-AI37-9A</v>
      </c>
      <c r="OU195" t="str">
        <f>CONCATENATE($T195,"-AI",REPLACE($X195,1,3,""),"-",$AB195)</f>
        <v>F0-AI37-9B</v>
      </c>
      <c r="OV195" t="str">
        <f t="shared" si="214"/>
        <v>F0-AI37-10A</v>
      </c>
      <c r="OW195" t="str">
        <f t="shared" si="214"/>
        <v>F0-AI37-10B</v>
      </c>
      <c r="OX195" t="str">
        <f t="shared" si="214"/>
        <v>F0-AI37-11A</v>
      </c>
      <c r="OY195" t="str">
        <f t="shared" si="214"/>
        <v>F0-AI37-11B</v>
      </c>
      <c r="OZ195" t="str">
        <f t="shared" si="214"/>
        <v>F0-AI37-12A</v>
      </c>
      <c r="PA195" t="str">
        <f t="shared" si="214"/>
        <v>F0-AI37-12B</v>
      </c>
      <c r="PB195" t="str">
        <f t="shared" si="214"/>
        <v>F0-AI37-13A</v>
      </c>
      <c r="PC195" t="str">
        <f t="shared" si="214"/>
        <v>F0-AI37-13B</v>
      </c>
      <c r="PD195" t="str">
        <f t="shared" si="214"/>
        <v>F0-AI37-14A</v>
      </c>
      <c r="PE195" t="str">
        <f t="shared" si="214"/>
        <v>F0-AI37-14B</v>
      </c>
      <c r="PF195" cm="1">
        <f t="array" ref="PF195">IF(COUNTIFS($U$2:$U195,$U195)=1,1,INDEX(PF:PF,_xlfn.XMATCH($U195,$U$1:$U194,0,-1))+COUNT(PF194:PK194))</f>
        <v>13</v>
      </c>
      <c r="PG195">
        <f t="shared" si="215"/>
        <v>14</v>
      </c>
      <c r="PH195">
        <f t="shared" si="215"/>
        <v>15</v>
      </c>
      <c r="PI195">
        <f t="shared" si="215"/>
        <v>16</v>
      </c>
      <c r="PJ195">
        <f t="shared" si="216"/>
        <v>17</v>
      </c>
      <c r="PK195">
        <f t="shared" si="216"/>
        <v>18</v>
      </c>
      <c r="PL195">
        <f t="shared" si="216"/>
        <v>19</v>
      </c>
      <c r="PM195">
        <f t="shared" si="216"/>
        <v>20</v>
      </c>
      <c r="PN195">
        <f t="shared" si="216"/>
        <v>21</v>
      </c>
      <c r="PO195">
        <v>1</v>
      </c>
      <c r="PP195">
        <v>2</v>
      </c>
      <c r="PQ195">
        <v>3</v>
      </c>
      <c r="PR195">
        <v>4</v>
      </c>
      <c r="PS195">
        <v>5</v>
      </c>
      <c r="PT195">
        <v>6</v>
      </c>
      <c r="PU195" s="23">
        <v>7</v>
      </c>
      <c r="PV195" s="23">
        <v>8</v>
      </c>
      <c r="PW195" s="24">
        <v>9</v>
      </c>
    </row>
    <row r="196" spans="1:536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1647</v>
      </c>
      <c r="X196" t="s">
        <v>1214</v>
      </c>
      <c r="Y196" s="43" t="str" cm="1">
        <f t="array" ref="Y196">IF(COUNTIFS($X$2:$X196,$X196)=1,"1",VALUE(SUBSTITUTE(INDEX(Y:Y,_xlfn.XMATCH($X196,$X$1:$X195,0,-1)),"A",""))+INDEX(Z:Z,_xlfn.XMATCH($X196,$X$1:$X195,0,-1))+1)</f>
        <v>1</v>
      </c>
      <c r="Z196" s="46" cm="1">
        <f t="array" ref="Z196">SUM(IF(ISNUMBER(FIND("TmAi",$BE$1:$AAD$1)),IF(IFERROR(ISODD(SUBSTITUTE($BE196:$AAD196,"A","")),FALSE),IF(ISODD(SUBSTITUTE($BE196:$AAD196,"A","")),1,0),0)))</f>
        <v>0</v>
      </c>
      <c r="AA196" t="str">
        <f t="shared" ref="AA196" si="221">CONCATENATE($Y196*2-1,"B")</f>
        <v>1B</v>
      </c>
      <c r="AB196" t="str">
        <f t="shared" ref="AB196" si="222">CONCATENATE($Y196*2,"B")</f>
        <v>2B</v>
      </c>
      <c r="AP196" t="s">
        <v>137</v>
      </c>
      <c r="AQ196" t="s">
        <v>1142</v>
      </c>
      <c r="AS196" t="s">
        <v>396</v>
      </c>
      <c r="JZ196" s="27" t="str">
        <f>CONCATENATE("XT",U196)</f>
        <v>XT61</v>
      </c>
      <c r="KC196" t="str">
        <f>CONCATENATE(T196,"-AI",REPLACE($X196,1,3,""),"-",AA196)</f>
        <v>F0-AI22-1B</v>
      </c>
      <c r="KD196" t="str">
        <f>CONCATENATE(T196,"-AI",REPLACE($X196,1,3,""),"-",AB196)</f>
        <v>F0-AI22-2B</v>
      </c>
      <c r="KI196">
        <v>22</v>
      </c>
      <c r="KJ196">
        <f t="shared" ref="KJ196:KK196" si="223">KI196+1</f>
        <v>23</v>
      </c>
      <c r="KK196">
        <f t="shared" si="223"/>
        <v>24</v>
      </c>
      <c r="KN196" t="s">
        <v>548</v>
      </c>
      <c r="KO196" s="16" t="s">
        <v>548</v>
      </c>
      <c r="KS196" s="16"/>
      <c r="OE196" s="27"/>
      <c r="PT196" s="16"/>
    </row>
    <row r="197" spans="1:536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1648</v>
      </c>
      <c r="X197" s="33" t="str">
        <f>IF(COUNTIF(X$1:X196,X196)&gt;3,REPLACE(X196,LEN(X196),1,VALUE(RIGHT(X196,1))+1),X196)</f>
        <v>A3.22</v>
      </c>
      <c r="Y197" s="45" cm="1">
        <f t="array" ref="Y197">IF(COUNTIFS($X$2:$X197,$X197)=1,"1",VALUE(SUBSTITUTE(INDEX(Y:Y,_xlfn.XMATCH($X197,$X$1:$X196,0,-1)),"A",""))+INDEX(Z:Z,_xlfn.XMATCH($X197,$X$1:$X196,0,-1))+1)</f>
        <v>2</v>
      </c>
      <c r="Z197" s="46" cm="1">
        <f t="array" ref="Z197">SUM(IF(ISNUMBER(FIND("TmAi",$BE$1:$AAD$1)),IF(IFERROR(ISODD(SUBSTITUTE($BE197:$AAD197,"A","")),FALSE),IF(ISODD(SUBSTITUTE($BE197:$AAD197,"A","")),1,0),0)))</f>
        <v>11</v>
      </c>
      <c r="AA197" t="str">
        <f t="shared" ref="AA197:AA200" si="224">CONCATENATE($Y197*2-1,"A")</f>
        <v>3A</v>
      </c>
      <c r="AB197" t="str">
        <f t="shared" ref="AB197:AB200" si="225">CONCATENATE($Y197*2-1,"B")</f>
        <v>3B</v>
      </c>
      <c r="AP197" t="s">
        <v>137</v>
      </c>
      <c r="AR197" t="s">
        <v>1213</v>
      </c>
      <c r="AS197" t="s">
        <v>396</v>
      </c>
      <c r="JZ197" s="27"/>
      <c r="KI197" cm="1">
        <f t="array" ref="KI197">IF(COUNTIFS($U$2:$U197,$U197)=1,1,INDEX(KI:KI,_xlfn.XMATCH(U197,U$1:U196,0,-1))+COUNT(KI196:KM196))</f>
        <v>25</v>
      </c>
      <c r="KO197" s="16"/>
      <c r="KS197" s="16"/>
      <c r="PX197" s="25" t="str">
        <f>REPLACE(X197,FIND(".",X197)+1,3,MID(X197,FIND(".",X197)+1,3)+1)</f>
        <v>A3.23</v>
      </c>
      <c r="PY197" s="12" t="str">
        <f>CONCATENATE(VALUE(SUBSTITUTE($AB197,"B",""))+2,"B")</f>
        <v>5B</v>
      </c>
      <c r="PZ197" s="12" t="str">
        <f>CONCATENATE(VALUE(SUBSTITUTE($AA197,"A",""))+2,"A")</f>
        <v>5A</v>
      </c>
      <c r="QA197" s="12" t="str">
        <f>CONCATENATE(VALUE(SUBSTITUTE(PY197,"B",""))+2,"B")</f>
        <v>7B</v>
      </c>
      <c r="QB197" s="12" t="str">
        <f>CONCATENATE(VALUE(SUBSTITUTE(PZ197,"A",""))+2,"A")</f>
        <v>7A</v>
      </c>
      <c r="QC197" s="12" t="str">
        <f t="shared" ref="QC197" si="226">CONCATENATE(VALUE(SUBSTITUTE(QA197,"B",""))+2,"B")</f>
        <v>9B</v>
      </c>
      <c r="QD197" s="12" t="str">
        <f t="shared" ref="QD197" si="227">CONCATENATE(VALUE(SUBSTITUTE(QB197,"A",""))+2,"A")</f>
        <v>9A</v>
      </c>
      <c r="QE197" s="12" t="str">
        <f t="shared" ref="QE197" si="228">CONCATENATE(VALUE(SUBSTITUTE(QC197,"B",""))+2,"B")</f>
        <v>11B</v>
      </c>
      <c r="QF197" s="12" t="str">
        <f t="shared" ref="QF197" si="229">CONCATENATE(VALUE(SUBSTITUTE(QD197,"A",""))+2,"A")</f>
        <v>11A</v>
      </c>
      <c r="QG197" s="12" t="str">
        <f t="shared" ref="QG197" si="230">CONCATENATE(VALUE(SUBSTITUTE(QE197,"B",""))+2,"B")</f>
        <v>13B</v>
      </c>
      <c r="QH197" s="12" t="str">
        <f t="shared" ref="QH197" si="231">CONCATENATE(VALUE(SUBSTITUTE(QF197,"A",""))+2,"A")</f>
        <v>13A</v>
      </c>
      <c r="QI197" s="12" t="s">
        <v>135</v>
      </c>
      <c r="QJ197" s="12" t="s">
        <v>136</v>
      </c>
      <c r="QK197" s="12" t="str">
        <f t="shared" ref="QK197" si="232">CONCATENATE(VALUE(SUBSTITUTE(QI197,"B",""))+2,"B")</f>
        <v>3B</v>
      </c>
      <c r="QL197" s="12" t="str">
        <f t="shared" ref="QL197" si="233">CONCATENATE(VALUE(SUBSTITUTE(QJ197,"A",""))+2,"A")</f>
        <v>3A</v>
      </c>
      <c r="QM197" s="12" t="str">
        <f t="shared" ref="QM197" si="234">CONCATENATE(VALUE(SUBSTITUTE(QK197,"B",""))+2,"B")</f>
        <v>5B</v>
      </c>
      <c r="QN197" s="12" t="str">
        <f t="shared" ref="QN197" si="235">CONCATENATE(VALUE(SUBSTITUTE(QL197,"A",""))+2,"A")</f>
        <v>5A</v>
      </c>
      <c r="QO197" s="12" t="str">
        <f t="shared" ref="QO197" si="236">CONCATENATE(VALUE(SUBSTITUTE(QM197,"B",""))+2,"B")</f>
        <v>7B</v>
      </c>
      <c r="QP197" s="12" t="str">
        <f t="shared" ref="QP197" si="237">CONCATENATE(VALUE(SUBSTITUTE(QN197,"A",""))+2,"A")</f>
        <v>7A</v>
      </c>
      <c r="QQ197" s="12" t="str">
        <f t="shared" ref="QQ197" si="238">CONCATENATE(VALUE(SUBSTITUTE(QO197,"B",""))+2,"B")</f>
        <v>9B</v>
      </c>
      <c r="QR197" s="12" t="str">
        <f t="shared" ref="QR197" si="239">CONCATENATE(VALUE(SUBSTITUTE(QP197,"A",""))+2,"A")</f>
        <v>9A</v>
      </c>
      <c r="QS197" s="12" t="str">
        <f t="shared" ref="QS197" si="240">CONCATENATE(VALUE(SUBSTITUTE(QQ197,"B",""))+2,"B")</f>
        <v>11B</v>
      </c>
      <c r="QT197" s="12" t="str">
        <f t="shared" ref="QT197" si="241">CONCATENATE(VALUE(SUBSTITUTE(QR197,"A",""))+2,"A")</f>
        <v>11A</v>
      </c>
      <c r="QU197" s="12" t="str">
        <f>CONCATENATE($T197,"-AI",REPLACE($X197,1,3,""),"-",AB197)</f>
        <v>F0-AI22-3B</v>
      </c>
      <c r="QV197" s="12" t="str">
        <f>CONCATENATE($T197,"-AI",REPLACE($X197,1,3,""),"-",AA197)</f>
        <v>F0-AI22-3A</v>
      </c>
      <c r="QW197" s="12" t="str">
        <f>CONCATENATE($T197,"-AI",REPLACE($X197,1,3,""),"-",PY197)</f>
        <v>F0-AI22-5B</v>
      </c>
      <c r="QX197" s="12" t="str">
        <f>CONCATENATE($T197,"-AI",REPLACE($X197,1,3,""),"-",PZ197)</f>
        <v>F0-AI22-5A</v>
      </c>
      <c r="QY197" s="12" t="str">
        <f t="shared" ref="QY197:RF197" si="242">CONCATENATE($T197,"-AI",REPLACE($X197,1,3,""),"-",QA197)</f>
        <v>F0-AI22-7B</v>
      </c>
      <c r="QZ197" s="12" t="str">
        <f t="shared" si="242"/>
        <v>F0-AI22-7A</v>
      </c>
      <c r="RA197" s="12" t="str">
        <f t="shared" si="242"/>
        <v>F0-AI22-9B</v>
      </c>
      <c r="RB197" s="12" t="str">
        <f t="shared" si="242"/>
        <v>F0-AI22-9A</v>
      </c>
      <c r="RC197" s="12" t="str">
        <f t="shared" si="242"/>
        <v>F0-AI22-11B</v>
      </c>
      <c r="RD197" s="12" t="str">
        <f t="shared" si="242"/>
        <v>F0-AI22-11A</v>
      </c>
      <c r="RE197" s="12" t="str">
        <f t="shared" si="242"/>
        <v>F0-AI22-13B</v>
      </c>
      <c r="RF197" s="12" t="str">
        <f t="shared" si="242"/>
        <v>F0-AI22-13A</v>
      </c>
      <c r="RG197" s="12" t="str">
        <f t="shared" ref="RG197:RR197" si="243">CONCATENATE($T197,"-AI",REPLACE($PX197,1,3,""),"-",QI197)</f>
        <v>F0-AI23-1B</v>
      </c>
      <c r="RH197" s="12" t="str">
        <f t="shared" si="243"/>
        <v>F0-AI23-1A</v>
      </c>
      <c r="RI197" s="12" t="str">
        <f t="shared" si="243"/>
        <v>F0-AI23-3B</v>
      </c>
      <c r="RJ197" s="12" t="str">
        <f t="shared" si="243"/>
        <v>F0-AI23-3A</v>
      </c>
      <c r="RK197" s="12" t="str">
        <f t="shared" si="243"/>
        <v>F0-AI23-5B</v>
      </c>
      <c r="RL197" s="12" t="str">
        <f t="shared" si="243"/>
        <v>F0-AI23-5A</v>
      </c>
      <c r="RM197" s="12" t="str">
        <f t="shared" si="243"/>
        <v>F0-AI23-7B</v>
      </c>
      <c r="RN197" s="12" t="str">
        <f t="shared" si="243"/>
        <v>F0-AI23-7A</v>
      </c>
      <c r="RO197" s="12" t="str">
        <f t="shared" si="243"/>
        <v>F0-AI23-9B</v>
      </c>
      <c r="RP197" s="12" t="str">
        <f t="shared" si="243"/>
        <v>F0-AI23-9A</v>
      </c>
      <c r="RQ197" s="12" t="str">
        <f t="shared" si="243"/>
        <v>F0-AI23-11B</v>
      </c>
      <c r="RR197" s="12" t="str">
        <f t="shared" si="243"/>
        <v>F0-AI23-11A</v>
      </c>
      <c r="RS197" s="12" t="str">
        <f t="shared" ref="RS197" si="244">CONCATENATE("XT",$U197)</f>
        <v>XT61</v>
      </c>
      <c r="RT197" s="12">
        <v>22</v>
      </c>
      <c r="RU197" s="12">
        <v>23</v>
      </c>
      <c r="RV197" s="12">
        <v>24</v>
      </c>
      <c r="RW197" s="12">
        <v>25</v>
      </c>
      <c r="RX197" s="12">
        <v>26</v>
      </c>
      <c r="RY197" s="12">
        <v>27</v>
      </c>
      <c r="RZ197" s="12">
        <v>28</v>
      </c>
      <c r="SA197" s="12">
        <v>29</v>
      </c>
      <c r="SB197" s="12">
        <v>30</v>
      </c>
      <c r="SC197" s="12">
        <v>31</v>
      </c>
      <c r="SD197" s="12">
        <v>32</v>
      </c>
      <c r="SE197" s="12">
        <v>33</v>
      </c>
      <c r="SF197" s="12">
        <v>34</v>
      </c>
      <c r="SG197" s="12">
        <v>35</v>
      </c>
      <c r="SH197" s="12">
        <v>36</v>
      </c>
      <c r="SI197" s="12">
        <v>37</v>
      </c>
      <c r="SJ197" s="12">
        <v>38</v>
      </c>
      <c r="SK197" s="12">
        <v>39</v>
      </c>
      <c r="SL197" s="12">
        <v>40</v>
      </c>
      <c r="SM197" s="12">
        <v>41</v>
      </c>
      <c r="SN197" s="12">
        <v>42</v>
      </c>
      <c r="SO197" s="12">
        <v>43</v>
      </c>
      <c r="SP197" s="12">
        <v>44</v>
      </c>
      <c r="SQ197" s="12">
        <v>45</v>
      </c>
      <c r="SR197" s="12">
        <v>46</v>
      </c>
      <c r="SS197" s="12" t="s">
        <v>1194</v>
      </c>
      <c r="ST197" s="12" t="s">
        <v>1195</v>
      </c>
      <c r="SU197" s="12" t="s">
        <v>1196</v>
      </c>
      <c r="SV197" s="12" t="s">
        <v>1197</v>
      </c>
      <c r="SW197" s="12" t="s">
        <v>1198</v>
      </c>
      <c r="SX197" s="12" t="s">
        <v>1199</v>
      </c>
      <c r="SY197" s="12" t="s">
        <v>1200</v>
      </c>
      <c r="SZ197" s="12" t="s">
        <v>1201</v>
      </c>
      <c r="TA197" s="12" t="s">
        <v>1202</v>
      </c>
      <c r="TB197" s="12" t="s">
        <v>1203</v>
      </c>
      <c r="TC197" s="12" t="s">
        <v>1204</v>
      </c>
      <c r="TD197" s="12" t="s">
        <v>1205</v>
      </c>
      <c r="TE197" s="12" t="s">
        <v>1059</v>
      </c>
      <c r="TF197" s="12" t="s">
        <v>1128</v>
      </c>
      <c r="TG197" s="12" t="s">
        <v>1129</v>
      </c>
      <c r="TH197" s="12" t="s">
        <v>1130</v>
      </c>
      <c r="TI197" s="12" t="s">
        <v>1132</v>
      </c>
      <c r="TJ197" s="12" t="s">
        <v>1131</v>
      </c>
      <c r="TK197" s="12" t="s">
        <v>1133</v>
      </c>
      <c r="TL197" s="12" t="s">
        <v>1134</v>
      </c>
      <c r="TM197" s="12" t="s">
        <v>1135</v>
      </c>
      <c r="TN197" s="12" t="s">
        <v>1136</v>
      </c>
      <c r="TO197" s="12" t="s">
        <v>1137</v>
      </c>
      <c r="TP197" s="13" t="s">
        <v>1138</v>
      </c>
    </row>
    <row r="198" spans="1:536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1649</v>
      </c>
      <c r="X198" t="s">
        <v>1362</v>
      </c>
      <c r="Y198" s="43" t="str" cm="1">
        <f t="array" ref="Y198">IF(COUNTIFS($X$2:$X198,$X198)=1,"1",VALUE(SUBSTITUTE(INDEX(Y:Y,_xlfn.XMATCH($X198,$X$1:$X197,0,-1)),"A",""))+INDEX(Z:Z,_xlfn.XMATCH($X198,$X$1:$X197,0,-1))+1)</f>
        <v>1</v>
      </c>
      <c r="Z198" s="46" cm="1">
        <f t="array" ref="Z198">SUM(IF(ISNUMBER(FIND("TmAi",$BE$1:$AAD$1)),IF(IFERROR(ISODD(SUBSTITUTE($BE198:$AAD198,"A","")),FALSE),IF(ISODD(SUBSTITUTE($BE198:$AAD198,"A","")),1,0),0)))</f>
        <v>1</v>
      </c>
      <c r="AA198" t="str">
        <f t="shared" si="224"/>
        <v>1A</v>
      </c>
      <c r="AB198" t="str">
        <f t="shared" si="225"/>
        <v>1B</v>
      </c>
      <c r="AP198" t="s">
        <v>137</v>
      </c>
      <c r="AR198" t="s">
        <v>1216</v>
      </c>
      <c r="AS198" t="s">
        <v>396</v>
      </c>
      <c r="OE198" s="25" t="str">
        <f>CONCATENATE("XT",$U198)</f>
        <v>XT62</v>
      </c>
      <c r="OF198" s="12" t="s">
        <v>1224</v>
      </c>
      <c r="OG198" s="12" t="s">
        <v>1327</v>
      </c>
      <c r="OH198" s="12"/>
      <c r="OI198" s="12"/>
      <c r="OJ198" s="12" t="str">
        <f>CONCATENATE(REPLACE($AA198,LEN($AA198),1,"")+1,RIGHT($AA198))</f>
        <v>2A</v>
      </c>
      <c r="OK198" s="12" t="str">
        <f>CONCATENATE(REPLACE($AB198,LEN($AB198),1,"")+1,RIGHT($AB198))</f>
        <v>2B</v>
      </c>
      <c r="OL198" s="12" t="str">
        <f>CONCATENATE(REPLACE(OJ198,LEN(OJ198),1,"")+1,RIGHT(OJ198))</f>
        <v>3A</v>
      </c>
      <c r="OM198" s="12" t="str">
        <f t="shared" ref="OM198:OS200" si="245">CONCATENATE(REPLACE(OK198,LEN(OK198),1,"")+1,RIGHT(OK198))</f>
        <v>3B</v>
      </c>
      <c r="ON198" s="12" t="str">
        <f t="shared" si="245"/>
        <v>4A</v>
      </c>
      <c r="OO198" s="12" t="str">
        <f t="shared" si="245"/>
        <v>4B</v>
      </c>
      <c r="OP198" s="12"/>
      <c r="OQ198" s="12"/>
      <c r="OR198" s="12"/>
      <c r="OS198" s="12"/>
      <c r="OT198" s="12" t="str">
        <f>CONCATENATE($T198,"-AI",REPLACE($X198,1,3,""),"-",$AA198)</f>
        <v>F0-AI38-1A</v>
      </c>
      <c r="OU198" s="12" t="str">
        <f>CONCATENATE($T198,"-AI",REPLACE($X198,1,3,""),"-",$AB198)</f>
        <v>F0-AI38-1B</v>
      </c>
      <c r="OV198" s="12" t="str">
        <f t="shared" ref="OV198:PE200" si="246">CONCATENATE($T198,"-AI",REPLACE($X198,1,3,""),"-",OJ198)</f>
        <v>F0-AI38-2A</v>
      </c>
      <c r="OW198" s="12" t="str">
        <f t="shared" si="246"/>
        <v>F0-AI38-2B</v>
      </c>
      <c r="OX198" s="12" t="str">
        <f t="shared" si="246"/>
        <v>F0-AI38-3A</v>
      </c>
      <c r="OY198" s="12" t="str">
        <f t="shared" si="246"/>
        <v>F0-AI38-3B</v>
      </c>
      <c r="OZ198" s="12" t="str">
        <f t="shared" si="246"/>
        <v>F0-AI38-4A</v>
      </c>
      <c r="PA198" s="12" t="str">
        <f t="shared" si="246"/>
        <v>F0-AI38-4B</v>
      </c>
      <c r="PB198" s="12"/>
      <c r="PC198" s="12"/>
      <c r="PD198" s="12"/>
      <c r="PE198" s="12"/>
      <c r="PF198" s="12" cm="1">
        <f t="array" ref="PF198">IF(COUNTIFS($U$2:$U198,$U198)=1,1,INDEX(PF:PF,_xlfn.XMATCH($U198,$U$1:EF197,0,-1))+COUNT(PF197:PK197))</f>
        <v>1</v>
      </c>
      <c r="PG198" s="12">
        <f t="shared" ref="PG198:PI200" si="247">PF198+1</f>
        <v>2</v>
      </c>
      <c r="PH198" s="12">
        <f t="shared" si="247"/>
        <v>3</v>
      </c>
      <c r="PI198" s="12">
        <f>PH198+1</f>
        <v>4</v>
      </c>
      <c r="PJ198" s="12">
        <f t="shared" ref="PJ198:PN200" si="248">PI198+1</f>
        <v>5</v>
      </c>
      <c r="PK198" s="12">
        <f t="shared" si="248"/>
        <v>6</v>
      </c>
      <c r="PL198" s="12"/>
      <c r="PM198" s="12"/>
      <c r="PN198" s="12"/>
      <c r="PO198" s="12">
        <v>1</v>
      </c>
      <c r="PP198" s="12">
        <v>2</v>
      </c>
      <c r="PQ198" s="12">
        <v>3</v>
      </c>
      <c r="PR198" s="12">
        <v>4</v>
      </c>
      <c r="PS198" s="12">
        <v>5</v>
      </c>
      <c r="PT198" s="13">
        <v>6</v>
      </c>
    </row>
    <row r="199" spans="1:536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1650</v>
      </c>
      <c r="X199" t="str">
        <f>IF(COUNTIF(X$1:X198,X198)&gt;7,REPLACE(X198,LEN(X198),1,VALUE(RIGHT(X198,1))+1),X198)</f>
        <v>A3.38</v>
      </c>
      <c r="Y199" s="43" cm="1">
        <f t="array" ref="Y199">IF(COUNTIFS($X$2:$X199,$X199)=1,"1",VALUE(SUBSTITUTE(INDEX(Y:Y,_xlfn.XMATCH($X199,$X$1:$X198,0,-1)),"A",""))+INDEX(Z:Z,_xlfn.XMATCH($X199,$X$1:$X198,0,-1))+1)</f>
        <v>3</v>
      </c>
      <c r="Z199" s="46" cm="1">
        <f t="array" ref="Z199">SUM(IF(ISNUMBER(FIND("TmAi",$BE$1:$AAD$1)),IF(IFERROR(ISODD(SUBSTITUTE($BE199:$AAD199,"A","")),FALSE),IF(ISODD(SUBSTITUTE($BE199:$AAD199,"A","")),1,0),0)))</f>
        <v>1</v>
      </c>
      <c r="AA199" t="str">
        <f t="shared" si="224"/>
        <v>5A</v>
      </c>
      <c r="AB199" t="str">
        <f t="shared" si="225"/>
        <v>5B</v>
      </c>
      <c r="AP199" t="s">
        <v>137</v>
      </c>
      <c r="AR199" t="s">
        <v>1216</v>
      </c>
      <c r="AS199" t="s">
        <v>396</v>
      </c>
      <c r="OE199" s="27" t="str">
        <f t="shared" ref="OE199:OE200" si="249">CONCATENATE("XT",$U199)</f>
        <v>XT62</v>
      </c>
      <c r="OF199" t="s">
        <v>1226</v>
      </c>
      <c r="OG199" t="s">
        <v>1328</v>
      </c>
      <c r="OJ199" t="str">
        <f t="shared" ref="OJ199:OJ200" si="250">CONCATENATE(REPLACE($AA199,LEN($AA199),1,"")+1,RIGHT($AA199))</f>
        <v>6A</v>
      </c>
      <c r="OK199" t="str">
        <f t="shared" ref="OK199:OK200" si="251">CONCATENATE(REPLACE($AB199,LEN($AB199),1,"")+1,RIGHT($AB199))</f>
        <v>6B</v>
      </c>
      <c r="OL199" t="str">
        <f t="shared" ref="OL199:OL200" si="252">CONCATENATE(REPLACE(OJ199,LEN(OJ199),1,"")+1,RIGHT(OJ199))</f>
        <v>7A</v>
      </c>
      <c r="OM199" t="str">
        <f t="shared" si="245"/>
        <v>7B</v>
      </c>
      <c r="ON199" t="str">
        <f t="shared" si="245"/>
        <v>8A</v>
      </c>
      <c r="OO199" t="str">
        <f t="shared" si="245"/>
        <v>8B</v>
      </c>
      <c r="OT199" t="str">
        <f>CONCATENATE($T199,"-AI",REPLACE($X199,1,3,""),"-",$AA199)</f>
        <v>F0-AI38-5A</v>
      </c>
      <c r="OU199" t="str">
        <f>CONCATENATE($T199,"-AI",REPLACE($X199,1,3,""),"-",$AB199)</f>
        <v>F0-AI38-5B</v>
      </c>
      <c r="OV199" t="str">
        <f t="shared" si="246"/>
        <v>F0-AI38-6A</v>
      </c>
      <c r="OW199" t="str">
        <f t="shared" si="246"/>
        <v>F0-AI38-6B</v>
      </c>
      <c r="OX199" t="str">
        <f t="shared" si="246"/>
        <v>F0-AI38-7A</v>
      </c>
      <c r="OY199" t="str">
        <f t="shared" si="246"/>
        <v>F0-AI38-7B</v>
      </c>
      <c r="OZ199" t="str">
        <f t="shared" si="246"/>
        <v>F0-AI38-8A</v>
      </c>
      <c r="PA199" t="str">
        <f t="shared" si="246"/>
        <v>F0-AI38-8B</v>
      </c>
      <c r="PF199" cm="1">
        <f t="array" ref="PF199">IF(COUNTIFS($U$2:$U199,$U199)=1,1,INDEX(PF:PF,_xlfn.XMATCH($U199,$U$1:$U198,0,-1))+COUNT(PF198:PK198))</f>
        <v>7</v>
      </c>
      <c r="PG199">
        <f t="shared" si="247"/>
        <v>8</v>
      </c>
      <c r="PH199">
        <f t="shared" si="247"/>
        <v>9</v>
      </c>
      <c r="PI199">
        <f t="shared" si="247"/>
        <v>10</v>
      </c>
      <c r="PJ199">
        <f t="shared" si="248"/>
        <v>11</v>
      </c>
      <c r="PK199">
        <f t="shared" si="248"/>
        <v>12</v>
      </c>
      <c r="PO199">
        <v>7</v>
      </c>
      <c r="PP199">
        <v>8</v>
      </c>
      <c r="PQ199">
        <v>9</v>
      </c>
      <c r="PR199">
        <v>10</v>
      </c>
      <c r="PS199">
        <v>11</v>
      </c>
      <c r="PT199" s="16">
        <v>12</v>
      </c>
    </row>
    <row r="200" spans="1:536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1651</v>
      </c>
      <c r="X200" s="33" t="str">
        <f>IF(COUNTIF(X$1:X199,X199)&gt;7,REPLACE(X199,LEN(X199),1,VALUE(RIGHT(X199,1))+1),X199)</f>
        <v>A3.38</v>
      </c>
      <c r="Y200" s="45" cm="1">
        <f t="array" ref="Y200">IF(COUNTIFS($X$2:$X200,$X200)=1,"1",VALUE(SUBSTITUTE(INDEX(Y:Y,_xlfn.XMATCH($X200,$X$1:$X199,0,-1)),"A",""))+INDEX(Z:Z,_xlfn.XMATCH($X200,$X$1:$X199,0,-1))+1)</f>
        <v>5</v>
      </c>
      <c r="Z200" s="46" cm="1">
        <f t="array" ref="Z200">SUM(IF(ISNUMBER(FIND("TmAi",$BE$1:$AAD$1)),IF(IFERROR(ISODD(SUBSTITUTE($BE200:$AAD200,"A","")),FALSE),IF(ISODD(SUBSTITUTE($BE200:$AAD200,"A","")),1,0),0)))</f>
        <v>2</v>
      </c>
      <c r="AA200" t="str">
        <f t="shared" si="224"/>
        <v>9A</v>
      </c>
      <c r="AB200" t="str">
        <f t="shared" si="225"/>
        <v>9B</v>
      </c>
      <c r="AP200" t="s">
        <v>137</v>
      </c>
      <c r="AR200" t="s">
        <v>1219</v>
      </c>
      <c r="AS200" t="s">
        <v>396</v>
      </c>
      <c r="OE200" s="27" t="str">
        <f t="shared" si="249"/>
        <v>XT62</v>
      </c>
      <c r="OF200" t="s">
        <v>1228</v>
      </c>
      <c r="OG200" t="s">
        <v>1329</v>
      </c>
      <c r="OH200" t="s">
        <v>1322</v>
      </c>
      <c r="OI200" t="s">
        <v>1330</v>
      </c>
      <c r="OJ200" t="str">
        <f t="shared" si="250"/>
        <v>10A</v>
      </c>
      <c r="OK200" t="str">
        <f t="shared" si="251"/>
        <v>10B</v>
      </c>
      <c r="OL200" t="str">
        <f t="shared" si="252"/>
        <v>11A</v>
      </c>
      <c r="OM200" t="str">
        <f t="shared" si="245"/>
        <v>11B</v>
      </c>
      <c r="ON200" t="str">
        <f t="shared" si="245"/>
        <v>12A</v>
      </c>
      <c r="OO200" t="str">
        <f t="shared" si="245"/>
        <v>12B</v>
      </c>
      <c r="OP200" t="str">
        <f t="shared" si="245"/>
        <v>13A</v>
      </c>
      <c r="OQ200" t="str">
        <f t="shared" si="245"/>
        <v>13B</v>
      </c>
      <c r="OR200" t="str">
        <f t="shared" si="245"/>
        <v>14A</v>
      </c>
      <c r="OS200" t="str">
        <f t="shared" si="245"/>
        <v>14B</v>
      </c>
      <c r="OT200" t="str">
        <f>CONCATENATE($T200,"-AI",REPLACE($X200,1,3,""),"-",$AA200)</f>
        <v>F0-AI38-9A</v>
      </c>
      <c r="OU200" t="str">
        <f>CONCATENATE($T200,"-AI",REPLACE($X200,1,3,""),"-",$AB200)</f>
        <v>F0-AI38-9B</v>
      </c>
      <c r="OV200" t="str">
        <f t="shared" si="246"/>
        <v>F0-AI38-10A</v>
      </c>
      <c r="OW200" t="str">
        <f t="shared" si="246"/>
        <v>F0-AI38-10B</v>
      </c>
      <c r="OX200" t="str">
        <f t="shared" si="246"/>
        <v>F0-AI38-11A</v>
      </c>
      <c r="OY200" t="str">
        <f t="shared" si="246"/>
        <v>F0-AI38-11B</v>
      </c>
      <c r="OZ200" t="str">
        <f t="shared" si="246"/>
        <v>F0-AI38-12A</v>
      </c>
      <c r="PA200" t="str">
        <f t="shared" si="246"/>
        <v>F0-AI38-12B</v>
      </c>
      <c r="PB200" t="str">
        <f t="shared" si="246"/>
        <v>F0-AI38-13A</v>
      </c>
      <c r="PC200" t="str">
        <f t="shared" si="246"/>
        <v>F0-AI38-13B</v>
      </c>
      <c r="PD200" t="str">
        <f t="shared" si="246"/>
        <v>F0-AI38-14A</v>
      </c>
      <c r="PE200" t="str">
        <f t="shared" si="246"/>
        <v>F0-AI38-14B</v>
      </c>
      <c r="PF200" cm="1">
        <f t="array" ref="PF200">IF(COUNTIFS($U$2:$U200,$U200)=1,1,INDEX(PF:PF,_xlfn.XMATCH($U200,$U$1:$U199,0,-1))+COUNT(PF199:PK199))</f>
        <v>13</v>
      </c>
      <c r="PG200">
        <f t="shared" si="247"/>
        <v>14</v>
      </c>
      <c r="PH200">
        <f t="shared" si="247"/>
        <v>15</v>
      </c>
      <c r="PI200">
        <f t="shared" si="247"/>
        <v>16</v>
      </c>
      <c r="PJ200">
        <f t="shared" si="248"/>
        <v>17</v>
      </c>
      <c r="PK200">
        <f t="shared" si="248"/>
        <v>18</v>
      </c>
      <c r="PL200">
        <f t="shared" si="248"/>
        <v>19</v>
      </c>
      <c r="PM200">
        <f t="shared" si="248"/>
        <v>20</v>
      </c>
      <c r="PN200">
        <f t="shared" si="248"/>
        <v>21</v>
      </c>
      <c r="PO200">
        <v>1</v>
      </c>
      <c r="PP200">
        <v>2</v>
      </c>
      <c r="PQ200">
        <v>3</v>
      </c>
      <c r="PR200">
        <v>4</v>
      </c>
      <c r="PS200">
        <v>5</v>
      </c>
      <c r="PT200">
        <v>6</v>
      </c>
      <c r="PU200" s="23">
        <v>7</v>
      </c>
      <c r="PV200" s="23">
        <v>8</v>
      </c>
      <c r="PW200" s="24">
        <v>9</v>
      </c>
    </row>
    <row r="201" spans="1:536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1652</v>
      </c>
      <c r="X201" s="36" t="s">
        <v>1247</v>
      </c>
      <c r="Y201" s="47" t="str" cm="1">
        <f t="array" ref="Y201">IF(COUNTIFS($X$2:$X201,$X201)=1,"1",VALUE(SUBSTITUTE(INDEX(Y:Y,_xlfn.XMATCH($X201,$X$1:$X200,0,-1)),"A",""))+INDEX(Z:Z,_xlfn.XMATCH($X201,$X$1:$X200,0,-1))+1)</f>
        <v>1</v>
      </c>
      <c r="Z201" s="46" cm="1">
        <f t="array" ref="Z201">SUM(IF(ISNUMBER(FIND("TmAi",$BE$1:$AAD$1)),IF(IFERROR(ISODD(SUBSTITUTE($BE201:$AAD201,"A","")),FALSE),IF(ISODD(SUBSTITUTE($BE201:$AAD201,"A","")),1,0),0)))</f>
        <v>0</v>
      </c>
      <c r="AA201" t="str">
        <f t="shared" ref="AA201" si="253">CONCATENATE($Y201*2-1,"B")</f>
        <v>1B</v>
      </c>
      <c r="AB201" t="str">
        <f t="shared" ref="AB201" si="254">CONCATENATE($Y201*2,"B")</f>
        <v>2B</v>
      </c>
      <c r="AP201" t="s">
        <v>137</v>
      </c>
      <c r="AQ201" t="s">
        <v>1142</v>
      </c>
      <c r="AS201" t="s">
        <v>396</v>
      </c>
      <c r="JZ201" s="27" t="str">
        <f>CONCATENATE("XT",U201)</f>
        <v>XT62</v>
      </c>
      <c r="KC201" t="str">
        <f>CONCATENATE(T201,"-AI",REPLACE($X201,1,3,""),"-",AA201)</f>
        <v>F0-AI24-1B</v>
      </c>
      <c r="KD201" t="str">
        <f>CONCATENATE(T201,"-AI",REPLACE($X201,1,3,""),"-",AB201)</f>
        <v>F0-AI24-2B</v>
      </c>
      <c r="KI201">
        <v>22</v>
      </c>
      <c r="KJ201">
        <f t="shared" ref="KJ201:KK201" si="255">KI201+1</f>
        <v>23</v>
      </c>
      <c r="KK201">
        <f t="shared" si="255"/>
        <v>24</v>
      </c>
      <c r="KN201" t="s">
        <v>548</v>
      </c>
      <c r="KO201" s="16" t="s">
        <v>548</v>
      </c>
      <c r="KS201" s="16"/>
      <c r="OE201" s="27"/>
      <c r="PT201" s="16"/>
    </row>
    <row r="202" spans="1:536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1653</v>
      </c>
      <c r="X202" s="33" t="str">
        <f>IF(COUNTIF(X$1:X201,X201)&gt;3,REPLACE(X201,LEN(X201),1,VALUE(RIGHT(X201,1))+1),X201)</f>
        <v>A3.24</v>
      </c>
      <c r="Y202" s="45" cm="1">
        <f t="array" ref="Y202">IF(COUNTIFS($X$2:$X202,$X202)=1,"1",VALUE(SUBSTITUTE(INDEX(Y:Y,_xlfn.XMATCH($X202,$X$1:$X201,0,-1)),"A",""))+INDEX(Z:Z,_xlfn.XMATCH($X202,$X$1:$X201,0,-1))+1)</f>
        <v>2</v>
      </c>
      <c r="Z202" s="46" cm="1">
        <f t="array" ref="Z202">SUM(IF(ISNUMBER(FIND("TmAi",$BE$1:$AAD$1)),IF(IFERROR(ISODD(SUBSTITUTE($BE202:$AAD202,"A","")),FALSE),IF(ISODD(SUBSTITUTE($BE202:$AAD202,"A","")),1,0),0)))</f>
        <v>11</v>
      </c>
      <c r="AA202" t="str">
        <f t="shared" ref="AA202:AA203" si="256">CONCATENATE($Y202*2-1,"A")</f>
        <v>3A</v>
      </c>
      <c r="AB202" t="str">
        <f t="shared" ref="AB202:AB203" si="257">CONCATENATE($Y202*2-1,"B")</f>
        <v>3B</v>
      </c>
      <c r="AP202" t="s">
        <v>137</v>
      </c>
      <c r="AR202" t="s">
        <v>1222</v>
      </c>
      <c r="AS202" t="s">
        <v>396</v>
      </c>
      <c r="JZ202" s="27"/>
      <c r="KI202" cm="1">
        <f t="array" ref="KI202">IF(COUNTIFS($U$2:$U202,$U202)=1,1,INDEX(KI:KI,_xlfn.XMATCH(U202,U$1:U201,0,-1))+COUNT(KI201:KM201))</f>
        <v>25</v>
      </c>
      <c r="KO202" s="16"/>
      <c r="KS202" s="16"/>
      <c r="PX202" s="25" t="str">
        <f>REPLACE(X202,FIND(".",X202)+1,3,MID(X202,FIND(".",X202)+1,3)+1)</f>
        <v>A3.25</v>
      </c>
      <c r="PY202" s="12" t="str">
        <f>CONCATENATE(VALUE(SUBSTITUTE($AB202,"B",""))+2,"B")</f>
        <v>5B</v>
      </c>
      <c r="PZ202" s="12" t="str">
        <f>CONCATENATE(VALUE(SUBSTITUTE($AA202,"A",""))+2,"A")</f>
        <v>5A</v>
      </c>
      <c r="QA202" s="12" t="str">
        <f>CONCATENATE(VALUE(SUBSTITUTE(PY202,"B",""))+2,"B")</f>
        <v>7B</v>
      </c>
      <c r="QB202" s="12" t="str">
        <f>CONCATENATE(VALUE(SUBSTITUTE(PZ202,"A",""))+2,"A")</f>
        <v>7A</v>
      </c>
      <c r="QC202" s="12" t="str">
        <f t="shared" ref="QC202" si="258">CONCATENATE(VALUE(SUBSTITUTE(QA202,"B",""))+2,"B")</f>
        <v>9B</v>
      </c>
      <c r="QD202" s="12" t="str">
        <f t="shared" ref="QD202" si="259">CONCATENATE(VALUE(SUBSTITUTE(QB202,"A",""))+2,"A")</f>
        <v>9A</v>
      </c>
      <c r="QE202" s="12" t="str">
        <f t="shared" ref="QE202" si="260">CONCATENATE(VALUE(SUBSTITUTE(QC202,"B",""))+2,"B")</f>
        <v>11B</v>
      </c>
      <c r="QF202" s="12" t="str">
        <f t="shared" ref="QF202" si="261">CONCATENATE(VALUE(SUBSTITUTE(QD202,"A",""))+2,"A")</f>
        <v>11A</v>
      </c>
      <c r="QG202" s="12" t="str">
        <f t="shared" ref="QG202" si="262">CONCATENATE(VALUE(SUBSTITUTE(QE202,"B",""))+2,"B")</f>
        <v>13B</v>
      </c>
      <c r="QH202" s="12" t="str">
        <f t="shared" ref="QH202" si="263">CONCATENATE(VALUE(SUBSTITUTE(QF202,"A",""))+2,"A")</f>
        <v>13A</v>
      </c>
      <c r="QI202" s="12" t="s">
        <v>135</v>
      </c>
      <c r="QJ202" s="12" t="s">
        <v>136</v>
      </c>
      <c r="QK202" s="12" t="str">
        <f t="shared" ref="QK202" si="264">CONCATENATE(VALUE(SUBSTITUTE(QI202,"B",""))+2,"B")</f>
        <v>3B</v>
      </c>
      <c r="QL202" s="12" t="str">
        <f t="shared" ref="QL202" si="265">CONCATENATE(VALUE(SUBSTITUTE(QJ202,"A",""))+2,"A")</f>
        <v>3A</v>
      </c>
      <c r="QM202" s="12" t="str">
        <f t="shared" ref="QM202" si="266">CONCATENATE(VALUE(SUBSTITUTE(QK202,"B",""))+2,"B")</f>
        <v>5B</v>
      </c>
      <c r="QN202" s="12" t="str">
        <f t="shared" ref="QN202" si="267">CONCATENATE(VALUE(SUBSTITUTE(QL202,"A",""))+2,"A")</f>
        <v>5A</v>
      </c>
      <c r="QO202" s="12" t="str">
        <f t="shared" ref="QO202" si="268">CONCATENATE(VALUE(SUBSTITUTE(QM202,"B",""))+2,"B")</f>
        <v>7B</v>
      </c>
      <c r="QP202" s="12" t="str">
        <f t="shared" ref="QP202" si="269">CONCATENATE(VALUE(SUBSTITUTE(QN202,"A",""))+2,"A")</f>
        <v>7A</v>
      </c>
      <c r="QQ202" s="12" t="str">
        <f t="shared" ref="QQ202" si="270">CONCATENATE(VALUE(SUBSTITUTE(QO202,"B",""))+2,"B")</f>
        <v>9B</v>
      </c>
      <c r="QR202" s="12" t="str">
        <f t="shared" ref="QR202" si="271">CONCATENATE(VALUE(SUBSTITUTE(QP202,"A",""))+2,"A")</f>
        <v>9A</v>
      </c>
      <c r="QS202" s="12" t="str">
        <f t="shared" ref="QS202" si="272">CONCATENATE(VALUE(SUBSTITUTE(QQ202,"B",""))+2,"B")</f>
        <v>11B</v>
      </c>
      <c r="QT202" s="12" t="str">
        <f t="shared" ref="QT202" si="273">CONCATENATE(VALUE(SUBSTITUTE(QR202,"A",""))+2,"A")</f>
        <v>11A</v>
      </c>
      <c r="QU202" s="12" t="str">
        <f>CONCATENATE($T202,"-AI",REPLACE($X202,1,3,""),"-",AB202)</f>
        <v>F0-AI24-3B</v>
      </c>
      <c r="QV202" s="12" t="str">
        <f>CONCATENATE($T202,"-AI",REPLACE($X202,1,3,""),"-",AA202)</f>
        <v>F0-AI24-3A</v>
      </c>
      <c r="QW202" s="12" t="str">
        <f>CONCATENATE($T202,"-AI",REPLACE($X202,1,3,""),"-",PY202)</f>
        <v>F0-AI24-5B</v>
      </c>
      <c r="QX202" s="12" t="str">
        <f>CONCATENATE($T202,"-AI",REPLACE($X202,1,3,""),"-",PZ202)</f>
        <v>F0-AI24-5A</v>
      </c>
      <c r="QY202" s="12" t="str">
        <f t="shared" ref="QY202:RF202" si="274">CONCATENATE($T202,"-AI",REPLACE($X202,1,3,""),"-",QA202)</f>
        <v>F0-AI24-7B</v>
      </c>
      <c r="QZ202" s="12" t="str">
        <f t="shared" si="274"/>
        <v>F0-AI24-7A</v>
      </c>
      <c r="RA202" s="12" t="str">
        <f t="shared" si="274"/>
        <v>F0-AI24-9B</v>
      </c>
      <c r="RB202" s="12" t="str">
        <f t="shared" si="274"/>
        <v>F0-AI24-9A</v>
      </c>
      <c r="RC202" s="12" t="str">
        <f t="shared" si="274"/>
        <v>F0-AI24-11B</v>
      </c>
      <c r="RD202" s="12" t="str">
        <f t="shared" si="274"/>
        <v>F0-AI24-11A</v>
      </c>
      <c r="RE202" s="12" t="str">
        <f t="shared" si="274"/>
        <v>F0-AI24-13B</v>
      </c>
      <c r="RF202" s="12" t="str">
        <f t="shared" si="274"/>
        <v>F0-AI24-13A</v>
      </c>
      <c r="RG202" s="12" t="str">
        <f t="shared" ref="RG202:RR202" si="275">CONCATENATE($T202,"-AI",REPLACE($PX202,1,3,""),"-",QI202)</f>
        <v>F0-AI25-1B</v>
      </c>
      <c r="RH202" s="12" t="str">
        <f t="shared" si="275"/>
        <v>F0-AI25-1A</v>
      </c>
      <c r="RI202" s="12" t="str">
        <f t="shared" si="275"/>
        <v>F0-AI25-3B</v>
      </c>
      <c r="RJ202" s="12" t="str">
        <f t="shared" si="275"/>
        <v>F0-AI25-3A</v>
      </c>
      <c r="RK202" s="12" t="str">
        <f t="shared" si="275"/>
        <v>F0-AI25-5B</v>
      </c>
      <c r="RL202" s="12" t="str">
        <f t="shared" si="275"/>
        <v>F0-AI25-5A</v>
      </c>
      <c r="RM202" s="12" t="str">
        <f t="shared" si="275"/>
        <v>F0-AI25-7B</v>
      </c>
      <c r="RN202" s="12" t="str">
        <f t="shared" si="275"/>
        <v>F0-AI25-7A</v>
      </c>
      <c r="RO202" s="12" t="str">
        <f t="shared" si="275"/>
        <v>F0-AI25-9B</v>
      </c>
      <c r="RP202" s="12" t="str">
        <f t="shared" si="275"/>
        <v>F0-AI25-9A</v>
      </c>
      <c r="RQ202" s="12" t="str">
        <f t="shared" si="275"/>
        <v>F0-AI25-11B</v>
      </c>
      <c r="RR202" s="12" t="str">
        <f t="shared" si="275"/>
        <v>F0-AI25-11A</v>
      </c>
      <c r="RS202" s="12" t="str">
        <f t="shared" ref="RS202" si="276">CONCATENATE("XT",$U202)</f>
        <v>XT62</v>
      </c>
      <c r="RT202" s="12">
        <v>22</v>
      </c>
      <c r="RU202" s="12">
        <v>23</v>
      </c>
      <c r="RV202" s="12">
        <v>24</v>
      </c>
      <c r="RW202" s="12">
        <v>25</v>
      </c>
      <c r="RX202" s="12">
        <v>26</v>
      </c>
      <c r="RY202" s="12">
        <v>27</v>
      </c>
      <c r="RZ202" s="12">
        <v>28</v>
      </c>
      <c r="SA202" s="12">
        <v>29</v>
      </c>
      <c r="SB202" s="12">
        <v>30</v>
      </c>
      <c r="SC202" s="12">
        <v>31</v>
      </c>
      <c r="SD202" s="12">
        <v>32</v>
      </c>
      <c r="SE202" s="12">
        <v>33</v>
      </c>
      <c r="SF202" s="12">
        <v>34</v>
      </c>
      <c r="SG202" s="12">
        <v>35</v>
      </c>
      <c r="SH202" s="12">
        <v>36</v>
      </c>
      <c r="SI202" s="12">
        <v>37</v>
      </c>
      <c r="SJ202" s="12">
        <v>38</v>
      </c>
      <c r="SK202" s="12">
        <v>39</v>
      </c>
      <c r="SL202" s="12">
        <v>40</v>
      </c>
      <c r="SM202" s="12">
        <v>41</v>
      </c>
      <c r="SN202" s="12">
        <v>42</v>
      </c>
      <c r="SO202" s="12">
        <v>43</v>
      </c>
      <c r="SP202" s="12">
        <v>44</v>
      </c>
      <c r="SQ202" s="12">
        <v>45</v>
      </c>
      <c r="SR202" s="12">
        <v>46</v>
      </c>
      <c r="SS202" s="12" t="s">
        <v>1231</v>
      </c>
      <c r="ST202" s="12" t="s">
        <v>1232</v>
      </c>
      <c r="SU202" s="12" t="s">
        <v>1233</v>
      </c>
      <c r="SV202" s="12" t="s">
        <v>1234</v>
      </c>
      <c r="SW202" s="12" t="s">
        <v>1235</v>
      </c>
      <c r="SX202" s="12" t="s">
        <v>1236</v>
      </c>
      <c r="SY202" s="12" t="s">
        <v>1237</v>
      </c>
      <c r="SZ202" s="12" t="s">
        <v>1238</v>
      </c>
      <c r="TA202" s="12" t="s">
        <v>1239</v>
      </c>
      <c r="TB202" s="12" t="s">
        <v>1240</v>
      </c>
      <c r="TC202" s="12" t="s">
        <v>1241</v>
      </c>
      <c r="TD202" s="12" t="s">
        <v>1242</v>
      </c>
      <c r="TE202" s="12" t="s">
        <v>1059</v>
      </c>
      <c r="TF202" s="12" t="s">
        <v>1128</v>
      </c>
      <c r="TG202" s="12" t="s">
        <v>1129</v>
      </c>
      <c r="TH202" s="12" t="s">
        <v>1130</v>
      </c>
      <c r="TI202" s="12" t="s">
        <v>1132</v>
      </c>
      <c r="TJ202" s="12" t="s">
        <v>1131</v>
      </c>
      <c r="TK202" s="12" t="s">
        <v>1133</v>
      </c>
      <c r="TL202" s="12" t="s">
        <v>1134</v>
      </c>
      <c r="TM202" s="12" t="s">
        <v>1135</v>
      </c>
      <c r="TN202" s="12" t="s">
        <v>1136</v>
      </c>
      <c r="TO202" s="12" t="s">
        <v>1137</v>
      </c>
      <c r="TP202" s="13" t="s">
        <v>1138</v>
      </c>
    </row>
    <row r="203" spans="1:536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1654</v>
      </c>
      <c r="X203" s="36" t="s">
        <v>1979</v>
      </c>
      <c r="Y203" s="45" t="str" cm="1">
        <f t="array" ref="Y203">IF(COUNTIFS($X$2:$X203,$X203)=1,"1",VALUE(SUBSTITUTE(INDEX(Y:Y,_xlfn.XMATCH($X203,$X$1:$X202,0,-1)),"A",""))+INDEX(Z:Z,_xlfn.XMATCH($X203,$X$1:$X202,0,-1))+1)</f>
        <v>1</v>
      </c>
      <c r="Z203" s="46" cm="1">
        <f t="array" ref="Z203">SUM(IF(ISNUMBER(FIND("TmAi",$BE$1:$AAD$1)),IF(IFERROR(ISODD(SUBSTITUTE($BE203:$AAD203,"A","")),FALSE),IF(ISODD(SUBSTITUTE($BE203:$AAD203,"A","")),1,0),0)))</f>
        <v>1</v>
      </c>
      <c r="AA203" t="str">
        <f t="shared" si="256"/>
        <v>1A</v>
      </c>
      <c r="AB203" t="str">
        <f t="shared" si="257"/>
        <v>1B</v>
      </c>
      <c r="AP203" t="s">
        <v>137</v>
      </c>
      <c r="AR203" t="s">
        <v>1253</v>
      </c>
      <c r="AS203" t="s">
        <v>396</v>
      </c>
      <c r="OE203" s="25" t="str">
        <f>CONCATENATE("XT",$U203)</f>
        <v>XT63</v>
      </c>
      <c r="OF203" s="12" t="s">
        <v>1259</v>
      </c>
      <c r="OG203" s="12" t="s">
        <v>1312</v>
      </c>
      <c r="OH203" s="12"/>
      <c r="OI203" s="12"/>
      <c r="OJ203" s="12" t="str">
        <f>CONCATENATE(REPLACE($AA203,LEN($AA203),1,"")+1,RIGHT($AA203))</f>
        <v>2A</v>
      </c>
      <c r="OK203" s="12" t="str">
        <f>CONCATENATE(REPLACE($AB203,LEN($AB203),1,"")+1,RIGHT($AB203))</f>
        <v>2B</v>
      </c>
      <c r="OL203" s="12" t="str">
        <f>CONCATENATE(REPLACE(OJ203,LEN(OJ203),1,"")+1,RIGHT(OJ203))</f>
        <v>3A</v>
      </c>
      <c r="OM203" s="12" t="str">
        <f t="shared" ref="OM203:OO203" si="277">CONCATENATE(REPLACE(OK203,LEN(OK203),1,"")+1,RIGHT(OK203))</f>
        <v>3B</v>
      </c>
      <c r="ON203" s="12" t="str">
        <f t="shared" si="277"/>
        <v>4A</v>
      </c>
      <c r="OO203" s="12" t="str">
        <f t="shared" si="277"/>
        <v>4B</v>
      </c>
      <c r="OP203" s="12"/>
      <c r="OQ203" s="12"/>
      <c r="OR203" s="12"/>
      <c r="OS203" s="12"/>
      <c r="OT203" s="12" t="str">
        <f>CONCATENATE($T203,"-AI",REPLACE($X203,1,3,""),"-",$AA203)</f>
        <v>F0-AI39-1A</v>
      </c>
      <c r="OU203" s="12" t="str">
        <f>CONCATENATE($T203,"-AI",REPLACE($X203,1,3,""),"-",$AB203)</f>
        <v>F0-AI39-1B</v>
      </c>
      <c r="OV203" s="12" t="str">
        <f t="shared" ref="OV203:PA203" si="278">CONCATENATE($T203,"-AI",REPLACE($X203,1,3,""),"-",OJ203)</f>
        <v>F0-AI39-2A</v>
      </c>
      <c r="OW203" s="12" t="str">
        <f t="shared" si="278"/>
        <v>F0-AI39-2B</v>
      </c>
      <c r="OX203" s="12" t="str">
        <f t="shared" si="278"/>
        <v>F0-AI39-3A</v>
      </c>
      <c r="OY203" s="12" t="str">
        <f t="shared" si="278"/>
        <v>F0-AI39-3B</v>
      </c>
      <c r="OZ203" s="12" t="str">
        <f t="shared" si="278"/>
        <v>F0-AI39-4A</v>
      </c>
      <c r="PA203" s="12" t="str">
        <f t="shared" si="278"/>
        <v>F0-AI39-4B</v>
      </c>
      <c r="PB203" s="12"/>
      <c r="PC203" s="12"/>
      <c r="PD203" s="12"/>
      <c r="PE203" s="12"/>
      <c r="PF203" s="12" cm="1">
        <f t="array" ref="PF203">IF(COUNTIFS($U$2:$U203,$U203)=1,1,INDEX(PF:PF,_xlfn.XMATCH($U203,$U$1:EF202,0,-1))+COUNT(PF202:PK202))</f>
        <v>1</v>
      </c>
      <c r="PG203" s="12">
        <f t="shared" ref="PG203:PH203" si="279">PF203+1</f>
        <v>2</v>
      </c>
      <c r="PH203" s="12">
        <f t="shared" si="279"/>
        <v>3</v>
      </c>
      <c r="PI203" s="12">
        <f>PH203+1</f>
        <v>4</v>
      </c>
      <c r="PJ203" s="12">
        <f t="shared" ref="PJ203:PK203" si="280">PI203+1</f>
        <v>5</v>
      </c>
      <c r="PK203" s="12">
        <f t="shared" si="280"/>
        <v>6</v>
      </c>
      <c r="PL203" s="12"/>
      <c r="PM203" s="12"/>
      <c r="PN203" s="12"/>
      <c r="PO203" s="12">
        <v>1</v>
      </c>
      <c r="PP203" s="12">
        <v>2</v>
      </c>
      <c r="PQ203" s="12">
        <v>3</v>
      </c>
      <c r="PR203" s="12">
        <v>4</v>
      </c>
      <c r="PS203" s="12">
        <v>5</v>
      </c>
      <c r="PT203" s="13">
        <v>6</v>
      </c>
    </row>
    <row r="204" spans="1:536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1655</v>
      </c>
      <c r="X204" s="36" t="s">
        <v>1257</v>
      </c>
      <c r="Y204" s="45" t="str" cm="1">
        <f t="array" ref="Y204">IF(COUNTIFS($X$2:$X204,$X204)=1,"1",VALUE(SUBSTITUTE(INDEX(Y:Y,_xlfn.XMATCH($X204,$X$1:$X203,0,-1)),"A",""))+INDEX(Z:Z,_xlfn.XMATCH($X204,$X$1:$X203,0,-1))+1)</f>
        <v>1</v>
      </c>
      <c r="Z204" s="46" cm="1">
        <f t="array" ref="Z204">SUM(IF(ISNUMBER(FIND("TmAi",$BE$1:$AAD$1)),IF(IFERROR(ISODD(SUBSTITUTE($BE204:$AAD204,"A","")),FALSE),IF(ISODD(SUBSTITUTE($BE204:$AAD204,"A","")),1,0),0)))</f>
        <v>0</v>
      </c>
      <c r="AA204" t="str">
        <f t="shared" ref="AA204" si="281">CONCATENATE($Y204*2-1,"B")</f>
        <v>1B</v>
      </c>
      <c r="AB204" t="str">
        <f t="shared" ref="AB204" si="282">CONCATENATE($Y204*2,"B")</f>
        <v>2B</v>
      </c>
      <c r="AP204" t="s">
        <v>137</v>
      </c>
      <c r="AQ204" t="s">
        <v>1258</v>
      </c>
      <c r="AS204" t="s">
        <v>396</v>
      </c>
      <c r="JZ204" s="27" t="str">
        <f>CONCATENATE("XT",U204)</f>
        <v>XT63</v>
      </c>
      <c r="KC204" t="str">
        <f>CONCATENATE(T204,"-AI",REPLACE($X204,1,3,""),"-",AA204)</f>
        <v>F0-AI25-1B</v>
      </c>
      <c r="KD204" t="str">
        <f>CONCATENATE(T204,"-AI",REPLACE($X204,1,3,""),"-",AB204)</f>
        <v>F0-AI25-2B</v>
      </c>
      <c r="KI204">
        <v>7</v>
      </c>
      <c r="KJ204">
        <f t="shared" ref="KJ204:KK204" si="283">KI204+1</f>
        <v>8</v>
      </c>
      <c r="KK204">
        <f t="shared" si="283"/>
        <v>9</v>
      </c>
      <c r="KN204" t="s">
        <v>548</v>
      </c>
      <c r="KO204" s="16" t="s">
        <v>548</v>
      </c>
      <c r="KS204" s="16"/>
      <c r="OE204" s="27"/>
      <c r="PT204" s="16"/>
    </row>
    <row r="205" spans="1:536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1656</v>
      </c>
      <c r="X205" s="36" t="s">
        <v>1979</v>
      </c>
      <c r="Y205" s="45" cm="1">
        <f t="array" ref="Y205">IF(COUNTIFS($X$2:$X205,$X205)=1,"1",VALUE(SUBSTITUTE(INDEX(Y:Y,_xlfn.XMATCH($X205,$X$1:$X204,0,-1)),"A",""))+INDEX(Z:Z,_xlfn.XMATCH($X205,$X$1:$X204,0,-1))+1)</f>
        <v>3</v>
      </c>
      <c r="Z205" s="46" cm="1">
        <f t="array" ref="Z205">SUM(IF(ISNUMBER(FIND("TmAi",$BE$1:$AAD$1)),IF(IFERROR(ISODD(SUBSTITUTE($BE205:$AAD205,"A","")),FALSE),IF(ISODD(SUBSTITUTE($BE205:$AAD205,"A","")),1,0),0)))</f>
        <v>1</v>
      </c>
      <c r="AA205" t="str">
        <f t="shared" ref="AA205" si="284">CONCATENATE($Y205*2-1,"A")</f>
        <v>5A</v>
      </c>
      <c r="AB205" t="str">
        <f t="shared" ref="AB205" si="285">CONCATENATE($Y205*2-1,"B")</f>
        <v>5B</v>
      </c>
      <c r="AP205" t="s">
        <v>137</v>
      </c>
      <c r="AR205" t="s">
        <v>1261</v>
      </c>
      <c r="AS205" t="s">
        <v>396</v>
      </c>
      <c r="OE205" s="25" t="str">
        <f>CONCATENATE("XT",$U205)</f>
        <v>XT64</v>
      </c>
      <c r="OF205" s="12" t="s">
        <v>1254</v>
      </c>
      <c r="OG205" s="12" t="s">
        <v>1313</v>
      </c>
      <c r="OH205" s="12"/>
      <c r="OI205" s="12"/>
      <c r="OJ205" s="12" t="str">
        <f>CONCATENATE(REPLACE($AA205,LEN($AA205),1,"")+1,RIGHT($AA205))</f>
        <v>6A</v>
      </c>
      <c r="OK205" s="12" t="str">
        <f>CONCATENATE(REPLACE($AB205,LEN($AB205),1,"")+1,RIGHT($AB205))</f>
        <v>6B</v>
      </c>
      <c r="OL205" s="12" t="str">
        <f>CONCATENATE(REPLACE(OJ205,LEN(OJ205),1,"")+1,RIGHT(OJ205))</f>
        <v>7A</v>
      </c>
      <c r="OM205" s="12" t="str">
        <f t="shared" ref="OM205:OO205" si="286">CONCATENATE(REPLACE(OK205,LEN(OK205),1,"")+1,RIGHT(OK205))</f>
        <v>7B</v>
      </c>
      <c r="ON205" s="12" t="str">
        <f t="shared" si="286"/>
        <v>8A</v>
      </c>
      <c r="OO205" s="12" t="str">
        <f t="shared" si="286"/>
        <v>8B</v>
      </c>
      <c r="OP205" s="12"/>
      <c r="OQ205" s="12"/>
      <c r="OR205" s="12"/>
      <c r="OS205" s="12"/>
      <c r="OT205" s="12" t="str">
        <f>CONCATENATE($T205,"-AI",REPLACE($X205,1,3,""),"-",$AA205)</f>
        <v>F0-AI39-5A</v>
      </c>
      <c r="OU205" s="12" t="str">
        <f>CONCATENATE($T205,"-AI",REPLACE($X205,1,3,""),"-",$AB205)</f>
        <v>F0-AI39-5B</v>
      </c>
      <c r="OV205" s="12" t="str">
        <f t="shared" ref="OV205:PA205" si="287">CONCATENATE($T205,"-AI",REPLACE($X205,1,3,""),"-",OJ205)</f>
        <v>F0-AI39-6A</v>
      </c>
      <c r="OW205" s="12" t="str">
        <f t="shared" si="287"/>
        <v>F0-AI39-6B</v>
      </c>
      <c r="OX205" s="12" t="str">
        <f t="shared" si="287"/>
        <v>F0-AI39-7A</v>
      </c>
      <c r="OY205" s="12" t="str">
        <f t="shared" si="287"/>
        <v>F0-AI39-7B</v>
      </c>
      <c r="OZ205" s="12" t="str">
        <f t="shared" si="287"/>
        <v>F0-AI39-8A</v>
      </c>
      <c r="PA205" s="12" t="str">
        <f t="shared" si="287"/>
        <v>F0-AI39-8B</v>
      </c>
      <c r="PB205" s="12"/>
      <c r="PC205" s="12"/>
      <c r="PD205" s="12"/>
      <c r="PE205" s="12"/>
      <c r="PF205" s="12" cm="1">
        <f t="array" ref="PF205">IF(COUNTIFS($U$2:$U205,$U205)=1,1,INDEX(PF:PF,_xlfn.XMATCH($U205,$U$1:EF204,0,-1))+COUNT(PF204:PK204))</f>
        <v>1</v>
      </c>
      <c r="PG205" s="12">
        <f t="shared" ref="PG205:PH205" si="288">PF205+1</f>
        <v>2</v>
      </c>
      <c r="PH205" s="12">
        <f t="shared" si="288"/>
        <v>3</v>
      </c>
      <c r="PI205" s="12">
        <f>PH205+1</f>
        <v>4</v>
      </c>
      <c r="PJ205" s="12">
        <f t="shared" ref="PJ205:PK205" si="289">PI205+1</f>
        <v>5</v>
      </c>
      <c r="PK205" s="12">
        <f t="shared" si="289"/>
        <v>6</v>
      </c>
      <c r="PL205" s="12"/>
      <c r="PM205" s="12"/>
      <c r="PN205" s="12"/>
      <c r="PO205" s="12">
        <v>1</v>
      </c>
      <c r="PP205" s="12">
        <v>2</v>
      </c>
      <c r="PQ205" s="12">
        <v>3</v>
      </c>
      <c r="PR205" s="12">
        <v>4</v>
      </c>
      <c r="PS205" s="12">
        <v>5</v>
      </c>
      <c r="PT205" s="13">
        <v>6</v>
      </c>
    </row>
    <row r="206" spans="1:536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1657</v>
      </c>
      <c r="X206" s="33" t="s">
        <v>1257</v>
      </c>
      <c r="Y206" s="45" cm="1">
        <f t="array" ref="Y206">IF(COUNTIFS($X$2:$X206,$X206)=1,"1",VALUE(SUBSTITUTE(INDEX(Y:Y,_xlfn.XMATCH($X206,$X$1:$X205,0,-1)),"A",""))+INDEX(Z:Z,_xlfn.XMATCH($X206,$X$1:$X205,0,-1))+1)</f>
        <v>2</v>
      </c>
      <c r="Z206" s="46" cm="1">
        <f t="array" ref="Z206">SUM(IF(ISNUMBER(FIND("TmAi",$BE$1:$AAD$1)),IF(IFERROR(ISODD(SUBSTITUTE($BE206:$AAD206,"A","")),FALSE),IF(ISODD(SUBSTITUTE($BE206:$AAD206,"A","")),1,0),0)))</f>
        <v>0</v>
      </c>
      <c r="AA206" t="str">
        <f t="shared" ref="AA206" si="290">CONCATENATE($Y206*2-1,"B")</f>
        <v>3B</v>
      </c>
      <c r="AB206" t="str">
        <f t="shared" ref="AB206" si="291">CONCATENATE($Y206*2,"B")</f>
        <v>4B</v>
      </c>
      <c r="AP206" t="s">
        <v>137</v>
      </c>
      <c r="AQ206" t="s">
        <v>1258</v>
      </c>
      <c r="AS206" t="s">
        <v>396</v>
      </c>
      <c r="JZ206" s="27" t="str">
        <f>CONCATENATE("XT",U206)</f>
        <v>XT64</v>
      </c>
      <c r="KC206" t="str">
        <f>CONCATENATE(T206,"-AI",REPLACE($X206,1,3,""),"-",AA206)</f>
        <v>F0-AI25-3B</v>
      </c>
      <c r="KD206" t="str">
        <f>CONCATENATE(T206,"-AI",REPLACE($X206,1,3,""),"-",AB206)</f>
        <v>F0-AI25-4B</v>
      </c>
      <c r="KI206">
        <v>7</v>
      </c>
      <c r="KJ206">
        <f t="shared" ref="KJ206:KK206" si="292">KI206+1</f>
        <v>8</v>
      </c>
      <c r="KK206">
        <f t="shared" si="292"/>
        <v>9</v>
      </c>
      <c r="KN206" t="s">
        <v>548</v>
      </c>
      <c r="KO206" s="16" t="s">
        <v>548</v>
      </c>
      <c r="KS206" s="16"/>
      <c r="OE206" s="27"/>
      <c r="PT206" s="16"/>
    </row>
    <row r="207" spans="1:536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1658</v>
      </c>
      <c r="X207" s="36" t="s">
        <v>1980</v>
      </c>
      <c r="Y207" s="45" t="str" cm="1">
        <f t="array" ref="Y207">IF(COUNTIFS($X$2:$X207,$X207)=1,"1",VALUE(SUBSTITUTE(INDEX(Y:Y,_xlfn.XMATCH($X207,$X$1:$X206,0,-1)),"A",""))+INDEX(Z:Z,_xlfn.XMATCH($X207,$X$1:$X206,0,-1))+1)</f>
        <v>1</v>
      </c>
      <c r="Z207" s="46" cm="1">
        <f t="array" ref="Z207">SUM(IF(ISNUMBER(FIND("TmAi",$BE$1:$AAD$1)),IF(IFERROR(ISODD(SUBSTITUTE($BE207:$AAD207,"A","")),FALSE),IF(ISODD(SUBSTITUTE($BE207:$AAD207,"A","")),1,0),0)))</f>
        <v>1</v>
      </c>
      <c r="AA207" t="str">
        <f t="shared" ref="AA207" si="293">CONCATENATE($Y207*2-1,"A")</f>
        <v>1A</v>
      </c>
      <c r="AB207" t="str">
        <f t="shared" ref="AB207" si="294">CONCATENATE($Y207*2-1,"B")</f>
        <v>1B</v>
      </c>
      <c r="AP207" t="s">
        <v>137</v>
      </c>
      <c r="AR207" t="s">
        <v>1270</v>
      </c>
      <c r="AS207" t="s">
        <v>396</v>
      </c>
      <c r="OE207" s="25" t="str">
        <f>CONCATENATE("XT",$U207)</f>
        <v>XT65</v>
      </c>
      <c r="OF207" s="12" t="s">
        <v>1275</v>
      </c>
      <c r="OG207" s="12" t="s">
        <v>1316</v>
      </c>
      <c r="OH207" s="12"/>
      <c r="OI207" s="12"/>
      <c r="OJ207" s="12" t="str">
        <f>CONCATENATE(REPLACE($AA207,LEN($AA207),1,"")+1,RIGHT($AA207))</f>
        <v>2A</v>
      </c>
      <c r="OK207" s="12" t="str">
        <f>CONCATENATE(REPLACE($AB207,LEN($AB207),1,"")+1,RIGHT($AB207))</f>
        <v>2B</v>
      </c>
      <c r="OL207" s="12" t="str">
        <f>CONCATENATE(REPLACE(OJ207,LEN(OJ207),1,"")+1,RIGHT(OJ207))</f>
        <v>3A</v>
      </c>
      <c r="OM207" s="12" t="str">
        <f t="shared" ref="OM207:OO207" si="295">CONCATENATE(REPLACE(OK207,LEN(OK207),1,"")+1,RIGHT(OK207))</f>
        <v>3B</v>
      </c>
      <c r="ON207" s="12" t="str">
        <f t="shared" si="295"/>
        <v>4A</v>
      </c>
      <c r="OO207" s="12" t="str">
        <f t="shared" si="295"/>
        <v>4B</v>
      </c>
      <c r="OP207" s="12"/>
      <c r="OQ207" s="12"/>
      <c r="OR207" s="12"/>
      <c r="OS207" s="12"/>
      <c r="OT207" s="12" t="str">
        <f>CONCATENATE($T207,"-AI",REPLACE($X207,1,3,""),"-",$AA207)</f>
        <v>F0-AI40-1A</v>
      </c>
      <c r="OU207" s="12" t="str">
        <f>CONCATENATE($T207,"-AI",REPLACE($X207,1,3,""),"-",$AB207)</f>
        <v>F0-AI40-1B</v>
      </c>
      <c r="OV207" s="12" t="str">
        <f t="shared" ref="OV207:PA207" si="296">CONCATENATE($T207,"-AI",REPLACE($X207,1,3,""),"-",OJ207)</f>
        <v>F0-AI40-2A</v>
      </c>
      <c r="OW207" s="12" t="str">
        <f t="shared" si="296"/>
        <v>F0-AI40-2B</v>
      </c>
      <c r="OX207" s="12" t="str">
        <f t="shared" si="296"/>
        <v>F0-AI40-3A</v>
      </c>
      <c r="OY207" s="12" t="str">
        <f t="shared" si="296"/>
        <v>F0-AI40-3B</v>
      </c>
      <c r="OZ207" s="12" t="str">
        <f t="shared" si="296"/>
        <v>F0-AI40-4A</v>
      </c>
      <c r="PA207" s="12" t="str">
        <f t="shared" si="296"/>
        <v>F0-AI40-4B</v>
      </c>
      <c r="PB207" s="12"/>
      <c r="PC207" s="12"/>
      <c r="PD207" s="12"/>
      <c r="PE207" s="12"/>
      <c r="PF207" s="12" cm="1">
        <f t="array" ref="PF207">IF(COUNTIFS($U$2:$U207,$U207)=1,1,INDEX(PF:PF,_xlfn.XMATCH($U207,$U$1:EF206,0,-1))+COUNT(PF206:PK206))</f>
        <v>1</v>
      </c>
      <c r="PG207" s="12">
        <f t="shared" ref="PG207:PH207" si="297">PF207+1</f>
        <v>2</v>
      </c>
      <c r="PH207" s="12">
        <f t="shared" si="297"/>
        <v>3</v>
      </c>
      <c r="PI207" s="12">
        <f>PH207+1</f>
        <v>4</v>
      </c>
      <c r="PJ207" s="12">
        <f t="shared" ref="PJ207:PK207" si="298">PI207+1</f>
        <v>5</v>
      </c>
      <c r="PK207" s="12">
        <f t="shared" si="298"/>
        <v>6</v>
      </c>
      <c r="PL207" s="12"/>
      <c r="PM207" s="12"/>
      <c r="PN207" s="12"/>
      <c r="PO207" s="12">
        <v>1</v>
      </c>
      <c r="PP207" s="12">
        <v>2</v>
      </c>
      <c r="PQ207" s="12">
        <v>3</v>
      </c>
      <c r="PR207" s="12">
        <v>4</v>
      </c>
      <c r="PS207" s="12">
        <v>5</v>
      </c>
      <c r="PT207" s="13">
        <v>6</v>
      </c>
    </row>
    <row r="208" spans="1:536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1659</v>
      </c>
      <c r="X208" s="36" t="s">
        <v>1257</v>
      </c>
      <c r="Y208" s="45" cm="1">
        <f t="array" ref="Y208">IF(COUNTIFS($X$2:$X208,$X208)=1,"1",VALUE(SUBSTITUTE(INDEX(Y:Y,_xlfn.XMATCH($X208,$X$1:$X207,0,-1)),"A",""))+INDEX(Z:Z,_xlfn.XMATCH($X208,$X$1:$X207,0,-1))+1)</f>
        <v>3</v>
      </c>
      <c r="Z208" s="46" cm="1">
        <f t="array" ref="Z208">SUM(IF(ISNUMBER(FIND("TmAi",$BE$1:$AAD$1)),IF(IFERROR(ISODD(SUBSTITUTE($BE208:$AAD208,"A","")),FALSE),IF(ISODD(SUBSTITUTE($BE208:$AAD208,"A","")),1,0),0)))</f>
        <v>0</v>
      </c>
      <c r="AA208" t="str">
        <f t="shared" ref="AA208" si="299">CONCATENATE($Y208*2-1,"B")</f>
        <v>5B</v>
      </c>
      <c r="AB208" t="str">
        <f t="shared" ref="AB208" si="300">CONCATENATE($Y208*2,"B")</f>
        <v>6B</v>
      </c>
      <c r="AP208" t="s">
        <v>137</v>
      </c>
      <c r="AQ208" t="s">
        <v>1269</v>
      </c>
      <c r="AS208" t="s">
        <v>396</v>
      </c>
      <c r="JZ208" s="27" t="str">
        <f>CONCATENATE("XT",U208)</f>
        <v>XT65</v>
      </c>
      <c r="KC208" t="str">
        <f>CONCATENATE(T208,"-AI",REPLACE($X208,1,3,""),"-",AA208)</f>
        <v>F0-AI25-5B</v>
      </c>
      <c r="KD208" t="str">
        <f>CONCATENATE(T208,"-AI",REPLACE($X208,1,3,""),"-",AB208)</f>
        <v>F0-AI25-6B</v>
      </c>
      <c r="KI208">
        <v>7</v>
      </c>
      <c r="KJ208">
        <f t="shared" ref="KJ208:KK208" si="301">KI208+1</f>
        <v>8</v>
      </c>
      <c r="KK208">
        <f t="shared" si="301"/>
        <v>9</v>
      </c>
      <c r="KN208" t="s">
        <v>548</v>
      </c>
      <c r="KO208" s="16" t="s">
        <v>548</v>
      </c>
      <c r="KS208" s="16"/>
      <c r="OE208" s="27"/>
      <c r="PT208" s="16"/>
    </row>
    <row r="209" spans="1:436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1660</v>
      </c>
      <c r="X209" s="36" t="s">
        <v>1980</v>
      </c>
      <c r="Y209" s="45" cm="1">
        <f t="array" ref="Y209">IF(COUNTIFS($X$2:$X209,$X209)=1,"1",VALUE(SUBSTITUTE(INDEX(Y:Y,_xlfn.XMATCH($X209,$X$1:$X208,0,-1)),"A",""))+INDEX(Z:Z,_xlfn.XMATCH($X209,$X$1:$X208,0,-1))+1)</f>
        <v>3</v>
      </c>
      <c r="Z209" s="46" cm="1">
        <f t="array" ref="Z209">SUM(IF(ISNUMBER(FIND("TmAi",$BE$1:$AAD$1)),IF(IFERROR(ISODD(SUBSTITUTE($BE209:$AAD209,"A","")),FALSE),IF(ISODD(SUBSTITUTE($BE209:$AAD209,"A","")),1,0),0)))</f>
        <v>1</v>
      </c>
      <c r="AA209" t="str">
        <f t="shared" ref="AA209" si="302">CONCATENATE($Y209*2-1,"A")</f>
        <v>5A</v>
      </c>
      <c r="AB209" t="str">
        <f t="shared" ref="AB209" si="303">CONCATENATE($Y209*2-1,"B")</f>
        <v>5B</v>
      </c>
      <c r="AP209" t="s">
        <v>137</v>
      </c>
      <c r="AR209" t="s">
        <v>1271</v>
      </c>
      <c r="AS209" t="s">
        <v>396</v>
      </c>
      <c r="OE209" s="25" t="str">
        <f>CONCATENATE("XT",$U209)</f>
        <v>XT66</v>
      </c>
      <c r="OF209" s="12" t="s">
        <v>1274</v>
      </c>
      <c r="OG209" s="12" t="s">
        <v>1317</v>
      </c>
      <c r="OH209" s="12"/>
      <c r="OI209" s="12"/>
      <c r="OJ209" s="12" t="str">
        <f>CONCATENATE(REPLACE($AA209,LEN($AA209),1,"")+1,RIGHT($AA209))</f>
        <v>6A</v>
      </c>
      <c r="OK209" s="12" t="str">
        <f>CONCATENATE(REPLACE($AB209,LEN($AB209),1,"")+1,RIGHT($AB209))</f>
        <v>6B</v>
      </c>
      <c r="OL209" s="12" t="str">
        <f>CONCATENATE(REPLACE(OJ209,LEN(OJ209),1,"")+1,RIGHT(OJ209))</f>
        <v>7A</v>
      </c>
      <c r="OM209" s="12" t="str">
        <f t="shared" ref="OM209:OO209" si="304">CONCATENATE(REPLACE(OK209,LEN(OK209),1,"")+1,RIGHT(OK209))</f>
        <v>7B</v>
      </c>
      <c r="ON209" s="12" t="str">
        <f t="shared" si="304"/>
        <v>8A</v>
      </c>
      <c r="OO209" s="12" t="str">
        <f t="shared" si="304"/>
        <v>8B</v>
      </c>
      <c r="OP209" s="12"/>
      <c r="OQ209" s="12"/>
      <c r="OR209" s="12"/>
      <c r="OS209" s="12"/>
      <c r="OT209" s="12" t="str">
        <f>CONCATENATE($T209,"-AI",REPLACE($X209,1,3,""),"-",$AA209)</f>
        <v>F0-AI40-5A</v>
      </c>
      <c r="OU209" s="12" t="str">
        <f>CONCATENATE($T209,"-AI",REPLACE($X209,1,3,""),"-",$AB209)</f>
        <v>F0-AI40-5B</v>
      </c>
      <c r="OV209" s="12" t="str">
        <f t="shared" ref="OV209:PA209" si="305">CONCATENATE($T209,"-AI",REPLACE($X209,1,3,""),"-",OJ209)</f>
        <v>F0-AI40-6A</v>
      </c>
      <c r="OW209" s="12" t="str">
        <f t="shared" si="305"/>
        <v>F0-AI40-6B</v>
      </c>
      <c r="OX209" s="12" t="str">
        <f t="shared" si="305"/>
        <v>F0-AI40-7A</v>
      </c>
      <c r="OY209" s="12" t="str">
        <f t="shared" si="305"/>
        <v>F0-AI40-7B</v>
      </c>
      <c r="OZ209" s="12" t="str">
        <f t="shared" si="305"/>
        <v>F0-AI40-8A</v>
      </c>
      <c r="PA209" s="12" t="str">
        <f t="shared" si="305"/>
        <v>F0-AI40-8B</v>
      </c>
      <c r="PB209" s="12"/>
      <c r="PC209" s="12"/>
      <c r="PD209" s="12"/>
      <c r="PE209" s="12"/>
      <c r="PF209" s="12" cm="1">
        <f t="array" ref="PF209">IF(COUNTIFS($U$2:$U209,$U209)=1,1,INDEX(PF:PF,_xlfn.XMATCH($U209,$U$1:EF208,0,-1))+COUNT(PF208:PK208))</f>
        <v>1</v>
      </c>
      <c r="PG209" s="12">
        <f t="shared" ref="PG209:PH209" si="306">PF209+1</f>
        <v>2</v>
      </c>
      <c r="PH209" s="12">
        <f t="shared" si="306"/>
        <v>3</v>
      </c>
      <c r="PI209" s="12">
        <f>PH209+1</f>
        <v>4</v>
      </c>
      <c r="PJ209" s="12">
        <f t="shared" ref="PJ209:PK209" si="307">PI209+1</f>
        <v>5</v>
      </c>
      <c r="PK209" s="12">
        <f t="shared" si="307"/>
        <v>6</v>
      </c>
      <c r="PL209" s="12"/>
      <c r="PM209" s="12"/>
      <c r="PN209" s="12"/>
      <c r="PO209" s="12">
        <v>1</v>
      </c>
      <c r="PP209" s="12">
        <v>2</v>
      </c>
      <c r="PQ209" s="12">
        <v>3</v>
      </c>
      <c r="PR209" s="12">
        <v>4</v>
      </c>
      <c r="PS209" s="12">
        <v>5</v>
      </c>
      <c r="PT209" s="13">
        <v>6</v>
      </c>
    </row>
    <row r="210" spans="1:436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1661</v>
      </c>
      <c r="X210" s="36" t="s">
        <v>1257</v>
      </c>
      <c r="Y210" s="45" cm="1">
        <f t="array" ref="Y210">IF(COUNTIFS($X$2:$X210,$X210)=1,"1",VALUE(SUBSTITUTE(INDEX(Y:Y,_xlfn.XMATCH($X210,$X$1:$X209,0,-1)),"A",""))+INDEX(Z:Z,_xlfn.XMATCH($X210,$X$1:$X209,0,-1))+1)</f>
        <v>4</v>
      </c>
      <c r="Z210" s="46" cm="1">
        <f t="array" ref="Z210">SUM(IF(ISNUMBER(FIND("TmAi",$BE$1:$AAD$1)),IF(IFERROR(ISODD(SUBSTITUTE($BE210:$AAD210,"A","")),FALSE),IF(ISODD(SUBSTITUTE($BE210:$AAD210,"A","")),1,0),0)))</f>
        <v>0</v>
      </c>
      <c r="AA210" t="str">
        <f t="shared" ref="AA210" si="308">CONCATENATE($Y210*2-1,"B")</f>
        <v>7B</v>
      </c>
      <c r="AB210" t="str">
        <f t="shared" ref="AB210" si="309">CONCATENATE($Y210*2,"B")</f>
        <v>8B</v>
      </c>
      <c r="AP210" t="s">
        <v>137</v>
      </c>
      <c r="AQ210" t="s">
        <v>1269</v>
      </c>
      <c r="AS210" t="s">
        <v>396</v>
      </c>
      <c r="JZ210" s="27" t="str">
        <f>CONCATENATE("XT",U210)</f>
        <v>XT66</v>
      </c>
      <c r="KC210" t="str">
        <f>CONCATENATE(T210,"-AI",REPLACE($X210,1,3,""),"-",AA210)</f>
        <v>F0-AI25-7B</v>
      </c>
      <c r="KD210" t="str">
        <f>CONCATENATE(T210,"-AI",REPLACE($X210,1,3,""),"-",AB210)</f>
        <v>F0-AI25-8B</v>
      </c>
      <c r="KI210">
        <v>7</v>
      </c>
      <c r="KJ210">
        <f t="shared" ref="KJ210:KK210" si="310">KI210+1</f>
        <v>8</v>
      </c>
      <c r="KK210">
        <f t="shared" si="310"/>
        <v>9</v>
      </c>
      <c r="KN210" t="s">
        <v>548</v>
      </c>
      <c r="KO210" s="16" t="s">
        <v>548</v>
      </c>
      <c r="KS210" s="16"/>
      <c r="OE210" s="27"/>
      <c r="PT210" s="16"/>
    </row>
    <row r="211" spans="1:436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1662</v>
      </c>
      <c r="X211" s="36" t="s">
        <v>1980</v>
      </c>
      <c r="Y211" s="45" cm="1">
        <f t="array" ref="Y211">IF(COUNTIFS($X$2:$X211,$X211)=1,"1",VALUE(SUBSTITUTE(INDEX(Y:Y,_xlfn.XMATCH($X211,$X$1:$X210,0,-1)),"A",""))+INDEX(Z:Z,_xlfn.XMATCH($X211,$X$1:$X210,0,-1))+1)</f>
        <v>5</v>
      </c>
      <c r="Z211" s="46" cm="1">
        <f t="array" ref="Z211">SUM(IF(ISNUMBER(FIND("TmAi",$BE$1:$AAD$1)),IF(IFERROR(ISODD(SUBSTITUTE($BE211:$AAD211,"A","")),FALSE),IF(ISODD(SUBSTITUTE($BE211:$AAD211,"A","")),1,0),0)))</f>
        <v>1</v>
      </c>
      <c r="AA211" t="str">
        <f t="shared" ref="AA211" si="311">CONCATENATE($Y211*2-1,"A")</f>
        <v>9A</v>
      </c>
      <c r="AB211" t="str">
        <f t="shared" ref="AB211" si="312">CONCATENATE($Y211*2-1,"B")</f>
        <v>9B</v>
      </c>
      <c r="AP211" t="s">
        <v>137</v>
      </c>
      <c r="AR211" t="s">
        <v>1278</v>
      </c>
      <c r="AS211" t="s">
        <v>396</v>
      </c>
      <c r="OE211" s="25" t="str">
        <f>CONCATENATE("XT",$U211)</f>
        <v>XT67</v>
      </c>
      <c r="OF211" s="12" t="s">
        <v>1284</v>
      </c>
      <c r="OG211" s="12" t="s">
        <v>1318</v>
      </c>
      <c r="OH211" s="12"/>
      <c r="OI211" s="12"/>
      <c r="OJ211" s="12" t="str">
        <f>CONCATENATE(REPLACE($AA211,LEN($AA211),1,"")+1,RIGHT($AA211))</f>
        <v>10A</v>
      </c>
      <c r="OK211" s="12" t="str">
        <f>CONCATENATE(REPLACE($AB211,LEN($AB211),1,"")+1,RIGHT($AB211))</f>
        <v>10B</v>
      </c>
      <c r="OL211" s="12" t="str">
        <f>CONCATENATE(REPLACE(OJ211,LEN(OJ211),1,"")+1,RIGHT(OJ211))</f>
        <v>11A</v>
      </c>
      <c r="OM211" s="12" t="str">
        <f t="shared" ref="OM211:OO211" si="313">CONCATENATE(REPLACE(OK211,LEN(OK211),1,"")+1,RIGHT(OK211))</f>
        <v>11B</v>
      </c>
      <c r="ON211" s="12" t="str">
        <f t="shared" si="313"/>
        <v>12A</v>
      </c>
      <c r="OO211" s="12" t="str">
        <f t="shared" si="313"/>
        <v>12B</v>
      </c>
      <c r="OP211" s="12"/>
      <c r="OQ211" s="12"/>
      <c r="OR211" s="12"/>
      <c r="OS211" s="12"/>
      <c r="OT211" s="12" t="str">
        <f>CONCATENATE($T211,"-AI",REPLACE($X211,1,3,""),"-",$AA211)</f>
        <v>F0-AI40-9A</v>
      </c>
      <c r="OU211" s="12" t="str">
        <f>CONCATENATE($T211,"-AI",REPLACE($X211,1,3,""),"-",$AB211)</f>
        <v>F0-AI40-9B</v>
      </c>
      <c r="OV211" s="12" t="str">
        <f t="shared" ref="OV211:PA211" si="314">CONCATENATE($T211,"-AI",REPLACE($X211,1,3,""),"-",OJ211)</f>
        <v>F0-AI40-10A</v>
      </c>
      <c r="OW211" s="12" t="str">
        <f t="shared" si="314"/>
        <v>F0-AI40-10B</v>
      </c>
      <c r="OX211" s="12" t="str">
        <f t="shared" si="314"/>
        <v>F0-AI40-11A</v>
      </c>
      <c r="OY211" s="12" t="str">
        <f t="shared" si="314"/>
        <v>F0-AI40-11B</v>
      </c>
      <c r="OZ211" s="12" t="str">
        <f t="shared" si="314"/>
        <v>F0-AI40-12A</v>
      </c>
      <c r="PA211" s="12" t="str">
        <f t="shared" si="314"/>
        <v>F0-AI40-12B</v>
      </c>
      <c r="PB211" s="12"/>
      <c r="PC211" s="12"/>
      <c r="PD211" s="12"/>
      <c r="PE211" s="12"/>
      <c r="PF211" s="12" cm="1">
        <f t="array" ref="PF211">IF(COUNTIFS($U$2:$U211,$U211)=1,1,INDEX(PF:PF,_xlfn.XMATCH($U211,$U$1:EF210,0,-1))+COUNT(PF210:PK210))</f>
        <v>1</v>
      </c>
      <c r="PG211" s="12">
        <f t="shared" ref="PG211:PH211" si="315">PF211+1</f>
        <v>2</v>
      </c>
      <c r="PH211" s="12">
        <f t="shared" si="315"/>
        <v>3</v>
      </c>
      <c r="PI211" s="12">
        <f>PH211+1</f>
        <v>4</v>
      </c>
      <c r="PJ211" s="12">
        <f t="shared" ref="PJ211:PK211" si="316">PI211+1</f>
        <v>5</v>
      </c>
      <c r="PK211" s="12">
        <f t="shared" si="316"/>
        <v>6</v>
      </c>
      <c r="PL211" s="12"/>
      <c r="PM211" s="12"/>
      <c r="PN211" s="12"/>
      <c r="PO211" s="12">
        <v>1</v>
      </c>
      <c r="PP211" s="12">
        <v>2</v>
      </c>
      <c r="PQ211" s="12">
        <v>3</v>
      </c>
      <c r="PR211" s="12">
        <v>4</v>
      </c>
      <c r="PS211" s="12">
        <v>5</v>
      </c>
      <c r="PT211" s="13">
        <v>6</v>
      </c>
    </row>
    <row r="212" spans="1:436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1663</v>
      </c>
      <c r="X212" s="36" t="s">
        <v>1257</v>
      </c>
      <c r="Y212" s="45" cm="1">
        <f t="array" ref="Y212">IF(COUNTIFS($X$2:$X212,$X212)=1,"1",VALUE(SUBSTITUTE(INDEX(Y:Y,_xlfn.XMATCH($X212,$X$1:$X211,0,-1)),"A",""))+INDEX(Z:Z,_xlfn.XMATCH($X212,$X$1:$X211,0,-1))+1)</f>
        <v>5</v>
      </c>
      <c r="Z212" s="46" cm="1">
        <f t="array" ref="Z212">SUM(IF(ISNUMBER(FIND("TmAi",$BE$1:$AAD$1)),IF(IFERROR(ISODD(SUBSTITUTE($BE212:$AAD212,"A","")),FALSE),IF(ISODD(SUBSTITUTE($BE212:$AAD212,"A","")),1,0),0)))</f>
        <v>0</v>
      </c>
      <c r="AA212" t="str">
        <f t="shared" ref="AA212" si="317">CONCATENATE($Y212*2-1,"B")</f>
        <v>9B</v>
      </c>
      <c r="AB212" t="str">
        <f t="shared" ref="AB212" si="318">CONCATENATE($Y212*2,"B")</f>
        <v>10B</v>
      </c>
      <c r="AP212" t="s">
        <v>137</v>
      </c>
      <c r="AQ212" t="s">
        <v>1269</v>
      </c>
      <c r="AS212" t="s">
        <v>396</v>
      </c>
      <c r="JZ212" s="27" t="str">
        <f>CONCATENATE("XT",U212)</f>
        <v>XT67</v>
      </c>
      <c r="KC212" t="str">
        <f>CONCATENATE(T212,"-AI",REPLACE($X212,1,3,""),"-",AA212)</f>
        <v>F0-AI25-9B</v>
      </c>
      <c r="KD212" t="str">
        <f>CONCATENATE(T212,"-AI",REPLACE($X212,1,3,""),"-",AB212)</f>
        <v>F0-AI25-10B</v>
      </c>
      <c r="KI212">
        <v>7</v>
      </c>
      <c r="KJ212">
        <f t="shared" ref="KJ212:KK212" si="319">KI212+1</f>
        <v>8</v>
      </c>
      <c r="KK212">
        <f t="shared" si="319"/>
        <v>9</v>
      </c>
      <c r="KN212" t="s">
        <v>548</v>
      </c>
      <c r="KO212" s="16" t="s">
        <v>548</v>
      </c>
      <c r="KS212" s="16"/>
      <c r="OE212" s="27"/>
      <c r="PT212" s="16"/>
    </row>
    <row r="213" spans="1:436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1664</v>
      </c>
      <c r="X213" s="36" t="s">
        <v>1981</v>
      </c>
      <c r="Y213" s="45" t="str" cm="1">
        <f t="array" ref="Y213">IF(COUNTIFS($X$2:$X213,$X213)=1,"1",VALUE(SUBSTITUTE(INDEX(Y:Y,_xlfn.XMATCH($X213,$X$1:$X212,0,-1)),"A",""))+INDEX(Z:Z,_xlfn.XMATCH($X213,$X$1:$X212,0,-1))+1)</f>
        <v>1</v>
      </c>
      <c r="Z213" s="46" cm="1">
        <f t="array" ref="Z213">SUM(IF(ISNUMBER(FIND("TmAi",$BE$1:$AAD$1)),IF(IFERROR(ISODD(SUBSTITUTE($BE213:$AAD213,"A","")),FALSE),IF(ISODD(SUBSTITUTE($BE213:$AAD213,"A","")),1,0),0)))</f>
        <v>1</v>
      </c>
      <c r="AA213" t="str">
        <f t="shared" ref="AA213" si="320">CONCATENATE($Y213*2-1,"A")</f>
        <v>1A</v>
      </c>
      <c r="AB213" t="str">
        <f t="shared" ref="AB213" si="321">CONCATENATE($Y213*2-1,"B")</f>
        <v>1B</v>
      </c>
      <c r="AP213" t="s">
        <v>137</v>
      </c>
      <c r="AR213" t="s">
        <v>1290</v>
      </c>
      <c r="AS213" t="s">
        <v>396</v>
      </c>
      <c r="OE213" s="25" t="str">
        <f>CONCATENATE("XT",$U213)</f>
        <v>XT68</v>
      </c>
      <c r="OF213" s="12" t="s">
        <v>1297</v>
      </c>
      <c r="OG213" s="12" t="s">
        <v>1314</v>
      </c>
      <c r="OH213" s="12"/>
      <c r="OI213" s="12"/>
      <c r="OJ213" s="12" t="str">
        <f>CONCATENATE(REPLACE($AA213,LEN($AA213),1,"")+1,RIGHT($AA213))</f>
        <v>2A</v>
      </c>
      <c r="OK213" s="12" t="str">
        <f>CONCATENATE(REPLACE($AB213,LEN($AB213),1,"")+1,RIGHT($AB213))</f>
        <v>2B</v>
      </c>
      <c r="OL213" s="12" t="str">
        <f>CONCATENATE(REPLACE(OJ213,LEN(OJ213),1,"")+1,RIGHT(OJ213))</f>
        <v>3A</v>
      </c>
      <c r="OM213" s="12" t="str">
        <f t="shared" ref="OM213:OO213" si="322">CONCATENATE(REPLACE(OK213,LEN(OK213),1,"")+1,RIGHT(OK213))</f>
        <v>3B</v>
      </c>
      <c r="ON213" s="12" t="str">
        <f t="shared" si="322"/>
        <v>4A</v>
      </c>
      <c r="OO213" s="12" t="str">
        <f t="shared" si="322"/>
        <v>4B</v>
      </c>
      <c r="OP213" s="12"/>
      <c r="OQ213" s="12"/>
      <c r="OR213" s="12"/>
      <c r="OS213" s="12"/>
      <c r="OT213" s="12" t="str">
        <f>CONCATENATE($T213,"-AI",REPLACE($X213,1,3,""),"-",$AA213)</f>
        <v>F0-AI41-1A</v>
      </c>
      <c r="OU213" s="12" t="str">
        <f>CONCATENATE($T213,"-AI",REPLACE($X213,1,3,""),"-",$AB213)</f>
        <v>F0-AI41-1B</v>
      </c>
      <c r="OV213" s="12" t="str">
        <f t="shared" ref="OV213:PA213" si="323">CONCATENATE($T213,"-AI",REPLACE($X213,1,3,""),"-",OJ213)</f>
        <v>F0-AI41-2A</v>
      </c>
      <c r="OW213" s="12" t="str">
        <f t="shared" si="323"/>
        <v>F0-AI41-2B</v>
      </c>
      <c r="OX213" s="12" t="str">
        <f t="shared" si="323"/>
        <v>F0-AI41-3A</v>
      </c>
      <c r="OY213" s="12" t="str">
        <f t="shared" si="323"/>
        <v>F0-AI41-3B</v>
      </c>
      <c r="OZ213" s="12" t="str">
        <f t="shared" si="323"/>
        <v>F0-AI41-4A</v>
      </c>
      <c r="PA213" s="12" t="str">
        <f t="shared" si="323"/>
        <v>F0-AI41-4B</v>
      </c>
      <c r="PB213" s="12"/>
      <c r="PC213" s="12"/>
      <c r="PD213" s="12"/>
      <c r="PE213" s="12"/>
      <c r="PF213" s="12" cm="1">
        <f t="array" ref="PF213">IF(COUNTIFS($U$2:$U213,$U213)=1,1,INDEX(PF:PF,_xlfn.XMATCH($U213,$U$1:EF212,0,-1))+COUNT(PF212:PK212))</f>
        <v>1</v>
      </c>
      <c r="PG213" s="12">
        <f t="shared" ref="PG213:PH213" si="324">PF213+1</f>
        <v>2</v>
      </c>
      <c r="PH213" s="12">
        <f t="shared" si="324"/>
        <v>3</v>
      </c>
      <c r="PI213" s="12">
        <f>PH213+1</f>
        <v>4</v>
      </c>
      <c r="PJ213" s="12">
        <f t="shared" ref="PJ213:PK213" si="325">PI213+1</f>
        <v>5</v>
      </c>
      <c r="PK213" s="12">
        <f t="shared" si="325"/>
        <v>6</v>
      </c>
      <c r="PL213" s="12"/>
      <c r="PM213" s="12"/>
      <c r="PN213" s="12"/>
      <c r="PO213" s="12">
        <v>1</v>
      </c>
      <c r="PP213" s="12">
        <v>2</v>
      </c>
      <c r="PQ213" s="12">
        <v>3</v>
      </c>
      <c r="PR213" s="12">
        <v>4</v>
      </c>
      <c r="PS213" s="12">
        <v>5</v>
      </c>
      <c r="PT213" s="13">
        <v>6</v>
      </c>
    </row>
    <row r="214" spans="1:436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1665</v>
      </c>
      <c r="X214" s="36" t="s">
        <v>1257</v>
      </c>
      <c r="Y214" s="45" cm="1">
        <f t="array" ref="Y214">IF(COUNTIFS($X$2:$X214,$X214)=1,"1",VALUE(SUBSTITUTE(INDEX(Y:Y,_xlfn.XMATCH($X214,$X$1:$X213,0,-1)),"A",""))+INDEX(Z:Z,_xlfn.XMATCH($X214,$X$1:$X213,0,-1))+1)</f>
        <v>6</v>
      </c>
      <c r="Z214" s="46" cm="1">
        <f t="array" ref="Z214">SUM(IF(ISNUMBER(FIND("TmAi",$BE$1:$AAD$1)),IF(IFERROR(ISODD(SUBSTITUTE($BE214:$AAD214,"A","")),FALSE),IF(ISODD(SUBSTITUTE($BE214:$AAD214,"A","")),1,0),0)))</f>
        <v>0</v>
      </c>
      <c r="AA214" t="str">
        <f t="shared" ref="AA214" si="326">CONCATENATE($Y214*2-1,"B")</f>
        <v>11B</v>
      </c>
      <c r="AB214" t="str">
        <f t="shared" ref="AB214" si="327">CONCATENATE($Y214*2,"B")</f>
        <v>12B</v>
      </c>
      <c r="AP214" t="s">
        <v>137</v>
      </c>
      <c r="AQ214" t="s">
        <v>1292</v>
      </c>
      <c r="AS214" t="s">
        <v>396</v>
      </c>
      <c r="JZ214" s="27" t="str">
        <f>CONCATENATE("XT",U214)</f>
        <v>XT68</v>
      </c>
      <c r="KC214" t="str">
        <f>CONCATENATE(T214,"-AI",REPLACE($X214,1,3,""),"-",AA214)</f>
        <v>F0-AI25-11B</v>
      </c>
      <c r="KD214" t="str">
        <f>CONCATENATE(T214,"-AI",REPLACE($X214,1,3,""),"-",AB214)</f>
        <v>F0-AI25-12B</v>
      </c>
      <c r="KI214">
        <v>7</v>
      </c>
      <c r="KJ214">
        <f t="shared" ref="KJ214:KK214" si="328">KI214+1</f>
        <v>8</v>
      </c>
      <c r="KK214">
        <f t="shared" si="328"/>
        <v>9</v>
      </c>
      <c r="KN214" t="s">
        <v>548</v>
      </c>
      <c r="KO214" s="16" t="s">
        <v>548</v>
      </c>
      <c r="KS214" s="16"/>
      <c r="OE214" s="27"/>
      <c r="PT214" s="16"/>
    </row>
    <row r="215" spans="1:436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1666</v>
      </c>
      <c r="X215" s="36" t="s">
        <v>1981</v>
      </c>
      <c r="Y215" s="45" cm="1">
        <f t="array" ref="Y215">IF(COUNTIFS($X$2:$X215,$X215)=1,"1",VALUE(SUBSTITUTE(INDEX(Y:Y,_xlfn.XMATCH($X215,$X$1:$X214,0,-1)),"A",""))+INDEX(Z:Z,_xlfn.XMATCH($X215,$X$1:$X214,0,-1))+1)</f>
        <v>3</v>
      </c>
      <c r="Z215" s="46" cm="1">
        <f t="array" ref="Z215">SUM(IF(ISNUMBER(FIND("TmAi",$BE$1:$AAD$1)),IF(IFERROR(ISODD(SUBSTITUTE($BE215:$AAD215,"A","")),FALSE),IF(ISODD(SUBSTITUTE($BE215:$AAD215,"A","")),1,0),0)))</f>
        <v>1</v>
      </c>
      <c r="AA215" t="str">
        <f t="shared" ref="AA215" si="329">CONCATENATE($Y215*2-1,"A")</f>
        <v>5A</v>
      </c>
      <c r="AB215" t="str">
        <f t="shared" ref="AB215" si="330">CONCATENATE($Y215*2-1,"B")</f>
        <v>5B</v>
      </c>
      <c r="AP215" t="s">
        <v>137</v>
      </c>
      <c r="AR215" t="s">
        <v>1291</v>
      </c>
      <c r="AS215" t="s">
        <v>396</v>
      </c>
      <c r="OE215" s="25" t="str">
        <f>CONCATENATE("XT",$U215)</f>
        <v>XT69</v>
      </c>
      <c r="OF215" s="12" t="s">
        <v>1298</v>
      </c>
      <c r="OG215" s="12" t="s">
        <v>1315</v>
      </c>
      <c r="OH215" s="12"/>
      <c r="OI215" s="12"/>
      <c r="OJ215" s="12" t="str">
        <f>CONCATENATE(REPLACE($AA215,LEN($AA215),1,"")+1,RIGHT($AA215))</f>
        <v>6A</v>
      </c>
      <c r="OK215" s="12" t="str">
        <f>CONCATENATE(REPLACE($AB215,LEN($AB215),1,"")+1,RIGHT($AB215))</f>
        <v>6B</v>
      </c>
      <c r="OL215" s="12" t="str">
        <f>CONCATENATE(REPLACE(OJ215,LEN(OJ215),1,"")+1,RIGHT(OJ215))</f>
        <v>7A</v>
      </c>
      <c r="OM215" s="12" t="str">
        <f t="shared" ref="OM215:OO215" si="331">CONCATENATE(REPLACE(OK215,LEN(OK215),1,"")+1,RIGHT(OK215))</f>
        <v>7B</v>
      </c>
      <c r="ON215" s="12" t="str">
        <f t="shared" si="331"/>
        <v>8A</v>
      </c>
      <c r="OO215" s="12" t="str">
        <f t="shared" si="331"/>
        <v>8B</v>
      </c>
      <c r="OP215" s="12"/>
      <c r="OQ215" s="12"/>
      <c r="OR215" s="12"/>
      <c r="OS215" s="12"/>
      <c r="OT215" s="12" t="str">
        <f>CONCATENATE($T215,"-AI",REPLACE($X215,1,3,""),"-",$AA215)</f>
        <v>F0-AI41-5A</v>
      </c>
      <c r="OU215" s="12" t="str">
        <f>CONCATENATE($T215,"-AI",REPLACE($X215,1,3,""),"-",$AB215)</f>
        <v>F0-AI41-5B</v>
      </c>
      <c r="OV215" s="12" t="str">
        <f t="shared" ref="OV215:PA215" si="332">CONCATENATE($T215,"-AI",REPLACE($X215,1,3,""),"-",OJ215)</f>
        <v>F0-AI41-6A</v>
      </c>
      <c r="OW215" s="12" t="str">
        <f t="shared" si="332"/>
        <v>F0-AI41-6B</v>
      </c>
      <c r="OX215" s="12" t="str">
        <f t="shared" si="332"/>
        <v>F0-AI41-7A</v>
      </c>
      <c r="OY215" s="12" t="str">
        <f t="shared" si="332"/>
        <v>F0-AI41-7B</v>
      </c>
      <c r="OZ215" s="12" t="str">
        <f t="shared" si="332"/>
        <v>F0-AI41-8A</v>
      </c>
      <c r="PA215" s="12" t="str">
        <f t="shared" si="332"/>
        <v>F0-AI41-8B</v>
      </c>
      <c r="PB215" s="12"/>
      <c r="PC215" s="12"/>
      <c r="PD215" s="12"/>
      <c r="PE215" s="12"/>
      <c r="PF215" s="12" cm="1">
        <f t="array" ref="PF215">IF(COUNTIFS($U$2:$U215,$U215)=1,1,INDEX(PF:PF,_xlfn.XMATCH($U215,$U$1:EF214,0,-1))+COUNT(PF214:PK214))</f>
        <v>1</v>
      </c>
      <c r="PG215" s="12">
        <f t="shared" ref="PG215:PH215" si="333">PF215+1</f>
        <v>2</v>
      </c>
      <c r="PH215" s="12">
        <f t="shared" si="333"/>
        <v>3</v>
      </c>
      <c r="PI215" s="12">
        <f>PH215+1</f>
        <v>4</v>
      </c>
      <c r="PJ215" s="12">
        <f t="shared" ref="PJ215:PK215" si="334">PI215+1</f>
        <v>5</v>
      </c>
      <c r="PK215" s="12">
        <f t="shared" si="334"/>
        <v>6</v>
      </c>
      <c r="PL215" s="12"/>
      <c r="PM215" s="12"/>
      <c r="PN215" s="12"/>
      <c r="PO215" s="12">
        <v>1</v>
      </c>
      <c r="PP215" s="12">
        <v>2</v>
      </c>
      <c r="PQ215" s="12">
        <v>3</v>
      </c>
      <c r="PR215" s="12">
        <v>4</v>
      </c>
      <c r="PS215" s="12">
        <v>5</v>
      </c>
      <c r="PT215" s="13">
        <v>6</v>
      </c>
    </row>
    <row r="216" spans="1:436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1667</v>
      </c>
      <c r="X216" s="36" t="s">
        <v>1257</v>
      </c>
      <c r="Y216" s="45" cm="1">
        <f t="array" ref="Y216">IF(COUNTIFS($X$2:$X216,$X216)=1,"1",VALUE(SUBSTITUTE(INDEX(Y:Y,_xlfn.XMATCH($X216,$X$1:$X215,0,-1)),"A",""))+INDEX(Z:Z,_xlfn.XMATCH($X216,$X$1:$X215,0,-1))+1)</f>
        <v>7</v>
      </c>
      <c r="Z216" s="46" cm="1">
        <f t="array" ref="Z216">SUM(IF(ISNUMBER(FIND("TmAi",$BE$1:$AAD$1)),IF(IFERROR(ISODD(SUBSTITUTE($BE216:$AAD216,"A","")),FALSE),IF(ISODD(SUBSTITUTE($BE216:$AAD216,"A","")),1,0),0)))</f>
        <v>0</v>
      </c>
      <c r="AA216" t="str">
        <f t="shared" ref="AA216:AA220" si="335">CONCATENATE($Y216*2-1,"B")</f>
        <v>13B</v>
      </c>
      <c r="AB216" t="str">
        <f t="shared" ref="AB216:AB220" si="336">CONCATENATE($Y216*2,"B")</f>
        <v>14B</v>
      </c>
      <c r="AP216" t="s">
        <v>137</v>
      </c>
      <c r="AQ216" t="s">
        <v>1292</v>
      </c>
      <c r="AS216" t="s">
        <v>396</v>
      </c>
      <c r="JZ216" s="27" t="str">
        <f t="shared" ref="JZ216:JZ224" si="337">CONCATENATE("XT",U216)</f>
        <v>XT69</v>
      </c>
      <c r="KC216" t="str">
        <f t="shared" ref="KC216:KC224" si="338">CONCATENATE(T216,"-AI",REPLACE($X216,1,3,""),"-",AA216)</f>
        <v>F0-AI25-13B</v>
      </c>
      <c r="KD216" t="str">
        <f t="shared" ref="KD216:KD224" si="339">CONCATENATE(T216,"-AI",REPLACE($X216,1,3,""),"-",AB216)</f>
        <v>F0-AI25-14B</v>
      </c>
      <c r="KI216">
        <v>7</v>
      </c>
      <c r="KJ216">
        <f t="shared" ref="KJ216:KL224" si="340">KI216+1</f>
        <v>8</v>
      </c>
      <c r="KK216">
        <f t="shared" si="340"/>
        <v>9</v>
      </c>
      <c r="KN216" t="s">
        <v>548</v>
      </c>
      <c r="KO216" s="16" t="s">
        <v>548</v>
      </c>
      <c r="KS216" s="16"/>
      <c r="OE216" s="27"/>
      <c r="PT216" s="16"/>
    </row>
    <row r="217" spans="1:436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1668</v>
      </c>
      <c r="X217" t="str">
        <f>IF(COUNTIF(X$1:X216,X216)&gt;3,REPLACE(X216,LEN(X216),1,VALUE(RIGHT(X216,1))+1),X216)</f>
        <v>A3.26</v>
      </c>
      <c r="Y217" s="43" t="str" cm="1">
        <f t="array" ref="Y217">IF(COUNTIFS($X$2:$X217,$X217)=1,"1",VALUE(SUBSTITUTE(INDEX(Y:Y,_xlfn.XMATCH($X217,$X$1:$X216,0,-1)),"A",""))+INDEX(Z:Z,_xlfn.XMATCH($X217,$X$1:$X216,0,-1))+1)</f>
        <v>1</v>
      </c>
      <c r="Z217" s="46" cm="1">
        <f t="array" ref="Z217">SUM(IF(ISNUMBER(FIND("TmAi",$BE$1:$AAD$1)),IF(IFERROR(ISODD(SUBSTITUTE($BE217:$AAD217,"A","")),FALSE),IF(ISODD(SUBSTITUTE($BE217:$AAD217,"A","")),1,0),0)))</f>
        <v>0</v>
      </c>
      <c r="AA217" t="str">
        <f t="shared" si="335"/>
        <v>1B</v>
      </c>
      <c r="AB217" t="str">
        <f t="shared" si="336"/>
        <v>2B</v>
      </c>
      <c r="AP217" t="s">
        <v>137</v>
      </c>
      <c r="AQ217" t="s">
        <v>1307</v>
      </c>
      <c r="AS217" t="s">
        <v>396</v>
      </c>
      <c r="JZ217" s="27" t="str">
        <f t="shared" si="337"/>
        <v>XT70</v>
      </c>
      <c r="KC217" t="str">
        <f t="shared" si="338"/>
        <v>F0-AI26-1B</v>
      </c>
      <c r="KD217" t="str">
        <f t="shared" si="339"/>
        <v>F0-AI26-2B</v>
      </c>
      <c r="KI217">
        <v>1</v>
      </c>
      <c r="KJ217">
        <f t="shared" si="340"/>
        <v>2</v>
      </c>
      <c r="KK217">
        <f t="shared" si="340"/>
        <v>3</v>
      </c>
      <c r="KN217" t="s">
        <v>548</v>
      </c>
      <c r="KO217" s="16" t="s">
        <v>548</v>
      </c>
      <c r="KS217" s="16"/>
      <c r="OE217" s="27"/>
      <c r="PT217" s="16"/>
    </row>
    <row r="218" spans="1:436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1669</v>
      </c>
      <c r="X218" t="str">
        <f>IF(COUNTIF(X$1:X217,X217)&gt;3,REPLACE(X217,LEN(X217),1,VALUE(RIGHT(X217,1))+1),X217)</f>
        <v>A3.26</v>
      </c>
      <c r="Y218" s="43" cm="1">
        <f t="array" ref="Y218">IF(COUNTIFS($X$2:$X218,$X218)=1,"1",VALUE(SUBSTITUTE(INDEX(Y:Y,_xlfn.XMATCH($X218,$X$1:$X217,0,-1)),"A",""))+INDEX(Z:Z,_xlfn.XMATCH($X218,$X$1:$X217,0,-1))+1)</f>
        <v>2</v>
      </c>
      <c r="Z218" s="46" cm="1">
        <f t="array" ref="Z218">SUM(IF(ISNUMBER(FIND("TmAi",$BE$1:$AAD$1)),IF(IFERROR(ISODD(SUBSTITUTE($BE218:$AAD218,"A","")),FALSE),IF(ISODD(SUBSTITUTE($BE218:$AAD218,"A","")),1,0),0)))</f>
        <v>0</v>
      </c>
      <c r="AA218" t="str">
        <f t="shared" si="335"/>
        <v>3B</v>
      </c>
      <c r="AB218" t="str">
        <f t="shared" si="336"/>
        <v>4B</v>
      </c>
      <c r="AP218" t="s">
        <v>137</v>
      </c>
      <c r="AQ218" t="s">
        <v>1307</v>
      </c>
      <c r="AS218" t="s">
        <v>396</v>
      </c>
      <c r="JZ218" s="27" t="str">
        <f t="shared" si="337"/>
        <v>XT70</v>
      </c>
      <c r="KC218" t="str">
        <f t="shared" si="338"/>
        <v>F0-AI26-3B</v>
      </c>
      <c r="KD218" t="str">
        <f t="shared" si="339"/>
        <v>F0-AI26-4B</v>
      </c>
      <c r="KI218" cm="1">
        <f t="array" ref="KI218">IF(COUNTIFS($U$2:$U218,$U218)=1,1,INDEX(KI:KI,_xlfn.XMATCH(U218,U$1:U217,0,-1))+COUNT(KI217:KM217))</f>
        <v>4</v>
      </c>
      <c r="KJ218">
        <f t="shared" si="340"/>
        <v>5</v>
      </c>
      <c r="KK218">
        <f t="shared" si="340"/>
        <v>6</v>
      </c>
      <c r="KN218" t="s">
        <v>548</v>
      </c>
      <c r="KO218" s="16" t="s">
        <v>548</v>
      </c>
      <c r="KS218" s="16"/>
      <c r="OE218" s="27"/>
      <c r="PT218" s="16"/>
    </row>
    <row r="219" spans="1:436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1670</v>
      </c>
      <c r="X219" t="str">
        <f>IF(COUNTIF(X$1:X218,X218)&gt;3,REPLACE(X218,LEN(X218),1,VALUE(RIGHT(X218,1))+1),X218)</f>
        <v>A3.26</v>
      </c>
      <c r="Y219" s="43" cm="1">
        <f t="array" ref="Y219">IF(COUNTIFS($X$2:$X219,$X219)=1,"1",VALUE(SUBSTITUTE(INDEX(Y:Y,_xlfn.XMATCH($X219,$X$1:$X218,0,-1)),"A",""))+INDEX(Z:Z,_xlfn.XMATCH($X219,$X$1:$X218,0,-1))+1)</f>
        <v>3</v>
      </c>
      <c r="Z219" s="46" cm="1">
        <f t="array" ref="Z219">SUM(IF(ISNUMBER(FIND("TmAi",$BE$1:$AAD$1)),IF(IFERROR(ISODD(SUBSTITUTE($BE219:$AAD219,"A","")),FALSE),IF(ISODD(SUBSTITUTE($BE219:$AAD219,"A","")),1,0),0)))</f>
        <v>0</v>
      </c>
      <c r="AA219" t="str">
        <f t="shared" si="335"/>
        <v>5B</v>
      </c>
      <c r="AB219" t="str">
        <f t="shared" si="336"/>
        <v>6B</v>
      </c>
      <c r="AP219" t="s">
        <v>137</v>
      </c>
      <c r="AQ219" t="s">
        <v>1302</v>
      </c>
      <c r="AS219" t="s">
        <v>396</v>
      </c>
      <c r="JZ219" s="27" t="str">
        <f t="shared" si="337"/>
        <v>XT70</v>
      </c>
      <c r="KC219" t="str">
        <f t="shared" si="338"/>
        <v>F0-AI26-5B</v>
      </c>
      <c r="KD219" t="str">
        <f t="shared" si="339"/>
        <v>F0-AI26-6B</v>
      </c>
      <c r="KI219" cm="1">
        <f t="array" ref="KI219">IF(COUNTIFS($U$2:$U219,$U219)=1,1,INDEX(KI:KI,_xlfn.XMATCH(U219,U$1:U218,0,-1))+COUNT(KI218:KM218))</f>
        <v>7</v>
      </c>
      <c r="KJ219">
        <f t="shared" si="340"/>
        <v>8</v>
      </c>
      <c r="KK219">
        <f t="shared" si="340"/>
        <v>9</v>
      </c>
      <c r="KN219" t="s">
        <v>548</v>
      </c>
      <c r="KO219" s="16" t="s">
        <v>548</v>
      </c>
      <c r="KS219" s="16"/>
      <c r="OE219" s="27"/>
      <c r="PT219" s="16"/>
    </row>
    <row r="220" spans="1:436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1671</v>
      </c>
      <c r="X220" s="33" t="str">
        <f>IF(COUNTIF(X$1:X219,X219)&gt;3,REPLACE(X219,LEN(X219),1,VALUE(RIGHT(X219,1))+1),X219)</f>
        <v>A3.26</v>
      </c>
      <c r="Y220" s="45" cm="1">
        <f t="array" ref="Y220">IF(COUNTIFS($X$2:$X220,$X220)=1,"1",VALUE(SUBSTITUTE(INDEX(Y:Y,_xlfn.XMATCH($X220,$X$1:$X219,0,-1)),"A",""))+INDEX(Z:Z,_xlfn.XMATCH($X220,$X$1:$X219,0,-1))+1)</f>
        <v>4</v>
      </c>
      <c r="Z220" s="46" cm="1">
        <f t="array" ref="Z220">SUM(IF(ISNUMBER(FIND("TmAi",$BE$1:$AAD$1)),IF(IFERROR(ISODD(SUBSTITUTE($BE220:$AAD220,"A","")),FALSE),IF(ISODD(SUBSTITUTE($BE220:$AAD220,"A","")),1,0),0)))</f>
        <v>0</v>
      </c>
      <c r="AA220" t="str">
        <f t="shared" si="335"/>
        <v>7B</v>
      </c>
      <c r="AB220" t="str">
        <f t="shared" si="336"/>
        <v>8B</v>
      </c>
      <c r="AP220" t="s">
        <v>137</v>
      </c>
      <c r="AQ220" t="s">
        <v>1302</v>
      </c>
      <c r="AS220" t="s">
        <v>396</v>
      </c>
      <c r="JZ220" s="27" t="str">
        <f t="shared" si="337"/>
        <v>XT70</v>
      </c>
      <c r="KC220" t="str">
        <f t="shared" si="338"/>
        <v>F0-AI26-7B</v>
      </c>
      <c r="KD220" t="str">
        <f t="shared" si="339"/>
        <v>F0-AI26-8B</v>
      </c>
      <c r="KI220" cm="1">
        <f t="array" ref="KI220">IF(COUNTIFS($U$2:$U220,$U220)=1,1,INDEX(KI:KI,_xlfn.XMATCH(U220,U$1:U219,0,-1))+COUNT(KI219:KM219))</f>
        <v>10</v>
      </c>
      <c r="KJ220">
        <f t="shared" si="340"/>
        <v>11</v>
      </c>
      <c r="KK220">
        <f t="shared" si="340"/>
        <v>12</v>
      </c>
      <c r="KN220" t="s">
        <v>548</v>
      </c>
      <c r="KO220" s="16" t="s">
        <v>548</v>
      </c>
      <c r="KS220" s="16"/>
      <c r="OE220" s="27"/>
      <c r="PT220" s="16"/>
    </row>
    <row r="221" spans="1:436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1549</v>
      </c>
      <c r="X221" t="s">
        <v>1982</v>
      </c>
      <c r="Y221" s="43" t="str" cm="1">
        <f t="array" ref="Y221">IF(COUNTIFS($X$2:$X221,$X221)=1,"1",VALUE(SUBSTITUTE(INDEX(Y:Y,_xlfn.XMATCH($X221,$X$1:$X220,0,-1)),"A",""))+INDEX(Z:Z,_xlfn.XMATCH($X221,$X$1:$X220,0,-1))+1)</f>
        <v>1</v>
      </c>
      <c r="Z221" s="46" cm="1">
        <f t="array" ref="Z221">SUM(IF(ISNUMBER(FIND("TmAi",$BE$1:$AAD$1)),IF(IFERROR(ISODD(SUBSTITUTE($BE221:$AAD221,"A","")),FALSE),IF(ISODD(SUBSTITUTE($BE221:$AAD221,"A","")),1,0),0)))</f>
        <v>0</v>
      </c>
      <c r="AA221" t="str">
        <f>CONCATENATE($Y221*2-1,"A")</f>
        <v>1A</v>
      </c>
      <c r="AB221" t="str">
        <f>CONCATENATE($Y221*2-1,"B")</f>
        <v>1B</v>
      </c>
      <c r="AP221" t="s">
        <v>137</v>
      </c>
      <c r="AS221" t="s">
        <v>396</v>
      </c>
      <c r="JZ221" s="27" t="str">
        <f t="shared" si="337"/>
        <v>XT71</v>
      </c>
      <c r="KA221" t="str">
        <f>REPLACE(AA221,1,1,LEFT(AA221,1)+1)</f>
        <v>2A</v>
      </c>
      <c r="KC221" t="str">
        <f t="shared" si="338"/>
        <v>F0-AI42-1A</v>
      </c>
      <c r="KD221" t="str">
        <f t="shared" si="339"/>
        <v>F0-AI42-1B</v>
      </c>
      <c r="KE221" t="str">
        <f t="shared" ref="KE221:KF222" si="341">CONCATENATE($T221,"-AI",REPLACE($X221,1,3,""),"-",KA221)</f>
        <v>F0-AI42-2A</v>
      </c>
      <c r="KF221" t="str">
        <f t="shared" si="341"/>
        <v>F0-AI42-</v>
      </c>
      <c r="KI221" cm="1">
        <f t="array" ref="KI221">IF(COUNTIFS($U$2:$U221,$U221)=1,1,INDEX(KI:KI,_xlfn.XMATCH(U221,U$1:U220,0,-1))+COUNT(KI220:KM220))</f>
        <v>1</v>
      </c>
      <c r="KJ221">
        <f t="shared" si="340"/>
        <v>2</v>
      </c>
      <c r="KK221">
        <f t="shared" si="340"/>
        <v>3</v>
      </c>
      <c r="KL221">
        <f t="shared" si="340"/>
        <v>4</v>
      </c>
      <c r="KN221">
        <v>2</v>
      </c>
      <c r="KO221" s="16">
        <v>1</v>
      </c>
      <c r="KP221">
        <v>4</v>
      </c>
      <c r="KQ221">
        <v>3</v>
      </c>
      <c r="KS221" s="16"/>
    </row>
    <row r="222" spans="1:436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1550</v>
      </c>
      <c r="X222" s="33" t="str">
        <f>IF(COUNTIF(X$1:X221,X221)&gt;7,REPLACE(X221,LEN(X221),1,VALUE(RIGHT(X221,1))+1),X221)</f>
        <v>A3.42</v>
      </c>
      <c r="Y222" s="45" cm="1">
        <f t="array" ref="Y222">IF(COUNTIFS($X$2:$X222,$X222)=1,"1",VALUE(SUBSTITUTE(INDEX(Y:Y,_xlfn.XMATCH($X222,$X$1:$X221,0,-1)),"A",""))+INDEX(Z:Z,_xlfn.XMATCH($X222,$X$1:$X221,0,-1))+1)</f>
        <v>2</v>
      </c>
      <c r="Z222" s="46" cm="1">
        <f t="array" ref="Z222">SUM(IF(ISNUMBER(FIND("TmAi",$BE$1:$AAD$1)),IF(IFERROR(ISODD(SUBSTITUTE($BE222:$AAD222,"A","")),FALSE),IF(ISODD(SUBSTITUTE($BE222:$AAD222,"A","")),1,0),0)))</f>
        <v>0</v>
      </c>
      <c r="AA222" t="str">
        <f>CONCATENATE($Y222*2-1,"A")</f>
        <v>3A</v>
      </c>
      <c r="AB222" t="str">
        <f>CONCATENATE($Y222*2-1,"B")</f>
        <v>3B</v>
      </c>
      <c r="AP222" t="s">
        <v>137</v>
      </c>
      <c r="AS222" t="s">
        <v>396</v>
      </c>
      <c r="JZ222" s="27" t="str">
        <f t="shared" si="337"/>
        <v>XT71</v>
      </c>
      <c r="KA222" t="str">
        <f>REPLACE(AA222,1,1,LEFT(AA222,1)+1)</f>
        <v>4A</v>
      </c>
      <c r="KC222" t="str">
        <f t="shared" si="338"/>
        <v>F0-AI42-3A</v>
      </c>
      <c r="KD222" t="str">
        <f t="shared" si="339"/>
        <v>F0-AI42-3B</v>
      </c>
      <c r="KE222" t="str">
        <f t="shared" si="341"/>
        <v>F0-AI42-4A</v>
      </c>
      <c r="KF222" t="str">
        <f t="shared" si="341"/>
        <v>F0-AI42-</v>
      </c>
      <c r="KI222" cm="1">
        <f t="array" ref="KI222">IF(COUNTIFS($U$2:$U222,$U222)=1,1,INDEX(KI:KI,_xlfn.XMATCH(U222,U$1:U221,0,-1))+COUNT(KI221:KM221))</f>
        <v>5</v>
      </c>
      <c r="KJ222">
        <f t="shared" si="340"/>
        <v>6</v>
      </c>
      <c r="KK222">
        <f t="shared" si="340"/>
        <v>7</v>
      </c>
      <c r="KL222">
        <f t="shared" si="340"/>
        <v>8</v>
      </c>
      <c r="KN222">
        <v>2</v>
      </c>
      <c r="KO222" s="16">
        <v>1</v>
      </c>
      <c r="KP222">
        <v>4</v>
      </c>
      <c r="KQ222">
        <v>3</v>
      </c>
      <c r="KS222" s="16"/>
    </row>
    <row r="223" spans="1:436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1551</v>
      </c>
      <c r="X223" s="34" t="s">
        <v>1367</v>
      </c>
      <c r="Y223" s="48" t="str" cm="1">
        <f t="array" ref="Y223">IF(COUNTIFS($X$2:$X223,$X223)=1,"1",VALUE(SUBSTITUTE(INDEX(Y:Y,_xlfn.XMATCH($X223,$X$1:$X222,0,-1)),"A",""))+INDEX(Z:Z,_xlfn.XMATCH($X223,$X$1:$X222,0,-1))+1)</f>
        <v>1</v>
      </c>
      <c r="Z223" s="46" cm="1">
        <f t="array" ref="Z223">SUM(IF(ISNUMBER(FIND("TmAi",$BE$1:$AAD$1)),IF(IFERROR(ISODD(SUBSTITUTE($BE223:$AAD223,"A","")),FALSE),IF(ISODD(SUBSTITUTE($BE223:$AAD223,"A","")),1,0),0)))</f>
        <v>0</v>
      </c>
      <c r="AA223" t="str">
        <f t="shared" ref="AA223:AA224" si="342">CONCATENATE($Y223*2-1,"B")</f>
        <v>1B</v>
      </c>
      <c r="AB223" t="str">
        <f t="shared" ref="AB223:AB224" si="343">CONCATENATE($Y223*2,"B")</f>
        <v>2B</v>
      </c>
      <c r="AP223" t="s">
        <v>137</v>
      </c>
      <c r="AS223" t="s">
        <v>396</v>
      </c>
      <c r="JZ223" s="27" t="str">
        <f t="shared" si="337"/>
        <v>XT71</v>
      </c>
      <c r="KC223" t="str">
        <f t="shared" si="338"/>
        <v>F0-AI27-1B</v>
      </c>
      <c r="KD223" t="str">
        <f t="shared" si="339"/>
        <v>F0-AI27-2B</v>
      </c>
      <c r="KI223" cm="1">
        <f t="array" ref="KI223">IF(COUNTIFS($U$2:$U223,$U223)=1,1,INDEX(KI:KI,_xlfn.XMATCH(U223,U$1:U222,0,-1))+COUNT(KI222:KM222))</f>
        <v>9</v>
      </c>
      <c r="KJ223">
        <f t="shared" si="340"/>
        <v>10</v>
      </c>
      <c r="KK223">
        <f t="shared" si="340"/>
        <v>11</v>
      </c>
      <c r="KN223">
        <v>1</v>
      </c>
      <c r="KO223" s="16">
        <v>2</v>
      </c>
      <c r="KS223" s="16"/>
    </row>
    <row r="224" spans="1:436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1552</v>
      </c>
      <c r="X224" s="33" t="str">
        <f>IF(COUNTIF(X$1:X223,X223)&gt;3,REPLACE(X223,LEN(X223),1,VALUE(RIGHT(X223,1))+1),X223)</f>
        <v>A3.27</v>
      </c>
      <c r="Y224" s="45" cm="1">
        <f t="array" ref="Y224">IF(COUNTIFS($X$2:$X224,$X224)=1,"1",VALUE(SUBSTITUTE(INDEX(Y:Y,_xlfn.XMATCH($X224,$X$1:$X223,0,-1)),"A",""))+INDEX(Z:Z,_xlfn.XMATCH($X224,$X$1:$X223,0,-1))+1)</f>
        <v>2</v>
      </c>
      <c r="Z224" s="46" cm="1">
        <f t="array" ref="Z224">SUM(IF(ISNUMBER(FIND("TmAi",$BE$1:$AAD$1)),IF(IFERROR(ISODD(SUBSTITUTE($BE224:$AAD224,"A","")),FALSE),IF(ISODD(SUBSTITUTE($BE224:$AAD224,"A","")),1,0),0)))</f>
        <v>0</v>
      </c>
      <c r="AA224" t="str">
        <f t="shared" si="342"/>
        <v>3B</v>
      </c>
      <c r="AB224" t="str">
        <f t="shared" si="343"/>
        <v>4B</v>
      </c>
      <c r="AP224" t="s">
        <v>137</v>
      </c>
      <c r="AS224" t="s">
        <v>396</v>
      </c>
      <c r="JZ224" s="27" t="str">
        <f t="shared" si="337"/>
        <v>XT71</v>
      </c>
      <c r="KC224" t="str">
        <f t="shared" si="338"/>
        <v>F0-AI27-3B</v>
      </c>
      <c r="KD224" t="str">
        <f t="shared" si="339"/>
        <v>F0-AI27-4B</v>
      </c>
      <c r="KI224" cm="1">
        <f t="array" ref="KI224">IF(COUNTIFS($U$2:$U224,$U224)=1,1,INDEX(KI:KI,_xlfn.XMATCH(U224,U$1:U223,0,-1))+COUNT(KI223:KM223))</f>
        <v>12</v>
      </c>
      <c r="KJ224">
        <f t="shared" si="340"/>
        <v>13</v>
      </c>
      <c r="KK224">
        <f t="shared" si="340"/>
        <v>14</v>
      </c>
      <c r="KN224">
        <v>1</v>
      </c>
      <c r="KO224" s="16">
        <v>2</v>
      </c>
      <c r="KS224" s="16"/>
    </row>
    <row r="225" spans="1:355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1553</v>
      </c>
      <c r="W225" s="11" t="s">
        <v>1555</v>
      </c>
      <c r="X225" s="12"/>
      <c r="Y225" s="12"/>
      <c r="Z225" s="12"/>
      <c r="AA225" s="12"/>
      <c r="AB225" s="12"/>
      <c r="AC225" s="12" t="s">
        <v>1375</v>
      </c>
      <c r="AD225" s="12"/>
      <c r="AE225" s="12"/>
      <c r="AF225" s="12" t="s">
        <v>133</v>
      </c>
      <c r="AG225" s="12" t="s">
        <v>134</v>
      </c>
      <c r="AH225" s="12" t="s">
        <v>1376</v>
      </c>
      <c r="AI225" s="12"/>
      <c r="AJ225" s="12"/>
      <c r="AK225" s="12" t="s">
        <v>135</v>
      </c>
      <c r="AL225" s="12" t="s">
        <v>136</v>
      </c>
      <c r="AM225" s="12">
        <v>1</v>
      </c>
      <c r="AN225" s="12" t="str">
        <f>CONCATENATE(AM225,"XT")</f>
        <v>1XT</v>
      </c>
      <c r="AO225" s="12" t="str">
        <f t="shared" ref="AO225:AO229" si="344">CONCATENATE(AM225,"X")</f>
        <v>1X</v>
      </c>
      <c r="AP225" s="12" t="s">
        <v>137</v>
      </c>
      <c r="AQ225" s="12" t="s">
        <v>138</v>
      </c>
      <c r="AR225" s="12"/>
      <c r="AS225" s="12"/>
      <c r="AT225" s="12" t="s">
        <v>139</v>
      </c>
      <c r="AU225" s="12" t="s">
        <v>140</v>
      </c>
      <c r="AV225" s="12"/>
      <c r="AW225" s="12"/>
      <c r="AX225" s="12"/>
      <c r="AY225" s="12"/>
      <c r="AZ225" s="12"/>
      <c r="BA225" s="12"/>
      <c r="BB225" s="12"/>
      <c r="BC225" s="12"/>
      <c r="BD225" s="13"/>
      <c r="ER225" s="25" t="str">
        <f>CONCATENATE("XT",U225)</f>
        <v>XT72</v>
      </c>
      <c r="ES225" s="12" t="str">
        <f>CONCATENATE("C",REPLACE(AF225,1,1,"")+1)</f>
        <v>C2</v>
      </c>
      <c r="ET225" s="12" t="str">
        <f>CONCATENATE("B",REPLACE(AG225,1,1,"")+1)</f>
        <v>B2</v>
      </c>
      <c r="EU225" s="12" t="str">
        <f>CONCATENATE("C",REPLACE(ES225,1,1,"")+1)</f>
        <v>C3</v>
      </c>
      <c r="EV225" s="12" t="str">
        <f>CONCATENATE("B",REPLACE(ET225,1,1,"")+1)</f>
        <v>B3</v>
      </c>
      <c r="EW225" s="12" t="str">
        <f>CONCATENATE(REPLACE(AK225,LEN(AK225),1,"")+1,"B")</f>
        <v>2B</v>
      </c>
      <c r="EX225" s="12" t="str">
        <f>CONCATENATE(REPLACE(AL225,LEN(AL225),1,"")+1,"A")</f>
        <v>2A</v>
      </c>
      <c r="EY225" s="12" t="str">
        <f>CONCATENATE("DI",REPLACE($AC225,1,3,""),"-",AF225)</f>
        <v>DI13-C1</v>
      </c>
      <c r="EZ225" s="12" t="str">
        <f>CONCATENATE("DI",REPLACE($AC225,1,3,""),"-",AG225)</f>
        <v>DI13-B1</v>
      </c>
      <c r="FA225" s="12" t="str">
        <f t="shared" ref="FA225:FD227" si="345">CONCATENATE("DI",REPLACE($AC225,1,3,""),"-",ES225)</f>
        <v>DI13-C2</v>
      </c>
      <c r="FB225" s="12" t="str">
        <f t="shared" si="345"/>
        <v>DI13-B2</v>
      </c>
      <c r="FC225" s="12" t="str">
        <f t="shared" si="345"/>
        <v>DI13-C3</v>
      </c>
      <c r="FD225" s="12" t="str">
        <f t="shared" si="345"/>
        <v>DI13-B3</v>
      </c>
      <c r="FE225" s="12" t="str">
        <f>CONCATENATE("DO",REPLACE($AH225,1,3,""),"-",AK225)</f>
        <v>DO7-1B</v>
      </c>
      <c r="FF225" s="12" t="str">
        <f>CONCATENATE("DO",REPLACE($AH225,1,3,""),"-",AL225)</f>
        <v>DO7-1A</v>
      </c>
      <c r="FG225" s="12" t="str">
        <f>CONCATENATE("DO",REPLACE($AH225,1,3,""),"-",EW225)</f>
        <v>DO7-2B</v>
      </c>
      <c r="FH225" s="12" t="str">
        <f>CONCATENATE("DO",REPLACE($AH225,1,3,""),"-",EX225)</f>
        <v>DO7-2A</v>
      </c>
      <c r="FI225" s="12" t="str">
        <f>CONCATENATE("K",$U225,"-03")</f>
        <v>K72-03</v>
      </c>
      <c r="FJ225" s="12" t="str">
        <f>CONCATENATE("K",$U225,"-04")</f>
        <v>K72-04</v>
      </c>
      <c r="FK225" s="12" t="str">
        <f>CONCATENATE("K",$U225,"-01")</f>
        <v>K72-01</v>
      </c>
      <c r="FL225" s="12" t="str">
        <f>CONCATENATE("K",$U225,"-02")</f>
        <v>K72-02</v>
      </c>
      <c r="FM225" s="12" t="str">
        <f t="shared" ref="FM225:FM229" si="346">CONCATENATE("K",$U225,"-05")</f>
        <v>K72-05</v>
      </c>
      <c r="FN225" s="12" t="str">
        <f>CONCATENATE($T225,"-M",$U225,"-H1")</f>
        <v>F0-M72-H1</v>
      </c>
      <c r="FO225" s="12" t="str">
        <f>CONCATENATE($T225,"-M",$U225,"-A1")</f>
        <v>F0-M72-A1</v>
      </c>
      <c r="FP225" s="12" t="str">
        <f>CONCATENATE($T225,"-M",$U225,"-3")</f>
        <v>F0-M72-3</v>
      </c>
      <c r="FQ225" s="12" t="str">
        <f>CONCATENATE($T225,"-M",$U225,"-2")</f>
        <v>F0-M72-2</v>
      </c>
      <c r="FR225" s="12" t="str">
        <f>CONCATENATE($T225,"-M",$U225,"-16")</f>
        <v>F0-M72-16</v>
      </c>
      <c r="FS225" s="12" t="str">
        <f>CONCATENATE($T225,"-M",$U225,"-15")</f>
        <v>F0-M72-15</v>
      </c>
      <c r="FT225" s="12" t="str">
        <f>CONCATENATE($T225,"-A220-M",$U225,)</f>
        <v>F0-A220-M72</v>
      </c>
      <c r="FU225" s="12" t="str">
        <f t="shared" ref="FU225:FU229" si="347">CONCATENATE($T225,"-M",$U225,"-XM01")</f>
        <v>F0-M72-XM01</v>
      </c>
      <c r="FV225" s="12" t="s">
        <v>142</v>
      </c>
      <c r="FW225" s="12" t="s">
        <v>143</v>
      </c>
      <c r="FX225" s="12">
        <v>11</v>
      </c>
      <c r="FY225" s="12">
        <v>14</v>
      </c>
      <c r="FZ225" s="12" t="s">
        <v>145</v>
      </c>
      <c r="GA225" s="12" t="s">
        <v>144</v>
      </c>
      <c r="GB225" s="12">
        <v>1</v>
      </c>
      <c r="GC225" s="12">
        <v>2</v>
      </c>
      <c r="GD225" s="12">
        <v>3</v>
      </c>
      <c r="GE225" s="12">
        <v>4</v>
      </c>
      <c r="GF225" s="12">
        <v>5</v>
      </c>
      <c r="GG225" s="12">
        <v>6</v>
      </c>
      <c r="GH225" s="12">
        <v>7</v>
      </c>
      <c r="GI225" s="12">
        <v>8</v>
      </c>
      <c r="GJ225" s="12">
        <v>9</v>
      </c>
      <c r="GK225" s="12">
        <v>1</v>
      </c>
      <c r="GL225" s="12">
        <v>2</v>
      </c>
      <c r="GM225" s="12">
        <v>3</v>
      </c>
      <c r="GN225" s="12">
        <v>15</v>
      </c>
      <c r="GO225" s="12">
        <v>16</v>
      </c>
      <c r="GP225" s="12">
        <v>1</v>
      </c>
      <c r="GQ225" s="12">
        <v>2</v>
      </c>
      <c r="GR225" s="12">
        <v>4</v>
      </c>
      <c r="GS225" s="13">
        <v>5</v>
      </c>
    </row>
    <row r="226" spans="1:355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1556</v>
      </c>
      <c r="W226" t="s">
        <v>1559</v>
      </c>
      <c r="AC226" t="s">
        <v>1375</v>
      </c>
      <c r="AF226" t="s">
        <v>369</v>
      </c>
      <c r="AG226" t="s">
        <v>370</v>
      </c>
      <c r="AH226" t="s">
        <v>1376</v>
      </c>
      <c r="AK226" t="s">
        <v>384</v>
      </c>
      <c r="AL226" t="s">
        <v>386</v>
      </c>
      <c r="AM226">
        <v>2</v>
      </c>
      <c r="AN226" t="str">
        <f t="shared" ref="AN226:AN229" si="348">CONCATENATE(AM226,"XT")</f>
        <v>2XT</v>
      </c>
      <c r="AO226" t="str">
        <f t="shared" si="344"/>
        <v>2X</v>
      </c>
      <c r="AP226" t="s">
        <v>137</v>
      </c>
      <c r="AQ226" t="s">
        <v>138</v>
      </c>
      <c r="AT226" t="s">
        <v>139</v>
      </c>
      <c r="AU226" t="s">
        <v>140</v>
      </c>
      <c r="ER226" t="str">
        <f>CONCATENATE("XT",U226)</f>
        <v>XT73</v>
      </c>
      <c r="ES226" t="str">
        <f>CONCATENATE("C",REPLACE(AF226,1,1,"")+1)</f>
        <v>C5</v>
      </c>
      <c r="ET226" t="str">
        <f t="shared" ref="ET226:ET227" si="349">CONCATENATE("B",REPLACE(AG226,1,1,"")+1)</f>
        <v>B5</v>
      </c>
      <c r="EU226" t="str">
        <f t="shared" ref="EU226:EU227" si="350">CONCATENATE("C",REPLACE(ES226,1,1,"")+1)</f>
        <v>C6</v>
      </c>
      <c r="EV226" t="str">
        <f t="shared" ref="EV226:EV227" si="351">CONCATENATE("B",REPLACE(ET226,1,1,"")+1)</f>
        <v>B6</v>
      </c>
      <c r="EW226" t="str">
        <f t="shared" ref="EW226:EW227" si="352">CONCATENATE(REPLACE(AK226,LEN(AK226),1,"")+1,"B")</f>
        <v>4B</v>
      </c>
      <c r="EX226" t="str">
        <f t="shared" ref="EX226:EX227" si="353">CONCATENATE(REPLACE(AL226,LEN(AL226),1,"")+1,"A")</f>
        <v>4A</v>
      </c>
      <c r="EY226" t="str">
        <f>CONCATENATE("DI",REPLACE($AC226,1,3,""),"-",AF226)</f>
        <v>DI13-C4</v>
      </c>
      <c r="EZ226" t="str">
        <f t="shared" ref="EZ226:EZ229" si="354">CONCATENATE("DI",REPLACE($AC226,1,3,""),"-",AG226)</f>
        <v>DI13-B4</v>
      </c>
      <c r="FA226" t="str">
        <f t="shared" si="345"/>
        <v>DI13-C5</v>
      </c>
      <c r="FB226" t="str">
        <f t="shared" si="345"/>
        <v>DI13-B5</v>
      </c>
      <c r="FC226" t="str">
        <f t="shared" si="345"/>
        <v>DI13-C6</v>
      </c>
      <c r="FD226" t="str">
        <f t="shared" si="345"/>
        <v>DI13-B6</v>
      </c>
      <c r="FE226" t="str">
        <f t="shared" ref="FE226:FF229" si="355">CONCATENATE("DO",REPLACE($AH226,1,3,""),"-",AK226)</f>
        <v>DO7-3B</v>
      </c>
      <c r="FF226" t="str">
        <f t="shared" si="355"/>
        <v>DO7-3A</v>
      </c>
      <c r="FG226" t="str">
        <f t="shared" ref="FG226:FH227" si="356">CONCATENATE("DO",REPLACE($AH226,1,3,""),"-",EW226)</f>
        <v>DO7-4B</v>
      </c>
      <c r="FH226" t="str">
        <f t="shared" si="356"/>
        <v>DO7-4A</v>
      </c>
      <c r="FI226" t="str">
        <f t="shared" ref="FI226:FI229" si="357">CONCATENATE("K",$U226,"-03")</f>
        <v>K73-03</v>
      </c>
      <c r="FJ226" t="str">
        <f t="shared" ref="FJ226:FJ227" si="358">CONCATENATE("K",$U226,"-04")</f>
        <v>K73-04</v>
      </c>
      <c r="FK226" t="str">
        <f t="shared" ref="FK226:FK227" si="359">CONCATENATE("K",$U226,"-01")</f>
        <v>K73-01</v>
      </c>
      <c r="FL226" t="str">
        <f t="shared" ref="FL226:FL227" si="360">CONCATENATE("K",$U226,"-02")</f>
        <v>K73-02</v>
      </c>
      <c r="FM226" t="str">
        <f t="shared" si="346"/>
        <v>K73-05</v>
      </c>
      <c r="FN226" t="str">
        <f t="shared" ref="FN226:FN229" si="361">CONCATENATE($T226,"-M",$U226,"-H1")</f>
        <v>F0-M73-H1</v>
      </c>
      <c r="FO226" t="str">
        <f t="shared" ref="FO226:FO229" si="362">CONCATENATE($T226,"-M",$U226,"-A1")</f>
        <v>F0-M73-A1</v>
      </c>
      <c r="FP226" t="str">
        <f t="shared" ref="FP226:FP229" si="363">CONCATENATE($T226,"-M",$U226,"-3")</f>
        <v>F0-M73-3</v>
      </c>
      <c r="FQ226" t="str">
        <f t="shared" ref="FQ226:FQ227" si="364">CONCATENATE($T226,"-M",$U226,"-2")</f>
        <v>F0-M73-2</v>
      </c>
      <c r="FR226" t="str">
        <f t="shared" ref="FR226:FR227" si="365">CONCATENATE($T226,"-M",$U226,"-16")</f>
        <v>F0-M73-16</v>
      </c>
      <c r="FS226" t="str">
        <f t="shared" ref="FS226:FS227" si="366">CONCATENATE($T226,"-M",$U226,"-15")</f>
        <v>F0-M73-15</v>
      </c>
      <c r="FT226" t="str">
        <f t="shared" ref="FT226:FT229" si="367">CONCATENATE($T226,"-A220-M",$U226,)</f>
        <v>F0-A220-M73</v>
      </c>
      <c r="FU226" t="str">
        <f t="shared" si="347"/>
        <v>F0-M73-XM01</v>
      </c>
      <c r="FV226" t="s">
        <v>142</v>
      </c>
      <c r="FW226" t="s">
        <v>143</v>
      </c>
      <c r="FX226">
        <v>11</v>
      </c>
      <c r="FY226">
        <v>14</v>
      </c>
      <c r="FZ226" t="s">
        <v>145</v>
      </c>
      <c r="GA226" t="s">
        <v>144</v>
      </c>
      <c r="GB226">
        <v>1</v>
      </c>
      <c r="GC226">
        <v>2</v>
      </c>
      <c r="GD226">
        <v>3</v>
      </c>
      <c r="GE226">
        <v>4</v>
      </c>
      <c r="GF226">
        <v>5</v>
      </c>
      <c r="GG226">
        <v>6</v>
      </c>
      <c r="GH226">
        <v>7</v>
      </c>
      <c r="GI226">
        <v>8</v>
      </c>
      <c r="GJ226">
        <v>9</v>
      </c>
      <c r="GK226">
        <v>1</v>
      </c>
      <c r="GL226">
        <v>2</v>
      </c>
      <c r="GM226">
        <v>3</v>
      </c>
      <c r="GN226">
        <v>15</v>
      </c>
      <c r="GO226">
        <v>16</v>
      </c>
      <c r="GP226">
        <v>1</v>
      </c>
      <c r="GQ226">
        <v>2</v>
      </c>
      <c r="GR226">
        <v>4</v>
      </c>
      <c r="GS226">
        <v>5</v>
      </c>
    </row>
    <row r="227" spans="1:355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1554</v>
      </c>
      <c r="W227" t="s">
        <v>1561</v>
      </c>
      <c r="AC227" t="s">
        <v>1375</v>
      </c>
      <c r="AF227" t="s">
        <v>148</v>
      </c>
      <c r="AG227" t="s">
        <v>149</v>
      </c>
      <c r="AH227" t="s">
        <v>1376</v>
      </c>
      <c r="AK227" t="s">
        <v>385</v>
      </c>
      <c r="AL227" t="s">
        <v>387</v>
      </c>
      <c r="AM227">
        <v>3</v>
      </c>
      <c r="AN227" t="str">
        <f t="shared" si="348"/>
        <v>3XT</v>
      </c>
      <c r="AO227" t="str">
        <f t="shared" si="344"/>
        <v>3X</v>
      </c>
      <c r="AP227" t="s">
        <v>137</v>
      </c>
      <c r="AQ227" t="s">
        <v>138</v>
      </c>
      <c r="AT227" t="s">
        <v>139</v>
      </c>
      <c r="AU227" t="s">
        <v>140</v>
      </c>
      <c r="ER227" t="str">
        <f>CONCATENATE("XT",U227)</f>
        <v>XT74</v>
      </c>
      <c r="ES227" t="str">
        <f>CONCATENATE("C",REPLACE(AF227,1,1,"")+1)</f>
        <v>C8</v>
      </c>
      <c r="ET227" t="str">
        <f t="shared" si="349"/>
        <v>B8</v>
      </c>
      <c r="EU227" t="str">
        <f t="shared" si="350"/>
        <v>C9</v>
      </c>
      <c r="EV227" t="str">
        <f t="shared" si="351"/>
        <v>B9</v>
      </c>
      <c r="EW227" t="str">
        <f t="shared" si="352"/>
        <v>6B</v>
      </c>
      <c r="EX227" t="str">
        <f t="shared" si="353"/>
        <v>6A</v>
      </c>
      <c r="EY227" t="str">
        <f>CONCATENATE("DI",REPLACE($AC227,1,3,""),"-",AF227)</f>
        <v>DI13-C7</v>
      </c>
      <c r="EZ227" t="str">
        <f t="shared" si="354"/>
        <v>DI13-B7</v>
      </c>
      <c r="FA227" t="str">
        <f t="shared" si="345"/>
        <v>DI13-C8</v>
      </c>
      <c r="FB227" t="str">
        <f t="shared" si="345"/>
        <v>DI13-B8</v>
      </c>
      <c r="FC227" t="str">
        <f t="shared" si="345"/>
        <v>DI13-C9</v>
      </c>
      <c r="FD227" t="str">
        <f t="shared" si="345"/>
        <v>DI13-B9</v>
      </c>
      <c r="FE227" t="str">
        <f t="shared" si="355"/>
        <v>DO7-5B</v>
      </c>
      <c r="FF227" t="str">
        <f t="shared" si="355"/>
        <v>DO7-5A</v>
      </c>
      <c r="FG227" t="str">
        <f t="shared" si="356"/>
        <v>DO7-6B</v>
      </c>
      <c r="FH227" t="str">
        <f t="shared" si="356"/>
        <v>DO7-6A</v>
      </c>
      <c r="FI227" t="str">
        <f t="shared" si="357"/>
        <v>K74-03</v>
      </c>
      <c r="FJ227" t="str">
        <f t="shared" si="358"/>
        <v>K74-04</v>
      </c>
      <c r="FK227" t="str">
        <f t="shared" si="359"/>
        <v>K74-01</v>
      </c>
      <c r="FL227" t="str">
        <f t="shared" si="360"/>
        <v>K74-02</v>
      </c>
      <c r="FM227" t="str">
        <f t="shared" si="346"/>
        <v>K74-05</v>
      </c>
      <c r="FN227" t="str">
        <f t="shared" si="361"/>
        <v>F0-M74-H1</v>
      </c>
      <c r="FO227" t="str">
        <f t="shared" si="362"/>
        <v>F0-M74-A1</v>
      </c>
      <c r="FP227" t="str">
        <f t="shared" si="363"/>
        <v>F0-M74-3</v>
      </c>
      <c r="FQ227" t="str">
        <f t="shared" si="364"/>
        <v>F0-M74-2</v>
      </c>
      <c r="FR227" t="str">
        <f t="shared" si="365"/>
        <v>F0-M74-16</v>
      </c>
      <c r="FS227" t="str">
        <f t="shared" si="366"/>
        <v>F0-M74-15</v>
      </c>
      <c r="FT227" t="str">
        <f t="shared" si="367"/>
        <v>F0-A220-M74</v>
      </c>
      <c r="FU227" t="str">
        <f t="shared" si="347"/>
        <v>F0-M74-XM01</v>
      </c>
      <c r="FV227" t="s">
        <v>142</v>
      </c>
      <c r="FW227" t="s">
        <v>143</v>
      </c>
      <c r="FX227">
        <v>11</v>
      </c>
      <c r="FY227">
        <v>14</v>
      </c>
      <c r="FZ227" t="s">
        <v>145</v>
      </c>
      <c r="GA227" t="s">
        <v>144</v>
      </c>
      <c r="GB227">
        <v>1</v>
      </c>
      <c r="GC227">
        <v>2</v>
      </c>
      <c r="GD227">
        <v>3</v>
      </c>
      <c r="GE227">
        <v>4</v>
      </c>
      <c r="GF227">
        <v>5</v>
      </c>
      <c r="GG227">
        <v>6</v>
      </c>
      <c r="GH227">
        <v>7</v>
      </c>
      <c r="GI227">
        <v>8</v>
      </c>
      <c r="GJ227">
        <v>9</v>
      </c>
      <c r="GK227">
        <v>1</v>
      </c>
      <c r="GL227">
        <v>2</v>
      </c>
      <c r="GM227">
        <v>3</v>
      </c>
      <c r="GN227">
        <v>15</v>
      </c>
      <c r="GO227">
        <v>16</v>
      </c>
      <c r="GP227">
        <v>1</v>
      </c>
      <c r="GQ227">
        <v>2</v>
      </c>
      <c r="GR227">
        <v>4</v>
      </c>
      <c r="GS227">
        <v>5</v>
      </c>
    </row>
    <row r="228" spans="1:355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1557</v>
      </c>
      <c r="W228" t="s">
        <v>1560</v>
      </c>
      <c r="AC228" t="s">
        <v>1375</v>
      </c>
      <c r="AF228" t="s">
        <v>377</v>
      </c>
      <c r="AG228" t="s">
        <v>378</v>
      </c>
      <c r="AH228" t="s">
        <v>1376</v>
      </c>
      <c r="AK228" t="s">
        <v>245</v>
      </c>
      <c r="AL228" t="s">
        <v>246</v>
      </c>
      <c r="AM228">
        <v>4</v>
      </c>
      <c r="AN228" t="str">
        <f t="shared" si="348"/>
        <v>4XT</v>
      </c>
      <c r="AO228" t="str">
        <f t="shared" si="344"/>
        <v>4X</v>
      </c>
      <c r="AP228" t="s">
        <v>137</v>
      </c>
      <c r="AQ228" t="s">
        <v>138</v>
      </c>
      <c r="AT228" t="s">
        <v>854</v>
      </c>
      <c r="AU228" t="s">
        <v>1399</v>
      </c>
      <c r="ER228" t="str">
        <f>CONCATENATE("XT",U228)</f>
        <v>XT75</v>
      </c>
      <c r="EY228" t="str">
        <f>CONCATENATE("DI",REPLACE($AC228,1,3,""),"-",AF228)</f>
        <v>DI13-C10</v>
      </c>
      <c r="EZ228" t="str">
        <f t="shared" si="354"/>
        <v>DI13-B10</v>
      </c>
      <c r="FE228" t="str">
        <f t="shared" si="355"/>
        <v>DO7-7B</v>
      </c>
      <c r="FF228" t="str">
        <f t="shared" si="355"/>
        <v>DO7-7A</v>
      </c>
      <c r="FI228" t="str">
        <f t="shared" si="357"/>
        <v>K75-03</v>
      </c>
      <c r="FM228" t="str">
        <f t="shared" si="346"/>
        <v>K75-05</v>
      </c>
      <c r="FN228" t="str">
        <f t="shared" si="361"/>
        <v>F0-M75-H1</v>
      </c>
      <c r="FO228" t="str">
        <f t="shared" si="362"/>
        <v>F0-M75-A1</v>
      </c>
      <c r="FP228" t="str">
        <f t="shared" si="363"/>
        <v>F0-M75-3</v>
      </c>
      <c r="FT228" t="str">
        <f t="shared" si="367"/>
        <v>F0-A220-M75</v>
      </c>
      <c r="FU228" t="str">
        <f t="shared" si="347"/>
        <v>F0-M75-XM01</v>
      </c>
      <c r="FV228" t="s">
        <v>142</v>
      </c>
      <c r="FW228" t="s">
        <v>143</v>
      </c>
      <c r="FX228">
        <v>11</v>
      </c>
      <c r="FY228">
        <v>14</v>
      </c>
      <c r="FZ228" t="s">
        <v>145</v>
      </c>
      <c r="GA228" t="s">
        <v>144</v>
      </c>
      <c r="GB228">
        <v>1</v>
      </c>
      <c r="GC228">
        <v>2</v>
      </c>
      <c r="GD228">
        <v>3</v>
      </c>
      <c r="GE228">
        <v>4</v>
      </c>
      <c r="GF228">
        <v>5</v>
      </c>
      <c r="GG228">
        <v>6</v>
      </c>
      <c r="GH228">
        <v>7</v>
      </c>
      <c r="GI228">
        <v>8</v>
      </c>
      <c r="GJ228">
        <v>9</v>
      </c>
      <c r="GK228">
        <v>1</v>
      </c>
      <c r="GL228">
        <v>2</v>
      </c>
      <c r="GM228">
        <v>3</v>
      </c>
      <c r="GN228">
        <v>15</v>
      </c>
      <c r="GO228">
        <v>16</v>
      </c>
      <c r="GP228">
        <v>1</v>
      </c>
      <c r="GQ228">
        <v>2</v>
      </c>
      <c r="GR228">
        <v>4</v>
      </c>
      <c r="GS228">
        <v>5</v>
      </c>
    </row>
    <row r="229" spans="1:355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1558</v>
      </c>
      <c r="W229" t="s">
        <v>1562</v>
      </c>
      <c r="AC229" t="s">
        <v>1375</v>
      </c>
      <c r="AF229" t="s">
        <v>1394</v>
      </c>
      <c r="AG229" t="s">
        <v>1395</v>
      </c>
      <c r="AH229" t="s">
        <v>1376</v>
      </c>
      <c r="AK229" t="s">
        <v>1396</v>
      </c>
      <c r="AL229" t="s">
        <v>1397</v>
      </c>
      <c r="AM229">
        <v>5</v>
      </c>
      <c r="AN229" t="str">
        <f t="shared" si="348"/>
        <v>5XT</v>
      </c>
      <c r="AO229" t="str">
        <f t="shared" si="344"/>
        <v>5X</v>
      </c>
      <c r="AP229" t="s">
        <v>137</v>
      </c>
      <c r="AQ229" t="s">
        <v>138</v>
      </c>
      <c r="AT229" t="s">
        <v>854</v>
      </c>
      <c r="AU229" t="s">
        <v>1399</v>
      </c>
      <c r="ER229" t="str">
        <f>CONCATENATE("XT",U229)</f>
        <v>XT76</v>
      </c>
      <c r="EY229" t="str">
        <f>CONCATENATE("DI",REPLACE($AC229,1,3,""),"-",AF229)</f>
        <v>DI13-C11</v>
      </c>
      <c r="EZ229" t="str">
        <f t="shared" si="354"/>
        <v>DI13-B11</v>
      </c>
      <c r="FE229" t="str">
        <f t="shared" si="355"/>
        <v>DO7-8B</v>
      </c>
      <c r="FF229" t="str">
        <f t="shared" si="355"/>
        <v>DO7-8A</v>
      </c>
      <c r="FI229" t="str">
        <f t="shared" si="357"/>
        <v>K76-03</v>
      </c>
      <c r="FM229" t="str">
        <f t="shared" si="346"/>
        <v>K76-05</v>
      </c>
      <c r="FN229" t="str">
        <f t="shared" si="361"/>
        <v>F0-M76-H1</v>
      </c>
      <c r="FO229" t="str">
        <f t="shared" si="362"/>
        <v>F0-M76-A1</v>
      </c>
      <c r="FP229" t="str">
        <f t="shared" si="363"/>
        <v>F0-M76-3</v>
      </c>
      <c r="FT229" t="str">
        <f t="shared" si="367"/>
        <v>F0-A220-M76</v>
      </c>
      <c r="FU229" t="str">
        <f t="shared" si="347"/>
        <v>F0-M76-XM01</v>
      </c>
      <c r="FV229" t="s">
        <v>142</v>
      </c>
      <c r="FW229" t="s">
        <v>143</v>
      </c>
      <c r="FX229">
        <v>11</v>
      </c>
      <c r="FY229">
        <v>14</v>
      </c>
      <c r="FZ229" t="s">
        <v>145</v>
      </c>
      <c r="GA229" t="s">
        <v>144</v>
      </c>
      <c r="GB229">
        <v>1</v>
      </c>
      <c r="GC229">
        <v>2</v>
      </c>
      <c r="GD229">
        <v>3</v>
      </c>
      <c r="GE229">
        <v>4</v>
      </c>
      <c r="GF229">
        <v>5</v>
      </c>
      <c r="GG229">
        <v>6</v>
      </c>
      <c r="GH229">
        <v>7</v>
      </c>
      <c r="GI229">
        <v>8</v>
      </c>
      <c r="GJ229">
        <v>9</v>
      </c>
      <c r="GK229">
        <v>1</v>
      </c>
      <c r="GL229">
        <v>2</v>
      </c>
      <c r="GM229">
        <v>3</v>
      </c>
      <c r="GN229">
        <v>15</v>
      </c>
      <c r="GO229">
        <v>16</v>
      </c>
      <c r="GP229">
        <v>1</v>
      </c>
      <c r="GQ229">
        <v>2</v>
      </c>
      <c r="GR229">
        <v>4</v>
      </c>
      <c r="GS229">
        <v>5</v>
      </c>
    </row>
    <row r="230" spans="1:355" ht="15.75" thickBot="1" x14ac:dyDescent="0.3">
      <c r="A230" t="s">
        <v>1914</v>
      </c>
      <c r="B230" t="s">
        <v>1402</v>
      </c>
      <c r="P230" t="s">
        <v>1378</v>
      </c>
      <c r="T230" s="14" t="s">
        <v>554</v>
      </c>
      <c r="U230">
        <v>77</v>
      </c>
      <c r="V230" t="s">
        <v>1672</v>
      </c>
      <c r="Y230" s="43"/>
      <c r="Z230" s="46"/>
      <c r="AC230" t="s">
        <v>1375</v>
      </c>
      <c r="AF230" t="s">
        <v>153</v>
      </c>
      <c r="AG230" t="s">
        <v>154</v>
      </c>
      <c r="AP230" t="s">
        <v>137</v>
      </c>
      <c r="AQ230" t="s">
        <v>1404</v>
      </c>
      <c r="AT230" t="s">
        <v>854</v>
      </c>
      <c r="LT230" t="s">
        <v>1405</v>
      </c>
      <c r="LW230" s="25" t="str">
        <f>CONCATENATE("XT",U230)</f>
        <v>XT77</v>
      </c>
      <c r="LX230" s="12" t="str">
        <f>CONCATENATE("DI",REPLACE($AC230,1,3,""),"-",$AF230)</f>
        <v>DI13-C13</v>
      </c>
      <c r="LY230" s="12" t="s">
        <v>910</v>
      </c>
      <c r="LZ230" s="12" t="s">
        <v>1417</v>
      </c>
      <c r="MA230" s="12">
        <v>11</v>
      </c>
      <c r="MB230" s="12">
        <v>14</v>
      </c>
      <c r="MC230" s="12" t="s">
        <v>142</v>
      </c>
      <c r="MD230" s="12" t="s">
        <v>143</v>
      </c>
      <c r="ME230" s="12" t="s">
        <v>488</v>
      </c>
      <c r="MF230" s="12" t="s">
        <v>487</v>
      </c>
      <c r="MG230" s="12" t="s">
        <v>414</v>
      </c>
      <c r="MH230" s="12" t="s">
        <v>413</v>
      </c>
      <c r="MI230" s="12">
        <v>1</v>
      </c>
      <c r="MJ230" s="12">
        <f t="shared" ref="MJ230" si="368">MI230+1</f>
        <v>2</v>
      </c>
      <c r="MK230" s="12"/>
      <c r="ML230" s="12"/>
      <c r="MM230" s="12"/>
      <c r="MN230" s="12"/>
      <c r="MO230" s="12">
        <v>1</v>
      </c>
      <c r="MP230" s="12">
        <v>2</v>
      </c>
      <c r="MQ230" s="13"/>
    </row>
    <row r="231" spans="1:355" ht="15.75" thickBot="1" x14ac:dyDescent="0.3">
      <c r="A231" t="s">
        <v>1915</v>
      </c>
      <c r="B231" t="s">
        <v>1411</v>
      </c>
      <c r="P231" t="s">
        <v>1378</v>
      </c>
      <c r="T231" s="14" t="s">
        <v>554</v>
      </c>
      <c r="U231">
        <v>77</v>
      </c>
      <c r="V231" t="s">
        <v>1673</v>
      </c>
      <c r="Y231" s="43"/>
      <c r="Z231" s="46"/>
      <c r="AC231" t="s">
        <v>1375</v>
      </c>
      <c r="AF231" t="s">
        <v>1406</v>
      </c>
      <c r="AG231" t="s">
        <v>1407</v>
      </c>
      <c r="AP231" t="s">
        <v>137</v>
      </c>
      <c r="AQ231" t="s">
        <v>1408</v>
      </c>
      <c r="AT231" t="s">
        <v>854</v>
      </c>
      <c r="LT231" t="s">
        <v>1405</v>
      </c>
      <c r="LW231" s="25" t="str">
        <f>CONCATENATE("XT",U231)</f>
        <v>XT77</v>
      </c>
      <c r="LX231" s="12" t="str">
        <f>CONCATENATE("DI",REPLACE($AC231,1,3,""),"-",$AF231)</f>
        <v>DI13-C14</v>
      </c>
      <c r="LY231" s="12" t="s">
        <v>911</v>
      </c>
      <c r="LZ231" s="12" t="s">
        <v>1418</v>
      </c>
      <c r="MA231" s="12">
        <v>11</v>
      </c>
      <c r="MB231" s="12">
        <v>14</v>
      </c>
      <c r="MC231" s="12" t="s">
        <v>142</v>
      </c>
      <c r="MD231" s="12" t="s">
        <v>143</v>
      </c>
      <c r="ME231" s="12" t="s">
        <v>488</v>
      </c>
      <c r="MF231" s="12" t="s">
        <v>487</v>
      </c>
      <c r="MG231" s="12" t="s">
        <v>414</v>
      </c>
      <c r="MH231" s="12" t="s">
        <v>413</v>
      </c>
      <c r="MI231" s="12">
        <v>3</v>
      </c>
      <c r="MJ231" s="12">
        <v>4</v>
      </c>
      <c r="MK231" s="12"/>
      <c r="ML231" s="12"/>
      <c r="MM231" s="12"/>
      <c r="MN231" s="12"/>
      <c r="MO231" s="12">
        <v>1</v>
      </c>
      <c r="MP231" s="12">
        <v>2</v>
      </c>
      <c r="MQ231" s="13"/>
    </row>
    <row r="232" spans="1:355" x14ac:dyDescent="0.25">
      <c r="A232" t="s">
        <v>1916</v>
      </c>
      <c r="B232" t="s">
        <v>1412</v>
      </c>
      <c r="P232" t="s">
        <v>1378</v>
      </c>
      <c r="T232" s="14" t="s">
        <v>554</v>
      </c>
      <c r="U232">
        <v>77</v>
      </c>
      <c r="V232" t="s">
        <v>1674</v>
      </c>
      <c r="Y232" s="43"/>
      <c r="Z232" s="46"/>
      <c r="AC232" t="s">
        <v>1375</v>
      </c>
      <c r="AF232" t="s">
        <v>1409</v>
      </c>
      <c r="AG232" t="s">
        <v>1410</v>
      </c>
      <c r="AP232" t="s">
        <v>137</v>
      </c>
      <c r="AQ232" t="s">
        <v>1415</v>
      </c>
      <c r="AT232" t="s">
        <v>854</v>
      </c>
      <c r="LT232" t="s">
        <v>1405</v>
      </c>
      <c r="LW232" s="25" t="str">
        <f>CONCATENATE("XT",U232)</f>
        <v>XT77</v>
      </c>
      <c r="LX232" s="12" t="str">
        <f>CONCATENATE("DI",REPLACE($AC232,1,3,""),"-",$AF232)</f>
        <v>DI13-C15</v>
      </c>
      <c r="LY232" s="12" t="s">
        <v>1416</v>
      </c>
      <c r="LZ232" s="12" t="s">
        <v>1419</v>
      </c>
      <c r="MA232" s="12">
        <v>11</v>
      </c>
      <c r="MB232" s="12">
        <v>14</v>
      </c>
      <c r="MC232" s="12" t="s">
        <v>142</v>
      </c>
      <c r="MD232" s="12" t="s">
        <v>143</v>
      </c>
      <c r="ME232" s="12" t="s">
        <v>488</v>
      </c>
      <c r="MF232" s="12" t="s">
        <v>487</v>
      </c>
      <c r="MG232" s="12" t="s">
        <v>414</v>
      </c>
      <c r="MH232" s="12" t="s">
        <v>413</v>
      </c>
      <c r="MI232" s="12">
        <v>5</v>
      </c>
      <c r="MJ232" s="12">
        <v>6</v>
      </c>
      <c r="MK232" s="12"/>
      <c r="ML232" s="12"/>
      <c r="MM232" s="12"/>
      <c r="MN232" s="12"/>
      <c r="MO232" s="12">
        <v>1</v>
      </c>
      <c r="MP232" s="12">
        <v>2</v>
      </c>
      <c r="MQ232" s="13"/>
    </row>
    <row r="233" spans="1:355" x14ac:dyDescent="0.25">
      <c r="A233" t="s">
        <v>1677</v>
      </c>
      <c r="B233" t="s">
        <v>1679</v>
      </c>
      <c r="C233" t="s">
        <v>498</v>
      </c>
      <c r="P233" t="s">
        <v>482</v>
      </c>
      <c r="T233" s="14" t="s">
        <v>554</v>
      </c>
      <c r="U233">
        <v>78</v>
      </c>
      <c r="V233" t="s">
        <v>1675</v>
      </c>
      <c r="X233" t="s">
        <v>1366</v>
      </c>
      <c r="Y233" s="43" t="str" cm="1">
        <f t="array" ref="Y233">IF(COUNTIFS($X$2:$X233,$X233)=1,"1",VALUE(SUBSTITUTE(INDEX(Y:Y,_xlfn.XMATCH($X233,$X$1:$X232,0,-1)),"A",""))+INDEX(Z:Z,_xlfn.XMATCH($X233,$X$1:$X232,0,-1))+1)</f>
        <v>1</v>
      </c>
      <c r="Z233" s="43" cm="1">
        <f t="array" ref="Z233">SUM(IF(ISNUMBER(FIND("TmAi",$BE$1:$AAD$1)),IF(IFERROR(ISODD(SUBSTITUTE($BE233:$AAD233,"A","")),FALSE),IF(ISODD(SUBSTITUTE($BE233:$AAD233,"A","")),1,0),0)))</f>
        <v>0</v>
      </c>
      <c r="AA233" t="str">
        <f t="shared" ref="AA233:AA266" si="369">CONCATENATE($Y233*2-1,"B")</f>
        <v>1B</v>
      </c>
      <c r="AB233" t="str">
        <f t="shared" ref="AB233:AB266" si="370">CONCATENATE($Y233*2,"B")</f>
        <v>2B</v>
      </c>
      <c r="AP233" t="s">
        <v>137</v>
      </c>
      <c r="AS233" t="s">
        <v>396</v>
      </c>
      <c r="JZ233" s="27" t="str">
        <f t="shared" ref="JZ233:JZ266" si="371">CONCATENATE("XT",U233)</f>
        <v>XT78</v>
      </c>
      <c r="KC233" t="str">
        <f t="shared" ref="KC233:KC266" si="372">CONCATENATE(T233,"-AI",REPLACE($X233,1,3,""),"-",AA233)</f>
        <v>F0-AI28-1B</v>
      </c>
      <c r="KD233" t="str">
        <f t="shared" ref="KD233:KD266" si="373">CONCATENATE(T233,"-AI",REPLACE($X233,1,3,""),"-",AB233)</f>
        <v>F0-AI28-2B</v>
      </c>
      <c r="KI233" cm="1">
        <f t="array" ref="KI233">IF(COUNTIFS($U$2:$U233,$U233)=1,1,INDEX(KI:KI,_xlfn.XMATCH(U233,U$1:U232,0,-1))+COUNT(KI232:KM232))</f>
        <v>1</v>
      </c>
      <c r="KJ233">
        <f>KI233+1</f>
        <v>2</v>
      </c>
      <c r="KK233">
        <f>KJ233+1</f>
        <v>3</v>
      </c>
      <c r="KN233">
        <v>1</v>
      </c>
      <c r="KO233" s="16">
        <v>2</v>
      </c>
      <c r="KS233" s="16"/>
    </row>
    <row r="234" spans="1:355" x14ac:dyDescent="0.25">
      <c r="A234" t="s">
        <v>1678</v>
      </c>
      <c r="B234" s="33" t="s">
        <v>1680</v>
      </c>
      <c r="C234" t="s">
        <v>492</v>
      </c>
      <c r="P234" t="s">
        <v>482</v>
      </c>
      <c r="T234" s="14" t="s">
        <v>554</v>
      </c>
      <c r="U234">
        <v>78</v>
      </c>
      <c r="V234" t="s">
        <v>1676</v>
      </c>
      <c r="X234" t="str">
        <f>IF(COUNTIF(X$1:X233,X233)&gt;7,REPLACE(X233,LEN(X233),1,VALUE(RIGHT(X233,1))+1),X233)</f>
        <v>A3.28</v>
      </c>
      <c r="Y234" s="43" cm="1">
        <f t="array" ref="Y234">IF(COUNTIFS($X$2:$X234,$X234)=1,"1",VALUE(SUBSTITUTE(INDEX(Y:Y,_xlfn.XMATCH($X234,$X$1:$X233,0,-1)),"A",""))+INDEX(Z:Z,_xlfn.XMATCH($X234,$X$1:$X233,0,-1))+1)</f>
        <v>2</v>
      </c>
      <c r="Z234" s="43" cm="1">
        <f t="array" ref="Z234">SUM(IF(ISNUMBER(FIND("TmAi",$BE$1:$AAD$1)),IF(IFERROR(ISODD(SUBSTITUTE($BE234:$AAD234,"A","")),FALSE),IF(ISODD(SUBSTITUTE($BE234:$AAD234,"A","")),1,0),0)))</f>
        <v>0</v>
      </c>
      <c r="AA234" t="str">
        <f t="shared" si="369"/>
        <v>3B</v>
      </c>
      <c r="AB234" t="str">
        <f t="shared" si="370"/>
        <v>4B</v>
      </c>
      <c r="AP234" t="s">
        <v>137</v>
      </c>
      <c r="AS234" t="s">
        <v>396</v>
      </c>
      <c r="JZ234" s="27" t="str">
        <f t="shared" si="371"/>
        <v>XT78</v>
      </c>
      <c r="KC234" t="str">
        <f t="shared" si="372"/>
        <v>F0-AI28-3B</v>
      </c>
      <c r="KD234" t="str">
        <f t="shared" si="373"/>
        <v>F0-AI28-4B</v>
      </c>
      <c r="KI234" cm="1">
        <f t="array" ref="KI234">IF(COUNTIFS($U$2:$U234,$U234)=1,1,INDEX(KI:KI,_xlfn.XMATCH(U234,U$1:U233,0,-1))+COUNT(KI233:KM233))</f>
        <v>4</v>
      </c>
      <c r="KJ234">
        <f t="shared" ref="KJ234:KK249" si="374">KI234+1</f>
        <v>5</v>
      </c>
      <c r="KK234">
        <f t="shared" si="374"/>
        <v>6</v>
      </c>
      <c r="KN234">
        <v>1</v>
      </c>
      <c r="KO234" s="16">
        <v>2</v>
      </c>
      <c r="KS234" s="16"/>
    </row>
    <row r="235" spans="1:355" x14ac:dyDescent="0.25">
      <c r="A235" t="s">
        <v>1685</v>
      </c>
      <c r="B235" t="s">
        <v>1689</v>
      </c>
      <c r="C235" t="s">
        <v>498</v>
      </c>
      <c r="P235" t="s">
        <v>482</v>
      </c>
      <c r="T235" s="14" t="s">
        <v>554</v>
      </c>
      <c r="U235">
        <v>79</v>
      </c>
      <c r="V235" t="s">
        <v>1681</v>
      </c>
      <c r="X235" t="s">
        <v>1693</v>
      </c>
      <c r="Y235" s="43" t="str" cm="1">
        <f t="array" ref="Y235">IF(COUNTIFS($X$2:$X235,$X235)=1,"1",VALUE(SUBSTITUTE(INDEX(Y:Y,_xlfn.XMATCH($X235,$X$1:$X234,0,-1)),"A",""))+INDEX(Z:Z,_xlfn.XMATCH($X235,$X$1:$X234,0,-1))+1)</f>
        <v>1</v>
      </c>
      <c r="Z235" s="43" cm="1">
        <f t="array" ref="Z235">SUM(IF(ISNUMBER(FIND("TmAi",$BE$1:$AAD$1)),IF(IFERROR(ISODD(SUBSTITUTE($BE235:$AAD235,"A","")),FALSE),IF(ISODD(SUBSTITUTE($BE235:$AAD235,"A","")),1,0),0)))</f>
        <v>0</v>
      </c>
      <c r="AA235" t="str">
        <f t="shared" si="369"/>
        <v>1B</v>
      </c>
      <c r="AB235" t="str">
        <f t="shared" si="370"/>
        <v>2B</v>
      </c>
      <c r="AP235" t="s">
        <v>137</v>
      </c>
      <c r="AS235" t="s">
        <v>396</v>
      </c>
      <c r="JZ235" s="27" t="str">
        <f t="shared" si="371"/>
        <v>XT79</v>
      </c>
      <c r="KC235" t="str">
        <f t="shared" si="372"/>
        <v>F0-AI29-1B</v>
      </c>
      <c r="KD235" t="str">
        <f t="shared" si="373"/>
        <v>F0-AI29-2B</v>
      </c>
      <c r="KI235" cm="1">
        <f t="array" ref="KI235">IF(COUNTIFS($U$2:$U235,$U235)=1,1,INDEX(KI:KI,_xlfn.XMATCH(U235,U$1:U234,0,-1))+COUNT(KI234:KM234))</f>
        <v>1</v>
      </c>
      <c r="KJ235">
        <f t="shared" si="374"/>
        <v>2</v>
      </c>
      <c r="KK235">
        <f t="shared" si="374"/>
        <v>3</v>
      </c>
      <c r="KN235">
        <v>1</v>
      </c>
      <c r="KO235" s="16">
        <v>2</v>
      </c>
      <c r="KS235" s="16"/>
    </row>
    <row r="236" spans="1:355" x14ac:dyDescent="0.25">
      <c r="A236" t="s">
        <v>1686</v>
      </c>
      <c r="B236" t="s">
        <v>1690</v>
      </c>
      <c r="C236" t="s">
        <v>498</v>
      </c>
      <c r="P236" t="s">
        <v>482</v>
      </c>
      <c r="T236" s="14" t="s">
        <v>554</v>
      </c>
      <c r="U236">
        <v>79</v>
      </c>
      <c r="V236" t="s">
        <v>1682</v>
      </c>
      <c r="X236" t="str">
        <f>IF(COUNTIF(X$1:X235,X235)&gt;7,REPLACE(X235,LEN(X235),1,VALUE(RIGHT(X235,1))+1),X235)</f>
        <v>А3.29</v>
      </c>
      <c r="Y236" s="43" cm="1">
        <f t="array" ref="Y236">IF(COUNTIFS($X$2:$X236,$X236)=1,"1",VALUE(SUBSTITUTE(INDEX(Y:Y,_xlfn.XMATCH($X236,$X$1:$X235,0,-1)),"A",""))+INDEX(Z:Z,_xlfn.XMATCH($X236,$X$1:$X235,0,-1))+1)</f>
        <v>2</v>
      </c>
      <c r="Z236" s="43" cm="1">
        <f t="array" ref="Z236">SUM(IF(ISNUMBER(FIND("TmAi",$BE$1:$AAD$1)),IF(IFERROR(ISODD(SUBSTITUTE($BE236:$AAD236,"A","")),FALSE),IF(ISODD(SUBSTITUTE($BE236:$AAD236,"A","")),1,0),0)))</f>
        <v>0</v>
      </c>
      <c r="AA236" t="str">
        <f t="shared" si="369"/>
        <v>3B</v>
      </c>
      <c r="AB236" t="str">
        <f t="shared" si="370"/>
        <v>4B</v>
      </c>
      <c r="AP236" t="s">
        <v>137</v>
      </c>
      <c r="AS236" t="s">
        <v>396</v>
      </c>
      <c r="JZ236" s="27" t="str">
        <f t="shared" si="371"/>
        <v>XT79</v>
      </c>
      <c r="KC236" t="str">
        <f t="shared" si="372"/>
        <v>F0-AI29-3B</v>
      </c>
      <c r="KD236" t="str">
        <f t="shared" si="373"/>
        <v>F0-AI29-4B</v>
      </c>
      <c r="KI236" cm="1">
        <f t="array" ref="KI236">IF(COUNTIFS($U$2:$U236,$U236)=1,1,INDEX(KI:KI,_xlfn.XMATCH(U236,U$1:U235,0,-1))+COUNT(KI235:KM235))</f>
        <v>4</v>
      </c>
      <c r="KJ236">
        <f t="shared" si="374"/>
        <v>5</v>
      </c>
      <c r="KK236">
        <f t="shared" si="374"/>
        <v>6</v>
      </c>
      <c r="KN236">
        <v>1</v>
      </c>
      <c r="KO236" s="16">
        <v>2</v>
      </c>
      <c r="KS236" s="16"/>
    </row>
    <row r="237" spans="1:355" x14ac:dyDescent="0.25">
      <c r="A237" t="s">
        <v>1687</v>
      </c>
      <c r="B237" t="s">
        <v>1691</v>
      </c>
      <c r="C237" t="s">
        <v>498</v>
      </c>
      <c r="P237" t="s">
        <v>482</v>
      </c>
      <c r="T237" s="14" t="s">
        <v>554</v>
      </c>
      <c r="U237">
        <v>79</v>
      </c>
      <c r="V237" t="s">
        <v>1683</v>
      </c>
      <c r="X237" t="str">
        <f>IF(COUNTIF(X$1:X236,X236)&gt;7,REPLACE(X236,LEN(X236),1,VALUE(RIGHT(X236,1))+1),X236)</f>
        <v>А3.29</v>
      </c>
      <c r="Y237" s="43" cm="1">
        <f t="array" ref="Y237">IF(COUNTIFS($X$2:$X237,$X237)=1,"1",VALUE(SUBSTITUTE(INDEX(Y:Y,_xlfn.XMATCH($X237,$X$1:$X236,0,-1)),"A",""))+INDEX(Z:Z,_xlfn.XMATCH($X237,$X$1:$X236,0,-1))+1)</f>
        <v>3</v>
      </c>
      <c r="Z237" s="43" cm="1">
        <f t="array" ref="Z237">SUM(IF(ISNUMBER(FIND("TmAi",$BE$1:$AAD$1)),IF(IFERROR(ISODD(SUBSTITUTE($BE237:$AAD237,"A","")),FALSE),IF(ISODD(SUBSTITUTE($BE237:$AAD237,"A","")),1,0),0)))</f>
        <v>0</v>
      </c>
      <c r="AA237" t="str">
        <f t="shared" si="369"/>
        <v>5B</v>
      </c>
      <c r="AB237" t="str">
        <f t="shared" si="370"/>
        <v>6B</v>
      </c>
      <c r="AP237" t="s">
        <v>137</v>
      </c>
      <c r="AS237" t="s">
        <v>396</v>
      </c>
      <c r="JZ237" s="27" t="str">
        <f t="shared" si="371"/>
        <v>XT79</v>
      </c>
      <c r="KC237" t="str">
        <f t="shared" si="372"/>
        <v>F0-AI29-5B</v>
      </c>
      <c r="KD237" t="str">
        <f t="shared" si="373"/>
        <v>F0-AI29-6B</v>
      </c>
      <c r="KI237" cm="1">
        <f t="array" ref="KI237">IF(COUNTIFS($U$2:$U237,$U237)=1,1,INDEX(KI:KI,_xlfn.XMATCH(U237,U$1:U236,0,-1))+COUNT(KI236:KM236))</f>
        <v>7</v>
      </c>
      <c r="KJ237">
        <f t="shared" si="374"/>
        <v>8</v>
      </c>
      <c r="KK237">
        <f t="shared" si="374"/>
        <v>9</v>
      </c>
      <c r="KN237">
        <v>1</v>
      </c>
      <c r="KO237" s="16">
        <v>2</v>
      </c>
      <c r="KS237" s="16"/>
    </row>
    <row r="238" spans="1:355" x14ac:dyDescent="0.25">
      <c r="A238" t="s">
        <v>1688</v>
      </c>
      <c r="B238" s="33" t="s">
        <v>1692</v>
      </c>
      <c r="C238" t="s">
        <v>498</v>
      </c>
      <c r="P238" t="s">
        <v>482</v>
      </c>
      <c r="T238" s="14" t="s">
        <v>554</v>
      </c>
      <c r="U238">
        <v>79</v>
      </c>
      <c r="V238" t="s">
        <v>1684</v>
      </c>
      <c r="X238" t="str">
        <f>IF(COUNTIF(X$1:X237,X237)&gt;7,REPLACE(X237,LEN(X237),1,VALUE(RIGHT(X237,1))+1),X237)</f>
        <v>А3.29</v>
      </c>
      <c r="Y238" s="43" cm="1">
        <f t="array" ref="Y238">IF(COUNTIFS($X$2:$X238,$X238)=1,"1",VALUE(SUBSTITUTE(INDEX(Y:Y,_xlfn.XMATCH($X238,$X$1:$X237,0,-1)),"A",""))+INDEX(Z:Z,_xlfn.XMATCH($X238,$X$1:$X237,0,-1))+1)</f>
        <v>4</v>
      </c>
      <c r="Z238" s="43" cm="1">
        <f t="array" ref="Z238">SUM(IF(ISNUMBER(FIND("TmAi",$BE$1:$AAD$1)),IF(IFERROR(ISODD(SUBSTITUTE($BE238:$AAD238,"A","")),FALSE),IF(ISODD(SUBSTITUTE($BE238:$AAD238,"A","")),1,0),0)))</f>
        <v>0</v>
      </c>
      <c r="AA238" t="str">
        <f t="shared" si="369"/>
        <v>7B</v>
      </c>
      <c r="AB238" t="str">
        <f t="shared" si="370"/>
        <v>8B</v>
      </c>
      <c r="AP238" t="s">
        <v>137</v>
      </c>
      <c r="AS238" t="s">
        <v>396</v>
      </c>
      <c r="JZ238" s="27" t="str">
        <f t="shared" si="371"/>
        <v>XT79</v>
      </c>
      <c r="KC238" t="str">
        <f t="shared" si="372"/>
        <v>F0-AI29-7B</v>
      </c>
      <c r="KD238" t="str">
        <f t="shared" si="373"/>
        <v>F0-AI29-8B</v>
      </c>
      <c r="KI238" cm="1">
        <f t="array" ref="KI238">IF(COUNTIFS($U$2:$U238,$U238)=1,1,INDEX(KI:KI,_xlfn.XMATCH(U238,U$1:U237,0,-1))+COUNT(KI237:KM237))</f>
        <v>10</v>
      </c>
      <c r="KJ238">
        <f t="shared" si="374"/>
        <v>11</v>
      </c>
      <c r="KK238">
        <f t="shared" si="374"/>
        <v>12</v>
      </c>
      <c r="KN238">
        <v>1</v>
      </c>
      <c r="KO238" s="16">
        <v>2</v>
      </c>
      <c r="KS238" s="16"/>
    </row>
    <row r="239" spans="1:355" x14ac:dyDescent="0.25">
      <c r="A239" t="s">
        <v>1702</v>
      </c>
      <c r="B239" t="s">
        <v>1694</v>
      </c>
      <c r="C239" t="s">
        <v>498</v>
      </c>
      <c r="P239" t="s">
        <v>482</v>
      </c>
      <c r="T239" s="14" t="s">
        <v>554</v>
      </c>
      <c r="U239">
        <v>80</v>
      </c>
      <c r="V239" t="s">
        <v>1695</v>
      </c>
      <c r="X239" t="str">
        <f>IF(COUNTIF(X$1:X238,X238)&gt;7,REPLACE(X238,LEN(X238),1,VALUE(RIGHT(X238,1))+1),X238)</f>
        <v>А3.29</v>
      </c>
      <c r="Y239" s="43" cm="1">
        <f t="array" ref="Y239">IF(COUNTIFS($X$2:$X239,$X239)=1,"1",VALUE(SUBSTITUTE(INDEX(Y:Y,_xlfn.XMATCH($X239,$X$1:$X238,0,-1)),"A",""))+INDEX(Z:Z,_xlfn.XMATCH($X239,$X$1:$X238,0,-1))+1)</f>
        <v>5</v>
      </c>
      <c r="Z239" s="43" cm="1">
        <f t="array" ref="Z239">SUM(IF(ISNUMBER(FIND("TmAi",$BE$1:$AAD$1)),IF(IFERROR(ISODD(SUBSTITUTE($BE239:$AAD239,"A","")),FALSE),IF(ISODD(SUBSTITUTE($BE239:$AAD239,"A","")),1,0),0)))</f>
        <v>0</v>
      </c>
      <c r="AA239" t="str">
        <f t="shared" si="369"/>
        <v>9B</v>
      </c>
      <c r="AB239" t="str">
        <f t="shared" si="370"/>
        <v>10B</v>
      </c>
      <c r="AP239" t="s">
        <v>137</v>
      </c>
      <c r="AS239" t="s">
        <v>396</v>
      </c>
      <c r="JZ239" s="27" t="str">
        <f t="shared" si="371"/>
        <v>XT80</v>
      </c>
      <c r="KC239" t="str">
        <f t="shared" si="372"/>
        <v>F0-AI29-9B</v>
      </c>
      <c r="KD239" t="str">
        <f t="shared" si="373"/>
        <v>F0-AI29-10B</v>
      </c>
      <c r="KI239" cm="1">
        <f t="array" ref="KI239">IF(COUNTIFS($U$2:$U239,$U239)=1,1,INDEX(KI:KI,_xlfn.XMATCH(U239,U$1:U238,0,-1))+COUNT(KI238:KM238))</f>
        <v>1</v>
      </c>
      <c r="KJ239">
        <f t="shared" si="374"/>
        <v>2</v>
      </c>
      <c r="KK239">
        <f t="shared" si="374"/>
        <v>3</v>
      </c>
      <c r="KN239">
        <v>1</v>
      </c>
      <c r="KO239" s="16">
        <v>2</v>
      </c>
      <c r="KS239" s="16"/>
    </row>
    <row r="240" spans="1:355" x14ac:dyDescent="0.25">
      <c r="A240" t="s">
        <v>1703</v>
      </c>
      <c r="B240" t="s">
        <v>1696</v>
      </c>
      <c r="C240" t="s">
        <v>498</v>
      </c>
      <c r="P240" t="s">
        <v>482</v>
      </c>
      <c r="T240" s="14" t="s">
        <v>554</v>
      </c>
      <c r="U240">
        <v>80</v>
      </c>
      <c r="V240" t="s">
        <v>1697</v>
      </c>
      <c r="X240" t="str">
        <f>IF(COUNTIF(X$1:X239,X239)&gt;7,REPLACE(X239,LEN(X239),1,VALUE(RIGHT(X239,1))+1),X239)</f>
        <v>А3.29</v>
      </c>
      <c r="Y240" s="43" cm="1">
        <f t="array" ref="Y240">IF(COUNTIFS($X$2:$X240,$X240)=1,"1",VALUE(SUBSTITUTE(INDEX(Y:Y,_xlfn.XMATCH($X240,$X$1:$X239,0,-1)),"A",""))+INDEX(Z:Z,_xlfn.XMATCH($X240,$X$1:$X239,0,-1))+1)</f>
        <v>6</v>
      </c>
      <c r="Z240" s="43" cm="1">
        <f t="array" ref="Z240">SUM(IF(ISNUMBER(FIND("TmAi",$BE$1:$AAD$1)),IF(IFERROR(ISODD(SUBSTITUTE($BE240:$AAD240,"A","")),FALSE),IF(ISODD(SUBSTITUTE($BE240:$AAD240,"A","")),1,0),0)))</f>
        <v>0</v>
      </c>
      <c r="AA240" t="str">
        <f t="shared" si="369"/>
        <v>11B</v>
      </c>
      <c r="AB240" t="str">
        <f t="shared" si="370"/>
        <v>12B</v>
      </c>
      <c r="AP240" t="s">
        <v>137</v>
      </c>
      <c r="AS240" t="s">
        <v>396</v>
      </c>
      <c r="JZ240" s="27" t="str">
        <f t="shared" si="371"/>
        <v>XT80</v>
      </c>
      <c r="KC240" t="str">
        <f t="shared" si="372"/>
        <v>F0-AI29-11B</v>
      </c>
      <c r="KD240" t="str">
        <f t="shared" si="373"/>
        <v>F0-AI29-12B</v>
      </c>
      <c r="KI240" cm="1">
        <f t="array" ref="KI240">IF(COUNTIFS($U$2:$U240,$U240)=1,1,INDEX(KI:KI,_xlfn.XMATCH(U240,U$1:U239,0,-1))+COUNT(KI239:KM239))</f>
        <v>4</v>
      </c>
      <c r="KJ240">
        <f t="shared" si="374"/>
        <v>5</v>
      </c>
      <c r="KK240">
        <f t="shared" si="374"/>
        <v>6</v>
      </c>
      <c r="KN240">
        <v>1</v>
      </c>
      <c r="KO240" s="16">
        <v>2</v>
      </c>
      <c r="KS240" s="16"/>
    </row>
    <row r="241" spans="1:305" x14ac:dyDescent="0.25">
      <c r="A241" t="s">
        <v>1704</v>
      </c>
      <c r="B241" t="s">
        <v>1698</v>
      </c>
      <c r="C241" t="s">
        <v>498</v>
      </c>
      <c r="P241" t="s">
        <v>482</v>
      </c>
      <c r="T241" s="14" t="s">
        <v>554</v>
      </c>
      <c r="U241">
        <v>80</v>
      </c>
      <c r="V241" t="s">
        <v>1699</v>
      </c>
      <c r="X241" t="str">
        <f>IF(COUNTIF(X$1:X240,X240)&gt;7,REPLACE(X240,LEN(X240),1,VALUE(RIGHT(X240,1))+1),X240)</f>
        <v>А3.29</v>
      </c>
      <c r="Y241" s="43" cm="1">
        <f t="array" ref="Y241">IF(COUNTIFS($X$2:$X241,$X241)=1,"1",VALUE(SUBSTITUTE(INDEX(Y:Y,_xlfn.XMATCH($X241,$X$1:$X240,0,-1)),"A",""))+INDEX(Z:Z,_xlfn.XMATCH($X241,$X$1:$X240,0,-1))+1)</f>
        <v>7</v>
      </c>
      <c r="Z241" s="43" cm="1">
        <f t="array" ref="Z241">SUM(IF(ISNUMBER(FIND("TmAi",$BE$1:$AAD$1)),IF(IFERROR(ISODD(SUBSTITUTE($BE241:$AAD241,"A","")),FALSE),IF(ISODD(SUBSTITUTE($BE241:$AAD241,"A","")),1,0),0)))</f>
        <v>0</v>
      </c>
      <c r="AA241" t="str">
        <f t="shared" si="369"/>
        <v>13B</v>
      </c>
      <c r="AB241" t="str">
        <f t="shared" si="370"/>
        <v>14B</v>
      </c>
      <c r="AP241" t="s">
        <v>137</v>
      </c>
      <c r="AS241" t="s">
        <v>396</v>
      </c>
      <c r="JZ241" s="27" t="str">
        <f t="shared" si="371"/>
        <v>XT80</v>
      </c>
      <c r="KC241" t="str">
        <f t="shared" si="372"/>
        <v>F0-AI29-13B</v>
      </c>
      <c r="KD241" t="str">
        <f t="shared" si="373"/>
        <v>F0-AI29-14B</v>
      </c>
      <c r="KI241" cm="1">
        <f t="array" ref="KI241">IF(COUNTIFS($U$2:$U241,$U241)=1,1,INDEX(KI:KI,_xlfn.XMATCH(U241,U$1:U240,0,-1))+COUNT(KI240:KM240))</f>
        <v>7</v>
      </c>
      <c r="KJ241">
        <f t="shared" si="374"/>
        <v>8</v>
      </c>
      <c r="KK241">
        <f t="shared" si="374"/>
        <v>9</v>
      </c>
      <c r="KN241">
        <v>1</v>
      </c>
      <c r="KO241" s="16">
        <v>2</v>
      </c>
      <c r="KS241" s="16"/>
    </row>
    <row r="242" spans="1:305" x14ac:dyDescent="0.25">
      <c r="A242" t="s">
        <v>1705</v>
      </c>
      <c r="B242" s="33" t="s">
        <v>1700</v>
      </c>
      <c r="C242" t="s">
        <v>498</v>
      </c>
      <c r="P242" t="s">
        <v>482</v>
      </c>
      <c r="T242" s="14" t="s">
        <v>554</v>
      </c>
      <c r="U242">
        <v>80</v>
      </c>
      <c r="V242" t="s">
        <v>1701</v>
      </c>
      <c r="X242" t="str">
        <f>IF(COUNTIF(X$1:X241,X241)&gt;7,REPLACE(X241,LEN(X241),1,VALUE(RIGHT(X241,1))+1),X241)</f>
        <v>А3.29</v>
      </c>
      <c r="Y242" s="43" cm="1">
        <f t="array" ref="Y242">IF(COUNTIFS($X$2:$X242,$X242)=1,"1",VALUE(SUBSTITUTE(INDEX(Y:Y,_xlfn.XMATCH($X242,$X$1:$X241,0,-1)),"A",""))+INDEX(Z:Z,_xlfn.XMATCH($X242,$X$1:$X241,0,-1))+1)</f>
        <v>8</v>
      </c>
      <c r="Z242" s="43" cm="1">
        <f t="array" ref="Z242">SUM(IF(ISNUMBER(FIND("TmAi",$BE$1:$AAD$1)),IF(IFERROR(ISODD(SUBSTITUTE($BE242:$AAD242,"A","")),FALSE),IF(ISODD(SUBSTITUTE($BE242:$AAD242,"A","")),1,0),0)))</f>
        <v>0</v>
      </c>
      <c r="AA242" t="str">
        <f t="shared" si="369"/>
        <v>15B</v>
      </c>
      <c r="AB242" t="str">
        <f t="shared" si="370"/>
        <v>16B</v>
      </c>
      <c r="AP242" t="s">
        <v>137</v>
      </c>
      <c r="AS242" t="s">
        <v>396</v>
      </c>
      <c r="JZ242" s="27" t="str">
        <f t="shared" si="371"/>
        <v>XT80</v>
      </c>
      <c r="KC242" t="str">
        <f t="shared" si="372"/>
        <v>F0-AI29-15B</v>
      </c>
      <c r="KD242" t="str">
        <f t="shared" si="373"/>
        <v>F0-AI29-16B</v>
      </c>
      <c r="KI242" cm="1">
        <f t="array" ref="KI242">IF(COUNTIFS($U$2:$U242,$U242)=1,1,INDEX(KI:KI,_xlfn.XMATCH(U242,U$1:U241,0,-1))+COUNT(KI241:KM241))</f>
        <v>10</v>
      </c>
      <c r="KJ242">
        <f t="shared" si="374"/>
        <v>11</v>
      </c>
      <c r="KK242">
        <f t="shared" si="374"/>
        <v>12</v>
      </c>
      <c r="KN242">
        <v>1</v>
      </c>
      <c r="KO242" s="16">
        <v>2</v>
      </c>
      <c r="KS242" s="16"/>
    </row>
    <row r="243" spans="1:305" x14ac:dyDescent="0.25">
      <c r="A243" t="s">
        <v>1716</v>
      </c>
      <c r="B243" t="s">
        <v>1706</v>
      </c>
      <c r="C243" t="s">
        <v>498</v>
      </c>
      <c r="P243" t="s">
        <v>482</v>
      </c>
      <c r="T243" s="14" t="s">
        <v>554</v>
      </c>
      <c r="U243">
        <v>81</v>
      </c>
      <c r="V243" t="s">
        <v>1707</v>
      </c>
      <c r="X243" t="s">
        <v>1056</v>
      </c>
      <c r="Y243" s="43" t="str" cm="1">
        <f t="array" ref="Y243">IF(COUNTIFS($X$2:$X243,$X243)=1,"1",VALUE(SUBSTITUTE(INDEX(Y:Y,_xlfn.XMATCH($X243,$X$1:$X242,0,-1)),"A",""))+INDEX(Z:Z,_xlfn.XMATCH($X243,$X$1:$X242,0,-1))+1)</f>
        <v>1</v>
      </c>
      <c r="Z243" s="43" cm="1">
        <f t="array" ref="Z243">SUM(IF(ISNUMBER(FIND("TmAi",$BE$1:$AAD$1)),IF(IFERROR(ISODD(SUBSTITUTE($BE243:$AAD243,"A","")),FALSE),IF(ISODD(SUBSTITUTE($BE243:$AAD243,"A","")),1,0),0)))</f>
        <v>0</v>
      </c>
      <c r="AA243" t="str">
        <f t="shared" si="369"/>
        <v>1B</v>
      </c>
      <c r="AB243" t="str">
        <f t="shared" si="370"/>
        <v>2B</v>
      </c>
      <c r="AP243" t="s">
        <v>137</v>
      </c>
      <c r="AS243" t="s">
        <v>396</v>
      </c>
      <c r="JZ243" s="27" t="str">
        <f t="shared" si="371"/>
        <v>XT81</v>
      </c>
      <c r="KC243" t="str">
        <f t="shared" si="372"/>
        <v>F0-AI30-1B</v>
      </c>
      <c r="KD243" t="str">
        <f t="shared" si="373"/>
        <v>F0-AI30-2B</v>
      </c>
      <c r="KI243" cm="1">
        <f t="array" ref="KI243">IF(COUNTIFS($U$2:$U243,$U243)=1,1,INDEX(KI:KI,_xlfn.XMATCH(U243,U$1:U242,0,-1))+COUNT(KI242:KM242))</f>
        <v>1</v>
      </c>
      <c r="KJ243">
        <f t="shared" si="374"/>
        <v>2</v>
      </c>
      <c r="KK243">
        <f t="shared" si="374"/>
        <v>3</v>
      </c>
      <c r="KN243">
        <v>1</v>
      </c>
      <c r="KO243" s="16">
        <v>2</v>
      </c>
      <c r="KS243" s="16"/>
    </row>
    <row r="244" spans="1:305" x14ac:dyDescent="0.25">
      <c r="A244" t="s">
        <v>1717</v>
      </c>
      <c r="B244" t="s">
        <v>1708</v>
      </c>
      <c r="C244" t="s">
        <v>498</v>
      </c>
      <c r="P244" t="s">
        <v>482</v>
      </c>
      <c r="T244" s="14" t="s">
        <v>554</v>
      </c>
      <c r="U244">
        <v>81</v>
      </c>
      <c r="V244" t="s">
        <v>1709</v>
      </c>
      <c r="X244" t="str">
        <f>IF(COUNTIF(X$1:X243,X243)&gt;7,REPLACE(X243,LEN(X243),1,VALUE(RIGHT(X243,1))+1),X243)</f>
        <v>A3.30</v>
      </c>
      <c r="Y244" s="43" cm="1">
        <f t="array" ref="Y244">IF(COUNTIFS($X$2:$X244,$X244)=1,"1",VALUE(SUBSTITUTE(INDEX(Y:Y,_xlfn.XMATCH($X244,$X$1:$X243,0,-1)),"A",""))+INDEX(Z:Z,_xlfn.XMATCH($X244,$X$1:$X243,0,-1))+1)</f>
        <v>2</v>
      </c>
      <c r="Z244" s="43" cm="1">
        <f t="array" ref="Z244">SUM(IF(ISNUMBER(FIND("TmAi",$BE$1:$AAD$1)),IF(IFERROR(ISODD(SUBSTITUTE($BE244:$AAD244,"A","")),FALSE),IF(ISODD(SUBSTITUTE($BE244:$AAD244,"A","")),1,0),0)))</f>
        <v>0</v>
      </c>
      <c r="AA244" t="str">
        <f t="shared" si="369"/>
        <v>3B</v>
      </c>
      <c r="AB244" t="str">
        <f t="shared" si="370"/>
        <v>4B</v>
      </c>
      <c r="AP244" t="s">
        <v>137</v>
      </c>
      <c r="AS244" t="s">
        <v>396</v>
      </c>
      <c r="JZ244" s="27" t="str">
        <f t="shared" si="371"/>
        <v>XT81</v>
      </c>
      <c r="KC244" t="str">
        <f t="shared" si="372"/>
        <v>F0-AI30-3B</v>
      </c>
      <c r="KD244" t="str">
        <f t="shared" si="373"/>
        <v>F0-AI30-4B</v>
      </c>
      <c r="KI244" cm="1">
        <f t="array" ref="KI244">IF(COUNTIFS($U$2:$U244,$U244)=1,1,INDEX(KI:KI,_xlfn.XMATCH(U244,U$1:U243,0,-1))+COUNT(KI243:KM243))</f>
        <v>4</v>
      </c>
      <c r="KJ244">
        <f t="shared" si="374"/>
        <v>5</v>
      </c>
      <c r="KK244">
        <f t="shared" si="374"/>
        <v>6</v>
      </c>
      <c r="KN244">
        <v>1</v>
      </c>
      <c r="KO244" s="16">
        <v>2</v>
      </c>
      <c r="KS244" s="16"/>
    </row>
    <row r="245" spans="1:305" x14ac:dyDescent="0.25">
      <c r="A245" t="s">
        <v>1718</v>
      </c>
      <c r="B245" t="s">
        <v>1710</v>
      </c>
      <c r="C245" t="s">
        <v>498</v>
      </c>
      <c r="P245" t="s">
        <v>482</v>
      </c>
      <c r="T245" s="14" t="s">
        <v>554</v>
      </c>
      <c r="U245">
        <v>81</v>
      </c>
      <c r="V245" t="s">
        <v>1711</v>
      </c>
      <c r="X245" t="str">
        <f>IF(COUNTIF(X$1:X244,X244)&gt;7,REPLACE(X244,LEN(X244),1,VALUE(RIGHT(X244,1))+1),X244)</f>
        <v>A3.30</v>
      </c>
      <c r="Y245" s="43" cm="1">
        <f t="array" ref="Y245">IF(COUNTIFS($X$2:$X245,$X245)=1,"1",VALUE(SUBSTITUTE(INDEX(Y:Y,_xlfn.XMATCH($X245,$X$1:$X244,0,-1)),"A",""))+INDEX(Z:Z,_xlfn.XMATCH($X245,$X$1:$X244,0,-1))+1)</f>
        <v>3</v>
      </c>
      <c r="Z245" s="43" cm="1">
        <f t="array" ref="Z245">SUM(IF(ISNUMBER(FIND("TmAi",$BE$1:$AAD$1)),IF(IFERROR(ISODD(SUBSTITUTE($BE245:$AAD245,"A","")),FALSE),IF(ISODD(SUBSTITUTE($BE245:$AAD245,"A","")),1,0),0)))</f>
        <v>0</v>
      </c>
      <c r="AA245" t="str">
        <f t="shared" si="369"/>
        <v>5B</v>
      </c>
      <c r="AB245" t="str">
        <f t="shared" si="370"/>
        <v>6B</v>
      </c>
      <c r="AP245" t="s">
        <v>137</v>
      </c>
      <c r="AS245" t="s">
        <v>396</v>
      </c>
      <c r="JZ245" s="27" t="str">
        <f t="shared" si="371"/>
        <v>XT81</v>
      </c>
      <c r="KC245" t="str">
        <f t="shared" si="372"/>
        <v>F0-AI30-5B</v>
      </c>
      <c r="KD245" t="str">
        <f t="shared" si="373"/>
        <v>F0-AI30-6B</v>
      </c>
      <c r="KI245" cm="1">
        <f t="array" ref="KI245">IF(COUNTIFS($U$2:$U245,$U245)=1,1,INDEX(KI:KI,_xlfn.XMATCH(U245,U$1:U244,0,-1))+COUNT(KI244:KM244))</f>
        <v>7</v>
      </c>
      <c r="KJ245">
        <f t="shared" si="374"/>
        <v>8</v>
      </c>
      <c r="KK245">
        <f t="shared" si="374"/>
        <v>9</v>
      </c>
      <c r="KN245">
        <v>1</v>
      </c>
      <c r="KO245" s="16">
        <v>2</v>
      </c>
      <c r="KS245" s="16"/>
    </row>
    <row r="246" spans="1:305" x14ac:dyDescent="0.25">
      <c r="A246" t="s">
        <v>1719</v>
      </c>
      <c r="B246" s="33" t="s">
        <v>1712</v>
      </c>
      <c r="C246" t="s">
        <v>498</v>
      </c>
      <c r="P246" t="s">
        <v>482</v>
      </c>
      <c r="T246" s="14" t="s">
        <v>554</v>
      </c>
      <c r="U246">
        <v>81</v>
      </c>
      <c r="V246" t="s">
        <v>1713</v>
      </c>
      <c r="X246" t="str">
        <f>IF(COUNTIF(X$1:X245,X245)&gt;7,REPLACE(X245,LEN(X245),1,VALUE(RIGHT(X245,1))+1),X245)</f>
        <v>A3.30</v>
      </c>
      <c r="Y246" s="43" cm="1">
        <f t="array" ref="Y246">IF(COUNTIFS($X$2:$X246,$X246)=1,"1",VALUE(SUBSTITUTE(INDEX(Y:Y,_xlfn.XMATCH($X246,$X$1:$X245,0,-1)),"A",""))+INDEX(Z:Z,_xlfn.XMATCH($X246,$X$1:$X245,0,-1))+1)</f>
        <v>4</v>
      </c>
      <c r="Z246" s="43" cm="1">
        <f t="array" ref="Z246">SUM(IF(ISNUMBER(FIND("TmAi",$BE$1:$AAD$1)),IF(IFERROR(ISODD(SUBSTITUTE($BE246:$AAD246,"A","")),FALSE),IF(ISODD(SUBSTITUTE($BE246:$AAD246,"A","")),1,0),0)))</f>
        <v>0</v>
      </c>
      <c r="AA246" t="str">
        <f t="shared" si="369"/>
        <v>7B</v>
      </c>
      <c r="AB246" t="str">
        <f t="shared" si="370"/>
        <v>8B</v>
      </c>
      <c r="AP246" t="s">
        <v>137</v>
      </c>
      <c r="AS246" t="s">
        <v>396</v>
      </c>
      <c r="JZ246" s="27" t="str">
        <f t="shared" si="371"/>
        <v>XT81</v>
      </c>
      <c r="KC246" t="str">
        <f t="shared" si="372"/>
        <v>F0-AI30-7B</v>
      </c>
      <c r="KD246" t="str">
        <f t="shared" si="373"/>
        <v>F0-AI30-8B</v>
      </c>
      <c r="KI246" cm="1">
        <f t="array" ref="KI246">IF(COUNTIFS($U$2:$U246,$U246)=1,1,INDEX(KI:KI,_xlfn.XMATCH(U246,U$1:U245,0,-1))+COUNT(KI245:KM245))</f>
        <v>10</v>
      </c>
      <c r="KJ246">
        <f t="shared" si="374"/>
        <v>11</v>
      </c>
      <c r="KK246">
        <f t="shared" si="374"/>
        <v>12</v>
      </c>
      <c r="KN246">
        <v>1</v>
      </c>
      <c r="KO246" s="16">
        <v>2</v>
      </c>
      <c r="KS246" s="16"/>
    </row>
    <row r="247" spans="1:305" x14ac:dyDescent="0.25">
      <c r="A247" t="s">
        <v>1758</v>
      </c>
      <c r="B247" t="s">
        <v>1714</v>
      </c>
      <c r="C247" t="s">
        <v>498</v>
      </c>
      <c r="P247" t="s">
        <v>482</v>
      </c>
      <c r="T247" s="14" t="s">
        <v>554</v>
      </c>
      <c r="U247">
        <v>82</v>
      </c>
      <c r="V247" t="s">
        <v>1715</v>
      </c>
      <c r="X247" t="str">
        <f>IF(COUNTIF(X$1:X246,X246)&gt;7,REPLACE(X246,LEN(X246),1,VALUE(RIGHT(X246,1))+1),X246)</f>
        <v>A3.30</v>
      </c>
      <c r="Y247" s="43" cm="1">
        <f t="array" ref="Y247">IF(COUNTIFS($X$2:$X247,$X247)=1,"1",VALUE(SUBSTITUTE(INDEX(Y:Y,_xlfn.XMATCH($X247,$X$1:$X246,0,-1)),"A",""))+INDEX(Z:Z,_xlfn.XMATCH($X247,$X$1:$X246,0,-1))+1)</f>
        <v>5</v>
      </c>
      <c r="Z247" s="43" cm="1">
        <f t="array" ref="Z247">SUM(IF(ISNUMBER(FIND("TmAi",$BE$1:$AAD$1)),IF(IFERROR(ISODD(SUBSTITUTE($BE247:$AAD247,"A","")),FALSE),IF(ISODD(SUBSTITUTE($BE247:$AAD247,"A","")),1,0),0)))</f>
        <v>0</v>
      </c>
      <c r="AA247" t="str">
        <f t="shared" si="369"/>
        <v>9B</v>
      </c>
      <c r="AB247" t="str">
        <f t="shared" si="370"/>
        <v>10B</v>
      </c>
      <c r="AP247" t="s">
        <v>137</v>
      </c>
      <c r="AS247" t="s">
        <v>396</v>
      </c>
      <c r="JZ247" s="27" t="str">
        <f t="shared" si="371"/>
        <v>XT82</v>
      </c>
      <c r="KC247" t="str">
        <f t="shared" si="372"/>
        <v>F0-AI30-9B</v>
      </c>
      <c r="KD247" t="str">
        <f t="shared" si="373"/>
        <v>F0-AI30-10B</v>
      </c>
      <c r="KI247" cm="1">
        <f t="array" ref="KI247">IF(COUNTIFS($U$2:$U247,$U247)=1,1,INDEX(KI:KI,_xlfn.XMATCH(U247,U$1:U246,0,-1))+COUNT(KI246:KM246))</f>
        <v>1</v>
      </c>
      <c r="KJ247">
        <f t="shared" si="374"/>
        <v>2</v>
      </c>
      <c r="KK247">
        <f t="shared" si="374"/>
        <v>3</v>
      </c>
      <c r="KN247">
        <v>1</v>
      </c>
      <c r="KO247" s="16">
        <v>2</v>
      </c>
      <c r="KS247" s="16"/>
    </row>
    <row r="248" spans="1:305" x14ac:dyDescent="0.25">
      <c r="A248" t="s">
        <v>1759</v>
      </c>
      <c r="B248" t="s">
        <v>1728</v>
      </c>
      <c r="C248" t="s">
        <v>498</v>
      </c>
      <c r="P248" t="s">
        <v>482</v>
      </c>
      <c r="T248" s="14" t="s">
        <v>554</v>
      </c>
      <c r="U248">
        <v>82</v>
      </c>
      <c r="V248" t="s">
        <v>1720</v>
      </c>
      <c r="X248" t="str">
        <f>IF(COUNTIF(X$1:X247,X247)&gt;7,REPLACE(X247,LEN(X247),1,VALUE(RIGHT(X247,1))+1),X247)</f>
        <v>A3.30</v>
      </c>
      <c r="Y248" s="43" cm="1">
        <f t="array" ref="Y248">IF(COUNTIFS($X$2:$X248,$X248)=1,"1",VALUE(SUBSTITUTE(INDEX(Y:Y,_xlfn.XMATCH($X248,$X$1:$X247,0,-1)),"A",""))+INDEX(Z:Z,_xlfn.XMATCH($X248,$X$1:$X247,0,-1))+1)</f>
        <v>6</v>
      </c>
      <c r="Z248" s="43" cm="1">
        <f t="array" ref="Z248">SUM(IF(ISNUMBER(FIND("TmAi",$BE$1:$AAD$1)),IF(IFERROR(ISODD(SUBSTITUTE($BE248:$AAD248,"A","")),FALSE),IF(ISODD(SUBSTITUTE($BE248:$AAD248,"A","")),1,0),0)))</f>
        <v>0</v>
      </c>
      <c r="AA248" t="str">
        <f t="shared" si="369"/>
        <v>11B</v>
      </c>
      <c r="AB248" t="str">
        <f t="shared" si="370"/>
        <v>12B</v>
      </c>
      <c r="AP248" t="s">
        <v>137</v>
      </c>
      <c r="AS248" t="s">
        <v>396</v>
      </c>
      <c r="JZ248" s="27" t="str">
        <f t="shared" si="371"/>
        <v>XT82</v>
      </c>
      <c r="KC248" t="str">
        <f t="shared" si="372"/>
        <v>F0-AI30-11B</v>
      </c>
      <c r="KD248" t="str">
        <f t="shared" si="373"/>
        <v>F0-AI30-12B</v>
      </c>
      <c r="KI248" cm="1">
        <f t="array" ref="KI248">IF(COUNTIFS($U$2:$U248,$U248)=1,1,INDEX(KI:KI,_xlfn.XMATCH(U248,U$1:U247,0,-1))+COUNT(KI247:KM247))</f>
        <v>4</v>
      </c>
      <c r="KJ248">
        <f t="shared" si="374"/>
        <v>5</v>
      </c>
      <c r="KK248">
        <f t="shared" si="374"/>
        <v>6</v>
      </c>
      <c r="KN248">
        <v>1</v>
      </c>
      <c r="KO248" s="16">
        <v>2</v>
      </c>
      <c r="KS248" s="16"/>
    </row>
    <row r="249" spans="1:305" x14ac:dyDescent="0.25">
      <c r="A249" t="s">
        <v>1760</v>
      </c>
      <c r="B249" t="s">
        <v>1730</v>
      </c>
      <c r="C249" t="s">
        <v>498</v>
      </c>
      <c r="P249" t="s">
        <v>482</v>
      </c>
      <c r="T249" s="14" t="s">
        <v>554</v>
      </c>
      <c r="U249">
        <v>82</v>
      </c>
      <c r="V249" t="s">
        <v>1721</v>
      </c>
      <c r="X249" t="str">
        <f>IF(COUNTIF(X$1:X248,X248)&gt;7,REPLACE(X248,LEN(X248),1,VALUE(RIGHT(X248,1))+1),X248)</f>
        <v>A3.30</v>
      </c>
      <c r="Y249" s="43" cm="1">
        <f t="array" ref="Y249">IF(COUNTIFS($X$2:$X249,$X249)=1,"1",VALUE(SUBSTITUTE(INDEX(Y:Y,_xlfn.XMATCH($X249,$X$1:$X248,0,-1)),"A",""))+INDEX(Z:Z,_xlfn.XMATCH($X249,$X$1:$X248,0,-1))+1)</f>
        <v>7</v>
      </c>
      <c r="Z249" s="43" cm="1">
        <f t="array" ref="Z249">SUM(IF(ISNUMBER(FIND("TmAi",$BE$1:$AAD$1)),IF(IFERROR(ISODD(SUBSTITUTE($BE249:$AAD249,"A","")),FALSE),IF(ISODD(SUBSTITUTE($BE249:$AAD249,"A","")),1,0),0)))</f>
        <v>0</v>
      </c>
      <c r="AA249" t="str">
        <f t="shared" si="369"/>
        <v>13B</v>
      </c>
      <c r="AB249" t="str">
        <f t="shared" si="370"/>
        <v>14B</v>
      </c>
      <c r="AP249" t="s">
        <v>137</v>
      </c>
      <c r="AS249" t="s">
        <v>396</v>
      </c>
      <c r="JZ249" s="27" t="str">
        <f t="shared" si="371"/>
        <v>XT82</v>
      </c>
      <c r="KC249" t="str">
        <f t="shared" si="372"/>
        <v>F0-AI30-13B</v>
      </c>
      <c r="KD249" t="str">
        <f t="shared" si="373"/>
        <v>F0-AI30-14B</v>
      </c>
      <c r="KI249" cm="1">
        <f t="array" ref="KI249">IF(COUNTIFS($U$2:$U249,$U249)=1,1,INDEX(KI:KI,_xlfn.XMATCH(U249,U$1:U248,0,-1))+COUNT(KI248:KM248))</f>
        <v>7</v>
      </c>
      <c r="KJ249">
        <f t="shared" si="374"/>
        <v>8</v>
      </c>
      <c r="KK249">
        <f t="shared" si="374"/>
        <v>9</v>
      </c>
      <c r="KN249">
        <v>1</v>
      </c>
      <c r="KO249" s="16">
        <v>2</v>
      </c>
      <c r="KS249" s="16"/>
    </row>
    <row r="250" spans="1:305" x14ac:dyDescent="0.25">
      <c r="A250" t="s">
        <v>1761</v>
      </c>
      <c r="B250" s="33" t="s">
        <v>1732</v>
      </c>
      <c r="C250" t="s">
        <v>498</v>
      </c>
      <c r="P250" t="s">
        <v>482</v>
      </c>
      <c r="T250" s="14" t="s">
        <v>554</v>
      </c>
      <c r="U250">
        <v>82</v>
      </c>
      <c r="V250" t="s">
        <v>1722</v>
      </c>
      <c r="X250" t="str">
        <f>IF(COUNTIF(X$1:X249,X249)&gt;7,REPLACE(X249,LEN(X249),1,VALUE(RIGHT(X249,1))+1),X249)</f>
        <v>A3.30</v>
      </c>
      <c r="Y250" s="43" cm="1">
        <f t="array" ref="Y250">IF(COUNTIFS($X$2:$X250,$X250)=1,"1",VALUE(SUBSTITUTE(INDEX(Y:Y,_xlfn.XMATCH($X250,$X$1:$X249,0,-1)),"A",""))+INDEX(Z:Z,_xlfn.XMATCH($X250,$X$1:$X249,0,-1))+1)</f>
        <v>8</v>
      </c>
      <c r="Z250" s="43" cm="1">
        <f t="array" ref="Z250">SUM(IF(ISNUMBER(FIND("TmAi",$BE$1:$AAD$1)),IF(IFERROR(ISODD(SUBSTITUTE($BE250:$AAD250,"A","")),FALSE),IF(ISODD(SUBSTITUTE($BE250:$AAD250,"A","")),1,0),0)))</f>
        <v>0</v>
      </c>
      <c r="AA250" t="str">
        <f t="shared" si="369"/>
        <v>15B</v>
      </c>
      <c r="AB250" t="str">
        <f t="shared" si="370"/>
        <v>16B</v>
      </c>
      <c r="AP250" t="s">
        <v>137</v>
      </c>
      <c r="AS250" t="s">
        <v>396</v>
      </c>
      <c r="JZ250" s="27" t="str">
        <f t="shared" si="371"/>
        <v>XT82</v>
      </c>
      <c r="KC250" t="str">
        <f t="shared" si="372"/>
        <v>F0-AI30-15B</v>
      </c>
      <c r="KD250" t="str">
        <f t="shared" si="373"/>
        <v>F0-AI30-16B</v>
      </c>
      <c r="KI250" cm="1">
        <f t="array" ref="KI250">IF(COUNTIFS($U$2:$U250,$U250)=1,1,INDEX(KI:KI,_xlfn.XMATCH(U250,U$1:U249,0,-1))+COUNT(KI249:KM249))</f>
        <v>10</v>
      </c>
      <c r="KJ250">
        <f t="shared" ref="KJ250:KK266" si="375">KI250+1</f>
        <v>11</v>
      </c>
      <c r="KK250">
        <f t="shared" si="375"/>
        <v>12</v>
      </c>
      <c r="KN250">
        <v>1</v>
      </c>
      <c r="KO250" s="16">
        <v>2</v>
      </c>
      <c r="KS250" s="16"/>
    </row>
    <row r="251" spans="1:305" x14ac:dyDescent="0.25">
      <c r="A251" t="s">
        <v>1762</v>
      </c>
      <c r="B251" t="s">
        <v>1738</v>
      </c>
      <c r="C251" t="s">
        <v>498</v>
      </c>
      <c r="P251" t="s">
        <v>482</v>
      </c>
      <c r="T251" s="14" t="s">
        <v>554</v>
      </c>
      <c r="U251">
        <v>83</v>
      </c>
      <c r="V251" t="s">
        <v>1723</v>
      </c>
      <c r="X251" t="str">
        <f>IF(COUNTIF(X$1:X250,X250)&gt;7,REPLACE(X250,LEN(X250),1,VALUE(RIGHT(X250,1))+1),X250)</f>
        <v>A3.31</v>
      </c>
      <c r="Y251" s="43" t="str" cm="1">
        <f t="array" ref="Y251">IF(COUNTIFS($X$2:$X251,$X251)=1,"1",VALUE(SUBSTITUTE(INDEX(Y:Y,_xlfn.XMATCH($X251,$X$1:$X250,0,-1)),"A",""))+INDEX(Z:Z,_xlfn.XMATCH($X251,$X$1:$X250,0,-1))+1)</f>
        <v>1</v>
      </c>
      <c r="Z251" s="43" cm="1">
        <f t="array" ref="Z251">SUM(IF(ISNUMBER(FIND("TmAi",$BE$1:$AAD$1)),IF(IFERROR(ISODD(SUBSTITUTE($BE251:$AAD251,"A","")),FALSE),IF(ISODD(SUBSTITUTE($BE251:$AAD251,"A","")),1,0),0)))</f>
        <v>0</v>
      </c>
      <c r="AA251" t="str">
        <f t="shared" si="369"/>
        <v>1B</v>
      </c>
      <c r="AB251" t="str">
        <f t="shared" si="370"/>
        <v>2B</v>
      </c>
      <c r="AP251" t="s">
        <v>137</v>
      </c>
      <c r="AS251" t="s">
        <v>396</v>
      </c>
      <c r="JZ251" s="27" t="str">
        <f t="shared" si="371"/>
        <v>XT83</v>
      </c>
      <c r="KC251" t="str">
        <f t="shared" si="372"/>
        <v>F0-AI31-1B</v>
      </c>
      <c r="KD251" t="str">
        <f t="shared" si="373"/>
        <v>F0-AI31-2B</v>
      </c>
      <c r="KI251" cm="1">
        <f t="array" ref="KI251">IF(COUNTIFS($U$2:$U251,$U251)=1,1,INDEX(KI:KI,_xlfn.XMATCH(U251,U$1:U250,0,-1))+COUNT(KI250:KM250))</f>
        <v>1</v>
      </c>
      <c r="KJ251">
        <f t="shared" si="375"/>
        <v>2</v>
      </c>
      <c r="KK251">
        <f t="shared" si="375"/>
        <v>3</v>
      </c>
      <c r="KN251">
        <v>1</v>
      </c>
      <c r="KO251" s="16">
        <v>2</v>
      </c>
      <c r="KS251" s="16"/>
    </row>
    <row r="252" spans="1:305" x14ac:dyDescent="0.25">
      <c r="A252" t="s">
        <v>1763</v>
      </c>
      <c r="B252" t="s">
        <v>1739</v>
      </c>
      <c r="C252" t="s">
        <v>498</v>
      </c>
      <c r="P252" t="s">
        <v>482</v>
      </c>
      <c r="T252" s="14" t="s">
        <v>554</v>
      </c>
      <c r="U252">
        <v>83</v>
      </c>
      <c r="V252" t="s">
        <v>1724</v>
      </c>
      <c r="X252" t="str">
        <f>IF(COUNTIF(X$1:X251,X251)&gt;7,REPLACE(X251,LEN(X251),1,VALUE(RIGHT(X251,1))+1),X251)</f>
        <v>A3.31</v>
      </c>
      <c r="Y252" s="43" cm="1">
        <f t="array" ref="Y252">IF(COUNTIFS($X$2:$X252,$X252)=1,"1",VALUE(SUBSTITUTE(INDEX(Y:Y,_xlfn.XMATCH($X252,$X$1:$X251,0,-1)),"A",""))+INDEX(Z:Z,_xlfn.XMATCH($X252,$X$1:$X251,0,-1))+1)</f>
        <v>2</v>
      </c>
      <c r="Z252" s="43" cm="1">
        <f t="array" ref="Z252">SUM(IF(ISNUMBER(FIND("TmAi",$BE$1:$AAD$1)),IF(IFERROR(ISODD(SUBSTITUTE($BE252:$AAD252,"A","")),FALSE),IF(ISODD(SUBSTITUTE($BE252:$AAD252,"A","")),1,0),0)))</f>
        <v>0</v>
      </c>
      <c r="AA252" t="str">
        <f t="shared" si="369"/>
        <v>3B</v>
      </c>
      <c r="AB252" t="str">
        <f t="shared" si="370"/>
        <v>4B</v>
      </c>
      <c r="AP252" t="s">
        <v>137</v>
      </c>
      <c r="AS252" t="s">
        <v>396</v>
      </c>
      <c r="JZ252" s="27" t="str">
        <f t="shared" si="371"/>
        <v>XT83</v>
      </c>
      <c r="KC252" t="str">
        <f t="shared" si="372"/>
        <v>F0-AI31-3B</v>
      </c>
      <c r="KD252" t="str">
        <f t="shared" si="373"/>
        <v>F0-AI31-4B</v>
      </c>
      <c r="KI252" cm="1">
        <f t="array" ref="KI252">IF(COUNTIFS($U$2:$U252,$U252)=1,1,INDEX(KI:KI,_xlfn.XMATCH(U252,U$1:U251,0,-1))+COUNT(KI251:KM251))</f>
        <v>4</v>
      </c>
      <c r="KJ252">
        <f t="shared" si="375"/>
        <v>5</v>
      </c>
      <c r="KK252">
        <f t="shared" si="375"/>
        <v>6</v>
      </c>
      <c r="KN252">
        <v>1</v>
      </c>
      <c r="KO252" s="16">
        <v>2</v>
      </c>
      <c r="KS252" s="16"/>
    </row>
    <row r="253" spans="1:305" x14ac:dyDescent="0.25">
      <c r="A253" t="s">
        <v>1764</v>
      </c>
      <c r="B253" t="s">
        <v>1740</v>
      </c>
      <c r="C253" t="s">
        <v>498</v>
      </c>
      <c r="P253" t="s">
        <v>482</v>
      </c>
      <c r="T253" s="14" t="s">
        <v>554</v>
      </c>
      <c r="U253">
        <v>83</v>
      </c>
      <c r="V253" t="s">
        <v>1725</v>
      </c>
      <c r="X253" t="str">
        <f>IF(COUNTIF(X$1:X252,X252)&gt;7,REPLACE(X252,LEN(X252),1,VALUE(RIGHT(X252,1))+1),X252)</f>
        <v>A3.31</v>
      </c>
      <c r="Y253" s="43" cm="1">
        <f t="array" ref="Y253">IF(COUNTIFS($X$2:$X253,$X253)=1,"1",VALUE(SUBSTITUTE(INDEX(Y:Y,_xlfn.XMATCH($X253,$X$1:$X252,0,-1)),"A",""))+INDEX(Z:Z,_xlfn.XMATCH($X253,$X$1:$X252,0,-1))+1)</f>
        <v>3</v>
      </c>
      <c r="Z253" s="43" cm="1">
        <f t="array" ref="Z253">SUM(IF(ISNUMBER(FIND("TmAi",$BE$1:$AAD$1)),IF(IFERROR(ISODD(SUBSTITUTE($BE253:$AAD253,"A","")),FALSE),IF(ISODD(SUBSTITUTE($BE253:$AAD253,"A","")),1,0),0)))</f>
        <v>0</v>
      </c>
      <c r="AA253" t="str">
        <f t="shared" si="369"/>
        <v>5B</v>
      </c>
      <c r="AB253" t="str">
        <f t="shared" si="370"/>
        <v>6B</v>
      </c>
      <c r="AP253" t="s">
        <v>137</v>
      </c>
      <c r="AS253" t="s">
        <v>396</v>
      </c>
      <c r="JZ253" s="27" t="str">
        <f t="shared" si="371"/>
        <v>XT83</v>
      </c>
      <c r="KC253" t="str">
        <f t="shared" si="372"/>
        <v>F0-AI31-5B</v>
      </c>
      <c r="KD253" t="str">
        <f t="shared" si="373"/>
        <v>F0-AI31-6B</v>
      </c>
      <c r="KI253" cm="1">
        <f t="array" ref="KI253">IF(COUNTIFS($U$2:$U253,$U253)=1,1,INDEX(KI:KI,_xlfn.XMATCH(U253,U$1:U252,0,-1))+COUNT(KI252:KM252))</f>
        <v>7</v>
      </c>
      <c r="KJ253">
        <f t="shared" si="375"/>
        <v>8</v>
      </c>
      <c r="KK253">
        <f t="shared" si="375"/>
        <v>9</v>
      </c>
      <c r="KN253">
        <v>1</v>
      </c>
      <c r="KO253" s="16">
        <v>2</v>
      </c>
      <c r="KS253" s="16"/>
    </row>
    <row r="254" spans="1:305" x14ac:dyDescent="0.25">
      <c r="A254" t="s">
        <v>1765</v>
      </c>
      <c r="B254" s="33" t="s">
        <v>1741</v>
      </c>
      <c r="C254" t="s">
        <v>498</v>
      </c>
      <c r="P254" t="s">
        <v>482</v>
      </c>
      <c r="T254" s="14" t="s">
        <v>554</v>
      </c>
      <c r="U254">
        <v>83</v>
      </c>
      <c r="V254" t="s">
        <v>1726</v>
      </c>
      <c r="X254" t="str">
        <f>IF(COUNTIF(X$1:X253,X253)&gt;7,REPLACE(X253,LEN(X253),1,VALUE(RIGHT(X253,1))+1),X253)</f>
        <v>A3.31</v>
      </c>
      <c r="Y254" s="43" cm="1">
        <f t="array" ref="Y254">IF(COUNTIFS($X$2:$X254,$X254)=1,"1",VALUE(SUBSTITUTE(INDEX(Y:Y,_xlfn.XMATCH($X254,$X$1:$X253,0,-1)),"A",""))+INDEX(Z:Z,_xlfn.XMATCH($X254,$X$1:$X253,0,-1))+1)</f>
        <v>4</v>
      </c>
      <c r="Z254" s="43" cm="1">
        <f t="array" ref="Z254">SUM(IF(ISNUMBER(FIND("TmAi",$BE$1:$AAD$1)),IF(IFERROR(ISODD(SUBSTITUTE($BE254:$AAD254,"A","")),FALSE),IF(ISODD(SUBSTITUTE($BE254:$AAD254,"A","")),1,0),0)))</f>
        <v>0</v>
      </c>
      <c r="AA254" t="str">
        <f t="shared" si="369"/>
        <v>7B</v>
      </c>
      <c r="AB254" t="str">
        <f t="shared" si="370"/>
        <v>8B</v>
      </c>
      <c r="AP254" t="s">
        <v>137</v>
      </c>
      <c r="AS254" t="s">
        <v>396</v>
      </c>
      <c r="JZ254" s="27" t="str">
        <f t="shared" si="371"/>
        <v>XT83</v>
      </c>
      <c r="KC254" t="str">
        <f t="shared" si="372"/>
        <v>F0-AI31-7B</v>
      </c>
      <c r="KD254" t="str">
        <f t="shared" si="373"/>
        <v>F0-AI31-8B</v>
      </c>
      <c r="KI254" cm="1">
        <f t="array" ref="KI254">IF(COUNTIFS($U$2:$U254,$U254)=1,1,INDEX(KI:KI,_xlfn.XMATCH(U254,U$1:U253,0,-1))+COUNT(KI253:KM253))</f>
        <v>10</v>
      </c>
      <c r="KJ254">
        <f t="shared" si="375"/>
        <v>11</v>
      </c>
      <c r="KK254">
        <f t="shared" si="375"/>
        <v>12</v>
      </c>
      <c r="KN254">
        <v>1</v>
      </c>
      <c r="KO254" s="16">
        <v>2</v>
      </c>
      <c r="KS254" s="16"/>
    </row>
    <row r="255" spans="1:305" x14ac:dyDescent="0.25">
      <c r="A255" t="s">
        <v>1766</v>
      </c>
      <c r="B255" t="s">
        <v>1742</v>
      </c>
      <c r="C255" t="s">
        <v>498</v>
      </c>
      <c r="P255" t="s">
        <v>482</v>
      </c>
      <c r="T255" s="14" t="s">
        <v>554</v>
      </c>
      <c r="U255">
        <v>84</v>
      </c>
      <c r="V255" t="s">
        <v>1727</v>
      </c>
      <c r="X255" t="str">
        <f>IF(COUNTIF(X$1:X254,X254)&gt;7,REPLACE(X254,LEN(X254),1,VALUE(RIGHT(X254,1))+1),X254)</f>
        <v>A3.31</v>
      </c>
      <c r="Y255" s="43" cm="1">
        <f t="array" ref="Y255">IF(COUNTIFS($X$2:$X255,$X255)=1,"1",VALUE(SUBSTITUTE(INDEX(Y:Y,_xlfn.XMATCH($X255,$X$1:$X254,0,-1)),"A",""))+INDEX(Z:Z,_xlfn.XMATCH($X255,$X$1:$X254,0,-1))+1)</f>
        <v>5</v>
      </c>
      <c r="Z255" s="43" cm="1">
        <f t="array" ref="Z255">SUM(IF(ISNUMBER(FIND("TmAi",$BE$1:$AAD$1)),IF(IFERROR(ISODD(SUBSTITUTE($BE255:$AAD255,"A","")),FALSE),IF(ISODD(SUBSTITUTE($BE255:$AAD255,"A","")),1,0),0)))</f>
        <v>0</v>
      </c>
      <c r="AA255" t="str">
        <f t="shared" si="369"/>
        <v>9B</v>
      </c>
      <c r="AB255" t="str">
        <f t="shared" si="370"/>
        <v>10B</v>
      </c>
      <c r="AP255" t="s">
        <v>137</v>
      </c>
      <c r="AS255" t="s">
        <v>396</v>
      </c>
      <c r="JZ255" s="27" t="str">
        <f t="shared" si="371"/>
        <v>XT84</v>
      </c>
      <c r="KC255" t="str">
        <f t="shared" si="372"/>
        <v>F0-AI31-9B</v>
      </c>
      <c r="KD255" t="str">
        <f t="shared" si="373"/>
        <v>F0-AI31-10B</v>
      </c>
      <c r="KI255" cm="1">
        <f t="array" ref="KI255">IF(COUNTIFS($U$2:$U255,$U255)=1,1,INDEX(KI:KI,_xlfn.XMATCH(U255,U$1:U254,0,-1))+COUNT(KI254:KM254))</f>
        <v>1</v>
      </c>
      <c r="KJ255">
        <f t="shared" si="375"/>
        <v>2</v>
      </c>
      <c r="KK255">
        <f t="shared" si="375"/>
        <v>3</v>
      </c>
      <c r="KN255">
        <v>1</v>
      </c>
      <c r="KO255" s="16">
        <v>2</v>
      </c>
      <c r="KS255" s="16"/>
    </row>
    <row r="256" spans="1:305" x14ac:dyDescent="0.25">
      <c r="A256" t="s">
        <v>1767</v>
      </c>
      <c r="B256" t="s">
        <v>1743</v>
      </c>
      <c r="C256" t="s">
        <v>498</v>
      </c>
      <c r="P256" t="s">
        <v>482</v>
      </c>
      <c r="T256" s="14" t="s">
        <v>554</v>
      </c>
      <c r="U256">
        <v>84</v>
      </c>
      <c r="V256" t="s">
        <v>1729</v>
      </c>
      <c r="X256" t="str">
        <f>IF(COUNTIF(X$1:X255,X255)&gt;7,REPLACE(X255,LEN(X255),1,VALUE(RIGHT(X255,1))+1),X255)</f>
        <v>A3.31</v>
      </c>
      <c r="Y256" s="43" cm="1">
        <f t="array" ref="Y256">IF(COUNTIFS($X$2:$X256,$X256)=1,"1",VALUE(SUBSTITUTE(INDEX(Y:Y,_xlfn.XMATCH($X256,$X$1:$X255,0,-1)),"A",""))+INDEX(Z:Z,_xlfn.XMATCH($X256,$X$1:$X255,0,-1))+1)</f>
        <v>6</v>
      </c>
      <c r="Z256" s="43" cm="1">
        <f t="array" ref="Z256">SUM(IF(ISNUMBER(FIND("TmAi",$BE$1:$AAD$1)),IF(IFERROR(ISODD(SUBSTITUTE($BE256:$AAD256,"A","")),FALSE),IF(ISODD(SUBSTITUTE($BE256:$AAD256,"A","")),1,0),0)))</f>
        <v>0</v>
      </c>
      <c r="AA256" t="str">
        <f t="shared" si="369"/>
        <v>11B</v>
      </c>
      <c r="AB256" t="str">
        <f t="shared" si="370"/>
        <v>12B</v>
      </c>
      <c r="AP256" t="s">
        <v>137</v>
      </c>
      <c r="AS256" t="s">
        <v>396</v>
      </c>
      <c r="JZ256" s="27" t="str">
        <f t="shared" si="371"/>
        <v>XT84</v>
      </c>
      <c r="KC256" t="str">
        <f t="shared" si="372"/>
        <v>F0-AI31-11B</v>
      </c>
      <c r="KD256" t="str">
        <f t="shared" si="373"/>
        <v>F0-AI31-12B</v>
      </c>
      <c r="KI256" cm="1">
        <f t="array" ref="KI256">IF(COUNTIFS($U$2:$U256,$U256)=1,1,INDEX(KI:KI,_xlfn.XMATCH(U256,U$1:U255,0,-1))+COUNT(KI255:KM255))</f>
        <v>4</v>
      </c>
      <c r="KJ256">
        <f t="shared" si="375"/>
        <v>5</v>
      </c>
      <c r="KK256">
        <f t="shared" si="375"/>
        <v>6</v>
      </c>
      <c r="KN256">
        <v>1</v>
      </c>
      <c r="KO256" s="16">
        <v>2</v>
      </c>
      <c r="KS256" s="16"/>
    </row>
    <row r="257" spans="1:305" x14ac:dyDescent="0.25">
      <c r="A257" t="s">
        <v>1768</v>
      </c>
      <c r="B257" t="s">
        <v>1744</v>
      </c>
      <c r="C257" t="s">
        <v>498</v>
      </c>
      <c r="P257" t="s">
        <v>482</v>
      </c>
      <c r="T257" s="14" t="s">
        <v>554</v>
      </c>
      <c r="U257">
        <v>84</v>
      </c>
      <c r="V257" t="s">
        <v>1731</v>
      </c>
      <c r="X257" t="str">
        <f>IF(COUNTIF(X$1:X256,X256)&gt;7,REPLACE(X256,LEN(X256),1,VALUE(RIGHT(X256,1))+1),X256)</f>
        <v>A3.31</v>
      </c>
      <c r="Y257" s="43" cm="1">
        <f t="array" ref="Y257">IF(COUNTIFS($X$2:$X257,$X257)=1,"1",VALUE(SUBSTITUTE(INDEX(Y:Y,_xlfn.XMATCH($X257,$X$1:$X256,0,-1)),"A",""))+INDEX(Z:Z,_xlfn.XMATCH($X257,$X$1:$X256,0,-1))+1)</f>
        <v>7</v>
      </c>
      <c r="Z257" s="43" cm="1">
        <f t="array" ref="Z257">SUM(IF(ISNUMBER(FIND("TmAi",$BE$1:$AAD$1)),IF(IFERROR(ISODD(SUBSTITUTE($BE257:$AAD257,"A","")),FALSE),IF(ISODD(SUBSTITUTE($BE257:$AAD257,"A","")),1,0),0)))</f>
        <v>0</v>
      </c>
      <c r="AA257" t="str">
        <f t="shared" si="369"/>
        <v>13B</v>
      </c>
      <c r="AB257" t="str">
        <f t="shared" si="370"/>
        <v>14B</v>
      </c>
      <c r="AP257" t="s">
        <v>137</v>
      </c>
      <c r="AS257" t="s">
        <v>396</v>
      </c>
      <c r="JZ257" s="27" t="str">
        <f t="shared" si="371"/>
        <v>XT84</v>
      </c>
      <c r="KC257" t="str">
        <f t="shared" si="372"/>
        <v>F0-AI31-13B</v>
      </c>
      <c r="KD257" t="str">
        <f t="shared" si="373"/>
        <v>F0-AI31-14B</v>
      </c>
      <c r="KI257" cm="1">
        <f t="array" ref="KI257">IF(COUNTIFS($U$2:$U257,$U257)=1,1,INDEX(KI:KI,_xlfn.XMATCH(U257,U$1:U256,0,-1))+COUNT(KI256:KM256))</f>
        <v>7</v>
      </c>
      <c r="KJ257">
        <f t="shared" si="375"/>
        <v>8</v>
      </c>
      <c r="KK257">
        <f t="shared" si="375"/>
        <v>9</v>
      </c>
      <c r="KN257">
        <v>1</v>
      </c>
      <c r="KO257" s="16">
        <v>2</v>
      </c>
      <c r="KS257" s="16"/>
    </row>
    <row r="258" spans="1:305" x14ac:dyDescent="0.25">
      <c r="A258" t="s">
        <v>1769</v>
      </c>
      <c r="B258" s="33" t="s">
        <v>1745</v>
      </c>
      <c r="C258" t="s">
        <v>498</v>
      </c>
      <c r="P258" t="s">
        <v>482</v>
      </c>
      <c r="T258" s="14" t="s">
        <v>554</v>
      </c>
      <c r="U258">
        <v>84</v>
      </c>
      <c r="V258" t="s">
        <v>1733</v>
      </c>
      <c r="X258" t="str">
        <f>IF(COUNTIF(X$1:X257,X257)&gt;7,REPLACE(X257,LEN(X257),1,VALUE(RIGHT(X257,1))+1),X257)</f>
        <v>A3.31</v>
      </c>
      <c r="Y258" s="43" cm="1">
        <f t="array" ref="Y258">IF(COUNTIFS($X$2:$X258,$X258)=1,"1",VALUE(SUBSTITUTE(INDEX(Y:Y,_xlfn.XMATCH($X258,$X$1:$X257,0,-1)),"A",""))+INDEX(Z:Z,_xlfn.XMATCH($X258,$X$1:$X257,0,-1))+1)</f>
        <v>8</v>
      </c>
      <c r="Z258" s="43" cm="1">
        <f t="array" ref="Z258">SUM(IF(ISNUMBER(FIND("TmAi",$BE$1:$AAD$1)),IF(IFERROR(ISODD(SUBSTITUTE($BE258:$AAD258,"A","")),FALSE),IF(ISODD(SUBSTITUTE($BE258:$AAD258,"A","")),1,0),0)))</f>
        <v>0</v>
      </c>
      <c r="AA258" t="str">
        <f t="shared" si="369"/>
        <v>15B</v>
      </c>
      <c r="AB258" t="str">
        <f t="shared" si="370"/>
        <v>16B</v>
      </c>
      <c r="AP258" t="s">
        <v>137</v>
      </c>
      <c r="AS258" t="s">
        <v>396</v>
      </c>
      <c r="JZ258" s="27" t="str">
        <f t="shared" si="371"/>
        <v>XT84</v>
      </c>
      <c r="KC258" t="str">
        <f t="shared" si="372"/>
        <v>F0-AI31-15B</v>
      </c>
      <c r="KD258" t="str">
        <f t="shared" si="373"/>
        <v>F0-AI31-16B</v>
      </c>
      <c r="KI258" cm="1">
        <f t="array" ref="KI258">IF(COUNTIFS($U$2:$U258,$U258)=1,1,INDEX(KI:KI,_xlfn.XMATCH(U258,U$1:U257,0,-1))+COUNT(KI257:KM257))</f>
        <v>10</v>
      </c>
      <c r="KJ258">
        <f t="shared" si="375"/>
        <v>11</v>
      </c>
      <c r="KK258">
        <f t="shared" si="375"/>
        <v>12</v>
      </c>
      <c r="KN258">
        <v>1</v>
      </c>
      <c r="KO258" s="16">
        <v>2</v>
      </c>
      <c r="KS258" s="16"/>
    </row>
    <row r="259" spans="1:305" x14ac:dyDescent="0.25">
      <c r="A259" t="s">
        <v>1770</v>
      </c>
      <c r="B259" t="s">
        <v>1746</v>
      </c>
      <c r="C259" t="s">
        <v>498</v>
      </c>
      <c r="P259" t="s">
        <v>482</v>
      </c>
      <c r="T259" s="14" t="s">
        <v>554</v>
      </c>
      <c r="U259">
        <v>85</v>
      </c>
      <c r="V259" t="s">
        <v>1734</v>
      </c>
      <c r="X259" t="str">
        <f>IF(COUNTIF(X$1:X258,X258)&gt;7,REPLACE(X258,LEN(X258),1,VALUE(RIGHT(X258,1))+1),X258)</f>
        <v>A3.32</v>
      </c>
      <c r="Y259" s="43" t="str" cm="1">
        <f t="array" ref="Y259">IF(COUNTIFS($X$2:$X259,$X259)=1,"1",VALUE(SUBSTITUTE(INDEX(Y:Y,_xlfn.XMATCH($X259,$X$1:$X258,0,-1)),"A",""))+INDEX(Z:Z,_xlfn.XMATCH($X259,$X$1:$X258,0,-1))+1)</f>
        <v>1</v>
      </c>
      <c r="Z259" s="43" cm="1">
        <f t="array" ref="Z259">SUM(IF(ISNUMBER(FIND("TmAi",$BE$1:$AAD$1)),IF(IFERROR(ISODD(SUBSTITUTE($BE259:$AAD259,"A","")),FALSE),IF(ISODD(SUBSTITUTE($BE259:$AAD259,"A","")),1,0),0)))</f>
        <v>0</v>
      </c>
      <c r="AA259" t="str">
        <f t="shared" si="369"/>
        <v>1B</v>
      </c>
      <c r="AB259" t="str">
        <f t="shared" si="370"/>
        <v>2B</v>
      </c>
      <c r="AP259" t="s">
        <v>137</v>
      </c>
      <c r="AS259" t="s">
        <v>396</v>
      </c>
      <c r="JZ259" s="27" t="str">
        <f t="shared" si="371"/>
        <v>XT85</v>
      </c>
      <c r="KC259" t="str">
        <f t="shared" si="372"/>
        <v>F0-AI32-1B</v>
      </c>
      <c r="KD259" t="str">
        <f t="shared" si="373"/>
        <v>F0-AI32-2B</v>
      </c>
      <c r="KI259" cm="1">
        <f t="array" ref="KI259">IF(COUNTIFS($U$2:$U259,$U259)=1,1,INDEX(KI:KI,_xlfn.XMATCH(U259,U$1:U258,0,-1))+COUNT(KI258:KM258))</f>
        <v>1</v>
      </c>
      <c r="KJ259">
        <f t="shared" si="375"/>
        <v>2</v>
      </c>
      <c r="KK259">
        <f t="shared" si="375"/>
        <v>3</v>
      </c>
      <c r="KN259">
        <v>1</v>
      </c>
      <c r="KO259" s="16">
        <v>2</v>
      </c>
      <c r="KS259" s="16"/>
    </row>
    <row r="260" spans="1:305" x14ac:dyDescent="0.25">
      <c r="A260" t="s">
        <v>1771</v>
      </c>
      <c r="B260" t="s">
        <v>1747</v>
      </c>
      <c r="C260" t="s">
        <v>498</v>
      </c>
      <c r="P260" t="s">
        <v>482</v>
      </c>
      <c r="T260" s="14" t="s">
        <v>554</v>
      </c>
      <c r="U260">
        <v>85</v>
      </c>
      <c r="V260" t="s">
        <v>1735</v>
      </c>
      <c r="X260" t="str">
        <f>IF(COUNTIF(X$1:X259,X259)&gt;7,REPLACE(X259,LEN(X259),1,VALUE(RIGHT(X259,1))+1),X259)</f>
        <v>A3.32</v>
      </c>
      <c r="Y260" s="43" cm="1">
        <f t="array" ref="Y260">IF(COUNTIFS($X$2:$X260,$X260)=1,"1",VALUE(SUBSTITUTE(INDEX(Y:Y,_xlfn.XMATCH($X260,$X$1:$X259,0,-1)),"A",""))+INDEX(Z:Z,_xlfn.XMATCH($X260,$X$1:$X259,0,-1))+1)</f>
        <v>2</v>
      </c>
      <c r="Z260" s="43" cm="1">
        <f t="array" ref="Z260">SUM(IF(ISNUMBER(FIND("TmAi",$BE$1:$AAD$1)),IF(IFERROR(ISODD(SUBSTITUTE($BE260:$AAD260,"A","")),FALSE),IF(ISODD(SUBSTITUTE($BE260:$AAD260,"A","")),1,0),0)))</f>
        <v>0</v>
      </c>
      <c r="AA260" t="str">
        <f t="shared" si="369"/>
        <v>3B</v>
      </c>
      <c r="AB260" t="str">
        <f t="shared" si="370"/>
        <v>4B</v>
      </c>
      <c r="AP260" t="s">
        <v>137</v>
      </c>
      <c r="AS260" t="s">
        <v>396</v>
      </c>
      <c r="JZ260" s="27" t="str">
        <f t="shared" si="371"/>
        <v>XT85</v>
      </c>
      <c r="KC260" t="str">
        <f t="shared" si="372"/>
        <v>F0-AI32-3B</v>
      </c>
      <c r="KD260" t="str">
        <f t="shared" si="373"/>
        <v>F0-AI32-4B</v>
      </c>
      <c r="KI260" cm="1">
        <f t="array" ref="KI260">IF(COUNTIFS($U$2:$U260,$U260)=1,1,INDEX(KI:KI,_xlfn.XMATCH(U260,U$1:U259,0,-1))+COUNT(KI259:KM259))</f>
        <v>4</v>
      </c>
      <c r="KJ260">
        <f t="shared" si="375"/>
        <v>5</v>
      </c>
      <c r="KK260">
        <f t="shared" si="375"/>
        <v>6</v>
      </c>
      <c r="KN260">
        <v>1</v>
      </c>
      <c r="KO260" s="16">
        <v>2</v>
      </c>
      <c r="KS260" s="16"/>
    </row>
    <row r="261" spans="1:305" x14ac:dyDescent="0.25">
      <c r="A261" t="s">
        <v>1772</v>
      </c>
      <c r="B261" t="s">
        <v>1748</v>
      </c>
      <c r="C261" t="s">
        <v>498</v>
      </c>
      <c r="P261" t="s">
        <v>482</v>
      </c>
      <c r="T261" s="14" t="s">
        <v>554</v>
      </c>
      <c r="U261">
        <v>85</v>
      </c>
      <c r="V261" t="s">
        <v>1736</v>
      </c>
      <c r="X261" t="str">
        <f>IF(COUNTIF(X$1:X260,X260)&gt;7,REPLACE(X260,LEN(X260),1,VALUE(RIGHT(X260,1))+1),X260)</f>
        <v>A3.32</v>
      </c>
      <c r="Y261" s="43" cm="1">
        <f t="array" ref="Y261">IF(COUNTIFS($X$2:$X261,$X261)=1,"1",VALUE(SUBSTITUTE(INDEX(Y:Y,_xlfn.XMATCH($X261,$X$1:$X260,0,-1)),"A",""))+INDEX(Z:Z,_xlfn.XMATCH($X261,$X$1:$X260,0,-1))+1)</f>
        <v>3</v>
      </c>
      <c r="Z261" s="43" cm="1">
        <f t="array" ref="Z261">SUM(IF(ISNUMBER(FIND("TmAi",$BE$1:$AAD$1)),IF(IFERROR(ISODD(SUBSTITUTE($BE261:$AAD261,"A","")),FALSE),IF(ISODD(SUBSTITUTE($BE261:$AAD261,"A","")),1,0),0)))</f>
        <v>0</v>
      </c>
      <c r="AA261" t="str">
        <f t="shared" si="369"/>
        <v>5B</v>
      </c>
      <c r="AB261" t="str">
        <f t="shared" si="370"/>
        <v>6B</v>
      </c>
      <c r="AP261" t="s">
        <v>137</v>
      </c>
      <c r="AS261" t="s">
        <v>396</v>
      </c>
      <c r="JZ261" s="27" t="str">
        <f t="shared" si="371"/>
        <v>XT85</v>
      </c>
      <c r="KC261" t="str">
        <f t="shared" si="372"/>
        <v>F0-AI32-5B</v>
      </c>
      <c r="KD261" t="str">
        <f t="shared" si="373"/>
        <v>F0-AI32-6B</v>
      </c>
      <c r="KI261" cm="1">
        <f t="array" ref="KI261">IF(COUNTIFS($U$2:$U261,$U261)=1,1,INDEX(KI:KI,_xlfn.XMATCH(U261,U$1:U260,0,-1))+COUNT(KI260:KM260))</f>
        <v>7</v>
      </c>
      <c r="KJ261">
        <f t="shared" si="375"/>
        <v>8</v>
      </c>
      <c r="KK261">
        <f t="shared" si="375"/>
        <v>9</v>
      </c>
      <c r="KN261">
        <v>1</v>
      </c>
      <c r="KO261" s="16">
        <v>2</v>
      </c>
      <c r="KS261" s="16"/>
    </row>
    <row r="262" spans="1:305" x14ac:dyDescent="0.25">
      <c r="A262" t="s">
        <v>1773</v>
      </c>
      <c r="B262" s="33" t="s">
        <v>1749</v>
      </c>
      <c r="C262" t="s">
        <v>498</v>
      </c>
      <c r="P262" t="s">
        <v>482</v>
      </c>
      <c r="T262" s="14" t="s">
        <v>554</v>
      </c>
      <c r="U262">
        <v>85</v>
      </c>
      <c r="V262" t="s">
        <v>1737</v>
      </c>
      <c r="X262" t="str">
        <f>IF(COUNTIF(X$1:X261,X261)&gt;7,REPLACE(X261,LEN(X261),1,VALUE(RIGHT(X261,1))+1),X261)</f>
        <v>A3.32</v>
      </c>
      <c r="Y262" s="43" cm="1">
        <f t="array" ref="Y262">IF(COUNTIFS($X$2:$X262,$X262)=1,"1",VALUE(SUBSTITUTE(INDEX(Y:Y,_xlfn.XMATCH($X262,$X$1:$X261,0,-1)),"A",""))+INDEX(Z:Z,_xlfn.XMATCH($X262,$X$1:$X261,0,-1))+1)</f>
        <v>4</v>
      </c>
      <c r="Z262" s="43" cm="1">
        <f t="array" ref="Z262">SUM(IF(ISNUMBER(FIND("TmAi",$BE$1:$AAD$1)),IF(IFERROR(ISODD(SUBSTITUTE($BE262:$AAD262,"A","")),FALSE),IF(ISODD(SUBSTITUTE($BE262:$AAD262,"A","")),1,0),0)))</f>
        <v>0</v>
      </c>
      <c r="AA262" t="str">
        <f t="shared" si="369"/>
        <v>7B</v>
      </c>
      <c r="AB262" t="str">
        <f t="shared" si="370"/>
        <v>8B</v>
      </c>
      <c r="AP262" t="s">
        <v>137</v>
      </c>
      <c r="AS262" t="s">
        <v>396</v>
      </c>
      <c r="JZ262" s="27" t="str">
        <f t="shared" si="371"/>
        <v>XT85</v>
      </c>
      <c r="KC262" t="str">
        <f t="shared" si="372"/>
        <v>F0-AI32-7B</v>
      </c>
      <c r="KD262" t="str">
        <f t="shared" si="373"/>
        <v>F0-AI32-8B</v>
      </c>
      <c r="KI262" cm="1">
        <f t="array" ref="KI262">IF(COUNTIFS($U$2:$U262,$U262)=1,1,INDEX(KI:KI,_xlfn.XMATCH(U262,U$1:U261,0,-1))+COUNT(KI261:KM261))</f>
        <v>10</v>
      </c>
      <c r="KJ262">
        <f t="shared" si="375"/>
        <v>11</v>
      </c>
      <c r="KK262">
        <f t="shared" si="375"/>
        <v>12</v>
      </c>
      <c r="KN262">
        <v>1</v>
      </c>
      <c r="KO262" s="16">
        <v>2</v>
      </c>
      <c r="KS262" s="16"/>
    </row>
    <row r="263" spans="1:305" x14ac:dyDescent="0.25">
      <c r="A263" t="s">
        <v>1774</v>
      </c>
      <c r="B263" t="s">
        <v>1750</v>
      </c>
      <c r="C263" t="s">
        <v>498</v>
      </c>
      <c r="P263" t="s">
        <v>482</v>
      </c>
      <c r="T263" s="14" t="s">
        <v>554</v>
      </c>
      <c r="U263">
        <v>86</v>
      </c>
      <c r="V263" t="s">
        <v>1751</v>
      </c>
      <c r="X263" t="str">
        <f>IF(COUNTIF(X$1:X262,X262)&gt;7,REPLACE(X262,LEN(X262),1,VALUE(RIGHT(X262,1))+1),X262)</f>
        <v>A3.32</v>
      </c>
      <c r="Y263" s="43" cm="1">
        <f t="array" ref="Y263">IF(COUNTIFS($X$2:$X263,$X263)=1,"1",VALUE(SUBSTITUTE(INDEX(Y:Y,_xlfn.XMATCH($X263,$X$1:$X262,0,-1)),"A",""))+INDEX(Z:Z,_xlfn.XMATCH($X263,$X$1:$X262,0,-1))+1)</f>
        <v>5</v>
      </c>
      <c r="Z263" s="43" cm="1">
        <f t="array" ref="Z263">SUM(IF(ISNUMBER(FIND("TmAi",$BE$1:$AAD$1)),IF(IFERROR(ISODD(SUBSTITUTE($BE263:$AAD263,"A","")),FALSE),IF(ISODD(SUBSTITUTE($BE263:$AAD263,"A","")),1,0),0)))</f>
        <v>0</v>
      </c>
      <c r="AA263" t="str">
        <f t="shared" si="369"/>
        <v>9B</v>
      </c>
      <c r="AB263" t="str">
        <f t="shared" si="370"/>
        <v>10B</v>
      </c>
      <c r="AP263" t="s">
        <v>137</v>
      </c>
      <c r="AS263" t="s">
        <v>396</v>
      </c>
      <c r="JZ263" s="27" t="str">
        <f t="shared" si="371"/>
        <v>XT86</v>
      </c>
      <c r="KC263" t="str">
        <f t="shared" si="372"/>
        <v>F0-AI32-9B</v>
      </c>
      <c r="KD263" t="str">
        <f t="shared" si="373"/>
        <v>F0-AI32-10B</v>
      </c>
      <c r="KI263" cm="1">
        <f t="array" ref="KI263">IF(COUNTIFS($U$2:$U263,$U263)=1,1,INDEX(KI:KI,_xlfn.XMATCH(U263,U$1:U262,0,-1))+COUNT(KI262:KM262))</f>
        <v>1</v>
      </c>
      <c r="KJ263">
        <f t="shared" si="375"/>
        <v>2</v>
      </c>
      <c r="KK263">
        <f t="shared" si="375"/>
        <v>3</v>
      </c>
      <c r="KN263">
        <v>1</v>
      </c>
      <c r="KO263" s="16">
        <v>2</v>
      </c>
      <c r="KS263" s="16"/>
    </row>
    <row r="264" spans="1:305" x14ac:dyDescent="0.25">
      <c r="A264" t="s">
        <v>1775</v>
      </c>
      <c r="B264" t="s">
        <v>1752</v>
      </c>
      <c r="C264" t="s">
        <v>498</v>
      </c>
      <c r="P264" t="s">
        <v>482</v>
      </c>
      <c r="T264" s="14" t="s">
        <v>554</v>
      </c>
      <c r="U264">
        <v>86</v>
      </c>
      <c r="V264" t="s">
        <v>1753</v>
      </c>
      <c r="X264" t="str">
        <f>IF(COUNTIF(X$1:X263,X263)&gt;7,REPLACE(X263,LEN(X263),1,VALUE(RIGHT(X263,1))+1),X263)</f>
        <v>A3.32</v>
      </c>
      <c r="Y264" s="43" cm="1">
        <f t="array" ref="Y264">IF(COUNTIFS($X$2:$X264,$X264)=1,"1",VALUE(SUBSTITUTE(INDEX(Y:Y,_xlfn.XMATCH($X264,$X$1:$X263,0,-1)),"A",""))+INDEX(Z:Z,_xlfn.XMATCH($X264,$X$1:$X263,0,-1))+1)</f>
        <v>6</v>
      </c>
      <c r="Z264" s="43" cm="1">
        <f t="array" ref="Z264">SUM(IF(ISNUMBER(FIND("TmAi",$BE$1:$AAD$1)),IF(IFERROR(ISODD(SUBSTITUTE($BE264:$AAD264,"A","")),FALSE),IF(ISODD(SUBSTITUTE($BE264:$AAD264,"A","")),1,0),0)))</f>
        <v>0</v>
      </c>
      <c r="AA264" t="str">
        <f t="shared" si="369"/>
        <v>11B</v>
      </c>
      <c r="AB264" t="str">
        <f t="shared" si="370"/>
        <v>12B</v>
      </c>
      <c r="AP264" t="s">
        <v>137</v>
      </c>
      <c r="AS264" t="s">
        <v>396</v>
      </c>
      <c r="JZ264" s="27" t="str">
        <f t="shared" si="371"/>
        <v>XT86</v>
      </c>
      <c r="KC264" t="str">
        <f t="shared" si="372"/>
        <v>F0-AI32-11B</v>
      </c>
      <c r="KD264" t="str">
        <f t="shared" si="373"/>
        <v>F0-AI32-12B</v>
      </c>
      <c r="KI264" cm="1">
        <f t="array" ref="KI264">IF(COUNTIFS($U$2:$U264,$U264)=1,1,INDEX(KI:KI,_xlfn.XMATCH(U264,U$1:U263,0,-1))+COUNT(KI263:KM263))</f>
        <v>4</v>
      </c>
      <c r="KJ264">
        <f t="shared" si="375"/>
        <v>5</v>
      </c>
      <c r="KK264">
        <f t="shared" si="375"/>
        <v>6</v>
      </c>
      <c r="KN264">
        <v>1</v>
      </c>
      <c r="KO264" s="16">
        <v>2</v>
      </c>
      <c r="KS264" s="16"/>
    </row>
    <row r="265" spans="1:305" x14ac:dyDescent="0.25">
      <c r="A265" t="s">
        <v>1776</v>
      </c>
      <c r="B265" t="s">
        <v>1754</v>
      </c>
      <c r="C265" t="s">
        <v>498</v>
      </c>
      <c r="P265" t="s">
        <v>482</v>
      </c>
      <c r="T265" s="14" t="s">
        <v>554</v>
      </c>
      <c r="U265">
        <v>86</v>
      </c>
      <c r="V265" t="s">
        <v>1755</v>
      </c>
      <c r="X265" t="str">
        <f>IF(COUNTIF(X$1:X264,X264)&gt;7,REPLACE(X264,LEN(X264),1,VALUE(RIGHT(X264,1))+1),X264)</f>
        <v>A3.32</v>
      </c>
      <c r="Y265" s="43" cm="1">
        <f t="array" ref="Y265">IF(COUNTIFS($X$2:$X265,$X265)=1,"1",VALUE(SUBSTITUTE(INDEX(Y:Y,_xlfn.XMATCH($X265,$X$1:$X264,0,-1)),"A",""))+INDEX(Z:Z,_xlfn.XMATCH($X265,$X$1:$X264,0,-1))+1)</f>
        <v>7</v>
      </c>
      <c r="Z265" s="43" cm="1">
        <f t="array" ref="Z265">SUM(IF(ISNUMBER(FIND("TmAi",$BE$1:$AAD$1)),IF(IFERROR(ISODD(SUBSTITUTE($BE265:$AAD265,"A","")),FALSE),IF(ISODD(SUBSTITUTE($BE265:$AAD265,"A","")),1,0),0)))</f>
        <v>0</v>
      </c>
      <c r="AA265" t="str">
        <f t="shared" si="369"/>
        <v>13B</v>
      </c>
      <c r="AB265" t="str">
        <f t="shared" si="370"/>
        <v>14B</v>
      </c>
      <c r="AP265" t="s">
        <v>137</v>
      </c>
      <c r="AS265" t="s">
        <v>396</v>
      </c>
      <c r="JZ265" s="27" t="str">
        <f t="shared" si="371"/>
        <v>XT86</v>
      </c>
      <c r="KC265" t="str">
        <f t="shared" si="372"/>
        <v>F0-AI32-13B</v>
      </c>
      <c r="KD265" t="str">
        <f t="shared" si="373"/>
        <v>F0-AI32-14B</v>
      </c>
      <c r="KI265" cm="1">
        <f t="array" ref="KI265">IF(COUNTIFS($U$2:$U265,$U265)=1,1,INDEX(KI:KI,_xlfn.XMATCH(U265,U$1:U264,0,-1))+COUNT(KI264:KM264))</f>
        <v>7</v>
      </c>
      <c r="KJ265">
        <f t="shared" si="375"/>
        <v>8</v>
      </c>
      <c r="KK265">
        <f t="shared" si="375"/>
        <v>9</v>
      </c>
      <c r="KN265">
        <v>1</v>
      </c>
      <c r="KO265" s="16">
        <v>2</v>
      </c>
      <c r="KS265" s="16"/>
    </row>
    <row r="266" spans="1:305" ht="15.75" thickBot="1" x14ac:dyDescent="0.3">
      <c r="A266" t="s">
        <v>1777</v>
      </c>
      <c r="B266" s="33" t="s">
        <v>1756</v>
      </c>
      <c r="C266" t="s">
        <v>498</v>
      </c>
      <c r="P266" t="s">
        <v>482</v>
      </c>
      <c r="T266" s="14" t="s">
        <v>554</v>
      </c>
      <c r="U266">
        <v>86</v>
      </c>
      <c r="V266" t="s">
        <v>1757</v>
      </c>
      <c r="X266" t="str">
        <f>IF(COUNTIF(X$1:X265,X265)&gt;7,REPLACE(X265,LEN(X265),1,VALUE(RIGHT(X265,1))+1),X265)</f>
        <v>A3.32</v>
      </c>
      <c r="Y266" s="43" cm="1">
        <f t="array" ref="Y266">IF(COUNTIFS($X$2:$X266,$X266)=1,"1",VALUE(SUBSTITUTE(INDEX(Y:Y,_xlfn.XMATCH($X266,$X$1:$X265,0,-1)),"A",""))+INDEX(Z:Z,_xlfn.XMATCH($X266,$X$1:$X265,0,-1))+1)</f>
        <v>8</v>
      </c>
      <c r="Z266" s="43" cm="1">
        <f t="array" ref="Z266">SUM(IF(ISNUMBER(FIND("TmAi",$BE$1:$AAD$1)),IF(IFERROR(ISODD(SUBSTITUTE($BE266:$AAD266,"A","")),FALSE),IF(ISODD(SUBSTITUTE($BE266:$AAD266,"A","")),1,0),0)))</f>
        <v>0</v>
      </c>
      <c r="AA266" t="str">
        <f t="shared" si="369"/>
        <v>15B</v>
      </c>
      <c r="AB266" t="str">
        <f t="shared" si="370"/>
        <v>16B</v>
      </c>
      <c r="AP266" t="s">
        <v>137</v>
      </c>
      <c r="AS266" t="s">
        <v>396</v>
      </c>
      <c r="JZ266" s="27" t="str">
        <f t="shared" si="371"/>
        <v>XT86</v>
      </c>
      <c r="KC266" t="str">
        <f t="shared" si="372"/>
        <v>F0-AI32-15B</v>
      </c>
      <c r="KD266" t="str">
        <f t="shared" si="373"/>
        <v>F0-AI32-16B</v>
      </c>
      <c r="KI266" cm="1">
        <f t="array" ref="KI266">IF(COUNTIFS($U$2:$U266,$U266)=1,1,INDEX(KI:KI,_xlfn.XMATCH(U266,U$1:U265,0,-1))+COUNT(KI265:KM265))</f>
        <v>10</v>
      </c>
      <c r="KJ266">
        <f t="shared" si="375"/>
        <v>11</v>
      </c>
      <c r="KK266">
        <f t="shared" si="375"/>
        <v>12</v>
      </c>
      <c r="KN266">
        <v>1</v>
      </c>
      <c r="KO266" s="16">
        <v>2</v>
      </c>
      <c r="KS266" s="16"/>
    </row>
    <row r="267" spans="1:305" ht="15.75" thickBot="1" x14ac:dyDescent="0.3">
      <c r="A267" t="s">
        <v>1782</v>
      </c>
      <c r="B267" t="s">
        <v>1786</v>
      </c>
      <c r="C267" t="s">
        <v>1871</v>
      </c>
      <c r="P267" t="s">
        <v>1785</v>
      </c>
      <c r="T267" s="10" t="s">
        <v>554</v>
      </c>
      <c r="U267" s="49">
        <v>87</v>
      </c>
      <c r="V267" s="11" t="s">
        <v>1795</v>
      </c>
      <c r="W267" s="11" t="s">
        <v>1796</v>
      </c>
      <c r="X267" t="str">
        <f>IF(COUNTIF(X$1:X266,X266)&gt;7,REPLACE(X266,LEN(X266),1,VALUE(RIGHT(X266,1))+1),X266)</f>
        <v>A3.33</v>
      </c>
      <c r="Y267" s="43" t="str" cm="1">
        <f t="array" ref="Y267">IF(COUNTIFS(X$2:X267,X267)=1,"1",VALUE(SUBSTITUTE(INDEX(Y:Y,_xlfn.XMATCH(X267,X$1:X266,0,-1)),"A",""))+INDEX(Z:Z,_xlfn.XMATCH(X267,X$1:X266,0,-1))+1)</f>
        <v>1</v>
      </c>
      <c r="Z267" s="43" cm="1">
        <f t="array" ref="Z267">SUM(IF(ISNUMBER(FIND("TmAi",$BE$1:$AAD$1)),IF(IFERROR(ISODD(SUBSTITUTE($BE267:$AAD267,"A","")),FALSE),IF(ISODD(SUBSTITUTE($BE267:$AAD267,"A","")),1,0),0)))</f>
        <v>0</v>
      </c>
      <c r="AA267" t="str">
        <f>CONCATENATE($Y267*2-1,"A")</f>
        <v>1A</v>
      </c>
      <c r="AB267" t="str">
        <f>CONCATENATE($Y267*2-1,"B")</f>
        <v>1B</v>
      </c>
      <c r="AC267" t="s">
        <v>1788</v>
      </c>
      <c r="AD267" s="43" t="str" cm="1">
        <f t="array" ref="AD267">IF(COUNTIFS(AC$2:AC267,AC267)=1,"1",VALUE(SUBSTITUTE(INDEX(AD:AD,_xlfn.XMATCH(AC267,AC$1:AC266,0,-1)),"A",""))+INDEX(AE:AE,_xlfn.XMATCH(AC267,AC$1:AC266,0,-1))+1)</f>
        <v>1</v>
      </c>
      <c r="AE267" s="43" cm="1">
        <f t="array" ref="AE267">SUM(IF(ISNUMBER(FIND("TmDi",$BE$1:$AAD$1)),IF(IFERROR(ISNUMBER(VALUE(SUBSTITUTE($BE267:$AAD267,"B",""))),FALSE),IF(ISNUMBER(VALUE(SUBSTITUTE($BE267:$AAD267,"B",""))),1,0),0)))</f>
        <v>4</v>
      </c>
      <c r="AF267" t="str">
        <f>CONCATENATE("C",$AD267)</f>
        <v>C1</v>
      </c>
      <c r="AG267" t="str">
        <f>CONCATENATE("B",$AD267)</f>
        <v>B1</v>
      </c>
      <c r="AH267" s="11" t="s">
        <v>1793</v>
      </c>
      <c r="AI267" s="43" t="str" cm="1">
        <f t="array" ref="AI267">IF(COUNTIFS(AH$2:AH267,AH267)=1,"1",VALUE(SUBSTITUTE(INDEX(AI:AI,_xlfn.XMATCH(AH267,AH$1:AH266,0,-1)),"A",""))+INDEX(AJ:AJ,_xlfn.XMATCH(AH267,AH$1:AH266,0,-1))+1)</f>
        <v>1</v>
      </c>
      <c r="AJ267" s="43" cm="1">
        <f t="array" ref="AJ267">SUM(IF(ISNUMBER(FIND("TmDo",$BE$1:$AAD$1)),IF(IFERROR(ISNUMBER(VALUE(SUBSTITUTE($BE267:$AAD267,"B",""))),FALSE),IF(ISNUMBER(VALUE(SUBSTITUTE($BE267:$AAD267,"B",""))),1,0),0)))</f>
        <v>1</v>
      </c>
      <c r="AK267" s="11" t="str">
        <f>CONCATENATE($AI267,"B")</f>
        <v>1B</v>
      </c>
      <c r="AL267" s="11" t="str">
        <f>CONCATENATE($AI267,"A")</f>
        <v>1A</v>
      </c>
      <c r="AM267" s="12" t="s">
        <v>161</v>
      </c>
      <c r="AN267" s="12"/>
      <c r="AO267" s="12"/>
      <c r="AP267" s="12" t="s">
        <v>137</v>
      </c>
      <c r="AQ267" s="12" t="s">
        <v>1794</v>
      </c>
      <c r="AR267" s="12"/>
      <c r="AS267" s="12" t="s">
        <v>396</v>
      </c>
      <c r="AT267" s="12" t="s">
        <v>139</v>
      </c>
      <c r="AU267" s="12" t="s">
        <v>140</v>
      </c>
      <c r="AV267" s="12"/>
      <c r="AW267" s="12"/>
      <c r="AX267" s="12"/>
      <c r="AY267" s="12"/>
      <c r="AZ267" s="12"/>
      <c r="BA267" s="12"/>
      <c r="BB267" s="12"/>
      <c r="BC267" s="12"/>
      <c r="BD267" s="13"/>
      <c r="GT267" s="25" t="str">
        <f>CONCATENATE("XT",U267)</f>
        <v>XT87</v>
      </c>
      <c r="GU267" s="12" t="str">
        <f>CONCATENATE("C",REPLACE(AF267,1,1,"")+1)</f>
        <v>C2</v>
      </c>
      <c r="GV267" s="12" t="str">
        <f>CONCATENATE("B",REPLACE(AG267,1,1,"")+1)</f>
        <v>B2</v>
      </c>
      <c r="GW267" s="12" t="str">
        <f>CONCATENATE("C",REPLACE(GU267,1,1,"")+1)</f>
        <v>C3</v>
      </c>
      <c r="GX267" s="12" t="str">
        <f>CONCATENATE("B",REPLACE(GV267,1,1,"")+1)</f>
        <v>B3</v>
      </c>
      <c r="GY267" s="12" t="str">
        <f>CONCATENATE("C",REPLACE(GW267,1,1,"")+1)</f>
        <v>C4</v>
      </c>
      <c r="GZ267" s="12" t="str">
        <f>CONCATENATE("B",REPLACE(GX267,1,1,"")+1)</f>
        <v>B4</v>
      </c>
      <c r="HA267" s="12" t="str">
        <f>CONCATENATE("C",REPLACE(GY267,1,1,"")+1)</f>
        <v>C5</v>
      </c>
      <c r="HB267" s="12" t="str">
        <f>CONCATENATE("B",REPLACE(GZ267,1,1,"")+1)</f>
        <v>B5</v>
      </c>
      <c r="HC267" s="12"/>
      <c r="HD267" s="12"/>
      <c r="HE267" s="12" t="str">
        <f>CONCATENATE(REPLACE(AK267,LEN(AK267),1,"")+1,"B")</f>
        <v>2B</v>
      </c>
      <c r="HF267" s="12" t="str">
        <f>CONCATENATE(REPLACE(AL267,LEN(AL267),1,"")+1,"A")</f>
        <v>2A</v>
      </c>
      <c r="HG267" s="12" t="str">
        <f>CONCATENATE("AI",REPLACE($X267,1,3,""),"-",AA267)</f>
        <v>AI33-1A</v>
      </c>
      <c r="HH267" s="12" t="str">
        <f>CONCATENATE("AI",REPLACE($X267,1,3,""),"-",AB267)</f>
        <v>AI33-1B</v>
      </c>
      <c r="HI267" s="12" t="str">
        <f>CONCATENATE("DI",REPLACE($AC267,1,3,""),"-",AF267)</f>
        <v>DI14-C1</v>
      </c>
      <c r="HJ267" s="12" t="str">
        <f>CONCATENATE("DI",REPLACE($AC267,1,3,""),"-",AG267)</f>
        <v>DI14-B1</v>
      </c>
      <c r="HK267" s="12" t="str">
        <f t="shared" ref="HK267:HT267" si="376">CONCATENATE("DI",REPLACE($AC267,1,3,""),"-",GU267)</f>
        <v>DI14-C2</v>
      </c>
      <c r="HL267" s="12" t="str">
        <f t="shared" si="376"/>
        <v>DI14-B2</v>
      </c>
      <c r="HM267" s="12" t="str">
        <f t="shared" si="376"/>
        <v>DI14-C3</v>
      </c>
      <c r="HN267" s="12" t="str">
        <f t="shared" si="376"/>
        <v>DI14-B3</v>
      </c>
      <c r="HO267" s="12" t="str">
        <f t="shared" si="376"/>
        <v>DI14-C4</v>
      </c>
      <c r="HP267" s="12" t="str">
        <f t="shared" si="376"/>
        <v>DI14-B4</v>
      </c>
      <c r="HQ267" s="12" t="str">
        <f t="shared" si="376"/>
        <v>DI14-C5</v>
      </c>
      <c r="HR267" s="12" t="str">
        <f t="shared" si="376"/>
        <v>DI14-B5</v>
      </c>
      <c r="HS267" s="12" t="str">
        <f t="shared" si="376"/>
        <v>DI14-</v>
      </c>
      <c r="HT267" s="12" t="str">
        <f t="shared" si="376"/>
        <v>DI14-</v>
      </c>
      <c r="HU267" s="12" t="str">
        <f>CONCATENATE("DO",REPLACE($AH267,1,3,""),"-",AK267)</f>
        <v>DO8-1B</v>
      </c>
      <c r="HV267" s="12" t="str">
        <f>CONCATENATE("DO",REPLACE($AH267,1,3,""),"-",AL267)</f>
        <v>DO8-1A</v>
      </c>
      <c r="HW267" s="12" t="str">
        <f>CONCATENATE("DO",REPLACE($AH267,1,3,""),"-",HE267)</f>
        <v>DO8-2B</v>
      </c>
      <c r="HX267" s="12" t="str">
        <f>CONCATENATE("DO",REPLACE($AH267,1,3,""),"-",HF267)</f>
        <v>DO8-2A</v>
      </c>
      <c r="HY267" s="12" t="str">
        <f>CONCATENATE("K",$U267,"-01")</f>
        <v>K87-01</v>
      </c>
      <c r="HZ267" s="12" t="str">
        <f>CONCATENATE("K",$U267,"-02")</f>
        <v>K87-02</v>
      </c>
      <c r="IA267" s="12" t="str">
        <f>CONCATENATE("K",$U267,"-03")</f>
        <v>K87-03</v>
      </c>
      <c r="IB267" s="12" t="str">
        <f>CONCATENATE("K",$U267,"-04")</f>
        <v>K87-04</v>
      </c>
      <c r="IC267" s="12" t="str">
        <f>CONCATENATE("K",$U267,"-05")</f>
        <v>K87-05</v>
      </c>
      <c r="ID267" s="12" t="str">
        <f>CONCATENATE("K",$U267,"-06")</f>
        <v>K87-06</v>
      </c>
      <c r="IE267" s="12" t="str">
        <f>CONCATENATE("K",$U267,"-07")</f>
        <v>K87-07</v>
      </c>
      <c r="IF267" s="12" t="str">
        <f>CONCATENATE("K",$U267,"-08")</f>
        <v>K87-08</v>
      </c>
      <c r="IG267" s="12" t="str">
        <f>CONCATENATE($T267,"-M",$U267,"-AMS-12")</f>
        <v>F0-M87-AMS-12</v>
      </c>
      <c r="IH267" s="12" t="str">
        <f>CONCATENATE($T267,"-M",$U267,"-AMS-10")</f>
        <v>F0-M87-AMS-10</v>
      </c>
      <c r="II267" s="12" t="str">
        <f>CONCATENATE($T267,"-M",$U267,"-AMS-11")</f>
        <v>F0-M87-AMS-11</v>
      </c>
      <c r="IJ267" s="12" t="str">
        <f>CONCATENATE($T267,"-M",$U267,"-AMS-13")</f>
        <v>F0-M87-AMS-13</v>
      </c>
      <c r="IK267" s="12" t="str">
        <f>CONCATENATE($T267,"-M",$U267,"-AMS-9")</f>
        <v>F0-M87-AMS-9</v>
      </c>
      <c r="IL267" s="12" t="str">
        <f>CONCATENATE($T267,"-M",$U267,"-AMS-7")</f>
        <v>F0-M87-AMS-7</v>
      </c>
      <c r="IM267" s="12" t="str">
        <f>CONCATENATE($T267,"-M",$U267,"-AMS-18")</f>
        <v>F0-M87-AMS-18</v>
      </c>
      <c r="IN267" s="12" t="str">
        <f>CONCATENATE($T267,"-M",$U267,"-AMS-20")</f>
        <v>F0-M87-AMS-20</v>
      </c>
      <c r="IO267" s="12" t="str">
        <f>CONCATENATE($T267,"-M",$U267,"-AMS-17")</f>
        <v>F0-M87-AMS-17</v>
      </c>
      <c r="IP267" s="12" t="str">
        <f>CONCATENATE($T267,"-+24-M",$U267,)</f>
        <v>F0-+24-M87</v>
      </c>
      <c r="IQ267" s="12" t="str">
        <f>CONCATENATE($T267,"-M",$U267,"-XM01")</f>
        <v>F0-M87-XM01</v>
      </c>
      <c r="IR267" s="12" t="s">
        <v>142</v>
      </c>
      <c r="IS267" s="12" t="s">
        <v>143</v>
      </c>
      <c r="IT267" s="12">
        <v>11</v>
      </c>
      <c r="IU267" s="12">
        <v>14</v>
      </c>
      <c r="IV267" s="12" t="s">
        <v>413</v>
      </c>
      <c r="IW267" s="12" t="s">
        <v>414</v>
      </c>
      <c r="IX267" s="12">
        <v>1</v>
      </c>
      <c r="IY267" s="12">
        <v>2</v>
      </c>
      <c r="IZ267" s="12">
        <v>3</v>
      </c>
      <c r="JA267" s="12">
        <v>4</v>
      </c>
      <c r="JB267" s="12">
        <v>5</v>
      </c>
      <c r="JC267" s="12">
        <v>6</v>
      </c>
      <c r="JD267" s="12">
        <v>7</v>
      </c>
      <c r="JE267" s="12">
        <v>8</v>
      </c>
      <c r="JF267" s="12">
        <v>9</v>
      </c>
      <c r="JG267" s="12">
        <v>10</v>
      </c>
      <c r="JH267" s="12">
        <v>11</v>
      </c>
      <c r="JI267" s="12">
        <v>12</v>
      </c>
      <c r="JJ267" s="12">
        <v>13</v>
      </c>
      <c r="JK267" s="12">
        <v>14</v>
      </c>
      <c r="JL267" s="12">
        <v>17</v>
      </c>
      <c r="JM267" s="12">
        <v>15</v>
      </c>
      <c r="JN267" s="12">
        <v>18</v>
      </c>
      <c r="JO267" s="12">
        <v>11</v>
      </c>
      <c r="JP267" s="12">
        <v>9</v>
      </c>
      <c r="JQ267" s="12">
        <v>6</v>
      </c>
      <c r="JR267" s="12">
        <v>20</v>
      </c>
      <c r="JS267" s="12">
        <v>7</v>
      </c>
      <c r="JT267" s="12">
        <v>10</v>
      </c>
      <c r="JU267" s="12">
        <v>22</v>
      </c>
      <c r="JV267" s="12">
        <v>23</v>
      </c>
      <c r="JW267" s="12">
        <v>26</v>
      </c>
      <c r="JX267" s="12">
        <v>27</v>
      </c>
      <c r="JY267" s="13">
        <v>30</v>
      </c>
    </row>
    <row r="268" spans="1:305" ht="15.75" thickBot="1" x14ac:dyDescent="0.3">
      <c r="A268" t="s">
        <v>1783</v>
      </c>
      <c r="B268" t="s">
        <v>1787</v>
      </c>
      <c r="C268" s="3" t="s">
        <v>1872</v>
      </c>
      <c r="O268" s="2"/>
      <c r="P268" t="s">
        <v>1784</v>
      </c>
      <c r="Q268" s="1"/>
      <c r="S268" s="1"/>
      <c r="T268" s="21" t="s">
        <v>554</v>
      </c>
      <c r="U268" s="50">
        <v>88</v>
      </c>
      <c r="V268" s="18" t="s">
        <v>1797</v>
      </c>
      <c r="W268" s="22"/>
      <c r="X268" s="23"/>
      <c r="Y268" s="23"/>
      <c r="Z268" s="23"/>
      <c r="AA268" s="23"/>
      <c r="AB268" s="23"/>
      <c r="AC268" t="str">
        <f>IF(COUNTIF(AC$1:AC267,AC267)&gt;31,REPLACE(AC267,LEN(AC267),1,VALUE(RIGHT(AC267,1))+1),AC267)</f>
        <v>A5.14</v>
      </c>
      <c r="AD268" s="43" cm="1">
        <f t="array" ref="AD268">IF(COUNTIFS(AC$2:AC268,AC268)=1,"1",VALUE(SUBSTITUTE(INDEX(AD:AD,_xlfn.XMATCH(AC268,AC$1:AC267,0,-1)),"A",""))+INDEX(AE:AE,_xlfn.XMATCH(AC268,AC$1:AC267,0,-1))+1)</f>
        <v>6</v>
      </c>
      <c r="AE268" s="43" cm="1">
        <f t="array" ref="AE268">SUM(IF(ISNUMBER(FIND("TmDi",$BE$1:$AAD$1)),IF(IFERROR(ISNUMBER(VALUE(SUBSTITUTE($BE268:$AAD268,"B",""))),FALSE),IF(ISNUMBER(VALUE(SUBSTITUTE($BE268:$AAD268,"B",""))),1,0),0)))</f>
        <v>4</v>
      </c>
      <c r="AF268" t="str">
        <f>CONCATENATE("C",$AD268)</f>
        <v>C6</v>
      </c>
      <c r="AG268" t="str">
        <f>CONCATENATE("B",$AD268)</f>
        <v>B6</v>
      </c>
      <c r="AH268" t="str">
        <f>IF(AI267+AJ267&gt;31,REPLACE(AH267,LEN(AH267),1,VALUE(RIGHT(AH267,1))+1),AH267)</f>
        <v>A6.8</v>
      </c>
      <c r="AI268" s="43" cm="1">
        <f t="array" ref="AI268">IF(COUNTIFS(AH$2:AH268,AH268)=1,"1",VALUE(SUBSTITUTE(INDEX(AI:AI,_xlfn.XMATCH(AH268,AH$1:AH267,0,-1)),"A",""))+INDEX(AJ:AJ,_xlfn.XMATCH(AH268,AH$1:AH267,0,-1))+1)</f>
        <v>3</v>
      </c>
      <c r="AJ268" s="43" cm="1">
        <f t="array" ref="AJ268">SUM(IF(ISNUMBER(FIND("TmDo",$BE$1:$AAD$1)),IF(IFERROR(ISNUMBER(VALUE(SUBSTITUTE($BE268:$AAD268,"B",""))),FALSE),IF(ISNUMBER(VALUE(SUBSTITUTE($BE268:$AAD268,"B",""))),1,0),0)))</f>
        <v>2</v>
      </c>
      <c r="AK268" s="11" t="str">
        <f>CONCATENATE($AI268,"B")</f>
        <v>3B</v>
      </c>
      <c r="AL268" s="11" t="str">
        <f>CONCATENATE($AI268,"A")</f>
        <v>3A</v>
      </c>
      <c r="AM268" s="23" t="s">
        <v>150</v>
      </c>
      <c r="AN268" s="23"/>
      <c r="AO268" s="23"/>
      <c r="AP268" s="23" t="s">
        <v>137</v>
      </c>
      <c r="AQ268" s="23" t="s">
        <v>1794</v>
      </c>
      <c r="AR268" s="23"/>
      <c r="AS268" s="23"/>
      <c r="AT268" s="23" t="s">
        <v>139</v>
      </c>
      <c r="AU268" s="23" t="s">
        <v>140</v>
      </c>
      <c r="AV268" s="23"/>
      <c r="AW268" s="23"/>
      <c r="AX268" s="23"/>
      <c r="AY268" s="12"/>
      <c r="AZ268" s="12"/>
      <c r="BA268" s="12"/>
      <c r="BB268" s="12"/>
      <c r="BC268" s="12"/>
      <c r="BD268" s="13"/>
      <c r="BE268" s="23" t="str">
        <f>CONCATENATE("XT",U268)</f>
        <v>XT88</v>
      </c>
      <c r="BF268" s="23" t="str">
        <f>CONCATENATE("C",REPLACE(AF268,1,1,"")+1)</f>
        <v>C7</v>
      </c>
      <c r="BG268" s="23" t="str">
        <f t="shared" ref="BG268" si="377">CONCATENATE("B",REPLACE(AG268,1,1,"")+1)</f>
        <v>B7</v>
      </c>
      <c r="BH268" s="23" t="str">
        <f t="shared" ref="BH268" si="378">CONCATENATE("C",REPLACE(BF268,1,1,"")+1)</f>
        <v>C8</v>
      </c>
      <c r="BI268" s="23" t="str">
        <f t="shared" ref="BI268" si="379">CONCATENATE("B",REPLACE(BG268,1,1,"")+1)</f>
        <v>B8</v>
      </c>
      <c r="BJ268" s="23" t="str">
        <f t="shared" ref="BJ268" si="380">CONCATENATE("C",REPLACE(BH268,1,1,"")+1)</f>
        <v>C9</v>
      </c>
      <c r="BK268" s="23" t="str">
        <f t="shared" ref="BK268" si="381">CONCATENATE("B",REPLACE(BI268,1,1,"")+1)</f>
        <v>B9</v>
      </c>
      <c r="BL268" s="23" t="str">
        <f t="shared" ref="BL268" si="382">CONCATENATE("C",REPLACE(BJ268,1,1,"")+1)</f>
        <v>C10</v>
      </c>
      <c r="BM268" s="23" t="str">
        <f t="shared" ref="BM268" si="383">CONCATENATE("B",REPLACE(BK268,1,1,"")+1)</f>
        <v>B10</v>
      </c>
      <c r="BN268" s="23"/>
      <c r="BO268" s="23"/>
      <c r="BP268" s="23" t="str">
        <f t="shared" ref="BP268" si="384">CONCATENATE(REPLACE(AK268,LEN(AK268),1,"")+1,"B")</f>
        <v>4B</v>
      </c>
      <c r="BQ268" s="23" t="str">
        <f t="shared" ref="BQ268" si="385">CONCATENATE(REPLACE(AL268,LEN(AL268),1,"")+1,"A")</f>
        <v>4A</v>
      </c>
      <c r="BR268" s="23" t="str">
        <f t="shared" ref="BR268" si="386">CONCATENATE(REPLACE(BP268,LEN(BP268),1,"")+1,"B")</f>
        <v>5B</v>
      </c>
      <c r="BS268" s="23" t="str">
        <f t="shared" ref="BS268" si="387">CONCATENATE(REPLACE(BQ268,LEN(BQ268),1,"")+1,"A")</f>
        <v>5A</v>
      </c>
      <c r="BT268" s="23" t="str">
        <f>CONCATENATE("DI",REPLACE($AC268,1,3,""),"-",AF268)</f>
        <v>DI14-C6</v>
      </c>
      <c r="BU268" s="23" t="str">
        <f t="shared" ref="BU268" si="388">CONCATENATE("DI",REPLACE($AC268,1,3,""),"-",AG268)</f>
        <v>DI14-B6</v>
      </c>
      <c r="BV268" s="23" t="str">
        <f t="shared" ref="BV268:CE268" si="389">CONCATENATE("DI",REPLACE($AC268,1,3,""),"-",BF268)</f>
        <v>DI14-C7</v>
      </c>
      <c r="BW268" s="23" t="str">
        <f t="shared" si="389"/>
        <v>DI14-B7</v>
      </c>
      <c r="BX268" s="23" t="str">
        <f t="shared" si="389"/>
        <v>DI14-C8</v>
      </c>
      <c r="BY268" s="23" t="str">
        <f t="shared" si="389"/>
        <v>DI14-B8</v>
      </c>
      <c r="BZ268" s="23" t="str">
        <f t="shared" si="389"/>
        <v>DI14-C9</v>
      </c>
      <c r="CA268" s="23" t="str">
        <f t="shared" si="389"/>
        <v>DI14-B9</v>
      </c>
      <c r="CB268" s="23" t="str">
        <f t="shared" si="389"/>
        <v>DI14-C10</v>
      </c>
      <c r="CC268" s="23" t="str">
        <f t="shared" si="389"/>
        <v>DI14-B10</v>
      </c>
      <c r="CD268" s="23" t="str">
        <f t="shared" si="389"/>
        <v>DI14-</v>
      </c>
      <c r="CE268" s="23" t="str">
        <f t="shared" si="389"/>
        <v>DI14-</v>
      </c>
      <c r="CF268" s="23" t="str">
        <f t="shared" ref="CF268:CG268" si="390">CONCATENATE("DO",REPLACE($AH268,1,3,""),"-",AK268)</f>
        <v>DO8-3B</v>
      </c>
      <c r="CG268" s="23" t="str">
        <f t="shared" si="390"/>
        <v>DO8-3A</v>
      </c>
      <c r="CH268" s="23" t="str">
        <f t="shared" ref="CH268:CK268" si="391">CONCATENATE("DO",REPLACE($AH268,1,3,""),"-",BP268)</f>
        <v>DO8-4B</v>
      </c>
      <c r="CI268" s="23" t="str">
        <f t="shared" si="391"/>
        <v>DO8-4A</v>
      </c>
      <c r="CJ268" s="23" t="str">
        <f t="shared" si="391"/>
        <v>DO8-5B</v>
      </c>
      <c r="CK268" s="23" t="str">
        <f t="shared" si="391"/>
        <v>DO8-5A</v>
      </c>
      <c r="CL268" s="23" t="str">
        <f t="shared" ref="CL268" si="392">CONCATENATE("K",$U268,"-10")</f>
        <v>K88-10</v>
      </c>
      <c r="CM268" s="23" t="str">
        <f t="shared" ref="CM268" si="393">CONCATENATE("K",$U268,"-03")</f>
        <v>K88-03</v>
      </c>
      <c r="CN268" s="23" t="str">
        <f t="shared" ref="CN268" si="394">CONCATENATE("K",$U268,"-04")</f>
        <v>K88-04</v>
      </c>
      <c r="CO268" s="23" t="str">
        <f t="shared" ref="CO268" si="395">CONCATENATE("K",$U268,"-01")</f>
        <v>K88-01</v>
      </c>
      <c r="CP268" s="23" t="str">
        <f t="shared" ref="CP268" si="396">CONCATENATE("K",$U268,"-08")</f>
        <v>K88-08</v>
      </c>
      <c r="CQ268" s="23" t="str">
        <f t="shared" ref="CQ268" si="397">CONCATENATE("K",$U268,"-02")</f>
        <v>K88-02</v>
      </c>
      <c r="CR268" s="23" t="str">
        <f t="shared" ref="CR268" si="398">CONCATENATE("K",$U268,"-09")</f>
        <v>K88-09</v>
      </c>
      <c r="CS268" s="23" t="str">
        <f t="shared" ref="CS268" si="399">CONCATENATE("K",$U268,"-05")</f>
        <v>K88-05</v>
      </c>
      <c r="CT268" s="23" t="str">
        <f t="shared" ref="CT268" si="400">CONCATENATE("K",$U268,"-11")</f>
        <v>K88-11</v>
      </c>
      <c r="CU268" s="23" t="str">
        <f t="shared" ref="CU268" si="401">CONCATENATE($T268,"-M",$U268,"-A9")</f>
        <v>F0-M88-A9</v>
      </c>
      <c r="CV268" s="23" t="str">
        <f t="shared" ref="CV268" si="402">CONCATENATE($T268,"-M",$U268,"-A7")</f>
        <v>F0-M88-A7</v>
      </c>
      <c r="CW268" s="23" t="str">
        <f t="shared" ref="CW268" si="403">CONCATENATE($T268,"-M",$U268,"-A8")</f>
        <v>F0-M88-A8</v>
      </c>
      <c r="CX268" s="23" t="str">
        <f t="shared" ref="CX268" si="404">CONCATENATE($T268,"-M",$U268,"-A6")</f>
        <v>F0-M88-A6</v>
      </c>
      <c r="CY268" s="23" t="str">
        <f t="shared" ref="CY268" si="405">CONCATENATE($T268,"-M",$U268,"-A30")</f>
        <v>F0-M88-A30</v>
      </c>
      <c r="CZ268" s="23" t="str">
        <f t="shared" ref="CZ268" si="406">CONCATENATE($T268,"-M",$U268,"-N")</f>
        <v>F0-M88-N</v>
      </c>
      <c r="DA268" s="23" t="str">
        <f>CONCATENATE($T268,"-A220-M",U268)</f>
        <v>F0-A220-M88</v>
      </c>
      <c r="DB268" s="23" t="str">
        <f t="shared" ref="DB268" si="407">CONCATENATE($T268,"-M",$U268,"-XM01")</f>
        <v>F0-M88-XM01</v>
      </c>
      <c r="DC268" s="23" t="str">
        <f t="shared" ref="DC268" si="408">CONCATENATE($T268,"-M",$U268,"-A1")</f>
        <v>F0-M88-A1</v>
      </c>
      <c r="DD268" s="23" t="str">
        <f t="shared" ref="DD268" si="409">CONCATENATE($T268,"-M",$U268,"-A5")</f>
        <v>F0-M88-A5</v>
      </c>
      <c r="DE268" s="23" t="str">
        <f t="shared" ref="DE268" si="410">CONCATENATE($T268,"-M",$U268,"-A11")</f>
        <v>F0-M88-A11</v>
      </c>
      <c r="DF268" s="23" t="str">
        <f t="shared" ref="DF268" si="411">CONCATENATE($T268,"-M",$U268,"-A12")</f>
        <v>F0-M88-A12</v>
      </c>
      <c r="DG268" s="23" t="str">
        <f t="shared" ref="DG268" si="412">CONCATENATE($T268,"-M",$U268,"-A19")</f>
        <v>F0-M88-A19</v>
      </c>
      <c r="DH268" s="23" t="str">
        <f t="shared" ref="DH268" si="413">CONCATENATE($T268,"-M",$U268,"-A20")</f>
        <v>F0-M88-A20</v>
      </c>
      <c r="DI268" s="23" t="s">
        <v>142</v>
      </c>
      <c r="DJ268" s="23" t="s">
        <v>143</v>
      </c>
      <c r="DK268" s="23">
        <v>11</v>
      </c>
      <c r="DL268" s="23">
        <v>14</v>
      </c>
      <c r="DM268" s="23">
        <v>12</v>
      </c>
      <c r="DN268" s="23" t="s">
        <v>144</v>
      </c>
      <c r="DO268" s="23" t="s">
        <v>145</v>
      </c>
      <c r="DP268" s="23">
        <v>1</v>
      </c>
      <c r="DQ268" s="23">
        <v>2</v>
      </c>
      <c r="DR268" s="23">
        <v>3</v>
      </c>
      <c r="DS268" s="23">
        <v>4</v>
      </c>
      <c r="DT268" s="23">
        <v>5</v>
      </c>
      <c r="DU268" s="23">
        <v>6</v>
      </c>
      <c r="DV268" s="23">
        <v>7</v>
      </c>
      <c r="DW268" s="23">
        <v>8</v>
      </c>
      <c r="DX268" s="23">
        <v>9</v>
      </c>
      <c r="DY268" s="23">
        <v>10</v>
      </c>
      <c r="DZ268" s="23">
        <v>11</v>
      </c>
      <c r="EA268" s="23">
        <v>12</v>
      </c>
      <c r="EB268" s="23">
        <v>13</v>
      </c>
      <c r="EC268" s="23">
        <v>14</v>
      </c>
      <c r="ED268" s="23">
        <v>1</v>
      </c>
      <c r="EE268" s="23">
        <v>3</v>
      </c>
      <c r="EF268" s="23">
        <v>4</v>
      </c>
      <c r="EG268" s="23">
        <v>7</v>
      </c>
      <c r="EH268" s="23">
        <v>8</v>
      </c>
      <c r="EI268" s="23">
        <v>9</v>
      </c>
      <c r="EJ268" s="23">
        <v>10</v>
      </c>
      <c r="EK268" s="23">
        <v>13</v>
      </c>
      <c r="EL268" s="23">
        <v>14</v>
      </c>
      <c r="EM268" s="23">
        <v>15</v>
      </c>
      <c r="EN268" s="23">
        <v>16</v>
      </c>
      <c r="EO268" s="23">
        <v>22</v>
      </c>
      <c r="EP268" s="23">
        <v>23</v>
      </c>
      <c r="EQ268" s="24">
        <v>24</v>
      </c>
    </row>
    <row r="269" spans="1:305" ht="15.75" thickBot="1" x14ac:dyDescent="0.3">
      <c r="A269" t="s">
        <v>1844</v>
      </c>
      <c r="B269" t="s">
        <v>1798</v>
      </c>
      <c r="C269" t="s">
        <v>1871</v>
      </c>
      <c r="P269" t="s">
        <v>1785</v>
      </c>
      <c r="T269" s="10" t="s">
        <v>554</v>
      </c>
      <c r="U269" s="49">
        <v>89</v>
      </c>
      <c r="V269" s="11" t="s">
        <v>1799</v>
      </c>
      <c r="W269" s="11" t="s">
        <v>1800</v>
      </c>
      <c r="X269" t="str" cm="1">
        <f t="array" ref="X269">IF(COUNTIF(X$1:X268,INDEX(X$1:X268,MAX(IF(X$1:X268&lt;&gt;"",ROW(X$1:X268)))))&gt;7,REPLACE(INDEX(X$1:X268,MAX(IF(X$1:X268&lt;&gt;"",ROW(X$1:X268)))),LEN(INDEX(X$1:X268,MAX(IF(X$1:X268&lt;&gt;"",ROW(X$1:X268))))),1,VALUE(RIGHT(INDEX(X$1:X268,MAX(IF(X$1:X268&lt;&gt;"",ROW(X$1:X268)))),1))+1),INDEX(X$1:X268,MAX(IF(X$1:X268&lt;&gt;"",ROW(X$1:X268)))))</f>
        <v>A3.33</v>
      </c>
      <c r="Y269" s="43" cm="1">
        <f t="array" ref="Y269">IF(COUNTIFS(X$2:X269,X269)=1,"1",VALUE(SUBSTITUTE(INDEX(Y:Y,_xlfn.XMATCH(X269,X$1:X268,0,-1)),"A",""))+INDEX(Z:Z,_xlfn.XMATCH(X269,X$1:X268,0,-1))+1)</f>
        <v>2</v>
      </c>
      <c r="Z269" s="43" cm="1">
        <f t="array" ref="Z269">SUM(IF(ISNUMBER(FIND("TmAi",$BE$1:$AAD$1)),IF(IFERROR(ISODD(SUBSTITUTE($BE269:$AAD269,"A","")),FALSE),IF(ISODD(SUBSTITUTE($BE269:$AAD269,"A","")),1,0),0)))</f>
        <v>0</v>
      </c>
      <c r="AA269" t="str">
        <f t="shared" ref="AA269" si="414">CONCATENATE($Y269*2-1,"A")</f>
        <v>3A</v>
      </c>
      <c r="AB269" t="str">
        <f t="shared" ref="AB269" si="415">CONCATENATE($Y269*2-1,"B")</f>
        <v>3B</v>
      </c>
      <c r="AC269" t="str">
        <f>IF(COUNTIF(AC$1:AC268,AC268)&gt;31,REPLACE(AC268,LEN(AC268),1,VALUE(RIGHT(AC268,1))+1),AC268)</f>
        <v>A5.14</v>
      </c>
      <c r="AD269" s="43" cm="1">
        <f t="array" ref="AD269">IF(COUNTIFS(AC$2:AC269,AC269)=1,"1",VALUE(SUBSTITUTE(INDEX(AD:AD,_xlfn.XMATCH(AC269,AC$1:AC268,0,-1)),"A",""))+INDEX(AE:AE,_xlfn.XMATCH(AC269,AC$1:AC268,0,-1))+1)</f>
        <v>11</v>
      </c>
      <c r="AE269" s="43" cm="1">
        <f t="array" ref="AE269">SUM(IF(ISNUMBER(FIND("TmDi",$BE$1:$AAD$1)),IF(IFERROR(ISNUMBER(VALUE(SUBSTITUTE($BE269:$AAD269,"B",""))),FALSE),IF(ISNUMBER(VALUE(SUBSTITUTE($BE269:$AAD269,"B",""))),1,0),0)))</f>
        <v>4</v>
      </c>
      <c r="AF269" t="str">
        <f t="shared" ref="AF269:AF294" si="416">CONCATENATE("C",$AD269)</f>
        <v>C11</v>
      </c>
      <c r="AG269" t="str">
        <f t="shared" ref="AG269:AG294" si="417">CONCATENATE("B",$AD269)</f>
        <v>B11</v>
      </c>
      <c r="AH269" t="str">
        <f t="shared" ref="AH269:AH274" si="418">IF(AI268+AJ268&gt;31,REPLACE(AH268,LEN(AH268),1,VALUE(RIGHT(AH268,1))+1),AH268)</f>
        <v>A6.8</v>
      </c>
      <c r="AI269" s="43" cm="1">
        <f t="array" ref="AI269">IF(COUNTIFS(AH$2:AH269,AH269)=1,"1",VALUE(SUBSTITUTE(INDEX(AI:AI,_xlfn.XMATCH(AH269,AH$1:AH268,0,-1)),"A",""))+INDEX(AJ:AJ,_xlfn.XMATCH(AH269,AH$1:AH268,0,-1))+1)</f>
        <v>6</v>
      </c>
      <c r="AJ269" s="43" cm="1">
        <f t="array" ref="AJ269">SUM(IF(ISNUMBER(FIND("TmDo",$BE$1:$AAD$1)),IF(IFERROR(ISNUMBER(VALUE(SUBSTITUTE($BE269:$AAD269,"B",""))),FALSE),IF(ISNUMBER(VALUE(SUBSTITUTE($BE269:$AAD269,"B",""))),1,0),0)))</f>
        <v>1</v>
      </c>
      <c r="AK269" s="11" t="str">
        <f t="shared" ref="AK269:AK282" si="419">CONCATENATE($AI269,"B")</f>
        <v>6B</v>
      </c>
      <c r="AL269" s="11" t="str">
        <f t="shared" ref="AL269:AL282" si="420">CONCATENATE($AI269,"A")</f>
        <v>6A</v>
      </c>
      <c r="AM269" s="12" t="s">
        <v>161</v>
      </c>
      <c r="AN269" s="12"/>
      <c r="AO269" s="12"/>
      <c r="AP269" s="12" t="s">
        <v>137</v>
      </c>
      <c r="AQ269" s="12" t="s">
        <v>1794</v>
      </c>
      <c r="AR269" s="12"/>
      <c r="AS269" s="12" t="s">
        <v>396</v>
      </c>
      <c r="AT269" s="12" t="s">
        <v>139</v>
      </c>
      <c r="AU269" s="12" t="s">
        <v>140</v>
      </c>
      <c r="AV269" s="12"/>
      <c r="AW269" s="12"/>
      <c r="AX269" s="12"/>
      <c r="AY269" s="12"/>
      <c r="AZ269" s="12"/>
      <c r="BA269" s="12"/>
      <c r="BB269" s="12"/>
      <c r="BC269" s="12"/>
      <c r="BD269" s="13"/>
      <c r="GT269" s="25" t="str">
        <f t="shared" ref="GT269" si="421">CONCATENATE("XT",U269)</f>
        <v>XT89</v>
      </c>
      <c r="GU269" s="12" t="str">
        <f t="shared" ref="GU269" si="422">CONCATENATE("C",REPLACE(AF269,1,1,"")+1)</f>
        <v>C12</v>
      </c>
      <c r="GV269" s="12" t="str">
        <f t="shared" ref="GV269" si="423">CONCATENATE("B",REPLACE(AG269,1,1,"")+1)</f>
        <v>B12</v>
      </c>
      <c r="GW269" s="12" t="str">
        <f t="shared" ref="GW269" si="424">CONCATENATE("C",REPLACE(GU269,1,1,"")+1)</f>
        <v>C13</v>
      </c>
      <c r="GX269" s="12" t="str">
        <f t="shared" ref="GX269" si="425">CONCATENATE("B",REPLACE(GV269,1,1,"")+1)</f>
        <v>B13</v>
      </c>
      <c r="GY269" s="12" t="str">
        <f t="shared" ref="GY269" si="426">CONCATENATE("C",REPLACE(GW269,1,1,"")+1)</f>
        <v>C14</v>
      </c>
      <c r="GZ269" s="12" t="str">
        <f t="shared" ref="GZ269" si="427">CONCATENATE("B",REPLACE(GX269,1,1,"")+1)</f>
        <v>B14</v>
      </c>
      <c r="HA269" s="12" t="str">
        <f t="shared" ref="HA269" si="428">CONCATENATE("C",REPLACE(GY269,1,1,"")+1)</f>
        <v>C15</v>
      </c>
      <c r="HB269" s="12" t="str">
        <f t="shared" ref="HB269" si="429">CONCATENATE("B",REPLACE(GZ269,1,1,"")+1)</f>
        <v>B15</v>
      </c>
      <c r="HC269" s="12"/>
      <c r="HD269" s="12"/>
      <c r="HE269" s="12" t="str">
        <f t="shared" ref="HE269" si="430">CONCATENATE(REPLACE(AK269,LEN(AK269),1,"")+1,"B")</f>
        <v>7B</v>
      </c>
      <c r="HF269" s="12" t="str">
        <f t="shared" ref="HF269" si="431">CONCATENATE(REPLACE(AL269,LEN(AL269),1,"")+1,"A")</f>
        <v>7A</v>
      </c>
      <c r="HG269" s="12" t="str">
        <f t="shared" ref="HG269:HH269" si="432">CONCATENATE("AI",REPLACE($X269,1,3,""),"-",AA269)</f>
        <v>AI33-3A</v>
      </c>
      <c r="HH269" s="12" t="str">
        <f t="shared" si="432"/>
        <v>AI33-3B</v>
      </c>
      <c r="HI269" s="12" t="str">
        <f t="shared" ref="HI269:HJ269" si="433">CONCATENATE("DI",REPLACE($AC269,1,3,""),"-",AF269)</f>
        <v>DI14-C11</v>
      </c>
      <c r="HJ269" s="12" t="str">
        <f t="shared" si="433"/>
        <v>DI14-B11</v>
      </c>
      <c r="HK269" s="12" t="str">
        <f t="shared" ref="HK269:HT269" si="434">CONCATENATE("DI",REPLACE($AC269,1,3,""),"-",GU269)</f>
        <v>DI14-C12</v>
      </c>
      <c r="HL269" s="12" t="str">
        <f t="shared" si="434"/>
        <v>DI14-B12</v>
      </c>
      <c r="HM269" s="12" t="str">
        <f t="shared" si="434"/>
        <v>DI14-C13</v>
      </c>
      <c r="HN269" s="12" t="str">
        <f t="shared" si="434"/>
        <v>DI14-B13</v>
      </c>
      <c r="HO269" s="12" t="str">
        <f t="shared" si="434"/>
        <v>DI14-C14</v>
      </c>
      <c r="HP269" s="12" t="str">
        <f t="shared" si="434"/>
        <v>DI14-B14</v>
      </c>
      <c r="HQ269" s="12" t="str">
        <f t="shared" si="434"/>
        <v>DI14-C15</v>
      </c>
      <c r="HR269" s="12" t="str">
        <f t="shared" si="434"/>
        <v>DI14-B15</v>
      </c>
      <c r="HS269" s="12" t="str">
        <f t="shared" si="434"/>
        <v>DI14-</v>
      </c>
      <c r="HT269" s="12" t="str">
        <f t="shared" si="434"/>
        <v>DI14-</v>
      </c>
      <c r="HU269" s="12" t="str">
        <f t="shared" ref="HU269:HV269" si="435">CONCATENATE("DO",REPLACE($AH269,1,3,""),"-",AK269)</f>
        <v>DO8-6B</v>
      </c>
      <c r="HV269" s="12" t="str">
        <f t="shared" si="435"/>
        <v>DO8-6A</v>
      </c>
      <c r="HW269" s="12" t="str">
        <f t="shared" ref="HW269:HX269" si="436">CONCATENATE("DO",REPLACE($AH269,1,3,""),"-",HE269)</f>
        <v>DO8-7B</v>
      </c>
      <c r="HX269" s="12" t="str">
        <f t="shared" si="436"/>
        <v>DO8-7A</v>
      </c>
      <c r="HY269" s="12" t="str">
        <f t="shared" ref="HY269" si="437">CONCATENATE("K",$U269,"-01")</f>
        <v>K89-01</v>
      </c>
      <c r="HZ269" s="12" t="str">
        <f t="shared" ref="HZ269" si="438">CONCATENATE("K",$U269,"-02")</f>
        <v>K89-02</v>
      </c>
      <c r="IA269" s="12" t="str">
        <f t="shared" ref="IA269" si="439">CONCATENATE("K",$U269,"-03")</f>
        <v>K89-03</v>
      </c>
      <c r="IB269" s="12" t="str">
        <f t="shared" ref="IB269" si="440">CONCATENATE("K",$U269,"-04")</f>
        <v>K89-04</v>
      </c>
      <c r="IC269" s="12" t="str">
        <f t="shared" ref="IC269" si="441">CONCATENATE("K",$U269,"-05")</f>
        <v>K89-05</v>
      </c>
      <c r="ID269" s="12" t="str">
        <f t="shared" ref="ID269" si="442">CONCATENATE("K",$U269,"-06")</f>
        <v>K89-06</v>
      </c>
      <c r="IE269" s="12" t="str">
        <f t="shared" ref="IE269" si="443">CONCATENATE("K",$U269,"-07")</f>
        <v>K89-07</v>
      </c>
      <c r="IF269" s="12" t="str">
        <f t="shared" ref="IF269" si="444">CONCATENATE("K",$U269,"-08")</f>
        <v>K89-08</v>
      </c>
      <c r="IG269" s="12" t="str">
        <f t="shared" ref="IG269" si="445">CONCATENATE($T269,"-M",$U269,"-AMS-12")</f>
        <v>F0-M89-AMS-12</v>
      </c>
      <c r="IH269" s="12" t="str">
        <f t="shared" ref="IH269" si="446">CONCATENATE($T269,"-M",$U269,"-AMS-10")</f>
        <v>F0-M89-AMS-10</v>
      </c>
      <c r="II269" s="12" t="str">
        <f t="shared" ref="II269" si="447">CONCATENATE($T269,"-M",$U269,"-AMS-11")</f>
        <v>F0-M89-AMS-11</v>
      </c>
      <c r="IJ269" s="12" t="str">
        <f t="shared" ref="IJ269" si="448">CONCATENATE($T269,"-M",$U269,"-AMS-13")</f>
        <v>F0-M89-AMS-13</v>
      </c>
      <c r="IK269" s="12" t="str">
        <f t="shared" ref="IK269" si="449">CONCATENATE($T269,"-M",$U269,"-AMS-9")</f>
        <v>F0-M89-AMS-9</v>
      </c>
      <c r="IL269" s="12" t="str">
        <f t="shared" ref="IL269" si="450">CONCATENATE($T269,"-M",$U269,"-AMS-7")</f>
        <v>F0-M89-AMS-7</v>
      </c>
      <c r="IM269" s="12" t="str">
        <f t="shared" ref="IM269" si="451">CONCATENATE($T269,"-M",$U269,"-AMS-18")</f>
        <v>F0-M89-AMS-18</v>
      </c>
      <c r="IN269" s="12" t="str">
        <f t="shared" ref="IN269" si="452">CONCATENATE($T269,"-M",$U269,"-AMS-20")</f>
        <v>F0-M89-AMS-20</v>
      </c>
      <c r="IO269" s="12" t="str">
        <f t="shared" ref="IO269" si="453">CONCATENATE($T269,"-M",$U269,"-AMS-17")</f>
        <v>F0-M89-AMS-17</v>
      </c>
      <c r="IP269" s="12" t="str">
        <f t="shared" ref="IP269" si="454">CONCATENATE($T269,"-+24-M",$U269,)</f>
        <v>F0-+24-M89</v>
      </c>
      <c r="IQ269" s="12" t="str">
        <f t="shared" ref="IQ269" si="455">CONCATENATE($T269,"-M",$U269,"-XM01")</f>
        <v>F0-M89-XM01</v>
      </c>
      <c r="IR269" s="12" t="s">
        <v>142</v>
      </c>
      <c r="IS269" s="12" t="s">
        <v>143</v>
      </c>
      <c r="IT269" s="12">
        <v>11</v>
      </c>
      <c r="IU269" s="12">
        <v>14</v>
      </c>
      <c r="IV269" s="12" t="s">
        <v>413</v>
      </c>
      <c r="IW269" s="12" t="s">
        <v>414</v>
      </c>
      <c r="IX269" s="12">
        <v>1</v>
      </c>
      <c r="IY269" s="12">
        <v>2</v>
      </c>
      <c r="IZ269" s="12">
        <v>3</v>
      </c>
      <c r="JA269" s="12">
        <v>4</v>
      </c>
      <c r="JB269" s="12">
        <v>5</v>
      </c>
      <c r="JC269" s="12">
        <v>6</v>
      </c>
      <c r="JD269" s="12">
        <v>7</v>
      </c>
      <c r="JE269" s="12">
        <v>8</v>
      </c>
      <c r="JF269" s="12">
        <v>9</v>
      </c>
      <c r="JG269" s="12">
        <v>10</v>
      </c>
      <c r="JH269" s="12">
        <v>11</v>
      </c>
      <c r="JI269" s="12">
        <v>12</v>
      </c>
      <c r="JJ269" s="12">
        <v>13</v>
      </c>
      <c r="JK269" s="12">
        <v>14</v>
      </c>
      <c r="JL269" s="12">
        <v>17</v>
      </c>
      <c r="JM269" s="12">
        <v>15</v>
      </c>
      <c r="JN269" s="12">
        <v>18</v>
      </c>
      <c r="JO269" s="12">
        <v>11</v>
      </c>
      <c r="JP269" s="12">
        <v>9</v>
      </c>
      <c r="JQ269" s="12">
        <v>6</v>
      </c>
      <c r="JR269" s="12">
        <v>20</v>
      </c>
      <c r="JS269" s="12">
        <v>7</v>
      </c>
      <c r="JT269" s="12">
        <v>10</v>
      </c>
      <c r="JU269" s="12">
        <v>22</v>
      </c>
      <c r="JV269" s="12">
        <v>23</v>
      </c>
      <c r="JW269" s="12">
        <v>26</v>
      </c>
      <c r="JX269" s="12">
        <v>27</v>
      </c>
      <c r="JY269" s="13">
        <v>30</v>
      </c>
    </row>
    <row r="270" spans="1:305" ht="15.75" thickBot="1" x14ac:dyDescent="0.3">
      <c r="A270" t="s">
        <v>1845</v>
      </c>
      <c r="B270" t="s">
        <v>1803</v>
      </c>
      <c r="C270" s="3" t="s">
        <v>1872</v>
      </c>
      <c r="O270" s="2"/>
      <c r="P270" t="s">
        <v>1784</v>
      </c>
      <c r="Q270" s="1"/>
      <c r="S270" s="1"/>
      <c r="T270" s="21" t="s">
        <v>554</v>
      </c>
      <c r="U270" s="50">
        <v>90</v>
      </c>
      <c r="V270" s="18" t="s">
        <v>1804</v>
      </c>
      <c r="W270" s="22"/>
      <c r="X270" s="23"/>
      <c r="Y270" s="23"/>
      <c r="Z270" s="23"/>
      <c r="AA270" s="23"/>
      <c r="AB270" s="23"/>
      <c r="AC270" t="str">
        <f>IF(COUNTIF(AC$1:AC269,AC269)&gt;31,REPLACE(AC269,LEN(AC269),1,VALUE(RIGHT(AC269,1))+1),AC269)</f>
        <v>A5.14</v>
      </c>
      <c r="AD270" s="43" cm="1">
        <f t="array" ref="AD270">IF(COUNTIFS(AC$2:AC270,AC270)=1,"1",VALUE(SUBSTITUTE(INDEX(AD:AD,_xlfn.XMATCH(AC270,AC$1:AC269,0,-1)),"A",""))+INDEX(AE:AE,_xlfn.XMATCH(AC270,AC$1:AC269,0,-1))+1)</f>
        <v>16</v>
      </c>
      <c r="AE270" s="43" cm="1">
        <f t="array" ref="AE270">SUM(IF(ISNUMBER(FIND("TmDi",$BE$1:$AAD$1)),IF(IFERROR(ISNUMBER(VALUE(SUBSTITUTE($BE270:$AAD270,"B",""))),FALSE),IF(ISNUMBER(VALUE(SUBSTITUTE($BE270:$AAD270,"B",""))),1,0),0)))</f>
        <v>4</v>
      </c>
      <c r="AF270" t="str">
        <f t="shared" si="416"/>
        <v>C16</v>
      </c>
      <c r="AG270" t="str">
        <f t="shared" si="417"/>
        <v>B16</v>
      </c>
      <c r="AH270" t="str">
        <f t="shared" si="418"/>
        <v>A6.8</v>
      </c>
      <c r="AI270" s="43" cm="1">
        <f t="array" ref="AI270">IF(COUNTIFS(AH$2:AH270,AH270)=1,"1",VALUE(SUBSTITUTE(INDEX(AI:AI,_xlfn.XMATCH(AH270,AH$1:AH269,0,-1)),"A",""))+INDEX(AJ:AJ,_xlfn.XMATCH(AH270,AH$1:AH269,0,-1))+1)</f>
        <v>8</v>
      </c>
      <c r="AJ270" s="43" cm="1">
        <f t="array" ref="AJ270">SUM(IF(ISNUMBER(FIND("TmDo",$BE$1:$AAD$1)),IF(IFERROR(ISNUMBER(VALUE(SUBSTITUTE($BE270:$AAD270,"B",""))),FALSE),IF(ISNUMBER(VALUE(SUBSTITUTE($BE270:$AAD270,"B",""))),1,0),0)))</f>
        <v>2</v>
      </c>
      <c r="AK270" s="11" t="str">
        <f t="shared" si="419"/>
        <v>8B</v>
      </c>
      <c r="AL270" s="11" t="str">
        <f t="shared" si="420"/>
        <v>8A</v>
      </c>
      <c r="AM270" s="23" t="s">
        <v>150</v>
      </c>
      <c r="AN270" s="23"/>
      <c r="AO270" s="23"/>
      <c r="AP270" s="23" t="s">
        <v>137</v>
      </c>
      <c r="AQ270" s="23" t="s">
        <v>1794</v>
      </c>
      <c r="AR270" s="23"/>
      <c r="AS270" s="23"/>
      <c r="AT270" s="23" t="s">
        <v>139</v>
      </c>
      <c r="AU270" s="23" t="s">
        <v>140</v>
      </c>
      <c r="AV270" s="23"/>
      <c r="AW270" s="23"/>
      <c r="AX270" s="23"/>
      <c r="AY270" s="12"/>
      <c r="AZ270" s="12"/>
      <c r="BA270" s="12"/>
      <c r="BB270" s="12"/>
      <c r="BC270" s="12"/>
      <c r="BD270" s="13"/>
      <c r="BE270" s="23" t="str">
        <f t="shared" ref="BE270" si="456">CONCATENATE("XT",U270)</f>
        <v>XT90</v>
      </c>
      <c r="BF270" s="23" t="str">
        <f t="shared" ref="BF270" si="457">CONCATENATE("C",REPLACE(AF270,1,1,"")+1)</f>
        <v>C17</v>
      </c>
      <c r="BG270" s="23" t="str">
        <f t="shared" ref="BG270" si="458">CONCATENATE("B",REPLACE(AG270,1,1,"")+1)</f>
        <v>B17</v>
      </c>
      <c r="BH270" s="23" t="str">
        <f t="shared" ref="BH270" si="459">CONCATENATE("C",REPLACE(BF270,1,1,"")+1)</f>
        <v>C18</v>
      </c>
      <c r="BI270" s="23" t="str">
        <f t="shared" ref="BI270" si="460">CONCATENATE("B",REPLACE(BG270,1,1,"")+1)</f>
        <v>B18</v>
      </c>
      <c r="BJ270" s="23" t="str">
        <f t="shared" ref="BJ270" si="461">CONCATENATE("C",REPLACE(BH270,1,1,"")+1)</f>
        <v>C19</v>
      </c>
      <c r="BK270" s="23" t="str">
        <f t="shared" ref="BK270" si="462">CONCATENATE("B",REPLACE(BI270,1,1,"")+1)</f>
        <v>B19</v>
      </c>
      <c r="BL270" s="23" t="str">
        <f t="shared" ref="BL270" si="463">CONCATENATE("C",REPLACE(BJ270,1,1,"")+1)</f>
        <v>C20</v>
      </c>
      <c r="BM270" s="23" t="str">
        <f t="shared" ref="BM270" si="464">CONCATENATE("B",REPLACE(BK270,1,1,"")+1)</f>
        <v>B20</v>
      </c>
      <c r="BN270" s="23"/>
      <c r="BO270" s="23"/>
      <c r="BP270" s="23" t="str">
        <f t="shared" ref="BP270" si="465">CONCATENATE(REPLACE(AK270,LEN(AK270),1,"")+1,"B")</f>
        <v>9B</v>
      </c>
      <c r="BQ270" s="23" t="str">
        <f t="shared" ref="BQ270" si="466">CONCATENATE(REPLACE(AL270,LEN(AL270),1,"")+1,"A")</f>
        <v>9A</v>
      </c>
      <c r="BR270" s="23" t="str">
        <f t="shared" ref="BR270" si="467">CONCATENATE(REPLACE(BP270,LEN(BP270),1,"")+1,"B")</f>
        <v>10B</v>
      </c>
      <c r="BS270" s="23" t="str">
        <f t="shared" ref="BS270" si="468">CONCATENATE(REPLACE(BQ270,LEN(BQ270),1,"")+1,"A")</f>
        <v>10A</v>
      </c>
      <c r="BT270" s="23" t="str">
        <f t="shared" ref="BT270:BU270" si="469">CONCATENATE("DI",REPLACE($AC270,1,3,""),"-",AF270)</f>
        <v>DI14-C16</v>
      </c>
      <c r="BU270" s="23" t="str">
        <f t="shared" si="469"/>
        <v>DI14-B16</v>
      </c>
      <c r="BV270" s="23" t="str">
        <f t="shared" ref="BV270:CE270" si="470">CONCATENATE("DI",REPLACE($AC270,1,3,""),"-",BF270)</f>
        <v>DI14-C17</v>
      </c>
      <c r="BW270" s="23" t="str">
        <f t="shared" si="470"/>
        <v>DI14-B17</v>
      </c>
      <c r="BX270" s="23" t="str">
        <f t="shared" si="470"/>
        <v>DI14-C18</v>
      </c>
      <c r="BY270" s="23" t="str">
        <f t="shared" si="470"/>
        <v>DI14-B18</v>
      </c>
      <c r="BZ270" s="23" t="str">
        <f t="shared" si="470"/>
        <v>DI14-C19</v>
      </c>
      <c r="CA270" s="23" t="str">
        <f t="shared" si="470"/>
        <v>DI14-B19</v>
      </c>
      <c r="CB270" s="23" t="str">
        <f t="shared" si="470"/>
        <v>DI14-C20</v>
      </c>
      <c r="CC270" s="23" t="str">
        <f t="shared" si="470"/>
        <v>DI14-B20</v>
      </c>
      <c r="CD270" s="23" t="str">
        <f t="shared" si="470"/>
        <v>DI14-</v>
      </c>
      <c r="CE270" s="23" t="str">
        <f t="shared" si="470"/>
        <v>DI14-</v>
      </c>
      <c r="CF270" s="23" t="str">
        <f t="shared" ref="CF270:CG270" si="471">CONCATENATE("DO",REPLACE($AH270,1,3,""),"-",AK270)</f>
        <v>DO8-8B</v>
      </c>
      <c r="CG270" s="23" t="str">
        <f t="shared" si="471"/>
        <v>DO8-8A</v>
      </c>
      <c r="CH270" s="23" t="str">
        <f t="shared" ref="CH270:CK270" si="472">CONCATENATE("DO",REPLACE($AH270,1,3,""),"-",BP270)</f>
        <v>DO8-9B</v>
      </c>
      <c r="CI270" s="23" t="str">
        <f t="shared" si="472"/>
        <v>DO8-9A</v>
      </c>
      <c r="CJ270" s="23" t="str">
        <f t="shared" si="472"/>
        <v>DO8-10B</v>
      </c>
      <c r="CK270" s="23" t="str">
        <f t="shared" si="472"/>
        <v>DO8-10A</v>
      </c>
      <c r="CL270" s="23" t="str">
        <f t="shared" ref="CL270" si="473">CONCATENATE("K",$U270,"-10")</f>
        <v>K90-10</v>
      </c>
      <c r="CM270" s="23" t="str">
        <f t="shared" ref="CM270" si="474">CONCATENATE("K",$U270,"-03")</f>
        <v>K90-03</v>
      </c>
      <c r="CN270" s="23" t="str">
        <f t="shared" ref="CN270" si="475">CONCATENATE("K",$U270,"-04")</f>
        <v>K90-04</v>
      </c>
      <c r="CO270" s="23" t="str">
        <f t="shared" ref="CO270" si="476">CONCATENATE("K",$U270,"-01")</f>
        <v>K90-01</v>
      </c>
      <c r="CP270" s="23" t="str">
        <f t="shared" ref="CP270" si="477">CONCATENATE("K",$U270,"-08")</f>
        <v>K90-08</v>
      </c>
      <c r="CQ270" s="23" t="str">
        <f t="shared" ref="CQ270" si="478">CONCATENATE("K",$U270,"-02")</f>
        <v>K90-02</v>
      </c>
      <c r="CR270" s="23" t="str">
        <f t="shared" ref="CR270" si="479">CONCATENATE("K",$U270,"-09")</f>
        <v>K90-09</v>
      </c>
      <c r="CS270" s="23" t="str">
        <f t="shared" ref="CS270" si="480">CONCATENATE("K",$U270,"-05")</f>
        <v>K90-05</v>
      </c>
      <c r="CT270" s="23" t="str">
        <f t="shared" ref="CT270" si="481">CONCATENATE("K",$U270,"-11")</f>
        <v>K90-11</v>
      </c>
      <c r="CU270" s="23" t="str">
        <f t="shared" ref="CU270" si="482">CONCATENATE($T270,"-M",$U270,"-A9")</f>
        <v>F0-M90-A9</v>
      </c>
      <c r="CV270" s="23" t="str">
        <f t="shared" ref="CV270" si="483">CONCATENATE($T270,"-M",$U270,"-A7")</f>
        <v>F0-M90-A7</v>
      </c>
      <c r="CW270" s="23" t="str">
        <f t="shared" ref="CW270" si="484">CONCATENATE($T270,"-M",$U270,"-A8")</f>
        <v>F0-M90-A8</v>
      </c>
      <c r="CX270" s="23" t="str">
        <f t="shared" ref="CX270" si="485">CONCATENATE($T270,"-M",$U270,"-A6")</f>
        <v>F0-M90-A6</v>
      </c>
      <c r="CY270" s="23" t="str">
        <f t="shared" ref="CY270" si="486">CONCATENATE($T270,"-M",$U270,"-A30")</f>
        <v>F0-M90-A30</v>
      </c>
      <c r="CZ270" s="23" t="str">
        <f t="shared" ref="CZ270" si="487">CONCATENATE($T270,"-M",$U270,"-N")</f>
        <v>F0-M90-N</v>
      </c>
      <c r="DA270" s="23" t="str">
        <f t="shared" ref="DA270" si="488">CONCATENATE($T270,"-A220-M",U270)</f>
        <v>F0-A220-M90</v>
      </c>
      <c r="DB270" s="23" t="str">
        <f t="shared" ref="DB270" si="489">CONCATENATE($T270,"-M",$U270,"-XM01")</f>
        <v>F0-M90-XM01</v>
      </c>
      <c r="DC270" s="23" t="str">
        <f t="shared" ref="DC270" si="490">CONCATENATE($T270,"-M",$U270,"-A1")</f>
        <v>F0-M90-A1</v>
      </c>
      <c r="DD270" s="23" t="str">
        <f t="shared" ref="DD270" si="491">CONCATENATE($T270,"-M",$U270,"-A5")</f>
        <v>F0-M90-A5</v>
      </c>
      <c r="DE270" s="23" t="str">
        <f t="shared" ref="DE270" si="492">CONCATENATE($T270,"-M",$U270,"-A11")</f>
        <v>F0-M90-A11</v>
      </c>
      <c r="DF270" s="23" t="str">
        <f t="shared" ref="DF270" si="493">CONCATENATE($T270,"-M",$U270,"-A12")</f>
        <v>F0-M90-A12</v>
      </c>
      <c r="DG270" s="23" t="str">
        <f t="shared" ref="DG270" si="494">CONCATENATE($T270,"-M",$U270,"-A19")</f>
        <v>F0-M90-A19</v>
      </c>
      <c r="DH270" s="23" t="str">
        <f t="shared" ref="DH270" si="495">CONCATENATE($T270,"-M",$U270,"-A20")</f>
        <v>F0-M90-A20</v>
      </c>
      <c r="DI270" s="23" t="s">
        <v>142</v>
      </c>
      <c r="DJ270" s="23" t="s">
        <v>143</v>
      </c>
      <c r="DK270" s="23">
        <v>11</v>
      </c>
      <c r="DL270" s="23">
        <v>14</v>
      </c>
      <c r="DM270" s="23">
        <v>12</v>
      </c>
      <c r="DN270" s="23" t="s">
        <v>144</v>
      </c>
      <c r="DO270" s="23" t="s">
        <v>1805</v>
      </c>
      <c r="DP270" s="23">
        <v>1</v>
      </c>
      <c r="DQ270" s="23">
        <v>2</v>
      </c>
      <c r="DR270" s="23">
        <v>3</v>
      </c>
      <c r="DS270" s="23">
        <v>4</v>
      </c>
      <c r="DT270" s="23">
        <v>5</v>
      </c>
      <c r="DU270" s="23">
        <v>6</v>
      </c>
      <c r="DV270" s="23">
        <v>7</v>
      </c>
      <c r="DW270" s="23">
        <v>8</v>
      </c>
      <c r="DX270" s="23">
        <v>9</v>
      </c>
      <c r="DY270" s="23">
        <v>10</v>
      </c>
      <c r="DZ270" s="23">
        <v>11</v>
      </c>
      <c r="EA270" s="23">
        <v>12</v>
      </c>
      <c r="EB270" s="23">
        <v>13</v>
      </c>
      <c r="EC270" s="23">
        <v>14</v>
      </c>
      <c r="ED270" s="23">
        <v>1</v>
      </c>
      <c r="EE270" s="23">
        <v>3</v>
      </c>
      <c r="EF270" s="23">
        <v>4</v>
      </c>
      <c r="EG270" s="23">
        <v>7</v>
      </c>
      <c r="EH270" s="23">
        <v>8</v>
      </c>
      <c r="EI270" s="23">
        <v>9</v>
      </c>
      <c r="EJ270" s="23">
        <v>10</v>
      </c>
      <c r="EK270" s="23">
        <v>13</v>
      </c>
      <c r="EL270" s="23">
        <v>14</v>
      </c>
      <c r="EM270" s="23">
        <v>15</v>
      </c>
      <c r="EN270" s="23">
        <v>16</v>
      </c>
      <c r="EO270" s="23">
        <v>22</v>
      </c>
      <c r="EP270" s="23">
        <v>23</v>
      </c>
      <c r="EQ270" s="24">
        <v>24</v>
      </c>
    </row>
    <row r="271" spans="1:305" ht="15.75" thickBot="1" x14ac:dyDescent="0.3">
      <c r="A271" t="s">
        <v>1846</v>
      </c>
      <c r="B271" t="s">
        <v>1806</v>
      </c>
      <c r="C271" t="s">
        <v>1871</v>
      </c>
      <c r="P271" t="s">
        <v>1785</v>
      </c>
      <c r="T271" s="10" t="s">
        <v>554</v>
      </c>
      <c r="U271" s="49">
        <v>91</v>
      </c>
      <c r="V271" s="11" t="s">
        <v>1807</v>
      </c>
      <c r="W271" s="11" t="s">
        <v>1808</v>
      </c>
      <c r="X271" t="str" cm="1">
        <f t="array" ref="X271">IF(COUNTIF(X$1:X270,INDEX(X$1:X270,MAX(IF(X$1:X270&lt;&gt;"",ROW(X$1:X270)))))&gt;7,REPLACE(INDEX(X$1:X270,MAX(IF(X$1:X270&lt;&gt;"",ROW(X$1:X270)))),LEN(INDEX(X$1:X270,MAX(IF(X$1:X270&lt;&gt;"",ROW(X$1:X270))))),1,VALUE(RIGHT(INDEX(X$1:X270,MAX(IF(X$1:X270&lt;&gt;"",ROW(X$1:X270)))),1))+1),INDEX(X$1:X270,MAX(IF(X$1:X270&lt;&gt;"",ROW(X$1:X270)))))</f>
        <v>A3.33</v>
      </c>
      <c r="Y271" s="43" cm="1">
        <f t="array" ref="Y271">IF(COUNTIFS(X$2:X271,X271)=1,"1",VALUE(SUBSTITUTE(INDEX(Y:Y,_xlfn.XMATCH(X271,X$1:X270,0,-1)),"A",""))+INDEX(Z:Z,_xlfn.XMATCH(X271,X$1:X270,0,-1))+1)</f>
        <v>3</v>
      </c>
      <c r="Z271" s="43" cm="1">
        <f t="array" ref="Z271">SUM(IF(ISNUMBER(FIND("TmAi",$BE$1:$AAD$1)),IF(IFERROR(ISODD(SUBSTITUTE($BE271:$AAD271,"A","")),FALSE),IF(ISODD(SUBSTITUTE($BE271:$AAD271,"A","")),1,0),0)))</f>
        <v>0</v>
      </c>
      <c r="AA271" t="str">
        <f t="shared" ref="AA271" si="496">CONCATENATE($Y271*2-1,"A")</f>
        <v>5A</v>
      </c>
      <c r="AB271" t="str">
        <f t="shared" ref="AB271" si="497">CONCATENATE($Y271*2-1,"B")</f>
        <v>5B</v>
      </c>
      <c r="AC271" t="s">
        <v>1801</v>
      </c>
      <c r="AD271" s="43" t="str" cm="1">
        <f t="array" ref="AD271">IF(COUNTIFS(AC$2:AC271,AC271)=1,"1",VALUE(SUBSTITUTE(INDEX(AD$1:AD270,_xlfn.XMATCH(AC271,AC$1:AC270,0,-1)),"A",""))+INDEX(AE$1:AE$270,_xlfn.XMATCH(AC271,AC$1:AC270,0,-1))+1)</f>
        <v>1</v>
      </c>
      <c r="AE271" s="43" cm="1">
        <f t="array" ref="AE271">SUM(IF(ISNUMBER(FIND("TmDi",$BE$1:$AAD$1)),IF(IFERROR(ISNUMBER(VALUE(SUBSTITUTE($BE271:$AAD271,"B",""))),FALSE),IF(ISNUMBER(VALUE(SUBSTITUTE($BE271:$AAD271,"B",""))),1,0),0)))</f>
        <v>4</v>
      </c>
      <c r="AF271" t="str">
        <f t="shared" si="416"/>
        <v>C1</v>
      </c>
      <c r="AG271" t="str">
        <f t="shared" si="417"/>
        <v>B1</v>
      </c>
      <c r="AH271" t="str">
        <f t="shared" si="418"/>
        <v>A6.8</v>
      </c>
      <c r="AI271" s="43" cm="1">
        <f t="array" ref="AI271">IF(COUNTIFS(AH$2:AH271,AH271)=1,"1",VALUE(SUBSTITUTE(INDEX(AI:AI,_xlfn.XMATCH(AH271,AH$1:AH270,0,-1)),"A",""))+INDEX(AJ:AJ,_xlfn.XMATCH(AH271,AH$1:AH270,0,-1))+1)</f>
        <v>11</v>
      </c>
      <c r="AJ271" s="43" cm="1">
        <f t="array" ref="AJ271">SUM(IF(ISNUMBER(FIND("TmDo",$BE$1:$AAD$1)),IF(IFERROR(ISNUMBER(VALUE(SUBSTITUTE($BE271:$AAD271,"B",""))),FALSE),IF(ISNUMBER(VALUE(SUBSTITUTE($BE271:$AAD271,"B",""))),1,0),0)))</f>
        <v>1</v>
      </c>
      <c r="AK271" s="11" t="str">
        <f t="shared" si="419"/>
        <v>11B</v>
      </c>
      <c r="AL271" s="11" t="str">
        <f t="shared" si="420"/>
        <v>11A</v>
      </c>
      <c r="AM271" s="12" t="s">
        <v>161</v>
      </c>
      <c r="AN271" s="12"/>
      <c r="AO271" s="12"/>
      <c r="AP271" s="12" t="s">
        <v>137</v>
      </c>
      <c r="AQ271" s="12" t="s">
        <v>1794</v>
      </c>
      <c r="AR271" s="12"/>
      <c r="AS271" s="12" t="s">
        <v>396</v>
      </c>
      <c r="AT271" s="12" t="s">
        <v>139</v>
      </c>
      <c r="AU271" s="12" t="s">
        <v>140</v>
      </c>
      <c r="AV271" s="12"/>
      <c r="AW271" s="12"/>
      <c r="AX271" s="12"/>
      <c r="AY271" s="12"/>
      <c r="AZ271" s="12"/>
      <c r="BA271" s="12"/>
      <c r="BB271" s="12"/>
      <c r="BC271" s="12"/>
      <c r="BD271" s="13"/>
      <c r="GT271" s="25" t="str">
        <f t="shared" ref="GT271" si="498">CONCATENATE("XT",U271)</f>
        <v>XT91</v>
      </c>
      <c r="GU271" s="12" t="str">
        <f t="shared" ref="GU271" si="499">CONCATENATE("C",REPLACE(AF271,1,1,"")+1)</f>
        <v>C2</v>
      </c>
      <c r="GV271" s="12" t="str">
        <f t="shared" ref="GV271" si="500">CONCATENATE("B",REPLACE(AG271,1,1,"")+1)</f>
        <v>B2</v>
      </c>
      <c r="GW271" s="12" t="str">
        <f t="shared" ref="GW271" si="501">CONCATENATE("C",REPLACE(GU271,1,1,"")+1)</f>
        <v>C3</v>
      </c>
      <c r="GX271" s="12" t="str">
        <f t="shared" ref="GX271" si="502">CONCATENATE("B",REPLACE(GV271,1,1,"")+1)</f>
        <v>B3</v>
      </c>
      <c r="GY271" s="12" t="str">
        <f t="shared" ref="GY271" si="503">CONCATENATE("C",REPLACE(GW271,1,1,"")+1)</f>
        <v>C4</v>
      </c>
      <c r="GZ271" s="12" t="str">
        <f t="shared" ref="GZ271" si="504">CONCATENATE("B",REPLACE(GX271,1,1,"")+1)</f>
        <v>B4</v>
      </c>
      <c r="HA271" s="12" t="str">
        <f t="shared" ref="HA271" si="505">CONCATENATE("C",REPLACE(GY271,1,1,"")+1)</f>
        <v>C5</v>
      </c>
      <c r="HB271" s="12" t="str">
        <f t="shared" ref="HB271" si="506">CONCATENATE("B",REPLACE(GZ271,1,1,"")+1)</f>
        <v>B5</v>
      </c>
      <c r="HC271" s="12"/>
      <c r="HD271" s="12"/>
      <c r="HE271" s="12" t="str">
        <f t="shared" ref="HE271" si="507">CONCATENATE(REPLACE(AK271,LEN(AK271),1,"")+1,"B")</f>
        <v>12B</v>
      </c>
      <c r="HF271" s="12" t="str">
        <f t="shared" ref="HF271" si="508">CONCATENATE(REPLACE(AL271,LEN(AL271),1,"")+1,"A")</f>
        <v>12A</v>
      </c>
      <c r="HG271" s="12" t="str">
        <f t="shared" ref="HG271:HH271" si="509">CONCATENATE("AI",REPLACE($X271,1,3,""),"-",AA271)</f>
        <v>AI33-5A</v>
      </c>
      <c r="HH271" s="12" t="str">
        <f t="shared" si="509"/>
        <v>AI33-5B</v>
      </c>
      <c r="HI271" s="12" t="str">
        <f t="shared" ref="HI271:HJ271" si="510">CONCATENATE("DI",REPLACE($AC271,1,3,""),"-",AF271)</f>
        <v>DI15-C1</v>
      </c>
      <c r="HJ271" s="12" t="str">
        <f t="shared" si="510"/>
        <v>DI15-B1</v>
      </c>
      <c r="HK271" s="12" t="str">
        <f t="shared" ref="HK271:HT271" si="511">CONCATENATE("DI",REPLACE($AC271,1,3,""),"-",GU271)</f>
        <v>DI15-C2</v>
      </c>
      <c r="HL271" s="12" t="str">
        <f t="shared" si="511"/>
        <v>DI15-B2</v>
      </c>
      <c r="HM271" s="12" t="str">
        <f t="shared" si="511"/>
        <v>DI15-C3</v>
      </c>
      <c r="HN271" s="12" t="str">
        <f t="shared" si="511"/>
        <v>DI15-B3</v>
      </c>
      <c r="HO271" s="12" t="str">
        <f t="shared" si="511"/>
        <v>DI15-C4</v>
      </c>
      <c r="HP271" s="12" t="str">
        <f t="shared" si="511"/>
        <v>DI15-B4</v>
      </c>
      <c r="HQ271" s="12" t="str">
        <f t="shared" si="511"/>
        <v>DI15-C5</v>
      </c>
      <c r="HR271" s="12" t="str">
        <f t="shared" si="511"/>
        <v>DI15-B5</v>
      </c>
      <c r="HS271" s="12" t="str">
        <f t="shared" si="511"/>
        <v>DI15-</v>
      </c>
      <c r="HT271" s="12" t="str">
        <f t="shared" si="511"/>
        <v>DI15-</v>
      </c>
      <c r="HU271" s="12" t="str">
        <f t="shared" ref="HU271:HV271" si="512">CONCATENATE("DO",REPLACE($AH271,1,3,""),"-",AK271)</f>
        <v>DO8-11B</v>
      </c>
      <c r="HV271" s="12" t="str">
        <f t="shared" si="512"/>
        <v>DO8-11A</v>
      </c>
      <c r="HW271" s="12" t="str">
        <f t="shared" ref="HW271:HX271" si="513">CONCATENATE("DO",REPLACE($AH271,1,3,""),"-",HE271)</f>
        <v>DO8-12B</v>
      </c>
      <c r="HX271" s="12" t="str">
        <f t="shared" si="513"/>
        <v>DO8-12A</v>
      </c>
      <c r="HY271" s="12" t="str">
        <f t="shared" ref="HY271" si="514">CONCATENATE("K",$U271,"-01")</f>
        <v>K91-01</v>
      </c>
      <c r="HZ271" s="12" t="str">
        <f t="shared" ref="HZ271" si="515">CONCATENATE("K",$U271,"-02")</f>
        <v>K91-02</v>
      </c>
      <c r="IA271" s="12" t="str">
        <f t="shared" ref="IA271" si="516">CONCATENATE("K",$U271,"-03")</f>
        <v>K91-03</v>
      </c>
      <c r="IB271" s="12" t="str">
        <f t="shared" ref="IB271" si="517">CONCATENATE("K",$U271,"-04")</f>
        <v>K91-04</v>
      </c>
      <c r="IC271" s="12" t="str">
        <f t="shared" ref="IC271" si="518">CONCATENATE("K",$U271,"-05")</f>
        <v>K91-05</v>
      </c>
      <c r="ID271" s="12" t="str">
        <f t="shared" ref="ID271" si="519">CONCATENATE("K",$U271,"-06")</f>
        <v>K91-06</v>
      </c>
      <c r="IE271" s="12" t="str">
        <f t="shared" ref="IE271" si="520">CONCATENATE("K",$U271,"-07")</f>
        <v>K91-07</v>
      </c>
      <c r="IF271" s="12" t="str">
        <f t="shared" ref="IF271" si="521">CONCATENATE("K",$U271,"-08")</f>
        <v>K91-08</v>
      </c>
      <c r="IG271" s="12" t="str">
        <f t="shared" ref="IG271" si="522">CONCATENATE($T271,"-M",$U271,"-AMS-12")</f>
        <v>F0-M91-AMS-12</v>
      </c>
      <c r="IH271" s="12" t="str">
        <f t="shared" ref="IH271" si="523">CONCATENATE($T271,"-M",$U271,"-AMS-10")</f>
        <v>F0-M91-AMS-10</v>
      </c>
      <c r="II271" s="12" t="str">
        <f t="shared" ref="II271" si="524">CONCATENATE($T271,"-M",$U271,"-AMS-11")</f>
        <v>F0-M91-AMS-11</v>
      </c>
      <c r="IJ271" s="12" t="str">
        <f t="shared" ref="IJ271" si="525">CONCATENATE($T271,"-M",$U271,"-AMS-13")</f>
        <v>F0-M91-AMS-13</v>
      </c>
      <c r="IK271" s="12" t="str">
        <f t="shared" ref="IK271" si="526">CONCATENATE($T271,"-M",$U271,"-AMS-9")</f>
        <v>F0-M91-AMS-9</v>
      </c>
      <c r="IL271" s="12" t="str">
        <f t="shared" ref="IL271" si="527">CONCATENATE($T271,"-M",$U271,"-AMS-7")</f>
        <v>F0-M91-AMS-7</v>
      </c>
      <c r="IM271" s="12" t="str">
        <f t="shared" ref="IM271" si="528">CONCATENATE($T271,"-M",$U271,"-AMS-18")</f>
        <v>F0-M91-AMS-18</v>
      </c>
      <c r="IN271" s="12" t="str">
        <f t="shared" ref="IN271" si="529">CONCATENATE($T271,"-M",$U271,"-AMS-20")</f>
        <v>F0-M91-AMS-20</v>
      </c>
      <c r="IO271" s="12" t="str">
        <f t="shared" ref="IO271" si="530">CONCATENATE($T271,"-M",$U271,"-AMS-17")</f>
        <v>F0-M91-AMS-17</v>
      </c>
      <c r="IP271" s="12" t="str">
        <f t="shared" ref="IP271" si="531">CONCATENATE($T271,"-+24-M",$U271,)</f>
        <v>F0-+24-M91</v>
      </c>
      <c r="IQ271" s="12" t="str">
        <f t="shared" ref="IQ271" si="532">CONCATENATE($T271,"-M",$U271,"-XM01")</f>
        <v>F0-M91-XM01</v>
      </c>
      <c r="IR271" s="12" t="s">
        <v>142</v>
      </c>
      <c r="IS271" s="12" t="s">
        <v>143</v>
      </c>
      <c r="IT271" s="12">
        <v>11</v>
      </c>
      <c r="IU271" s="12">
        <v>14</v>
      </c>
      <c r="IV271" s="12" t="s">
        <v>413</v>
      </c>
      <c r="IW271" s="12" t="s">
        <v>414</v>
      </c>
      <c r="IX271" s="12">
        <v>1</v>
      </c>
      <c r="IY271" s="12">
        <v>2</v>
      </c>
      <c r="IZ271" s="12">
        <v>3</v>
      </c>
      <c r="JA271" s="12">
        <v>4</v>
      </c>
      <c r="JB271" s="12">
        <v>5</v>
      </c>
      <c r="JC271" s="12">
        <v>6</v>
      </c>
      <c r="JD271" s="12">
        <v>7</v>
      </c>
      <c r="JE271" s="12">
        <v>8</v>
      </c>
      <c r="JF271" s="12">
        <v>9</v>
      </c>
      <c r="JG271" s="12">
        <v>10</v>
      </c>
      <c r="JH271" s="12">
        <v>11</v>
      </c>
      <c r="JI271" s="12">
        <v>12</v>
      </c>
      <c r="JJ271" s="12">
        <v>13</v>
      </c>
      <c r="JK271" s="12">
        <v>14</v>
      </c>
      <c r="JL271" s="12">
        <v>17</v>
      </c>
      <c r="JM271" s="12">
        <v>15</v>
      </c>
      <c r="JN271" s="12">
        <v>18</v>
      </c>
      <c r="JO271" s="12">
        <v>11</v>
      </c>
      <c r="JP271" s="12">
        <v>9</v>
      </c>
      <c r="JQ271" s="12">
        <v>6</v>
      </c>
      <c r="JR271" s="12">
        <v>20</v>
      </c>
      <c r="JS271" s="12">
        <v>7</v>
      </c>
      <c r="JT271" s="12">
        <v>10</v>
      </c>
      <c r="JU271" s="12">
        <v>22</v>
      </c>
      <c r="JV271" s="12">
        <v>23</v>
      </c>
      <c r="JW271" s="12">
        <v>26</v>
      </c>
      <c r="JX271" s="12">
        <v>27</v>
      </c>
      <c r="JY271" s="13">
        <v>30</v>
      </c>
    </row>
    <row r="272" spans="1:305" ht="15.75" thickBot="1" x14ac:dyDescent="0.3">
      <c r="A272" t="s">
        <v>1847</v>
      </c>
      <c r="B272" t="s">
        <v>1810</v>
      </c>
      <c r="C272" s="3" t="s">
        <v>1872</v>
      </c>
      <c r="O272" s="2"/>
      <c r="P272" t="s">
        <v>1784</v>
      </c>
      <c r="Q272" s="1"/>
      <c r="S272" s="1"/>
      <c r="T272" s="21" t="s">
        <v>554</v>
      </c>
      <c r="U272" s="50">
        <v>92</v>
      </c>
      <c r="V272" s="18" t="s">
        <v>1811</v>
      </c>
      <c r="W272" s="22"/>
      <c r="X272" s="23"/>
      <c r="Y272" s="23"/>
      <c r="Z272" s="23"/>
      <c r="AA272" s="23"/>
      <c r="AB272" s="23"/>
      <c r="AC272" t="str">
        <f t="shared" ref="AC272:AC274" si="533">IF(AD271+AE271&gt;31,REPLACE(AC271,LEN(AC271),1,VALUE(RIGHT(AC271,1))+1),AC271)</f>
        <v>A5.15</v>
      </c>
      <c r="AD272" s="43" cm="1">
        <f t="array" ref="AD272">IF(COUNTIFS(AC$2:AC272,AC272)=1,"1",VALUE(SUBSTITUTE(INDEX(AD:AD,_xlfn.XMATCH(AC272,AC$1:AC271,0,-1)),"A",""))+INDEX(AE:AE,_xlfn.XMATCH(AC272,AC$1:AC271,0,-1))+1)</f>
        <v>6</v>
      </c>
      <c r="AE272" s="43" cm="1">
        <f t="array" ref="AE272">SUM(IF(ISNUMBER(FIND("TmDi",$BE$1:$AAD$1)),IF(IFERROR(ISNUMBER(VALUE(SUBSTITUTE($BE272:$AAD272,"B",""))),FALSE),IF(ISNUMBER(VALUE(SUBSTITUTE($BE272:$AAD272,"B",""))),1,0),0)))</f>
        <v>4</v>
      </c>
      <c r="AF272" t="str">
        <f t="shared" si="416"/>
        <v>C6</v>
      </c>
      <c r="AG272" t="str">
        <f t="shared" si="417"/>
        <v>B6</v>
      </c>
      <c r="AH272" t="str">
        <f t="shared" si="418"/>
        <v>A6.8</v>
      </c>
      <c r="AI272" s="43" cm="1">
        <f t="array" ref="AI272">IF(COUNTIFS(AH$2:AH272,AH272)=1,"1",VALUE(SUBSTITUTE(INDEX(AI:AI,_xlfn.XMATCH(AH272,AH$1:AH271,0,-1)),"A",""))+INDEX(AJ:AJ,_xlfn.XMATCH(AH272,AH$1:AH271,0,-1))+1)</f>
        <v>13</v>
      </c>
      <c r="AJ272" s="43" cm="1">
        <f t="array" ref="AJ272">SUM(IF(ISNUMBER(FIND("TmDo",$BE$1:$AAD$1)),IF(IFERROR(ISNUMBER(VALUE(SUBSTITUTE($BE272:$AAD272,"B",""))),FALSE),IF(ISNUMBER(VALUE(SUBSTITUTE($BE272:$AAD272,"B",""))),1,0),0)))</f>
        <v>2</v>
      </c>
      <c r="AK272" s="11" t="str">
        <f t="shared" si="419"/>
        <v>13B</v>
      </c>
      <c r="AL272" s="11" t="str">
        <f t="shared" si="420"/>
        <v>13A</v>
      </c>
      <c r="AM272" s="23" t="s">
        <v>150</v>
      </c>
      <c r="AN272" s="23"/>
      <c r="AO272" s="23"/>
      <c r="AP272" s="23" t="s">
        <v>137</v>
      </c>
      <c r="AQ272" s="23" t="s">
        <v>1794</v>
      </c>
      <c r="AR272" s="23"/>
      <c r="AS272" s="23"/>
      <c r="AT272" s="23" t="s">
        <v>139</v>
      </c>
      <c r="AU272" s="23" t="s">
        <v>140</v>
      </c>
      <c r="AV272" s="23"/>
      <c r="AW272" s="23"/>
      <c r="AX272" s="23"/>
      <c r="AY272" s="12"/>
      <c r="AZ272" s="12"/>
      <c r="BA272" s="12"/>
      <c r="BB272" s="12"/>
      <c r="BC272" s="12"/>
      <c r="BD272" s="13"/>
      <c r="BE272" s="23" t="str">
        <f t="shared" ref="BE272" si="534">CONCATENATE("XT",U272)</f>
        <v>XT92</v>
      </c>
      <c r="BF272" s="23" t="str">
        <f t="shared" ref="BF272" si="535">CONCATENATE("C",REPLACE(AF272,1,1,"")+1)</f>
        <v>C7</v>
      </c>
      <c r="BG272" s="23" t="str">
        <f t="shared" ref="BG272" si="536">CONCATENATE("B",REPLACE(AG272,1,1,"")+1)</f>
        <v>B7</v>
      </c>
      <c r="BH272" s="23" t="str">
        <f t="shared" ref="BH272" si="537">CONCATENATE("C",REPLACE(BF272,1,1,"")+1)</f>
        <v>C8</v>
      </c>
      <c r="BI272" s="23" t="str">
        <f t="shared" ref="BI272" si="538">CONCATENATE("B",REPLACE(BG272,1,1,"")+1)</f>
        <v>B8</v>
      </c>
      <c r="BJ272" s="23" t="str">
        <f t="shared" ref="BJ272" si="539">CONCATENATE("C",REPLACE(BH272,1,1,"")+1)</f>
        <v>C9</v>
      </c>
      <c r="BK272" s="23" t="str">
        <f t="shared" ref="BK272" si="540">CONCATENATE("B",REPLACE(BI272,1,1,"")+1)</f>
        <v>B9</v>
      </c>
      <c r="BL272" s="23" t="str">
        <f t="shared" ref="BL272" si="541">CONCATENATE("C",REPLACE(BJ272,1,1,"")+1)</f>
        <v>C10</v>
      </c>
      <c r="BM272" s="23" t="str">
        <f t="shared" ref="BM272" si="542">CONCATENATE("B",REPLACE(BK272,1,1,"")+1)</f>
        <v>B10</v>
      </c>
      <c r="BN272" s="23"/>
      <c r="BO272" s="23"/>
      <c r="BP272" s="23" t="str">
        <f t="shared" ref="BP272" si="543">CONCATENATE(REPLACE(AK272,LEN(AK272),1,"")+1,"B")</f>
        <v>14B</v>
      </c>
      <c r="BQ272" s="23" t="str">
        <f t="shared" ref="BQ272" si="544">CONCATENATE(REPLACE(AL272,LEN(AL272),1,"")+1,"A")</f>
        <v>14A</v>
      </c>
      <c r="BR272" s="23" t="str">
        <f t="shared" ref="BR272" si="545">CONCATENATE(REPLACE(BP272,LEN(BP272),1,"")+1,"B")</f>
        <v>15B</v>
      </c>
      <c r="BS272" s="23" t="str">
        <f t="shared" ref="BS272" si="546">CONCATENATE(REPLACE(BQ272,LEN(BQ272),1,"")+1,"A")</f>
        <v>15A</v>
      </c>
      <c r="BT272" s="23" t="str">
        <f t="shared" ref="BT272:BU272" si="547">CONCATENATE("DI",REPLACE($AC272,1,3,""),"-",AF272)</f>
        <v>DI15-C6</v>
      </c>
      <c r="BU272" s="23" t="str">
        <f t="shared" si="547"/>
        <v>DI15-B6</v>
      </c>
      <c r="BV272" s="23" t="str">
        <f t="shared" ref="BV272:CE272" si="548">CONCATENATE("DI",REPLACE($AC272,1,3,""),"-",BF272)</f>
        <v>DI15-C7</v>
      </c>
      <c r="BW272" s="23" t="str">
        <f t="shared" si="548"/>
        <v>DI15-B7</v>
      </c>
      <c r="BX272" s="23" t="str">
        <f t="shared" si="548"/>
        <v>DI15-C8</v>
      </c>
      <c r="BY272" s="23" t="str">
        <f t="shared" si="548"/>
        <v>DI15-B8</v>
      </c>
      <c r="BZ272" s="23" t="str">
        <f t="shared" si="548"/>
        <v>DI15-C9</v>
      </c>
      <c r="CA272" s="23" t="str">
        <f t="shared" si="548"/>
        <v>DI15-B9</v>
      </c>
      <c r="CB272" s="23" t="str">
        <f t="shared" si="548"/>
        <v>DI15-C10</v>
      </c>
      <c r="CC272" s="23" t="str">
        <f t="shared" si="548"/>
        <v>DI15-B10</v>
      </c>
      <c r="CD272" s="23" t="str">
        <f t="shared" si="548"/>
        <v>DI15-</v>
      </c>
      <c r="CE272" s="23" t="str">
        <f t="shared" si="548"/>
        <v>DI15-</v>
      </c>
      <c r="CF272" s="23" t="str">
        <f t="shared" ref="CF272:CG272" si="549">CONCATENATE("DO",REPLACE($AH272,1,3,""),"-",AK272)</f>
        <v>DO8-13B</v>
      </c>
      <c r="CG272" s="23" t="str">
        <f t="shared" si="549"/>
        <v>DO8-13A</v>
      </c>
      <c r="CH272" s="23" t="str">
        <f t="shared" ref="CH272:CK272" si="550">CONCATENATE("DO",REPLACE($AH272,1,3,""),"-",BP272)</f>
        <v>DO8-14B</v>
      </c>
      <c r="CI272" s="23" t="str">
        <f t="shared" si="550"/>
        <v>DO8-14A</v>
      </c>
      <c r="CJ272" s="23" t="str">
        <f t="shared" si="550"/>
        <v>DO8-15B</v>
      </c>
      <c r="CK272" s="23" t="str">
        <f t="shared" si="550"/>
        <v>DO8-15A</v>
      </c>
      <c r="CL272" s="23" t="str">
        <f t="shared" ref="CL272" si="551">CONCATENATE("K",$U272,"-10")</f>
        <v>K92-10</v>
      </c>
      <c r="CM272" s="23" t="str">
        <f t="shared" ref="CM272" si="552">CONCATENATE("K",$U272,"-03")</f>
        <v>K92-03</v>
      </c>
      <c r="CN272" s="23" t="str">
        <f t="shared" ref="CN272" si="553">CONCATENATE("K",$U272,"-04")</f>
        <v>K92-04</v>
      </c>
      <c r="CO272" s="23" t="str">
        <f t="shared" ref="CO272" si="554">CONCATENATE("K",$U272,"-01")</f>
        <v>K92-01</v>
      </c>
      <c r="CP272" s="23" t="str">
        <f t="shared" ref="CP272" si="555">CONCATENATE("K",$U272,"-08")</f>
        <v>K92-08</v>
      </c>
      <c r="CQ272" s="23" t="str">
        <f t="shared" ref="CQ272" si="556">CONCATENATE("K",$U272,"-02")</f>
        <v>K92-02</v>
      </c>
      <c r="CR272" s="23" t="str">
        <f t="shared" ref="CR272" si="557">CONCATENATE("K",$U272,"-09")</f>
        <v>K92-09</v>
      </c>
      <c r="CS272" s="23" t="str">
        <f t="shared" ref="CS272" si="558">CONCATENATE("K",$U272,"-05")</f>
        <v>K92-05</v>
      </c>
      <c r="CT272" s="23" t="str">
        <f t="shared" ref="CT272" si="559">CONCATENATE("K",$U272,"-11")</f>
        <v>K92-11</v>
      </c>
      <c r="CU272" s="23" t="str">
        <f t="shared" ref="CU272" si="560">CONCATENATE($T272,"-M",$U272,"-A9")</f>
        <v>F0-M92-A9</v>
      </c>
      <c r="CV272" s="23" t="str">
        <f t="shared" ref="CV272" si="561">CONCATENATE($T272,"-M",$U272,"-A7")</f>
        <v>F0-M92-A7</v>
      </c>
      <c r="CW272" s="23" t="str">
        <f t="shared" ref="CW272" si="562">CONCATENATE($T272,"-M",$U272,"-A8")</f>
        <v>F0-M92-A8</v>
      </c>
      <c r="CX272" s="23" t="str">
        <f t="shared" ref="CX272" si="563">CONCATENATE($T272,"-M",$U272,"-A6")</f>
        <v>F0-M92-A6</v>
      </c>
      <c r="CY272" s="23" t="str">
        <f t="shared" ref="CY272" si="564">CONCATENATE($T272,"-M",$U272,"-A30")</f>
        <v>F0-M92-A30</v>
      </c>
      <c r="CZ272" s="23" t="str">
        <f t="shared" ref="CZ272" si="565">CONCATENATE($T272,"-M",$U272,"-N")</f>
        <v>F0-M92-N</v>
      </c>
      <c r="DA272" s="23" t="str">
        <f t="shared" ref="DA272" si="566">CONCATENATE($T272,"-A220-M",U272)</f>
        <v>F0-A220-M92</v>
      </c>
      <c r="DB272" s="23" t="str">
        <f t="shared" ref="DB272" si="567">CONCATENATE($T272,"-M",$U272,"-XM01")</f>
        <v>F0-M92-XM01</v>
      </c>
      <c r="DC272" s="23" t="str">
        <f t="shared" ref="DC272" si="568">CONCATENATE($T272,"-M",$U272,"-A1")</f>
        <v>F0-M92-A1</v>
      </c>
      <c r="DD272" s="23" t="str">
        <f t="shared" ref="DD272" si="569">CONCATENATE($T272,"-M",$U272,"-A5")</f>
        <v>F0-M92-A5</v>
      </c>
      <c r="DE272" s="23" t="str">
        <f t="shared" ref="DE272" si="570">CONCATENATE($T272,"-M",$U272,"-A11")</f>
        <v>F0-M92-A11</v>
      </c>
      <c r="DF272" s="23" t="str">
        <f t="shared" ref="DF272" si="571">CONCATENATE($T272,"-M",$U272,"-A12")</f>
        <v>F0-M92-A12</v>
      </c>
      <c r="DG272" s="23" t="str">
        <f t="shared" ref="DG272" si="572">CONCATENATE($T272,"-M",$U272,"-A19")</f>
        <v>F0-M92-A19</v>
      </c>
      <c r="DH272" s="23" t="str">
        <f t="shared" ref="DH272" si="573">CONCATENATE($T272,"-M",$U272,"-A20")</f>
        <v>F0-M92-A20</v>
      </c>
      <c r="DI272" s="23" t="s">
        <v>142</v>
      </c>
      <c r="DJ272" s="23" t="s">
        <v>143</v>
      </c>
      <c r="DK272" s="23">
        <v>11</v>
      </c>
      <c r="DL272" s="23">
        <v>14</v>
      </c>
      <c r="DM272" s="23">
        <v>12</v>
      </c>
      <c r="DN272" s="23" t="s">
        <v>144</v>
      </c>
      <c r="DO272" s="23" t="s">
        <v>1812</v>
      </c>
      <c r="DP272" s="23">
        <v>1</v>
      </c>
      <c r="DQ272" s="23">
        <v>2</v>
      </c>
      <c r="DR272" s="23">
        <v>3</v>
      </c>
      <c r="DS272" s="23">
        <v>4</v>
      </c>
      <c r="DT272" s="23">
        <v>5</v>
      </c>
      <c r="DU272" s="23">
        <v>6</v>
      </c>
      <c r="DV272" s="23">
        <v>7</v>
      </c>
      <c r="DW272" s="23">
        <v>8</v>
      </c>
      <c r="DX272" s="23">
        <v>9</v>
      </c>
      <c r="DY272" s="23">
        <v>10</v>
      </c>
      <c r="DZ272" s="23">
        <v>11</v>
      </c>
      <c r="EA272" s="23">
        <v>12</v>
      </c>
      <c r="EB272" s="23">
        <v>13</v>
      </c>
      <c r="EC272" s="23">
        <v>14</v>
      </c>
      <c r="ED272" s="23">
        <v>1</v>
      </c>
      <c r="EE272" s="23">
        <v>3</v>
      </c>
      <c r="EF272" s="23">
        <v>4</v>
      </c>
      <c r="EG272" s="23">
        <v>7</v>
      </c>
      <c r="EH272" s="23">
        <v>8</v>
      </c>
      <c r="EI272" s="23">
        <v>9</v>
      </c>
      <c r="EJ272" s="23">
        <v>10</v>
      </c>
      <c r="EK272" s="23">
        <v>13</v>
      </c>
      <c r="EL272" s="23">
        <v>14</v>
      </c>
      <c r="EM272" s="23">
        <v>15</v>
      </c>
      <c r="EN272" s="23">
        <v>16</v>
      </c>
      <c r="EO272" s="23">
        <v>22</v>
      </c>
      <c r="EP272" s="23">
        <v>23</v>
      </c>
      <c r="EQ272" s="24">
        <v>24</v>
      </c>
    </row>
    <row r="273" spans="1:355" ht="15.75" thickBot="1" x14ac:dyDescent="0.3">
      <c r="A273" t="s">
        <v>1848</v>
      </c>
      <c r="B273" t="s">
        <v>1813</v>
      </c>
      <c r="C273" t="s">
        <v>1871</v>
      </c>
      <c r="P273" t="s">
        <v>1785</v>
      </c>
      <c r="T273" s="10" t="s">
        <v>554</v>
      </c>
      <c r="U273" s="49">
        <v>93</v>
      </c>
      <c r="V273" s="11" t="s">
        <v>1814</v>
      </c>
      <c r="W273" s="11" t="s">
        <v>1815</v>
      </c>
      <c r="X273" t="str" cm="1">
        <f t="array" ref="X273">IF(COUNTIF(X$1:X272,INDEX(X$1:X272,MAX(IF(X$1:X272&lt;&gt;"",ROW(X$1:X272)))))&gt;7,REPLACE(INDEX(X$1:X272,MAX(IF(X$1:X272&lt;&gt;"",ROW(X$1:X272)))),LEN(INDEX(X$1:X272,MAX(IF(X$1:X272&lt;&gt;"",ROW(X$1:X272))))),1,VALUE(RIGHT(INDEX(X$1:X272,MAX(IF(X$1:X272&lt;&gt;"",ROW(X$1:X272)))),1))+1),INDEX(X$1:X272,MAX(IF(X$1:X272&lt;&gt;"",ROW(X$1:X272)))))</f>
        <v>A3.33</v>
      </c>
      <c r="Y273" s="43" cm="1">
        <f t="array" ref="Y273">IF(COUNTIFS(X$2:X273,X273)=1,"1",VALUE(SUBSTITUTE(INDEX(Y:Y,_xlfn.XMATCH(X273,X$1:X272,0,-1)),"A",""))+INDEX(Z:Z,_xlfn.XMATCH(X273,X$1:X272,0,-1))+1)</f>
        <v>4</v>
      </c>
      <c r="Z273" s="43" cm="1">
        <f t="array" ref="Z273">SUM(IF(ISNUMBER(FIND("TmAi",$BE$1:$AAD$1)),IF(IFERROR(ISODD(SUBSTITUTE($BE273:$AAD273,"A","")),FALSE),IF(ISODD(SUBSTITUTE($BE273:$AAD273,"A","")),1,0),0)))</f>
        <v>0</v>
      </c>
      <c r="AA273" t="str">
        <f t="shared" ref="AA273" si="574">CONCATENATE($Y273*2-1,"A")</f>
        <v>7A</v>
      </c>
      <c r="AB273" t="str">
        <f t="shared" ref="AB273" si="575">CONCATENATE($Y273*2-1,"B")</f>
        <v>7B</v>
      </c>
      <c r="AC273" t="str">
        <f t="shared" si="533"/>
        <v>A5.15</v>
      </c>
      <c r="AD273" s="43" cm="1">
        <f t="array" ref="AD273">IF(COUNTIFS(AC$2:AC273,AC273)=1,"1",VALUE(SUBSTITUTE(INDEX(AD:AD,_xlfn.XMATCH(AC273,AC$1:AC272,0,-1)),"A",""))+INDEX(AE:AE,_xlfn.XMATCH(AC273,AC$1:AC272,0,-1))+1)</f>
        <v>11</v>
      </c>
      <c r="AE273" s="43" cm="1">
        <f t="array" ref="AE273">SUM(IF(ISNUMBER(FIND("TmDi",$BE$1:$AAD$1)),IF(IFERROR(ISNUMBER(VALUE(SUBSTITUTE($BE273:$AAD273,"B",""))),FALSE),IF(ISNUMBER(VALUE(SUBSTITUTE($BE273:$AAD273,"B",""))),1,0),0)))</f>
        <v>4</v>
      </c>
      <c r="AF273" t="str">
        <f t="shared" si="416"/>
        <v>C11</v>
      </c>
      <c r="AG273" t="str">
        <f t="shared" si="417"/>
        <v>B11</v>
      </c>
      <c r="AH273" t="str">
        <f t="shared" si="418"/>
        <v>A6.8</v>
      </c>
      <c r="AI273" s="43" cm="1">
        <f t="array" ref="AI273">IF(COUNTIFS(AH$2:AH273,AH273)=1,"1",VALUE(SUBSTITUTE(INDEX(AI:AI,_xlfn.XMATCH(AH273,AH$1:AH272,0,-1)),"A",""))+INDEX(AJ:AJ,_xlfn.XMATCH(AH273,AH$1:AH272,0,-1))+1)</f>
        <v>16</v>
      </c>
      <c r="AJ273" s="43" cm="1">
        <f t="array" ref="AJ273">SUM(IF(ISNUMBER(FIND("TmDo",$BE$1:$AAD$1)),IF(IFERROR(ISNUMBER(VALUE(SUBSTITUTE($BE273:$AAD273,"B",""))),FALSE),IF(ISNUMBER(VALUE(SUBSTITUTE($BE273:$AAD273,"B",""))),1,0),0)))</f>
        <v>1</v>
      </c>
      <c r="AK273" s="11" t="str">
        <f t="shared" si="419"/>
        <v>16B</v>
      </c>
      <c r="AL273" s="11" t="str">
        <f t="shared" si="420"/>
        <v>16A</v>
      </c>
      <c r="AM273" s="12" t="s">
        <v>161</v>
      </c>
      <c r="AN273" s="12"/>
      <c r="AO273" s="12"/>
      <c r="AP273" s="12" t="s">
        <v>137</v>
      </c>
      <c r="AQ273" s="12" t="s">
        <v>1794</v>
      </c>
      <c r="AR273" s="12"/>
      <c r="AS273" s="12" t="s">
        <v>396</v>
      </c>
      <c r="AT273" s="12" t="s">
        <v>139</v>
      </c>
      <c r="AU273" s="12" t="s">
        <v>140</v>
      </c>
      <c r="AV273" s="12"/>
      <c r="AW273" s="12"/>
      <c r="AX273" s="12"/>
      <c r="AY273" s="12"/>
      <c r="AZ273" s="12"/>
      <c r="BA273" s="12"/>
      <c r="BB273" s="12"/>
      <c r="BC273" s="12"/>
      <c r="BD273" s="13"/>
      <c r="GT273" s="25" t="str">
        <f t="shared" ref="GT273" si="576">CONCATENATE("XT",U273)</f>
        <v>XT93</v>
      </c>
      <c r="GU273" s="12" t="str">
        <f t="shared" ref="GU273" si="577">CONCATENATE("C",REPLACE(AF273,1,1,"")+1)</f>
        <v>C12</v>
      </c>
      <c r="GV273" s="12" t="str">
        <f t="shared" ref="GV273" si="578">CONCATENATE("B",REPLACE(AG273,1,1,"")+1)</f>
        <v>B12</v>
      </c>
      <c r="GW273" s="12" t="str">
        <f t="shared" ref="GW273" si="579">CONCATENATE("C",REPLACE(GU273,1,1,"")+1)</f>
        <v>C13</v>
      </c>
      <c r="GX273" s="12" t="str">
        <f t="shared" ref="GX273" si="580">CONCATENATE("B",REPLACE(GV273,1,1,"")+1)</f>
        <v>B13</v>
      </c>
      <c r="GY273" s="12" t="str">
        <f t="shared" ref="GY273" si="581">CONCATENATE("C",REPLACE(GW273,1,1,"")+1)</f>
        <v>C14</v>
      </c>
      <c r="GZ273" s="12" t="str">
        <f t="shared" ref="GZ273" si="582">CONCATENATE("B",REPLACE(GX273,1,1,"")+1)</f>
        <v>B14</v>
      </c>
      <c r="HA273" s="12" t="str">
        <f t="shared" ref="HA273" si="583">CONCATENATE("C",REPLACE(GY273,1,1,"")+1)</f>
        <v>C15</v>
      </c>
      <c r="HB273" s="12" t="str">
        <f t="shared" ref="HB273" si="584">CONCATENATE("B",REPLACE(GZ273,1,1,"")+1)</f>
        <v>B15</v>
      </c>
      <c r="HC273" s="12"/>
      <c r="HD273" s="12"/>
      <c r="HE273" s="12" t="str">
        <f t="shared" ref="HE273" si="585">CONCATENATE(REPLACE(AK273,LEN(AK273),1,"")+1,"B")</f>
        <v>17B</v>
      </c>
      <c r="HF273" s="12" t="str">
        <f t="shared" ref="HF273" si="586">CONCATENATE(REPLACE(AL273,LEN(AL273),1,"")+1,"A")</f>
        <v>17A</v>
      </c>
      <c r="HG273" s="12" t="str">
        <f t="shared" ref="HG273:HH273" si="587">CONCATENATE("AI",REPLACE($X273,1,3,""),"-",AA273)</f>
        <v>AI33-7A</v>
      </c>
      <c r="HH273" s="12" t="str">
        <f t="shared" si="587"/>
        <v>AI33-7B</v>
      </c>
      <c r="HI273" s="12" t="str">
        <f t="shared" ref="HI273:HJ273" si="588">CONCATENATE("DI",REPLACE($AC273,1,3,""),"-",AF273)</f>
        <v>DI15-C11</v>
      </c>
      <c r="HJ273" s="12" t="str">
        <f t="shared" si="588"/>
        <v>DI15-B11</v>
      </c>
      <c r="HK273" s="12" t="str">
        <f t="shared" ref="HK273:HT273" si="589">CONCATENATE("DI",REPLACE($AC273,1,3,""),"-",GU273)</f>
        <v>DI15-C12</v>
      </c>
      <c r="HL273" s="12" t="str">
        <f t="shared" si="589"/>
        <v>DI15-B12</v>
      </c>
      <c r="HM273" s="12" t="str">
        <f t="shared" si="589"/>
        <v>DI15-C13</v>
      </c>
      <c r="HN273" s="12" t="str">
        <f t="shared" si="589"/>
        <v>DI15-B13</v>
      </c>
      <c r="HO273" s="12" t="str">
        <f t="shared" si="589"/>
        <v>DI15-C14</v>
      </c>
      <c r="HP273" s="12" t="str">
        <f t="shared" si="589"/>
        <v>DI15-B14</v>
      </c>
      <c r="HQ273" s="12" t="str">
        <f t="shared" si="589"/>
        <v>DI15-C15</v>
      </c>
      <c r="HR273" s="12" t="str">
        <f t="shared" si="589"/>
        <v>DI15-B15</v>
      </c>
      <c r="HS273" s="12" t="str">
        <f t="shared" si="589"/>
        <v>DI15-</v>
      </c>
      <c r="HT273" s="12" t="str">
        <f t="shared" si="589"/>
        <v>DI15-</v>
      </c>
      <c r="HU273" s="12" t="str">
        <f t="shared" ref="HU273:HV273" si="590">CONCATENATE("DO",REPLACE($AH273,1,3,""),"-",AK273)</f>
        <v>DO8-16B</v>
      </c>
      <c r="HV273" s="12" t="str">
        <f t="shared" si="590"/>
        <v>DO8-16A</v>
      </c>
      <c r="HW273" s="12" t="str">
        <f t="shared" ref="HW273:HX273" si="591">CONCATENATE("DO",REPLACE($AH273,1,3,""),"-",HE273)</f>
        <v>DO8-17B</v>
      </c>
      <c r="HX273" s="12" t="str">
        <f t="shared" si="591"/>
        <v>DO8-17A</v>
      </c>
      <c r="HY273" s="12" t="str">
        <f t="shared" ref="HY273" si="592">CONCATENATE("K",$U273,"-01")</f>
        <v>K93-01</v>
      </c>
      <c r="HZ273" s="12" t="str">
        <f t="shared" ref="HZ273" si="593">CONCATENATE("K",$U273,"-02")</f>
        <v>K93-02</v>
      </c>
      <c r="IA273" s="12" t="str">
        <f t="shared" ref="IA273" si="594">CONCATENATE("K",$U273,"-03")</f>
        <v>K93-03</v>
      </c>
      <c r="IB273" s="12" t="str">
        <f t="shared" ref="IB273" si="595">CONCATENATE("K",$U273,"-04")</f>
        <v>K93-04</v>
      </c>
      <c r="IC273" s="12" t="str">
        <f t="shared" ref="IC273" si="596">CONCATENATE("K",$U273,"-05")</f>
        <v>K93-05</v>
      </c>
      <c r="ID273" s="12" t="str">
        <f t="shared" ref="ID273" si="597">CONCATENATE("K",$U273,"-06")</f>
        <v>K93-06</v>
      </c>
      <c r="IE273" s="12" t="str">
        <f t="shared" ref="IE273" si="598">CONCATENATE("K",$U273,"-07")</f>
        <v>K93-07</v>
      </c>
      <c r="IF273" s="12" t="str">
        <f t="shared" ref="IF273" si="599">CONCATENATE("K",$U273,"-08")</f>
        <v>K93-08</v>
      </c>
      <c r="IG273" s="12" t="str">
        <f t="shared" ref="IG273" si="600">CONCATENATE($T273,"-M",$U273,"-AMS-12")</f>
        <v>F0-M93-AMS-12</v>
      </c>
      <c r="IH273" s="12" t="str">
        <f t="shared" ref="IH273" si="601">CONCATENATE($T273,"-M",$U273,"-AMS-10")</f>
        <v>F0-M93-AMS-10</v>
      </c>
      <c r="II273" s="12" t="str">
        <f t="shared" ref="II273" si="602">CONCATENATE($T273,"-M",$U273,"-AMS-11")</f>
        <v>F0-M93-AMS-11</v>
      </c>
      <c r="IJ273" s="12" t="str">
        <f t="shared" ref="IJ273" si="603">CONCATENATE($T273,"-M",$U273,"-AMS-13")</f>
        <v>F0-M93-AMS-13</v>
      </c>
      <c r="IK273" s="12" t="str">
        <f t="shared" ref="IK273" si="604">CONCATENATE($T273,"-M",$U273,"-AMS-9")</f>
        <v>F0-M93-AMS-9</v>
      </c>
      <c r="IL273" s="12" t="str">
        <f t="shared" ref="IL273" si="605">CONCATENATE($T273,"-M",$U273,"-AMS-7")</f>
        <v>F0-M93-AMS-7</v>
      </c>
      <c r="IM273" s="12" t="str">
        <f t="shared" ref="IM273" si="606">CONCATENATE($T273,"-M",$U273,"-AMS-18")</f>
        <v>F0-M93-AMS-18</v>
      </c>
      <c r="IN273" s="12" t="str">
        <f t="shared" ref="IN273" si="607">CONCATENATE($T273,"-M",$U273,"-AMS-20")</f>
        <v>F0-M93-AMS-20</v>
      </c>
      <c r="IO273" s="12" t="str">
        <f t="shared" ref="IO273" si="608">CONCATENATE($T273,"-M",$U273,"-AMS-17")</f>
        <v>F0-M93-AMS-17</v>
      </c>
      <c r="IP273" s="12" t="str">
        <f t="shared" ref="IP273" si="609">CONCATENATE($T273,"-+24-M",$U273,)</f>
        <v>F0-+24-M93</v>
      </c>
      <c r="IQ273" s="12" t="str">
        <f t="shared" ref="IQ273" si="610">CONCATENATE($T273,"-M",$U273,"-XM01")</f>
        <v>F0-M93-XM01</v>
      </c>
      <c r="IR273" s="12" t="s">
        <v>142</v>
      </c>
      <c r="IS273" s="12" t="s">
        <v>143</v>
      </c>
      <c r="IT273" s="12">
        <v>11</v>
      </c>
      <c r="IU273" s="12">
        <v>14</v>
      </c>
      <c r="IV273" s="12" t="s">
        <v>413</v>
      </c>
      <c r="IW273" s="12" t="s">
        <v>414</v>
      </c>
      <c r="IX273" s="12">
        <v>1</v>
      </c>
      <c r="IY273" s="12">
        <v>2</v>
      </c>
      <c r="IZ273" s="12">
        <v>3</v>
      </c>
      <c r="JA273" s="12">
        <v>4</v>
      </c>
      <c r="JB273" s="12">
        <v>5</v>
      </c>
      <c r="JC273" s="12">
        <v>6</v>
      </c>
      <c r="JD273" s="12">
        <v>7</v>
      </c>
      <c r="JE273" s="12">
        <v>8</v>
      </c>
      <c r="JF273" s="12">
        <v>9</v>
      </c>
      <c r="JG273" s="12">
        <v>10</v>
      </c>
      <c r="JH273" s="12">
        <v>11</v>
      </c>
      <c r="JI273" s="12">
        <v>12</v>
      </c>
      <c r="JJ273" s="12">
        <v>13</v>
      </c>
      <c r="JK273" s="12">
        <v>14</v>
      </c>
      <c r="JL273" s="12">
        <v>17</v>
      </c>
      <c r="JM273" s="12">
        <v>15</v>
      </c>
      <c r="JN273" s="12">
        <v>18</v>
      </c>
      <c r="JO273" s="12">
        <v>11</v>
      </c>
      <c r="JP273" s="12">
        <v>9</v>
      </c>
      <c r="JQ273" s="12">
        <v>6</v>
      </c>
      <c r="JR273" s="12">
        <v>20</v>
      </c>
      <c r="JS273" s="12">
        <v>7</v>
      </c>
      <c r="JT273" s="12">
        <v>10</v>
      </c>
      <c r="JU273" s="12">
        <v>22</v>
      </c>
      <c r="JV273" s="12">
        <v>23</v>
      </c>
      <c r="JW273" s="12">
        <v>26</v>
      </c>
      <c r="JX273" s="12">
        <v>27</v>
      </c>
      <c r="JY273" s="13">
        <v>30</v>
      </c>
    </row>
    <row r="274" spans="1:355" ht="15.75" thickBot="1" x14ac:dyDescent="0.3">
      <c r="A274" t="s">
        <v>1849</v>
      </c>
      <c r="B274" t="s">
        <v>1817</v>
      </c>
      <c r="C274" s="3" t="s">
        <v>1872</v>
      </c>
      <c r="O274" s="2"/>
      <c r="P274" t="s">
        <v>1784</v>
      </c>
      <c r="Q274" s="1"/>
      <c r="S274" s="1"/>
      <c r="T274" s="21" t="s">
        <v>554</v>
      </c>
      <c r="U274" s="50">
        <v>94</v>
      </c>
      <c r="V274" s="18" t="s">
        <v>1818</v>
      </c>
      <c r="W274" s="22"/>
      <c r="X274" s="23"/>
      <c r="Y274" s="23"/>
      <c r="Z274" s="23"/>
      <c r="AA274" s="23"/>
      <c r="AB274" s="23"/>
      <c r="AC274" t="str">
        <f t="shared" si="533"/>
        <v>A5.15</v>
      </c>
      <c r="AD274" s="43" cm="1">
        <f t="array" ref="AD274">IF(COUNTIFS(AC$2:AC274,AC274)=1,"1",VALUE(SUBSTITUTE(INDEX(AD:AD,_xlfn.XMATCH(AC274,AC$1:AC273,0,-1)),"A",""))+INDEX(AE:AE,_xlfn.XMATCH(AC274,AC$1:AC273,0,-1))+1)</f>
        <v>16</v>
      </c>
      <c r="AE274" s="43" cm="1">
        <f t="array" ref="AE274">SUM(IF(ISNUMBER(FIND("TmDi",$BE$1:$AAD$1)),IF(IFERROR(ISNUMBER(VALUE(SUBSTITUTE($BE274:$AAD274,"B",""))),FALSE),IF(ISNUMBER(VALUE(SUBSTITUTE($BE274:$AAD274,"B",""))),1,0),0)))</f>
        <v>4</v>
      </c>
      <c r="AF274" t="str">
        <f t="shared" si="416"/>
        <v>C16</v>
      </c>
      <c r="AG274" t="str">
        <f t="shared" si="417"/>
        <v>B16</v>
      </c>
      <c r="AH274" t="str">
        <f t="shared" si="418"/>
        <v>A6.8</v>
      </c>
      <c r="AI274" s="43" cm="1">
        <f t="array" ref="AI274">IF(COUNTIFS(AH$2:AH274,AH274)=1,"1",VALUE(SUBSTITUTE(INDEX(AI:AI,_xlfn.XMATCH(AH274,AH$1:AH273,0,-1)),"A",""))+INDEX(AJ:AJ,_xlfn.XMATCH(AH274,AH$1:AH273,0,-1))+1)</f>
        <v>18</v>
      </c>
      <c r="AJ274" s="43" cm="1">
        <f t="array" ref="AJ274">SUM(IF(ISNUMBER(FIND("TmDo",$BE$1:$AAD$1)),IF(IFERROR(ISNUMBER(VALUE(SUBSTITUTE($BE274:$AAD274,"B",""))),FALSE),IF(ISNUMBER(VALUE(SUBSTITUTE($BE274:$AAD274,"B",""))),1,0),0)))</f>
        <v>2</v>
      </c>
      <c r="AK274" s="11" t="str">
        <f t="shared" si="419"/>
        <v>18B</v>
      </c>
      <c r="AL274" s="11" t="str">
        <f t="shared" si="420"/>
        <v>18A</v>
      </c>
      <c r="AM274" s="23" t="s">
        <v>150</v>
      </c>
      <c r="AN274" s="23"/>
      <c r="AO274" s="23"/>
      <c r="AP274" s="23" t="s">
        <v>137</v>
      </c>
      <c r="AQ274" s="23" t="s">
        <v>1794</v>
      </c>
      <c r="AR274" s="23"/>
      <c r="AS274" s="23"/>
      <c r="AT274" s="23" t="s">
        <v>139</v>
      </c>
      <c r="AU274" s="23" t="s">
        <v>140</v>
      </c>
      <c r="AV274" s="23"/>
      <c r="AW274" s="23"/>
      <c r="AX274" s="23"/>
      <c r="AY274" s="12"/>
      <c r="AZ274" s="12"/>
      <c r="BA274" s="12"/>
      <c r="BB274" s="12"/>
      <c r="BC274" s="12"/>
      <c r="BD274" s="13"/>
      <c r="BE274" s="23" t="str">
        <f t="shared" ref="BE274" si="611">CONCATENATE("XT",U274)</f>
        <v>XT94</v>
      </c>
      <c r="BF274" s="23" t="str">
        <f t="shared" ref="BF274" si="612">CONCATENATE("C",REPLACE(AF274,1,1,"")+1)</f>
        <v>C17</v>
      </c>
      <c r="BG274" s="23" t="str">
        <f t="shared" ref="BG274" si="613">CONCATENATE("B",REPLACE(AG274,1,1,"")+1)</f>
        <v>B17</v>
      </c>
      <c r="BH274" s="23" t="str">
        <f t="shared" ref="BH274" si="614">CONCATENATE("C",REPLACE(BF274,1,1,"")+1)</f>
        <v>C18</v>
      </c>
      <c r="BI274" s="23" t="str">
        <f t="shared" ref="BI274" si="615">CONCATENATE("B",REPLACE(BG274,1,1,"")+1)</f>
        <v>B18</v>
      </c>
      <c r="BJ274" s="23" t="str">
        <f t="shared" ref="BJ274" si="616">CONCATENATE("C",REPLACE(BH274,1,1,"")+1)</f>
        <v>C19</v>
      </c>
      <c r="BK274" s="23" t="str">
        <f t="shared" ref="BK274" si="617">CONCATENATE("B",REPLACE(BI274,1,1,"")+1)</f>
        <v>B19</v>
      </c>
      <c r="BL274" s="23" t="str">
        <f t="shared" ref="BL274" si="618">CONCATENATE("C",REPLACE(BJ274,1,1,"")+1)</f>
        <v>C20</v>
      </c>
      <c r="BM274" s="23" t="str">
        <f t="shared" ref="BM274" si="619">CONCATENATE("B",REPLACE(BK274,1,1,"")+1)</f>
        <v>B20</v>
      </c>
      <c r="BN274" s="23"/>
      <c r="BO274" s="23"/>
      <c r="BP274" s="23" t="str">
        <f t="shared" ref="BP274" si="620">CONCATENATE(REPLACE(AK274,LEN(AK274),1,"")+1,"B")</f>
        <v>19B</v>
      </c>
      <c r="BQ274" s="23" t="str">
        <f t="shared" ref="BQ274" si="621">CONCATENATE(REPLACE(AL274,LEN(AL274),1,"")+1,"A")</f>
        <v>19A</v>
      </c>
      <c r="BR274" s="23" t="str">
        <f t="shared" ref="BR274" si="622">CONCATENATE(REPLACE(BP274,LEN(BP274),1,"")+1,"B")</f>
        <v>20B</v>
      </c>
      <c r="BS274" s="23" t="str">
        <f t="shared" ref="BS274" si="623">CONCATENATE(REPLACE(BQ274,LEN(BQ274),1,"")+1,"A")</f>
        <v>20A</v>
      </c>
      <c r="BT274" s="23" t="str">
        <f t="shared" ref="BT274:BU274" si="624">CONCATENATE("DI",REPLACE($AC274,1,3,""),"-",AF274)</f>
        <v>DI15-C16</v>
      </c>
      <c r="BU274" s="23" t="str">
        <f t="shared" si="624"/>
        <v>DI15-B16</v>
      </c>
      <c r="BV274" s="23" t="str">
        <f t="shared" ref="BV274:CE274" si="625">CONCATENATE("DI",REPLACE($AC274,1,3,""),"-",BF274)</f>
        <v>DI15-C17</v>
      </c>
      <c r="BW274" s="23" t="str">
        <f t="shared" si="625"/>
        <v>DI15-B17</v>
      </c>
      <c r="BX274" s="23" t="str">
        <f t="shared" si="625"/>
        <v>DI15-C18</v>
      </c>
      <c r="BY274" s="23" t="str">
        <f t="shared" si="625"/>
        <v>DI15-B18</v>
      </c>
      <c r="BZ274" s="23" t="str">
        <f t="shared" si="625"/>
        <v>DI15-C19</v>
      </c>
      <c r="CA274" s="23" t="str">
        <f t="shared" si="625"/>
        <v>DI15-B19</v>
      </c>
      <c r="CB274" s="23" t="str">
        <f t="shared" si="625"/>
        <v>DI15-C20</v>
      </c>
      <c r="CC274" s="23" t="str">
        <f t="shared" si="625"/>
        <v>DI15-B20</v>
      </c>
      <c r="CD274" s="23" t="str">
        <f t="shared" si="625"/>
        <v>DI15-</v>
      </c>
      <c r="CE274" s="23" t="str">
        <f t="shared" si="625"/>
        <v>DI15-</v>
      </c>
      <c r="CF274" s="23" t="str">
        <f t="shared" ref="CF274:CG274" si="626">CONCATENATE("DO",REPLACE($AH274,1,3,""),"-",AK274)</f>
        <v>DO8-18B</v>
      </c>
      <c r="CG274" s="23" t="str">
        <f t="shared" si="626"/>
        <v>DO8-18A</v>
      </c>
      <c r="CH274" s="23" t="str">
        <f t="shared" ref="CH274:CK274" si="627">CONCATENATE("DO",REPLACE($AH274,1,3,""),"-",BP274)</f>
        <v>DO8-19B</v>
      </c>
      <c r="CI274" s="23" t="str">
        <f t="shared" si="627"/>
        <v>DO8-19A</v>
      </c>
      <c r="CJ274" s="23" t="str">
        <f t="shared" si="627"/>
        <v>DO8-20B</v>
      </c>
      <c r="CK274" s="23" t="str">
        <f t="shared" si="627"/>
        <v>DO8-20A</v>
      </c>
      <c r="CL274" s="23" t="str">
        <f t="shared" ref="CL274" si="628">CONCATENATE("K",$U274,"-10")</f>
        <v>K94-10</v>
      </c>
      <c r="CM274" s="23" t="str">
        <f t="shared" ref="CM274" si="629">CONCATENATE("K",$U274,"-03")</f>
        <v>K94-03</v>
      </c>
      <c r="CN274" s="23" t="str">
        <f t="shared" ref="CN274" si="630">CONCATENATE("K",$U274,"-04")</f>
        <v>K94-04</v>
      </c>
      <c r="CO274" s="23" t="str">
        <f t="shared" ref="CO274" si="631">CONCATENATE("K",$U274,"-01")</f>
        <v>K94-01</v>
      </c>
      <c r="CP274" s="23" t="str">
        <f t="shared" ref="CP274" si="632">CONCATENATE("K",$U274,"-08")</f>
        <v>K94-08</v>
      </c>
      <c r="CQ274" s="23" t="str">
        <f t="shared" ref="CQ274" si="633">CONCATENATE("K",$U274,"-02")</f>
        <v>K94-02</v>
      </c>
      <c r="CR274" s="23" t="str">
        <f t="shared" ref="CR274" si="634">CONCATENATE("K",$U274,"-09")</f>
        <v>K94-09</v>
      </c>
      <c r="CS274" s="23" t="str">
        <f t="shared" ref="CS274" si="635">CONCATENATE("K",$U274,"-05")</f>
        <v>K94-05</v>
      </c>
      <c r="CT274" s="23" t="str">
        <f t="shared" ref="CT274" si="636">CONCATENATE("K",$U274,"-11")</f>
        <v>K94-11</v>
      </c>
      <c r="CU274" s="23" t="str">
        <f t="shared" ref="CU274" si="637">CONCATENATE($T274,"-M",$U274,"-A9")</f>
        <v>F0-M94-A9</v>
      </c>
      <c r="CV274" s="23" t="str">
        <f t="shared" ref="CV274" si="638">CONCATENATE($T274,"-M",$U274,"-A7")</f>
        <v>F0-M94-A7</v>
      </c>
      <c r="CW274" s="23" t="str">
        <f t="shared" ref="CW274" si="639">CONCATENATE($T274,"-M",$U274,"-A8")</f>
        <v>F0-M94-A8</v>
      </c>
      <c r="CX274" s="23" t="str">
        <f t="shared" ref="CX274" si="640">CONCATENATE($T274,"-M",$U274,"-A6")</f>
        <v>F0-M94-A6</v>
      </c>
      <c r="CY274" s="23" t="str">
        <f t="shared" ref="CY274" si="641">CONCATENATE($T274,"-M",$U274,"-A30")</f>
        <v>F0-M94-A30</v>
      </c>
      <c r="CZ274" s="23" t="str">
        <f t="shared" ref="CZ274" si="642">CONCATENATE($T274,"-M",$U274,"-N")</f>
        <v>F0-M94-N</v>
      </c>
      <c r="DA274" s="23" t="str">
        <f t="shared" ref="DA274" si="643">CONCATENATE($T274,"-A220-M",U274)</f>
        <v>F0-A220-M94</v>
      </c>
      <c r="DB274" s="23" t="str">
        <f t="shared" ref="DB274" si="644">CONCATENATE($T274,"-M",$U274,"-XM01")</f>
        <v>F0-M94-XM01</v>
      </c>
      <c r="DC274" s="23" t="str">
        <f t="shared" ref="DC274" si="645">CONCATENATE($T274,"-M",$U274,"-A1")</f>
        <v>F0-M94-A1</v>
      </c>
      <c r="DD274" s="23" t="str">
        <f t="shared" ref="DD274" si="646">CONCATENATE($T274,"-M",$U274,"-A5")</f>
        <v>F0-M94-A5</v>
      </c>
      <c r="DE274" s="23" t="str">
        <f t="shared" ref="DE274" si="647">CONCATENATE($T274,"-M",$U274,"-A11")</f>
        <v>F0-M94-A11</v>
      </c>
      <c r="DF274" s="23" t="str">
        <f t="shared" ref="DF274" si="648">CONCATENATE($T274,"-M",$U274,"-A12")</f>
        <v>F0-M94-A12</v>
      </c>
      <c r="DG274" s="23" t="str">
        <f t="shared" ref="DG274" si="649">CONCATENATE($T274,"-M",$U274,"-A19")</f>
        <v>F0-M94-A19</v>
      </c>
      <c r="DH274" s="23" t="str">
        <f t="shared" ref="DH274" si="650">CONCATENATE($T274,"-M",$U274,"-A20")</f>
        <v>F0-M94-A20</v>
      </c>
      <c r="DI274" s="23" t="s">
        <v>142</v>
      </c>
      <c r="DJ274" s="23" t="s">
        <v>143</v>
      </c>
      <c r="DK274" s="23">
        <v>11</v>
      </c>
      <c r="DL274" s="23">
        <v>14</v>
      </c>
      <c r="DM274" s="23">
        <v>12</v>
      </c>
      <c r="DN274" s="23" t="s">
        <v>144</v>
      </c>
      <c r="DO274" s="23" t="s">
        <v>1819</v>
      </c>
      <c r="DP274" s="23">
        <v>1</v>
      </c>
      <c r="DQ274" s="23">
        <v>2</v>
      </c>
      <c r="DR274" s="23">
        <v>3</v>
      </c>
      <c r="DS274" s="23">
        <v>4</v>
      </c>
      <c r="DT274" s="23">
        <v>5</v>
      </c>
      <c r="DU274" s="23">
        <v>6</v>
      </c>
      <c r="DV274" s="23">
        <v>7</v>
      </c>
      <c r="DW274" s="23">
        <v>8</v>
      </c>
      <c r="DX274" s="23">
        <v>9</v>
      </c>
      <c r="DY274" s="23">
        <v>10</v>
      </c>
      <c r="DZ274" s="23">
        <v>11</v>
      </c>
      <c r="EA274" s="23">
        <v>12</v>
      </c>
      <c r="EB274" s="23">
        <v>13</v>
      </c>
      <c r="EC274" s="23">
        <v>14</v>
      </c>
      <c r="ED274" s="23">
        <v>1</v>
      </c>
      <c r="EE274" s="23">
        <v>3</v>
      </c>
      <c r="EF274" s="23">
        <v>4</v>
      </c>
      <c r="EG274" s="23">
        <v>7</v>
      </c>
      <c r="EH274" s="23">
        <v>8</v>
      </c>
      <c r="EI274" s="23">
        <v>9</v>
      </c>
      <c r="EJ274" s="23">
        <v>10</v>
      </c>
      <c r="EK274" s="23">
        <v>13</v>
      </c>
      <c r="EL274" s="23">
        <v>14</v>
      </c>
      <c r="EM274" s="23">
        <v>15</v>
      </c>
      <c r="EN274" s="23">
        <v>16</v>
      </c>
      <c r="EO274" s="23">
        <v>22</v>
      </c>
      <c r="EP274" s="23">
        <v>23</v>
      </c>
      <c r="EQ274" s="24">
        <v>24</v>
      </c>
    </row>
    <row r="275" spans="1:355" ht="15.75" thickBot="1" x14ac:dyDescent="0.3">
      <c r="A275" t="s">
        <v>1850</v>
      </c>
      <c r="B275" t="s">
        <v>1820</v>
      </c>
      <c r="C275" t="s">
        <v>1871</v>
      </c>
      <c r="P275" t="s">
        <v>1785</v>
      </c>
      <c r="T275" s="10" t="s">
        <v>554</v>
      </c>
      <c r="U275" s="49">
        <v>95</v>
      </c>
      <c r="V275" s="11" t="s">
        <v>1821</v>
      </c>
      <c r="W275" s="11" t="s">
        <v>1822</v>
      </c>
      <c r="X275" t="str" cm="1">
        <f t="array" ref="X275">IF(COUNTIF(X$1:X274,INDEX(X$1:X274,MAX(IF(X$1:X274&lt;&gt;"",ROW(X$1:X274)))))&gt;7,REPLACE(INDEX(X$1:X274,MAX(IF(X$1:X274&lt;&gt;"",ROW(X$1:X274)))),LEN(INDEX(X$1:X274,MAX(IF(X$1:X274&lt;&gt;"",ROW(X$1:X274))))),1,VALUE(RIGHT(INDEX(X$1:X274,MAX(IF(X$1:X274&lt;&gt;"",ROW(X$1:X274)))),1))+1),INDEX(X$1:X274,MAX(IF(X$1:X274&lt;&gt;"",ROW(X$1:X274)))))</f>
        <v>A3.33</v>
      </c>
      <c r="Y275" s="43" cm="1">
        <f t="array" ref="Y275">IF(COUNTIFS(X$2:X275,X275)=1,"1",VALUE(SUBSTITUTE(INDEX(Y:Y,_xlfn.XMATCH(X275,X$1:X274,0,-1)),"A",""))+INDEX(Z:Z,_xlfn.XMATCH(X275,X$1:X274,0,-1))+1)</f>
        <v>5</v>
      </c>
      <c r="Z275" s="43" cm="1">
        <f t="array" ref="Z275">SUM(IF(ISNUMBER(FIND("TmAi",$BE$1:$AAD$1)),IF(IFERROR(ISODD(SUBSTITUTE($BE275:$AAD275,"A","")),FALSE),IF(ISODD(SUBSTITUTE($BE275:$AAD275,"A","")),1,0),0)))</f>
        <v>0</v>
      </c>
      <c r="AA275" t="str">
        <f t="shared" ref="AA275" si="651">CONCATENATE($Y275*2-1,"A")</f>
        <v>9A</v>
      </c>
      <c r="AB275" t="str">
        <f t="shared" ref="AB275" si="652">CONCATENATE($Y275*2-1,"B")</f>
        <v>9B</v>
      </c>
      <c r="AC275" t="s">
        <v>1809</v>
      </c>
      <c r="AD275" s="43" t="str" cm="1">
        <f t="array" ref="AD275">IF(COUNTIFS(AC$2:AC275,AC275)=1,"1",VALUE(SUBSTITUTE(INDEX(AD:AD,_xlfn.XMATCH(AC275,AC$1:AC274,0,-1)),"A",""))+INDEX(AE:AE,_xlfn.XMATCH(AC275,AC$1:AC274,0,-1))+1)</f>
        <v>1</v>
      </c>
      <c r="AE275" s="43" cm="1">
        <f t="array" ref="AE275">SUM(IF(ISNUMBER(FIND("TmDi",$BE$1:$AAD$1)),IF(IFERROR(ISNUMBER(VALUE(SUBSTITUTE($BE275:$AAD275,"B",""))),FALSE),IF(ISNUMBER(VALUE(SUBSTITUTE($BE275:$AAD275,"B",""))),1,0),0)))</f>
        <v>4</v>
      </c>
      <c r="AF275" t="str">
        <f t="shared" si="416"/>
        <v>C1</v>
      </c>
      <c r="AG275" t="str">
        <f t="shared" si="417"/>
        <v>B1</v>
      </c>
      <c r="AH275" t="s">
        <v>1802</v>
      </c>
      <c r="AI275" s="43" t="str" cm="1">
        <f t="array" ref="AI275">IF(COUNTIFS(AH$2:AH275,AH275)=1,"1",VALUE(SUBSTITUTE(INDEX(AI:AI,_xlfn.XMATCH(AH275,AH$1:AH274,0,-1)),"A",""))+INDEX(AJ:AJ,_xlfn.XMATCH(AH275,AH$1:AH274,0,-1))+1)</f>
        <v>1</v>
      </c>
      <c r="AJ275" s="43" cm="1">
        <f t="array" ref="AJ275">SUM(IF(ISNUMBER(FIND("TmDo",$BE$1:$AAD$1)),IF(IFERROR(ISNUMBER(VALUE(SUBSTITUTE($BE275:$AAD275,"B",""))),FALSE),IF(ISNUMBER(VALUE(SUBSTITUTE($BE275:$AAD275,"B",""))),1,0),0)))</f>
        <v>1</v>
      </c>
      <c r="AK275" s="11" t="str">
        <f t="shared" si="419"/>
        <v>1B</v>
      </c>
      <c r="AL275" s="11" t="str">
        <f t="shared" si="420"/>
        <v>1A</v>
      </c>
      <c r="AM275" s="12" t="s">
        <v>161</v>
      </c>
      <c r="AN275" s="12"/>
      <c r="AO275" s="12"/>
      <c r="AP275" s="12" t="s">
        <v>137</v>
      </c>
      <c r="AQ275" s="12" t="s">
        <v>1794</v>
      </c>
      <c r="AR275" s="12"/>
      <c r="AS275" s="12" t="s">
        <v>396</v>
      </c>
      <c r="AT275" s="12" t="s">
        <v>139</v>
      </c>
      <c r="AU275" s="12" t="s">
        <v>140</v>
      </c>
      <c r="AV275" s="12"/>
      <c r="AW275" s="12"/>
      <c r="AX275" s="12"/>
      <c r="AY275" s="12"/>
      <c r="AZ275" s="12"/>
      <c r="BA275" s="12"/>
      <c r="BB275" s="12"/>
      <c r="BC275" s="12"/>
      <c r="BD275" s="13"/>
      <c r="GT275" s="25" t="str">
        <f t="shared" ref="GT275" si="653">CONCATENATE("XT",U275)</f>
        <v>XT95</v>
      </c>
      <c r="GU275" s="12" t="str">
        <f t="shared" ref="GU275" si="654">CONCATENATE("C",REPLACE(AF275,1,1,"")+1)</f>
        <v>C2</v>
      </c>
      <c r="GV275" s="12" t="str">
        <f t="shared" ref="GV275" si="655">CONCATENATE("B",REPLACE(AG275,1,1,"")+1)</f>
        <v>B2</v>
      </c>
      <c r="GW275" s="12" t="str">
        <f t="shared" ref="GW275" si="656">CONCATENATE("C",REPLACE(GU275,1,1,"")+1)</f>
        <v>C3</v>
      </c>
      <c r="GX275" s="12" t="str">
        <f t="shared" ref="GX275" si="657">CONCATENATE("B",REPLACE(GV275,1,1,"")+1)</f>
        <v>B3</v>
      </c>
      <c r="GY275" s="12" t="str">
        <f t="shared" ref="GY275" si="658">CONCATENATE("C",REPLACE(GW275,1,1,"")+1)</f>
        <v>C4</v>
      </c>
      <c r="GZ275" s="12" t="str">
        <f t="shared" ref="GZ275" si="659">CONCATENATE("B",REPLACE(GX275,1,1,"")+1)</f>
        <v>B4</v>
      </c>
      <c r="HA275" s="12" t="str">
        <f t="shared" ref="HA275" si="660">CONCATENATE("C",REPLACE(GY275,1,1,"")+1)</f>
        <v>C5</v>
      </c>
      <c r="HB275" s="12" t="str">
        <f t="shared" ref="HB275" si="661">CONCATENATE("B",REPLACE(GZ275,1,1,"")+1)</f>
        <v>B5</v>
      </c>
      <c r="HC275" s="12"/>
      <c r="HD275" s="12"/>
      <c r="HE275" s="12" t="str">
        <f t="shared" ref="HE275" si="662">CONCATENATE(REPLACE(AK275,LEN(AK275),1,"")+1,"B")</f>
        <v>2B</v>
      </c>
      <c r="HF275" s="12" t="str">
        <f t="shared" ref="HF275" si="663">CONCATENATE(REPLACE(AL275,LEN(AL275),1,"")+1,"A")</f>
        <v>2A</v>
      </c>
      <c r="HG275" s="12" t="str">
        <f t="shared" ref="HG275:HH275" si="664">CONCATENATE("AI",REPLACE($X275,1,3,""),"-",AA275)</f>
        <v>AI33-9A</v>
      </c>
      <c r="HH275" s="12" t="str">
        <f t="shared" si="664"/>
        <v>AI33-9B</v>
      </c>
      <c r="HI275" s="12" t="str">
        <f t="shared" ref="HI275:HJ275" si="665">CONCATENATE("DI",REPLACE($AC275,1,3,""),"-",AF275)</f>
        <v>DI16-C1</v>
      </c>
      <c r="HJ275" s="12" t="str">
        <f t="shared" si="665"/>
        <v>DI16-B1</v>
      </c>
      <c r="HK275" s="12" t="str">
        <f t="shared" ref="HK275:HT275" si="666">CONCATENATE("DI",REPLACE($AC275,1,3,""),"-",GU275)</f>
        <v>DI16-C2</v>
      </c>
      <c r="HL275" s="12" t="str">
        <f t="shared" si="666"/>
        <v>DI16-B2</v>
      </c>
      <c r="HM275" s="12" t="str">
        <f t="shared" si="666"/>
        <v>DI16-C3</v>
      </c>
      <c r="HN275" s="12" t="str">
        <f t="shared" si="666"/>
        <v>DI16-B3</v>
      </c>
      <c r="HO275" s="12" t="str">
        <f t="shared" si="666"/>
        <v>DI16-C4</v>
      </c>
      <c r="HP275" s="12" t="str">
        <f t="shared" si="666"/>
        <v>DI16-B4</v>
      </c>
      <c r="HQ275" s="12" t="str">
        <f t="shared" si="666"/>
        <v>DI16-C5</v>
      </c>
      <c r="HR275" s="12" t="str">
        <f t="shared" si="666"/>
        <v>DI16-B5</v>
      </c>
      <c r="HS275" s="12" t="str">
        <f t="shared" si="666"/>
        <v>DI16-</v>
      </c>
      <c r="HT275" s="12" t="str">
        <f t="shared" si="666"/>
        <v>DI16-</v>
      </c>
      <c r="HU275" s="12" t="str">
        <f t="shared" ref="HU275:HV275" si="667">CONCATENATE("DO",REPLACE($AH275,1,3,""),"-",AK275)</f>
        <v>DO9-1B</v>
      </c>
      <c r="HV275" s="12" t="str">
        <f t="shared" si="667"/>
        <v>DO9-1A</v>
      </c>
      <c r="HW275" s="12" t="str">
        <f t="shared" ref="HW275:HX275" si="668">CONCATENATE("DO",REPLACE($AH275,1,3,""),"-",HE275)</f>
        <v>DO9-2B</v>
      </c>
      <c r="HX275" s="12" t="str">
        <f t="shared" si="668"/>
        <v>DO9-2A</v>
      </c>
      <c r="HY275" s="12" t="str">
        <f t="shared" ref="HY275" si="669">CONCATENATE("K",$U275,"-01")</f>
        <v>K95-01</v>
      </c>
      <c r="HZ275" s="12" t="str">
        <f t="shared" ref="HZ275" si="670">CONCATENATE("K",$U275,"-02")</f>
        <v>K95-02</v>
      </c>
      <c r="IA275" s="12" t="str">
        <f t="shared" ref="IA275" si="671">CONCATENATE("K",$U275,"-03")</f>
        <v>K95-03</v>
      </c>
      <c r="IB275" s="12" t="str">
        <f t="shared" ref="IB275" si="672">CONCATENATE("K",$U275,"-04")</f>
        <v>K95-04</v>
      </c>
      <c r="IC275" s="12" t="str">
        <f t="shared" ref="IC275" si="673">CONCATENATE("K",$U275,"-05")</f>
        <v>K95-05</v>
      </c>
      <c r="ID275" s="12" t="str">
        <f t="shared" ref="ID275" si="674">CONCATENATE("K",$U275,"-06")</f>
        <v>K95-06</v>
      </c>
      <c r="IE275" s="12" t="str">
        <f t="shared" ref="IE275" si="675">CONCATENATE("K",$U275,"-07")</f>
        <v>K95-07</v>
      </c>
      <c r="IF275" s="12" t="str">
        <f t="shared" ref="IF275" si="676">CONCATENATE("K",$U275,"-08")</f>
        <v>K95-08</v>
      </c>
      <c r="IG275" s="12" t="str">
        <f t="shared" ref="IG275" si="677">CONCATENATE($T275,"-M",$U275,"-AMS-12")</f>
        <v>F0-M95-AMS-12</v>
      </c>
      <c r="IH275" s="12" t="str">
        <f t="shared" ref="IH275" si="678">CONCATENATE($T275,"-M",$U275,"-AMS-10")</f>
        <v>F0-M95-AMS-10</v>
      </c>
      <c r="II275" s="12" t="str">
        <f t="shared" ref="II275" si="679">CONCATENATE($T275,"-M",$U275,"-AMS-11")</f>
        <v>F0-M95-AMS-11</v>
      </c>
      <c r="IJ275" s="12" t="str">
        <f t="shared" ref="IJ275" si="680">CONCATENATE($T275,"-M",$U275,"-AMS-13")</f>
        <v>F0-M95-AMS-13</v>
      </c>
      <c r="IK275" s="12" t="str">
        <f t="shared" ref="IK275" si="681">CONCATENATE($T275,"-M",$U275,"-AMS-9")</f>
        <v>F0-M95-AMS-9</v>
      </c>
      <c r="IL275" s="12" t="str">
        <f t="shared" ref="IL275" si="682">CONCATENATE($T275,"-M",$U275,"-AMS-7")</f>
        <v>F0-M95-AMS-7</v>
      </c>
      <c r="IM275" s="12" t="str">
        <f t="shared" ref="IM275" si="683">CONCATENATE($T275,"-M",$U275,"-AMS-18")</f>
        <v>F0-M95-AMS-18</v>
      </c>
      <c r="IN275" s="12" t="str">
        <f t="shared" ref="IN275" si="684">CONCATENATE($T275,"-M",$U275,"-AMS-20")</f>
        <v>F0-M95-AMS-20</v>
      </c>
      <c r="IO275" s="12" t="str">
        <f t="shared" ref="IO275" si="685">CONCATENATE($T275,"-M",$U275,"-AMS-17")</f>
        <v>F0-M95-AMS-17</v>
      </c>
      <c r="IP275" s="12" t="str">
        <f t="shared" ref="IP275" si="686">CONCATENATE($T275,"-+24-M",$U275,)</f>
        <v>F0-+24-M95</v>
      </c>
      <c r="IQ275" s="12" t="str">
        <f t="shared" ref="IQ275" si="687">CONCATENATE($T275,"-M",$U275,"-XM01")</f>
        <v>F0-M95-XM01</v>
      </c>
      <c r="IR275" s="12" t="s">
        <v>142</v>
      </c>
      <c r="IS275" s="12" t="s">
        <v>143</v>
      </c>
      <c r="IT275" s="12">
        <v>11</v>
      </c>
      <c r="IU275" s="12">
        <v>14</v>
      </c>
      <c r="IV275" s="12" t="s">
        <v>413</v>
      </c>
      <c r="IW275" s="12" t="s">
        <v>414</v>
      </c>
      <c r="IX275" s="12">
        <v>1</v>
      </c>
      <c r="IY275" s="12">
        <v>2</v>
      </c>
      <c r="IZ275" s="12">
        <v>3</v>
      </c>
      <c r="JA275" s="12">
        <v>4</v>
      </c>
      <c r="JB275" s="12">
        <v>5</v>
      </c>
      <c r="JC275" s="12">
        <v>6</v>
      </c>
      <c r="JD275" s="12">
        <v>7</v>
      </c>
      <c r="JE275" s="12">
        <v>8</v>
      </c>
      <c r="JF275" s="12">
        <v>9</v>
      </c>
      <c r="JG275" s="12">
        <v>10</v>
      </c>
      <c r="JH275" s="12">
        <v>11</v>
      </c>
      <c r="JI275" s="12">
        <v>12</v>
      </c>
      <c r="JJ275" s="12">
        <v>13</v>
      </c>
      <c r="JK275" s="12">
        <v>14</v>
      </c>
      <c r="JL275" s="12">
        <v>17</v>
      </c>
      <c r="JM275" s="12">
        <v>15</v>
      </c>
      <c r="JN275" s="12">
        <v>18</v>
      </c>
      <c r="JO275" s="12">
        <v>11</v>
      </c>
      <c r="JP275" s="12">
        <v>9</v>
      </c>
      <c r="JQ275" s="12">
        <v>6</v>
      </c>
      <c r="JR275" s="12">
        <v>20</v>
      </c>
      <c r="JS275" s="12">
        <v>7</v>
      </c>
      <c r="JT275" s="12">
        <v>10</v>
      </c>
      <c r="JU275" s="12">
        <v>22</v>
      </c>
      <c r="JV275" s="12">
        <v>23</v>
      </c>
      <c r="JW275" s="12">
        <v>26</v>
      </c>
      <c r="JX275" s="12">
        <v>27</v>
      </c>
      <c r="JY275" s="13">
        <v>30</v>
      </c>
    </row>
    <row r="276" spans="1:355" ht="15.75" thickBot="1" x14ac:dyDescent="0.3">
      <c r="A276" t="s">
        <v>1851</v>
      </c>
      <c r="B276" t="s">
        <v>1823</v>
      </c>
      <c r="C276" s="3" t="s">
        <v>1872</v>
      </c>
      <c r="O276" s="2"/>
      <c r="P276" t="s">
        <v>1784</v>
      </c>
      <c r="Q276" s="1"/>
      <c r="S276" s="1"/>
      <c r="T276" s="21" t="s">
        <v>554</v>
      </c>
      <c r="U276" s="50">
        <v>96</v>
      </c>
      <c r="V276" s="18" t="s">
        <v>1824</v>
      </c>
      <c r="W276" s="22"/>
      <c r="X276" s="23"/>
      <c r="Y276" s="23"/>
      <c r="Z276" s="23"/>
      <c r="AA276" s="23"/>
      <c r="AB276" s="23"/>
      <c r="AC276" t="str">
        <f t="shared" ref="AC276:AC278" si="688">IF(AD275+AE275&gt;31,REPLACE(AC275,LEN(AC275),1,VALUE(RIGHT(AC275,1))+1),AC275)</f>
        <v>A5.16</v>
      </c>
      <c r="AD276" s="43" cm="1">
        <f t="array" ref="AD276">IF(COUNTIFS(AC$2:AC276,AC276)=1,"1",VALUE(SUBSTITUTE(INDEX(AD:AD,_xlfn.XMATCH(AC276,AC$1:AC275,0,-1)),"A",""))+INDEX(AE:AE,_xlfn.XMATCH(AC276,AC$1:AC275,0,-1))+1)</f>
        <v>6</v>
      </c>
      <c r="AE276" s="43" cm="1">
        <f t="array" ref="AE276">SUM(IF(ISNUMBER(FIND("TmDi",$BE$1:$AAD$1)),IF(IFERROR(ISNUMBER(VALUE(SUBSTITUTE($BE276:$AAD276,"B",""))),FALSE),IF(ISNUMBER(VALUE(SUBSTITUTE($BE276:$AAD276,"B",""))),1,0),0)))</f>
        <v>4</v>
      </c>
      <c r="AF276" t="str">
        <f t="shared" si="416"/>
        <v>C6</v>
      </c>
      <c r="AG276" t="str">
        <f t="shared" si="417"/>
        <v>B6</v>
      </c>
      <c r="AH276" t="str">
        <f t="shared" ref="AH276:AH282" si="689">IF(AI275+AJ275&gt;31,REPLACE(AH275,LEN(AH275),1,VALUE(RIGHT(AH275,1))+1),AH275)</f>
        <v>A6.9</v>
      </c>
      <c r="AI276" s="43" cm="1">
        <f t="array" ref="AI276">IF(COUNTIFS(AH$2:AH276,AH276)=1,"1",VALUE(SUBSTITUTE(INDEX(AI:AI,_xlfn.XMATCH(AH276,AH$1:AH275,0,-1)),"A",""))+INDEX(AJ:AJ,_xlfn.XMATCH(AH276,AH$1:AH275,0,-1))+1)</f>
        <v>3</v>
      </c>
      <c r="AJ276" s="43" cm="1">
        <f t="array" ref="AJ276">SUM(IF(ISNUMBER(FIND("TmDo",$BE$1:$AAD$1)),IF(IFERROR(ISNUMBER(VALUE(SUBSTITUTE($BE276:$AAD276,"B",""))),FALSE),IF(ISNUMBER(VALUE(SUBSTITUTE($BE276:$AAD276,"B",""))),1,0),0)))</f>
        <v>2</v>
      </c>
      <c r="AK276" s="11" t="str">
        <f t="shared" si="419"/>
        <v>3B</v>
      </c>
      <c r="AL276" s="11" t="str">
        <f t="shared" si="420"/>
        <v>3A</v>
      </c>
      <c r="AM276" s="23" t="s">
        <v>150</v>
      </c>
      <c r="AN276" s="23"/>
      <c r="AO276" s="23"/>
      <c r="AP276" s="23" t="s">
        <v>137</v>
      </c>
      <c r="AQ276" s="23" t="s">
        <v>1794</v>
      </c>
      <c r="AR276" s="23"/>
      <c r="AS276" s="23"/>
      <c r="AT276" s="23" t="s">
        <v>139</v>
      </c>
      <c r="AU276" s="23" t="s">
        <v>140</v>
      </c>
      <c r="AV276" s="23"/>
      <c r="AW276" s="23"/>
      <c r="AX276" s="23"/>
      <c r="AY276" s="12"/>
      <c r="AZ276" s="12"/>
      <c r="BA276" s="12"/>
      <c r="BB276" s="12"/>
      <c r="BC276" s="12"/>
      <c r="BD276" s="13"/>
      <c r="BE276" s="23" t="str">
        <f t="shared" ref="BE276" si="690">CONCATENATE("XT",U276)</f>
        <v>XT96</v>
      </c>
      <c r="BF276" s="23" t="str">
        <f t="shared" ref="BF276" si="691">CONCATENATE("C",REPLACE(AF276,1,1,"")+1)</f>
        <v>C7</v>
      </c>
      <c r="BG276" s="23" t="str">
        <f t="shared" ref="BG276" si="692">CONCATENATE("B",REPLACE(AG276,1,1,"")+1)</f>
        <v>B7</v>
      </c>
      <c r="BH276" s="23" t="str">
        <f t="shared" ref="BH276" si="693">CONCATENATE("C",REPLACE(BF276,1,1,"")+1)</f>
        <v>C8</v>
      </c>
      <c r="BI276" s="23" t="str">
        <f t="shared" ref="BI276" si="694">CONCATENATE("B",REPLACE(BG276,1,1,"")+1)</f>
        <v>B8</v>
      </c>
      <c r="BJ276" s="23" t="str">
        <f t="shared" ref="BJ276" si="695">CONCATENATE("C",REPLACE(BH276,1,1,"")+1)</f>
        <v>C9</v>
      </c>
      <c r="BK276" s="23" t="str">
        <f t="shared" ref="BK276" si="696">CONCATENATE("B",REPLACE(BI276,1,1,"")+1)</f>
        <v>B9</v>
      </c>
      <c r="BL276" s="23" t="str">
        <f t="shared" ref="BL276" si="697">CONCATENATE("C",REPLACE(BJ276,1,1,"")+1)</f>
        <v>C10</v>
      </c>
      <c r="BM276" s="23" t="str">
        <f t="shared" ref="BM276" si="698">CONCATENATE("B",REPLACE(BK276,1,1,"")+1)</f>
        <v>B10</v>
      </c>
      <c r="BN276" s="23"/>
      <c r="BO276" s="23"/>
      <c r="BP276" s="23" t="str">
        <f t="shared" ref="BP276" si="699">CONCATENATE(REPLACE(AK276,LEN(AK276),1,"")+1,"B")</f>
        <v>4B</v>
      </c>
      <c r="BQ276" s="23" t="str">
        <f t="shared" ref="BQ276" si="700">CONCATENATE(REPLACE(AL276,LEN(AL276),1,"")+1,"A")</f>
        <v>4A</v>
      </c>
      <c r="BR276" s="23" t="str">
        <f t="shared" ref="BR276" si="701">CONCATENATE(REPLACE(BP276,LEN(BP276),1,"")+1,"B")</f>
        <v>5B</v>
      </c>
      <c r="BS276" s="23" t="str">
        <f t="shared" ref="BS276" si="702">CONCATENATE(REPLACE(BQ276,LEN(BQ276),1,"")+1,"A")</f>
        <v>5A</v>
      </c>
      <c r="BT276" s="23" t="str">
        <f t="shared" ref="BT276:BU276" si="703">CONCATENATE("DI",REPLACE($AC276,1,3,""),"-",AF276)</f>
        <v>DI16-C6</v>
      </c>
      <c r="BU276" s="23" t="str">
        <f t="shared" si="703"/>
        <v>DI16-B6</v>
      </c>
      <c r="BV276" s="23" t="str">
        <f t="shared" ref="BV276:CE276" si="704">CONCATENATE("DI",REPLACE($AC276,1,3,""),"-",BF276)</f>
        <v>DI16-C7</v>
      </c>
      <c r="BW276" s="23" t="str">
        <f t="shared" si="704"/>
        <v>DI16-B7</v>
      </c>
      <c r="BX276" s="23" t="str">
        <f t="shared" si="704"/>
        <v>DI16-C8</v>
      </c>
      <c r="BY276" s="23" t="str">
        <f t="shared" si="704"/>
        <v>DI16-B8</v>
      </c>
      <c r="BZ276" s="23" t="str">
        <f t="shared" si="704"/>
        <v>DI16-C9</v>
      </c>
      <c r="CA276" s="23" t="str">
        <f t="shared" si="704"/>
        <v>DI16-B9</v>
      </c>
      <c r="CB276" s="23" t="str">
        <f t="shared" si="704"/>
        <v>DI16-C10</v>
      </c>
      <c r="CC276" s="23" t="str">
        <f t="shared" si="704"/>
        <v>DI16-B10</v>
      </c>
      <c r="CD276" s="23" t="str">
        <f t="shared" si="704"/>
        <v>DI16-</v>
      </c>
      <c r="CE276" s="23" t="str">
        <f t="shared" si="704"/>
        <v>DI16-</v>
      </c>
      <c r="CF276" s="23" t="str">
        <f t="shared" ref="CF276:CG276" si="705">CONCATENATE("DO",REPLACE($AH276,1,3,""),"-",AK276)</f>
        <v>DO9-3B</v>
      </c>
      <c r="CG276" s="23" t="str">
        <f t="shared" si="705"/>
        <v>DO9-3A</v>
      </c>
      <c r="CH276" s="23" t="str">
        <f t="shared" ref="CH276:CK276" si="706">CONCATENATE("DO",REPLACE($AH276,1,3,""),"-",BP276)</f>
        <v>DO9-4B</v>
      </c>
      <c r="CI276" s="23" t="str">
        <f t="shared" si="706"/>
        <v>DO9-4A</v>
      </c>
      <c r="CJ276" s="23" t="str">
        <f t="shared" si="706"/>
        <v>DO9-5B</v>
      </c>
      <c r="CK276" s="23" t="str">
        <f t="shared" si="706"/>
        <v>DO9-5A</v>
      </c>
      <c r="CL276" s="23" t="str">
        <f t="shared" ref="CL276" si="707">CONCATENATE("K",$U276,"-10")</f>
        <v>K96-10</v>
      </c>
      <c r="CM276" s="23" t="str">
        <f t="shared" ref="CM276" si="708">CONCATENATE("K",$U276,"-03")</f>
        <v>K96-03</v>
      </c>
      <c r="CN276" s="23" t="str">
        <f t="shared" ref="CN276" si="709">CONCATENATE("K",$U276,"-04")</f>
        <v>K96-04</v>
      </c>
      <c r="CO276" s="23" t="str">
        <f t="shared" ref="CO276" si="710">CONCATENATE("K",$U276,"-01")</f>
        <v>K96-01</v>
      </c>
      <c r="CP276" s="23" t="str">
        <f t="shared" ref="CP276" si="711">CONCATENATE("K",$U276,"-08")</f>
        <v>K96-08</v>
      </c>
      <c r="CQ276" s="23" t="str">
        <f t="shared" ref="CQ276" si="712">CONCATENATE("K",$U276,"-02")</f>
        <v>K96-02</v>
      </c>
      <c r="CR276" s="23" t="str">
        <f t="shared" ref="CR276" si="713">CONCATENATE("K",$U276,"-09")</f>
        <v>K96-09</v>
      </c>
      <c r="CS276" s="23" t="str">
        <f t="shared" ref="CS276" si="714">CONCATENATE("K",$U276,"-05")</f>
        <v>K96-05</v>
      </c>
      <c r="CT276" s="23" t="str">
        <f t="shared" ref="CT276" si="715">CONCATENATE("K",$U276,"-11")</f>
        <v>K96-11</v>
      </c>
      <c r="CU276" s="23" t="str">
        <f t="shared" ref="CU276" si="716">CONCATENATE($T276,"-M",$U276,"-A9")</f>
        <v>F0-M96-A9</v>
      </c>
      <c r="CV276" s="23" t="str">
        <f t="shared" ref="CV276" si="717">CONCATENATE($T276,"-M",$U276,"-A7")</f>
        <v>F0-M96-A7</v>
      </c>
      <c r="CW276" s="23" t="str">
        <f t="shared" ref="CW276" si="718">CONCATENATE($T276,"-M",$U276,"-A8")</f>
        <v>F0-M96-A8</v>
      </c>
      <c r="CX276" s="23" t="str">
        <f t="shared" ref="CX276" si="719">CONCATENATE($T276,"-M",$U276,"-A6")</f>
        <v>F0-M96-A6</v>
      </c>
      <c r="CY276" s="23" t="str">
        <f t="shared" ref="CY276" si="720">CONCATENATE($T276,"-M",$U276,"-A30")</f>
        <v>F0-M96-A30</v>
      </c>
      <c r="CZ276" s="23" t="str">
        <f t="shared" ref="CZ276" si="721">CONCATENATE($T276,"-M",$U276,"-N")</f>
        <v>F0-M96-N</v>
      </c>
      <c r="DA276" s="23" t="str">
        <f t="shared" ref="DA276" si="722">CONCATENATE($T276,"-A220-M",U276)</f>
        <v>F0-A220-M96</v>
      </c>
      <c r="DB276" s="23" t="str">
        <f t="shared" ref="DB276" si="723">CONCATENATE($T276,"-M",$U276,"-XM01")</f>
        <v>F0-M96-XM01</v>
      </c>
      <c r="DC276" s="23" t="str">
        <f t="shared" ref="DC276" si="724">CONCATENATE($T276,"-M",$U276,"-A1")</f>
        <v>F0-M96-A1</v>
      </c>
      <c r="DD276" s="23" t="str">
        <f t="shared" ref="DD276" si="725">CONCATENATE($T276,"-M",$U276,"-A5")</f>
        <v>F0-M96-A5</v>
      </c>
      <c r="DE276" s="23" t="str">
        <f t="shared" ref="DE276" si="726">CONCATENATE($T276,"-M",$U276,"-A11")</f>
        <v>F0-M96-A11</v>
      </c>
      <c r="DF276" s="23" t="str">
        <f t="shared" ref="DF276" si="727">CONCATENATE($T276,"-M",$U276,"-A12")</f>
        <v>F0-M96-A12</v>
      </c>
      <c r="DG276" s="23" t="str">
        <f t="shared" ref="DG276" si="728">CONCATENATE($T276,"-M",$U276,"-A19")</f>
        <v>F0-M96-A19</v>
      </c>
      <c r="DH276" s="23" t="str">
        <f t="shared" ref="DH276" si="729">CONCATENATE($T276,"-M",$U276,"-A20")</f>
        <v>F0-M96-A20</v>
      </c>
      <c r="DI276" s="23" t="s">
        <v>142</v>
      </c>
      <c r="DJ276" s="23" t="s">
        <v>143</v>
      </c>
      <c r="DK276" s="23">
        <v>11</v>
      </c>
      <c r="DL276" s="23">
        <v>14</v>
      </c>
      <c r="DM276" s="23">
        <v>12</v>
      </c>
      <c r="DN276" s="23" t="s">
        <v>144</v>
      </c>
      <c r="DO276" s="23" t="s">
        <v>1825</v>
      </c>
      <c r="DP276" s="23">
        <v>1</v>
      </c>
      <c r="DQ276" s="23">
        <v>2</v>
      </c>
      <c r="DR276" s="23">
        <v>3</v>
      </c>
      <c r="DS276" s="23">
        <v>4</v>
      </c>
      <c r="DT276" s="23">
        <v>5</v>
      </c>
      <c r="DU276" s="23">
        <v>6</v>
      </c>
      <c r="DV276" s="23">
        <v>7</v>
      </c>
      <c r="DW276" s="23">
        <v>8</v>
      </c>
      <c r="DX276" s="23">
        <v>9</v>
      </c>
      <c r="DY276" s="23">
        <v>10</v>
      </c>
      <c r="DZ276" s="23">
        <v>11</v>
      </c>
      <c r="EA276" s="23">
        <v>12</v>
      </c>
      <c r="EB276" s="23">
        <v>13</v>
      </c>
      <c r="EC276" s="23">
        <v>14</v>
      </c>
      <c r="ED276" s="23">
        <v>1</v>
      </c>
      <c r="EE276" s="23">
        <v>3</v>
      </c>
      <c r="EF276" s="23">
        <v>4</v>
      </c>
      <c r="EG276" s="23">
        <v>7</v>
      </c>
      <c r="EH276" s="23">
        <v>8</v>
      </c>
      <c r="EI276" s="23">
        <v>9</v>
      </c>
      <c r="EJ276" s="23">
        <v>10</v>
      </c>
      <c r="EK276" s="23">
        <v>13</v>
      </c>
      <c r="EL276" s="23">
        <v>14</v>
      </c>
      <c r="EM276" s="23">
        <v>15</v>
      </c>
      <c r="EN276" s="23">
        <v>16</v>
      </c>
      <c r="EO276" s="23">
        <v>22</v>
      </c>
      <c r="EP276" s="23">
        <v>23</v>
      </c>
      <c r="EQ276" s="24">
        <v>24</v>
      </c>
    </row>
    <row r="277" spans="1:355" ht="15.75" thickBot="1" x14ac:dyDescent="0.3">
      <c r="A277" t="s">
        <v>1852</v>
      </c>
      <c r="B277" t="s">
        <v>1826</v>
      </c>
      <c r="C277" t="s">
        <v>1871</v>
      </c>
      <c r="P277" t="s">
        <v>1785</v>
      </c>
      <c r="T277" s="10" t="s">
        <v>554</v>
      </c>
      <c r="U277" s="49">
        <v>97</v>
      </c>
      <c r="V277" s="11" t="s">
        <v>1827</v>
      </c>
      <c r="W277" s="11" t="s">
        <v>1828</v>
      </c>
      <c r="X277" t="str" cm="1">
        <f t="array" ref="X277">IF(COUNTIF(X$1:X276,INDEX(X$1:X276,MAX(IF(X$1:X276&lt;&gt;"",ROW(X$1:X276)))))&gt;7,REPLACE(INDEX(X$1:X276,MAX(IF(X$1:X276&lt;&gt;"",ROW(X$1:X276)))),LEN(INDEX(X$1:X276,MAX(IF(X$1:X276&lt;&gt;"",ROW(X$1:X276))))),1,VALUE(RIGHT(INDEX(X$1:X276,MAX(IF(X$1:X276&lt;&gt;"",ROW(X$1:X276)))),1))+1),INDEX(X$1:X276,MAX(IF(X$1:X276&lt;&gt;"",ROW(X$1:X276)))))</f>
        <v>A3.33</v>
      </c>
      <c r="Y277" s="43" cm="1">
        <f t="array" ref="Y277">IF(COUNTIFS(X$2:X277,X277)=1,"1",VALUE(SUBSTITUTE(INDEX(Y:Y,_xlfn.XMATCH(X277,X$1:X276,0,-1)),"A",""))+INDEX(Z:Z,_xlfn.XMATCH(X277,X$1:X276,0,-1))+1)</f>
        <v>6</v>
      </c>
      <c r="Z277" s="43" cm="1">
        <f t="array" ref="Z277">SUM(IF(ISNUMBER(FIND("TmAi",$BE$1:$AAD$1)),IF(IFERROR(ISODD(SUBSTITUTE($BE277:$AAD277,"A","")),FALSE),IF(ISODD(SUBSTITUTE($BE277:$AAD277,"A","")),1,0),0)))</f>
        <v>0</v>
      </c>
      <c r="AA277" t="str">
        <f t="shared" ref="AA277" si="730">CONCATENATE($Y277*2-1,"A")</f>
        <v>11A</v>
      </c>
      <c r="AB277" t="str">
        <f t="shared" ref="AB277" si="731">CONCATENATE($Y277*2-1,"B")</f>
        <v>11B</v>
      </c>
      <c r="AC277" t="str">
        <f t="shared" si="688"/>
        <v>A5.16</v>
      </c>
      <c r="AD277" s="43" cm="1">
        <f t="array" ref="AD277">IF(COUNTIFS(AC$2:AC277,AC277)=1,"1",VALUE(SUBSTITUTE(INDEX(AD:AD,_xlfn.XMATCH(AC277,AC$1:AC276,0,-1)),"A",""))+INDEX(AE:AE,_xlfn.XMATCH(AC277,AC$1:AC276,0,-1))+1)</f>
        <v>11</v>
      </c>
      <c r="AE277" s="43" cm="1">
        <f t="array" ref="AE277">SUM(IF(ISNUMBER(FIND("TmDi",$BE$1:$AAD$1)),IF(IFERROR(ISNUMBER(VALUE(SUBSTITUTE($BE277:$AAD277,"B",""))),FALSE),IF(ISNUMBER(VALUE(SUBSTITUTE($BE277:$AAD277,"B",""))),1,0),0)))</f>
        <v>4</v>
      </c>
      <c r="AF277" t="str">
        <f t="shared" si="416"/>
        <v>C11</v>
      </c>
      <c r="AG277" t="str">
        <f t="shared" si="417"/>
        <v>B11</v>
      </c>
      <c r="AH277" t="str">
        <f t="shared" si="689"/>
        <v>A6.9</v>
      </c>
      <c r="AI277" s="43" cm="1">
        <f t="array" ref="AI277">IF(COUNTIFS(AH$2:AH277,AH277)=1,"1",VALUE(SUBSTITUTE(INDEX(AI:AI,_xlfn.XMATCH(AH277,AH$1:AH276,0,-1)),"A",""))+INDEX(AJ:AJ,_xlfn.XMATCH(AH277,AH$1:AH276,0,-1))+1)</f>
        <v>6</v>
      </c>
      <c r="AJ277" s="43" cm="1">
        <f t="array" ref="AJ277">SUM(IF(ISNUMBER(FIND("TmDo",$BE$1:$AAD$1)),IF(IFERROR(ISNUMBER(VALUE(SUBSTITUTE($BE277:$AAD277,"B",""))),FALSE),IF(ISNUMBER(VALUE(SUBSTITUTE($BE277:$AAD277,"B",""))),1,0),0)))</f>
        <v>1</v>
      </c>
      <c r="AK277" s="11" t="str">
        <f t="shared" si="419"/>
        <v>6B</v>
      </c>
      <c r="AL277" s="11" t="str">
        <f t="shared" si="420"/>
        <v>6A</v>
      </c>
      <c r="AM277" s="12" t="s">
        <v>161</v>
      </c>
      <c r="AN277" s="12"/>
      <c r="AO277" s="12"/>
      <c r="AP277" s="12" t="s">
        <v>137</v>
      </c>
      <c r="AQ277" s="12" t="s">
        <v>1794</v>
      </c>
      <c r="AR277" s="12"/>
      <c r="AS277" s="12" t="s">
        <v>396</v>
      </c>
      <c r="AT277" s="12" t="s">
        <v>139</v>
      </c>
      <c r="AU277" s="12" t="s">
        <v>140</v>
      </c>
      <c r="AV277" s="12"/>
      <c r="AW277" s="12"/>
      <c r="AX277" s="12"/>
      <c r="AY277" s="12"/>
      <c r="AZ277" s="12"/>
      <c r="BA277" s="12"/>
      <c r="BB277" s="12"/>
      <c r="BC277" s="12"/>
      <c r="BD277" s="13"/>
      <c r="GT277" s="25" t="str">
        <f t="shared" ref="GT277" si="732">CONCATENATE("XT",U277)</f>
        <v>XT97</v>
      </c>
      <c r="GU277" s="12" t="str">
        <f t="shared" ref="GU277" si="733">CONCATENATE("C",REPLACE(AF277,1,1,"")+1)</f>
        <v>C12</v>
      </c>
      <c r="GV277" s="12" t="str">
        <f t="shared" ref="GV277" si="734">CONCATENATE("B",REPLACE(AG277,1,1,"")+1)</f>
        <v>B12</v>
      </c>
      <c r="GW277" s="12" t="str">
        <f t="shared" ref="GW277" si="735">CONCATENATE("C",REPLACE(GU277,1,1,"")+1)</f>
        <v>C13</v>
      </c>
      <c r="GX277" s="12" t="str">
        <f t="shared" ref="GX277" si="736">CONCATENATE("B",REPLACE(GV277,1,1,"")+1)</f>
        <v>B13</v>
      </c>
      <c r="GY277" s="12" t="str">
        <f t="shared" ref="GY277" si="737">CONCATENATE("C",REPLACE(GW277,1,1,"")+1)</f>
        <v>C14</v>
      </c>
      <c r="GZ277" s="12" t="str">
        <f t="shared" ref="GZ277" si="738">CONCATENATE("B",REPLACE(GX277,1,1,"")+1)</f>
        <v>B14</v>
      </c>
      <c r="HA277" s="12" t="str">
        <f t="shared" ref="HA277" si="739">CONCATENATE("C",REPLACE(GY277,1,1,"")+1)</f>
        <v>C15</v>
      </c>
      <c r="HB277" s="12" t="str">
        <f t="shared" ref="HB277" si="740">CONCATENATE("B",REPLACE(GZ277,1,1,"")+1)</f>
        <v>B15</v>
      </c>
      <c r="HC277" s="12"/>
      <c r="HD277" s="12"/>
      <c r="HE277" s="12" t="str">
        <f t="shared" ref="HE277" si="741">CONCATENATE(REPLACE(AK277,LEN(AK277),1,"")+1,"B")</f>
        <v>7B</v>
      </c>
      <c r="HF277" s="12" t="str">
        <f t="shared" ref="HF277" si="742">CONCATENATE(REPLACE(AL277,LEN(AL277),1,"")+1,"A")</f>
        <v>7A</v>
      </c>
      <c r="HG277" s="12" t="str">
        <f t="shared" ref="HG277:HH277" si="743">CONCATENATE("AI",REPLACE($X277,1,3,""),"-",AA277)</f>
        <v>AI33-11A</v>
      </c>
      <c r="HH277" s="12" t="str">
        <f t="shared" si="743"/>
        <v>AI33-11B</v>
      </c>
      <c r="HI277" s="12" t="str">
        <f t="shared" ref="HI277:HJ277" si="744">CONCATENATE("DI",REPLACE($AC277,1,3,""),"-",AF277)</f>
        <v>DI16-C11</v>
      </c>
      <c r="HJ277" s="12" t="str">
        <f t="shared" si="744"/>
        <v>DI16-B11</v>
      </c>
      <c r="HK277" s="12" t="str">
        <f t="shared" ref="HK277:HT277" si="745">CONCATENATE("DI",REPLACE($AC277,1,3,""),"-",GU277)</f>
        <v>DI16-C12</v>
      </c>
      <c r="HL277" s="12" t="str">
        <f t="shared" si="745"/>
        <v>DI16-B12</v>
      </c>
      <c r="HM277" s="12" t="str">
        <f t="shared" si="745"/>
        <v>DI16-C13</v>
      </c>
      <c r="HN277" s="12" t="str">
        <f t="shared" si="745"/>
        <v>DI16-B13</v>
      </c>
      <c r="HO277" s="12" t="str">
        <f t="shared" si="745"/>
        <v>DI16-C14</v>
      </c>
      <c r="HP277" s="12" t="str">
        <f t="shared" si="745"/>
        <v>DI16-B14</v>
      </c>
      <c r="HQ277" s="12" t="str">
        <f t="shared" si="745"/>
        <v>DI16-C15</v>
      </c>
      <c r="HR277" s="12" t="str">
        <f t="shared" si="745"/>
        <v>DI16-B15</v>
      </c>
      <c r="HS277" s="12" t="str">
        <f t="shared" si="745"/>
        <v>DI16-</v>
      </c>
      <c r="HT277" s="12" t="str">
        <f t="shared" si="745"/>
        <v>DI16-</v>
      </c>
      <c r="HU277" s="12" t="str">
        <f t="shared" ref="HU277:HV277" si="746">CONCATENATE("DO",REPLACE($AH277,1,3,""),"-",AK277)</f>
        <v>DO9-6B</v>
      </c>
      <c r="HV277" s="12" t="str">
        <f t="shared" si="746"/>
        <v>DO9-6A</v>
      </c>
      <c r="HW277" s="12" t="str">
        <f t="shared" ref="HW277:HX277" si="747">CONCATENATE("DO",REPLACE($AH277,1,3,""),"-",HE277)</f>
        <v>DO9-7B</v>
      </c>
      <c r="HX277" s="12" t="str">
        <f t="shared" si="747"/>
        <v>DO9-7A</v>
      </c>
      <c r="HY277" s="12" t="str">
        <f t="shared" ref="HY277" si="748">CONCATENATE("K",$U277,"-01")</f>
        <v>K97-01</v>
      </c>
      <c r="HZ277" s="12" t="str">
        <f t="shared" ref="HZ277" si="749">CONCATENATE("K",$U277,"-02")</f>
        <v>K97-02</v>
      </c>
      <c r="IA277" s="12" t="str">
        <f t="shared" ref="IA277" si="750">CONCATENATE("K",$U277,"-03")</f>
        <v>K97-03</v>
      </c>
      <c r="IB277" s="12" t="str">
        <f t="shared" ref="IB277" si="751">CONCATENATE("K",$U277,"-04")</f>
        <v>K97-04</v>
      </c>
      <c r="IC277" s="12" t="str">
        <f t="shared" ref="IC277" si="752">CONCATENATE("K",$U277,"-05")</f>
        <v>K97-05</v>
      </c>
      <c r="ID277" s="12" t="str">
        <f t="shared" ref="ID277" si="753">CONCATENATE("K",$U277,"-06")</f>
        <v>K97-06</v>
      </c>
      <c r="IE277" s="12" t="str">
        <f t="shared" ref="IE277" si="754">CONCATENATE("K",$U277,"-07")</f>
        <v>K97-07</v>
      </c>
      <c r="IF277" s="12" t="str">
        <f t="shared" ref="IF277" si="755">CONCATENATE("K",$U277,"-08")</f>
        <v>K97-08</v>
      </c>
      <c r="IG277" s="12" t="str">
        <f t="shared" ref="IG277" si="756">CONCATENATE($T277,"-M",$U277,"-AMS-12")</f>
        <v>F0-M97-AMS-12</v>
      </c>
      <c r="IH277" s="12" t="str">
        <f t="shared" ref="IH277" si="757">CONCATENATE($T277,"-M",$U277,"-AMS-10")</f>
        <v>F0-M97-AMS-10</v>
      </c>
      <c r="II277" s="12" t="str">
        <f t="shared" ref="II277" si="758">CONCATENATE($T277,"-M",$U277,"-AMS-11")</f>
        <v>F0-M97-AMS-11</v>
      </c>
      <c r="IJ277" s="12" t="str">
        <f t="shared" ref="IJ277" si="759">CONCATENATE($T277,"-M",$U277,"-AMS-13")</f>
        <v>F0-M97-AMS-13</v>
      </c>
      <c r="IK277" s="12" t="str">
        <f t="shared" ref="IK277" si="760">CONCATENATE($T277,"-M",$U277,"-AMS-9")</f>
        <v>F0-M97-AMS-9</v>
      </c>
      <c r="IL277" s="12" t="str">
        <f t="shared" ref="IL277" si="761">CONCATENATE($T277,"-M",$U277,"-AMS-7")</f>
        <v>F0-M97-AMS-7</v>
      </c>
      <c r="IM277" s="12" t="str">
        <f t="shared" ref="IM277" si="762">CONCATENATE($T277,"-M",$U277,"-AMS-18")</f>
        <v>F0-M97-AMS-18</v>
      </c>
      <c r="IN277" s="12" t="str">
        <f t="shared" ref="IN277" si="763">CONCATENATE($T277,"-M",$U277,"-AMS-20")</f>
        <v>F0-M97-AMS-20</v>
      </c>
      <c r="IO277" s="12" t="str">
        <f t="shared" ref="IO277" si="764">CONCATENATE($T277,"-M",$U277,"-AMS-17")</f>
        <v>F0-M97-AMS-17</v>
      </c>
      <c r="IP277" s="12" t="str">
        <f t="shared" ref="IP277" si="765">CONCATENATE($T277,"-+24-M",$U277,)</f>
        <v>F0-+24-M97</v>
      </c>
      <c r="IQ277" s="12" t="str">
        <f t="shared" ref="IQ277" si="766">CONCATENATE($T277,"-M",$U277,"-XM01")</f>
        <v>F0-M97-XM01</v>
      </c>
      <c r="IR277" s="12" t="s">
        <v>142</v>
      </c>
      <c r="IS277" s="12" t="s">
        <v>143</v>
      </c>
      <c r="IT277" s="12">
        <v>11</v>
      </c>
      <c r="IU277" s="12">
        <v>14</v>
      </c>
      <c r="IV277" s="12" t="s">
        <v>413</v>
      </c>
      <c r="IW277" s="12" t="s">
        <v>414</v>
      </c>
      <c r="IX277" s="12">
        <v>1</v>
      </c>
      <c r="IY277" s="12">
        <v>2</v>
      </c>
      <c r="IZ277" s="12">
        <v>3</v>
      </c>
      <c r="JA277" s="12">
        <v>4</v>
      </c>
      <c r="JB277" s="12">
        <v>5</v>
      </c>
      <c r="JC277" s="12">
        <v>6</v>
      </c>
      <c r="JD277" s="12">
        <v>7</v>
      </c>
      <c r="JE277" s="12">
        <v>8</v>
      </c>
      <c r="JF277" s="12">
        <v>9</v>
      </c>
      <c r="JG277" s="12">
        <v>10</v>
      </c>
      <c r="JH277" s="12">
        <v>11</v>
      </c>
      <c r="JI277" s="12">
        <v>12</v>
      </c>
      <c r="JJ277" s="12">
        <v>13</v>
      </c>
      <c r="JK277" s="12">
        <v>14</v>
      </c>
      <c r="JL277" s="12">
        <v>17</v>
      </c>
      <c r="JM277" s="12">
        <v>15</v>
      </c>
      <c r="JN277" s="12">
        <v>18</v>
      </c>
      <c r="JO277" s="12">
        <v>11</v>
      </c>
      <c r="JP277" s="12">
        <v>9</v>
      </c>
      <c r="JQ277" s="12">
        <v>6</v>
      </c>
      <c r="JR277" s="12">
        <v>20</v>
      </c>
      <c r="JS277" s="12">
        <v>7</v>
      </c>
      <c r="JT277" s="12">
        <v>10</v>
      </c>
      <c r="JU277" s="12">
        <v>22</v>
      </c>
      <c r="JV277" s="12">
        <v>23</v>
      </c>
      <c r="JW277" s="12">
        <v>26</v>
      </c>
      <c r="JX277" s="12">
        <v>27</v>
      </c>
      <c r="JY277" s="13">
        <v>30</v>
      </c>
    </row>
    <row r="278" spans="1:355" ht="15.75" thickBot="1" x14ac:dyDescent="0.3">
      <c r="A278" t="s">
        <v>1853</v>
      </c>
      <c r="B278" t="s">
        <v>1829</v>
      </c>
      <c r="C278" s="3" t="s">
        <v>1872</v>
      </c>
      <c r="O278" s="2"/>
      <c r="P278" t="s">
        <v>1784</v>
      </c>
      <c r="Q278" s="1"/>
      <c r="S278" s="1"/>
      <c r="T278" s="21" t="s">
        <v>554</v>
      </c>
      <c r="U278" s="50">
        <v>98</v>
      </c>
      <c r="V278" s="18" t="s">
        <v>1830</v>
      </c>
      <c r="W278" s="22"/>
      <c r="X278" s="23"/>
      <c r="Y278" s="23"/>
      <c r="Z278" s="23"/>
      <c r="AA278" s="23"/>
      <c r="AB278" s="23"/>
      <c r="AC278" t="str">
        <f t="shared" si="688"/>
        <v>A5.16</v>
      </c>
      <c r="AD278" s="43" cm="1">
        <f t="array" ref="AD278">IF(COUNTIFS(AC$2:AC278,AC278)=1,"1",VALUE(SUBSTITUTE(INDEX(AD:AD,_xlfn.XMATCH(AC278,AC$1:AC277,0,-1)),"A",""))+INDEX(AE:AE,_xlfn.XMATCH(AC278,AC$1:AC277,0,-1))+1)</f>
        <v>16</v>
      </c>
      <c r="AE278" s="43" cm="1">
        <f t="array" ref="AE278">SUM(IF(ISNUMBER(FIND("TmDi",$BE$1:$AAD$1)),IF(IFERROR(ISNUMBER(VALUE(SUBSTITUTE($BE278:$AAD278,"B",""))),FALSE),IF(ISNUMBER(VALUE(SUBSTITUTE($BE278:$AAD278,"B",""))),1,0),0)))</f>
        <v>4</v>
      </c>
      <c r="AF278" t="str">
        <f t="shared" si="416"/>
        <v>C16</v>
      </c>
      <c r="AG278" t="str">
        <f t="shared" si="417"/>
        <v>B16</v>
      </c>
      <c r="AH278" t="str">
        <f t="shared" si="689"/>
        <v>A6.9</v>
      </c>
      <c r="AI278" s="43" cm="1">
        <f t="array" ref="AI278">IF(COUNTIFS(AH$2:AH278,AH278)=1,"1",VALUE(SUBSTITUTE(INDEX(AI:AI,_xlfn.XMATCH(AH278,AH$1:AH277,0,-1)),"A",""))+INDEX(AJ:AJ,_xlfn.XMATCH(AH278,AH$1:AH277,0,-1))+1)</f>
        <v>8</v>
      </c>
      <c r="AJ278" s="43" cm="1">
        <f t="array" ref="AJ278">SUM(IF(ISNUMBER(FIND("TmDo",$BE$1:$AAD$1)),IF(IFERROR(ISNUMBER(VALUE(SUBSTITUTE($BE278:$AAD278,"B",""))),FALSE),IF(ISNUMBER(VALUE(SUBSTITUTE($BE278:$AAD278,"B",""))),1,0),0)))</f>
        <v>2</v>
      </c>
      <c r="AK278" s="11" t="str">
        <f t="shared" si="419"/>
        <v>8B</v>
      </c>
      <c r="AL278" s="11" t="str">
        <f t="shared" si="420"/>
        <v>8A</v>
      </c>
      <c r="AM278" s="23" t="s">
        <v>150</v>
      </c>
      <c r="AN278" s="23"/>
      <c r="AO278" s="23"/>
      <c r="AP278" s="23" t="s">
        <v>137</v>
      </c>
      <c r="AQ278" s="23" t="s">
        <v>1794</v>
      </c>
      <c r="AR278" s="23"/>
      <c r="AS278" s="23"/>
      <c r="AT278" s="23" t="s">
        <v>139</v>
      </c>
      <c r="AU278" s="23" t="s">
        <v>140</v>
      </c>
      <c r="AV278" s="23"/>
      <c r="AW278" s="23"/>
      <c r="AX278" s="23"/>
      <c r="AY278" s="12"/>
      <c r="AZ278" s="12"/>
      <c r="BA278" s="12"/>
      <c r="BB278" s="12"/>
      <c r="BC278" s="12"/>
      <c r="BD278" s="13"/>
      <c r="BE278" s="23" t="str">
        <f t="shared" ref="BE278" si="767">CONCATENATE("XT",U278)</f>
        <v>XT98</v>
      </c>
      <c r="BF278" s="23" t="str">
        <f t="shared" ref="BF278" si="768">CONCATENATE("C",REPLACE(AF278,1,1,"")+1)</f>
        <v>C17</v>
      </c>
      <c r="BG278" s="23" t="str">
        <f t="shared" ref="BG278" si="769">CONCATENATE("B",REPLACE(AG278,1,1,"")+1)</f>
        <v>B17</v>
      </c>
      <c r="BH278" s="23" t="str">
        <f t="shared" ref="BH278" si="770">CONCATENATE("C",REPLACE(BF278,1,1,"")+1)</f>
        <v>C18</v>
      </c>
      <c r="BI278" s="23" t="str">
        <f t="shared" ref="BI278" si="771">CONCATENATE("B",REPLACE(BG278,1,1,"")+1)</f>
        <v>B18</v>
      </c>
      <c r="BJ278" s="23" t="str">
        <f t="shared" ref="BJ278" si="772">CONCATENATE("C",REPLACE(BH278,1,1,"")+1)</f>
        <v>C19</v>
      </c>
      <c r="BK278" s="23" t="str">
        <f t="shared" ref="BK278" si="773">CONCATENATE("B",REPLACE(BI278,1,1,"")+1)</f>
        <v>B19</v>
      </c>
      <c r="BL278" s="23" t="str">
        <f t="shared" ref="BL278" si="774">CONCATENATE("C",REPLACE(BJ278,1,1,"")+1)</f>
        <v>C20</v>
      </c>
      <c r="BM278" s="23" t="str">
        <f t="shared" ref="BM278" si="775">CONCATENATE("B",REPLACE(BK278,1,1,"")+1)</f>
        <v>B20</v>
      </c>
      <c r="BN278" s="23"/>
      <c r="BO278" s="23"/>
      <c r="BP278" s="23" t="str">
        <f t="shared" ref="BP278" si="776">CONCATENATE(REPLACE(AK278,LEN(AK278),1,"")+1,"B")</f>
        <v>9B</v>
      </c>
      <c r="BQ278" s="23" t="str">
        <f t="shared" ref="BQ278" si="777">CONCATENATE(REPLACE(AL278,LEN(AL278),1,"")+1,"A")</f>
        <v>9A</v>
      </c>
      <c r="BR278" s="23" t="str">
        <f t="shared" ref="BR278" si="778">CONCATENATE(REPLACE(BP278,LEN(BP278),1,"")+1,"B")</f>
        <v>10B</v>
      </c>
      <c r="BS278" s="23" t="str">
        <f t="shared" ref="BS278" si="779">CONCATENATE(REPLACE(BQ278,LEN(BQ278),1,"")+1,"A")</f>
        <v>10A</v>
      </c>
      <c r="BT278" s="23" t="str">
        <f t="shared" ref="BT278:BU278" si="780">CONCATENATE("DI",REPLACE($AC278,1,3,""),"-",AF278)</f>
        <v>DI16-C16</v>
      </c>
      <c r="BU278" s="23" t="str">
        <f t="shared" si="780"/>
        <v>DI16-B16</v>
      </c>
      <c r="BV278" s="23" t="str">
        <f t="shared" ref="BV278:CE278" si="781">CONCATENATE("DI",REPLACE($AC278,1,3,""),"-",BF278)</f>
        <v>DI16-C17</v>
      </c>
      <c r="BW278" s="23" t="str">
        <f t="shared" si="781"/>
        <v>DI16-B17</v>
      </c>
      <c r="BX278" s="23" t="str">
        <f t="shared" si="781"/>
        <v>DI16-C18</v>
      </c>
      <c r="BY278" s="23" t="str">
        <f t="shared" si="781"/>
        <v>DI16-B18</v>
      </c>
      <c r="BZ278" s="23" t="str">
        <f t="shared" si="781"/>
        <v>DI16-C19</v>
      </c>
      <c r="CA278" s="23" t="str">
        <f t="shared" si="781"/>
        <v>DI16-B19</v>
      </c>
      <c r="CB278" s="23" t="str">
        <f t="shared" si="781"/>
        <v>DI16-C20</v>
      </c>
      <c r="CC278" s="23" t="str">
        <f t="shared" si="781"/>
        <v>DI16-B20</v>
      </c>
      <c r="CD278" s="23" t="str">
        <f t="shared" si="781"/>
        <v>DI16-</v>
      </c>
      <c r="CE278" s="23" t="str">
        <f t="shared" si="781"/>
        <v>DI16-</v>
      </c>
      <c r="CF278" s="23" t="str">
        <f t="shared" ref="CF278:CG278" si="782">CONCATENATE("DO",REPLACE($AH278,1,3,""),"-",AK278)</f>
        <v>DO9-8B</v>
      </c>
      <c r="CG278" s="23" t="str">
        <f t="shared" si="782"/>
        <v>DO9-8A</v>
      </c>
      <c r="CH278" s="23" t="str">
        <f t="shared" ref="CH278:CK278" si="783">CONCATENATE("DO",REPLACE($AH278,1,3,""),"-",BP278)</f>
        <v>DO9-9B</v>
      </c>
      <c r="CI278" s="23" t="str">
        <f t="shared" si="783"/>
        <v>DO9-9A</v>
      </c>
      <c r="CJ278" s="23" t="str">
        <f t="shared" si="783"/>
        <v>DO9-10B</v>
      </c>
      <c r="CK278" s="23" t="str">
        <f t="shared" si="783"/>
        <v>DO9-10A</v>
      </c>
      <c r="CL278" s="23" t="str">
        <f t="shared" ref="CL278" si="784">CONCATENATE("K",$U278,"-10")</f>
        <v>K98-10</v>
      </c>
      <c r="CM278" s="23" t="str">
        <f t="shared" ref="CM278" si="785">CONCATENATE("K",$U278,"-03")</f>
        <v>K98-03</v>
      </c>
      <c r="CN278" s="23" t="str">
        <f t="shared" ref="CN278" si="786">CONCATENATE("K",$U278,"-04")</f>
        <v>K98-04</v>
      </c>
      <c r="CO278" s="23" t="str">
        <f t="shared" ref="CO278" si="787">CONCATENATE("K",$U278,"-01")</f>
        <v>K98-01</v>
      </c>
      <c r="CP278" s="23" t="str">
        <f t="shared" ref="CP278" si="788">CONCATENATE("K",$U278,"-08")</f>
        <v>K98-08</v>
      </c>
      <c r="CQ278" s="23" t="str">
        <f t="shared" ref="CQ278" si="789">CONCATENATE("K",$U278,"-02")</f>
        <v>K98-02</v>
      </c>
      <c r="CR278" s="23" t="str">
        <f t="shared" ref="CR278" si="790">CONCATENATE("K",$U278,"-09")</f>
        <v>K98-09</v>
      </c>
      <c r="CS278" s="23" t="str">
        <f t="shared" ref="CS278" si="791">CONCATENATE("K",$U278,"-05")</f>
        <v>K98-05</v>
      </c>
      <c r="CT278" s="23" t="str">
        <f t="shared" ref="CT278" si="792">CONCATENATE("K",$U278,"-11")</f>
        <v>K98-11</v>
      </c>
      <c r="CU278" s="23" t="str">
        <f t="shared" ref="CU278" si="793">CONCATENATE($T278,"-M",$U278,"-A9")</f>
        <v>F0-M98-A9</v>
      </c>
      <c r="CV278" s="23" t="str">
        <f t="shared" ref="CV278" si="794">CONCATENATE($T278,"-M",$U278,"-A7")</f>
        <v>F0-M98-A7</v>
      </c>
      <c r="CW278" s="23" t="str">
        <f t="shared" ref="CW278" si="795">CONCATENATE($T278,"-M",$U278,"-A8")</f>
        <v>F0-M98-A8</v>
      </c>
      <c r="CX278" s="23" t="str">
        <f t="shared" ref="CX278" si="796">CONCATENATE($T278,"-M",$U278,"-A6")</f>
        <v>F0-M98-A6</v>
      </c>
      <c r="CY278" s="23" t="str">
        <f t="shared" ref="CY278" si="797">CONCATENATE($T278,"-M",$U278,"-A30")</f>
        <v>F0-M98-A30</v>
      </c>
      <c r="CZ278" s="23" t="str">
        <f t="shared" ref="CZ278" si="798">CONCATENATE($T278,"-M",$U278,"-N")</f>
        <v>F0-M98-N</v>
      </c>
      <c r="DA278" s="23" t="str">
        <f t="shared" ref="DA278" si="799">CONCATENATE($T278,"-A220-M",U278)</f>
        <v>F0-A220-M98</v>
      </c>
      <c r="DB278" s="23" t="str">
        <f t="shared" ref="DB278" si="800">CONCATENATE($T278,"-M",$U278,"-XM01")</f>
        <v>F0-M98-XM01</v>
      </c>
      <c r="DC278" s="23" t="str">
        <f t="shared" ref="DC278" si="801">CONCATENATE($T278,"-M",$U278,"-A1")</f>
        <v>F0-M98-A1</v>
      </c>
      <c r="DD278" s="23" t="str">
        <f t="shared" ref="DD278" si="802">CONCATENATE($T278,"-M",$U278,"-A5")</f>
        <v>F0-M98-A5</v>
      </c>
      <c r="DE278" s="23" t="str">
        <f t="shared" ref="DE278" si="803">CONCATENATE($T278,"-M",$U278,"-A11")</f>
        <v>F0-M98-A11</v>
      </c>
      <c r="DF278" s="23" t="str">
        <f t="shared" ref="DF278" si="804">CONCATENATE($T278,"-M",$U278,"-A12")</f>
        <v>F0-M98-A12</v>
      </c>
      <c r="DG278" s="23" t="str">
        <f t="shared" ref="DG278" si="805">CONCATENATE($T278,"-M",$U278,"-A19")</f>
        <v>F0-M98-A19</v>
      </c>
      <c r="DH278" s="23" t="str">
        <f t="shared" ref="DH278" si="806">CONCATENATE($T278,"-M",$U278,"-A20")</f>
        <v>F0-M98-A20</v>
      </c>
      <c r="DI278" s="23" t="s">
        <v>142</v>
      </c>
      <c r="DJ278" s="23" t="s">
        <v>143</v>
      </c>
      <c r="DK278" s="23">
        <v>11</v>
      </c>
      <c r="DL278" s="23">
        <v>14</v>
      </c>
      <c r="DM278" s="23">
        <v>12</v>
      </c>
      <c r="DN278" s="23" t="s">
        <v>144</v>
      </c>
      <c r="DO278" s="23" t="s">
        <v>1831</v>
      </c>
      <c r="DP278" s="23">
        <v>1</v>
      </c>
      <c r="DQ278" s="23">
        <v>2</v>
      </c>
      <c r="DR278" s="23">
        <v>3</v>
      </c>
      <c r="DS278" s="23">
        <v>4</v>
      </c>
      <c r="DT278" s="23">
        <v>5</v>
      </c>
      <c r="DU278" s="23">
        <v>6</v>
      </c>
      <c r="DV278" s="23">
        <v>7</v>
      </c>
      <c r="DW278" s="23">
        <v>8</v>
      </c>
      <c r="DX278" s="23">
        <v>9</v>
      </c>
      <c r="DY278" s="23">
        <v>10</v>
      </c>
      <c r="DZ278" s="23">
        <v>11</v>
      </c>
      <c r="EA278" s="23">
        <v>12</v>
      </c>
      <c r="EB278" s="23">
        <v>13</v>
      </c>
      <c r="EC278" s="23">
        <v>14</v>
      </c>
      <c r="ED278" s="23">
        <v>1</v>
      </c>
      <c r="EE278" s="23">
        <v>3</v>
      </c>
      <c r="EF278" s="23">
        <v>4</v>
      </c>
      <c r="EG278" s="23">
        <v>7</v>
      </c>
      <c r="EH278" s="23">
        <v>8</v>
      </c>
      <c r="EI278" s="23">
        <v>9</v>
      </c>
      <c r="EJ278" s="23">
        <v>10</v>
      </c>
      <c r="EK278" s="23">
        <v>13</v>
      </c>
      <c r="EL278" s="23">
        <v>14</v>
      </c>
      <c r="EM278" s="23">
        <v>15</v>
      </c>
      <c r="EN278" s="23">
        <v>16</v>
      </c>
      <c r="EO278" s="23">
        <v>22</v>
      </c>
      <c r="EP278" s="23">
        <v>23</v>
      </c>
      <c r="EQ278" s="24">
        <v>24</v>
      </c>
    </row>
    <row r="279" spans="1:355" ht="15.75" thickBot="1" x14ac:dyDescent="0.3">
      <c r="A279" t="s">
        <v>1854</v>
      </c>
      <c r="B279" t="s">
        <v>1832</v>
      </c>
      <c r="C279" t="s">
        <v>1871</v>
      </c>
      <c r="P279" t="s">
        <v>1785</v>
      </c>
      <c r="T279" s="10" t="s">
        <v>554</v>
      </c>
      <c r="U279" s="49">
        <v>99</v>
      </c>
      <c r="V279" s="11" t="s">
        <v>1833</v>
      </c>
      <c r="W279" s="11" t="s">
        <v>1834</v>
      </c>
      <c r="X279" t="str" cm="1">
        <f t="array" ref="X279">IF(COUNTIF(X$1:X278,INDEX(X$1:X278,MAX(IF(X$1:X278&lt;&gt;"",ROW(X$1:X278)))))&gt;7,REPLACE(INDEX(X$1:X278,MAX(IF(X$1:X278&lt;&gt;"",ROW(X$1:X278)))),LEN(INDEX(X$1:X278,MAX(IF(X$1:X278&lt;&gt;"",ROW(X$1:X278))))),1,VALUE(RIGHT(INDEX(X$1:X278,MAX(IF(X$1:X278&lt;&gt;"",ROW(X$1:X278)))),1))+1),INDEX(X$1:X278,MAX(IF(X$1:X278&lt;&gt;"",ROW(X$1:X278)))))</f>
        <v>A3.33</v>
      </c>
      <c r="Y279" s="43" cm="1">
        <f t="array" ref="Y279">IF(COUNTIFS(X$2:X279,X279)=1,"1",VALUE(SUBSTITUTE(INDEX(Y:Y,_xlfn.XMATCH(X279,X$1:X278,0,-1)),"A",""))+INDEX(Z:Z,_xlfn.XMATCH(X279,X$1:X278,0,-1))+1)</f>
        <v>7</v>
      </c>
      <c r="Z279" s="43" cm="1">
        <f t="array" ref="Z279">SUM(IF(ISNUMBER(FIND("TmAi",$BE$1:$AAD$1)),IF(IFERROR(ISODD(SUBSTITUTE($BE279:$AAD279,"A","")),FALSE),IF(ISODD(SUBSTITUTE($BE279:$AAD279,"A","")),1,0),0)))</f>
        <v>0</v>
      </c>
      <c r="AA279" t="str">
        <f t="shared" ref="AA279" si="807">CONCATENATE($Y279*2-1,"A")</f>
        <v>13A</v>
      </c>
      <c r="AB279" t="str">
        <f t="shared" ref="AB279" si="808">CONCATENATE($Y279*2-1,"B")</f>
        <v>13B</v>
      </c>
      <c r="AC279" t="s">
        <v>1816</v>
      </c>
      <c r="AD279" s="43" t="str" cm="1">
        <f t="array" ref="AD279">IF(COUNTIFS(AC$2:AC279,AC279)=1,"1",VALUE(SUBSTITUTE(INDEX(AD:AD,_xlfn.XMATCH(AC279,AC$1:AC278,0,-1)),"A",""))+INDEX(AE:AE,_xlfn.XMATCH(AC279,AC$1:AC278,0,-1))+1)</f>
        <v>1</v>
      </c>
      <c r="AE279" s="43" cm="1">
        <f t="array" ref="AE279">SUM(IF(ISNUMBER(FIND("TmDi",$BE$1:$AAD$1)),IF(IFERROR(ISNUMBER(VALUE(SUBSTITUTE($BE279:$AAD279,"B",""))),FALSE),IF(ISNUMBER(VALUE(SUBSTITUTE($BE279:$AAD279,"B",""))),1,0),0)))</f>
        <v>4</v>
      </c>
      <c r="AF279" t="str">
        <f t="shared" si="416"/>
        <v>C1</v>
      </c>
      <c r="AG279" t="str">
        <f t="shared" si="417"/>
        <v>B1</v>
      </c>
      <c r="AH279" t="str">
        <f t="shared" si="689"/>
        <v>A6.9</v>
      </c>
      <c r="AI279" s="43" cm="1">
        <f t="array" ref="AI279">IF(COUNTIFS(AH$2:AH279,AH279)=1,"1",VALUE(SUBSTITUTE(INDEX(AI:AI,_xlfn.XMATCH(AH279,AH$1:AH278,0,-1)),"A",""))+INDEX(AJ:AJ,_xlfn.XMATCH(AH279,AH$1:AH278,0,-1))+1)</f>
        <v>11</v>
      </c>
      <c r="AJ279" s="43" cm="1">
        <f t="array" ref="AJ279">SUM(IF(ISNUMBER(FIND("TmDo",$BE$1:$AAD$1)),IF(IFERROR(ISNUMBER(VALUE(SUBSTITUTE($BE279:$AAD279,"B",""))),FALSE),IF(ISNUMBER(VALUE(SUBSTITUTE($BE279:$AAD279,"B",""))),1,0),0)))</f>
        <v>1</v>
      </c>
      <c r="AK279" s="11" t="str">
        <f t="shared" si="419"/>
        <v>11B</v>
      </c>
      <c r="AL279" s="11" t="str">
        <f t="shared" si="420"/>
        <v>11A</v>
      </c>
      <c r="AM279" s="12" t="s">
        <v>161</v>
      </c>
      <c r="AN279" s="12"/>
      <c r="AO279" s="12"/>
      <c r="AP279" s="12" t="s">
        <v>137</v>
      </c>
      <c r="AQ279" s="12" t="s">
        <v>1794</v>
      </c>
      <c r="AR279" s="12"/>
      <c r="AS279" s="12" t="s">
        <v>396</v>
      </c>
      <c r="AT279" s="12" t="s">
        <v>139</v>
      </c>
      <c r="AU279" s="12" t="s">
        <v>140</v>
      </c>
      <c r="AV279" s="12"/>
      <c r="AW279" s="12"/>
      <c r="AX279" s="12"/>
      <c r="AY279" s="12"/>
      <c r="AZ279" s="12"/>
      <c r="BA279" s="12"/>
      <c r="BB279" s="12"/>
      <c r="BC279" s="12"/>
      <c r="BD279" s="13"/>
      <c r="GT279" s="25" t="str">
        <f t="shared" ref="GT279" si="809">CONCATENATE("XT",U279)</f>
        <v>XT99</v>
      </c>
      <c r="GU279" s="12" t="str">
        <f t="shared" ref="GU279" si="810">CONCATENATE("C",REPLACE(AF279,1,1,"")+1)</f>
        <v>C2</v>
      </c>
      <c r="GV279" s="12" t="str">
        <f t="shared" ref="GV279" si="811">CONCATENATE("B",REPLACE(AG279,1,1,"")+1)</f>
        <v>B2</v>
      </c>
      <c r="GW279" s="12" t="str">
        <f t="shared" ref="GW279" si="812">CONCATENATE("C",REPLACE(GU279,1,1,"")+1)</f>
        <v>C3</v>
      </c>
      <c r="GX279" s="12" t="str">
        <f t="shared" ref="GX279" si="813">CONCATENATE("B",REPLACE(GV279,1,1,"")+1)</f>
        <v>B3</v>
      </c>
      <c r="GY279" s="12" t="str">
        <f t="shared" ref="GY279" si="814">CONCATENATE("C",REPLACE(GW279,1,1,"")+1)</f>
        <v>C4</v>
      </c>
      <c r="GZ279" s="12" t="str">
        <f t="shared" ref="GZ279" si="815">CONCATENATE("B",REPLACE(GX279,1,1,"")+1)</f>
        <v>B4</v>
      </c>
      <c r="HA279" s="12" t="str">
        <f t="shared" ref="HA279" si="816">CONCATENATE("C",REPLACE(GY279,1,1,"")+1)</f>
        <v>C5</v>
      </c>
      <c r="HB279" s="12" t="str">
        <f t="shared" ref="HB279" si="817">CONCATENATE("B",REPLACE(GZ279,1,1,"")+1)</f>
        <v>B5</v>
      </c>
      <c r="HC279" s="12"/>
      <c r="HD279" s="12"/>
      <c r="HE279" s="12" t="str">
        <f t="shared" ref="HE279" si="818">CONCATENATE(REPLACE(AK279,LEN(AK279),1,"")+1,"B")</f>
        <v>12B</v>
      </c>
      <c r="HF279" s="12" t="str">
        <f t="shared" ref="HF279" si="819">CONCATENATE(REPLACE(AL279,LEN(AL279),1,"")+1,"A")</f>
        <v>12A</v>
      </c>
      <c r="HG279" s="12" t="str">
        <f t="shared" ref="HG279:HH279" si="820">CONCATENATE("AI",REPLACE($X279,1,3,""),"-",AA279)</f>
        <v>AI33-13A</v>
      </c>
      <c r="HH279" s="12" t="str">
        <f t="shared" si="820"/>
        <v>AI33-13B</v>
      </c>
      <c r="HI279" s="12" t="str">
        <f t="shared" ref="HI279:HJ279" si="821">CONCATENATE("DI",REPLACE($AC279,1,3,""),"-",AF279)</f>
        <v>DI17-C1</v>
      </c>
      <c r="HJ279" s="12" t="str">
        <f t="shared" si="821"/>
        <v>DI17-B1</v>
      </c>
      <c r="HK279" s="12" t="str">
        <f t="shared" ref="HK279:HT279" si="822">CONCATENATE("DI",REPLACE($AC279,1,3,""),"-",GU279)</f>
        <v>DI17-C2</v>
      </c>
      <c r="HL279" s="12" t="str">
        <f t="shared" si="822"/>
        <v>DI17-B2</v>
      </c>
      <c r="HM279" s="12" t="str">
        <f t="shared" si="822"/>
        <v>DI17-C3</v>
      </c>
      <c r="HN279" s="12" t="str">
        <f t="shared" si="822"/>
        <v>DI17-B3</v>
      </c>
      <c r="HO279" s="12" t="str">
        <f t="shared" si="822"/>
        <v>DI17-C4</v>
      </c>
      <c r="HP279" s="12" t="str">
        <f t="shared" si="822"/>
        <v>DI17-B4</v>
      </c>
      <c r="HQ279" s="12" t="str">
        <f t="shared" si="822"/>
        <v>DI17-C5</v>
      </c>
      <c r="HR279" s="12" t="str">
        <f t="shared" si="822"/>
        <v>DI17-B5</v>
      </c>
      <c r="HS279" s="12" t="str">
        <f t="shared" si="822"/>
        <v>DI17-</v>
      </c>
      <c r="HT279" s="12" t="str">
        <f t="shared" si="822"/>
        <v>DI17-</v>
      </c>
      <c r="HU279" s="12" t="str">
        <f t="shared" ref="HU279:HV279" si="823">CONCATENATE("DO",REPLACE($AH279,1,3,""),"-",AK279)</f>
        <v>DO9-11B</v>
      </c>
      <c r="HV279" s="12" t="str">
        <f t="shared" si="823"/>
        <v>DO9-11A</v>
      </c>
      <c r="HW279" s="12" t="str">
        <f t="shared" ref="HW279:HX279" si="824">CONCATENATE("DO",REPLACE($AH279,1,3,""),"-",HE279)</f>
        <v>DO9-12B</v>
      </c>
      <c r="HX279" s="12" t="str">
        <f t="shared" si="824"/>
        <v>DO9-12A</v>
      </c>
      <c r="HY279" s="12" t="str">
        <f t="shared" ref="HY279" si="825">CONCATENATE("K",$U279,"-01")</f>
        <v>K99-01</v>
      </c>
      <c r="HZ279" s="12" t="str">
        <f t="shared" ref="HZ279" si="826">CONCATENATE("K",$U279,"-02")</f>
        <v>K99-02</v>
      </c>
      <c r="IA279" s="12" t="str">
        <f t="shared" ref="IA279" si="827">CONCATENATE("K",$U279,"-03")</f>
        <v>K99-03</v>
      </c>
      <c r="IB279" s="12" t="str">
        <f t="shared" ref="IB279" si="828">CONCATENATE("K",$U279,"-04")</f>
        <v>K99-04</v>
      </c>
      <c r="IC279" s="12" t="str">
        <f t="shared" ref="IC279" si="829">CONCATENATE("K",$U279,"-05")</f>
        <v>K99-05</v>
      </c>
      <c r="ID279" s="12" t="str">
        <f t="shared" ref="ID279" si="830">CONCATENATE("K",$U279,"-06")</f>
        <v>K99-06</v>
      </c>
      <c r="IE279" s="12" t="str">
        <f t="shared" ref="IE279" si="831">CONCATENATE("K",$U279,"-07")</f>
        <v>K99-07</v>
      </c>
      <c r="IF279" s="12" t="str">
        <f t="shared" ref="IF279" si="832">CONCATENATE("K",$U279,"-08")</f>
        <v>K99-08</v>
      </c>
      <c r="IG279" s="12" t="str">
        <f t="shared" ref="IG279" si="833">CONCATENATE($T279,"-M",$U279,"-AMS-12")</f>
        <v>F0-M99-AMS-12</v>
      </c>
      <c r="IH279" s="12" t="str">
        <f t="shared" ref="IH279" si="834">CONCATENATE($T279,"-M",$U279,"-AMS-10")</f>
        <v>F0-M99-AMS-10</v>
      </c>
      <c r="II279" s="12" t="str">
        <f t="shared" ref="II279" si="835">CONCATENATE($T279,"-M",$U279,"-AMS-11")</f>
        <v>F0-M99-AMS-11</v>
      </c>
      <c r="IJ279" s="12" t="str">
        <f t="shared" ref="IJ279" si="836">CONCATENATE($T279,"-M",$U279,"-AMS-13")</f>
        <v>F0-M99-AMS-13</v>
      </c>
      <c r="IK279" s="12" t="str">
        <f t="shared" ref="IK279" si="837">CONCATENATE($T279,"-M",$U279,"-AMS-9")</f>
        <v>F0-M99-AMS-9</v>
      </c>
      <c r="IL279" s="12" t="str">
        <f t="shared" ref="IL279" si="838">CONCATENATE($T279,"-M",$U279,"-AMS-7")</f>
        <v>F0-M99-AMS-7</v>
      </c>
      <c r="IM279" s="12" t="str">
        <f t="shared" ref="IM279" si="839">CONCATENATE($T279,"-M",$U279,"-AMS-18")</f>
        <v>F0-M99-AMS-18</v>
      </c>
      <c r="IN279" s="12" t="str">
        <f t="shared" ref="IN279" si="840">CONCATENATE($T279,"-M",$U279,"-AMS-20")</f>
        <v>F0-M99-AMS-20</v>
      </c>
      <c r="IO279" s="12" t="str">
        <f t="shared" ref="IO279" si="841">CONCATENATE($T279,"-M",$U279,"-AMS-17")</f>
        <v>F0-M99-AMS-17</v>
      </c>
      <c r="IP279" s="12" t="str">
        <f t="shared" ref="IP279" si="842">CONCATENATE($T279,"-+24-M",$U279,)</f>
        <v>F0-+24-M99</v>
      </c>
      <c r="IQ279" s="12" t="str">
        <f t="shared" ref="IQ279" si="843">CONCATENATE($T279,"-M",$U279,"-XM01")</f>
        <v>F0-M99-XM01</v>
      </c>
      <c r="IR279" s="12" t="s">
        <v>142</v>
      </c>
      <c r="IS279" s="12" t="s">
        <v>143</v>
      </c>
      <c r="IT279" s="12">
        <v>11</v>
      </c>
      <c r="IU279" s="12">
        <v>14</v>
      </c>
      <c r="IV279" s="12" t="s">
        <v>413</v>
      </c>
      <c r="IW279" s="12" t="s">
        <v>414</v>
      </c>
      <c r="IX279" s="12">
        <v>1</v>
      </c>
      <c r="IY279" s="12">
        <v>2</v>
      </c>
      <c r="IZ279" s="12">
        <v>3</v>
      </c>
      <c r="JA279" s="12">
        <v>4</v>
      </c>
      <c r="JB279" s="12">
        <v>5</v>
      </c>
      <c r="JC279" s="12">
        <v>6</v>
      </c>
      <c r="JD279" s="12">
        <v>7</v>
      </c>
      <c r="JE279" s="12">
        <v>8</v>
      </c>
      <c r="JF279" s="12">
        <v>9</v>
      </c>
      <c r="JG279" s="12">
        <v>10</v>
      </c>
      <c r="JH279" s="12">
        <v>11</v>
      </c>
      <c r="JI279" s="12">
        <v>12</v>
      </c>
      <c r="JJ279" s="12">
        <v>13</v>
      </c>
      <c r="JK279" s="12">
        <v>14</v>
      </c>
      <c r="JL279" s="12">
        <v>17</v>
      </c>
      <c r="JM279" s="12">
        <v>15</v>
      </c>
      <c r="JN279" s="12">
        <v>18</v>
      </c>
      <c r="JO279" s="12">
        <v>11</v>
      </c>
      <c r="JP279" s="12">
        <v>9</v>
      </c>
      <c r="JQ279" s="12">
        <v>6</v>
      </c>
      <c r="JR279" s="12">
        <v>20</v>
      </c>
      <c r="JS279" s="12">
        <v>7</v>
      </c>
      <c r="JT279" s="12">
        <v>10</v>
      </c>
      <c r="JU279" s="12">
        <v>22</v>
      </c>
      <c r="JV279" s="12">
        <v>23</v>
      </c>
      <c r="JW279" s="12">
        <v>26</v>
      </c>
      <c r="JX279" s="12">
        <v>27</v>
      </c>
      <c r="JY279" s="13">
        <v>30</v>
      </c>
    </row>
    <row r="280" spans="1:355" ht="15.75" thickBot="1" x14ac:dyDescent="0.3">
      <c r="A280" t="s">
        <v>1855</v>
      </c>
      <c r="B280" t="s">
        <v>1835</v>
      </c>
      <c r="C280" s="3" t="s">
        <v>1872</v>
      </c>
      <c r="O280" s="2"/>
      <c r="P280" t="s">
        <v>1784</v>
      </c>
      <c r="Q280" s="1"/>
      <c r="S280" s="1"/>
      <c r="T280" s="21" t="s">
        <v>554</v>
      </c>
      <c r="U280" s="50">
        <v>100</v>
      </c>
      <c r="V280" s="18" t="s">
        <v>1836</v>
      </c>
      <c r="W280" s="22"/>
      <c r="X280" s="23"/>
      <c r="Y280" s="23"/>
      <c r="Z280" s="23"/>
      <c r="AA280" s="23"/>
      <c r="AB280" s="23"/>
      <c r="AC280" t="str">
        <f t="shared" ref="AC280:AC282" si="844">IF(AD279+AE279&gt;31,REPLACE(AC279,LEN(AC279),1,VALUE(RIGHT(AC279,1))+1),AC279)</f>
        <v>A5.17</v>
      </c>
      <c r="AD280" s="43" cm="1">
        <f t="array" ref="AD280">IF(COUNTIFS(AC$2:AC280,AC280)=1,"1",VALUE(SUBSTITUTE(INDEX(AD:AD,_xlfn.XMATCH(AC280,AC$1:AC279,0,-1)),"A",""))+INDEX(AE:AE,_xlfn.XMATCH(AC280,AC$1:AC279,0,-1))+1)</f>
        <v>6</v>
      </c>
      <c r="AE280" s="43" cm="1">
        <f t="array" ref="AE280">SUM(IF(ISNUMBER(FIND("TmDi",$BE$1:$AAD$1)),IF(IFERROR(ISNUMBER(VALUE(SUBSTITUTE($BE280:$AAD280,"B",""))),FALSE),IF(ISNUMBER(VALUE(SUBSTITUTE($BE280:$AAD280,"B",""))),1,0),0)))</f>
        <v>4</v>
      </c>
      <c r="AF280" t="str">
        <f t="shared" si="416"/>
        <v>C6</v>
      </c>
      <c r="AG280" t="str">
        <f t="shared" si="417"/>
        <v>B6</v>
      </c>
      <c r="AH280" t="str">
        <f t="shared" si="689"/>
        <v>A6.9</v>
      </c>
      <c r="AI280" s="43" cm="1">
        <f t="array" ref="AI280">IF(COUNTIFS(AH$2:AH280,AH280)=1,"1",VALUE(SUBSTITUTE(INDEX(AI:AI,_xlfn.XMATCH(AH280,AH$1:AH279,0,-1)),"A",""))+INDEX(AJ:AJ,_xlfn.XMATCH(AH280,AH$1:AH279,0,-1))+1)</f>
        <v>13</v>
      </c>
      <c r="AJ280" s="43" cm="1">
        <f t="array" ref="AJ280">SUM(IF(ISNUMBER(FIND("TmDo",$BE$1:$AAD$1)),IF(IFERROR(ISNUMBER(VALUE(SUBSTITUTE($BE280:$AAD280,"B",""))),FALSE),IF(ISNUMBER(VALUE(SUBSTITUTE($BE280:$AAD280,"B",""))),1,0),0)))</f>
        <v>2</v>
      </c>
      <c r="AK280" s="11" t="str">
        <f t="shared" si="419"/>
        <v>13B</v>
      </c>
      <c r="AL280" s="11" t="str">
        <f t="shared" si="420"/>
        <v>13A</v>
      </c>
      <c r="AM280" s="23" t="s">
        <v>150</v>
      </c>
      <c r="AN280" s="23"/>
      <c r="AO280" s="23"/>
      <c r="AP280" s="23" t="s">
        <v>137</v>
      </c>
      <c r="AQ280" s="23" t="s">
        <v>1794</v>
      </c>
      <c r="AR280" s="23"/>
      <c r="AS280" s="23"/>
      <c r="AT280" s="23" t="s">
        <v>139</v>
      </c>
      <c r="AU280" s="23" t="s">
        <v>140</v>
      </c>
      <c r="AV280" s="23"/>
      <c r="AW280" s="23"/>
      <c r="AX280" s="23"/>
      <c r="AY280" s="12"/>
      <c r="AZ280" s="12"/>
      <c r="BA280" s="12"/>
      <c r="BB280" s="12"/>
      <c r="BC280" s="12"/>
      <c r="BD280" s="13"/>
      <c r="BE280" s="23" t="str">
        <f t="shared" ref="BE280" si="845">CONCATENATE("XT",U280)</f>
        <v>XT100</v>
      </c>
      <c r="BF280" s="23" t="str">
        <f t="shared" ref="BF280" si="846">CONCATENATE("C",REPLACE(AF280,1,1,"")+1)</f>
        <v>C7</v>
      </c>
      <c r="BG280" s="23" t="str">
        <f t="shared" ref="BG280" si="847">CONCATENATE("B",REPLACE(AG280,1,1,"")+1)</f>
        <v>B7</v>
      </c>
      <c r="BH280" s="23" t="str">
        <f t="shared" ref="BH280" si="848">CONCATENATE("C",REPLACE(BF280,1,1,"")+1)</f>
        <v>C8</v>
      </c>
      <c r="BI280" s="23" t="str">
        <f t="shared" ref="BI280" si="849">CONCATENATE("B",REPLACE(BG280,1,1,"")+1)</f>
        <v>B8</v>
      </c>
      <c r="BJ280" s="23" t="str">
        <f t="shared" ref="BJ280" si="850">CONCATENATE("C",REPLACE(BH280,1,1,"")+1)</f>
        <v>C9</v>
      </c>
      <c r="BK280" s="23" t="str">
        <f t="shared" ref="BK280" si="851">CONCATENATE("B",REPLACE(BI280,1,1,"")+1)</f>
        <v>B9</v>
      </c>
      <c r="BL280" s="23" t="str">
        <f t="shared" ref="BL280" si="852">CONCATENATE("C",REPLACE(BJ280,1,1,"")+1)</f>
        <v>C10</v>
      </c>
      <c r="BM280" s="23" t="str">
        <f t="shared" ref="BM280" si="853">CONCATENATE("B",REPLACE(BK280,1,1,"")+1)</f>
        <v>B10</v>
      </c>
      <c r="BN280" s="23"/>
      <c r="BO280" s="23"/>
      <c r="BP280" s="23" t="str">
        <f t="shared" ref="BP280" si="854">CONCATENATE(REPLACE(AK280,LEN(AK280),1,"")+1,"B")</f>
        <v>14B</v>
      </c>
      <c r="BQ280" s="23" t="str">
        <f t="shared" ref="BQ280" si="855">CONCATENATE(REPLACE(AL280,LEN(AL280),1,"")+1,"A")</f>
        <v>14A</v>
      </c>
      <c r="BR280" s="23" t="str">
        <f t="shared" ref="BR280" si="856">CONCATENATE(REPLACE(BP280,LEN(BP280),1,"")+1,"B")</f>
        <v>15B</v>
      </c>
      <c r="BS280" s="23" t="str">
        <f t="shared" ref="BS280" si="857">CONCATENATE(REPLACE(BQ280,LEN(BQ280),1,"")+1,"A")</f>
        <v>15A</v>
      </c>
      <c r="BT280" s="23" t="str">
        <f t="shared" ref="BT280:BU280" si="858">CONCATENATE("DI",REPLACE($AC280,1,3,""),"-",AF280)</f>
        <v>DI17-C6</v>
      </c>
      <c r="BU280" s="23" t="str">
        <f t="shared" si="858"/>
        <v>DI17-B6</v>
      </c>
      <c r="BV280" s="23" t="str">
        <f t="shared" ref="BV280:CE280" si="859">CONCATENATE("DI",REPLACE($AC280,1,3,""),"-",BF280)</f>
        <v>DI17-C7</v>
      </c>
      <c r="BW280" s="23" t="str">
        <f t="shared" si="859"/>
        <v>DI17-B7</v>
      </c>
      <c r="BX280" s="23" t="str">
        <f t="shared" si="859"/>
        <v>DI17-C8</v>
      </c>
      <c r="BY280" s="23" t="str">
        <f t="shared" si="859"/>
        <v>DI17-B8</v>
      </c>
      <c r="BZ280" s="23" t="str">
        <f t="shared" si="859"/>
        <v>DI17-C9</v>
      </c>
      <c r="CA280" s="23" t="str">
        <f t="shared" si="859"/>
        <v>DI17-B9</v>
      </c>
      <c r="CB280" s="23" t="str">
        <f t="shared" si="859"/>
        <v>DI17-C10</v>
      </c>
      <c r="CC280" s="23" t="str">
        <f t="shared" si="859"/>
        <v>DI17-B10</v>
      </c>
      <c r="CD280" s="23" t="str">
        <f t="shared" si="859"/>
        <v>DI17-</v>
      </c>
      <c r="CE280" s="23" t="str">
        <f t="shared" si="859"/>
        <v>DI17-</v>
      </c>
      <c r="CF280" s="23" t="str">
        <f t="shared" ref="CF280:CG280" si="860">CONCATENATE("DO",REPLACE($AH280,1,3,""),"-",AK280)</f>
        <v>DO9-13B</v>
      </c>
      <c r="CG280" s="23" t="str">
        <f t="shared" si="860"/>
        <v>DO9-13A</v>
      </c>
      <c r="CH280" s="23" t="str">
        <f t="shared" ref="CH280:CK280" si="861">CONCATENATE("DO",REPLACE($AH280,1,3,""),"-",BP280)</f>
        <v>DO9-14B</v>
      </c>
      <c r="CI280" s="23" t="str">
        <f t="shared" si="861"/>
        <v>DO9-14A</v>
      </c>
      <c r="CJ280" s="23" t="str">
        <f t="shared" si="861"/>
        <v>DO9-15B</v>
      </c>
      <c r="CK280" s="23" t="str">
        <f t="shared" si="861"/>
        <v>DO9-15A</v>
      </c>
      <c r="CL280" s="23" t="str">
        <f t="shared" ref="CL280" si="862">CONCATENATE("K",$U280,"-10")</f>
        <v>K100-10</v>
      </c>
      <c r="CM280" s="23" t="str">
        <f t="shared" ref="CM280" si="863">CONCATENATE("K",$U280,"-03")</f>
        <v>K100-03</v>
      </c>
      <c r="CN280" s="23" t="str">
        <f t="shared" ref="CN280" si="864">CONCATENATE("K",$U280,"-04")</f>
        <v>K100-04</v>
      </c>
      <c r="CO280" s="23" t="str">
        <f t="shared" ref="CO280" si="865">CONCATENATE("K",$U280,"-01")</f>
        <v>K100-01</v>
      </c>
      <c r="CP280" s="23" t="str">
        <f t="shared" ref="CP280" si="866">CONCATENATE("K",$U280,"-08")</f>
        <v>K100-08</v>
      </c>
      <c r="CQ280" s="23" t="str">
        <f t="shared" ref="CQ280" si="867">CONCATENATE("K",$U280,"-02")</f>
        <v>K100-02</v>
      </c>
      <c r="CR280" s="23" t="str">
        <f t="shared" ref="CR280" si="868">CONCATENATE("K",$U280,"-09")</f>
        <v>K100-09</v>
      </c>
      <c r="CS280" s="23" t="str">
        <f t="shared" ref="CS280" si="869">CONCATENATE("K",$U280,"-05")</f>
        <v>K100-05</v>
      </c>
      <c r="CT280" s="23" t="str">
        <f t="shared" ref="CT280" si="870">CONCATENATE("K",$U280,"-11")</f>
        <v>K100-11</v>
      </c>
      <c r="CU280" s="23" t="str">
        <f t="shared" ref="CU280" si="871">CONCATENATE($T280,"-M",$U280,"-A9")</f>
        <v>F0-M100-A9</v>
      </c>
      <c r="CV280" s="23" t="str">
        <f t="shared" ref="CV280" si="872">CONCATENATE($T280,"-M",$U280,"-A7")</f>
        <v>F0-M100-A7</v>
      </c>
      <c r="CW280" s="23" t="str">
        <f t="shared" ref="CW280" si="873">CONCATENATE($T280,"-M",$U280,"-A8")</f>
        <v>F0-M100-A8</v>
      </c>
      <c r="CX280" s="23" t="str">
        <f t="shared" ref="CX280" si="874">CONCATENATE($T280,"-M",$U280,"-A6")</f>
        <v>F0-M100-A6</v>
      </c>
      <c r="CY280" s="23" t="str">
        <f t="shared" ref="CY280" si="875">CONCATENATE($T280,"-M",$U280,"-A30")</f>
        <v>F0-M100-A30</v>
      </c>
      <c r="CZ280" s="23" t="str">
        <f t="shared" ref="CZ280" si="876">CONCATENATE($T280,"-M",$U280,"-N")</f>
        <v>F0-M100-N</v>
      </c>
      <c r="DA280" s="23" t="str">
        <f t="shared" ref="DA280" si="877">CONCATENATE($T280,"-A220-M",U280)</f>
        <v>F0-A220-M100</v>
      </c>
      <c r="DB280" s="23" t="str">
        <f t="shared" ref="DB280" si="878">CONCATENATE($T280,"-M",$U280,"-XM01")</f>
        <v>F0-M100-XM01</v>
      </c>
      <c r="DC280" s="23" t="str">
        <f t="shared" ref="DC280" si="879">CONCATENATE($T280,"-M",$U280,"-A1")</f>
        <v>F0-M100-A1</v>
      </c>
      <c r="DD280" s="23" t="str">
        <f t="shared" ref="DD280" si="880">CONCATENATE($T280,"-M",$U280,"-A5")</f>
        <v>F0-M100-A5</v>
      </c>
      <c r="DE280" s="23" t="str">
        <f t="shared" ref="DE280" si="881">CONCATENATE($T280,"-M",$U280,"-A11")</f>
        <v>F0-M100-A11</v>
      </c>
      <c r="DF280" s="23" t="str">
        <f t="shared" ref="DF280" si="882">CONCATENATE($T280,"-M",$U280,"-A12")</f>
        <v>F0-M100-A12</v>
      </c>
      <c r="DG280" s="23" t="str">
        <f t="shared" ref="DG280" si="883">CONCATENATE($T280,"-M",$U280,"-A19")</f>
        <v>F0-M100-A19</v>
      </c>
      <c r="DH280" s="23" t="str">
        <f t="shared" ref="DH280" si="884">CONCATENATE($T280,"-M",$U280,"-A20")</f>
        <v>F0-M100-A20</v>
      </c>
      <c r="DI280" s="23" t="s">
        <v>142</v>
      </c>
      <c r="DJ280" s="23" t="s">
        <v>143</v>
      </c>
      <c r="DK280" s="23">
        <v>11</v>
      </c>
      <c r="DL280" s="23">
        <v>14</v>
      </c>
      <c r="DM280" s="23">
        <v>12</v>
      </c>
      <c r="DN280" s="23" t="s">
        <v>144</v>
      </c>
      <c r="DO280" s="23" t="s">
        <v>1837</v>
      </c>
      <c r="DP280" s="23">
        <v>1</v>
      </c>
      <c r="DQ280" s="23">
        <v>2</v>
      </c>
      <c r="DR280" s="23">
        <v>3</v>
      </c>
      <c r="DS280" s="23">
        <v>4</v>
      </c>
      <c r="DT280" s="23">
        <v>5</v>
      </c>
      <c r="DU280" s="23">
        <v>6</v>
      </c>
      <c r="DV280" s="23">
        <v>7</v>
      </c>
      <c r="DW280" s="23">
        <v>8</v>
      </c>
      <c r="DX280" s="23">
        <v>9</v>
      </c>
      <c r="DY280" s="23">
        <v>10</v>
      </c>
      <c r="DZ280" s="23">
        <v>11</v>
      </c>
      <c r="EA280" s="23">
        <v>12</v>
      </c>
      <c r="EB280" s="23">
        <v>13</v>
      </c>
      <c r="EC280" s="23">
        <v>14</v>
      </c>
      <c r="ED280" s="23">
        <v>1</v>
      </c>
      <c r="EE280" s="23">
        <v>3</v>
      </c>
      <c r="EF280" s="23">
        <v>4</v>
      </c>
      <c r="EG280" s="23">
        <v>7</v>
      </c>
      <c r="EH280" s="23">
        <v>8</v>
      </c>
      <c r="EI280" s="23">
        <v>9</v>
      </c>
      <c r="EJ280" s="23">
        <v>10</v>
      </c>
      <c r="EK280" s="23">
        <v>13</v>
      </c>
      <c r="EL280" s="23">
        <v>14</v>
      </c>
      <c r="EM280" s="23">
        <v>15</v>
      </c>
      <c r="EN280" s="23">
        <v>16</v>
      </c>
      <c r="EO280" s="23">
        <v>22</v>
      </c>
      <c r="EP280" s="23">
        <v>23</v>
      </c>
      <c r="EQ280" s="24">
        <v>24</v>
      </c>
    </row>
    <row r="281" spans="1:355" ht="15.75" thickBot="1" x14ac:dyDescent="0.3">
      <c r="A281" t="s">
        <v>1856</v>
      </c>
      <c r="B281" t="s">
        <v>1838</v>
      </c>
      <c r="C281" t="s">
        <v>1871</v>
      </c>
      <c r="P281" t="s">
        <v>1785</v>
      </c>
      <c r="T281" s="10" t="s">
        <v>554</v>
      </c>
      <c r="U281" s="49">
        <v>101</v>
      </c>
      <c r="V281" s="11" t="s">
        <v>1839</v>
      </c>
      <c r="W281" s="11" t="s">
        <v>1840</v>
      </c>
      <c r="X281" t="str" cm="1">
        <f t="array" ref="X281">IF(COUNTIF(X$1:X280,INDEX(X$1:X280,MAX(IF(X$1:X280&lt;&gt;"",ROW(X$1:X280)))))&gt;7,REPLACE(INDEX(X$1:X280,MAX(IF(X$1:X280&lt;&gt;"",ROW(X$1:X280)))),LEN(INDEX(X$1:X280,MAX(IF(X$1:X280&lt;&gt;"",ROW(X$1:X280))))),1,VALUE(RIGHT(INDEX(X$1:X280,MAX(IF(X$1:X280&lt;&gt;"",ROW(X$1:X280)))),1))+1),INDEX(X$1:X280,MAX(IF(X$1:X280&lt;&gt;"",ROW(X$1:X280)))))</f>
        <v>A3.33</v>
      </c>
      <c r="Y281" s="43" cm="1">
        <f t="array" ref="Y281">IF(COUNTIFS(X$2:X281,X281)=1,"1",VALUE(SUBSTITUTE(INDEX(Y:Y,_xlfn.XMATCH(X281,X$1:X280,0,-1)),"A",""))+INDEX(Z:Z,_xlfn.XMATCH(X281,X$1:X280,0,-1))+1)</f>
        <v>8</v>
      </c>
      <c r="Z281" s="43" cm="1">
        <f t="array" ref="Z281">SUM(IF(ISNUMBER(FIND("TmAi",$BE$1:$AAD$1)),IF(IFERROR(ISODD(SUBSTITUTE($BE281:$AAD281,"A","")),FALSE),IF(ISODD(SUBSTITUTE($BE281:$AAD281,"A","")),1,0),0)))</f>
        <v>0</v>
      </c>
      <c r="AA281" t="str">
        <f t="shared" ref="AA281" si="885">CONCATENATE($Y281*2-1,"A")</f>
        <v>15A</v>
      </c>
      <c r="AB281" t="str">
        <f t="shared" ref="AB281" si="886">CONCATENATE($Y281*2-1,"B")</f>
        <v>15B</v>
      </c>
      <c r="AC281" t="str">
        <f t="shared" si="844"/>
        <v>A5.17</v>
      </c>
      <c r="AD281" s="43" cm="1">
        <f t="array" ref="AD281">IF(COUNTIFS(AC$2:AC281,AC281)=1,"1",VALUE(SUBSTITUTE(INDEX(AD:AD,_xlfn.XMATCH(AC281,AC$1:AC280,0,-1)),"A",""))+INDEX(AE:AE,_xlfn.XMATCH(AC281,AC$1:AC280,0,-1))+1)</f>
        <v>11</v>
      </c>
      <c r="AE281" s="43" cm="1">
        <f t="array" ref="AE281">SUM(IF(ISNUMBER(FIND("TmDi",$BE$1:$AAD$1)),IF(IFERROR(ISNUMBER(VALUE(SUBSTITUTE($BE281:$AAD281,"B",""))),FALSE),IF(ISNUMBER(VALUE(SUBSTITUTE($BE281:$AAD281,"B",""))),1,0),0)))</f>
        <v>4</v>
      </c>
      <c r="AF281" t="str">
        <f t="shared" si="416"/>
        <v>C11</v>
      </c>
      <c r="AG281" t="str">
        <f t="shared" si="417"/>
        <v>B11</v>
      </c>
      <c r="AH281" t="str">
        <f t="shared" si="689"/>
        <v>A6.9</v>
      </c>
      <c r="AI281" s="43" cm="1">
        <f t="array" ref="AI281">IF(COUNTIFS(AH$2:AH281,AH281)=1,"1",VALUE(SUBSTITUTE(INDEX(AI:AI,_xlfn.XMATCH(AH281,AH$1:AH280,0,-1)),"A",""))+INDEX(AJ:AJ,_xlfn.XMATCH(AH281,AH$1:AH280,0,-1))+1)</f>
        <v>16</v>
      </c>
      <c r="AJ281" s="43" cm="1">
        <f t="array" ref="AJ281">SUM(IF(ISNUMBER(FIND("TmDo",$BE$1:$AAD$1)),IF(IFERROR(ISNUMBER(VALUE(SUBSTITUTE($BE281:$AAD281,"B",""))),FALSE),IF(ISNUMBER(VALUE(SUBSTITUTE($BE281:$AAD281,"B",""))),1,0),0)))</f>
        <v>1</v>
      </c>
      <c r="AK281" s="11" t="str">
        <f t="shared" si="419"/>
        <v>16B</v>
      </c>
      <c r="AL281" s="11" t="str">
        <f t="shared" si="420"/>
        <v>16A</v>
      </c>
      <c r="AM281" s="12" t="s">
        <v>161</v>
      </c>
      <c r="AN281" s="12"/>
      <c r="AO281" s="12"/>
      <c r="AP281" s="12" t="s">
        <v>137</v>
      </c>
      <c r="AQ281" s="12" t="s">
        <v>1794</v>
      </c>
      <c r="AR281" s="12"/>
      <c r="AS281" s="12" t="s">
        <v>396</v>
      </c>
      <c r="AT281" s="12" t="s">
        <v>139</v>
      </c>
      <c r="AU281" s="12" t="s">
        <v>140</v>
      </c>
      <c r="AV281" s="12"/>
      <c r="AW281" s="12"/>
      <c r="AX281" s="12"/>
      <c r="AY281" s="12"/>
      <c r="AZ281" s="12"/>
      <c r="BA281" s="12"/>
      <c r="BB281" s="12"/>
      <c r="BC281" s="12"/>
      <c r="BD281" s="13"/>
      <c r="GT281" s="25" t="str">
        <f>CONCATENATE("XT",$U281)</f>
        <v>XT101</v>
      </c>
      <c r="GU281" s="12" t="str">
        <f t="shared" ref="GU281" si="887">CONCATENATE("C",REPLACE(AF281,1,1,"")+1)</f>
        <v>C12</v>
      </c>
      <c r="GV281" s="12" t="str">
        <f t="shared" ref="GV281" si="888">CONCATENATE("B",REPLACE(AG281,1,1,"")+1)</f>
        <v>B12</v>
      </c>
      <c r="GW281" s="12" t="str">
        <f t="shared" ref="GW281" si="889">CONCATENATE("C",REPLACE(GU281,1,1,"")+1)</f>
        <v>C13</v>
      </c>
      <c r="GX281" s="12" t="str">
        <f t="shared" ref="GX281" si="890">CONCATENATE("B",REPLACE(GV281,1,1,"")+1)</f>
        <v>B13</v>
      </c>
      <c r="GY281" s="12" t="str">
        <f t="shared" ref="GY281" si="891">CONCATENATE("C",REPLACE(GW281,1,1,"")+1)</f>
        <v>C14</v>
      </c>
      <c r="GZ281" s="12" t="str">
        <f t="shared" ref="GZ281" si="892">CONCATENATE("B",REPLACE(GX281,1,1,"")+1)</f>
        <v>B14</v>
      </c>
      <c r="HA281" s="12" t="str">
        <f t="shared" ref="HA281" si="893">CONCATENATE("C",REPLACE(GY281,1,1,"")+1)</f>
        <v>C15</v>
      </c>
      <c r="HB281" s="12" t="str">
        <f t="shared" ref="HB281" si="894">CONCATENATE("B",REPLACE(GZ281,1,1,"")+1)</f>
        <v>B15</v>
      </c>
      <c r="HC281" s="12"/>
      <c r="HD281" s="12"/>
      <c r="HE281" s="12" t="str">
        <f t="shared" ref="HE281" si="895">CONCATENATE(REPLACE(AK281,LEN(AK281),1,"")+1,"B")</f>
        <v>17B</v>
      </c>
      <c r="HF281" s="12" t="str">
        <f t="shared" ref="HF281" si="896">CONCATENATE(REPLACE(AL281,LEN(AL281),1,"")+1,"A")</f>
        <v>17A</v>
      </c>
      <c r="HG281" s="12" t="str">
        <f t="shared" ref="HG281:HH281" si="897">CONCATENATE("AI",REPLACE($X281,1,3,""),"-",AA281)</f>
        <v>AI33-15A</v>
      </c>
      <c r="HH281" s="12" t="str">
        <f t="shared" si="897"/>
        <v>AI33-15B</v>
      </c>
      <c r="HI281" s="12" t="str">
        <f t="shared" ref="HI281:HJ281" si="898">CONCATENATE("DI",REPLACE($AC281,1,3,""),"-",AF281)</f>
        <v>DI17-C11</v>
      </c>
      <c r="HJ281" s="12" t="str">
        <f t="shared" si="898"/>
        <v>DI17-B11</v>
      </c>
      <c r="HK281" s="12" t="str">
        <f t="shared" ref="HK281:HT281" si="899">CONCATENATE("DI",REPLACE($AC281,1,3,""),"-",GU281)</f>
        <v>DI17-C12</v>
      </c>
      <c r="HL281" s="12" t="str">
        <f t="shared" si="899"/>
        <v>DI17-B12</v>
      </c>
      <c r="HM281" s="12" t="str">
        <f t="shared" si="899"/>
        <v>DI17-C13</v>
      </c>
      <c r="HN281" s="12" t="str">
        <f t="shared" si="899"/>
        <v>DI17-B13</v>
      </c>
      <c r="HO281" s="12" t="str">
        <f t="shared" si="899"/>
        <v>DI17-C14</v>
      </c>
      <c r="HP281" s="12" t="str">
        <f t="shared" si="899"/>
        <v>DI17-B14</v>
      </c>
      <c r="HQ281" s="12" t="str">
        <f t="shared" si="899"/>
        <v>DI17-C15</v>
      </c>
      <c r="HR281" s="12" t="str">
        <f t="shared" si="899"/>
        <v>DI17-B15</v>
      </c>
      <c r="HS281" s="12" t="str">
        <f t="shared" si="899"/>
        <v>DI17-</v>
      </c>
      <c r="HT281" s="12" t="str">
        <f t="shared" si="899"/>
        <v>DI17-</v>
      </c>
      <c r="HU281" s="12" t="str">
        <f t="shared" ref="HU281:HV281" si="900">CONCATENATE("DO",REPLACE($AH281,1,3,""),"-",AK281)</f>
        <v>DO9-16B</v>
      </c>
      <c r="HV281" s="12" t="str">
        <f t="shared" si="900"/>
        <v>DO9-16A</v>
      </c>
      <c r="HW281" s="12" t="str">
        <f t="shared" ref="HW281:HX281" si="901">CONCATENATE("DO",REPLACE($AH281,1,3,""),"-",HE281)</f>
        <v>DO9-17B</v>
      </c>
      <c r="HX281" s="12" t="str">
        <f t="shared" si="901"/>
        <v>DO9-17A</v>
      </c>
      <c r="HY281" s="12" t="str">
        <f t="shared" ref="HY281" si="902">CONCATENATE("K",$U281,"-01")</f>
        <v>K101-01</v>
      </c>
      <c r="HZ281" s="12" t="str">
        <f t="shared" ref="HZ281" si="903">CONCATENATE("K",$U281,"-02")</f>
        <v>K101-02</v>
      </c>
      <c r="IA281" s="12" t="str">
        <f t="shared" ref="IA281" si="904">CONCATENATE("K",$U281,"-03")</f>
        <v>K101-03</v>
      </c>
      <c r="IB281" s="12" t="str">
        <f t="shared" ref="IB281" si="905">CONCATENATE("K",$U281,"-04")</f>
        <v>K101-04</v>
      </c>
      <c r="IC281" s="12" t="str">
        <f t="shared" ref="IC281" si="906">CONCATENATE("K",$U281,"-05")</f>
        <v>K101-05</v>
      </c>
      <c r="ID281" s="12" t="str">
        <f t="shared" ref="ID281" si="907">CONCATENATE("K",$U281,"-06")</f>
        <v>K101-06</v>
      </c>
      <c r="IE281" s="12" t="str">
        <f t="shared" ref="IE281" si="908">CONCATENATE("K",$U281,"-07")</f>
        <v>K101-07</v>
      </c>
      <c r="IF281" s="12" t="str">
        <f t="shared" ref="IF281" si="909">CONCATENATE("K",$U281,"-08")</f>
        <v>K101-08</v>
      </c>
      <c r="IG281" s="12" t="str">
        <f t="shared" ref="IG281" si="910">CONCATENATE($T281,"-M",$U281,"-AMS-12")</f>
        <v>F0-M101-AMS-12</v>
      </c>
      <c r="IH281" s="12" t="str">
        <f t="shared" ref="IH281" si="911">CONCATENATE($T281,"-M",$U281,"-AMS-10")</f>
        <v>F0-M101-AMS-10</v>
      </c>
      <c r="II281" s="12" t="str">
        <f t="shared" ref="II281" si="912">CONCATENATE($T281,"-M",$U281,"-AMS-11")</f>
        <v>F0-M101-AMS-11</v>
      </c>
      <c r="IJ281" s="12" t="str">
        <f t="shared" ref="IJ281" si="913">CONCATENATE($T281,"-M",$U281,"-AMS-13")</f>
        <v>F0-M101-AMS-13</v>
      </c>
      <c r="IK281" s="12" t="str">
        <f t="shared" ref="IK281" si="914">CONCATENATE($T281,"-M",$U281,"-AMS-9")</f>
        <v>F0-M101-AMS-9</v>
      </c>
      <c r="IL281" s="12" t="str">
        <f t="shared" ref="IL281" si="915">CONCATENATE($T281,"-M",$U281,"-AMS-7")</f>
        <v>F0-M101-AMS-7</v>
      </c>
      <c r="IM281" s="12" t="str">
        <f t="shared" ref="IM281" si="916">CONCATENATE($T281,"-M",$U281,"-AMS-18")</f>
        <v>F0-M101-AMS-18</v>
      </c>
      <c r="IN281" s="12" t="str">
        <f t="shared" ref="IN281" si="917">CONCATENATE($T281,"-M",$U281,"-AMS-20")</f>
        <v>F0-M101-AMS-20</v>
      </c>
      <c r="IO281" s="12" t="str">
        <f t="shared" ref="IO281" si="918">CONCATENATE($T281,"-M",$U281,"-AMS-17")</f>
        <v>F0-M101-AMS-17</v>
      </c>
      <c r="IP281" s="12" t="str">
        <f t="shared" ref="IP281" si="919">CONCATENATE($T281,"-+24-M",$U281,)</f>
        <v>F0-+24-M101</v>
      </c>
      <c r="IQ281" s="12" t="str">
        <f t="shared" ref="IQ281" si="920">CONCATENATE($T281,"-M",$U281,"-XM01")</f>
        <v>F0-M101-XM01</v>
      </c>
      <c r="IR281" s="12" t="s">
        <v>142</v>
      </c>
      <c r="IS281" s="12" t="s">
        <v>143</v>
      </c>
      <c r="IT281" s="12">
        <v>11</v>
      </c>
      <c r="IU281" s="12">
        <v>14</v>
      </c>
      <c r="IV281" s="12" t="s">
        <v>413</v>
      </c>
      <c r="IW281" s="12" t="s">
        <v>414</v>
      </c>
      <c r="IX281" s="12">
        <v>1</v>
      </c>
      <c r="IY281" s="12">
        <v>2</v>
      </c>
      <c r="IZ281" s="12">
        <v>3</v>
      </c>
      <c r="JA281" s="12">
        <v>4</v>
      </c>
      <c r="JB281" s="12">
        <v>5</v>
      </c>
      <c r="JC281" s="12">
        <v>6</v>
      </c>
      <c r="JD281" s="12">
        <v>7</v>
      </c>
      <c r="JE281" s="12">
        <v>8</v>
      </c>
      <c r="JF281" s="12">
        <v>9</v>
      </c>
      <c r="JG281" s="12">
        <v>10</v>
      </c>
      <c r="JH281" s="12">
        <v>11</v>
      </c>
      <c r="JI281" s="12">
        <v>12</v>
      </c>
      <c r="JJ281" s="12">
        <v>13</v>
      </c>
      <c r="JK281" s="12">
        <v>14</v>
      </c>
      <c r="JL281" s="12">
        <v>17</v>
      </c>
      <c r="JM281" s="12">
        <v>15</v>
      </c>
      <c r="JN281" s="12">
        <v>18</v>
      </c>
      <c r="JO281" s="12">
        <v>11</v>
      </c>
      <c r="JP281" s="12">
        <v>9</v>
      </c>
      <c r="JQ281" s="12">
        <v>6</v>
      </c>
      <c r="JR281" s="12">
        <v>20</v>
      </c>
      <c r="JS281" s="12">
        <v>7</v>
      </c>
      <c r="JT281" s="12">
        <v>10</v>
      </c>
      <c r="JU281" s="12">
        <v>22</v>
      </c>
      <c r="JV281" s="12">
        <v>23</v>
      </c>
      <c r="JW281" s="12">
        <v>26</v>
      </c>
      <c r="JX281" s="12">
        <v>27</v>
      </c>
      <c r="JY281" s="13">
        <v>30</v>
      </c>
    </row>
    <row r="282" spans="1:355" ht="15.75" thickBot="1" x14ac:dyDescent="0.3">
      <c r="A282" t="s">
        <v>1857</v>
      </c>
      <c r="B282" t="s">
        <v>1841</v>
      </c>
      <c r="C282" s="3" t="s">
        <v>1872</v>
      </c>
      <c r="O282" s="2"/>
      <c r="P282" t="s">
        <v>1784</v>
      </c>
      <c r="Q282" s="1"/>
      <c r="S282" s="1"/>
      <c r="T282" s="21" t="s">
        <v>554</v>
      </c>
      <c r="U282" s="50">
        <v>102</v>
      </c>
      <c r="V282" s="18" t="s">
        <v>1842</v>
      </c>
      <c r="W282" s="22"/>
      <c r="X282" s="23"/>
      <c r="Y282" s="23"/>
      <c r="Z282" s="23"/>
      <c r="AA282" s="23"/>
      <c r="AB282" s="23"/>
      <c r="AC282" t="str">
        <f t="shared" si="844"/>
        <v>A5.17</v>
      </c>
      <c r="AD282" s="43" cm="1">
        <f t="array" ref="AD282">IF(COUNTIFS(AC$2:AC282,AC282)=1,"1",VALUE(SUBSTITUTE(INDEX(AD:AD,_xlfn.XMATCH(AC282,AC$1:AC281,0,-1)),"A",""))+INDEX(AE:AE,_xlfn.XMATCH(AC282,AC$1:AC281,0,-1))+1)</f>
        <v>16</v>
      </c>
      <c r="AE282" s="43" cm="1">
        <f t="array" ref="AE282">SUM(IF(ISNUMBER(FIND("TmDi",$BE$1:$AAD$1)),IF(IFERROR(ISNUMBER(VALUE(SUBSTITUTE($BE282:$AAD282,"B",""))),FALSE),IF(ISNUMBER(VALUE(SUBSTITUTE($BE282:$AAD282,"B",""))),1,0),0)))</f>
        <v>4</v>
      </c>
      <c r="AF282" t="str">
        <f t="shared" si="416"/>
        <v>C16</v>
      </c>
      <c r="AG282" t="str">
        <f t="shared" si="417"/>
        <v>B16</v>
      </c>
      <c r="AH282" t="str">
        <f t="shared" si="689"/>
        <v>A6.9</v>
      </c>
      <c r="AI282" s="43" cm="1">
        <f t="array" ref="AI282">IF(COUNTIFS(AH$2:AH282,AH282)=1,"1",VALUE(SUBSTITUTE(INDEX(AI:AI,_xlfn.XMATCH(AH282,AH$1:AH281,0,-1)),"A",""))+INDEX(AJ:AJ,_xlfn.XMATCH(AH282,AH$1:AH281,0,-1))+1)</f>
        <v>18</v>
      </c>
      <c r="AJ282" s="43" cm="1">
        <f t="array" ref="AJ282">SUM(IF(ISNUMBER(FIND("TmDo",$BE$1:$AAD$1)),IF(IFERROR(ISNUMBER(VALUE(SUBSTITUTE($BE282:$AAD282,"B",""))),FALSE),IF(ISNUMBER(VALUE(SUBSTITUTE($BE282:$AAD282,"B",""))),1,0),0)))</f>
        <v>2</v>
      </c>
      <c r="AK282" s="11" t="str">
        <f t="shared" si="419"/>
        <v>18B</v>
      </c>
      <c r="AL282" s="11" t="str">
        <f t="shared" si="420"/>
        <v>18A</v>
      </c>
      <c r="AM282" s="23" t="s">
        <v>150</v>
      </c>
      <c r="AN282" s="23"/>
      <c r="AO282" s="23"/>
      <c r="AP282" s="23" t="s">
        <v>137</v>
      </c>
      <c r="AQ282" s="23" t="s">
        <v>1794</v>
      </c>
      <c r="AR282" s="23"/>
      <c r="AS282" s="23"/>
      <c r="AT282" s="23" t="s">
        <v>139</v>
      </c>
      <c r="AU282" s="23" t="s">
        <v>140</v>
      </c>
      <c r="AV282" s="23"/>
      <c r="AW282" s="23"/>
      <c r="AX282" s="23"/>
      <c r="AY282" s="12"/>
      <c r="AZ282" s="12"/>
      <c r="BA282" s="12"/>
      <c r="BB282" s="12"/>
      <c r="BC282" s="12"/>
      <c r="BD282" s="13"/>
      <c r="BE282" s="23" t="str">
        <f t="shared" ref="BE282:BE285" si="921">CONCATENATE("XT",U282)</f>
        <v>XT102</v>
      </c>
      <c r="BF282" s="23" t="str">
        <f t="shared" ref="BF282:BF285" si="922">CONCATENATE("C",REPLACE(AF282,1,1,"")+1)</f>
        <v>C17</v>
      </c>
      <c r="BG282" s="23" t="str">
        <f t="shared" ref="BG282:BG285" si="923">CONCATENATE("B",REPLACE(AG282,1,1,"")+1)</f>
        <v>B17</v>
      </c>
      <c r="BH282" s="23" t="str">
        <f t="shared" ref="BH282:BH285" si="924">CONCATENATE("C",REPLACE(BF282,1,1,"")+1)</f>
        <v>C18</v>
      </c>
      <c r="BI282" s="23" t="str">
        <f t="shared" ref="BI282:BI285" si="925">CONCATENATE("B",REPLACE(BG282,1,1,"")+1)</f>
        <v>B18</v>
      </c>
      <c r="BJ282" s="23" t="str">
        <f t="shared" ref="BJ282:BJ285" si="926">CONCATENATE("C",REPLACE(BH282,1,1,"")+1)</f>
        <v>C19</v>
      </c>
      <c r="BK282" s="23" t="str">
        <f t="shared" ref="BK282:BK285" si="927">CONCATENATE("B",REPLACE(BI282,1,1,"")+1)</f>
        <v>B19</v>
      </c>
      <c r="BL282" s="23" t="str">
        <f t="shared" ref="BL282:BL285" si="928">CONCATENATE("C",REPLACE(BJ282,1,1,"")+1)</f>
        <v>C20</v>
      </c>
      <c r="BM282" s="23" t="str">
        <f t="shared" ref="BM282:BM285" si="929">CONCATENATE("B",REPLACE(BK282,1,1,"")+1)</f>
        <v>B20</v>
      </c>
      <c r="BN282" s="23"/>
      <c r="BO282" s="23"/>
      <c r="BP282" s="23" t="str">
        <f t="shared" ref="BP282:BP285" si="930">CONCATENATE(REPLACE(AK282,LEN(AK282),1,"")+1,"B")</f>
        <v>19B</v>
      </c>
      <c r="BQ282" s="23" t="str">
        <f t="shared" ref="BQ282:BQ285" si="931">CONCATENATE(REPLACE(AL282,LEN(AL282),1,"")+1,"A")</f>
        <v>19A</v>
      </c>
      <c r="BR282" s="23" t="str">
        <f t="shared" ref="BR282:BR285" si="932">CONCATENATE(REPLACE(BP282,LEN(BP282),1,"")+1,"B")</f>
        <v>20B</v>
      </c>
      <c r="BS282" s="23" t="str">
        <f t="shared" ref="BS282:BS285" si="933">CONCATENATE(REPLACE(BQ282,LEN(BQ282),1,"")+1,"A")</f>
        <v>20A</v>
      </c>
      <c r="BT282" s="23" t="str">
        <f t="shared" ref="BT282:BU285" si="934">CONCATENATE("DI",REPLACE($AC282,1,3,""),"-",AF282)</f>
        <v>DI17-C16</v>
      </c>
      <c r="BU282" s="23" t="str">
        <f t="shared" si="934"/>
        <v>DI17-B16</v>
      </c>
      <c r="BV282" s="23" t="str">
        <f t="shared" ref="BV282:CE285" si="935">CONCATENATE("DI",REPLACE($AC282,1,3,""),"-",BF282)</f>
        <v>DI17-C17</v>
      </c>
      <c r="BW282" s="23" t="str">
        <f t="shared" si="935"/>
        <v>DI17-B17</v>
      </c>
      <c r="BX282" s="23" t="str">
        <f t="shared" si="935"/>
        <v>DI17-C18</v>
      </c>
      <c r="BY282" s="23" t="str">
        <f t="shared" si="935"/>
        <v>DI17-B18</v>
      </c>
      <c r="BZ282" s="23" t="str">
        <f t="shared" si="935"/>
        <v>DI17-C19</v>
      </c>
      <c r="CA282" s="23" t="str">
        <f t="shared" si="935"/>
        <v>DI17-B19</v>
      </c>
      <c r="CB282" s="23" t="str">
        <f t="shared" si="935"/>
        <v>DI17-C20</v>
      </c>
      <c r="CC282" s="23" t="str">
        <f t="shared" si="935"/>
        <v>DI17-B20</v>
      </c>
      <c r="CD282" s="23" t="str">
        <f t="shared" si="935"/>
        <v>DI17-</v>
      </c>
      <c r="CE282" s="23" t="str">
        <f t="shared" si="935"/>
        <v>DI17-</v>
      </c>
      <c r="CF282" s="23" t="str">
        <f t="shared" ref="CF282:CG285" si="936">CONCATENATE("DO",REPLACE($AH282,1,3,""),"-",AK282)</f>
        <v>DO9-18B</v>
      </c>
      <c r="CG282" s="23" t="str">
        <f t="shared" si="936"/>
        <v>DO9-18A</v>
      </c>
      <c r="CH282" s="23" t="str">
        <f t="shared" ref="CH282:CK285" si="937">CONCATENATE("DO",REPLACE($AH282,1,3,""),"-",BP282)</f>
        <v>DO9-19B</v>
      </c>
      <c r="CI282" s="23" t="str">
        <f t="shared" si="937"/>
        <v>DO9-19A</v>
      </c>
      <c r="CJ282" s="23" t="str">
        <f t="shared" si="937"/>
        <v>DO9-20B</v>
      </c>
      <c r="CK282" s="23" t="str">
        <f t="shared" si="937"/>
        <v>DO9-20A</v>
      </c>
      <c r="CL282" s="23" t="str">
        <f t="shared" ref="CL282:CL285" si="938">CONCATENATE("K",$U282,"-10")</f>
        <v>K102-10</v>
      </c>
      <c r="CM282" s="23" t="str">
        <f t="shared" ref="CM282:CM285" si="939">CONCATENATE("K",$U282,"-03")</f>
        <v>K102-03</v>
      </c>
      <c r="CN282" s="23" t="str">
        <f t="shared" ref="CN282:CN285" si="940">CONCATENATE("K",$U282,"-04")</f>
        <v>K102-04</v>
      </c>
      <c r="CO282" s="23" t="str">
        <f t="shared" ref="CO282:CO285" si="941">CONCATENATE("K",$U282,"-01")</f>
        <v>K102-01</v>
      </c>
      <c r="CP282" s="23" t="str">
        <f t="shared" ref="CP282:CP285" si="942">CONCATENATE("K",$U282,"-08")</f>
        <v>K102-08</v>
      </c>
      <c r="CQ282" s="23" t="str">
        <f t="shared" ref="CQ282:CQ285" si="943">CONCATENATE("K",$U282,"-02")</f>
        <v>K102-02</v>
      </c>
      <c r="CR282" s="23" t="str">
        <f t="shared" ref="CR282:CR285" si="944">CONCATENATE("K",$U282,"-09")</f>
        <v>K102-09</v>
      </c>
      <c r="CS282" s="23" t="str">
        <f t="shared" ref="CS282:CS285" si="945">CONCATENATE("K",$U282,"-05")</f>
        <v>K102-05</v>
      </c>
      <c r="CT282" s="23" t="str">
        <f t="shared" ref="CT282:CT285" si="946">CONCATENATE("K",$U282,"-11")</f>
        <v>K102-11</v>
      </c>
      <c r="CU282" s="23" t="str">
        <f t="shared" ref="CU282:CU285" si="947">CONCATENATE($T282,"-M",$U282,"-A9")</f>
        <v>F0-M102-A9</v>
      </c>
      <c r="CV282" s="23" t="str">
        <f t="shared" ref="CV282:CV285" si="948">CONCATENATE($T282,"-M",$U282,"-A7")</f>
        <v>F0-M102-A7</v>
      </c>
      <c r="CW282" s="23" t="str">
        <f t="shared" ref="CW282:CW285" si="949">CONCATENATE($T282,"-M",$U282,"-A8")</f>
        <v>F0-M102-A8</v>
      </c>
      <c r="CX282" s="23" t="str">
        <f t="shared" ref="CX282:CX285" si="950">CONCATENATE($T282,"-M",$U282,"-A6")</f>
        <v>F0-M102-A6</v>
      </c>
      <c r="CY282" s="23" t="str">
        <f t="shared" ref="CY282:CY285" si="951">CONCATENATE($T282,"-M",$U282,"-A30")</f>
        <v>F0-M102-A30</v>
      </c>
      <c r="CZ282" s="23" t="str">
        <f t="shared" ref="CZ282:CZ285" si="952">CONCATENATE($T282,"-M",$U282,"-N")</f>
        <v>F0-M102-N</v>
      </c>
      <c r="DA282" s="23" t="str">
        <f t="shared" ref="DA282:DA285" si="953">CONCATENATE($T282,"-A220-M",U282)</f>
        <v>F0-A220-M102</v>
      </c>
      <c r="DB282" s="23" t="str">
        <f t="shared" ref="DB282:DB285" si="954">CONCATENATE($T282,"-M",$U282,"-XM01")</f>
        <v>F0-M102-XM01</v>
      </c>
      <c r="DC282" s="23" t="str">
        <f t="shared" ref="DC282:DC285" si="955">CONCATENATE($T282,"-M",$U282,"-A1")</f>
        <v>F0-M102-A1</v>
      </c>
      <c r="DD282" s="23" t="str">
        <f t="shared" ref="DD282:DD285" si="956">CONCATENATE($T282,"-M",$U282,"-A5")</f>
        <v>F0-M102-A5</v>
      </c>
      <c r="DE282" s="23" t="str">
        <f t="shared" ref="DE282:DE285" si="957">CONCATENATE($T282,"-M",$U282,"-A11")</f>
        <v>F0-M102-A11</v>
      </c>
      <c r="DF282" s="23" t="str">
        <f t="shared" ref="DF282:DF285" si="958">CONCATENATE($T282,"-M",$U282,"-A12")</f>
        <v>F0-M102-A12</v>
      </c>
      <c r="DG282" s="23" t="str">
        <f t="shared" ref="DG282:DG285" si="959">CONCATENATE($T282,"-M",$U282,"-A19")</f>
        <v>F0-M102-A19</v>
      </c>
      <c r="DH282" s="23" t="str">
        <f t="shared" ref="DH282:DH285" si="960">CONCATENATE($T282,"-M",$U282,"-A20")</f>
        <v>F0-M102-A20</v>
      </c>
      <c r="DI282" s="23" t="s">
        <v>142</v>
      </c>
      <c r="DJ282" s="23" t="s">
        <v>143</v>
      </c>
      <c r="DK282" s="23">
        <v>11</v>
      </c>
      <c r="DL282" s="23">
        <v>14</v>
      </c>
      <c r="DM282" s="23">
        <v>12</v>
      </c>
      <c r="DN282" s="23" t="s">
        <v>144</v>
      </c>
      <c r="DO282" s="23" t="s">
        <v>1843</v>
      </c>
      <c r="DP282" s="23">
        <v>1</v>
      </c>
      <c r="DQ282" s="23">
        <v>2</v>
      </c>
      <c r="DR282" s="23">
        <v>3</v>
      </c>
      <c r="DS282" s="23">
        <v>4</v>
      </c>
      <c r="DT282" s="23">
        <v>5</v>
      </c>
      <c r="DU282" s="23">
        <v>6</v>
      </c>
      <c r="DV282" s="23">
        <v>7</v>
      </c>
      <c r="DW282" s="23">
        <v>8</v>
      </c>
      <c r="DX282" s="23">
        <v>9</v>
      </c>
      <c r="DY282" s="23">
        <v>10</v>
      </c>
      <c r="DZ282" s="23">
        <v>11</v>
      </c>
      <c r="EA282" s="23">
        <v>12</v>
      </c>
      <c r="EB282" s="23">
        <v>13</v>
      </c>
      <c r="EC282" s="23">
        <v>14</v>
      </c>
      <c r="ED282" s="23">
        <v>1</v>
      </c>
      <c r="EE282" s="23">
        <v>3</v>
      </c>
      <c r="EF282" s="23">
        <v>4</v>
      </c>
      <c r="EG282" s="23">
        <v>7</v>
      </c>
      <c r="EH282" s="23">
        <v>8</v>
      </c>
      <c r="EI282" s="23">
        <v>9</v>
      </c>
      <c r="EJ282" s="23">
        <v>10</v>
      </c>
      <c r="EK282" s="23">
        <v>13</v>
      </c>
      <c r="EL282" s="23">
        <v>14</v>
      </c>
      <c r="EM282" s="23">
        <v>15</v>
      </c>
      <c r="EN282" s="23">
        <v>16</v>
      </c>
      <c r="EO282" s="23">
        <v>22</v>
      </c>
      <c r="EP282" s="23">
        <v>23</v>
      </c>
      <c r="EQ282" s="24">
        <v>24</v>
      </c>
    </row>
    <row r="283" spans="1:355" ht="15.75" thickBot="1" x14ac:dyDescent="0.3">
      <c r="A283" t="s">
        <v>1859</v>
      </c>
      <c r="B283" t="s">
        <v>1858</v>
      </c>
      <c r="C283" s="3" t="s">
        <v>1870</v>
      </c>
      <c r="O283" s="2"/>
      <c r="P283" t="s">
        <v>129</v>
      </c>
      <c r="Q283" s="1"/>
      <c r="S283" s="1" t="s">
        <v>130</v>
      </c>
      <c r="T283" s="17" t="s">
        <v>554</v>
      </c>
      <c r="U283" s="51">
        <v>103</v>
      </c>
      <c r="V283" s="18" t="s">
        <v>1860</v>
      </c>
      <c r="W283" s="18"/>
      <c r="X283" s="19"/>
      <c r="Y283" s="19"/>
      <c r="Z283" s="19"/>
      <c r="AA283" s="19"/>
      <c r="AB283" s="19"/>
      <c r="AC283" t="s">
        <v>1861</v>
      </c>
      <c r="AD283" s="43" t="str" cm="1">
        <f t="array" ref="AD283">IF(COUNTIFS(AC$2:AC283,AC283)=1,"1",VALUE(SUBSTITUTE(INDEX(AD:AD,_xlfn.XMATCH(AC283,AC$1:AC282,0,-1)),"A",""))+INDEX(AE:AE,_xlfn.XMATCH(AC283,AC$1:AC282,0,-1))+1)</f>
        <v>1</v>
      </c>
      <c r="AE283" s="43" cm="1">
        <f t="array" ref="AE283">SUM(IF(ISNUMBER(FIND("TmDi",$BE$1:$AAD$1)),IF(IFERROR(ISNUMBER(VALUE(SUBSTITUTE($BE283:$AAD283,"B",""))),FALSE),IF(ISNUMBER(VALUE(SUBSTITUTE($BE283:$AAD283,"B",""))),1,0),0)))</f>
        <v>5</v>
      </c>
      <c r="AF283" t="str">
        <f t="shared" si="416"/>
        <v>C1</v>
      </c>
      <c r="AG283" t="str">
        <f t="shared" si="417"/>
        <v>B1</v>
      </c>
      <c r="AH283" s="19" t="s">
        <v>1862</v>
      </c>
      <c r="AI283" s="43" t="str" cm="1">
        <f t="array" ref="AI283">IF(COUNTIFS(AH$2:AH283,AH283)=1,"1",VALUE(SUBSTITUTE(INDEX(AI:AI,_xlfn.XMATCH(AH283,AH$1:AH282,0,-1)),"A",""))+INDEX(AJ:AJ,_xlfn.XMATCH(AH283,AH$1:AH282,0,-1))+1)</f>
        <v>1</v>
      </c>
      <c r="AJ283" s="43" cm="1">
        <f t="array" ref="AJ283">SUM(IF(ISNUMBER(FIND("TmDo",$BE$1:$AAD$1)),IF(IFERROR(ISNUMBER(VALUE(SUBSTITUTE($BE283:$AAD283,"B",""))),FALSE),IF(ISNUMBER(VALUE(SUBSTITUTE($BE283:$AAD283,"B",""))),1,0),0)))</f>
        <v>2</v>
      </c>
      <c r="AK283" s="19" t="s">
        <v>135</v>
      </c>
      <c r="AL283" s="19" t="s">
        <v>136</v>
      </c>
      <c r="AM283" s="19" t="s">
        <v>141</v>
      </c>
      <c r="AN283" s="19"/>
      <c r="AO283" s="19"/>
      <c r="AP283" s="19" t="s">
        <v>137</v>
      </c>
      <c r="AQ283" s="23" t="s">
        <v>1794</v>
      </c>
      <c r="AR283" s="19"/>
      <c r="AS283" s="19"/>
      <c r="AT283" s="19" t="s">
        <v>139</v>
      </c>
      <c r="AU283" s="19" t="s">
        <v>140</v>
      </c>
      <c r="AX283" s="19"/>
      <c r="BD283" s="16"/>
      <c r="BE283" s="19" t="str">
        <f t="shared" si="921"/>
        <v>XT103</v>
      </c>
      <c r="BF283" s="19" t="str">
        <f t="shared" si="922"/>
        <v>C2</v>
      </c>
      <c r="BG283" s="19" t="str">
        <f t="shared" si="923"/>
        <v>B2</v>
      </c>
      <c r="BH283" s="19" t="str">
        <f t="shared" si="924"/>
        <v>C3</v>
      </c>
      <c r="BI283" s="19" t="str">
        <f t="shared" si="925"/>
        <v>B3</v>
      </c>
      <c r="BJ283" s="19" t="str">
        <f t="shared" si="926"/>
        <v>C4</v>
      </c>
      <c r="BK283" s="19" t="str">
        <f t="shared" si="927"/>
        <v>B4</v>
      </c>
      <c r="BL283" s="19" t="str">
        <f t="shared" si="928"/>
        <v>C5</v>
      </c>
      <c r="BM283" s="19" t="str">
        <f t="shared" si="929"/>
        <v>B5</v>
      </c>
      <c r="BN283" s="19" t="str">
        <f t="shared" ref="BN283:BN285" si="961">CONCATENATE("C",REPLACE(BL283,1,1,"")+1)</f>
        <v>C6</v>
      </c>
      <c r="BO283" s="19" t="str">
        <f t="shared" ref="BO283:BO285" si="962">CONCATENATE("B",REPLACE(BM283,1,1,"")+1)</f>
        <v>B6</v>
      </c>
      <c r="BP283" s="19" t="str">
        <f t="shared" si="930"/>
        <v>2B</v>
      </c>
      <c r="BQ283" s="19" t="str">
        <f t="shared" si="931"/>
        <v>2A</v>
      </c>
      <c r="BR283" s="19" t="str">
        <f t="shared" si="932"/>
        <v>3B</v>
      </c>
      <c r="BS283" s="19" t="str">
        <f t="shared" si="933"/>
        <v>3A</v>
      </c>
      <c r="BT283" s="19" t="str">
        <f t="shared" si="934"/>
        <v>DI18-C1</v>
      </c>
      <c r="BU283" s="19" t="str">
        <f t="shared" si="934"/>
        <v>DI18-B1</v>
      </c>
      <c r="BV283" s="19" t="str">
        <f t="shared" si="935"/>
        <v>DI18-C2</v>
      </c>
      <c r="BW283" s="19" t="str">
        <f t="shared" si="935"/>
        <v>DI18-B2</v>
      </c>
      <c r="BX283" s="19" t="str">
        <f t="shared" si="935"/>
        <v>DI18-C3</v>
      </c>
      <c r="BY283" s="19" t="str">
        <f t="shared" si="935"/>
        <v>DI18-B3</v>
      </c>
      <c r="BZ283" s="19" t="str">
        <f t="shared" si="935"/>
        <v>DI18-C4</v>
      </c>
      <c r="CA283" s="19" t="str">
        <f t="shared" si="935"/>
        <v>DI18-B4</v>
      </c>
      <c r="CB283" s="19" t="str">
        <f t="shared" si="935"/>
        <v>DI18-C5</v>
      </c>
      <c r="CC283" s="19" t="str">
        <f t="shared" si="935"/>
        <v>DI18-B5</v>
      </c>
      <c r="CD283" s="19" t="str">
        <f t="shared" si="935"/>
        <v>DI18-C6</v>
      </c>
      <c r="CE283" s="19" t="str">
        <f t="shared" si="935"/>
        <v>DI18-B6</v>
      </c>
      <c r="CF283" s="19" t="str">
        <f t="shared" si="936"/>
        <v>DO10-1B</v>
      </c>
      <c r="CG283" s="19" t="str">
        <f t="shared" si="936"/>
        <v>DO10-1A</v>
      </c>
      <c r="CH283" s="19" t="str">
        <f t="shared" si="937"/>
        <v>DO10-2B</v>
      </c>
      <c r="CI283" s="19" t="str">
        <f t="shared" si="937"/>
        <v>DO10-2A</v>
      </c>
      <c r="CJ283" s="19" t="str">
        <f t="shared" si="937"/>
        <v>DO10-3B</v>
      </c>
      <c r="CK283" s="19" t="str">
        <f t="shared" si="937"/>
        <v>DO10-3A</v>
      </c>
      <c r="CL283" s="19" t="str">
        <f t="shared" si="938"/>
        <v>K103-10</v>
      </c>
      <c r="CM283" s="19" t="str">
        <f t="shared" si="939"/>
        <v>K103-03</v>
      </c>
      <c r="CN283" s="19" t="str">
        <f t="shared" si="940"/>
        <v>K103-04</v>
      </c>
      <c r="CO283" s="19" t="str">
        <f t="shared" si="941"/>
        <v>K103-01</v>
      </c>
      <c r="CP283" s="19" t="str">
        <f t="shared" si="942"/>
        <v>K103-08</v>
      </c>
      <c r="CQ283" s="19" t="str">
        <f t="shared" si="943"/>
        <v>K103-02</v>
      </c>
      <c r="CR283" s="19" t="str">
        <f t="shared" si="944"/>
        <v>K103-09</v>
      </c>
      <c r="CS283" s="19" t="str">
        <f t="shared" si="945"/>
        <v>K103-05</v>
      </c>
      <c r="CT283" s="19" t="str">
        <f t="shared" si="946"/>
        <v>K103-11</v>
      </c>
      <c r="CU283" s="19" t="str">
        <f t="shared" si="947"/>
        <v>F0-M103-A9</v>
      </c>
      <c r="CV283" s="19" t="str">
        <f t="shared" si="948"/>
        <v>F0-M103-A7</v>
      </c>
      <c r="CW283" s="19" t="str">
        <f t="shared" si="949"/>
        <v>F0-M103-A8</v>
      </c>
      <c r="CX283" s="19" t="str">
        <f t="shared" si="950"/>
        <v>F0-M103-A6</v>
      </c>
      <c r="CY283" s="19" t="str">
        <f t="shared" si="951"/>
        <v>F0-M103-A30</v>
      </c>
      <c r="CZ283" s="19" t="str">
        <f t="shared" si="952"/>
        <v>F0-M103-N</v>
      </c>
      <c r="DA283" s="19" t="str">
        <f t="shared" si="953"/>
        <v>F0-A220-M103</v>
      </c>
      <c r="DB283" s="19" t="str">
        <f t="shared" si="954"/>
        <v>F0-M103-XM01</v>
      </c>
      <c r="DC283" s="19" t="str">
        <f t="shared" si="955"/>
        <v>F0-M103-A1</v>
      </c>
      <c r="DD283" s="19" t="str">
        <f t="shared" si="956"/>
        <v>F0-M103-A5</v>
      </c>
      <c r="DE283" s="19" t="str">
        <f t="shared" si="957"/>
        <v>F0-M103-A11</v>
      </c>
      <c r="DF283" s="19" t="str">
        <f t="shared" si="958"/>
        <v>F0-M103-A12</v>
      </c>
      <c r="DG283" s="19" t="str">
        <f t="shared" si="959"/>
        <v>F0-M103-A19</v>
      </c>
      <c r="DH283" s="19" t="str">
        <f t="shared" si="960"/>
        <v>F0-M103-A20</v>
      </c>
      <c r="DI283" s="19" t="s">
        <v>142</v>
      </c>
      <c r="DJ283" s="19" t="s">
        <v>143</v>
      </c>
      <c r="DK283" s="19">
        <v>11</v>
      </c>
      <c r="DL283" s="19">
        <v>14</v>
      </c>
      <c r="DM283" s="19">
        <v>12</v>
      </c>
      <c r="DN283" s="19" t="s">
        <v>144</v>
      </c>
      <c r="DO283" s="19" t="s">
        <v>145</v>
      </c>
      <c r="DP283" s="19">
        <v>1</v>
      </c>
      <c r="DQ283" s="19">
        <v>2</v>
      </c>
      <c r="DR283" s="19">
        <v>3</v>
      </c>
      <c r="DS283" s="19">
        <v>4</v>
      </c>
      <c r="DT283" s="19">
        <v>5</v>
      </c>
      <c r="DU283" s="19">
        <v>6</v>
      </c>
      <c r="DV283" s="19">
        <v>7</v>
      </c>
      <c r="DW283" s="19">
        <v>8</v>
      </c>
      <c r="DX283" s="19">
        <v>9</v>
      </c>
      <c r="DY283" s="19">
        <v>10</v>
      </c>
      <c r="DZ283" s="19">
        <v>11</v>
      </c>
      <c r="EA283" s="19">
        <v>12</v>
      </c>
      <c r="EB283" s="19">
        <v>13</v>
      </c>
      <c r="EC283" s="19">
        <v>14</v>
      </c>
      <c r="ED283" s="19">
        <v>1</v>
      </c>
      <c r="EE283" s="19">
        <v>3</v>
      </c>
      <c r="EF283" s="19">
        <v>4</v>
      </c>
      <c r="EG283" s="19">
        <v>7</v>
      </c>
      <c r="EH283" s="19">
        <v>8</v>
      </c>
      <c r="EI283" s="19">
        <v>9</v>
      </c>
      <c r="EJ283" s="19">
        <v>10</v>
      </c>
      <c r="EK283" s="19">
        <v>13</v>
      </c>
      <c r="EL283" s="19">
        <v>14</v>
      </c>
      <c r="EM283" s="19">
        <v>15</v>
      </c>
      <c r="EN283" s="19">
        <v>16</v>
      </c>
      <c r="EO283" s="19">
        <v>22</v>
      </c>
      <c r="EP283" s="19">
        <v>23</v>
      </c>
      <c r="EQ283" s="20">
        <v>24</v>
      </c>
    </row>
    <row r="284" spans="1:355" ht="15.75" thickBot="1" x14ac:dyDescent="0.3">
      <c r="A284" t="s">
        <v>1863</v>
      </c>
      <c r="B284" t="s">
        <v>1866</v>
      </c>
      <c r="C284" s="3" t="s">
        <v>1870</v>
      </c>
      <c r="O284" s="2"/>
      <c r="P284" t="s">
        <v>129</v>
      </c>
      <c r="Q284" s="1"/>
      <c r="S284" s="1" t="s">
        <v>130</v>
      </c>
      <c r="T284" s="17" t="s">
        <v>554</v>
      </c>
      <c r="U284" s="51">
        <v>104</v>
      </c>
      <c r="V284" s="18" t="s">
        <v>1864</v>
      </c>
      <c r="W284" s="18"/>
      <c r="X284" s="19"/>
      <c r="Y284" s="19"/>
      <c r="Z284" s="19"/>
      <c r="AA284" s="19"/>
      <c r="AB284" s="19"/>
      <c r="AC284" t="str">
        <f t="shared" ref="AC284:AC285" si="963">IF(AD283+AE283&gt;31,REPLACE(AC283,LEN(AC283),1,VALUE(RIGHT(AC283,1))+1),AC283)</f>
        <v>A5.18</v>
      </c>
      <c r="AD284" s="43" cm="1">
        <f t="array" ref="AD284">IF(COUNTIFS(AC$2:AC284,AC284)=1,"1",VALUE(SUBSTITUTE(INDEX(AD:AD,_xlfn.XMATCH(AC284,AC$1:AC283,0,-1)),"A",""))+INDEX(AE:AE,_xlfn.XMATCH(AC284,AC$1:AC283,0,-1))+1)</f>
        <v>7</v>
      </c>
      <c r="AE284" s="43" cm="1">
        <f t="array" ref="AE284">SUM(IF(ISNUMBER(FIND("TmDi",$BE$1:$AAD$1)),IF(IFERROR(ISNUMBER(VALUE(SUBSTITUTE($BE284:$AAD284,"B",""))),FALSE),IF(ISNUMBER(VALUE(SUBSTITUTE($BE284:$AAD284,"B",""))),1,0),0)))</f>
        <v>5</v>
      </c>
      <c r="AF284" t="str">
        <f t="shared" si="416"/>
        <v>C7</v>
      </c>
      <c r="AG284" t="str">
        <f t="shared" si="417"/>
        <v>B7</v>
      </c>
      <c r="AH284" t="str">
        <f t="shared" ref="AH284:AH285" si="964">IF(AI283+AJ283&gt;31,REPLACE(AH283,LEN(AH283),1,VALUE(RIGHT(AH283,1))+1),AH283)</f>
        <v>A6.10</v>
      </c>
      <c r="AI284" s="43" cm="1">
        <f t="array" ref="AI284">IF(COUNTIFS(AH$2:AH284,AH284)=1,"1",VALUE(SUBSTITUTE(INDEX(AI:AI,_xlfn.XMATCH(AH284,AH$1:AH283,0,-1)),"A",""))+INDEX(AJ:AJ,_xlfn.XMATCH(AH284,AH$1:AH283,0,-1))+1)</f>
        <v>4</v>
      </c>
      <c r="AJ284" s="43" cm="1">
        <f t="array" ref="AJ284">SUM(IF(ISNUMBER(FIND("TmDo",$BE$1:$AAD$1)),IF(IFERROR(ISNUMBER(VALUE(SUBSTITUTE($BE284:$AAD284,"B",""))),FALSE),IF(ISNUMBER(VALUE(SUBSTITUTE($BE284:$AAD284,"B",""))),1,0),0)))</f>
        <v>2</v>
      </c>
      <c r="AK284" s="19" t="s">
        <v>135</v>
      </c>
      <c r="AL284" s="19" t="s">
        <v>136</v>
      </c>
      <c r="AM284" s="19" t="s">
        <v>150</v>
      </c>
      <c r="AN284" s="19"/>
      <c r="AO284" s="19"/>
      <c r="AP284" s="19" t="s">
        <v>137</v>
      </c>
      <c r="AQ284" s="23" t="s">
        <v>1794</v>
      </c>
      <c r="AR284" s="19"/>
      <c r="AS284" s="19"/>
      <c r="AT284" s="19" t="s">
        <v>139</v>
      </c>
      <c r="AU284" s="19" t="s">
        <v>140</v>
      </c>
      <c r="AX284" s="19"/>
      <c r="BD284" s="16"/>
      <c r="BE284" s="19" t="str">
        <f t="shared" si="921"/>
        <v>XT104</v>
      </c>
      <c r="BF284" s="19" t="str">
        <f t="shared" si="922"/>
        <v>C8</v>
      </c>
      <c r="BG284" s="19" t="str">
        <f t="shared" si="923"/>
        <v>B8</v>
      </c>
      <c r="BH284" s="19" t="str">
        <f t="shared" si="924"/>
        <v>C9</v>
      </c>
      <c r="BI284" s="19" t="str">
        <f t="shared" si="925"/>
        <v>B9</v>
      </c>
      <c r="BJ284" s="19" t="str">
        <f t="shared" si="926"/>
        <v>C10</v>
      </c>
      <c r="BK284" s="19" t="str">
        <f t="shared" si="927"/>
        <v>B10</v>
      </c>
      <c r="BL284" s="19" t="str">
        <f t="shared" si="928"/>
        <v>C11</v>
      </c>
      <c r="BM284" s="19" t="str">
        <f t="shared" si="929"/>
        <v>B11</v>
      </c>
      <c r="BN284" s="19" t="str">
        <f t="shared" si="961"/>
        <v>C12</v>
      </c>
      <c r="BO284" s="19" t="str">
        <f t="shared" si="962"/>
        <v>B12</v>
      </c>
      <c r="BP284" s="19" t="str">
        <f t="shared" si="930"/>
        <v>2B</v>
      </c>
      <c r="BQ284" s="19" t="str">
        <f t="shared" si="931"/>
        <v>2A</v>
      </c>
      <c r="BR284" s="19" t="str">
        <f t="shared" si="932"/>
        <v>3B</v>
      </c>
      <c r="BS284" s="19" t="str">
        <f t="shared" si="933"/>
        <v>3A</v>
      </c>
      <c r="BT284" s="19" t="str">
        <f t="shared" si="934"/>
        <v>DI18-C7</v>
      </c>
      <c r="BU284" s="19" t="str">
        <f t="shared" si="934"/>
        <v>DI18-B7</v>
      </c>
      <c r="BV284" s="19" t="str">
        <f t="shared" si="935"/>
        <v>DI18-C8</v>
      </c>
      <c r="BW284" s="19" t="str">
        <f t="shared" si="935"/>
        <v>DI18-B8</v>
      </c>
      <c r="BX284" s="19" t="str">
        <f t="shared" si="935"/>
        <v>DI18-C9</v>
      </c>
      <c r="BY284" s="19" t="str">
        <f t="shared" si="935"/>
        <v>DI18-B9</v>
      </c>
      <c r="BZ284" s="19" t="str">
        <f t="shared" si="935"/>
        <v>DI18-C10</v>
      </c>
      <c r="CA284" s="19" t="str">
        <f t="shared" si="935"/>
        <v>DI18-B10</v>
      </c>
      <c r="CB284" s="19" t="str">
        <f t="shared" si="935"/>
        <v>DI18-C11</v>
      </c>
      <c r="CC284" s="19" t="str">
        <f t="shared" si="935"/>
        <v>DI18-B11</v>
      </c>
      <c r="CD284" s="19" t="str">
        <f t="shared" si="935"/>
        <v>DI18-C12</v>
      </c>
      <c r="CE284" s="19" t="str">
        <f t="shared" si="935"/>
        <v>DI18-B12</v>
      </c>
      <c r="CF284" s="19" t="str">
        <f t="shared" si="936"/>
        <v>DO10-1B</v>
      </c>
      <c r="CG284" s="19" t="str">
        <f t="shared" si="936"/>
        <v>DO10-1A</v>
      </c>
      <c r="CH284" s="19" t="str">
        <f t="shared" si="937"/>
        <v>DO10-2B</v>
      </c>
      <c r="CI284" s="19" t="str">
        <f t="shared" si="937"/>
        <v>DO10-2A</v>
      </c>
      <c r="CJ284" s="19" t="str">
        <f t="shared" si="937"/>
        <v>DO10-3B</v>
      </c>
      <c r="CK284" s="19" t="str">
        <f t="shared" si="937"/>
        <v>DO10-3A</v>
      </c>
      <c r="CL284" s="19" t="str">
        <f t="shared" si="938"/>
        <v>K104-10</v>
      </c>
      <c r="CM284" s="19" t="str">
        <f t="shared" si="939"/>
        <v>K104-03</v>
      </c>
      <c r="CN284" s="19" t="str">
        <f t="shared" si="940"/>
        <v>K104-04</v>
      </c>
      <c r="CO284" s="19" t="str">
        <f t="shared" si="941"/>
        <v>K104-01</v>
      </c>
      <c r="CP284" s="19" t="str">
        <f t="shared" si="942"/>
        <v>K104-08</v>
      </c>
      <c r="CQ284" s="19" t="str">
        <f t="shared" si="943"/>
        <v>K104-02</v>
      </c>
      <c r="CR284" s="19" t="str">
        <f t="shared" si="944"/>
        <v>K104-09</v>
      </c>
      <c r="CS284" s="19" t="str">
        <f t="shared" si="945"/>
        <v>K104-05</v>
      </c>
      <c r="CT284" s="19" t="str">
        <f t="shared" si="946"/>
        <v>K104-11</v>
      </c>
      <c r="CU284" s="19" t="str">
        <f t="shared" si="947"/>
        <v>F0-M104-A9</v>
      </c>
      <c r="CV284" s="19" t="str">
        <f t="shared" si="948"/>
        <v>F0-M104-A7</v>
      </c>
      <c r="CW284" s="19" t="str">
        <f t="shared" si="949"/>
        <v>F0-M104-A8</v>
      </c>
      <c r="CX284" s="19" t="str">
        <f t="shared" si="950"/>
        <v>F0-M104-A6</v>
      </c>
      <c r="CY284" s="19" t="str">
        <f t="shared" si="951"/>
        <v>F0-M104-A30</v>
      </c>
      <c r="CZ284" s="19" t="str">
        <f t="shared" si="952"/>
        <v>F0-M104-N</v>
      </c>
      <c r="DA284" s="19" t="str">
        <f t="shared" si="953"/>
        <v>F0-A220-M104</v>
      </c>
      <c r="DB284" s="19" t="str">
        <f t="shared" si="954"/>
        <v>F0-M104-XM01</v>
      </c>
      <c r="DC284" s="19" t="str">
        <f t="shared" si="955"/>
        <v>F0-M104-A1</v>
      </c>
      <c r="DD284" s="19" t="str">
        <f t="shared" si="956"/>
        <v>F0-M104-A5</v>
      </c>
      <c r="DE284" s="19" t="str">
        <f t="shared" si="957"/>
        <v>F0-M104-A11</v>
      </c>
      <c r="DF284" s="19" t="str">
        <f t="shared" si="958"/>
        <v>F0-M104-A12</v>
      </c>
      <c r="DG284" s="19" t="str">
        <f t="shared" si="959"/>
        <v>F0-M104-A19</v>
      </c>
      <c r="DH284" s="19" t="str">
        <f t="shared" si="960"/>
        <v>F0-M104-A20</v>
      </c>
      <c r="DI284" s="19" t="s">
        <v>142</v>
      </c>
      <c r="DJ284" s="19" t="s">
        <v>143</v>
      </c>
      <c r="DK284" s="19">
        <v>11</v>
      </c>
      <c r="DL284" s="19">
        <v>14</v>
      </c>
      <c r="DM284" s="19">
        <v>12</v>
      </c>
      <c r="DN284" s="19" t="s">
        <v>144</v>
      </c>
      <c r="DO284" s="19" t="s">
        <v>1805</v>
      </c>
      <c r="DP284" s="19">
        <v>1</v>
      </c>
      <c r="DQ284" s="19">
        <v>2</v>
      </c>
      <c r="DR284" s="19">
        <v>3</v>
      </c>
      <c r="DS284" s="19">
        <v>4</v>
      </c>
      <c r="DT284" s="19">
        <v>5</v>
      </c>
      <c r="DU284" s="19">
        <v>6</v>
      </c>
      <c r="DV284" s="19">
        <v>7</v>
      </c>
      <c r="DW284" s="19">
        <v>8</v>
      </c>
      <c r="DX284" s="19">
        <v>9</v>
      </c>
      <c r="DY284" s="19">
        <v>10</v>
      </c>
      <c r="DZ284" s="19">
        <v>11</v>
      </c>
      <c r="EA284" s="19">
        <v>12</v>
      </c>
      <c r="EB284" s="19">
        <v>13</v>
      </c>
      <c r="EC284" s="19">
        <v>14</v>
      </c>
      <c r="ED284" s="19">
        <v>1</v>
      </c>
      <c r="EE284" s="19">
        <v>3</v>
      </c>
      <c r="EF284" s="19">
        <v>4</v>
      </c>
      <c r="EG284" s="19">
        <v>7</v>
      </c>
      <c r="EH284" s="19">
        <v>8</v>
      </c>
      <c r="EI284" s="19">
        <v>9</v>
      </c>
      <c r="EJ284" s="19">
        <v>10</v>
      </c>
      <c r="EK284" s="19">
        <v>13</v>
      </c>
      <c r="EL284" s="19">
        <v>14</v>
      </c>
      <c r="EM284" s="19">
        <v>15</v>
      </c>
      <c r="EN284" s="19">
        <v>16</v>
      </c>
      <c r="EO284" s="19">
        <v>22</v>
      </c>
      <c r="EP284" s="19">
        <v>23</v>
      </c>
      <c r="EQ284" s="20">
        <v>24</v>
      </c>
    </row>
    <row r="285" spans="1:355" ht="15.75" thickBot="1" x14ac:dyDescent="0.3">
      <c r="A285" t="s">
        <v>1867</v>
      </c>
      <c r="B285" t="s">
        <v>1869</v>
      </c>
      <c r="C285" s="3" t="s">
        <v>1870</v>
      </c>
      <c r="O285" s="2"/>
      <c r="P285" t="s">
        <v>129</v>
      </c>
      <c r="Q285" s="1"/>
      <c r="S285" s="1" t="s">
        <v>130</v>
      </c>
      <c r="T285" s="17" t="s">
        <v>554</v>
      </c>
      <c r="U285" s="51">
        <v>105</v>
      </c>
      <c r="V285" s="18" t="s">
        <v>1868</v>
      </c>
      <c r="W285" s="18"/>
      <c r="X285" s="19"/>
      <c r="Y285" s="19"/>
      <c r="Z285" s="19"/>
      <c r="AA285" s="19"/>
      <c r="AB285" s="19"/>
      <c r="AC285" t="str">
        <f t="shared" si="963"/>
        <v>A5.18</v>
      </c>
      <c r="AD285" s="43" cm="1">
        <f t="array" ref="AD285">IF(COUNTIFS(AC$2:AC285,AC285)=1,"1",VALUE(SUBSTITUTE(INDEX(AD:AD,_xlfn.XMATCH(AC285,AC$1:AC284,0,-1)),"A",""))+INDEX(AE:AE,_xlfn.XMATCH(AC285,AC$1:AC284,0,-1))+1)</f>
        <v>13</v>
      </c>
      <c r="AE285" s="43" cm="1">
        <f t="array" ref="AE285">SUM(IF(ISNUMBER(FIND("TmDi",$BE$1:$AAD$1)),IF(IFERROR(ISNUMBER(VALUE(SUBSTITUTE($BE285:$AAD285,"B",""))),FALSE),IF(ISNUMBER(VALUE(SUBSTITUTE($BE285:$AAD285,"B",""))),1,0),0)))</f>
        <v>5</v>
      </c>
      <c r="AF285" t="str">
        <f t="shared" si="416"/>
        <v>C13</v>
      </c>
      <c r="AG285" t="str">
        <f t="shared" si="417"/>
        <v>B13</v>
      </c>
      <c r="AH285" t="str">
        <f t="shared" si="964"/>
        <v>A6.10</v>
      </c>
      <c r="AI285" s="43" cm="1">
        <f t="array" ref="AI285">IF(COUNTIFS(AH$2:AH285,AH285)=1,"1",VALUE(SUBSTITUTE(INDEX(AI:AI,_xlfn.XMATCH(AH285,AH$1:AH284,0,-1)),"A",""))+INDEX(AJ:AJ,_xlfn.XMATCH(AH285,AH$1:AH284,0,-1))+1)</f>
        <v>7</v>
      </c>
      <c r="AJ285" s="43" cm="1">
        <f t="array" ref="AJ285">SUM(IF(ISNUMBER(FIND("TmDo",$BE$1:$AAD$1)),IF(IFERROR(ISNUMBER(VALUE(SUBSTITUTE($BE285:$AAD285,"B",""))),FALSE),IF(ISNUMBER(VALUE(SUBSTITUTE($BE285:$AAD285,"B",""))),1,0),0)))</f>
        <v>2</v>
      </c>
      <c r="AK285" s="19" t="s">
        <v>135</v>
      </c>
      <c r="AL285" s="19" t="s">
        <v>136</v>
      </c>
      <c r="AM285" s="19" t="s">
        <v>150</v>
      </c>
      <c r="AN285" s="19"/>
      <c r="AO285" s="19"/>
      <c r="AP285" s="19" t="s">
        <v>137</v>
      </c>
      <c r="AQ285" s="23" t="s">
        <v>1794</v>
      </c>
      <c r="AR285" s="19"/>
      <c r="AS285" s="19"/>
      <c r="AT285" s="19" t="s">
        <v>139</v>
      </c>
      <c r="AU285" s="19" t="s">
        <v>140</v>
      </c>
      <c r="AX285" s="19"/>
      <c r="BD285" s="16"/>
      <c r="BE285" s="19" t="str">
        <f t="shared" si="921"/>
        <v>XT105</v>
      </c>
      <c r="BF285" s="19" t="str">
        <f t="shared" si="922"/>
        <v>C14</v>
      </c>
      <c r="BG285" s="19" t="str">
        <f t="shared" si="923"/>
        <v>B14</v>
      </c>
      <c r="BH285" s="19" t="str">
        <f t="shared" si="924"/>
        <v>C15</v>
      </c>
      <c r="BI285" s="19" t="str">
        <f t="shared" si="925"/>
        <v>B15</v>
      </c>
      <c r="BJ285" s="19" t="str">
        <f t="shared" si="926"/>
        <v>C16</v>
      </c>
      <c r="BK285" s="19" t="str">
        <f t="shared" si="927"/>
        <v>B16</v>
      </c>
      <c r="BL285" s="19" t="str">
        <f t="shared" si="928"/>
        <v>C17</v>
      </c>
      <c r="BM285" s="19" t="str">
        <f t="shared" si="929"/>
        <v>B17</v>
      </c>
      <c r="BN285" s="19" t="str">
        <f t="shared" si="961"/>
        <v>C18</v>
      </c>
      <c r="BO285" s="19" t="str">
        <f t="shared" si="962"/>
        <v>B18</v>
      </c>
      <c r="BP285" s="19" t="str">
        <f t="shared" si="930"/>
        <v>2B</v>
      </c>
      <c r="BQ285" s="19" t="str">
        <f t="shared" si="931"/>
        <v>2A</v>
      </c>
      <c r="BR285" s="19" t="str">
        <f t="shared" si="932"/>
        <v>3B</v>
      </c>
      <c r="BS285" s="19" t="str">
        <f t="shared" si="933"/>
        <v>3A</v>
      </c>
      <c r="BT285" s="19" t="str">
        <f t="shared" si="934"/>
        <v>DI18-C13</v>
      </c>
      <c r="BU285" s="19" t="str">
        <f t="shared" si="934"/>
        <v>DI18-B13</v>
      </c>
      <c r="BV285" s="19" t="str">
        <f t="shared" si="935"/>
        <v>DI18-C14</v>
      </c>
      <c r="BW285" s="19" t="str">
        <f t="shared" si="935"/>
        <v>DI18-B14</v>
      </c>
      <c r="BX285" s="19" t="str">
        <f t="shared" si="935"/>
        <v>DI18-C15</v>
      </c>
      <c r="BY285" s="19" t="str">
        <f t="shared" si="935"/>
        <v>DI18-B15</v>
      </c>
      <c r="BZ285" s="19" t="str">
        <f t="shared" si="935"/>
        <v>DI18-C16</v>
      </c>
      <c r="CA285" s="19" t="str">
        <f t="shared" si="935"/>
        <v>DI18-B16</v>
      </c>
      <c r="CB285" s="19" t="str">
        <f t="shared" si="935"/>
        <v>DI18-C17</v>
      </c>
      <c r="CC285" s="19" t="str">
        <f t="shared" si="935"/>
        <v>DI18-B17</v>
      </c>
      <c r="CD285" s="19" t="str">
        <f t="shared" si="935"/>
        <v>DI18-C18</v>
      </c>
      <c r="CE285" s="19" t="str">
        <f t="shared" si="935"/>
        <v>DI18-B18</v>
      </c>
      <c r="CF285" s="19" t="str">
        <f t="shared" si="936"/>
        <v>DO10-1B</v>
      </c>
      <c r="CG285" s="19" t="str">
        <f t="shared" si="936"/>
        <v>DO10-1A</v>
      </c>
      <c r="CH285" s="19" t="str">
        <f t="shared" si="937"/>
        <v>DO10-2B</v>
      </c>
      <c r="CI285" s="19" t="str">
        <f t="shared" si="937"/>
        <v>DO10-2A</v>
      </c>
      <c r="CJ285" s="19" t="str">
        <f t="shared" si="937"/>
        <v>DO10-3B</v>
      </c>
      <c r="CK285" s="19" t="str">
        <f t="shared" si="937"/>
        <v>DO10-3A</v>
      </c>
      <c r="CL285" s="19" t="str">
        <f t="shared" si="938"/>
        <v>K105-10</v>
      </c>
      <c r="CM285" s="19" t="str">
        <f t="shared" si="939"/>
        <v>K105-03</v>
      </c>
      <c r="CN285" s="19" t="str">
        <f t="shared" si="940"/>
        <v>K105-04</v>
      </c>
      <c r="CO285" s="19" t="str">
        <f t="shared" si="941"/>
        <v>K105-01</v>
      </c>
      <c r="CP285" s="19" t="str">
        <f t="shared" si="942"/>
        <v>K105-08</v>
      </c>
      <c r="CQ285" s="19" t="str">
        <f t="shared" si="943"/>
        <v>K105-02</v>
      </c>
      <c r="CR285" s="19" t="str">
        <f t="shared" si="944"/>
        <v>K105-09</v>
      </c>
      <c r="CS285" s="19" t="str">
        <f t="shared" si="945"/>
        <v>K105-05</v>
      </c>
      <c r="CT285" s="19" t="str">
        <f t="shared" si="946"/>
        <v>K105-11</v>
      </c>
      <c r="CU285" s="19" t="str">
        <f t="shared" si="947"/>
        <v>F0-M105-A9</v>
      </c>
      <c r="CV285" s="19" t="str">
        <f t="shared" si="948"/>
        <v>F0-M105-A7</v>
      </c>
      <c r="CW285" s="19" t="str">
        <f t="shared" si="949"/>
        <v>F0-M105-A8</v>
      </c>
      <c r="CX285" s="19" t="str">
        <f t="shared" si="950"/>
        <v>F0-M105-A6</v>
      </c>
      <c r="CY285" s="19" t="str">
        <f t="shared" si="951"/>
        <v>F0-M105-A30</v>
      </c>
      <c r="CZ285" s="19" t="str">
        <f t="shared" si="952"/>
        <v>F0-M105-N</v>
      </c>
      <c r="DA285" s="19" t="str">
        <f t="shared" si="953"/>
        <v>F0-A220-M105</v>
      </c>
      <c r="DB285" s="19" t="str">
        <f t="shared" si="954"/>
        <v>F0-M105-XM01</v>
      </c>
      <c r="DC285" s="19" t="str">
        <f t="shared" si="955"/>
        <v>F0-M105-A1</v>
      </c>
      <c r="DD285" s="19" t="str">
        <f t="shared" si="956"/>
        <v>F0-M105-A5</v>
      </c>
      <c r="DE285" s="19" t="str">
        <f t="shared" si="957"/>
        <v>F0-M105-A11</v>
      </c>
      <c r="DF285" s="19" t="str">
        <f t="shared" si="958"/>
        <v>F0-M105-A12</v>
      </c>
      <c r="DG285" s="19" t="str">
        <f t="shared" si="959"/>
        <v>F0-M105-A19</v>
      </c>
      <c r="DH285" s="19" t="str">
        <f t="shared" si="960"/>
        <v>F0-M105-A20</v>
      </c>
      <c r="DI285" s="19" t="s">
        <v>142</v>
      </c>
      <c r="DJ285" s="19" t="s">
        <v>143</v>
      </c>
      <c r="DK285" s="19">
        <v>11</v>
      </c>
      <c r="DL285" s="19">
        <v>14</v>
      </c>
      <c r="DM285" s="19">
        <v>12</v>
      </c>
      <c r="DN285" s="19" t="s">
        <v>144</v>
      </c>
      <c r="DO285" s="19" t="s">
        <v>1812</v>
      </c>
      <c r="DP285" s="19">
        <v>1</v>
      </c>
      <c r="DQ285" s="19">
        <v>2</v>
      </c>
      <c r="DR285" s="19">
        <v>3</v>
      </c>
      <c r="DS285" s="19">
        <v>4</v>
      </c>
      <c r="DT285" s="19">
        <v>5</v>
      </c>
      <c r="DU285" s="19">
        <v>6</v>
      </c>
      <c r="DV285" s="19">
        <v>7</v>
      </c>
      <c r="DW285" s="19">
        <v>8</v>
      </c>
      <c r="DX285" s="19">
        <v>9</v>
      </c>
      <c r="DY285" s="19">
        <v>10</v>
      </c>
      <c r="DZ285" s="19">
        <v>11</v>
      </c>
      <c r="EA285" s="19">
        <v>12</v>
      </c>
      <c r="EB285" s="19">
        <v>13</v>
      </c>
      <c r="EC285" s="19">
        <v>14</v>
      </c>
      <c r="ED285" s="19">
        <v>1</v>
      </c>
      <c r="EE285" s="19">
        <v>3</v>
      </c>
      <c r="EF285" s="19">
        <v>4</v>
      </c>
      <c r="EG285" s="19">
        <v>7</v>
      </c>
      <c r="EH285" s="19">
        <v>8</v>
      </c>
      <c r="EI285" s="19">
        <v>9</v>
      </c>
      <c r="EJ285" s="19">
        <v>10</v>
      </c>
      <c r="EK285" s="19">
        <v>13</v>
      </c>
      <c r="EL285" s="19">
        <v>14</v>
      </c>
      <c r="EM285" s="19">
        <v>15</v>
      </c>
      <c r="EN285" s="19">
        <v>16</v>
      </c>
      <c r="EO285" s="19">
        <v>22</v>
      </c>
      <c r="EP285" s="19">
        <v>23</v>
      </c>
      <c r="EQ285" s="20">
        <v>24</v>
      </c>
    </row>
    <row r="286" spans="1:355" x14ac:dyDescent="0.25">
      <c r="A286" t="s">
        <v>1901</v>
      </c>
      <c r="B286" t="s">
        <v>1874</v>
      </c>
      <c r="P286" t="s">
        <v>1873</v>
      </c>
      <c r="T286" t="s">
        <v>554</v>
      </c>
      <c r="AC286" t="s">
        <v>1865</v>
      </c>
      <c r="AD286" s="43" t="str" cm="1">
        <f t="array" ref="AD286">IF(COUNTIFS(AC$2:AC286,AC286)=1,"1",VALUE(SUBSTITUTE(INDEX(AD:AD,_xlfn.XMATCH(AC286,AC$1:AC285,0,-1)),"A",""))+INDEX(AE:AE,_xlfn.XMATCH(AC286,AC$1:AC285,0,-1))+1)</f>
        <v>1</v>
      </c>
      <c r="AE286" s="43" cm="1">
        <f t="array" ref="AE286">SUM(IF(ISNUMBER(FIND("TmDi",$BE$1:$AAD$1)),IF(IFERROR(ISNUMBER(VALUE(SUBSTITUTE($BE286:$AAD286,"B",""))),FALSE),IF(ISNUMBER(VALUE(SUBSTITUTE($BE286:$AAD286,"B",""))),1,0),0)))</f>
        <v>0</v>
      </c>
      <c r="AF286" t="str">
        <f t="shared" si="416"/>
        <v>C1</v>
      </c>
      <c r="AG286" t="str">
        <f t="shared" si="417"/>
        <v>B1</v>
      </c>
      <c r="AP286" t="s">
        <v>137</v>
      </c>
      <c r="AT286" t="s">
        <v>854</v>
      </c>
      <c r="AU286" t="s">
        <v>1399</v>
      </c>
      <c r="LX286" s="25" t="str">
        <f>CONCATENATE("DI",REPLACE($AC286,1,3,""),"-",$AF286)</f>
        <v>DI19-C1</v>
      </c>
      <c r="LY286" s="12" t="s">
        <v>1884</v>
      </c>
      <c r="LZ286" s="12" t="s">
        <v>1883</v>
      </c>
      <c r="MA286" s="12">
        <v>11</v>
      </c>
      <c r="MB286" s="12">
        <v>14</v>
      </c>
      <c r="MC286" s="12" t="s">
        <v>142</v>
      </c>
      <c r="MD286" s="12" t="s">
        <v>143</v>
      </c>
      <c r="ME286" s="12" t="s">
        <v>488</v>
      </c>
      <c r="MF286" s="12" t="s">
        <v>487</v>
      </c>
      <c r="MG286" s="12" t="s">
        <v>414</v>
      </c>
      <c r="MH286" s="12" t="s">
        <v>413</v>
      </c>
      <c r="MI286" s="12"/>
      <c r="MJ286" s="12"/>
      <c r="MK286" s="12"/>
      <c r="ML286" s="12"/>
      <c r="MM286" s="12"/>
      <c r="MN286" s="12"/>
      <c r="MO286" s="12">
        <v>1</v>
      </c>
      <c r="MP286" s="13">
        <v>2</v>
      </c>
      <c r="MQ286" s="27"/>
    </row>
    <row r="287" spans="1:355" x14ac:dyDescent="0.25">
      <c r="A287" t="s">
        <v>1902</v>
      </c>
      <c r="B287" t="s">
        <v>1875</v>
      </c>
      <c r="P287" t="s">
        <v>1873</v>
      </c>
      <c r="T287" t="s">
        <v>554</v>
      </c>
      <c r="AC287" t="str">
        <f t="shared" ref="AC287:AC294" si="965">IF(AD286+AE286&gt;31,REPLACE(AC286,LEN(AC286),1,VALUE(RIGHT(AC286,1))+1),AC286)</f>
        <v>A5.19</v>
      </c>
      <c r="AD287" s="43" cm="1">
        <f t="array" ref="AD287">IF(COUNTIFS(AC$2:AC287,AC287)=1,"1",VALUE(SUBSTITUTE(INDEX(AD:AD,_xlfn.XMATCH(AC287,AC$1:AC286,0,-1)),"A",""))+INDEX(AE:AE,_xlfn.XMATCH(AC287,AC$1:AC286,0,-1))+1)</f>
        <v>2</v>
      </c>
      <c r="AE287" s="43" cm="1">
        <f t="array" ref="AE287">SUM(IF(ISNUMBER(FIND("TmDi",$BE$1:$AAD$1)),IF(IFERROR(ISNUMBER(VALUE(SUBSTITUTE($BE287:$AAD287,"B",""))),FALSE),IF(ISNUMBER(VALUE(SUBSTITUTE($BE287:$AAD287,"B",""))),1,0),0)))</f>
        <v>0</v>
      </c>
      <c r="AF287" t="str">
        <f t="shared" si="416"/>
        <v>C2</v>
      </c>
      <c r="AG287" t="str">
        <f t="shared" si="417"/>
        <v>B2</v>
      </c>
      <c r="AP287" t="s">
        <v>137</v>
      </c>
      <c r="AT287" t="s">
        <v>854</v>
      </c>
      <c r="AU287" t="s">
        <v>1399</v>
      </c>
      <c r="LX287" s="27" t="str">
        <f>CONCATENATE("DI",REPLACE($AC287,1,3,""),"-",$AF287)</f>
        <v>DI19-C2</v>
      </c>
      <c r="LY287" t="s">
        <v>1885</v>
      </c>
      <c r="LZ287" t="s">
        <v>1886</v>
      </c>
      <c r="MA287">
        <f t="shared" ref="MA287:MH294" si="966">MA286</f>
        <v>11</v>
      </c>
      <c r="MB287">
        <f t="shared" si="966"/>
        <v>14</v>
      </c>
      <c r="MC287" t="str">
        <f t="shared" si="966"/>
        <v>A1</v>
      </c>
      <c r="MD287" t="str">
        <f t="shared" si="966"/>
        <v>A2</v>
      </c>
      <c r="ME287" t="str">
        <f t="shared" si="966"/>
        <v>0v3</v>
      </c>
      <c r="MF287" t="str">
        <f t="shared" si="966"/>
        <v>24v3</v>
      </c>
      <c r="MG287" t="str">
        <f t="shared" si="966"/>
        <v>0v6</v>
      </c>
      <c r="MH287" t="str">
        <f t="shared" si="966"/>
        <v>24v6</v>
      </c>
      <c r="MO287">
        <f>MO286</f>
        <v>1</v>
      </c>
      <c r="MP287" s="16">
        <f>MP286</f>
        <v>2</v>
      </c>
    </row>
    <row r="288" spans="1:355" x14ac:dyDescent="0.25">
      <c r="A288" t="s">
        <v>1903</v>
      </c>
      <c r="B288" t="s">
        <v>1876</v>
      </c>
      <c r="P288" t="s">
        <v>1873</v>
      </c>
      <c r="T288" t="s">
        <v>554</v>
      </c>
      <c r="AC288" t="str">
        <f t="shared" si="965"/>
        <v>A5.19</v>
      </c>
      <c r="AD288" s="43" cm="1">
        <f t="array" ref="AD288">IF(COUNTIFS(AC$2:AC288,AC288)=1,"1",VALUE(SUBSTITUTE(INDEX(AD:AD,_xlfn.XMATCH(AC288,AC$1:AC287,0,-1)),"A",""))+INDEX(AE:AE,_xlfn.XMATCH(AC288,AC$1:AC287,0,-1))+1)</f>
        <v>3</v>
      </c>
      <c r="AE288" s="43" cm="1">
        <f t="array" ref="AE288">SUM(IF(ISNUMBER(FIND("TmDi",$BE$1:$AAD$1)),IF(IFERROR(ISNUMBER(VALUE(SUBSTITUTE($BE288:$AAD288,"B",""))),FALSE),IF(ISNUMBER(VALUE(SUBSTITUTE($BE288:$AAD288,"B",""))),1,0),0)))</f>
        <v>0</v>
      </c>
      <c r="AF288" t="str">
        <f t="shared" si="416"/>
        <v>C3</v>
      </c>
      <c r="AG288" t="str">
        <f t="shared" si="417"/>
        <v>B3</v>
      </c>
      <c r="AP288" t="s">
        <v>137</v>
      </c>
      <c r="AT288" t="s">
        <v>854</v>
      </c>
      <c r="AU288" t="s">
        <v>1399</v>
      </c>
      <c r="LX288" s="27" t="str">
        <f t="shared" ref="LX288:LX294" si="967">CONCATENATE("DI",REPLACE($AC288,1,3,""),"-",$AF288)</f>
        <v>DI19-C3</v>
      </c>
      <c r="LY288" t="s">
        <v>1887</v>
      </c>
      <c r="LZ288" t="s">
        <v>1888</v>
      </c>
      <c r="MA288">
        <f t="shared" si="966"/>
        <v>11</v>
      </c>
      <c r="MB288">
        <f t="shared" si="966"/>
        <v>14</v>
      </c>
      <c r="MC288" t="str">
        <f t="shared" si="966"/>
        <v>A1</v>
      </c>
      <c r="MD288" t="str">
        <f t="shared" si="966"/>
        <v>A2</v>
      </c>
      <c r="ME288" t="str">
        <f t="shared" si="966"/>
        <v>0v3</v>
      </c>
      <c r="MF288" t="str">
        <f t="shared" si="966"/>
        <v>24v3</v>
      </c>
      <c r="MG288" t="str">
        <f t="shared" si="966"/>
        <v>0v6</v>
      </c>
      <c r="MH288" t="str">
        <f t="shared" si="966"/>
        <v>24v6</v>
      </c>
      <c r="MO288">
        <f t="shared" ref="MO288:MP294" si="968">MO287</f>
        <v>1</v>
      </c>
      <c r="MP288" s="16">
        <f t="shared" si="968"/>
        <v>2</v>
      </c>
    </row>
    <row r="289" spans="1:548" x14ac:dyDescent="0.25">
      <c r="A289" t="s">
        <v>1904</v>
      </c>
      <c r="B289" t="s">
        <v>1877</v>
      </c>
      <c r="P289" t="s">
        <v>1873</v>
      </c>
      <c r="T289" t="s">
        <v>554</v>
      </c>
      <c r="AC289" t="str">
        <f t="shared" si="965"/>
        <v>A5.19</v>
      </c>
      <c r="AD289" s="43" cm="1">
        <f t="array" ref="AD289">IF(COUNTIFS(AC$2:AC289,AC289)=1,"1",VALUE(SUBSTITUTE(INDEX(AD:AD,_xlfn.XMATCH(AC289,AC$1:AC288,0,-1)),"A",""))+INDEX(AE:AE,_xlfn.XMATCH(AC289,AC$1:AC288,0,-1))+1)</f>
        <v>4</v>
      </c>
      <c r="AE289" s="43" cm="1">
        <f t="array" ref="AE289">SUM(IF(ISNUMBER(FIND("TmDi",$BE$1:$AAD$1)),IF(IFERROR(ISNUMBER(VALUE(SUBSTITUTE($BE289:$AAD289,"B",""))),FALSE),IF(ISNUMBER(VALUE(SUBSTITUTE($BE289:$AAD289,"B",""))),1,0),0)))</f>
        <v>0</v>
      </c>
      <c r="AF289" t="str">
        <f t="shared" si="416"/>
        <v>C4</v>
      </c>
      <c r="AG289" t="str">
        <f t="shared" si="417"/>
        <v>B4</v>
      </c>
      <c r="AP289" t="s">
        <v>137</v>
      </c>
      <c r="AT289" t="s">
        <v>854</v>
      </c>
      <c r="AU289" t="s">
        <v>1399</v>
      </c>
      <c r="LX289" s="27" t="str">
        <f t="shared" si="967"/>
        <v>DI19-C4</v>
      </c>
      <c r="LY289" t="s">
        <v>1889</v>
      </c>
      <c r="LZ289" t="s">
        <v>1890</v>
      </c>
      <c r="MA289">
        <f t="shared" si="966"/>
        <v>11</v>
      </c>
      <c r="MB289">
        <f t="shared" si="966"/>
        <v>14</v>
      </c>
      <c r="MC289" t="str">
        <f t="shared" si="966"/>
        <v>A1</v>
      </c>
      <c r="MD289" t="str">
        <f t="shared" si="966"/>
        <v>A2</v>
      </c>
      <c r="ME289" t="str">
        <f t="shared" si="966"/>
        <v>0v3</v>
      </c>
      <c r="MF289" t="str">
        <f t="shared" si="966"/>
        <v>24v3</v>
      </c>
      <c r="MG289" t="str">
        <f t="shared" si="966"/>
        <v>0v6</v>
      </c>
      <c r="MH289" t="str">
        <f t="shared" si="966"/>
        <v>24v6</v>
      </c>
      <c r="MO289">
        <f t="shared" si="968"/>
        <v>1</v>
      </c>
      <c r="MP289" s="16">
        <f t="shared" si="968"/>
        <v>2</v>
      </c>
    </row>
    <row r="290" spans="1:548" x14ac:dyDescent="0.25">
      <c r="A290" t="s">
        <v>1905</v>
      </c>
      <c r="B290" t="s">
        <v>1878</v>
      </c>
      <c r="P290" t="s">
        <v>1873</v>
      </c>
      <c r="T290" t="s">
        <v>554</v>
      </c>
      <c r="AC290" t="str">
        <f t="shared" si="965"/>
        <v>A5.19</v>
      </c>
      <c r="AD290" s="43" cm="1">
        <f t="array" ref="AD290">IF(COUNTIFS(AC$2:AC290,AC290)=1,"1",VALUE(SUBSTITUTE(INDEX(AD:AD,_xlfn.XMATCH(AC290,AC$1:AC289,0,-1)),"A",""))+INDEX(AE:AE,_xlfn.XMATCH(AC290,AC$1:AC289,0,-1))+1)</f>
        <v>5</v>
      </c>
      <c r="AE290" s="43" cm="1">
        <f t="array" ref="AE290">SUM(IF(ISNUMBER(FIND("TmDi",$BE$1:$AAD$1)),IF(IFERROR(ISNUMBER(VALUE(SUBSTITUTE($BE290:$AAD290,"B",""))),FALSE),IF(ISNUMBER(VALUE(SUBSTITUTE($BE290:$AAD290,"B",""))),1,0),0)))</f>
        <v>0</v>
      </c>
      <c r="AF290" t="str">
        <f t="shared" si="416"/>
        <v>C5</v>
      </c>
      <c r="AG290" t="str">
        <f t="shared" si="417"/>
        <v>B5</v>
      </c>
      <c r="AP290" t="s">
        <v>137</v>
      </c>
      <c r="AT290" t="s">
        <v>854</v>
      </c>
      <c r="AU290" t="s">
        <v>1399</v>
      </c>
      <c r="LX290" s="27" t="str">
        <f t="shared" si="967"/>
        <v>DI19-C5</v>
      </c>
      <c r="LY290" t="s">
        <v>1891</v>
      </c>
      <c r="LZ290" t="s">
        <v>1892</v>
      </c>
      <c r="MA290">
        <f t="shared" si="966"/>
        <v>11</v>
      </c>
      <c r="MB290">
        <f t="shared" si="966"/>
        <v>14</v>
      </c>
      <c r="MC290" t="str">
        <f t="shared" si="966"/>
        <v>A1</v>
      </c>
      <c r="MD290" t="str">
        <f t="shared" si="966"/>
        <v>A2</v>
      </c>
      <c r="ME290" t="str">
        <f t="shared" si="966"/>
        <v>0v3</v>
      </c>
      <c r="MF290" t="str">
        <f t="shared" si="966"/>
        <v>24v3</v>
      </c>
      <c r="MG290" t="str">
        <f t="shared" si="966"/>
        <v>0v6</v>
      </c>
      <c r="MH290" t="str">
        <f t="shared" si="966"/>
        <v>24v6</v>
      </c>
      <c r="MO290">
        <f t="shared" si="968"/>
        <v>1</v>
      </c>
      <c r="MP290" s="16">
        <f t="shared" si="968"/>
        <v>2</v>
      </c>
    </row>
    <row r="291" spans="1:548" x14ac:dyDescent="0.25">
      <c r="A291" t="s">
        <v>1906</v>
      </c>
      <c r="B291" t="s">
        <v>1879</v>
      </c>
      <c r="P291" t="s">
        <v>1873</v>
      </c>
      <c r="T291" t="s">
        <v>554</v>
      </c>
      <c r="AC291" t="str">
        <f t="shared" si="965"/>
        <v>A5.19</v>
      </c>
      <c r="AD291" s="43" cm="1">
        <f t="array" ref="AD291">IF(COUNTIFS(AC$2:AC291,AC291)=1,"1",VALUE(SUBSTITUTE(INDEX(AD:AD,_xlfn.XMATCH(AC291,AC$1:AC290,0,-1)),"A",""))+INDEX(AE:AE,_xlfn.XMATCH(AC291,AC$1:AC290,0,-1))+1)</f>
        <v>6</v>
      </c>
      <c r="AE291" s="43" cm="1">
        <f t="array" ref="AE291">SUM(IF(ISNUMBER(FIND("TmDi",$BE$1:$AAD$1)),IF(IFERROR(ISNUMBER(VALUE(SUBSTITUTE($BE291:$AAD291,"B",""))),FALSE),IF(ISNUMBER(VALUE(SUBSTITUTE($BE291:$AAD291,"B",""))),1,0),0)))</f>
        <v>0</v>
      </c>
      <c r="AF291" t="str">
        <f t="shared" si="416"/>
        <v>C6</v>
      </c>
      <c r="AG291" t="str">
        <f t="shared" si="417"/>
        <v>B6</v>
      </c>
      <c r="AP291" t="s">
        <v>137</v>
      </c>
      <c r="AT291" t="s">
        <v>854</v>
      </c>
      <c r="AU291" t="s">
        <v>1399</v>
      </c>
      <c r="LX291" s="27" t="str">
        <f t="shared" si="967"/>
        <v>DI19-C6</v>
      </c>
      <c r="LY291" t="s">
        <v>1893</v>
      </c>
      <c r="LZ291" t="s">
        <v>1894</v>
      </c>
      <c r="MA291">
        <f t="shared" si="966"/>
        <v>11</v>
      </c>
      <c r="MB291">
        <f t="shared" si="966"/>
        <v>14</v>
      </c>
      <c r="MC291" t="str">
        <f t="shared" si="966"/>
        <v>A1</v>
      </c>
      <c r="MD291" t="str">
        <f t="shared" si="966"/>
        <v>A2</v>
      </c>
      <c r="ME291" t="str">
        <f t="shared" si="966"/>
        <v>0v3</v>
      </c>
      <c r="MF291" t="str">
        <f t="shared" si="966"/>
        <v>24v3</v>
      </c>
      <c r="MG291" t="str">
        <f t="shared" si="966"/>
        <v>0v6</v>
      </c>
      <c r="MH291" t="str">
        <f t="shared" si="966"/>
        <v>24v6</v>
      </c>
      <c r="MO291">
        <f t="shared" si="968"/>
        <v>1</v>
      </c>
      <c r="MP291" s="16">
        <f t="shared" si="968"/>
        <v>2</v>
      </c>
    </row>
    <row r="292" spans="1:548" x14ac:dyDescent="0.25">
      <c r="A292" t="s">
        <v>1907</v>
      </c>
      <c r="B292" t="s">
        <v>1880</v>
      </c>
      <c r="P292" t="s">
        <v>1873</v>
      </c>
      <c r="T292" t="s">
        <v>554</v>
      </c>
      <c r="AC292" t="str">
        <f t="shared" si="965"/>
        <v>A5.19</v>
      </c>
      <c r="AD292" s="43" cm="1">
        <f t="array" ref="AD292">IF(COUNTIFS(AC$2:AC292,AC292)=1,"1",VALUE(SUBSTITUTE(INDEX(AD:AD,_xlfn.XMATCH(AC292,AC$1:AC291,0,-1)),"A",""))+INDEX(AE:AE,_xlfn.XMATCH(AC292,AC$1:AC291,0,-1))+1)</f>
        <v>7</v>
      </c>
      <c r="AE292" s="43" cm="1">
        <f t="array" ref="AE292">SUM(IF(ISNUMBER(FIND("TmDi",$BE$1:$AAD$1)),IF(IFERROR(ISNUMBER(VALUE(SUBSTITUTE($BE292:$AAD292,"B",""))),FALSE),IF(ISNUMBER(VALUE(SUBSTITUTE($BE292:$AAD292,"B",""))),1,0),0)))</f>
        <v>0</v>
      </c>
      <c r="AF292" t="str">
        <f t="shared" si="416"/>
        <v>C7</v>
      </c>
      <c r="AG292" t="str">
        <f t="shared" si="417"/>
        <v>B7</v>
      </c>
      <c r="AP292" t="s">
        <v>137</v>
      </c>
      <c r="AT292" t="s">
        <v>854</v>
      </c>
      <c r="AU292" t="s">
        <v>1399</v>
      </c>
      <c r="LX292" s="27" t="str">
        <f t="shared" si="967"/>
        <v>DI19-C7</v>
      </c>
      <c r="LY292" t="s">
        <v>1895</v>
      </c>
      <c r="LZ292" t="s">
        <v>1896</v>
      </c>
      <c r="MA292">
        <f t="shared" si="966"/>
        <v>11</v>
      </c>
      <c r="MB292">
        <f t="shared" si="966"/>
        <v>14</v>
      </c>
      <c r="MC292" t="str">
        <f t="shared" si="966"/>
        <v>A1</v>
      </c>
      <c r="MD292" t="str">
        <f t="shared" si="966"/>
        <v>A2</v>
      </c>
      <c r="ME292" t="str">
        <f t="shared" si="966"/>
        <v>0v3</v>
      </c>
      <c r="MF292" t="str">
        <f t="shared" si="966"/>
        <v>24v3</v>
      </c>
      <c r="MG292" t="str">
        <f t="shared" si="966"/>
        <v>0v6</v>
      </c>
      <c r="MH292" t="str">
        <f t="shared" si="966"/>
        <v>24v6</v>
      </c>
      <c r="MO292">
        <f t="shared" si="968"/>
        <v>1</v>
      </c>
      <c r="MP292" s="16">
        <f t="shared" si="968"/>
        <v>2</v>
      </c>
    </row>
    <row r="293" spans="1:548" x14ac:dyDescent="0.25">
      <c r="A293" t="s">
        <v>1908</v>
      </c>
      <c r="B293" t="s">
        <v>1881</v>
      </c>
      <c r="P293" t="s">
        <v>1873</v>
      </c>
      <c r="T293" t="s">
        <v>554</v>
      </c>
      <c r="AC293" t="str">
        <f t="shared" si="965"/>
        <v>A5.19</v>
      </c>
      <c r="AD293" s="43" cm="1">
        <f t="array" ref="AD293">IF(COUNTIFS(AC$2:AC293,AC293)=1,"1",VALUE(SUBSTITUTE(INDEX(AD:AD,_xlfn.XMATCH(AC293,AC$1:AC292,0,-1)),"A",""))+INDEX(AE:AE,_xlfn.XMATCH(AC293,AC$1:AC292,0,-1))+1)</f>
        <v>8</v>
      </c>
      <c r="AE293" s="43" cm="1">
        <f t="array" ref="AE293">SUM(IF(ISNUMBER(FIND("TmDi",$BE$1:$AAD$1)),IF(IFERROR(ISNUMBER(VALUE(SUBSTITUTE($BE293:$AAD293,"B",""))),FALSE),IF(ISNUMBER(VALUE(SUBSTITUTE($BE293:$AAD293,"B",""))),1,0),0)))</f>
        <v>0</v>
      </c>
      <c r="AF293" t="str">
        <f t="shared" si="416"/>
        <v>C8</v>
      </c>
      <c r="AG293" t="str">
        <f t="shared" si="417"/>
        <v>B8</v>
      </c>
      <c r="AP293" t="s">
        <v>137</v>
      </c>
      <c r="AT293" t="s">
        <v>854</v>
      </c>
      <c r="AU293" t="s">
        <v>1399</v>
      </c>
      <c r="LX293" s="27" t="str">
        <f t="shared" si="967"/>
        <v>DI19-C8</v>
      </c>
      <c r="LY293" t="s">
        <v>1897</v>
      </c>
      <c r="LZ293" t="s">
        <v>1898</v>
      </c>
      <c r="MA293">
        <f t="shared" si="966"/>
        <v>11</v>
      </c>
      <c r="MB293">
        <f t="shared" si="966"/>
        <v>14</v>
      </c>
      <c r="MC293" t="str">
        <f t="shared" si="966"/>
        <v>A1</v>
      </c>
      <c r="MD293" t="str">
        <f t="shared" si="966"/>
        <v>A2</v>
      </c>
      <c r="ME293" t="str">
        <f t="shared" si="966"/>
        <v>0v3</v>
      </c>
      <c r="MF293" t="str">
        <f t="shared" si="966"/>
        <v>24v3</v>
      </c>
      <c r="MG293" t="str">
        <f t="shared" si="966"/>
        <v>0v6</v>
      </c>
      <c r="MH293" t="str">
        <f t="shared" si="966"/>
        <v>24v6</v>
      </c>
      <c r="MO293">
        <f t="shared" si="968"/>
        <v>1</v>
      </c>
      <c r="MP293" s="16">
        <f t="shared" si="968"/>
        <v>2</v>
      </c>
    </row>
    <row r="294" spans="1:548" x14ac:dyDescent="0.25">
      <c r="A294" t="s">
        <v>1909</v>
      </c>
      <c r="B294" t="s">
        <v>1882</v>
      </c>
      <c r="P294" t="s">
        <v>1873</v>
      </c>
      <c r="T294" t="s">
        <v>554</v>
      </c>
      <c r="AC294" t="str">
        <f t="shared" si="965"/>
        <v>A5.19</v>
      </c>
      <c r="AD294" s="43" cm="1">
        <f t="array" ref="AD294">IF(COUNTIFS(AC$2:AC294,AC294)=1,"1",VALUE(SUBSTITUTE(INDEX(AD:AD,_xlfn.XMATCH(AC294,AC$1:AC293,0,-1)),"A",""))+INDEX(AE:AE,_xlfn.XMATCH(AC294,AC$1:AC293,0,-1))+1)</f>
        <v>9</v>
      </c>
      <c r="AE294" s="43" cm="1">
        <f t="array" ref="AE294">SUM(IF(ISNUMBER(FIND("TmDi",$BE$1:$AAD$1)),IF(IFERROR(ISNUMBER(VALUE(SUBSTITUTE($BE294:$AAD294,"B",""))),FALSE),IF(ISNUMBER(VALUE(SUBSTITUTE($BE294:$AAD294,"B",""))),1,0),0)))</f>
        <v>0</v>
      </c>
      <c r="AF294" t="str">
        <f t="shared" si="416"/>
        <v>C9</v>
      </c>
      <c r="AG294" t="str">
        <f t="shared" si="417"/>
        <v>B9</v>
      </c>
      <c r="AP294" t="s">
        <v>137</v>
      </c>
      <c r="AT294" t="s">
        <v>854</v>
      </c>
      <c r="AU294" t="s">
        <v>1399</v>
      </c>
      <c r="LX294" s="27" t="str">
        <f t="shared" si="967"/>
        <v>DI19-C9</v>
      </c>
      <c r="LY294" t="s">
        <v>1899</v>
      </c>
      <c r="LZ294" t="s">
        <v>1900</v>
      </c>
      <c r="MA294">
        <f t="shared" si="966"/>
        <v>11</v>
      </c>
      <c r="MB294">
        <f t="shared" si="966"/>
        <v>14</v>
      </c>
      <c r="MC294" t="str">
        <f t="shared" si="966"/>
        <v>A1</v>
      </c>
      <c r="MD294" t="str">
        <f t="shared" si="966"/>
        <v>A2</v>
      </c>
      <c r="ME294" t="str">
        <f t="shared" si="966"/>
        <v>0v3</v>
      </c>
      <c r="MF294" t="str">
        <f t="shared" si="966"/>
        <v>24v3</v>
      </c>
      <c r="MG294" t="str">
        <f t="shared" si="966"/>
        <v>0v6</v>
      </c>
      <c r="MH294" t="str">
        <f t="shared" si="966"/>
        <v>24v6</v>
      </c>
      <c r="MO294">
        <f t="shared" si="968"/>
        <v>1</v>
      </c>
      <c r="MP294" s="16">
        <f t="shared" si="968"/>
        <v>2</v>
      </c>
    </row>
    <row r="295" spans="1:548" ht="30" x14ac:dyDescent="0.25">
      <c r="A295" t="s">
        <v>1925</v>
      </c>
      <c r="B295" t="s">
        <v>1933</v>
      </c>
      <c r="P295" t="s">
        <v>1942</v>
      </c>
      <c r="T295" t="s">
        <v>554</v>
      </c>
      <c r="U295">
        <v>107</v>
      </c>
      <c r="V295" t="str">
        <f>A295</f>
        <v>К-F0-БВД10</v>
      </c>
      <c r="AP295" t="s">
        <v>137</v>
      </c>
      <c r="AQ295" t="s">
        <v>1005</v>
      </c>
      <c r="TQ295" s="29" t="s">
        <v>1950</v>
      </c>
      <c r="TR295" t="s">
        <v>1951</v>
      </c>
      <c r="TS295" t="s">
        <v>1952</v>
      </c>
      <c r="TT295" t="s">
        <v>1953</v>
      </c>
      <c r="TU295" t="s">
        <v>1954</v>
      </c>
      <c r="TV295" t="s">
        <v>1955</v>
      </c>
      <c r="TW295" t="s">
        <v>1956</v>
      </c>
      <c r="TX295" t="s">
        <v>1957</v>
      </c>
      <c r="TY295" t="str">
        <f>CONCATENATE("XT",$U295)</f>
        <v>XT107</v>
      </c>
      <c r="TZ295">
        <v>1</v>
      </c>
      <c r="UA295">
        <f>TZ295+1</f>
        <v>2</v>
      </c>
      <c r="UB295">
        <f>UA295+1</f>
        <v>3</v>
      </c>
    </row>
    <row r="296" spans="1:548" ht="30" x14ac:dyDescent="0.25">
      <c r="A296" t="s">
        <v>1927</v>
      </c>
      <c r="B296" t="s">
        <v>1934</v>
      </c>
      <c r="P296" t="s">
        <v>1942</v>
      </c>
      <c r="T296" t="s">
        <v>554</v>
      </c>
      <c r="U296">
        <v>107</v>
      </c>
      <c r="V296" t="str">
        <f t="shared" ref="V296:V303" si="969">A296</f>
        <v>К-F0-K4.1</v>
      </c>
      <c r="AQ296" t="s">
        <v>1248</v>
      </c>
      <c r="TQ296" s="29" t="s">
        <v>1961</v>
      </c>
      <c r="TR296" t="s">
        <v>1951</v>
      </c>
      <c r="TS296" t="s">
        <v>1952</v>
      </c>
      <c r="TT296" t="s">
        <v>1953</v>
      </c>
      <c r="TU296" t="s">
        <v>1954</v>
      </c>
      <c r="TV296" t="s">
        <v>1958</v>
      </c>
      <c r="TW296" t="s">
        <v>1959</v>
      </c>
      <c r="TX296" t="s">
        <v>1960</v>
      </c>
      <c r="TY296" t="str">
        <f t="shared" ref="TY296:TY303" si="970">CONCATENATE("XT",$U296)</f>
        <v>XT107</v>
      </c>
      <c r="TZ296">
        <f>TZ295+3</f>
        <v>4</v>
      </c>
      <c r="UA296">
        <f>TZ296+1</f>
        <v>5</v>
      </c>
      <c r="UB296">
        <f>UA296+1</f>
        <v>6</v>
      </c>
    </row>
    <row r="297" spans="1:548" ht="30" x14ac:dyDescent="0.25">
      <c r="A297" t="s">
        <v>1928</v>
      </c>
      <c r="B297" t="s">
        <v>1935</v>
      </c>
      <c r="P297" t="s">
        <v>1942</v>
      </c>
      <c r="T297" t="s">
        <v>554</v>
      </c>
      <c r="U297">
        <v>107</v>
      </c>
      <c r="V297" t="str">
        <f t="shared" si="969"/>
        <v>К-F0-K5.1</v>
      </c>
      <c r="AQ297" t="s">
        <v>1258</v>
      </c>
      <c r="TQ297" s="29" t="s">
        <v>1962</v>
      </c>
      <c r="TR297" t="s">
        <v>1951</v>
      </c>
      <c r="TS297" t="s">
        <v>1952</v>
      </c>
      <c r="TT297" t="s">
        <v>1953</v>
      </c>
      <c r="TU297" t="s">
        <v>1954</v>
      </c>
      <c r="TV297" t="s">
        <v>1964</v>
      </c>
      <c r="TW297" t="s">
        <v>1966</v>
      </c>
      <c r="TX297" t="s">
        <v>1968</v>
      </c>
      <c r="TY297" t="str">
        <f t="shared" si="970"/>
        <v>XT107</v>
      </c>
      <c r="TZ297">
        <f t="shared" ref="TZ297:TZ299" si="971">TZ296+3</f>
        <v>7</v>
      </c>
      <c r="UA297">
        <f t="shared" ref="UA297:UB298" si="972">TZ297+1</f>
        <v>8</v>
      </c>
      <c r="UB297">
        <f t="shared" si="972"/>
        <v>9</v>
      </c>
    </row>
    <row r="298" spans="1:548" ht="30" x14ac:dyDescent="0.25">
      <c r="A298" t="s">
        <v>1929</v>
      </c>
      <c r="B298" t="s">
        <v>1936</v>
      </c>
      <c r="P298" t="s">
        <v>1942</v>
      </c>
      <c r="T298" t="s">
        <v>554</v>
      </c>
      <c r="U298">
        <v>107</v>
      </c>
      <c r="V298" t="str">
        <f t="shared" si="969"/>
        <v>К-F0-K6.1</v>
      </c>
      <c r="AQ298" t="s">
        <v>1269</v>
      </c>
      <c r="TQ298" s="29" t="s">
        <v>1963</v>
      </c>
      <c r="TR298" t="s">
        <v>1951</v>
      </c>
      <c r="TS298" t="s">
        <v>1952</v>
      </c>
      <c r="TT298" t="s">
        <v>1953</v>
      </c>
      <c r="TU298" t="s">
        <v>1954</v>
      </c>
      <c r="TV298" t="s">
        <v>1965</v>
      </c>
      <c r="TW298" t="s">
        <v>1967</v>
      </c>
      <c r="TX298" t="s">
        <v>1969</v>
      </c>
      <c r="TY298" t="str">
        <f t="shared" si="970"/>
        <v>XT107</v>
      </c>
      <c r="TZ298">
        <f t="shared" si="971"/>
        <v>10</v>
      </c>
      <c r="UA298">
        <f t="shared" si="972"/>
        <v>11</v>
      </c>
      <c r="UB298">
        <f t="shared" si="972"/>
        <v>12</v>
      </c>
    </row>
    <row r="299" spans="1:548" ht="30" x14ac:dyDescent="0.25">
      <c r="A299" t="s">
        <v>1930</v>
      </c>
      <c r="B299" t="s">
        <v>1937</v>
      </c>
      <c r="P299" t="s">
        <v>1942</v>
      </c>
      <c r="T299" t="s">
        <v>554</v>
      </c>
      <c r="U299">
        <v>107</v>
      </c>
      <c r="V299" t="str">
        <f t="shared" si="969"/>
        <v>К-F0-K10.5.1</v>
      </c>
      <c r="AQ299" t="s">
        <v>1289</v>
      </c>
      <c r="TQ299" s="29" t="s">
        <v>1970</v>
      </c>
      <c r="TR299" t="s">
        <v>1951</v>
      </c>
      <c r="TS299" t="s">
        <v>1952</v>
      </c>
      <c r="TT299" t="s">
        <v>1953</v>
      </c>
      <c r="TU299" t="s">
        <v>1954</v>
      </c>
      <c r="TV299" t="s">
        <v>1955</v>
      </c>
      <c r="TW299" t="s">
        <v>1956</v>
      </c>
      <c r="TX299" t="s">
        <v>1957</v>
      </c>
      <c r="TY299" t="str">
        <f>CONCATENATE("XT",$U299)</f>
        <v>XT107</v>
      </c>
      <c r="TZ299">
        <f t="shared" si="971"/>
        <v>13</v>
      </c>
      <c r="UA299">
        <f>TZ299+1</f>
        <v>14</v>
      </c>
      <c r="UB299">
        <f>UA299+1</f>
        <v>15</v>
      </c>
    </row>
    <row r="300" spans="1:548" ht="30" x14ac:dyDescent="0.25">
      <c r="A300" t="s">
        <v>1931</v>
      </c>
      <c r="B300" t="s">
        <v>1938</v>
      </c>
      <c r="P300" t="s">
        <v>1942</v>
      </c>
      <c r="T300" t="s">
        <v>554</v>
      </c>
      <c r="U300">
        <v>107</v>
      </c>
      <c r="V300" t="str">
        <f t="shared" si="969"/>
        <v>К-F0-К23.1</v>
      </c>
      <c r="AQ300" t="s">
        <v>1300</v>
      </c>
      <c r="TQ300" s="29" t="s">
        <v>1971</v>
      </c>
      <c r="TR300" t="s">
        <v>1951</v>
      </c>
      <c r="TS300" t="s">
        <v>1952</v>
      </c>
      <c r="TT300" t="s">
        <v>1953</v>
      </c>
      <c r="TU300" t="s">
        <v>1954</v>
      </c>
      <c r="TV300" t="s">
        <v>1958</v>
      </c>
      <c r="TW300" t="s">
        <v>1959</v>
      </c>
      <c r="TX300" t="s">
        <v>1960</v>
      </c>
      <c r="TY300" t="str">
        <f t="shared" si="970"/>
        <v>XT107</v>
      </c>
      <c r="TZ300">
        <f>TZ299+3</f>
        <v>16</v>
      </c>
      <c r="UA300">
        <f>TZ300+1</f>
        <v>17</v>
      </c>
      <c r="UB300">
        <f>UA300+1</f>
        <v>18</v>
      </c>
    </row>
    <row r="301" spans="1:548" ht="30" x14ac:dyDescent="0.25">
      <c r="A301" t="s">
        <v>1932</v>
      </c>
      <c r="B301" t="s">
        <v>1939</v>
      </c>
      <c r="P301" t="s">
        <v>1942</v>
      </c>
      <c r="T301" t="s">
        <v>554</v>
      </c>
      <c r="U301">
        <v>107</v>
      </c>
      <c r="V301" t="str">
        <f t="shared" si="969"/>
        <v>К-F0-НКП1</v>
      </c>
      <c r="AQ301" t="s">
        <v>1302</v>
      </c>
      <c r="TQ301" s="29" t="s">
        <v>1972</v>
      </c>
      <c r="TR301" t="s">
        <v>1951</v>
      </c>
      <c r="TS301" t="s">
        <v>1952</v>
      </c>
      <c r="TT301" t="s">
        <v>1953</v>
      </c>
      <c r="TU301" t="s">
        <v>1954</v>
      </c>
      <c r="TV301" t="s">
        <v>1964</v>
      </c>
      <c r="TW301" t="s">
        <v>1966</v>
      </c>
      <c r="TX301" t="s">
        <v>1968</v>
      </c>
      <c r="TY301" t="str">
        <f t="shared" si="970"/>
        <v>XT107</v>
      </c>
      <c r="TZ301">
        <f t="shared" ref="TZ301:TZ303" si="973">TZ300+3</f>
        <v>19</v>
      </c>
      <c r="UA301">
        <f t="shared" ref="UA301:UB303" si="974">TZ301+1</f>
        <v>20</v>
      </c>
      <c r="UB301">
        <f t="shared" si="974"/>
        <v>21</v>
      </c>
    </row>
    <row r="302" spans="1:548" ht="30" x14ac:dyDescent="0.25">
      <c r="A302" t="s">
        <v>1926</v>
      </c>
      <c r="B302" t="s">
        <v>1940</v>
      </c>
      <c r="P302" t="s">
        <v>1942</v>
      </c>
      <c r="T302" t="s">
        <v>554</v>
      </c>
      <c r="U302">
        <v>107</v>
      </c>
      <c r="V302" t="str">
        <f t="shared" si="969"/>
        <v>К-F0-К12</v>
      </c>
      <c r="AQ302" t="s">
        <v>1400</v>
      </c>
      <c r="TQ302" s="29" t="s">
        <v>1973</v>
      </c>
      <c r="TR302" t="s">
        <v>1951</v>
      </c>
      <c r="TS302" t="s">
        <v>1952</v>
      </c>
      <c r="TT302" t="s">
        <v>1953</v>
      </c>
      <c r="TU302" t="s">
        <v>1954</v>
      </c>
      <c r="TV302" t="s">
        <v>1965</v>
      </c>
      <c r="TW302" t="s">
        <v>1967</v>
      </c>
      <c r="TX302" t="s">
        <v>1969</v>
      </c>
      <c r="TY302" t="str">
        <f t="shared" si="970"/>
        <v>XT107</v>
      </c>
      <c r="TZ302">
        <f t="shared" si="973"/>
        <v>22</v>
      </c>
      <c r="UA302">
        <f t="shared" si="974"/>
        <v>23</v>
      </c>
      <c r="UB302">
        <f t="shared" si="974"/>
        <v>24</v>
      </c>
    </row>
    <row r="303" spans="1:548" s="19" customFormat="1" ht="30.75" thickBot="1" x14ac:dyDescent="0.3">
      <c r="A303" s="19" t="s">
        <v>1924</v>
      </c>
      <c r="B303" s="19" t="s">
        <v>1941</v>
      </c>
      <c r="P303" s="19" t="s">
        <v>1942</v>
      </c>
      <c r="T303" s="19" t="s">
        <v>554</v>
      </c>
      <c r="U303" s="19">
        <v>107</v>
      </c>
      <c r="V303" s="19" t="str">
        <f t="shared" si="969"/>
        <v>К-F0-УУГ1</v>
      </c>
      <c r="AQ303" s="19" t="s">
        <v>1778</v>
      </c>
      <c r="TQ303" s="56" t="s">
        <v>1974</v>
      </c>
      <c r="TR303" s="19" t="s">
        <v>1951</v>
      </c>
      <c r="TS303" s="19" t="s">
        <v>1952</v>
      </c>
      <c r="TT303" s="19" t="s">
        <v>1953</v>
      </c>
      <c r="TU303" s="19" t="s">
        <v>1954</v>
      </c>
      <c r="TV303" s="19" t="s">
        <v>1975</v>
      </c>
      <c r="TW303" s="19" t="s">
        <v>1976</v>
      </c>
      <c r="TX303" s="19" t="s">
        <v>1977</v>
      </c>
      <c r="TY303" s="19" t="str">
        <f t="shared" si="970"/>
        <v>XT107</v>
      </c>
      <c r="TZ303" s="19">
        <f t="shared" si="973"/>
        <v>25</v>
      </c>
      <c r="UA303" s="19">
        <f t="shared" si="974"/>
        <v>26</v>
      </c>
      <c r="UB303" s="19">
        <f t="shared" si="974"/>
        <v>27</v>
      </c>
    </row>
    <row r="304" spans="1:548" x14ac:dyDescent="0.25">
      <c r="A304" t="s">
        <v>1985</v>
      </c>
      <c r="B304" t="s">
        <v>1983</v>
      </c>
      <c r="C304" t="s">
        <v>498</v>
      </c>
      <c r="P304" t="s">
        <v>482</v>
      </c>
      <c r="T304" s="14" t="s">
        <v>1987</v>
      </c>
      <c r="U304">
        <v>1</v>
      </c>
      <c r="V304" t="s">
        <v>1988</v>
      </c>
      <c r="X304" t="s">
        <v>400</v>
      </c>
      <c r="Y304" s="43" t="str" cm="1">
        <f t="array" ref="Y304">IF(COUNTIFS($X$303:$X304,$X304)=1,"1",VALUE(SUBSTITUTE(INDEX(Y:Y,_xlfn.XMATCH($X304,$X$1:$X303,0,-1)),"A",""))+INDEX(Z:Z,_xlfn.XMATCH($X304,$X$1:$X303,0,-1))+1)</f>
        <v>1</v>
      </c>
      <c r="Z304" s="43" cm="1">
        <f t="array" ref="Z304">SUM(IF(ISNUMBER(FIND("TmAi",$BE$1:$AAD$1)),IF(IFERROR(ISODD(SUBSTITUTE($BE304:$AAD304,"A","")),FALSE),IF(ISODD(SUBSTITUTE($BE304:$AAD304,"A","")),1,0),0)))</f>
        <v>0</v>
      </c>
      <c r="AA304" t="str">
        <f t="shared" ref="AA304:AA305" si="975">CONCATENATE($Y304*2-1,"B")</f>
        <v>1B</v>
      </c>
      <c r="AB304" t="str">
        <f t="shared" ref="AB304:AB305" si="976">CONCATENATE($Y304*2,"B")</f>
        <v>2B</v>
      </c>
      <c r="AP304" t="s">
        <v>1990</v>
      </c>
      <c r="AS304" t="s">
        <v>396</v>
      </c>
      <c r="JZ304" s="27" t="str">
        <f t="shared" ref="JZ304:JZ305" si="977">CONCATENATE("XT",U304)</f>
        <v>XT1</v>
      </c>
      <c r="KC304" t="str">
        <f t="shared" ref="KC304:KC305" si="978">CONCATENATE(T304,"-AI",REPLACE($X304,1,3,""),"-",AA304)</f>
        <v>E1-AI1-1B</v>
      </c>
      <c r="KD304" t="str">
        <f t="shared" ref="KD304:KD305" si="979">CONCATENATE(T304,"-AI",REPLACE($X304,1,3,""),"-",AB304)</f>
        <v>E1-AI1-2B</v>
      </c>
      <c r="KI304">
        <v>1</v>
      </c>
      <c r="KJ304">
        <f t="shared" ref="KJ304:KK305" si="980">KI304+1</f>
        <v>2</v>
      </c>
      <c r="KK304">
        <f t="shared" si="980"/>
        <v>3</v>
      </c>
      <c r="KN304">
        <v>1</v>
      </c>
      <c r="KO304" s="16">
        <v>2</v>
      </c>
      <c r="KS304" s="16"/>
    </row>
    <row r="305" spans="1:305" x14ac:dyDescent="0.25">
      <c r="A305" t="s">
        <v>1986</v>
      </c>
      <c r="B305" t="s">
        <v>1984</v>
      </c>
      <c r="C305" t="s">
        <v>498</v>
      </c>
      <c r="P305" t="s">
        <v>482</v>
      </c>
      <c r="T305" s="14" t="s">
        <v>1987</v>
      </c>
      <c r="U305">
        <v>1</v>
      </c>
      <c r="V305" t="s">
        <v>1989</v>
      </c>
      <c r="X305" t="str">
        <f>IF(COUNTIF(X$304:X304,X304)&gt;7,REPLACE(X304,LEN(X304),1,VALUE(RIGHT(X304,1))+1),X304)</f>
        <v>A3.1</v>
      </c>
      <c r="Y305" s="43" cm="1">
        <f t="array" ref="Y305">IF(COUNTIFS($X$303:$X305,$X305)=1,"1",VALUE(SUBSTITUTE(INDEX(Y:Y,_xlfn.XMATCH($X305,$X$1:$X304,0,-1)),"A",""))+INDEX(Z:Z,_xlfn.XMATCH($X305,$X$1:$X304,0,-1))+1)</f>
        <v>2</v>
      </c>
      <c r="Z305" s="43" cm="1">
        <f t="array" ref="Z305">SUM(IF(ISNUMBER(FIND("TmAi",$BE$1:$AAD$1)),IF(IFERROR(ISODD(SUBSTITUTE($BE305:$AAD305,"A","")),FALSE),IF(ISODD(SUBSTITUTE($BE305:$AAD305,"A","")),1,0),0)))</f>
        <v>0</v>
      </c>
      <c r="AA305" t="str">
        <f t="shared" si="975"/>
        <v>3B</v>
      </c>
      <c r="AB305" t="str">
        <f t="shared" si="976"/>
        <v>4B</v>
      </c>
      <c r="AP305" t="s">
        <v>1990</v>
      </c>
      <c r="AS305" t="s">
        <v>396</v>
      </c>
      <c r="JZ305" s="27" t="str">
        <f t="shared" si="977"/>
        <v>XT1</v>
      </c>
      <c r="KC305" t="str">
        <f t="shared" si="978"/>
        <v>E1-AI1-3B</v>
      </c>
      <c r="KD305" t="str">
        <f t="shared" si="979"/>
        <v>E1-AI1-4B</v>
      </c>
      <c r="KI305" cm="1">
        <f t="array" ref="KI305">IF(COUNTIFS($U$2:$U305,$U305)=1,1,INDEX(KI:KI,_xlfn.XMATCH(U305,U$1:U304,0,-1))+COUNT(KI304:KM304))</f>
        <v>4</v>
      </c>
      <c r="KJ305">
        <f t="shared" si="980"/>
        <v>5</v>
      </c>
      <c r="KK305">
        <f t="shared" si="980"/>
        <v>6</v>
      </c>
      <c r="KN305">
        <v>1</v>
      </c>
      <c r="KO305" s="16">
        <v>2</v>
      </c>
      <c r="KS305" s="16"/>
    </row>
    <row r="306" spans="1:305" x14ac:dyDescent="0.25">
      <c r="A306" s="55" t="s">
        <v>1992</v>
      </c>
      <c r="B306" t="s">
        <v>1991</v>
      </c>
      <c r="C306" t="s">
        <v>1993</v>
      </c>
      <c r="P306" t="s">
        <v>1994</v>
      </c>
      <c r="T306" t="s">
        <v>1987</v>
      </c>
    </row>
  </sheetData>
  <autoFilter ref="P1:P294" xr:uid="{00000000-0001-0000-0000-000000000000}"/>
  <conditionalFormatting sqref="A1:A32">
    <cfRule type="duplicateValues" dxfId="15" priority="11"/>
  </conditionalFormatting>
  <conditionalFormatting sqref="A221:A224 A1:A32 A226:A227 A283:A305 A307:A1048576">
    <cfRule type="duplicateValues" dxfId="14" priority="10"/>
  </conditionalFormatting>
  <conditionalFormatting sqref="A283:A285">
    <cfRule type="duplicateValues" dxfId="13" priority="1"/>
  </conditionalFormatting>
  <conditionalFormatting sqref="B1:B56 B221:B229 B267:B303 B307:B1048576">
    <cfRule type="duplicateValues" dxfId="12" priority="9"/>
  </conditionalFormatting>
  <conditionalFormatting sqref="V187 V192 V197 V202 V221:V222 V1:V182 W34 W43:W55 W183:W220 W223:W229 V225:V266 V267:W267 V268 V269:W269 V271:W271 V273:W273 V275:W275 V277:W277 V279:W279 V281:W281 V270 V272 V274 V276 V278 V280 V282:V1048576">
    <cfRule type="duplicateValues" dxfId="11" priority="8"/>
  </conditionalFormatting>
  <conditionalFormatting sqref="V1:W230 V231 V232:W1048576">
    <cfRule type="duplicateValues" dxfId="10" priority="6"/>
  </conditionalFormatting>
  <conditionalFormatting sqref="Y1:Y1048576">
    <cfRule type="cellIs" dxfId="9" priority="7" operator="equal">
      <formula>"Y:Y+Z:Z&gt;8"</formula>
    </cfRule>
  </conditionalFormatting>
  <conditionalFormatting sqref="AD1">
    <cfRule type="cellIs" dxfId="8" priority="5" operator="equal">
      <formula>"Y:Y+Z:Z&gt;8"</formula>
    </cfRule>
  </conditionalFormatting>
  <conditionalFormatting sqref="AD267:AD294">
    <cfRule type="cellIs" dxfId="7" priority="4" operator="equal">
      <formula>"Y:Y+Z:Z&gt;8"</formula>
    </cfRule>
  </conditionalFormatting>
  <conditionalFormatting sqref="AI1">
    <cfRule type="cellIs" dxfId="6" priority="2" operator="equal">
      <formula>"Y:Y+Z:Z&gt;8"</formula>
    </cfRule>
  </conditionalFormatting>
  <conditionalFormatting sqref="AI267:AI285">
    <cfRule type="cellIs" dxfId="5" priority="3" operator="equal">
      <formula>"Y:Y+Z:Z&gt;8"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36D90-9282-4903-9EEE-89CA04971697}">
  <dimension ref="A1:TL234"/>
  <sheetViews>
    <sheetView zoomScale="70" zoomScaleNormal="70" workbookViewId="0">
      <pane ySplit="1" topLeftCell="A172" activePane="bottomLeft" state="frozen"/>
      <selection pane="bottomLeft" activeCell="A198" sqref="A198:XFD198"/>
    </sheetView>
  </sheetViews>
  <sheetFormatPr defaultRowHeight="15" x14ac:dyDescent="0.25"/>
  <cols>
    <col min="1" max="1" width="14.85546875" bestFit="1" customWidth="1"/>
    <col min="2" max="2" width="90.28515625" bestFit="1" customWidth="1"/>
    <col min="3" max="3" width="19.140625" customWidth="1"/>
    <col min="4" max="4" width="10.42578125" hidden="1" customWidth="1"/>
    <col min="5" max="15" width="9.140625" hidden="1" customWidth="1"/>
    <col min="17" max="19" width="9.140625" hidden="1" customWidth="1"/>
    <col min="20" max="20" width="7.5703125" bestFit="1" customWidth="1"/>
    <col min="21" max="21" width="10.140625" bestFit="1" customWidth="1"/>
    <col min="22" max="23" width="10.140625" customWidth="1"/>
    <col min="24" max="24" width="5.85546875" customWidth="1"/>
    <col min="25" max="25" width="9.140625" bestFit="1" customWidth="1"/>
    <col min="26" max="26" width="8.140625" bestFit="1" customWidth="1"/>
    <col min="27" max="27" width="7.28515625" bestFit="1" customWidth="1"/>
    <col min="28" max="28" width="7.7109375" customWidth="1"/>
    <col min="29" max="29" width="6.28515625" customWidth="1"/>
    <col min="30" max="30" width="7.28515625" customWidth="1"/>
    <col min="31" max="31" width="7.7109375" customWidth="1"/>
    <col min="32" max="32" width="6.42578125" customWidth="1"/>
    <col min="33" max="33" width="7.85546875" customWidth="1"/>
    <col min="34" max="34" width="8.28515625" customWidth="1"/>
    <col min="35" max="35" width="5.42578125" customWidth="1"/>
    <col min="36" max="37" width="6.42578125" customWidth="1"/>
    <col min="38" max="38" width="24.5703125" customWidth="1"/>
    <col min="39" max="39" width="52.28515625" customWidth="1"/>
    <col min="40" max="40" width="40.42578125" customWidth="1"/>
    <col min="41" max="41" width="12.140625" customWidth="1"/>
    <col min="42" max="42" width="26.42578125" customWidth="1"/>
    <col min="43" max="43" width="26.5703125" customWidth="1"/>
    <col min="44" max="44" width="3.140625" customWidth="1"/>
    <col min="45" max="45" width="4.28515625" customWidth="1"/>
    <col min="46" max="46" width="3.85546875" customWidth="1"/>
    <col min="47" max="47" width="5" customWidth="1"/>
    <col min="48" max="48" width="6" customWidth="1"/>
    <col min="49" max="49" width="5.7109375" customWidth="1"/>
    <col min="50" max="50" width="5.28515625" customWidth="1"/>
    <col min="51" max="51" width="6.28515625" customWidth="1"/>
    <col min="52" max="52" width="7.7109375" bestFit="1" customWidth="1"/>
    <col min="53" max="53" width="5.28515625" customWidth="1"/>
    <col min="54" max="54" width="7.28515625" customWidth="1"/>
    <col min="55" max="55" width="7.7109375" customWidth="1"/>
    <col min="56" max="56" width="7.28515625" customWidth="1"/>
    <col min="57" max="57" width="7.7109375" customWidth="1"/>
    <col min="58" max="58" width="7.28515625" customWidth="1"/>
    <col min="59" max="59" width="7.7109375" customWidth="1"/>
    <col min="60" max="60" width="7.28515625" customWidth="1"/>
    <col min="61" max="61" width="7.7109375" customWidth="1"/>
    <col min="62" max="62" width="7.28515625" customWidth="1"/>
    <col min="63" max="63" width="7.7109375" customWidth="1"/>
    <col min="64" max="64" width="7.85546875" customWidth="1"/>
    <col min="65" max="65" width="8.28515625" customWidth="1"/>
    <col min="66" max="66" width="7.85546875" customWidth="1"/>
    <col min="67" max="67" width="8.28515625" customWidth="1"/>
    <col min="68" max="68" width="8.42578125" customWidth="1"/>
    <col min="69" max="69" width="8.7109375" customWidth="1"/>
    <col min="70" max="70" width="8.42578125" customWidth="1"/>
    <col min="71" max="71" width="8.7109375" customWidth="1"/>
    <col min="72" max="72" width="8.42578125" customWidth="1"/>
    <col min="73" max="73" width="8.7109375" customWidth="1"/>
    <col min="74" max="74" width="8.42578125" customWidth="1"/>
    <col min="75" max="75" width="8.7109375" customWidth="1"/>
    <col min="76" max="76" width="8.42578125" customWidth="1"/>
    <col min="77" max="77" width="8.7109375" customWidth="1"/>
    <col min="78" max="78" width="8.42578125" customWidth="1"/>
    <col min="79" max="79" width="8.7109375" customWidth="1"/>
    <col min="80" max="80" width="9" customWidth="1"/>
    <col min="81" max="81" width="9.28515625" customWidth="1"/>
    <col min="82" max="82" width="9" customWidth="1"/>
    <col min="83" max="83" width="9.28515625" customWidth="1"/>
    <col min="84" max="84" width="9" customWidth="1"/>
    <col min="85" max="85" width="9.28515625" customWidth="1"/>
    <col min="86" max="94" width="7.140625" customWidth="1"/>
    <col min="95" max="98" width="9.7109375" customWidth="1"/>
    <col min="99" max="99" width="10.7109375" customWidth="1"/>
    <col min="100" max="100" width="8.7109375" customWidth="1"/>
    <col min="101" max="101" width="11.7109375" customWidth="1"/>
    <col min="102" max="102" width="12.42578125" customWidth="1"/>
    <col min="103" max="104" width="9.7109375" customWidth="1"/>
    <col min="105" max="108" width="10.7109375" customWidth="1"/>
    <col min="109" max="110" width="3.5703125" customWidth="1"/>
    <col min="111" max="113" width="3.42578125" customWidth="1"/>
    <col min="114" max="114" width="4.42578125" customWidth="1"/>
    <col min="115" max="115" width="4.7109375" customWidth="1"/>
    <col min="116" max="124" width="5.28515625" customWidth="1"/>
    <col min="125" max="129" width="6.28515625" customWidth="1"/>
    <col min="130" max="138" width="5.42578125" customWidth="1"/>
    <col min="139" max="143" width="6.42578125" customWidth="1"/>
    <col min="144" max="165" width="9.140625" customWidth="1"/>
    <col min="166" max="167" width="10.7109375" bestFit="1" customWidth="1"/>
    <col min="168" max="169" width="9.5703125" bestFit="1" customWidth="1"/>
    <col min="170" max="171" width="10.5703125" bestFit="1" customWidth="1"/>
    <col min="172" max="172" width="12.85546875" bestFit="1" customWidth="1"/>
    <col min="173" max="173" width="13.42578125" bestFit="1" customWidth="1"/>
    <col min="174" max="175" width="3.5703125" bestFit="1" customWidth="1"/>
    <col min="176" max="177" width="3.42578125" bestFit="1" customWidth="1"/>
    <col min="178" max="178" width="4" bestFit="1" customWidth="1"/>
    <col min="179" max="179" width="4.42578125" bestFit="1" customWidth="1"/>
    <col min="180" max="193" width="5.28515625" bestFit="1" customWidth="1"/>
    <col min="194" max="197" width="6.42578125" bestFit="1" customWidth="1"/>
    <col min="198" max="236" width="9.140625" customWidth="1"/>
    <col min="237" max="245" width="14.42578125" customWidth="1"/>
    <col min="246" max="246" width="11.7109375" customWidth="1"/>
    <col min="247" max="247" width="12.42578125" customWidth="1"/>
    <col min="248" max="284" width="9.140625" customWidth="1"/>
    <col min="285" max="285" width="11.7109375" bestFit="1" customWidth="1"/>
    <col min="286" max="286" width="11.5703125" bestFit="1" customWidth="1"/>
    <col min="287" max="287" width="11.7109375" bestFit="1" customWidth="1"/>
    <col min="288" max="288" width="11.5703125" bestFit="1" customWidth="1"/>
    <col min="289" max="290" width="11.5703125" customWidth="1"/>
    <col min="291" max="295" width="5.140625" customWidth="1"/>
    <col min="296" max="302" width="9.140625" customWidth="1"/>
    <col min="303" max="304" width="10.5703125" customWidth="1"/>
    <col min="305" max="321" width="9.140625" customWidth="1"/>
    <col min="323" max="324" width="10.5703125" bestFit="1" customWidth="1"/>
    <col min="352" max="352" width="9.5703125" customWidth="1"/>
    <col min="372" max="372" width="14.5703125" bestFit="1" customWidth="1"/>
    <col min="376" max="376" width="12" bestFit="1" customWidth="1"/>
    <col min="391" max="391" width="5.42578125" bestFit="1" customWidth="1"/>
    <col min="392" max="395" width="5.42578125" customWidth="1"/>
    <col min="396" max="396" width="7.28515625" bestFit="1" customWidth="1"/>
    <col min="397" max="397" width="7.7109375" bestFit="1" customWidth="1"/>
    <col min="398" max="405" width="7.7109375" customWidth="1"/>
    <col min="406" max="406" width="11.7109375" bestFit="1" customWidth="1"/>
    <col min="407" max="407" width="11.5703125" bestFit="1" customWidth="1"/>
    <col min="408" max="408" width="11.7109375" bestFit="1" customWidth="1"/>
    <col min="409" max="409" width="11.5703125" bestFit="1" customWidth="1"/>
    <col min="410" max="417" width="11.5703125" customWidth="1"/>
    <col min="418" max="418" width="7.7109375" bestFit="1" customWidth="1"/>
    <col min="419" max="422" width="5.28515625" bestFit="1" customWidth="1"/>
    <col min="423" max="426" width="5.28515625" customWidth="1"/>
    <col min="427" max="427" width="4.42578125" bestFit="1" customWidth="1"/>
    <col min="428" max="428" width="4" bestFit="1" customWidth="1"/>
    <col min="429" max="429" width="4.42578125" bestFit="1" customWidth="1"/>
    <col min="430" max="430" width="4" bestFit="1" customWidth="1"/>
    <col min="431" max="432" width="4.85546875" bestFit="1" customWidth="1"/>
    <col min="433" max="435" width="5.28515625" bestFit="1" customWidth="1"/>
    <col min="459" max="459" width="10.5703125" bestFit="1" customWidth="1"/>
    <col min="460" max="460" width="10.7109375" bestFit="1" customWidth="1"/>
    <col min="461" max="461" width="10.5703125" bestFit="1" customWidth="1"/>
    <col min="462" max="462" width="10.7109375" bestFit="1" customWidth="1"/>
    <col min="463" max="463" width="10.5703125" bestFit="1" customWidth="1"/>
    <col min="464" max="464" width="10.7109375" bestFit="1" customWidth="1"/>
    <col min="465" max="465" width="11.5703125" bestFit="1" customWidth="1"/>
    <col min="466" max="466" width="11.7109375" bestFit="1" customWidth="1"/>
    <col min="467" max="467" width="11.5703125" bestFit="1" customWidth="1"/>
    <col min="468" max="468" width="11.7109375" bestFit="1" customWidth="1"/>
    <col min="469" max="469" width="11.5703125" bestFit="1" customWidth="1"/>
    <col min="470" max="470" width="11.7109375" customWidth="1"/>
    <col min="471" max="471" width="10.5703125" bestFit="1" customWidth="1"/>
    <col min="472" max="472" width="10.7109375" customWidth="1"/>
    <col min="473" max="473" width="10.5703125" bestFit="1" customWidth="1"/>
    <col min="474" max="474" width="10.7109375" bestFit="1" customWidth="1"/>
    <col min="475" max="475" width="10.5703125" bestFit="1" customWidth="1"/>
    <col min="476" max="476" width="10.7109375" bestFit="1" customWidth="1"/>
    <col min="477" max="477" width="10.5703125" bestFit="1" customWidth="1"/>
    <col min="478" max="478" width="10.7109375" bestFit="1" customWidth="1"/>
    <col min="479" max="479" width="10.5703125" bestFit="1" customWidth="1"/>
    <col min="480" max="480" width="10.7109375" bestFit="1" customWidth="1"/>
    <col min="481" max="481" width="11.5703125" bestFit="1" customWidth="1"/>
    <col min="482" max="482" width="11.7109375" bestFit="1" customWidth="1"/>
  </cols>
  <sheetData>
    <row r="1" spans="1:532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288</v>
      </c>
      <c r="W1" s="7" t="s">
        <v>287</v>
      </c>
      <c r="X1" s="8" t="s">
        <v>397</v>
      </c>
      <c r="Y1" s="5" t="s">
        <v>1364</v>
      </c>
      <c r="Z1" s="5" t="s">
        <v>1365</v>
      </c>
      <c r="AA1" s="5" t="s">
        <v>398</v>
      </c>
      <c r="AB1" s="5" t="s">
        <v>399</v>
      </c>
      <c r="AC1" s="8" t="s">
        <v>21</v>
      </c>
      <c r="AD1" s="8" t="s">
        <v>23</v>
      </c>
      <c r="AE1" s="8" t="s">
        <v>24</v>
      </c>
      <c r="AF1" s="8" t="s">
        <v>22</v>
      </c>
      <c r="AG1" s="8" t="s">
        <v>25</v>
      </c>
      <c r="AH1" s="8" t="s">
        <v>26</v>
      </c>
      <c r="AI1" s="8" t="s">
        <v>31</v>
      </c>
      <c r="AJ1" s="8" t="s">
        <v>283</v>
      </c>
      <c r="AK1" s="8" t="s">
        <v>284</v>
      </c>
      <c r="AL1" s="8" t="s">
        <v>27</v>
      </c>
      <c r="AM1" s="8" t="s">
        <v>28</v>
      </c>
      <c r="AN1" s="8" t="s">
        <v>301</v>
      </c>
      <c r="AO1" s="8" t="s">
        <v>395</v>
      </c>
      <c r="AP1" s="8" t="s">
        <v>29</v>
      </c>
      <c r="AQ1" s="8" t="s">
        <v>30</v>
      </c>
      <c r="AR1" s="26" t="s">
        <v>32</v>
      </c>
      <c r="AS1" s="26" t="s">
        <v>33</v>
      </c>
      <c r="AT1" s="26" t="s">
        <v>34</v>
      </c>
      <c r="AU1" s="26" t="s">
        <v>303</v>
      </c>
      <c r="AV1" s="26" t="s">
        <v>304</v>
      </c>
      <c r="AW1" s="26" t="s">
        <v>305</v>
      </c>
      <c r="AX1" s="26" t="s">
        <v>306</v>
      </c>
      <c r="AY1" s="26" t="s">
        <v>307</v>
      </c>
      <c r="AZ1" s="26" t="s">
        <v>308</v>
      </c>
      <c r="BA1" s="5" t="s">
        <v>35</v>
      </c>
      <c r="BB1" s="5" t="s">
        <v>36</v>
      </c>
      <c r="BC1" s="5" t="s">
        <v>37</v>
      </c>
      <c r="BD1" s="5" t="s">
        <v>38</v>
      </c>
      <c r="BE1" s="5" t="s">
        <v>39</v>
      </c>
      <c r="BF1" s="5" t="s">
        <v>40</v>
      </c>
      <c r="BG1" s="5" t="s">
        <v>41</v>
      </c>
      <c r="BH1" s="5" t="s">
        <v>42</v>
      </c>
      <c r="BI1" s="5" t="s">
        <v>43</v>
      </c>
      <c r="BJ1" s="5" t="s">
        <v>44</v>
      </c>
      <c r="BK1" s="5" t="s">
        <v>45</v>
      </c>
      <c r="BL1" s="5" t="s">
        <v>46</v>
      </c>
      <c r="BM1" s="5" t="s">
        <v>47</v>
      </c>
      <c r="BN1" s="5" t="s">
        <v>48</v>
      </c>
      <c r="BO1" s="5" t="s">
        <v>49</v>
      </c>
      <c r="BP1" s="5" t="s">
        <v>50</v>
      </c>
      <c r="BQ1" s="5" t="s">
        <v>51</v>
      </c>
      <c r="BR1" s="5" t="s">
        <v>52</v>
      </c>
      <c r="BS1" s="5" t="s">
        <v>53</v>
      </c>
      <c r="BT1" s="5" t="s">
        <v>54</v>
      </c>
      <c r="BU1" s="5" t="s">
        <v>55</v>
      </c>
      <c r="BV1" s="5" t="s">
        <v>56</v>
      </c>
      <c r="BW1" s="5" t="s">
        <v>57</v>
      </c>
      <c r="BX1" s="5" t="s">
        <v>58</v>
      </c>
      <c r="BY1" s="5" t="s">
        <v>59</v>
      </c>
      <c r="BZ1" s="5" t="s">
        <v>60</v>
      </c>
      <c r="CA1" s="5" t="s">
        <v>61</v>
      </c>
      <c r="CB1" s="5" t="s">
        <v>62</v>
      </c>
      <c r="CC1" s="5" t="s">
        <v>63</v>
      </c>
      <c r="CD1" s="5" t="s">
        <v>64</v>
      </c>
      <c r="CE1" s="5" t="s">
        <v>65</v>
      </c>
      <c r="CF1" s="5" t="s">
        <v>66</v>
      </c>
      <c r="CG1" s="5" t="s">
        <v>67</v>
      </c>
      <c r="CH1" s="5" t="s">
        <v>73</v>
      </c>
      <c r="CI1" s="5" t="s">
        <v>74</v>
      </c>
      <c r="CJ1" s="5" t="s">
        <v>75</v>
      </c>
      <c r="CK1" s="5" t="s">
        <v>76</v>
      </c>
      <c r="CL1" s="5" t="s">
        <v>77</v>
      </c>
      <c r="CM1" s="5" t="s">
        <v>78</v>
      </c>
      <c r="CN1" s="5" t="s">
        <v>79</v>
      </c>
      <c r="CO1" s="5" t="s">
        <v>80</v>
      </c>
      <c r="CP1" s="5" t="s">
        <v>81</v>
      </c>
      <c r="CQ1" s="5" t="s">
        <v>82</v>
      </c>
      <c r="CR1" s="5" t="s">
        <v>83</v>
      </c>
      <c r="CS1" s="5" t="s">
        <v>84</v>
      </c>
      <c r="CT1" s="5" t="s">
        <v>85</v>
      </c>
      <c r="CU1" s="5" t="s">
        <v>86</v>
      </c>
      <c r="CV1" s="5" t="s">
        <v>87</v>
      </c>
      <c r="CW1" s="5" t="s">
        <v>88</v>
      </c>
      <c r="CX1" s="5" t="s">
        <v>89</v>
      </c>
      <c r="CY1" s="5" t="s">
        <v>90</v>
      </c>
      <c r="CZ1" s="5" t="s">
        <v>91</v>
      </c>
      <c r="DA1" s="5" t="s">
        <v>92</v>
      </c>
      <c r="DB1" s="5" t="s">
        <v>93</v>
      </c>
      <c r="DC1" s="5" t="s">
        <v>94</v>
      </c>
      <c r="DD1" s="5" t="s">
        <v>95</v>
      </c>
      <c r="DE1" s="5" t="s">
        <v>68</v>
      </c>
      <c r="DF1" s="5" t="s">
        <v>69</v>
      </c>
      <c r="DG1" s="5" t="s">
        <v>70</v>
      </c>
      <c r="DH1" s="5" t="s">
        <v>71</v>
      </c>
      <c r="DI1" s="5" t="s">
        <v>72</v>
      </c>
      <c r="DJ1" s="5" t="s">
        <v>96</v>
      </c>
      <c r="DK1" s="5" t="s">
        <v>97</v>
      </c>
      <c r="DL1" s="5" t="s">
        <v>98</v>
      </c>
      <c r="DM1" s="5" t="s">
        <v>99</v>
      </c>
      <c r="DN1" s="5" t="s">
        <v>100</v>
      </c>
      <c r="DO1" s="5" t="s">
        <v>101</v>
      </c>
      <c r="DP1" s="5" t="s">
        <v>102</v>
      </c>
      <c r="DQ1" s="5" t="s">
        <v>103</v>
      </c>
      <c r="DR1" s="5" t="s">
        <v>104</v>
      </c>
      <c r="DS1" s="5" t="s">
        <v>105</v>
      </c>
      <c r="DT1" s="5" t="s">
        <v>106</v>
      </c>
      <c r="DU1" s="5" t="s">
        <v>107</v>
      </c>
      <c r="DV1" s="5" t="s">
        <v>108</v>
      </c>
      <c r="DW1" s="5" t="s">
        <v>109</v>
      </c>
      <c r="DX1" s="5" t="s">
        <v>110</v>
      </c>
      <c r="DY1" s="5" t="s">
        <v>111</v>
      </c>
      <c r="DZ1" s="5" t="s">
        <v>112</v>
      </c>
      <c r="EA1" s="5" t="s">
        <v>113</v>
      </c>
      <c r="EB1" s="5" t="s">
        <v>114</v>
      </c>
      <c r="EC1" s="5" t="s">
        <v>115</v>
      </c>
      <c r="ED1" s="5" t="s">
        <v>116</v>
      </c>
      <c r="EE1" s="5" t="s">
        <v>117</v>
      </c>
      <c r="EF1" s="5" t="s">
        <v>118</v>
      </c>
      <c r="EG1" s="5" t="s">
        <v>119</v>
      </c>
      <c r="EH1" s="5" t="s">
        <v>120</v>
      </c>
      <c r="EI1" s="5" t="s">
        <v>121</v>
      </c>
      <c r="EJ1" s="5" t="s">
        <v>122</v>
      </c>
      <c r="EK1" s="5" t="s">
        <v>123</v>
      </c>
      <c r="EL1" s="5" t="s">
        <v>124</v>
      </c>
      <c r="EM1" s="9" t="s">
        <v>125</v>
      </c>
      <c r="EN1" s="5" t="s">
        <v>35</v>
      </c>
      <c r="EO1" s="5" t="s">
        <v>36</v>
      </c>
      <c r="EP1" s="5" t="s">
        <v>37</v>
      </c>
      <c r="EQ1" s="5" t="s">
        <v>38</v>
      </c>
      <c r="ER1" s="5" t="s">
        <v>39</v>
      </c>
      <c r="ES1" s="5" t="s">
        <v>46</v>
      </c>
      <c r="ET1" s="5" t="s">
        <v>47</v>
      </c>
      <c r="EU1" s="5" t="s">
        <v>50</v>
      </c>
      <c r="EV1" s="5" t="s">
        <v>51</v>
      </c>
      <c r="EW1" s="5" t="s">
        <v>52</v>
      </c>
      <c r="EX1" s="5" t="s">
        <v>53</v>
      </c>
      <c r="EY1" s="5" t="s">
        <v>54</v>
      </c>
      <c r="EZ1" s="5" t="s">
        <v>55</v>
      </c>
      <c r="FA1" s="5" t="s">
        <v>62</v>
      </c>
      <c r="FB1" s="5" t="s">
        <v>63</v>
      </c>
      <c r="FC1" s="5" t="s">
        <v>64</v>
      </c>
      <c r="FD1" s="5" t="s">
        <v>65</v>
      </c>
      <c r="FE1" s="5" t="s">
        <v>73</v>
      </c>
      <c r="FF1" s="5" t="s">
        <v>74</v>
      </c>
      <c r="FG1" s="5" t="s">
        <v>75</v>
      </c>
      <c r="FH1" s="5" t="s">
        <v>76</v>
      </c>
      <c r="FI1" s="5" t="s">
        <v>77</v>
      </c>
      <c r="FJ1" s="5" t="s">
        <v>293</v>
      </c>
      <c r="FK1" s="5" t="s">
        <v>302</v>
      </c>
      <c r="FL1" s="5" t="s">
        <v>82</v>
      </c>
      <c r="FM1" s="5" t="s">
        <v>83</v>
      </c>
      <c r="FN1" s="5" t="s">
        <v>84</v>
      </c>
      <c r="FO1" s="5" t="s">
        <v>85</v>
      </c>
      <c r="FP1" s="5" t="s">
        <v>86</v>
      </c>
      <c r="FQ1" s="5" t="s">
        <v>87</v>
      </c>
      <c r="FR1" s="5" t="s">
        <v>68</v>
      </c>
      <c r="FS1" s="5" t="s">
        <v>69</v>
      </c>
      <c r="FT1" s="5" t="s">
        <v>70</v>
      </c>
      <c r="FU1" s="5" t="s">
        <v>71</v>
      </c>
      <c r="FV1" s="5" t="s">
        <v>97</v>
      </c>
      <c r="FW1" s="5" t="s">
        <v>96</v>
      </c>
      <c r="FX1" s="5" t="s">
        <v>98</v>
      </c>
      <c r="FY1" s="5" t="s">
        <v>99</v>
      </c>
      <c r="FZ1" s="5" t="s">
        <v>100</v>
      </c>
      <c r="GA1" s="5" t="s">
        <v>101</v>
      </c>
      <c r="GB1" s="5" t="s">
        <v>102</v>
      </c>
      <c r="GC1" s="5" t="s">
        <v>103</v>
      </c>
      <c r="GD1" s="5" t="s">
        <v>104</v>
      </c>
      <c r="GE1" s="5" t="s">
        <v>105</v>
      </c>
      <c r="GF1" s="5" t="s">
        <v>106</v>
      </c>
      <c r="GG1" s="5" t="s">
        <v>294</v>
      </c>
      <c r="GH1" s="5" t="s">
        <v>295</v>
      </c>
      <c r="GI1" s="5" t="s">
        <v>296</v>
      </c>
      <c r="GJ1" s="5" t="s">
        <v>297</v>
      </c>
      <c r="GK1" s="5" t="s">
        <v>298</v>
      </c>
      <c r="GL1" s="5" t="s">
        <v>122</v>
      </c>
      <c r="GM1" s="5" t="s">
        <v>123</v>
      </c>
      <c r="GN1" s="5" t="s">
        <v>299</v>
      </c>
      <c r="GO1" s="31" t="s">
        <v>300</v>
      </c>
      <c r="GP1" s="4" t="s">
        <v>35</v>
      </c>
      <c r="GQ1" s="5" t="s">
        <v>36</v>
      </c>
      <c r="GR1" s="5" t="s">
        <v>37</v>
      </c>
      <c r="GS1" s="5" t="s">
        <v>38</v>
      </c>
      <c r="GT1" s="5" t="s">
        <v>39</v>
      </c>
      <c r="GU1" s="5" t="s">
        <v>40</v>
      </c>
      <c r="GV1" s="5" t="s">
        <v>41</v>
      </c>
      <c r="GW1" s="5" t="s">
        <v>42</v>
      </c>
      <c r="GX1" s="5" t="s">
        <v>43</v>
      </c>
      <c r="GY1" s="5" t="s">
        <v>44</v>
      </c>
      <c r="GZ1" s="5" t="s">
        <v>45</v>
      </c>
      <c r="HA1" s="5" t="s">
        <v>46</v>
      </c>
      <c r="HB1" s="5" t="s">
        <v>47</v>
      </c>
      <c r="HC1" s="5" t="s">
        <v>401</v>
      </c>
      <c r="HD1" s="5" t="s">
        <v>402</v>
      </c>
      <c r="HE1" s="5" t="s">
        <v>50</v>
      </c>
      <c r="HF1" s="5" t="s">
        <v>51</v>
      </c>
      <c r="HG1" s="5" t="s">
        <v>52</v>
      </c>
      <c r="HH1" s="5" t="s">
        <v>53</v>
      </c>
      <c r="HI1" s="5" t="s">
        <v>54</v>
      </c>
      <c r="HJ1" s="5" t="s">
        <v>55</v>
      </c>
      <c r="HK1" s="5" t="s">
        <v>56</v>
      </c>
      <c r="HL1" s="5" t="s">
        <v>57</v>
      </c>
      <c r="HM1" s="5" t="s">
        <v>58</v>
      </c>
      <c r="HN1" s="5" t="s">
        <v>59</v>
      </c>
      <c r="HO1" s="5" t="s">
        <v>60</v>
      </c>
      <c r="HP1" s="5" t="s">
        <v>61</v>
      </c>
      <c r="HQ1" s="5" t="s">
        <v>62</v>
      </c>
      <c r="HR1" s="5" t="s">
        <v>63</v>
      </c>
      <c r="HS1" s="5" t="s">
        <v>64</v>
      </c>
      <c r="HT1" s="5" t="s">
        <v>65</v>
      </c>
      <c r="HU1" s="5" t="s">
        <v>73</v>
      </c>
      <c r="HV1" s="5" t="s">
        <v>74</v>
      </c>
      <c r="HW1" s="5" t="s">
        <v>75</v>
      </c>
      <c r="HX1" s="5" t="s">
        <v>76</v>
      </c>
      <c r="HY1" s="5" t="s">
        <v>77</v>
      </c>
      <c r="HZ1" s="5" t="s">
        <v>78</v>
      </c>
      <c r="IA1" s="5" t="s">
        <v>79</v>
      </c>
      <c r="IB1" s="5" t="s">
        <v>80</v>
      </c>
      <c r="IC1" s="5" t="s">
        <v>403</v>
      </c>
      <c r="ID1" s="5" t="s">
        <v>420</v>
      </c>
      <c r="IE1" s="5" t="s">
        <v>404</v>
      </c>
      <c r="IF1" s="5" t="s">
        <v>405</v>
      </c>
      <c r="IG1" s="5" t="s">
        <v>406</v>
      </c>
      <c r="IH1" s="5" t="s">
        <v>407</v>
      </c>
      <c r="II1" s="5" t="s">
        <v>408</v>
      </c>
      <c r="IJ1" s="5" t="s">
        <v>409</v>
      </c>
      <c r="IK1" s="5" t="s">
        <v>410</v>
      </c>
      <c r="IL1" s="5" t="s">
        <v>92</v>
      </c>
      <c r="IM1" s="5" t="s">
        <v>93</v>
      </c>
      <c r="IN1" s="5" t="s">
        <v>68</v>
      </c>
      <c r="IO1" s="5" t="s">
        <v>69</v>
      </c>
      <c r="IP1" s="5" t="s">
        <v>70</v>
      </c>
      <c r="IQ1" s="5" t="s">
        <v>71</v>
      </c>
      <c r="IR1" s="5" t="s">
        <v>411</v>
      </c>
      <c r="IS1" s="5" t="s">
        <v>412</v>
      </c>
      <c r="IT1" s="5" t="s">
        <v>98</v>
      </c>
      <c r="IU1" s="5" t="s">
        <v>99</v>
      </c>
      <c r="IV1" s="5" t="s">
        <v>100</v>
      </c>
      <c r="IW1" s="5" t="s">
        <v>101</v>
      </c>
      <c r="IX1" s="5" t="s">
        <v>102</v>
      </c>
      <c r="IY1" s="5" t="s">
        <v>103</v>
      </c>
      <c r="IZ1" s="5" t="s">
        <v>104</v>
      </c>
      <c r="JA1" s="5" t="s">
        <v>105</v>
      </c>
      <c r="JB1" s="5" t="s">
        <v>106</v>
      </c>
      <c r="JC1" s="5" t="s">
        <v>107</v>
      </c>
      <c r="JD1" s="5" t="s">
        <v>108</v>
      </c>
      <c r="JE1" s="5" t="s">
        <v>109</v>
      </c>
      <c r="JF1" s="5" t="s">
        <v>110</v>
      </c>
      <c r="JG1" s="5" t="s">
        <v>111</v>
      </c>
      <c r="JH1" s="5" t="s">
        <v>112</v>
      </c>
      <c r="JI1" s="5" t="s">
        <v>113</v>
      </c>
      <c r="JJ1" s="5" t="s">
        <v>114</v>
      </c>
      <c r="JK1" s="5" t="s">
        <v>115</v>
      </c>
      <c r="JL1" s="5" t="s">
        <v>116</v>
      </c>
      <c r="JM1" s="5" t="s">
        <v>117</v>
      </c>
      <c r="JN1" s="5" t="s">
        <v>118</v>
      </c>
      <c r="JO1" s="5" t="s">
        <v>119</v>
      </c>
      <c r="JP1" s="5" t="s">
        <v>120</v>
      </c>
      <c r="JQ1" s="5" t="s">
        <v>121</v>
      </c>
      <c r="JR1" s="5" t="s">
        <v>122</v>
      </c>
      <c r="JS1" s="5" t="s">
        <v>123</v>
      </c>
      <c r="JT1" s="5" t="s">
        <v>124</v>
      </c>
      <c r="JU1" s="9" t="s">
        <v>125</v>
      </c>
      <c r="JV1" s="23" t="s">
        <v>35</v>
      </c>
      <c r="JW1" s="23" t="s">
        <v>557</v>
      </c>
      <c r="JX1" s="23" t="s">
        <v>558</v>
      </c>
      <c r="JY1" s="32" t="s">
        <v>401</v>
      </c>
      <c r="JZ1" s="5" t="s">
        <v>402</v>
      </c>
      <c r="KA1" s="32" t="s">
        <v>555</v>
      </c>
      <c r="KB1" s="5" t="s">
        <v>556</v>
      </c>
      <c r="KC1" s="5" t="s">
        <v>412</v>
      </c>
      <c r="KD1" s="5" t="s">
        <v>411</v>
      </c>
      <c r="KE1" s="5" t="s">
        <v>98</v>
      </c>
      <c r="KF1" s="5" t="s">
        <v>99</v>
      </c>
      <c r="KG1" s="5" t="s">
        <v>100</v>
      </c>
      <c r="KH1" s="5" t="s">
        <v>101</v>
      </c>
      <c r="KI1" s="5" t="s">
        <v>102</v>
      </c>
      <c r="KJ1" s="30" t="s">
        <v>489</v>
      </c>
      <c r="KK1" s="35" t="s">
        <v>491</v>
      </c>
      <c r="KL1" s="30" t="s">
        <v>490</v>
      </c>
      <c r="KM1" s="35" t="s">
        <v>553</v>
      </c>
      <c r="KN1" s="19" t="s">
        <v>549</v>
      </c>
      <c r="KO1" s="19" t="s">
        <v>550</v>
      </c>
      <c r="KP1" s="4" t="s">
        <v>35</v>
      </c>
      <c r="KQ1" s="5" t="s">
        <v>855</v>
      </c>
      <c r="KR1" s="5" t="s">
        <v>404</v>
      </c>
      <c r="KS1" s="5" t="s">
        <v>73</v>
      </c>
      <c r="KT1" s="5" t="s">
        <v>70</v>
      </c>
      <c r="KU1" s="5" t="s">
        <v>71</v>
      </c>
      <c r="KV1" s="5" t="s">
        <v>68</v>
      </c>
      <c r="KW1" s="5" t="s">
        <v>69</v>
      </c>
      <c r="KX1" s="5" t="s">
        <v>856</v>
      </c>
      <c r="KY1" s="5" t="s">
        <v>857</v>
      </c>
      <c r="KZ1" s="5" t="s">
        <v>858</v>
      </c>
      <c r="LA1" s="5" t="s">
        <v>859</v>
      </c>
      <c r="LB1" s="5" t="s">
        <v>98</v>
      </c>
      <c r="LC1" s="5" t="s">
        <v>99</v>
      </c>
      <c r="LD1" s="5" t="s">
        <v>100</v>
      </c>
      <c r="LE1" s="5" t="s">
        <v>860</v>
      </c>
      <c r="LF1" s="5" t="s">
        <v>861</v>
      </c>
      <c r="LG1" s="5" t="s">
        <v>862</v>
      </c>
      <c r="LH1" s="5" t="s">
        <v>863</v>
      </c>
      <c r="LI1" s="9" t="s">
        <v>864</v>
      </c>
      <c r="LJ1" s="39" t="s">
        <v>35</v>
      </c>
      <c r="LK1" s="32" t="s">
        <v>401</v>
      </c>
      <c r="LL1" s="5" t="s">
        <v>402</v>
      </c>
      <c r="LM1" s="5" t="s">
        <v>98</v>
      </c>
      <c r="LN1" s="5" t="s">
        <v>99</v>
      </c>
      <c r="LO1" s="5" t="s">
        <v>100</v>
      </c>
      <c r="LP1" s="37" t="s">
        <v>31</v>
      </c>
      <c r="LQ1" s="30" t="s">
        <v>112</v>
      </c>
      <c r="LR1" s="38" t="s">
        <v>113</v>
      </c>
      <c r="LS1" s="4" t="s">
        <v>35</v>
      </c>
      <c r="LT1" s="5" t="s">
        <v>855</v>
      </c>
      <c r="LU1" s="5" t="s">
        <v>404</v>
      </c>
      <c r="LV1" s="5" t="s">
        <v>73</v>
      </c>
      <c r="LW1" s="5" t="s">
        <v>70</v>
      </c>
      <c r="LX1" s="5" t="s">
        <v>71</v>
      </c>
      <c r="LY1" s="5" t="s">
        <v>68</v>
      </c>
      <c r="LZ1" s="5" t="s">
        <v>69</v>
      </c>
      <c r="MA1" s="5" t="s">
        <v>856</v>
      </c>
      <c r="MB1" s="5" t="s">
        <v>857</v>
      </c>
      <c r="MC1" s="5" t="s">
        <v>858</v>
      </c>
      <c r="MD1" s="5" t="s">
        <v>859</v>
      </c>
      <c r="ME1" s="5" t="s">
        <v>98</v>
      </c>
      <c r="MF1" s="5" t="s">
        <v>99</v>
      </c>
      <c r="MG1" s="5" t="s">
        <v>100</v>
      </c>
      <c r="MH1" s="5" t="s">
        <v>101</v>
      </c>
      <c r="MI1" s="5" t="s">
        <v>860</v>
      </c>
      <c r="MJ1" s="5" t="s">
        <v>861</v>
      </c>
      <c r="MK1" s="5" t="s">
        <v>862</v>
      </c>
      <c r="ML1" s="5" t="s">
        <v>863</v>
      </c>
      <c r="MM1" s="9" t="s">
        <v>864</v>
      </c>
      <c r="MN1" s="40" t="s">
        <v>924</v>
      </c>
      <c r="MO1" s="37" t="s">
        <v>925</v>
      </c>
      <c r="MP1" s="41" t="s">
        <v>928</v>
      </c>
      <c r="MQ1" s="41" t="s">
        <v>929</v>
      </c>
      <c r="MR1" s="41" t="s">
        <v>930</v>
      </c>
      <c r="MS1" s="41" t="s">
        <v>35</v>
      </c>
      <c r="MT1" s="41" t="s">
        <v>37</v>
      </c>
      <c r="MU1" s="41" t="s">
        <v>36</v>
      </c>
      <c r="MV1" s="41" t="s">
        <v>39</v>
      </c>
      <c r="MW1" s="41" t="s">
        <v>38</v>
      </c>
      <c r="MX1" s="41" t="s">
        <v>41</v>
      </c>
      <c r="MY1" s="41" t="s">
        <v>40</v>
      </c>
      <c r="MZ1" s="41" t="s">
        <v>557</v>
      </c>
      <c r="NA1" s="41" t="s">
        <v>558</v>
      </c>
      <c r="NB1" s="5" t="s">
        <v>855</v>
      </c>
      <c r="NC1" s="5" t="s">
        <v>918</v>
      </c>
      <c r="ND1" s="5" t="s">
        <v>919</v>
      </c>
      <c r="NE1" s="5" t="s">
        <v>920</v>
      </c>
      <c r="NF1" s="5" t="s">
        <v>921</v>
      </c>
      <c r="NG1" s="5" t="s">
        <v>922</v>
      </c>
      <c r="NH1" s="5" t="s">
        <v>923</v>
      </c>
      <c r="NI1" s="5" t="s">
        <v>404</v>
      </c>
      <c r="NJ1" s="5" t="s">
        <v>405</v>
      </c>
      <c r="NK1" s="5" t="s">
        <v>406</v>
      </c>
      <c r="NL1" s="5" t="s">
        <v>407</v>
      </c>
      <c r="NM1" s="5" t="s">
        <v>73</v>
      </c>
      <c r="NN1" s="5" t="s">
        <v>74</v>
      </c>
      <c r="NO1" s="5" t="s">
        <v>75</v>
      </c>
      <c r="NP1" s="5" t="s">
        <v>76</v>
      </c>
      <c r="NQ1" s="5" t="s">
        <v>70</v>
      </c>
      <c r="NR1" s="5" t="s">
        <v>71</v>
      </c>
      <c r="NS1" s="5" t="s">
        <v>68</v>
      </c>
      <c r="NT1" s="5" t="s">
        <v>69</v>
      </c>
      <c r="NU1" s="5" t="s">
        <v>856</v>
      </c>
      <c r="NV1" s="5" t="s">
        <v>857</v>
      </c>
      <c r="NW1" s="5" t="s">
        <v>858</v>
      </c>
      <c r="NX1" s="9" t="s">
        <v>859</v>
      </c>
      <c r="NY1" s="5" t="s">
        <v>953</v>
      </c>
      <c r="NZ1" s="9" t="s">
        <v>954</v>
      </c>
      <c r="OA1" s="23" t="s">
        <v>35</v>
      </c>
      <c r="OB1" s="23" t="s">
        <v>924</v>
      </c>
      <c r="OC1" s="23" t="s">
        <v>925</v>
      </c>
      <c r="OD1" s="23" t="s">
        <v>1032</v>
      </c>
      <c r="OE1" s="23" t="s">
        <v>1033</v>
      </c>
      <c r="OF1" s="23" t="s">
        <v>557</v>
      </c>
      <c r="OG1" s="23" t="s">
        <v>558</v>
      </c>
      <c r="OH1" s="23" t="s">
        <v>1015</v>
      </c>
      <c r="OI1" s="23" t="s">
        <v>1016</v>
      </c>
      <c r="OJ1" s="23" t="s">
        <v>1017</v>
      </c>
      <c r="OK1" s="23" t="s">
        <v>1018</v>
      </c>
      <c r="OL1" s="23" t="s">
        <v>1036</v>
      </c>
      <c r="OM1" s="23" t="s">
        <v>1037</v>
      </c>
      <c r="ON1" s="23" t="s">
        <v>1038</v>
      </c>
      <c r="OO1" s="23" t="s">
        <v>1039</v>
      </c>
      <c r="OP1" s="32" t="s">
        <v>401</v>
      </c>
      <c r="OQ1" s="5" t="s">
        <v>402</v>
      </c>
      <c r="OR1" s="32" t="s">
        <v>555</v>
      </c>
      <c r="OS1" s="5" t="s">
        <v>556</v>
      </c>
      <c r="OT1" s="32" t="s">
        <v>1019</v>
      </c>
      <c r="OU1" s="5" t="s">
        <v>1020</v>
      </c>
      <c r="OV1" s="32" t="s">
        <v>1021</v>
      </c>
      <c r="OW1" s="5" t="s">
        <v>1022</v>
      </c>
      <c r="OX1" s="32" t="s">
        <v>1040</v>
      </c>
      <c r="OY1" s="5" t="s">
        <v>1041</v>
      </c>
      <c r="OZ1" s="32" t="s">
        <v>1042</v>
      </c>
      <c r="PA1" s="5" t="s">
        <v>1043</v>
      </c>
      <c r="PB1" s="5" t="s">
        <v>98</v>
      </c>
      <c r="PC1" s="5" t="s">
        <v>99</v>
      </c>
      <c r="PD1" s="5" t="s">
        <v>100</v>
      </c>
      <c r="PE1" s="5" t="s">
        <v>101</v>
      </c>
      <c r="PF1" s="5" t="s">
        <v>102</v>
      </c>
      <c r="PG1" s="5" t="s">
        <v>103</v>
      </c>
      <c r="PH1" s="5" t="s">
        <v>104</v>
      </c>
      <c r="PI1" s="5" t="s">
        <v>105</v>
      </c>
      <c r="PJ1" s="5" t="s">
        <v>106</v>
      </c>
      <c r="PK1" s="30" t="s">
        <v>294</v>
      </c>
      <c r="PL1" s="30" t="s">
        <v>295</v>
      </c>
      <c r="PM1" s="30" t="s">
        <v>296</v>
      </c>
      <c r="PN1" s="30" t="s">
        <v>297</v>
      </c>
      <c r="PO1" s="30" t="s">
        <v>298</v>
      </c>
      <c r="PP1" s="30" t="s">
        <v>1014</v>
      </c>
      <c r="PQ1" s="30" t="s">
        <v>1044</v>
      </c>
      <c r="PR1" s="30" t="s">
        <v>1045</v>
      </c>
      <c r="PS1" s="30" t="s">
        <v>1046</v>
      </c>
      <c r="PT1" s="42" t="s">
        <v>1062</v>
      </c>
      <c r="PU1" s="42" t="s">
        <v>558</v>
      </c>
      <c r="PV1" s="42" t="s">
        <v>557</v>
      </c>
      <c r="PW1" s="42" t="s">
        <v>1016</v>
      </c>
      <c r="PX1" s="42" t="s">
        <v>1015</v>
      </c>
      <c r="PY1" s="42" t="s">
        <v>1018</v>
      </c>
      <c r="PZ1" s="42" t="s">
        <v>1017</v>
      </c>
      <c r="QA1" s="42" t="s">
        <v>1037</v>
      </c>
      <c r="QB1" s="42" t="s">
        <v>1036</v>
      </c>
      <c r="QC1" s="42" t="s">
        <v>1039</v>
      </c>
      <c r="QD1" s="42" t="s">
        <v>1038</v>
      </c>
      <c r="QE1" s="42" t="s">
        <v>1063</v>
      </c>
      <c r="QF1" s="42" t="s">
        <v>1064</v>
      </c>
      <c r="QG1" s="42" t="s">
        <v>1065</v>
      </c>
      <c r="QH1" s="42" t="s">
        <v>1066</v>
      </c>
      <c r="QI1" s="42" t="s">
        <v>1067</v>
      </c>
      <c r="QJ1" s="42" t="s">
        <v>1068</v>
      </c>
      <c r="QK1" s="42" t="s">
        <v>1069</v>
      </c>
      <c r="QL1" s="42" t="s">
        <v>1070</v>
      </c>
      <c r="QM1" s="42" t="s">
        <v>1071</v>
      </c>
      <c r="QN1" s="42" t="s">
        <v>1072</v>
      </c>
      <c r="QO1" s="42" t="s">
        <v>1073</v>
      </c>
      <c r="QP1" s="42" t="s">
        <v>1074</v>
      </c>
      <c r="QQ1" s="42" t="s">
        <v>402</v>
      </c>
      <c r="QR1" s="42" t="s">
        <v>401</v>
      </c>
      <c r="QS1" s="42" t="s">
        <v>556</v>
      </c>
      <c r="QT1" s="42" t="s">
        <v>555</v>
      </c>
      <c r="QU1" s="42" t="s">
        <v>1020</v>
      </c>
      <c r="QV1" s="42" t="s">
        <v>1019</v>
      </c>
      <c r="QW1" s="42" t="s">
        <v>1022</v>
      </c>
      <c r="QX1" s="42" t="s">
        <v>1021</v>
      </c>
      <c r="QY1" s="42" t="s">
        <v>1041</v>
      </c>
      <c r="QZ1" s="42" t="s">
        <v>1040</v>
      </c>
      <c r="RA1" s="42" t="s">
        <v>1043</v>
      </c>
      <c r="RB1" s="42" t="s">
        <v>1042</v>
      </c>
      <c r="RC1" s="42" t="s">
        <v>1075</v>
      </c>
      <c r="RD1" s="42" t="s">
        <v>1076</v>
      </c>
      <c r="RE1" s="42" t="s">
        <v>1077</v>
      </c>
      <c r="RF1" s="42" t="s">
        <v>1078</v>
      </c>
      <c r="RG1" s="42" t="s">
        <v>1079</v>
      </c>
      <c r="RH1" s="42" t="s">
        <v>1080</v>
      </c>
      <c r="RI1" s="42" t="s">
        <v>1081</v>
      </c>
      <c r="RJ1" s="42" t="s">
        <v>1082</v>
      </c>
      <c r="RK1" s="42" t="s">
        <v>1083</v>
      </c>
      <c r="RL1" s="42" t="s">
        <v>1084</v>
      </c>
      <c r="RM1" s="42" t="s">
        <v>1085</v>
      </c>
      <c r="RN1" s="42" t="s">
        <v>1086</v>
      </c>
      <c r="RO1" s="42" t="s">
        <v>35</v>
      </c>
      <c r="RP1" s="42" t="s">
        <v>98</v>
      </c>
      <c r="RQ1" s="42" t="s">
        <v>99</v>
      </c>
      <c r="RR1" s="42" t="s">
        <v>100</v>
      </c>
      <c r="RS1" s="42" t="s">
        <v>101</v>
      </c>
      <c r="RT1" s="42" t="s">
        <v>102</v>
      </c>
      <c r="RU1" s="42" t="s">
        <v>103</v>
      </c>
      <c r="RV1" s="42" t="s">
        <v>104</v>
      </c>
      <c r="RW1" s="42" t="s">
        <v>105</v>
      </c>
      <c r="RX1" s="42" t="s">
        <v>106</v>
      </c>
      <c r="RY1" s="42" t="s">
        <v>107</v>
      </c>
      <c r="RZ1" s="42" t="s">
        <v>108</v>
      </c>
      <c r="SA1" s="42" t="s">
        <v>109</v>
      </c>
      <c r="SB1" s="42" t="s">
        <v>110</v>
      </c>
      <c r="SC1" s="42" t="s">
        <v>111</v>
      </c>
      <c r="SD1" s="42" t="s">
        <v>1087</v>
      </c>
      <c r="SE1" s="42" t="s">
        <v>1088</v>
      </c>
      <c r="SF1" s="42" t="s">
        <v>1089</v>
      </c>
      <c r="SG1" s="42" t="s">
        <v>1090</v>
      </c>
      <c r="SH1" s="42" t="s">
        <v>1091</v>
      </c>
      <c r="SI1" s="42" t="s">
        <v>1092</v>
      </c>
      <c r="SJ1" s="42" t="s">
        <v>1093</v>
      </c>
      <c r="SK1" s="42" t="s">
        <v>1094</v>
      </c>
      <c r="SL1" s="42" t="s">
        <v>1095</v>
      </c>
      <c r="SM1" s="42" t="s">
        <v>1096</v>
      </c>
      <c r="SN1" s="42" t="s">
        <v>1097</v>
      </c>
      <c r="SO1" s="42" t="s">
        <v>1139</v>
      </c>
      <c r="SP1" s="42" t="s">
        <v>924</v>
      </c>
      <c r="SQ1" s="42" t="s">
        <v>1032</v>
      </c>
      <c r="SR1" s="42" t="s">
        <v>1098</v>
      </c>
      <c r="SS1" s="42" t="s">
        <v>1099</v>
      </c>
      <c r="ST1" s="42" t="s">
        <v>1100</v>
      </c>
      <c r="SU1" s="42" t="s">
        <v>1101</v>
      </c>
      <c r="SV1" s="42" t="s">
        <v>1102</v>
      </c>
      <c r="SW1" s="42" t="s">
        <v>1103</v>
      </c>
      <c r="SX1" s="42" t="s">
        <v>1104</v>
      </c>
      <c r="SY1" s="42" t="s">
        <v>1105</v>
      </c>
      <c r="SZ1" s="42" t="s">
        <v>1106</v>
      </c>
      <c r="TA1" s="42" t="s">
        <v>1140</v>
      </c>
      <c r="TB1" s="42" t="s">
        <v>925</v>
      </c>
      <c r="TC1" s="42" t="s">
        <v>1033</v>
      </c>
      <c r="TD1" s="42" t="s">
        <v>1107</v>
      </c>
      <c r="TE1" s="42" t="s">
        <v>1108</v>
      </c>
      <c r="TF1" s="42" t="s">
        <v>1109</v>
      </c>
      <c r="TG1" s="42" t="s">
        <v>1110</v>
      </c>
      <c r="TH1" s="42" t="s">
        <v>1111</v>
      </c>
      <c r="TI1" s="42" t="s">
        <v>1112</v>
      </c>
      <c r="TJ1" s="42" t="s">
        <v>1113</v>
      </c>
      <c r="TK1" s="42" t="s">
        <v>1114</v>
      </c>
      <c r="TL1" s="42" t="s">
        <v>1115</v>
      </c>
    </row>
    <row r="2" spans="1:532" x14ac:dyDescent="0.25">
      <c r="A2" t="s">
        <v>271</v>
      </c>
      <c r="B2" t="s">
        <v>270</v>
      </c>
      <c r="C2" s="3" t="s">
        <v>127</v>
      </c>
      <c r="D2" t="s">
        <v>128</v>
      </c>
      <c r="G2" t="str">
        <f>IF(F2="","",F2)</f>
        <v/>
      </c>
      <c r="J2">
        <v>0.7</v>
      </c>
      <c r="M2">
        <v>0.4</v>
      </c>
      <c r="N2">
        <v>59675</v>
      </c>
      <c r="O2" s="2">
        <v>45427</v>
      </c>
      <c r="P2" t="s">
        <v>129</v>
      </c>
      <c r="Q2" s="1"/>
      <c r="S2" s="1" t="s">
        <v>130</v>
      </c>
      <c r="T2" s="10" t="s">
        <v>554</v>
      </c>
      <c r="U2" s="11">
        <v>1</v>
      </c>
      <c r="V2" s="11" t="s">
        <v>309</v>
      </c>
      <c r="W2" s="11"/>
      <c r="X2" s="12"/>
      <c r="Y2" s="12"/>
      <c r="Z2" s="12"/>
      <c r="AA2" s="12"/>
      <c r="AB2" s="12"/>
      <c r="AC2" s="12" t="s">
        <v>131</v>
      </c>
      <c r="AD2" s="12" t="s">
        <v>133</v>
      </c>
      <c r="AE2" s="12" t="s">
        <v>134</v>
      </c>
      <c r="AF2" s="12" t="s">
        <v>132</v>
      </c>
      <c r="AG2" s="12" t="s">
        <v>135</v>
      </c>
      <c r="AH2" s="12" t="s">
        <v>136</v>
      </c>
      <c r="AI2" s="12" t="s">
        <v>141</v>
      </c>
      <c r="AJ2" s="12"/>
      <c r="AK2" s="12"/>
      <c r="AL2" s="12" t="s">
        <v>137</v>
      </c>
      <c r="AM2" s="12" t="s">
        <v>138</v>
      </c>
      <c r="AN2" s="12"/>
      <c r="AO2" s="12"/>
      <c r="AP2" s="12" t="s">
        <v>139</v>
      </c>
      <c r="AQ2" s="12" t="s">
        <v>140</v>
      </c>
      <c r="AR2" s="12"/>
      <c r="AS2" s="12"/>
      <c r="AT2" s="12"/>
      <c r="AU2" s="12"/>
      <c r="AV2" s="12"/>
      <c r="AW2" s="12"/>
      <c r="AX2" s="12"/>
      <c r="AY2" s="12"/>
      <c r="AZ2" s="13"/>
      <c r="BA2" s="12" t="str">
        <f t="shared" ref="BA2:BA33" si="0">CONCATENATE("XT",U2)</f>
        <v>XT1</v>
      </c>
      <c r="BB2" s="12" t="str">
        <f t="shared" ref="BB2:BB33" si="1">CONCATENATE("C",REPLACE(AD2,1,1,"")+1)</f>
        <v>C2</v>
      </c>
      <c r="BC2" s="12" t="str">
        <f t="shared" ref="BC2:BC33" si="2">CONCATENATE("B",REPLACE(AE2,1,1,"")+1)</f>
        <v>B2</v>
      </c>
      <c r="BD2" s="12" t="str">
        <f t="shared" ref="BD2:BD33" si="3">CONCATENATE("C",REPLACE(BB2,1,1,"")+1)</f>
        <v>C3</v>
      </c>
      <c r="BE2" s="12" t="str">
        <f t="shared" ref="BE2:BE33" si="4">CONCATENATE("B",REPLACE(BC2,1,1,"")+1)</f>
        <v>B3</v>
      </c>
      <c r="BF2" s="12" t="str">
        <f t="shared" ref="BF2:BF33" si="5">CONCATENATE("C",REPLACE(BD2,1,1,"")+1)</f>
        <v>C4</v>
      </c>
      <c r="BG2" s="12" t="str">
        <f t="shared" ref="BG2:BG33" si="6">CONCATENATE("B",REPLACE(BE2,1,1,"")+1)</f>
        <v>B4</v>
      </c>
      <c r="BH2" s="12" t="str">
        <f t="shared" ref="BH2:BH33" si="7">CONCATENATE("C",REPLACE(BF2,1,1,"")+1)</f>
        <v>C5</v>
      </c>
      <c r="BI2" s="12" t="str">
        <f t="shared" ref="BI2:BI33" si="8">CONCATENATE("B",REPLACE(BG2,1,1,"")+1)</f>
        <v>B5</v>
      </c>
      <c r="BJ2" s="12" t="str">
        <f t="shared" ref="BJ2:BJ33" si="9">CONCATENATE("C",REPLACE(BH2,1,1,"")+1)</f>
        <v>C6</v>
      </c>
      <c r="BK2" s="12" t="str">
        <f t="shared" ref="BK2:BK33" si="10">CONCATENATE("B",REPLACE(BI2,1,1,"")+1)</f>
        <v>B6</v>
      </c>
      <c r="BL2" s="12" t="str">
        <f t="shared" ref="BL2:BL33" si="11">CONCATENATE(REPLACE(AG2,LEN(AG2),1,"")+1,"B")</f>
        <v>2B</v>
      </c>
      <c r="BM2" s="12" t="str">
        <f t="shared" ref="BM2:BM33" si="12">CONCATENATE(REPLACE(AH2,LEN(AH2),1,"")+1,"A")</f>
        <v>2A</v>
      </c>
      <c r="BN2" s="12" t="str">
        <f>CONCATENATE(REPLACE(BL2,LEN(BL2),1,"")+1,"B")</f>
        <v>3B</v>
      </c>
      <c r="BO2" s="12" t="str">
        <f>CONCATENATE(REPLACE(BM2,LEN(BM2),1,"")+1,"A")</f>
        <v>3A</v>
      </c>
      <c r="BP2" s="12" t="str">
        <f t="shared" ref="BP2:BQ33" si="13">CONCATENATE("DI",REPLACE($AC2,1,3,""),"-",AD2)</f>
        <v>DI1-C1</v>
      </c>
      <c r="BQ2" s="12" t="str">
        <f t="shared" si="13"/>
        <v>DI1-B1</v>
      </c>
      <c r="BR2" s="12" t="str">
        <f t="shared" ref="BR2:CA17" si="14">CONCATENATE("DI",REPLACE($AC2,1,3,""),"-",BB2)</f>
        <v>DI1-C2</v>
      </c>
      <c r="BS2" s="12" t="str">
        <f t="shared" si="14"/>
        <v>DI1-B2</v>
      </c>
      <c r="BT2" s="12" t="str">
        <f t="shared" si="14"/>
        <v>DI1-C3</v>
      </c>
      <c r="BU2" s="12" t="str">
        <f t="shared" si="14"/>
        <v>DI1-B3</v>
      </c>
      <c r="BV2" s="12" t="str">
        <f t="shared" si="14"/>
        <v>DI1-C4</v>
      </c>
      <c r="BW2" s="12" t="str">
        <f t="shared" si="14"/>
        <v>DI1-B4</v>
      </c>
      <c r="BX2" s="12" t="str">
        <f t="shared" si="14"/>
        <v>DI1-C5</v>
      </c>
      <c r="BY2" s="12" t="str">
        <f t="shared" si="14"/>
        <v>DI1-B5</v>
      </c>
      <c r="BZ2" s="12" t="str">
        <f t="shared" si="14"/>
        <v>DI1-C6</v>
      </c>
      <c r="CA2" s="12" t="str">
        <f t="shared" si="14"/>
        <v>DI1-B6</v>
      </c>
      <c r="CB2" s="12" t="str">
        <f t="shared" ref="CB2:CC33" si="15">CONCATENATE("DO",REPLACE($AF2,1,3,""),"-",AG2)</f>
        <v>DO1-1B</v>
      </c>
      <c r="CC2" s="12" t="str">
        <f t="shared" si="15"/>
        <v>DO1-1A</v>
      </c>
      <c r="CD2" s="12" t="str">
        <f t="shared" ref="CD2:CG33" si="16">CONCATENATE("DO",REPLACE($AF2,1,3,""),"-",BL2)</f>
        <v>DO1-2B</v>
      </c>
      <c r="CE2" s="12" t="str">
        <f t="shared" si="16"/>
        <v>DO1-2A</v>
      </c>
      <c r="CF2" s="12" t="str">
        <f t="shared" si="16"/>
        <v>DO1-3B</v>
      </c>
      <c r="CG2" s="12" t="str">
        <f t="shared" si="16"/>
        <v>DO1-3A</v>
      </c>
      <c r="CH2" s="12" t="str">
        <f>CONCATENATE("K",$U2,"-10")</f>
        <v>K1-10</v>
      </c>
      <c r="CI2" s="12" t="str">
        <f>CONCATENATE("K",$U2,"-03")</f>
        <v>K1-03</v>
      </c>
      <c r="CJ2" s="12" t="str">
        <f>CONCATENATE("K",$U2,"-04")</f>
        <v>K1-04</v>
      </c>
      <c r="CK2" s="12" t="str">
        <f>CONCATENATE("K",$U2,"-01")</f>
        <v>K1-01</v>
      </c>
      <c r="CL2" s="12" t="str">
        <f>CONCATENATE("K",$U2,"-08")</f>
        <v>K1-08</v>
      </c>
      <c r="CM2" s="12" t="str">
        <f>CONCATENATE("K",$U2,"-02")</f>
        <v>K1-02</v>
      </c>
      <c r="CN2" s="12" t="str">
        <f>CONCATENATE("K",$U2,"-09")</f>
        <v>K1-09</v>
      </c>
      <c r="CO2" s="12" t="str">
        <f>CONCATENATE("K",$U2,"-05")</f>
        <v>K1-05</v>
      </c>
      <c r="CP2" s="12" t="str">
        <f>CONCATENATE("K",$U2,"-11")</f>
        <v>K1-11</v>
      </c>
      <c r="CQ2" s="12" t="str">
        <f>CONCATENATE($T2,"-M",$U2,"-A9")</f>
        <v>F0-M1-A9</v>
      </c>
      <c r="CR2" s="12" t="str">
        <f>CONCATENATE($T2,"-M",$U2,"-A7")</f>
        <v>F0-M1-A7</v>
      </c>
      <c r="CS2" s="12" t="str">
        <f>CONCATENATE($T2,"-M",$U2,"-A8")</f>
        <v>F0-M1-A8</v>
      </c>
      <c r="CT2" s="12" t="str">
        <f>CONCATENATE($T2,"-M",$U2,"-A6")</f>
        <v>F0-M1-A6</v>
      </c>
      <c r="CU2" s="12" t="str">
        <f>CONCATENATE($T2,"-M",$U2,"-A30")</f>
        <v>F0-M1-A30</v>
      </c>
      <c r="CV2" s="12" t="str">
        <f>CONCATENATE($T2,"-M",$U2,"-N")</f>
        <v>F0-M1-N</v>
      </c>
      <c r="CW2" s="12" t="str">
        <f t="shared" ref="CW2:CW33" si="17">CONCATENATE($T2,"-A220-M",U2)</f>
        <v>F0-A220-M1</v>
      </c>
      <c r="CX2" s="12" t="str">
        <f>CONCATENATE($T2,"-M",$U2,"-XM01")</f>
        <v>F0-M1-XM01</v>
      </c>
      <c r="CY2" s="12" t="str">
        <f>CONCATENATE($T2,"-M",$U2,"-A1")</f>
        <v>F0-M1-A1</v>
      </c>
      <c r="CZ2" s="12" t="str">
        <f>CONCATENATE($T2,"-M",$U2,"-A5")</f>
        <v>F0-M1-A5</v>
      </c>
      <c r="DA2" s="12" t="str">
        <f>CONCATENATE($T2,"-M",$U2,"-A11")</f>
        <v>F0-M1-A11</v>
      </c>
      <c r="DB2" s="12" t="str">
        <f>CONCATENATE($T2,"-M",$U2,"-A12")</f>
        <v>F0-M1-A12</v>
      </c>
      <c r="DC2" s="12" t="str">
        <f>CONCATENATE($T2,"-M",$U2,"-A19")</f>
        <v>F0-M1-A19</v>
      </c>
      <c r="DD2" s="12" t="str">
        <f>CONCATENATE($T2,"-M",$U2,"-A20")</f>
        <v>F0-M1-A20</v>
      </c>
      <c r="DE2" s="12" t="s">
        <v>142</v>
      </c>
      <c r="DF2" s="12" t="s">
        <v>143</v>
      </c>
      <c r="DG2" s="12">
        <v>11</v>
      </c>
      <c r="DH2" s="12">
        <v>14</v>
      </c>
      <c r="DI2" s="12">
        <v>12</v>
      </c>
      <c r="DJ2" s="12" t="s">
        <v>144</v>
      </c>
      <c r="DK2" s="12" t="s">
        <v>145</v>
      </c>
      <c r="DL2" s="12">
        <v>1</v>
      </c>
      <c r="DM2" s="12">
        <v>2</v>
      </c>
      <c r="DN2" s="12">
        <v>3</v>
      </c>
      <c r="DO2" s="12">
        <v>4</v>
      </c>
      <c r="DP2" s="12">
        <v>5</v>
      </c>
      <c r="DQ2" s="12">
        <v>6</v>
      </c>
      <c r="DR2" s="12">
        <v>7</v>
      </c>
      <c r="DS2" s="12">
        <v>8</v>
      </c>
      <c r="DT2" s="12">
        <v>9</v>
      </c>
      <c r="DU2" s="12">
        <v>10</v>
      </c>
      <c r="DV2" s="12">
        <v>11</v>
      </c>
      <c r="DW2" s="12">
        <v>12</v>
      </c>
      <c r="DX2" s="12">
        <v>13</v>
      </c>
      <c r="DY2" s="12">
        <v>14</v>
      </c>
      <c r="DZ2" s="12">
        <v>1</v>
      </c>
      <c r="EA2" s="12">
        <v>3</v>
      </c>
      <c r="EB2" s="12">
        <v>4</v>
      </c>
      <c r="EC2" s="12">
        <v>7</v>
      </c>
      <c r="ED2" s="12">
        <v>8</v>
      </c>
      <c r="EE2" s="12">
        <v>9</v>
      </c>
      <c r="EF2" s="12">
        <v>10</v>
      </c>
      <c r="EG2" s="12">
        <v>13</v>
      </c>
      <c r="EH2" s="12">
        <v>14</v>
      </c>
      <c r="EI2" s="12">
        <v>15</v>
      </c>
      <c r="EJ2" s="12">
        <v>16</v>
      </c>
      <c r="EK2" s="12">
        <v>22</v>
      </c>
      <c r="EL2" s="12">
        <v>23</v>
      </c>
      <c r="EM2" s="13">
        <v>24</v>
      </c>
    </row>
    <row r="3" spans="1:532" x14ac:dyDescent="0.25">
      <c r="A3" t="s">
        <v>146</v>
      </c>
      <c r="B3" t="s">
        <v>147</v>
      </c>
      <c r="C3" s="3" t="s">
        <v>127</v>
      </c>
      <c r="O3" s="2"/>
      <c r="P3" t="s">
        <v>129</v>
      </c>
      <c r="Q3" s="1"/>
      <c r="S3" s="1" t="s">
        <v>130</v>
      </c>
      <c r="T3" s="14" t="s">
        <v>554</v>
      </c>
      <c r="U3" s="15">
        <v>2</v>
      </c>
      <c r="V3" s="15" t="s">
        <v>310</v>
      </c>
      <c r="W3" s="15"/>
      <c r="AC3" t="s">
        <v>131</v>
      </c>
      <c r="AD3" t="s">
        <v>148</v>
      </c>
      <c r="AE3" t="s">
        <v>149</v>
      </c>
      <c r="AF3" t="s">
        <v>132</v>
      </c>
      <c r="AG3" t="s">
        <v>243</v>
      </c>
      <c r="AH3" t="s">
        <v>244</v>
      </c>
      <c r="AI3" t="s">
        <v>150</v>
      </c>
      <c r="AL3" t="s">
        <v>137</v>
      </c>
      <c r="AM3" t="s">
        <v>138</v>
      </c>
      <c r="AP3" t="s">
        <v>139</v>
      </c>
      <c r="AQ3" t="s">
        <v>140</v>
      </c>
      <c r="AZ3" s="16"/>
      <c r="BA3" t="str">
        <f t="shared" si="0"/>
        <v>XT2</v>
      </c>
      <c r="BB3" t="str">
        <f t="shared" si="1"/>
        <v>C8</v>
      </c>
      <c r="BC3" t="str">
        <f t="shared" si="2"/>
        <v>B8</v>
      </c>
      <c r="BD3" t="str">
        <f t="shared" si="3"/>
        <v>C9</v>
      </c>
      <c r="BE3" t="str">
        <f t="shared" si="4"/>
        <v>B9</v>
      </c>
      <c r="BF3" t="str">
        <f t="shared" si="5"/>
        <v>C10</v>
      </c>
      <c r="BG3" t="str">
        <f t="shared" si="6"/>
        <v>B10</v>
      </c>
      <c r="BH3" t="str">
        <f t="shared" si="7"/>
        <v>C11</v>
      </c>
      <c r="BI3" t="str">
        <f t="shared" si="8"/>
        <v>B11</v>
      </c>
      <c r="BJ3" t="str">
        <f t="shared" si="9"/>
        <v>C12</v>
      </c>
      <c r="BK3" t="str">
        <f t="shared" si="10"/>
        <v>B12</v>
      </c>
      <c r="BL3" t="str">
        <f t="shared" si="11"/>
        <v>5B</v>
      </c>
      <c r="BM3" t="str">
        <f t="shared" si="12"/>
        <v>5A</v>
      </c>
      <c r="BN3" t="str">
        <f t="shared" ref="BN3:BN33" si="18">CONCATENATE(REPLACE(BL3,LEN(BL3),1,"")+1,"B")</f>
        <v>6B</v>
      </c>
      <c r="BO3" t="str">
        <f t="shared" ref="BO3:BO33" si="19">CONCATENATE(REPLACE(BM3,LEN(BM3),1,"")+1,"A")</f>
        <v>6A</v>
      </c>
      <c r="BP3" t="str">
        <f t="shared" si="13"/>
        <v>DI1-C7</v>
      </c>
      <c r="BQ3" t="str">
        <f t="shared" si="13"/>
        <v>DI1-B7</v>
      </c>
      <c r="BR3" t="str">
        <f t="shared" si="14"/>
        <v>DI1-C8</v>
      </c>
      <c r="BS3" t="str">
        <f t="shared" si="14"/>
        <v>DI1-B8</v>
      </c>
      <c r="BT3" t="str">
        <f t="shared" si="14"/>
        <v>DI1-C9</v>
      </c>
      <c r="BU3" t="str">
        <f t="shared" si="14"/>
        <v>DI1-B9</v>
      </c>
      <c r="BV3" t="str">
        <f t="shared" si="14"/>
        <v>DI1-C10</v>
      </c>
      <c r="BW3" t="str">
        <f t="shared" si="14"/>
        <v>DI1-B10</v>
      </c>
      <c r="BX3" t="str">
        <f t="shared" si="14"/>
        <v>DI1-C11</v>
      </c>
      <c r="BY3" t="str">
        <f t="shared" si="14"/>
        <v>DI1-B11</v>
      </c>
      <c r="BZ3" t="str">
        <f t="shared" si="14"/>
        <v>DI1-C12</v>
      </c>
      <c r="CA3" t="str">
        <f t="shared" si="14"/>
        <v>DI1-B12</v>
      </c>
      <c r="CB3" t="str">
        <f t="shared" si="15"/>
        <v>DO1-4B</v>
      </c>
      <c r="CC3" t="str">
        <f t="shared" si="15"/>
        <v>DO1-4A</v>
      </c>
      <c r="CD3" t="str">
        <f t="shared" si="16"/>
        <v>DO1-5B</v>
      </c>
      <c r="CE3" t="str">
        <f t="shared" si="16"/>
        <v>DO1-5A</v>
      </c>
      <c r="CF3" t="str">
        <f t="shared" si="16"/>
        <v>DO1-6B</v>
      </c>
      <c r="CG3" t="str">
        <f t="shared" si="16"/>
        <v>DO1-6A</v>
      </c>
      <c r="CH3" t="str">
        <f t="shared" ref="CH3:CH33" si="20">CONCATENATE("K",$U3,"-10")</f>
        <v>K2-10</v>
      </c>
      <c r="CI3" t="str">
        <f t="shared" ref="CI3:CI33" si="21">CONCATENATE("K",$U3,"-03")</f>
        <v>K2-03</v>
      </c>
      <c r="CJ3" t="str">
        <f t="shared" ref="CJ3:CJ33" si="22">CONCATENATE("K",$U3,"-04")</f>
        <v>K2-04</v>
      </c>
      <c r="CK3" t="str">
        <f t="shared" ref="CK3:CK33" si="23">CONCATENATE("K",$U3,"-01")</f>
        <v>K2-01</v>
      </c>
      <c r="CL3" t="str">
        <f t="shared" ref="CL3:CL33" si="24">CONCATENATE("K",$U3,"-08")</f>
        <v>K2-08</v>
      </c>
      <c r="CM3" t="str">
        <f t="shared" ref="CM3:CM33" si="25">CONCATENATE("K",$U3,"-02")</f>
        <v>K2-02</v>
      </c>
      <c r="CN3" t="str">
        <f t="shared" ref="CN3:CN33" si="26">CONCATENATE("K",$U3,"-09")</f>
        <v>K2-09</v>
      </c>
      <c r="CO3" t="str">
        <f t="shared" ref="CO3:CO33" si="27">CONCATENATE("K",$U3,"-05")</f>
        <v>K2-05</v>
      </c>
      <c r="CP3" t="str">
        <f t="shared" ref="CP3:CP33" si="28">CONCATENATE("K",$U3,"-11")</f>
        <v>K2-11</v>
      </c>
      <c r="CQ3" t="str">
        <f t="shared" ref="CQ3:CQ33" si="29">CONCATENATE($T3,"-M",$U3,"-A9")</f>
        <v>F0-M2-A9</v>
      </c>
      <c r="CR3" t="str">
        <f t="shared" ref="CR3:CR33" si="30">CONCATENATE($T3,"-M",$U3,"-A7")</f>
        <v>F0-M2-A7</v>
      </c>
      <c r="CS3" t="str">
        <f t="shared" ref="CS3:CS33" si="31">CONCATENATE($T3,"-M",$U3,"-A8")</f>
        <v>F0-M2-A8</v>
      </c>
      <c r="CT3" t="str">
        <f t="shared" ref="CT3:CT33" si="32">CONCATENATE($T3,"-M",$U3,"-A6")</f>
        <v>F0-M2-A6</v>
      </c>
      <c r="CU3" t="str">
        <f t="shared" ref="CU3:CU33" si="33">CONCATENATE($T3,"-M",$U3,"-A30")</f>
        <v>F0-M2-A30</v>
      </c>
      <c r="CV3" t="str">
        <f t="shared" ref="CV3:CV33" si="34">CONCATENATE($T3,"-M",$U3,"-N")</f>
        <v>F0-M2-N</v>
      </c>
      <c r="CW3" t="str">
        <f t="shared" si="17"/>
        <v>F0-A220-M2</v>
      </c>
      <c r="CX3" t="str">
        <f t="shared" ref="CX3:CX33" si="35">CONCATENATE($T3,"-M",$U3,"-XM01")</f>
        <v>F0-M2-XM01</v>
      </c>
      <c r="CY3" t="str">
        <f t="shared" ref="CY3:CY33" si="36">CONCATENATE($T3,"-M",$U3,"-A1")</f>
        <v>F0-M2-A1</v>
      </c>
      <c r="CZ3" t="str">
        <f t="shared" ref="CZ3:CZ33" si="37">CONCATENATE($T3,"-M",$U3,"-A5")</f>
        <v>F0-M2-A5</v>
      </c>
      <c r="DA3" t="str">
        <f t="shared" ref="DA3:DA33" si="38">CONCATENATE($T3,"-M",$U3,"-A11")</f>
        <v>F0-M2-A11</v>
      </c>
      <c r="DB3" t="str">
        <f t="shared" ref="DB3:DB33" si="39">CONCATENATE($T3,"-M",$U3,"-A12")</f>
        <v>F0-M2-A12</v>
      </c>
      <c r="DC3" t="str">
        <f t="shared" ref="DC3:DC33" si="40">CONCATENATE($T3,"-M",$U3,"-A19")</f>
        <v>F0-M2-A19</v>
      </c>
      <c r="DD3" t="str">
        <f t="shared" ref="DD3:DD33" si="41">CONCATENATE($T3,"-M",$U3,"-A20")</f>
        <v>F0-M2-A20</v>
      </c>
      <c r="DE3" t="s">
        <v>142</v>
      </c>
      <c r="DF3" t="s">
        <v>143</v>
      </c>
      <c r="DG3">
        <v>11</v>
      </c>
      <c r="DH3">
        <v>14</v>
      </c>
      <c r="DI3">
        <v>12</v>
      </c>
      <c r="DJ3" t="s">
        <v>144</v>
      </c>
      <c r="DK3" t="s">
        <v>145</v>
      </c>
      <c r="DL3">
        <v>1</v>
      </c>
      <c r="DM3">
        <v>2</v>
      </c>
      <c r="DN3">
        <v>3</v>
      </c>
      <c r="DO3">
        <v>4</v>
      </c>
      <c r="DP3">
        <v>5</v>
      </c>
      <c r="DQ3">
        <v>6</v>
      </c>
      <c r="DR3">
        <v>7</v>
      </c>
      <c r="DS3">
        <v>8</v>
      </c>
      <c r="DT3">
        <v>9</v>
      </c>
      <c r="DU3">
        <v>10</v>
      </c>
      <c r="DV3">
        <v>11</v>
      </c>
      <c r="DW3">
        <v>12</v>
      </c>
      <c r="DX3">
        <v>13</v>
      </c>
      <c r="DY3">
        <v>14</v>
      </c>
      <c r="DZ3">
        <v>1</v>
      </c>
      <c r="EA3">
        <v>3</v>
      </c>
      <c r="EB3">
        <v>4</v>
      </c>
      <c r="EC3">
        <v>7</v>
      </c>
      <c r="ED3">
        <v>8</v>
      </c>
      <c r="EE3">
        <v>9</v>
      </c>
      <c r="EF3">
        <v>10</v>
      </c>
      <c r="EG3">
        <v>13</v>
      </c>
      <c r="EH3">
        <v>14</v>
      </c>
      <c r="EI3">
        <v>15</v>
      </c>
      <c r="EJ3">
        <v>16</v>
      </c>
      <c r="EK3">
        <v>22</v>
      </c>
      <c r="EL3">
        <v>23</v>
      </c>
      <c r="EM3" s="16">
        <v>24</v>
      </c>
    </row>
    <row r="4" spans="1:532" x14ac:dyDescent="0.25">
      <c r="A4" t="s">
        <v>151</v>
      </c>
      <c r="B4" t="s">
        <v>152</v>
      </c>
      <c r="C4" s="3" t="s">
        <v>127</v>
      </c>
      <c r="O4" s="2"/>
      <c r="P4" t="s">
        <v>129</v>
      </c>
      <c r="Q4" s="1"/>
      <c r="S4" s="1" t="s">
        <v>130</v>
      </c>
      <c r="T4" s="14" t="s">
        <v>554</v>
      </c>
      <c r="U4" s="15">
        <v>3</v>
      </c>
      <c r="V4" s="15" t="s">
        <v>311</v>
      </c>
      <c r="W4" s="15"/>
      <c r="AC4" t="s">
        <v>131</v>
      </c>
      <c r="AD4" t="s">
        <v>153</v>
      </c>
      <c r="AE4" t="s">
        <v>154</v>
      </c>
      <c r="AF4" t="s">
        <v>132</v>
      </c>
      <c r="AG4" t="s">
        <v>245</v>
      </c>
      <c r="AH4" t="s">
        <v>246</v>
      </c>
      <c r="AI4" t="s">
        <v>155</v>
      </c>
      <c r="AL4" t="s">
        <v>137</v>
      </c>
      <c r="AM4" t="s">
        <v>138</v>
      </c>
      <c r="AP4" t="s">
        <v>139</v>
      </c>
      <c r="AQ4" t="s">
        <v>140</v>
      </c>
      <c r="AZ4" s="16"/>
      <c r="BA4" t="str">
        <f t="shared" si="0"/>
        <v>XT3</v>
      </c>
      <c r="BB4" t="str">
        <f t="shared" si="1"/>
        <v>C14</v>
      </c>
      <c r="BC4" t="str">
        <f t="shared" si="2"/>
        <v>B14</v>
      </c>
      <c r="BD4" t="str">
        <f t="shared" si="3"/>
        <v>C15</v>
      </c>
      <c r="BE4" t="str">
        <f t="shared" si="4"/>
        <v>B15</v>
      </c>
      <c r="BF4" t="str">
        <f t="shared" si="5"/>
        <v>C16</v>
      </c>
      <c r="BG4" t="str">
        <f t="shared" si="6"/>
        <v>B16</v>
      </c>
      <c r="BH4" t="str">
        <f t="shared" si="7"/>
        <v>C17</v>
      </c>
      <c r="BI4" t="str">
        <f t="shared" si="8"/>
        <v>B17</v>
      </c>
      <c r="BJ4" t="str">
        <f t="shared" si="9"/>
        <v>C18</v>
      </c>
      <c r="BK4" t="str">
        <f t="shared" si="10"/>
        <v>B18</v>
      </c>
      <c r="BL4" t="str">
        <f t="shared" si="11"/>
        <v>8B</v>
      </c>
      <c r="BM4" t="str">
        <f t="shared" si="12"/>
        <v>8A</v>
      </c>
      <c r="BN4" t="str">
        <f t="shared" si="18"/>
        <v>9B</v>
      </c>
      <c r="BO4" t="str">
        <f t="shared" si="19"/>
        <v>9A</v>
      </c>
      <c r="BP4" t="str">
        <f t="shared" si="13"/>
        <v>DI1-C13</v>
      </c>
      <c r="BQ4" t="str">
        <f t="shared" si="13"/>
        <v>DI1-B13</v>
      </c>
      <c r="BR4" t="str">
        <f t="shared" si="14"/>
        <v>DI1-C14</v>
      </c>
      <c r="BS4" t="str">
        <f t="shared" si="14"/>
        <v>DI1-B14</v>
      </c>
      <c r="BT4" t="str">
        <f t="shared" si="14"/>
        <v>DI1-C15</v>
      </c>
      <c r="BU4" t="str">
        <f t="shared" si="14"/>
        <v>DI1-B15</v>
      </c>
      <c r="BV4" t="str">
        <f t="shared" si="14"/>
        <v>DI1-C16</v>
      </c>
      <c r="BW4" t="str">
        <f t="shared" si="14"/>
        <v>DI1-B16</v>
      </c>
      <c r="BX4" t="str">
        <f t="shared" si="14"/>
        <v>DI1-C17</v>
      </c>
      <c r="BY4" t="str">
        <f t="shared" si="14"/>
        <v>DI1-B17</v>
      </c>
      <c r="BZ4" t="str">
        <f t="shared" si="14"/>
        <v>DI1-C18</v>
      </c>
      <c r="CA4" t="str">
        <f t="shared" si="14"/>
        <v>DI1-B18</v>
      </c>
      <c r="CB4" t="str">
        <f t="shared" si="15"/>
        <v>DO1-7B</v>
      </c>
      <c r="CC4" t="str">
        <f t="shared" si="15"/>
        <v>DO1-7A</v>
      </c>
      <c r="CD4" t="str">
        <f t="shared" si="16"/>
        <v>DO1-8B</v>
      </c>
      <c r="CE4" t="str">
        <f t="shared" si="16"/>
        <v>DO1-8A</v>
      </c>
      <c r="CF4" t="str">
        <f t="shared" si="16"/>
        <v>DO1-9B</v>
      </c>
      <c r="CG4" t="str">
        <f t="shared" si="16"/>
        <v>DO1-9A</v>
      </c>
      <c r="CH4" t="str">
        <f t="shared" si="20"/>
        <v>K3-10</v>
      </c>
      <c r="CI4" t="str">
        <f t="shared" si="21"/>
        <v>K3-03</v>
      </c>
      <c r="CJ4" t="str">
        <f t="shared" si="22"/>
        <v>K3-04</v>
      </c>
      <c r="CK4" t="str">
        <f t="shared" si="23"/>
        <v>K3-01</v>
      </c>
      <c r="CL4" t="str">
        <f t="shared" si="24"/>
        <v>K3-08</v>
      </c>
      <c r="CM4" t="str">
        <f t="shared" si="25"/>
        <v>K3-02</v>
      </c>
      <c r="CN4" t="str">
        <f t="shared" si="26"/>
        <v>K3-09</v>
      </c>
      <c r="CO4" t="str">
        <f t="shared" si="27"/>
        <v>K3-05</v>
      </c>
      <c r="CP4" t="str">
        <f t="shared" si="28"/>
        <v>K3-11</v>
      </c>
      <c r="CQ4" t="str">
        <f t="shared" si="29"/>
        <v>F0-M3-A9</v>
      </c>
      <c r="CR4" t="str">
        <f t="shared" si="30"/>
        <v>F0-M3-A7</v>
      </c>
      <c r="CS4" t="str">
        <f t="shared" si="31"/>
        <v>F0-M3-A8</v>
      </c>
      <c r="CT4" t="str">
        <f t="shared" si="32"/>
        <v>F0-M3-A6</v>
      </c>
      <c r="CU4" t="str">
        <f t="shared" si="33"/>
        <v>F0-M3-A30</v>
      </c>
      <c r="CV4" t="str">
        <f t="shared" si="34"/>
        <v>F0-M3-N</v>
      </c>
      <c r="CW4" t="str">
        <f t="shared" si="17"/>
        <v>F0-A220-M3</v>
      </c>
      <c r="CX4" t="str">
        <f t="shared" si="35"/>
        <v>F0-M3-XM01</v>
      </c>
      <c r="CY4" t="str">
        <f t="shared" si="36"/>
        <v>F0-M3-A1</v>
      </c>
      <c r="CZ4" t="str">
        <f t="shared" si="37"/>
        <v>F0-M3-A5</v>
      </c>
      <c r="DA4" t="str">
        <f t="shared" si="38"/>
        <v>F0-M3-A11</v>
      </c>
      <c r="DB4" t="str">
        <f t="shared" si="39"/>
        <v>F0-M3-A12</v>
      </c>
      <c r="DC4" t="str">
        <f t="shared" si="40"/>
        <v>F0-M3-A19</v>
      </c>
      <c r="DD4" t="str">
        <f t="shared" si="41"/>
        <v>F0-M3-A20</v>
      </c>
      <c r="DE4" t="s">
        <v>142</v>
      </c>
      <c r="DF4" t="s">
        <v>143</v>
      </c>
      <c r="DG4">
        <v>11</v>
      </c>
      <c r="DH4">
        <v>14</v>
      </c>
      <c r="DI4">
        <v>12</v>
      </c>
      <c r="DJ4" t="s">
        <v>144</v>
      </c>
      <c r="DK4" t="s">
        <v>145</v>
      </c>
      <c r="DL4">
        <v>1</v>
      </c>
      <c r="DM4">
        <v>2</v>
      </c>
      <c r="DN4">
        <v>3</v>
      </c>
      <c r="DO4">
        <v>4</v>
      </c>
      <c r="DP4">
        <v>5</v>
      </c>
      <c r="DQ4">
        <v>6</v>
      </c>
      <c r="DR4">
        <v>7</v>
      </c>
      <c r="DS4">
        <v>8</v>
      </c>
      <c r="DT4">
        <v>9</v>
      </c>
      <c r="DU4">
        <v>10</v>
      </c>
      <c r="DV4">
        <v>11</v>
      </c>
      <c r="DW4">
        <v>12</v>
      </c>
      <c r="DX4">
        <v>13</v>
      </c>
      <c r="DY4">
        <v>14</v>
      </c>
      <c r="DZ4">
        <v>1</v>
      </c>
      <c r="EA4">
        <v>3</v>
      </c>
      <c r="EB4">
        <v>4</v>
      </c>
      <c r="EC4">
        <v>7</v>
      </c>
      <c r="ED4">
        <v>8</v>
      </c>
      <c r="EE4">
        <v>9</v>
      </c>
      <c r="EF4">
        <v>10</v>
      </c>
      <c r="EG4">
        <v>13</v>
      </c>
      <c r="EH4">
        <v>14</v>
      </c>
      <c r="EI4">
        <v>15</v>
      </c>
      <c r="EJ4">
        <v>16</v>
      </c>
      <c r="EK4">
        <v>22</v>
      </c>
      <c r="EL4">
        <v>23</v>
      </c>
      <c r="EM4" s="16">
        <v>24</v>
      </c>
    </row>
    <row r="5" spans="1:532" x14ac:dyDescent="0.25">
      <c r="A5" t="s">
        <v>156</v>
      </c>
      <c r="B5" t="s">
        <v>157</v>
      </c>
      <c r="C5" s="3" t="s">
        <v>127</v>
      </c>
      <c r="O5" s="2"/>
      <c r="P5" t="s">
        <v>129</v>
      </c>
      <c r="Q5" s="1"/>
      <c r="S5" s="1" t="s">
        <v>130</v>
      </c>
      <c r="T5" s="14" t="s">
        <v>554</v>
      </c>
      <c r="U5" s="15">
        <v>4</v>
      </c>
      <c r="V5" s="15" t="s">
        <v>312</v>
      </c>
      <c r="W5" s="15"/>
      <c r="AC5" t="s">
        <v>131</v>
      </c>
      <c r="AD5" t="s">
        <v>239</v>
      </c>
      <c r="AE5" t="s">
        <v>241</v>
      </c>
      <c r="AF5" t="s">
        <v>132</v>
      </c>
      <c r="AG5" t="s">
        <v>247</v>
      </c>
      <c r="AH5" t="s">
        <v>254</v>
      </c>
      <c r="AI5" t="s">
        <v>158</v>
      </c>
      <c r="AL5" t="s">
        <v>137</v>
      </c>
      <c r="AM5" t="s">
        <v>138</v>
      </c>
      <c r="AP5" t="s">
        <v>139</v>
      </c>
      <c r="AQ5" t="s">
        <v>140</v>
      </c>
      <c r="AZ5" s="16"/>
      <c r="BA5" t="str">
        <f t="shared" si="0"/>
        <v>XT4</v>
      </c>
      <c r="BB5" t="str">
        <f t="shared" si="1"/>
        <v>C20</v>
      </c>
      <c r="BC5" t="str">
        <f t="shared" si="2"/>
        <v>B20</v>
      </c>
      <c r="BD5" t="str">
        <f t="shared" si="3"/>
        <v>C21</v>
      </c>
      <c r="BE5" t="str">
        <f t="shared" si="4"/>
        <v>B21</v>
      </c>
      <c r="BF5" t="str">
        <f t="shared" si="5"/>
        <v>C22</v>
      </c>
      <c r="BG5" t="str">
        <f t="shared" si="6"/>
        <v>B22</v>
      </c>
      <c r="BH5" t="str">
        <f t="shared" si="7"/>
        <v>C23</v>
      </c>
      <c r="BI5" t="str">
        <f t="shared" si="8"/>
        <v>B23</v>
      </c>
      <c r="BJ5" t="str">
        <f t="shared" si="9"/>
        <v>C24</v>
      </c>
      <c r="BK5" t="str">
        <f t="shared" si="10"/>
        <v>B24</v>
      </c>
      <c r="BL5" t="str">
        <f t="shared" si="11"/>
        <v>11B</v>
      </c>
      <c r="BM5" t="str">
        <f t="shared" si="12"/>
        <v>11A</v>
      </c>
      <c r="BN5" t="str">
        <f t="shared" si="18"/>
        <v>12B</v>
      </c>
      <c r="BO5" t="str">
        <f t="shared" si="19"/>
        <v>12A</v>
      </c>
      <c r="BP5" t="str">
        <f t="shared" si="13"/>
        <v>DI1-C19</v>
      </c>
      <c r="BQ5" t="str">
        <f t="shared" si="13"/>
        <v>DI1-B19</v>
      </c>
      <c r="BR5" t="str">
        <f t="shared" si="14"/>
        <v>DI1-C20</v>
      </c>
      <c r="BS5" t="str">
        <f t="shared" si="14"/>
        <v>DI1-B20</v>
      </c>
      <c r="BT5" t="str">
        <f t="shared" si="14"/>
        <v>DI1-C21</v>
      </c>
      <c r="BU5" t="str">
        <f t="shared" si="14"/>
        <v>DI1-B21</v>
      </c>
      <c r="BV5" t="str">
        <f t="shared" si="14"/>
        <v>DI1-C22</v>
      </c>
      <c r="BW5" t="str">
        <f t="shared" si="14"/>
        <v>DI1-B22</v>
      </c>
      <c r="BX5" t="str">
        <f t="shared" si="14"/>
        <v>DI1-C23</v>
      </c>
      <c r="BY5" t="str">
        <f t="shared" si="14"/>
        <v>DI1-B23</v>
      </c>
      <c r="BZ5" t="str">
        <f t="shared" si="14"/>
        <v>DI1-C24</v>
      </c>
      <c r="CA5" t="str">
        <f t="shared" si="14"/>
        <v>DI1-B24</v>
      </c>
      <c r="CB5" t="str">
        <f t="shared" si="15"/>
        <v>DO1-10B</v>
      </c>
      <c r="CC5" t="str">
        <f t="shared" si="15"/>
        <v>DO1-10A</v>
      </c>
      <c r="CD5" t="str">
        <f t="shared" si="16"/>
        <v>DO1-11B</v>
      </c>
      <c r="CE5" t="str">
        <f t="shared" si="16"/>
        <v>DO1-11A</v>
      </c>
      <c r="CF5" t="str">
        <f t="shared" si="16"/>
        <v>DO1-12B</v>
      </c>
      <c r="CG5" t="str">
        <f t="shared" si="16"/>
        <v>DO1-12A</v>
      </c>
      <c r="CH5" t="str">
        <f t="shared" si="20"/>
        <v>K4-10</v>
      </c>
      <c r="CI5" t="str">
        <f t="shared" si="21"/>
        <v>K4-03</v>
      </c>
      <c r="CJ5" t="str">
        <f t="shared" si="22"/>
        <v>K4-04</v>
      </c>
      <c r="CK5" t="str">
        <f t="shared" si="23"/>
        <v>K4-01</v>
      </c>
      <c r="CL5" t="str">
        <f t="shared" si="24"/>
        <v>K4-08</v>
      </c>
      <c r="CM5" t="str">
        <f t="shared" si="25"/>
        <v>K4-02</v>
      </c>
      <c r="CN5" t="str">
        <f t="shared" si="26"/>
        <v>K4-09</v>
      </c>
      <c r="CO5" t="str">
        <f t="shared" si="27"/>
        <v>K4-05</v>
      </c>
      <c r="CP5" t="str">
        <f t="shared" si="28"/>
        <v>K4-11</v>
      </c>
      <c r="CQ5" t="str">
        <f t="shared" si="29"/>
        <v>F0-M4-A9</v>
      </c>
      <c r="CR5" t="str">
        <f t="shared" si="30"/>
        <v>F0-M4-A7</v>
      </c>
      <c r="CS5" t="str">
        <f t="shared" si="31"/>
        <v>F0-M4-A8</v>
      </c>
      <c r="CT5" t="str">
        <f t="shared" si="32"/>
        <v>F0-M4-A6</v>
      </c>
      <c r="CU5" t="str">
        <f t="shared" si="33"/>
        <v>F0-M4-A30</v>
      </c>
      <c r="CV5" t="str">
        <f t="shared" si="34"/>
        <v>F0-M4-N</v>
      </c>
      <c r="CW5" t="str">
        <f t="shared" si="17"/>
        <v>F0-A220-M4</v>
      </c>
      <c r="CX5" t="str">
        <f t="shared" si="35"/>
        <v>F0-M4-XM01</v>
      </c>
      <c r="CY5" t="str">
        <f t="shared" si="36"/>
        <v>F0-M4-A1</v>
      </c>
      <c r="CZ5" t="str">
        <f t="shared" si="37"/>
        <v>F0-M4-A5</v>
      </c>
      <c r="DA5" t="str">
        <f t="shared" si="38"/>
        <v>F0-M4-A11</v>
      </c>
      <c r="DB5" t="str">
        <f t="shared" si="39"/>
        <v>F0-M4-A12</v>
      </c>
      <c r="DC5" t="str">
        <f t="shared" si="40"/>
        <v>F0-M4-A19</v>
      </c>
      <c r="DD5" t="str">
        <f t="shared" si="41"/>
        <v>F0-M4-A20</v>
      </c>
      <c r="DE5" t="s">
        <v>142</v>
      </c>
      <c r="DF5" t="s">
        <v>143</v>
      </c>
      <c r="DG5">
        <v>11</v>
      </c>
      <c r="DH5">
        <v>14</v>
      </c>
      <c r="DI5">
        <v>12</v>
      </c>
      <c r="DJ5" t="s">
        <v>144</v>
      </c>
      <c r="DK5" t="s">
        <v>145</v>
      </c>
      <c r="DL5">
        <v>1</v>
      </c>
      <c r="DM5">
        <v>2</v>
      </c>
      <c r="DN5">
        <v>3</v>
      </c>
      <c r="DO5">
        <v>4</v>
      </c>
      <c r="DP5">
        <v>5</v>
      </c>
      <c r="DQ5">
        <v>6</v>
      </c>
      <c r="DR5">
        <v>7</v>
      </c>
      <c r="DS5">
        <v>8</v>
      </c>
      <c r="DT5">
        <v>9</v>
      </c>
      <c r="DU5">
        <v>10</v>
      </c>
      <c r="DV5">
        <v>11</v>
      </c>
      <c r="DW5">
        <v>12</v>
      </c>
      <c r="DX5">
        <v>13</v>
      </c>
      <c r="DY5">
        <v>14</v>
      </c>
      <c r="DZ5">
        <v>1</v>
      </c>
      <c r="EA5">
        <v>3</v>
      </c>
      <c r="EB5">
        <v>4</v>
      </c>
      <c r="EC5">
        <v>7</v>
      </c>
      <c r="ED5">
        <v>8</v>
      </c>
      <c r="EE5">
        <v>9</v>
      </c>
      <c r="EF5">
        <v>10</v>
      </c>
      <c r="EG5">
        <v>13</v>
      </c>
      <c r="EH5">
        <v>14</v>
      </c>
      <c r="EI5">
        <v>15</v>
      </c>
      <c r="EJ5">
        <v>16</v>
      </c>
      <c r="EK5">
        <v>22</v>
      </c>
      <c r="EL5">
        <v>23</v>
      </c>
      <c r="EM5" s="16">
        <v>24</v>
      </c>
    </row>
    <row r="6" spans="1:532" x14ac:dyDescent="0.25">
      <c r="A6" t="s">
        <v>159</v>
      </c>
      <c r="B6" t="s">
        <v>160</v>
      </c>
      <c r="C6" s="3" t="s">
        <v>127</v>
      </c>
      <c r="O6" s="2"/>
      <c r="P6" t="s">
        <v>129</v>
      </c>
      <c r="Q6" s="1"/>
      <c r="S6" s="1" t="s">
        <v>130</v>
      </c>
      <c r="T6" s="14" t="s">
        <v>554</v>
      </c>
      <c r="U6" s="15">
        <v>5</v>
      </c>
      <c r="V6" s="15" t="s">
        <v>313</v>
      </c>
      <c r="W6" s="15"/>
      <c r="AC6" t="s">
        <v>131</v>
      </c>
      <c r="AD6" t="s">
        <v>240</v>
      </c>
      <c r="AE6" t="s">
        <v>242</v>
      </c>
      <c r="AF6" t="s">
        <v>132</v>
      </c>
      <c r="AG6" t="s">
        <v>248</v>
      </c>
      <c r="AH6" t="s">
        <v>255</v>
      </c>
      <c r="AI6" t="s">
        <v>161</v>
      </c>
      <c r="AL6" t="s">
        <v>137</v>
      </c>
      <c r="AM6" t="s">
        <v>138</v>
      </c>
      <c r="AP6" t="s">
        <v>139</v>
      </c>
      <c r="AQ6" t="s">
        <v>140</v>
      </c>
      <c r="AZ6" s="16"/>
      <c r="BA6" t="str">
        <f t="shared" si="0"/>
        <v>XT5</v>
      </c>
      <c r="BB6" t="str">
        <f t="shared" si="1"/>
        <v>C26</v>
      </c>
      <c r="BC6" t="str">
        <f t="shared" si="2"/>
        <v>B26</v>
      </c>
      <c r="BD6" t="str">
        <f t="shared" si="3"/>
        <v>C27</v>
      </c>
      <c r="BE6" t="str">
        <f t="shared" si="4"/>
        <v>B27</v>
      </c>
      <c r="BF6" t="str">
        <f t="shared" si="5"/>
        <v>C28</v>
      </c>
      <c r="BG6" t="str">
        <f t="shared" si="6"/>
        <v>B28</v>
      </c>
      <c r="BH6" t="str">
        <f t="shared" si="7"/>
        <v>C29</v>
      </c>
      <c r="BI6" t="str">
        <f t="shared" si="8"/>
        <v>B29</v>
      </c>
      <c r="BJ6" t="str">
        <f t="shared" si="9"/>
        <v>C30</v>
      </c>
      <c r="BK6" t="str">
        <f t="shared" si="10"/>
        <v>B30</v>
      </c>
      <c r="BL6" t="str">
        <f t="shared" si="11"/>
        <v>14B</v>
      </c>
      <c r="BM6" t="str">
        <f t="shared" si="12"/>
        <v>14A</v>
      </c>
      <c r="BN6" t="str">
        <f t="shared" si="18"/>
        <v>15B</v>
      </c>
      <c r="BO6" t="str">
        <f t="shared" si="19"/>
        <v>15A</v>
      </c>
      <c r="BP6" t="str">
        <f t="shared" si="13"/>
        <v>DI1-C25</v>
      </c>
      <c r="BQ6" t="str">
        <f t="shared" si="13"/>
        <v>DI1-B25</v>
      </c>
      <c r="BR6" t="str">
        <f t="shared" si="14"/>
        <v>DI1-C26</v>
      </c>
      <c r="BS6" t="str">
        <f t="shared" si="14"/>
        <v>DI1-B26</v>
      </c>
      <c r="BT6" t="str">
        <f t="shared" si="14"/>
        <v>DI1-C27</v>
      </c>
      <c r="BU6" t="str">
        <f t="shared" si="14"/>
        <v>DI1-B27</v>
      </c>
      <c r="BV6" t="str">
        <f t="shared" si="14"/>
        <v>DI1-C28</v>
      </c>
      <c r="BW6" t="str">
        <f t="shared" si="14"/>
        <v>DI1-B28</v>
      </c>
      <c r="BX6" t="str">
        <f t="shared" si="14"/>
        <v>DI1-C29</v>
      </c>
      <c r="BY6" t="str">
        <f t="shared" si="14"/>
        <v>DI1-B29</v>
      </c>
      <c r="BZ6" t="str">
        <f t="shared" si="14"/>
        <v>DI1-C30</v>
      </c>
      <c r="CA6" t="str">
        <f t="shared" si="14"/>
        <v>DI1-B30</v>
      </c>
      <c r="CB6" t="str">
        <f t="shared" si="15"/>
        <v>DO1-13B</v>
      </c>
      <c r="CC6" t="str">
        <f t="shared" si="15"/>
        <v>DO1-13A</v>
      </c>
      <c r="CD6" t="str">
        <f t="shared" si="16"/>
        <v>DO1-14B</v>
      </c>
      <c r="CE6" t="str">
        <f t="shared" si="16"/>
        <v>DO1-14A</v>
      </c>
      <c r="CF6" t="str">
        <f t="shared" si="16"/>
        <v>DO1-15B</v>
      </c>
      <c r="CG6" t="str">
        <f t="shared" si="16"/>
        <v>DO1-15A</v>
      </c>
      <c r="CH6" t="str">
        <f t="shared" si="20"/>
        <v>K5-10</v>
      </c>
      <c r="CI6" t="str">
        <f t="shared" si="21"/>
        <v>K5-03</v>
      </c>
      <c r="CJ6" t="str">
        <f t="shared" si="22"/>
        <v>K5-04</v>
      </c>
      <c r="CK6" t="str">
        <f t="shared" si="23"/>
        <v>K5-01</v>
      </c>
      <c r="CL6" t="str">
        <f t="shared" si="24"/>
        <v>K5-08</v>
      </c>
      <c r="CM6" t="str">
        <f t="shared" si="25"/>
        <v>K5-02</v>
      </c>
      <c r="CN6" t="str">
        <f t="shared" si="26"/>
        <v>K5-09</v>
      </c>
      <c r="CO6" t="str">
        <f t="shared" si="27"/>
        <v>K5-05</v>
      </c>
      <c r="CP6" t="str">
        <f t="shared" si="28"/>
        <v>K5-11</v>
      </c>
      <c r="CQ6" t="str">
        <f t="shared" si="29"/>
        <v>F0-M5-A9</v>
      </c>
      <c r="CR6" t="str">
        <f t="shared" si="30"/>
        <v>F0-M5-A7</v>
      </c>
      <c r="CS6" t="str">
        <f t="shared" si="31"/>
        <v>F0-M5-A8</v>
      </c>
      <c r="CT6" t="str">
        <f t="shared" si="32"/>
        <v>F0-M5-A6</v>
      </c>
      <c r="CU6" t="str">
        <f t="shared" si="33"/>
        <v>F0-M5-A30</v>
      </c>
      <c r="CV6" t="str">
        <f t="shared" si="34"/>
        <v>F0-M5-N</v>
      </c>
      <c r="CW6" t="str">
        <f t="shared" si="17"/>
        <v>F0-A220-M5</v>
      </c>
      <c r="CX6" t="str">
        <f t="shared" si="35"/>
        <v>F0-M5-XM01</v>
      </c>
      <c r="CY6" t="str">
        <f t="shared" si="36"/>
        <v>F0-M5-A1</v>
      </c>
      <c r="CZ6" t="str">
        <f t="shared" si="37"/>
        <v>F0-M5-A5</v>
      </c>
      <c r="DA6" t="str">
        <f t="shared" si="38"/>
        <v>F0-M5-A11</v>
      </c>
      <c r="DB6" t="str">
        <f t="shared" si="39"/>
        <v>F0-M5-A12</v>
      </c>
      <c r="DC6" t="str">
        <f t="shared" si="40"/>
        <v>F0-M5-A19</v>
      </c>
      <c r="DD6" t="str">
        <f t="shared" si="41"/>
        <v>F0-M5-A20</v>
      </c>
      <c r="DE6" t="s">
        <v>142</v>
      </c>
      <c r="DF6" t="s">
        <v>143</v>
      </c>
      <c r="DG6">
        <v>11</v>
      </c>
      <c r="DH6">
        <v>14</v>
      </c>
      <c r="DI6">
        <v>12</v>
      </c>
      <c r="DJ6" t="s">
        <v>144</v>
      </c>
      <c r="DK6" t="s">
        <v>145</v>
      </c>
      <c r="DL6">
        <v>1</v>
      </c>
      <c r="DM6">
        <v>2</v>
      </c>
      <c r="DN6">
        <v>3</v>
      </c>
      <c r="DO6">
        <v>4</v>
      </c>
      <c r="DP6">
        <v>5</v>
      </c>
      <c r="DQ6">
        <v>6</v>
      </c>
      <c r="DR6">
        <v>7</v>
      </c>
      <c r="DS6">
        <v>8</v>
      </c>
      <c r="DT6">
        <v>9</v>
      </c>
      <c r="DU6">
        <v>10</v>
      </c>
      <c r="DV6">
        <v>11</v>
      </c>
      <c r="DW6">
        <v>12</v>
      </c>
      <c r="DX6">
        <v>13</v>
      </c>
      <c r="DY6">
        <v>14</v>
      </c>
      <c r="DZ6">
        <v>1</v>
      </c>
      <c r="EA6">
        <v>3</v>
      </c>
      <c r="EB6">
        <v>4</v>
      </c>
      <c r="EC6">
        <v>7</v>
      </c>
      <c r="ED6">
        <v>8</v>
      </c>
      <c r="EE6">
        <v>9</v>
      </c>
      <c r="EF6">
        <v>10</v>
      </c>
      <c r="EG6">
        <v>13</v>
      </c>
      <c r="EH6">
        <v>14</v>
      </c>
      <c r="EI6">
        <v>15</v>
      </c>
      <c r="EJ6">
        <v>16</v>
      </c>
      <c r="EK6">
        <v>22</v>
      </c>
      <c r="EL6">
        <v>23</v>
      </c>
      <c r="EM6" s="16">
        <v>24</v>
      </c>
    </row>
    <row r="7" spans="1:532" x14ac:dyDescent="0.25">
      <c r="A7" t="s">
        <v>162</v>
      </c>
      <c r="B7" t="s">
        <v>126</v>
      </c>
      <c r="C7" s="3" t="s">
        <v>127</v>
      </c>
      <c r="O7" s="2"/>
      <c r="P7" t="s">
        <v>129</v>
      </c>
      <c r="Q7" s="1"/>
      <c r="S7" s="1" t="s">
        <v>130</v>
      </c>
      <c r="T7" s="14" t="s">
        <v>554</v>
      </c>
      <c r="U7" s="15">
        <v>6</v>
      </c>
      <c r="V7" s="15" t="s">
        <v>314</v>
      </c>
      <c r="W7" s="15"/>
      <c r="AC7" t="s">
        <v>261</v>
      </c>
      <c r="AD7" t="s">
        <v>133</v>
      </c>
      <c r="AE7" t="s">
        <v>134</v>
      </c>
      <c r="AF7" t="s">
        <v>132</v>
      </c>
      <c r="AG7" t="s">
        <v>249</v>
      </c>
      <c r="AH7" t="s">
        <v>256</v>
      </c>
      <c r="AI7" t="s">
        <v>163</v>
      </c>
      <c r="AL7" t="s">
        <v>137</v>
      </c>
      <c r="AM7" t="s">
        <v>138</v>
      </c>
      <c r="AP7" t="s">
        <v>139</v>
      </c>
      <c r="AQ7" t="s">
        <v>140</v>
      </c>
      <c r="AZ7" s="16"/>
      <c r="BA7" t="str">
        <f t="shared" si="0"/>
        <v>XT6</v>
      </c>
      <c r="BB7" t="str">
        <f t="shared" si="1"/>
        <v>C2</v>
      </c>
      <c r="BC7" t="str">
        <f t="shared" si="2"/>
        <v>B2</v>
      </c>
      <c r="BD7" t="str">
        <f t="shared" si="3"/>
        <v>C3</v>
      </c>
      <c r="BE7" t="str">
        <f t="shared" si="4"/>
        <v>B3</v>
      </c>
      <c r="BF7" t="str">
        <f t="shared" si="5"/>
        <v>C4</v>
      </c>
      <c r="BG7" t="str">
        <f t="shared" si="6"/>
        <v>B4</v>
      </c>
      <c r="BH7" t="str">
        <f t="shared" si="7"/>
        <v>C5</v>
      </c>
      <c r="BI7" t="str">
        <f t="shared" si="8"/>
        <v>B5</v>
      </c>
      <c r="BJ7" t="str">
        <f t="shared" si="9"/>
        <v>C6</v>
      </c>
      <c r="BK7" t="str">
        <f t="shared" si="10"/>
        <v>B6</v>
      </c>
      <c r="BL7" t="str">
        <f t="shared" si="11"/>
        <v>17B</v>
      </c>
      <c r="BM7" t="str">
        <f t="shared" si="12"/>
        <v>17A</v>
      </c>
      <c r="BN7" t="str">
        <f t="shared" si="18"/>
        <v>18B</v>
      </c>
      <c r="BO7" t="str">
        <f t="shared" si="19"/>
        <v>18A</v>
      </c>
      <c r="BP7" t="str">
        <f t="shared" si="13"/>
        <v>DI2-C1</v>
      </c>
      <c r="BQ7" t="str">
        <f t="shared" si="13"/>
        <v>DI2-B1</v>
      </c>
      <c r="BR7" t="str">
        <f t="shared" si="14"/>
        <v>DI2-C2</v>
      </c>
      <c r="BS7" t="str">
        <f t="shared" si="14"/>
        <v>DI2-B2</v>
      </c>
      <c r="BT7" t="str">
        <f t="shared" si="14"/>
        <v>DI2-C3</v>
      </c>
      <c r="BU7" t="str">
        <f t="shared" si="14"/>
        <v>DI2-B3</v>
      </c>
      <c r="BV7" t="str">
        <f t="shared" si="14"/>
        <v>DI2-C4</v>
      </c>
      <c r="BW7" t="str">
        <f t="shared" si="14"/>
        <v>DI2-B4</v>
      </c>
      <c r="BX7" t="str">
        <f t="shared" si="14"/>
        <v>DI2-C5</v>
      </c>
      <c r="BY7" t="str">
        <f t="shared" si="14"/>
        <v>DI2-B5</v>
      </c>
      <c r="BZ7" t="str">
        <f t="shared" si="14"/>
        <v>DI2-C6</v>
      </c>
      <c r="CA7" t="str">
        <f t="shared" si="14"/>
        <v>DI2-B6</v>
      </c>
      <c r="CB7" t="str">
        <f t="shared" si="15"/>
        <v>DO1-16B</v>
      </c>
      <c r="CC7" t="str">
        <f t="shared" si="15"/>
        <v>DO1-16A</v>
      </c>
      <c r="CD7" t="str">
        <f t="shared" si="16"/>
        <v>DO1-17B</v>
      </c>
      <c r="CE7" t="str">
        <f t="shared" si="16"/>
        <v>DO1-17A</v>
      </c>
      <c r="CF7" t="str">
        <f t="shared" si="16"/>
        <v>DO1-18B</v>
      </c>
      <c r="CG7" t="str">
        <f t="shared" si="16"/>
        <v>DO1-18A</v>
      </c>
      <c r="CH7" t="str">
        <f t="shared" si="20"/>
        <v>K6-10</v>
      </c>
      <c r="CI7" t="str">
        <f t="shared" si="21"/>
        <v>K6-03</v>
      </c>
      <c r="CJ7" t="str">
        <f t="shared" si="22"/>
        <v>K6-04</v>
      </c>
      <c r="CK7" t="str">
        <f t="shared" si="23"/>
        <v>K6-01</v>
      </c>
      <c r="CL7" t="str">
        <f t="shared" si="24"/>
        <v>K6-08</v>
      </c>
      <c r="CM7" t="str">
        <f t="shared" si="25"/>
        <v>K6-02</v>
      </c>
      <c r="CN7" t="str">
        <f t="shared" si="26"/>
        <v>K6-09</v>
      </c>
      <c r="CO7" t="str">
        <f t="shared" si="27"/>
        <v>K6-05</v>
      </c>
      <c r="CP7" t="str">
        <f t="shared" si="28"/>
        <v>K6-11</v>
      </c>
      <c r="CQ7" t="str">
        <f t="shared" si="29"/>
        <v>F0-M6-A9</v>
      </c>
      <c r="CR7" t="str">
        <f t="shared" si="30"/>
        <v>F0-M6-A7</v>
      </c>
      <c r="CS7" t="str">
        <f t="shared" si="31"/>
        <v>F0-M6-A8</v>
      </c>
      <c r="CT7" t="str">
        <f t="shared" si="32"/>
        <v>F0-M6-A6</v>
      </c>
      <c r="CU7" t="str">
        <f t="shared" si="33"/>
        <v>F0-M6-A30</v>
      </c>
      <c r="CV7" t="str">
        <f t="shared" si="34"/>
        <v>F0-M6-N</v>
      </c>
      <c r="CW7" t="str">
        <f t="shared" si="17"/>
        <v>F0-A220-M6</v>
      </c>
      <c r="CX7" t="str">
        <f t="shared" si="35"/>
        <v>F0-M6-XM01</v>
      </c>
      <c r="CY7" t="str">
        <f t="shared" si="36"/>
        <v>F0-M6-A1</v>
      </c>
      <c r="CZ7" t="str">
        <f t="shared" si="37"/>
        <v>F0-M6-A5</v>
      </c>
      <c r="DA7" t="str">
        <f t="shared" si="38"/>
        <v>F0-M6-A11</v>
      </c>
      <c r="DB7" t="str">
        <f t="shared" si="39"/>
        <v>F0-M6-A12</v>
      </c>
      <c r="DC7" t="str">
        <f t="shared" si="40"/>
        <v>F0-M6-A19</v>
      </c>
      <c r="DD7" t="str">
        <f t="shared" si="41"/>
        <v>F0-M6-A20</v>
      </c>
      <c r="DE7" t="s">
        <v>142</v>
      </c>
      <c r="DF7" t="s">
        <v>143</v>
      </c>
      <c r="DG7">
        <v>11</v>
      </c>
      <c r="DH7">
        <v>14</v>
      </c>
      <c r="DI7">
        <v>12</v>
      </c>
      <c r="DJ7" t="s">
        <v>144</v>
      </c>
      <c r="DK7" t="s">
        <v>145</v>
      </c>
      <c r="DL7">
        <v>1</v>
      </c>
      <c r="DM7">
        <v>2</v>
      </c>
      <c r="DN7">
        <v>3</v>
      </c>
      <c r="DO7">
        <v>4</v>
      </c>
      <c r="DP7">
        <v>5</v>
      </c>
      <c r="DQ7">
        <v>6</v>
      </c>
      <c r="DR7">
        <v>7</v>
      </c>
      <c r="DS7">
        <v>8</v>
      </c>
      <c r="DT7">
        <v>9</v>
      </c>
      <c r="DU7">
        <v>10</v>
      </c>
      <c r="DV7">
        <v>11</v>
      </c>
      <c r="DW7">
        <v>12</v>
      </c>
      <c r="DX7">
        <v>13</v>
      </c>
      <c r="DY7">
        <v>14</v>
      </c>
      <c r="DZ7">
        <v>1</v>
      </c>
      <c r="EA7">
        <v>3</v>
      </c>
      <c r="EB7">
        <v>4</v>
      </c>
      <c r="EC7">
        <v>7</v>
      </c>
      <c r="ED7">
        <v>8</v>
      </c>
      <c r="EE7">
        <v>9</v>
      </c>
      <c r="EF7">
        <v>10</v>
      </c>
      <c r="EG7">
        <v>13</v>
      </c>
      <c r="EH7">
        <v>14</v>
      </c>
      <c r="EI7">
        <v>15</v>
      </c>
      <c r="EJ7">
        <v>16</v>
      </c>
      <c r="EK7">
        <v>22</v>
      </c>
      <c r="EL7">
        <v>23</v>
      </c>
      <c r="EM7" s="16">
        <v>24</v>
      </c>
    </row>
    <row r="8" spans="1:532" x14ac:dyDescent="0.25">
      <c r="A8" t="s">
        <v>164</v>
      </c>
      <c r="B8" t="s">
        <v>165</v>
      </c>
      <c r="C8" s="3" t="s">
        <v>127</v>
      </c>
      <c r="O8" s="2"/>
      <c r="P8" t="s">
        <v>129</v>
      </c>
      <c r="Q8" s="1"/>
      <c r="S8" s="1" t="s">
        <v>130</v>
      </c>
      <c r="T8" s="14" t="s">
        <v>554</v>
      </c>
      <c r="U8" s="15">
        <v>7</v>
      </c>
      <c r="V8" s="15" t="s">
        <v>315</v>
      </c>
      <c r="W8" s="15"/>
      <c r="AC8" t="s">
        <v>261</v>
      </c>
      <c r="AD8" t="s">
        <v>148</v>
      </c>
      <c r="AE8" t="s">
        <v>149</v>
      </c>
      <c r="AF8" t="s">
        <v>132</v>
      </c>
      <c r="AG8" t="s">
        <v>250</v>
      </c>
      <c r="AH8" t="s">
        <v>257</v>
      </c>
      <c r="AI8" t="s">
        <v>166</v>
      </c>
      <c r="AL8" t="s">
        <v>137</v>
      </c>
      <c r="AM8" t="s">
        <v>138</v>
      </c>
      <c r="AP8" t="s">
        <v>139</v>
      </c>
      <c r="AQ8" t="s">
        <v>140</v>
      </c>
      <c r="AZ8" s="16"/>
      <c r="BA8" t="str">
        <f t="shared" si="0"/>
        <v>XT7</v>
      </c>
      <c r="BB8" t="str">
        <f t="shared" si="1"/>
        <v>C8</v>
      </c>
      <c r="BC8" t="str">
        <f t="shared" si="2"/>
        <v>B8</v>
      </c>
      <c r="BD8" t="str">
        <f t="shared" si="3"/>
        <v>C9</v>
      </c>
      <c r="BE8" t="str">
        <f t="shared" si="4"/>
        <v>B9</v>
      </c>
      <c r="BF8" t="str">
        <f t="shared" si="5"/>
        <v>C10</v>
      </c>
      <c r="BG8" t="str">
        <f t="shared" si="6"/>
        <v>B10</v>
      </c>
      <c r="BH8" t="str">
        <f t="shared" si="7"/>
        <v>C11</v>
      </c>
      <c r="BI8" t="str">
        <f t="shared" si="8"/>
        <v>B11</v>
      </c>
      <c r="BJ8" t="str">
        <f t="shared" si="9"/>
        <v>C12</v>
      </c>
      <c r="BK8" t="str">
        <f t="shared" si="10"/>
        <v>B12</v>
      </c>
      <c r="BL8" t="str">
        <f t="shared" si="11"/>
        <v>20B</v>
      </c>
      <c r="BM8" t="str">
        <f t="shared" si="12"/>
        <v>20A</v>
      </c>
      <c r="BN8" t="str">
        <f t="shared" si="18"/>
        <v>21B</v>
      </c>
      <c r="BO8" t="str">
        <f t="shared" si="19"/>
        <v>21A</v>
      </c>
      <c r="BP8" t="str">
        <f t="shared" si="13"/>
        <v>DI2-C7</v>
      </c>
      <c r="BQ8" t="str">
        <f t="shared" si="13"/>
        <v>DI2-B7</v>
      </c>
      <c r="BR8" t="str">
        <f t="shared" si="14"/>
        <v>DI2-C8</v>
      </c>
      <c r="BS8" t="str">
        <f t="shared" si="14"/>
        <v>DI2-B8</v>
      </c>
      <c r="BT8" t="str">
        <f t="shared" si="14"/>
        <v>DI2-C9</v>
      </c>
      <c r="BU8" t="str">
        <f t="shared" si="14"/>
        <v>DI2-B9</v>
      </c>
      <c r="BV8" t="str">
        <f t="shared" si="14"/>
        <v>DI2-C10</v>
      </c>
      <c r="BW8" t="str">
        <f t="shared" si="14"/>
        <v>DI2-B10</v>
      </c>
      <c r="BX8" t="str">
        <f t="shared" si="14"/>
        <v>DI2-C11</v>
      </c>
      <c r="BY8" t="str">
        <f t="shared" si="14"/>
        <v>DI2-B11</v>
      </c>
      <c r="BZ8" t="str">
        <f t="shared" si="14"/>
        <v>DI2-C12</v>
      </c>
      <c r="CA8" t="str">
        <f t="shared" si="14"/>
        <v>DI2-B12</v>
      </c>
      <c r="CB8" t="str">
        <f t="shared" si="15"/>
        <v>DO1-19B</v>
      </c>
      <c r="CC8" t="str">
        <f t="shared" si="15"/>
        <v>DO1-19A</v>
      </c>
      <c r="CD8" t="str">
        <f t="shared" si="16"/>
        <v>DO1-20B</v>
      </c>
      <c r="CE8" t="str">
        <f t="shared" si="16"/>
        <v>DO1-20A</v>
      </c>
      <c r="CF8" t="str">
        <f t="shared" si="16"/>
        <v>DO1-21B</v>
      </c>
      <c r="CG8" t="str">
        <f t="shared" si="16"/>
        <v>DO1-21A</v>
      </c>
      <c r="CH8" t="str">
        <f t="shared" si="20"/>
        <v>K7-10</v>
      </c>
      <c r="CI8" t="str">
        <f t="shared" si="21"/>
        <v>K7-03</v>
      </c>
      <c r="CJ8" t="str">
        <f t="shared" si="22"/>
        <v>K7-04</v>
      </c>
      <c r="CK8" t="str">
        <f t="shared" si="23"/>
        <v>K7-01</v>
      </c>
      <c r="CL8" t="str">
        <f t="shared" si="24"/>
        <v>K7-08</v>
      </c>
      <c r="CM8" t="str">
        <f t="shared" si="25"/>
        <v>K7-02</v>
      </c>
      <c r="CN8" t="str">
        <f t="shared" si="26"/>
        <v>K7-09</v>
      </c>
      <c r="CO8" t="str">
        <f t="shared" si="27"/>
        <v>K7-05</v>
      </c>
      <c r="CP8" t="str">
        <f t="shared" si="28"/>
        <v>K7-11</v>
      </c>
      <c r="CQ8" t="str">
        <f t="shared" si="29"/>
        <v>F0-M7-A9</v>
      </c>
      <c r="CR8" t="str">
        <f t="shared" si="30"/>
        <v>F0-M7-A7</v>
      </c>
      <c r="CS8" t="str">
        <f t="shared" si="31"/>
        <v>F0-M7-A8</v>
      </c>
      <c r="CT8" t="str">
        <f t="shared" si="32"/>
        <v>F0-M7-A6</v>
      </c>
      <c r="CU8" t="str">
        <f t="shared" si="33"/>
        <v>F0-M7-A30</v>
      </c>
      <c r="CV8" t="str">
        <f t="shared" si="34"/>
        <v>F0-M7-N</v>
      </c>
      <c r="CW8" t="str">
        <f t="shared" si="17"/>
        <v>F0-A220-M7</v>
      </c>
      <c r="CX8" t="str">
        <f t="shared" si="35"/>
        <v>F0-M7-XM01</v>
      </c>
      <c r="CY8" t="str">
        <f t="shared" si="36"/>
        <v>F0-M7-A1</v>
      </c>
      <c r="CZ8" t="str">
        <f t="shared" si="37"/>
        <v>F0-M7-A5</v>
      </c>
      <c r="DA8" t="str">
        <f t="shared" si="38"/>
        <v>F0-M7-A11</v>
      </c>
      <c r="DB8" t="str">
        <f t="shared" si="39"/>
        <v>F0-M7-A12</v>
      </c>
      <c r="DC8" t="str">
        <f t="shared" si="40"/>
        <v>F0-M7-A19</v>
      </c>
      <c r="DD8" t="str">
        <f t="shared" si="41"/>
        <v>F0-M7-A20</v>
      </c>
      <c r="DE8" t="s">
        <v>142</v>
      </c>
      <c r="DF8" t="s">
        <v>143</v>
      </c>
      <c r="DG8">
        <v>11</v>
      </c>
      <c r="DH8">
        <v>14</v>
      </c>
      <c r="DI8">
        <v>12</v>
      </c>
      <c r="DJ8" t="s">
        <v>144</v>
      </c>
      <c r="DK8" t="s">
        <v>145</v>
      </c>
      <c r="DL8">
        <v>1</v>
      </c>
      <c r="DM8">
        <v>2</v>
      </c>
      <c r="DN8">
        <v>3</v>
      </c>
      <c r="DO8">
        <v>4</v>
      </c>
      <c r="DP8">
        <v>5</v>
      </c>
      <c r="DQ8">
        <v>6</v>
      </c>
      <c r="DR8">
        <v>7</v>
      </c>
      <c r="DS8">
        <v>8</v>
      </c>
      <c r="DT8">
        <v>9</v>
      </c>
      <c r="DU8">
        <v>10</v>
      </c>
      <c r="DV8">
        <v>11</v>
      </c>
      <c r="DW8">
        <v>12</v>
      </c>
      <c r="DX8">
        <v>13</v>
      </c>
      <c r="DY8">
        <v>14</v>
      </c>
      <c r="DZ8">
        <v>1</v>
      </c>
      <c r="EA8">
        <v>3</v>
      </c>
      <c r="EB8">
        <v>4</v>
      </c>
      <c r="EC8">
        <v>7</v>
      </c>
      <c r="ED8">
        <v>8</v>
      </c>
      <c r="EE8">
        <v>9</v>
      </c>
      <c r="EF8">
        <v>10</v>
      </c>
      <c r="EG8">
        <v>13</v>
      </c>
      <c r="EH8">
        <v>14</v>
      </c>
      <c r="EI8">
        <v>15</v>
      </c>
      <c r="EJ8">
        <v>16</v>
      </c>
      <c r="EK8">
        <v>22</v>
      </c>
      <c r="EL8">
        <v>23</v>
      </c>
      <c r="EM8" s="16">
        <v>24</v>
      </c>
    </row>
    <row r="9" spans="1:532" x14ac:dyDescent="0.25">
      <c r="A9" t="s">
        <v>167</v>
      </c>
      <c r="B9" t="s">
        <v>168</v>
      </c>
      <c r="C9" s="3" t="s">
        <v>127</v>
      </c>
      <c r="O9" s="2"/>
      <c r="P9" t="s">
        <v>129</v>
      </c>
      <c r="Q9" s="1"/>
      <c r="S9" s="1" t="s">
        <v>130</v>
      </c>
      <c r="T9" s="14" t="s">
        <v>554</v>
      </c>
      <c r="U9" s="15">
        <v>8</v>
      </c>
      <c r="V9" s="15" t="s">
        <v>316</v>
      </c>
      <c r="W9" s="15"/>
      <c r="AC9" t="s">
        <v>261</v>
      </c>
      <c r="AD9" t="s">
        <v>153</v>
      </c>
      <c r="AE9" t="s">
        <v>154</v>
      </c>
      <c r="AF9" t="s">
        <v>132</v>
      </c>
      <c r="AG9" t="s">
        <v>251</v>
      </c>
      <c r="AH9" t="s">
        <v>258</v>
      </c>
      <c r="AI9" t="s">
        <v>169</v>
      </c>
      <c r="AL9" t="s">
        <v>137</v>
      </c>
      <c r="AM9" t="s">
        <v>138</v>
      </c>
      <c r="AP9" t="s">
        <v>139</v>
      </c>
      <c r="AQ9" t="s">
        <v>140</v>
      </c>
      <c r="AZ9" s="16"/>
      <c r="BA9" t="str">
        <f t="shared" si="0"/>
        <v>XT8</v>
      </c>
      <c r="BB9" t="str">
        <f t="shared" si="1"/>
        <v>C14</v>
      </c>
      <c r="BC9" t="str">
        <f t="shared" si="2"/>
        <v>B14</v>
      </c>
      <c r="BD9" t="str">
        <f t="shared" si="3"/>
        <v>C15</v>
      </c>
      <c r="BE9" t="str">
        <f t="shared" si="4"/>
        <v>B15</v>
      </c>
      <c r="BF9" t="str">
        <f t="shared" si="5"/>
        <v>C16</v>
      </c>
      <c r="BG9" t="str">
        <f t="shared" si="6"/>
        <v>B16</v>
      </c>
      <c r="BH9" t="str">
        <f t="shared" si="7"/>
        <v>C17</v>
      </c>
      <c r="BI9" t="str">
        <f t="shared" si="8"/>
        <v>B17</v>
      </c>
      <c r="BJ9" t="str">
        <f t="shared" si="9"/>
        <v>C18</v>
      </c>
      <c r="BK9" t="str">
        <f t="shared" si="10"/>
        <v>B18</v>
      </c>
      <c r="BL9" t="str">
        <f t="shared" si="11"/>
        <v>23B</v>
      </c>
      <c r="BM9" t="str">
        <f t="shared" si="12"/>
        <v>23A</v>
      </c>
      <c r="BN9" t="str">
        <f t="shared" si="18"/>
        <v>24B</v>
      </c>
      <c r="BO9" t="str">
        <f t="shared" si="19"/>
        <v>24A</v>
      </c>
      <c r="BP9" t="str">
        <f t="shared" si="13"/>
        <v>DI2-C13</v>
      </c>
      <c r="BQ9" t="str">
        <f t="shared" si="13"/>
        <v>DI2-B13</v>
      </c>
      <c r="BR9" t="str">
        <f t="shared" si="14"/>
        <v>DI2-C14</v>
      </c>
      <c r="BS9" t="str">
        <f t="shared" si="14"/>
        <v>DI2-B14</v>
      </c>
      <c r="BT9" t="str">
        <f t="shared" si="14"/>
        <v>DI2-C15</v>
      </c>
      <c r="BU9" t="str">
        <f t="shared" si="14"/>
        <v>DI2-B15</v>
      </c>
      <c r="BV9" t="str">
        <f t="shared" si="14"/>
        <v>DI2-C16</v>
      </c>
      <c r="BW9" t="str">
        <f t="shared" si="14"/>
        <v>DI2-B16</v>
      </c>
      <c r="BX9" t="str">
        <f t="shared" si="14"/>
        <v>DI2-C17</v>
      </c>
      <c r="BY9" t="str">
        <f t="shared" si="14"/>
        <v>DI2-B17</v>
      </c>
      <c r="BZ9" t="str">
        <f t="shared" si="14"/>
        <v>DI2-C18</v>
      </c>
      <c r="CA9" t="str">
        <f t="shared" si="14"/>
        <v>DI2-B18</v>
      </c>
      <c r="CB9" t="str">
        <f t="shared" si="15"/>
        <v>DO1-22B</v>
      </c>
      <c r="CC9" t="str">
        <f t="shared" si="15"/>
        <v>DO1-22A</v>
      </c>
      <c r="CD9" t="str">
        <f t="shared" si="16"/>
        <v>DO1-23B</v>
      </c>
      <c r="CE9" t="str">
        <f t="shared" si="16"/>
        <v>DO1-23A</v>
      </c>
      <c r="CF9" t="str">
        <f t="shared" si="16"/>
        <v>DO1-24B</v>
      </c>
      <c r="CG9" t="str">
        <f t="shared" si="16"/>
        <v>DO1-24A</v>
      </c>
      <c r="CH9" t="str">
        <f t="shared" si="20"/>
        <v>K8-10</v>
      </c>
      <c r="CI9" t="str">
        <f t="shared" si="21"/>
        <v>K8-03</v>
      </c>
      <c r="CJ9" t="str">
        <f t="shared" si="22"/>
        <v>K8-04</v>
      </c>
      <c r="CK9" t="str">
        <f t="shared" si="23"/>
        <v>K8-01</v>
      </c>
      <c r="CL9" t="str">
        <f t="shared" si="24"/>
        <v>K8-08</v>
      </c>
      <c r="CM9" t="str">
        <f t="shared" si="25"/>
        <v>K8-02</v>
      </c>
      <c r="CN9" t="str">
        <f t="shared" si="26"/>
        <v>K8-09</v>
      </c>
      <c r="CO9" t="str">
        <f t="shared" si="27"/>
        <v>K8-05</v>
      </c>
      <c r="CP9" t="str">
        <f t="shared" si="28"/>
        <v>K8-11</v>
      </c>
      <c r="CQ9" t="str">
        <f t="shared" si="29"/>
        <v>F0-M8-A9</v>
      </c>
      <c r="CR9" t="str">
        <f t="shared" si="30"/>
        <v>F0-M8-A7</v>
      </c>
      <c r="CS9" t="str">
        <f t="shared" si="31"/>
        <v>F0-M8-A8</v>
      </c>
      <c r="CT9" t="str">
        <f t="shared" si="32"/>
        <v>F0-M8-A6</v>
      </c>
      <c r="CU9" t="str">
        <f t="shared" si="33"/>
        <v>F0-M8-A30</v>
      </c>
      <c r="CV9" t="str">
        <f t="shared" si="34"/>
        <v>F0-M8-N</v>
      </c>
      <c r="CW9" t="str">
        <f t="shared" si="17"/>
        <v>F0-A220-M8</v>
      </c>
      <c r="CX9" t="str">
        <f t="shared" si="35"/>
        <v>F0-M8-XM01</v>
      </c>
      <c r="CY9" t="str">
        <f t="shared" si="36"/>
        <v>F0-M8-A1</v>
      </c>
      <c r="CZ9" t="str">
        <f t="shared" si="37"/>
        <v>F0-M8-A5</v>
      </c>
      <c r="DA9" t="str">
        <f t="shared" si="38"/>
        <v>F0-M8-A11</v>
      </c>
      <c r="DB9" t="str">
        <f t="shared" si="39"/>
        <v>F0-M8-A12</v>
      </c>
      <c r="DC9" t="str">
        <f t="shared" si="40"/>
        <v>F0-M8-A19</v>
      </c>
      <c r="DD9" t="str">
        <f t="shared" si="41"/>
        <v>F0-M8-A20</v>
      </c>
      <c r="DE9" t="s">
        <v>142</v>
      </c>
      <c r="DF9" t="s">
        <v>143</v>
      </c>
      <c r="DG9">
        <v>11</v>
      </c>
      <c r="DH9">
        <v>14</v>
      </c>
      <c r="DI9">
        <v>12</v>
      </c>
      <c r="DJ9" t="s">
        <v>144</v>
      </c>
      <c r="DK9" t="s">
        <v>145</v>
      </c>
      <c r="DL9">
        <v>1</v>
      </c>
      <c r="DM9">
        <v>2</v>
      </c>
      <c r="DN9">
        <v>3</v>
      </c>
      <c r="DO9">
        <v>4</v>
      </c>
      <c r="DP9">
        <v>5</v>
      </c>
      <c r="DQ9">
        <v>6</v>
      </c>
      <c r="DR9">
        <v>7</v>
      </c>
      <c r="DS9">
        <v>8</v>
      </c>
      <c r="DT9">
        <v>9</v>
      </c>
      <c r="DU9">
        <v>10</v>
      </c>
      <c r="DV9">
        <v>11</v>
      </c>
      <c r="DW9">
        <v>12</v>
      </c>
      <c r="DX9">
        <v>13</v>
      </c>
      <c r="DY9">
        <v>14</v>
      </c>
      <c r="DZ9">
        <v>1</v>
      </c>
      <c r="EA9">
        <v>3</v>
      </c>
      <c r="EB9">
        <v>4</v>
      </c>
      <c r="EC9">
        <v>7</v>
      </c>
      <c r="ED9">
        <v>8</v>
      </c>
      <c r="EE9">
        <v>9</v>
      </c>
      <c r="EF9">
        <v>10</v>
      </c>
      <c r="EG9">
        <v>13</v>
      </c>
      <c r="EH9">
        <v>14</v>
      </c>
      <c r="EI9">
        <v>15</v>
      </c>
      <c r="EJ9">
        <v>16</v>
      </c>
      <c r="EK9">
        <v>22</v>
      </c>
      <c r="EL9">
        <v>23</v>
      </c>
      <c r="EM9" s="16">
        <v>24</v>
      </c>
    </row>
    <row r="10" spans="1:532" x14ac:dyDescent="0.25">
      <c r="A10" t="s">
        <v>170</v>
      </c>
      <c r="B10" t="s">
        <v>171</v>
      </c>
      <c r="C10" s="3" t="s">
        <v>127</v>
      </c>
      <c r="O10" s="2"/>
      <c r="P10" t="s">
        <v>129</v>
      </c>
      <c r="Q10" s="1"/>
      <c r="S10" s="1" t="s">
        <v>130</v>
      </c>
      <c r="T10" s="14" t="s">
        <v>554</v>
      </c>
      <c r="U10" s="15">
        <v>9</v>
      </c>
      <c r="V10" s="15" t="s">
        <v>317</v>
      </c>
      <c r="W10" s="15"/>
      <c r="AC10" t="s">
        <v>261</v>
      </c>
      <c r="AD10" t="s">
        <v>239</v>
      </c>
      <c r="AE10" t="s">
        <v>241</v>
      </c>
      <c r="AF10" t="s">
        <v>132</v>
      </c>
      <c r="AG10" t="s">
        <v>252</v>
      </c>
      <c r="AH10" t="s">
        <v>259</v>
      </c>
      <c r="AI10" t="s">
        <v>172</v>
      </c>
      <c r="AL10" t="s">
        <v>137</v>
      </c>
      <c r="AM10" t="s">
        <v>138</v>
      </c>
      <c r="AP10" t="s">
        <v>139</v>
      </c>
      <c r="AQ10" t="s">
        <v>140</v>
      </c>
      <c r="AZ10" s="16"/>
      <c r="BA10" t="str">
        <f t="shared" si="0"/>
        <v>XT9</v>
      </c>
      <c r="BB10" t="str">
        <f t="shared" si="1"/>
        <v>C20</v>
      </c>
      <c r="BC10" t="str">
        <f t="shared" si="2"/>
        <v>B20</v>
      </c>
      <c r="BD10" t="str">
        <f t="shared" si="3"/>
        <v>C21</v>
      </c>
      <c r="BE10" t="str">
        <f t="shared" si="4"/>
        <v>B21</v>
      </c>
      <c r="BF10" t="str">
        <f t="shared" si="5"/>
        <v>C22</v>
      </c>
      <c r="BG10" t="str">
        <f t="shared" si="6"/>
        <v>B22</v>
      </c>
      <c r="BH10" t="str">
        <f t="shared" si="7"/>
        <v>C23</v>
      </c>
      <c r="BI10" t="str">
        <f t="shared" si="8"/>
        <v>B23</v>
      </c>
      <c r="BJ10" t="str">
        <f t="shared" si="9"/>
        <v>C24</v>
      </c>
      <c r="BK10" t="str">
        <f t="shared" si="10"/>
        <v>B24</v>
      </c>
      <c r="BL10" t="str">
        <f t="shared" si="11"/>
        <v>26B</v>
      </c>
      <c r="BM10" t="str">
        <f t="shared" si="12"/>
        <v>26A</v>
      </c>
      <c r="BN10" t="str">
        <f t="shared" si="18"/>
        <v>27B</v>
      </c>
      <c r="BO10" t="str">
        <f t="shared" si="19"/>
        <v>27A</v>
      </c>
      <c r="BP10" t="str">
        <f t="shared" si="13"/>
        <v>DI2-C19</v>
      </c>
      <c r="BQ10" t="str">
        <f t="shared" si="13"/>
        <v>DI2-B19</v>
      </c>
      <c r="BR10" t="str">
        <f t="shared" si="14"/>
        <v>DI2-C20</v>
      </c>
      <c r="BS10" t="str">
        <f t="shared" si="14"/>
        <v>DI2-B20</v>
      </c>
      <c r="BT10" t="str">
        <f t="shared" si="14"/>
        <v>DI2-C21</v>
      </c>
      <c r="BU10" t="str">
        <f t="shared" si="14"/>
        <v>DI2-B21</v>
      </c>
      <c r="BV10" t="str">
        <f t="shared" si="14"/>
        <v>DI2-C22</v>
      </c>
      <c r="BW10" t="str">
        <f t="shared" si="14"/>
        <v>DI2-B22</v>
      </c>
      <c r="BX10" t="str">
        <f t="shared" si="14"/>
        <v>DI2-C23</v>
      </c>
      <c r="BY10" t="str">
        <f t="shared" si="14"/>
        <v>DI2-B23</v>
      </c>
      <c r="BZ10" t="str">
        <f t="shared" si="14"/>
        <v>DI2-C24</v>
      </c>
      <c r="CA10" t="str">
        <f t="shared" si="14"/>
        <v>DI2-B24</v>
      </c>
      <c r="CB10" t="str">
        <f t="shared" si="15"/>
        <v>DO1-25B</v>
      </c>
      <c r="CC10" t="str">
        <f t="shared" si="15"/>
        <v>DO1-25A</v>
      </c>
      <c r="CD10" t="str">
        <f t="shared" si="16"/>
        <v>DO1-26B</v>
      </c>
      <c r="CE10" t="str">
        <f t="shared" si="16"/>
        <v>DO1-26A</v>
      </c>
      <c r="CF10" t="str">
        <f t="shared" si="16"/>
        <v>DO1-27B</v>
      </c>
      <c r="CG10" t="str">
        <f t="shared" si="16"/>
        <v>DO1-27A</v>
      </c>
      <c r="CH10" t="str">
        <f t="shared" si="20"/>
        <v>K9-10</v>
      </c>
      <c r="CI10" t="str">
        <f t="shared" si="21"/>
        <v>K9-03</v>
      </c>
      <c r="CJ10" t="str">
        <f t="shared" si="22"/>
        <v>K9-04</v>
      </c>
      <c r="CK10" t="str">
        <f t="shared" si="23"/>
        <v>K9-01</v>
      </c>
      <c r="CL10" t="str">
        <f t="shared" si="24"/>
        <v>K9-08</v>
      </c>
      <c r="CM10" t="str">
        <f t="shared" si="25"/>
        <v>K9-02</v>
      </c>
      <c r="CN10" t="str">
        <f t="shared" si="26"/>
        <v>K9-09</v>
      </c>
      <c r="CO10" t="str">
        <f t="shared" si="27"/>
        <v>K9-05</v>
      </c>
      <c r="CP10" t="str">
        <f t="shared" si="28"/>
        <v>K9-11</v>
      </c>
      <c r="CQ10" t="str">
        <f t="shared" si="29"/>
        <v>F0-M9-A9</v>
      </c>
      <c r="CR10" t="str">
        <f t="shared" si="30"/>
        <v>F0-M9-A7</v>
      </c>
      <c r="CS10" t="str">
        <f t="shared" si="31"/>
        <v>F0-M9-A8</v>
      </c>
      <c r="CT10" t="str">
        <f t="shared" si="32"/>
        <v>F0-M9-A6</v>
      </c>
      <c r="CU10" t="str">
        <f t="shared" si="33"/>
        <v>F0-M9-A30</v>
      </c>
      <c r="CV10" t="str">
        <f t="shared" si="34"/>
        <v>F0-M9-N</v>
      </c>
      <c r="CW10" t="str">
        <f t="shared" si="17"/>
        <v>F0-A220-M9</v>
      </c>
      <c r="CX10" t="str">
        <f t="shared" si="35"/>
        <v>F0-M9-XM01</v>
      </c>
      <c r="CY10" t="str">
        <f t="shared" si="36"/>
        <v>F0-M9-A1</v>
      </c>
      <c r="CZ10" t="str">
        <f t="shared" si="37"/>
        <v>F0-M9-A5</v>
      </c>
      <c r="DA10" t="str">
        <f t="shared" si="38"/>
        <v>F0-M9-A11</v>
      </c>
      <c r="DB10" t="str">
        <f t="shared" si="39"/>
        <v>F0-M9-A12</v>
      </c>
      <c r="DC10" t="str">
        <f t="shared" si="40"/>
        <v>F0-M9-A19</v>
      </c>
      <c r="DD10" t="str">
        <f t="shared" si="41"/>
        <v>F0-M9-A20</v>
      </c>
      <c r="DE10" t="s">
        <v>142</v>
      </c>
      <c r="DF10" t="s">
        <v>143</v>
      </c>
      <c r="DG10">
        <v>11</v>
      </c>
      <c r="DH10">
        <v>14</v>
      </c>
      <c r="DI10">
        <v>12</v>
      </c>
      <c r="DJ10" t="s">
        <v>144</v>
      </c>
      <c r="DK10" t="s">
        <v>145</v>
      </c>
      <c r="DL10">
        <v>1</v>
      </c>
      <c r="DM10">
        <v>2</v>
      </c>
      <c r="DN10">
        <v>3</v>
      </c>
      <c r="DO10">
        <v>4</v>
      </c>
      <c r="DP10">
        <v>5</v>
      </c>
      <c r="DQ10">
        <v>6</v>
      </c>
      <c r="DR10">
        <v>7</v>
      </c>
      <c r="DS10">
        <v>8</v>
      </c>
      <c r="DT10">
        <v>9</v>
      </c>
      <c r="DU10">
        <v>10</v>
      </c>
      <c r="DV10">
        <v>11</v>
      </c>
      <c r="DW10">
        <v>12</v>
      </c>
      <c r="DX10">
        <v>13</v>
      </c>
      <c r="DY10">
        <v>14</v>
      </c>
      <c r="DZ10">
        <v>1</v>
      </c>
      <c r="EA10">
        <v>3</v>
      </c>
      <c r="EB10">
        <v>4</v>
      </c>
      <c r="EC10">
        <v>7</v>
      </c>
      <c r="ED10">
        <v>8</v>
      </c>
      <c r="EE10">
        <v>9</v>
      </c>
      <c r="EF10">
        <v>10</v>
      </c>
      <c r="EG10">
        <v>13</v>
      </c>
      <c r="EH10">
        <v>14</v>
      </c>
      <c r="EI10">
        <v>15</v>
      </c>
      <c r="EJ10">
        <v>16</v>
      </c>
      <c r="EK10">
        <v>22</v>
      </c>
      <c r="EL10">
        <v>23</v>
      </c>
      <c r="EM10" s="16">
        <v>24</v>
      </c>
    </row>
    <row r="11" spans="1:532" x14ac:dyDescent="0.25">
      <c r="A11" t="s">
        <v>173</v>
      </c>
      <c r="B11" t="s">
        <v>174</v>
      </c>
      <c r="C11" s="3" t="s">
        <v>127</v>
      </c>
      <c r="O11" s="2"/>
      <c r="P11" t="s">
        <v>129</v>
      </c>
      <c r="Q11" s="1"/>
      <c r="S11" s="1" t="s">
        <v>130</v>
      </c>
      <c r="T11" s="14" t="s">
        <v>554</v>
      </c>
      <c r="U11" s="15">
        <v>10</v>
      </c>
      <c r="V11" s="15" t="s">
        <v>318</v>
      </c>
      <c r="W11" s="15"/>
      <c r="AC11" t="s">
        <v>261</v>
      </c>
      <c r="AD11" t="s">
        <v>240</v>
      </c>
      <c r="AE11" t="s">
        <v>242</v>
      </c>
      <c r="AF11" t="s">
        <v>132</v>
      </c>
      <c r="AG11" t="s">
        <v>253</v>
      </c>
      <c r="AH11" t="s">
        <v>260</v>
      </c>
      <c r="AI11" t="s">
        <v>175</v>
      </c>
      <c r="AL11" t="s">
        <v>137</v>
      </c>
      <c r="AM11" t="s">
        <v>138</v>
      </c>
      <c r="AP11" t="s">
        <v>139</v>
      </c>
      <c r="AQ11" t="s">
        <v>140</v>
      </c>
      <c r="AZ11" s="16"/>
      <c r="BA11" t="str">
        <f t="shared" si="0"/>
        <v>XT10</v>
      </c>
      <c r="BB11" t="str">
        <f t="shared" si="1"/>
        <v>C26</v>
      </c>
      <c r="BC11" t="str">
        <f t="shared" si="2"/>
        <v>B26</v>
      </c>
      <c r="BD11" t="str">
        <f t="shared" si="3"/>
        <v>C27</v>
      </c>
      <c r="BE11" t="str">
        <f t="shared" si="4"/>
        <v>B27</v>
      </c>
      <c r="BF11" t="str">
        <f t="shared" si="5"/>
        <v>C28</v>
      </c>
      <c r="BG11" t="str">
        <f t="shared" si="6"/>
        <v>B28</v>
      </c>
      <c r="BH11" t="str">
        <f t="shared" si="7"/>
        <v>C29</v>
      </c>
      <c r="BI11" t="str">
        <f t="shared" si="8"/>
        <v>B29</v>
      </c>
      <c r="BJ11" t="str">
        <f t="shared" si="9"/>
        <v>C30</v>
      </c>
      <c r="BK11" t="str">
        <f t="shared" si="10"/>
        <v>B30</v>
      </c>
      <c r="BL11" t="str">
        <f t="shared" si="11"/>
        <v>29B</v>
      </c>
      <c r="BM11" t="str">
        <f t="shared" si="12"/>
        <v>29A</v>
      </c>
      <c r="BN11" t="str">
        <f t="shared" si="18"/>
        <v>30B</v>
      </c>
      <c r="BO11" t="str">
        <f t="shared" si="19"/>
        <v>30A</v>
      </c>
      <c r="BP11" t="str">
        <f t="shared" si="13"/>
        <v>DI2-C25</v>
      </c>
      <c r="BQ11" t="str">
        <f t="shared" si="13"/>
        <v>DI2-B25</v>
      </c>
      <c r="BR11" t="str">
        <f t="shared" si="14"/>
        <v>DI2-C26</v>
      </c>
      <c r="BS11" t="str">
        <f t="shared" si="14"/>
        <v>DI2-B26</v>
      </c>
      <c r="BT11" t="str">
        <f t="shared" si="14"/>
        <v>DI2-C27</v>
      </c>
      <c r="BU11" t="str">
        <f t="shared" si="14"/>
        <v>DI2-B27</v>
      </c>
      <c r="BV11" t="str">
        <f t="shared" si="14"/>
        <v>DI2-C28</v>
      </c>
      <c r="BW11" t="str">
        <f t="shared" si="14"/>
        <v>DI2-B28</v>
      </c>
      <c r="BX11" t="str">
        <f t="shared" si="14"/>
        <v>DI2-C29</v>
      </c>
      <c r="BY11" t="str">
        <f t="shared" si="14"/>
        <v>DI2-B29</v>
      </c>
      <c r="BZ11" t="str">
        <f t="shared" si="14"/>
        <v>DI2-C30</v>
      </c>
      <c r="CA11" t="str">
        <f t="shared" si="14"/>
        <v>DI2-B30</v>
      </c>
      <c r="CB11" t="str">
        <f t="shared" si="15"/>
        <v>DO1-28B</v>
      </c>
      <c r="CC11" t="str">
        <f t="shared" si="15"/>
        <v>DO1-28A</v>
      </c>
      <c r="CD11" t="str">
        <f t="shared" si="16"/>
        <v>DO1-29B</v>
      </c>
      <c r="CE11" t="str">
        <f t="shared" si="16"/>
        <v>DO1-29A</v>
      </c>
      <c r="CF11" t="str">
        <f t="shared" si="16"/>
        <v>DO1-30B</v>
      </c>
      <c r="CG11" t="str">
        <f t="shared" si="16"/>
        <v>DO1-30A</v>
      </c>
      <c r="CH11" t="str">
        <f t="shared" si="20"/>
        <v>K10-10</v>
      </c>
      <c r="CI11" t="str">
        <f t="shared" si="21"/>
        <v>K10-03</v>
      </c>
      <c r="CJ11" t="str">
        <f t="shared" si="22"/>
        <v>K10-04</v>
      </c>
      <c r="CK11" t="str">
        <f t="shared" si="23"/>
        <v>K10-01</v>
      </c>
      <c r="CL11" t="str">
        <f t="shared" si="24"/>
        <v>K10-08</v>
      </c>
      <c r="CM11" t="str">
        <f t="shared" si="25"/>
        <v>K10-02</v>
      </c>
      <c r="CN11" t="str">
        <f t="shared" si="26"/>
        <v>K10-09</v>
      </c>
      <c r="CO11" t="str">
        <f t="shared" si="27"/>
        <v>K10-05</v>
      </c>
      <c r="CP11" t="str">
        <f t="shared" si="28"/>
        <v>K10-11</v>
      </c>
      <c r="CQ11" t="str">
        <f t="shared" si="29"/>
        <v>F0-M10-A9</v>
      </c>
      <c r="CR11" t="str">
        <f t="shared" si="30"/>
        <v>F0-M10-A7</v>
      </c>
      <c r="CS11" t="str">
        <f t="shared" si="31"/>
        <v>F0-M10-A8</v>
      </c>
      <c r="CT11" t="str">
        <f t="shared" si="32"/>
        <v>F0-M10-A6</v>
      </c>
      <c r="CU11" t="str">
        <f t="shared" si="33"/>
        <v>F0-M10-A30</v>
      </c>
      <c r="CV11" t="str">
        <f t="shared" si="34"/>
        <v>F0-M10-N</v>
      </c>
      <c r="CW11" t="str">
        <f t="shared" si="17"/>
        <v>F0-A220-M10</v>
      </c>
      <c r="CX11" t="str">
        <f t="shared" si="35"/>
        <v>F0-M10-XM01</v>
      </c>
      <c r="CY11" t="str">
        <f t="shared" si="36"/>
        <v>F0-M10-A1</v>
      </c>
      <c r="CZ11" t="str">
        <f t="shared" si="37"/>
        <v>F0-M10-A5</v>
      </c>
      <c r="DA11" t="str">
        <f t="shared" si="38"/>
        <v>F0-M10-A11</v>
      </c>
      <c r="DB11" t="str">
        <f t="shared" si="39"/>
        <v>F0-M10-A12</v>
      </c>
      <c r="DC11" t="str">
        <f t="shared" si="40"/>
        <v>F0-M10-A19</v>
      </c>
      <c r="DD11" t="str">
        <f t="shared" si="41"/>
        <v>F0-M10-A20</v>
      </c>
      <c r="DE11" t="s">
        <v>142</v>
      </c>
      <c r="DF11" t="s">
        <v>143</v>
      </c>
      <c r="DG11">
        <v>11</v>
      </c>
      <c r="DH11">
        <v>14</v>
      </c>
      <c r="DI11">
        <v>12</v>
      </c>
      <c r="DJ11" t="s">
        <v>144</v>
      </c>
      <c r="DK11" t="s">
        <v>145</v>
      </c>
      <c r="DL11">
        <v>1</v>
      </c>
      <c r="DM11">
        <v>2</v>
      </c>
      <c r="DN11">
        <v>3</v>
      </c>
      <c r="DO11">
        <v>4</v>
      </c>
      <c r="DP11">
        <v>5</v>
      </c>
      <c r="DQ11">
        <v>6</v>
      </c>
      <c r="DR11">
        <v>7</v>
      </c>
      <c r="DS11">
        <v>8</v>
      </c>
      <c r="DT11">
        <v>9</v>
      </c>
      <c r="DU11">
        <v>10</v>
      </c>
      <c r="DV11">
        <v>11</v>
      </c>
      <c r="DW11">
        <v>12</v>
      </c>
      <c r="DX11">
        <v>13</v>
      </c>
      <c r="DY11">
        <v>14</v>
      </c>
      <c r="DZ11">
        <v>1</v>
      </c>
      <c r="EA11">
        <v>3</v>
      </c>
      <c r="EB11">
        <v>4</v>
      </c>
      <c r="EC11">
        <v>7</v>
      </c>
      <c r="ED11">
        <v>8</v>
      </c>
      <c r="EE11">
        <v>9</v>
      </c>
      <c r="EF11">
        <v>10</v>
      </c>
      <c r="EG11">
        <v>13</v>
      </c>
      <c r="EH11">
        <v>14</v>
      </c>
      <c r="EI11">
        <v>15</v>
      </c>
      <c r="EJ11">
        <v>16</v>
      </c>
      <c r="EK11">
        <v>22</v>
      </c>
      <c r="EL11">
        <v>23</v>
      </c>
      <c r="EM11" s="16">
        <v>24</v>
      </c>
    </row>
    <row r="12" spans="1:532" x14ac:dyDescent="0.25">
      <c r="A12" t="s">
        <v>176</v>
      </c>
      <c r="B12" t="s">
        <v>177</v>
      </c>
      <c r="C12" s="3" t="s">
        <v>127</v>
      </c>
      <c r="O12" s="2"/>
      <c r="P12" t="s">
        <v>129</v>
      </c>
      <c r="Q12" s="1"/>
      <c r="S12" s="1" t="s">
        <v>130</v>
      </c>
      <c r="T12" s="14" t="s">
        <v>554</v>
      </c>
      <c r="U12" s="15">
        <v>11</v>
      </c>
      <c r="V12" s="15" t="s">
        <v>319</v>
      </c>
      <c r="W12" s="15"/>
      <c r="AC12" t="s">
        <v>262</v>
      </c>
      <c r="AD12" t="s">
        <v>133</v>
      </c>
      <c r="AE12" t="s">
        <v>134</v>
      </c>
      <c r="AF12" t="s">
        <v>267</v>
      </c>
      <c r="AG12" t="s">
        <v>135</v>
      </c>
      <c r="AH12" t="s">
        <v>136</v>
      </c>
      <c r="AI12" t="s">
        <v>178</v>
      </c>
      <c r="AL12" t="s">
        <v>137</v>
      </c>
      <c r="AM12" t="s">
        <v>138</v>
      </c>
      <c r="AP12" t="s">
        <v>139</v>
      </c>
      <c r="AQ12" t="s">
        <v>140</v>
      </c>
      <c r="AZ12" s="16"/>
      <c r="BA12" t="str">
        <f t="shared" si="0"/>
        <v>XT11</v>
      </c>
      <c r="BB12" t="str">
        <f t="shared" si="1"/>
        <v>C2</v>
      </c>
      <c r="BC12" t="str">
        <f t="shared" si="2"/>
        <v>B2</v>
      </c>
      <c r="BD12" t="str">
        <f t="shared" si="3"/>
        <v>C3</v>
      </c>
      <c r="BE12" t="str">
        <f t="shared" si="4"/>
        <v>B3</v>
      </c>
      <c r="BF12" t="str">
        <f t="shared" si="5"/>
        <v>C4</v>
      </c>
      <c r="BG12" t="str">
        <f t="shared" si="6"/>
        <v>B4</v>
      </c>
      <c r="BH12" t="str">
        <f t="shared" si="7"/>
        <v>C5</v>
      </c>
      <c r="BI12" t="str">
        <f t="shared" si="8"/>
        <v>B5</v>
      </c>
      <c r="BJ12" t="str">
        <f t="shared" si="9"/>
        <v>C6</v>
      </c>
      <c r="BK12" t="str">
        <f t="shared" si="10"/>
        <v>B6</v>
      </c>
      <c r="BL12" t="str">
        <f t="shared" si="11"/>
        <v>2B</v>
      </c>
      <c r="BM12" t="str">
        <f t="shared" si="12"/>
        <v>2A</v>
      </c>
      <c r="BN12" t="str">
        <f t="shared" si="18"/>
        <v>3B</v>
      </c>
      <c r="BO12" t="str">
        <f t="shared" si="19"/>
        <v>3A</v>
      </c>
      <c r="BP12" t="str">
        <f t="shared" si="13"/>
        <v>DI3-C1</v>
      </c>
      <c r="BQ12" t="str">
        <f t="shared" si="13"/>
        <v>DI3-B1</v>
      </c>
      <c r="BR12" t="str">
        <f t="shared" si="14"/>
        <v>DI3-C2</v>
      </c>
      <c r="BS12" t="str">
        <f t="shared" si="14"/>
        <v>DI3-B2</v>
      </c>
      <c r="BT12" t="str">
        <f t="shared" si="14"/>
        <v>DI3-C3</v>
      </c>
      <c r="BU12" t="str">
        <f t="shared" si="14"/>
        <v>DI3-B3</v>
      </c>
      <c r="BV12" t="str">
        <f t="shared" si="14"/>
        <v>DI3-C4</v>
      </c>
      <c r="BW12" t="str">
        <f t="shared" si="14"/>
        <v>DI3-B4</v>
      </c>
      <c r="BX12" t="str">
        <f t="shared" si="14"/>
        <v>DI3-C5</v>
      </c>
      <c r="BY12" t="str">
        <f t="shared" si="14"/>
        <v>DI3-B5</v>
      </c>
      <c r="BZ12" t="str">
        <f t="shared" si="14"/>
        <v>DI3-C6</v>
      </c>
      <c r="CA12" t="str">
        <f t="shared" si="14"/>
        <v>DI3-B6</v>
      </c>
      <c r="CB12" t="str">
        <f t="shared" si="15"/>
        <v>DO2-1B</v>
      </c>
      <c r="CC12" t="str">
        <f t="shared" si="15"/>
        <v>DO2-1A</v>
      </c>
      <c r="CD12" t="str">
        <f t="shared" si="16"/>
        <v>DO2-2B</v>
      </c>
      <c r="CE12" t="str">
        <f t="shared" si="16"/>
        <v>DO2-2A</v>
      </c>
      <c r="CF12" t="str">
        <f t="shared" si="16"/>
        <v>DO2-3B</v>
      </c>
      <c r="CG12" t="str">
        <f t="shared" si="16"/>
        <v>DO2-3A</v>
      </c>
      <c r="CH12" t="str">
        <f t="shared" si="20"/>
        <v>K11-10</v>
      </c>
      <c r="CI12" t="str">
        <f t="shared" si="21"/>
        <v>K11-03</v>
      </c>
      <c r="CJ12" t="str">
        <f t="shared" si="22"/>
        <v>K11-04</v>
      </c>
      <c r="CK12" t="str">
        <f t="shared" si="23"/>
        <v>K11-01</v>
      </c>
      <c r="CL12" t="str">
        <f t="shared" si="24"/>
        <v>K11-08</v>
      </c>
      <c r="CM12" t="str">
        <f t="shared" si="25"/>
        <v>K11-02</v>
      </c>
      <c r="CN12" t="str">
        <f t="shared" si="26"/>
        <v>K11-09</v>
      </c>
      <c r="CO12" t="str">
        <f t="shared" si="27"/>
        <v>K11-05</v>
      </c>
      <c r="CP12" t="str">
        <f t="shared" si="28"/>
        <v>K11-11</v>
      </c>
      <c r="CQ12" t="str">
        <f t="shared" si="29"/>
        <v>F0-M11-A9</v>
      </c>
      <c r="CR12" t="str">
        <f t="shared" si="30"/>
        <v>F0-M11-A7</v>
      </c>
      <c r="CS12" t="str">
        <f t="shared" si="31"/>
        <v>F0-M11-A8</v>
      </c>
      <c r="CT12" t="str">
        <f t="shared" si="32"/>
        <v>F0-M11-A6</v>
      </c>
      <c r="CU12" t="str">
        <f t="shared" si="33"/>
        <v>F0-M11-A30</v>
      </c>
      <c r="CV12" t="str">
        <f t="shared" si="34"/>
        <v>F0-M11-N</v>
      </c>
      <c r="CW12" t="str">
        <f t="shared" si="17"/>
        <v>F0-A220-M11</v>
      </c>
      <c r="CX12" t="str">
        <f t="shared" si="35"/>
        <v>F0-M11-XM01</v>
      </c>
      <c r="CY12" t="str">
        <f t="shared" si="36"/>
        <v>F0-M11-A1</v>
      </c>
      <c r="CZ12" t="str">
        <f t="shared" si="37"/>
        <v>F0-M11-A5</v>
      </c>
      <c r="DA12" t="str">
        <f t="shared" si="38"/>
        <v>F0-M11-A11</v>
      </c>
      <c r="DB12" t="str">
        <f t="shared" si="39"/>
        <v>F0-M11-A12</v>
      </c>
      <c r="DC12" t="str">
        <f t="shared" si="40"/>
        <v>F0-M11-A19</v>
      </c>
      <c r="DD12" t="str">
        <f t="shared" si="41"/>
        <v>F0-M11-A20</v>
      </c>
      <c r="DE12" t="s">
        <v>142</v>
      </c>
      <c r="DF12" t="s">
        <v>143</v>
      </c>
      <c r="DG12">
        <v>11</v>
      </c>
      <c r="DH12">
        <v>14</v>
      </c>
      <c r="DI12">
        <v>12</v>
      </c>
      <c r="DJ12" t="s">
        <v>144</v>
      </c>
      <c r="DK12" t="s">
        <v>145</v>
      </c>
      <c r="DL12">
        <v>1</v>
      </c>
      <c r="DM12">
        <v>2</v>
      </c>
      <c r="DN12">
        <v>3</v>
      </c>
      <c r="DO12">
        <v>4</v>
      </c>
      <c r="DP12">
        <v>5</v>
      </c>
      <c r="DQ12">
        <v>6</v>
      </c>
      <c r="DR12">
        <v>7</v>
      </c>
      <c r="DS12">
        <v>8</v>
      </c>
      <c r="DT12">
        <v>9</v>
      </c>
      <c r="DU12">
        <v>10</v>
      </c>
      <c r="DV12">
        <v>11</v>
      </c>
      <c r="DW12">
        <v>12</v>
      </c>
      <c r="DX12">
        <v>13</v>
      </c>
      <c r="DY12">
        <v>14</v>
      </c>
      <c r="DZ12">
        <v>1</v>
      </c>
      <c r="EA12">
        <v>3</v>
      </c>
      <c r="EB12">
        <v>4</v>
      </c>
      <c r="EC12">
        <v>7</v>
      </c>
      <c r="ED12">
        <v>8</v>
      </c>
      <c r="EE12">
        <v>9</v>
      </c>
      <c r="EF12">
        <v>10</v>
      </c>
      <c r="EG12">
        <v>13</v>
      </c>
      <c r="EH12">
        <v>14</v>
      </c>
      <c r="EI12">
        <v>15</v>
      </c>
      <c r="EJ12">
        <v>16</v>
      </c>
      <c r="EK12">
        <v>22</v>
      </c>
      <c r="EL12">
        <v>23</v>
      </c>
      <c r="EM12" s="16">
        <v>24</v>
      </c>
    </row>
    <row r="13" spans="1:532" x14ac:dyDescent="0.25">
      <c r="A13" t="s">
        <v>179</v>
      </c>
      <c r="B13" t="s">
        <v>180</v>
      </c>
      <c r="C13" s="3" t="s">
        <v>127</v>
      </c>
      <c r="O13" s="2"/>
      <c r="P13" t="s">
        <v>129</v>
      </c>
      <c r="Q13" s="1"/>
      <c r="S13" s="1" t="s">
        <v>130</v>
      </c>
      <c r="T13" s="14" t="s">
        <v>554</v>
      </c>
      <c r="U13" s="15">
        <v>12</v>
      </c>
      <c r="V13" s="15" t="s">
        <v>320</v>
      </c>
      <c r="W13" s="15"/>
      <c r="AC13" t="s">
        <v>262</v>
      </c>
      <c r="AD13" t="s">
        <v>148</v>
      </c>
      <c r="AE13" t="s">
        <v>149</v>
      </c>
      <c r="AF13" t="s">
        <v>267</v>
      </c>
      <c r="AG13" t="s">
        <v>243</v>
      </c>
      <c r="AH13" t="s">
        <v>244</v>
      </c>
      <c r="AI13" t="s">
        <v>181</v>
      </c>
      <c r="AL13" t="s">
        <v>137</v>
      </c>
      <c r="AM13" t="s">
        <v>138</v>
      </c>
      <c r="AP13" t="s">
        <v>139</v>
      </c>
      <c r="AQ13" t="s">
        <v>140</v>
      </c>
      <c r="AZ13" s="16"/>
      <c r="BA13" t="str">
        <f t="shared" si="0"/>
        <v>XT12</v>
      </c>
      <c r="BB13" t="str">
        <f t="shared" si="1"/>
        <v>C8</v>
      </c>
      <c r="BC13" t="str">
        <f t="shared" si="2"/>
        <v>B8</v>
      </c>
      <c r="BD13" t="str">
        <f t="shared" si="3"/>
        <v>C9</v>
      </c>
      <c r="BE13" t="str">
        <f t="shared" si="4"/>
        <v>B9</v>
      </c>
      <c r="BF13" t="str">
        <f t="shared" si="5"/>
        <v>C10</v>
      </c>
      <c r="BG13" t="str">
        <f t="shared" si="6"/>
        <v>B10</v>
      </c>
      <c r="BH13" t="str">
        <f t="shared" si="7"/>
        <v>C11</v>
      </c>
      <c r="BI13" t="str">
        <f t="shared" si="8"/>
        <v>B11</v>
      </c>
      <c r="BJ13" t="str">
        <f t="shared" si="9"/>
        <v>C12</v>
      </c>
      <c r="BK13" t="str">
        <f t="shared" si="10"/>
        <v>B12</v>
      </c>
      <c r="BL13" t="str">
        <f t="shared" si="11"/>
        <v>5B</v>
      </c>
      <c r="BM13" t="str">
        <f t="shared" si="12"/>
        <v>5A</v>
      </c>
      <c r="BN13" t="str">
        <f t="shared" si="18"/>
        <v>6B</v>
      </c>
      <c r="BO13" t="str">
        <f t="shared" si="19"/>
        <v>6A</v>
      </c>
      <c r="BP13" t="str">
        <f t="shared" si="13"/>
        <v>DI3-C7</v>
      </c>
      <c r="BQ13" t="str">
        <f t="shared" si="13"/>
        <v>DI3-B7</v>
      </c>
      <c r="BR13" t="str">
        <f t="shared" si="14"/>
        <v>DI3-C8</v>
      </c>
      <c r="BS13" t="str">
        <f t="shared" si="14"/>
        <v>DI3-B8</v>
      </c>
      <c r="BT13" t="str">
        <f t="shared" si="14"/>
        <v>DI3-C9</v>
      </c>
      <c r="BU13" t="str">
        <f t="shared" si="14"/>
        <v>DI3-B9</v>
      </c>
      <c r="BV13" t="str">
        <f t="shared" si="14"/>
        <v>DI3-C10</v>
      </c>
      <c r="BW13" t="str">
        <f t="shared" si="14"/>
        <v>DI3-B10</v>
      </c>
      <c r="BX13" t="str">
        <f t="shared" si="14"/>
        <v>DI3-C11</v>
      </c>
      <c r="BY13" t="str">
        <f t="shared" si="14"/>
        <v>DI3-B11</v>
      </c>
      <c r="BZ13" t="str">
        <f t="shared" si="14"/>
        <v>DI3-C12</v>
      </c>
      <c r="CA13" t="str">
        <f t="shared" si="14"/>
        <v>DI3-B12</v>
      </c>
      <c r="CB13" t="str">
        <f t="shared" si="15"/>
        <v>DO2-4B</v>
      </c>
      <c r="CC13" t="str">
        <f t="shared" si="15"/>
        <v>DO2-4A</v>
      </c>
      <c r="CD13" t="str">
        <f t="shared" si="16"/>
        <v>DO2-5B</v>
      </c>
      <c r="CE13" t="str">
        <f t="shared" si="16"/>
        <v>DO2-5A</v>
      </c>
      <c r="CF13" t="str">
        <f t="shared" si="16"/>
        <v>DO2-6B</v>
      </c>
      <c r="CG13" t="str">
        <f t="shared" si="16"/>
        <v>DO2-6A</v>
      </c>
      <c r="CH13" t="str">
        <f t="shared" si="20"/>
        <v>K12-10</v>
      </c>
      <c r="CI13" t="str">
        <f t="shared" si="21"/>
        <v>K12-03</v>
      </c>
      <c r="CJ13" t="str">
        <f t="shared" si="22"/>
        <v>K12-04</v>
      </c>
      <c r="CK13" t="str">
        <f t="shared" si="23"/>
        <v>K12-01</v>
      </c>
      <c r="CL13" t="str">
        <f t="shared" si="24"/>
        <v>K12-08</v>
      </c>
      <c r="CM13" t="str">
        <f t="shared" si="25"/>
        <v>K12-02</v>
      </c>
      <c r="CN13" t="str">
        <f t="shared" si="26"/>
        <v>K12-09</v>
      </c>
      <c r="CO13" t="str">
        <f t="shared" si="27"/>
        <v>K12-05</v>
      </c>
      <c r="CP13" t="str">
        <f t="shared" si="28"/>
        <v>K12-11</v>
      </c>
      <c r="CQ13" t="str">
        <f t="shared" si="29"/>
        <v>F0-M12-A9</v>
      </c>
      <c r="CR13" t="str">
        <f t="shared" si="30"/>
        <v>F0-M12-A7</v>
      </c>
      <c r="CS13" t="str">
        <f t="shared" si="31"/>
        <v>F0-M12-A8</v>
      </c>
      <c r="CT13" t="str">
        <f t="shared" si="32"/>
        <v>F0-M12-A6</v>
      </c>
      <c r="CU13" t="str">
        <f t="shared" si="33"/>
        <v>F0-M12-A30</v>
      </c>
      <c r="CV13" t="str">
        <f t="shared" si="34"/>
        <v>F0-M12-N</v>
      </c>
      <c r="CW13" t="str">
        <f t="shared" si="17"/>
        <v>F0-A220-M12</v>
      </c>
      <c r="CX13" t="str">
        <f t="shared" si="35"/>
        <v>F0-M12-XM01</v>
      </c>
      <c r="CY13" t="str">
        <f t="shared" si="36"/>
        <v>F0-M12-A1</v>
      </c>
      <c r="CZ13" t="str">
        <f t="shared" si="37"/>
        <v>F0-M12-A5</v>
      </c>
      <c r="DA13" t="str">
        <f t="shared" si="38"/>
        <v>F0-M12-A11</v>
      </c>
      <c r="DB13" t="str">
        <f t="shared" si="39"/>
        <v>F0-M12-A12</v>
      </c>
      <c r="DC13" t="str">
        <f t="shared" si="40"/>
        <v>F0-M12-A19</v>
      </c>
      <c r="DD13" t="str">
        <f t="shared" si="41"/>
        <v>F0-M12-A20</v>
      </c>
      <c r="DE13" t="s">
        <v>142</v>
      </c>
      <c r="DF13" t="s">
        <v>143</v>
      </c>
      <c r="DG13">
        <v>11</v>
      </c>
      <c r="DH13">
        <v>14</v>
      </c>
      <c r="DI13">
        <v>12</v>
      </c>
      <c r="DJ13" t="s">
        <v>144</v>
      </c>
      <c r="DK13" t="s">
        <v>145</v>
      </c>
      <c r="DL13">
        <v>1</v>
      </c>
      <c r="DM13">
        <v>2</v>
      </c>
      <c r="DN13">
        <v>3</v>
      </c>
      <c r="DO13">
        <v>4</v>
      </c>
      <c r="DP13">
        <v>5</v>
      </c>
      <c r="DQ13">
        <v>6</v>
      </c>
      <c r="DR13">
        <v>7</v>
      </c>
      <c r="DS13">
        <v>8</v>
      </c>
      <c r="DT13">
        <v>9</v>
      </c>
      <c r="DU13">
        <v>10</v>
      </c>
      <c r="DV13">
        <v>11</v>
      </c>
      <c r="DW13">
        <v>12</v>
      </c>
      <c r="DX13">
        <v>13</v>
      </c>
      <c r="DY13">
        <v>14</v>
      </c>
      <c r="DZ13">
        <v>1</v>
      </c>
      <c r="EA13">
        <v>3</v>
      </c>
      <c r="EB13">
        <v>4</v>
      </c>
      <c r="EC13">
        <v>7</v>
      </c>
      <c r="ED13">
        <v>8</v>
      </c>
      <c r="EE13">
        <v>9</v>
      </c>
      <c r="EF13">
        <v>10</v>
      </c>
      <c r="EG13">
        <v>13</v>
      </c>
      <c r="EH13">
        <v>14</v>
      </c>
      <c r="EI13">
        <v>15</v>
      </c>
      <c r="EJ13">
        <v>16</v>
      </c>
      <c r="EK13">
        <v>22</v>
      </c>
      <c r="EL13">
        <v>23</v>
      </c>
      <c r="EM13" s="16">
        <v>24</v>
      </c>
    </row>
    <row r="14" spans="1:532" x14ac:dyDescent="0.25">
      <c r="A14" t="s">
        <v>182</v>
      </c>
      <c r="B14" t="s">
        <v>183</v>
      </c>
      <c r="C14" s="3" t="s">
        <v>127</v>
      </c>
      <c r="O14" s="2"/>
      <c r="P14" t="s">
        <v>129</v>
      </c>
      <c r="Q14" s="1"/>
      <c r="S14" s="1" t="s">
        <v>130</v>
      </c>
      <c r="T14" s="14" t="s">
        <v>554</v>
      </c>
      <c r="U14" s="15">
        <v>13</v>
      </c>
      <c r="V14" s="15" t="s">
        <v>321</v>
      </c>
      <c r="W14" s="15"/>
      <c r="AC14" t="s">
        <v>262</v>
      </c>
      <c r="AD14" t="s">
        <v>153</v>
      </c>
      <c r="AE14" t="s">
        <v>154</v>
      </c>
      <c r="AF14" t="s">
        <v>267</v>
      </c>
      <c r="AG14" t="s">
        <v>245</v>
      </c>
      <c r="AH14" t="s">
        <v>246</v>
      </c>
      <c r="AI14" t="s">
        <v>184</v>
      </c>
      <c r="AL14" t="s">
        <v>137</v>
      </c>
      <c r="AM14" t="s">
        <v>138</v>
      </c>
      <c r="AP14" t="s">
        <v>139</v>
      </c>
      <c r="AQ14" t="s">
        <v>140</v>
      </c>
      <c r="AZ14" s="16"/>
      <c r="BA14" t="str">
        <f t="shared" si="0"/>
        <v>XT13</v>
      </c>
      <c r="BB14" t="str">
        <f t="shared" si="1"/>
        <v>C14</v>
      </c>
      <c r="BC14" t="str">
        <f t="shared" si="2"/>
        <v>B14</v>
      </c>
      <c r="BD14" t="str">
        <f t="shared" si="3"/>
        <v>C15</v>
      </c>
      <c r="BE14" t="str">
        <f t="shared" si="4"/>
        <v>B15</v>
      </c>
      <c r="BF14" t="str">
        <f t="shared" si="5"/>
        <v>C16</v>
      </c>
      <c r="BG14" t="str">
        <f t="shared" si="6"/>
        <v>B16</v>
      </c>
      <c r="BH14" t="str">
        <f t="shared" si="7"/>
        <v>C17</v>
      </c>
      <c r="BI14" t="str">
        <f t="shared" si="8"/>
        <v>B17</v>
      </c>
      <c r="BJ14" t="str">
        <f t="shared" si="9"/>
        <v>C18</v>
      </c>
      <c r="BK14" t="str">
        <f t="shared" si="10"/>
        <v>B18</v>
      </c>
      <c r="BL14" t="str">
        <f t="shared" si="11"/>
        <v>8B</v>
      </c>
      <c r="BM14" t="str">
        <f t="shared" si="12"/>
        <v>8A</v>
      </c>
      <c r="BN14" t="str">
        <f t="shared" si="18"/>
        <v>9B</v>
      </c>
      <c r="BO14" t="str">
        <f t="shared" si="19"/>
        <v>9A</v>
      </c>
      <c r="BP14" t="str">
        <f t="shared" si="13"/>
        <v>DI3-C13</v>
      </c>
      <c r="BQ14" t="str">
        <f t="shared" si="13"/>
        <v>DI3-B13</v>
      </c>
      <c r="BR14" t="str">
        <f t="shared" si="14"/>
        <v>DI3-C14</v>
      </c>
      <c r="BS14" t="str">
        <f t="shared" si="14"/>
        <v>DI3-B14</v>
      </c>
      <c r="BT14" t="str">
        <f t="shared" si="14"/>
        <v>DI3-C15</v>
      </c>
      <c r="BU14" t="str">
        <f t="shared" si="14"/>
        <v>DI3-B15</v>
      </c>
      <c r="BV14" t="str">
        <f t="shared" si="14"/>
        <v>DI3-C16</v>
      </c>
      <c r="BW14" t="str">
        <f t="shared" si="14"/>
        <v>DI3-B16</v>
      </c>
      <c r="BX14" t="str">
        <f t="shared" si="14"/>
        <v>DI3-C17</v>
      </c>
      <c r="BY14" t="str">
        <f t="shared" si="14"/>
        <v>DI3-B17</v>
      </c>
      <c r="BZ14" t="str">
        <f t="shared" si="14"/>
        <v>DI3-C18</v>
      </c>
      <c r="CA14" t="str">
        <f t="shared" si="14"/>
        <v>DI3-B18</v>
      </c>
      <c r="CB14" t="str">
        <f t="shared" si="15"/>
        <v>DO2-7B</v>
      </c>
      <c r="CC14" t="str">
        <f t="shared" si="15"/>
        <v>DO2-7A</v>
      </c>
      <c r="CD14" t="str">
        <f t="shared" si="16"/>
        <v>DO2-8B</v>
      </c>
      <c r="CE14" t="str">
        <f t="shared" si="16"/>
        <v>DO2-8A</v>
      </c>
      <c r="CF14" t="str">
        <f t="shared" si="16"/>
        <v>DO2-9B</v>
      </c>
      <c r="CG14" t="str">
        <f t="shared" si="16"/>
        <v>DO2-9A</v>
      </c>
      <c r="CH14" t="str">
        <f t="shared" si="20"/>
        <v>K13-10</v>
      </c>
      <c r="CI14" t="str">
        <f t="shared" si="21"/>
        <v>K13-03</v>
      </c>
      <c r="CJ14" t="str">
        <f t="shared" si="22"/>
        <v>K13-04</v>
      </c>
      <c r="CK14" t="str">
        <f t="shared" si="23"/>
        <v>K13-01</v>
      </c>
      <c r="CL14" t="str">
        <f t="shared" si="24"/>
        <v>K13-08</v>
      </c>
      <c r="CM14" t="str">
        <f t="shared" si="25"/>
        <v>K13-02</v>
      </c>
      <c r="CN14" t="str">
        <f t="shared" si="26"/>
        <v>K13-09</v>
      </c>
      <c r="CO14" t="str">
        <f t="shared" si="27"/>
        <v>K13-05</v>
      </c>
      <c r="CP14" t="str">
        <f t="shared" si="28"/>
        <v>K13-11</v>
      </c>
      <c r="CQ14" t="str">
        <f t="shared" si="29"/>
        <v>F0-M13-A9</v>
      </c>
      <c r="CR14" t="str">
        <f t="shared" si="30"/>
        <v>F0-M13-A7</v>
      </c>
      <c r="CS14" t="str">
        <f t="shared" si="31"/>
        <v>F0-M13-A8</v>
      </c>
      <c r="CT14" t="str">
        <f t="shared" si="32"/>
        <v>F0-M13-A6</v>
      </c>
      <c r="CU14" t="str">
        <f t="shared" si="33"/>
        <v>F0-M13-A30</v>
      </c>
      <c r="CV14" t="str">
        <f t="shared" si="34"/>
        <v>F0-M13-N</v>
      </c>
      <c r="CW14" t="str">
        <f t="shared" si="17"/>
        <v>F0-A220-M13</v>
      </c>
      <c r="CX14" t="str">
        <f t="shared" si="35"/>
        <v>F0-M13-XM01</v>
      </c>
      <c r="CY14" t="str">
        <f t="shared" si="36"/>
        <v>F0-M13-A1</v>
      </c>
      <c r="CZ14" t="str">
        <f t="shared" si="37"/>
        <v>F0-M13-A5</v>
      </c>
      <c r="DA14" t="str">
        <f t="shared" si="38"/>
        <v>F0-M13-A11</v>
      </c>
      <c r="DB14" t="str">
        <f t="shared" si="39"/>
        <v>F0-M13-A12</v>
      </c>
      <c r="DC14" t="str">
        <f t="shared" si="40"/>
        <v>F0-M13-A19</v>
      </c>
      <c r="DD14" t="str">
        <f t="shared" si="41"/>
        <v>F0-M13-A20</v>
      </c>
      <c r="DE14" t="s">
        <v>142</v>
      </c>
      <c r="DF14" t="s">
        <v>143</v>
      </c>
      <c r="DG14">
        <v>11</v>
      </c>
      <c r="DH14">
        <v>14</v>
      </c>
      <c r="DI14">
        <v>12</v>
      </c>
      <c r="DJ14" t="s">
        <v>144</v>
      </c>
      <c r="DK14" t="s">
        <v>145</v>
      </c>
      <c r="DL14">
        <v>1</v>
      </c>
      <c r="DM14">
        <v>2</v>
      </c>
      <c r="DN14">
        <v>3</v>
      </c>
      <c r="DO14">
        <v>4</v>
      </c>
      <c r="DP14">
        <v>5</v>
      </c>
      <c r="DQ14">
        <v>6</v>
      </c>
      <c r="DR14">
        <v>7</v>
      </c>
      <c r="DS14">
        <v>8</v>
      </c>
      <c r="DT14">
        <v>9</v>
      </c>
      <c r="DU14">
        <v>10</v>
      </c>
      <c r="DV14">
        <v>11</v>
      </c>
      <c r="DW14">
        <v>12</v>
      </c>
      <c r="DX14">
        <v>13</v>
      </c>
      <c r="DY14">
        <v>14</v>
      </c>
      <c r="DZ14">
        <v>1</v>
      </c>
      <c r="EA14">
        <v>3</v>
      </c>
      <c r="EB14">
        <v>4</v>
      </c>
      <c r="EC14">
        <v>7</v>
      </c>
      <c r="ED14">
        <v>8</v>
      </c>
      <c r="EE14">
        <v>9</v>
      </c>
      <c r="EF14">
        <v>10</v>
      </c>
      <c r="EG14">
        <v>13</v>
      </c>
      <c r="EH14">
        <v>14</v>
      </c>
      <c r="EI14">
        <v>15</v>
      </c>
      <c r="EJ14">
        <v>16</v>
      </c>
      <c r="EK14">
        <v>22</v>
      </c>
      <c r="EL14">
        <v>23</v>
      </c>
      <c r="EM14" s="16">
        <v>24</v>
      </c>
    </row>
    <row r="15" spans="1:532" x14ac:dyDescent="0.25">
      <c r="A15" t="s">
        <v>185</v>
      </c>
      <c r="B15" t="s">
        <v>186</v>
      </c>
      <c r="C15" s="3" t="s">
        <v>127</v>
      </c>
      <c r="O15" s="2"/>
      <c r="P15" t="s">
        <v>129</v>
      </c>
      <c r="Q15" s="1"/>
      <c r="S15" s="1" t="s">
        <v>130</v>
      </c>
      <c r="T15" s="14" t="s">
        <v>554</v>
      </c>
      <c r="U15" s="15">
        <v>14</v>
      </c>
      <c r="V15" s="15" t="s">
        <v>322</v>
      </c>
      <c r="W15" s="15"/>
      <c r="AC15" t="s">
        <v>262</v>
      </c>
      <c r="AD15" t="s">
        <v>239</v>
      </c>
      <c r="AE15" t="s">
        <v>241</v>
      </c>
      <c r="AF15" t="s">
        <v>267</v>
      </c>
      <c r="AG15" t="s">
        <v>247</v>
      </c>
      <c r="AH15" t="s">
        <v>254</v>
      </c>
      <c r="AI15" t="s">
        <v>187</v>
      </c>
      <c r="AL15" t="s">
        <v>137</v>
      </c>
      <c r="AM15" t="s">
        <v>138</v>
      </c>
      <c r="AP15" t="s">
        <v>139</v>
      </c>
      <c r="AQ15" t="s">
        <v>140</v>
      </c>
      <c r="AZ15" s="16"/>
      <c r="BA15" t="str">
        <f t="shared" si="0"/>
        <v>XT14</v>
      </c>
      <c r="BB15" t="str">
        <f t="shared" si="1"/>
        <v>C20</v>
      </c>
      <c r="BC15" t="str">
        <f t="shared" si="2"/>
        <v>B20</v>
      </c>
      <c r="BD15" t="str">
        <f t="shared" si="3"/>
        <v>C21</v>
      </c>
      <c r="BE15" t="str">
        <f t="shared" si="4"/>
        <v>B21</v>
      </c>
      <c r="BF15" t="str">
        <f t="shared" si="5"/>
        <v>C22</v>
      </c>
      <c r="BG15" t="str">
        <f t="shared" si="6"/>
        <v>B22</v>
      </c>
      <c r="BH15" t="str">
        <f t="shared" si="7"/>
        <v>C23</v>
      </c>
      <c r="BI15" t="str">
        <f t="shared" si="8"/>
        <v>B23</v>
      </c>
      <c r="BJ15" t="str">
        <f t="shared" si="9"/>
        <v>C24</v>
      </c>
      <c r="BK15" t="str">
        <f t="shared" si="10"/>
        <v>B24</v>
      </c>
      <c r="BL15" t="str">
        <f t="shared" si="11"/>
        <v>11B</v>
      </c>
      <c r="BM15" t="str">
        <f t="shared" si="12"/>
        <v>11A</v>
      </c>
      <c r="BN15" t="str">
        <f t="shared" si="18"/>
        <v>12B</v>
      </c>
      <c r="BO15" t="str">
        <f t="shared" si="19"/>
        <v>12A</v>
      </c>
      <c r="BP15" t="str">
        <f t="shared" si="13"/>
        <v>DI3-C19</v>
      </c>
      <c r="BQ15" t="str">
        <f t="shared" si="13"/>
        <v>DI3-B19</v>
      </c>
      <c r="BR15" t="str">
        <f t="shared" si="14"/>
        <v>DI3-C20</v>
      </c>
      <c r="BS15" t="str">
        <f t="shared" si="14"/>
        <v>DI3-B20</v>
      </c>
      <c r="BT15" t="str">
        <f t="shared" si="14"/>
        <v>DI3-C21</v>
      </c>
      <c r="BU15" t="str">
        <f t="shared" si="14"/>
        <v>DI3-B21</v>
      </c>
      <c r="BV15" t="str">
        <f t="shared" si="14"/>
        <v>DI3-C22</v>
      </c>
      <c r="BW15" t="str">
        <f t="shared" si="14"/>
        <v>DI3-B22</v>
      </c>
      <c r="BX15" t="str">
        <f t="shared" si="14"/>
        <v>DI3-C23</v>
      </c>
      <c r="BY15" t="str">
        <f t="shared" si="14"/>
        <v>DI3-B23</v>
      </c>
      <c r="BZ15" t="str">
        <f t="shared" si="14"/>
        <v>DI3-C24</v>
      </c>
      <c r="CA15" t="str">
        <f t="shared" si="14"/>
        <v>DI3-B24</v>
      </c>
      <c r="CB15" t="str">
        <f t="shared" si="15"/>
        <v>DO2-10B</v>
      </c>
      <c r="CC15" t="str">
        <f t="shared" si="15"/>
        <v>DO2-10A</v>
      </c>
      <c r="CD15" t="str">
        <f t="shared" si="16"/>
        <v>DO2-11B</v>
      </c>
      <c r="CE15" t="str">
        <f t="shared" si="16"/>
        <v>DO2-11A</v>
      </c>
      <c r="CF15" t="str">
        <f t="shared" si="16"/>
        <v>DO2-12B</v>
      </c>
      <c r="CG15" t="str">
        <f t="shared" si="16"/>
        <v>DO2-12A</v>
      </c>
      <c r="CH15" t="str">
        <f t="shared" si="20"/>
        <v>K14-10</v>
      </c>
      <c r="CI15" t="str">
        <f t="shared" si="21"/>
        <v>K14-03</v>
      </c>
      <c r="CJ15" t="str">
        <f t="shared" si="22"/>
        <v>K14-04</v>
      </c>
      <c r="CK15" t="str">
        <f t="shared" si="23"/>
        <v>K14-01</v>
      </c>
      <c r="CL15" t="str">
        <f t="shared" si="24"/>
        <v>K14-08</v>
      </c>
      <c r="CM15" t="str">
        <f t="shared" si="25"/>
        <v>K14-02</v>
      </c>
      <c r="CN15" t="str">
        <f t="shared" si="26"/>
        <v>K14-09</v>
      </c>
      <c r="CO15" t="str">
        <f t="shared" si="27"/>
        <v>K14-05</v>
      </c>
      <c r="CP15" t="str">
        <f t="shared" si="28"/>
        <v>K14-11</v>
      </c>
      <c r="CQ15" t="str">
        <f t="shared" si="29"/>
        <v>F0-M14-A9</v>
      </c>
      <c r="CR15" t="str">
        <f t="shared" si="30"/>
        <v>F0-M14-A7</v>
      </c>
      <c r="CS15" t="str">
        <f t="shared" si="31"/>
        <v>F0-M14-A8</v>
      </c>
      <c r="CT15" t="str">
        <f t="shared" si="32"/>
        <v>F0-M14-A6</v>
      </c>
      <c r="CU15" t="str">
        <f t="shared" si="33"/>
        <v>F0-M14-A30</v>
      </c>
      <c r="CV15" t="str">
        <f t="shared" si="34"/>
        <v>F0-M14-N</v>
      </c>
      <c r="CW15" t="str">
        <f t="shared" si="17"/>
        <v>F0-A220-M14</v>
      </c>
      <c r="CX15" t="str">
        <f t="shared" si="35"/>
        <v>F0-M14-XM01</v>
      </c>
      <c r="CY15" t="str">
        <f t="shared" si="36"/>
        <v>F0-M14-A1</v>
      </c>
      <c r="CZ15" t="str">
        <f t="shared" si="37"/>
        <v>F0-M14-A5</v>
      </c>
      <c r="DA15" t="str">
        <f t="shared" si="38"/>
        <v>F0-M14-A11</v>
      </c>
      <c r="DB15" t="str">
        <f t="shared" si="39"/>
        <v>F0-M14-A12</v>
      </c>
      <c r="DC15" t="str">
        <f t="shared" si="40"/>
        <v>F0-M14-A19</v>
      </c>
      <c r="DD15" t="str">
        <f t="shared" si="41"/>
        <v>F0-M14-A20</v>
      </c>
      <c r="DE15" t="s">
        <v>142</v>
      </c>
      <c r="DF15" t="s">
        <v>143</v>
      </c>
      <c r="DG15">
        <v>11</v>
      </c>
      <c r="DH15">
        <v>14</v>
      </c>
      <c r="DI15">
        <v>12</v>
      </c>
      <c r="DJ15" t="s">
        <v>144</v>
      </c>
      <c r="DK15" t="s">
        <v>145</v>
      </c>
      <c r="DL15">
        <v>1</v>
      </c>
      <c r="DM15">
        <v>2</v>
      </c>
      <c r="DN15">
        <v>3</v>
      </c>
      <c r="DO15">
        <v>4</v>
      </c>
      <c r="DP15">
        <v>5</v>
      </c>
      <c r="DQ15">
        <v>6</v>
      </c>
      <c r="DR15">
        <v>7</v>
      </c>
      <c r="DS15">
        <v>8</v>
      </c>
      <c r="DT15">
        <v>9</v>
      </c>
      <c r="DU15">
        <v>10</v>
      </c>
      <c r="DV15">
        <v>11</v>
      </c>
      <c r="DW15">
        <v>12</v>
      </c>
      <c r="DX15">
        <v>13</v>
      </c>
      <c r="DY15">
        <v>14</v>
      </c>
      <c r="DZ15">
        <v>1</v>
      </c>
      <c r="EA15">
        <v>3</v>
      </c>
      <c r="EB15">
        <v>4</v>
      </c>
      <c r="EC15">
        <v>7</v>
      </c>
      <c r="ED15">
        <v>8</v>
      </c>
      <c r="EE15">
        <v>9</v>
      </c>
      <c r="EF15">
        <v>10</v>
      </c>
      <c r="EG15">
        <v>13</v>
      </c>
      <c r="EH15">
        <v>14</v>
      </c>
      <c r="EI15">
        <v>15</v>
      </c>
      <c r="EJ15">
        <v>16</v>
      </c>
      <c r="EK15">
        <v>22</v>
      </c>
      <c r="EL15">
        <v>23</v>
      </c>
      <c r="EM15" s="16">
        <v>24</v>
      </c>
    </row>
    <row r="16" spans="1:532" x14ac:dyDescent="0.25">
      <c r="A16" t="s">
        <v>188</v>
      </c>
      <c r="B16" t="s">
        <v>189</v>
      </c>
      <c r="C16" s="3" t="s">
        <v>127</v>
      </c>
      <c r="O16" s="2"/>
      <c r="P16" t="s">
        <v>129</v>
      </c>
      <c r="Q16" s="1"/>
      <c r="S16" s="1" t="s">
        <v>130</v>
      </c>
      <c r="T16" s="14" t="s">
        <v>554</v>
      </c>
      <c r="U16" s="15">
        <v>15</v>
      </c>
      <c r="V16" s="15" t="s">
        <v>323</v>
      </c>
      <c r="W16" s="15"/>
      <c r="AC16" t="s">
        <v>262</v>
      </c>
      <c r="AD16" t="s">
        <v>240</v>
      </c>
      <c r="AE16" t="s">
        <v>242</v>
      </c>
      <c r="AF16" t="s">
        <v>267</v>
      </c>
      <c r="AG16" t="s">
        <v>248</v>
      </c>
      <c r="AH16" t="s">
        <v>255</v>
      </c>
      <c r="AI16" t="s">
        <v>190</v>
      </c>
      <c r="AL16" t="s">
        <v>137</v>
      </c>
      <c r="AM16" t="s">
        <v>138</v>
      </c>
      <c r="AP16" t="s">
        <v>139</v>
      </c>
      <c r="AQ16" t="s">
        <v>140</v>
      </c>
      <c r="AZ16" s="16"/>
      <c r="BA16" t="str">
        <f t="shared" si="0"/>
        <v>XT15</v>
      </c>
      <c r="BB16" t="str">
        <f t="shared" si="1"/>
        <v>C26</v>
      </c>
      <c r="BC16" t="str">
        <f t="shared" si="2"/>
        <v>B26</v>
      </c>
      <c r="BD16" t="str">
        <f t="shared" si="3"/>
        <v>C27</v>
      </c>
      <c r="BE16" t="str">
        <f t="shared" si="4"/>
        <v>B27</v>
      </c>
      <c r="BF16" t="str">
        <f t="shared" si="5"/>
        <v>C28</v>
      </c>
      <c r="BG16" t="str">
        <f t="shared" si="6"/>
        <v>B28</v>
      </c>
      <c r="BH16" t="str">
        <f t="shared" si="7"/>
        <v>C29</v>
      </c>
      <c r="BI16" t="str">
        <f t="shared" si="8"/>
        <v>B29</v>
      </c>
      <c r="BJ16" t="str">
        <f t="shared" si="9"/>
        <v>C30</v>
      </c>
      <c r="BK16" t="str">
        <f t="shared" si="10"/>
        <v>B30</v>
      </c>
      <c r="BL16" t="str">
        <f t="shared" si="11"/>
        <v>14B</v>
      </c>
      <c r="BM16" t="str">
        <f t="shared" si="12"/>
        <v>14A</v>
      </c>
      <c r="BN16" t="str">
        <f t="shared" si="18"/>
        <v>15B</v>
      </c>
      <c r="BO16" t="str">
        <f t="shared" si="19"/>
        <v>15A</v>
      </c>
      <c r="BP16" t="str">
        <f t="shared" si="13"/>
        <v>DI3-C25</v>
      </c>
      <c r="BQ16" t="str">
        <f t="shared" si="13"/>
        <v>DI3-B25</v>
      </c>
      <c r="BR16" t="str">
        <f t="shared" si="14"/>
        <v>DI3-C26</v>
      </c>
      <c r="BS16" t="str">
        <f t="shared" si="14"/>
        <v>DI3-B26</v>
      </c>
      <c r="BT16" t="str">
        <f t="shared" si="14"/>
        <v>DI3-C27</v>
      </c>
      <c r="BU16" t="str">
        <f t="shared" si="14"/>
        <v>DI3-B27</v>
      </c>
      <c r="BV16" t="str">
        <f t="shared" si="14"/>
        <v>DI3-C28</v>
      </c>
      <c r="BW16" t="str">
        <f t="shared" si="14"/>
        <v>DI3-B28</v>
      </c>
      <c r="BX16" t="str">
        <f t="shared" si="14"/>
        <v>DI3-C29</v>
      </c>
      <c r="BY16" t="str">
        <f t="shared" si="14"/>
        <v>DI3-B29</v>
      </c>
      <c r="BZ16" t="str">
        <f t="shared" si="14"/>
        <v>DI3-C30</v>
      </c>
      <c r="CA16" t="str">
        <f t="shared" si="14"/>
        <v>DI3-B30</v>
      </c>
      <c r="CB16" t="str">
        <f t="shared" si="15"/>
        <v>DO2-13B</v>
      </c>
      <c r="CC16" t="str">
        <f t="shared" si="15"/>
        <v>DO2-13A</v>
      </c>
      <c r="CD16" t="str">
        <f t="shared" si="16"/>
        <v>DO2-14B</v>
      </c>
      <c r="CE16" t="str">
        <f t="shared" si="16"/>
        <v>DO2-14A</v>
      </c>
      <c r="CF16" t="str">
        <f t="shared" si="16"/>
        <v>DO2-15B</v>
      </c>
      <c r="CG16" t="str">
        <f t="shared" si="16"/>
        <v>DO2-15A</v>
      </c>
      <c r="CH16" t="str">
        <f t="shared" si="20"/>
        <v>K15-10</v>
      </c>
      <c r="CI16" t="str">
        <f t="shared" si="21"/>
        <v>K15-03</v>
      </c>
      <c r="CJ16" t="str">
        <f t="shared" si="22"/>
        <v>K15-04</v>
      </c>
      <c r="CK16" t="str">
        <f t="shared" si="23"/>
        <v>K15-01</v>
      </c>
      <c r="CL16" t="str">
        <f t="shared" si="24"/>
        <v>K15-08</v>
      </c>
      <c r="CM16" t="str">
        <f t="shared" si="25"/>
        <v>K15-02</v>
      </c>
      <c r="CN16" t="str">
        <f t="shared" si="26"/>
        <v>K15-09</v>
      </c>
      <c r="CO16" t="str">
        <f t="shared" si="27"/>
        <v>K15-05</v>
      </c>
      <c r="CP16" t="str">
        <f t="shared" si="28"/>
        <v>K15-11</v>
      </c>
      <c r="CQ16" t="str">
        <f t="shared" si="29"/>
        <v>F0-M15-A9</v>
      </c>
      <c r="CR16" t="str">
        <f t="shared" si="30"/>
        <v>F0-M15-A7</v>
      </c>
      <c r="CS16" t="str">
        <f t="shared" si="31"/>
        <v>F0-M15-A8</v>
      </c>
      <c r="CT16" t="str">
        <f t="shared" si="32"/>
        <v>F0-M15-A6</v>
      </c>
      <c r="CU16" t="str">
        <f t="shared" si="33"/>
        <v>F0-M15-A30</v>
      </c>
      <c r="CV16" t="str">
        <f t="shared" si="34"/>
        <v>F0-M15-N</v>
      </c>
      <c r="CW16" t="str">
        <f t="shared" si="17"/>
        <v>F0-A220-M15</v>
      </c>
      <c r="CX16" t="str">
        <f t="shared" si="35"/>
        <v>F0-M15-XM01</v>
      </c>
      <c r="CY16" t="str">
        <f t="shared" si="36"/>
        <v>F0-M15-A1</v>
      </c>
      <c r="CZ16" t="str">
        <f t="shared" si="37"/>
        <v>F0-M15-A5</v>
      </c>
      <c r="DA16" t="str">
        <f t="shared" si="38"/>
        <v>F0-M15-A11</v>
      </c>
      <c r="DB16" t="str">
        <f t="shared" si="39"/>
        <v>F0-M15-A12</v>
      </c>
      <c r="DC16" t="str">
        <f t="shared" si="40"/>
        <v>F0-M15-A19</v>
      </c>
      <c r="DD16" t="str">
        <f t="shared" si="41"/>
        <v>F0-M15-A20</v>
      </c>
      <c r="DE16" t="s">
        <v>142</v>
      </c>
      <c r="DF16" t="s">
        <v>143</v>
      </c>
      <c r="DG16">
        <v>11</v>
      </c>
      <c r="DH16">
        <v>14</v>
      </c>
      <c r="DI16">
        <v>12</v>
      </c>
      <c r="DJ16" t="s">
        <v>144</v>
      </c>
      <c r="DK16" t="s">
        <v>145</v>
      </c>
      <c r="DL16">
        <v>1</v>
      </c>
      <c r="DM16">
        <v>2</v>
      </c>
      <c r="DN16">
        <v>3</v>
      </c>
      <c r="DO16">
        <v>4</v>
      </c>
      <c r="DP16">
        <v>5</v>
      </c>
      <c r="DQ16">
        <v>6</v>
      </c>
      <c r="DR16">
        <v>7</v>
      </c>
      <c r="DS16">
        <v>8</v>
      </c>
      <c r="DT16">
        <v>9</v>
      </c>
      <c r="DU16">
        <v>10</v>
      </c>
      <c r="DV16">
        <v>11</v>
      </c>
      <c r="DW16">
        <v>12</v>
      </c>
      <c r="DX16">
        <v>13</v>
      </c>
      <c r="DY16">
        <v>14</v>
      </c>
      <c r="DZ16">
        <v>1</v>
      </c>
      <c r="EA16">
        <v>3</v>
      </c>
      <c r="EB16">
        <v>4</v>
      </c>
      <c r="EC16">
        <v>7</v>
      </c>
      <c r="ED16">
        <v>8</v>
      </c>
      <c r="EE16">
        <v>9</v>
      </c>
      <c r="EF16">
        <v>10</v>
      </c>
      <c r="EG16">
        <v>13</v>
      </c>
      <c r="EH16">
        <v>14</v>
      </c>
      <c r="EI16">
        <v>15</v>
      </c>
      <c r="EJ16">
        <v>16</v>
      </c>
      <c r="EK16">
        <v>22</v>
      </c>
      <c r="EL16">
        <v>23</v>
      </c>
      <c r="EM16" s="16">
        <v>24</v>
      </c>
    </row>
    <row r="17" spans="1:143" x14ac:dyDescent="0.25">
      <c r="A17" t="s">
        <v>191</v>
      </c>
      <c r="B17" t="s">
        <v>192</v>
      </c>
      <c r="C17" s="3" t="s">
        <v>127</v>
      </c>
      <c r="O17" s="2"/>
      <c r="P17" t="s">
        <v>129</v>
      </c>
      <c r="Q17" s="1"/>
      <c r="S17" s="1" t="s">
        <v>130</v>
      </c>
      <c r="T17" s="14" t="s">
        <v>554</v>
      </c>
      <c r="U17" s="15">
        <v>16</v>
      </c>
      <c r="V17" s="15" t="s">
        <v>324</v>
      </c>
      <c r="W17" s="15"/>
      <c r="AC17" t="s">
        <v>263</v>
      </c>
      <c r="AD17" t="s">
        <v>133</v>
      </c>
      <c r="AE17" t="s">
        <v>134</v>
      </c>
      <c r="AF17" t="s">
        <v>267</v>
      </c>
      <c r="AG17" t="s">
        <v>249</v>
      </c>
      <c r="AH17" t="s">
        <v>256</v>
      </c>
      <c r="AI17" t="s">
        <v>193</v>
      </c>
      <c r="AL17" t="s">
        <v>137</v>
      </c>
      <c r="AM17" t="s">
        <v>138</v>
      </c>
      <c r="AP17" t="s">
        <v>139</v>
      </c>
      <c r="AQ17" t="s">
        <v>140</v>
      </c>
      <c r="AZ17" s="16"/>
      <c r="BA17" t="str">
        <f t="shared" si="0"/>
        <v>XT16</v>
      </c>
      <c r="BB17" t="str">
        <f t="shared" si="1"/>
        <v>C2</v>
      </c>
      <c r="BC17" t="str">
        <f t="shared" si="2"/>
        <v>B2</v>
      </c>
      <c r="BD17" t="str">
        <f t="shared" si="3"/>
        <v>C3</v>
      </c>
      <c r="BE17" t="str">
        <f t="shared" si="4"/>
        <v>B3</v>
      </c>
      <c r="BF17" t="str">
        <f t="shared" si="5"/>
        <v>C4</v>
      </c>
      <c r="BG17" t="str">
        <f t="shared" si="6"/>
        <v>B4</v>
      </c>
      <c r="BH17" t="str">
        <f t="shared" si="7"/>
        <v>C5</v>
      </c>
      <c r="BI17" t="str">
        <f t="shared" si="8"/>
        <v>B5</v>
      </c>
      <c r="BJ17" t="str">
        <f t="shared" si="9"/>
        <v>C6</v>
      </c>
      <c r="BK17" t="str">
        <f t="shared" si="10"/>
        <v>B6</v>
      </c>
      <c r="BL17" t="str">
        <f t="shared" si="11"/>
        <v>17B</v>
      </c>
      <c r="BM17" t="str">
        <f t="shared" si="12"/>
        <v>17A</v>
      </c>
      <c r="BN17" t="str">
        <f t="shared" si="18"/>
        <v>18B</v>
      </c>
      <c r="BO17" t="str">
        <f t="shared" si="19"/>
        <v>18A</v>
      </c>
      <c r="BP17" t="str">
        <f t="shared" si="13"/>
        <v>DI4-C1</v>
      </c>
      <c r="BQ17" t="str">
        <f t="shared" si="13"/>
        <v>DI4-B1</v>
      </c>
      <c r="BR17" t="str">
        <f t="shared" si="14"/>
        <v>DI4-C2</v>
      </c>
      <c r="BS17" t="str">
        <f t="shared" si="14"/>
        <v>DI4-B2</v>
      </c>
      <c r="BT17" t="str">
        <f t="shared" si="14"/>
        <v>DI4-C3</v>
      </c>
      <c r="BU17" t="str">
        <f t="shared" si="14"/>
        <v>DI4-B3</v>
      </c>
      <c r="BV17" t="str">
        <f t="shared" si="14"/>
        <v>DI4-C4</v>
      </c>
      <c r="BW17" t="str">
        <f t="shared" si="14"/>
        <v>DI4-B4</v>
      </c>
      <c r="BX17" t="str">
        <f t="shared" si="14"/>
        <v>DI4-C5</v>
      </c>
      <c r="BY17" t="str">
        <f t="shared" si="14"/>
        <v>DI4-B5</v>
      </c>
      <c r="BZ17" t="str">
        <f t="shared" si="14"/>
        <v>DI4-C6</v>
      </c>
      <c r="CA17" t="str">
        <f t="shared" si="14"/>
        <v>DI4-B6</v>
      </c>
      <c r="CB17" t="str">
        <f t="shared" si="15"/>
        <v>DO2-16B</v>
      </c>
      <c r="CC17" t="str">
        <f t="shared" si="15"/>
        <v>DO2-16A</v>
      </c>
      <c r="CD17" t="str">
        <f t="shared" si="16"/>
        <v>DO2-17B</v>
      </c>
      <c r="CE17" t="str">
        <f t="shared" si="16"/>
        <v>DO2-17A</v>
      </c>
      <c r="CF17" t="str">
        <f t="shared" si="16"/>
        <v>DO2-18B</v>
      </c>
      <c r="CG17" t="str">
        <f t="shared" si="16"/>
        <v>DO2-18A</v>
      </c>
      <c r="CH17" t="str">
        <f t="shared" si="20"/>
        <v>K16-10</v>
      </c>
      <c r="CI17" t="str">
        <f t="shared" si="21"/>
        <v>K16-03</v>
      </c>
      <c r="CJ17" t="str">
        <f t="shared" si="22"/>
        <v>K16-04</v>
      </c>
      <c r="CK17" t="str">
        <f t="shared" si="23"/>
        <v>K16-01</v>
      </c>
      <c r="CL17" t="str">
        <f t="shared" si="24"/>
        <v>K16-08</v>
      </c>
      <c r="CM17" t="str">
        <f t="shared" si="25"/>
        <v>K16-02</v>
      </c>
      <c r="CN17" t="str">
        <f t="shared" si="26"/>
        <v>K16-09</v>
      </c>
      <c r="CO17" t="str">
        <f t="shared" si="27"/>
        <v>K16-05</v>
      </c>
      <c r="CP17" t="str">
        <f t="shared" si="28"/>
        <v>K16-11</v>
      </c>
      <c r="CQ17" t="str">
        <f t="shared" si="29"/>
        <v>F0-M16-A9</v>
      </c>
      <c r="CR17" t="str">
        <f t="shared" si="30"/>
        <v>F0-M16-A7</v>
      </c>
      <c r="CS17" t="str">
        <f t="shared" si="31"/>
        <v>F0-M16-A8</v>
      </c>
      <c r="CT17" t="str">
        <f t="shared" si="32"/>
        <v>F0-M16-A6</v>
      </c>
      <c r="CU17" t="str">
        <f t="shared" si="33"/>
        <v>F0-M16-A30</v>
      </c>
      <c r="CV17" t="str">
        <f t="shared" si="34"/>
        <v>F0-M16-N</v>
      </c>
      <c r="CW17" t="str">
        <f t="shared" si="17"/>
        <v>F0-A220-M16</v>
      </c>
      <c r="CX17" t="str">
        <f t="shared" si="35"/>
        <v>F0-M16-XM01</v>
      </c>
      <c r="CY17" t="str">
        <f t="shared" si="36"/>
        <v>F0-M16-A1</v>
      </c>
      <c r="CZ17" t="str">
        <f t="shared" si="37"/>
        <v>F0-M16-A5</v>
      </c>
      <c r="DA17" t="str">
        <f t="shared" si="38"/>
        <v>F0-M16-A11</v>
      </c>
      <c r="DB17" t="str">
        <f t="shared" si="39"/>
        <v>F0-M16-A12</v>
      </c>
      <c r="DC17" t="str">
        <f t="shared" si="40"/>
        <v>F0-M16-A19</v>
      </c>
      <c r="DD17" t="str">
        <f t="shared" si="41"/>
        <v>F0-M16-A20</v>
      </c>
      <c r="DE17" t="s">
        <v>142</v>
      </c>
      <c r="DF17" t="s">
        <v>143</v>
      </c>
      <c r="DG17">
        <v>11</v>
      </c>
      <c r="DH17">
        <v>14</v>
      </c>
      <c r="DI17">
        <v>12</v>
      </c>
      <c r="DJ17" t="s">
        <v>144</v>
      </c>
      <c r="DK17" t="s">
        <v>145</v>
      </c>
      <c r="DL17">
        <v>1</v>
      </c>
      <c r="DM17">
        <v>2</v>
      </c>
      <c r="DN17">
        <v>3</v>
      </c>
      <c r="DO17">
        <v>4</v>
      </c>
      <c r="DP17">
        <v>5</v>
      </c>
      <c r="DQ17">
        <v>6</v>
      </c>
      <c r="DR17">
        <v>7</v>
      </c>
      <c r="DS17">
        <v>8</v>
      </c>
      <c r="DT17">
        <v>9</v>
      </c>
      <c r="DU17">
        <v>10</v>
      </c>
      <c r="DV17">
        <v>11</v>
      </c>
      <c r="DW17">
        <v>12</v>
      </c>
      <c r="DX17">
        <v>13</v>
      </c>
      <c r="DY17">
        <v>14</v>
      </c>
      <c r="DZ17">
        <v>1</v>
      </c>
      <c r="EA17">
        <v>3</v>
      </c>
      <c r="EB17">
        <v>4</v>
      </c>
      <c r="EC17">
        <v>7</v>
      </c>
      <c r="ED17">
        <v>8</v>
      </c>
      <c r="EE17">
        <v>9</v>
      </c>
      <c r="EF17">
        <v>10</v>
      </c>
      <c r="EG17">
        <v>13</v>
      </c>
      <c r="EH17">
        <v>14</v>
      </c>
      <c r="EI17">
        <v>15</v>
      </c>
      <c r="EJ17">
        <v>16</v>
      </c>
      <c r="EK17">
        <v>22</v>
      </c>
      <c r="EL17">
        <v>23</v>
      </c>
      <c r="EM17" s="16">
        <v>24</v>
      </c>
    </row>
    <row r="18" spans="1:143" x14ac:dyDescent="0.25">
      <c r="A18" t="s">
        <v>194</v>
      </c>
      <c r="B18" t="s">
        <v>195</v>
      </c>
      <c r="C18" s="3" t="s">
        <v>127</v>
      </c>
      <c r="O18" s="2"/>
      <c r="P18" t="s">
        <v>129</v>
      </c>
      <c r="Q18" s="1"/>
      <c r="S18" s="1" t="s">
        <v>130</v>
      </c>
      <c r="T18" s="14" t="s">
        <v>554</v>
      </c>
      <c r="U18" s="15">
        <v>17</v>
      </c>
      <c r="V18" s="15" t="s">
        <v>325</v>
      </c>
      <c r="W18" s="15"/>
      <c r="AC18" t="s">
        <v>263</v>
      </c>
      <c r="AD18" t="s">
        <v>148</v>
      </c>
      <c r="AE18" t="s">
        <v>149</v>
      </c>
      <c r="AF18" t="s">
        <v>267</v>
      </c>
      <c r="AG18" t="s">
        <v>250</v>
      </c>
      <c r="AH18" t="s">
        <v>257</v>
      </c>
      <c r="AI18" t="s">
        <v>196</v>
      </c>
      <c r="AL18" t="s">
        <v>137</v>
      </c>
      <c r="AM18" t="s">
        <v>138</v>
      </c>
      <c r="AP18" t="s">
        <v>139</v>
      </c>
      <c r="AQ18" t="s">
        <v>140</v>
      </c>
      <c r="AZ18" s="16"/>
      <c r="BA18" t="str">
        <f t="shared" si="0"/>
        <v>XT17</v>
      </c>
      <c r="BB18" t="str">
        <f t="shared" si="1"/>
        <v>C8</v>
      </c>
      <c r="BC18" t="str">
        <f t="shared" si="2"/>
        <v>B8</v>
      </c>
      <c r="BD18" t="str">
        <f t="shared" si="3"/>
        <v>C9</v>
      </c>
      <c r="BE18" t="str">
        <f t="shared" si="4"/>
        <v>B9</v>
      </c>
      <c r="BF18" t="str">
        <f t="shared" si="5"/>
        <v>C10</v>
      </c>
      <c r="BG18" t="str">
        <f t="shared" si="6"/>
        <v>B10</v>
      </c>
      <c r="BH18" t="str">
        <f t="shared" si="7"/>
        <v>C11</v>
      </c>
      <c r="BI18" t="str">
        <f t="shared" si="8"/>
        <v>B11</v>
      </c>
      <c r="BJ18" t="str">
        <f t="shared" si="9"/>
        <v>C12</v>
      </c>
      <c r="BK18" t="str">
        <f t="shared" si="10"/>
        <v>B12</v>
      </c>
      <c r="BL18" t="str">
        <f t="shared" si="11"/>
        <v>20B</v>
      </c>
      <c r="BM18" t="str">
        <f t="shared" si="12"/>
        <v>20A</v>
      </c>
      <c r="BN18" t="str">
        <f t="shared" si="18"/>
        <v>21B</v>
      </c>
      <c r="BO18" t="str">
        <f t="shared" si="19"/>
        <v>21A</v>
      </c>
      <c r="BP18" t="str">
        <f t="shared" si="13"/>
        <v>DI4-C7</v>
      </c>
      <c r="BQ18" t="str">
        <f t="shared" si="13"/>
        <v>DI4-B7</v>
      </c>
      <c r="BR18" t="str">
        <f t="shared" ref="BR18:CA33" si="42">CONCATENATE("DI",REPLACE($AC18,1,3,""),"-",BB18)</f>
        <v>DI4-C8</v>
      </c>
      <c r="BS18" t="str">
        <f t="shared" si="42"/>
        <v>DI4-B8</v>
      </c>
      <c r="BT18" t="str">
        <f t="shared" si="42"/>
        <v>DI4-C9</v>
      </c>
      <c r="BU18" t="str">
        <f t="shared" si="42"/>
        <v>DI4-B9</v>
      </c>
      <c r="BV18" t="str">
        <f t="shared" si="42"/>
        <v>DI4-C10</v>
      </c>
      <c r="BW18" t="str">
        <f t="shared" si="42"/>
        <v>DI4-B10</v>
      </c>
      <c r="BX18" t="str">
        <f t="shared" si="42"/>
        <v>DI4-C11</v>
      </c>
      <c r="BY18" t="str">
        <f t="shared" si="42"/>
        <v>DI4-B11</v>
      </c>
      <c r="BZ18" t="str">
        <f t="shared" si="42"/>
        <v>DI4-C12</v>
      </c>
      <c r="CA18" t="str">
        <f t="shared" si="42"/>
        <v>DI4-B12</v>
      </c>
      <c r="CB18" t="str">
        <f t="shared" si="15"/>
        <v>DO2-19B</v>
      </c>
      <c r="CC18" t="str">
        <f t="shared" si="15"/>
        <v>DO2-19A</v>
      </c>
      <c r="CD18" t="str">
        <f t="shared" si="16"/>
        <v>DO2-20B</v>
      </c>
      <c r="CE18" t="str">
        <f t="shared" si="16"/>
        <v>DO2-20A</v>
      </c>
      <c r="CF18" t="str">
        <f t="shared" si="16"/>
        <v>DO2-21B</v>
      </c>
      <c r="CG18" t="str">
        <f t="shared" si="16"/>
        <v>DO2-21A</v>
      </c>
      <c r="CH18" t="str">
        <f t="shared" si="20"/>
        <v>K17-10</v>
      </c>
      <c r="CI18" t="str">
        <f t="shared" si="21"/>
        <v>K17-03</v>
      </c>
      <c r="CJ18" t="str">
        <f t="shared" si="22"/>
        <v>K17-04</v>
      </c>
      <c r="CK18" t="str">
        <f t="shared" si="23"/>
        <v>K17-01</v>
      </c>
      <c r="CL18" t="str">
        <f t="shared" si="24"/>
        <v>K17-08</v>
      </c>
      <c r="CM18" t="str">
        <f t="shared" si="25"/>
        <v>K17-02</v>
      </c>
      <c r="CN18" t="str">
        <f t="shared" si="26"/>
        <v>K17-09</v>
      </c>
      <c r="CO18" t="str">
        <f t="shared" si="27"/>
        <v>K17-05</v>
      </c>
      <c r="CP18" t="str">
        <f t="shared" si="28"/>
        <v>K17-11</v>
      </c>
      <c r="CQ18" t="str">
        <f t="shared" si="29"/>
        <v>F0-M17-A9</v>
      </c>
      <c r="CR18" t="str">
        <f t="shared" si="30"/>
        <v>F0-M17-A7</v>
      </c>
      <c r="CS18" t="str">
        <f t="shared" si="31"/>
        <v>F0-M17-A8</v>
      </c>
      <c r="CT18" t="str">
        <f t="shared" si="32"/>
        <v>F0-M17-A6</v>
      </c>
      <c r="CU18" t="str">
        <f t="shared" si="33"/>
        <v>F0-M17-A30</v>
      </c>
      <c r="CV18" t="str">
        <f t="shared" si="34"/>
        <v>F0-M17-N</v>
      </c>
      <c r="CW18" t="str">
        <f t="shared" si="17"/>
        <v>F0-A220-M17</v>
      </c>
      <c r="CX18" t="str">
        <f t="shared" si="35"/>
        <v>F0-M17-XM01</v>
      </c>
      <c r="CY18" t="str">
        <f t="shared" si="36"/>
        <v>F0-M17-A1</v>
      </c>
      <c r="CZ18" t="str">
        <f t="shared" si="37"/>
        <v>F0-M17-A5</v>
      </c>
      <c r="DA18" t="str">
        <f t="shared" si="38"/>
        <v>F0-M17-A11</v>
      </c>
      <c r="DB18" t="str">
        <f t="shared" si="39"/>
        <v>F0-M17-A12</v>
      </c>
      <c r="DC18" t="str">
        <f t="shared" si="40"/>
        <v>F0-M17-A19</v>
      </c>
      <c r="DD18" t="str">
        <f t="shared" si="41"/>
        <v>F0-M17-A20</v>
      </c>
      <c r="DE18" t="s">
        <v>142</v>
      </c>
      <c r="DF18" t="s">
        <v>143</v>
      </c>
      <c r="DG18">
        <v>11</v>
      </c>
      <c r="DH18">
        <v>14</v>
      </c>
      <c r="DI18">
        <v>12</v>
      </c>
      <c r="DJ18" t="s">
        <v>144</v>
      </c>
      <c r="DK18" t="s">
        <v>145</v>
      </c>
      <c r="DL18">
        <v>1</v>
      </c>
      <c r="DM18">
        <v>2</v>
      </c>
      <c r="DN18">
        <v>3</v>
      </c>
      <c r="DO18">
        <v>4</v>
      </c>
      <c r="DP18">
        <v>5</v>
      </c>
      <c r="DQ18">
        <v>6</v>
      </c>
      <c r="DR18">
        <v>7</v>
      </c>
      <c r="DS18">
        <v>8</v>
      </c>
      <c r="DT18">
        <v>9</v>
      </c>
      <c r="DU18">
        <v>10</v>
      </c>
      <c r="DV18">
        <v>11</v>
      </c>
      <c r="DW18">
        <v>12</v>
      </c>
      <c r="DX18">
        <v>13</v>
      </c>
      <c r="DY18">
        <v>14</v>
      </c>
      <c r="DZ18">
        <v>1</v>
      </c>
      <c r="EA18">
        <v>3</v>
      </c>
      <c r="EB18">
        <v>4</v>
      </c>
      <c r="EC18">
        <v>7</v>
      </c>
      <c r="ED18">
        <v>8</v>
      </c>
      <c r="EE18">
        <v>9</v>
      </c>
      <c r="EF18">
        <v>10</v>
      </c>
      <c r="EG18">
        <v>13</v>
      </c>
      <c r="EH18">
        <v>14</v>
      </c>
      <c r="EI18">
        <v>15</v>
      </c>
      <c r="EJ18">
        <v>16</v>
      </c>
      <c r="EK18">
        <v>22</v>
      </c>
      <c r="EL18">
        <v>23</v>
      </c>
      <c r="EM18" s="16">
        <v>24</v>
      </c>
    </row>
    <row r="19" spans="1:143" x14ac:dyDescent="0.25">
      <c r="A19" t="s">
        <v>197</v>
      </c>
      <c r="B19" t="s">
        <v>198</v>
      </c>
      <c r="C19" s="3" t="s">
        <v>127</v>
      </c>
      <c r="O19" s="2"/>
      <c r="P19" t="s">
        <v>129</v>
      </c>
      <c r="Q19" s="1"/>
      <c r="S19" s="1" t="s">
        <v>130</v>
      </c>
      <c r="T19" s="14" t="s">
        <v>554</v>
      </c>
      <c r="U19" s="15">
        <v>18</v>
      </c>
      <c r="V19" s="15" t="s">
        <v>326</v>
      </c>
      <c r="W19" s="15"/>
      <c r="AC19" t="s">
        <v>263</v>
      </c>
      <c r="AD19" t="s">
        <v>153</v>
      </c>
      <c r="AE19" t="s">
        <v>154</v>
      </c>
      <c r="AF19" t="s">
        <v>267</v>
      </c>
      <c r="AG19" t="s">
        <v>251</v>
      </c>
      <c r="AH19" t="s">
        <v>258</v>
      </c>
      <c r="AI19" t="s">
        <v>199</v>
      </c>
      <c r="AL19" t="s">
        <v>137</v>
      </c>
      <c r="AM19" t="s">
        <v>138</v>
      </c>
      <c r="AP19" t="s">
        <v>139</v>
      </c>
      <c r="AQ19" t="s">
        <v>140</v>
      </c>
      <c r="AZ19" s="16"/>
      <c r="BA19" t="str">
        <f t="shared" si="0"/>
        <v>XT18</v>
      </c>
      <c r="BB19" t="str">
        <f t="shared" si="1"/>
        <v>C14</v>
      </c>
      <c r="BC19" t="str">
        <f t="shared" si="2"/>
        <v>B14</v>
      </c>
      <c r="BD19" t="str">
        <f t="shared" si="3"/>
        <v>C15</v>
      </c>
      <c r="BE19" t="str">
        <f t="shared" si="4"/>
        <v>B15</v>
      </c>
      <c r="BF19" t="str">
        <f t="shared" si="5"/>
        <v>C16</v>
      </c>
      <c r="BG19" t="str">
        <f t="shared" si="6"/>
        <v>B16</v>
      </c>
      <c r="BH19" t="str">
        <f t="shared" si="7"/>
        <v>C17</v>
      </c>
      <c r="BI19" t="str">
        <f t="shared" si="8"/>
        <v>B17</v>
      </c>
      <c r="BJ19" t="str">
        <f t="shared" si="9"/>
        <v>C18</v>
      </c>
      <c r="BK19" t="str">
        <f t="shared" si="10"/>
        <v>B18</v>
      </c>
      <c r="BL19" t="str">
        <f t="shared" si="11"/>
        <v>23B</v>
      </c>
      <c r="BM19" t="str">
        <f t="shared" si="12"/>
        <v>23A</v>
      </c>
      <c r="BN19" t="str">
        <f t="shared" si="18"/>
        <v>24B</v>
      </c>
      <c r="BO19" t="str">
        <f t="shared" si="19"/>
        <v>24A</v>
      </c>
      <c r="BP19" t="str">
        <f t="shared" si="13"/>
        <v>DI4-C13</v>
      </c>
      <c r="BQ19" t="str">
        <f t="shared" si="13"/>
        <v>DI4-B13</v>
      </c>
      <c r="BR19" t="str">
        <f t="shared" si="42"/>
        <v>DI4-C14</v>
      </c>
      <c r="BS19" t="str">
        <f t="shared" si="42"/>
        <v>DI4-B14</v>
      </c>
      <c r="BT19" t="str">
        <f t="shared" si="42"/>
        <v>DI4-C15</v>
      </c>
      <c r="BU19" t="str">
        <f t="shared" si="42"/>
        <v>DI4-B15</v>
      </c>
      <c r="BV19" t="str">
        <f t="shared" si="42"/>
        <v>DI4-C16</v>
      </c>
      <c r="BW19" t="str">
        <f t="shared" si="42"/>
        <v>DI4-B16</v>
      </c>
      <c r="BX19" t="str">
        <f t="shared" si="42"/>
        <v>DI4-C17</v>
      </c>
      <c r="BY19" t="str">
        <f t="shared" si="42"/>
        <v>DI4-B17</v>
      </c>
      <c r="BZ19" t="str">
        <f t="shared" si="42"/>
        <v>DI4-C18</v>
      </c>
      <c r="CA19" t="str">
        <f t="shared" si="42"/>
        <v>DI4-B18</v>
      </c>
      <c r="CB19" t="str">
        <f t="shared" si="15"/>
        <v>DO2-22B</v>
      </c>
      <c r="CC19" t="str">
        <f t="shared" si="15"/>
        <v>DO2-22A</v>
      </c>
      <c r="CD19" t="str">
        <f t="shared" si="16"/>
        <v>DO2-23B</v>
      </c>
      <c r="CE19" t="str">
        <f t="shared" si="16"/>
        <v>DO2-23A</v>
      </c>
      <c r="CF19" t="str">
        <f t="shared" si="16"/>
        <v>DO2-24B</v>
      </c>
      <c r="CG19" t="str">
        <f t="shared" si="16"/>
        <v>DO2-24A</v>
      </c>
      <c r="CH19" t="str">
        <f t="shared" si="20"/>
        <v>K18-10</v>
      </c>
      <c r="CI19" t="str">
        <f t="shared" si="21"/>
        <v>K18-03</v>
      </c>
      <c r="CJ19" t="str">
        <f t="shared" si="22"/>
        <v>K18-04</v>
      </c>
      <c r="CK19" t="str">
        <f t="shared" si="23"/>
        <v>K18-01</v>
      </c>
      <c r="CL19" t="str">
        <f t="shared" si="24"/>
        <v>K18-08</v>
      </c>
      <c r="CM19" t="str">
        <f t="shared" si="25"/>
        <v>K18-02</v>
      </c>
      <c r="CN19" t="str">
        <f t="shared" si="26"/>
        <v>K18-09</v>
      </c>
      <c r="CO19" t="str">
        <f t="shared" si="27"/>
        <v>K18-05</v>
      </c>
      <c r="CP19" t="str">
        <f t="shared" si="28"/>
        <v>K18-11</v>
      </c>
      <c r="CQ19" t="str">
        <f t="shared" si="29"/>
        <v>F0-M18-A9</v>
      </c>
      <c r="CR19" t="str">
        <f t="shared" si="30"/>
        <v>F0-M18-A7</v>
      </c>
      <c r="CS19" t="str">
        <f t="shared" si="31"/>
        <v>F0-M18-A8</v>
      </c>
      <c r="CT19" t="str">
        <f t="shared" si="32"/>
        <v>F0-M18-A6</v>
      </c>
      <c r="CU19" t="str">
        <f t="shared" si="33"/>
        <v>F0-M18-A30</v>
      </c>
      <c r="CV19" t="str">
        <f t="shared" si="34"/>
        <v>F0-M18-N</v>
      </c>
      <c r="CW19" t="str">
        <f t="shared" si="17"/>
        <v>F0-A220-M18</v>
      </c>
      <c r="CX19" t="str">
        <f t="shared" si="35"/>
        <v>F0-M18-XM01</v>
      </c>
      <c r="CY19" t="str">
        <f t="shared" si="36"/>
        <v>F0-M18-A1</v>
      </c>
      <c r="CZ19" t="str">
        <f t="shared" si="37"/>
        <v>F0-M18-A5</v>
      </c>
      <c r="DA19" t="str">
        <f t="shared" si="38"/>
        <v>F0-M18-A11</v>
      </c>
      <c r="DB19" t="str">
        <f t="shared" si="39"/>
        <v>F0-M18-A12</v>
      </c>
      <c r="DC19" t="str">
        <f t="shared" si="40"/>
        <v>F0-M18-A19</v>
      </c>
      <c r="DD19" t="str">
        <f t="shared" si="41"/>
        <v>F0-M18-A20</v>
      </c>
      <c r="DE19" t="s">
        <v>142</v>
      </c>
      <c r="DF19" t="s">
        <v>143</v>
      </c>
      <c r="DG19">
        <v>11</v>
      </c>
      <c r="DH19">
        <v>14</v>
      </c>
      <c r="DI19">
        <v>12</v>
      </c>
      <c r="DJ19" t="s">
        <v>144</v>
      </c>
      <c r="DK19" t="s">
        <v>145</v>
      </c>
      <c r="DL19">
        <v>1</v>
      </c>
      <c r="DM19">
        <v>2</v>
      </c>
      <c r="DN19">
        <v>3</v>
      </c>
      <c r="DO19">
        <v>4</v>
      </c>
      <c r="DP19">
        <v>5</v>
      </c>
      <c r="DQ19">
        <v>6</v>
      </c>
      <c r="DR19">
        <v>7</v>
      </c>
      <c r="DS19">
        <v>8</v>
      </c>
      <c r="DT19">
        <v>9</v>
      </c>
      <c r="DU19">
        <v>10</v>
      </c>
      <c r="DV19">
        <v>11</v>
      </c>
      <c r="DW19">
        <v>12</v>
      </c>
      <c r="DX19">
        <v>13</v>
      </c>
      <c r="DY19">
        <v>14</v>
      </c>
      <c r="DZ19">
        <v>1</v>
      </c>
      <c r="EA19">
        <v>3</v>
      </c>
      <c r="EB19">
        <v>4</v>
      </c>
      <c r="EC19">
        <v>7</v>
      </c>
      <c r="ED19">
        <v>8</v>
      </c>
      <c r="EE19">
        <v>9</v>
      </c>
      <c r="EF19">
        <v>10</v>
      </c>
      <c r="EG19">
        <v>13</v>
      </c>
      <c r="EH19">
        <v>14</v>
      </c>
      <c r="EI19">
        <v>15</v>
      </c>
      <c r="EJ19">
        <v>16</v>
      </c>
      <c r="EK19">
        <v>22</v>
      </c>
      <c r="EL19">
        <v>23</v>
      </c>
      <c r="EM19" s="16">
        <v>24</v>
      </c>
    </row>
    <row r="20" spans="1:143" x14ac:dyDescent="0.25">
      <c r="A20" t="s">
        <v>200</v>
      </c>
      <c r="B20" t="s">
        <v>201</v>
      </c>
      <c r="C20" s="3" t="s">
        <v>127</v>
      </c>
      <c r="O20" s="2"/>
      <c r="P20" t="s">
        <v>129</v>
      </c>
      <c r="Q20" s="1"/>
      <c r="S20" s="1" t="s">
        <v>130</v>
      </c>
      <c r="T20" s="14" t="s">
        <v>554</v>
      </c>
      <c r="U20" s="15">
        <v>19</v>
      </c>
      <c r="V20" s="15" t="s">
        <v>327</v>
      </c>
      <c r="W20" s="15"/>
      <c r="AC20" t="s">
        <v>263</v>
      </c>
      <c r="AD20" t="s">
        <v>239</v>
      </c>
      <c r="AE20" t="s">
        <v>241</v>
      </c>
      <c r="AF20" t="s">
        <v>267</v>
      </c>
      <c r="AG20" t="s">
        <v>252</v>
      </c>
      <c r="AH20" t="s">
        <v>259</v>
      </c>
      <c r="AI20" t="s">
        <v>202</v>
      </c>
      <c r="AL20" t="s">
        <v>137</v>
      </c>
      <c r="AM20" t="s">
        <v>138</v>
      </c>
      <c r="AP20" t="s">
        <v>139</v>
      </c>
      <c r="AQ20" t="s">
        <v>140</v>
      </c>
      <c r="AZ20" s="16"/>
      <c r="BA20" t="str">
        <f t="shared" si="0"/>
        <v>XT19</v>
      </c>
      <c r="BB20" t="str">
        <f t="shared" si="1"/>
        <v>C20</v>
      </c>
      <c r="BC20" t="str">
        <f t="shared" si="2"/>
        <v>B20</v>
      </c>
      <c r="BD20" t="str">
        <f t="shared" si="3"/>
        <v>C21</v>
      </c>
      <c r="BE20" t="str">
        <f t="shared" si="4"/>
        <v>B21</v>
      </c>
      <c r="BF20" t="str">
        <f t="shared" si="5"/>
        <v>C22</v>
      </c>
      <c r="BG20" t="str">
        <f t="shared" si="6"/>
        <v>B22</v>
      </c>
      <c r="BH20" t="str">
        <f t="shared" si="7"/>
        <v>C23</v>
      </c>
      <c r="BI20" t="str">
        <f t="shared" si="8"/>
        <v>B23</v>
      </c>
      <c r="BJ20" t="str">
        <f t="shared" si="9"/>
        <v>C24</v>
      </c>
      <c r="BK20" t="str">
        <f t="shared" si="10"/>
        <v>B24</v>
      </c>
      <c r="BL20" t="str">
        <f t="shared" si="11"/>
        <v>26B</v>
      </c>
      <c r="BM20" t="str">
        <f t="shared" si="12"/>
        <v>26A</v>
      </c>
      <c r="BN20" t="str">
        <f t="shared" si="18"/>
        <v>27B</v>
      </c>
      <c r="BO20" t="str">
        <f t="shared" si="19"/>
        <v>27A</v>
      </c>
      <c r="BP20" t="str">
        <f t="shared" si="13"/>
        <v>DI4-C19</v>
      </c>
      <c r="BQ20" t="str">
        <f t="shared" si="13"/>
        <v>DI4-B19</v>
      </c>
      <c r="BR20" t="str">
        <f t="shared" si="42"/>
        <v>DI4-C20</v>
      </c>
      <c r="BS20" t="str">
        <f t="shared" si="42"/>
        <v>DI4-B20</v>
      </c>
      <c r="BT20" t="str">
        <f t="shared" si="42"/>
        <v>DI4-C21</v>
      </c>
      <c r="BU20" t="str">
        <f t="shared" si="42"/>
        <v>DI4-B21</v>
      </c>
      <c r="BV20" t="str">
        <f t="shared" si="42"/>
        <v>DI4-C22</v>
      </c>
      <c r="BW20" t="str">
        <f t="shared" si="42"/>
        <v>DI4-B22</v>
      </c>
      <c r="BX20" t="str">
        <f t="shared" si="42"/>
        <v>DI4-C23</v>
      </c>
      <c r="BY20" t="str">
        <f t="shared" si="42"/>
        <v>DI4-B23</v>
      </c>
      <c r="BZ20" t="str">
        <f t="shared" si="42"/>
        <v>DI4-C24</v>
      </c>
      <c r="CA20" t="str">
        <f t="shared" si="42"/>
        <v>DI4-B24</v>
      </c>
      <c r="CB20" t="str">
        <f t="shared" si="15"/>
        <v>DO2-25B</v>
      </c>
      <c r="CC20" t="str">
        <f t="shared" si="15"/>
        <v>DO2-25A</v>
      </c>
      <c r="CD20" t="str">
        <f t="shared" si="16"/>
        <v>DO2-26B</v>
      </c>
      <c r="CE20" t="str">
        <f t="shared" si="16"/>
        <v>DO2-26A</v>
      </c>
      <c r="CF20" t="str">
        <f t="shared" si="16"/>
        <v>DO2-27B</v>
      </c>
      <c r="CG20" t="str">
        <f t="shared" si="16"/>
        <v>DO2-27A</v>
      </c>
      <c r="CH20" t="str">
        <f t="shared" si="20"/>
        <v>K19-10</v>
      </c>
      <c r="CI20" t="str">
        <f t="shared" si="21"/>
        <v>K19-03</v>
      </c>
      <c r="CJ20" t="str">
        <f t="shared" si="22"/>
        <v>K19-04</v>
      </c>
      <c r="CK20" t="str">
        <f t="shared" si="23"/>
        <v>K19-01</v>
      </c>
      <c r="CL20" t="str">
        <f t="shared" si="24"/>
        <v>K19-08</v>
      </c>
      <c r="CM20" t="str">
        <f t="shared" si="25"/>
        <v>K19-02</v>
      </c>
      <c r="CN20" t="str">
        <f t="shared" si="26"/>
        <v>K19-09</v>
      </c>
      <c r="CO20" t="str">
        <f t="shared" si="27"/>
        <v>K19-05</v>
      </c>
      <c r="CP20" t="str">
        <f t="shared" si="28"/>
        <v>K19-11</v>
      </c>
      <c r="CQ20" t="str">
        <f t="shared" si="29"/>
        <v>F0-M19-A9</v>
      </c>
      <c r="CR20" t="str">
        <f t="shared" si="30"/>
        <v>F0-M19-A7</v>
      </c>
      <c r="CS20" t="str">
        <f t="shared" si="31"/>
        <v>F0-M19-A8</v>
      </c>
      <c r="CT20" t="str">
        <f t="shared" si="32"/>
        <v>F0-M19-A6</v>
      </c>
      <c r="CU20" t="str">
        <f t="shared" si="33"/>
        <v>F0-M19-A30</v>
      </c>
      <c r="CV20" t="str">
        <f t="shared" si="34"/>
        <v>F0-M19-N</v>
      </c>
      <c r="CW20" t="str">
        <f t="shared" si="17"/>
        <v>F0-A220-M19</v>
      </c>
      <c r="CX20" t="str">
        <f t="shared" si="35"/>
        <v>F0-M19-XM01</v>
      </c>
      <c r="CY20" t="str">
        <f t="shared" si="36"/>
        <v>F0-M19-A1</v>
      </c>
      <c r="CZ20" t="str">
        <f t="shared" si="37"/>
        <v>F0-M19-A5</v>
      </c>
      <c r="DA20" t="str">
        <f t="shared" si="38"/>
        <v>F0-M19-A11</v>
      </c>
      <c r="DB20" t="str">
        <f t="shared" si="39"/>
        <v>F0-M19-A12</v>
      </c>
      <c r="DC20" t="str">
        <f t="shared" si="40"/>
        <v>F0-M19-A19</v>
      </c>
      <c r="DD20" t="str">
        <f t="shared" si="41"/>
        <v>F0-M19-A20</v>
      </c>
      <c r="DE20" t="s">
        <v>142</v>
      </c>
      <c r="DF20" t="s">
        <v>143</v>
      </c>
      <c r="DG20">
        <v>11</v>
      </c>
      <c r="DH20">
        <v>14</v>
      </c>
      <c r="DI20">
        <v>12</v>
      </c>
      <c r="DJ20" t="s">
        <v>144</v>
      </c>
      <c r="DK20" t="s">
        <v>145</v>
      </c>
      <c r="DL20">
        <v>1</v>
      </c>
      <c r="DM20">
        <v>2</v>
      </c>
      <c r="DN20">
        <v>3</v>
      </c>
      <c r="DO20">
        <v>4</v>
      </c>
      <c r="DP20">
        <v>5</v>
      </c>
      <c r="DQ20">
        <v>6</v>
      </c>
      <c r="DR20">
        <v>7</v>
      </c>
      <c r="DS20">
        <v>8</v>
      </c>
      <c r="DT20">
        <v>9</v>
      </c>
      <c r="DU20">
        <v>10</v>
      </c>
      <c r="DV20">
        <v>11</v>
      </c>
      <c r="DW20">
        <v>12</v>
      </c>
      <c r="DX20">
        <v>13</v>
      </c>
      <c r="DY20">
        <v>14</v>
      </c>
      <c r="DZ20">
        <v>1</v>
      </c>
      <c r="EA20">
        <v>3</v>
      </c>
      <c r="EB20">
        <v>4</v>
      </c>
      <c r="EC20">
        <v>7</v>
      </c>
      <c r="ED20">
        <v>8</v>
      </c>
      <c r="EE20">
        <v>9</v>
      </c>
      <c r="EF20">
        <v>10</v>
      </c>
      <c r="EG20">
        <v>13</v>
      </c>
      <c r="EH20">
        <v>14</v>
      </c>
      <c r="EI20">
        <v>15</v>
      </c>
      <c r="EJ20">
        <v>16</v>
      </c>
      <c r="EK20">
        <v>22</v>
      </c>
      <c r="EL20">
        <v>23</v>
      </c>
      <c r="EM20" s="16">
        <v>24</v>
      </c>
    </row>
    <row r="21" spans="1:143" x14ac:dyDescent="0.25">
      <c r="A21" t="s">
        <v>203</v>
      </c>
      <c r="B21" t="s">
        <v>204</v>
      </c>
      <c r="C21" s="3" t="s">
        <v>127</v>
      </c>
      <c r="O21" s="2"/>
      <c r="P21" t="s">
        <v>129</v>
      </c>
      <c r="Q21" s="1"/>
      <c r="S21" s="1" t="s">
        <v>130</v>
      </c>
      <c r="T21" s="14" t="s">
        <v>554</v>
      </c>
      <c r="U21" s="15">
        <v>20</v>
      </c>
      <c r="V21" s="15" t="s">
        <v>328</v>
      </c>
      <c r="W21" s="15"/>
      <c r="AC21" t="s">
        <v>263</v>
      </c>
      <c r="AD21" t="s">
        <v>240</v>
      </c>
      <c r="AE21" t="s">
        <v>242</v>
      </c>
      <c r="AF21" t="s">
        <v>267</v>
      </c>
      <c r="AG21" t="s">
        <v>253</v>
      </c>
      <c r="AH21" t="s">
        <v>260</v>
      </c>
      <c r="AI21" t="s">
        <v>205</v>
      </c>
      <c r="AL21" t="s">
        <v>137</v>
      </c>
      <c r="AM21" t="s">
        <v>138</v>
      </c>
      <c r="AP21" t="s">
        <v>139</v>
      </c>
      <c r="AQ21" t="s">
        <v>140</v>
      </c>
      <c r="AZ21" s="16"/>
      <c r="BA21" t="str">
        <f t="shared" si="0"/>
        <v>XT20</v>
      </c>
      <c r="BB21" t="str">
        <f t="shared" si="1"/>
        <v>C26</v>
      </c>
      <c r="BC21" t="str">
        <f t="shared" si="2"/>
        <v>B26</v>
      </c>
      <c r="BD21" t="str">
        <f t="shared" si="3"/>
        <v>C27</v>
      </c>
      <c r="BE21" t="str">
        <f t="shared" si="4"/>
        <v>B27</v>
      </c>
      <c r="BF21" t="str">
        <f t="shared" si="5"/>
        <v>C28</v>
      </c>
      <c r="BG21" t="str">
        <f t="shared" si="6"/>
        <v>B28</v>
      </c>
      <c r="BH21" t="str">
        <f t="shared" si="7"/>
        <v>C29</v>
      </c>
      <c r="BI21" t="str">
        <f t="shared" si="8"/>
        <v>B29</v>
      </c>
      <c r="BJ21" t="str">
        <f t="shared" si="9"/>
        <v>C30</v>
      </c>
      <c r="BK21" t="str">
        <f t="shared" si="10"/>
        <v>B30</v>
      </c>
      <c r="BL21" t="str">
        <f t="shared" si="11"/>
        <v>29B</v>
      </c>
      <c r="BM21" t="str">
        <f t="shared" si="12"/>
        <v>29A</v>
      </c>
      <c r="BN21" t="str">
        <f t="shared" si="18"/>
        <v>30B</v>
      </c>
      <c r="BO21" t="str">
        <f t="shared" si="19"/>
        <v>30A</v>
      </c>
      <c r="BP21" t="str">
        <f t="shared" si="13"/>
        <v>DI4-C25</v>
      </c>
      <c r="BQ21" t="str">
        <f t="shared" si="13"/>
        <v>DI4-B25</v>
      </c>
      <c r="BR21" t="str">
        <f t="shared" si="42"/>
        <v>DI4-C26</v>
      </c>
      <c r="BS21" t="str">
        <f t="shared" si="42"/>
        <v>DI4-B26</v>
      </c>
      <c r="BT21" t="str">
        <f t="shared" si="42"/>
        <v>DI4-C27</v>
      </c>
      <c r="BU21" t="str">
        <f t="shared" si="42"/>
        <v>DI4-B27</v>
      </c>
      <c r="BV21" t="str">
        <f t="shared" si="42"/>
        <v>DI4-C28</v>
      </c>
      <c r="BW21" t="str">
        <f t="shared" si="42"/>
        <v>DI4-B28</v>
      </c>
      <c r="BX21" t="str">
        <f t="shared" si="42"/>
        <v>DI4-C29</v>
      </c>
      <c r="BY21" t="str">
        <f t="shared" si="42"/>
        <v>DI4-B29</v>
      </c>
      <c r="BZ21" t="str">
        <f t="shared" si="42"/>
        <v>DI4-C30</v>
      </c>
      <c r="CA21" t="str">
        <f t="shared" si="42"/>
        <v>DI4-B30</v>
      </c>
      <c r="CB21" t="str">
        <f t="shared" si="15"/>
        <v>DO2-28B</v>
      </c>
      <c r="CC21" t="str">
        <f t="shared" si="15"/>
        <v>DO2-28A</v>
      </c>
      <c r="CD21" t="str">
        <f t="shared" si="16"/>
        <v>DO2-29B</v>
      </c>
      <c r="CE21" t="str">
        <f t="shared" si="16"/>
        <v>DO2-29A</v>
      </c>
      <c r="CF21" t="str">
        <f t="shared" si="16"/>
        <v>DO2-30B</v>
      </c>
      <c r="CG21" t="str">
        <f t="shared" si="16"/>
        <v>DO2-30A</v>
      </c>
      <c r="CH21" t="str">
        <f t="shared" si="20"/>
        <v>K20-10</v>
      </c>
      <c r="CI21" t="str">
        <f t="shared" si="21"/>
        <v>K20-03</v>
      </c>
      <c r="CJ21" t="str">
        <f t="shared" si="22"/>
        <v>K20-04</v>
      </c>
      <c r="CK21" t="str">
        <f t="shared" si="23"/>
        <v>K20-01</v>
      </c>
      <c r="CL21" t="str">
        <f t="shared" si="24"/>
        <v>K20-08</v>
      </c>
      <c r="CM21" t="str">
        <f t="shared" si="25"/>
        <v>K20-02</v>
      </c>
      <c r="CN21" t="str">
        <f t="shared" si="26"/>
        <v>K20-09</v>
      </c>
      <c r="CO21" t="str">
        <f t="shared" si="27"/>
        <v>K20-05</v>
      </c>
      <c r="CP21" t="str">
        <f t="shared" si="28"/>
        <v>K20-11</v>
      </c>
      <c r="CQ21" t="str">
        <f t="shared" si="29"/>
        <v>F0-M20-A9</v>
      </c>
      <c r="CR21" t="str">
        <f t="shared" si="30"/>
        <v>F0-M20-A7</v>
      </c>
      <c r="CS21" t="str">
        <f t="shared" si="31"/>
        <v>F0-M20-A8</v>
      </c>
      <c r="CT21" t="str">
        <f t="shared" si="32"/>
        <v>F0-M20-A6</v>
      </c>
      <c r="CU21" t="str">
        <f t="shared" si="33"/>
        <v>F0-M20-A30</v>
      </c>
      <c r="CV21" t="str">
        <f t="shared" si="34"/>
        <v>F0-M20-N</v>
      </c>
      <c r="CW21" t="str">
        <f t="shared" si="17"/>
        <v>F0-A220-M20</v>
      </c>
      <c r="CX21" t="str">
        <f t="shared" si="35"/>
        <v>F0-M20-XM01</v>
      </c>
      <c r="CY21" t="str">
        <f t="shared" si="36"/>
        <v>F0-M20-A1</v>
      </c>
      <c r="CZ21" t="str">
        <f t="shared" si="37"/>
        <v>F0-M20-A5</v>
      </c>
      <c r="DA21" t="str">
        <f t="shared" si="38"/>
        <v>F0-M20-A11</v>
      </c>
      <c r="DB21" t="str">
        <f t="shared" si="39"/>
        <v>F0-M20-A12</v>
      </c>
      <c r="DC21" t="str">
        <f t="shared" si="40"/>
        <v>F0-M20-A19</v>
      </c>
      <c r="DD21" t="str">
        <f t="shared" si="41"/>
        <v>F0-M20-A20</v>
      </c>
      <c r="DE21" t="s">
        <v>142</v>
      </c>
      <c r="DF21" t="s">
        <v>143</v>
      </c>
      <c r="DG21">
        <v>11</v>
      </c>
      <c r="DH21">
        <v>14</v>
      </c>
      <c r="DI21">
        <v>12</v>
      </c>
      <c r="DJ21" t="s">
        <v>144</v>
      </c>
      <c r="DK21" t="s">
        <v>145</v>
      </c>
      <c r="DL21">
        <v>1</v>
      </c>
      <c r="DM21">
        <v>2</v>
      </c>
      <c r="DN21">
        <v>3</v>
      </c>
      <c r="DO21">
        <v>4</v>
      </c>
      <c r="DP21">
        <v>5</v>
      </c>
      <c r="DQ21">
        <v>6</v>
      </c>
      <c r="DR21">
        <v>7</v>
      </c>
      <c r="DS21">
        <v>8</v>
      </c>
      <c r="DT21">
        <v>9</v>
      </c>
      <c r="DU21">
        <v>10</v>
      </c>
      <c r="DV21">
        <v>11</v>
      </c>
      <c r="DW21">
        <v>12</v>
      </c>
      <c r="DX21">
        <v>13</v>
      </c>
      <c r="DY21">
        <v>14</v>
      </c>
      <c r="DZ21">
        <v>1</v>
      </c>
      <c r="EA21">
        <v>3</v>
      </c>
      <c r="EB21">
        <v>4</v>
      </c>
      <c r="EC21">
        <v>7</v>
      </c>
      <c r="ED21">
        <v>8</v>
      </c>
      <c r="EE21">
        <v>9</v>
      </c>
      <c r="EF21">
        <v>10</v>
      </c>
      <c r="EG21">
        <v>13</v>
      </c>
      <c r="EH21">
        <v>14</v>
      </c>
      <c r="EI21">
        <v>15</v>
      </c>
      <c r="EJ21">
        <v>16</v>
      </c>
      <c r="EK21">
        <v>22</v>
      </c>
      <c r="EL21">
        <v>23</v>
      </c>
      <c r="EM21" s="16">
        <v>24</v>
      </c>
    </row>
    <row r="22" spans="1:143" x14ac:dyDescent="0.25">
      <c r="A22" t="s">
        <v>206</v>
      </c>
      <c r="B22" t="s">
        <v>207</v>
      </c>
      <c r="C22" s="3" t="s">
        <v>127</v>
      </c>
      <c r="O22" s="2"/>
      <c r="P22" t="s">
        <v>129</v>
      </c>
      <c r="Q22" s="1"/>
      <c r="S22" s="1" t="s">
        <v>130</v>
      </c>
      <c r="T22" s="14" t="s">
        <v>554</v>
      </c>
      <c r="U22" s="15">
        <v>21</v>
      </c>
      <c r="V22" s="15" t="s">
        <v>329</v>
      </c>
      <c r="W22" s="15"/>
      <c r="AC22" t="s">
        <v>264</v>
      </c>
      <c r="AD22" t="s">
        <v>133</v>
      </c>
      <c r="AE22" t="s">
        <v>134</v>
      </c>
      <c r="AF22" t="s">
        <v>268</v>
      </c>
      <c r="AG22" t="s">
        <v>135</v>
      </c>
      <c r="AH22" t="s">
        <v>136</v>
      </c>
      <c r="AI22" t="s">
        <v>208</v>
      </c>
      <c r="AL22" t="s">
        <v>137</v>
      </c>
      <c r="AM22" t="s">
        <v>138</v>
      </c>
      <c r="AP22" t="s">
        <v>139</v>
      </c>
      <c r="AQ22" t="s">
        <v>140</v>
      </c>
      <c r="AZ22" s="16"/>
      <c r="BA22" t="str">
        <f t="shared" si="0"/>
        <v>XT21</v>
      </c>
      <c r="BB22" t="str">
        <f t="shared" si="1"/>
        <v>C2</v>
      </c>
      <c r="BC22" t="str">
        <f t="shared" si="2"/>
        <v>B2</v>
      </c>
      <c r="BD22" t="str">
        <f t="shared" si="3"/>
        <v>C3</v>
      </c>
      <c r="BE22" t="str">
        <f t="shared" si="4"/>
        <v>B3</v>
      </c>
      <c r="BF22" t="str">
        <f t="shared" si="5"/>
        <v>C4</v>
      </c>
      <c r="BG22" t="str">
        <f t="shared" si="6"/>
        <v>B4</v>
      </c>
      <c r="BH22" t="str">
        <f t="shared" si="7"/>
        <v>C5</v>
      </c>
      <c r="BI22" t="str">
        <f t="shared" si="8"/>
        <v>B5</v>
      </c>
      <c r="BJ22" t="str">
        <f t="shared" si="9"/>
        <v>C6</v>
      </c>
      <c r="BK22" t="str">
        <f t="shared" si="10"/>
        <v>B6</v>
      </c>
      <c r="BL22" t="str">
        <f t="shared" si="11"/>
        <v>2B</v>
      </c>
      <c r="BM22" t="str">
        <f t="shared" si="12"/>
        <v>2A</v>
      </c>
      <c r="BN22" t="str">
        <f t="shared" si="18"/>
        <v>3B</v>
      </c>
      <c r="BO22" t="str">
        <f t="shared" si="19"/>
        <v>3A</v>
      </c>
      <c r="BP22" t="str">
        <f t="shared" si="13"/>
        <v>DI5-C1</v>
      </c>
      <c r="BQ22" t="str">
        <f t="shared" si="13"/>
        <v>DI5-B1</v>
      </c>
      <c r="BR22" t="str">
        <f t="shared" si="42"/>
        <v>DI5-C2</v>
      </c>
      <c r="BS22" t="str">
        <f t="shared" si="42"/>
        <v>DI5-B2</v>
      </c>
      <c r="BT22" t="str">
        <f t="shared" si="42"/>
        <v>DI5-C3</v>
      </c>
      <c r="BU22" t="str">
        <f t="shared" si="42"/>
        <v>DI5-B3</v>
      </c>
      <c r="BV22" t="str">
        <f t="shared" si="42"/>
        <v>DI5-C4</v>
      </c>
      <c r="BW22" t="str">
        <f t="shared" si="42"/>
        <v>DI5-B4</v>
      </c>
      <c r="BX22" t="str">
        <f t="shared" si="42"/>
        <v>DI5-C5</v>
      </c>
      <c r="BY22" t="str">
        <f t="shared" si="42"/>
        <v>DI5-B5</v>
      </c>
      <c r="BZ22" t="str">
        <f t="shared" si="42"/>
        <v>DI5-C6</v>
      </c>
      <c r="CA22" t="str">
        <f t="shared" si="42"/>
        <v>DI5-B6</v>
      </c>
      <c r="CB22" t="str">
        <f t="shared" si="15"/>
        <v>DO3-1B</v>
      </c>
      <c r="CC22" t="str">
        <f t="shared" si="15"/>
        <v>DO3-1A</v>
      </c>
      <c r="CD22" t="str">
        <f t="shared" si="16"/>
        <v>DO3-2B</v>
      </c>
      <c r="CE22" t="str">
        <f t="shared" si="16"/>
        <v>DO3-2A</v>
      </c>
      <c r="CF22" t="str">
        <f t="shared" si="16"/>
        <v>DO3-3B</v>
      </c>
      <c r="CG22" t="str">
        <f t="shared" si="16"/>
        <v>DO3-3A</v>
      </c>
      <c r="CH22" t="str">
        <f t="shared" si="20"/>
        <v>K21-10</v>
      </c>
      <c r="CI22" t="str">
        <f t="shared" si="21"/>
        <v>K21-03</v>
      </c>
      <c r="CJ22" t="str">
        <f t="shared" si="22"/>
        <v>K21-04</v>
      </c>
      <c r="CK22" t="str">
        <f t="shared" si="23"/>
        <v>K21-01</v>
      </c>
      <c r="CL22" t="str">
        <f t="shared" si="24"/>
        <v>K21-08</v>
      </c>
      <c r="CM22" t="str">
        <f t="shared" si="25"/>
        <v>K21-02</v>
      </c>
      <c r="CN22" t="str">
        <f t="shared" si="26"/>
        <v>K21-09</v>
      </c>
      <c r="CO22" t="str">
        <f t="shared" si="27"/>
        <v>K21-05</v>
      </c>
      <c r="CP22" t="str">
        <f t="shared" si="28"/>
        <v>K21-11</v>
      </c>
      <c r="CQ22" t="str">
        <f t="shared" si="29"/>
        <v>F0-M21-A9</v>
      </c>
      <c r="CR22" t="str">
        <f t="shared" si="30"/>
        <v>F0-M21-A7</v>
      </c>
      <c r="CS22" t="str">
        <f t="shared" si="31"/>
        <v>F0-M21-A8</v>
      </c>
      <c r="CT22" t="str">
        <f t="shared" si="32"/>
        <v>F0-M21-A6</v>
      </c>
      <c r="CU22" t="str">
        <f t="shared" si="33"/>
        <v>F0-M21-A30</v>
      </c>
      <c r="CV22" t="str">
        <f t="shared" si="34"/>
        <v>F0-M21-N</v>
      </c>
      <c r="CW22" t="str">
        <f t="shared" si="17"/>
        <v>F0-A220-M21</v>
      </c>
      <c r="CX22" t="str">
        <f t="shared" si="35"/>
        <v>F0-M21-XM01</v>
      </c>
      <c r="CY22" t="str">
        <f t="shared" si="36"/>
        <v>F0-M21-A1</v>
      </c>
      <c r="CZ22" t="str">
        <f t="shared" si="37"/>
        <v>F0-M21-A5</v>
      </c>
      <c r="DA22" t="str">
        <f t="shared" si="38"/>
        <v>F0-M21-A11</v>
      </c>
      <c r="DB22" t="str">
        <f t="shared" si="39"/>
        <v>F0-M21-A12</v>
      </c>
      <c r="DC22" t="str">
        <f t="shared" si="40"/>
        <v>F0-M21-A19</v>
      </c>
      <c r="DD22" t="str">
        <f t="shared" si="41"/>
        <v>F0-M21-A20</v>
      </c>
      <c r="DE22" t="s">
        <v>142</v>
      </c>
      <c r="DF22" t="s">
        <v>143</v>
      </c>
      <c r="DG22">
        <v>11</v>
      </c>
      <c r="DH22">
        <v>14</v>
      </c>
      <c r="DI22">
        <v>12</v>
      </c>
      <c r="DJ22" t="s">
        <v>144</v>
      </c>
      <c r="DK22" t="s">
        <v>145</v>
      </c>
      <c r="DL22">
        <v>1</v>
      </c>
      <c r="DM22">
        <v>2</v>
      </c>
      <c r="DN22">
        <v>3</v>
      </c>
      <c r="DO22">
        <v>4</v>
      </c>
      <c r="DP22">
        <v>5</v>
      </c>
      <c r="DQ22">
        <v>6</v>
      </c>
      <c r="DR22">
        <v>7</v>
      </c>
      <c r="DS22">
        <v>8</v>
      </c>
      <c r="DT22">
        <v>9</v>
      </c>
      <c r="DU22">
        <v>10</v>
      </c>
      <c r="DV22">
        <v>11</v>
      </c>
      <c r="DW22">
        <v>12</v>
      </c>
      <c r="DX22">
        <v>13</v>
      </c>
      <c r="DY22">
        <v>14</v>
      </c>
      <c r="DZ22">
        <v>1</v>
      </c>
      <c r="EA22">
        <v>3</v>
      </c>
      <c r="EB22">
        <v>4</v>
      </c>
      <c r="EC22">
        <v>7</v>
      </c>
      <c r="ED22">
        <v>8</v>
      </c>
      <c r="EE22">
        <v>9</v>
      </c>
      <c r="EF22">
        <v>10</v>
      </c>
      <c r="EG22">
        <v>13</v>
      </c>
      <c r="EH22">
        <v>14</v>
      </c>
      <c r="EI22">
        <v>15</v>
      </c>
      <c r="EJ22">
        <v>16</v>
      </c>
      <c r="EK22">
        <v>22</v>
      </c>
      <c r="EL22">
        <v>23</v>
      </c>
      <c r="EM22" s="16">
        <v>24</v>
      </c>
    </row>
    <row r="23" spans="1:143" x14ac:dyDescent="0.25">
      <c r="A23" t="s">
        <v>209</v>
      </c>
      <c r="B23" t="s">
        <v>210</v>
      </c>
      <c r="C23" s="3" t="s">
        <v>127</v>
      </c>
      <c r="O23" s="2"/>
      <c r="P23" t="s">
        <v>129</v>
      </c>
      <c r="Q23" s="1"/>
      <c r="S23" s="1" t="s">
        <v>130</v>
      </c>
      <c r="T23" s="14" t="s">
        <v>554</v>
      </c>
      <c r="U23" s="15">
        <v>22</v>
      </c>
      <c r="V23" s="15" t="s">
        <v>330</v>
      </c>
      <c r="W23" s="15"/>
      <c r="AC23" t="s">
        <v>264</v>
      </c>
      <c r="AD23" t="s">
        <v>148</v>
      </c>
      <c r="AE23" t="s">
        <v>149</v>
      </c>
      <c r="AF23" t="s">
        <v>268</v>
      </c>
      <c r="AG23" t="s">
        <v>243</v>
      </c>
      <c r="AH23" t="s">
        <v>244</v>
      </c>
      <c r="AI23" t="s">
        <v>211</v>
      </c>
      <c r="AL23" t="s">
        <v>137</v>
      </c>
      <c r="AM23" t="s">
        <v>138</v>
      </c>
      <c r="AP23" t="s">
        <v>139</v>
      </c>
      <c r="AQ23" t="s">
        <v>140</v>
      </c>
      <c r="AZ23" s="16"/>
      <c r="BA23" t="str">
        <f t="shared" si="0"/>
        <v>XT22</v>
      </c>
      <c r="BB23" t="str">
        <f t="shared" si="1"/>
        <v>C8</v>
      </c>
      <c r="BC23" t="str">
        <f t="shared" si="2"/>
        <v>B8</v>
      </c>
      <c r="BD23" t="str">
        <f t="shared" si="3"/>
        <v>C9</v>
      </c>
      <c r="BE23" t="str">
        <f t="shared" si="4"/>
        <v>B9</v>
      </c>
      <c r="BF23" t="str">
        <f t="shared" si="5"/>
        <v>C10</v>
      </c>
      <c r="BG23" t="str">
        <f t="shared" si="6"/>
        <v>B10</v>
      </c>
      <c r="BH23" t="str">
        <f t="shared" si="7"/>
        <v>C11</v>
      </c>
      <c r="BI23" t="str">
        <f t="shared" si="8"/>
        <v>B11</v>
      </c>
      <c r="BJ23" t="str">
        <f t="shared" si="9"/>
        <v>C12</v>
      </c>
      <c r="BK23" t="str">
        <f t="shared" si="10"/>
        <v>B12</v>
      </c>
      <c r="BL23" t="str">
        <f t="shared" si="11"/>
        <v>5B</v>
      </c>
      <c r="BM23" t="str">
        <f t="shared" si="12"/>
        <v>5A</v>
      </c>
      <c r="BN23" t="str">
        <f t="shared" si="18"/>
        <v>6B</v>
      </c>
      <c r="BO23" t="str">
        <f t="shared" si="19"/>
        <v>6A</v>
      </c>
      <c r="BP23" t="str">
        <f t="shared" si="13"/>
        <v>DI5-C7</v>
      </c>
      <c r="BQ23" t="str">
        <f t="shared" si="13"/>
        <v>DI5-B7</v>
      </c>
      <c r="BR23" t="str">
        <f t="shared" si="42"/>
        <v>DI5-C8</v>
      </c>
      <c r="BS23" t="str">
        <f t="shared" si="42"/>
        <v>DI5-B8</v>
      </c>
      <c r="BT23" t="str">
        <f t="shared" si="42"/>
        <v>DI5-C9</v>
      </c>
      <c r="BU23" t="str">
        <f t="shared" si="42"/>
        <v>DI5-B9</v>
      </c>
      <c r="BV23" t="str">
        <f t="shared" si="42"/>
        <v>DI5-C10</v>
      </c>
      <c r="BW23" t="str">
        <f t="shared" si="42"/>
        <v>DI5-B10</v>
      </c>
      <c r="BX23" t="str">
        <f t="shared" si="42"/>
        <v>DI5-C11</v>
      </c>
      <c r="BY23" t="str">
        <f t="shared" si="42"/>
        <v>DI5-B11</v>
      </c>
      <c r="BZ23" t="str">
        <f t="shared" si="42"/>
        <v>DI5-C12</v>
      </c>
      <c r="CA23" t="str">
        <f t="shared" si="42"/>
        <v>DI5-B12</v>
      </c>
      <c r="CB23" t="str">
        <f t="shared" si="15"/>
        <v>DO3-4B</v>
      </c>
      <c r="CC23" t="str">
        <f t="shared" si="15"/>
        <v>DO3-4A</v>
      </c>
      <c r="CD23" t="str">
        <f t="shared" si="16"/>
        <v>DO3-5B</v>
      </c>
      <c r="CE23" t="str">
        <f t="shared" si="16"/>
        <v>DO3-5A</v>
      </c>
      <c r="CF23" t="str">
        <f t="shared" si="16"/>
        <v>DO3-6B</v>
      </c>
      <c r="CG23" t="str">
        <f t="shared" si="16"/>
        <v>DO3-6A</v>
      </c>
      <c r="CH23" t="str">
        <f t="shared" si="20"/>
        <v>K22-10</v>
      </c>
      <c r="CI23" t="str">
        <f t="shared" si="21"/>
        <v>K22-03</v>
      </c>
      <c r="CJ23" t="str">
        <f t="shared" si="22"/>
        <v>K22-04</v>
      </c>
      <c r="CK23" t="str">
        <f t="shared" si="23"/>
        <v>K22-01</v>
      </c>
      <c r="CL23" t="str">
        <f t="shared" si="24"/>
        <v>K22-08</v>
      </c>
      <c r="CM23" t="str">
        <f t="shared" si="25"/>
        <v>K22-02</v>
      </c>
      <c r="CN23" t="str">
        <f t="shared" si="26"/>
        <v>K22-09</v>
      </c>
      <c r="CO23" t="str">
        <f t="shared" si="27"/>
        <v>K22-05</v>
      </c>
      <c r="CP23" t="str">
        <f t="shared" si="28"/>
        <v>K22-11</v>
      </c>
      <c r="CQ23" t="str">
        <f t="shared" si="29"/>
        <v>F0-M22-A9</v>
      </c>
      <c r="CR23" t="str">
        <f t="shared" si="30"/>
        <v>F0-M22-A7</v>
      </c>
      <c r="CS23" t="str">
        <f t="shared" si="31"/>
        <v>F0-M22-A8</v>
      </c>
      <c r="CT23" t="str">
        <f t="shared" si="32"/>
        <v>F0-M22-A6</v>
      </c>
      <c r="CU23" t="str">
        <f t="shared" si="33"/>
        <v>F0-M22-A30</v>
      </c>
      <c r="CV23" t="str">
        <f t="shared" si="34"/>
        <v>F0-M22-N</v>
      </c>
      <c r="CW23" t="str">
        <f t="shared" si="17"/>
        <v>F0-A220-M22</v>
      </c>
      <c r="CX23" t="str">
        <f t="shared" si="35"/>
        <v>F0-M22-XM01</v>
      </c>
      <c r="CY23" t="str">
        <f t="shared" si="36"/>
        <v>F0-M22-A1</v>
      </c>
      <c r="CZ23" t="str">
        <f t="shared" si="37"/>
        <v>F0-M22-A5</v>
      </c>
      <c r="DA23" t="str">
        <f t="shared" si="38"/>
        <v>F0-M22-A11</v>
      </c>
      <c r="DB23" t="str">
        <f t="shared" si="39"/>
        <v>F0-M22-A12</v>
      </c>
      <c r="DC23" t="str">
        <f t="shared" si="40"/>
        <v>F0-M22-A19</v>
      </c>
      <c r="DD23" t="str">
        <f t="shared" si="41"/>
        <v>F0-M22-A20</v>
      </c>
      <c r="DE23" t="s">
        <v>142</v>
      </c>
      <c r="DF23" t="s">
        <v>143</v>
      </c>
      <c r="DG23">
        <v>11</v>
      </c>
      <c r="DH23">
        <v>14</v>
      </c>
      <c r="DI23">
        <v>12</v>
      </c>
      <c r="DJ23" t="s">
        <v>144</v>
      </c>
      <c r="DK23" t="s">
        <v>145</v>
      </c>
      <c r="DL23">
        <v>1</v>
      </c>
      <c r="DM23">
        <v>2</v>
      </c>
      <c r="DN23">
        <v>3</v>
      </c>
      <c r="DO23">
        <v>4</v>
      </c>
      <c r="DP23">
        <v>5</v>
      </c>
      <c r="DQ23">
        <v>6</v>
      </c>
      <c r="DR23">
        <v>7</v>
      </c>
      <c r="DS23">
        <v>8</v>
      </c>
      <c r="DT23">
        <v>9</v>
      </c>
      <c r="DU23">
        <v>10</v>
      </c>
      <c r="DV23">
        <v>11</v>
      </c>
      <c r="DW23">
        <v>12</v>
      </c>
      <c r="DX23">
        <v>13</v>
      </c>
      <c r="DY23">
        <v>14</v>
      </c>
      <c r="DZ23">
        <v>1</v>
      </c>
      <c r="EA23">
        <v>3</v>
      </c>
      <c r="EB23">
        <v>4</v>
      </c>
      <c r="EC23">
        <v>7</v>
      </c>
      <c r="ED23">
        <v>8</v>
      </c>
      <c r="EE23">
        <v>9</v>
      </c>
      <c r="EF23">
        <v>10</v>
      </c>
      <c r="EG23">
        <v>13</v>
      </c>
      <c r="EH23">
        <v>14</v>
      </c>
      <c r="EI23">
        <v>15</v>
      </c>
      <c r="EJ23">
        <v>16</v>
      </c>
      <c r="EK23">
        <v>22</v>
      </c>
      <c r="EL23">
        <v>23</v>
      </c>
      <c r="EM23" s="16">
        <v>24</v>
      </c>
    </row>
    <row r="24" spans="1:143" x14ac:dyDescent="0.25">
      <c r="A24" t="s">
        <v>212</v>
      </c>
      <c r="B24" t="s">
        <v>213</v>
      </c>
      <c r="C24" s="3" t="s">
        <v>127</v>
      </c>
      <c r="O24" s="2"/>
      <c r="P24" t="s">
        <v>129</v>
      </c>
      <c r="Q24" s="1"/>
      <c r="S24" s="1" t="s">
        <v>130</v>
      </c>
      <c r="T24" s="14" t="s">
        <v>554</v>
      </c>
      <c r="U24" s="15">
        <v>23</v>
      </c>
      <c r="V24" s="15" t="s">
        <v>331</v>
      </c>
      <c r="W24" s="15"/>
      <c r="AC24" t="s">
        <v>264</v>
      </c>
      <c r="AD24" t="s">
        <v>153</v>
      </c>
      <c r="AE24" t="s">
        <v>154</v>
      </c>
      <c r="AF24" t="s">
        <v>268</v>
      </c>
      <c r="AG24" t="s">
        <v>245</v>
      </c>
      <c r="AH24" t="s">
        <v>246</v>
      </c>
      <c r="AI24" t="s">
        <v>214</v>
      </c>
      <c r="AL24" t="s">
        <v>137</v>
      </c>
      <c r="AM24" t="s">
        <v>138</v>
      </c>
      <c r="AP24" t="s">
        <v>139</v>
      </c>
      <c r="AQ24" t="s">
        <v>140</v>
      </c>
      <c r="AZ24" s="16"/>
      <c r="BA24" t="str">
        <f t="shared" si="0"/>
        <v>XT23</v>
      </c>
      <c r="BB24" t="str">
        <f t="shared" si="1"/>
        <v>C14</v>
      </c>
      <c r="BC24" t="str">
        <f t="shared" si="2"/>
        <v>B14</v>
      </c>
      <c r="BD24" t="str">
        <f t="shared" si="3"/>
        <v>C15</v>
      </c>
      <c r="BE24" t="str">
        <f t="shared" si="4"/>
        <v>B15</v>
      </c>
      <c r="BF24" t="str">
        <f t="shared" si="5"/>
        <v>C16</v>
      </c>
      <c r="BG24" t="str">
        <f t="shared" si="6"/>
        <v>B16</v>
      </c>
      <c r="BH24" t="str">
        <f t="shared" si="7"/>
        <v>C17</v>
      </c>
      <c r="BI24" t="str">
        <f t="shared" si="8"/>
        <v>B17</v>
      </c>
      <c r="BJ24" t="str">
        <f t="shared" si="9"/>
        <v>C18</v>
      </c>
      <c r="BK24" t="str">
        <f t="shared" si="10"/>
        <v>B18</v>
      </c>
      <c r="BL24" t="str">
        <f t="shared" si="11"/>
        <v>8B</v>
      </c>
      <c r="BM24" t="str">
        <f t="shared" si="12"/>
        <v>8A</v>
      </c>
      <c r="BN24" t="str">
        <f t="shared" si="18"/>
        <v>9B</v>
      </c>
      <c r="BO24" t="str">
        <f t="shared" si="19"/>
        <v>9A</v>
      </c>
      <c r="BP24" t="str">
        <f t="shared" si="13"/>
        <v>DI5-C13</v>
      </c>
      <c r="BQ24" t="str">
        <f t="shared" si="13"/>
        <v>DI5-B13</v>
      </c>
      <c r="BR24" t="str">
        <f t="shared" si="42"/>
        <v>DI5-C14</v>
      </c>
      <c r="BS24" t="str">
        <f t="shared" si="42"/>
        <v>DI5-B14</v>
      </c>
      <c r="BT24" t="str">
        <f t="shared" si="42"/>
        <v>DI5-C15</v>
      </c>
      <c r="BU24" t="str">
        <f t="shared" si="42"/>
        <v>DI5-B15</v>
      </c>
      <c r="BV24" t="str">
        <f t="shared" si="42"/>
        <v>DI5-C16</v>
      </c>
      <c r="BW24" t="str">
        <f t="shared" si="42"/>
        <v>DI5-B16</v>
      </c>
      <c r="BX24" t="str">
        <f t="shared" si="42"/>
        <v>DI5-C17</v>
      </c>
      <c r="BY24" t="str">
        <f t="shared" si="42"/>
        <v>DI5-B17</v>
      </c>
      <c r="BZ24" t="str">
        <f t="shared" si="42"/>
        <v>DI5-C18</v>
      </c>
      <c r="CA24" t="str">
        <f t="shared" si="42"/>
        <v>DI5-B18</v>
      </c>
      <c r="CB24" t="str">
        <f t="shared" si="15"/>
        <v>DO3-7B</v>
      </c>
      <c r="CC24" t="str">
        <f t="shared" si="15"/>
        <v>DO3-7A</v>
      </c>
      <c r="CD24" t="str">
        <f t="shared" si="16"/>
        <v>DO3-8B</v>
      </c>
      <c r="CE24" t="str">
        <f t="shared" si="16"/>
        <v>DO3-8A</v>
      </c>
      <c r="CF24" t="str">
        <f t="shared" si="16"/>
        <v>DO3-9B</v>
      </c>
      <c r="CG24" t="str">
        <f t="shared" si="16"/>
        <v>DO3-9A</v>
      </c>
      <c r="CH24" t="str">
        <f t="shared" si="20"/>
        <v>K23-10</v>
      </c>
      <c r="CI24" t="str">
        <f t="shared" si="21"/>
        <v>K23-03</v>
      </c>
      <c r="CJ24" t="str">
        <f t="shared" si="22"/>
        <v>K23-04</v>
      </c>
      <c r="CK24" t="str">
        <f t="shared" si="23"/>
        <v>K23-01</v>
      </c>
      <c r="CL24" t="str">
        <f t="shared" si="24"/>
        <v>K23-08</v>
      </c>
      <c r="CM24" t="str">
        <f t="shared" si="25"/>
        <v>K23-02</v>
      </c>
      <c r="CN24" t="str">
        <f t="shared" si="26"/>
        <v>K23-09</v>
      </c>
      <c r="CO24" t="str">
        <f t="shared" si="27"/>
        <v>K23-05</v>
      </c>
      <c r="CP24" t="str">
        <f t="shared" si="28"/>
        <v>K23-11</v>
      </c>
      <c r="CQ24" t="str">
        <f t="shared" si="29"/>
        <v>F0-M23-A9</v>
      </c>
      <c r="CR24" t="str">
        <f t="shared" si="30"/>
        <v>F0-M23-A7</v>
      </c>
      <c r="CS24" t="str">
        <f t="shared" si="31"/>
        <v>F0-M23-A8</v>
      </c>
      <c r="CT24" t="str">
        <f t="shared" si="32"/>
        <v>F0-M23-A6</v>
      </c>
      <c r="CU24" t="str">
        <f t="shared" si="33"/>
        <v>F0-M23-A30</v>
      </c>
      <c r="CV24" t="str">
        <f t="shared" si="34"/>
        <v>F0-M23-N</v>
      </c>
      <c r="CW24" t="str">
        <f t="shared" si="17"/>
        <v>F0-A220-M23</v>
      </c>
      <c r="CX24" t="str">
        <f t="shared" si="35"/>
        <v>F0-M23-XM01</v>
      </c>
      <c r="CY24" t="str">
        <f t="shared" si="36"/>
        <v>F0-M23-A1</v>
      </c>
      <c r="CZ24" t="str">
        <f t="shared" si="37"/>
        <v>F0-M23-A5</v>
      </c>
      <c r="DA24" t="str">
        <f t="shared" si="38"/>
        <v>F0-M23-A11</v>
      </c>
      <c r="DB24" t="str">
        <f t="shared" si="39"/>
        <v>F0-M23-A12</v>
      </c>
      <c r="DC24" t="str">
        <f t="shared" si="40"/>
        <v>F0-M23-A19</v>
      </c>
      <c r="DD24" t="str">
        <f t="shared" si="41"/>
        <v>F0-M23-A20</v>
      </c>
      <c r="DE24" t="s">
        <v>142</v>
      </c>
      <c r="DF24" t="s">
        <v>143</v>
      </c>
      <c r="DG24">
        <v>11</v>
      </c>
      <c r="DH24">
        <v>14</v>
      </c>
      <c r="DI24">
        <v>12</v>
      </c>
      <c r="DJ24" t="s">
        <v>144</v>
      </c>
      <c r="DK24" t="s">
        <v>145</v>
      </c>
      <c r="DL24">
        <v>1</v>
      </c>
      <c r="DM24">
        <v>2</v>
      </c>
      <c r="DN24">
        <v>3</v>
      </c>
      <c r="DO24">
        <v>4</v>
      </c>
      <c r="DP24">
        <v>5</v>
      </c>
      <c r="DQ24">
        <v>6</v>
      </c>
      <c r="DR24">
        <v>7</v>
      </c>
      <c r="DS24">
        <v>8</v>
      </c>
      <c r="DT24">
        <v>9</v>
      </c>
      <c r="DU24">
        <v>10</v>
      </c>
      <c r="DV24">
        <v>11</v>
      </c>
      <c r="DW24">
        <v>12</v>
      </c>
      <c r="DX24">
        <v>13</v>
      </c>
      <c r="DY24">
        <v>14</v>
      </c>
      <c r="DZ24">
        <v>1</v>
      </c>
      <c r="EA24">
        <v>3</v>
      </c>
      <c r="EB24">
        <v>4</v>
      </c>
      <c r="EC24">
        <v>7</v>
      </c>
      <c r="ED24">
        <v>8</v>
      </c>
      <c r="EE24">
        <v>9</v>
      </c>
      <c r="EF24">
        <v>10</v>
      </c>
      <c r="EG24">
        <v>13</v>
      </c>
      <c r="EH24">
        <v>14</v>
      </c>
      <c r="EI24">
        <v>15</v>
      </c>
      <c r="EJ24">
        <v>16</v>
      </c>
      <c r="EK24">
        <v>22</v>
      </c>
      <c r="EL24">
        <v>23</v>
      </c>
      <c r="EM24" s="16">
        <v>24</v>
      </c>
    </row>
    <row r="25" spans="1:143" x14ac:dyDescent="0.25">
      <c r="A25" t="s">
        <v>215</v>
      </c>
      <c r="B25" t="s">
        <v>216</v>
      </c>
      <c r="C25" s="3" t="s">
        <v>127</v>
      </c>
      <c r="O25" s="2"/>
      <c r="P25" t="s">
        <v>129</v>
      </c>
      <c r="Q25" s="1"/>
      <c r="S25" s="1" t="s">
        <v>130</v>
      </c>
      <c r="T25" s="14" t="s">
        <v>554</v>
      </c>
      <c r="U25" s="15">
        <v>24</v>
      </c>
      <c r="V25" s="15" t="s">
        <v>332</v>
      </c>
      <c r="W25" s="15"/>
      <c r="AC25" t="s">
        <v>264</v>
      </c>
      <c r="AD25" t="s">
        <v>239</v>
      </c>
      <c r="AE25" t="s">
        <v>241</v>
      </c>
      <c r="AF25" t="s">
        <v>268</v>
      </c>
      <c r="AG25" t="s">
        <v>247</v>
      </c>
      <c r="AH25" t="s">
        <v>254</v>
      </c>
      <c r="AI25" t="s">
        <v>217</v>
      </c>
      <c r="AL25" t="s">
        <v>137</v>
      </c>
      <c r="AM25" t="s">
        <v>138</v>
      </c>
      <c r="AP25" t="s">
        <v>139</v>
      </c>
      <c r="AQ25" t="s">
        <v>140</v>
      </c>
      <c r="AZ25" s="16"/>
      <c r="BA25" t="str">
        <f t="shared" si="0"/>
        <v>XT24</v>
      </c>
      <c r="BB25" t="str">
        <f t="shared" si="1"/>
        <v>C20</v>
      </c>
      <c r="BC25" t="str">
        <f t="shared" si="2"/>
        <v>B20</v>
      </c>
      <c r="BD25" t="str">
        <f t="shared" si="3"/>
        <v>C21</v>
      </c>
      <c r="BE25" t="str">
        <f t="shared" si="4"/>
        <v>B21</v>
      </c>
      <c r="BF25" t="str">
        <f t="shared" si="5"/>
        <v>C22</v>
      </c>
      <c r="BG25" t="str">
        <f t="shared" si="6"/>
        <v>B22</v>
      </c>
      <c r="BH25" t="str">
        <f t="shared" si="7"/>
        <v>C23</v>
      </c>
      <c r="BI25" t="str">
        <f t="shared" si="8"/>
        <v>B23</v>
      </c>
      <c r="BJ25" t="str">
        <f t="shared" si="9"/>
        <v>C24</v>
      </c>
      <c r="BK25" t="str">
        <f t="shared" si="10"/>
        <v>B24</v>
      </c>
      <c r="BL25" t="str">
        <f t="shared" si="11"/>
        <v>11B</v>
      </c>
      <c r="BM25" t="str">
        <f t="shared" si="12"/>
        <v>11A</v>
      </c>
      <c r="BN25" t="str">
        <f t="shared" si="18"/>
        <v>12B</v>
      </c>
      <c r="BO25" t="str">
        <f t="shared" si="19"/>
        <v>12A</v>
      </c>
      <c r="BP25" t="str">
        <f t="shared" si="13"/>
        <v>DI5-C19</v>
      </c>
      <c r="BQ25" t="str">
        <f t="shared" si="13"/>
        <v>DI5-B19</v>
      </c>
      <c r="BR25" t="str">
        <f t="shared" si="42"/>
        <v>DI5-C20</v>
      </c>
      <c r="BS25" t="str">
        <f t="shared" si="42"/>
        <v>DI5-B20</v>
      </c>
      <c r="BT25" t="str">
        <f t="shared" si="42"/>
        <v>DI5-C21</v>
      </c>
      <c r="BU25" t="str">
        <f t="shared" si="42"/>
        <v>DI5-B21</v>
      </c>
      <c r="BV25" t="str">
        <f t="shared" si="42"/>
        <v>DI5-C22</v>
      </c>
      <c r="BW25" t="str">
        <f t="shared" si="42"/>
        <v>DI5-B22</v>
      </c>
      <c r="BX25" t="str">
        <f t="shared" si="42"/>
        <v>DI5-C23</v>
      </c>
      <c r="BY25" t="str">
        <f t="shared" si="42"/>
        <v>DI5-B23</v>
      </c>
      <c r="BZ25" t="str">
        <f t="shared" si="42"/>
        <v>DI5-C24</v>
      </c>
      <c r="CA25" t="str">
        <f t="shared" si="42"/>
        <v>DI5-B24</v>
      </c>
      <c r="CB25" t="str">
        <f t="shared" si="15"/>
        <v>DO3-10B</v>
      </c>
      <c r="CC25" t="str">
        <f t="shared" si="15"/>
        <v>DO3-10A</v>
      </c>
      <c r="CD25" t="str">
        <f t="shared" si="16"/>
        <v>DO3-11B</v>
      </c>
      <c r="CE25" t="str">
        <f t="shared" si="16"/>
        <v>DO3-11A</v>
      </c>
      <c r="CF25" t="str">
        <f t="shared" si="16"/>
        <v>DO3-12B</v>
      </c>
      <c r="CG25" t="str">
        <f t="shared" si="16"/>
        <v>DO3-12A</v>
      </c>
      <c r="CH25" t="str">
        <f t="shared" si="20"/>
        <v>K24-10</v>
      </c>
      <c r="CI25" t="str">
        <f t="shared" si="21"/>
        <v>K24-03</v>
      </c>
      <c r="CJ25" t="str">
        <f t="shared" si="22"/>
        <v>K24-04</v>
      </c>
      <c r="CK25" t="str">
        <f t="shared" si="23"/>
        <v>K24-01</v>
      </c>
      <c r="CL25" t="str">
        <f t="shared" si="24"/>
        <v>K24-08</v>
      </c>
      <c r="CM25" t="str">
        <f t="shared" si="25"/>
        <v>K24-02</v>
      </c>
      <c r="CN25" t="str">
        <f t="shared" si="26"/>
        <v>K24-09</v>
      </c>
      <c r="CO25" t="str">
        <f t="shared" si="27"/>
        <v>K24-05</v>
      </c>
      <c r="CP25" t="str">
        <f t="shared" si="28"/>
        <v>K24-11</v>
      </c>
      <c r="CQ25" t="str">
        <f t="shared" si="29"/>
        <v>F0-M24-A9</v>
      </c>
      <c r="CR25" t="str">
        <f t="shared" si="30"/>
        <v>F0-M24-A7</v>
      </c>
      <c r="CS25" t="str">
        <f t="shared" si="31"/>
        <v>F0-M24-A8</v>
      </c>
      <c r="CT25" t="str">
        <f t="shared" si="32"/>
        <v>F0-M24-A6</v>
      </c>
      <c r="CU25" t="str">
        <f t="shared" si="33"/>
        <v>F0-M24-A30</v>
      </c>
      <c r="CV25" t="str">
        <f t="shared" si="34"/>
        <v>F0-M24-N</v>
      </c>
      <c r="CW25" t="str">
        <f t="shared" si="17"/>
        <v>F0-A220-M24</v>
      </c>
      <c r="CX25" t="str">
        <f t="shared" si="35"/>
        <v>F0-M24-XM01</v>
      </c>
      <c r="CY25" t="str">
        <f t="shared" si="36"/>
        <v>F0-M24-A1</v>
      </c>
      <c r="CZ25" t="str">
        <f t="shared" si="37"/>
        <v>F0-M24-A5</v>
      </c>
      <c r="DA25" t="str">
        <f t="shared" si="38"/>
        <v>F0-M24-A11</v>
      </c>
      <c r="DB25" t="str">
        <f t="shared" si="39"/>
        <v>F0-M24-A12</v>
      </c>
      <c r="DC25" t="str">
        <f t="shared" si="40"/>
        <v>F0-M24-A19</v>
      </c>
      <c r="DD25" t="str">
        <f t="shared" si="41"/>
        <v>F0-M24-A20</v>
      </c>
      <c r="DE25" t="s">
        <v>142</v>
      </c>
      <c r="DF25" t="s">
        <v>143</v>
      </c>
      <c r="DG25">
        <v>11</v>
      </c>
      <c r="DH25">
        <v>14</v>
      </c>
      <c r="DI25">
        <v>12</v>
      </c>
      <c r="DJ25" t="s">
        <v>144</v>
      </c>
      <c r="DK25" t="s">
        <v>145</v>
      </c>
      <c r="DL25">
        <v>1</v>
      </c>
      <c r="DM25">
        <v>2</v>
      </c>
      <c r="DN25">
        <v>3</v>
      </c>
      <c r="DO25">
        <v>4</v>
      </c>
      <c r="DP25">
        <v>5</v>
      </c>
      <c r="DQ25">
        <v>6</v>
      </c>
      <c r="DR25">
        <v>7</v>
      </c>
      <c r="DS25">
        <v>8</v>
      </c>
      <c r="DT25">
        <v>9</v>
      </c>
      <c r="DU25">
        <v>10</v>
      </c>
      <c r="DV25">
        <v>11</v>
      </c>
      <c r="DW25">
        <v>12</v>
      </c>
      <c r="DX25">
        <v>13</v>
      </c>
      <c r="DY25">
        <v>14</v>
      </c>
      <c r="DZ25">
        <v>1</v>
      </c>
      <c r="EA25">
        <v>3</v>
      </c>
      <c r="EB25">
        <v>4</v>
      </c>
      <c r="EC25">
        <v>7</v>
      </c>
      <c r="ED25">
        <v>8</v>
      </c>
      <c r="EE25">
        <v>9</v>
      </c>
      <c r="EF25">
        <v>10</v>
      </c>
      <c r="EG25">
        <v>13</v>
      </c>
      <c r="EH25">
        <v>14</v>
      </c>
      <c r="EI25">
        <v>15</v>
      </c>
      <c r="EJ25">
        <v>16</v>
      </c>
      <c r="EK25">
        <v>22</v>
      </c>
      <c r="EL25">
        <v>23</v>
      </c>
      <c r="EM25" s="16">
        <v>24</v>
      </c>
    </row>
    <row r="26" spans="1:143" x14ac:dyDescent="0.25">
      <c r="A26" t="s">
        <v>218</v>
      </c>
      <c r="B26" t="s">
        <v>219</v>
      </c>
      <c r="C26" s="3" t="s">
        <v>127</v>
      </c>
      <c r="O26" s="2"/>
      <c r="P26" t="s">
        <v>129</v>
      </c>
      <c r="Q26" s="1"/>
      <c r="S26" s="1" t="s">
        <v>130</v>
      </c>
      <c r="T26" s="14" t="s">
        <v>554</v>
      </c>
      <c r="U26" s="15">
        <v>25</v>
      </c>
      <c r="V26" s="15" t="s">
        <v>333</v>
      </c>
      <c r="W26" s="15"/>
      <c r="AC26" t="s">
        <v>264</v>
      </c>
      <c r="AD26" t="s">
        <v>240</v>
      </c>
      <c r="AE26" t="s">
        <v>242</v>
      </c>
      <c r="AF26" t="s">
        <v>268</v>
      </c>
      <c r="AG26" t="s">
        <v>248</v>
      </c>
      <c r="AH26" t="s">
        <v>255</v>
      </c>
      <c r="AI26" t="s">
        <v>220</v>
      </c>
      <c r="AL26" t="s">
        <v>137</v>
      </c>
      <c r="AM26" t="s">
        <v>138</v>
      </c>
      <c r="AP26" t="s">
        <v>139</v>
      </c>
      <c r="AQ26" t="s">
        <v>140</v>
      </c>
      <c r="AZ26" s="16"/>
      <c r="BA26" t="str">
        <f t="shared" si="0"/>
        <v>XT25</v>
      </c>
      <c r="BB26" t="str">
        <f t="shared" si="1"/>
        <v>C26</v>
      </c>
      <c r="BC26" t="str">
        <f t="shared" si="2"/>
        <v>B26</v>
      </c>
      <c r="BD26" t="str">
        <f t="shared" si="3"/>
        <v>C27</v>
      </c>
      <c r="BE26" t="str">
        <f t="shared" si="4"/>
        <v>B27</v>
      </c>
      <c r="BF26" t="str">
        <f t="shared" si="5"/>
        <v>C28</v>
      </c>
      <c r="BG26" t="str">
        <f t="shared" si="6"/>
        <v>B28</v>
      </c>
      <c r="BH26" t="str">
        <f t="shared" si="7"/>
        <v>C29</v>
      </c>
      <c r="BI26" t="str">
        <f t="shared" si="8"/>
        <v>B29</v>
      </c>
      <c r="BJ26" t="str">
        <f t="shared" si="9"/>
        <v>C30</v>
      </c>
      <c r="BK26" t="str">
        <f t="shared" si="10"/>
        <v>B30</v>
      </c>
      <c r="BL26" t="str">
        <f t="shared" si="11"/>
        <v>14B</v>
      </c>
      <c r="BM26" t="str">
        <f t="shared" si="12"/>
        <v>14A</v>
      </c>
      <c r="BN26" t="str">
        <f t="shared" si="18"/>
        <v>15B</v>
      </c>
      <c r="BO26" t="str">
        <f t="shared" si="19"/>
        <v>15A</v>
      </c>
      <c r="BP26" t="str">
        <f t="shared" si="13"/>
        <v>DI5-C25</v>
      </c>
      <c r="BQ26" t="str">
        <f t="shared" si="13"/>
        <v>DI5-B25</v>
      </c>
      <c r="BR26" t="str">
        <f t="shared" si="42"/>
        <v>DI5-C26</v>
      </c>
      <c r="BS26" t="str">
        <f t="shared" si="42"/>
        <v>DI5-B26</v>
      </c>
      <c r="BT26" t="str">
        <f t="shared" si="42"/>
        <v>DI5-C27</v>
      </c>
      <c r="BU26" t="str">
        <f t="shared" si="42"/>
        <v>DI5-B27</v>
      </c>
      <c r="BV26" t="str">
        <f t="shared" si="42"/>
        <v>DI5-C28</v>
      </c>
      <c r="BW26" t="str">
        <f t="shared" si="42"/>
        <v>DI5-B28</v>
      </c>
      <c r="BX26" t="str">
        <f t="shared" si="42"/>
        <v>DI5-C29</v>
      </c>
      <c r="BY26" t="str">
        <f t="shared" si="42"/>
        <v>DI5-B29</v>
      </c>
      <c r="BZ26" t="str">
        <f t="shared" si="42"/>
        <v>DI5-C30</v>
      </c>
      <c r="CA26" t="str">
        <f t="shared" si="42"/>
        <v>DI5-B30</v>
      </c>
      <c r="CB26" t="str">
        <f t="shared" si="15"/>
        <v>DO3-13B</v>
      </c>
      <c r="CC26" t="str">
        <f t="shared" si="15"/>
        <v>DO3-13A</v>
      </c>
      <c r="CD26" t="str">
        <f t="shared" si="16"/>
        <v>DO3-14B</v>
      </c>
      <c r="CE26" t="str">
        <f t="shared" si="16"/>
        <v>DO3-14A</v>
      </c>
      <c r="CF26" t="str">
        <f t="shared" si="16"/>
        <v>DO3-15B</v>
      </c>
      <c r="CG26" t="str">
        <f t="shared" si="16"/>
        <v>DO3-15A</v>
      </c>
      <c r="CH26" t="str">
        <f t="shared" si="20"/>
        <v>K25-10</v>
      </c>
      <c r="CI26" t="str">
        <f t="shared" si="21"/>
        <v>K25-03</v>
      </c>
      <c r="CJ26" t="str">
        <f t="shared" si="22"/>
        <v>K25-04</v>
      </c>
      <c r="CK26" t="str">
        <f t="shared" si="23"/>
        <v>K25-01</v>
      </c>
      <c r="CL26" t="str">
        <f t="shared" si="24"/>
        <v>K25-08</v>
      </c>
      <c r="CM26" t="str">
        <f t="shared" si="25"/>
        <v>K25-02</v>
      </c>
      <c r="CN26" t="str">
        <f t="shared" si="26"/>
        <v>K25-09</v>
      </c>
      <c r="CO26" t="str">
        <f t="shared" si="27"/>
        <v>K25-05</v>
      </c>
      <c r="CP26" t="str">
        <f t="shared" si="28"/>
        <v>K25-11</v>
      </c>
      <c r="CQ26" t="str">
        <f t="shared" si="29"/>
        <v>F0-M25-A9</v>
      </c>
      <c r="CR26" t="str">
        <f t="shared" si="30"/>
        <v>F0-M25-A7</v>
      </c>
      <c r="CS26" t="str">
        <f t="shared" si="31"/>
        <v>F0-M25-A8</v>
      </c>
      <c r="CT26" t="str">
        <f t="shared" si="32"/>
        <v>F0-M25-A6</v>
      </c>
      <c r="CU26" t="str">
        <f t="shared" si="33"/>
        <v>F0-M25-A30</v>
      </c>
      <c r="CV26" t="str">
        <f t="shared" si="34"/>
        <v>F0-M25-N</v>
      </c>
      <c r="CW26" t="str">
        <f t="shared" si="17"/>
        <v>F0-A220-M25</v>
      </c>
      <c r="CX26" t="str">
        <f t="shared" si="35"/>
        <v>F0-M25-XM01</v>
      </c>
      <c r="CY26" t="str">
        <f t="shared" si="36"/>
        <v>F0-M25-A1</v>
      </c>
      <c r="CZ26" t="str">
        <f t="shared" si="37"/>
        <v>F0-M25-A5</v>
      </c>
      <c r="DA26" t="str">
        <f t="shared" si="38"/>
        <v>F0-M25-A11</v>
      </c>
      <c r="DB26" t="str">
        <f t="shared" si="39"/>
        <v>F0-M25-A12</v>
      </c>
      <c r="DC26" t="str">
        <f t="shared" si="40"/>
        <v>F0-M25-A19</v>
      </c>
      <c r="DD26" t="str">
        <f t="shared" si="41"/>
        <v>F0-M25-A20</v>
      </c>
      <c r="DE26" t="s">
        <v>142</v>
      </c>
      <c r="DF26" t="s">
        <v>143</v>
      </c>
      <c r="DG26">
        <v>11</v>
      </c>
      <c r="DH26">
        <v>14</v>
      </c>
      <c r="DI26">
        <v>12</v>
      </c>
      <c r="DJ26" t="s">
        <v>144</v>
      </c>
      <c r="DK26" t="s">
        <v>145</v>
      </c>
      <c r="DL26">
        <v>1</v>
      </c>
      <c r="DM26">
        <v>2</v>
      </c>
      <c r="DN26">
        <v>3</v>
      </c>
      <c r="DO26">
        <v>4</v>
      </c>
      <c r="DP26">
        <v>5</v>
      </c>
      <c r="DQ26">
        <v>6</v>
      </c>
      <c r="DR26">
        <v>7</v>
      </c>
      <c r="DS26">
        <v>8</v>
      </c>
      <c r="DT26">
        <v>9</v>
      </c>
      <c r="DU26">
        <v>10</v>
      </c>
      <c r="DV26">
        <v>11</v>
      </c>
      <c r="DW26">
        <v>12</v>
      </c>
      <c r="DX26">
        <v>13</v>
      </c>
      <c r="DY26">
        <v>14</v>
      </c>
      <c r="DZ26">
        <v>1</v>
      </c>
      <c r="EA26">
        <v>3</v>
      </c>
      <c r="EB26">
        <v>4</v>
      </c>
      <c r="EC26">
        <v>7</v>
      </c>
      <c r="ED26">
        <v>8</v>
      </c>
      <c r="EE26">
        <v>9</v>
      </c>
      <c r="EF26">
        <v>10</v>
      </c>
      <c r="EG26">
        <v>13</v>
      </c>
      <c r="EH26">
        <v>14</v>
      </c>
      <c r="EI26">
        <v>15</v>
      </c>
      <c r="EJ26">
        <v>16</v>
      </c>
      <c r="EK26">
        <v>22</v>
      </c>
      <c r="EL26">
        <v>23</v>
      </c>
      <c r="EM26" s="16">
        <v>24</v>
      </c>
    </row>
    <row r="27" spans="1:143" x14ac:dyDescent="0.25">
      <c r="A27" t="s">
        <v>221</v>
      </c>
      <c r="B27" t="s">
        <v>222</v>
      </c>
      <c r="C27" s="3" t="s">
        <v>127</v>
      </c>
      <c r="O27" s="2"/>
      <c r="P27" t="s">
        <v>129</v>
      </c>
      <c r="Q27" s="1"/>
      <c r="S27" s="1" t="s">
        <v>130</v>
      </c>
      <c r="T27" s="14" t="s">
        <v>554</v>
      </c>
      <c r="U27" s="15">
        <v>26</v>
      </c>
      <c r="V27" s="15" t="s">
        <v>334</v>
      </c>
      <c r="W27" s="15"/>
      <c r="AC27" t="s">
        <v>265</v>
      </c>
      <c r="AD27" t="s">
        <v>133</v>
      </c>
      <c r="AE27" t="s">
        <v>134</v>
      </c>
      <c r="AF27" t="s">
        <v>268</v>
      </c>
      <c r="AG27" t="s">
        <v>249</v>
      </c>
      <c r="AH27" t="s">
        <v>256</v>
      </c>
      <c r="AI27" t="s">
        <v>223</v>
      </c>
      <c r="AL27" t="s">
        <v>137</v>
      </c>
      <c r="AM27" t="s">
        <v>138</v>
      </c>
      <c r="AP27" t="s">
        <v>139</v>
      </c>
      <c r="AQ27" t="s">
        <v>140</v>
      </c>
      <c r="AZ27" s="16"/>
      <c r="BA27" t="str">
        <f t="shared" si="0"/>
        <v>XT26</v>
      </c>
      <c r="BB27" t="str">
        <f t="shared" si="1"/>
        <v>C2</v>
      </c>
      <c r="BC27" t="str">
        <f t="shared" si="2"/>
        <v>B2</v>
      </c>
      <c r="BD27" t="str">
        <f t="shared" si="3"/>
        <v>C3</v>
      </c>
      <c r="BE27" t="str">
        <f t="shared" si="4"/>
        <v>B3</v>
      </c>
      <c r="BF27" t="str">
        <f t="shared" si="5"/>
        <v>C4</v>
      </c>
      <c r="BG27" t="str">
        <f t="shared" si="6"/>
        <v>B4</v>
      </c>
      <c r="BH27" t="str">
        <f t="shared" si="7"/>
        <v>C5</v>
      </c>
      <c r="BI27" t="str">
        <f t="shared" si="8"/>
        <v>B5</v>
      </c>
      <c r="BJ27" t="str">
        <f t="shared" si="9"/>
        <v>C6</v>
      </c>
      <c r="BK27" t="str">
        <f t="shared" si="10"/>
        <v>B6</v>
      </c>
      <c r="BL27" t="str">
        <f t="shared" si="11"/>
        <v>17B</v>
      </c>
      <c r="BM27" t="str">
        <f t="shared" si="12"/>
        <v>17A</v>
      </c>
      <c r="BN27" t="str">
        <f t="shared" si="18"/>
        <v>18B</v>
      </c>
      <c r="BO27" t="str">
        <f t="shared" si="19"/>
        <v>18A</v>
      </c>
      <c r="BP27" t="str">
        <f t="shared" si="13"/>
        <v>DI6-C1</v>
      </c>
      <c r="BQ27" t="str">
        <f t="shared" si="13"/>
        <v>DI6-B1</v>
      </c>
      <c r="BR27" t="str">
        <f t="shared" si="42"/>
        <v>DI6-C2</v>
      </c>
      <c r="BS27" t="str">
        <f t="shared" si="42"/>
        <v>DI6-B2</v>
      </c>
      <c r="BT27" t="str">
        <f t="shared" si="42"/>
        <v>DI6-C3</v>
      </c>
      <c r="BU27" t="str">
        <f t="shared" si="42"/>
        <v>DI6-B3</v>
      </c>
      <c r="BV27" t="str">
        <f t="shared" si="42"/>
        <v>DI6-C4</v>
      </c>
      <c r="BW27" t="str">
        <f t="shared" si="42"/>
        <v>DI6-B4</v>
      </c>
      <c r="BX27" t="str">
        <f t="shared" si="42"/>
        <v>DI6-C5</v>
      </c>
      <c r="BY27" t="str">
        <f t="shared" si="42"/>
        <v>DI6-B5</v>
      </c>
      <c r="BZ27" t="str">
        <f t="shared" si="42"/>
        <v>DI6-C6</v>
      </c>
      <c r="CA27" t="str">
        <f t="shared" si="42"/>
        <v>DI6-B6</v>
      </c>
      <c r="CB27" t="str">
        <f t="shared" si="15"/>
        <v>DO3-16B</v>
      </c>
      <c r="CC27" t="str">
        <f t="shared" si="15"/>
        <v>DO3-16A</v>
      </c>
      <c r="CD27" t="str">
        <f t="shared" si="16"/>
        <v>DO3-17B</v>
      </c>
      <c r="CE27" t="str">
        <f t="shared" si="16"/>
        <v>DO3-17A</v>
      </c>
      <c r="CF27" t="str">
        <f t="shared" si="16"/>
        <v>DO3-18B</v>
      </c>
      <c r="CG27" t="str">
        <f t="shared" si="16"/>
        <v>DO3-18A</v>
      </c>
      <c r="CH27" t="str">
        <f t="shared" si="20"/>
        <v>K26-10</v>
      </c>
      <c r="CI27" t="str">
        <f t="shared" si="21"/>
        <v>K26-03</v>
      </c>
      <c r="CJ27" t="str">
        <f t="shared" si="22"/>
        <v>K26-04</v>
      </c>
      <c r="CK27" t="str">
        <f t="shared" si="23"/>
        <v>K26-01</v>
      </c>
      <c r="CL27" t="str">
        <f t="shared" si="24"/>
        <v>K26-08</v>
      </c>
      <c r="CM27" t="str">
        <f t="shared" si="25"/>
        <v>K26-02</v>
      </c>
      <c r="CN27" t="str">
        <f t="shared" si="26"/>
        <v>K26-09</v>
      </c>
      <c r="CO27" t="str">
        <f t="shared" si="27"/>
        <v>K26-05</v>
      </c>
      <c r="CP27" t="str">
        <f t="shared" si="28"/>
        <v>K26-11</v>
      </c>
      <c r="CQ27" t="str">
        <f t="shared" si="29"/>
        <v>F0-M26-A9</v>
      </c>
      <c r="CR27" t="str">
        <f t="shared" si="30"/>
        <v>F0-M26-A7</v>
      </c>
      <c r="CS27" t="str">
        <f t="shared" si="31"/>
        <v>F0-M26-A8</v>
      </c>
      <c r="CT27" t="str">
        <f t="shared" si="32"/>
        <v>F0-M26-A6</v>
      </c>
      <c r="CU27" t="str">
        <f t="shared" si="33"/>
        <v>F0-M26-A30</v>
      </c>
      <c r="CV27" t="str">
        <f t="shared" si="34"/>
        <v>F0-M26-N</v>
      </c>
      <c r="CW27" t="str">
        <f t="shared" si="17"/>
        <v>F0-A220-M26</v>
      </c>
      <c r="CX27" t="str">
        <f t="shared" si="35"/>
        <v>F0-M26-XM01</v>
      </c>
      <c r="CY27" t="str">
        <f t="shared" si="36"/>
        <v>F0-M26-A1</v>
      </c>
      <c r="CZ27" t="str">
        <f t="shared" si="37"/>
        <v>F0-M26-A5</v>
      </c>
      <c r="DA27" t="str">
        <f t="shared" si="38"/>
        <v>F0-M26-A11</v>
      </c>
      <c r="DB27" t="str">
        <f t="shared" si="39"/>
        <v>F0-M26-A12</v>
      </c>
      <c r="DC27" t="str">
        <f t="shared" si="40"/>
        <v>F0-M26-A19</v>
      </c>
      <c r="DD27" t="str">
        <f t="shared" si="41"/>
        <v>F0-M26-A20</v>
      </c>
      <c r="DE27" t="s">
        <v>142</v>
      </c>
      <c r="DF27" t="s">
        <v>143</v>
      </c>
      <c r="DG27">
        <v>11</v>
      </c>
      <c r="DH27">
        <v>14</v>
      </c>
      <c r="DI27">
        <v>12</v>
      </c>
      <c r="DJ27" t="s">
        <v>144</v>
      </c>
      <c r="DK27" t="s">
        <v>145</v>
      </c>
      <c r="DL27">
        <v>1</v>
      </c>
      <c r="DM27">
        <v>2</v>
      </c>
      <c r="DN27">
        <v>3</v>
      </c>
      <c r="DO27">
        <v>4</v>
      </c>
      <c r="DP27">
        <v>5</v>
      </c>
      <c r="DQ27">
        <v>6</v>
      </c>
      <c r="DR27">
        <v>7</v>
      </c>
      <c r="DS27">
        <v>8</v>
      </c>
      <c r="DT27">
        <v>9</v>
      </c>
      <c r="DU27">
        <v>10</v>
      </c>
      <c r="DV27">
        <v>11</v>
      </c>
      <c r="DW27">
        <v>12</v>
      </c>
      <c r="DX27">
        <v>13</v>
      </c>
      <c r="DY27">
        <v>14</v>
      </c>
      <c r="DZ27">
        <v>1</v>
      </c>
      <c r="EA27">
        <v>3</v>
      </c>
      <c r="EB27">
        <v>4</v>
      </c>
      <c r="EC27">
        <v>7</v>
      </c>
      <c r="ED27">
        <v>8</v>
      </c>
      <c r="EE27">
        <v>9</v>
      </c>
      <c r="EF27">
        <v>10</v>
      </c>
      <c r="EG27">
        <v>13</v>
      </c>
      <c r="EH27">
        <v>14</v>
      </c>
      <c r="EI27">
        <v>15</v>
      </c>
      <c r="EJ27">
        <v>16</v>
      </c>
      <c r="EK27">
        <v>22</v>
      </c>
      <c r="EL27">
        <v>23</v>
      </c>
      <c r="EM27" s="16">
        <v>24</v>
      </c>
    </row>
    <row r="28" spans="1:143" x14ac:dyDescent="0.25">
      <c r="A28" t="s">
        <v>224</v>
      </c>
      <c r="B28" t="s">
        <v>225</v>
      </c>
      <c r="C28" s="3" t="s">
        <v>127</v>
      </c>
      <c r="O28" s="2"/>
      <c r="P28" t="s">
        <v>129</v>
      </c>
      <c r="Q28" s="1"/>
      <c r="S28" s="1" t="s">
        <v>130</v>
      </c>
      <c r="T28" s="14" t="s">
        <v>554</v>
      </c>
      <c r="U28" s="15">
        <v>27</v>
      </c>
      <c r="V28" s="15" t="s">
        <v>335</v>
      </c>
      <c r="W28" s="15"/>
      <c r="AC28" t="s">
        <v>265</v>
      </c>
      <c r="AD28" t="s">
        <v>148</v>
      </c>
      <c r="AE28" t="s">
        <v>149</v>
      </c>
      <c r="AF28" t="s">
        <v>268</v>
      </c>
      <c r="AG28" t="s">
        <v>250</v>
      </c>
      <c r="AH28" t="s">
        <v>257</v>
      </c>
      <c r="AI28" t="s">
        <v>226</v>
      </c>
      <c r="AL28" t="s">
        <v>137</v>
      </c>
      <c r="AM28" t="s">
        <v>138</v>
      </c>
      <c r="AP28" t="s">
        <v>139</v>
      </c>
      <c r="AQ28" t="s">
        <v>140</v>
      </c>
      <c r="AZ28" s="16"/>
      <c r="BA28" t="str">
        <f t="shared" si="0"/>
        <v>XT27</v>
      </c>
      <c r="BB28" t="str">
        <f t="shared" si="1"/>
        <v>C8</v>
      </c>
      <c r="BC28" t="str">
        <f t="shared" si="2"/>
        <v>B8</v>
      </c>
      <c r="BD28" t="str">
        <f t="shared" si="3"/>
        <v>C9</v>
      </c>
      <c r="BE28" t="str">
        <f t="shared" si="4"/>
        <v>B9</v>
      </c>
      <c r="BF28" t="str">
        <f t="shared" si="5"/>
        <v>C10</v>
      </c>
      <c r="BG28" t="str">
        <f t="shared" si="6"/>
        <v>B10</v>
      </c>
      <c r="BH28" t="str">
        <f t="shared" si="7"/>
        <v>C11</v>
      </c>
      <c r="BI28" t="str">
        <f t="shared" si="8"/>
        <v>B11</v>
      </c>
      <c r="BJ28" t="str">
        <f t="shared" si="9"/>
        <v>C12</v>
      </c>
      <c r="BK28" t="str">
        <f t="shared" si="10"/>
        <v>B12</v>
      </c>
      <c r="BL28" t="str">
        <f t="shared" si="11"/>
        <v>20B</v>
      </c>
      <c r="BM28" t="str">
        <f t="shared" si="12"/>
        <v>20A</v>
      </c>
      <c r="BN28" t="str">
        <f t="shared" si="18"/>
        <v>21B</v>
      </c>
      <c r="BO28" t="str">
        <f t="shared" si="19"/>
        <v>21A</v>
      </c>
      <c r="BP28" t="str">
        <f t="shared" si="13"/>
        <v>DI6-C7</v>
      </c>
      <c r="BQ28" t="str">
        <f t="shared" si="13"/>
        <v>DI6-B7</v>
      </c>
      <c r="BR28" t="str">
        <f t="shared" si="42"/>
        <v>DI6-C8</v>
      </c>
      <c r="BS28" t="str">
        <f t="shared" si="42"/>
        <v>DI6-B8</v>
      </c>
      <c r="BT28" t="str">
        <f t="shared" si="42"/>
        <v>DI6-C9</v>
      </c>
      <c r="BU28" t="str">
        <f t="shared" si="42"/>
        <v>DI6-B9</v>
      </c>
      <c r="BV28" t="str">
        <f t="shared" si="42"/>
        <v>DI6-C10</v>
      </c>
      <c r="BW28" t="str">
        <f t="shared" si="42"/>
        <v>DI6-B10</v>
      </c>
      <c r="BX28" t="str">
        <f t="shared" si="42"/>
        <v>DI6-C11</v>
      </c>
      <c r="BY28" t="str">
        <f t="shared" si="42"/>
        <v>DI6-B11</v>
      </c>
      <c r="BZ28" t="str">
        <f t="shared" si="42"/>
        <v>DI6-C12</v>
      </c>
      <c r="CA28" t="str">
        <f t="shared" si="42"/>
        <v>DI6-B12</v>
      </c>
      <c r="CB28" t="str">
        <f t="shared" si="15"/>
        <v>DO3-19B</v>
      </c>
      <c r="CC28" t="str">
        <f t="shared" si="15"/>
        <v>DO3-19A</v>
      </c>
      <c r="CD28" t="str">
        <f t="shared" si="16"/>
        <v>DO3-20B</v>
      </c>
      <c r="CE28" t="str">
        <f t="shared" si="16"/>
        <v>DO3-20A</v>
      </c>
      <c r="CF28" t="str">
        <f t="shared" si="16"/>
        <v>DO3-21B</v>
      </c>
      <c r="CG28" t="str">
        <f t="shared" si="16"/>
        <v>DO3-21A</v>
      </c>
      <c r="CH28" t="str">
        <f t="shared" si="20"/>
        <v>K27-10</v>
      </c>
      <c r="CI28" t="str">
        <f t="shared" si="21"/>
        <v>K27-03</v>
      </c>
      <c r="CJ28" t="str">
        <f t="shared" si="22"/>
        <v>K27-04</v>
      </c>
      <c r="CK28" t="str">
        <f t="shared" si="23"/>
        <v>K27-01</v>
      </c>
      <c r="CL28" t="str">
        <f t="shared" si="24"/>
        <v>K27-08</v>
      </c>
      <c r="CM28" t="str">
        <f t="shared" si="25"/>
        <v>K27-02</v>
      </c>
      <c r="CN28" t="str">
        <f t="shared" si="26"/>
        <v>K27-09</v>
      </c>
      <c r="CO28" t="str">
        <f t="shared" si="27"/>
        <v>K27-05</v>
      </c>
      <c r="CP28" t="str">
        <f t="shared" si="28"/>
        <v>K27-11</v>
      </c>
      <c r="CQ28" t="str">
        <f t="shared" si="29"/>
        <v>F0-M27-A9</v>
      </c>
      <c r="CR28" t="str">
        <f t="shared" si="30"/>
        <v>F0-M27-A7</v>
      </c>
      <c r="CS28" t="str">
        <f t="shared" si="31"/>
        <v>F0-M27-A8</v>
      </c>
      <c r="CT28" t="str">
        <f t="shared" si="32"/>
        <v>F0-M27-A6</v>
      </c>
      <c r="CU28" t="str">
        <f t="shared" si="33"/>
        <v>F0-M27-A30</v>
      </c>
      <c r="CV28" t="str">
        <f t="shared" si="34"/>
        <v>F0-M27-N</v>
      </c>
      <c r="CW28" t="str">
        <f t="shared" si="17"/>
        <v>F0-A220-M27</v>
      </c>
      <c r="CX28" t="str">
        <f t="shared" si="35"/>
        <v>F0-M27-XM01</v>
      </c>
      <c r="CY28" t="str">
        <f t="shared" si="36"/>
        <v>F0-M27-A1</v>
      </c>
      <c r="CZ28" t="str">
        <f t="shared" si="37"/>
        <v>F0-M27-A5</v>
      </c>
      <c r="DA28" t="str">
        <f t="shared" si="38"/>
        <v>F0-M27-A11</v>
      </c>
      <c r="DB28" t="str">
        <f t="shared" si="39"/>
        <v>F0-M27-A12</v>
      </c>
      <c r="DC28" t="str">
        <f t="shared" si="40"/>
        <v>F0-M27-A19</v>
      </c>
      <c r="DD28" t="str">
        <f t="shared" si="41"/>
        <v>F0-M27-A20</v>
      </c>
      <c r="DE28" t="s">
        <v>142</v>
      </c>
      <c r="DF28" t="s">
        <v>143</v>
      </c>
      <c r="DG28">
        <v>11</v>
      </c>
      <c r="DH28">
        <v>14</v>
      </c>
      <c r="DI28">
        <v>12</v>
      </c>
      <c r="DJ28" t="s">
        <v>144</v>
      </c>
      <c r="DK28" t="s">
        <v>145</v>
      </c>
      <c r="DL28">
        <v>1</v>
      </c>
      <c r="DM28">
        <v>2</v>
      </c>
      <c r="DN28">
        <v>3</v>
      </c>
      <c r="DO28">
        <v>4</v>
      </c>
      <c r="DP28">
        <v>5</v>
      </c>
      <c r="DQ28">
        <v>6</v>
      </c>
      <c r="DR28">
        <v>7</v>
      </c>
      <c r="DS28">
        <v>8</v>
      </c>
      <c r="DT28">
        <v>9</v>
      </c>
      <c r="DU28">
        <v>10</v>
      </c>
      <c r="DV28">
        <v>11</v>
      </c>
      <c r="DW28">
        <v>12</v>
      </c>
      <c r="DX28">
        <v>13</v>
      </c>
      <c r="DY28">
        <v>14</v>
      </c>
      <c r="DZ28">
        <v>1</v>
      </c>
      <c r="EA28">
        <v>3</v>
      </c>
      <c r="EB28">
        <v>4</v>
      </c>
      <c r="EC28">
        <v>7</v>
      </c>
      <c r="ED28">
        <v>8</v>
      </c>
      <c r="EE28">
        <v>9</v>
      </c>
      <c r="EF28">
        <v>10</v>
      </c>
      <c r="EG28">
        <v>13</v>
      </c>
      <c r="EH28">
        <v>14</v>
      </c>
      <c r="EI28">
        <v>15</v>
      </c>
      <c r="EJ28">
        <v>16</v>
      </c>
      <c r="EK28">
        <v>22</v>
      </c>
      <c r="EL28">
        <v>23</v>
      </c>
      <c r="EM28" s="16">
        <v>24</v>
      </c>
    </row>
    <row r="29" spans="1:143" x14ac:dyDescent="0.25">
      <c r="A29" t="s">
        <v>227</v>
      </c>
      <c r="B29" t="s">
        <v>228</v>
      </c>
      <c r="C29" s="3" t="s">
        <v>127</v>
      </c>
      <c r="O29" s="2"/>
      <c r="P29" t="s">
        <v>129</v>
      </c>
      <c r="Q29" s="1"/>
      <c r="S29" s="1" t="s">
        <v>130</v>
      </c>
      <c r="T29" s="14" t="s">
        <v>554</v>
      </c>
      <c r="U29" s="15">
        <v>28</v>
      </c>
      <c r="V29" s="15" t="s">
        <v>336</v>
      </c>
      <c r="W29" s="15"/>
      <c r="AC29" t="s">
        <v>265</v>
      </c>
      <c r="AD29" t="s">
        <v>153</v>
      </c>
      <c r="AE29" t="s">
        <v>154</v>
      </c>
      <c r="AF29" t="s">
        <v>268</v>
      </c>
      <c r="AG29" t="s">
        <v>251</v>
      </c>
      <c r="AH29" t="s">
        <v>258</v>
      </c>
      <c r="AI29" t="s">
        <v>229</v>
      </c>
      <c r="AL29" t="s">
        <v>137</v>
      </c>
      <c r="AM29" t="s">
        <v>138</v>
      </c>
      <c r="AP29" t="s">
        <v>139</v>
      </c>
      <c r="AQ29" t="s">
        <v>140</v>
      </c>
      <c r="AZ29" s="16"/>
      <c r="BA29" t="str">
        <f t="shared" si="0"/>
        <v>XT28</v>
      </c>
      <c r="BB29" t="str">
        <f t="shared" si="1"/>
        <v>C14</v>
      </c>
      <c r="BC29" t="str">
        <f t="shared" si="2"/>
        <v>B14</v>
      </c>
      <c r="BD29" t="str">
        <f t="shared" si="3"/>
        <v>C15</v>
      </c>
      <c r="BE29" t="str">
        <f t="shared" si="4"/>
        <v>B15</v>
      </c>
      <c r="BF29" t="str">
        <f t="shared" si="5"/>
        <v>C16</v>
      </c>
      <c r="BG29" t="str">
        <f t="shared" si="6"/>
        <v>B16</v>
      </c>
      <c r="BH29" t="str">
        <f t="shared" si="7"/>
        <v>C17</v>
      </c>
      <c r="BI29" t="str">
        <f t="shared" si="8"/>
        <v>B17</v>
      </c>
      <c r="BJ29" t="str">
        <f t="shared" si="9"/>
        <v>C18</v>
      </c>
      <c r="BK29" t="str">
        <f t="shared" si="10"/>
        <v>B18</v>
      </c>
      <c r="BL29" t="str">
        <f t="shared" si="11"/>
        <v>23B</v>
      </c>
      <c r="BM29" t="str">
        <f t="shared" si="12"/>
        <v>23A</v>
      </c>
      <c r="BN29" t="str">
        <f t="shared" si="18"/>
        <v>24B</v>
      </c>
      <c r="BO29" t="str">
        <f t="shared" si="19"/>
        <v>24A</v>
      </c>
      <c r="BP29" t="str">
        <f t="shared" si="13"/>
        <v>DI6-C13</v>
      </c>
      <c r="BQ29" t="str">
        <f t="shared" si="13"/>
        <v>DI6-B13</v>
      </c>
      <c r="BR29" t="str">
        <f t="shared" si="42"/>
        <v>DI6-C14</v>
      </c>
      <c r="BS29" t="str">
        <f t="shared" si="42"/>
        <v>DI6-B14</v>
      </c>
      <c r="BT29" t="str">
        <f t="shared" si="42"/>
        <v>DI6-C15</v>
      </c>
      <c r="BU29" t="str">
        <f t="shared" si="42"/>
        <v>DI6-B15</v>
      </c>
      <c r="BV29" t="str">
        <f t="shared" si="42"/>
        <v>DI6-C16</v>
      </c>
      <c r="BW29" t="str">
        <f t="shared" si="42"/>
        <v>DI6-B16</v>
      </c>
      <c r="BX29" t="str">
        <f t="shared" si="42"/>
        <v>DI6-C17</v>
      </c>
      <c r="BY29" t="str">
        <f t="shared" si="42"/>
        <v>DI6-B17</v>
      </c>
      <c r="BZ29" t="str">
        <f t="shared" si="42"/>
        <v>DI6-C18</v>
      </c>
      <c r="CA29" t="str">
        <f t="shared" si="42"/>
        <v>DI6-B18</v>
      </c>
      <c r="CB29" t="str">
        <f t="shared" si="15"/>
        <v>DO3-22B</v>
      </c>
      <c r="CC29" t="str">
        <f t="shared" si="15"/>
        <v>DO3-22A</v>
      </c>
      <c r="CD29" t="str">
        <f t="shared" si="16"/>
        <v>DO3-23B</v>
      </c>
      <c r="CE29" t="str">
        <f t="shared" si="16"/>
        <v>DO3-23A</v>
      </c>
      <c r="CF29" t="str">
        <f t="shared" si="16"/>
        <v>DO3-24B</v>
      </c>
      <c r="CG29" t="str">
        <f t="shared" si="16"/>
        <v>DO3-24A</v>
      </c>
      <c r="CH29" t="str">
        <f t="shared" si="20"/>
        <v>K28-10</v>
      </c>
      <c r="CI29" t="str">
        <f t="shared" si="21"/>
        <v>K28-03</v>
      </c>
      <c r="CJ29" t="str">
        <f t="shared" si="22"/>
        <v>K28-04</v>
      </c>
      <c r="CK29" t="str">
        <f t="shared" si="23"/>
        <v>K28-01</v>
      </c>
      <c r="CL29" t="str">
        <f t="shared" si="24"/>
        <v>K28-08</v>
      </c>
      <c r="CM29" t="str">
        <f t="shared" si="25"/>
        <v>K28-02</v>
      </c>
      <c r="CN29" t="str">
        <f t="shared" si="26"/>
        <v>K28-09</v>
      </c>
      <c r="CO29" t="str">
        <f t="shared" si="27"/>
        <v>K28-05</v>
      </c>
      <c r="CP29" t="str">
        <f t="shared" si="28"/>
        <v>K28-11</v>
      </c>
      <c r="CQ29" t="str">
        <f t="shared" si="29"/>
        <v>F0-M28-A9</v>
      </c>
      <c r="CR29" t="str">
        <f t="shared" si="30"/>
        <v>F0-M28-A7</v>
      </c>
      <c r="CS29" t="str">
        <f t="shared" si="31"/>
        <v>F0-M28-A8</v>
      </c>
      <c r="CT29" t="str">
        <f t="shared" si="32"/>
        <v>F0-M28-A6</v>
      </c>
      <c r="CU29" t="str">
        <f t="shared" si="33"/>
        <v>F0-M28-A30</v>
      </c>
      <c r="CV29" t="str">
        <f t="shared" si="34"/>
        <v>F0-M28-N</v>
      </c>
      <c r="CW29" t="str">
        <f t="shared" si="17"/>
        <v>F0-A220-M28</v>
      </c>
      <c r="CX29" t="str">
        <f t="shared" si="35"/>
        <v>F0-M28-XM01</v>
      </c>
      <c r="CY29" t="str">
        <f t="shared" si="36"/>
        <v>F0-M28-A1</v>
      </c>
      <c r="CZ29" t="str">
        <f t="shared" si="37"/>
        <v>F0-M28-A5</v>
      </c>
      <c r="DA29" t="str">
        <f t="shared" si="38"/>
        <v>F0-M28-A11</v>
      </c>
      <c r="DB29" t="str">
        <f t="shared" si="39"/>
        <v>F0-M28-A12</v>
      </c>
      <c r="DC29" t="str">
        <f t="shared" si="40"/>
        <v>F0-M28-A19</v>
      </c>
      <c r="DD29" t="str">
        <f t="shared" si="41"/>
        <v>F0-M28-A20</v>
      </c>
      <c r="DE29" t="s">
        <v>142</v>
      </c>
      <c r="DF29" t="s">
        <v>143</v>
      </c>
      <c r="DG29">
        <v>11</v>
      </c>
      <c r="DH29">
        <v>14</v>
      </c>
      <c r="DI29">
        <v>12</v>
      </c>
      <c r="DJ29" t="s">
        <v>144</v>
      </c>
      <c r="DK29" t="s">
        <v>145</v>
      </c>
      <c r="DL29">
        <v>1</v>
      </c>
      <c r="DM29">
        <v>2</v>
      </c>
      <c r="DN29">
        <v>3</v>
      </c>
      <c r="DO29">
        <v>4</v>
      </c>
      <c r="DP29">
        <v>5</v>
      </c>
      <c r="DQ29">
        <v>6</v>
      </c>
      <c r="DR29">
        <v>7</v>
      </c>
      <c r="DS29">
        <v>8</v>
      </c>
      <c r="DT29">
        <v>9</v>
      </c>
      <c r="DU29">
        <v>10</v>
      </c>
      <c r="DV29">
        <v>11</v>
      </c>
      <c r="DW29">
        <v>12</v>
      </c>
      <c r="DX29">
        <v>13</v>
      </c>
      <c r="DY29">
        <v>14</v>
      </c>
      <c r="DZ29">
        <v>1</v>
      </c>
      <c r="EA29">
        <v>3</v>
      </c>
      <c r="EB29">
        <v>4</v>
      </c>
      <c r="EC29">
        <v>7</v>
      </c>
      <c r="ED29">
        <v>8</v>
      </c>
      <c r="EE29">
        <v>9</v>
      </c>
      <c r="EF29">
        <v>10</v>
      </c>
      <c r="EG29">
        <v>13</v>
      </c>
      <c r="EH29">
        <v>14</v>
      </c>
      <c r="EI29">
        <v>15</v>
      </c>
      <c r="EJ29">
        <v>16</v>
      </c>
      <c r="EK29">
        <v>22</v>
      </c>
      <c r="EL29">
        <v>23</v>
      </c>
      <c r="EM29" s="16">
        <v>24</v>
      </c>
    </row>
    <row r="30" spans="1:143" x14ac:dyDescent="0.25">
      <c r="A30" t="s">
        <v>230</v>
      </c>
      <c r="B30" t="s">
        <v>231</v>
      </c>
      <c r="C30" s="3" t="s">
        <v>127</v>
      </c>
      <c r="O30" s="2"/>
      <c r="P30" t="s">
        <v>129</v>
      </c>
      <c r="Q30" s="1"/>
      <c r="S30" s="1" t="s">
        <v>130</v>
      </c>
      <c r="T30" s="14" t="s">
        <v>554</v>
      </c>
      <c r="U30" s="15">
        <v>29</v>
      </c>
      <c r="V30" s="15" t="s">
        <v>337</v>
      </c>
      <c r="W30" s="15"/>
      <c r="AC30" t="s">
        <v>265</v>
      </c>
      <c r="AD30" t="s">
        <v>239</v>
      </c>
      <c r="AE30" t="s">
        <v>241</v>
      </c>
      <c r="AF30" t="s">
        <v>268</v>
      </c>
      <c r="AG30" t="s">
        <v>252</v>
      </c>
      <c r="AH30" t="s">
        <v>259</v>
      </c>
      <c r="AI30" t="s">
        <v>232</v>
      </c>
      <c r="AL30" t="s">
        <v>137</v>
      </c>
      <c r="AM30" t="s">
        <v>138</v>
      </c>
      <c r="AP30" t="s">
        <v>139</v>
      </c>
      <c r="AQ30" t="s">
        <v>140</v>
      </c>
      <c r="AZ30" s="16"/>
      <c r="BA30" t="str">
        <f t="shared" si="0"/>
        <v>XT29</v>
      </c>
      <c r="BB30" t="str">
        <f t="shared" si="1"/>
        <v>C20</v>
      </c>
      <c r="BC30" t="str">
        <f t="shared" si="2"/>
        <v>B20</v>
      </c>
      <c r="BD30" t="str">
        <f t="shared" si="3"/>
        <v>C21</v>
      </c>
      <c r="BE30" t="str">
        <f t="shared" si="4"/>
        <v>B21</v>
      </c>
      <c r="BF30" t="str">
        <f t="shared" si="5"/>
        <v>C22</v>
      </c>
      <c r="BG30" t="str">
        <f t="shared" si="6"/>
        <v>B22</v>
      </c>
      <c r="BH30" t="str">
        <f t="shared" si="7"/>
        <v>C23</v>
      </c>
      <c r="BI30" t="str">
        <f t="shared" si="8"/>
        <v>B23</v>
      </c>
      <c r="BJ30" t="str">
        <f t="shared" si="9"/>
        <v>C24</v>
      </c>
      <c r="BK30" t="str">
        <f t="shared" si="10"/>
        <v>B24</v>
      </c>
      <c r="BL30" t="str">
        <f t="shared" si="11"/>
        <v>26B</v>
      </c>
      <c r="BM30" t="str">
        <f t="shared" si="12"/>
        <v>26A</v>
      </c>
      <c r="BN30" t="str">
        <f t="shared" si="18"/>
        <v>27B</v>
      </c>
      <c r="BO30" t="str">
        <f t="shared" si="19"/>
        <v>27A</v>
      </c>
      <c r="BP30" t="str">
        <f t="shared" si="13"/>
        <v>DI6-C19</v>
      </c>
      <c r="BQ30" t="str">
        <f t="shared" si="13"/>
        <v>DI6-B19</v>
      </c>
      <c r="BR30" t="str">
        <f t="shared" si="42"/>
        <v>DI6-C20</v>
      </c>
      <c r="BS30" t="str">
        <f t="shared" si="42"/>
        <v>DI6-B20</v>
      </c>
      <c r="BT30" t="str">
        <f t="shared" si="42"/>
        <v>DI6-C21</v>
      </c>
      <c r="BU30" t="str">
        <f t="shared" si="42"/>
        <v>DI6-B21</v>
      </c>
      <c r="BV30" t="str">
        <f t="shared" si="42"/>
        <v>DI6-C22</v>
      </c>
      <c r="BW30" t="str">
        <f t="shared" si="42"/>
        <v>DI6-B22</v>
      </c>
      <c r="BX30" t="str">
        <f t="shared" si="42"/>
        <v>DI6-C23</v>
      </c>
      <c r="BY30" t="str">
        <f t="shared" si="42"/>
        <v>DI6-B23</v>
      </c>
      <c r="BZ30" t="str">
        <f t="shared" si="42"/>
        <v>DI6-C24</v>
      </c>
      <c r="CA30" t="str">
        <f t="shared" si="42"/>
        <v>DI6-B24</v>
      </c>
      <c r="CB30" t="str">
        <f t="shared" si="15"/>
        <v>DO3-25B</v>
      </c>
      <c r="CC30" t="str">
        <f t="shared" si="15"/>
        <v>DO3-25A</v>
      </c>
      <c r="CD30" t="str">
        <f t="shared" si="16"/>
        <v>DO3-26B</v>
      </c>
      <c r="CE30" t="str">
        <f t="shared" si="16"/>
        <v>DO3-26A</v>
      </c>
      <c r="CF30" t="str">
        <f t="shared" si="16"/>
        <v>DO3-27B</v>
      </c>
      <c r="CG30" t="str">
        <f t="shared" si="16"/>
        <v>DO3-27A</v>
      </c>
      <c r="CH30" t="str">
        <f t="shared" si="20"/>
        <v>K29-10</v>
      </c>
      <c r="CI30" t="str">
        <f t="shared" si="21"/>
        <v>K29-03</v>
      </c>
      <c r="CJ30" t="str">
        <f t="shared" si="22"/>
        <v>K29-04</v>
      </c>
      <c r="CK30" t="str">
        <f t="shared" si="23"/>
        <v>K29-01</v>
      </c>
      <c r="CL30" t="str">
        <f t="shared" si="24"/>
        <v>K29-08</v>
      </c>
      <c r="CM30" t="str">
        <f t="shared" si="25"/>
        <v>K29-02</v>
      </c>
      <c r="CN30" t="str">
        <f t="shared" si="26"/>
        <v>K29-09</v>
      </c>
      <c r="CO30" t="str">
        <f t="shared" si="27"/>
        <v>K29-05</v>
      </c>
      <c r="CP30" t="str">
        <f t="shared" si="28"/>
        <v>K29-11</v>
      </c>
      <c r="CQ30" t="str">
        <f t="shared" si="29"/>
        <v>F0-M29-A9</v>
      </c>
      <c r="CR30" t="str">
        <f t="shared" si="30"/>
        <v>F0-M29-A7</v>
      </c>
      <c r="CS30" t="str">
        <f t="shared" si="31"/>
        <v>F0-M29-A8</v>
      </c>
      <c r="CT30" t="str">
        <f t="shared" si="32"/>
        <v>F0-M29-A6</v>
      </c>
      <c r="CU30" t="str">
        <f t="shared" si="33"/>
        <v>F0-M29-A30</v>
      </c>
      <c r="CV30" t="str">
        <f t="shared" si="34"/>
        <v>F0-M29-N</v>
      </c>
      <c r="CW30" t="str">
        <f t="shared" si="17"/>
        <v>F0-A220-M29</v>
      </c>
      <c r="CX30" t="str">
        <f t="shared" si="35"/>
        <v>F0-M29-XM01</v>
      </c>
      <c r="CY30" t="str">
        <f t="shared" si="36"/>
        <v>F0-M29-A1</v>
      </c>
      <c r="CZ30" t="str">
        <f t="shared" si="37"/>
        <v>F0-M29-A5</v>
      </c>
      <c r="DA30" t="str">
        <f t="shared" si="38"/>
        <v>F0-M29-A11</v>
      </c>
      <c r="DB30" t="str">
        <f t="shared" si="39"/>
        <v>F0-M29-A12</v>
      </c>
      <c r="DC30" t="str">
        <f t="shared" si="40"/>
        <v>F0-M29-A19</v>
      </c>
      <c r="DD30" t="str">
        <f t="shared" si="41"/>
        <v>F0-M29-A20</v>
      </c>
      <c r="DE30" t="s">
        <v>142</v>
      </c>
      <c r="DF30" t="s">
        <v>143</v>
      </c>
      <c r="DG30">
        <v>11</v>
      </c>
      <c r="DH30">
        <v>14</v>
      </c>
      <c r="DI30">
        <v>12</v>
      </c>
      <c r="DJ30" t="s">
        <v>144</v>
      </c>
      <c r="DK30" t="s">
        <v>145</v>
      </c>
      <c r="DL30">
        <v>1</v>
      </c>
      <c r="DM30">
        <v>2</v>
      </c>
      <c r="DN30">
        <v>3</v>
      </c>
      <c r="DO30">
        <v>4</v>
      </c>
      <c r="DP30">
        <v>5</v>
      </c>
      <c r="DQ30">
        <v>6</v>
      </c>
      <c r="DR30">
        <v>7</v>
      </c>
      <c r="DS30">
        <v>8</v>
      </c>
      <c r="DT30">
        <v>9</v>
      </c>
      <c r="DU30">
        <v>10</v>
      </c>
      <c r="DV30">
        <v>11</v>
      </c>
      <c r="DW30">
        <v>12</v>
      </c>
      <c r="DX30">
        <v>13</v>
      </c>
      <c r="DY30">
        <v>14</v>
      </c>
      <c r="DZ30">
        <v>1</v>
      </c>
      <c r="EA30">
        <v>3</v>
      </c>
      <c r="EB30">
        <v>4</v>
      </c>
      <c r="EC30">
        <v>7</v>
      </c>
      <c r="ED30">
        <v>8</v>
      </c>
      <c r="EE30">
        <v>9</v>
      </c>
      <c r="EF30">
        <v>10</v>
      </c>
      <c r="EG30">
        <v>13</v>
      </c>
      <c r="EH30">
        <v>14</v>
      </c>
      <c r="EI30">
        <v>15</v>
      </c>
      <c r="EJ30">
        <v>16</v>
      </c>
      <c r="EK30">
        <v>22</v>
      </c>
      <c r="EL30">
        <v>23</v>
      </c>
      <c r="EM30" s="16">
        <v>24</v>
      </c>
    </row>
    <row r="31" spans="1:143" x14ac:dyDescent="0.25">
      <c r="A31" t="s">
        <v>233</v>
      </c>
      <c r="B31" t="s">
        <v>234</v>
      </c>
      <c r="C31" s="3" t="s">
        <v>127</v>
      </c>
      <c r="O31" s="2"/>
      <c r="P31" t="s">
        <v>129</v>
      </c>
      <c r="Q31" s="1"/>
      <c r="S31" s="1" t="s">
        <v>130</v>
      </c>
      <c r="T31" s="14" t="s">
        <v>554</v>
      </c>
      <c r="U31" s="15">
        <v>30</v>
      </c>
      <c r="V31" s="15" t="s">
        <v>338</v>
      </c>
      <c r="W31" s="15"/>
      <c r="AC31" t="s">
        <v>265</v>
      </c>
      <c r="AD31" t="s">
        <v>240</v>
      </c>
      <c r="AE31" t="s">
        <v>242</v>
      </c>
      <c r="AF31" t="s">
        <v>268</v>
      </c>
      <c r="AG31" t="s">
        <v>253</v>
      </c>
      <c r="AH31" t="s">
        <v>260</v>
      </c>
      <c r="AI31" t="s">
        <v>235</v>
      </c>
      <c r="AL31" t="s">
        <v>137</v>
      </c>
      <c r="AM31" t="s">
        <v>138</v>
      </c>
      <c r="AP31" t="s">
        <v>139</v>
      </c>
      <c r="AQ31" t="s">
        <v>140</v>
      </c>
      <c r="AZ31" s="16"/>
      <c r="BA31" t="str">
        <f t="shared" si="0"/>
        <v>XT30</v>
      </c>
      <c r="BB31" t="str">
        <f t="shared" si="1"/>
        <v>C26</v>
      </c>
      <c r="BC31" t="str">
        <f t="shared" si="2"/>
        <v>B26</v>
      </c>
      <c r="BD31" t="str">
        <f t="shared" si="3"/>
        <v>C27</v>
      </c>
      <c r="BE31" t="str">
        <f t="shared" si="4"/>
        <v>B27</v>
      </c>
      <c r="BF31" t="str">
        <f t="shared" si="5"/>
        <v>C28</v>
      </c>
      <c r="BG31" t="str">
        <f t="shared" si="6"/>
        <v>B28</v>
      </c>
      <c r="BH31" t="str">
        <f t="shared" si="7"/>
        <v>C29</v>
      </c>
      <c r="BI31" t="str">
        <f t="shared" si="8"/>
        <v>B29</v>
      </c>
      <c r="BJ31" t="str">
        <f t="shared" si="9"/>
        <v>C30</v>
      </c>
      <c r="BK31" t="str">
        <f t="shared" si="10"/>
        <v>B30</v>
      </c>
      <c r="BL31" t="str">
        <f t="shared" si="11"/>
        <v>29B</v>
      </c>
      <c r="BM31" t="str">
        <f t="shared" si="12"/>
        <v>29A</v>
      </c>
      <c r="BN31" t="str">
        <f t="shared" si="18"/>
        <v>30B</v>
      </c>
      <c r="BO31" t="str">
        <f t="shared" si="19"/>
        <v>30A</v>
      </c>
      <c r="BP31" t="str">
        <f t="shared" si="13"/>
        <v>DI6-C25</v>
      </c>
      <c r="BQ31" t="str">
        <f t="shared" si="13"/>
        <v>DI6-B25</v>
      </c>
      <c r="BR31" t="str">
        <f t="shared" si="42"/>
        <v>DI6-C26</v>
      </c>
      <c r="BS31" t="str">
        <f t="shared" si="42"/>
        <v>DI6-B26</v>
      </c>
      <c r="BT31" t="str">
        <f t="shared" si="42"/>
        <v>DI6-C27</v>
      </c>
      <c r="BU31" t="str">
        <f t="shared" si="42"/>
        <v>DI6-B27</v>
      </c>
      <c r="BV31" t="str">
        <f t="shared" si="42"/>
        <v>DI6-C28</v>
      </c>
      <c r="BW31" t="str">
        <f t="shared" si="42"/>
        <v>DI6-B28</v>
      </c>
      <c r="BX31" t="str">
        <f t="shared" si="42"/>
        <v>DI6-C29</v>
      </c>
      <c r="BY31" t="str">
        <f t="shared" si="42"/>
        <v>DI6-B29</v>
      </c>
      <c r="BZ31" t="str">
        <f t="shared" si="42"/>
        <v>DI6-C30</v>
      </c>
      <c r="CA31" t="str">
        <f t="shared" si="42"/>
        <v>DI6-B30</v>
      </c>
      <c r="CB31" t="str">
        <f t="shared" si="15"/>
        <v>DO3-28B</v>
      </c>
      <c r="CC31" t="str">
        <f t="shared" si="15"/>
        <v>DO3-28A</v>
      </c>
      <c r="CD31" t="str">
        <f t="shared" si="16"/>
        <v>DO3-29B</v>
      </c>
      <c r="CE31" t="str">
        <f t="shared" si="16"/>
        <v>DO3-29A</v>
      </c>
      <c r="CF31" t="str">
        <f t="shared" si="16"/>
        <v>DO3-30B</v>
      </c>
      <c r="CG31" t="str">
        <f t="shared" si="16"/>
        <v>DO3-30A</v>
      </c>
      <c r="CH31" t="str">
        <f t="shared" si="20"/>
        <v>K30-10</v>
      </c>
      <c r="CI31" t="str">
        <f t="shared" si="21"/>
        <v>K30-03</v>
      </c>
      <c r="CJ31" t="str">
        <f t="shared" si="22"/>
        <v>K30-04</v>
      </c>
      <c r="CK31" t="str">
        <f t="shared" si="23"/>
        <v>K30-01</v>
      </c>
      <c r="CL31" t="str">
        <f t="shared" si="24"/>
        <v>K30-08</v>
      </c>
      <c r="CM31" t="str">
        <f t="shared" si="25"/>
        <v>K30-02</v>
      </c>
      <c r="CN31" t="str">
        <f t="shared" si="26"/>
        <v>K30-09</v>
      </c>
      <c r="CO31" t="str">
        <f t="shared" si="27"/>
        <v>K30-05</v>
      </c>
      <c r="CP31" t="str">
        <f t="shared" si="28"/>
        <v>K30-11</v>
      </c>
      <c r="CQ31" t="str">
        <f t="shared" si="29"/>
        <v>F0-M30-A9</v>
      </c>
      <c r="CR31" t="str">
        <f t="shared" si="30"/>
        <v>F0-M30-A7</v>
      </c>
      <c r="CS31" t="str">
        <f t="shared" si="31"/>
        <v>F0-M30-A8</v>
      </c>
      <c r="CT31" t="str">
        <f t="shared" si="32"/>
        <v>F0-M30-A6</v>
      </c>
      <c r="CU31" t="str">
        <f t="shared" si="33"/>
        <v>F0-M30-A30</v>
      </c>
      <c r="CV31" t="str">
        <f t="shared" si="34"/>
        <v>F0-M30-N</v>
      </c>
      <c r="CW31" t="str">
        <f t="shared" si="17"/>
        <v>F0-A220-M30</v>
      </c>
      <c r="CX31" t="str">
        <f t="shared" si="35"/>
        <v>F0-M30-XM01</v>
      </c>
      <c r="CY31" t="str">
        <f t="shared" si="36"/>
        <v>F0-M30-A1</v>
      </c>
      <c r="CZ31" t="str">
        <f t="shared" si="37"/>
        <v>F0-M30-A5</v>
      </c>
      <c r="DA31" t="str">
        <f t="shared" si="38"/>
        <v>F0-M30-A11</v>
      </c>
      <c r="DB31" t="str">
        <f t="shared" si="39"/>
        <v>F0-M30-A12</v>
      </c>
      <c r="DC31" t="str">
        <f t="shared" si="40"/>
        <v>F0-M30-A19</v>
      </c>
      <c r="DD31" t="str">
        <f t="shared" si="41"/>
        <v>F0-M30-A20</v>
      </c>
      <c r="DE31" t="s">
        <v>142</v>
      </c>
      <c r="DF31" t="s">
        <v>143</v>
      </c>
      <c r="DG31">
        <v>11</v>
      </c>
      <c r="DH31">
        <v>14</v>
      </c>
      <c r="DI31">
        <v>12</v>
      </c>
      <c r="DJ31" t="s">
        <v>144</v>
      </c>
      <c r="DK31" t="s">
        <v>145</v>
      </c>
      <c r="DL31">
        <v>1</v>
      </c>
      <c r="DM31">
        <v>2</v>
      </c>
      <c r="DN31">
        <v>3</v>
      </c>
      <c r="DO31">
        <v>4</v>
      </c>
      <c r="DP31">
        <v>5</v>
      </c>
      <c r="DQ31">
        <v>6</v>
      </c>
      <c r="DR31">
        <v>7</v>
      </c>
      <c r="DS31">
        <v>8</v>
      </c>
      <c r="DT31">
        <v>9</v>
      </c>
      <c r="DU31">
        <v>10</v>
      </c>
      <c r="DV31">
        <v>11</v>
      </c>
      <c r="DW31">
        <v>12</v>
      </c>
      <c r="DX31">
        <v>13</v>
      </c>
      <c r="DY31">
        <v>14</v>
      </c>
      <c r="DZ31">
        <v>1</v>
      </c>
      <c r="EA31">
        <v>3</v>
      </c>
      <c r="EB31">
        <v>4</v>
      </c>
      <c r="EC31">
        <v>7</v>
      </c>
      <c r="ED31">
        <v>8</v>
      </c>
      <c r="EE31">
        <v>9</v>
      </c>
      <c r="EF31">
        <v>10</v>
      </c>
      <c r="EG31">
        <v>13</v>
      </c>
      <c r="EH31">
        <v>14</v>
      </c>
      <c r="EI31">
        <v>15</v>
      </c>
      <c r="EJ31">
        <v>16</v>
      </c>
      <c r="EK31">
        <v>22</v>
      </c>
      <c r="EL31">
        <v>23</v>
      </c>
      <c r="EM31" s="16">
        <v>24</v>
      </c>
    </row>
    <row r="32" spans="1:143" ht="15.75" thickBot="1" x14ac:dyDescent="0.3">
      <c r="A32" t="s">
        <v>236</v>
      </c>
      <c r="B32" t="s">
        <v>237</v>
      </c>
      <c r="C32" s="3" t="s">
        <v>127</v>
      </c>
      <c r="O32" s="2"/>
      <c r="P32" t="s">
        <v>129</v>
      </c>
      <c r="Q32" s="1"/>
      <c r="S32" s="1" t="s">
        <v>130</v>
      </c>
      <c r="T32" s="17" t="s">
        <v>554</v>
      </c>
      <c r="U32" s="18">
        <v>31</v>
      </c>
      <c r="V32" s="18" t="s">
        <v>339</v>
      </c>
      <c r="W32" s="18"/>
      <c r="X32" s="19"/>
      <c r="Y32" s="19"/>
      <c r="Z32" s="19"/>
      <c r="AA32" s="19"/>
      <c r="AB32" s="19"/>
      <c r="AC32" s="19" t="s">
        <v>266</v>
      </c>
      <c r="AD32" s="19" t="s">
        <v>133</v>
      </c>
      <c r="AE32" s="19" t="s">
        <v>134</v>
      </c>
      <c r="AF32" s="19" t="s">
        <v>269</v>
      </c>
      <c r="AG32" s="19" t="s">
        <v>135</v>
      </c>
      <c r="AH32" s="19" t="s">
        <v>136</v>
      </c>
      <c r="AI32" s="19" t="s">
        <v>238</v>
      </c>
      <c r="AJ32" s="19"/>
      <c r="AK32" s="19"/>
      <c r="AL32" s="19" t="s">
        <v>137</v>
      </c>
      <c r="AM32" s="19" t="s">
        <v>138</v>
      </c>
      <c r="AN32" s="19"/>
      <c r="AO32" s="19"/>
      <c r="AP32" s="19" t="s">
        <v>139</v>
      </c>
      <c r="AQ32" s="19" t="s">
        <v>140</v>
      </c>
      <c r="AT32" s="19"/>
      <c r="AZ32" s="16"/>
      <c r="BA32" s="19" t="str">
        <f t="shared" si="0"/>
        <v>XT31</v>
      </c>
      <c r="BB32" s="19" t="str">
        <f t="shared" si="1"/>
        <v>C2</v>
      </c>
      <c r="BC32" s="19" t="str">
        <f t="shared" si="2"/>
        <v>B2</v>
      </c>
      <c r="BD32" s="19" t="str">
        <f t="shared" si="3"/>
        <v>C3</v>
      </c>
      <c r="BE32" s="19" t="str">
        <f t="shared" si="4"/>
        <v>B3</v>
      </c>
      <c r="BF32" s="19" t="str">
        <f t="shared" si="5"/>
        <v>C4</v>
      </c>
      <c r="BG32" s="19" t="str">
        <f t="shared" si="6"/>
        <v>B4</v>
      </c>
      <c r="BH32" s="19" t="str">
        <f t="shared" si="7"/>
        <v>C5</v>
      </c>
      <c r="BI32" s="19" t="str">
        <f t="shared" si="8"/>
        <v>B5</v>
      </c>
      <c r="BJ32" s="19" t="str">
        <f t="shared" si="9"/>
        <v>C6</v>
      </c>
      <c r="BK32" s="19" t="str">
        <f t="shared" si="10"/>
        <v>B6</v>
      </c>
      <c r="BL32" s="19" t="str">
        <f t="shared" si="11"/>
        <v>2B</v>
      </c>
      <c r="BM32" s="19" t="str">
        <f t="shared" si="12"/>
        <v>2A</v>
      </c>
      <c r="BN32" s="19" t="str">
        <f t="shared" si="18"/>
        <v>3B</v>
      </c>
      <c r="BO32" s="19" t="str">
        <f t="shared" si="19"/>
        <v>3A</v>
      </c>
      <c r="BP32" s="19" t="str">
        <f t="shared" si="13"/>
        <v>DI7-C1</v>
      </c>
      <c r="BQ32" s="19" t="str">
        <f t="shared" si="13"/>
        <v>DI7-B1</v>
      </c>
      <c r="BR32" s="19" t="str">
        <f t="shared" si="42"/>
        <v>DI7-C2</v>
      </c>
      <c r="BS32" s="19" t="str">
        <f t="shared" si="42"/>
        <v>DI7-B2</v>
      </c>
      <c r="BT32" s="19" t="str">
        <f t="shared" si="42"/>
        <v>DI7-C3</v>
      </c>
      <c r="BU32" s="19" t="str">
        <f t="shared" si="42"/>
        <v>DI7-B3</v>
      </c>
      <c r="BV32" s="19" t="str">
        <f t="shared" si="42"/>
        <v>DI7-C4</v>
      </c>
      <c r="BW32" s="19" t="str">
        <f t="shared" si="42"/>
        <v>DI7-B4</v>
      </c>
      <c r="BX32" s="19" t="str">
        <f t="shared" si="42"/>
        <v>DI7-C5</v>
      </c>
      <c r="BY32" s="19" t="str">
        <f t="shared" si="42"/>
        <v>DI7-B5</v>
      </c>
      <c r="BZ32" s="19" t="str">
        <f t="shared" si="42"/>
        <v>DI7-C6</v>
      </c>
      <c r="CA32" s="19" t="str">
        <f t="shared" si="42"/>
        <v>DI7-B6</v>
      </c>
      <c r="CB32" s="19" t="str">
        <f t="shared" si="15"/>
        <v>DO4-1B</v>
      </c>
      <c r="CC32" s="19" t="str">
        <f t="shared" si="15"/>
        <v>DO4-1A</v>
      </c>
      <c r="CD32" s="19" t="str">
        <f t="shared" si="16"/>
        <v>DO4-2B</v>
      </c>
      <c r="CE32" s="19" t="str">
        <f t="shared" si="16"/>
        <v>DO4-2A</v>
      </c>
      <c r="CF32" s="19" t="str">
        <f t="shared" si="16"/>
        <v>DO4-3B</v>
      </c>
      <c r="CG32" s="19" t="str">
        <f t="shared" si="16"/>
        <v>DO4-3A</v>
      </c>
      <c r="CH32" s="19" t="str">
        <f t="shared" si="20"/>
        <v>K31-10</v>
      </c>
      <c r="CI32" s="19" t="str">
        <f t="shared" si="21"/>
        <v>K31-03</v>
      </c>
      <c r="CJ32" s="19" t="str">
        <f t="shared" si="22"/>
        <v>K31-04</v>
      </c>
      <c r="CK32" s="19" t="str">
        <f t="shared" si="23"/>
        <v>K31-01</v>
      </c>
      <c r="CL32" s="19" t="str">
        <f t="shared" si="24"/>
        <v>K31-08</v>
      </c>
      <c r="CM32" s="19" t="str">
        <f t="shared" si="25"/>
        <v>K31-02</v>
      </c>
      <c r="CN32" s="19" t="str">
        <f t="shared" si="26"/>
        <v>K31-09</v>
      </c>
      <c r="CO32" s="19" t="str">
        <f t="shared" si="27"/>
        <v>K31-05</v>
      </c>
      <c r="CP32" s="19" t="str">
        <f t="shared" si="28"/>
        <v>K31-11</v>
      </c>
      <c r="CQ32" s="19" t="str">
        <f t="shared" si="29"/>
        <v>F0-M31-A9</v>
      </c>
      <c r="CR32" s="19" t="str">
        <f t="shared" si="30"/>
        <v>F0-M31-A7</v>
      </c>
      <c r="CS32" s="19" t="str">
        <f t="shared" si="31"/>
        <v>F0-M31-A8</v>
      </c>
      <c r="CT32" s="19" t="str">
        <f t="shared" si="32"/>
        <v>F0-M31-A6</v>
      </c>
      <c r="CU32" s="19" t="str">
        <f t="shared" si="33"/>
        <v>F0-M31-A30</v>
      </c>
      <c r="CV32" s="19" t="str">
        <f t="shared" si="34"/>
        <v>F0-M31-N</v>
      </c>
      <c r="CW32" s="19" t="str">
        <f t="shared" si="17"/>
        <v>F0-A220-M31</v>
      </c>
      <c r="CX32" s="19" t="str">
        <f t="shared" si="35"/>
        <v>F0-M31-XM01</v>
      </c>
      <c r="CY32" s="19" t="str">
        <f t="shared" si="36"/>
        <v>F0-M31-A1</v>
      </c>
      <c r="CZ32" s="19" t="str">
        <f t="shared" si="37"/>
        <v>F0-M31-A5</v>
      </c>
      <c r="DA32" s="19" t="str">
        <f t="shared" si="38"/>
        <v>F0-M31-A11</v>
      </c>
      <c r="DB32" s="19" t="str">
        <f t="shared" si="39"/>
        <v>F0-M31-A12</v>
      </c>
      <c r="DC32" s="19" t="str">
        <f t="shared" si="40"/>
        <v>F0-M31-A19</v>
      </c>
      <c r="DD32" s="19" t="str">
        <f t="shared" si="41"/>
        <v>F0-M31-A20</v>
      </c>
      <c r="DE32" s="19" t="s">
        <v>142</v>
      </c>
      <c r="DF32" s="19" t="s">
        <v>143</v>
      </c>
      <c r="DG32" s="19">
        <v>11</v>
      </c>
      <c r="DH32" s="19">
        <v>14</v>
      </c>
      <c r="DI32" s="19">
        <v>12</v>
      </c>
      <c r="DJ32" s="19" t="s">
        <v>144</v>
      </c>
      <c r="DK32" s="19" t="s">
        <v>145</v>
      </c>
      <c r="DL32" s="19">
        <v>1</v>
      </c>
      <c r="DM32" s="19">
        <v>2</v>
      </c>
      <c r="DN32" s="19">
        <v>3</v>
      </c>
      <c r="DO32" s="19">
        <v>4</v>
      </c>
      <c r="DP32" s="19">
        <v>5</v>
      </c>
      <c r="DQ32" s="19">
        <v>6</v>
      </c>
      <c r="DR32" s="19">
        <v>7</v>
      </c>
      <c r="DS32" s="19">
        <v>8</v>
      </c>
      <c r="DT32" s="19">
        <v>9</v>
      </c>
      <c r="DU32" s="19">
        <v>10</v>
      </c>
      <c r="DV32" s="19">
        <v>11</v>
      </c>
      <c r="DW32" s="19">
        <v>12</v>
      </c>
      <c r="DX32" s="19">
        <v>13</v>
      </c>
      <c r="DY32" s="19">
        <v>14</v>
      </c>
      <c r="DZ32" s="19">
        <v>1</v>
      </c>
      <c r="EA32" s="19">
        <v>3</v>
      </c>
      <c r="EB32" s="19">
        <v>4</v>
      </c>
      <c r="EC32" s="19">
        <v>7</v>
      </c>
      <c r="ED32" s="19">
        <v>8</v>
      </c>
      <c r="EE32" s="19">
        <v>9</v>
      </c>
      <c r="EF32" s="19">
        <v>10</v>
      </c>
      <c r="EG32" s="19">
        <v>13</v>
      </c>
      <c r="EH32" s="19">
        <v>14</v>
      </c>
      <c r="EI32" s="19">
        <v>15</v>
      </c>
      <c r="EJ32" s="19">
        <v>16</v>
      </c>
      <c r="EK32" s="19">
        <v>22</v>
      </c>
      <c r="EL32" s="19">
        <v>23</v>
      </c>
      <c r="EM32" s="20">
        <v>24</v>
      </c>
    </row>
    <row r="33" spans="1:281" ht="15.75" thickBot="1" x14ac:dyDescent="0.3">
      <c r="A33" t="s">
        <v>280</v>
      </c>
      <c r="B33" t="s">
        <v>279</v>
      </c>
      <c r="C33" s="3"/>
      <c r="O33" s="2"/>
      <c r="P33" t="s">
        <v>276</v>
      </c>
      <c r="Q33" s="1"/>
      <c r="S33" s="1"/>
      <c r="T33" s="21" t="s">
        <v>554</v>
      </c>
      <c r="U33" s="22">
        <v>32</v>
      </c>
      <c r="V33" s="22" t="s">
        <v>340</v>
      </c>
      <c r="W33" s="22"/>
      <c r="X33" s="23"/>
      <c r="Y33" s="23"/>
      <c r="Z33" s="23"/>
      <c r="AA33" s="23"/>
      <c r="AB33" s="23"/>
      <c r="AC33" s="23" t="s">
        <v>266</v>
      </c>
      <c r="AD33" s="23" t="s">
        <v>148</v>
      </c>
      <c r="AE33" s="23" t="s">
        <v>149</v>
      </c>
      <c r="AF33" s="23" t="s">
        <v>269</v>
      </c>
      <c r="AG33" s="23" t="s">
        <v>243</v>
      </c>
      <c r="AH33" s="23" t="s">
        <v>244</v>
      </c>
      <c r="AI33" s="23" t="s">
        <v>282</v>
      </c>
      <c r="AJ33" s="23"/>
      <c r="AK33" s="23"/>
      <c r="AL33" s="23" t="s">
        <v>137</v>
      </c>
      <c r="AM33" s="23" t="s">
        <v>138</v>
      </c>
      <c r="AN33" s="23"/>
      <c r="AO33" s="23"/>
      <c r="AP33" s="23" t="s">
        <v>139</v>
      </c>
      <c r="AQ33" s="23" t="s">
        <v>140</v>
      </c>
      <c r="AR33" s="23"/>
      <c r="AS33" s="23"/>
      <c r="AT33" s="23"/>
      <c r="AU33" s="12"/>
      <c r="AV33" s="12"/>
      <c r="AW33" s="12"/>
      <c r="AX33" s="12"/>
      <c r="AY33" s="12"/>
      <c r="AZ33" s="13"/>
      <c r="BA33" s="23" t="str">
        <f t="shared" si="0"/>
        <v>XT32</v>
      </c>
      <c r="BB33" s="23" t="str">
        <f t="shared" si="1"/>
        <v>C8</v>
      </c>
      <c r="BC33" s="23" t="str">
        <f t="shared" si="2"/>
        <v>B8</v>
      </c>
      <c r="BD33" s="23" t="str">
        <f t="shared" si="3"/>
        <v>C9</v>
      </c>
      <c r="BE33" s="23" t="str">
        <f t="shared" si="4"/>
        <v>B9</v>
      </c>
      <c r="BF33" s="23" t="str">
        <f t="shared" si="5"/>
        <v>C10</v>
      </c>
      <c r="BG33" s="23" t="str">
        <f t="shared" si="6"/>
        <v>B10</v>
      </c>
      <c r="BH33" s="23" t="str">
        <f t="shared" si="7"/>
        <v>C11</v>
      </c>
      <c r="BI33" s="23" t="str">
        <f t="shared" si="8"/>
        <v>B11</v>
      </c>
      <c r="BJ33" s="23" t="str">
        <f t="shared" si="9"/>
        <v>C12</v>
      </c>
      <c r="BK33" s="23" t="str">
        <f t="shared" si="10"/>
        <v>B12</v>
      </c>
      <c r="BL33" s="23" t="str">
        <f t="shared" si="11"/>
        <v>5B</v>
      </c>
      <c r="BM33" s="23" t="str">
        <f t="shared" si="12"/>
        <v>5A</v>
      </c>
      <c r="BN33" s="23" t="str">
        <f t="shared" si="18"/>
        <v>6B</v>
      </c>
      <c r="BO33" s="23" t="str">
        <f t="shared" si="19"/>
        <v>6A</v>
      </c>
      <c r="BP33" s="23" t="str">
        <f t="shared" si="13"/>
        <v>DI7-C7</v>
      </c>
      <c r="BQ33" s="23" t="str">
        <f t="shared" si="13"/>
        <v>DI7-B7</v>
      </c>
      <c r="BR33" s="23" t="str">
        <f t="shared" si="42"/>
        <v>DI7-C8</v>
      </c>
      <c r="BS33" s="23" t="str">
        <f t="shared" si="42"/>
        <v>DI7-B8</v>
      </c>
      <c r="BT33" s="23" t="str">
        <f t="shared" si="42"/>
        <v>DI7-C9</v>
      </c>
      <c r="BU33" s="23" t="str">
        <f t="shared" si="42"/>
        <v>DI7-B9</v>
      </c>
      <c r="BV33" s="23" t="str">
        <f t="shared" si="42"/>
        <v>DI7-C10</v>
      </c>
      <c r="BW33" s="23" t="str">
        <f t="shared" si="42"/>
        <v>DI7-B10</v>
      </c>
      <c r="BX33" s="23" t="str">
        <f t="shared" si="42"/>
        <v>DI7-C11</v>
      </c>
      <c r="BY33" s="23" t="str">
        <f t="shared" si="42"/>
        <v>DI7-B11</v>
      </c>
      <c r="BZ33" s="23" t="str">
        <f t="shared" si="42"/>
        <v>DI7-C12</v>
      </c>
      <c r="CA33" s="23" t="str">
        <f t="shared" si="42"/>
        <v>DI7-B12</v>
      </c>
      <c r="CB33" s="23" t="str">
        <f t="shared" si="15"/>
        <v>DO4-4B</v>
      </c>
      <c r="CC33" s="23" t="str">
        <f t="shared" si="15"/>
        <v>DO4-4A</v>
      </c>
      <c r="CD33" s="23" t="str">
        <f t="shared" si="16"/>
        <v>DO4-5B</v>
      </c>
      <c r="CE33" s="23" t="str">
        <f t="shared" si="16"/>
        <v>DO4-5A</v>
      </c>
      <c r="CF33" s="23" t="str">
        <f t="shared" si="16"/>
        <v>DO4-6B</v>
      </c>
      <c r="CG33" s="23" t="str">
        <f t="shared" si="16"/>
        <v>DO4-6A</v>
      </c>
      <c r="CH33" s="23" t="str">
        <f t="shared" si="20"/>
        <v>K32-10</v>
      </c>
      <c r="CI33" s="23" t="str">
        <f t="shared" si="21"/>
        <v>K32-03</v>
      </c>
      <c r="CJ33" s="23" t="str">
        <f t="shared" si="22"/>
        <v>K32-04</v>
      </c>
      <c r="CK33" s="23" t="str">
        <f t="shared" si="23"/>
        <v>K32-01</v>
      </c>
      <c r="CL33" s="23" t="str">
        <f t="shared" si="24"/>
        <v>K32-08</v>
      </c>
      <c r="CM33" s="23" t="str">
        <f t="shared" si="25"/>
        <v>K32-02</v>
      </c>
      <c r="CN33" s="23" t="str">
        <f t="shared" si="26"/>
        <v>K32-09</v>
      </c>
      <c r="CO33" s="23" t="str">
        <f t="shared" si="27"/>
        <v>K32-05</v>
      </c>
      <c r="CP33" s="23" t="str">
        <f t="shared" si="28"/>
        <v>K32-11</v>
      </c>
      <c r="CQ33" s="23" t="str">
        <f t="shared" si="29"/>
        <v>F0-M32-A9</v>
      </c>
      <c r="CR33" s="23" t="str">
        <f t="shared" si="30"/>
        <v>F0-M32-A7</v>
      </c>
      <c r="CS33" s="23" t="str">
        <f t="shared" si="31"/>
        <v>F0-M32-A8</v>
      </c>
      <c r="CT33" s="23" t="str">
        <f t="shared" si="32"/>
        <v>F0-M32-A6</v>
      </c>
      <c r="CU33" s="23" t="str">
        <f t="shared" si="33"/>
        <v>F0-M32-A30</v>
      </c>
      <c r="CV33" s="23" t="str">
        <f t="shared" si="34"/>
        <v>F0-M32-N</v>
      </c>
      <c r="CW33" s="23" t="str">
        <f t="shared" si="17"/>
        <v>F0-A220-M32</v>
      </c>
      <c r="CX33" s="23" t="str">
        <f t="shared" si="35"/>
        <v>F0-M32-XM01</v>
      </c>
      <c r="CY33" s="23" t="str">
        <f t="shared" si="36"/>
        <v>F0-M32-A1</v>
      </c>
      <c r="CZ33" s="23" t="str">
        <f t="shared" si="37"/>
        <v>F0-M32-A5</v>
      </c>
      <c r="DA33" s="23" t="str">
        <f t="shared" si="38"/>
        <v>F0-M32-A11</v>
      </c>
      <c r="DB33" s="23" t="str">
        <f t="shared" si="39"/>
        <v>F0-M32-A12</v>
      </c>
      <c r="DC33" s="23" t="str">
        <f t="shared" si="40"/>
        <v>F0-M32-A19</v>
      </c>
      <c r="DD33" s="23" t="str">
        <f t="shared" si="41"/>
        <v>F0-M32-A20</v>
      </c>
      <c r="DE33" s="23" t="s">
        <v>142</v>
      </c>
      <c r="DF33" s="23" t="s">
        <v>143</v>
      </c>
      <c r="DG33" s="23">
        <v>11</v>
      </c>
      <c r="DH33" s="23">
        <v>14</v>
      </c>
      <c r="DI33" s="23">
        <v>12</v>
      </c>
      <c r="DJ33" s="23" t="s">
        <v>144</v>
      </c>
      <c r="DK33" s="23" t="s">
        <v>145</v>
      </c>
      <c r="DL33" s="23">
        <v>1</v>
      </c>
      <c r="DM33" s="23">
        <v>2</v>
      </c>
      <c r="DN33" s="23">
        <v>3</v>
      </c>
      <c r="DO33" s="23">
        <v>4</v>
      </c>
      <c r="DP33" s="23">
        <v>5</v>
      </c>
      <c r="DQ33" s="23">
        <v>6</v>
      </c>
      <c r="DR33" s="23">
        <v>7</v>
      </c>
      <c r="DS33" s="23">
        <v>8</v>
      </c>
      <c r="DT33" s="23">
        <v>9</v>
      </c>
      <c r="DU33" s="23">
        <v>10</v>
      </c>
      <c r="DV33" s="23">
        <v>11</v>
      </c>
      <c r="DW33" s="23">
        <v>12</v>
      </c>
      <c r="DX33" s="23">
        <v>13</v>
      </c>
      <c r="DY33" s="23">
        <v>14</v>
      </c>
      <c r="DZ33" s="23">
        <v>1</v>
      </c>
      <c r="EA33" s="23">
        <v>3</v>
      </c>
      <c r="EB33" s="23">
        <v>4</v>
      </c>
      <c r="EC33" s="23">
        <v>7</v>
      </c>
      <c r="ED33" s="23">
        <v>8</v>
      </c>
      <c r="EE33" s="23">
        <v>9</v>
      </c>
      <c r="EF33" s="23">
        <v>10</v>
      </c>
      <c r="EG33" s="23">
        <v>13</v>
      </c>
      <c r="EH33" s="23">
        <v>14</v>
      </c>
      <c r="EI33" s="23">
        <v>15</v>
      </c>
      <c r="EJ33" s="23">
        <v>16</v>
      </c>
      <c r="EK33" s="23">
        <v>22</v>
      </c>
      <c r="EL33" s="23">
        <v>23</v>
      </c>
      <c r="EM33" s="24">
        <v>24</v>
      </c>
    </row>
    <row r="34" spans="1:281" x14ac:dyDescent="0.25">
      <c r="A34" t="s">
        <v>273</v>
      </c>
      <c r="B34" t="s">
        <v>272</v>
      </c>
      <c r="P34" t="s">
        <v>281</v>
      </c>
      <c r="T34" s="10" t="s">
        <v>554</v>
      </c>
      <c r="U34" s="11">
        <v>33</v>
      </c>
      <c r="V34" s="11" t="s">
        <v>290</v>
      </c>
      <c r="W34" s="11" t="s">
        <v>289</v>
      </c>
      <c r="X34" s="12"/>
      <c r="Y34" s="12"/>
      <c r="Z34" s="12"/>
      <c r="AA34" s="12"/>
      <c r="AB34" s="12"/>
      <c r="AC34" s="12" t="s">
        <v>277</v>
      </c>
      <c r="AD34" s="12" t="s">
        <v>133</v>
      </c>
      <c r="AE34" s="12" t="s">
        <v>134</v>
      </c>
      <c r="AF34" s="12" t="s">
        <v>383</v>
      </c>
      <c r="AG34" s="12" t="s">
        <v>135</v>
      </c>
      <c r="AH34" s="12" t="s">
        <v>136</v>
      </c>
      <c r="AI34" s="12">
        <v>31</v>
      </c>
      <c r="AJ34" s="12" t="str">
        <f>CONCATENATE(AI34,"XT")</f>
        <v>31XT</v>
      </c>
      <c r="AK34" s="12" t="str">
        <f t="shared" ref="AK34:AK42" si="43">CONCATENATE(AI34,"X")</f>
        <v>31X</v>
      </c>
      <c r="AL34" s="12" t="s">
        <v>137</v>
      </c>
      <c r="AM34" s="12" t="s">
        <v>138</v>
      </c>
      <c r="AN34" s="12" t="str">
        <f t="shared" ref="AN34:AN42" si="44">CONCATENATE("Соединительная коробка (",REPLACE(A34,SEARCH("AA",A34),2,"GB"),")")</f>
        <v>Соединительная коробка (F0GAD12GB801)</v>
      </c>
      <c r="AO34" s="12"/>
      <c r="AP34" s="12" t="s">
        <v>139</v>
      </c>
      <c r="AQ34" s="12" t="s">
        <v>140</v>
      </c>
      <c r="AR34" s="12"/>
      <c r="AS34" s="12"/>
      <c r="AT34" s="12"/>
      <c r="AU34" s="12"/>
      <c r="AV34" s="12"/>
      <c r="AW34" s="12"/>
      <c r="AX34" s="12"/>
      <c r="AY34" s="12"/>
      <c r="AZ34" s="13"/>
      <c r="EN34" s="25" t="str">
        <f t="shared" ref="EN34:EN42" si="45">CONCATENATE("XT",U34)</f>
        <v>XT33</v>
      </c>
      <c r="EO34" s="12" t="str">
        <f>CONCATENATE("C",REPLACE(AD34,1,1,"")+1)</f>
        <v>C2</v>
      </c>
      <c r="EP34" s="12" t="str">
        <f>CONCATENATE("B",REPLACE(AE34,1,1,"")+1)</f>
        <v>B2</v>
      </c>
      <c r="EQ34" s="12" t="str">
        <f>CONCATENATE("C",REPLACE(EO34,1,1,"")+1)</f>
        <v>C3</v>
      </c>
      <c r="ER34" s="12" t="str">
        <f>CONCATENATE("B",REPLACE(EP34,1,1,"")+1)</f>
        <v>B3</v>
      </c>
      <c r="ES34" s="12" t="str">
        <f>CONCATENATE(REPLACE(AG34,LEN(AG34),1,"")+1,"B")</f>
        <v>2B</v>
      </c>
      <c r="ET34" s="12" t="str">
        <f>CONCATENATE(REPLACE(AH34,LEN(AH34),1,"")+1,"A")</f>
        <v>2A</v>
      </c>
      <c r="EU34" s="12" t="str">
        <f>CONCATENATE("DI",REPLACE($AC34,1,3,""),"-",AD34)</f>
        <v>DI8-C1</v>
      </c>
      <c r="EV34" s="12" t="str">
        <f>CONCATENATE("DI",REPLACE($AC34,1,3,""),"-",AE34)</f>
        <v>DI8-B1</v>
      </c>
      <c r="EW34" s="12" t="str">
        <f t="shared" ref="EW34:EZ42" si="46">CONCATENATE("DI",REPLACE($AC34,1,3,""),"-",EO34)</f>
        <v>DI8-C2</v>
      </c>
      <c r="EX34" s="12" t="str">
        <f t="shared" si="46"/>
        <v>DI8-B2</v>
      </c>
      <c r="EY34" s="12" t="str">
        <f t="shared" si="46"/>
        <v>DI8-C3</v>
      </c>
      <c r="EZ34" s="12" t="str">
        <f t="shared" si="46"/>
        <v>DI8-B3</v>
      </c>
      <c r="FA34" s="12" t="str">
        <f>CONCATENATE("DO",REPLACE($AF34,1,3,""),"-",AG34)</f>
        <v>DO5-1B</v>
      </c>
      <c r="FB34" s="12" t="str">
        <f>CONCATENATE("DO",REPLACE($AF34,1,3,""),"-",AH34)</f>
        <v>DO5-1A</v>
      </c>
      <c r="FC34" s="12" t="str">
        <f>CONCATENATE("DO",REPLACE($AF34,1,3,""),"-",ES34)</f>
        <v>DO5-2B</v>
      </c>
      <c r="FD34" s="12" t="str">
        <f>CONCATENATE("DO",REPLACE($AF34,1,3,""),"-",ET34)</f>
        <v>DO5-2A</v>
      </c>
      <c r="FE34" s="12" t="str">
        <f>CONCATENATE("K",$U34,"-03")</f>
        <v>K33-03</v>
      </c>
      <c r="FF34" s="12" t="str">
        <f>CONCATENATE("K",$U34,"-04")</f>
        <v>K33-04</v>
      </c>
      <c r="FG34" s="12" t="str">
        <f>CONCATENATE("K",$U34,"-01")</f>
        <v>K33-01</v>
      </c>
      <c r="FH34" s="12" t="str">
        <f>CONCATENATE("K",$U34,"-02")</f>
        <v>K33-02</v>
      </c>
      <c r="FI34" s="12" t="str">
        <f t="shared" ref="FI34:FI42" si="47">CONCATENATE("K",$U34,"-05")</f>
        <v>K33-05</v>
      </c>
      <c r="FJ34" s="12" t="str">
        <f>CONCATENATE($T34,"-M",$U34,"-H1")</f>
        <v>F0-M33-H1</v>
      </c>
      <c r="FK34" s="12" t="str">
        <f>CONCATENATE($T34,"-M",$U34,"-A1")</f>
        <v>F0-M33-A1</v>
      </c>
      <c r="FL34" s="12" t="str">
        <f>CONCATENATE($T34,"-M",$U34,"-3")</f>
        <v>F0-M33-3</v>
      </c>
      <c r="FM34" s="12" t="str">
        <f>CONCATENATE($T34,"-M",$U34,"-2")</f>
        <v>F0-M33-2</v>
      </c>
      <c r="FN34" s="12" t="str">
        <f>CONCATENATE($T34,"-M",$U34,"-16")</f>
        <v>F0-M33-16</v>
      </c>
      <c r="FO34" s="12" t="str">
        <f>CONCATENATE($T34,"-M",$U34,"-15")</f>
        <v>F0-M33-15</v>
      </c>
      <c r="FP34" s="12" t="str">
        <f>CONCATENATE($T34,"-A220-M",$U34,)</f>
        <v>F0-A220-M33</v>
      </c>
      <c r="FQ34" s="12" t="str">
        <f t="shared" ref="FQ34:FQ42" si="48">CONCATENATE($T34,"-M",$U34,"-XM01")</f>
        <v>F0-M33-XM01</v>
      </c>
      <c r="FR34" s="12" t="s">
        <v>142</v>
      </c>
      <c r="FS34" s="12" t="s">
        <v>143</v>
      </c>
      <c r="FT34" s="12">
        <v>11</v>
      </c>
      <c r="FU34" s="12">
        <v>14</v>
      </c>
      <c r="FV34" s="12" t="s">
        <v>145</v>
      </c>
      <c r="FW34" s="12" t="s">
        <v>144</v>
      </c>
      <c r="FX34" s="12">
        <v>1</v>
      </c>
      <c r="FY34" s="12">
        <v>2</v>
      </c>
      <c r="FZ34" s="12">
        <v>3</v>
      </c>
      <c r="GA34" s="12">
        <v>4</v>
      </c>
      <c r="GB34" s="12">
        <v>5</v>
      </c>
      <c r="GC34" s="12">
        <v>6</v>
      </c>
      <c r="GD34" s="12">
        <v>7</v>
      </c>
      <c r="GE34" s="12">
        <v>8</v>
      </c>
      <c r="GF34" s="12">
        <v>9</v>
      </c>
      <c r="GG34" s="12">
        <v>1</v>
      </c>
      <c r="GH34" s="12">
        <v>2</v>
      </c>
      <c r="GI34" s="12">
        <v>3</v>
      </c>
      <c r="GJ34" s="12">
        <v>4</v>
      </c>
      <c r="GK34" s="12">
        <v>5</v>
      </c>
      <c r="GL34" s="12">
        <v>1</v>
      </c>
      <c r="GM34" s="12">
        <v>2</v>
      </c>
      <c r="GN34" s="12">
        <v>4</v>
      </c>
      <c r="GO34" s="13">
        <v>5</v>
      </c>
    </row>
    <row r="35" spans="1:281" x14ac:dyDescent="0.25">
      <c r="A35" t="s">
        <v>275</v>
      </c>
      <c r="B35" t="s">
        <v>274</v>
      </c>
      <c r="P35" t="s">
        <v>281</v>
      </c>
      <c r="T35" s="14" t="s">
        <v>554</v>
      </c>
      <c r="U35" s="15">
        <v>34</v>
      </c>
      <c r="V35" s="15" t="s">
        <v>292</v>
      </c>
      <c r="W35" s="15" t="s">
        <v>291</v>
      </c>
      <c r="AC35" t="s">
        <v>277</v>
      </c>
      <c r="AD35" t="s">
        <v>369</v>
      </c>
      <c r="AE35" t="s">
        <v>370</v>
      </c>
      <c r="AF35" t="s">
        <v>383</v>
      </c>
      <c r="AG35" t="s">
        <v>384</v>
      </c>
      <c r="AH35" t="s">
        <v>386</v>
      </c>
      <c r="AI35">
        <v>45</v>
      </c>
      <c r="AJ35" t="str">
        <f t="shared" ref="AJ35:AJ42" si="49">CONCATENATE(AI35,"XT")</f>
        <v>45XT</v>
      </c>
      <c r="AK35" t="str">
        <f t="shared" si="43"/>
        <v>45X</v>
      </c>
      <c r="AL35" t="s">
        <v>137</v>
      </c>
      <c r="AM35" t="s">
        <v>138</v>
      </c>
      <c r="AN35" t="str">
        <f t="shared" si="44"/>
        <v>Соединительная коробка (F0GAD16GB801)</v>
      </c>
      <c r="AP35" t="s">
        <v>139</v>
      </c>
      <c r="AQ35" t="s">
        <v>140</v>
      </c>
      <c r="AZ35" s="16"/>
      <c r="EN35" s="27" t="str">
        <f t="shared" si="45"/>
        <v>XT34</v>
      </c>
      <c r="EO35" t="str">
        <f>CONCATENATE("C",REPLACE(AD35,1,1,"")+1)</f>
        <v>C5</v>
      </c>
      <c r="EP35" t="str">
        <f>CONCATENATE("B",REPLACE(AE35,1,1,"")+1)</f>
        <v>B5</v>
      </c>
      <c r="EQ35" t="str">
        <f>CONCATENATE("C",REPLACE(EO35,1,1,"")+1)</f>
        <v>C6</v>
      </c>
      <c r="ER35" t="str">
        <f>CONCATENATE("B",REPLACE(EP35,1,1,"")+1)</f>
        <v>B6</v>
      </c>
      <c r="ES35" t="str">
        <f>CONCATENATE(REPLACE(AG35,LEN(AG35),1,"")+1,"B")</f>
        <v>4B</v>
      </c>
      <c r="ET35" t="str">
        <f>CONCATENATE(REPLACE(AH35,LEN(AH35),1,"")+1,"A")</f>
        <v>4A</v>
      </c>
      <c r="EU35" t="str">
        <f>CONCATENATE("DI",REPLACE($AC35,1,3,""),"-",AD35)</f>
        <v>DI8-C4</v>
      </c>
      <c r="EV35" t="str">
        <f>CONCATENATE("DI",REPLACE($AC35,1,3,""),"-",AE35)</f>
        <v>DI8-B4</v>
      </c>
      <c r="EW35" t="str">
        <f t="shared" si="46"/>
        <v>DI8-C5</v>
      </c>
      <c r="EX35" t="str">
        <f t="shared" si="46"/>
        <v>DI8-B5</v>
      </c>
      <c r="EY35" t="str">
        <f t="shared" si="46"/>
        <v>DI8-C6</v>
      </c>
      <c r="EZ35" t="str">
        <f t="shared" si="46"/>
        <v>DI8-B6</v>
      </c>
      <c r="FA35" t="str">
        <f>CONCATENATE("DO",REPLACE($AF35,1,3,""),"-",AG35)</f>
        <v>DO5-3B</v>
      </c>
      <c r="FB35" t="str">
        <f>CONCATENATE("DO",REPLACE($AF35,1,3,""),"-",AH35)</f>
        <v>DO5-3A</v>
      </c>
      <c r="FC35" t="str">
        <f>CONCATENATE("DO",REPLACE($AF35,1,3,""),"-",ES35)</f>
        <v>DO5-4B</v>
      </c>
      <c r="FD35" t="str">
        <f>CONCATENATE("DO",REPLACE($AF35,1,3,""),"-",ET35)</f>
        <v>DO5-4A</v>
      </c>
      <c r="FE35" t="str">
        <f>CONCATENATE("K",$U35,"-03")</f>
        <v>K34-03</v>
      </c>
      <c r="FF35" t="str">
        <f>CONCATENATE("K",$U35,"-04")</f>
        <v>K34-04</v>
      </c>
      <c r="FG35" t="str">
        <f>CONCATENATE("K",$U35,"-01")</f>
        <v>K34-01</v>
      </c>
      <c r="FH35" t="str">
        <f>CONCATENATE("K",$U35,"-02")</f>
        <v>K34-02</v>
      </c>
      <c r="FI35" t="str">
        <f t="shared" si="47"/>
        <v>K34-05</v>
      </c>
      <c r="FJ35" t="str">
        <f>CONCATENATE($T35,"-M",$U35,"-H1")</f>
        <v>F0-M34-H1</v>
      </c>
      <c r="FK35" t="str">
        <f>CONCATENATE($T35,"-M",$U35,"-A1")</f>
        <v>F0-M34-A1</v>
      </c>
      <c r="FL35" t="str">
        <f>CONCATENATE($T35,"-M",$U35,"-3")</f>
        <v>F0-M34-3</v>
      </c>
      <c r="FM35" t="str">
        <f>CONCATENATE($T35,"-M",$U35,"-2")</f>
        <v>F0-M34-2</v>
      </c>
      <c r="FN35" t="str">
        <f>CONCATENATE($T35,"-M",$U35,"-16")</f>
        <v>F0-M34-16</v>
      </c>
      <c r="FO35" t="str">
        <f>CONCATENATE($T35,"-M",$U35,"-15")</f>
        <v>F0-M34-15</v>
      </c>
      <c r="FP35" t="str">
        <f>CONCATENATE($T35,"-A220-M",$U35,)</f>
        <v>F0-A220-M34</v>
      </c>
      <c r="FQ35" t="str">
        <f t="shared" si="48"/>
        <v>F0-M34-XM01</v>
      </c>
      <c r="FR35" t="s">
        <v>142</v>
      </c>
      <c r="FS35" t="s">
        <v>143</v>
      </c>
      <c r="FT35">
        <v>11</v>
      </c>
      <c r="FU35">
        <v>14</v>
      </c>
      <c r="FV35" t="s">
        <v>145</v>
      </c>
      <c r="FW35" t="s">
        <v>144</v>
      </c>
      <c r="FX35">
        <v>1</v>
      </c>
      <c r="FY35">
        <v>2</v>
      </c>
      <c r="FZ35">
        <v>3</v>
      </c>
      <c r="GA35">
        <v>4</v>
      </c>
      <c r="GB35">
        <v>5</v>
      </c>
      <c r="GC35">
        <v>6</v>
      </c>
      <c r="GD35">
        <v>7</v>
      </c>
      <c r="GE35">
        <v>8</v>
      </c>
      <c r="GF35">
        <v>9</v>
      </c>
      <c r="GG35">
        <v>1</v>
      </c>
      <c r="GH35">
        <v>2</v>
      </c>
      <c r="GI35">
        <v>3</v>
      </c>
      <c r="GJ35">
        <v>4</v>
      </c>
      <c r="GK35">
        <v>5</v>
      </c>
      <c r="GL35">
        <v>1</v>
      </c>
      <c r="GM35">
        <v>2</v>
      </c>
      <c r="GN35">
        <v>4</v>
      </c>
      <c r="GO35" s="16">
        <v>5</v>
      </c>
    </row>
    <row r="36" spans="1:281" x14ac:dyDescent="0.25">
      <c r="A36" t="s">
        <v>342</v>
      </c>
      <c r="B36" t="s">
        <v>341</v>
      </c>
      <c r="P36" t="s">
        <v>281</v>
      </c>
      <c r="T36" s="14" t="s">
        <v>554</v>
      </c>
      <c r="U36" s="15">
        <v>35</v>
      </c>
      <c r="V36" t="s">
        <v>345</v>
      </c>
      <c r="W36" t="s">
        <v>346</v>
      </c>
      <c r="AC36" t="s">
        <v>277</v>
      </c>
      <c r="AD36" t="s">
        <v>148</v>
      </c>
      <c r="AE36" t="s">
        <v>149</v>
      </c>
      <c r="AF36" t="s">
        <v>383</v>
      </c>
      <c r="AG36" t="s">
        <v>385</v>
      </c>
      <c r="AH36" t="s">
        <v>387</v>
      </c>
      <c r="AI36">
        <v>44</v>
      </c>
      <c r="AJ36" t="str">
        <f t="shared" si="49"/>
        <v>44XT</v>
      </c>
      <c r="AK36" t="str">
        <f t="shared" si="43"/>
        <v>44X</v>
      </c>
      <c r="AL36" t="s">
        <v>137</v>
      </c>
      <c r="AM36" t="s">
        <v>138</v>
      </c>
      <c r="AN36" t="str">
        <f t="shared" si="44"/>
        <v>Соединительная коробка (F0GHJ20GB801)</v>
      </c>
      <c r="AP36" t="s">
        <v>139</v>
      </c>
      <c r="AQ36" t="s">
        <v>140</v>
      </c>
      <c r="AZ36" s="16"/>
      <c r="EN36" s="27" t="str">
        <f t="shared" si="45"/>
        <v>XT35</v>
      </c>
      <c r="EO36" t="str">
        <f t="shared" ref="EO36:EO42" si="50">CONCATENATE("C",REPLACE(AD36,1,1,"")+1)</f>
        <v>C8</v>
      </c>
      <c r="EP36" t="str">
        <f t="shared" ref="EP36:EP42" si="51">CONCATENATE("B",REPLACE(AE36,1,1,"")+1)</f>
        <v>B8</v>
      </c>
      <c r="EQ36" t="str">
        <f t="shared" ref="EQ36:EQ42" si="52">CONCATENATE("C",REPLACE(EO36,1,1,"")+1)</f>
        <v>C9</v>
      </c>
      <c r="ER36" t="str">
        <f t="shared" ref="ER36:ER42" si="53">CONCATENATE("B",REPLACE(EP36,1,1,"")+1)</f>
        <v>B9</v>
      </c>
      <c r="ES36" t="str">
        <f t="shared" ref="ES36:ES42" si="54">CONCATENATE(REPLACE(AG36,LEN(AG36),1,"")+1,"B")</f>
        <v>6B</v>
      </c>
      <c r="ET36" t="str">
        <f t="shared" ref="ET36:ET42" si="55">CONCATENATE(REPLACE(AH36,LEN(AH36),1,"")+1,"A")</f>
        <v>6A</v>
      </c>
      <c r="EU36" t="str">
        <f t="shared" ref="EU36:EV42" si="56">CONCATENATE("DI",REPLACE($AC36,1,3,""),"-",AD36)</f>
        <v>DI8-C7</v>
      </c>
      <c r="EV36" t="str">
        <f t="shared" si="56"/>
        <v>DI8-B7</v>
      </c>
      <c r="EW36" t="str">
        <f t="shared" si="46"/>
        <v>DI8-C8</v>
      </c>
      <c r="EX36" t="str">
        <f t="shared" si="46"/>
        <v>DI8-B8</v>
      </c>
      <c r="EY36" t="str">
        <f t="shared" si="46"/>
        <v>DI8-C9</v>
      </c>
      <c r="EZ36" t="str">
        <f t="shared" si="46"/>
        <v>DI8-B9</v>
      </c>
      <c r="FA36" t="str">
        <f t="shared" ref="FA36:FB42" si="57">CONCATENATE("DO",REPLACE($AF36,1,3,""),"-",AG36)</f>
        <v>DO5-5B</v>
      </c>
      <c r="FB36" t="str">
        <f t="shared" si="57"/>
        <v>DO5-5A</v>
      </c>
      <c r="FC36" t="str">
        <f t="shared" ref="FC36:FD42" si="58">CONCATENATE("DO",REPLACE($AF36,1,3,""),"-",ES36)</f>
        <v>DO5-6B</v>
      </c>
      <c r="FD36" t="str">
        <f t="shared" si="58"/>
        <v>DO5-6A</v>
      </c>
      <c r="FE36" t="str">
        <f t="shared" ref="FE36:FE42" si="59">CONCATENATE("K",$U36,"-03")</f>
        <v>K35-03</v>
      </c>
      <c r="FF36" t="str">
        <f t="shared" ref="FF36:FF42" si="60">CONCATENATE("K",$U36,"-04")</f>
        <v>K35-04</v>
      </c>
      <c r="FG36" t="str">
        <f t="shared" ref="FG36:FG42" si="61">CONCATENATE("K",$U36,"-01")</f>
        <v>K35-01</v>
      </c>
      <c r="FH36" t="str">
        <f t="shared" ref="FH36:FH42" si="62">CONCATENATE("K",$U36,"-02")</f>
        <v>K35-02</v>
      </c>
      <c r="FI36" t="str">
        <f t="shared" si="47"/>
        <v>K35-05</v>
      </c>
      <c r="FJ36" t="str">
        <f t="shared" ref="FJ36:FJ42" si="63">CONCATENATE($T36,"-M",$U36,"-H1")</f>
        <v>F0-M35-H1</v>
      </c>
      <c r="FK36" t="str">
        <f t="shared" ref="FK36:FK42" si="64">CONCATENATE($T36,"-M",$U36,"-A1")</f>
        <v>F0-M35-A1</v>
      </c>
      <c r="FL36" t="str">
        <f t="shared" ref="FL36:FL42" si="65">CONCATENATE($T36,"-M",$U36,"-3")</f>
        <v>F0-M35-3</v>
      </c>
      <c r="FM36" t="str">
        <f t="shared" ref="FM36:FM42" si="66">CONCATENATE($T36,"-M",$U36,"-2")</f>
        <v>F0-M35-2</v>
      </c>
      <c r="FN36" t="str">
        <f t="shared" ref="FN36:FN42" si="67">CONCATENATE($T36,"-M",$U36,"-16")</f>
        <v>F0-M35-16</v>
      </c>
      <c r="FO36" t="str">
        <f t="shared" ref="FO36:FO42" si="68">CONCATENATE($T36,"-M",$U36,"-15")</f>
        <v>F0-M35-15</v>
      </c>
      <c r="FP36" t="str">
        <f t="shared" ref="FP36:FP42" si="69">CONCATENATE($T36,"-A220-M",$U36,)</f>
        <v>F0-A220-M35</v>
      </c>
      <c r="FQ36" t="str">
        <f t="shared" si="48"/>
        <v>F0-M35-XM01</v>
      </c>
      <c r="FR36" t="s">
        <v>142</v>
      </c>
      <c r="FS36" t="s">
        <v>143</v>
      </c>
      <c r="FT36">
        <v>11</v>
      </c>
      <c r="FU36">
        <v>14</v>
      </c>
      <c r="FV36" t="s">
        <v>145</v>
      </c>
      <c r="FW36" t="s">
        <v>144</v>
      </c>
      <c r="FX36">
        <v>1</v>
      </c>
      <c r="FY36">
        <v>2</v>
      </c>
      <c r="FZ36">
        <v>3</v>
      </c>
      <c r="GA36">
        <v>4</v>
      </c>
      <c r="GB36">
        <v>5</v>
      </c>
      <c r="GC36">
        <v>6</v>
      </c>
      <c r="GD36">
        <v>7</v>
      </c>
      <c r="GE36">
        <v>8</v>
      </c>
      <c r="GF36">
        <v>9</v>
      </c>
      <c r="GG36">
        <v>1</v>
      </c>
      <c r="GH36">
        <v>2</v>
      </c>
      <c r="GI36">
        <v>3</v>
      </c>
      <c r="GJ36">
        <v>4</v>
      </c>
      <c r="GK36">
        <v>5</v>
      </c>
      <c r="GL36">
        <v>1</v>
      </c>
      <c r="GM36">
        <v>2</v>
      </c>
      <c r="GN36">
        <v>4</v>
      </c>
      <c r="GO36" s="16">
        <v>5</v>
      </c>
    </row>
    <row r="37" spans="1:281" x14ac:dyDescent="0.25">
      <c r="A37" t="s">
        <v>344</v>
      </c>
      <c r="B37" t="s">
        <v>343</v>
      </c>
      <c r="P37" t="s">
        <v>281</v>
      </c>
      <c r="T37" s="14" t="s">
        <v>554</v>
      </c>
      <c r="U37" s="15">
        <v>36</v>
      </c>
      <c r="V37" s="15" t="s">
        <v>347</v>
      </c>
      <c r="W37" s="15" t="s">
        <v>348</v>
      </c>
      <c r="AC37" t="s">
        <v>277</v>
      </c>
      <c r="AD37" t="s">
        <v>377</v>
      </c>
      <c r="AE37" t="s">
        <v>378</v>
      </c>
      <c r="AF37" t="s">
        <v>383</v>
      </c>
      <c r="AG37" t="s">
        <v>245</v>
      </c>
      <c r="AH37" t="s">
        <v>246</v>
      </c>
      <c r="AI37">
        <v>42</v>
      </c>
      <c r="AJ37" t="str">
        <f t="shared" si="49"/>
        <v>42XT</v>
      </c>
      <c r="AK37" t="str">
        <f t="shared" si="43"/>
        <v>42X</v>
      </c>
      <c r="AL37" t="s">
        <v>137</v>
      </c>
      <c r="AM37" t="s">
        <v>138</v>
      </c>
      <c r="AN37" t="str">
        <f t="shared" si="44"/>
        <v>Соединительная коробка (F0GAD17GB801)</v>
      </c>
      <c r="AP37" t="s">
        <v>139</v>
      </c>
      <c r="AQ37" t="s">
        <v>140</v>
      </c>
      <c r="AZ37" s="16"/>
      <c r="EN37" s="27" t="str">
        <f t="shared" si="45"/>
        <v>XT36</v>
      </c>
      <c r="EO37" t="str">
        <f t="shared" si="50"/>
        <v>C11</v>
      </c>
      <c r="EP37" t="str">
        <f t="shared" si="51"/>
        <v>B11</v>
      </c>
      <c r="EQ37" t="str">
        <f t="shared" si="52"/>
        <v>C12</v>
      </c>
      <c r="ER37" t="str">
        <f t="shared" si="53"/>
        <v>B12</v>
      </c>
      <c r="ES37" t="str">
        <f t="shared" si="54"/>
        <v>8B</v>
      </c>
      <c r="ET37" t="str">
        <f t="shared" si="55"/>
        <v>8A</v>
      </c>
      <c r="EU37" t="str">
        <f t="shared" si="56"/>
        <v>DI8-C10</v>
      </c>
      <c r="EV37" t="str">
        <f t="shared" si="56"/>
        <v>DI8-B10</v>
      </c>
      <c r="EW37" t="str">
        <f t="shared" si="46"/>
        <v>DI8-C11</v>
      </c>
      <c r="EX37" t="str">
        <f t="shared" si="46"/>
        <v>DI8-B11</v>
      </c>
      <c r="EY37" t="str">
        <f t="shared" si="46"/>
        <v>DI8-C12</v>
      </c>
      <c r="EZ37" t="str">
        <f t="shared" si="46"/>
        <v>DI8-B12</v>
      </c>
      <c r="FA37" t="str">
        <f t="shared" si="57"/>
        <v>DO5-7B</v>
      </c>
      <c r="FB37" t="str">
        <f t="shared" si="57"/>
        <v>DO5-7A</v>
      </c>
      <c r="FC37" t="str">
        <f t="shared" si="58"/>
        <v>DO5-8B</v>
      </c>
      <c r="FD37" t="str">
        <f t="shared" si="58"/>
        <v>DO5-8A</v>
      </c>
      <c r="FE37" t="str">
        <f t="shared" si="59"/>
        <v>K36-03</v>
      </c>
      <c r="FF37" t="str">
        <f t="shared" si="60"/>
        <v>K36-04</v>
      </c>
      <c r="FG37" t="str">
        <f t="shared" si="61"/>
        <v>K36-01</v>
      </c>
      <c r="FH37" t="str">
        <f t="shared" si="62"/>
        <v>K36-02</v>
      </c>
      <c r="FI37" t="str">
        <f t="shared" si="47"/>
        <v>K36-05</v>
      </c>
      <c r="FJ37" t="str">
        <f t="shared" si="63"/>
        <v>F0-M36-H1</v>
      </c>
      <c r="FK37" t="str">
        <f t="shared" si="64"/>
        <v>F0-M36-A1</v>
      </c>
      <c r="FL37" t="str">
        <f t="shared" si="65"/>
        <v>F0-M36-3</v>
      </c>
      <c r="FM37" t="str">
        <f t="shared" si="66"/>
        <v>F0-M36-2</v>
      </c>
      <c r="FN37" t="str">
        <f t="shared" si="67"/>
        <v>F0-M36-16</v>
      </c>
      <c r="FO37" t="str">
        <f t="shared" si="68"/>
        <v>F0-M36-15</v>
      </c>
      <c r="FP37" t="str">
        <f t="shared" si="69"/>
        <v>F0-A220-M36</v>
      </c>
      <c r="FQ37" t="str">
        <f t="shared" si="48"/>
        <v>F0-M36-XM01</v>
      </c>
      <c r="FR37" t="s">
        <v>142</v>
      </c>
      <c r="FS37" t="s">
        <v>143</v>
      </c>
      <c r="FT37">
        <v>11</v>
      </c>
      <c r="FU37">
        <v>14</v>
      </c>
      <c r="FV37" t="s">
        <v>145</v>
      </c>
      <c r="FW37" t="s">
        <v>144</v>
      </c>
      <c r="FX37">
        <v>1</v>
      </c>
      <c r="FY37">
        <v>2</v>
      </c>
      <c r="FZ37">
        <v>3</v>
      </c>
      <c r="GA37">
        <v>4</v>
      </c>
      <c r="GB37">
        <v>5</v>
      </c>
      <c r="GC37">
        <v>6</v>
      </c>
      <c r="GD37">
        <v>7</v>
      </c>
      <c r="GE37">
        <v>8</v>
      </c>
      <c r="GF37">
        <v>9</v>
      </c>
      <c r="GG37">
        <v>1</v>
      </c>
      <c r="GH37">
        <v>2</v>
      </c>
      <c r="GI37">
        <v>3</v>
      </c>
      <c r="GJ37">
        <v>4</v>
      </c>
      <c r="GK37">
        <v>5</v>
      </c>
      <c r="GL37">
        <v>1</v>
      </c>
      <c r="GM37">
        <v>2</v>
      </c>
      <c r="GN37">
        <v>4</v>
      </c>
      <c r="GO37" s="16">
        <v>5</v>
      </c>
    </row>
    <row r="38" spans="1:281" x14ac:dyDescent="0.25">
      <c r="A38" t="s">
        <v>350</v>
      </c>
      <c r="B38" t="s">
        <v>349</v>
      </c>
      <c r="P38" t="s">
        <v>281</v>
      </c>
      <c r="T38" s="14" t="s">
        <v>554</v>
      </c>
      <c r="U38" s="15">
        <v>37</v>
      </c>
      <c r="V38" t="s">
        <v>351</v>
      </c>
      <c r="W38" t="s">
        <v>352</v>
      </c>
      <c r="AC38" t="s">
        <v>277</v>
      </c>
      <c r="AD38" t="s">
        <v>153</v>
      </c>
      <c r="AE38" t="s">
        <v>154</v>
      </c>
      <c r="AF38" t="s">
        <v>383</v>
      </c>
      <c r="AG38" t="s">
        <v>285</v>
      </c>
      <c r="AH38" t="s">
        <v>286</v>
      </c>
      <c r="AI38">
        <v>46</v>
      </c>
      <c r="AJ38" t="str">
        <f t="shared" si="49"/>
        <v>46XT</v>
      </c>
      <c r="AK38" t="str">
        <f t="shared" si="43"/>
        <v>46X</v>
      </c>
      <c r="AL38" t="s">
        <v>137</v>
      </c>
      <c r="AM38" t="s">
        <v>138</v>
      </c>
      <c r="AN38" t="str">
        <f t="shared" si="44"/>
        <v>Соединительная коробка (F0NDG24GB801)</v>
      </c>
      <c r="AP38" t="s">
        <v>139</v>
      </c>
      <c r="AQ38" t="s">
        <v>140</v>
      </c>
      <c r="AZ38" s="16"/>
      <c r="EN38" s="27" t="str">
        <f t="shared" si="45"/>
        <v>XT37</v>
      </c>
      <c r="EO38" t="str">
        <f t="shared" si="50"/>
        <v>C14</v>
      </c>
      <c r="EP38" t="str">
        <f t="shared" si="51"/>
        <v>B14</v>
      </c>
      <c r="EQ38" t="str">
        <f t="shared" si="52"/>
        <v>C15</v>
      </c>
      <c r="ER38" t="str">
        <f t="shared" si="53"/>
        <v>B15</v>
      </c>
      <c r="ES38" t="str">
        <f t="shared" si="54"/>
        <v>10B</v>
      </c>
      <c r="ET38" t="str">
        <f t="shared" si="55"/>
        <v>10A</v>
      </c>
      <c r="EU38" t="str">
        <f t="shared" si="56"/>
        <v>DI8-C13</v>
      </c>
      <c r="EV38" t="str">
        <f t="shared" si="56"/>
        <v>DI8-B13</v>
      </c>
      <c r="EW38" t="str">
        <f t="shared" si="46"/>
        <v>DI8-C14</v>
      </c>
      <c r="EX38" t="str">
        <f t="shared" si="46"/>
        <v>DI8-B14</v>
      </c>
      <c r="EY38" t="str">
        <f t="shared" si="46"/>
        <v>DI8-C15</v>
      </c>
      <c r="EZ38" t="str">
        <f t="shared" si="46"/>
        <v>DI8-B15</v>
      </c>
      <c r="FA38" t="str">
        <f t="shared" si="57"/>
        <v>DO5-9B</v>
      </c>
      <c r="FB38" t="str">
        <f t="shared" si="57"/>
        <v>DO5-9A</v>
      </c>
      <c r="FC38" t="str">
        <f t="shared" si="58"/>
        <v>DO5-10B</v>
      </c>
      <c r="FD38" t="str">
        <f t="shared" si="58"/>
        <v>DO5-10A</v>
      </c>
      <c r="FE38" t="str">
        <f t="shared" si="59"/>
        <v>K37-03</v>
      </c>
      <c r="FF38" t="str">
        <f t="shared" si="60"/>
        <v>K37-04</v>
      </c>
      <c r="FG38" t="str">
        <f t="shared" si="61"/>
        <v>K37-01</v>
      </c>
      <c r="FH38" t="str">
        <f t="shared" si="62"/>
        <v>K37-02</v>
      </c>
      <c r="FI38" t="str">
        <f t="shared" si="47"/>
        <v>K37-05</v>
      </c>
      <c r="FJ38" t="str">
        <f t="shared" si="63"/>
        <v>F0-M37-H1</v>
      </c>
      <c r="FK38" t="str">
        <f t="shared" si="64"/>
        <v>F0-M37-A1</v>
      </c>
      <c r="FL38" t="str">
        <f t="shared" si="65"/>
        <v>F0-M37-3</v>
      </c>
      <c r="FM38" t="str">
        <f t="shared" si="66"/>
        <v>F0-M37-2</v>
      </c>
      <c r="FN38" t="str">
        <f t="shared" si="67"/>
        <v>F0-M37-16</v>
      </c>
      <c r="FO38" t="str">
        <f t="shared" si="68"/>
        <v>F0-M37-15</v>
      </c>
      <c r="FP38" t="str">
        <f t="shared" si="69"/>
        <v>F0-A220-M37</v>
      </c>
      <c r="FQ38" t="str">
        <f t="shared" si="48"/>
        <v>F0-M37-XM01</v>
      </c>
      <c r="FR38" t="s">
        <v>142</v>
      </c>
      <c r="FS38" t="s">
        <v>143</v>
      </c>
      <c r="FT38">
        <v>11</v>
      </c>
      <c r="FU38">
        <v>14</v>
      </c>
      <c r="FV38" t="s">
        <v>145</v>
      </c>
      <c r="FW38" t="s">
        <v>144</v>
      </c>
      <c r="FX38">
        <v>1</v>
      </c>
      <c r="FY38">
        <v>2</v>
      </c>
      <c r="FZ38">
        <v>3</v>
      </c>
      <c r="GA38">
        <v>4</v>
      </c>
      <c r="GB38">
        <v>5</v>
      </c>
      <c r="GC38">
        <v>6</v>
      </c>
      <c r="GD38">
        <v>7</v>
      </c>
      <c r="GE38">
        <v>8</v>
      </c>
      <c r="GF38">
        <v>9</v>
      </c>
      <c r="GG38">
        <v>1</v>
      </c>
      <c r="GH38">
        <v>2</v>
      </c>
      <c r="GI38">
        <v>3</v>
      </c>
      <c r="GJ38">
        <v>4</v>
      </c>
      <c r="GK38">
        <v>5</v>
      </c>
      <c r="GL38">
        <v>1</v>
      </c>
      <c r="GM38">
        <v>2</v>
      </c>
      <c r="GN38">
        <v>4</v>
      </c>
      <c r="GO38" s="16">
        <v>5</v>
      </c>
    </row>
    <row r="39" spans="1:281" x14ac:dyDescent="0.25">
      <c r="A39" t="s">
        <v>356</v>
      </c>
      <c r="B39" t="s">
        <v>355</v>
      </c>
      <c r="P39" t="s">
        <v>281</v>
      </c>
      <c r="T39" s="14" t="s">
        <v>554</v>
      </c>
      <c r="U39" s="15">
        <v>38</v>
      </c>
      <c r="V39" s="15" t="s">
        <v>353</v>
      </c>
      <c r="W39" s="15" t="s">
        <v>354</v>
      </c>
      <c r="AC39" t="s">
        <v>277</v>
      </c>
      <c r="AD39" t="s">
        <v>379</v>
      </c>
      <c r="AE39" t="s">
        <v>380</v>
      </c>
      <c r="AF39" t="s">
        <v>383</v>
      </c>
      <c r="AG39" t="s">
        <v>371</v>
      </c>
      <c r="AH39" t="s">
        <v>374</v>
      </c>
      <c r="AI39">
        <v>55</v>
      </c>
      <c r="AJ39" t="str">
        <f t="shared" si="49"/>
        <v>55XT</v>
      </c>
      <c r="AK39" t="str">
        <f t="shared" si="43"/>
        <v>55X</v>
      </c>
      <c r="AL39" t="s">
        <v>137</v>
      </c>
      <c r="AM39" t="s">
        <v>138</v>
      </c>
      <c r="AN39" t="str">
        <f t="shared" si="44"/>
        <v>Соединительная коробка (F0NDG20GB803)</v>
      </c>
      <c r="AP39" t="s">
        <v>139</v>
      </c>
      <c r="AQ39" t="s">
        <v>140</v>
      </c>
      <c r="AZ39" s="16"/>
      <c r="EN39" s="27" t="str">
        <f t="shared" si="45"/>
        <v>XT38</v>
      </c>
      <c r="EO39" t="str">
        <f t="shared" si="50"/>
        <v>C17</v>
      </c>
      <c r="EP39" t="str">
        <f t="shared" si="51"/>
        <v>B17</v>
      </c>
      <c r="EQ39" t="str">
        <f t="shared" si="52"/>
        <v>C18</v>
      </c>
      <c r="ER39" t="str">
        <f t="shared" si="53"/>
        <v>B18</v>
      </c>
      <c r="ES39" t="str">
        <f t="shared" si="54"/>
        <v>12B</v>
      </c>
      <c r="ET39" t="str">
        <f t="shared" si="55"/>
        <v>12A</v>
      </c>
      <c r="EU39" t="str">
        <f t="shared" si="56"/>
        <v>DI8-C16</v>
      </c>
      <c r="EV39" t="str">
        <f t="shared" si="56"/>
        <v>DI8-B16</v>
      </c>
      <c r="EW39" t="str">
        <f t="shared" si="46"/>
        <v>DI8-C17</v>
      </c>
      <c r="EX39" t="str">
        <f t="shared" si="46"/>
        <v>DI8-B17</v>
      </c>
      <c r="EY39" t="str">
        <f t="shared" si="46"/>
        <v>DI8-C18</v>
      </c>
      <c r="EZ39" t="str">
        <f t="shared" si="46"/>
        <v>DI8-B18</v>
      </c>
      <c r="FA39" t="str">
        <f t="shared" si="57"/>
        <v>DO5-11B</v>
      </c>
      <c r="FB39" t="str">
        <f t="shared" si="57"/>
        <v>DO5-11A</v>
      </c>
      <c r="FC39" t="str">
        <f t="shared" si="58"/>
        <v>DO5-12B</v>
      </c>
      <c r="FD39" t="str">
        <f t="shared" si="58"/>
        <v>DO5-12A</v>
      </c>
      <c r="FE39" t="str">
        <f t="shared" si="59"/>
        <v>K38-03</v>
      </c>
      <c r="FF39" t="str">
        <f t="shared" si="60"/>
        <v>K38-04</v>
      </c>
      <c r="FG39" t="str">
        <f t="shared" si="61"/>
        <v>K38-01</v>
      </c>
      <c r="FH39" t="str">
        <f t="shared" si="62"/>
        <v>K38-02</v>
      </c>
      <c r="FI39" t="str">
        <f t="shared" si="47"/>
        <v>K38-05</v>
      </c>
      <c r="FJ39" t="str">
        <f t="shared" si="63"/>
        <v>F0-M38-H1</v>
      </c>
      <c r="FK39" t="str">
        <f t="shared" si="64"/>
        <v>F0-M38-A1</v>
      </c>
      <c r="FL39" t="str">
        <f t="shared" si="65"/>
        <v>F0-M38-3</v>
      </c>
      <c r="FM39" t="str">
        <f t="shared" si="66"/>
        <v>F0-M38-2</v>
      </c>
      <c r="FN39" t="str">
        <f t="shared" si="67"/>
        <v>F0-M38-16</v>
      </c>
      <c r="FO39" t="str">
        <f t="shared" si="68"/>
        <v>F0-M38-15</v>
      </c>
      <c r="FP39" t="str">
        <f t="shared" si="69"/>
        <v>F0-A220-M38</v>
      </c>
      <c r="FQ39" t="str">
        <f t="shared" si="48"/>
        <v>F0-M38-XM01</v>
      </c>
      <c r="FR39" t="s">
        <v>142</v>
      </c>
      <c r="FS39" t="s">
        <v>143</v>
      </c>
      <c r="FT39">
        <v>11</v>
      </c>
      <c r="FU39">
        <v>14</v>
      </c>
      <c r="FV39" t="s">
        <v>145</v>
      </c>
      <c r="FW39" t="s">
        <v>144</v>
      </c>
      <c r="FX39">
        <v>1</v>
      </c>
      <c r="FY39">
        <v>2</v>
      </c>
      <c r="FZ39">
        <v>3</v>
      </c>
      <c r="GA39">
        <v>4</v>
      </c>
      <c r="GB39">
        <v>5</v>
      </c>
      <c r="GC39">
        <v>6</v>
      </c>
      <c r="GD39">
        <v>7</v>
      </c>
      <c r="GE39">
        <v>8</v>
      </c>
      <c r="GF39">
        <v>9</v>
      </c>
      <c r="GG39">
        <v>1</v>
      </c>
      <c r="GH39">
        <v>2</v>
      </c>
      <c r="GI39">
        <v>3</v>
      </c>
      <c r="GJ39">
        <v>4</v>
      </c>
      <c r="GK39">
        <v>5</v>
      </c>
      <c r="GL39">
        <v>1</v>
      </c>
      <c r="GM39">
        <v>2</v>
      </c>
      <c r="GN39">
        <v>4</v>
      </c>
      <c r="GO39" s="16">
        <v>5</v>
      </c>
    </row>
    <row r="40" spans="1:281" x14ac:dyDescent="0.25">
      <c r="A40" t="s">
        <v>358</v>
      </c>
      <c r="B40" s="29" t="s">
        <v>357</v>
      </c>
      <c r="P40" t="s">
        <v>281</v>
      </c>
      <c r="T40" s="14" t="s">
        <v>554</v>
      </c>
      <c r="U40" s="15">
        <v>39</v>
      </c>
      <c r="V40" t="s">
        <v>359</v>
      </c>
      <c r="W40" t="s">
        <v>360</v>
      </c>
      <c r="AC40" t="s">
        <v>277</v>
      </c>
      <c r="AD40" t="s">
        <v>239</v>
      </c>
      <c r="AE40" t="s">
        <v>241</v>
      </c>
      <c r="AF40" t="s">
        <v>383</v>
      </c>
      <c r="AG40" t="s">
        <v>248</v>
      </c>
      <c r="AH40" t="s">
        <v>255</v>
      </c>
      <c r="AI40">
        <v>56</v>
      </c>
      <c r="AJ40" t="str">
        <f t="shared" si="49"/>
        <v>56XT</v>
      </c>
      <c r="AK40" t="str">
        <f t="shared" si="43"/>
        <v>56X</v>
      </c>
      <c r="AL40" t="s">
        <v>137</v>
      </c>
      <c r="AM40" t="s">
        <v>138</v>
      </c>
      <c r="AN40" t="str">
        <f t="shared" si="44"/>
        <v>Соединительная коробка (F0GAC01GB801)</v>
      </c>
      <c r="AP40" t="s">
        <v>139</v>
      </c>
      <c r="AQ40" t="s">
        <v>140</v>
      </c>
      <c r="AZ40" s="16"/>
      <c r="EN40" s="27" t="str">
        <f t="shared" si="45"/>
        <v>XT39</v>
      </c>
      <c r="EO40" t="str">
        <f t="shared" si="50"/>
        <v>C20</v>
      </c>
      <c r="EP40" t="str">
        <f t="shared" si="51"/>
        <v>B20</v>
      </c>
      <c r="EQ40" t="str">
        <f t="shared" si="52"/>
        <v>C21</v>
      </c>
      <c r="ER40" t="str">
        <f t="shared" si="53"/>
        <v>B21</v>
      </c>
      <c r="ES40" t="str">
        <f t="shared" si="54"/>
        <v>14B</v>
      </c>
      <c r="ET40" t="str">
        <f t="shared" si="55"/>
        <v>14A</v>
      </c>
      <c r="EU40" t="str">
        <f t="shared" si="56"/>
        <v>DI8-C19</v>
      </c>
      <c r="EV40" t="str">
        <f t="shared" si="56"/>
        <v>DI8-B19</v>
      </c>
      <c r="EW40" t="str">
        <f t="shared" si="46"/>
        <v>DI8-C20</v>
      </c>
      <c r="EX40" t="str">
        <f t="shared" si="46"/>
        <v>DI8-B20</v>
      </c>
      <c r="EY40" t="str">
        <f t="shared" si="46"/>
        <v>DI8-C21</v>
      </c>
      <c r="EZ40" t="str">
        <f t="shared" si="46"/>
        <v>DI8-B21</v>
      </c>
      <c r="FA40" t="str">
        <f t="shared" si="57"/>
        <v>DO5-13B</v>
      </c>
      <c r="FB40" t="str">
        <f t="shared" si="57"/>
        <v>DO5-13A</v>
      </c>
      <c r="FC40" t="str">
        <f t="shared" si="58"/>
        <v>DO5-14B</v>
      </c>
      <c r="FD40" t="str">
        <f t="shared" si="58"/>
        <v>DO5-14A</v>
      </c>
      <c r="FE40" t="str">
        <f t="shared" si="59"/>
        <v>K39-03</v>
      </c>
      <c r="FF40" t="str">
        <f t="shared" si="60"/>
        <v>K39-04</v>
      </c>
      <c r="FG40" t="str">
        <f t="shared" si="61"/>
        <v>K39-01</v>
      </c>
      <c r="FH40" t="str">
        <f t="shared" si="62"/>
        <v>K39-02</v>
      </c>
      <c r="FI40" t="str">
        <f t="shared" si="47"/>
        <v>K39-05</v>
      </c>
      <c r="FJ40" t="str">
        <f t="shared" si="63"/>
        <v>F0-M39-H1</v>
      </c>
      <c r="FK40" t="str">
        <f t="shared" si="64"/>
        <v>F0-M39-A1</v>
      </c>
      <c r="FL40" t="str">
        <f t="shared" si="65"/>
        <v>F0-M39-3</v>
      </c>
      <c r="FM40" t="str">
        <f t="shared" si="66"/>
        <v>F0-M39-2</v>
      </c>
      <c r="FN40" t="str">
        <f t="shared" si="67"/>
        <v>F0-M39-16</v>
      </c>
      <c r="FO40" t="str">
        <f t="shared" si="68"/>
        <v>F0-M39-15</v>
      </c>
      <c r="FP40" t="str">
        <f t="shared" si="69"/>
        <v>F0-A220-M39</v>
      </c>
      <c r="FQ40" t="str">
        <f t="shared" si="48"/>
        <v>F0-M39-XM01</v>
      </c>
      <c r="FR40" t="s">
        <v>142</v>
      </c>
      <c r="FS40" t="s">
        <v>143</v>
      </c>
      <c r="FT40">
        <v>11</v>
      </c>
      <c r="FU40">
        <v>14</v>
      </c>
      <c r="FV40" t="s">
        <v>145</v>
      </c>
      <c r="FW40" t="s">
        <v>144</v>
      </c>
      <c r="FX40">
        <v>1</v>
      </c>
      <c r="FY40">
        <v>2</v>
      </c>
      <c r="FZ40">
        <v>3</v>
      </c>
      <c r="GA40">
        <v>4</v>
      </c>
      <c r="GB40">
        <v>5</v>
      </c>
      <c r="GC40">
        <v>6</v>
      </c>
      <c r="GD40">
        <v>7</v>
      </c>
      <c r="GE40">
        <v>8</v>
      </c>
      <c r="GF40">
        <v>9</v>
      </c>
      <c r="GG40">
        <v>1</v>
      </c>
      <c r="GH40">
        <v>2</v>
      </c>
      <c r="GI40">
        <v>3</v>
      </c>
      <c r="GJ40">
        <v>4</v>
      </c>
      <c r="GK40">
        <v>5</v>
      </c>
      <c r="GL40">
        <v>1</v>
      </c>
      <c r="GM40">
        <v>2</v>
      </c>
      <c r="GN40">
        <v>4</v>
      </c>
      <c r="GO40" s="16">
        <v>5</v>
      </c>
    </row>
    <row r="41" spans="1:281" x14ac:dyDescent="0.25">
      <c r="A41" t="s">
        <v>364</v>
      </c>
      <c r="B41" s="29" t="s">
        <v>363</v>
      </c>
      <c r="P41" t="s">
        <v>281</v>
      </c>
      <c r="T41" s="14" t="s">
        <v>554</v>
      </c>
      <c r="U41" s="15">
        <v>40</v>
      </c>
      <c r="V41" s="15" t="s">
        <v>361</v>
      </c>
      <c r="W41" s="15" t="s">
        <v>362</v>
      </c>
      <c r="AC41" t="s">
        <v>277</v>
      </c>
      <c r="AD41" t="s">
        <v>381</v>
      </c>
      <c r="AE41" t="s">
        <v>382</v>
      </c>
      <c r="AF41" t="s">
        <v>383</v>
      </c>
      <c r="AG41" t="s">
        <v>372</v>
      </c>
      <c r="AH41" t="s">
        <v>375</v>
      </c>
      <c r="AI41">
        <v>57</v>
      </c>
      <c r="AJ41" t="str">
        <f t="shared" si="49"/>
        <v>57XT</v>
      </c>
      <c r="AK41" t="str">
        <f t="shared" si="43"/>
        <v>57X</v>
      </c>
      <c r="AL41" t="s">
        <v>137</v>
      </c>
      <c r="AM41" t="s">
        <v>138</v>
      </c>
      <c r="AN41" t="str">
        <f t="shared" si="44"/>
        <v>Соединительная коробка (F0GAC01GB802)</v>
      </c>
      <c r="AP41" t="s">
        <v>139</v>
      </c>
      <c r="AQ41" t="s">
        <v>140</v>
      </c>
      <c r="AZ41" s="16"/>
      <c r="EN41" s="27" t="str">
        <f t="shared" si="45"/>
        <v>XT40</v>
      </c>
      <c r="EO41" t="str">
        <f t="shared" si="50"/>
        <v>C23</v>
      </c>
      <c r="EP41" t="str">
        <f t="shared" si="51"/>
        <v>B23</v>
      </c>
      <c r="EQ41" t="str">
        <f t="shared" si="52"/>
        <v>C24</v>
      </c>
      <c r="ER41" t="str">
        <f t="shared" si="53"/>
        <v>B24</v>
      </c>
      <c r="ES41" t="str">
        <f t="shared" si="54"/>
        <v>16B</v>
      </c>
      <c r="ET41" t="str">
        <f t="shared" si="55"/>
        <v>16A</v>
      </c>
      <c r="EU41" t="str">
        <f t="shared" si="56"/>
        <v>DI8-C22</v>
      </c>
      <c r="EV41" t="str">
        <f t="shared" si="56"/>
        <v>DI8-B22</v>
      </c>
      <c r="EW41" t="str">
        <f t="shared" si="46"/>
        <v>DI8-C23</v>
      </c>
      <c r="EX41" t="str">
        <f t="shared" si="46"/>
        <v>DI8-B23</v>
      </c>
      <c r="EY41" t="str">
        <f t="shared" si="46"/>
        <v>DI8-C24</v>
      </c>
      <c r="EZ41" t="str">
        <f t="shared" si="46"/>
        <v>DI8-B24</v>
      </c>
      <c r="FA41" t="str">
        <f t="shared" si="57"/>
        <v>DO5-15B</v>
      </c>
      <c r="FB41" t="str">
        <f t="shared" si="57"/>
        <v>DO5-15A</v>
      </c>
      <c r="FC41" t="str">
        <f t="shared" si="58"/>
        <v>DO5-16B</v>
      </c>
      <c r="FD41" t="str">
        <f t="shared" si="58"/>
        <v>DO5-16A</v>
      </c>
      <c r="FE41" t="str">
        <f t="shared" si="59"/>
        <v>K40-03</v>
      </c>
      <c r="FF41" t="str">
        <f t="shared" si="60"/>
        <v>K40-04</v>
      </c>
      <c r="FG41" t="str">
        <f t="shared" si="61"/>
        <v>K40-01</v>
      </c>
      <c r="FH41" t="str">
        <f t="shared" si="62"/>
        <v>K40-02</v>
      </c>
      <c r="FI41" t="str">
        <f t="shared" si="47"/>
        <v>K40-05</v>
      </c>
      <c r="FJ41" t="str">
        <f t="shared" si="63"/>
        <v>F0-M40-H1</v>
      </c>
      <c r="FK41" t="str">
        <f t="shared" si="64"/>
        <v>F0-M40-A1</v>
      </c>
      <c r="FL41" t="str">
        <f t="shared" si="65"/>
        <v>F0-M40-3</v>
      </c>
      <c r="FM41" t="str">
        <f t="shared" si="66"/>
        <v>F0-M40-2</v>
      </c>
      <c r="FN41" t="str">
        <f t="shared" si="67"/>
        <v>F0-M40-16</v>
      </c>
      <c r="FO41" t="str">
        <f t="shared" si="68"/>
        <v>F0-M40-15</v>
      </c>
      <c r="FP41" t="str">
        <f t="shared" si="69"/>
        <v>F0-A220-M40</v>
      </c>
      <c r="FQ41" t="str">
        <f t="shared" si="48"/>
        <v>F0-M40-XM01</v>
      </c>
      <c r="FR41" t="s">
        <v>142</v>
      </c>
      <c r="FS41" t="s">
        <v>143</v>
      </c>
      <c r="FT41">
        <v>11</v>
      </c>
      <c r="FU41">
        <v>14</v>
      </c>
      <c r="FV41" t="s">
        <v>145</v>
      </c>
      <c r="FW41" t="s">
        <v>144</v>
      </c>
      <c r="FX41">
        <v>1</v>
      </c>
      <c r="FY41">
        <v>2</v>
      </c>
      <c r="FZ41">
        <v>3</v>
      </c>
      <c r="GA41">
        <v>4</v>
      </c>
      <c r="GB41">
        <v>5</v>
      </c>
      <c r="GC41">
        <v>6</v>
      </c>
      <c r="GD41">
        <v>7</v>
      </c>
      <c r="GE41">
        <v>8</v>
      </c>
      <c r="GF41">
        <v>9</v>
      </c>
      <c r="GG41">
        <v>1</v>
      </c>
      <c r="GH41">
        <v>2</v>
      </c>
      <c r="GI41">
        <v>3</v>
      </c>
      <c r="GJ41">
        <v>4</v>
      </c>
      <c r="GK41">
        <v>5</v>
      </c>
      <c r="GL41">
        <v>1</v>
      </c>
      <c r="GM41">
        <v>2</v>
      </c>
      <c r="GN41">
        <v>4</v>
      </c>
      <c r="GO41" s="16">
        <v>5</v>
      </c>
    </row>
    <row r="42" spans="1:281" ht="15.75" thickBot="1" x14ac:dyDescent="0.3">
      <c r="A42" t="s">
        <v>366</v>
      </c>
      <c r="B42" s="29" t="s">
        <v>365</v>
      </c>
      <c r="P42" t="s">
        <v>281</v>
      </c>
      <c r="T42" s="17" t="s">
        <v>554</v>
      </c>
      <c r="U42" s="18">
        <v>41</v>
      </c>
      <c r="V42" s="19" t="s">
        <v>367</v>
      </c>
      <c r="W42" s="19" t="s">
        <v>368</v>
      </c>
      <c r="X42" s="19"/>
      <c r="Y42" s="19"/>
      <c r="Z42" s="19"/>
      <c r="AA42" s="19"/>
      <c r="AB42" s="19"/>
      <c r="AC42" s="19" t="s">
        <v>277</v>
      </c>
      <c r="AD42" s="19" t="s">
        <v>240</v>
      </c>
      <c r="AE42" s="19" t="s">
        <v>242</v>
      </c>
      <c r="AF42" s="19" t="s">
        <v>383</v>
      </c>
      <c r="AG42" s="19" t="s">
        <v>373</v>
      </c>
      <c r="AH42" s="19" t="s">
        <v>376</v>
      </c>
      <c r="AI42" s="19">
        <v>58</v>
      </c>
      <c r="AJ42" s="19" t="str">
        <f t="shared" si="49"/>
        <v>58XT</v>
      </c>
      <c r="AK42" s="19" t="str">
        <f t="shared" si="43"/>
        <v>58X</v>
      </c>
      <c r="AL42" s="19" t="s">
        <v>137</v>
      </c>
      <c r="AM42" s="19" t="s">
        <v>138</v>
      </c>
      <c r="AN42" s="19" t="str">
        <f t="shared" si="44"/>
        <v>Соединительная коробка (F0GBJ01GB801)</v>
      </c>
      <c r="AO42" s="19"/>
      <c r="AP42" s="19" t="s">
        <v>139</v>
      </c>
      <c r="AQ42" s="19" t="s">
        <v>140</v>
      </c>
      <c r="AR42" s="19"/>
      <c r="AS42" s="19"/>
      <c r="AT42" s="19"/>
      <c r="AU42" s="19"/>
      <c r="AV42" s="19"/>
      <c r="AW42" s="19"/>
      <c r="AX42" s="19"/>
      <c r="AY42" s="19"/>
      <c r="AZ42" s="20"/>
      <c r="EN42" s="28" t="str">
        <f t="shared" si="45"/>
        <v>XT41</v>
      </c>
      <c r="EO42" s="19" t="str">
        <f t="shared" si="50"/>
        <v>C26</v>
      </c>
      <c r="EP42" s="19" t="str">
        <f t="shared" si="51"/>
        <v>B26</v>
      </c>
      <c r="EQ42" s="19" t="str">
        <f t="shared" si="52"/>
        <v>C27</v>
      </c>
      <c r="ER42" s="19" t="str">
        <f t="shared" si="53"/>
        <v>B27</v>
      </c>
      <c r="ES42" s="19" t="str">
        <f t="shared" si="54"/>
        <v>18B</v>
      </c>
      <c r="ET42" s="19" t="str">
        <f t="shared" si="55"/>
        <v>18A</v>
      </c>
      <c r="EU42" s="19" t="str">
        <f t="shared" si="56"/>
        <v>DI8-C25</v>
      </c>
      <c r="EV42" s="19" t="str">
        <f t="shared" si="56"/>
        <v>DI8-B25</v>
      </c>
      <c r="EW42" s="19" t="str">
        <f t="shared" si="46"/>
        <v>DI8-C26</v>
      </c>
      <c r="EX42" s="19" t="str">
        <f t="shared" si="46"/>
        <v>DI8-B26</v>
      </c>
      <c r="EY42" s="19" t="str">
        <f t="shared" si="46"/>
        <v>DI8-C27</v>
      </c>
      <c r="EZ42" s="19" t="str">
        <f t="shared" si="46"/>
        <v>DI8-B27</v>
      </c>
      <c r="FA42" s="19" t="str">
        <f t="shared" si="57"/>
        <v>DO5-17B</v>
      </c>
      <c r="FB42" s="19" t="str">
        <f t="shared" si="57"/>
        <v>DO5-17A</v>
      </c>
      <c r="FC42" s="19" t="str">
        <f t="shared" si="58"/>
        <v>DO5-18B</v>
      </c>
      <c r="FD42" s="19" t="str">
        <f t="shared" si="58"/>
        <v>DO5-18A</v>
      </c>
      <c r="FE42" s="19" t="str">
        <f t="shared" si="59"/>
        <v>K41-03</v>
      </c>
      <c r="FF42" s="19" t="str">
        <f t="shared" si="60"/>
        <v>K41-04</v>
      </c>
      <c r="FG42" s="19" t="str">
        <f t="shared" si="61"/>
        <v>K41-01</v>
      </c>
      <c r="FH42" s="19" t="str">
        <f t="shared" si="62"/>
        <v>K41-02</v>
      </c>
      <c r="FI42" s="19" t="str">
        <f t="shared" si="47"/>
        <v>K41-05</v>
      </c>
      <c r="FJ42" s="19" t="str">
        <f t="shared" si="63"/>
        <v>F0-M41-H1</v>
      </c>
      <c r="FK42" s="19" t="str">
        <f t="shared" si="64"/>
        <v>F0-M41-A1</v>
      </c>
      <c r="FL42" s="19" t="str">
        <f t="shared" si="65"/>
        <v>F0-M41-3</v>
      </c>
      <c r="FM42" s="19" t="str">
        <f t="shared" si="66"/>
        <v>F0-M41-2</v>
      </c>
      <c r="FN42" s="19" t="str">
        <f t="shared" si="67"/>
        <v>F0-M41-16</v>
      </c>
      <c r="FO42" s="19" t="str">
        <f t="shared" si="68"/>
        <v>F0-M41-15</v>
      </c>
      <c r="FP42" s="19" t="str">
        <f t="shared" si="69"/>
        <v>F0-A220-M41</v>
      </c>
      <c r="FQ42" s="19" t="str">
        <f t="shared" si="48"/>
        <v>F0-M41-XM01</v>
      </c>
      <c r="FR42" s="19" t="s">
        <v>142</v>
      </c>
      <c r="FS42" s="19" t="s">
        <v>143</v>
      </c>
      <c r="FT42" s="19">
        <v>11</v>
      </c>
      <c r="FU42" s="19">
        <v>14</v>
      </c>
      <c r="FV42" s="19" t="s">
        <v>145</v>
      </c>
      <c r="FW42" s="19" t="s">
        <v>144</v>
      </c>
      <c r="FX42" s="19">
        <v>1</v>
      </c>
      <c r="FY42" s="19">
        <v>2</v>
      </c>
      <c r="FZ42" s="19">
        <v>3</v>
      </c>
      <c r="GA42" s="19">
        <v>4</v>
      </c>
      <c r="GB42" s="19">
        <v>5</v>
      </c>
      <c r="GC42" s="19">
        <v>6</v>
      </c>
      <c r="GD42" s="19">
        <v>7</v>
      </c>
      <c r="GE42" s="19">
        <v>8</v>
      </c>
      <c r="GF42" s="19">
        <v>9</v>
      </c>
      <c r="GG42" s="19">
        <v>1</v>
      </c>
      <c r="GH42" s="19">
        <v>2</v>
      </c>
      <c r="GI42" s="19">
        <v>3</v>
      </c>
      <c r="GJ42" s="19">
        <v>4</v>
      </c>
      <c r="GK42" s="19">
        <v>5</v>
      </c>
      <c r="GL42" s="19">
        <v>1</v>
      </c>
      <c r="GM42" s="19">
        <v>2</v>
      </c>
      <c r="GN42" s="19">
        <v>4</v>
      </c>
      <c r="GO42" s="20">
        <v>5</v>
      </c>
    </row>
    <row r="43" spans="1:281" x14ac:dyDescent="0.25">
      <c r="A43" t="s">
        <v>390</v>
      </c>
      <c r="B43" t="s">
        <v>389</v>
      </c>
      <c r="P43" t="s">
        <v>391</v>
      </c>
      <c r="T43" s="10" t="s">
        <v>554</v>
      </c>
      <c r="U43" s="11">
        <v>42</v>
      </c>
      <c r="V43" s="11" t="s">
        <v>392</v>
      </c>
      <c r="W43" s="11" t="s">
        <v>393</v>
      </c>
      <c r="X43" s="12" t="s">
        <v>400</v>
      </c>
      <c r="Y43" s="43" t="str" cm="1">
        <f t="array" ref="Y43">IF(COUNTIFS($X$2:$X43,$X43)=1,"1",VALUE(SUBSTITUTE(INDEX(Y:Y,_xlfn.XMATCH($X43,$X$1:$X42,0,-1)),"A",""))+INDEX(Z:Z,_xlfn.XMATCH($X43,$X$1:$X42,0,-1))+1)</f>
        <v>1</v>
      </c>
      <c r="Z43" s="43" cm="1">
        <f t="array" ref="Z43">SUM(IF(ISNUMBER(FIND("TmAi",$BA$1:$ZZ$1)),IF(IFERROR(ISODD(SUBSTITUTE($BA43:$ZZ43,"A","")),FALSE),IF(ISODD(SUBSTITUTE($BA43:$ZZ43,"A","")),1,0),0)))</f>
        <v>0</v>
      </c>
      <c r="AA43" t="str">
        <f>CONCATENATE($Y43*2-1,"A")</f>
        <v>1A</v>
      </c>
      <c r="AB43" t="str">
        <f>CONCATENATE($Y43*2-1,"B")</f>
        <v>1B</v>
      </c>
      <c r="AC43" s="12" t="s">
        <v>278</v>
      </c>
      <c r="AD43" s="11" t="s">
        <v>133</v>
      </c>
      <c r="AE43" s="11" t="s">
        <v>134</v>
      </c>
      <c r="AF43" s="11" t="s">
        <v>388</v>
      </c>
      <c r="AG43" s="11" t="s">
        <v>135</v>
      </c>
      <c r="AH43" s="11" t="s">
        <v>136</v>
      </c>
      <c r="AI43" s="12" t="s">
        <v>394</v>
      </c>
      <c r="AJ43" s="12"/>
      <c r="AK43" s="12"/>
      <c r="AL43" s="12" t="s">
        <v>137</v>
      </c>
      <c r="AM43" s="12" t="s">
        <v>138</v>
      </c>
      <c r="AN43" s="12"/>
      <c r="AO43" s="12" t="s">
        <v>396</v>
      </c>
      <c r="AP43" s="12" t="s">
        <v>139</v>
      </c>
      <c r="AQ43" s="12" t="s">
        <v>140</v>
      </c>
      <c r="AR43" s="12"/>
      <c r="AS43" s="12"/>
      <c r="AT43" s="12"/>
      <c r="AU43" s="12"/>
      <c r="AV43" s="12"/>
      <c r="AW43" s="12"/>
      <c r="AX43" s="12"/>
      <c r="AY43" s="12"/>
      <c r="AZ43" s="13"/>
      <c r="GP43" s="25" t="str">
        <f t="shared" ref="GP43:GP55" si="70">CONCATENATE("XT",U43)</f>
        <v>XT42</v>
      </c>
      <c r="GQ43" s="12" t="str">
        <f>CONCATENATE("C",REPLACE(AD43,1,1,"")+1)</f>
        <v>C2</v>
      </c>
      <c r="GR43" s="12" t="str">
        <f>CONCATENATE("B",REPLACE(AE43,1,1,"")+1)</f>
        <v>B2</v>
      </c>
      <c r="GS43" s="12" t="str">
        <f>CONCATENATE("C",REPLACE(GQ43,1,1,"")+1)</f>
        <v>C3</v>
      </c>
      <c r="GT43" s="12" t="str">
        <f>CONCATENATE("B",REPLACE(GR43,1,1,"")+1)</f>
        <v>B3</v>
      </c>
      <c r="GU43" s="12" t="str">
        <f>CONCATENATE("C",REPLACE(GS43,1,1,"")+1)</f>
        <v>C4</v>
      </c>
      <c r="GV43" s="12" t="str">
        <f>CONCATENATE("B",REPLACE(GT43,1,1,"")+1)</f>
        <v>B4</v>
      </c>
      <c r="GW43" s="12" t="str">
        <f>CONCATENATE("C",REPLACE(GU43,1,1,"")+1)</f>
        <v>C5</v>
      </c>
      <c r="GX43" s="12" t="str">
        <f>CONCATENATE("B",REPLACE(GV43,1,1,"")+1)</f>
        <v>B5</v>
      </c>
      <c r="GY43" s="12" t="str">
        <f>CONCATENATE("C",REPLACE(GW43,1,1,"")+1)</f>
        <v>C6</v>
      </c>
      <c r="GZ43" s="12" t="str">
        <f>CONCATENATE("B",REPLACE(GX43,1,1,"")+1)</f>
        <v>B6</v>
      </c>
      <c r="HA43" s="12" t="str">
        <f>CONCATENATE(REPLACE(AG43,LEN(AG43),1,"")+1,"B")</f>
        <v>2B</v>
      </c>
      <c r="HB43" s="12" t="str">
        <f>CONCATENATE(REPLACE(AH43,LEN(AH43),1,"")+1,"A")</f>
        <v>2A</v>
      </c>
      <c r="HC43" s="12" t="str">
        <f>CONCATENATE("AI",REPLACE($X43,1,3,""),"-",AA43)</f>
        <v>AI1-1A</v>
      </c>
      <c r="HD43" s="12" t="str">
        <f>CONCATENATE("AI",REPLACE($X43,1,3,""),"-",AB43)</f>
        <v>AI1-1B</v>
      </c>
      <c r="HE43" s="12" t="str">
        <f>CONCATENATE("DI",REPLACE($AC43,1,3,""),"-",AD43)</f>
        <v>DI9-C1</v>
      </c>
      <c r="HF43" s="12" t="str">
        <f>CONCATENATE("DI",REPLACE($AC43,1,3,""),"-",AE43)</f>
        <v>DI9-B1</v>
      </c>
      <c r="HG43" s="12" t="str">
        <f t="shared" ref="HG43:HP55" si="71">CONCATENATE("DI",REPLACE($AC43,1,3,""),"-",GQ43)</f>
        <v>DI9-C2</v>
      </c>
      <c r="HH43" s="12" t="str">
        <f t="shared" si="71"/>
        <v>DI9-B2</v>
      </c>
      <c r="HI43" s="12" t="str">
        <f t="shared" si="71"/>
        <v>DI9-C3</v>
      </c>
      <c r="HJ43" s="12" t="str">
        <f t="shared" si="71"/>
        <v>DI9-B3</v>
      </c>
      <c r="HK43" s="12" t="str">
        <f t="shared" si="71"/>
        <v>DI9-C4</v>
      </c>
      <c r="HL43" s="12" t="str">
        <f t="shared" si="71"/>
        <v>DI9-B4</v>
      </c>
      <c r="HM43" s="12" t="str">
        <f t="shared" si="71"/>
        <v>DI9-C5</v>
      </c>
      <c r="HN43" s="12" t="str">
        <f t="shared" si="71"/>
        <v>DI9-B5</v>
      </c>
      <c r="HO43" s="12" t="str">
        <f t="shared" si="71"/>
        <v>DI9-C6</v>
      </c>
      <c r="HP43" s="12" t="str">
        <f t="shared" si="71"/>
        <v>DI9-B6</v>
      </c>
      <c r="HQ43" s="12" t="str">
        <f>CONCATENATE("DO",REPLACE($AF43,1,3,""),"-",AG43)</f>
        <v>DO6-1B</v>
      </c>
      <c r="HR43" s="12" t="str">
        <f>CONCATENATE("DO",REPLACE($AF43,1,3,""),"-",AH43)</f>
        <v>DO6-1A</v>
      </c>
      <c r="HS43" s="12" t="str">
        <f>CONCATENATE("DO",REPLACE($AF43,1,3,""),"-",HA43)</f>
        <v>DO6-2B</v>
      </c>
      <c r="HT43" s="12" t="str">
        <f>CONCATENATE("DO",REPLACE($AF43,1,3,""),"-",HB43)</f>
        <v>DO6-2A</v>
      </c>
      <c r="HU43" s="12" t="str">
        <f>CONCATENATE("K",$U43,"-01")</f>
        <v>K42-01</v>
      </c>
      <c r="HV43" s="12" t="str">
        <f>CONCATENATE("K",$U43,"-02")</f>
        <v>K42-02</v>
      </c>
      <c r="HW43" s="12" t="str">
        <f>CONCATENATE("K",$U43,"-03")</f>
        <v>K42-03</v>
      </c>
      <c r="HX43" s="12" t="str">
        <f>CONCATENATE("K",$U43,"-04")</f>
        <v>K42-04</v>
      </c>
      <c r="HY43" s="12" t="str">
        <f>CONCATENATE("K",$U43,"-05")</f>
        <v>K42-05</v>
      </c>
      <c r="HZ43" s="12" t="str">
        <f>CONCATENATE("K",$U43,"-06")</f>
        <v>K42-06</v>
      </c>
      <c r="IA43" s="12" t="str">
        <f>CONCATENATE("K",$U43,"-07")</f>
        <v>K42-07</v>
      </c>
      <c r="IB43" s="12" t="str">
        <f>CONCATENATE("K",$U43,"-08")</f>
        <v>K42-08</v>
      </c>
      <c r="IC43" s="12" t="str">
        <f>CONCATENATE($T43,"-M",$U43,"-AMS-12")</f>
        <v>F0-M42-AMS-12</v>
      </c>
      <c r="ID43" s="12" t="str">
        <f>CONCATENATE($T43,"-M",$U43,"-AMS-10")</f>
        <v>F0-M42-AMS-10</v>
      </c>
      <c r="IE43" s="12" t="str">
        <f>CONCATENATE($T43,"-M",$U43,"-AMS-11")</f>
        <v>F0-M42-AMS-11</v>
      </c>
      <c r="IF43" s="12" t="str">
        <f>CONCATENATE($T43,"-M",$U43,"-AMS-13")</f>
        <v>F0-M42-AMS-13</v>
      </c>
      <c r="IG43" s="12" t="str">
        <f>CONCATENATE($T43,"-M",$U43,"-AMS-9")</f>
        <v>F0-M42-AMS-9</v>
      </c>
      <c r="IH43" s="12" t="str">
        <f>CONCATENATE($T43,"-M",$U43,"-AMS-7")</f>
        <v>F0-M42-AMS-7</v>
      </c>
      <c r="II43" s="12" t="str">
        <f>CONCATENATE($T43,"-M",$U43,"-AMS-18")</f>
        <v>F0-M42-AMS-18</v>
      </c>
      <c r="IJ43" s="12" t="str">
        <f>CONCATENATE($T43,"-M",$U43,"-AMS-20")</f>
        <v>F0-M42-AMS-20</v>
      </c>
      <c r="IK43" s="12" t="str">
        <f>CONCATENATE($T43,"-M",$U43,"-AMS-17")</f>
        <v>F0-M42-AMS-17</v>
      </c>
      <c r="IL43" s="12" t="str">
        <f>CONCATENATE($T43,"-+24-M",$U43,)</f>
        <v>F0-+24-M42</v>
      </c>
      <c r="IM43" s="12" t="str">
        <f>CONCATENATE($T43,"-M",$U43,"-XM01")</f>
        <v>F0-M42-XM01</v>
      </c>
      <c r="IN43" s="12" t="s">
        <v>142</v>
      </c>
      <c r="IO43" s="12" t="s">
        <v>143</v>
      </c>
      <c r="IP43" s="12">
        <v>11</v>
      </c>
      <c r="IQ43" s="12">
        <v>14</v>
      </c>
      <c r="IR43" s="12" t="s">
        <v>413</v>
      </c>
      <c r="IS43" s="12" t="s">
        <v>414</v>
      </c>
      <c r="IT43" s="12">
        <v>1</v>
      </c>
      <c r="IU43" s="12">
        <v>2</v>
      </c>
      <c r="IV43" s="12">
        <v>3</v>
      </c>
      <c r="IW43" s="12">
        <v>4</v>
      </c>
      <c r="IX43" s="12">
        <v>5</v>
      </c>
      <c r="IY43" s="12">
        <v>6</v>
      </c>
      <c r="IZ43" s="12">
        <v>7</v>
      </c>
      <c r="JA43" s="12">
        <v>8</v>
      </c>
      <c r="JB43" s="12">
        <v>9</v>
      </c>
      <c r="JC43" s="12">
        <v>10</v>
      </c>
      <c r="JD43" s="12">
        <v>11</v>
      </c>
      <c r="JE43" s="12">
        <v>12</v>
      </c>
      <c r="JF43" s="12">
        <v>13</v>
      </c>
      <c r="JG43" s="12">
        <v>14</v>
      </c>
      <c r="JH43" s="12">
        <v>17</v>
      </c>
      <c r="JI43" s="12">
        <v>15</v>
      </c>
      <c r="JJ43" s="12">
        <v>18</v>
      </c>
      <c r="JK43" s="12">
        <v>11</v>
      </c>
      <c r="JL43" s="12">
        <v>9</v>
      </c>
      <c r="JM43" s="12">
        <v>6</v>
      </c>
      <c r="JN43" s="12">
        <v>20</v>
      </c>
      <c r="JO43" s="12">
        <v>7</v>
      </c>
      <c r="JP43" s="12">
        <v>10</v>
      </c>
      <c r="JQ43" s="12">
        <v>22</v>
      </c>
      <c r="JR43" s="12">
        <v>23</v>
      </c>
      <c r="JS43" s="12">
        <v>26</v>
      </c>
      <c r="JT43" s="12">
        <v>27</v>
      </c>
      <c r="JU43" s="13">
        <v>30</v>
      </c>
    </row>
    <row r="44" spans="1:281" x14ac:dyDescent="0.25">
      <c r="A44" t="s">
        <v>415</v>
      </c>
      <c r="B44" t="s">
        <v>416</v>
      </c>
      <c r="P44" t="s">
        <v>391</v>
      </c>
      <c r="T44" s="14" t="s">
        <v>554</v>
      </c>
      <c r="U44" s="15">
        <f>U43+1</f>
        <v>43</v>
      </c>
      <c r="V44" t="s">
        <v>417</v>
      </c>
      <c r="W44" t="s">
        <v>418</v>
      </c>
      <c r="X44" t="str">
        <f>IF(COUNTIF(X$1:X43,X43)&gt;7,REPLACE(X43,LEN(X43),1,VALUE(RIGHT(X43,1))+1),X43)</f>
        <v>A3.1</v>
      </c>
      <c r="Y44" s="43" cm="1">
        <f t="array" ref="Y44">IF(COUNTIFS($X$2:$X44,$X44)=1,"1",VALUE(SUBSTITUTE(INDEX(Y:Y,_xlfn.XMATCH($X44,$X$1:$X43,0,-1)),"A",""))+INDEX(Z:Z,_xlfn.XMATCH($X44,$X$1:$X43,0,-1))+1)</f>
        <v>2</v>
      </c>
      <c r="Z44" s="43" cm="1">
        <f t="array" ref="Z44">SUM(IF(ISNUMBER(FIND("TmAi",$BA$1:$ZZ$1)),IF(IFERROR(ISODD(SUBSTITUTE($BA44:$ZZ44,"A","")),FALSE),IF(ISODD(SUBSTITUTE($BA44:$ZZ44,"A","")),1,0),0)))</f>
        <v>0</v>
      </c>
      <c r="AA44" t="str">
        <f t="shared" ref="AA44:AA55" si="72">CONCATENATE($Y44*2-1,"A")</f>
        <v>3A</v>
      </c>
      <c r="AB44" t="str">
        <f t="shared" ref="AB44:AB55" si="73">CONCATENATE($Y44*2-1,"B")</f>
        <v>3B</v>
      </c>
      <c r="AC44" t="s">
        <v>278</v>
      </c>
      <c r="AD44" t="s">
        <v>148</v>
      </c>
      <c r="AE44" t="s">
        <v>149</v>
      </c>
      <c r="AF44" t="s">
        <v>388</v>
      </c>
      <c r="AG44" t="s">
        <v>384</v>
      </c>
      <c r="AH44" t="s">
        <v>386</v>
      </c>
      <c r="AI44" t="s">
        <v>419</v>
      </c>
      <c r="AL44" t="s">
        <v>137</v>
      </c>
      <c r="AM44" t="s">
        <v>138</v>
      </c>
      <c r="AO44" t="s">
        <v>396</v>
      </c>
      <c r="AP44" t="s">
        <v>139</v>
      </c>
      <c r="AQ44" t="s">
        <v>140</v>
      </c>
      <c r="AZ44" s="16"/>
      <c r="GP44" s="27" t="str">
        <f t="shared" si="70"/>
        <v>XT43</v>
      </c>
      <c r="GQ44" t="str">
        <f>CONCATENATE("C",REPLACE(AD44,1,1,"")+1)</f>
        <v>C8</v>
      </c>
      <c r="GR44" t="str">
        <f>CONCATENATE("B",REPLACE(AE44,1,1,"")+1)</f>
        <v>B8</v>
      </c>
      <c r="GS44" t="str">
        <f>CONCATENATE("C",REPLACE(GQ44,1,1,"")+1)</f>
        <v>C9</v>
      </c>
      <c r="GT44" t="str">
        <f>CONCATENATE("B",REPLACE(GR44,1,1,"")+1)</f>
        <v>B9</v>
      </c>
      <c r="GU44" t="str">
        <f>CONCATENATE("C",REPLACE(GS44,1,1,"")+1)</f>
        <v>C10</v>
      </c>
      <c r="GV44" t="str">
        <f>CONCATENATE("B",REPLACE(GT44,1,1,"")+1)</f>
        <v>B10</v>
      </c>
      <c r="GW44" t="str">
        <f>CONCATENATE("C",REPLACE(GU44,1,1,"")+1)</f>
        <v>C11</v>
      </c>
      <c r="GX44" t="str">
        <f>CONCATENATE("B",REPLACE(GV44,1,1,"")+1)</f>
        <v>B11</v>
      </c>
      <c r="GY44" t="str">
        <f>CONCATENATE("C",REPLACE(GW44,1,1,"")+1)</f>
        <v>C12</v>
      </c>
      <c r="GZ44" t="str">
        <f>CONCATENATE("B",REPLACE(GX44,1,1,"")+1)</f>
        <v>B12</v>
      </c>
      <c r="HA44" t="str">
        <f>CONCATENATE(REPLACE(AG44,LEN(AG44),1,"")+1,"B")</f>
        <v>4B</v>
      </c>
      <c r="HB44" t="str">
        <f>CONCATENATE(REPLACE(AH44,LEN(AH44),1,"")+1,"A")</f>
        <v>4A</v>
      </c>
      <c r="HC44" t="str">
        <f>CONCATENATE("AI",REPLACE($X44,1,3,""),"-",AA44)</f>
        <v>AI1-3A</v>
      </c>
      <c r="HD44" t="str">
        <f>CONCATENATE("AI",REPLACE($X44,1,3,""),"-",AB44)</f>
        <v>AI1-3B</v>
      </c>
      <c r="HE44" t="str">
        <f>CONCATENATE("DI",REPLACE($AC44,1,3,""),"-",AD44)</f>
        <v>DI9-C7</v>
      </c>
      <c r="HF44" t="str">
        <f>CONCATENATE("DI",REPLACE($AC44,1,3,""),"-",AE44)</f>
        <v>DI9-B7</v>
      </c>
      <c r="HG44" t="str">
        <f t="shared" si="71"/>
        <v>DI9-C8</v>
      </c>
      <c r="HH44" t="str">
        <f t="shared" si="71"/>
        <v>DI9-B8</v>
      </c>
      <c r="HI44" t="str">
        <f t="shared" si="71"/>
        <v>DI9-C9</v>
      </c>
      <c r="HJ44" t="str">
        <f t="shared" si="71"/>
        <v>DI9-B9</v>
      </c>
      <c r="HK44" t="str">
        <f t="shared" si="71"/>
        <v>DI9-C10</v>
      </c>
      <c r="HL44" t="str">
        <f t="shared" si="71"/>
        <v>DI9-B10</v>
      </c>
      <c r="HM44" t="str">
        <f t="shared" si="71"/>
        <v>DI9-C11</v>
      </c>
      <c r="HN44" t="str">
        <f t="shared" si="71"/>
        <v>DI9-B11</v>
      </c>
      <c r="HO44" t="str">
        <f t="shared" si="71"/>
        <v>DI9-C12</v>
      </c>
      <c r="HP44" t="str">
        <f t="shared" si="71"/>
        <v>DI9-B12</v>
      </c>
      <c r="HQ44" t="str">
        <f>CONCATENATE("DO",REPLACE($AF44,1,3,""),"-",AG44)</f>
        <v>DO6-3B</v>
      </c>
      <c r="HR44" t="str">
        <f>CONCATENATE("DO",REPLACE($AF44,1,3,""),"-",AH44)</f>
        <v>DO6-3A</v>
      </c>
      <c r="HS44" t="str">
        <f>CONCATENATE("DO",REPLACE($AF44,1,3,""),"-",HA44)</f>
        <v>DO6-4B</v>
      </c>
      <c r="HT44" t="str">
        <f>CONCATENATE("DO",REPLACE($AF44,1,3,""),"-",HB44)</f>
        <v>DO6-4A</v>
      </c>
      <c r="HU44" t="str">
        <f>CONCATENATE("K",$U44,"-01")</f>
        <v>K43-01</v>
      </c>
      <c r="HV44" t="str">
        <f>CONCATENATE("K",$U44,"-02")</f>
        <v>K43-02</v>
      </c>
      <c r="HW44" t="str">
        <f>CONCATENATE("K",$U44,"-03")</f>
        <v>K43-03</v>
      </c>
      <c r="HX44" t="str">
        <f>CONCATENATE("K",$U44,"-04")</f>
        <v>K43-04</v>
      </c>
      <c r="HY44" t="str">
        <f>CONCATENATE("K",$U44,"-05")</f>
        <v>K43-05</v>
      </c>
      <c r="HZ44" t="str">
        <f>CONCATENATE("K",$U44,"-06")</f>
        <v>K43-06</v>
      </c>
      <c r="IA44" t="str">
        <f>CONCATENATE("K",$U44,"-07")</f>
        <v>K43-07</v>
      </c>
      <c r="IB44" t="str">
        <f>CONCATENATE("K",$U44,"-08")</f>
        <v>K43-08</v>
      </c>
      <c r="IC44" t="str">
        <f>CONCATENATE($T44,"-M",$U44,"-AMS-12")</f>
        <v>F0-M43-AMS-12</v>
      </c>
      <c r="ID44" t="str">
        <f>CONCATENATE($T44,"-M",$U44,"-AMS-10")</f>
        <v>F0-M43-AMS-10</v>
      </c>
      <c r="IE44" t="str">
        <f>CONCATENATE($T44,"-M",$U44,"-AMS-11")</f>
        <v>F0-M43-AMS-11</v>
      </c>
      <c r="IF44" t="str">
        <f>CONCATENATE($T44,"-M",$U44,"-AMS-13")</f>
        <v>F0-M43-AMS-13</v>
      </c>
      <c r="IG44" t="str">
        <f>CONCATENATE($T44,"-M",$U44,"-AMS-9")</f>
        <v>F0-M43-AMS-9</v>
      </c>
      <c r="IH44" t="str">
        <f>CONCATENATE($T44,"-M",$U44,"-AMS-7")</f>
        <v>F0-M43-AMS-7</v>
      </c>
      <c r="II44" t="str">
        <f>CONCATENATE($T44,"-M",$U44,"-AMS-18")</f>
        <v>F0-M43-AMS-18</v>
      </c>
      <c r="IJ44" t="str">
        <f>CONCATENATE($T44,"-M",$U44,"-AMS-20")</f>
        <v>F0-M43-AMS-20</v>
      </c>
      <c r="IK44" t="str">
        <f>CONCATENATE($T44,"-M",$U44,"-AMS-17")</f>
        <v>F0-M43-AMS-17</v>
      </c>
      <c r="IL44" t="str">
        <f>CONCATENATE($T44,"-+24-M",$U44,)</f>
        <v>F0-+24-M43</v>
      </c>
      <c r="IM44" t="str">
        <f>CONCATENATE($T44,"-M",$U44,"-XM01")</f>
        <v>F0-M43-XM01</v>
      </c>
      <c r="IN44" t="str">
        <f t="shared" ref="IN44:JU51" si="74">IN43</f>
        <v>A1</v>
      </c>
      <c r="IO44" t="str">
        <f t="shared" si="74"/>
        <v>A2</v>
      </c>
      <c r="IP44">
        <f t="shared" si="74"/>
        <v>11</v>
      </c>
      <c r="IQ44">
        <f t="shared" si="74"/>
        <v>14</v>
      </c>
      <c r="IR44" t="str">
        <f t="shared" si="74"/>
        <v>24v6</v>
      </c>
      <c r="IS44" t="str">
        <f t="shared" si="74"/>
        <v>0v6</v>
      </c>
      <c r="IT44">
        <f t="shared" si="74"/>
        <v>1</v>
      </c>
      <c r="IU44">
        <f t="shared" si="74"/>
        <v>2</v>
      </c>
      <c r="IV44">
        <f t="shared" si="74"/>
        <v>3</v>
      </c>
      <c r="IW44">
        <f t="shared" si="74"/>
        <v>4</v>
      </c>
      <c r="IX44">
        <f t="shared" si="74"/>
        <v>5</v>
      </c>
      <c r="IY44">
        <f t="shared" si="74"/>
        <v>6</v>
      </c>
      <c r="IZ44">
        <f t="shared" si="74"/>
        <v>7</v>
      </c>
      <c r="JA44">
        <f t="shared" si="74"/>
        <v>8</v>
      </c>
      <c r="JB44">
        <f t="shared" si="74"/>
        <v>9</v>
      </c>
      <c r="JC44">
        <f t="shared" si="74"/>
        <v>10</v>
      </c>
      <c r="JD44">
        <f t="shared" si="74"/>
        <v>11</v>
      </c>
      <c r="JE44">
        <f t="shared" si="74"/>
        <v>12</v>
      </c>
      <c r="JF44">
        <f t="shared" si="74"/>
        <v>13</v>
      </c>
      <c r="JG44">
        <f t="shared" si="74"/>
        <v>14</v>
      </c>
      <c r="JH44">
        <f t="shared" si="74"/>
        <v>17</v>
      </c>
      <c r="JI44">
        <f t="shared" si="74"/>
        <v>15</v>
      </c>
      <c r="JJ44">
        <f t="shared" si="74"/>
        <v>18</v>
      </c>
      <c r="JK44">
        <f t="shared" si="74"/>
        <v>11</v>
      </c>
      <c r="JL44">
        <f t="shared" si="74"/>
        <v>9</v>
      </c>
      <c r="JM44">
        <f t="shared" si="74"/>
        <v>6</v>
      </c>
      <c r="JN44">
        <f t="shared" si="74"/>
        <v>20</v>
      </c>
      <c r="JO44">
        <f t="shared" si="74"/>
        <v>7</v>
      </c>
      <c r="JP44">
        <f t="shared" si="74"/>
        <v>10</v>
      </c>
      <c r="JQ44">
        <f t="shared" si="74"/>
        <v>22</v>
      </c>
      <c r="JR44">
        <f t="shared" si="74"/>
        <v>23</v>
      </c>
      <c r="JS44">
        <f t="shared" si="74"/>
        <v>26</v>
      </c>
      <c r="JT44">
        <f t="shared" si="74"/>
        <v>27</v>
      </c>
      <c r="JU44" s="16">
        <f t="shared" si="74"/>
        <v>30</v>
      </c>
    </row>
    <row r="45" spans="1:281" x14ac:dyDescent="0.25">
      <c r="A45" t="s">
        <v>421</v>
      </c>
      <c r="B45" t="s">
        <v>423</v>
      </c>
      <c r="P45" t="s">
        <v>391</v>
      </c>
      <c r="T45" s="14" t="s">
        <v>554</v>
      </c>
      <c r="U45" s="15">
        <f t="shared" ref="U45:U55" si="75">U44+1</f>
        <v>44</v>
      </c>
      <c r="V45" s="15" t="s">
        <v>422</v>
      </c>
      <c r="W45" s="15" t="s">
        <v>454</v>
      </c>
      <c r="X45" t="str">
        <f>IF(COUNTIF(X$1:X44,X44)&gt;7,REPLACE(X44,LEN(X44),1,VALUE(RIGHT(X44,1))+1),X44)</f>
        <v>A3.1</v>
      </c>
      <c r="Y45" s="43" cm="1">
        <f t="array" ref="Y45">IF(COUNTIFS($X$2:$X45,$X45)=1,"1",VALUE(SUBSTITUTE(INDEX(Y:Y,_xlfn.XMATCH($X45,$X$1:$X44,0,-1)),"A",""))+INDEX(Z:Z,_xlfn.XMATCH($X45,$X$1:$X44,0,-1))+1)</f>
        <v>3</v>
      </c>
      <c r="Z45" s="43" cm="1">
        <f t="array" ref="Z45">SUM(IF(ISNUMBER(FIND("TmAi",$BA$1:$ZZ$1)),IF(IFERROR(ISODD(SUBSTITUTE($BA45:$ZZ45,"A","")),FALSE),IF(ISODD(SUBSTITUTE($BA45:$ZZ45,"A","")),1,0),0)))</f>
        <v>0</v>
      </c>
      <c r="AA45" t="str">
        <f t="shared" si="72"/>
        <v>5A</v>
      </c>
      <c r="AB45" t="str">
        <f t="shared" si="73"/>
        <v>5B</v>
      </c>
      <c r="AC45" s="15" t="s">
        <v>278</v>
      </c>
      <c r="AD45" s="15" t="s">
        <v>153</v>
      </c>
      <c r="AE45" s="15" t="s">
        <v>154</v>
      </c>
      <c r="AF45" s="15" t="s">
        <v>388</v>
      </c>
      <c r="AG45" s="15" t="s">
        <v>385</v>
      </c>
      <c r="AH45" s="15" t="s">
        <v>387</v>
      </c>
      <c r="AI45" s="15" t="s">
        <v>424</v>
      </c>
      <c r="AL45" t="s">
        <v>137</v>
      </c>
      <c r="AM45" t="s">
        <v>138</v>
      </c>
      <c r="AO45" t="s">
        <v>396</v>
      </c>
      <c r="AP45" t="s">
        <v>139</v>
      </c>
      <c r="AQ45" t="s">
        <v>140</v>
      </c>
      <c r="AZ45" s="16"/>
      <c r="GP45" s="27" t="str">
        <f t="shared" si="70"/>
        <v>XT44</v>
      </c>
      <c r="GQ45" t="str">
        <f t="shared" ref="GQ45:GQ55" si="76">CONCATENATE("C",REPLACE(AD45,1,1,"")+1)</f>
        <v>C14</v>
      </c>
      <c r="GR45" t="str">
        <f t="shared" ref="GR45:GR55" si="77">CONCATENATE("B",REPLACE(AE45,1,1,"")+1)</f>
        <v>B14</v>
      </c>
      <c r="GS45" t="str">
        <f t="shared" ref="GS45:GS55" si="78">CONCATENATE("C",REPLACE(GQ45,1,1,"")+1)</f>
        <v>C15</v>
      </c>
      <c r="GT45" t="str">
        <f t="shared" ref="GT45:GT55" si="79">CONCATENATE("B",REPLACE(GR45,1,1,"")+1)</f>
        <v>B15</v>
      </c>
      <c r="GU45" t="str">
        <f t="shared" ref="GU45:GU55" si="80">CONCATENATE("C",REPLACE(GS45,1,1,"")+1)</f>
        <v>C16</v>
      </c>
      <c r="GV45" t="str">
        <f t="shared" ref="GV45:GV55" si="81">CONCATENATE("B",REPLACE(GT45,1,1,"")+1)</f>
        <v>B16</v>
      </c>
      <c r="GW45" t="str">
        <f t="shared" ref="GW45:GW55" si="82">CONCATENATE("C",REPLACE(GU45,1,1,"")+1)</f>
        <v>C17</v>
      </c>
      <c r="GX45" t="str">
        <f t="shared" ref="GX45:GX55" si="83">CONCATENATE("B",REPLACE(GV45,1,1,"")+1)</f>
        <v>B17</v>
      </c>
      <c r="GY45" t="str">
        <f t="shared" ref="GY45:GY55" si="84">CONCATENATE("C",REPLACE(GW45,1,1,"")+1)</f>
        <v>C18</v>
      </c>
      <c r="GZ45" t="str">
        <f t="shared" ref="GZ45:GZ55" si="85">CONCATENATE("B",REPLACE(GX45,1,1,"")+1)</f>
        <v>B18</v>
      </c>
      <c r="HA45" t="str">
        <f t="shared" ref="HA45:HA55" si="86">CONCATENATE(REPLACE(AG45,LEN(AG45),1,"")+1,"B")</f>
        <v>6B</v>
      </c>
      <c r="HB45" t="str">
        <f t="shared" ref="HB45:HB55" si="87">CONCATENATE(REPLACE(AH45,LEN(AH45),1,"")+1,"A")</f>
        <v>6A</v>
      </c>
      <c r="HC45" t="str">
        <f t="shared" ref="HC45:HD55" si="88">CONCATENATE("AI",REPLACE($X45,1,3,""),"-",AA45)</f>
        <v>AI1-5A</v>
      </c>
      <c r="HD45" t="str">
        <f t="shared" si="88"/>
        <v>AI1-5B</v>
      </c>
      <c r="HE45" t="str">
        <f t="shared" ref="HE45:HF55" si="89">CONCATENATE("DI",REPLACE($AC45,1,3,""),"-",AD45)</f>
        <v>DI9-C13</v>
      </c>
      <c r="HF45" t="str">
        <f t="shared" si="89"/>
        <v>DI9-B13</v>
      </c>
      <c r="HG45" t="str">
        <f t="shared" si="71"/>
        <v>DI9-C14</v>
      </c>
      <c r="HH45" t="str">
        <f t="shared" si="71"/>
        <v>DI9-B14</v>
      </c>
      <c r="HI45" t="str">
        <f t="shared" si="71"/>
        <v>DI9-C15</v>
      </c>
      <c r="HJ45" t="str">
        <f t="shared" si="71"/>
        <v>DI9-B15</v>
      </c>
      <c r="HK45" t="str">
        <f t="shared" si="71"/>
        <v>DI9-C16</v>
      </c>
      <c r="HL45" t="str">
        <f t="shared" si="71"/>
        <v>DI9-B16</v>
      </c>
      <c r="HM45" t="str">
        <f t="shared" si="71"/>
        <v>DI9-C17</v>
      </c>
      <c r="HN45" t="str">
        <f t="shared" si="71"/>
        <v>DI9-B17</v>
      </c>
      <c r="HO45" t="str">
        <f t="shared" si="71"/>
        <v>DI9-C18</v>
      </c>
      <c r="HP45" t="str">
        <f t="shared" si="71"/>
        <v>DI9-B18</v>
      </c>
      <c r="HQ45" t="str">
        <f t="shared" ref="HQ45:HR55" si="90">CONCATENATE("DO",REPLACE($AF45,1,3,""),"-",AG45)</f>
        <v>DO6-5B</v>
      </c>
      <c r="HR45" t="str">
        <f t="shared" si="90"/>
        <v>DO6-5A</v>
      </c>
      <c r="HS45" t="str">
        <f t="shared" ref="HS45:HT55" si="91">CONCATENATE("DO",REPLACE($AF45,1,3,""),"-",HA45)</f>
        <v>DO6-6B</v>
      </c>
      <c r="HT45" t="str">
        <f t="shared" si="91"/>
        <v>DO6-6A</v>
      </c>
      <c r="HU45" t="str">
        <f t="shared" ref="HU45:HU55" si="92">CONCATENATE("K",$U45,"-01")</f>
        <v>K44-01</v>
      </c>
      <c r="HV45" t="str">
        <f t="shared" ref="HV45:HV55" si="93">CONCATENATE("K",$U45,"-02")</f>
        <v>K44-02</v>
      </c>
      <c r="HW45" t="str">
        <f t="shared" ref="HW45:HW55" si="94">CONCATENATE("K",$U45,"-03")</f>
        <v>K44-03</v>
      </c>
      <c r="HX45" t="str">
        <f t="shared" ref="HX45:HX55" si="95">CONCATENATE("K",$U45,"-04")</f>
        <v>K44-04</v>
      </c>
      <c r="HY45" t="str">
        <f t="shared" ref="HY45:HY55" si="96">CONCATENATE("K",$U45,"-05")</f>
        <v>K44-05</v>
      </c>
      <c r="HZ45" t="str">
        <f t="shared" ref="HZ45:HZ55" si="97">CONCATENATE("K",$U45,"-06")</f>
        <v>K44-06</v>
      </c>
      <c r="IA45" t="str">
        <f t="shared" ref="IA45:IA55" si="98">CONCATENATE("K",$U45,"-07")</f>
        <v>K44-07</v>
      </c>
      <c r="IB45" t="str">
        <f t="shared" ref="IB45:IB55" si="99">CONCATENATE("K",$U45,"-08")</f>
        <v>K44-08</v>
      </c>
      <c r="IC45" t="str">
        <f t="shared" ref="IC45:IC55" si="100">CONCATENATE($T45,"-M",$U45,"-AMS-12")</f>
        <v>F0-M44-AMS-12</v>
      </c>
      <c r="ID45" t="str">
        <f t="shared" ref="ID45:ID55" si="101">CONCATENATE($T45,"-M",$U45,"-AMS-10")</f>
        <v>F0-M44-AMS-10</v>
      </c>
      <c r="IE45" t="str">
        <f t="shared" ref="IE45:IE55" si="102">CONCATENATE($T45,"-M",$U45,"-AMS-11")</f>
        <v>F0-M44-AMS-11</v>
      </c>
      <c r="IF45" t="str">
        <f t="shared" ref="IF45:IF55" si="103">CONCATENATE($T45,"-M",$U45,"-AMS-13")</f>
        <v>F0-M44-AMS-13</v>
      </c>
      <c r="IG45" t="str">
        <f t="shared" ref="IG45:IG55" si="104">CONCATENATE($T45,"-M",$U45,"-AMS-9")</f>
        <v>F0-M44-AMS-9</v>
      </c>
      <c r="IH45" t="str">
        <f t="shared" ref="IH45:IH55" si="105">CONCATENATE($T45,"-M",$U45,"-AMS-7")</f>
        <v>F0-M44-AMS-7</v>
      </c>
      <c r="II45" t="str">
        <f t="shared" ref="II45:II55" si="106">CONCATENATE($T45,"-M",$U45,"-AMS-18")</f>
        <v>F0-M44-AMS-18</v>
      </c>
      <c r="IJ45" t="str">
        <f t="shared" ref="IJ45:IJ55" si="107">CONCATENATE($T45,"-M",$U45,"-AMS-20")</f>
        <v>F0-M44-AMS-20</v>
      </c>
      <c r="IK45" t="str">
        <f t="shared" ref="IK45:IK55" si="108">CONCATENATE($T45,"-M",$U45,"-AMS-17")</f>
        <v>F0-M44-AMS-17</v>
      </c>
      <c r="IL45" t="str">
        <f t="shared" ref="IL45:IL55" si="109">CONCATENATE($T45,"-+24-M",$U45,)</f>
        <v>F0-+24-M44</v>
      </c>
      <c r="IM45" t="str">
        <f t="shared" ref="IM45:IM55" si="110">CONCATENATE($T45,"-M",$U45,"-XM01")</f>
        <v>F0-M44-XM01</v>
      </c>
      <c r="IN45" t="str">
        <f t="shared" si="74"/>
        <v>A1</v>
      </c>
      <c r="IO45" t="str">
        <f t="shared" si="74"/>
        <v>A2</v>
      </c>
      <c r="IP45">
        <f t="shared" si="74"/>
        <v>11</v>
      </c>
      <c r="IQ45">
        <f t="shared" si="74"/>
        <v>14</v>
      </c>
      <c r="IR45" t="str">
        <f t="shared" si="74"/>
        <v>24v6</v>
      </c>
      <c r="IS45" t="str">
        <f t="shared" si="74"/>
        <v>0v6</v>
      </c>
      <c r="IT45">
        <f t="shared" si="74"/>
        <v>1</v>
      </c>
      <c r="IU45">
        <f t="shared" si="74"/>
        <v>2</v>
      </c>
      <c r="IV45">
        <f t="shared" si="74"/>
        <v>3</v>
      </c>
      <c r="IW45">
        <f t="shared" si="74"/>
        <v>4</v>
      </c>
      <c r="IX45">
        <f t="shared" si="74"/>
        <v>5</v>
      </c>
      <c r="IY45">
        <f t="shared" si="74"/>
        <v>6</v>
      </c>
      <c r="IZ45">
        <f t="shared" si="74"/>
        <v>7</v>
      </c>
      <c r="JA45">
        <f t="shared" si="74"/>
        <v>8</v>
      </c>
      <c r="JB45">
        <f t="shared" si="74"/>
        <v>9</v>
      </c>
      <c r="JC45">
        <f t="shared" si="74"/>
        <v>10</v>
      </c>
      <c r="JD45">
        <f t="shared" si="74"/>
        <v>11</v>
      </c>
      <c r="JE45">
        <f t="shared" si="74"/>
        <v>12</v>
      </c>
      <c r="JF45">
        <f t="shared" si="74"/>
        <v>13</v>
      </c>
      <c r="JG45">
        <f t="shared" si="74"/>
        <v>14</v>
      </c>
      <c r="JH45">
        <f t="shared" si="74"/>
        <v>17</v>
      </c>
      <c r="JI45">
        <f t="shared" si="74"/>
        <v>15</v>
      </c>
      <c r="JJ45">
        <f t="shared" si="74"/>
        <v>18</v>
      </c>
      <c r="JK45">
        <f t="shared" si="74"/>
        <v>11</v>
      </c>
      <c r="JL45">
        <f t="shared" si="74"/>
        <v>9</v>
      </c>
      <c r="JM45">
        <f t="shared" si="74"/>
        <v>6</v>
      </c>
      <c r="JN45">
        <f t="shared" si="74"/>
        <v>20</v>
      </c>
      <c r="JO45">
        <f t="shared" si="74"/>
        <v>7</v>
      </c>
      <c r="JP45">
        <f t="shared" si="74"/>
        <v>10</v>
      </c>
      <c r="JQ45">
        <f t="shared" si="74"/>
        <v>22</v>
      </c>
      <c r="JR45">
        <f t="shared" si="74"/>
        <v>23</v>
      </c>
      <c r="JS45">
        <f t="shared" si="74"/>
        <v>26</v>
      </c>
      <c r="JT45">
        <f t="shared" si="74"/>
        <v>27</v>
      </c>
      <c r="JU45" s="16">
        <f t="shared" si="74"/>
        <v>30</v>
      </c>
    </row>
    <row r="46" spans="1:281" x14ac:dyDescent="0.25">
      <c r="A46" t="s">
        <v>427</v>
      </c>
      <c r="B46" t="s">
        <v>426</v>
      </c>
      <c r="P46" t="s">
        <v>391</v>
      </c>
      <c r="T46" s="14" t="s">
        <v>554</v>
      </c>
      <c r="U46" s="15">
        <f t="shared" si="75"/>
        <v>45</v>
      </c>
      <c r="V46" t="s">
        <v>455</v>
      </c>
      <c r="W46" t="s">
        <v>428</v>
      </c>
      <c r="X46" t="str">
        <f>IF(COUNTIF(X$1:X45,X45)&gt;7,REPLACE(X45,LEN(X45),1,VALUE(RIGHT(X45,1))+1),X45)</f>
        <v>A3.1</v>
      </c>
      <c r="Y46" s="43" cm="1">
        <f t="array" ref="Y46">IF(COUNTIFS($X$2:$X46,$X46)=1,"1",VALUE(SUBSTITUTE(INDEX(Y:Y,_xlfn.XMATCH($X46,$X$1:$X45,0,-1)),"A",""))+INDEX(Z:Z,_xlfn.XMATCH($X46,$X$1:$X45,0,-1))+1)</f>
        <v>4</v>
      </c>
      <c r="Z46" s="43" cm="1">
        <f t="array" ref="Z46">SUM(IF(ISNUMBER(FIND("TmAi",$BA$1:$ZZ$1)),IF(IFERROR(ISODD(SUBSTITUTE($BA46:$ZZ46,"A","")),FALSE),IF(ISODD(SUBSTITUTE($BA46:$ZZ46,"A","")),1,0),0)))</f>
        <v>0</v>
      </c>
      <c r="AA46" t="str">
        <f t="shared" si="72"/>
        <v>7A</v>
      </c>
      <c r="AB46" t="str">
        <f t="shared" si="73"/>
        <v>7B</v>
      </c>
      <c r="AC46" s="15" t="s">
        <v>278</v>
      </c>
      <c r="AD46" t="s">
        <v>239</v>
      </c>
      <c r="AE46" t="s">
        <v>241</v>
      </c>
      <c r="AF46" s="15" t="s">
        <v>388</v>
      </c>
      <c r="AG46" t="s">
        <v>245</v>
      </c>
      <c r="AH46" t="s">
        <v>246</v>
      </c>
      <c r="AI46" t="s">
        <v>425</v>
      </c>
      <c r="AL46" t="s">
        <v>137</v>
      </c>
      <c r="AM46" t="s">
        <v>138</v>
      </c>
      <c r="AO46" t="s">
        <v>396</v>
      </c>
      <c r="AP46" t="s">
        <v>139</v>
      </c>
      <c r="AQ46" t="s">
        <v>140</v>
      </c>
      <c r="AZ46" s="16"/>
      <c r="GP46" s="27" t="str">
        <f t="shared" si="70"/>
        <v>XT45</v>
      </c>
      <c r="GQ46" t="str">
        <f t="shared" si="76"/>
        <v>C20</v>
      </c>
      <c r="GR46" t="str">
        <f t="shared" si="77"/>
        <v>B20</v>
      </c>
      <c r="GS46" t="str">
        <f t="shared" si="78"/>
        <v>C21</v>
      </c>
      <c r="GT46" t="str">
        <f t="shared" si="79"/>
        <v>B21</v>
      </c>
      <c r="GU46" t="str">
        <f t="shared" si="80"/>
        <v>C22</v>
      </c>
      <c r="GV46" t="str">
        <f t="shared" si="81"/>
        <v>B22</v>
      </c>
      <c r="GW46" t="str">
        <f t="shared" si="82"/>
        <v>C23</v>
      </c>
      <c r="GX46" t="str">
        <f t="shared" si="83"/>
        <v>B23</v>
      </c>
      <c r="GY46" t="str">
        <f t="shared" si="84"/>
        <v>C24</v>
      </c>
      <c r="GZ46" t="str">
        <f t="shared" si="85"/>
        <v>B24</v>
      </c>
      <c r="HA46" t="str">
        <f t="shared" si="86"/>
        <v>8B</v>
      </c>
      <c r="HB46" t="str">
        <f t="shared" si="87"/>
        <v>8A</v>
      </c>
      <c r="HC46" t="str">
        <f t="shared" si="88"/>
        <v>AI1-7A</v>
      </c>
      <c r="HD46" t="str">
        <f t="shared" si="88"/>
        <v>AI1-7B</v>
      </c>
      <c r="HE46" t="str">
        <f t="shared" si="89"/>
        <v>DI9-C19</v>
      </c>
      <c r="HF46" t="str">
        <f t="shared" si="89"/>
        <v>DI9-B19</v>
      </c>
      <c r="HG46" t="str">
        <f t="shared" si="71"/>
        <v>DI9-C20</v>
      </c>
      <c r="HH46" t="str">
        <f t="shared" si="71"/>
        <v>DI9-B20</v>
      </c>
      <c r="HI46" t="str">
        <f t="shared" si="71"/>
        <v>DI9-C21</v>
      </c>
      <c r="HJ46" t="str">
        <f t="shared" si="71"/>
        <v>DI9-B21</v>
      </c>
      <c r="HK46" t="str">
        <f t="shared" si="71"/>
        <v>DI9-C22</v>
      </c>
      <c r="HL46" t="str">
        <f t="shared" si="71"/>
        <v>DI9-B22</v>
      </c>
      <c r="HM46" t="str">
        <f t="shared" si="71"/>
        <v>DI9-C23</v>
      </c>
      <c r="HN46" t="str">
        <f t="shared" si="71"/>
        <v>DI9-B23</v>
      </c>
      <c r="HO46" t="str">
        <f t="shared" si="71"/>
        <v>DI9-C24</v>
      </c>
      <c r="HP46" t="str">
        <f t="shared" si="71"/>
        <v>DI9-B24</v>
      </c>
      <c r="HQ46" t="str">
        <f t="shared" si="90"/>
        <v>DO6-7B</v>
      </c>
      <c r="HR46" t="str">
        <f t="shared" si="90"/>
        <v>DO6-7A</v>
      </c>
      <c r="HS46" t="str">
        <f t="shared" si="91"/>
        <v>DO6-8B</v>
      </c>
      <c r="HT46" t="str">
        <f t="shared" si="91"/>
        <v>DO6-8A</v>
      </c>
      <c r="HU46" t="str">
        <f t="shared" si="92"/>
        <v>K45-01</v>
      </c>
      <c r="HV46" t="str">
        <f t="shared" si="93"/>
        <v>K45-02</v>
      </c>
      <c r="HW46" t="str">
        <f t="shared" si="94"/>
        <v>K45-03</v>
      </c>
      <c r="HX46" t="str">
        <f t="shared" si="95"/>
        <v>K45-04</v>
      </c>
      <c r="HY46" t="str">
        <f t="shared" si="96"/>
        <v>K45-05</v>
      </c>
      <c r="HZ46" t="str">
        <f t="shared" si="97"/>
        <v>K45-06</v>
      </c>
      <c r="IA46" t="str">
        <f t="shared" si="98"/>
        <v>K45-07</v>
      </c>
      <c r="IB46" t="str">
        <f t="shared" si="99"/>
        <v>K45-08</v>
      </c>
      <c r="IC46" t="str">
        <f t="shared" si="100"/>
        <v>F0-M45-AMS-12</v>
      </c>
      <c r="ID46" t="str">
        <f t="shared" si="101"/>
        <v>F0-M45-AMS-10</v>
      </c>
      <c r="IE46" t="str">
        <f t="shared" si="102"/>
        <v>F0-M45-AMS-11</v>
      </c>
      <c r="IF46" t="str">
        <f t="shared" si="103"/>
        <v>F0-M45-AMS-13</v>
      </c>
      <c r="IG46" t="str">
        <f t="shared" si="104"/>
        <v>F0-M45-AMS-9</v>
      </c>
      <c r="IH46" t="str">
        <f t="shared" si="105"/>
        <v>F0-M45-AMS-7</v>
      </c>
      <c r="II46" t="str">
        <f t="shared" si="106"/>
        <v>F0-M45-AMS-18</v>
      </c>
      <c r="IJ46" t="str">
        <f t="shared" si="107"/>
        <v>F0-M45-AMS-20</v>
      </c>
      <c r="IK46" t="str">
        <f t="shared" si="108"/>
        <v>F0-M45-AMS-17</v>
      </c>
      <c r="IL46" t="str">
        <f t="shared" si="109"/>
        <v>F0-+24-M45</v>
      </c>
      <c r="IM46" t="str">
        <f t="shared" si="110"/>
        <v>F0-M45-XM01</v>
      </c>
      <c r="IN46" t="str">
        <f t="shared" si="74"/>
        <v>A1</v>
      </c>
      <c r="IO46" t="str">
        <f t="shared" si="74"/>
        <v>A2</v>
      </c>
      <c r="IP46">
        <f t="shared" si="74"/>
        <v>11</v>
      </c>
      <c r="IQ46">
        <f t="shared" si="74"/>
        <v>14</v>
      </c>
      <c r="IR46" t="str">
        <f t="shared" si="74"/>
        <v>24v6</v>
      </c>
      <c r="IS46" t="str">
        <f t="shared" si="74"/>
        <v>0v6</v>
      </c>
      <c r="IT46">
        <f t="shared" si="74"/>
        <v>1</v>
      </c>
      <c r="IU46">
        <f t="shared" si="74"/>
        <v>2</v>
      </c>
      <c r="IV46">
        <f t="shared" si="74"/>
        <v>3</v>
      </c>
      <c r="IW46">
        <f t="shared" si="74"/>
        <v>4</v>
      </c>
      <c r="IX46">
        <f t="shared" si="74"/>
        <v>5</v>
      </c>
      <c r="IY46">
        <f t="shared" si="74"/>
        <v>6</v>
      </c>
      <c r="IZ46">
        <f t="shared" si="74"/>
        <v>7</v>
      </c>
      <c r="JA46">
        <f t="shared" si="74"/>
        <v>8</v>
      </c>
      <c r="JB46">
        <f t="shared" si="74"/>
        <v>9</v>
      </c>
      <c r="JC46">
        <f t="shared" si="74"/>
        <v>10</v>
      </c>
      <c r="JD46">
        <f t="shared" si="74"/>
        <v>11</v>
      </c>
      <c r="JE46">
        <f t="shared" si="74"/>
        <v>12</v>
      </c>
      <c r="JF46">
        <f t="shared" si="74"/>
        <v>13</v>
      </c>
      <c r="JG46">
        <f t="shared" si="74"/>
        <v>14</v>
      </c>
      <c r="JH46">
        <f t="shared" si="74"/>
        <v>17</v>
      </c>
      <c r="JI46">
        <f t="shared" si="74"/>
        <v>15</v>
      </c>
      <c r="JJ46">
        <f t="shared" si="74"/>
        <v>18</v>
      </c>
      <c r="JK46">
        <f t="shared" si="74"/>
        <v>11</v>
      </c>
      <c r="JL46">
        <f t="shared" si="74"/>
        <v>9</v>
      </c>
      <c r="JM46">
        <f t="shared" si="74"/>
        <v>6</v>
      </c>
      <c r="JN46">
        <f t="shared" si="74"/>
        <v>20</v>
      </c>
      <c r="JO46">
        <f t="shared" si="74"/>
        <v>7</v>
      </c>
      <c r="JP46">
        <f t="shared" si="74"/>
        <v>10</v>
      </c>
      <c r="JQ46">
        <f t="shared" si="74"/>
        <v>22</v>
      </c>
      <c r="JR46">
        <f t="shared" si="74"/>
        <v>23</v>
      </c>
      <c r="JS46">
        <f t="shared" si="74"/>
        <v>26</v>
      </c>
      <c r="JT46">
        <f t="shared" si="74"/>
        <v>27</v>
      </c>
      <c r="JU46" s="16">
        <f t="shared" si="74"/>
        <v>30</v>
      </c>
    </row>
    <row r="47" spans="1:281" x14ac:dyDescent="0.25">
      <c r="A47" t="s">
        <v>463</v>
      </c>
      <c r="B47" t="s">
        <v>462</v>
      </c>
      <c r="P47" t="s">
        <v>391</v>
      </c>
      <c r="T47" s="14" t="s">
        <v>554</v>
      </c>
      <c r="U47" s="15">
        <f t="shared" si="75"/>
        <v>46</v>
      </c>
      <c r="V47" t="s">
        <v>429</v>
      </c>
      <c r="W47" t="s">
        <v>430</v>
      </c>
      <c r="X47" t="str">
        <f>IF(COUNTIF(X$1:X46,X46)&gt;7,REPLACE(X46,LEN(X46),1,VALUE(RIGHT(X46,1))+1),X46)</f>
        <v>A3.1</v>
      </c>
      <c r="Y47" s="43" cm="1">
        <f t="array" ref="Y47">IF(COUNTIFS($X$2:$X47,$X47)=1,"1",VALUE(SUBSTITUTE(INDEX(Y:Y,_xlfn.XMATCH($X47,$X$1:$X46,0,-1)),"A",""))+INDEX(Z:Z,_xlfn.XMATCH($X47,$X$1:$X46,0,-1))+1)</f>
        <v>5</v>
      </c>
      <c r="Z47" s="43" cm="1">
        <f t="array" ref="Z47">SUM(IF(ISNUMBER(FIND("TmAi",$BA$1:$ZZ$1)),IF(IFERROR(ISODD(SUBSTITUTE($BA47:$ZZ47,"A","")),FALSE),IF(ISODD(SUBSTITUTE($BA47:$ZZ47,"A","")),1,0),0)))</f>
        <v>0</v>
      </c>
      <c r="AA47" t="str">
        <f t="shared" si="72"/>
        <v>9A</v>
      </c>
      <c r="AB47" t="str">
        <f t="shared" si="73"/>
        <v>9B</v>
      </c>
      <c r="AC47" s="15" t="s">
        <v>278</v>
      </c>
      <c r="AD47" t="s">
        <v>240</v>
      </c>
      <c r="AE47" t="s">
        <v>242</v>
      </c>
      <c r="AF47" s="15" t="s">
        <v>388</v>
      </c>
      <c r="AG47" s="15" t="s">
        <v>285</v>
      </c>
      <c r="AH47" s="15" t="s">
        <v>286</v>
      </c>
      <c r="AI47" s="15" t="s">
        <v>447</v>
      </c>
      <c r="AL47" t="s">
        <v>137</v>
      </c>
      <c r="AM47" t="s">
        <v>138</v>
      </c>
      <c r="AO47" t="s">
        <v>396</v>
      </c>
      <c r="AP47" t="s">
        <v>139</v>
      </c>
      <c r="AQ47" t="s">
        <v>140</v>
      </c>
      <c r="AZ47" s="16"/>
      <c r="GP47" s="27" t="str">
        <f t="shared" si="70"/>
        <v>XT46</v>
      </c>
      <c r="GQ47" t="str">
        <f t="shared" si="76"/>
        <v>C26</v>
      </c>
      <c r="GR47" t="str">
        <f t="shared" si="77"/>
        <v>B26</v>
      </c>
      <c r="GS47" t="str">
        <f t="shared" si="78"/>
        <v>C27</v>
      </c>
      <c r="GT47" t="str">
        <f t="shared" si="79"/>
        <v>B27</v>
      </c>
      <c r="GU47" t="str">
        <f t="shared" si="80"/>
        <v>C28</v>
      </c>
      <c r="GV47" t="str">
        <f t="shared" si="81"/>
        <v>B28</v>
      </c>
      <c r="GW47" t="str">
        <f t="shared" si="82"/>
        <v>C29</v>
      </c>
      <c r="GX47" t="str">
        <f t="shared" si="83"/>
        <v>B29</v>
      </c>
      <c r="GY47" t="str">
        <f t="shared" si="84"/>
        <v>C30</v>
      </c>
      <c r="GZ47" t="str">
        <f t="shared" si="85"/>
        <v>B30</v>
      </c>
      <c r="HA47" t="str">
        <f t="shared" si="86"/>
        <v>10B</v>
      </c>
      <c r="HB47" t="str">
        <f t="shared" si="87"/>
        <v>10A</v>
      </c>
      <c r="HC47" t="str">
        <f t="shared" si="88"/>
        <v>AI1-9A</v>
      </c>
      <c r="HD47" t="str">
        <f t="shared" si="88"/>
        <v>AI1-9B</v>
      </c>
      <c r="HE47" t="str">
        <f t="shared" si="89"/>
        <v>DI9-C25</v>
      </c>
      <c r="HF47" t="str">
        <f t="shared" si="89"/>
        <v>DI9-B25</v>
      </c>
      <c r="HG47" t="str">
        <f t="shared" si="71"/>
        <v>DI9-C26</v>
      </c>
      <c r="HH47" t="str">
        <f t="shared" si="71"/>
        <v>DI9-B26</v>
      </c>
      <c r="HI47" t="str">
        <f t="shared" si="71"/>
        <v>DI9-C27</v>
      </c>
      <c r="HJ47" t="str">
        <f t="shared" si="71"/>
        <v>DI9-B27</v>
      </c>
      <c r="HK47" t="str">
        <f t="shared" si="71"/>
        <v>DI9-C28</v>
      </c>
      <c r="HL47" t="str">
        <f t="shared" si="71"/>
        <v>DI9-B28</v>
      </c>
      <c r="HM47" t="str">
        <f t="shared" si="71"/>
        <v>DI9-C29</v>
      </c>
      <c r="HN47" t="str">
        <f t="shared" si="71"/>
        <v>DI9-B29</v>
      </c>
      <c r="HO47" t="str">
        <f t="shared" si="71"/>
        <v>DI9-C30</v>
      </c>
      <c r="HP47" t="str">
        <f t="shared" si="71"/>
        <v>DI9-B30</v>
      </c>
      <c r="HQ47" t="str">
        <f t="shared" si="90"/>
        <v>DO6-9B</v>
      </c>
      <c r="HR47" t="str">
        <f t="shared" si="90"/>
        <v>DO6-9A</v>
      </c>
      <c r="HS47" t="str">
        <f t="shared" si="91"/>
        <v>DO6-10B</v>
      </c>
      <c r="HT47" t="str">
        <f t="shared" si="91"/>
        <v>DO6-10A</v>
      </c>
      <c r="HU47" t="str">
        <f t="shared" si="92"/>
        <v>K46-01</v>
      </c>
      <c r="HV47" t="str">
        <f t="shared" si="93"/>
        <v>K46-02</v>
      </c>
      <c r="HW47" t="str">
        <f t="shared" si="94"/>
        <v>K46-03</v>
      </c>
      <c r="HX47" t="str">
        <f t="shared" si="95"/>
        <v>K46-04</v>
      </c>
      <c r="HY47" t="str">
        <f t="shared" si="96"/>
        <v>K46-05</v>
      </c>
      <c r="HZ47" t="str">
        <f t="shared" si="97"/>
        <v>K46-06</v>
      </c>
      <c r="IA47" t="str">
        <f t="shared" si="98"/>
        <v>K46-07</v>
      </c>
      <c r="IB47" t="str">
        <f t="shared" si="99"/>
        <v>K46-08</v>
      </c>
      <c r="IC47" t="str">
        <f t="shared" si="100"/>
        <v>F0-M46-AMS-12</v>
      </c>
      <c r="ID47" t="str">
        <f t="shared" si="101"/>
        <v>F0-M46-AMS-10</v>
      </c>
      <c r="IE47" t="str">
        <f t="shared" si="102"/>
        <v>F0-M46-AMS-11</v>
      </c>
      <c r="IF47" t="str">
        <f t="shared" si="103"/>
        <v>F0-M46-AMS-13</v>
      </c>
      <c r="IG47" t="str">
        <f t="shared" si="104"/>
        <v>F0-M46-AMS-9</v>
      </c>
      <c r="IH47" t="str">
        <f t="shared" si="105"/>
        <v>F0-M46-AMS-7</v>
      </c>
      <c r="II47" t="str">
        <f t="shared" si="106"/>
        <v>F0-M46-AMS-18</v>
      </c>
      <c r="IJ47" t="str">
        <f t="shared" si="107"/>
        <v>F0-M46-AMS-20</v>
      </c>
      <c r="IK47" t="str">
        <f t="shared" si="108"/>
        <v>F0-M46-AMS-17</v>
      </c>
      <c r="IL47" t="str">
        <f t="shared" si="109"/>
        <v>F0-+24-M46</v>
      </c>
      <c r="IM47" t="str">
        <f t="shared" si="110"/>
        <v>F0-M46-XM01</v>
      </c>
      <c r="IN47" t="str">
        <f t="shared" si="74"/>
        <v>A1</v>
      </c>
      <c r="IO47" t="str">
        <f t="shared" si="74"/>
        <v>A2</v>
      </c>
      <c r="IP47">
        <f t="shared" si="74"/>
        <v>11</v>
      </c>
      <c r="IQ47">
        <f t="shared" si="74"/>
        <v>14</v>
      </c>
      <c r="IR47" t="str">
        <f t="shared" si="74"/>
        <v>24v6</v>
      </c>
      <c r="IS47" t="str">
        <f t="shared" si="74"/>
        <v>0v6</v>
      </c>
      <c r="IT47">
        <f t="shared" si="74"/>
        <v>1</v>
      </c>
      <c r="IU47">
        <f t="shared" si="74"/>
        <v>2</v>
      </c>
      <c r="IV47">
        <f t="shared" si="74"/>
        <v>3</v>
      </c>
      <c r="IW47">
        <f t="shared" si="74"/>
        <v>4</v>
      </c>
      <c r="IX47">
        <f t="shared" si="74"/>
        <v>5</v>
      </c>
      <c r="IY47">
        <f t="shared" si="74"/>
        <v>6</v>
      </c>
      <c r="IZ47">
        <f t="shared" si="74"/>
        <v>7</v>
      </c>
      <c r="JA47">
        <f t="shared" si="74"/>
        <v>8</v>
      </c>
      <c r="JB47">
        <f t="shared" si="74"/>
        <v>9</v>
      </c>
      <c r="JC47">
        <f t="shared" si="74"/>
        <v>10</v>
      </c>
      <c r="JD47">
        <f t="shared" si="74"/>
        <v>11</v>
      </c>
      <c r="JE47">
        <f t="shared" si="74"/>
        <v>12</v>
      </c>
      <c r="JF47">
        <f t="shared" si="74"/>
        <v>13</v>
      </c>
      <c r="JG47">
        <f t="shared" si="74"/>
        <v>14</v>
      </c>
      <c r="JH47">
        <f t="shared" si="74"/>
        <v>17</v>
      </c>
      <c r="JI47">
        <f t="shared" si="74"/>
        <v>15</v>
      </c>
      <c r="JJ47">
        <f t="shared" si="74"/>
        <v>18</v>
      </c>
      <c r="JK47">
        <f t="shared" si="74"/>
        <v>11</v>
      </c>
      <c r="JL47">
        <f t="shared" si="74"/>
        <v>9</v>
      </c>
      <c r="JM47">
        <f t="shared" si="74"/>
        <v>6</v>
      </c>
      <c r="JN47">
        <f t="shared" si="74"/>
        <v>20</v>
      </c>
      <c r="JO47">
        <f t="shared" si="74"/>
        <v>7</v>
      </c>
      <c r="JP47">
        <f t="shared" si="74"/>
        <v>10</v>
      </c>
      <c r="JQ47">
        <f t="shared" si="74"/>
        <v>22</v>
      </c>
      <c r="JR47">
        <f t="shared" si="74"/>
        <v>23</v>
      </c>
      <c r="JS47">
        <f t="shared" si="74"/>
        <v>26</v>
      </c>
      <c r="JT47">
        <f t="shared" si="74"/>
        <v>27</v>
      </c>
      <c r="JU47" s="16">
        <f t="shared" si="74"/>
        <v>30</v>
      </c>
    </row>
    <row r="48" spans="1:281" x14ac:dyDescent="0.25">
      <c r="A48" t="s">
        <v>465</v>
      </c>
      <c r="B48" t="s">
        <v>464</v>
      </c>
      <c r="P48" t="s">
        <v>391</v>
      </c>
      <c r="T48" s="14" t="s">
        <v>554</v>
      </c>
      <c r="U48" s="15">
        <f t="shared" si="75"/>
        <v>47</v>
      </c>
      <c r="V48" t="s">
        <v>431</v>
      </c>
      <c r="W48" t="s">
        <v>456</v>
      </c>
      <c r="X48" t="str">
        <f>IF(COUNTIF(X$1:X47,X47)&gt;7,REPLACE(X47,LEN(X47),1,VALUE(RIGHT(X47,1))+1),X47)</f>
        <v>A3.1</v>
      </c>
      <c r="Y48" s="43" cm="1">
        <f t="array" ref="Y48">IF(COUNTIFS($X$2:$X48,$X48)=1,"1",VALUE(SUBSTITUTE(INDEX(Y:Y,_xlfn.XMATCH($X48,$X$1:$X47,0,-1)),"A",""))+INDEX(Z:Z,_xlfn.XMATCH($X48,$X$1:$X47,0,-1))+1)</f>
        <v>6</v>
      </c>
      <c r="Z48" s="43" cm="1">
        <f t="array" ref="Z48">SUM(IF(ISNUMBER(FIND("TmAi",$BA$1:$ZZ$1)),IF(IFERROR(ISODD(SUBSTITUTE($BA48:$ZZ48,"A","")),FALSE),IF(ISODD(SUBSTITUTE($BA48:$ZZ48,"A","")),1,0),0)))</f>
        <v>0</v>
      </c>
      <c r="AA48" t="str">
        <f t="shared" si="72"/>
        <v>11A</v>
      </c>
      <c r="AB48" t="str">
        <f t="shared" si="73"/>
        <v>11B</v>
      </c>
      <c r="AC48" s="15" t="s">
        <v>441</v>
      </c>
      <c r="AD48" t="s">
        <v>133</v>
      </c>
      <c r="AE48" t="s">
        <v>134</v>
      </c>
      <c r="AF48" s="15" t="s">
        <v>388</v>
      </c>
      <c r="AG48" t="s">
        <v>371</v>
      </c>
      <c r="AH48" t="s">
        <v>374</v>
      </c>
      <c r="AI48" t="s">
        <v>448</v>
      </c>
      <c r="AL48" t="s">
        <v>137</v>
      </c>
      <c r="AM48" t="s">
        <v>138</v>
      </c>
      <c r="AO48" t="s">
        <v>396</v>
      </c>
      <c r="AP48" t="s">
        <v>139</v>
      </c>
      <c r="AQ48" t="s">
        <v>140</v>
      </c>
      <c r="AZ48" s="16"/>
      <c r="GP48" s="27" t="str">
        <f t="shared" si="70"/>
        <v>XT47</v>
      </c>
      <c r="GQ48" t="str">
        <f t="shared" si="76"/>
        <v>C2</v>
      </c>
      <c r="GR48" t="str">
        <f t="shared" si="77"/>
        <v>B2</v>
      </c>
      <c r="GS48" t="str">
        <f t="shared" si="78"/>
        <v>C3</v>
      </c>
      <c r="GT48" t="str">
        <f t="shared" si="79"/>
        <v>B3</v>
      </c>
      <c r="GU48" t="str">
        <f t="shared" si="80"/>
        <v>C4</v>
      </c>
      <c r="GV48" t="str">
        <f t="shared" si="81"/>
        <v>B4</v>
      </c>
      <c r="GW48" t="str">
        <f t="shared" si="82"/>
        <v>C5</v>
      </c>
      <c r="GX48" t="str">
        <f t="shared" si="83"/>
        <v>B5</v>
      </c>
      <c r="GY48" t="str">
        <f t="shared" si="84"/>
        <v>C6</v>
      </c>
      <c r="GZ48" t="str">
        <f t="shared" si="85"/>
        <v>B6</v>
      </c>
      <c r="HA48" t="str">
        <f t="shared" si="86"/>
        <v>12B</v>
      </c>
      <c r="HB48" t="str">
        <f t="shared" si="87"/>
        <v>12A</v>
      </c>
      <c r="HC48" t="str">
        <f t="shared" si="88"/>
        <v>AI1-11A</v>
      </c>
      <c r="HD48" t="str">
        <f t="shared" si="88"/>
        <v>AI1-11B</v>
      </c>
      <c r="HE48" t="str">
        <f t="shared" si="89"/>
        <v>DI10-C1</v>
      </c>
      <c r="HF48" t="str">
        <f t="shared" si="89"/>
        <v>DI10-B1</v>
      </c>
      <c r="HG48" t="str">
        <f t="shared" si="71"/>
        <v>DI10-C2</v>
      </c>
      <c r="HH48" t="str">
        <f t="shared" si="71"/>
        <v>DI10-B2</v>
      </c>
      <c r="HI48" t="str">
        <f t="shared" si="71"/>
        <v>DI10-C3</v>
      </c>
      <c r="HJ48" t="str">
        <f t="shared" si="71"/>
        <v>DI10-B3</v>
      </c>
      <c r="HK48" t="str">
        <f t="shared" si="71"/>
        <v>DI10-C4</v>
      </c>
      <c r="HL48" t="str">
        <f t="shared" si="71"/>
        <v>DI10-B4</v>
      </c>
      <c r="HM48" t="str">
        <f t="shared" si="71"/>
        <v>DI10-C5</v>
      </c>
      <c r="HN48" t="str">
        <f t="shared" si="71"/>
        <v>DI10-B5</v>
      </c>
      <c r="HO48" t="str">
        <f t="shared" si="71"/>
        <v>DI10-C6</v>
      </c>
      <c r="HP48" t="str">
        <f t="shared" si="71"/>
        <v>DI10-B6</v>
      </c>
      <c r="HQ48" t="str">
        <f t="shared" si="90"/>
        <v>DO6-11B</v>
      </c>
      <c r="HR48" t="str">
        <f t="shared" si="90"/>
        <v>DO6-11A</v>
      </c>
      <c r="HS48" t="str">
        <f t="shared" si="91"/>
        <v>DO6-12B</v>
      </c>
      <c r="HT48" t="str">
        <f t="shared" si="91"/>
        <v>DO6-12A</v>
      </c>
      <c r="HU48" t="str">
        <f t="shared" si="92"/>
        <v>K47-01</v>
      </c>
      <c r="HV48" t="str">
        <f t="shared" si="93"/>
        <v>K47-02</v>
      </c>
      <c r="HW48" t="str">
        <f t="shared" si="94"/>
        <v>K47-03</v>
      </c>
      <c r="HX48" t="str">
        <f t="shared" si="95"/>
        <v>K47-04</v>
      </c>
      <c r="HY48" t="str">
        <f t="shared" si="96"/>
        <v>K47-05</v>
      </c>
      <c r="HZ48" t="str">
        <f t="shared" si="97"/>
        <v>K47-06</v>
      </c>
      <c r="IA48" t="str">
        <f t="shared" si="98"/>
        <v>K47-07</v>
      </c>
      <c r="IB48" t="str">
        <f t="shared" si="99"/>
        <v>K47-08</v>
      </c>
      <c r="IC48" t="str">
        <f t="shared" si="100"/>
        <v>F0-M47-AMS-12</v>
      </c>
      <c r="ID48" t="str">
        <f t="shared" si="101"/>
        <v>F0-M47-AMS-10</v>
      </c>
      <c r="IE48" t="str">
        <f t="shared" si="102"/>
        <v>F0-M47-AMS-11</v>
      </c>
      <c r="IF48" t="str">
        <f t="shared" si="103"/>
        <v>F0-M47-AMS-13</v>
      </c>
      <c r="IG48" t="str">
        <f t="shared" si="104"/>
        <v>F0-M47-AMS-9</v>
      </c>
      <c r="IH48" t="str">
        <f t="shared" si="105"/>
        <v>F0-M47-AMS-7</v>
      </c>
      <c r="II48" t="str">
        <f t="shared" si="106"/>
        <v>F0-M47-AMS-18</v>
      </c>
      <c r="IJ48" t="str">
        <f t="shared" si="107"/>
        <v>F0-M47-AMS-20</v>
      </c>
      <c r="IK48" t="str">
        <f t="shared" si="108"/>
        <v>F0-M47-AMS-17</v>
      </c>
      <c r="IL48" t="str">
        <f t="shared" si="109"/>
        <v>F0-+24-M47</v>
      </c>
      <c r="IM48" t="str">
        <f t="shared" si="110"/>
        <v>F0-M47-XM01</v>
      </c>
      <c r="IN48" t="str">
        <f t="shared" si="74"/>
        <v>A1</v>
      </c>
      <c r="IO48" t="str">
        <f t="shared" si="74"/>
        <v>A2</v>
      </c>
      <c r="IP48">
        <f t="shared" si="74"/>
        <v>11</v>
      </c>
      <c r="IQ48">
        <f t="shared" si="74"/>
        <v>14</v>
      </c>
      <c r="IR48" t="str">
        <f t="shared" si="74"/>
        <v>24v6</v>
      </c>
      <c r="IS48" t="str">
        <f t="shared" si="74"/>
        <v>0v6</v>
      </c>
      <c r="IT48">
        <f t="shared" si="74"/>
        <v>1</v>
      </c>
      <c r="IU48">
        <f t="shared" si="74"/>
        <v>2</v>
      </c>
      <c r="IV48">
        <f t="shared" si="74"/>
        <v>3</v>
      </c>
      <c r="IW48">
        <f t="shared" si="74"/>
        <v>4</v>
      </c>
      <c r="IX48">
        <f t="shared" si="74"/>
        <v>5</v>
      </c>
      <c r="IY48">
        <f t="shared" si="74"/>
        <v>6</v>
      </c>
      <c r="IZ48">
        <f t="shared" si="74"/>
        <v>7</v>
      </c>
      <c r="JA48">
        <f t="shared" si="74"/>
        <v>8</v>
      </c>
      <c r="JB48">
        <f t="shared" si="74"/>
        <v>9</v>
      </c>
      <c r="JC48">
        <f t="shared" si="74"/>
        <v>10</v>
      </c>
      <c r="JD48">
        <f t="shared" si="74"/>
        <v>11</v>
      </c>
      <c r="JE48">
        <f t="shared" si="74"/>
        <v>12</v>
      </c>
      <c r="JF48">
        <f t="shared" si="74"/>
        <v>13</v>
      </c>
      <c r="JG48">
        <f t="shared" si="74"/>
        <v>14</v>
      </c>
      <c r="JH48">
        <f t="shared" si="74"/>
        <v>17</v>
      </c>
      <c r="JI48">
        <f t="shared" si="74"/>
        <v>15</v>
      </c>
      <c r="JJ48">
        <f t="shared" si="74"/>
        <v>18</v>
      </c>
      <c r="JK48">
        <f t="shared" si="74"/>
        <v>11</v>
      </c>
      <c r="JL48">
        <f t="shared" si="74"/>
        <v>9</v>
      </c>
      <c r="JM48">
        <f t="shared" si="74"/>
        <v>6</v>
      </c>
      <c r="JN48">
        <f t="shared" si="74"/>
        <v>20</v>
      </c>
      <c r="JO48">
        <f t="shared" si="74"/>
        <v>7</v>
      </c>
      <c r="JP48">
        <f t="shared" si="74"/>
        <v>10</v>
      </c>
      <c r="JQ48">
        <f t="shared" si="74"/>
        <v>22</v>
      </c>
      <c r="JR48">
        <f t="shared" si="74"/>
        <v>23</v>
      </c>
      <c r="JS48">
        <f t="shared" si="74"/>
        <v>26</v>
      </c>
      <c r="JT48">
        <f t="shared" si="74"/>
        <v>27</v>
      </c>
      <c r="JU48" s="16">
        <f t="shared" si="74"/>
        <v>30</v>
      </c>
    </row>
    <row r="49" spans="1:301" x14ac:dyDescent="0.25">
      <c r="A49" t="s">
        <v>467</v>
      </c>
      <c r="B49" t="s">
        <v>466</v>
      </c>
      <c r="P49" t="s">
        <v>391</v>
      </c>
      <c r="T49" s="14" t="s">
        <v>554</v>
      </c>
      <c r="U49" s="15">
        <f t="shared" si="75"/>
        <v>48</v>
      </c>
      <c r="V49" t="s">
        <v>457</v>
      </c>
      <c r="W49" t="s">
        <v>432</v>
      </c>
      <c r="X49" t="str">
        <f>IF(COUNTIF(X$1:X48,X48)&gt;7,REPLACE(X48,LEN(X48),1,VALUE(RIGHT(X48,1))+1),X48)</f>
        <v>A3.1</v>
      </c>
      <c r="Y49" s="43" cm="1">
        <f t="array" ref="Y49">IF(COUNTIFS($X$2:$X49,$X49)=1,"1",VALUE(SUBSTITUTE(INDEX(Y:Y,_xlfn.XMATCH($X49,$X$1:$X48,0,-1)),"A",""))+INDEX(Z:Z,_xlfn.XMATCH($X49,$X$1:$X48,0,-1))+1)</f>
        <v>7</v>
      </c>
      <c r="Z49" s="43" cm="1">
        <f t="array" ref="Z49">SUM(IF(ISNUMBER(FIND("TmAi",$BA$1:$ZZ$1)),IF(IFERROR(ISODD(SUBSTITUTE($BA49:$ZZ49,"A","")),FALSE),IF(ISODD(SUBSTITUTE($BA49:$ZZ49,"A","")),1,0),0)))</f>
        <v>0</v>
      </c>
      <c r="AA49" t="str">
        <f t="shared" si="72"/>
        <v>13A</v>
      </c>
      <c r="AB49" t="str">
        <f t="shared" si="73"/>
        <v>13B</v>
      </c>
      <c r="AC49" s="15" t="s">
        <v>441</v>
      </c>
      <c r="AD49" t="s">
        <v>148</v>
      </c>
      <c r="AE49" t="s">
        <v>149</v>
      </c>
      <c r="AF49" s="15" t="s">
        <v>388</v>
      </c>
      <c r="AG49" s="15" t="s">
        <v>248</v>
      </c>
      <c r="AH49" s="15" t="s">
        <v>255</v>
      </c>
      <c r="AI49" s="15" t="s">
        <v>449</v>
      </c>
      <c r="AL49" t="s">
        <v>137</v>
      </c>
      <c r="AM49" t="s">
        <v>138</v>
      </c>
      <c r="AO49" t="s">
        <v>396</v>
      </c>
      <c r="AP49" t="s">
        <v>139</v>
      </c>
      <c r="AQ49" t="s">
        <v>140</v>
      </c>
      <c r="AZ49" s="16"/>
      <c r="GP49" s="27" t="str">
        <f t="shared" si="70"/>
        <v>XT48</v>
      </c>
      <c r="GQ49" t="str">
        <f t="shared" si="76"/>
        <v>C8</v>
      </c>
      <c r="GR49" t="str">
        <f t="shared" si="77"/>
        <v>B8</v>
      </c>
      <c r="GS49" t="str">
        <f t="shared" si="78"/>
        <v>C9</v>
      </c>
      <c r="GT49" t="str">
        <f t="shared" si="79"/>
        <v>B9</v>
      </c>
      <c r="GU49" t="str">
        <f t="shared" si="80"/>
        <v>C10</v>
      </c>
      <c r="GV49" t="str">
        <f t="shared" si="81"/>
        <v>B10</v>
      </c>
      <c r="GW49" t="str">
        <f t="shared" si="82"/>
        <v>C11</v>
      </c>
      <c r="GX49" t="str">
        <f t="shared" si="83"/>
        <v>B11</v>
      </c>
      <c r="GY49" t="str">
        <f t="shared" si="84"/>
        <v>C12</v>
      </c>
      <c r="GZ49" t="str">
        <f t="shared" si="85"/>
        <v>B12</v>
      </c>
      <c r="HA49" t="str">
        <f t="shared" si="86"/>
        <v>14B</v>
      </c>
      <c r="HB49" t="str">
        <f t="shared" si="87"/>
        <v>14A</v>
      </c>
      <c r="HC49" t="str">
        <f t="shared" si="88"/>
        <v>AI1-13A</v>
      </c>
      <c r="HD49" t="str">
        <f t="shared" si="88"/>
        <v>AI1-13B</v>
      </c>
      <c r="HE49" t="str">
        <f t="shared" si="89"/>
        <v>DI10-C7</v>
      </c>
      <c r="HF49" t="str">
        <f t="shared" si="89"/>
        <v>DI10-B7</v>
      </c>
      <c r="HG49" t="str">
        <f t="shared" si="71"/>
        <v>DI10-C8</v>
      </c>
      <c r="HH49" t="str">
        <f t="shared" si="71"/>
        <v>DI10-B8</v>
      </c>
      <c r="HI49" t="str">
        <f t="shared" si="71"/>
        <v>DI10-C9</v>
      </c>
      <c r="HJ49" t="str">
        <f t="shared" si="71"/>
        <v>DI10-B9</v>
      </c>
      <c r="HK49" t="str">
        <f t="shared" si="71"/>
        <v>DI10-C10</v>
      </c>
      <c r="HL49" t="str">
        <f t="shared" si="71"/>
        <v>DI10-B10</v>
      </c>
      <c r="HM49" t="str">
        <f t="shared" si="71"/>
        <v>DI10-C11</v>
      </c>
      <c r="HN49" t="str">
        <f t="shared" si="71"/>
        <v>DI10-B11</v>
      </c>
      <c r="HO49" t="str">
        <f t="shared" si="71"/>
        <v>DI10-C12</v>
      </c>
      <c r="HP49" t="str">
        <f t="shared" si="71"/>
        <v>DI10-B12</v>
      </c>
      <c r="HQ49" t="str">
        <f t="shared" si="90"/>
        <v>DO6-13B</v>
      </c>
      <c r="HR49" t="str">
        <f t="shared" si="90"/>
        <v>DO6-13A</v>
      </c>
      <c r="HS49" t="str">
        <f t="shared" si="91"/>
        <v>DO6-14B</v>
      </c>
      <c r="HT49" t="str">
        <f t="shared" si="91"/>
        <v>DO6-14A</v>
      </c>
      <c r="HU49" t="str">
        <f t="shared" si="92"/>
        <v>K48-01</v>
      </c>
      <c r="HV49" t="str">
        <f t="shared" si="93"/>
        <v>K48-02</v>
      </c>
      <c r="HW49" t="str">
        <f t="shared" si="94"/>
        <v>K48-03</v>
      </c>
      <c r="HX49" t="str">
        <f t="shared" si="95"/>
        <v>K48-04</v>
      </c>
      <c r="HY49" t="str">
        <f t="shared" si="96"/>
        <v>K48-05</v>
      </c>
      <c r="HZ49" t="str">
        <f t="shared" si="97"/>
        <v>K48-06</v>
      </c>
      <c r="IA49" t="str">
        <f t="shared" si="98"/>
        <v>K48-07</v>
      </c>
      <c r="IB49" t="str">
        <f t="shared" si="99"/>
        <v>K48-08</v>
      </c>
      <c r="IC49" t="str">
        <f t="shared" si="100"/>
        <v>F0-M48-AMS-12</v>
      </c>
      <c r="ID49" t="str">
        <f t="shared" si="101"/>
        <v>F0-M48-AMS-10</v>
      </c>
      <c r="IE49" t="str">
        <f t="shared" si="102"/>
        <v>F0-M48-AMS-11</v>
      </c>
      <c r="IF49" t="str">
        <f t="shared" si="103"/>
        <v>F0-M48-AMS-13</v>
      </c>
      <c r="IG49" t="str">
        <f t="shared" si="104"/>
        <v>F0-M48-AMS-9</v>
      </c>
      <c r="IH49" t="str">
        <f t="shared" si="105"/>
        <v>F0-M48-AMS-7</v>
      </c>
      <c r="II49" t="str">
        <f t="shared" si="106"/>
        <v>F0-M48-AMS-18</v>
      </c>
      <c r="IJ49" t="str">
        <f t="shared" si="107"/>
        <v>F0-M48-AMS-20</v>
      </c>
      <c r="IK49" t="str">
        <f t="shared" si="108"/>
        <v>F0-M48-AMS-17</v>
      </c>
      <c r="IL49" t="str">
        <f t="shared" si="109"/>
        <v>F0-+24-M48</v>
      </c>
      <c r="IM49" t="str">
        <f t="shared" si="110"/>
        <v>F0-M48-XM01</v>
      </c>
      <c r="IN49" t="str">
        <f t="shared" si="74"/>
        <v>A1</v>
      </c>
      <c r="IO49" t="str">
        <f t="shared" si="74"/>
        <v>A2</v>
      </c>
      <c r="IP49">
        <f t="shared" si="74"/>
        <v>11</v>
      </c>
      <c r="IQ49">
        <f t="shared" si="74"/>
        <v>14</v>
      </c>
      <c r="IR49" t="str">
        <f t="shared" si="74"/>
        <v>24v6</v>
      </c>
      <c r="IS49" t="str">
        <f t="shared" si="74"/>
        <v>0v6</v>
      </c>
      <c r="IT49">
        <f t="shared" si="74"/>
        <v>1</v>
      </c>
      <c r="IU49">
        <f t="shared" si="74"/>
        <v>2</v>
      </c>
      <c r="IV49">
        <f t="shared" si="74"/>
        <v>3</v>
      </c>
      <c r="IW49">
        <f t="shared" si="74"/>
        <v>4</v>
      </c>
      <c r="IX49">
        <f t="shared" si="74"/>
        <v>5</v>
      </c>
      <c r="IY49">
        <f t="shared" si="74"/>
        <v>6</v>
      </c>
      <c r="IZ49">
        <f t="shared" si="74"/>
        <v>7</v>
      </c>
      <c r="JA49">
        <f t="shared" si="74"/>
        <v>8</v>
      </c>
      <c r="JB49">
        <f t="shared" si="74"/>
        <v>9</v>
      </c>
      <c r="JC49">
        <f t="shared" si="74"/>
        <v>10</v>
      </c>
      <c r="JD49">
        <f t="shared" si="74"/>
        <v>11</v>
      </c>
      <c r="JE49">
        <f t="shared" si="74"/>
        <v>12</v>
      </c>
      <c r="JF49">
        <f t="shared" si="74"/>
        <v>13</v>
      </c>
      <c r="JG49">
        <f t="shared" si="74"/>
        <v>14</v>
      </c>
      <c r="JH49">
        <f t="shared" si="74"/>
        <v>17</v>
      </c>
      <c r="JI49">
        <f t="shared" si="74"/>
        <v>15</v>
      </c>
      <c r="JJ49">
        <f t="shared" si="74"/>
        <v>18</v>
      </c>
      <c r="JK49">
        <f t="shared" si="74"/>
        <v>11</v>
      </c>
      <c r="JL49">
        <f t="shared" si="74"/>
        <v>9</v>
      </c>
      <c r="JM49">
        <f t="shared" si="74"/>
        <v>6</v>
      </c>
      <c r="JN49">
        <f t="shared" si="74"/>
        <v>20</v>
      </c>
      <c r="JO49">
        <f t="shared" si="74"/>
        <v>7</v>
      </c>
      <c r="JP49">
        <f t="shared" si="74"/>
        <v>10</v>
      </c>
      <c r="JQ49">
        <f t="shared" si="74"/>
        <v>22</v>
      </c>
      <c r="JR49">
        <f t="shared" si="74"/>
        <v>23</v>
      </c>
      <c r="JS49">
        <f t="shared" si="74"/>
        <v>26</v>
      </c>
      <c r="JT49">
        <f t="shared" si="74"/>
        <v>27</v>
      </c>
      <c r="JU49" s="16">
        <f t="shared" si="74"/>
        <v>30</v>
      </c>
    </row>
    <row r="50" spans="1:301" x14ac:dyDescent="0.25">
      <c r="A50" t="s">
        <v>469</v>
      </c>
      <c r="B50" t="s">
        <v>468</v>
      </c>
      <c r="P50" t="s">
        <v>391</v>
      </c>
      <c r="T50" s="14" t="s">
        <v>554</v>
      </c>
      <c r="U50" s="15">
        <f t="shared" si="75"/>
        <v>49</v>
      </c>
      <c r="V50" t="s">
        <v>433</v>
      </c>
      <c r="W50" t="s">
        <v>434</v>
      </c>
      <c r="X50" s="33" t="str">
        <f>IF(COUNTIF(X$1:X49,X49)&gt;7,REPLACE(X49,LEN(X49),1,VALUE(RIGHT(X49,1))+1),X49)</f>
        <v>A3.1</v>
      </c>
      <c r="Y50" s="45" cm="1">
        <f t="array" ref="Y50">IF(COUNTIFS($X$2:$X50,$X50)=1,"1",VALUE(SUBSTITUTE(INDEX(Y:Y,_xlfn.XMATCH($X50,$X$1:$X49,0,-1)),"A",""))+INDEX(Z:Z,_xlfn.XMATCH($X50,$X$1:$X49,0,-1))+1)</f>
        <v>8</v>
      </c>
      <c r="Z50" s="43" cm="1">
        <f t="array" ref="Z50">SUM(IF(ISNUMBER(FIND("TmAi",$BA$1:$ZZ$1)),IF(IFERROR(ISODD(SUBSTITUTE($BA50:$ZZ50,"A","")),FALSE),IF(ISODD(SUBSTITUTE($BA50:$ZZ50,"A","")),1,0),0)))</f>
        <v>0</v>
      </c>
      <c r="AA50" t="str">
        <f t="shared" si="72"/>
        <v>15A</v>
      </c>
      <c r="AB50" t="str">
        <f t="shared" si="73"/>
        <v>15B</v>
      </c>
      <c r="AC50" s="15" t="s">
        <v>441</v>
      </c>
      <c r="AD50" t="s">
        <v>153</v>
      </c>
      <c r="AE50" t="s">
        <v>154</v>
      </c>
      <c r="AF50" s="15" t="s">
        <v>388</v>
      </c>
      <c r="AG50" t="s">
        <v>372</v>
      </c>
      <c r="AH50" t="s">
        <v>375</v>
      </c>
      <c r="AI50" t="s">
        <v>450</v>
      </c>
      <c r="AL50" t="s">
        <v>137</v>
      </c>
      <c r="AM50" t="s">
        <v>138</v>
      </c>
      <c r="AO50" t="s">
        <v>396</v>
      </c>
      <c r="AP50" t="s">
        <v>139</v>
      </c>
      <c r="AQ50" t="s">
        <v>140</v>
      </c>
      <c r="AZ50" s="16"/>
      <c r="GP50" s="27" t="str">
        <f t="shared" si="70"/>
        <v>XT49</v>
      </c>
      <c r="GQ50" t="str">
        <f t="shared" si="76"/>
        <v>C14</v>
      </c>
      <c r="GR50" t="str">
        <f t="shared" si="77"/>
        <v>B14</v>
      </c>
      <c r="GS50" t="str">
        <f t="shared" si="78"/>
        <v>C15</v>
      </c>
      <c r="GT50" t="str">
        <f t="shared" si="79"/>
        <v>B15</v>
      </c>
      <c r="GU50" t="str">
        <f t="shared" si="80"/>
        <v>C16</v>
      </c>
      <c r="GV50" t="str">
        <f t="shared" si="81"/>
        <v>B16</v>
      </c>
      <c r="GW50" t="str">
        <f t="shared" si="82"/>
        <v>C17</v>
      </c>
      <c r="GX50" t="str">
        <f t="shared" si="83"/>
        <v>B17</v>
      </c>
      <c r="GY50" t="str">
        <f t="shared" si="84"/>
        <v>C18</v>
      </c>
      <c r="GZ50" t="str">
        <f t="shared" si="85"/>
        <v>B18</v>
      </c>
      <c r="HA50" t="str">
        <f t="shared" si="86"/>
        <v>16B</v>
      </c>
      <c r="HB50" t="str">
        <f t="shared" si="87"/>
        <v>16A</v>
      </c>
      <c r="HC50" t="str">
        <f t="shared" si="88"/>
        <v>AI1-15A</v>
      </c>
      <c r="HD50" t="str">
        <f t="shared" si="88"/>
        <v>AI1-15B</v>
      </c>
      <c r="HE50" t="str">
        <f t="shared" si="89"/>
        <v>DI10-C13</v>
      </c>
      <c r="HF50" t="str">
        <f t="shared" si="89"/>
        <v>DI10-B13</v>
      </c>
      <c r="HG50" t="str">
        <f t="shared" si="71"/>
        <v>DI10-C14</v>
      </c>
      <c r="HH50" t="str">
        <f t="shared" si="71"/>
        <v>DI10-B14</v>
      </c>
      <c r="HI50" t="str">
        <f t="shared" si="71"/>
        <v>DI10-C15</v>
      </c>
      <c r="HJ50" t="str">
        <f t="shared" si="71"/>
        <v>DI10-B15</v>
      </c>
      <c r="HK50" t="str">
        <f t="shared" si="71"/>
        <v>DI10-C16</v>
      </c>
      <c r="HL50" t="str">
        <f t="shared" si="71"/>
        <v>DI10-B16</v>
      </c>
      <c r="HM50" t="str">
        <f t="shared" si="71"/>
        <v>DI10-C17</v>
      </c>
      <c r="HN50" t="str">
        <f t="shared" si="71"/>
        <v>DI10-B17</v>
      </c>
      <c r="HO50" t="str">
        <f t="shared" si="71"/>
        <v>DI10-C18</v>
      </c>
      <c r="HP50" t="str">
        <f t="shared" si="71"/>
        <v>DI10-B18</v>
      </c>
      <c r="HQ50" t="str">
        <f t="shared" si="90"/>
        <v>DO6-15B</v>
      </c>
      <c r="HR50" t="str">
        <f t="shared" si="90"/>
        <v>DO6-15A</v>
      </c>
      <c r="HS50" t="str">
        <f t="shared" si="91"/>
        <v>DO6-16B</v>
      </c>
      <c r="HT50" t="str">
        <f t="shared" si="91"/>
        <v>DO6-16A</v>
      </c>
      <c r="HU50" t="str">
        <f t="shared" si="92"/>
        <v>K49-01</v>
      </c>
      <c r="HV50" t="str">
        <f t="shared" si="93"/>
        <v>K49-02</v>
      </c>
      <c r="HW50" t="str">
        <f t="shared" si="94"/>
        <v>K49-03</v>
      </c>
      <c r="HX50" t="str">
        <f t="shared" si="95"/>
        <v>K49-04</v>
      </c>
      <c r="HY50" t="str">
        <f t="shared" si="96"/>
        <v>K49-05</v>
      </c>
      <c r="HZ50" t="str">
        <f t="shared" si="97"/>
        <v>K49-06</v>
      </c>
      <c r="IA50" t="str">
        <f t="shared" si="98"/>
        <v>K49-07</v>
      </c>
      <c r="IB50" t="str">
        <f t="shared" si="99"/>
        <v>K49-08</v>
      </c>
      <c r="IC50" t="str">
        <f t="shared" si="100"/>
        <v>F0-M49-AMS-12</v>
      </c>
      <c r="ID50" t="str">
        <f t="shared" si="101"/>
        <v>F0-M49-AMS-10</v>
      </c>
      <c r="IE50" t="str">
        <f t="shared" si="102"/>
        <v>F0-M49-AMS-11</v>
      </c>
      <c r="IF50" t="str">
        <f t="shared" si="103"/>
        <v>F0-M49-AMS-13</v>
      </c>
      <c r="IG50" t="str">
        <f t="shared" si="104"/>
        <v>F0-M49-AMS-9</v>
      </c>
      <c r="IH50" t="str">
        <f t="shared" si="105"/>
        <v>F0-M49-AMS-7</v>
      </c>
      <c r="II50" t="str">
        <f t="shared" si="106"/>
        <v>F0-M49-AMS-18</v>
      </c>
      <c r="IJ50" t="str">
        <f t="shared" si="107"/>
        <v>F0-M49-AMS-20</v>
      </c>
      <c r="IK50" t="str">
        <f t="shared" si="108"/>
        <v>F0-M49-AMS-17</v>
      </c>
      <c r="IL50" t="str">
        <f t="shared" si="109"/>
        <v>F0-+24-M49</v>
      </c>
      <c r="IM50" t="str">
        <f t="shared" si="110"/>
        <v>F0-M49-XM01</v>
      </c>
      <c r="IN50" t="str">
        <f t="shared" si="74"/>
        <v>A1</v>
      </c>
      <c r="IO50" t="str">
        <f t="shared" si="74"/>
        <v>A2</v>
      </c>
      <c r="IP50">
        <f t="shared" si="74"/>
        <v>11</v>
      </c>
      <c r="IQ50">
        <f t="shared" si="74"/>
        <v>14</v>
      </c>
      <c r="IR50" t="str">
        <f t="shared" si="74"/>
        <v>24v6</v>
      </c>
      <c r="IS50" t="str">
        <f t="shared" si="74"/>
        <v>0v6</v>
      </c>
      <c r="IT50">
        <f t="shared" si="74"/>
        <v>1</v>
      </c>
      <c r="IU50">
        <f t="shared" si="74"/>
        <v>2</v>
      </c>
      <c r="IV50">
        <f t="shared" si="74"/>
        <v>3</v>
      </c>
      <c r="IW50">
        <f t="shared" si="74"/>
        <v>4</v>
      </c>
      <c r="IX50">
        <f t="shared" si="74"/>
        <v>5</v>
      </c>
      <c r="IY50">
        <f t="shared" si="74"/>
        <v>6</v>
      </c>
      <c r="IZ50">
        <f t="shared" si="74"/>
        <v>7</v>
      </c>
      <c r="JA50">
        <f t="shared" si="74"/>
        <v>8</v>
      </c>
      <c r="JB50">
        <f t="shared" si="74"/>
        <v>9</v>
      </c>
      <c r="JC50">
        <f t="shared" si="74"/>
        <v>10</v>
      </c>
      <c r="JD50">
        <f t="shared" si="74"/>
        <v>11</v>
      </c>
      <c r="JE50">
        <f t="shared" si="74"/>
        <v>12</v>
      </c>
      <c r="JF50">
        <f t="shared" si="74"/>
        <v>13</v>
      </c>
      <c r="JG50">
        <f t="shared" si="74"/>
        <v>14</v>
      </c>
      <c r="JH50">
        <f t="shared" si="74"/>
        <v>17</v>
      </c>
      <c r="JI50">
        <f t="shared" si="74"/>
        <v>15</v>
      </c>
      <c r="JJ50">
        <f t="shared" si="74"/>
        <v>18</v>
      </c>
      <c r="JK50">
        <f t="shared" si="74"/>
        <v>11</v>
      </c>
      <c r="JL50">
        <f t="shared" si="74"/>
        <v>9</v>
      </c>
      <c r="JM50">
        <f t="shared" si="74"/>
        <v>6</v>
      </c>
      <c r="JN50">
        <f t="shared" si="74"/>
        <v>20</v>
      </c>
      <c r="JO50">
        <f t="shared" si="74"/>
        <v>7</v>
      </c>
      <c r="JP50">
        <f t="shared" si="74"/>
        <v>10</v>
      </c>
      <c r="JQ50">
        <f t="shared" si="74"/>
        <v>22</v>
      </c>
      <c r="JR50">
        <f t="shared" si="74"/>
        <v>23</v>
      </c>
      <c r="JS50">
        <f t="shared" si="74"/>
        <v>26</v>
      </c>
      <c r="JT50">
        <f t="shared" si="74"/>
        <v>27</v>
      </c>
      <c r="JU50" s="16">
        <f t="shared" si="74"/>
        <v>30</v>
      </c>
    </row>
    <row r="51" spans="1:301" x14ac:dyDescent="0.25">
      <c r="A51" t="s">
        <v>471</v>
      </c>
      <c r="B51" s="29" t="s">
        <v>470</v>
      </c>
      <c r="P51" t="s">
        <v>391</v>
      </c>
      <c r="T51" s="14" t="s">
        <v>554</v>
      </c>
      <c r="U51" s="15">
        <f t="shared" si="75"/>
        <v>50</v>
      </c>
      <c r="V51" t="s">
        <v>435</v>
      </c>
      <c r="W51" t="s">
        <v>458</v>
      </c>
      <c r="X51" t="str">
        <f>IF(COUNTIF(X$1:X50,X50)&gt;7,REPLACE(X50,LEN(X50),1,VALUE(RIGHT(X50,1))+1),X50)</f>
        <v>A3.2</v>
      </c>
      <c r="Y51" s="43" t="str" cm="1">
        <f t="array" ref="Y51">IF(COUNTIFS($X$2:$X51,$X51)=1,"1",VALUE(SUBSTITUTE(INDEX(Y:Y,_xlfn.XMATCH($X51,$X$1:$X50,0,-1)),"A",""))+INDEX(Z:Z,_xlfn.XMATCH($X51,$X$1:$X50,0,-1))+1)</f>
        <v>1</v>
      </c>
      <c r="Z51" s="43" cm="1">
        <f t="array" ref="Z51">SUM(IF(ISNUMBER(FIND("TmAi",$BA$1:$ZZ$1)),IF(IFERROR(ISODD(SUBSTITUTE($BA51:$ZZ51,"A","")),FALSE),IF(ISODD(SUBSTITUTE($BA51:$ZZ51,"A","")),1,0),0)))</f>
        <v>0</v>
      </c>
      <c r="AA51" t="str">
        <f t="shared" si="72"/>
        <v>1A</v>
      </c>
      <c r="AB51" t="str">
        <f t="shared" si="73"/>
        <v>1B</v>
      </c>
      <c r="AC51" s="15" t="s">
        <v>441</v>
      </c>
      <c r="AD51" t="s">
        <v>239</v>
      </c>
      <c r="AE51" t="s">
        <v>241</v>
      </c>
      <c r="AF51" s="15" t="s">
        <v>388</v>
      </c>
      <c r="AG51" s="15" t="s">
        <v>373</v>
      </c>
      <c r="AH51" s="15" t="s">
        <v>376</v>
      </c>
      <c r="AI51" s="15" t="s">
        <v>451</v>
      </c>
      <c r="AL51" t="s">
        <v>137</v>
      </c>
      <c r="AM51" t="s">
        <v>138</v>
      </c>
      <c r="AO51" t="s">
        <v>396</v>
      </c>
      <c r="AP51" t="s">
        <v>139</v>
      </c>
      <c r="AQ51" t="s">
        <v>140</v>
      </c>
      <c r="AZ51" s="16"/>
      <c r="GP51" s="27" t="str">
        <f t="shared" si="70"/>
        <v>XT50</v>
      </c>
      <c r="GQ51" t="str">
        <f t="shared" si="76"/>
        <v>C20</v>
      </c>
      <c r="GR51" t="str">
        <f t="shared" si="77"/>
        <v>B20</v>
      </c>
      <c r="GS51" t="str">
        <f t="shared" si="78"/>
        <v>C21</v>
      </c>
      <c r="GT51" t="str">
        <f t="shared" si="79"/>
        <v>B21</v>
      </c>
      <c r="GU51" t="str">
        <f t="shared" si="80"/>
        <v>C22</v>
      </c>
      <c r="GV51" t="str">
        <f t="shared" si="81"/>
        <v>B22</v>
      </c>
      <c r="GW51" t="str">
        <f t="shared" si="82"/>
        <v>C23</v>
      </c>
      <c r="GX51" t="str">
        <f t="shared" si="83"/>
        <v>B23</v>
      </c>
      <c r="GY51" t="str">
        <f t="shared" si="84"/>
        <v>C24</v>
      </c>
      <c r="GZ51" t="str">
        <f t="shared" si="85"/>
        <v>B24</v>
      </c>
      <c r="HA51" t="str">
        <f t="shared" si="86"/>
        <v>18B</v>
      </c>
      <c r="HB51" t="str">
        <f t="shared" si="87"/>
        <v>18A</v>
      </c>
      <c r="HC51" t="str">
        <f t="shared" si="88"/>
        <v>AI2-1A</v>
      </c>
      <c r="HD51" t="str">
        <f t="shared" si="88"/>
        <v>AI2-1B</v>
      </c>
      <c r="HE51" t="str">
        <f t="shared" si="89"/>
        <v>DI10-C19</v>
      </c>
      <c r="HF51" t="str">
        <f t="shared" si="89"/>
        <v>DI10-B19</v>
      </c>
      <c r="HG51" t="str">
        <f t="shared" si="71"/>
        <v>DI10-C20</v>
      </c>
      <c r="HH51" t="str">
        <f t="shared" si="71"/>
        <v>DI10-B20</v>
      </c>
      <c r="HI51" t="str">
        <f t="shared" si="71"/>
        <v>DI10-C21</v>
      </c>
      <c r="HJ51" t="str">
        <f t="shared" si="71"/>
        <v>DI10-B21</v>
      </c>
      <c r="HK51" t="str">
        <f t="shared" si="71"/>
        <v>DI10-C22</v>
      </c>
      <c r="HL51" t="str">
        <f t="shared" si="71"/>
        <v>DI10-B22</v>
      </c>
      <c r="HM51" t="str">
        <f t="shared" si="71"/>
        <v>DI10-C23</v>
      </c>
      <c r="HN51" t="str">
        <f t="shared" si="71"/>
        <v>DI10-B23</v>
      </c>
      <c r="HO51" t="str">
        <f t="shared" si="71"/>
        <v>DI10-C24</v>
      </c>
      <c r="HP51" t="str">
        <f t="shared" si="71"/>
        <v>DI10-B24</v>
      </c>
      <c r="HQ51" t="str">
        <f t="shared" si="90"/>
        <v>DO6-17B</v>
      </c>
      <c r="HR51" t="str">
        <f t="shared" si="90"/>
        <v>DO6-17A</v>
      </c>
      <c r="HS51" t="str">
        <f t="shared" si="91"/>
        <v>DO6-18B</v>
      </c>
      <c r="HT51" t="str">
        <f t="shared" si="91"/>
        <v>DO6-18A</v>
      </c>
      <c r="HU51" t="str">
        <f t="shared" si="92"/>
        <v>K50-01</v>
      </c>
      <c r="HV51" t="str">
        <f t="shared" si="93"/>
        <v>K50-02</v>
      </c>
      <c r="HW51" t="str">
        <f t="shared" si="94"/>
        <v>K50-03</v>
      </c>
      <c r="HX51" t="str">
        <f t="shared" si="95"/>
        <v>K50-04</v>
      </c>
      <c r="HY51" t="str">
        <f t="shared" si="96"/>
        <v>K50-05</v>
      </c>
      <c r="HZ51" t="str">
        <f t="shared" si="97"/>
        <v>K50-06</v>
      </c>
      <c r="IA51" t="str">
        <f t="shared" si="98"/>
        <v>K50-07</v>
      </c>
      <c r="IB51" t="str">
        <f t="shared" si="99"/>
        <v>K50-08</v>
      </c>
      <c r="IC51" t="str">
        <f t="shared" si="100"/>
        <v>F0-M50-AMS-12</v>
      </c>
      <c r="ID51" t="str">
        <f t="shared" si="101"/>
        <v>F0-M50-AMS-10</v>
      </c>
      <c r="IE51" t="str">
        <f t="shared" si="102"/>
        <v>F0-M50-AMS-11</v>
      </c>
      <c r="IF51" t="str">
        <f t="shared" si="103"/>
        <v>F0-M50-AMS-13</v>
      </c>
      <c r="IG51" t="str">
        <f t="shared" si="104"/>
        <v>F0-M50-AMS-9</v>
      </c>
      <c r="IH51" t="str">
        <f t="shared" si="105"/>
        <v>F0-M50-AMS-7</v>
      </c>
      <c r="II51" t="str">
        <f t="shared" si="106"/>
        <v>F0-M50-AMS-18</v>
      </c>
      <c r="IJ51" t="str">
        <f t="shared" si="107"/>
        <v>F0-M50-AMS-20</v>
      </c>
      <c r="IK51" t="str">
        <f t="shared" si="108"/>
        <v>F0-M50-AMS-17</v>
      </c>
      <c r="IL51" t="str">
        <f t="shared" si="109"/>
        <v>F0-+24-M50</v>
      </c>
      <c r="IM51" t="str">
        <f t="shared" si="110"/>
        <v>F0-M50-XM01</v>
      </c>
      <c r="IN51" t="str">
        <f t="shared" si="74"/>
        <v>A1</v>
      </c>
      <c r="IO51" t="str">
        <f t="shared" si="74"/>
        <v>A2</v>
      </c>
      <c r="IP51">
        <f t="shared" si="74"/>
        <v>11</v>
      </c>
      <c r="IQ51">
        <f t="shared" si="74"/>
        <v>14</v>
      </c>
      <c r="IR51" t="str">
        <f t="shared" si="74"/>
        <v>24v6</v>
      </c>
      <c r="IS51" t="str">
        <f t="shared" si="74"/>
        <v>0v6</v>
      </c>
      <c r="IT51">
        <f t="shared" si="74"/>
        <v>1</v>
      </c>
      <c r="IU51">
        <f t="shared" si="74"/>
        <v>2</v>
      </c>
      <c r="IV51">
        <f t="shared" si="74"/>
        <v>3</v>
      </c>
      <c r="IW51">
        <f t="shared" si="74"/>
        <v>4</v>
      </c>
      <c r="IX51">
        <f t="shared" si="74"/>
        <v>5</v>
      </c>
      <c r="IY51">
        <f t="shared" si="74"/>
        <v>6</v>
      </c>
      <c r="IZ51">
        <f t="shared" si="74"/>
        <v>7</v>
      </c>
      <c r="JA51">
        <f t="shared" si="74"/>
        <v>8</v>
      </c>
      <c r="JB51">
        <f t="shared" si="74"/>
        <v>9</v>
      </c>
      <c r="JC51">
        <f t="shared" si="74"/>
        <v>10</v>
      </c>
      <c r="JD51">
        <f t="shared" si="74"/>
        <v>11</v>
      </c>
      <c r="JE51">
        <f t="shared" ref="JE51:JU51" si="111">JE50</f>
        <v>12</v>
      </c>
      <c r="JF51">
        <f t="shared" si="111"/>
        <v>13</v>
      </c>
      <c r="JG51">
        <f t="shared" si="111"/>
        <v>14</v>
      </c>
      <c r="JH51">
        <f t="shared" si="111"/>
        <v>17</v>
      </c>
      <c r="JI51">
        <f t="shared" si="111"/>
        <v>15</v>
      </c>
      <c r="JJ51">
        <f t="shared" si="111"/>
        <v>18</v>
      </c>
      <c r="JK51">
        <f t="shared" si="111"/>
        <v>11</v>
      </c>
      <c r="JL51">
        <f t="shared" si="111"/>
        <v>9</v>
      </c>
      <c r="JM51">
        <f t="shared" si="111"/>
        <v>6</v>
      </c>
      <c r="JN51">
        <f t="shared" si="111"/>
        <v>20</v>
      </c>
      <c r="JO51">
        <f t="shared" si="111"/>
        <v>7</v>
      </c>
      <c r="JP51">
        <f t="shared" si="111"/>
        <v>10</v>
      </c>
      <c r="JQ51">
        <f t="shared" si="111"/>
        <v>22</v>
      </c>
      <c r="JR51">
        <f t="shared" si="111"/>
        <v>23</v>
      </c>
      <c r="JS51">
        <f t="shared" si="111"/>
        <v>26</v>
      </c>
      <c r="JT51">
        <f t="shared" si="111"/>
        <v>27</v>
      </c>
      <c r="JU51" s="16">
        <f t="shared" si="111"/>
        <v>30</v>
      </c>
    </row>
    <row r="52" spans="1:301" x14ac:dyDescent="0.25">
      <c r="A52" t="s">
        <v>473</v>
      </c>
      <c r="B52" t="s">
        <v>472</v>
      </c>
      <c r="P52" t="s">
        <v>391</v>
      </c>
      <c r="T52" s="14" t="s">
        <v>554</v>
      </c>
      <c r="U52" s="15">
        <f t="shared" si="75"/>
        <v>51</v>
      </c>
      <c r="V52" t="s">
        <v>459</v>
      </c>
      <c r="W52" t="s">
        <v>436</v>
      </c>
      <c r="X52" t="str">
        <f>IF(COUNTIF(X$1:X51,X51)&gt;7,REPLACE(X51,LEN(X51),1,VALUE(RIGHT(X51,1))+1),X51)</f>
        <v>A3.2</v>
      </c>
      <c r="Y52" s="43" cm="1">
        <f t="array" ref="Y52">IF(COUNTIFS($X$2:$X52,$X52)=1,"1",VALUE(SUBSTITUTE(INDEX(Y:Y,_xlfn.XMATCH($X52,$X$1:$X51,0,-1)),"A",""))+INDEX(Z:Z,_xlfn.XMATCH($X52,$X$1:$X51,0,-1))+1)</f>
        <v>2</v>
      </c>
      <c r="Z52" s="43" cm="1">
        <f t="array" ref="Z52">SUM(IF(ISNUMBER(FIND("TmAi",$BA$1:$ZZ$1)),IF(IFERROR(ISODD(SUBSTITUTE($BA52:$ZZ52,"A","")),FALSE),IF(ISODD(SUBSTITUTE($BA52:$ZZ52,"A","")),1,0),0)))</f>
        <v>0</v>
      </c>
      <c r="AA52" t="str">
        <f t="shared" si="72"/>
        <v>3A</v>
      </c>
      <c r="AB52" t="str">
        <f t="shared" si="73"/>
        <v>3B</v>
      </c>
      <c r="AC52" s="15" t="s">
        <v>441</v>
      </c>
      <c r="AD52" t="s">
        <v>240</v>
      </c>
      <c r="AE52" t="s">
        <v>242</v>
      </c>
      <c r="AF52" s="15" t="s">
        <v>388</v>
      </c>
      <c r="AG52" t="s">
        <v>250</v>
      </c>
      <c r="AH52" t="s">
        <v>257</v>
      </c>
      <c r="AI52" t="s">
        <v>453</v>
      </c>
      <c r="AL52" t="s">
        <v>137</v>
      </c>
      <c r="AM52" t="s">
        <v>138</v>
      </c>
      <c r="AO52" t="s">
        <v>396</v>
      </c>
      <c r="AP52" t="s">
        <v>139</v>
      </c>
      <c r="AQ52" t="s">
        <v>140</v>
      </c>
      <c r="AZ52" s="16"/>
      <c r="GP52" s="27" t="str">
        <f t="shared" si="70"/>
        <v>XT51</v>
      </c>
      <c r="GQ52" t="str">
        <f t="shared" si="76"/>
        <v>C26</v>
      </c>
      <c r="GR52" t="str">
        <f t="shared" si="77"/>
        <v>B26</v>
      </c>
      <c r="GS52" t="str">
        <f t="shared" si="78"/>
        <v>C27</v>
      </c>
      <c r="GT52" t="str">
        <f t="shared" si="79"/>
        <v>B27</v>
      </c>
      <c r="GU52" t="str">
        <f t="shared" si="80"/>
        <v>C28</v>
      </c>
      <c r="GV52" t="str">
        <f t="shared" si="81"/>
        <v>B28</v>
      </c>
      <c r="GW52" t="str">
        <f t="shared" si="82"/>
        <v>C29</v>
      </c>
      <c r="GX52" t="str">
        <f t="shared" si="83"/>
        <v>B29</v>
      </c>
      <c r="GY52" t="str">
        <f t="shared" si="84"/>
        <v>C30</v>
      </c>
      <c r="GZ52" t="str">
        <f t="shared" si="85"/>
        <v>B30</v>
      </c>
      <c r="HA52" t="str">
        <f t="shared" si="86"/>
        <v>20B</v>
      </c>
      <c r="HB52" t="str">
        <f t="shared" si="87"/>
        <v>20A</v>
      </c>
      <c r="HC52" t="str">
        <f t="shared" si="88"/>
        <v>AI2-3A</v>
      </c>
      <c r="HD52" t="str">
        <f t="shared" si="88"/>
        <v>AI2-3B</v>
      </c>
      <c r="HE52" t="str">
        <f t="shared" si="89"/>
        <v>DI10-C25</v>
      </c>
      <c r="HF52" t="str">
        <f t="shared" si="89"/>
        <v>DI10-B25</v>
      </c>
      <c r="HG52" t="str">
        <f t="shared" si="71"/>
        <v>DI10-C26</v>
      </c>
      <c r="HH52" t="str">
        <f t="shared" si="71"/>
        <v>DI10-B26</v>
      </c>
      <c r="HI52" t="str">
        <f t="shared" si="71"/>
        <v>DI10-C27</v>
      </c>
      <c r="HJ52" t="str">
        <f t="shared" si="71"/>
        <v>DI10-B27</v>
      </c>
      <c r="HK52" t="str">
        <f t="shared" si="71"/>
        <v>DI10-C28</v>
      </c>
      <c r="HL52" t="str">
        <f t="shared" si="71"/>
        <v>DI10-B28</v>
      </c>
      <c r="HM52" t="str">
        <f t="shared" si="71"/>
        <v>DI10-C29</v>
      </c>
      <c r="HN52" t="str">
        <f t="shared" si="71"/>
        <v>DI10-B29</v>
      </c>
      <c r="HO52" t="str">
        <f t="shared" si="71"/>
        <v>DI10-C30</v>
      </c>
      <c r="HP52" t="str">
        <f t="shared" si="71"/>
        <v>DI10-B30</v>
      </c>
      <c r="HQ52" t="str">
        <f t="shared" si="90"/>
        <v>DO6-19B</v>
      </c>
      <c r="HR52" t="str">
        <f t="shared" si="90"/>
        <v>DO6-19A</v>
      </c>
      <c r="HS52" t="str">
        <f t="shared" si="91"/>
        <v>DO6-20B</v>
      </c>
      <c r="HT52" t="str">
        <f t="shared" si="91"/>
        <v>DO6-20A</v>
      </c>
      <c r="HU52" t="str">
        <f t="shared" si="92"/>
        <v>K51-01</v>
      </c>
      <c r="HV52" t="str">
        <f t="shared" si="93"/>
        <v>K51-02</v>
      </c>
      <c r="HW52" t="str">
        <f t="shared" si="94"/>
        <v>K51-03</v>
      </c>
      <c r="HX52" t="str">
        <f t="shared" si="95"/>
        <v>K51-04</v>
      </c>
      <c r="HY52" t="str">
        <f t="shared" si="96"/>
        <v>K51-05</v>
      </c>
      <c r="HZ52" t="str">
        <f t="shared" si="97"/>
        <v>K51-06</v>
      </c>
      <c r="IA52" t="str">
        <f t="shared" si="98"/>
        <v>K51-07</v>
      </c>
      <c r="IB52" t="str">
        <f t="shared" si="99"/>
        <v>K51-08</v>
      </c>
      <c r="IC52" t="str">
        <f t="shared" si="100"/>
        <v>F0-M51-AMS-12</v>
      </c>
      <c r="ID52" t="str">
        <f t="shared" si="101"/>
        <v>F0-M51-AMS-10</v>
      </c>
      <c r="IE52" t="str">
        <f t="shared" si="102"/>
        <v>F0-M51-AMS-11</v>
      </c>
      <c r="IF52" t="str">
        <f t="shared" si="103"/>
        <v>F0-M51-AMS-13</v>
      </c>
      <c r="IG52" t="str">
        <f t="shared" si="104"/>
        <v>F0-M51-AMS-9</v>
      </c>
      <c r="IH52" t="str">
        <f t="shared" si="105"/>
        <v>F0-M51-AMS-7</v>
      </c>
      <c r="II52" t="str">
        <f t="shared" si="106"/>
        <v>F0-M51-AMS-18</v>
      </c>
      <c r="IJ52" t="str">
        <f t="shared" si="107"/>
        <v>F0-M51-AMS-20</v>
      </c>
      <c r="IK52" t="str">
        <f t="shared" si="108"/>
        <v>F0-M51-AMS-17</v>
      </c>
      <c r="IL52" t="str">
        <f t="shared" si="109"/>
        <v>F0-+24-M51</v>
      </c>
      <c r="IM52" t="str">
        <f t="shared" si="110"/>
        <v>F0-M51-XM01</v>
      </c>
      <c r="IN52" t="str">
        <f t="shared" ref="IN52:JU55" si="112">IN51</f>
        <v>A1</v>
      </c>
      <c r="IO52" t="str">
        <f t="shared" si="112"/>
        <v>A2</v>
      </c>
      <c r="IP52">
        <f t="shared" si="112"/>
        <v>11</v>
      </c>
      <c r="IQ52">
        <f t="shared" si="112"/>
        <v>14</v>
      </c>
      <c r="IR52" t="str">
        <f t="shared" si="112"/>
        <v>24v6</v>
      </c>
      <c r="IS52" t="str">
        <f t="shared" si="112"/>
        <v>0v6</v>
      </c>
      <c r="IT52">
        <f t="shared" si="112"/>
        <v>1</v>
      </c>
      <c r="IU52">
        <f t="shared" si="112"/>
        <v>2</v>
      </c>
      <c r="IV52">
        <f t="shared" si="112"/>
        <v>3</v>
      </c>
      <c r="IW52">
        <f t="shared" si="112"/>
        <v>4</v>
      </c>
      <c r="IX52">
        <f t="shared" si="112"/>
        <v>5</v>
      </c>
      <c r="IY52">
        <f t="shared" si="112"/>
        <v>6</v>
      </c>
      <c r="IZ52">
        <f t="shared" si="112"/>
        <v>7</v>
      </c>
      <c r="JA52">
        <f t="shared" si="112"/>
        <v>8</v>
      </c>
      <c r="JB52">
        <f t="shared" si="112"/>
        <v>9</v>
      </c>
      <c r="JC52">
        <f t="shared" si="112"/>
        <v>10</v>
      </c>
      <c r="JD52">
        <f t="shared" si="112"/>
        <v>11</v>
      </c>
      <c r="JE52">
        <f t="shared" si="112"/>
        <v>12</v>
      </c>
      <c r="JF52">
        <f t="shared" si="112"/>
        <v>13</v>
      </c>
      <c r="JG52">
        <f t="shared" si="112"/>
        <v>14</v>
      </c>
      <c r="JH52">
        <f t="shared" si="112"/>
        <v>17</v>
      </c>
      <c r="JI52">
        <f t="shared" si="112"/>
        <v>15</v>
      </c>
      <c r="JJ52">
        <f t="shared" si="112"/>
        <v>18</v>
      </c>
      <c r="JK52">
        <f t="shared" si="112"/>
        <v>11</v>
      </c>
      <c r="JL52">
        <f t="shared" si="112"/>
        <v>9</v>
      </c>
      <c r="JM52">
        <f t="shared" si="112"/>
        <v>6</v>
      </c>
      <c r="JN52">
        <f t="shared" si="112"/>
        <v>20</v>
      </c>
      <c r="JO52">
        <f t="shared" si="112"/>
        <v>7</v>
      </c>
      <c r="JP52">
        <f t="shared" si="112"/>
        <v>10</v>
      </c>
      <c r="JQ52">
        <f t="shared" si="112"/>
        <v>22</v>
      </c>
      <c r="JR52">
        <f t="shared" si="112"/>
        <v>23</v>
      </c>
      <c r="JS52">
        <f t="shared" si="112"/>
        <v>26</v>
      </c>
      <c r="JT52">
        <f t="shared" si="112"/>
        <v>27</v>
      </c>
      <c r="JU52" s="16">
        <f t="shared" si="112"/>
        <v>30</v>
      </c>
    </row>
    <row r="53" spans="1:301" x14ac:dyDescent="0.25">
      <c r="A53" t="s">
        <v>477</v>
      </c>
      <c r="B53" t="s">
        <v>476</v>
      </c>
      <c r="P53" t="s">
        <v>391</v>
      </c>
      <c r="T53" s="14" t="s">
        <v>554</v>
      </c>
      <c r="U53" s="15">
        <f t="shared" si="75"/>
        <v>52</v>
      </c>
      <c r="V53" t="s">
        <v>437</v>
      </c>
      <c r="W53" t="s">
        <v>438</v>
      </c>
      <c r="X53" t="str">
        <f>IF(COUNTIF(X$1:X52,X52)&gt;7,REPLACE(X52,LEN(X52),1,VALUE(RIGHT(X52,1))+1),X52)</f>
        <v>A3.2</v>
      </c>
      <c r="Y53" s="43" cm="1">
        <f t="array" ref="Y53">IF(COUNTIFS($X$2:$X53,$X53)=1,"1",VALUE(SUBSTITUTE(INDEX(Y:Y,_xlfn.XMATCH($X53,$X$1:$X52,0,-1)),"A",""))+INDEX(Z:Z,_xlfn.XMATCH($X53,$X$1:$X52,0,-1))+1)</f>
        <v>3</v>
      </c>
      <c r="Z53" s="43" cm="1">
        <f t="array" ref="Z53">SUM(IF(ISNUMBER(FIND("TmAi",$BA$1:$ZZ$1)),IF(IFERROR(ISODD(SUBSTITUTE($BA53:$ZZ53,"A","")),FALSE),IF(ISODD(SUBSTITUTE($BA53:$ZZ53,"A","")),1,0),0)))</f>
        <v>0</v>
      </c>
      <c r="AA53" t="str">
        <f t="shared" si="72"/>
        <v>5A</v>
      </c>
      <c r="AB53" t="str">
        <f t="shared" si="73"/>
        <v>5B</v>
      </c>
      <c r="AC53" s="15" t="s">
        <v>442</v>
      </c>
      <c r="AD53" t="s">
        <v>133</v>
      </c>
      <c r="AE53" t="s">
        <v>134</v>
      </c>
      <c r="AF53" s="15" t="s">
        <v>388</v>
      </c>
      <c r="AG53" s="15" t="s">
        <v>443</v>
      </c>
      <c r="AH53" s="15" t="s">
        <v>445</v>
      </c>
      <c r="AI53" s="15" t="s">
        <v>474</v>
      </c>
      <c r="AL53" t="s">
        <v>137</v>
      </c>
      <c r="AM53" t="s">
        <v>138</v>
      </c>
      <c r="AO53" t="s">
        <v>396</v>
      </c>
      <c r="AP53" t="s">
        <v>139</v>
      </c>
      <c r="AQ53" t="s">
        <v>140</v>
      </c>
      <c r="AZ53" s="16"/>
      <c r="GP53" s="27" t="str">
        <f t="shared" si="70"/>
        <v>XT52</v>
      </c>
      <c r="GQ53" t="str">
        <f t="shared" si="76"/>
        <v>C2</v>
      </c>
      <c r="GR53" t="str">
        <f t="shared" si="77"/>
        <v>B2</v>
      </c>
      <c r="GS53" t="str">
        <f t="shared" si="78"/>
        <v>C3</v>
      </c>
      <c r="GT53" t="str">
        <f t="shared" si="79"/>
        <v>B3</v>
      </c>
      <c r="GU53" t="str">
        <f t="shared" si="80"/>
        <v>C4</v>
      </c>
      <c r="GV53" t="str">
        <f t="shared" si="81"/>
        <v>B4</v>
      </c>
      <c r="GW53" t="str">
        <f t="shared" si="82"/>
        <v>C5</v>
      </c>
      <c r="GX53" t="str">
        <f t="shared" si="83"/>
        <v>B5</v>
      </c>
      <c r="GY53" t="str">
        <f t="shared" si="84"/>
        <v>C6</v>
      </c>
      <c r="GZ53" t="str">
        <f t="shared" si="85"/>
        <v>B6</v>
      </c>
      <c r="HA53" t="str">
        <f t="shared" si="86"/>
        <v>22B</v>
      </c>
      <c r="HB53" t="str">
        <f t="shared" si="87"/>
        <v>22A</v>
      </c>
      <c r="HC53" t="str">
        <f t="shared" si="88"/>
        <v>AI2-5A</v>
      </c>
      <c r="HD53" t="str">
        <f t="shared" si="88"/>
        <v>AI2-5B</v>
      </c>
      <c r="HE53" t="str">
        <f t="shared" si="89"/>
        <v>DI11-C1</v>
      </c>
      <c r="HF53" t="str">
        <f t="shared" si="89"/>
        <v>DI11-B1</v>
      </c>
      <c r="HG53" t="str">
        <f t="shared" si="71"/>
        <v>DI11-C2</v>
      </c>
      <c r="HH53" t="str">
        <f t="shared" si="71"/>
        <v>DI11-B2</v>
      </c>
      <c r="HI53" t="str">
        <f t="shared" si="71"/>
        <v>DI11-C3</v>
      </c>
      <c r="HJ53" t="str">
        <f t="shared" si="71"/>
        <v>DI11-B3</v>
      </c>
      <c r="HK53" t="str">
        <f t="shared" si="71"/>
        <v>DI11-C4</v>
      </c>
      <c r="HL53" t="str">
        <f t="shared" si="71"/>
        <v>DI11-B4</v>
      </c>
      <c r="HM53" t="str">
        <f t="shared" si="71"/>
        <v>DI11-C5</v>
      </c>
      <c r="HN53" t="str">
        <f t="shared" si="71"/>
        <v>DI11-B5</v>
      </c>
      <c r="HO53" t="str">
        <f t="shared" si="71"/>
        <v>DI11-C6</v>
      </c>
      <c r="HP53" t="str">
        <f t="shared" si="71"/>
        <v>DI11-B6</v>
      </c>
      <c r="HQ53" t="str">
        <f t="shared" si="90"/>
        <v>DO6-21B</v>
      </c>
      <c r="HR53" t="str">
        <f t="shared" si="90"/>
        <v>DO6-21A</v>
      </c>
      <c r="HS53" t="str">
        <f t="shared" si="91"/>
        <v>DO6-22B</v>
      </c>
      <c r="HT53" t="str">
        <f t="shared" si="91"/>
        <v>DO6-22A</v>
      </c>
      <c r="HU53" t="str">
        <f t="shared" si="92"/>
        <v>K52-01</v>
      </c>
      <c r="HV53" t="str">
        <f t="shared" si="93"/>
        <v>K52-02</v>
      </c>
      <c r="HW53" t="str">
        <f t="shared" si="94"/>
        <v>K52-03</v>
      </c>
      <c r="HX53" t="str">
        <f t="shared" si="95"/>
        <v>K52-04</v>
      </c>
      <c r="HY53" t="str">
        <f t="shared" si="96"/>
        <v>K52-05</v>
      </c>
      <c r="HZ53" t="str">
        <f t="shared" si="97"/>
        <v>K52-06</v>
      </c>
      <c r="IA53" t="str">
        <f t="shared" si="98"/>
        <v>K52-07</v>
      </c>
      <c r="IB53" t="str">
        <f t="shared" si="99"/>
        <v>K52-08</v>
      </c>
      <c r="IC53" t="str">
        <f t="shared" si="100"/>
        <v>F0-M52-AMS-12</v>
      </c>
      <c r="ID53" t="str">
        <f t="shared" si="101"/>
        <v>F0-M52-AMS-10</v>
      </c>
      <c r="IE53" t="str">
        <f t="shared" si="102"/>
        <v>F0-M52-AMS-11</v>
      </c>
      <c r="IF53" t="str">
        <f t="shared" si="103"/>
        <v>F0-M52-AMS-13</v>
      </c>
      <c r="IG53" t="str">
        <f t="shared" si="104"/>
        <v>F0-M52-AMS-9</v>
      </c>
      <c r="IH53" t="str">
        <f t="shared" si="105"/>
        <v>F0-M52-AMS-7</v>
      </c>
      <c r="II53" t="str">
        <f t="shared" si="106"/>
        <v>F0-M52-AMS-18</v>
      </c>
      <c r="IJ53" t="str">
        <f t="shared" si="107"/>
        <v>F0-M52-AMS-20</v>
      </c>
      <c r="IK53" t="str">
        <f t="shared" si="108"/>
        <v>F0-M52-AMS-17</v>
      </c>
      <c r="IL53" t="str">
        <f t="shared" si="109"/>
        <v>F0-+24-M52</v>
      </c>
      <c r="IM53" t="str">
        <f t="shared" si="110"/>
        <v>F0-M52-XM01</v>
      </c>
      <c r="IN53" t="str">
        <f t="shared" si="112"/>
        <v>A1</v>
      </c>
      <c r="IO53" t="str">
        <f t="shared" si="112"/>
        <v>A2</v>
      </c>
      <c r="IP53">
        <f t="shared" si="112"/>
        <v>11</v>
      </c>
      <c r="IQ53">
        <f t="shared" si="112"/>
        <v>14</v>
      </c>
      <c r="IR53" t="str">
        <f t="shared" si="112"/>
        <v>24v6</v>
      </c>
      <c r="IS53" t="str">
        <f t="shared" si="112"/>
        <v>0v6</v>
      </c>
      <c r="IT53">
        <f t="shared" si="112"/>
        <v>1</v>
      </c>
      <c r="IU53">
        <f t="shared" si="112"/>
        <v>2</v>
      </c>
      <c r="IV53">
        <f t="shared" si="112"/>
        <v>3</v>
      </c>
      <c r="IW53">
        <f t="shared" si="112"/>
        <v>4</v>
      </c>
      <c r="IX53">
        <f t="shared" si="112"/>
        <v>5</v>
      </c>
      <c r="IY53">
        <f t="shared" si="112"/>
        <v>6</v>
      </c>
      <c r="IZ53">
        <f t="shared" si="112"/>
        <v>7</v>
      </c>
      <c r="JA53">
        <f t="shared" si="112"/>
        <v>8</v>
      </c>
      <c r="JB53">
        <f t="shared" si="112"/>
        <v>9</v>
      </c>
      <c r="JC53">
        <f t="shared" si="112"/>
        <v>10</v>
      </c>
      <c r="JD53">
        <f t="shared" si="112"/>
        <v>11</v>
      </c>
      <c r="JE53">
        <f t="shared" si="112"/>
        <v>12</v>
      </c>
      <c r="JF53">
        <f t="shared" si="112"/>
        <v>13</v>
      </c>
      <c r="JG53">
        <f t="shared" si="112"/>
        <v>14</v>
      </c>
      <c r="JH53">
        <f t="shared" si="112"/>
        <v>17</v>
      </c>
      <c r="JI53">
        <f t="shared" si="112"/>
        <v>15</v>
      </c>
      <c r="JJ53">
        <f t="shared" si="112"/>
        <v>18</v>
      </c>
      <c r="JK53">
        <f t="shared" si="112"/>
        <v>11</v>
      </c>
      <c r="JL53">
        <f t="shared" si="112"/>
        <v>9</v>
      </c>
      <c r="JM53">
        <f t="shared" si="112"/>
        <v>6</v>
      </c>
      <c r="JN53">
        <f t="shared" si="112"/>
        <v>20</v>
      </c>
      <c r="JO53">
        <f t="shared" si="112"/>
        <v>7</v>
      </c>
      <c r="JP53">
        <f t="shared" si="112"/>
        <v>10</v>
      </c>
      <c r="JQ53">
        <f t="shared" si="112"/>
        <v>22</v>
      </c>
      <c r="JR53">
        <f t="shared" si="112"/>
        <v>23</v>
      </c>
      <c r="JS53">
        <f t="shared" si="112"/>
        <v>26</v>
      </c>
      <c r="JT53">
        <f t="shared" si="112"/>
        <v>27</v>
      </c>
      <c r="JU53" s="16">
        <f t="shared" si="112"/>
        <v>30</v>
      </c>
    </row>
    <row r="54" spans="1:301" x14ac:dyDescent="0.25">
      <c r="A54" t="s">
        <v>479</v>
      </c>
      <c r="B54" t="s">
        <v>478</v>
      </c>
      <c r="P54" t="s">
        <v>391</v>
      </c>
      <c r="T54" s="14" t="s">
        <v>554</v>
      </c>
      <c r="U54" s="15">
        <f t="shared" si="75"/>
        <v>53</v>
      </c>
      <c r="V54" t="s">
        <v>439</v>
      </c>
      <c r="W54" t="s">
        <v>460</v>
      </c>
      <c r="X54" t="str">
        <f>IF(COUNTIF(X$1:X53,X53)&gt;7,REPLACE(X53,LEN(X53),1,VALUE(RIGHT(X53,1))+1),X53)</f>
        <v>A3.2</v>
      </c>
      <c r="Y54" s="43" cm="1">
        <f t="array" ref="Y54">IF(COUNTIFS($X$2:$X54,$X54)=1,"1",VALUE(SUBSTITUTE(INDEX(Y:Y,_xlfn.XMATCH($X54,$X$1:$X53,0,-1)),"A",""))+INDEX(Z:Z,_xlfn.XMATCH($X54,$X$1:$X53,0,-1))+1)</f>
        <v>4</v>
      </c>
      <c r="Z54" s="43" cm="1">
        <f t="array" ref="Z54">SUM(IF(ISNUMBER(FIND("TmAi",$BA$1:$ZZ$1)),IF(IFERROR(ISODD(SUBSTITUTE($BA54:$ZZ54,"A","")),FALSE),IF(ISODD(SUBSTITUTE($BA54:$ZZ54,"A","")),1,0),0)))</f>
        <v>0</v>
      </c>
      <c r="AA54" t="str">
        <f t="shared" si="72"/>
        <v>7A</v>
      </c>
      <c r="AB54" t="str">
        <f t="shared" si="73"/>
        <v>7B</v>
      </c>
      <c r="AC54" s="15" t="s">
        <v>442</v>
      </c>
      <c r="AD54" t="s">
        <v>148</v>
      </c>
      <c r="AE54" t="s">
        <v>149</v>
      </c>
      <c r="AF54" s="15" t="s">
        <v>388</v>
      </c>
      <c r="AG54" t="s">
        <v>444</v>
      </c>
      <c r="AH54" t="s">
        <v>446</v>
      </c>
      <c r="AI54" t="s">
        <v>475</v>
      </c>
      <c r="AL54" t="s">
        <v>137</v>
      </c>
      <c r="AM54" t="s">
        <v>138</v>
      </c>
      <c r="AO54" t="s">
        <v>396</v>
      </c>
      <c r="AP54" t="s">
        <v>139</v>
      </c>
      <c r="AQ54" t="s">
        <v>140</v>
      </c>
      <c r="AZ54" s="16"/>
      <c r="GP54" s="27" t="str">
        <f t="shared" si="70"/>
        <v>XT53</v>
      </c>
      <c r="GQ54" t="str">
        <f t="shared" si="76"/>
        <v>C8</v>
      </c>
      <c r="GR54" t="str">
        <f t="shared" si="77"/>
        <v>B8</v>
      </c>
      <c r="GS54" t="str">
        <f t="shared" si="78"/>
        <v>C9</v>
      </c>
      <c r="GT54" t="str">
        <f t="shared" si="79"/>
        <v>B9</v>
      </c>
      <c r="GU54" t="str">
        <f t="shared" si="80"/>
        <v>C10</v>
      </c>
      <c r="GV54" t="str">
        <f t="shared" si="81"/>
        <v>B10</v>
      </c>
      <c r="GW54" t="str">
        <f t="shared" si="82"/>
        <v>C11</v>
      </c>
      <c r="GX54" t="str">
        <f t="shared" si="83"/>
        <v>B11</v>
      </c>
      <c r="GY54" t="str">
        <f t="shared" si="84"/>
        <v>C12</v>
      </c>
      <c r="GZ54" t="str">
        <f t="shared" si="85"/>
        <v>B12</v>
      </c>
      <c r="HA54" t="str">
        <f t="shared" si="86"/>
        <v>24B</v>
      </c>
      <c r="HB54" t="str">
        <f t="shared" si="87"/>
        <v>24A</v>
      </c>
      <c r="HC54" t="str">
        <f t="shared" si="88"/>
        <v>AI2-7A</v>
      </c>
      <c r="HD54" t="str">
        <f t="shared" si="88"/>
        <v>AI2-7B</v>
      </c>
      <c r="HE54" t="str">
        <f t="shared" si="89"/>
        <v>DI11-C7</v>
      </c>
      <c r="HF54" t="str">
        <f t="shared" si="89"/>
        <v>DI11-B7</v>
      </c>
      <c r="HG54" t="str">
        <f t="shared" si="71"/>
        <v>DI11-C8</v>
      </c>
      <c r="HH54" t="str">
        <f t="shared" si="71"/>
        <v>DI11-B8</v>
      </c>
      <c r="HI54" t="str">
        <f t="shared" si="71"/>
        <v>DI11-C9</v>
      </c>
      <c r="HJ54" t="str">
        <f t="shared" si="71"/>
        <v>DI11-B9</v>
      </c>
      <c r="HK54" t="str">
        <f t="shared" si="71"/>
        <v>DI11-C10</v>
      </c>
      <c r="HL54" t="str">
        <f t="shared" si="71"/>
        <v>DI11-B10</v>
      </c>
      <c r="HM54" t="str">
        <f t="shared" si="71"/>
        <v>DI11-C11</v>
      </c>
      <c r="HN54" t="str">
        <f t="shared" si="71"/>
        <v>DI11-B11</v>
      </c>
      <c r="HO54" t="str">
        <f t="shared" si="71"/>
        <v>DI11-C12</v>
      </c>
      <c r="HP54" t="str">
        <f t="shared" si="71"/>
        <v>DI11-B12</v>
      </c>
      <c r="HQ54" t="str">
        <f t="shared" si="90"/>
        <v>DO6-23B</v>
      </c>
      <c r="HR54" t="str">
        <f t="shared" si="90"/>
        <v>DO6-23A</v>
      </c>
      <c r="HS54" t="str">
        <f t="shared" si="91"/>
        <v>DO6-24B</v>
      </c>
      <c r="HT54" t="str">
        <f t="shared" si="91"/>
        <v>DO6-24A</v>
      </c>
      <c r="HU54" t="str">
        <f t="shared" si="92"/>
        <v>K53-01</v>
      </c>
      <c r="HV54" t="str">
        <f t="shared" si="93"/>
        <v>K53-02</v>
      </c>
      <c r="HW54" t="str">
        <f t="shared" si="94"/>
        <v>K53-03</v>
      </c>
      <c r="HX54" t="str">
        <f t="shared" si="95"/>
        <v>K53-04</v>
      </c>
      <c r="HY54" t="str">
        <f t="shared" si="96"/>
        <v>K53-05</v>
      </c>
      <c r="HZ54" t="str">
        <f t="shared" si="97"/>
        <v>K53-06</v>
      </c>
      <c r="IA54" t="str">
        <f t="shared" si="98"/>
        <v>K53-07</v>
      </c>
      <c r="IB54" t="str">
        <f t="shared" si="99"/>
        <v>K53-08</v>
      </c>
      <c r="IC54" t="str">
        <f t="shared" si="100"/>
        <v>F0-M53-AMS-12</v>
      </c>
      <c r="ID54" t="str">
        <f t="shared" si="101"/>
        <v>F0-M53-AMS-10</v>
      </c>
      <c r="IE54" t="str">
        <f t="shared" si="102"/>
        <v>F0-M53-AMS-11</v>
      </c>
      <c r="IF54" t="str">
        <f t="shared" si="103"/>
        <v>F0-M53-AMS-13</v>
      </c>
      <c r="IG54" t="str">
        <f t="shared" si="104"/>
        <v>F0-M53-AMS-9</v>
      </c>
      <c r="IH54" t="str">
        <f t="shared" si="105"/>
        <v>F0-M53-AMS-7</v>
      </c>
      <c r="II54" t="str">
        <f t="shared" si="106"/>
        <v>F0-M53-AMS-18</v>
      </c>
      <c r="IJ54" t="str">
        <f t="shared" si="107"/>
        <v>F0-M53-AMS-20</v>
      </c>
      <c r="IK54" t="str">
        <f t="shared" si="108"/>
        <v>F0-M53-AMS-17</v>
      </c>
      <c r="IL54" t="str">
        <f t="shared" si="109"/>
        <v>F0-+24-M53</v>
      </c>
      <c r="IM54" t="str">
        <f t="shared" si="110"/>
        <v>F0-M53-XM01</v>
      </c>
      <c r="IN54" t="str">
        <f t="shared" si="112"/>
        <v>A1</v>
      </c>
      <c r="IO54" t="str">
        <f t="shared" si="112"/>
        <v>A2</v>
      </c>
      <c r="IP54">
        <f t="shared" si="112"/>
        <v>11</v>
      </c>
      <c r="IQ54">
        <f t="shared" si="112"/>
        <v>14</v>
      </c>
      <c r="IR54" t="str">
        <f t="shared" si="112"/>
        <v>24v6</v>
      </c>
      <c r="IS54" t="str">
        <f t="shared" si="112"/>
        <v>0v6</v>
      </c>
      <c r="IT54">
        <f t="shared" si="112"/>
        <v>1</v>
      </c>
      <c r="IU54">
        <f t="shared" si="112"/>
        <v>2</v>
      </c>
      <c r="IV54">
        <f t="shared" si="112"/>
        <v>3</v>
      </c>
      <c r="IW54">
        <f t="shared" si="112"/>
        <v>4</v>
      </c>
      <c r="IX54">
        <f t="shared" si="112"/>
        <v>5</v>
      </c>
      <c r="IY54">
        <f t="shared" si="112"/>
        <v>6</v>
      </c>
      <c r="IZ54">
        <f t="shared" si="112"/>
        <v>7</v>
      </c>
      <c r="JA54">
        <f t="shared" si="112"/>
        <v>8</v>
      </c>
      <c r="JB54">
        <f t="shared" si="112"/>
        <v>9</v>
      </c>
      <c r="JC54">
        <f t="shared" si="112"/>
        <v>10</v>
      </c>
      <c r="JD54">
        <f t="shared" si="112"/>
        <v>11</v>
      </c>
      <c r="JE54">
        <f t="shared" si="112"/>
        <v>12</v>
      </c>
      <c r="JF54">
        <f t="shared" si="112"/>
        <v>13</v>
      </c>
      <c r="JG54">
        <f t="shared" si="112"/>
        <v>14</v>
      </c>
      <c r="JH54">
        <f t="shared" si="112"/>
        <v>17</v>
      </c>
      <c r="JI54">
        <f t="shared" si="112"/>
        <v>15</v>
      </c>
      <c r="JJ54">
        <f t="shared" si="112"/>
        <v>18</v>
      </c>
      <c r="JK54">
        <f t="shared" si="112"/>
        <v>11</v>
      </c>
      <c r="JL54">
        <f t="shared" si="112"/>
        <v>9</v>
      </c>
      <c r="JM54">
        <f t="shared" si="112"/>
        <v>6</v>
      </c>
      <c r="JN54">
        <f t="shared" si="112"/>
        <v>20</v>
      </c>
      <c r="JO54">
        <f t="shared" si="112"/>
        <v>7</v>
      </c>
      <c r="JP54">
        <f t="shared" si="112"/>
        <v>10</v>
      </c>
      <c r="JQ54">
        <f t="shared" si="112"/>
        <v>22</v>
      </c>
      <c r="JR54">
        <f t="shared" si="112"/>
        <v>23</v>
      </c>
      <c r="JS54">
        <f t="shared" si="112"/>
        <v>26</v>
      </c>
      <c r="JT54">
        <f t="shared" si="112"/>
        <v>27</v>
      </c>
      <c r="JU54" s="16">
        <f t="shared" si="112"/>
        <v>30</v>
      </c>
    </row>
    <row r="55" spans="1:301" ht="15.75" thickBot="1" x14ac:dyDescent="0.3">
      <c r="A55" t="s">
        <v>481</v>
      </c>
      <c r="B55" t="s">
        <v>480</v>
      </c>
      <c r="P55" t="s">
        <v>391</v>
      </c>
      <c r="T55" s="17" t="s">
        <v>554</v>
      </c>
      <c r="U55" s="18">
        <f t="shared" si="75"/>
        <v>54</v>
      </c>
      <c r="V55" s="19" t="s">
        <v>461</v>
      </c>
      <c r="W55" s="19" t="s">
        <v>440</v>
      </c>
      <c r="X55" s="19" t="str">
        <f>IF(COUNTIF(X$1:X54,X54)&gt;7,REPLACE(X54,LEN(X54),1,VALUE(RIGHT(X54,1))+1),X54)</f>
        <v>A3.2</v>
      </c>
      <c r="Y55" s="44" cm="1">
        <f t="array" ref="Y55">IF(COUNTIFS($X$2:$X55,$X55)=1,"1",VALUE(SUBSTITUTE(INDEX(Y:Y,_xlfn.XMATCH($X55,$X$1:$X54,0,-1)),"A",""))+INDEX(Z:Z,_xlfn.XMATCH($X55,$X$1:$X54,0,-1))+1)</f>
        <v>5</v>
      </c>
      <c r="Z55" s="44" cm="1">
        <f t="array" ref="Z55">SUM(IF(ISNUMBER(FIND("TmAi",$BA$1:$ZZ$1)),IF(IFERROR(ISODD(SUBSTITUTE($BA55:$ZZ55,"A","")),FALSE),IF(ISODD(SUBSTITUTE($BA55:$ZZ55,"A","")),1,0),0)))</f>
        <v>0</v>
      </c>
      <c r="AA55" s="19" t="str">
        <f t="shared" si="72"/>
        <v>9A</v>
      </c>
      <c r="AB55" s="19" t="str">
        <f t="shared" si="73"/>
        <v>9B</v>
      </c>
      <c r="AC55" s="18" t="s">
        <v>442</v>
      </c>
      <c r="AD55" s="19" t="s">
        <v>153</v>
      </c>
      <c r="AE55" s="19" t="s">
        <v>154</v>
      </c>
      <c r="AF55" s="18" t="s">
        <v>388</v>
      </c>
      <c r="AG55" s="18" t="s">
        <v>252</v>
      </c>
      <c r="AH55" s="18" t="s">
        <v>259</v>
      </c>
      <c r="AI55" s="18" t="s">
        <v>452</v>
      </c>
      <c r="AJ55" s="19"/>
      <c r="AK55" s="19"/>
      <c r="AL55" s="19" t="s">
        <v>137</v>
      </c>
      <c r="AM55" s="19" t="s">
        <v>138</v>
      </c>
      <c r="AN55" s="19"/>
      <c r="AO55" s="19" t="s">
        <v>396</v>
      </c>
      <c r="AP55" s="19" t="s">
        <v>139</v>
      </c>
      <c r="AQ55" s="19" t="s">
        <v>140</v>
      </c>
      <c r="AR55" s="19"/>
      <c r="AS55" s="19"/>
      <c r="AT55" s="19"/>
      <c r="AU55" s="19"/>
      <c r="AV55" s="19"/>
      <c r="AW55" s="19"/>
      <c r="AX55" s="19"/>
      <c r="AY55" s="19"/>
      <c r="AZ55" s="20"/>
      <c r="GP55" s="28" t="str">
        <f t="shared" si="70"/>
        <v>XT54</v>
      </c>
      <c r="GQ55" s="19" t="str">
        <f t="shared" si="76"/>
        <v>C14</v>
      </c>
      <c r="GR55" s="19" t="str">
        <f t="shared" si="77"/>
        <v>B14</v>
      </c>
      <c r="GS55" s="19" t="str">
        <f t="shared" si="78"/>
        <v>C15</v>
      </c>
      <c r="GT55" s="19" t="str">
        <f t="shared" si="79"/>
        <v>B15</v>
      </c>
      <c r="GU55" s="19" t="str">
        <f t="shared" si="80"/>
        <v>C16</v>
      </c>
      <c r="GV55" s="19" t="str">
        <f t="shared" si="81"/>
        <v>B16</v>
      </c>
      <c r="GW55" s="19" t="str">
        <f t="shared" si="82"/>
        <v>C17</v>
      </c>
      <c r="GX55" s="19" t="str">
        <f t="shared" si="83"/>
        <v>B17</v>
      </c>
      <c r="GY55" s="19" t="str">
        <f t="shared" si="84"/>
        <v>C18</v>
      </c>
      <c r="GZ55" s="19" t="str">
        <f t="shared" si="85"/>
        <v>B18</v>
      </c>
      <c r="HA55" s="19" t="str">
        <f t="shared" si="86"/>
        <v>26B</v>
      </c>
      <c r="HB55" s="19" t="str">
        <f t="shared" si="87"/>
        <v>26A</v>
      </c>
      <c r="HC55" s="19" t="str">
        <f t="shared" si="88"/>
        <v>AI2-9A</v>
      </c>
      <c r="HD55" s="19" t="str">
        <f t="shared" si="88"/>
        <v>AI2-9B</v>
      </c>
      <c r="HE55" s="19" t="str">
        <f t="shared" si="89"/>
        <v>DI11-C13</v>
      </c>
      <c r="HF55" s="19" t="str">
        <f t="shared" si="89"/>
        <v>DI11-B13</v>
      </c>
      <c r="HG55" s="19" t="str">
        <f t="shared" si="71"/>
        <v>DI11-C14</v>
      </c>
      <c r="HH55" s="19" t="str">
        <f t="shared" si="71"/>
        <v>DI11-B14</v>
      </c>
      <c r="HI55" s="19" t="str">
        <f t="shared" si="71"/>
        <v>DI11-C15</v>
      </c>
      <c r="HJ55" s="19" t="str">
        <f t="shared" si="71"/>
        <v>DI11-B15</v>
      </c>
      <c r="HK55" s="19" t="str">
        <f t="shared" si="71"/>
        <v>DI11-C16</v>
      </c>
      <c r="HL55" s="19" t="str">
        <f t="shared" si="71"/>
        <v>DI11-B16</v>
      </c>
      <c r="HM55" s="19" t="str">
        <f t="shared" si="71"/>
        <v>DI11-C17</v>
      </c>
      <c r="HN55" s="19" t="str">
        <f t="shared" si="71"/>
        <v>DI11-B17</v>
      </c>
      <c r="HO55" s="19" t="str">
        <f t="shared" si="71"/>
        <v>DI11-C18</v>
      </c>
      <c r="HP55" s="19" t="str">
        <f t="shared" si="71"/>
        <v>DI11-B18</v>
      </c>
      <c r="HQ55" s="19" t="str">
        <f t="shared" si="90"/>
        <v>DO6-25B</v>
      </c>
      <c r="HR55" s="19" t="str">
        <f t="shared" si="90"/>
        <v>DO6-25A</v>
      </c>
      <c r="HS55" s="19" t="str">
        <f t="shared" si="91"/>
        <v>DO6-26B</v>
      </c>
      <c r="HT55" s="19" t="str">
        <f t="shared" si="91"/>
        <v>DO6-26A</v>
      </c>
      <c r="HU55" s="19" t="str">
        <f t="shared" si="92"/>
        <v>K54-01</v>
      </c>
      <c r="HV55" s="19" t="str">
        <f t="shared" si="93"/>
        <v>K54-02</v>
      </c>
      <c r="HW55" s="19" t="str">
        <f t="shared" si="94"/>
        <v>K54-03</v>
      </c>
      <c r="HX55" s="19" t="str">
        <f t="shared" si="95"/>
        <v>K54-04</v>
      </c>
      <c r="HY55" s="19" t="str">
        <f t="shared" si="96"/>
        <v>K54-05</v>
      </c>
      <c r="HZ55" s="19" t="str">
        <f t="shared" si="97"/>
        <v>K54-06</v>
      </c>
      <c r="IA55" s="19" t="str">
        <f t="shared" si="98"/>
        <v>K54-07</v>
      </c>
      <c r="IB55" s="19" t="str">
        <f t="shared" si="99"/>
        <v>K54-08</v>
      </c>
      <c r="IC55" s="19" t="str">
        <f t="shared" si="100"/>
        <v>F0-M54-AMS-12</v>
      </c>
      <c r="ID55" s="19" t="str">
        <f t="shared" si="101"/>
        <v>F0-M54-AMS-10</v>
      </c>
      <c r="IE55" s="19" t="str">
        <f t="shared" si="102"/>
        <v>F0-M54-AMS-11</v>
      </c>
      <c r="IF55" s="19" t="str">
        <f t="shared" si="103"/>
        <v>F0-M54-AMS-13</v>
      </c>
      <c r="IG55" s="19" t="str">
        <f t="shared" si="104"/>
        <v>F0-M54-AMS-9</v>
      </c>
      <c r="IH55" s="19" t="str">
        <f t="shared" si="105"/>
        <v>F0-M54-AMS-7</v>
      </c>
      <c r="II55" s="19" t="str">
        <f t="shared" si="106"/>
        <v>F0-M54-AMS-18</v>
      </c>
      <c r="IJ55" s="19" t="str">
        <f t="shared" si="107"/>
        <v>F0-M54-AMS-20</v>
      </c>
      <c r="IK55" s="19" t="str">
        <f t="shared" si="108"/>
        <v>F0-M54-AMS-17</v>
      </c>
      <c r="IL55" s="19" t="str">
        <f t="shared" si="109"/>
        <v>F0-+24-M54</v>
      </c>
      <c r="IM55" s="19" t="str">
        <f t="shared" si="110"/>
        <v>F0-M54-XM01</v>
      </c>
      <c r="IN55" s="19" t="str">
        <f t="shared" si="112"/>
        <v>A1</v>
      </c>
      <c r="IO55" s="19" t="str">
        <f t="shared" si="112"/>
        <v>A2</v>
      </c>
      <c r="IP55" s="19">
        <f t="shared" si="112"/>
        <v>11</v>
      </c>
      <c r="IQ55" s="19">
        <f t="shared" si="112"/>
        <v>14</v>
      </c>
      <c r="IR55" s="19" t="str">
        <f t="shared" si="112"/>
        <v>24v6</v>
      </c>
      <c r="IS55" s="19" t="str">
        <f t="shared" si="112"/>
        <v>0v6</v>
      </c>
      <c r="IT55" s="19">
        <f t="shared" si="112"/>
        <v>1</v>
      </c>
      <c r="IU55" s="19">
        <f t="shared" si="112"/>
        <v>2</v>
      </c>
      <c r="IV55" s="19">
        <f t="shared" si="112"/>
        <v>3</v>
      </c>
      <c r="IW55" s="19">
        <f t="shared" si="112"/>
        <v>4</v>
      </c>
      <c r="IX55" s="19">
        <f t="shared" si="112"/>
        <v>5</v>
      </c>
      <c r="IY55" s="19">
        <f t="shared" si="112"/>
        <v>6</v>
      </c>
      <c r="IZ55" s="19">
        <f t="shared" si="112"/>
        <v>7</v>
      </c>
      <c r="JA55" s="19">
        <f t="shared" si="112"/>
        <v>8</v>
      </c>
      <c r="JB55" s="19">
        <f t="shared" si="112"/>
        <v>9</v>
      </c>
      <c r="JC55" s="19">
        <f t="shared" si="112"/>
        <v>10</v>
      </c>
      <c r="JD55" s="19">
        <f t="shared" si="112"/>
        <v>11</v>
      </c>
      <c r="JE55" s="19">
        <f t="shared" si="112"/>
        <v>12</v>
      </c>
      <c r="JF55" s="19">
        <f t="shared" si="112"/>
        <v>13</v>
      </c>
      <c r="JG55" s="19">
        <f t="shared" si="112"/>
        <v>14</v>
      </c>
      <c r="JH55" s="19">
        <f t="shared" si="112"/>
        <v>17</v>
      </c>
      <c r="JI55" s="19">
        <f t="shared" si="112"/>
        <v>15</v>
      </c>
      <c r="JJ55" s="19">
        <f t="shared" si="112"/>
        <v>18</v>
      </c>
      <c r="JK55" s="19">
        <f t="shared" si="112"/>
        <v>11</v>
      </c>
      <c r="JL55" s="19">
        <f t="shared" si="112"/>
        <v>9</v>
      </c>
      <c r="JM55" s="19">
        <f t="shared" si="112"/>
        <v>6</v>
      </c>
      <c r="JN55" s="19">
        <f t="shared" si="112"/>
        <v>20</v>
      </c>
      <c r="JO55" s="19">
        <f t="shared" si="112"/>
        <v>7</v>
      </c>
      <c r="JP55" s="19">
        <f t="shared" si="112"/>
        <v>10</v>
      </c>
      <c r="JQ55" s="19">
        <f t="shared" si="112"/>
        <v>22</v>
      </c>
      <c r="JR55" s="19">
        <f t="shared" si="112"/>
        <v>23</v>
      </c>
      <c r="JS55" s="19">
        <f t="shared" si="112"/>
        <v>26</v>
      </c>
      <c r="JT55" s="19">
        <f t="shared" si="112"/>
        <v>27</v>
      </c>
      <c r="JU55" s="20">
        <f t="shared" si="112"/>
        <v>30</v>
      </c>
    </row>
    <row r="56" spans="1:301" x14ac:dyDescent="0.25">
      <c r="A56" t="s">
        <v>486</v>
      </c>
      <c r="B56" t="s">
        <v>485</v>
      </c>
      <c r="C56" t="s">
        <v>492</v>
      </c>
      <c r="P56" t="s">
        <v>482</v>
      </c>
      <c r="T56" s="14" t="s">
        <v>554</v>
      </c>
      <c r="U56">
        <v>55</v>
      </c>
      <c r="V56" t="s">
        <v>483</v>
      </c>
      <c r="X56" t="s">
        <v>484</v>
      </c>
      <c r="Y56" s="43" t="str" cm="1">
        <f t="array" ref="Y56">IF(COUNTIFS($X$2:$X56,$X56)=1,"1",VALUE(SUBSTITUTE(INDEX(Y:Y,_xlfn.XMATCH($X56,$X$1:$X55,0,-1)),"A",""))+INDEX(Z:Z,_xlfn.XMATCH($X56,$X$1:$X55,0,-1))+1)</f>
        <v>1</v>
      </c>
      <c r="Z56" s="43" cm="1">
        <f t="array" ref="Z56">SUM(IF(ISNUMBER(FIND("TmAi",$BA$1:$ZZ$1)),IF(IFERROR(ISODD(SUBSTITUTE($BA56:$ZZ56,"A","")),FALSE),IF(ISODD(SUBSTITUTE($BA56:$ZZ56,"A","")),1,0),0)))</f>
        <v>0</v>
      </c>
      <c r="AA56" t="str">
        <f>CONCATENATE($Y56*2-1,"B")</f>
        <v>1B</v>
      </c>
      <c r="AB56" t="str">
        <f>CONCATENATE($Y56*2,"B")</f>
        <v>2B</v>
      </c>
      <c r="AL56" t="s">
        <v>137</v>
      </c>
      <c r="AO56" t="s">
        <v>396</v>
      </c>
      <c r="JV56" s="25" t="str">
        <f t="shared" ref="JV56:JV119" si="113">CONCATENATE("XT",U56)</f>
        <v>XT55</v>
      </c>
      <c r="JW56" s="12"/>
      <c r="JX56" s="12"/>
      <c r="JY56" s="12" t="str">
        <f t="shared" ref="JY56:JY119" si="114">CONCATENATE(T56,"-AI",REPLACE($X56,1,3,""),"-",AA56)</f>
        <v>F0-AI3-1B</v>
      </c>
      <c r="JZ56" s="12" t="str">
        <f t="shared" ref="JZ56:JZ119" si="115">CONCATENATE(T56,"-AI",REPLACE($X56,1,3,""),"-",AB56)</f>
        <v>F0-AI3-2B</v>
      </c>
      <c r="KA56" s="12"/>
      <c r="KB56" s="12"/>
      <c r="KC56" s="12"/>
      <c r="KD56" s="12"/>
      <c r="KE56" s="12" cm="1">
        <f t="array" ref="KE56">IF(COUNTIFS($U$2:$U56,$U56)=1,1,INDEX(KE:KE,_xlfn.XMATCH(U56,U$1:U55,0,-1))+COUNT(KE55:KI55))</f>
        <v>1</v>
      </c>
      <c r="KF56" s="12">
        <f>KE56+1</f>
        <v>2</v>
      </c>
      <c r="KG56" s="12">
        <f>KF56+1</f>
        <v>3</v>
      </c>
      <c r="KH56" s="12"/>
      <c r="KI56" s="12"/>
      <c r="KJ56" s="12">
        <v>1</v>
      </c>
      <c r="KK56" s="13">
        <v>2</v>
      </c>
      <c r="KL56" s="12"/>
      <c r="KM56" s="12"/>
      <c r="KN56" s="12"/>
      <c r="KO56" s="13"/>
    </row>
    <row r="57" spans="1:301" x14ac:dyDescent="0.25">
      <c r="A57" t="s">
        <v>494</v>
      </c>
      <c r="B57" t="s">
        <v>493</v>
      </c>
      <c r="C57" t="s">
        <v>498</v>
      </c>
      <c r="P57" t="s">
        <v>482</v>
      </c>
      <c r="T57" s="14" t="s">
        <v>554</v>
      </c>
      <c r="U57">
        <v>55</v>
      </c>
      <c r="V57" t="s">
        <v>495</v>
      </c>
      <c r="X57" t="str">
        <f>IF(COUNTIF(X$1:X56,X56)&gt;7,REPLACE(X56,LEN(X56),1,VALUE(RIGHT(X56,1))+1),X56)</f>
        <v>A3.3</v>
      </c>
      <c r="Y57" s="43" cm="1">
        <f t="array" ref="Y57">IF(COUNTIFS($X$2:$X57,$X57)=1,"1",VALUE(SUBSTITUTE(INDEX(Y:Y,_xlfn.XMATCH($X57,$X$1:$X56,0,-1)),"A",""))+INDEX(Z:Z,_xlfn.XMATCH($X57,$X$1:$X56,0,-1))+1)</f>
        <v>2</v>
      </c>
      <c r="Z57" s="43" cm="1">
        <f t="array" ref="Z57">SUM(IF(ISNUMBER(FIND("TmAi",$BA$1:$ZZ$1)),IF(IFERROR(ISODD(SUBSTITUTE($BA57:$ZZ57,"A","")),FALSE),IF(ISODD(SUBSTITUTE($BA57:$ZZ57,"A","")),1,0),0)))</f>
        <v>0</v>
      </c>
      <c r="AA57" t="str">
        <f t="shared" ref="AA57:AA67" si="116">CONCATENATE($Y57*2-1,"B")</f>
        <v>3B</v>
      </c>
      <c r="AB57" t="str">
        <f t="shared" ref="AB57:AB67" si="117">CONCATENATE($Y57*2,"B")</f>
        <v>4B</v>
      </c>
      <c r="AL57" t="s">
        <v>137</v>
      </c>
      <c r="AO57" t="s">
        <v>396</v>
      </c>
      <c r="JV57" s="27" t="str">
        <f t="shared" si="113"/>
        <v>XT55</v>
      </c>
      <c r="JY57" t="str">
        <f t="shared" si="114"/>
        <v>F0-AI3-3B</v>
      </c>
      <c r="JZ57" t="str">
        <f t="shared" si="115"/>
        <v>F0-AI3-4B</v>
      </c>
      <c r="KE57" cm="1">
        <f t="array" ref="KE57">IF(COUNTIFS($U$2:$U57,$U57)=1,1,INDEX(KE:KE,_xlfn.XMATCH(U57,U$1:U56,0,-1))+COUNT(KE56:KI56))</f>
        <v>4</v>
      </c>
      <c r="KF57">
        <f>KE57+1</f>
        <v>5</v>
      </c>
      <c r="KG57">
        <f>KF57+1</f>
        <v>6</v>
      </c>
      <c r="KJ57">
        <v>1</v>
      </c>
      <c r="KK57" s="16">
        <v>2</v>
      </c>
      <c r="KO57" s="16"/>
    </row>
    <row r="58" spans="1:301" x14ac:dyDescent="0.25">
      <c r="A58" t="s">
        <v>500</v>
      </c>
      <c r="B58" t="s">
        <v>499</v>
      </c>
      <c r="C58" t="s">
        <v>498</v>
      </c>
      <c r="P58" t="s">
        <v>482</v>
      </c>
      <c r="T58" s="14" t="s">
        <v>554</v>
      </c>
      <c r="U58">
        <v>55</v>
      </c>
      <c r="V58" t="s">
        <v>496</v>
      </c>
      <c r="X58" t="str">
        <f>IF(COUNTIF(X$1:X57,X57)&gt;7,REPLACE(X57,LEN(X57),1,VALUE(RIGHT(X57,1))+1),X57)</f>
        <v>A3.3</v>
      </c>
      <c r="Y58" s="43" cm="1">
        <f t="array" ref="Y58">IF(COUNTIFS($X$2:$X58,$X58)=1,"1",VALUE(SUBSTITUTE(INDEX(Y:Y,_xlfn.XMATCH($X58,$X$1:$X57,0,-1)),"A",""))+INDEX(Z:Z,_xlfn.XMATCH($X58,$X$1:$X57,0,-1))+1)</f>
        <v>3</v>
      </c>
      <c r="Z58" s="43" cm="1">
        <f t="array" ref="Z58">SUM(IF(ISNUMBER(FIND("TmAi",$BA$1:$ZZ$1)),IF(IFERROR(ISODD(SUBSTITUTE($BA58:$ZZ58,"A","")),FALSE),IF(ISODD(SUBSTITUTE($BA58:$ZZ58,"A","")),1,0),0)))</f>
        <v>0</v>
      </c>
      <c r="AA58" t="str">
        <f t="shared" si="116"/>
        <v>5B</v>
      </c>
      <c r="AB58" t="str">
        <f t="shared" si="117"/>
        <v>6B</v>
      </c>
      <c r="AL58" t="s">
        <v>137</v>
      </c>
      <c r="AO58" t="s">
        <v>396</v>
      </c>
      <c r="JV58" s="27" t="str">
        <f t="shared" si="113"/>
        <v>XT55</v>
      </c>
      <c r="JY58" t="str">
        <f t="shared" si="114"/>
        <v>F0-AI3-5B</v>
      </c>
      <c r="JZ58" t="str">
        <f t="shared" si="115"/>
        <v>F0-AI3-6B</v>
      </c>
      <c r="KE58" cm="1">
        <f t="array" ref="KE58">IF(COUNTIFS($U$2:$U58,$U58)=1,1,INDEX(KE:KE,_xlfn.XMATCH(U58,U$1:U57,0,-1))+COUNT(KE57:KI57))</f>
        <v>7</v>
      </c>
      <c r="KF58">
        <f t="shared" ref="KF58:KI68" si="118">KE58+1</f>
        <v>8</v>
      </c>
      <c r="KG58">
        <f t="shared" si="118"/>
        <v>9</v>
      </c>
      <c r="KJ58">
        <v>1</v>
      </c>
      <c r="KK58" s="16">
        <v>2</v>
      </c>
      <c r="KO58" s="16"/>
    </row>
    <row r="59" spans="1:301" x14ac:dyDescent="0.25">
      <c r="A59" t="s">
        <v>502</v>
      </c>
      <c r="B59" s="33" t="s">
        <v>501</v>
      </c>
      <c r="C59" t="s">
        <v>498</v>
      </c>
      <c r="P59" t="s">
        <v>482</v>
      </c>
      <c r="T59" s="14" t="s">
        <v>554</v>
      </c>
      <c r="U59">
        <v>55</v>
      </c>
      <c r="V59" t="s">
        <v>497</v>
      </c>
      <c r="X59" t="str">
        <f>IF(COUNTIF(X$1:X58,X58)&gt;7,REPLACE(X58,LEN(X58),1,VALUE(RIGHT(X58,1))+1),X58)</f>
        <v>A3.3</v>
      </c>
      <c r="Y59" s="43" cm="1">
        <f t="array" ref="Y59">IF(COUNTIFS($X$2:$X59,$X59)=1,"1",VALUE(SUBSTITUTE(INDEX(Y:Y,_xlfn.XMATCH($X59,$X$1:$X58,0,-1)),"A",""))+INDEX(Z:Z,_xlfn.XMATCH($X59,$X$1:$X58,0,-1))+1)</f>
        <v>4</v>
      </c>
      <c r="Z59" s="43" cm="1">
        <f t="array" ref="Z59">SUM(IF(ISNUMBER(FIND("TmAi",$BA$1:$ZZ$1)),IF(IFERROR(ISODD(SUBSTITUTE($BA59:$ZZ59,"A","")),FALSE),IF(ISODD(SUBSTITUTE($BA59:$ZZ59,"A","")),1,0),0)))</f>
        <v>0</v>
      </c>
      <c r="AA59" t="str">
        <f t="shared" si="116"/>
        <v>7B</v>
      </c>
      <c r="AB59" t="str">
        <f t="shared" si="117"/>
        <v>8B</v>
      </c>
      <c r="AL59" t="s">
        <v>137</v>
      </c>
      <c r="AO59" t="s">
        <v>396</v>
      </c>
      <c r="JV59" s="27" t="str">
        <f t="shared" si="113"/>
        <v>XT55</v>
      </c>
      <c r="JY59" t="str">
        <f t="shared" si="114"/>
        <v>F0-AI3-7B</v>
      </c>
      <c r="JZ59" t="str">
        <f t="shared" si="115"/>
        <v>F0-AI3-8B</v>
      </c>
      <c r="KE59" cm="1">
        <f t="array" ref="KE59">IF(COUNTIFS($U$2:$U59,$U59)=1,1,INDEX(KE:KE,_xlfn.XMATCH(U59,U$1:U58,0,-1))+COUNT(KE58:KI58))</f>
        <v>10</v>
      </c>
      <c r="KF59">
        <f t="shared" si="118"/>
        <v>11</v>
      </c>
      <c r="KG59">
        <f t="shared" si="118"/>
        <v>12</v>
      </c>
      <c r="KJ59">
        <v>1</v>
      </c>
      <c r="KK59" s="16">
        <v>2</v>
      </c>
      <c r="KO59" s="16"/>
    </row>
    <row r="60" spans="1:301" x14ac:dyDescent="0.25">
      <c r="A60" t="s">
        <v>511</v>
      </c>
      <c r="B60" s="34" t="s">
        <v>510</v>
      </c>
      <c r="C60" t="s">
        <v>498</v>
      </c>
      <c r="P60" t="s">
        <v>482</v>
      </c>
      <c r="T60" s="14" t="s">
        <v>554</v>
      </c>
      <c r="U60">
        <v>55</v>
      </c>
      <c r="V60" t="s">
        <v>504</v>
      </c>
      <c r="X60" t="str">
        <f>IF(COUNTIF(X$1:X59,X59)&gt;7,REPLACE(X59,LEN(X59),1,VALUE(RIGHT(X59,1))+1),X59)</f>
        <v>A3.3</v>
      </c>
      <c r="Y60" s="43" cm="1">
        <f t="array" ref="Y60">IF(COUNTIFS($X$2:$X60,$X60)=1,"1",VALUE(SUBSTITUTE(INDEX(Y:Y,_xlfn.XMATCH($X60,$X$1:$X59,0,-1)),"A",""))+INDEX(Z:Z,_xlfn.XMATCH($X60,$X$1:$X59,0,-1))+1)</f>
        <v>5</v>
      </c>
      <c r="Z60" s="43" cm="1">
        <f t="array" ref="Z60">SUM(IF(ISNUMBER(FIND("TmAi",$BA$1:$ZZ$1)),IF(IFERROR(ISODD(SUBSTITUTE($BA60:$ZZ60,"A","")),FALSE),IF(ISODD(SUBSTITUTE($BA60:$ZZ60,"A","")),1,0),0)))</f>
        <v>0</v>
      </c>
      <c r="AA60" t="str">
        <f t="shared" si="116"/>
        <v>9B</v>
      </c>
      <c r="AB60" t="str">
        <f t="shared" si="117"/>
        <v>10B</v>
      </c>
      <c r="AL60" t="s">
        <v>137</v>
      </c>
      <c r="AO60" t="s">
        <v>396</v>
      </c>
      <c r="JV60" s="27" t="str">
        <f t="shared" si="113"/>
        <v>XT55</v>
      </c>
      <c r="JY60" t="str">
        <f t="shared" si="114"/>
        <v>F0-AI3-9B</v>
      </c>
      <c r="JZ60" t="str">
        <f t="shared" si="115"/>
        <v>F0-AI3-10B</v>
      </c>
      <c r="KE60" cm="1">
        <f t="array" ref="KE60">IF(COUNTIFS($U$2:$U60,$U60)=1,1,INDEX(KE:KE,_xlfn.XMATCH(U60,U$1:U59,0,-1))+COUNT(KE59:KI59))</f>
        <v>13</v>
      </c>
      <c r="KF60">
        <f t="shared" si="118"/>
        <v>14</v>
      </c>
      <c r="KG60">
        <f t="shared" si="118"/>
        <v>15</v>
      </c>
      <c r="KJ60">
        <v>1</v>
      </c>
      <c r="KK60" s="16">
        <v>2</v>
      </c>
      <c r="KO60" s="16"/>
    </row>
    <row r="61" spans="1:301" x14ac:dyDescent="0.25">
      <c r="A61" t="s">
        <v>513</v>
      </c>
      <c r="B61" t="s">
        <v>512</v>
      </c>
      <c r="C61" t="s">
        <v>498</v>
      </c>
      <c r="P61" t="s">
        <v>482</v>
      </c>
      <c r="T61" s="14" t="s">
        <v>554</v>
      </c>
      <c r="U61">
        <v>55</v>
      </c>
      <c r="V61" t="s">
        <v>505</v>
      </c>
      <c r="X61" t="str">
        <f>IF(COUNTIF(X$1:X60,X60)&gt;7,REPLACE(X60,LEN(X60),1,VALUE(RIGHT(X60,1))+1),X60)</f>
        <v>A3.3</v>
      </c>
      <c r="Y61" s="43" cm="1">
        <f t="array" ref="Y61">IF(COUNTIFS($X$2:$X61,$X61)=1,"1",VALUE(SUBSTITUTE(INDEX(Y:Y,_xlfn.XMATCH($X61,$X$1:$X60,0,-1)),"A",""))+INDEX(Z:Z,_xlfn.XMATCH($X61,$X$1:$X60,0,-1))+1)</f>
        <v>6</v>
      </c>
      <c r="Z61" s="43" cm="1">
        <f t="array" ref="Z61">SUM(IF(ISNUMBER(FIND("TmAi",$BA$1:$ZZ$1)),IF(IFERROR(ISODD(SUBSTITUTE($BA61:$ZZ61,"A","")),FALSE),IF(ISODD(SUBSTITUTE($BA61:$ZZ61,"A","")),1,0),0)))</f>
        <v>0</v>
      </c>
      <c r="AA61" t="str">
        <f t="shared" si="116"/>
        <v>11B</v>
      </c>
      <c r="AB61" t="str">
        <f t="shared" si="117"/>
        <v>12B</v>
      </c>
      <c r="AL61" t="s">
        <v>137</v>
      </c>
      <c r="AO61" t="s">
        <v>396</v>
      </c>
      <c r="JV61" s="27" t="str">
        <f t="shared" si="113"/>
        <v>XT55</v>
      </c>
      <c r="JY61" t="str">
        <f t="shared" si="114"/>
        <v>F0-AI3-11B</v>
      </c>
      <c r="JZ61" t="str">
        <f t="shared" si="115"/>
        <v>F0-AI3-12B</v>
      </c>
      <c r="KE61" cm="1">
        <f t="array" ref="KE61">IF(COUNTIFS($U$2:$U61,$U61)=1,1,INDEX(KE:KE,_xlfn.XMATCH(U61,U$1:U60,0,-1))+COUNT(KE60:KI60))</f>
        <v>16</v>
      </c>
      <c r="KF61">
        <f t="shared" si="118"/>
        <v>17</v>
      </c>
      <c r="KG61">
        <f t="shared" si="118"/>
        <v>18</v>
      </c>
      <c r="KJ61">
        <v>1</v>
      </c>
      <c r="KK61" s="16">
        <v>2</v>
      </c>
      <c r="KO61" s="16"/>
    </row>
    <row r="62" spans="1:301" x14ac:dyDescent="0.25">
      <c r="A62" t="s">
        <v>517</v>
      </c>
      <c r="B62" t="s">
        <v>514</v>
      </c>
      <c r="C62" t="s">
        <v>498</v>
      </c>
      <c r="P62" t="s">
        <v>482</v>
      </c>
      <c r="T62" s="14" t="s">
        <v>554</v>
      </c>
      <c r="U62">
        <v>55</v>
      </c>
      <c r="V62" t="s">
        <v>506</v>
      </c>
      <c r="X62" t="str">
        <f>IF(COUNTIF(X$1:X61,X61)&gt;7,REPLACE(X61,LEN(X61),1,VALUE(RIGHT(X61,1))+1),X61)</f>
        <v>A3.3</v>
      </c>
      <c r="Y62" s="43" cm="1">
        <f t="array" ref="Y62">IF(COUNTIFS($X$2:$X62,$X62)=1,"1",VALUE(SUBSTITUTE(INDEX(Y:Y,_xlfn.XMATCH($X62,$X$1:$X61,0,-1)),"A",""))+INDEX(Z:Z,_xlfn.XMATCH($X62,$X$1:$X61,0,-1))+1)</f>
        <v>7</v>
      </c>
      <c r="Z62" s="43" cm="1">
        <f t="array" ref="Z62">SUM(IF(ISNUMBER(FIND("TmAi",$BA$1:$ZZ$1)),IF(IFERROR(ISODD(SUBSTITUTE($BA62:$ZZ62,"A","")),FALSE),IF(ISODD(SUBSTITUTE($BA62:$ZZ62,"A","")),1,0),0)))</f>
        <v>0</v>
      </c>
      <c r="AA62" t="str">
        <f t="shared" si="116"/>
        <v>13B</v>
      </c>
      <c r="AB62" t="str">
        <f t="shared" si="117"/>
        <v>14B</v>
      </c>
      <c r="AL62" t="s">
        <v>137</v>
      </c>
      <c r="AO62" t="s">
        <v>396</v>
      </c>
      <c r="JV62" s="27" t="str">
        <f t="shared" si="113"/>
        <v>XT55</v>
      </c>
      <c r="JY62" t="str">
        <f t="shared" si="114"/>
        <v>F0-AI3-13B</v>
      </c>
      <c r="JZ62" t="str">
        <f t="shared" si="115"/>
        <v>F0-AI3-14B</v>
      </c>
      <c r="KE62" cm="1">
        <f t="array" ref="KE62">IF(COUNTIFS($U$2:$U62,$U62)=1,1,INDEX(KE:KE,_xlfn.XMATCH(U62,U$1:U61,0,-1))+COUNT(KE61:KI61))</f>
        <v>19</v>
      </c>
      <c r="KF62">
        <f t="shared" si="118"/>
        <v>20</v>
      </c>
      <c r="KG62">
        <f t="shared" si="118"/>
        <v>21</v>
      </c>
      <c r="KJ62">
        <v>1</v>
      </c>
      <c r="KK62" s="16">
        <v>2</v>
      </c>
      <c r="KO62" s="16"/>
    </row>
    <row r="63" spans="1:301" x14ac:dyDescent="0.25">
      <c r="A63" t="s">
        <v>516</v>
      </c>
      <c r="B63" t="s">
        <v>515</v>
      </c>
      <c r="C63" t="s">
        <v>498</v>
      </c>
      <c r="P63" t="s">
        <v>482</v>
      </c>
      <c r="T63" s="14" t="s">
        <v>554</v>
      </c>
      <c r="U63">
        <v>55</v>
      </c>
      <c r="V63" t="s">
        <v>507</v>
      </c>
      <c r="X63" s="33" t="str">
        <f>IF(COUNTIF(X$1:X62,X62)&gt;7,REPLACE(X62,LEN(X62),1,VALUE(RIGHT(X62,1))+1),X62)</f>
        <v>A3.3</v>
      </c>
      <c r="Y63" s="45" cm="1">
        <f t="array" ref="Y63">IF(COUNTIFS($X$2:$X63,$X63)=1,"1",VALUE(SUBSTITUTE(INDEX(Y:Y,_xlfn.XMATCH($X63,$X$1:$X62,0,-1)),"A",""))+INDEX(Z:Z,_xlfn.XMATCH($X63,$X$1:$X62,0,-1))+1)</f>
        <v>8</v>
      </c>
      <c r="Z63" s="43" cm="1">
        <f t="array" ref="Z63">SUM(IF(ISNUMBER(FIND("TmAi",$BA$1:$ZZ$1)),IF(IFERROR(ISODD(SUBSTITUTE($BA63:$ZZ63,"A","")),FALSE),IF(ISODD(SUBSTITUTE($BA63:$ZZ63,"A","")),1,0),0)))</f>
        <v>0</v>
      </c>
      <c r="AA63" t="str">
        <f t="shared" si="116"/>
        <v>15B</v>
      </c>
      <c r="AB63" t="str">
        <f t="shared" si="117"/>
        <v>16B</v>
      </c>
      <c r="AL63" t="s">
        <v>137</v>
      </c>
      <c r="AO63" t="s">
        <v>396</v>
      </c>
      <c r="JV63" s="27" t="str">
        <f t="shared" si="113"/>
        <v>XT55</v>
      </c>
      <c r="JY63" t="str">
        <f t="shared" si="114"/>
        <v>F0-AI3-15B</v>
      </c>
      <c r="JZ63" t="str">
        <f t="shared" si="115"/>
        <v>F0-AI3-16B</v>
      </c>
      <c r="KE63" cm="1">
        <f t="array" ref="KE63">IF(COUNTIFS($U$2:$U63,$U63)=1,1,INDEX(KE:KE,_xlfn.XMATCH(U63,U$1:U62,0,-1))+COUNT(KE62:KI62))</f>
        <v>22</v>
      </c>
      <c r="KF63">
        <f t="shared" si="118"/>
        <v>23</v>
      </c>
      <c r="KG63">
        <f t="shared" si="118"/>
        <v>24</v>
      </c>
      <c r="KJ63">
        <v>1</v>
      </c>
      <c r="KK63" s="16">
        <v>2</v>
      </c>
      <c r="KO63" s="16"/>
    </row>
    <row r="64" spans="1:301" x14ac:dyDescent="0.25">
      <c r="A64" t="s">
        <v>519</v>
      </c>
      <c r="B64" t="s">
        <v>518</v>
      </c>
      <c r="C64" t="s">
        <v>498</v>
      </c>
      <c r="P64" t="s">
        <v>482</v>
      </c>
      <c r="T64" s="14" t="s">
        <v>554</v>
      </c>
      <c r="U64">
        <v>55</v>
      </c>
      <c r="V64" t="s">
        <v>508</v>
      </c>
      <c r="X64" t="str">
        <f>IF(COUNTIF(X$1:X63,X63)&gt;7,REPLACE(X63,LEN(X63),1,VALUE(RIGHT(X63,1))+1),X63)</f>
        <v>A3.4</v>
      </c>
      <c r="Y64" s="43" t="str" cm="1">
        <f t="array" ref="Y64">IF(COUNTIFS($X$2:$X64,$X64)=1,"1",VALUE(SUBSTITUTE(INDEX(Y:Y,_xlfn.XMATCH($X64,$X$1:$X63,0,-1)),"A",""))+INDEX(Z:Z,_xlfn.XMATCH($X64,$X$1:$X63,0,-1))+1)</f>
        <v>1</v>
      </c>
      <c r="Z64" s="43" cm="1">
        <f t="array" ref="Z64">SUM(IF(ISNUMBER(FIND("TmAi",$BA$1:$ZZ$1)),IF(IFERROR(ISODD(SUBSTITUTE($BA64:$ZZ64,"A","")),FALSE),IF(ISODD(SUBSTITUTE($BA64:$ZZ64,"A","")),1,0),0)))</f>
        <v>0</v>
      </c>
      <c r="AA64" t="str">
        <f t="shared" si="116"/>
        <v>1B</v>
      </c>
      <c r="AB64" t="str">
        <f t="shared" si="117"/>
        <v>2B</v>
      </c>
      <c r="AL64" t="s">
        <v>137</v>
      </c>
      <c r="AO64" t="s">
        <v>396</v>
      </c>
      <c r="JV64" s="27" t="str">
        <f t="shared" si="113"/>
        <v>XT55</v>
      </c>
      <c r="JY64" t="str">
        <f t="shared" si="114"/>
        <v>F0-AI4-1B</v>
      </c>
      <c r="JZ64" t="str">
        <f t="shared" si="115"/>
        <v>F0-AI4-2B</v>
      </c>
      <c r="KE64" cm="1">
        <f t="array" ref="KE64">IF(COUNTIFS($U$2:$U64,$U64)=1,1,INDEX(KE:KE,_xlfn.XMATCH(U64,U$1:U63,0,-1))+COUNT(KE63:KI63))</f>
        <v>25</v>
      </c>
      <c r="KF64">
        <f t="shared" si="118"/>
        <v>26</v>
      </c>
      <c r="KG64">
        <f t="shared" si="118"/>
        <v>27</v>
      </c>
      <c r="KJ64">
        <v>1</v>
      </c>
      <c r="KK64" s="16">
        <v>2</v>
      </c>
      <c r="KO64" s="16"/>
    </row>
    <row r="65" spans="1:301" x14ac:dyDescent="0.25">
      <c r="A65" t="s">
        <v>521</v>
      </c>
      <c r="B65" s="33" t="s">
        <v>520</v>
      </c>
      <c r="C65" t="s">
        <v>498</v>
      </c>
      <c r="P65" t="s">
        <v>482</v>
      </c>
      <c r="T65" s="14" t="s">
        <v>554</v>
      </c>
      <c r="U65">
        <v>55</v>
      </c>
      <c r="V65" t="s">
        <v>522</v>
      </c>
      <c r="X65" t="str">
        <f>IF(COUNTIF(X$1:X64,X64)&gt;7,REPLACE(X64,LEN(X64),1,VALUE(RIGHT(X64,1))+1),X64)</f>
        <v>A3.4</v>
      </c>
      <c r="Y65" s="43" cm="1">
        <f t="array" ref="Y65">IF(COUNTIFS($X$2:$X65,$X65)=1,"1",VALUE(SUBSTITUTE(INDEX(Y:Y,_xlfn.XMATCH($X65,$X$1:$X64,0,-1)),"A",""))+INDEX(Z:Z,_xlfn.XMATCH($X65,$X$1:$X64,0,-1))+1)</f>
        <v>2</v>
      </c>
      <c r="Z65" s="43" cm="1">
        <f t="array" ref="Z65">SUM(IF(ISNUMBER(FIND("TmAi",$BA$1:$ZZ$1)),IF(IFERROR(ISODD(SUBSTITUTE($BA65:$ZZ65,"A","")),FALSE),IF(ISODD(SUBSTITUTE($BA65:$ZZ65,"A","")),1,0),0)))</f>
        <v>0</v>
      </c>
      <c r="AA65" t="str">
        <f t="shared" si="116"/>
        <v>3B</v>
      </c>
      <c r="AB65" t="str">
        <f t="shared" si="117"/>
        <v>4B</v>
      </c>
      <c r="AL65" t="s">
        <v>137</v>
      </c>
      <c r="AO65" t="s">
        <v>396</v>
      </c>
      <c r="JV65" s="27" t="str">
        <f t="shared" si="113"/>
        <v>XT55</v>
      </c>
      <c r="JY65" t="str">
        <f t="shared" si="114"/>
        <v>F0-AI4-3B</v>
      </c>
      <c r="JZ65" t="str">
        <f t="shared" si="115"/>
        <v>F0-AI4-4B</v>
      </c>
      <c r="KE65" cm="1">
        <f t="array" ref="KE65">IF(COUNTIFS($U$2:$U65,$U65)=1,1,INDEX(KE:KE,_xlfn.XMATCH(U65,U$1:U64,0,-1))+COUNT(KE64:KI64))</f>
        <v>28</v>
      </c>
      <c r="KF65">
        <f t="shared" si="118"/>
        <v>29</v>
      </c>
      <c r="KG65">
        <f t="shared" si="118"/>
        <v>30</v>
      </c>
      <c r="KJ65">
        <v>1</v>
      </c>
      <c r="KK65" s="16">
        <v>2</v>
      </c>
      <c r="KO65" s="16"/>
    </row>
    <row r="66" spans="1:301" x14ac:dyDescent="0.25">
      <c r="A66" t="s">
        <v>525</v>
      </c>
      <c r="B66" s="34" t="s">
        <v>523</v>
      </c>
      <c r="C66" t="s">
        <v>492</v>
      </c>
      <c r="P66" t="s">
        <v>482</v>
      </c>
      <c r="T66" s="14" t="s">
        <v>554</v>
      </c>
      <c r="U66">
        <v>55</v>
      </c>
      <c r="V66" t="s">
        <v>524</v>
      </c>
      <c r="X66" t="str">
        <f>IF(COUNTIF(X$1:X65,X65)&gt;7,REPLACE(X65,LEN(X65),1,VALUE(RIGHT(X65,1))+1),X65)</f>
        <v>A3.4</v>
      </c>
      <c r="Y66" s="43" cm="1">
        <f t="array" ref="Y66">IF(COUNTIFS($X$2:$X66,$X66)=1,"1",VALUE(SUBSTITUTE(INDEX(Y:Y,_xlfn.XMATCH($X66,$X$1:$X65,0,-1)),"A",""))+INDEX(Z:Z,_xlfn.XMATCH($X66,$X$1:$X65,0,-1))+1)</f>
        <v>3</v>
      </c>
      <c r="Z66" s="43" cm="1">
        <f t="array" ref="Z66">SUM(IF(ISNUMBER(FIND("TmAi",$BA$1:$ZZ$1)),IF(IFERROR(ISODD(SUBSTITUTE($BA66:$ZZ66,"A","")),FALSE),IF(ISODD(SUBSTITUTE($BA66:$ZZ66,"A","")),1,0),0)))</f>
        <v>0</v>
      </c>
      <c r="AA66" t="str">
        <f t="shared" si="116"/>
        <v>5B</v>
      </c>
      <c r="AB66" t="str">
        <f t="shared" si="117"/>
        <v>6B</v>
      </c>
      <c r="AL66" t="s">
        <v>137</v>
      </c>
      <c r="AO66" t="s">
        <v>396</v>
      </c>
      <c r="JV66" s="27" t="str">
        <f t="shared" si="113"/>
        <v>XT55</v>
      </c>
      <c r="JY66" t="str">
        <f t="shared" si="114"/>
        <v>F0-AI4-5B</v>
      </c>
      <c r="JZ66" t="str">
        <f t="shared" si="115"/>
        <v>F0-AI4-6B</v>
      </c>
      <c r="KE66" cm="1">
        <f t="array" ref="KE66">IF(COUNTIFS($U$2:$U66,$U66)=1,1,INDEX(KE:KE,_xlfn.XMATCH(U66,U$1:U65,0,-1))+COUNT(KE65:KI65))</f>
        <v>31</v>
      </c>
      <c r="KF66">
        <f t="shared" si="118"/>
        <v>32</v>
      </c>
      <c r="KG66">
        <f t="shared" si="118"/>
        <v>33</v>
      </c>
      <c r="KJ66">
        <v>1</v>
      </c>
      <c r="KK66" s="16">
        <v>2</v>
      </c>
      <c r="KO66" s="16"/>
    </row>
    <row r="67" spans="1:301" x14ac:dyDescent="0.25">
      <c r="A67" t="s">
        <v>527</v>
      </c>
      <c r="B67" s="33" t="s">
        <v>526</v>
      </c>
      <c r="C67" t="s">
        <v>498</v>
      </c>
      <c r="P67" t="s">
        <v>482</v>
      </c>
      <c r="T67" s="14" t="s">
        <v>554</v>
      </c>
      <c r="U67">
        <v>55</v>
      </c>
      <c r="V67" t="s">
        <v>528</v>
      </c>
      <c r="X67" t="str">
        <f>IF(COUNTIF(X$1:X66,X66)&gt;7,REPLACE(X66,LEN(X66),1,VALUE(RIGHT(X66,1))+1),X66)</f>
        <v>A3.4</v>
      </c>
      <c r="Y67" s="43" cm="1">
        <f t="array" ref="Y67">IF(COUNTIFS($X$2:$X67,$X67)=1,"1",VALUE(SUBSTITUTE(INDEX(Y:Y,_xlfn.XMATCH($X67,$X$1:$X66,0,-1)),"A",""))+INDEX(Z:Z,_xlfn.XMATCH($X67,$X$1:$X66,0,-1))+1)</f>
        <v>4</v>
      </c>
      <c r="Z67" s="43" cm="1">
        <f t="array" ref="Z67">SUM(IF(ISNUMBER(FIND("TmAi",$BA$1:$ZZ$1)),IF(IFERROR(ISODD(SUBSTITUTE($BA67:$ZZ67,"A","")),FALSE),IF(ISODD(SUBSTITUTE($BA67:$ZZ67,"A","")),1,0),0)))</f>
        <v>0</v>
      </c>
      <c r="AA67" t="str">
        <f t="shared" si="116"/>
        <v>7B</v>
      </c>
      <c r="AB67" t="str">
        <f t="shared" si="117"/>
        <v>8B</v>
      </c>
      <c r="AL67" t="s">
        <v>137</v>
      </c>
      <c r="AO67" t="s">
        <v>396</v>
      </c>
      <c r="JV67" s="27" t="str">
        <f t="shared" si="113"/>
        <v>XT55</v>
      </c>
      <c r="JY67" t="str">
        <f t="shared" si="114"/>
        <v>F0-AI4-7B</v>
      </c>
      <c r="JZ67" t="str">
        <f t="shared" si="115"/>
        <v>F0-AI4-8B</v>
      </c>
      <c r="KE67" cm="1">
        <f t="array" ref="KE67">IF(COUNTIFS($U$2:$U67,$U67)=1,1,INDEX(KE:KE,_xlfn.XMATCH(U67,U$1:U66,0,-1))+COUNT(KE66:KI66))</f>
        <v>34</v>
      </c>
      <c r="KF67">
        <f t="shared" si="118"/>
        <v>35</v>
      </c>
      <c r="KG67">
        <f t="shared" si="118"/>
        <v>36</v>
      </c>
      <c r="KJ67">
        <v>1</v>
      </c>
      <c r="KK67" s="16">
        <v>2</v>
      </c>
      <c r="KO67" s="16"/>
    </row>
    <row r="68" spans="1:301" x14ac:dyDescent="0.25">
      <c r="A68" t="s">
        <v>530</v>
      </c>
      <c r="B68" t="s">
        <v>529</v>
      </c>
      <c r="C68" t="s">
        <v>531</v>
      </c>
      <c r="P68" t="s">
        <v>503</v>
      </c>
      <c r="T68" s="14" t="s">
        <v>554</v>
      </c>
      <c r="U68">
        <v>55</v>
      </c>
      <c r="V68" t="s">
        <v>532</v>
      </c>
      <c r="X68" s="33" t="str">
        <f>IF(COUNTIF(X$1:X67,X67)&gt;7,REPLACE(X67,LEN(X67),1,VALUE(RIGHT(X67,1))+1),X67)</f>
        <v>A3.4</v>
      </c>
      <c r="Y68" s="45" cm="1">
        <f t="array" ref="Y68">IF(COUNTIFS($X$2:$X68,$X68)=1,"1",VALUE(SUBSTITUTE(INDEX(Y:Y,_xlfn.XMATCH($X68,$X$1:$X67,0,-1)),"A",""))+INDEX(Z:Z,_xlfn.XMATCH($X68,$X$1:$X67,0,-1))+1)</f>
        <v>5</v>
      </c>
      <c r="Z68" s="43" cm="1">
        <f t="array" ref="Z68">SUM(IF(ISNUMBER(FIND("TmAi",$BA$1:$ZZ$1)),IF(IFERROR(ISODD(SUBSTITUTE($BA68:$ZZ68,"A","")),FALSE),IF(ISODD(SUBSTITUTE($BA68:$ZZ68,"A","")),1,0),0)))</f>
        <v>0</v>
      </c>
      <c r="AA68" t="str">
        <f>CONCATENATE($Y68*2-1,"A")</f>
        <v>9A</v>
      </c>
      <c r="AB68" t="str">
        <f>CONCATENATE($Y68*2-1,"B")</f>
        <v>9B</v>
      </c>
      <c r="AL68" t="s">
        <v>137</v>
      </c>
      <c r="AO68" t="s">
        <v>396</v>
      </c>
      <c r="JV68" s="27" t="str">
        <f t="shared" si="113"/>
        <v>XT55</v>
      </c>
      <c r="JY68" t="str">
        <f t="shared" si="114"/>
        <v>F0-AI4-9A</v>
      </c>
      <c r="JZ68" t="str">
        <f t="shared" si="115"/>
        <v>F0-AI4-9B</v>
      </c>
      <c r="KC68" t="s">
        <v>488</v>
      </c>
      <c r="KD68" t="s">
        <v>487</v>
      </c>
      <c r="KE68" cm="1">
        <f t="array" ref="KE68">IF(COUNTIFS($U$2:$U68,$U68)=1,1,INDEX(KE:KE,_xlfn.XMATCH(U68,U$1:U67,0,-1))+COUNT(KE67:KI67))</f>
        <v>37</v>
      </c>
      <c r="KF68">
        <f t="shared" si="118"/>
        <v>38</v>
      </c>
      <c r="KG68">
        <f t="shared" si="118"/>
        <v>39</v>
      </c>
      <c r="KH68">
        <f t="shared" si="118"/>
        <v>40</v>
      </c>
      <c r="KI68">
        <f t="shared" si="118"/>
        <v>41</v>
      </c>
      <c r="KJ68" t="s">
        <v>547</v>
      </c>
      <c r="KK68" s="16" t="s">
        <v>548</v>
      </c>
      <c r="KL68" t="s">
        <v>547</v>
      </c>
      <c r="KM68" t="s">
        <v>548</v>
      </c>
      <c r="KN68" t="s">
        <v>551</v>
      </c>
      <c r="KO68" s="16" t="s">
        <v>552</v>
      </c>
    </row>
    <row r="69" spans="1:301" x14ac:dyDescent="0.25">
      <c r="A69" t="s">
        <v>534</v>
      </c>
      <c r="B69" t="s">
        <v>533</v>
      </c>
      <c r="C69" t="s">
        <v>537</v>
      </c>
      <c r="P69" t="s">
        <v>542</v>
      </c>
      <c r="T69" s="14" t="s">
        <v>554</v>
      </c>
      <c r="U69">
        <v>55</v>
      </c>
      <c r="V69" t="s">
        <v>543</v>
      </c>
      <c r="X69" t="s">
        <v>1056</v>
      </c>
      <c r="Y69" s="43" t="str" cm="1">
        <f t="array" ref="Y69">IF(COUNTIFS($X$2:$X69,$X69)=1,"1",VALUE(SUBSTITUTE(INDEX(Y:Y,_xlfn.XMATCH($X69,$X$1:$X68,0,-1)),"A",""))+INDEX(Z:Z,_xlfn.XMATCH($X69,$X$1:$X68,0,-1))+1)</f>
        <v>1</v>
      </c>
      <c r="Z69" s="43" cm="1">
        <f t="array" ref="Z69">SUM(IF(ISNUMBER(FIND("TmAi",$BA$1:$ZZ$1)),IF(IFERROR(ISODD(SUBSTITUTE($BA69:$ZZ69,"A","")),FALSE),IF(ISODD(SUBSTITUTE($BA69:$ZZ69,"A","")),1,0),0)))</f>
        <v>0</v>
      </c>
      <c r="AA69" t="str">
        <f>CONCATENATE($Y69*2-1,"A")</f>
        <v>1A</v>
      </c>
      <c r="AB69" t="str">
        <f>CONCATENATE($Y69*2-1,"B")</f>
        <v>1B</v>
      </c>
      <c r="AL69" t="s">
        <v>137</v>
      </c>
      <c r="AO69" t="s">
        <v>396</v>
      </c>
      <c r="JV69" s="27" t="str">
        <f t="shared" si="113"/>
        <v>XT55</v>
      </c>
      <c r="JW69" t="str">
        <f>REPLACE(AA69,1,1,LEFT(AA69,1)+1)</f>
        <v>2A</v>
      </c>
      <c r="JX69" t="str">
        <f>REPLACE(AB69,1,1,LEFT(AB69,1)+1)</f>
        <v>2B</v>
      </c>
      <c r="JY69" t="str">
        <f t="shared" si="114"/>
        <v>F0-AI30-1A</v>
      </c>
      <c r="JZ69" t="str">
        <f t="shared" si="115"/>
        <v>F0-AI30-1B</v>
      </c>
      <c r="KA69" t="str">
        <f>CONCATENATE($T69,"-AI",REPLACE($X69,1,3,""),"-",JW69)</f>
        <v>F0-AI30-2A</v>
      </c>
      <c r="KB69" t="str">
        <f>CONCATENATE($T69,"-AI",REPLACE($X69,1,3,""),"-",JX69)</f>
        <v>F0-AI30-2B</v>
      </c>
      <c r="KE69" cm="1">
        <f t="array" ref="KE69">IF(COUNTIFS($U$2:$U69,$U69)=1,1,INDEX(KE:KE,_xlfn.XMATCH(U69,U$1:U68,0,-1))+COUNT(KE68:KI68))</f>
        <v>42</v>
      </c>
      <c r="KF69">
        <f>KE69+1</f>
        <v>43</v>
      </c>
      <c r="KG69">
        <f>KF69+1</f>
        <v>44</v>
      </c>
      <c r="KH69">
        <f>KG69+1</f>
        <v>45</v>
      </c>
      <c r="KJ69">
        <v>1</v>
      </c>
      <c r="KK69" s="16">
        <v>2</v>
      </c>
      <c r="KL69">
        <v>3</v>
      </c>
      <c r="KM69">
        <v>4</v>
      </c>
      <c r="KO69" s="16"/>
    </row>
    <row r="70" spans="1:301" x14ac:dyDescent="0.25">
      <c r="A70" t="s">
        <v>535</v>
      </c>
      <c r="B70" t="s">
        <v>536</v>
      </c>
      <c r="C70" t="s">
        <v>537</v>
      </c>
      <c r="P70" t="s">
        <v>542</v>
      </c>
      <c r="T70" s="14" t="s">
        <v>554</v>
      </c>
      <c r="U70">
        <v>55</v>
      </c>
      <c r="V70" t="s">
        <v>544</v>
      </c>
      <c r="X70" s="33" t="str">
        <f>IF(COUNTIF(X$1:X69,X69)&gt;3,REPLACE(X69,LEN(X69),1,VALUE(RIGHT(X69,1))+1),X69)</f>
        <v>A3.30</v>
      </c>
      <c r="Y70" s="45" cm="1">
        <f t="array" ref="Y70">IF(COUNTIFS($X$2:$X70,$X70)=1,"1",VALUE(SUBSTITUTE(INDEX(Y:Y,_xlfn.XMATCH($X70,$X$1:$X69,0,-1)),"A",""))+INDEX(Z:Z,_xlfn.XMATCH($X70,$X$1:$X69,0,-1))+1)</f>
        <v>2</v>
      </c>
      <c r="Z70" s="43" cm="1">
        <f t="array" ref="Z70">SUM(IF(ISNUMBER(FIND("TmAi",$BA$1:$ZZ$1)),IF(IFERROR(ISODD(SUBSTITUTE($BA70:$ZZ70,"A","")),FALSE),IF(ISODD(SUBSTITUTE($BA70:$ZZ70,"A","")),1,0),0)))</f>
        <v>0</v>
      </c>
      <c r="AA70" t="str">
        <f>CONCATENATE($Y70*2-1,"A")</f>
        <v>3A</v>
      </c>
      <c r="AB70" t="str">
        <f>CONCATENATE($Y70*2-1,"B")</f>
        <v>3B</v>
      </c>
      <c r="AL70" t="s">
        <v>137</v>
      </c>
      <c r="AO70" t="s">
        <v>396</v>
      </c>
      <c r="JV70" s="27" t="str">
        <f t="shared" si="113"/>
        <v>XT55</v>
      </c>
      <c r="JW70" t="str">
        <f>REPLACE(AA70,1,1,LEFT(AA70,1)+1)</f>
        <v>4A</v>
      </c>
      <c r="JX70" t="str">
        <f>REPLACE(AB70,1,1,LEFT(AB70,1)+1)</f>
        <v>4B</v>
      </c>
      <c r="JY70" t="str">
        <f t="shared" si="114"/>
        <v>F0-AI30-3A</v>
      </c>
      <c r="JZ70" t="str">
        <f t="shared" si="115"/>
        <v>F0-AI30-3B</v>
      </c>
      <c r="KA70" t="str">
        <f>CONCATENATE($T70,"-AI",REPLACE($X70,1,3,""),"-",JW70)</f>
        <v>F0-AI30-4A</v>
      </c>
      <c r="KB70" t="str">
        <f>CONCATENATE($T70,"-AI",REPLACE($X70,1,3,""),"-",JX70)</f>
        <v>F0-AI30-4B</v>
      </c>
      <c r="KE70" cm="1">
        <f t="array" ref="KE70">IF(COUNTIFS($U$2:$U70,$U70)=1,1,INDEX(KE:KE,_xlfn.XMATCH(U70,U$1:U69,0,-1))+COUNT(KE69:KI69))</f>
        <v>46</v>
      </c>
      <c r="KF70">
        <f t="shared" ref="KF70:KI85" si="119">KE70+1</f>
        <v>47</v>
      </c>
      <c r="KG70">
        <f t="shared" si="119"/>
        <v>48</v>
      </c>
      <c r="KH70">
        <f t="shared" si="119"/>
        <v>49</v>
      </c>
      <c r="KJ70">
        <v>1</v>
      </c>
      <c r="KK70" s="16">
        <v>2</v>
      </c>
      <c r="KL70">
        <v>3</v>
      </c>
      <c r="KM70">
        <v>4</v>
      </c>
      <c r="KO70" s="16"/>
    </row>
    <row r="71" spans="1:301" x14ac:dyDescent="0.25">
      <c r="A71" t="s">
        <v>539</v>
      </c>
      <c r="B71" s="34" t="s">
        <v>538</v>
      </c>
      <c r="C71" t="s">
        <v>492</v>
      </c>
      <c r="P71" t="s">
        <v>482</v>
      </c>
      <c r="T71" s="14" t="s">
        <v>554</v>
      </c>
      <c r="U71">
        <v>55</v>
      </c>
      <c r="V71" t="s">
        <v>545</v>
      </c>
      <c r="X71" t="s">
        <v>509</v>
      </c>
      <c r="Y71" s="43" cm="1">
        <f t="array" ref="Y71">IF(COUNTIFS($X$2:$X71,$X71)=1,"1",VALUE(SUBSTITUTE(INDEX(Y:Y,_xlfn.XMATCH($X71,$X$1:$X70,0,-1)),"A",""))+INDEX(Z:Z,_xlfn.XMATCH($X71,$X$1:$X70,0,-1))+1)</f>
        <v>6</v>
      </c>
      <c r="Z71" s="43" cm="1">
        <f t="array" ref="Z71">SUM(IF(ISNUMBER(FIND("TmAi",$BA$1:$ZZ$1)),IF(IFERROR(ISODD(SUBSTITUTE($BA71:$ZZ71,"A","")),FALSE),IF(ISODD(SUBSTITUTE($BA71:$ZZ71,"A","")),1,0),0)))</f>
        <v>0</v>
      </c>
      <c r="AA71" t="str">
        <f t="shared" ref="AA71:AA75" si="120">CONCATENATE($Y71*2-1,"B")</f>
        <v>11B</v>
      </c>
      <c r="AB71" t="str">
        <f t="shared" ref="AB71:AB75" si="121">CONCATENATE($Y71*2,"B")</f>
        <v>12B</v>
      </c>
      <c r="AL71" t="s">
        <v>137</v>
      </c>
      <c r="AO71" t="s">
        <v>396</v>
      </c>
      <c r="JV71" s="27" t="str">
        <f t="shared" si="113"/>
        <v>XT55</v>
      </c>
      <c r="JY71" t="str">
        <f t="shared" si="114"/>
        <v>F0-AI4-11B</v>
      </c>
      <c r="JZ71" t="str">
        <f t="shared" si="115"/>
        <v>F0-AI4-12B</v>
      </c>
      <c r="KE71" cm="1">
        <f t="array" ref="KE71">IF(COUNTIFS($U$2:$U71,$U71)=1,1,INDEX(KE:KE,_xlfn.XMATCH(U71,U$1:U70,0,-1))+COUNT(KE70:KI70))</f>
        <v>50</v>
      </c>
      <c r="KF71">
        <f t="shared" si="119"/>
        <v>51</v>
      </c>
      <c r="KG71">
        <f t="shared" si="119"/>
        <v>52</v>
      </c>
      <c r="KJ71">
        <v>1</v>
      </c>
      <c r="KK71" s="16">
        <v>2</v>
      </c>
      <c r="KO71" s="16"/>
    </row>
    <row r="72" spans="1:301" x14ac:dyDescent="0.25">
      <c r="A72" t="s">
        <v>541</v>
      </c>
      <c r="B72" t="s">
        <v>540</v>
      </c>
      <c r="C72" t="s">
        <v>498</v>
      </c>
      <c r="P72" t="s">
        <v>482</v>
      </c>
      <c r="T72" s="14" t="s">
        <v>554</v>
      </c>
      <c r="U72">
        <v>55</v>
      </c>
      <c r="V72" t="s">
        <v>546</v>
      </c>
      <c r="X72" t="str">
        <f>IF(COUNTIF(X$1:X71,X71)&gt;7,REPLACE(X71,LEN(X71),1,VALUE(RIGHT(X71,1))+1),X71)</f>
        <v>A3.4</v>
      </c>
      <c r="Y72" s="43" cm="1">
        <f t="array" ref="Y72">IF(COUNTIFS($X$2:$X72,$X72)=1,"1",VALUE(SUBSTITUTE(INDEX(Y:Y,_xlfn.XMATCH($X72,$X$1:$X71,0,-1)),"A",""))+INDEX(Z:Z,_xlfn.XMATCH($X72,$X$1:$X71,0,-1))+1)</f>
        <v>7</v>
      </c>
      <c r="Z72" s="43" cm="1">
        <f t="array" ref="Z72">SUM(IF(ISNUMBER(FIND("TmAi",$BA$1:$ZZ$1)),IF(IFERROR(ISODD(SUBSTITUTE($BA72:$ZZ72,"A","")),FALSE),IF(ISODD(SUBSTITUTE($BA72:$ZZ72,"A","")),1,0),0)))</f>
        <v>0</v>
      </c>
      <c r="AA72" t="str">
        <f t="shared" si="120"/>
        <v>13B</v>
      </c>
      <c r="AB72" t="str">
        <f t="shared" si="121"/>
        <v>14B</v>
      </c>
      <c r="AL72" t="s">
        <v>137</v>
      </c>
      <c r="AO72" t="s">
        <v>396</v>
      </c>
      <c r="JV72" s="27" t="str">
        <f t="shared" si="113"/>
        <v>XT55</v>
      </c>
      <c r="JY72" t="str">
        <f t="shared" si="114"/>
        <v>F0-AI4-13B</v>
      </c>
      <c r="JZ72" t="str">
        <f t="shared" si="115"/>
        <v>F0-AI4-14B</v>
      </c>
      <c r="KE72" cm="1">
        <f t="array" ref="KE72">IF(COUNTIFS($U$2:$U72,$U72)=1,1,INDEX(KE:KE,_xlfn.XMATCH(U72,U$1:U71,0,-1))+COUNT(KE71:KI71))</f>
        <v>53</v>
      </c>
      <c r="KF72">
        <f t="shared" si="119"/>
        <v>54</v>
      </c>
      <c r="KG72">
        <f t="shared" si="119"/>
        <v>55</v>
      </c>
      <c r="KJ72">
        <v>1</v>
      </c>
      <c r="KK72" s="16">
        <v>2</v>
      </c>
      <c r="KO72" s="16"/>
    </row>
    <row r="73" spans="1:301" x14ac:dyDescent="0.25">
      <c r="A73" t="s">
        <v>560</v>
      </c>
      <c r="B73" t="s">
        <v>559</v>
      </c>
      <c r="C73" t="s">
        <v>498</v>
      </c>
      <c r="P73" t="s">
        <v>482</v>
      </c>
      <c r="T73" s="14" t="s">
        <v>554</v>
      </c>
      <c r="U73">
        <v>55</v>
      </c>
      <c r="V73" t="s">
        <v>577</v>
      </c>
      <c r="X73" s="33" t="str">
        <f>IF(COUNTIF(X$1:X72,X72)&gt;7,REPLACE(X72,LEN(X72),1,VALUE(RIGHT(X72,1))+1),X72)</f>
        <v>A3.4</v>
      </c>
      <c r="Y73" s="45" cm="1">
        <f t="array" ref="Y73">IF(COUNTIFS($X$2:$X73,$X73)=1,"1",VALUE(SUBSTITUTE(INDEX(Y:Y,_xlfn.XMATCH($X73,$X$1:$X72,0,-1)),"A",""))+INDEX(Z:Z,_xlfn.XMATCH($X73,$X$1:$X72,0,-1))+1)</f>
        <v>8</v>
      </c>
      <c r="Z73" s="43" cm="1">
        <f t="array" ref="Z73">SUM(IF(ISNUMBER(FIND("TmAi",$BA$1:$ZZ$1)),IF(IFERROR(ISODD(SUBSTITUTE($BA73:$ZZ73,"A","")),FALSE),IF(ISODD(SUBSTITUTE($BA73:$ZZ73,"A","")),1,0),0)))</f>
        <v>0</v>
      </c>
      <c r="AA73" t="str">
        <f t="shared" si="120"/>
        <v>15B</v>
      </c>
      <c r="AB73" t="str">
        <f t="shared" si="121"/>
        <v>16B</v>
      </c>
      <c r="AL73" t="s">
        <v>137</v>
      </c>
      <c r="AO73" t="s">
        <v>396</v>
      </c>
      <c r="JV73" s="27" t="str">
        <f t="shared" si="113"/>
        <v>XT55</v>
      </c>
      <c r="JY73" t="str">
        <f t="shared" si="114"/>
        <v>F0-AI4-15B</v>
      </c>
      <c r="JZ73" t="str">
        <f t="shared" si="115"/>
        <v>F0-AI4-16B</v>
      </c>
      <c r="KE73" cm="1">
        <f t="array" ref="KE73">IF(COUNTIFS($U$2:$U73,$U73)=1,1,INDEX(KE:KE,_xlfn.XMATCH(U73,U$1:U72,0,-1))+COUNT(KE72:KI72))</f>
        <v>56</v>
      </c>
      <c r="KF73">
        <f t="shared" si="119"/>
        <v>57</v>
      </c>
      <c r="KG73">
        <f t="shared" si="119"/>
        <v>58</v>
      </c>
      <c r="KJ73">
        <v>1</v>
      </c>
      <c r="KK73" s="16">
        <v>2</v>
      </c>
      <c r="KO73" s="16"/>
    </row>
    <row r="74" spans="1:301" x14ac:dyDescent="0.25">
      <c r="A74" t="s">
        <v>562</v>
      </c>
      <c r="B74" t="s">
        <v>561</v>
      </c>
      <c r="C74" t="s">
        <v>498</v>
      </c>
      <c r="P74" t="s">
        <v>482</v>
      </c>
      <c r="T74" s="14" t="s">
        <v>554</v>
      </c>
      <c r="U74">
        <v>55</v>
      </c>
      <c r="V74" t="s">
        <v>578</v>
      </c>
      <c r="X74" t="str">
        <f>IF(COUNTIF(X$1:X73,X73)&gt;7,REPLACE(X73,LEN(X73),1,VALUE(RIGHT(X73,1))+1),X73)</f>
        <v>A3.5</v>
      </c>
      <c r="Y74" s="43" t="str" cm="1">
        <f t="array" ref="Y74">IF(COUNTIFS($X$2:$X74,$X74)=1,"1",VALUE(SUBSTITUTE(INDEX(Y:Y,_xlfn.XMATCH($X74,$X$1:$X73,0,-1)),"A",""))+INDEX(Z:Z,_xlfn.XMATCH($X74,$X$1:$X73,0,-1))+1)</f>
        <v>1</v>
      </c>
      <c r="Z74" s="43" cm="1">
        <f t="array" ref="Z74">SUM(IF(ISNUMBER(FIND("TmAi",$BA$1:$ZZ$1)),IF(IFERROR(ISODD(SUBSTITUTE($BA74:$ZZ74,"A","")),FALSE),IF(ISODD(SUBSTITUTE($BA74:$ZZ74,"A","")),1,0),0)))</f>
        <v>0</v>
      </c>
      <c r="AA74" t="str">
        <f t="shared" si="120"/>
        <v>1B</v>
      </c>
      <c r="AB74" t="str">
        <f t="shared" si="121"/>
        <v>2B</v>
      </c>
      <c r="AL74" t="s">
        <v>137</v>
      </c>
      <c r="AO74" t="s">
        <v>396</v>
      </c>
      <c r="JV74" s="27" t="str">
        <f t="shared" si="113"/>
        <v>XT55</v>
      </c>
      <c r="JY74" t="str">
        <f t="shared" si="114"/>
        <v>F0-AI5-1B</v>
      </c>
      <c r="JZ74" t="str">
        <f t="shared" si="115"/>
        <v>F0-AI5-2B</v>
      </c>
      <c r="KE74" cm="1">
        <f t="array" ref="KE74">IF(COUNTIFS($U$2:$U74,$U74)=1,1,INDEX(KE:KE,_xlfn.XMATCH(U74,U$1:U73,0,-1))+COUNT(KE73:KI73))</f>
        <v>59</v>
      </c>
      <c r="KF74">
        <f t="shared" si="119"/>
        <v>60</v>
      </c>
      <c r="KG74">
        <f t="shared" si="119"/>
        <v>61</v>
      </c>
      <c r="KJ74">
        <v>1</v>
      </c>
      <c r="KK74" s="16">
        <v>2</v>
      </c>
      <c r="KO74" s="16"/>
    </row>
    <row r="75" spans="1:301" x14ac:dyDescent="0.25">
      <c r="A75" t="s">
        <v>564</v>
      </c>
      <c r="B75" t="s">
        <v>563</v>
      </c>
      <c r="C75" t="s">
        <v>498</v>
      </c>
      <c r="P75" t="s">
        <v>482</v>
      </c>
      <c r="T75" s="14" t="s">
        <v>554</v>
      </c>
      <c r="U75">
        <v>55</v>
      </c>
      <c r="V75" t="s">
        <v>579</v>
      </c>
      <c r="X75" t="str">
        <f>IF(COUNTIF(X$1:X74,X74)&gt;7,REPLACE(X74,LEN(X74),1,VALUE(RIGHT(X74,1))+1),X74)</f>
        <v>A3.5</v>
      </c>
      <c r="Y75" s="43" cm="1">
        <f t="array" ref="Y75">IF(COUNTIFS($X$2:$X75,$X75)=1,"1",VALUE(SUBSTITUTE(INDEX(Y:Y,_xlfn.XMATCH($X75,$X$1:$X74,0,-1)),"A",""))+INDEX(Z:Z,_xlfn.XMATCH($X75,$X$1:$X74,0,-1))+1)</f>
        <v>2</v>
      </c>
      <c r="Z75" s="43" cm="1">
        <f t="array" ref="Z75">SUM(IF(ISNUMBER(FIND("TmAi",$BA$1:$ZZ$1)),IF(IFERROR(ISODD(SUBSTITUTE($BA75:$ZZ75,"A","")),FALSE),IF(ISODD(SUBSTITUTE($BA75:$ZZ75,"A","")),1,0),0)))</f>
        <v>0</v>
      </c>
      <c r="AA75" t="str">
        <f t="shared" si="120"/>
        <v>3B</v>
      </c>
      <c r="AB75" t="str">
        <f t="shared" si="121"/>
        <v>4B</v>
      </c>
      <c r="AL75" t="s">
        <v>137</v>
      </c>
      <c r="AO75" t="s">
        <v>396</v>
      </c>
      <c r="JV75" s="27" t="str">
        <f t="shared" si="113"/>
        <v>XT55</v>
      </c>
      <c r="JY75" t="str">
        <f t="shared" si="114"/>
        <v>F0-AI5-3B</v>
      </c>
      <c r="JZ75" t="str">
        <f t="shared" si="115"/>
        <v>F0-AI5-4B</v>
      </c>
      <c r="KE75" cm="1">
        <f t="array" ref="KE75">IF(COUNTIFS($U$2:$U75,$U75)=1,1,INDEX(KE:KE,_xlfn.XMATCH(U75,U$1:U74,0,-1))+COUNT(KE74:KI74))</f>
        <v>62</v>
      </c>
      <c r="KF75">
        <f t="shared" si="119"/>
        <v>63</v>
      </c>
      <c r="KG75">
        <f t="shared" si="119"/>
        <v>64</v>
      </c>
      <c r="KJ75">
        <v>1</v>
      </c>
      <c r="KK75" s="16">
        <v>2</v>
      </c>
      <c r="KO75" s="16"/>
    </row>
    <row r="76" spans="1:301" x14ac:dyDescent="0.25">
      <c r="A76" t="s">
        <v>566</v>
      </c>
      <c r="B76" t="s">
        <v>565</v>
      </c>
      <c r="C76" t="s">
        <v>531</v>
      </c>
      <c r="P76" t="s">
        <v>503</v>
      </c>
      <c r="T76" s="14" t="s">
        <v>554</v>
      </c>
      <c r="U76">
        <v>55</v>
      </c>
      <c r="V76" t="s">
        <v>580</v>
      </c>
      <c r="X76" t="str">
        <f>IF(COUNTIF(X$1:X75,X75)&gt;7,REPLACE(X75,LEN(X75),1,VALUE(RIGHT(X75,1))+1),X75)</f>
        <v>A3.5</v>
      </c>
      <c r="Y76" s="43" cm="1">
        <f t="array" ref="Y76">IF(COUNTIFS($X$2:$X76,$X76)=1,"1",VALUE(SUBSTITUTE(INDEX(Y:Y,_xlfn.XMATCH($X76,$X$1:$X75,0,-1)),"A",""))+INDEX(Z:Z,_xlfn.XMATCH($X76,$X$1:$X75,0,-1))+1)</f>
        <v>3</v>
      </c>
      <c r="Z76" s="43" cm="1">
        <f t="array" ref="Z76">SUM(IF(ISNUMBER(FIND("TmAi",$BA$1:$ZZ$1)),IF(IFERROR(ISODD(SUBSTITUTE($BA76:$ZZ76,"A","")),FALSE),IF(ISODD(SUBSTITUTE($BA76:$ZZ76,"A","")),1,0),0)))</f>
        <v>0</v>
      </c>
      <c r="AA76" t="str">
        <f>CONCATENATE($Y76*2-1,"A")</f>
        <v>5A</v>
      </c>
      <c r="AB76" t="str">
        <f>CONCATENATE($Y76*2-1,"B")</f>
        <v>5B</v>
      </c>
      <c r="AL76" t="s">
        <v>137</v>
      </c>
      <c r="AO76" t="s">
        <v>396</v>
      </c>
      <c r="JV76" s="27" t="str">
        <f t="shared" si="113"/>
        <v>XT55</v>
      </c>
      <c r="JY76" t="str">
        <f t="shared" si="114"/>
        <v>F0-AI5-5A</v>
      </c>
      <c r="JZ76" t="str">
        <f t="shared" si="115"/>
        <v>F0-AI5-5B</v>
      </c>
      <c r="KC76" t="s">
        <v>488</v>
      </c>
      <c r="KD76" t="s">
        <v>487</v>
      </c>
      <c r="KE76" cm="1">
        <f t="array" ref="KE76">IF(COUNTIFS($U$2:$U76,$U76)=1,1,INDEX(KE:KE,_xlfn.XMATCH(U76,U$1:U75,0,-1))+COUNT(KE75:KI75))</f>
        <v>65</v>
      </c>
      <c r="KF76">
        <f t="shared" si="119"/>
        <v>66</v>
      </c>
      <c r="KG76">
        <f t="shared" si="119"/>
        <v>67</v>
      </c>
      <c r="KH76">
        <f t="shared" si="119"/>
        <v>68</v>
      </c>
      <c r="KI76">
        <f t="shared" si="119"/>
        <v>69</v>
      </c>
      <c r="KJ76" t="s">
        <v>547</v>
      </c>
      <c r="KK76" s="16" t="s">
        <v>548</v>
      </c>
      <c r="KL76" t="s">
        <v>547</v>
      </c>
      <c r="KM76" t="s">
        <v>548</v>
      </c>
      <c r="KN76" t="s">
        <v>551</v>
      </c>
      <c r="KO76" s="16" t="s">
        <v>552</v>
      </c>
    </row>
    <row r="77" spans="1:301" x14ac:dyDescent="0.25">
      <c r="A77" t="s">
        <v>568</v>
      </c>
      <c r="B77" t="s">
        <v>567</v>
      </c>
      <c r="C77" t="s">
        <v>498</v>
      </c>
      <c r="P77" t="s">
        <v>482</v>
      </c>
      <c r="T77" s="14" t="s">
        <v>554</v>
      </c>
      <c r="U77">
        <v>55</v>
      </c>
      <c r="V77" t="s">
        <v>581</v>
      </c>
      <c r="X77" t="str">
        <f>IF(COUNTIF(X$1:X76,X76)&gt;7,REPLACE(X76,LEN(X76),1,VALUE(RIGHT(X76,1))+1),X76)</f>
        <v>A3.5</v>
      </c>
      <c r="Y77" s="43" cm="1">
        <f t="array" ref="Y77">IF(COUNTIFS($X$2:$X77,$X77)=1,"1",VALUE(SUBSTITUTE(INDEX(Y:Y,_xlfn.XMATCH($X77,$X$1:$X76,0,-1)),"A",""))+INDEX(Z:Z,_xlfn.XMATCH($X77,$X$1:$X76,0,-1))+1)</f>
        <v>4</v>
      </c>
      <c r="Z77" s="43" cm="1">
        <f t="array" ref="Z77">SUM(IF(ISNUMBER(FIND("TmAi",$BA$1:$ZZ$1)),IF(IFERROR(ISODD(SUBSTITUTE($BA77:$ZZ77,"A","")),FALSE),IF(ISODD(SUBSTITUTE($BA77:$ZZ77,"A","")),1,0),0)))</f>
        <v>0</v>
      </c>
      <c r="AA77" t="str">
        <f t="shared" ref="AA77:AA88" si="122">CONCATENATE($Y77*2-1,"B")</f>
        <v>7B</v>
      </c>
      <c r="AB77" t="str">
        <f t="shared" ref="AB77:AB88" si="123">CONCATENATE($Y77*2,"B")</f>
        <v>8B</v>
      </c>
      <c r="AL77" t="s">
        <v>137</v>
      </c>
      <c r="AO77" t="s">
        <v>396</v>
      </c>
      <c r="JV77" s="27" t="str">
        <f t="shared" si="113"/>
        <v>XT55</v>
      </c>
      <c r="JY77" t="str">
        <f t="shared" si="114"/>
        <v>F0-AI5-7B</v>
      </c>
      <c r="JZ77" t="str">
        <f t="shared" si="115"/>
        <v>F0-AI5-8B</v>
      </c>
      <c r="KE77" cm="1">
        <f t="array" ref="KE77">IF(COUNTIFS($U$2:$U77,$U77)=1,1,INDEX(KE:KE,_xlfn.XMATCH(U77,U$1:U76,0,-1))+COUNT(KE76:KI76))</f>
        <v>70</v>
      </c>
      <c r="KF77">
        <f t="shared" si="119"/>
        <v>71</v>
      </c>
      <c r="KG77">
        <f t="shared" si="119"/>
        <v>72</v>
      </c>
      <c r="KJ77">
        <v>1</v>
      </c>
      <c r="KK77" s="16">
        <v>2</v>
      </c>
      <c r="KO77" s="16"/>
    </row>
    <row r="78" spans="1:301" x14ac:dyDescent="0.25">
      <c r="A78" t="s">
        <v>570</v>
      </c>
      <c r="B78" s="33" t="s">
        <v>569</v>
      </c>
      <c r="C78" t="s">
        <v>492</v>
      </c>
      <c r="P78" t="s">
        <v>482</v>
      </c>
      <c r="T78" s="14" t="s">
        <v>554</v>
      </c>
      <c r="U78">
        <v>55</v>
      </c>
      <c r="V78" t="s">
        <v>582</v>
      </c>
      <c r="X78" t="str">
        <f>IF(COUNTIF(X$1:X77,X77)&gt;7,REPLACE(X77,LEN(X77),1,VALUE(RIGHT(X77,1))+1),X77)</f>
        <v>A3.5</v>
      </c>
      <c r="Y78" s="43" cm="1">
        <f t="array" ref="Y78">IF(COUNTIFS($X$2:$X78,$X78)=1,"1",VALUE(SUBSTITUTE(INDEX(Y:Y,_xlfn.XMATCH($X78,$X$1:$X77,0,-1)),"A",""))+INDEX(Z:Z,_xlfn.XMATCH($X78,$X$1:$X77,0,-1))+1)</f>
        <v>5</v>
      </c>
      <c r="Z78" s="43" cm="1">
        <f t="array" ref="Z78">SUM(IF(ISNUMBER(FIND("TmAi",$BA$1:$ZZ$1)),IF(IFERROR(ISODD(SUBSTITUTE($BA78:$ZZ78,"A","")),FALSE),IF(ISODD(SUBSTITUTE($BA78:$ZZ78,"A","")),1,0),0)))</f>
        <v>0</v>
      </c>
      <c r="AA78" t="str">
        <f t="shared" si="122"/>
        <v>9B</v>
      </c>
      <c r="AB78" t="str">
        <f t="shared" si="123"/>
        <v>10B</v>
      </c>
      <c r="AL78" t="s">
        <v>137</v>
      </c>
      <c r="AO78" t="s">
        <v>396</v>
      </c>
      <c r="JV78" s="27" t="str">
        <f t="shared" si="113"/>
        <v>XT55</v>
      </c>
      <c r="JY78" t="str">
        <f t="shared" si="114"/>
        <v>F0-AI5-9B</v>
      </c>
      <c r="JZ78" t="str">
        <f t="shared" si="115"/>
        <v>F0-AI5-10B</v>
      </c>
      <c r="KE78" cm="1">
        <f t="array" ref="KE78">IF(COUNTIFS($U$2:$U78,$U78)=1,1,INDEX(KE:KE,_xlfn.XMATCH(U78,U$1:U77,0,-1))+COUNT(KE77:KI77))</f>
        <v>73</v>
      </c>
      <c r="KF78">
        <f t="shared" si="119"/>
        <v>74</v>
      </c>
      <c r="KG78">
        <f t="shared" si="119"/>
        <v>75</v>
      </c>
      <c r="KJ78">
        <v>1</v>
      </c>
      <c r="KK78" s="16">
        <v>2</v>
      </c>
      <c r="KO78" s="16"/>
    </row>
    <row r="79" spans="1:301" x14ac:dyDescent="0.25">
      <c r="A79" t="s">
        <v>572</v>
      </c>
      <c r="B79" t="s">
        <v>571</v>
      </c>
      <c r="C79" t="s">
        <v>492</v>
      </c>
      <c r="P79" t="s">
        <v>482</v>
      </c>
      <c r="T79" s="14" t="s">
        <v>554</v>
      </c>
      <c r="U79">
        <v>55</v>
      </c>
      <c r="V79" t="s">
        <v>583</v>
      </c>
      <c r="X79" t="str">
        <f>IF(COUNTIF(X$1:X78,X78)&gt;7,REPLACE(X78,LEN(X78),1,VALUE(RIGHT(X78,1))+1),X78)</f>
        <v>A3.5</v>
      </c>
      <c r="Y79" s="43" cm="1">
        <f t="array" ref="Y79">IF(COUNTIFS($X$2:$X79,$X79)=1,"1",VALUE(SUBSTITUTE(INDEX(Y:Y,_xlfn.XMATCH($X79,$X$1:$X78,0,-1)),"A",""))+INDEX(Z:Z,_xlfn.XMATCH($X79,$X$1:$X78,0,-1))+1)</f>
        <v>6</v>
      </c>
      <c r="Z79" s="43" cm="1">
        <f t="array" ref="Z79">SUM(IF(ISNUMBER(FIND("TmAi",$BA$1:$ZZ$1)),IF(IFERROR(ISODD(SUBSTITUTE($BA79:$ZZ79,"A","")),FALSE),IF(ISODD(SUBSTITUTE($BA79:$ZZ79,"A","")),1,0),0)))</f>
        <v>0</v>
      </c>
      <c r="AA79" t="str">
        <f t="shared" si="122"/>
        <v>11B</v>
      </c>
      <c r="AB79" t="str">
        <f t="shared" si="123"/>
        <v>12B</v>
      </c>
      <c r="AL79" t="s">
        <v>137</v>
      </c>
      <c r="AO79" t="s">
        <v>396</v>
      </c>
      <c r="JV79" s="27" t="str">
        <f t="shared" si="113"/>
        <v>XT55</v>
      </c>
      <c r="JY79" t="str">
        <f t="shared" si="114"/>
        <v>F0-AI5-11B</v>
      </c>
      <c r="JZ79" t="str">
        <f t="shared" si="115"/>
        <v>F0-AI5-12B</v>
      </c>
      <c r="KE79" cm="1">
        <f t="array" ref="KE79">IF(COUNTIFS($U$2:$U79,$U79)=1,1,INDEX(KE:KE,_xlfn.XMATCH(U79,U$1:U78,0,-1))+COUNT(KE78:KI78))</f>
        <v>76</v>
      </c>
      <c r="KF79">
        <f t="shared" si="119"/>
        <v>77</v>
      </c>
      <c r="KG79">
        <f t="shared" si="119"/>
        <v>78</v>
      </c>
      <c r="KJ79">
        <v>1</v>
      </c>
      <c r="KK79" s="16">
        <v>2</v>
      </c>
      <c r="KO79" s="16"/>
    </row>
    <row r="80" spans="1:301" x14ac:dyDescent="0.25">
      <c r="A80" t="s">
        <v>574</v>
      </c>
      <c r="B80" t="s">
        <v>573</v>
      </c>
      <c r="C80" t="s">
        <v>498</v>
      </c>
      <c r="P80" t="s">
        <v>482</v>
      </c>
      <c r="T80" s="14" t="s">
        <v>554</v>
      </c>
      <c r="U80">
        <v>55</v>
      </c>
      <c r="V80" t="s">
        <v>584</v>
      </c>
      <c r="X80" t="str">
        <f>IF(COUNTIF(X$1:X79,X79)&gt;7,REPLACE(X79,LEN(X79),1,VALUE(RIGHT(X79,1))+1),X79)</f>
        <v>A3.5</v>
      </c>
      <c r="Y80" s="43" cm="1">
        <f t="array" ref="Y80">IF(COUNTIFS($X$2:$X80,$X80)=1,"1",VALUE(SUBSTITUTE(INDEX(Y:Y,_xlfn.XMATCH($X80,$X$1:$X79,0,-1)),"A",""))+INDEX(Z:Z,_xlfn.XMATCH($X80,$X$1:$X79,0,-1))+1)</f>
        <v>7</v>
      </c>
      <c r="Z80" s="43" cm="1">
        <f t="array" ref="Z80">SUM(IF(ISNUMBER(FIND("TmAi",$BA$1:$ZZ$1)),IF(IFERROR(ISODD(SUBSTITUTE($BA80:$ZZ80,"A","")),FALSE),IF(ISODD(SUBSTITUTE($BA80:$ZZ80,"A","")),1,0),0)))</f>
        <v>0</v>
      </c>
      <c r="AA80" t="str">
        <f t="shared" si="122"/>
        <v>13B</v>
      </c>
      <c r="AB80" t="str">
        <f t="shared" si="123"/>
        <v>14B</v>
      </c>
      <c r="AL80" t="s">
        <v>137</v>
      </c>
      <c r="AO80" t="s">
        <v>396</v>
      </c>
      <c r="JV80" s="27" t="str">
        <f t="shared" si="113"/>
        <v>XT55</v>
      </c>
      <c r="JY80" t="str">
        <f t="shared" si="114"/>
        <v>F0-AI5-13B</v>
      </c>
      <c r="JZ80" t="str">
        <f t="shared" si="115"/>
        <v>F0-AI5-14B</v>
      </c>
      <c r="KE80" cm="1">
        <f t="array" ref="KE80">IF(COUNTIFS($U$2:$U80,$U80)=1,1,INDEX(KE:KE,_xlfn.XMATCH(U80,U$1:U79,0,-1))+COUNT(KE79:KI79))</f>
        <v>79</v>
      </c>
      <c r="KF80">
        <f t="shared" si="119"/>
        <v>80</v>
      </c>
      <c r="KG80">
        <f t="shared" si="119"/>
        <v>81</v>
      </c>
      <c r="KJ80">
        <v>1</v>
      </c>
      <c r="KK80" s="16">
        <v>2</v>
      </c>
      <c r="KO80" s="16"/>
    </row>
    <row r="81" spans="1:301" x14ac:dyDescent="0.25">
      <c r="A81" t="s">
        <v>576</v>
      </c>
      <c r="B81" t="s">
        <v>575</v>
      </c>
      <c r="C81" t="s">
        <v>492</v>
      </c>
      <c r="P81" t="s">
        <v>482</v>
      </c>
      <c r="T81" s="14" t="s">
        <v>554</v>
      </c>
      <c r="U81">
        <v>55</v>
      </c>
      <c r="V81" t="s">
        <v>585</v>
      </c>
      <c r="X81" s="33" t="str">
        <f>IF(COUNTIF(X$1:X80,X80)&gt;7,REPLACE(X80,LEN(X80),1,VALUE(RIGHT(X80,1))+1),X80)</f>
        <v>A3.5</v>
      </c>
      <c r="Y81" s="45" cm="1">
        <f t="array" ref="Y81">IF(COUNTIFS($X$2:$X81,$X81)=1,"1",VALUE(SUBSTITUTE(INDEX(Y:Y,_xlfn.XMATCH($X81,$X$1:$X80,0,-1)),"A",""))+INDEX(Z:Z,_xlfn.XMATCH($X81,$X$1:$X80,0,-1))+1)</f>
        <v>8</v>
      </c>
      <c r="Z81" s="43" cm="1">
        <f t="array" ref="Z81">SUM(IF(ISNUMBER(FIND("TmAi",$BA$1:$ZZ$1)),IF(IFERROR(ISODD(SUBSTITUTE($BA81:$ZZ81,"A","")),FALSE),IF(ISODD(SUBSTITUTE($BA81:$ZZ81,"A","")),1,0),0)))</f>
        <v>0</v>
      </c>
      <c r="AA81" t="str">
        <f t="shared" si="122"/>
        <v>15B</v>
      </c>
      <c r="AB81" t="str">
        <f t="shared" si="123"/>
        <v>16B</v>
      </c>
      <c r="AL81" t="s">
        <v>137</v>
      </c>
      <c r="AO81" t="s">
        <v>396</v>
      </c>
      <c r="JV81" s="27" t="str">
        <f t="shared" si="113"/>
        <v>XT55</v>
      </c>
      <c r="JY81" t="str">
        <f t="shared" si="114"/>
        <v>F0-AI5-15B</v>
      </c>
      <c r="JZ81" t="str">
        <f t="shared" si="115"/>
        <v>F0-AI5-16B</v>
      </c>
      <c r="KE81" cm="1">
        <f t="array" ref="KE81">IF(COUNTIFS($U$2:$U81,$U81)=1,1,INDEX(KE:KE,_xlfn.XMATCH(U81,U$1:U80,0,-1))+COUNT(KE80:KI80))</f>
        <v>82</v>
      </c>
      <c r="KF81">
        <f t="shared" si="119"/>
        <v>83</v>
      </c>
      <c r="KG81">
        <f t="shared" si="119"/>
        <v>84</v>
      </c>
      <c r="KJ81">
        <v>1</v>
      </c>
      <c r="KK81" s="16">
        <v>2</v>
      </c>
      <c r="KO81" s="16"/>
    </row>
    <row r="82" spans="1:301" x14ac:dyDescent="0.25">
      <c r="A82" t="s">
        <v>587</v>
      </c>
      <c r="B82" t="s">
        <v>586</v>
      </c>
      <c r="C82" t="s">
        <v>498</v>
      </c>
      <c r="P82" t="s">
        <v>482</v>
      </c>
      <c r="T82" s="14" t="s">
        <v>554</v>
      </c>
      <c r="U82">
        <v>55</v>
      </c>
      <c r="V82" t="s">
        <v>588</v>
      </c>
      <c r="X82" t="str">
        <f>IF(COUNTIF(X$1:X81,X81)&gt;7,REPLACE(X81,LEN(X81),1,VALUE(RIGHT(X81,1))+1),X81)</f>
        <v>A3.6</v>
      </c>
      <c r="Y82" s="43" t="str" cm="1">
        <f t="array" ref="Y82">IF(COUNTIFS($X$2:$X82,$X82)=1,"1",VALUE(SUBSTITUTE(INDEX(Y:Y,_xlfn.XMATCH($X82,$X$1:$X81,0,-1)),"A",""))+INDEX(Z:Z,_xlfn.XMATCH($X82,$X$1:$X81,0,-1))+1)</f>
        <v>1</v>
      </c>
      <c r="Z82" s="43" cm="1">
        <f t="array" ref="Z82">SUM(IF(ISNUMBER(FIND("TmAi",$BA$1:$ZZ$1)),IF(IFERROR(ISODD(SUBSTITUTE($BA82:$ZZ82,"A","")),FALSE),IF(ISODD(SUBSTITUTE($BA82:$ZZ82,"A","")),1,0),0)))</f>
        <v>0</v>
      </c>
      <c r="AA82" t="str">
        <f t="shared" si="122"/>
        <v>1B</v>
      </c>
      <c r="AB82" t="str">
        <f t="shared" si="123"/>
        <v>2B</v>
      </c>
      <c r="AL82" t="s">
        <v>137</v>
      </c>
      <c r="AO82" t="s">
        <v>396</v>
      </c>
      <c r="JV82" s="27" t="str">
        <f t="shared" si="113"/>
        <v>XT55</v>
      </c>
      <c r="JY82" t="str">
        <f t="shared" si="114"/>
        <v>F0-AI6-1B</v>
      </c>
      <c r="JZ82" t="str">
        <f t="shared" si="115"/>
        <v>F0-AI6-2B</v>
      </c>
      <c r="KE82" cm="1">
        <f t="array" ref="KE82">IF(COUNTIFS($U$2:$U82,$U82)=1,1,INDEX(KE:KE,_xlfn.XMATCH(U82,U$1:U81,0,-1))+COUNT(KE81:KI81))</f>
        <v>85</v>
      </c>
      <c r="KF82">
        <f t="shared" si="119"/>
        <v>86</v>
      </c>
      <c r="KG82">
        <f t="shared" si="119"/>
        <v>87</v>
      </c>
      <c r="KJ82">
        <v>1</v>
      </c>
      <c r="KK82" s="16">
        <v>2</v>
      </c>
      <c r="KO82" s="16"/>
    </row>
    <row r="83" spans="1:301" x14ac:dyDescent="0.25">
      <c r="A83" t="s">
        <v>590</v>
      </c>
      <c r="B83" t="s">
        <v>589</v>
      </c>
      <c r="C83" t="s">
        <v>498</v>
      </c>
      <c r="P83" t="s">
        <v>482</v>
      </c>
      <c r="T83" s="14" t="s">
        <v>554</v>
      </c>
      <c r="U83">
        <v>55</v>
      </c>
      <c r="V83" t="s">
        <v>601</v>
      </c>
      <c r="X83" t="str">
        <f>IF(COUNTIF(X$1:X82,X82)&gt;7,REPLACE(X82,LEN(X82),1,VALUE(RIGHT(X82,1))+1),X82)</f>
        <v>A3.6</v>
      </c>
      <c r="Y83" s="43" cm="1">
        <f t="array" ref="Y83">IF(COUNTIFS($X$2:$X83,$X83)=1,"1",VALUE(SUBSTITUTE(INDEX(Y:Y,_xlfn.XMATCH($X83,$X$1:$X82,0,-1)),"A",""))+INDEX(Z:Z,_xlfn.XMATCH($X83,$X$1:$X82,0,-1))+1)</f>
        <v>2</v>
      </c>
      <c r="Z83" s="43" cm="1">
        <f t="array" ref="Z83">SUM(IF(ISNUMBER(FIND("TmAi",$BA$1:$ZZ$1)),IF(IFERROR(ISODD(SUBSTITUTE($BA83:$ZZ83,"A","")),FALSE),IF(ISODD(SUBSTITUTE($BA83:$ZZ83,"A","")),1,0),0)))</f>
        <v>0</v>
      </c>
      <c r="AA83" t="str">
        <f t="shared" si="122"/>
        <v>3B</v>
      </c>
      <c r="AB83" t="str">
        <f t="shared" si="123"/>
        <v>4B</v>
      </c>
      <c r="AL83" t="s">
        <v>137</v>
      </c>
      <c r="AO83" t="s">
        <v>396</v>
      </c>
      <c r="JV83" s="27" t="str">
        <f t="shared" si="113"/>
        <v>XT55</v>
      </c>
      <c r="JY83" t="str">
        <f t="shared" si="114"/>
        <v>F0-AI6-3B</v>
      </c>
      <c r="JZ83" t="str">
        <f t="shared" si="115"/>
        <v>F0-AI6-4B</v>
      </c>
      <c r="KE83" cm="1">
        <f t="array" ref="KE83">IF(COUNTIFS($U$2:$U83,$U83)=1,1,INDEX(KE:KE,_xlfn.XMATCH(U83,U$1:U82,0,-1))+COUNT(KE82:KI82))</f>
        <v>88</v>
      </c>
      <c r="KF83">
        <f t="shared" si="119"/>
        <v>89</v>
      </c>
      <c r="KG83">
        <f t="shared" si="119"/>
        <v>90</v>
      </c>
      <c r="KJ83">
        <v>1</v>
      </c>
      <c r="KK83" s="16">
        <v>2</v>
      </c>
      <c r="KO83" s="16"/>
    </row>
    <row r="84" spans="1:301" x14ac:dyDescent="0.25">
      <c r="A84" t="s">
        <v>592</v>
      </c>
      <c r="B84" t="s">
        <v>591</v>
      </c>
      <c r="C84" t="s">
        <v>498</v>
      </c>
      <c r="P84" t="s">
        <v>482</v>
      </c>
      <c r="T84" s="14" t="s">
        <v>554</v>
      </c>
      <c r="U84">
        <v>55</v>
      </c>
      <c r="V84" t="s">
        <v>602</v>
      </c>
      <c r="X84" t="str">
        <f>IF(COUNTIF(X$1:X83,X83)&gt;7,REPLACE(X83,LEN(X83),1,VALUE(RIGHT(X83,1))+1),X83)</f>
        <v>A3.6</v>
      </c>
      <c r="Y84" s="43" cm="1">
        <f t="array" ref="Y84">IF(COUNTIFS($X$2:$X84,$X84)=1,"1",VALUE(SUBSTITUTE(INDEX(Y:Y,_xlfn.XMATCH($X84,$X$1:$X83,0,-1)),"A",""))+INDEX(Z:Z,_xlfn.XMATCH($X84,$X$1:$X83,0,-1))+1)</f>
        <v>3</v>
      </c>
      <c r="Z84" s="43" cm="1">
        <f t="array" ref="Z84">SUM(IF(ISNUMBER(FIND("TmAi",$BA$1:$ZZ$1)),IF(IFERROR(ISODD(SUBSTITUTE($BA84:$ZZ84,"A","")),FALSE),IF(ISODD(SUBSTITUTE($BA84:$ZZ84,"A","")),1,0),0)))</f>
        <v>0</v>
      </c>
      <c r="AA84" t="str">
        <f t="shared" si="122"/>
        <v>5B</v>
      </c>
      <c r="AB84" t="str">
        <f t="shared" si="123"/>
        <v>6B</v>
      </c>
      <c r="AL84" t="s">
        <v>137</v>
      </c>
      <c r="AO84" t="s">
        <v>396</v>
      </c>
      <c r="JV84" s="27" t="str">
        <f t="shared" si="113"/>
        <v>XT55</v>
      </c>
      <c r="JY84" t="str">
        <f t="shared" si="114"/>
        <v>F0-AI6-5B</v>
      </c>
      <c r="JZ84" t="str">
        <f t="shared" si="115"/>
        <v>F0-AI6-6B</v>
      </c>
      <c r="KE84" cm="1">
        <f t="array" ref="KE84">IF(COUNTIFS($U$2:$U84,$U84)=1,1,INDEX(KE:KE,_xlfn.XMATCH(U84,U$1:U83,0,-1))+COUNT(KE83:KI83))</f>
        <v>91</v>
      </c>
      <c r="KF84">
        <f t="shared" si="119"/>
        <v>92</v>
      </c>
      <c r="KG84">
        <f t="shared" si="119"/>
        <v>93</v>
      </c>
      <c r="KJ84">
        <v>1</v>
      </c>
      <c r="KK84" s="16">
        <v>2</v>
      </c>
      <c r="KO84" s="16"/>
    </row>
    <row r="85" spans="1:301" x14ac:dyDescent="0.25">
      <c r="A85" t="s">
        <v>597</v>
      </c>
      <c r="B85" t="s">
        <v>593</v>
      </c>
      <c r="C85" t="s">
        <v>498</v>
      </c>
      <c r="P85" t="s">
        <v>482</v>
      </c>
      <c r="T85" s="14" t="s">
        <v>554</v>
      </c>
      <c r="U85">
        <v>55</v>
      </c>
      <c r="V85" t="s">
        <v>603</v>
      </c>
      <c r="X85" t="str">
        <f>IF(COUNTIF(X$1:X84,X84)&gt;7,REPLACE(X84,LEN(X84),1,VALUE(RIGHT(X84,1))+1),X84)</f>
        <v>A3.6</v>
      </c>
      <c r="Y85" s="43" cm="1">
        <f t="array" ref="Y85">IF(COUNTIFS($X$2:$X85,$X85)=1,"1",VALUE(SUBSTITUTE(INDEX(Y:Y,_xlfn.XMATCH($X85,$X$1:$X84,0,-1)),"A",""))+INDEX(Z:Z,_xlfn.XMATCH($X85,$X$1:$X84,0,-1))+1)</f>
        <v>4</v>
      </c>
      <c r="Z85" s="43" cm="1">
        <f t="array" ref="Z85">SUM(IF(ISNUMBER(FIND("TmAi",$BA$1:$ZZ$1)),IF(IFERROR(ISODD(SUBSTITUTE($BA85:$ZZ85,"A","")),FALSE),IF(ISODD(SUBSTITUTE($BA85:$ZZ85,"A","")),1,0),0)))</f>
        <v>0</v>
      </c>
      <c r="AA85" t="str">
        <f t="shared" si="122"/>
        <v>7B</v>
      </c>
      <c r="AB85" t="str">
        <f t="shared" si="123"/>
        <v>8B</v>
      </c>
      <c r="AL85" t="s">
        <v>137</v>
      </c>
      <c r="AO85" t="s">
        <v>396</v>
      </c>
      <c r="JV85" s="27" t="str">
        <f t="shared" si="113"/>
        <v>XT55</v>
      </c>
      <c r="JY85" t="str">
        <f t="shared" si="114"/>
        <v>F0-AI6-7B</v>
      </c>
      <c r="JZ85" t="str">
        <f t="shared" si="115"/>
        <v>F0-AI6-8B</v>
      </c>
      <c r="KE85" cm="1">
        <f t="array" ref="KE85">IF(COUNTIFS($U$2:$U85,$U85)=1,1,INDEX(KE:KE,_xlfn.XMATCH(U85,U$1:U84,0,-1))+COUNT(KE84:KI84))</f>
        <v>94</v>
      </c>
      <c r="KF85">
        <f t="shared" si="119"/>
        <v>95</v>
      </c>
      <c r="KG85">
        <f t="shared" si="119"/>
        <v>96</v>
      </c>
      <c r="KJ85">
        <v>1</v>
      </c>
      <c r="KK85" s="16">
        <v>2</v>
      </c>
      <c r="KO85" s="16"/>
    </row>
    <row r="86" spans="1:301" x14ac:dyDescent="0.25">
      <c r="A86" t="s">
        <v>598</v>
      </c>
      <c r="B86" t="s">
        <v>594</v>
      </c>
      <c r="C86" t="s">
        <v>498</v>
      </c>
      <c r="P86" t="s">
        <v>482</v>
      </c>
      <c r="T86" s="14" t="s">
        <v>554</v>
      </c>
      <c r="U86">
        <v>55</v>
      </c>
      <c r="V86" t="s">
        <v>604</v>
      </c>
      <c r="X86" t="str">
        <f>IF(COUNTIF(X$1:X85,X85)&gt;7,REPLACE(X85,LEN(X85),1,VALUE(RIGHT(X85,1))+1),X85)</f>
        <v>A3.6</v>
      </c>
      <c r="Y86" s="43" cm="1">
        <f t="array" ref="Y86">IF(COUNTIFS($X$2:$X86,$X86)=1,"1",VALUE(SUBSTITUTE(INDEX(Y:Y,_xlfn.XMATCH($X86,$X$1:$X85,0,-1)),"A",""))+INDEX(Z:Z,_xlfn.XMATCH($X86,$X$1:$X85,0,-1))+1)</f>
        <v>5</v>
      </c>
      <c r="Z86" s="43" cm="1">
        <f t="array" ref="Z86">SUM(IF(ISNUMBER(FIND("TmAi",$BA$1:$ZZ$1)),IF(IFERROR(ISODD(SUBSTITUTE($BA86:$ZZ86,"A","")),FALSE),IF(ISODD(SUBSTITUTE($BA86:$ZZ86,"A","")),1,0),0)))</f>
        <v>0</v>
      </c>
      <c r="AA86" t="str">
        <f t="shared" si="122"/>
        <v>9B</v>
      </c>
      <c r="AB86" t="str">
        <f t="shared" si="123"/>
        <v>10B</v>
      </c>
      <c r="AL86" t="s">
        <v>137</v>
      </c>
      <c r="AO86" t="s">
        <v>396</v>
      </c>
      <c r="JV86" s="27" t="str">
        <f t="shared" si="113"/>
        <v>XT55</v>
      </c>
      <c r="JY86" t="str">
        <f t="shared" si="114"/>
        <v>F0-AI6-9B</v>
      </c>
      <c r="JZ86" t="str">
        <f t="shared" si="115"/>
        <v>F0-AI6-10B</v>
      </c>
      <c r="KE86" cm="1">
        <f t="array" ref="KE86">IF(COUNTIFS($U$2:$U86,$U86)=1,1,INDEX(KE:KE,_xlfn.XMATCH(U86,U$1:U85,0,-1))+COUNT(KE85:KI85))</f>
        <v>97</v>
      </c>
      <c r="KF86">
        <f t="shared" ref="KF86:KI101" si="124">KE86+1</f>
        <v>98</v>
      </c>
      <c r="KG86">
        <f t="shared" si="124"/>
        <v>99</v>
      </c>
      <c r="KJ86">
        <v>1</v>
      </c>
      <c r="KK86" s="16">
        <v>2</v>
      </c>
      <c r="KO86" s="16"/>
    </row>
    <row r="87" spans="1:301" x14ac:dyDescent="0.25">
      <c r="A87" t="s">
        <v>599</v>
      </c>
      <c r="B87" t="s">
        <v>595</v>
      </c>
      <c r="C87" t="s">
        <v>498</v>
      </c>
      <c r="P87" t="s">
        <v>482</v>
      </c>
      <c r="T87" s="14" t="s">
        <v>554</v>
      </c>
      <c r="U87">
        <v>55</v>
      </c>
      <c r="V87" t="s">
        <v>605</v>
      </c>
      <c r="X87" t="str">
        <f>IF(COUNTIF(X$1:X86,X86)&gt;7,REPLACE(X86,LEN(X86),1,VALUE(RIGHT(X86,1))+1),X86)</f>
        <v>A3.6</v>
      </c>
      <c r="Y87" s="43" cm="1">
        <f t="array" ref="Y87">IF(COUNTIFS($X$2:$X87,$X87)=1,"1",VALUE(SUBSTITUTE(INDEX(Y:Y,_xlfn.XMATCH($X87,$X$1:$X86,0,-1)),"A",""))+INDEX(Z:Z,_xlfn.XMATCH($X87,$X$1:$X86,0,-1))+1)</f>
        <v>6</v>
      </c>
      <c r="Z87" s="43" cm="1">
        <f t="array" ref="Z87">SUM(IF(ISNUMBER(FIND("TmAi",$BA$1:$ZZ$1)),IF(IFERROR(ISODD(SUBSTITUTE($BA87:$ZZ87,"A","")),FALSE),IF(ISODD(SUBSTITUTE($BA87:$ZZ87,"A","")),1,0),0)))</f>
        <v>0</v>
      </c>
      <c r="AA87" t="str">
        <f t="shared" si="122"/>
        <v>11B</v>
      </c>
      <c r="AB87" t="str">
        <f t="shared" si="123"/>
        <v>12B</v>
      </c>
      <c r="AL87" t="s">
        <v>137</v>
      </c>
      <c r="AO87" t="s">
        <v>396</v>
      </c>
      <c r="JV87" s="27" t="str">
        <f t="shared" si="113"/>
        <v>XT55</v>
      </c>
      <c r="JY87" t="str">
        <f t="shared" si="114"/>
        <v>F0-AI6-11B</v>
      </c>
      <c r="JZ87" t="str">
        <f t="shared" si="115"/>
        <v>F0-AI6-12B</v>
      </c>
      <c r="KE87" cm="1">
        <f t="array" ref="KE87">IF(COUNTIFS($U$2:$U87,$U87)=1,1,INDEX(KE:KE,_xlfn.XMATCH(U87,U$1:U86,0,-1))+COUNT(KE86:KI86))</f>
        <v>100</v>
      </c>
      <c r="KF87">
        <f t="shared" si="124"/>
        <v>101</v>
      </c>
      <c r="KG87">
        <f t="shared" si="124"/>
        <v>102</v>
      </c>
      <c r="KJ87">
        <v>1</v>
      </c>
      <c r="KK87" s="16">
        <v>2</v>
      </c>
      <c r="KO87" s="16"/>
    </row>
    <row r="88" spans="1:301" x14ac:dyDescent="0.25">
      <c r="A88" t="s">
        <v>600</v>
      </c>
      <c r="B88" t="s">
        <v>596</v>
      </c>
      <c r="C88" t="s">
        <v>498</v>
      </c>
      <c r="P88" t="s">
        <v>482</v>
      </c>
      <c r="T88" s="14" t="s">
        <v>554</v>
      </c>
      <c r="U88">
        <v>55</v>
      </c>
      <c r="V88" t="s">
        <v>606</v>
      </c>
      <c r="X88" t="str">
        <f>IF(COUNTIF(X$1:X87,X87)&gt;7,REPLACE(X87,LEN(X87),1,VALUE(RIGHT(X87,1))+1),X87)</f>
        <v>A3.6</v>
      </c>
      <c r="Y88" s="43" cm="1">
        <f t="array" ref="Y88">IF(COUNTIFS($X$2:$X88,$X88)=1,"1",VALUE(SUBSTITUTE(INDEX(Y:Y,_xlfn.XMATCH($X88,$X$1:$X87,0,-1)),"A",""))+INDEX(Z:Z,_xlfn.XMATCH($X88,$X$1:$X87,0,-1))+1)</f>
        <v>7</v>
      </c>
      <c r="Z88" s="43" cm="1">
        <f t="array" ref="Z88">SUM(IF(ISNUMBER(FIND("TmAi",$BA$1:$ZZ$1)),IF(IFERROR(ISODD(SUBSTITUTE($BA88:$ZZ88,"A","")),FALSE),IF(ISODD(SUBSTITUTE($BA88:$ZZ88,"A","")),1,0),0)))</f>
        <v>0</v>
      </c>
      <c r="AA88" t="str">
        <f t="shared" si="122"/>
        <v>13B</v>
      </c>
      <c r="AB88" t="str">
        <f t="shared" si="123"/>
        <v>14B</v>
      </c>
      <c r="AL88" t="s">
        <v>137</v>
      </c>
      <c r="AO88" t="s">
        <v>396</v>
      </c>
      <c r="JV88" s="27" t="str">
        <f t="shared" si="113"/>
        <v>XT55</v>
      </c>
      <c r="JY88" t="str">
        <f t="shared" si="114"/>
        <v>F0-AI6-13B</v>
      </c>
      <c r="JZ88" t="str">
        <f t="shared" si="115"/>
        <v>F0-AI6-14B</v>
      </c>
      <c r="KE88" cm="1">
        <f t="array" ref="KE88">IF(COUNTIFS($U$2:$U88,$U88)=1,1,INDEX(KE:KE,_xlfn.XMATCH(U88,U$1:U87,0,-1))+COUNT(KE87:KI87))</f>
        <v>103</v>
      </c>
      <c r="KF88">
        <f t="shared" si="124"/>
        <v>104</v>
      </c>
      <c r="KG88">
        <f t="shared" si="124"/>
        <v>105</v>
      </c>
      <c r="KJ88">
        <v>1</v>
      </c>
      <c r="KK88" s="16">
        <v>2</v>
      </c>
      <c r="KO88" s="16"/>
    </row>
    <row r="89" spans="1:301" x14ac:dyDescent="0.25">
      <c r="A89" t="s">
        <v>608</v>
      </c>
      <c r="B89" t="s">
        <v>607</v>
      </c>
      <c r="C89" t="s">
        <v>531</v>
      </c>
      <c r="P89" t="s">
        <v>503</v>
      </c>
      <c r="T89" s="14" t="s">
        <v>554</v>
      </c>
      <c r="U89">
        <v>55</v>
      </c>
      <c r="V89" t="s">
        <v>609</v>
      </c>
      <c r="X89" s="33" t="str">
        <f>IF(COUNTIF(X$1:X88,X88)&gt;7,REPLACE(X88,LEN(X88),1,VALUE(RIGHT(X88,1))+1),X88)</f>
        <v>A3.6</v>
      </c>
      <c r="Y89" s="45" cm="1">
        <f t="array" ref="Y89">IF(COUNTIFS($X$2:$X89,$X89)=1,"1",VALUE(SUBSTITUTE(INDEX(Y:Y,_xlfn.XMATCH($X89,$X$1:$X88,0,-1)),"A",""))+INDEX(Z:Z,_xlfn.XMATCH($X89,$X$1:$X88,0,-1))+1)</f>
        <v>8</v>
      </c>
      <c r="Z89" s="43" cm="1">
        <f t="array" ref="Z89">SUM(IF(ISNUMBER(FIND("TmAi",$BA$1:$ZZ$1)),IF(IFERROR(ISODD(SUBSTITUTE($BA89:$ZZ89,"A","")),FALSE),IF(ISODD(SUBSTITUTE($BA89:$ZZ89,"A","")),1,0),0)))</f>
        <v>0</v>
      </c>
      <c r="AA89" t="str">
        <f>CONCATENATE($Y89*2-1,"A")</f>
        <v>15A</v>
      </c>
      <c r="AB89" t="str">
        <f>CONCATENATE($Y89*2-1,"B")</f>
        <v>15B</v>
      </c>
      <c r="AL89" t="s">
        <v>137</v>
      </c>
      <c r="AO89" t="s">
        <v>396</v>
      </c>
      <c r="JV89" s="27" t="str">
        <f t="shared" si="113"/>
        <v>XT55</v>
      </c>
      <c r="JY89" t="str">
        <f t="shared" si="114"/>
        <v>F0-AI6-15A</v>
      </c>
      <c r="JZ89" t="str">
        <f t="shared" si="115"/>
        <v>F0-AI6-15B</v>
      </c>
      <c r="KC89" t="s">
        <v>488</v>
      </c>
      <c r="KD89" t="s">
        <v>487</v>
      </c>
      <c r="KE89" cm="1">
        <f t="array" ref="KE89">IF(COUNTIFS($U$2:$U89,$U89)=1,1,INDEX(KE:KE,_xlfn.XMATCH(U89,U$1:U88,0,-1))+COUNT(KE88:KI88))</f>
        <v>106</v>
      </c>
      <c r="KF89">
        <f t="shared" si="124"/>
        <v>107</v>
      </c>
      <c r="KG89">
        <f t="shared" si="124"/>
        <v>108</v>
      </c>
      <c r="KH89">
        <f t="shared" si="124"/>
        <v>109</v>
      </c>
      <c r="KI89">
        <f t="shared" si="124"/>
        <v>110</v>
      </c>
      <c r="KJ89" t="s">
        <v>547</v>
      </c>
      <c r="KK89" s="16" t="s">
        <v>548</v>
      </c>
      <c r="KL89" t="s">
        <v>547</v>
      </c>
      <c r="KM89" t="s">
        <v>548</v>
      </c>
      <c r="KN89" t="s">
        <v>551</v>
      </c>
      <c r="KO89" s="16" t="s">
        <v>552</v>
      </c>
    </row>
    <row r="90" spans="1:301" x14ac:dyDescent="0.25">
      <c r="A90" t="s">
        <v>611</v>
      </c>
      <c r="B90" t="s">
        <v>610</v>
      </c>
      <c r="C90" t="s">
        <v>498</v>
      </c>
      <c r="P90" t="s">
        <v>482</v>
      </c>
      <c r="T90" s="14" t="s">
        <v>554</v>
      </c>
      <c r="U90">
        <v>55</v>
      </c>
      <c r="V90" t="s">
        <v>612</v>
      </c>
      <c r="X90" t="str">
        <f>IF(COUNTIF(X$1:X89,X89)&gt;7,REPLACE(X89,LEN(X89),1,VALUE(RIGHT(X89,1))+1),X89)</f>
        <v>A3.7</v>
      </c>
      <c r="Y90" s="43" t="str" cm="1">
        <f t="array" ref="Y90">IF(COUNTIFS($X$2:$X90,$X90)=1,"1",VALUE(SUBSTITUTE(INDEX(Y:Y,_xlfn.XMATCH($X90,$X$1:$X89,0,-1)),"A",""))+INDEX(Z:Z,_xlfn.XMATCH($X90,$X$1:$X89,0,-1))+1)</f>
        <v>1</v>
      </c>
      <c r="Z90" s="43" cm="1">
        <f t="array" ref="Z90">SUM(IF(ISNUMBER(FIND("TmAi",$BA$1:$ZZ$1)),IF(IFERROR(ISODD(SUBSTITUTE($BA90:$ZZ90,"A","")),FALSE),IF(ISODD(SUBSTITUTE($BA90:$ZZ90,"A","")),1,0),0)))</f>
        <v>0</v>
      </c>
      <c r="AA90" t="str">
        <f t="shared" ref="AA90:AA153" si="125">CONCATENATE($Y90*2-1,"B")</f>
        <v>1B</v>
      </c>
      <c r="AB90" t="str">
        <f t="shared" ref="AB90:AB153" si="126">CONCATENATE($Y90*2,"B")</f>
        <v>2B</v>
      </c>
      <c r="AL90" t="s">
        <v>137</v>
      </c>
      <c r="AO90" t="s">
        <v>396</v>
      </c>
      <c r="JV90" s="27" t="str">
        <f t="shared" si="113"/>
        <v>XT55</v>
      </c>
      <c r="JY90" t="str">
        <f t="shared" si="114"/>
        <v>F0-AI7-1B</v>
      </c>
      <c r="JZ90" t="str">
        <f t="shared" si="115"/>
        <v>F0-AI7-2B</v>
      </c>
      <c r="KE90" cm="1">
        <f t="array" ref="KE90">IF(COUNTIFS($U$2:$U90,$U90)=1,1,INDEX(KE:KE,_xlfn.XMATCH(U90,U$1:U89,0,-1))+COUNT(KE89:KI89))</f>
        <v>111</v>
      </c>
      <c r="KF90">
        <f t="shared" si="124"/>
        <v>112</v>
      </c>
      <c r="KG90">
        <f t="shared" si="124"/>
        <v>113</v>
      </c>
      <c r="KJ90">
        <v>1</v>
      </c>
      <c r="KK90" s="16">
        <v>2</v>
      </c>
      <c r="KO90" s="16"/>
    </row>
    <row r="91" spans="1:301" x14ac:dyDescent="0.25">
      <c r="A91" t="s">
        <v>614</v>
      </c>
      <c r="B91" t="s">
        <v>613</v>
      </c>
      <c r="C91" t="s">
        <v>492</v>
      </c>
      <c r="P91" t="s">
        <v>482</v>
      </c>
      <c r="T91" s="14" t="s">
        <v>554</v>
      </c>
      <c r="U91">
        <v>55</v>
      </c>
      <c r="V91" t="s">
        <v>629</v>
      </c>
      <c r="X91" t="str">
        <f>IF(COUNTIF(X$1:X90,X90)&gt;7,REPLACE(X90,LEN(X90),1,VALUE(RIGHT(X90,1))+1),X90)</f>
        <v>A3.7</v>
      </c>
      <c r="Y91" s="43" cm="1">
        <f t="array" ref="Y91">IF(COUNTIFS($X$2:$X91,$X91)=1,"1",VALUE(SUBSTITUTE(INDEX(Y:Y,_xlfn.XMATCH($X91,$X$1:$X90,0,-1)),"A",""))+INDEX(Z:Z,_xlfn.XMATCH($X91,$X$1:$X90,0,-1))+1)</f>
        <v>2</v>
      </c>
      <c r="Z91" s="43" cm="1">
        <f t="array" ref="Z91">SUM(IF(ISNUMBER(FIND("TmAi",$BA$1:$ZZ$1)),IF(IFERROR(ISODD(SUBSTITUTE($BA91:$ZZ91,"A","")),FALSE),IF(ISODD(SUBSTITUTE($BA91:$ZZ91,"A","")),1,0),0)))</f>
        <v>0</v>
      </c>
      <c r="AA91" t="str">
        <f t="shared" si="125"/>
        <v>3B</v>
      </c>
      <c r="AB91" t="str">
        <f t="shared" si="126"/>
        <v>4B</v>
      </c>
      <c r="AL91" t="s">
        <v>137</v>
      </c>
      <c r="AO91" t="s">
        <v>396</v>
      </c>
      <c r="JV91" s="27" t="str">
        <f t="shared" si="113"/>
        <v>XT55</v>
      </c>
      <c r="JY91" t="str">
        <f t="shared" si="114"/>
        <v>F0-AI7-3B</v>
      </c>
      <c r="JZ91" t="str">
        <f t="shared" si="115"/>
        <v>F0-AI7-4B</v>
      </c>
      <c r="KE91" cm="1">
        <f t="array" ref="KE91">IF(COUNTIFS($U$2:$U91,$U91)=1,1,INDEX(KE:KE,_xlfn.XMATCH(U91,U$1:U90,0,-1))+COUNT(KE90:KI90))</f>
        <v>114</v>
      </c>
      <c r="KF91">
        <f t="shared" si="124"/>
        <v>115</v>
      </c>
      <c r="KG91">
        <f t="shared" si="124"/>
        <v>116</v>
      </c>
      <c r="KJ91">
        <v>1</v>
      </c>
      <c r="KK91" s="16">
        <v>2</v>
      </c>
      <c r="KO91" s="16"/>
    </row>
    <row r="92" spans="1:301" x14ac:dyDescent="0.25">
      <c r="A92" t="s">
        <v>616</v>
      </c>
      <c r="B92" t="s">
        <v>615</v>
      </c>
      <c r="C92" t="s">
        <v>498</v>
      </c>
      <c r="P92" t="s">
        <v>482</v>
      </c>
      <c r="T92" s="14" t="s">
        <v>554</v>
      </c>
      <c r="U92">
        <v>55</v>
      </c>
      <c r="V92" t="s">
        <v>630</v>
      </c>
      <c r="X92" t="str">
        <f>IF(COUNTIF(X$1:X91,X91)&gt;7,REPLACE(X91,LEN(X91),1,VALUE(RIGHT(X91,1))+1),X91)</f>
        <v>A3.7</v>
      </c>
      <c r="Y92" s="43" cm="1">
        <f t="array" ref="Y92">IF(COUNTIFS($X$2:$X92,$X92)=1,"1",VALUE(SUBSTITUTE(INDEX(Y:Y,_xlfn.XMATCH($X92,$X$1:$X91,0,-1)),"A",""))+INDEX(Z:Z,_xlfn.XMATCH($X92,$X$1:$X91,0,-1))+1)</f>
        <v>3</v>
      </c>
      <c r="Z92" s="43" cm="1">
        <f t="array" ref="Z92">SUM(IF(ISNUMBER(FIND("TmAi",$BA$1:$ZZ$1)),IF(IFERROR(ISODD(SUBSTITUTE($BA92:$ZZ92,"A","")),FALSE),IF(ISODD(SUBSTITUTE($BA92:$ZZ92,"A","")),1,0),0)))</f>
        <v>0</v>
      </c>
      <c r="AA92" t="str">
        <f t="shared" si="125"/>
        <v>5B</v>
      </c>
      <c r="AB92" t="str">
        <f t="shared" si="126"/>
        <v>6B</v>
      </c>
      <c r="AL92" t="s">
        <v>137</v>
      </c>
      <c r="AO92" t="s">
        <v>396</v>
      </c>
      <c r="JV92" s="27" t="str">
        <f t="shared" si="113"/>
        <v>XT55</v>
      </c>
      <c r="JY92" t="str">
        <f t="shared" si="114"/>
        <v>F0-AI7-5B</v>
      </c>
      <c r="JZ92" t="str">
        <f t="shared" si="115"/>
        <v>F0-AI7-6B</v>
      </c>
      <c r="KE92" cm="1">
        <f t="array" ref="KE92">IF(COUNTIFS($U$2:$U92,$U92)=1,1,INDEX(KE:KE,_xlfn.XMATCH(U92,U$1:U91,0,-1))+COUNT(KE91:KI91))</f>
        <v>117</v>
      </c>
      <c r="KF92">
        <f t="shared" si="124"/>
        <v>118</v>
      </c>
      <c r="KG92">
        <f t="shared" si="124"/>
        <v>119</v>
      </c>
      <c r="KJ92">
        <v>1</v>
      </c>
      <c r="KK92" s="16">
        <v>2</v>
      </c>
      <c r="KO92" s="16"/>
    </row>
    <row r="93" spans="1:301" x14ac:dyDescent="0.25">
      <c r="A93" t="s">
        <v>618</v>
      </c>
      <c r="B93" t="s">
        <v>617</v>
      </c>
      <c r="C93" t="s">
        <v>492</v>
      </c>
      <c r="P93" t="s">
        <v>482</v>
      </c>
      <c r="T93" s="14" t="s">
        <v>554</v>
      </c>
      <c r="U93">
        <v>55</v>
      </c>
      <c r="V93" t="s">
        <v>631</v>
      </c>
      <c r="X93" t="str">
        <f>IF(COUNTIF(X$1:X92,X92)&gt;7,REPLACE(X92,LEN(X92),1,VALUE(RIGHT(X92,1))+1),X92)</f>
        <v>A3.7</v>
      </c>
      <c r="Y93" s="43" cm="1">
        <f t="array" ref="Y93">IF(COUNTIFS($X$2:$X93,$X93)=1,"1",VALUE(SUBSTITUTE(INDEX(Y:Y,_xlfn.XMATCH($X93,$X$1:$X92,0,-1)),"A",""))+INDEX(Z:Z,_xlfn.XMATCH($X93,$X$1:$X92,0,-1))+1)</f>
        <v>4</v>
      </c>
      <c r="Z93" s="43" cm="1">
        <f t="array" ref="Z93">SUM(IF(ISNUMBER(FIND("TmAi",$BA$1:$ZZ$1)),IF(IFERROR(ISODD(SUBSTITUTE($BA93:$ZZ93,"A","")),FALSE),IF(ISODD(SUBSTITUTE($BA93:$ZZ93,"A","")),1,0),0)))</f>
        <v>0</v>
      </c>
      <c r="AA93" t="str">
        <f t="shared" si="125"/>
        <v>7B</v>
      </c>
      <c r="AB93" t="str">
        <f t="shared" si="126"/>
        <v>8B</v>
      </c>
      <c r="AL93" t="s">
        <v>137</v>
      </c>
      <c r="AO93" t="s">
        <v>396</v>
      </c>
      <c r="JV93" s="27" t="str">
        <f t="shared" si="113"/>
        <v>XT55</v>
      </c>
      <c r="JY93" t="str">
        <f t="shared" si="114"/>
        <v>F0-AI7-7B</v>
      </c>
      <c r="JZ93" t="str">
        <f t="shared" si="115"/>
        <v>F0-AI7-8B</v>
      </c>
      <c r="KE93" cm="1">
        <f t="array" ref="KE93">IF(COUNTIFS($U$2:$U93,$U93)=1,1,INDEX(KE:KE,_xlfn.XMATCH(U93,U$1:U92,0,-1))+COUNT(KE92:KI92))</f>
        <v>120</v>
      </c>
      <c r="KF93">
        <f t="shared" si="124"/>
        <v>121</v>
      </c>
      <c r="KG93">
        <f t="shared" si="124"/>
        <v>122</v>
      </c>
      <c r="KJ93">
        <v>1</v>
      </c>
      <c r="KK93" s="16">
        <v>2</v>
      </c>
      <c r="KO93" s="16"/>
    </row>
    <row r="94" spans="1:301" x14ac:dyDescent="0.25">
      <c r="A94" t="s">
        <v>620</v>
      </c>
      <c r="B94" t="s">
        <v>619</v>
      </c>
      <c r="C94" t="s">
        <v>498</v>
      </c>
      <c r="P94" t="s">
        <v>482</v>
      </c>
      <c r="T94" s="14" t="s">
        <v>554</v>
      </c>
      <c r="U94">
        <v>55</v>
      </c>
      <c r="V94" t="s">
        <v>632</v>
      </c>
      <c r="X94" t="str">
        <f>IF(COUNTIF(X$1:X93,X93)&gt;7,REPLACE(X93,LEN(X93),1,VALUE(RIGHT(X93,1))+1),X93)</f>
        <v>A3.7</v>
      </c>
      <c r="Y94" s="43" cm="1">
        <f t="array" ref="Y94">IF(COUNTIFS($X$2:$X94,$X94)=1,"1",VALUE(SUBSTITUTE(INDEX(Y:Y,_xlfn.XMATCH($X94,$X$1:$X93,0,-1)),"A",""))+INDEX(Z:Z,_xlfn.XMATCH($X94,$X$1:$X93,0,-1))+1)</f>
        <v>5</v>
      </c>
      <c r="Z94" s="43" cm="1">
        <f t="array" ref="Z94">SUM(IF(ISNUMBER(FIND("TmAi",$BA$1:$ZZ$1)),IF(IFERROR(ISODD(SUBSTITUTE($BA94:$ZZ94,"A","")),FALSE),IF(ISODD(SUBSTITUTE($BA94:$ZZ94,"A","")),1,0),0)))</f>
        <v>0</v>
      </c>
      <c r="AA94" t="str">
        <f t="shared" si="125"/>
        <v>9B</v>
      </c>
      <c r="AB94" t="str">
        <f t="shared" si="126"/>
        <v>10B</v>
      </c>
      <c r="AL94" t="s">
        <v>137</v>
      </c>
      <c r="AO94" t="s">
        <v>396</v>
      </c>
      <c r="JV94" s="27" t="str">
        <f t="shared" si="113"/>
        <v>XT55</v>
      </c>
      <c r="JY94" t="str">
        <f t="shared" si="114"/>
        <v>F0-AI7-9B</v>
      </c>
      <c r="JZ94" t="str">
        <f t="shared" si="115"/>
        <v>F0-AI7-10B</v>
      </c>
      <c r="KE94" cm="1">
        <f t="array" ref="KE94">IF(COUNTIFS($U$2:$U94,$U94)=1,1,INDEX(KE:KE,_xlfn.XMATCH(U94,U$1:U93,0,-1))+COUNT(KE93:KI93))</f>
        <v>123</v>
      </c>
      <c r="KF94">
        <f t="shared" si="124"/>
        <v>124</v>
      </c>
      <c r="KG94">
        <f t="shared" si="124"/>
        <v>125</v>
      </c>
      <c r="KJ94">
        <v>1</v>
      </c>
      <c r="KK94" s="16">
        <v>2</v>
      </c>
      <c r="KO94" s="16"/>
    </row>
    <row r="95" spans="1:301" x14ac:dyDescent="0.25">
      <c r="A95" t="s">
        <v>622</v>
      </c>
      <c r="B95" t="s">
        <v>621</v>
      </c>
      <c r="C95" t="s">
        <v>492</v>
      </c>
      <c r="P95" t="s">
        <v>482</v>
      </c>
      <c r="T95" s="14" t="s">
        <v>554</v>
      </c>
      <c r="U95">
        <v>55</v>
      </c>
      <c r="V95" t="s">
        <v>633</v>
      </c>
      <c r="X95" t="str">
        <f>IF(COUNTIF(X$1:X94,X94)&gt;7,REPLACE(X94,LEN(X94),1,VALUE(RIGHT(X94,1))+1),X94)</f>
        <v>A3.7</v>
      </c>
      <c r="Y95" s="43" cm="1">
        <f t="array" ref="Y95">IF(COUNTIFS($X$2:$X95,$X95)=1,"1",VALUE(SUBSTITUTE(INDEX(Y:Y,_xlfn.XMATCH($X95,$X$1:$X94,0,-1)),"A",""))+INDEX(Z:Z,_xlfn.XMATCH($X95,$X$1:$X94,0,-1))+1)</f>
        <v>6</v>
      </c>
      <c r="Z95" s="43" cm="1">
        <f t="array" ref="Z95">SUM(IF(ISNUMBER(FIND("TmAi",$BA$1:$ZZ$1)),IF(IFERROR(ISODD(SUBSTITUTE($BA95:$ZZ95,"A","")),FALSE),IF(ISODD(SUBSTITUTE($BA95:$ZZ95,"A","")),1,0),0)))</f>
        <v>0</v>
      </c>
      <c r="AA95" t="str">
        <f t="shared" si="125"/>
        <v>11B</v>
      </c>
      <c r="AB95" t="str">
        <f t="shared" si="126"/>
        <v>12B</v>
      </c>
      <c r="AL95" t="s">
        <v>137</v>
      </c>
      <c r="AO95" t="s">
        <v>396</v>
      </c>
      <c r="JV95" s="27" t="str">
        <f t="shared" si="113"/>
        <v>XT55</v>
      </c>
      <c r="JY95" t="str">
        <f t="shared" si="114"/>
        <v>F0-AI7-11B</v>
      </c>
      <c r="JZ95" t="str">
        <f t="shared" si="115"/>
        <v>F0-AI7-12B</v>
      </c>
      <c r="KE95" cm="1">
        <f t="array" ref="KE95">IF(COUNTIFS($U$2:$U95,$U95)=1,1,INDEX(KE:KE,_xlfn.XMATCH(U95,U$1:U94,0,-1))+COUNT(KE94:KI94))</f>
        <v>126</v>
      </c>
      <c r="KF95">
        <f t="shared" si="124"/>
        <v>127</v>
      </c>
      <c r="KG95">
        <f t="shared" si="124"/>
        <v>128</v>
      </c>
      <c r="KJ95">
        <v>1</v>
      </c>
      <c r="KK95" s="16">
        <v>2</v>
      </c>
      <c r="KO95" s="16"/>
    </row>
    <row r="96" spans="1:301" x14ac:dyDescent="0.25">
      <c r="A96" t="s">
        <v>624</v>
      </c>
      <c r="B96" t="s">
        <v>623</v>
      </c>
      <c r="C96" t="s">
        <v>498</v>
      </c>
      <c r="P96" t="s">
        <v>482</v>
      </c>
      <c r="T96" s="14" t="s">
        <v>554</v>
      </c>
      <c r="U96">
        <v>55</v>
      </c>
      <c r="V96" t="s">
        <v>634</v>
      </c>
      <c r="X96" t="str">
        <f>IF(COUNTIF(X$1:X95,X95)&gt;7,REPLACE(X95,LEN(X95),1,VALUE(RIGHT(X95,1))+1),X95)</f>
        <v>A3.7</v>
      </c>
      <c r="Y96" s="43" cm="1">
        <f t="array" ref="Y96">IF(COUNTIFS($X$2:$X96,$X96)=1,"1",VALUE(SUBSTITUTE(INDEX(Y:Y,_xlfn.XMATCH($X96,$X$1:$X95,0,-1)),"A",""))+INDEX(Z:Z,_xlfn.XMATCH($X96,$X$1:$X95,0,-1))+1)</f>
        <v>7</v>
      </c>
      <c r="Z96" s="43" cm="1">
        <f t="array" ref="Z96">SUM(IF(ISNUMBER(FIND("TmAi",$BA$1:$ZZ$1)),IF(IFERROR(ISODD(SUBSTITUTE($BA96:$ZZ96,"A","")),FALSE),IF(ISODD(SUBSTITUTE($BA96:$ZZ96,"A","")),1,0),0)))</f>
        <v>0</v>
      </c>
      <c r="AA96" t="str">
        <f t="shared" si="125"/>
        <v>13B</v>
      </c>
      <c r="AB96" t="str">
        <f t="shared" si="126"/>
        <v>14B</v>
      </c>
      <c r="AL96" t="s">
        <v>137</v>
      </c>
      <c r="AO96" t="s">
        <v>396</v>
      </c>
      <c r="JV96" s="27" t="str">
        <f t="shared" si="113"/>
        <v>XT55</v>
      </c>
      <c r="JY96" t="str">
        <f t="shared" si="114"/>
        <v>F0-AI7-13B</v>
      </c>
      <c r="JZ96" t="str">
        <f t="shared" si="115"/>
        <v>F0-AI7-14B</v>
      </c>
      <c r="KE96" cm="1">
        <f t="array" ref="KE96">IF(COUNTIFS($U$2:$U96,$U96)=1,1,INDEX(KE:KE,_xlfn.XMATCH(U96,U$1:U95,0,-1))+COUNT(KE95:KI95))</f>
        <v>129</v>
      </c>
      <c r="KF96">
        <f t="shared" si="124"/>
        <v>130</v>
      </c>
      <c r="KG96">
        <f t="shared" si="124"/>
        <v>131</v>
      </c>
      <c r="KJ96">
        <v>1</v>
      </c>
      <c r="KK96" s="16">
        <v>2</v>
      </c>
      <c r="KO96" s="16"/>
    </row>
    <row r="97" spans="1:301" x14ac:dyDescent="0.25">
      <c r="A97" t="s">
        <v>626</v>
      </c>
      <c r="B97" t="s">
        <v>625</v>
      </c>
      <c r="C97" t="s">
        <v>492</v>
      </c>
      <c r="P97" t="s">
        <v>482</v>
      </c>
      <c r="T97" s="14" t="s">
        <v>554</v>
      </c>
      <c r="U97">
        <v>55</v>
      </c>
      <c r="V97" t="s">
        <v>635</v>
      </c>
      <c r="X97" s="33" t="str">
        <f>IF(COUNTIF(X$1:X96,X96)&gt;7,REPLACE(X96,LEN(X96),1,VALUE(RIGHT(X96,1))+1),X96)</f>
        <v>A3.7</v>
      </c>
      <c r="Y97" s="45" cm="1">
        <f t="array" ref="Y97">IF(COUNTIFS($X$2:$X97,$X97)=1,"1",VALUE(SUBSTITUTE(INDEX(Y:Y,_xlfn.XMATCH($X97,$X$1:$X96,0,-1)),"A",""))+INDEX(Z:Z,_xlfn.XMATCH($X97,$X$1:$X96,0,-1))+1)</f>
        <v>8</v>
      </c>
      <c r="Z97" s="43" cm="1">
        <f t="array" ref="Z97">SUM(IF(ISNUMBER(FIND("TmAi",$BA$1:$ZZ$1)),IF(IFERROR(ISODD(SUBSTITUTE($BA97:$ZZ97,"A","")),FALSE),IF(ISODD(SUBSTITUTE($BA97:$ZZ97,"A","")),1,0),0)))</f>
        <v>0</v>
      </c>
      <c r="AA97" t="str">
        <f t="shared" si="125"/>
        <v>15B</v>
      </c>
      <c r="AB97" t="str">
        <f t="shared" si="126"/>
        <v>16B</v>
      </c>
      <c r="AL97" t="s">
        <v>137</v>
      </c>
      <c r="AO97" t="s">
        <v>396</v>
      </c>
      <c r="JV97" s="27" t="str">
        <f t="shared" si="113"/>
        <v>XT55</v>
      </c>
      <c r="JY97" t="str">
        <f t="shared" si="114"/>
        <v>F0-AI7-15B</v>
      </c>
      <c r="JZ97" t="str">
        <f t="shared" si="115"/>
        <v>F0-AI7-16B</v>
      </c>
      <c r="KE97" cm="1">
        <f t="array" ref="KE97">IF(COUNTIFS($U$2:$U97,$U97)=1,1,INDEX(KE:KE,_xlfn.XMATCH(U97,U$1:U96,0,-1))+COUNT(KE96:KI96))</f>
        <v>132</v>
      </c>
      <c r="KF97">
        <f t="shared" si="124"/>
        <v>133</v>
      </c>
      <c r="KG97">
        <f t="shared" si="124"/>
        <v>134</v>
      </c>
      <c r="KJ97">
        <v>1</v>
      </c>
      <c r="KK97" s="16">
        <v>2</v>
      </c>
      <c r="KO97" s="16"/>
    </row>
    <row r="98" spans="1:301" x14ac:dyDescent="0.25">
      <c r="A98" t="s">
        <v>628</v>
      </c>
      <c r="B98" t="s">
        <v>627</v>
      </c>
      <c r="C98" t="s">
        <v>498</v>
      </c>
      <c r="P98" t="s">
        <v>482</v>
      </c>
      <c r="T98" s="14" t="s">
        <v>554</v>
      </c>
      <c r="U98">
        <v>55</v>
      </c>
      <c r="V98" t="s">
        <v>636</v>
      </c>
      <c r="X98" t="str">
        <f>IF(COUNTIF(X$1:X97,X97)&gt;7,REPLACE(X97,LEN(X97),1,VALUE(RIGHT(X97,1))+1),X97)</f>
        <v>A3.8</v>
      </c>
      <c r="Y98" s="43" t="str" cm="1">
        <f t="array" ref="Y98">IF(COUNTIFS($X$2:$X98,$X98)=1,"1",VALUE(SUBSTITUTE(INDEX(Y:Y,_xlfn.XMATCH($X98,$X$1:$X97,0,-1)),"A",""))+INDEX(Z:Z,_xlfn.XMATCH($X98,$X$1:$X97,0,-1))+1)</f>
        <v>1</v>
      </c>
      <c r="Z98" s="43" cm="1">
        <f t="array" ref="Z98">SUM(IF(ISNUMBER(FIND("TmAi",$BA$1:$ZZ$1)),IF(IFERROR(ISODD(SUBSTITUTE($BA98:$ZZ98,"A","")),FALSE),IF(ISODD(SUBSTITUTE($BA98:$ZZ98,"A","")),1,0),0)))</f>
        <v>0</v>
      </c>
      <c r="AA98" t="str">
        <f t="shared" si="125"/>
        <v>1B</v>
      </c>
      <c r="AB98" t="str">
        <f t="shared" si="126"/>
        <v>2B</v>
      </c>
      <c r="AL98" t="s">
        <v>137</v>
      </c>
      <c r="AO98" t="s">
        <v>396</v>
      </c>
      <c r="JV98" s="27" t="str">
        <f t="shared" si="113"/>
        <v>XT55</v>
      </c>
      <c r="JY98" t="str">
        <f t="shared" si="114"/>
        <v>F0-AI8-1B</v>
      </c>
      <c r="JZ98" t="str">
        <f t="shared" si="115"/>
        <v>F0-AI8-2B</v>
      </c>
      <c r="KE98" cm="1">
        <f t="array" ref="KE98">IF(COUNTIFS($U$2:$U98,$U98)=1,1,INDEX(KE:KE,_xlfn.XMATCH(U98,U$1:U97,0,-1))+COUNT(KE97:KI97))</f>
        <v>135</v>
      </c>
      <c r="KF98">
        <f t="shared" si="124"/>
        <v>136</v>
      </c>
      <c r="KG98">
        <f t="shared" si="124"/>
        <v>137</v>
      </c>
      <c r="KJ98">
        <v>1</v>
      </c>
      <c r="KK98" s="16">
        <v>2</v>
      </c>
      <c r="KO98" s="16"/>
    </row>
    <row r="99" spans="1:301" x14ac:dyDescent="0.25">
      <c r="A99" t="s">
        <v>638</v>
      </c>
      <c r="B99" t="s">
        <v>637</v>
      </c>
      <c r="C99" t="s">
        <v>492</v>
      </c>
      <c r="P99" t="s">
        <v>482</v>
      </c>
      <c r="T99" s="14" t="s">
        <v>554</v>
      </c>
      <c r="U99">
        <v>55</v>
      </c>
      <c r="V99" t="s">
        <v>655</v>
      </c>
      <c r="X99" t="str">
        <f>IF(COUNTIF(X$1:X98,X98)&gt;7,REPLACE(X98,LEN(X98),1,VALUE(RIGHT(X98,1))+1),X98)</f>
        <v>A3.8</v>
      </c>
      <c r="Y99" s="43" cm="1">
        <f t="array" ref="Y99">IF(COUNTIFS($X$2:$X99,$X99)=1,"1",VALUE(SUBSTITUTE(INDEX(Y:Y,_xlfn.XMATCH($X99,$X$1:$X98,0,-1)),"A",""))+INDEX(Z:Z,_xlfn.XMATCH($X99,$X$1:$X98,0,-1))+1)</f>
        <v>2</v>
      </c>
      <c r="Z99" s="43" cm="1">
        <f t="array" ref="Z99">SUM(IF(ISNUMBER(FIND("TmAi",$BA$1:$ZZ$1)),IF(IFERROR(ISODD(SUBSTITUTE($BA99:$ZZ99,"A","")),FALSE),IF(ISODD(SUBSTITUTE($BA99:$ZZ99,"A","")),1,0),0)))</f>
        <v>0</v>
      </c>
      <c r="AA99" t="str">
        <f t="shared" si="125"/>
        <v>3B</v>
      </c>
      <c r="AB99" t="str">
        <f t="shared" si="126"/>
        <v>4B</v>
      </c>
      <c r="AL99" t="s">
        <v>137</v>
      </c>
      <c r="AO99" t="s">
        <v>396</v>
      </c>
      <c r="JV99" s="27" t="str">
        <f t="shared" si="113"/>
        <v>XT55</v>
      </c>
      <c r="JY99" t="str">
        <f t="shared" si="114"/>
        <v>F0-AI8-3B</v>
      </c>
      <c r="JZ99" t="str">
        <f t="shared" si="115"/>
        <v>F0-AI8-4B</v>
      </c>
      <c r="KE99" cm="1">
        <f t="array" ref="KE99">IF(COUNTIFS($U$2:$U99,$U99)=1,1,INDEX(KE:KE,_xlfn.XMATCH(U99,U$1:U98,0,-1))+COUNT(KE98:KI98))</f>
        <v>138</v>
      </c>
      <c r="KF99">
        <f t="shared" si="124"/>
        <v>139</v>
      </c>
      <c r="KG99">
        <f t="shared" si="124"/>
        <v>140</v>
      </c>
      <c r="KJ99">
        <v>1</v>
      </c>
      <c r="KK99" s="16">
        <v>2</v>
      </c>
      <c r="KO99" s="16"/>
    </row>
    <row r="100" spans="1:301" x14ac:dyDescent="0.25">
      <c r="A100" t="s">
        <v>640</v>
      </c>
      <c r="B100" t="s">
        <v>639</v>
      </c>
      <c r="C100" t="s">
        <v>498</v>
      </c>
      <c r="P100" t="s">
        <v>482</v>
      </c>
      <c r="T100" s="14" t="s">
        <v>554</v>
      </c>
      <c r="U100">
        <v>55</v>
      </c>
      <c r="V100" t="s">
        <v>656</v>
      </c>
      <c r="X100" t="str">
        <f>IF(COUNTIF(X$1:X99,X99)&gt;7,REPLACE(X99,LEN(X99),1,VALUE(RIGHT(X99,1))+1),X99)</f>
        <v>A3.8</v>
      </c>
      <c r="Y100" s="43" cm="1">
        <f t="array" ref="Y100">IF(COUNTIFS($X$2:$X100,$X100)=1,"1",VALUE(SUBSTITUTE(INDEX(Y:Y,_xlfn.XMATCH($X100,$X$1:$X99,0,-1)),"A",""))+INDEX(Z:Z,_xlfn.XMATCH($X100,$X$1:$X99,0,-1))+1)</f>
        <v>3</v>
      </c>
      <c r="Z100" s="43" cm="1">
        <f t="array" ref="Z100">SUM(IF(ISNUMBER(FIND("TmAi",$BA$1:$ZZ$1)),IF(IFERROR(ISODD(SUBSTITUTE($BA100:$ZZ100,"A","")),FALSE),IF(ISODD(SUBSTITUTE($BA100:$ZZ100,"A","")),1,0),0)))</f>
        <v>0</v>
      </c>
      <c r="AA100" t="str">
        <f t="shared" si="125"/>
        <v>5B</v>
      </c>
      <c r="AB100" t="str">
        <f t="shared" si="126"/>
        <v>6B</v>
      </c>
      <c r="AL100" t="s">
        <v>137</v>
      </c>
      <c r="AO100" t="s">
        <v>396</v>
      </c>
      <c r="JV100" s="27" t="str">
        <f t="shared" si="113"/>
        <v>XT55</v>
      </c>
      <c r="JY100" t="str">
        <f t="shared" si="114"/>
        <v>F0-AI8-5B</v>
      </c>
      <c r="JZ100" t="str">
        <f t="shared" si="115"/>
        <v>F0-AI8-6B</v>
      </c>
      <c r="KE100" cm="1">
        <f t="array" ref="KE100">IF(COUNTIFS($U$2:$U100,$U100)=1,1,INDEX(KE:KE,_xlfn.XMATCH(U100,U$1:U99,0,-1))+COUNT(KE99:KI99))</f>
        <v>141</v>
      </c>
      <c r="KF100">
        <f t="shared" si="124"/>
        <v>142</v>
      </c>
      <c r="KG100">
        <f t="shared" si="124"/>
        <v>143</v>
      </c>
      <c r="KJ100">
        <v>1</v>
      </c>
      <c r="KK100" s="16">
        <v>2</v>
      </c>
      <c r="KO100" s="16"/>
    </row>
    <row r="101" spans="1:301" x14ac:dyDescent="0.25">
      <c r="A101" t="s">
        <v>642</v>
      </c>
      <c r="B101" t="s">
        <v>641</v>
      </c>
      <c r="C101" t="s">
        <v>492</v>
      </c>
      <c r="P101" t="s">
        <v>482</v>
      </c>
      <c r="T101" s="14" t="s">
        <v>554</v>
      </c>
      <c r="U101">
        <v>55</v>
      </c>
      <c r="V101" t="s">
        <v>657</v>
      </c>
      <c r="X101" t="str">
        <f>IF(COUNTIF(X$1:X100,X100)&gt;7,REPLACE(X100,LEN(X100),1,VALUE(RIGHT(X100,1))+1),X100)</f>
        <v>A3.8</v>
      </c>
      <c r="Y101" s="43" cm="1">
        <f t="array" ref="Y101">IF(COUNTIFS($X$2:$X101,$X101)=1,"1",VALUE(SUBSTITUTE(INDEX(Y:Y,_xlfn.XMATCH($X101,$X$1:$X100,0,-1)),"A",""))+INDEX(Z:Z,_xlfn.XMATCH($X101,$X$1:$X100,0,-1))+1)</f>
        <v>4</v>
      </c>
      <c r="Z101" s="43" cm="1">
        <f t="array" ref="Z101">SUM(IF(ISNUMBER(FIND("TmAi",$BA$1:$ZZ$1)),IF(IFERROR(ISODD(SUBSTITUTE($BA101:$ZZ101,"A","")),FALSE),IF(ISODD(SUBSTITUTE($BA101:$ZZ101,"A","")),1,0),0)))</f>
        <v>0</v>
      </c>
      <c r="AA101" t="str">
        <f t="shared" si="125"/>
        <v>7B</v>
      </c>
      <c r="AB101" t="str">
        <f t="shared" si="126"/>
        <v>8B</v>
      </c>
      <c r="AL101" t="s">
        <v>137</v>
      </c>
      <c r="AO101" t="s">
        <v>396</v>
      </c>
      <c r="JV101" s="27" t="str">
        <f t="shared" si="113"/>
        <v>XT55</v>
      </c>
      <c r="JY101" t="str">
        <f t="shared" si="114"/>
        <v>F0-AI8-7B</v>
      </c>
      <c r="JZ101" t="str">
        <f t="shared" si="115"/>
        <v>F0-AI8-8B</v>
      </c>
      <c r="KE101" cm="1">
        <f t="array" ref="KE101">IF(COUNTIFS($U$2:$U101,$U101)=1,1,INDEX(KE:KE,_xlfn.XMATCH(U101,U$1:U100,0,-1))+COUNT(KE100:KI100))</f>
        <v>144</v>
      </c>
      <c r="KF101">
        <f t="shared" si="124"/>
        <v>145</v>
      </c>
      <c r="KG101">
        <f t="shared" si="124"/>
        <v>146</v>
      </c>
      <c r="KJ101">
        <v>1</v>
      </c>
      <c r="KK101" s="16">
        <v>2</v>
      </c>
      <c r="KO101" s="16"/>
    </row>
    <row r="102" spans="1:301" x14ac:dyDescent="0.25">
      <c r="A102" t="s">
        <v>644</v>
      </c>
      <c r="B102" t="s">
        <v>643</v>
      </c>
      <c r="C102" t="s">
        <v>498</v>
      </c>
      <c r="P102" t="s">
        <v>482</v>
      </c>
      <c r="T102" s="14" t="s">
        <v>554</v>
      </c>
      <c r="U102">
        <v>55</v>
      </c>
      <c r="V102" t="s">
        <v>658</v>
      </c>
      <c r="X102" t="str">
        <f>IF(COUNTIF(X$1:X101,X101)&gt;7,REPLACE(X101,LEN(X101),1,VALUE(RIGHT(X101,1))+1),X101)</f>
        <v>A3.8</v>
      </c>
      <c r="Y102" s="43" cm="1">
        <f t="array" ref="Y102">IF(COUNTIFS($X$2:$X102,$X102)=1,"1",VALUE(SUBSTITUTE(INDEX(Y:Y,_xlfn.XMATCH($X102,$X$1:$X101,0,-1)),"A",""))+INDEX(Z:Z,_xlfn.XMATCH($X102,$X$1:$X101,0,-1))+1)</f>
        <v>5</v>
      </c>
      <c r="Z102" s="43" cm="1">
        <f t="array" ref="Z102">SUM(IF(ISNUMBER(FIND("TmAi",$BA$1:$ZZ$1)),IF(IFERROR(ISODD(SUBSTITUTE($BA102:$ZZ102,"A","")),FALSE),IF(ISODD(SUBSTITUTE($BA102:$ZZ102,"A","")),1,0),0)))</f>
        <v>0</v>
      </c>
      <c r="AA102" t="str">
        <f t="shared" si="125"/>
        <v>9B</v>
      </c>
      <c r="AB102" t="str">
        <f t="shared" si="126"/>
        <v>10B</v>
      </c>
      <c r="AL102" t="s">
        <v>137</v>
      </c>
      <c r="AO102" t="s">
        <v>396</v>
      </c>
      <c r="JV102" s="27" t="str">
        <f t="shared" si="113"/>
        <v>XT55</v>
      </c>
      <c r="JY102" t="str">
        <f t="shared" si="114"/>
        <v>F0-AI8-9B</v>
      </c>
      <c r="JZ102" t="str">
        <f t="shared" si="115"/>
        <v>F0-AI8-10B</v>
      </c>
      <c r="KE102" cm="1">
        <f t="array" ref="KE102">IF(COUNTIFS($U$2:$U102,$U102)=1,1,INDEX(KE:KE,_xlfn.XMATCH(U102,U$1:U101,0,-1))+COUNT(KE101:KI101))</f>
        <v>147</v>
      </c>
      <c r="KF102">
        <f t="shared" ref="KF102:KG122" si="127">KE102+1</f>
        <v>148</v>
      </c>
      <c r="KG102">
        <f t="shared" si="127"/>
        <v>149</v>
      </c>
      <c r="KJ102">
        <v>1</v>
      </c>
      <c r="KK102" s="16">
        <v>2</v>
      </c>
      <c r="KO102" s="16"/>
    </row>
    <row r="103" spans="1:301" x14ac:dyDescent="0.25">
      <c r="A103" t="s">
        <v>646</v>
      </c>
      <c r="B103" t="s">
        <v>645</v>
      </c>
      <c r="C103" t="s">
        <v>492</v>
      </c>
      <c r="P103" t="s">
        <v>482</v>
      </c>
      <c r="T103" s="14" t="s">
        <v>554</v>
      </c>
      <c r="U103">
        <v>55</v>
      </c>
      <c r="V103" t="s">
        <v>659</v>
      </c>
      <c r="X103" t="str">
        <f>IF(COUNTIF(X$1:X102,X102)&gt;7,REPLACE(X102,LEN(X102),1,VALUE(RIGHT(X102,1))+1),X102)</f>
        <v>A3.8</v>
      </c>
      <c r="Y103" s="43" cm="1">
        <f t="array" ref="Y103">IF(COUNTIFS($X$2:$X103,$X103)=1,"1",VALUE(SUBSTITUTE(INDEX(Y:Y,_xlfn.XMATCH($X103,$X$1:$X102,0,-1)),"A",""))+INDEX(Z:Z,_xlfn.XMATCH($X103,$X$1:$X102,0,-1))+1)</f>
        <v>6</v>
      </c>
      <c r="Z103" s="43" cm="1">
        <f t="array" ref="Z103">SUM(IF(ISNUMBER(FIND("TmAi",$BA$1:$ZZ$1)),IF(IFERROR(ISODD(SUBSTITUTE($BA103:$ZZ103,"A","")),FALSE),IF(ISODD(SUBSTITUTE($BA103:$ZZ103,"A","")),1,0),0)))</f>
        <v>0</v>
      </c>
      <c r="AA103" t="str">
        <f t="shared" si="125"/>
        <v>11B</v>
      </c>
      <c r="AB103" t="str">
        <f t="shared" si="126"/>
        <v>12B</v>
      </c>
      <c r="AL103" t="s">
        <v>137</v>
      </c>
      <c r="AO103" t="s">
        <v>396</v>
      </c>
      <c r="JV103" s="27" t="str">
        <f t="shared" si="113"/>
        <v>XT55</v>
      </c>
      <c r="JY103" t="str">
        <f t="shared" si="114"/>
        <v>F0-AI8-11B</v>
      </c>
      <c r="JZ103" t="str">
        <f t="shared" si="115"/>
        <v>F0-AI8-12B</v>
      </c>
      <c r="KE103" cm="1">
        <f t="array" ref="KE103">IF(COUNTIFS($U$2:$U103,$U103)=1,1,INDEX(KE:KE,_xlfn.XMATCH(U103,U$1:U102,0,-1))+COUNT(KE102:KI102))</f>
        <v>150</v>
      </c>
      <c r="KF103">
        <f t="shared" si="127"/>
        <v>151</v>
      </c>
      <c r="KG103">
        <f t="shared" si="127"/>
        <v>152</v>
      </c>
      <c r="KJ103">
        <v>1</v>
      </c>
      <c r="KK103" s="16">
        <v>2</v>
      </c>
      <c r="KO103" s="16"/>
    </row>
    <row r="104" spans="1:301" x14ac:dyDescent="0.25">
      <c r="A104" t="s">
        <v>648</v>
      </c>
      <c r="B104" t="s">
        <v>647</v>
      </c>
      <c r="C104" t="s">
        <v>498</v>
      </c>
      <c r="P104" t="s">
        <v>482</v>
      </c>
      <c r="T104" s="14" t="s">
        <v>554</v>
      </c>
      <c r="U104">
        <v>55</v>
      </c>
      <c r="V104" t="s">
        <v>660</v>
      </c>
      <c r="X104" t="str">
        <f>IF(COUNTIF(X$1:X103,X103)&gt;7,REPLACE(X103,LEN(X103),1,VALUE(RIGHT(X103,1))+1),X103)</f>
        <v>A3.8</v>
      </c>
      <c r="Y104" s="43" cm="1">
        <f t="array" ref="Y104">IF(COUNTIFS($X$2:$X104,$X104)=1,"1",VALUE(SUBSTITUTE(INDEX(Y:Y,_xlfn.XMATCH($X104,$X$1:$X103,0,-1)),"A",""))+INDEX(Z:Z,_xlfn.XMATCH($X104,$X$1:$X103,0,-1))+1)</f>
        <v>7</v>
      </c>
      <c r="Z104" s="43" cm="1">
        <f t="array" ref="Z104">SUM(IF(ISNUMBER(FIND("TmAi",$BA$1:$ZZ$1)),IF(IFERROR(ISODD(SUBSTITUTE($BA104:$ZZ104,"A","")),FALSE),IF(ISODD(SUBSTITUTE($BA104:$ZZ104,"A","")),1,0),0)))</f>
        <v>0</v>
      </c>
      <c r="AA104" t="str">
        <f t="shared" si="125"/>
        <v>13B</v>
      </c>
      <c r="AB104" t="str">
        <f t="shared" si="126"/>
        <v>14B</v>
      </c>
      <c r="AL104" t="s">
        <v>137</v>
      </c>
      <c r="AO104" t="s">
        <v>396</v>
      </c>
      <c r="JV104" s="27" t="str">
        <f t="shared" si="113"/>
        <v>XT55</v>
      </c>
      <c r="JY104" t="str">
        <f t="shared" si="114"/>
        <v>F0-AI8-13B</v>
      </c>
      <c r="JZ104" t="str">
        <f t="shared" si="115"/>
        <v>F0-AI8-14B</v>
      </c>
      <c r="KE104" cm="1">
        <f t="array" ref="KE104">IF(COUNTIFS($U$2:$U104,$U104)=1,1,INDEX(KE:KE,_xlfn.XMATCH(U104,U$1:U103,0,-1))+COUNT(KE103:KI103))</f>
        <v>153</v>
      </c>
      <c r="KF104">
        <f t="shared" si="127"/>
        <v>154</v>
      </c>
      <c r="KG104">
        <f t="shared" si="127"/>
        <v>155</v>
      </c>
      <c r="KJ104">
        <v>1</v>
      </c>
      <c r="KK104" s="16">
        <v>2</v>
      </c>
      <c r="KO104" s="16"/>
    </row>
    <row r="105" spans="1:301" x14ac:dyDescent="0.25">
      <c r="A105" t="s">
        <v>650</v>
      </c>
      <c r="B105" t="s">
        <v>649</v>
      </c>
      <c r="C105" t="s">
        <v>492</v>
      </c>
      <c r="P105" t="s">
        <v>482</v>
      </c>
      <c r="T105" s="14" t="s">
        <v>554</v>
      </c>
      <c r="U105">
        <v>55</v>
      </c>
      <c r="V105" t="s">
        <v>661</v>
      </c>
      <c r="X105" s="33" t="str">
        <f>IF(COUNTIF(X$1:X104,X104)&gt;7,REPLACE(X104,LEN(X104),1,VALUE(RIGHT(X104,1))+1),X104)</f>
        <v>A3.8</v>
      </c>
      <c r="Y105" s="45" cm="1">
        <f t="array" ref="Y105">IF(COUNTIFS($X$2:$X105,$X105)=1,"1",VALUE(SUBSTITUTE(INDEX(Y:Y,_xlfn.XMATCH($X105,$X$1:$X104,0,-1)),"A",""))+INDEX(Z:Z,_xlfn.XMATCH($X105,$X$1:$X104,0,-1))+1)</f>
        <v>8</v>
      </c>
      <c r="Z105" s="43" cm="1">
        <f t="array" ref="Z105">SUM(IF(ISNUMBER(FIND("TmAi",$BA$1:$ZZ$1)),IF(IFERROR(ISODD(SUBSTITUTE($BA105:$ZZ105,"A","")),FALSE),IF(ISODD(SUBSTITUTE($BA105:$ZZ105,"A","")),1,0),0)))</f>
        <v>0</v>
      </c>
      <c r="AA105" t="str">
        <f t="shared" si="125"/>
        <v>15B</v>
      </c>
      <c r="AB105" t="str">
        <f t="shared" si="126"/>
        <v>16B</v>
      </c>
      <c r="AL105" t="s">
        <v>137</v>
      </c>
      <c r="AO105" t="s">
        <v>396</v>
      </c>
      <c r="JV105" s="27" t="str">
        <f t="shared" si="113"/>
        <v>XT55</v>
      </c>
      <c r="JY105" t="str">
        <f t="shared" si="114"/>
        <v>F0-AI8-15B</v>
      </c>
      <c r="JZ105" t="str">
        <f t="shared" si="115"/>
        <v>F0-AI8-16B</v>
      </c>
      <c r="KE105" cm="1">
        <f t="array" ref="KE105">IF(COUNTIFS($U$2:$U105,$U105)=1,1,INDEX(KE:KE,_xlfn.XMATCH(U105,U$1:U104,0,-1))+COUNT(KE104:KI104))</f>
        <v>156</v>
      </c>
      <c r="KF105">
        <f t="shared" si="127"/>
        <v>157</v>
      </c>
      <c r="KG105">
        <f t="shared" si="127"/>
        <v>158</v>
      </c>
      <c r="KJ105">
        <v>1</v>
      </c>
      <c r="KK105" s="16">
        <v>2</v>
      </c>
      <c r="KO105" s="16"/>
    </row>
    <row r="106" spans="1:301" x14ac:dyDescent="0.25">
      <c r="A106" t="s">
        <v>652</v>
      </c>
      <c r="B106" t="s">
        <v>651</v>
      </c>
      <c r="C106" t="s">
        <v>498</v>
      </c>
      <c r="P106" t="s">
        <v>482</v>
      </c>
      <c r="T106" s="14" t="s">
        <v>554</v>
      </c>
      <c r="U106">
        <v>55</v>
      </c>
      <c r="V106" t="s">
        <v>662</v>
      </c>
      <c r="X106" t="str">
        <f>IF(COUNTIF(X$1:X105,X105)&gt;7,REPLACE(X105,LEN(X105),1,VALUE(RIGHT(X105,1))+1),X105)</f>
        <v>A3.9</v>
      </c>
      <c r="Y106" s="43" t="str" cm="1">
        <f t="array" ref="Y106">IF(COUNTIFS($X$2:$X106,$X106)=1,"1",VALUE(SUBSTITUTE(INDEX(Y:Y,_xlfn.XMATCH($X106,$X$1:$X105,0,-1)),"A",""))+INDEX(Z:Z,_xlfn.XMATCH($X106,$X$1:$X105,0,-1))+1)</f>
        <v>1</v>
      </c>
      <c r="Z106" s="43" cm="1">
        <f t="array" ref="Z106">SUM(IF(ISNUMBER(FIND("TmAi",$BA$1:$ZZ$1)),IF(IFERROR(ISODD(SUBSTITUTE($BA106:$ZZ106,"A","")),FALSE),IF(ISODD(SUBSTITUTE($BA106:$ZZ106,"A","")),1,0),0)))</f>
        <v>0</v>
      </c>
      <c r="AA106" t="str">
        <f t="shared" si="125"/>
        <v>1B</v>
      </c>
      <c r="AB106" t="str">
        <f t="shared" si="126"/>
        <v>2B</v>
      </c>
      <c r="AL106" t="s">
        <v>137</v>
      </c>
      <c r="AO106" t="s">
        <v>396</v>
      </c>
      <c r="JV106" s="27" t="str">
        <f t="shared" si="113"/>
        <v>XT55</v>
      </c>
      <c r="JY106" t="str">
        <f t="shared" si="114"/>
        <v>F0-AI9-1B</v>
      </c>
      <c r="JZ106" t="str">
        <f t="shared" si="115"/>
        <v>F0-AI9-2B</v>
      </c>
      <c r="KE106" cm="1">
        <f t="array" ref="KE106">IF(COUNTIFS($U$2:$U106,$U106)=1,1,INDEX(KE:KE,_xlfn.XMATCH(U106,U$1:U105,0,-1))+COUNT(KE105:KI105))</f>
        <v>159</v>
      </c>
      <c r="KF106">
        <f t="shared" si="127"/>
        <v>160</v>
      </c>
      <c r="KG106">
        <f t="shared" si="127"/>
        <v>161</v>
      </c>
      <c r="KJ106">
        <v>1</v>
      </c>
      <c r="KK106" s="16">
        <v>2</v>
      </c>
      <c r="KO106" s="16"/>
    </row>
    <row r="107" spans="1:301" x14ac:dyDescent="0.25">
      <c r="A107" t="s">
        <v>654</v>
      </c>
      <c r="B107" t="s">
        <v>653</v>
      </c>
      <c r="C107" t="s">
        <v>492</v>
      </c>
      <c r="P107" t="s">
        <v>482</v>
      </c>
      <c r="T107" s="14" t="s">
        <v>554</v>
      </c>
      <c r="U107">
        <v>55</v>
      </c>
      <c r="V107" t="s">
        <v>663</v>
      </c>
      <c r="X107" t="str">
        <f>IF(COUNTIF(X$1:X106,X106)&gt;7,REPLACE(X106,LEN(X106),1,VALUE(RIGHT(X106,1))+1),X106)</f>
        <v>A3.9</v>
      </c>
      <c r="Y107" s="43" cm="1">
        <f t="array" ref="Y107">IF(COUNTIFS($X$2:$X107,$X107)=1,"1",VALUE(SUBSTITUTE(INDEX(Y:Y,_xlfn.XMATCH($X107,$X$1:$X106,0,-1)),"A",""))+INDEX(Z:Z,_xlfn.XMATCH($X107,$X$1:$X106,0,-1))+1)</f>
        <v>2</v>
      </c>
      <c r="Z107" s="43" cm="1">
        <f t="array" ref="Z107">SUM(IF(ISNUMBER(FIND("TmAi",$BA$1:$ZZ$1)),IF(IFERROR(ISODD(SUBSTITUTE($BA107:$ZZ107,"A","")),FALSE),IF(ISODD(SUBSTITUTE($BA107:$ZZ107,"A","")),1,0),0)))</f>
        <v>0</v>
      </c>
      <c r="AA107" t="str">
        <f t="shared" si="125"/>
        <v>3B</v>
      </c>
      <c r="AB107" t="str">
        <f t="shared" si="126"/>
        <v>4B</v>
      </c>
      <c r="AL107" t="s">
        <v>137</v>
      </c>
      <c r="AO107" t="s">
        <v>396</v>
      </c>
      <c r="JV107" s="27" t="str">
        <f t="shared" si="113"/>
        <v>XT55</v>
      </c>
      <c r="JY107" t="str">
        <f t="shared" si="114"/>
        <v>F0-AI9-3B</v>
      </c>
      <c r="JZ107" t="str">
        <f t="shared" si="115"/>
        <v>F0-AI9-4B</v>
      </c>
      <c r="KE107" cm="1">
        <f t="array" ref="KE107">IF(COUNTIFS($U$2:$U107,$U107)=1,1,INDEX(KE:KE,_xlfn.XMATCH(U107,U$1:U106,0,-1))+COUNT(KE106:KI106))</f>
        <v>162</v>
      </c>
      <c r="KF107">
        <f t="shared" si="127"/>
        <v>163</v>
      </c>
      <c r="KG107">
        <f t="shared" si="127"/>
        <v>164</v>
      </c>
      <c r="KJ107">
        <v>1</v>
      </c>
      <c r="KK107" s="16">
        <v>2</v>
      </c>
      <c r="KO107" s="16"/>
    </row>
    <row r="108" spans="1:301" x14ac:dyDescent="0.25">
      <c r="A108" t="s">
        <v>665</v>
      </c>
      <c r="B108" s="33" t="s">
        <v>664</v>
      </c>
      <c r="C108" t="s">
        <v>492</v>
      </c>
      <c r="P108" t="s">
        <v>482</v>
      </c>
      <c r="T108" s="14" t="s">
        <v>554</v>
      </c>
      <c r="U108">
        <v>55</v>
      </c>
      <c r="V108" t="s">
        <v>683</v>
      </c>
      <c r="X108" t="str">
        <f>IF(COUNTIF(X$1:X107,X107)&gt;7,REPLACE(X107,LEN(X107),1,VALUE(RIGHT(X107,1))+1),X107)</f>
        <v>A3.9</v>
      </c>
      <c r="Y108" s="43" cm="1">
        <f t="array" ref="Y108">IF(COUNTIFS($X$2:$X108,$X108)=1,"1",VALUE(SUBSTITUTE(INDEX(Y:Y,_xlfn.XMATCH($X108,$X$1:$X107,0,-1)),"A",""))+INDEX(Z:Z,_xlfn.XMATCH($X108,$X$1:$X107,0,-1))+1)</f>
        <v>3</v>
      </c>
      <c r="Z108" s="43" cm="1">
        <f t="array" ref="Z108">SUM(IF(ISNUMBER(FIND("TmAi",$BA$1:$ZZ$1)),IF(IFERROR(ISODD(SUBSTITUTE($BA108:$ZZ108,"A","")),FALSE),IF(ISODD(SUBSTITUTE($BA108:$ZZ108,"A","")),1,0),0)))</f>
        <v>0</v>
      </c>
      <c r="AA108" t="str">
        <f t="shared" si="125"/>
        <v>5B</v>
      </c>
      <c r="AB108" t="str">
        <f t="shared" si="126"/>
        <v>6B</v>
      </c>
      <c r="AL108" t="s">
        <v>137</v>
      </c>
      <c r="AO108" t="s">
        <v>396</v>
      </c>
      <c r="JV108" s="27" t="str">
        <f t="shared" si="113"/>
        <v>XT55</v>
      </c>
      <c r="JY108" t="str">
        <f t="shared" si="114"/>
        <v>F0-AI9-5B</v>
      </c>
      <c r="JZ108" t="str">
        <f t="shared" si="115"/>
        <v>F0-AI9-6B</v>
      </c>
      <c r="KE108" cm="1">
        <f t="array" ref="KE108">IF(COUNTIFS($U$2:$U108,$U108)=1,1,INDEX(KE:KE,_xlfn.XMATCH(U108,U$1:U107,0,-1))+COUNT(KE107:KI107))</f>
        <v>165</v>
      </c>
      <c r="KF108">
        <f t="shared" si="127"/>
        <v>166</v>
      </c>
      <c r="KG108">
        <f t="shared" si="127"/>
        <v>167</v>
      </c>
      <c r="KJ108">
        <v>1</v>
      </c>
      <c r="KK108" s="16">
        <v>2</v>
      </c>
      <c r="KO108" s="16"/>
    </row>
    <row r="109" spans="1:301" x14ac:dyDescent="0.25">
      <c r="A109" t="s">
        <v>667</v>
      </c>
      <c r="B109" t="s">
        <v>666</v>
      </c>
      <c r="C109" t="s">
        <v>492</v>
      </c>
      <c r="P109" t="s">
        <v>482</v>
      </c>
      <c r="T109" s="14" t="s">
        <v>554</v>
      </c>
      <c r="U109">
        <v>55</v>
      </c>
      <c r="V109" t="s">
        <v>684</v>
      </c>
      <c r="X109" t="str">
        <f>IF(COUNTIF(X$1:X108,X108)&gt;7,REPLACE(X108,LEN(X108),1,VALUE(RIGHT(X108,1))+1),X108)</f>
        <v>A3.9</v>
      </c>
      <c r="Y109" s="43" cm="1">
        <f t="array" ref="Y109">IF(COUNTIFS($X$2:$X109,$X109)=1,"1",VALUE(SUBSTITUTE(INDEX(Y:Y,_xlfn.XMATCH($X109,$X$1:$X108,0,-1)),"A",""))+INDEX(Z:Z,_xlfn.XMATCH($X109,$X$1:$X108,0,-1))+1)</f>
        <v>4</v>
      </c>
      <c r="Z109" s="43" cm="1">
        <f t="array" ref="Z109">SUM(IF(ISNUMBER(FIND("TmAi",$BA$1:$ZZ$1)),IF(IFERROR(ISODD(SUBSTITUTE($BA109:$ZZ109,"A","")),FALSE),IF(ISODD(SUBSTITUTE($BA109:$ZZ109,"A","")),1,0),0)))</f>
        <v>0</v>
      </c>
      <c r="AA109" t="str">
        <f t="shared" si="125"/>
        <v>7B</v>
      </c>
      <c r="AB109" t="str">
        <f t="shared" si="126"/>
        <v>8B</v>
      </c>
      <c r="AL109" t="s">
        <v>137</v>
      </c>
      <c r="AO109" t="s">
        <v>396</v>
      </c>
      <c r="JV109" s="27" t="str">
        <f t="shared" si="113"/>
        <v>XT55</v>
      </c>
      <c r="JY109" t="str">
        <f t="shared" si="114"/>
        <v>F0-AI9-7B</v>
      </c>
      <c r="JZ109" t="str">
        <f t="shared" si="115"/>
        <v>F0-AI9-8B</v>
      </c>
      <c r="KE109" cm="1">
        <f t="array" ref="KE109">IF(COUNTIFS($U$2:$U109,$U109)=1,1,INDEX(KE:KE,_xlfn.XMATCH(U109,U$1:U108,0,-1))+COUNT(KE108:KI108))</f>
        <v>168</v>
      </c>
      <c r="KF109">
        <f t="shared" si="127"/>
        <v>169</v>
      </c>
      <c r="KG109">
        <f t="shared" si="127"/>
        <v>170</v>
      </c>
      <c r="KJ109">
        <v>1</v>
      </c>
      <c r="KK109" s="16">
        <v>2</v>
      </c>
      <c r="KO109" s="16"/>
    </row>
    <row r="110" spans="1:301" x14ac:dyDescent="0.25">
      <c r="A110" t="s">
        <v>669</v>
      </c>
      <c r="B110" t="s">
        <v>668</v>
      </c>
      <c r="C110" t="s">
        <v>498</v>
      </c>
      <c r="P110" t="s">
        <v>482</v>
      </c>
      <c r="T110" s="14" t="s">
        <v>554</v>
      </c>
      <c r="U110">
        <v>55</v>
      </c>
      <c r="V110" t="s">
        <v>685</v>
      </c>
      <c r="X110" t="str">
        <f>IF(COUNTIF(X$1:X109,X109)&gt;7,REPLACE(X109,LEN(X109),1,VALUE(RIGHT(X109,1))+1),X109)</f>
        <v>A3.9</v>
      </c>
      <c r="Y110" s="43" cm="1">
        <f t="array" ref="Y110">IF(COUNTIFS($X$2:$X110,$X110)=1,"1",VALUE(SUBSTITUTE(INDEX(Y:Y,_xlfn.XMATCH($X110,$X$1:$X109,0,-1)),"A",""))+INDEX(Z:Z,_xlfn.XMATCH($X110,$X$1:$X109,0,-1))+1)</f>
        <v>5</v>
      </c>
      <c r="Z110" s="43" cm="1">
        <f t="array" ref="Z110">SUM(IF(ISNUMBER(FIND("TmAi",$BA$1:$ZZ$1)),IF(IFERROR(ISODD(SUBSTITUTE($BA110:$ZZ110,"A","")),FALSE),IF(ISODD(SUBSTITUTE($BA110:$ZZ110,"A","")),1,0),0)))</f>
        <v>0</v>
      </c>
      <c r="AA110" t="str">
        <f t="shared" si="125"/>
        <v>9B</v>
      </c>
      <c r="AB110" t="str">
        <f t="shared" si="126"/>
        <v>10B</v>
      </c>
      <c r="AL110" t="s">
        <v>137</v>
      </c>
      <c r="AO110" t="s">
        <v>396</v>
      </c>
      <c r="JV110" s="27" t="str">
        <f t="shared" si="113"/>
        <v>XT55</v>
      </c>
      <c r="JY110" t="str">
        <f t="shared" si="114"/>
        <v>F0-AI9-9B</v>
      </c>
      <c r="JZ110" t="str">
        <f t="shared" si="115"/>
        <v>F0-AI9-10B</v>
      </c>
      <c r="KE110" cm="1">
        <f t="array" ref="KE110">IF(COUNTIFS($U$2:$U110,$U110)=1,1,INDEX(KE:KE,_xlfn.XMATCH(U110,U$1:U109,0,-1))+COUNT(KE109:KI109))</f>
        <v>171</v>
      </c>
      <c r="KF110">
        <f t="shared" si="127"/>
        <v>172</v>
      </c>
      <c r="KG110">
        <f t="shared" si="127"/>
        <v>173</v>
      </c>
      <c r="KJ110">
        <v>1</v>
      </c>
      <c r="KK110" s="16">
        <v>2</v>
      </c>
      <c r="KO110" s="16"/>
    </row>
    <row r="111" spans="1:301" x14ac:dyDescent="0.25">
      <c r="A111" t="s">
        <v>671</v>
      </c>
      <c r="B111" t="s">
        <v>670</v>
      </c>
      <c r="C111" t="s">
        <v>498</v>
      </c>
      <c r="P111" t="s">
        <v>482</v>
      </c>
      <c r="T111" s="14" t="s">
        <v>554</v>
      </c>
      <c r="U111">
        <v>55</v>
      </c>
      <c r="V111" t="s">
        <v>686</v>
      </c>
      <c r="X111" t="str">
        <f>IF(COUNTIF(X$1:X110,X110)&gt;7,REPLACE(X110,LEN(X110),1,VALUE(RIGHT(X110,1))+1),X110)</f>
        <v>A3.9</v>
      </c>
      <c r="Y111" s="43" cm="1">
        <f t="array" ref="Y111">IF(COUNTIFS($X$2:$X111,$X111)=1,"1",VALUE(SUBSTITUTE(INDEX(Y:Y,_xlfn.XMATCH($X111,$X$1:$X110,0,-1)),"A",""))+INDEX(Z:Z,_xlfn.XMATCH($X111,$X$1:$X110,0,-1))+1)</f>
        <v>6</v>
      </c>
      <c r="Z111" s="43" cm="1">
        <f t="array" ref="Z111">SUM(IF(ISNUMBER(FIND("TmAi",$BA$1:$ZZ$1)),IF(IFERROR(ISODD(SUBSTITUTE($BA111:$ZZ111,"A","")),FALSE),IF(ISODD(SUBSTITUTE($BA111:$ZZ111,"A","")),1,0),0)))</f>
        <v>0</v>
      </c>
      <c r="AA111" t="str">
        <f t="shared" si="125"/>
        <v>11B</v>
      </c>
      <c r="AB111" t="str">
        <f t="shared" si="126"/>
        <v>12B</v>
      </c>
      <c r="AL111" t="s">
        <v>137</v>
      </c>
      <c r="AO111" t="s">
        <v>396</v>
      </c>
      <c r="JV111" s="27" t="str">
        <f t="shared" si="113"/>
        <v>XT55</v>
      </c>
      <c r="JY111" t="str">
        <f t="shared" si="114"/>
        <v>F0-AI9-11B</v>
      </c>
      <c r="JZ111" t="str">
        <f t="shared" si="115"/>
        <v>F0-AI9-12B</v>
      </c>
      <c r="KE111" cm="1">
        <f t="array" ref="KE111">IF(COUNTIFS($U$2:$U111,$U111)=1,1,INDEX(KE:KE,_xlfn.XMATCH(U111,U$1:U110,0,-1))+COUNT(KE110:KI110))</f>
        <v>174</v>
      </c>
      <c r="KF111">
        <f t="shared" si="127"/>
        <v>175</v>
      </c>
      <c r="KG111">
        <f t="shared" si="127"/>
        <v>176</v>
      </c>
      <c r="KJ111">
        <v>1</v>
      </c>
      <c r="KK111" s="16">
        <v>2</v>
      </c>
      <c r="KO111" s="16"/>
    </row>
    <row r="112" spans="1:301" x14ac:dyDescent="0.25">
      <c r="A112" t="s">
        <v>673</v>
      </c>
      <c r="B112" t="s">
        <v>672</v>
      </c>
      <c r="C112" t="s">
        <v>498</v>
      </c>
      <c r="P112" t="s">
        <v>482</v>
      </c>
      <c r="T112" s="14" t="s">
        <v>554</v>
      </c>
      <c r="U112">
        <v>55</v>
      </c>
      <c r="V112" t="s">
        <v>687</v>
      </c>
      <c r="X112" t="str">
        <f>IF(COUNTIF(X$1:X111,X111)&gt;7,REPLACE(X111,LEN(X111),1,VALUE(RIGHT(X111,1))+1),X111)</f>
        <v>A3.9</v>
      </c>
      <c r="Y112" s="43" cm="1">
        <f t="array" ref="Y112">IF(COUNTIFS($X$2:$X112,$X112)=1,"1",VALUE(SUBSTITUTE(INDEX(Y:Y,_xlfn.XMATCH($X112,$X$1:$X111,0,-1)),"A",""))+INDEX(Z:Z,_xlfn.XMATCH($X112,$X$1:$X111,0,-1))+1)</f>
        <v>7</v>
      </c>
      <c r="Z112" s="43" cm="1">
        <f t="array" ref="Z112">SUM(IF(ISNUMBER(FIND("TmAi",$BA$1:$ZZ$1)),IF(IFERROR(ISODD(SUBSTITUTE($BA112:$ZZ112,"A","")),FALSE),IF(ISODD(SUBSTITUTE($BA112:$ZZ112,"A","")),1,0),0)))</f>
        <v>0</v>
      </c>
      <c r="AA112" t="str">
        <f t="shared" si="125"/>
        <v>13B</v>
      </c>
      <c r="AB112" t="str">
        <f t="shared" si="126"/>
        <v>14B</v>
      </c>
      <c r="AL112" t="s">
        <v>137</v>
      </c>
      <c r="AO112" t="s">
        <v>396</v>
      </c>
      <c r="JV112" s="27" t="str">
        <f t="shared" si="113"/>
        <v>XT55</v>
      </c>
      <c r="JY112" t="str">
        <f t="shared" si="114"/>
        <v>F0-AI9-13B</v>
      </c>
      <c r="JZ112" t="str">
        <f t="shared" si="115"/>
        <v>F0-AI9-14B</v>
      </c>
      <c r="KE112" cm="1">
        <f t="array" ref="KE112">IF(COUNTIFS($U$2:$U112,$U112)=1,1,INDEX(KE:KE,_xlfn.XMATCH(U112,U$1:U111,0,-1))+COUNT(KE111:KI111))</f>
        <v>177</v>
      </c>
      <c r="KF112">
        <f t="shared" si="127"/>
        <v>178</v>
      </c>
      <c r="KG112">
        <f t="shared" si="127"/>
        <v>179</v>
      </c>
      <c r="KJ112">
        <v>1</v>
      </c>
      <c r="KK112" s="16">
        <v>2</v>
      </c>
      <c r="KO112" s="16"/>
    </row>
    <row r="113" spans="1:301" x14ac:dyDescent="0.25">
      <c r="A113" t="s">
        <v>675</v>
      </c>
      <c r="B113" t="s">
        <v>674</v>
      </c>
      <c r="C113" t="s">
        <v>498</v>
      </c>
      <c r="P113" t="s">
        <v>482</v>
      </c>
      <c r="T113" s="14" t="s">
        <v>554</v>
      </c>
      <c r="U113">
        <v>55</v>
      </c>
      <c r="V113" t="s">
        <v>688</v>
      </c>
      <c r="X113" s="33" t="str">
        <f>IF(COUNTIF(X$1:X112,X112)&gt;7,REPLACE(X112,LEN(X112),1,VALUE(RIGHT(X112,1))+1),X112)</f>
        <v>A3.9</v>
      </c>
      <c r="Y113" s="45" cm="1">
        <f t="array" ref="Y113">IF(COUNTIFS($X$2:$X113,$X113)=1,"1",VALUE(SUBSTITUTE(INDEX(Y:Y,_xlfn.XMATCH($X113,$X$1:$X112,0,-1)),"A",""))+INDEX(Z:Z,_xlfn.XMATCH($X113,$X$1:$X112,0,-1))+1)</f>
        <v>8</v>
      </c>
      <c r="Z113" s="43" cm="1">
        <f t="array" ref="Z113">SUM(IF(ISNUMBER(FIND("TmAi",$BA$1:$ZZ$1)),IF(IFERROR(ISODD(SUBSTITUTE($BA113:$ZZ113,"A","")),FALSE),IF(ISODD(SUBSTITUTE($BA113:$ZZ113,"A","")),1,0),0)))</f>
        <v>0</v>
      </c>
      <c r="AA113" t="str">
        <f t="shared" si="125"/>
        <v>15B</v>
      </c>
      <c r="AB113" t="str">
        <f t="shared" si="126"/>
        <v>16B</v>
      </c>
      <c r="AL113" t="s">
        <v>137</v>
      </c>
      <c r="AO113" t="s">
        <v>396</v>
      </c>
      <c r="JV113" s="27" t="str">
        <f t="shared" si="113"/>
        <v>XT55</v>
      </c>
      <c r="JY113" t="str">
        <f t="shared" si="114"/>
        <v>F0-AI9-15B</v>
      </c>
      <c r="JZ113" t="str">
        <f t="shared" si="115"/>
        <v>F0-AI9-16B</v>
      </c>
      <c r="KE113" cm="1">
        <f t="array" ref="KE113">IF(COUNTIFS($U$2:$U113,$U113)=1,1,INDEX(KE:KE,_xlfn.XMATCH(U113,U$1:U112,0,-1))+COUNT(KE112:KI112))</f>
        <v>180</v>
      </c>
      <c r="KF113">
        <f t="shared" si="127"/>
        <v>181</v>
      </c>
      <c r="KG113">
        <f t="shared" si="127"/>
        <v>182</v>
      </c>
      <c r="KJ113">
        <v>1</v>
      </c>
      <c r="KK113" s="16">
        <v>2</v>
      </c>
      <c r="KO113" s="16"/>
    </row>
    <row r="114" spans="1:301" x14ac:dyDescent="0.25">
      <c r="A114" t="s">
        <v>677</v>
      </c>
      <c r="B114" t="s">
        <v>676</v>
      </c>
      <c r="C114" t="s">
        <v>498</v>
      </c>
      <c r="P114" t="s">
        <v>482</v>
      </c>
      <c r="T114" s="14" t="s">
        <v>554</v>
      </c>
      <c r="U114">
        <v>55</v>
      </c>
      <c r="V114" t="s">
        <v>689</v>
      </c>
      <c r="X114" t="str">
        <f>IF(COUNTIF(X$1:X113,X113)&gt;7,REPLACE(X113,LEN(X113),1,VALUE(RIGHT(X113,1))+1),X113)</f>
        <v>A3.10</v>
      </c>
      <c r="Y114" s="43" t="str" cm="1">
        <f t="array" ref="Y114">IF(COUNTIFS($X$2:$X114,$X114)=1,"1",VALUE(SUBSTITUTE(INDEX(Y:Y,_xlfn.XMATCH($X114,$X$1:$X113,0,-1)),"A",""))+INDEX(Z:Z,_xlfn.XMATCH($X114,$X$1:$X113,0,-1))+1)</f>
        <v>1</v>
      </c>
      <c r="Z114" s="43" cm="1">
        <f t="array" ref="Z114">SUM(IF(ISNUMBER(FIND("TmAi",$BA$1:$ZZ$1)),IF(IFERROR(ISODD(SUBSTITUTE($BA114:$ZZ114,"A","")),FALSE),IF(ISODD(SUBSTITUTE($BA114:$ZZ114,"A","")),1,0),0)))</f>
        <v>0</v>
      </c>
      <c r="AA114" t="str">
        <f t="shared" si="125"/>
        <v>1B</v>
      </c>
      <c r="AB114" t="str">
        <f t="shared" si="126"/>
        <v>2B</v>
      </c>
      <c r="AL114" t="s">
        <v>137</v>
      </c>
      <c r="AO114" t="s">
        <v>396</v>
      </c>
      <c r="JV114" s="27" t="str">
        <f t="shared" si="113"/>
        <v>XT55</v>
      </c>
      <c r="JY114" t="str">
        <f t="shared" si="114"/>
        <v>F0-AI10-1B</v>
      </c>
      <c r="JZ114" t="str">
        <f t="shared" si="115"/>
        <v>F0-AI10-2B</v>
      </c>
      <c r="KE114" cm="1">
        <f t="array" ref="KE114">IF(COUNTIFS($U$2:$U114,$U114)=1,1,INDEX(KE:KE,_xlfn.XMATCH(U114,U$1:U113,0,-1))+COUNT(KE113:KI113))</f>
        <v>183</v>
      </c>
      <c r="KF114">
        <f t="shared" si="127"/>
        <v>184</v>
      </c>
      <c r="KG114">
        <f t="shared" si="127"/>
        <v>185</v>
      </c>
      <c r="KJ114">
        <v>1</v>
      </c>
      <c r="KK114" s="16">
        <v>2</v>
      </c>
      <c r="KO114" s="16"/>
    </row>
    <row r="115" spans="1:301" x14ac:dyDescent="0.25">
      <c r="A115" t="s">
        <v>679</v>
      </c>
      <c r="B115" t="s">
        <v>678</v>
      </c>
      <c r="C115" t="s">
        <v>498</v>
      </c>
      <c r="P115" t="s">
        <v>482</v>
      </c>
      <c r="T115" s="14" t="s">
        <v>554</v>
      </c>
      <c r="U115">
        <v>55</v>
      </c>
      <c r="V115" t="s">
        <v>690</v>
      </c>
      <c r="X115" t="str">
        <f>IF(COUNTIF(X$1:X114,X114)&gt;7,REPLACE(X114,LEN(X114),1,VALUE(RIGHT(X114,1))+1),X114)</f>
        <v>A3.10</v>
      </c>
      <c r="Y115" s="43" cm="1">
        <f t="array" ref="Y115">IF(COUNTIFS($X$2:$X115,$X115)=1,"1",VALUE(SUBSTITUTE(INDEX(Y:Y,_xlfn.XMATCH($X115,$X$1:$X114,0,-1)),"A",""))+INDEX(Z:Z,_xlfn.XMATCH($X115,$X$1:$X114,0,-1))+1)</f>
        <v>2</v>
      </c>
      <c r="Z115" s="43" cm="1">
        <f t="array" ref="Z115">SUM(IF(ISNUMBER(FIND("TmAi",$BA$1:$ZZ$1)),IF(IFERROR(ISODD(SUBSTITUTE($BA115:$ZZ115,"A","")),FALSE),IF(ISODD(SUBSTITUTE($BA115:$ZZ115,"A","")),1,0),0)))</f>
        <v>0</v>
      </c>
      <c r="AA115" t="str">
        <f t="shared" si="125"/>
        <v>3B</v>
      </c>
      <c r="AB115" t="str">
        <f t="shared" si="126"/>
        <v>4B</v>
      </c>
      <c r="AL115" t="s">
        <v>137</v>
      </c>
      <c r="AO115" t="s">
        <v>396</v>
      </c>
      <c r="JV115" s="27" t="str">
        <f t="shared" si="113"/>
        <v>XT55</v>
      </c>
      <c r="JY115" t="str">
        <f t="shared" si="114"/>
        <v>F0-AI10-3B</v>
      </c>
      <c r="JZ115" t="str">
        <f t="shared" si="115"/>
        <v>F0-AI10-4B</v>
      </c>
      <c r="KE115" cm="1">
        <f t="array" ref="KE115">IF(COUNTIFS($U$2:$U115,$U115)=1,1,INDEX(KE:KE,_xlfn.XMATCH(U115,U$1:U114,0,-1))+COUNT(KE114:KI114))</f>
        <v>186</v>
      </c>
      <c r="KF115">
        <f t="shared" si="127"/>
        <v>187</v>
      </c>
      <c r="KG115">
        <f t="shared" si="127"/>
        <v>188</v>
      </c>
      <c r="KJ115">
        <v>1</v>
      </c>
      <c r="KK115" s="16">
        <v>2</v>
      </c>
      <c r="KO115" s="16"/>
    </row>
    <row r="116" spans="1:301" x14ac:dyDescent="0.25">
      <c r="A116" t="s">
        <v>681</v>
      </c>
      <c r="B116" s="33" t="s">
        <v>680</v>
      </c>
      <c r="C116" t="s">
        <v>492</v>
      </c>
      <c r="P116" t="s">
        <v>482</v>
      </c>
      <c r="T116" s="14" t="s">
        <v>554</v>
      </c>
      <c r="U116">
        <v>55</v>
      </c>
      <c r="V116" t="s">
        <v>682</v>
      </c>
      <c r="X116" t="str">
        <f>IF(COUNTIF(X$1:X115,X115)&gt;7,REPLACE(X115,LEN(X115),1,VALUE(RIGHT(X115,1))+1),X115)</f>
        <v>A3.10</v>
      </c>
      <c r="Y116" s="43" cm="1">
        <f t="array" ref="Y116">IF(COUNTIFS($X$2:$X116,$X116)=1,"1",VALUE(SUBSTITUTE(INDEX(Y:Y,_xlfn.XMATCH($X116,$X$1:$X115,0,-1)),"A",""))+INDEX(Z:Z,_xlfn.XMATCH($X116,$X$1:$X115,0,-1))+1)</f>
        <v>3</v>
      </c>
      <c r="Z116" s="43" cm="1">
        <f t="array" ref="Z116">SUM(IF(ISNUMBER(FIND("TmAi",$BA$1:$ZZ$1)),IF(IFERROR(ISODD(SUBSTITUTE($BA116:$ZZ116,"A","")),FALSE),IF(ISODD(SUBSTITUTE($BA116:$ZZ116,"A","")),1,0),0)))</f>
        <v>0</v>
      </c>
      <c r="AA116" t="str">
        <f t="shared" si="125"/>
        <v>5B</v>
      </c>
      <c r="AB116" t="str">
        <f t="shared" si="126"/>
        <v>6B</v>
      </c>
      <c r="AL116" t="s">
        <v>137</v>
      </c>
      <c r="AO116" t="s">
        <v>396</v>
      </c>
      <c r="JV116" s="27" t="str">
        <f t="shared" si="113"/>
        <v>XT55</v>
      </c>
      <c r="JY116" t="str">
        <f t="shared" si="114"/>
        <v>F0-AI10-5B</v>
      </c>
      <c r="JZ116" t="str">
        <f t="shared" si="115"/>
        <v>F0-AI10-6B</v>
      </c>
      <c r="KE116" cm="1">
        <f t="array" ref="KE116">IF(COUNTIFS($U$2:$U116,$U116)=1,1,INDEX(KE:KE,_xlfn.XMATCH(U116,U$1:U115,0,-1))+COUNT(KE115:KI115))</f>
        <v>189</v>
      </c>
      <c r="KF116">
        <f t="shared" si="127"/>
        <v>190</v>
      </c>
      <c r="KG116">
        <f t="shared" si="127"/>
        <v>191</v>
      </c>
      <c r="KJ116">
        <v>1</v>
      </c>
      <c r="KK116" s="16">
        <v>2</v>
      </c>
      <c r="KO116" s="16"/>
    </row>
    <row r="117" spans="1:301" x14ac:dyDescent="0.25">
      <c r="A117" t="s">
        <v>692</v>
      </c>
      <c r="B117" t="s">
        <v>691</v>
      </c>
      <c r="C117" t="s">
        <v>492</v>
      </c>
      <c r="P117" t="s">
        <v>482</v>
      </c>
      <c r="T117" s="14" t="s">
        <v>554</v>
      </c>
      <c r="U117">
        <v>55</v>
      </c>
      <c r="V117" t="s">
        <v>739</v>
      </c>
      <c r="X117" t="str">
        <f>IF(COUNTIF(X$1:X116,X116)&gt;7,REPLACE(X116,LEN(X116),1,VALUE(RIGHT(X116,1))+1),X116)</f>
        <v>A3.10</v>
      </c>
      <c r="Y117" s="43" cm="1">
        <f t="array" ref="Y117">IF(COUNTIFS($X$2:$X117,$X117)=1,"1",VALUE(SUBSTITUTE(INDEX(Y:Y,_xlfn.XMATCH($X117,$X$1:$X116,0,-1)),"A",""))+INDEX(Z:Z,_xlfn.XMATCH($X117,$X$1:$X116,0,-1))+1)</f>
        <v>4</v>
      </c>
      <c r="Z117" s="43" cm="1">
        <f t="array" ref="Z117">SUM(IF(ISNUMBER(FIND("TmAi",$BA$1:$ZZ$1)),IF(IFERROR(ISODD(SUBSTITUTE($BA117:$ZZ117,"A","")),FALSE),IF(ISODD(SUBSTITUTE($BA117:$ZZ117,"A","")),1,0),0)))</f>
        <v>0</v>
      </c>
      <c r="AA117" t="str">
        <f t="shared" si="125"/>
        <v>7B</v>
      </c>
      <c r="AB117" t="str">
        <f t="shared" si="126"/>
        <v>8B</v>
      </c>
      <c r="AL117" t="s">
        <v>137</v>
      </c>
      <c r="AO117" t="s">
        <v>396</v>
      </c>
      <c r="JV117" s="27" t="str">
        <f t="shared" si="113"/>
        <v>XT55</v>
      </c>
      <c r="JY117" t="str">
        <f t="shared" si="114"/>
        <v>F0-AI10-7B</v>
      </c>
      <c r="JZ117" t="str">
        <f t="shared" si="115"/>
        <v>F0-AI10-8B</v>
      </c>
      <c r="KE117" cm="1">
        <f t="array" ref="KE117">IF(COUNTIFS($U$2:$U117,$U117)=1,1,INDEX(KE:KE,_xlfn.XMATCH(U117,U$1:U116,0,-1))+COUNT(KE116:KI116))</f>
        <v>192</v>
      </c>
      <c r="KF117">
        <f t="shared" si="127"/>
        <v>193</v>
      </c>
      <c r="KG117">
        <f t="shared" si="127"/>
        <v>194</v>
      </c>
      <c r="KJ117">
        <v>1</v>
      </c>
      <c r="KK117" s="16">
        <v>2</v>
      </c>
      <c r="KO117" s="16"/>
    </row>
    <row r="118" spans="1:301" x14ac:dyDescent="0.25">
      <c r="A118" t="s">
        <v>694</v>
      </c>
      <c r="B118" t="s">
        <v>693</v>
      </c>
      <c r="C118" t="s">
        <v>498</v>
      </c>
      <c r="P118" t="s">
        <v>482</v>
      </c>
      <c r="T118" s="14" t="s">
        <v>554</v>
      </c>
      <c r="U118">
        <v>55</v>
      </c>
      <c r="V118" t="s">
        <v>740</v>
      </c>
      <c r="X118" t="str">
        <f>IF(COUNTIF(X$1:X117,X117)&gt;7,REPLACE(X117,LEN(X117),1,VALUE(RIGHT(X117,1))+1),X117)</f>
        <v>A3.10</v>
      </c>
      <c r="Y118" s="43" cm="1">
        <f t="array" ref="Y118">IF(COUNTIFS($X$2:$X118,$X118)=1,"1",VALUE(SUBSTITUTE(INDEX(Y:Y,_xlfn.XMATCH($X118,$X$1:$X117,0,-1)),"A",""))+INDEX(Z:Z,_xlfn.XMATCH($X118,$X$1:$X117,0,-1))+1)</f>
        <v>5</v>
      </c>
      <c r="Z118" s="43" cm="1">
        <f t="array" ref="Z118">SUM(IF(ISNUMBER(FIND("TmAi",$BA$1:$ZZ$1)),IF(IFERROR(ISODD(SUBSTITUTE($BA118:$ZZ118,"A","")),FALSE),IF(ISODD(SUBSTITUTE($BA118:$ZZ118,"A","")),1,0),0)))</f>
        <v>0</v>
      </c>
      <c r="AA118" t="str">
        <f t="shared" si="125"/>
        <v>9B</v>
      </c>
      <c r="AB118" t="str">
        <f t="shared" si="126"/>
        <v>10B</v>
      </c>
      <c r="AL118" t="s">
        <v>137</v>
      </c>
      <c r="AO118" t="s">
        <v>396</v>
      </c>
      <c r="JV118" s="27" t="str">
        <f t="shared" si="113"/>
        <v>XT55</v>
      </c>
      <c r="JY118" t="str">
        <f t="shared" si="114"/>
        <v>F0-AI10-9B</v>
      </c>
      <c r="JZ118" t="str">
        <f t="shared" si="115"/>
        <v>F0-AI10-10B</v>
      </c>
      <c r="KE118" cm="1">
        <f t="array" ref="KE118">IF(COUNTIFS($U$2:$U118,$U118)=1,1,INDEX(KE:KE,_xlfn.XMATCH(U118,U$1:U117,0,-1))+COUNT(KE117:KI117))</f>
        <v>195</v>
      </c>
      <c r="KF118">
        <f t="shared" si="127"/>
        <v>196</v>
      </c>
      <c r="KG118">
        <f t="shared" si="127"/>
        <v>197</v>
      </c>
      <c r="KJ118">
        <v>1</v>
      </c>
      <c r="KK118" s="16">
        <v>2</v>
      </c>
      <c r="KO118" s="16"/>
    </row>
    <row r="119" spans="1:301" x14ac:dyDescent="0.25">
      <c r="A119" t="s">
        <v>696</v>
      </c>
      <c r="B119" s="33" t="s">
        <v>695</v>
      </c>
      <c r="C119" t="s">
        <v>492</v>
      </c>
      <c r="P119" t="s">
        <v>482</v>
      </c>
      <c r="T119" s="14" t="s">
        <v>554</v>
      </c>
      <c r="U119">
        <v>55</v>
      </c>
      <c r="V119" t="s">
        <v>741</v>
      </c>
      <c r="X119" t="str">
        <f>IF(COUNTIF(X$1:X118,X118)&gt;7,REPLACE(X118,LEN(X118),1,VALUE(RIGHT(X118,1))+1),X118)</f>
        <v>A3.10</v>
      </c>
      <c r="Y119" s="43" cm="1">
        <f t="array" ref="Y119">IF(COUNTIFS($X$2:$X119,$X119)=1,"1",VALUE(SUBSTITUTE(INDEX(Y:Y,_xlfn.XMATCH($X119,$X$1:$X118,0,-1)),"A",""))+INDEX(Z:Z,_xlfn.XMATCH($X119,$X$1:$X118,0,-1))+1)</f>
        <v>6</v>
      </c>
      <c r="Z119" s="43" cm="1">
        <f t="array" ref="Z119">SUM(IF(ISNUMBER(FIND("TmAi",$BA$1:$ZZ$1)),IF(IFERROR(ISODD(SUBSTITUTE($BA119:$ZZ119,"A","")),FALSE),IF(ISODD(SUBSTITUTE($BA119:$ZZ119,"A","")),1,0),0)))</f>
        <v>0</v>
      </c>
      <c r="AA119" t="str">
        <f t="shared" si="125"/>
        <v>11B</v>
      </c>
      <c r="AB119" t="str">
        <f t="shared" si="126"/>
        <v>12B</v>
      </c>
      <c r="AL119" t="s">
        <v>137</v>
      </c>
      <c r="AO119" t="s">
        <v>396</v>
      </c>
      <c r="JV119" s="27" t="str">
        <f t="shared" si="113"/>
        <v>XT55</v>
      </c>
      <c r="JY119" t="str">
        <f t="shared" si="114"/>
        <v>F0-AI10-11B</v>
      </c>
      <c r="JZ119" t="str">
        <f t="shared" si="115"/>
        <v>F0-AI10-12B</v>
      </c>
      <c r="KE119" cm="1">
        <f t="array" ref="KE119">IF(COUNTIFS($U$2:$U119,$U119)=1,1,INDEX(KE:KE,_xlfn.XMATCH(U119,U$1:U118,0,-1))+COUNT(KE118:KI118))</f>
        <v>198</v>
      </c>
      <c r="KF119">
        <f t="shared" si="127"/>
        <v>199</v>
      </c>
      <c r="KG119">
        <f t="shared" si="127"/>
        <v>200</v>
      </c>
      <c r="KJ119">
        <v>1</v>
      </c>
      <c r="KK119" s="16">
        <v>2</v>
      </c>
      <c r="KO119" s="16"/>
    </row>
    <row r="120" spans="1:301" x14ac:dyDescent="0.25">
      <c r="A120" t="s">
        <v>697</v>
      </c>
      <c r="B120" t="s">
        <v>718</v>
      </c>
      <c r="C120" t="s">
        <v>492</v>
      </c>
      <c r="P120" t="s">
        <v>482</v>
      </c>
      <c r="T120" s="14" t="s">
        <v>554</v>
      </c>
      <c r="U120">
        <v>55</v>
      </c>
      <c r="V120" t="s">
        <v>742</v>
      </c>
      <c r="X120" t="str">
        <f>IF(COUNTIF(X$1:X119,X119)&gt;7,REPLACE(X119,LEN(X119),1,VALUE(RIGHT(X119,1))+1),X119)</f>
        <v>A3.10</v>
      </c>
      <c r="Y120" s="43" cm="1">
        <f t="array" ref="Y120">IF(COUNTIFS($X$2:$X120,$X120)=1,"1",VALUE(SUBSTITUTE(INDEX(Y:Y,_xlfn.XMATCH($X120,$X$1:$X119,0,-1)),"A",""))+INDEX(Z:Z,_xlfn.XMATCH($X120,$X$1:$X119,0,-1))+1)</f>
        <v>7</v>
      </c>
      <c r="Z120" s="43" cm="1">
        <f t="array" ref="Z120">SUM(IF(ISNUMBER(FIND("TmAi",$BA$1:$ZZ$1)),IF(IFERROR(ISODD(SUBSTITUTE($BA120:$ZZ120,"A","")),FALSE),IF(ISODD(SUBSTITUTE($BA120:$ZZ120,"A","")),1,0),0)))</f>
        <v>0</v>
      </c>
      <c r="AA120" t="str">
        <f t="shared" si="125"/>
        <v>13B</v>
      </c>
      <c r="AB120" t="str">
        <f t="shared" si="126"/>
        <v>14B</v>
      </c>
      <c r="AL120" t="s">
        <v>137</v>
      </c>
      <c r="AO120" t="s">
        <v>396</v>
      </c>
      <c r="JV120" s="27" t="str">
        <f t="shared" ref="JV120:JV168" si="128">CONCATENATE("XT",U120)</f>
        <v>XT55</v>
      </c>
      <c r="JY120" t="str">
        <f t="shared" ref="JY120:JY168" si="129">CONCATENATE(T120,"-AI",REPLACE($X120,1,3,""),"-",AA120)</f>
        <v>F0-AI10-13B</v>
      </c>
      <c r="JZ120" t="str">
        <f t="shared" ref="JZ120:JZ168" si="130">CONCATENATE(T120,"-AI",REPLACE($X120,1,3,""),"-",AB120)</f>
        <v>F0-AI10-14B</v>
      </c>
      <c r="KE120" cm="1">
        <f t="array" ref="KE120">IF(COUNTIFS($U$2:$U120,$U120)=1,1,INDEX(KE:KE,_xlfn.XMATCH(U120,U$1:U119,0,-1))+COUNT(KE119:KI119))</f>
        <v>201</v>
      </c>
      <c r="KF120">
        <f t="shared" si="127"/>
        <v>202</v>
      </c>
      <c r="KG120">
        <f t="shared" si="127"/>
        <v>203</v>
      </c>
      <c r="KJ120">
        <v>1</v>
      </c>
      <c r="KK120" s="16">
        <v>2</v>
      </c>
      <c r="KO120" s="16"/>
    </row>
    <row r="121" spans="1:301" x14ac:dyDescent="0.25">
      <c r="A121" t="s">
        <v>698</v>
      </c>
      <c r="B121" t="s">
        <v>719</v>
      </c>
      <c r="C121" t="s">
        <v>498</v>
      </c>
      <c r="P121" t="s">
        <v>482</v>
      </c>
      <c r="T121" s="14" t="s">
        <v>554</v>
      </c>
      <c r="U121">
        <v>55</v>
      </c>
      <c r="V121" t="s">
        <v>743</v>
      </c>
      <c r="X121" s="33" t="str">
        <f>IF(COUNTIF(X$1:X120,X120)&gt;7,REPLACE(X120,LEN(X120),1,VALUE(RIGHT(X120,1))+1),X120)</f>
        <v>A3.10</v>
      </c>
      <c r="Y121" s="45" cm="1">
        <f t="array" ref="Y121">IF(COUNTIFS($X$2:$X121,$X121)=1,"1",VALUE(SUBSTITUTE(INDEX(Y:Y,_xlfn.XMATCH($X121,$X$1:$X120,0,-1)),"A",""))+INDEX(Z:Z,_xlfn.XMATCH($X121,$X$1:$X120,0,-1))+1)</f>
        <v>8</v>
      </c>
      <c r="Z121" s="43" cm="1">
        <f t="array" ref="Z121">SUM(IF(ISNUMBER(FIND("TmAi",$BA$1:$ZZ$1)),IF(IFERROR(ISODD(SUBSTITUTE($BA121:$ZZ121,"A","")),FALSE),IF(ISODD(SUBSTITUTE($BA121:$ZZ121,"A","")),1,0),0)))</f>
        <v>0</v>
      </c>
      <c r="AA121" t="str">
        <f t="shared" si="125"/>
        <v>15B</v>
      </c>
      <c r="AB121" t="str">
        <f t="shared" si="126"/>
        <v>16B</v>
      </c>
      <c r="AL121" t="s">
        <v>137</v>
      </c>
      <c r="AO121" t="s">
        <v>396</v>
      </c>
      <c r="JV121" s="27" t="str">
        <f t="shared" si="128"/>
        <v>XT55</v>
      </c>
      <c r="JY121" t="str">
        <f t="shared" si="129"/>
        <v>F0-AI10-15B</v>
      </c>
      <c r="JZ121" t="str">
        <f t="shared" si="130"/>
        <v>F0-AI10-16B</v>
      </c>
      <c r="KE121" cm="1">
        <f t="array" ref="KE121">IF(COUNTIFS($U$2:$U121,$U121)=1,1,INDEX(KE:KE,_xlfn.XMATCH(U121,U$1:U120,0,-1))+COUNT(KE120:KI120))</f>
        <v>204</v>
      </c>
      <c r="KF121">
        <f t="shared" si="127"/>
        <v>205</v>
      </c>
      <c r="KG121">
        <f t="shared" si="127"/>
        <v>206</v>
      </c>
      <c r="KJ121">
        <v>1</v>
      </c>
      <c r="KK121" s="16">
        <v>2</v>
      </c>
      <c r="KO121" s="16"/>
    </row>
    <row r="122" spans="1:301" x14ac:dyDescent="0.25">
      <c r="A122" t="s">
        <v>699</v>
      </c>
      <c r="B122" s="33" t="s">
        <v>720</v>
      </c>
      <c r="C122" t="s">
        <v>492</v>
      </c>
      <c r="P122" t="s">
        <v>482</v>
      </c>
      <c r="T122" s="14" t="s">
        <v>554</v>
      </c>
      <c r="U122">
        <v>55</v>
      </c>
      <c r="V122" t="s">
        <v>744</v>
      </c>
      <c r="X122" t="str">
        <f>IF(COUNTIF(X$1:X121,X121)&gt;7,REPLACE(X121,LEN(X121),1,VALUE(RIGHT(X121,1))+1),X121)</f>
        <v>A3.11</v>
      </c>
      <c r="Y122" s="43" t="str" cm="1">
        <f t="array" ref="Y122">IF(COUNTIFS($X$2:$X122,$X122)=1,"1",VALUE(SUBSTITUTE(INDEX(Y:Y,_xlfn.XMATCH($X122,$X$1:$X121,0,-1)),"A",""))+INDEX(Z:Z,_xlfn.XMATCH($X122,$X$1:$X121,0,-1))+1)</f>
        <v>1</v>
      </c>
      <c r="Z122" s="43" cm="1">
        <f t="array" ref="Z122">SUM(IF(ISNUMBER(FIND("TmAi",$BA$1:$ZZ$1)),IF(IFERROR(ISODD(SUBSTITUTE($BA122:$ZZ122,"A","")),FALSE),IF(ISODD(SUBSTITUTE($BA122:$ZZ122,"A","")),1,0),0)))</f>
        <v>0</v>
      </c>
      <c r="AA122" t="str">
        <f t="shared" si="125"/>
        <v>1B</v>
      </c>
      <c r="AB122" t="str">
        <f t="shared" si="126"/>
        <v>2B</v>
      </c>
      <c r="AL122" t="s">
        <v>137</v>
      </c>
      <c r="AO122" t="s">
        <v>396</v>
      </c>
      <c r="JV122" s="27" t="str">
        <f t="shared" si="128"/>
        <v>XT55</v>
      </c>
      <c r="JY122" t="str">
        <f t="shared" si="129"/>
        <v>F0-AI11-1B</v>
      </c>
      <c r="JZ122" t="str">
        <f t="shared" si="130"/>
        <v>F0-AI11-2B</v>
      </c>
      <c r="KE122" cm="1">
        <f t="array" ref="KE122">IF(COUNTIFS($U$2:$U122,$U122)=1,1,INDEX(KE:KE,_xlfn.XMATCH(U122,U$1:U121,0,-1))+COUNT(KE121:KI121))</f>
        <v>207</v>
      </c>
      <c r="KF122">
        <f t="shared" si="127"/>
        <v>208</v>
      </c>
      <c r="KG122">
        <f t="shared" si="127"/>
        <v>209</v>
      </c>
      <c r="KJ122">
        <v>1</v>
      </c>
      <c r="KK122" s="16">
        <v>2</v>
      </c>
      <c r="KO122" s="16"/>
    </row>
    <row r="123" spans="1:301" x14ac:dyDescent="0.25">
      <c r="A123" t="s">
        <v>700</v>
      </c>
      <c r="B123" t="s">
        <v>721</v>
      </c>
      <c r="C123" t="s">
        <v>492</v>
      </c>
      <c r="P123" t="s">
        <v>482</v>
      </c>
      <c r="T123" s="14" t="s">
        <v>554</v>
      </c>
      <c r="U123">
        <v>55</v>
      </c>
      <c r="V123" t="s">
        <v>745</v>
      </c>
      <c r="X123" t="str">
        <f>IF(COUNTIF(X$1:X122,X122)&gt;7,REPLACE(X122,LEN(X122),1,VALUE(RIGHT(X122,1))+1),X122)</f>
        <v>A3.11</v>
      </c>
      <c r="Y123" s="43" cm="1">
        <f t="array" ref="Y123">IF(COUNTIFS($X$2:$X123,$X123)=1,"1",VALUE(SUBSTITUTE(INDEX(Y:Y,_xlfn.XMATCH($X123,$X$1:$X122,0,-1)),"A",""))+INDEX(Z:Z,_xlfn.XMATCH($X123,$X$1:$X122,0,-1))+1)</f>
        <v>2</v>
      </c>
      <c r="Z123" s="43" cm="1">
        <f t="array" ref="Z123">SUM(IF(ISNUMBER(FIND("TmAi",$BA$1:$ZZ$1)),IF(IFERROR(ISODD(SUBSTITUTE($BA123:$ZZ123,"A","")),FALSE),IF(ISODD(SUBSTITUTE($BA123:$ZZ123,"A","")),1,0),0)))</f>
        <v>0</v>
      </c>
      <c r="AA123" t="str">
        <f t="shared" si="125"/>
        <v>3B</v>
      </c>
      <c r="AB123" t="str">
        <f t="shared" si="126"/>
        <v>4B</v>
      </c>
      <c r="AL123" t="s">
        <v>137</v>
      </c>
      <c r="AO123" t="s">
        <v>396</v>
      </c>
      <c r="JV123" s="27" t="str">
        <f t="shared" si="128"/>
        <v>XT55</v>
      </c>
      <c r="JY123" t="str">
        <f t="shared" si="129"/>
        <v>F0-AI11-3B</v>
      </c>
      <c r="JZ123" t="str">
        <f t="shared" si="130"/>
        <v>F0-AI11-4B</v>
      </c>
      <c r="KE123" cm="1">
        <f t="array" ref="KE123">IF(COUNTIFS($U$2:$U123,$U123)=1,1,INDEX(KE:KE,_xlfn.XMATCH(U123,U$1:U122,0,-1))+COUNT(KE122:KI122))</f>
        <v>210</v>
      </c>
      <c r="KF123">
        <f t="shared" ref="KF123:KG161" si="131">KE123+1</f>
        <v>211</v>
      </c>
      <c r="KG123">
        <f t="shared" si="131"/>
        <v>212</v>
      </c>
      <c r="KJ123">
        <v>1</v>
      </c>
      <c r="KK123" s="16">
        <v>2</v>
      </c>
      <c r="KO123" s="16"/>
    </row>
    <row r="124" spans="1:301" x14ac:dyDescent="0.25">
      <c r="A124" t="s">
        <v>701</v>
      </c>
      <c r="B124" t="s">
        <v>722</v>
      </c>
      <c r="C124" t="s">
        <v>498</v>
      </c>
      <c r="P124" t="s">
        <v>482</v>
      </c>
      <c r="T124" s="14" t="s">
        <v>554</v>
      </c>
      <c r="U124">
        <v>55</v>
      </c>
      <c r="V124" t="s">
        <v>746</v>
      </c>
      <c r="X124" t="str">
        <f>IF(COUNTIF(X$1:X123,X123)&gt;7,REPLACE(X123,LEN(X123),1,VALUE(RIGHT(X123,1))+1),X123)</f>
        <v>A3.11</v>
      </c>
      <c r="Y124" s="43" cm="1">
        <f t="array" ref="Y124">IF(COUNTIFS($X$2:$X124,$X124)=1,"1",VALUE(SUBSTITUTE(INDEX(Y:Y,_xlfn.XMATCH($X124,$X$1:$X123,0,-1)),"A",""))+INDEX(Z:Z,_xlfn.XMATCH($X124,$X$1:$X123,0,-1))+1)</f>
        <v>3</v>
      </c>
      <c r="Z124" s="43" cm="1">
        <f t="array" ref="Z124">SUM(IF(ISNUMBER(FIND("TmAi",$BA$1:$ZZ$1)),IF(IFERROR(ISODD(SUBSTITUTE($BA124:$ZZ124,"A","")),FALSE),IF(ISODD(SUBSTITUTE($BA124:$ZZ124,"A","")),1,0),0)))</f>
        <v>0</v>
      </c>
      <c r="AA124" t="str">
        <f t="shared" si="125"/>
        <v>5B</v>
      </c>
      <c r="AB124" t="str">
        <f t="shared" si="126"/>
        <v>6B</v>
      </c>
      <c r="AL124" t="s">
        <v>137</v>
      </c>
      <c r="AO124" t="s">
        <v>396</v>
      </c>
      <c r="JV124" s="27" t="str">
        <f t="shared" si="128"/>
        <v>XT55</v>
      </c>
      <c r="JY124" t="str">
        <f t="shared" si="129"/>
        <v>F0-AI11-5B</v>
      </c>
      <c r="JZ124" t="str">
        <f t="shared" si="130"/>
        <v>F0-AI11-6B</v>
      </c>
      <c r="KE124" cm="1">
        <f t="array" ref="KE124">IF(COUNTIFS($U$2:$U124,$U124)=1,1,INDEX(KE:KE,_xlfn.XMATCH(U124,U$1:U123,0,-1))+COUNT(KE123:KI123))</f>
        <v>213</v>
      </c>
      <c r="KF124">
        <f t="shared" si="131"/>
        <v>214</v>
      </c>
      <c r="KG124">
        <f t="shared" si="131"/>
        <v>215</v>
      </c>
      <c r="KJ124">
        <v>1</v>
      </c>
      <c r="KK124" s="16">
        <v>2</v>
      </c>
      <c r="KO124" s="16"/>
    </row>
    <row r="125" spans="1:301" x14ac:dyDescent="0.25">
      <c r="A125" t="s">
        <v>702</v>
      </c>
      <c r="B125" s="33" t="s">
        <v>723</v>
      </c>
      <c r="C125" t="s">
        <v>492</v>
      </c>
      <c r="P125" t="s">
        <v>482</v>
      </c>
      <c r="T125" s="14" t="s">
        <v>554</v>
      </c>
      <c r="U125">
        <v>55</v>
      </c>
      <c r="V125" t="s">
        <v>747</v>
      </c>
      <c r="X125" t="str">
        <f>IF(COUNTIF(X$1:X124,X124)&gt;7,REPLACE(X124,LEN(X124),1,VALUE(RIGHT(X124,1))+1),X124)</f>
        <v>A3.11</v>
      </c>
      <c r="Y125" s="43" cm="1">
        <f t="array" ref="Y125">IF(COUNTIFS($X$2:$X125,$X125)=1,"1",VALUE(SUBSTITUTE(INDEX(Y:Y,_xlfn.XMATCH($X125,$X$1:$X124,0,-1)),"A",""))+INDEX(Z:Z,_xlfn.XMATCH($X125,$X$1:$X124,0,-1))+1)</f>
        <v>4</v>
      </c>
      <c r="Z125" s="43" cm="1">
        <f t="array" ref="Z125">SUM(IF(ISNUMBER(FIND("TmAi",$BA$1:$ZZ$1)),IF(IFERROR(ISODD(SUBSTITUTE($BA125:$ZZ125,"A","")),FALSE),IF(ISODD(SUBSTITUTE($BA125:$ZZ125,"A","")),1,0),0)))</f>
        <v>0</v>
      </c>
      <c r="AA125" t="str">
        <f t="shared" si="125"/>
        <v>7B</v>
      </c>
      <c r="AB125" t="str">
        <f t="shared" si="126"/>
        <v>8B</v>
      </c>
      <c r="AL125" t="s">
        <v>137</v>
      </c>
      <c r="AO125" t="s">
        <v>396</v>
      </c>
      <c r="JV125" s="27" t="str">
        <f t="shared" si="128"/>
        <v>XT55</v>
      </c>
      <c r="JY125" t="str">
        <f t="shared" si="129"/>
        <v>F0-AI11-7B</v>
      </c>
      <c r="JZ125" t="str">
        <f t="shared" si="130"/>
        <v>F0-AI11-8B</v>
      </c>
      <c r="KE125" cm="1">
        <f t="array" ref="KE125">IF(COUNTIFS($U$2:$U125,$U125)=1,1,INDEX(KE:KE,_xlfn.XMATCH(U125,U$1:U124,0,-1))+COUNT(KE124:KI124))</f>
        <v>216</v>
      </c>
      <c r="KF125">
        <f t="shared" si="131"/>
        <v>217</v>
      </c>
      <c r="KG125">
        <f t="shared" si="131"/>
        <v>218</v>
      </c>
      <c r="KJ125">
        <v>1</v>
      </c>
      <c r="KK125" s="16">
        <v>2</v>
      </c>
      <c r="KO125" s="16"/>
    </row>
    <row r="126" spans="1:301" x14ac:dyDescent="0.25">
      <c r="A126" t="s">
        <v>703</v>
      </c>
      <c r="B126" t="s">
        <v>724</v>
      </c>
      <c r="C126" t="s">
        <v>492</v>
      </c>
      <c r="P126" t="s">
        <v>482</v>
      </c>
      <c r="T126" s="14" t="s">
        <v>554</v>
      </c>
      <c r="U126">
        <v>55</v>
      </c>
      <c r="V126" t="s">
        <v>748</v>
      </c>
      <c r="X126" t="str">
        <f>IF(COUNTIF(X$1:X125,X125)&gt;7,REPLACE(X125,LEN(X125),1,VALUE(RIGHT(X125,1))+1),X125)</f>
        <v>A3.11</v>
      </c>
      <c r="Y126" s="43" cm="1">
        <f t="array" ref="Y126">IF(COUNTIFS($X$2:$X126,$X126)=1,"1",VALUE(SUBSTITUTE(INDEX(Y:Y,_xlfn.XMATCH($X126,$X$1:$X125,0,-1)),"A",""))+INDEX(Z:Z,_xlfn.XMATCH($X126,$X$1:$X125,0,-1))+1)</f>
        <v>5</v>
      </c>
      <c r="Z126" s="43" cm="1">
        <f t="array" ref="Z126">SUM(IF(ISNUMBER(FIND("TmAi",$BA$1:$ZZ$1)),IF(IFERROR(ISODD(SUBSTITUTE($BA126:$ZZ126,"A","")),FALSE),IF(ISODD(SUBSTITUTE($BA126:$ZZ126,"A","")),1,0),0)))</f>
        <v>0</v>
      </c>
      <c r="AA126" t="str">
        <f t="shared" si="125"/>
        <v>9B</v>
      </c>
      <c r="AB126" t="str">
        <f t="shared" si="126"/>
        <v>10B</v>
      </c>
      <c r="AL126" t="s">
        <v>137</v>
      </c>
      <c r="AO126" t="s">
        <v>396</v>
      </c>
      <c r="JV126" s="27" t="str">
        <f t="shared" si="128"/>
        <v>XT55</v>
      </c>
      <c r="JY126" t="str">
        <f t="shared" si="129"/>
        <v>F0-AI11-9B</v>
      </c>
      <c r="JZ126" t="str">
        <f t="shared" si="130"/>
        <v>F0-AI11-10B</v>
      </c>
      <c r="KE126" cm="1">
        <f t="array" ref="KE126">IF(COUNTIFS($U$2:$U126,$U126)=1,1,INDEX(KE:KE,_xlfn.XMATCH(U126,U$1:U125,0,-1))+COUNT(KE125:KI125))</f>
        <v>219</v>
      </c>
      <c r="KF126">
        <f t="shared" si="131"/>
        <v>220</v>
      </c>
      <c r="KG126">
        <f t="shared" si="131"/>
        <v>221</v>
      </c>
      <c r="KJ126">
        <v>1</v>
      </c>
      <c r="KK126" s="16">
        <v>2</v>
      </c>
      <c r="KO126" s="16"/>
    </row>
    <row r="127" spans="1:301" x14ac:dyDescent="0.25">
      <c r="A127" t="s">
        <v>704</v>
      </c>
      <c r="B127" t="s">
        <v>725</v>
      </c>
      <c r="C127" t="s">
        <v>498</v>
      </c>
      <c r="P127" t="s">
        <v>482</v>
      </c>
      <c r="T127" s="14" t="s">
        <v>554</v>
      </c>
      <c r="U127">
        <v>55</v>
      </c>
      <c r="V127" t="s">
        <v>749</v>
      </c>
      <c r="X127" t="str">
        <f>IF(COUNTIF(X$1:X126,X126)&gt;7,REPLACE(X126,LEN(X126),1,VALUE(RIGHT(X126,1))+1),X126)</f>
        <v>A3.11</v>
      </c>
      <c r="Y127" s="43" cm="1">
        <f t="array" ref="Y127">IF(COUNTIFS($X$2:$X127,$X127)=1,"1",VALUE(SUBSTITUTE(INDEX(Y:Y,_xlfn.XMATCH($X127,$X$1:$X126,0,-1)),"A",""))+INDEX(Z:Z,_xlfn.XMATCH($X127,$X$1:$X126,0,-1))+1)</f>
        <v>6</v>
      </c>
      <c r="Z127" s="43" cm="1">
        <f t="array" ref="Z127">SUM(IF(ISNUMBER(FIND("TmAi",$BA$1:$ZZ$1)),IF(IFERROR(ISODD(SUBSTITUTE($BA127:$ZZ127,"A","")),FALSE),IF(ISODD(SUBSTITUTE($BA127:$ZZ127,"A","")),1,0),0)))</f>
        <v>0</v>
      </c>
      <c r="AA127" t="str">
        <f t="shared" si="125"/>
        <v>11B</v>
      </c>
      <c r="AB127" t="str">
        <f t="shared" si="126"/>
        <v>12B</v>
      </c>
      <c r="AL127" t="s">
        <v>137</v>
      </c>
      <c r="AO127" t="s">
        <v>396</v>
      </c>
      <c r="JV127" s="27" t="str">
        <f t="shared" si="128"/>
        <v>XT55</v>
      </c>
      <c r="JY127" t="str">
        <f t="shared" si="129"/>
        <v>F0-AI11-11B</v>
      </c>
      <c r="JZ127" t="str">
        <f t="shared" si="130"/>
        <v>F0-AI11-12B</v>
      </c>
      <c r="KE127" cm="1">
        <f t="array" ref="KE127">IF(COUNTIFS($U$2:$U127,$U127)=1,1,INDEX(KE:KE,_xlfn.XMATCH(U127,U$1:U126,0,-1))+COUNT(KE126:KI126))</f>
        <v>222</v>
      </c>
      <c r="KF127">
        <f t="shared" si="131"/>
        <v>223</v>
      </c>
      <c r="KG127">
        <f t="shared" si="131"/>
        <v>224</v>
      </c>
      <c r="KJ127">
        <v>1</v>
      </c>
      <c r="KK127" s="16">
        <v>2</v>
      </c>
      <c r="KO127" s="16"/>
    </row>
    <row r="128" spans="1:301" x14ac:dyDescent="0.25">
      <c r="A128" t="s">
        <v>705</v>
      </c>
      <c r="B128" s="33" t="s">
        <v>726</v>
      </c>
      <c r="C128" t="s">
        <v>492</v>
      </c>
      <c r="P128" t="s">
        <v>482</v>
      </c>
      <c r="T128" s="14" t="s">
        <v>554</v>
      </c>
      <c r="U128">
        <v>55</v>
      </c>
      <c r="V128" t="s">
        <v>750</v>
      </c>
      <c r="X128" t="str">
        <f>IF(COUNTIF(X$1:X127,X127)&gt;7,REPLACE(X127,LEN(X127),1,VALUE(RIGHT(X127,1))+1),X127)</f>
        <v>A3.11</v>
      </c>
      <c r="Y128" s="43" cm="1">
        <f t="array" ref="Y128">IF(COUNTIFS($X$2:$X128,$X128)=1,"1",VALUE(SUBSTITUTE(INDEX(Y:Y,_xlfn.XMATCH($X128,$X$1:$X127,0,-1)),"A",""))+INDEX(Z:Z,_xlfn.XMATCH($X128,$X$1:$X127,0,-1))+1)</f>
        <v>7</v>
      </c>
      <c r="Z128" s="43" cm="1">
        <f t="array" ref="Z128">SUM(IF(ISNUMBER(FIND("TmAi",$BA$1:$ZZ$1)),IF(IFERROR(ISODD(SUBSTITUTE($BA128:$ZZ128,"A","")),FALSE),IF(ISODD(SUBSTITUTE($BA128:$ZZ128,"A","")),1,0),0)))</f>
        <v>0</v>
      </c>
      <c r="AA128" t="str">
        <f t="shared" si="125"/>
        <v>13B</v>
      </c>
      <c r="AB128" t="str">
        <f t="shared" si="126"/>
        <v>14B</v>
      </c>
      <c r="AL128" t="s">
        <v>137</v>
      </c>
      <c r="AO128" t="s">
        <v>396</v>
      </c>
      <c r="JV128" s="27" t="str">
        <f t="shared" si="128"/>
        <v>XT55</v>
      </c>
      <c r="JY128" t="str">
        <f t="shared" si="129"/>
        <v>F0-AI11-13B</v>
      </c>
      <c r="JZ128" t="str">
        <f t="shared" si="130"/>
        <v>F0-AI11-14B</v>
      </c>
      <c r="KE128" cm="1">
        <f t="array" ref="KE128">IF(COUNTIFS($U$2:$U128,$U128)=1,1,INDEX(KE:KE,_xlfn.XMATCH(U128,U$1:U127,0,-1))+COUNT(KE127:KI127))</f>
        <v>225</v>
      </c>
      <c r="KF128">
        <f t="shared" si="131"/>
        <v>226</v>
      </c>
      <c r="KG128">
        <f t="shared" si="131"/>
        <v>227</v>
      </c>
      <c r="KJ128">
        <v>1</v>
      </c>
      <c r="KK128" s="16">
        <v>2</v>
      </c>
      <c r="KO128" s="16"/>
    </row>
    <row r="129" spans="1:301" x14ac:dyDescent="0.25">
      <c r="A129" t="s">
        <v>706</v>
      </c>
      <c r="B129" t="s">
        <v>727</v>
      </c>
      <c r="C129" t="s">
        <v>492</v>
      </c>
      <c r="P129" t="s">
        <v>482</v>
      </c>
      <c r="T129" s="14" t="s">
        <v>554</v>
      </c>
      <c r="U129">
        <v>55</v>
      </c>
      <c r="V129" t="s">
        <v>751</v>
      </c>
      <c r="X129" s="33" t="str">
        <f>IF(COUNTIF(X$1:X128,X128)&gt;7,REPLACE(X128,LEN(X128),1,VALUE(RIGHT(X128,1))+1),X128)</f>
        <v>A3.11</v>
      </c>
      <c r="Y129" s="45" cm="1">
        <f t="array" ref="Y129">IF(COUNTIFS($X$2:$X129,$X129)=1,"1",VALUE(SUBSTITUTE(INDEX(Y:Y,_xlfn.XMATCH($X129,$X$1:$X128,0,-1)),"A",""))+INDEX(Z:Z,_xlfn.XMATCH($X129,$X$1:$X128,0,-1))+1)</f>
        <v>8</v>
      </c>
      <c r="Z129" s="43" cm="1">
        <f t="array" ref="Z129">SUM(IF(ISNUMBER(FIND("TmAi",$BA$1:$ZZ$1)),IF(IFERROR(ISODD(SUBSTITUTE($BA129:$ZZ129,"A","")),FALSE),IF(ISODD(SUBSTITUTE($BA129:$ZZ129,"A","")),1,0),0)))</f>
        <v>0</v>
      </c>
      <c r="AA129" t="str">
        <f t="shared" si="125"/>
        <v>15B</v>
      </c>
      <c r="AB129" t="str">
        <f t="shared" si="126"/>
        <v>16B</v>
      </c>
      <c r="AL129" t="s">
        <v>137</v>
      </c>
      <c r="AO129" t="s">
        <v>396</v>
      </c>
      <c r="JV129" s="27" t="str">
        <f t="shared" si="128"/>
        <v>XT55</v>
      </c>
      <c r="JY129" t="str">
        <f t="shared" si="129"/>
        <v>F0-AI11-15B</v>
      </c>
      <c r="JZ129" t="str">
        <f t="shared" si="130"/>
        <v>F0-AI11-16B</v>
      </c>
      <c r="KE129" cm="1">
        <f t="array" ref="KE129">IF(COUNTIFS($U$2:$U129,$U129)=1,1,INDEX(KE:KE,_xlfn.XMATCH(U129,U$1:U128,0,-1))+COUNT(KE128:KI128))</f>
        <v>228</v>
      </c>
      <c r="KF129">
        <f t="shared" si="131"/>
        <v>229</v>
      </c>
      <c r="KG129">
        <f t="shared" si="131"/>
        <v>230</v>
      </c>
      <c r="KJ129">
        <v>1</v>
      </c>
      <c r="KK129" s="16">
        <v>2</v>
      </c>
      <c r="KO129" s="16"/>
    </row>
    <row r="130" spans="1:301" x14ac:dyDescent="0.25">
      <c r="A130" t="s">
        <v>707</v>
      </c>
      <c r="B130" t="s">
        <v>728</v>
      </c>
      <c r="C130" t="s">
        <v>498</v>
      </c>
      <c r="P130" t="s">
        <v>482</v>
      </c>
      <c r="T130" s="14" t="s">
        <v>554</v>
      </c>
      <c r="U130">
        <v>55</v>
      </c>
      <c r="V130" t="s">
        <v>752</v>
      </c>
      <c r="X130" t="str">
        <f>IF(COUNTIF(X$1:X129,X129)&gt;7,REPLACE(X129,LEN(X129),1,VALUE(RIGHT(X129,1))+1),X129)</f>
        <v>A3.12</v>
      </c>
      <c r="Y130" s="43" t="str" cm="1">
        <f t="array" ref="Y130">IF(COUNTIFS($X$2:$X130,$X130)=1,"1",VALUE(SUBSTITUTE(INDEX(Y:Y,_xlfn.XMATCH($X130,$X$1:$X129,0,-1)),"A",""))+INDEX(Z:Z,_xlfn.XMATCH($X130,$X$1:$X129,0,-1))+1)</f>
        <v>1</v>
      </c>
      <c r="Z130" s="43" cm="1">
        <f t="array" ref="Z130">SUM(IF(ISNUMBER(FIND("TmAi",$BA$1:$ZZ$1)),IF(IFERROR(ISODD(SUBSTITUTE($BA130:$ZZ130,"A","")),FALSE),IF(ISODD(SUBSTITUTE($BA130:$ZZ130,"A","")),1,0),0)))</f>
        <v>0</v>
      </c>
      <c r="AA130" t="str">
        <f t="shared" si="125"/>
        <v>1B</v>
      </c>
      <c r="AB130" t="str">
        <f t="shared" si="126"/>
        <v>2B</v>
      </c>
      <c r="AL130" t="s">
        <v>137</v>
      </c>
      <c r="AO130" t="s">
        <v>396</v>
      </c>
      <c r="JV130" s="27" t="str">
        <f t="shared" si="128"/>
        <v>XT55</v>
      </c>
      <c r="JY130" t="str">
        <f t="shared" si="129"/>
        <v>F0-AI12-1B</v>
      </c>
      <c r="JZ130" t="str">
        <f t="shared" si="130"/>
        <v>F0-AI12-2B</v>
      </c>
      <c r="KE130" cm="1">
        <f t="array" ref="KE130">IF(COUNTIFS($U$2:$U130,$U130)=1,1,INDEX(KE:KE,_xlfn.XMATCH(U130,U$1:U129,0,-1))+COUNT(KE129:KI129))</f>
        <v>231</v>
      </c>
      <c r="KF130">
        <f t="shared" si="131"/>
        <v>232</v>
      </c>
      <c r="KG130">
        <f t="shared" si="131"/>
        <v>233</v>
      </c>
      <c r="KJ130">
        <v>1</v>
      </c>
      <c r="KK130" s="16">
        <v>2</v>
      </c>
      <c r="KO130" s="16"/>
    </row>
    <row r="131" spans="1:301" x14ac:dyDescent="0.25">
      <c r="A131" t="s">
        <v>708</v>
      </c>
      <c r="B131" s="33" t="s">
        <v>729</v>
      </c>
      <c r="C131" t="s">
        <v>492</v>
      </c>
      <c r="P131" t="s">
        <v>482</v>
      </c>
      <c r="T131" s="14" t="s">
        <v>554</v>
      </c>
      <c r="U131">
        <v>55</v>
      </c>
      <c r="V131" t="s">
        <v>753</v>
      </c>
      <c r="X131" t="str">
        <f>IF(COUNTIF(X$1:X130,X130)&gt;7,REPLACE(X130,LEN(X130),1,VALUE(RIGHT(X130,1))+1),X130)</f>
        <v>A3.12</v>
      </c>
      <c r="Y131" s="43" cm="1">
        <f t="array" ref="Y131">IF(COUNTIFS($X$2:$X131,$X131)=1,"1",VALUE(SUBSTITUTE(INDEX(Y:Y,_xlfn.XMATCH($X131,$X$1:$X130,0,-1)),"A",""))+INDEX(Z:Z,_xlfn.XMATCH($X131,$X$1:$X130,0,-1))+1)</f>
        <v>2</v>
      </c>
      <c r="Z131" s="43" cm="1">
        <f t="array" ref="Z131">SUM(IF(ISNUMBER(FIND("TmAi",$BA$1:$ZZ$1)),IF(IFERROR(ISODD(SUBSTITUTE($BA131:$ZZ131,"A","")),FALSE),IF(ISODD(SUBSTITUTE($BA131:$ZZ131,"A","")),1,0),0)))</f>
        <v>0</v>
      </c>
      <c r="AA131" t="str">
        <f t="shared" si="125"/>
        <v>3B</v>
      </c>
      <c r="AB131" t="str">
        <f t="shared" si="126"/>
        <v>4B</v>
      </c>
      <c r="AL131" t="s">
        <v>137</v>
      </c>
      <c r="AO131" t="s">
        <v>396</v>
      </c>
      <c r="JV131" s="27" t="str">
        <f t="shared" si="128"/>
        <v>XT55</v>
      </c>
      <c r="JY131" t="str">
        <f t="shared" si="129"/>
        <v>F0-AI12-3B</v>
      </c>
      <c r="JZ131" t="str">
        <f t="shared" si="130"/>
        <v>F0-AI12-4B</v>
      </c>
      <c r="KE131" cm="1">
        <f t="array" ref="KE131">IF(COUNTIFS($U$2:$U131,$U131)=1,1,INDEX(KE:KE,_xlfn.XMATCH(U131,U$1:U130,0,-1))+COUNT(KE130:KI130))</f>
        <v>234</v>
      </c>
      <c r="KF131">
        <f t="shared" si="131"/>
        <v>235</v>
      </c>
      <c r="KG131">
        <f t="shared" si="131"/>
        <v>236</v>
      </c>
      <c r="KJ131">
        <v>1</v>
      </c>
      <c r="KK131" s="16">
        <v>2</v>
      </c>
      <c r="KO131" s="16"/>
    </row>
    <row r="132" spans="1:301" x14ac:dyDescent="0.25">
      <c r="A132" t="s">
        <v>709</v>
      </c>
      <c r="B132" t="s">
        <v>730</v>
      </c>
      <c r="C132" t="s">
        <v>492</v>
      </c>
      <c r="P132" t="s">
        <v>482</v>
      </c>
      <c r="T132" s="14" t="s">
        <v>554</v>
      </c>
      <c r="U132">
        <v>55</v>
      </c>
      <c r="V132" t="s">
        <v>754</v>
      </c>
      <c r="X132" t="str">
        <f>IF(COUNTIF(X$1:X131,X131)&gt;7,REPLACE(X131,LEN(X131),1,VALUE(RIGHT(X131,1))+1),X131)</f>
        <v>A3.12</v>
      </c>
      <c r="Y132" s="43" cm="1">
        <f t="array" ref="Y132">IF(COUNTIFS($X$2:$X132,$X132)=1,"1",VALUE(SUBSTITUTE(INDEX(Y:Y,_xlfn.XMATCH($X132,$X$1:$X131,0,-1)),"A",""))+INDEX(Z:Z,_xlfn.XMATCH($X132,$X$1:$X131,0,-1))+1)</f>
        <v>3</v>
      </c>
      <c r="Z132" s="43" cm="1">
        <f t="array" ref="Z132">SUM(IF(ISNUMBER(FIND("TmAi",$BA$1:$ZZ$1)),IF(IFERROR(ISODD(SUBSTITUTE($BA132:$ZZ132,"A","")),FALSE),IF(ISODD(SUBSTITUTE($BA132:$ZZ132,"A","")),1,0),0)))</f>
        <v>0</v>
      </c>
      <c r="AA132" t="str">
        <f t="shared" si="125"/>
        <v>5B</v>
      </c>
      <c r="AB132" t="str">
        <f t="shared" si="126"/>
        <v>6B</v>
      </c>
      <c r="AL132" t="s">
        <v>137</v>
      </c>
      <c r="AO132" t="s">
        <v>396</v>
      </c>
      <c r="JV132" s="27" t="str">
        <f t="shared" si="128"/>
        <v>XT55</v>
      </c>
      <c r="JY132" t="str">
        <f t="shared" si="129"/>
        <v>F0-AI12-5B</v>
      </c>
      <c r="JZ132" t="str">
        <f t="shared" si="130"/>
        <v>F0-AI12-6B</v>
      </c>
      <c r="KE132" cm="1">
        <f t="array" ref="KE132">IF(COUNTIFS($U$2:$U132,$U132)=1,1,INDEX(KE:KE,_xlfn.XMATCH(U132,U$1:U131,0,-1))+COUNT(KE131:KI131))</f>
        <v>237</v>
      </c>
      <c r="KF132">
        <f t="shared" si="131"/>
        <v>238</v>
      </c>
      <c r="KG132">
        <f t="shared" si="131"/>
        <v>239</v>
      </c>
      <c r="KJ132">
        <v>1</v>
      </c>
      <c r="KK132" s="16">
        <v>2</v>
      </c>
      <c r="KO132" s="16"/>
    </row>
    <row r="133" spans="1:301" x14ac:dyDescent="0.25">
      <c r="A133" t="s">
        <v>710</v>
      </c>
      <c r="B133" t="s">
        <v>731</v>
      </c>
      <c r="C133" t="s">
        <v>498</v>
      </c>
      <c r="P133" t="s">
        <v>482</v>
      </c>
      <c r="T133" s="14" t="s">
        <v>554</v>
      </c>
      <c r="U133">
        <v>55</v>
      </c>
      <c r="V133" t="s">
        <v>755</v>
      </c>
      <c r="X133" t="str">
        <f>IF(COUNTIF(X$1:X132,X132)&gt;7,REPLACE(X132,LEN(X132),1,VALUE(RIGHT(X132,1))+1),X132)</f>
        <v>A3.12</v>
      </c>
      <c r="Y133" s="43" cm="1">
        <f t="array" ref="Y133">IF(COUNTIFS($X$2:$X133,$X133)=1,"1",VALUE(SUBSTITUTE(INDEX(Y:Y,_xlfn.XMATCH($X133,$X$1:$X132,0,-1)),"A",""))+INDEX(Z:Z,_xlfn.XMATCH($X133,$X$1:$X132,0,-1))+1)</f>
        <v>4</v>
      </c>
      <c r="Z133" s="43" cm="1">
        <f t="array" ref="Z133">SUM(IF(ISNUMBER(FIND("TmAi",$BA$1:$ZZ$1)),IF(IFERROR(ISODD(SUBSTITUTE($BA133:$ZZ133,"A","")),FALSE),IF(ISODD(SUBSTITUTE($BA133:$ZZ133,"A","")),1,0),0)))</f>
        <v>0</v>
      </c>
      <c r="AA133" t="str">
        <f t="shared" si="125"/>
        <v>7B</v>
      </c>
      <c r="AB133" t="str">
        <f t="shared" si="126"/>
        <v>8B</v>
      </c>
      <c r="AL133" t="s">
        <v>137</v>
      </c>
      <c r="AO133" t="s">
        <v>396</v>
      </c>
      <c r="JV133" s="27" t="str">
        <f t="shared" si="128"/>
        <v>XT55</v>
      </c>
      <c r="JY133" t="str">
        <f t="shared" si="129"/>
        <v>F0-AI12-7B</v>
      </c>
      <c r="JZ133" t="str">
        <f t="shared" si="130"/>
        <v>F0-AI12-8B</v>
      </c>
      <c r="KE133" cm="1">
        <f t="array" ref="KE133">IF(COUNTIFS($U$2:$U133,$U133)=1,1,INDEX(KE:KE,_xlfn.XMATCH(U133,U$1:U132,0,-1))+COUNT(KE132:KI132))</f>
        <v>240</v>
      </c>
      <c r="KF133">
        <f t="shared" si="131"/>
        <v>241</v>
      </c>
      <c r="KG133">
        <f t="shared" si="131"/>
        <v>242</v>
      </c>
      <c r="KJ133">
        <v>1</v>
      </c>
      <c r="KK133" s="16">
        <v>2</v>
      </c>
      <c r="KO133" s="16"/>
    </row>
    <row r="134" spans="1:301" x14ac:dyDescent="0.25">
      <c r="A134" t="s">
        <v>711</v>
      </c>
      <c r="B134" s="33" t="s">
        <v>732</v>
      </c>
      <c r="C134" t="s">
        <v>492</v>
      </c>
      <c r="P134" t="s">
        <v>482</v>
      </c>
      <c r="T134" s="14" t="s">
        <v>554</v>
      </c>
      <c r="U134">
        <v>55</v>
      </c>
      <c r="V134" t="s">
        <v>756</v>
      </c>
      <c r="X134" t="str">
        <f>IF(COUNTIF(X$1:X133,X133)&gt;7,REPLACE(X133,LEN(X133),1,VALUE(RIGHT(X133,1))+1),X133)</f>
        <v>A3.12</v>
      </c>
      <c r="Y134" s="43" cm="1">
        <f t="array" ref="Y134">IF(COUNTIFS($X$2:$X134,$X134)=1,"1",VALUE(SUBSTITUTE(INDEX(Y:Y,_xlfn.XMATCH($X134,$X$1:$X133,0,-1)),"A",""))+INDEX(Z:Z,_xlfn.XMATCH($X134,$X$1:$X133,0,-1))+1)</f>
        <v>5</v>
      </c>
      <c r="Z134" s="43" cm="1">
        <f t="array" ref="Z134">SUM(IF(ISNUMBER(FIND("TmAi",$BA$1:$ZZ$1)),IF(IFERROR(ISODD(SUBSTITUTE($BA134:$ZZ134,"A","")),FALSE),IF(ISODD(SUBSTITUTE($BA134:$ZZ134,"A","")),1,0),0)))</f>
        <v>0</v>
      </c>
      <c r="AA134" t="str">
        <f t="shared" si="125"/>
        <v>9B</v>
      </c>
      <c r="AB134" t="str">
        <f t="shared" si="126"/>
        <v>10B</v>
      </c>
      <c r="AL134" t="s">
        <v>137</v>
      </c>
      <c r="AO134" t="s">
        <v>396</v>
      </c>
      <c r="JV134" s="27" t="str">
        <f t="shared" si="128"/>
        <v>XT55</v>
      </c>
      <c r="JY134" t="str">
        <f t="shared" si="129"/>
        <v>F0-AI12-9B</v>
      </c>
      <c r="JZ134" t="str">
        <f t="shared" si="130"/>
        <v>F0-AI12-10B</v>
      </c>
      <c r="KE134" cm="1">
        <f t="array" ref="KE134">IF(COUNTIFS($U$2:$U134,$U134)=1,1,INDEX(KE:KE,_xlfn.XMATCH(U134,U$1:U133,0,-1))+COUNT(KE133:KI133))</f>
        <v>243</v>
      </c>
      <c r="KF134">
        <f t="shared" si="131"/>
        <v>244</v>
      </c>
      <c r="KG134">
        <f t="shared" si="131"/>
        <v>245</v>
      </c>
      <c r="KJ134">
        <v>1</v>
      </c>
      <c r="KK134" s="16">
        <v>2</v>
      </c>
      <c r="KO134" s="16"/>
    </row>
    <row r="135" spans="1:301" x14ac:dyDescent="0.25">
      <c r="A135" t="s">
        <v>712</v>
      </c>
      <c r="B135" t="s">
        <v>733</v>
      </c>
      <c r="C135" t="s">
        <v>492</v>
      </c>
      <c r="P135" t="s">
        <v>482</v>
      </c>
      <c r="T135" s="14" t="s">
        <v>554</v>
      </c>
      <c r="U135">
        <v>55</v>
      </c>
      <c r="V135" t="s">
        <v>757</v>
      </c>
      <c r="X135" t="str">
        <f>IF(COUNTIF(X$1:X134,X134)&gt;7,REPLACE(X134,LEN(X134),1,VALUE(RIGHT(X134,1))+1),X134)</f>
        <v>A3.12</v>
      </c>
      <c r="Y135" s="43" cm="1">
        <f t="array" ref="Y135">IF(COUNTIFS($X$2:$X135,$X135)=1,"1",VALUE(SUBSTITUTE(INDEX(Y:Y,_xlfn.XMATCH($X135,$X$1:$X134,0,-1)),"A",""))+INDEX(Z:Z,_xlfn.XMATCH($X135,$X$1:$X134,0,-1))+1)</f>
        <v>6</v>
      </c>
      <c r="Z135" s="43" cm="1">
        <f t="array" ref="Z135">SUM(IF(ISNUMBER(FIND("TmAi",$BA$1:$ZZ$1)),IF(IFERROR(ISODD(SUBSTITUTE($BA135:$ZZ135,"A","")),FALSE),IF(ISODD(SUBSTITUTE($BA135:$ZZ135,"A","")),1,0),0)))</f>
        <v>0</v>
      </c>
      <c r="AA135" t="str">
        <f t="shared" si="125"/>
        <v>11B</v>
      </c>
      <c r="AB135" t="str">
        <f t="shared" si="126"/>
        <v>12B</v>
      </c>
      <c r="AL135" t="s">
        <v>137</v>
      </c>
      <c r="AO135" t="s">
        <v>396</v>
      </c>
      <c r="JV135" s="27" t="str">
        <f t="shared" si="128"/>
        <v>XT55</v>
      </c>
      <c r="JY135" t="str">
        <f t="shared" si="129"/>
        <v>F0-AI12-11B</v>
      </c>
      <c r="JZ135" t="str">
        <f t="shared" si="130"/>
        <v>F0-AI12-12B</v>
      </c>
      <c r="KE135" cm="1">
        <f t="array" ref="KE135">IF(COUNTIFS($U$2:$U135,$U135)=1,1,INDEX(KE:KE,_xlfn.XMATCH(U135,U$1:U134,0,-1))+COUNT(KE134:KI134))</f>
        <v>246</v>
      </c>
      <c r="KF135">
        <f t="shared" si="131"/>
        <v>247</v>
      </c>
      <c r="KG135">
        <f t="shared" si="131"/>
        <v>248</v>
      </c>
      <c r="KJ135">
        <v>1</v>
      </c>
      <c r="KK135" s="16">
        <v>2</v>
      </c>
      <c r="KO135" s="16"/>
    </row>
    <row r="136" spans="1:301" x14ac:dyDescent="0.25">
      <c r="A136" t="s">
        <v>713</v>
      </c>
      <c r="B136" t="s">
        <v>734</v>
      </c>
      <c r="C136" t="s">
        <v>498</v>
      </c>
      <c r="P136" t="s">
        <v>482</v>
      </c>
      <c r="T136" s="14" t="s">
        <v>554</v>
      </c>
      <c r="U136">
        <v>55</v>
      </c>
      <c r="V136" t="s">
        <v>758</v>
      </c>
      <c r="X136" t="str">
        <f>IF(COUNTIF(X$1:X135,X135)&gt;7,REPLACE(X135,LEN(X135),1,VALUE(RIGHT(X135,1))+1),X135)</f>
        <v>A3.12</v>
      </c>
      <c r="Y136" s="43" cm="1">
        <f t="array" ref="Y136">IF(COUNTIFS($X$2:$X136,$X136)=1,"1",VALUE(SUBSTITUTE(INDEX(Y:Y,_xlfn.XMATCH($X136,$X$1:$X135,0,-1)),"A",""))+INDEX(Z:Z,_xlfn.XMATCH($X136,$X$1:$X135,0,-1))+1)</f>
        <v>7</v>
      </c>
      <c r="Z136" s="43" cm="1">
        <f t="array" ref="Z136">SUM(IF(ISNUMBER(FIND("TmAi",$BA$1:$ZZ$1)),IF(IFERROR(ISODD(SUBSTITUTE($BA136:$ZZ136,"A","")),FALSE),IF(ISODD(SUBSTITUTE($BA136:$ZZ136,"A","")),1,0),0)))</f>
        <v>0</v>
      </c>
      <c r="AA136" t="str">
        <f t="shared" si="125"/>
        <v>13B</v>
      </c>
      <c r="AB136" t="str">
        <f t="shared" si="126"/>
        <v>14B</v>
      </c>
      <c r="AL136" t="s">
        <v>137</v>
      </c>
      <c r="AO136" t="s">
        <v>396</v>
      </c>
      <c r="JV136" s="27" t="str">
        <f t="shared" si="128"/>
        <v>XT55</v>
      </c>
      <c r="JY136" t="str">
        <f t="shared" si="129"/>
        <v>F0-AI12-13B</v>
      </c>
      <c r="JZ136" t="str">
        <f t="shared" si="130"/>
        <v>F0-AI12-14B</v>
      </c>
      <c r="KE136" cm="1">
        <f t="array" ref="KE136">IF(COUNTIFS($U$2:$U136,$U136)=1,1,INDEX(KE:KE,_xlfn.XMATCH(U136,U$1:U135,0,-1))+COUNT(KE135:KI135))</f>
        <v>249</v>
      </c>
      <c r="KF136">
        <f t="shared" si="131"/>
        <v>250</v>
      </c>
      <c r="KG136">
        <f t="shared" si="131"/>
        <v>251</v>
      </c>
      <c r="KJ136">
        <v>1</v>
      </c>
      <c r="KK136" s="16">
        <v>2</v>
      </c>
      <c r="KO136" s="16"/>
    </row>
    <row r="137" spans="1:301" x14ac:dyDescent="0.25">
      <c r="A137" t="s">
        <v>714</v>
      </c>
      <c r="B137" s="33" t="s">
        <v>735</v>
      </c>
      <c r="C137" t="s">
        <v>492</v>
      </c>
      <c r="P137" t="s">
        <v>482</v>
      </c>
      <c r="T137" s="14" t="s">
        <v>554</v>
      </c>
      <c r="U137">
        <v>55</v>
      </c>
      <c r="V137" t="s">
        <v>759</v>
      </c>
      <c r="X137" s="33" t="str">
        <f>IF(COUNTIF(X$1:X136,X136)&gt;7,REPLACE(X136,LEN(X136),1,VALUE(RIGHT(X136,1))+1),X136)</f>
        <v>A3.12</v>
      </c>
      <c r="Y137" s="45" cm="1">
        <f t="array" ref="Y137">IF(COUNTIFS($X$2:$X137,$X137)=1,"1",VALUE(SUBSTITUTE(INDEX(Y:Y,_xlfn.XMATCH($X137,$X$1:$X136,0,-1)),"A",""))+INDEX(Z:Z,_xlfn.XMATCH($X137,$X$1:$X136,0,-1))+1)</f>
        <v>8</v>
      </c>
      <c r="Z137" s="43" cm="1">
        <f t="array" ref="Z137">SUM(IF(ISNUMBER(FIND("TmAi",$BA$1:$ZZ$1)),IF(IFERROR(ISODD(SUBSTITUTE($BA137:$ZZ137,"A","")),FALSE),IF(ISODD(SUBSTITUTE($BA137:$ZZ137,"A","")),1,0),0)))</f>
        <v>0</v>
      </c>
      <c r="AA137" t="str">
        <f t="shared" si="125"/>
        <v>15B</v>
      </c>
      <c r="AB137" t="str">
        <f t="shared" si="126"/>
        <v>16B</v>
      </c>
      <c r="AL137" t="s">
        <v>137</v>
      </c>
      <c r="AO137" t="s">
        <v>396</v>
      </c>
      <c r="JV137" s="27" t="str">
        <f t="shared" si="128"/>
        <v>XT55</v>
      </c>
      <c r="JY137" t="str">
        <f t="shared" si="129"/>
        <v>F0-AI12-15B</v>
      </c>
      <c r="JZ137" t="str">
        <f t="shared" si="130"/>
        <v>F0-AI12-16B</v>
      </c>
      <c r="KE137" cm="1">
        <f t="array" ref="KE137">IF(COUNTIFS($U$2:$U137,$U137)=1,1,INDEX(KE:KE,_xlfn.XMATCH(U137,U$1:U136,0,-1))+COUNT(KE136:KI136))</f>
        <v>252</v>
      </c>
      <c r="KF137">
        <f t="shared" si="131"/>
        <v>253</v>
      </c>
      <c r="KG137">
        <f t="shared" si="131"/>
        <v>254</v>
      </c>
      <c r="KJ137">
        <v>1</v>
      </c>
      <c r="KK137" s="16">
        <v>2</v>
      </c>
      <c r="KO137" s="16"/>
    </row>
    <row r="138" spans="1:301" x14ac:dyDescent="0.25">
      <c r="A138" t="s">
        <v>715</v>
      </c>
      <c r="B138" t="s">
        <v>736</v>
      </c>
      <c r="C138" t="s">
        <v>492</v>
      </c>
      <c r="P138" t="s">
        <v>482</v>
      </c>
      <c r="T138" s="14" t="s">
        <v>554</v>
      </c>
      <c r="U138">
        <v>55</v>
      </c>
      <c r="V138" t="s">
        <v>760</v>
      </c>
      <c r="X138" t="str">
        <f>IF(COUNTIF(X$1:X137,X137)&gt;7,REPLACE(X137,LEN(X137),1,VALUE(RIGHT(X137,1))+1),X137)</f>
        <v>A3.13</v>
      </c>
      <c r="Y138" s="43" t="str" cm="1">
        <f t="array" ref="Y138">IF(COUNTIFS($X$2:$X138,$X138)=1,"1",VALUE(SUBSTITUTE(INDEX(Y:Y,_xlfn.XMATCH($X138,$X$1:$X137,0,-1)),"A",""))+INDEX(Z:Z,_xlfn.XMATCH($X138,$X$1:$X137,0,-1))+1)</f>
        <v>1</v>
      </c>
      <c r="Z138" s="43" cm="1">
        <f t="array" ref="Z138">SUM(IF(ISNUMBER(FIND("TmAi",$BA$1:$ZZ$1)),IF(IFERROR(ISODD(SUBSTITUTE($BA138:$ZZ138,"A","")),FALSE),IF(ISODD(SUBSTITUTE($BA138:$ZZ138,"A","")),1,0),0)))</f>
        <v>0</v>
      </c>
      <c r="AA138" t="str">
        <f t="shared" si="125"/>
        <v>1B</v>
      </c>
      <c r="AB138" t="str">
        <f t="shared" si="126"/>
        <v>2B</v>
      </c>
      <c r="AL138" t="s">
        <v>137</v>
      </c>
      <c r="AO138" t="s">
        <v>396</v>
      </c>
      <c r="JV138" s="27" t="str">
        <f t="shared" si="128"/>
        <v>XT55</v>
      </c>
      <c r="JY138" t="str">
        <f t="shared" si="129"/>
        <v>F0-AI13-1B</v>
      </c>
      <c r="JZ138" t="str">
        <f t="shared" si="130"/>
        <v>F0-AI13-2B</v>
      </c>
      <c r="KE138" cm="1">
        <f t="array" ref="KE138">IF(COUNTIFS($U$2:$U138,$U138)=1,1,INDEX(KE:KE,_xlfn.XMATCH(U138,U$1:U137,0,-1))+COUNT(KE137:KI137))</f>
        <v>255</v>
      </c>
      <c r="KF138">
        <f t="shared" si="131"/>
        <v>256</v>
      </c>
      <c r="KG138">
        <f t="shared" si="131"/>
        <v>257</v>
      </c>
      <c r="KJ138">
        <v>1</v>
      </c>
      <c r="KK138" s="16">
        <v>2</v>
      </c>
      <c r="KO138" s="16"/>
    </row>
    <row r="139" spans="1:301" x14ac:dyDescent="0.25">
      <c r="A139" t="s">
        <v>716</v>
      </c>
      <c r="B139" t="s">
        <v>737</v>
      </c>
      <c r="C139" t="s">
        <v>498</v>
      </c>
      <c r="P139" t="s">
        <v>482</v>
      </c>
      <c r="T139" s="14" t="s">
        <v>554</v>
      </c>
      <c r="U139">
        <v>55</v>
      </c>
      <c r="V139" t="s">
        <v>761</v>
      </c>
      <c r="X139" t="str">
        <f>IF(COUNTIF(X$1:X138,X138)&gt;7,REPLACE(X138,LEN(X138),1,VALUE(RIGHT(X138,1))+1),X138)</f>
        <v>A3.13</v>
      </c>
      <c r="Y139" s="43" cm="1">
        <f t="array" ref="Y139">IF(COUNTIFS($X$2:$X139,$X139)=1,"1",VALUE(SUBSTITUTE(INDEX(Y:Y,_xlfn.XMATCH($X139,$X$1:$X138,0,-1)),"A",""))+INDEX(Z:Z,_xlfn.XMATCH($X139,$X$1:$X138,0,-1))+1)</f>
        <v>2</v>
      </c>
      <c r="Z139" s="43" cm="1">
        <f t="array" ref="Z139">SUM(IF(ISNUMBER(FIND("TmAi",$BA$1:$ZZ$1)),IF(IFERROR(ISODD(SUBSTITUTE($BA139:$ZZ139,"A","")),FALSE),IF(ISODD(SUBSTITUTE($BA139:$ZZ139,"A","")),1,0),0)))</f>
        <v>0</v>
      </c>
      <c r="AA139" t="str">
        <f t="shared" si="125"/>
        <v>3B</v>
      </c>
      <c r="AB139" t="str">
        <f t="shared" si="126"/>
        <v>4B</v>
      </c>
      <c r="AL139" t="s">
        <v>137</v>
      </c>
      <c r="AO139" t="s">
        <v>396</v>
      </c>
      <c r="JV139" s="27" t="str">
        <f t="shared" si="128"/>
        <v>XT55</v>
      </c>
      <c r="JY139" t="str">
        <f t="shared" si="129"/>
        <v>F0-AI13-3B</v>
      </c>
      <c r="JZ139" t="str">
        <f t="shared" si="130"/>
        <v>F0-AI13-4B</v>
      </c>
      <c r="KE139" cm="1">
        <f t="array" ref="KE139">IF(COUNTIFS($U$2:$U139,$U139)=1,1,INDEX(KE:KE,_xlfn.XMATCH(U139,U$1:U138,0,-1))+COUNT(KE138:KI138))</f>
        <v>258</v>
      </c>
      <c r="KF139">
        <f t="shared" si="131"/>
        <v>259</v>
      </c>
      <c r="KG139">
        <f t="shared" si="131"/>
        <v>260</v>
      </c>
      <c r="KJ139">
        <v>1</v>
      </c>
      <c r="KK139" s="16">
        <v>2</v>
      </c>
      <c r="KO139" s="16"/>
    </row>
    <row r="140" spans="1:301" x14ac:dyDescent="0.25">
      <c r="A140" t="s">
        <v>717</v>
      </c>
      <c r="B140" s="33" t="s">
        <v>738</v>
      </c>
      <c r="C140" t="s">
        <v>492</v>
      </c>
      <c r="P140" t="s">
        <v>482</v>
      </c>
      <c r="T140" s="14" t="s">
        <v>554</v>
      </c>
      <c r="U140">
        <v>55</v>
      </c>
      <c r="V140" t="s">
        <v>762</v>
      </c>
      <c r="X140" t="str">
        <f>IF(COUNTIF(X$1:X139,X139)&gt;7,REPLACE(X139,LEN(X139),1,VALUE(RIGHT(X139,1))+1),X139)</f>
        <v>A3.13</v>
      </c>
      <c r="Y140" s="43" cm="1">
        <f t="array" ref="Y140">IF(COUNTIFS($X$2:$X140,$X140)=1,"1",VALUE(SUBSTITUTE(INDEX(Y:Y,_xlfn.XMATCH($X140,$X$1:$X139,0,-1)),"A",""))+INDEX(Z:Z,_xlfn.XMATCH($X140,$X$1:$X139,0,-1))+1)</f>
        <v>3</v>
      </c>
      <c r="Z140" s="43" cm="1">
        <f t="array" ref="Z140">SUM(IF(ISNUMBER(FIND("TmAi",$BA$1:$ZZ$1)),IF(IFERROR(ISODD(SUBSTITUTE($BA140:$ZZ140,"A","")),FALSE),IF(ISODD(SUBSTITUTE($BA140:$ZZ140,"A","")),1,0),0)))</f>
        <v>0</v>
      </c>
      <c r="AA140" t="str">
        <f t="shared" si="125"/>
        <v>5B</v>
      </c>
      <c r="AB140" t="str">
        <f t="shared" si="126"/>
        <v>6B</v>
      </c>
      <c r="AL140" t="s">
        <v>137</v>
      </c>
      <c r="AO140" t="s">
        <v>396</v>
      </c>
      <c r="JV140" s="27" t="str">
        <f t="shared" si="128"/>
        <v>XT55</v>
      </c>
      <c r="JY140" t="str">
        <f t="shared" si="129"/>
        <v>F0-AI13-5B</v>
      </c>
      <c r="JZ140" t="str">
        <f t="shared" si="130"/>
        <v>F0-AI13-6B</v>
      </c>
      <c r="KE140" cm="1">
        <f t="array" ref="KE140">IF(COUNTIFS($U$2:$U140,$U140)=1,1,INDEX(KE:KE,_xlfn.XMATCH(U140,U$1:U139,0,-1))+COUNT(KE139:KI139))</f>
        <v>261</v>
      </c>
      <c r="KF140">
        <f t="shared" si="131"/>
        <v>262</v>
      </c>
      <c r="KG140">
        <f t="shared" si="131"/>
        <v>263</v>
      </c>
      <c r="KJ140">
        <v>1</v>
      </c>
      <c r="KK140" s="16">
        <v>2</v>
      </c>
      <c r="KO140" s="16"/>
    </row>
    <row r="141" spans="1:301" x14ac:dyDescent="0.25">
      <c r="A141" t="s">
        <v>764</v>
      </c>
      <c r="B141" t="s">
        <v>763</v>
      </c>
      <c r="C141" t="s">
        <v>498</v>
      </c>
      <c r="P141" t="s">
        <v>482</v>
      </c>
      <c r="T141" s="14" t="s">
        <v>554</v>
      </c>
      <c r="U141">
        <v>55</v>
      </c>
      <c r="V141" t="s">
        <v>769</v>
      </c>
      <c r="X141" t="str">
        <f>IF(COUNTIF(X$1:X140,X140)&gt;7,REPLACE(X140,LEN(X140),1,VALUE(RIGHT(X140,1))+1),X140)</f>
        <v>A3.13</v>
      </c>
      <c r="Y141" s="43" cm="1">
        <f t="array" ref="Y141">IF(COUNTIFS($X$2:$X141,$X141)=1,"1",VALUE(SUBSTITUTE(INDEX(Y:Y,_xlfn.XMATCH($X141,$X$1:$X140,0,-1)),"A",""))+INDEX(Z:Z,_xlfn.XMATCH($X141,$X$1:$X140,0,-1))+1)</f>
        <v>4</v>
      </c>
      <c r="Z141" s="43" cm="1">
        <f t="array" ref="Z141">SUM(IF(ISNUMBER(FIND("TmAi",$BA$1:$ZZ$1)),IF(IFERROR(ISODD(SUBSTITUTE($BA141:$ZZ141,"A","")),FALSE),IF(ISODD(SUBSTITUTE($BA141:$ZZ141,"A","")),1,0),0)))</f>
        <v>0</v>
      </c>
      <c r="AA141" t="str">
        <f t="shared" si="125"/>
        <v>7B</v>
      </c>
      <c r="AB141" t="str">
        <f t="shared" si="126"/>
        <v>8B</v>
      </c>
      <c r="AL141" t="s">
        <v>137</v>
      </c>
      <c r="AO141" t="s">
        <v>396</v>
      </c>
      <c r="JV141" s="27" t="str">
        <f t="shared" si="128"/>
        <v>XT55</v>
      </c>
      <c r="JY141" t="str">
        <f t="shared" si="129"/>
        <v>F0-AI13-7B</v>
      </c>
      <c r="JZ141" t="str">
        <f t="shared" si="130"/>
        <v>F0-AI13-8B</v>
      </c>
      <c r="KE141" cm="1">
        <f t="array" ref="KE141">IF(COUNTIFS($U$2:$U141,$U141)=1,1,INDEX(KE:KE,_xlfn.XMATCH(U141,U$1:U140,0,-1))+COUNT(KE140:KI140))</f>
        <v>264</v>
      </c>
      <c r="KF141">
        <f t="shared" si="131"/>
        <v>265</v>
      </c>
      <c r="KG141">
        <f t="shared" si="131"/>
        <v>266</v>
      </c>
      <c r="KJ141">
        <v>1</v>
      </c>
      <c r="KK141" s="16">
        <v>2</v>
      </c>
      <c r="KO141" s="16"/>
    </row>
    <row r="142" spans="1:301" x14ac:dyDescent="0.25">
      <c r="A142" t="s">
        <v>766</v>
      </c>
      <c r="B142" s="33" t="s">
        <v>765</v>
      </c>
      <c r="C142" t="s">
        <v>492</v>
      </c>
      <c r="P142" t="s">
        <v>482</v>
      </c>
      <c r="T142" s="14" t="s">
        <v>554</v>
      </c>
      <c r="U142">
        <v>55</v>
      </c>
      <c r="V142" t="s">
        <v>770</v>
      </c>
      <c r="X142" t="str">
        <f>IF(COUNTIF(X$1:X141,X141)&gt;7,REPLACE(X141,LEN(X141),1,VALUE(RIGHT(X141,1))+1),X141)</f>
        <v>A3.13</v>
      </c>
      <c r="Y142" s="43" cm="1">
        <f t="array" ref="Y142">IF(COUNTIFS($X$2:$X142,$X142)=1,"1",VALUE(SUBSTITUTE(INDEX(Y:Y,_xlfn.XMATCH($X142,$X$1:$X141,0,-1)),"A",""))+INDEX(Z:Z,_xlfn.XMATCH($X142,$X$1:$X141,0,-1))+1)</f>
        <v>5</v>
      </c>
      <c r="Z142" s="43" cm="1">
        <f t="array" ref="Z142">SUM(IF(ISNUMBER(FIND("TmAi",$BA$1:$ZZ$1)),IF(IFERROR(ISODD(SUBSTITUTE($BA142:$ZZ142,"A","")),FALSE),IF(ISODD(SUBSTITUTE($BA142:$ZZ142,"A","")),1,0),0)))</f>
        <v>0</v>
      </c>
      <c r="AA142" t="str">
        <f t="shared" si="125"/>
        <v>9B</v>
      </c>
      <c r="AB142" t="str">
        <f t="shared" si="126"/>
        <v>10B</v>
      </c>
      <c r="AL142" t="s">
        <v>137</v>
      </c>
      <c r="AO142" t="s">
        <v>396</v>
      </c>
      <c r="JV142" s="27" t="str">
        <f t="shared" si="128"/>
        <v>XT55</v>
      </c>
      <c r="JY142" t="str">
        <f t="shared" si="129"/>
        <v>F0-AI13-9B</v>
      </c>
      <c r="JZ142" t="str">
        <f t="shared" si="130"/>
        <v>F0-AI13-10B</v>
      </c>
      <c r="KE142" cm="1">
        <f t="array" ref="KE142">IF(COUNTIFS($U$2:$U142,$U142)=1,1,INDEX(KE:KE,_xlfn.XMATCH(U142,U$1:U141,0,-1))+COUNT(KE141:KI141))</f>
        <v>267</v>
      </c>
      <c r="KF142">
        <f t="shared" si="131"/>
        <v>268</v>
      </c>
      <c r="KG142">
        <f t="shared" si="131"/>
        <v>269</v>
      </c>
      <c r="KJ142">
        <v>1</v>
      </c>
      <c r="KK142" s="16">
        <v>2</v>
      </c>
      <c r="KO142" s="16"/>
    </row>
    <row r="143" spans="1:301" x14ac:dyDescent="0.25">
      <c r="A143" t="s">
        <v>768</v>
      </c>
      <c r="B143" t="s">
        <v>771</v>
      </c>
      <c r="C143" t="s">
        <v>498</v>
      </c>
      <c r="P143" t="s">
        <v>482</v>
      </c>
      <c r="T143" s="14" t="s">
        <v>554</v>
      </c>
      <c r="U143">
        <v>55</v>
      </c>
      <c r="V143" t="s">
        <v>767</v>
      </c>
      <c r="X143" t="str">
        <f>IF(COUNTIF(X$1:X142,X142)&gt;7,REPLACE(X142,LEN(X142),1,VALUE(RIGHT(X142,1))+1),X142)</f>
        <v>A3.13</v>
      </c>
      <c r="Y143" s="43" cm="1">
        <f t="array" ref="Y143">IF(COUNTIFS($X$2:$X143,$X143)=1,"1",VALUE(SUBSTITUTE(INDEX(Y:Y,_xlfn.XMATCH($X143,$X$1:$X142,0,-1)),"A",""))+INDEX(Z:Z,_xlfn.XMATCH($X143,$X$1:$X142,0,-1))+1)</f>
        <v>6</v>
      </c>
      <c r="Z143" s="43" cm="1">
        <f t="array" ref="Z143">SUM(IF(ISNUMBER(FIND("TmAi",$BA$1:$ZZ$1)),IF(IFERROR(ISODD(SUBSTITUTE($BA143:$ZZ143,"A","")),FALSE),IF(ISODD(SUBSTITUTE($BA143:$ZZ143,"A","")),1,0),0)))</f>
        <v>0</v>
      </c>
      <c r="AA143" t="str">
        <f t="shared" si="125"/>
        <v>11B</v>
      </c>
      <c r="AB143" t="str">
        <f t="shared" si="126"/>
        <v>12B</v>
      </c>
      <c r="AL143" t="s">
        <v>137</v>
      </c>
      <c r="AO143" t="s">
        <v>396</v>
      </c>
      <c r="JV143" s="27" t="str">
        <f t="shared" si="128"/>
        <v>XT55</v>
      </c>
      <c r="JY143" t="str">
        <f t="shared" si="129"/>
        <v>F0-AI13-11B</v>
      </c>
      <c r="JZ143" t="str">
        <f t="shared" si="130"/>
        <v>F0-AI13-12B</v>
      </c>
      <c r="KE143" cm="1">
        <f t="array" ref="KE143">IF(COUNTIFS($U$2:$U143,$U143)=1,1,INDEX(KE:KE,_xlfn.XMATCH(U143,U$1:U142,0,-1))+COUNT(KE142:KI142))</f>
        <v>270</v>
      </c>
      <c r="KF143">
        <f t="shared" si="131"/>
        <v>271</v>
      </c>
      <c r="KG143">
        <f t="shared" si="131"/>
        <v>272</v>
      </c>
      <c r="KJ143">
        <v>1</v>
      </c>
      <c r="KK143" s="16">
        <v>2</v>
      </c>
      <c r="KO143" s="16"/>
    </row>
    <row r="144" spans="1:301" x14ac:dyDescent="0.25">
      <c r="A144" t="s">
        <v>774</v>
      </c>
      <c r="B144" s="33" t="s">
        <v>772</v>
      </c>
      <c r="C144" t="s">
        <v>492</v>
      </c>
      <c r="P144" t="s">
        <v>482</v>
      </c>
      <c r="T144" s="14" t="s">
        <v>554</v>
      </c>
      <c r="U144">
        <v>55</v>
      </c>
      <c r="V144" t="s">
        <v>773</v>
      </c>
      <c r="X144" t="str">
        <f>IF(COUNTIF(X$1:X143,X143)&gt;7,REPLACE(X143,LEN(X143),1,VALUE(RIGHT(X143,1))+1),X143)</f>
        <v>A3.13</v>
      </c>
      <c r="Y144" s="43" cm="1">
        <f t="array" ref="Y144">IF(COUNTIFS($X$2:$X144,$X144)=1,"1",VALUE(SUBSTITUTE(INDEX(Y:Y,_xlfn.XMATCH($X144,$X$1:$X143,0,-1)),"A",""))+INDEX(Z:Z,_xlfn.XMATCH($X144,$X$1:$X143,0,-1))+1)</f>
        <v>7</v>
      </c>
      <c r="Z144" s="43" cm="1">
        <f t="array" ref="Z144">SUM(IF(ISNUMBER(FIND("TmAi",$BA$1:$ZZ$1)),IF(IFERROR(ISODD(SUBSTITUTE($BA144:$ZZ144,"A","")),FALSE),IF(ISODD(SUBSTITUTE($BA144:$ZZ144,"A","")),1,0),0)))</f>
        <v>0</v>
      </c>
      <c r="AA144" t="str">
        <f t="shared" si="125"/>
        <v>13B</v>
      </c>
      <c r="AB144" t="str">
        <f t="shared" si="126"/>
        <v>14B</v>
      </c>
      <c r="AL144" t="s">
        <v>137</v>
      </c>
      <c r="AO144" t="s">
        <v>396</v>
      </c>
      <c r="JV144" s="27" t="str">
        <f t="shared" si="128"/>
        <v>XT55</v>
      </c>
      <c r="JY144" t="str">
        <f t="shared" si="129"/>
        <v>F0-AI13-13B</v>
      </c>
      <c r="JZ144" t="str">
        <f t="shared" si="130"/>
        <v>F0-AI13-14B</v>
      </c>
      <c r="KE144" cm="1">
        <f t="array" ref="KE144">IF(COUNTIFS($U$2:$U144,$U144)=1,1,INDEX(KE:KE,_xlfn.XMATCH(U144,U$1:U143,0,-1))+COUNT(KE143:KI143))</f>
        <v>273</v>
      </c>
      <c r="KF144">
        <f t="shared" si="131"/>
        <v>274</v>
      </c>
      <c r="KG144">
        <f t="shared" si="131"/>
        <v>275</v>
      </c>
      <c r="KJ144">
        <v>1</v>
      </c>
      <c r="KK144" s="16">
        <v>2</v>
      </c>
      <c r="KO144" s="16"/>
    </row>
    <row r="145" spans="1:301" x14ac:dyDescent="0.25">
      <c r="A145" t="s">
        <v>775</v>
      </c>
      <c r="B145" t="s">
        <v>789</v>
      </c>
      <c r="C145" t="s">
        <v>498</v>
      </c>
      <c r="P145" t="s">
        <v>482</v>
      </c>
      <c r="T145" s="14" t="s">
        <v>554</v>
      </c>
      <c r="U145">
        <v>55</v>
      </c>
      <c r="V145" t="s">
        <v>803</v>
      </c>
      <c r="X145" s="33" t="str">
        <f>IF(COUNTIF(X$1:X144,X144)&gt;7,REPLACE(X144,LEN(X144),1,VALUE(RIGHT(X144,1))+1),X144)</f>
        <v>A3.13</v>
      </c>
      <c r="Y145" s="45" cm="1">
        <f t="array" ref="Y145">IF(COUNTIFS($X$2:$X145,$X145)=1,"1",VALUE(SUBSTITUTE(INDEX(Y:Y,_xlfn.XMATCH($X145,$X$1:$X144,0,-1)),"A",""))+INDEX(Z:Z,_xlfn.XMATCH($X145,$X$1:$X144,0,-1))+1)</f>
        <v>8</v>
      </c>
      <c r="Z145" s="43" cm="1">
        <f t="array" ref="Z145">SUM(IF(ISNUMBER(FIND("TmAi",$BA$1:$ZZ$1)),IF(IFERROR(ISODD(SUBSTITUTE($BA145:$ZZ145,"A","")),FALSE),IF(ISODD(SUBSTITUTE($BA145:$ZZ145,"A","")),1,0),0)))</f>
        <v>0</v>
      </c>
      <c r="AA145" t="str">
        <f t="shared" si="125"/>
        <v>15B</v>
      </c>
      <c r="AB145" t="str">
        <f t="shared" si="126"/>
        <v>16B</v>
      </c>
      <c r="AL145" t="s">
        <v>137</v>
      </c>
      <c r="AO145" t="s">
        <v>396</v>
      </c>
      <c r="JV145" s="27" t="str">
        <f t="shared" si="128"/>
        <v>XT55</v>
      </c>
      <c r="JY145" t="str">
        <f t="shared" si="129"/>
        <v>F0-AI13-15B</v>
      </c>
      <c r="JZ145" t="str">
        <f t="shared" si="130"/>
        <v>F0-AI13-16B</v>
      </c>
      <c r="KE145" cm="1">
        <f t="array" ref="KE145">IF(COUNTIFS($U$2:$U145,$U145)=1,1,INDEX(KE:KE,_xlfn.XMATCH(U145,U$1:U144,0,-1))+COUNT(KE144:KI144))</f>
        <v>276</v>
      </c>
      <c r="KF145">
        <f t="shared" si="131"/>
        <v>277</v>
      </c>
      <c r="KG145">
        <f t="shared" si="131"/>
        <v>278</v>
      </c>
      <c r="KJ145">
        <v>1</v>
      </c>
      <c r="KK145" s="16">
        <v>2</v>
      </c>
      <c r="KO145" s="16"/>
    </row>
    <row r="146" spans="1:301" x14ac:dyDescent="0.25">
      <c r="A146" t="s">
        <v>776</v>
      </c>
      <c r="B146" s="33" t="s">
        <v>790</v>
      </c>
      <c r="C146" t="s">
        <v>492</v>
      </c>
      <c r="P146" t="s">
        <v>482</v>
      </c>
      <c r="T146" s="14" t="s">
        <v>554</v>
      </c>
      <c r="U146">
        <v>55</v>
      </c>
      <c r="V146" t="s">
        <v>804</v>
      </c>
      <c r="X146" t="str">
        <f>IF(COUNTIF(X$1:X145,X145)&gt;7,REPLACE(X145,LEN(X145),1,VALUE(RIGHT(X145,1))+1),X145)</f>
        <v>A3.14</v>
      </c>
      <c r="Y146" s="43" t="str" cm="1">
        <f t="array" ref="Y146">IF(COUNTIFS($X$2:$X146,$X146)=1,"1",VALUE(SUBSTITUTE(INDEX(Y:Y,_xlfn.XMATCH($X146,$X$1:$X145,0,-1)),"A",""))+INDEX(Z:Z,_xlfn.XMATCH($X146,$X$1:$X145,0,-1))+1)</f>
        <v>1</v>
      </c>
      <c r="Z146" s="43" cm="1">
        <f t="array" ref="Z146">SUM(IF(ISNUMBER(FIND("TmAi",$BA$1:$ZZ$1)),IF(IFERROR(ISODD(SUBSTITUTE($BA146:$ZZ146,"A","")),FALSE),IF(ISODD(SUBSTITUTE($BA146:$ZZ146,"A","")),1,0),0)))</f>
        <v>0</v>
      </c>
      <c r="AA146" t="str">
        <f t="shared" si="125"/>
        <v>1B</v>
      </c>
      <c r="AB146" t="str">
        <f t="shared" si="126"/>
        <v>2B</v>
      </c>
      <c r="AL146" t="s">
        <v>137</v>
      </c>
      <c r="AO146" t="s">
        <v>396</v>
      </c>
      <c r="JV146" s="27" t="str">
        <f t="shared" si="128"/>
        <v>XT55</v>
      </c>
      <c r="JY146" t="str">
        <f t="shared" si="129"/>
        <v>F0-AI14-1B</v>
      </c>
      <c r="JZ146" t="str">
        <f t="shared" si="130"/>
        <v>F0-AI14-2B</v>
      </c>
      <c r="KE146" cm="1">
        <f t="array" ref="KE146">IF(COUNTIFS($U$2:$U146,$U146)=1,1,INDEX(KE:KE,_xlfn.XMATCH(U146,U$1:U145,0,-1))+COUNT(KE145:KI145))</f>
        <v>279</v>
      </c>
      <c r="KF146">
        <f t="shared" si="131"/>
        <v>280</v>
      </c>
      <c r="KG146">
        <f t="shared" si="131"/>
        <v>281</v>
      </c>
      <c r="KJ146">
        <v>1</v>
      </c>
      <c r="KK146" s="16">
        <v>2</v>
      </c>
      <c r="KO146" s="16"/>
    </row>
    <row r="147" spans="1:301" x14ac:dyDescent="0.25">
      <c r="A147" t="s">
        <v>777</v>
      </c>
      <c r="B147" t="s">
        <v>791</v>
      </c>
      <c r="C147" t="s">
        <v>498</v>
      </c>
      <c r="P147" t="s">
        <v>482</v>
      </c>
      <c r="T147" s="14" t="s">
        <v>554</v>
      </c>
      <c r="U147">
        <v>55</v>
      </c>
      <c r="V147" t="s">
        <v>805</v>
      </c>
      <c r="X147" t="str">
        <f>IF(COUNTIF(X$1:X146,X146)&gt;7,REPLACE(X146,LEN(X146),1,VALUE(RIGHT(X146,1))+1),X146)</f>
        <v>A3.14</v>
      </c>
      <c r="Y147" s="43" cm="1">
        <f t="array" ref="Y147">IF(COUNTIFS($X$2:$X147,$X147)=1,"1",VALUE(SUBSTITUTE(INDEX(Y:Y,_xlfn.XMATCH($X147,$X$1:$X146,0,-1)),"A",""))+INDEX(Z:Z,_xlfn.XMATCH($X147,$X$1:$X146,0,-1))+1)</f>
        <v>2</v>
      </c>
      <c r="Z147" s="43" cm="1">
        <f t="array" ref="Z147">SUM(IF(ISNUMBER(FIND("TmAi",$BA$1:$ZZ$1)),IF(IFERROR(ISODD(SUBSTITUTE($BA147:$ZZ147,"A","")),FALSE),IF(ISODD(SUBSTITUTE($BA147:$ZZ147,"A","")),1,0),0)))</f>
        <v>0</v>
      </c>
      <c r="AA147" t="str">
        <f t="shared" si="125"/>
        <v>3B</v>
      </c>
      <c r="AB147" t="str">
        <f t="shared" si="126"/>
        <v>4B</v>
      </c>
      <c r="AL147" t="s">
        <v>137</v>
      </c>
      <c r="AO147" t="s">
        <v>396</v>
      </c>
      <c r="JV147" s="27" t="str">
        <f t="shared" si="128"/>
        <v>XT55</v>
      </c>
      <c r="JY147" t="str">
        <f t="shared" si="129"/>
        <v>F0-AI14-3B</v>
      </c>
      <c r="JZ147" t="str">
        <f t="shared" si="130"/>
        <v>F0-AI14-4B</v>
      </c>
      <c r="KE147" cm="1">
        <f t="array" ref="KE147">IF(COUNTIFS($U$2:$U147,$U147)=1,1,INDEX(KE:KE,_xlfn.XMATCH(U147,U$1:U146,0,-1))+COUNT(KE146:KI146))</f>
        <v>282</v>
      </c>
      <c r="KF147">
        <f t="shared" si="131"/>
        <v>283</v>
      </c>
      <c r="KG147">
        <f t="shared" si="131"/>
        <v>284</v>
      </c>
      <c r="KJ147">
        <v>1</v>
      </c>
      <c r="KK147" s="16">
        <v>2</v>
      </c>
      <c r="KO147" s="16"/>
    </row>
    <row r="148" spans="1:301" x14ac:dyDescent="0.25">
      <c r="A148" t="s">
        <v>778</v>
      </c>
      <c r="B148" s="33" t="s">
        <v>792</v>
      </c>
      <c r="C148" t="s">
        <v>492</v>
      </c>
      <c r="P148" t="s">
        <v>482</v>
      </c>
      <c r="T148" s="14" t="s">
        <v>554</v>
      </c>
      <c r="U148">
        <v>55</v>
      </c>
      <c r="V148" t="s">
        <v>806</v>
      </c>
      <c r="X148" t="str">
        <f>IF(COUNTIF(X$1:X147,X147)&gt;7,REPLACE(X147,LEN(X147),1,VALUE(RIGHT(X147,1))+1),X147)</f>
        <v>A3.14</v>
      </c>
      <c r="Y148" s="43" cm="1">
        <f t="array" ref="Y148">IF(COUNTIFS($X$2:$X148,$X148)=1,"1",VALUE(SUBSTITUTE(INDEX(Y:Y,_xlfn.XMATCH($X148,$X$1:$X147,0,-1)),"A",""))+INDEX(Z:Z,_xlfn.XMATCH($X148,$X$1:$X147,0,-1))+1)</f>
        <v>3</v>
      </c>
      <c r="Z148" s="43" cm="1">
        <f t="array" ref="Z148">SUM(IF(ISNUMBER(FIND("TmAi",$BA$1:$ZZ$1)),IF(IFERROR(ISODD(SUBSTITUTE($BA148:$ZZ148,"A","")),FALSE),IF(ISODD(SUBSTITUTE($BA148:$ZZ148,"A","")),1,0),0)))</f>
        <v>0</v>
      </c>
      <c r="AA148" t="str">
        <f t="shared" si="125"/>
        <v>5B</v>
      </c>
      <c r="AB148" t="str">
        <f t="shared" si="126"/>
        <v>6B</v>
      </c>
      <c r="AL148" t="s">
        <v>137</v>
      </c>
      <c r="AO148" t="s">
        <v>396</v>
      </c>
      <c r="JV148" s="27" t="str">
        <f t="shared" si="128"/>
        <v>XT55</v>
      </c>
      <c r="JY148" t="str">
        <f t="shared" si="129"/>
        <v>F0-AI14-5B</v>
      </c>
      <c r="JZ148" t="str">
        <f t="shared" si="130"/>
        <v>F0-AI14-6B</v>
      </c>
      <c r="KE148" cm="1">
        <f t="array" ref="KE148">IF(COUNTIFS($U$2:$U148,$U148)=1,1,INDEX(KE:KE,_xlfn.XMATCH(U148,U$1:U147,0,-1))+COUNT(KE147:KI147))</f>
        <v>285</v>
      </c>
      <c r="KF148">
        <f t="shared" si="131"/>
        <v>286</v>
      </c>
      <c r="KG148">
        <f t="shared" si="131"/>
        <v>287</v>
      </c>
      <c r="KJ148">
        <v>1</v>
      </c>
      <c r="KK148" s="16">
        <v>2</v>
      </c>
      <c r="KO148" s="16"/>
    </row>
    <row r="149" spans="1:301" x14ac:dyDescent="0.25">
      <c r="A149" t="s">
        <v>779</v>
      </c>
      <c r="B149" t="s">
        <v>793</v>
      </c>
      <c r="C149" t="s">
        <v>498</v>
      </c>
      <c r="P149" t="s">
        <v>482</v>
      </c>
      <c r="T149" s="14" t="s">
        <v>554</v>
      </c>
      <c r="U149">
        <v>55</v>
      </c>
      <c r="V149" t="s">
        <v>807</v>
      </c>
      <c r="X149" t="str">
        <f>IF(COUNTIF(X$1:X148,X148)&gt;7,REPLACE(X148,LEN(X148),1,VALUE(RIGHT(X148,1))+1),X148)</f>
        <v>A3.14</v>
      </c>
      <c r="Y149" s="43" cm="1">
        <f t="array" ref="Y149">IF(COUNTIFS($X$2:$X149,$X149)=1,"1",VALUE(SUBSTITUTE(INDEX(Y:Y,_xlfn.XMATCH($X149,$X$1:$X148,0,-1)),"A",""))+INDEX(Z:Z,_xlfn.XMATCH($X149,$X$1:$X148,0,-1))+1)</f>
        <v>4</v>
      </c>
      <c r="Z149" s="43" cm="1">
        <f t="array" ref="Z149">SUM(IF(ISNUMBER(FIND("TmAi",$BA$1:$ZZ$1)),IF(IFERROR(ISODD(SUBSTITUTE($BA149:$ZZ149,"A","")),FALSE),IF(ISODD(SUBSTITUTE($BA149:$ZZ149,"A","")),1,0),0)))</f>
        <v>0</v>
      </c>
      <c r="AA149" t="str">
        <f t="shared" si="125"/>
        <v>7B</v>
      </c>
      <c r="AB149" t="str">
        <f t="shared" si="126"/>
        <v>8B</v>
      </c>
      <c r="AL149" t="s">
        <v>137</v>
      </c>
      <c r="AO149" t="s">
        <v>396</v>
      </c>
      <c r="JV149" s="27" t="str">
        <f t="shared" si="128"/>
        <v>XT55</v>
      </c>
      <c r="JY149" t="str">
        <f t="shared" si="129"/>
        <v>F0-AI14-7B</v>
      </c>
      <c r="JZ149" t="str">
        <f t="shared" si="130"/>
        <v>F0-AI14-8B</v>
      </c>
      <c r="KE149" cm="1">
        <f t="array" ref="KE149">IF(COUNTIFS($U$2:$U149,$U149)=1,1,INDEX(KE:KE,_xlfn.XMATCH(U149,U$1:U148,0,-1))+COUNT(KE148:KI148))</f>
        <v>288</v>
      </c>
      <c r="KF149">
        <f t="shared" si="131"/>
        <v>289</v>
      </c>
      <c r="KG149">
        <f t="shared" si="131"/>
        <v>290</v>
      </c>
      <c r="KJ149">
        <v>1</v>
      </c>
      <c r="KK149" s="16">
        <v>2</v>
      </c>
      <c r="KO149" s="16"/>
    </row>
    <row r="150" spans="1:301" x14ac:dyDescent="0.25">
      <c r="A150" t="s">
        <v>780</v>
      </c>
      <c r="B150" s="33" t="s">
        <v>794</v>
      </c>
      <c r="C150" t="s">
        <v>492</v>
      </c>
      <c r="P150" t="s">
        <v>482</v>
      </c>
      <c r="T150" s="14" t="s">
        <v>554</v>
      </c>
      <c r="U150">
        <v>55</v>
      </c>
      <c r="V150" t="s">
        <v>808</v>
      </c>
      <c r="X150" t="str">
        <f>IF(COUNTIF(X$1:X149,X149)&gt;7,REPLACE(X149,LEN(X149),1,VALUE(RIGHT(X149,1))+1),X149)</f>
        <v>A3.14</v>
      </c>
      <c r="Y150" s="43" cm="1">
        <f t="array" ref="Y150">IF(COUNTIFS($X$2:$X150,$X150)=1,"1",VALUE(SUBSTITUTE(INDEX(Y:Y,_xlfn.XMATCH($X150,$X$1:$X149,0,-1)),"A",""))+INDEX(Z:Z,_xlfn.XMATCH($X150,$X$1:$X149,0,-1))+1)</f>
        <v>5</v>
      </c>
      <c r="Z150" s="43" cm="1">
        <f t="array" ref="Z150">SUM(IF(ISNUMBER(FIND("TmAi",$BA$1:$ZZ$1)),IF(IFERROR(ISODD(SUBSTITUTE($BA150:$ZZ150,"A","")),FALSE),IF(ISODD(SUBSTITUTE($BA150:$ZZ150,"A","")),1,0),0)))</f>
        <v>0</v>
      </c>
      <c r="AA150" t="str">
        <f t="shared" si="125"/>
        <v>9B</v>
      </c>
      <c r="AB150" t="str">
        <f t="shared" si="126"/>
        <v>10B</v>
      </c>
      <c r="AL150" t="s">
        <v>137</v>
      </c>
      <c r="AO150" t="s">
        <v>396</v>
      </c>
      <c r="JV150" s="27" t="str">
        <f t="shared" si="128"/>
        <v>XT55</v>
      </c>
      <c r="JY150" t="str">
        <f t="shared" si="129"/>
        <v>F0-AI14-9B</v>
      </c>
      <c r="JZ150" t="str">
        <f t="shared" si="130"/>
        <v>F0-AI14-10B</v>
      </c>
      <c r="KE150" cm="1">
        <f t="array" ref="KE150">IF(COUNTIFS($U$2:$U150,$U150)=1,1,INDEX(KE:KE,_xlfn.XMATCH(U150,U$1:U149,0,-1))+COUNT(KE149:KI149))</f>
        <v>291</v>
      </c>
      <c r="KF150">
        <f t="shared" si="131"/>
        <v>292</v>
      </c>
      <c r="KG150">
        <f t="shared" si="131"/>
        <v>293</v>
      </c>
      <c r="KJ150">
        <v>1</v>
      </c>
      <c r="KK150" s="16">
        <v>2</v>
      </c>
      <c r="KO150" s="16"/>
    </row>
    <row r="151" spans="1:301" x14ac:dyDescent="0.25">
      <c r="A151" t="s">
        <v>781</v>
      </c>
      <c r="B151" t="s">
        <v>795</v>
      </c>
      <c r="C151" t="s">
        <v>498</v>
      </c>
      <c r="P151" t="s">
        <v>482</v>
      </c>
      <c r="T151" s="14" t="s">
        <v>554</v>
      </c>
      <c r="U151">
        <v>55</v>
      </c>
      <c r="V151" t="s">
        <v>809</v>
      </c>
      <c r="X151" t="str">
        <f>IF(COUNTIF(X$1:X150,X150)&gt;7,REPLACE(X150,LEN(X150),1,VALUE(RIGHT(X150,1))+1),X150)</f>
        <v>A3.14</v>
      </c>
      <c r="Y151" s="43" cm="1">
        <f t="array" ref="Y151">IF(COUNTIFS($X$2:$X151,$X151)=1,"1",VALUE(SUBSTITUTE(INDEX(Y:Y,_xlfn.XMATCH($X151,$X$1:$X150,0,-1)),"A",""))+INDEX(Z:Z,_xlfn.XMATCH($X151,$X$1:$X150,0,-1))+1)</f>
        <v>6</v>
      </c>
      <c r="Z151" s="43" cm="1">
        <f t="array" ref="Z151">SUM(IF(ISNUMBER(FIND("TmAi",$BA$1:$ZZ$1)),IF(IFERROR(ISODD(SUBSTITUTE($BA151:$ZZ151,"A","")),FALSE),IF(ISODD(SUBSTITUTE($BA151:$ZZ151,"A","")),1,0),0)))</f>
        <v>0</v>
      </c>
      <c r="AA151" t="str">
        <f t="shared" si="125"/>
        <v>11B</v>
      </c>
      <c r="AB151" t="str">
        <f t="shared" si="126"/>
        <v>12B</v>
      </c>
      <c r="AL151" t="s">
        <v>137</v>
      </c>
      <c r="AO151" t="s">
        <v>396</v>
      </c>
      <c r="JV151" s="27" t="str">
        <f t="shared" si="128"/>
        <v>XT55</v>
      </c>
      <c r="JY151" t="str">
        <f t="shared" si="129"/>
        <v>F0-AI14-11B</v>
      </c>
      <c r="JZ151" t="str">
        <f t="shared" si="130"/>
        <v>F0-AI14-12B</v>
      </c>
      <c r="KE151" cm="1">
        <f t="array" ref="KE151">IF(COUNTIFS($U$2:$U151,$U151)=1,1,INDEX(KE:KE,_xlfn.XMATCH(U151,U$1:U150,0,-1))+COUNT(KE150:KI150))</f>
        <v>294</v>
      </c>
      <c r="KF151">
        <f t="shared" si="131"/>
        <v>295</v>
      </c>
      <c r="KG151">
        <f t="shared" si="131"/>
        <v>296</v>
      </c>
      <c r="KJ151">
        <v>1</v>
      </c>
      <c r="KK151" s="16">
        <v>2</v>
      </c>
      <c r="KO151" s="16"/>
    </row>
    <row r="152" spans="1:301" x14ac:dyDescent="0.25">
      <c r="A152" t="s">
        <v>782</v>
      </c>
      <c r="B152" s="33" t="s">
        <v>796</v>
      </c>
      <c r="C152" t="s">
        <v>492</v>
      </c>
      <c r="P152" t="s">
        <v>482</v>
      </c>
      <c r="T152" s="14" t="s">
        <v>554</v>
      </c>
      <c r="U152">
        <v>55</v>
      </c>
      <c r="V152" t="s">
        <v>810</v>
      </c>
      <c r="X152" t="str">
        <f>IF(COUNTIF(X$1:X151,X151)&gt;7,REPLACE(X151,LEN(X151),1,VALUE(RIGHT(X151,1))+1),X151)</f>
        <v>A3.14</v>
      </c>
      <c r="Y152" s="43" cm="1">
        <f t="array" ref="Y152">IF(COUNTIFS($X$2:$X152,$X152)=1,"1",VALUE(SUBSTITUTE(INDEX(Y:Y,_xlfn.XMATCH($X152,$X$1:$X151,0,-1)),"A",""))+INDEX(Z:Z,_xlfn.XMATCH($X152,$X$1:$X151,0,-1))+1)</f>
        <v>7</v>
      </c>
      <c r="Z152" s="43" cm="1">
        <f t="array" ref="Z152">SUM(IF(ISNUMBER(FIND("TmAi",$BA$1:$ZZ$1)),IF(IFERROR(ISODD(SUBSTITUTE($BA152:$ZZ152,"A","")),FALSE),IF(ISODD(SUBSTITUTE($BA152:$ZZ152,"A","")),1,0),0)))</f>
        <v>0</v>
      </c>
      <c r="AA152" t="str">
        <f t="shared" si="125"/>
        <v>13B</v>
      </c>
      <c r="AB152" t="str">
        <f t="shared" si="126"/>
        <v>14B</v>
      </c>
      <c r="AL152" t="s">
        <v>137</v>
      </c>
      <c r="AO152" t="s">
        <v>396</v>
      </c>
      <c r="JV152" s="27" t="str">
        <f t="shared" si="128"/>
        <v>XT55</v>
      </c>
      <c r="JY152" t="str">
        <f t="shared" si="129"/>
        <v>F0-AI14-13B</v>
      </c>
      <c r="JZ152" t="str">
        <f t="shared" si="130"/>
        <v>F0-AI14-14B</v>
      </c>
      <c r="KE152" cm="1">
        <f t="array" ref="KE152">IF(COUNTIFS($U$2:$U152,$U152)=1,1,INDEX(KE:KE,_xlfn.XMATCH(U152,U$1:U151,0,-1))+COUNT(KE151:KI151))</f>
        <v>297</v>
      </c>
      <c r="KF152">
        <f t="shared" si="131"/>
        <v>298</v>
      </c>
      <c r="KG152">
        <f t="shared" si="131"/>
        <v>299</v>
      </c>
      <c r="KJ152">
        <v>1</v>
      </c>
      <c r="KK152" s="16">
        <v>2</v>
      </c>
      <c r="KO152" s="16"/>
    </row>
    <row r="153" spans="1:301" x14ac:dyDescent="0.25">
      <c r="A153" t="s">
        <v>783</v>
      </c>
      <c r="B153" t="s">
        <v>797</v>
      </c>
      <c r="C153" t="s">
        <v>498</v>
      </c>
      <c r="P153" t="s">
        <v>482</v>
      </c>
      <c r="T153" s="14" t="s">
        <v>554</v>
      </c>
      <c r="U153">
        <v>55</v>
      </c>
      <c r="V153" t="s">
        <v>811</v>
      </c>
      <c r="X153" s="33" t="str">
        <f>IF(COUNTIF(X$1:X152,X152)&gt;7,REPLACE(X152,LEN(X152),1,VALUE(RIGHT(X152,1))+1),X152)</f>
        <v>A3.14</v>
      </c>
      <c r="Y153" s="45" cm="1">
        <f t="array" ref="Y153">IF(COUNTIFS($X$2:$X153,$X153)=1,"1",VALUE(SUBSTITUTE(INDEX(Y:Y,_xlfn.XMATCH($X153,$X$1:$X152,0,-1)),"A",""))+INDEX(Z:Z,_xlfn.XMATCH($X153,$X$1:$X152,0,-1))+1)</f>
        <v>8</v>
      </c>
      <c r="Z153" s="43" cm="1">
        <f t="array" ref="Z153">SUM(IF(ISNUMBER(FIND("TmAi",$BA$1:$ZZ$1)),IF(IFERROR(ISODD(SUBSTITUTE($BA153:$ZZ153,"A","")),FALSE),IF(ISODD(SUBSTITUTE($BA153:$ZZ153,"A","")),1,0),0)))</f>
        <v>0</v>
      </c>
      <c r="AA153" t="str">
        <f t="shared" si="125"/>
        <v>15B</v>
      </c>
      <c r="AB153" t="str">
        <f t="shared" si="126"/>
        <v>16B</v>
      </c>
      <c r="AL153" t="s">
        <v>137</v>
      </c>
      <c r="AO153" t="s">
        <v>396</v>
      </c>
      <c r="JV153" s="27" t="str">
        <f t="shared" si="128"/>
        <v>XT55</v>
      </c>
      <c r="JY153" t="str">
        <f t="shared" si="129"/>
        <v>F0-AI14-15B</v>
      </c>
      <c r="JZ153" t="str">
        <f t="shared" si="130"/>
        <v>F0-AI14-16B</v>
      </c>
      <c r="KE153" cm="1">
        <f t="array" ref="KE153">IF(COUNTIFS($U$2:$U153,$U153)=1,1,INDEX(KE:KE,_xlfn.XMATCH(U153,U$1:U152,0,-1))+COUNT(KE152:KI152))</f>
        <v>300</v>
      </c>
      <c r="KF153">
        <f t="shared" si="131"/>
        <v>301</v>
      </c>
      <c r="KG153">
        <f t="shared" si="131"/>
        <v>302</v>
      </c>
      <c r="KJ153">
        <v>1</v>
      </c>
      <c r="KK153" s="16">
        <v>2</v>
      </c>
      <c r="KO153" s="16"/>
    </row>
    <row r="154" spans="1:301" x14ac:dyDescent="0.25">
      <c r="A154" t="s">
        <v>784</v>
      </c>
      <c r="B154" s="33" t="s">
        <v>798</v>
      </c>
      <c r="C154" t="s">
        <v>492</v>
      </c>
      <c r="P154" t="s">
        <v>482</v>
      </c>
      <c r="T154" s="14" t="s">
        <v>554</v>
      </c>
      <c r="U154">
        <v>55</v>
      </c>
      <c r="V154" t="s">
        <v>812</v>
      </c>
      <c r="X154" t="str">
        <f>IF(COUNTIF(X$1:X153,X153)&gt;7,REPLACE(X153,LEN(X153),1,VALUE(RIGHT(X153,1))+1),X153)</f>
        <v>A3.15</v>
      </c>
      <c r="Y154" s="43" t="str" cm="1">
        <f t="array" ref="Y154">IF(COUNTIFS($X$2:$X154,$X154)=1,"1",VALUE(SUBSTITUTE(INDEX(Y:Y,_xlfn.XMATCH($X154,$X$1:$X153,0,-1)),"A",""))+INDEX(Z:Z,_xlfn.XMATCH($X154,$X$1:$X153,0,-1))+1)</f>
        <v>1</v>
      </c>
      <c r="Z154" s="43" cm="1">
        <f t="array" ref="Z154">SUM(IF(ISNUMBER(FIND("TmAi",$BA$1:$ZZ$1)),IF(IFERROR(ISODD(SUBSTITUTE($BA154:$ZZ154,"A","")),FALSE),IF(ISODD(SUBSTITUTE($BA154:$ZZ154,"A","")),1,0),0)))</f>
        <v>0</v>
      </c>
      <c r="AA154" t="str">
        <f t="shared" ref="AA154:AA165" si="132">CONCATENATE($Y154*2-1,"B")</f>
        <v>1B</v>
      </c>
      <c r="AB154" t="str">
        <f t="shared" ref="AB154:AB165" si="133">CONCATENATE($Y154*2,"B")</f>
        <v>2B</v>
      </c>
      <c r="AL154" t="s">
        <v>137</v>
      </c>
      <c r="AO154" t="s">
        <v>396</v>
      </c>
      <c r="JV154" s="27" t="str">
        <f t="shared" si="128"/>
        <v>XT55</v>
      </c>
      <c r="JY154" t="str">
        <f t="shared" si="129"/>
        <v>F0-AI15-1B</v>
      </c>
      <c r="JZ154" t="str">
        <f t="shared" si="130"/>
        <v>F0-AI15-2B</v>
      </c>
      <c r="KE154" cm="1">
        <f t="array" ref="KE154">IF(COUNTIFS($U$2:$U154,$U154)=1,1,INDEX(KE:KE,_xlfn.XMATCH(U154,U$1:U153,0,-1))+COUNT(KE153:KI153))</f>
        <v>303</v>
      </c>
      <c r="KF154">
        <f t="shared" si="131"/>
        <v>304</v>
      </c>
      <c r="KG154">
        <f t="shared" si="131"/>
        <v>305</v>
      </c>
      <c r="KJ154">
        <v>1</v>
      </c>
      <c r="KK154" s="16">
        <v>2</v>
      </c>
      <c r="KO154" s="16"/>
    </row>
    <row r="155" spans="1:301" x14ac:dyDescent="0.25">
      <c r="A155" t="s">
        <v>785</v>
      </c>
      <c r="B155" t="s">
        <v>799</v>
      </c>
      <c r="C155" t="s">
        <v>498</v>
      </c>
      <c r="P155" t="s">
        <v>482</v>
      </c>
      <c r="T155" s="14" t="s">
        <v>554</v>
      </c>
      <c r="U155">
        <v>55</v>
      </c>
      <c r="V155" t="s">
        <v>813</v>
      </c>
      <c r="X155" t="str">
        <f>IF(COUNTIF(X$1:X154,X154)&gt;7,REPLACE(X154,LEN(X154),1,VALUE(RIGHT(X154,1))+1),X154)</f>
        <v>A3.15</v>
      </c>
      <c r="Y155" s="43" cm="1">
        <f t="array" ref="Y155">IF(COUNTIFS($X$2:$X155,$X155)=1,"1",VALUE(SUBSTITUTE(INDEX(Y:Y,_xlfn.XMATCH($X155,$X$1:$X154,0,-1)),"A",""))+INDEX(Z:Z,_xlfn.XMATCH($X155,$X$1:$X154,0,-1))+1)</f>
        <v>2</v>
      </c>
      <c r="Z155" s="43" cm="1">
        <f t="array" ref="Z155">SUM(IF(ISNUMBER(FIND("TmAi",$BA$1:$ZZ$1)),IF(IFERROR(ISODD(SUBSTITUTE($BA155:$ZZ155,"A","")),FALSE),IF(ISODD(SUBSTITUTE($BA155:$ZZ155,"A","")),1,0),0)))</f>
        <v>0</v>
      </c>
      <c r="AA155" t="str">
        <f t="shared" si="132"/>
        <v>3B</v>
      </c>
      <c r="AB155" t="str">
        <f t="shared" si="133"/>
        <v>4B</v>
      </c>
      <c r="AL155" t="s">
        <v>137</v>
      </c>
      <c r="AO155" t="s">
        <v>396</v>
      </c>
      <c r="JV155" s="27" t="str">
        <f t="shared" si="128"/>
        <v>XT55</v>
      </c>
      <c r="JY155" t="str">
        <f t="shared" si="129"/>
        <v>F0-AI15-3B</v>
      </c>
      <c r="JZ155" t="str">
        <f t="shared" si="130"/>
        <v>F0-AI15-4B</v>
      </c>
      <c r="KE155" cm="1">
        <f t="array" ref="KE155">IF(COUNTIFS($U$2:$U155,$U155)=1,1,INDEX(KE:KE,_xlfn.XMATCH(U155,U$1:U154,0,-1))+COUNT(KE154:KI154))</f>
        <v>306</v>
      </c>
      <c r="KF155">
        <f t="shared" si="131"/>
        <v>307</v>
      </c>
      <c r="KG155">
        <f t="shared" si="131"/>
        <v>308</v>
      </c>
      <c r="KJ155">
        <v>1</v>
      </c>
      <c r="KK155" s="16">
        <v>2</v>
      </c>
      <c r="KO155" s="16"/>
    </row>
    <row r="156" spans="1:301" x14ac:dyDescent="0.25">
      <c r="A156" t="s">
        <v>786</v>
      </c>
      <c r="B156" s="33" t="s">
        <v>800</v>
      </c>
      <c r="C156" t="s">
        <v>492</v>
      </c>
      <c r="P156" t="s">
        <v>482</v>
      </c>
      <c r="T156" s="14" t="s">
        <v>554</v>
      </c>
      <c r="U156">
        <v>55</v>
      </c>
      <c r="V156" t="s">
        <v>814</v>
      </c>
      <c r="X156" t="str">
        <f>IF(COUNTIF(X$1:X155,X155)&gt;7,REPLACE(X155,LEN(X155),1,VALUE(RIGHT(X155,1))+1),X155)</f>
        <v>A3.15</v>
      </c>
      <c r="Y156" s="43" cm="1">
        <f t="array" ref="Y156">IF(COUNTIFS($X$2:$X156,$X156)=1,"1",VALUE(SUBSTITUTE(INDEX(Y:Y,_xlfn.XMATCH($X156,$X$1:$X155,0,-1)),"A",""))+INDEX(Z:Z,_xlfn.XMATCH($X156,$X$1:$X155,0,-1))+1)</f>
        <v>3</v>
      </c>
      <c r="Z156" s="43" cm="1">
        <f t="array" ref="Z156">SUM(IF(ISNUMBER(FIND("TmAi",$BA$1:$ZZ$1)),IF(IFERROR(ISODD(SUBSTITUTE($BA156:$ZZ156,"A","")),FALSE),IF(ISODD(SUBSTITUTE($BA156:$ZZ156,"A","")),1,0),0)))</f>
        <v>0</v>
      </c>
      <c r="AA156" t="str">
        <f t="shared" si="132"/>
        <v>5B</v>
      </c>
      <c r="AB156" t="str">
        <f t="shared" si="133"/>
        <v>6B</v>
      </c>
      <c r="AL156" t="s">
        <v>137</v>
      </c>
      <c r="AO156" t="s">
        <v>396</v>
      </c>
      <c r="JV156" s="27" t="str">
        <f t="shared" si="128"/>
        <v>XT55</v>
      </c>
      <c r="JY156" t="str">
        <f t="shared" si="129"/>
        <v>F0-AI15-5B</v>
      </c>
      <c r="JZ156" t="str">
        <f t="shared" si="130"/>
        <v>F0-AI15-6B</v>
      </c>
      <c r="KE156" cm="1">
        <f t="array" ref="KE156">IF(COUNTIFS($U$2:$U156,$U156)=1,1,INDEX(KE:KE,_xlfn.XMATCH(U156,U$1:U155,0,-1))+COUNT(KE155:KI155))</f>
        <v>309</v>
      </c>
      <c r="KF156">
        <f t="shared" si="131"/>
        <v>310</v>
      </c>
      <c r="KG156">
        <f t="shared" si="131"/>
        <v>311</v>
      </c>
      <c r="KJ156">
        <v>1</v>
      </c>
      <c r="KK156" s="16">
        <v>2</v>
      </c>
      <c r="KO156" s="16"/>
    </row>
    <row r="157" spans="1:301" x14ac:dyDescent="0.25">
      <c r="A157" t="s">
        <v>787</v>
      </c>
      <c r="B157" t="s">
        <v>801</v>
      </c>
      <c r="C157" t="s">
        <v>498</v>
      </c>
      <c r="P157" t="s">
        <v>482</v>
      </c>
      <c r="T157" s="14" t="s">
        <v>554</v>
      </c>
      <c r="U157">
        <v>55</v>
      </c>
      <c r="V157" t="s">
        <v>815</v>
      </c>
      <c r="X157" t="str">
        <f>IF(COUNTIF(X$1:X156,X156)&gt;7,REPLACE(X156,LEN(X156),1,VALUE(RIGHT(X156,1))+1),X156)</f>
        <v>A3.15</v>
      </c>
      <c r="Y157" s="43" cm="1">
        <f t="array" ref="Y157">IF(COUNTIFS($X$2:$X157,$X157)=1,"1",VALUE(SUBSTITUTE(INDEX(Y:Y,_xlfn.XMATCH($X157,$X$1:$X156,0,-1)),"A",""))+INDEX(Z:Z,_xlfn.XMATCH($X157,$X$1:$X156,0,-1))+1)</f>
        <v>4</v>
      </c>
      <c r="Z157" s="43" cm="1">
        <f t="array" ref="Z157">SUM(IF(ISNUMBER(FIND("TmAi",$BA$1:$ZZ$1)),IF(IFERROR(ISODD(SUBSTITUTE($BA157:$ZZ157,"A","")),FALSE),IF(ISODD(SUBSTITUTE($BA157:$ZZ157,"A","")),1,0),0)))</f>
        <v>0</v>
      </c>
      <c r="AA157" t="str">
        <f t="shared" si="132"/>
        <v>7B</v>
      </c>
      <c r="AB157" t="str">
        <f t="shared" si="133"/>
        <v>8B</v>
      </c>
      <c r="AL157" t="s">
        <v>137</v>
      </c>
      <c r="AO157" t="s">
        <v>396</v>
      </c>
      <c r="JV157" s="27" t="str">
        <f t="shared" si="128"/>
        <v>XT55</v>
      </c>
      <c r="JY157" t="str">
        <f t="shared" si="129"/>
        <v>F0-AI15-7B</v>
      </c>
      <c r="JZ157" t="str">
        <f t="shared" si="130"/>
        <v>F0-AI15-8B</v>
      </c>
      <c r="KE157" cm="1">
        <f t="array" ref="KE157">IF(COUNTIFS($U$2:$U157,$U157)=1,1,INDEX(KE:KE,_xlfn.XMATCH(U157,U$1:U156,0,-1))+COUNT(KE156:KI156))</f>
        <v>312</v>
      </c>
      <c r="KF157">
        <f t="shared" si="131"/>
        <v>313</v>
      </c>
      <c r="KG157">
        <f t="shared" si="131"/>
        <v>314</v>
      </c>
      <c r="KJ157">
        <v>1</v>
      </c>
      <c r="KK157" s="16">
        <v>2</v>
      </c>
      <c r="KO157" s="16"/>
    </row>
    <row r="158" spans="1:301" x14ac:dyDescent="0.25">
      <c r="A158" t="s">
        <v>788</v>
      </c>
      <c r="B158" s="33" t="s">
        <v>802</v>
      </c>
      <c r="C158" t="s">
        <v>492</v>
      </c>
      <c r="P158" t="s">
        <v>482</v>
      </c>
      <c r="T158" s="14" t="s">
        <v>554</v>
      </c>
      <c r="U158">
        <v>55</v>
      </c>
      <c r="V158" t="s">
        <v>816</v>
      </c>
      <c r="X158" t="str">
        <f>IF(COUNTIF(X$1:X157,X157)&gt;7,REPLACE(X157,LEN(X157),1,VALUE(RIGHT(X157,1))+1),X157)</f>
        <v>A3.15</v>
      </c>
      <c r="Y158" s="43" cm="1">
        <f t="array" ref="Y158">IF(COUNTIFS($X$2:$X158,$X158)=1,"1",VALUE(SUBSTITUTE(INDEX(Y:Y,_xlfn.XMATCH($X158,$X$1:$X157,0,-1)),"A",""))+INDEX(Z:Z,_xlfn.XMATCH($X158,$X$1:$X157,0,-1))+1)</f>
        <v>5</v>
      </c>
      <c r="Z158" s="43" cm="1">
        <f t="array" ref="Z158">SUM(IF(ISNUMBER(FIND("TmAi",$BA$1:$ZZ$1)),IF(IFERROR(ISODD(SUBSTITUTE($BA158:$ZZ158,"A","")),FALSE),IF(ISODD(SUBSTITUTE($BA158:$ZZ158,"A","")),1,0),0)))</f>
        <v>0</v>
      </c>
      <c r="AA158" t="str">
        <f t="shared" si="132"/>
        <v>9B</v>
      </c>
      <c r="AB158" t="str">
        <f t="shared" si="133"/>
        <v>10B</v>
      </c>
      <c r="AL158" t="s">
        <v>137</v>
      </c>
      <c r="AO158" t="s">
        <v>396</v>
      </c>
      <c r="JV158" s="27" t="str">
        <f t="shared" si="128"/>
        <v>XT55</v>
      </c>
      <c r="JY158" t="str">
        <f t="shared" si="129"/>
        <v>F0-AI15-9B</v>
      </c>
      <c r="JZ158" t="str">
        <f t="shared" si="130"/>
        <v>F0-AI15-10B</v>
      </c>
      <c r="KE158" cm="1">
        <f t="array" ref="KE158">IF(COUNTIFS($U$2:$U158,$U158)=1,1,INDEX(KE:KE,_xlfn.XMATCH(U158,U$1:U157,0,-1))+COUNT(KE157:KI157))</f>
        <v>315</v>
      </c>
      <c r="KF158">
        <f t="shared" si="131"/>
        <v>316</v>
      </c>
      <c r="KG158">
        <f t="shared" si="131"/>
        <v>317</v>
      </c>
      <c r="KJ158">
        <v>1</v>
      </c>
      <c r="KK158" s="16">
        <v>2</v>
      </c>
      <c r="KO158" s="16"/>
    </row>
    <row r="159" spans="1:301" x14ac:dyDescent="0.25">
      <c r="A159" t="s">
        <v>818</v>
      </c>
      <c r="B159" s="36" t="s">
        <v>817</v>
      </c>
      <c r="C159" t="s">
        <v>492</v>
      </c>
      <c r="P159" t="s">
        <v>482</v>
      </c>
      <c r="T159" s="14" t="s">
        <v>554</v>
      </c>
      <c r="U159">
        <v>55</v>
      </c>
      <c r="V159" t="s">
        <v>838</v>
      </c>
      <c r="X159" t="str">
        <f>IF(COUNTIF(X$1:X158,X158)&gt;7,REPLACE(X158,LEN(X158),1,VALUE(RIGHT(X158,1))+1),X158)</f>
        <v>A3.15</v>
      </c>
      <c r="Y159" s="43" cm="1">
        <f t="array" ref="Y159">IF(COUNTIFS($X$2:$X159,$X159)=1,"1",VALUE(SUBSTITUTE(INDEX(Y:Y,_xlfn.XMATCH($X159,$X$1:$X158,0,-1)),"A",""))+INDEX(Z:Z,_xlfn.XMATCH($X159,$X$1:$X158,0,-1))+1)</f>
        <v>6</v>
      </c>
      <c r="Z159" s="43" cm="1">
        <f t="array" ref="Z159">SUM(IF(ISNUMBER(FIND("TmAi",$BA$1:$ZZ$1)),IF(IFERROR(ISODD(SUBSTITUTE($BA159:$ZZ159,"A","")),FALSE),IF(ISODD(SUBSTITUTE($BA159:$ZZ159,"A","")),1,0),0)))</f>
        <v>0</v>
      </c>
      <c r="AA159" t="str">
        <f t="shared" si="132"/>
        <v>11B</v>
      </c>
      <c r="AB159" t="str">
        <f t="shared" si="133"/>
        <v>12B</v>
      </c>
      <c r="AL159" t="s">
        <v>137</v>
      </c>
      <c r="AO159" t="s">
        <v>396</v>
      </c>
      <c r="JV159" s="27" t="str">
        <f t="shared" si="128"/>
        <v>XT55</v>
      </c>
      <c r="JY159" t="str">
        <f t="shared" si="129"/>
        <v>F0-AI15-11B</v>
      </c>
      <c r="JZ159" t="str">
        <f t="shared" si="130"/>
        <v>F0-AI15-12B</v>
      </c>
      <c r="KE159" cm="1">
        <f t="array" ref="KE159">IF(COUNTIFS($U$2:$U159,$U159)=1,1,INDEX(KE:KE,_xlfn.XMATCH(U159,U$1:U158,0,-1))+COUNT(KE158:KI158))</f>
        <v>318</v>
      </c>
      <c r="KF159">
        <f t="shared" si="131"/>
        <v>319</v>
      </c>
      <c r="KG159">
        <f t="shared" si="131"/>
        <v>320</v>
      </c>
      <c r="KJ159">
        <v>1</v>
      </c>
      <c r="KK159" s="16">
        <v>2</v>
      </c>
      <c r="KO159" s="16"/>
    </row>
    <row r="160" spans="1:301" x14ac:dyDescent="0.25">
      <c r="A160" t="s">
        <v>820</v>
      </c>
      <c r="B160" s="36" t="s">
        <v>819</v>
      </c>
      <c r="C160" t="s">
        <v>492</v>
      </c>
      <c r="P160" t="s">
        <v>482</v>
      </c>
      <c r="T160" s="14" t="s">
        <v>554</v>
      </c>
      <c r="U160">
        <v>55</v>
      </c>
      <c r="V160" t="s">
        <v>839</v>
      </c>
      <c r="X160" t="str">
        <f>IF(COUNTIF(X$1:X159,X159)&gt;7,REPLACE(X159,LEN(X159),1,VALUE(RIGHT(X159,1))+1),X159)</f>
        <v>A3.15</v>
      </c>
      <c r="Y160" s="43" cm="1">
        <f t="array" ref="Y160">IF(COUNTIFS($X$2:$X160,$X160)=1,"1",VALUE(SUBSTITUTE(INDEX(Y:Y,_xlfn.XMATCH($X160,$X$1:$X159,0,-1)),"A",""))+INDEX(Z:Z,_xlfn.XMATCH($X160,$X$1:$X159,0,-1))+1)</f>
        <v>7</v>
      </c>
      <c r="Z160" s="43" cm="1">
        <f t="array" ref="Z160">SUM(IF(ISNUMBER(FIND("TmAi",$BA$1:$ZZ$1)),IF(IFERROR(ISODD(SUBSTITUTE($BA160:$ZZ160,"A","")),FALSE),IF(ISODD(SUBSTITUTE($BA160:$ZZ160,"A","")),1,0),0)))</f>
        <v>0</v>
      </c>
      <c r="AA160" t="str">
        <f t="shared" si="132"/>
        <v>13B</v>
      </c>
      <c r="AB160" t="str">
        <f t="shared" si="133"/>
        <v>14B</v>
      </c>
      <c r="AL160" t="s">
        <v>137</v>
      </c>
      <c r="AO160" t="s">
        <v>396</v>
      </c>
      <c r="JV160" s="27" t="str">
        <f t="shared" si="128"/>
        <v>XT55</v>
      </c>
      <c r="JY160" t="str">
        <f t="shared" si="129"/>
        <v>F0-AI15-13B</v>
      </c>
      <c r="JZ160" t="str">
        <f t="shared" si="130"/>
        <v>F0-AI15-14B</v>
      </c>
      <c r="KE160" cm="1">
        <f t="array" ref="KE160">IF(COUNTIFS($U$2:$U160,$U160)=1,1,INDEX(KE:KE,_xlfn.XMATCH(U160,U$1:U159,0,-1))+COUNT(KE159:KI159))</f>
        <v>321</v>
      </c>
      <c r="KF160">
        <f t="shared" si="131"/>
        <v>322</v>
      </c>
      <c r="KG160">
        <f t="shared" si="131"/>
        <v>323</v>
      </c>
      <c r="KJ160">
        <v>1</v>
      </c>
      <c r="KK160" s="16">
        <v>2</v>
      </c>
      <c r="KO160" s="16"/>
    </row>
    <row r="161" spans="1:330" x14ac:dyDescent="0.25">
      <c r="A161" t="s">
        <v>822</v>
      </c>
      <c r="B161" t="s">
        <v>821</v>
      </c>
      <c r="C161" t="s">
        <v>498</v>
      </c>
      <c r="P161" t="s">
        <v>482</v>
      </c>
      <c r="T161" s="14" t="s">
        <v>554</v>
      </c>
      <c r="U161">
        <v>55</v>
      </c>
      <c r="V161" t="s">
        <v>840</v>
      </c>
      <c r="X161" s="33" t="str">
        <f>IF(COUNTIF(X$1:X160,X160)&gt;7,REPLACE(X160,LEN(X160),1,VALUE(RIGHT(X160,1))+1),X160)</f>
        <v>A3.15</v>
      </c>
      <c r="Y161" s="45" cm="1">
        <f t="array" ref="Y161">IF(COUNTIFS($X$2:$X161,$X161)=1,"1",VALUE(SUBSTITUTE(INDEX(Y:Y,_xlfn.XMATCH($X161,$X$1:$X160,0,-1)),"A",""))+INDEX(Z:Z,_xlfn.XMATCH($X161,$X$1:$X160,0,-1))+1)</f>
        <v>8</v>
      </c>
      <c r="Z161" s="43" cm="1">
        <f t="array" ref="Z161">SUM(IF(ISNUMBER(FIND("TmAi",$BA$1:$ZZ$1)),IF(IFERROR(ISODD(SUBSTITUTE($BA161:$ZZ161,"A","")),FALSE),IF(ISODD(SUBSTITUTE($BA161:$ZZ161,"A","")),1,0),0)))</f>
        <v>0</v>
      </c>
      <c r="AA161" t="str">
        <f t="shared" si="132"/>
        <v>15B</v>
      </c>
      <c r="AB161" t="str">
        <f t="shared" si="133"/>
        <v>16B</v>
      </c>
      <c r="AL161" t="s">
        <v>137</v>
      </c>
      <c r="AO161" t="s">
        <v>396</v>
      </c>
      <c r="JV161" s="27" t="str">
        <f t="shared" si="128"/>
        <v>XT55</v>
      </c>
      <c r="JY161" t="str">
        <f t="shared" si="129"/>
        <v>F0-AI15-15B</v>
      </c>
      <c r="JZ161" t="str">
        <f t="shared" si="130"/>
        <v>F0-AI15-16B</v>
      </c>
      <c r="KE161" cm="1">
        <f t="array" ref="KE161">IF(COUNTIFS($U$2:$U161,$U161)=1,1,INDEX(KE:KE,_xlfn.XMATCH(U161,U$1:U160,0,-1))+COUNT(KE160:KI160))</f>
        <v>324</v>
      </c>
      <c r="KF161">
        <f t="shared" si="131"/>
        <v>325</v>
      </c>
      <c r="KG161">
        <f t="shared" si="131"/>
        <v>326</v>
      </c>
      <c r="KJ161">
        <v>1</v>
      </c>
      <c r="KK161" s="16">
        <v>2</v>
      </c>
      <c r="KO161" s="16"/>
    </row>
    <row r="162" spans="1:330" x14ac:dyDescent="0.25">
      <c r="A162" t="s">
        <v>824</v>
      </c>
      <c r="B162" t="s">
        <v>823</v>
      </c>
      <c r="C162" t="s">
        <v>498</v>
      </c>
      <c r="P162" t="s">
        <v>482</v>
      </c>
      <c r="T162" s="14" t="s">
        <v>554</v>
      </c>
      <c r="U162">
        <v>55</v>
      </c>
      <c r="V162" t="s">
        <v>841</v>
      </c>
      <c r="X162" t="str">
        <f>IF(COUNTIF(X$1:X161,X161)&gt;7,REPLACE(X161,LEN(X161),1,VALUE(RIGHT(X161,1))+1),X161)</f>
        <v>A3.16</v>
      </c>
      <c r="Y162" s="43" t="str" cm="1">
        <f t="array" ref="Y162">IF(COUNTIFS($X$2:$X162,$X162)=1,"1",VALUE(SUBSTITUTE(INDEX(Y:Y,_xlfn.XMATCH($X162,$X$1:$X161,0,-1)),"A",""))+INDEX(Z:Z,_xlfn.XMATCH($X162,$X$1:$X161,0,-1))+1)</f>
        <v>1</v>
      </c>
      <c r="Z162" s="46" cm="1">
        <f t="array" ref="Z162">SUM(IF(ISNUMBER(FIND("TmAi",$BA$1:$ZZ$1)),IF(IFERROR(ISODD(SUBSTITUTE($BA162:$ZZ162,"A","")),FALSE),IF(ISODD(SUBSTITUTE($BA162:$ZZ162,"A","")),1,0),0)))</f>
        <v>0</v>
      </c>
      <c r="AA162" t="str">
        <f t="shared" si="132"/>
        <v>1B</v>
      </c>
      <c r="AB162" t="str">
        <f t="shared" si="133"/>
        <v>2B</v>
      </c>
      <c r="AL162" t="s">
        <v>137</v>
      </c>
      <c r="AO162" t="s">
        <v>396</v>
      </c>
      <c r="JV162" s="27" t="str">
        <f t="shared" si="128"/>
        <v>XT55</v>
      </c>
      <c r="JY162" t="str">
        <f t="shared" si="129"/>
        <v>F0-AI16-1B</v>
      </c>
      <c r="JZ162" t="str">
        <f t="shared" si="130"/>
        <v>F0-AI16-2B</v>
      </c>
      <c r="KE162" cm="1">
        <f t="array" ref="KE162">IF(COUNTIFS($U$2:$U162,$U162)=1,1,INDEX(KE:KE,_xlfn.XMATCH(U162,U$1:U161,0,-1))+COUNT(KE161:KI161))</f>
        <v>327</v>
      </c>
      <c r="KF162">
        <f t="shared" ref="KF162:KH168" si="134">KE162+1</f>
        <v>328</v>
      </c>
      <c r="KG162">
        <f t="shared" si="134"/>
        <v>329</v>
      </c>
      <c r="KJ162">
        <v>1</v>
      </c>
      <c r="KK162" s="16">
        <v>2</v>
      </c>
      <c r="KO162" s="16"/>
    </row>
    <row r="163" spans="1:330" x14ac:dyDescent="0.25">
      <c r="A163" t="s">
        <v>826</v>
      </c>
      <c r="B163" t="s">
        <v>825</v>
      </c>
      <c r="C163" t="s">
        <v>498</v>
      </c>
      <c r="P163" t="s">
        <v>482</v>
      </c>
      <c r="T163" s="14" t="s">
        <v>554</v>
      </c>
      <c r="U163">
        <v>55</v>
      </c>
      <c r="V163" t="s">
        <v>842</v>
      </c>
      <c r="X163" t="str">
        <f>IF(COUNTIF(X$1:X162,X162)&gt;7,REPLACE(X162,LEN(X162),1,VALUE(RIGHT(X162,1))+1),X162)</f>
        <v>A3.16</v>
      </c>
      <c r="Y163" s="43" cm="1">
        <f t="array" ref="Y163">IF(COUNTIFS($X$2:$X163,$X163)=1,"1",VALUE(SUBSTITUTE(INDEX(Y:Y,_xlfn.XMATCH($X163,$X$1:$X162,0,-1)),"A",""))+INDEX(Z:Z,_xlfn.XMATCH($X163,$X$1:$X162,0,-1))+1)</f>
        <v>2</v>
      </c>
      <c r="Z163" s="46" cm="1">
        <f t="array" ref="Z163">SUM(IF(ISNUMBER(FIND("TmAi",$BA$1:$ZZ$1)),IF(IFERROR(ISODD(SUBSTITUTE($BA163:$ZZ163,"A","")),FALSE),IF(ISODD(SUBSTITUTE($BA163:$ZZ163,"A","")),1,0),0)))</f>
        <v>0</v>
      </c>
      <c r="AA163" t="str">
        <f t="shared" si="132"/>
        <v>3B</v>
      </c>
      <c r="AB163" t="str">
        <f t="shared" si="133"/>
        <v>4B</v>
      </c>
      <c r="AL163" t="s">
        <v>137</v>
      </c>
      <c r="AO163" t="s">
        <v>396</v>
      </c>
      <c r="JV163" s="27" t="str">
        <f t="shared" si="128"/>
        <v>XT55</v>
      </c>
      <c r="JY163" t="str">
        <f t="shared" si="129"/>
        <v>F0-AI16-3B</v>
      </c>
      <c r="JZ163" t="str">
        <f t="shared" si="130"/>
        <v>F0-AI16-4B</v>
      </c>
      <c r="KE163" cm="1">
        <f t="array" ref="KE163">IF(COUNTIFS($U$2:$U163,$U163)=1,1,INDEX(KE:KE,_xlfn.XMATCH(U163,U$1:U162,0,-1))+COUNT(KE162:KI162))</f>
        <v>330</v>
      </c>
      <c r="KF163">
        <f t="shared" si="134"/>
        <v>331</v>
      </c>
      <c r="KG163">
        <f t="shared" si="134"/>
        <v>332</v>
      </c>
      <c r="KJ163">
        <v>1</v>
      </c>
      <c r="KK163" s="16">
        <v>2</v>
      </c>
      <c r="KO163" s="16"/>
    </row>
    <row r="164" spans="1:330" x14ac:dyDescent="0.25">
      <c r="A164" t="s">
        <v>828</v>
      </c>
      <c r="B164" s="33" t="s">
        <v>827</v>
      </c>
      <c r="C164" t="s">
        <v>498</v>
      </c>
      <c r="P164" t="s">
        <v>482</v>
      </c>
      <c r="T164" s="14" t="s">
        <v>554</v>
      </c>
      <c r="U164">
        <v>55</v>
      </c>
      <c r="V164" t="s">
        <v>843</v>
      </c>
      <c r="X164" t="str">
        <f>IF(COUNTIF(X$1:X163,X163)&gt;7,REPLACE(X163,LEN(X163),1,VALUE(RIGHT(X163,1))+1),X163)</f>
        <v>A3.16</v>
      </c>
      <c r="Y164" s="43" cm="1">
        <f t="array" ref="Y164">IF(COUNTIFS($X$2:$X164,$X164)=1,"1",VALUE(SUBSTITUTE(INDEX(Y:Y,_xlfn.XMATCH($X164,$X$1:$X163,0,-1)),"A",""))+INDEX(Z:Z,_xlfn.XMATCH($X164,$X$1:$X163,0,-1))+1)</f>
        <v>3</v>
      </c>
      <c r="Z164" s="46" cm="1">
        <f t="array" ref="Z164">SUM(IF(ISNUMBER(FIND("TmAi",$BA$1:$ZZ$1)),IF(IFERROR(ISODD(SUBSTITUTE($BA164:$ZZ164,"A","")),FALSE),IF(ISODD(SUBSTITUTE($BA164:$ZZ164,"A","")),1,0),0)))</f>
        <v>0</v>
      </c>
      <c r="AA164" t="str">
        <f t="shared" si="132"/>
        <v>5B</v>
      </c>
      <c r="AB164" t="str">
        <f t="shared" si="133"/>
        <v>6B</v>
      </c>
      <c r="AL164" t="s">
        <v>137</v>
      </c>
      <c r="AO164" t="s">
        <v>396</v>
      </c>
      <c r="JV164" s="27" t="str">
        <f t="shared" si="128"/>
        <v>XT55</v>
      </c>
      <c r="JY164" t="str">
        <f t="shared" si="129"/>
        <v>F0-AI16-5B</v>
      </c>
      <c r="JZ164" t="str">
        <f t="shared" si="130"/>
        <v>F0-AI16-6B</v>
      </c>
      <c r="KE164" cm="1">
        <f t="array" ref="KE164">IF(COUNTIFS($U$2:$U164,$U164)=1,1,INDEX(KE:KE,_xlfn.XMATCH(U164,U$1:U163,0,-1))+COUNT(KE163:KI163))</f>
        <v>333</v>
      </c>
      <c r="KF164">
        <f t="shared" si="134"/>
        <v>334</v>
      </c>
      <c r="KG164">
        <f t="shared" si="134"/>
        <v>335</v>
      </c>
      <c r="KJ164">
        <v>1</v>
      </c>
      <c r="KK164" s="16">
        <v>2</v>
      </c>
      <c r="KO164" s="16"/>
    </row>
    <row r="165" spans="1:330" x14ac:dyDescent="0.25">
      <c r="A165" t="s">
        <v>830</v>
      </c>
      <c r="B165" t="s">
        <v>829</v>
      </c>
      <c r="C165" t="s">
        <v>498</v>
      </c>
      <c r="P165" t="s">
        <v>482</v>
      </c>
      <c r="T165" s="14" t="s">
        <v>554</v>
      </c>
      <c r="U165">
        <v>55</v>
      </c>
      <c r="V165" t="s">
        <v>844</v>
      </c>
      <c r="X165" s="33" t="str">
        <f>IF(COUNTIF(X$1:X164,X164)&gt;7,REPLACE(X164,LEN(X164),1,VALUE(RIGHT(X164,1))+1),X164)</f>
        <v>A3.16</v>
      </c>
      <c r="Y165" s="45" cm="1">
        <f t="array" ref="Y165">IF(COUNTIFS($X$2:$X165,$X165)=1,"1",VALUE(SUBSTITUTE(INDEX(Y:Y,_xlfn.XMATCH($X165,$X$1:$X164,0,-1)),"A",""))+INDEX(Z:Z,_xlfn.XMATCH($X165,$X$1:$X164,0,-1))+1)</f>
        <v>4</v>
      </c>
      <c r="Z165" s="46" cm="1">
        <f t="array" ref="Z165">SUM(IF(ISNUMBER(FIND("TmAi",$BA$1:$ZZ$1)),IF(IFERROR(ISODD(SUBSTITUTE($BA165:$ZZ165,"A","")),FALSE),IF(ISODD(SUBSTITUTE($BA165:$ZZ165,"A","")),1,0),0)))</f>
        <v>0</v>
      </c>
      <c r="AA165" t="str">
        <f t="shared" si="132"/>
        <v>7B</v>
      </c>
      <c r="AB165" t="str">
        <f t="shared" si="133"/>
        <v>8B</v>
      </c>
      <c r="AL165" t="s">
        <v>137</v>
      </c>
      <c r="AO165" t="s">
        <v>396</v>
      </c>
      <c r="JV165" s="27" t="str">
        <f t="shared" si="128"/>
        <v>XT55</v>
      </c>
      <c r="JY165" t="str">
        <f t="shared" si="129"/>
        <v>F0-AI16-7B</v>
      </c>
      <c r="JZ165" t="str">
        <f t="shared" si="130"/>
        <v>F0-AI16-8B</v>
      </c>
      <c r="KE165" cm="1">
        <f t="array" ref="KE165">IF(COUNTIFS($U$2:$U165,$U165)=1,1,INDEX(KE:KE,_xlfn.XMATCH(U165,U$1:U164,0,-1))+COUNT(KE164:KI164))</f>
        <v>336</v>
      </c>
      <c r="KF165">
        <f t="shared" si="134"/>
        <v>337</v>
      </c>
      <c r="KG165">
        <f t="shared" si="134"/>
        <v>338</v>
      </c>
      <c r="KJ165">
        <v>1</v>
      </c>
      <c r="KK165" s="16">
        <v>2</v>
      </c>
      <c r="KO165" s="16"/>
    </row>
    <row r="166" spans="1:330" x14ac:dyDescent="0.25">
      <c r="A166" t="s">
        <v>832</v>
      </c>
      <c r="B166" t="s">
        <v>831</v>
      </c>
      <c r="C166" t="s">
        <v>537</v>
      </c>
      <c r="P166" t="s">
        <v>542</v>
      </c>
      <c r="T166" s="14" t="s">
        <v>554</v>
      </c>
      <c r="U166">
        <v>55</v>
      </c>
      <c r="V166" t="s">
        <v>845</v>
      </c>
      <c r="X166" t="s">
        <v>1056</v>
      </c>
      <c r="Y166" s="43" cm="1">
        <f t="array" ref="Y166">IF(COUNTIFS($X$2:$X166,$X166)=1,"1",VALUE(SUBSTITUTE(INDEX(Y:Y,_xlfn.XMATCH($X166,$X$1:$X165,0,-1)),"A",""))+INDEX(Z:Z,_xlfn.XMATCH($X166,$X$1:$X165,0,-1))+1)</f>
        <v>3</v>
      </c>
      <c r="Z166" s="46" cm="1">
        <f t="array" ref="Z166">SUM(IF(ISNUMBER(FIND("TmAi",$BA$1:$ZZ$1)),IF(IFERROR(ISODD(SUBSTITUTE($BA166:$ZZ166,"A","")),FALSE),IF(ISODD(SUBSTITUTE($BA166:$ZZ166,"A","")),1,0),0)))</f>
        <v>0</v>
      </c>
      <c r="AA166" t="str">
        <f t="shared" ref="AA166:AA168" si="135">CONCATENATE($Y166*2-1,"A")</f>
        <v>5A</v>
      </c>
      <c r="AB166" t="str">
        <f t="shared" ref="AB166:AB168" si="136">CONCATENATE($Y166*2-1,"B")</f>
        <v>5B</v>
      </c>
      <c r="AL166" t="s">
        <v>137</v>
      </c>
      <c r="AO166" t="s">
        <v>396</v>
      </c>
      <c r="JV166" s="27" t="str">
        <f t="shared" si="128"/>
        <v>XT55</v>
      </c>
      <c r="JW166" t="str">
        <f>REPLACE($AA166,1,1,LEFT($AA166,1)+1)</f>
        <v>6A</v>
      </c>
      <c r="JX166" t="str">
        <f>REPLACE(AB166,1,1,LEFT(AB166,1)+1)</f>
        <v>6B</v>
      </c>
      <c r="JY166" t="str">
        <f t="shared" si="129"/>
        <v>F0-AI30-5A</v>
      </c>
      <c r="JZ166" t="str">
        <f t="shared" si="130"/>
        <v>F0-AI30-5B</v>
      </c>
      <c r="KA166" t="str">
        <f>CONCATENATE($T166,"-AI",REPLACE($X166,1,3,""),"-",JW166)</f>
        <v>F0-AI30-6A</v>
      </c>
      <c r="KB166" t="str">
        <f>CONCATENATE($T166,"-AI",REPLACE($X166,1,3,""),"-",JX166)</f>
        <v>F0-AI30-6B</v>
      </c>
      <c r="KE166" cm="1">
        <f t="array" ref="KE166">IF(COUNTIFS($U$2:$U166,$U166)=1,1,INDEX(KE:KE,_xlfn.XMATCH(U166,U$1:U165,0,-1))+COUNT(KE165:KI165))</f>
        <v>339</v>
      </c>
      <c r="KF166">
        <f t="shared" si="134"/>
        <v>340</v>
      </c>
      <c r="KG166">
        <f t="shared" si="134"/>
        <v>341</v>
      </c>
      <c r="KH166">
        <f>KG166+1</f>
        <v>342</v>
      </c>
      <c r="KJ166">
        <v>1</v>
      </c>
      <c r="KK166" s="16">
        <v>2</v>
      </c>
      <c r="KL166">
        <v>3</v>
      </c>
      <c r="KM166">
        <v>4</v>
      </c>
      <c r="KO166" s="16"/>
    </row>
    <row r="167" spans="1:330" x14ac:dyDescent="0.25">
      <c r="A167" t="s">
        <v>835</v>
      </c>
      <c r="B167" t="s">
        <v>834</v>
      </c>
      <c r="C167" t="s">
        <v>537</v>
      </c>
      <c r="P167" t="s">
        <v>542</v>
      </c>
      <c r="T167" s="14" t="s">
        <v>554</v>
      </c>
      <c r="U167">
        <v>55</v>
      </c>
      <c r="V167" t="s">
        <v>846</v>
      </c>
      <c r="X167" t="str">
        <f>IF(COUNTIF(X$1:X166,X166)&gt;7,REPLACE(X166,LEN(X166),1,VALUE(RIGHT(X166,1))+1),X166)</f>
        <v>A3.30</v>
      </c>
      <c r="Y167" s="43" cm="1">
        <f t="array" ref="Y167">IF(COUNTIFS($X$2:$X167,$X167)=1,"1",VALUE(SUBSTITUTE(INDEX(Y:Y,_xlfn.XMATCH($X167,$X$1:$X166,0,-1)),"A",""))+INDEX(Z:Z,_xlfn.XMATCH($X167,$X$1:$X166,0,-1))+1)</f>
        <v>4</v>
      </c>
      <c r="Z167" s="46" cm="1">
        <f t="array" ref="Z167">SUM(IF(ISNUMBER(FIND("TmAi",$BA$1:$ZZ$1)),IF(IFERROR(ISODD(SUBSTITUTE($BA167:$ZZ167,"A","")),FALSE),IF(ISODD(SUBSTITUTE($BA167:$ZZ167,"A","")),1,0),0)))</f>
        <v>0</v>
      </c>
      <c r="AA167" t="str">
        <f t="shared" si="135"/>
        <v>7A</v>
      </c>
      <c r="AB167" t="str">
        <f t="shared" si="136"/>
        <v>7B</v>
      </c>
      <c r="AL167" t="s">
        <v>137</v>
      </c>
      <c r="AO167" t="s">
        <v>396</v>
      </c>
      <c r="JV167" s="27" t="str">
        <f t="shared" si="128"/>
        <v>XT55</v>
      </c>
      <c r="JW167" t="str">
        <f t="shared" ref="JW167:JX167" si="137">REPLACE(AA167,1,1,LEFT(AA167,1)+1)</f>
        <v>8A</v>
      </c>
      <c r="JX167" t="str">
        <f t="shared" si="137"/>
        <v>8B</v>
      </c>
      <c r="JY167" t="str">
        <f t="shared" si="129"/>
        <v>F0-AI30-7A</v>
      </c>
      <c r="JZ167" t="str">
        <f t="shared" si="130"/>
        <v>F0-AI30-7B</v>
      </c>
      <c r="KA167" t="str">
        <f t="shared" ref="KA167:KB168" si="138">CONCATENATE($T167,"-AI",REPLACE($X167,1,3,""),"-",JW167)</f>
        <v>F0-AI30-8A</v>
      </c>
      <c r="KB167" t="str">
        <f t="shared" si="138"/>
        <v>F0-AI30-8B</v>
      </c>
      <c r="KE167" cm="1">
        <f t="array" ref="KE167">IF(COUNTIFS($U$2:$U167,$U167)=1,1,INDEX(KE:KE,_xlfn.XMATCH(U167,U$1:U166,0,-1))+COUNT(KE166:KI166))</f>
        <v>343</v>
      </c>
      <c r="KF167">
        <f t="shared" si="134"/>
        <v>344</v>
      </c>
      <c r="KG167">
        <f t="shared" si="134"/>
        <v>345</v>
      </c>
      <c r="KH167">
        <f t="shared" si="134"/>
        <v>346</v>
      </c>
      <c r="KJ167">
        <v>1</v>
      </c>
      <c r="KK167" s="16">
        <v>2</v>
      </c>
      <c r="KL167">
        <v>3</v>
      </c>
      <c r="KM167">
        <v>4</v>
      </c>
      <c r="KO167" s="16"/>
    </row>
    <row r="168" spans="1:330" ht="15.75" thickBot="1" x14ac:dyDescent="0.3">
      <c r="A168" t="s">
        <v>837</v>
      </c>
      <c r="B168" s="33" t="s">
        <v>836</v>
      </c>
      <c r="C168" t="s">
        <v>537</v>
      </c>
      <c r="P168" t="s">
        <v>542</v>
      </c>
      <c r="T168" s="14" t="s">
        <v>554</v>
      </c>
      <c r="U168">
        <v>55</v>
      </c>
      <c r="V168" t="s">
        <v>847</v>
      </c>
      <c r="X168" s="33" t="str">
        <f>IF(COUNTIF(X$1:X167,X167)&gt;7,REPLACE(X167,LEN(X167),1,VALUE(RIGHT(X167,1))+1),X167)</f>
        <v>A3.30</v>
      </c>
      <c r="Y168" s="45" cm="1">
        <f t="array" ref="Y168">IF(COUNTIFS($X$2:$X168,$X168)=1,"1",VALUE(SUBSTITUTE(INDEX(Y:Y,_xlfn.XMATCH($X168,$X$1:$X167,0,-1)),"A",""))+INDEX(Z:Z,_xlfn.XMATCH($X168,$X$1:$X167,0,-1))+1)</f>
        <v>5</v>
      </c>
      <c r="Z168" s="46" cm="1">
        <f t="array" ref="Z168">SUM(IF(ISNUMBER(FIND("TmAi",$BA$1:$ZZ$1)),IF(IFERROR(ISODD(SUBSTITUTE($BA168:$ZZ168,"A","")),FALSE),IF(ISODD(SUBSTITUTE($BA168:$ZZ168,"A","")),1,0),0)))</f>
        <v>0</v>
      </c>
      <c r="AA168" t="str">
        <f t="shared" si="135"/>
        <v>9A</v>
      </c>
      <c r="AB168" t="str">
        <f t="shared" si="136"/>
        <v>9B</v>
      </c>
      <c r="AL168" t="s">
        <v>137</v>
      </c>
      <c r="AO168" t="s">
        <v>396</v>
      </c>
      <c r="JV168" s="28" t="str">
        <f t="shared" si="128"/>
        <v>XT55</v>
      </c>
      <c r="JW168" s="19" t="str">
        <f>REPLACE($AA168,1,1,LEFT($AA168,1)+1)</f>
        <v>10A</v>
      </c>
      <c r="JX168" s="19" t="str">
        <f>REPLACE($AB168,1,1,LEFT($AB168,1)+1)</f>
        <v>10B</v>
      </c>
      <c r="JY168" s="19" t="str">
        <f t="shared" si="129"/>
        <v>F0-AI30-9A</v>
      </c>
      <c r="JZ168" s="19" t="str">
        <f t="shared" si="130"/>
        <v>F0-AI30-9B</v>
      </c>
      <c r="KA168" s="19" t="str">
        <f t="shared" si="138"/>
        <v>F0-AI30-10A</v>
      </c>
      <c r="KB168" s="19" t="str">
        <f t="shared" si="138"/>
        <v>F0-AI30-10B</v>
      </c>
      <c r="KC168" s="19"/>
      <c r="KD168" s="19"/>
      <c r="KE168" s="19" cm="1">
        <f t="array" ref="KE168">IF(COUNTIFS($U$2:$U168,$U168)=1,1,INDEX(KE:KE,_xlfn.XMATCH(U168,U$1:U167,0,-1))+COUNT(KE167:KI167))</f>
        <v>347</v>
      </c>
      <c r="KF168" s="19">
        <f t="shared" si="134"/>
        <v>348</v>
      </c>
      <c r="KG168" s="19">
        <f t="shared" si="134"/>
        <v>349</v>
      </c>
      <c r="KH168" s="19">
        <f t="shared" si="134"/>
        <v>350</v>
      </c>
      <c r="KI168" s="19"/>
      <c r="KJ168" s="19">
        <v>1</v>
      </c>
      <c r="KK168" s="20">
        <v>2</v>
      </c>
      <c r="KL168" s="19">
        <v>3</v>
      </c>
      <c r="KM168" s="19">
        <v>4</v>
      </c>
      <c r="KN168" s="19"/>
      <c r="KO168" s="20"/>
    </row>
    <row r="169" spans="1:330" ht="15.75" thickBot="1" x14ac:dyDescent="0.3">
      <c r="A169" t="s">
        <v>852</v>
      </c>
      <c r="B169" t="s">
        <v>851</v>
      </c>
      <c r="C169" t="s">
        <v>850</v>
      </c>
      <c r="P169" t="s">
        <v>849</v>
      </c>
      <c r="T169" s="14" t="s">
        <v>554</v>
      </c>
      <c r="U169">
        <v>56</v>
      </c>
      <c r="V169" t="s">
        <v>848</v>
      </c>
      <c r="Y169" s="43"/>
      <c r="Z169" s="46"/>
      <c r="AC169" t="s">
        <v>853</v>
      </c>
      <c r="AD169" t="s">
        <v>133</v>
      </c>
      <c r="AE169" t="s">
        <v>134</v>
      </c>
      <c r="AL169" t="s">
        <v>137</v>
      </c>
      <c r="AP169" t="s">
        <v>854</v>
      </c>
      <c r="KP169" s="25" t="str">
        <f>CONCATENATE("XT",U169)</f>
        <v>XT56</v>
      </c>
      <c r="KQ169" s="12" t="str">
        <f>CONCATENATE("DI",REPLACE($AC169,1,3,""),"-",$AD169)</f>
        <v>DI12-C1</v>
      </c>
      <c r="KR169" s="12" t="s">
        <v>865</v>
      </c>
      <c r="KS169" s="12" t="str">
        <f>CONCATENATE("K",$U169,"-01")</f>
        <v>K56-01</v>
      </c>
      <c r="KT169" s="12">
        <v>11</v>
      </c>
      <c r="KU169" s="12">
        <v>14</v>
      </c>
      <c r="KV169" s="12" t="s">
        <v>142</v>
      </c>
      <c r="KW169" s="12" t="s">
        <v>143</v>
      </c>
      <c r="KX169" s="12" t="s">
        <v>488</v>
      </c>
      <c r="KY169" s="12" t="s">
        <v>487</v>
      </c>
      <c r="KZ169" s="12" t="s">
        <v>414</v>
      </c>
      <c r="LA169" s="12" t="s">
        <v>413</v>
      </c>
      <c r="LB169" s="12" cm="1">
        <f t="array" ref="LB169">IF(COUNTIFS($U$2:$U169,$U169)=1,1,INDEX(LB:LB,_xlfn.XMATCH(AS169,AS$1:AS168,0,-1))+COUNT(LB168:LF168))</f>
        <v>1</v>
      </c>
      <c r="LC169" s="12">
        <f>LB169+1</f>
        <v>2</v>
      </c>
      <c r="LD169" s="12">
        <f>LC169+1</f>
        <v>3</v>
      </c>
      <c r="LE169" s="12" t="s">
        <v>547</v>
      </c>
      <c r="LF169" s="12" t="s">
        <v>548</v>
      </c>
      <c r="LG169" s="12">
        <v>1</v>
      </c>
      <c r="LH169" s="12">
        <v>2</v>
      </c>
      <c r="LI169" s="13">
        <v>3</v>
      </c>
    </row>
    <row r="170" spans="1:330" x14ac:dyDescent="0.25">
      <c r="A170" t="s">
        <v>868</v>
      </c>
      <c r="B170" t="s">
        <v>867</v>
      </c>
      <c r="P170" t="s">
        <v>869</v>
      </c>
      <c r="T170" s="14" t="s">
        <v>554</v>
      </c>
      <c r="U170">
        <v>57</v>
      </c>
      <c r="V170" t="s">
        <v>866</v>
      </c>
      <c r="X170" t="s">
        <v>833</v>
      </c>
      <c r="Y170" s="43" cm="1">
        <f t="array" ref="Y170">IF(COUNTIFS($X$2:$X170,$X170)=1,"1",VALUE(SUBSTITUTE(INDEX(Y:Y,_xlfn.XMATCH($X170,$X$1:$X169,0,-1)),"A",""))+INDEX(Z:Z,_xlfn.XMATCH($X170,$X$1:$X169,0,-1))+1)</f>
        <v>5</v>
      </c>
      <c r="Z170" s="46" cm="1">
        <f t="array" ref="Z170">SUM(IF(ISNUMBER(FIND("TmAi",$BA$1:$ZZ$1)),IF(IFERROR(ISODD(SUBSTITUTE($BA170:$ZZ170,"A","")),FALSE),IF(ISODD(SUBSTITUTE($BA170:$ZZ170,"A","")),1,0),0)))</f>
        <v>0</v>
      </c>
      <c r="AA170" t="str">
        <f t="shared" ref="AA170:AA176" si="139">CONCATENATE($Y170*2-1,"A")</f>
        <v>9A</v>
      </c>
      <c r="AB170" t="str">
        <f t="shared" ref="AB170:AB176" si="140">CONCATENATE($Y170*2-1,"B")</f>
        <v>9B</v>
      </c>
      <c r="AL170" t="s">
        <v>137</v>
      </c>
      <c r="AM170" t="s">
        <v>873</v>
      </c>
      <c r="AO170" t="s">
        <v>396</v>
      </c>
      <c r="KO170" s="16"/>
      <c r="LJ170" s="25" t="str">
        <f t="shared" ref="LJ170:LJ176" si="141">CONCATENATE("XT",U170)</f>
        <v>XT57</v>
      </c>
      <c r="LK170" s="12" t="str">
        <f t="shared" ref="LK170:LK176" si="142">CONCATENATE(T170,"-AI",REPLACE($X170,1,3,""),"-",AA170)</f>
        <v>F0-AI16-9A</v>
      </c>
      <c r="LL170" s="12" t="str">
        <f t="shared" ref="LL170:LL176" si="143">CONCATENATE(T170,"-AI",REPLACE($X170,1,3,""),"-",AB170)</f>
        <v>F0-AI16-9B</v>
      </c>
      <c r="LM170" s="12">
        <v>1</v>
      </c>
      <c r="LN170" s="12">
        <f t="shared" ref="LN170:LO176" si="144">LM170+1</f>
        <v>2</v>
      </c>
      <c r="LO170" s="12">
        <f t="shared" si="144"/>
        <v>3</v>
      </c>
      <c r="LP170" s="12" t="s">
        <v>870</v>
      </c>
      <c r="LQ170" s="12" t="s">
        <v>871</v>
      </c>
      <c r="LR170" s="13" t="s">
        <v>872</v>
      </c>
    </row>
    <row r="171" spans="1:330" x14ac:dyDescent="0.25">
      <c r="A171" t="s">
        <v>879</v>
      </c>
      <c r="B171" t="s">
        <v>878</v>
      </c>
      <c r="P171" t="s">
        <v>869</v>
      </c>
      <c r="T171" s="14" t="s">
        <v>554</v>
      </c>
      <c r="U171">
        <v>57</v>
      </c>
      <c r="V171" t="s">
        <v>874</v>
      </c>
      <c r="X171" t="str">
        <f>IF(COUNTIF(X$1:X170,X170)&gt;7,REPLACE(X170,LEN(X170),1,VALUE(RIGHT(X170,1))+1),X170)</f>
        <v>A3.16</v>
      </c>
      <c r="Y171" s="43" cm="1">
        <f t="array" ref="Y171">IF(COUNTIFS($X$2:$X171,$X171)=1,"1",VALUE(SUBSTITUTE(INDEX(Y:Y,_xlfn.XMATCH($X171,$X$1:$X170,0,-1)),"A",""))+INDEX(Z:Z,_xlfn.XMATCH($X171,$X$1:$X170,0,-1))+1)</f>
        <v>6</v>
      </c>
      <c r="Z171" s="46" cm="1">
        <f t="array" ref="Z171">SUM(IF(ISNUMBER(FIND("TmAi",$BA$1:$ZZ$1)),IF(IFERROR(ISODD(SUBSTITUTE($BA171:$ZZ171,"A","")),FALSE),IF(ISODD(SUBSTITUTE($BA171:$ZZ171,"A","")),1,0),0)))</f>
        <v>0</v>
      </c>
      <c r="AA171" t="str">
        <f t="shared" si="139"/>
        <v>11A</v>
      </c>
      <c r="AB171" t="str">
        <f t="shared" si="140"/>
        <v>11B</v>
      </c>
      <c r="AL171" t="s">
        <v>137</v>
      </c>
      <c r="AM171" t="s">
        <v>873</v>
      </c>
      <c r="AO171" t="s">
        <v>396</v>
      </c>
      <c r="LJ171" s="27" t="str">
        <f t="shared" si="141"/>
        <v>XT57</v>
      </c>
      <c r="LK171" t="str">
        <f t="shared" si="142"/>
        <v>F0-AI16-11A</v>
      </c>
      <c r="LL171" t="str">
        <f t="shared" si="143"/>
        <v>F0-AI16-11B</v>
      </c>
      <c r="LM171">
        <f>LM170+3</f>
        <v>4</v>
      </c>
      <c r="LN171">
        <f t="shared" si="144"/>
        <v>5</v>
      </c>
      <c r="LO171">
        <f t="shared" si="144"/>
        <v>6</v>
      </c>
      <c r="LP171" t="s">
        <v>892</v>
      </c>
      <c r="LQ171" t="s">
        <v>871</v>
      </c>
      <c r="LR171" s="16" t="s">
        <v>872</v>
      </c>
    </row>
    <row r="172" spans="1:330" x14ac:dyDescent="0.25">
      <c r="A172" t="s">
        <v>881</v>
      </c>
      <c r="B172" t="s">
        <v>880</v>
      </c>
      <c r="P172" t="s">
        <v>869</v>
      </c>
      <c r="T172" s="14" t="s">
        <v>554</v>
      </c>
      <c r="U172">
        <v>57</v>
      </c>
      <c r="V172" t="s">
        <v>875</v>
      </c>
      <c r="X172" t="str">
        <f>IF(COUNTIF(X$1:X171,X171)&gt;7,REPLACE(X171,LEN(X171),1,VALUE(RIGHT(X171,1))+1),X171)</f>
        <v>A3.16</v>
      </c>
      <c r="Y172" s="43" cm="1">
        <f t="array" ref="Y172">IF(COUNTIFS($X$2:$X172,$X172)=1,"1",VALUE(SUBSTITUTE(INDEX(Y:Y,_xlfn.XMATCH($X172,$X$1:$X171,0,-1)),"A",""))+INDEX(Z:Z,_xlfn.XMATCH($X172,$X$1:$X171,0,-1))+1)</f>
        <v>7</v>
      </c>
      <c r="Z172" s="46" cm="1">
        <f t="array" ref="Z172">SUM(IF(ISNUMBER(FIND("TmAi",$BA$1:$ZZ$1)),IF(IFERROR(ISODD(SUBSTITUTE($BA172:$ZZ172,"A","")),FALSE),IF(ISODD(SUBSTITUTE($BA172:$ZZ172,"A","")),1,0),0)))</f>
        <v>0</v>
      </c>
      <c r="AA172" t="str">
        <f t="shared" si="139"/>
        <v>13A</v>
      </c>
      <c r="AB172" t="str">
        <f t="shared" si="140"/>
        <v>13B</v>
      </c>
      <c r="AL172" t="s">
        <v>137</v>
      </c>
      <c r="AM172" t="s">
        <v>873</v>
      </c>
      <c r="AO172" t="s">
        <v>396</v>
      </c>
      <c r="LJ172" s="27" t="str">
        <f t="shared" si="141"/>
        <v>XT57</v>
      </c>
      <c r="LK172" t="str">
        <f t="shared" si="142"/>
        <v>F0-AI16-13A</v>
      </c>
      <c r="LL172" t="str">
        <f t="shared" si="143"/>
        <v>F0-AI16-13B</v>
      </c>
      <c r="LM172">
        <f t="shared" ref="LM172:LM176" si="145">LM171+3</f>
        <v>7</v>
      </c>
      <c r="LN172">
        <f t="shared" si="144"/>
        <v>8</v>
      </c>
      <c r="LO172">
        <f t="shared" si="144"/>
        <v>9</v>
      </c>
      <c r="LP172" t="s">
        <v>893</v>
      </c>
      <c r="LQ172" t="s">
        <v>871</v>
      </c>
      <c r="LR172" s="16" t="s">
        <v>872</v>
      </c>
    </row>
    <row r="173" spans="1:330" x14ac:dyDescent="0.25">
      <c r="A173" t="s">
        <v>883</v>
      </c>
      <c r="B173" t="s">
        <v>882</v>
      </c>
      <c r="P173" t="s">
        <v>869</v>
      </c>
      <c r="T173" s="14" t="s">
        <v>554</v>
      </c>
      <c r="U173">
        <v>57</v>
      </c>
      <c r="V173" t="s">
        <v>876</v>
      </c>
      <c r="X173" s="33" t="str">
        <f>IF(COUNTIF(X$1:X172,X172)&gt;7,REPLACE(X172,LEN(X172),1,VALUE(RIGHT(X172,1))+1),X172)</f>
        <v>A3.16</v>
      </c>
      <c r="Y173" s="45" cm="1">
        <f t="array" ref="Y173">IF(COUNTIFS($X$2:$X173,$X173)=1,"1",VALUE(SUBSTITUTE(INDEX(Y:Y,_xlfn.XMATCH($X173,$X$1:$X172,0,-1)),"A",""))+INDEX(Z:Z,_xlfn.XMATCH($X173,$X$1:$X172,0,-1))+1)</f>
        <v>8</v>
      </c>
      <c r="Z173" s="46" cm="1">
        <f t="array" ref="Z173">SUM(IF(ISNUMBER(FIND("TmAi",$BA$1:$ZZ$1)),IF(IFERROR(ISODD(SUBSTITUTE($BA173:$ZZ173,"A","")),FALSE),IF(ISODD(SUBSTITUTE($BA173:$ZZ173,"A","")),1,0),0)))</f>
        <v>0</v>
      </c>
      <c r="AA173" t="str">
        <f t="shared" si="139"/>
        <v>15A</v>
      </c>
      <c r="AB173" t="str">
        <f t="shared" si="140"/>
        <v>15B</v>
      </c>
      <c r="AL173" t="s">
        <v>137</v>
      </c>
      <c r="AM173" t="s">
        <v>873</v>
      </c>
      <c r="AO173" t="s">
        <v>396</v>
      </c>
      <c r="LJ173" s="27" t="str">
        <f t="shared" si="141"/>
        <v>XT57</v>
      </c>
      <c r="LK173" t="str">
        <f t="shared" si="142"/>
        <v>F0-AI16-15A</v>
      </c>
      <c r="LL173" t="str">
        <f t="shared" si="143"/>
        <v>F0-AI16-15B</v>
      </c>
      <c r="LM173">
        <f t="shared" si="145"/>
        <v>10</v>
      </c>
      <c r="LN173">
        <f t="shared" si="144"/>
        <v>11</v>
      </c>
      <c r="LO173">
        <f t="shared" si="144"/>
        <v>12</v>
      </c>
      <c r="LP173" t="s">
        <v>894</v>
      </c>
      <c r="LQ173" t="s">
        <v>871</v>
      </c>
      <c r="LR173" s="16" t="s">
        <v>872</v>
      </c>
    </row>
    <row r="174" spans="1:330" x14ac:dyDescent="0.25">
      <c r="A174" t="s">
        <v>885</v>
      </c>
      <c r="B174" t="s">
        <v>884</v>
      </c>
      <c r="P174" t="s">
        <v>869</v>
      </c>
      <c r="T174" s="14" t="s">
        <v>554</v>
      </c>
      <c r="U174">
        <v>57</v>
      </c>
      <c r="V174" t="s">
        <v>877</v>
      </c>
      <c r="X174" t="str">
        <f>IF(COUNTIF(X$1:X173,X173)&gt;7,REPLACE(X173,LEN(X173),1,VALUE(RIGHT(X173,1))+1),X173)</f>
        <v>A3.17</v>
      </c>
      <c r="Y174" s="43" t="str" cm="1">
        <f t="array" ref="Y174">IF(COUNTIFS($X$2:$X174,$X174)=1,"1",VALUE(SUBSTITUTE(INDEX(Y:Y,_xlfn.XMATCH($X174,$X$1:$X173,0,-1)),"A",""))+INDEX(Z:Z,_xlfn.XMATCH($X174,$X$1:$X173,0,-1))+1)</f>
        <v>1</v>
      </c>
      <c r="Z174" s="46" cm="1">
        <f t="array" ref="Z174">SUM(IF(ISNUMBER(FIND("TmAi",$BA$1:$ZZ$1)),IF(IFERROR(ISODD(SUBSTITUTE($BA174:$ZZ174,"A","")),FALSE),IF(ISODD(SUBSTITUTE($BA174:$ZZ174,"A","")),1,0),0)))</f>
        <v>0</v>
      </c>
      <c r="AA174" t="str">
        <f t="shared" si="139"/>
        <v>1A</v>
      </c>
      <c r="AB174" t="str">
        <f t="shared" si="140"/>
        <v>1B</v>
      </c>
      <c r="AL174" t="s">
        <v>137</v>
      </c>
      <c r="AM174" t="s">
        <v>873</v>
      </c>
      <c r="AO174" t="s">
        <v>396</v>
      </c>
      <c r="LJ174" s="27" t="str">
        <f t="shared" si="141"/>
        <v>XT57</v>
      </c>
      <c r="LK174" t="str">
        <f t="shared" si="142"/>
        <v>F0-AI17-1A</v>
      </c>
      <c r="LL174" t="str">
        <f t="shared" si="143"/>
        <v>F0-AI17-1B</v>
      </c>
      <c r="LM174">
        <f t="shared" si="145"/>
        <v>13</v>
      </c>
      <c r="LN174">
        <f t="shared" si="144"/>
        <v>14</v>
      </c>
      <c r="LO174">
        <f t="shared" si="144"/>
        <v>15</v>
      </c>
      <c r="LP174" t="s">
        <v>895</v>
      </c>
      <c r="LQ174" t="s">
        <v>871</v>
      </c>
      <c r="LR174" s="16" t="s">
        <v>872</v>
      </c>
    </row>
    <row r="175" spans="1:330" x14ac:dyDescent="0.25">
      <c r="A175" t="s">
        <v>889</v>
      </c>
      <c r="B175" t="s">
        <v>888</v>
      </c>
      <c r="P175" t="s">
        <v>869</v>
      </c>
      <c r="T175" s="14" t="s">
        <v>554</v>
      </c>
      <c r="U175">
        <v>57</v>
      </c>
      <c r="V175" t="s">
        <v>886</v>
      </c>
      <c r="X175" t="str">
        <f>IF(COUNTIF(X$1:X174,X174)&gt;7,REPLACE(X174,LEN(X174),1,VALUE(RIGHT(X174,1))+1),X174)</f>
        <v>A3.17</v>
      </c>
      <c r="Y175" s="43" cm="1">
        <f t="array" ref="Y175">IF(COUNTIFS($X$2:$X175,$X175)=1,"1",VALUE(SUBSTITUTE(INDEX(Y:Y,_xlfn.XMATCH($X175,$X$1:$X174,0,-1)),"A",""))+INDEX(Z:Z,_xlfn.XMATCH($X175,$X$1:$X174,0,-1))+1)</f>
        <v>2</v>
      </c>
      <c r="Z175" s="46" cm="1">
        <f t="array" ref="Z175">SUM(IF(ISNUMBER(FIND("TmAi",$BA$1:$ZZ$1)),IF(IFERROR(ISODD(SUBSTITUTE($BA175:$ZZ175,"A","")),FALSE),IF(ISODD(SUBSTITUTE($BA175:$ZZ175,"A","")),1,0),0)))</f>
        <v>0</v>
      </c>
      <c r="AA175" t="str">
        <f t="shared" si="139"/>
        <v>3A</v>
      </c>
      <c r="AB175" t="str">
        <f t="shared" si="140"/>
        <v>3B</v>
      </c>
      <c r="AL175" t="s">
        <v>137</v>
      </c>
      <c r="AM175" t="s">
        <v>873</v>
      </c>
      <c r="AO175" t="s">
        <v>396</v>
      </c>
      <c r="LJ175" s="27" t="str">
        <f t="shared" si="141"/>
        <v>XT57</v>
      </c>
      <c r="LK175" t="str">
        <f t="shared" si="142"/>
        <v>F0-AI17-3A</v>
      </c>
      <c r="LL175" t="str">
        <f t="shared" si="143"/>
        <v>F0-AI17-3B</v>
      </c>
      <c r="LM175">
        <f t="shared" si="145"/>
        <v>16</v>
      </c>
      <c r="LN175">
        <f t="shared" si="144"/>
        <v>17</v>
      </c>
      <c r="LO175">
        <f t="shared" si="144"/>
        <v>18</v>
      </c>
      <c r="LP175" t="s">
        <v>896</v>
      </c>
      <c r="LQ175" t="s">
        <v>871</v>
      </c>
      <c r="LR175" s="16" t="s">
        <v>872</v>
      </c>
    </row>
    <row r="176" spans="1:330" ht="15.75" thickBot="1" x14ac:dyDescent="0.3">
      <c r="A176" t="s">
        <v>891</v>
      </c>
      <c r="B176" s="33" t="s">
        <v>890</v>
      </c>
      <c r="P176" t="s">
        <v>869</v>
      </c>
      <c r="T176" s="14" t="s">
        <v>554</v>
      </c>
      <c r="U176">
        <v>57</v>
      </c>
      <c r="V176" t="s">
        <v>887</v>
      </c>
      <c r="X176" t="str">
        <f>IF(COUNTIF(X$1:X175,X175)&gt;7,REPLACE(X175,LEN(X175),1,VALUE(RIGHT(X175,1))+1),X175)</f>
        <v>A3.17</v>
      </c>
      <c r="Y176" s="43" cm="1">
        <f t="array" ref="Y176">IF(COUNTIFS($X$2:$X176,$X176)=1,"1",VALUE(SUBSTITUTE(INDEX(Y:Y,_xlfn.XMATCH($X176,$X$1:$X175,0,-1)),"A",""))+INDEX(Z:Z,_xlfn.XMATCH($X176,$X$1:$X175,0,-1))+1)</f>
        <v>3</v>
      </c>
      <c r="Z176" s="46" cm="1">
        <f t="array" ref="Z176">SUM(IF(ISNUMBER(FIND("TmAi",$BA$1:$ZZ$1)),IF(IFERROR(ISODD(SUBSTITUTE($BA176:$ZZ176,"A","")),FALSE),IF(ISODD(SUBSTITUTE($BA176:$ZZ176,"A","")),1,0),0)))</f>
        <v>0</v>
      </c>
      <c r="AA176" t="str">
        <f t="shared" si="139"/>
        <v>5A</v>
      </c>
      <c r="AB176" t="str">
        <f t="shared" si="140"/>
        <v>5B</v>
      </c>
      <c r="AL176" t="s">
        <v>137</v>
      </c>
      <c r="AM176" t="s">
        <v>873</v>
      </c>
      <c r="AO176" t="s">
        <v>396</v>
      </c>
      <c r="LJ176" s="27" t="str">
        <f t="shared" si="141"/>
        <v>XT57</v>
      </c>
      <c r="LK176" t="str">
        <f t="shared" si="142"/>
        <v>F0-AI17-5A</v>
      </c>
      <c r="LL176" t="str">
        <f t="shared" si="143"/>
        <v>F0-AI17-5B</v>
      </c>
      <c r="LM176">
        <f t="shared" si="145"/>
        <v>19</v>
      </c>
      <c r="LN176">
        <f t="shared" si="144"/>
        <v>20</v>
      </c>
      <c r="LO176">
        <f t="shared" si="144"/>
        <v>21</v>
      </c>
      <c r="LP176" t="s">
        <v>897</v>
      </c>
      <c r="LQ176" t="s">
        <v>871</v>
      </c>
      <c r="LR176" s="16" t="s">
        <v>872</v>
      </c>
    </row>
    <row r="177" spans="1:532" x14ac:dyDescent="0.25">
      <c r="A177" t="s">
        <v>901</v>
      </c>
      <c r="B177" t="s">
        <v>900</v>
      </c>
      <c r="C177" t="s">
        <v>899</v>
      </c>
      <c r="P177" t="s">
        <v>898</v>
      </c>
      <c r="T177" s="14" t="s">
        <v>554</v>
      </c>
      <c r="U177">
        <v>56</v>
      </c>
      <c r="V177" t="s">
        <v>904</v>
      </c>
      <c r="Y177" s="43"/>
      <c r="Z177" s="46"/>
      <c r="AC177" t="s">
        <v>853</v>
      </c>
      <c r="AD177" t="s">
        <v>906</v>
      </c>
      <c r="AE177" t="s">
        <v>907</v>
      </c>
      <c r="AL177" t="s">
        <v>137</v>
      </c>
      <c r="AO177" t="s">
        <v>396</v>
      </c>
      <c r="AP177" t="s">
        <v>854</v>
      </c>
      <c r="LS177" s="25" t="str">
        <f>CONCATENATE("XT",U177)</f>
        <v>XT56</v>
      </c>
      <c r="LT177" s="12" t="str">
        <f>CONCATENATE("DI",REPLACE($AC177,1,3,""),"-",$AD177)</f>
        <v>DI12-C2</v>
      </c>
      <c r="LU177" s="12" t="s">
        <v>910</v>
      </c>
      <c r="LV177" s="12" t="str">
        <f>CONCATENATE("K",$U177,"-02")</f>
        <v>K56-02</v>
      </c>
      <c r="LW177" s="12">
        <v>11</v>
      </c>
      <c r="LX177" s="12">
        <v>14</v>
      </c>
      <c r="LY177" s="12" t="s">
        <v>142</v>
      </c>
      <c r="LZ177" s="12" t="s">
        <v>143</v>
      </c>
      <c r="MA177" s="12" t="s">
        <v>488</v>
      </c>
      <c r="MB177" s="12" t="s">
        <v>487</v>
      </c>
      <c r="MC177" s="12" t="s">
        <v>414</v>
      </c>
      <c r="MD177" s="12" t="s">
        <v>413</v>
      </c>
      <c r="ME177" s="12">
        <v>4</v>
      </c>
      <c r="MF177" s="12">
        <f t="shared" ref="MF177:MH178" si="146">ME177+1</f>
        <v>5</v>
      </c>
      <c r="MG177" s="12">
        <f t="shared" si="146"/>
        <v>6</v>
      </c>
      <c r="MH177" s="12">
        <f t="shared" si="146"/>
        <v>7</v>
      </c>
      <c r="MI177" s="12">
        <v>1</v>
      </c>
      <c r="MJ177" s="12">
        <v>2</v>
      </c>
      <c r="MK177" s="12">
        <v>3</v>
      </c>
      <c r="ML177" s="12">
        <v>4</v>
      </c>
      <c r="MM177" s="13">
        <v>5</v>
      </c>
    </row>
    <row r="178" spans="1:532" ht="15.75" thickBot="1" x14ac:dyDescent="0.3">
      <c r="A178" t="s">
        <v>903</v>
      </c>
      <c r="B178" s="33" t="s">
        <v>902</v>
      </c>
      <c r="C178" t="s">
        <v>899</v>
      </c>
      <c r="P178" t="s">
        <v>898</v>
      </c>
      <c r="T178" s="14" t="s">
        <v>554</v>
      </c>
      <c r="U178">
        <v>56</v>
      </c>
      <c r="V178" t="s">
        <v>905</v>
      </c>
      <c r="Y178" s="43"/>
      <c r="Z178" s="46"/>
      <c r="AC178" t="s">
        <v>853</v>
      </c>
      <c r="AD178" t="s">
        <v>908</v>
      </c>
      <c r="AE178" t="s">
        <v>909</v>
      </c>
      <c r="AL178" t="s">
        <v>137</v>
      </c>
      <c r="AO178" t="s">
        <v>396</v>
      </c>
      <c r="AP178" t="s">
        <v>854</v>
      </c>
      <c r="LS178" s="27" t="str">
        <f>CONCATENATE("XT",$U178)</f>
        <v>XT56</v>
      </c>
      <c r="LT178" t="str">
        <f>CONCATENATE("DI",REPLACE($AC178,1,3,""),"-",$AD178)</f>
        <v>DI12-C3</v>
      </c>
      <c r="LU178" t="s">
        <v>911</v>
      </c>
      <c r="LV178" t="str">
        <f>CONCATENATE("K",$U178,"-03")</f>
        <v>K56-03</v>
      </c>
      <c r="LW178">
        <v>11</v>
      </c>
      <c r="LX178">
        <v>14</v>
      </c>
      <c r="LY178" t="s">
        <v>142</v>
      </c>
      <c r="LZ178" t="s">
        <v>143</v>
      </c>
      <c r="MA178" t="s">
        <v>488</v>
      </c>
      <c r="MB178" t="s">
        <v>487</v>
      </c>
      <c r="MC178" t="s">
        <v>414</v>
      </c>
      <c r="MD178" t="s">
        <v>413</v>
      </c>
      <c r="ME178">
        <f>ME177+4</f>
        <v>8</v>
      </c>
      <c r="MF178">
        <f t="shared" si="146"/>
        <v>9</v>
      </c>
      <c r="MG178">
        <f t="shared" si="146"/>
        <v>10</v>
      </c>
      <c r="MH178">
        <f t="shared" si="146"/>
        <v>11</v>
      </c>
      <c r="MI178">
        <v>1</v>
      </c>
      <c r="MJ178">
        <v>2</v>
      </c>
      <c r="MK178">
        <v>3</v>
      </c>
      <c r="ML178">
        <v>4</v>
      </c>
      <c r="MM178" s="16">
        <v>5</v>
      </c>
    </row>
    <row r="179" spans="1:532" ht="15.75" thickBot="1" x14ac:dyDescent="0.3">
      <c r="A179" t="s">
        <v>914</v>
      </c>
      <c r="B179" t="s">
        <v>913</v>
      </c>
      <c r="C179" t="s">
        <v>915</v>
      </c>
      <c r="P179" t="s">
        <v>916</v>
      </c>
      <c r="T179" s="14" t="s">
        <v>554</v>
      </c>
      <c r="U179">
        <v>58</v>
      </c>
      <c r="X179" t="s">
        <v>917</v>
      </c>
      <c r="Y179" s="43" cm="1">
        <f t="array" ref="Y179">IF(COUNTIFS($X$2:$X179,$X179)=1,"1",VALUE(SUBSTITUTE(INDEX(Y:Y,_xlfn.XMATCH($X179,$X$1:$X178,0,-1)),"A",""))+INDEX(Z:Z,_xlfn.XMATCH($X179,$X$1:$X178,0,-1))+1)</f>
        <v>4</v>
      </c>
      <c r="Z179" s="46" cm="1">
        <f t="array" ref="Z179">SUM(IF(ISNUMBER(FIND("TmAi",$BA$1:$ZZ$1)),IF(IFERROR(ISODD(SUBSTITUTE($BA179:$ZZ179,"A","")),FALSE),IF(ISODD(SUBSTITUTE($BA179:$ZZ179,"A","")),1,0),0)))</f>
        <v>1</v>
      </c>
      <c r="AA179" t="str">
        <f t="shared" ref="AA179:AA185" si="147">CONCATENATE($Y179*2-1,"A")</f>
        <v>7A</v>
      </c>
      <c r="AB179" t="str">
        <f t="shared" ref="AB179:AB185" si="148">CONCATENATE($Y179*2-1,"B")</f>
        <v>7B</v>
      </c>
      <c r="AC179" t="s">
        <v>853</v>
      </c>
      <c r="AD179" t="s">
        <v>369</v>
      </c>
      <c r="AE179" t="s">
        <v>370</v>
      </c>
      <c r="AL179" t="s">
        <v>137</v>
      </c>
      <c r="AM179" t="s">
        <v>873</v>
      </c>
      <c r="AO179" t="s">
        <v>396</v>
      </c>
      <c r="AP179" t="s">
        <v>139</v>
      </c>
      <c r="MN179" s="25" t="s">
        <v>926</v>
      </c>
      <c r="MO179" s="12" t="s">
        <v>927</v>
      </c>
      <c r="MP179" s="12" t="s">
        <v>931</v>
      </c>
      <c r="MQ179" s="12" t="s">
        <v>932</v>
      </c>
      <c r="MR179" s="12" t="s">
        <v>912</v>
      </c>
      <c r="MS179" s="12" t="str">
        <f>CONCATENATE("XT",$U179)</f>
        <v>XT58</v>
      </c>
      <c r="MT179" s="12" t="str">
        <f>CONCATENATE("B",REPLACE(AD179,1,1,"")+1)</f>
        <v>B5</v>
      </c>
      <c r="MU179" s="12" t="str">
        <f>CONCATENATE("C",REPLACE(AE179,1,1,"")+1)</f>
        <v>C5</v>
      </c>
      <c r="MV179" s="12" t="str">
        <f>CONCATENATE("B",REPLACE(MT179,1,1,"")+1)</f>
        <v>B6</v>
      </c>
      <c r="MW179" s="12" t="str">
        <f>CONCATENATE("C",REPLACE(MU179,1,1,"")+1)</f>
        <v>C6</v>
      </c>
      <c r="MX179" s="12" t="str">
        <f>CONCATENATE("B",REPLACE(MV179,1,1,"")+1)</f>
        <v>B7</v>
      </c>
      <c r="MY179" s="12" t="str">
        <f>CONCATENATE("C",REPLACE(MW179,1,1,"")+1)</f>
        <v>C7</v>
      </c>
      <c r="MZ179" s="12" t="str">
        <f>REPLACE($AA179,1,1,LEFT($AA179,1)+2)</f>
        <v>9A</v>
      </c>
      <c r="NA179" s="12" t="str">
        <f>REPLACE($AB179,1,1,LEFT($AB179,1)+2)</f>
        <v>9B</v>
      </c>
      <c r="NB179" s="12" t="str">
        <f>CONCATENATE("DI",REPLACE($AC179,1,3,""),"-",$AD179)</f>
        <v>DI12-C4</v>
      </c>
      <c r="NC179" s="12" t="str">
        <f>CONCATENATE("DI",REPLACE($AC179,1,3,""),"-",$MU179)</f>
        <v>DI12-C5</v>
      </c>
      <c r="ND179" s="12" t="str">
        <f>CONCATENATE("DI",REPLACE($AC179,1,3,""),"-",$MW179)</f>
        <v>DI12-C6</v>
      </c>
      <c r="NE179" s="12" t="str">
        <f>CONCATENATE("DI",REPLACE($AC179,1,3,""),"-",$MY179)</f>
        <v>DI12-C7</v>
      </c>
      <c r="NF179" s="12" t="s">
        <v>933</v>
      </c>
      <c r="NG179" s="12" t="s">
        <v>934</v>
      </c>
      <c r="NH179" s="12" t="s">
        <v>947</v>
      </c>
      <c r="NI179" s="12" t="s">
        <v>935</v>
      </c>
      <c r="NJ179" s="12" t="s">
        <v>936</v>
      </c>
      <c r="NK179" s="12" t="s">
        <v>937</v>
      </c>
      <c r="NL179" s="12" t="s">
        <v>938</v>
      </c>
      <c r="NM179" s="12" t="s">
        <v>939</v>
      </c>
      <c r="NN179" s="12" t="s">
        <v>940</v>
      </c>
      <c r="NO179" s="12" t="s">
        <v>941</v>
      </c>
      <c r="NP179" s="12" t="s">
        <v>942</v>
      </c>
      <c r="NQ179" s="12">
        <v>11</v>
      </c>
      <c r="NR179" s="12">
        <v>14</v>
      </c>
      <c r="NS179" s="12" t="s">
        <v>142</v>
      </c>
      <c r="NT179" s="12" t="s">
        <v>143</v>
      </c>
      <c r="NU179" s="12" t="s">
        <v>488</v>
      </c>
      <c r="NV179" s="12" t="s">
        <v>487</v>
      </c>
      <c r="NW179" s="12" t="s">
        <v>414</v>
      </c>
      <c r="NX179" s="13" t="s">
        <v>413</v>
      </c>
    </row>
    <row r="180" spans="1:532" x14ac:dyDescent="0.25">
      <c r="A180" t="s">
        <v>949</v>
      </c>
      <c r="B180" t="s">
        <v>948</v>
      </c>
      <c r="C180" t="s">
        <v>945</v>
      </c>
      <c r="P180" t="s">
        <v>946</v>
      </c>
      <c r="T180" s="14" t="s">
        <v>554</v>
      </c>
      <c r="U180">
        <v>58</v>
      </c>
      <c r="V180" t="s">
        <v>958</v>
      </c>
      <c r="X180" t="str">
        <f>IF(COUNTIF(X$1:X179,X179)&gt;7,REPLACE(X179,LEN(X179),1,VALUE(RIGHT(X179,1))+1),X179)</f>
        <v>A3.17</v>
      </c>
      <c r="Y180" s="43" cm="1">
        <f t="array" ref="Y180">IF(COUNTIFS($X$2:$X180,$X180)=1,"1",VALUE(SUBSTITUTE(INDEX(Y:Y,_xlfn.XMATCH($X180,$X$1:$X179,0,-1)),"A",""))+INDEX(Z:Z,_xlfn.XMATCH($X180,$X$1:$X179,0,-1))+1)</f>
        <v>6</v>
      </c>
      <c r="Z180" s="46" cm="1">
        <f t="array" ref="Z180">SUM(IF(ISNUMBER(FIND("TmAi",$BA$1:$ZZ$1)),IF(IFERROR(ISODD(SUBSTITUTE($BA180:$ZZ180,"A","")),FALSE),IF(ISODD(SUBSTITUTE($BA180:$ZZ180,"A","")),1,0),0)))</f>
        <v>0</v>
      </c>
      <c r="AA180" t="str">
        <f t="shared" si="147"/>
        <v>11A</v>
      </c>
      <c r="AB180" t="str">
        <f t="shared" si="148"/>
        <v>11B</v>
      </c>
      <c r="AC180" t="s">
        <v>853</v>
      </c>
      <c r="AD180" t="s">
        <v>943</v>
      </c>
      <c r="AE180" t="s">
        <v>944</v>
      </c>
      <c r="AL180" t="s">
        <v>137</v>
      </c>
      <c r="AM180" t="s">
        <v>873</v>
      </c>
      <c r="AO180" t="s">
        <v>396</v>
      </c>
      <c r="AP180" t="s">
        <v>139</v>
      </c>
      <c r="MN180" s="25"/>
      <c r="MO180" s="12"/>
      <c r="MP180" s="12" t="s">
        <v>960</v>
      </c>
      <c r="MQ180" s="12"/>
      <c r="MR180" s="12" t="s">
        <v>959</v>
      </c>
      <c r="MS180" s="12" t="str">
        <f>CONCATENATE("XT",$U180)</f>
        <v>XT58</v>
      </c>
      <c r="MT180" s="12" t="str">
        <f>CONCATENATE("B",REPLACE(AD180,1,1,"")+1)</f>
        <v>B9</v>
      </c>
      <c r="MU180" s="12" t="str">
        <f>CONCATENATE("C",REPLACE(AE180,1,1,"")+1)</f>
        <v>C9</v>
      </c>
      <c r="MV180" s="12" t="str">
        <f>CONCATENATE("B",REPLACE(MT180,1,1,"")+1)</f>
        <v>B10</v>
      </c>
      <c r="MW180" s="12" t="str">
        <f>CONCATENATE("C",REPLACE(MU180,1,1,"")+1)</f>
        <v>C10</v>
      </c>
      <c r="MX180" s="12" t="str">
        <f>CONCATENATE("B",REPLACE(MV180,1,1,"")+1)</f>
        <v>B11</v>
      </c>
      <c r="MY180" s="12" t="str">
        <f>CONCATENATE("C",REPLACE(MW180,1,1,"")+1)</f>
        <v>C11</v>
      </c>
      <c r="MZ180" s="12"/>
      <c r="NA180" s="12"/>
      <c r="NB180" s="12" t="str">
        <f>CONCATENATE("DI",REPLACE($AC180,1,3,""),"-",$AD180)</f>
        <v>DI12-C8</v>
      </c>
      <c r="NC180" s="12" t="str">
        <f>CONCATENATE("DI",REPLACE($AC180,1,3,""),"-",$MU180)</f>
        <v>DI12-C9</v>
      </c>
      <c r="ND180" s="12" t="str">
        <f>CONCATENATE("DI",REPLACE($AC180,1,3,""),"-",$MW180)</f>
        <v>DI12-C10</v>
      </c>
      <c r="NE180" s="12" t="str">
        <f>CONCATENATE("DI",REPLACE($AC180,1,3,""),"-",$MY180)</f>
        <v>DI12-C11</v>
      </c>
      <c r="NF180" s="12" t="s">
        <v>952</v>
      </c>
      <c r="NG180" s="12"/>
      <c r="NH180" s="12" t="s">
        <v>957</v>
      </c>
      <c r="NI180" s="12" t="s">
        <v>956</v>
      </c>
      <c r="NJ180" s="12" t="s">
        <v>955</v>
      </c>
      <c r="NK180" s="12"/>
      <c r="NL180" s="12"/>
      <c r="NM180" s="12" t="s">
        <v>950</v>
      </c>
      <c r="NN180" s="12" t="s">
        <v>951</v>
      </c>
      <c r="NO180" s="12"/>
      <c r="NP180" s="12"/>
      <c r="NQ180" s="12">
        <v>11</v>
      </c>
      <c r="NR180" s="12">
        <v>14</v>
      </c>
      <c r="NS180" s="12" t="s">
        <v>142</v>
      </c>
      <c r="NT180" s="12" t="s">
        <v>143</v>
      </c>
      <c r="NU180" s="12" t="s">
        <v>488</v>
      </c>
      <c r="NV180" s="12" t="s">
        <v>487</v>
      </c>
      <c r="NW180" s="12" t="s">
        <v>414</v>
      </c>
      <c r="NX180" s="12" t="s">
        <v>413</v>
      </c>
      <c r="NY180" s="12" t="s">
        <v>144</v>
      </c>
      <c r="NZ180" s="13" t="s">
        <v>961</v>
      </c>
    </row>
    <row r="181" spans="1:532" x14ac:dyDescent="0.25">
      <c r="A181" t="s">
        <v>963</v>
      </c>
      <c r="B181" t="s">
        <v>962</v>
      </c>
      <c r="C181" t="s">
        <v>531</v>
      </c>
      <c r="P181" t="s">
        <v>503</v>
      </c>
      <c r="T181" s="14" t="s">
        <v>554</v>
      </c>
      <c r="U181">
        <v>55</v>
      </c>
      <c r="V181" t="s">
        <v>965</v>
      </c>
      <c r="X181" t="str">
        <f>IF(COUNTIF(X$1:X180,X180)&gt;7,REPLACE(X180,LEN(X180),1,VALUE(RIGHT(X180,1))+1),X180)</f>
        <v>A3.17</v>
      </c>
      <c r="Y181" s="43" cm="1">
        <f t="array" ref="Y181">IF(COUNTIFS($X$2:$X181,$X181)=1,"1",VALUE(SUBSTITUTE(INDEX(Y:Y,_xlfn.XMATCH($X181,$X$1:$X180,0,-1)),"A",""))+INDEX(Z:Z,_xlfn.XMATCH($X181,$X$1:$X180,0,-1))+1)</f>
        <v>7</v>
      </c>
      <c r="Z181" s="46" cm="1">
        <f t="array" ref="Z181">SUM(IF(ISNUMBER(FIND("TmAi",$BA$1:$ZZ$1)),IF(IFERROR(ISODD(SUBSTITUTE($BA181:$ZZ181,"A","")),FALSE),IF(ISODD(SUBSTITUTE($BA181:$ZZ181,"A","")),1,0),0)))</f>
        <v>0</v>
      </c>
      <c r="AA181" t="str">
        <f t="shared" si="147"/>
        <v>13A</v>
      </c>
      <c r="AB181" t="str">
        <f t="shared" si="148"/>
        <v>13B</v>
      </c>
      <c r="AL181" t="s">
        <v>137</v>
      </c>
      <c r="AM181" t="s">
        <v>873</v>
      </c>
      <c r="AO181" t="s">
        <v>396</v>
      </c>
      <c r="JV181" s="27" t="str">
        <f>CONCATENATE("XT",U181)</f>
        <v>XT55</v>
      </c>
      <c r="JY181" t="str">
        <f>CONCATENATE(T181,"-AI",REPLACE($X181,1,3,""),"-",AA181)</f>
        <v>F0-AI17-13A</v>
      </c>
      <c r="JZ181" t="str">
        <f>CONCATENATE(T181,"-AI",REPLACE($X181,1,3,""),"-",AB181)</f>
        <v>F0-AI17-13B</v>
      </c>
      <c r="KC181" t="s">
        <v>488</v>
      </c>
      <c r="KD181" t="s">
        <v>487</v>
      </c>
      <c r="KE181" cm="1">
        <f t="array" ref="KE181">IF(COUNTIFS($U$2:$U181,$U181)=1,1,INDEX(KE:KE,_xlfn.XMATCH(U181,U$1:U180,0,-1))+COUNT(KE168:KI168))</f>
        <v>351</v>
      </c>
      <c r="KF181">
        <f t="shared" ref="KF181:KI182" si="149">KE181+1</f>
        <v>352</v>
      </c>
      <c r="KG181">
        <f t="shared" si="149"/>
        <v>353</v>
      </c>
      <c r="KH181">
        <f t="shared" si="149"/>
        <v>354</v>
      </c>
      <c r="KI181">
        <f t="shared" si="149"/>
        <v>355</v>
      </c>
      <c r="KJ181" t="s">
        <v>547</v>
      </c>
      <c r="KK181" s="16" t="s">
        <v>548</v>
      </c>
      <c r="KL181" t="s">
        <v>547</v>
      </c>
      <c r="KM181" t="s">
        <v>548</v>
      </c>
      <c r="KN181" t="s">
        <v>551</v>
      </c>
      <c r="KO181" s="16" t="s">
        <v>552</v>
      </c>
    </row>
    <row r="182" spans="1:532" ht="15.75" thickBot="1" x14ac:dyDescent="0.3">
      <c r="A182" t="s">
        <v>964</v>
      </c>
      <c r="B182" t="s">
        <v>962</v>
      </c>
      <c r="C182" t="s">
        <v>531</v>
      </c>
      <c r="P182" t="s">
        <v>503</v>
      </c>
      <c r="T182" s="14" t="s">
        <v>554</v>
      </c>
      <c r="U182">
        <v>55</v>
      </c>
      <c r="V182" t="s">
        <v>966</v>
      </c>
      <c r="X182" s="33" t="str">
        <f>IF(COUNTIF(X$1:X181,X181)&gt;7,REPLACE(X181,LEN(X181),1,VALUE(RIGHT(X181,1))+1),X181)</f>
        <v>A3.17</v>
      </c>
      <c r="Y182" s="45" cm="1">
        <f t="array" ref="Y182">IF(COUNTIFS($X$2:$X182,$X182)=1,"1",VALUE(SUBSTITUTE(INDEX(Y:Y,_xlfn.XMATCH($X182,$X$1:$X181,0,-1)),"A",""))+INDEX(Z:Z,_xlfn.XMATCH($X182,$X$1:$X181,0,-1))+1)</f>
        <v>8</v>
      </c>
      <c r="Z182" s="46" cm="1">
        <f t="array" ref="Z182">SUM(IF(ISNUMBER(FIND("TmAi",$BA$1:$ZZ$1)),IF(IFERROR(ISODD(SUBSTITUTE($BA182:$ZZ182,"A","")),FALSE),IF(ISODD(SUBSTITUTE($BA182:$ZZ182,"A","")),1,0),0)))</f>
        <v>0</v>
      </c>
      <c r="AA182" t="str">
        <f t="shared" si="147"/>
        <v>15A</v>
      </c>
      <c r="AB182" t="str">
        <f t="shared" si="148"/>
        <v>15B</v>
      </c>
      <c r="AL182" t="s">
        <v>137</v>
      </c>
      <c r="AM182" t="s">
        <v>873</v>
      </c>
      <c r="AO182" t="s">
        <v>396</v>
      </c>
      <c r="JV182" s="27" t="str">
        <f>CONCATENATE("XT",U182)</f>
        <v>XT55</v>
      </c>
      <c r="JY182" t="str">
        <f>CONCATENATE(T182,"-AI",REPLACE($X182,1,3,""),"-",AA182)</f>
        <v>F0-AI17-15A</v>
      </c>
      <c r="JZ182" t="str">
        <f>CONCATENATE(T182,"-AI",REPLACE($X182,1,3,""),"-",AB182)</f>
        <v>F0-AI17-15B</v>
      </c>
      <c r="KC182" t="s">
        <v>488</v>
      </c>
      <c r="KD182" t="s">
        <v>487</v>
      </c>
      <c r="KE182" cm="1">
        <f t="array" ref="KE182">IF(COUNTIFS($U$2:$U182,$U182)=1,1,INDEX(KE:KE,_xlfn.XMATCH(U182,U$1:U181,0,-1))+COUNT(KE181:KI181))</f>
        <v>356</v>
      </c>
      <c r="KF182">
        <f t="shared" si="149"/>
        <v>357</v>
      </c>
      <c r="KG182">
        <f t="shared" si="149"/>
        <v>358</v>
      </c>
      <c r="KH182">
        <f t="shared" si="149"/>
        <v>359</v>
      </c>
      <c r="KI182">
        <f t="shared" si="149"/>
        <v>360</v>
      </c>
      <c r="KJ182" t="s">
        <v>547</v>
      </c>
      <c r="KK182" s="16" t="s">
        <v>548</v>
      </c>
      <c r="KL182" t="s">
        <v>547</v>
      </c>
      <c r="KM182" t="s">
        <v>548</v>
      </c>
      <c r="KN182" t="s">
        <v>551</v>
      </c>
      <c r="KO182" s="16" t="s">
        <v>552</v>
      </c>
    </row>
    <row r="183" spans="1:532" x14ac:dyDescent="0.25">
      <c r="A183" t="s">
        <v>1027</v>
      </c>
      <c r="B183" s="34" t="s">
        <v>1013</v>
      </c>
      <c r="C183" t="s">
        <v>1012</v>
      </c>
      <c r="P183" t="s">
        <v>1011</v>
      </c>
      <c r="T183" s="14" t="s">
        <v>554</v>
      </c>
      <c r="U183">
        <v>59</v>
      </c>
      <c r="W183" t="s">
        <v>1007</v>
      </c>
      <c r="X183" t="s">
        <v>1057</v>
      </c>
      <c r="Y183" s="43" t="str" cm="1">
        <f t="array" ref="Y183">IF(COUNTIFS($X$2:$X183,$X183)=1,"1",VALUE(SUBSTITUTE(INDEX(Y:Y,_xlfn.XMATCH($X183,$X$1:$X182,0,-1)),"A",""))+INDEX(Z:Z,_xlfn.XMATCH($X183,$X$1:$X182,0,-1))+1)</f>
        <v>1</v>
      </c>
      <c r="Z183" s="46" cm="1">
        <f t="array" ref="Z183">SUM(IF(ISNUMBER(FIND("TmAi",$BA$1:$ZZ$1)),IF(IFERROR(ISODD(SUBSTITUTE($BA183:$ZZ183,"A","")),FALSE),IF(ISODD(SUBSTITUTE($BA183:$ZZ183,"A","")),1,0),0)))</f>
        <v>1</v>
      </c>
      <c r="AA183" t="str">
        <f t="shared" si="147"/>
        <v>1A</v>
      </c>
      <c r="AB183" t="str">
        <f t="shared" si="148"/>
        <v>1B</v>
      </c>
      <c r="AL183" t="s">
        <v>137</v>
      </c>
      <c r="AN183" t="s">
        <v>1023</v>
      </c>
      <c r="AO183" t="s">
        <v>396</v>
      </c>
      <c r="OA183" s="25" t="str">
        <f>CONCATENATE("XT",$U183)</f>
        <v>XT59</v>
      </c>
      <c r="OB183" s="12" t="s">
        <v>1028</v>
      </c>
      <c r="OC183" s="12" t="s">
        <v>1024</v>
      </c>
      <c r="OD183" s="12"/>
      <c r="OE183" s="12"/>
      <c r="OF183" s="12" t="str">
        <f>CONCATENATE(REPLACE($AA183,LEN($AA183),1,"")+1,RIGHT($AA183))</f>
        <v>2A</v>
      </c>
      <c r="OG183" s="12" t="str">
        <f>CONCATENATE(REPLACE($AB183,LEN($AB183),1,"")+1,RIGHT($AB183))</f>
        <v>2B</v>
      </c>
      <c r="OH183" s="12" t="str">
        <f>CONCATENATE(REPLACE(OF183,LEN(OF183),1,"")+1,RIGHT(OF183))</f>
        <v>3A</v>
      </c>
      <c r="OI183" s="12" t="str">
        <f t="shared" ref="OI183:OO185" si="150">CONCATENATE(REPLACE(OG183,LEN(OG183),1,"")+1,RIGHT(OG183))</f>
        <v>3B</v>
      </c>
      <c r="OJ183" s="12" t="str">
        <f t="shared" si="150"/>
        <v>4A</v>
      </c>
      <c r="OK183" s="12" t="str">
        <f t="shared" si="150"/>
        <v>4B</v>
      </c>
      <c r="OL183" s="12"/>
      <c r="OM183" s="12"/>
      <c r="ON183" s="12"/>
      <c r="OO183" s="12"/>
      <c r="OP183" s="12" t="str">
        <f>CONCATENATE($T183,"-AI",REPLACE($X183,1,3,""),"-",$AA183)</f>
        <v>F0-AI31-1A</v>
      </c>
      <c r="OQ183" s="12" t="str">
        <f>CONCATENATE($T183,"-AI",REPLACE($X183,1,3,""),"-",$AB183)</f>
        <v>F0-AI31-1B</v>
      </c>
      <c r="OR183" s="12" t="str">
        <f t="shared" ref="OR183:PA185" si="151">CONCATENATE($T183,"-AI",REPLACE($X183,1,3,""),"-",OF183)</f>
        <v>F0-AI31-2A</v>
      </c>
      <c r="OS183" s="12" t="str">
        <f t="shared" si="151"/>
        <v>F0-AI31-2B</v>
      </c>
      <c r="OT183" s="12" t="str">
        <f t="shared" si="151"/>
        <v>F0-AI31-3A</v>
      </c>
      <c r="OU183" s="12" t="str">
        <f t="shared" si="151"/>
        <v>F0-AI31-3B</v>
      </c>
      <c r="OV183" s="12" t="str">
        <f t="shared" si="151"/>
        <v>F0-AI31-4A</v>
      </c>
      <c r="OW183" s="12" t="str">
        <f t="shared" si="151"/>
        <v>F0-AI31-4B</v>
      </c>
      <c r="OX183" s="12"/>
      <c r="OY183" s="12"/>
      <c r="OZ183" s="12"/>
      <c r="PA183" s="12"/>
      <c r="PB183" s="12" cm="1">
        <f t="array" ref="PB183">IF(COUNTIFS($U$2:$U183,$U183)=1,1,INDEX(PB:PB,_xlfn.XMATCH($U183,$U$1:EB182,0,-1))+COUNT(PB182:PG182))</f>
        <v>1</v>
      </c>
      <c r="PC183" s="12">
        <f t="shared" ref="PC183:PJ185" si="152">PB183+1</f>
        <v>2</v>
      </c>
      <c r="PD183" s="12">
        <f t="shared" si="152"/>
        <v>3</v>
      </c>
      <c r="PE183" s="12">
        <f>PD183+1</f>
        <v>4</v>
      </c>
      <c r="PF183" s="12">
        <f t="shared" ref="PF183:PG183" si="153">PE183+1</f>
        <v>5</v>
      </c>
      <c r="PG183" s="12">
        <f t="shared" si="153"/>
        <v>6</v>
      </c>
      <c r="PH183" s="12"/>
      <c r="PI183" s="12"/>
      <c r="PJ183" s="12"/>
      <c r="PK183" s="12">
        <v>1</v>
      </c>
      <c r="PL183" s="12">
        <v>2</v>
      </c>
      <c r="PM183" s="12">
        <v>3</v>
      </c>
      <c r="PN183" s="12">
        <v>4</v>
      </c>
      <c r="PO183" s="12">
        <v>5</v>
      </c>
      <c r="PP183" s="13">
        <v>6</v>
      </c>
    </row>
    <row r="184" spans="1:532" ht="15.75" thickBot="1" x14ac:dyDescent="0.3">
      <c r="A184" t="s">
        <v>1029</v>
      </c>
      <c r="B184" t="s">
        <v>1025</v>
      </c>
      <c r="C184" t="s">
        <v>1012</v>
      </c>
      <c r="P184" t="s">
        <v>1011</v>
      </c>
      <c r="T184" s="14" t="s">
        <v>554</v>
      </c>
      <c r="U184">
        <v>59</v>
      </c>
      <c r="W184" t="s">
        <v>1008</v>
      </c>
      <c r="X184" t="str">
        <f>IF(COUNTIF(X$1:X183,X183)&gt;7,REPLACE(X183,LEN(X183),1,VALUE(RIGHT(X183,1))+1),X183)</f>
        <v>A3.31</v>
      </c>
      <c r="Y184" s="43" cm="1">
        <f t="array" ref="Y184">IF(COUNTIFS($X$2:$X184,$X184)=1,"1",VALUE(SUBSTITUTE(INDEX(Y:Y,_xlfn.XMATCH($X184,$X$1:$X183,0,-1)),"A",""))+INDEX(Z:Z,_xlfn.XMATCH($X184,$X$1:$X183,0,-1))+1)</f>
        <v>3</v>
      </c>
      <c r="Z184" s="46" cm="1">
        <f t="array" ref="Z184">SUM(IF(ISNUMBER(FIND("TmAi",$BA$1:$ZZ$1)),IF(IFERROR(ISODD(SUBSTITUTE($BA184:$ZZ184,"A","")),FALSE),IF(ISODD(SUBSTITUTE($BA184:$ZZ184,"A","")),1,0),0)))</f>
        <v>1</v>
      </c>
      <c r="AA184" t="str">
        <f t="shared" si="147"/>
        <v>5A</v>
      </c>
      <c r="AB184" t="str">
        <f t="shared" si="148"/>
        <v>5B</v>
      </c>
      <c r="AL184" t="s">
        <v>137</v>
      </c>
      <c r="AN184" t="s">
        <v>1023</v>
      </c>
      <c r="AO184" t="s">
        <v>396</v>
      </c>
      <c r="OA184" s="27" t="str">
        <f t="shared" ref="OA184:OA185" si="154">CONCATENATE("XT",$U184)</f>
        <v>XT59</v>
      </c>
      <c r="OB184" t="s">
        <v>1030</v>
      </c>
      <c r="OC184" t="s">
        <v>1026</v>
      </c>
      <c r="OF184" t="str">
        <f t="shared" ref="OF184:OF185" si="155">CONCATENATE(REPLACE($AA184,LEN($AA184),1,"")+1,RIGHT($AA184))</f>
        <v>6A</v>
      </c>
      <c r="OG184" t="str">
        <f t="shared" ref="OG184:OG185" si="156">CONCATENATE(REPLACE($AB184,LEN($AB184),1,"")+1,RIGHT($AB184))</f>
        <v>6B</v>
      </c>
      <c r="OH184" t="str">
        <f t="shared" ref="OH184:OH185" si="157">CONCATENATE(REPLACE(OF184,LEN(OF184),1,"")+1,RIGHT(OF184))</f>
        <v>7A</v>
      </c>
      <c r="OI184" t="str">
        <f t="shared" si="150"/>
        <v>7B</v>
      </c>
      <c r="OJ184" t="str">
        <f t="shared" si="150"/>
        <v>8A</v>
      </c>
      <c r="OK184" t="str">
        <f t="shared" si="150"/>
        <v>8B</v>
      </c>
      <c r="OP184" t="str">
        <f>CONCATENATE($T184,"-AI",REPLACE($X184,1,3,""),"-",$AA184)</f>
        <v>F0-AI31-5A</v>
      </c>
      <c r="OQ184" t="str">
        <f>CONCATENATE($T184,"-AI",REPLACE($X184,1,3,""),"-",$AB184)</f>
        <v>F0-AI31-5B</v>
      </c>
      <c r="OR184" t="str">
        <f t="shared" si="151"/>
        <v>F0-AI31-6A</v>
      </c>
      <c r="OS184" t="str">
        <f t="shared" si="151"/>
        <v>F0-AI31-6B</v>
      </c>
      <c r="OT184" t="str">
        <f t="shared" si="151"/>
        <v>F0-AI31-7A</v>
      </c>
      <c r="OU184" t="str">
        <f t="shared" si="151"/>
        <v>F0-AI31-7B</v>
      </c>
      <c r="OV184" t="str">
        <f t="shared" si="151"/>
        <v>F0-AI31-8A</v>
      </c>
      <c r="OW184" t="str">
        <f t="shared" si="151"/>
        <v>F0-AI31-8B</v>
      </c>
      <c r="PB184" cm="1">
        <f t="array" ref="PB184">IF(COUNTIFS($U$2:$U184,$U184)=1,1,INDEX(PB:PB,_xlfn.XMATCH($U184,$U$1:$U183,0,-1))+COUNT(PB183:PG183))</f>
        <v>7</v>
      </c>
      <c r="PC184">
        <f t="shared" si="152"/>
        <v>8</v>
      </c>
      <c r="PD184">
        <f t="shared" si="152"/>
        <v>9</v>
      </c>
      <c r="PE184">
        <f t="shared" si="152"/>
        <v>10</v>
      </c>
      <c r="PF184">
        <f t="shared" si="152"/>
        <v>11</v>
      </c>
      <c r="PG184">
        <f t="shared" si="152"/>
        <v>12</v>
      </c>
      <c r="PK184">
        <v>7</v>
      </c>
      <c r="PL184">
        <v>8</v>
      </c>
      <c r="PM184">
        <v>9</v>
      </c>
      <c r="PN184">
        <v>10</v>
      </c>
      <c r="PO184">
        <v>11</v>
      </c>
      <c r="PP184" s="16">
        <v>12</v>
      </c>
    </row>
    <row r="185" spans="1:532" ht="15.75" thickBot="1" x14ac:dyDescent="0.3">
      <c r="A185" t="s">
        <v>1031</v>
      </c>
      <c r="B185" t="s">
        <v>1051</v>
      </c>
      <c r="C185" t="s">
        <v>1012</v>
      </c>
      <c r="P185" t="s">
        <v>1047</v>
      </c>
      <c r="T185" s="14" t="s">
        <v>554</v>
      </c>
      <c r="U185">
        <v>59</v>
      </c>
      <c r="W185" t="s">
        <v>1009</v>
      </c>
      <c r="X185" s="33" t="str">
        <f>IF(COUNTIF(X$1:X184,X184)&gt;7,REPLACE(X184,LEN(X184),1,VALUE(RIGHT(X184,1))+1),X184)</f>
        <v>A3.31</v>
      </c>
      <c r="Y185" s="45" cm="1">
        <f t="array" ref="Y185">IF(COUNTIFS($X$2:$X185,$X185)=1,"1",VALUE(SUBSTITUTE(INDEX(Y:Y,_xlfn.XMATCH($X185,$X$1:$X184,0,-1)),"A",""))+INDEX(Z:Z,_xlfn.XMATCH($X185,$X$1:$X184,0,-1))+1)</f>
        <v>5</v>
      </c>
      <c r="Z185" s="46" cm="1">
        <f t="array" ref="Z185">SUM(IF(ISNUMBER(FIND("TmAi",$BA$1:$ZZ$1)),IF(IFERROR(ISODD(SUBSTITUTE($BA185:$ZZ185,"A","")),FALSE),IF(ISODD(SUBSTITUTE($BA185:$ZZ185,"A","")),1,0),0)))</f>
        <v>2</v>
      </c>
      <c r="AA185" t="str">
        <f t="shared" si="147"/>
        <v>9A</v>
      </c>
      <c r="AB185" t="str">
        <f t="shared" si="148"/>
        <v>9B</v>
      </c>
      <c r="AL185" t="s">
        <v>137</v>
      </c>
      <c r="AN185" t="s">
        <v>1048</v>
      </c>
      <c r="AO185" t="s">
        <v>396</v>
      </c>
      <c r="OA185" s="27" t="str">
        <f t="shared" si="154"/>
        <v>XT59</v>
      </c>
      <c r="OB185" t="s">
        <v>1034</v>
      </c>
      <c r="OC185" t="s">
        <v>1050</v>
      </c>
      <c r="OD185" t="s">
        <v>1035</v>
      </c>
      <c r="OE185" t="s">
        <v>1049</v>
      </c>
      <c r="OF185" t="str">
        <f t="shared" si="155"/>
        <v>10A</v>
      </c>
      <c r="OG185" t="str">
        <f t="shared" si="156"/>
        <v>10B</v>
      </c>
      <c r="OH185" t="str">
        <f t="shared" si="157"/>
        <v>11A</v>
      </c>
      <c r="OI185" t="str">
        <f t="shared" si="150"/>
        <v>11B</v>
      </c>
      <c r="OJ185" t="str">
        <f t="shared" si="150"/>
        <v>12A</v>
      </c>
      <c r="OK185" t="str">
        <f t="shared" si="150"/>
        <v>12B</v>
      </c>
      <c r="OL185" t="str">
        <f t="shared" si="150"/>
        <v>13A</v>
      </c>
      <c r="OM185" t="str">
        <f t="shared" si="150"/>
        <v>13B</v>
      </c>
      <c r="ON185" t="str">
        <f t="shared" si="150"/>
        <v>14A</v>
      </c>
      <c r="OO185" t="str">
        <f t="shared" si="150"/>
        <v>14B</v>
      </c>
      <c r="OP185" t="str">
        <f>CONCATENATE($T185,"-AI",REPLACE($X185,1,3,""),"-",$AA185)</f>
        <v>F0-AI31-9A</v>
      </c>
      <c r="OQ185" t="str">
        <f>CONCATENATE($T185,"-AI",REPLACE($X185,1,3,""),"-",$AB185)</f>
        <v>F0-AI31-9B</v>
      </c>
      <c r="OR185" t="str">
        <f t="shared" si="151"/>
        <v>F0-AI31-10A</v>
      </c>
      <c r="OS185" t="str">
        <f t="shared" si="151"/>
        <v>F0-AI31-10B</v>
      </c>
      <c r="OT185" t="str">
        <f t="shared" si="151"/>
        <v>F0-AI31-11A</v>
      </c>
      <c r="OU185" t="str">
        <f t="shared" si="151"/>
        <v>F0-AI31-11B</v>
      </c>
      <c r="OV185" t="str">
        <f t="shared" si="151"/>
        <v>F0-AI31-12A</v>
      </c>
      <c r="OW185" t="str">
        <f t="shared" si="151"/>
        <v>F0-AI31-12B</v>
      </c>
      <c r="OX185" t="str">
        <f t="shared" si="151"/>
        <v>F0-AI31-13A</v>
      </c>
      <c r="OY185" t="str">
        <f t="shared" si="151"/>
        <v>F0-AI31-13B</v>
      </c>
      <c r="OZ185" t="str">
        <f t="shared" si="151"/>
        <v>F0-AI31-14A</v>
      </c>
      <c r="PA185" t="str">
        <f t="shared" si="151"/>
        <v>F0-AI31-14B</v>
      </c>
      <c r="PB185" cm="1">
        <f t="array" ref="PB185">IF(COUNTIFS($U$2:$U185,$U185)=1,1,INDEX(PB:PB,_xlfn.XMATCH($U185,$U$1:$U184,0,-1))+COUNT(PB184:PG184))</f>
        <v>13</v>
      </c>
      <c r="PC185">
        <f t="shared" si="152"/>
        <v>14</v>
      </c>
      <c r="PD185">
        <f t="shared" si="152"/>
        <v>15</v>
      </c>
      <c r="PE185">
        <f t="shared" si="152"/>
        <v>16</v>
      </c>
      <c r="PF185">
        <f t="shared" si="152"/>
        <v>17</v>
      </c>
      <c r="PG185">
        <f t="shared" si="152"/>
        <v>18</v>
      </c>
      <c r="PH185">
        <f t="shared" si="152"/>
        <v>19</v>
      </c>
      <c r="PI185">
        <f t="shared" si="152"/>
        <v>20</v>
      </c>
      <c r="PJ185">
        <f t="shared" si="152"/>
        <v>21</v>
      </c>
      <c r="PK185">
        <v>1</v>
      </c>
      <c r="PL185">
        <v>2</v>
      </c>
      <c r="PM185">
        <v>3</v>
      </c>
      <c r="PN185">
        <v>4</v>
      </c>
      <c r="PO185">
        <v>5</v>
      </c>
      <c r="PP185">
        <v>6</v>
      </c>
      <c r="PQ185" s="23">
        <v>7</v>
      </c>
      <c r="PR185" s="23">
        <v>8</v>
      </c>
      <c r="PS185" s="24">
        <v>9</v>
      </c>
    </row>
    <row r="186" spans="1:532" ht="15.75" thickBot="1" x14ac:dyDescent="0.3">
      <c r="A186" t="s">
        <v>1054</v>
      </c>
      <c r="B186" t="s">
        <v>1053</v>
      </c>
      <c r="P186" t="s">
        <v>482</v>
      </c>
      <c r="T186" s="14" t="s">
        <v>554</v>
      </c>
      <c r="U186">
        <v>59</v>
      </c>
      <c r="W186" t="s">
        <v>1010</v>
      </c>
      <c r="X186" t="s">
        <v>1055</v>
      </c>
      <c r="Y186" s="43" t="str" cm="1">
        <f t="array" ref="Y186">IF(COUNTIFS($X$2:$X186,$X186)=1,"1",VALUE(SUBSTITUTE(INDEX(Y:Y,_xlfn.XMATCH($X186,$X$1:$X185,0,-1)),"A",""))+INDEX(Z:Z,_xlfn.XMATCH($X186,$X$1:$X185,0,-1))+1)</f>
        <v>1</v>
      </c>
      <c r="Z186" s="46" cm="1">
        <f t="array" ref="Z186">SUM(IF(ISNUMBER(FIND("TmAi",$BA$1:$ZZ$1)),IF(IFERROR(ISODD(SUBSTITUTE($BA186:$ZZ186,"A","")),FALSE),IF(ISODD(SUBSTITUTE($BA186:$ZZ186,"A","")),1,0),0)))</f>
        <v>0</v>
      </c>
      <c r="AA186" t="str">
        <f t="shared" ref="AA186" si="158">CONCATENATE($Y186*2-1,"B")</f>
        <v>1B</v>
      </c>
      <c r="AB186" t="str">
        <f t="shared" ref="AB186" si="159">CONCATENATE($Y186*2,"B")</f>
        <v>2B</v>
      </c>
      <c r="AL186" t="s">
        <v>137</v>
      </c>
      <c r="AM186" t="s">
        <v>1142</v>
      </c>
      <c r="AO186" t="s">
        <v>396</v>
      </c>
      <c r="JV186" s="27" t="str">
        <f>CONCATENATE("XT",U186)</f>
        <v>XT59</v>
      </c>
      <c r="JY186" t="str">
        <f>CONCATENATE(T186,"-AI",REPLACE($X186,1,3,""),"-",AA186)</f>
        <v>F0-AI18-1B</v>
      </c>
      <c r="JZ186" t="str">
        <f>CONCATENATE(T186,"-AI",REPLACE($X186,1,3,""),"-",AB186)</f>
        <v>F0-AI18-2B</v>
      </c>
      <c r="KE186">
        <v>22</v>
      </c>
      <c r="KF186">
        <f t="shared" ref="KF186:KG186" si="160">KE186+1</f>
        <v>23</v>
      </c>
      <c r="KG186">
        <f t="shared" si="160"/>
        <v>24</v>
      </c>
      <c r="KJ186" t="s">
        <v>548</v>
      </c>
      <c r="KK186" s="16" t="s">
        <v>548</v>
      </c>
      <c r="KO186" s="16"/>
      <c r="OA186" s="27"/>
      <c r="PP186" s="16"/>
    </row>
    <row r="187" spans="1:532" ht="15.75" thickBot="1" x14ac:dyDescent="0.3">
      <c r="A187" t="s">
        <v>1141</v>
      </c>
      <c r="B187" s="33" t="s">
        <v>1127</v>
      </c>
      <c r="P187" t="s">
        <v>1061</v>
      </c>
      <c r="T187" s="14" t="s">
        <v>554</v>
      </c>
      <c r="U187">
        <v>59</v>
      </c>
      <c r="W187" t="s">
        <v>1052</v>
      </c>
      <c r="X187" s="33" t="str">
        <f>IF(COUNTIF(X$1:X186,X186)&gt;3,REPLACE(X186,LEN(X186),1,VALUE(RIGHT(X186,1))+1),X186)</f>
        <v>A3.18</v>
      </c>
      <c r="Y187" s="45" cm="1">
        <f t="array" ref="Y187">IF(COUNTIFS($X$2:$X187,$X187)=1,"1",VALUE(SUBSTITUTE(INDEX(Y:Y,_xlfn.XMATCH($X187,$X$1:$X186,0,-1)),"A",""))+INDEX(Z:Z,_xlfn.XMATCH($X187,$X$1:$X186,0,-1))+1)</f>
        <v>2</v>
      </c>
      <c r="Z187" s="46" cm="1">
        <f t="array" ref="Z187">SUM(IF(ISNUMBER(FIND("TmAi",$BA$1:$ZZ$1)),IF(IFERROR(ISODD(SUBSTITUTE($BA187:$ZZ187,"A","")),FALSE),IF(ISODD(SUBSTITUTE($BA187:$ZZ187,"A","")),1,0),0)))</f>
        <v>11</v>
      </c>
      <c r="AA187" t="str">
        <f t="shared" ref="AA187:AA190" si="161">CONCATENATE($Y187*2-1,"A")</f>
        <v>3A</v>
      </c>
      <c r="AB187" t="str">
        <f t="shared" ref="AB187:AB190" si="162">CONCATENATE($Y187*2-1,"B")</f>
        <v>3B</v>
      </c>
      <c r="AN187" t="s">
        <v>1058</v>
      </c>
      <c r="AO187" t="s">
        <v>396</v>
      </c>
      <c r="JV187" s="27"/>
      <c r="KE187" cm="1">
        <f t="array" ref="KE187">IF(COUNTIFS($U$2:$U187,$U187)=1,1,INDEX(KE:KE,_xlfn.XMATCH(U187,U$1:U186,0,-1))+COUNT(KE186:KI186))</f>
        <v>25</v>
      </c>
      <c r="KK187" s="16"/>
      <c r="KO187" s="16"/>
      <c r="PT187" s="25" t="str">
        <f>REPLACE(X187,FIND(".",X187)+1,3,MID(X187,FIND(".",X187)+1,3)+1)</f>
        <v>A3.19</v>
      </c>
      <c r="PU187" s="12" t="str">
        <f>CONCATENATE(VALUE(SUBSTITUTE($AB187,"B",""))+2,"B")</f>
        <v>5B</v>
      </c>
      <c r="PV187" s="12" t="str">
        <f>CONCATENATE(VALUE(SUBSTITUTE($AA187,"A",""))+2,"A")</f>
        <v>5A</v>
      </c>
      <c r="PW187" s="12" t="str">
        <f>CONCATENATE(VALUE(SUBSTITUTE(PU187,"B",""))+2,"B")</f>
        <v>7B</v>
      </c>
      <c r="PX187" s="12" t="str">
        <f>CONCATENATE(VALUE(SUBSTITUTE(PV187,"A",""))+2,"A")</f>
        <v>7A</v>
      </c>
      <c r="PY187" s="12" t="str">
        <f t="shared" ref="PY187" si="163">CONCATENATE(VALUE(SUBSTITUTE(PW187,"B",""))+2,"B")</f>
        <v>9B</v>
      </c>
      <c r="PZ187" s="12" t="str">
        <f t="shared" ref="PZ187" si="164">CONCATENATE(VALUE(SUBSTITUTE(PX187,"A",""))+2,"A")</f>
        <v>9A</v>
      </c>
      <c r="QA187" s="12" t="str">
        <f t="shared" ref="QA187" si="165">CONCATENATE(VALUE(SUBSTITUTE(PY187,"B",""))+2,"B")</f>
        <v>11B</v>
      </c>
      <c r="QB187" s="12" t="str">
        <f t="shared" ref="QB187" si="166">CONCATENATE(VALUE(SUBSTITUTE(PZ187,"A",""))+2,"A")</f>
        <v>11A</v>
      </c>
      <c r="QC187" s="12" t="str">
        <f t="shared" ref="QC187" si="167">CONCATENATE(VALUE(SUBSTITUTE(QA187,"B",""))+2,"B")</f>
        <v>13B</v>
      </c>
      <c r="QD187" s="12" t="str">
        <f t="shared" ref="QD187" si="168">CONCATENATE(VALUE(SUBSTITUTE(QB187,"A",""))+2,"A")</f>
        <v>13A</v>
      </c>
      <c r="QE187" s="12" t="s">
        <v>135</v>
      </c>
      <c r="QF187" s="12" t="s">
        <v>136</v>
      </c>
      <c r="QG187" s="12" t="str">
        <f t="shared" ref="QG187" si="169">CONCATENATE(VALUE(SUBSTITUTE(QE187,"B",""))+2,"B")</f>
        <v>3B</v>
      </c>
      <c r="QH187" s="12" t="str">
        <f t="shared" ref="QH187" si="170">CONCATENATE(VALUE(SUBSTITUTE(QF187,"A",""))+2,"A")</f>
        <v>3A</v>
      </c>
      <c r="QI187" s="12" t="str">
        <f t="shared" ref="QI187" si="171">CONCATENATE(VALUE(SUBSTITUTE(QG187,"B",""))+2,"B")</f>
        <v>5B</v>
      </c>
      <c r="QJ187" s="12" t="str">
        <f t="shared" ref="QJ187" si="172">CONCATENATE(VALUE(SUBSTITUTE(QH187,"A",""))+2,"A")</f>
        <v>5A</v>
      </c>
      <c r="QK187" s="12" t="str">
        <f t="shared" ref="QK187" si="173">CONCATENATE(VALUE(SUBSTITUTE(QI187,"B",""))+2,"B")</f>
        <v>7B</v>
      </c>
      <c r="QL187" s="12" t="str">
        <f t="shared" ref="QL187" si="174">CONCATENATE(VALUE(SUBSTITUTE(QJ187,"A",""))+2,"A")</f>
        <v>7A</v>
      </c>
      <c r="QM187" s="12" t="str">
        <f t="shared" ref="QM187" si="175">CONCATENATE(VALUE(SUBSTITUTE(QK187,"B",""))+2,"B")</f>
        <v>9B</v>
      </c>
      <c r="QN187" s="12" t="str">
        <f t="shared" ref="QN187" si="176">CONCATENATE(VALUE(SUBSTITUTE(QL187,"A",""))+2,"A")</f>
        <v>9A</v>
      </c>
      <c r="QO187" s="12" t="str">
        <f t="shared" ref="QO187" si="177">CONCATENATE(VALUE(SUBSTITUTE(QM187,"B",""))+2,"B")</f>
        <v>11B</v>
      </c>
      <c r="QP187" s="12" t="str">
        <f t="shared" ref="QP187" si="178">CONCATENATE(VALUE(SUBSTITUTE(QN187,"A",""))+2,"A")</f>
        <v>11A</v>
      </c>
      <c r="QQ187" s="12" t="str">
        <f>CONCATENATE($T187,"-AI",REPLACE($X187,1,3,""),"-",AB187)</f>
        <v>F0-AI18-3B</v>
      </c>
      <c r="QR187" s="12" t="str">
        <f>CONCATENATE($T187,"-AI",REPLACE($X187,1,3,""),"-",AA187)</f>
        <v>F0-AI18-3A</v>
      </c>
      <c r="QS187" s="12" t="str">
        <f>CONCATENATE($T187,"-AI",REPLACE($X187,1,3,""),"-",PU187)</f>
        <v>F0-AI18-5B</v>
      </c>
      <c r="QT187" s="12" t="str">
        <f>CONCATENATE($T187,"-AI",REPLACE($X187,1,3,""),"-",PV187)</f>
        <v>F0-AI18-5A</v>
      </c>
      <c r="QU187" s="12" t="str">
        <f t="shared" ref="QU187:RB187" si="179">CONCATENATE($T187,"-AI",REPLACE($X187,1,3,""),"-",PW187)</f>
        <v>F0-AI18-7B</v>
      </c>
      <c r="QV187" s="12" t="str">
        <f t="shared" si="179"/>
        <v>F0-AI18-7A</v>
      </c>
      <c r="QW187" s="12" t="str">
        <f t="shared" si="179"/>
        <v>F0-AI18-9B</v>
      </c>
      <c r="QX187" s="12" t="str">
        <f t="shared" si="179"/>
        <v>F0-AI18-9A</v>
      </c>
      <c r="QY187" s="12" t="str">
        <f t="shared" si="179"/>
        <v>F0-AI18-11B</v>
      </c>
      <c r="QZ187" s="12" t="str">
        <f t="shared" si="179"/>
        <v>F0-AI18-11A</v>
      </c>
      <c r="RA187" s="12" t="str">
        <f t="shared" si="179"/>
        <v>F0-AI18-13B</v>
      </c>
      <c r="RB187" s="12" t="str">
        <f t="shared" si="179"/>
        <v>F0-AI18-13A</v>
      </c>
      <c r="RC187" s="12" t="str">
        <f t="shared" ref="RC187:RN187" si="180">CONCATENATE($T187,"-AI",REPLACE($PT187,1,3,""),"-",QE187)</f>
        <v>F0-AI19-1B</v>
      </c>
      <c r="RD187" s="12" t="str">
        <f t="shared" si="180"/>
        <v>F0-AI19-1A</v>
      </c>
      <c r="RE187" s="12" t="str">
        <f t="shared" si="180"/>
        <v>F0-AI19-3B</v>
      </c>
      <c r="RF187" s="12" t="str">
        <f t="shared" si="180"/>
        <v>F0-AI19-3A</v>
      </c>
      <c r="RG187" s="12" t="str">
        <f t="shared" si="180"/>
        <v>F0-AI19-5B</v>
      </c>
      <c r="RH187" s="12" t="str">
        <f t="shared" si="180"/>
        <v>F0-AI19-5A</v>
      </c>
      <c r="RI187" s="12" t="str">
        <f t="shared" si="180"/>
        <v>F0-AI19-7B</v>
      </c>
      <c r="RJ187" s="12" t="str">
        <f t="shared" si="180"/>
        <v>F0-AI19-7A</v>
      </c>
      <c r="RK187" s="12" t="str">
        <f t="shared" si="180"/>
        <v>F0-AI19-9B</v>
      </c>
      <c r="RL187" s="12" t="str">
        <f t="shared" si="180"/>
        <v>F0-AI19-9A</v>
      </c>
      <c r="RM187" s="12" t="str">
        <f t="shared" si="180"/>
        <v>F0-AI19-11B</v>
      </c>
      <c r="RN187" s="12" t="str">
        <f t="shared" si="180"/>
        <v>F0-AI19-11A</v>
      </c>
      <c r="RO187" s="12" t="str">
        <f t="shared" ref="RO187" si="181">CONCATENATE("XT",$U187)</f>
        <v>XT59</v>
      </c>
      <c r="RP187" s="12">
        <v>22</v>
      </c>
      <c r="RQ187" s="12">
        <v>23</v>
      </c>
      <c r="RR187" s="12">
        <v>24</v>
      </c>
      <c r="RS187" s="12">
        <v>25</v>
      </c>
      <c r="RT187" s="12">
        <v>26</v>
      </c>
      <c r="RU187" s="12">
        <v>27</v>
      </c>
      <c r="RV187" s="12">
        <v>28</v>
      </c>
      <c r="RW187" s="12">
        <v>29</v>
      </c>
      <c r="RX187" s="12">
        <v>30</v>
      </c>
      <c r="RY187" s="12">
        <v>31</v>
      </c>
      <c r="RZ187" s="12">
        <v>32</v>
      </c>
      <c r="SA187" s="12">
        <v>33</v>
      </c>
      <c r="SB187" s="12">
        <v>34</v>
      </c>
      <c r="SC187" s="12">
        <v>35</v>
      </c>
      <c r="SD187" s="12">
        <v>36</v>
      </c>
      <c r="SE187" s="12">
        <v>37</v>
      </c>
      <c r="SF187" s="12">
        <v>38</v>
      </c>
      <c r="SG187" s="12">
        <v>39</v>
      </c>
      <c r="SH187" s="12">
        <v>40</v>
      </c>
      <c r="SI187" s="12">
        <v>41</v>
      </c>
      <c r="SJ187" s="12">
        <v>42</v>
      </c>
      <c r="SK187" s="12">
        <v>43</v>
      </c>
      <c r="SL187" s="12">
        <v>44</v>
      </c>
      <c r="SM187" s="12">
        <v>45</v>
      </c>
      <c r="SN187" s="12">
        <v>46</v>
      </c>
      <c r="SO187" s="12" t="s">
        <v>1060</v>
      </c>
      <c r="SP187" s="12" t="s">
        <v>1116</v>
      </c>
      <c r="SQ187" s="12" t="s">
        <v>1117</v>
      </c>
      <c r="SR187" s="12" t="s">
        <v>1118</v>
      </c>
      <c r="SS187" s="12" t="s">
        <v>1119</v>
      </c>
      <c r="ST187" s="12" t="s">
        <v>1120</v>
      </c>
      <c r="SU187" s="12" t="s">
        <v>1121</v>
      </c>
      <c r="SV187" s="12" t="s">
        <v>1122</v>
      </c>
      <c r="SW187" s="12" t="s">
        <v>1123</v>
      </c>
      <c r="SX187" s="12" t="s">
        <v>1124</v>
      </c>
      <c r="SY187" s="12" t="s">
        <v>1125</v>
      </c>
      <c r="SZ187" s="12" t="s">
        <v>1126</v>
      </c>
      <c r="TA187" s="12" t="s">
        <v>1059</v>
      </c>
      <c r="TB187" s="12" t="s">
        <v>1128</v>
      </c>
      <c r="TC187" s="12" t="s">
        <v>1129</v>
      </c>
      <c r="TD187" s="12" t="s">
        <v>1130</v>
      </c>
      <c r="TE187" s="12" t="s">
        <v>1132</v>
      </c>
      <c r="TF187" s="12" t="s">
        <v>1131</v>
      </c>
      <c r="TG187" s="12" t="s">
        <v>1133</v>
      </c>
      <c r="TH187" s="12" t="s">
        <v>1134</v>
      </c>
      <c r="TI187" s="12" t="s">
        <v>1135</v>
      </c>
      <c r="TJ187" s="12" t="s">
        <v>1136</v>
      </c>
      <c r="TK187" s="12" t="s">
        <v>1137</v>
      </c>
      <c r="TL187" s="13" t="s">
        <v>1138</v>
      </c>
    </row>
    <row r="188" spans="1:532" x14ac:dyDescent="0.25">
      <c r="A188" t="s">
        <v>1169</v>
      </c>
      <c r="B188" s="34" t="s">
        <v>1166</v>
      </c>
      <c r="C188" t="s">
        <v>1012</v>
      </c>
      <c r="P188" t="s">
        <v>1011</v>
      </c>
      <c r="T188" s="14" t="s">
        <v>554</v>
      </c>
      <c r="U188">
        <v>60</v>
      </c>
      <c r="W188" t="s">
        <v>1144</v>
      </c>
      <c r="X188" t="s">
        <v>1178</v>
      </c>
      <c r="Y188" s="43" t="str" cm="1">
        <f t="array" ref="Y188">IF(COUNTIFS($X$2:$X188,$X188)=1,"1",VALUE(SUBSTITUTE(INDEX(Y:Y,_xlfn.XMATCH($X188,$X$1:$X187,0,-1)),"A",""))+INDEX(Z:Z,_xlfn.XMATCH($X188,$X$1:$X187,0,-1))+1)</f>
        <v>1</v>
      </c>
      <c r="Z188" s="46" cm="1">
        <f t="array" ref="Z188">SUM(IF(ISNUMBER(FIND("TmAi",$BA$1:$ZZ$1)),IF(IFERROR(ISODD(SUBSTITUTE($BA188:$ZZ188,"A","")),FALSE),IF(ISODD(SUBSTITUTE($BA188:$ZZ188,"A","")),1,0),0)))</f>
        <v>1</v>
      </c>
      <c r="AA188" t="str">
        <f t="shared" si="161"/>
        <v>1A</v>
      </c>
      <c r="AB188" t="str">
        <f t="shared" si="162"/>
        <v>1B</v>
      </c>
      <c r="AL188" t="s">
        <v>137</v>
      </c>
      <c r="AN188" t="s">
        <v>1152</v>
      </c>
      <c r="AO188" t="s">
        <v>396</v>
      </c>
      <c r="OA188" s="25" t="str">
        <f>CONCATENATE("XT",$U188)</f>
        <v>XT60</v>
      </c>
      <c r="OB188" s="12" t="s">
        <v>1174</v>
      </c>
      <c r="OC188" s="12" t="s">
        <v>1179</v>
      </c>
      <c r="OD188" s="12"/>
      <c r="OE188" s="12"/>
      <c r="OF188" s="12" t="str">
        <f>CONCATENATE(REPLACE($AA188,LEN($AA188),1,"")+1,RIGHT($AA188))</f>
        <v>2A</v>
      </c>
      <c r="OG188" s="12" t="str">
        <f>CONCATENATE(REPLACE($AB188,LEN($AB188),1,"")+1,RIGHT($AB188))</f>
        <v>2B</v>
      </c>
      <c r="OH188" s="12" t="str">
        <f>CONCATENATE(REPLACE(OF188,LEN(OF188),1,"")+1,RIGHT(OF188))</f>
        <v>3A</v>
      </c>
      <c r="OI188" s="12" t="str">
        <f t="shared" ref="OI188:OO190" si="182">CONCATENATE(REPLACE(OG188,LEN(OG188),1,"")+1,RIGHT(OG188))</f>
        <v>3B</v>
      </c>
      <c r="OJ188" s="12" t="str">
        <f t="shared" si="182"/>
        <v>4A</v>
      </c>
      <c r="OK188" s="12" t="str">
        <f t="shared" si="182"/>
        <v>4B</v>
      </c>
      <c r="OL188" s="12"/>
      <c r="OM188" s="12"/>
      <c r="ON188" s="12"/>
      <c r="OO188" s="12"/>
      <c r="OP188" s="12" t="str">
        <f>CONCATENATE($T188,"-AI",REPLACE($X188,1,3,""),"-",$AA188)</f>
        <v>F0-AI32-1A</v>
      </c>
      <c r="OQ188" s="12" t="str">
        <f>CONCATENATE($T188,"-AI",REPLACE($X188,1,3,""),"-",$AB188)</f>
        <v>F0-AI32-1B</v>
      </c>
      <c r="OR188" s="12" t="str">
        <f t="shared" ref="OR188:PA190" si="183">CONCATENATE($T188,"-AI",REPLACE($X188,1,3,""),"-",OF188)</f>
        <v>F0-AI32-2A</v>
      </c>
      <c r="OS188" s="12" t="str">
        <f t="shared" si="183"/>
        <v>F0-AI32-2B</v>
      </c>
      <c r="OT188" s="12" t="str">
        <f t="shared" si="183"/>
        <v>F0-AI32-3A</v>
      </c>
      <c r="OU188" s="12" t="str">
        <f t="shared" si="183"/>
        <v>F0-AI32-3B</v>
      </c>
      <c r="OV188" s="12" t="str">
        <f t="shared" si="183"/>
        <v>F0-AI32-4A</v>
      </c>
      <c r="OW188" s="12" t="str">
        <f t="shared" si="183"/>
        <v>F0-AI32-4B</v>
      </c>
      <c r="OX188" s="12"/>
      <c r="OY188" s="12"/>
      <c r="OZ188" s="12"/>
      <c r="PA188" s="12"/>
      <c r="PB188" s="12" cm="1">
        <f t="array" ref="PB188">IF(COUNTIFS($U$2:$U188,$U188)=1,1,INDEX(PB:PB,_xlfn.XMATCH($U188,$U$1:EB187,0,-1))+COUNT(PB187:PG187))</f>
        <v>1</v>
      </c>
      <c r="PC188" s="12">
        <f t="shared" ref="PC188:PE190" si="184">PB188+1</f>
        <v>2</v>
      </c>
      <c r="PD188" s="12">
        <f t="shared" si="184"/>
        <v>3</v>
      </c>
      <c r="PE188" s="12">
        <f>PD188+1</f>
        <v>4</v>
      </c>
      <c r="PF188" s="12">
        <f t="shared" ref="PF188:PJ190" si="185">PE188+1</f>
        <v>5</v>
      </c>
      <c r="PG188" s="12">
        <f t="shared" si="185"/>
        <v>6</v>
      </c>
      <c r="PH188" s="12"/>
      <c r="PI188" s="12"/>
      <c r="PJ188" s="12"/>
      <c r="PK188" s="12">
        <v>1</v>
      </c>
      <c r="PL188" s="12">
        <v>2</v>
      </c>
      <c r="PM188" s="12">
        <v>3</v>
      </c>
      <c r="PN188" s="12">
        <v>4</v>
      </c>
      <c r="PO188" s="12">
        <v>5</v>
      </c>
      <c r="PP188" s="13">
        <v>6</v>
      </c>
    </row>
    <row r="189" spans="1:532" ht="15.75" thickBot="1" x14ac:dyDescent="0.3">
      <c r="A189" t="s">
        <v>1170</v>
      </c>
      <c r="B189" t="s">
        <v>1167</v>
      </c>
      <c r="C189" t="s">
        <v>1012</v>
      </c>
      <c r="P189" t="s">
        <v>1011</v>
      </c>
      <c r="T189" s="14" t="s">
        <v>554</v>
      </c>
      <c r="U189">
        <v>60</v>
      </c>
      <c r="W189" t="s">
        <v>1146</v>
      </c>
      <c r="X189" t="str">
        <f>IF(COUNTIF(X$1:X188,X188)&gt;7,REPLACE(X188,LEN(X188),1,VALUE(RIGHT(X188,1))+1),X188)</f>
        <v>A3.32</v>
      </c>
      <c r="Y189" s="43" cm="1">
        <f t="array" ref="Y189">IF(COUNTIFS($X$2:$X189,$X189)=1,"1",VALUE(SUBSTITUTE(INDEX(Y:Y,_xlfn.XMATCH($X189,$X$1:$X188,0,-1)),"A",""))+INDEX(Z:Z,_xlfn.XMATCH($X189,$X$1:$X188,0,-1))+1)</f>
        <v>3</v>
      </c>
      <c r="Z189" s="46" cm="1">
        <f t="array" ref="Z189">SUM(IF(ISNUMBER(FIND("TmAi",$BA$1:$ZZ$1)),IF(IFERROR(ISODD(SUBSTITUTE($BA189:$ZZ189,"A","")),FALSE),IF(ISODD(SUBSTITUTE($BA189:$ZZ189,"A","")),1,0),0)))</f>
        <v>1</v>
      </c>
      <c r="AA189" t="str">
        <f t="shared" si="161"/>
        <v>5A</v>
      </c>
      <c r="AB189" t="str">
        <f t="shared" si="162"/>
        <v>5B</v>
      </c>
      <c r="AL189" t="s">
        <v>137</v>
      </c>
      <c r="AN189" t="s">
        <v>1152</v>
      </c>
      <c r="AO189" t="s">
        <v>396</v>
      </c>
      <c r="OA189" s="27" t="str">
        <f t="shared" ref="OA189:OA190" si="186">CONCATENATE("XT",$U189)</f>
        <v>XT60</v>
      </c>
      <c r="OB189" t="s">
        <v>1175</v>
      </c>
      <c r="OC189" t="s">
        <v>1181</v>
      </c>
      <c r="OF189" t="str">
        <f t="shared" ref="OF189:OF190" si="187">CONCATENATE(REPLACE($AA189,LEN($AA189),1,"")+1,RIGHT($AA189))</f>
        <v>6A</v>
      </c>
      <c r="OG189" t="str">
        <f t="shared" ref="OG189:OG190" si="188">CONCATENATE(REPLACE($AB189,LEN($AB189),1,"")+1,RIGHT($AB189))</f>
        <v>6B</v>
      </c>
      <c r="OH189" t="str">
        <f t="shared" ref="OH189:OH190" si="189">CONCATENATE(REPLACE(OF189,LEN(OF189),1,"")+1,RIGHT(OF189))</f>
        <v>7A</v>
      </c>
      <c r="OI189" t="str">
        <f t="shared" si="182"/>
        <v>7B</v>
      </c>
      <c r="OJ189" t="str">
        <f t="shared" si="182"/>
        <v>8A</v>
      </c>
      <c r="OK189" t="str">
        <f t="shared" si="182"/>
        <v>8B</v>
      </c>
      <c r="OP189" t="str">
        <f>CONCATENATE($T189,"-AI",REPLACE($X189,1,3,""),"-",$AA189)</f>
        <v>F0-AI32-5A</v>
      </c>
      <c r="OQ189" t="str">
        <f>CONCATENATE($T189,"-AI",REPLACE($X189,1,3,""),"-",$AB189)</f>
        <v>F0-AI32-5B</v>
      </c>
      <c r="OR189" t="str">
        <f t="shared" si="183"/>
        <v>F0-AI32-6A</v>
      </c>
      <c r="OS189" t="str">
        <f t="shared" si="183"/>
        <v>F0-AI32-6B</v>
      </c>
      <c r="OT189" t="str">
        <f t="shared" si="183"/>
        <v>F0-AI32-7A</v>
      </c>
      <c r="OU189" t="str">
        <f t="shared" si="183"/>
        <v>F0-AI32-7B</v>
      </c>
      <c r="OV189" t="str">
        <f t="shared" si="183"/>
        <v>F0-AI32-8A</v>
      </c>
      <c r="OW189" t="str">
        <f t="shared" si="183"/>
        <v>F0-AI32-8B</v>
      </c>
      <c r="PB189" cm="1">
        <f t="array" ref="PB189">IF(COUNTIFS($U$2:$U189,$U189)=1,1,INDEX(PB:PB,_xlfn.XMATCH($U189,$U$1:$U188,0,-1))+COUNT(PB188:PG188))</f>
        <v>7</v>
      </c>
      <c r="PC189">
        <f t="shared" si="184"/>
        <v>8</v>
      </c>
      <c r="PD189">
        <f t="shared" si="184"/>
        <v>9</v>
      </c>
      <c r="PE189">
        <f t="shared" si="184"/>
        <v>10</v>
      </c>
      <c r="PF189">
        <f t="shared" si="185"/>
        <v>11</v>
      </c>
      <c r="PG189">
        <f t="shared" si="185"/>
        <v>12</v>
      </c>
      <c r="PK189">
        <v>7</v>
      </c>
      <c r="PL189">
        <v>8</v>
      </c>
      <c r="PM189">
        <v>9</v>
      </c>
      <c r="PN189">
        <v>10</v>
      </c>
      <c r="PO189">
        <v>11</v>
      </c>
      <c r="PP189" s="16">
        <v>12</v>
      </c>
    </row>
    <row r="190" spans="1:532" ht="15.75" thickBot="1" x14ac:dyDescent="0.3">
      <c r="A190" t="s">
        <v>1171</v>
      </c>
      <c r="B190" t="s">
        <v>1168</v>
      </c>
      <c r="C190" t="s">
        <v>1012</v>
      </c>
      <c r="P190" t="s">
        <v>1047</v>
      </c>
      <c r="T190" s="14" t="s">
        <v>554</v>
      </c>
      <c r="U190">
        <v>60</v>
      </c>
      <c r="W190" t="s">
        <v>1149</v>
      </c>
      <c r="X190" s="33" t="str">
        <f>IF(COUNTIF(X$1:X189,X189)&gt;7,REPLACE(X189,LEN(X189),1,VALUE(RIGHT(X189,1))+1),X189)</f>
        <v>A3.32</v>
      </c>
      <c r="Y190" s="45" cm="1">
        <f t="array" ref="Y190">IF(COUNTIFS($X$2:$X190,$X190)=1,"1",VALUE(SUBSTITUTE(INDEX(Y:Y,_xlfn.XMATCH($X190,$X$1:$X189,0,-1)),"A",""))+INDEX(Z:Z,_xlfn.XMATCH($X190,$X$1:$X189,0,-1))+1)</f>
        <v>5</v>
      </c>
      <c r="Z190" s="46" cm="1">
        <f t="array" ref="Z190">SUM(IF(ISNUMBER(FIND("TmAi",$BA$1:$ZZ$1)),IF(IFERROR(ISODD(SUBSTITUTE($BA190:$ZZ190,"A","")),FALSE),IF(ISODD(SUBSTITUTE($BA190:$ZZ190,"A","")),1,0),0)))</f>
        <v>2</v>
      </c>
      <c r="AA190" t="str">
        <f t="shared" si="161"/>
        <v>9A</v>
      </c>
      <c r="AB190" t="str">
        <f t="shared" si="162"/>
        <v>9B</v>
      </c>
      <c r="AL190" t="s">
        <v>137</v>
      </c>
      <c r="AN190" t="s">
        <v>1153</v>
      </c>
      <c r="AO190" t="s">
        <v>396</v>
      </c>
      <c r="OA190" s="27" t="str">
        <f t="shared" si="186"/>
        <v>XT60</v>
      </c>
      <c r="OB190" t="s">
        <v>1176</v>
      </c>
      <c r="OC190" t="s">
        <v>1183</v>
      </c>
      <c r="OD190" t="s">
        <v>1320</v>
      </c>
      <c r="OE190" t="s">
        <v>1319</v>
      </c>
      <c r="OF190" t="str">
        <f t="shared" si="187"/>
        <v>10A</v>
      </c>
      <c r="OG190" t="str">
        <f t="shared" si="188"/>
        <v>10B</v>
      </c>
      <c r="OH190" t="str">
        <f t="shared" si="189"/>
        <v>11A</v>
      </c>
      <c r="OI190" t="str">
        <f t="shared" si="182"/>
        <v>11B</v>
      </c>
      <c r="OJ190" t="str">
        <f t="shared" si="182"/>
        <v>12A</v>
      </c>
      <c r="OK190" t="str">
        <f t="shared" si="182"/>
        <v>12B</v>
      </c>
      <c r="OL190" t="str">
        <f t="shared" si="182"/>
        <v>13A</v>
      </c>
      <c r="OM190" t="str">
        <f t="shared" si="182"/>
        <v>13B</v>
      </c>
      <c r="ON190" t="str">
        <f t="shared" si="182"/>
        <v>14A</v>
      </c>
      <c r="OO190" t="str">
        <f t="shared" si="182"/>
        <v>14B</v>
      </c>
      <c r="OP190" t="str">
        <f>CONCATENATE($T190,"-AI",REPLACE($X190,1,3,""),"-",$AA190)</f>
        <v>F0-AI32-9A</v>
      </c>
      <c r="OQ190" t="str">
        <f>CONCATENATE($T190,"-AI",REPLACE($X190,1,3,""),"-",$AB190)</f>
        <v>F0-AI32-9B</v>
      </c>
      <c r="OR190" t="str">
        <f t="shared" si="183"/>
        <v>F0-AI32-10A</v>
      </c>
      <c r="OS190" t="str">
        <f t="shared" si="183"/>
        <v>F0-AI32-10B</v>
      </c>
      <c r="OT190" t="str">
        <f t="shared" si="183"/>
        <v>F0-AI32-11A</v>
      </c>
      <c r="OU190" t="str">
        <f t="shared" si="183"/>
        <v>F0-AI32-11B</v>
      </c>
      <c r="OV190" t="str">
        <f t="shared" si="183"/>
        <v>F0-AI32-12A</v>
      </c>
      <c r="OW190" t="str">
        <f t="shared" si="183"/>
        <v>F0-AI32-12B</v>
      </c>
      <c r="OX190" t="str">
        <f t="shared" si="183"/>
        <v>F0-AI32-13A</v>
      </c>
      <c r="OY190" t="str">
        <f t="shared" si="183"/>
        <v>F0-AI32-13B</v>
      </c>
      <c r="OZ190" t="str">
        <f t="shared" si="183"/>
        <v>F0-AI32-14A</v>
      </c>
      <c r="PA190" t="str">
        <f t="shared" si="183"/>
        <v>F0-AI32-14B</v>
      </c>
      <c r="PB190" cm="1">
        <f t="array" ref="PB190">IF(COUNTIFS($U$2:$U190,$U190)=1,1,INDEX(PB:PB,_xlfn.XMATCH($U190,$U$1:$U189,0,-1))+COUNT(PB189:PG189))</f>
        <v>13</v>
      </c>
      <c r="PC190">
        <f t="shared" si="184"/>
        <v>14</v>
      </c>
      <c r="PD190">
        <f t="shared" si="184"/>
        <v>15</v>
      </c>
      <c r="PE190">
        <f t="shared" si="184"/>
        <v>16</v>
      </c>
      <c r="PF190">
        <f t="shared" si="185"/>
        <v>17</v>
      </c>
      <c r="PG190">
        <f t="shared" si="185"/>
        <v>18</v>
      </c>
      <c r="PH190">
        <f t="shared" si="185"/>
        <v>19</v>
      </c>
      <c r="PI190">
        <f t="shared" si="185"/>
        <v>20</v>
      </c>
      <c r="PJ190">
        <f t="shared" si="185"/>
        <v>21</v>
      </c>
      <c r="PK190">
        <v>1</v>
      </c>
      <c r="PL190">
        <v>2</v>
      </c>
      <c r="PM190">
        <v>3</v>
      </c>
      <c r="PN190">
        <v>4</v>
      </c>
      <c r="PO190">
        <v>5</v>
      </c>
      <c r="PP190">
        <v>6</v>
      </c>
      <c r="PQ190" s="23">
        <v>7</v>
      </c>
      <c r="PR190" s="23">
        <v>8</v>
      </c>
      <c r="PS190" s="24">
        <v>9</v>
      </c>
    </row>
    <row r="191" spans="1:532" ht="15.75" thickBot="1" x14ac:dyDescent="0.3">
      <c r="A191" t="s">
        <v>1172</v>
      </c>
      <c r="B191" t="s">
        <v>1143</v>
      </c>
      <c r="P191" t="s">
        <v>482</v>
      </c>
      <c r="T191" s="14" t="s">
        <v>554</v>
      </c>
      <c r="U191">
        <v>60</v>
      </c>
      <c r="W191" t="s">
        <v>1150</v>
      </c>
      <c r="X191" t="s">
        <v>1148</v>
      </c>
      <c r="Y191" s="43" t="str" cm="1">
        <f t="array" ref="Y191">IF(COUNTIFS($X$2:$X191,$X191)=1,"1",VALUE(SUBSTITUTE(INDEX(Y:Y,_xlfn.XMATCH($X191,$X$1:$X190,0,-1)),"A",""))+INDEX(Z:Z,_xlfn.XMATCH($X191,$X$1:$X190,0,-1))+1)</f>
        <v>1</v>
      </c>
      <c r="Z191" s="46" cm="1">
        <f t="array" ref="Z191">SUM(IF(ISNUMBER(FIND("TmAi",$BA$1:$ZZ$1)),IF(IFERROR(ISODD(SUBSTITUTE($BA191:$ZZ191,"A","")),FALSE),IF(ISODD(SUBSTITUTE($BA191:$ZZ191,"A","")),1,0),0)))</f>
        <v>0</v>
      </c>
      <c r="AA191" t="str">
        <f t="shared" ref="AA191" si="190">CONCATENATE($Y191*2-1,"B")</f>
        <v>1B</v>
      </c>
      <c r="AB191" t="str">
        <f t="shared" ref="AB191" si="191">CONCATENATE($Y191*2,"B")</f>
        <v>2B</v>
      </c>
      <c r="AL191" t="s">
        <v>137</v>
      </c>
      <c r="AM191" t="s">
        <v>1142</v>
      </c>
      <c r="AO191" t="s">
        <v>396</v>
      </c>
      <c r="JV191" s="27" t="str">
        <f>CONCATENATE("XT",U191)</f>
        <v>XT60</v>
      </c>
      <c r="JY191" t="str">
        <f>CONCATENATE(T191,"-AI",REPLACE($X191,1,3,""),"-",AA191)</f>
        <v>F0-AI20-1B</v>
      </c>
      <c r="JZ191" t="str">
        <f>CONCATENATE(T191,"-AI",REPLACE($X191,1,3,""),"-",AB191)</f>
        <v>F0-AI20-2B</v>
      </c>
      <c r="KE191">
        <v>22</v>
      </c>
      <c r="KF191">
        <f t="shared" ref="KF191:KG191" si="192">KE191+1</f>
        <v>23</v>
      </c>
      <c r="KG191">
        <f t="shared" si="192"/>
        <v>24</v>
      </c>
      <c r="KJ191" t="s">
        <v>548</v>
      </c>
      <c r="KK191" s="16" t="s">
        <v>548</v>
      </c>
      <c r="KO191" s="16"/>
      <c r="OA191" s="27"/>
      <c r="PP191" s="16"/>
    </row>
    <row r="192" spans="1:532" ht="15.75" thickBot="1" x14ac:dyDescent="0.3">
      <c r="A192" t="s">
        <v>1173</v>
      </c>
      <c r="B192" s="33" t="s">
        <v>1145</v>
      </c>
      <c r="P192" t="s">
        <v>1061</v>
      </c>
      <c r="T192" s="14" t="s">
        <v>554</v>
      </c>
      <c r="U192">
        <v>60</v>
      </c>
      <c r="W192" t="s">
        <v>1151</v>
      </c>
      <c r="X192" s="33" t="str">
        <f>IF(COUNTIF(X$1:X191,X191)&gt;3,REPLACE(X191,LEN(X191),1,VALUE(RIGHT(X191,1))+1),X191)</f>
        <v>A3.20</v>
      </c>
      <c r="Y192" s="45" cm="1">
        <f t="array" ref="Y192">IF(COUNTIFS($X$2:$X192,$X192)=1,"1",VALUE(SUBSTITUTE(INDEX(Y:Y,_xlfn.XMATCH($X192,$X$1:$X191,0,-1)),"A",""))+INDEX(Z:Z,_xlfn.XMATCH($X192,$X$1:$X191,0,-1))+1)</f>
        <v>2</v>
      </c>
      <c r="Z192" s="46" cm="1">
        <f t="array" ref="Z192">SUM(IF(ISNUMBER(FIND("TmAi",$BA$1:$ZZ$1)),IF(IFERROR(ISODD(SUBSTITUTE($BA192:$ZZ192,"A","")),FALSE),IF(ISODD(SUBSTITUTE($BA192:$ZZ192,"A","")),1,0),0)))</f>
        <v>11</v>
      </c>
      <c r="AA192" t="str">
        <f t="shared" ref="AA192:AA195" si="193">CONCATENATE($Y192*2-1,"A")</f>
        <v>3A</v>
      </c>
      <c r="AB192" t="str">
        <f t="shared" ref="AB192:AB195" si="194">CONCATENATE($Y192*2-1,"B")</f>
        <v>3B</v>
      </c>
      <c r="AN192" t="s">
        <v>1147</v>
      </c>
      <c r="AO192" t="s">
        <v>396</v>
      </c>
      <c r="JV192" s="27"/>
      <c r="KE192" cm="1">
        <f t="array" ref="KE192">IF(COUNTIFS($U$2:$U192,$U192)=1,1,INDEX(KE:KE,_xlfn.XMATCH(U192,U$1:U191,0,-1))+COUNT(KE191:KI191))</f>
        <v>25</v>
      </c>
      <c r="KK192" s="16"/>
      <c r="KO192" s="16"/>
      <c r="PT192" s="25" t="str">
        <f>REPLACE(X192,FIND(".",X192)+1,3,MID(X192,FIND(".",X192)+1,3)+1)</f>
        <v>A3.21</v>
      </c>
      <c r="PU192" s="12" t="str">
        <f>CONCATENATE(VALUE(SUBSTITUTE($AB192,"B",""))+2,"B")</f>
        <v>5B</v>
      </c>
      <c r="PV192" s="12" t="str">
        <f>CONCATENATE(VALUE(SUBSTITUTE($AA192,"A",""))+2,"A")</f>
        <v>5A</v>
      </c>
      <c r="PW192" s="12" t="str">
        <f>CONCATENATE(VALUE(SUBSTITUTE(PU192,"B",""))+2,"B")</f>
        <v>7B</v>
      </c>
      <c r="PX192" s="12" t="str">
        <f>CONCATENATE(VALUE(SUBSTITUTE(PV192,"A",""))+2,"A")</f>
        <v>7A</v>
      </c>
      <c r="PY192" s="12" t="str">
        <f t="shared" ref="PY192" si="195">CONCATENATE(VALUE(SUBSTITUTE(PW192,"B",""))+2,"B")</f>
        <v>9B</v>
      </c>
      <c r="PZ192" s="12" t="str">
        <f t="shared" ref="PZ192" si="196">CONCATENATE(VALUE(SUBSTITUTE(PX192,"A",""))+2,"A")</f>
        <v>9A</v>
      </c>
      <c r="QA192" s="12" t="str">
        <f t="shared" ref="QA192" si="197">CONCATENATE(VALUE(SUBSTITUTE(PY192,"B",""))+2,"B")</f>
        <v>11B</v>
      </c>
      <c r="QB192" s="12" t="str">
        <f t="shared" ref="QB192" si="198">CONCATENATE(VALUE(SUBSTITUTE(PZ192,"A",""))+2,"A")</f>
        <v>11A</v>
      </c>
      <c r="QC192" s="12" t="str">
        <f t="shared" ref="QC192" si="199">CONCATENATE(VALUE(SUBSTITUTE(QA192,"B",""))+2,"B")</f>
        <v>13B</v>
      </c>
      <c r="QD192" s="12" t="str">
        <f t="shared" ref="QD192" si="200">CONCATENATE(VALUE(SUBSTITUTE(QB192,"A",""))+2,"A")</f>
        <v>13A</v>
      </c>
      <c r="QE192" s="12" t="s">
        <v>135</v>
      </c>
      <c r="QF192" s="12" t="s">
        <v>136</v>
      </c>
      <c r="QG192" s="12" t="str">
        <f t="shared" ref="QG192" si="201">CONCATENATE(VALUE(SUBSTITUTE(QE192,"B",""))+2,"B")</f>
        <v>3B</v>
      </c>
      <c r="QH192" s="12" t="str">
        <f t="shared" ref="QH192" si="202">CONCATENATE(VALUE(SUBSTITUTE(QF192,"A",""))+2,"A")</f>
        <v>3A</v>
      </c>
      <c r="QI192" s="12" t="str">
        <f t="shared" ref="QI192" si="203">CONCATENATE(VALUE(SUBSTITUTE(QG192,"B",""))+2,"B")</f>
        <v>5B</v>
      </c>
      <c r="QJ192" s="12" t="str">
        <f t="shared" ref="QJ192" si="204">CONCATENATE(VALUE(SUBSTITUTE(QH192,"A",""))+2,"A")</f>
        <v>5A</v>
      </c>
      <c r="QK192" s="12" t="str">
        <f t="shared" ref="QK192" si="205">CONCATENATE(VALUE(SUBSTITUTE(QI192,"B",""))+2,"B")</f>
        <v>7B</v>
      </c>
      <c r="QL192" s="12" t="str">
        <f t="shared" ref="QL192" si="206">CONCATENATE(VALUE(SUBSTITUTE(QJ192,"A",""))+2,"A")</f>
        <v>7A</v>
      </c>
      <c r="QM192" s="12" t="str">
        <f t="shared" ref="QM192" si="207">CONCATENATE(VALUE(SUBSTITUTE(QK192,"B",""))+2,"B")</f>
        <v>9B</v>
      </c>
      <c r="QN192" s="12" t="str">
        <f t="shared" ref="QN192" si="208">CONCATENATE(VALUE(SUBSTITUTE(QL192,"A",""))+2,"A")</f>
        <v>9A</v>
      </c>
      <c r="QO192" s="12" t="str">
        <f t="shared" ref="QO192" si="209">CONCATENATE(VALUE(SUBSTITUTE(QM192,"B",""))+2,"B")</f>
        <v>11B</v>
      </c>
      <c r="QP192" s="12" t="str">
        <f t="shared" ref="QP192" si="210">CONCATENATE(VALUE(SUBSTITUTE(QN192,"A",""))+2,"A")</f>
        <v>11A</v>
      </c>
      <c r="QQ192" s="12" t="str">
        <f>CONCATENATE($T192,"-AI",REPLACE($X192,1,3,""),"-",AB192)</f>
        <v>F0-AI20-3B</v>
      </c>
      <c r="QR192" s="12" t="str">
        <f>CONCATENATE($T192,"-AI",REPLACE($X192,1,3,""),"-",AA192)</f>
        <v>F0-AI20-3A</v>
      </c>
      <c r="QS192" s="12" t="str">
        <f>CONCATENATE($T192,"-AI",REPLACE($X192,1,3,""),"-",PU192)</f>
        <v>F0-AI20-5B</v>
      </c>
      <c r="QT192" s="12" t="str">
        <f>CONCATENATE($T192,"-AI",REPLACE($X192,1,3,""),"-",PV192)</f>
        <v>F0-AI20-5A</v>
      </c>
      <c r="QU192" s="12" t="str">
        <f t="shared" ref="QU192:RB192" si="211">CONCATENATE($T192,"-AI",REPLACE($X192,1,3,""),"-",PW192)</f>
        <v>F0-AI20-7B</v>
      </c>
      <c r="QV192" s="12" t="str">
        <f t="shared" si="211"/>
        <v>F0-AI20-7A</v>
      </c>
      <c r="QW192" s="12" t="str">
        <f t="shared" si="211"/>
        <v>F0-AI20-9B</v>
      </c>
      <c r="QX192" s="12" t="str">
        <f t="shared" si="211"/>
        <v>F0-AI20-9A</v>
      </c>
      <c r="QY192" s="12" t="str">
        <f t="shared" si="211"/>
        <v>F0-AI20-11B</v>
      </c>
      <c r="QZ192" s="12" t="str">
        <f t="shared" si="211"/>
        <v>F0-AI20-11A</v>
      </c>
      <c r="RA192" s="12" t="str">
        <f t="shared" si="211"/>
        <v>F0-AI20-13B</v>
      </c>
      <c r="RB192" s="12" t="str">
        <f t="shared" si="211"/>
        <v>F0-AI20-13A</v>
      </c>
      <c r="RC192" s="12" t="str">
        <f t="shared" ref="RC192:RN192" si="212">CONCATENATE($T192,"-AI",REPLACE($PT192,1,3,""),"-",QE192)</f>
        <v>F0-AI21-1B</v>
      </c>
      <c r="RD192" s="12" t="str">
        <f t="shared" si="212"/>
        <v>F0-AI21-1A</v>
      </c>
      <c r="RE192" s="12" t="str">
        <f t="shared" si="212"/>
        <v>F0-AI21-3B</v>
      </c>
      <c r="RF192" s="12" t="str">
        <f t="shared" si="212"/>
        <v>F0-AI21-3A</v>
      </c>
      <c r="RG192" s="12" t="str">
        <f t="shared" si="212"/>
        <v>F0-AI21-5B</v>
      </c>
      <c r="RH192" s="12" t="str">
        <f t="shared" si="212"/>
        <v>F0-AI21-5A</v>
      </c>
      <c r="RI192" s="12" t="str">
        <f t="shared" si="212"/>
        <v>F0-AI21-7B</v>
      </c>
      <c r="RJ192" s="12" t="str">
        <f t="shared" si="212"/>
        <v>F0-AI21-7A</v>
      </c>
      <c r="RK192" s="12" t="str">
        <f t="shared" si="212"/>
        <v>F0-AI21-9B</v>
      </c>
      <c r="RL192" s="12" t="str">
        <f t="shared" si="212"/>
        <v>F0-AI21-9A</v>
      </c>
      <c r="RM192" s="12" t="str">
        <f t="shared" si="212"/>
        <v>F0-AI21-11B</v>
      </c>
      <c r="RN192" s="12" t="str">
        <f t="shared" si="212"/>
        <v>F0-AI21-11A</v>
      </c>
      <c r="RO192" s="12" t="str">
        <f t="shared" ref="RO192" si="213">CONCATENATE("XT",$U192)</f>
        <v>XT60</v>
      </c>
      <c r="RP192" s="12">
        <v>22</v>
      </c>
      <c r="RQ192" s="12">
        <v>23</v>
      </c>
      <c r="RR192" s="12">
        <v>24</v>
      </c>
      <c r="RS192" s="12">
        <v>25</v>
      </c>
      <c r="RT192" s="12">
        <v>26</v>
      </c>
      <c r="RU192" s="12">
        <v>27</v>
      </c>
      <c r="RV192" s="12">
        <v>28</v>
      </c>
      <c r="RW192" s="12">
        <v>29</v>
      </c>
      <c r="RX192" s="12">
        <v>30</v>
      </c>
      <c r="RY192" s="12">
        <v>31</v>
      </c>
      <c r="RZ192" s="12">
        <v>32</v>
      </c>
      <c r="SA192" s="12">
        <v>33</v>
      </c>
      <c r="SB192" s="12">
        <v>34</v>
      </c>
      <c r="SC192" s="12">
        <v>35</v>
      </c>
      <c r="SD192" s="12">
        <v>36</v>
      </c>
      <c r="SE192" s="12">
        <v>37</v>
      </c>
      <c r="SF192" s="12">
        <v>38</v>
      </c>
      <c r="SG192" s="12">
        <v>39</v>
      </c>
      <c r="SH192" s="12">
        <v>40</v>
      </c>
      <c r="SI192" s="12">
        <v>41</v>
      </c>
      <c r="SJ192" s="12">
        <v>42</v>
      </c>
      <c r="SK192" s="12">
        <v>43</v>
      </c>
      <c r="SL192" s="12">
        <v>44</v>
      </c>
      <c r="SM192" s="12">
        <v>45</v>
      </c>
      <c r="SN192" s="12">
        <v>46</v>
      </c>
      <c r="SO192" s="12" t="s">
        <v>1154</v>
      </c>
      <c r="SP192" s="12" t="s">
        <v>1155</v>
      </c>
      <c r="SQ192" s="12" t="s">
        <v>1156</v>
      </c>
      <c r="SR192" s="12" t="s">
        <v>1157</v>
      </c>
      <c r="SS192" s="12" t="s">
        <v>1158</v>
      </c>
      <c r="ST192" s="12" t="s">
        <v>1159</v>
      </c>
      <c r="SU192" s="12" t="s">
        <v>1160</v>
      </c>
      <c r="SV192" s="12" t="s">
        <v>1161</v>
      </c>
      <c r="SW192" s="12" t="s">
        <v>1162</v>
      </c>
      <c r="SX192" s="12" t="s">
        <v>1163</v>
      </c>
      <c r="SY192" s="12" t="s">
        <v>1164</v>
      </c>
      <c r="SZ192" s="12" t="s">
        <v>1165</v>
      </c>
      <c r="TA192" s="12" t="s">
        <v>1059</v>
      </c>
      <c r="TB192" s="12" t="s">
        <v>1128</v>
      </c>
      <c r="TC192" s="12" t="s">
        <v>1129</v>
      </c>
      <c r="TD192" s="12" t="s">
        <v>1130</v>
      </c>
      <c r="TE192" s="12" t="s">
        <v>1132</v>
      </c>
      <c r="TF192" s="12" t="s">
        <v>1131</v>
      </c>
      <c r="TG192" s="12" t="s">
        <v>1133</v>
      </c>
      <c r="TH192" s="12" t="s">
        <v>1134</v>
      </c>
      <c r="TI192" s="12" t="s">
        <v>1135</v>
      </c>
      <c r="TJ192" s="12" t="s">
        <v>1136</v>
      </c>
      <c r="TK192" s="12" t="s">
        <v>1137</v>
      </c>
      <c r="TL192" s="13" t="s">
        <v>1138</v>
      </c>
    </row>
    <row r="193" spans="1:532" x14ac:dyDescent="0.25">
      <c r="A193" t="s">
        <v>1186</v>
      </c>
      <c r="B193" s="34" t="s">
        <v>1206</v>
      </c>
      <c r="C193" t="s">
        <v>1012</v>
      </c>
      <c r="P193" t="s">
        <v>1011</v>
      </c>
      <c r="T193" s="14" t="s">
        <v>554</v>
      </c>
      <c r="U193">
        <v>61</v>
      </c>
      <c r="W193" t="s">
        <v>1177</v>
      </c>
      <c r="X193" t="s">
        <v>1252</v>
      </c>
      <c r="Y193" s="43" t="str" cm="1">
        <f t="array" ref="Y193">IF(COUNTIFS($X$2:$X193,$X193)=1,"1",VALUE(SUBSTITUTE(INDEX(Y:Y,_xlfn.XMATCH($X193,$X$1:$X192,0,-1)),"A",""))+INDEX(Z:Z,_xlfn.XMATCH($X193,$X$1:$X192,0,-1))+1)</f>
        <v>1</v>
      </c>
      <c r="Z193" s="46" cm="1">
        <f t="array" ref="Z193">SUM(IF(ISNUMBER(FIND("TmAi",$BA$1:$ZZ$1)),IF(IFERROR(ISODD(SUBSTITUTE($BA193:$ZZ193,"A","")),FALSE),IF(ISODD(SUBSTITUTE($BA193:$ZZ193,"A","")),1,0),0)))</f>
        <v>1</v>
      </c>
      <c r="AA193" t="str">
        <f t="shared" si="193"/>
        <v>1A</v>
      </c>
      <c r="AB193" t="str">
        <f t="shared" si="194"/>
        <v>1B</v>
      </c>
      <c r="AL193" t="s">
        <v>137</v>
      </c>
      <c r="AN193" t="s">
        <v>1207</v>
      </c>
      <c r="AO193" t="s">
        <v>396</v>
      </c>
      <c r="OA193" s="25" t="str">
        <f>CONCATENATE("XT",$U193)</f>
        <v>XT61</v>
      </c>
      <c r="OB193" s="12" t="s">
        <v>1187</v>
      </c>
      <c r="OC193" s="12" t="s">
        <v>1323</v>
      </c>
      <c r="OD193" s="12"/>
      <c r="OE193" s="12"/>
      <c r="OF193" s="12" t="str">
        <f>CONCATENATE(REPLACE($AA193,LEN($AA193),1,"")+1,RIGHT($AA193))</f>
        <v>2A</v>
      </c>
      <c r="OG193" s="12" t="str">
        <f>CONCATENATE(REPLACE($AB193,LEN($AB193),1,"")+1,RIGHT($AB193))</f>
        <v>2B</v>
      </c>
      <c r="OH193" s="12" t="str">
        <f>CONCATENATE(REPLACE(OF193,LEN(OF193),1,"")+1,RIGHT(OF193))</f>
        <v>3A</v>
      </c>
      <c r="OI193" s="12" t="str">
        <f t="shared" ref="OI193:OO195" si="214">CONCATENATE(REPLACE(OG193,LEN(OG193),1,"")+1,RIGHT(OG193))</f>
        <v>3B</v>
      </c>
      <c r="OJ193" s="12" t="str">
        <f t="shared" si="214"/>
        <v>4A</v>
      </c>
      <c r="OK193" s="12" t="str">
        <f t="shared" si="214"/>
        <v>4B</v>
      </c>
      <c r="OL193" s="12"/>
      <c r="OM193" s="12"/>
      <c r="ON193" s="12"/>
      <c r="OO193" s="12"/>
      <c r="OP193" s="12" t="str">
        <f>CONCATENATE($T193,"-AI",REPLACE($X193,1,3,""),"-",$AA193)</f>
        <v>F0-AI33-1A</v>
      </c>
      <c r="OQ193" s="12" t="str">
        <f>CONCATENATE($T193,"-AI",REPLACE($X193,1,3,""),"-",$AB193)</f>
        <v>F0-AI33-1B</v>
      </c>
      <c r="OR193" s="12" t="str">
        <f t="shared" ref="OR193:PA195" si="215">CONCATENATE($T193,"-AI",REPLACE($X193,1,3,""),"-",OF193)</f>
        <v>F0-AI33-2A</v>
      </c>
      <c r="OS193" s="12" t="str">
        <f t="shared" si="215"/>
        <v>F0-AI33-2B</v>
      </c>
      <c r="OT193" s="12" t="str">
        <f t="shared" si="215"/>
        <v>F0-AI33-3A</v>
      </c>
      <c r="OU193" s="12" t="str">
        <f t="shared" si="215"/>
        <v>F0-AI33-3B</v>
      </c>
      <c r="OV193" s="12" t="str">
        <f t="shared" si="215"/>
        <v>F0-AI33-4A</v>
      </c>
      <c r="OW193" s="12" t="str">
        <f t="shared" si="215"/>
        <v>F0-AI33-4B</v>
      </c>
      <c r="OX193" s="12"/>
      <c r="OY193" s="12"/>
      <c r="OZ193" s="12"/>
      <c r="PA193" s="12"/>
      <c r="PB193" s="12" cm="1">
        <f t="array" ref="PB193">IF(COUNTIFS($U$2:$U193,$U193)=1,1,INDEX(PB:PB,_xlfn.XMATCH($U193,$U$1:EB192,0,-1))+COUNT(PB192:PG192))</f>
        <v>1</v>
      </c>
      <c r="PC193" s="12">
        <f t="shared" ref="PC193:PE195" si="216">PB193+1</f>
        <v>2</v>
      </c>
      <c r="PD193" s="12">
        <f t="shared" si="216"/>
        <v>3</v>
      </c>
      <c r="PE193" s="12">
        <f>PD193+1</f>
        <v>4</v>
      </c>
      <c r="PF193" s="12">
        <f t="shared" ref="PF193:PJ195" si="217">PE193+1</f>
        <v>5</v>
      </c>
      <c r="PG193" s="12">
        <f t="shared" si="217"/>
        <v>6</v>
      </c>
      <c r="PH193" s="12"/>
      <c r="PI193" s="12"/>
      <c r="PJ193" s="12"/>
      <c r="PK193" s="12">
        <v>1</v>
      </c>
      <c r="PL193" s="12">
        <v>2</v>
      </c>
      <c r="PM193" s="12">
        <v>3</v>
      </c>
      <c r="PN193" s="12">
        <v>4</v>
      </c>
      <c r="PO193" s="12">
        <v>5</v>
      </c>
      <c r="PP193" s="13">
        <v>6</v>
      </c>
    </row>
    <row r="194" spans="1:532" ht="15.75" thickBot="1" x14ac:dyDescent="0.3">
      <c r="A194" t="s">
        <v>1188</v>
      </c>
      <c r="B194" t="s">
        <v>1208</v>
      </c>
      <c r="C194" t="s">
        <v>1012</v>
      </c>
      <c r="P194" t="s">
        <v>1011</v>
      </c>
      <c r="T194" s="14" t="s">
        <v>554</v>
      </c>
      <c r="U194">
        <v>61</v>
      </c>
      <c r="W194" t="s">
        <v>1180</v>
      </c>
      <c r="X194" t="str">
        <f>IF(COUNTIF(X$1:X193,X193)&gt;7,REPLACE(X193,LEN(X193),1,VALUE(RIGHT(X193,1))+1),X193)</f>
        <v>A3.33</v>
      </c>
      <c r="Y194" s="43" cm="1">
        <f t="array" ref="Y194">IF(COUNTIFS($X$2:$X194,$X194)=1,"1",VALUE(SUBSTITUTE(INDEX(Y:Y,_xlfn.XMATCH($X194,$X$1:$X193,0,-1)),"A",""))+INDEX(Z:Z,_xlfn.XMATCH($X194,$X$1:$X193,0,-1))+1)</f>
        <v>3</v>
      </c>
      <c r="Z194" s="46" cm="1">
        <f t="array" ref="Z194">SUM(IF(ISNUMBER(FIND("TmAi",$BA$1:$ZZ$1)),IF(IFERROR(ISODD(SUBSTITUTE($BA194:$ZZ194,"A","")),FALSE),IF(ISODD(SUBSTITUTE($BA194:$ZZ194,"A","")),1,0),0)))</f>
        <v>1</v>
      </c>
      <c r="AA194" t="str">
        <f t="shared" si="193"/>
        <v>5A</v>
      </c>
      <c r="AB194" t="str">
        <f t="shared" si="194"/>
        <v>5B</v>
      </c>
      <c r="AL194" t="s">
        <v>137</v>
      </c>
      <c r="AN194" t="s">
        <v>1207</v>
      </c>
      <c r="AO194" t="s">
        <v>396</v>
      </c>
      <c r="OA194" s="27" t="str">
        <f t="shared" ref="OA194:OA195" si="218">CONCATENATE("XT",$U194)</f>
        <v>XT61</v>
      </c>
      <c r="OB194" t="s">
        <v>1189</v>
      </c>
      <c r="OC194" t="s">
        <v>1324</v>
      </c>
      <c r="OF194" t="str">
        <f t="shared" ref="OF194:OF195" si="219">CONCATENATE(REPLACE($AA194,LEN($AA194),1,"")+1,RIGHT($AA194))</f>
        <v>6A</v>
      </c>
      <c r="OG194" t="str">
        <f t="shared" ref="OG194:OG195" si="220">CONCATENATE(REPLACE($AB194,LEN($AB194),1,"")+1,RIGHT($AB194))</f>
        <v>6B</v>
      </c>
      <c r="OH194" t="str">
        <f t="shared" ref="OH194:OH195" si="221">CONCATENATE(REPLACE(OF194,LEN(OF194),1,"")+1,RIGHT(OF194))</f>
        <v>7A</v>
      </c>
      <c r="OI194" t="str">
        <f t="shared" si="214"/>
        <v>7B</v>
      </c>
      <c r="OJ194" t="str">
        <f t="shared" si="214"/>
        <v>8A</v>
      </c>
      <c r="OK194" t="str">
        <f t="shared" si="214"/>
        <v>8B</v>
      </c>
      <c r="OP194" t="str">
        <f>CONCATENATE($T194,"-AI",REPLACE($X194,1,3,""),"-",$AA194)</f>
        <v>F0-AI33-5A</v>
      </c>
      <c r="OQ194" t="str">
        <f>CONCATENATE($T194,"-AI",REPLACE($X194,1,3,""),"-",$AB194)</f>
        <v>F0-AI33-5B</v>
      </c>
      <c r="OR194" t="str">
        <f t="shared" si="215"/>
        <v>F0-AI33-6A</v>
      </c>
      <c r="OS194" t="str">
        <f t="shared" si="215"/>
        <v>F0-AI33-6B</v>
      </c>
      <c r="OT194" t="str">
        <f t="shared" si="215"/>
        <v>F0-AI33-7A</v>
      </c>
      <c r="OU194" t="str">
        <f t="shared" si="215"/>
        <v>F0-AI33-7B</v>
      </c>
      <c r="OV194" t="str">
        <f t="shared" si="215"/>
        <v>F0-AI33-8A</v>
      </c>
      <c r="OW194" t="str">
        <f t="shared" si="215"/>
        <v>F0-AI33-8B</v>
      </c>
      <c r="PB194" cm="1">
        <f t="array" ref="PB194">IF(COUNTIFS($U$2:$U194,$U194)=1,1,INDEX(PB:PB,_xlfn.XMATCH($U194,$U$1:$U193,0,-1))+COUNT(PB193:PG193))</f>
        <v>7</v>
      </c>
      <c r="PC194">
        <f t="shared" si="216"/>
        <v>8</v>
      </c>
      <c r="PD194">
        <f t="shared" si="216"/>
        <v>9</v>
      </c>
      <c r="PE194">
        <f t="shared" si="216"/>
        <v>10</v>
      </c>
      <c r="PF194">
        <f t="shared" si="217"/>
        <v>11</v>
      </c>
      <c r="PG194">
        <f t="shared" si="217"/>
        <v>12</v>
      </c>
      <c r="PK194">
        <v>7</v>
      </c>
      <c r="PL194">
        <v>8</v>
      </c>
      <c r="PM194">
        <v>9</v>
      </c>
      <c r="PN194">
        <v>10</v>
      </c>
      <c r="PO194">
        <v>11</v>
      </c>
      <c r="PP194" s="16">
        <v>12</v>
      </c>
    </row>
    <row r="195" spans="1:532" ht="15.75" thickBot="1" x14ac:dyDescent="0.3">
      <c r="A195" t="s">
        <v>1190</v>
      </c>
      <c r="B195" t="s">
        <v>1209</v>
      </c>
      <c r="C195" t="s">
        <v>1012</v>
      </c>
      <c r="P195" t="s">
        <v>1047</v>
      </c>
      <c r="T195" s="14" t="s">
        <v>554</v>
      </c>
      <c r="U195">
        <v>61</v>
      </c>
      <c r="W195" t="s">
        <v>1182</v>
      </c>
      <c r="X195" s="33" t="str">
        <f>IF(COUNTIF(X$1:X194,X194)&gt;7,REPLACE(X194,LEN(X194),1,VALUE(RIGHT(X194,1))+1),X194)</f>
        <v>A3.33</v>
      </c>
      <c r="Y195" s="45" cm="1">
        <f t="array" ref="Y195">IF(COUNTIFS($X$2:$X195,$X195)=1,"1",VALUE(SUBSTITUTE(INDEX(Y:Y,_xlfn.XMATCH($X195,$X$1:$X194,0,-1)),"A",""))+INDEX(Z:Z,_xlfn.XMATCH($X195,$X$1:$X194,0,-1))+1)</f>
        <v>5</v>
      </c>
      <c r="Z195" s="46" cm="1">
        <f t="array" ref="Z195">SUM(IF(ISNUMBER(FIND("TmAi",$BA$1:$ZZ$1)),IF(IFERROR(ISODD(SUBSTITUTE($BA195:$ZZ195,"A","")),FALSE),IF(ISODD(SUBSTITUTE($BA195:$ZZ195,"A","")),1,0),0)))</f>
        <v>2</v>
      </c>
      <c r="AA195" t="str">
        <f t="shared" si="193"/>
        <v>9A</v>
      </c>
      <c r="AB195" t="str">
        <f t="shared" si="194"/>
        <v>9B</v>
      </c>
      <c r="AL195" t="s">
        <v>137</v>
      </c>
      <c r="AN195" t="s">
        <v>1210</v>
      </c>
      <c r="AO195" t="s">
        <v>396</v>
      </c>
      <c r="OA195" s="27" t="str">
        <f t="shared" si="218"/>
        <v>XT61</v>
      </c>
      <c r="OB195" t="s">
        <v>1191</v>
      </c>
      <c r="OC195" t="s">
        <v>1325</v>
      </c>
      <c r="OD195" t="s">
        <v>1321</v>
      </c>
      <c r="OE195" t="s">
        <v>1326</v>
      </c>
      <c r="OF195" t="str">
        <f t="shared" si="219"/>
        <v>10A</v>
      </c>
      <c r="OG195" t="str">
        <f t="shared" si="220"/>
        <v>10B</v>
      </c>
      <c r="OH195" t="str">
        <f t="shared" si="221"/>
        <v>11A</v>
      </c>
      <c r="OI195" t="str">
        <f t="shared" si="214"/>
        <v>11B</v>
      </c>
      <c r="OJ195" t="str">
        <f t="shared" si="214"/>
        <v>12A</v>
      </c>
      <c r="OK195" t="str">
        <f t="shared" si="214"/>
        <v>12B</v>
      </c>
      <c r="OL195" t="str">
        <f t="shared" si="214"/>
        <v>13A</v>
      </c>
      <c r="OM195" t="str">
        <f t="shared" si="214"/>
        <v>13B</v>
      </c>
      <c r="ON195" t="str">
        <f t="shared" si="214"/>
        <v>14A</v>
      </c>
      <c r="OO195" t="str">
        <f t="shared" si="214"/>
        <v>14B</v>
      </c>
      <c r="OP195" t="str">
        <f>CONCATENATE($T195,"-AI",REPLACE($X195,1,3,""),"-",$AA195)</f>
        <v>F0-AI33-9A</v>
      </c>
      <c r="OQ195" t="str">
        <f>CONCATENATE($T195,"-AI",REPLACE($X195,1,3,""),"-",$AB195)</f>
        <v>F0-AI33-9B</v>
      </c>
      <c r="OR195" t="str">
        <f t="shared" si="215"/>
        <v>F0-AI33-10A</v>
      </c>
      <c r="OS195" t="str">
        <f t="shared" si="215"/>
        <v>F0-AI33-10B</v>
      </c>
      <c r="OT195" t="str">
        <f t="shared" si="215"/>
        <v>F0-AI33-11A</v>
      </c>
      <c r="OU195" t="str">
        <f t="shared" si="215"/>
        <v>F0-AI33-11B</v>
      </c>
      <c r="OV195" t="str">
        <f t="shared" si="215"/>
        <v>F0-AI33-12A</v>
      </c>
      <c r="OW195" t="str">
        <f t="shared" si="215"/>
        <v>F0-AI33-12B</v>
      </c>
      <c r="OX195" t="str">
        <f t="shared" si="215"/>
        <v>F0-AI33-13A</v>
      </c>
      <c r="OY195" t="str">
        <f t="shared" si="215"/>
        <v>F0-AI33-13B</v>
      </c>
      <c r="OZ195" t="str">
        <f t="shared" si="215"/>
        <v>F0-AI33-14A</v>
      </c>
      <c r="PA195" t="str">
        <f t="shared" si="215"/>
        <v>F0-AI33-14B</v>
      </c>
      <c r="PB195" cm="1">
        <f t="array" ref="PB195">IF(COUNTIFS($U$2:$U195,$U195)=1,1,INDEX(PB:PB,_xlfn.XMATCH($U195,$U$1:$U194,0,-1))+COUNT(PB194:PG194))</f>
        <v>13</v>
      </c>
      <c r="PC195">
        <f t="shared" si="216"/>
        <v>14</v>
      </c>
      <c r="PD195">
        <f t="shared" si="216"/>
        <v>15</v>
      </c>
      <c r="PE195">
        <f t="shared" si="216"/>
        <v>16</v>
      </c>
      <c r="PF195">
        <f t="shared" si="217"/>
        <v>17</v>
      </c>
      <c r="PG195">
        <f t="shared" si="217"/>
        <v>18</v>
      </c>
      <c r="PH195">
        <f t="shared" si="217"/>
        <v>19</v>
      </c>
      <c r="PI195">
        <f t="shared" si="217"/>
        <v>20</v>
      </c>
      <c r="PJ195">
        <f t="shared" si="217"/>
        <v>21</v>
      </c>
      <c r="PK195">
        <v>1</v>
      </c>
      <c r="PL195">
        <v>2</v>
      </c>
      <c r="PM195">
        <v>3</v>
      </c>
      <c r="PN195">
        <v>4</v>
      </c>
      <c r="PO195">
        <v>5</v>
      </c>
      <c r="PP195">
        <v>6</v>
      </c>
      <c r="PQ195" s="23">
        <v>7</v>
      </c>
      <c r="PR195" s="23">
        <v>8</v>
      </c>
      <c r="PS195" s="24">
        <v>9</v>
      </c>
    </row>
    <row r="196" spans="1:532" ht="15.75" thickBot="1" x14ac:dyDescent="0.3">
      <c r="A196" t="s">
        <v>1192</v>
      </c>
      <c r="B196" t="s">
        <v>1211</v>
      </c>
      <c r="P196" t="s">
        <v>482</v>
      </c>
      <c r="T196" s="14" t="s">
        <v>554</v>
      </c>
      <c r="U196">
        <v>61</v>
      </c>
      <c r="W196" t="s">
        <v>1184</v>
      </c>
      <c r="X196" t="s">
        <v>1214</v>
      </c>
      <c r="Y196" s="43" t="str" cm="1">
        <f t="array" ref="Y196">IF(COUNTIFS($X$2:$X196,$X196)=1,"1",VALUE(SUBSTITUTE(INDEX(Y:Y,_xlfn.XMATCH($X196,$X$1:$X195,0,-1)),"A",""))+INDEX(Z:Z,_xlfn.XMATCH($X196,$X$1:$X195,0,-1))+1)</f>
        <v>1</v>
      </c>
      <c r="Z196" s="46" cm="1">
        <f t="array" ref="Z196">SUM(IF(ISNUMBER(FIND("TmAi",$BA$1:$ZZ$1)),IF(IFERROR(ISODD(SUBSTITUTE($BA196:$ZZ196,"A","")),FALSE),IF(ISODD(SUBSTITUTE($BA196:$ZZ196,"A","")),1,0),0)))</f>
        <v>0</v>
      </c>
      <c r="AA196" t="str">
        <f t="shared" ref="AA196" si="222">CONCATENATE($Y196*2-1,"B")</f>
        <v>1B</v>
      </c>
      <c r="AB196" t="str">
        <f t="shared" ref="AB196" si="223">CONCATENATE($Y196*2,"B")</f>
        <v>2B</v>
      </c>
      <c r="AL196" t="s">
        <v>137</v>
      </c>
      <c r="AM196" t="s">
        <v>1142</v>
      </c>
      <c r="AO196" t="s">
        <v>396</v>
      </c>
      <c r="JV196" s="27" t="str">
        <f>CONCATENATE("XT",U196)</f>
        <v>XT61</v>
      </c>
      <c r="JY196" t="str">
        <f>CONCATENATE(T196,"-AI",REPLACE($X196,1,3,""),"-",AA196)</f>
        <v>F0-AI22-1B</v>
      </c>
      <c r="JZ196" t="str">
        <f>CONCATENATE(T196,"-AI",REPLACE($X196,1,3,""),"-",AB196)</f>
        <v>F0-AI22-2B</v>
      </c>
      <c r="KE196">
        <v>22</v>
      </c>
      <c r="KF196">
        <f t="shared" ref="KF196:KG196" si="224">KE196+1</f>
        <v>23</v>
      </c>
      <c r="KG196">
        <f t="shared" si="224"/>
        <v>24</v>
      </c>
      <c r="KJ196" t="s">
        <v>548</v>
      </c>
      <c r="KK196" s="16" t="s">
        <v>548</v>
      </c>
      <c r="KO196" s="16"/>
      <c r="OA196" s="27"/>
      <c r="PP196" s="16"/>
    </row>
    <row r="197" spans="1:532" ht="15.75" thickBot="1" x14ac:dyDescent="0.3">
      <c r="A197" t="s">
        <v>1193</v>
      </c>
      <c r="B197" s="33" t="s">
        <v>1212</v>
      </c>
      <c r="P197" t="s">
        <v>1061</v>
      </c>
      <c r="T197" s="14" t="s">
        <v>554</v>
      </c>
      <c r="U197">
        <v>61</v>
      </c>
      <c r="W197" t="s">
        <v>1185</v>
      </c>
      <c r="X197" s="33" t="str">
        <f>IF(COUNTIF(X$1:X196,X196)&gt;3,REPLACE(X196,LEN(X196),1,VALUE(RIGHT(X196,1))+1),X196)</f>
        <v>A3.22</v>
      </c>
      <c r="Y197" s="45" cm="1">
        <f t="array" ref="Y197">IF(COUNTIFS($X$2:$X197,$X197)=1,"1",VALUE(SUBSTITUTE(INDEX(Y:Y,_xlfn.XMATCH($X197,$X$1:$X196,0,-1)),"A",""))+INDEX(Z:Z,_xlfn.XMATCH($X197,$X$1:$X196,0,-1))+1)</f>
        <v>2</v>
      </c>
      <c r="Z197" s="46" cm="1">
        <f t="array" ref="Z197">SUM(IF(ISNUMBER(FIND("TmAi",$BA$1:$ZZ$1)),IF(IFERROR(ISODD(SUBSTITUTE($BA197:$ZZ197,"A","")),FALSE),IF(ISODD(SUBSTITUTE($BA197:$ZZ197,"A","")),1,0),0)))</f>
        <v>11</v>
      </c>
      <c r="AA197" t="str">
        <f t="shared" ref="AA197:AA200" si="225">CONCATENATE($Y197*2-1,"A")</f>
        <v>3A</v>
      </c>
      <c r="AB197" t="str">
        <f t="shared" ref="AB197:AB200" si="226">CONCATENATE($Y197*2-1,"B")</f>
        <v>3B</v>
      </c>
      <c r="AN197" t="s">
        <v>1213</v>
      </c>
      <c r="AO197" t="s">
        <v>396</v>
      </c>
      <c r="JV197" s="27"/>
      <c r="KE197" cm="1">
        <f t="array" ref="KE197">IF(COUNTIFS($U$2:$U197,$U197)=1,1,INDEX(KE:KE,_xlfn.XMATCH(U197,U$1:U196,0,-1))+COUNT(KE196:KI196))</f>
        <v>25</v>
      </c>
      <c r="KK197" s="16"/>
      <c r="KO197" s="16"/>
      <c r="PT197" s="25" t="str">
        <f>REPLACE(X197,FIND(".",X197)+1,3,MID(X197,FIND(".",X197)+1,3)+1)</f>
        <v>A3.23</v>
      </c>
      <c r="PU197" s="12" t="str">
        <f>CONCATENATE(VALUE(SUBSTITUTE($AB197,"B",""))+2,"B")</f>
        <v>5B</v>
      </c>
      <c r="PV197" s="12" t="str">
        <f>CONCATENATE(VALUE(SUBSTITUTE($AA197,"A",""))+2,"A")</f>
        <v>5A</v>
      </c>
      <c r="PW197" s="12" t="str">
        <f>CONCATENATE(VALUE(SUBSTITUTE(PU197,"B",""))+2,"B")</f>
        <v>7B</v>
      </c>
      <c r="PX197" s="12" t="str">
        <f>CONCATENATE(VALUE(SUBSTITUTE(PV197,"A",""))+2,"A")</f>
        <v>7A</v>
      </c>
      <c r="PY197" s="12" t="str">
        <f t="shared" ref="PY197" si="227">CONCATENATE(VALUE(SUBSTITUTE(PW197,"B",""))+2,"B")</f>
        <v>9B</v>
      </c>
      <c r="PZ197" s="12" t="str">
        <f t="shared" ref="PZ197" si="228">CONCATENATE(VALUE(SUBSTITUTE(PX197,"A",""))+2,"A")</f>
        <v>9A</v>
      </c>
      <c r="QA197" s="12" t="str">
        <f t="shared" ref="QA197" si="229">CONCATENATE(VALUE(SUBSTITUTE(PY197,"B",""))+2,"B")</f>
        <v>11B</v>
      </c>
      <c r="QB197" s="12" t="str">
        <f t="shared" ref="QB197" si="230">CONCATENATE(VALUE(SUBSTITUTE(PZ197,"A",""))+2,"A")</f>
        <v>11A</v>
      </c>
      <c r="QC197" s="12" t="str">
        <f t="shared" ref="QC197" si="231">CONCATENATE(VALUE(SUBSTITUTE(QA197,"B",""))+2,"B")</f>
        <v>13B</v>
      </c>
      <c r="QD197" s="12" t="str">
        <f t="shared" ref="QD197" si="232">CONCATENATE(VALUE(SUBSTITUTE(QB197,"A",""))+2,"A")</f>
        <v>13A</v>
      </c>
      <c r="QE197" s="12" t="s">
        <v>135</v>
      </c>
      <c r="QF197" s="12" t="s">
        <v>136</v>
      </c>
      <c r="QG197" s="12" t="str">
        <f t="shared" ref="QG197" si="233">CONCATENATE(VALUE(SUBSTITUTE(QE197,"B",""))+2,"B")</f>
        <v>3B</v>
      </c>
      <c r="QH197" s="12" t="str">
        <f t="shared" ref="QH197" si="234">CONCATENATE(VALUE(SUBSTITUTE(QF197,"A",""))+2,"A")</f>
        <v>3A</v>
      </c>
      <c r="QI197" s="12" t="str">
        <f t="shared" ref="QI197" si="235">CONCATENATE(VALUE(SUBSTITUTE(QG197,"B",""))+2,"B")</f>
        <v>5B</v>
      </c>
      <c r="QJ197" s="12" t="str">
        <f t="shared" ref="QJ197" si="236">CONCATENATE(VALUE(SUBSTITUTE(QH197,"A",""))+2,"A")</f>
        <v>5A</v>
      </c>
      <c r="QK197" s="12" t="str">
        <f t="shared" ref="QK197" si="237">CONCATENATE(VALUE(SUBSTITUTE(QI197,"B",""))+2,"B")</f>
        <v>7B</v>
      </c>
      <c r="QL197" s="12" t="str">
        <f t="shared" ref="QL197" si="238">CONCATENATE(VALUE(SUBSTITUTE(QJ197,"A",""))+2,"A")</f>
        <v>7A</v>
      </c>
      <c r="QM197" s="12" t="str">
        <f t="shared" ref="QM197" si="239">CONCATENATE(VALUE(SUBSTITUTE(QK197,"B",""))+2,"B")</f>
        <v>9B</v>
      </c>
      <c r="QN197" s="12" t="str">
        <f t="shared" ref="QN197" si="240">CONCATENATE(VALUE(SUBSTITUTE(QL197,"A",""))+2,"A")</f>
        <v>9A</v>
      </c>
      <c r="QO197" s="12" t="str">
        <f t="shared" ref="QO197" si="241">CONCATENATE(VALUE(SUBSTITUTE(QM197,"B",""))+2,"B")</f>
        <v>11B</v>
      </c>
      <c r="QP197" s="12" t="str">
        <f t="shared" ref="QP197" si="242">CONCATENATE(VALUE(SUBSTITUTE(QN197,"A",""))+2,"A")</f>
        <v>11A</v>
      </c>
      <c r="QQ197" s="12" t="str">
        <f>CONCATENATE($T197,"-AI",REPLACE($X197,1,3,""),"-",AB197)</f>
        <v>F0-AI22-3B</v>
      </c>
      <c r="QR197" s="12" t="str">
        <f>CONCATENATE($T197,"-AI",REPLACE($X197,1,3,""),"-",AA197)</f>
        <v>F0-AI22-3A</v>
      </c>
      <c r="QS197" s="12" t="str">
        <f>CONCATENATE($T197,"-AI",REPLACE($X197,1,3,""),"-",PU197)</f>
        <v>F0-AI22-5B</v>
      </c>
      <c r="QT197" s="12" t="str">
        <f>CONCATENATE($T197,"-AI",REPLACE($X197,1,3,""),"-",PV197)</f>
        <v>F0-AI22-5A</v>
      </c>
      <c r="QU197" s="12" t="str">
        <f t="shared" ref="QU197:RB197" si="243">CONCATENATE($T197,"-AI",REPLACE($X197,1,3,""),"-",PW197)</f>
        <v>F0-AI22-7B</v>
      </c>
      <c r="QV197" s="12" t="str">
        <f t="shared" si="243"/>
        <v>F0-AI22-7A</v>
      </c>
      <c r="QW197" s="12" t="str">
        <f t="shared" si="243"/>
        <v>F0-AI22-9B</v>
      </c>
      <c r="QX197" s="12" t="str">
        <f t="shared" si="243"/>
        <v>F0-AI22-9A</v>
      </c>
      <c r="QY197" s="12" t="str">
        <f t="shared" si="243"/>
        <v>F0-AI22-11B</v>
      </c>
      <c r="QZ197" s="12" t="str">
        <f t="shared" si="243"/>
        <v>F0-AI22-11A</v>
      </c>
      <c r="RA197" s="12" t="str">
        <f t="shared" si="243"/>
        <v>F0-AI22-13B</v>
      </c>
      <c r="RB197" s="12" t="str">
        <f t="shared" si="243"/>
        <v>F0-AI22-13A</v>
      </c>
      <c r="RC197" s="12" t="str">
        <f t="shared" ref="RC197:RN197" si="244">CONCATENATE($T197,"-AI",REPLACE($PT197,1,3,""),"-",QE197)</f>
        <v>F0-AI23-1B</v>
      </c>
      <c r="RD197" s="12" t="str">
        <f t="shared" si="244"/>
        <v>F0-AI23-1A</v>
      </c>
      <c r="RE197" s="12" t="str">
        <f t="shared" si="244"/>
        <v>F0-AI23-3B</v>
      </c>
      <c r="RF197" s="12" t="str">
        <f t="shared" si="244"/>
        <v>F0-AI23-3A</v>
      </c>
      <c r="RG197" s="12" t="str">
        <f t="shared" si="244"/>
        <v>F0-AI23-5B</v>
      </c>
      <c r="RH197" s="12" t="str">
        <f t="shared" si="244"/>
        <v>F0-AI23-5A</v>
      </c>
      <c r="RI197" s="12" t="str">
        <f t="shared" si="244"/>
        <v>F0-AI23-7B</v>
      </c>
      <c r="RJ197" s="12" t="str">
        <f t="shared" si="244"/>
        <v>F0-AI23-7A</v>
      </c>
      <c r="RK197" s="12" t="str">
        <f t="shared" si="244"/>
        <v>F0-AI23-9B</v>
      </c>
      <c r="RL197" s="12" t="str">
        <f t="shared" si="244"/>
        <v>F0-AI23-9A</v>
      </c>
      <c r="RM197" s="12" t="str">
        <f t="shared" si="244"/>
        <v>F0-AI23-11B</v>
      </c>
      <c r="RN197" s="12" t="str">
        <f t="shared" si="244"/>
        <v>F0-AI23-11A</v>
      </c>
      <c r="RO197" s="12" t="str">
        <f t="shared" ref="RO197" si="245">CONCATENATE("XT",$U197)</f>
        <v>XT61</v>
      </c>
      <c r="RP197" s="12">
        <v>22</v>
      </c>
      <c r="RQ197" s="12">
        <v>23</v>
      </c>
      <c r="RR197" s="12">
        <v>24</v>
      </c>
      <c r="RS197" s="12">
        <v>25</v>
      </c>
      <c r="RT197" s="12">
        <v>26</v>
      </c>
      <c r="RU197" s="12">
        <v>27</v>
      </c>
      <c r="RV197" s="12">
        <v>28</v>
      </c>
      <c r="RW197" s="12">
        <v>29</v>
      </c>
      <c r="RX197" s="12">
        <v>30</v>
      </c>
      <c r="RY197" s="12">
        <v>31</v>
      </c>
      <c r="RZ197" s="12">
        <v>32</v>
      </c>
      <c r="SA197" s="12">
        <v>33</v>
      </c>
      <c r="SB197" s="12">
        <v>34</v>
      </c>
      <c r="SC197" s="12">
        <v>35</v>
      </c>
      <c r="SD197" s="12">
        <v>36</v>
      </c>
      <c r="SE197" s="12">
        <v>37</v>
      </c>
      <c r="SF197" s="12">
        <v>38</v>
      </c>
      <c r="SG197" s="12">
        <v>39</v>
      </c>
      <c r="SH197" s="12">
        <v>40</v>
      </c>
      <c r="SI197" s="12">
        <v>41</v>
      </c>
      <c r="SJ197" s="12">
        <v>42</v>
      </c>
      <c r="SK197" s="12">
        <v>43</v>
      </c>
      <c r="SL197" s="12">
        <v>44</v>
      </c>
      <c r="SM197" s="12">
        <v>45</v>
      </c>
      <c r="SN197" s="12">
        <v>46</v>
      </c>
      <c r="SO197" s="12" t="s">
        <v>1194</v>
      </c>
      <c r="SP197" s="12" t="s">
        <v>1195</v>
      </c>
      <c r="SQ197" s="12" t="s">
        <v>1196</v>
      </c>
      <c r="SR197" s="12" t="s">
        <v>1197</v>
      </c>
      <c r="SS197" s="12" t="s">
        <v>1198</v>
      </c>
      <c r="ST197" s="12" t="s">
        <v>1199</v>
      </c>
      <c r="SU197" s="12" t="s">
        <v>1200</v>
      </c>
      <c r="SV197" s="12" t="s">
        <v>1201</v>
      </c>
      <c r="SW197" s="12" t="s">
        <v>1202</v>
      </c>
      <c r="SX197" s="12" t="s">
        <v>1203</v>
      </c>
      <c r="SY197" s="12" t="s">
        <v>1204</v>
      </c>
      <c r="SZ197" s="12" t="s">
        <v>1205</v>
      </c>
      <c r="TA197" s="12" t="s">
        <v>1059</v>
      </c>
      <c r="TB197" s="12" t="s">
        <v>1128</v>
      </c>
      <c r="TC197" s="12" t="s">
        <v>1129</v>
      </c>
      <c r="TD197" s="12" t="s">
        <v>1130</v>
      </c>
      <c r="TE197" s="12" t="s">
        <v>1132</v>
      </c>
      <c r="TF197" s="12" t="s">
        <v>1131</v>
      </c>
      <c r="TG197" s="12" t="s">
        <v>1133</v>
      </c>
      <c r="TH197" s="12" t="s">
        <v>1134</v>
      </c>
      <c r="TI197" s="12" t="s">
        <v>1135</v>
      </c>
      <c r="TJ197" s="12" t="s">
        <v>1136</v>
      </c>
      <c r="TK197" s="12" t="s">
        <v>1137</v>
      </c>
      <c r="TL197" s="13" t="s">
        <v>1138</v>
      </c>
    </row>
    <row r="198" spans="1:532" x14ac:dyDescent="0.25">
      <c r="A198" t="s">
        <v>1223</v>
      </c>
      <c r="B198" s="34" t="s">
        <v>1215</v>
      </c>
      <c r="C198" t="s">
        <v>1012</v>
      </c>
      <c r="P198" t="s">
        <v>1011</v>
      </c>
      <c r="T198" s="14" t="s">
        <v>554</v>
      </c>
      <c r="U198">
        <v>62</v>
      </c>
      <c r="W198" t="s">
        <v>1243</v>
      </c>
      <c r="X198" t="s">
        <v>1281</v>
      </c>
      <c r="Y198" s="43" t="str" cm="1">
        <f t="array" ref="Y198">IF(COUNTIFS($X$2:$X198,$X198)=1,"1",VALUE(SUBSTITUTE(INDEX(Y:Y,_xlfn.XMATCH($X198,$X$1:$X197,0,-1)),"A",""))+INDEX(Z:Z,_xlfn.XMATCH($X198,$X$1:$X197,0,-1))+1)</f>
        <v>1</v>
      </c>
      <c r="Z198" s="46" cm="1">
        <f t="array" ref="Z198">SUM(IF(ISNUMBER(FIND("TmAi",$BA$1:$ZZ$1)),IF(IFERROR(ISODD(SUBSTITUTE($BA198:$ZZ198,"A","")),FALSE),IF(ISODD(SUBSTITUTE($BA198:$ZZ198,"A","")),1,0),0)))</f>
        <v>1</v>
      </c>
      <c r="AA198" t="str">
        <f t="shared" si="225"/>
        <v>1A</v>
      </c>
      <c r="AB198" t="str">
        <f t="shared" si="226"/>
        <v>1B</v>
      </c>
      <c r="AL198" t="s">
        <v>137</v>
      </c>
      <c r="AN198" t="s">
        <v>1216</v>
      </c>
      <c r="AO198" t="s">
        <v>396</v>
      </c>
      <c r="OA198" s="25" t="str">
        <f>CONCATENATE("XT",$U198)</f>
        <v>XT62</v>
      </c>
      <c r="OB198" s="12" t="s">
        <v>1224</v>
      </c>
      <c r="OC198" s="12" t="s">
        <v>1327</v>
      </c>
      <c r="OD198" s="12"/>
      <c r="OE198" s="12"/>
      <c r="OF198" s="12" t="str">
        <f>CONCATENATE(REPLACE($AA198,LEN($AA198),1,"")+1,RIGHT($AA198))</f>
        <v>2A</v>
      </c>
      <c r="OG198" s="12" t="str">
        <f>CONCATENATE(REPLACE($AB198,LEN($AB198),1,"")+1,RIGHT($AB198))</f>
        <v>2B</v>
      </c>
      <c r="OH198" s="12" t="str">
        <f>CONCATENATE(REPLACE(OF198,LEN(OF198),1,"")+1,RIGHT(OF198))</f>
        <v>3A</v>
      </c>
      <c r="OI198" s="12" t="str">
        <f t="shared" ref="OI198:OO200" si="246">CONCATENATE(REPLACE(OG198,LEN(OG198),1,"")+1,RIGHT(OG198))</f>
        <v>3B</v>
      </c>
      <c r="OJ198" s="12" t="str">
        <f t="shared" si="246"/>
        <v>4A</v>
      </c>
      <c r="OK198" s="12" t="str">
        <f t="shared" si="246"/>
        <v>4B</v>
      </c>
      <c r="OL198" s="12"/>
      <c r="OM198" s="12"/>
      <c r="ON198" s="12"/>
      <c r="OO198" s="12"/>
      <c r="OP198" s="12" t="str">
        <f>CONCATENATE($T198,"-AI",REPLACE($X198,1,3,""),"-",$AA198)</f>
        <v>F0-AI34-1A</v>
      </c>
      <c r="OQ198" s="12" t="str">
        <f>CONCATENATE($T198,"-AI",REPLACE($X198,1,3,""),"-",$AB198)</f>
        <v>F0-AI34-1B</v>
      </c>
      <c r="OR198" s="12" t="str">
        <f t="shared" ref="OR198:PA200" si="247">CONCATENATE($T198,"-AI",REPLACE($X198,1,3,""),"-",OF198)</f>
        <v>F0-AI34-2A</v>
      </c>
      <c r="OS198" s="12" t="str">
        <f t="shared" si="247"/>
        <v>F0-AI34-2B</v>
      </c>
      <c r="OT198" s="12" t="str">
        <f t="shared" si="247"/>
        <v>F0-AI34-3A</v>
      </c>
      <c r="OU198" s="12" t="str">
        <f t="shared" si="247"/>
        <v>F0-AI34-3B</v>
      </c>
      <c r="OV198" s="12" t="str">
        <f t="shared" si="247"/>
        <v>F0-AI34-4A</v>
      </c>
      <c r="OW198" s="12" t="str">
        <f t="shared" si="247"/>
        <v>F0-AI34-4B</v>
      </c>
      <c r="OX198" s="12"/>
      <c r="OY198" s="12"/>
      <c r="OZ198" s="12"/>
      <c r="PA198" s="12"/>
      <c r="PB198" s="12" cm="1">
        <f t="array" ref="PB198">IF(COUNTIFS($U$2:$U198,$U198)=1,1,INDEX(PB:PB,_xlfn.XMATCH($U198,$U$1:EB197,0,-1))+COUNT(PB197:PG197))</f>
        <v>1</v>
      </c>
      <c r="PC198" s="12">
        <f t="shared" ref="PC198:PE200" si="248">PB198+1</f>
        <v>2</v>
      </c>
      <c r="PD198" s="12">
        <f t="shared" si="248"/>
        <v>3</v>
      </c>
      <c r="PE198" s="12">
        <f>PD198+1</f>
        <v>4</v>
      </c>
      <c r="PF198" s="12">
        <f t="shared" ref="PF198:PJ200" si="249">PE198+1</f>
        <v>5</v>
      </c>
      <c r="PG198" s="12">
        <f t="shared" si="249"/>
        <v>6</v>
      </c>
      <c r="PH198" s="12"/>
      <c r="PI198" s="12"/>
      <c r="PJ198" s="12"/>
      <c r="PK198" s="12">
        <v>1</v>
      </c>
      <c r="PL198" s="12">
        <v>2</v>
      </c>
      <c r="PM198" s="12">
        <v>3</v>
      </c>
      <c r="PN198" s="12">
        <v>4</v>
      </c>
      <c r="PO198" s="12">
        <v>5</v>
      </c>
      <c r="PP198" s="13">
        <v>6</v>
      </c>
    </row>
    <row r="199" spans="1:532" ht="15.75" thickBot="1" x14ac:dyDescent="0.3">
      <c r="A199" t="s">
        <v>1225</v>
      </c>
      <c r="B199" t="s">
        <v>1217</v>
      </c>
      <c r="C199" t="s">
        <v>1012</v>
      </c>
      <c r="P199" t="s">
        <v>1011</v>
      </c>
      <c r="T199" s="14" t="s">
        <v>554</v>
      </c>
      <c r="U199">
        <v>62</v>
      </c>
      <c r="W199" t="s">
        <v>1244</v>
      </c>
      <c r="X199" t="str">
        <f>IF(COUNTIF(X$1:X198,X198)&gt;7,REPLACE(X198,LEN(X198),1,VALUE(RIGHT(X198,1))+1),X198)</f>
        <v>A3.34</v>
      </c>
      <c r="Y199" s="43" cm="1">
        <f t="array" ref="Y199">IF(COUNTIFS($X$2:$X199,$X199)=1,"1",VALUE(SUBSTITUTE(INDEX(Y:Y,_xlfn.XMATCH($X199,$X$1:$X198,0,-1)),"A",""))+INDEX(Z:Z,_xlfn.XMATCH($X199,$X$1:$X198,0,-1))+1)</f>
        <v>3</v>
      </c>
      <c r="Z199" s="46" cm="1">
        <f t="array" ref="Z199">SUM(IF(ISNUMBER(FIND("TmAi",$BA$1:$ZZ$1)),IF(IFERROR(ISODD(SUBSTITUTE($BA199:$ZZ199,"A","")),FALSE),IF(ISODD(SUBSTITUTE($BA199:$ZZ199,"A","")),1,0),0)))</f>
        <v>1</v>
      </c>
      <c r="AA199" t="str">
        <f t="shared" si="225"/>
        <v>5A</v>
      </c>
      <c r="AB199" t="str">
        <f t="shared" si="226"/>
        <v>5B</v>
      </c>
      <c r="AL199" t="s">
        <v>137</v>
      </c>
      <c r="AN199" t="s">
        <v>1216</v>
      </c>
      <c r="AO199" t="s">
        <v>396</v>
      </c>
      <c r="OA199" s="27" t="str">
        <f t="shared" ref="OA199:OA200" si="250">CONCATENATE("XT",$U199)</f>
        <v>XT62</v>
      </c>
      <c r="OB199" t="s">
        <v>1226</v>
      </c>
      <c r="OC199" t="s">
        <v>1328</v>
      </c>
      <c r="OF199" t="str">
        <f t="shared" ref="OF199:OF200" si="251">CONCATENATE(REPLACE($AA199,LEN($AA199),1,"")+1,RIGHT($AA199))</f>
        <v>6A</v>
      </c>
      <c r="OG199" t="str">
        <f t="shared" ref="OG199:OG200" si="252">CONCATENATE(REPLACE($AB199,LEN($AB199),1,"")+1,RIGHT($AB199))</f>
        <v>6B</v>
      </c>
      <c r="OH199" t="str">
        <f t="shared" ref="OH199:OH200" si="253">CONCATENATE(REPLACE(OF199,LEN(OF199),1,"")+1,RIGHT(OF199))</f>
        <v>7A</v>
      </c>
      <c r="OI199" t="str">
        <f t="shared" si="246"/>
        <v>7B</v>
      </c>
      <c r="OJ199" t="str">
        <f t="shared" si="246"/>
        <v>8A</v>
      </c>
      <c r="OK199" t="str">
        <f t="shared" si="246"/>
        <v>8B</v>
      </c>
      <c r="OP199" t="str">
        <f>CONCATENATE($T199,"-AI",REPLACE($X199,1,3,""),"-",$AA199)</f>
        <v>F0-AI34-5A</v>
      </c>
      <c r="OQ199" t="str">
        <f>CONCATENATE($T199,"-AI",REPLACE($X199,1,3,""),"-",$AB199)</f>
        <v>F0-AI34-5B</v>
      </c>
      <c r="OR199" t="str">
        <f t="shared" si="247"/>
        <v>F0-AI34-6A</v>
      </c>
      <c r="OS199" t="str">
        <f t="shared" si="247"/>
        <v>F0-AI34-6B</v>
      </c>
      <c r="OT199" t="str">
        <f t="shared" si="247"/>
        <v>F0-AI34-7A</v>
      </c>
      <c r="OU199" t="str">
        <f t="shared" si="247"/>
        <v>F0-AI34-7B</v>
      </c>
      <c r="OV199" t="str">
        <f t="shared" si="247"/>
        <v>F0-AI34-8A</v>
      </c>
      <c r="OW199" t="str">
        <f t="shared" si="247"/>
        <v>F0-AI34-8B</v>
      </c>
      <c r="PB199" cm="1">
        <f t="array" ref="PB199">IF(COUNTIFS($U$2:$U199,$U199)=1,1,INDEX(PB:PB,_xlfn.XMATCH($U199,$U$1:$U198,0,-1))+COUNT(PB198:PG198))</f>
        <v>7</v>
      </c>
      <c r="PC199">
        <f t="shared" si="248"/>
        <v>8</v>
      </c>
      <c r="PD199">
        <f t="shared" si="248"/>
        <v>9</v>
      </c>
      <c r="PE199">
        <f t="shared" si="248"/>
        <v>10</v>
      </c>
      <c r="PF199">
        <f t="shared" si="249"/>
        <v>11</v>
      </c>
      <c r="PG199">
        <f t="shared" si="249"/>
        <v>12</v>
      </c>
      <c r="PK199">
        <v>7</v>
      </c>
      <c r="PL199">
        <v>8</v>
      </c>
      <c r="PM199">
        <v>9</v>
      </c>
      <c r="PN199">
        <v>10</v>
      </c>
      <c r="PO199">
        <v>11</v>
      </c>
      <c r="PP199" s="16">
        <v>12</v>
      </c>
    </row>
    <row r="200" spans="1:532" ht="15.75" thickBot="1" x14ac:dyDescent="0.3">
      <c r="A200" t="s">
        <v>1227</v>
      </c>
      <c r="B200" t="s">
        <v>1218</v>
      </c>
      <c r="C200" t="s">
        <v>1012</v>
      </c>
      <c r="P200" t="s">
        <v>1047</v>
      </c>
      <c r="T200" s="14" t="s">
        <v>554</v>
      </c>
      <c r="U200">
        <v>62</v>
      </c>
      <c r="W200" t="s">
        <v>1245</v>
      </c>
      <c r="X200" s="33" t="str">
        <f>IF(COUNTIF(X$1:X199,X199)&gt;7,REPLACE(X199,LEN(X199),1,VALUE(RIGHT(X199,1))+1),X199)</f>
        <v>A3.34</v>
      </c>
      <c r="Y200" s="45" cm="1">
        <f t="array" ref="Y200">IF(COUNTIFS($X$2:$X200,$X200)=1,"1",VALUE(SUBSTITUTE(INDEX(Y:Y,_xlfn.XMATCH($X200,$X$1:$X199,0,-1)),"A",""))+INDEX(Z:Z,_xlfn.XMATCH($X200,$X$1:$X199,0,-1))+1)</f>
        <v>5</v>
      </c>
      <c r="Z200" s="46" cm="1">
        <f t="array" ref="Z200">SUM(IF(ISNUMBER(FIND("TmAi",$BA$1:$ZZ$1)),IF(IFERROR(ISODD(SUBSTITUTE($BA200:$ZZ200,"A","")),FALSE),IF(ISODD(SUBSTITUTE($BA200:$ZZ200,"A","")),1,0),0)))</f>
        <v>2</v>
      </c>
      <c r="AA200" t="str">
        <f t="shared" si="225"/>
        <v>9A</v>
      </c>
      <c r="AB200" t="str">
        <f t="shared" si="226"/>
        <v>9B</v>
      </c>
      <c r="AL200" t="s">
        <v>137</v>
      </c>
      <c r="AN200" t="s">
        <v>1219</v>
      </c>
      <c r="AO200" t="s">
        <v>396</v>
      </c>
      <c r="OA200" s="27" t="str">
        <f t="shared" si="250"/>
        <v>XT62</v>
      </c>
      <c r="OB200" t="s">
        <v>1228</v>
      </c>
      <c r="OC200" t="s">
        <v>1329</v>
      </c>
      <c r="OD200" t="s">
        <v>1322</v>
      </c>
      <c r="OE200" t="s">
        <v>1330</v>
      </c>
      <c r="OF200" t="str">
        <f t="shared" si="251"/>
        <v>10A</v>
      </c>
      <c r="OG200" t="str">
        <f t="shared" si="252"/>
        <v>10B</v>
      </c>
      <c r="OH200" t="str">
        <f t="shared" si="253"/>
        <v>11A</v>
      </c>
      <c r="OI200" t="str">
        <f t="shared" si="246"/>
        <v>11B</v>
      </c>
      <c r="OJ200" t="str">
        <f t="shared" si="246"/>
        <v>12A</v>
      </c>
      <c r="OK200" t="str">
        <f t="shared" si="246"/>
        <v>12B</v>
      </c>
      <c r="OL200" t="str">
        <f t="shared" si="246"/>
        <v>13A</v>
      </c>
      <c r="OM200" t="str">
        <f t="shared" si="246"/>
        <v>13B</v>
      </c>
      <c r="ON200" t="str">
        <f t="shared" si="246"/>
        <v>14A</v>
      </c>
      <c r="OO200" t="str">
        <f t="shared" si="246"/>
        <v>14B</v>
      </c>
      <c r="OP200" t="str">
        <f>CONCATENATE($T200,"-AI",REPLACE($X200,1,3,""),"-",$AA200)</f>
        <v>F0-AI34-9A</v>
      </c>
      <c r="OQ200" t="str">
        <f>CONCATENATE($T200,"-AI",REPLACE($X200,1,3,""),"-",$AB200)</f>
        <v>F0-AI34-9B</v>
      </c>
      <c r="OR200" t="str">
        <f t="shared" si="247"/>
        <v>F0-AI34-10A</v>
      </c>
      <c r="OS200" t="str">
        <f t="shared" si="247"/>
        <v>F0-AI34-10B</v>
      </c>
      <c r="OT200" t="str">
        <f t="shared" si="247"/>
        <v>F0-AI34-11A</v>
      </c>
      <c r="OU200" t="str">
        <f t="shared" si="247"/>
        <v>F0-AI34-11B</v>
      </c>
      <c r="OV200" t="str">
        <f t="shared" si="247"/>
        <v>F0-AI34-12A</v>
      </c>
      <c r="OW200" t="str">
        <f t="shared" si="247"/>
        <v>F0-AI34-12B</v>
      </c>
      <c r="OX200" t="str">
        <f t="shared" si="247"/>
        <v>F0-AI34-13A</v>
      </c>
      <c r="OY200" t="str">
        <f t="shared" si="247"/>
        <v>F0-AI34-13B</v>
      </c>
      <c r="OZ200" t="str">
        <f t="shared" si="247"/>
        <v>F0-AI34-14A</v>
      </c>
      <c r="PA200" t="str">
        <f t="shared" si="247"/>
        <v>F0-AI34-14B</v>
      </c>
      <c r="PB200" cm="1">
        <f t="array" ref="PB200">IF(COUNTIFS($U$2:$U200,$U200)=1,1,INDEX(PB:PB,_xlfn.XMATCH($U200,$U$1:$U199,0,-1))+COUNT(PB199:PG199))</f>
        <v>13</v>
      </c>
      <c r="PC200">
        <f t="shared" si="248"/>
        <v>14</v>
      </c>
      <c r="PD200">
        <f t="shared" si="248"/>
        <v>15</v>
      </c>
      <c r="PE200">
        <f t="shared" si="248"/>
        <v>16</v>
      </c>
      <c r="PF200">
        <f t="shared" si="249"/>
        <v>17</v>
      </c>
      <c r="PG200">
        <f t="shared" si="249"/>
        <v>18</v>
      </c>
      <c r="PH200">
        <f t="shared" si="249"/>
        <v>19</v>
      </c>
      <c r="PI200">
        <f t="shared" si="249"/>
        <v>20</v>
      </c>
      <c r="PJ200">
        <f t="shared" si="249"/>
        <v>21</v>
      </c>
      <c r="PK200">
        <v>1</v>
      </c>
      <c r="PL200">
        <v>2</v>
      </c>
      <c r="PM200">
        <v>3</v>
      </c>
      <c r="PN200">
        <v>4</v>
      </c>
      <c r="PO200">
        <v>5</v>
      </c>
      <c r="PP200">
        <v>6</v>
      </c>
      <c r="PQ200" s="23">
        <v>7</v>
      </c>
      <c r="PR200" s="23">
        <v>8</v>
      </c>
      <c r="PS200" s="24">
        <v>9</v>
      </c>
    </row>
    <row r="201" spans="1:532" ht="15.75" thickBot="1" x14ac:dyDescent="0.3">
      <c r="A201" t="s">
        <v>1229</v>
      </c>
      <c r="B201" t="s">
        <v>1220</v>
      </c>
      <c r="P201" t="s">
        <v>482</v>
      </c>
      <c r="T201" s="14" t="s">
        <v>554</v>
      </c>
      <c r="U201">
        <v>62</v>
      </c>
      <c r="W201" t="s">
        <v>1246</v>
      </c>
      <c r="X201" s="36" t="s">
        <v>1247</v>
      </c>
      <c r="Y201" s="47" t="str" cm="1">
        <f t="array" ref="Y201">IF(COUNTIFS($X$2:$X201,$X201)=1,"1",VALUE(SUBSTITUTE(INDEX(Y:Y,_xlfn.XMATCH($X201,$X$1:$X200,0,-1)),"A",""))+INDEX(Z:Z,_xlfn.XMATCH($X201,$X$1:$X200,0,-1))+1)</f>
        <v>1</v>
      </c>
      <c r="Z201" s="46" cm="1">
        <f t="array" ref="Z201">SUM(IF(ISNUMBER(FIND("TmAi",$BA$1:$ZZ$1)),IF(IFERROR(ISODD(SUBSTITUTE($BA201:$ZZ201,"A","")),FALSE),IF(ISODD(SUBSTITUTE($BA201:$ZZ201,"A","")),1,0),0)))</f>
        <v>0</v>
      </c>
      <c r="AA201" t="str">
        <f t="shared" ref="AA201" si="254">CONCATENATE($Y201*2-1,"B")</f>
        <v>1B</v>
      </c>
      <c r="AB201" t="str">
        <f t="shared" ref="AB201" si="255">CONCATENATE($Y201*2,"B")</f>
        <v>2B</v>
      </c>
      <c r="AL201" t="s">
        <v>137</v>
      </c>
      <c r="AM201" t="s">
        <v>1142</v>
      </c>
      <c r="AO201" t="s">
        <v>396</v>
      </c>
      <c r="JV201" s="27" t="str">
        <f>CONCATENATE("XT",U201)</f>
        <v>XT62</v>
      </c>
      <c r="JY201" t="str">
        <f>CONCATENATE(T201,"-AI",REPLACE($X201,1,3,""),"-",AA201)</f>
        <v>F0-AI24-1B</v>
      </c>
      <c r="JZ201" t="str">
        <f>CONCATENATE(T201,"-AI",REPLACE($X201,1,3,""),"-",AB201)</f>
        <v>F0-AI24-2B</v>
      </c>
      <c r="KE201">
        <v>22</v>
      </c>
      <c r="KF201">
        <f t="shared" ref="KF201:KG201" si="256">KE201+1</f>
        <v>23</v>
      </c>
      <c r="KG201">
        <f t="shared" si="256"/>
        <v>24</v>
      </c>
      <c r="KJ201" t="s">
        <v>548</v>
      </c>
      <c r="KK201" s="16" t="s">
        <v>548</v>
      </c>
      <c r="KO201" s="16"/>
      <c r="OA201" s="27"/>
      <c r="PP201" s="16"/>
    </row>
    <row r="202" spans="1:532" ht="15.75" thickBot="1" x14ac:dyDescent="0.3">
      <c r="A202" t="s">
        <v>1230</v>
      </c>
      <c r="B202" s="33" t="s">
        <v>1221</v>
      </c>
      <c r="P202" t="s">
        <v>1061</v>
      </c>
      <c r="T202" s="14" t="s">
        <v>554</v>
      </c>
      <c r="U202">
        <v>62</v>
      </c>
      <c r="W202" t="s">
        <v>1249</v>
      </c>
      <c r="X202" s="33" t="str">
        <f>IF(COUNTIF(X$1:X201,X201)&gt;3,REPLACE(X201,LEN(X201),1,VALUE(RIGHT(X201,1))+1),X201)</f>
        <v>A3.24</v>
      </c>
      <c r="Y202" s="45" cm="1">
        <f t="array" ref="Y202">IF(COUNTIFS($X$2:$X202,$X202)=1,"1",VALUE(SUBSTITUTE(INDEX(Y:Y,_xlfn.XMATCH($X202,$X$1:$X201,0,-1)),"A",""))+INDEX(Z:Z,_xlfn.XMATCH($X202,$X$1:$X201,0,-1))+1)</f>
        <v>2</v>
      </c>
      <c r="Z202" s="46" cm="1">
        <f t="array" ref="Z202">SUM(IF(ISNUMBER(FIND("TmAi",$BA$1:$ZZ$1)),IF(IFERROR(ISODD(SUBSTITUTE($BA202:$ZZ202,"A","")),FALSE),IF(ISODD(SUBSTITUTE($BA202:$ZZ202,"A","")),1,0),0)))</f>
        <v>11</v>
      </c>
      <c r="AA202" t="str">
        <f t="shared" ref="AA202:AA203" si="257">CONCATENATE($Y202*2-1,"A")</f>
        <v>3A</v>
      </c>
      <c r="AB202" t="str">
        <f t="shared" ref="AB202:AB203" si="258">CONCATENATE($Y202*2-1,"B")</f>
        <v>3B</v>
      </c>
      <c r="AN202" t="s">
        <v>1222</v>
      </c>
      <c r="AO202" t="s">
        <v>396</v>
      </c>
      <c r="JV202" s="27"/>
      <c r="KE202" cm="1">
        <f t="array" ref="KE202">IF(COUNTIFS($U$2:$U202,$U202)=1,1,INDEX(KE:KE,_xlfn.XMATCH(U202,U$1:U201,0,-1))+COUNT(KE201:KI201))</f>
        <v>25</v>
      </c>
      <c r="KK202" s="16"/>
      <c r="KO202" s="16"/>
      <c r="PT202" s="25" t="str">
        <f>REPLACE(X202,FIND(".",X202)+1,3,MID(X202,FIND(".",X202)+1,3)+1)</f>
        <v>A3.25</v>
      </c>
      <c r="PU202" s="12" t="str">
        <f>CONCATENATE(VALUE(SUBSTITUTE($AB202,"B",""))+2,"B")</f>
        <v>5B</v>
      </c>
      <c r="PV202" s="12" t="str">
        <f>CONCATENATE(VALUE(SUBSTITUTE($AA202,"A",""))+2,"A")</f>
        <v>5A</v>
      </c>
      <c r="PW202" s="12" t="str">
        <f>CONCATENATE(VALUE(SUBSTITUTE(PU202,"B",""))+2,"B")</f>
        <v>7B</v>
      </c>
      <c r="PX202" s="12" t="str">
        <f>CONCATENATE(VALUE(SUBSTITUTE(PV202,"A",""))+2,"A")</f>
        <v>7A</v>
      </c>
      <c r="PY202" s="12" t="str">
        <f t="shared" ref="PY202" si="259">CONCATENATE(VALUE(SUBSTITUTE(PW202,"B",""))+2,"B")</f>
        <v>9B</v>
      </c>
      <c r="PZ202" s="12" t="str">
        <f t="shared" ref="PZ202" si="260">CONCATENATE(VALUE(SUBSTITUTE(PX202,"A",""))+2,"A")</f>
        <v>9A</v>
      </c>
      <c r="QA202" s="12" t="str">
        <f t="shared" ref="QA202" si="261">CONCATENATE(VALUE(SUBSTITUTE(PY202,"B",""))+2,"B")</f>
        <v>11B</v>
      </c>
      <c r="QB202" s="12" t="str">
        <f t="shared" ref="QB202" si="262">CONCATENATE(VALUE(SUBSTITUTE(PZ202,"A",""))+2,"A")</f>
        <v>11A</v>
      </c>
      <c r="QC202" s="12" t="str">
        <f t="shared" ref="QC202" si="263">CONCATENATE(VALUE(SUBSTITUTE(QA202,"B",""))+2,"B")</f>
        <v>13B</v>
      </c>
      <c r="QD202" s="12" t="str">
        <f t="shared" ref="QD202" si="264">CONCATENATE(VALUE(SUBSTITUTE(QB202,"A",""))+2,"A")</f>
        <v>13A</v>
      </c>
      <c r="QE202" s="12" t="s">
        <v>135</v>
      </c>
      <c r="QF202" s="12" t="s">
        <v>136</v>
      </c>
      <c r="QG202" s="12" t="str">
        <f t="shared" ref="QG202" si="265">CONCATENATE(VALUE(SUBSTITUTE(QE202,"B",""))+2,"B")</f>
        <v>3B</v>
      </c>
      <c r="QH202" s="12" t="str">
        <f t="shared" ref="QH202" si="266">CONCATENATE(VALUE(SUBSTITUTE(QF202,"A",""))+2,"A")</f>
        <v>3A</v>
      </c>
      <c r="QI202" s="12" t="str">
        <f t="shared" ref="QI202" si="267">CONCATENATE(VALUE(SUBSTITUTE(QG202,"B",""))+2,"B")</f>
        <v>5B</v>
      </c>
      <c r="QJ202" s="12" t="str">
        <f t="shared" ref="QJ202" si="268">CONCATENATE(VALUE(SUBSTITUTE(QH202,"A",""))+2,"A")</f>
        <v>5A</v>
      </c>
      <c r="QK202" s="12" t="str">
        <f t="shared" ref="QK202" si="269">CONCATENATE(VALUE(SUBSTITUTE(QI202,"B",""))+2,"B")</f>
        <v>7B</v>
      </c>
      <c r="QL202" s="12" t="str">
        <f t="shared" ref="QL202" si="270">CONCATENATE(VALUE(SUBSTITUTE(QJ202,"A",""))+2,"A")</f>
        <v>7A</v>
      </c>
      <c r="QM202" s="12" t="str">
        <f t="shared" ref="QM202" si="271">CONCATENATE(VALUE(SUBSTITUTE(QK202,"B",""))+2,"B")</f>
        <v>9B</v>
      </c>
      <c r="QN202" s="12" t="str">
        <f t="shared" ref="QN202" si="272">CONCATENATE(VALUE(SUBSTITUTE(QL202,"A",""))+2,"A")</f>
        <v>9A</v>
      </c>
      <c r="QO202" s="12" t="str">
        <f t="shared" ref="QO202" si="273">CONCATENATE(VALUE(SUBSTITUTE(QM202,"B",""))+2,"B")</f>
        <v>11B</v>
      </c>
      <c r="QP202" s="12" t="str">
        <f t="shared" ref="QP202" si="274">CONCATENATE(VALUE(SUBSTITUTE(QN202,"A",""))+2,"A")</f>
        <v>11A</v>
      </c>
      <c r="QQ202" s="12" t="str">
        <f>CONCATENATE($T202,"-AI",REPLACE($X202,1,3,""),"-",AB202)</f>
        <v>F0-AI24-3B</v>
      </c>
      <c r="QR202" s="12" t="str">
        <f>CONCATENATE($T202,"-AI",REPLACE($X202,1,3,""),"-",AA202)</f>
        <v>F0-AI24-3A</v>
      </c>
      <c r="QS202" s="12" t="str">
        <f>CONCATENATE($T202,"-AI",REPLACE($X202,1,3,""),"-",PU202)</f>
        <v>F0-AI24-5B</v>
      </c>
      <c r="QT202" s="12" t="str">
        <f>CONCATENATE($T202,"-AI",REPLACE($X202,1,3,""),"-",PV202)</f>
        <v>F0-AI24-5A</v>
      </c>
      <c r="QU202" s="12" t="str">
        <f t="shared" ref="QU202:RB202" si="275">CONCATENATE($T202,"-AI",REPLACE($X202,1,3,""),"-",PW202)</f>
        <v>F0-AI24-7B</v>
      </c>
      <c r="QV202" s="12" t="str">
        <f t="shared" si="275"/>
        <v>F0-AI24-7A</v>
      </c>
      <c r="QW202" s="12" t="str">
        <f t="shared" si="275"/>
        <v>F0-AI24-9B</v>
      </c>
      <c r="QX202" s="12" t="str">
        <f t="shared" si="275"/>
        <v>F0-AI24-9A</v>
      </c>
      <c r="QY202" s="12" t="str">
        <f t="shared" si="275"/>
        <v>F0-AI24-11B</v>
      </c>
      <c r="QZ202" s="12" t="str">
        <f t="shared" si="275"/>
        <v>F0-AI24-11A</v>
      </c>
      <c r="RA202" s="12" t="str">
        <f t="shared" si="275"/>
        <v>F0-AI24-13B</v>
      </c>
      <c r="RB202" s="12" t="str">
        <f t="shared" si="275"/>
        <v>F0-AI24-13A</v>
      </c>
      <c r="RC202" s="12" t="str">
        <f t="shared" ref="RC202:RN202" si="276">CONCATENATE($T202,"-AI",REPLACE($PT202,1,3,""),"-",QE202)</f>
        <v>F0-AI25-1B</v>
      </c>
      <c r="RD202" s="12" t="str">
        <f t="shared" si="276"/>
        <v>F0-AI25-1A</v>
      </c>
      <c r="RE202" s="12" t="str">
        <f t="shared" si="276"/>
        <v>F0-AI25-3B</v>
      </c>
      <c r="RF202" s="12" t="str">
        <f t="shared" si="276"/>
        <v>F0-AI25-3A</v>
      </c>
      <c r="RG202" s="12" t="str">
        <f t="shared" si="276"/>
        <v>F0-AI25-5B</v>
      </c>
      <c r="RH202" s="12" t="str">
        <f t="shared" si="276"/>
        <v>F0-AI25-5A</v>
      </c>
      <c r="RI202" s="12" t="str">
        <f t="shared" si="276"/>
        <v>F0-AI25-7B</v>
      </c>
      <c r="RJ202" s="12" t="str">
        <f t="shared" si="276"/>
        <v>F0-AI25-7A</v>
      </c>
      <c r="RK202" s="12" t="str">
        <f t="shared" si="276"/>
        <v>F0-AI25-9B</v>
      </c>
      <c r="RL202" s="12" t="str">
        <f t="shared" si="276"/>
        <v>F0-AI25-9A</v>
      </c>
      <c r="RM202" s="12" t="str">
        <f t="shared" si="276"/>
        <v>F0-AI25-11B</v>
      </c>
      <c r="RN202" s="12" t="str">
        <f t="shared" si="276"/>
        <v>F0-AI25-11A</v>
      </c>
      <c r="RO202" s="12" t="str">
        <f t="shared" ref="RO202" si="277">CONCATENATE("XT",$U202)</f>
        <v>XT62</v>
      </c>
      <c r="RP202" s="12">
        <v>22</v>
      </c>
      <c r="RQ202" s="12">
        <v>23</v>
      </c>
      <c r="RR202" s="12">
        <v>24</v>
      </c>
      <c r="RS202" s="12">
        <v>25</v>
      </c>
      <c r="RT202" s="12">
        <v>26</v>
      </c>
      <c r="RU202" s="12">
        <v>27</v>
      </c>
      <c r="RV202" s="12">
        <v>28</v>
      </c>
      <c r="RW202" s="12">
        <v>29</v>
      </c>
      <c r="RX202" s="12">
        <v>30</v>
      </c>
      <c r="RY202" s="12">
        <v>31</v>
      </c>
      <c r="RZ202" s="12">
        <v>32</v>
      </c>
      <c r="SA202" s="12">
        <v>33</v>
      </c>
      <c r="SB202" s="12">
        <v>34</v>
      </c>
      <c r="SC202" s="12">
        <v>35</v>
      </c>
      <c r="SD202" s="12">
        <v>36</v>
      </c>
      <c r="SE202" s="12">
        <v>37</v>
      </c>
      <c r="SF202" s="12">
        <v>38</v>
      </c>
      <c r="SG202" s="12">
        <v>39</v>
      </c>
      <c r="SH202" s="12">
        <v>40</v>
      </c>
      <c r="SI202" s="12">
        <v>41</v>
      </c>
      <c r="SJ202" s="12">
        <v>42</v>
      </c>
      <c r="SK202" s="12">
        <v>43</v>
      </c>
      <c r="SL202" s="12">
        <v>44</v>
      </c>
      <c r="SM202" s="12">
        <v>45</v>
      </c>
      <c r="SN202" s="12">
        <v>46</v>
      </c>
      <c r="SO202" s="12" t="s">
        <v>1231</v>
      </c>
      <c r="SP202" s="12" t="s">
        <v>1232</v>
      </c>
      <c r="SQ202" s="12" t="s">
        <v>1233</v>
      </c>
      <c r="SR202" s="12" t="s">
        <v>1234</v>
      </c>
      <c r="SS202" s="12" t="s">
        <v>1235</v>
      </c>
      <c r="ST202" s="12" t="s">
        <v>1236</v>
      </c>
      <c r="SU202" s="12" t="s">
        <v>1237</v>
      </c>
      <c r="SV202" s="12" t="s">
        <v>1238</v>
      </c>
      <c r="SW202" s="12" t="s">
        <v>1239</v>
      </c>
      <c r="SX202" s="12" t="s">
        <v>1240</v>
      </c>
      <c r="SY202" s="12" t="s">
        <v>1241</v>
      </c>
      <c r="SZ202" s="12" t="s">
        <v>1242</v>
      </c>
      <c r="TA202" s="12" t="s">
        <v>1059</v>
      </c>
      <c r="TB202" s="12" t="s">
        <v>1128</v>
      </c>
      <c r="TC202" s="12" t="s">
        <v>1129</v>
      </c>
      <c r="TD202" s="12" t="s">
        <v>1130</v>
      </c>
      <c r="TE202" s="12" t="s">
        <v>1132</v>
      </c>
      <c r="TF202" s="12" t="s">
        <v>1131</v>
      </c>
      <c r="TG202" s="12" t="s">
        <v>1133</v>
      </c>
      <c r="TH202" s="12" t="s">
        <v>1134</v>
      </c>
      <c r="TI202" s="12" t="s">
        <v>1135</v>
      </c>
      <c r="TJ202" s="12" t="s">
        <v>1136</v>
      </c>
      <c r="TK202" s="12" t="s">
        <v>1137</v>
      </c>
      <c r="TL202" s="13" t="s">
        <v>1138</v>
      </c>
    </row>
    <row r="203" spans="1:532" x14ac:dyDescent="0.25">
      <c r="A203" t="s">
        <v>1251</v>
      </c>
      <c r="B203" s="34" t="s">
        <v>1310</v>
      </c>
      <c r="C203" t="s">
        <v>1012</v>
      </c>
      <c r="P203" t="s">
        <v>1011</v>
      </c>
      <c r="T203" s="14" t="s">
        <v>554</v>
      </c>
      <c r="U203">
        <v>63</v>
      </c>
      <c r="W203" t="s">
        <v>1250</v>
      </c>
      <c r="X203" s="36" t="s">
        <v>1357</v>
      </c>
      <c r="Y203" s="45" t="str" cm="1">
        <f t="array" ref="Y203">IF(COUNTIFS($X$2:$X203,$X203)=1,"1",VALUE(SUBSTITUTE(INDEX(Y:Y,_xlfn.XMATCH($X203,$X$1:$X202,0,-1)),"A",""))+INDEX(Z:Z,_xlfn.XMATCH($X203,$X$1:$X202,0,-1))+1)</f>
        <v>1</v>
      </c>
      <c r="Z203" s="46" cm="1">
        <f t="array" ref="Z203">SUM(IF(ISNUMBER(FIND("TmAi",$BA$1:$ZZ$1)),IF(IFERROR(ISODD(SUBSTITUTE($BA203:$ZZ203,"A","")),FALSE),IF(ISODD(SUBSTITUTE($BA203:$ZZ203,"A","")),1,0),0)))</f>
        <v>1</v>
      </c>
      <c r="AA203" t="str">
        <f t="shared" si="257"/>
        <v>1A</v>
      </c>
      <c r="AB203" t="str">
        <f t="shared" si="258"/>
        <v>1B</v>
      </c>
      <c r="AL203" t="s">
        <v>137</v>
      </c>
      <c r="AN203" t="s">
        <v>1253</v>
      </c>
      <c r="AO203" t="s">
        <v>396</v>
      </c>
      <c r="OA203" s="25" t="str">
        <f>CONCATENATE("XT",$U203)</f>
        <v>XT63</v>
      </c>
      <c r="OB203" s="12" t="s">
        <v>1259</v>
      </c>
      <c r="OC203" s="12" t="s">
        <v>1312</v>
      </c>
      <c r="OD203" s="12"/>
      <c r="OE203" s="12"/>
      <c r="OF203" s="12" t="str">
        <f>CONCATENATE(REPLACE($AA203,LEN($AA203),1,"")+1,RIGHT($AA203))</f>
        <v>2A</v>
      </c>
      <c r="OG203" s="12" t="str">
        <f>CONCATENATE(REPLACE($AB203,LEN($AB203),1,"")+1,RIGHT($AB203))</f>
        <v>2B</v>
      </c>
      <c r="OH203" s="12" t="str">
        <f>CONCATENATE(REPLACE(OF203,LEN(OF203),1,"")+1,RIGHT(OF203))</f>
        <v>3A</v>
      </c>
      <c r="OI203" s="12" t="str">
        <f t="shared" ref="OI203:OK203" si="278">CONCATENATE(REPLACE(OG203,LEN(OG203),1,"")+1,RIGHT(OG203))</f>
        <v>3B</v>
      </c>
      <c r="OJ203" s="12" t="str">
        <f t="shared" si="278"/>
        <v>4A</v>
      </c>
      <c r="OK203" s="12" t="str">
        <f t="shared" si="278"/>
        <v>4B</v>
      </c>
      <c r="OL203" s="12"/>
      <c r="OM203" s="12"/>
      <c r="ON203" s="12"/>
      <c r="OO203" s="12"/>
      <c r="OP203" s="12" t="str">
        <f>CONCATENATE($T203,"-AI",REPLACE($X203,1,3,""),"-",$AA203)</f>
        <v>F0-AI35-1A</v>
      </c>
      <c r="OQ203" s="12" t="str">
        <f>CONCATENATE($T203,"-AI",REPLACE($X203,1,3,""),"-",$AB203)</f>
        <v>F0-AI35-1B</v>
      </c>
      <c r="OR203" s="12" t="str">
        <f t="shared" ref="OR203:OW203" si="279">CONCATENATE($T203,"-AI",REPLACE($X203,1,3,""),"-",OF203)</f>
        <v>F0-AI35-2A</v>
      </c>
      <c r="OS203" s="12" t="str">
        <f t="shared" si="279"/>
        <v>F0-AI35-2B</v>
      </c>
      <c r="OT203" s="12" t="str">
        <f t="shared" si="279"/>
        <v>F0-AI35-3A</v>
      </c>
      <c r="OU203" s="12" t="str">
        <f t="shared" si="279"/>
        <v>F0-AI35-3B</v>
      </c>
      <c r="OV203" s="12" t="str">
        <f t="shared" si="279"/>
        <v>F0-AI35-4A</v>
      </c>
      <c r="OW203" s="12" t="str">
        <f t="shared" si="279"/>
        <v>F0-AI35-4B</v>
      </c>
      <c r="OX203" s="12"/>
      <c r="OY203" s="12"/>
      <c r="OZ203" s="12"/>
      <c r="PA203" s="12"/>
      <c r="PB203" s="12" cm="1">
        <f t="array" ref="PB203">IF(COUNTIFS($U$2:$U203,$U203)=1,1,INDEX(PB:PB,_xlfn.XMATCH($U203,$U$1:EB202,0,-1))+COUNT(PB202:PG202))</f>
        <v>1</v>
      </c>
      <c r="PC203" s="12">
        <f t="shared" ref="PC203:PD203" si="280">PB203+1</f>
        <v>2</v>
      </c>
      <c r="PD203" s="12">
        <f t="shared" si="280"/>
        <v>3</v>
      </c>
      <c r="PE203" s="12">
        <f>PD203+1</f>
        <v>4</v>
      </c>
      <c r="PF203" s="12">
        <f t="shared" ref="PF203:PG203" si="281">PE203+1</f>
        <v>5</v>
      </c>
      <c r="PG203" s="12">
        <f t="shared" si="281"/>
        <v>6</v>
      </c>
      <c r="PH203" s="12"/>
      <c r="PI203" s="12"/>
      <c r="PJ203" s="12"/>
      <c r="PK203" s="12">
        <v>1</v>
      </c>
      <c r="PL203" s="12">
        <v>2</v>
      </c>
      <c r="PM203" s="12">
        <v>3</v>
      </c>
      <c r="PN203" s="12">
        <v>4</v>
      </c>
      <c r="PO203" s="12">
        <v>5</v>
      </c>
      <c r="PP203" s="13">
        <v>6</v>
      </c>
    </row>
    <row r="204" spans="1:532" ht="15.75" thickBot="1" x14ac:dyDescent="0.3">
      <c r="A204" t="s">
        <v>1255</v>
      </c>
      <c r="B204" s="33" t="s">
        <v>1341</v>
      </c>
      <c r="P204" t="s">
        <v>482</v>
      </c>
      <c r="T204" s="14" t="s">
        <v>554</v>
      </c>
      <c r="U204">
        <v>63</v>
      </c>
      <c r="W204" t="s">
        <v>1256</v>
      </c>
      <c r="X204" s="36" t="s">
        <v>1257</v>
      </c>
      <c r="Y204" s="45" t="str" cm="1">
        <f t="array" ref="Y204">IF(COUNTIFS($X$2:$X204,$X204)=1,"1",VALUE(SUBSTITUTE(INDEX(Y:Y,_xlfn.XMATCH($X204,$X$1:$X203,0,-1)),"A",""))+INDEX(Z:Z,_xlfn.XMATCH($X204,$X$1:$X203,0,-1))+1)</f>
        <v>1</v>
      </c>
      <c r="Z204" s="46" cm="1">
        <f t="array" ref="Z204">SUM(IF(ISNUMBER(FIND("TmAi",$BA$1:$ZZ$1)),IF(IFERROR(ISODD(SUBSTITUTE($BA204:$ZZ204,"A","")),FALSE),IF(ISODD(SUBSTITUTE($BA204:$ZZ204,"A","")),1,0),0)))</f>
        <v>0</v>
      </c>
      <c r="AA204" t="str">
        <f t="shared" ref="AA204" si="282">CONCATENATE($Y204*2-1,"B")</f>
        <v>1B</v>
      </c>
      <c r="AB204" t="str">
        <f t="shared" ref="AB204" si="283">CONCATENATE($Y204*2,"B")</f>
        <v>2B</v>
      </c>
      <c r="AL204" t="s">
        <v>137</v>
      </c>
      <c r="AM204" t="s">
        <v>1258</v>
      </c>
      <c r="AO204" t="s">
        <v>396</v>
      </c>
      <c r="JV204" s="27" t="str">
        <f>CONCATENATE("XT",U204)</f>
        <v>XT63</v>
      </c>
      <c r="JY204" t="str">
        <f>CONCATENATE(T204,"-AI",REPLACE($X204,1,3,""),"-",AA204)</f>
        <v>F0-AI25-1B</v>
      </c>
      <c r="JZ204" t="str">
        <f>CONCATENATE(T204,"-AI",REPLACE($X204,1,3,""),"-",AB204)</f>
        <v>F0-AI25-2B</v>
      </c>
      <c r="KE204">
        <v>7</v>
      </c>
      <c r="KF204">
        <f t="shared" ref="KF204:KG204" si="284">KE204+1</f>
        <v>8</v>
      </c>
      <c r="KG204">
        <f t="shared" si="284"/>
        <v>9</v>
      </c>
      <c r="KJ204" t="s">
        <v>548</v>
      </c>
      <c r="KK204" s="16" t="s">
        <v>548</v>
      </c>
      <c r="KO204" s="16"/>
      <c r="OA204" s="27"/>
      <c r="PP204" s="16"/>
    </row>
    <row r="205" spans="1:532" x14ac:dyDescent="0.25">
      <c r="A205" t="s">
        <v>1263</v>
      </c>
      <c r="B205" s="34" t="s">
        <v>1311</v>
      </c>
      <c r="C205" t="s">
        <v>1012</v>
      </c>
      <c r="P205" t="s">
        <v>1011</v>
      </c>
      <c r="T205" s="14" t="s">
        <v>554</v>
      </c>
      <c r="U205">
        <v>64</v>
      </c>
      <c r="W205" t="s">
        <v>1260</v>
      </c>
      <c r="X205" s="36" t="s">
        <v>1357</v>
      </c>
      <c r="Y205" s="45" cm="1">
        <f t="array" ref="Y205">IF(COUNTIFS($X$2:$X205,$X205)=1,"1",VALUE(SUBSTITUTE(INDEX(Y:Y,_xlfn.XMATCH($X205,$X$1:$X204,0,-1)),"A",""))+INDEX(Z:Z,_xlfn.XMATCH($X205,$X$1:$X204,0,-1))+1)</f>
        <v>3</v>
      </c>
      <c r="Z205" s="46" cm="1">
        <f t="array" ref="Z205">SUM(IF(ISNUMBER(FIND("TmAi",$BA$1:$ZZ$1)),IF(IFERROR(ISODD(SUBSTITUTE($BA205:$ZZ205,"A","")),FALSE),IF(ISODD(SUBSTITUTE($BA205:$ZZ205,"A","")),1,0),0)))</f>
        <v>1</v>
      </c>
      <c r="AA205" t="str">
        <f t="shared" ref="AA205" si="285">CONCATENATE($Y205*2-1,"A")</f>
        <v>5A</v>
      </c>
      <c r="AB205" t="str">
        <f t="shared" ref="AB205" si="286">CONCATENATE($Y205*2-1,"B")</f>
        <v>5B</v>
      </c>
      <c r="AL205" t="s">
        <v>137</v>
      </c>
      <c r="AN205" t="s">
        <v>1261</v>
      </c>
      <c r="AO205" t="s">
        <v>396</v>
      </c>
      <c r="OA205" s="25" t="str">
        <f>CONCATENATE("XT",$U205)</f>
        <v>XT64</v>
      </c>
      <c r="OB205" s="12" t="s">
        <v>1254</v>
      </c>
      <c r="OC205" s="12" t="s">
        <v>1313</v>
      </c>
      <c r="OD205" s="12"/>
      <c r="OE205" s="12"/>
      <c r="OF205" s="12" t="str">
        <f>CONCATENATE(REPLACE($AA205,LEN($AA205),1,"")+1,RIGHT($AA205))</f>
        <v>6A</v>
      </c>
      <c r="OG205" s="12" t="str">
        <f>CONCATENATE(REPLACE($AB205,LEN($AB205),1,"")+1,RIGHT($AB205))</f>
        <v>6B</v>
      </c>
      <c r="OH205" s="12" t="str">
        <f>CONCATENATE(REPLACE(OF205,LEN(OF205),1,"")+1,RIGHT(OF205))</f>
        <v>7A</v>
      </c>
      <c r="OI205" s="12" t="str">
        <f t="shared" ref="OI205:OK205" si="287">CONCATENATE(REPLACE(OG205,LEN(OG205),1,"")+1,RIGHT(OG205))</f>
        <v>7B</v>
      </c>
      <c r="OJ205" s="12" t="str">
        <f t="shared" si="287"/>
        <v>8A</v>
      </c>
      <c r="OK205" s="12" t="str">
        <f t="shared" si="287"/>
        <v>8B</v>
      </c>
      <c r="OL205" s="12"/>
      <c r="OM205" s="12"/>
      <c r="ON205" s="12"/>
      <c r="OO205" s="12"/>
      <c r="OP205" s="12" t="str">
        <f>CONCATENATE($T205,"-AI",REPLACE($X205,1,3,""),"-",$AA205)</f>
        <v>F0-AI35-5A</v>
      </c>
      <c r="OQ205" s="12" t="str">
        <f>CONCATENATE($T205,"-AI",REPLACE($X205,1,3,""),"-",$AB205)</f>
        <v>F0-AI35-5B</v>
      </c>
      <c r="OR205" s="12" t="str">
        <f t="shared" ref="OR205:OW205" si="288">CONCATENATE($T205,"-AI",REPLACE($X205,1,3,""),"-",OF205)</f>
        <v>F0-AI35-6A</v>
      </c>
      <c r="OS205" s="12" t="str">
        <f t="shared" si="288"/>
        <v>F0-AI35-6B</v>
      </c>
      <c r="OT205" s="12" t="str">
        <f t="shared" si="288"/>
        <v>F0-AI35-7A</v>
      </c>
      <c r="OU205" s="12" t="str">
        <f t="shared" si="288"/>
        <v>F0-AI35-7B</v>
      </c>
      <c r="OV205" s="12" t="str">
        <f t="shared" si="288"/>
        <v>F0-AI35-8A</v>
      </c>
      <c r="OW205" s="12" t="str">
        <f t="shared" si="288"/>
        <v>F0-AI35-8B</v>
      </c>
      <c r="OX205" s="12"/>
      <c r="OY205" s="12"/>
      <c r="OZ205" s="12"/>
      <c r="PA205" s="12"/>
      <c r="PB205" s="12" cm="1">
        <f t="array" ref="PB205">IF(COUNTIFS($U$2:$U205,$U205)=1,1,INDEX(PB:PB,_xlfn.XMATCH($U205,$U$1:EB204,0,-1))+COUNT(PB204:PG204))</f>
        <v>1</v>
      </c>
      <c r="PC205" s="12">
        <f t="shared" ref="PC205:PD205" si="289">PB205+1</f>
        <v>2</v>
      </c>
      <c r="PD205" s="12">
        <f t="shared" si="289"/>
        <v>3</v>
      </c>
      <c r="PE205" s="12">
        <f>PD205+1</f>
        <v>4</v>
      </c>
      <c r="PF205" s="12">
        <f t="shared" ref="PF205:PG205" si="290">PE205+1</f>
        <v>5</v>
      </c>
      <c r="PG205" s="12">
        <f t="shared" si="290"/>
        <v>6</v>
      </c>
      <c r="PH205" s="12"/>
      <c r="PI205" s="12"/>
      <c r="PJ205" s="12"/>
      <c r="PK205" s="12">
        <v>1</v>
      </c>
      <c r="PL205" s="12">
        <v>2</v>
      </c>
      <c r="PM205" s="12">
        <v>3</v>
      </c>
      <c r="PN205" s="12">
        <v>4</v>
      </c>
      <c r="PO205" s="12">
        <v>5</v>
      </c>
      <c r="PP205" s="13">
        <v>6</v>
      </c>
    </row>
    <row r="206" spans="1:532" ht="15.75" thickBot="1" x14ac:dyDescent="0.3">
      <c r="A206" t="s">
        <v>1264</v>
      </c>
      <c r="B206" s="33" t="s">
        <v>1342</v>
      </c>
      <c r="P206" t="s">
        <v>482</v>
      </c>
      <c r="T206" s="14" t="s">
        <v>554</v>
      </c>
      <c r="U206">
        <v>64</v>
      </c>
      <c r="W206" t="s">
        <v>1262</v>
      </c>
      <c r="X206" s="33" t="s">
        <v>1257</v>
      </c>
      <c r="Y206" s="45" cm="1">
        <f t="array" ref="Y206">IF(COUNTIFS($X$2:$X206,$X206)=1,"1",VALUE(SUBSTITUTE(INDEX(Y:Y,_xlfn.XMATCH($X206,$X$1:$X205,0,-1)),"A",""))+INDEX(Z:Z,_xlfn.XMATCH($X206,$X$1:$X205,0,-1))+1)</f>
        <v>2</v>
      </c>
      <c r="Z206" s="46" cm="1">
        <f t="array" ref="Z206">SUM(IF(ISNUMBER(FIND("TmAi",$BA$1:$ZZ$1)),IF(IFERROR(ISODD(SUBSTITUTE($BA206:$ZZ206,"A","")),FALSE),IF(ISODD(SUBSTITUTE($BA206:$ZZ206,"A","")),1,0),0)))</f>
        <v>0</v>
      </c>
      <c r="AA206" t="str">
        <f t="shared" ref="AA206" si="291">CONCATENATE($Y206*2-1,"B")</f>
        <v>3B</v>
      </c>
      <c r="AB206" t="str">
        <f t="shared" ref="AB206" si="292">CONCATENATE($Y206*2,"B")</f>
        <v>4B</v>
      </c>
      <c r="AL206" t="s">
        <v>137</v>
      </c>
      <c r="AM206" t="s">
        <v>1258</v>
      </c>
      <c r="AO206" t="s">
        <v>396</v>
      </c>
      <c r="JV206" s="27" t="str">
        <f>CONCATENATE("XT",U206)</f>
        <v>XT64</v>
      </c>
      <c r="JY206" t="str">
        <f>CONCATENATE(T206,"-AI",REPLACE($X206,1,3,""),"-",AA206)</f>
        <v>F0-AI25-3B</v>
      </c>
      <c r="JZ206" t="str">
        <f>CONCATENATE(T206,"-AI",REPLACE($X206,1,3,""),"-",AB206)</f>
        <v>F0-AI25-4B</v>
      </c>
      <c r="KE206">
        <v>7</v>
      </c>
      <c r="KF206">
        <f t="shared" ref="KF206:KG206" si="293">KE206+1</f>
        <v>8</v>
      </c>
      <c r="KG206">
        <f t="shared" si="293"/>
        <v>9</v>
      </c>
      <c r="KJ206" t="s">
        <v>548</v>
      </c>
      <c r="KK206" s="16" t="s">
        <v>548</v>
      </c>
      <c r="KO206" s="16"/>
      <c r="OA206" s="27"/>
      <c r="PP206" s="16"/>
    </row>
    <row r="207" spans="1:532" x14ac:dyDescent="0.25">
      <c r="A207" t="s">
        <v>1276</v>
      </c>
      <c r="B207" s="34" t="s">
        <v>1331</v>
      </c>
      <c r="C207" t="s">
        <v>1012</v>
      </c>
      <c r="P207" t="s">
        <v>1011</v>
      </c>
      <c r="T207" s="14" t="s">
        <v>554</v>
      </c>
      <c r="U207">
        <v>65</v>
      </c>
      <c r="W207" t="s">
        <v>1265</v>
      </c>
      <c r="X207" s="36" t="s">
        <v>1358</v>
      </c>
      <c r="Y207" s="45" t="str" cm="1">
        <f t="array" ref="Y207">IF(COUNTIFS($X$2:$X207,$X207)=1,"1",VALUE(SUBSTITUTE(INDEX(Y:Y,_xlfn.XMATCH($X207,$X$1:$X206,0,-1)),"A",""))+INDEX(Z:Z,_xlfn.XMATCH($X207,$X$1:$X206,0,-1))+1)</f>
        <v>1</v>
      </c>
      <c r="Z207" s="46" cm="1">
        <f t="array" ref="Z207">SUM(IF(ISNUMBER(FIND("TmAi",$BA$1:$ZZ$1)),IF(IFERROR(ISODD(SUBSTITUTE($BA207:$ZZ207,"A","")),FALSE),IF(ISODD(SUBSTITUTE($BA207:$ZZ207,"A","")),1,0),0)))</f>
        <v>1</v>
      </c>
      <c r="AA207" t="str">
        <f t="shared" ref="AA207" si="294">CONCATENATE($Y207*2-1,"A")</f>
        <v>1A</v>
      </c>
      <c r="AB207" t="str">
        <f t="shared" ref="AB207" si="295">CONCATENATE($Y207*2-1,"B")</f>
        <v>1B</v>
      </c>
      <c r="AL207" t="s">
        <v>137</v>
      </c>
      <c r="AN207" t="s">
        <v>1270</v>
      </c>
      <c r="AO207" t="s">
        <v>396</v>
      </c>
      <c r="OA207" s="25" t="str">
        <f>CONCATENATE("XT",$U207)</f>
        <v>XT65</v>
      </c>
      <c r="OB207" s="12" t="s">
        <v>1275</v>
      </c>
      <c r="OC207" s="12" t="s">
        <v>1316</v>
      </c>
      <c r="OD207" s="12"/>
      <c r="OE207" s="12"/>
      <c r="OF207" s="12" t="str">
        <f>CONCATENATE(REPLACE($AA207,LEN($AA207),1,"")+1,RIGHT($AA207))</f>
        <v>2A</v>
      </c>
      <c r="OG207" s="12" t="str">
        <f>CONCATENATE(REPLACE($AB207,LEN($AB207),1,"")+1,RIGHT($AB207))</f>
        <v>2B</v>
      </c>
      <c r="OH207" s="12" t="str">
        <f>CONCATENATE(REPLACE(OF207,LEN(OF207),1,"")+1,RIGHT(OF207))</f>
        <v>3A</v>
      </c>
      <c r="OI207" s="12" t="str">
        <f t="shared" ref="OI207:OK207" si="296">CONCATENATE(REPLACE(OG207,LEN(OG207),1,"")+1,RIGHT(OG207))</f>
        <v>3B</v>
      </c>
      <c r="OJ207" s="12" t="str">
        <f t="shared" si="296"/>
        <v>4A</v>
      </c>
      <c r="OK207" s="12" t="str">
        <f t="shared" si="296"/>
        <v>4B</v>
      </c>
      <c r="OL207" s="12"/>
      <c r="OM207" s="12"/>
      <c r="ON207" s="12"/>
      <c r="OO207" s="12"/>
      <c r="OP207" s="12" t="str">
        <f>CONCATENATE($T207,"-AI",REPLACE($X207,1,3,""),"-",$AA207)</f>
        <v>F0-AI36-1A</v>
      </c>
      <c r="OQ207" s="12" t="str">
        <f>CONCATENATE($T207,"-AI",REPLACE($X207,1,3,""),"-",$AB207)</f>
        <v>F0-AI36-1B</v>
      </c>
      <c r="OR207" s="12" t="str">
        <f t="shared" ref="OR207:OW207" si="297">CONCATENATE($T207,"-AI",REPLACE($X207,1,3,""),"-",OF207)</f>
        <v>F0-AI36-2A</v>
      </c>
      <c r="OS207" s="12" t="str">
        <f t="shared" si="297"/>
        <v>F0-AI36-2B</v>
      </c>
      <c r="OT207" s="12" t="str">
        <f t="shared" si="297"/>
        <v>F0-AI36-3A</v>
      </c>
      <c r="OU207" s="12" t="str">
        <f t="shared" si="297"/>
        <v>F0-AI36-3B</v>
      </c>
      <c r="OV207" s="12" t="str">
        <f t="shared" si="297"/>
        <v>F0-AI36-4A</v>
      </c>
      <c r="OW207" s="12" t="str">
        <f t="shared" si="297"/>
        <v>F0-AI36-4B</v>
      </c>
      <c r="OX207" s="12"/>
      <c r="OY207" s="12"/>
      <c r="OZ207" s="12"/>
      <c r="PA207" s="12"/>
      <c r="PB207" s="12" cm="1">
        <f t="array" ref="PB207">IF(COUNTIFS($U$2:$U207,$U207)=1,1,INDEX(PB:PB,_xlfn.XMATCH($U207,$U$1:EB206,0,-1))+COUNT(PB206:PG206))</f>
        <v>1</v>
      </c>
      <c r="PC207" s="12">
        <f t="shared" ref="PC207:PD207" si="298">PB207+1</f>
        <v>2</v>
      </c>
      <c r="PD207" s="12">
        <f t="shared" si="298"/>
        <v>3</v>
      </c>
      <c r="PE207" s="12">
        <f>PD207+1</f>
        <v>4</v>
      </c>
      <c r="PF207" s="12">
        <f t="shared" ref="PF207:PG207" si="299">PE207+1</f>
        <v>5</v>
      </c>
      <c r="PG207" s="12">
        <f t="shared" si="299"/>
        <v>6</v>
      </c>
      <c r="PH207" s="12"/>
      <c r="PI207" s="12"/>
      <c r="PJ207" s="12"/>
      <c r="PK207" s="12">
        <v>1</v>
      </c>
      <c r="PL207" s="12">
        <v>2</v>
      </c>
      <c r="PM207" s="12">
        <v>3</v>
      </c>
      <c r="PN207" s="12">
        <v>4</v>
      </c>
      <c r="PO207" s="12">
        <v>5</v>
      </c>
      <c r="PP207" s="13">
        <v>6</v>
      </c>
    </row>
    <row r="208" spans="1:532" ht="15.75" thickBot="1" x14ac:dyDescent="0.3">
      <c r="A208" t="s">
        <v>1272</v>
      </c>
      <c r="B208" s="33" t="s">
        <v>1339</v>
      </c>
      <c r="P208" t="s">
        <v>482</v>
      </c>
      <c r="T208" s="14" t="s">
        <v>554</v>
      </c>
      <c r="U208">
        <v>65</v>
      </c>
      <c r="W208" t="s">
        <v>1266</v>
      </c>
      <c r="X208" s="36" t="s">
        <v>1257</v>
      </c>
      <c r="Y208" s="45" cm="1">
        <f t="array" ref="Y208">IF(COUNTIFS($X$2:$X208,$X208)=1,"1",VALUE(SUBSTITUTE(INDEX(Y:Y,_xlfn.XMATCH($X208,$X$1:$X207,0,-1)),"A",""))+INDEX(Z:Z,_xlfn.XMATCH($X208,$X$1:$X207,0,-1))+1)</f>
        <v>3</v>
      </c>
      <c r="Z208" s="46" cm="1">
        <f t="array" ref="Z208">SUM(IF(ISNUMBER(FIND("TmAi",$BA$1:$ZZ$1)),IF(IFERROR(ISODD(SUBSTITUTE($BA208:$ZZ208,"A","")),FALSE),IF(ISODD(SUBSTITUTE($BA208:$ZZ208,"A","")),1,0),0)))</f>
        <v>0</v>
      </c>
      <c r="AA208" t="str">
        <f t="shared" ref="AA208" si="300">CONCATENATE($Y208*2-1,"B")</f>
        <v>5B</v>
      </c>
      <c r="AB208" t="str">
        <f t="shared" ref="AB208" si="301">CONCATENATE($Y208*2,"B")</f>
        <v>6B</v>
      </c>
      <c r="AL208" t="s">
        <v>137</v>
      </c>
      <c r="AM208" t="s">
        <v>1269</v>
      </c>
      <c r="AO208" t="s">
        <v>396</v>
      </c>
      <c r="JV208" s="27" t="str">
        <f>CONCATENATE("XT",U208)</f>
        <v>XT65</v>
      </c>
      <c r="JY208" t="str">
        <f>CONCATENATE(T208,"-AI",REPLACE($X208,1,3,""),"-",AA208)</f>
        <v>F0-AI25-5B</v>
      </c>
      <c r="JZ208" t="str">
        <f>CONCATENATE(T208,"-AI",REPLACE($X208,1,3,""),"-",AB208)</f>
        <v>F0-AI25-6B</v>
      </c>
      <c r="KE208">
        <v>7</v>
      </c>
      <c r="KF208">
        <f t="shared" ref="KF208:KG208" si="302">KE208+1</f>
        <v>8</v>
      </c>
      <c r="KG208">
        <f t="shared" si="302"/>
        <v>9</v>
      </c>
      <c r="KJ208" t="s">
        <v>548</v>
      </c>
      <c r="KK208" s="16" t="s">
        <v>548</v>
      </c>
      <c r="KO208" s="16"/>
      <c r="OA208" s="27"/>
      <c r="PP208" s="16"/>
    </row>
    <row r="209" spans="1:432" x14ac:dyDescent="0.25">
      <c r="A209" t="s">
        <v>1277</v>
      </c>
      <c r="B209" s="34" t="s">
        <v>1332</v>
      </c>
      <c r="C209" t="s">
        <v>1012</v>
      </c>
      <c r="P209" t="s">
        <v>1011</v>
      </c>
      <c r="T209" s="14" t="s">
        <v>554</v>
      </c>
      <c r="U209">
        <v>66</v>
      </c>
      <c r="W209" t="s">
        <v>1267</v>
      </c>
      <c r="X209" s="36" t="s">
        <v>1358</v>
      </c>
      <c r="Y209" s="45" cm="1">
        <f t="array" ref="Y209">IF(COUNTIFS($X$2:$X209,$X209)=1,"1",VALUE(SUBSTITUTE(INDEX(Y:Y,_xlfn.XMATCH($X209,$X$1:$X208,0,-1)),"A",""))+INDEX(Z:Z,_xlfn.XMATCH($X209,$X$1:$X208,0,-1))+1)</f>
        <v>3</v>
      </c>
      <c r="Z209" s="46" cm="1">
        <f t="array" ref="Z209">SUM(IF(ISNUMBER(FIND("TmAi",$BA$1:$ZZ$1)),IF(IFERROR(ISODD(SUBSTITUTE($BA209:$ZZ209,"A","")),FALSE),IF(ISODD(SUBSTITUTE($BA209:$ZZ209,"A","")),1,0),0)))</f>
        <v>1</v>
      </c>
      <c r="AA209" t="str">
        <f t="shared" ref="AA209" si="303">CONCATENATE($Y209*2-1,"A")</f>
        <v>5A</v>
      </c>
      <c r="AB209" t="str">
        <f t="shared" ref="AB209" si="304">CONCATENATE($Y209*2-1,"B")</f>
        <v>5B</v>
      </c>
      <c r="AL209" t="s">
        <v>137</v>
      </c>
      <c r="AN209" t="s">
        <v>1271</v>
      </c>
      <c r="AO209" t="s">
        <v>396</v>
      </c>
      <c r="OA209" s="25" t="str">
        <f>CONCATENATE("XT",$U209)</f>
        <v>XT66</v>
      </c>
      <c r="OB209" s="12" t="s">
        <v>1274</v>
      </c>
      <c r="OC209" s="12" t="s">
        <v>1317</v>
      </c>
      <c r="OD209" s="12"/>
      <c r="OE209" s="12"/>
      <c r="OF209" s="12" t="str">
        <f>CONCATENATE(REPLACE($AA209,LEN($AA209),1,"")+1,RIGHT($AA209))</f>
        <v>6A</v>
      </c>
      <c r="OG209" s="12" t="str">
        <f>CONCATENATE(REPLACE($AB209,LEN($AB209),1,"")+1,RIGHT($AB209))</f>
        <v>6B</v>
      </c>
      <c r="OH209" s="12" t="str">
        <f>CONCATENATE(REPLACE(OF209,LEN(OF209),1,"")+1,RIGHT(OF209))</f>
        <v>7A</v>
      </c>
      <c r="OI209" s="12" t="str">
        <f t="shared" ref="OI209:OK209" si="305">CONCATENATE(REPLACE(OG209,LEN(OG209),1,"")+1,RIGHT(OG209))</f>
        <v>7B</v>
      </c>
      <c r="OJ209" s="12" t="str">
        <f t="shared" si="305"/>
        <v>8A</v>
      </c>
      <c r="OK209" s="12" t="str">
        <f t="shared" si="305"/>
        <v>8B</v>
      </c>
      <c r="OL209" s="12"/>
      <c r="OM209" s="12"/>
      <c r="ON209" s="12"/>
      <c r="OO209" s="12"/>
      <c r="OP209" s="12" t="str">
        <f>CONCATENATE($T209,"-AI",REPLACE($X209,1,3,""),"-",$AA209)</f>
        <v>F0-AI36-5A</v>
      </c>
      <c r="OQ209" s="12" t="str">
        <f>CONCATENATE($T209,"-AI",REPLACE($X209,1,3,""),"-",$AB209)</f>
        <v>F0-AI36-5B</v>
      </c>
      <c r="OR209" s="12" t="str">
        <f t="shared" ref="OR209:OW209" si="306">CONCATENATE($T209,"-AI",REPLACE($X209,1,3,""),"-",OF209)</f>
        <v>F0-AI36-6A</v>
      </c>
      <c r="OS209" s="12" t="str">
        <f t="shared" si="306"/>
        <v>F0-AI36-6B</v>
      </c>
      <c r="OT209" s="12" t="str">
        <f t="shared" si="306"/>
        <v>F0-AI36-7A</v>
      </c>
      <c r="OU209" s="12" t="str">
        <f t="shared" si="306"/>
        <v>F0-AI36-7B</v>
      </c>
      <c r="OV209" s="12" t="str">
        <f t="shared" si="306"/>
        <v>F0-AI36-8A</v>
      </c>
      <c r="OW209" s="12" t="str">
        <f t="shared" si="306"/>
        <v>F0-AI36-8B</v>
      </c>
      <c r="OX209" s="12"/>
      <c r="OY209" s="12"/>
      <c r="OZ209" s="12"/>
      <c r="PA209" s="12"/>
      <c r="PB209" s="12" cm="1">
        <f t="array" ref="PB209">IF(COUNTIFS($U$2:$U209,$U209)=1,1,INDEX(PB:PB,_xlfn.XMATCH($U209,$U$1:EB208,0,-1))+COUNT(PB208:PG208))</f>
        <v>1</v>
      </c>
      <c r="PC209" s="12">
        <f t="shared" ref="PC209:PD209" si="307">PB209+1</f>
        <v>2</v>
      </c>
      <c r="PD209" s="12">
        <f t="shared" si="307"/>
        <v>3</v>
      </c>
      <c r="PE209" s="12">
        <f>PD209+1</f>
        <v>4</v>
      </c>
      <c r="PF209" s="12">
        <f t="shared" ref="PF209:PG209" si="308">PE209+1</f>
        <v>5</v>
      </c>
      <c r="PG209" s="12">
        <f t="shared" si="308"/>
        <v>6</v>
      </c>
      <c r="PH209" s="12"/>
      <c r="PI209" s="12"/>
      <c r="PJ209" s="12"/>
      <c r="PK209" s="12">
        <v>1</v>
      </c>
      <c r="PL209" s="12">
        <v>2</v>
      </c>
      <c r="PM209" s="12">
        <v>3</v>
      </c>
      <c r="PN209" s="12">
        <v>4</v>
      </c>
      <c r="PO209" s="12">
        <v>5</v>
      </c>
      <c r="PP209" s="13">
        <v>6</v>
      </c>
    </row>
    <row r="210" spans="1:432" ht="15.75" thickBot="1" x14ac:dyDescent="0.3">
      <c r="A210" t="s">
        <v>1273</v>
      </c>
      <c r="B210" s="33" t="s">
        <v>1340</v>
      </c>
      <c r="P210" t="s">
        <v>482</v>
      </c>
      <c r="T210" s="14" t="s">
        <v>554</v>
      </c>
      <c r="U210">
        <v>66</v>
      </c>
      <c r="W210" t="s">
        <v>1268</v>
      </c>
      <c r="X210" s="36" t="s">
        <v>1257</v>
      </c>
      <c r="Y210" s="45" cm="1">
        <f t="array" ref="Y210">IF(COUNTIFS($X$2:$X210,$X210)=1,"1",VALUE(SUBSTITUTE(INDEX(Y:Y,_xlfn.XMATCH($X210,$X$1:$X209,0,-1)),"A",""))+INDEX(Z:Z,_xlfn.XMATCH($X210,$X$1:$X209,0,-1))+1)</f>
        <v>4</v>
      </c>
      <c r="Z210" s="46" cm="1">
        <f t="array" ref="Z210">SUM(IF(ISNUMBER(FIND("TmAi",$BA$1:$ZZ$1)),IF(IFERROR(ISODD(SUBSTITUTE($BA210:$ZZ210,"A","")),FALSE),IF(ISODD(SUBSTITUTE($BA210:$ZZ210,"A","")),1,0),0)))</f>
        <v>0</v>
      </c>
      <c r="AA210" t="str">
        <f t="shared" ref="AA210" si="309">CONCATENATE($Y210*2-1,"B")</f>
        <v>7B</v>
      </c>
      <c r="AB210" t="str">
        <f t="shared" ref="AB210" si="310">CONCATENATE($Y210*2,"B")</f>
        <v>8B</v>
      </c>
      <c r="AL210" t="s">
        <v>137</v>
      </c>
      <c r="AM210" t="s">
        <v>1269</v>
      </c>
      <c r="AO210" t="s">
        <v>396</v>
      </c>
      <c r="JV210" s="27" t="str">
        <f>CONCATENATE("XT",U210)</f>
        <v>XT66</v>
      </c>
      <c r="JY210" t="str">
        <f>CONCATENATE(T210,"-AI",REPLACE($X210,1,3,""),"-",AA210)</f>
        <v>F0-AI25-7B</v>
      </c>
      <c r="JZ210" t="str">
        <f>CONCATENATE(T210,"-AI",REPLACE($X210,1,3,""),"-",AB210)</f>
        <v>F0-AI25-8B</v>
      </c>
      <c r="KE210">
        <v>7</v>
      </c>
      <c r="KF210">
        <f t="shared" ref="KF210:KG210" si="311">KE210+1</f>
        <v>8</v>
      </c>
      <c r="KG210">
        <f t="shared" si="311"/>
        <v>9</v>
      </c>
      <c r="KJ210" t="s">
        <v>548</v>
      </c>
      <c r="KK210" s="16" t="s">
        <v>548</v>
      </c>
      <c r="KO210" s="16"/>
      <c r="OA210" s="27"/>
      <c r="PP210" s="16"/>
    </row>
    <row r="211" spans="1:432" x14ac:dyDescent="0.25">
      <c r="A211" t="s">
        <v>1282</v>
      </c>
      <c r="B211" s="34" t="s">
        <v>1333</v>
      </c>
      <c r="C211" t="s">
        <v>1012</v>
      </c>
      <c r="P211" t="s">
        <v>1011</v>
      </c>
      <c r="T211" s="14" t="s">
        <v>554</v>
      </c>
      <c r="U211">
        <v>67</v>
      </c>
      <c r="W211" t="s">
        <v>1279</v>
      </c>
      <c r="X211" s="36" t="s">
        <v>1358</v>
      </c>
      <c r="Y211" s="45" cm="1">
        <f t="array" ref="Y211">IF(COUNTIFS($X$2:$X211,$X211)=1,"1",VALUE(SUBSTITUTE(INDEX(Y:Y,_xlfn.XMATCH($X211,$X$1:$X210,0,-1)),"A",""))+INDEX(Z:Z,_xlfn.XMATCH($X211,$X$1:$X210,0,-1))+1)</f>
        <v>5</v>
      </c>
      <c r="Z211" s="46" cm="1">
        <f t="array" ref="Z211">SUM(IF(ISNUMBER(FIND("TmAi",$BA$1:$ZZ$1)),IF(IFERROR(ISODD(SUBSTITUTE($BA211:$ZZ211,"A","")),FALSE),IF(ISODD(SUBSTITUTE($BA211:$ZZ211,"A","")),1,0),0)))</f>
        <v>1</v>
      </c>
      <c r="AA211" t="str">
        <f t="shared" ref="AA211" si="312">CONCATENATE($Y211*2-1,"A")</f>
        <v>9A</v>
      </c>
      <c r="AB211" t="str">
        <f t="shared" ref="AB211" si="313">CONCATENATE($Y211*2-1,"B")</f>
        <v>9B</v>
      </c>
      <c r="AL211" t="s">
        <v>137</v>
      </c>
      <c r="AN211" t="s">
        <v>1278</v>
      </c>
      <c r="AO211" t="s">
        <v>396</v>
      </c>
      <c r="OA211" s="25" t="str">
        <f>CONCATENATE("XT",$U211)</f>
        <v>XT67</v>
      </c>
      <c r="OB211" s="12" t="s">
        <v>1284</v>
      </c>
      <c r="OC211" s="12" t="s">
        <v>1318</v>
      </c>
      <c r="OD211" s="12"/>
      <c r="OE211" s="12"/>
      <c r="OF211" s="12" t="str">
        <f>CONCATENATE(REPLACE($AA211,LEN($AA211),1,"")+1,RIGHT($AA211))</f>
        <v>10A</v>
      </c>
      <c r="OG211" s="12" t="str">
        <f>CONCATENATE(REPLACE($AB211,LEN($AB211),1,"")+1,RIGHT($AB211))</f>
        <v>10B</v>
      </c>
      <c r="OH211" s="12" t="str">
        <f>CONCATENATE(REPLACE(OF211,LEN(OF211),1,"")+1,RIGHT(OF211))</f>
        <v>11A</v>
      </c>
      <c r="OI211" s="12" t="str">
        <f t="shared" ref="OI211:OK211" si="314">CONCATENATE(REPLACE(OG211,LEN(OG211),1,"")+1,RIGHT(OG211))</f>
        <v>11B</v>
      </c>
      <c r="OJ211" s="12" t="str">
        <f t="shared" si="314"/>
        <v>12A</v>
      </c>
      <c r="OK211" s="12" t="str">
        <f t="shared" si="314"/>
        <v>12B</v>
      </c>
      <c r="OL211" s="12"/>
      <c r="OM211" s="12"/>
      <c r="ON211" s="12"/>
      <c r="OO211" s="12"/>
      <c r="OP211" s="12" t="str">
        <f>CONCATENATE($T211,"-AI",REPLACE($X211,1,3,""),"-",$AA211)</f>
        <v>F0-AI36-9A</v>
      </c>
      <c r="OQ211" s="12" t="str">
        <f>CONCATENATE($T211,"-AI",REPLACE($X211,1,3,""),"-",$AB211)</f>
        <v>F0-AI36-9B</v>
      </c>
      <c r="OR211" s="12" t="str">
        <f t="shared" ref="OR211:OW211" si="315">CONCATENATE($T211,"-AI",REPLACE($X211,1,3,""),"-",OF211)</f>
        <v>F0-AI36-10A</v>
      </c>
      <c r="OS211" s="12" t="str">
        <f t="shared" si="315"/>
        <v>F0-AI36-10B</v>
      </c>
      <c r="OT211" s="12" t="str">
        <f t="shared" si="315"/>
        <v>F0-AI36-11A</v>
      </c>
      <c r="OU211" s="12" t="str">
        <f t="shared" si="315"/>
        <v>F0-AI36-11B</v>
      </c>
      <c r="OV211" s="12" t="str">
        <f t="shared" si="315"/>
        <v>F0-AI36-12A</v>
      </c>
      <c r="OW211" s="12" t="str">
        <f t="shared" si="315"/>
        <v>F0-AI36-12B</v>
      </c>
      <c r="OX211" s="12"/>
      <c r="OY211" s="12"/>
      <c r="OZ211" s="12"/>
      <c r="PA211" s="12"/>
      <c r="PB211" s="12" cm="1">
        <f t="array" ref="PB211">IF(COUNTIFS($U$2:$U211,$U211)=1,1,INDEX(PB:PB,_xlfn.XMATCH($U211,$U$1:EB210,0,-1))+COUNT(PB210:PG210))</f>
        <v>1</v>
      </c>
      <c r="PC211" s="12">
        <f t="shared" ref="PC211:PD211" si="316">PB211+1</f>
        <v>2</v>
      </c>
      <c r="PD211" s="12">
        <f t="shared" si="316"/>
        <v>3</v>
      </c>
      <c r="PE211" s="12">
        <f>PD211+1</f>
        <v>4</v>
      </c>
      <c r="PF211" s="12">
        <f t="shared" ref="PF211:PG211" si="317">PE211+1</f>
        <v>5</v>
      </c>
      <c r="PG211" s="12">
        <f t="shared" si="317"/>
        <v>6</v>
      </c>
      <c r="PH211" s="12"/>
      <c r="PI211" s="12"/>
      <c r="PJ211" s="12"/>
      <c r="PK211" s="12">
        <v>1</v>
      </c>
      <c r="PL211" s="12">
        <v>2</v>
      </c>
      <c r="PM211" s="12">
        <v>3</v>
      </c>
      <c r="PN211" s="12">
        <v>4</v>
      </c>
      <c r="PO211" s="12">
        <v>5</v>
      </c>
      <c r="PP211" s="13">
        <v>6</v>
      </c>
    </row>
    <row r="212" spans="1:432" ht="15.75" thickBot="1" x14ac:dyDescent="0.3">
      <c r="A212" t="s">
        <v>1283</v>
      </c>
      <c r="B212" s="33" t="s">
        <v>1338</v>
      </c>
      <c r="P212" t="s">
        <v>482</v>
      </c>
      <c r="T212" s="14" t="s">
        <v>554</v>
      </c>
      <c r="U212">
        <v>67</v>
      </c>
      <c r="W212" t="s">
        <v>1280</v>
      </c>
      <c r="X212" s="36" t="s">
        <v>1257</v>
      </c>
      <c r="Y212" s="45" cm="1">
        <f t="array" ref="Y212">IF(COUNTIFS($X$2:$X212,$X212)=1,"1",VALUE(SUBSTITUTE(INDEX(Y:Y,_xlfn.XMATCH($X212,$X$1:$X211,0,-1)),"A",""))+INDEX(Z:Z,_xlfn.XMATCH($X212,$X$1:$X211,0,-1))+1)</f>
        <v>5</v>
      </c>
      <c r="Z212" s="46" cm="1">
        <f t="array" ref="Z212">SUM(IF(ISNUMBER(FIND("TmAi",$BA$1:$ZZ$1)),IF(IFERROR(ISODD(SUBSTITUTE($BA212:$ZZ212,"A","")),FALSE),IF(ISODD(SUBSTITUTE($BA212:$ZZ212,"A","")),1,0),0)))</f>
        <v>0</v>
      </c>
      <c r="AA212" t="str">
        <f t="shared" ref="AA212" si="318">CONCATENATE($Y212*2-1,"B")</f>
        <v>9B</v>
      </c>
      <c r="AB212" t="str">
        <f t="shared" ref="AB212" si="319">CONCATENATE($Y212*2,"B")</f>
        <v>10B</v>
      </c>
      <c r="AL212" t="s">
        <v>137</v>
      </c>
      <c r="AM212" t="s">
        <v>1269</v>
      </c>
      <c r="AO212" t="s">
        <v>396</v>
      </c>
      <c r="JV212" s="27" t="str">
        <f>CONCATENATE("XT",U212)</f>
        <v>XT67</v>
      </c>
      <c r="JY212" t="str">
        <f>CONCATENATE(T212,"-AI",REPLACE($X212,1,3,""),"-",AA212)</f>
        <v>F0-AI25-9B</v>
      </c>
      <c r="JZ212" t="str">
        <f>CONCATENATE(T212,"-AI",REPLACE($X212,1,3,""),"-",AB212)</f>
        <v>F0-AI25-10B</v>
      </c>
      <c r="KE212">
        <v>7</v>
      </c>
      <c r="KF212">
        <f t="shared" ref="KF212:KG212" si="320">KE212+1</f>
        <v>8</v>
      </c>
      <c r="KG212">
        <f t="shared" si="320"/>
        <v>9</v>
      </c>
      <c r="KJ212" t="s">
        <v>548</v>
      </c>
      <c r="KK212" s="16" t="s">
        <v>548</v>
      </c>
      <c r="KO212" s="16"/>
      <c r="OA212" s="27"/>
      <c r="PP212" s="16"/>
    </row>
    <row r="213" spans="1:432" x14ac:dyDescent="0.25">
      <c r="A213" t="s">
        <v>1293</v>
      </c>
      <c r="B213" s="34" t="s">
        <v>1334</v>
      </c>
      <c r="C213" t="s">
        <v>1012</v>
      </c>
      <c r="P213" t="s">
        <v>1011</v>
      </c>
      <c r="T213" s="14" t="s">
        <v>554</v>
      </c>
      <c r="U213">
        <v>68</v>
      </c>
      <c r="W213" t="s">
        <v>1285</v>
      </c>
      <c r="X213" s="36" t="s">
        <v>1359</v>
      </c>
      <c r="Y213" s="45" t="str" cm="1">
        <f t="array" ref="Y213">IF(COUNTIFS($X$2:$X213,$X213)=1,"1",VALUE(SUBSTITUTE(INDEX(Y:Y,_xlfn.XMATCH($X213,$X$1:$X212,0,-1)),"A",""))+INDEX(Z:Z,_xlfn.XMATCH($X213,$X$1:$X212,0,-1))+1)</f>
        <v>1</v>
      </c>
      <c r="Z213" s="46" cm="1">
        <f t="array" ref="Z213">SUM(IF(ISNUMBER(FIND("TmAi",$BA$1:$ZZ$1)),IF(IFERROR(ISODD(SUBSTITUTE($BA213:$ZZ213,"A","")),FALSE),IF(ISODD(SUBSTITUTE($BA213:$ZZ213,"A","")),1,0),0)))</f>
        <v>1</v>
      </c>
      <c r="AA213" t="str">
        <f t="shared" ref="AA213" si="321">CONCATENATE($Y213*2-1,"A")</f>
        <v>1A</v>
      </c>
      <c r="AB213" t="str">
        <f t="shared" ref="AB213" si="322">CONCATENATE($Y213*2-1,"B")</f>
        <v>1B</v>
      </c>
      <c r="AL213" t="s">
        <v>137</v>
      </c>
      <c r="AN213" t="s">
        <v>1290</v>
      </c>
      <c r="AO213" t="s">
        <v>396</v>
      </c>
      <c r="OA213" s="25" t="str">
        <f>CONCATENATE("XT",$U213)</f>
        <v>XT68</v>
      </c>
      <c r="OB213" s="12" t="s">
        <v>1297</v>
      </c>
      <c r="OC213" s="12" t="s">
        <v>1314</v>
      </c>
      <c r="OD213" s="12"/>
      <c r="OE213" s="12"/>
      <c r="OF213" s="12" t="str">
        <f>CONCATENATE(REPLACE($AA213,LEN($AA213),1,"")+1,RIGHT($AA213))</f>
        <v>2A</v>
      </c>
      <c r="OG213" s="12" t="str">
        <f>CONCATENATE(REPLACE($AB213,LEN($AB213),1,"")+1,RIGHT($AB213))</f>
        <v>2B</v>
      </c>
      <c r="OH213" s="12" t="str">
        <f>CONCATENATE(REPLACE(OF213,LEN(OF213),1,"")+1,RIGHT(OF213))</f>
        <v>3A</v>
      </c>
      <c r="OI213" s="12" t="str">
        <f t="shared" ref="OI213:OK213" si="323">CONCATENATE(REPLACE(OG213,LEN(OG213),1,"")+1,RIGHT(OG213))</f>
        <v>3B</v>
      </c>
      <c r="OJ213" s="12" t="str">
        <f t="shared" si="323"/>
        <v>4A</v>
      </c>
      <c r="OK213" s="12" t="str">
        <f t="shared" si="323"/>
        <v>4B</v>
      </c>
      <c r="OL213" s="12"/>
      <c r="OM213" s="12"/>
      <c r="ON213" s="12"/>
      <c r="OO213" s="12"/>
      <c r="OP213" s="12" t="str">
        <f>CONCATENATE($T213,"-AI",REPLACE($X213,1,3,""),"-",$AA213)</f>
        <v>F0-AI37-1A</v>
      </c>
      <c r="OQ213" s="12" t="str">
        <f>CONCATENATE($T213,"-AI",REPLACE($X213,1,3,""),"-",$AB213)</f>
        <v>F0-AI37-1B</v>
      </c>
      <c r="OR213" s="12" t="str">
        <f t="shared" ref="OR213:OW213" si="324">CONCATENATE($T213,"-AI",REPLACE($X213,1,3,""),"-",OF213)</f>
        <v>F0-AI37-2A</v>
      </c>
      <c r="OS213" s="12" t="str">
        <f t="shared" si="324"/>
        <v>F0-AI37-2B</v>
      </c>
      <c r="OT213" s="12" t="str">
        <f t="shared" si="324"/>
        <v>F0-AI37-3A</v>
      </c>
      <c r="OU213" s="12" t="str">
        <f t="shared" si="324"/>
        <v>F0-AI37-3B</v>
      </c>
      <c r="OV213" s="12" t="str">
        <f t="shared" si="324"/>
        <v>F0-AI37-4A</v>
      </c>
      <c r="OW213" s="12" t="str">
        <f t="shared" si="324"/>
        <v>F0-AI37-4B</v>
      </c>
      <c r="OX213" s="12"/>
      <c r="OY213" s="12"/>
      <c r="OZ213" s="12"/>
      <c r="PA213" s="12"/>
      <c r="PB213" s="12" cm="1">
        <f t="array" ref="PB213">IF(COUNTIFS($U$2:$U213,$U213)=1,1,INDEX(PB:PB,_xlfn.XMATCH($U213,$U$1:EB212,0,-1))+COUNT(PB212:PG212))</f>
        <v>1</v>
      </c>
      <c r="PC213" s="12">
        <f t="shared" ref="PC213:PD213" si="325">PB213+1</f>
        <v>2</v>
      </c>
      <c r="PD213" s="12">
        <f t="shared" si="325"/>
        <v>3</v>
      </c>
      <c r="PE213" s="12">
        <f>PD213+1</f>
        <v>4</v>
      </c>
      <c r="PF213" s="12">
        <f t="shared" ref="PF213:PG213" si="326">PE213+1</f>
        <v>5</v>
      </c>
      <c r="PG213" s="12">
        <f t="shared" si="326"/>
        <v>6</v>
      </c>
      <c r="PH213" s="12"/>
      <c r="PI213" s="12"/>
      <c r="PJ213" s="12"/>
      <c r="PK213" s="12">
        <v>1</v>
      </c>
      <c r="PL213" s="12">
        <v>2</v>
      </c>
      <c r="PM213" s="12">
        <v>3</v>
      </c>
      <c r="PN213" s="12">
        <v>4</v>
      </c>
      <c r="PO213" s="12">
        <v>5</v>
      </c>
      <c r="PP213" s="13">
        <v>6</v>
      </c>
    </row>
    <row r="214" spans="1:432" ht="15.75" thickBot="1" x14ac:dyDescent="0.3">
      <c r="A214" t="s">
        <v>1294</v>
      </c>
      <c r="B214" s="33" t="s">
        <v>1336</v>
      </c>
      <c r="P214" t="s">
        <v>482</v>
      </c>
      <c r="T214" s="14" t="s">
        <v>554</v>
      </c>
      <c r="U214">
        <v>68</v>
      </c>
      <c r="W214" t="s">
        <v>1286</v>
      </c>
      <c r="X214" s="36" t="s">
        <v>1257</v>
      </c>
      <c r="Y214" s="45" cm="1">
        <f t="array" ref="Y214">IF(COUNTIFS($X$2:$X214,$X214)=1,"1",VALUE(SUBSTITUTE(INDEX(Y:Y,_xlfn.XMATCH($X214,$X$1:$X213,0,-1)),"A",""))+INDEX(Z:Z,_xlfn.XMATCH($X214,$X$1:$X213,0,-1))+1)</f>
        <v>6</v>
      </c>
      <c r="Z214" s="46" cm="1">
        <f t="array" ref="Z214">SUM(IF(ISNUMBER(FIND("TmAi",$BA$1:$ZZ$1)),IF(IFERROR(ISODD(SUBSTITUTE($BA214:$ZZ214,"A","")),FALSE),IF(ISODD(SUBSTITUTE($BA214:$ZZ214,"A","")),1,0),0)))</f>
        <v>0</v>
      </c>
      <c r="AA214" t="str">
        <f t="shared" ref="AA214" si="327">CONCATENATE($Y214*2-1,"B")</f>
        <v>11B</v>
      </c>
      <c r="AB214" t="str">
        <f t="shared" ref="AB214" si="328">CONCATENATE($Y214*2,"B")</f>
        <v>12B</v>
      </c>
      <c r="AL214" t="s">
        <v>137</v>
      </c>
      <c r="AM214" t="s">
        <v>1292</v>
      </c>
      <c r="AO214" t="s">
        <v>396</v>
      </c>
      <c r="JV214" s="27" t="str">
        <f>CONCATENATE("XT",U214)</f>
        <v>XT68</v>
      </c>
      <c r="JY214" t="str">
        <f>CONCATENATE(T214,"-AI",REPLACE($X214,1,3,""),"-",AA214)</f>
        <v>F0-AI25-11B</v>
      </c>
      <c r="JZ214" t="str">
        <f>CONCATENATE(T214,"-AI",REPLACE($X214,1,3,""),"-",AB214)</f>
        <v>F0-AI25-12B</v>
      </c>
      <c r="KE214">
        <v>7</v>
      </c>
      <c r="KF214">
        <f t="shared" ref="KF214:KG214" si="329">KE214+1</f>
        <v>8</v>
      </c>
      <c r="KG214">
        <f t="shared" si="329"/>
        <v>9</v>
      </c>
      <c r="KJ214" t="s">
        <v>548</v>
      </c>
      <c r="KK214" s="16" t="s">
        <v>548</v>
      </c>
      <c r="KO214" s="16"/>
      <c r="OA214" s="27"/>
      <c r="PP214" s="16"/>
    </row>
    <row r="215" spans="1:432" x14ac:dyDescent="0.25">
      <c r="A215" t="s">
        <v>1295</v>
      </c>
      <c r="B215" s="34" t="s">
        <v>1335</v>
      </c>
      <c r="C215" t="s">
        <v>1012</v>
      </c>
      <c r="P215" t="s">
        <v>1011</v>
      </c>
      <c r="T215" s="14" t="s">
        <v>554</v>
      </c>
      <c r="U215">
        <v>69</v>
      </c>
      <c r="W215" t="s">
        <v>1287</v>
      </c>
      <c r="X215" s="36" t="s">
        <v>1359</v>
      </c>
      <c r="Y215" s="45" cm="1">
        <f t="array" ref="Y215">IF(COUNTIFS($X$2:$X215,$X215)=1,"1",VALUE(SUBSTITUTE(INDEX(Y:Y,_xlfn.XMATCH($X215,$X$1:$X214,0,-1)),"A",""))+INDEX(Z:Z,_xlfn.XMATCH($X215,$X$1:$X214,0,-1))+1)</f>
        <v>3</v>
      </c>
      <c r="Z215" s="46" cm="1">
        <f t="array" ref="Z215">SUM(IF(ISNUMBER(FIND("TmAi",$BA$1:$ZZ$1)),IF(IFERROR(ISODD(SUBSTITUTE($BA215:$ZZ215,"A","")),FALSE),IF(ISODD(SUBSTITUTE($BA215:$ZZ215,"A","")),1,0),0)))</f>
        <v>1</v>
      </c>
      <c r="AA215" t="str">
        <f t="shared" ref="AA215" si="330">CONCATENATE($Y215*2-1,"A")</f>
        <v>5A</v>
      </c>
      <c r="AB215" t="str">
        <f t="shared" ref="AB215" si="331">CONCATENATE($Y215*2-1,"B")</f>
        <v>5B</v>
      </c>
      <c r="AL215" t="s">
        <v>137</v>
      </c>
      <c r="AN215" t="s">
        <v>1291</v>
      </c>
      <c r="AO215" t="s">
        <v>396</v>
      </c>
      <c r="OA215" s="25" t="str">
        <f>CONCATENATE("XT",$U215)</f>
        <v>XT69</v>
      </c>
      <c r="OB215" s="12" t="s">
        <v>1298</v>
      </c>
      <c r="OC215" s="12" t="s">
        <v>1315</v>
      </c>
      <c r="OD215" s="12"/>
      <c r="OE215" s="12"/>
      <c r="OF215" s="12" t="str">
        <f>CONCATENATE(REPLACE($AA215,LEN($AA215),1,"")+1,RIGHT($AA215))</f>
        <v>6A</v>
      </c>
      <c r="OG215" s="12" t="str">
        <f>CONCATENATE(REPLACE($AB215,LEN($AB215),1,"")+1,RIGHT($AB215))</f>
        <v>6B</v>
      </c>
      <c r="OH215" s="12" t="str">
        <f>CONCATENATE(REPLACE(OF215,LEN(OF215),1,"")+1,RIGHT(OF215))</f>
        <v>7A</v>
      </c>
      <c r="OI215" s="12" t="str">
        <f t="shared" ref="OI215:OK215" si="332">CONCATENATE(REPLACE(OG215,LEN(OG215),1,"")+1,RIGHT(OG215))</f>
        <v>7B</v>
      </c>
      <c r="OJ215" s="12" t="str">
        <f t="shared" si="332"/>
        <v>8A</v>
      </c>
      <c r="OK215" s="12" t="str">
        <f t="shared" si="332"/>
        <v>8B</v>
      </c>
      <c r="OL215" s="12"/>
      <c r="OM215" s="12"/>
      <c r="ON215" s="12"/>
      <c r="OO215" s="12"/>
      <c r="OP215" s="12" t="str">
        <f>CONCATENATE($T215,"-AI",REPLACE($X215,1,3,""),"-",$AA215)</f>
        <v>F0-AI37-5A</v>
      </c>
      <c r="OQ215" s="12" t="str">
        <f>CONCATENATE($T215,"-AI",REPLACE($X215,1,3,""),"-",$AB215)</f>
        <v>F0-AI37-5B</v>
      </c>
      <c r="OR215" s="12" t="str">
        <f t="shared" ref="OR215:OW215" si="333">CONCATENATE($T215,"-AI",REPLACE($X215,1,3,""),"-",OF215)</f>
        <v>F0-AI37-6A</v>
      </c>
      <c r="OS215" s="12" t="str">
        <f t="shared" si="333"/>
        <v>F0-AI37-6B</v>
      </c>
      <c r="OT215" s="12" t="str">
        <f t="shared" si="333"/>
        <v>F0-AI37-7A</v>
      </c>
      <c r="OU215" s="12" t="str">
        <f t="shared" si="333"/>
        <v>F0-AI37-7B</v>
      </c>
      <c r="OV215" s="12" t="str">
        <f t="shared" si="333"/>
        <v>F0-AI37-8A</v>
      </c>
      <c r="OW215" s="12" t="str">
        <f t="shared" si="333"/>
        <v>F0-AI37-8B</v>
      </c>
      <c r="OX215" s="12"/>
      <c r="OY215" s="12"/>
      <c r="OZ215" s="12"/>
      <c r="PA215" s="12"/>
      <c r="PB215" s="12" cm="1">
        <f t="array" ref="PB215">IF(COUNTIFS($U$2:$U215,$U215)=1,1,INDEX(PB:PB,_xlfn.XMATCH($U215,$U$1:EB214,0,-1))+COUNT(PB214:PG214))</f>
        <v>1</v>
      </c>
      <c r="PC215" s="12">
        <f t="shared" ref="PC215:PD215" si="334">PB215+1</f>
        <v>2</v>
      </c>
      <c r="PD215" s="12">
        <f t="shared" si="334"/>
        <v>3</v>
      </c>
      <c r="PE215" s="12">
        <f>PD215+1</f>
        <v>4</v>
      </c>
      <c r="PF215" s="12">
        <f t="shared" ref="PF215:PG215" si="335">PE215+1</f>
        <v>5</v>
      </c>
      <c r="PG215" s="12">
        <f t="shared" si="335"/>
        <v>6</v>
      </c>
      <c r="PH215" s="12"/>
      <c r="PI215" s="12"/>
      <c r="PJ215" s="12"/>
      <c r="PK215" s="12">
        <v>1</v>
      </c>
      <c r="PL215" s="12">
        <v>2</v>
      </c>
      <c r="PM215" s="12">
        <v>3</v>
      </c>
      <c r="PN215" s="12">
        <v>4</v>
      </c>
      <c r="PO215" s="12">
        <v>5</v>
      </c>
      <c r="PP215" s="13">
        <v>6</v>
      </c>
    </row>
    <row r="216" spans="1:432" x14ac:dyDescent="0.25">
      <c r="A216" t="s">
        <v>1296</v>
      </c>
      <c r="B216" s="33" t="s">
        <v>1337</v>
      </c>
      <c r="P216" t="s">
        <v>482</v>
      </c>
      <c r="T216" s="14" t="s">
        <v>554</v>
      </c>
      <c r="U216">
        <v>69</v>
      </c>
      <c r="W216" t="s">
        <v>1288</v>
      </c>
      <c r="X216" s="36" t="s">
        <v>1257</v>
      </c>
      <c r="Y216" s="45" cm="1">
        <f t="array" ref="Y216">IF(COUNTIFS($X$2:$X216,$X216)=1,"1",VALUE(SUBSTITUTE(INDEX(Y:Y,_xlfn.XMATCH($X216,$X$1:$X215,0,-1)),"A",""))+INDEX(Z:Z,_xlfn.XMATCH($X216,$X$1:$X215,0,-1))+1)</f>
        <v>7</v>
      </c>
      <c r="Z216" s="46" cm="1">
        <f t="array" ref="Z216">SUM(IF(ISNUMBER(FIND("TmAi",$BA$1:$ZZ$1)),IF(IFERROR(ISODD(SUBSTITUTE($BA216:$ZZ216,"A","")),FALSE),IF(ISODD(SUBSTITUTE($BA216:$ZZ216,"A","")),1,0),0)))</f>
        <v>0</v>
      </c>
      <c r="AA216" t="str">
        <f t="shared" ref="AA216:AA220" si="336">CONCATENATE($Y216*2-1,"B")</f>
        <v>13B</v>
      </c>
      <c r="AB216" t="str">
        <f t="shared" ref="AB216:AB220" si="337">CONCATENATE($Y216*2,"B")</f>
        <v>14B</v>
      </c>
      <c r="AL216" t="s">
        <v>137</v>
      </c>
      <c r="AM216" t="s">
        <v>1292</v>
      </c>
      <c r="AO216" t="s">
        <v>396</v>
      </c>
      <c r="JV216" s="27" t="str">
        <f t="shared" ref="JV216:JV224" si="338">CONCATENATE("XT",U216)</f>
        <v>XT69</v>
      </c>
      <c r="JY216" t="str">
        <f t="shared" ref="JY216:JY224" si="339">CONCATENATE(T216,"-AI",REPLACE($X216,1,3,""),"-",AA216)</f>
        <v>F0-AI25-13B</v>
      </c>
      <c r="JZ216" t="str">
        <f t="shared" ref="JZ216:JZ224" si="340">CONCATENATE(T216,"-AI",REPLACE($X216,1,3,""),"-",AB216)</f>
        <v>F0-AI25-14B</v>
      </c>
      <c r="KE216">
        <v>7</v>
      </c>
      <c r="KF216">
        <f t="shared" ref="KF216:KH224" si="341">KE216+1</f>
        <v>8</v>
      </c>
      <c r="KG216">
        <f t="shared" si="341"/>
        <v>9</v>
      </c>
      <c r="KJ216" t="s">
        <v>548</v>
      </c>
      <c r="KK216" s="16" t="s">
        <v>548</v>
      </c>
      <c r="KO216" s="16"/>
      <c r="OA216" s="27"/>
      <c r="PP216" s="16"/>
    </row>
    <row r="217" spans="1:432" x14ac:dyDescent="0.25">
      <c r="A217" t="s">
        <v>1303</v>
      </c>
      <c r="B217" s="33" t="s">
        <v>1343</v>
      </c>
      <c r="P217" t="s">
        <v>482</v>
      </c>
      <c r="T217" s="14" t="s">
        <v>554</v>
      </c>
      <c r="U217">
        <v>70</v>
      </c>
      <c r="W217" t="s">
        <v>1299</v>
      </c>
      <c r="X217" t="str">
        <f>IF(COUNTIF(X$1:X216,X216)&gt;3,REPLACE(X216,LEN(X216),1,VALUE(RIGHT(X216,1))+1),X216)</f>
        <v>A3.26</v>
      </c>
      <c r="Y217" s="43" t="str" cm="1">
        <f t="array" ref="Y217">IF(COUNTIFS($X$2:$X217,$X217)=1,"1",VALUE(SUBSTITUTE(INDEX(Y:Y,_xlfn.XMATCH($X217,$X$1:$X216,0,-1)),"A",""))+INDEX(Z:Z,_xlfn.XMATCH($X217,$X$1:$X216,0,-1))+1)</f>
        <v>1</v>
      </c>
      <c r="Z217" s="46" cm="1">
        <f t="array" ref="Z217">SUM(IF(ISNUMBER(FIND("TmAi",$BA$1:$ZZ$1)),IF(IFERROR(ISODD(SUBSTITUTE($BA217:$ZZ217,"A","")),FALSE),IF(ISODD(SUBSTITUTE($BA217:$ZZ217,"A","")),1,0),0)))</f>
        <v>0</v>
      </c>
      <c r="AA217" t="str">
        <f t="shared" si="336"/>
        <v>1B</v>
      </c>
      <c r="AB217" t="str">
        <f t="shared" si="337"/>
        <v>2B</v>
      </c>
      <c r="AL217" t="s">
        <v>137</v>
      </c>
      <c r="AM217" t="s">
        <v>1307</v>
      </c>
      <c r="AO217" t="s">
        <v>396</v>
      </c>
      <c r="JV217" s="27" t="str">
        <f t="shared" si="338"/>
        <v>XT70</v>
      </c>
      <c r="JY217" t="str">
        <f t="shared" si="339"/>
        <v>F0-AI26-1B</v>
      </c>
      <c r="JZ217" t="str">
        <f t="shared" si="340"/>
        <v>F0-AI26-2B</v>
      </c>
      <c r="KE217">
        <v>1</v>
      </c>
      <c r="KF217">
        <f t="shared" si="341"/>
        <v>2</v>
      </c>
      <c r="KG217">
        <f t="shared" si="341"/>
        <v>3</v>
      </c>
      <c r="KJ217" t="s">
        <v>548</v>
      </c>
      <c r="KK217" s="16" t="s">
        <v>548</v>
      </c>
      <c r="KO217" s="16"/>
      <c r="OA217" s="27"/>
      <c r="PP217" s="16"/>
    </row>
    <row r="218" spans="1:432" x14ac:dyDescent="0.25">
      <c r="A218" t="s">
        <v>1304</v>
      </c>
      <c r="B218" s="33" t="s">
        <v>1344</v>
      </c>
      <c r="P218" t="s">
        <v>482</v>
      </c>
      <c r="T218" s="14" t="s">
        <v>554</v>
      </c>
      <c r="U218">
        <v>70</v>
      </c>
      <c r="W218" t="s">
        <v>1305</v>
      </c>
      <c r="X218" t="str">
        <f>IF(COUNTIF(X$1:X217,X217)&gt;3,REPLACE(X217,LEN(X217),1,VALUE(RIGHT(X217,1))+1),X217)</f>
        <v>A3.26</v>
      </c>
      <c r="Y218" s="43" cm="1">
        <f t="array" ref="Y218">IF(COUNTIFS($X$2:$X218,$X218)=1,"1",VALUE(SUBSTITUTE(INDEX(Y:Y,_xlfn.XMATCH($X218,$X$1:$X217,0,-1)),"A",""))+INDEX(Z:Z,_xlfn.XMATCH($X218,$X$1:$X217,0,-1))+1)</f>
        <v>2</v>
      </c>
      <c r="Z218" s="46" cm="1">
        <f t="array" ref="Z218">SUM(IF(ISNUMBER(FIND("TmAi",$BA$1:$ZZ$1)),IF(IFERROR(ISODD(SUBSTITUTE($BA218:$ZZ218,"A","")),FALSE),IF(ISODD(SUBSTITUTE($BA218:$ZZ218,"A","")),1,0),0)))</f>
        <v>0</v>
      </c>
      <c r="AA218" t="str">
        <f t="shared" si="336"/>
        <v>3B</v>
      </c>
      <c r="AB218" t="str">
        <f t="shared" si="337"/>
        <v>4B</v>
      </c>
      <c r="AL218" t="s">
        <v>137</v>
      </c>
      <c r="AM218" t="s">
        <v>1307</v>
      </c>
      <c r="AO218" t="s">
        <v>396</v>
      </c>
      <c r="JV218" s="27" t="str">
        <f t="shared" si="338"/>
        <v>XT70</v>
      </c>
      <c r="JY218" t="str">
        <f t="shared" si="339"/>
        <v>F0-AI26-3B</v>
      </c>
      <c r="JZ218" t="str">
        <f t="shared" si="340"/>
        <v>F0-AI26-4B</v>
      </c>
      <c r="KE218" cm="1">
        <f t="array" ref="KE218">IF(COUNTIFS($U$2:$U218,$U218)=1,1,INDEX(KE:KE,_xlfn.XMATCH(U218,U$1:U217,0,-1))+COUNT(KE217:KI217))</f>
        <v>4</v>
      </c>
      <c r="KF218">
        <f t="shared" si="341"/>
        <v>5</v>
      </c>
      <c r="KG218">
        <f t="shared" si="341"/>
        <v>6</v>
      </c>
      <c r="KJ218" t="s">
        <v>548</v>
      </c>
      <c r="KK218" s="16" t="s">
        <v>548</v>
      </c>
      <c r="KO218" s="16"/>
      <c r="OA218" s="27"/>
      <c r="PP218" s="16"/>
    </row>
    <row r="219" spans="1:432" x14ac:dyDescent="0.25">
      <c r="A219" t="s">
        <v>1308</v>
      </c>
      <c r="B219" s="36" t="s">
        <v>1345</v>
      </c>
      <c r="P219" t="s">
        <v>482</v>
      </c>
      <c r="T219" s="14" t="s">
        <v>554</v>
      </c>
      <c r="U219">
        <v>70</v>
      </c>
      <c r="W219" t="s">
        <v>1301</v>
      </c>
      <c r="X219" t="str">
        <f>IF(COUNTIF(X$1:X218,X218)&gt;3,REPLACE(X218,LEN(X218),1,VALUE(RIGHT(X218,1))+1),X218)</f>
        <v>A3.26</v>
      </c>
      <c r="Y219" s="43" cm="1">
        <f t="array" ref="Y219">IF(COUNTIFS($X$2:$X219,$X219)=1,"1",VALUE(SUBSTITUTE(INDEX(Y:Y,_xlfn.XMATCH($X219,$X$1:$X218,0,-1)),"A",""))+INDEX(Z:Z,_xlfn.XMATCH($X219,$X$1:$X218,0,-1))+1)</f>
        <v>3</v>
      </c>
      <c r="Z219" s="46" cm="1">
        <f t="array" ref="Z219">SUM(IF(ISNUMBER(FIND("TmAi",$BA$1:$ZZ$1)),IF(IFERROR(ISODD(SUBSTITUTE($BA219:$ZZ219,"A","")),FALSE),IF(ISODD(SUBSTITUTE($BA219:$ZZ219,"A","")),1,0),0)))</f>
        <v>0</v>
      </c>
      <c r="AA219" t="str">
        <f t="shared" si="336"/>
        <v>5B</v>
      </c>
      <c r="AB219" t="str">
        <f t="shared" si="337"/>
        <v>6B</v>
      </c>
      <c r="AL219" t="s">
        <v>137</v>
      </c>
      <c r="AM219" t="s">
        <v>1302</v>
      </c>
      <c r="AO219" t="s">
        <v>396</v>
      </c>
      <c r="JV219" s="27" t="str">
        <f t="shared" si="338"/>
        <v>XT70</v>
      </c>
      <c r="JY219" t="str">
        <f t="shared" si="339"/>
        <v>F0-AI26-5B</v>
      </c>
      <c r="JZ219" t="str">
        <f t="shared" si="340"/>
        <v>F0-AI26-6B</v>
      </c>
      <c r="KE219" cm="1">
        <f t="array" ref="KE219">IF(COUNTIFS($U$2:$U219,$U219)=1,1,INDEX(KE:KE,_xlfn.XMATCH(U219,U$1:U218,0,-1))+COUNT(KE218:KI218))</f>
        <v>7</v>
      </c>
      <c r="KF219">
        <f t="shared" si="341"/>
        <v>8</v>
      </c>
      <c r="KG219">
        <f t="shared" si="341"/>
        <v>9</v>
      </c>
      <c r="KJ219" t="s">
        <v>548</v>
      </c>
      <c r="KK219" s="16" t="s">
        <v>548</v>
      </c>
      <c r="KO219" s="16"/>
      <c r="OA219" s="27"/>
      <c r="PP219" s="16"/>
    </row>
    <row r="220" spans="1:432" x14ac:dyDescent="0.25">
      <c r="A220" t="s">
        <v>1309</v>
      </c>
      <c r="B220" s="36" t="s">
        <v>1346</v>
      </c>
      <c r="P220" t="s">
        <v>482</v>
      </c>
      <c r="T220" s="14" t="s">
        <v>554</v>
      </c>
      <c r="U220">
        <v>70</v>
      </c>
      <c r="W220" t="s">
        <v>1306</v>
      </c>
      <c r="X220" s="33" t="str">
        <f>IF(COUNTIF(X$1:X219,X219)&gt;3,REPLACE(X219,LEN(X219),1,VALUE(RIGHT(X219,1))+1),X219)</f>
        <v>A3.26</v>
      </c>
      <c r="Y220" s="45" cm="1">
        <f t="array" ref="Y220">IF(COUNTIFS($X$2:$X220,$X220)=1,"1",VALUE(SUBSTITUTE(INDEX(Y:Y,_xlfn.XMATCH($X220,$X$1:$X219,0,-1)),"A",""))+INDEX(Z:Z,_xlfn.XMATCH($X220,$X$1:$X219,0,-1))+1)</f>
        <v>4</v>
      </c>
      <c r="Z220" s="46" cm="1">
        <f t="array" ref="Z220">SUM(IF(ISNUMBER(FIND("TmAi",$BA$1:$ZZ$1)),IF(IFERROR(ISODD(SUBSTITUTE($BA220:$ZZ220,"A","")),FALSE),IF(ISODD(SUBSTITUTE($BA220:$ZZ220,"A","")),1,0),0)))</f>
        <v>0</v>
      </c>
      <c r="AA220" t="str">
        <f t="shared" si="336"/>
        <v>7B</v>
      </c>
      <c r="AB220" t="str">
        <f t="shared" si="337"/>
        <v>8B</v>
      </c>
      <c r="AL220" t="s">
        <v>137</v>
      </c>
      <c r="AM220" t="s">
        <v>1302</v>
      </c>
      <c r="AO220" t="s">
        <v>396</v>
      </c>
      <c r="JV220" s="27" t="str">
        <f t="shared" si="338"/>
        <v>XT70</v>
      </c>
      <c r="JY220" t="str">
        <f t="shared" si="339"/>
        <v>F0-AI26-7B</v>
      </c>
      <c r="JZ220" t="str">
        <f t="shared" si="340"/>
        <v>F0-AI26-8B</v>
      </c>
      <c r="KE220" cm="1">
        <f t="array" ref="KE220">IF(COUNTIFS($U$2:$U220,$U220)=1,1,INDEX(KE:KE,_xlfn.XMATCH(U220,U$1:U219,0,-1))+COUNT(KE219:KI219))</f>
        <v>10</v>
      </c>
      <c r="KF220">
        <f t="shared" si="341"/>
        <v>11</v>
      </c>
      <c r="KG220">
        <f t="shared" si="341"/>
        <v>12</v>
      </c>
      <c r="KJ220" t="s">
        <v>548</v>
      </c>
      <c r="KK220" s="16" t="s">
        <v>548</v>
      </c>
      <c r="KO220" s="16"/>
      <c r="OA220" s="27"/>
      <c r="PP220" s="16"/>
    </row>
    <row r="221" spans="1:432" x14ac:dyDescent="0.25">
      <c r="A221" t="s">
        <v>1351</v>
      </c>
      <c r="B221" t="s">
        <v>1347</v>
      </c>
      <c r="C221" t="s">
        <v>1355</v>
      </c>
      <c r="P221" t="s">
        <v>1356</v>
      </c>
      <c r="T221" s="14" t="s">
        <v>554</v>
      </c>
      <c r="U221">
        <v>71</v>
      </c>
      <c r="V221" t="s">
        <v>1360</v>
      </c>
      <c r="X221" t="s">
        <v>1362</v>
      </c>
      <c r="Y221" s="43" t="str" cm="1">
        <f t="array" ref="Y221">IF(COUNTIFS($X$2:$X221,$X221)=1,"1",VALUE(SUBSTITUTE(INDEX(Y:Y,_xlfn.XMATCH($X221,$X$1:$X220,0,-1)),"A",""))+INDEX(Z:Z,_xlfn.XMATCH($X221,$X$1:$X220,0,-1))+1)</f>
        <v>1</v>
      </c>
      <c r="Z221" s="46" cm="1">
        <f t="array" ref="Z221">SUM(IF(ISNUMBER(FIND("TmAi",$BA$1:$ZZ$1)),IF(IFERROR(ISODD(SUBSTITUTE($BA221:$ZZ221,"A","")),FALSE),IF(ISODD(SUBSTITUTE($BA221:$ZZ221,"A","")),1,0),0)))</f>
        <v>0</v>
      </c>
      <c r="AA221" t="str">
        <f>CONCATENATE($Y221*2-1,"A")</f>
        <v>1A</v>
      </c>
      <c r="AB221" t="str">
        <f>CONCATENATE($Y221*2-1,"B")</f>
        <v>1B</v>
      </c>
      <c r="AL221" t="s">
        <v>137</v>
      </c>
      <c r="AO221" t="s">
        <v>396</v>
      </c>
      <c r="JV221" s="27" t="str">
        <f t="shared" si="338"/>
        <v>XT71</v>
      </c>
      <c r="JW221" t="str">
        <f t="shared" ref="JW221:JW222" si="342">REPLACE(AA221,1,1,LEFT(AA221,1)+1)</f>
        <v>2A</v>
      </c>
      <c r="JY221" t="str">
        <f t="shared" si="339"/>
        <v>F0-AI38-1A</v>
      </c>
      <c r="JZ221" t="str">
        <f t="shared" si="340"/>
        <v>F0-AI38-1B</v>
      </c>
      <c r="KA221" t="str">
        <f t="shared" ref="KA221:KB222" si="343">CONCATENATE($T221,"-AI",REPLACE($X221,1,3,""),"-",JW221)</f>
        <v>F0-AI38-2A</v>
      </c>
      <c r="KB221" t="str">
        <f t="shared" si="343"/>
        <v>F0-AI38-</v>
      </c>
      <c r="KE221" cm="1">
        <f t="array" ref="KE221">IF(COUNTIFS($U$2:$U221,$U221)=1,1,INDEX(KE:KE,_xlfn.XMATCH(U221,U$1:U220,0,-1))+COUNT(KE220:KI220))</f>
        <v>1</v>
      </c>
      <c r="KF221">
        <f t="shared" si="341"/>
        <v>2</v>
      </c>
      <c r="KG221">
        <f t="shared" si="341"/>
        <v>3</v>
      </c>
      <c r="KH221">
        <f t="shared" si="341"/>
        <v>4</v>
      </c>
      <c r="KJ221">
        <v>2</v>
      </c>
      <c r="KK221" s="16">
        <v>1</v>
      </c>
      <c r="KL221">
        <v>4</v>
      </c>
      <c r="KM221">
        <v>3</v>
      </c>
      <c r="KO221" s="16"/>
    </row>
    <row r="222" spans="1:432" x14ac:dyDescent="0.25">
      <c r="A222" t="s">
        <v>1352</v>
      </c>
      <c r="B222" t="s">
        <v>1348</v>
      </c>
      <c r="C222" t="s">
        <v>1355</v>
      </c>
      <c r="P222" t="s">
        <v>1356</v>
      </c>
      <c r="T222" s="14" t="s">
        <v>554</v>
      </c>
      <c r="U222">
        <v>71</v>
      </c>
      <c r="V222" t="s">
        <v>1361</v>
      </c>
      <c r="X222" s="33" t="str">
        <f>IF(COUNTIF(X$1:X221,X221)&gt;7,REPLACE(X221,LEN(X221),1,VALUE(RIGHT(X221,1))+1),X221)</f>
        <v>A3.38</v>
      </c>
      <c r="Y222" s="45" cm="1">
        <f t="array" ref="Y222">IF(COUNTIFS($X$2:$X222,$X222)=1,"1",VALUE(SUBSTITUTE(INDEX(Y:Y,_xlfn.XMATCH($X222,$X$1:$X221,0,-1)),"A",""))+INDEX(Z:Z,_xlfn.XMATCH($X222,$X$1:$X221,0,-1))+1)</f>
        <v>2</v>
      </c>
      <c r="Z222" s="46" cm="1">
        <f t="array" ref="Z222">SUM(IF(ISNUMBER(FIND("TmAi",$BA$1:$ZZ$1)),IF(IFERROR(ISODD(SUBSTITUTE($BA222:$ZZ222,"A","")),FALSE),IF(ISODD(SUBSTITUTE($BA222:$ZZ222,"A","")),1,0),0)))</f>
        <v>0</v>
      </c>
      <c r="AA222" t="str">
        <f>CONCATENATE($Y222*2-1,"A")</f>
        <v>3A</v>
      </c>
      <c r="AB222" t="str">
        <f>CONCATENATE($Y222*2-1,"B")</f>
        <v>3B</v>
      </c>
      <c r="AL222" t="s">
        <v>137</v>
      </c>
      <c r="AO222" t="s">
        <v>396</v>
      </c>
      <c r="JV222" s="27" t="str">
        <f t="shared" si="338"/>
        <v>XT71</v>
      </c>
      <c r="JW222" t="str">
        <f t="shared" si="342"/>
        <v>4A</v>
      </c>
      <c r="JY222" t="str">
        <f t="shared" si="339"/>
        <v>F0-AI38-3A</v>
      </c>
      <c r="JZ222" t="str">
        <f t="shared" si="340"/>
        <v>F0-AI38-3B</v>
      </c>
      <c r="KA222" t="str">
        <f t="shared" si="343"/>
        <v>F0-AI38-4A</v>
      </c>
      <c r="KB222" t="str">
        <f t="shared" si="343"/>
        <v>F0-AI38-</v>
      </c>
      <c r="KE222" cm="1">
        <f t="array" ref="KE222">IF(COUNTIFS($U$2:$U222,$U222)=1,1,INDEX(KE:KE,_xlfn.XMATCH(U222,U$1:U221,0,-1))+COUNT(KE221:KI221))</f>
        <v>5</v>
      </c>
      <c r="KF222">
        <f t="shared" si="341"/>
        <v>6</v>
      </c>
      <c r="KG222">
        <f t="shared" si="341"/>
        <v>7</v>
      </c>
      <c r="KH222">
        <f t="shared" si="341"/>
        <v>8</v>
      </c>
      <c r="KJ222">
        <v>2</v>
      </c>
      <c r="KK222" s="16">
        <v>1</v>
      </c>
      <c r="KL222">
        <v>4</v>
      </c>
      <c r="KM222">
        <v>3</v>
      </c>
      <c r="KO222" s="16"/>
    </row>
    <row r="223" spans="1:432" x14ac:dyDescent="0.25">
      <c r="A223" t="s">
        <v>1353</v>
      </c>
      <c r="B223" t="s">
        <v>1349</v>
      </c>
      <c r="C223" t="s">
        <v>1363</v>
      </c>
      <c r="P223" t="s">
        <v>482</v>
      </c>
      <c r="T223" s="14" t="s">
        <v>554</v>
      </c>
      <c r="U223">
        <v>71</v>
      </c>
      <c r="W223" t="s">
        <v>1368</v>
      </c>
      <c r="X223" s="34" t="s">
        <v>1367</v>
      </c>
      <c r="Y223" s="48" t="str" cm="1">
        <f t="array" ref="Y223">IF(COUNTIFS($X$2:$X223,$X223)=1,"1",VALUE(SUBSTITUTE(INDEX(Y:Y,_xlfn.XMATCH($X223,$X$1:$X222,0,-1)),"A",""))+INDEX(Z:Z,_xlfn.XMATCH($X223,$X$1:$X222,0,-1))+1)</f>
        <v>1</v>
      </c>
      <c r="Z223" s="46" cm="1">
        <f t="array" ref="Z223">SUM(IF(ISNUMBER(FIND("TmAi",$BA$1:$ZZ$1)),IF(IFERROR(ISODD(SUBSTITUTE($BA223:$ZZ223,"A","")),FALSE),IF(ISODD(SUBSTITUTE($BA223:$ZZ223,"A","")),1,0),0)))</f>
        <v>0</v>
      </c>
      <c r="AA223" t="str">
        <f t="shared" ref="AA223:AA224" si="344">CONCATENATE($Y223*2-1,"B")</f>
        <v>1B</v>
      </c>
      <c r="AB223" t="str">
        <f t="shared" ref="AB223:AB224" si="345">CONCATENATE($Y223*2,"B")</f>
        <v>2B</v>
      </c>
      <c r="AL223" t="s">
        <v>137</v>
      </c>
      <c r="AO223" t="s">
        <v>396</v>
      </c>
      <c r="JV223" s="27" t="str">
        <f t="shared" si="338"/>
        <v>XT71</v>
      </c>
      <c r="JY223" t="str">
        <f t="shared" si="339"/>
        <v>F0-AI27-1B</v>
      </c>
      <c r="JZ223" t="str">
        <f t="shared" si="340"/>
        <v>F0-AI27-2B</v>
      </c>
      <c r="KE223" cm="1">
        <f t="array" ref="KE223">IF(COUNTIFS($U$2:$U223,$U223)=1,1,INDEX(KE:KE,_xlfn.XMATCH(U223,U$1:U222,0,-1))+COUNT(KE222:KI222))</f>
        <v>9</v>
      </c>
      <c r="KF223">
        <f t="shared" si="341"/>
        <v>10</v>
      </c>
      <c r="KG223">
        <f t="shared" si="341"/>
        <v>11</v>
      </c>
      <c r="KJ223">
        <v>1</v>
      </c>
      <c r="KK223" s="16">
        <v>2</v>
      </c>
      <c r="KO223" s="16"/>
    </row>
    <row r="224" spans="1:432" ht="15.75" thickBot="1" x14ac:dyDescent="0.3">
      <c r="A224" t="s">
        <v>1354</v>
      </c>
      <c r="B224" t="s">
        <v>1350</v>
      </c>
      <c r="C224" t="s">
        <v>1363</v>
      </c>
      <c r="P224" t="s">
        <v>482</v>
      </c>
      <c r="T224" s="14" t="s">
        <v>554</v>
      </c>
      <c r="U224">
        <v>71</v>
      </c>
      <c r="W224" t="s">
        <v>1369</v>
      </c>
      <c r="X224" s="33" t="str">
        <f>IF(COUNTIF(X$1:X223,X223)&gt;3,REPLACE(X223,LEN(X223),1,VALUE(RIGHT(X223,1))+1),X223)</f>
        <v>A3.27</v>
      </c>
      <c r="Y224" s="45" cm="1">
        <f t="array" ref="Y224">IF(COUNTIFS($X$2:$X224,$X224)=1,"1",VALUE(SUBSTITUTE(INDEX(Y:Y,_xlfn.XMATCH($X224,$X$1:$X223,0,-1)),"A",""))+INDEX(Z:Z,_xlfn.XMATCH($X224,$X$1:$X223,0,-1))+1)</f>
        <v>2</v>
      </c>
      <c r="Z224" s="46" cm="1">
        <f t="array" ref="Z224">SUM(IF(ISNUMBER(FIND("TmAi",$BA$1:$ZZ$1)),IF(IFERROR(ISODD(SUBSTITUTE($BA224:$ZZ224,"A","")),FALSE),IF(ISODD(SUBSTITUTE($BA224:$ZZ224,"A","")),1,0),0)))</f>
        <v>0</v>
      </c>
      <c r="AA224" t="str">
        <f t="shared" si="344"/>
        <v>3B</v>
      </c>
      <c r="AB224" t="str">
        <f t="shared" si="345"/>
        <v>4B</v>
      </c>
      <c r="AL224" t="s">
        <v>137</v>
      </c>
      <c r="AO224" t="s">
        <v>396</v>
      </c>
      <c r="JV224" s="27" t="str">
        <f t="shared" si="338"/>
        <v>XT71</v>
      </c>
      <c r="JY224" t="str">
        <f t="shared" si="339"/>
        <v>F0-AI27-3B</v>
      </c>
      <c r="JZ224" t="str">
        <f t="shared" si="340"/>
        <v>F0-AI27-4B</v>
      </c>
      <c r="KE224" cm="1">
        <f t="array" ref="KE224">IF(COUNTIFS($U$2:$U224,$U224)=1,1,INDEX(KE:KE,_xlfn.XMATCH(U224,U$1:U223,0,-1))+COUNT(KE223:KI223))</f>
        <v>12</v>
      </c>
      <c r="KF224">
        <f t="shared" si="341"/>
        <v>13</v>
      </c>
      <c r="KG224">
        <f t="shared" si="341"/>
        <v>14</v>
      </c>
      <c r="KJ224">
        <v>1</v>
      </c>
      <c r="KK224" s="16">
        <v>2</v>
      </c>
      <c r="KO224" s="16"/>
    </row>
    <row r="225" spans="1:351" x14ac:dyDescent="0.25">
      <c r="A225" t="s">
        <v>1372</v>
      </c>
      <c r="B225" t="s">
        <v>1371</v>
      </c>
      <c r="P225" t="s">
        <v>1370</v>
      </c>
      <c r="T225" s="10" t="s">
        <v>554</v>
      </c>
      <c r="U225" s="49">
        <v>72</v>
      </c>
      <c r="V225" s="11" t="s">
        <v>1374</v>
      </c>
      <c r="W225" s="11" t="s">
        <v>1373</v>
      </c>
      <c r="X225" s="12"/>
      <c r="Y225" s="12"/>
      <c r="Z225" s="12"/>
      <c r="AA225" s="12"/>
      <c r="AB225" s="12"/>
      <c r="AC225" s="12" t="s">
        <v>1375</v>
      </c>
      <c r="AD225" s="12" t="s">
        <v>133</v>
      </c>
      <c r="AE225" s="12" t="s">
        <v>134</v>
      </c>
      <c r="AF225" s="12" t="s">
        <v>1376</v>
      </c>
      <c r="AG225" s="12" t="s">
        <v>135</v>
      </c>
      <c r="AH225" s="12" t="s">
        <v>136</v>
      </c>
      <c r="AI225" s="12">
        <v>1</v>
      </c>
      <c r="AJ225" s="12" t="str">
        <f>CONCATENATE(AI225,"XT")</f>
        <v>1XT</v>
      </c>
      <c r="AK225" s="12" t="str">
        <f t="shared" ref="AK225:AK229" si="346">CONCATENATE(AI225,"X")</f>
        <v>1X</v>
      </c>
      <c r="AL225" s="12" t="s">
        <v>137</v>
      </c>
      <c r="AM225" s="12" t="s">
        <v>138</v>
      </c>
      <c r="AN225" s="12"/>
      <c r="AO225" s="12"/>
      <c r="AP225" s="12" t="s">
        <v>139</v>
      </c>
      <c r="AQ225" s="12" t="s">
        <v>140</v>
      </c>
      <c r="AR225" s="12"/>
      <c r="AS225" s="12"/>
      <c r="AT225" s="12"/>
      <c r="AU225" s="12"/>
      <c r="AV225" s="12"/>
      <c r="AW225" s="12"/>
      <c r="AX225" s="12"/>
      <c r="AY225" s="12"/>
      <c r="AZ225" s="13"/>
      <c r="EN225" s="25" t="str">
        <f t="shared" ref="EN225:EN229" si="347">CONCATENATE("XT",U225)</f>
        <v>XT72</v>
      </c>
      <c r="EO225" s="12" t="str">
        <f>CONCATENATE("C",REPLACE(AD225,1,1,"")+1)</f>
        <v>C2</v>
      </c>
      <c r="EP225" s="12" t="str">
        <f>CONCATENATE("B",REPLACE(AE225,1,1,"")+1)</f>
        <v>B2</v>
      </c>
      <c r="EQ225" s="12" t="str">
        <f>CONCATENATE("C",REPLACE(EO225,1,1,"")+1)</f>
        <v>C3</v>
      </c>
      <c r="ER225" s="12" t="str">
        <f>CONCATENATE("B",REPLACE(EP225,1,1,"")+1)</f>
        <v>B3</v>
      </c>
      <c r="ES225" s="12" t="str">
        <f>CONCATENATE(REPLACE(AG225,LEN(AG225),1,"")+1,"B")</f>
        <v>2B</v>
      </c>
      <c r="ET225" s="12" t="str">
        <f>CONCATENATE(REPLACE(AH225,LEN(AH225),1,"")+1,"A")</f>
        <v>2A</v>
      </c>
      <c r="EU225" s="12" t="str">
        <f>CONCATENATE("DI",REPLACE($AC225,1,3,""),"-",AD225)</f>
        <v>DI13-C1</v>
      </c>
      <c r="EV225" s="12" t="str">
        <f>CONCATENATE("DI",REPLACE($AC225,1,3,""),"-",AE225)</f>
        <v>DI13-B1</v>
      </c>
      <c r="EW225" s="12" t="str">
        <f t="shared" ref="EW225:EZ227" si="348">CONCATENATE("DI",REPLACE($AC225,1,3,""),"-",EO225)</f>
        <v>DI13-C2</v>
      </c>
      <c r="EX225" s="12" t="str">
        <f t="shared" si="348"/>
        <v>DI13-B2</v>
      </c>
      <c r="EY225" s="12" t="str">
        <f t="shared" si="348"/>
        <v>DI13-C3</v>
      </c>
      <c r="EZ225" s="12" t="str">
        <f t="shared" si="348"/>
        <v>DI13-B3</v>
      </c>
      <c r="FA225" s="12" t="str">
        <f>CONCATENATE("DO",REPLACE($AF225,1,3,""),"-",AG225)</f>
        <v>DO7-1B</v>
      </c>
      <c r="FB225" s="12" t="str">
        <f>CONCATENATE("DO",REPLACE($AF225,1,3,""),"-",AH225)</f>
        <v>DO7-1A</v>
      </c>
      <c r="FC225" s="12" t="str">
        <f>CONCATENATE("DO",REPLACE($AF225,1,3,""),"-",ES225)</f>
        <v>DO7-2B</v>
      </c>
      <c r="FD225" s="12" t="str">
        <f>CONCATENATE("DO",REPLACE($AF225,1,3,""),"-",ET225)</f>
        <v>DO7-2A</v>
      </c>
      <c r="FE225" s="12" t="str">
        <f>CONCATENATE("K",$U225,"-03")</f>
        <v>K72-03</v>
      </c>
      <c r="FF225" s="12" t="str">
        <f>CONCATENATE("K",$U225,"-04")</f>
        <v>K72-04</v>
      </c>
      <c r="FG225" s="12" t="str">
        <f>CONCATENATE("K",$U225,"-01")</f>
        <v>K72-01</v>
      </c>
      <c r="FH225" s="12" t="str">
        <f>CONCATENATE("K",$U225,"-02")</f>
        <v>K72-02</v>
      </c>
      <c r="FI225" s="12" t="str">
        <f t="shared" ref="FI225:FI229" si="349">CONCATENATE("K",$U225,"-05")</f>
        <v>K72-05</v>
      </c>
      <c r="FJ225" s="12" t="str">
        <f>CONCATENATE($T225,"-M",$U225,"-H1")</f>
        <v>F0-M72-H1</v>
      </c>
      <c r="FK225" s="12" t="str">
        <f>CONCATENATE($T225,"-M",$U225,"-A1")</f>
        <v>F0-M72-A1</v>
      </c>
      <c r="FL225" s="12" t="str">
        <f>CONCATENATE($T225,"-M",$U225,"-3")</f>
        <v>F0-M72-3</v>
      </c>
      <c r="FM225" s="12" t="str">
        <f>CONCATENATE($T225,"-M",$U225,"-2")</f>
        <v>F0-M72-2</v>
      </c>
      <c r="FN225" s="12" t="str">
        <f>CONCATENATE($T225,"-M",$U225,"-16")</f>
        <v>F0-M72-16</v>
      </c>
      <c r="FO225" s="12" t="str">
        <f>CONCATENATE($T225,"-M",$U225,"-15")</f>
        <v>F0-M72-15</v>
      </c>
      <c r="FP225" s="12" t="str">
        <f>CONCATENATE($T225,"-A220-M",$U225,)</f>
        <v>F0-A220-M72</v>
      </c>
      <c r="FQ225" s="12" t="str">
        <f t="shared" ref="FQ225:FQ229" si="350">CONCATENATE($T225,"-M",$U225,"-XM01")</f>
        <v>F0-M72-XM01</v>
      </c>
      <c r="FR225" s="12" t="s">
        <v>142</v>
      </c>
      <c r="FS225" s="12" t="s">
        <v>143</v>
      </c>
      <c r="FT225" s="12">
        <v>11</v>
      </c>
      <c r="FU225" s="12">
        <v>14</v>
      </c>
      <c r="FV225" s="12" t="s">
        <v>145</v>
      </c>
      <c r="FW225" s="12" t="s">
        <v>144</v>
      </c>
      <c r="FX225" s="12">
        <v>1</v>
      </c>
      <c r="FY225" s="12">
        <v>2</v>
      </c>
      <c r="FZ225" s="12">
        <v>3</v>
      </c>
      <c r="GA225" s="12">
        <v>4</v>
      </c>
      <c r="GB225" s="12">
        <v>5</v>
      </c>
      <c r="GC225" s="12">
        <v>6</v>
      </c>
      <c r="GD225" s="12">
        <v>7</v>
      </c>
      <c r="GE225" s="12">
        <v>8</v>
      </c>
      <c r="GF225" s="12">
        <v>9</v>
      </c>
      <c r="GG225" s="12">
        <v>1</v>
      </c>
      <c r="GH225" s="12">
        <v>2</v>
      </c>
      <c r="GI225" s="12">
        <v>3</v>
      </c>
      <c r="GJ225" s="12">
        <v>15</v>
      </c>
      <c r="GK225" s="12">
        <v>16</v>
      </c>
      <c r="GL225" s="12">
        <v>1</v>
      </c>
      <c r="GM225" s="12">
        <v>2</v>
      </c>
      <c r="GN225" s="12">
        <v>4</v>
      </c>
      <c r="GO225" s="13">
        <v>5</v>
      </c>
    </row>
    <row r="226" spans="1:351" x14ac:dyDescent="0.25">
      <c r="A226" t="s">
        <v>1377</v>
      </c>
      <c r="B226" t="s">
        <v>1384</v>
      </c>
      <c r="P226" t="s">
        <v>1370</v>
      </c>
      <c r="T226" s="27" t="s">
        <v>554</v>
      </c>
      <c r="U226">
        <v>73</v>
      </c>
      <c r="V226" t="s">
        <v>1379</v>
      </c>
      <c r="W226" t="s">
        <v>1383</v>
      </c>
      <c r="AC226" t="s">
        <v>1375</v>
      </c>
      <c r="AD226" t="s">
        <v>369</v>
      </c>
      <c r="AE226" t="s">
        <v>370</v>
      </c>
      <c r="AF226" t="s">
        <v>1376</v>
      </c>
      <c r="AG226" t="s">
        <v>384</v>
      </c>
      <c r="AH226" t="s">
        <v>386</v>
      </c>
      <c r="AI226">
        <v>2</v>
      </c>
      <c r="AJ226" t="str">
        <f t="shared" ref="AJ226:AJ229" si="351">CONCATENATE(AI226,"XT")</f>
        <v>2XT</v>
      </c>
      <c r="AK226" t="str">
        <f t="shared" si="346"/>
        <v>2X</v>
      </c>
      <c r="AL226" t="s">
        <v>137</v>
      </c>
      <c r="AM226" t="s">
        <v>138</v>
      </c>
      <c r="AP226" t="s">
        <v>139</v>
      </c>
      <c r="AQ226" t="s">
        <v>140</v>
      </c>
      <c r="EN226" t="str">
        <f t="shared" si="347"/>
        <v>XT73</v>
      </c>
      <c r="EO226" t="str">
        <f t="shared" ref="EO226:EO227" si="352">CONCATENATE("C",REPLACE(AD226,1,1,"")+1)</f>
        <v>C5</v>
      </c>
      <c r="EP226" t="str">
        <f t="shared" ref="EP226:EP227" si="353">CONCATENATE("B",REPLACE(AE226,1,1,"")+1)</f>
        <v>B5</v>
      </c>
      <c r="EQ226" t="str">
        <f t="shared" ref="EQ226:EQ227" si="354">CONCATENATE("C",REPLACE(EO226,1,1,"")+1)</f>
        <v>C6</v>
      </c>
      <c r="ER226" t="str">
        <f t="shared" ref="ER226:ER227" si="355">CONCATENATE("B",REPLACE(EP226,1,1,"")+1)</f>
        <v>B6</v>
      </c>
      <c r="ES226" t="str">
        <f t="shared" ref="ES226:ES227" si="356">CONCATENATE(REPLACE(AG226,LEN(AG226),1,"")+1,"B")</f>
        <v>4B</v>
      </c>
      <c r="ET226" t="str">
        <f t="shared" ref="ET226:ET227" si="357">CONCATENATE(REPLACE(AH226,LEN(AH226),1,"")+1,"A")</f>
        <v>4A</v>
      </c>
      <c r="EU226" t="str">
        <f t="shared" ref="EU226:EV229" si="358">CONCATENATE("DI",REPLACE($AC226,1,3,""),"-",AD226)</f>
        <v>DI13-C4</v>
      </c>
      <c r="EV226" t="str">
        <f t="shared" si="358"/>
        <v>DI13-B4</v>
      </c>
      <c r="EW226" t="str">
        <f t="shared" si="348"/>
        <v>DI13-C5</v>
      </c>
      <c r="EX226" t="str">
        <f t="shared" si="348"/>
        <v>DI13-B5</v>
      </c>
      <c r="EY226" t="str">
        <f t="shared" si="348"/>
        <v>DI13-C6</v>
      </c>
      <c r="EZ226" t="str">
        <f t="shared" si="348"/>
        <v>DI13-B6</v>
      </c>
      <c r="FA226" t="str">
        <f t="shared" ref="FA226:FB229" si="359">CONCATENATE("DO",REPLACE($AF226,1,3,""),"-",AG226)</f>
        <v>DO7-3B</v>
      </c>
      <c r="FB226" t="str">
        <f t="shared" si="359"/>
        <v>DO7-3A</v>
      </c>
      <c r="FC226" t="str">
        <f t="shared" ref="FC226:FD227" si="360">CONCATENATE("DO",REPLACE($AF226,1,3,""),"-",ES226)</f>
        <v>DO7-4B</v>
      </c>
      <c r="FD226" t="str">
        <f t="shared" si="360"/>
        <v>DO7-4A</v>
      </c>
      <c r="FE226" t="str">
        <f t="shared" ref="FE226:FE229" si="361">CONCATENATE("K",$U226,"-03")</f>
        <v>K73-03</v>
      </c>
      <c r="FF226" t="str">
        <f t="shared" ref="FF226:FF227" si="362">CONCATENATE("K",$U226,"-04")</f>
        <v>K73-04</v>
      </c>
      <c r="FG226" t="str">
        <f t="shared" ref="FG226:FG227" si="363">CONCATENATE("K",$U226,"-01")</f>
        <v>K73-01</v>
      </c>
      <c r="FH226" t="str">
        <f t="shared" ref="FH226:FH227" si="364">CONCATENATE("K",$U226,"-02")</f>
        <v>K73-02</v>
      </c>
      <c r="FI226" t="str">
        <f t="shared" si="349"/>
        <v>K73-05</v>
      </c>
      <c r="FJ226" t="str">
        <f t="shared" ref="FJ226:FJ229" si="365">CONCATENATE($T226,"-M",$U226,"-H1")</f>
        <v>F0-M73-H1</v>
      </c>
      <c r="FK226" t="str">
        <f t="shared" ref="FK226:FK229" si="366">CONCATENATE($T226,"-M",$U226,"-A1")</f>
        <v>F0-M73-A1</v>
      </c>
      <c r="FL226" t="str">
        <f t="shared" ref="FL226:FL229" si="367">CONCATENATE($T226,"-M",$U226,"-3")</f>
        <v>F0-M73-3</v>
      </c>
      <c r="FM226" t="str">
        <f t="shared" ref="FM226:FM227" si="368">CONCATENATE($T226,"-M",$U226,"-2")</f>
        <v>F0-M73-2</v>
      </c>
      <c r="FN226" t="str">
        <f t="shared" ref="FN226:FN227" si="369">CONCATENATE($T226,"-M",$U226,"-16")</f>
        <v>F0-M73-16</v>
      </c>
      <c r="FO226" t="str">
        <f t="shared" ref="FO226:FO227" si="370">CONCATENATE($T226,"-M",$U226,"-15")</f>
        <v>F0-M73-15</v>
      </c>
      <c r="FP226" t="str">
        <f t="shared" ref="FP226:FP229" si="371">CONCATENATE($T226,"-A220-M",$U226,)</f>
        <v>F0-A220-M73</v>
      </c>
      <c r="FQ226" t="str">
        <f t="shared" si="350"/>
        <v>F0-M73-XM01</v>
      </c>
      <c r="FR226" t="s">
        <v>142</v>
      </c>
      <c r="FS226" t="s">
        <v>143</v>
      </c>
      <c r="FT226">
        <v>11</v>
      </c>
      <c r="FU226">
        <v>14</v>
      </c>
      <c r="FV226" t="s">
        <v>145</v>
      </c>
      <c r="FW226" t="s">
        <v>144</v>
      </c>
      <c r="FX226">
        <v>1</v>
      </c>
      <c r="FY226">
        <v>2</v>
      </c>
      <c r="FZ226">
        <v>3</v>
      </c>
      <c r="GA226">
        <v>4</v>
      </c>
      <c r="GB226">
        <v>5</v>
      </c>
      <c r="GC226">
        <v>6</v>
      </c>
      <c r="GD226">
        <v>7</v>
      </c>
      <c r="GE226">
        <v>8</v>
      </c>
      <c r="GF226">
        <v>9</v>
      </c>
      <c r="GG226">
        <v>1</v>
      </c>
      <c r="GH226">
        <v>2</v>
      </c>
      <c r="GI226">
        <v>3</v>
      </c>
      <c r="GJ226">
        <v>15</v>
      </c>
      <c r="GK226">
        <v>16</v>
      </c>
      <c r="GL226">
        <v>1</v>
      </c>
      <c r="GM226">
        <v>2</v>
      </c>
      <c r="GN226">
        <v>4</v>
      </c>
      <c r="GO226">
        <v>5</v>
      </c>
    </row>
    <row r="227" spans="1:351" x14ac:dyDescent="0.25">
      <c r="A227" t="s">
        <v>1381</v>
      </c>
      <c r="B227" t="s">
        <v>1385</v>
      </c>
      <c r="P227" t="s">
        <v>1370</v>
      </c>
      <c r="T227" s="27" t="s">
        <v>554</v>
      </c>
      <c r="U227">
        <v>74</v>
      </c>
      <c r="V227" t="s">
        <v>1382</v>
      </c>
      <c r="W227" t="s">
        <v>1386</v>
      </c>
      <c r="AC227" t="s">
        <v>1375</v>
      </c>
      <c r="AD227" t="s">
        <v>148</v>
      </c>
      <c r="AE227" t="s">
        <v>149</v>
      </c>
      <c r="AF227" t="s">
        <v>1376</v>
      </c>
      <c r="AG227" t="s">
        <v>385</v>
      </c>
      <c r="AH227" t="s">
        <v>387</v>
      </c>
      <c r="AI227">
        <v>3</v>
      </c>
      <c r="AJ227" t="str">
        <f t="shared" si="351"/>
        <v>3XT</v>
      </c>
      <c r="AK227" t="str">
        <f t="shared" si="346"/>
        <v>3X</v>
      </c>
      <c r="AL227" t="s">
        <v>137</v>
      </c>
      <c r="AM227" t="s">
        <v>138</v>
      </c>
      <c r="AP227" t="s">
        <v>139</v>
      </c>
      <c r="AQ227" t="s">
        <v>140</v>
      </c>
      <c r="EN227" t="str">
        <f t="shared" si="347"/>
        <v>XT74</v>
      </c>
      <c r="EO227" t="str">
        <f t="shared" si="352"/>
        <v>C8</v>
      </c>
      <c r="EP227" t="str">
        <f t="shared" si="353"/>
        <v>B8</v>
      </c>
      <c r="EQ227" t="str">
        <f t="shared" si="354"/>
        <v>C9</v>
      </c>
      <c r="ER227" t="str">
        <f t="shared" si="355"/>
        <v>B9</v>
      </c>
      <c r="ES227" t="str">
        <f t="shared" si="356"/>
        <v>6B</v>
      </c>
      <c r="ET227" t="str">
        <f t="shared" si="357"/>
        <v>6A</v>
      </c>
      <c r="EU227" t="str">
        <f t="shared" si="358"/>
        <v>DI13-C7</v>
      </c>
      <c r="EV227" t="str">
        <f t="shared" si="358"/>
        <v>DI13-B7</v>
      </c>
      <c r="EW227" t="str">
        <f t="shared" si="348"/>
        <v>DI13-C8</v>
      </c>
      <c r="EX227" t="str">
        <f t="shared" si="348"/>
        <v>DI13-B8</v>
      </c>
      <c r="EY227" t="str">
        <f t="shared" si="348"/>
        <v>DI13-C9</v>
      </c>
      <c r="EZ227" t="str">
        <f t="shared" si="348"/>
        <v>DI13-B9</v>
      </c>
      <c r="FA227" t="str">
        <f t="shared" si="359"/>
        <v>DO7-5B</v>
      </c>
      <c r="FB227" t="str">
        <f t="shared" si="359"/>
        <v>DO7-5A</v>
      </c>
      <c r="FC227" t="str">
        <f t="shared" si="360"/>
        <v>DO7-6B</v>
      </c>
      <c r="FD227" t="str">
        <f t="shared" si="360"/>
        <v>DO7-6A</v>
      </c>
      <c r="FE227" t="str">
        <f t="shared" si="361"/>
        <v>K74-03</v>
      </c>
      <c r="FF227" t="str">
        <f t="shared" si="362"/>
        <v>K74-04</v>
      </c>
      <c r="FG227" t="str">
        <f t="shared" si="363"/>
        <v>K74-01</v>
      </c>
      <c r="FH227" t="str">
        <f t="shared" si="364"/>
        <v>K74-02</v>
      </c>
      <c r="FI227" t="str">
        <f t="shared" si="349"/>
        <v>K74-05</v>
      </c>
      <c r="FJ227" t="str">
        <f t="shared" si="365"/>
        <v>F0-M74-H1</v>
      </c>
      <c r="FK227" t="str">
        <f t="shared" si="366"/>
        <v>F0-M74-A1</v>
      </c>
      <c r="FL227" t="str">
        <f t="shared" si="367"/>
        <v>F0-M74-3</v>
      </c>
      <c r="FM227" t="str">
        <f t="shared" si="368"/>
        <v>F0-M74-2</v>
      </c>
      <c r="FN227" t="str">
        <f t="shared" si="369"/>
        <v>F0-M74-16</v>
      </c>
      <c r="FO227" t="str">
        <f t="shared" si="370"/>
        <v>F0-M74-15</v>
      </c>
      <c r="FP227" t="str">
        <f t="shared" si="371"/>
        <v>F0-A220-M74</v>
      </c>
      <c r="FQ227" t="str">
        <f t="shared" si="350"/>
        <v>F0-M74-XM01</v>
      </c>
      <c r="FR227" t="s">
        <v>142</v>
      </c>
      <c r="FS227" t="s">
        <v>143</v>
      </c>
      <c r="FT227">
        <v>11</v>
      </c>
      <c r="FU227">
        <v>14</v>
      </c>
      <c r="FV227" t="s">
        <v>145</v>
      </c>
      <c r="FW227" t="s">
        <v>144</v>
      </c>
      <c r="FX227">
        <v>1</v>
      </c>
      <c r="FY227">
        <v>2</v>
      </c>
      <c r="FZ227">
        <v>3</v>
      </c>
      <c r="GA227">
        <v>4</v>
      </c>
      <c r="GB227">
        <v>5</v>
      </c>
      <c r="GC227">
        <v>6</v>
      </c>
      <c r="GD227">
        <v>7</v>
      </c>
      <c r="GE227">
        <v>8</v>
      </c>
      <c r="GF227">
        <v>9</v>
      </c>
      <c r="GG227">
        <v>1</v>
      </c>
      <c r="GH227">
        <v>2</v>
      </c>
      <c r="GI227">
        <v>3</v>
      </c>
      <c r="GJ227">
        <v>15</v>
      </c>
      <c r="GK227">
        <v>16</v>
      </c>
      <c r="GL227">
        <v>1</v>
      </c>
      <c r="GM227">
        <v>2</v>
      </c>
      <c r="GN227">
        <v>4</v>
      </c>
      <c r="GO227">
        <v>5</v>
      </c>
    </row>
    <row r="228" spans="1:351" x14ac:dyDescent="0.25">
      <c r="A228" t="s">
        <v>1391</v>
      </c>
      <c r="B228" t="s">
        <v>1389</v>
      </c>
      <c r="P228" t="s">
        <v>1393</v>
      </c>
      <c r="T228" s="27" t="s">
        <v>554</v>
      </c>
      <c r="U228">
        <v>75</v>
      </c>
      <c r="V228" t="s">
        <v>1387</v>
      </c>
      <c r="W228" t="s">
        <v>1398</v>
      </c>
      <c r="AC228" t="s">
        <v>1375</v>
      </c>
      <c r="AD228" t="s">
        <v>377</v>
      </c>
      <c r="AE228" t="s">
        <v>378</v>
      </c>
      <c r="AF228" t="s">
        <v>1376</v>
      </c>
      <c r="AG228" t="s">
        <v>245</v>
      </c>
      <c r="AH228" t="s">
        <v>246</v>
      </c>
      <c r="AI228">
        <v>4</v>
      </c>
      <c r="AJ228" t="str">
        <f t="shared" si="351"/>
        <v>4XT</v>
      </c>
      <c r="AK228" t="str">
        <f t="shared" si="346"/>
        <v>4X</v>
      </c>
      <c r="AL228" t="s">
        <v>137</v>
      </c>
      <c r="AM228" t="s">
        <v>138</v>
      </c>
      <c r="AP228" t="s">
        <v>854</v>
      </c>
      <c r="AQ228" t="s">
        <v>1399</v>
      </c>
      <c r="EN228" t="str">
        <f t="shared" si="347"/>
        <v>XT75</v>
      </c>
      <c r="EU228" t="str">
        <f t="shared" si="358"/>
        <v>DI13-C10</v>
      </c>
      <c r="EV228" t="str">
        <f t="shared" si="358"/>
        <v>DI13-B10</v>
      </c>
      <c r="FA228" t="str">
        <f t="shared" si="359"/>
        <v>DO7-7B</v>
      </c>
      <c r="FB228" t="str">
        <f t="shared" si="359"/>
        <v>DO7-7A</v>
      </c>
      <c r="FE228" t="str">
        <f t="shared" si="361"/>
        <v>K75-03</v>
      </c>
      <c r="FI228" t="str">
        <f t="shared" si="349"/>
        <v>K75-05</v>
      </c>
      <c r="FJ228" t="str">
        <f t="shared" si="365"/>
        <v>F0-M75-H1</v>
      </c>
      <c r="FK228" t="str">
        <f t="shared" si="366"/>
        <v>F0-M75-A1</v>
      </c>
      <c r="FL228" t="str">
        <f t="shared" si="367"/>
        <v>F0-M75-3</v>
      </c>
      <c r="FP228" t="str">
        <f t="shared" si="371"/>
        <v>F0-A220-M75</v>
      </c>
      <c r="FQ228" t="str">
        <f t="shared" si="350"/>
        <v>F0-M75-XM01</v>
      </c>
      <c r="FR228" t="s">
        <v>142</v>
      </c>
      <c r="FS228" t="s">
        <v>143</v>
      </c>
      <c r="FT228">
        <v>11</v>
      </c>
      <c r="FU228">
        <v>14</v>
      </c>
      <c r="FV228" t="s">
        <v>145</v>
      </c>
      <c r="FW228" t="s">
        <v>144</v>
      </c>
      <c r="FX228">
        <v>1</v>
      </c>
      <c r="FY228">
        <v>2</v>
      </c>
      <c r="FZ228">
        <v>3</v>
      </c>
      <c r="GA228">
        <v>4</v>
      </c>
      <c r="GB228">
        <v>5</v>
      </c>
      <c r="GC228">
        <v>6</v>
      </c>
      <c r="GD228">
        <v>7</v>
      </c>
      <c r="GE228">
        <v>8</v>
      </c>
      <c r="GF228">
        <v>9</v>
      </c>
      <c r="GG228">
        <v>1</v>
      </c>
      <c r="GH228">
        <v>2</v>
      </c>
      <c r="GI228">
        <v>3</v>
      </c>
      <c r="GJ228">
        <v>15</v>
      </c>
      <c r="GK228">
        <v>16</v>
      </c>
      <c r="GL228">
        <v>1</v>
      </c>
      <c r="GM228">
        <v>2</v>
      </c>
      <c r="GN228">
        <v>4</v>
      </c>
      <c r="GO228">
        <v>5</v>
      </c>
    </row>
    <row r="229" spans="1:351" ht="15.75" customHeight="1" thickBot="1" x14ac:dyDescent="0.3">
      <c r="A229" t="s">
        <v>1392</v>
      </c>
      <c r="B229" t="s">
        <v>1390</v>
      </c>
      <c r="P229" t="s">
        <v>1393</v>
      </c>
      <c r="T229" s="27" t="s">
        <v>554</v>
      </c>
      <c r="U229">
        <v>76</v>
      </c>
      <c r="V229" t="s">
        <v>1388</v>
      </c>
      <c r="W229" t="s">
        <v>1380</v>
      </c>
      <c r="AC229" t="s">
        <v>1375</v>
      </c>
      <c r="AD229" t="s">
        <v>1394</v>
      </c>
      <c r="AE229" t="s">
        <v>1395</v>
      </c>
      <c r="AF229" t="s">
        <v>1376</v>
      </c>
      <c r="AG229" t="s">
        <v>1396</v>
      </c>
      <c r="AH229" t="s">
        <v>1397</v>
      </c>
      <c r="AI229">
        <v>5</v>
      </c>
      <c r="AJ229" t="str">
        <f t="shared" si="351"/>
        <v>5XT</v>
      </c>
      <c r="AK229" t="str">
        <f t="shared" si="346"/>
        <v>5X</v>
      </c>
      <c r="AL229" t="s">
        <v>137</v>
      </c>
      <c r="AM229" t="s">
        <v>138</v>
      </c>
      <c r="AP229" t="s">
        <v>854</v>
      </c>
      <c r="AQ229" t="s">
        <v>1399</v>
      </c>
      <c r="EN229" t="str">
        <f t="shared" si="347"/>
        <v>XT76</v>
      </c>
      <c r="EU229" t="str">
        <f t="shared" si="358"/>
        <v>DI13-C11</v>
      </c>
      <c r="EV229" t="str">
        <f t="shared" si="358"/>
        <v>DI13-B11</v>
      </c>
      <c r="FA229" t="str">
        <f t="shared" si="359"/>
        <v>DO7-8B</v>
      </c>
      <c r="FB229" t="str">
        <f t="shared" si="359"/>
        <v>DO7-8A</v>
      </c>
      <c r="FE229" t="str">
        <f t="shared" si="361"/>
        <v>K76-03</v>
      </c>
      <c r="FI229" t="str">
        <f t="shared" si="349"/>
        <v>K76-05</v>
      </c>
      <c r="FJ229" t="str">
        <f t="shared" si="365"/>
        <v>F0-M76-H1</v>
      </c>
      <c r="FK229" t="str">
        <f t="shared" si="366"/>
        <v>F0-M76-A1</v>
      </c>
      <c r="FL229" t="str">
        <f t="shared" si="367"/>
        <v>F0-M76-3</v>
      </c>
      <c r="FP229" t="str">
        <f t="shared" si="371"/>
        <v>F0-A220-M76</v>
      </c>
      <c r="FQ229" t="str">
        <f t="shared" si="350"/>
        <v>F0-M76-XM01</v>
      </c>
      <c r="FR229" t="s">
        <v>142</v>
      </c>
      <c r="FS229" t="s">
        <v>143</v>
      </c>
      <c r="FT229">
        <v>11</v>
      </c>
      <c r="FU229">
        <v>14</v>
      </c>
      <c r="FV229" t="s">
        <v>145</v>
      </c>
      <c r="FW229" t="s">
        <v>144</v>
      </c>
      <c r="FX229">
        <v>1</v>
      </c>
      <c r="FY229">
        <v>2</v>
      </c>
      <c r="FZ229">
        <v>3</v>
      </c>
      <c r="GA229">
        <v>4</v>
      </c>
      <c r="GB229">
        <v>5</v>
      </c>
      <c r="GC229">
        <v>6</v>
      </c>
      <c r="GD229">
        <v>7</v>
      </c>
      <c r="GE229">
        <v>8</v>
      </c>
      <c r="GF229">
        <v>9</v>
      </c>
      <c r="GG229">
        <v>1</v>
      </c>
      <c r="GH229">
        <v>2</v>
      </c>
      <c r="GI229">
        <v>3</v>
      </c>
      <c r="GJ229">
        <v>15</v>
      </c>
      <c r="GK229">
        <v>16</v>
      </c>
      <c r="GL229">
        <v>1</v>
      </c>
      <c r="GM229">
        <v>2</v>
      </c>
      <c r="GN229">
        <v>4</v>
      </c>
      <c r="GO229">
        <v>5</v>
      </c>
    </row>
    <row r="230" spans="1:351" ht="15.75" thickBot="1" x14ac:dyDescent="0.3">
      <c r="A230">
        <v>-1</v>
      </c>
      <c r="B230" t="s">
        <v>1402</v>
      </c>
      <c r="P230" t="s">
        <v>1378</v>
      </c>
      <c r="T230" s="14" t="s">
        <v>554</v>
      </c>
      <c r="U230">
        <v>77</v>
      </c>
      <c r="V230" t="s">
        <v>1403</v>
      </c>
      <c r="Y230" s="43"/>
      <c r="Z230" s="46"/>
      <c r="AC230" t="s">
        <v>1375</v>
      </c>
      <c r="AD230" t="s">
        <v>153</v>
      </c>
      <c r="AE230" t="s">
        <v>154</v>
      </c>
      <c r="AL230" t="s">
        <v>137</v>
      </c>
      <c r="AM230" t="s">
        <v>1404</v>
      </c>
      <c r="AP230" t="s">
        <v>854</v>
      </c>
      <c r="LP230" t="s">
        <v>1405</v>
      </c>
      <c r="LS230" s="25" t="str">
        <f>CONCATENATE("XT",U230)</f>
        <v>XT77</v>
      </c>
      <c r="LT230" s="12" t="str">
        <f>CONCATENATE("DI",REPLACE($AC230,1,3,""),"-",$AD230)</f>
        <v>DI13-C13</v>
      </c>
      <c r="LU230" s="12" t="s">
        <v>910</v>
      </c>
      <c r="LV230" s="12" t="s">
        <v>1417</v>
      </c>
      <c r="LW230" s="12">
        <v>11</v>
      </c>
      <c r="LX230" s="12">
        <v>14</v>
      </c>
      <c r="LY230" s="12" t="s">
        <v>142</v>
      </c>
      <c r="LZ230" s="12" t="s">
        <v>143</v>
      </c>
      <c r="MA230" s="12" t="s">
        <v>488</v>
      </c>
      <c r="MB230" s="12" t="s">
        <v>487</v>
      </c>
      <c r="MC230" s="12" t="s">
        <v>414</v>
      </c>
      <c r="MD230" s="12" t="s">
        <v>413</v>
      </c>
      <c r="ME230" s="12">
        <v>1</v>
      </c>
      <c r="MF230" s="12">
        <f t="shared" ref="MF230" si="372">ME230+1</f>
        <v>2</v>
      </c>
      <c r="MG230" s="12"/>
      <c r="MH230" s="12"/>
      <c r="MI230" s="12"/>
      <c r="MJ230" s="12"/>
      <c r="MK230" s="12">
        <v>1</v>
      </c>
      <c r="ML230" s="12">
        <v>2</v>
      </c>
      <c r="MM230" s="13"/>
    </row>
    <row r="231" spans="1:351" ht="15.75" thickBot="1" x14ac:dyDescent="0.3">
      <c r="A231">
        <v>-2</v>
      </c>
      <c r="B231" t="s">
        <v>1411</v>
      </c>
      <c r="P231" t="s">
        <v>1378</v>
      </c>
      <c r="T231" s="14" t="s">
        <v>554</v>
      </c>
      <c r="U231">
        <v>77</v>
      </c>
      <c r="V231" t="s">
        <v>1413</v>
      </c>
      <c r="Y231" s="43"/>
      <c r="Z231" s="46"/>
      <c r="AC231" t="s">
        <v>1375</v>
      </c>
      <c r="AD231" t="s">
        <v>1406</v>
      </c>
      <c r="AE231" t="s">
        <v>1407</v>
      </c>
      <c r="AL231" t="s">
        <v>137</v>
      </c>
      <c r="AM231" t="s">
        <v>1408</v>
      </c>
      <c r="AP231" t="s">
        <v>854</v>
      </c>
      <c r="LP231" t="s">
        <v>1405</v>
      </c>
      <c r="LS231" s="25" t="str">
        <f t="shared" ref="LS231:LS232" si="373">CONCATENATE("XT",U231)</f>
        <v>XT77</v>
      </c>
      <c r="LT231" s="12" t="str">
        <f t="shared" ref="LT231:LT232" si="374">CONCATENATE("DI",REPLACE($AC231,1,3,""),"-",$AD231)</f>
        <v>DI13-C14</v>
      </c>
      <c r="LU231" s="12" t="s">
        <v>911</v>
      </c>
      <c r="LV231" s="12" t="s">
        <v>1418</v>
      </c>
      <c r="LW231" s="12">
        <v>11</v>
      </c>
      <c r="LX231" s="12">
        <v>14</v>
      </c>
      <c r="LY231" s="12" t="s">
        <v>142</v>
      </c>
      <c r="LZ231" s="12" t="s">
        <v>143</v>
      </c>
      <c r="MA231" s="12" t="s">
        <v>488</v>
      </c>
      <c r="MB231" s="12" t="s">
        <v>487</v>
      </c>
      <c r="MC231" s="12" t="s">
        <v>414</v>
      </c>
      <c r="MD231" s="12" t="s">
        <v>413</v>
      </c>
      <c r="ME231" s="12">
        <v>3</v>
      </c>
      <c r="MF231" s="12">
        <v>4</v>
      </c>
      <c r="MG231" s="12"/>
      <c r="MH231" s="12"/>
      <c r="MI231" s="12"/>
      <c r="MJ231" s="12"/>
      <c r="MK231" s="12">
        <v>1</v>
      </c>
      <c r="ML231" s="12">
        <v>2</v>
      </c>
      <c r="MM231" s="13"/>
    </row>
    <row r="232" spans="1:351" x14ac:dyDescent="0.25">
      <c r="A232">
        <v>-3</v>
      </c>
      <c r="B232" t="s">
        <v>1412</v>
      </c>
      <c r="P232" t="s">
        <v>1378</v>
      </c>
      <c r="T232" s="14" t="s">
        <v>554</v>
      </c>
      <c r="U232">
        <v>77</v>
      </c>
      <c r="V232" t="s">
        <v>1414</v>
      </c>
      <c r="Y232" s="43"/>
      <c r="Z232" s="46"/>
      <c r="AC232" t="s">
        <v>1375</v>
      </c>
      <c r="AD232" t="s">
        <v>1409</v>
      </c>
      <c r="AE232" t="s">
        <v>1410</v>
      </c>
      <c r="AL232" t="s">
        <v>137</v>
      </c>
      <c r="AM232" t="s">
        <v>1415</v>
      </c>
      <c r="AP232" t="s">
        <v>854</v>
      </c>
      <c r="LP232" t="s">
        <v>1405</v>
      </c>
      <c r="LS232" s="25" t="str">
        <f t="shared" si="373"/>
        <v>XT77</v>
      </c>
      <c r="LT232" s="12" t="str">
        <f t="shared" si="374"/>
        <v>DI13-C15</v>
      </c>
      <c r="LU232" s="12" t="s">
        <v>1416</v>
      </c>
      <c r="LV232" s="12" t="s">
        <v>1419</v>
      </c>
      <c r="LW232" s="12">
        <v>11</v>
      </c>
      <c r="LX232" s="12">
        <v>14</v>
      </c>
      <c r="LY232" s="12" t="s">
        <v>142</v>
      </c>
      <c r="LZ232" s="12" t="s">
        <v>143</v>
      </c>
      <c r="MA232" s="12" t="s">
        <v>488</v>
      </c>
      <c r="MB232" s="12" t="s">
        <v>487</v>
      </c>
      <c r="MC232" s="12" t="s">
        <v>414</v>
      </c>
      <c r="MD232" s="12" t="s">
        <v>413</v>
      </c>
      <c r="ME232" s="12">
        <v>5</v>
      </c>
      <c r="MF232" s="12">
        <v>6</v>
      </c>
      <c r="MG232" s="12"/>
      <c r="MH232" s="12"/>
      <c r="MI232" s="12"/>
      <c r="MJ232" s="12"/>
      <c r="MK232" s="12">
        <v>1</v>
      </c>
      <c r="ML232" s="12">
        <v>2</v>
      </c>
      <c r="MM232" s="13"/>
    </row>
    <row r="233" spans="1:351" x14ac:dyDescent="0.25">
      <c r="A233" t="s">
        <v>494</v>
      </c>
      <c r="B233" t="s">
        <v>493</v>
      </c>
      <c r="C233" t="s">
        <v>498</v>
      </c>
      <c r="P233" t="s">
        <v>482</v>
      </c>
      <c r="T233" s="14" t="s">
        <v>554</v>
      </c>
      <c r="U233">
        <v>78</v>
      </c>
      <c r="V233" t="s">
        <v>1420</v>
      </c>
      <c r="X233" t="s">
        <v>1366</v>
      </c>
      <c r="Y233" s="43" t="str" cm="1">
        <f t="array" ref="Y233">IF(COUNTIFS($X$2:$X233,$X233)=1,"1",VALUE(SUBSTITUTE(INDEX(Y:Y,_xlfn.XMATCH($X233,$X$1:$X232,0,-1)),"A",""))+INDEX(Z:Z,_xlfn.XMATCH($X233,$X$1:$X232,0,-1))+1)</f>
        <v>1</v>
      </c>
      <c r="Z233" s="43" cm="1">
        <f t="array" ref="Z233">SUM(IF(ISNUMBER(FIND("TmAi",$BA$1:$ZZ$1)),IF(IFERROR(ISODD(SUBSTITUTE($BA233:$ZZ233,"A","")),FALSE),IF(ISODD(SUBSTITUTE($BA233:$ZZ233,"A","")),1,0),0)))</f>
        <v>0</v>
      </c>
      <c r="AA233" t="str">
        <f t="shared" ref="AA233:AA234" si="375">CONCATENATE($Y233*2-1,"B")</f>
        <v>1B</v>
      </c>
      <c r="AB233" t="str">
        <f t="shared" ref="AB233:AB234" si="376">CONCATENATE($Y233*2,"B")</f>
        <v>2B</v>
      </c>
      <c r="AL233" t="s">
        <v>137</v>
      </c>
      <c r="AO233" t="s">
        <v>396</v>
      </c>
      <c r="JV233" s="27" t="str">
        <f t="shared" ref="JV233:JV234" si="377">CONCATENATE("XT",U233)</f>
        <v>XT78</v>
      </c>
      <c r="JY233" t="str">
        <f t="shared" ref="JY233:JY234" si="378">CONCATENATE(T233,"-AI",REPLACE($X233,1,3,""),"-",AA233)</f>
        <v>F0-AI28-1B</v>
      </c>
      <c r="JZ233" t="str">
        <f t="shared" ref="JZ233:JZ234" si="379">CONCATENATE(T233,"-AI",REPLACE($X233,1,3,""),"-",AB233)</f>
        <v>F0-AI28-2B</v>
      </c>
      <c r="KE233" cm="1">
        <f t="array" ref="KE233">IF(COUNTIFS($U$2:$U233,$U233)=1,1,INDEX(KE:KE,_xlfn.XMATCH(U233,U$1:U232,0,-1))+COUNT(KE232:KI232))</f>
        <v>1</v>
      </c>
      <c r="KF233">
        <f>KE233+1</f>
        <v>2</v>
      </c>
      <c r="KG233">
        <f>KF233+1</f>
        <v>3</v>
      </c>
      <c r="KJ233">
        <v>1</v>
      </c>
      <c r="KK233" s="16">
        <v>2</v>
      </c>
      <c r="KO233" s="16"/>
    </row>
    <row r="234" spans="1:351" x14ac:dyDescent="0.25">
      <c r="A234" t="s">
        <v>667</v>
      </c>
      <c r="B234" t="s">
        <v>666</v>
      </c>
      <c r="C234" t="s">
        <v>492</v>
      </c>
      <c r="P234" t="s">
        <v>482</v>
      </c>
      <c r="T234" s="14" t="s">
        <v>554</v>
      </c>
      <c r="U234">
        <v>78</v>
      </c>
      <c r="V234" t="s">
        <v>1421</v>
      </c>
      <c r="X234" t="str">
        <f>IF(COUNTIF(X$1:X233,X233)&gt;7,REPLACE(X233,LEN(X233),1,VALUE(RIGHT(X233,1))+1),X233)</f>
        <v>A3.28</v>
      </c>
      <c r="Y234" s="43" cm="1">
        <f t="array" ref="Y234">IF(COUNTIFS($X$2:$X234,$X234)=1,"1",VALUE(SUBSTITUTE(INDEX(Y:Y,_xlfn.XMATCH($X234,$X$1:$X233,0,-1)),"A",""))+INDEX(Z:Z,_xlfn.XMATCH($X234,$X$1:$X233,0,-1))+1)</f>
        <v>2</v>
      </c>
      <c r="Z234" s="43" cm="1">
        <f t="array" ref="Z234">SUM(IF(ISNUMBER(FIND("TmAi",$BA$1:$ZZ$1)),IF(IFERROR(ISODD(SUBSTITUTE($BA234:$ZZ234,"A","")),FALSE),IF(ISODD(SUBSTITUTE($BA234:$ZZ234,"A","")),1,0),0)))</f>
        <v>0</v>
      </c>
      <c r="AA234" t="str">
        <f t="shared" si="375"/>
        <v>3B</v>
      </c>
      <c r="AB234" t="str">
        <f t="shared" si="376"/>
        <v>4B</v>
      </c>
      <c r="AL234" t="s">
        <v>137</v>
      </c>
      <c r="AO234" t="s">
        <v>396</v>
      </c>
      <c r="JV234" s="27" t="str">
        <f t="shared" si="377"/>
        <v>XT78</v>
      </c>
      <c r="JY234" t="str">
        <f t="shared" si="378"/>
        <v>F0-AI28-3B</v>
      </c>
      <c r="JZ234" t="str">
        <f t="shared" si="379"/>
        <v>F0-AI28-4B</v>
      </c>
      <c r="KE234" cm="1">
        <f t="array" ref="KE234">IF(COUNTIFS($U$2:$U234,$U234)=1,1,INDEX(KE:KE,_xlfn.XMATCH(U234,U$1:U233,0,-1))+COUNT(KE233:KI233))</f>
        <v>4</v>
      </c>
      <c r="KF234">
        <f t="shared" ref="KF234:KG234" si="380">KE234+1</f>
        <v>5</v>
      </c>
      <c r="KG234">
        <f t="shared" si="380"/>
        <v>6</v>
      </c>
      <c r="KJ234">
        <v>1</v>
      </c>
      <c r="KK234" s="16">
        <v>2</v>
      </c>
      <c r="KO234" s="16"/>
    </row>
  </sheetData>
  <autoFilter ref="P1:P224" xr:uid="{00000000-0001-0000-0000-000000000000}"/>
  <conditionalFormatting sqref="A1:A32">
    <cfRule type="duplicateValues" dxfId="4" priority="5"/>
  </conditionalFormatting>
  <conditionalFormatting sqref="A221:A224 A1:A32 A226:A227 A235:A1048576">
    <cfRule type="duplicateValues" dxfId="3" priority="4"/>
  </conditionalFormatting>
  <conditionalFormatting sqref="B1:B56 B221:B229 B235:B1048576">
    <cfRule type="duplicateValues" dxfId="2" priority="3"/>
  </conditionalFormatting>
  <conditionalFormatting sqref="V1:V182 V187 V192 V197 V202 W183:W220 V221:V222 W223:W224 V225:V1048576">
    <cfRule type="duplicateValues" dxfId="1" priority="2"/>
  </conditionalFormatting>
  <conditionalFormatting sqref="Y1:Y1048576">
    <cfRule type="cellIs" dxfId="0" priority="1" operator="equal">
      <formula>"Y:Y+Z:Z&gt;8"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4774-E616-40C5-A368-D4384F05BD61}">
  <dimension ref="A1:E38"/>
  <sheetViews>
    <sheetView workbookViewId="0">
      <selection activeCell="C2" sqref="C2"/>
    </sheetView>
  </sheetViews>
  <sheetFormatPr defaultRowHeight="15" x14ac:dyDescent="0.25"/>
  <cols>
    <col min="1" max="1" width="20.5703125" bestFit="1" customWidth="1"/>
    <col min="2" max="2" width="12.28515625" bestFit="1" customWidth="1"/>
    <col min="3" max="3" width="23.7109375" bestFit="1" customWidth="1"/>
    <col min="4" max="4" width="20.85546875" bestFit="1" customWidth="1"/>
  </cols>
  <sheetData>
    <row r="1" spans="1:5" ht="15.75" thickBot="1" x14ac:dyDescent="0.3">
      <c r="A1" s="4" t="s">
        <v>970</v>
      </c>
      <c r="B1" s="5" t="s">
        <v>972</v>
      </c>
      <c r="C1" s="5" t="s">
        <v>973</v>
      </c>
      <c r="D1" s="9" t="s">
        <v>971</v>
      </c>
    </row>
    <row r="2" spans="1:5" x14ac:dyDescent="0.25">
      <c r="A2" t="s">
        <v>967</v>
      </c>
      <c r="B2" t="s">
        <v>968</v>
      </c>
      <c r="C2" t="s">
        <v>969</v>
      </c>
      <c r="D2" t="s">
        <v>974</v>
      </c>
      <c r="E2" t="s">
        <v>1779</v>
      </c>
    </row>
    <row r="3" spans="1:5" x14ac:dyDescent="0.25">
      <c r="A3" t="s">
        <v>975</v>
      </c>
      <c r="B3" t="s">
        <v>976</v>
      </c>
      <c r="C3" t="s">
        <v>969</v>
      </c>
      <c r="D3" t="s">
        <v>974</v>
      </c>
      <c r="E3" t="s">
        <v>1779</v>
      </c>
    </row>
    <row r="4" spans="1:5" x14ac:dyDescent="0.25">
      <c r="A4" t="s">
        <v>977</v>
      </c>
      <c r="B4" t="s">
        <v>978</v>
      </c>
      <c r="C4" t="s">
        <v>969</v>
      </c>
      <c r="D4" t="s">
        <v>974</v>
      </c>
      <c r="E4" t="s">
        <v>1779</v>
      </c>
    </row>
    <row r="5" spans="1:5" x14ac:dyDescent="0.25">
      <c r="A5" t="s">
        <v>979</v>
      </c>
      <c r="B5" t="s">
        <v>980</v>
      </c>
      <c r="C5" t="s">
        <v>969</v>
      </c>
      <c r="D5" t="s">
        <v>974</v>
      </c>
      <c r="E5" t="s">
        <v>1779</v>
      </c>
    </row>
    <row r="6" spans="1:5" x14ac:dyDescent="0.25">
      <c r="A6" t="s">
        <v>981</v>
      </c>
      <c r="B6" t="s">
        <v>982</v>
      </c>
      <c r="C6" t="s">
        <v>969</v>
      </c>
      <c r="D6" t="s">
        <v>974</v>
      </c>
      <c r="E6" t="s">
        <v>1779</v>
      </c>
    </row>
    <row r="7" spans="1:5" x14ac:dyDescent="0.25">
      <c r="A7" t="s">
        <v>983</v>
      </c>
      <c r="B7" t="s">
        <v>984</v>
      </c>
      <c r="C7" t="s">
        <v>969</v>
      </c>
      <c r="D7" t="s">
        <v>974</v>
      </c>
      <c r="E7" t="s">
        <v>1779</v>
      </c>
    </row>
    <row r="8" spans="1:5" x14ac:dyDescent="0.25">
      <c r="A8" t="s">
        <v>985</v>
      </c>
      <c r="B8" t="s">
        <v>986</v>
      </c>
      <c r="C8" t="s">
        <v>969</v>
      </c>
      <c r="D8" t="s">
        <v>974</v>
      </c>
      <c r="E8" t="s">
        <v>1779</v>
      </c>
    </row>
    <row r="9" spans="1:5" x14ac:dyDescent="0.25">
      <c r="A9" t="s">
        <v>987</v>
      </c>
      <c r="B9" t="s">
        <v>988</v>
      </c>
      <c r="C9" t="s">
        <v>969</v>
      </c>
      <c r="D9" t="s">
        <v>974</v>
      </c>
      <c r="E9" t="s">
        <v>1779</v>
      </c>
    </row>
    <row r="10" spans="1:5" x14ac:dyDescent="0.25">
      <c r="A10" t="s">
        <v>990</v>
      </c>
      <c r="B10" t="s">
        <v>989</v>
      </c>
      <c r="C10" t="s">
        <v>969</v>
      </c>
      <c r="D10" t="s">
        <v>974</v>
      </c>
      <c r="E10" t="s">
        <v>1779</v>
      </c>
    </row>
    <row r="11" spans="1:5" x14ac:dyDescent="0.25">
      <c r="A11" t="s">
        <v>991</v>
      </c>
      <c r="B11" t="s">
        <v>992</v>
      </c>
      <c r="C11" t="s">
        <v>969</v>
      </c>
      <c r="D11" t="s">
        <v>974</v>
      </c>
      <c r="E11" t="s">
        <v>1779</v>
      </c>
    </row>
    <row r="12" spans="1:5" x14ac:dyDescent="0.25">
      <c r="A12" t="s">
        <v>993</v>
      </c>
      <c r="B12" t="s">
        <v>994</v>
      </c>
      <c r="C12" t="s">
        <v>969</v>
      </c>
      <c r="D12" t="s">
        <v>974</v>
      </c>
      <c r="E12" t="s">
        <v>1779</v>
      </c>
    </row>
    <row r="13" spans="1:5" x14ac:dyDescent="0.25">
      <c r="A13" t="s">
        <v>995</v>
      </c>
      <c r="B13" t="s">
        <v>996</v>
      </c>
      <c r="C13" t="s">
        <v>969</v>
      </c>
      <c r="D13" t="s">
        <v>974</v>
      </c>
      <c r="E13" t="s">
        <v>1779</v>
      </c>
    </row>
    <row r="14" spans="1:5" x14ac:dyDescent="0.25">
      <c r="A14" t="s">
        <v>997</v>
      </c>
      <c r="B14" t="s">
        <v>998</v>
      </c>
      <c r="C14" t="s">
        <v>969</v>
      </c>
      <c r="D14" t="s">
        <v>974</v>
      </c>
      <c r="E14" t="s">
        <v>1779</v>
      </c>
    </row>
    <row r="15" spans="1:5" x14ac:dyDescent="0.25">
      <c r="A15" t="s">
        <v>999</v>
      </c>
      <c r="B15" t="s">
        <v>1000</v>
      </c>
      <c r="C15" t="s">
        <v>969</v>
      </c>
      <c r="D15" t="s">
        <v>974</v>
      </c>
      <c r="E15" t="s">
        <v>1779</v>
      </c>
    </row>
    <row r="16" spans="1:5" x14ac:dyDescent="0.25">
      <c r="A16" t="s">
        <v>1001</v>
      </c>
      <c r="B16" t="s">
        <v>1002</v>
      </c>
      <c r="C16" t="s">
        <v>969</v>
      </c>
      <c r="D16" t="s">
        <v>974</v>
      </c>
      <c r="E16" t="s">
        <v>1779</v>
      </c>
    </row>
    <row r="17" spans="1:5" x14ac:dyDescent="0.25">
      <c r="A17" t="s">
        <v>1003</v>
      </c>
      <c r="B17" t="s">
        <v>1004</v>
      </c>
      <c r="C17" t="s">
        <v>969</v>
      </c>
      <c r="D17" t="s">
        <v>974</v>
      </c>
      <c r="E17" t="s">
        <v>1779</v>
      </c>
    </row>
    <row r="18" spans="1:5" x14ac:dyDescent="0.25">
      <c r="A18" t="s">
        <v>1005</v>
      </c>
      <c r="B18" t="s">
        <v>1925</v>
      </c>
      <c r="C18" t="s">
        <v>1006</v>
      </c>
      <c r="D18" t="s">
        <v>974</v>
      </c>
      <c r="E18" t="s">
        <v>1779</v>
      </c>
    </row>
    <row r="19" spans="1:5" x14ac:dyDescent="0.25">
      <c r="A19" t="s">
        <v>1248</v>
      </c>
      <c r="B19" t="s">
        <v>1927</v>
      </c>
      <c r="C19" t="s">
        <v>1006</v>
      </c>
      <c r="D19" t="s">
        <v>974</v>
      </c>
      <c r="E19" t="s">
        <v>1779</v>
      </c>
    </row>
    <row r="20" spans="1:5" x14ac:dyDescent="0.25">
      <c r="A20" t="s">
        <v>1258</v>
      </c>
      <c r="B20" t="s">
        <v>1928</v>
      </c>
      <c r="C20" t="s">
        <v>1006</v>
      </c>
      <c r="D20" t="s">
        <v>974</v>
      </c>
      <c r="E20" t="s">
        <v>1779</v>
      </c>
    </row>
    <row r="21" spans="1:5" x14ac:dyDescent="0.25">
      <c r="A21" t="s">
        <v>1269</v>
      </c>
      <c r="B21" t="s">
        <v>1929</v>
      </c>
      <c r="C21" t="s">
        <v>1006</v>
      </c>
      <c r="D21" t="s">
        <v>974</v>
      </c>
      <c r="E21" t="s">
        <v>1779</v>
      </c>
    </row>
    <row r="22" spans="1:5" x14ac:dyDescent="0.25">
      <c r="A22" t="s">
        <v>1289</v>
      </c>
      <c r="B22" t="s">
        <v>1930</v>
      </c>
      <c r="C22" t="s">
        <v>1006</v>
      </c>
      <c r="D22" t="s">
        <v>974</v>
      </c>
      <c r="E22" t="s">
        <v>1779</v>
      </c>
    </row>
    <row r="23" spans="1:5" x14ac:dyDescent="0.25">
      <c r="A23" t="s">
        <v>1300</v>
      </c>
      <c r="B23" t="s">
        <v>1931</v>
      </c>
      <c r="C23" t="s">
        <v>1006</v>
      </c>
      <c r="D23" t="s">
        <v>974</v>
      </c>
      <c r="E23" t="s">
        <v>1779</v>
      </c>
    </row>
    <row r="24" spans="1:5" x14ac:dyDescent="0.25">
      <c r="A24" t="s">
        <v>1302</v>
      </c>
      <c r="B24" t="s">
        <v>1932</v>
      </c>
      <c r="C24" t="s">
        <v>1006</v>
      </c>
      <c r="D24" t="s">
        <v>974</v>
      </c>
      <c r="E24" t="s">
        <v>1779</v>
      </c>
    </row>
    <row r="25" spans="1:5" x14ac:dyDescent="0.25">
      <c r="A25" t="s">
        <v>1400</v>
      </c>
      <c r="B25" t="s">
        <v>1926</v>
      </c>
      <c r="C25" t="s">
        <v>1401</v>
      </c>
      <c r="D25" t="s">
        <v>974</v>
      </c>
      <c r="E25" t="s">
        <v>1780</v>
      </c>
    </row>
    <row r="26" spans="1:5" x14ac:dyDescent="0.25">
      <c r="A26" t="s">
        <v>1778</v>
      </c>
      <c r="B26" t="s">
        <v>1924</v>
      </c>
      <c r="C26" t="s">
        <v>1006</v>
      </c>
      <c r="D26" t="s">
        <v>974</v>
      </c>
      <c r="E26" t="s">
        <v>1781</v>
      </c>
    </row>
    <row r="27" spans="1:5" x14ac:dyDescent="0.25">
      <c r="A27" t="s">
        <v>1917</v>
      </c>
      <c r="B27" t="s">
        <v>2009</v>
      </c>
      <c r="C27" t="s">
        <v>2017</v>
      </c>
      <c r="D27" t="s">
        <v>974</v>
      </c>
      <c r="E27" t="s">
        <v>1781</v>
      </c>
    </row>
    <row r="28" spans="1:5" x14ac:dyDescent="0.25">
      <c r="A28" t="s">
        <v>1917</v>
      </c>
      <c r="B28" t="s">
        <v>2013</v>
      </c>
      <c r="C28" t="s">
        <v>969</v>
      </c>
      <c r="D28" t="s">
        <v>974</v>
      </c>
      <c r="E28" t="s">
        <v>1781</v>
      </c>
    </row>
    <row r="29" spans="1:5" x14ac:dyDescent="0.25">
      <c r="A29" t="s">
        <v>1918</v>
      </c>
      <c r="B29" t="s">
        <v>2010</v>
      </c>
      <c r="C29" t="s">
        <v>969</v>
      </c>
      <c r="D29" t="s">
        <v>974</v>
      </c>
      <c r="E29" t="s">
        <v>1781</v>
      </c>
    </row>
    <row r="30" spans="1:5" x14ac:dyDescent="0.25">
      <c r="A30" t="s">
        <v>1918</v>
      </c>
      <c r="B30" t="s">
        <v>2014</v>
      </c>
      <c r="C30" t="s">
        <v>969</v>
      </c>
      <c r="D30" t="s">
        <v>974</v>
      </c>
      <c r="E30" t="s">
        <v>1781</v>
      </c>
    </row>
    <row r="31" spans="1:5" x14ac:dyDescent="0.25">
      <c r="A31" t="s">
        <v>1919</v>
      </c>
      <c r="B31" t="s">
        <v>2011</v>
      </c>
      <c r="C31" t="s">
        <v>969</v>
      </c>
      <c r="D31" t="s">
        <v>974</v>
      </c>
      <c r="E31" t="s">
        <v>1779</v>
      </c>
    </row>
    <row r="32" spans="1:5" x14ac:dyDescent="0.25">
      <c r="A32" t="s">
        <v>1919</v>
      </c>
      <c r="B32" t="s">
        <v>2015</v>
      </c>
      <c r="C32" t="s">
        <v>969</v>
      </c>
      <c r="D32" t="s">
        <v>974</v>
      </c>
      <c r="E32" t="s">
        <v>1779</v>
      </c>
    </row>
    <row r="33" spans="1:5" x14ac:dyDescent="0.25">
      <c r="A33" t="s">
        <v>1920</v>
      </c>
      <c r="B33" t="s">
        <v>2012</v>
      </c>
      <c r="C33" t="s">
        <v>969</v>
      </c>
      <c r="D33" t="s">
        <v>974</v>
      </c>
      <c r="E33" t="s">
        <v>1779</v>
      </c>
    </row>
    <row r="34" spans="1:5" x14ac:dyDescent="0.25">
      <c r="A34" t="s">
        <v>1920</v>
      </c>
      <c r="B34" t="s">
        <v>2016</v>
      </c>
      <c r="C34" t="s">
        <v>969</v>
      </c>
      <c r="D34" t="s">
        <v>974</v>
      </c>
      <c r="E34" t="s">
        <v>1779</v>
      </c>
    </row>
    <row r="35" spans="1:5" x14ac:dyDescent="0.25">
      <c r="A35" t="s">
        <v>1921</v>
      </c>
      <c r="C35" t="s">
        <v>969</v>
      </c>
      <c r="D35" t="s">
        <v>1922</v>
      </c>
    </row>
    <row r="36" spans="1:5" x14ac:dyDescent="0.25">
      <c r="A36" t="s">
        <v>1921</v>
      </c>
      <c r="C36" t="s">
        <v>969</v>
      </c>
      <c r="D36" t="s">
        <v>1923</v>
      </c>
    </row>
    <row r="37" spans="1:5" x14ac:dyDescent="0.25">
      <c r="A37" t="s">
        <v>974</v>
      </c>
      <c r="B37" t="s">
        <v>968</v>
      </c>
      <c r="C37" t="s">
        <v>969</v>
      </c>
      <c r="D37" t="s">
        <v>1922</v>
      </c>
    </row>
    <row r="38" spans="1:5" x14ac:dyDescent="0.25">
      <c r="A38" t="s">
        <v>974</v>
      </c>
      <c r="B38" t="s">
        <v>976</v>
      </c>
      <c r="C38" t="s">
        <v>969</v>
      </c>
      <c r="D38" t="s">
        <v>1923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Лист1</vt:lpstr>
      <vt:lpstr>250630</vt:lpstr>
      <vt:lpstr>250620</vt:lpstr>
      <vt:lpstr>Кабеля между шкафами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2015-06-05T18:19:34Z</dcterms:created>
  <dcterms:modified xsi:type="dcterms:W3CDTF">2025-08-21T12:10:52Z</dcterms:modified>
</cp:coreProperties>
</file>