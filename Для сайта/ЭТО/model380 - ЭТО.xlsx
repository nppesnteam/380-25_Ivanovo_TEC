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B3203C70-2899-48BD-A339-207F31006D69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Лист1!$P$1:$P$30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29" i="1" l="1"/>
  <c r="MA28" i="1"/>
  <c r="MA27" i="1"/>
  <c r="MA26" i="1"/>
  <c r="MA25" i="1"/>
  <c r="MA24" i="1"/>
  <c r="MA23" i="1"/>
  <c r="MA15" i="1"/>
  <c r="MA14" i="1"/>
  <c r="MA13" i="1"/>
  <c r="MA12" i="1"/>
  <c r="MA11" i="1"/>
  <c r="MA10" i="1"/>
  <c r="MA9" i="1"/>
  <c r="MA8" i="1"/>
  <c r="MA7" i="1"/>
  <c r="MA6" i="1"/>
  <c r="MA5" i="1"/>
  <c r="MA4" i="1"/>
  <c r="MA3" i="1"/>
  <c r="MA2" i="1"/>
  <c r="AJ24" i="1" l="1" a="1"/>
  <c r="AJ24" i="1" s="1"/>
  <c r="AJ25" i="1" a="1"/>
  <c r="AJ25" i="1" s="1"/>
  <c r="AJ26" i="1" a="1"/>
  <c r="AJ26" i="1" s="1"/>
  <c r="AJ27" i="1" a="1"/>
  <c r="AJ27" i="1" s="1"/>
  <c r="AJ28" i="1" a="1"/>
  <c r="AJ28" i="1" s="1"/>
  <c r="AJ29" i="1" a="1"/>
  <c r="AJ29" i="1" s="1"/>
  <c r="AEO24" i="1"/>
  <c r="AEO25" i="1" s="1"/>
  <c r="AEO26" i="1" s="1"/>
  <c r="AEO27" i="1" s="1"/>
  <c r="AEO28" i="1" s="1"/>
  <c r="AEO29" i="1" s="1"/>
  <c r="AEN24" i="1"/>
  <c r="AEN25" i="1" s="1"/>
  <c r="AEN26" i="1" s="1"/>
  <c r="AEN27" i="1" s="1"/>
  <c r="AEN28" i="1" s="1"/>
  <c r="AEN29" i="1" s="1"/>
  <c r="AI23" i="1" a="1"/>
  <c r="AI23" i="1" s="1"/>
  <c r="AJ23" i="1" a="1"/>
  <c r="AJ23" i="1" s="1"/>
  <c r="MS17" i="1"/>
  <c r="MS18" i="1" s="1"/>
  <c r="MS19" i="1" s="1"/>
  <c r="MS20" i="1" s="1"/>
  <c r="MS21" i="1" s="1"/>
  <c r="MS22" i="1" s="1"/>
  <c r="MR17" i="1"/>
  <c r="MR18" i="1" s="1"/>
  <c r="MR19" i="1" s="1"/>
  <c r="MR20" i="1" s="1"/>
  <c r="MR21" i="1" s="1"/>
  <c r="MR22" i="1" s="1"/>
  <c r="MK17" i="1"/>
  <c r="MK18" i="1" s="1"/>
  <c r="MK19" i="1" s="1"/>
  <c r="MK20" i="1" s="1"/>
  <c r="MK21" i="1" s="1"/>
  <c r="MK22" i="1" s="1"/>
  <c r="MJ17" i="1"/>
  <c r="MJ18" i="1" s="1"/>
  <c r="MJ19" i="1" s="1"/>
  <c r="MJ20" i="1" s="1"/>
  <c r="MJ21" i="1" s="1"/>
  <c r="MJ22" i="1" s="1"/>
  <c r="MI17" i="1"/>
  <c r="MI18" i="1" s="1"/>
  <c r="MI19" i="1" s="1"/>
  <c r="MI20" i="1" s="1"/>
  <c r="MI21" i="1" s="1"/>
  <c r="MI22" i="1" s="1"/>
  <c r="MH17" i="1"/>
  <c r="MH18" i="1" s="1"/>
  <c r="MH19" i="1" s="1"/>
  <c r="MH20" i="1" s="1"/>
  <c r="MH21" i="1" s="1"/>
  <c r="MH22" i="1" s="1"/>
  <c r="MG17" i="1"/>
  <c r="MG18" i="1" s="1"/>
  <c r="MG19" i="1" s="1"/>
  <c r="MG20" i="1" s="1"/>
  <c r="MG21" i="1" s="1"/>
  <c r="MG22" i="1" s="1"/>
  <c r="MF17" i="1"/>
  <c r="MF18" i="1" s="1"/>
  <c r="MF19" i="1" s="1"/>
  <c r="MF20" i="1" s="1"/>
  <c r="MF21" i="1" s="1"/>
  <c r="MF22" i="1" s="1"/>
  <c r="ME17" i="1"/>
  <c r="ME18" i="1" s="1"/>
  <c r="ME19" i="1" s="1"/>
  <c r="ME20" i="1" s="1"/>
  <c r="ME21" i="1" s="1"/>
  <c r="ME22" i="1" s="1"/>
  <c r="MD17" i="1"/>
  <c r="MD18" i="1" s="1"/>
  <c r="MD19" i="1" s="1"/>
  <c r="MD20" i="1" s="1"/>
  <c r="MD21" i="1" s="1"/>
  <c r="MD22" i="1" s="1"/>
  <c r="AG16" i="1"/>
  <c r="MA16" i="1" s="1"/>
  <c r="AF16" i="1"/>
  <c r="LZ16" i="1" s="1"/>
  <c r="AE16" i="1" s="1" a="1"/>
  <c r="AE16" i="1" s="1"/>
  <c r="AC17" i="1" s="1"/>
  <c r="AED5" i="1"/>
  <c r="AED6" i="1"/>
  <c r="AED7" i="1"/>
  <c r="AED8" i="1"/>
  <c r="AED9" i="1"/>
  <c r="AED10" i="1"/>
  <c r="AED11" i="1"/>
  <c r="AED12" i="1"/>
  <c r="AED13" i="1"/>
  <c r="AED14" i="1"/>
  <c r="AED15" i="1"/>
  <c r="AED4" i="1"/>
  <c r="QE3" i="1"/>
  <c r="SB3" i="1"/>
  <c r="SC3" i="1" s="1"/>
  <c r="SD3" i="1" s="1"/>
  <c r="SE3" i="1" s="1"/>
  <c r="SF3" i="1" s="1"/>
  <c r="SG3" i="1" s="1"/>
  <c r="SH3" i="1" s="1"/>
  <c r="SI3" i="1" s="1"/>
  <c r="SJ3" i="1" s="1"/>
  <c r="SK3" i="1" s="1"/>
  <c r="SL3" i="1" s="1"/>
  <c r="SM3" i="1" s="1"/>
  <c r="SN3" i="1" s="1"/>
  <c r="SO3" i="1" s="1"/>
  <c r="SP3" i="1" s="1"/>
  <c r="SQ3" i="1" s="1"/>
  <c r="SR3" i="1" s="1"/>
  <c r="SS3" i="1" s="1"/>
  <c r="ST3" i="1" s="1"/>
  <c r="SU3" i="1" s="1"/>
  <c r="SV3" i="1" s="1"/>
  <c r="SW3" i="1" s="1"/>
  <c r="RZ3" i="1"/>
  <c r="QS3" i="1"/>
  <c r="QU3" i="1" s="1"/>
  <c r="QW3" i="1" s="1"/>
  <c r="QY3" i="1" s="1"/>
  <c r="QR3" i="1"/>
  <c r="QT3" i="1" s="1"/>
  <c r="QV3" i="1" s="1"/>
  <c r="QX3" i="1" s="1"/>
  <c r="Y2" i="1" a="1"/>
  <c r="Y2" i="1" s="1"/>
  <c r="SB2" i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SS2" i="1" s="1"/>
  <c r="ST2" i="1" s="1"/>
  <c r="SU2" i="1" s="1"/>
  <c r="SV2" i="1" s="1"/>
  <c r="SW2" i="1" s="1"/>
  <c r="RZ2" i="1"/>
  <c r="QS2" i="1"/>
  <c r="QU2" i="1" s="1"/>
  <c r="QW2" i="1" s="1"/>
  <c r="QY2" i="1" s="1"/>
  <c r="QR2" i="1"/>
  <c r="QT2" i="1" s="1"/>
  <c r="QV2" i="1" s="1"/>
  <c r="QX2" i="1" s="1"/>
  <c r="AH24" i="1" l="1"/>
  <c r="AI24" i="1" s="1" a="1"/>
  <c r="AI24" i="1" s="1"/>
  <c r="RV3" i="1"/>
  <c r="RN3" i="1"/>
  <c r="RP3" i="1"/>
  <c r="RW3" i="1"/>
  <c r="RO3" i="1"/>
  <c r="RQ3" i="1"/>
  <c r="RR3" i="1"/>
  <c r="RS3" i="1"/>
  <c r="RT3" i="1"/>
  <c r="RU3" i="1"/>
  <c r="QE2" i="1"/>
  <c r="AK24" i="1" l="1"/>
  <c r="AEG24" i="1" s="1"/>
  <c r="AH25" i="1"/>
  <c r="AI25" i="1" s="1" a="1"/>
  <c r="AI25" i="1" s="1"/>
  <c r="AK25" i="1" s="1"/>
  <c r="AEG25" i="1" s="1"/>
  <c r="AL24" i="1"/>
  <c r="AEH24" i="1" s="1"/>
  <c r="RP2" i="1"/>
  <c r="RW2" i="1"/>
  <c r="RV2" i="1"/>
  <c r="RS2" i="1"/>
  <c r="RO2" i="1"/>
  <c r="RU2" i="1"/>
  <c r="RT2" i="1"/>
  <c r="RN2" i="1"/>
  <c r="RR2" i="1"/>
  <c r="RQ2" i="1"/>
  <c r="AL25" i="1" l="1"/>
  <c r="AEH25" i="1" s="1"/>
  <c r="AH26" i="1"/>
  <c r="AI26" i="1" s="1" a="1"/>
  <c r="AI26" i="1" s="1"/>
  <c r="AL26" i="1" l="1"/>
  <c r="AEH26" i="1" s="1"/>
  <c r="AH27" i="1"/>
  <c r="AI27" i="1" s="1" a="1"/>
  <c r="AI27" i="1" s="1"/>
  <c r="AK26" i="1"/>
  <c r="AEG26" i="1" s="1"/>
  <c r="AK27" i="1" l="1"/>
  <c r="AEG27" i="1" s="1"/>
  <c r="AH28" i="1"/>
  <c r="AI28" i="1" s="1" a="1"/>
  <c r="AI28" i="1" s="1"/>
  <c r="AL27" i="1"/>
  <c r="AEH27" i="1" s="1"/>
  <c r="AK28" i="1" l="1"/>
  <c r="AEG28" i="1" s="1"/>
  <c r="AH29" i="1"/>
  <c r="AI29" i="1" s="1" a="1"/>
  <c r="AI29" i="1" s="1"/>
  <c r="AL28" i="1"/>
  <c r="AEH28" i="1" s="1"/>
  <c r="AK29" i="1" l="1"/>
  <c r="AEG29" i="1" s="1"/>
  <c r="AL29" i="1"/>
  <c r="AEH29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AB2" i="1"/>
  <c r="QF2" i="1" l="1"/>
  <c r="RB2" i="1"/>
  <c r="QG2" i="1"/>
  <c r="RC2" i="1"/>
  <c r="QI2" i="1" l="1"/>
  <c r="RE2" i="1"/>
  <c r="QH2" i="1"/>
  <c r="RD2" i="1"/>
  <c r="QJ2" i="1" l="1"/>
  <c r="RF2" i="1"/>
  <c r="QK2" i="1"/>
  <c r="RG2" i="1"/>
  <c r="QM2" i="1" l="1"/>
  <c r="RI2" i="1"/>
  <c r="QL2" i="1"/>
  <c r="RH2" i="1"/>
  <c r="QN2" i="1" l="1"/>
  <c r="RJ2" i="1"/>
  <c r="QO2" i="1"/>
  <c r="RM2" i="1" s="1"/>
  <c r="RK2" i="1"/>
  <c r="RL2" i="1" l="1"/>
  <c r="Z2" i="1" a="1"/>
  <c r="Z2" i="1" s="1"/>
  <c r="Y3" i="1" l="1" a="1"/>
  <c r="Y3" i="1" s="1"/>
  <c r="AB3" i="1" s="1"/>
  <c r="AA3" i="1" l="1"/>
  <c r="QG3" i="1" s="1"/>
  <c r="QF3" i="1"/>
  <c r="RB3" i="1"/>
  <c r="RC3" i="1" l="1"/>
  <c r="QH3" i="1"/>
  <c r="RD3" i="1"/>
  <c r="RE3" i="1"/>
  <c r="QI3" i="1"/>
  <c r="RG3" i="1" l="1"/>
  <c r="QK3" i="1"/>
  <c r="RF3" i="1"/>
  <c r="QJ3" i="1"/>
  <c r="RI3" i="1" l="1"/>
  <c r="QM3" i="1"/>
  <c r="RH3" i="1"/>
  <c r="QL3" i="1"/>
  <c r="QO3" i="1" l="1"/>
  <c r="RM3" i="1" s="1"/>
  <c r="RK3" i="1"/>
  <c r="RJ3" i="1"/>
  <c r="QN3" i="1"/>
  <c r="RL3" i="1" l="1"/>
  <c r="Z3" i="1" a="1"/>
  <c r="Z3" i="1" s="1"/>
  <c r="AL23" i="1" l="1"/>
  <c r="AEH23" i="1" s="1"/>
  <c r="AK23" i="1"/>
  <c r="AEG23" i="1" s="1"/>
  <c r="AD17" i="1" l="1" a="1"/>
  <c r="AD17" i="1" s="1"/>
  <c r="AG17" i="1" l="1"/>
  <c r="MA17" i="1" s="1"/>
  <c r="AF17" i="1"/>
  <c r="LZ17" i="1" s="1"/>
  <c r="AE17" i="1" s="1" a="1"/>
  <c r="AE17" i="1" s="1"/>
  <c r="AC18" i="1" s="1"/>
  <c r="AD18" i="1" l="1" a="1"/>
  <c r="AD18" i="1" s="1"/>
  <c r="AF18" i="1" l="1"/>
  <c r="LZ18" i="1" s="1"/>
  <c r="AE18" i="1" s="1" a="1"/>
  <c r="AE18" i="1" s="1"/>
  <c r="AC19" i="1" s="1"/>
  <c r="AG18" i="1"/>
  <c r="MA18" i="1" s="1"/>
  <c r="AD19" i="1" l="1" a="1"/>
  <c r="AD19" i="1" s="1"/>
  <c r="AG19" i="1" l="1"/>
  <c r="MA19" i="1" s="1"/>
  <c r="AF19" i="1"/>
  <c r="LZ19" i="1" s="1"/>
  <c r="AE19" i="1" s="1" a="1"/>
  <c r="AE19" i="1" s="1"/>
  <c r="AC20" i="1" s="1"/>
  <c r="AD20" i="1" l="1" a="1"/>
  <c r="AD20" i="1" s="1"/>
  <c r="AF20" i="1" l="1"/>
  <c r="LZ20" i="1" s="1"/>
  <c r="AE20" i="1" s="1" a="1"/>
  <c r="AE20" i="1" s="1"/>
  <c r="AC21" i="1" s="1"/>
  <c r="AG20" i="1"/>
  <c r="MA20" i="1" s="1"/>
  <c r="AD21" i="1" l="1" a="1"/>
  <c r="AD21" i="1" s="1"/>
  <c r="AG21" i="1" l="1"/>
  <c r="MA21" i="1" s="1"/>
  <c r="AF21" i="1"/>
  <c r="LZ21" i="1" s="1"/>
  <c r="AE21" i="1" s="1" a="1"/>
  <c r="AE21" i="1" s="1"/>
  <c r="AC22" i="1" s="1"/>
  <c r="AD22" i="1" l="1" a="1"/>
  <c r="AD22" i="1" s="1"/>
  <c r="AF22" i="1" l="1"/>
  <c r="LZ22" i="1" s="1"/>
  <c r="AE22" i="1" s="1" a="1"/>
  <c r="AE22" i="1" s="1"/>
  <c r="AD30" i="1" s="1" a="1"/>
  <c r="AD30" i="1" s="1"/>
  <c r="AG22" i="1"/>
  <c r="MA22" i="1" s="1"/>
  <c r="AG30" i="1" l="1"/>
  <c r="MA30" i="1" s="1"/>
  <c r="AF30" i="1"/>
  <c r="LZ30" i="1" s="1"/>
  <c r="AE30" i="1" s="1" a="1"/>
  <c r="AE30" i="1" s="1"/>
</calcChain>
</file>

<file path=xl/sharedStrings.xml><?xml version="1.0" encoding="utf-8"?>
<sst xmlns="http://schemas.openxmlformats.org/spreadsheetml/2006/main" count="9298" uniqueCount="2208">
  <si>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</si>
  <si>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</si>
  <si>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</si>
  <si>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</si>
  <si>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</si>
  <si>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</si>
  <si>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</si>
  <si>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</si>
  <si>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</si>
  <si>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</si>
  <si>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</si>
  <si>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</si>
  <si>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</si>
  <si>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</si>
  <si>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</si>
  <si>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</si>
  <si>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</si>
  <si>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</si>
  <si>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</si>
  <si>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</si>
  <si>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</si>
  <si>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</si>
  <si>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</si>
  <si>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</si>
  <si>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</si>
  <si>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</si>
  <si>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</si>
  <si>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</si>
  <si>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</si>
  <si>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</si>
  <si>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</si>
  <si>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</si>
  <si>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</si>
  <si>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</si>
  <si>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</si>
  <si>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</si>
  <si>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</si>
  <si>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</si>
  <si>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</si>
  <si>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</si>
  <si>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</si>
  <si>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</si>
  <si>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</si>
  <si>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</si>
  <si>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</si>
  <si>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</si>
  <si>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</si>
  <si>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</si>
  <si>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</si>
  <si>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</si>
  <si>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</si>
  <si>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</si>
  <si>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</si>
  <si>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</si>
  <si>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</si>
  <si>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</si>
  <si>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</si>
  <si>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</si>
  <si>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</si>
  <si>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</si>
  <si>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</si>
  <si>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</si>
  <si>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</si>
  <si>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</si>
  <si>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</si>
  <si>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</si>
  <si>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</si>
  <si>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</si>
  <si>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</si>
  <si>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</si>
  <si>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</si>
  <si>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</si>
  <si>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</si>
  <si>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</si>
  <si>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</si>
  <si>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</si>
  <si>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</si>
  <si>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</si>
  <si>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</si>
  <si>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</si>
  <si>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</si>
  <si>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</si>
  <si>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</si>
  <si>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</si>
  <si>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</si>
  <si>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</si>
  <si>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</si>
  <si>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</si>
  <si>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</si>
  <si>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</si>
  <si>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</si>
  <si>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</si>
  <si>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</si>
  <si>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</si>
  <si>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</si>
  <si>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</si>
  <si>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</si>
  <si>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</si>
  <si>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</si>
  <si>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</si>
  <si>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</si>
  <si>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</si>
  <si>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</si>
  <si>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</si>
  <si>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</si>
  <si>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</si>
  <si>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</si>
  <si>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</si>
  <si>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</si>
  <si>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</si>
  <si>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</si>
  <si>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</si>
  <si>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</si>
  <si>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</si>
  <si>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</si>
  <si>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</si>
  <si>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</si>
  <si>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</si>
  <si>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</si>
  <si>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</si>
  <si>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</si>
  <si>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</si>
  <si>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</si>
  <si>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</si>
  <si>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</si>
  <si>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</si>
  <si>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</si>
  <si>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</si>
  <si>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</si>
  <si>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</si>
  <si>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</si>
  <si>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</si>
  <si>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</si>
  <si>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</si>
  <si>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</si>
  <si>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</si>
  <si>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</si>
  <si>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</si>
  <si>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</si>
  <si>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</si>
  <si>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</si>
  <si>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</si>
  <si>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</si>
  <si>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</si>
  <si>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</si>
  <si>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</si>
  <si>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</si>
  <si>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</si>
  <si>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</si>
  <si>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</si>
  <si>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</si>
  <si>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</si>
  <si>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</si>
  <si>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</si>
  <si>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</si>
  <si>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</si>
  <si>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</si>
  <si>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</si>
  <si>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</si>
  <si>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</si>
  <si>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</si>
  <si>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</si>
  <si>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</si>
  <si>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</si>
  <si>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</si>
  <si>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</si>
  <si>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</si>
  <si>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</si>
  <si>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</si>
  <si>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</si>
  <si>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</si>
  <si>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</si>
  <si>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</si>
  <si>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</si>
  <si>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</si>
  <si>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</si>
  <si>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</si>
  <si>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</si>
  <si>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</si>
  <si>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</si>
  <si>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</si>
  <si>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</si>
  <si>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</si>
  <si>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</si>
  <si>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</si>
  <si>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</si>
  <si>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</si>
  <si>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</si>
  <si>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</si>
  <si>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</si>
  <si>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</si>
  <si>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</si>
  <si>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</si>
  <si>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</si>
  <si>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</si>
  <si>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</si>
  <si>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</si>
  <si>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</si>
  <si>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</si>
  <si>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</si>
  <si>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</si>
  <si>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</si>
  <si>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</si>
  <si>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</si>
  <si>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</si>
  <si>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</si>
  <si>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</si>
  <si>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</si>
  <si>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</si>
  <si>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</si>
  <si>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</si>
  <si>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</si>
  <si>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</si>
  <si>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</si>
  <si>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</si>
  <si>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</si>
  <si>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</si>
  <si>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</si>
  <si>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</si>
  <si>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</si>
  <si>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</si>
  <si>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</si>
  <si>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</si>
  <si>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</si>
  <si>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</si>
  <si>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</si>
  <si>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</si>
  <si>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</si>
  <si>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</si>
  <si>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</si>
  <si>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</si>
  <si>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</si>
  <si>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</si>
  <si>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</si>
  <si>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</si>
  <si>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</si>
  <si>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</si>
  <si>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</si>
  <si>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</si>
  <si>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</si>
  <si>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</si>
  <si>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</si>
  <si>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</si>
  <si>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</si>
  <si>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</si>
  <si>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</si>
  <si>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</si>
  <si>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</si>
  <si>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</si>
  <si>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</si>
  <si>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</si>
  <si>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</si>
  <si>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</si>
  <si>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</si>
  <si>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</si>
  <si>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</si>
  <si>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</si>
  <si>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</si>
  <si>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</si>
  <si>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</si>
  <si>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</si>
  <si>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</si>
  <si>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</si>
  <si>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</si>
  <si>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</si>
  <si>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</si>
  <si>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</si>
  <si>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</si>
  <si>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</si>
  <si>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</si>
  <si>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</si>
  <si>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</si>
  <si>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</si>
  <si>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</si>
  <si>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</si>
  <si>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</si>
  <si>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</si>
  <si>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</si>
  <si>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</si>
  <si>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</si>
  <si>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</si>
  <si>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</si>
  <si>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</si>
  <si>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</si>
  <si>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</si>
  <si>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</si>
  <si>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</si>
  <si>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</si>
  <si>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</si>
  <si>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</si>
  <si>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</si>
  <si>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</si>
  <si>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</si>
  <si>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</si>
  <si>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</si>
  <si>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</si>
  <si>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</si>
  <si>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</si>
  <si>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</si>
  <si>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</si>
  <si>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</si>
  <si>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</si>
  <si>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</si>
  <si>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</si>
  <si>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</si>
  <si>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</si>
  <si>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</si>
  <si>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</si>
  <si>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</si>
  <si>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</si>
  <si>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</si>
  <si>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</si>
  <si>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</si>
  <si>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</si>
  <si>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</si>
  <si>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</si>
  <si>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</si>
  <si>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</si>
  <si>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</si>
  <si>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</si>
  <si>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</si>
  <si>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</si>
  <si>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</si>
  <si>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</si>
  <si>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</si>
  <si>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</si>
  <si>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</si>
  <si>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</si>
  <si>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</si>
  <si>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</si>
  <si>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</si>
  <si>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</si>
  <si>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</si>
  <si>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</si>
  <si>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</si>
  <si>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</si>
  <si>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</si>
  <si>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</si>
  <si>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</si>
  <si>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</si>
  <si>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</si>
  <si>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</si>
  <si>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</si>
  <si>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</si>
  <si>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</si>
  <si>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</si>
  <si>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</si>
  <si>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</si>
  <si>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</si>
  <si>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</si>
  <si>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</si>
  <si>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</si>
  <si>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</si>
  <si>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</si>
  <si>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</si>
  <si>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</si>
  <si>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</si>
  <si>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</si>
  <si>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</si>
  <si>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</si>
  <si>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</si>
  <si>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</si>
  <si>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</si>
  <si>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</si>
  <si>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</si>
  <si>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</si>
  <si>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</si>
  <si>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</si>
  <si>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</si>
  <si>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</si>
  <si>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</si>
  <si>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</si>
  <si>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</si>
  <si>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</si>
  <si>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</si>
  <si>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</si>
  <si>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</si>
  <si>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</si>
  <si>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</si>
  <si>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</si>
  <si>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</si>
  <si>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</si>
  <si>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</si>
  <si>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</si>
  <si>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</si>
  <si>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</si>
  <si>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</si>
  <si>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</si>
  <si>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</si>
  <si>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</si>
  <si>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</si>
  <si>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</si>
  <si>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</si>
  <si>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</si>
  <si>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</si>
  <si>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</si>
  <si>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</si>
  <si>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</si>
  <si>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</si>
  <si>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</si>
  <si>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</si>
  <si>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</si>
  <si>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</si>
  <si>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</si>
  <si>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</si>
  <si>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</si>
  <si>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</si>
  <si>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</si>
  <si>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</si>
  <si>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</si>
  <si>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</si>
  <si>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</si>
  <si>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</si>
  <si>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</si>
  <si>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</si>
  <si>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</si>
  <si>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</si>
  <si>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</si>
  <si>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</si>
  <si>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</si>
  <si>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</si>
  <si>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</si>
  <si>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</si>
  <si>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</si>
  <si>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</si>
  <si>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</si>
  <si>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</si>
  <si>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</si>
  <si>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</si>
  <si>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</si>
  <si>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</si>
  <si>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</si>
  <si>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</si>
  <si>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</si>
  <si>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</si>
  <si>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</si>
  <si>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</si>
  <si>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</si>
  <si>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</si>
  <si>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</si>
  <si>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</si>
  <si>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</si>
  <si>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</si>
  <si>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</si>
  <si>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</si>
  <si>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</si>
  <si>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</si>
  <si>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</si>
  <si>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</si>
  <si>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</si>
  <si>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</si>
  <si>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</si>
  <si>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</si>
  <si>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</si>
  <si>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</si>
  <si>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</si>
  <si>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</si>
  <si>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</si>
  <si>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</si>
  <si>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</si>
  <si>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</si>
  <si>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</si>
  <si>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</si>
  <si>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</si>
  <si>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</si>
  <si>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</si>
  <si>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</si>
  <si>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</si>
  <si>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</si>
  <si>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</si>
  <si>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</si>
  <si>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</si>
  <si>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</si>
  <si>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</si>
  <si>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</si>
  <si>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</si>
  <si>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</si>
  <si>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</si>
  <si>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</si>
  <si>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</si>
  <si>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</si>
  <si>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</si>
  <si>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</si>
  <si>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</si>
  <si>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</si>
  <si>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</si>
  <si>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</si>
  <si>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</si>
  <si>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</si>
  <si>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</si>
  <si>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</si>
  <si>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</si>
  <si>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</si>
  <si>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</si>
  <si>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</si>
  <si>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</si>
  <si>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</si>
  <si>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</si>
  <si>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</si>
  <si>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</si>
  <si>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</si>
  <si>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</si>
  <si>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</si>
  <si>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</si>
  <si>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</si>
  <si>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</si>
  <si>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</si>
  <si>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</si>
  <si>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</si>
  <si>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</si>
  <si>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</si>
  <si>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</si>
  <si>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</si>
  <si>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</si>
  <si>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</si>
  <si>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</si>
  <si>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</si>
  <si>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</si>
  <si>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</si>
  <si>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</si>
  <si>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</si>
  <si>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</si>
  <si>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</si>
  <si>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</si>
  <si>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</si>
  <si>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</si>
  <si>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</si>
  <si>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</si>
  <si>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</si>
  <si>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</si>
  <si>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</si>
  <si>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</si>
  <si>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</si>
  <si>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</si>
  <si>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</si>
  <si>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</si>
  <si>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</si>
  <si>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</si>
  <si>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</si>
  <si>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</si>
  <si>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</si>
  <si>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</si>
  <si>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</si>
  <si>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</si>
  <si>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</si>
  <si>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</si>
  <si>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</si>
  <si>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</si>
  <si>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</si>
  <si>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</si>
  <si>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</si>
  <si>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</si>
  <si>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</si>
  <si>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</si>
  <si>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</si>
  <si>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</si>
  <si>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</si>
  <si>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</si>
  <si>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</si>
  <si>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</si>
  <si>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</si>
  <si>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</si>
  <si>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</si>
  <si>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</si>
  <si>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</si>
  <si>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</si>
  <si>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</si>
  <si>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</si>
  <si>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</si>
  <si>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</si>
  <si>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</si>
  <si>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</si>
  <si>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</si>
  <si>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</si>
  <si>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</si>
  <si>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</si>
  <si>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</si>
  <si>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</si>
  <si>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</si>
  <si>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</si>
  <si>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</si>
  <si>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</si>
  <si>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</si>
  <si>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</si>
  <si>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</si>
  <si>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</si>
  <si>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</si>
  <si>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</si>
  <si>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</si>
  <si>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</si>
  <si>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</si>
  <si>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</si>
  <si>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</si>
  <si>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</si>
  <si>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</si>
  <si>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</si>
  <si>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</si>
  <si>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</si>
  <si>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</si>
  <si>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</si>
  <si>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</si>
  <si>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</si>
  <si>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</si>
  <si>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</si>
  <si>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</si>
  <si>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</si>
  <si>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</si>
  <si>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</si>
  <si>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</si>
  <si>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</si>
  <si>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</si>
  <si>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</si>
  <si>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</si>
  <si>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</si>
  <si>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</si>
  <si>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</si>
  <si>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</si>
  <si>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</si>
  <si>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</si>
  <si>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</si>
  <si>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</si>
  <si>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</si>
  <si>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</si>
  <si>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</si>
  <si>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</si>
  <si>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</si>
  <si>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</si>
  <si>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</si>
  <si>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</si>
  <si>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</si>
  <si>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</si>
  <si>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</si>
  <si>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</si>
  <si>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</si>
  <si>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</si>
  <si>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</si>
  <si>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</si>
  <si>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</si>
  <si>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</si>
  <si>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</si>
  <si>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</si>
  <si>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</si>
  <si>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</si>
  <si>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</si>
  <si>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</si>
  <si>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</si>
  <si>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</si>
  <si>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</si>
  <si>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</si>
  <si>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</si>
  <si>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</si>
  <si>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</si>
  <si>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</si>
  <si>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</si>
  <si>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</si>
  <si>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</si>
  <si>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</si>
  <si>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</si>
  <si>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</si>
  <si>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</si>
  <si>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</si>
  <si>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</si>
  <si>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</si>
  <si>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</si>
  <si>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</si>
  <si>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</si>
  <si>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</si>
  <si>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</si>
  <si>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</si>
  <si>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</si>
  <si>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</si>
  <si>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</si>
  <si>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</si>
  <si>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</si>
  <si>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</si>
  <si>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</si>
  <si>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</si>
  <si>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</si>
  <si>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</si>
  <si>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</si>
  <si>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</si>
  <si>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</si>
  <si>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</si>
  <si>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</si>
  <si>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</si>
  <si>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</si>
  <si>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</si>
  <si>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</si>
  <si>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</si>
  <si>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</si>
  <si>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</si>
  <si>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</si>
  <si>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</si>
  <si>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</si>
  <si>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</si>
  <si>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</si>
  <si>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</si>
  <si>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</si>
  <si>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</si>
  <si>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</si>
  <si>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</si>
  <si>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</si>
  <si>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</si>
  <si>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</si>
  <si>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</si>
  <si>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</si>
  <si>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</si>
  <si>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</si>
  <si>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</si>
  <si>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</si>
  <si>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</si>
  <si>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</si>
  <si>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</si>
  <si>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</si>
  <si>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</si>
  <si>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</si>
  <si>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</si>
  <si>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</si>
  <si>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</si>
  <si>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</si>
  <si>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</si>
  <si>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</si>
  <si>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</si>
  <si>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</si>
  <si>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</si>
  <si>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</si>
  <si>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</si>
  <si>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</si>
  <si>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</si>
  <si>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</si>
  <si>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</si>
  <si>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</si>
  <si>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</si>
  <si>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</si>
  <si>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</si>
  <si>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</si>
  <si>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</si>
  <si>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</si>
  <si>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</si>
  <si>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</si>
  <si>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</si>
  <si>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</si>
  <si>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</si>
  <si>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</si>
  <si>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</si>
  <si>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</si>
  <si>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</si>
  <si>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</si>
  <si>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</si>
  <si>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</si>
  <si>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</si>
  <si>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</si>
  <si>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</si>
  <si>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</si>
  <si>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</si>
  <si>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</si>
  <si>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</si>
  <si>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</si>
  <si>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</si>
  <si>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</si>
  <si>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</si>
  <si>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</si>
  <si>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</si>
  <si>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</si>
  <si>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</si>
  <si>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</si>
  <si>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</si>
  <si>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</si>
  <si>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</si>
  <si>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</si>
  <si>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</si>
  <si>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</si>
  <si>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</si>
  <si>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</si>
  <si>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</si>
  <si>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</si>
  <si>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</si>
  <si>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</si>
  <si>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</si>
  <si>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</si>
  <si>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</si>
  <si>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</si>
  <si>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</si>
  <si>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</si>
  <si>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</si>
  <si>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</si>
  <si>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</si>
  <si>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</si>
  <si>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</si>
  <si>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</si>
  <si>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</si>
  <si>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</si>
  <si>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</si>
  <si>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</si>
  <si>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</si>
  <si>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</si>
  <si>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</si>
  <si>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</si>
  <si>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</si>
  <si>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</si>
  <si>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</si>
  <si>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</si>
  <si>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</si>
  <si>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</si>
  <si>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</si>
  <si>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</si>
  <si>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</si>
  <si>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</si>
  <si>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</si>
  <si>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</si>
  <si>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</si>
  <si>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</si>
  <si>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</si>
  <si>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</si>
  <si>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</si>
  <si>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</si>
  <si>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</si>
  <si>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</si>
  <si>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</si>
  <si>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</si>
  <si>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</si>
  <si>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</si>
  <si>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</si>
  <si>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</si>
  <si>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</si>
  <si>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</si>
  <si>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</si>
  <si>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</si>
  <si>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</si>
  <si>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</si>
  <si>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</si>
  <si>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</si>
  <si>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</si>
  <si>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</si>
  <si>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</si>
  <si>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</si>
  <si>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</si>
  <si>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</si>
  <si>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</si>
  <si>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</si>
  <si>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</si>
  <si>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</si>
  <si>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</si>
  <si>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</si>
  <si>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</si>
  <si>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</si>
  <si>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</si>
  <si>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</si>
  <si>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</si>
  <si>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</si>
  <si>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</si>
  <si>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</si>
  <si>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</si>
  <si>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</si>
  <si>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</si>
  <si>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</si>
  <si>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</si>
  <si>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</si>
  <si>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</si>
  <si>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</si>
  <si>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</si>
  <si>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</si>
  <si>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</si>
  <si>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</si>
  <si>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</si>
  <si>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</si>
  <si>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</si>
  <si>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</si>
  <si>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</si>
  <si>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</si>
  <si>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</si>
  <si>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</si>
  <si>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</si>
  <si>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</si>
  <si>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</si>
  <si>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</si>
  <si>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</si>
  <si>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</si>
  <si>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</si>
  <si>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</si>
  <si>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</si>
  <si>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</si>
  <si>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</si>
  <si>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</si>
  <si>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</si>
  <si>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</si>
  <si>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</si>
  <si>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</si>
  <si>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</si>
  <si>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</si>
  <si>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</si>
  <si>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</si>
  <si>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</si>
  <si>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</si>
  <si>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</si>
  <si>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</si>
  <si>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</si>
  <si>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</si>
  <si>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</si>
  <si>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</si>
  <si>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</si>
  <si>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</si>
  <si>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</si>
  <si>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</si>
  <si>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</si>
  <si>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</si>
  <si>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</si>
  <si>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</si>
  <si>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</si>
  <si>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</si>
  <si>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</si>
  <si>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</si>
  <si>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</si>
  <si>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</si>
  <si>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</si>
  <si>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</si>
  <si>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</si>
  <si>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</si>
  <si>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</si>
  <si>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</si>
  <si>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</si>
  <si>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</si>
  <si>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</si>
  <si>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</si>
  <si>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</si>
  <si>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</si>
  <si>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</si>
  <si>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</si>
  <si>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</si>
  <si>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</si>
  <si>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</si>
  <si>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</si>
  <si>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</si>
  <si>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</si>
  <si>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</si>
  <si>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</si>
  <si>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</si>
  <si>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</si>
  <si>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</si>
  <si>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</si>
  <si>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</si>
  <si>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</si>
  <si>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</si>
  <si>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</si>
  <si>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</si>
  <si>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</si>
  <si>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</si>
  <si>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</si>
  <si>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</si>
  <si>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</si>
  <si>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</si>
  <si>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</si>
  <si>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</si>
  <si>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</si>
  <si>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</si>
  <si>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</si>
  <si>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</si>
  <si>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</si>
  <si>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</si>
  <si>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</si>
  <si>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</si>
  <si>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</si>
  <si>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</si>
  <si>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</si>
  <si>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</si>
  <si>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</si>
  <si>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</si>
  <si>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</si>
  <si>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</si>
  <si>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</si>
  <si>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</si>
  <si>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</si>
  <si>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</si>
  <si>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</si>
  <si>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</si>
  <si>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</si>
  <si>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</si>
  <si>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</si>
  <si>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</si>
  <si>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</si>
  <si>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</si>
  <si>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</si>
  <si>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</si>
  <si>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</si>
  <si>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</si>
  <si>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</si>
  <si>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</si>
  <si>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</si>
  <si>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</si>
  <si>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</si>
  <si>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</si>
  <si>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</si>
  <si>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</si>
  <si>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</si>
  <si>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</si>
  <si>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</si>
  <si>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</si>
  <si>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</si>
  <si>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</si>
  <si>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</si>
  <si>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</si>
  <si>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</si>
  <si>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</si>
  <si>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</si>
  <si>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</si>
  <si>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</si>
  <si>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</si>
  <si>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</si>
  <si>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</si>
  <si>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</si>
  <si>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</si>
  <si>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</si>
  <si>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</si>
  <si>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</si>
  <si>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</si>
  <si>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</si>
  <si>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</si>
  <si>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</si>
  <si>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</si>
  <si>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</si>
  <si>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</si>
  <si>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</si>
  <si>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</si>
  <si>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</si>
  <si>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</si>
  <si>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</si>
  <si>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</si>
  <si>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</si>
  <si>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</si>
  <si>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</si>
  <si>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</si>
  <si>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</si>
  <si>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</si>
  <si>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</si>
  <si>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</si>
  <si>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</si>
  <si>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</si>
  <si>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</si>
  <si>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</si>
  <si>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</si>
  <si>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</si>
  <si>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</si>
  <si>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</si>
  <si>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</si>
  <si>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</si>
  <si>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</si>
  <si>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</si>
  <si>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</si>
  <si>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</si>
  <si>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</si>
  <si>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</si>
  <si>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</si>
  <si>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</si>
  <si>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</si>
  <si>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</si>
  <si>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</si>
  <si>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</si>
  <si>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</si>
  <si>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</si>
  <si>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</si>
  <si>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</si>
  <si>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</si>
  <si>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</si>
  <si>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</si>
  <si>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</si>
  <si>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</si>
  <si>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</si>
  <si>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</si>
  <si>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</si>
  <si>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</si>
  <si>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</si>
  <si>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</si>
  <si>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</si>
  <si>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</si>
  <si>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</si>
  <si>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</si>
  <si>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</si>
  <si>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</si>
  <si>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</si>
  <si>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</si>
  <si>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</si>
  <si>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</si>
  <si>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</si>
  <si>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</si>
  <si>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</si>
  <si>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</si>
  <si>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</si>
  <si>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</si>
  <si>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</si>
  <si>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</si>
  <si>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</si>
  <si>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</si>
  <si>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</si>
  <si>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</si>
  <si>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</si>
  <si>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</si>
  <si>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</si>
  <si>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</si>
  <si>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</si>
  <si>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</si>
  <si>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</si>
  <si>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</si>
  <si>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</si>
  <si>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</si>
  <si>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</si>
  <si>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</si>
  <si>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</si>
  <si>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</si>
  <si>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</si>
  <si>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</si>
  <si>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</si>
  <si>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</si>
  <si>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</si>
  <si>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</si>
  <si>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</si>
  <si>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</si>
  <si>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</si>
  <si>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</si>
  <si>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</si>
  <si>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</si>
  <si>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</si>
  <si>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</si>
  <si>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</si>
  <si>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</si>
  <si>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</si>
  <si>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</si>
  <si>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</si>
  <si>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</si>
  <si>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</si>
  <si>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</si>
  <si>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</si>
  <si>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</si>
  <si>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</si>
  <si>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</si>
  <si>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</si>
  <si>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</si>
  <si>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</si>
  <si>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</si>
  <si>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</si>
  <si>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</si>
  <si>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</si>
  <si>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</si>
  <si>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</si>
  <si>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</si>
  <si>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</si>
  <si>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</si>
  <si>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</si>
  <si>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</si>
  <si>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</si>
  <si>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</si>
  <si>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</si>
  <si>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</si>
  <si>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</si>
  <si>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</si>
  <si>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</si>
  <si>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</si>
  <si>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</si>
  <si>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</si>
  <si>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</si>
  <si>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</si>
  <si>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</si>
  <si>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</si>
  <si>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</si>
  <si>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</si>
  <si>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</si>
  <si>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</si>
  <si>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</si>
  <si>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</si>
  <si>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</si>
  <si>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</si>
  <si>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</si>
  <si>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</si>
  <si>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</si>
  <si>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</si>
  <si>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</si>
  <si>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</si>
  <si>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</si>
  <si>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</si>
  <si>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</si>
  <si>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</si>
  <si>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</si>
  <si>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</si>
  <si>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</si>
  <si>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</si>
  <si>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</si>
  <si>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</si>
  <si>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</si>
  <si>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</si>
  <si>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</si>
  <si>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</si>
  <si>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</si>
  <si>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</si>
  <si>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</si>
  <si>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</si>
  <si>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</si>
  <si>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</si>
  <si>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</si>
  <si>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</si>
  <si>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</si>
  <si>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</si>
  <si>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</si>
  <si>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</si>
  <si>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</si>
  <si>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</si>
  <si>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</si>
  <si>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</si>
  <si>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</si>
  <si>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</si>
  <si>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</si>
  <si>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</si>
  <si>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</si>
  <si>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</si>
  <si>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</si>
  <si>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</si>
  <si>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</si>
  <si>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</si>
  <si>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</si>
  <si>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</si>
  <si>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</si>
  <si>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</si>
  <si>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</si>
  <si>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</si>
  <si>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</si>
  <si>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</si>
  <si>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</si>
  <si>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</si>
  <si>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</si>
  <si>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</si>
  <si>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</si>
  <si>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</si>
  <si>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</si>
  <si>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</si>
  <si>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</si>
  <si>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</si>
  <si>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</si>
  <si>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</si>
  <si>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</si>
  <si>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</si>
  <si>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</si>
  <si>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</si>
  <si>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</si>
  <si>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</si>
  <si>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</si>
  <si>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</si>
  <si>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</si>
  <si>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</si>
  <si>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</si>
  <si>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</si>
  <si>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</si>
  <si>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</si>
  <si>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</si>
  <si>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</si>
  <si>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</si>
  <si>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</si>
  <si>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</si>
  <si>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</si>
  <si>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</si>
  <si>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</si>
  <si>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</si>
  <si>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</si>
  <si>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</si>
  <si>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</si>
  <si>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</si>
  <si>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</si>
  <si>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</si>
  <si>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</si>
  <si>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</si>
  <si>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</si>
  <si>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</si>
  <si>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</si>
  <si>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</si>
  <si>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</si>
  <si>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</si>
  <si>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</si>
  <si>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</si>
  <si>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</si>
  <si>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</si>
  <si>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</si>
  <si>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</si>
  <si>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</si>
  <si>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</si>
  <si>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</si>
  <si>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</si>
  <si>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</si>
  <si>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</si>
  <si>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</si>
  <si>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</si>
  <si>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</si>
  <si>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</si>
  <si>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</si>
  <si>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</si>
  <si>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</si>
  <si>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</si>
  <si>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</si>
  <si>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</si>
  <si>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</si>
  <si>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</si>
  <si>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</si>
  <si>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</si>
  <si>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</si>
  <si>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</si>
  <si>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</si>
  <si>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</si>
  <si>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</si>
  <si>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</si>
  <si>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</si>
  <si>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</si>
  <si>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</si>
  <si>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</si>
  <si>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</si>
  <si>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</si>
  <si>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</si>
  <si>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</si>
  <si>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</si>
  <si>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</si>
  <si>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</si>
  <si>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</si>
  <si>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</si>
  <si>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</si>
  <si>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</si>
  <si>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</si>
  <si>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</si>
  <si>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</si>
  <si>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</si>
  <si>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</si>
  <si>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</si>
  <si>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</si>
  <si>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</si>
  <si>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</si>
  <si>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</si>
  <si>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</si>
  <si>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</si>
  <si>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</si>
  <si>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</si>
  <si>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</si>
  <si>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</si>
  <si>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</si>
  <si>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</si>
  <si>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</si>
  <si>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</si>
  <si>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</si>
  <si>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</si>
  <si>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</si>
  <si>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</si>
  <si>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</si>
  <si>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</si>
  <si>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</si>
  <si>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</si>
  <si>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</si>
  <si>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</si>
  <si>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</si>
  <si>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</si>
  <si>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</si>
  <si>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</si>
  <si>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</si>
  <si>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</si>
  <si>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</si>
  <si>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</si>
  <si>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</si>
  <si>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</si>
  <si>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</si>
  <si>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</si>
  <si>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</si>
  <si>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</si>
  <si>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</si>
  <si>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</si>
  <si>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</si>
  <si>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</si>
  <si>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</si>
  <si>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</si>
  <si>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</si>
  <si>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</si>
  <si>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</si>
  <si>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</si>
  <si>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</si>
  <si>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</si>
  <si>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</si>
  <si>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</si>
  <si>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</si>
  <si>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</si>
  <si>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</si>
  <si>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</si>
  <si>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</si>
  <si>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</si>
  <si>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</si>
  <si>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</si>
  <si>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</si>
  <si>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</si>
  <si>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</si>
  <si>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</si>
  <si>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</si>
  <si>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</si>
  <si>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</si>
  <si>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</si>
  <si>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</si>
  <si>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</si>
  <si>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</si>
  <si>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</si>
  <si>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</si>
  <si>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</si>
  <si>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</si>
  <si>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</si>
  <si>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</si>
  <si>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</si>
  <si>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</si>
  <si>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</si>
  <si>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</si>
  <si>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</si>
  <si>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</si>
  <si>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</si>
  <si>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</si>
  <si>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</si>
  <si>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</si>
  <si>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</si>
  <si>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</si>
  <si>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</si>
  <si>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</si>
  <si>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</si>
  <si>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</si>
  <si>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</si>
  <si>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</si>
  <si>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</si>
  <si>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</si>
  <si>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</si>
  <si>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</si>
  <si>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</si>
  <si>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</si>
  <si>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</si>
  <si>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</si>
  <si>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</si>
  <si>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</si>
  <si>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</si>
  <si>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</si>
  <si>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</si>
  <si>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</si>
  <si>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</si>
  <si>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</si>
  <si>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</si>
  <si>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</si>
  <si>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</si>
  <si>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</si>
  <si>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</si>
  <si>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</si>
  <si>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</si>
  <si>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</si>
  <si>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</si>
  <si>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</si>
  <si>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</si>
  <si>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</si>
  <si>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</si>
  <si>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</si>
  <si>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</si>
  <si>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</si>
  <si>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</si>
  <si>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</si>
  <si>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</si>
  <si>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</si>
  <si>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</si>
  <si>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</si>
  <si>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</si>
  <si>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</si>
  <si>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</si>
  <si>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</si>
  <si>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</si>
  <si>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</si>
  <si>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</si>
  <si>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</si>
  <si>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</si>
  <si>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</si>
  <si>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</si>
  <si>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</si>
  <si>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</si>
  <si>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</si>
  <si>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</si>
  <si>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</si>
  <si>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</si>
  <si>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</si>
  <si>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</si>
  <si>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</si>
  <si>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</si>
  <si>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</si>
  <si>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</si>
  <si>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</si>
  <si>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</si>
  <si>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</si>
  <si>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</si>
  <si>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</si>
  <si>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</si>
  <si>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</si>
  <si>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</si>
  <si>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</si>
  <si>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</si>
  <si>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</si>
  <si>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</si>
  <si>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</si>
  <si>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</si>
  <si>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</si>
  <si>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</si>
  <si>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</si>
  <si>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</si>
  <si>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</si>
  <si>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</si>
  <si>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</si>
  <si>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</si>
  <si>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</si>
  <si>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</si>
  <si>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</si>
  <si>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</si>
  <si>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</si>
  <si>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</si>
  <si>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</si>
  <si>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</si>
  <si>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</si>
  <si>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</si>
  <si>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</si>
  <si>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</si>
  <si>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</si>
  <si>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</si>
  <si>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</si>
  <si>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</si>
  <si>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</si>
  <si>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</si>
  <si>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</si>
  <si>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</si>
  <si>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</si>
  <si>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</si>
  <si>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</si>
  <si>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</si>
  <si>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</si>
  <si>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</si>
  <si>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</si>
  <si>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</si>
  <si>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</si>
  <si>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</si>
  <si>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</si>
  <si>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</si>
  <si>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</si>
  <si>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</si>
  <si>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</si>
  <si>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</si>
  <si>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</si>
  <si>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</si>
  <si>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</si>
  <si>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</si>
  <si>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</si>
  <si>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</si>
  <si>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</si>
  <si>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</si>
  <si>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</si>
  <si>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</si>
  <si>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</si>
  <si>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</si>
  <si>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</si>
  <si>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</si>
  <si>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</si>
  <si>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</si>
  <si>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</si>
  <si>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</si>
  <si>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</si>
  <si>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</si>
  <si>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</si>
  <si>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</si>
  <si>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</si>
  <si>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</si>
  <si>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</si>
  <si>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</si>
  <si>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</si>
  <si>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</si>
  <si>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</si>
  <si>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</si>
  <si>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</si>
  <si>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</si>
  <si>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</si>
  <si>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</si>
  <si>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</si>
  <si>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</si>
  <si>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</si>
  <si>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</si>
  <si>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</si>
  <si>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</si>
  <si>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</si>
  <si>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</si>
  <si>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</si>
  <si>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</si>
  <si>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</si>
  <si>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</si>
  <si>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</si>
  <si>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</si>
  <si>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</si>
  <si>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</si>
  <si>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</si>
  <si>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</si>
  <si>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</si>
  <si>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</si>
  <si>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</si>
  <si>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</si>
  <si>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</si>
  <si>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</si>
  <si>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</si>
  <si>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</si>
  <si>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</si>
  <si>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</si>
  <si>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</si>
  <si>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</si>
  <si>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</si>
  <si>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</si>
  <si>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</si>
  <si>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</si>
  <si>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</si>
  <si>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</si>
  <si>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</si>
  <si>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</si>
  <si>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</si>
  <si>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</si>
  <si>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</si>
  <si>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</si>
  <si>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</si>
  <si>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</si>
  <si>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</si>
  <si>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</si>
  <si>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</si>
  <si>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</si>
  <si>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</si>
  <si>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</si>
  <si>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</si>
  <si>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</si>
  <si>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</si>
  <si>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</si>
  <si>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</si>
  <si>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</si>
  <si>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</si>
  <si>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</si>
  <si>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</si>
  <si>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</si>
  <si>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</si>
  <si>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</si>
  <si>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</si>
  <si>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</si>
  <si>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</si>
  <si>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</si>
  <si>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</si>
  <si>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</si>
  <si>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</si>
  <si>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</si>
  <si>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</si>
  <si>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</si>
  <si>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</si>
  <si>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</si>
  <si>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</si>
  <si>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</si>
  <si>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</si>
  <si>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</si>
  <si>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</si>
  <si>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</si>
  <si>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</si>
  <si>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</si>
  <si>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</si>
  <si>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</si>
  <si>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</si>
  <si>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</si>
  <si>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</si>
  <si>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</si>
  <si>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</si>
  <si>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</si>
  <si>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</si>
  <si>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</si>
  <si>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</si>
  <si>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</si>
  <si>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</si>
  <si>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</si>
  <si>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</si>
  <si>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</si>
  <si>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</si>
  <si>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</si>
  <si>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</si>
  <si>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</si>
  <si>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</si>
  <si>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</si>
  <si>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</si>
  <si>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</si>
  <si>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</si>
  <si>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</si>
  <si>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</si>
  <si>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</si>
  <si>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</si>
  <si>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</si>
  <si>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</si>
  <si>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</si>
  <si>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</si>
  <si>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</si>
  <si>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</si>
  <si>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</si>
  <si>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</si>
  <si>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</si>
  <si>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</si>
  <si>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</si>
  <si>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</si>
  <si>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</si>
  <si>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</si>
  <si>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</si>
  <si>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</si>
  <si>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</si>
  <si>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</si>
  <si>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</si>
  <si>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</si>
  <si>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</si>
  <si>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</si>
  <si>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</si>
  <si>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</si>
  <si>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</si>
  <si>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</si>
  <si>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</si>
  <si>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</si>
  <si>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</si>
  <si>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</si>
  <si>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</si>
  <si>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</si>
  <si>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</si>
  <si>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</si>
  <si>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</si>
  <si>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</si>
  <si>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</si>
  <si>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</si>
  <si>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</si>
  <si>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</si>
  <si>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</si>
  <si>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</si>
  <si>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</si>
  <si>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</si>
  <si>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</si>
  <si>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</si>
  <si>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</si>
  <si>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</si>
  <si>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</si>
  <si>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</si>
  <si>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</si>
  <si>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</si>
  <si>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</si>
  <si>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</si>
  <si>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</si>
  <si>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</si>
  <si>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</si>
  <si>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</si>
  <si>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</si>
  <si>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</si>
  <si>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</si>
  <si>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</si>
  <si>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</si>
  <si>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</si>
  <si>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</si>
  <si>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</si>
  <si>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</si>
  <si>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</si>
  <si>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</si>
  <si>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</si>
  <si>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</si>
  <si>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</si>
  <si>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</si>
  <si>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</si>
  <si>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</si>
  <si>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</si>
  <si>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</si>
  <si>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</si>
  <si>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</si>
  <si>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</si>
  <si>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</si>
  <si>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</si>
  <si>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</si>
  <si>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</si>
  <si>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</si>
  <si>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</si>
  <si>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</si>
  <si>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</si>
  <si>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</si>
  <si>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</si>
  <si>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</si>
  <si>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</si>
  <si>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</si>
  <si>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</si>
  <si>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</si>
  <si>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</si>
  <si>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</si>
  <si>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</si>
  <si>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</si>
  <si>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</si>
  <si>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</si>
  <si>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</si>
  <si>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</si>
  <si>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</si>
  <si>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</si>
  <si>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</si>
  <si>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</si>
  <si>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</si>
  <si>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</si>
  <si>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</si>
  <si>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</si>
  <si>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</si>
  <si>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</si>
  <si>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</si>
  <si>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</si>
  <si>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</si>
  <si>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</si>
  <si>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</si>
  <si>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</si>
  <si>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</si>
  <si>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</si>
  <si>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</si>
  <si>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</si>
  <si>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</si>
  <si>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</si>
  <si>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</si>
  <si>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</si>
  <si>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</si>
  <si>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</si>
  <si>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</si>
  <si>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</si>
  <si>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</si>
  <si>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</si>
  <si>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</si>
  <si>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</si>
  <si>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</si>
  <si>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</si>
  <si>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</si>
  <si>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</si>
  <si>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</si>
  <si>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</si>
  <si>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</si>
  <si>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</si>
  <si>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</si>
  <si>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</si>
  <si>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</si>
  <si>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</si>
  <si>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</si>
  <si>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</si>
  <si>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</si>
  <si>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</si>
  <si>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</si>
  <si>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</si>
  <si>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</si>
  <si>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</si>
  <si>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</si>
  <si>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</si>
  <si>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</si>
  <si>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</si>
  <si>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</si>
  <si>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</si>
  <si>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</si>
  <si>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</si>
  <si>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</si>
  <si>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</si>
  <si>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</si>
  <si>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</si>
  <si>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</si>
  <si>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</si>
  <si>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</si>
  <si>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</si>
  <si>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</si>
  <si>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</si>
  <si>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</si>
  <si>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</si>
  <si>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</si>
  <si>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</si>
  <si>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</si>
  <si>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</si>
  <si>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</si>
  <si>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</si>
  <si>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</si>
  <si>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</si>
  <si>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</si>
  <si>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</si>
  <si>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</si>
  <si>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</si>
  <si>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</si>
  <si>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</si>
  <si>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</si>
  <si>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</si>
  <si>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</si>
  <si>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</si>
  <si>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</si>
  <si>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</si>
  <si>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</si>
  <si>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</si>
  <si>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</si>
  <si>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</si>
  <si>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</si>
  <si>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</si>
  <si>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</si>
  <si>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</si>
  <si>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</si>
  <si>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</si>
  <si>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</si>
  <si>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</si>
  <si>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</si>
  <si>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</si>
  <si>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</si>
  <si>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</si>
  <si>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</si>
  <si>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</si>
  <si>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</si>
  <si>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</si>
  <si>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</si>
  <si>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</si>
  <si>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</si>
  <si>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</si>
  <si>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</si>
  <si>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</si>
  <si>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</si>
  <si>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</si>
  <si>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</si>
  <si>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</si>
  <si>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</si>
  <si>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</si>
  <si>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</si>
  <si>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</si>
  <si>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</si>
  <si>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</si>
  <si>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</si>
  <si>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</si>
  <si>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</si>
  <si>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</si>
  <si>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</si>
  <si>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</si>
  <si>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</si>
  <si>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</si>
  <si>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</si>
  <si>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</si>
  <si>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</si>
  <si>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</si>
  <si>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</si>
  <si>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</si>
  <si>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</si>
  <si>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</si>
  <si>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</si>
  <si>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</si>
  <si>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</si>
  <si>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</si>
  <si>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</si>
  <si>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</si>
  <si>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</si>
  <si>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</si>
  <si>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</si>
  <si>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</si>
  <si>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</si>
  <si>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</si>
  <si>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</si>
  <si>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</si>
  <si>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</si>
  <si>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</si>
  <si>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</si>
  <si>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</si>
  <si>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</si>
  <si>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</si>
  <si>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</si>
  <si>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</si>
  <si>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</si>
  <si>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</si>
  <si>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</si>
  <si>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</si>
  <si>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</si>
  <si>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</si>
  <si>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</si>
  <si>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</si>
  <si>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</si>
  <si>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</si>
  <si>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</si>
  <si>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</si>
  <si>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</si>
  <si>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</si>
  <si>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</si>
  <si>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</si>
  <si>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</si>
  <si>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</si>
  <si>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</si>
  <si>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</si>
  <si>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</si>
  <si>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</si>
  <si>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</si>
  <si>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</si>
  <si>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</si>
  <si>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</si>
  <si>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</si>
  <si>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</si>
  <si>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</si>
  <si>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</si>
  <si>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</si>
  <si>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</si>
  <si>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</si>
  <si>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</si>
  <si>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</si>
  <si>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</si>
  <si>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</si>
  <si>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</si>
  <si>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</si>
  <si>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</si>
  <si>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</si>
  <si>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</si>
  <si>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</si>
  <si>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</si>
  <si>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</si>
  <si>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</si>
  <si>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</si>
  <si>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</si>
  <si>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</si>
  <si>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</si>
  <si>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</si>
  <si>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</si>
  <si>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</si>
  <si>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</si>
  <si>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</si>
  <si>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</si>
  <si>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</si>
  <si>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</si>
  <si>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</si>
  <si>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</si>
  <si>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</si>
  <si>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</si>
  <si>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</si>
  <si>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</si>
  <si>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</si>
  <si>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</si>
  <si>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</si>
  <si>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</si>
  <si>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</si>
  <si>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</si>
  <si>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</si>
  <si>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</si>
  <si>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</si>
  <si>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</si>
  <si>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</si>
  <si>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</si>
  <si>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</si>
  <si>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</si>
  <si>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</si>
  <si>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</si>
  <si>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</si>
  <si>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</si>
  <si>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</si>
  <si>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</si>
  <si>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</si>
  <si>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</si>
  <si>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</si>
  <si>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</si>
  <si>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</si>
  <si>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</si>
  <si>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</si>
  <si>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</si>
  <si>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</si>
  <si>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</si>
  <si>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</si>
  <si>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</si>
  <si>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</si>
  <si>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</si>
  <si>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</si>
  <si>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</si>
  <si>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</si>
  <si>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</si>
  <si>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</si>
  <si>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</si>
  <si>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</si>
  <si>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</si>
  <si>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</si>
  <si>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</si>
  <si>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</si>
  <si>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E3</t>
  </si>
  <si>
    <t>Силовой трансформатор Т-1</t>
  </si>
  <si>
    <t>se0038</t>
  </si>
  <si>
    <t>E3-1</t>
  </si>
  <si>
    <t>E3-2</t>
  </si>
  <si>
    <t>Силовой трансформатор Т-2</t>
  </si>
  <si>
    <t>Шкаф АСУ ЭТО (E3CJU01)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</si>
  <si>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</si>
  <si>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</si>
  <si>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</si>
  <si>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</si>
  <si>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</si>
  <si>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</si>
  <si>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</si>
  <si>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</si>
  <si>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</si>
  <si>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</si>
  <si>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</si>
  <si>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E3-3</t>
  </si>
  <si>
    <t>se0039</t>
  </si>
  <si>
    <t>se0040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</si>
  <si>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</si>
  <si>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</si>
  <si>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</si>
  <si>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</si>
  <si>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</si>
  <si>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</si>
  <si>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</si>
  <si>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</si>
  <si>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</si>
  <si>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</si>
  <si>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</si>
  <si>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Switch</t>
  </si>
  <si>
    <t>Port</t>
  </si>
  <si>
    <t>SW3</t>
  </si>
  <si>
    <t>eth</t>
  </si>
  <si>
    <t>Сигналы с ячейки 5 (Ввод 1)</t>
  </si>
  <si>
    <t>Сигналы с ячейки 1 (Ввод 1 к ТСН-35 2ТП-1000/6/0,4 кВ аккумулирующей насосной)</t>
  </si>
  <si>
    <t>Сигналы с ячейки 2 (Ввод 1 к РУ-6 кВ здания расположения теплообменников)</t>
  </si>
  <si>
    <t>Сигналы с ячейки 3 (Ввод 1 к Т-1 2ТП-3200/6/0,4 кВ здания РУСН)</t>
  </si>
  <si>
    <t>Сигналы с ячейки 4 (Ввод к ТСН-1 здания РУСН)</t>
  </si>
  <si>
    <t>Сигналы с ячейки 6 (секционный выключатель I с.ш. РУ-6 кВ)</t>
  </si>
  <si>
    <t>Сигналы с ячейки 7 (секционный выключатель II с.ш. РУ-6 кВ)</t>
  </si>
  <si>
    <t>Сигналы с ячейки 9 (Ввод к ТСН-2 здания РУСН)</t>
  </si>
  <si>
    <t>Сигналы с ячейки 10 (Ввод 2 к Т-2 2ТП-3200/6/0,4 кВ здания РУСН)</t>
  </si>
  <si>
    <t>Сигналы с ячейки 11 (Ввод 2 к РУ-6 кВ здания расположения теплообменников)</t>
  </si>
  <si>
    <t>Сигналы с ячейки 12 (Ввод 2 к ТСН-36 2ТП-1000/6/0,4 кВ аккумулирующей насосной)</t>
  </si>
  <si>
    <t>F0AAT01</t>
  </si>
  <si>
    <t>F0AAT02</t>
  </si>
  <si>
    <t>F0CBB05</t>
  </si>
  <si>
    <t>F0CBB08</t>
  </si>
  <si>
    <t>F0CBB01</t>
  </si>
  <si>
    <t>F0CBB02</t>
  </si>
  <si>
    <t>F0CBB03</t>
  </si>
  <si>
    <t>F0CBB04</t>
  </si>
  <si>
    <t>F0CBB06</t>
  </si>
  <si>
    <t>F0CBB07</t>
  </si>
  <si>
    <t>F0CBB09</t>
  </si>
  <si>
    <t>F0CBB10</t>
  </si>
  <si>
    <t>F0CBB11</t>
  </si>
  <si>
    <t>F0CBB12</t>
  </si>
  <si>
    <t>F0AAT01CY001</t>
  </si>
  <si>
    <t>F0AAT01CY002</t>
  </si>
  <si>
    <t>F0AAT01CY003</t>
  </si>
  <si>
    <t>F0AAT01CY004</t>
  </si>
  <si>
    <t>F0AAT01CY005</t>
  </si>
  <si>
    <t>F0AAT01CY006</t>
  </si>
  <si>
    <t>F0AAT01CY007</t>
  </si>
  <si>
    <t>F0AAT01CY008</t>
  </si>
  <si>
    <t>F0AAT01CY009</t>
  </si>
  <si>
    <t>F0AAT01CY010</t>
  </si>
  <si>
    <t>F0AAT01CY011</t>
  </si>
  <si>
    <t>F0AAT02CY001</t>
  </si>
  <si>
    <t>F0AAT02CY002</t>
  </si>
  <si>
    <t>F0AAT02CY003</t>
  </si>
  <si>
    <t>F0AAT02CY004</t>
  </si>
  <si>
    <t>F0AAT02CY005</t>
  </si>
  <si>
    <t>F0AAT02CY006</t>
  </si>
  <si>
    <t>F0AAT02CY007</t>
  </si>
  <si>
    <t>F0AAT02CY008</t>
  </si>
  <si>
    <t>F0AAT02CY009</t>
  </si>
  <si>
    <t>F0AAT02CY010</t>
  </si>
  <si>
    <t>F0AAT02CY011</t>
  </si>
  <si>
    <t>Сигналы с ячейки 8 (Ввод 2)</t>
  </si>
  <si>
    <t>E3CJU01GH001</t>
  </si>
  <si>
    <t>E3CJU01GH002</t>
  </si>
  <si>
    <t>E3CJU01GH003</t>
  </si>
  <si>
    <t>E3CJU01GH004</t>
  </si>
  <si>
    <t>E3CJU01GH005</t>
  </si>
  <si>
    <t>E3CJU01GH006</t>
  </si>
  <si>
    <t>E3CJU01GH007</t>
  </si>
  <si>
    <t>Питание ввода №1 в норме (ЭТО)</t>
  </si>
  <si>
    <t>Питание ввода №2 в норме (ЭТО)</t>
  </si>
  <si>
    <t>Ввод 1 включен (ЭТО)</t>
  </si>
  <si>
    <t>Ввод 2 включен (ЭТО)</t>
  </si>
  <si>
    <t>Питание ИБП в норме (ЭТО)</t>
  </si>
  <si>
    <t>Дверь шкафа открыта (ЭТО)</t>
  </si>
  <si>
    <t>F0AAT01SA001</t>
  </si>
  <si>
    <t>Силовой трансформатор Т-1 не в норме</t>
  </si>
  <si>
    <t>SO1</t>
  </si>
  <si>
    <t>SO2</t>
  </si>
  <si>
    <t>SO3</t>
  </si>
  <si>
    <t>SO4</t>
  </si>
  <si>
    <t>SO5</t>
  </si>
  <si>
    <t>SO6</t>
  </si>
  <si>
    <t>SO7</t>
  </si>
  <si>
    <t>Силовой трансформатор Т-2 не в норме</t>
  </si>
  <si>
    <t>Силовой трансформатор Т-3 не в норме</t>
  </si>
  <si>
    <t>Силовой трансформатор Т-4 не в норме</t>
  </si>
  <si>
    <t>Силовой трансформатор ТСН-35 не в норме</t>
  </si>
  <si>
    <t>Силовой трансформатор ТСН-36 не в норме</t>
  </si>
  <si>
    <t>N1AAT01SA001</t>
  </si>
  <si>
    <t>F0AAT02SA001</t>
  </si>
  <si>
    <t>N1AAT02SA001</t>
  </si>
  <si>
    <t>N2AAT02SA001</t>
  </si>
  <si>
    <t>N2AAT01SA001</t>
  </si>
  <si>
    <t>Звуковая сигнализация</t>
  </si>
  <si>
    <t>E3CJU01YH001</t>
  </si>
  <si>
    <t>E3CJU01XH001</t>
  </si>
  <si>
    <t>Сброс звуковой сигнализации</t>
  </si>
  <si>
    <t>Ko-01</t>
  </si>
  <si>
    <t>Ko-02</t>
  </si>
  <si>
    <t>Ko-03</t>
  </si>
  <si>
    <t>Ko-04</t>
  </si>
  <si>
    <t>Ko-05</t>
  </si>
  <si>
    <t>Ko-06</t>
  </si>
  <si>
    <t>Ko-07</t>
  </si>
  <si>
    <t>HL10</t>
  </si>
  <si>
    <t>HL11</t>
  </si>
  <si>
    <t>HL12</t>
  </si>
  <si>
    <t>HL13</t>
  </si>
  <si>
    <t>HL14</t>
  </si>
  <si>
    <t>HL15</t>
  </si>
  <si>
    <t>HL16</t>
  </si>
  <si>
    <t>SB1</t>
  </si>
  <si>
    <t>РУ-6 кВ ВК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</si>
  <si>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</si>
  <si>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</si>
  <si>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</si>
  <si>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</si>
  <si>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</si>
  <si>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</si>
  <si>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</si>
  <si>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</si>
  <si>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датчиков 24в включено (ЭТО)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</si>
</sst>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0"/>
  <sheetViews>
    <sheetView tabSelected="1" zoomScale="85" zoomScaleNormal="85" workbookViewId="0">
      <pane ySplit="1" topLeftCell="A2" activePane="bottomLeft" state="frozen"/>
      <selection pane="bottomLeft" activeCell="X24" sqref="X24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9" bestFit="1" customWidth="1"/>
    <col min="36" max="36" width="8.7109375" style="59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8" t="s">
        <v>1791</v>
      </c>
      <c r="AJ1" s="58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1996</v>
      </c>
      <c r="VP1" s="20" t="s">
        <v>1997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1998</v>
      </c>
      <c r="WP1" s="19" t="s">
        <v>1999</v>
      </c>
      <c r="WQ1" s="20" t="s">
        <v>2000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2019</v>
      </c>
      <c r="XR1" t="s">
        <v>2018</v>
      </c>
      <c r="XS1" t="s">
        <v>2020</v>
      </c>
      <c r="XT1" t="s">
        <v>2017</v>
      </c>
      <c r="XU1" t="s">
        <v>2021</v>
      </c>
      <c r="XV1" t="s">
        <v>2016</v>
      </c>
      <c r="XW1" t="s">
        <v>2022</v>
      </c>
      <c r="XX1" t="s">
        <v>2015</v>
      </c>
      <c r="XY1" t="s">
        <v>2023</v>
      </c>
      <c r="XZ1" t="s">
        <v>2014</v>
      </c>
      <c r="YA1" t="s">
        <v>2013</v>
      </c>
      <c r="YB1" t="s">
        <v>2012</v>
      </c>
      <c r="YC1" t="s">
        <v>2011</v>
      </c>
      <c r="YD1" t="s">
        <v>2010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2025</v>
      </c>
      <c r="YL1" t="s">
        <v>2024</v>
      </c>
      <c r="YM1" t="s">
        <v>2027</v>
      </c>
      <c r="YN1" t="s">
        <v>2026</v>
      </c>
      <c r="YO1" t="s">
        <v>2029</v>
      </c>
      <c r="YP1" t="s">
        <v>2028</v>
      </c>
      <c r="YQ1" t="s">
        <v>2031</v>
      </c>
      <c r="YR1" t="s">
        <v>2030</v>
      </c>
      <c r="YS1" t="s">
        <v>2033</v>
      </c>
      <c r="YT1" t="s">
        <v>2032</v>
      </c>
      <c r="YU1" t="s">
        <v>2035</v>
      </c>
      <c r="YV1" t="s">
        <v>2034</v>
      </c>
      <c r="YW1" t="s">
        <v>2036</v>
      </c>
      <c r="YX1" t="s">
        <v>2037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2038</v>
      </c>
      <c r="ZI1" t="s">
        <v>2039</v>
      </c>
      <c r="ZJ1" t="s">
        <v>82</v>
      </c>
      <c r="ZK1" t="s">
        <v>2040</v>
      </c>
      <c r="ZL1" t="s">
        <v>83</v>
      </c>
      <c r="ZM1" t="s">
        <v>2041</v>
      </c>
      <c r="ZN1" t="s">
        <v>84</v>
      </c>
      <c r="ZO1" t="s">
        <v>2042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2043</v>
      </c>
      <c r="AAB1" t="s">
        <v>2044</v>
      </c>
      <c r="AAC1" t="s">
        <v>1996</v>
      </c>
      <c r="AAD1" t="s">
        <v>1997</v>
      </c>
      <c r="AAE1" t="s">
        <v>2045</v>
      </c>
      <c r="AAF1" t="s">
        <v>2046</v>
      </c>
      <c r="AAG1" t="s">
        <v>2047</v>
      </c>
      <c r="AAH1" t="s">
        <v>2048</v>
      </c>
      <c r="AAI1" t="s">
        <v>2049</v>
      </c>
      <c r="AAJ1" t="s">
        <v>2050</v>
      </c>
      <c r="AAK1" t="s">
        <v>2051</v>
      </c>
      <c r="AAL1" t="s">
        <v>2052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2053</v>
      </c>
      <c r="ABC1" t="s">
        <v>2054</v>
      </c>
      <c r="ABD1" t="s">
        <v>2055</v>
      </c>
      <c r="ABE1" t="s">
        <v>2056</v>
      </c>
      <c r="ABF1" t="s">
        <v>2057</v>
      </c>
      <c r="ABG1" s="16" t="s">
        <v>2058</v>
      </c>
      <c r="ABH1" s="19" t="s">
        <v>1996</v>
      </c>
      <c r="ABI1" s="20" t="s">
        <v>1997</v>
      </c>
      <c r="ABJ1" s="19" t="s">
        <v>2045</v>
      </c>
      <c r="ABK1" s="19" t="s">
        <v>2046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2059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2060</v>
      </c>
      <c r="ADX1" s="42" t="s">
        <v>2061</v>
      </c>
      <c r="ADY1" s="42" t="s">
        <v>2062</v>
      </c>
      <c r="ADZ1" s="42" t="s">
        <v>924</v>
      </c>
      <c r="AEA1" s="52" t="s">
        <v>925</v>
      </c>
      <c r="AEB1" s="53" t="s">
        <v>2095</v>
      </c>
      <c r="AEC1" s="42" t="s">
        <v>2096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0" t="s">
        <v>859</v>
      </c>
      <c r="AEO1" s="60" t="s">
        <v>858</v>
      </c>
      <c r="AEP1" s="60" t="s">
        <v>404</v>
      </c>
      <c r="AEQ1" s="60" t="s">
        <v>862</v>
      </c>
      <c r="AER1" s="60" t="s">
        <v>863</v>
      </c>
    </row>
    <row r="2" spans="1:824" ht="15.75" thickBot="1" x14ac:dyDescent="0.3">
      <c r="A2" t="s">
        <v>2110</v>
      </c>
      <c r="B2" t="s">
        <v>2064</v>
      </c>
      <c r="P2" t="s">
        <v>2065</v>
      </c>
      <c r="T2" s="14" t="s">
        <v>2063</v>
      </c>
      <c r="U2">
        <v>1</v>
      </c>
      <c r="V2" s="15"/>
      <c r="W2" t="s">
        <v>2066</v>
      </c>
      <c r="X2" t="s">
        <v>400</v>
      </c>
      <c r="Y2" s="43" t="str">
        <f t="array" ref="Y2">IF(COUNTIFS($X$2:$X2,$X2)=1,"1",VALUE(SUBSTITUTE(INDEX(Y:Y,_xlfn.XMATCH($X2,$X$1:$X1,0,-1)),"A",""))+INDEX(Z:Z,_xlfn.XMATCH($X2,$X$1:$X1,0,-1))+1)</f>
        <v>1</v>
      </c>
      <c r="Z2" s="43">
        <f t="array" ref="Z2">SUM(IF(ISNUMBER(FIND("TmAi",$BE$1:$AAQ$1)),IF(IFERROR(ISODD(SUBSTITUTE($BE2:$AAQ2,"A","")),FALSE),IF(ISODD(SUBSTITUTE($BE2:$AAQ2,"A","")),1,0),0)))</f>
        <v>10</v>
      </c>
      <c r="AA2" t="str">
        <f>CONCATENATE($Y2*2-1,"A")</f>
        <v>1A</v>
      </c>
      <c r="AB2" t="str">
        <f>CONCATENATE($Y2*2-1,"B")</f>
        <v>1B</v>
      </c>
      <c r="AP2" t="s">
        <v>2069</v>
      </c>
      <c r="AS2" t="s">
        <v>396</v>
      </c>
      <c r="JZ2" s="27"/>
      <c r="KS2" s="16"/>
      <c r="MA2" t="str">
        <f t="shared" ref="MA2:MA30" si="0">CONCATENATE("DI",REPLACE($AC2,1,3,""),"-",$AG2)</f>
        <v>DI-</v>
      </c>
      <c r="QE2" s="25" t="str">
        <f>REPLACE(X2,FIND(".",X2)+1,3,MID(X2,FIND(".",X2)+1,3)+1)</f>
        <v>A3.2</v>
      </c>
      <c r="QF2" s="12" t="str">
        <f>CONCATENATE(VALUE(SUBSTITUTE($AB2,"B",""))+2,"B")</f>
        <v>3B</v>
      </c>
      <c r="QG2" s="12" t="str">
        <f>CONCATENATE(VALUE(SUBSTITUTE($AA2,"A",""))+2,"A")</f>
        <v>3A</v>
      </c>
      <c r="QH2" s="12" t="str">
        <f>CONCATENATE(VALUE(SUBSTITUTE(QF2,"B",""))+2,"B")</f>
        <v>5B</v>
      </c>
      <c r="QI2" s="12" t="str">
        <f>CONCATENATE(VALUE(SUBSTITUTE(QG2,"A",""))+2,"A")</f>
        <v>5A</v>
      </c>
      <c r="QJ2" s="12" t="str">
        <f>CONCATENATE(VALUE(SUBSTITUTE(QH2,"B",""))+2,"B")</f>
        <v>7B</v>
      </c>
      <c r="QK2" s="12" t="str">
        <f>CONCATENATE(VALUE(SUBSTITUTE(QI2,"A",""))+2,"A")</f>
        <v>7A</v>
      </c>
      <c r="QL2" s="12" t="str">
        <f>CONCATENATE(VALUE(SUBSTITUTE(QJ2,"B",""))+2,"B")</f>
        <v>9B</v>
      </c>
      <c r="QM2" s="12" t="str">
        <f>CONCATENATE(VALUE(SUBSTITUTE(QK2,"A",""))+2,"A")</f>
        <v>9A</v>
      </c>
      <c r="QN2" s="12" t="str">
        <f>CONCATENATE(VALUE(SUBSTITUTE(QL2,"B",""))+2,"B")</f>
        <v>11B</v>
      </c>
      <c r="QO2" s="12" t="str">
        <f>CONCATENATE(VALUE(SUBSTITUTE(QM2,"A",""))+2,"A")</f>
        <v>11A</v>
      </c>
      <c r="QP2" s="12" t="s">
        <v>135</v>
      </c>
      <c r="QQ2" s="12" t="s">
        <v>136</v>
      </c>
      <c r="QR2" s="12" t="str">
        <f>CONCATENATE(VALUE(SUBSTITUTE(QP2,"B",""))+2,"B")</f>
        <v>3B</v>
      </c>
      <c r="QS2" s="12" t="str">
        <f>CONCATENATE(VALUE(SUBSTITUTE(QQ2,"A",""))+2,"A")</f>
        <v>3A</v>
      </c>
      <c r="QT2" s="12" t="str">
        <f>CONCATENATE(VALUE(SUBSTITUTE(QR2,"B",""))+2,"B")</f>
        <v>5B</v>
      </c>
      <c r="QU2" s="12" t="str">
        <f>CONCATENATE(VALUE(SUBSTITUTE(QS2,"A",""))+2,"A")</f>
        <v>5A</v>
      </c>
      <c r="QV2" s="12" t="str">
        <f>CONCATENATE(VALUE(SUBSTITUTE(QT2,"B",""))+2,"B")</f>
        <v>7B</v>
      </c>
      <c r="QW2" s="12" t="str">
        <f>CONCATENATE(VALUE(SUBSTITUTE(QU2,"A",""))+2,"A")</f>
        <v>7A</v>
      </c>
      <c r="QX2" s="12" t="str">
        <f>CONCATENATE(VALUE(SUBSTITUTE(QV2,"B",""))+2,"B")</f>
        <v>9B</v>
      </c>
      <c r="QY2" s="12" t="str">
        <f>CONCATENATE(VALUE(SUBSTITUTE(QW2,"A",""))+2,"A")</f>
        <v>9A</v>
      </c>
      <c r="QZ2" s="12"/>
      <c r="RA2" s="12"/>
      <c r="RB2" s="12" t="str">
        <f>CONCATENATE($T2,"-AI",REPLACE($X2,1,3,""),"-",AB2)</f>
        <v>E3-AI1-1B</v>
      </c>
      <c r="RC2" s="12" t="str">
        <f>CONCATENATE($T2,"-AI",REPLACE($X2,1,3,""),"-",AA2)</f>
        <v>E3-AI1-1A</v>
      </c>
      <c r="RD2" s="12" t="str">
        <f t="shared" ref="RD2:RM3" si="1">CONCATENATE($T2,"-AI",REPLACE($X2,1,3,""),"-",QF2)</f>
        <v>E3-AI1-3B</v>
      </c>
      <c r="RE2" s="12" t="str">
        <f t="shared" si="1"/>
        <v>E3-AI1-3A</v>
      </c>
      <c r="RF2" s="12" t="str">
        <f t="shared" si="1"/>
        <v>E3-AI1-5B</v>
      </c>
      <c r="RG2" s="12" t="str">
        <f t="shared" si="1"/>
        <v>E3-AI1-5A</v>
      </c>
      <c r="RH2" s="12" t="str">
        <f t="shared" si="1"/>
        <v>E3-AI1-7B</v>
      </c>
      <c r="RI2" s="12" t="str">
        <f t="shared" si="1"/>
        <v>E3-AI1-7A</v>
      </c>
      <c r="RJ2" s="12" t="str">
        <f t="shared" si="1"/>
        <v>E3-AI1-9B</v>
      </c>
      <c r="RK2" s="12" t="str">
        <f t="shared" si="1"/>
        <v>E3-AI1-9A</v>
      </c>
      <c r="RL2" s="12" t="str">
        <f t="shared" si="1"/>
        <v>E3-AI1-11B</v>
      </c>
      <c r="RM2" s="12" t="str">
        <f t="shared" si="1"/>
        <v>E3-AI1-11A</v>
      </c>
      <c r="RN2" s="12" t="str">
        <f t="shared" ref="RN2:RW3" si="2">CONCATENATE($T2,"-AI",REPLACE($QE2,1,3,""),"-",QP2)</f>
        <v>E3-AI2-1B</v>
      </c>
      <c r="RO2" s="12" t="str">
        <f t="shared" si="2"/>
        <v>E3-AI2-1A</v>
      </c>
      <c r="RP2" s="12" t="str">
        <f t="shared" si="2"/>
        <v>E3-AI2-3B</v>
      </c>
      <c r="RQ2" s="12" t="str">
        <f t="shared" si="2"/>
        <v>E3-AI2-3A</v>
      </c>
      <c r="RR2" s="12" t="str">
        <f t="shared" si="2"/>
        <v>E3-AI2-5B</v>
      </c>
      <c r="RS2" s="12" t="str">
        <f t="shared" si="2"/>
        <v>E3-AI2-5A</v>
      </c>
      <c r="RT2" s="12" t="str">
        <f t="shared" si="2"/>
        <v>E3-AI2-7B</v>
      </c>
      <c r="RU2" s="12" t="str">
        <f t="shared" si="2"/>
        <v>E3-AI2-7A</v>
      </c>
      <c r="RV2" s="12" t="str">
        <f t="shared" si="2"/>
        <v>E3-AI2-9B</v>
      </c>
      <c r="RW2" s="12" t="str">
        <f t="shared" si="2"/>
        <v>E3-AI2-9A</v>
      </c>
      <c r="RX2" s="12"/>
      <c r="RY2" s="12"/>
      <c r="RZ2" s="12" t="str">
        <f>CONCATENATE("XT",$U2)</f>
        <v>XT1</v>
      </c>
      <c r="SA2" s="12">
        <v>1</v>
      </c>
      <c r="SB2" s="12">
        <f t="shared" ref="SB2:SW2" si="3">SA2+1</f>
        <v>2</v>
      </c>
      <c r="SC2" s="12">
        <f t="shared" si="3"/>
        <v>3</v>
      </c>
      <c r="SD2" s="12">
        <f t="shared" si="3"/>
        <v>4</v>
      </c>
      <c r="SE2" s="12">
        <f t="shared" si="3"/>
        <v>5</v>
      </c>
      <c r="SF2" s="12">
        <f t="shared" si="3"/>
        <v>6</v>
      </c>
      <c r="SG2" s="12">
        <f t="shared" si="3"/>
        <v>7</v>
      </c>
      <c r="SH2" s="12">
        <f t="shared" si="3"/>
        <v>8</v>
      </c>
      <c r="SI2" s="12">
        <f t="shared" si="3"/>
        <v>9</v>
      </c>
      <c r="SJ2" s="12">
        <f t="shared" si="3"/>
        <v>10</v>
      </c>
      <c r="SK2" s="12">
        <f t="shared" si="3"/>
        <v>11</v>
      </c>
      <c r="SL2" s="12">
        <f t="shared" si="3"/>
        <v>12</v>
      </c>
      <c r="SM2" s="12">
        <f t="shared" si="3"/>
        <v>13</v>
      </c>
      <c r="SN2" s="12">
        <f t="shared" si="3"/>
        <v>14</v>
      </c>
      <c r="SO2" s="12">
        <f t="shared" si="3"/>
        <v>15</v>
      </c>
      <c r="SP2" s="12">
        <f t="shared" si="3"/>
        <v>16</v>
      </c>
      <c r="SQ2" s="12">
        <f t="shared" si="3"/>
        <v>17</v>
      </c>
      <c r="SR2" s="12">
        <f t="shared" si="3"/>
        <v>18</v>
      </c>
      <c r="SS2" s="12">
        <f t="shared" si="3"/>
        <v>19</v>
      </c>
      <c r="ST2" s="12">
        <f t="shared" si="3"/>
        <v>20</v>
      </c>
      <c r="SU2" s="12">
        <f t="shared" si="3"/>
        <v>21</v>
      </c>
      <c r="SV2" s="12">
        <f t="shared" si="3"/>
        <v>22</v>
      </c>
      <c r="SW2" s="12">
        <f t="shared" si="3"/>
        <v>23</v>
      </c>
      <c r="SX2" s="12"/>
      <c r="SY2" s="12"/>
      <c r="SZ2" s="12" t="s">
        <v>2124</v>
      </c>
      <c r="TA2" s="12" t="s">
        <v>2125</v>
      </c>
      <c r="TB2" s="12" t="s">
        <v>2126</v>
      </c>
      <c r="TC2" s="12" t="s">
        <v>2127</v>
      </c>
      <c r="TD2" s="12" t="s">
        <v>2128</v>
      </c>
      <c r="TE2" s="12" t="s">
        <v>2129</v>
      </c>
      <c r="TF2" s="12" t="s">
        <v>2130</v>
      </c>
      <c r="TG2" s="12" t="s">
        <v>2131</v>
      </c>
      <c r="TH2" s="12" t="s">
        <v>2132</v>
      </c>
      <c r="TI2" s="12" t="s">
        <v>2133</v>
      </c>
      <c r="TJ2" s="12" t="s">
        <v>2134</v>
      </c>
      <c r="TK2" s="12"/>
      <c r="TL2" s="12" t="s">
        <v>2070</v>
      </c>
      <c r="TM2" s="12" t="s">
        <v>2071</v>
      </c>
      <c r="TN2" s="12" t="s">
        <v>2072</v>
      </c>
      <c r="TO2" s="12" t="s">
        <v>2073</v>
      </c>
      <c r="TP2" s="12" t="s">
        <v>2074</v>
      </c>
      <c r="TQ2" s="12" t="s">
        <v>2075</v>
      </c>
      <c r="TR2" s="12" t="s">
        <v>2076</v>
      </c>
      <c r="TS2" s="12" t="s">
        <v>2077</v>
      </c>
      <c r="TT2" s="12" t="s">
        <v>2078</v>
      </c>
      <c r="TU2" s="12" t="s">
        <v>2079</v>
      </c>
      <c r="TV2" s="12" t="s">
        <v>2080</v>
      </c>
      <c r="TW2" s="13"/>
    </row>
    <row r="3" spans="1:824" ht="15.75" thickBot="1" x14ac:dyDescent="0.3">
      <c r="A3" t="s">
        <v>2111</v>
      </c>
      <c r="B3" t="s">
        <v>2068</v>
      </c>
      <c r="P3" t="s">
        <v>2065</v>
      </c>
      <c r="T3" s="14" t="s">
        <v>2063</v>
      </c>
      <c r="U3">
        <v>2</v>
      </c>
      <c r="V3" s="15"/>
      <c r="W3" t="s">
        <v>2067</v>
      </c>
      <c r="X3" t="s">
        <v>484</v>
      </c>
      <c r="Y3" s="43" t="str">
        <f t="array" ref="Y3">IF(COUNTIFS($X$2:$X3,$X3)=1,"1",VALUE(SUBSTITUTE(INDEX(Y:Y,_xlfn.XMATCH($X3,$X$1:$X2,0,-1)),"A",""))+INDEX(Z:Z,_xlfn.XMATCH($X3,$X$1:$X2,0,-1))+1)</f>
        <v>1</v>
      </c>
      <c r="Z3" s="43">
        <f t="array" ref="Z3">SUM(IF(ISNUMBER(FIND("TmAi",$BE$1:$AAQ$1)),IF(IFERROR(ISODD(SUBSTITUTE($BE3:$AAQ3,"A","")),FALSE),IF(ISODD(SUBSTITUTE($BE3:$AAQ3,"A","")),1,0),0)))</f>
        <v>10</v>
      </c>
      <c r="AA3" t="str">
        <f>CONCATENATE($Y3*2-1,"A")</f>
        <v>1A</v>
      </c>
      <c r="AB3" t="str">
        <f>CONCATENATE($Y3*2-1,"B")</f>
        <v>1B</v>
      </c>
      <c r="AP3" t="s">
        <v>2069</v>
      </c>
      <c r="AS3" t="s">
        <v>396</v>
      </c>
      <c r="JZ3" s="27"/>
      <c r="KS3" s="16"/>
      <c r="MA3" t="str">
        <f t="shared" si="0"/>
        <v>DI-</v>
      </c>
      <c r="QE3" s="25" t="str">
        <f>REPLACE(X3,FIND(".",X3)+1,3,MID(X3,FIND(".",X3)+1,3)+1)</f>
        <v>A3.4</v>
      </c>
      <c r="QF3" s="12" t="str">
        <f>CONCATENATE(VALUE(SUBSTITUTE($AB3,"B",""))+2,"B")</f>
        <v>3B</v>
      </c>
      <c r="QG3" s="12" t="str">
        <f>CONCATENATE(VALUE(SUBSTITUTE($AA3,"A",""))+2,"A")</f>
        <v>3A</v>
      </c>
      <c r="QH3" s="12" t="str">
        <f>CONCATENATE(VALUE(SUBSTITUTE(QF3,"B",""))+2,"B")</f>
        <v>5B</v>
      </c>
      <c r="QI3" s="12" t="str">
        <f>CONCATENATE(VALUE(SUBSTITUTE(QG3,"A",""))+2,"A")</f>
        <v>5A</v>
      </c>
      <c r="QJ3" s="12" t="str">
        <f>CONCATENATE(VALUE(SUBSTITUTE(QH3,"B",""))+2,"B")</f>
        <v>7B</v>
      </c>
      <c r="QK3" s="12" t="str">
        <f>CONCATENATE(VALUE(SUBSTITUTE(QI3,"A",""))+2,"A")</f>
        <v>7A</v>
      </c>
      <c r="QL3" s="12" t="str">
        <f>CONCATENATE(VALUE(SUBSTITUTE(QJ3,"B",""))+2,"B")</f>
        <v>9B</v>
      </c>
      <c r="QM3" s="12" t="str">
        <f>CONCATENATE(VALUE(SUBSTITUTE(QK3,"A",""))+2,"A")</f>
        <v>9A</v>
      </c>
      <c r="QN3" s="12" t="str">
        <f>CONCATENATE(VALUE(SUBSTITUTE(QL3,"B",""))+2,"B")</f>
        <v>11B</v>
      </c>
      <c r="QO3" s="12" t="str">
        <f>CONCATENATE(VALUE(SUBSTITUTE(QM3,"A",""))+2,"A")</f>
        <v>11A</v>
      </c>
      <c r="QP3" s="12" t="s">
        <v>135</v>
      </c>
      <c r="QQ3" s="12" t="s">
        <v>136</v>
      </c>
      <c r="QR3" s="12" t="str">
        <f>CONCATENATE(VALUE(SUBSTITUTE(QP3,"B",""))+2,"B")</f>
        <v>3B</v>
      </c>
      <c r="QS3" s="12" t="str">
        <f>CONCATENATE(VALUE(SUBSTITUTE(QQ3,"A",""))+2,"A")</f>
        <v>3A</v>
      </c>
      <c r="QT3" s="12" t="str">
        <f>CONCATENATE(VALUE(SUBSTITUTE(QR3,"B",""))+2,"B")</f>
        <v>5B</v>
      </c>
      <c r="QU3" s="12" t="str">
        <f>CONCATENATE(VALUE(SUBSTITUTE(QS3,"A",""))+2,"A")</f>
        <v>5A</v>
      </c>
      <c r="QV3" s="12" t="str">
        <f>CONCATENATE(VALUE(SUBSTITUTE(QT3,"B",""))+2,"B")</f>
        <v>7B</v>
      </c>
      <c r="QW3" s="12" t="str">
        <f>CONCATENATE(VALUE(SUBSTITUTE(QU3,"A",""))+2,"A")</f>
        <v>7A</v>
      </c>
      <c r="QX3" s="12" t="str">
        <f>CONCATENATE(VALUE(SUBSTITUTE(QV3,"B",""))+2,"B")</f>
        <v>9B</v>
      </c>
      <c r="QY3" s="12" t="str">
        <f>CONCATENATE(VALUE(SUBSTITUTE(QW3,"A",""))+2,"A")</f>
        <v>9A</v>
      </c>
      <c r="QZ3" s="12"/>
      <c r="RA3" s="12"/>
      <c r="RB3" s="12" t="str">
        <f>CONCATENATE($T3,"-AI",REPLACE($X3,1,3,""),"-",AB3)</f>
        <v>E3-AI3-1B</v>
      </c>
      <c r="RC3" s="12" t="str">
        <f>CONCATENATE($T3,"-AI",REPLACE($X3,1,3,""),"-",AA3)</f>
        <v>E3-AI3-1A</v>
      </c>
      <c r="RD3" s="12" t="str">
        <f t="shared" si="1"/>
        <v>E3-AI3-3B</v>
      </c>
      <c r="RE3" s="12" t="str">
        <f t="shared" si="1"/>
        <v>E3-AI3-3A</v>
      </c>
      <c r="RF3" s="12" t="str">
        <f t="shared" si="1"/>
        <v>E3-AI3-5B</v>
      </c>
      <c r="RG3" s="12" t="str">
        <f t="shared" si="1"/>
        <v>E3-AI3-5A</v>
      </c>
      <c r="RH3" s="12" t="str">
        <f t="shared" si="1"/>
        <v>E3-AI3-7B</v>
      </c>
      <c r="RI3" s="12" t="str">
        <f t="shared" si="1"/>
        <v>E3-AI3-7A</v>
      </c>
      <c r="RJ3" s="12" t="str">
        <f t="shared" si="1"/>
        <v>E3-AI3-9B</v>
      </c>
      <c r="RK3" s="12" t="str">
        <f t="shared" si="1"/>
        <v>E3-AI3-9A</v>
      </c>
      <c r="RL3" s="12" t="str">
        <f t="shared" si="1"/>
        <v>E3-AI3-11B</v>
      </c>
      <c r="RM3" s="12" t="str">
        <f t="shared" si="1"/>
        <v>E3-AI3-11A</v>
      </c>
      <c r="RN3" s="12" t="str">
        <f t="shared" si="2"/>
        <v>E3-AI4-1B</v>
      </c>
      <c r="RO3" s="12" t="str">
        <f t="shared" si="2"/>
        <v>E3-AI4-1A</v>
      </c>
      <c r="RP3" s="12" t="str">
        <f t="shared" si="2"/>
        <v>E3-AI4-3B</v>
      </c>
      <c r="RQ3" s="12" t="str">
        <f t="shared" si="2"/>
        <v>E3-AI4-3A</v>
      </c>
      <c r="RR3" s="12" t="str">
        <f t="shared" si="2"/>
        <v>E3-AI4-5B</v>
      </c>
      <c r="RS3" s="12" t="str">
        <f t="shared" si="2"/>
        <v>E3-AI4-5A</v>
      </c>
      <c r="RT3" s="12" t="str">
        <f t="shared" si="2"/>
        <v>E3-AI4-7B</v>
      </c>
      <c r="RU3" s="12" t="str">
        <f t="shared" si="2"/>
        <v>E3-AI4-7A</v>
      </c>
      <c r="RV3" s="12" t="str">
        <f t="shared" si="2"/>
        <v>E3-AI4-9B</v>
      </c>
      <c r="RW3" s="12" t="str">
        <f t="shared" si="2"/>
        <v>E3-AI4-9A</v>
      </c>
      <c r="RX3" s="12"/>
      <c r="RY3" s="12"/>
      <c r="RZ3" s="12" t="str">
        <f>CONCATENATE("XT",$U3)</f>
        <v>XT2</v>
      </c>
      <c r="SA3" s="12">
        <v>1</v>
      </c>
      <c r="SB3" s="12">
        <f t="shared" ref="SB3:SW3" si="4">SA3+1</f>
        <v>2</v>
      </c>
      <c r="SC3" s="12">
        <f t="shared" si="4"/>
        <v>3</v>
      </c>
      <c r="SD3" s="12">
        <f t="shared" si="4"/>
        <v>4</v>
      </c>
      <c r="SE3" s="12">
        <f t="shared" si="4"/>
        <v>5</v>
      </c>
      <c r="SF3" s="12">
        <f t="shared" si="4"/>
        <v>6</v>
      </c>
      <c r="SG3" s="12">
        <f t="shared" si="4"/>
        <v>7</v>
      </c>
      <c r="SH3" s="12">
        <f t="shared" si="4"/>
        <v>8</v>
      </c>
      <c r="SI3" s="12">
        <f t="shared" si="4"/>
        <v>9</v>
      </c>
      <c r="SJ3" s="12">
        <f t="shared" si="4"/>
        <v>10</v>
      </c>
      <c r="SK3" s="12">
        <f t="shared" si="4"/>
        <v>11</v>
      </c>
      <c r="SL3" s="12">
        <f t="shared" si="4"/>
        <v>12</v>
      </c>
      <c r="SM3" s="12">
        <f t="shared" si="4"/>
        <v>13</v>
      </c>
      <c r="SN3" s="12">
        <f t="shared" si="4"/>
        <v>14</v>
      </c>
      <c r="SO3" s="12">
        <f t="shared" si="4"/>
        <v>15</v>
      </c>
      <c r="SP3" s="12">
        <f t="shared" si="4"/>
        <v>16</v>
      </c>
      <c r="SQ3" s="12">
        <f t="shared" si="4"/>
        <v>17</v>
      </c>
      <c r="SR3" s="12">
        <f t="shared" si="4"/>
        <v>18</v>
      </c>
      <c r="SS3" s="12">
        <f t="shared" si="4"/>
        <v>19</v>
      </c>
      <c r="ST3" s="12">
        <f t="shared" si="4"/>
        <v>20</v>
      </c>
      <c r="SU3" s="12">
        <f t="shared" si="4"/>
        <v>21</v>
      </c>
      <c r="SV3" s="12">
        <f t="shared" si="4"/>
        <v>22</v>
      </c>
      <c r="SW3" s="12">
        <f t="shared" si="4"/>
        <v>23</v>
      </c>
      <c r="SX3" s="12"/>
      <c r="SY3" s="12"/>
      <c r="SZ3" s="12" t="s">
        <v>2135</v>
      </c>
      <c r="TA3" s="12" t="s">
        <v>2136</v>
      </c>
      <c r="TB3" s="12" t="s">
        <v>2137</v>
      </c>
      <c r="TC3" s="12" t="s">
        <v>2138</v>
      </c>
      <c r="TD3" s="12" t="s">
        <v>2139</v>
      </c>
      <c r="TE3" s="12" t="s">
        <v>2140</v>
      </c>
      <c r="TF3" s="12" t="s">
        <v>2141</v>
      </c>
      <c r="TG3" s="12" t="s">
        <v>2142</v>
      </c>
      <c r="TH3" s="12" t="s">
        <v>2143</v>
      </c>
      <c r="TI3" s="12" t="s">
        <v>2144</v>
      </c>
      <c r="TJ3" s="12" t="s">
        <v>2145</v>
      </c>
      <c r="TK3" s="12"/>
      <c r="TL3" s="12" t="s">
        <v>2070</v>
      </c>
      <c r="TM3" s="12" t="s">
        <v>2071</v>
      </c>
      <c r="TN3" s="12" t="s">
        <v>2072</v>
      </c>
      <c r="TO3" s="12" t="s">
        <v>2073</v>
      </c>
      <c r="TP3" s="12" t="s">
        <v>2074</v>
      </c>
      <c r="TQ3" s="12" t="s">
        <v>2075</v>
      </c>
      <c r="TR3" s="12" t="s">
        <v>2076</v>
      </c>
      <c r="TS3" s="12" t="s">
        <v>2077</v>
      </c>
      <c r="TT3" s="12" t="s">
        <v>2078</v>
      </c>
      <c r="TU3" s="12" t="s">
        <v>2079</v>
      </c>
      <c r="TV3" s="12" t="s">
        <v>2080</v>
      </c>
      <c r="TW3" s="13"/>
    </row>
    <row r="4" spans="1:824" x14ac:dyDescent="0.25">
      <c r="A4" t="s">
        <v>2112</v>
      </c>
      <c r="B4" t="s">
        <v>2099</v>
      </c>
      <c r="C4" t="s">
        <v>2198</v>
      </c>
      <c r="P4" t="s">
        <v>2082</v>
      </c>
      <c r="T4" s="14" t="s">
        <v>2063</v>
      </c>
      <c r="V4" t="s">
        <v>2081</v>
      </c>
      <c r="AP4" t="s">
        <v>137</v>
      </c>
      <c r="MA4" t="str">
        <f t="shared" si="0"/>
        <v>DI-</v>
      </c>
      <c r="AEB4" s="25" t="s">
        <v>2097</v>
      </c>
      <c r="AEC4" s="12">
        <v>5</v>
      </c>
      <c r="AED4" s="12" t="str">
        <f t="shared" ref="AED4:AED15" si="5">V4</f>
        <v>E3-3</v>
      </c>
      <c r="AEE4" s="12"/>
      <c r="AEF4" s="13" t="s">
        <v>2098</v>
      </c>
    </row>
    <row r="5" spans="1:824" x14ac:dyDescent="0.25">
      <c r="A5" t="s">
        <v>2113</v>
      </c>
      <c r="B5" t="s">
        <v>2146</v>
      </c>
      <c r="C5" t="s">
        <v>2198</v>
      </c>
      <c r="P5" t="s">
        <v>2082</v>
      </c>
      <c r="T5" s="14" t="s">
        <v>2063</v>
      </c>
      <c r="V5" t="s">
        <v>2084</v>
      </c>
      <c r="AP5" t="s">
        <v>137</v>
      </c>
      <c r="MA5" t="str">
        <f t="shared" si="0"/>
        <v>DI-</v>
      </c>
      <c r="AEB5" s="27" t="s">
        <v>2097</v>
      </c>
      <c r="AEC5">
        <v>8</v>
      </c>
      <c r="AED5" t="str">
        <f t="shared" si="5"/>
        <v>E3-4</v>
      </c>
      <c r="AEF5" s="16" t="s">
        <v>2098</v>
      </c>
    </row>
    <row r="6" spans="1:824" x14ac:dyDescent="0.25">
      <c r="A6" t="s">
        <v>2114</v>
      </c>
      <c r="B6" t="s">
        <v>2100</v>
      </c>
      <c r="C6" t="s">
        <v>2198</v>
      </c>
      <c r="P6" t="s">
        <v>2082</v>
      </c>
      <c r="T6" s="14" t="s">
        <v>2063</v>
      </c>
      <c r="V6" t="s">
        <v>2085</v>
      </c>
      <c r="AP6" t="s">
        <v>137</v>
      </c>
      <c r="MA6" t="str">
        <f t="shared" si="0"/>
        <v>DI-</v>
      </c>
      <c r="AEB6" s="27" t="s">
        <v>2097</v>
      </c>
      <c r="AEC6">
        <v>1</v>
      </c>
      <c r="AED6" t="str">
        <f t="shared" si="5"/>
        <v>E3-5</v>
      </c>
      <c r="AEF6" s="16" t="s">
        <v>2098</v>
      </c>
    </row>
    <row r="7" spans="1:824" x14ac:dyDescent="0.25">
      <c r="A7" t="s">
        <v>2115</v>
      </c>
      <c r="B7" t="s">
        <v>2101</v>
      </c>
      <c r="C7" t="s">
        <v>2198</v>
      </c>
      <c r="P7" t="s">
        <v>2082</v>
      </c>
      <c r="T7" s="14" t="s">
        <v>2063</v>
      </c>
      <c r="V7" t="s">
        <v>2086</v>
      </c>
      <c r="AP7" t="s">
        <v>137</v>
      </c>
      <c r="MA7" t="str">
        <f t="shared" si="0"/>
        <v>DI-</v>
      </c>
      <c r="AEB7" s="27" t="s">
        <v>2097</v>
      </c>
      <c r="AEC7">
        <v>2</v>
      </c>
      <c r="AED7" t="str">
        <f t="shared" si="5"/>
        <v>E3-6</v>
      </c>
      <c r="AEF7" s="16" t="s">
        <v>2098</v>
      </c>
    </row>
    <row r="8" spans="1:824" x14ac:dyDescent="0.25">
      <c r="A8" t="s">
        <v>2116</v>
      </c>
      <c r="B8" t="s">
        <v>2102</v>
      </c>
      <c r="C8" t="s">
        <v>2198</v>
      </c>
      <c r="P8" t="s">
        <v>2082</v>
      </c>
      <c r="T8" s="14" t="s">
        <v>2063</v>
      </c>
      <c r="V8" t="s">
        <v>2087</v>
      </c>
      <c r="AP8" t="s">
        <v>137</v>
      </c>
      <c r="MA8" t="str">
        <f t="shared" si="0"/>
        <v>DI-</v>
      </c>
      <c r="AEB8" s="27" t="s">
        <v>2097</v>
      </c>
      <c r="AEC8">
        <v>3</v>
      </c>
      <c r="AED8" t="str">
        <f t="shared" si="5"/>
        <v>E3-7</v>
      </c>
      <c r="AEF8" s="16" t="s">
        <v>2098</v>
      </c>
    </row>
    <row r="9" spans="1:824" x14ac:dyDescent="0.25">
      <c r="A9" t="s">
        <v>2117</v>
      </c>
      <c r="B9" t="s">
        <v>2103</v>
      </c>
      <c r="C9" t="s">
        <v>2198</v>
      </c>
      <c r="P9" t="s">
        <v>2082</v>
      </c>
      <c r="T9" s="14" t="s">
        <v>2063</v>
      </c>
      <c r="V9" t="s">
        <v>2088</v>
      </c>
      <c r="AP9" t="s">
        <v>137</v>
      </c>
      <c r="MA9" t="str">
        <f t="shared" si="0"/>
        <v>DI-</v>
      </c>
      <c r="AEB9" s="27" t="s">
        <v>2097</v>
      </c>
      <c r="AEC9">
        <v>4</v>
      </c>
      <c r="AED9" t="str">
        <f t="shared" si="5"/>
        <v>E3-8</v>
      </c>
      <c r="AEF9" s="16" t="s">
        <v>2098</v>
      </c>
    </row>
    <row r="10" spans="1:824" x14ac:dyDescent="0.25">
      <c r="A10" t="s">
        <v>2118</v>
      </c>
      <c r="B10" t="s">
        <v>2104</v>
      </c>
      <c r="C10" t="s">
        <v>2198</v>
      </c>
      <c r="P10" t="s">
        <v>2082</v>
      </c>
      <c r="T10" s="14" t="s">
        <v>2063</v>
      </c>
      <c r="V10" t="s">
        <v>2089</v>
      </c>
      <c r="AP10" t="s">
        <v>137</v>
      </c>
      <c r="MA10" t="str">
        <f t="shared" si="0"/>
        <v>DI-</v>
      </c>
      <c r="AEB10" s="27" t="s">
        <v>2097</v>
      </c>
      <c r="AEC10">
        <v>6</v>
      </c>
      <c r="AED10" t="str">
        <f t="shared" si="5"/>
        <v>E3-9</v>
      </c>
      <c r="AEF10" s="16" t="s">
        <v>2098</v>
      </c>
    </row>
    <row r="11" spans="1:824" x14ac:dyDescent="0.25">
      <c r="A11" t="s">
        <v>2119</v>
      </c>
      <c r="B11" t="s">
        <v>2105</v>
      </c>
      <c r="C11" t="s">
        <v>2198</v>
      </c>
      <c r="P11" t="s">
        <v>2082</v>
      </c>
      <c r="T11" s="14" t="s">
        <v>2063</v>
      </c>
      <c r="V11" t="s">
        <v>2090</v>
      </c>
      <c r="AP11" t="s">
        <v>137</v>
      </c>
      <c r="MA11" t="str">
        <f t="shared" si="0"/>
        <v>DI-</v>
      </c>
      <c r="AEB11" s="27" t="s">
        <v>2097</v>
      </c>
      <c r="AEC11">
        <v>7</v>
      </c>
      <c r="AED11" t="str">
        <f t="shared" si="5"/>
        <v>E3-10</v>
      </c>
      <c r="AEF11" s="16" t="s">
        <v>2098</v>
      </c>
    </row>
    <row r="12" spans="1:824" x14ac:dyDescent="0.25">
      <c r="A12" t="s">
        <v>2120</v>
      </c>
      <c r="B12" t="s">
        <v>2106</v>
      </c>
      <c r="C12" t="s">
        <v>2198</v>
      </c>
      <c r="P12" t="s">
        <v>2082</v>
      </c>
      <c r="T12" s="14" t="s">
        <v>2063</v>
      </c>
      <c r="V12" t="s">
        <v>2091</v>
      </c>
      <c r="AP12" t="s">
        <v>137</v>
      </c>
      <c r="MA12" t="str">
        <f t="shared" si="0"/>
        <v>DI-</v>
      </c>
      <c r="AEB12" s="27" t="s">
        <v>2097</v>
      </c>
      <c r="AEC12">
        <v>9</v>
      </c>
      <c r="AED12" t="str">
        <f t="shared" si="5"/>
        <v>E3-11</v>
      </c>
      <c r="AEF12" s="16" t="s">
        <v>2098</v>
      </c>
    </row>
    <row r="13" spans="1:824" x14ac:dyDescent="0.25">
      <c r="A13" t="s">
        <v>2121</v>
      </c>
      <c r="B13" t="s">
        <v>2107</v>
      </c>
      <c r="C13" t="s">
        <v>2198</v>
      </c>
      <c r="P13" t="s">
        <v>2082</v>
      </c>
      <c r="T13" s="14" t="s">
        <v>2063</v>
      </c>
      <c r="V13" t="s">
        <v>2092</v>
      </c>
      <c r="AP13" t="s">
        <v>137</v>
      </c>
      <c r="MA13" t="str">
        <f t="shared" si="0"/>
        <v>DI-</v>
      </c>
      <c r="AEB13" s="27" t="s">
        <v>2097</v>
      </c>
      <c r="AEC13">
        <v>10</v>
      </c>
      <c r="AED13" t="str">
        <f t="shared" si="5"/>
        <v>E3-12</v>
      </c>
      <c r="AEF13" s="16" t="s">
        <v>2098</v>
      </c>
    </row>
    <row r="14" spans="1:824" x14ac:dyDescent="0.25">
      <c r="A14" t="s">
        <v>2122</v>
      </c>
      <c r="B14" t="s">
        <v>2108</v>
      </c>
      <c r="C14" t="s">
        <v>2198</v>
      </c>
      <c r="P14" t="s">
        <v>2082</v>
      </c>
      <c r="T14" s="14" t="s">
        <v>2063</v>
      </c>
      <c r="V14" t="s">
        <v>2093</v>
      </c>
      <c r="AP14" t="s">
        <v>137</v>
      </c>
      <c r="MA14" t="str">
        <f t="shared" si="0"/>
        <v>DI-</v>
      </c>
      <c r="AEB14" s="27" t="s">
        <v>2097</v>
      </c>
      <c r="AEC14">
        <v>11</v>
      </c>
      <c r="AED14" t="str">
        <f t="shared" si="5"/>
        <v>E3-13</v>
      </c>
      <c r="AEF14" s="16" t="s">
        <v>2098</v>
      </c>
    </row>
    <row r="15" spans="1:824" ht="15.75" thickBot="1" x14ac:dyDescent="0.3">
      <c r="A15" t="s">
        <v>2123</v>
      </c>
      <c r="B15" t="s">
        <v>2109</v>
      </c>
      <c r="C15" t="s">
        <v>2198</v>
      </c>
      <c r="P15" t="s">
        <v>2082</v>
      </c>
      <c r="T15" s="14" t="s">
        <v>2063</v>
      </c>
      <c r="V15" t="s">
        <v>2094</v>
      </c>
      <c r="AP15" t="s">
        <v>137</v>
      </c>
      <c r="MA15" t="str">
        <f t="shared" si="0"/>
        <v>DI-</v>
      </c>
      <c r="AEB15" s="27" t="s">
        <v>2097</v>
      </c>
      <c r="AEC15">
        <v>12</v>
      </c>
      <c r="AED15" t="str">
        <f t="shared" si="5"/>
        <v>E3-14</v>
      </c>
      <c r="AEF15" s="16" t="s">
        <v>2098</v>
      </c>
    </row>
    <row r="16" spans="1:824" x14ac:dyDescent="0.25">
      <c r="A16" t="s">
        <v>2147</v>
      </c>
      <c r="B16" t="s">
        <v>2154</v>
      </c>
      <c r="P16" t="s">
        <v>1873</v>
      </c>
      <c r="T16" s="14" t="s">
        <v>2063</v>
      </c>
      <c r="AC16" t="s">
        <v>131</v>
      </c>
      <c r="AD16" s="43">
        <v>1</v>
      </c>
      <c r="AE16" s="43">
        <f t="array" ref="AE16">SUM(IF(ISNUMBER(FIND("TmDi",$BE$1:$AAQ$1)),IF(IFERROR(ISNUMBER(VALUE(SUBSTITUTE($BE16:$AAQ16,"B",""))),FALSE),IF(ISNUMBER(VALUE(SUBSTITUTE($BE16:$AAQ16,"B",""))),1,0),0)))</f>
        <v>0</v>
      </c>
      <c r="AF16" t="str">
        <f t="shared" ref="AF16:AF22" si="6">CONCATENATE("C",$AD16)</f>
        <v>C1</v>
      </c>
      <c r="AG16" t="str">
        <f t="shared" ref="AG16:AG22" si="7">CONCATENATE("B",$AD16)</f>
        <v>B1</v>
      </c>
      <c r="AP16" t="s">
        <v>2069</v>
      </c>
      <c r="AT16" t="s">
        <v>854</v>
      </c>
      <c r="AU16" t="s">
        <v>1399</v>
      </c>
      <c r="LZ16" s="25" t="str">
        <f>CONCATENATE("DI",REPLACE($AC16,1,3,""),"-",$AF16)</f>
        <v>DI1-C1</v>
      </c>
      <c r="MA16" s="12" t="str">
        <f t="shared" si="0"/>
        <v>DI1-B1</v>
      </c>
      <c r="MB16" s="12" t="s">
        <v>1884</v>
      </c>
      <c r="MC16" s="12" t="s">
        <v>1883</v>
      </c>
      <c r="MD16" s="12">
        <v>11</v>
      </c>
      <c r="ME16" s="12">
        <v>14</v>
      </c>
      <c r="MF16" s="12" t="s">
        <v>142</v>
      </c>
      <c r="MG16" s="12" t="s">
        <v>143</v>
      </c>
      <c r="MH16" s="12" t="s">
        <v>488</v>
      </c>
      <c r="MI16" s="12" t="s">
        <v>487</v>
      </c>
      <c r="MJ16" s="12" t="s">
        <v>414</v>
      </c>
      <c r="MK16" s="12" t="s">
        <v>413</v>
      </c>
      <c r="ML16" s="12"/>
      <c r="MM16" s="12"/>
      <c r="MN16" s="12"/>
      <c r="MO16" s="12"/>
      <c r="MP16" s="12"/>
      <c r="MQ16" s="12"/>
      <c r="MR16" s="12">
        <v>1</v>
      </c>
      <c r="MS16" s="13">
        <v>2</v>
      </c>
      <c r="MT16" s="27"/>
    </row>
    <row r="17" spans="1:824" x14ac:dyDescent="0.25">
      <c r="A17" t="s">
        <v>2148</v>
      </c>
      <c r="B17" t="s">
        <v>2155</v>
      </c>
      <c r="P17" t="s">
        <v>1873</v>
      </c>
      <c r="T17" s="14" t="s">
        <v>2063</v>
      </c>
      <c r="AC17" t="str">
        <f t="shared" ref="AC17:AC22" si="8">IF(AD16+AE16&gt;31,REPLACE(AC16,LEN(AC16),1,VALUE(RIGHT(AC16,1))+1),AC16)</f>
        <v>A5.1</v>
      </c>
      <c r="AD17" s="43">
        <f t="array" ref="AD17">IF(COUNTIFS(AC$2:AC17,AC17)=1,"1",VALUE(SUBSTITUTE(INDEX(AD:AD,_xlfn.XMATCH(AC17,AC$1:AC16,0,-1)),"A",""))+INDEX(AE:AE,_xlfn.XMATCH(AC17,AC$1:AC16,0,-1))+1)</f>
        <v>2</v>
      </c>
      <c r="AE17" s="43">
        <f t="array" ref="AE17">SUM(IF(ISNUMBER(FIND("TmDi",$BE$1:$AAQ$1)),IF(IFERROR(ISNUMBER(VALUE(SUBSTITUTE($BE17:$AAQ17,"B",""))),FALSE),IF(ISNUMBER(VALUE(SUBSTITUTE($BE17:$AAQ17,"B",""))),1,0),0)))</f>
        <v>0</v>
      </c>
      <c r="AF17" t="str">
        <f t="shared" si="6"/>
        <v>C2</v>
      </c>
      <c r="AG17" t="str">
        <f t="shared" si="7"/>
        <v>B2</v>
      </c>
      <c r="AP17" t="s">
        <v>2069</v>
      </c>
      <c r="AT17" t="s">
        <v>854</v>
      </c>
      <c r="AU17" t="s">
        <v>1399</v>
      </c>
      <c r="LZ17" s="27" t="str">
        <f>CONCATENATE("DI",REPLACE($AC17,1,3,""),"-",$AF17)</f>
        <v>DI1-C2</v>
      </c>
      <c r="MA17" t="str">
        <f t="shared" si="0"/>
        <v>DI1-B2</v>
      </c>
      <c r="MB17" t="s">
        <v>1885</v>
      </c>
      <c r="MC17" t="s">
        <v>1886</v>
      </c>
      <c r="MD17">
        <f t="shared" ref="MD17:MK17" si="9">MD16</f>
        <v>11</v>
      </c>
      <c r="ME17">
        <f t="shared" si="9"/>
        <v>14</v>
      </c>
      <c r="MF17" t="str">
        <f t="shared" si="9"/>
        <v>A1</v>
      </c>
      <c r="MG17" t="str">
        <f t="shared" si="9"/>
        <v>A2</v>
      </c>
      <c r="MH17" t="str">
        <f t="shared" si="9"/>
        <v>0v3</v>
      </c>
      <c r="MI17" t="str">
        <f t="shared" si="9"/>
        <v>24v3</v>
      </c>
      <c r="MJ17" t="str">
        <f t="shared" si="9"/>
        <v>0v6</v>
      </c>
      <c r="MK17" t="str">
        <f t="shared" si="9"/>
        <v>24v6</v>
      </c>
      <c r="MR17">
        <f t="shared" ref="MR17:MS22" si="10">MR16</f>
        <v>1</v>
      </c>
      <c r="MS17" s="16">
        <f t="shared" si="10"/>
        <v>2</v>
      </c>
    </row>
    <row r="18" spans="1:824" x14ac:dyDescent="0.25">
      <c r="A18" t="s">
        <v>2149</v>
      </c>
      <c r="B18" t="s">
        <v>2156</v>
      </c>
      <c r="P18" t="s">
        <v>1873</v>
      </c>
      <c r="T18" s="14" t="s">
        <v>2063</v>
      </c>
      <c r="AC18" t="str">
        <f t="shared" si="8"/>
        <v>A5.1</v>
      </c>
      <c r="AD18" s="43">
        <f t="array" ref="AD18">IF(COUNTIFS(AC$2:AC18,AC18)=1,"1",VALUE(SUBSTITUTE(INDEX(AD:AD,_xlfn.XMATCH(AC18,AC$1:AC17,0,-1)),"A",""))+INDEX(AE:AE,_xlfn.XMATCH(AC18,AC$1:AC17,0,-1))+1)</f>
        <v>3</v>
      </c>
      <c r="AE18" s="43">
        <f t="array" ref="AE18">SUM(IF(ISNUMBER(FIND("TmDi",$BE$1:$AAQ$1)),IF(IFERROR(ISNUMBER(VALUE(SUBSTITUTE($BE18:$AAQ18,"B",""))),FALSE),IF(ISNUMBER(VALUE(SUBSTITUTE($BE18:$AAQ18,"B",""))),1,0),0)))</f>
        <v>0</v>
      </c>
      <c r="AF18" t="str">
        <f t="shared" si="6"/>
        <v>C3</v>
      </c>
      <c r="AG18" t="str">
        <f t="shared" si="7"/>
        <v>B3</v>
      </c>
      <c r="AP18" t="s">
        <v>2069</v>
      </c>
      <c r="AT18" t="s">
        <v>854</v>
      </c>
      <c r="AU18" t="s">
        <v>1399</v>
      </c>
      <c r="LZ18" s="27" t="str">
        <f t="shared" ref="LZ18:LZ22" si="11">CONCATENATE("DI",REPLACE($AC18,1,3,""),"-",$AF18)</f>
        <v>DI1-C3</v>
      </c>
      <c r="MA18" t="str">
        <f t="shared" si="0"/>
        <v>DI1-B3</v>
      </c>
      <c r="MB18" t="s">
        <v>1887</v>
      </c>
      <c r="MC18" t="s">
        <v>1888</v>
      </c>
      <c r="MD18">
        <f t="shared" ref="MD18:MK18" si="12">MD17</f>
        <v>11</v>
      </c>
      <c r="ME18">
        <f t="shared" si="12"/>
        <v>14</v>
      </c>
      <c r="MF18" t="str">
        <f t="shared" si="12"/>
        <v>A1</v>
      </c>
      <c r="MG18" t="str">
        <f t="shared" si="12"/>
        <v>A2</v>
      </c>
      <c r="MH18" t="str">
        <f t="shared" si="12"/>
        <v>0v3</v>
      </c>
      <c r="MI18" t="str">
        <f t="shared" si="12"/>
        <v>24v3</v>
      </c>
      <c r="MJ18" t="str">
        <f t="shared" si="12"/>
        <v>0v6</v>
      </c>
      <c r="MK18" t="str">
        <f t="shared" si="12"/>
        <v>24v6</v>
      </c>
      <c r="MR18">
        <f t="shared" si="10"/>
        <v>1</v>
      </c>
      <c r="MS18" s="16">
        <f t="shared" si="10"/>
        <v>2</v>
      </c>
    </row>
    <row r="19" spans="1:824" x14ac:dyDescent="0.25">
      <c r="A19" t="s">
        <v>2150</v>
      </c>
      <c r="B19" t="s">
        <v>2157</v>
      </c>
      <c r="P19" t="s">
        <v>1873</v>
      </c>
      <c r="T19" s="14" t="s">
        <v>2063</v>
      </c>
      <c r="AC19" t="str">
        <f t="shared" si="8"/>
        <v>A5.1</v>
      </c>
      <c r="AD19" s="43">
        <f t="array" ref="AD19">IF(COUNTIFS(AC$2:AC19,AC19)=1,"1",VALUE(SUBSTITUTE(INDEX(AD:AD,_xlfn.XMATCH(AC19,AC$1:AC18,0,-1)),"A",""))+INDEX(AE:AE,_xlfn.XMATCH(AC19,AC$1:AC18,0,-1))+1)</f>
        <v>4</v>
      </c>
      <c r="AE19" s="43">
        <f t="array" ref="AE19">SUM(IF(ISNUMBER(FIND("TmDi",$BE$1:$AAQ$1)),IF(IFERROR(ISNUMBER(VALUE(SUBSTITUTE($BE19:$AAQ19,"B",""))),FALSE),IF(ISNUMBER(VALUE(SUBSTITUTE($BE19:$AAQ19,"B",""))),1,0),0)))</f>
        <v>0</v>
      </c>
      <c r="AF19" t="str">
        <f t="shared" si="6"/>
        <v>C4</v>
      </c>
      <c r="AG19" t="str">
        <f t="shared" si="7"/>
        <v>B4</v>
      </c>
      <c r="AP19" t="s">
        <v>2069</v>
      </c>
      <c r="AT19" t="s">
        <v>854</v>
      </c>
      <c r="AU19" t="s">
        <v>1399</v>
      </c>
      <c r="LZ19" s="27" t="str">
        <f t="shared" si="11"/>
        <v>DI1-C4</v>
      </c>
      <c r="MA19" t="str">
        <f t="shared" si="0"/>
        <v>DI1-B4</v>
      </c>
      <c r="MB19" t="s">
        <v>1889</v>
      </c>
      <c r="MC19" t="s">
        <v>1890</v>
      </c>
      <c r="MD19">
        <f t="shared" ref="MD19:MK19" si="13">MD18</f>
        <v>11</v>
      </c>
      <c r="ME19">
        <f t="shared" si="13"/>
        <v>14</v>
      </c>
      <c r="MF19" t="str">
        <f t="shared" si="13"/>
        <v>A1</v>
      </c>
      <c r="MG19" t="str">
        <f t="shared" si="13"/>
        <v>A2</v>
      </c>
      <c r="MH19" t="str">
        <f t="shared" si="13"/>
        <v>0v3</v>
      </c>
      <c r="MI19" t="str">
        <f t="shared" si="13"/>
        <v>24v3</v>
      </c>
      <c r="MJ19" t="str">
        <f t="shared" si="13"/>
        <v>0v6</v>
      </c>
      <c r="MK19" t="str">
        <f t="shared" si="13"/>
        <v>24v6</v>
      </c>
      <c r="MR19">
        <f t="shared" si="10"/>
        <v>1</v>
      </c>
      <c r="MS19" s="16">
        <f t="shared" si="10"/>
        <v>2</v>
      </c>
    </row>
    <row r="20" spans="1:824" x14ac:dyDescent="0.25">
      <c r="A20" t="s">
        <v>2151</v>
      </c>
      <c r="B20" t="s">
        <v>2158</v>
      </c>
      <c r="P20" t="s">
        <v>1873</v>
      </c>
      <c r="T20" s="14" t="s">
        <v>2063</v>
      </c>
      <c r="AC20" t="str">
        <f t="shared" si="8"/>
        <v>A5.1</v>
      </c>
      <c r="AD20" s="43">
        <f t="array" ref="AD20">IF(COUNTIFS(AC$2:AC20,AC20)=1,"1",VALUE(SUBSTITUTE(INDEX(AD:AD,_xlfn.XMATCH(AC20,AC$1:AC19,0,-1)),"A",""))+INDEX(AE:AE,_xlfn.XMATCH(AC20,AC$1:AC19,0,-1))+1)</f>
        <v>5</v>
      </c>
      <c r="AE20" s="43">
        <f t="array" ref="AE20">SUM(IF(ISNUMBER(FIND("TmDi",$BE$1:$AAQ$1)),IF(IFERROR(ISNUMBER(VALUE(SUBSTITUTE($BE20:$AAQ20,"B",""))),FALSE),IF(ISNUMBER(VALUE(SUBSTITUTE($BE20:$AAQ20,"B",""))),1,0),0)))</f>
        <v>0</v>
      </c>
      <c r="AF20" t="str">
        <f t="shared" si="6"/>
        <v>C5</v>
      </c>
      <c r="AG20" t="str">
        <f t="shared" si="7"/>
        <v>B5</v>
      </c>
      <c r="AP20" t="s">
        <v>2069</v>
      </c>
      <c r="AT20" t="s">
        <v>854</v>
      </c>
      <c r="AU20" t="s">
        <v>1399</v>
      </c>
      <c r="LZ20" s="27" t="str">
        <f t="shared" si="11"/>
        <v>DI1-C5</v>
      </c>
      <c r="MA20" t="str">
        <f t="shared" si="0"/>
        <v>DI1-B5</v>
      </c>
      <c r="MB20" t="s">
        <v>1891</v>
      </c>
      <c r="MC20" t="s">
        <v>1892</v>
      </c>
      <c r="MD20">
        <f t="shared" ref="MD20:MK20" si="14">MD19</f>
        <v>11</v>
      </c>
      <c r="ME20">
        <f t="shared" si="14"/>
        <v>14</v>
      </c>
      <c r="MF20" t="str">
        <f t="shared" si="14"/>
        <v>A1</v>
      </c>
      <c r="MG20" t="str">
        <f t="shared" si="14"/>
        <v>A2</v>
      </c>
      <c r="MH20" t="str">
        <f t="shared" si="14"/>
        <v>0v3</v>
      </c>
      <c r="MI20" t="str">
        <f t="shared" si="14"/>
        <v>24v3</v>
      </c>
      <c r="MJ20" t="str">
        <f t="shared" si="14"/>
        <v>0v6</v>
      </c>
      <c r="MK20" t="str">
        <f t="shared" si="14"/>
        <v>24v6</v>
      </c>
      <c r="MR20">
        <f t="shared" si="10"/>
        <v>1</v>
      </c>
      <c r="MS20" s="16">
        <f t="shared" si="10"/>
        <v>2</v>
      </c>
    </row>
    <row r="21" spans="1:824" x14ac:dyDescent="0.25">
      <c r="A21" t="s">
        <v>2152</v>
      </c>
      <c r="B21" t="s">
        <v>2207</v>
      </c>
      <c r="P21" t="s">
        <v>1873</v>
      </c>
      <c r="T21" s="14" t="s">
        <v>2063</v>
      </c>
      <c r="AC21" t="str">
        <f t="shared" si="8"/>
        <v>A5.1</v>
      </c>
      <c r="AD21" s="43">
        <f t="array" ref="AD21">IF(COUNTIFS(AC$2:AC21,AC21)=1,"1",VALUE(SUBSTITUTE(INDEX(AD:AD,_xlfn.XMATCH(AC21,AC$1:AC20,0,-1)),"A",""))+INDEX(AE:AE,_xlfn.XMATCH(AC21,AC$1:AC20,0,-1))+1)</f>
        <v>6</v>
      </c>
      <c r="AE21" s="43">
        <f t="array" ref="AE21">SUM(IF(ISNUMBER(FIND("TmDi",$BE$1:$AAQ$1)),IF(IFERROR(ISNUMBER(VALUE(SUBSTITUTE($BE21:$AAQ21,"B",""))),FALSE),IF(ISNUMBER(VALUE(SUBSTITUTE($BE21:$AAQ21,"B",""))),1,0),0)))</f>
        <v>0</v>
      </c>
      <c r="AF21" t="str">
        <f t="shared" si="6"/>
        <v>C6</v>
      </c>
      <c r="AG21" t="str">
        <f t="shared" si="7"/>
        <v>B6</v>
      </c>
      <c r="AP21" t="s">
        <v>2069</v>
      </c>
      <c r="AT21" t="s">
        <v>854</v>
      </c>
      <c r="AU21" t="s">
        <v>1399</v>
      </c>
      <c r="LZ21" s="27" t="str">
        <f t="shared" si="11"/>
        <v>DI1-C6</v>
      </c>
      <c r="MA21" t="str">
        <f t="shared" si="0"/>
        <v>DI1-B6</v>
      </c>
      <c r="MB21" t="s">
        <v>1893</v>
      </c>
      <c r="MC21" t="s">
        <v>1894</v>
      </c>
      <c r="MD21">
        <f t="shared" ref="MD21:MK22" si="15">MD20</f>
        <v>11</v>
      </c>
      <c r="ME21">
        <f t="shared" si="15"/>
        <v>14</v>
      </c>
      <c r="MF21" t="str">
        <f t="shared" si="15"/>
        <v>A1</v>
      </c>
      <c r="MG21" t="str">
        <f t="shared" si="15"/>
        <v>A2</v>
      </c>
      <c r="MH21" t="str">
        <f t="shared" si="15"/>
        <v>0v3</v>
      </c>
      <c r="MI21" t="str">
        <f t="shared" si="15"/>
        <v>24v3</v>
      </c>
      <c r="MJ21" t="str">
        <f t="shared" si="15"/>
        <v>0v6</v>
      </c>
      <c r="MK21" t="str">
        <f t="shared" si="15"/>
        <v>24v6</v>
      </c>
      <c r="MR21">
        <f t="shared" si="10"/>
        <v>1</v>
      </c>
      <c r="MS21" s="16">
        <f t="shared" si="10"/>
        <v>2</v>
      </c>
    </row>
    <row r="22" spans="1:824" ht="15.75" thickBot="1" x14ac:dyDescent="0.3">
      <c r="A22" t="s">
        <v>2153</v>
      </c>
      <c r="B22" t="s">
        <v>2159</v>
      </c>
      <c r="P22" t="s">
        <v>1873</v>
      </c>
      <c r="T22" s="14" t="s">
        <v>2063</v>
      </c>
      <c r="AC22" t="str">
        <f t="shared" si="8"/>
        <v>A5.1</v>
      </c>
      <c r="AD22" s="43">
        <f t="array" ref="AD22">IF(COUNTIFS(AC$2:AC22,AC22)=1,"1",VALUE(SUBSTITUTE(INDEX(AD:AD,_xlfn.XMATCH(AC22,AC$1:AC21,0,-1)),"A",""))+INDEX(AE:AE,_xlfn.XMATCH(AC22,AC$1:AC21,0,-1))+1)</f>
        <v>7</v>
      </c>
      <c r="AE22" s="43">
        <f t="array" ref="AE22">SUM(IF(ISNUMBER(FIND("TmDi",$BE$1:$AAQ$1)),IF(IFERROR(ISNUMBER(VALUE(SUBSTITUTE($BE22:$AAQ22,"B",""))),FALSE),IF(ISNUMBER(VALUE(SUBSTITUTE($BE22:$AAQ22,"B",""))),1,0),0)))</f>
        <v>0</v>
      </c>
      <c r="AF22" t="str">
        <f t="shared" si="6"/>
        <v>C7</v>
      </c>
      <c r="AG22" t="str">
        <f t="shared" si="7"/>
        <v>B7</v>
      </c>
      <c r="AP22" t="s">
        <v>2069</v>
      </c>
      <c r="AT22" t="s">
        <v>854</v>
      </c>
      <c r="AU22" t="s">
        <v>1399</v>
      </c>
      <c r="LZ22" s="27" t="str">
        <f t="shared" si="11"/>
        <v>DI1-C7</v>
      </c>
      <c r="MA22" t="str">
        <f t="shared" si="0"/>
        <v>DI1-B7</v>
      </c>
      <c r="MB22" t="s">
        <v>1895</v>
      </c>
      <c r="MC22" t="s">
        <v>1896</v>
      </c>
      <c r="MD22">
        <f t="shared" si="15"/>
        <v>11</v>
      </c>
      <c r="ME22">
        <f t="shared" si="15"/>
        <v>14</v>
      </c>
      <c r="MF22" t="str">
        <f t="shared" si="15"/>
        <v>A1</v>
      </c>
      <c r="MG22" t="str">
        <f t="shared" si="15"/>
        <v>A2</v>
      </c>
      <c r="MH22" t="str">
        <f t="shared" si="15"/>
        <v>0v3</v>
      </c>
      <c r="MI22" t="str">
        <f t="shared" si="15"/>
        <v>24v3</v>
      </c>
      <c r="MJ22" t="str">
        <f t="shared" si="15"/>
        <v>0v6</v>
      </c>
      <c r="MK22" t="str">
        <f t="shared" si="15"/>
        <v>24v6</v>
      </c>
      <c r="MR22">
        <f t="shared" si="10"/>
        <v>1</v>
      </c>
      <c r="MS22" s="16">
        <f t="shared" si="10"/>
        <v>2</v>
      </c>
    </row>
    <row r="23" spans="1:824" x14ac:dyDescent="0.25">
      <c r="A23" t="s">
        <v>2160</v>
      </c>
      <c r="B23" t="s">
        <v>2161</v>
      </c>
      <c r="C23" t="s">
        <v>2190</v>
      </c>
      <c r="P23" t="s">
        <v>2083</v>
      </c>
      <c r="T23" s="14" t="s">
        <v>2063</v>
      </c>
      <c r="AD23" s="43"/>
      <c r="AE23" s="43"/>
      <c r="AH23" t="s">
        <v>132</v>
      </c>
      <c r="AI23" s="59" t="str">
        <f t="array" ref="AI23">IF(COUNTIFS(AH$2:AH23,AH23)=1,"1",VALUE(SUBSTITUTE(INDEX(AI:AI,_xlfn.XMATCH(AH23,AH$1:AH22,0,-1)),"A",""))+INDEX(AJ:AJ,_xlfn.XMATCH(AH23,AH$1:AH22,0,-1))+1)</f>
        <v>1</v>
      </c>
      <c r="AJ23" s="57">
        <f t="array" ref="AJ23">SUM(IF(ISNUMBER(FIND("TmDo",$BE$1:$AAQ$1)),IF(IFERROR(ISNUMBER(VALUE(SUBSTITUTE($BE23:$AAQ23,"B",""))),FALSE),IF(ISNUMBER(VALUE(SUBSTITUTE($BE23:$AAQ23,"B",""))),1,0),0)))</f>
        <v>0</v>
      </c>
      <c r="AK23" t="str">
        <f>CONCATENATE($AI23,"A")</f>
        <v>1A</v>
      </c>
      <c r="AL23" t="str">
        <f>CONCATENATE($AI23,"B")</f>
        <v>1B</v>
      </c>
      <c r="AP23" t="s">
        <v>2069</v>
      </c>
      <c r="AT23" t="s">
        <v>854</v>
      </c>
      <c r="AU23" t="s">
        <v>1399</v>
      </c>
      <c r="LZ23" s="27"/>
      <c r="MA23" t="str">
        <f t="shared" si="0"/>
        <v>DI-</v>
      </c>
      <c r="MS23" s="16"/>
      <c r="AEG23" s="25" t="str">
        <f>CONCATENATE("DO",REPLACE($AH23,1,3,""),"-",$AK23)</f>
        <v>DO1-1A</v>
      </c>
      <c r="AEH23" s="12" t="str">
        <f>CONCATENATE("DO",REPLACE($AH23,1,3,""),"-",$AL23)</f>
        <v>DO1-1B</v>
      </c>
      <c r="AEI23" s="12" t="s">
        <v>2183</v>
      </c>
      <c r="AEJ23" s="12" t="s">
        <v>142</v>
      </c>
      <c r="AEK23" s="12" t="s">
        <v>143</v>
      </c>
      <c r="AEL23" s="12">
        <v>11</v>
      </c>
      <c r="AEM23" s="12">
        <v>14</v>
      </c>
      <c r="AEN23" s="12" t="s">
        <v>413</v>
      </c>
      <c r="AEO23" s="12" t="s">
        <v>414</v>
      </c>
      <c r="AEP23" s="12" t="s">
        <v>2162</v>
      </c>
      <c r="AEQ23" s="12" t="s">
        <v>547</v>
      </c>
      <c r="AER23" s="13" t="s">
        <v>548</v>
      </c>
    </row>
    <row r="24" spans="1:824" x14ac:dyDescent="0.25">
      <c r="A24" t="s">
        <v>2175</v>
      </c>
      <c r="B24" t="s">
        <v>2169</v>
      </c>
      <c r="C24" t="s">
        <v>2191</v>
      </c>
      <c r="P24" t="s">
        <v>2083</v>
      </c>
      <c r="T24" s="14" t="s">
        <v>2063</v>
      </c>
      <c r="AD24" s="43"/>
      <c r="AE24" s="43"/>
      <c r="AH24" t="str">
        <f t="shared" ref="AH24:AH29" si="16">IF(AI23+AJ23&gt;27,REPLACE(AH23,LEN(AH23),1,VALUE(RIGHT(AH23,1))+1),AH23)</f>
        <v>A6.1</v>
      </c>
      <c r="AI24" s="59">
        <f t="array" ref="AI24">IF(COUNTIFS(AH$2:AH24,AH24)=1,"1",VALUE(SUBSTITUTE(INDEX(AI:AI,_xlfn.XMATCH(AH24,AH$1:AH23,0,-1)),"A",""))+INDEX(AJ:AJ,_xlfn.XMATCH(AH24,AH$1:AH23,0,-1))+1)</f>
        <v>2</v>
      </c>
      <c r="AJ24" s="57">
        <f t="array" ref="AJ24">SUM(IF(ISNUMBER(FIND("TmDo",$BE$1:$AAQ$1)),IF(IFERROR(ISNUMBER(VALUE(SUBSTITUTE($BE24:$AAQ24,"B",""))),FALSE),IF(ISNUMBER(VALUE(SUBSTITUTE($BE24:$AAQ24,"B",""))),1,0),0)))</f>
        <v>0</v>
      </c>
      <c r="AK24" t="str">
        <f t="shared" ref="AK24:AK29" si="17">CONCATENATE($AI24,"A")</f>
        <v>2A</v>
      </c>
      <c r="AL24" t="str">
        <f t="shared" ref="AL24:AL29" si="18">CONCATENATE($AI24,"B")</f>
        <v>2B</v>
      </c>
      <c r="AP24" t="s">
        <v>2069</v>
      </c>
      <c r="AT24" t="s">
        <v>854</v>
      </c>
      <c r="AU24" t="s">
        <v>1399</v>
      </c>
      <c r="MA24" t="str">
        <f t="shared" si="0"/>
        <v>DI-</v>
      </c>
      <c r="AEG24" s="27" t="str">
        <f t="shared" ref="AEG24:AEG29" si="19">CONCATENATE("DO",REPLACE($AH24,1,3,""),"-",$AK24)</f>
        <v>DO1-2A</v>
      </c>
      <c r="AEH24" t="str">
        <f t="shared" ref="AEH24:AEH29" si="20">CONCATENATE("DO",REPLACE($AH24,1,3,""),"-",$AL24)</f>
        <v>DO1-2B</v>
      </c>
      <c r="AEI24" t="s">
        <v>2184</v>
      </c>
      <c r="AEJ24" t="s">
        <v>142</v>
      </c>
      <c r="AEK24" t="s">
        <v>143</v>
      </c>
      <c r="AEL24">
        <v>11</v>
      </c>
      <c r="AEM24">
        <v>14</v>
      </c>
      <c r="AEN24" t="str">
        <f t="shared" ref="AEN24:AEO29" si="21">AEN23</f>
        <v>24v6</v>
      </c>
      <c r="AEO24" t="str">
        <f t="shared" si="21"/>
        <v>0v6</v>
      </c>
      <c r="AEP24" t="s">
        <v>2163</v>
      </c>
      <c r="AEQ24" t="s">
        <v>547</v>
      </c>
      <c r="AER24" s="16" t="s">
        <v>548</v>
      </c>
    </row>
    <row r="25" spans="1:824" x14ac:dyDescent="0.25">
      <c r="A25" t="s">
        <v>2174</v>
      </c>
      <c r="B25" t="s">
        <v>2170</v>
      </c>
      <c r="C25" t="s">
        <v>2192</v>
      </c>
      <c r="P25" t="s">
        <v>2083</v>
      </c>
      <c r="T25" s="14" t="s">
        <v>2063</v>
      </c>
      <c r="AD25" s="43"/>
      <c r="AE25" s="43"/>
      <c r="AH25" t="str">
        <f t="shared" si="16"/>
        <v>A6.1</v>
      </c>
      <c r="AI25" s="59">
        <f t="array" ref="AI25">IF(COUNTIFS(AH$2:AH25,AH25)=1,"1",VALUE(SUBSTITUTE(INDEX(AI:AI,_xlfn.XMATCH(AH25,AH$1:AH24,0,-1)),"A",""))+INDEX(AJ:AJ,_xlfn.XMATCH(AH25,AH$1:AH24,0,-1))+1)</f>
        <v>3</v>
      </c>
      <c r="AJ25" s="57">
        <f t="array" ref="AJ25">SUM(IF(ISNUMBER(FIND("TmDo",$BE$1:$AAQ$1)),IF(IFERROR(ISNUMBER(VALUE(SUBSTITUTE($BE25:$AAQ25,"B",""))),FALSE),IF(ISNUMBER(VALUE(SUBSTITUTE($BE25:$AAQ25,"B",""))),1,0),0)))</f>
        <v>0</v>
      </c>
      <c r="AK25" t="str">
        <f t="shared" si="17"/>
        <v>3A</v>
      </c>
      <c r="AL25" t="str">
        <f t="shared" si="18"/>
        <v>3B</v>
      </c>
      <c r="AP25" t="s">
        <v>2069</v>
      </c>
      <c r="AT25" t="s">
        <v>854</v>
      </c>
      <c r="AU25" t="s">
        <v>1399</v>
      </c>
      <c r="MA25" t="str">
        <f t="shared" si="0"/>
        <v>DI-</v>
      </c>
      <c r="AEG25" s="27" t="str">
        <f t="shared" si="19"/>
        <v>DO1-3A</v>
      </c>
      <c r="AEH25" t="str">
        <f t="shared" si="20"/>
        <v>DO1-3B</v>
      </c>
      <c r="AEI25" t="s">
        <v>2185</v>
      </c>
      <c r="AEJ25" t="s">
        <v>142</v>
      </c>
      <c r="AEK25" t="s">
        <v>143</v>
      </c>
      <c r="AEL25">
        <v>11</v>
      </c>
      <c r="AEM25">
        <v>14</v>
      </c>
      <c r="AEN25" t="str">
        <f t="shared" si="21"/>
        <v>24v6</v>
      </c>
      <c r="AEO25" t="str">
        <f t="shared" si="21"/>
        <v>0v6</v>
      </c>
      <c r="AEP25" t="s">
        <v>2164</v>
      </c>
      <c r="AEQ25" t="s">
        <v>547</v>
      </c>
      <c r="AER25" s="16" t="s">
        <v>548</v>
      </c>
    </row>
    <row r="26" spans="1:824" x14ac:dyDescent="0.25">
      <c r="A26" t="s">
        <v>2176</v>
      </c>
      <c r="B26" t="s">
        <v>2171</v>
      </c>
      <c r="C26" t="s">
        <v>2193</v>
      </c>
      <c r="P26" t="s">
        <v>2083</v>
      </c>
      <c r="T26" s="14" t="s">
        <v>2063</v>
      </c>
      <c r="AD26" s="43"/>
      <c r="AE26" s="43"/>
      <c r="AH26" t="str">
        <f t="shared" si="16"/>
        <v>A6.1</v>
      </c>
      <c r="AI26" s="59">
        <f t="array" ref="AI26">IF(COUNTIFS(AH$2:AH26,AH26)=1,"1",VALUE(SUBSTITUTE(INDEX(AI:AI,_xlfn.XMATCH(AH26,AH$1:AH25,0,-1)),"A",""))+INDEX(AJ:AJ,_xlfn.XMATCH(AH26,AH$1:AH25,0,-1))+1)</f>
        <v>4</v>
      </c>
      <c r="AJ26" s="57">
        <f t="array" ref="AJ26">SUM(IF(ISNUMBER(FIND("TmDo",$BE$1:$AAQ$1)),IF(IFERROR(ISNUMBER(VALUE(SUBSTITUTE($BE26:$AAQ26,"B",""))),FALSE),IF(ISNUMBER(VALUE(SUBSTITUTE($BE26:$AAQ26,"B",""))),1,0),0)))</f>
        <v>0</v>
      </c>
      <c r="AK26" t="str">
        <f t="shared" si="17"/>
        <v>4A</v>
      </c>
      <c r="AL26" t="str">
        <f t="shared" si="18"/>
        <v>4B</v>
      </c>
      <c r="AP26" t="s">
        <v>2069</v>
      </c>
      <c r="AT26" t="s">
        <v>854</v>
      </c>
      <c r="AU26" t="s">
        <v>1399</v>
      </c>
      <c r="MA26" t="str">
        <f t="shared" si="0"/>
        <v>DI-</v>
      </c>
      <c r="AEG26" s="27" t="str">
        <f t="shared" si="19"/>
        <v>DO1-4A</v>
      </c>
      <c r="AEH26" t="str">
        <f t="shared" si="20"/>
        <v>DO1-4B</v>
      </c>
      <c r="AEI26" t="s">
        <v>2186</v>
      </c>
      <c r="AEJ26" t="s">
        <v>142</v>
      </c>
      <c r="AEK26" t="s">
        <v>143</v>
      </c>
      <c r="AEL26">
        <v>11</v>
      </c>
      <c r="AEM26">
        <v>14</v>
      </c>
      <c r="AEN26" t="str">
        <f t="shared" si="21"/>
        <v>24v6</v>
      </c>
      <c r="AEO26" t="str">
        <f t="shared" si="21"/>
        <v>0v6</v>
      </c>
      <c r="AEP26" t="s">
        <v>2165</v>
      </c>
      <c r="AEQ26" t="s">
        <v>547</v>
      </c>
      <c r="AER26" s="16" t="s">
        <v>548</v>
      </c>
    </row>
    <row r="27" spans="1:824" x14ac:dyDescent="0.25">
      <c r="A27" t="s">
        <v>2178</v>
      </c>
      <c r="B27" t="s">
        <v>2172</v>
      </c>
      <c r="C27" t="s">
        <v>2194</v>
      </c>
      <c r="P27" t="s">
        <v>2083</v>
      </c>
      <c r="T27" s="14" t="s">
        <v>2063</v>
      </c>
      <c r="AD27" s="43"/>
      <c r="AE27" s="43"/>
      <c r="AH27" t="str">
        <f t="shared" si="16"/>
        <v>A6.1</v>
      </c>
      <c r="AI27" s="59">
        <f t="array" ref="AI27">IF(COUNTIFS(AH$2:AH27,AH27)=1,"1",VALUE(SUBSTITUTE(INDEX(AI:AI,_xlfn.XMATCH(AH27,AH$1:AH26,0,-1)),"A",""))+INDEX(AJ:AJ,_xlfn.XMATCH(AH27,AH$1:AH26,0,-1))+1)</f>
        <v>5</v>
      </c>
      <c r="AJ27" s="57">
        <f t="array" ref="AJ27">SUM(IF(ISNUMBER(FIND("TmDo",$BE$1:$AAQ$1)),IF(IFERROR(ISNUMBER(VALUE(SUBSTITUTE($BE27:$AAQ27,"B",""))),FALSE),IF(ISNUMBER(VALUE(SUBSTITUTE($BE27:$AAQ27,"B",""))),1,0),0)))</f>
        <v>0</v>
      </c>
      <c r="AK27" t="str">
        <f t="shared" si="17"/>
        <v>5A</v>
      </c>
      <c r="AL27" t="str">
        <f t="shared" si="18"/>
        <v>5B</v>
      </c>
      <c r="AP27" t="s">
        <v>2069</v>
      </c>
      <c r="AT27" t="s">
        <v>854</v>
      </c>
      <c r="AU27" t="s">
        <v>1399</v>
      </c>
      <c r="MA27" t="str">
        <f t="shared" si="0"/>
        <v>DI-</v>
      </c>
      <c r="AEG27" s="27" t="str">
        <f t="shared" si="19"/>
        <v>DO1-5A</v>
      </c>
      <c r="AEH27" t="str">
        <f t="shared" si="20"/>
        <v>DO1-5B</v>
      </c>
      <c r="AEI27" t="s">
        <v>2187</v>
      </c>
      <c r="AEJ27" t="s">
        <v>142</v>
      </c>
      <c r="AEK27" t="s">
        <v>143</v>
      </c>
      <c r="AEL27">
        <v>11</v>
      </c>
      <c r="AEM27">
        <v>14</v>
      </c>
      <c r="AEN27" t="str">
        <f t="shared" si="21"/>
        <v>24v6</v>
      </c>
      <c r="AEO27" t="str">
        <f t="shared" si="21"/>
        <v>0v6</v>
      </c>
      <c r="AEP27" t="s">
        <v>2166</v>
      </c>
      <c r="AEQ27" t="s">
        <v>547</v>
      </c>
      <c r="AER27" s="16" t="s">
        <v>548</v>
      </c>
    </row>
    <row r="28" spans="1:824" x14ac:dyDescent="0.25">
      <c r="A28" t="s">
        <v>2177</v>
      </c>
      <c r="B28" t="s">
        <v>2173</v>
      </c>
      <c r="C28" t="s">
        <v>2195</v>
      </c>
      <c r="P28" t="s">
        <v>2083</v>
      </c>
      <c r="T28" s="14" t="s">
        <v>2063</v>
      </c>
      <c r="AD28" s="43"/>
      <c r="AE28" s="43"/>
      <c r="AH28" t="str">
        <f t="shared" si="16"/>
        <v>A6.1</v>
      </c>
      <c r="AI28" s="59">
        <f t="array" ref="AI28">IF(COUNTIFS(AH$2:AH28,AH28)=1,"1",VALUE(SUBSTITUTE(INDEX(AI:AI,_xlfn.XMATCH(AH28,AH$1:AH27,0,-1)),"A",""))+INDEX(AJ:AJ,_xlfn.XMATCH(AH28,AH$1:AH27,0,-1))+1)</f>
        <v>6</v>
      </c>
      <c r="AJ28" s="57">
        <f t="array" ref="AJ28">SUM(IF(ISNUMBER(FIND("TmDo",$BE$1:$AAQ$1)),IF(IFERROR(ISNUMBER(VALUE(SUBSTITUTE($BE28:$AAQ28,"B",""))),FALSE),IF(ISNUMBER(VALUE(SUBSTITUTE($BE28:$AAQ28,"B",""))),1,0),0)))</f>
        <v>0</v>
      </c>
      <c r="AK28" t="str">
        <f t="shared" si="17"/>
        <v>6A</v>
      </c>
      <c r="AL28" t="str">
        <f t="shared" si="18"/>
        <v>6B</v>
      </c>
      <c r="AP28" t="s">
        <v>2069</v>
      </c>
      <c r="AT28" t="s">
        <v>854</v>
      </c>
      <c r="AU28" t="s">
        <v>1399</v>
      </c>
      <c r="MA28" t="str">
        <f t="shared" si="0"/>
        <v>DI-</v>
      </c>
      <c r="AEG28" s="27" t="str">
        <f t="shared" si="19"/>
        <v>DO1-6A</v>
      </c>
      <c r="AEH28" t="str">
        <f t="shared" si="20"/>
        <v>DO1-6B</v>
      </c>
      <c r="AEI28" t="s">
        <v>2188</v>
      </c>
      <c r="AEJ28" t="s">
        <v>142</v>
      </c>
      <c r="AEK28" t="s">
        <v>143</v>
      </c>
      <c r="AEL28">
        <v>11</v>
      </c>
      <c r="AEM28">
        <v>14</v>
      </c>
      <c r="AEN28" t="str">
        <f t="shared" si="21"/>
        <v>24v6</v>
      </c>
      <c r="AEO28" t="str">
        <f t="shared" si="21"/>
        <v>0v6</v>
      </c>
      <c r="AEP28" t="s">
        <v>2167</v>
      </c>
      <c r="AEQ28" t="s">
        <v>547</v>
      </c>
      <c r="AER28" s="16" t="s">
        <v>548</v>
      </c>
    </row>
    <row r="29" spans="1:824" ht="15.75" thickBot="1" x14ac:dyDescent="0.3">
      <c r="A29" t="s">
        <v>2180</v>
      </c>
      <c r="B29" t="s">
        <v>2179</v>
      </c>
      <c r="C29" t="s">
        <v>2196</v>
      </c>
      <c r="P29" t="s">
        <v>2083</v>
      </c>
      <c r="T29" s="14" t="s">
        <v>2063</v>
      </c>
      <c r="AD29" s="43"/>
      <c r="AE29" s="43"/>
      <c r="AH29" t="str">
        <f t="shared" si="16"/>
        <v>A6.1</v>
      </c>
      <c r="AI29" s="59">
        <f t="array" ref="AI29">IF(COUNTIFS(AH$2:AH29,AH29)=1,"1",VALUE(SUBSTITUTE(INDEX(AI:AI,_xlfn.XMATCH(AH29,AH$1:AH28,0,-1)),"A",""))+INDEX(AJ:AJ,_xlfn.XMATCH(AH29,AH$1:AH28,0,-1))+1)</f>
        <v>7</v>
      </c>
      <c r="AJ29" s="57">
        <f t="array" ref="AJ29">SUM(IF(ISNUMBER(FIND("TmDo",$BE$1:$AAQ$1)),IF(IFERROR(ISNUMBER(VALUE(SUBSTITUTE($BE29:$AAQ29,"B",""))),FALSE),IF(ISNUMBER(VALUE(SUBSTITUTE($BE29:$AAQ29,"B",""))),1,0),0)))</f>
        <v>0</v>
      </c>
      <c r="AK29" t="str">
        <f t="shared" si="17"/>
        <v>7A</v>
      </c>
      <c r="AL29" t="str">
        <f t="shared" si="18"/>
        <v>7B</v>
      </c>
      <c r="AP29" t="s">
        <v>2069</v>
      </c>
      <c r="AT29" t="s">
        <v>854</v>
      </c>
      <c r="AU29" t="s">
        <v>1399</v>
      </c>
      <c r="MA29" t="str">
        <f t="shared" si="0"/>
        <v>DI-</v>
      </c>
      <c r="AEG29" s="28" t="str">
        <f t="shared" si="19"/>
        <v>DO1-7A</v>
      </c>
      <c r="AEH29" s="19" t="str">
        <f t="shared" si="20"/>
        <v>DO1-7B</v>
      </c>
      <c r="AEI29" s="19" t="s">
        <v>2189</v>
      </c>
      <c r="AEJ29" s="19" t="s">
        <v>142</v>
      </c>
      <c r="AEK29" s="19" t="s">
        <v>143</v>
      </c>
      <c r="AEL29" s="19">
        <v>11</v>
      </c>
      <c r="AEM29" s="19">
        <v>14</v>
      </c>
      <c r="AEN29" s="19" t="str">
        <f t="shared" si="21"/>
        <v>24v6</v>
      </c>
      <c r="AEO29" s="19" t="str">
        <f t="shared" si="21"/>
        <v>0v6</v>
      </c>
      <c r="AEP29" s="19" t="s">
        <v>2168</v>
      </c>
      <c r="AEQ29" s="19" t="s">
        <v>547</v>
      </c>
      <c r="AER29" s="20" t="s">
        <v>548</v>
      </c>
    </row>
    <row r="30" spans="1:824" x14ac:dyDescent="0.25">
      <c r="A30" t="s">
        <v>2181</v>
      </c>
      <c r="B30" t="s">
        <v>2182</v>
      </c>
      <c r="C30" t="s">
        <v>2197</v>
      </c>
      <c r="P30" t="s">
        <v>1873</v>
      </c>
      <c r="T30" s="14" t="s">
        <v>2063</v>
      </c>
      <c r="AC30" t="s">
        <v>131</v>
      </c>
      <c r="AD30" s="43">
        <f t="array" ref="AD30">IF(COUNTIFS(AC$2:AC30,AC30)=1,"1",VALUE(SUBSTITUTE(INDEX(AD:AD,_xlfn.XMATCH(AC30,AC$1:AC29,0,-1)),"A",""))+INDEX(AE:AE,_xlfn.XMATCH(AC30,AC$1:AC29,0,-1))+1)</f>
        <v>8</v>
      </c>
      <c r="AE30" s="43">
        <f t="array" ref="AE30">SUM(IF(ISNUMBER(FIND("TmDi",$BE$1:$AAQ$1)),IF(IFERROR(ISNUMBER(VALUE(SUBSTITUTE($BE30:$AAQ30,"B",""))),FALSE),IF(ISNUMBER(VALUE(SUBSTITUTE($BE30:$AAQ30,"B",""))),1,0),0)))</f>
        <v>0</v>
      </c>
      <c r="AF30" t="str">
        <f>CONCATENATE("C",$AD30)</f>
        <v>C8</v>
      </c>
      <c r="AG30" t="str">
        <f>CONCATENATE("B",$AD30)</f>
        <v>B8</v>
      </c>
      <c r="AP30" t="s">
        <v>2069</v>
      </c>
      <c r="AT30" t="s">
        <v>854</v>
      </c>
      <c r="AU30" t="s">
        <v>1399</v>
      </c>
      <c r="LZ30" s="27" t="str">
        <f>CONCATENATE("DI",REPLACE($AC30,1,3,""),"-",$AF30)</f>
        <v>DI1-C8</v>
      </c>
      <c r="MA30" t="str">
        <f t="shared" si="0"/>
        <v>DI1-B8</v>
      </c>
      <c r="MB30" t="s">
        <v>1897</v>
      </c>
      <c r="MC30" t="s">
        <v>1898</v>
      </c>
      <c r="MD30">
        <v>11</v>
      </c>
      <c r="ME30">
        <v>14</v>
      </c>
      <c r="MF30" t="s">
        <v>142</v>
      </c>
      <c r="MG30" t="s">
        <v>143</v>
      </c>
      <c r="MH30" t="s">
        <v>488</v>
      </c>
      <c r="MI30" t="s">
        <v>487</v>
      </c>
      <c r="MJ30" t="s">
        <v>414</v>
      </c>
      <c r="MK30" t="s">
        <v>413</v>
      </c>
      <c r="MR30">
        <v>1</v>
      </c>
      <c r="MS30" s="16">
        <v>2</v>
      </c>
    </row>
  </sheetData>
  <autoFilter ref="P1:P30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8F336D9C-5EE9-460F-BF39-6F736B0FB1E2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4F158B8D-A77B-4D82-9D99-B46201AD9419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E6979C58-B574-4401-9CBD-261C14B59EFD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F0DB06E0-2836-49DD-89B6-1488E762F910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DDDD8408-755C-4D72-9918-F9CBB0D3D390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246F99D8-DBBD-48F1-A61F-7BBF1E6C5B79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4035A727-E91C-4B0D-8A4F-ED262B5A13CA}"/>
    </customSheetView>
  </customSheetViews>
  <phoneticPr fontId="3" type="noConversion"/>
  <conditionalFormatting sqref="B4:B1048576 B1">
    <cfRule type="duplicateValues" dxfId="24" priority="146"/>
  </conditionalFormatting>
  <conditionalFormatting sqref="V16:V1048576 V1:V3">
    <cfRule type="duplicateValues" dxfId="23" priority="41"/>
  </conditionalFormatting>
  <conditionalFormatting sqref="V16:W1048576 V4:V15 V1:W3">
    <cfRule type="duplicateValues" dxfId="22" priority="39"/>
  </conditionalFormatting>
  <conditionalFormatting sqref="Y1:Y1048576">
    <cfRule type="cellIs" dxfId="21" priority="8" operator="greaterThan">
      <formula>8</formula>
    </cfRule>
    <cfRule type="cellIs" dxfId="20" priority="40" operator="equal">
      <formula>"Y:Y+Z:Z&gt;8"</formula>
    </cfRule>
  </conditionalFormatting>
  <conditionalFormatting sqref="AD1 AD16:AD30">
    <cfRule type="cellIs" dxfId="19" priority="38" operator="equal">
      <formula>"Y:Y+Z:Z&gt;8"</formula>
    </cfRule>
  </conditionalFormatting>
  <conditionalFormatting sqref="AI1">
    <cfRule type="cellIs" dxfId="18" priority="35" operator="equal">
      <formula>"Y:Y+Z:Z&gt;8"</formula>
    </cfRule>
  </conditionalFormatting>
  <conditionalFormatting sqref="A1">
    <cfRule type="duplicateValues" dxfId="1" priority="147"/>
  </conditionalFormatting>
  <conditionalFormatting sqref="A1:A1048576">
    <cfRule type="duplicateValues" dxfId="0" priority="148"/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7" priority="11"/>
  </conditionalFormatting>
  <conditionalFormatting sqref="A221:A224 A1:A32 A226:A227 A283:A305 A307:A1048576">
    <cfRule type="duplicateValues" dxfId="16" priority="10"/>
  </conditionalFormatting>
  <conditionalFormatting sqref="A283:A285">
    <cfRule type="duplicateValues" dxfId="15" priority="1"/>
  </conditionalFormatting>
  <conditionalFormatting sqref="B1:B56 B221:B229 B267:B303 B307:B1048576">
    <cfRule type="duplicateValues" dxfId="14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3" priority="8"/>
  </conditionalFormatting>
  <conditionalFormatting sqref="V1:W230 V231 V232:W1048576">
    <cfRule type="duplicateValues" dxfId="12" priority="6"/>
  </conditionalFormatting>
  <conditionalFormatting sqref="Y1:Y1048576">
    <cfRule type="cellIs" dxfId="11" priority="7" operator="equal">
      <formula>"Y:Y+Z:Z&gt;8"</formula>
    </cfRule>
  </conditionalFormatting>
  <conditionalFormatting sqref="AD1">
    <cfRule type="cellIs" dxfId="10" priority="5" operator="equal">
      <formula>"Y:Y+Z:Z&gt;8"</formula>
    </cfRule>
  </conditionalFormatting>
  <conditionalFormatting sqref="AD267:AD294">
    <cfRule type="cellIs" dxfId="9" priority="4" operator="equal">
      <formula>"Y:Y+Z:Z&gt;8"</formula>
    </cfRule>
  </conditionalFormatting>
  <conditionalFormatting sqref="AI1">
    <cfRule type="cellIs" dxfId="8" priority="2" operator="equal">
      <formula>"Y:Y+Z:Z&gt;8"</formula>
    </cfRule>
  </conditionalFormatting>
  <conditionalFormatting sqref="AI267:AI285">
    <cfRule type="cellIs" dxfId="7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6" priority="5"/>
  </conditionalFormatting>
  <conditionalFormatting sqref="A221:A224 A1:A32 A226:A227 A235:A1048576">
    <cfRule type="duplicateValues" dxfId="5" priority="4"/>
  </conditionalFormatting>
  <conditionalFormatting sqref="B1:B56 B221:B229 B235:B1048576">
    <cfRule type="duplicateValues" dxfId="4" priority="3"/>
  </conditionalFormatting>
  <conditionalFormatting sqref="V1:V182 V187 V192 V197 V202 W183:W220 V221:V222 W223:W224 V225:V1048576">
    <cfRule type="duplicateValues" dxfId="3" priority="2"/>
  </conditionalFormatting>
  <conditionalFormatting sqref="Y1:Y1048576">
    <cfRule type="cellIs" dxfId="2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2001</v>
      </c>
      <c r="C27" t="s">
        <v>2201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2005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2002</v>
      </c>
      <c r="C29" t="s">
        <v>2009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2006</v>
      </c>
      <c r="C30" t="s">
        <v>2009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2003</v>
      </c>
      <c r="C31" t="s">
        <v>2009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2007</v>
      </c>
      <c r="C32" t="s">
        <v>2009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2004</v>
      </c>
      <c r="C33" t="s">
        <v>2009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2008</v>
      </c>
      <c r="C34" t="s">
        <v>2009</v>
      </c>
      <c r="D34" t="s">
        <v>974</v>
      </c>
      <c r="E34" t="s">
        <v>1779</v>
      </c>
    </row>
    <row r="35" spans="1:5" x14ac:dyDescent="0.25">
      <c r="A35" t="s">
        <v>2202</v>
      </c>
      <c r="B35" t="s">
        <v>2199</v>
      </c>
      <c r="C35" t="s">
        <v>969</v>
      </c>
      <c r="D35" t="s">
        <v>974</v>
      </c>
    </row>
    <row r="36" spans="1:5" x14ac:dyDescent="0.25">
      <c r="A36" t="s">
        <v>2202</v>
      </c>
      <c r="B36" t="s">
        <v>2200</v>
      </c>
      <c r="C36" t="s">
        <v>969</v>
      </c>
      <c r="D36" t="s">
        <v>974</v>
      </c>
    </row>
    <row r="37" spans="1:5" x14ac:dyDescent="0.25">
      <c r="A37" t="s">
        <v>974</v>
      </c>
      <c r="B37" t="s">
        <v>2203</v>
      </c>
      <c r="C37" t="s">
        <v>969</v>
      </c>
      <c r="D37" t="s">
        <v>2205</v>
      </c>
    </row>
    <row r="38" spans="1:5" x14ac:dyDescent="0.25">
      <c r="A38" t="s">
        <v>974</v>
      </c>
      <c r="B38" t="s">
        <v>2204</v>
      </c>
      <c r="C38" t="s">
        <v>969</v>
      </c>
      <c r="D38" t="s">
        <v>2206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2025-12-03T20:39:46Z</dcterms:modified>
</cp:coreProperties>
</file>