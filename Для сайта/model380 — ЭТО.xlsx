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Для сайта\"/>
    </mc:Choice>
  </mc:AlternateContent>
  <xr:revisionPtr revIDLastSave="0" documentId="13_ncr:1_{182F138F-05FB-4C19-876E-022057E3F4E6}" xr6:coauthVersionLast="47" xr6:coauthVersionMax="47" xr10:uidLastSave="{00000000-0000-0000-0000-000000000000}"/>
  <bookViews>
    <workbookView xWindow="-120" yWindow="-120" windowWidth="29040" windowHeight="15840" tabRatio="688" xr2:uid="{00000000-000D-0000-FFFF-FFFF00000000}"/>
  </bookViews>
  <sheets>
    <sheet name="Лист1" sheetId="1" r:id="rId1"/>
    <sheet name="250630" sheetId="5" r:id="rId2"/>
    <sheet name="250620" sheetId="4" r:id="rId3"/>
    <sheet name="Кабеля между шкафами" sheetId="2" r:id="rId4"/>
  </sheets>
  <definedNames>
    <definedName name="_xlnm._FilterDatabase" localSheetId="2" hidden="1">'250620'!$P$1:$P$224</definedName>
    <definedName name="_xlnm._FilterDatabase" localSheetId="1" hidden="1">'250630'!$P$1:$P$294</definedName>
    <definedName name="_xlnm._FilterDatabase" localSheetId="0" hidden="1">Лист1!$P$1:$P$326</definedName>
    <definedName name="Z_2AA7760F_427D_46EA_9E7F_EB5415B3542C_.wvu.Cols" localSheetId="2" hidden="1">'250620'!$D:$O,'250620'!$Q:$S,'250620'!$W:$W,'250620'!$AC:$AK,'250620'!$AM:$AN,'250620'!$AP:$AQ,'250620'!$AU:$JU</definedName>
    <definedName name="Z_2AA7760F_427D_46EA_9E7F_EB5415B3542C_.wvu.Cols" localSheetId="1" hidden="1">'250630'!$D:$O,'250630'!$Q:$S,'250630'!$W:$W,'250630'!$AC:$AO,'250630'!$AQ:$AR,'250630'!$AT:$AU,'250630'!$AY:$JY</definedName>
    <definedName name="Z_2AA7760F_427D_46EA_9E7F_EB5415B3542C_.wvu.Cols" localSheetId="0" hidden="1">Лист1!$D:$O,Лист1!$Q:$S,Лист1!$W:$W,Лист1!$AC:$AO,Лист1!$AQ:$AR,Лист1!$AT:$AU,Лист1!$AY:$JY</definedName>
    <definedName name="Z_2AA7760F_427D_46EA_9E7F_EB5415B3542C_.wvu.FilterData" localSheetId="2" hidden="1">'250620'!$P$1:$P$152</definedName>
    <definedName name="Z_2AA7760F_427D_46EA_9E7F_EB5415B3542C_.wvu.FilterData" localSheetId="1" hidden="1">'250630'!$P$1:$P$152</definedName>
    <definedName name="Z_2AA7760F_427D_46EA_9E7F_EB5415B3542C_.wvu.FilterData" localSheetId="0" hidden="1">Лист1!$P$1:$P$152</definedName>
    <definedName name="Z_6000112E_A5E6_4231_BD98_47DC722AA734_.wvu.Cols" localSheetId="2" hidden="1">'250620'!$D:$O,'250620'!$Q:$S,'250620'!$W:$AB,'250620'!$AF:$AK,'250620'!$AM:$AO,'250620'!$AQ:$AQ,'250620'!$AU:$KO</definedName>
    <definedName name="Z_6000112E_A5E6_4231_BD98_47DC722AA734_.wvu.Cols" localSheetId="1" hidden="1">'250630'!$D:$O,'250630'!$Q:$S,'250630'!$W:$AB,'250630'!$AH:$AO,'250630'!$AQ:$AS,'250630'!$AU:$AU,'250630'!$AY:$KS</definedName>
    <definedName name="Z_6000112E_A5E6_4231_BD98_47DC722AA734_.wvu.Cols" localSheetId="0" hidden="1">Лист1!$D:$O,Лист1!$Q:$S,Лист1!$W:$AB,Лист1!$AH:$AO,Лист1!$AQ:$AS,Лист1!$AU:$AU,Лист1!$AY:$KS</definedName>
    <definedName name="Z_6000112E_A5E6_4231_BD98_47DC722AA734_.wvu.FilterData" localSheetId="2" hidden="1">'250620'!$P$1:$P$186</definedName>
    <definedName name="Z_6000112E_A5E6_4231_BD98_47DC722AA734_.wvu.FilterData" localSheetId="1" hidden="1">'250630'!$P$1:$P$186</definedName>
    <definedName name="Z_6000112E_A5E6_4231_BD98_47DC722AA734_.wvu.FilterData" localSheetId="0" hidden="1">Лист1!$P$1:$P$186</definedName>
    <definedName name="Z_7FEA431A_A608_4A51_A317_26884A517696_.wvu.Cols" localSheetId="2" hidden="1">'250620'!$D:$O,'250620'!$Q:$S,'250620'!$W:$W,'250620'!$AC:$AK,'250620'!$AN:$AN,'250620'!$AP:$AQ,'250620'!$AU:$LI</definedName>
    <definedName name="Z_7FEA431A_A608_4A51_A317_26884A517696_.wvu.Cols" localSheetId="1" hidden="1">'250630'!$D:$O,'250630'!$Q:$S,'250630'!$W:$W,'250630'!$AC:$AO,'250630'!$AR:$AR,'250630'!$AT:$AU,'250630'!$AY:$LM</definedName>
    <definedName name="Z_7FEA431A_A608_4A51_A317_26884A517696_.wvu.Cols" localSheetId="0" hidden="1">Лист1!$D:$O,Лист1!$Q:$S,Лист1!$W:$W,Лист1!$AC:$AO,Лист1!$AR:$AR,Лист1!$AT:$AU,Лист1!$AY:$LM</definedName>
    <definedName name="Z_7FEA431A_A608_4A51_A317_26884A517696_.wvu.FilterData" localSheetId="2" hidden="1">'250620'!$P$1:$P$186</definedName>
    <definedName name="Z_7FEA431A_A608_4A51_A317_26884A517696_.wvu.FilterData" localSheetId="1" hidden="1">'250630'!$P$1:$P$186</definedName>
    <definedName name="Z_7FEA431A_A608_4A51_A317_26884A517696_.wvu.FilterData" localSheetId="0" hidden="1">Лист1!$P$1:$P$186</definedName>
    <definedName name="Z_9CAC7FA4_7183_4976_BDEB_B1D0832FBE64_.wvu.Cols" localSheetId="2" hidden="1">'250620'!$D:$O,'250620'!$Q:$S</definedName>
    <definedName name="Z_9CAC7FA4_7183_4976_BDEB_B1D0832FBE64_.wvu.Cols" localSheetId="1" hidden="1">'250630'!$D:$O,'250630'!$Q:$S</definedName>
    <definedName name="Z_9CAC7FA4_7183_4976_BDEB_B1D0832FBE64_.wvu.Cols" localSheetId="0" hidden="1">Лист1!$D:$O,Лист1!$Q:$S</definedName>
    <definedName name="Z_9CAC7FA4_7183_4976_BDEB_B1D0832FBE64_.wvu.FilterData" localSheetId="2" hidden="1">'250620'!$P$1:$P$186</definedName>
    <definedName name="Z_9CAC7FA4_7183_4976_BDEB_B1D0832FBE64_.wvu.FilterData" localSheetId="1" hidden="1">'250630'!$P$1:$P$186</definedName>
    <definedName name="Z_9CAC7FA4_7183_4976_BDEB_B1D0832FBE64_.wvu.FilterData" localSheetId="0" hidden="1">Лист1!$P$1:$P$186</definedName>
    <definedName name="Z_A7A1A132_6B40_4748_B234_5C4C7FE3C00A_.wvu.Cols" localSheetId="2" hidden="1">'250620'!$C:$O,'250620'!$Q:$S,'250620'!$AR:$AT,'250620'!$BA:$EM</definedName>
    <definedName name="Z_A7A1A132_6B40_4748_B234_5C4C7FE3C00A_.wvu.Cols" localSheetId="1" hidden="1">'250630'!$C:$O,'250630'!$Q:$S,'250630'!$AV:$AX,'250630'!$BE:$EQ</definedName>
    <definedName name="Z_A7A1A132_6B40_4748_B234_5C4C7FE3C00A_.wvu.Cols" localSheetId="0" hidden="1">Лист1!$C:$O,Лист1!$Q:$S,Лист1!$AV:$AX,Лист1!$BE:$EQ</definedName>
    <definedName name="Z_A7A1A132_6B40_4748_B234_5C4C7FE3C00A_.wvu.FilterData" localSheetId="2" hidden="1">'250620'!$P$1:$P$42</definedName>
    <definedName name="Z_A7A1A132_6B40_4748_B234_5C4C7FE3C00A_.wvu.FilterData" localSheetId="1" hidden="1">'250630'!$P$1:$P$42</definedName>
    <definedName name="Z_A7A1A132_6B40_4748_B234_5C4C7FE3C00A_.wvu.FilterData" localSheetId="0" hidden="1">Лист1!$P$1:$P$42</definedName>
    <definedName name="Z_C835B057_266C_4AD9_BD8A_E692A165D221_.wvu.Cols" localSheetId="2" hidden="1">'250620'!$C:$O,'250620'!$Q:$S,'250620'!$AJ:$AK,'250620'!$AN:$AN,'250620'!$AU:$AZ</definedName>
    <definedName name="Z_C835B057_266C_4AD9_BD8A_E692A165D221_.wvu.Cols" localSheetId="1" hidden="1">'250630'!$C:$O,'250630'!$Q:$S,'250630'!$AN:$AO,'250630'!$AR:$AR,'250630'!$AY:$BD</definedName>
    <definedName name="Z_C835B057_266C_4AD9_BD8A_E692A165D221_.wvu.Cols" localSheetId="0" hidden="1">Лист1!$C:$O,Лист1!$Q:$S,Лист1!$AN:$AO,Лист1!$AR:$AR,Лист1!$AY:$BD</definedName>
    <definedName name="Z_C835B057_266C_4AD9_BD8A_E692A165D221_.wvu.FilterData" localSheetId="2" hidden="1">'250620'!$P$1:$P$42</definedName>
    <definedName name="Z_C835B057_266C_4AD9_BD8A_E692A165D221_.wvu.FilterData" localSheetId="1" hidden="1">'250630'!$P$1:$P$42</definedName>
    <definedName name="Z_C835B057_266C_4AD9_BD8A_E692A165D221_.wvu.FilterData" localSheetId="0" hidden="1">Лист1!$P$1:$P$42</definedName>
    <definedName name="Z_FF0A9AC6_3E8C_4AE0_B1AB_88458BDDC2AD_.wvu.Cols" localSheetId="2" hidden="1">'250620'!$C:$O,'250620'!$Q:$S,'250620'!$AJ:$AK,'250620'!$AN:$AN,'250620'!$AR:$AT,'250620'!$BA:$GO</definedName>
    <definedName name="Z_FF0A9AC6_3E8C_4AE0_B1AB_88458BDDC2AD_.wvu.Cols" localSheetId="1" hidden="1">'250630'!$C:$O,'250630'!$Q:$S,'250630'!$AN:$AO,'250630'!$AR:$AR,'250630'!$AV:$AX,'250630'!$BE:$GS</definedName>
    <definedName name="Z_FF0A9AC6_3E8C_4AE0_B1AB_88458BDDC2AD_.wvu.Cols" localSheetId="0" hidden="1">Лист1!$C:$O,Лист1!$Q:$S,Лист1!$AN:$AO,Лист1!$AR:$AR,Лист1!$AV:$AX,Лист1!$BE:$GS</definedName>
    <definedName name="Z_FF0A9AC6_3E8C_4AE0_B1AB_88458BDDC2AD_.wvu.FilterData" localSheetId="2" hidden="1">'250620'!$P$1:$P$44</definedName>
    <definedName name="Z_FF0A9AC6_3E8C_4AE0_B1AB_88458BDDC2AD_.wvu.FilterData" localSheetId="1" hidden="1">'250630'!$P$1:$P$44</definedName>
    <definedName name="Z_FF0A9AC6_3E8C_4AE0_B1AB_88458BDDC2AD_.wvu.FilterData" localSheetId="0" hidden="1">Лист1!$P$1:$P$44</definedName>
  </definedNames>
  <calcPr calcId="191029"/>
  <customWorkbookViews>
    <customWorkbookView name="se0004" guid="{FF0A9AC6-3E8C-4AE0-B1AB-88458BDDC2AD}" maximized="1" xWindow="-8" yWindow="-8" windowWidth="1936" windowHeight="1056" activeSheetId="1"/>
    <customWorkbookView name="se0001, se0002" guid="{C835B057-266C-4AD9-BD8A-E692A165D221}" maximized="1" xWindow="-8" yWindow="-8" windowWidth="1936" windowHeight="1056" activeSheetId="1"/>
    <customWorkbookView name="se0003" guid="{A7A1A132-6B40-4748-B234-5C4C7FE3C00A}" maximized="1" xWindow="-8" yWindow="-8" windowWidth="1936" windowHeight="1056" activeSheetId="1"/>
    <customWorkbookView name="se0005,6,7" guid="{2AA7760F-427D-46EA-9E7F-EB5415B3542C}" maximized="1" xWindow="-8" yWindow="-8" windowWidth="1936" windowHeight="1056" activeSheetId="1"/>
    <customWorkbookView name="se0008" guid="{6000112E-A5E6-4231-BD98-47DC722AA734}" maximized="1" xWindow="-8" yWindow="-8" windowWidth="1936" windowHeight="1056" activeSheetId="1"/>
    <customWorkbookView name="se0009" guid="{7FEA431A-A608-4A51-A317-26884A517696}" maximized="1" xWindow="-8" yWindow="-8" windowWidth="1936" windowHeight="1056" activeSheetId="1"/>
    <customWorkbookView name="Общий" guid="{9CAC7FA4-7183-4976-BDEB-B1D0832FBE64}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R303" i="1" l="1"/>
  <c r="MR304" i="1" s="1"/>
  <c r="MR305" i="1" s="1"/>
  <c r="MR306" i="1" s="1"/>
  <c r="MQ303" i="1"/>
  <c r="MQ304" i="1" s="1"/>
  <c r="MQ305" i="1" s="1"/>
  <c r="MQ306" i="1" s="1"/>
  <c r="MG303" i="1"/>
  <c r="MG304" i="1" s="1"/>
  <c r="MG305" i="1" s="1"/>
  <c r="MG306" i="1" s="1"/>
  <c r="MD303" i="1"/>
  <c r="MD304" i="1" s="1"/>
  <c r="MD305" i="1" s="1"/>
  <c r="MD306" i="1" s="1"/>
  <c r="MC303" i="1"/>
  <c r="MC304" i="1" s="1"/>
  <c r="MC305" i="1" s="1"/>
  <c r="MC306" i="1" s="1"/>
  <c r="MR302" i="1"/>
  <c r="MQ302" i="1"/>
  <c r="MJ302" i="1"/>
  <c r="MJ303" i="1" s="1"/>
  <c r="MJ304" i="1" s="1"/>
  <c r="MJ305" i="1" s="1"/>
  <c r="MJ306" i="1" s="1"/>
  <c r="MI302" i="1"/>
  <c r="MI303" i="1" s="1"/>
  <c r="MI304" i="1" s="1"/>
  <c r="MI305" i="1" s="1"/>
  <c r="MI306" i="1" s="1"/>
  <c r="MH302" i="1"/>
  <c r="MH303" i="1" s="1"/>
  <c r="MH304" i="1" s="1"/>
  <c r="MH305" i="1" s="1"/>
  <c r="MH306" i="1" s="1"/>
  <c r="MG302" i="1"/>
  <c r="MF302" i="1"/>
  <c r="MF303" i="1" s="1"/>
  <c r="MF304" i="1" s="1"/>
  <c r="MF305" i="1" s="1"/>
  <c r="MF306" i="1" s="1"/>
  <c r="ME302" i="1"/>
  <c r="ME303" i="1" s="1"/>
  <c r="ME304" i="1" s="1"/>
  <c r="ME305" i="1" s="1"/>
  <c r="ME306" i="1" s="1"/>
  <c r="MD302" i="1"/>
  <c r="MC302" i="1"/>
  <c r="MR296" i="1" l="1"/>
  <c r="MR297" i="1" s="1"/>
  <c r="MR298" i="1" s="1"/>
  <c r="MR299" i="1" s="1"/>
  <c r="MR300" i="1" s="1"/>
  <c r="MQ296" i="1"/>
  <c r="MQ297" i="1" s="1"/>
  <c r="MQ298" i="1" s="1"/>
  <c r="MQ299" i="1" s="1"/>
  <c r="MQ300" i="1" s="1"/>
  <c r="MJ296" i="1"/>
  <c r="MJ297" i="1" s="1"/>
  <c r="MJ298" i="1" s="1"/>
  <c r="MJ299" i="1" s="1"/>
  <c r="MJ300" i="1" s="1"/>
  <c r="MI296" i="1"/>
  <c r="MI297" i="1" s="1"/>
  <c r="MI298" i="1" s="1"/>
  <c r="MI299" i="1" s="1"/>
  <c r="MI300" i="1" s="1"/>
  <c r="MH296" i="1"/>
  <c r="MH297" i="1" s="1"/>
  <c r="MH298" i="1" s="1"/>
  <c r="MH299" i="1" s="1"/>
  <c r="MH300" i="1" s="1"/>
  <c r="MG296" i="1"/>
  <c r="MG297" i="1" s="1"/>
  <c r="MG298" i="1" s="1"/>
  <c r="MG299" i="1" s="1"/>
  <c r="MG300" i="1" s="1"/>
  <c r="MF296" i="1"/>
  <c r="MF297" i="1" s="1"/>
  <c r="MF298" i="1" s="1"/>
  <c r="MF299" i="1" s="1"/>
  <c r="MF300" i="1" s="1"/>
  <c r="ME296" i="1"/>
  <c r="ME297" i="1" s="1"/>
  <c r="ME298" i="1" s="1"/>
  <c r="ME299" i="1" s="1"/>
  <c r="ME300" i="1" s="1"/>
  <c r="MD296" i="1"/>
  <c r="MD297" i="1" s="1"/>
  <c r="MD298" i="1" s="1"/>
  <c r="MD299" i="1" s="1"/>
  <c r="MD300" i="1" s="1"/>
  <c r="MC296" i="1"/>
  <c r="MC297" i="1" s="1"/>
  <c r="MC298" i="1" s="1"/>
  <c r="MC299" i="1" s="1"/>
  <c r="MC300" i="1" s="1"/>
  <c r="FU365" i="1"/>
  <c r="FT365" i="1"/>
  <c r="FS365" i="1"/>
  <c r="FR365" i="1"/>
  <c r="FQ365" i="1"/>
  <c r="FP365" i="1"/>
  <c r="FO365" i="1"/>
  <c r="FN365" i="1"/>
  <c r="FM365" i="1"/>
  <c r="FL365" i="1"/>
  <c r="FK365" i="1"/>
  <c r="FJ365" i="1"/>
  <c r="FI365" i="1"/>
  <c r="ER365" i="1"/>
  <c r="DH364" i="1"/>
  <c r="DG364" i="1"/>
  <c r="DF364" i="1"/>
  <c r="DE364" i="1"/>
  <c r="DD364" i="1"/>
  <c r="DC364" i="1"/>
  <c r="DB364" i="1"/>
  <c r="DA364" i="1"/>
  <c r="CZ364" i="1"/>
  <c r="CY364" i="1"/>
  <c r="CX364" i="1"/>
  <c r="CW364" i="1"/>
  <c r="CV364" i="1"/>
  <c r="CU364" i="1"/>
  <c r="CT364" i="1"/>
  <c r="CS364" i="1"/>
  <c r="CR364" i="1"/>
  <c r="CQ364" i="1"/>
  <c r="CP364" i="1"/>
  <c r="CO364" i="1"/>
  <c r="CN364" i="1"/>
  <c r="CM364" i="1"/>
  <c r="CL364" i="1"/>
  <c r="BE364" i="1"/>
  <c r="DH363" i="1"/>
  <c r="DG363" i="1"/>
  <c r="DF363" i="1"/>
  <c r="DE363" i="1"/>
  <c r="DD363" i="1"/>
  <c r="DC363" i="1"/>
  <c r="DB363" i="1"/>
  <c r="DA363" i="1"/>
  <c r="CZ363" i="1"/>
  <c r="CY363" i="1"/>
  <c r="CX363" i="1"/>
  <c r="CW363" i="1"/>
  <c r="CV363" i="1"/>
  <c r="CU363" i="1"/>
  <c r="CT363" i="1"/>
  <c r="CS363" i="1"/>
  <c r="CR363" i="1"/>
  <c r="CQ363" i="1"/>
  <c r="CP363" i="1"/>
  <c r="CO363" i="1"/>
  <c r="CN363" i="1"/>
  <c r="CM363" i="1"/>
  <c r="CL363" i="1"/>
  <c r="BE363" i="1"/>
  <c r="DO360" i="1"/>
  <c r="DO361" i="1" s="1"/>
  <c r="DO362" i="1" s="1"/>
  <c r="BE360" i="1"/>
  <c r="CL360" i="1"/>
  <c r="CM360" i="1"/>
  <c r="CN360" i="1"/>
  <c r="CO360" i="1"/>
  <c r="CP360" i="1"/>
  <c r="CQ360" i="1"/>
  <c r="CR360" i="1"/>
  <c r="CS360" i="1"/>
  <c r="CT360" i="1"/>
  <c r="CU360" i="1"/>
  <c r="CV360" i="1"/>
  <c r="CW360" i="1"/>
  <c r="CX360" i="1"/>
  <c r="CY360" i="1"/>
  <c r="CZ360" i="1"/>
  <c r="DA360" i="1"/>
  <c r="DB360" i="1"/>
  <c r="DC360" i="1"/>
  <c r="DD360" i="1"/>
  <c r="DE360" i="1"/>
  <c r="DF360" i="1"/>
  <c r="DG360" i="1"/>
  <c r="DH360" i="1"/>
  <c r="BE361" i="1"/>
  <c r="CL361" i="1"/>
  <c r="CM361" i="1"/>
  <c r="CN361" i="1"/>
  <c r="CO361" i="1"/>
  <c r="CP361" i="1"/>
  <c r="CQ361" i="1"/>
  <c r="CR361" i="1"/>
  <c r="CS361" i="1"/>
  <c r="CT361" i="1"/>
  <c r="CU361" i="1"/>
  <c r="CV361" i="1"/>
  <c r="CW361" i="1"/>
  <c r="CX361" i="1"/>
  <c r="CY361" i="1"/>
  <c r="CZ361" i="1"/>
  <c r="DA361" i="1"/>
  <c r="DB361" i="1"/>
  <c r="DC361" i="1"/>
  <c r="DD361" i="1"/>
  <c r="DE361" i="1"/>
  <c r="DF361" i="1"/>
  <c r="DG361" i="1"/>
  <c r="DH361" i="1"/>
  <c r="BE362" i="1"/>
  <c r="CL362" i="1"/>
  <c r="CM362" i="1"/>
  <c r="CN362" i="1"/>
  <c r="CO362" i="1"/>
  <c r="CP362" i="1"/>
  <c r="CQ362" i="1"/>
  <c r="CR362" i="1"/>
  <c r="CS362" i="1"/>
  <c r="CT362" i="1"/>
  <c r="CU362" i="1"/>
  <c r="CV362" i="1"/>
  <c r="CW362" i="1"/>
  <c r="CX362" i="1"/>
  <c r="CY362" i="1"/>
  <c r="CZ362" i="1"/>
  <c r="DA362" i="1"/>
  <c r="DB362" i="1"/>
  <c r="DC362" i="1"/>
  <c r="DD362" i="1"/>
  <c r="DE362" i="1"/>
  <c r="DF362" i="1"/>
  <c r="DG362" i="1"/>
  <c r="DH362" i="1"/>
  <c r="DH352" i="1"/>
  <c r="DG352" i="1"/>
  <c r="DF352" i="1"/>
  <c r="DE352" i="1"/>
  <c r="DD352" i="1"/>
  <c r="DC352" i="1"/>
  <c r="DB352" i="1"/>
  <c r="DA352" i="1"/>
  <c r="CZ352" i="1"/>
  <c r="CY352" i="1"/>
  <c r="CX352" i="1"/>
  <c r="CW352" i="1"/>
  <c r="CV352" i="1"/>
  <c r="CU352" i="1"/>
  <c r="CT352" i="1"/>
  <c r="CS352" i="1"/>
  <c r="CR352" i="1"/>
  <c r="CQ352" i="1"/>
  <c r="CP352" i="1"/>
  <c r="CO352" i="1"/>
  <c r="CN352" i="1"/>
  <c r="CM352" i="1"/>
  <c r="CL352" i="1"/>
  <c r="CE352" i="1"/>
  <c r="CD352" i="1"/>
  <c r="CC352" i="1"/>
  <c r="CB352" i="1"/>
  <c r="BE352" i="1"/>
  <c r="DH353" i="1"/>
  <c r="DG353" i="1"/>
  <c r="DF353" i="1"/>
  <c r="DE353" i="1"/>
  <c r="DD353" i="1"/>
  <c r="DC353" i="1"/>
  <c r="DB353" i="1"/>
  <c r="DA353" i="1"/>
  <c r="CZ353" i="1"/>
  <c r="CY353" i="1"/>
  <c r="CX353" i="1"/>
  <c r="CW353" i="1"/>
  <c r="CV353" i="1"/>
  <c r="CU353" i="1"/>
  <c r="CT353" i="1"/>
  <c r="CS353" i="1"/>
  <c r="CR353" i="1"/>
  <c r="CQ353" i="1"/>
  <c r="CP353" i="1"/>
  <c r="CO353" i="1"/>
  <c r="CN353" i="1"/>
  <c r="CM353" i="1"/>
  <c r="CL353" i="1"/>
  <c r="BE353" i="1"/>
  <c r="DH354" i="1"/>
  <c r="DG354" i="1"/>
  <c r="DF354" i="1"/>
  <c r="DE354" i="1"/>
  <c r="DD354" i="1"/>
  <c r="DC354" i="1"/>
  <c r="DB354" i="1"/>
  <c r="DA354" i="1"/>
  <c r="CZ354" i="1"/>
  <c r="CY354" i="1"/>
  <c r="CX354" i="1"/>
  <c r="CW354" i="1"/>
  <c r="CV354" i="1"/>
  <c r="CU354" i="1"/>
  <c r="CT354" i="1"/>
  <c r="CS354" i="1"/>
  <c r="CR354" i="1"/>
  <c r="CQ354" i="1"/>
  <c r="CP354" i="1"/>
  <c r="CO354" i="1"/>
  <c r="CN354" i="1"/>
  <c r="CM354" i="1"/>
  <c r="CL354" i="1"/>
  <c r="BE354" i="1"/>
  <c r="DH355" i="1"/>
  <c r="DG355" i="1"/>
  <c r="DF355" i="1"/>
  <c r="DE355" i="1"/>
  <c r="DD355" i="1"/>
  <c r="DC355" i="1"/>
  <c r="DB355" i="1"/>
  <c r="DA355" i="1"/>
  <c r="CZ355" i="1"/>
  <c r="CY355" i="1"/>
  <c r="CX355" i="1"/>
  <c r="CW355" i="1"/>
  <c r="CV355" i="1"/>
  <c r="CU355" i="1"/>
  <c r="CT355" i="1"/>
  <c r="CS355" i="1"/>
  <c r="CR355" i="1"/>
  <c r="CQ355" i="1"/>
  <c r="CP355" i="1"/>
  <c r="CO355" i="1"/>
  <c r="CN355" i="1"/>
  <c r="CM355" i="1"/>
  <c r="CL355" i="1"/>
  <c r="BE355" i="1"/>
  <c r="DH359" i="1"/>
  <c r="DG359" i="1"/>
  <c r="DF359" i="1"/>
  <c r="DE359" i="1"/>
  <c r="DD359" i="1"/>
  <c r="DC359" i="1"/>
  <c r="DB359" i="1"/>
  <c r="DA359" i="1"/>
  <c r="CZ359" i="1"/>
  <c r="CY359" i="1"/>
  <c r="CX359" i="1"/>
  <c r="CW359" i="1"/>
  <c r="CV359" i="1"/>
  <c r="CU359" i="1"/>
  <c r="CT359" i="1"/>
  <c r="CS359" i="1"/>
  <c r="CR359" i="1"/>
  <c r="CQ359" i="1"/>
  <c r="CP359" i="1"/>
  <c r="CO359" i="1"/>
  <c r="CN359" i="1"/>
  <c r="CM359" i="1"/>
  <c r="CL359" i="1"/>
  <c r="BE359" i="1"/>
  <c r="JZ319" i="1"/>
  <c r="KJ319" i="1"/>
  <c r="KK319" i="1" s="1"/>
  <c r="KL319" i="1" s="1"/>
  <c r="JZ320" i="1"/>
  <c r="AI12" i="1" l="1" a="1"/>
  <c r="AI12" i="1" s="1"/>
  <c r="AL12" i="1" s="1"/>
  <c r="BQ12" i="1" s="1"/>
  <c r="BS12" i="1" s="1"/>
  <c r="AI22" i="1" a="1"/>
  <c r="AI22" i="1" s="1"/>
  <c r="AL22" i="1" s="1"/>
  <c r="BQ22" i="1" s="1"/>
  <c r="BS22" i="1" s="1"/>
  <c r="AI32" i="1" a="1"/>
  <c r="AI32" i="1" s="1"/>
  <c r="AL32" i="1" s="1"/>
  <c r="BQ32" i="1" s="1"/>
  <c r="BS32" i="1" s="1"/>
  <c r="AI34" i="1" a="1"/>
  <c r="AI34" i="1" s="1"/>
  <c r="AK34" i="1" s="1"/>
  <c r="EW34" i="1" s="1"/>
  <c r="AI43" i="1" a="1"/>
  <c r="AI43" i="1" s="1"/>
  <c r="AL43" i="1" s="1"/>
  <c r="HF43" i="1" s="1"/>
  <c r="AI2" i="1" a="1"/>
  <c r="AI2" i="1" s="1"/>
  <c r="AK2" i="1" s="1"/>
  <c r="BP2" i="1" s="1"/>
  <c r="BR2" i="1" s="1"/>
  <c r="AI225" i="1" a="1"/>
  <c r="AI225" i="1" s="1"/>
  <c r="AL225" i="1" s="1"/>
  <c r="EX225" i="1" s="1"/>
  <c r="AK450" i="1"/>
  <c r="CF450" i="1" s="1"/>
  <c r="AK327" i="1"/>
  <c r="HE327" i="1" s="1"/>
  <c r="AL450" i="1"/>
  <c r="BQ450" i="1" s="1"/>
  <c r="AL327" i="1"/>
  <c r="HF327" i="1" s="1"/>
  <c r="ML550" i="1"/>
  <c r="MR552" i="1"/>
  <c r="MR553" i="1" s="1"/>
  <c r="MR554" i="1" s="1"/>
  <c r="MR555" i="1" s="1"/>
  <c r="MR556" i="1" s="1"/>
  <c r="MR557" i="1" s="1"/>
  <c r="MQ552" i="1"/>
  <c r="MQ553" i="1" s="1"/>
  <c r="MQ554" i="1" s="1"/>
  <c r="MQ555" i="1" s="1"/>
  <c r="MQ556" i="1" s="1"/>
  <c r="MQ557" i="1" s="1"/>
  <c r="MJ552" i="1"/>
  <c r="MJ553" i="1" s="1"/>
  <c r="MJ554" i="1" s="1"/>
  <c r="MJ555" i="1" s="1"/>
  <c r="MJ556" i="1" s="1"/>
  <c r="MJ557" i="1" s="1"/>
  <c r="MI552" i="1"/>
  <c r="MI553" i="1" s="1"/>
  <c r="MI554" i="1" s="1"/>
  <c r="MI555" i="1" s="1"/>
  <c r="MI556" i="1" s="1"/>
  <c r="MI557" i="1" s="1"/>
  <c r="MH552" i="1"/>
  <c r="MH553" i="1" s="1"/>
  <c r="MH554" i="1" s="1"/>
  <c r="MH555" i="1" s="1"/>
  <c r="MH556" i="1" s="1"/>
  <c r="MH557" i="1" s="1"/>
  <c r="MG552" i="1"/>
  <c r="MG553" i="1" s="1"/>
  <c r="MG554" i="1" s="1"/>
  <c r="MG555" i="1" s="1"/>
  <c r="MG556" i="1" s="1"/>
  <c r="MG557" i="1" s="1"/>
  <c r="MF552" i="1"/>
  <c r="MF553" i="1" s="1"/>
  <c r="MF554" i="1" s="1"/>
  <c r="MF555" i="1" s="1"/>
  <c r="MF556" i="1" s="1"/>
  <c r="MF557" i="1" s="1"/>
  <c r="ME552" i="1"/>
  <c r="ME553" i="1" s="1"/>
  <c r="ME554" i="1" s="1"/>
  <c r="ME555" i="1" s="1"/>
  <c r="ME556" i="1" s="1"/>
  <c r="ME557" i="1" s="1"/>
  <c r="MD552" i="1"/>
  <c r="MD553" i="1" s="1"/>
  <c r="MD554" i="1" s="1"/>
  <c r="MD555" i="1" s="1"/>
  <c r="MD556" i="1" s="1"/>
  <c r="MD557" i="1" s="1"/>
  <c r="MC552" i="1"/>
  <c r="MC553" i="1" s="1"/>
  <c r="MC554" i="1" s="1"/>
  <c r="MC555" i="1" s="1"/>
  <c r="MC556" i="1" s="1"/>
  <c r="MC557" i="1" s="1"/>
  <c r="LX550" i="1"/>
  <c r="ADS549" i="1"/>
  <c r="ADT549" i="1"/>
  <c r="ADR549" i="1"/>
  <c r="ADE549" i="1"/>
  <c r="KC548" i="1"/>
  <c r="KD548" i="1"/>
  <c r="JZ548" i="1"/>
  <c r="KC547" i="1"/>
  <c r="KD547" i="1"/>
  <c r="KD546" i="1"/>
  <c r="KC546" i="1"/>
  <c r="JZ547" i="1"/>
  <c r="JZ546" i="1"/>
  <c r="UC545" i="1"/>
  <c r="UD545" i="1" s="1"/>
  <c r="UA545" i="1"/>
  <c r="ACO544" i="1"/>
  <c r="ACN544" i="1"/>
  <c r="ACM544" i="1"/>
  <c r="ACL544" i="1"/>
  <c r="ABI544" i="1"/>
  <c r="ABJ544" i="1" s="1"/>
  <c r="ABK544" i="1" s="1"/>
  <c r="ABL544" i="1" s="1"/>
  <c r="ABM544" i="1" s="1"/>
  <c r="ABN544" i="1" s="1"/>
  <c r="ABO544" i="1" s="1"/>
  <c r="ABG544" i="1"/>
  <c r="AAJ543" i="1"/>
  <c r="AAK543" i="1" s="1"/>
  <c r="AAL543" i="1" s="1"/>
  <c r="AAM543" i="1" s="1"/>
  <c r="AAN543" i="1" s="1"/>
  <c r="AAO543" i="1" s="1"/>
  <c r="AAP543" i="1" s="1"/>
  <c r="AAQ543" i="1" s="1"/>
  <c r="AAR543" i="1" s="1"/>
  <c r="AAS543" i="1" s="1"/>
  <c r="AAT543" i="1" s="1"/>
  <c r="AAU543" i="1" s="1"/>
  <c r="AAV543" i="1" s="1"/>
  <c r="AAW543" i="1" s="1"/>
  <c r="AAX543" i="1" s="1"/>
  <c r="AAY543" i="1" s="1"/>
  <c r="AAZ543" i="1" s="1"/>
  <c r="ABA543" i="1" s="1"/>
  <c r="ABB543" i="1" s="1"/>
  <c r="ZC543" i="1"/>
  <c r="ZB543" i="1"/>
  <c r="ZA543" i="1"/>
  <c r="YZ543" i="1"/>
  <c r="YY543" i="1"/>
  <c r="YX543" i="1"/>
  <c r="YW543" i="1"/>
  <c r="YV543" i="1"/>
  <c r="YU543" i="1"/>
  <c r="YT543" i="1"/>
  <c r="WO543" i="1"/>
  <c r="WP543" i="1" s="1"/>
  <c r="WQ543" i="1" s="1"/>
  <c r="WM543" i="1"/>
  <c r="UC542" i="1"/>
  <c r="UD542" i="1" s="1"/>
  <c r="UA542" i="1"/>
  <c r="ACO541" i="1"/>
  <c r="ACN541" i="1"/>
  <c r="ACM541" i="1"/>
  <c r="ACL541" i="1"/>
  <c r="ABG541" i="1"/>
  <c r="ABI541" i="1" s="1"/>
  <c r="ABJ541" i="1" s="1"/>
  <c r="ABK541" i="1" s="1"/>
  <c r="ABL541" i="1" s="1"/>
  <c r="ABM541" i="1" s="1"/>
  <c r="ABN541" i="1" s="1"/>
  <c r="ABO541" i="1" s="1"/>
  <c r="AAJ540" i="1"/>
  <c r="AAK540" i="1" s="1"/>
  <c r="AAL540" i="1" s="1"/>
  <c r="AAM540" i="1" s="1"/>
  <c r="AAN540" i="1" s="1"/>
  <c r="AAO540" i="1" s="1"/>
  <c r="AAP540" i="1" s="1"/>
  <c r="AAQ540" i="1" s="1"/>
  <c r="AAR540" i="1" s="1"/>
  <c r="AAS540" i="1" s="1"/>
  <c r="AAT540" i="1" s="1"/>
  <c r="AAU540" i="1" s="1"/>
  <c r="AAV540" i="1" s="1"/>
  <c r="AAW540" i="1" s="1"/>
  <c r="AAX540" i="1" s="1"/>
  <c r="AAY540" i="1" s="1"/>
  <c r="AAZ540" i="1" s="1"/>
  <c r="ABA540" i="1" s="1"/>
  <c r="ABB540" i="1" s="1"/>
  <c r="ZC540" i="1"/>
  <c r="ZB540" i="1"/>
  <c r="ZA540" i="1"/>
  <c r="YZ540" i="1"/>
  <c r="YY540" i="1"/>
  <c r="YX540" i="1"/>
  <c r="YW540" i="1"/>
  <c r="YV540" i="1"/>
  <c r="YU540" i="1"/>
  <c r="YT540" i="1"/>
  <c r="WO540" i="1"/>
  <c r="WP540" i="1" s="1"/>
  <c r="WQ540" i="1" s="1"/>
  <c r="WR540" i="1" s="1"/>
  <c r="WS540" i="1" s="1"/>
  <c r="WT540" i="1" s="1"/>
  <c r="WU540" i="1" s="1"/>
  <c r="WV540" i="1" s="1"/>
  <c r="WW540" i="1" s="1"/>
  <c r="WX540" i="1" s="1"/>
  <c r="WY540" i="1" s="1"/>
  <c r="WZ540" i="1" s="1"/>
  <c r="XA540" i="1" s="1"/>
  <c r="XB540" i="1" s="1"/>
  <c r="XC540" i="1" s="1"/>
  <c r="XD540" i="1" s="1"/>
  <c r="XE540" i="1" s="1"/>
  <c r="XF540" i="1" s="1"/>
  <c r="XG540" i="1" s="1"/>
  <c r="WM540" i="1"/>
  <c r="JZ539" i="1"/>
  <c r="MR504" i="1"/>
  <c r="MR505" i="1" s="1"/>
  <c r="MR506" i="1" s="1"/>
  <c r="MR507" i="1" s="1"/>
  <c r="MR508" i="1" s="1"/>
  <c r="MR509" i="1" s="1"/>
  <c r="MQ504" i="1"/>
  <c r="MQ505" i="1" s="1"/>
  <c r="MQ506" i="1" s="1"/>
  <c r="MQ507" i="1" s="1"/>
  <c r="MQ508" i="1" s="1"/>
  <c r="MQ509" i="1" s="1"/>
  <c r="MD504" i="1"/>
  <c r="MD505" i="1" s="1"/>
  <c r="MD506" i="1" s="1"/>
  <c r="MD507" i="1" s="1"/>
  <c r="MD508" i="1" s="1"/>
  <c r="MD509" i="1" s="1"/>
  <c r="ME504" i="1"/>
  <c r="ME505" i="1" s="1"/>
  <c r="ME506" i="1" s="1"/>
  <c r="ME507" i="1" s="1"/>
  <c r="ME508" i="1" s="1"/>
  <c r="ME509" i="1" s="1"/>
  <c r="MF504" i="1"/>
  <c r="MF505" i="1" s="1"/>
  <c r="MF506" i="1" s="1"/>
  <c r="MF507" i="1" s="1"/>
  <c r="MF508" i="1" s="1"/>
  <c r="MF509" i="1" s="1"/>
  <c r="MG504" i="1"/>
  <c r="MG505" i="1" s="1"/>
  <c r="MG506" i="1" s="1"/>
  <c r="MG507" i="1" s="1"/>
  <c r="MG508" i="1" s="1"/>
  <c r="MG509" i="1" s="1"/>
  <c r="MH504" i="1"/>
  <c r="MH505" i="1" s="1"/>
  <c r="MH506" i="1" s="1"/>
  <c r="MH507" i="1" s="1"/>
  <c r="MH508" i="1" s="1"/>
  <c r="MH509" i="1" s="1"/>
  <c r="MI504" i="1"/>
  <c r="MI505" i="1" s="1"/>
  <c r="MI506" i="1" s="1"/>
  <c r="MI507" i="1" s="1"/>
  <c r="MI508" i="1" s="1"/>
  <c r="MI509" i="1" s="1"/>
  <c r="MJ504" i="1"/>
  <c r="MJ505" i="1" s="1"/>
  <c r="MJ506" i="1" s="1"/>
  <c r="MJ507" i="1" s="1"/>
  <c r="MJ508" i="1" s="1"/>
  <c r="MJ509" i="1" s="1"/>
  <c r="MC504" i="1"/>
  <c r="MC505" i="1" s="1"/>
  <c r="MC506" i="1" s="1"/>
  <c r="MC507" i="1" s="1"/>
  <c r="MC508" i="1" s="1"/>
  <c r="MC509" i="1" s="1"/>
  <c r="JZ538" i="1"/>
  <c r="X518" i="1"/>
  <c r="Y527" i="1" s="1" a="1"/>
  <c r="Y527" i="1" s="1"/>
  <c r="JZ537" i="1"/>
  <c r="JZ536" i="1"/>
  <c r="JZ535" i="1"/>
  <c r="JZ534" i="1"/>
  <c r="JZ533" i="1"/>
  <c r="JZ532" i="1"/>
  <c r="JZ531" i="1"/>
  <c r="JZ530" i="1"/>
  <c r="JZ529" i="1"/>
  <c r="JZ528" i="1"/>
  <c r="JZ527" i="1"/>
  <c r="U521" i="1"/>
  <c r="DF521" i="1" s="1"/>
  <c r="DH520" i="1"/>
  <c r="DG520" i="1"/>
  <c r="DF520" i="1"/>
  <c r="DE520" i="1"/>
  <c r="DD520" i="1"/>
  <c r="DC520" i="1"/>
  <c r="DB520" i="1"/>
  <c r="DA520" i="1"/>
  <c r="CZ520" i="1"/>
  <c r="CY520" i="1"/>
  <c r="CX520" i="1"/>
  <c r="CW520" i="1"/>
  <c r="CV520" i="1"/>
  <c r="CU520" i="1"/>
  <c r="CT520" i="1"/>
  <c r="CS520" i="1"/>
  <c r="CR520" i="1"/>
  <c r="CQ520" i="1"/>
  <c r="CP520" i="1"/>
  <c r="CO520" i="1"/>
  <c r="CN520" i="1"/>
  <c r="CM520" i="1"/>
  <c r="CL520" i="1"/>
  <c r="BE520" i="1"/>
  <c r="DH519" i="1"/>
  <c r="DG519" i="1"/>
  <c r="DF519" i="1"/>
  <c r="DE519" i="1"/>
  <c r="DD519" i="1"/>
  <c r="DC519" i="1"/>
  <c r="DB519" i="1"/>
  <c r="DA519" i="1"/>
  <c r="CZ519" i="1"/>
  <c r="CY519" i="1"/>
  <c r="CX519" i="1"/>
  <c r="CW519" i="1"/>
  <c r="CV519" i="1"/>
  <c r="CU519" i="1"/>
  <c r="CT519" i="1"/>
  <c r="CS519" i="1"/>
  <c r="CR519" i="1"/>
  <c r="CQ519" i="1"/>
  <c r="CP519" i="1"/>
  <c r="CO519" i="1"/>
  <c r="CN519" i="1"/>
  <c r="CM519" i="1"/>
  <c r="CL519" i="1"/>
  <c r="BE519" i="1"/>
  <c r="Y517" i="1" a="1"/>
  <c r="Y517" i="1" s="1"/>
  <c r="U517" i="1"/>
  <c r="IQ517" i="1" s="1"/>
  <c r="DH516" i="1"/>
  <c r="DG516" i="1"/>
  <c r="DF516" i="1"/>
  <c r="DE516" i="1"/>
  <c r="DD516" i="1"/>
  <c r="DC516" i="1"/>
  <c r="DB516" i="1"/>
  <c r="DA516" i="1"/>
  <c r="CZ516" i="1"/>
  <c r="CY516" i="1"/>
  <c r="CX516" i="1"/>
  <c r="CW516" i="1"/>
  <c r="CV516" i="1"/>
  <c r="CU516" i="1"/>
  <c r="CT516" i="1"/>
  <c r="CS516" i="1"/>
  <c r="CR516" i="1"/>
  <c r="CQ516" i="1"/>
  <c r="CP516" i="1"/>
  <c r="CO516" i="1"/>
  <c r="CN516" i="1"/>
  <c r="CM516" i="1"/>
  <c r="CL516" i="1"/>
  <c r="BE516" i="1"/>
  <c r="DH515" i="1"/>
  <c r="DG515" i="1"/>
  <c r="DF515" i="1"/>
  <c r="DE515" i="1"/>
  <c r="DD515" i="1"/>
  <c r="DC515" i="1"/>
  <c r="DB515" i="1"/>
  <c r="DA515" i="1"/>
  <c r="CZ515" i="1"/>
  <c r="CY515" i="1"/>
  <c r="CX515" i="1"/>
  <c r="CW515" i="1"/>
  <c r="CV515" i="1"/>
  <c r="CU515" i="1"/>
  <c r="CT515" i="1"/>
  <c r="CS515" i="1"/>
  <c r="CR515" i="1"/>
  <c r="CQ515" i="1"/>
  <c r="CP515" i="1"/>
  <c r="CO515" i="1"/>
  <c r="CN515" i="1"/>
  <c r="CM515" i="1"/>
  <c r="CL515" i="1"/>
  <c r="BE515" i="1"/>
  <c r="DH514" i="1"/>
  <c r="DG514" i="1"/>
  <c r="DF514" i="1"/>
  <c r="DE514" i="1"/>
  <c r="DD514" i="1"/>
  <c r="DC514" i="1"/>
  <c r="DB514" i="1"/>
  <c r="DA514" i="1"/>
  <c r="CZ514" i="1"/>
  <c r="CY514" i="1"/>
  <c r="CX514" i="1"/>
  <c r="CW514" i="1"/>
  <c r="CV514" i="1"/>
  <c r="CU514" i="1"/>
  <c r="CT514" i="1"/>
  <c r="CS514" i="1"/>
  <c r="CR514" i="1"/>
  <c r="CQ514" i="1"/>
  <c r="CP514" i="1"/>
  <c r="CO514" i="1"/>
  <c r="CN514" i="1"/>
  <c r="CM514" i="1"/>
  <c r="CL514" i="1"/>
  <c r="BE514" i="1"/>
  <c r="DH513" i="1"/>
  <c r="DG513" i="1"/>
  <c r="DF513" i="1"/>
  <c r="DE513" i="1"/>
  <c r="DD513" i="1"/>
  <c r="DC513" i="1"/>
  <c r="DB513" i="1"/>
  <c r="DA513" i="1"/>
  <c r="CZ513" i="1"/>
  <c r="CY513" i="1"/>
  <c r="CX513" i="1"/>
  <c r="CW513" i="1"/>
  <c r="CV513" i="1"/>
  <c r="CU513" i="1"/>
  <c r="CT513" i="1"/>
  <c r="CS513" i="1"/>
  <c r="CR513" i="1"/>
  <c r="CQ513" i="1"/>
  <c r="CP513" i="1"/>
  <c r="CO513" i="1"/>
  <c r="CN513" i="1"/>
  <c r="CM513" i="1"/>
  <c r="CL513" i="1"/>
  <c r="BE513" i="1"/>
  <c r="DH512" i="1"/>
  <c r="DG512" i="1"/>
  <c r="DF512" i="1"/>
  <c r="DE512" i="1"/>
  <c r="DD512" i="1"/>
  <c r="DC512" i="1"/>
  <c r="DB512" i="1"/>
  <c r="DA512" i="1"/>
  <c r="CZ512" i="1"/>
  <c r="CY512" i="1"/>
  <c r="CX512" i="1"/>
  <c r="CW512" i="1"/>
  <c r="CV512" i="1"/>
  <c r="CU512" i="1"/>
  <c r="CT512" i="1"/>
  <c r="CS512" i="1"/>
  <c r="CR512" i="1"/>
  <c r="CQ512" i="1"/>
  <c r="CP512" i="1"/>
  <c r="CO512" i="1"/>
  <c r="CN512" i="1"/>
  <c r="CM512" i="1"/>
  <c r="CL512" i="1"/>
  <c r="BE512" i="1"/>
  <c r="DH511" i="1"/>
  <c r="DG511" i="1"/>
  <c r="DF511" i="1"/>
  <c r="DE511" i="1"/>
  <c r="DD511" i="1"/>
  <c r="DC511" i="1"/>
  <c r="DB511" i="1"/>
  <c r="DA511" i="1"/>
  <c r="CZ511" i="1"/>
  <c r="CY511" i="1"/>
  <c r="CX511" i="1"/>
  <c r="CW511" i="1"/>
  <c r="CV511" i="1"/>
  <c r="CU511" i="1"/>
  <c r="CT511" i="1"/>
  <c r="CS511" i="1"/>
  <c r="CR511" i="1"/>
  <c r="CQ511" i="1"/>
  <c r="CP511" i="1"/>
  <c r="CO511" i="1"/>
  <c r="CN511" i="1"/>
  <c r="CM511" i="1"/>
  <c r="CL511" i="1"/>
  <c r="BE511" i="1"/>
  <c r="DH510" i="1"/>
  <c r="DG510" i="1"/>
  <c r="AI510" i="1" a="1"/>
  <c r="AI510" i="1" s="1"/>
  <c r="AK510" i="1" s="1"/>
  <c r="BP510" i="1" s="1"/>
  <c r="BR510" i="1" s="1"/>
  <c r="AD510" i="1" a="1"/>
  <c r="AD510" i="1" s="1"/>
  <c r="DF510" i="1"/>
  <c r="DE510" i="1"/>
  <c r="DD510" i="1"/>
  <c r="DC510" i="1"/>
  <c r="DB510" i="1"/>
  <c r="DA510" i="1"/>
  <c r="CZ510" i="1"/>
  <c r="CY510" i="1"/>
  <c r="CX510" i="1"/>
  <c r="CW510" i="1"/>
  <c r="CV510" i="1"/>
  <c r="CU510" i="1"/>
  <c r="CT510" i="1"/>
  <c r="CS510" i="1"/>
  <c r="CR510" i="1"/>
  <c r="CQ510" i="1"/>
  <c r="CP510" i="1"/>
  <c r="CO510" i="1"/>
  <c r="CN510" i="1"/>
  <c r="CM510" i="1"/>
  <c r="CL510" i="1"/>
  <c r="BE510" i="1"/>
  <c r="UC449" i="1"/>
  <c r="UD449" i="1" s="1"/>
  <c r="UA449" i="1"/>
  <c r="AE502" i="1" a="1"/>
  <c r="AE502" i="1" s="1"/>
  <c r="U493" i="1"/>
  <c r="IO493" i="1" s="1"/>
  <c r="DH492" i="1"/>
  <c r="DG492" i="1"/>
  <c r="DF492" i="1"/>
  <c r="DE492" i="1"/>
  <c r="DD492" i="1"/>
  <c r="DC492" i="1"/>
  <c r="DB492" i="1"/>
  <c r="DA492" i="1"/>
  <c r="CZ492" i="1"/>
  <c r="CY492" i="1"/>
  <c r="CX492" i="1"/>
  <c r="CW492" i="1"/>
  <c r="CV492" i="1"/>
  <c r="CU492" i="1"/>
  <c r="CT492" i="1"/>
  <c r="CS492" i="1"/>
  <c r="CR492" i="1"/>
  <c r="CQ492" i="1"/>
  <c r="CP492" i="1"/>
  <c r="CO492" i="1"/>
  <c r="CN492" i="1"/>
  <c r="CM492" i="1"/>
  <c r="CL492" i="1"/>
  <c r="BE492" i="1"/>
  <c r="DH491" i="1"/>
  <c r="DG491" i="1"/>
  <c r="DF491" i="1"/>
  <c r="DE491" i="1"/>
  <c r="DD491" i="1"/>
  <c r="DC491" i="1"/>
  <c r="DB491" i="1"/>
  <c r="DA491" i="1"/>
  <c r="CZ491" i="1"/>
  <c r="CY491" i="1"/>
  <c r="CX491" i="1"/>
  <c r="CW491" i="1"/>
  <c r="CV491" i="1"/>
  <c r="CU491" i="1"/>
  <c r="CT491" i="1"/>
  <c r="CS491" i="1"/>
  <c r="CR491" i="1"/>
  <c r="CQ491" i="1"/>
  <c r="CP491" i="1"/>
  <c r="CO491" i="1"/>
  <c r="CN491" i="1"/>
  <c r="CM491" i="1"/>
  <c r="CL491" i="1"/>
  <c r="BE491" i="1"/>
  <c r="DH490" i="1"/>
  <c r="DG490" i="1"/>
  <c r="DF490" i="1"/>
  <c r="DE490" i="1"/>
  <c r="DD490" i="1"/>
  <c r="DC490" i="1"/>
  <c r="DB490" i="1"/>
  <c r="DA490" i="1"/>
  <c r="CZ490" i="1"/>
  <c r="CY490" i="1"/>
  <c r="CX490" i="1"/>
  <c r="CW490" i="1"/>
  <c r="CV490" i="1"/>
  <c r="CU490" i="1"/>
  <c r="CT490" i="1"/>
  <c r="CS490" i="1"/>
  <c r="CR490" i="1"/>
  <c r="CQ490" i="1"/>
  <c r="CP490" i="1"/>
  <c r="CO490" i="1"/>
  <c r="CN490" i="1"/>
  <c r="CM490" i="1"/>
  <c r="CL490" i="1"/>
  <c r="BE490" i="1"/>
  <c r="DH489" i="1"/>
  <c r="DG489" i="1"/>
  <c r="DF489" i="1"/>
  <c r="DE489" i="1"/>
  <c r="DD489" i="1"/>
  <c r="DC489" i="1"/>
  <c r="DB489" i="1"/>
  <c r="DA489" i="1"/>
  <c r="CZ489" i="1"/>
  <c r="CY489" i="1"/>
  <c r="CX489" i="1"/>
  <c r="CW489" i="1"/>
  <c r="CV489" i="1"/>
  <c r="CU489" i="1"/>
  <c r="CT489" i="1"/>
  <c r="CS489" i="1"/>
  <c r="CR489" i="1"/>
  <c r="CQ489" i="1"/>
  <c r="CP489" i="1"/>
  <c r="CO489" i="1"/>
  <c r="CN489" i="1"/>
  <c r="CM489" i="1"/>
  <c r="CL489" i="1"/>
  <c r="BE489" i="1"/>
  <c r="DH488" i="1"/>
  <c r="DG488" i="1"/>
  <c r="DF488" i="1"/>
  <c r="DE488" i="1"/>
  <c r="DD488" i="1"/>
  <c r="DC488" i="1"/>
  <c r="DB488" i="1"/>
  <c r="DA488" i="1"/>
  <c r="CZ488" i="1"/>
  <c r="CY488" i="1"/>
  <c r="CX488" i="1"/>
  <c r="CW488" i="1"/>
  <c r="CV488" i="1"/>
  <c r="CU488" i="1"/>
  <c r="CT488" i="1"/>
  <c r="CS488" i="1"/>
  <c r="CR488" i="1"/>
  <c r="CQ488" i="1"/>
  <c r="CP488" i="1"/>
  <c r="CO488" i="1"/>
  <c r="CN488" i="1"/>
  <c r="CM488" i="1"/>
  <c r="CL488" i="1"/>
  <c r="BE488" i="1"/>
  <c r="DH487" i="1"/>
  <c r="DG487" i="1"/>
  <c r="DF487" i="1"/>
  <c r="DE487" i="1"/>
  <c r="DD487" i="1"/>
  <c r="DC487" i="1"/>
  <c r="DB487" i="1"/>
  <c r="DA487" i="1"/>
  <c r="CZ487" i="1"/>
  <c r="CY487" i="1"/>
  <c r="CX487" i="1"/>
  <c r="CW487" i="1"/>
  <c r="CV487" i="1"/>
  <c r="CU487" i="1"/>
  <c r="CT487" i="1"/>
  <c r="CS487" i="1"/>
  <c r="CR487" i="1"/>
  <c r="CQ487" i="1"/>
  <c r="CP487" i="1"/>
  <c r="CO487" i="1"/>
  <c r="CN487" i="1"/>
  <c r="CM487" i="1"/>
  <c r="CL487" i="1"/>
  <c r="BE487" i="1"/>
  <c r="DH486" i="1"/>
  <c r="DG486" i="1"/>
  <c r="DF486" i="1"/>
  <c r="DE486" i="1"/>
  <c r="DD486" i="1"/>
  <c r="DC486" i="1"/>
  <c r="DB486" i="1"/>
  <c r="DA486" i="1"/>
  <c r="CZ486" i="1"/>
  <c r="CY486" i="1"/>
  <c r="CX486" i="1"/>
  <c r="CW486" i="1"/>
  <c r="CV486" i="1"/>
  <c r="CU486" i="1"/>
  <c r="CT486" i="1"/>
  <c r="CS486" i="1"/>
  <c r="CR486" i="1"/>
  <c r="CQ486" i="1"/>
  <c r="CP486" i="1"/>
  <c r="CO486" i="1"/>
  <c r="CN486" i="1"/>
  <c r="CM486" i="1"/>
  <c r="CL486" i="1"/>
  <c r="BE486" i="1"/>
  <c r="DH485" i="1"/>
  <c r="DG485" i="1"/>
  <c r="DF485" i="1"/>
  <c r="DE485" i="1"/>
  <c r="DD485" i="1"/>
  <c r="DC485" i="1"/>
  <c r="DB485" i="1"/>
  <c r="DA485" i="1"/>
  <c r="CZ485" i="1"/>
  <c r="CY485" i="1"/>
  <c r="CX485" i="1"/>
  <c r="CW485" i="1"/>
  <c r="CV485" i="1"/>
  <c r="CU485" i="1"/>
  <c r="CT485" i="1"/>
  <c r="CS485" i="1"/>
  <c r="CR485" i="1"/>
  <c r="CQ485" i="1"/>
  <c r="CP485" i="1"/>
  <c r="CO485" i="1"/>
  <c r="CN485" i="1"/>
  <c r="CM485" i="1"/>
  <c r="CL485" i="1"/>
  <c r="BE485" i="1"/>
  <c r="DH484" i="1"/>
  <c r="DG484" i="1"/>
  <c r="DF484" i="1"/>
  <c r="DE484" i="1"/>
  <c r="DD484" i="1"/>
  <c r="DC484" i="1"/>
  <c r="DB484" i="1"/>
  <c r="DA484" i="1"/>
  <c r="CZ484" i="1"/>
  <c r="CY484" i="1"/>
  <c r="CX484" i="1"/>
  <c r="CW484" i="1"/>
  <c r="CV484" i="1"/>
  <c r="CU484" i="1"/>
  <c r="CT484" i="1"/>
  <c r="CS484" i="1"/>
  <c r="CR484" i="1"/>
  <c r="CQ484" i="1"/>
  <c r="CP484" i="1"/>
  <c r="CO484" i="1"/>
  <c r="CN484" i="1"/>
  <c r="CM484" i="1"/>
  <c r="CL484" i="1"/>
  <c r="BE484" i="1"/>
  <c r="DH483" i="1"/>
  <c r="DG483" i="1"/>
  <c r="DF483" i="1"/>
  <c r="DE483" i="1"/>
  <c r="DD483" i="1"/>
  <c r="DC483" i="1"/>
  <c r="DB483" i="1"/>
  <c r="DA483" i="1"/>
  <c r="CZ483" i="1"/>
  <c r="CY483" i="1"/>
  <c r="CX483" i="1"/>
  <c r="CW483" i="1"/>
  <c r="CV483" i="1"/>
  <c r="CU483" i="1"/>
  <c r="CT483" i="1"/>
  <c r="CS483" i="1"/>
  <c r="CR483" i="1"/>
  <c r="CQ483" i="1"/>
  <c r="CP483" i="1"/>
  <c r="CO483" i="1"/>
  <c r="CN483" i="1"/>
  <c r="CM483" i="1"/>
  <c r="CL483" i="1"/>
  <c r="BE483" i="1"/>
  <c r="DH482" i="1"/>
  <c r="DG482" i="1"/>
  <c r="DF482" i="1"/>
  <c r="DE482" i="1"/>
  <c r="DD482" i="1"/>
  <c r="DC482" i="1"/>
  <c r="DB482" i="1"/>
  <c r="DA482" i="1"/>
  <c r="CZ482" i="1"/>
  <c r="CY482" i="1"/>
  <c r="CX482" i="1"/>
  <c r="CW482" i="1"/>
  <c r="CV482" i="1"/>
  <c r="CU482" i="1"/>
  <c r="CT482" i="1"/>
  <c r="CS482" i="1"/>
  <c r="CR482" i="1"/>
  <c r="CQ482" i="1"/>
  <c r="CP482" i="1"/>
  <c r="CO482" i="1"/>
  <c r="CN482" i="1"/>
  <c r="CM482" i="1"/>
  <c r="CL482" i="1"/>
  <c r="BE482" i="1"/>
  <c r="DH481" i="1"/>
  <c r="DG481" i="1"/>
  <c r="DF481" i="1"/>
  <c r="DE481" i="1"/>
  <c r="DD481" i="1"/>
  <c r="DC481" i="1"/>
  <c r="DB481" i="1"/>
  <c r="DA481" i="1"/>
  <c r="CZ481" i="1"/>
  <c r="CY481" i="1"/>
  <c r="CX481" i="1"/>
  <c r="CW481" i="1"/>
  <c r="CV481" i="1"/>
  <c r="CU481" i="1"/>
  <c r="CT481" i="1"/>
  <c r="CS481" i="1"/>
  <c r="CR481" i="1"/>
  <c r="CQ481" i="1"/>
  <c r="CP481" i="1"/>
  <c r="CO481" i="1"/>
  <c r="CN481" i="1"/>
  <c r="CM481" i="1"/>
  <c r="CL481" i="1"/>
  <c r="BE481" i="1"/>
  <c r="DH480" i="1"/>
  <c r="DG480" i="1"/>
  <c r="DF480" i="1"/>
  <c r="DE480" i="1"/>
  <c r="DD480" i="1"/>
  <c r="DC480" i="1"/>
  <c r="DB480" i="1"/>
  <c r="DA480" i="1"/>
  <c r="CZ480" i="1"/>
  <c r="CY480" i="1"/>
  <c r="CX480" i="1"/>
  <c r="CW480" i="1"/>
  <c r="CV480" i="1"/>
  <c r="CU480" i="1"/>
  <c r="CT480" i="1"/>
  <c r="CS480" i="1"/>
  <c r="CR480" i="1"/>
  <c r="CQ480" i="1"/>
  <c r="CP480" i="1"/>
  <c r="CO480" i="1"/>
  <c r="CN480" i="1"/>
  <c r="CM480" i="1"/>
  <c r="CL480" i="1"/>
  <c r="BE480" i="1"/>
  <c r="DH479" i="1"/>
  <c r="DG479" i="1"/>
  <c r="DF479" i="1"/>
  <c r="DE479" i="1"/>
  <c r="DD479" i="1"/>
  <c r="DC479" i="1"/>
  <c r="DB479" i="1"/>
  <c r="DA479" i="1"/>
  <c r="CZ479" i="1"/>
  <c r="CY479" i="1"/>
  <c r="CX479" i="1"/>
  <c r="CW479" i="1"/>
  <c r="CV479" i="1"/>
  <c r="CU479" i="1"/>
  <c r="CT479" i="1"/>
  <c r="CS479" i="1"/>
  <c r="CR479" i="1"/>
  <c r="CQ479" i="1"/>
  <c r="CP479" i="1"/>
  <c r="CO479" i="1"/>
  <c r="CN479" i="1"/>
  <c r="CM479" i="1"/>
  <c r="CL479" i="1"/>
  <c r="BE479" i="1"/>
  <c r="DH478" i="1"/>
  <c r="DG478" i="1"/>
  <c r="DF478" i="1"/>
  <c r="DE478" i="1"/>
  <c r="DD478" i="1"/>
  <c r="DC478" i="1"/>
  <c r="DB478" i="1"/>
  <c r="DA478" i="1"/>
  <c r="CZ478" i="1"/>
  <c r="CY478" i="1"/>
  <c r="CX478" i="1"/>
  <c r="CW478" i="1"/>
  <c r="CV478" i="1"/>
  <c r="CU478" i="1"/>
  <c r="CT478" i="1"/>
  <c r="CS478" i="1"/>
  <c r="CR478" i="1"/>
  <c r="CQ478" i="1"/>
  <c r="CP478" i="1"/>
  <c r="CO478" i="1"/>
  <c r="CN478" i="1"/>
  <c r="CM478" i="1"/>
  <c r="CL478" i="1"/>
  <c r="BE478" i="1"/>
  <c r="DH477" i="1"/>
  <c r="DG477" i="1"/>
  <c r="DF477" i="1"/>
  <c r="DE477" i="1"/>
  <c r="DD477" i="1"/>
  <c r="DC477" i="1"/>
  <c r="DB477" i="1"/>
  <c r="DA477" i="1"/>
  <c r="CZ477" i="1"/>
  <c r="CY477" i="1"/>
  <c r="CX477" i="1"/>
  <c r="CW477" i="1"/>
  <c r="CV477" i="1"/>
  <c r="CU477" i="1"/>
  <c r="CT477" i="1"/>
  <c r="CS477" i="1"/>
  <c r="CR477" i="1"/>
  <c r="CQ477" i="1"/>
  <c r="CP477" i="1"/>
  <c r="CO477" i="1"/>
  <c r="CN477" i="1"/>
  <c r="CM477" i="1"/>
  <c r="CL477" i="1"/>
  <c r="BE477" i="1"/>
  <c r="DH476" i="1"/>
  <c r="DG476" i="1"/>
  <c r="DF476" i="1"/>
  <c r="DE476" i="1"/>
  <c r="DD476" i="1"/>
  <c r="DC476" i="1"/>
  <c r="DB476" i="1"/>
  <c r="DA476" i="1"/>
  <c r="CZ476" i="1"/>
  <c r="CY476" i="1"/>
  <c r="CX476" i="1"/>
  <c r="CW476" i="1"/>
  <c r="CV476" i="1"/>
  <c r="CU476" i="1"/>
  <c r="CT476" i="1"/>
  <c r="CS476" i="1"/>
  <c r="CR476" i="1"/>
  <c r="CQ476" i="1"/>
  <c r="CP476" i="1"/>
  <c r="CO476" i="1"/>
  <c r="CN476" i="1"/>
  <c r="CM476" i="1"/>
  <c r="CL476" i="1"/>
  <c r="BE476" i="1"/>
  <c r="DH475" i="1"/>
  <c r="DG475" i="1"/>
  <c r="DF475" i="1"/>
  <c r="DE475" i="1"/>
  <c r="DD475" i="1"/>
  <c r="DC475" i="1"/>
  <c r="DB475" i="1"/>
  <c r="DA475" i="1"/>
  <c r="CZ475" i="1"/>
  <c r="CY475" i="1"/>
  <c r="CX475" i="1"/>
  <c r="CW475" i="1"/>
  <c r="CV475" i="1"/>
  <c r="CU475" i="1"/>
  <c r="CT475" i="1"/>
  <c r="CS475" i="1"/>
  <c r="CR475" i="1"/>
  <c r="CQ475" i="1"/>
  <c r="CP475" i="1"/>
  <c r="CO475" i="1"/>
  <c r="CN475" i="1"/>
  <c r="CM475" i="1"/>
  <c r="CL475" i="1"/>
  <c r="BE475" i="1"/>
  <c r="DH474" i="1"/>
  <c r="DG474" i="1"/>
  <c r="DF474" i="1"/>
  <c r="DE474" i="1"/>
  <c r="DD474" i="1"/>
  <c r="DC474" i="1"/>
  <c r="DB474" i="1"/>
  <c r="DA474" i="1"/>
  <c r="CZ474" i="1"/>
  <c r="CY474" i="1"/>
  <c r="CX474" i="1"/>
  <c r="CW474" i="1"/>
  <c r="CV474" i="1"/>
  <c r="CU474" i="1"/>
  <c r="CT474" i="1"/>
  <c r="CS474" i="1"/>
  <c r="CR474" i="1"/>
  <c r="CQ474" i="1"/>
  <c r="CP474" i="1"/>
  <c r="CO474" i="1"/>
  <c r="CN474" i="1"/>
  <c r="CM474" i="1"/>
  <c r="CL474" i="1"/>
  <c r="BE474" i="1"/>
  <c r="DH473" i="1"/>
  <c r="DG473" i="1"/>
  <c r="DF473" i="1"/>
  <c r="DE473" i="1"/>
  <c r="DD473" i="1"/>
  <c r="DC473" i="1"/>
  <c r="DB473" i="1"/>
  <c r="DA473" i="1"/>
  <c r="CZ473" i="1"/>
  <c r="CY473" i="1"/>
  <c r="CX473" i="1"/>
  <c r="CW473" i="1"/>
  <c r="CV473" i="1"/>
  <c r="CU473" i="1"/>
  <c r="CT473" i="1"/>
  <c r="CS473" i="1"/>
  <c r="CR473" i="1"/>
  <c r="CQ473" i="1"/>
  <c r="CP473" i="1"/>
  <c r="CO473" i="1"/>
  <c r="CN473" i="1"/>
  <c r="CM473" i="1"/>
  <c r="CL473" i="1"/>
  <c r="BE473" i="1"/>
  <c r="DH472" i="1"/>
  <c r="DG472" i="1"/>
  <c r="DF472" i="1"/>
  <c r="DE472" i="1"/>
  <c r="DD472" i="1"/>
  <c r="DC472" i="1"/>
  <c r="DB472" i="1"/>
  <c r="DA472" i="1"/>
  <c r="CZ472" i="1"/>
  <c r="CY472" i="1"/>
  <c r="CX472" i="1"/>
  <c r="CW472" i="1"/>
  <c r="CV472" i="1"/>
  <c r="CU472" i="1"/>
  <c r="CT472" i="1"/>
  <c r="CS472" i="1"/>
  <c r="CR472" i="1"/>
  <c r="CQ472" i="1"/>
  <c r="CP472" i="1"/>
  <c r="CO472" i="1"/>
  <c r="CN472" i="1"/>
  <c r="CM472" i="1"/>
  <c r="CL472" i="1"/>
  <c r="BE472" i="1"/>
  <c r="DH471" i="1"/>
  <c r="DG471" i="1"/>
  <c r="DF471" i="1"/>
  <c r="DE471" i="1"/>
  <c r="DD471" i="1"/>
  <c r="DC471" i="1"/>
  <c r="DB471" i="1"/>
  <c r="DA471" i="1"/>
  <c r="CZ471" i="1"/>
  <c r="CY471" i="1"/>
  <c r="CX471" i="1"/>
  <c r="CW471" i="1"/>
  <c r="CV471" i="1"/>
  <c r="CU471" i="1"/>
  <c r="CT471" i="1"/>
  <c r="CS471" i="1"/>
  <c r="CR471" i="1"/>
  <c r="CQ471" i="1"/>
  <c r="CP471" i="1"/>
  <c r="CO471" i="1"/>
  <c r="CN471" i="1"/>
  <c r="CM471" i="1"/>
  <c r="CL471" i="1"/>
  <c r="BE471" i="1"/>
  <c r="DH470" i="1"/>
  <c r="DG470" i="1"/>
  <c r="DF470" i="1"/>
  <c r="DE470" i="1"/>
  <c r="DD470" i="1"/>
  <c r="DC470" i="1"/>
  <c r="DB470" i="1"/>
  <c r="DA470" i="1"/>
  <c r="CZ470" i="1"/>
  <c r="CY470" i="1"/>
  <c r="CX470" i="1"/>
  <c r="CW470" i="1"/>
  <c r="CV470" i="1"/>
  <c r="CU470" i="1"/>
  <c r="CT470" i="1"/>
  <c r="CS470" i="1"/>
  <c r="CR470" i="1"/>
  <c r="CQ470" i="1"/>
  <c r="CP470" i="1"/>
  <c r="CO470" i="1"/>
  <c r="CN470" i="1"/>
  <c r="CM470" i="1"/>
  <c r="CL470" i="1"/>
  <c r="BE470" i="1"/>
  <c r="DH469" i="1"/>
  <c r="DG469" i="1"/>
  <c r="DF469" i="1"/>
  <c r="DE469" i="1"/>
  <c r="DD469" i="1"/>
  <c r="DC469" i="1"/>
  <c r="DB469" i="1"/>
  <c r="DA469" i="1"/>
  <c r="CZ469" i="1"/>
  <c r="CY469" i="1"/>
  <c r="CX469" i="1"/>
  <c r="CW469" i="1"/>
  <c r="CV469" i="1"/>
  <c r="CU469" i="1"/>
  <c r="CT469" i="1"/>
  <c r="CS469" i="1"/>
  <c r="CR469" i="1"/>
  <c r="CQ469" i="1"/>
  <c r="CP469" i="1"/>
  <c r="CO469" i="1"/>
  <c r="CN469" i="1"/>
  <c r="CM469" i="1"/>
  <c r="CL469" i="1"/>
  <c r="BE469" i="1"/>
  <c r="BE457" i="1"/>
  <c r="CL457" i="1"/>
  <c r="CM457" i="1"/>
  <c r="CN457" i="1"/>
  <c r="CO457" i="1"/>
  <c r="CP457" i="1"/>
  <c r="CQ457" i="1"/>
  <c r="CR457" i="1"/>
  <c r="CS457" i="1"/>
  <c r="CT457" i="1"/>
  <c r="CU457" i="1"/>
  <c r="CV457" i="1"/>
  <c r="CW457" i="1"/>
  <c r="CX457" i="1"/>
  <c r="CY457" i="1"/>
  <c r="CZ457" i="1"/>
  <c r="DA457" i="1"/>
  <c r="DB457" i="1"/>
  <c r="DC457" i="1"/>
  <c r="DD457" i="1"/>
  <c r="DE457" i="1"/>
  <c r="DF457" i="1"/>
  <c r="DG457" i="1"/>
  <c r="DH457" i="1"/>
  <c r="BE458" i="1"/>
  <c r="CL458" i="1"/>
  <c r="CM458" i="1"/>
  <c r="CN458" i="1"/>
  <c r="CO458" i="1"/>
  <c r="CP458" i="1"/>
  <c r="CQ458" i="1"/>
  <c r="CR458" i="1"/>
  <c r="CS458" i="1"/>
  <c r="CT458" i="1"/>
  <c r="CU458" i="1"/>
  <c r="CV458" i="1"/>
  <c r="CW458" i="1"/>
  <c r="CX458" i="1"/>
  <c r="CY458" i="1"/>
  <c r="CZ458" i="1"/>
  <c r="DA458" i="1"/>
  <c r="DB458" i="1"/>
  <c r="DC458" i="1"/>
  <c r="DD458" i="1"/>
  <c r="DE458" i="1"/>
  <c r="DF458" i="1"/>
  <c r="DG458" i="1"/>
  <c r="DH458" i="1"/>
  <c r="BE459" i="1"/>
  <c r="CL459" i="1"/>
  <c r="CM459" i="1"/>
  <c r="CN459" i="1"/>
  <c r="CO459" i="1"/>
  <c r="CP459" i="1"/>
  <c r="CQ459" i="1"/>
  <c r="CR459" i="1"/>
  <c r="CS459" i="1"/>
  <c r="CT459" i="1"/>
  <c r="CU459" i="1"/>
  <c r="CV459" i="1"/>
  <c r="CW459" i="1"/>
  <c r="CX459" i="1"/>
  <c r="CY459" i="1"/>
  <c r="CZ459" i="1"/>
  <c r="DA459" i="1"/>
  <c r="DB459" i="1"/>
  <c r="DC459" i="1"/>
  <c r="DD459" i="1"/>
  <c r="DE459" i="1"/>
  <c r="DF459" i="1"/>
  <c r="DG459" i="1"/>
  <c r="DH459" i="1"/>
  <c r="BE460" i="1"/>
  <c r="CL460" i="1"/>
  <c r="CM460" i="1"/>
  <c r="CN460" i="1"/>
  <c r="CO460" i="1"/>
  <c r="CP460" i="1"/>
  <c r="CQ460" i="1"/>
  <c r="CR460" i="1"/>
  <c r="CS460" i="1"/>
  <c r="CT460" i="1"/>
  <c r="CU460" i="1"/>
  <c r="CV460" i="1"/>
  <c r="CW460" i="1"/>
  <c r="CX460" i="1"/>
  <c r="CY460" i="1"/>
  <c r="CZ460" i="1"/>
  <c r="DA460" i="1"/>
  <c r="DB460" i="1"/>
  <c r="DC460" i="1"/>
  <c r="DD460" i="1"/>
  <c r="DE460" i="1"/>
  <c r="DF460" i="1"/>
  <c r="DG460" i="1"/>
  <c r="DH460" i="1"/>
  <c r="BE461" i="1"/>
  <c r="CL461" i="1"/>
  <c r="CM461" i="1"/>
  <c r="CN461" i="1"/>
  <c r="CO461" i="1"/>
  <c r="CP461" i="1"/>
  <c r="CQ461" i="1"/>
  <c r="CR461" i="1"/>
  <c r="CS461" i="1"/>
  <c r="CT461" i="1"/>
  <c r="CU461" i="1"/>
  <c r="CV461" i="1"/>
  <c r="CW461" i="1"/>
  <c r="CX461" i="1"/>
  <c r="CY461" i="1"/>
  <c r="CZ461" i="1"/>
  <c r="DA461" i="1"/>
  <c r="DB461" i="1"/>
  <c r="DC461" i="1"/>
  <c r="DD461" i="1"/>
  <c r="DE461" i="1"/>
  <c r="DF461" i="1"/>
  <c r="DG461" i="1"/>
  <c r="DH461" i="1"/>
  <c r="BE462" i="1"/>
  <c r="CL462" i="1"/>
  <c r="CM462" i="1"/>
  <c r="CN462" i="1"/>
  <c r="CO462" i="1"/>
  <c r="CP462" i="1"/>
  <c r="CQ462" i="1"/>
  <c r="CR462" i="1"/>
  <c r="CS462" i="1"/>
  <c r="CT462" i="1"/>
  <c r="CU462" i="1"/>
  <c r="CV462" i="1"/>
  <c r="CW462" i="1"/>
  <c r="CX462" i="1"/>
  <c r="CY462" i="1"/>
  <c r="CZ462" i="1"/>
  <c r="DA462" i="1"/>
  <c r="DB462" i="1"/>
  <c r="DC462" i="1"/>
  <c r="DD462" i="1"/>
  <c r="DE462" i="1"/>
  <c r="DF462" i="1"/>
  <c r="DG462" i="1"/>
  <c r="DH462" i="1"/>
  <c r="BE463" i="1"/>
  <c r="CL463" i="1"/>
  <c r="CM463" i="1"/>
  <c r="CN463" i="1"/>
  <c r="CO463" i="1"/>
  <c r="CP463" i="1"/>
  <c r="CQ463" i="1"/>
  <c r="CR463" i="1"/>
  <c r="CS463" i="1"/>
  <c r="CT463" i="1"/>
  <c r="CU463" i="1"/>
  <c r="CV463" i="1"/>
  <c r="CW463" i="1"/>
  <c r="CX463" i="1"/>
  <c r="CY463" i="1"/>
  <c r="CZ463" i="1"/>
  <c r="DA463" i="1"/>
  <c r="DB463" i="1"/>
  <c r="DC463" i="1"/>
  <c r="DD463" i="1"/>
  <c r="DE463" i="1"/>
  <c r="DF463" i="1"/>
  <c r="DG463" i="1"/>
  <c r="DH463" i="1"/>
  <c r="BE464" i="1"/>
  <c r="CL464" i="1"/>
  <c r="CM464" i="1"/>
  <c r="CN464" i="1"/>
  <c r="CO464" i="1"/>
  <c r="CP464" i="1"/>
  <c r="CQ464" i="1"/>
  <c r="CR464" i="1"/>
  <c r="CS464" i="1"/>
  <c r="CT464" i="1"/>
  <c r="CU464" i="1"/>
  <c r="CV464" i="1"/>
  <c r="CW464" i="1"/>
  <c r="CX464" i="1"/>
  <c r="CY464" i="1"/>
  <c r="CZ464" i="1"/>
  <c r="DA464" i="1"/>
  <c r="DB464" i="1"/>
  <c r="DC464" i="1"/>
  <c r="DD464" i="1"/>
  <c r="DE464" i="1"/>
  <c r="DF464" i="1"/>
  <c r="DG464" i="1"/>
  <c r="DH464" i="1"/>
  <c r="BE465" i="1"/>
  <c r="CL465" i="1"/>
  <c r="CM465" i="1"/>
  <c r="CN465" i="1"/>
  <c r="CO465" i="1"/>
  <c r="CP465" i="1"/>
  <c r="CQ465" i="1"/>
  <c r="CR465" i="1"/>
  <c r="CS465" i="1"/>
  <c r="CT465" i="1"/>
  <c r="CU465" i="1"/>
  <c r="CV465" i="1"/>
  <c r="CW465" i="1"/>
  <c r="CX465" i="1"/>
  <c r="CY465" i="1"/>
  <c r="CZ465" i="1"/>
  <c r="DA465" i="1"/>
  <c r="DB465" i="1"/>
  <c r="DC465" i="1"/>
  <c r="DD465" i="1"/>
  <c r="DE465" i="1"/>
  <c r="DF465" i="1"/>
  <c r="DG465" i="1"/>
  <c r="DH465" i="1"/>
  <c r="BE466" i="1"/>
  <c r="CL466" i="1"/>
  <c r="CM466" i="1"/>
  <c r="CN466" i="1"/>
  <c r="CO466" i="1"/>
  <c r="CP466" i="1"/>
  <c r="CQ466" i="1"/>
  <c r="CR466" i="1"/>
  <c r="CS466" i="1"/>
  <c r="CT466" i="1"/>
  <c r="CU466" i="1"/>
  <c r="CV466" i="1"/>
  <c r="CW466" i="1"/>
  <c r="CX466" i="1"/>
  <c r="CY466" i="1"/>
  <c r="CZ466" i="1"/>
  <c r="DA466" i="1"/>
  <c r="DB466" i="1"/>
  <c r="DC466" i="1"/>
  <c r="DD466" i="1"/>
  <c r="DE466" i="1"/>
  <c r="DF466" i="1"/>
  <c r="DG466" i="1"/>
  <c r="DH466" i="1"/>
  <c r="BE467" i="1"/>
  <c r="CL467" i="1"/>
  <c r="CM467" i="1"/>
  <c r="CN467" i="1"/>
  <c r="CO467" i="1"/>
  <c r="CP467" i="1"/>
  <c r="CQ467" i="1"/>
  <c r="CR467" i="1"/>
  <c r="CS467" i="1"/>
  <c r="CT467" i="1"/>
  <c r="CU467" i="1"/>
  <c r="CV467" i="1"/>
  <c r="CW467" i="1"/>
  <c r="CX467" i="1"/>
  <c r="CY467" i="1"/>
  <c r="CZ467" i="1"/>
  <c r="DA467" i="1"/>
  <c r="DB467" i="1"/>
  <c r="DC467" i="1"/>
  <c r="DD467" i="1"/>
  <c r="DE467" i="1"/>
  <c r="DF467" i="1"/>
  <c r="DG467" i="1"/>
  <c r="DH467" i="1"/>
  <c r="BE468" i="1"/>
  <c r="CL468" i="1"/>
  <c r="CM468" i="1"/>
  <c r="CN468" i="1"/>
  <c r="CO468" i="1"/>
  <c r="CP468" i="1"/>
  <c r="CQ468" i="1"/>
  <c r="CR468" i="1"/>
  <c r="CS468" i="1"/>
  <c r="CT468" i="1"/>
  <c r="CU468" i="1"/>
  <c r="CV468" i="1"/>
  <c r="CW468" i="1"/>
  <c r="CX468" i="1"/>
  <c r="CY468" i="1"/>
  <c r="CZ468" i="1"/>
  <c r="DA468" i="1"/>
  <c r="DB468" i="1"/>
  <c r="DC468" i="1"/>
  <c r="DD468" i="1"/>
  <c r="DE468" i="1"/>
  <c r="DF468" i="1"/>
  <c r="DG468" i="1"/>
  <c r="DH468" i="1"/>
  <c r="DH456" i="1"/>
  <c r="DG456" i="1"/>
  <c r="DF456" i="1"/>
  <c r="DE456" i="1"/>
  <c r="DD456" i="1"/>
  <c r="DC456" i="1"/>
  <c r="DB456" i="1"/>
  <c r="DA456" i="1"/>
  <c r="CZ456" i="1"/>
  <c r="CY456" i="1"/>
  <c r="CX456" i="1"/>
  <c r="CW456" i="1"/>
  <c r="CV456" i="1"/>
  <c r="CU456" i="1"/>
  <c r="CT456" i="1"/>
  <c r="CS456" i="1"/>
  <c r="CR456" i="1"/>
  <c r="CQ456" i="1"/>
  <c r="CP456" i="1"/>
  <c r="CO456" i="1"/>
  <c r="CN456" i="1"/>
  <c r="CM456" i="1"/>
  <c r="CL456" i="1"/>
  <c r="BE456" i="1"/>
  <c r="DH455" i="1"/>
  <c r="DG455" i="1"/>
  <c r="DF455" i="1"/>
  <c r="DE455" i="1"/>
  <c r="DD455" i="1"/>
  <c r="DC455" i="1"/>
  <c r="DB455" i="1"/>
  <c r="DA455" i="1"/>
  <c r="CZ455" i="1"/>
  <c r="CY455" i="1"/>
  <c r="CX455" i="1"/>
  <c r="CW455" i="1"/>
  <c r="CV455" i="1"/>
  <c r="CU455" i="1"/>
  <c r="CT455" i="1"/>
  <c r="CS455" i="1"/>
  <c r="CR455" i="1"/>
  <c r="CQ455" i="1"/>
  <c r="CP455" i="1"/>
  <c r="CO455" i="1"/>
  <c r="CN455" i="1"/>
  <c r="CM455" i="1"/>
  <c r="CL455" i="1"/>
  <c r="BE455" i="1"/>
  <c r="DH454" i="1"/>
  <c r="DG454" i="1"/>
  <c r="DF454" i="1"/>
  <c r="DE454" i="1"/>
  <c r="DD454" i="1"/>
  <c r="DC454" i="1"/>
  <c r="DB454" i="1"/>
  <c r="DA454" i="1"/>
  <c r="CZ454" i="1"/>
  <c r="CY454" i="1"/>
  <c r="CX454" i="1"/>
  <c r="CW454" i="1"/>
  <c r="CV454" i="1"/>
  <c r="CU454" i="1"/>
  <c r="CT454" i="1"/>
  <c r="CS454" i="1"/>
  <c r="CR454" i="1"/>
  <c r="CQ454" i="1"/>
  <c r="CP454" i="1"/>
  <c r="CO454" i="1"/>
  <c r="CN454" i="1"/>
  <c r="CM454" i="1"/>
  <c r="CL454" i="1"/>
  <c r="BE454" i="1"/>
  <c r="DH453" i="1"/>
  <c r="DG453" i="1"/>
  <c r="DF453" i="1"/>
  <c r="DE453" i="1"/>
  <c r="DD453" i="1"/>
  <c r="DC453" i="1"/>
  <c r="DB453" i="1"/>
  <c r="DA453" i="1"/>
  <c r="CZ453" i="1"/>
  <c r="CY453" i="1"/>
  <c r="CX453" i="1"/>
  <c r="CW453" i="1"/>
  <c r="CV453" i="1"/>
  <c r="CU453" i="1"/>
  <c r="CT453" i="1"/>
  <c r="CS453" i="1"/>
  <c r="CR453" i="1"/>
  <c r="CQ453" i="1"/>
  <c r="CP453" i="1"/>
  <c r="CO453" i="1"/>
  <c r="CN453" i="1"/>
  <c r="CM453" i="1"/>
  <c r="CL453" i="1"/>
  <c r="BE453" i="1"/>
  <c r="DH452" i="1"/>
  <c r="DG452" i="1"/>
  <c r="DF452" i="1"/>
  <c r="DE452" i="1"/>
  <c r="DD452" i="1"/>
  <c r="DC452" i="1"/>
  <c r="DB452" i="1"/>
  <c r="DA452" i="1"/>
  <c r="CZ452" i="1"/>
  <c r="CY452" i="1"/>
  <c r="CX452" i="1"/>
  <c r="CW452" i="1"/>
  <c r="CV452" i="1"/>
  <c r="CU452" i="1"/>
  <c r="CT452" i="1"/>
  <c r="CS452" i="1"/>
  <c r="CR452" i="1"/>
  <c r="CQ452" i="1"/>
  <c r="CP452" i="1"/>
  <c r="CO452" i="1"/>
  <c r="CN452" i="1"/>
  <c r="CM452" i="1"/>
  <c r="CL452" i="1"/>
  <c r="BE452" i="1"/>
  <c r="BE451" i="1"/>
  <c r="CL451" i="1"/>
  <c r="CM451" i="1"/>
  <c r="CN451" i="1"/>
  <c r="CO451" i="1"/>
  <c r="CP451" i="1"/>
  <c r="CQ451" i="1"/>
  <c r="CR451" i="1"/>
  <c r="CS451" i="1"/>
  <c r="CT451" i="1"/>
  <c r="CU451" i="1"/>
  <c r="CV451" i="1"/>
  <c r="CW451" i="1"/>
  <c r="CX451" i="1"/>
  <c r="CY451" i="1"/>
  <c r="CZ451" i="1"/>
  <c r="DA451" i="1"/>
  <c r="DB451" i="1"/>
  <c r="DC451" i="1"/>
  <c r="DD451" i="1"/>
  <c r="DE451" i="1"/>
  <c r="DF451" i="1"/>
  <c r="DG451" i="1"/>
  <c r="DH451" i="1"/>
  <c r="DH450" i="1"/>
  <c r="DG450" i="1"/>
  <c r="DF450" i="1"/>
  <c r="DE450" i="1"/>
  <c r="DD450" i="1"/>
  <c r="DC450" i="1"/>
  <c r="DB450" i="1"/>
  <c r="DA450" i="1"/>
  <c r="CZ450" i="1"/>
  <c r="CY450" i="1"/>
  <c r="CX450" i="1"/>
  <c r="CW450" i="1"/>
  <c r="CV450" i="1"/>
  <c r="CU450" i="1"/>
  <c r="CT450" i="1"/>
  <c r="CS450" i="1"/>
  <c r="CR450" i="1"/>
  <c r="CQ450" i="1"/>
  <c r="CP450" i="1"/>
  <c r="CO450" i="1"/>
  <c r="CN450" i="1"/>
  <c r="CM450" i="1"/>
  <c r="CL450" i="1"/>
  <c r="BE450" i="1"/>
  <c r="JZ448" i="1"/>
  <c r="JZ447" i="1"/>
  <c r="UC446" i="1"/>
  <c r="UD446" i="1" s="1"/>
  <c r="UA446" i="1"/>
  <c r="RW445" i="1"/>
  <c r="RX445" i="1" s="1"/>
  <c r="RY445" i="1" s="1"/>
  <c r="RZ445" i="1" s="1"/>
  <c r="SA445" i="1" s="1"/>
  <c r="SB445" i="1" s="1"/>
  <c r="SC445" i="1" s="1"/>
  <c r="SD445" i="1" s="1"/>
  <c r="SE445" i="1" s="1"/>
  <c r="SF445" i="1" s="1"/>
  <c r="SG445" i="1" s="1"/>
  <c r="SH445" i="1" s="1"/>
  <c r="SI445" i="1" s="1"/>
  <c r="SJ445" i="1" s="1"/>
  <c r="SK445" i="1" s="1"/>
  <c r="SL445" i="1" s="1"/>
  <c r="SM445" i="1" s="1"/>
  <c r="SN445" i="1" s="1"/>
  <c r="SO445" i="1" s="1"/>
  <c r="SP445" i="1" s="1"/>
  <c r="SQ445" i="1" s="1"/>
  <c r="SR445" i="1" s="1"/>
  <c r="SS445" i="1" s="1"/>
  <c r="ST445" i="1" s="1"/>
  <c r="RU445" i="1"/>
  <c r="QN445" i="1"/>
  <c r="QP445" i="1" s="1"/>
  <c r="QR445" i="1" s="1"/>
  <c r="QT445" i="1" s="1"/>
  <c r="QV445" i="1" s="1"/>
  <c r="QM445" i="1"/>
  <c r="QO445" i="1" s="1"/>
  <c r="QQ445" i="1" s="1"/>
  <c r="QS445" i="1" s="1"/>
  <c r="QU445" i="1" s="1"/>
  <c r="KJ444" i="1"/>
  <c r="KK444" i="1" s="1"/>
  <c r="JZ444" i="1"/>
  <c r="OG443" i="1"/>
  <c r="OG442" i="1"/>
  <c r="PH441" i="1" a="1"/>
  <c r="PH441" i="1" s="1"/>
  <c r="OG441" i="1"/>
  <c r="RW440" i="1"/>
  <c r="RX440" i="1" s="1"/>
  <c r="RY440" i="1" s="1"/>
  <c r="RZ440" i="1" s="1"/>
  <c r="SA440" i="1" s="1"/>
  <c r="SB440" i="1" s="1"/>
  <c r="SC440" i="1" s="1"/>
  <c r="SD440" i="1" s="1"/>
  <c r="SE440" i="1" s="1"/>
  <c r="SF440" i="1" s="1"/>
  <c r="SG440" i="1" s="1"/>
  <c r="SH440" i="1" s="1"/>
  <c r="SI440" i="1" s="1"/>
  <c r="SJ440" i="1" s="1"/>
  <c r="SK440" i="1" s="1"/>
  <c r="SL440" i="1" s="1"/>
  <c r="SM440" i="1" s="1"/>
  <c r="SN440" i="1" s="1"/>
  <c r="SO440" i="1" s="1"/>
  <c r="SP440" i="1" s="1"/>
  <c r="SQ440" i="1" s="1"/>
  <c r="SR440" i="1" s="1"/>
  <c r="SS440" i="1" s="1"/>
  <c r="ST440" i="1" s="1"/>
  <c r="RU440" i="1"/>
  <c r="QN440" i="1"/>
  <c r="QP440" i="1" s="1"/>
  <c r="QR440" i="1" s="1"/>
  <c r="QT440" i="1" s="1"/>
  <c r="QV440" i="1" s="1"/>
  <c r="QM440" i="1"/>
  <c r="QO440" i="1" s="1"/>
  <c r="QQ440" i="1" s="1"/>
  <c r="QS440" i="1" s="1"/>
  <c r="QU440" i="1" s="1"/>
  <c r="KJ439" i="1"/>
  <c r="KK439" i="1" s="1"/>
  <c r="JZ439" i="1"/>
  <c r="OG438" i="1"/>
  <c r="OG437" i="1"/>
  <c r="PH436" i="1" a="1"/>
  <c r="PH436" i="1" s="1"/>
  <c r="OG436" i="1"/>
  <c r="RW435" i="1"/>
  <c r="RX435" i="1" s="1"/>
  <c r="RY435" i="1" s="1"/>
  <c r="RZ435" i="1" s="1"/>
  <c r="SA435" i="1" s="1"/>
  <c r="SB435" i="1" s="1"/>
  <c r="SC435" i="1" s="1"/>
  <c r="SD435" i="1" s="1"/>
  <c r="SE435" i="1" s="1"/>
  <c r="SF435" i="1" s="1"/>
  <c r="SG435" i="1" s="1"/>
  <c r="SH435" i="1" s="1"/>
  <c r="SI435" i="1" s="1"/>
  <c r="SJ435" i="1" s="1"/>
  <c r="SK435" i="1" s="1"/>
  <c r="SL435" i="1" s="1"/>
  <c r="SM435" i="1" s="1"/>
  <c r="SN435" i="1" s="1"/>
  <c r="SO435" i="1" s="1"/>
  <c r="SP435" i="1" s="1"/>
  <c r="SQ435" i="1" s="1"/>
  <c r="SR435" i="1" s="1"/>
  <c r="SS435" i="1" s="1"/>
  <c r="ST435" i="1" s="1"/>
  <c r="RU435" i="1"/>
  <c r="QN435" i="1"/>
  <c r="QP435" i="1" s="1"/>
  <c r="QR435" i="1" s="1"/>
  <c r="QT435" i="1" s="1"/>
  <c r="QV435" i="1" s="1"/>
  <c r="QM435" i="1"/>
  <c r="QO435" i="1" s="1"/>
  <c r="QQ435" i="1" s="1"/>
  <c r="QS435" i="1" s="1"/>
  <c r="QU435" i="1" s="1"/>
  <c r="KJ434" i="1"/>
  <c r="KK434" i="1" s="1"/>
  <c r="JZ434" i="1"/>
  <c r="OG433" i="1"/>
  <c r="OG432" i="1"/>
  <c r="PH431" i="1" a="1"/>
  <c r="PH431" i="1" s="1"/>
  <c r="OG431" i="1"/>
  <c r="RW202" i="1"/>
  <c r="RX202" i="1" s="1"/>
  <c r="RY202" i="1" s="1"/>
  <c r="RZ202" i="1" s="1"/>
  <c r="SA202" i="1" s="1"/>
  <c r="SB202" i="1" s="1"/>
  <c r="SC202" i="1" s="1"/>
  <c r="SD202" i="1" s="1"/>
  <c r="SE202" i="1" s="1"/>
  <c r="SF202" i="1" s="1"/>
  <c r="SG202" i="1" s="1"/>
  <c r="SH202" i="1" s="1"/>
  <c r="SI202" i="1" s="1"/>
  <c r="SJ202" i="1" s="1"/>
  <c r="SK202" i="1" s="1"/>
  <c r="SL202" i="1" s="1"/>
  <c r="SM202" i="1" s="1"/>
  <c r="SN202" i="1" s="1"/>
  <c r="SO202" i="1" s="1"/>
  <c r="SP202" i="1" s="1"/>
  <c r="SQ202" i="1" s="1"/>
  <c r="SR202" i="1" s="1"/>
  <c r="SS202" i="1" s="1"/>
  <c r="ST202" i="1" s="1"/>
  <c r="RW197" i="1"/>
  <c r="RX197" i="1" s="1"/>
  <c r="RY197" i="1" s="1"/>
  <c r="RZ197" i="1" s="1"/>
  <c r="SA197" i="1" s="1"/>
  <c r="SB197" i="1" s="1"/>
  <c r="SC197" i="1" s="1"/>
  <c r="SD197" i="1" s="1"/>
  <c r="SE197" i="1" s="1"/>
  <c r="SF197" i="1" s="1"/>
  <c r="SG197" i="1" s="1"/>
  <c r="SH197" i="1" s="1"/>
  <c r="SI197" i="1" s="1"/>
  <c r="SJ197" i="1" s="1"/>
  <c r="SK197" i="1" s="1"/>
  <c r="SL197" i="1" s="1"/>
  <c r="SM197" i="1" s="1"/>
  <c r="SN197" i="1" s="1"/>
  <c r="SO197" i="1" s="1"/>
  <c r="SP197" i="1" s="1"/>
  <c r="SQ197" i="1" s="1"/>
  <c r="SR197" i="1" s="1"/>
  <c r="SS197" i="1" s="1"/>
  <c r="ST197" i="1" s="1"/>
  <c r="RW192" i="1"/>
  <c r="RX192" i="1" s="1"/>
  <c r="RY192" i="1" s="1"/>
  <c r="RZ192" i="1" s="1"/>
  <c r="SA192" i="1" s="1"/>
  <c r="SB192" i="1" s="1"/>
  <c r="SC192" i="1" s="1"/>
  <c r="SD192" i="1" s="1"/>
  <c r="SE192" i="1" s="1"/>
  <c r="SF192" i="1" s="1"/>
  <c r="SG192" i="1" s="1"/>
  <c r="SH192" i="1" s="1"/>
  <c r="SI192" i="1" s="1"/>
  <c r="SJ192" i="1" s="1"/>
  <c r="SK192" i="1" s="1"/>
  <c r="SL192" i="1" s="1"/>
  <c r="SM192" i="1" s="1"/>
  <c r="SN192" i="1" s="1"/>
  <c r="SO192" i="1" s="1"/>
  <c r="SP192" i="1" s="1"/>
  <c r="SQ192" i="1" s="1"/>
  <c r="SR192" i="1" s="1"/>
  <c r="SS192" i="1" s="1"/>
  <c r="ST192" i="1" s="1"/>
  <c r="RW187" i="1"/>
  <c r="RX187" i="1" s="1"/>
  <c r="RY187" i="1" s="1"/>
  <c r="RZ187" i="1" s="1"/>
  <c r="SA187" i="1" s="1"/>
  <c r="SB187" i="1" s="1"/>
  <c r="SC187" i="1" s="1"/>
  <c r="SD187" i="1" s="1"/>
  <c r="SE187" i="1" s="1"/>
  <c r="SF187" i="1" s="1"/>
  <c r="SG187" i="1" s="1"/>
  <c r="SH187" i="1" s="1"/>
  <c r="SI187" i="1" s="1"/>
  <c r="SJ187" i="1" s="1"/>
  <c r="SK187" i="1" s="1"/>
  <c r="SL187" i="1" s="1"/>
  <c r="SM187" i="1" s="1"/>
  <c r="SN187" i="1" s="1"/>
  <c r="SO187" i="1" s="1"/>
  <c r="SP187" i="1" s="1"/>
  <c r="SQ187" i="1" s="1"/>
  <c r="SR187" i="1" s="1"/>
  <c r="SS187" i="1" s="1"/>
  <c r="ST187" i="1" s="1"/>
  <c r="RW430" i="1"/>
  <c r="RX430" i="1" s="1"/>
  <c r="RY430" i="1" s="1"/>
  <c r="RZ430" i="1" s="1"/>
  <c r="SA430" i="1" s="1"/>
  <c r="SB430" i="1" s="1"/>
  <c r="SC430" i="1" s="1"/>
  <c r="SD430" i="1" s="1"/>
  <c r="SE430" i="1" s="1"/>
  <c r="SF430" i="1" s="1"/>
  <c r="SG430" i="1" s="1"/>
  <c r="SH430" i="1" s="1"/>
  <c r="SI430" i="1" s="1"/>
  <c r="SJ430" i="1" s="1"/>
  <c r="SK430" i="1" s="1"/>
  <c r="SL430" i="1" s="1"/>
  <c r="SM430" i="1" s="1"/>
  <c r="SN430" i="1" s="1"/>
  <c r="SO430" i="1" s="1"/>
  <c r="SP430" i="1" s="1"/>
  <c r="SQ430" i="1" s="1"/>
  <c r="SR430" i="1" s="1"/>
  <c r="SS430" i="1" s="1"/>
  <c r="ST430" i="1" s="1"/>
  <c r="PH426" i="1" a="1"/>
  <c r="PH426" i="1" s="1"/>
  <c r="RU430" i="1"/>
  <c r="QN430" i="1"/>
  <c r="QP430" i="1" s="1"/>
  <c r="QR430" i="1" s="1"/>
  <c r="QT430" i="1" s="1"/>
  <c r="QV430" i="1" s="1"/>
  <c r="QM430" i="1"/>
  <c r="QO430" i="1" s="1"/>
  <c r="QQ430" i="1" s="1"/>
  <c r="QS430" i="1" s="1"/>
  <c r="QU430" i="1" s="1"/>
  <c r="KJ429" i="1"/>
  <c r="KK429" i="1" s="1"/>
  <c r="JZ429" i="1"/>
  <c r="OG428" i="1"/>
  <c r="OG427" i="1"/>
  <c r="OG426" i="1"/>
  <c r="X380" i="1"/>
  <c r="X382" i="1" s="1"/>
  <c r="X383" i="1" s="1"/>
  <c r="X385" i="1" s="1"/>
  <c r="X386" i="1" s="1"/>
  <c r="JZ425" i="1"/>
  <c r="JZ424" i="1"/>
  <c r="JZ423" i="1"/>
  <c r="JZ422" i="1"/>
  <c r="JZ421" i="1"/>
  <c r="JZ420" i="1"/>
  <c r="JZ419" i="1"/>
  <c r="JZ418" i="1"/>
  <c r="JZ417" i="1"/>
  <c r="JZ416" i="1"/>
  <c r="JZ415" i="1"/>
  <c r="JZ414" i="1"/>
  <c r="JZ413" i="1"/>
  <c r="JZ412" i="1"/>
  <c r="JZ411" i="1"/>
  <c r="JZ410" i="1"/>
  <c r="JZ409" i="1"/>
  <c r="JZ408" i="1"/>
  <c r="JZ407" i="1"/>
  <c r="JZ406" i="1"/>
  <c r="JZ405" i="1"/>
  <c r="JZ404" i="1"/>
  <c r="JZ403" i="1"/>
  <c r="JZ402" i="1"/>
  <c r="JZ401" i="1"/>
  <c r="JZ400" i="1"/>
  <c r="JZ399" i="1"/>
  <c r="JZ398" i="1"/>
  <c r="JZ397" i="1"/>
  <c r="JZ396" i="1"/>
  <c r="JZ395" i="1"/>
  <c r="JZ394" i="1"/>
  <c r="JZ393" i="1"/>
  <c r="JZ392" i="1"/>
  <c r="JZ391" i="1"/>
  <c r="JZ390" i="1"/>
  <c r="JZ389" i="1"/>
  <c r="JZ388" i="1"/>
  <c r="JZ387" i="1"/>
  <c r="JZ386" i="1"/>
  <c r="JZ385" i="1"/>
  <c r="JZ384" i="1"/>
  <c r="JZ383" i="1"/>
  <c r="JZ382" i="1"/>
  <c r="JZ381" i="1"/>
  <c r="JZ380" i="1"/>
  <c r="JZ379" i="1"/>
  <c r="MR371" i="1"/>
  <c r="MR372" i="1" s="1"/>
  <c r="MR373" i="1" s="1"/>
  <c r="MR374" i="1" s="1"/>
  <c r="MR375" i="1" s="1"/>
  <c r="MR376" i="1" s="1"/>
  <c r="MR377" i="1" s="1"/>
  <c r="MR378" i="1" s="1"/>
  <c r="MQ371" i="1"/>
  <c r="MQ372" i="1" s="1"/>
  <c r="MQ373" i="1" s="1"/>
  <c r="MQ374" i="1" s="1"/>
  <c r="MQ375" i="1" s="1"/>
  <c r="MQ376" i="1" s="1"/>
  <c r="MQ377" i="1" s="1"/>
  <c r="MQ378" i="1" s="1"/>
  <c r="MJ371" i="1"/>
  <c r="MJ372" i="1" s="1"/>
  <c r="MJ373" i="1" s="1"/>
  <c r="MJ374" i="1" s="1"/>
  <c r="MJ375" i="1" s="1"/>
  <c r="MJ376" i="1" s="1"/>
  <c r="MJ377" i="1" s="1"/>
  <c r="MJ378" i="1" s="1"/>
  <c r="MI371" i="1"/>
  <c r="MI372" i="1" s="1"/>
  <c r="MI373" i="1" s="1"/>
  <c r="MI374" i="1" s="1"/>
  <c r="MI375" i="1" s="1"/>
  <c r="MI376" i="1" s="1"/>
  <c r="MI377" i="1" s="1"/>
  <c r="MI378" i="1" s="1"/>
  <c r="MH371" i="1"/>
  <c r="MH372" i="1" s="1"/>
  <c r="MH373" i="1" s="1"/>
  <c r="MH374" i="1" s="1"/>
  <c r="MH375" i="1" s="1"/>
  <c r="MH376" i="1" s="1"/>
  <c r="MH377" i="1" s="1"/>
  <c r="MH378" i="1" s="1"/>
  <c r="MG371" i="1"/>
  <c r="MG372" i="1" s="1"/>
  <c r="MG373" i="1" s="1"/>
  <c r="MG374" i="1" s="1"/>
  <c r="MG375" i="1" s="1"/>
  <c r="MG376" i="1" s="1"/>
  <c r="MG377" i="1" s="1"/>
  <c r="MG378" i="1" s="1"/>
  <c r="MF371" i="1"/>
  <c r="MF372" i="1" s="1"/>
  <c r="MF373" i="1" s="1"/>
  <c r="MF374" i="1" s="1"/>
  <c r="MF375" i="1" s="1"/>
  <c r="MF376" i="1" s="1"/>
  <c r="MF377" i="1" s="1"/>
  <c r="MF378" i="1" s="1"/>
  <c r="ME371" i="1"/>
  <c r="ME372" i="1" s="1"/>
  <c r="ME373" i="1" s="1"/>
  <c r="ME374" i="1" s="1"/>
  <c r="ME375" i="1" s="1"/>
  <c r="ME376" i="1" s="1"/>
  <c r="ME377" i="1" s="1"/>
  <c r="ME378" i="1" s="1"/>
  <c r="MD371" i="1"/>
  <c r="MD372" i="1" s="1"/>
  <c r="MD373" i="1" s="1"/>
  <c r="MD374" i="1" s="1"/>
  <c r="MD375" i="1" s="1"/>
  <c r="MD376" i="1" s="1"/>
  <c r="MD377" i="1" s="1"/>
  <c r="MD378" i="1" s="1"/>
  <c r="MC371" i="1"/>
  <c r="MC372" i="1" s="1"/>
  <c r="MC373" i="1" s="1"/>
  <c r="MC374" i="1" s="1"/>
  <c r="MC375" i="1" s="1"/>
  <c r="MC376" i="1" s="1"/>
  <c r="MC377" i="1" s="1"/>
  <c r="MC378" i="1" s="1"/>
  <c r="AG370" i="1"/>
  <c r="AF370" i="1"/>
  <c r="LY370" i="1" s="1"/>
  <c r="AE370" i="1" s="1" a="1"/>
  <c r="AE370" i="1" s="1"/>
  <c r="AC371" i="1" s="1"/>
  <c r="VN367" i="1"/>
  <c r="VO367" i="1" s="1"/>
  <c r="VP367" i="1" s="1"/>
  <c r="AE366" i="1" a="1"/>
  <c r="AE366" i="1" s="1"/>
  <c r="VL367" i="1"/>
  <c r="BS450" i="1" l="1"/>
  <c r="CI450" i="1"/>
  <c r="DH521" i="1"/>
  <c r="BP450" i="1"/>
  <c r="BR450" i="1" s="1"/>
  <c r="AK32" i="1"/>
  <c r="BP32" i="1" s="1"/>
  <c r="BR32" i="1" s="1"/>
  <c r="AL34" i="1"/>
  <c r="EX34" i="1" s="1"/>
  <c r="AK43" i="1"/>
  <c r="HE43" i="1" s="1"/>
  <c r="AL2" i="1"/>
  <c r="BQ2" i="1" s="1"/>
  <c r="BS2" i="1" s="1"/>
  <c r="AK22" i="1"/>
  <c r="BP22" i="1" s="1"/>
  <c r="BR22" i="1" s="1"/>
  <c r="AK12" i="1"/>
  <c r="BP12" i="1" s="1"/>
  <c r="BR12" i="1" s="1"/>
  <c r="AK225" i="1"/>
  <c r="EW225" i="1" s="1"/>
  <c r="AL510" i="1"/>
  <c r="BQ510" i="1" s="1"/>
  <c r="BS510" i="1" s="1"/>
  <c r="WR543" i="1"/>
  <c r="WS543" i="1" s="1"/>
  <c r="WT543" i="1" s="1"/>
  <c r="WU543" i="1" s="1"/>
  <c r="WV543" i="1" s="1"/>
  <c r="WW543" i="1" s="1"/>
  <c r="WX543" i="1" s="1"/>
  <c r="WY543" i="1" s="1"/>
  <c r="WZ543" i="1" s="1"/>
  <c r="XA543" i="1" s="1"/>
  <c r="XB543" i="1" s="1"/>
  <c r="XC543" i="1" s="1"/>
  <c r="XD543" i="1" s="1"/>
  <c r="XE543" i="1" s="1"/>
  <c r="XF543" i="1" s="1"/>
  <c r="XG543" i="1" s="1"/>
  <c r="IM517" i="1"/>
  <c r="II517" i="1"/>
  <c r="IN517" i="1"/>
  <c r="U518" i="1"/>
  <c r="HY518" i="1" s="1"/>
  <c r="CO521" i="1"/>
  <c r="CU521" i="1"/>
  <c r="HZ517" i="1"/>
  <c r="IA517" i="1"/>
  <c r="U522" i="1"/>
  <c r="CM522" i="1" s="1"/>
  <c r="IB517" i="1"/>
  <c r="IK517" i="1"/>
  <c r="BE521" i="1"/>
  <c r="IL517" i="1"/>
  <c r="CM521" i="1"/>
  <c r="X528" i="1"/>
  <c r="X529" i="1" s="1"/>
  <c r="X530" i="1" s="1"/>
  <c r="X531" i="1" s="1"/>
  <c r="X532" i="1" s="1"/>
  <c r="X533" i="1" s="1"/>
  <c r="X534" i="1" s="1"/>
  <c r="X535" i="1" s="1"/>
  <c r="X536" i="1" s="1"/>
  <c r="X537" i="1" s="1"/>
  <c r="X538" i="1" s="1"/>
  <c r="X539" i="1" s="1"/>
  <c r="CV521" i="1"/>
  <c r="CY521" i="1"/>
  <c r="DA521" i="1"/>
  <c r="HY517" i="1"/>
  <c r="DG521" i="1"/>
  <c r="CL522" i="1"/>
  <c r="CW521" i="1"/>
  <c r="CL521" i="1"/>
  <c r="CX521" i="1"/>
  <c r="CN521" i="1"/>
  <c r="CZ521" i="1"/>
  <c r="CP521" i="1"/>
  <c r="DB521" i="1"/>
  <c r="CQ521" i="1"/>
  <c r="DC521" i="1"/>
  <c r="CR521" i="1"/>
  <c r="DD521" i="1"/>
  <c r="CS521" i="1"/>
  <c r="DE521" i="1"/>
  <c r="CT521" i="1"/>
  <c r="IF517" i="1"/>
  <c r="IG517" i="1"/>
  <c r="IH517" i="1"/>
  <c r="IJ517" i="1"/>
  <c r="IC517" i="1"/>
  <c r="IO517" i="1"/>
  <c r="GT517" i="1"/>
  <c r="ID517" i="1"/>
  <c r="IP517" i="1"/>
  <c r="IE517" i="1"/>
  <c r="CG450" i="1"/>
  <c r="U494" i="1"/>
  <c r="IF494" i="1" s="1"/>
  <c r="GT493" i="1"/>
  <c r="ID493" i="1"/>
  <c r="IP493" i="1"/>
  <c r="IE493" i="1"/>
  <c r="IQ493" i="1"/>
  <c r="IF493" i="1"/>
  <c r="IG493" i="1"/>
  <c r="IH493" i="1"/>
  <c r="II493" i="1"/>
  <c r="HZ493" i="1"/>
  <c r="IL493" i="1"/>
  <c r="IJ493" i="1"/>
  <c r="HY493" i="1"/>
  <c r="IK493" i="1"/>
  <c r="IA493" i="1"/>
  <c r="IM493" i="1"/>
  <c r="IB493" i="1"/>
  <c r="IN493" i="1"/>
  <c r="IC493" i="1"/>
  <c r="CK450" i="1"/>
  <c r="PI441" i="1"/>
  <c r="PJ441" i="1" s="1"/>
  <c r="PK441" i="1" s="1"/>
  <c r="PL441" i="1" s="1"/>
  <c r="PM441" i="1" s="1"/>
  <c r="PI436" i="1"/>
  <c r="PJ436" i="1" s="1"/>
  <c r="PK436" i="1" s="1"/>
  <c r="PL436" i="1" s="1"/>
  <c r="PM436" i="1" s="1"/>
  <c r="PI431" i="1"/>
  <c r="PJ431" i="1" s="1"/>
  <c r="PK431" i="1" s="1"/>
  <c r="PL431" i="1" s="1"/>
  <c r="PM431" i="1" s="1"/>
  <c r="PI426" i="1"/>
  <c r="X388" i="1"/>
  <c r="KJ369" i="1"/>
  <c r="KK369" i="1" s="1"/>
  <c r="JZ369" i="1"/>
  <c r="UC368" i="1"/>
  <c r="UD368" i="1" s="1"/>
  <c r="UA368" i="1"/>
  <c r="CZ358" i="1"/>
  <c r="CW358" i="1"/>
  <c r="CV358" i="1"/>
  <c r="CT358" i="1"/>
  <c r="CS358" i="1"/>
  <c r="CR358" i="1"/>
  <c r="CQ358" i="1"/>
  <c r="CP358" i="1"/>
  <c r="CO358" i="1"/>
  <c r="CN358" i="1"/>
  <c r="CM358" i="1"/>
  <c r="CL358" i="1"/>
  <c r="DH358" i="1"/>
  <c r="DG358" i="1"/>
  <c r="DF358" i="1"/>
  <c r="DE358" i="1"/>
  <c r="DD358" i="1"/>
  <c r="DC358" i="1"/>
  <c r="DB358" i="1"/>
  <c r="DA358" i="1"/>
  <c r="CY358" i="1"/>
  <c r="CX358" i="1"/>
  <c r="CU358" i="1"/>
  <c r="BE358" i="1"/>
  <c r="IQ357" i="1"/>
  <c r="IP357" i="1"/>
  <c r="IO357" i="1"/>
  <c r="IN357" i="1"/>
  <c r="IM357" i="1"/>
  <c r="IL357" i="1"/>
  <c r="IK357" i="1"/>
  <c r="IJ357" i="1"/>
  <c r="II357" i="1"/>
  <c r="IH357" i="1"/>
  <c r="IG357" i="1"/>
  <c r="IF357" i="1"/>
  <c r="IE357" i="1"/>
  <c r="ID357" i="1"/>
  <c r="IC357" i="1"/>
  <c r="IB357" i="1"/>
  <c r="IA357" i="1"/>
  <c r="HZ357" i="1"/>
  <c r="HY357" i="1"/>
  <c r="GT357" i="1"/>
  <c r="IQ356" i="1"/>
  <c r="IP356" i="1"/>
  <c r="IO356" i="1"/>
  <c r="IN356" i="1"/>
  <c r="IM356" i="1"/>
  <c r="IL356" i="1"/>
  <c r="IK356" i="1"/>
  <c r="IJ356" i="1"/>
  <c r="II356" i="1"/>
  <c r="IH356" i="1"/>
  <c r="IG356" i="1"/>
  <c r="IF356" i="1"/>
  <c r="IE356" i="1"/>
  <c r="ID356" i="1"/>
  <c r="IC356" i="1"/>
  <c r="IB356" i="1"/>
  <c r="IA356" i="1"/>
  <c r="HZ356" i="1"/>
  <c r="HY356" i="1"/>
  <c r="GT356" i="1"/>
  <c r="AI352" i="1" a="1"/>
  <c r="AI352" i="1" s="1"/>
  <c r="JZ351" i="1"/>
  <c r="JZ350" i="1"/>
  <c r="JZ349" i="1"/>
  <c r="X342" i="1"/>
  <c r="JZ348" i="1"/>
  <c r="JZ347" i="1"/>
  <c r="JZ342" i="1"/>
  <c r="JZ343" i="1"/>
  <c r="JZ344" i="1"/>
  <c r="JZ345" i="1"/>
  <c r="JZ346" i="1"/>
  <c r="JZ341" i="1"/>
  <c r="MR333" i="1"/>
  <c r="MR334" i="1" s="1"/>
  <c r="MR335" i="1" s="1"/>
  <c r="MR336" i="1" s="1"/>
  <c r="MR337" i="1" s="1"/>
  <c r="MR338" i="1" s="1"/>
  <c r="MR339" i="1" s="1"/>
  <c r="MR340" i="1" s="1"/>
  <c r="MQ333" i="1"/>
  <c r="MQ334" i="1" s="1"/>
  <c r="MQ335" i="1" s="1"/>
  <c r="MQ336" i="1" s="1"/>
  <c r="MQ337" i="1" s="1"/>
  <c r="MQ338" i="1" s="1"/>
  <c r="MQ339" i="1" s="1"/>
  <c r="MQ340" i="1" s="1"/>
  <c r="MJ333" i="1"/>
  <c r="MJ334" i="1" s="1"/>
  <c r="MJ335" i="1" s="1"/>
  <c r="MJ336" i="1" s="1"/>
  <c r="MJ337" i="1" s="1"/>
  <c r="MJ338" i="1" s="1"/>
  <c r="MJ339" i="1" s="1"/>
  <c r="MJ340" i="1" s="1"/>
  <c r="MI333" i="1"/>
  <c r="MI334" i="1" s="1"/>
  <c r="MI335" i="1" s="1"/>
  <c r="MI336" i="1" s="1"/>
  <c r="MI337" i="1" s="1"/>
  <c r="MI338" i="1" s="1"/>
  <c r="MI339" i="1" s="1"/>
  <c r="MI340" i="1" s="1"/>
  <c r="MH333" i="1"/>
  <c r="MH334" i="1" s="1"/>
  <c r="MH335" i="1" s="1"/>
  <c r="MH336" i="1" s="1"/>
  <c r="MH337" i="1" s="1"/>
  <c r="MH338" i="1" s="1"/>
  <c r="MH339" i="1" s="1"/>
  <c r="MH340" i="1" s="1"/>
  <c r="MG333" i="1"/>
  <c r="MG334" i="1" s="1"/>
  <c r="MG335" i="1" s="1"/>
  <c r="MG336" i="1" s="1"/>
  <c r="MG337" i="1" s="1"/>
  <c r="MG338" i="1" s="1"/>
  <c r="MG339" i="1" s="1"/>
  <c r="MG340" i="1" s="1"/>
  <c r="MF333" i="1"/>
  <c r="MF334" i="1" s="1"/>
  <c r="MF335" i="1" s="1"/>
  <c r="MF336" i="1" s="1"/>
  <c r="MF337" i="1" s="1"/>
  <c r="MF338" i="1" s="1"/>
  <c r="MF339" i="1" s="1"/>
  <c r="MF340" i="1" s="1"/>
  <c r="ME333" i="1"/>
  <c r="ME334" i="1" s="1"/>
  <c r="ME335" i="1" s="1"/>
  <c r="ME336" i="1" s="1"/>
  <c r="ME337" i="1" s="1"/>
  <c r="ME338" i="1" s="1"/>
  <c r="ME339" i="1" s="1"/>
  <c r="ME340" i="1" s="1"/>
  <c r="MD333" i="1"/>
  <c r="MD334" i="1" s="1"/>
  <c r="MD335" i="1" s="1"/>
  <c r="MD336" i="1" s="1"/>
  <c r="MD337" i="1" s="1"/>
  <c r="MD338" i="1" s="1"/>
  <c r="MD339" i="1" s="1"/>
  <c r="MD340" i="1" s="1"/>
  <c r="MC333" i="1"/>
  <c r="MC334" i="1" s="1"/>
  <c r="MC335" i="1" s="1"/>
  <c r="MC336" i="1" s="1"/>
  <c r="MC337" i="1" s="1"/>
  <c r="MC338" i="1" s="1"/>
  <c r="MC339" i="1" s="1"/>
  <c r="MC340" i="1" s="1"/>
  <c r="CW331" i="1"/>
  <c r="CV331" i="1"/>
  <c r="DH331" i="1"/>
  <c r="DG331" i="1"/>
  <c r="CT331" i="1"/>
  <c r="CS331" i="1"/>
  <c r="CR331" i="1"/>
  <c r="CQ331" i="1"/>
  <c r="CP331" i="1"/>
  <c r="CN331" i="1"/>
  <c r="CM331" i="1"/>
  <c r="CL331" i="1"/>
  <c r="BE331" i="1"/>
  <c r="CU331" i="1"/>
  <c r="CX331" i="1"/>
  <c r="CY331" i="1"/>
  <c r="CZ331" i="1"/>
  <c r="DA331" i="1"/>
  <c r="DB331" i="1"/>
  <c r="DC331" i="1"/>
  <c r="DD331" i="1"/>
  <c r="DE331" i="1"/>
  <c r="DF331" i="1"/>
  <c r="CH450" i="1" l="1"/>
  <c r="AL352" i="1"/>
  <c r="AK352" i="1"/>
  <c r="X547" i="1"/>
  <c r="X548" i="1" s="1"/>
  <c r="X549" i="1" s="1"/>
  <c r="Y546" i="1" a="1"/>
  <c r="Y546" i="1" s="1"/>
  <c r="DF522" i="1"/>
  <c r="IK518" i="1"/>
  <c r="IJ518" i="1"/>
  <c r="IF518" i="1"/>
  <c r="ID518" i="1"/>
  <c r="IN518" i="1"/>
  <c r="IM518" i="1"/>
  <c r="IG518" i="1"/>
  <c r="ID494" i="1"/>
  <c r="IO518" i="1"/>
  <c r="IC518" i="1"/>
  <c r="IB518" i="1"/>
  <c r="IA518" i="1"/>
  <c r="IL518" i="1"/>
  <c r="HZ518" i="1"/>
  <c r="GT518" i="1"/>
  <c r="IQ518" i="1"/>
  <c r="HZ494" i="1"/>
  <c r="II518" i="1"/>
  <c r="IJ494" i="1"/>
  <c r="IE518" i="1"/>
  <c r="IH494" i="1"/>
  <c r="DD522" i="1"/>
  <c r="CQ522" i="1"/>
  <c r="BE522" i="1"/>
  <c r="CS522" i="1"/>
  <c r="CX522" i="1"/>
  <c r="CR522" i="1"/>
  <c r="DC522" i="1"/>
  <c r="DB522" i="1"/>
  <c r="CV522" i="1"/>
  <c r="CP522" i="1"/>
  <c r="DG522" i="1"/>
  <c r="DA522" i="1"/>
  <c r="IP494" i="1"/>
  <c r="CU522" i="1"/>
  <c r="CO522" i="1"/>
  <c r="GT494" i="1"/>
  <c r="CT522" i="1"/>
  <c r="CY522" i="1"/>
  <c r="DE522" i="1"/>
  <c r="IO494" i="1"/>
  <c r="IC494" i="1"/>
  <c r="II494" i="1"/>
  <c r="IN494" i="1"/>
  <c r="IB494" i="1"/>
  <c r="IK494" i="1"/>
  <c r="IP518" i="1"/>
  <c r="IH518" i="1"/>
  <c r="HY494" i="1"/>
  <c r="IM494" i="1"/>
  <c r="IA494" i="1"/>
  <c r="DH522" i="1"/>
  <c r="U523" i="1"/>
  <c r="CZ522" i="1"/>
  <c r="CW522" i="1"/>
  <c r="CN522" i="1"/>
  <c r="IG494" i="1"/>
  <c r="IE494" i="1"/>
  <c r="IL494" i="1"/>
  <c r="IQ494" i="1"/>
  <c r="U495" i="1"/>
  <c r="X389" i="1"/>
  <c r="CJ450" i="1"/>
  <c r="PJ426" i="1"/>
  <c r="PK426" i="1" s="1"/>
  <c r="PL426" i="1" s="1"/>
  <c r="PM426" i="1" s="1"/>
  <c r="X343" i="1"/>
  <c r="BE330" i="1"/>
  <c r="CL330" i="1"/>
  <c r="CM330" i="1"/>
  <c r="CN330" i="1"/>
  <c r="CP330" i="1"/>
  <c r="CQ330" i="1"/>
  <c r="CR330" i="1"/>
  <c r="CS330" i="1"/>
  <c r="CT330" i="1"/>
  <c r="CU330" i="1"/>
  <c r="CV330" i="1"/>
  <c r="CW330" i="1"/>
  <c r="CX330" i="1"/>
  <c r="CY330" i="1"/>
  <c r="CZ330" i="1"/>
  <c r="DA330" i="1"/>
  <c r="DB330" i="1"/>
  <c r="DC330" i="1"/>
  <c r="DD330" i="1"/>
  <c r="DE330" i="1"/>
  <c r="DF330" i="1"/>
  <c r="DG330" i="1"/>
  <c r="DH330" i="1"/>
  <c r="CT329" i="1"/>
  <c r="CS329" i="1"/>
  <c r="DG329" i="1"/>
  <c r="DH329" i="1"/>
  <c r="DA329" i="1"/>
  <c r="DB329" i="1"/>
  <c r="DF329" i="1"/>
  <c r="DE329" i="1"/>
  <c r="DD329" i="1"/>
  <c r="DC329" i="1"/>
  <c r="CZ329" i="1"/>
  <c r="CY329" i="1"/>
  <c r="CX329" i="1"/>
  <c r="CW329" i="1"/>
  <c r="CV329" i="1"/>
  <c r="CU329" i="1"/>
  <c r="CR329" i="1"/>
  <c r="CQ329" i="1"/>
  <c r="CP329" i="1"/>
  <c r="CN329" i="1"/>
  <c r="CM329" i="1"/>
  <c r="CL329" i="1"/>
  <c r="BE329" i="1"/>
  <c r="BP352" i="1" l="1"/>
  <c r="CF352" i="1"/>
  <c r="CG352" i="1"/>
  <c r="BQ352" i="1"/>
  <c r="AB546" i="1"/>
  <c r="AA546" i="1"/>
  <c r="U524" i="1"/>
  <c r="DC523" i="1"/>
  <c r="CQ523" i="1"/>
  <c r="DB523" i="1"/>
  <c r="CP523" i="1"/>
  <c r="DA523" i="1"/>
  <c r="CO523" i="1"/>
  <c r="CZ523" i="1"/>
  <c r="CN523" i="1"/>
  <c r="CY523" i="1"/>
  <c r="CM523" i="1"/>
  <c r="CX523" i="1"/>
  <c r="CL523" i="1"/>
  <c r="CW523" i="1"/>
  <c r="BE523" i="1"/>
  <c r="DH523" i="1"/>
  <c r="CV523" i="1"/>
  <c r="DG523" i="1"/>
  <c r="CU523" i="1"/>
  <c r="DF523" i="1"/>
  <c r="CT523" i="1"/>
  <c r="CR523" i="1"/>
  <c r="DE523" i="1"/>
  <c r="CS523" i="1"/>
  <c r="DD523" i="1"/>
  <c r="X392" i="1"/>
  <c r="IQ495" i="1"/>
  <c r="U496" i="1"/>
  <c r="II495" i="1"/>
  <c r="IG495" i="1"/>
  <c r="IM495" i="1"/>
  <c r="IB495" i="1"/>
  <c r="IN495" i="1"/>
  <c r="IC495" i="1"/>
  <c r="IF495" i="1"/>
  <c r="IO495" i="1"/>
  <c r="IA495" i="1"/>
  <c r="IH495" i="1"/>
  <c r="GT495" i="1"/>
  <c r="IL495" i="1"/>
  <c r="IJ495" i="1"/>
  <c r="ID495" i="1"/>
  <c r="HY495" i="1"/>
  <c r="IP495" i="1"/>
  <c r="IK495" i="1"/>
  <c r="IE495" i="1"/>
  <c r="HZ495" i="1"/>
  <c r="X344" i="1"/>
  <c r="X345" i="1" s="1"/>
  <c r="X346" i="1" s="1"/>
  <c r="IW328" i="1"/>
  <c r="IV328" i="1"/>
  <c r="GT328" i="1"/>
  <c r="HG328" i="1"/>
  <c r="HH328" i="1"/>
  <c r="HY328" i="1"/>
  <c r="HZ328" i="1"/>
  <c r="IA328" i="1"/>
  <c r="IB328" i="1"/>
  <c r="IG328" i="1"/>
  <c r="IH328" i="1"/>
  <c r="II328" i="1"/>
  <c r="IJ328" i="1"/>
  <c r="IK328" i="1"/>
  <c r="IL328" i="1"/>
  <c r="HH327" i="1"/>
  <c r="HG327" i="1"/>
  <c r="IL327" i="1"/>
  <c r="IK327" i="1"/>
  <c r="IJ327" i="1"/>
  <c r="II327" i="1"/>
  <c r="IH327" i="1"/>
  <c r="IG327" i="1"/>
  <c r="HZ327" i="1"/>
  <c r="HY327" i="1"/>
  <c r="IB327" i="1"/>
  <c r="IA327" i="1"/>
  <c r="GT327" i="1"/>
  <c r="CI352" i="1" l="1"/>
  <c r="BS352" i="1"/>
  <c r="CK352" i="1" s="1"/>
  <c r="CH352" i="1"/>
  <c r="BR352" i="1"/>
  <c r="CJ352" i="1" s="1"/>
  <c r="CL524" i="1"/>
  <c r="DD524" i="1"/>
  <c r="CW524" i="1"/>
  <c r="CR524" i="1"/>
  <c r="BE524" i="1"/>
  <c r="CO524" i="1"/>
  <c r="DH524" i="1"/>
  <c r="DC524" i="1"/>
  <c r="CV524" i="1"/>
  <c r="CQ524" i="1"/>
  <c r="DA524" i="1"/>
  <c r="DB524" i="1"/>
  <c r="CZ524" i="1"/>
  <c r="DG524" i="1"/>
  <c r="CP524" i="1"/>
  <c r="CN524" i="1"/>
  <c r="CU524" i="1"/>
  <c r="CY524" i="1"/>
  <c r="DF524" i="1"/>
  <c r="CM524" i="1"/>
  <c r="CT524" i="1"/>
  <c r="U525" i="1"/>
  <c r="DE524" i="1"/>
  <c r="CX524" i="1"/>
  <c r="CS524" i="1"/>
  <c r="IP496" i="1"/>
  <c r="II496" i="1"/>
  <c r="U497" i="1"/>
  <c r="IH496" i="1"/>
  <c r="IG496" i="1"/>
  <c r="IE496" i="1"/>
  <c r="IA496" i="1"/>
  <c r="IQ496" i="1"/>
  <c r="IM496" i="1"/>
  <c r="IJ496" i="1"/>
  <c r="IC496" i="1"/>
  <c r="IO496" i="1"/>
  <c r="GT496" i="1"/>
  <c r="ID496" i="1"/>
  <c r="IN496" i="1"/>
  <c r="IF496" i="1"/>
  <c r="IB496" i="1"/>
  <c r="HY496" i="1"/>
  <c r="IK496" i="1"/>
  <c r="HZ496" i="1"/>
  <c r="IL496" i="1"/>
  <c r="X393" i="1"/>
  <c r="Y347" i="1" a="1"/>
  <c r="Y347" i="1" s="1"/>
  <c r="X348" i="1"/>
  <c r="X350" i="1" s="1"/>
  <c r="LX326" i="1"/>
  <c r="LZ230" i="1"/>
  <c r="LY232" i="1"/>
  <c r="LY231" i="1"/>
  <c r="LY230" i="1"/>
  <c r="LZ231" i="1"/>
  <c r="LZ232" i="1"/>
  <c r="US325" i="1"/>
  <c r="UR325" i="1"/>
  <c r="UY325" i="1"/>
  <c r="UI325" i="1"/>
  <c r="LN324" i="1"/>
  <c r="LN323" i="1"/>
  <c r="LQ322" i="1"/>
  <c r="LR322" i="1" s="1"/>
  <c r="LS322" i="1" s="1"/>
  <c r="LN322" i="1"/>
  <c r="LR321" i="1"/>
  <c r="LS321" i="1" s="1"/>
  <c r="LN321" i="1"/>
  <c r="UY318" i="1"/>
  <c r="UZ318" i="1" s="1"/>
  <c r="VA318" i="1" s="1"/>
  <c r="US318" i="1"/>
  <c r="UR318" i="1"/>
  <c r="UI318" i="1"/>
  <c r="JZ305" i="5"/>
  <c r="X305" i="5"/>
  <c r="KJ304" i="5"/>
  <c r="KK304" i="5" s="1"/>
  <c r="JZ304" i="5"/>
  <c r="Y304" i="5" a="1"/>
  <c r="Y304" i="5" s="1"/>
  <c r="TY303" i="5"/>
  <c r="V303" i="5"/>
  <c r="TY302" i="5"/>
  <c r="V302" i="5"/>
  <c r="TY301" i="5"/>
  <c r="V301" i="5"/>
  <c r="TY300" i="5"/>
  <c r="V300" i="5"/>
  <c r="TY299" i="5"/>
  <c r="V299" i="5"/>
  <c r="UA298" i="5"/>
  <c r="UB298" i="5" s="1"/>
  <c r="TZ298" i="5"/>
  <c r="TZ299" i="5" s="1"/>
  <c r="TY298" i="5"/>
  <c r="V298" i="5"/>
  <c r="UB297" i="5"/>
  <c r="UA297" i="5"/>
  <c r="TZ297" i="5"/>
  <c r="TY297" i="5"/>
  <c r="V297" i="5"/>
  <c r="UB296" i="5"/>
  <c r="UA296" i="5"/>
  <c r="TZ296" i="5"/>
  <c r="TY296" i="5"/>
  <c r="V296" i="5"/>
  <c r="UB295" i="5"/>
  <c r="UA295" i="5"/>
  <c r="TY295" i="5"/>
  <c r="V295" i="5"/>
  <c r="MO288" i="5"/>
  <c r="MO289" i="5" s="1"/>
  <c r="MO290" i="5" s="1"/>
  <c r="MO291" i="5" s="1"/>
  <c r="MO292" i="5" s="1"/>
  <c r="MO293" i="5" s="1"/>
  <c r="MO294" i="5" s="1"/>
  <c r="MH288" i="5"/>
  <c r="MH289" i="5" s="1"/>
  <c r="MH290" i="5" s="1"/>
  <c r="MH291" i="5" s="1"/>
  <c r="MH292" i="5" s="1"/>
  <c r="MH293" i="5" s="1"/>
  <c r="MH294" i="5" s="1"/>
  <c r="MD288" i="5"/>
  <c r="MD289" i="5" s="1"/>
  <c r="MD290" i="5" s="1"/>
  <c r="MD291" i="5" s="1"/>
  <c r="MD292" i="5" s="1"/>
  <c r="MD293" i="5" s="1"/>
  <c r="MD294" i="5" s="1"/>
  <c r="MB288" i="5"/>
  <c r="MB289" i="5" s="1"/>
  <c r="MB290" i="5" s="1"/>
  <c r="MB291" i="5" s="1"/>
  <c r="MB292" i="5" s="1"/>
  <c r="MB293" i="5" s="1"/>
  <c r="MB294" i="5" s="1"/>
  <c r="MA288" i="5"/>
  <c r="MA289" i="5" s="1"/>
  <c r="MA290" i="5" s="1"/>
  <c r="MA291" i="5" s="1"/>
  <c r="MA292" i="5" s="1"/>
  <c r="MA293" i="5" s="1"/>
  <c r="MA294" i="5" s="1"/>
  <c r="MP287" i="5"/>
  <c r="MP288" i="5" s="1"/>
  <c r="MP289" i="5" s="1"/>
  <c r="MP290" i="5" s="1"/>
  <c r="MP291" i="5" s="1"/>
  <c r="MP292" i="5" s="1"/>
  <c r="MP293" i="5" s="1"/>
  <c r="MP294" i="5" s="1"/>
  <c r="MO287" i="5"/>
  <c r="MH287" i="5"/>
  <c r="MG287" i="5"/>
  <c r="MG288" i="5" s="1"/>
  <c r="MG289" i="5" s="1"/>
  <c r="MG290" i="5" s="1"/>
  <c r="MG291" i="5" s="1"/>
  <c r="MG292" i="5" s="1"/>
  <c r="MG293" i="5" s="1"/>
  <c r="MG294" i="5" s="1"/>
  <c r="MF287" i="5"/>
  <c r="MF288" i="5" s="1"/>
  <c r="MF289" i="5" s="1"/>
  <c r="MF290" i="5" s="1"/>
  <c r="MF291" i="5" s="1"/>
  <c r="MF292" i="5" s="1"/>
  <c r="MF293" i="5" s="1"/>
  <c r="MF294" i="5" s="1"/>
  <c r="ME287" i="5"/>
  <c r="ME288" i="5" s="1"/>
  <c r="ME289" i="5" s="1"/>
  <c r="ME290" i="5" s="1"/>
  <c r="ME291" i="5" s="1"/>
  <c r="ME292" i="5" s="1"/>
  <c r="ME293" i="5" s="1"/>
  <c r="ME294" i="5" s="1"/>
  <c r="MD287" i="5"/>
  <c r="MC287" i="5"/>
  <c r="MC288" i="5" s="1"/>
  <c r="MC289" i="5" s="1"/>
  <c r="MC290" i="5" s="1"/>
  <c r="MC291" i="5" s="1"/>
  <c r="MC292" i="5" s="1"/>
  <c r="MC293" i="5" s="1"/>
  <c r="MC294" i="5" s="1"/>
  <c r="MB287" i="5"/>
  <c r="MA287" i="5"/>
  <c r="DH285" i="5"/>
  <c r="DG285" i="5"/>
  <c r="DF285" i="5"/>
  <c r="DE285" i="5"/>
  <c r="DD285" i="5"/>
  <c r="DC285" i="5"/>
  <c r="DB285" i="5"/>
  <c r="DA285" i="5"/>
  <c r="CZ285" i="5"/>
  <c r="CY285" i="5"/>
  <c r="CX285" i="5"/>
  <c r="CW285" i="5"/>
  <c r="CV285" i="5"/>
  <c r="CU285" i="5"/>
  <c r="CT285" i="5"/>
  <c r="CS285" i="5"/>
  <c r="CR285" i="5"/>
  <c r="CQ285" i="5"/>
  <c r="CP285" i="5"/>
  <c r="CO285" i="5"/>
  <c r="CN285" i="5"/>
  <c r="CM285" i="5"/>
  <c r="CL285" i="5"/>
  <c r="BR285" i="5"/>
  <c r="BQ285" i="5"/>
  <c r="BS285" i="5" s="1"/>
  <c r="BP285" i="5"/>
  <c r="BE285" i="5"/>
  <c r="DH284" i="5"/>
  <c r="DG284" i="5"/>
  <c r="DF284" i="5"/>
  <c r="DE284" i="5"/>
  <c r="DD284" i="5"/>
  <c r="DC284" i="5"/>
  <c r="DB284" i="5"/>
  <c r="DA284" i="5"/>
  <c r="CZ284" i="5"/>
  <c r="CY284" i="5"/>
  <c r="CX284" i="5"/>
  <c r="CW284" i="5"/>
  <c r="CV284" i="5"/>
  <c r="CU284" i="5"/>
  <c r="CT284" i="5"/>
  <c r="CS284" i="5"/>
  <c r="CR284" i="5"/>
  <c r="CQ284" i="5"/>
  <c r="CP284" i="5"/>
  <c r="CO284" i="5"/>
  <c r="CN284" i="5"/>
  <c r="CM284" i="5"/>
  <c r="CL284" i="5"/>
  <c r="BS284" i="5"/>
  <c r="BQ284" i="5"/>
  <c r="BP284" i="5"/>
  <c r="BR284" i="5" s="1"/>
  <c r="BE284" i="5"/>
  <c r="DH283" i="5"/>
  <c r="DG283" i="5"/>
  <c r="DF283" i="5"/>
  <c r="DE283" i="5"/>
  <c r="DD283" i="5"/>
  <c r="DC283" i="5"/>
  <c r="DB283" i="5"/>
  <c r="DA283" i="5"/>
  <c r="CZ283" i="5"/>
  <c r="CY283" i="5"/>
  <c r="CX283" i="5"/>
  <c r="CW283" i="5"/>
  <c r="CV283" i="5"/>
  <c r="CU283" i="5"/>
  <c r="CT283" i="5"/>
  <c r="CS283" i="5"/>
  <c r="CR283" i="5"/>
  <c r="CQ283" i="5"/>
  <c r="CP283" i="5"/>
  <c r="CO283" i="5"/>
  <c r="CN283" i="5"/>
  <c r="CM283" i="5"/>
  <c r="CL283" i="5"/>
  <c r="CI283" i="5"/>
  <c r="CH283" i="5"/>
  <c r="CG283" i="5"/>
  <c r="CF283" i="5"/>
  <c r="BS283" i="5"/>
  <c r="CK283" i="5" s="1"/>
  <c r="BQ283" i="5"/>
  <c r="BP283" i="5"/>
  <c r="BR283" i="5" s="1"/>
  <c r="CJ283" i="5" s="1"/>
  <c r="BE283" i="5"/>
  <c r="DH282" i="5"/>
  <c r="DG282" i="5"/>
  <c r="DF282" i="5"/>
  <c r="DE282" i="5"/>
  <c r="DD282" i="5"/>
  <c r="DC282" i="5"/>
  <c r="DB282" i="5"/>
  <c r="DA282" i="5"/>
  <c r="CZ282" i="5"/>
  <c r="CY282" i="5"/>
  <c r="CX282" i="5"/>
  <c r="CW282" i="5"/>
  <c r="CV282" i="5"/>
  <c r="CU282" i="5"/>
  <c r="CT282" i="5"/>
  <c r="CS282" i="5"/>
  <c r="CR282" i="5"/>
  <c r="CQ282" i="5"/>
  <c r="CP282" i="5"/>
  <c r="CO282" i="5"/>
  <c r="CN282" i="5"/>
  <c r="CM282" i="5"/>
  <c r="CL282" i="5"/>
  <c r="BE282" i="5"/>
  <c r="IQ281" i="5"/>
  <c r="IP281" i="5"/>
  <c r="IO281" i="5"/>
  <c r="IN281" i="5"/>
  <c r="IM281" i="5"/>
  <c r="IL281" i="5"/>
  <c r="IK281" i="5"/>
  <c r="IJ281" i="5"/>
  <c r="II281" i="5"/>
  <c r="IH281" i="5"/>
  <c r="IG281" i="5"/>
  <c r="IF281" i="5"/>
  <c r="IE281" i="5"/>
  <c r="ID281" i="5"/>
  <c r="IC281" i="5"/>
  <c r="IB281" i="5"/>
  <c r="IA281" i="5"/>
  <c r="HZ281" i="5"/>
  <c r="HY281" i="5"/>
  <c r="GT281" i="5"/>
  <c r="DH280" i="5"/>
  <c r="DG280" i="5"/>
  <c r="DF280" i="5"/>
  <c r="DE280" i="5"/>
  <c r="DD280" i="5"/>
  <c r="DC280" i="5"/>
  <c r="DB280" i="5"/>
  <c r="DA280" i="5"/>
  <c r="CZ280" i="5"/>
  <c r="CY280" i="5"/>
  <c r="CX280" i="5"/>
  <c r="CW280" i="5"/>
  <c r="CV280" i="5"/>
  <c r="CU280" i="5"/>
  <c r="CT280" i="5"/>
  <c r="CS280" i="5"/>
  <c r="CR280" i="5"/>
  <c r="CQ280" i="5"/>
  <c r="CP280" i="5"/>
  <c r="CO280" i="5"/>
  <c r="CN280" i="5"/>
  <c r="CM280" i="5"/>
  <c r="CL280" i="5"/>
  <c r="BE280" i="5"/>
  <c r="IQ279" i="5"/>
  <c r="IP279" i="5"/>
  <c r="IO279" i="5"/>
  <c r="IN279" i="5"/>
  <c r="IM279" i="5"/>
  <c r="IL279" i="5"/>
  <c r="IK279" i="5"/>
  <c r="IJ279" i="5"/>
  <c r="II279" i="5"/>
  <c r="IH279" i="5"/>
  <c r="IG279" i="5"/>
  <c r="IF279" i="5"/>
  <c r="IE279" i="5"/>
  <c r="ID279" i="5"/>
  <c r="IC279" i="5"/>
  <c r="IB279" i="5"/>
  <c r="IA279" i="5"/>
  <c r="HZ279" i="5"/>
  <c r="HY279" i="5"/>
  <c r="HT279" i="5"/>
  <c r="HS279" i="5"/>
  <c r="GT279" i="5"/>
  <c r="DH278" i="5"/>
  <c r="DG278" i="5"/>
  <c r="DF278" i="5"/>
  <c r="DE278" i="5"/>
  <c r="DD278" i="5"/>
  <c r="DC278" i="5"/>
  <c r="DB278" i="5"/>
  <c r="DA278" i="5"/>
  <c r="CZ278" i="5"/>
  <c r="CY278" i="5"/>
  <c r="CX278" i="5"/>
  <c r="CW278" i="5"/>
  <c r="CV278" i="5"/>
  <c r="CU278" i="5"/>
  <c r="CT278" i="5"/>
  <c r="CS278" i="5"/>
  <c r="CR278" i="5"/>
  <c r="CQ278" i="5"/>
  <c r="CP278" i="5"/>
  <c r="CO278" i="5"/>
  <c r="CN278" i="5"/>
  <c r="CM278" i="5"/>
  <c r="CL278" i="5"/>
  <c r="BE278" i="5"/>
  <c r="IQ277" i="5"/>
  <c r="IP277" i="5"/>
  <c r="IO277" i="5"/>
  <c r="IN277" i="5"/>
  <c r="IM277" i="5"/>
  <c r="IL277" i="5"/>
  <c r="IK277" i="5"/>
  <c r="IJ277" i="5"/>
  <c r="II277" i="5"/>
  <c r="IH277" i="5"/>
  <c r="IG277" i="5"/>
  <c r="IF277" i="5"/>
  <c r="IE277" i="5"/>
  <c r="ID277" i="5"/>
  <c r="IC277" i="5"/>
  <c r="IB277" i="5"/>
  <c r="IA277" i="5"/>
  <c r="HZ277" i="5"/>
  <c r="HY277" i="5"/>
  <c r="GT277" i="5"/>
  <c r="DH276" i="5"/>
  <c r="DG276" i="5"/>
  <c r="DF276" i="5"/>
  <c r="DE276" i="5"/>
  <c r="DD276" i="5"/>
  <c r="DC276" i="5"/>
  <c r="DB276" i="5"/>
  <c r="DA276" i="5"/>
  <c r="CZ276" i="5"/>
  <c r="CY276" i="5"/>
  <c r="CX276" i="5"/>
  <c r="CW276" i="5"/>
  <c r="CV276" i="5"/>
  <c r="CU276" i="5"/>
  <c r="CT276" i="5"/>
  <c r="CS276" i="5"/>
  <c r="CR276" i="5"/>
  <c r="CQ276" i="5"/>
  <c r="CP276" i="5"/>
  <c r="CO276" i="5"/>
  <c r="CN276" i="5"/>
  <c r="CM276" i="5"/>
  <c r="CL276" i="5"/>
  <c r="BE276" i="5"/>
  <c r="IQ275" i="5"/>
  <c r="IP275" i="5"/>
  <c r="IO275" i="5"/>
  <c r="IN275" i="5"/>
  <c r="IM275" i="5"/>
  <c r="IL275" i="5"/>
  <c r="IK275" i="5"/>
  <c r="IJ275" i="5"/>
  <c r="II275" i="5"/>
  <c r="IH275" i="5"/>
  <c r="IG275" i="5"/>
  <c r="IF275" i="5"/>
  <c r="IE275" i="5"/>
  <c r="ID275" i="5"/>
  <c r="IC275" i="5"/>
  <c r="IB275" i="5"/>
  <c r="IA275" i="5"/>
  <c r="HZ275" i="5"/>
  <c r="HY275" i="5"/>
  <c r="HT275" i="5"/>
  <c r="HS275" i="5"/>
  <c r="GT275" i="5"/>
  <c r="DH274" i="5"/>
  <c r="DG274" i="5"/>
  <c r="DF274" i="5"/>
  <c r="DE274" i="5"/>
  <c r="DD274" i="5"/>
  <c r="DC274" i="5"/>
  <c r="DB274" i="5"/>
  <c r="DA274" i="5"/>
  <c r="CZ274" i="5"/>
  <c r="CY274" i="5"/>
  <c r="CX274" i="5"/>
  <c r="CW274" i="5"/>
  <c r="CV274" i="5"/>
  <c r="CU274" i="5"/>
  <c r="CT274" i="5"/>
  <c r="CS274" i="5"/>
  <c r="CR274" i="5"/>
  <c r="CQ274" i="5"/>
  <c r="CP274" i="5"/>
  <c r="CO274" i="5"/>
  <c r="CN274" i="5"/>
  <c r="CM274" i="5"/>
  <c r="CL274" i="5"/>
  <c r="BE274" i="5"/>
  <c r="IQ273" i="5"/>
  <c r="IP273" i="5"/>
  <c r="IO273" i="5"/>
  <c r="IN273" i="5"/>
  <c r="IM273" i="5"/>
  <c r="IL273" i="5"/>
  <c r="IK273" i="5"/>
  <c r="IJ273" i="5"/>
  <c r="II273" i="5"/>
  <c r="IH273" i="5"/>
  <c r="IG273" i="5"/>
  <c r="IF273" i="5"/>
  <c r="IE273" i="5"/>
  <c r="ID273" i="5"/>
  <c r="IC273" i="5"/>
  <c r="IB273" i="5"/>
  <c r="IA273" i="5"/>
  <c r="HZ273" i="5"/>
  <c r="HY273" i="5"/>
  <c r="GT273" i="5"/>
  <c r="DH272" i="5"/>
  <c r="DG272" i="5"/>
  <c r="DF272" i="5"/>
  <c r="DE272" i="5"/>
  <c r="DD272" i="5"/>
  <c r="DC272" i="5"/>
  <c r="DB272" i="5"/>
  <c r="DA272" i="5"/>
  <c r="CZ272" i="5"/>
  <c r="CY272" i="5"/>
  <c r="CX272" i="5"/>
  <c r="CW272" i="5"/>
  <c r="CV272" i="5"/>
  <c r="CU272" i="5"/>
  <c r="CT272" i="5"/>
  <c r="CS272" i="5"/>
  <c r="CR272" i="5"/>
  <c r="CQ272" i="5"/>
  <c r="CP272" i="5"/>
  <c r="CO272" i="5"/>
  <c r="CN272" i="5"/>
  <c r="CM272" i="5"/>
  <c r="CL272" i="5"/>
  <c r="BE272" i="5"/>
  <c r="IQ271" i="5"/>
  <c r="IP271" i="5"/>
  <c r="IO271" i="5"/>
  <c r="IN271" i="5"/>
  <c r="IM271" i="5"/>
  <c r="IL271" i="5"/>
  <c r="IK271" i="5"/>
  <c r="IJ271" i="5"/>
  <c r="II271" i="5"/>
  <c r="IH271" i="5"/>
  <c r="IG271" i="5"/>
  <c r="IF271" i="5"/>
  <c r="IE271" i="5"/>
  <c r="ID271" i="5"/>
  <c r="IC271" i="5"/>
  <c r="IB271" i="5"/>
  <c r="IA271" i="5"/>
  <c r="HZ271" i="5"/>
  <c r="HY271" i="5"/>
  <c r="HT271" i="5"/>
  <c r="HS271" i="5"/>
  <c r="GT271" i="5"/>
  <c r="DH270" i="5"/>
  <c r="DG270" i="5"/>
  <c r="DF270" i="5"/>
  <c r="DE270" i="5"/>
  <c r="DD270" i="5"/>
  <c r="DC270" i="5"/>
  <c r="DB270" i="5"/>
  <c r="DA270" i="5"/>
  <c r="CZ270" i="5"/>
  <c r="CY270" i="5"/>
  <c r="CX270" i="5"/>
  <c r="CW270" i="5"/>
  <c r="CV270" i="5"/>
  <c r="CU270" i="5"/>
  <c r="CT270" i="5"/>
  <c r="CS270" i="5"/>
  <c r="CR270" i="5"/>
  <c r="CQ270" i="5"/>
  <c r="CP270" i="5"/>
  <c r="CO270" i="5"/>
  <c r="CN270" i="5"/>
  <c r="CM270" i="5"/>
  <c r="CL270" i="5"/>
  <c r="BE270" i="5"/>
  <c r="IQ269" i="5"/>
  <c r="IP269" i="5"/>
  <c r="IO269" i="5"/>
  <c r="IN269" i="5"/>
  <c r="IM269" i="5"/>
  <c r="IL269" i="5"/>
  <c r="IK269" i="5"/>
  <c r="IJ269" i="5"/>
  <c r="II269" i="5"/>
  <c r="IH269" i="5"/>
  <c r="IG269" i="5"/>
  <c r="IF269" i="5"/>
  <c r="IE269" i="5"/>
  <c r="ID269" i="5"/>
  <c r="IC269" i="5"/>
  <c r="IB269" i="5"/>
  <c r="IA269" i="5"/>
  <c r="HZ269" i="5"/>
  <c r="HY269" i="5"/>
  <c r="GT269" i="5"/>
  <c r="DH268" i="5"/>
  <c r="DG268" i="5"/>
  <c r="DF268" i="5"/>
  <c r="DE268" i="5"/>
  <c r="DD268" i="5"/>
  <c r="DC268" i="5"/>
  <c r="DB268" i="5"/>
  <c r="DA268" i="5"/>
  <c r="CZ268" i="5"/>
  <c r="CY268" i="5"/>
  <c r="CX268" i="5"/>
  <c r="CW268" i="5"/>
  <c r="CV268" i="5"/>
  <c r="CU268" i="5"/>
  <c r="CT268" i="5"/>
  <c r="CS268" i="5"/>
  <c r="CR268" i="5"/>
  <c r="CQ268" i="5"/>
  <c r="CP268" i="5"/>
  <c r="CO268" i="5"/>
  <c r="CN268" i="5"/>
  <c r="CM268" i="5"/>
  <c r="CL268" i="5"/>
  <c r="CE268" i="5"/>
  <c r="CD268" i="5"/>
  <c r="BE268" i="5"/>
  <c r="AC268" i="5"/>
  <c r="IQ267" i="5"/>
  <c r="IP267" i="5"/>
  <c r="IO267" i="5"/>
  <c r="IN267" i="5"/>
  <c r="IM267" i="5"/>
  <c r="IL267" i="5"/>
  <c r="IK267" i="5"/>
  <c r="IJ267" i="5"/>
  <c r="II267" i="5"/>
  <c r="IH267" i="5"/>
  <c r="IG267" i="5"/>
  <c r="IF267" i="5"/>
  <c r="IE267" i="5"/>
  <c r="ID267" i="5"/>
  <c r="IC267" i="5"/>
  <c r="IB267" i="5"/>
  <c r="IA267" i="5"/>
  <c r="HZ267" i="5"/>
  <c r="HY267" i="5"/>
  <c r="HT267" i="5"/>
  <c r="HS267" i="5"/>
  <c r="GT267" i="5"/>
  <c r="AI267" i="5" a="1"/>
  <c r="AI267" i="5" s="1"/>
  <c r="AF267" i="5"/>
  <c r="AD267" i="5"/>
  <c r="AG267" i="5" s="1"/>
  <c r="HJ267" i="5" s="1"/>
  <c r="AD267" i="5" a="1"/>
  <c r="JZ266" i="5"/>
  <c r="JZ265" i="5"/>
  <c r="JZ264" i="5"/>
  <c r="JZ263" i="5"/>
  <c r="JZ262" i="5"/>
  <c r="JZ261" i="5"/>
  <c r="JZ260" i="5"/>
  <c r="JZ259" i="5"/>
  <c r="JZ258" i="5"/>
  <c r="JZ257" i="5"/>
  <c r="JZ256" i="5"/>
  <c r="JZ255" i="5"/>
  <c r="JZ254" i="5"/>
  <c r="JZ253" i="5"/>
  <c r="JZ252" i="5"/>
  <c r="JZ251" i="5"/>
  <c r="JZ250" i="5"/>
  <c r="JZ249" i="5"/>
  <c r="JZ248" i="5"/>
  <c r="JZ247" i="5"/>
  <c r="JZ246" i="5"/>
  <c r="JZ245" i="5"/>
  <c r="JZ244" i="5"/>
  <c r="JZ243" i="5"/>
  <c r="JZ242" i="5"/>
  <c r="JZ241" i="5"/>
  <c r="JZ240" i="5"/>
  <c r="JZ239" i="5"/>
  <c r="JZ238" i="5"/>
  <c r="JZ237" i="5"/>
  <c r="JZ236" i="5"/>
  <c r="JZ235" i="5"/>
  <c r="JZ234" i="5"/>
  <c r="JZ233" i="5"/>
  <c r="LX232" i="5"/>
  <c r="LW232" i="5"/>
  <c r="LX231" i="5"/>
  <c r="LW231" i="5"/>
  <c r="MJ230" i="5"/>
  <c r="LX230" i="5"/>
  <c r="LW230" i="5"/>
  <c r="FU229" i="5"/>
  <c r="FT229" i="5"/>
  <c r="FP229" i="5"/>
  <c r="FO229" i="5"/>
  <c r="FN229" i="5"/>
  <c r="FM229" i="5"/>
  <c r="FI229" i="5"/>
  <c r="FF229" i="5"/>
  <c r="FE229" i="5"/>
  <c r="EZ229" i="5"/>
  <c r="EY229" i="5"/>
  <c r="ER229" i="5"/>
  <c r="AO229" i="5"/>
  <c r="AN229" i="5"/>
  <c r="FU228" i="5"/>
  <c r="FT228" i="5"/>
  <c r="FP228" i="5"/>
  <c r="FO228" i="5"/>
  <c r="FN228" i="5"/>
  <c r="FM228" i="5"/>
  <c r="FI228" i="5"/>
  <c r="FF228" i="5"/>
  <c r="FE228" i="5"/>
  <c r="EZ228" i="5"/>
  <c r="EY228" i="5"/>
  <c r="ER228" i="5"/>
  <c r="AO228" i="5"/>
  <c r="AN228" i="5"/>
  <c r="FU227" i="5"/>
  <c r="FT227" i="5"/>
  <c r="FS227" i="5"/>
  <c r="FR227" i="5"/>
  <c r="FQ227" i="5"/>
  <c r="FP227" i="5"/>
  <c r="FO227" i="5"/>
  <c r="FN227" i="5"/>
  <c r="FM227" i="5"/>
  <c r="FL227" i="5"/>
  <c r="FK227" i="5"/>
  <c r="FJ227" i="5"/>
  <c r="FI227" i="5"/>
  <c r="FG227" i="5"/>
  <c r="FF227" i="5"/>
  <c r="FE227" i="5"/>
  <c r="FA227" i="5"/>
  <c r="EZ227" i="5"/>
  <c r="EY227" i="5"/>
  <c r="EX227" i="5"/>
  <c r="FH227" i="5" s="1"/>
  <c r="EW227" i="5"/>
  <c r="ET227" i="5"/>
  <c r="FB227" i="5" s="1"/>
  <c r="ES227" i="5"/>
  <c r="EU227" i="5" s="1"/>
  <c r="FC227" i="5" s="1"/>
  <c r="ER227" i="5"/>
  <c r="AO227" i="5"/>
  <c r="AN227" i="5"/>
  <c r="FU226" i="5"/>
  <c r="FT226" i="5"/>
  <c r="FS226" i="5"/>
  <c r="FR226" i="5"/>
  <c r="FQ226" i="5"/>
  <c r="FP226" i="5"/>
  <c r="FO226" i="5"/>
  <c r="FN226" i="5"/>
  <c r="FM226" i="5"/>
  <c r="FL226" i="5"/>
  <c r="FK226" i="5"/>
  <c r="FJ226" i="5"/>
  <c r="FI226" i="5"/>
  <c r="FH226" i="5"/>
  <c r="FF226" i="5"/>
  <c r="FE226" i="5"/>
  <c r="FD226" i="5"/>
  <c r="FB226" i="5"/>
  <c r="EZ226" i="5"/>
  <c r="EY226" i="5"/>
  <c r="EX226" i="5"/>
  <c r="EW226" i="5"/>
  <c r="FG226" i="5" s="1"/>
  <c r="ET226" i="5"/>
  <c r="EV226" i="5" s="1"/>
  <c r="ES226" i="5"/>
  <c r="FA226" i="5" s="1"/>
  <c r="ER226" i="5"/>
  <c r="AO226" i="5"/>
  <c r="AN226" i="5"/>
  <c r="FU225" i="5"/>
  <c r="FT225" i="5"/>
  <c r="FS225" i="5"/>
  <c r="FR225" i="5"/>
  <c r="FQ225" i="5"/>
  <c r="FP225" i="5"/>
  <c r="FO225" i="5"/>
  <c r="FN225" i="5"/>
  <c r="FM225" i="5"/>
  <c r="FL225" i="5"/>
  <c r="FK225" i="5"/>
  <c r="FJ225" i="5"/>
  <c r="FI225" i="5"/>
  <c r="FG225" i="5"/>
  <c r="FF225" i="5"/>
  <c r="FE225" i="5"/>
  <c r="FB225" i="5"/>
  <c r="EZ225" i="5"/>
  <c r="EY225" i="5"/>
  <c r="EX225" i="5"/>
  <c r="FH225" i="5" s="1"/>
  <c r="EW225" i="5"/>
  <c r="EV225" i="5"/>
  <c r="FD225" i="5" s="1"/>
  <c r="ET225" i="5"/>
  <c r="ES225" i="5"/>
  <c r="ER225" i="5"/>
  <c r="AO225" i="5"/>
  <c r="AN225" i="5"/>
  <c r="JZ224" i="5"/>
  <c r="JZ223" i="5"/>
  <c r="JZ222" i="5"/>
  <c r="KF221" i="5"/>
  <c r="JZ221" i="5"/>
  <c r="JZ220" i="5"/>
  <c r="JZ219" i="5"/>
  <c r="JZ218" i="5"/>
  <c r="KK217" i="5"/>
  <c r="KJ217" i="5"/>
  <c r="JZ217" i="5"/>
  <c r="KK216" i="5"/>
  <c r="KJ216" i="5"/>
  <c r="JZ216" i="5"/>
  <c r="OE215" i="5"/>
  <c r="KJ214" i="5"/>
  <c r="KK214" i="5" s="1"/>
  <c r="JZ214" i="5"/>
  <c r="OE213" i="5"/>
  <c r="KK212" i="5"/>
  <c r="KJ212" i="5"/>
  <c r="JZ212" i="5"/>
  <c r="OE211" i="5"/>
  <c r="KJ210" i="5"/>
  <c r="KK210" i="5" s="1"/>
  <c r="JZ210" i="5"/>
  <c r="OE209" i="5"/>
  <c r="KK208" i="5"/>
  <c r="KJ208" i="5"/>
  <c r="JZ208" i="5"/>
  <c r="OE207" i="5"/>
  <c r="KK206" i="5"/>
  <c r="KJ206" i="5"/>
  <c r="JZ206" i="5"/>
  <c r="OE205" i="5"/>
  <c r="KJ204" i="5"/>
  <c r="KK204" i="5" s="1"/>
  <c r="JZ204" i="5"/>
  <c r="OE203" i="5"/>
  <c r="RS202" i="5"/>
  <c r="QP202" i="5"/>
  <c r="QR202" i="5" s="1"/>
  <c r="QT202" i="5" s="1"/>
  <c r="QM202" i="5"/>
  <c r="QO202" i="5" s="1"/>
  <c r="QQ202" i="5" s="1"/>
  <c r="QS202" i="5" s="1"/>
  <c r="QL202" i="5"/>
  <c r="QN202" i="5" s="1"/>
  <c r="QK202" i="5"/>
  <c r="KJ201" i="5"/>
  <c r="KK201" i="5" s="1"/>
  <c r="JZ201" i="5"/>
  <c r="OE200" i="5"/>
  <c r="OE199" i="5"/>
  <c r="OE198" i="5"/>
  <c r="RS197" i="5"/>
  <c r="QQ197" i="5"/>
  <c r="QS197" i="5" s="1"/>
  <c r="QL197" i="5"/>
  <c r="QN197" i="5" s="1"/>
  <c r="QP197" i="5" s="1"/>
  <c r="QR197" i="5" s="1"/>
  <c r="QT197" i="5" s="1"/>
  <c r="QK197" i="5"/>
  <c r="QM197" i="5" s="1"/>
  <c r="QO197" i="5" s="1"/>
  <c r="KJ196" i="5"/>
  <c r="KK196" i="5" s="1"/>
  <c r="JZ196" i="5"/>
  <c r="OE195" i="5"/>
  <c r="OE194" i="5"/>
  <c r="OE193" i="5"/>
  <c r="RS192" i="5"/>
  <c r="QR192" i="5"/>
  <c r="QT192" i="5" s="1"/>
  <c r="QO192" i="5"/>
  <c r="QQ192" i="5" s="1"/>
  <c r="QS192" i="5" s="1"/>
  <c r="QN192" i="5"/>
  <c r="QP192" i="5" s="1"/>
  <c r="QM192" i="5"/>
  <c r="QL192" i="5"/>
  <c r="QK192" i="5"/>
  <c r="KK191" i="5"/>
  <c r="KJ191" i="5"/>
  <c r="JZ191" i="5"/>
  <c r="OE190" i="5"/>
  <c r="OE189" i="5"/>
  <c r="OE188" i="5"/>
  <c r="RS187" i="5"/>
  <c r="QO187" i="5"/>
  <c r="QQ187" i="5" s="1"/>
  <c r="QS187" i="5" s="1"/>
  <c r="QN187" i="5"/>
  <c r="QP187" i="5" s="1"/>
  <c r="QR187" i="5" s="1"/>
  <c r="QT187" i="5" s="1"/>
  <c r="QM187" i="5"/>
  <c r="QL187" i="5"/>
  <c r="QK187" i="5"/>
  <c r="KJ186" i="5"/>
  <c r="KK186" i="5" s="1"/>
  <c r="JZ186" i="5"/>
  <c r="OE185" i="5"/>
  <c r="OE184" i="5"/>
  <c r="OE183" i="5"/>
  <c r="JZ182" i="5"/>
  <c r="JZ181" i="5"/>
  <c r="NF180" i="5"/>
  <c r="MY180" i="5"/>
  <c r="NG180" i="5" s="1"/>
  <c r="MX180" i="5"/>
  <c r="MZ180" i="5" s="1"/>
  <c r="NB180" i="5" s="1"/>
  <c r="MW180" i="5"/>
  <c r="NG179" i="5"/>
  <c r="NF179" i="5"/>
  <c r="NC179" i="5"/>
  <c r="NI179" i="5" s="1"/>
  <c r="MZ179" i="5"/>
  <c r="NB179" i="5" s="1"/>
  <c r="MY179" i="5"/>
  <c r="NA179" i="5" s="1"/>
  <c r="NH179" i="5" s="1"/>
  <c r="MX179" i="5"/>
  <c r="MW179" i="5"/>
  <c r="ML178" i="5"/>
  <c r="MI178" i="5"/>
  <c r="MJ178" i="5" s="1"/>
  <c r="MK178" i="5" s="1"/>
  <c r="LZ178" i="5"/>
  <c r="LX178" i="5"/>
  <c r="LW178" i="5"/>
  <c r="MK177" i="5"/>
  <c r="ML177" i="5" s="1"/>
  <c r="MJ177" i="5"/>
  <c r="LZ177" i="5"/>
  <c r="LX177" i="5"/>
  <c r="LW177" i="5"/>
  <c r="LN176" i="5"/>
  <c r="LN175" i="5"/>
  <c r="LN174" i="5"/>
  <c r="LN173" i="5"/>
  <c r="LR172" i="5"/>
  <c r="LS172" i="5" s="1"/>
  <c r="LQ172" i="5"/>
  <c r="LQ173" i="5" s="1"/>
  <c r="LQ174" i="5" s="1"/>
  <c r="LR174" i="5" s="1"/>
  <c r="LS174" i="5" s="1"/>
  <c r="LN172" i="5"/>
  <c r="LS171" i="5"/>
  <c r="LR171" i="5"/>
  <c r="LQ171" i="5"/>
  <c r="LN171" i="5"/>
  <c r="LS170" i="5"/>
  <c r="LR170" i="5"/>
  <c r="LN170" i="5"/>
  <c r="KW169" i="5"/>
  <c r="KU169" i="5"/>
  <c r="KT169" i="5"/>
  <c r="JZ168" i="5"/>
  <c r="JZ167" i="5"/>
  <c r="JZ166" i="5"/>
  <c r="JZ165" i="5"/>
  <c r="JZ164" i="5"/>
  <c r="JZ163" i="5"/>
  <c r="JZ162" i="5"/>
  <c r="JZ161" i="5"/>
  <c r="JZ160" i="5"/>
  <c r="JZ159" i="5"/>
  <c r="JZ158" i="5"/>
  <c r="JZ157" i="5"/>
  <c r="JZ156" i="5"/>
  <c r="JZ155" i="5"/>
  <c r="JZ154" i="5"/>
  <c r="JZ153" i="5"/>
  <c r="JZ152" i="5"/>
  <c r="JZ151" i="5"/>
  <c r="JZ150" i="5"/>
  <c r="JZ149" i="5"/>
  <c r="JZ148" i="5"/>
  <c r="JZ147" i="5"/>
  <c r="JZ146" i="5"/>
  <c r="JZ145" i="5"/>
  <c r="JZ144" i="5"/>
  <c r="JZ143" i="5"/>
  <c r="JZ142" i="5"/>
  <c r="JZ141" i="5"/>
  <c r="JZ140" i="5"/>
  <c r="JZ139" i="5"/>
  <c r="JZ138" i="5"/>
  <c r="JZ137" i="5"/>
  <c r="JZ136" i="5"/>
  <c r="JZ135" i="5"/>
  <c r="JZ134" i="5"/>
  <c r="JZ133" i="5"/>
  <c r="JZ132" i="5"/>
  <c r="JZ131" i="5"/>
  <c r="JZ130" i="5"/>
  <c r="JZ129" i="5"/>
  <c r="JZ128" i="5"/>
  <c r="JZ127" i="5"/>
  <c r="JZ126" i="5"/>
  <c r="JZ125" i="5"/>
  <c r="JZ124" i="5"/>
  <c r="JZ123" i="5"/>
  <c r="JZ122" i="5"/>
  <c r="JZ121" i="5"/>
  <c r="JZ120" i="5"/>
  <c r="JZ119" i="5"/>
  <c r="JZ118" i="5"/>
  <c r="JZ117" i="5"/>
  <c r="JZ116" i="5"/>
  <c r="JZ115" i="5"/>
  <c r="JZ114" i="5"/>
  <c r="JZ113" i="5"/>
  <c r="JZ112" i="5"/>
  <c r="JZ111" i="5"/>
  <c r="JZ110" i="5"/>
  <c r="JZ109" i="5"/>
  <c r="JZ108" i="5"/>
  <c r="JZ107" i="5"/>
  <c r="JZ106" i="5"/>
  <c r="JZ105" i="5"/>
  <c r="JZ104" i="5"/>
  <c r="JZ103" i="5"/>
  <c r="JZ102" i="5"/>
  <c r="JZ101" i="5"/>
  <c r="JZ100" i="5"/>
  <c r="JZ99" i="5"/>
  <c r="JZ98" i="5"/>
  <c r="JZ97" i="5"/>
  <c r="JZ96" i="5"/>
  <c r="JZ95" i="5"/>
  <c r="JZ94" i="5"/>
  <c r="JZ93" i="5"/>
  <c r="JZ92" i="5"/>
  <c r="JZ91" i="5"/>
  <c r="JZ90" i="5"/>
  <c r="JZ89" i="5"/>
  <c r="JZ88" i="5"/>
  <c r="JZ87" i="5"/>
  <c r="JZ86" i="5"/>
  <c r="JZ85" i="5"/>
  <c r="JZ84" i="5"/>
  <c r="JZ83" i="5"/>
  <c r="JZ82" i="5"/>
  <c r="JZ81" i="5"/>
  <c r="JZ80" i="5"/>
  <c r="JZ79" i="5"/>
  <c r="JZ78" i="5"/>
  <c r="JZ77" i="5"/>
  <c r="JZ76" i="5"/>
  <c r="JZ75" i="5"/>
  <c r="JZ74" i="5"/>
  <c r="JZ73" i="5"/>
  <c r="JZ72" i="5"/>
  <c r="JZ71" i="5"/>
  <c r="JZ70" i="5"/>
  <c r="JZ69" i="5"/>
  <c r="JZ68" i="5"/>
  <c r="JZ67" i="5"/>
  <c r="JZ66" i="5"/>
  <c r="JZ65" i="5"/>
  <c r="JZ64" i="5"/>
  <c r="JZ63" i="5"/>
  <c r="JZ62" i="5"/>
  <c r="JZ61" i="5"/>
  <c r="JZ60" i="5"/>
  <c r="JZ59" i="5"/>
  <c r="JZ58" i="5"/>
  <c r="JZ57" i="5"/>
  <c r="JZ56" i="5"/>
  <c r="HX55" i="5"/>
  <c r="HV55" i="5"/>
  <c r="HU55" i="5"/>
  <c r="HJ55" i="5"/>
  <c r="HI55" i="5"/>
  <c r="HF55" i="5"/>
  <c r="HE55" i="5"/>
  <c r="HW55" i="5" s="1"/>
  <c r="GV55" i="5"/>
  <c r="GU55" i="5"/>
  <c r="JN54" i="5"/>
  <c r="JN55" i="5" s="1"/>
  <c r="HX54" i="5"/>
  <c r="HV54" i="5"/>
  <c r="HU54" i="5"/>
  <c r="HM54" i="5"/>
  <c r="HL54" i="5"/>
  <c r="HJ54" i="5"/>
  <c r="HI54" i="5"/>
  <c r="HF54" i="5"/>
  <c r="HE54" i="5"/>
  <c r="HW54" i="5" s="1"/>
  <c r="HA54" i="5"/>
  <c r="GW54" i="5"/>
  <c r="GY54" i="5" s="1"/>
  <c r="HO54" i="5" s="1"/>
  <c r="GV54" i="5"/>
  <c r="GX54" i="5" s="1"/>
  <c r="GU54" i="5"/>
  <c r="HK54" i="5" s="1"/>
  <c r="HX53" i="5"/>
  <c r="HV53" i="5"/>
  <c r="HU53" i="5"/>
  <c r="HK53" i="5"/>
  <c r="HJ53" i="5"/>
  <c r="HI53" i="5"/>
  <c r="HF53" i="5"/>
  <c r="HE53" i="5"/>
  <c r="HW53" i="5" s="1"/>
  <c r="GX53" i="5"/>
  <c r="GW53" i="5"/>
  <c r="GV53" i="5"/>
  <c r="HL53" i="5" s="1"/>
  <c r="GU53" i="5"/>
  <c r="HX52" i="5"/>
  <c r="HW52" i="5"/>
  <c r="HV52" i="5"/>
  <c r="HU52" i="5"/>
  <c r="HL52" i="5"/>
  <c r="HK52" i="5"/>
  <c r="HJ52" i="5"/>
  <c r="HI52" i="5"/>
  <c r="HF52" i="5"/>
  <c r="HE52" i="5"/>
  <c r="GZ52" i="5"/>
  <c r="GX52" i="5"/>
  <c r="HN52" i="5" s="1"/>
  <c r="GW52" i="5"/>
  <c r="GY52" i="5" s="1"/>
  <c r="GV52" i="5"/>
  <c r="GU52" i="5"/>
  <c r="IY51" i="5"/>
  <c r="IY52" i="5" s="1"/>
  <c r="IY53" i="5" s="1"/>
  <c r="IY54" i="5" s="1"/>
  <c r="IY55" i="5" s="1"/>
  <c r="HV51" i="5"/>
  <c r="HU51" i="5"/>
  <c r="HN51" i="5"/>
  <c r="HL51" i="5"/>
  <c r="HJ51" i="5"/>
  <c r="HI51" i="5"/>
  <c r="HF51" i="5"/>
  <c r="HX51" i="5" s="1"/>
  <c r="HE51" i="5"/>
  <c r="HW51" i="5" s="1"/>
  <c r="HB51" i="5"/>
  <c r="HD51" i="5" s="1"/>
  <c r="HT51" i="5" s="1"/>
  <c r="GZ51" i="5"/>
  <c r="HP51" i="5" s="1"/>
  <c r="GV51" i="5"/>
  <c r="GX51" i="5" s="1"/>
  <c r="GU51" i="5"/>
  <c r="JK50" i="5"/>
  <c r="JK51" i="5" s="1"/>
  <c r="JK52" i="5" s="1"/>
  <c r="JK53" i="5" s="1"/>
  <c r="JK54" i="5" s="1"/>
  <c r="JK55" i="5" s="1"/>
  <c r="HX50" i="5"/>
  <c r="HV50" i="5"/>
  <c r="HU50" i="5"/>
  <c r="HO50" i="5"/>
  <c r="HL50" i="5"/>
  <c r="HK50" i="5"/>
  <c r="HJ50" i="5"/>
  <c r="HI50" i="5"/>
  <c r="HF50" i="5"/>
  <c r="HE50" i="5"/>
  <c r="HW50" i="5" s="1"/>
  <c r="GX50" i="5"/>
  <c r="GW50" i="5"/>
  <c r="GY50" i="5" s="1"/>
  <c r="HA50" i="5" s="1"/>
  <c r="GV50" i="5"/>
  <c r="GU50" i="5"/>
  <c r="JF49" i="5"/>
  <c r="JF50" i="5" s="1"/>
  <c r="JF51" i="5" s="1"/>
  <c r="JF52" i="5" s="1"/>
  <c r="JF53" i="5" s="1"/>
  <c r="JF54" i="5" s="1"/>
  <c r="JF55" i="5" s="1"/>
  <c r="IT49" i="5"/>
  <c r="IT50" i="5" s="1"/>
  <c r="IT51" i="5" s="1"/>
  <c r="IT52" i="5" s="1"/>
  <c r="IT53" i="5" s="1"/>
  <c r="IT54" i="5" s="1"/>
  <c r="IT55" i="5" s="1"/>
  <c r="HX49" i="5"/>
  <c r="HV49" i="5"/>
  <c r="HU49" i="5"/>
  <c r="HK49" i="5"/>
  <c r="HJ49" i="5"/>
  <c r="HI49" i="5"/>
  <c r="HF49" i="5"/>
  <c r="HE49" i="5"/>
  <c r="HW49" i="5" s="1"/>
  <c r="GX49" i="5"/>
  <c r="GW49" i="5"/>
  <c r="GY49" i="5" s="1"/>
  <c r="GV49" i="5"/>
  <c r="HL49" i="5" s="1"/>
  <c r="GU49" i="5"/>
  <c r="JR48" i="5"/>
  <c r="JR49" i="5" s="1"/>
  <c r="JR50" i="5" s="1"/>
  <c r="JR51" i="5" s="1"/>
  <c r="JR52" i="5" s="1"/>
  <c r="JR53" i="5" s="1"/>
  <c r="JR54" i="5" s="1"/>
  <c r="JR55" i="5" s="1"/>
  <c r="JM48" i="5"/>
  <c r="JM49" i="5" s="1"/>
  <c r="JM50" i="5" s="1"/>
  <c r="JM51" i="5" s="1"/>
  <c r="JM52" i="5" s="1"/>
  <c r="JM53" i="5" s="1"/>
  <c r="JM54" i="5" s="1"/>
  <c r="JM55" i="5" s="1"/>
  <c r="HX48" i="5"/>
  <c r="HV48" i="5"/>
  <c r="HU48" i="5"/>
  <c r="HL48" i="5"/>
  <c r="HJ48" i="5"/>
  <c r="HI48" i="5"/>
  <c r="HF48" i="5"/>
  <c r="HE48" i="5"/>
  <c r="HW48" i="5" s="1"/>
  <c r="GX48" i="5"/>
  <c r="GW48" i="5"/>
  <c r="GY48" i="5" s="1"/>
  <c r="HA48" i="5" s="1"/>
  <c r="HQ48" i="5" s="1"/>
  <c r="GV48" i="5"/>
  <c r="GU48" i="5"/>
  <c r="HK48" i="5" s="1"/>
  <c r="JX47" i="5"/>
  <c r="JX48" i="5" s="1"/>
  <c r="JX49" i="5" s="1"/>
  <c r="JX50" i="5" s="1"/>
  <c r="JX51" i="5" s="1"/>
  <c r="JX52" i="5" s="1"/>
  <c r="JX53" i="5" s="1"/>
  <c r="JX54" i="5" s="1"/>
  <c r="JX55" i="5" s="1"/>
  <c r="JS47" i="5"/>
  <c r="JS48" i="5" s="1"/>
  <c r="JS49" i="5" s="1"/>
  <c r="JS50" i="5" s="1"/>
  <c r="JS51" i="5" s="1"/>
  <c r="JS52" i="5" s="1"/>
  <c r="JS53" i="5" s="1"/>
  <c r="JS54" i="5" s="1"/>
  <c r="JS55" i="5" s="1"/>
  <c r="JM47" i="5"/>
  <c r="IZ47" i="5"/>
  <c r="IZ48" i="5" s="1"/>
  <c r="IZ49" i="5" s="1"/>
  <c r="IZ50" i="5" s="1"/>
  <c r="IZ51" i="5" s="1"/>
  <c r="IZ52" i="5" s="1"/>
  <c r="IZ53" i="5" s="1"/>
  <c r="IZ54" i="5" s="1"/>
  <c r="IZ55" i="5" s="1"/>
  <c r="IV47" i="5"/>
  <c r="IV48" i="5" s="1"/>
  <c r="IV49" i="5" s="1"/>
  <c r="IV50" i="5" s="1"/>
  <c r="IV51" i="5" s="1"/>
  <c r="IV52" i="5" s="1"/>
  <c r="IV53" i="5" s="1"/>
  <c r="IV54" i="5" s="1"/>
  <c r="IV55" i="5" s="1"/>
  <c r="HX47" i="5"/>
  <c r="HV47" i="5"/>
  <c r="HU47" i="5"/>
  <c r="HL47" i="5"/>
  <c r="HK47" i="5"/>
  <c r="HJ47" i="5"/>
  <c r="HI47" i="5"/>
  <c r="HF47" i="5"/>
  <c r="HE47" i="5"/>
  <c r="HW47" i="5" s="1"/>
  <c r="GX47" i="5"/>
  <c r="GW47" i="5"/>
  <c r="GY47" i="5" s="1"/>
  <c r="GV47" i="5"/>
  <c r="GU47" i="5"/>
  <c r="JV46" i="5"/>
  <c r="JV47" i="5" s="1"/>
  <c r="JV48" i="5" s="1"/>
  <c r="JV49" i="5" s="1"/>
  <c r="JV50" i="5" s="1"/>
  <c r="JV51" i="5" s="1"/>
  <c r="JV52" i="5" s="1"/>
  <c r="JV53" i="5" s="1"/>
  <c r="JV54" i="5" s="1"/>
  <c r="JV55" i="5" s="1"/>
  <c r="JO46" i="5"/>
  <c r="JO47" i="5" s="1"/>
  <c r="JO48" i="5" s="1"/>
  <c r="JO49" i="5" s="1"/>
  <c r="JO50" i="5" s="1"/>
  <c r="JO51" i="5" s="1"/>
  <c r="JO52" i="5" s="1"/>
  <c r="JO53" i="5" s="1"/>
  <c r="JO54" i="5" s="1"/>
  <c r="JO55" i="5" s="1"/>
  <c r="JN46" i="5"/>
  <c r="JN47" i="5" s="1"/>
  <c r="JN48" i="5" s="1"/>
  <c r="JN49" i="5" s="1"/>
  <c r="JN50" i="5" s="1"/>
  <c r="JN51" i="5" s="1"/>
  <c r="JN52" i="5" s="1"/>
  <c r="JN53" i="5" s="1"/>
  <c r="JB46" i="5"/>
  <c r="JB47" i="5" s="1"/>
  <c r="JB48" i="5" s="1"/>
  <c r="JB49" i="5" s="1"/>
  <c r="JB50" i="5" s="1"/>
  <c r="JB51" i="5" s="1"/>
  <c r="JB52" i="5" s="1"/>
  <c r="JB53" i="5" s="1"/>
  <c r="JB54" i="5" s="1"/>
  <c r="JB55" i="5" s="1"/>
  <c r="IT46" i="5"/>
  <c r="IT47" i="5" s="1"/>
  <c r="IT48" i="5" s="1"/>
  <c r="IQ46" i="5"/>
  <c r="IL46" i="5"/>
  <c r="IG46" i="5"/>
  <c r="IE46" i="5"/>
  <c r="IB46" i="5"/>
  <c r="HZ46" i="5"/>
  <c r="HY46" i="5"/>
  <c r="HX46" i="5"/>
  <c r="HV46" i="5"/>
  <c r="HU46" i="5"/>
  <c r="HN46" i="5"/>
  <c r="HL46" i="5"/>
  <c r="HK46" i="5"/>
  <c r="HJ46" i="5"/>
  <c r="HI46" i="5"/>
  <c r="HF46" i="5"/>
  <c r="HE46" i="5"/>
  <c r="HW46" i="5" s="1"/>
  <c r="GZ46" i="5"/>
  <c r="GW46" i="5"/>
  <c r="HM46" i="5" s="1"/>
  <c r="GV46" i="5"/>
  <c r="GX46" i="5" s="1"/>
  <c r="GU46" i="5"/>
  <c r="U46" i="5"/>
  <c r="JY45" i="5"/>
  <c r="JY46" i="5" s="1"/>
  <c r="JY47" i="5" s="1"/>
  <c r="JY48" i="5" s="1"/>
  <c r="JY49" i="5" s="1"/>
  <c r="JY50" i="5" s="1"/>
  <c r="JY51" i="5" s="1"/>
  <c r="JY52" i="5" s="1"/>
  <c r="JY53" i="5" s="1"/>
  <c r="JY54" i="5" s="1"/>
  <c r="JY55" i="5" s="1"/>
  <c r="JX45" i="5"/>
  <c r="JX46" i="5" s="1"/>
  <c r="JR45" i="5"/>
  <c r="JR46" i="5" s="1"/>
  <c r="JR47" i="5" s="1"/>
  <c r="JQ45" i="5"/>
  <c r="JQ46" i="5" s="1"/>
  <c r="JQ47" i="5" s="1"/>
  <c r="JQ48" i="5" s="1"/>
  <c r="JQ49" i="5" s="1"/>
  <c r="JQ50" i="5" s="1"/>
  <c r="JQ51" i="5" s="1"/>
  <c r="JQ52" i="5" s="1"/>
  <c r="JQ53" i="5" s="1"/>
  <c r="JQ54" i="5" s="1"/>
  <c r="JQ55" i="5" s="1"/>
  <c r="JO45" i="5"/>
  <c r="JN45" i="5"/>
  <c r="JM45" i="5"/>
  <c r="JM46" i="5" s="1"/>
  <c r="JL45" i="5"/>
  <c r="JL46" i="5" s="1"/>
  <c r="JL47" i="5" s="1"/>
  <c r="JL48" i="5" s="1"/>
  <c r="JL49" i="5" s="1"/>
  <c r="JL50" i="5" s="1"/>
  <c r="JL51" i="5" s="1"/>
  <c r="JL52" i="5" s="1"/>
  <c r="JL53" i="5" s="1"/>
  <c r="JL54" i="5" s="1"/>
  <c r="JL55" i="5" s="1"/>
  <c r="JJ45" i="5"/>
  <c r="JJ46" i="5" s="1"/>
  <c r="JJ47" i="5" s="1"/>
  <c r="JJ48" i="5" s="1"/>
  <c r="JJ49" i="5" s="1"/>
  <c r="JJ50" i="5" s="1"/>
  <c r="JJ51" i="5" s="1"/>
  <c r="JJ52" i="5" s="1"/>
  <c r="JJ53" i="5" s="1"/>
  <c r="JJ54" i="5" s="1"/>
  <c r="JJ55" i="5" s="1"/>
  <c r="JH45" i="5"/>
  <c r="JH46" i="5" s="1"/>
  <c r="JH47" i="5" s="1"/>
  <c r="JH48" i="5" s="1"/>
  <c r="JH49" i="5" s="1"/>
  <c r="JH50" i="5" s="1"/>
  <c r="JH51" i="5" s="1"/>
  <c r="JH52" i="5" s="1"/>
  <c r="JH53" i="5" s="1"/>
  <c r="JH54" i="5" s="1"/>
  <c r="JH55" i="5" s="1"/>
  <c r="JC45" i="5"/>
  <c r="JC46" i="5" s="1"/>
  <c r="JC47" i="5" s="1"/>
  <c r="JC48" i="5" s="1"/>
  <c r="JC49" i="5" s="1"/>
  <c r="JC50" i="5" s="1"/>
  <c r="JC51" i="5" s="1"/>
  <c r="JC52" i="5" s="1"/>
  <c r="JC53" i="5" s="1"/>
  <c r="JC54" i="5" s="1"/>
  <c r="JC55" i="5" s="1"/>
  <c r="JB45" i="5"/>
  <c r="JA45" i="5"/>
  <c r="JA46" i="5" s="1"/>
  <c r="JA47" i="5" s="1"/>
  <c r="JA48" i="5" s="1"/>
  <c r="JA49" i="5" s="1"/>
  <c r="JA50" i="5" s="1"/>
  <c r="JA51" i="5" s="1"/>
  <c r="JA52" i="5" s="1"/>
  <c r="JA53" i="5" s="1"/>
  <c r="JA54" i="5" s="1"/>
  <c r="JA55" i="5" s="1"/>
  <c r="IX45" i="5"/>
  <c r="IX46" i="5" s="1"/>
  <c r="IX47" i="5" s="1"/>
  <c r="IX48" i="5" s="1"/>
  <c r="IX49" i="5" s="1"/>
  <c r="IX50" i="5" s="1"/>
  <c r="IX51" i="5" s="1"/>
  <c r="IX52" i="5" s="1"/>
  <c r="IX53" i="5" s="1"/>
  <c r="IX54" i="5" s="1"/>
  <c r="IX55" i="5" s="1"/>
  <c r="IT45" i="5"/>
  <c r="IR45" i="5"/>
  <c r="IR46" i="5" s="1"/>
  <c r="IR47" i="5" s="1"/>
  <c r="IR48" i="5" s="1"/>
  <c r="IR49" i="5" s="1"/>
  <c r="IR50" i="5" s="1"/>
  <c r="IR51" i="5" s="1"/>
  <c r="IR52" i="5" s="1"/>
  <c r="IR53" i="5" s="1"/>
  <c r="IR54" i="5" s="1"/>
  <c r="IR55" i="5" s="1"/>
  <c r="IQ45" i="5"/>
  <c r="IO45" i="5"/>
  <c r="IN45" i="5"/>
  <c r="IM45" i="5"/>
  <c r="IL45" i="5"/>
  <c r="IK45" i="5"/>
  <c r="IG45" i="5"/>
  <c r="IE45" i="5"/>
  <c r="ID45" i="5"/>
  <c r="IB45" i="5"/>
  <c r="IA45" i="5"/>
  <c r="HZ45" i="5"/>
  <c r="HY45" i="5"/>
  <c r="HX45" i="5"/>
  <c r="HV45" i="5"/>
  <c r="HU45" i="5"/>
  <c r="HO45" i="5"/>
  <c r="HL45" i="5"/>
  <c r="HJ45" i="5"/>
  <c r="HI45" i="5"/>
  <c r="HF45" i="5"/>
  <c r="HE45" i="5"/>
  <c r="HW45" i="5" s="1"/>
  <c r="GX45" i="5"/>
  <c r="HN45" i="5" s="1"/>
  <c r="GW45" i="5"/>
  <c r="GY45" i="5" s="1"/>
  <c r="HA45" i="5" s="1"/>
  <c r="GV45" i="5"/>
  <c r="GU45" i="5"/>
  <c r="HK45" i="5" s="1"/>
  <c r="GT45" i="5"/>
  <c r="U45" i="5"/>
  <c r="JY44" i="5"/>
  <c r="JX44" i="5"/>
  <c r="JW44" i="5"/>
  <c r="JW45" i="5" s="1"/>
  <c r="JW46" i="5" s="1"/>
  <c r="JW47" i="5" s="1"/>
  <c r="JW48" i="5" s="1"/>
  <c r="JW49" i="5" s="1"/>
  <c r="JW50" i="5" s="1"/>
  <c r="JW51" i="5" s="1"/>
  <c r="JW52" i="5" s="1"/>
  <c r="JW53" i="5" s="1"/>
  <c r="JW54" i="5" s="1"/>
  <c r="JW55" i="5" s="1"/>
  <c r="JV44" i="5"/>
  <c r="JV45" i="5" s="1"/>
  <c r="JU44" i="5"/>
  <c r="JU45" i="5" s="1"/>
  <c r="JU46" i="5" s="1"/>
  <c r="JU47" i="5" s="1"/>
  <c r="JU48" i="5" s="1"/>
  <c r="JU49" i="5" s="1"/>
  <c r="JU50" i="5" s="1"/>
  <c r="JU51" i="5" s="1"/>
  <c r="JU52" i="5" s="1"/>
  <c r="JU53" i="5" s="1"/>
  <c r="JU54" i="5" s="1"/>
  <c r="JU55" i="5" s="1"/>
  <c r="JT44" i="5"/>
  <c r="JT45" i="5" s="1"/>
  <c r="JT46" i="5" s="1"/>
  <c r="JT47" i="5" s="1"/>
  <c r="JT48" i="5" s="1"/>
  <c r="JT49" i="5" s="1"/>
  <c r="JT50" i="5" s="1"/>
  <c r="JT51" i="5" s="1"/>
  <c r="JT52" i="5" s="1"/>
  <c r="JT53" i="5" s="1"/>
  <c r="JT54" i="5" s="1"/>
  <c r="JT55" i="5" s="1"/>
  <c r="JS44" i="5"/>
  <c r="JS45" i="5" s="1"/>
  <c r="JS46" i="5" s="1"/>
  <c r="JR44" i="5"/>
  <c r="JQ44" i="5"/>
  <c r="JP44" i="5"/>
  <c r="JP45" i="5" s="1"/>
  <c r="JP46" i="5" s="1"/>
  <c r="JP47" i="5" s="1"/>
  <c r="JP48" i="5" s="1"/>
  <c r="JP49" i="5" s="1"/>
  <c r="JP50" i="5" s="1"/>
  <c r="JP51" i="5" s="1"/>
  <c r="JP52" i="5" s="1"/>
  <c r="JP53" i="5" s="1"/>
  <c r="JP54" i="5" s="1"/>
  <c r="JP55" i="5" s="1"/>
  <c r="JO44" i="5"/>
  <c r="JN44" i="5"/>
  <c r="JM44" i="5"/>
  <c r="JL44" i="5"/>
  <c r="JK44" i="5"/>
  <c r="JK45" i="5" s="1"/>
  <c r="JK46" i="5" s="1"/>
  <c r="JK47" i="5" s="1"/>
  <c r="JK48" i="5" s="1"/>
  <c r="JK49" i="5" s="1"/>
  <c r="JJ44" i="5"/>
  <c r="JI44" i="5"/>
  <c r="JI45" i="5" s="1"/>
  <c r="JI46" i="5" s="1"/>
  <c r="JI47" i="5" s="1"/>
  <c r="JI48" i="5" s="1"/>
  <c r="JI49" i="5" s="1"/>
  <c r="JI50" i="5" s="1"/>
  <c r="JI51" i="5" s="1"/>
  <c r="JI52" i="5" s="1"/>
  <c r="JI53" i="5" s="1"/>
  <c r="JI54" i="5" s="1"/>
  <c r="JI55" i="5" s="1"/>
  <c r="JH44" i="5"/>
  <c r="JG44" i="5"/>
  <c r="JG45" i="5" s="1"/>
  <c r="JG46" i="5" s="1"/>
  <c r="JG47" i="5" s="1"/>
  <c r="JG48" i="5" s="1"/>
  <c r="JG49" i="5" s="1"/>
  <c r="JG50" i="5" s="1"/>
  <c r="JG51" i="5" s="1"/>
  <c r="JG52" i="5" s="1"/>
  <c r="JG53" i="5" s="1"/>
  <c r="JG54" i="5" s="1"/>
  <c r="JG55" i="5" s="1"/>
  <c r="JF44" i="5"/>
  <c r="JF45" i="5" s="1"/>
  <c r="JF46" i="5" s="1"/>
  <c r="JF47" i="5" s="1"/>
  <c r="JF48" i="5" s="1"/>
  <c r="JE44" i="5"/>
  <c r="JE45" i="5" s="1"/>
  <c r="JE46" i="5" s="1"/>
  <c r="JE47" i="5" s="1"/>
  <c r="JE48" i="5" s="1"/>
  <c r="JE49" i="5" s="1"/>
  <c r="JE50" i="5" s="1"/>
  <c r="JE51" i="5" s="1"/>
  <c r="JE52" i="5" s="1"/>
  <c r="JE53" i="5" s="1"/>
  <c r="JE54" i="5" s="1"/>
  <c r="JE55" i="5" s="1"/>
  <c r="JD44" i="5"/>
  <c r="JD45" i="5" s="1"/>
  <c r="JD46" i="5" s="1"/>
  <c r="JD47" i="5" s="1"/>
  <c r="JD48" i="5" s="1"/>
  <c r="JD49" i="5" s="1"/>
  <c r="JD50" i="5" s="1"/>
  <c r="JD51" i="5" s="1"/>
  <c r="JD52" i="5" s="1"/>
  <c r="JD53" i="5" s="1"/>
  <c r="JD54" i="5" s="1"/>
  <c r="JD55" i="5" s="1"/>
  <c r="JC44" i="5"/>
  <c r="JB44" i="5"/>
  <c r="JA44" i="5"/>
  <c r="IZ44" i="5"/>
  <c r="IZ45" i="5" s="1"/>
  <c r="IZ46" i="5" s="1"/>
  <c r="IY44" i="5"/>
  <c r="IY45" i="5" s="1"/>
  <c r="IY46" i="5" s="1"/>
  <c r="IY47" i="5" s="1"/>
  <c r="IY48" i="5" s="1"/>
  <c r="IY49" i="5" s="1"/>
  <c r="IY50" i="5" s="1"/>
  <c r="IX44" i="5"/>
  <c r="IW44" i="5"/>
  <c r="IW45" i="5" s="1"/>
  <c r="IW46" i="5" s="1"/>
  <c r="IW47" i="5" s="1"/>
  <c r="IW48" i="5" s="1"/>
  <c r="IW49" i="5" s="1"/>
  <c r="IW50" i="5" s="1"/>
  <c r="IW51" i="5" s="1"/>
  <c r="IW52" i="5" s="1"/>
  <c r="IW53" i="5" s="1"/>
  <c r="IW54" i="5" s="1"/>
  <c r="IW55" i="5" s="1"/>
  <c r="IV44" i="5"/>
  <c r="IV45" i="5" s="1"/>
  <c r="IV46" i="5" s="1"/>
  <c r="IU44" i="5"/>
  <c r="IU45" i="5" s="1"/>
  <c r="IU46" i="5" s="1"/>
  <c r="IU47" i="5" s="1"/>
  <c r="IU48" i="5" s="1"/>
  <c r="IU49" i="5" s="1"/>
  <c r="IU50" i="5" s="1"/>
  <c r="IU51" i="5" s="1"/>
  <c r="IU52" i="5" s="1"/>
  <c r="IU53" i="5" s="1"/>
  <c r="IU54" i="5" s="1"/>
  <c r="IU55" i="5" s="1"/>
  <c r="IT44" i="5"/>
  <c r="IS44" i="5"/>
  <c r="IS45" i="5" s="1"/>
  <c r="IS46" i="5" s="1"/>
  <c r="IS47" i="5" s="1"/>
  <c r="IS48" i="5" s="1"/>
  <c r="IS49" i="5" s="1"/>
  <c r="IS50" i="5" s="1"/>
  <c r="IS51" i="5" s="1"/>
  <c r="IS52" i="5" s="1"/>
  <c r="IS53" i="5" s="1"/>
  <c r="IS54" i="5" s="1"/>
  <c r="IS55" i="5" s="1"/>
  <c r="IR44" i="5"/>
  <c r="IP44" i="5"/>
  <c r="IO44" i="5"/>
  <c r="IN44" i="5"/>
  <c r="IM44" i="5"/>
  <c r="IL44" i="5"/>
  <c r="IJ44" i="5"/>
  <c r="II44" i="5"/>
  <c r="IH44" i="5"/>
  <c r="IG44" i="5"/>
  <c r="IF44" i="5"/>
  <c r="ID44" i="5"/>
  <c r="IC44" i="5"/>
  <c r="IB44" i="5"/>
  <c r="IA44" i="5"/>
  <c r="HZ44" i="5"/>
  <c r="HY44" i="5"/>
  <c r="HV44" i="5"/>
  <c r="HU44" i="5"/>
  <c r="HL44" i="5"/>
  <c r="HK44" i="5"/>
  <c r="HJ44" i="5"/>
  <c r="HI44" i="5"/>
  <c r="HF44" i="5"/>
  <c r="HX44" i="5" s="1"/>
  <c r="HE44" i="5"/>
  <c r="HW44" i="5" s="1"/>
  <c r="GW44" i="5"/>
  <c r="GV44" i="5"/>
  <c r="GX44" i="5" s="1"/>
  <c r="GZ44" i="5" s="1"/>
  <c r="HB44" i="5" s="1"/>
  <c r="GU44" i="5"/>
  <c r="GT44" i="5"/>
  <c r="X44" i="5"/>
  <c r="U44" i="5"/>
  <c r="IQ43" i="5"/>
  <c r="IP43" i="5"/>
  <c r="IO43" i="5"/>
  <c r="IN43" i="5"/>
  <c r="IM43" i="5"/>
  <c r="IL43" i="5"/>
  <c r="IK43" i="5"/>
  <c r="IJ43" i="5"/>
  <c r="II43" i="5"/>
  <c r="IH43" i="5"/>
  <c r="IG43" i="5"/>
  <c r="IF43" i="5"/>
  <c r="IE43" i="5"/>
  <c r="ID43" i="5"/>
  <c r="IC43" i="5"/>
  <c r="IB43" i="5"/>
  <c r="IA43" i="5"/>
  <c r="HZ43" i="5"/>
  <c r="HY43" i="5"/>
  <c r="HW43" i="5"/>
  <c r="HV43" i="5"/>
  <c r="HU43" i="5"/>
  <c r="HM43" i="5"/>
  <c r="HL43" i="5"/>
  <c r="HK43" i="5"/>
  <c r="HJ43" i="5"/>
  <c r="HI43" i="5"/>
  <c r="HF43" i="5"/>
  <c r="HX43" i="5" s="1"/>
  <c r="HE43" i="5"/>
  <c r="HC43" i="5"/>
  <c r="HS43" i="5" s="1"/>
  <c r="GY43" i="5"/>
  <c r="HA43" i="5" s="1"/>
  <c r="HQ43" i="5" s="1"/>
  <c r="GW43" i="5"/>
  <c r="GV43" i="5"/>
  <c r="GX43" i="5" s="1"/>
  <c r="GU43" i="5"/>
  <c r="GT43" i="5"/>
  <c r="Y43" i="5" a="1"/>
  <c r="Y43" i="5" s="1"/>
  <c r="FU42" i="5"/>
  <c r="FT42" i="5"/>
  <c r="FS42" i="5"/>
  <c r="FR42" i="5"/>
  <c r="FQ42" i="5"/>
  <c r="FP42" i="5"/>
  <c r="FO42" i="5"/>
  <c r="FN42" i="5"/>
  <c r="FM42" i="5"/>
  <c r="FL42" i="5"/>
  <c r="FK42" i="5"/>
  <c r="FJ42" i="5"/>
  <c r="FI42" i="5"/>
  <c r="FH42" i="5"/>
  <c r="FG42" i="5"/>
  <c r="FF42" i="5"/>
  <c r="FE42" i="5"/>
  <c r="EZ42" i="5"/>
  <c r="EY42" i="5"/>
  <c r="EX42" i="5"/>
  <c r="EW42" i="5"/>
  <c r="ET42" i="5"/>
  <c r="FB42" i="5" s="1"/>
  <c r="ES42" i="5"/>
  <c r="FA42" i="5" s="1"/>
  <c r="ER42" i="5"/>
  <c r="AR42" i="5"/>
  <c r="AO42" i="5"/>
  <c r="AN42" i="5"/>
  <c r="FU41" i="5"/>
  <c r="FT41" i="5"/>
  <c r="FS41" i="5"/>
  <c r="FR41" i="5"/>
  <c r="FQ41" i="5"/>
  <c r="FP41" i="5"/>
  <c r="FO41" i="5"/>
  <c r="FN41" i="5"/>
  <c r="FM41" i="5"/>
  <c r="FL41" i="5"/>
  <c r="FK41" i="5"/>
  <c r="FJ41" i="5"/>
  <c r="FI41" i="5"/>
  <c r="FH41" i="5"/>
  <c r="FF41" i="5"/>
  <c r="FE41" i="5"/>
  <c r="FC41" i="5"/>
  <c r="FB41" i="5"/>
  <c r="FA41" i="5"/>
  <c r="EZ41" i="5"/>
  <c r="EY41" i="5"/>
  <c r="EX41" i="5"/>
  <c r="EW41" i="5"/>
  <c r="FG41" i="5" s="1"/>
  <c r="EV41" i="5"/>
  <c r="FD41" i="5" s="1"/>
  <c r="ET41" i="5"/>
  <c r="ES41" i="5"/>
  <c r="EU41" i="5" s="1"/>
  <c r="ER41" i="5"/>
  <c r="AR41" i="5"/>
  <c r="AO41" i="5"/>
  <c r="AN41" i="5"/>
  <c r="FU40" i="5"/>
  <c r="FT40" i="5"/>
  <c r="FS40" i="5"/>
  <c r="FR40" i="5"/>
  <c r="FQ40" i="5"/>
  <c r="FP40" i="5"/>
  <c r="FO40" i="5"/>
  <c r="FN40" i="5"/>
  <c r="FM40" i="5"/>
  <c r="FL40" i="5"/>
  <c r="FK40" i="5"/>
  <c r="FJ40" i="5"/>
  <c r="FI40" i="5"/>
  <c r="FG40" i="5"/>
  <c r="FF40" i="5"/>
  <c r="FE40" i="5"/>
  <c r="EZ40" i="5"/>
  <c r="EY40" i="5"/>
  <c r="EX40" i="5"/>
  <c r="FH40" i="5" s="1"/>
  <c r="EW40" i="5"/>
  <c r="ET40" i="5"/>
  <c r="EV40" i="5" s="1"/>
  <c r="FD40" i="5" s="1"/>
  <c r="ES40" i="5"/>
  <c r="EU40" i="5" s="1"/>
  <c r="FC40" i="5" s="1"/>
  <c r="ER40" i="5"/>
  <c r="AR40" i="5"/>
  <c r="AO40" i="5"/>
  <c r="AN40" i="5"/>
  <c r="FU39" i="5"/>
  <c r="FT39" i="5"/>
  <c r="FS39" i="5"/>
  <c r="FR39" i="5"/>
  <c r="FQ39" i="5"/>
  <c r="FP39" i="5"/>
  <c r="FO39" i="5"/>
  <c r="FN39" i="5"/>
  <c r="FM39" i="5"/>
  <c r="FL39" i="5"/>
  <c r="FK39" i="5"/>
  <c r="FJ39" i="5"/>
  <c r="FI39" i="5"/>
  <c r="FH39" i="5"/>
  <c r="FF39" i="5"/>
  <c r="FE39" i="5"/>
  <c r="FB39" i="5"/>
  <c r="FA39" i="5"/>
  <c r="EZ39" i="5"/>
  <c r="EY39" i="5"/>
  <c r="EX39" i="5"/>
  <c r="EW39" i="5"/>
  <c r="FG39" i="5" s="1"/>
  <c r="EV39" i="5"/>
  <c r="FD39" i="5" s="1"/>
  <c r="EU39" i="5"/>
  <c r="FC39" i="5" s="1"/>
  <c r="ET39" i="5"/>
  <c r="ES39" i="5"/>
  <c r="ER39" i="5"/>
  <c r="AR39" i="5"/>
  <c r="AO39" i="5"/>
  <c r="AN39" i="5"/>
  <c r="FU38" i="5"/>
  <c r="FT38" i="5"/>
  <c r="FS38" i="5"/>
  <c r="FR38" i="5"/>
  <c r="FQ38" i="5"/>
  <c r="FP38" i="5"/>
  <c r="FO38" i="5"/>
  <c r="FN38" i="5"/>
  <c r="FM38" i="5"/>
  <c r="FL38" i="5"/>
  <c r="FK38" i="5"/>
  <c r="FJ38" i="5"/>
  <c r="FI38" i="5"/>
  <c r="FF38" i="5"/>
  <c r="FE38" i="5"/>
  <c r="FA38" i="5"/>
  <c r="EZ38" i="5"/>
  <c r="EY38" i="5"/>
  <c r="EX38" i="5"/>
  <c r="FH38" i="5" s="1"/>
  <c r="EW38" i="5"/>
  <c r="FG38" i="5" s="1"/>
  <c r="EV38" i="5"/>
  <c r="FD38" i="5" s="1"/>
  <c r="EU38" i="5"/>
  <c r="FC38" i="5" s="1"/>
  <c r="ET38" i="5"/>
  <c r="FB38" i="5" s="1"/>
  <c r="ES38" i="5"/>
  <c r="ER38" i="5"/>
  <c r="AR38" i="5"/>
  <c r="AO38" i="5"/>
  <c r="AN38" i="5"/>
  <c r="FU37" i="5"/>
  <c r="FT37" i="5"/>
  <c r="FS37" i="5"/>
  <c r="FR37" i="5"/>
  <c r="FQ37" i="5"/>
  <c r="FP37" i="5"/>
  <c r="FO37" i="5"/>
  <c r="FN37" i="5"/>
  <c r="FM37" i="5"/>
  <c r="FL37" i="5"/>
  <c r="FK37" i="5"/>
  <c r="FJ37" i="5"/>
  <c r="FI37" i="5"/>
  <c r="FF37" i="5"/>
  <c r="FE37" i="5"/>
  <c r="FD37" i="5"/>
  <c r="FB37" i="5"/>
  <c r="FA37" i="5"/>
  <c r="EZ37" i="5"/>
  <c r="EY37" i="5"/>
  <c r="EX37" i="5"/>
  <c r="FH37" i="5" s="1"/>
  <c r="EW37" i="5"/>
  <c r="FG37" i="5" s="1"/>
  <c r="EV37" i="5"/>
  <c r="ET37" i="5"/>
  <c r="ES37" i="5"/>
  <c r="EU37" i="5" s="1"/>
  <c r="FC37" i="5" s="1"/>
  <c r="ER37" i="5"/>
  <c r="AR37" i="5"/>
  <c r="AO37" i="5"/>
  <c r="AN37" i="5"/>
  <c r="FU36" i="5"/>
  <c r="FT36" i="5"/>
  <c r="FS36" i="5"/>
  <c r="FR36" i="5"/>
  <c r="FQ36" i="5"/>
  <c r="FP36" i="5"/>
  <c r="FO36" i="5"/>
  <c r="FN36" i="5"/>
  <c r="FM36" i="5"/>
  <c r="FL36" i="5"/>
  <c r="FK36" i="5"/>
  <c r="FJ36" i="5"/>
  <c r="FI36" i="5"/>
  <c r="FG36" i="5"/>
  <c r="FF36" i="5"/>
  <c r="FE36" i="5"/>
  <c r="FA36" i="5"/>
  <c r="EZ36" i="5"/>
  <c r="EY36" i="5"/>
  <c r="EX36" i="5"/>
  <c r="FH36" i="5" s="1"/>
  <c r="EW36" i="5"/>
  <c r="EU36" i="5"/>
  <c r="FC36" i="5" s="1"/>
  <c r="ET36" i="5"/>
  <c r="EV36" i="5" s="1"/>
  <c r="FD36" i="5" s="1"/>
  <c r="ES36" i="5"/>
  <c r="ER36" i="5"/>
  <c r="AR36" i="5"/>
  <c r="AO36" i="5"/>
  <c r="AN36" i="5"/>
  <c r="FU35" i="5"/>
  <c r="FT35" i="5"/>
  <c r="FS35" i="5"/>
  <c r="FR35" i="5"/>
  <c r="FQ35" i="5"/>
  <c r="FP35" i="5"/>
  <c r="FO35" i="5"/>
  <c r="FN35" i="5"/>
  <c r="FM35" i="5"/>
  <c r="FL35" i="5"/>
  <c r="FK35" i="5"/>
  <c r="FJ35" i="5"/>
  <c r="FI35" i="5"/>
  <c r="FH35" i="5"/>
  <c r="FF35" i="5"/>
  <c r="FE35" i="5"/>
  <c r="FD35" i="5"/>
  <c r="FC35" i="5"/>
  <c r="FB35" i="5"/>
  <c r="FA35" i="5"/>
  <c r="EZ35" i="5"/>
  <c r="EY35" i="5"/>
  <c r="EX35" i="5"/>
  <c r="EW35" i="5"/>
  <c r="FG35" i="5" s="1"/>
  <c r="EV35" i="5"/>
  <c r="EU35" i="5"/>
  <c r="ET35" i="5"/>
  <c r="ES35" i="5"/>
  <c r="ER35" i="5"/>
  <c r="AR35" i="5"/>
  <c r="AO35" i="5"/>
  <c r="AN35" i="5"/>
  <c r="FU34" i="5"/>
  <c r="FT34" i="5"/>
  <c r="FS34" i="5"/>
  <c r="FR34" i="5"/>
  <c r="FQ34" i="5"/>
  <c r="FP34" i="5"/>
  <c r="FO34" i="5"/>
  <c r="FN34" i="5"/>
  <c r="FM34" i="5"/>
  <c r="FL34" i="5"/>
  <c r="FK34" i="5"/>
  <c r="FJ34" i="5"/>
  <c r="FI34" i="5"/>
  <c r="FF34" i="5"/>
  <c r="FE34" i="5"/>
  <c r="FB34" i="5"/>
  <c r="EZ34" i="5"/>
  <c r="EY34" i="5"/>
  <c r="EX34" i="5"/>
  <c r="FH34" i="5" s="1"/>
  <c r="EW34" i="5"/>
  <c r="FG34" i="5" s="1"/>
  <c r="EV34" i="5"/>
  <c r="FD34" i="5" s="1"/>
  <c r="EU34" i="5"/>
  <c r="FC34" i="5" s="1"/>
  <c r="ET34" i="5"/>
  <c r="ES34" i="5"/>
  <c r="FA34" i="5" s="1"/>
  <c r="ER34" i="5"/>
  <c r="AR34" i="5"/>
  <c r="AO34" i="5"/>
  <c r="AN34" i="5"/>
  <c r="DH33" i="5"/>
  <c r="DG33" i="5"/>
  <c r="DF33" i="5"/>
  <c r="DE33" i="5"/>
  <c r="DD33" i="5"/>
  <c r="DC33" i="5"/>
  <c r="DB33" i="5"/>
  <c r="DA33" i="5"/>
  <c r="CZ33" i="5"/>
  <c r="CY33" i="5"/>
  <c r="CX33" i="5"/>
  <c r="CW33" i="5"/>
  <c r="CV33" i="5"/>
  <c r="CU33" i="5"/>
  <c r="CT33" i="5"/>
  <c r="CS33" i="5"/>
  <c r="CR33" i="5"/>
  <c r="CQ33" i="5"/>
  <c r="CP33" i="5"/>
  <c r="CO33" i="5"/>
  <c r="CN33" i="5"/>
  <c r="CM33" i="5"/>
  <c r="CL33" i="5"/>
  <c r="CI33" i="5"/>
  <c r="CG33" i="5"/>
  <c r="CF33" i="5"/>
  <c r="BU33" i="5"/>
  <c r="BT33" i="5"/>
  <c r="BS33" i="5"/>
  <c r="CK33" i="5" s="1"/>
  <c r="BQ33" i="5"/>
  <c r="BP33" i="5"/>
  <c r="CH33" i="5" s="1"/>
  <c r="BH33" i="5"/>
  <c r="BX33" i="5" s="1"/>
  <c r="BG33" i="5"/>
  <c r="BF33" i="5"/>
  <c r="BV33" i="5" s="1"/>
  <c r="BE33" i="5"/>
  <c r="DH32" i="5"/>
  <c r="DG32" i="5"/>
  <c r="DF32" i="5"/>
  <c r="DE32" i="5"/>
  <c r="DD32" i="5"/>
  <c r="DC32" i="5"/>
  <c r="DB32" i="5"/>
  <c r="DA32" i="5"/>
  <c r="CZ32" i="5"/>
  <c r="CY32" i="5"/>
  <c r="CX32" i="5"/>
  <c r="CW32" i="5"/>
  <c r="CV32" i="5"/>
  <c r="CU32" i="5"/>
  <c r="CT32" i="5"/>
  <c r="CS32" i="5"/>
  <c r="CR32" i="5"/>
  <c r="CQ32" i="5"/>
  <c r="CP32" i="5"/>
  <c r="CO32" i="5"/>
  <c r="CN32" i="5"/>
  <c r="CM32" i="5"/>
  <c r="CL32" i="5"/>
  <c r="CK32" i="5"/>
  <c r="CJ32" i="5"/>
  <c r="CH32" i="5"/>
  <c r="CG32" i="5"/>
  <c r="CF32" i="5"/>
  <c r="BU32" i="5"/>
  <c r="BT32" i="5"/>
  <c r="BS32" i="5"/>
  <c r="BQ32" i="5"/>
  <c r="CI32" i="5" s="1"/>
  <c r="BP32" i="5"/>
  <c r="BR32" i="5" s="1"/>
  <c r="BM32" i="5"/>
  <c r="BO32" i="5" s="1"/>
  <c r="CE32" i="5" s="1"/>
  <c r="BI32" i="5"/>
  <c r="BK32" i="5" s="1"/>
  <c r="CA32" i="5" s="1"/>
  <c r="BG32" i="5"/>
  <c r="BW32" i="5" s="1"/>
  <c r="BF32" i="5"/>
  <c r="BV32" i="5" s="1"/>
  <c r="BE32" i="5"/>
  <c r="DH31" i="5"/>
  <c r="DG31" i="5"/>
  <c r="DF31" i="5"/>
  <c r="DE31" i="5"/>
  <c r="DD31" i="5"/>
  <c r="DC31" i="5"/>
  <c r="DB31" i="5"/>
  <c r="DA31" i="5"/>
  <c r="CZ31" i="5"/>
  <c r="CY31" i="5"/>
  <c r="CX31" i="5"/>
  <c r="CW31" i="5"/>
  <c r="CV31" i="5"/>
  <c r="CU31" i="5"/>
  <c r="CT31" i="5"/>
  <c r="CS31" i="5"/>
  <c r="CR31" i="5"/>
  <c r="CQ31" i="5"/>
  <c r="CP31" i="5"/>
  <c r="CO31" i="5"/>
  <c r="CN31" i="5"/>
  <c r="CM31" i="5"/>
  <c r="CL31" i="5"/>
  <c r="CI31" i="5"/>
  <c r="CG31" i="5"/>
  <c r="CF31" i="5"/>
  <c r="BY31" i="5"/>
  <c r="BW31" i="5"/>
  <c r="BU31" i="5"/>
  <c r="BT31" i="5"/>
  <c r="BQ31" i="5"/>
  <c r="BS31" i="5" s="1"/>
  <c r="CK31" i="5" s="1"/>
  <c r="BP31" i="5"/>
  <c r="BR31" i="5" s="1"/>
  <c r="CJ31" i="5" s="1"/>
  <c r="BK31" i="5"/>
  <c r="CA31" i="5" s="1"/>
  <c r="BI31" i="5"/>
  <c r="BH31" i="5"/>
  <c r="BJ31" i="5" s="1"/>
  <c r="BZ31" i="5" s="1"/>
  <c r="BG31" i="5"/>
  <c r="BF31" i="5"/>
  <c r="BV31" i="5" s="1"/>
  <c r="BE31" i="5"/>
  <c r="DH30" i="5"/>
  <c r="DG30" i="5"/>
  <c r="DF30" i="5"/>
  <c r="DE30" i="5"/>
  <c r="DD30" i="5"/>
  <c r="DC30" i="5"/>
  <c r="DB30" i="5"/>
  <c r="DA30" i="5"/>
  <c r="CZ30" i="5"/>
  <c r="CY30" i="5"/>
  <c r="CX30" i="5"/>
  <c r="CW30" i="5"/>
  <c r="CV30" i="5"/>
  <c r="CU30" i="5"/>
  <c r="CT30" i="5"/>
  <c r="CS30" i="5"/>
  <c r="CR30" i="5"/>
  <c r="CQ30" i="5"/>
  <c r="CP30" i="5"/>
  <c r="CO30" i="5"/>
  <c r="CN30" i="5"/>
  <c r="CM30" i="5"/>
  <c r="CL30" i="5"/>
  <c r="CI30" i="5"/>
  <c r="CG30" i="5"/>
  <c r="CF30" i="5"/>
  <c r="BU30" i="5"/>
  <c r="BT30" i="5"/>
  <c r="BS30" i="5"/>
  <c r="CK30" i="5" s="1"/>
  <c r="BQ30" i="5"/>
  <c r="BP30" i="5"/>
  <c r="BR30" i="5" s="1"/>
  <c r="CJ30" i="5" s="1"/>
  <c r="BH30" i="5"/>
  <c r="BJ30" i="5" s="1"/>
  <c r="BL30" i="5" s="1"/>
  <c r="BG30" i="5"/>
  <c r="BW30" i="5" s="1"/>
  <c r="BF30" i="5"/>
  <c r="BV30" i="5" s="1"/>
  <c r="BE30" i="5"/>
  <c r="DH29" i="5"/>
  <c r="DG29" i="5"/>
  <c r="DF29" i="5"/>
  <c r="DE29" i="5"/>
  <c r="DD29" i="5"/>
  <c r="DC29" i="5"/>
  <c r="DB29" i="5"/>
  <c r="DA29" i="5"/>
  <c r="CZ29" i="5"/>
  <c r="CY29" i="5"/>
  <c r="CX29" i="5"/>
  <c r="CW29" i="5"/>
  <c r="CV29" i="5"/>
  <c r="CU29" i="5"/>
  <c r="CT29" i="5"/>
  <c r="CS29" i="5"/>
  <c r="CR29" i="5"/>
  <c r="CQ29" i="5"/>
  <c r="CP29" i="5"/>
  <c r="CO29" i="5"/>
  <c r="CN29" i="5"/>
  <c r="CM29" i="5"/>
  <c r="CL29" i="5"/>
  <c r="CG29" i="5"/>
  <c r="CF29" i="5"/>
  <c r="BU29" i="5"/>
  <c r="BT29" i="5"/>
  <c r="BQ29" i="5"/>
  <c r="CI29" i="5" s="1"/>
  <c r="BP29" i="5"/>
  <c r="BR29" i="5" s="1"/>
  <c r="CJ29" i="5" s="1"/>
  <c r="BG29" i="5"/>
  <c r="BF29" i="5"/>
  <c r="BV29" i="5" s="1"/>
  <c r="BE29" i="5"/>
  <c r="DH28" i="5"/>
  <c r="DG28" i="5"/>
  <c r="DF28" i="5"/>
  <c r="DE28" i="5"/>
  <c r="DD28" i="5"/>
  <c r="DC28" i="5"/>
  <c r="DB28" i="5"/>
  <c r="DA28" i="5"/>
  <c r="CZ28" i="5"/>
  <c r="CY28" i="5"/>
  <c r="CX28" i="5"/>
  <c r="CW28" i="5"/>
  <c r="CV28" i="5"/>
  <c r="CU28" i="5"/>
  <c r="CT28" i="5"/>
  <c r="CS28" i="5"/>
  <c r="CR28" i="5"/>
  <c r="CQ28" i="5"/>
  <c r="CP28" i="5"/>
  <c r="CO28" i="5"/>
  <c r="CN28" i="5"/>
  <c r="CM28" i="5"/>
  <c r="CL28" i="5"/>
  <c r="CK28" i="5"/>
  <c r="CI28" i="5"/>
  <c r="CG28" i="5"/>
  <c r="CF28" i="5"/>
  <c r="BW28" i="5"/>
  <c r="BU28" i="5"/>
  <c r="BT28" i="5"/>
  <c r="BQ28" i="5"/>
  <c r="BS28" i="5" s="1"/>
  <c r="BP28" i="5"/>
  <c r="CH28" i="5" s="1"/>
  <c r="BI28" i="5"/>
  <c r="BY28" i="5" s="1"/>
  <c r="BG28" i="5"/>
  <c r="BF28" i="5"/>
  <c r="BE28" i="5"/>
  <c r="DH27" i="5"/>
  <c r="DG27" i="5"/>
  <c r="DF27" i="5"/>
  <c r="DE27" i="5"/>
  <c r="DD27" i="5"/>
  <c r="DC27" i="5"/>
  <c r="DB27" i="5"/>
  <c r="DA27" i="5"/>
  <c r="CZ27" i="5"/>
  <c r="CY27" i="5"/>
  <c r="CX27" i="5"/>
  <c r="CW27" i="5"/>
  <c r="CV27" i="5"/>
  <c r="CU27" i="5"/>
  <c r="CT27" i="5"/>
  <c r="CS27" i="5"/>
  <c r="CR27" i="5"/>
  <c r="CQ27" i="5"/>
  <c r="CP27" i="5"/>
  <c r="CO27" i="5"/>
  <c r="CN27" i="5"/>
  <c r="CM27" i="5"/>
  <c r="CL27" i="5"/>
  <c r="CG27" i="5"/>
  <c r="CF27" i="5"/>
  <c r="BY27" i="5"/>
  <c r="BW27" i="5"/>
  <c r="BU27" i="5"/>
  <c r="BT27" i="5"/>
  <c r="BQ27" i="5"/>
  <c r="CI27" i="5" s="1"/>
  <c r="BP27" i="5"/>
  <c r="BR27" i="5" s="1"/>
  <c r="CJ27" i="5" s="1"/>
  <c r="BK27" i="5"/>
  <c r="CA27" i="5" s="1"/>
  <c r="BH27" i="5"/>
  <c r="BX27" i="5" s="1"/>
  <c r="BG27" i="5"/>
  <c r="BI27" i="5" s="1"/>
  <c r="BF27" i="5"/>
  <c r="BV27" i="5" s="1"/>
  <c r="BE27" i="5"/>
  <c r="DH26" i="5"/>
  <c r="DG26" i="5"/>
  <c r="DF26" i="5"/>
  <c r="DE26" i="5"/>
  <c r="DD26" i="5"/>
  <c r="DC26" i="5"/>
  <c r="DB26" i="5"/>
  <c r="DA26" i="5"/>
  <c r="CZ26" i="5"/>
  <c r="CY26" i="5"/>
  <c r="CX26" i="5"/>
  <c r="CW26" i="5"/>
  <c r="CV26" i="5"/>
  <c r="CU26" i="5"/>
  <c r="CT26" i="5"/>
  <c r="CS26" i="5"/>
  <c r="CR26" i="5"/>
  <c r="CQ26" i="5"/>
  <c r="CP26" i="5"/>
  <c r="CO26" i="5"/>
  <c r="CN26" i="5"/>
  <c r="CM26" i="5"/>
  <c r="CL26" i="5"/>
  <c r="CH26" i="5"/>
  <c r="CG26" i="5"/>
  <c r="CF26" i="5"/>
  <c r="BU26" i="5"/>
  <c r="BT26" i="5"/>
  <c r="BR26" i="5"/>
  <c r="CJ26" i="5" s="1"/>
  <c r="BQ26" i="5"/>
  <c r="CI26" i="5" s="1"/>
  <c r="BP26" i="5"/>
  <c r="BH26" i="5"/>
  <c r="BJ26" i="5" s="1"/>
  <c r="BL26" i="5" s="1"/>
  <c r="BG26" i="5"/>
  <c r="BW26" i="5" s="1"/>
  <c r="BF26" i="5"/>
  <c r="BV26" i="5" s="1"/>
  <c r="BE26" i="5"/>
  <c r="DH25" i="5"/>
  <c r="DG25" i="5"/>
  <c r="DF25" i="5"/>
  <c r="DE25" i="5"/>
  <c r="DD25" i="5"/>
  <c r="DC25" i="5"/>
  <c r="DB25" i="5"/>
  <c r="DA25" i="5"/>
  <c r="CZ25" i="5"/>
  <c r="CY25" i="5"/>
  <c r="CX25" i="5"/>
  <c r="CW25" i="5"/>
  <c r="CV25" i="5"/>
  <c r="CU25" i="5"/>
  <c r="CT25" i="5"/>
  <c r="CS25" i="5"/>
  <c r="CR25" i="5"/>
  <c r="CQ25" i="5"/>
  <c r="CP25" i="5"/>
  <c r="CO25" i="5"/>
  <c r="CN25" i="5"/>
  <c r="CM25" i="5"/>
  <c r="CL25" i="5"/>
  <c r="CG25" i="5"/>
  <c r="CF25" i="5"/>
  <c r="BY25" i="5"/>
  <c r="BX25" i="5"/>
  <c r="BW25" i="5"/>
  <c r="BV25" i="5"/>
  <c r="BU25" i="5"/>
  <c r="BT25" i="5"/>
  <c r="BR25" i="5"/>
  <c r="CJ25" i="5" s="1"/>
  <c r="BQ25" i="5"/>
  <c r="BS25" i="5" s="1"/>
  <c r="CK25" i="5" s="1"/>
  <c r="BP25" i="5"/>
  <c r="CH25" i="5" s="1"/>
  <c r="BK25" i="5"/>
  <c r="CA25" i="5" s="1"/>
  <c r="BJ25" i="5"/>
  <c r="BZ25" i="5" s="1"/>
  <c r="BI25" i="5"/>
  <c r="BG25" i="5"/>
  <c r="BF25" i="5"/>
  <c r="BH25" i="5" s="1"/>
  <c r="BE25" i="5"/>
  <c r="DH24" i="5"/>
  <c r="DG24" i="5"/>
  <c r="DF24" i="5"/>
  <c r="DE24" i="5"/>
  <c r="DD24" i="5"/>
  <c r="DC24" i="5"/>
  <c r="DB24" i="5"/>
  <c r="DA24" i="5"/>
  <c r="CZ24" i="5"/>
  <c r="CY24" i="5"/>
  <c r="CX24" i="5"/>
  <c r="CW24" i="5"/>
  <c r="CV24" i="5"/>
  <c r="CU24" i="5"/>
  <c r="CT24" i="5"/>
  <c r="CS24" i="5"/>
  <c r="CR24" i="5"/>
  <c r="CQ24" i="5"/>
  <c r="CP24" i="5"/>
  <c r="CO24" i="5"/>
  <c r="CN24" i="5"/>
  <c r="CM24" i="5"/>
  <c r="CL24" i="5"/>
  <c r="CI24" i="5"/>
  <c r="CG24" i="5"/>
  <c r="CF24" i="5"/>
  <c r="BW24" i="5"/>
  <c r="BV24" i="5"/>
  <c r="BU24" i="5"/>
  <c r="BT24" i="5"/>
  <c r="BS24" i="5"/>
  <c r="CK24" i="5" s="1"/>
  <c r="BQ24" i="5"/>
  <c r="BP24" i="5"/>
  <c r="CH24" i="5" s="1"/>
  <c r="BI24" i="5"/>
  <c r="BK24" i="5" s="1"/>
  <c r="BH24" i="5"/>
  <c r="BG24" i="5"/>
  <c r="BF24" i="5"/>
  <c r="BE24" i="5"/>
  <c r="DH23" i="5"/>
  <c r="DG23" i="5"/>
  <c r="DF23" i="5"/>
  <c r="DE23" i="5"/>
  <c r="DD23" i="5"/>
  <c r="DC23" i="5"/>
  <c r="DB23" i="5"/>
  <c r="DA23" i="5"/>
  <c r="CZ23" i="5"/>
  <c r="CY23" i="5"/>
  <c r="CX23" i="5"/>
  <c r="CW23" i="5"/>
  <c r="CV23" i="5"/>
  <c r="CU23" i="5"/>
  <c r="CT23" i="5"/>
  <c r="CS23" i="5"/>
  <c r="CR23" i="5"/>
  <c r="CQ23" i="5"/>
  <c r="CP23" i="5"/>
  <c r="CO23" i="5"/>
  <c r="CN23" i="5"/>
  <c r="CM23" i="5"/>
  <c r="CL23" i="5"/>
  <c r="CJ23" i="5"/>
  <c r="CH23" i="5"/>
  <c r="CG23" i="5"/>
  <c r="CF23" i="5"/>
  <c r="BU23" i="5"/>
  <c r="BT23" i="5"/>
  <c r="BR23" i="5"/>
  <c r="BQ23" i="5"/>
  <c r="CI23" i="5" s="1"/>
  <c r="BP23" i="5"/>
  <c r="BI23" i="5"/>
  <c r="BG23" i="5"/>
  <c r="BW23" i="5" s="1"/>
  <c r="BF23" i="5"/>
  <c r="BV23" i="5" s="1"/>
  <c r="BE23" i="5"/>
  <c r="DH22" i="5"/>
  <c r="DG22" i="5"/>
  <c r="DF22" i="5"/>
  <c r="DE22" i="5"/>
  <c r="DD22" i="5"/>
  <c r="DC22" i="5"/>
  <c r="DB22" i="5"/>
  <c r="DA22" i="5"/>
  <c r="CZ22" i="5"/>
  <c r="CY22" i="5"/>
  <c r="CX22" i="5"/>
  <c r="CW22" i="5"/>
  <c r="CV22" i="5"/>
  <c r="CU22" i="5"/>
  <c r="CT22" i="5"/>
  <c r="CS22" i="5"/>
  <c r="CR22" i="5"/>
  <c r="CQ22" i="5"/>
  <c r="CP22" i="5"/>
  <c r="CO22" i="5"/>
  <c r="CN22" i="5"/>
  <c r="CM22" i="5"/>
  <c r="CL22" i="5"/>
  <c r="CH22" i="5"/>
  <c r="CG22" i="5"/>
  <c r="CF22" i="5"/>
  <c r="BW22" i="5"/>
  <c r="BV22" i="5"/>
  <c r="BU22" i="5"/>
  <c r="BT22" i="5"/>
  <c r="BR22" i="5"/>
  <c r="CJ22" i="5" s="1"/>
  <c r="BQ22" i="5"/>
  <c r="BP22" i="5"/>
  <c r="BI22" i="5"/>
  <c r="BY22" i="5" s="1"/>
  <c r="BH22" i="5"/>
  <c r="BX22" i="5" s="1"/>
  <c r="BG22" i="5"/>
  <c r="BF22" i="5"/>
  <c r="BE22" i="5"/>
  <c r="DH21" i="5"/>
  <c r="DG21" i="5"/>
  <c r="DF21" i="5"/>
  <c r="DE21" i="5"/>
  <c r="DD21" i="5"/>
  <c r="DC21" i="5"/>
  <c r="DB21" i="5"/>
  <c r="DA21" i="5"/>
  <c r="CZ21" i="5"/>
  <c r="CY21" i="5"/>
  <c r="CX21" i="5"/>
  <c r="CW21" i="5"/>
  <c r="CV21" i="5"/>
  <c r="CU21" i="5"/>
  <c r="CT21" i="5"/>
  <c r="CS21" i="5"/>
  <c r="CR21" i="5"/>
  <c r="CQ21" i="5"/>
  <c r="CP21" i="5"/>
  <c r="CO21" i="5"/>
  <c r="CN21" i="5"/>
  <c r="CM21" i="5"/>
  <c r="CL21" i="5"/>
  <c r="CG21" i="5"/>
  <c r="CF21" i="5"/>
  <c r="BU21" i="5"/>
  <c r="BT21" i="5"/>
  <c r="BS21" i="5"/>
  <c r="CK21" i="5" s="1"/>
  <c r="BQ21" i="5"/>
  <c r="CI21" i="5" s="1"/>
  <c r="BP21" i="5"/>
  <c r="CH21" i="5" s="1"/>
  <c r="BG21" i="5"/>
  <c r="BW21" i="5" s="1"/>
  <c r="BF21" i="5"/>
  <c r="BE21" i="5"/>
  <c r="DH20" i="5"/>
  <c r="DG20" i="5"/>
  <c r="DF20" i="5"/>
  <c r="DE20" i="5"/>
  <c r="DD20" i="5"/>
  <c r="DC20" i="5"/>
  <c r="DB20" i="5"/>
  <c r="DA20" i="5"/>
  <c r="CZ20" i="5"/>
  <c r="CY20" i="5"/>
  <c r="CX20" i="5"/>
  <c r="CW20" i="5"/>
  <c r="CV20" i="5"/>
  <c r="CU20" i="5"/>
  <c r="CT20" i="5"/>
  <c r="CS20" i="5"/>
  <c r="CR20" i="5"/>
  <c r="CQ20" i="5"/>
  <c r="CP20" i="5"/>
  <c r="CO20" i="5"/>
  <c r="CN20" i="5"/>
  <c r="CM20" i="5"/>
  <c r="CL20" i="5"/>
  <c r="CJ20" i="5"/>
  <c r="CH20" i="5"/>
  <c r="CG20" i="5"/>
  <c r="CF20" i="5"/>
  <c r="BU20" i="5"/>
  <c r="BT20" i="5"/>
  <c r="BR20" i="5"/>
  <c r="BQ20" i="5"/>
  <c r="CI20" i="5" s="1"/>
  <c r="BP20" i="5"/>
  <c r="BG20" i="5"/>
  <c r="BW20" i="5" s="1"/>
  <c r="BF20" i="5"/>
  <c r="BH20" i="5" s="1"/>
  <c r="BX20" i="5" s="1"/>
  <c r="BE20" i="5"/>
  <c r="DH19" i="5"/>
  <c r="DG19" i="5"/>
  <c r="DF19" i="5"/>
  <c r="DE19" i="5"/>
  <c r="DD19" i="5"/>
  <c r="DC19" i="5"/>
  <c r="DB19" i="5"/>
  <c r="DA19" i="5"/>
  <c r="CZ19" i="5"/>
  <c r="CY19" i="5"/>
  <c r="CX19" i="5"/>
  <c r="CW19" i="5"/>
  <c r="CV19" i="5"/>
  <c r="CU19" i="5"/>
  <c r="CT19" i="5"/>
  <c r="CS19" i="5"/>
  <c r="CR19" i="5"/>
  <c r="CQ19" i="5"/>
  <c r="CP19" i="5"/>
  <c r="CO19" i="5"/>
  <c r="CN19" i="5"/>
  <c r="CM19" i="5"/>
  <c r="CL19" i="5"/>
  <c r="CH19" i="5"/>
  <c r="CG19" i="5"/>
  <c r="CF19" i="5"/>
  <c r="BU19" i="5"/>
  <c r="BT19" i="5"/>
  <c r="BR19" i="5"/>
  <c r="CJ19" i="5" s="1"/>
  <c r="BQ19" i="5"/>
  <c r="CI19" i="5" s="1"/>
  <c r="BP19" i="5"/>
  <c r="BG19" i="5"/>
  <c r="BI19" i="5" s="1"/>
  <c r="BK19" i="5" s="1"/>
  <c r="BF19" i="5"/>
  <c r="BV19" i="5" s="1"/>
  <c r="BE19" i="5"/>
  <c r="DH18" i="5"/>
  <c r="DG18" i="5"/>
  <c r="DF18" i="5"/>
  <c r="DE18" i="5"/>
  <c r="DD18" i="5"/>
  <c r="DC18" i="5"/>
  <c r="DB18" i="5"/>
  <c r="DA18" i="5"/>
  <c r="CZ18" i="5"/>
  <c r="CY18" i="5"/>
  <c r="CX18" i="5"/>
  <c r="CW18" i="5"/>
  <c r="CV18" i="5"/>
  <c r="CU18" i="5"/>
  <c r="CT18" i="5"/>
  <c r="CS18" i="5"/>
  <c r="CR18" i="5"/>
  <c r="CQ18" i="5"/>
  <c r="CP18" i="5"/>
  <c r="CO18" i="5"/>
  <c r="CN18" i="5"/>
  <c r="CM18" i="5"/>
  <c r="CL18" i="5"/>
  <c r="CI18" i="5"/>
  <c r="CH18" i="5"/>
  <c r="CG18" i="5"/>
  <c r="CF18" i="5"/>
  <c r="BX18" i="5"/>
  <c r="BV18" i="5"/>
  <c r="BU18" i="5"/>
  <c r="BT18" i="5"/>
  <c r="BS18" i="5"/>
  <c r="CK18" i="5" s="1"/>
  <c r="BQ18" i="5"/>
  <c r="BP18" i="5"/>
  <c r="BR18" i="5" s="1"/>
  <c r="CJ18" i="5" s="1"/>
  <c r="BJ18" i="5"/>
  <c r="BZ18" i="5" s="1"/>
  <c r="BG18" i="5"/>
  <c r="BI18" i="5" s="1"/>
  <c r="BY18" i="5" s="1"/>
  <c r="BF18" i="5"/>
  <c r="BH18" i="5" s="1"/>
  <c r="BE18" i="5"/>
  <c r="DH17" i="5"/>
  <c r="DG17" i="5"/>
  <c r="DF17" i="5"/>
  <c r="DE17" i="5"/>
  <c r="DD17" i="5"/>
  <c r="DC17" i="5"/>
  <c r="DB17" i="5"/>
  <c r="DA17" i="5"/>
  <c r="CZ17" i="5"/>
  <c r="CY17" i="5"/>
  <c r="CX17" i="5"/>
  <c r="CW17" i="5"/>
  <c r="CV17" i="5"/>
  <c r="CU17" i="5"/>
  <c r="CT17" i="5"/>
  <c r="CS17" i="5"/>
  <c r="CR17" i="5"/>
  <c r="CQ17" i="5"/>
  <c r="CP17" i="5"/>
  <c r="CO17" i="5"/>
  <c r="CN17" i="5"/>
  <c r="CM17" i="5"/>
  <c r="CL17" i="5"/>
  <c r="CI17" i="5"/>
  <c r="CH17" i="5"/>
  <c r="CG17" i="5"/>
  <c r="CF17" i="5"/>
  <c r="BU17" i="5"/>
  <c r="BT17" i="5"/>
  <c r="BR17" i="5"/>
  <c r="CJ17" i="5" s="1"/>
  <c r="BQ17" i="5"/>
  <c r="BS17" i="5" s="1"/>
  <c r="CK17" i="5" s="1"/>
  <c r="BP17" i="5"/>
  <c r="BI17" i="5"/>
  <c r="BK17" i="5" s="1"/>
  <c r="CA17" i="5" s="1"/>
  <c r="BG17" i="5"/>
  <c r="BW17" i="5" s="1"/>
  <c r="BF17" i="5"/>
  <c r="BV17" i="5" s="1"/>
  <c r="BE17" i="5"/>
  <c r="DH16" i="5"/>
  <c r="DG16" i="5"/>
  <c r="DF16" i="5"/>
  <c r="DE16" i="5"/>
  <c r="DD16" i="5"/>
  <c r="DC16" i="5"/>
  <c r="DB16" i="5"/>
  <c r="DA16" i="5"/>
  <c r="CZ16" i="5"/>
  <c r="CY16" i="5"/>
  <c r="CX16" i="5"/>
  <c r="CW16" i="5"/>
  <c r="CV16" i="5"/>
  <c r="CU16" i="5"/>
  <c r="CT16" i="5"/>
  <c r="CS16" i="5"/>
  <c r="CR16" i="5"/>
  <c r="CQ16" i="5"/>
  <c r="CP16" i="5"/>
  <c r="CO16" i="5"/>
  <c r="CN16" i="5"/>
  <c r="CM16" i="5"/>
  <c r="CL16" i="5"/>
  <c r="CI16" i="5"/>
  <c r="CG16" i="5"/>
  <c r="CF16" i="5"/>
  <c r="BW16" i="5"/>
  <c r="BU16" i="5"/>
  <c r="BT16" i="5"/>
  <c r="BS16" i="5"/>
  <c r="CK16" i="5" s="1"/>
  <c r="BR16" i="5"/>
  <c r="CJ16" i="5" s="1"/>
  <c r="BQ16" i="5"/>
  <c r="BP16" i="5"/>
  <c r="CH16" i="5" s="1"/>
  <c r="BI16" i="5"/>
  <c r="BY16" i="5" s="1"/>
  <c r="BG16" i="5"/>
  <c r="BF16" i="5"/>
  <c r="BH16" i="5" s="1"/>
  <c r="BX16" i="5" s="1"/>
  <c r="BE16" i="5"/>
  <c r="DH15" i="5"/>
  <c r="DG15" i="5"/>
  <c r="DF15" i="5"/>
  <c r="DE15" i="5"/>
  <c r="DD15" i="5"/>
  <c r="DC15" i="5"/>
  <c r="DB15" i="5"/>
  <c r="DA15" i="5"/>
  <c r="CZ15" i="5"/>
  <c r="CY15" i="5"/>
  <c r="CX15" i="5"/>
  <c r="CW15" i="5"/>
  <c r="CV15" i="5"/>
  <c r="CU15" i="5"/>
  <c r="CT15" i="5"/>
  <c r="CS15" i="5"/>
  <c r="CR15" i="5"/>
  <c r="CQ15" i="5"/>
  <c r="CP15" i="5"/>
  <c r="CO15" i="5"/>
  <c r="CN15" i="5"/>
  <c r="CM15" i="5"/>
  <c r="CL15" i="5"/>
  <c r="CG15" i="5"/>
  <c r="CF15" i="5"/>
  <c r="BW15" i="5"/>
  <c r="BU15" i="5"/>
  <c r="BT15" i="5"/>
  <c r="BQ15" i="5"/>
  <c r="CI15" i="5" s="1"/>
  <c r="BP15" i="5"/>
  <c r="BR15" i="5" s="1"/>
  <c r="CJ15" i="5" s="1"/>
  <c r="BG15" i="5"/>
  <c r="BI15" i="5" s="1"/>
  <c r="BF15" i="5"/>
  <c r="BH15" i="5" s="1"/>
  <c r="BX15" i="5" s="1"/>
  <c r="BE15" i="5"/>
  <c r="DH14" i="5"/>
  <c r="DG14" i="5"/>
  <c r="DF14" i="5"/>
  <c r="DE14" i="5"/>
  <c r="DD14" i="5"/>
  <c r="DC14" i="5"/>
  <c r="DB14" i="5"/>
  <c r="DA14" i="5"/>
  <c r="CZ14" i="5"/>
  <c r="CY14" i="5"/>
  <c r="CX14" i="5"/>
  <c r="CW14" i="5"/>
  <c r="CV14" i="5"/>
  <c r="CU14" i="5"/>
  <c r="CT14" i="5"/>
  <c r="CS14" i="5"/>
  <c r="CR14" i="5"/>
  <c r="CQ14" i="5"/>
  <c r="CP14" i="5"/>
  <c r="CO14" i="5"/>
  <c r="CN14" i="5"/>
  <c r="CM14" i="5"/>
  <c r="CL14" i="5"/>
  <c r="CJ14" i="5"/>
  <c r="CI14" i="5"/>
  <c r="CH14" i="5"/>
  <c r="CG14" i="5"/>
  <c r="CF14" i="5"/>
  <c r="BW14" i="5"/>
  <c r="BV14" i="5"/>
  <c r="BU14" i="5"/>
  <c r="BT14" i="5"/>
  <c r="BR14" i="5"/>
  <c r="BQ14" i="5"/>
  <c r="BS14" i="5" s="1"/>
  <c r="CK14" i="5" s="1"/>
  <c r="BP14" i="5"/>
  <c r="BI14" i="5"/>
  <c r="BY14" i="5" s="1"/>
  <c r="BH14" i="5"/>
  <c r="BX14" i="5" s="1"/>
  <c r="BG14" i="5"/>
  <c r="BF14" i="5"/>
  <c r="BE14" i="5"/>
  <c r="DH13" i="5"/>
  <c r="DG13" i="5"/>
  <c r="DF13" i="5"/>
  <c r="DE13" i="5"/>
  <c r="DD13" i="5"/>
  <c r="DC13" i="5"/>
  <c r="DB13" i="5"/>
  <c r="DA13" i="5"/>
  <c r="CZ13" i="5"/>
  <c r="CY13" i="5"/>
  <c r="CX13" i="5"/>
  <c r="CW13" i="5"/>
  <c r="CV13" i="5"/>
  <c r="CU13" i="5"/>
  <c r="CT13" i="5"/>
  <c r="CS13" i="5"/>
  <c r="CR13" i="5"/>
  <c r="CQ13" i="5"/>
  <c r="CP13" i="5"/>
  <c r="CO13" i="5"/>
  <c r="CN13" i="5"/>
  <c r="CM13" i="5"/>
  <c r="CL13" i="5"/>
  <c r="CH13" i="5"/>
  <c r="CG13" i="5"/>
  <c r="CF13" i="5"/>
  <c r="BW13" i="5"/>
  <c r="BU13" i="5"/>
  <c r="BT13" i="5"/>
  <c r="BR13" i="5"/>
  <c r="CJ13" i="5" s="1"/>
  <c r="BQ13" i="5"/>
  <c r="CI13" i="5" s="1"/>
  <c r="BP13" i="5"/>
  <c r="BI13" i="5"/>
  <c r="BG13" i="5"/>
  <c r="BF13" i="5"/>
  <c r="BV13" i="5" s="1"/>
  <c r="BE13" i="5"/>
  <c r="DH12" i="5"/>
  <c r="DG12" i="5"/>
  <c r="DF12" i="5"/>
  <c r="DE12" i="5"/>
  <c r="DD12" i="5"/>
  <c r="DC12" i="5"/>
  <c r="DB12" i="5"/>
  <c r="DA12" i="5"/>
  <c r="CZ12" i="5"/>
  <c r="CY12" i="5"/>
  <c r="CX12" i="5"/>
  <c r="CW12" i="5"/>
  <c r="CV12" i="5"/>
  <c r="CU12" i="5"/>
  <c r="CT12" i="5"/>
  <c r="CS12" i="5"/>
  <c r="CR12" i="5"/>
  <c r="CQ12" i="5"/>
  <c r="CP12" i="5"/>
  <c r="CO12" i="5"/>
  <c r="CN12" i="5"/>
  <c r="CM12" i="5"/>
  <c r="CL12" i="5"/>
  <c r="CH12" i="5"/>
  <c r="CG12" i="5"/>
  <c r="CF12" i="5"/>
  <c r="BX12" i="5"/>
  <c r="BW12" i="5"/>
  <c r="BV12" i="5"/>
  <c r="BU12" i="5"/>
  <c r="BT12" i="5"/>
  <c r="BR12" i="5"/>
  <c r="CJ12" i="5" s="1"/>
  <c r="BQ12" i="5"/>
  <c r="BS12" i="5" s="1"/>
  <c r="CK12" i="5" s="1"/>
  <c r="BP12" i="5"/>
  <c r="BL12" i="5"/>
  <c r="CB12" i="5" s="1"/>
  <c r="BJ12" i="5"/>
  <c r="BZ12" i="5" s="1"/>
  <c r="BI12" i="5"/>
  <c r="BY12" i="5" s="1"/>
  <c r="BG12" i="5"/>
  <c r="BF12" i="5"/>
  <c r="BH12" i="5" s="1"/>
  <c r="BE12" i="5"/>
  <c r="DH11" i="5"/>
  <c r="DG11" i="5"/>
  <c r="DF11" i="5"/>
  <c r="DE11" i="5"/>
  <c r="DD11" i="5"/>
  <c r="DC11" i="5"/>
  <c r="DB11" i="5"/>
  <c r="DA11" i="5"/>
  <c r="CZ11" i="5"/>
  <c r="CY11" i="5"/>
  <c r="CX11" i="5"/>
  <c r="CW11" i="5"/>
  <c r="CV11" i="5"/>
  <c r="CU11" i="5"/>
  <c r="CT11" i="5"/>
  <c r="CS11" i="5"/>
  <c r="CR11" i="5"/>
  <c r="CQ11" i="5"/>
  <c r="CP11" i="5"/>
  <c r="CO11" i="5"/>
  <c r="CN11" i="5"/>
  <c r="CM11" i="5"/>
  <c r="CL11" i="5"/>
  <c r="CJ11" i="5"/>
  <c r="CH11" i="5"/>
  <c r="CG11" i="5"/>
  <c r="CF11" i="5"/>
  <c r="BW11" i="5"/>
  <c r="BV11" i="5"/>
  <c r="BU11" i="5"/>
  <c r="BT11" i="5"/>
  <c r="BR11" i="5"/>
  <c r="BQ11" i="5"/>
  <c r="CI11" i="5" s="1"/>
  <c r="BP11" i="5"/>
  <c r="BI11" i="5"/>
  <c r="BY11" i="5" s="1"/>
  <c r="BG11" i="5"/>
  <c r="BF11" i="5"/>
  <c r="BH11" i="5" s="1"/>
  <c r="BE11" i="5"/>
  <c r="DH10" i="5"/>
  <c r="DG10" i="5"/>
  <c r="DF10" i="5"/>
  <c r="DE10" i="5"/>
  <c r="DD10" i="5"/>
  <c r="DC10" i="5"/>
  <c r="DB10" i="5"/>
  <c r="DA10" i="5"/>
  <c r="CZ10" i="5"/>
  <c r="CY10" i="5"/>
  <c r="CX10" i="5"/>
  <c r="CW10" i="5"/>
  <c r="CV10" i="5"/>
  <c r="CU10" i="5"/>
  <c r="CT10" i="5"/>
  <c r="CS10" i="5"/>
  <c r="CR10" i="5"/>
  <c r="CQ10" i="5"/>
  <c r="CP10" i="5"/>
  <c r="CO10" i="5"/>
  <c r="CN10" i="5"/>
  <c r="CM10" i="5"/>
  <c r="CL10" i="5"/>
  <c r="CK10" i="5"/>
  <c r="CI10" i="5"/>
  <c r="CG10" i="5"/>
  <c r="CF10" i="5"/>
  <c r="BV10" i="5"/>
  <c r="BU10" i="5"/>
  <c r="BT10" i="5"/>
  <c r="BQ10" i="5"/>
  <c r="BS10" i="5" s="1"/>
  <c r="BP10" i="5"/>
  <c r="CH10" i="5" s="1"/>
  <c r="BH10" i="5"/>
  <c r="BX10" i="5" s="1"/>
  <c r="BG10" i="5"/>
  <c r="BW10" i="5" s="1"/>
  <c r="BF10" i="5"/>
  <c r="BE10" i="5"/>
  <c r="DH9" i="5"/>
  <c r="DG9" i="5"/>
  <c r="DF9" i="5"/>
  <c r="DE9" i="5"/>
  <c r="DD9" i="5"/>
  <c r="DC9" i="5"/>
  <c r="DB9" i="5"/>
  <c r="DA9" i="5"/>
  <c r="CZ9" i="5"/>
  <c r="CY9" i="5"/>
  <c r="CX9" i="5"/>
  <c r="CW9" i="5"/>
  <c r="CV9" i="5"/>
  <c r="CU9" i="5"/>
  <c r="CT9" i="5"/>
  <c r="CS9" i="5"/>
  <c r="CR9" i="5"/>
  <c r="CQ9" i="5"/>
  <c r="CP9" i="5"/>
  <c r="CO9" i="5"/>
  <c r="CN9" i="5"/>
  <c r="CM9" i="5"/>
  <c r="CL9" i="5"/>
  <c r="CI9" i="5"/>
  <c r="CH9" i="5"/>
  <c r="CG9" i="5"/>
  <c r="CF9" i="5"/>
  <c r="BU9" i="5"/>
  <c r="BT9" i="5"/>
  <c r="BQ9" i="5"/>
  <c r="BS9" i="5" s="1"/>
  <c r="CK9" i="5" s="1"/>
  <c r="BP9" i="5"/>
  <c r="BR9" i="5" s="1"/>
  <c r="CJ9" i="5" s="1"/>
  <c r="BG9" i="5"/>
  <c r="BI9" i="5" s="1"/>
  <c r="BF9" i="5"/>
  <c r="BH9" i="5" s="1"/>
  <c r="BJ9" i="5" s="1"/>
  <c r="BE9" i="5"/>
  <c r="DH8" i="5"/>
  <c r="DG8" i="5"/>
  <c r="DF8" i="5"/>
  <c r="DE8" i="5"/>
  <c r="DD8" i="5"/>
  <c r="DC8" i="5"/>
  <c r="DB8" i="5"/>
  <c r="DA8" i="5"/>
  <c r="CZ8" i="5"/>
  <c r="CY8" i="5"/>
  <c r="CX8" i="5"/>
  <c r="CW8" i="5"/>
  <c r="CV8" i="5"/>
  <c r="CU8" i="5"/>
  <c r="CT8" i="5"/>
  <c r="CS8" i="5"/>
  <c r="CR8" i="5"/>
  <c r="CQ8" i="5"/>
  <c r="CP8" i="5"/>
  <c r="CO8" i="5"/>
  <c r="CN8" i="5"/>
  <c r="CM8" i="5"/>
  <c r="CL8" i="5"/>
  <c r="CH8" i="5"/>
  <c r="CG8" i="5"/>
  <c r="CF8" i="5"/>
  <c r="BZ8" i="5"/>
  <c r="BV8" i="5"/>
  <c r="BU8" i="5"/>
  <c r="BT8" i="5"/>
  <c r="BR8" i="5"/>
  <c r="CJ8" i="5" s="1"/>
  <c r="BQ8" i="5"/>
  <c r="CI8" i="5" s="1"/>
  <c r="BP8" i="5"/>
  <c r="BJ8" i="5"/>
  <c r="BL8" i="5" s="1"/>
  <c r="BG8" i="5"/>
  <c r="BI8" i="5" s="1"/>
  <c r="BF8" i="5"/>
  <c r="BH8" i="5" s="1"/>
  <c r="BX8" i="5" s="1"/>
  <c r="BE8" i="5"/>
  <c r="DH7" i="5"/>
  <c r="DG7" i="5"/>
  <c r="DF7" i="5"/>
  <c r="DE7" i="5"/>
  <c r="DD7" i="5"/>
  <c r="DC7" i="5"/>
  <c r="DB7" i="5"/>
  <c r="DA7" i="5"/>
  <c r="CZ7" i="5"/>
  <c r="CY7" i="5"/>
  <c r="CX7" i="5"/>
  <c r="CW7" i="5"/>
  <c r="CV7" i="5"/>
  <c r="CU7" i="5"/>
  <c r="CT7" i="5"/>
  <c r="CS7" i="5"/>
  <c r="CR7" i="5"/>
  <c r="CQ7" i="5"/>
  <c r="CP7" i="5"/>
  <c r="CO7" i="5"/>
  <c r="CN7" i="5"/>
  <c r="CM7" i="5"/>
  <c r="CL7" i="5"/>
  <c r="CH7" i="5"/>
  <c r="CG7" i="5"/>
  <c r="CF7" i="5"/>
  <c r="BV7" i="5"/>
  <c r="BU7" i="5"/>
  <c r="BT7" i="5"/>
  <c r="BR7" i="5"/>
  <c r="CJ7" i="5" s="1"/>
  <c r="BQ7" i="5"/>
  <c r="CI7" i="5" s="1"/>
  <c r="BP7" i="5"/>
  <c r="BJ7" i="5"/>
  <c r="BL7" i="5" s="1"/>
  <c r="BN7" i="5" s="1"/>
  <c r="CD7" i="5" s="1"/>
  <c r="BH7" i="5"/>
  <c r="BX7" i="5" s="1"/>
  <c r="BG7" i="5"/>
  <c r="BW7" i="5" s="1"/>
  <c r="BF7" i="5"/>
  <c r="BE7" i="5"/>
  <c r="DH6" i="5"/>
  <c r="DG6" i="5"/>
  <c r="DF6" i="5"/>
  <c r="DE6" i="5"/>
  <c r="DD6" i="5"/>
  <c r="DC6" i="5"/>
  <c r="DB6" i="5"/>
  <c r="DA6" i="5"/>
  <c r="CZ6" i="5"/>
  <c r="CY6" i="5"/>
  <c r="CX6" i="5"/>
  <c r="CW6" i="5"/>
  <c r="CV6" i="5"/>
  <c r="CU6" i="5"/>
  <c r="CT6" i="5"/>
  <c r="CS6" i="5"/>
  <c r="CR6" i="5"/>
  <c r="CQ6" i="5"/>
  <c r="CP6" i="5"/>
  <c r="CO6" i="5"/>
  <c r="CN6" i="5"/>
  <c r="CM6" i="5"/>
  <c r="CL6" i="5"/>
  <c r="CJ6" i="5"/>
  <c r="CI6" i="5"/>
  <c r="CG6" i="5"/>
  <c r="CF6" i="5"/>
  <c r="BY6" i="5"/>
  <c r="BX6" i="5"/>
  <c r="BW6" i="5"/>
  <c r="BU6" i="5"/>
  <c r="BT6" i="5"/>
  <c r="BR6" i="5"/>
  <c r="BQ6" i="5"/>
  <c r="BS6" i="5" s="1"/>
  <c r="CK6" i="5" s="1"/>
  <c r="BP6" i="5"/>
  <c r="CH6" i="5" s="1"/>
  <c r="BK6" i="5"/>
  <c r="BM6" i="5" s="1"/>
  <c r="BG6" i="5"/>
  <c r="BI6" i="5" s="1"/>
  <c r="BF6" i="5"/>
  <c r="BH6" i="5" s="1"/>
  <c r="BJ6" i="5" s="1"/>
  <c r="BE6" i="5"/>
  <c r="DH5" i="5"/>
  <c r="DG5" i="5"/>
  <c r="DF5" i="5"/>
  <c r="DE5" i="5"/>
  <c r="DD5" i="5"/>
  <c r="DC5" i="5"/>
  <c r="DB5" i="5"/>
  <c r="DA5" i="5"/>
  <c r="CZ5" i="5"/>
  <c r="CY5" i="5"/>
  <c r="CX5" i="5"/>
  <c r="CW5" i="5"/>
  <c r="CV5" i="5"/>
  <c r="CU5" i="5"/>
  <c r="CT5" i="5"/>
  <c r="CS5" i="5"/>
  <c r="CR5" i="5"/>
  <c r="CQ5" i="5"/>
  <c r="CP5" i="5"/>
  <c r="CO5" i="5"/>
  <c r="CN5" i="5"/>
  <c r="CM5" i="5"/>
  <c r="CL5" i="5"/>
  <c r="CJ5" i="5"/>
  <c r="CH5" i="5"/>
  <c r="CG5" i="5"/>
  <c r="CF5" i="5"/>
  <c r="BU5" i="5"/>
  <c r="BT5" i="5"/>
  <c r="BR5" i="5"/>
  <c r="BQ5" i="5"/>
  <c r="CI5" i="5" s="1"/>
  <c r="BP5" i="5"/>
  <c r="BI5" i="5"/>
  <c r="BY5" i="5" s="1"/>
  <c r="BG5" i="5"/>
  <c r="BW5" i="5" s="1"/>
  <c r="BF5" i="5"/>
  <c r="BV5" i="5" s="1"/>
  <c r="BE5" i="5"/>
  <c r="DH4" i="5"/>
  <c r="DG4" i="5"/>
  <c r="DF4" i="5"/>
  <c r="DE4" i="5"/>
  <c r="DD4" i="5"/>
  <c r="DC4" i="5"/>
  <c r="DB4" i="5"/>
  <c r="DA4" i="5"/>
  <c r="CZ4" i="5"/>
  <c r="CY4" i="5"/>
  <c r="CX4" i="5"/>
  <c r="CW4" i="5"/>
  <c r="CV4" i="5"/>
  <c r="CU4" i="5"/>
  <c r="CT4" i="5"/>
  <c r="CS4" i="5"/>
  <c r="CR4" i="5"/>
  <c r="CQ4" i="5"/>
  <c r="CP4" i="5"/>
  <c r="CO4" i="5"/>
  <c r="CN4" i="5"/>
  <c r="CM4" i="5"/>
  <c r="CL4" i="5"/>
  <c r="CI4" i="5"/>
  <c r="CG4" i="5"/>
  <c r="CF4" i="5"/>
  <c r="BU4" i="5"/>
  <c r="BT4" i="5"/>
  <c r="BS4" i="5"/>
  <c r="CK4" i="5" s="1"/>
  <c r="BQ4" i="5"/>
  <c r="BP4" i="5"/>
  <c r="CH4" i="5" s="1"/>
  <c r="BG4" i="5"/>
  <c r="BW4" i="5" s="1"/>
  <c r="BF4" i="5"/>
  <c r="BH4" i="5" s="1"/>
  <c r="BX4" i="5" s="1"/>
  <c r="BE4" i="5"/>
  <c r="DH3" i="5"/>
  <c r="DG3" i="5"/>
  <c r="DF3" i="5"/>
  <c r="DE3" i="5"/>
  <c r="DD3" i="5"/>
  <c r="DC3" i="5"/>
  <c r="DB3" i="5"/>
  <c r="DA3" i="5"/>
  <c r="CZ3" i="5"/>
  <c r="CY3" i="5"/>
  <c r="CX3" i="5"/>
  <c r="CW3" i="5"/>
  <c r="CV3" i="5"/>
  <c r="CU3" i="5"/>
  <c r="CT3" i="5"/>
  <c r="CS3" i="5"/>
  <c r="CR3" i="5"/>
  <c r="CQ3" i="5"/>
  <c r="CP3" i="5"/>
  <c r="CO3" i="5"/>
  <c r="CN3" i="5"/>
  <c r="CM3" i="5"/>
  <c r="CL3" i="5"/>
  <c r="CK3" i="5"/>
  <c r="CH3" i="5"/>
  <c r="CG3" i="5"/>
  <c r="CF3" i="5"/>
  <c r="BY3" i="5"/>
  <c r="BX3" i="5"/>
  <c r="BU3" i="5"/>
  <c r="BT3" i="5"/>
  <c r="BS3" i="5"/>
  <c r="BR3" i="5"/>
  <c r="CJ3" i="5" s="1"/>
  <c r="BQ3" i="5"/>
  <c r="CI3" i="5" s="1"/>
  <c r="BP3" i="5"/>
  <c r="BI3" i="5"/>
  <c r="BK3" i="5" s="1"/>
  <c r="BG3" i="5"/>
  <c r="BW3" i="5" s="1"/>
  <c r="BF3" i="5"/>
  <c r="BH3" i="5" s="1"/>
  <c r="BJ3" i="5" s="1"/>
  <c r="BE3" i="5"/>
  <c r="DH2" i="5"/>
  <c r="DG2" i="5"/>
  <c r="DF2" i="5"/>
  <c r="DE2" i="5"/>
  <c r="DD2" i="5"/>
  <c r="DC2" i="5"/>
  <c r="DB2" i="5"/>
  <c r="DA2" i="5"/>
  <c r="CZ2" i="5"/>
  <c r="CY2" i="5"/>
  <c r="CX2" i="5"/>
  <c r="CW2" i="5"/>
  <c r="CV2" i="5"/>
  <c r="CU2" i="5"/>
  <c r="CT2" i="5"/>
  <c r="CS2" i="5"/>
  <c r="CR2" i="5"/>
  <c r="CQ2" i="5"/>
  <c r="CP2" i="5"/>
  <c r="CO2" i="5"/>
  <c r="CN2" i="5"/>
  <c r="CM2" i="5"/>
  <c r="CL2" i="5"/>
  <c r="CH2" i="5"/>
  <c r="CG2" i="5"/>
  <c r="CF2" i="5"/>
  <c r="BZ2" i="5"/>
  <c r="BX2" i="5"/>
  <c r="BU2" i="5"/>
  <c r="BT2" i="5"/>
  <c r="BR2" i="5"/>
  <c r="CJ2" i="5" s="1"/>
  <c r="BQ2" i="5"/>
  <c r="CI2" i="5" s="1"/>
  <c r="BP2" i="5"/>
  <c r="BH2" i="5"/>
  <c r="BJ2" i="5" s="1"/>
  <c r="BL2" i="5" s="1"/>
  <c r="BG2" i="5"/>
  <c r="BW2" i="5" s="1"/>
  <c r="BF2" i="5"/>
  <c r="BV2" i="5" s="1"/>
  <c r="BE2" i="5"/>
  <c r="G2" i="5"/>
  <c r="CZ525" i="1" l="1"/>
  <c r="DG525" i="1"/>
  <c r="CP525" i="1"/>
  <c r="CW525" i="1"/>
  <c r="CN525" i="1"/>
  <c r="CU525" i="1"/>
  <c r="CO525" i="1"/>
  <c r="DF525" i="1"/>
  <c r="CY525" i="1"/>
  <c r="CT525" i="1"/>
  <c r="CM525" i="1"/>
  <c r="DA525" i="1"/>
  <c r="CX525" i="1"/>
  <c r="DE525" i="1"/>
  <c r="CR525" i="1"/>
  <c r="CL525" i="1"/>
  <c r="CS525" i="1"/>
  <c r="U526" i="1"/>
  <c r="KI527" i="1" s="1" a="1"/>
  <c r="KI527" i="1" s="1"/>
  <c r="DD525" i="1"/>
  <c r="BE525" i="1"/>
  <c r="DC525" i="1"/>
  <c r="CV525" i="1"/>
  <c r="DB525" i="1"/>
  <c r="DH525" i="1"/>
  <c r="CQ525" i="1"/>
  <c r="X395" i="1"/>
  <c r="X396" i="1" s="1"/>
  <c r="X398" i="1" s="1"/>
  <c r="X399" i="1" s="1"/>
  <c r="X401" i="1" s="1"/>
  <c r="X402" i="1" s="1"/>
  <c r="DH497" i="1"/>
  <c r="U498" i="1"/>
  <c r="CS497" i="1"/>
  <c r="CR497" i="1"/>
  <c r="DE497" i="1"/>
  <c r="CQ497" i="1"/>
  <c r="DD497" i="1"/>
  <c r="CP497" i="1"/>
  <c r="DA497" i="1"/>
  <c r="CO497" i="1"/>
  <c r="CZ497" i="1"/>
  <c r="CN497" i="1"/>
  <c r="CY497" i="1"/>
  <c r="CM497" i="1"/>
  <c r="CX497" i="1"/>
  <c r="CL497" i="1"/>
  <c r="CW497" i="1"/>
  <c r="BE497" i="1"/>
  <c r="CV497" i="1"/>
  <c r="CU497" i="1"/>
  <c r="CT497" i="1"/>
  <c r="DB497" i="1"/>
  <c r="DC497" i="1"/>
  <c r="DF497" i="1"/>
  <c r="DG497" i="1"/>
  <c r="X351" i="1"/>
  <c r="X357" i="1" s="1"/>
  <c r="LQ323" i="1"/>
  <c r="CA19" i="5"/>
  <c r="BM19" i="5"/>
  <c r="BK8" i="5"/>
  <c r="BY8" i="5"/>
  <c r="BZ9" i="5"/>
  <c r="BL9" i="5"/>
  <c r="CB26" i="5"/>
  <c r="BN26" i="5"/>
  <c r="CD26" i="5" s="1"/>
  <c r="AB43" i="5"/>
  <c r="HH43" i="5" s="1"/>
  <c r="AA43" i="5"/>
  <c r="HG43" i="5" s="1"/>
  <c r="BJ11" i="5"/>
  <c r="BX11" i="5"/>
  <c r="CB8" i="5"/>
  <c r="BN8" i="5"/>
  <c r="CD8" i="5" s="1"/>
  <c r="BK9" i="5"/>
  <c r="BY9" i="5"/>
  <c r="HN43" i="5"/>
  <c r="GZ43" i="5"/>
  <c r="HD44" i="5"/>
  <c r="HT44" i="5" s="1"/>
  <c r="HR44" i="5"/>
  <c r="BL3" i="5"/>
  <c r="BZ3" i="5"/>
  <c r="CB2" i="5"/>
  <c r="BN2" i="5"/>
  <c r="CD2" i="5" s="1"/>
  <c r="BZ6" i="5"/>
  <c r="BL6" i="5"/>
  <c r="CA24" i="5"/>
  <c r="BM24" i="5"/>
  <c r="CB30" i="5"/>
  <c r="BN30" i="5"/>
  <c r="CD30" i="5" s="1"/>
  <c r="BM3" i="5"/>
  <c r="CA3" i="5"/>
  <c r="BO6" i="5"/>
  <c r="CE6" i="5" s="1"/>
  <c r="CC6" i="5"/>
  <c r="BY15" i="5"/>
  <c r="BK15" i="5"/>
  <c r="HC45" i="5"/>
  <c r="HS45" i="5" s="1"/>
  <c r="HQ45" i="5"/>
  <c r="CC32" i="5"/>
  <c r="BJ14" i="5"/>
  <c r="BH23" i="5"/>
  <c r="EU42" i="5"/>
  <c r="FC42" i="5" s="1"/>
  <c r="BX9" i="5"/>
  <c r="CH15" i="5"/>
  <c r="BJ20" i="5"/>
  <c r="BV20" i="5"/>
  <c r="BX26" i="5"/>
  <c r="BW29" i="5"/>
  <c r="BI29" i="5"/>
  <c r="CB7" i="5"/>
  <c r="BJ10" i="5"/>
  <c r="BS11" i="5"/>
  <c r="CK11" i="5" s="1"/>
  <c r="BN12" i="5"/>
  <c r="CD12" i="5" s="1"/>
  <c r="BH13" i="5"/>
  <c r="BV16" i="5"/>
  <c r="BM25" i="5"/>
  <c r="BK28" i="5"/>
  <c r="BH32" i="5"/>
  <c r="HO43" i="5"/>
  <c r="HP44" i="5"/>
  <c r="BV3" i="5"/>
  <c r="BW8" i="5"/>
  <c r="BJ16" i="5"/>
  <c r="BR4" i="5"/>
  <c r="CJ4" i="5" s="1"/>
  <c r="BV6" i="5"/>
  <c r="BK16" i="5"/>
  <c r="BH17" i="5"/>
  <c r="BI21" i="5"/>
  <c r="BS23" i="5"/>
  <c r="CK23" i="5" s="1"/>
  <c r="BR24" i="5"/>
  <c r="CJ24" i="5" s="1"/>
  <c r="BM31" i="5"/>
  <c r="BJ33" i="5"/>
  <c r="IM46" i="5"/>
  <c r="IA46" i="5"/>
  <c r="IP46" i="5"/>
  <c r="IC46" i="5"/>
  <c r="IH46" i="5"/>
  <c r="IF46" i="5"/>
  <c r="ID46" i="5"/>
  <c r="IO46" i="5"/>
  <c r="GT46" i="5"/>
  <c r="IN46" i="5"/>
  <c r="IJ46" i="5"/>
  <c r="II46" i="5"/>
  <c r="IK46" i="5"/>
  <c r="HN47" i="5"/>
  <c r="GZ47" i="5"/>
  <c r="HM50" i="5"/>
  <c r="HN49" i="5"/>
  <c r="GZ49" i="5"/>
  <c r="HR51" i="5"/>
  <c r="GY53" i="5"/>
  <c r="HM53" i="5"/>
  <c r="GZ45" i="5"/>
  <c r="HC50" i="5"/>
  <c r="HS50" i="5" s="1"/>
  <c r="HQ50" i="5"/>
  <c r="HN53" i="5"/>
  <c r="GZ53" i="5"/>
  <c r="BS2" i="5"/>
  <c r="CK2" i="5" s="1"/>
  <c r="BI4" i="5"/>
  <c r="BV4" i="5"/>
  <c r="BW9" i="5"/>
  <c r="BK14" i="5"/>
  <c r="BS15" i="5"/>
  <c r="CK15" i="5" s="1"/>
  <c r="BM17" i="5"/>
  <c r="BL18" i="5"/>
  <c r="BK22" i="5"/>
  <c r="BK23" i="5"/>
  <c r="BY23" i="5"/>
  <c r="BS26" i="5"/>
  <c r="CK26" i="5" s="1"/>
  <c r="BS27" i="5"/>
  <c r="CK27" i="5" s="1"/>
  <c r="CH27" i="5"/>
  <c r="BR28" i="5"/>
  <c r="CJ28" i="5" s="1"/>
  <c r="BS29" i="5"/>
  <c r="CK29" i="5" s="1"/>
  <c r="CH29" i="5"/>
  <c r="EV42" i="5"/>
  <c r="FD42" i="5" s="1"/>
  <c r="U47" i="5"/>
  <c r="HM48" i="5"/>
  <c r="HN50" i="5"/>
  <c r="GZ50" i="5"/>
  <c r="BW19" i="5"/>
  <c r="BY24" i="5"/>
  <c r="BV28" i="5"/>
  <c r="BH28" i="5"/>
  <c r="CH31" i="5"/>
  <c r="GY46" i="5"/>
  <c r="HN48" i="5"/>
  <c r="GZ48" i="5"/>
  <c r="HO49" i="5"/>
  <c r="HA49" i="5"/>
  <c r="BY17" i="5"/>
  <c r="BS7" i="5"/>
  <c r="CK7" i="5" s="1"/>
  <c r="BJ22" i="5"/>
  <c r="CH30" i="5"/>
  <c r="BJ4" i="5"/>
  <c r="BS5" i="5"/>
  <c r="CK5" i="5" s="1"/>
  <c r="CA6" i="5"/>
  <c r="BR10" i="5"/>
  <c r="CJ10" i="5" s="1"/>
  <c r="BS20" i="5"/>
  <c r="CK20" i="5" s="1"/>
  <c r="BX24" i="5"/>
  <c r="BJ24" i="5"/>
  <c r="BR33" i="5"/>
  <c r="CJ33" i="5" s="1"/>
  <c r="HO48" i="5"/>
  <c r="HB52" i="5"/>
  <c r="HP52" i="5"/>
  <c r="BI2" i="5"/>
  <c r="BH5" i="5"/>
  <c r="BI7" i="5"/>
  <c r="BS8" i="5"/>
  <c r="CK8" i="5" s="1"/>
  <c r="BK12" i="5"/>
  <c r="BS13" i="5"/>
  <c r="CK13" i="5" s="1"/>
  <c r="BV15" i="5"/>
  <c r="BH19" i="5"/>
  <c r="BY19" i="5"/>
  <c r="BI20" i="5"/>
  <c r="BR21" i="5"/>
  <c r="CJ21" i="5" s="1"/>
  <c r="FA40" i="5"/>
  <c r="HP46" i="5"/>
  <c r="HB46" i="5"/>
  <c r="HK51" i="5"/>
  <c r="GW51" i="5"/>
  <c r="BV9" i="5"/>
  <c r="BK11" i="5"/>
  <c r="BW18" i="5"/>
  <c r="BS19" i="5"/>
  <c r="CK19" i="5" s="1"/>
  <c r="CI25" i="5"/>
  <c r="BX30" i="5"/>
  <c r="FB36" i="5"/>
  <c r="FB40" i="5"/>
  <c r="HN44" i="5"/>
  <c r="HC48" i="5"/>
  <c r="HS48" i="5" s="1"/>
  <c r="BZ7" i="5"/>
  <c r="BI10" i="5"/>
  <c r="BS22" i="5"/>
  <c r="CK22" i="5" s="1"/>
  <c r="CI22" i="5"/>
  <c r="BL25" i="5"/>
  <c r="BI26" i="5"/>
  <c r="BZ26" i="5"/>
  <c r="BJ27" i="5"/>
  <c r="BH29" i="5"/>
  <c r="BI30" i="5"/>
  <c r="BX31" i="5"/>
  <c r="HM44" i="5"/>
  <c r="GY44" i="5"/>
  <c r="HM49" i="5"/>
  <c r="HM47" i="5"/>
  <c r="HC54" i="5"/>
  <c r="HS54" i="5" s="1"/>
  <c r="HQ54" i="5"/>
  <c r="BK18" i="5"/>
  <c r="CI12" i="5"/>
  <c r="BJ15" i="5"/>
  <c r="BK5" i="5"/>
  <c r="BH21" i="5"/>
  <c r="BV21" i="5"/>
  <c r="BZ30" i="5"/>
  <c r="BW33" i="5"/>
  <c r="BI33" i="5"/>
  <c r="BY13" i="5"/>
  <c r="BK13" i="5"/>
  <c r="BM27" i="5"/>
  <c r="BL31" i="5"/>
  <c r="BY32" i="5"/>
  <c r="HA47" i="5"/>
  <c r="HO47" i="5"/>
  <c r="HK55" i="5"/>
  <c r="GW55" i="5"/>
  <c r="HM52" i="5"/>
  <c r="HN54" i="5"/>
  <c r="GZ54" i="5"/>
  <c r="HM45" i="5"/>
  <c r="HO52" i="5"/>
  <c r="HA52" i="5"/>
  <c r="X45" i="5"/>
  <c r="II45" i="5"/>
  <c r="IP45" i="5"/>
  <c r="IC45" i="5"/>
  <c r="IH45" i="5"/>
  <c r="IF45" i="5"/>
  <c r="IJ45" i="5"/>
  <c r="HL55" i="5"/>
  <c r="GX55" i="5"/>
  <c r="IQ44" i="5"/>
  <c r="IE44" i="5"/>
  <c r="IK44" i="5"/>
  <c r="LR173" i="5"/>
  <c r="LS173" i="5" s="1"/>
  <c r="NA180" i="5"/>
  <c r="LQ175" i="5"/>
  <c r="EU226" i="5"/>
  <c r="FC226" i="5" s="1"/>
  <c r="EU225" i="5"/>
  <c r="FC225" i="5" s="1"/>
  <c r="FA225" i="5"/>
  <c r="EV227" i="5"/>
  <c r="FD227" i="5" s="1"/>
  <c r="AL267" i="5"/>
  <c r="AK267" i="5"/>
  <c r="GV267" i="5"/>
  <c r="GU267" i="5"/>
  <c r="HI267" i="5"/>
  <c r="AC269" i="5"/>
  <c r="TZ300" i="5"/>
  <c r="UA299" i="5"/>
  <c r="UB299" i="5" s="1"/>
  <c r="AB304" i="5"/>
  <c r="KD304" i="5" s="1"/>
  <c r="AA304" i="5"/>
  <c r="KC304" i="5" s="1"/>
  <c r="Y316" i="1" a="1"/>
  <c r="Y316" i="1" s="1"/>
  <c r="X317" i="1"/>
  <c r="JZ317" i="1"/>
  <c r="JZ316" i="1"/>
  <c r="UA315" i="1"/>
  <c r="UA314" i="1"/>
  <c r="UA313" i="1"/>
  <c r="UA312" i="1"/>
  <c r="UA311" i="1"/>
  <c r="UA309" i="1"/>
  <c r="UA310" i="1"/>
  <c r="UA308" i="1"/>
  <c r="UB308" i="1"/>
  <c r="UB309" i="1" s="1"/>
  <c r="CV526" i="1" l="1"/>
  <c r="CO526" i="1"/>
  <c r="DG526" i="1"/>
  <c r="DB526" i="1"/>
  <c r="CZ526" i="1"/>
  <c r="DF526" i="1"/>
  <c r="CL526" i="1"/>
  <c r="CN526" i="1"/>
  <c r="CT526" i="1"/>
  <c r="CY526" i="1"/>
  <c r="DE526" i="1"/>
  <c r="DA526" i="1"/>
  <c r="CM526" i="1"/>
  <c r="CS526" i="1"/>
  <c r="CX526" i="1"/>
  <c r="CW526" i="1"/>
  <c r="CR526" i="1"/>
  <c r="CP526" i="1"/>
  <c r="BE526" i="1"/>
  <c r="DC526" i="1"/>
  <c r="CU526" i="1"/>
  <c r="DH526" i="1"/>
  <c r="CQ526" i="1"/>
  <c r="DD526" i="1"/>
  <c r="DH498" i="1"/>
  <c r="U499" i="1"/>
  <c r="DB498" i="1"/>
  <c r="CW498" i="1"/>
  <c r="CP498" i="1"/>
  <c r="CO498" i="1"/>
  <c r="CV498" i="1"/>
  <c r="DA498" i="1"/>
  <c r="CQ498" i="1"/>
  <c r="DC498" i="1"/>
  <c r="CR498" i="1"/>
  <c r="BE498" i="1"/>
  <c r="DG498" i="1"/>
  <c r="CX498" i="1"/>
  <c r="CS498" i="1"/>
  <c r="CL498" i="1"/>
  <c r="CU498" i="1"/>
  <c r="CM498" i="1"/>
  <c r="DE498" i="1"/>
  <c r="CY498" i="1"/>
  <c r="DD498" i="1"/>
  <c r="CN498" i="1"/>
  <c r="CT498" i="1"/>
  <c r="CZ498" i="1"/>
  <c r="DF498" i="1"/>
  <c r="X404" i="1"/>
  <c r="X405" i="1" s="1"/>
  <c r="X406" i="1" s="1"/>
  <c r="X407" i="1" s="1"/>
  <c r="X408" i="1" s="1"/>
  <c r="X409" i="1" s="1"/>
  <c r="X410" i="1" s="1"/>
  <c r="X411" i="1" s="1"/>
  <c r="X412" i="1" s="1"/>
  <c r="X413" i="1" s="1"/>
  <c r="X414" i="1" s="1"/>
  <c r="X415" i="1" s="1"/>
  <c r="X417" i="1" s="1"/>
  <c r="X418" i="1" s="1"/>
  <c r="X419" i="1" s="1"/>
  <c r="X420" i="1" s="1"/>
  <c r="X421" i="1" s="1"/>
  <c r="X423" i="1" s="1"/>
  <c r="X424" i="1" s="1"/>
  <c r="X425" i="1" s="1"/>
  <c r="X427" i="1" s="1"/>
  <c r="X428" i="1" s="1"/>
  <c r="X430" i="1" s="1"/>
  <c r="PZ430" i="1" s="1"/>
  <c r="X320" i="1"/>
  <c r="X322" i="1" s="1"/>
  <c r="X323" i="1" s="1"/>
  <c r="Y319" i="1" a="1"/>
  <c r="Y319" i="1" s="1"/>
  <c r="UC308" i="1"/>
  <c r="UD308" i="1" s="1"/>
  <c r="LQ324" i="1"/>
  <c r="LR324" i="1" s="1"/>
  <c r="LS324" i="1" s="1"/>
  <c r="LR323" i="1"/>
  <c r="LS323" i="1" s="1"/>
  <c r="UC309" i="1"/>
  <c r="UD309" i="1" s="1"/>
  <c r="UB310" i="1"/>
  <c r="GZ55" i="5"/>
  <c r="HN55" i="5"/>
  <c r="BK33" i="5"/>
  <c r="BY33" i="5"/>
  <c r="CA12" i="5"/>
  <c r="BM12" i="5"/>
  <c r="HO46" i="5"/>
  <c r="HA46" i="5"/>
  <c r="CC31" i="5"/>
  <c r="BO31" i="5"/>
  <c r="CE31" i="5" s="1"/>
  <c r="BZ11" i="5"/>
  <c r="BL11" i="5"/>
  <c r="AC270" i="5"/>
  <c r="HS269" i="5"/>
  <c r="HT269" i="5"/>
  <c r="BY10" i="5"/>
  <c r="BK10" i="5"/>
  <c r="GY51" i="5"/>
  <c r="HM51" i="5"/>
  <c r="CA14" i="5"/>
  <c r="BM14" i="5"/>
  <c r="HO53" i="5"/>
  <c r="HA53" i="5"/>
  <c r="BJ32" i="5"/>
  <c r="BX32" i="5"/>
  <c r="HA44" i="5"/>
  <c r="HO44" i="5"/>
  <c r="BK7" i="5"/>
  <c r="BY7" i="5"/>
  <c r="BJ28" i="5"/>
  <c r="BX28" i="5"/>
  <c r="CA28" i="5"/>
  <c r="BM28" i="5"/>
  <c r="BZ20" i="5"/>
  <c r="BL20" i="5"/>
  <c r="CB3" i="5"/>
  <c r="BN3" i="5"/>
  <c r="CD3" i="5" s="1"/>
  <c r="Z304" i="5" a="1"/>
  <c r="Z304" i="5" s="1"/>
  <c r="Y305" i="5" s="1" a="1"/>
  <c r="Y305" i="5" s="1"/>
  <c r="GY55" i="5"/>
  <c r="HM55" i="5"/>
  <c r="HD46" i="5"/>
  <c r="HT46" i="5" s="1"/>
  <c r="HR46" i="5"/>
  <c r="BX5" i="5"/>
  <c r="BJ5" i="5"/>
  <c r="BL4" i="5"/>
  <c r="BZ4" i="5"/>
  <c r="HB49" i="5"/>
  <c r="HP49" i="5"/>
  <c r="BY21" i="5"/>
  <c r="BK21" i="5"/>
  <c r="BO25" i="5"/>
  <c r="CE25" i="5" s="1"/>
  <c r="CC25" i="5"/>
  <c r="GW267" i="5"/>
  <c r="HK267" i="5"/>
  <c r="BJ21" i="5"/>
  <c r="BX21" i="5"/>
  <c r="BY2" i="5"/>
  <c r="BK2" i="5"/>
  <c r="BK4" i="5"/>
  <c r="BY4" i="5"/>
  <c r="BJ17" i="5"/>
  <c r="BX17" i="5"/>
  <c r="CC3" i="5"/>
  <c r="BO3" i="5"/>
  <c r="CE3" i="5" s="1"/>
  <c r="CA5" i="5"/>
  <c r="BM5" i="5"/>
  <c r="BK30" i="5"/>
  <c r="BY30" i="5"/>
  <c r="BZ22" i="5"/>
  <c r="BL22" i="5"/>
  <c r="BM16" i="5"/>
  <c r="CA16" i="5"/>
  <c r="BX13" i="5"/>
  <c r="BJ13" i="5"/>
  <c r="HP43" i="5"/>
  <c r="HB43" i="5"/>
  <c r="TZ301" i="5"/>
  <c r="UA300" i="5"/>
  <c r="UB300" i="5" s="1"/>
  <c r="HQ47" i="5"/>
  <c r="HC47" i="5"/>
  <c r="HS47" i="5" s="1"/>
  <c r="BL15" i="5"/>
  <c r="BZ15" i="5"/>
  <c r="BX29" i="5"/>
  <c r="BJ29" i="5"/>
  <c r="HR52" i="5"/>
  <c r="HD52" i="5"/>
  <c r="HT52" i="5" s="1"/>
  <c r="HB53" i="5"/>
  <c r="HP53" i="5"/>
  <c r="BJ23" i="5"/>
  <c r="BX23" i="5"/>
  <c r="BN9" i="5"/>
  <c r="CD9" i="5" s="1"/>
  <c r="CB9" i="5"/>
  <c r="LR175" i="5"/>
  <c r="LS175" i="5" s="1"/>
  <c r="LQ176" i="5"/>
  <c r="LR176" i="5" s="1"/>
  <c r="LS176" i="5" s="1"/>
  <c r="BZ27" i="5"/>
  <c r="BL27" i="5"/>
  <c r="BK20" i="5"/>
  <c r="BY20" i="5"/>
  <c r="HP47" i="5"/>
  <c r="HB47" i="5"/>
  <c r="BZ14" i="5"/>
  <c r="BL14" i="5"/>
  <c r="BO24" i="5"/>
  <c r="CE24" i="5" s="1"/>
  <c r="CC24" i="5"/>
  <c r="HU267" i="5"/>
  <c r="HE267" i="5"/>
  <c r="HW267" i="5" s="1"/>
  <c r="NH180" i="5"/>
  <c r="NC180" i="5"/>
  <c r="X46" i="5"/>
  <c r="HC52" i="5"/>
  <c r="HS52" i="5" s="1"/>
  <c r="HQ52" i="5"/>
  <c r="CB31" i="5"/>
  <c r="BN31" i="5"/>
  <c r="CD31" i="5" s="1"/>
  <c r="BM18" i="5"/>
  <c r="CA18" i="5"/>
  <c r="HC49" i="5"/>
  <c r="HS49" i="5" s="1"/>
  <c r="HQ49" i="5"/>
  <c r="HP50" i="5"/>
  <c r="HB50" i="5"/>
  <c r="CA23" i="5"/>
  <c r="BM23" i="5"/>
  <c r="BL16" i="5"/>
  <c r="BZ16" i="5"/>
  <c r="BL10" i="5"/>
  <c r="BZ10" i="5"/>
  <c r="CA9" i="5"/>
  <c r="BM9" i="5"/>
  <c r="HF267" i="5"/>
  <c r="HX267" i="5" s="1"/>
  <c r="HV267" i="5"/>
  <c r="BO27" i="5"/>
  <c r="CE27" i="5" s="1"/>
  <c r="CC27" i="5"/>
  <c r="BK26" i="5"/>
  <c r="BY26" i="5"/>
  <c r="BX19" i="5"/>
  <c r="BJ19" i="5"/>
  <c r="BZ24" i="5"/>
  <c r="BL24" i="5"/>
  <c r="BM22" i="5"/>
  <c r="CA22" i="5"/>
  <c r="CB6" i="5"/>
  <c r="BN6" i="5"/>
  <c r="CD6" i="5" s="1"/>
  <c r="CA8" i="5"/>
  <c r="BM8" i="5"/>
  <c r="HL267" i="5"/>
  <c r="GX267" i="5"/>
  <c r="CA13" i="5"/>
  <c r="BM13" i="5"/>
  <c r="CB25" i="5"/>
  <c r="BN25" i="5"/>
  <c r="CD25" i="5" s="1"/>
  <c r="HP48" i="5"/>
  <c r="HB48" i="5"/>
  <c r="CB18" i="5"/>
  <c r="BN18" i="5"/>
  <c r="CD18" i="5" s="1"/>
  <c r="HP45" i="5"/>
  <c r="HB45" i="5"/>
  <c r="BK29" i="5"/>
  <c r="BY29" i="5"/>
  <c r="BO19" i="5"/>
  <c r="CE19" i="5" s="1"/>
  <c r="CC19" i="5"/>
  <c r="HB54" i="5"/>
  <c r="HP54" i="5"/>
  <c r="BM11" i="5"/>
  <c r="CA11" i="5"/>
  <c r="IQ47" i="5"/>
  <c r="IE47" i="5"/>
  <c r="IN47" i="5"/>
  <c r="IA47" i="5"/>
  <c r="IG47" i="5"/>
  <c r="GT47" i="5"/>
  <c r="ID47" i="5"/>
  <c r="IM47" i="5"/>
  <c r="II47" i="5"/>
  <c r="IH47" i="5"/>
  <c r="IB47" i="5"/>
  <c r="U48" i="5"/>
  <c r="HZ47" i="5"/>
  <c r="IP47" i="5"/>
  <c r="IO47" i="5"/>
  <c r="IL47" i="5"/>
  <c r="IK47" i="5"/>
  <c r="IJ47" i="5"/>
  <c r="IF47" i="5"/>
  <c r="IC47" i="5"/>
  <c r="HY47" i="5"/>
  <c r="BO17" i="5"/>
  <c r="CE17" i="5" s="1"/>
  <c r="CC17" i="5"/>
  <c r="BZ33" i="5"/>
  <c r="BL33" i="5"/>
  <c r="BM15" i="5"/>
  <c r="CA15" i="5"/>
  <c r="UC307" i="1"/>
  <c r="UD307" i="1" s="1"/>
  <c r="UA307" i="1"/>
  <c r="GT281" i="1"/>
  <c r="RO430" i="1" l="1"/>
  <c r="RM430" i="1"/>
  <c r="RL430" i="1"/>
  <c r="RK430" i="1"/>
  <c r="RJ430" i="1"/>
  <c r="RI430" i="1"/>
  <c r="RT430" i="1"/>
  <c r="RS430" i="1"/>
  <c r="RR430" i="1"/>
  <c r="RQ430" i="1"/>
  <c r="RN430" i="1"/>
  <c r="RP430" i="1"/>
  <c r="X432" i="1"/>
  <c r="X433" i="1" s="1"/>
  <c r="X435" i="1" s="1"/>
  <c r="IQ499" i="1"/>
  <c r="U500" i="1"/>
  <c r="II499" i="1"/>
  <c r="IG499" i="1"/>
  <c r="IE499" i="1"/>
  <c r="IC499" i="1"/>
  <c r="IF499" i="1"/>
  <c r="IO499" i="1"/>
  <c r="IH499" i="1"/>
  <c r="GT499" i="1"/>
  <c r="IJ499" i="1"/>
  <c r="ID499" i="1"/>
  <c r="HY499" i="1"/>
  <c r="IP499" i="1"/>
  <c r="IN499" i="1"/>
  <c r="IK499" i="1"/>
  <c r="IB499" i="1"/>
  <c r="HZ499" i="1"/>
  <c r="IL499" i="1"/>
  <c r="IA499" i="1"/>
  <c r="IM499" i="1"/>
  <c r="Y426" i="1" a="1"/>
  <c r="Y426" i="1" s="1"/>
  <c r="AB319" i="1"/>
  <c r="AA319" i="1"/>
  <c r="X324" i="1"/>
  <c r="X328" i="1" s="1"/>
  <c r="UC310" i="1"/>
  <c r="UD310" i="1" s="1"/>
  <c r="UB311" i="1"/>
  <c r="CA2" i="5"/>
  <c r="BM2" i="5"/>
  <c r="HR54" i="5"/>
  <c r="HD54" i="5"/>
  <c r="HT54" i="5" s="1"/>
  <c r="CC22" i="5"/>
  <c r="BO22" i="5"/>
  <c r="CE22" i="5" s="1"/>
  <c r="CB15" i="5"/>
  <c r="BN15" i="5"/>
  <c r="CD15" i="5" s="1"/>
  <c r="CC9" i="5"/>
  <c r="BO9" i="5"/>
  <c r="CE9" i="5" s="1"/>
  <c r="CB22" i="5"/>
  <c r="BN22" i="5"/>
  <c r="CD22" i="5" s="1"/>
  <c r="BO13" i="5"/>
  <c r="CE13" i="5" s="1"/>
  <c r="CC13" i="5"/>
  <c r="CB24" i="5"/>
  <c r="BN24" i="5"/>
  <c r="CD24" i="5" s="1"/>
  <c r="X47" i="5"/>
  <c r="HR49" i="5"/>
  <c r="HD49" i="5"/>
  <c r="HT49" i="5" s="1"/>
  <c r="BL28" i="5"/>
  <c r="BZ28" i="5"/>
  <c r="CC18" i="5"/>
  <c r="BO18" i="5"/>
  <c r="CE18" i="5" s="1"/>
  <c r="CB14" i="5"/>
  <c r="BN14" i="5"/>
  <c r="CD14" i="5" s="1"/>
  <c r="CA30" i="5"/>
  <c r="BM30" i="5"/>
  <c r="BZ21" i="5"/>
  <c r="BL21" i="5"/>
  <c r="HA51" i="5"/>
  <c r="HO51" i="5"/>
  <c r="HC46" i="5"/>
  <c r="HQ46" i="5"/>
  <c r="CB4" i="5"/>
  <c r="BN4" i="5"/>
  <c r="CD4" i="5" s="1"/>
  <c r="CA7" i="5"/>
  <c r="BM7" i="5"/>
  <c r="CA10" i="5"/>
  <c r="BM10" i="5"/>
  <c r="BO12" i="5"/>
  <c r="CE12" i="5" s="1"/>
  <c r="CC12" i="5"/>
  <c r="BL19" i="5"/>
  <c r="BZ19" i="5"/>
  <c r="CA29" i="5"/>
  <c r="BM29" i="5"/>
  <c r="BL23" i="5"/>
  <c r="BZ23" i="5"/>
  <c r="BL5" i="5"/>
  <c r="BZ5" i="5"/>
  <c r="HN267" i="5"/>
  <c r="GZ267" i="5"/>
  <c r="HR43" i="5"/>
  <c r="Z43" i="5" s="1" a="1"/>
  <c r="Z43" i="5" s="1"/>
  <c r="Y44" i="5" s="1" a="1"/>
  <c r="Y44" i="5" s="1"/>
  <c r="HD43" i="5"/>
  <c r="HT43" i="5" s="1"/>
  <c r="HQ44" i="5"/>
  <c r="HC44" i="5"/>
  <c r="BO5" i="5"/>
  <c r="CE5" i="5" s="1"/>
  <c r="CC5" i="5"/>
  <c r="CB10" i="5"/>
  <c r="BN10" i="5"/>
  <c r="CD10" i="5" s="1"/>
  <c r="HD47" i="5"/>
  <c r="HT47" i="5" s="1"/>
  <c r="HR47" i="5"/>
  <c r="UA301" i="5"/>
  <c r="UB301" i="5" s="1"/>
  <c r="TZ302" i="5"/>
  <c r="HR45" i="5"/>
  <c r="HD45" i="5"/>
  <c r="HT45" i="5" s="1"/>
  <c r="CC15" i="5"/>
  <c r="BO15" i="5"/>
  <c r="CE15" i="5" s="1"/>
  <c r="BO8" i="5"/>
  <c r="CE8" i="5" s="1"/>
  <c r="CC8" i="5"/>
  <c r="CC23" i="5"/>
  <c r="BO23" i="5"/>
  <c r="CE23" i="5" s="1"/>
  <c r="CA20" i="5"/>
  <c r="BM20" i="5"/>
  <c r="GY267" i="5"/>
  <c r="HM267" i="5"/>
  <c r="CE270" i="5"/>
  <c r="CD270" i="5"/>
  <c r="AD271" i="5" a="1"/>
  <c r="AD271" i="5" s="1"/>
  <c r="CA33" i="5"/>
  <c r="BM33" i="5"/>
  <c r="BM26" i="5"/>
  <c r="CA26" i="5"/>
  <c r="BN16" i="5"/>
  <c r="CD16" i="5" s="1"/>
  <c r="CB16" i="5"/>
  <c r="HR53" i="5"/>
  <c r="HD53" i="5"/>
  <c r="HT53" i="5" s="1"/>
  <c r="BN33" i="5"/>
  <c r="CD33" i="5" s="1"/>
  <c r="CB33" i="5"/>
  <c r="BL13" i="5"/>
  <c r="BZ13" i="5"/>
  <c r="CB20" i="5"/>
  <c r="BN20" i="5"/>
  <c r="CD20" i="5" s="1"/>
  <c r="NI180" i="5"/>
  <c r="Z180" i="5" s="1" a="1"/>
  <c r="Z180" i="5" s="1"/>
  <c r="CB27" i="5"/>
  <c r="BN27" i="5"/>
  <c r="CD27" i="5" s="1"/>
  <c r="BL17" i="5"/>
  <c r="BZ17" i="5"/>
  <c r="BL32" i="5"/>
  <c r="BZ32" i="5"/>
  <c r="HR50" i="5"/>
  <c r="HD50" i="5"/>
  <c r="HT50" i="5" s="1"/>
  <c r="BL29" i="5"/>
  <c r="BZ29" i="5"/>
  <c r="HO55" i="5"/>
  <c r="HA55" i="5"/>
  <c r="BO28" i="5"/>
  <c r="CE28" i="5" s="1"/>
  <c r="CC28" i="5"/>
  <c r="HC53" i="5"/>
  <c r="HS53" i="5" s="1"/>
  <c r="HQ53" i="5"/>
  <c r="HB55" i="5"/>
  <c r="HP55" i="5"/>
  <c r="AB305" i="5"/>
  <c r="KD305" i="5" s="1"/>
  <c r="AA305" i="5"/>
  <c r="KC305" i="5" s="1"/>
  <c r="II48" i="5"/>
  <c r="IN48" i="5"/>
  <c r="IA48" i="5"/>
  <c r="IF48" i="5"/>
  <c r="IQ48" i="5"/>
  <c r="ID48" i="5"/>
  <c r="IH48" i="5"/>
  <c r="IB48" i="5"/>
  <c r="U49" i="5"/>
  <c r="HZ48" i="5"/>
  <c r="GT48" i="5"/>
  <c r="IM48" i="5"/>
  <c r="IL48" i="5"/>
  <c r="HY48" i="5"/>
  <c r="IE48" i="5"/>
  <c r="IO48" i="5"/>
  <c r="IP48" i="5"/>
  <c r="IK48" i="5"/>
  <c r="IJ48" i="5"/>
  <c r="IG48" i="5"/>
  <c r="IC48" i="5"/>
  <c r="HD48" i="5"/>
  <c r="HT48" i="5" s="1"/>
  <c r="HR48" i="5"/>
  <c r="CC11" i="5"/>
  <c r="BO11" i="5"/>
  <c r="CE11" i="5" s="1"/>
  <c r="BO16" i="5"/>
  <c r="CE16" i="5" s="1"/>
  <c r="CC16" i="5"/>
  <c r="CA4" i="5"/>
  <c r="BM4" i="5"/>
  <c r="CA21" i="5"/>
  <c r="BM21" i="5"/>
  <c r="CB11" i="5"/>
  <c r="BN11" i="5"/>
  <c r="CD11" i="5" s="1"/>
  <c r="BO14" i="5"/>
  <c r="CE14" i="5" s="1"/>
  <c r="CC14" i="5"/>
  <c r="HS267" i="1"/>
  <c r="HT267" i="1"/>
  <c r="HS271" i="1"/>
  <c r="HT271" i="1"/>
  <c r="HS275" i="1"/>
  <c r="HT275" i="1"/>
  <c r="HS279" i="1"/>
  <c r="HT279" i="1"/>
  <c r="MR287" i="1"/>
  <c r="MR288" i="1" s="1"/>
  <c r="MR289" i="1" s="1"/>
  <c r="MR290" i="1" s="1"/>
  <c r="MR291" i="1" s="1"/>
  <c r="MR292" i="1" s="1"/>
  <c r="MR293" i="1" s="1"/>
  <c r="MR294" i="1" s="1"/>
  <c r="MQ287" i="1"/>
  <c r="MQ288" i="1" s="1"/>
  <c r="MQ289" i="1" s="1"/>
  <c r="MQ290" i="1" s="1"/>
  <c r="MQ291" i="1" s="1"/>
  <c r="MQ292" i="1" s="1"/>
  <c r="MQ293" i="1" s="1"/>
  <c r="MQ294" i="1" s="1"/>
  <c r="MJ287" i="1"/>
  <c r="MJ288" i="1" s="1"/>
  <c r="MJ289" i="1" s="1"/>
  <c r="MJ290" i="1" s="1"/>
  <c r="MJ291" i="1" s="1"/>
  <c r="MJ292" i="1" s="1"/>
  <c r="MJ293" i="1" s="1"/>
  <c r="MJ294" i="1" s="1"/>
  <c r="MI287" i="1"/>
  <c r="MI288" i="1" s="1"/>
  <c r="MI289" i="1" s="1"/>
  <c r="MI290" i="1" s="1"/>
  <c r="MI291" i="1" s="1"/>
  <c r="MI292" i="1" s="1"/>
  <c r="MI293" i="1" s="1"/>
  <c r="MI294" i="1" s="1"/>
  <c r="MH287" i="1"/>
  <c r="MH288" i="1" s="1"/>
  <c r="MH289" i="1" s="1"/>
  <c r="MH290" i="1" s="1"/>
  <c r="MH291" i="1" s="1"/>
  <c r="MH292" i="1" s="1"/>
  <c r="MH293" i="1" s="1"/>
  <c r="MH294" i="1" s="1"/>
  <c r="MG287" i="1"/>
  <c r="MG288" i="1" s="1"/>
  <c r="MG289" i="1" s="1"/>
  <c r="MG290" i="1" s="1"/>
  <c r="MG291" i="1" s="1"/>
  <c r="MG292" i="1" s="1"/>
  <c r="MG293" i="1" s="1"/>
  <c r="MG294" i="1" s="1"/>
  <c r="MF287" i="1"/>
  <c r="MF288" i="1" s="1"/>
  <c r="MF289" i="1" s="1"/>
  <c r="MF290" i="1" s="1"/>
  <c r="MF291" i="1" s="1"/>
  <c r="MF292" i="1" s="1"/>
  <c r="MF293" i="1" s="1"/>
  <c r="MF294" i="1" s="1"/>
  <c r="ME287" i="1"/>
  <c r="ME288" i="1" s="1"/>
  <c r="ME289" i="1" s="1"/>
  <c r="ME290" i="1" s="1"/>
  <c r="ME291" i="1" s="1"/>
  <c r="ME292" i="1" s="1"/>
  <c r="ME293" i="1" s="1"/>
  <c r="ME294" i="1" s="1"/>
  <c r="MD287" i="1"/>
  <c r="MD288" i="1" s="1"/>
  <c r="MD289" i="1" s="1"/>
  <c r="MD290" i="1" s="1"/>
  <c r="MD291" i="1" s="1"/>
  <c r="MD292" i="1" s="1"/>
  <c r="MD293" i="1" s="1"/>
  <c r="MD294" i="1" s="1"/>
  <c r="MC287" i="1"/>
  <c r="MC288" i="1" s="1"/>
  <c r="MC289" i="1" s="1"/>
  <c r="MC290" i="1" s="1"/>
  <c r="MC291" i="1" s="1"/>
  <c r="MC292" i="1" s="1"/>
  <c r="MC293" i="1" s="1"/>
  <c r="MC294" i="1" s="1"/>
  <c r="BE285" i="1"/>
  <c r="CL285" i="1"/>
  <c r="CM285" i="1"/>
  <c r="CN285" i="1"/>
  <c r="CO285" i="1"/>
  <c r="CP285" i="1"/>
  <c r="CQ285" i="1"/>
  <c r="CR285" i="1"/>
  <c r="CS285" i="1"/>
  <c r="CT285" i="1"/>
  <c r="CU285" i="1"/>
  <c r="CV285" i="1"/>
  <c r="CW285" i="1"/>
  <c r="CX285" i="1"/>
  <c r="CY285" i="1"/>
  <c r="CZ285" i="1"/>
  <c r="DA285" i="1"/>
  <c r="DB285" i="1"/>
  <c r="DC285" i="1"/>
  <c r="DD285" i="1"/>
  <c r="DE285" i="1"/>
  <c r="DF285" i="1"/>
  <c r="DG285" i="1"/>
  <c r="DH285" i="1"/>
  <c r="BE284" i="1"/>
  <c r="CL284" i="1"/>
  <c r="CM284" i="1"/>
  <c r="CN284" i="1"/>
  <c r="CO284" i="1"/>
  <c r="CP284" i="1"/>
  <c r="CQ284" i="1"/>
  <c r="CR284" i="1"/>
  <c r="CS284" i="1"/>
  <c r="CT284" i="1"/>
  <c r="CU284" i="1"/>
  <c r="CV284" i="1"/>
  <c r="CW284" i="1"/>
  <c r="CX284" i="1"/>
  <c r="CY284" i="1"/>
  <c r="CZ284" i="1"/>
  <c r="DA284" i="1"/>
  <c r="DB284" i="1"/>
  <c r="DC284" i="1"/>
  <c r="DD284" i="1"/>
  <c r="DE284" i="1"/>
  <c r="DF284" i="1"/>
  <c r="DG284" i="1"/>
  <c r="DH284" i="1"/>
  <c r="DH283" i="1"/>
  <c r="DG283" i="1"/>
  <c r="DF283" i="1"/>
  <c r="DE283" i="1"/>
  <c r="DD283" i="1"/>
  <c r="DC283" i="1"/>
  <c r="DB283" i="1"/>
  <c r="DA283" i="1"/>
  <c r="CZ283" i="1"/>
  <c r="CY283" i="1"/>
  <c r="CX283" i="1"/>
  <c r="CW283" i="1"/>
  <c r="CV283" i="1"/>
  <c r="CU283" i="1"/>
  <c r="CT283" i="1"/>
  <c r="CS283" i="1"/>
  <c r="CR283" i="1"/>
  <c r="CQ283" i="1"/>
  <c r="CP283" i="1"/>
  <c r="CO283" i="1"/>
  <c r="CN283" i="1"/>
  <c r="CM283" i="1"/>
  <c r="CL283" i="1"/>
  <c r="BE283" i="1"/>
  <c r="GT269" i="1"/>
  <c r="HY269" i="1"/>
  <c r="HZ269" i="1"/>
  <c r="IA269" i="1"/>
  <c r="IB269" i="1"/>
  <c r="IC269" i="1"/>
  <c r="ID269" i="1"/>
  <c r="IE269" i="1"/>
  <c r="IF269" i="1"/>
  <c r="IG269" i="1"/>
  <c r="IH269" i="1"/>
  <c r="II269" i="1"/>
  <c r="IJ269" i="1"/>
  <c r="IK269" i="1"/>
  <c r="IL269" i="1"/>
  <c r="IM269" i="1"/>
  <c r="IN269" i="1"/>
  <c r="IO269" i="1"/>
  <c r="IP269" i="1"/>
  <c r="IQ269" i="1"/>
  <c r="BE270" i="1"/>
  <c r="CL270" i="1"/>
  <c r="CM270" i="1"/>
  <c r="CN270" i="1"/>
  <c r="CO270" i="1"/>
  <c r="CP270" i="1"/>
  <c r="CQ270" i="1"/>
  <c r="CR270" i="1"/>
  <c r="CS270" i="1"/>
  <c r="CT270" i="1"/>
  <c r="CU270" i="1"/>
  <c r="CV270" i="1"/>
  <c r="CW270" i="1"/>
  <c r="CX270" i="1"/>
  <c r="CY270" i="1"/>
  <c r="CZ270" i="1"/>
  <c r="DA270" i="1"/>
  <c r="DB270" i="1"/>
  <c r="DC270" i="1"/>
  <c r="DD270" i="1"/>
  <c r="DE270" i="1"/>
  <c r="DF270" i="1"/>
  <c r="DG270" i="1"/>
  <c r="DH270" i="1"/>
  <c r="GT271" i="1"/>
  <c r="HY271" i="1"/>
  <c r="HZ271" i="1"/>
  <c r="IA271" i="1"/>
  <c r="IB271" i="1"/>
  <c r="IC271" i="1"/>
  <c r="ID271" i="1"/>
  <c r="IE271" i="1"/>
  <c r="IF271" i="1"/>
  <c r="IG271" i="1"/>
  <c r="IH271" i="1"/>
  <c r="II271" i="1"/>
  <c r="IJ271" i="1"/>
  <c r="IK271" i="1"/>
  <c r="IL271" i="1"/>
  <c r="IM271" i="1"/>
  <c r="IN271" i="1"/>
  <c r="IO271" i="1"/>
  <c r="IP271" i="1"/>
  <c r="IQ271" i="1"/>
  <c r="BE272" i="1"/>
  <c r="CL272" i="1"/>
  <c r="CM272" i="1"/>
  <c r="CN272" i="1"/>
  <c r="CO272" i="1"/>
  <c r="CP272" i="1"/>
  <c r="CQ272" i="1"/>
  <c r="CR272" i="1"/>
  <c r="CS272" i="1"/>
  <c r="CT272" i="1"/>
  <c r="CU272" i="1"/>
  <c r="CV272" i="1"/>
  <c r="CW272" i="1"/>
  <c r="CX272" i="1"/>
  <c r="CY272" i="1"/>
  <c r="CZ272" i="1"/>
  <c r="DA272" i="1"/>
  <c r="DB272" i="1"/>
  <c r="DC272" i="1"/>
  <c r="DD272" i="1"/>
  <c r="DE272" i="1"/>
  <c r="DF272" i="1"/>
  <c r="DG272" i="1"/>
  <c r="DH272" i="1"/>
  <c r="GT273" i="1"/>
  <c r="HY273" i="1"/>
  <c r="HZ273" i="1"/>
  <c r="IA273" i="1"/>
  <c r="IB273" i="1"/>
  <c r="IC273" i="1"/>
  <c r="ID273" i="1"/>
  <c r="IE273" i="1"/>
  <c r="IF273" i="1"/>
  <c r="IG273" i="1"/>
  <c r="IH273" i="1"/>
  <c r="II273" i="1"/>
  <c r="IJ273" i="1"/>
  <c r="IK273" i="1"/>
  <c r="IL273" i="1"/>
  <c r="IM273" i="1"/>
  <c r="IN273" i="1"/>
  <c r="IO273" i="1"/>
  <c r="IP273" i="1"/>
  <c r="IQ273" i="1"/>
  <c r="BE274" i="1"/>
  <c r="CL274" i="1"/>
  <c r="CM274" i="1"/>
  <c r="CN274" i="1"/>
  <c r="CO274" i="1"/>
  <c r="CP274" i="1"/>
  <c r="CQ274" i="1"/>
  <c r="CR274" i="1"/>
  <c r="CS274" i="1"/>
  <c r="CT274" i="1"/>
  <c r="CU274" i="1"/>
  <c r="CV274" i="1"/>
  <c r="CW274" i="1"/>
  <c r="CX274" i="1"/>
  <c r="CY274" i="1"/>
  <c r="CZ274" i="1"/>
  <c r="DA274" i="1"/>
  <c r="DB274" i="1"/>
  <c r="DC274" i="1"/>
  <c r="DD274" i="1"/>
  <c r="DE274" i="1"/>
  <c r="DF274" i="1"/>
  <c r="DG274" i="1"/>
  <c r="DH274" i="1"/>
  <c r="GT275" i="1"/>
  <c r="HY275" i="1"/>
  <c r="HZ275" i="1"/>
  <c r="IA275" i="1"/>
  <c r="IB275" i="1"/>
  <c r="IC275" i="1"/>
  <c r="ID275" i="1"/>
  <c r="IE275" i="1"/>
  <c r="IF275" i="1"/>
  <c r="IG275" i="1"/>
  <c r="IH275" i="1"/>
  <c r="II275" i="1"/>
  <c r="IJ275" i="1"/>
  <c r="IK275" i="1"/>
  <c r="IL275" i="1"/>
  <c r="IM275" i="1"/>
  <c r="IN275" i="1"/>
  <c r="IO275" i="1"/>
  <c r="IP275" i="1"/>
  <c r="IQ275" i="1"/>
  <c r="BE276" i="1"/>
  <c r="CL276" i="1"/>
  <c r="CM276" i="1"/>
  <c r="CN276" i="1"/>
  <c r="CO276" i="1"/>
  <c r="CP276" i="1"/>
  <c r="CQ276" i="1"/>
  <c r="CR276" i="1"/>
  <c r="CS276" i="1"/>
  <c r="CT276" i="1"/>
  <c r="CU276" i="1"/>
  <c r="CV276" i="1"/>
  <c r="CW276" i="1"/>
  <c r="CX276" i="1"/>
  <c r="CY276" i="1"/>
  <c r="CZ276" i="1"/>
  <c r="DA276" i="1"/>
  <c r="DB276" i="1"/>
  <c r="DC276" i="1"/>
  <c r="DD276" i="1"/>
  <c r="DE276" i="1"/>
  <c r="DF276" i="1"/>
  <c r="DG276" i="1"/>
  <c r="DH276" i="1"/>
  <c r="GT277" i="1"/>
  <c r="HY277" i="1"/>
  <c r="HZ277" i="1"/>
  <c r="IA277" i="1"/>
  <c r="IB277" i="1"/>
  <c r="IC277" i="1"/>
  <c r="ID277" i="1"/>
  <c r="IE277" i="1"/>
  <c r="IF277" i="1"/>
  <c r="IG277" i="1"/>
  <c r="IH277" i="1"/>
  <c r="II277" i="1"/>
  <c r="IJ277" i="1"/>
  <c r="IK277" i="1"/>
  <c r="IL277" i="1"/>
  <c r="IM277" i="1"/>
  <c r="IN277" i="1"/>
  <c r="IO277" i="1"/>
  <c r="IP277" i="1"/>
  <c r="IQ277" i="1"/>
  <c r="BE278" i="1"/>
  <c r="CL278" i="1"/>
  <c r="CM278" i="1"/>
  <c r="CN278" i="1"/>
  <c r="CO278" i="1"/>
  <c r="CP278" i="1"/>
  <c r="CQ278" i="1"/>
  <c r="CR278" i="1"/>
  <c r="CS278" i="1"/>
  <c r="CT278" i="1"/>
  <c r="CU278" i="1"/>
  <c r="CV278" i="1"/>
  <c r="CW278" i="1"/>
  <c r="CX278" i="1"/>
  <c r="CY278" i="1"/>
  <c r="CZ278" i="1"/>
  <c r="DA278" i="1"/>
  <c r="DB278" i="1"/>
  <c r="DC278" i="1"/>
  <c r="DD278" i="1"/>
  <c r="DE278" i="1"/>
  <c r="DF278" i="1"/>
  <c r="DG278" i="1"/>
  <c r="DH278" i="1"/>
  <c r="GT279" i="1"/>
  <c r="HY279" i="1"/>
  <c r="HZ279" i="1"/>
  <c r="IA279" i="1"/>
  <c r="IB279" i="1"/>
  <c r="IC279" i="1"/>
  <c r="ID279" i="1"/>
  <c r="IE279" i="1"/>
  <c r="IF279" i="1"/>
  <c r="IG279" i="1"/>
  <c r="IH279" i="1"/>
  <c r="II279" i="1"/>
  <c r="IJ279" i="1"/>
  <c r="IK279" i="1"/>
  <c r="IL279" i="1"/>
  <c r="IM279" i="1"/>
  <c r="IN279" i="1"/>
  <c r="IO279" i="1"/>
  <c r="IP279" i="1"/>
  <c r="IQ279" i="1"/>
  <c r="BE280" i="1"/>
  <c r="CL280" i="1"/>
  <c r="CM280" i="1"/>
  <c r="CN280" i="1"/>
  <c r="CO280" i="1"/>
  <c r="CP280" i="1"/>
  <c r="CQ280" i="1"/>
  <c r="CR280" i="1"/>
  <c r="CS280" i="1"/>
  <c r="CT280" i="1"/>
  <c r="CU280" i="1"/>
  <c r="CV280" i="1"/>
  <c r="CW280" i="1"/>
  <c r="CX280" i="1"/>
  <c r="CY280" i="1"/>
  <c r="CZ280" i="1"/>
  <c r="DA280" i="1"/>
  <c r="DB280" i="1"/>
  <c r="DC280" i="1"/>
  <c r="DD280" i="1"/>
  <c r="DE280" i="1"/>
  <c r="DF280" i="1"/>
  <c r="DG280" i="1"/>
  <c r="DH280" i="1"/>
  <c r="HY281" i="1"/>
  <c r="HZ281" i="1"/>
  <c r="IA281" i="1"/>
  <c r="IB281" i="1"/>
  <c r="IC281" i="1"/>
  <c r="ID281" i="1"/>
  <c r="IE281" i="1"/>
  <c r="IF281" i="1"/>
  <c r="IG281" i="1"/>
  <c r="IH281" i="1"/>
  <c r="II281" i="1"/>
  <c r="IJ281" i="1"/>
  <c r="IK281" i="1"/>
  <c r="IL281" i="1"/>
  <c r="IM281" i="1"/>
  <c r="IN281" i="1"/>
  <c r="IO281" i="1"/>
  <c r="IP281" i="1"/>
  <c r="IQ281" i="1"/>
  <c r="BE282" i="1"/>
  <c r="CL282" i="1"/>
  <c r="CM282" i="1"/>
  <c r="CN282" i="1"/>
  <c r="CO282" i="1"/>
  <c r="CP282" i="1"/>
  <c r="CQ282" i="1"/>
  <c r="CR282" i="1"/>
  <c r="CS282" i="1"/>
  <c r="CT282" i="1"/>
  <c r="CU282" i="1"/>
  <c r="CV282" i="1"/>
  <c r="CW282" i="1"/>
  <c r="CX282" i="1"/>
  <c r="CY282" i="1"/>
  <c r="CZ282" i="1"/>
  <c r="DA282" i="1"/>
  <c r="DB282" i="1"/>
  <c r="DC282" i="1"/>
  <c r="DD282" i="1"/>
  <c r="DE282" i="1"/>
  <c r="DF282" i="1"/>
  <c r="DG282" i="1"/>
  <c r="DH282" i="1"/>
  <c r="AI267" i="1" a="1"/>
  <c r="AI267" i="1" s="1"/>
  <c r="AC268" i="1"/>
  <c r="AD267" i="1" a="1"/>
  <c r="AD267" i="1" s="1"/>
  <c r="AF267" i="1" s="1"/>
  <c r="DH268" i="1"/>
  <c r="DG268" i="1"/>
  <c r="DF268" i="1"/>
  <c r="DE268" i="1"/>
  <c r="DD268" i="1"/>
  <c r="DC268" i="1"/>
  <c r="DB268" i="1"/>
  <c r="DA268" i="1"/>
  <c r="CZ268" i="1"/>
  <c r="CY268" i="1"/>
  <c r="CX268" i="1"/>
  <c r="CW268" i="1"/>
  <c r="CV268" i="1"/>
  <c r="CU268" i="1"/>
  <c r="CT268" i="1"/>
  <c r="CS268" i="1"/>
  <c r="CR268" i="1"/>
  <c r="CQ268" i="1"/>
  <c r="CP268" i="1"/>
  <c r="CO268" i="1"/>
  <c r="CN268" i="1"/>
  <c r="CM268" i="1"/>
  <c r="CL268" i="1"/>
  <c r="BE268" i="1"/>
  <c r="IQ267" i="1"/>
  <c r="IP267" i="1"/>
  <c r="IO267" i="1"/>
  <c r="IN267" i="1"/>
  <c r="IM267" i="1"/>
  <c r="IL267" i="1"/>
  <c r="IK267" i="1"/>
  <c r="IJ267" i="1"/>
  <c r="II267" i="1"/>
  <c r="IH267" i="1"/>
  <c r="IG267" i="1"/>
  <c r="IF267" i="1"/>
  <c r="IE267" i="1"/>
  <c r="ID267" i="1"/>
  <c r="IC267" i="1"/>
  <c r="IB267" i="1"/>
  <c r="IA267" i="1"/>
  <c r="HZ267" i="1"/>
  <c r="HY267" i="1"/>
  <c r="GT267" i="1"/>
  <c r="JZ247" i="1"/>
  <c r="JZ248" i="1"/>
  <c r="JZ249" i="1"/>
  <c r="JZ250" i="1"/>
  <c r="JZ251" i="1"/>
  <c r="JZ252" i="1"/>
  <c r="JZ253" i="1"/>
  <c r="JZ254" i="1"/>
  <c r="JZ255" i="1"/>
  <c r="JZ256" i="1"/>
  <c r="JZ257" i="1"/>
  <c r="JZ258" i="1"/>
  <c r="JZ259" i="1"/>
  <c r="JZ260" i="1"/>
  <c r="JZ261" i="1"/>
  <c r="JZ262" i="1"/>
  <c r="JZ263" i="1"/>
  <c r="JZ264" i="1"/>
  <c r="JZ265" i="1"/>
  <c r="JZ266" i="1"/>
  <c r="JZ243" i="1"/>
  <c r="JZ244" i="1"/>
  <c r="JZ245" i="1"/>
  <c r="JZ246" i="1"/>
  <c r="JZ239" i="1"/>
  <c r="JZ240" i="1"/>
  <c r="JZ241" i="1"/>
  <c r="JZ242" i="1"/>
  <c r="JZ235" i="1"/>
  <c r="JZ236" i="1"/>
  <c r="JZ237" i="1"/>
  <c r="JZ238" i="1"/>
  <c r="JV234" i="4"/>
  <c r="JV233" i="4"/>
  <c r="LT232" i="4"/>
  <c r="LS232" i="4"/>
  <c r="LT231" i="4"/>
  <c r="LS231" i="4"/>
  <c r="MF230" i="4"/>
  <c r="LT230" i="4"/>
  <c r="LS230" i="4"/>
  <c r="FQ229" i="4"/>
  <c r="FP229" i="4"/>
  <c r="FL229" i="4"/>
  <c r="FK229" i="4"/>
  <c r="FJ229" i="4"/>
  <c r="FI229" i="4"/>
  <c r="FE229" i="4"/>
  <c r="FB229" i="4"/>
  <c r="FA229" i="4"/>
  <c r="EV229" i="4"/>
  <c r="EU229" i="4"/>
  <c r="EN229" i="4"/>
  <c r="AK229" i="4"/>
  <c r="AJ229" i="4"/>
  <c r="FQ228" i="4"/>
  <c r="FP228" i="4"/>
  <c r="FL228" i="4"/>
  <c r="FK228" i="4"/>
  <c r="FJ228" i="4"/>
  <c r="FI228" i="4"/>
  <c r="FE228" i="4"/>
  <c r="FB228" i="4"/>
  <c r="FA228" i="4"/>
  <c r="EV228" i="4"/>
  <c r="EU228" i="4"/>
  <c r="EN228" i="4"/>
  <c r="AK228" i="4"/>
  <c r="AJ228" i="4"/>
  <c r="FQ227" i="4"/>
  <c r="FP227" i="4"/>
  <c r="FO227" i="4"/>
  <c r="FN227" i="4"/>
  <c r="FM227" i="4"/>
  <c r="FL227" i="4"/>
  <c r="FK227" i="4"/>
  <c r="FJ227" i="4"/>
  <c r="FI227" i="4"/>
  <c r="FH227" i="4"/>
  <c r="FG227" i="4"/>
  <c r="FF227" i="4"/>
  <c r="FE227" i="4"/>
  <c r="FD227" i="4"/>
  <c r="FB227" i="4"/>
  <c r="FA227" i="4"/>
  <c r="EW227" i="4"/>
  <c r="EV227" i="4"/>
  <c r="EU227" i="4"/>
  <c r="ET227" i="4"/>
  <c r="ES227" i="4"/>
  <c r="FC227" i="4" s="1"/>
  <c r="ER227" i="4"/>
  <c r="EZ227" i="4" s="1"/>
  <c r="EP227" i="4"/>
  <c r="EX227" i="4" s="1"/>
  <c r="EO227" i="4"/>
  <c r="EQ227" i="4" s="1"/>
  <c r="EY227" i="4" s="1"/>
  <c r="EN227" i="4"/>
  <c r="AK227" i="4"/>
  <c r="AJ227" i="4"/>
  <c r="FQ226" i="4"/>
  <c r="FP226" i="4"/>
  <c r="FO226" i="4"/>
  <c r="FN226" i="4"/>
  <c r="FM226" i="4"/>
  <c r="FL226" i="4"/>
  <c r="FK226" i="4"/>
  <c r="FJ226" i="4"/>
  <c r="FI226" i="4"/>
  <c r="FH226" i="4"/>
  <c r="FG226" i="4"/>
  <c r="FF226" i="4"/>
  <c r="FE226" i="4"/>
  <c r="FD226" i="4"/>
  <c r="FC226" i="4"/>
  <c r="FB226" i="4"/>
  <c r="FA226" i="4"/>
  <c r="EZ226" i="4"/>
  <c r="EX226" i="4"/>
  <c r="EV226" i="4"/>
  <c r="EU226" i="4"/>
  <c r="ET226" i="4"/>
  <c r="ES226" i="4"/>
  <c r="ER226" i="4"/>
  <c r="EQ226" i="4"/>
  <c r="EY226" i="4" s="1"/>
  <c r="EP226" i="4"/>
  <c r="EO226" i="4"/>
  <c r="EW226" i="4" s="1"/>
  <c r="EN226" i="4"/>
  <c r="AK226" i="4"/>
  <c r="AJ226" i="4"/>
  <c r="FQ225" i="4"/>
  <c r="FP225" i="4"/>
  <c r="FO225" i="4"/>
  <c r="FN225" i="4"/>
  <c r="FM225" i="4"/>
  <c r="FL225" i="4"/>
  <c r="FK225" i="4"/>
  <c r="FJ225" i="4"/>
  <c r="FI225" i="4"/>
  <c r="FH225" i="4"/>
  <c r="FG225" i="4"/>
  <c r="FF225" i="4"/>
  <c r="FE225" i="4"/>
  <c r="FC225" i="4"/>
  <c r="FB225" i="4"/>
  <c r="FA225" i="4"/>
  <c r="EX225" i="4"/>
  <c r="EV225" i="4"/>
  <c r="EU225" i="4"/>
  <c r="ET225" i="4"/>
  <c r="FD225" i="4" s="1"/>
  <c r="ES225" i="4"/>
  <c r="EP225" i="4"/>
  <c r="ER225" i="4" s="1"/>
  <c r="EZ225" i="4" s="1"/>
  <c r="EO225" i="4"/>
  <c r="EW225" i="4" s="1"/>
  <c r="EN225" i="4"/>
  <c r="AK225" i="4"/>
  <c r="AJ225" i="4"/>
  <c r="JV224" i="4"/>
  <c r="JV223" i="4"/>
  <c r="JV222" i="4"/>
  <c r="KB221" i="4"/>
  <c r="JV221" i="4"/>
  <c r="JV220" i="4"/>
  <c r="JV219" i="4"/>
  <c r="JV218" i="4"/>
  <c r="KG217" i="4"/>
  <c r="KF217" i="4"/>
  <c r="JV217" i="4"/>
  <c r="KG216" i="4"/>
  <c r="KF216" i="4"/>
  <c r="JV216" i="4"/>
  <c r="OA215" i="4"/>
  <c r="KF214" i="4"/>
  <c r="KG214" i="4" s="1"/>
  <c r="JV214" i="4"/>
  <c r="OA213" i="4"/>
  <c r="KG212" i="4"/>
  <c r="KF212" i="4"/>
  <c r="JV212" i="4"/>
  <c r="OA211" i="4"/>
  <c r="KG210" i="4"/>
  <c r="KF210" i="4"/>
  <c r="JV210" i="4"/>
  <c r="OA209" i="4"/>
  <c r="KG208" i="4"/>
  <c r="KF208" i="4"/>
  <c r="JV208" i="4"/>
  <c r="OA207" i="4"/>
  <c r="KG206" i="4"/>
  <c r="KF206" i="4"/>
  <c r="JV206" i="4"/>
  <c r="OA205" i="4"/>
  <c r="KG204" i="4"/>
  <c r="KF204" i="4"/>
  <c r="JV204" i="4"/>
  <c r="OA203" i="4"/>
  <c r="RO202" i="4"/>
  <c r="QJ202" i="4"/>
  <c r="QL202" i="4" s="1"/>
  <c r="QN202" i="4" s="1"/>
  <c r="QP202" i="4" s="1"/>
  <c r="QI202" i="4"/>
  <c r="QK202" i="4" s="1"/>
  <c r="QM202" i="4" s="1"/>
  <c r="QO202" i="4" s="1"/>
  <c r="QH202" i="4"/>
  <c r="QG202" i="4"/>
  <c r="KF201" i="4"/>
  <c r="KG201" i="4" s="1"/>
  <c r="JV201" i="4"/>
  <c r="OA200" i="4"/>
  <c r="OA199" i="4"/>
  <c r="OA198" i="4"/>
  <c r="RO197" i="4"/>
  <c r="QM197" i="4"/>
  <c r="QO197" i="4" s="1"/>
  <c r="QL197" i="4"/>
  <c r="QN197" i="4" s="1"/>
  <c r="QP197" i="4" s="1"/>
  <c r="QJ197" i="4"/>
  <c r="QH197" i="4"/>
  <c r="QG197" i="4"/>
  <c r="QI197" i="4" s="1"/>
  <c r="QK197" i="4" s="1"/>
  <c r="KF196" i="4"/>
  <c r="KG196" i="4" s="1"/>
  <c r="JV196" i="4"/>
  <c r="OA195" i="4"/>
  <c r="OA194" i="4"/>
  <c r="OA193" i="4"/>
  <c r="RO192" i="4"/>
  <c r="QN192" i="4"/>
  <c r="QP192" i="4" s="1"/>
  <c r="QL192" i="4"/>
  <c r="QJ192" i="4"/>
  <c r="QH192" i="4"/>
  <c r="QG192" i="4"/>
  <c r="QI192" i="4" s="1"/>
  <c r="QK192" i="4" s="1"/>
  <c r="QM192" i="4" s="1"/>
  <c r="QO192" i="4" s="1"/>
  <c r="KG191" i="4"/>
  <c r="KF191" i="4"/>
  <c r="JV191" i="4"/>
  <c r="OA190" i="4"/>
  <c r="OA189" i="4"/>
  <c r="OA188" i="4"/>
  <c r="RO187" i="4"/>
  <c r="QN187" i="4"/>
  <c r="QP187" i="4" s="1"/>
  <c r="QH187" i="4"/>
  <c r="QJ187" i="4" s="1"/>
  <c r="QL187" i="4" s="1"/>
  <c r="QG187" i="4"/>
  <c r="QI187" i="4" s="1"/>
  <c r="QK187" i="4" s="1"/>
  <c r="QM187" i="4" s="1"/>
  <c r="QO187" i="4" s="1"/>
  <c r="KF186" i="4"/>
  <c r="KG186" i="4" s="1"/>
  <c r="JV186" i="4"/>
  <c r="OA185" i="4"/>
  <c r="OA184" i="4"/>
  <c r="OA183" i="4"/>
  <c r="JV182" i="4"/>
  <c r="JV181" i="4"/>
  <c r="NB180" i="4"/>
  <c r="MW180" i="4"/>
  <c r="ND180" i="4" s="1"/>
  <c r="MV180" i="4"/>
  <c r="MU180" i="4"/>
  <c r="NC180" i="4" s="1"/>
  <c r="MT180" i="4"/>
  <c r="MS180" i="4"/>
  <c r="NC179" i="4"/>
  <c r="NB179" i="4"/>
  <c r="MW179" i="4"/>
  <c r="MV179" i="4"/>
  <c r="MX179" i="4" s="1"/>
  <c r="MU179" i="4"/>
  <c r="MT179" i="4"/>
  <c r="MS179" i="4"/>
  <c r="MF178" i="4"/>
  <c r="MG178" i="4" s="1"/>
  <c r="MH178" i="4" s="1"/>
  <c r="ME178" i="4"/>
  <c r="LV178" i="4"/>
  <c r="LT178" i="4"/>
  <c r="LS178" i="4"/>
  <c r="MH177" i="4"/>
  <c r="MF177" i="4"/>
  <c r="MG177" i="4" s="1"/>
  <c r="LV177" i="4"/>
  <c r="LT177" i="4"/>
  <c r="LS177" i="4"/>
  <c r="LJ176" i="4"/>
  <c r="LJ175" i="4"/>
  <c r="LJ174" i="4"/>
  <c r="LJ173" i="4"/>
  <c r="LJ172" i="4"/>
  <c r="LM171" i="4"/>
  <c r="LN171" i="4" s="1"/>
  <c r="LO171" i="4" s="1"/>
  <c r="LJ171" i="4"/>
  <c r="LO170" i="4"/>
  <c r="LN170" i="4"/>
  <c r="LJ170" i="4"/>
  <c r="KS169" i="4"/>
  <c r="KQ169" i="4"/>
  <c r="KP169" i="4"/>
  <c r="JV168" i="4"/>
  <c r="JV167" i="4"/>
  <c r="JV166" i="4"/>
  <c r="JV165" i="4"/>
  <c r="JV164" i="4"/>
  <c r="JV163" i="4"/>
  <c r="JV162" i="4"/>
  <c r="JV161" i="4"/>
  <c r="JV160" i="4"/>
  <c r="JV159" i="4"/>
  <c r="JV158" i="4"/>
  <c r="JV157" i="4"/>
  <c r="JV156" i="4"/>
  <c r="JV155" i="4"/>
  <c r="JV154" i="4"/>
  <c r="JV153" i="4"/>
  <c r="JV152" i="4"/>
  <c r="JV151" i="4"/>
  <c r="JV150" i="4"/>
  <c r="JV149" i="4"/>
  <c r="JV148" i="4"/>
  <c r="JV147" i="4"/>
  <c r="JV146" i="4"/>
  <c r="JV145" i="4"/>
  <c r="JV144" i="4"/>
  <c r="JV143" i="4"/>
  <c r="JV142" i="4"/>
  <c r="JV141" i="4"/>
  <c r="JV140" i="4"/>
  <c r="JV139" i="4"/>
  <c r="JV138" i="4"/>
  <c r="JV137" i="4"/>
  <c r="JV136" i="4"/>
  <c r="JV135" i="4"/>
  <c r="JV134" i="4"/>
  <c r="JV133" i="4"/>
  <c r="JV132" i="4"/>
  <c r="JV131" i="4"/>
  <c r="JV130" i="4"/>
  <c r="JV129" i="4"/>
  <c r="JV128" i="4"/>
  <c r="JV127" i="4"/>
  <c r="JV126" i="4"/>
  <c r="JV125" i="4"/>
  <c r="JV124" i="4"/>
  <c r="JV123" i="4"/>
  <c r="JV122" i="4"/>
  <c r="JV121" i="4"/>
  <c r="JV120" i="4"/>
  <c r="JV119" i="4"/>
  <c r="JV118" i="4"/>
  <c r="JV117" i="4"/>
  <c r="JV116" i="4"/>
  <c r="JV115" i="4"/>
  <c r="JV114" i="4"/>
  <c r="JV113" i="4"/>
  <c r="JV112" i="4"/>
  <c r="JV111" i="4"/>
  <c r="JV110" i="4"/>
  <c r="JV109" i="4"/>
  <c r="JV108" i="4"/>
  <c r="JV107" i="4"/>
  <c r="JV106" i="4"/>
  <c r="JV105" i="4"/>
  <c r="JV104" i="4"/>
  <c r="JV103" i="4"/>
  <c r="JV102" i="4"/>
  <c r="JV101" i="4"/>
  <c r="JV100" i="4"/>
  <c r="JV99" i="4"/>
  <c r="JV98" i="4"/>
  <c r="JV97" i="4"/>
  <c r="JV96" i="4"/>
  <c r="JV95" i="4"/>
  <c r="JV94" i="4"/>
  <c r="JV93" i="4"/>
  <c r="JV92" i="4"/>
  <c r="JV91" i="4"/>
  <c r="JV90" i="4"/>
  <c r="JV89" i="4"/>
  <c r="JV88" i="4"/>
  <c r="JV87" i="4"/>
  <c r="JV86" i="4"/>
  <c r="JV85" i="4"/>
  <c r="JV84" i="4"/>
  <c r="JV83" i="4"/>
  <c r="JV82" i="4"/>
  <c r="JV81" i="4"/>
  <c r="JV80" i="4"/>
  <c r="JV79" i="4"/>
  <c r="JV78" i="4"/>
  <c r="JV77" i="4"/>
  <c r="JV76" i="4"/>
  <c r="JV75" i="4"/>
  <c r="JV74" i="4"/>
  <c r="JV73" i="4"/>
  <c r="JV72" i="4"/>
  <c r="JV71" i="4"/>
  <c r="JV70" i="4"/>
  <c r="JV69" i="4"/>
  <c r="JV68" i="4"/>
  <c r="JV67" i="4"/>
  <c r="JV66" i="4"/>
  <c r="JV65" i="4"/>
  <c r="JV64" i="4"/>
  <c r="JV63" i="4"/>
  <c r="JV62" i="4"/>
  <c r="JV61" i="4"/>
  <c r="JV60" i="4"/>
  <c r="JV59" i="4"/>
  <c r="JV58" i="4"/>
  <c r="JV57" i="4"/>
  <c r="JV56" i="4"/>
  <c r="HS55" i="4"/>
  <c r="HR55" i="4"/>
  <c r="HQ55" i="4"/>
  <c r="HJ55" i="4"/>
  <c r="HH55" i="4"/>
  <c r="HF55" i="4"/>
  <c r="HE55" i="4"/>
  <c r="HB55" i="4"/>
  <c r="HT55" i="4" s="1"/>
  <c r="HA55" i="4"/>
  <c r="GV55" i="4"/>
  <c r="GS55" i="4"/>
  <c r="HI55" i="4" s="1"/>
  <c r="GR55" i="4"/>
  <c r="GT55" i="4" s="1"/>
  <c r="GQ55" i="4"/>
  <c r="HG55" i="4" s="1"/>
  <c r="IQ54" i="4"/>
  <c r="IQ55" i="4" s="1"/>
  <c r="HT54" i="4"/>
  <c r="HR54" i="4"/>
  <c r="HQ54" i="4"/>
  <c r="HJ54" i="4"/>
  <c r="HI54" i="4"/>
  <c r="HH54" i="4"/>
  <c r="HF54" i="4"/>
  <c r="HE54" i="4"/>
  <c r="HB54" i="4"/>
  <c r="HA54" i="4"/>
  <c r="HS54" i="4" s="1"/>
  <c r="GS54" i="4"/>
  <c r="GU54" i="4" s="1"/>
  <c r="GR54" i="4"/>
  <c r="GT54" i="4" s="1"/>
  <c r="GV54" i="4" s="1"/>
  <c r="GQ54" i="4"/>
  <c r="HG54" i="4" s="1"/>
  <c r="HS53" i="4"/>
  <c r="HR53" i="4"/>
  <c r="HQ53" i="4"/>
  <c r="HH53" i="4"/>
  <c r="HF53" i="4"/>
  <c r="HE53" i="4"/>
  <c r="HB53" i="4"/>
  <c r="HT53" i="4" s="1"/>
  <c r="HA53" i="4"/>
  <c r="GV53" i="4"/>
  <c r="GT53" i="4"/>
  <c r="HJ53" i="4" s="1"/>
  <c r="GR53" i="4"/>
  <c r="GQ53" i="4"/>
  <c r="IZ52" i="4"/>
  <c r="IZ53" i="4" s="1"/>
  <c r="IZ54" i="4" s="1"/>
  <c r="IZ55" i="4" s="1"/>
  <c r="HS52" i="4"/>
  <c r="HR52" i="4"/>
  <c r="HQ52" i="4"/>
  <c r="HL52" i="4"/>
  <c r="HH52" i="4"/>
  <c r="HF52" i="4"/>
  <c r="HE52" i="4"/>
  <c r="HB52" i="4"/>
  <c r="HT52" i="4" s="1"/>
  <c r="HA52" i="4"/>
  <c r="GX52" i="4"/>
  <c r="GR52" i="4"/>
  <c r="GT52" i="4" s="1"/>
  <c r="GV52" i="4" s="1"/>
  <c r="GQ52" i="4"/>
  <c r="JR51" i="4"/>
  <c r="JR52" i="4" s="1"/>
  <c r="JR53" i="4" s="1"/>
  <c r="JR54" i="4" s="1"/>
  <c r="JR55" i="4" s="1"/>
  <c r="HT51" i="4"/>
  <c r="HS51" i="4"/>
  <c r="HR51" i="4"/>
  <c r="HQ51" i="4"/>
  <c r="HM51" i="4"/>
  <c r="HH51" i="4"/>
  <c r="HG51" i="4"/>
  <c r="HF51" i="4"/>
  <c r="HE51" i="4"/>
  <c r="HB51" i="4"/>
  <c r="HA51" i="4"/>
  <c r="GY51" i="4"/>
  <c r="HO51" i="4" s="1"/>
  <c r="GW51" i="4"/>
  <c r="GU51" i="4"/>
  <c r="HK51" i="4" s="1"/>
  <c r="GT51" i="4"/>
  <c r="GV51" i="4" s="1"/>
  <c r="GS51" i="4"/>
  <c r="HI51" i="4" s="1"/>
  <c r="GR51" i="4"/>
  <c r="GQ51" i="4"/>
  <c r="HS50" i="4"/>
  <c r="HR50" i="4"/>
  <c r="HQ50" i="4"/>
  <c r="HG50" i="4"/>
  <c r="HF50" i="4"/>
  <c r="HE50" i="4"/>
  <c r="HB50" i="4"/>
  <c r="HT50" i="4" s="1"/>
  <c r="HA50" i="4"/>
  <c r="GR50" i="4"/>
  <c r="GQ50" i="4"/>
  <c r="GS50" i="4" s="1"/>
  <c r="JF49" i="4"/>
  <c r="JF50" i="4" s="1"/>
  <c r="JF51" i="4" s="1"/>
  <c r="JF52" i="4" s="1"/>
  <c r="JF53" i="4" s="1"/>
  <c r="JF54" i="4" s="1"/>
  <c r="JF55" i="4" s="1"/>
  <c r="IU49" i="4"/>
  <c r="IU50" i="4" s="1"/>
  <c r="IU51" i="4" s="1"/>
  <c r="IU52" i="4" s="1"/>
  <c r="IU53" i="4" s="1"/>
  <c r="IU54" i="4" s="1"/>
  <c r="IU55" i="4" s="1"/>
  <c r="IR49" i="4"/>
  <c r="IR50" i="4" s="1"/>
  <c r="IR51" i="4" s="1"/>
  <c r="IR52" i="4" s="1"/>
  <c r="IR53" i="4" s="1"/>
  <c r="IR54" i="4" s="1"/>
  <c r="IR55" i="4" s="1"/>
  <c r="HT49" i="4"/>
  <c r="HR49" i="4"/>
  <c r="HQ49" i="4"/>
  <c r="HH49" i="4"/>
  <c r="HF49" i="4"/>
  <c r="HE49" i="4"/>
  <c r="HB49" i="4"/>
  <c r="HA49" i="4"/>
  <c r="HS49" i="4" s="1"/>
  <c r="GS49" i="4"/>
  <c r="GR49" i="4"/>
  <c r="GT49" i="4" s="1"/>
  <c r="GV49" i="4" s="1"/>
  <c r="GQ49" i="4"/>
  <c r="HG49" i="4" s="1"/>
  <c r="JT48" i="4"/>
  <c r="JT49" i="4" s="1"/>
  <c r="JT50" i="4" s="1"/>
  <c r="JT51" i="4" s="1"/>
  <c r="JT52" i="4" s="1"/>
  <c r="JT53" i="4" s="1"/>
  <c r="JT54" i="4" s="1"/>
  <c r="JT55" i="4" s="1"/>
  <c r="JJ48" i="4"/>
  <c r="JJ49" i="4" s="1"/>
  <c r="JJ50" i="4" s="1"/>
  <c r="JJ51" i="4" s="1"/>
  <c r="JJ52" i="4" s="1"/>
  <c r="JJ53" i="4" s="1"/>
  <c r="JJ54" i="4" s="1"/>
  <c r="JJ55" i="4" s="1"/>
  <c r="IU48" i="4"/>
  <c r="IQ48" i="4"/>
  <c r="IQ49" i="4" s="1"/>
  <c r="IQ50" i="4" s="1"/>
  <c r="IQ51" i="4" s="1"/>
  <c r="IQ52" i="4" s="1"/>
  <c r="IQ53" i="4" s="1"/>
  <c r="HS48" i="4"/>
  <c r="HR48" i="4"/>
  <c r="HQ48" i="4"/>
  <c r="HI48" i="4"/>
  <c r="HG48" i="4"/>
  <c r="HF48" i="4"/>
  <c r="HE48" i="4"/>
  <c r="HB48" i="4"/>
  <c r="HT48" i="4" s="1"/>
  <c r="HA48" i="4"/>
  <c r="GY48" i="4"/>
  <c r="HO48" i="4" s="1"/>
  <c r="GU48" i="4"/>
  <c r="GW48" i="4" s="1"/>
  <c r="HM48" i="4" s="1"/>
  <c r="GS48" i="4"/>
  <c r="GR48" i="4"/>
  <c r="GQ48" i="4"/>
  <c r="JT47" i="4"/>
  <c r="JH47" i="4"/>
  <c r="JH48" i="4" s="1"/>
  <c r="JH49" i="4" s="1"/>
  <c r="JH50" i="4" s="1"/>
  <c r="JH51" i="4" s="1"/>
  <c r="JH52" i="4" s="1"/>
  <c r="JH53" i="4" s="1"/>
  <c r="JH54" i="4" s="1"/>
  <c r="JH55" i="4" s="1"/>
  <c r="JC47" i="4"/>
  <c r="JC48" i="4" s="1"/>
  <c r="JC49" i="4" s="1"/>
  <c r="JC50" i="4" s="1"/>
  <c r="JC51" i="4" s="1"/>
  <c r="JC52" i="4" s="1"/>
  <c r="JC53" i="4" s="1"/>
  <c r="JC54" i="4" s="1"/>
  <c r="JC55" i="4" s="1"/>
  <c r="IN47" i="4"/>
  <c r="IN48" i="4" s="1"/>
  <c r="IN49" i="4" s="1"/>
  <c r="IN50" i="4" s="1"/>
  <c r="IN51" i="4" s="1"/>
  <c r="IN52" i="4" s="1"/>
  <c r="IN53" i="4" s="1"/>
  <c r="IN54" i="4" s="1"/>
  <c r="IN55" i="4" s="1"/>
  <c r="HR47" i="4"/>
  <c r="HQ47" i="4"/>
  <c r="HJ47" i="4"/>
  <c r="HH47" i="4"/>
  <c r="HF47" i="4"/>
  <c r="HE47" i="4"/>
  <c r="HB47" i="4"/>
  <c r="HT47" i="4" s="1"/>
  <c r="HA47" i="4"/>
  <c r="HS47" i="4" s="1"/>
  <c r="GV47" i="4"/>
  <c r="HL47" i="4" s="1"/>
  <c r="GR47" i="4"/>
  <c r="GT47" i="4" s="1"/>
  <c r="GQ47" i="4"/>
  <c r="JP46" i="4"/>
  <c r="JP47" i="4" s="1"/>
  <c r="JP48" i="4" s="1"/>
  <c r="JP49" i="4" s="1"/>
  <c r="JP50" i="4" s="1"/>
  <c r="JP51" i="4" s="1"/>
  <c r="JP52" i="4" s="1"/>
  <c r="JP53" i="4" s="1"/>
  <c r="JP54" i="4" s="1"/>
  <c r="JP55" i="4" s="1"/>
  <c r="JK46" i="4"/>
  <c r="JK47" i="4" s="1"/>
  <c r="JK48" i="4" s="1"/>
  <c r="JK49" i="4" s="1"/>
  <c r="JK50" i="4" s="1"/>
  <c r="JK51" i="4" s="1"/>
  <c r="JK52" i="4" s="1"/>
  <c r="JK53" i="4" s="1"/>
  <c r="JK54" i="4" s="1"/>
  <c r="JK55" i="4" s="1"/>
  <c r="JF46" i="4"/>
  <c r="JF47" i="4" s="1"/>
  <c r="JF48" i="4" s="1"/>
  <c r="JB46" i="4"/>
  <c r="JB47" i="4" s="1"/>
  <c r="JB48" i="4" s="1"/>
  <c r="JB49" i="4" s="1"/>
  <c r="JB50" i="4" s="1"/>
  <c r="JB51" i="4" s="1"/>
  <c r="JB52" i="4" s="1"/>
  <c r="JB53" i="4" s="1"/>
  <c r="JB54" i="4" s="1"/>
  <c r="JB55" i="4" s="1"/>
  <c r="IY46" i="4"/>
  <c r="IY47" i="4" s="1"/>
  <c r="IY48" i="4" s="1"/>
  <c r="IY49" i="4" s="1"/>
  <c r="IY50" i="4" s="1"/>
  <c r="IY51" i="4" s="1"/>
  <c r="IY52" i="4" s="1"/>
  <c r="IY53" i="4" s="1"/>
  <c r="IY54" i="4" s="1"/>
  <c r="IY55" i="4" s="1"/>
  <c r="IT46" i="4"/>
  <c r="IT47" i="4" s="1"/>
  <c r="IT48" i="4" s="1"/>
  <c r="IT49" i="4" s="1"/>
  <c r="IT50" i="4" s="1"/>
  <c r="IT51" i="4" s="1"/>
  <c r="IT52" i="4" s="1"/>
  <c r="IT53" i="4" s="1"/>
  <c r="IT54" i="4" s="1"/>
  <c r="IT55" i="4" s="1"/>
  <c r="IR46" i="4"/>
  <c r="IR47" i="4" s="1"/>
  <c r="IR48" i="4" s="1"/>
  <c r="IN46" i="4"/>
  <c r="IF46" i="4"/>
  <c r="HW46" i="4"/>
  <c r="HT46" i="4"/>
  <c r="HR46" i="4"/>
  <c r="HQ46" i="4"/>
  <c r="HK46" i="4"/>
  <c r="HI46" i="4"/>
  <c r="HF46" i="4"/>
  <c r="HE46" i="4"/>
  <c r="HB46" i="4"/>
  <c r="HA46" i="4"/>
  <c r="HS46" i="4" s="1"/>
  <c r="GW46" i="4"/>
  <c r="GT46" i="4"/>
  <c r="HJ46" i="4" s="1"/>
  <c r="GS46" i="4"/>
  <c r="GU46" i="4" s="1"/>
  <c r="GR46" i="4"/>
  <c r="HH46" i="4" s="1"/>
  <c r="GQ46" i="4"/>
  <c r="HG46" i="4" s="1"/>
  <c r="U46" i="4"/>
  <c r="IJ46" i="4" s="1"/>
  <c r="JT45" i="4"/>
  <c r="JT46" i="4" s="1"/>
  <c r="JS45" i="4"/>
  <c r="JS46" i="4" s="1"/>
  <c r="JS47" i="4" s="1"/>
  <c r="JS48" i="4" s="1"/>
  <c r="JS49" i="4" s="1"/>
  <c r="JS50" i="4" s="1"/>
  <c r="JS51" i="4" s="1"/>
  <c r="JS52" i="4" s="1"/>
  <c r="JS53" i="4" s="1"/>
  <c r="JS54" i="4" s="1"/>
  <c r="JS55" i="4" s="1"/>
  <c r="JL45" i="4"/>
  <c r="JL46" i="4" s="1"/>
  <c r="JL47" i="4" s="1"/>
  <c r="JL48" i="4" s="1"/>
  <c r="JL49" i="4" s="1"/>
  <c r="JL50" i="4" s="1"/>
  <c r="JL51" i="4" s="1"/>
  <c r="JL52" i="4" s="1"/>
  <c r="JL53" i="4" s="1"/>
  <c r="JL54" i="4" s="1"/>
  <c r="JL55" i="4" s="1"/>
  <c r="JH45" i="4"/>
  <c r="JH46" i="4" s="1"/>
  <c r="JG45" i="4"/>
  <c r="JG46" i="4" s="1"/>
  <c r="JG47" i="4" s="1"/>
  <c r="JG48" i="4" s="1"/>
  <c r="JG49" i="4" s="1"/>
  <c r="JG50" i="4" s="1"/>
  <c r="JG51" i="4" s="1"/>
  <c r="JG52" i="4" s="1"/>
  <c r="JG53" i="4" s="1"/>
  <c r="JG54" i="4" s="1"/>
  <c r="JG55" i="4" s="1"/>
  <c r="JE45" i="4"/>
  <c r="JE46" i="4" s="1"/>
  <c r="JE47" i="4" s="1"/>
  <c r="JE48" i="4" s="1"/>
  <c r="JE49" i="4" s="1"/>
  <c r="JE50" i="4" s="1"/>
  <c r="JE51" i="4" s="1"/>
  <c r="JE52" i="4" s="1"/>
  <c r="JE53" i="4" s="1"/>
  <c r="JE54" i="4" s="1"/>
  <c r="JE55" i="4" s="1"/>
  <c r="JA45" i="4"/>
  <c r="JA46" i="4" s="1"/>
  <c r="JA47" i="4" s="1"/>
  <c r="JA48" i="4" s="1"/>
  <c r="JA49" i="4" s="1"/>
  <c r="JA50" i="4" s="1"/>
  <c r="JA51" i="4" s="1"/>
  <c r="JA52" i="4" s="1"/>
  <c r="JA53" i="4" s="1"/>
  <c r="JA54" i="4" s="1"/>
  <c r="JA55" i="4" s="1"/>
  <c r="IZ45" i="4"/>
  <c r="IZ46" i="4" s="1"/>
  <c r="IZ47" i="4" s="1"/>
  <c r="IZ48" i="4" s="1"/>
  <c r="IZ49" i="4" s="1"/>
  <c r="IZ50" i="4" s="1"/>
  <c r="IZ51" i="4" s="1"/>
  <c r="IW45" i="4"/>
  <c r="IW46" i="4" s="1"/>
  <c r="IW47" i="4" s="1"/>
  <c r="IW48" i="4" s="1"/>
  <c r="IW49" i="4" s="1"/>
  <c r="IW50" i="4" s="1"/>
  <c r="IW51" i="4" s="1"/>
  <c r="IW52" i="4" s="1"/>
  <c r="IW53" i="4" s="1"/>
  <c r="IW54" i="4" s="1"/>
  <c r="IW55" i="4" s="1"/>
  <c r="IU45" i="4"/>
  <c r="IU46" i="4" s="1"/>
  <c r="IU47" i="4" s="1"/>
  <c r="IR45" i="4"/>
  <c r="IQ45" i="4"/>
  <c r="IQ46" i="4" s="1"/>
  <c r="IQ47" i="4" s="1"/>
  <c r="IK45" i="4"/>
  <c r="IJ45" i="4"/>
  <c r="II45" i="4"/>
  <c r="IE45" i="4"/>
  <c r="IC45" i="4"/>
  <c r="IB45" i="4"/>
  <c r="HZ45" i="4"/>
  <c r="HX45" i="4"/>
  <c r="HW45" i="4"/>
  <c r="HR45" i="4"/>
  <c r="HQ45" i="4"/>
  <c r="HG45" i="4"/>
  <c r="HF45" i="4"/>
  <c r="HE45" i="4"/>
  <c r="HB45" i="4"/>
  <c r="HT45" i="4" s="1"/>
  <c r="HA45" i="4"/>
  <c r="HS45" i="4" s="1"/>
  <c r="GU45" i="4"/>
  <c r="GS45" i="4"/>
  <c r="HI45" i="4" s="1"/>
  <c r="GR45" i="4"/>
  <c r="GQ45" i="4"/>
  <c r="U45" i="4"/>
  <c r="JU44" i="4"/>
  <c r="JU45" i="4" s="1"/>
  <c r="JU46" i="4" s="1"/>
  <c r="JU47" i="4" s="1"/>
  <c r="JU48" i="4" s="1"/>
  <c r="JU49" i="4" s="1"/>
  <c r="JU50" i="4" s="1"/>
  <c r="JU51" i="4" s="1"/>
  <c r="JU52" i="4" s="1"/>
  <c r="JU53" i="4" s="1"/>
  <c r="JU54" i="4" s="1"/>
  <c r="JU55" i="4" s="1"/>
  <c r="JT44" i="4"/>
  <c r="JS44" i="4"/>
  <c r="JR44" i="4"/>
  <c r="JR45" i="4" s="1"/>
  <c r="JR46" i="4" s="1"/>
  <c r="JR47" i="4" s="1"/>
  <c r="JR48" i="4" s="1"/>
  <c r="JR49" i="4" s="1"/>
  <c r="JR50" i="4" s="1"/>
  <c r="JQ44" i="4"/>
  <c r="JQ45" i="4" s="1"/>
  <c r="JQ46" i="4" s="1"/>
  <c r="JQ47" i="4" s="1"/>
  <c r="JQ48" i="4" s="1"/>
  <c r="JQ49" i="4" s="1"/>
  <c r="JQ50" i="4" s="1"/>
  <c r="JQ51" i="4" s="1"/>
  <c r="JQ52" i="4" s="1"/>
  <c r="JQ53" i="4" s="1"/>
  <c r="JQ54" i="4" s="1"/>
  <c r="JQ55" i="4" s="1"/>
  <c r="JP44" i="4"/>
  <c r="JP45" i="4" s="1"/>
  <c r="JO44" i="4"/>
  <c r="JO45" i="4" s="1"/>
  <c r="JO46" i="4" s="1"/>
  <c r="JO47" i="4" s="1"/>
  <c r="JO48" i="4" s="1"/>
  <c r="JO49" i="4" s="1"/>
  <c r="JO50" i="4" s="1"/>
  <c r="JO51" i="4" s="1"/>
  <c r="JO52" i="4" s="1"/>
  <c r="JO53" i="4" s="1"/>
  <c r="JO54" i="4" s="1"/>
  <c r="JO55" i="4" s="1"/>
  <c r="JN44" i="4"/>
  <c r="JN45" i="4" s="1"/>
  <c r="JN46" i="4" s="1"/>
  <c r="JN47" i="4" s="1"/>
  <c r="JN48" i="4" s="1"/>
  <c r="JN49" i="4" s="1"/>
  <c r="JN50" i="4" s="1"/>
  <c r="JN51" i="4" s="1"/>
  <c r="JN52" i="4" s="1"/>
  <c r="JN53" i="4" s="1"/>
  <c r="JN54" i="4" s="1"/>
  <c r="JN55" i="4" s="1"/>
  <c r="JM44" i="4"/>
  <c r="JM45" i="4" s="1"/>
  <c r="JM46" i="4" s="1"/>
  <c r="JM47" i="4" s="1"/>
  <c r="JM48" i="4" s="1"/>
  <c r="JM49" i="4" s="1"/>
  <c r="JM50" i="4" s="1"/>
  <c r="JM51" i="4" s="1"/>
  <c r="JM52" i="4" s="1"/>
  <c r="JM53" i="4" s="1"/>
  <c r="JM54" i="4" s="1"/>
  <c r="JM55" i="4" s="1"/>
  <c r="JL44" i="4"/>
  <c r="JK44" i="4"/>
  <c r="JK45" i="4" s="1"/>
  <c r="JJ44" i="4"/>
  <c r="JJ45" i="4" s="1"/>
  <c r="JJ46" i="4" s="1"/>
  <c r="JJ47" i="4" s="1"/>
  <c r="JI44" i="4"/>
  <c r="JI45" i="4" s="1"/>
  <c r="JI46" i="4" s="1"/>
  <c r="JI47" i="4" s="1"/>
  <c r="JI48" i="4" s="1"/>
  <c r="JI49" i="4" s="1"/>
  <c r="JI50" i="4" s="1"/>
  <c r="JI51" i="4" s="1"/>
  <c r="JI52" i="4" s="1"/>
  <c r="JI53" i="4" s="1"/>
  <c r="JI54" i="4" s="1"/>
  <c r="JI55" i="4" s="1"/>
  <c r="JH44" i="4"/>
  <c r="JG44" i="4"/>
  <c r="JF44" i="4"/>
  <c r="JF45" i="4" s="1"/>
  <c r="JE44" i="4"/>
  <c r="JD44" i="4"/>
  <c r="JD45" i="4" s="1"/>
  <c r="JD46" i="4" s="1"/>
  <c r="JD47" i="4" s="1"/>
  <c r="JD48" i="4" s="1"/>
  <c r="JD49" i="4" s="1"/>
  <c r="JD50" i="4" s="1"/>
  <c r="JD51" i="4" s="1"/>
  <c r="JD52" i="4" s="1"/>
  <c r="JD53" i="4" s="1"/>
  <c r="JD54" i="4" s="1"/>
  <c r="JD55" i="4" s="1"/>
  <c r="JC44" i="4"/>
  <c r="JC45" i="4" s="1"/>
  <c r="JC46" i="4" s="1"/>
  <c r="JB44" i="4"/>
  <c r="JB45" i="4" s="1"/>
  <c r="JA44" i="4"/>
  <c r="IZ44" i="4"/>
  <c r="IY44" i="4"/>
  <c r="IY45" i="4" s="1"/>
  <c r="IX44" i="4"/>
  <c r="IX45" i="4" s="1"/>
  <c r="IX46" i="4" s="1"/>
  <c r="IX47" i="4" s="1"/>
  <c r="IX48" i="4" s="1"/>
  <c r="IX49" i="4" s="1"/>
  <c r="IX50" i="4" s="1"/>
  <c r="IX51" i="4" s="1"/>
  <c r="IX52" i="4" s="1"/>
  <c r="IX53" i="4" s="1"/>
  <c r="IX54" i="4" s="1"/>
  <c r="IX55" i="4" s="1"/>
  <c r="IW44" i="4"/>
  <c r="IV44" i="4"/>
  <c r="IV45" i="4" s="1"/>
  <c r="IV46" i="4" s="1"/>
  <c r="IV47" i="4" s="1"/>
  <c r="IV48" i="4" s="1"/>
  <c r="IV49" i="4" s="1"/>
  <c r="IV50" i="4" s="1"/>
  <c r="IV51" i="4" s="1"/>
  <c r="IV52" i="4" s="1"/>
  <c r="IV53" i="4" s="1"/>
  <c r="IV54" i="4" s="1"/>
  <c r="IV55" i="4" s="1"/>
  <c r="IU44" i="4"/>
  <c r="IT44" i="4"/>
  <c r="IT45" i="4" s="1"/>
  <c r="IS44" i="4"/>
  <c r="IS45" i="4" s="1"/>
  <c r="IS46" i="4" s="1"/>
  <c r="IS47" i="4" s="1"/>
  <c r="IS48" i="4" s="1"/>
  <c r="IS49" i="4" s="1"/>
  <c r="IS50" i="4" s="1"/>
  <c r="IS51" i="4" s="1"/>
  <c r="IS52" i="4" s="1"/>
  <c r="IS53" i="4" s="1"/>
  <c r="IS54" i="4" s="1"/>
  <c r="IS55" i="4" s="1"/>
  <c r="IR44" i="4"/>
  <c r="IQ44" i="4"/>
  <c r="IP44" i="4"/>
  <c r="IP45" i="4" s="1"/>
  <c r="IP46" i="4" s="1"/>
  <c r="IP47" i="4" s="1"/>
  <c r="IP48" i="4" s="1"/>
  <c r="IP49" i="4" s="1"/>
  <c r="IP50" i="4" s="1"/>
  <c r="IP51" i="4" s="1"/>
  <c r="IP52" i="4" s="1"/>
  <c r="IP53" i="4" s="1"/>
  <c r="IP54" i="4" s="1"/>
  <c r="IP55" i="4" s="1"/>
  <c r="IO44" i="4"/>
  <c r="IO45" i="4" s="1"/>
  <c r="IO46" i="4" s="1"/>
  <c r="IO47" i="4" s="1"/>
  <c r="IO48" i="4" s="1"/>
  <c r="IO49" i="4" s="1"/>
  <c r="IO50" i="4" s="1"/>
  <c r="IO51" i="4" s="1"/>
  <c r="IO52" i="4" s="1"/>
  <c r="IO53" i="4" s="1"/>
  <c r="IO54" i="4" s="1"/>
  <c r="IO55" i="4" s="1"/>
  <c r="IN44" i="4"/>
  <c r="IN45" i="4" s="1"/>
  <c r="IL44" i="4"/>
  <c r="IK44" i="4"/>
  <c r="IJ44" i="4"/>
  <c r="IH44" i="4"/>
  <c r="IF44" i="4"/>
  <c r="IE44" i="4"/>
  <c r="ID44" i="4"/>
  <c r="IB44" i="4"/>
  <c r="IA44" i="4"/>
  <c r="HY44" i="4"/>
  <c r="HV44" i="4"/>
  <c r="HU44" i="4"/>
  <c r="HR44" i="4"/>
  <c r="HQ44" i="4"/>
  <c r="HJ44" i="4"/>
  <c r="HF44" i="4"/>
  <c r="HE44" i="4"/>
  <c r="HB44" i="4"/>
  <c r="HT44" i="4" s="1"/>
  <c r="HA44" i="4"/>
  <c r="HS44" i="4" s="1"/>
  <c r="GX44" i="4"/>
  <c r="GV44" i="4"/>
  <c r="HL44" i="4" s="1"/>
  <c r="GR44" i="4"/>
  <c r="GT44" i="4" s="1"/>
  <c r="GQ44" i="4"/>
  <c r="HG44" i="4" s="1"/>
  <c r="GP44" i="4"/>
  <c r="X44" i="4"/>
  <c r="U44" i="4"/>
  <c r="IM43" i="4"/>
  <c r="IL43" i="4"/>
  <c r="IK43" i="4"/>
  <c r="IJ43" i="4"/>
  <c r="II43" i="4"/>
  <c r="IH43" i="4"/>
  <c r="IG43" i="4"/>
  <c r="IF43" i="4"/>
  <c r="IE43" i="4"/>
  <c r="ID43" i="4"/>
  <c r="IC43" i="4"/>
  <c r="IB43" i="4"/>
  <c r="IA43" i="4"/>
  <c r="HZ43" i="4"/>
  <c r="HY43" i="4"/>
  <c r="HX43" i="4"/>
  <c r="HW43" i="4"/>
  <c r="HV43" i="4"/>
  <c r="HU43" i="4"/>
  <c r="HT43" i="4"/>
  <c r="HS43" i="4"/>
  <c r="HR43" i="4"/>
  <c r="HQ43" i="4"/>
  <c r="HH43" i="4"/>
  <c r="HG43" i="4"/>
  <c r="HF43" i="4"/>
  <c r="HE43" i="4"/>
  <c r="HB43" i="4"/>
  <c r="HA43" i="4"/>
  <c r="GV43" i="4"/>
  <c r="GX43" i="4" s="1"/>
  <c r="HN43" i="4" s="1"/>
  <c r="GU43" i="4"/>
  <c r="GT43" i="4"/>
  <c r="HJ43" i="4" s="1"/>
  <c r="GR43" i="4"/>
  <c r="GQ43" i="4"/>
  <c r="GS43" i="4" s="1"/>
  <c r="HI43" i="4" s="1"/>
  <c r="GP43" i="4"/>
  <c r="Y43" i="4" a="1"/>
  <c r="Y43" i="4" s="1"/>
  <c r="FQ42" i="4"/>
  <c r="FP42" i="4"/>
  <c r="FO42" i="4"/>
  <c r="FN42" i="4"/>
  <c r="FM42" i="4"/>
  <c r="FL42" i="4"/>
  <c r="FK42" i="4"/>
  <c r="FJ42" i="4"/>
  <c r="FI42" i="4"/>
  <c r="FH42" i="4"/>
  <c r="FG42" i="4"/>
  <c r="FF42" i="4"/>
  <c r="FE42" i="4"/>
  <c r="FB42" i="4"/>
  <c r="FA42" i="4"/>
  <c r="EW42" i="4"/>
  <c r="EV42" i="4"/>
  <c r="EU42" i="4"/>
  <c r="ET42" i="4"/>
  <c r="FD42" i="4" s="1"/>
  <c r="ES42" i="4"/>
  <c r="FC42" i="4" s="1"/>
  <c r="EQ42" i="4"/>
  <c r="EY42" i="4" s="1"/>
  <c r="EP42" i="4"/>
  <c r="EO42" i="4"/>
  <c r="EN42" i="4"/>
  <c r="AN42" i="4"/>
  <c r="AK42" i="4"/>
  <c r="AJ42" i="4"/>
  <c r="FQ41" i="4"/>
  <c r="FP41" i="4"/>
  <c r="FO41" i="4"/>
  <c r="FN41" i="4"/>
  <c r="FM41" i="4"/>
  <c r="FL41" i="4"/>
  <c r="FK41" i="4"/>
  <c r="FJ41" i="4"/>
  <c r="FI41" i="4"/>
  <c r="FH41" i="4"/>
  <c r="FG41" i="4"/>
  <c r="FF41" i="4"/>
  <c r="FE41" i="4"/>
  <c r="FB41" i="4"/>
  <c r="FA41" i="4"/>
  <c r="EY41" i="4"/>
  <c r="EX41" i="4"/>
  <c r="EW41" i="4"/>
  <c r="EV41" i="4"/>
  <c r="EU41" i="4"/>
  <c r="ET41" i="4"/>
  <c r="FD41" i="4" s="1"/>
  <c r="ES41" i="4"/>
  <c r="FC41" i="4" s="1"/>
  <c r="EP41" i="4"/>
  <c r="ER41" i="4" s="1"/>
  <c r="EZ41" i="4" s="1"/>
  <c r="EO41" i="4"/>
  <c r="EQ41" i="4" s="1"/>
  <c r="EN41" i="4"/>
  <c r="AN41" i="4"/>
  <c r="AK41" i="4"/>
  <c r="AJ41" i="4"/>
  <c r="FQ40" i="4"/>
  <c r="FP40" i="4"/>
  <c r="FO40" i="4"/>
  <c r="FN40" i="4"/>
  <c r="FM40" i="4"/>
  <c r="FL40" i="4"/>
  <c r="FK40" i="4"/>
  <c r="FJ40" i="4"/>
  <c r="FI40" i="4"/>
  <c r="FH40" i="4"/>
  <c r="FG40" i="4"/>
  <c r="FF40" i="4"/>
  <c r="FE40" i="4"/>
  <c r="FB40" i="4"/>
  <c r="FA40" i="4"/>
  <c r="EX40" i="4"/>
  <c r="EW40" i="4"/>
  <c r="EV40" i="4"/>
  <c r="EU40" i="4"/>
  <c r="ET40" i="4"/>
  <c r="FD40" i="4" s="1"/>
  <c r="ES40" i="4"/>
  <c r="FC40" i="4" s="1"/>
  <c r="ER40" i="4"/>
  <c r="EZ40" i="4" s="1"/>
  <c r="EQ40" i="4"/>
  <c r="EY40" i="4" s="1"/>
  <c r="EP40" i="4"/>
  <c r="EO40" i="4"/>
  <c r="EN40" i="4"/>
  <c r="AN40" i="4"/>
  <c r="AK40" i="4"/>
  <c r="AJ40" i="4"/>
  <c r="FQ39" i="4"/>
  <c r="FP39" i="4"/>
  <c r="FO39" i="4"/>
  <c r="FN39" i="4"/>
  <c r="FM39" i="4"/>
  <c r="FL39" i="4"/>
  <c r="FK39" i="4"/>
  <c r="FJ39" i="4"/>
  <c r="FI39" i="4"/>
  <c r="FH39" i="4"/>
  <c r="FG39" i="4"/>
  <c r="FF39" i="4"/>
  <c r="FE39" i="4"/>
  <c r="FD39" i="4"/>
  <c r="FB39" i="4"/>
  <c r="FA39" i="4"/>
  <c r="EV39" i="4"/>
  <c r="EU39" i="4"/>
  <c r="ET39" i="4"/>
  <c r="ES39" i="4"/>
  <c r="FC39" i="4" s="1"/>
  <c r="EP39" i="4"/>
  <c r="EX39" i="4" s="1"/>
  <c r="EO39" i="4"/>
  <c r="EQ39" i="4" s="1"/>
  <c r="EY39" i="4" s="1"/>
  <c r="EN39" i="4"/>
  <c r="AN39" i="4"/>
  <c r="AK39" i="4"/>
  <c r="AJ39" i="4"/>
  <c r="FQ38" i="4"/>
  <c r="FP38" i="4"/>
  <c r="FO38" i="4"/>
  <c r="FN38" i="4"/>
  <c r="FM38" i="4"/>
  <c r="FL38" i="4"/>
  <c r="FK38" i="4"/>
  <c r="FJ38" i="4"/>
  <c r="FI38" i="4"/>
  <c r="FH38" i="4"/>
  <c r="FG38" i="4"/>
  <c r="FF38" i="4"/>
  <c r="FE38" i="4"/>
  <c r="FB38" i="4"/>
  <c r="FA38" i="4"/>
  <c r="EX38" i="4"/>
  <c r="EV38" i="4"/>
  <c r="EU38" i="4"/>
  <c r="ET38" i="4"/>
  <c r="FD38" i="4" s="1"/>
  <c r="ES38" i="4"/>
  <c r="FC38" i="4" s="1"/>
  <c r="EP38" i="4"/>
  <c r="ER38" i="4" s="1"/>
  <c r="EZ38" i="4" s="1"/>
  <c r="EO38" i="4"/>
  <c r="EQ38" i="4" s="1"/>
  <c r="EY38" i="4" s="1"/>
  <c r="EN38" i="4"/>
  <c r="AN38" i="4"/>
  <c r="AK38" i="4"/>
  <c r="AJ38" i="4"/>
  <c r="FQ37" i="4"/>
  <c r="FP37" i="4"/>
  <c r="FO37" i="4"/>
  <c r="FN37" i="4"/>
  <c r="FM37" i="4"/>
  <c r="FL37" i="4"/>
  <c r="FK37" i="4"/>
  <c r="FJ37" i="4"/>
  <c r="FI37" i="4"/>
  <c r="FH37" i="4"/>
  <c r="FG37" i="4"/>
  <c r="FF37" i="4"/>
  <c r="FE37" i="4"/>
  <c r="FB37" i="4"/>
  <c r="FA37" i="4"/>
  <c r="EZ37" i="4"/>
  <c r="EX37" i="4"/>
  <c r="EW37" i="4"/>
  <c r="EV37" i="4"/>
  <c r="EU37" i="4"/>
  <c r="ET37" i="4"/>
  <c r="FD37" i="4" s="1"/>
  <c r="ES37" i="4"/>
  <c r="FC37" i="4" s="1"/>
  <c r="EQ37" i="4"/>
  <c r="EY37" i="4" s="1"/>
  <c r="EP37" i="4"/>
  <c r="ER37" i="4" s="1"/>
  <c r="EO37" i="4"/>
  <c r="EN37" i="4"/>
  <c r="AN37" i="4"/>
  <c r="AK37" i="4"/>
  <c r="AJ37" i="4"/>
  <c r="FQ36" i="4"/>
  <c r="FP36" i="4"/>
  <c r="FO36" i="4"/>
  <c r="FN36" i="4"/>
  <c r="FM36" i="4"/>
  <c r="FL36" i="4"/>
  <c r="FK36" i="4"/>
  <c r="FJ36" i="4"/>
  <c r="FI36" i="4"/>
  <c r="FH36" i="4"/>
  <c r="FG36" i="4"/>
  <c r="FF36" i="4"/>
  <c r="FE36" i="4"/>
  <c r="FD36" i="4"/>
  <c r="FB36" i="4"/>
  <c r="FA36" i="4"/>
  <c r="EZ36" i="4"/>
  <c r="EX36" i="4"/>
  <c r="EW36" i="4"/>
  <c r="EV36" i="4"/>
  <c r="EU36" i="4"/>
  <c r="ET36" i="4"/>
  <c r="ES36" i="4"/>
  <c r="FC36" i="4" s="1"/>
  <c r="ER36" i="4"/>
  <c r="EQ36" i="4"/>
  <c r="EY36" i="4" s="1"/>
  <c r="EP36" i="4"/>
  <c r="EO36" i="4"/>
  <c r="EN36" i="4"/>
  <c r="AN36" i="4"/>
  <c r="AK36" i="4"/>
  <c r="AJ36" i="4"/>
  <c r="FQ35" i="4"/>
  <c r="FP35" i="4"/>
  <c r="FO35" i="4"/>
  <c r="FN35" i="4"/>
  <c r="FM35" i="4"/>
  <c r="FL35" i="4"/>
  <c r="FK35" i="4"/>
  <c r="FJ35" i="4"/>
  <c r="FI35" i="4"/>
  <c r="FH35" i="4"/>
  <c r="FG35" i="4"/>
  <c r="FF35" i="4"/>
  <c r="FE35" i="4"/>
  <c r="FD35" i="4"/>
  <c r="FB35" i="4"/>
  <c r="FA35" i="4"/>
  <c r="EW35" i="4"/>
  <c r="EV35" i="4"/>
  <c r="EU35" i="4"/>
  <c r="ET35" i="4"/>
  <c r="ES35" i="4"/>
  <c r="FC35" i="4" s="1"/>
  <c r="ER35" i="4"/>
  <c r="EZ35" i="4" s="1"/>
  <c r="EQ35" i="4"/>
  <c r="EY35" i="4" s="1"/>
  <c r="EP35" i="4"/>
  <c r="EX35" i="4" s="1"/>
  <c r="EO35" i="4"/>
  <c r="EN35" i="4"/>
  <c r="AN35" i="4"/>
  <c r="AK35" i="4"/>
  <c r="AJ35" i="4"/>
  <c r="FQ34" i="4"/>
  <c r="FP34" i="4"/>
  <c r="FO34" i="4"/>
  <c r="FN34" i="4"/>
  <c r="FM34" i="4"/>
  <c r="FL34" i="4"/>
  <c r="FK34" i="4"/>
  <c r="FJ34" i="4"/>
  <c r="FI34" i="4"/>
  <c r="FH34" i="4"/>
  <c r="FG34" i="4"/>
  <c r="FF34" i="4"/>
  <c r="FE34" i="4"/>
  <c r="FC34" i="4"/>
  <c r="FB34" i="4"/>
  <c r="FA34" i="4"/>
  <c r="EW34" i="4"/>
  <c r="EV34" i="4"/>
  <c r="EU34" i="4"/>
  <c r="ET34" i="4"/>
  <c r="FD34" i="4" s="1"/>
  <c r="ES34" i="4"/>
  <c r="EQ34" i="4"/>
  <c r="EY34" i="4" s="1"/>
  <c r="EP34" i="4"/>
  <c r="EO34" i="4"/>
  <c r="EN34" i="4"/>
  <c r="AN34" i="4"/>
  <c r="AK34" i="4"/>
  <c r="AJ34" i="4"/>
  <c r="DD33" i="4"/>
  <c r="DC33" i="4"/>
  <c r="DB33" i="4"/>
  <c r="DA33" i="4"/>
  <c r="CZ33" i="4"/>
  <c r="CY33" i="4"/>
  <c r="CX33" i="4"/>
  <c r="CW33" i="4"/>
  <c r="CV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C33" i="4"/>
  <c r="CB33" i="4"/>
  <c r="BQ33" i="4"/>
  <c r="BP33" i="4"/>
  <c r="BO33" i="4"/>
  <c r="CG33" i="4" s="1"/>
  <c r="BM33" i="4"/>
  <c r="CE33" i="4" s="1"/>
  <c r="BL33" i="4"/>
  <c r="BN33" i="4" s="1"/>
  <c r="CF33" i="4" s="1"/>
  <c r="BE33" i="4"/>
  <c r="BG33" i="4" s="1"/>
  <c r="BC33" i="4"/>
  <c r="BS33" i="4" s="1"/>
  <c r="BB33" i="4"/>
  <c r="BA33" i="4"/>
  <c r="DD32" i="4"/>
  <c r="DC32" i="4"/>
  <c r="DB32" i="4"/>
  <c r="DA32" i="4"/>
  <c r="CZ32" i="4"/>
  <c r="CY32" i="4"/>
  <c r="CX32" i="4"/>
  <c r="CW32" i="4"/>
  <c r="CV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D32" i="4"/>
  <c r="CC32" i="4"/>
  <c r="CB32" i="4"/>
  <c r="BS32" i="4"/>
  <c r="BQ32" i="4"/>
  <c r="BP32" i="4"/>
  <c r="BN32" i="4"/>
  <c r="CF32" i="4" s="1"/>
  <c r="BM32" i="4"/>
  <c r="BL32" i="4"/>
  <c r="BE32" i="4"/>
  <c r="BD32" i="4"/>
  <c r="BC32" i="4"/>
  <c r="BB32" i="4"/>
  <c r="BR32" i="4" s="1"/>
  <c r="BA32" i="4"/>
  <c r="DD31" i="4"/>
  <c r="DC31" i="4"/>
  <c r="DB31" i="4"/>
  <c r="DA31" i="4"/>
  <c r="CZ31" i="4"/>
  <c r="CY31" i="4"/>
  <c r="CX31" i="4"/>
  <c r="CW31" i="4"/>
  <c r="CV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F31" i="4"/>
  <c r="CD31" i="4"/>
  <c r="CC31" i="4"/>
  <c r="CB31" i="4"/>
  <c r="BS31" i="4"/>
  <c r="BQ31" i="4"/>
  <c r="BP31" i="4"/>
  <c r="BM31" i="4"/>
  <c r="CE31" i="4" s="1"/>
  <c r="BL31" i="4"/>
  <c r="BN31" i="4" s="1"/>
  <c r="BE31" i="4"/>
  <c r="BC31" i="4"/>
  <c r="BB31" i="4"/>
  <c r="BR31" i="4" s="1"/>
  <c r="BA31" i="4"/>
  <c r="DD30" i="4"/>
  <c r="DC30" i="4"/>
  <c r="DB30" i="4"/>
  <c r="DA30" i="4"/>
  <c r="CZ30" i="4"/>
  <c r="CY30" i="4"/>
  <c r="CX30" i="4"/>
  <c r="CW30" i="4"/>
  <c r="CV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C30" i="4"/>
  <c r="CB30" i="4"/>
  <c r="BQ30" i="4"/>
  <c r="BP30" i="4"/>
  <c r="BM30" i="4"/>
  <c r="BL30" i="4"/>
  <c r="BN30" i="4" s="1"/>
  <c r="CF30" i="4" s="1"/>
  <c r="BD30" i="4"/>
  <c r="BC30" i="4"/>
  <c r="BB30" i="4"/>
  <c r="BR30" i="4" s="1"/>
  <c r="BA30" i="4"/>
  <c r="DD29" i="4"/>
  <c r="DC29" i="4"/>
  <c r="DB29" i="4"/>
  <c r="DA29" i="4"/>
  <c r="CZ29" i="4"/>
  <c r="CY29" i="4"/>
  <c r="CX29" i="4"/>
  <c r="CW29" i="4"/>
  <c r="CV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F29" i="4"/>
  <c r="CD29" i="4"/>
  <c r="CC29" i="4"/>
  <c r="CB29" i="4"/>
  <c r="BU29" i="4"/>
  <c r="BT29" i="4"/>
  <c r="BS29" i="4"/>
  <c r="BR29" i="4"/>
  <c r="BQ29" i="4"/>
  <c r="BP29" i="4"/>
  <c r="BN29" i="4"/>
  <c r="BM29" i="4"/>
  <c r="BO29" i="4" s="1"/>
  <c r="CG29" i="4" s="1"/>
  <c r="BL29" i="4"/>
  <c r="BG29" i="4"/>
  <c r="BW29" i="4" s="1"/>
  <c r="BE29" i="4"/>
  <c r="BD29" i="4"/>
  <c r="BF29" i="4" s="1"/>
  <c r="BV29" i="4" s="1"/>
  <c r="BC29" i="4"/>
  <c r="BB29" i="4"/>
  <c r="BA29" i="4"/>
  <c r="DD28" i="4"/>
  <c r="DC28" i="4"/>
  <c r="DB28" i="4"/>
  <c r="DA28" i="4"/>
  <c r="CZ28" i="4"/>
  <c r="CY28" i="4"/>
  <c r="CX28" i="4"/>
  <c r="CW28" i="4"/>
  <c r="CV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C28" i="4"/>
  <c r="CB28" i="4"/>
  <c r="BQ28" i="4"/>
  <c r="BP28" i="4"/>
  <c r="BM28" i="4"/>
  <c r="BO28" i="4" s="1"/>
  <c r="CG28" i="4" s="1"/>
  <c r="BL28" i="4"/>
  <c r="CD28" i="4" s="1"/>
  <c r="BC28" i="4"/>
  <c r="BB28" i="4"/>
  <c r="BD28" i="4" s="1"/>
  <c r="BA28" i="4"/>
  <c r="DD27" i="4"/>
  <c r="DC27" i="4"/>
  <c r="DB27" i="4"/>
  <c r="DA27" i="4"/>
  <c r="CZ27" i="4"/>
  <c r="CY27" i="4"/>
  <c r="CX27" i="4"/>
  <c r="CW27" i="4"/>
  <c r="CV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F27" i="4"/>
  <c r="CC27" i="4"/>
  <c r="CB27" i="4"/>
  <c r="BW27" i="4"/>
  <c r="BR27" i="4"/>
  <c r="BQ27" i="4"/>
  <c r="BP27" i="4"/>
  <c r="BM27" i="4"/>
  <c r="BL27" i="4"/>
  <c r="BN27" i="4" s="1"/>
  <c r="BE27" i="4"/>
  <c r="BG27" i="4" s="1"/>
  <c r="BI27" i="4" s="1"/>
  <c r="BD27" i="4"/>
  <c r="BC27" i="4"/>
  <c r="BS27" i="4" s="1"/>
  <c r="BB27" i="4"/>
  <c r="BA27" i="4"/>
  <c r="DD26" i="4"/>
  <c r="DC26" i="4"/>
  <c r="DB26" i="4"/>
  <c r="DA26" i="4"/>
  <c r="CZ26" i="4"/>
  <c r="CY26" i="4"/>
  <c r="CX26" i="4"/>
  <c r="CW26" i="4"/>
  <c r="CV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D26" i="4"/>
  <c r="CC26" i="4"/>
  <c r="CB26" i="4"/>
  <c r="BS26" i="4"/>
  <c r="BQ26" i="4"/>
  <c r="BP26" i="4"/>
  <c r="BN26" i="4"/>
  <c r="CF26" i="4" s="1"/>
  <c r="BM26" i="4"/>
  <c r="BO26" i="4" s="1"/>
  <c r="CG26" i="4" s="1"/>
  <c r="BL26" i="4"/>
  <c r="BE26" i="4"/>
  <c r="BC26" i="4"/>
  <c r="BB26" i="4"/>
  <c r="BD26" i="4" s="1"/>
  <c r="BT26" i="4" s="1"/>
  <c r="BA26" i="4"/>
  <c r="DD25" i="4"/>
  <c r="DC25" i="4"/>
  <c r="DB25" i="4"/>
  <c r="DA25" i="4"/>
  <c r="CZ25" i="4"/>
  <c r="CY25" i="4"/>
  <c r="CX25" i="4"/>
  <c r="CW25" i="4"/>
  <c r="CV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C25" i="4"/>
  <c r="CB25" i="4"/>
  <c r="BT25" i="4"/>
  <c r="BR25" i="4"/>
  <c r="BQ25" i="4"/>
  <c r="BP25" i="4"/>
  <c r="BM25" i="4"/>
  <c r="BO25" i="4" s="1"/>
  <c r="BL25" i="4"/>
  <c r="BN25" i="4" s="1"/>
  <c r="CF25" i="4" s="1"/>
  <c r="BE25" i="4"/>
  <c r="BG25" i="4" s="1"/>
  <c r="BD25" i="4"/>
  <c r="BF25" i="4" s="1"/>
  <c r="BH25" i="4" s="1"/>
  <c r="BC25" i="4"/>
  <c r="BS25" i="4" s="1"/>
  <c r="BB25" i="4"/>
  <c r="BA25" i="4"/>
  <c r="DD24" i="4"/>
  <c r="DC24" i="4"/>
  <c r="DB24" i="4"/>
  <c r="DA24" i="4"/>
  <c r="CZ24" i="4"/>
  <c r="CY24" i="4"/>
  <c r="CX24" i="4"/>
  <c r="CW24" i="4"/>
  <c r="CV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D24" i="4"/>
  <c r="CC24" i="4"/>
  <c r="CB24" i="4"/>
  <c r="BR24" i="4"/>
  <c r="BQ24" i="4"/>
  <c r="BP24" i="4"/>
  <c r="BO24" i="4"/>
  <c r="BN24" i="4"/>
  <c r="BM24" i="4"/>
  <c r="CE24" i="4" s="1"/>
  <c r="BL24" i="4"/>
  <c r="BE24" i="4"/>
  <c r="BD24" i="4"/>
  <c r="BF24" i="4" s="1"/>
  <c r="BC24" i="4"/>
  <c r="BS24" i="4" s="1"/>
  <c r="BB24" i="4"/>
  <c r="BA24" i="4"/>
  <c r="DD23" i="4"/>
  <c r="DC23" i="4"/>
  <c r="DB23" i="4"/>
  <c r="DA23" i="4"/>
  <c r="CZ23" i="4"/>
  <c r="CY23" i="4"/>
  <c r="CX23" i="4"/>
  <c r="CW23" i="4"/>
  <c r="CV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E23" i="4"/>
  <c r="CC23" i="4"/>
  <c r="CB23" i="4"/>
  <c r="BY23" i="4"/>
  <c r="BU23" i="4"/>
  <c r="BT23" i="4"/>
  <c r="BS23" i="4"/>
  <c r="BQ23" i="4"/>
  <c r="BP23" i="4"/>
  <c r="BM23" i="4"/>
  <c r="BO23" i="4" s="1"/>
  <c r="BL23" i="4"/>
  <c r="BN23" i="4" s="1"/>
  <c r="CF23" i="4" s="1"/>
  <c r="BK23" i="4"/>
  <c r="CA23" i="4" s="1"/>
  <c r="BG23" i="4"/>
  <c r="BI23" i="4" s="1"/>
  <c r="BF23" i="4"/>
  <c r="BV23" i="4" s="1"/>
  <c r="BE23" i="4"/>
  <c r="BD23" i="4"/>
  <c r="BC23" i="4"/>
  <c r="BB23" i="4"/>
  <c r="BR23" i="4" s="1"/>
  <c r="BA23" i="4"/>
  <c r="DD22" i="4"/>
  <c r="DC22" i="4"/>
  <c r="DB22" i="4"/>
  <c r="DA22" i="4"/>
  <c r="CZ22" i="4"/>
  <c r="CY22" i="4"/>
  <c r="CX22" i="4"/>
  <c r="CW22" i="4"/>
  <c r="CV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F22" i="4"/>
  <c r="CD22" i="4"/>
  <c r="CC22" i="4"/>
  <c r="CB22" i="4"/>
  <c r="BS22" i="4"/>
  <c r="BQ22" i="4"/>
  <c r="BP22" i="4"/>
  <c r="BO22" i="4"/>
  <c r="CG22" i="4" s="1"/>
  <c r="BN22" i="4"/>
  <c r="BM22" i="4"/>
  <c r="CE22" i="4" s="1"/>
  <c r="BL22" i="4"/>
  <c r="BI22" i="4"/>
  <c r="BE22" i="4"/>
  <c r="BG22" i="4" s="1"/>
  <c r="BW22" i="4" s="1"/>
  <c r="BC22" i="4"/>
  <c r="BB22" i="4"/>
  <c r="BR22" i="4" s="1"/>
  <c r="BA22" i="4"/>
  <c r="DD21" i="4"/>
  <c r="DC21" i="4"/>
  <c r="DB21" i="4"/>
  <c r="DA21" i="4"/>
  <c r="CZ21" i="4"/>
  <c r="CY21" i="4"/>
  <c r="CX21" i="4"/>
  <c r="CW21" i="4"/>
  <c r="CV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C21" i="4"/>
  <c r="CB21" i="4"/>
  <c r="BQ21" i="4"/>
  <c r="BP21" i="4"/>
  <c r="BO21" i="4"/>
  <c r="BN21" i="4"/>
  <c r="CF21" i="4" s="1"/>
  <c r="BM21" i="4"/>
  <c r="CE21" i="4" s="1"/>
  <c r="BL21" i="4"/>
  <c r="CD21" i="4" s="1"/>
  <c r="BF21" i="4"/>
  <c r="BV21" i="4" s="1"/>
  <c r="BC21" i="4"/>
  <c r="BS21" i="4" s="1"/>
  <c r="BB21" i="4"/>
  <c r="BD21" i="4" s="1"/>
  <c r="BT21" i="4" s="1"/>
  <c r="BA21" i="4"/>
  <c r="DD20" i="4"/>
  <c r="DC20" i="4"/>
  <c r="DB20" i="4"/>
  <c r="DA20" i="4"/>
  <c r="CZ20" i="4"/>
  <c r="CY20" i="4"/>
  <c r="CX20" i="4"/>
  <c r="CW20" i="4"/>
  <c r="CV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D20" i="4"/>
  <c r="CC20" i="4"/>
  <c r="CB20" i="4"/>
  <c r="BV20" i="4"/>
  <c r="BS20" i="4"/>
  <c r="BR20" i="4"/>
  <c r="BQ20" i="4"/>
  <c r="BP20" i="4"/>
  <c r="BM20" i="4"/>
  <c r="BO20" i="4" s="1"/>
  <c r="CG20" i="4" s="1"/>
  <c r="BL20" i="4"/>
  <c r="BN20" i="4" s="1"/>
  <c r="CF20" i="4" s="1"/>
  <c r="BI20" i="4"/>
  <c r="BK20" i="4" s="1"/>
  <c r="CA20" i="4" s="1"/>
  <c r="BG20" i="4"/>
  <c r="BW20" i="4" s="1"/>
  <c r="BE20" i="4"/>
  <c r="BU20" i="4" s="1"/>
  <c r="BD20" i="4"/>
  <c r="BF20" i="4" s="1"/>
  <c r="BH20" i="4" s="1"/>
  <c r="BC20" i="4"/>
  <c r="BB20" i="4"/>
  <c r="BA20" i="4"/>
  <c r="DD19" i="4"/>
  <c r="DC19" i="4"/>
  <c r="DB19" i="4"/>
  <c r="DA19" i="4"/>
  <c r="CZ19" i="4"/>
  <c r="CY19" i="4"/>
  <c r="CX19" i="4"/>
  <c r="CW19" i="4"/>
  <c r="CV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E19" i="4"/>
  <c r="CC19" i="4"/>
  <c r="CB19" i="4"/>
  <c r="BX19" i="4"/>
  <c r="BT19" i="4"/>
  <c r="BR19" i="4"/>
  <c r="BQ19" i="4"/>
  <c r="BP19" i="4"/>
  <c r="BO19" i="4"/>
  <c r="CG19" i="4" s="1"/>
  <c r="BM19" i="4"/>
  <c r="BL19" i="4"/>
  <c r="CD19" i="4" s="1"/>
  <c r="BF19" i="4"/>
  <c r="BH19" i="4" s="1"/>
  <c r="BJ19" i="4" s="1"/>
  <c r="BZ19" i="4" s="1"/>
  <c r="BC19" i="4"/>
  <c r="BS19" i="4" s="1"/>
  <c r="BB19" i="4"/>
  <c r="BD19" i="4" s="1"/>
  <c r="BA19" i="4"/>
  <c r="DD18" i="4"/>
  <c r="DC18" i="4"/>
  <c r="DB18" i="4"/>
  <c r="DA18" i="4"/>
  <c r="CZ18" i="4"/>
  <c r="CY18" i="4"/>
  <c r="CX18" i="4"/>
  <c r="CW18" i="4"/>
  <c r="CV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D18" i="4"/>
  <c r="CC18" i="4"/>
  <c r="CB18" i="4"/>
  <c r="BQ18" i="4"/>
  <c r="BP18" i="4"/>
  <c r="BM18" i="4"/>
  <c r="CE18" i="4" s="1"/>
  <c r="BL18" i="4"/>
  <c r="BN18" i="4" s="1"/>
  <c r="CF18" i="4" s="1"/>
  <c r="BC18" i="4"/>
  <c r="BB18" i="4"/>
  <c r="BR18" i="4" s="1"/>
  <c r="BA18" i="4"/>
  <c r="DD17" i="4"/>
  <c r="DC17" i="4"/>
  <c r="DB17" i="4"/>
  <c r="DA17" i="4"/>
  <c r="CZ17" i="4"/>
  <c r="CY17" i="4"/>
  <c r="CX17" i="4"/>
  <c r="CW17" i="4"/>
  <c r="CV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F17" i="4"/>
  <c r="CD17" i="4"/>
  <c r="CC17" i="4"/>
  <c r="CB17" i="4"/>
  <c r="BW17" i="4"/>
  <c r="BS17" i="4"/>
  <c r="BQ17" i="4"/>
  <c r="BP17" i="4"/>
  <c r="BN17" i="4"/>
  <c r="BM17" i="4"/>
  <c r="BO17" i="4" s="1"/>
  <c r="CG17" i="4" s="1"/>
  <c r="BL17" i="4"/>
  <c r="BI17" i="4"/>
  <c r="BK17" i="4" s="1"/>
  <c r="CA17" i="4" s="1"/>
  <c r="BE17" i="4"/>
  <c r="BG17" i="4" s="1"/>
  <c r="BC17" i="4"/>
  <c r="BB17" i="4"/>
  <c r="BD17" i="4" s="1"/>
  <c r="BA17" i="4"/>
  <c r="DD16" i="4"/>
  <c r="DC16" i="4"/>
  <c r="DB16" i="4"/>
  <c r="DA16" i="4"/>
  <c r="CZ16" i="4"/>
  <c r="CY16" i="4"/>
  <c r="CX16" i="4"/>
  <c r="CW16" i="4"/>
  <c r="CV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F16" i="4"/>
  <c r="CD16" i="4"/>
  <c r="CC16" i="4"/>
  <c r="CB16" i="4"/>
  <c r="BS16" i="4"/>
  <c r="BQ16" i="4"/>
  <c r="BP16" i="4"/>
  <c r="BM16" i="4"/>
  <c r="CE16" i="4" s="1"/>
  <c r="BL16" i="4"/>
  <c r="BN16" i="4" s="1"/>
  <c r="BC16" i="4"/>
  <c r="BE16" i="4" s="1"/>
  <c r="BG16" i="4" s="1"/>
  <c r="BB16" i="4"/>
  <c r="BR16" i="4" s="1"/>
  <c r="BA16" i="4"/>
  <c r="DD15" i="4"/>
  <c r="DC15" i="4"/>
  <c r="DB15" i="4"/>
  <c r="DA15" i="4"/>
  <c r="CZ15" i="4"/>
  <c r="CY15" i="4"/>
  <c r="CX15" i="4"/>
  <c r="CW15" i="4"/>
  <c r="CV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C15" i="4"/>
  <c r="CB15" i="4"/>
  <c r="BY15" i="4"/>
  <c r="BR15" i="4"/>
  <c r="BQ15" i="4"/>
  <c r="BP15" i="4"/>
  <c r="BM15" i="4"/>
  <c r="BL15" i="4"/>
  <c r="CD15" i="4" s="1"/>
  <c r="BI15" i="4"/>
  <c r="BK15" i="4" s="1"/>
  <c r="CA15" i="4" s="1"/>
  <c r="BE15" i="4"/>
  <c r="BG15" i="4" s="1"/>
  <c r="BW15" i="4" s="1"/>
  <c r="BD15" i="4"/>
  <c r="BC15" i="4"/>
  <c r="BS15" i="4" s="1"/>
  <c r="BB15" i="4"/>
  <c r="BA15" i="4"/>
  <c r="DD14" i="4"/>
  <c r="DC14" i="4"/>
  <c r="DB14" i="4"/>
  <c r="DA14" i="4"/>
  <c r="CZ14" i="4"/>
  <c r="CY14" i="4"/>
  <c r="CX14" i="4"/>
  <c r="CW14" i="4"/>
  <c r="CV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F14" i="4"/>
  <c r="CC14" i="4"/>
  <c r="CB14" i="4"/>
  <c r="BX14" i="4"/>
  <c r="BW14" i="4"/>
  <c r="BT14" i="4"/>
  <c r="BS14" i="4"/>
  <c r="BQ14" i="4"/>
  <c r="BP14" i="4"/>
  <c r="BN14" i="4"/>
  <c r="BM14" i="4"/>
  <c r="BO14" i="4" s="1"/>
  <c r="CG14" i="4" s="1"/>
  <c r="BL14" i="4"/>
  <c r="CD14" i="4" s="1"/>
  <c r="BJ14" i="4"/>
  <c r="BZ14" i="4" s="1"/>
  <c r="BI14" i="4"/>
  <c r="BG14" i="4"/>
  <c r="BF14" i="4"/>
  <c r="BH14" i="4" s="1"/>
  <c r="BE14" i="4"/>
  <c r="BU14" i="4" s="1"/>
  <c r="BC14" i="4"/>
  <c r="BB14" i="4"/>
  <c r="BD14" i="4" s="1"/>
  <c r="BA14" i="4"/>
  <c r="DD13" i="4"/>
  <c r="DC13" i="4"/>
  <c r="DB13" i="4"/>
  <c r="DA13" i="4"/>
  <c r="CZ13" i="4"/>
  <c r="CY13" i="4"/>
  <c r="CX13" i="4"/>
  <c r="CW13" i="4"/>
  <c r="CV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D13" i="4"/>
  <c r="CC13" i="4"/>
  <c r="CB13" i="4"/>
  <c r="BV13" i="4"/>
  <c r="BT13" i="4"/>
  <c r="BR13" i="4"/>
  <c r="BQ13" i="4"/>
  <c r="BP13" i="4"/>
  <c r="BN13" i="4"/>
  <c r="CF13" i="4" s="1"/>
  <c r="BM13" i="4"/>
  <c r="BO13" i="4" s="1"/>
  <c r="CG13" i="4" s="1"/>
  <c r="BL13" i="4"/>
  <c r="BH13" i="4"/>
  <c r="BE13" i="4"/>
  <c r="BG13" i="4" s="1"/>
  <c r="BD13" i="4"/>
  <c r="BF13" i="4" s="1"/>
  <c r="BC13" i="4"/>
  <c r="BS13" i="4" s="1"/>
  <c r="BB13" i="4"/>
  <c r="BA13" i="4"/>
  <c r="DD12" i="4"/>
  <c r="DC12" i="4"/>
  <c r="DB12" i="4"/>
  <c r="DA12" i="4"/>
  <c r="CZ12" i="4"/>
  <c r="CY12" i="4"/>
  <c r="CX12" i="4"/>
  <c r="CW12" i="4"/>
  <c r="CV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D12" i="4"/>
  <c r="CC12" i="4"/>
  <c r="CB12" i="4"/>
  <c r="BR12" i="4"/>
  <c r="BQ12" i="4"/>
  <c r="BP12" i="4"/>
  <c r="BO12" i="4"/>
  <c r="BN12" i="4"/>
  <c r="CF12" i="4" s="1"/>
  <c r="BM12" i="4"/>
  <c r="CE12" i="4" s="1"/>
  <c r="BL12" i="4"/>
  <c r="BE12" i="4"/>
  <c r="BD12" i="4"/>
  <c r="BF12" i="4" s="1"/>
  <c r="BC12" i="4"/>
  <c r="BS12" i="4" s="1"/>
  <c r="BB12" i="4"/>
  <c r="BA12" i="4"/>
  <c r="DD11" i="4"/>
  <c r="DC11" i="4"/>
  <c r="DB11" i="4"/>
  <c r="DA11" i="4"/>
  <c r="CZ11" i="4"/>
  <c r="CY11" i="4"/>
  <c r="CX11" i="4"/>
  <c r="CW11" i="4"/>
  <c r="CV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E11" i="4"/>
  <c r="CC11" i="4"/>
  <c r="CB11" i="4"/>
  <c r="BY11" i="4"/>
  <c r="BU11" i="4"/>
  <c r="BS11" i="4"/>
  <c r="BQ11" i="4"/>
  <c r="BP11" i="4"/>
  <c r="BM11" i="4"/>
  <c r="BO11" i="4" s="1"/>
  <c r="BL11" i="4"/>
  <c r="BG11" i="4"/>
  <c r="BI11" i="4" s="1"/>
  <c r="BK11" i="4" s="1"/>
  <c r="CA11" i="4" s="1"/>
  <c r="BE11" i="4"/>
  <c r="BC11" i="4"/>
  <c r="BB11" i="4"/>
  <c r="BR11" i="4" s="1"/>
  <c r="BA11" i="4"/>
  <c r="DD10" i="4"/>
  <c r="DC10" i="4"/>
  <c r="DB10" i="4"/>
  <c r="DA10" i="4"/>
  <c r="CZ10" i="4"/>
  <c r="CY10" i="4"/>
  <c r="CX10" i="4"/>
  <c r="CW10" i="4"/>
  <c r="CV10" i="4"/>
  <c r="CU10" i="4"/>
  <c r="CT10" i="4"/>
  <c r="CS10" i="4"/>
  <c r="CR10" i="4"/>
  <c r="CQ10" i="4"/>
  <c r="CP10" i="4"/>
  <c r="CO10" i="4"/>
  <c r="CN10" i="4"/>
  <c r="CM10" i="4"/>
  <c r="CL10" i="4"/>
  <c r="CK10" i="4"/>
  <c r="CJ10" i="4"/>
  <c r="CI10" i="4"/>
  <c r="CH10" i="4"/>
  <c r="CE10" i="4"/>
  <c r="CD10" i="4"/>
  <c r="CC10" i="4"/>
  <c r="CB10" i="4"/>
  <c r="BS10" i="4"/>
  <c r="BQ10" i="4"/>
  <c r="BP10" i="4"/>
  <c r="BO10" i="4"/>
  <c r="CG10" i="4" s="1"/>
  <c r="BN10" i="4"/>
  <c r="CF10" i="4" s="1"/>
  <c r="BM10" i="4"/>
  <c r="BL10" i="4"/>
  <c r="BE10" i="4"/>
  <c r="BG10" i="4" s="1"/>
  <c r="BW10" i="4" s="1"/>
  <c r="BC10" i="4"/>
  <c r="BB10" i="4"/>
  <c r="BD10" i="4" s="1"/>
  <c r="BA10" i="4"/>
  <c r="DD9" i="4"/>
  <c r="DC9" i="4"/>
  <c r="DB9" i="4"/>
  <c r="DA9" i="4"/>
  <c r="CZ9" i="4"/>
  <c r="CY9" i="4"/>
  <c r="CX9" i="4"/>
  <c r="CW9" i="4"/>
  <c r="CV9" i="4"/>
  <c r="CU9" i="4"/>
  <c r="CT9" i="4"/>
  <c r="CS9" i="4"/>
  <c r="CR9" i="4"/>
  <c r="CQ9" i="4"/>
  <c r="CP9" i="4"/>
  <c r="CO9" i="4"/>
  <c r="CN9" i="4"/>
  <c r="CM9" i="4"/>
  <c r="CL9" i="4"/>
  <c r="CK9" i="4"/>
  <c r="CJ9" i="4"/>
  <c r="CI9" i="4"/>
  <c r="CH9" i="4"/>
  <c r="CG9" i="4"/>
  <c r="CC9" i="4"/>
  <c r="CB9" i="4"/>
  <c r="BQ9" i="4"/>
  <c r="BP9" i="4"/>
  <c r="BO9" i="4"/>
  <c r="BN9" i="4"/>
  <c r="CF9" i="4" s="1"/>
  <c r="BM9" i="4"/>
  <c r="CE9" i="4" s="1"/>
  <c r="BL9" i="4"/>
  <c r="CD9" i="4" s="1"/>
  <c r="BC9" i="4"/>
  <c r="BB9" i="4"/>
  <c r="BA9" i="4"/>
  <c r="DD8" i="4"/>
  <c r="DC8" i="4"/>
  <c r="DB8" i="4"/>
  <c r="DA8" i="4"/>
  <c r="CZ8" i="4"/>
  <c r="CY8" i="4"/>
  <c r="CX8" i="4"/>
  <c r="CW8" i="4"/>
  <c r="CV8" i="4"/>
  <c r="CU8" i="4"/>
  <c r="CT8" i="4"/>
  <c r="CS8" i="4"/>
  <c r="CR8" i="4"/>
  <c r="CQ8" i="4"/>
  <c r="CP8" i="4"/>
  <c r="CO8" i="4"/>
  <c r="CN8" i="4"/>
  <c r="CM8" i="4"/>
  <c r="CL8" i="4"/>
  <c r="CK8" i="4"/>
  <c r="CJ8" i="4"/>
  <c r="CI8" i="4"/>
  <c r="CH8" i="4"/>
  <c r="CE8" i="4"/>
  <c r="CC8" i="4"/>
  <c r="CB8" i="4"/>
  <c r="BT8" i="4"/>
  <c r="BS8" i="4"/>
  <c r="BR8" i="4"/>
  <c r="BQ8" i="4"/>
  <c r="BP8" i="4"/>
  <c r="BO8" i="4"/>
  <c r="CG8" i="4" s="1"/>
  <c r="BN8" i="4"/>
  <c r="CF8" i="4" s="1"/>
  <c r="BM8" i="4"/>
  <c r="BL8" i="4"/>
  <c r="CD8" i="4" s="1"/>
  <c r="BG8" i="4"/>
  <c r="BI8" i="4" s="1"/>
  <c r="BY8" i="4" s="1"/>
  <c r="BF8" i="4"/>
  <c r="BD8" i="4"/>
  <c r="BC8" i="4"/>
  <c r="BE8" i="4" s="1"/>
  <c r="BU8" i="4" s="1"/>
  <c r="BB8" i="4"/>
  <c r="BA8" i="4"/>
  <c r="DD7" i="4"/>
  <c r="DC7" i="4"/>
  <c r="DB7" i="4"/>
  <c r="DA7" i="4"/>
  <c r="CZ7" i="4"/>
  <c r="CY7" i="4"/>
  <c r="CX7" i="4"/>
  <c r="CW7" i="4"/>
  <c r="CV7" i="4"/>
  <c r="CU7" i="4"/>
  <c r="CT7" i="4"/>
  <c r="CS7" i="4"/>
  <c r="CR7" i="4"/>
  <c r="CQ7" i="4"/>
  <c r="CP7" i="4"/>
  <c r="CO7" i="4"/>
  <c r="CN7" i="4"/>
  <c r="CM7" i="4"/>
  <c r="CL7" i="4"/>
  <c r="CK7" i="4"/>
  <c r="CJ7" i="4"/>
  <c r="CI7" i="4"/>
  <c r="CH7" i="4"/>
  <c r="CE7" i="4"/>
  <c r="CD7" i="4"/>
  <c r="CC7" i="4"/>
  <c r="CB7" i="4"/>
  <c r="BW7" i="4"/>
  <c r="BQ7" i="4"/>
  <c r="BP7" i="4"/>
  <c r="BO7" i="4"/>
  <c r="CG7" i="4" s="1"/>
  <c r="BN7" i="4"/>
  <c r="CF7" i="4" s="1"/>
  <c r="BM7" i="4"/>
  <c r="BL7" i="4"/>
  <c r="BK7" i="4"/>
  <c r="CA7" i="4" s="1"/>
  <c r="BG7" i="4"/>
  <c r="BI7" i="4" s="1"/>
  <c r="BY7" i="4" s="1"/>
  <c r="BC7" i="4"/>
  <c r="BE7" i="4" s="1"/>
  <c r="BU7" i="4" s="1"/>
  <c r="BB7" i="4"/>
  <c r="BR7" i="4" s="1"/>
  <c r="BA7" i="4"/>
  <c r="DD6" i="4"/>
  <c r="DC6" i="4"/>
  <c r="DB6" i="4"/>
  <c r="DA6" i="4"/>
  <c r="CZ6" i="4"/>
  <c r="CY6" i="4"/>
  <c r="CX6" i="4"/>
  <c r="CW6" i="4"/>
  <c r="CV6" i="4"/>
  <c r="CU6" i="4"/>
  <c r="CT6" i="4"/>
  <c r="CS6" i="4"/>
  <c r="CR6" i="4"/>
  <c r="CQ6" i="4"/>
  <c r="CP6" i="4"/>
  <c r="CO6" i="4"/>
  <c r="CN6" i="4"/>
  <c r="CM6" i="4"/>
  <c r="CL6" i="4"/>
  <c r="CK6" i="4"/>
  <c r="CJ6" i="4"/>
  <c r="CI6" i="4"/>
  <c r="CH6" i="4"/>
  <c r="CE6" i="4"/>
  <c r="CD6" i="4"/>
  <c r="CC6" i="4"/>
  <c r="CB6" i="4"/>
  <c r="BS6" i="4"/>
  <c r="BQ6" i="4"/>
  <c r="BP6" i="4"/>
  <c r="BO6" i="4"/>
  <c r="CG6" i="4" s="1"/>
  <c r="BN6" i="4"/>
  <c r="CF6" i="4" s="1"/>
  <c r="BM6" i="4"/>
  <c r="BL6" i="4"/>
  <c r="BC6" i="4"/>
  <c r="BE6" i="4" s="1"/>
  <c r="BU6" i="4" s="1"/>
  <c r="BB6" i="4"/>
  <c r="BR6" i="4" s="1"/>
  <c r="BA6" i="4"/>
  <c r="DD5" i="4"/>
  <c r="DC5" i="4"/>
  <c r="DB5" i="4"/>
  <c r="DA5" i="4"/>
  <c r="CZ5" i="4"/>
  <c r="CY5" i="4"/>
  <c r="CX5" i="4"/>
  <c r="CW5" i="4"/>
  <c r="CV5" i="4"/>
  <c r="CU5" i="4"/>
  <c r="CT5" i="4"/>
  <c r="CS5" i="4"/>
  <c r="CR5" i="4"/>
  <c r="CQ5" i="4"/>
  <c r="CP5" i="4"/>
  <c r="CO5" i="4"/>
  <c r="CN5" i="4"/>
  <c r="CM5" i="4"/>
  <c r="CL5" i="4"/>
  <c r="CK5" i="4"/>
  <c r="CJ5" i="4"/>
  <c r="CI5" i="4"/>
  <c r="CH5" i="4"/>
  <c r="CE5" i="4"/>
  <c r="CD5" i="4"/>
  <c r="CC5" i="4"/>
  <c r="CB5" i="4"/>
  <c r="BQ5" i="4"/>
  <c r="BP5" i="4"/>
  <c r="BO5" i="4"/>
  <c r="CG5" i="4" s="1"/>
  <c r="BN5" i="4"/>
  <c r="CF5" i="4" s="1"/>
  <c r="BM5" i="4"/>
  <c r="BL5" i="4"/>
  <c r="BC5" i="4"/>
  <c r="BE5" i="4" s="1"/>
  <c r="BU5" i="4" s="1"/>
  <c r="BB5" i="4"/>
  <c r="BA5" i="4"/>
  <c r="DD4" i="4"/>
  <c r="DC4" i="4"/>
  <c r="DB4" i="4"/>
  <c r="DA4" i="4"/>
  <c r="CZ4" i="4"/>
  <c r="CY4" i="4"/>
  <c r="CX4" i="4"/>
  <c r="CW4" i="4"/>
  <c r="CV4" i="4"/>
  <c r="CU4" i="4"/>
  <c r="CT4" i="4"/>
  <c r="CS4" i="4"/>
  <c r="CR4" i="4"/>
  <c r="CQ4" i="4"/>
  <c r="CP4" i="4"/>
  <c r="CO4" i="4"/>
  <c r="CN4" i="4"/>
  <c r="CM4" i="4"/>
  <c r="CL4" i="4"/>
  <c r="CK4" i="4"/>
  <c r="CJ4" i="4"/>
  <c r="CI4" i="4"/>
  <c r="CH4" i="4"/>
  <c r="CE4" i="4"/>
  <c r="CC4" i="4"/>
  <c r="CB4" i="4"/>
  <c r="BU4" i="4"/>
  <c r="BS4" i="4"/>
  <c r="BQ4" i="4"/>
  <c r="BP4" i="4"/>
  <c r="BO4" i="4"/>
  <c r="CG4" i="4" s="1"/>
  <c r="BM4" i="4"/>
  <c r="BL4" i="4"/>
  <c r="CD4" i="4" s="1"/>
  <c r="BI4" i="4"/>
  <c r="BG4" i="4"/>
  <c r="BW4" i="4" s="1"/>
  <c r="BC4" i="4"/>
  <c r="BE4" i="4" s="1"/>
  <c r="BB4" i="4"/>
  <c r="BR4" i="4" s="1"/>
  <c r="BA4" i="4"/>
  <c r="DD3" i="4"/>
  <c r="DC3" i="4"/>
  <c r="DB3" i="4"/>
  <c r="DA3" i="4"/>
  <c r="CZ3" i="4"/>
  <c r="CY3" i="4"/>
  <c r="CX3" i="4"/>
  <c r="CW3" i="4"/>
  <c r="CV3" i="4"/>
  <c r="CU3" i="4"/>
  <c r="CT3" i="4"/>
  <c r="CS3" i="4"/>
  <c r="CR3" i="4"/>
  <c r="CQ3" i="4"/>
  <c r="CP3" i="4"/>
  <c r="CO3" i="4"/>
  <c r="CN3" i="4"/>
  <c r="CM3" i="4"/>
  <c r="CL3" i="4"/>
  <c r="CK3" i="4"/>
  <c r="CJ3" i="4"/>
  <c r="CI3" i="4"/>
  <c r="CH3" i="4"/>
  <c r="CE3" i="4"/>
  <c r="CD3" i="4"/>
  <c r="CC3" i="4"/>
  <c r="CB3" i="4"/>
  <c r="BQ3" i="4"/>
  <c r="BP3" i="4"/>
  <c r="BO3" i="4"/>
  <c r="CG3" i="4" s="1"/>
  <c r="BN3" i="4"/>
  <c r="CF3" i="4" s="1"/>
  <c r="BM3" i="4"/>
  <c r="BL3" i="4"/>
  <c r="BC3" i="4"/>
  <c r="BS3" i="4" s="1"/>
  <c r="BB3" i="4"/>
  <c r="BR3" i="4" s="1"/>
  <c r="BA3" i="4"/>
  <c r="DD2" i="4"/>
  <c r="DC2" i="4"/>
  <c r="DB2" i="4"/>
  <c r="DA2" i="4"/>
  <c r="CZ2" i="4"/>
  <c r="CY2" i="4"/>
  <c r="CX2" i="4"/>
  <c r="CW2" i="4"/>
  <c r="CV2" i="4"/>
  <c r="CU2" i="4"/>
  <c r="CT2" i="4"/>
  <c r="CS2" i="4"/>
  <c r="CR2" i="4"/>
  <c r="CQ2" i="4"/>
  <c r="CP2" i="4"/>
  <c r="CO2" i="4"/>
  <c r="CN2" i="4"/>
  <c r="CM2" i="4"/>
  <c r="CL2" i="4"/>
  <c r="CK2" i="4"/>
  <c r="CJ2" i="4"/>
  <c r="CI2" i="4"/>
  <c r="CH2" i="4"/>
  <c r="CE2" i="4"/>
  <c r="CC2" i="4"/>
  <c r="CB2" i="4"/>
  <c r="BY2" i="4"/>
  <c r="BS2" i="4"/>
  <c r="BR2" i="4"/>
  <c r="BQ2" i="4"/>
  <c r="BP2" i="4"/>
  <c r="BM2" i="4"/>
  <c r="BO2" i="4" s="1"/>
  <c r="CG2" i="4" s="1"/>
  <c r="BL2" i="4"/>
  <c r="CD2" i="4" s="1"/>
  <c r="BG2" i="4"/>
  <c r="BI2" i="4" s="1"/>
  <c r="BK2" i="4" s="1"/>
  <c r="CA2" i="4" s="1"/>
  <c r="BD2" i="4"/>
  <c r="BC2" i="4"/>
  <c r="BE2" i="4" s="1"/>
  <c r="BU2" i="4" s="1"/>
  <c r="BB2" i="4"/>
  <c r="BA2" i="4"/>
  <c r="G2" i="4"/>
  <c r="JZ234" i="1"/>
  <c r="JZ233" i="1"/>
  <c r="LX231" i="1"/>
  <c r="LX232" i="1"/>
  <c r="ML230" i="1"/>
  <c r="LX230" i="1"/>
  <c r="FM228" i="1"/>
  <c r="FM229" i="1"/>
  <c r="AN228" i="1"/>
  <c r="AO228" i="1"/>
  <c r="ER228" i="1"/>
  <c r="EY228" i="1"/>
  <c r="EZ228" i="1"/>
  <c r="FI228" i="1"/>
  <c r="FN228" i="1"/>
  <c r="FO228" i="1"/>
  <c r="FP228" i="1"/>
  <c r="FT228" i="1"/>
  <c r="FU228" i="1"/>
  <c r="AN229" i="1"/>
  <c r="AO229" i="1"/>
  <c r="ER229" i="1"/>
  <c r="EY229" i="1"/>
  <c r="EZ229" i="1"/>
  <c r="FI229" i="1"/>
  <c r="FN229" i="1"/>
  <c r="FO229" i="1"/>
  <c r="FP229" i="1"/>
  <c r="FT229" i="1"/>
  <c r="FU229" i="1"/>
  <c r="AN226" i="1"/>
  <c r="AO226" i="1"/>
  <c r="ER226" i="1"/>
  <c r="ES226" i="1"/>
  <c r="EU226" i="1" s="1"/>
  <c r="FC226" i="1" s="1"/>
  <c r="ET226" i="1"/>
  <c r="FB226" i="1" s="1"/>
  <c r="EY226" i="1"/>
  <c r="EZ226" i="1"/>
  <c r="FI226" i="1"/>
  <c r="FJ226" i="1"/>
  <c r="FK226" i="1"/>
  <c r="FL226" i="1"/>
  <c r="FM226" i="1"/>
  <c r="FN226" i="1"/>
  <c r="FO226" i="1"/>
  <c r="FP226" i="1"/>
  <c r="FQ226" i="1"/>
  <c r="FR226" i="1"/>
  <c r="FS226" i="1"/>
  <c r="FT226" i="1"/>
  <c r="FU226" i="1"/>
  <c r="AN227" i="1"/>
  <c r="AO227" i="1"/>
  <c r="ER227" i="1"/>
  <c r="ES227" i="1"/>
  <c r="EU227" i="1" s="1"/>
  <c r="FC227" i="1" s="1"/>
  <c r="ET227" i="1"/>
  <c r="EV227" i="1" s="1"/>
  <c r="FD227" i="1" s="1"/>
  <c r="EY227" i="1"/>
  <c r="EZ227" i="1"/>
  <c r="FI227" i="1"/>
  <c r="FJ227" i="1"/>
  <c r="FK227" i="1"/>
  <c r="FL227" i="1"/>
  <c r="FM227" i="1"/>
  <c r="FN227" i="1"/>
  <c r="FO227" i="1"/>
  <c r="FP227" i="1"/>
  <c r="FQ227" i="1"/>
  <c r="FR227" i="1"/>
  <c r="FS227" i="1"/>
  <c r="FT227" i="1"/>
  <c r="FU227" i="1"/>
  <c r="FU225" i="1"/>
  <c r="FT225" i="1"/>
  <c r="FS225" i="1"/>
  <c r="FR225" i="1"/>
  <c r="FQ225" i="1"/>
  <c r="FP225" i="1"/>
  <c r="FO225" i="1"/>
  <c r="FN225" i="1"/>
  <c r="FM225" i="1"/>
  <c r="FL225" i="1"/>
  <c r="FK225" i="1"/>
  <c r="FJ225" i="1"/>
  <c r="FI225" i="1"/>
  <c r="FF225" i="1"/>
  <c r="FE225" i="1"/>
  <c r="EZ225" i="1"/>
  <c r="EY225" i="1"/>
  <c r="FH225" i="1"/>
  <c r="ET225" i="1"/>
  <c r="EV225" i="1" s="1"/>
  <c r="FD225" i="1" s="1"/>
  <c r="ES225" i="1"/>
  <c r="EU225" i="1" s="1"/>
  <c r="FC225" i="1" s="1"/>
  <c r="ER225" i="1"/>
  <c r="AO225" i="1"/>
  <c r="AN225" i="1"/>
  <c r="JZ224" i="1"/>
  <c r="JZ223" i="1"/>
  <c r="Y43" i="1" a="1"/>
  <c r="Y43" i="1" s="1"/>
  <c r="X44" i="1"/>
  <c r="JZ222" i="1"/>
  <c r="JZ221" i="1"/>
  <c r="JZ220" i="1"/>
  <c r="JZ219" i="1"/>
  <c r="JZ218" i="1"/>
  <c r="KJ217" i="1"/>
  <c r="KK217" i="1" s="1"/>
  <c r="JZ217" i="1"/>
  <c r="AC269" i="1" l="1"/>
  <c r="AC270" i="1" s="1"/>
  <c r="CD270" i="1" s="1"/>
  <c r="KB319" i="1"/>
  <c r="KF319" i="1" s="1"/>
  <c r="KD319" i="1"/>
  <c r="KA319" i="1"/>
  <c r="KE319" i="1" s="1"/>
  <c r="KC319" i="1"/>
  <c r="FG225" i="1"/>
  <c r="AJ225" i="1" a="1"/>
  <c r="AJ225" i="1" s="1"/>
  <c r="AI226" i="1" s="1" a="1"/>
  <c r="AI226" i="1" s="1"/>
  <c r="AL267" i="1"/>
  <c r="HF267" i="1" s="1"/>
  <c r="AK267" i="1"/>
  <c r="DH500" i="1"/>
  <c r="U501" i="1"/>
  <c r="DF500" i="1"/>
  <c r="DA500" i="1"/>
  <c r="CV500" i="1"/>
  <c r="CP500" i="1"/>
  <c r="DB500" i="1"/>
  <c r="CW500" i="1"/>
  <c r="CQ500" i="1"/>
  <c r="CX500" i="1"/>
  <c r="DC500" i="1"/>
  <c r="CO500" i="1"/>
  <c r="DG500" i="1"/>
  <c r="CM500" i="1"/>
  <c r="CR500" i="1"/>
  <c r="BE500" i="1"/>
  <c r="CU500" i="1"/>
  <c r="CY500" i="1"/>
  <c r="DD500" i="1"/>
  <c r="CL500" i="1"/>
  <c r="CS500" i="1"/>
  <c r="CN500" i="1"/>
  <c r="DE500" i="1"/>
  <c r="CZ500" i="1"/>
  <c r="CT500" i="1"/>
  <c r="PZ435" i="1"/>
  <c r="X437" i="1"/>
  <c r="X438" i="1" s="1"/>
  <c r="X440" i="1" s="1"/>
  <c r="X45" i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UC311" i="1"/>
  <c r="UD311" i="1" s="1"/>
  <c r="UB312" i="1"/>
  <c r="AB44" i="5"/>
  <c r="HH44" i="5" s="1"/>
  <c r="AA44" i="5"/>
  <c r="HG44" i="5" s="1"/>
  <c r="HC51" i="5"/>
  <c r="HS51" i="5" s="1"/>
  <c r="HQ51" i="5"/>
  <c r="BN32" i="5"/>
  <c r="CD32" i="5" s="1"/>
  <c r="CB32" i="5"/>
  <c r="HC55" i="5"/>
  <c r="HS55" i="5" s="1"/>
  <c r="HQ55" i="5"/>
  <c r="CC20" i="5"/>
  <c r="BO20" i="5"/>
  <c r="CE20" i="5" s="1"/>
  <c r="HS44" i="5"/>
  <c r="Z44" i="5" a="1"/>
  <c r="Z44" i="5" s="1"/>
  <c r="Y45" i="5" s="1" a="1"/>
  <c r="Y45" i="5" s="1"/>
  <c r="CB5" i="5"/>
  <c r="BN5" i="5"/>
  <c r="CD5" i="5" s="1"/>
  <c r="BO10" i="5"/>
  <c r="CE10" i="5" s="1"/>
  <c r="CC10" i="5"/>
  <c r="HO267" i="5"/>
  <c r="HA267" i="5"/>
  <c r="HQ267" i="5" s="1"/>
  <c r="CB17" i="5"/>
  <c r="BN17" i="5"/>
  <c r="CD17" i="5" s="1"/>
  <c r="BO26" i="5"/>
  <c r="CE26" i="5" s="1"/>
  <c r="CC26" i="5"/>
  <c r="CB29" i="5"/>
  <c r="BN29" i="5"/>
  <c r="CD29" i="5" s="1"/>
  <c r="CB13" i="5"/>
  <c r="BN13" i="5"/>
  <c r="CD13" i="5" s="1"/>
  <c r="TZ303" i="5"/>
  <c r="UA303" i="5" s="1"/>
  <c r="UB303" i="5" s="1"/>
  <c r="UA302" i="5"/>
  <c r="UB302" i="5" s="1"/>
  <c r="CB23" i="5"/>
  <c r="BN23" i="5"/>
  <c r="CD23" i="5" s="1"/>
  <c r="CC7" i="5"/>
  <c r="BO7" i="5"/>
  <c r="CE7" i="5" s="1"/>
  <c r="BN21" i="5"/>
  <c r="CD21" i="5" s="1"/>
  <c r="CB21" i="5"/>
  <c r="CB28" i="5"/>
  <c r="BN28" i="5"/>
  <c r="CD28" i="5" s="1"/>
  <c r="BO33" i="5"/>
  <c r="CE33" i="5" s="1"/>
  <c r="CC33" i="5"/>
  <c r="CC29" i="5"/>
  <c r="BO29" i="5"/>
  <c r="CE29" i="5" s="1"/>
  <c r="BO30" i="5"/>
  <c r="CE30" i="5" s="1"/>
  <c r="CC30" i="5"/>
  <c r="CC21" i="5"/>
  <c r="BO21" i="5"/>
  <c r="CE21" i="5" s="1"/>
  <c r="IM49" i="5"/>
  <c r="IA49" i="5"/>
  <c r="IL49" i="5"/>
  <c r="HZ49" i="5"/>
  <c r="IE49" i="5"/>
  <c r="IJ49" i="5"/>
  <c r="GT49" i="5"/>
  <c r="U50" i="5"/>
  <c r="IH49" i="5"/>
  <c r="ID49" i="5"/>
  <c r="IQ49" i="5"/>
  <c r="IP49" i="5"/>
  <c r="IK49" i="5"/>
  <c r="II49" i="5"/>
  <c r="IO49" i="5"/>
  <c r="IN49" i="5"/>
  <c r="IF49" i="5"/>
  <c r="IG49" i="5"/>
  <c r="IC49" i="5"/>
  <c r="IB49" i="5"/>
  <c r="HY49" i="5"/>
  <c r="HR55" i="5"/>
  <c r="HD55" i="5"/>
  <c r="HT55" i="5" s="1"/>
  <c r="BN19" i="5"/>
  <c r="CD19" i="5" s="1"/>
  <c r="CB19" i="5"/>
  <c r="CC2" i="5"/>
  <c r="BO2" i="5"/>
  <c r="CE2" i="5" s="1"/>
  <c r="HS46" i="5"/>
  <c r="X48" i="5"/>
  <c r="CC4" i="5"/>
  <c r="BO4" i="5"/>
  <c r="CE4" i="5" s="1"/>
  <c r="AF271" i="5"/>
  <c r="AG271" i="5"/>
  <c r="HB267" i="5"/>
  <c r="HR267" i="5" s="1"/>
  <c r="HP267" i="5"/>
  <c r="AG267" i="1"/>
  <c r="GU267" i="1"/>
  <c r="FA225" i="1"/>
  <c r="FB225" i="1"/>
  <c r="HI267" i="1"/>
  <c r="BN11" i="4"/>
  <c r="CF11" i="4" s="1"/>
  <c r="CD11" i="4"/>
  <c r="BH24" i="4"/>
  <c r="BV24" i="4"/>
  <c r="BY14" i="4"/>
  <c r="BK14" i="4"/>
  <c r="CA14" i="4" s="1"/>
  <c r="BX25" i="4"/>
  <c r="BJ25" i="4"/>
  <c r="BZ25" i="4" s="1"/>
  <c r="BF28" i="4"/>
  <c r="BT28" i="4"/>
  <c r="BH12" i="4"/>
  <c r="BV12" i="4"/>
  <c r="BW25" i="4"/>
  <c r="BI25" i="4"/>
  <c r="BF2" i="4"/>
  <c r="BT2" i="4"/>
  <c r="BV8" i="4"/>
  <c r="BH8" i="4"/>
  <c r="BT17" i="4"/>
  <c r="BF17" i="4"/>
  <c r="BK27" i="4"/>
  <c r="CA27" i="4" s="1"/>
  <c r="BY27" i="4"/>
  <c r="GW54" i="4"/>
  <c r="HK54" i="4"/>
  <c r="BR9" i="4"/>
  <c r="BD9" i="4"/>
  <c r="BW13" i="4"/>
  <c r="BI13" i="4"/>
  <c r="BW16" i="4"/>
  <c r="BI16" i="4"/>
  <c r="BR5" i="4"/>
  <c r="BD5" i="4"/>
  <c r="BX13" i="4"/>
  <c r="BJ13" i="4"/>
  <c r="BZ13" i="4" s="1"/>
  <c r="BT10" i="4"/>
  <c r="BF10" i="4"/>
  <c r="BY4" i="4"/>
  <c r="BK4" i="4"/>
  <c r="CA4" i="4" s="1"/>
  <c r="BJ20" i="4"/>
  <c r="BZ20" i="4" s="1"/>
  <c r="BX20" i="4"/>
  <c r="BK22" i="4"/>
  <c r="CA22" i="4" s="1"/>
  <c r="BY22" i="4"/>
  <c r="BG32" i="4"/>
  <c r="BU32" i="4"/>
  <c r="BN19" i="4"/>
  <c r="CF19" i="4" s="1"/>
  <c r="BW23" i="4"/>
  <c r="BG24" i="4"/>
  <c r="BU24" i="4"/>
  <c r="BT24" i="4"/>
  <c r="BU25" i="4"/>
  <c r="BF26" i="4"/>
  <c r="BN28" i="4"/>
  <c r="CF28" i="4" s="1"/>
  <c r="CE29" i="4"/>
  <c r="BD31" i="4"/>
  <c r="EW39" i="4"/>
  <c r="GS44" i="4"/>
  <c r="CE28" i="4"/>
  <c r="BW8" i="4"/>
  <c r="BV25" i="4"/>
  <c r="BW2" i="4"/>
  <c r="BG5" i="4"/>
  <c r="BK8" i="4"/>
  <c r="CA8" i="4" s="1"/>
  <c r="CE15" i="4"/>
  <c r="BO15" i="4"/>
  <c r="CG15" i="4" s="1"/>
  <c r="BO18" i="4"/>
  <c r="CG18" i="4" s="1"/>
  <c r="BD3" i="4"/>
  <c r="BO16" i="4"/>
  <c r="CG16" i="4" s="1"/>
  <c r="ER34" i="4"/>
  <c r="EZ34" i="4" s="1"/>
  <c r="EX34" i="4"/>
  <c r="BE3" i="4"/>
  <c r="BN4" i="4"/>
  <c r="CF4" i="4" s="1"/>
  <c r="BD6" i="4"/>
  <c r="BU10" i="4"/>
  <c r="BD11" i="4"/>
  <c r="CE13" i="4"/>
  <c r="CE14" i="4"/>
  <c r="BN15" i="4"/>
  <c r="CF15" i="4" s="1"/>
  <c r="CE17" i="4"/>
  <c r="CE20" i="4"/>
  <c r="CD27" i="4"/>
  <c r="BR28" i="4"/>
  <c r="BS30" i="4"/>
  <c r="BE30" i="4"/>
  <c r="BO32" i="4"/>
  <c r="CG32" i="4" s="1"/>
  <c r="CE32" i="4"/>
  <c r="BR33" i="4"/>
  <c r="BD33" i="4"/>
  <c r="BU33" i="4"/>
  <c r="GW43" i="4"/>
  <c r="HK43" i="4"/>
  <c r="GZ44" i="4"/>
  <c r="HP44" i="4" s="1"/>
  <c r="HN44" i="4"/>
  <c r="GS53" i="4"/>
  <c r="HG53" i="4"/>
  <c r="BH23" i="4"/>
  <c r="BU31" i="4"/>
  <c r="BG31" i="4"/>
  <c r="BG6" i="4"/>
  <c r="BI10" i="4"/>
  <c r="BR17" i="4"/>
  <c r="BE19" i="4"/>
  <c r="CD23" i="4"/>
  <c r="BW33" i="4"/>
  <c r="BI33" i="4"/>
  <c r="GV46" i="4"/>
  <c r="HL49" i="4"/>
  <c r="GX49" i="4"/>
  <c r="HL54" i="4"/>
  <c r="GX54" i="4"/>
  <c r="GU55" i="4"/>
  <c r="BS5" i="4"/>
  <c r="CE27" i="4"/>
  <c r="BO27" i="4"/>
  <c r="CG27" i="4" s="1"/>
  <c r="BN2" i="4"/>
  <c r="CF2" i="4" s="1"/>
  <c r="BT20" i="4"/>
  <c r="BR21" i="4"/>
  <c r="CD25" i="4"/>
  <c r="CE26" i="4"/>
  <c r="BS28" i="4"/>
  <c r="BE28" i="4"/>
  <c r="BH29" i="4"/>
  <c r="GZ43" i="4"/>
  <c r="HP43" i="4" s="1"/>
  <c r="X45" i="4"/>
  <c r="HY46" i="4"/>
  <c r="HK48" i="4"/>
  <c r="GU49" i="4"/>
  <c r="HI49" i="4"/>
  <c r="GX53" i="4"/>
  <c r="HL53" i="4"/>
  <c r="BY20" i="4"/>
  <c r="BT27" i="4"/>
  <c r="BF27" i="4"/>
  <c r="BT32" i="4"/>
  <c r="BF32" i="4"/>
  <c r="BU26" i="4"/>
  <c r="BG26" i="4"/>
  <c r="BR10" i="4"/>
  <c r="HG47" i="4"/>
  <c r="GS47" i="4"/>
  <c r="BT30" i="4"/>
  <c r="BF30" i="4"/>
  <c r="HL43" i="4"/>
  <c r="BD4" i="4"/>
  <c r="BD7" i="4"/>
  <c r="BW11" i="4"/>
  <c r="BG12" i="4"/>
  <c r="BU12" i="4"/>
  <c r="BT12" i="4"/>
  <c r="BR14" i="4"/>
  <c r="BS18" i="4"/>
  <c r="BE18" i="4"/>
  <c r="BS7" i="4"/>
  <c r="BU13" i="4"/>
  <c r="BU15" i="4"/>
  <c r="BD16" i="4"/>
  <c r="BU16" i="4"/>
  <c r="BU17" i="4"/>
  <c r="BD18" i="4"/>
  <c r="BV19" i="4"/>
  <c r="BE21" i="4"/>
  <c r="BD22" i="4"/>
  <c r="CE25" i="4"/>
  <c r="BI29" i="4"/>
  <c r="BO31" i="4"/>
  <c r="CG31" i="4" s="1"/>
  <c r="EW38" i="4"/>
  <c r="ER39" i="4"/>
  <c r="EZ39" i="4" s="1"/>
  <c r="GT45" i="4"/>
  <c r="HH45" i="4"/>
  <c r="ID46" i="4"/>
  <c r="BS9" i="4"/>
  <c r="BE9" i="4"/>
  <c r="CD30" i="4"/>
  <c r="HH48" i="4"/>
  <c r="GT48" i="4"/>
  <c r="HH50" i="4"/>
  <c r="GT50" i="4"/>
  <c r="BY17" i="4"/>
  <c r="BT15" i="4"/>
  <c r="BF15" i="4"/>
  <c r="BU27" i="4"/>
  <c r="EX42" i="4"/>
  <c r="ER42" i="4"/>
  <c r="EZ42" i="4" s="1"/>
  <c r="BV14" i="4"/>
  <c r="BH21" i="4"/>
  <c r="BU22" i="4"/>
  <c r="BR26" i="4"/>
  <c r="CE30" i="4"/>
  <c r="BO30" i="4"/>
  <c r="CG30" i="4" s="1"/>
  <c r="CD33" i="4"/>
  <c r="AB43" i="4"/>
  <c r="HD43" i="4" s="1"/>
  <c r="AA43" i="4"/>
  <c r="HC43" i="4" s="1"/>
  <c r="HK45" i="4"/>
  <c r="GW45" i="4"/>
  <c r="HJ51" i="4"/>
  <c r="IE46" i="4"/>
  <c r="U47" i="4"/>
  <c r="IL46" i="4"/>
  <c r="HZ46" i="4"/>
  <c r="GP46" i="4"/>
  <c r="IG46" i="4"/>
  <c r="IB46" i="4"/>
  <c r="IA46" i="4"/>
  <c r="HX46" i="4"/>
  <c r="HV46" i="4"/>
  <c r="IM46" i="4"/>
  <c r="HU46" i="4"/>
  <c r="II46" i="4"/>
  <c r="IH46" i="4"/>
  <c r="IC46" i="4"/>
  <c r="IK46" i="4"/>
  <c r="HL51" i="4"/>
  <c r="GX51" i="4"/>
  <c r="HH44" i="4"/>
  <c r="HX44" i="4"/>
  <c r="IF45" i="4"/>
  <c r="HG52" i="4"/>
  <c r="GS52" i="4"/>
  <c r="HM46" i="4"/>
  <c r="GY46" i="4"/>
  <c r="HO46" i="4" s="1"/>
  <c r="II44" i="4"/>
  <c r="HW44" i="4"/>
  <c r="IM44" i="4"/>
  <c r="HZ44" i="4"/>
  <c r="IG44" i="4"/>
  <c r="IC44" i="4"/>
  <c r="GP45" i="4"/>
  <c r="HU45" i="4"/>
  <c r="IL45" i="4"/>
  <c r="GU50" i="4"/>
  <c r="HI50" i="4"/>
  <c r="HN52" i="4"/>
  <c r="GZ52" i="4"/>
  <c r="HP52" i="4" s="1"/>
  <c r="HJ49" i="4"/>
  <c r="IM45" i="4"/>
  <c r="IA45" i="4"/>
  <c r="IH45" i="4"/>
  <c r="HV45" i="4"/>
  <c r="HY45" i="4"/>
  <c r="IG45" i="4"/>
  <c r="ID45" i="4"/>
  <c r="HL55" i="4"/>
  <c r="GX55" i="4"/>
  <c r="GX47" i="4"/>
  <c r="HJ52" i="4"/>
  <c r="MY179" i="4"/>
  <c r="NE179" i="4" s="1"/>
  <c r="ND179" i="4"/>
  <c r="LM172" i="4"/>
  <c r="MX180" i="4"/>
  <c r="MY180" i="4"/>
  <c r="NE180" i="4" s="1"/>
  <c r="EQ225" i="4"/>
  <c r="EY225" i="4" s="1"/>
  <c r="FB227" i="1"/>
  <c r="FA226" i="1"/>
  <c r="FA227" i="1"/>
  <c r="EV226" i="1"/>
  <c r="FD226" i="1" s="1"/>
  <c r="KJ216" i="1"/>
  <c r="KK216" i="1" s="1"/>
  <c r="JZ216" i="1"/>
  <c r="OG215" i="1"/>
  <c r="KJ214" i="1"/>
  <c r="KK214" i="1" s="1"/>
  <c r="JZ214" i="1"/>
  <c r="OG213" i="1"/>
  <c r="KJ212" i="1"/>
  <c r="KK212" i="1" s="1"/>
  <c r="JZ212" i="1"/>
  <c r="OG211" i="1"/>
  <c r="KJ210" i="1"/>
  <c r="KK210" i="1" s="1"/>
  <c r="JZ210" i="1"/>
  <c r="OG209" i="1"/>
  <c r="KJ208" i="1"/>
  <c r="KK208" i="1" s="1"/>
  <c r="JZ208" i="1"/>
  <c r="OG207" i="1"/>
  <c r="OG205" i="1"/>
  <c r="JZ206" i="1"/>
  <c r="KJ206" i="1"/>
  <c r="KK206" i="1" s="1"/>
  <c r="KJ204" i="1"/>
  <c r="KK204" i="1" s="1"/>
  <c r="JZ204" i="1"/>
  <c r="OG203" i="1"/>
  <c r="RU202" i="1"/>
  <c r="QN202" i="1"/>
  <c r="QP202" i="1" s="1"/>
  <c r="QR202" i="1" s="1"/>
  <c r="QT202" i="1" s="1"/>
  <c r="QV202" i="1" s="1"/>
  <c r="QM202" i="1"/>
  <c r="QO202" i="1" s="1"/>
  <c r="QQ202" i="1" s="1"/>
  <c r="QS202" i="1" s="1"/>
  <c r="QU202" i="1" s="1"/>
  <c r="KJ201" i="1"/>
  <c r="KK201" i="1" s="1"/>
  <c r="JZ201" i="1"/>
  <c r="OG200" i="1"/>
  <c r="OG199" i="1"/>
  <c r="OG198" i="1"/>
  <c r="RU197" i="1"/>
  <c r="QN197" i="1"/>
  <c r="QP197" i="1" s="1"/>
  <c r="QR197" i="1" s="1"/>
  <c r="QT197" i="1" s="1"/>
  <c r="QV197" i="1" s="1"/>
  <c r="QM197" i="1"/>
  <c r="QO197" i="1" s="1"/>
  <c r="QQ197" i="1" s="1"/>
  <c r="QS197" i="1" s="1"/>
  <c r="QU197" i="1" s="1"/>
  <c r="KJ196" i="1"/>
  <c r="KK196" i="1" s="1"/>
  <c r="JZ196" i="1"/>
  <c r="OG195" i="1"/>
  <c r="OG194" i="1"/>
  <c r="OG193" i="1"/>
  <c r="RU192" i="1"/>
  <c r="QN192" i="1"/>
  <c r="QP192" i="1" s="1"/>
  <c r="QR192" i="1" s="1"/>
  <c r="QT192" i="1" s="1"/>
  <c r="QV192" i="1" s="1"/>
  <c r="QM192" i="1"/>
  <c r="QO192" i="1" s="1"/>
  <c r="QQ192" i="1" s="1"/>
  <c r="QS192" i="1" s="1"/>
  <c r="QU192" i="1" s="1"/>
  <c r="KJ191" i="1"/>
  <c r="KK191" i="1" s="1"/>
  <c r="JZ191" i="1"/>
  <c r="OG190" i="1"/>
  <c r="OG189" i="1"/>
  <c r="OG188" i="1"/>
  <c r="RU187" i="1"/>
  <c r="QM187" i="1"/>
  <c r="QO187" i="1" s="1"/>
  <c r="QQ187" i="1" s="1"/>
  <c r="QS187" i="1" s="1"/>
  <c r="QU187" i="1" s="1"/>
  <c r="QN187" i="1"/>
  <c r="QP187" i="1" s="1"/>
  <c r="QR187" i="1" s="1"/>
  <c r="QT187" i="1" s="1"/>
  <c r="QV187" i="1" s="1"/>
  <c r="JZ186" i="1"/>
  <c r="OG184" i="1"/>
  <c r="OG185" i="1"/>
  <c r="OG183" i="1"/>
  <c r="JZ182" i="1"/>
  <c r="JZ181" i="1"/>
  <c r="MY180" i="1"/>
  <c r="MZ180" i="1"/>
  <c r="NB180" i="1" s="1"/>
  <c r="NA180" i="1"/>
  <c r="NI180" i="1" s="1"/>
  <c r="NH180" i="1"/>
  <c r="NA179" i="1"/>
  <c r="NC179" i="1" s="1"/>
  <c r="MZ179" i="1"/>
  <c r="NB179" i="1" s="1"/>
  <c r="ND179" i="1" s="1"/>
  <c r="NH179" i="1"/>
  <c r="MY179" i="1"/>
  <c r="LX178" i="1"/>
  <c r="MB178" i="1"/>
  <c r="MB177" i="1"/>
  <c r="MK178" i="1"/>
  <c r="ML178" i="1" s="1"/>
  <c r="MM178" i="1" s="1"/>
  <c r="MN178" i="1" s="1"/>
  <c r="LY178" i="1"/>
  <c r="LY177" i="1"/>
  <c r="KU169" i="1"/>
  <c r="LX177" i="1"/>
  <c r="ML177" i="1"/>
  <c r="MM177" i="1" s="1"/>
  <c r="MN177" i="1" s="1"/>
  <c r="LQ171" i="1"/>
  <c r="LR171" i="1" s="1"/>
  <c r="LS171" i="1" s="1"/>
  <c r="LN176" i="1"/>
  <c r="LN175" i="1"/>
  <c r="LN174" i="1"/>
  <c r="LN173" i="1"/>
  <c r="LN172" i="1"/>
  <c r="LN171" i="1"/>
  <c r="LR170" i="1"/>
  <c r="LS170" i="1" s="1"/>
  <c r="LN170" i="1"/>
  <c r="KT169" i="1"/>
  <c r="KW169" i="1"/>
  <c r="JZ168" i="1"/>
  <c r="JZ167" i="1"/>
  <c r="JZ166" i="1"/>
  <c r="JZ165" i="1"/>
  <c r="JZ164" i="1"/>
  <c r="JZ163" i="1"/>
  <c r="JZ162" i="1"/>
  <c r="JZ161" i="1"/>
  <c r="JZ160" i="1"/>
  <c r="JZ159" i="1"/>
  <c r="JZ158" i="1"/>
  <c r="JZ157" i="1"/>
  <c r="JZ156" i="1"/>
  <c r="JZ155" i="1"/>
  <c r="JZ154" i="1"/>
  <c r="JZ153" i="1"/>
  <c r="JZ152" i="1"/>
  <c r="JZ151" i="1"/>
  <c r="JZ150" i="1"/>
  <c r="JZ149" i="1"/>
  <c r="JZ148" i="1"/>
  <c r="JZ147" i="1"/>
  <c r="JZ146" i="1"/>
  <c r="JZ145" i="1"/>
  <c r="JZ144" i="1"/>
  <c r="JZ143" i="1"/>
  <c r="JZ142" i="1"/>
  <c r="JZ141" i="1"/>
  <c r="JZ140" i="1"/>
  <c r="JZ139" i="1"/>
  <c r="JZ138" i="1"/>
  <c r="JZ137" i="1"/>
  <c r="JZ136" i="1"/>
  <c r="JZ135" i="1"/>
  <c r="JZ134" i="1"/>
  <c r="JZ133" i="1"/>
  <c r="JZ132" i="1"/>
  <c r="JZ131" i="1"/>
  <c r="JZ130" i="1"/>
  <c r="JZ129" i="1"/>
  <c r="JZ128" i="1"/>
  <c r="JZ127" i="1"/>
  <c r="JZ126" i="1"/>
  <c r="JZ125" i="1"/>
  <c r="JZ124" i="1"/>
  <c r="JZ123" i="1"/>
  <c r="JZ122" i="1"/>
  <c r="JZ121" i="1"/>
  <c r="JZ120" i="1"/>
  <c r="JZ119" i="1"/>
  <c r="JZ118" i="1"/>
  <c r="JZ117" i="1"/>
  <c r="JZ116" i="1"/>
  <c r="JZ115" i="1"/>
  <c r="JZ114" i="1"/>
  <c r="JZ113" i="1"/>
  <c r="JZ112" i="1"/>
  <c r="JZ111" i="1"/>
  <c r="JZ110" i="1"/>
  <c r="JZ109" i="1"/>
  <c r="JZ108" i="1"/>
  <c r="JZ107" i="1"/>
  <c r="JZ106" i="1"/>
  <c r="JZ105" i="1"/>
  <c r="JZ104" i="1"/>
  <c r="JZ103" i="1"/>
  <c r="JZ102" i="1"/>
  <c r="JZ101" i="1"/>
  <c r="JZ100" i="1"/>
  <c r="JZ99" i="1"/>
  <c r="JZ98" i="1"/>
  <c r="JZ97" i="1"/>
  <c r="JZ96" i="1"/>
  <c r="JZ95" i="1"/>
  <c r="JZ94" i="1"/>
  <c r="JZ93" i="1"/>
  <c r="JZ92" i="1"/>
  <c r="JZ91" i="1"/>
  <c r="JZ90" i="1"/>
  <c r="JZ89" i="1"/>
  <c r="JZ88" i="1"/>
  <c r="JZ87" i="1"/>
  <c r="JZ86" i="1"/>
  <c r="JZ85" i="1"/>
  <c r="JZ84" i="1"/>
  <c r="JZ83" i="1"/>
  <c r="JZ82" i="1"/>
  <c r="JZ81" i="1"/>
  <c r="JZ80" i="1"/>
  <c r="JZ79" i="1"/>
  <c r="JZ78" i="1"/>
  <c r="JZ77" i="1"/>
  <c r="JZ76" i="1"/>
  <c r="JZ75" i="1"/>
  <c r="JZ74" i="1"/>
  <c r="JZ73" i="1"/>
  <c r="JZ72" i="1"/>
  <c r="JZ71" i="1"/>
  <c r="JZ70" i="1"/>
  <c r="JZ69" i="1"/>
  <c r="JZ68" i="1"/>
  <c r="JZ67" i="1"/>
  <c r="JZ66" i="1"/>
  <c r="JZ65" i="1"/>
  <c r="JZ64" i="1"/>
  <c r="JZ63" i="1"/>
  <c r="JZ62" i="1"/>
  <c r="JZ61" i="1"/>
  <c r="JZ60" i="1"/>
  <c r="JZ59" i="1"/>
  <c r="JZ58" i="1"/>
  <c r="JZ57" i="1"/>
  <c r="JZ56" i="1"/>
  <c r="U44" i="1"/>
  <c r="GU45" i="1"/>
  <c r="GW45" i="1" s="1"/>
  <c r="GV45" i="1"/>
  <c r="GX45" i="1" s="1"/>
  <c r="HI45" i="1"/>
  <c r="HJ45" i="1"/>
  <c r="GU46" i="1"/>
  <c r="GW46" i="1" s="1"/>
  <c r="GV46" i="1"/>
  <c r="GX46" i="1" s="1"/>
  <c r="HI46" i="1"/>
  <c r="HJ46" i="1"/>
  <c r="GU47" i="1"/>
  <c r="GW47" i="1" s="1"/>
  <c r="GV47" i="1"/>
  <c r="GX47" i="1" s="1"/>
  <c r="HI47" i="1"/>
  <c r="HJ47" i="1"/>
  <c r="GU48" i="1"/>
  <c r="GW48" i="1" s="1"/>
  <c r="GV48" i="1"/>
  <c r="GX48" i="1" s="1"/>
  <c r="HI48" i="1"/>
  <c r="HJ48" i="1"/>
  <c r="GU49" i="1"/>
  <c r="GW49" i="1" s="1"/>
  <c r="GV49" i="1"/>
  <c r="GX49" i="1" s="1"/>
  <c r="HI49" i="1"/>
  <c r="HJ49" i="1"/>
  <c r="GU50" i="1"/>
  <c r="GW50" i="1" s="1"/>
  <c r="GV50" i="1"/>
  <c r="GX50" i="1" s="1"/>
  <c r="HI50" i="1"/>
  <c r="HJ50" i="1"/>
  <c r="GU51" i="1"/>
  <c r="GW51" i="1" s="1"/>
  <c r="GV51" i="1"/>
  <c r="GX51" i="1" s="1"/>
  <c r="HI51" i="1"/>
  <c r="HJ51" i="1"/>
  <c r="GU52" i="1"/>
  <c r="GW52" i="1" s="1"/>
  <c r="GV52" i="1"/>
  <c r="GX52" i="1" s="1"/>
  <c r="HI52" i="1"/>
  <c r="HJ52" i="1"/>
  <c r="GU53" i="1"/>
  <c r="GW53" i="1" s="1"/>
  <c r="GV53" i="1"/>
  <c r="GX53" i="1" s="1"/>
  <c r="HI53" i="1"/>
  <c r="HJ53" i="1"/>
  <c r="GU54" i="1"/>
  <c r="GW54" i="1" s="1"/>
  <c r="GV54" i="1"/>
  <c r="GX54" i="1" s="1"/>
  <c r="HI54" i="1"/>
  <c r="HJ54" i="1"/>
  <c r="GU55" i="1"/>
  <c r="GW55" i="1" s="1"/>
  <c r="GV55" i="1"/>
  <c r="GX55" i="1" s="1"/>
  <c r="HI55" i="1"/>
  <c r="HJ55" i="1"/>
  <c r="IF43" i="1"/>
  <c r="IZ44" i="1"/>
  <c r="IZ45" i="1" s="1"/>
  <c r="IZ46" i="1" s="1"/>
  <c r="IZ47" i="1" s="1"/>
  <c r="IZ48" i="1" s="1"/>
  <c r="IZ49" i="1" s="1"/>
  <c r="IZ50" i="1" s="1"/>
  <c r="IZ51" i="1" s="1"/>
  <c r="IZ52" i="1" s="1"/>
  <c r="IZ53" i="1" s="1"/>
  <c r="IZ54" i="1" s="1"/>
  <c r="IZ55" i="1" s="1"/>
  <c r="JA44" i="1"/>
  <c r="JA45" i="1" s="1"/>
  <c r="JA46" i="1" s="1"/>
  <c r="JA47" i="1" s="1"/>
  <c r="JA48" i="1" s="1"/>
  <c r="JA49" i="1" s="1"/>
  <c r="JA50" i="1" s="1"/>
  <c r="JA51" i="1" s="1"/>
  <c r="JA52" i="1" s="1"/>
  <c r="JA53" i="1" s="1"/>
  <c r="JA54" i="1" s="1"/>
  <c r="JA55" i="1" s="1"/>
  <c r="JB44" i="1"/>
  <c r="JB45" i="1" s="1"/>
  <c r="JB46" i="1" s="1"/>
  <c r="JB47" i="1" s="1"/>
  <c r="JB48" i="1" s="1"/>
  <c r="JB49" i="1" s="1"/>
  <c r="JB50" i="1" s="1"/>
  <c r="JB51" i="1" s="1"/>
  <c r="JB52" i="1" s="1"/>
  <c r="JB53" i="1" s="1"/>
  <c r="JB54" i="1" s="1"/>
  <c r="JB55" i="1" s="1"/>
  <c r="JC44" i="1"/>
  <c r="JC45" i="1" s="1"/>
  <c r="JC46" i="1" s="1"/>
  <c r="JC47" i="1" s="1"/>
  <c r="JC48" i="1" s="1"/>
  <c r="JC49" i="1" s="1"/>
  <c r="JC50" i="1" s="1"/>
  <c r="JC51" i="1" s="1"/>
  <c r="JC52" i="1" s="1"/>
  <c r="JC53" i="1" s="1"/>
  <c r="JC54" i="1" s="1"/>
  <c r="JC55" i="1" s="1"/>
  <c r="JD44" i="1"/>
  <c r="JD45" i="1" s="1"/>
  <c r="JD46" i="1" s="1"/>
  <c r="JD47" i="1" s="1"/>
  <c r="JD48" i="1" s="1"/>
  <c r="JD49" i="1" s="1"/>
  <c r="JD50" i="1" s="1"/>
  <c r="JD51" i="1" s="1"/>
  <c r="JD52" i="1" s="1"/>
  <c r="JD53" i="1" s="1"/>
  <c r="JD54" i="1" s="1"/>
  <c r="JD55" i="1" s="1"/>
  <c r="JE44" i="1"/>
  <c r="JE45" i="1" s="1"/>
  <c r="JE46" i="1" s="1"/>
  <c r="JE47" i="1" s="1"/>
  <c r="JE48" i="1" s="1"/>
  <c r="JE49" i="1" s="1"/>
  <c r="JE50" i="1" s="1"/>
  <c r="JE51" i="1" s="1"/>
  <c r="JE52" i="1" s="1"/>
  <c r="JE53" i="1" s="1"/>
  <c r="JE54" i="1" s="1"/>
  <c r="JE55" i="1" s="1"/>
  <c r="JF44" i="1"/>
  <c r="JF45" i="1" s="1"/>
  <c r="JF46" i="1" s="1"/>
  <c r="JF47" i="1" s="1"/>
  <c r="JF48" i="1" s="1"/>
  <c r="JF49" i="1" s="1"/>
  <c r="JF50" i="1" s="1"/>
  <c r="JF51" i="1" s="1"/>
  <c r="JF52" i="1" s="1"/>
  <c r="JF53" i="1" s="1"/>
  <c r="JF54" i="1" s="1"/>
  <c r="JF55" i="1" s="1"/>
  <c r="JG44" i="1"/>
  <c r="JG45" i="1" s="1"/>
  <c r="JG46" i="1" s="1"/>
  <c r="JG47" i="1" s="1"/>
  <c r="JG48" i="1" s="1"/>
  <c r="JG49" i="1" s="1"/>
  <c r="JG50" i="1" s="1"/>
  <c r="JG51" i="1" s="1"/>
  <c r="JG52" i="1" s="1"/>
  <c r="JG53" i="1" s="1"/>
  <c r="JG54" i="1" s="1"/>
  <c r="JG55" i="1" s="1"/>
  <c r="JH44" i="1"/>
  <c r="JH45" i="1" s="1"/>
  <c r="JH46" i="1" s="1"/>
  <c r="JH47" i="1" s="1"/>
  <c r="JH48" i="1" s="1"/>
  <c r="JH49" i="1" s="1"/>
  <c r="JH50" i="1" s="1"/>
  <c r="JH51" i="1" s="1"/>
  <c r="JH52" i="1" s="1"/>
  <c r="JH53" i="1" s="1"/>
  <c r="JH54" i="1" s="1"/>
  <c r="JH55" i="1" s="1"/>
  <c r="JI44" i="1"/>
  <c r="JI45" i="1" s="1"/>
  <c r="JI46" i="1" s="1"/>
  <c r="JI47" i="1" s="1"/>
  <c r="JI48" i="1" s="1"/>
  <c r="JI49" i="1" s="1"/>
  <c r="JI50" i="1" s="1"/>
  <c r="JI51" i="1" s="1"/>
  <c r="JI52" i="1" s="1"/>
  <c r="JI53" i="1" s="1"/>
  <c r="JI54" i="1" s="1"/>
  <c r="JI55" i="1" s="1"/>
  <c r="JJ44" i="1"/>
  <c r="JJ45" i="1" s="1"/>
  <c r="JJ46" i="1" s="1"/>
  <c r="JJ47" i="1" s="1"/>
  <c r="JJ48" i="1" s="1"/>
  <c r="JJ49" i="1" s="1"/>
  <c r="JJ50" i="1" s="1"/>
  <c r="JJ51" i="1" s="1"/>
  <c r="JJ52" i="1" s="1"/>
  <c r="JJ53" i="1" s="1"/>
  <c r="JJ54" i="1" s="1"/>
  <c r="JJ55" i="1" s="1"/>
  <c r="JK44" i="1"/>
  <c r="JK45" i="1" s="1"/>
  <c r="JK46" i="1" s="1"/>
  <c r="JK47" i="1" s="1"/>
  <c r="JK48" i="1" s="1"/>
  <c r="JK49" i="1" s="1"/>
  <c r="JK50" i="1" s="1"/>
  <c r="JK51" i="1" s="1"/>
  <c r="JK52" i="1" s="1"/>
  <c r="JK53" i="1" s="1"/>
  <c r="JK54" i="1" s="1"/>
  <c r="JK55" i="1" s="1"/>
  <c r="JL44" i="1"/>
  <c r="JL45" i="1" s="1"/>
  <c r="JL46" i="1" s="1"/>
  <c r="JL47" i="1" s="1"/>
  <c r="JL48" i="1" s="1"/>
  <c r="JL49" i="1" s="1"/>
  <c r="JL50" i="1" s="1"/>
  <c r="JL51" i="1" s="1"/>
  <c r="JL52" i="1" s="1"/>
  <c r="JL53" i="1" s="1"/>
  <c r="JL54" i="1" s="1"/>
  <c r="JL55" i="1" s="1"/>
  <c r="JM44" i="1"/>
  <c r="JM45" i="1" s="1"/>
  <c r="JM46" i="1" s="1"/>
  <c r="JM47" i="1" s="1"/>
  <c r="JM48" i="1" s="1"/>
  <c r="JM49" i="1" s="1"/>
  <c r="JM50" i="1" s="1"/>
  <c r="JM51" i="1" s="1"/>
  <c r="JM52" i="1" s="1"/>
  <c r="JM53" i="1" s="1"/>
  <c r="JM54" i="1" s="1"/>
  <c r="JM55" i="1" s="1"/>
  <c r="JN44" i="1"/>
  <c r="JN45" i="1" s="1"/>
  <c r="JN46" i="1" s="1"/>
  <c r="JN47" i="1" s="1"/>
  <c r="JN48" i="1" s="1"/>
  <c r="JN49" i="1" s="1"/>
  <c r="JN50" i="1" s="1"/>
  <c r="JN51" i="1" s="1"/>
  <c r="JN52" i="1" s="1"/>
  <c r="JN53" i="1" s="1"/>
  <c r="JN54" i="1" s="1"/>
  <c r="JN55" i="1" s="1"/>
  <c r="JO44" i="1"/>
  <c r="JO45" i="1" s="1"/>
  <c r="JO46" i="1" s="1"/>
  <c r="JO47" i="1" s="1"/>
  <c r="JO48" i="1" s="1"/>
  <c r="JO49" i="1" s="1"/>
  <c r="JO50" i="1" s="1"/>
  <c r="JO51" i="1" s="1"/>
  <c r="JO52" i="1" s="1"/>
  <c r="JO53" i="1" s="1"/>
  <c r="JO54" i="1" s="1"/>
  <c r="JO55" i="1" s="1"/>
  <c r="JP44" i="1"/>
  <c r="JP45" i="1" s="1"/>
  <c r="JP46" i="1" s="1"/>
  <c r="JP47" i="1" s="1"/>
  <c r="JP48" i="1" s="1"/>
  <c r="JP49" i="1" s="1"/>
  <c r="JP50" i="1" s="1"/>
  <c r="JP51" i="1" s="1"/>
  <c r="JP52" i="1" s="1"/>
  <c r="JP53" i="1" s="1"/>
  <c r="JP54" i="1" s="1"/>
  <c r="JP55" i="1" s="1"/>
  <c r="JQ44" i="1"/>
  <c r="JQ45" i="1" s="1"/>
  <c r="JQ46" i="1" s="1"/>
  <c r="JQ47" i="1" s="1"/>
  <c r="JQ48" i="1" s="1"/>
  <c r="JQ49" i="1" s="1"/>
  <c r="JQ50" i="1" s="1"/>
  <c r="JQ51" i="1" s="1"/>
  <c r="JQ52" i="1" s="1"/>
  <c r="JQ53" i="1" s="1"/>
  <c r="JQ54" i="1" s="1"/>
  <c r="JQ55" i="1" s="1"/>
  <c r="JR44" i="1"/>
  <c r="JR45" i="1" s="1"/>
  <c r="JR46" i="1" s="1"/>
  <c r="JR47" i="1" s="1"/>
  <c r="JR48" i="1" s="1"/>
  <c r="JR49" i="1" s="1"/>
  <c r="JR50" i="1" s="1"/>
  <c r="JR51" i="1" s="1"/>
  <c r="JR52" i="1" s="1"/>
  <c r="JR53" i="1" s="1"/>
  <c r="JR54" i="1" s="1"/>
  <c r="JR55" i="1" s="1"/>
  <c r="JS44" i="1"/>
  <c r="JS45" i="1" s="1"/>
  <c r="JS46" i="1" s="1"/>
  <c r="JS47" i="1" s="1"/>
  <c r="JS48" i="1" s="1"/>
  <c r="JS49" i="1" s="1"/>
  <c r="JS50" i="1" s="1"/>
  <c r="JS51" i="1" s="1"/>
  <c r="JS52" i="1" s="1"/>
  <c r="JS53" i="1" s="1"/>
  <c r="JS54" i="1" s="1"/>
  <c r="JS55" i="1" s="1"/>
  <c r="JT44" i="1"/>
  <c r="JT45" i="1" s="1"/>
  <c r="JT46" i="1" s="1"/>
  <c r="JT47" i="1" s="1"/>
  <c r="JT48" i="1" s="1"/>
  <c r="JT49" i="1" s="1"/>
  <c r="JT50" i="1" s="1"/>
  <c r="JT51" i="1" s="1"/>
  <c r="JT52" i="1" s="1"/>
  <c r="JT53" i="1" s="1"/>
  <c r="JT54" i="1" s="1"/>
  <c r="JT55" i="1" s="1"/>
  <c r="JU44" i="1"/>
  <c r="JU45" i="1" s="1"/>
  <c r="JU46" i="1" s="1"/>
  <c r="JU47" i="1" s="1"/>
  <c r="JU48" i="1" s="1"/>
  <c r="JU49" i="1" s="1"/>
  <c r="JU50" i="1" s="1"/>
  <c r="JU51" i="1" s="1"/>
  <c r="JU52" i="1" s="1"/>
  <c r="JU53" i="1" s="1"/>
  <c r="JU54" i="1" s="1"/>
  <c r="JU55" i="1" s="1"/>
  <c r="JV44" i="1"/>
  <c r="JV45" i="1" s="1"/>
  <c r="JV46" i="1" s="1"/>
  <c r="JV47" i="1" s="1"/>
  <c r="JV48" i="1" s="1"/>
  <c r="JV49" i="1" s="1"/>
  <c r="JV50" i="1" s="1"/>
  <c r="JV51" i="1" s="1"/>
  <c r="JV52" i="1" s="1"/>
  <c r="JV53" i="1" s="1"/>
  <c r="JV54" i="1" s="1"/>
  <c r="JV55" i="1" s="1"/>
  <c r="JW44" i="1"/>
  <c r="JW45" i="1" s="1"/>
  <c r="JW46" i="1" s="1"/>
  <c r="JW47" i="1" s="1"/>
  <c r="JW48" i="1" s="1"/>
  <c r="JW49" i="1" s="1"/>
  <c r="JW50" i="1" s="1"/>
  <c r="JW51" i="1" s="1"/>
  <c r="JW52" i="1" s="1"/>
  <c r="JW53" i="1" s="1"/>
  <c r="JW54" i="1" s="1"/>
  <c r="JW55" i="1" s="1"/>
  <c r="JX44" i="1"/>
  <c r="JX45" i="1" s="1"/>
  <c r="JX46" i="1" s="1"/>
  <c r="JX47" i="1" s="1"/>
  <c r="JX48" i="1" s="1"/>
  <c r="JX49" i="1" s="1"/>
  <c r="JX50" i="1" s="1"/>
  <c r="JX51" i="1" s="1"/>
  <c r="JX52" i="1" s="1"/>
  <c r="JX53" i="1" s="1"/>
  <c r="JX54" i="1" s="1"/>
  <c r="JX55" i="1" s="1"/>
  <c r="JY44" i="1"/>
  <c r="JY45" i="1" s="1"/>
  <c r="JY46" i="1" s="1"/>
  <c r="JY47" i="1" s="1"/>
  <c r="JY48" i="1" s="1"/>
  <c r="JY49" i="1" s="1"/>
  <c r="JY50" i="1" s="1"/>
  <c r="JY51" i="1" s="1"/>
  <c r="JY52" i="1" s="1"/>
  <c r="JY53" i="1" s="1"/>
  <c r="JY54" i="1" s="1"/>
  <c r="JY55" i="1" s="1"/>
  <c r="IY44" i="1"/>
  <c r="IY45" i="1" s="1"/>
  <c r="IY46" i="1" s="1"/>
  <c r="IY47" i="1" s="1"/>
  <c r="IY48" i="1" s="1"/>
  <c r="IY49" i="1" s="1"/>
  <c r="IY50" i="1" s="1"/>
  <c r="IY51" i="1" s="1"/>
  <c r="IY52" i="1" s="1"/>
  <c r="IY53" i="1" s="1"/>
  <c r="IY54" i="1" s="1"/>
  <c r="IY55" i="1" s="1"/>
  <c r="IX44" i="1"/>
  <c r="IX45" i="1" s="1"/>
  <c r="IX46" i="1" s="1"/>
  <c r="IX47" i="1" s="1"/>
  <c r="IX48" i="1" s="1"/>
  <c r="IX49" i="1" s="1"/>
  <c r="IX50" i="1" s="1"/>
  <c r="IX51" i="1" s="1"/>
  <c r="IX52" i="1" s="1"/>
  <c r="IX53" i="1" s="1"/>
  <c r="IX54" i="1" s="1"/>
  <c r="IX55" i="1" s="1"/>
  <c r="IW44" i="1"/>
  <c r="IW45" i="1" s="1"/>
  <c r="IW46" i="1" s="1"/>
  <c r="IW47" i="1" s="1"/>
  <c r="IW48" i="1" s="1"/>
  <c r="IW49" i="1" s="1"/>
  <c r="IW50" i="1" s="1"/>
  <c r="IW51" i="1" s="1"/>
  <c r="IW52" i="1" s="1"/>
  <c r="IW53" i="1" s="1"/>
  <c r="IW54" i="1" s="1"/>
  <c r="IW55" i="1" s="1"/>
  <c r="IV44" i="1"/>
  <c r="IV45" i="1" s="1"/>
  <c r="IV46" i="1" s="1"/>
  <c r="IV47" i="1" s="1"/>
  <c r="IV48" i="1" s="1"/>
  <c r="IV49" i="1" s="1"/>
  <c r="IV50" i="1" s="1"/>
  <c r="IV51" i="1" s="1"/>
  <c r="IV52" i="1" s="1"/>
  <c r="IV53" i="1" s="1"/>
  <c r="IV54" i="1" s="1"/>
  <c r="IV55" i="1" s="1"/>
  <c r="IU44" i="1"/>
  <c r="IU45" i="1" s="1"/>
  <c r="IU46" i="1" s="1"/>
  <c r="IU47" i="1" s="1"/>
  <c r="IU48" i="1" s="1"/>
  <c r="IU49" i="1" s="1"/>
  <c r="IU50" i="1" s="1"/>
  <c r="IU51" i="1" s="1"/>
  <c r="IU52" i="1" s="1"/>
  <c r="IU53" i="1" s="1"/>
  <c r="IU54" i="1" s="1"/>
  <c r="IU55" i="1" s="1"/>
  <c r="IT44" i="1"/>
  <c r="IT45" i="1" s="1"/>
  <c r="IT46" i="1" s="1"/>
  <c r="IT47" i="1" s="1"/>
  <c r="IT48" i="1" s="1"/>
  <c r="IT49" i="1" s="1"/>
  <c r="IT50" i="1" s="1"/>
  <c r="IT51" i="1" s="1"/>
  <c r="IT52" i="1" s="1"/>
  <c r="IT53" i="1" s="1"/>
  <c r="IT54" i="1" s="1"/>
  <c r="IT55" i="1" s="1"/>
  <c r="IS44" i="1"/>
  <c r="IS45" i="1" s="1"/>
  <c r="IS46" i="1" s="1"/>
  <c r="IS47" i="1" s="1"/>
  <c r="IS48" i="1" s="1"/>
  <c r="IS49" i="1" s="1"/>
  <c r="IS50" i="1" s="1"/>
  <c r="IS51" i="1" s="1"/>
  <c r="IS52" i="1" s="1"/>
  <c r="IS53" i="1" s="1"/>
  <c r="IS54" i="1" s="1"/>
  <c r="IS55" i="1" s="1"/>
  <c r="IR44" i="1"/>
  <c r="IR45" i="1" s="1"/>
  <c r="IR46" i="1" s="1"/>
  <c r="IR47" i="1" s="1"/>
  <c r="IR48" i="1" s="1"/>
  <c r="IR49" i="1" s="1"/>
  <c r="IR50" i="1" s="1"/>
  <c r="IR51" i="1" s="1"/>
  <c r="IR52" i="1" s="1"/>
  <c r="IR53" i="1" s="1"/>
  <c r="IR54" i="1" s="1"/>
  <c r="IR55" i="1" s="1"/>
  <c r="GU44" i="1"/>
  <c r="GW44" i="1" s="1"/>
  <c r="GV44" i="1"/>
  <c r="GX44" i="1" s="1"/>
  <c r="HI44" i="1"/>
  <c r="HJ44" i="1"/>
  <c r="IP43" i="1"/>
  <c r="IO43" i="1"/>
  <c r="IN43" i="1"/>
  <c r="IM43" i="1"/>
  <c r="IL43" i="1"/>
  <c r="IK43" i="1"/>
  <c r="IJ43" i="1"/>
  <c r="II43" i="1"/>
  <c r="IH43" i="1"/>
  <c r="IG43" i="1"/>
  <c r="IE43" i="1"/>
  <c r="ID43" i="1"/>
  <c r="IB43" i="1"/>
  <c r="IA43" i="1"/>
  <c r="HZ43" i="1"/>
  <c r="HY43" i="1"/>
  <c r="HX43" i="1"/>
  <c r="HV43" i="1"/>
  <c r="HW43" i="1"/>
  <c r="HU43" i="1"/>
  <c r="GV43" i="1"/>
  <c r="GX43" i="1" s="1"/>
  <c r="HJ43" i="1"/>
  <c r="GU43" i="1"/>
  <c r="GW43" i="1" s="1"/>
  <c r="HI43" i="1"/>
  <c r="GT43" i="1"/>
  <c r="IC43" i="1"/>
  <c r="IQ43" i="1"/>
  <c r="ER36" i="1"/>
  <c r="ES36" i="1"/>
  <c r="EU36" i="1" s="1"/>
  <c r="FC36" i="1" s="1"/>
  <c r="ET36" i="1"/>
  <c r="EV36" i="1" s="1"/>
  <c r="FD36" i="1" s="1"/>
  <c r="EY36" i="1"/>
  <c r="EZ36" i="1"/>
  <c r="FI36" i="1"/>
  <c r="FJ36" i="1"/>
  <c r="FK36" i="1"/>
  <c r="FL36" i="1"/>
  <c r="FM36" i="1"/>
  <c r="FN36" i="1"/>
  <c r="FO36" i="1"/>
  <c r="FP36" i="1"/>
  <c r="FQ36" i="1"/>
  <c r="FR36" i="1"/>
  <c r="FS36" i="1"/>
  <c r="FT36" i="1"/>
  <c r="FU36" i="1"/>
  <c r="ER37" i="1"/>
  <c r="ES37" i="1"/>
  <c r="FA37" i="1" s="1"/>
  <c r="ET37" i="1"/>
  <c r="FB37" i="1" s="1"/>
  <c r="EY37" i="1"/>
  <c r="EZ37" i="1"/>
  <c r="FI37" i="1"/>
  <c r="FJ37" i="1"/>
  <c r="FK37" i="1"/>
  <c r="FL37" i="1"/>
  <c r="FM37" i="1"/>
  <c r="FN37" i="1"/>
  <c r="FO37" i="1"/>
  <c r="FP37" i="1"/>
  <c r="FQ37" i="1"/>
  <c r="FR37" i="1"/>
  <c r="FS37" i="1"/>
  <c r="FT37" i="1"/>
  <c r="FU37" i="1"/>
  <c r="ER38" i="1"/>
  <c r="ES38" i="1"/>
  <c r="EU38" i="1" s="1"/>
  <c r="FC38" i="1" s="1"/>
  <c r="ET38" i="1"/>
  <c r="EV38" i="1" s="1"/>
  <c r="FD38" i="1" s="1"/>
  <c r="EY38" i="1"/>
  <c r="EZ38" i="1"/>
  <c r="FI38" i="1"/>
  <c r="FJ38" i="1"/>
  <c r="FK38" i="1"/>
  <c r="FL38" i="1"/>
  <c r="FM38" i="1"/>
  <c r="FN38" i="1"/>
  <c r="FO38" i="1"/>
  <c r="FP38" i="1"/>
  <c r="FQ38" i="1"/>
  <c r="FR38" i="1"/>
  <c r="FS38" i="1"/>
  <c r="FT38" i="1"/>
  <c r="FU38" i="1"/>
  <c r="ER39" i="1"/>
  <c r="ES39" i="1"/>
  <c r="FA39" i="1" s="1"/>
  <c r="ET39" i="1"/>
  <c r="FB39" i="1" s="1"/>
  <c r="EY39" i="1"/>
  <c r="EZ39" i="1"/>
  <c r="FI39" i="1"/>
  <c r="FJ39" i="1"/>
  <c r="FK39" i="1"/>
  <c r="FL39" i="1"/>
  <c r="FM39" i="1"/>
  <c r="FN39" i="1"/>
  <c r="FO39" i="1"/>
  <c r="FP39" i="1"/>
  <c r="FQ39" i="1"/>
  <c r="FR39" i="1"/>
  <c r="FS39" i="1"/>
  <c r="FT39" i="1"/>
  <c r="FU39" i="1"/>
  <c r="ER40" i="1"/>
  <c r="ES40" i="1"/>
  <c r="EU40" i="1" s="1"/>
  <c r="FC40" i="1" s="1"/>
  <c r="ET40" i="1"/>
  <c r="EV40" i="1" s="1"/>
  <c r="FD40" i="1" s="1"/>
  <c r="EY40" i="1"/>
  <c r="EZ40" i="1"/>
  <c r="FI40" i="1"/>
  <c r="FJ40" i="1"/>
  <c r="FK40" i="1"/>
  <c r="FL40" i="1"/>
  <c r="FM40" i="1"/>
  <c r="FN40" i="1"/>
  <c r="FO40" i="1"/>
  <c r="FP40" i="1"/>
  <c r="FQ40" i="1"/>
  <c r="FR40" i="1"/>
  <c r="FS40" i="1"/>
  <c r="FT40" i="1"/>
  <c r="FU40" i="1"/>
  <c r="ER41" i="1"/>
  <c r="ES41" i="1"/>
  <c r="FA41" i="1" s="1"/>
  <c r="ET41" i="1"/>
  <c r="FB41" i="1" s="1"/>
  <c r="EY41" i="1"/>
  <c r="EZ41" i="1"/>
  <c r="FI41" i="1"/>
  <c r="FJ41" i="1"/>
  <c r="FK41" i="1"/>
  <c r="FL41" i="1"/>
  <c r="FM41" i="1"/>
  <c r="FN41" i="1"/>
  <c r="FO41" i="1"/>
  <c r="FP41" i="1"/>
  <c r="FQ41" i="1"/>
  <c r="FR41" i="1"/>
  <c r="FS41" i="1"/>
  <c r="FT41" i="1"/>
  <c r="FU41" i="1"/>
  <c r="ER42" i="1"/>
  <c r="ES42" i="1"/>
  <c r="EU42" i="1" s="1"/>
  <c r="FC42" i="1" s="1"/>
  <c r="ET42" i="1"/>
  <c r="EV42" i="1" s="1"/>
  <c r="FD42" i="1" s="1"/>
  <c r="EY42" i="1"/>
  <c r="EZ42" i="1"/>
  <c r="FI42" i="1"/>
  <c r="FJ42" i="1"/>
  <c r="FK42" i="1"/>
  <c r="FL42" i="1"/>
  <c r="FM42" i="1"/>
  <c r="FN42" i="1"/>
  <c r="FO42" i="1"/>
  <c r="FP42" i="1"/>
  <c r="FQ42" i="1"/>
  <c r="FR42" i="1"/>
  <c r="FS42" i="1"/>
  <c r="FT42" i="1"/>
  <c r="FU42" i="1"/>
  <c r="AR39" i="1"/>
  <c r="AR40" i="1"/>
  <c r="AR41" i="1"/>
  <c r="AR42" i="1"/>
  <c r="AR34" i="1"/>
  <c r="AR35" i="1"/>
  <c r="AR36" i="1"/>
  <c r="AR37" i="1"/>
  <c r="AR38" i="1"/>
  <c r="AN38" i="1"/>
  <c r="AO38" i="1"/>
  <c r="AN39" i="1"/>
  <c r="AO39" i="1"/>
  <c r="AN40" i="1"/>
  <c r="AO40" i="1"/>
  <c r="AN41" i="1"/>
  <c r="AO41" i="1"/>
  <c r="AN42" i="1"/>
  <c r="AO42" i="1"/>
  <c r="AO35" i="1"/>
  <c r="AO36" i="1"/>
  <c r="AO37" i="1"/>
  <c r="AO34" i="1"/>
  <c r="AN35" i="1"/>
  <c r="AN36" i="1"/>
  <c r="AN37" i="1"/>
  <c r="AN34" i="1"/>
  <c r="FN35" i="1"/>
  <c r="FO35" i="1"/>
  <c r="FP35" i="1"/>
  <c r="FQ35" i="1"/>
  <c r="FR35" i="1"/>
  <c r="FS35" i="1"/>
  <c r="FT35" i="1"/>
  <c r="FU35" i="1"/>
  <c r="FT34" i="1"/>
  <c r="FU34" i="1"/>
  <c r="FS34" i="1"/>
  <c r="FR34" i="1"/>
  <c r="FQ34" i="1"/>
  <c r="FO34" i="1"/>
  <c r="FP34" i="1"/>
  <c r="FI35" i="1"/>
  <c r="FJ35" i="1"/>
  <c r="FK35" i="1"/>
  <c r="FL35" i="1"/>
  <c r="FM35" i="1"/>
  <c r="FM34" i="1"/>
  <c r="FL34" i="1"/>
  <c r="FK34" i="1"/>
  <c r="FJ34" i="1"/>
  <c r="FI34" i="1"/>
  <c r="FN34" i="1"/>
  <c r="FF34" i="1"/>
  <c r="FE34" i="1"/>
  <c r="EY35" i="1"/>
  <c r="EZ35" i="1"/>
  <c r="EZ34" i="1"/>
  <c r="EY34" i="1"/>
  <c r="FH34" i="1"/>
  <c r="ET35" i="1"/>
  <c r="EV35" i="1" s="1"/>
  <c r="FD35" i="1" s="1"/>
  <c r="ES35" i="1"/>
  <c r="EU35" i="1" s="1"/>
  <c r="FC35" i="1" s="1"/>
  <c r="ET34" i="1"/>
  <c r="EV34" i="1" s="1"/>
  <c r="FD34" i="1" s="1"/>
  <c r="ES34" i="1"/>
  <c r="EU34" i="1" s="1"/>
  <c r="FC34" i="1" s="1"/>
  <c r="CM3" i="1"/>
  <c r="CN3" i="1"/>
  <c r="CM4" i="1"/>
  <c r="CN4" i="1"/>
  <c r="CM5" i="1"/>
  <c r="CN5" i="1"/>
  <c r="CM6" i="1"/>
  <c r="CN6" i="1"/>
  <c r="CM7" i="1"/>
  <c r="CN7" i="1"/>
  <c r="CM8" i="1"/>
  <c r="CN8" i="1"/>
  <c r="CM9" i="1"/>
  <c r="CN9" i="1"/>
  <c r="CM10" i="1"/>
  <c r="CN10" i="1"/>
  <c r="CM11" i="1"/>
  <c r="CN11" i="1"/>
  <c r="CM12" i="1"/>
  <c r="CN12" i="1"/>
  <c r="CM13" i="1"/>
  <c r="CN13" i="1"/>
  <c r="CM14" i="1"/>
  <c r="CN14" i="1"/>
  <c r="CM15" i="1"/>
  <c r="CN15" i="1"/>
  <c r="CM16" i="1"/>
  <c r="CN16" i="1"/>
  <c r="CM17" i="1"/>
  <c r="CN17" i="1"/>
  <c r="CM18" i="1"/>
  <c r="CN18" i="1"/>
  <c r="CM19" i="1"/>
  <c r="CN19" i="1"/>
  <c r="CM20" i="1"/>
  <c r="CN20" i="1"/>
  <c r="CM21" i="1"/>
  <c r="CN21" i="1"/>
  <c r="CM22" i="1"/>
  <c r="CN22" i="1"/>
  <c r="CM23" i="1"/>
  <c r="CN23" i="1"/>
  <c r="CM24" i="1"/>
  <c r="CN24" i="1"/>
  <c r="CM25" i="1"/>
  <c r="CN25" i="1"/>
  <c r="CM26" i="1"/>
  <c r="CN26" i="1"/>
  <c r="CM27" i="1"/>
  <c r="CN27" i="1"/>
  <c r="CM28" i="1"/>
  <c r="CN28" i="1"/>
  <c r="CM29" i="1"/>
  <c r="CN29" i="1"/>
  <c r="CM30" i="1"/>
  <c r="CN30" i="1"/>
  <c r="CM31" i="1"/>
  <c r="CN31" i="1"/>
  <c r="CM32" i="1"/>
  <c r="CN32" i="1"/>
  <c r="CM33" i="1"/>
  <c r="CN33" i="1"/>
  <c r="CN2" i="1"/>
  <c r="CM2" i="1"/>
  <c r="CL33" i="1"/>
  <c r="CO3" i="1"/>
  <c r="CP3" i="1"/>
  <c r="CQ3" i="1"/>
  <c r="CR3" i="1"/>
  <c r="CS3" i="1"/>
  <c r="CT3" i="1"/>
  <c r="CO4" i="1"/>
  <c r="CP4" i="1"/>
  <c r="CQ4" i="1"/>
  <c r="CR4" i="1"/>
  <c r="CS4" i="1"/>
  <c r="CT4" i="1"/>
  <c r="CO5" i="1"/>
  <c r="CP5" i="1"/>
  <c r="CQ5" i="1"/>
  <c r="CR5" i="1"/>
  <c r="CS5" i="1"/>
  <c r="CT5" i="1"/>
  <c r="CO6" i="1"/>
  <c r="CP6" i="1"/>
  <c r="CQ6" i="1"/>
  <c r="CR6" i="1"/>
  <c r="CS6" i="1"/>
  <c r="CT6" i="1"/>
  <c r="CO7" i="1"/>
  <c r="CP7" i="1"/>
  <c r="CQ7" i="1"/>
  <c r="CR7" i="1"/>
  <c r="CS7" i="1"/>
  <c r="CT7" i="1"/>
  <c r="CO8" i="1"/>
  <c r="CP8" i="1"/>
  <c r="CQ8" i="1"/>
  <c r="CR8" i="1"/>
  <c r="CS8" i="1"/>
  <c r="CT8" i="1"/>
  <c r="CO9" i="1"/>
  <c r="CP9" i="1"/>
  <c r="CQ9" i="1"/>
  <c r="CR9" i="1"/>
  <c r="CS9" i="1"/>
  <c r="CT9" i="1"/>
  <c r="CO10" i="1"/>
  <c r="CP10" i="1"/>
  <c r="CQ10" i="1"/>
  <c r="CR10" i="1"/>
  <c r="CS10" i="1"/>
  <c r="CT10" i="1"/>
  <c r="CO11" i="1"/>
  <c r="CP11" i="1"/>
  <c r="CQ11" i="1"/>
  <c r="CR11" i="1"/>
  <c r="CS11" i="1"/>
  <c r="CT11" i="1"/>
  <c r="CO12" i="1"/>
  <c r="CP12" i="1"/>
  <c r="CQ12" i="1"/>
  <c r="CR12" i="1"/>
  <c r="CS12" i="1"/>
  <c r="CT12" i="1"/>
  <c r="CO13" i="1"/>
  <c r="CP13" i="1"/>
  <c r="CQ13" i="1"/>
  <c r="CR13" i="1"/>
  <c r="CS13" i="1"/>
  <c r="CT13" i="1"/>
  <c r="CO14" i="1"/>
  <c r="CP14" i="1"/>
  <c r="CQ14" i="1"/>
  <c r="CR14" i="1"/>
  <c r="CS14" i="1"/>
  <c r="CT14" i="1"/>
  <c r="CO15" i="1"/>
  <c r="CP15" i="1"/>
  <c r="CQ15" i="1"/>
  <c r="CR15" i="1"/>
  <c r="CS15" i="1"/>
  <c r="CT15" i="1"/>
  <c r="CO16" i="1"/>
  <c r="CP16" i="1"/>
  <c r="CQ16" i="1"/>
  <c r="CR16" i="1"/>
  <c r="CS16" i="1"/>
  <c r="CT16" i="1"/>
  <c r="CO17" i="1"/>
  <c r="CP17" i="1"/>
  <c r="CQ17" i="1"/>
  <c r="CR17" i="1"/>
  <c r="CS17" i="1"/>
  <c r="CT17" i="1"/>
  <c r="CO18" i="1"/>
  <c r="CP18" i="1"/>
  <c r="CQ18" i="1"/>
  <c r="CR18" i="1"/>
  <c r="CS18" i="1"/>
  <c r="CT18" i="1"/>
  <c r="CO19" i="1"/>
  <c r="CP19" i="1"/>
  <c r="CQ19" i="1"/>
  <c r="CR19" i="1"/>
  <c r="CS19" i="1"/>
  <c r="CT19" i="1"/>
  <c r="CO20" i="1"/>
  <c r="CP20" i="1"/>
  <c r="CQ20" i="1"/>
  <c r="CR20" i="1"/>
  <c r="CS20" i="1"/>
  <c r="CT20" i="1"/>
  <c r="CO21" i="1"/>
  <c r="CP21" i="1"/>
  <c r="CQ21" i="1"/>
  <c r="CR21" i="1"/>
  <c r="CS21" i="1"/>
  <c r="CT21" i="1"/>
  <c r="CO22" i="1"/>
  <c r="CP22" i="1"/>
  <c r="CQ22" i="1"/>
  <c r="CR22" i="1"/>
  <c r="CS22" i="1"/>
  <c r="CT22" i="1"/>
  <c r="CO23" i="1"/>
  <c r="CP23" i="1"/>
  <c r="CQ23" i="1"/>
  <c r="CR23" i="1"/>
  <c r="CS23" i="1"/>
  <c r="CT23" i="1"/>
  <c r="CO24" i="1"/>
  <c r="CP24" i="1"/>
  <c r="CQ24" i="1"/>
  <c r="CR24" i="1"/>
  <c r="CS24" i="1"/>
  <c r="CT24" i="1"/>
  <c r="CO25" i="1"/>
  <c r="CP25" i="1"/>
  <c r="CQ25" i="1"/>
  <c r="CR25" i="1"/>
  <c r="CS25" i="1"/>
  <c r="CT25" i="1"/>
  <c r="CO26" i="1"/>
  <c r="CP26" i="1"/>
  <c r="CQ26" i="1"/>
  <c r="CR26" i="1"/>
  <c r="CS26" i="1"/>
  <c r="CT26" i="1"/>
  <c r="CO27" i="1"/>
  <c r="CP27" i="1"/>
  <c r="CQ27" i="1"/>
  <c r="CR27" i="1"/>
  <c r="CS27" i="1"/>
  <c r="CT27" i="1"/>
  <c r="CO28" i="1"/>
  <c r="CP28" i="1"/>
  <c r="CQ28" i="1"/>
  <c r="CR28" i="1"/>
  <c r="CS28" i="1"/>
  <c r="CT28" i="1"/>
  <c r="CO29" i="1"/>
  <c r="CP29" i="1"/>
  <c r="CQ29" i="1"/>
  <c r="CR29" i="1"/>
  <c r="CS29" i="1"/>
  <c r="CT29" i="1"/>
  <c r="CO30" i="1"/>
  <c r="CP30" i="1"/>
  <c r="CQ30" i="1"/>
  <c r="CR30" i="1"/>
  <c r="CS30" i="1"/>
  <c r="CT30" i="1"/>
  <c r="CO31" i="1"/>
  <c r="CP31" i="1"/>
  <c r="CQ31" i="1"/>
  <c r="CR31" i="1"/>
  <c r="CS31" i="1"/>
  <c r="CT31" i="1"/>
  <c r="CO32" i="1"/>
  <c r="CP32" i="1"/>
  <c r="CQ32" i="1"/>
  <c r="CR32" i="1"/>
  <c r="CS32" i="1"/>
  <c r="CT32" i="1"/>
  <c r="CO33" i="1"/>
  <c r="CP33" i="1"/>
  <c r="CQ33" i="1"/>
  <c r="CR33" i="1"/>
  <c r="CS33" i="1"/>
  <c r="CT33" i="1"/>
  <c r="CT2" i="1"/>
  <c r="CS2" i="1"/>
  <c r="CR2" i="1"/>
  <c r="CP2" i="1"/>
  <c r="CQ2" i="1"/>
  <c r="CO2" i="1"/>
  <c r="CL3" i="1"/>
  <c r="CL4" i="1"/>
  <c r="CL5" i="1"/>
  <c r="CL6" i="1"/>
  <c r="CL7" i="1"/>
  <c r="CL8" i="1"/>
  <c r="CL9" i="1"/>
  <c r="CL10" i="1"/>
  <c r="CL11" i="1"/>
  <c r="CL12" i="1"/>
  <c r="CL13" i="1"/>
  <c r="CL14" i="1"/>
  <c r="CL15" i="1"/>
  <c r="CL16" i="1"/>
  <c r="CL17" i="1"/>
  <c r="CL18" i="1"/>
  <c r="CL19" i="1"/>
  <c r="CL20" i="1"/>
  <c r="CL21" i="1"/>
  <c r="CL22" i="1"/>
  <c r="CL23" i="1"/>
  <c r="CL24" i="1"/>
  <c r="CL25" i="1"/>
  <c r="CL26" i="1"/>
  <c r="CL27" i="1"/>
  <c r="CL28" i="1"/>
  <c r="CL29" i="1"/>
  <c r="CL30" i="1"/>
  <c r="CL31" i="1"/>
  <c r="CL32" i="1"/>
  <c r="CL2" i="1"/>
  <c r="BG33" i="1"/>
  <c r="BI33" i="1" s="1"/>
  <c r="BU33" i="1"/>
  <c r="BF33" i="1"/>
  <c r="BH33" i="1" s="1"/>
  <c r="BJ33" i="1" s="1"/>
  <c r="BL33" i="1" s="1"/>
  <c r="BN33" i="1" s="1"/>
  <c r="BT33" i="1"/>
  <c r="BE33" i="1"/>
  <c r="CU33" i="1"/>
  <c r="CV33" i="1"/>
  <c r="CW33" i="1"/>
  <c r="CX33" i="1"/>
  <c r="CY33" i="1"/>
  <c r="CZ33" i="1"/>
  <c r="DA33" i="1"/>
  <c r="DB33" i="1"/>
  <c r="DC33" i="1"/>
  <c r="DD33" i="1"/>
  <c r="DE33" i="1"/>
  <c r="DF33" i="1"/>
  <c r="DG33" i="1"/>
  <c r="DH33" i="1"/>
  <c r="ER35" i="1"/>
  <c r="ER34" i="1"/>
  <c r="DA3" i="1"/>
  <c r="DA4" i="1"/>
  <c r="DA5" i="1"/>
  <c r="DA6" i="1"/>
  <c r="DA7" i="1"/>
  <c r="DA8" i="1"/>
  <c r="DA9" i="1"/>
  <c r="DA10" i="1"/>
  <c r="DA11" i="1"/>
  <c r="DA12" i="1"/>
  <c r="DA13" i="1"/>
  <c r="DA14" i="1"/>
  <c r="DA15" i="1"/>
  <c r="DA16" i="1"/>
  <c r="DA17" i="1"/>
  <c r="DA18" i="1"/>
  <c r="DA19" i="1"/>
  <c r="DA20" i="1"/>
  <c r="DA21" i="1"/>
  <c r="DA22" i="1"/>
  <c r="DA23" i="1"/>
  <c r="DA24" i="1"/>
  <c r="DA25" i="1"/>
  <c r="DA26" i="1"/>
  <c r="DA27" i="1"/>
  <c r="DA28" i="1"/>
  <c r="DA29" i="1"/>
  <c r="DA30" i="1"/>
  <c r="DA31" i="1"/>
  <c r="DA32" i="1"/>
  <c r="DA2" i="1"/>
  <c r="DH32" i="1"/>
  <c r="DG32" i="1"/>
  <c r="DF32" i="1"/>
  <c r="DE32" i="1"/>
  <c r="DD32" i="1"/>
  <c r="DC32" i="1"/>
  <c r="DB32" i="1"/>
  <c r="CZ32" i="1"/>
  <c r="CY32" i="1"/>
  <c r="CX32" i="1"/>
  <c r="CW32" i="1"/>
  <c r="CV32" i="1"/>
  <c r="CU32" i="1"/>
  <c r="CG32" i="1"/>
  <c r="CF32" i="1"/>
  <c r="BU32" i="1"/>
  <c r="BT32" i="1"/>
  <c r="CI32" i="1"/>
  <c r="BG32" i="1"/>
  <c r="BW32" i="1" s="1"/>
  <c r="BF32" i="1"/>
  <c r="BV32" i="1" s="1"/>
  <c r="BE32" i="1"/>
  <c r="DH31" i="1"/>
  <c r="DG31" i="1"/>
  <c r="DF31" i="1"/>
  <c r="DE31" i="1"/>
  <c r="DD31" i="1"/>
  <c r="DC31" i="1"/>
  <c r="DB31" i="1"/>
  <c r="CZ31" i="1"/>
  <c r="CY31" i="1"/>
  <c r="CX31" i="1"/>
  <c r="CW31" i="1"/>
  <c r="CV31" i="1"/>
  <c r="CU31" i="1"/>
  <c r="BU31" i="1"/>
  <c r="BT31" i="1"/>
  <c r="BG31" i="1"/>
  <c r="BI31" i="1" s="1"/>
  <c r="BF31" i="1"/>
  <c r="BH31" i="1" s="1"/>
  <c r="BE31" i="1"/>
  <c r="DH30" i="1"/>
  <c r="DG30" i="1"/>
  <c r="DF30" i="1"/>
  <c r="DE30" i="1"/>
  <c r="DD30" i="1"/>
  <c r="DC30" i="1"/>
  <c r="DB30" i="1"/>
  <c r="CZ30" i="1"/>
  <c r="CY30" i="1"/>
  <c r="CX30" i="1"/>
  <c r="CW30" i="1"/>
  <c r="CV30" i="1"/>
  <c r="CU30" i="1"/>
  <c r="BU30" i="1"/>
  <c r="BT30" i="1"/>
  <c r="BG30" i="1"/>
  <c r="BI30" i="1" s="1"/>
  <c r="BY30" i="1" s="1"/>
  <c r="BF30" i="1"/>
  <c r="BV30" i="1" s="1"/>
  <c r="BE30" i="1"/>
  <c r="DH29" i="1"/>
  <c r="DG29" i="1"/>
  <c r="DF29" i="1"/>
  <c r="DE29" i="1"/>
  <c r="DD29" i="1"/>
  <c r="DC29" i="1"/>
  <c r="DB29" i="1"/>
  <c r="CZ29" i="1"/>
  <c r="CY29" i="1"/>
  <c r="CX29" i="1"/>
  <c r="CW29" i="1"/>
  <c r="CV29" i="1"/>
  <c r="CU29" i="1"/>
  <c r="BU29" i="1"/>
  <c r="BT29" i="1"/>
  <c r="BG29" i="1"/>
  <c r="BW29" i="1" s="1"/>
  <c r="BF29" i="1"/>
  <c r="BV29" i="1" s="1"/>
  <c r="BE29" i="1"/>
  <c r="DH28" i="1"/>
  <c r="DG28" i="1"/>
  <c r="DF28" i="1"/>
  <c r="DE28" i="1"/>
  <c r="DD28" i="1"/>
  <c r="DC28" i="1"/>
  <c r="DB28" i="1"/>
  <c r="CZ28" i="1"/>
  <c r="CY28" i="1"/>
  <c r="CX28" i="1"/>
  <c r="CW28" i="1"/>
  <c r="CV28" i="1"/>
  <c r="CU28" i="1"/>
  <c r="BU28" i="1"/>
  <c r="BT28" i="1"/>
  <c r="BG28" i="1"/>
  <c r="BW28" i="1" s="1"/>
  <c r="BF28" i="1"/>
  <c r="BV28" i="1" s="1"/>
  <c r="BE28" i="1"/>
  <c r="DH27" i="1"/>
  <c r="DG27" i="1"/>
  <c r="DF27" i="1"/>
  <c r="DE27" i="1"/>
  <c r="DD27" i="1"/>
  <c r="DC27" i="1"/>
  <c r="DB27" i="1"/>
  <c r="CZ27" i="1"/>
  <c r="CY27" i="1"/>
  <c r="CX27" i="1"/>
  <c r="CW27" i="1"/>
  <c r="CV27" i="1"/>
  <c r="CU27" i="1"/>
  <c r="BU27" i="1"/>
  <c r="BT27" i="1"/>
  <c r="BG27" i="1"/>
  <c r="BI27" i="1" s="1"/>
  <c r="BF27" i="1"/>
  <c r="BH27" i="1" s="1"/>
  <c r="BE27" i="1"/>
  <c r="DH26" i="1"/>
  <c r="DG26" i="1"/>
  <c r="DF26" i="1"/>
  <c r="DE26" i="1"/>
  <c r="DD26" i="1"/>
  <c r="DC26" i="1"/>
  <c r="DB26" i="1"/>
  <c r="CZ26" i="1"/>
  <c r="CY26" i="1"/>
  <c r="CX26" i="1"/>
  <c r="CW26" i="1"/>
  <c r="CV26" i="1"/>
  <c r="CU26" i="1"/>
  <c r="BU26" i="1"/>
  <c r="BT26" i="1"/>
  <c r="BG26" i="1"/>
  <c r="BI26" i="1" s="1"/>
  <c r="BY26" i="1" s="1"/>
  <c r="BF26" i="1"/>
  <c r="BH26" i="1" s="1"/>
  <c r="BX26" i="1" s="1"/>
  <c r="BE26" i="1"/>
  <c r="DH25" i="1"/>
  <c r="DG25" i="1"/>
  <c r="DF25" i="1"/>
  <c r="DE25" i="1"/>
  <c r="DD25" i="1"/>
  <c r="DC25" i="1"/>
  <c r="DB25" i="1"/>
  <c r="CZ25" i="1"/>
  <c r="CY25" i="1"/>
  <c r="CX25" i="1"/>
  <c r="CW25" i="1"/>
  <c r="CV25" i="1"/>
  <c r="CU25" i="1"/>
  <c r="BU25" i="1"/>
  <c r="BT25" i="1"/>
  <c r="BG25" i="1"/>
  <c r="BW25" i="1" s="1"/>
  <c r="BF25" i="1"/>
  <c r="BV25" i="1" s="1"/>
  <c r="BE25" i="1"/>
  <c r="DH24" i="1"/>
  <c r="DG24" i="1"/>
  <c r="DF24" i="1"/>
  <c r="DE24" i="1"/>
  <c r="DD24" i="1"/>
  <c r="DC24" i="1"/>
  <c r="DB24" i="1"/>
  <c r="CZ24" i="1"/>
  <c r="CY24" i="1"/>
  <c r="CX24" i="1"/>
  <c r="CW24" i="1"/>
  <c r="CV24" i="1"/>
  <c r="CU24" i="1"/>
  <c r="BU24" i="1"/>
  <c r="BT24" i="1"/>
  <c r="BG24" i="1"/>
  <c r="BW24" i="1" s="1"/>
  <c r="BF24" i="1"/>
  <c r="BV24" i="1" s="1"/>
  <c r="BE24" i="1"/>
  <c r="DH23" i="1"/>
  <c r="DG23" i="1"/>
  <c r="DF23" i="1"/>
  <c r="DE23" i="1"/>
  <c r="DD23" i="1"/>
  <c r="DC23" i="1"/>
  <c r="DB23" i="1"/>
  <c r="CZ23" i="1"/>
  <c r="CY23" i="1"/>
  <c r="CX23" i="1"/>
  <c r="CW23" i="1"/>
  <c r="CV23" i="1"/>
  <c r="CU23" i="1"/>
  <c r="BU23" i="1"/>
  <c r="BT23" i="1"/>
  <c r="BG23" i="1"/>
  <c r="BI23" i="1" s="1"/>
  <c r="BF23" i="1"/>
  <c r="BH23" i="1" s="1"/>
  <c r="BE23" i="1"/>
  <c r="DH22" i="1"/>
  <c r="DG22" i="1"/>
  <c r="DF22" i="1"/>
  <c r="DE22" i="1"/>
  <c r="DD22" i="1"/>
  <c r="DC22" i="1"/>
  <c r="DB22" i="1"/>
  <c r="CZ22" i="1"/>
  <c r="CY22" i="1"/>
  <c r="CX22" i="1"/>
  <c r="CW22" i="1"/>
  <c r="CV22" i="1"/>
  <c r="CU22" i="1"/>
  <c r="CG22" i="1"/>
  <c r="CF22" i="1"/>
  <c r="BU22" i="1"/>
  <c r="BT22" i="1"/>
  <c r="CK22" i="1"/>
  <c r="BG22" i="1"/>
  <c r="BI22" i="1" s="1"/>
  <c r="BY22" i="1" s="1"/>
  <c r="BF22" i="1"/>
  <c r="BV22" i="1" s="1"/>
  <c r="BE22" i="1"/>
  <c r="DH21" i="1"/>
  <c r="DG21" i="1"/>
  <c r="DF21" i="1"/>
  <c r="DE21" i="1"/>
  <c r="DD21" i="1"/>
  <c r="DC21" i="1"/>
  <c r="DB21" i="1"/>
  <c r="CZ21" i="1"/>
  <c r="CY21" i="1"/>
  <c r="CX21" i="1"/>
  <c r="CW21" i="1"/>
  <c r="CV21" i="1"/>
  <c r="CU21" i="1"/>
  <c r="BU21" i="1"/>
  <c r="BT21" i="1"/>
  <c r="BG21" i="1"/>
  <c r="BW21" i="1" s="1"/>
  <c r="BF21" i="1"/>
  <c r="BV21" i="1" s="1"/>
  <c r="BE21" i="1"/>
  <c r="DH20" i="1"/>
  <c r="DG20" i="1"/>
  <c r="DF20" i="1"/>
  <c r="DE20" i="1"/>
  <c r="DD20" i="1"/>
  <c r="DC20" i="1"/>
  <c r="DB20" i="1"/>
  <c r="CZ20" i="1"/>
  <c r="CY20" i="1"/>
  <c r="CX20" i="1"/>
  <c r="CW20" i="1"/>
  <c r="CV20" i="1"/>
  <c r="CU20" i="1"/>
  <c r="BU20" i="1"/>
  <c r="BT20" i="1"/>
  <c r="BG20" i="1"/>
  <c r="BW20" i="1" s="1"/>
  <c r="BF20" i="1"/>
  <c r="BV20" i="1" s="1"/>
  <c r="BE20" i="1"/>
  <c r="DH19" i="1"/>
  <c r="DG19" i="1"/>
  <c r="DF19" i="1"/>
  <c r="DE19" i="1"/>
  <c r="DD19" i="1"/>
  <c r="DC19" i="1"/>
  <c r="DB19" i="1"/>
  <c r="CZ19" i="1"/>
  <c r="CY19" i="1"/>
  <c r="CX19" i="1"/>
  <c r="CW19" i="1"/>
  <c r="CV19" i="1"/>
  <c r="CU19" i="1"/>
  <c r="BU19" i="1"/>
  <c r="BT19" i="1"/>
  <c r="BG19" i="1"/>
  <c r="BW19" i="1" s="1"/>
  <c r="BF19" i="1"/>
  <c r="BH19" i="1" s="1"/>
  <c r="BE19" i="1"/>
  <c r="DH18" i="1"/>
  <c r="DG18" i="1"/>
  <c r="DF18" i="1"/>
  <c r="DE18" i="1"/>
  <c r="DD18" i="1"/>
  <c r="DC18" i="1"/>
  <c r="DB18" i="1"/>
  <c r="CZ18" i="1"/>
  <c r="CY18" i="1"/>
  <c r="CX18" i="1"/>
  <c r="CW18" i="1"/>
  <c r="CV18" i="1"/>
  <c r="CU18" i="1"/>
  <c r="BU18" i="1"/>
  <c r="BT18" i="1"/>
  <c r="BG18" i="1"/>
  <c r="BW18" i="1" s="1"/>
  <c r="BF18" i="1"/>
  <c r="BH18" i="1" s="1"/>
  <c r="BX18" i="1" s="1"/>
  <c r="BE18" i="1"/>
  <c r="DH17" i="1"/>
  <c r="DG17" i="1"/>
  <c r="DF17" i="1"/>
  <c r="DE17" i="1"/>
  <c r="DD17" i="1"/>
  <c r="DC17" i="1"/>
  <c r="DB17" i="1"/>
  <c r="CZ17" i="1"/>
  <c r="CY17" i="1"/>
  <c r="CX17" i="1"/>
  <c r="CW17" i="1"/>
  <c r="CV17" i="1"/>
  <c r="CU17" i="1"/>
  <c r="BU17" i="1"/>
  <c r="BT17" i="1"/>
  <c r="BG17" i="1"/>
  <c r="BW17" i="1" s="1"/>
  <c r="BF17" i="1"/>
  <c r="BV17" i="1" s="1"/>
  <c r="BE17" i="1"/>
  <c r="DH16" i="1"/>
  <c r="DG16" i="1"/>
  <c r="DF16" i="1"/>
  <c r="DE16" i="1"/>
  <c r="DD16" i="1"/>
  <c r="DC16" i="1"/>
  <c r="DB16" i="1"/>
  <c r="CZ16" i="1"/>
  <c r="CY16" i="1"/>
  <c r="CX16" i="1"/>
  <c r="CW16" i="1"/>
  <c r="CV16" i="1"/>
  <c r="CU16" i="1"/>
  <c r="BU16" i="1"/>
  <c r="BT16" i="1"/>
  <c r="BG16" i="1"/>
  <c r="BW16" i="1" s="1"/>
  <c r="BF16" i="1"/>
  <c r="BV16" i="1" s="1"/>
  <c r="BE16" i="1"/>
  <c r="DH15" i="1"/>
  <c r="DG15" i="1"/>
  <c r="DF15" i="1"/>
  <c r="DE15" i="1"/>
  <c r="DD15" i="1"/>
  <c r="DC15" i="1"/>
  <c r="DB15" i="1"/>
  <c r="CZ15" i="1"/>
  <c r="CY15" i="1"/>
  <c r="CX15" i="1"/>
  <c r="CW15" i="1"/>
  <c r="CV15" i="1"/>
  <c r="CU15" i="1"/>
  <c r="BU15" i="1"/>
  <c r="BT15" i="1"/>
  <c r="BG15" i="1"/>
  <c r="BW15" i="1" s="1"/>
  <c r="BF15" i="1"/>
  <c r="BH15" i="1" s="1"/>
  <c r="BE15" i="1"/>
  <c r="DH14" i="1"/>
  <c r="DG14" i="1"/>
  <c r="DF14" i="1"/>
  <c r="DE14" i="1"/>
  <c r="DD14" i="1"/>
  <c r="DC14" i="1"/>
  <c r="DB14" i="1"/>
  <c r="CZ14" i="1"/>
  <c r="CY14" i="1"/>
  <c r="CX14" i="1"/>
  <c r="CW14" i="1"/>
  <c r="CV14" i="1"/>
  <c r="CU14" i="1"/>
  <c r="BU14" i="1"/>
  <c r="BT14" i="1"/>
  <c r="BG14" i="1"/>
  <c r="BW14" i="1" s="1"/>
  <c r="BF14" i="1"/>
  <c r="BH14" i="1" s="1"/>
  <c r="BX14" i="1" s="1"/>
  <c r="BE14" i="1"/>
  <c r="DH13" i="1"/>
  <c r="DG13" i="1"/>
  <c r="DF13" i="1"/>
  <c r="DE13" i="1"/>
  <c r="DD13" i="1"/>
  <c r="DC13" i="1"/>
  <c r="DB13" i="1"/>
  <c r="CZ13" i="1"/>
  <c r="CY13" i="1"/>
  <c r="CX13" i="1"/>
  <c r="CW13" i="1"/>
  <c r="CV13" i="1"/>
  <c r="CU13" i="1"/>
  <c r="BU13" i="1"/>
  <c r="BT13" i="1"/>
  <c r="BG13" i="1"/>
  <c r="BW13" i="1" s="1"/>
  <c r="BF13" i="1"/>
  <c r="BV13" i="1" s="1"/>
  <c r="BE13" i="1"/>
  <c r="DH12" i="1"/>
  <c r="DG12" i="1"/>
  <c r="DF12" i="1"/>
  <c r="DE12" i="1"/>
  <c r="DD12" i="1"/>
  <c r="DC12" i="1"/>
  <c r="DB12" i="1"/>
  <c r="CZ12" i="1"/>
  <c r="CY12" i="1"/>
  <c r="CX12" i="1"/>
  <c r="CW12" i="1"/>
  <c r="CV12" i="1"/>
  <c r="CU12" i="1"/>
  <c r="CG12" i="1"/>
  <c r="CF12" i="1"/>
  <c r="BU12" i="1"/>
  <c r="BT12" i="1"/>
  <c r="CI12" i="1"/>
  <c r="BG12" i="1"/>
  <c r="BW12" i="1" s="1"/>
  <c r="BF12" i="1"/>
  <c r="BV12" i="1" s="1"/>
  <c r="BE12" i="1"/>
  <c r="DH11" i="1"/>
  <c r="DG11" i="1"/>
  <c r="DF11" i="1"/>
  <c r="DE11" i="1"/>
  <c r="DD11" i="1"/>
  <c r="DC11" i="1"/>
  <c r="DB11" i="1"/>
  <c r="CZ11" i="1"/>
  <c r="CY11" i="1"/>
  <c r="CX11" i="1"/>
  <c r="CW11" i="1"/>
  <c r="CV11" i="1"/>
  <c r="CU11" i="1"/>
  <c r="BU11" i="1"/>
  <c r="BT11" i="1"/>
  <c r="BG11" i="1"/>
  <c r="BW11" i="1" s="1"/>
  <c r="BF11" i="1"/>
  <c r="BH11" i="1" s="1"/>
  <c r="BE11" i="1"/>
  <c r="DH10" i="1"/>
  <c r="DG10" i="1"/>
  <c r="DF10" i="1"/>
  <c r="DE10" i="1"/>
  <c r="DD10" i="1"/>
  <c r="DC10" i="1"/>
  <c r="DB10" i="1"/>
  <c r="CZ10" i="1"/>
  <c r="CY10" i="1"/>
  <c r="CX10" i="1"/>
  <c r="CW10" i="1"/>
  <c r="CV10" i="1"/>
  <c r="CU10" i="1"/>
  <c r="BU10" i="1"/>
  <c r="BT10" i="1"/>
  <c r="BG10" i="1"/>
  <c r="BI10" i="1" s="1"/>
  <c r="BY10" i="1" s="1"/>
  <c r="BF10" i="1"/>
  <c r="BV10" i="1" s="1"/>
  <c r="BE10" i="1"/>
  <c r="DH9" i="1"/>
  <c r="DG9" i="1"/>
  <c r="DF9" i="1"/>
  <c r="DE9" i="1"/>
  <c r="DD9" i="1"/>
  <c r="DC9" i="1"/>
  <c r="DB9" i="1"/>
  <c r="CZ9" i="1"/>
  <c r="CY9" i="1"/>
  <c r="CX9" i="1"/>
  <c r="CW9" i="1"/>
  <c r="CV9" i="1"/>
  <c r="CU9" i="1"/>
  <c r="BU9" i="1"/>
  <c r="BT9" i="1"/>
  <c r="BG9" i="1"/>
  <c r="BW9" i="1" s="1"/>
  <c r="BF9" i="1"/>
  <c r="BV9" i="1" s="1"/>
  <c r="BE9" i="1"/>
  <c r="DH8" i="1"/>
  <c r="DG8" i="1"/>
  <c r="DF8" i="1"/>
  <c r="DE8" i="1"/>
  <c r="DD8" i="1"/>
  <c r="DC8" i="1"/>
  <c r="DB8" i="1"/>
  <c r="CZ8" i="1"/>
  <c r="CY8" i="1"/>
  <c r="CX8" i="1"/>
  <c r="CW8" i="1"/>
  <c r="CV8" i="1"/>
  <c r="CU8" i="1"/>
  <c r="BU8" i="1"/>
  <c r="BT8" i="1"/>
  <c r="BG8" i="1"/>
  <c r="BW8" i="1" s="1"/>
  <c r="BF8" i="1"/>
  <c r="BV8" i="1" s="1"/>
  <c r="BE8" i="1"/>
  <c r="DH7" i="1"/>
  <c r="DG7" i="1"/>
  <c r="DF7" i="1"/>
  <c r="DE7" i="1"/>
  <c r="DD7" i="1"/>
  <c r="DC7" i="1"/>
  <c r="DB7" i="1"/>
  <c r="CZ7" i="1"/>
  <c r="CY7" i="1"/>
  <c r="CX7" i="1"/>
  <c r="CW7" i="1"/>
  <c r="CV7" i="1"/>
  <c r="CU7" i="1"/>
  <c r="BU7" i="1"/>
  <c r="BT7" i="1"/>
  <c r="BG7" i="1"/>
  <c r="BI7" i="1" s="1"/>
  <c r="BF7" i="1"/>
  <c r="BH7" i="1" s="1"/>
  <c r="BE7" i="1"/>
  <c r="DH6" i="1"/>
  <c r="DG6" i="1"/>
  <c r="DF6" i="1"/>
  <c r="DE6" i="1"/>
  <c r="DD6" i="1"/>
  <c r="DC6" i="1"/>
  <c r="DB6" i="1"/>
  <c r="CZ6" i="1"/>
  <c r="CY6" i="1"/>
  <c r="CX6" i="1"/>
  <c r="CW6" i="1"/>
  <c r="CV6" i="1"/>
  <c r="CU6" i="1"/>
  <c r="BU6" i="1"/>
  <c r="BT6" i="1"/>
  <c r="BG6" i="1"/>
  <c r="BW6" i="1" s="1"/>
  <c r="BF6" i="1"/>
  <c r="BV6" i="1" s="1"/>
  <c r="BE6" i="1"/>
  <c r="DH5" i="1"/>
  <c r="DG5" i="1"/>
  <c r="DF5" i="1"/>
  <c r="DE5" i="1"/>
  <c r="DD5" i="1"/>
  <c r="DC5" i="1"/>
  <c r="DB5" i="1"/>
  <c r="CZ5" i="1"/>
  <c r="CY5" i="1"/>
  <c r="CX5" i="1"/>
  <c r="CW5" i="1"/>
  <c r="CV5" i="1"/>
  <c r="CU5" i="1"/>
  <c r="BU5" i="1"/>
  <c r="BT5" i="1"/>
  <c r="BG5" i="1"/>
  <c r="BW5" i="1" s="1"/>
  <c r="BF5" i="1"/>
  <c r="BV5" i="1" s="1"/>
  <c r="BE5" i="1"/>
  <c r="DH4" i="1"/>
  <c r="DG4" i="1"/>
  <c r="DF4" i="1"/>
  <c r="DE4" i="1"/>
  <c r="DD4" i="1"/>
  <c r="DC4" i="1"/>
  <c r="DB4" i="1"/>
  <c r="CZ4" i="1"/>
  <c r="CY4" i="1"/>
  <c r="CX4" i="1"/>
  <c r="CW4" i="1"/>
  <c r="CV4" i="1"/>
  <c r="CU4" i="1"/>
  <c r="BU4" i="1"/>
  <c r="BT4" i="1"/>
  <c r="BG4" i="1"/>
  <c r="BW4" i="1" s="1"/>
  <c r="BF4" i="1"/>
  <c r="BV4" i="1" s="1"/>
  <c r="BE4" i="1"/>
  <c r="DH3" i="1"/>
  <c r="DG3" i="1"/>
  <c r="DF3" i="1"/>
  <c r="DE3" i="1"/>
  <c r="DD3" i="1"/>
  <c r="DC3" i="1"/>
  <c r="DB3" i="1"/>
  <c r="CZ3" i="1"/>
  <c r="CY3" i="1"/>
  <c r="CX3" i="1"/>
  <c r="CW3" i="1"/>
  <c r="CV3" i="1"/>
  <c r="CU3" i="1"/>
  <c r="BU3" i="1"/>
  <c r="BT3" i="1"/>
  <c r="BG3" i="1"/>
  <c r="BI3" i="1" s="1"/>
  <c r="BF3" i="1"/>
  <c r="BH3" i="1" s="1"/>
  <c r="BE3" i="1"/>
  <c r="DH2" i="1"/>
  <c r="DG2" i="1"/>
  <c r="DF2" i="1"/>
  <c r="DE2" i="1"/>
  <c r="DD2" i="1"/>
  <c r="DC2" i="1"/>
  <c r="DB2" i="1"/>
  <c r="CZ2" i="1"/>
  <c r="CY2" i="1"/>
  <c r="CX2" i="1"/>
  <c r="CW2" i="1"/>
  <c r="CV2" i="1"/>
  <c r="CU2" i="1"/>
  <c r="CG2" i="1"/>
  <c r="CF2" i="1"/>
  <c r="BU2" i="1"/>
  <c r="BT2" i="1"/>
  <c r="CK2" i="1"/>
  <c r="BG2" i="1"/>
  <c r="BI2" i="1" s="1"/>
  <c r="BY2" i="1" s="1"/>
  <c r="BF2" i="1"/>
  <c r="BV2" i="1" s="1"/>
  <c r="BE2" i="1"/>
  <c r="G2" i="1"/>
  <c r="HS269" i="1" l="1"/>
  <c r="CE270" i="1"/>
  <c r="HT269" i="1"/>
  <c r="HU267" i="1"/>
  <c r="HE267" i="1"/>
  <c r="HW267" i="1" s="1"/>
  <c r="CJ2" i="1"/>
  <c r="CH32" i="1"/>
  <c r="CH12" i="1"/>
  <c r="FG34" i="1"/>
  <c r="AJ34" i="1" a="1"/>
  <c r="AJ34" i="1" s="1"/>
  <c r="AI35" i="1" s="1" a="1"/>
  <c r="AI35" i="1" s="1"/>
  <c r="CH22" i="1"/>
  <c r="AL226" i="1"/>
  <c r="EX226" i="1" s="1"/>
  <c r="AK226" i="1"/>
  <c r="EW226" i="1" s="1"/>
  <c r="PZ440" i="1"/>
  <c r="X442" i="1"/>
  <c r="X443" i="1" s="1"/>
  <c r="X445" i="1" s="1"/>
  <c r="RS435" i="1"/>
  <c r="RN435" i="1"/>
  <c r="RM435" i="1"/>
  <c r="RO435" i="1"/>
  <c r="RL435" i="1"/>
  <c r="RT435" i="1"/>
  <c r="RK435" i="1"/>
  <c r="RI435" i="1"/>
  <c r="RP435" i="1"/>
  <c r="RJ435" i="1"/>
  <c r="RR435" i="1"/>
  <c r="RQ435" i="1"/>
  <c r="DH501" i="1"/>
  <c r="CW501" i="1"/>
  <c r="CO501" i="1"/>
  <c r="CU501" i="1"/>
  <c r="DA501" i="1"/>
  <c r="DG501" i="1"/>
  <c r="CP501" i="1"/>
  <c r="CV501" i="1"/>
  <c r="DB501" i="1"/>
  <c r="CQ501" i="1"/>
  <c r="BE501" i="1"/>
  <c r="DF501" i="1"/>
  <c r="CX501" i="1"/>
  <c r="DC501" i="1"/>
  <c r="CL501" i="1"/>
  <c r="CT501" i="1"/>
  <c r="CM501" i="1"/>
  <c r="CR501" i="1"/>
  <c r="CY501" i="1"/>
  <c r="DD501" i="1"/>
  <c r="CN501" i="1"/>
  <c r="CS501" i="1"/>
  <c r="CZ501" i="1"/>
  <c r="DE501" i="1"/>
  <c r="HY44" i="1"/>
  <c r="X57" i="1"/>
  <c r="X58" i="1" s="1"/>
  <c r="Y51" i="1" a="1"/>
  <c r="Y51" i="1" s="1"/>
  <c r="AA51" i="1" s="1"/>
  <c r="HG51" i="1" s="1"/>
  <c r="Y56" i="1" a="1"/>
  <c r="Y56" i="1" s="1"/>
  <c r="AA56" i="1" s="1"/>
  <c r="UC312" i="1"/>
  <c r="UD312" i="1" s="1"/>
  <c r="UB313" i="1"/>
  <c r="AB45" i="5"/>
  <c r="HH45" i="5" s="1"/>
  <c r="AA45" i="5"/>
  <c r="HG45" i="5" s="1"/>
  <c r="Z45" i="5" s="1" a="1"/>
  <c r="Z45" i="5" s="1"/>
  <c r="Y46" i="5" s="1" a="1"/>
  <c r="Y46" i="5" s="1"/>
  <c r="GU271" i="5"/>
  <c r="HI271" i="5"/>
  <c r="X49" i="5"/>
  <c r="IQ50" i="5"/>
  <c r="IE50" i="5"/>
  <c r="U51" i="5"/>
  <c r="IP50" i="5"/>
  <c r="ID50" i="5"/>
  <c r="GT50" i="5"/>
  <c r="IK50" i="5"/>
  <c r="IF50" i="5"/>
  <c r="IB50" i="5"/>
  <c r="IN50" i="5"/>
  <c r="HZ50" i="5"/>
  <c r="IH50" i="5"/>
  <c r="HY50" i="5"/>
  <c r="IM50" i="5"/>
  <c r="IL50" i="5"/>
  <c r="IO50" i="5"/>
  <c r="IJ50" i="5"/>
  <c r="II50" i="5"/>
  <c r="IG50" i="5"/>
  <c r="IA50" i="5"/>
  <c r="IC50" i="5"/>
  <c r="HJ271" i="5"/>
  <c r="GV271" i="5"/>
  <c r="HV267" i="1"/>
  <c r="HX267" i="1"/>
  <c r="GW267" i="1"/>
  <c r="HM267" i="1" s="1"/>
  <c r="HK267" i="1"/>
  <c r="HJ267" i="1"/>
  <c r="GV267" i="1"/>
  <c r="HK50" i="4"/>
  <c r="GW50" i="4"/>
  <c r="BU9" i="4"/>
  <c r="BG9" i="4"/>
  <c r="BG21" i="4"/>
  <c r="BU21" i="4"/>
  <c r="BI26" i="4"/>
  <c r="BW26" i="4"/>
  <c r="BK33" i="4"/>
  <c r="CA33" i="4" s="1"/>
  <c r="BY33" i="4"/>
  <c r="GU53" i="4"/>
  <c r="HI53" i="4"/>
  <c r="HM54" i="4"/>
  <c r="GY54" i="4"/>
  <c r="HO54" i="4" s="1"/>
  <c r="BX12" i="4"/>
  <c r="BJ12" i="4"/>
  <c r="BZ12" i="4" s="1"/>
  <c r="HI52" i="4"/>
  <c r="GU52" i="4"/>
  <c r="HM45" i="4"/>
  <c r="GY45" i="4"/>
  <c r="HO45" i="4" s="1"/>
  <c r="BF18" i="4"/>
  <c r="BT18" i="4"/>
  <c r="BW12" i="4"/>
  <c r="BI12" i="4"/>
  <c r="BV32" i="4"/>
  <c r="BH32" i="4"/>
  <c r="HI44" i="4"/>
  <c r="GU44" i="4"/>
  <c r="BH28" i="4"/>
  <c r="BV28" i="4"/>
  <c r="BU19" i="4"/>
  <c r="BG19" i="4"/>
  <c r="BT3" i="4"/>
  <c r="BF3" i="4"/>
  <c r="BW32" i="4"/>
  <c r="BI32" i="4"/>
  <c r="BT5" i="4"/>
  <c r="BF5" i="4"/>
  <c r="BH17" i="4"/>
  <c r="BV17" i="4"/>
  <c r="BV15" i="4"/>
  <c r="BH15" i="4"/>
  <c r="HJ45" i="4"/>
  <c r="GV45" i="4"/>
  <c r="BT7" i="4"/>
  <c r="BF7" i="4"/>
  <c r="BV27" i="4"/>
  <c r="BH27" i="4"/>
  <c r="HM43" i="4"/>
  <c r="GY43" i="4"/>
  <c r="BF31" i="4"/>
  <c r="BT31" i="4"/>
  <c r="HN55" i="4"/>
  <c r="GZ55" i="4"/>
  <c r="HP55" i="4" s="1"/>
  <c r="BF16" i="4"/>
  <c r="BT16" i="4"/>
  <c r="BT4" i="4"/>
  <c r="BF4" i="4"/>
  <c r="X46" i="4"/>
  <c r="HK55" i="4"/>
  <c r="GW55" i="4"/>
  <c r="BK10" i="4"/>
  <c r="CA10" i="4" s="1"/>
  <c r="BY10" i="4"/>
  <c r="BK16" i="4"/>
  <c r="CA16" i="4" s="1"/>
  <c r="BY16" i="4"/>
  <c r="BJ8" i="4"/>
  <c r="BZ8" i="4" s="1"/>
  <c r="BX8" i="4"/>
  <c r="BJ29" i="4"/>
  <c r="BZ29" i="4" s="1"/>
  <c r="BX29" i="4"/>
  <c r="HN54" i="4"/>
  <c r="GZ54" i="4"/>
  <c r="HP54" i="4" s="1"/>
  <c r="BI6" i="4"/>
  <c r="BW6" i="4"/>
  <c r="BF33" i="4"/>
  <c r="BT33" i="4"/>
  <c r="HN51" i="4"/>
  <c r="GZ51" i="4"/>
  <c r="HP51" i="4" s="1"/>
  <c r="GV50" i="4"/>
  <c r="HJ50" i="4"/>
  <c r="BV30" i="4"/>
  <c r="BH30" i="4"/>
  <c r="BG28" i="4"/>
  <c r="BU28" i="4"/>
  <c r="BW31" i="4"/>
  <c r="BI31" i="4"/>
  <c r="BT11" i="4"/>
  <c r="BF11" i="4"/>
  <c r="BH26" i="4"/>
  <c r="BV26" i="4"/>
  <c r="BK13" i="4"/>
  <c r="CA13" i="4" s="1"/>
  <c r="BY13" i="4"/>
  <c r="LM173" i="4"/>
  <c r="LN172" i="4"/>
  <c r="LO172" i="4" s="1"/>
  <c r="HN53" i="4"/>
  <c r="GZ53" i="4"/>
  <c r="HP53" i="4" s="1"/>
  <c r="GZ49" i="4"/>
  <c r="HP49" i="4" s="1"/>
  <c r="HN49" i="4"/>
  <c r="BH2" i="4"/>
  <c r="BV2" i="4"/>
  <c r="GV48" i="4"/>
  <c r="HJ48" i="4"/>
  <c r="BY29" i="4"/>
  <c r="BK29" i="4"/>
  <c r="CA29" i="4" s="1"/>
  <c r="BG18" i="4"/>
  <c r="BU18" i="4"/>
  <c r="HI47" i="4"/>
  <c r="GU47" i="4"/>
  <c r="BJ23" i="4"/>
  <c r="BZ23" i="4" s="1"/>
  <c r="BX23" i="4"/>
  <c r="BF6" i="4"/>
  <c r="BT6" i="4"/>
  <c r="BI5" i="4"/>
  <c r="BW5" i="4"/>
  <c r="BT9" i="4"/>
  <c r="BF9" i="4"/>
  <c r="BK25" i="4"/>
  <c r="CA25" i="4" s="1"/>
  <c r="BY25" i="4"/>
  <c r="BX24" i="4"/>
  <c r="BJ24" i="4"/>
  <c r="BZ24" i="4" s="1"/>
  <c r="Z180" i="4" a="1"/>
  <c r="Z180" i="4" s="1"/>
  <c r="HK49" i="4"/>
  <c r="GW49" i="4"/>
  <c r="HL46" i="4"/>
  <c r="GX46" i="4"/>
  <c r="BG30" i="4"/>
  <c r="BU30" i="4"/>
  <c r="GZ47" i="4"/>
  <c r="HP47" i="4" s="1"/>
  <c r="HN47" i="4"/>
  <c r="II47" i="4"/>
  <c r="HW47" i="4"/>
  <c r="ID47" i="4"/>
  <c r="IM47" i="4"/>
  <c r="HY47" i="4"/>
  <c r="IK47" i="4"/>
  <c r="HV47" i="4"/>
  <c r="IH47" i="4"/>
  <c r="IG47" i="4"/>
  <c r="IA47" i="4"/>
  <c r="GP47" i="4"/>
  <c r="HX47" i="4"/>
  <c r="HU47" i="4"/>
  <c r="IL47" i="4"/>
  <c r="IJ47" i="4"/>
  <c r="IC47" i="4"/>
  <c r="IB47" i="4"/>
  <c r="IF47" i="4"/>
  <c r="U48" i="4"/>
  <c r="IE47" i="4"/>
  <c r="HZ47" i="4"/>
  <c r="BX21" i="4"/>
  <c r="BJ21" i="4"/>
  <c r="BZ21" i="4" s="1"/>
  <c r="BT22" i="4"/>
  <c r="BF22" i="4"/>
  <c r="BU3" i="4"/>
  <c r="BG3" i="4"/>
  <c r="BI24" i="4"/>
  <c r="BW24" i="4"/>
  <c r="BV10" i="4"/>
  <c r="BH10" i="4"/>
  <c r="AA43" i="1"/>
  <c r="AB43" i="1"/>
  <c r="HH43" i="1" s="1"/>
  <c r="U45" i="1"/>
  <c r="IJ45" i="1" s="1"/>
  <c r="KJ186" i="1"/>
  <c r="KK186" i="1" s="1"/>
  <c r="NE179" i="1"/>
  <c r="NK179" i="1" s="1"/>
  <c r="NJ179" i="1"/>
  <c r="NC180" i="1"/>
  <c r="NJ180" i="1" s="1"/>
  <c r="NI179" i="1"/>
  <c r="ND180" i="1"/>
  <c r="LQ172" i="1"/>
  <c r="IJ44" i="1"/>
  <c r="IL44" i="1"/>
  <c r="IK44" i="1"/>
  <c r="IE44" i="1"/>
  <c r="IQ44" i="1"/>
  <c r="ID44" i="1"/>
  <c r="IP44" i="1"/>
  <c r="IC44" i="1"/>
  <c r="IO44" i="1"/>
  <c r="IB44" i="1"/>
  <c r="IN44" i="1"/>
  <c r="IA44" i="1"/>
  <c r="IM44" i="1"/>
  <c r="HZ44" i="1"/>
  <c r="GT44" i="1"/>
  <c r="II44" i="1"/>
  <c r="IH44" i="1"/>
  <c r="IG44" i="1"/>
  <c r="IF44" i="1"/>
  <c r="HL45" i="1"/>
  <c r="GZ45" i="1"/>
  <c r="HB45" i="1" s="1"/>
  <c r="HN45" i="1"/>
  <c r="GY45" i="1"/>
  <c r="HO45" i="1" s="1"/>
  <c r="HM45" i="1"/>
  <c r="HK45" i="1"/>
  <c r="GZ55" i="1"/>
  <c r="HN55" i="1"/>
  <c r="GY48" i="1"/>
  <c r="HM48" i="1"/>
  <c r="GY50" i="1"/>
  <c r="HM50" i="1"/>
  <c r="GZ52" i="1"/>
  <c r="HN52" i="1"/>
  <c r="GY52" i="1"/>
  <c r="HM52" i="1"/>
  <c r="GZ47" i="1"/>
  <c r="HN47" i="1"/>
  <c r="GZ54" i="1"/>
  <c r="HN54" i="1"/>
  <c r="GY47" i="1"/>
  <c r="HM47" i="1"/>
  <c r="GY54" i="1"/>
  <c r="HM54" i="1"/>
  <c r="GZ49" i="1"/>
  <c r="HN49" i="1"/>
  <c r="GZ50" i="1"/>
  <c r="HN50" i="1"/>
  <c r="GY49" i="1"/>
  <c r="HM49" i="1"/>
  <c r="GZ51" i="1"/>
  <c r="HN51" i="1"/>
  <c r="GY55" i="1"/>
  <c r="HM55" i="1"/>
  <c r="GY51" i="1"/>
  <c r="HM51" i="1"/>
  <c r="GZ46" i="1"/>
  <c r="HN46" i="1"/>
  <c r="GZ53" i="1"/>
  <c r="HN53" i="1"/>
  <c r="GY46" i="1"/>
  <c r="HM46" i="1"/>
  <c r="GY53" i="1"/>
  <c r="HM53" i="1"/>
  <c r="GZ48" i="1"/>
  <c r="HN48" i="1"/>
  <c r="HL55" i="1"/>
  <c r="HL54" i="1"/>
  <c r="HL53" i="1"/>
  <c r="HL52" i="1"/>
  <c r="HL51" i="1"/>
  <c r="HL50" i="1"/>
  <c r="HL49" i="1"/>
  <c r="HL48" i="1"/>
  <c r="HL47" i="1"/>
  <c r="HL46" i="1"/>
  <c r="HK55" i="1"/>
  <c r="HK54" i="1"/>
  <c r="HK53" i="1"/>
  <c r="HK52" i="1"/>
  <c r="HK51" i="1"/>
  <c r="HK50" i="1"/>
  <c r="HK49" i="1"/>
  <c r="HK48" i="1"/>
  <c r="HK47" i="1"/>
  <c r="HK46" i="1"/>
  <c r="GZ44" i="1"/>
  <c r="HN44" i="1"/>
  <c r="GY44" i="1"/>
  <c r="HM44" i="1"/>
  <c r="HL44" i="1"/>
  <c r="HK44" i="1"/>
  <c r="HM43" i="1"/>
  <c r="HN43" i="1"/>
  <c r="GY43" i="1"/>
  <c r="GZ43" i="1"/>
  <c r="HL43" i="1"/>
  <c r="HK43" i="1"/>
  <c r="FB42" i="1"/>
  <c r="EV41" i="1"/>
  <c r="FD41" i="1" s="1"/>
  <c r="FB40" i="1"/>
  <c r="EV39" i="1"/>
  <c r="FD39" i="1" s="1"/>
  <c r="FB38" i="1"/>
  <c r="EV37" i="1"/>
  <c r="FD37" i="1" s="1"/>
  <c r="FB36" i="1"/>
  <c r="FA42" i="1"/>
  <c r="EU41" i="1"/>
  <c r="FC41" i="1" s="1"/>
  <c r="FA40" i="1"/>
  <c r="EU39" i="1"/>
  <c r="FC39" i="1" s="1"/>
  <c r="FA38" i="1"/>
  <c r="EU37" i="1"/>
  <c r="FC37" i="1" s="1"/>
  <c r="FA36" i="1"/>
  <c r="FA34" i="1"/>
  <c r="FB34" i="1"/>
  <c r="FB35" i="1"/>
  <c r="FA35" i="1"/>
  <c r="BV33" i="1"/>
  <c r="BI18" i="1"/>
  <c r="BY18" i="1" s="1"/>
  <c r="BW33" i="1"/>
  <c r="BK33" i="1"/>
  <c r="BM33" i="1" s="1"/>
  <c r="BO33" i="1" s="1"/>
  <c r="BY33" i="1"/>
  <c r="BZ33" i="1"/>
  <c r="BX33" i="1"/>
  <c r="BW2" i="1"/>
  <c r="BV14" i="1"/>
  <c r="BI11" i="1"/>
  <c r="BY11" i="1" s="1"/>
  <c r="BW3" i="1"/>
  <c r="CH2" i="1"/>
  <c r="BY3" i="1"/>
  <c r="BK3" i="1"/>
  <c r="BM3" i="1" s="1"/>
  <c r="BW7" i="1"/>
  <c r="BH10" i="1"/>
  <c r="BX10" i="1" s="1"/>
  <c r="BH28" i="1"/>
  <c r="BX28" i="1" s="1"/>
  <c r="BW31" i="1"/>
  <c r="CI2" i="1"/>
  <c r="BH2" i="1"/>
  <c r="BJ2" i="1" s="1"/>
  <c r="BH22" i="1"/>
  <c r="BX22" i="1" s="1"/>
  <c r="BW30" i="1"/>
  <c r="BH4" i="1"/>
  <c r="BJ4" i="1" s="1"/>
  <c r="BL4" i="1" s="1"/>
  <c r="BW10" i="1"/>
  <c r="BI14" i="1"/>
  <c r="BY14" i="1" s="1"/>
  <c r="BH24" i="1"/>
  <c r="BX24" i="1" s="1"/>
  <c r="BH30" i="1"/>
  <c r="BX30" i="1" s="1"/>
  <c r="BK27" i="1"/>
  <c r="CA27" i="1" s="1"/>
  <c r="BY27" i="1"/>
  <c r="BW27" i="1"/>
  <c r="BY23" i="1"/>
  <c r="BK23" i="1"/>
  <c r="CA23" i="1" s="1"/>
  <c r="BV26" i="1"/>
  <c r="BW26" i="1"/>
  <c r="BW22" i="1"/>
  <c r="BW23" i="1"/>
  <c r="BI19" i="1"/>
  <c r="BH20" i="1"/>
  <c r="BX20" i="1" s="1"/>
  <c r="BV18" i="1"/>
  <c r="BI15" i="1"/>
  <c r="BH16" i="1"/>
  <c r="BX16" i="1" s="1"/>
  <c r="BH12" i="1"/>
  <c r="BY7" i="1"/>
  <c r="BK7" i="1"/>
  <c r="CA7" i="1" s="1"/>
  <c r="BH8" i="1"/>
  <c r="CI22" i="1"/>
  <c r="CJ22" i="1"/>
  <c r="BI6" i="1"/>
  <c r="BY6" i="1" s="1"/>
  <c r="BH6" i="1"/>
  <c r="BX6" i="1" s="1"/>
  <c r="BX7" i="1"/>
  <c r="BJ7" i="1"/>
  <c r="BX11" i="1"/>
  <c r="BJ11" i="1"/>
  <c r="BX27" i="1"/>
  <c r="BJ27" i="1"/>
  <c r="BX23" i="1"/>
  <c r="BJ23" i="1"/>
  <c r="BX31" i="1"/>
  <c r="BJ31" i="1"/>
  <c r="BX15" i="1"/>
  <c r="BJ15" i="1"/>
  <c r="BK31" i="1"/>
  <c r="BY31" i="1"/>
  <c r="BX3" i="1"/>
  <c r="BJ3" i="1"/>
  <c r="BX19" i="1"/>
  <c r="BJ19" i="1"/>
  <c r="BV3" i="1"/>
  <c r="BV7" i="1"/>
  <c r="BV11" i="1"/>
  <c r="BV15" i="1"/>
  <c r="BV19" i="1"/>
  <c r="BV23" i="1"/>
  <c r="BV27" i="1"/>
  <c r="BV31" i="1"/>
  <c r="BJ14" i="1"/>
  <c r="BJ18" i="1"/>
  <c r="BJ26" i="1"/>
  <c r="BH5" i="1"/>
  <c r="BH9" i="1"/>
  <c r="BK10" i="1"/>
  <c r="BH13" i="1"/>
  <c r="BH17" i="1"/>
  <c r="BH21" i="1"/>
  <c r="BK22" i="1"/>
  <c r="BH25" i="1"/>
  <c r="BK26" i="1"/>
  <c r="BH29" i="1"/>
  <c r="BK30" i="1"/>
  <c r="BK2" i="1"/>
  <c r="BI5" i="1"/>
  <c r="BI9" i="1"/>
  <c r="CJ12" i="1"/>
  <c r="BI13" i="1"/>
  <c r="BI17" i="1"/>
  <c r="BI21" i="1"/>
  <c r="BI25" i="1"/>
  <c r="BI29" i="1"/>
  <c r="CJ32" i="1"/>
  <c r="CK12" i="1"/>
  <c r="CK32" i="1"/>
  <c r="BH32" i="1"/>
  <c r="BI4" i="1"/>
  <c r="BI8" i="1"/>
  <c r="BI12" i="1"/>
  <c r="BI16" i="1"/>
  <c r="BI20" i="1"/>
  <c r="BI24" i="1"/>
  <c r="BI28" i="1"/>
  <c r="BI32" i="1"/>
  <c r="AK35" i="1" l="1"/>
  <c r="EW35" i="1" s="1"/>
  <c r="AL35" i="1"/>
  <c r="EX35" i="1" s="1"/>
  <c r="FE226" i="1"/>
  <c r="FH226" i="1"/>
  <c r="FF226" i="1"/>
  <c r="PZ445" i="1"/>
  <c r="Y447" i="1" a="1"/>
  <c r="Y447" i="1" s="1"/>
  <c r="X448" i="1"/>
  <c r="X494" i="1" s="1"/>
  <c r="X495" i="1" s="1"/>
  <c r="X496" i="1" s="1"/>
  <c r="RQ440" i="1"/>
  <c r="RP440" i="1"/>
  <c r="RK440" i="1"/>
  <c r="RJ440" i="1"/>
  <c r="RO440" i="1"/>
  <c r="RI440" i="1"/>
  <c r="RN440" i="1"/>
  <c r="RM440" i="1"/>
  <c r="RL440" i="1"/>
  <c r="RT440" i="1"/>
  <c r="RS440" i="1"/>
  <c r="RR440" i="1"/>
  <c r="AB56" i="1"/>
  <c r="AB51" i="1"/>
  <c r="HH51" i="1" s="1"/>
  <c r="UB314" i="1"/>
  <c r="UC313" i="1"/>
  <c r="UD313" i="1" s="1"/>
  <c r="AB46" i="5"/>
  <c r="HH46" i="5" s="1"/>
  <c r="AA46" i="5"/>
  <c r="HG46" i="5" s="1"/>
  <c r="Z46" i="5" s="1" a="1"/>
  <c r="Z46" i="5" s="1"/>
  <c r="Y47" i="5" s="1" a="1"/>
  <c r="Y47" i="5" s="1"/>
  <c r="HL271" i="5"/>
  <c r="GX271" i="5"/>
  <c r="HK271" i="5"/>
  <c r="GW271" i="5"/>
  <c r="X50" i="5"/>
  <c r="II51" i="5"/>
  <c r="IH51" i="5"/>
  <c r="IQ51" i="5"/>
  <c r="IC51" i="5"/>
  <c r="IL51" i="5"/>
  <c r="IJ51" i="5"/>
  <c r="GT51" i="5"/>
  <c r="IF51" i="5"/>
  <c r="IN51" i="5"/>
  <c r="IE51" i="5"/>
  <c r="ID51" i="5"/>
  <c r="HZ51" i="5"/>
  <c r="HY51" i="5"/>
  <c r="IP51" i="5"/>
  <c r="IO51" i="5"/>
  <c r="U52" i="5"/>
  <c r="IM51" i="5"/>
  <c r="IK51" i="5"/>
  <c r="IG51" i="5"/>
  <c r="IB51" i="5"/>
  <c r="IA51" i="5"/>
  <c r="GY267" i="1"/>
  <c r="HO267" i="1" s="1"/>
  <c r="GX267" i="1"/>
  <c r="HL267" i="1"/>
  <c r="CD268" i="1"/>
  <c r="HN46" i="4"/>
  <c r="GZ46" i="4"/>
  <c r="BY5" i="4"/>
  <c r="BK5" i="4"/>
  <c r="CA5" i="4" s="1"/>
  <c r="BW18" i="4"/>
  <c r="BI18" i="4"/>
  <c r="BK31" i="4"/>
  <c r="CA31" i="4" s="1"/>
  <c r="BY31" i="4"/>
  <c r="GY55" i="4"/>
  <c r="HO55" i="4" s="1"/>
  <c r="HM55" i="4"/>
  <c r="BV16" i="4"/>
  <c r="BH16" i="4"/>
  <c r="BV7" i="4"/>
  <c r="BH7" i="4"/>
  <c r="HK44" i="4"/>
  <c r="GW44" i="4"/>
  <c r="BH18" i="4"/>
  <c r="BV18" i="4"/>
  <c r="IF48" i="4"/>
  <c r="IM48" i="4"/>
  <c r="IA48" i="4"/>
  <c r="IH48" i="4"/>
  <c r="HV48" i="4"/>
  <c r="IL48" i="4"/>
  <c r="HW48" i="4"/>
  <c r="IJ48" i="4"/>
  <c r="IG48" i="4"/>
  <c r="IE48" i="4"/>
  <c r="II48" i="4"/>
  <c r="ID48" i="4"/>
  <c r="U49" i="4"/>
  <c r="HZ48" i="4"/>
  <c r="GP48" i="4"/>
  <c r="HY48" i="4"/>
  <c r="IB48" i="4"/>
  <c r="IK48" i="4"/>
  <c r="IC48" i="4"/>
  <c r="HX48" i="4"/>
  <c r="HU48" i="4"/>
  <c r="BY6" i="4"/>
  <c r="BK6" i="4"/>
  <c r="CA6" i="4" s="1"/>
  <c r="BH3" i="4"/>
  <c r="BV3" i="4"/>
  <c r="BI21" i="4"/>
  <c r="BW21" i="4"/>
  <c r="BW28" i="4"/>
  <c r="BI28" i="4"/>
  <c r="BW19" i="4"/>
  <c r="BI19" i="4"/>
  <c r="GW52" i="4"/>
  <c r="HK52" i="4"/>
  <c r="GX48" i="4"/>
  <c r="HL48" i="4"/>
  <c r="BJ30" i="4"/>
  <c r="BZ30" i="4" s="1"/>
  <c r="BX30" i="4"/>
  <c r="BH31" i="4"/>
  <c r="BV31" i="4"/>
  <c r="BX15" i="4"/>
  <c r="BJ15" i="4"/>
  <c r="BZ15" i="4" s="1"/>
  <c r="GY50" i="4"/>
  <c r="HO50" i="4" s="1"/>
  <c r="HM50" i="4"/>
  <c r="GY49" i="4"/>
  <c r="HO49" i="4" s="1"/>
  <c r="HM49" i="4"/>
  <c r="GX45" i="4"/>
  <c r="HL45" i="4"/>
  <c r="LM174" i="4"/>
  <c r="LN173" i="4"/>
  <c r="LO173" i="4" s="1"/>
  <c r="HO43" i="4"/>
  <c r="Z43" i="4" a="1"/>
  <c r="Z43" i="4" s="1"/>
  <c r="Y44" i="4" s="1" a="1"/>
  <c r="Y44" i="4" s="1"/>
  <c r="BI9" i="4"/>
  <c r="BW9" i="4"/>
  <c r="BX2" i="4"/>
  <c r="BJ2" i="4"/>
  <c r="BZ2" i="4" s="1"/>
  <c r="BJ10" i="4"/>
  <c r="BZ10" i="4" s="1"/>
  <c r="BX10" i="4"/>
  <c r="HL50" i="4"/>
  <c r="GX50" i="4"/>
  <c r="BX32" i="4"/>
  <c r="BJ32" i="4"/>
  <c r="BZ32" i="4" s="1"/>
  <c r="GW53" i="4"/>
  <c r="HK53" i="4"/>
  <c r="BV6" i="4"/>
  <c r="BH6" i="4"/>
  <c r="BV22" i="4"/>
  <c r="BH22" i="4"/>
  <c r="X47" i="4"/>
  <c r="BX17" i="4"/>
  <c r="BJ17" i="4"/>
  <c r="BZ17" i="4" s="1"/>
  <c r="BY12" i="4"/>
  <c r="BK12" i="4"/>
  <c r="CA12" i="4" s="1"/>
  <c r="BY24" i="4"/>
  <c r="BK24" i="4"/>
  <c r="CA24" i="4" s="1"/>
  <c r="BV11" i="4"/>
  <c r="BH11" i="4"/>
  <c r="BX27" i="4"/>
  <c r="BJ27" i="4"/>
  <c r="BZ27" i="4" s="1"/>
  <c r="BV9" i="4"/>
  <c r="BH9" i="4"/>
  <c r="HK47" i="4"/>
  <c r="GW47" i="4"/>
  <c r="BJ26" i="4"/>
  <c r="BZ26" i="4" s="1"/>
  <c r="BX26" i="4"/>
  <c r="BH4" i="4"/>
  <c r="BV4" i="4"/>
  <c r="BV5" i="4"/>
  <c r="BH5" i="4"/>
  <c r="BI3" i="4"/>
  <c r="BW3" i="4"/>
  <c r="BI30" i="4"/>
  <c r="BW30" i="4"/>
  <c r="BV33" i="4"/>
  <c r="BH33" i="4"/>
  <c r="BY32" i="4"/>
  <c r="BK32" i="4"/>
  <c r="CA32" i="4" s="1"/>
  <c r="BJ28" i="4"/>
  <c r="BZ28" i="4" s="1"/>
  <c r="BX28" i="4"/>
  <c r="BY26" i="4"/>
  <c r="BK26" i="4"/>
  <c r="CA26" i="4" s="1"/>
  <c r="IB45" i="1"/>
  <c r="II45" i="1"/>
  <c r="IF45" i="1"/>
  <c r="ID45" i="1"/>
  <c r="X59" i="1"/>
  <c r="IC45" i="1"/>
  <c r="IL45" i="1"/>
  <c r="IA45" i="1"/>
  <c r="IM45" i="1"/>
  <c r="IN45" i="1"/>
  <c r="U46" i="1"/>
  <c r="IP46" i="1" s="1"/>
  <c r="IE45" i="1"/>
  <c r="IG45" i="1"/>
  <c r="IQ45" i="1"/>
  <c r="HY45" i="1"/>
  <c r="IH45" i="1"/>
  <c r="IK45" i="1"/>
  <c r="IP45" i="1"/>
  <c r="GT45" i="1"/>
  <c r="IO45" i="1"/>
  <c r="HZ45" i="1"/>
  <c r="NE180" i="1"/>
  <c r="LQ173" i="1"/>
  <c r="LR172" i="1"/>
  <c r="LS172" i="1" s="1"/>
  <c r="HA45" i="1"/>
  <c r="HC45" i="1" s="1"/>
  <c r="HS45" i="1" s="1"/>
  <c r="HP45" i="1"/>
  <c r="HA50" i="1"/>
  <c r="HO50" i="1"/>
  <c r="HA47" i="1"/>
  <c r="HO47" i="1"/>
  <c r="HA51" i="1"/>
  <c r="HO51" i="1"/>
  <c r="HB46" i="1"/>
  <c r="HP46" i="1"/>
  <c r="HB53" i="1"/>
  <c r="HP53" i="1"/>
  <c r="HA55" i="1"/>
  <c r="HO55" i="1"/>
  <c r="HB50" i="1"/>
  <c r="HP50" i="1"/>
  <c r="HB54" i="1"/>
  <c r="HP54" i="1"/>
  <c r="HB52" i="1"/>
  <c r="HP52" i="1"/>
  <c r="HB49" i="1"/>
  <c r="HP49" i="1"/>
  <c r="HR45" i="1"/>
  <c r="HD45" i="1"/>
  <c r="HT45" i="1" s="1"/>
  <c r="HA48" i="1"/>
  <c r="HO48" i="1"/>
  <c r="HA46" i="1"/>
  <c r="HO46" i="1"/>
  <c r="HA53" i="1"/>
  <c r="HO53" i="1"/>
  <c r="HB51" i="1"/>
  <c r="HP51" i="1"/>
  <c r="HA54" i="1"/>
  <c r="HO54" i="1"/>
  <c r="HA49" i="1"/>
  <c r="HO49" i="1"/>
  <c r="HB47" i="1"/>
  <c r="HP47" i="1"/>
  <c r="HB55" i="1"/>
  <c r="HP55" i="1"/>
  <c r="HB48" i="1"/>
  <c r="HP48" i="1"/>
  <c r="HA52" i="1"/>
  <c r="HO52" i="1"/>
  <c r="HA44" i="1"/>
  <c r="HO44" i="1"/>
  <c r="HB44" i="1"/>
  <c r="HP44" i="1"/>
  <c r="HB43" i="1"/>
  <c r="HR43" i="1" s="1"/>
  <c r="HP43" i="1"/>
  <c r="HA43" i="1"/>
  <c r="HO43" i="1"/>
  <c r="BK18" i="1"/>
  <c r="CA18" i="1" s="1"/>
  <c r="BJ28" i="1"/>
  <c r="BZ28" i="1" s="1"/>
  <c r="BK11" i="1"/>
  <c r="CA11" i="1" s="1"/>
  <c r="CA33" i="1"/>
  <c r="CD33" i="1"/>
  <c r="CB33" i="1"/>
  <c r="BJ10" i="1"/>
  <c r="BL10" i="1" s="1"/>
  <c r="BK6" i="1"/>
  <c r="CA6" i="1" s="1"/>
  <c r="BJ24" i="1"/>
  <c r="BL24" i="1" s="1"/>
  <c r="BK14" i="1"/>
  <c r="CA14" i="1" s="1"/>
  <c r="CA3" i="1"/>
  <c r="BJ30" i="1"/>
  <c r="BZ30" i="1" s="1"/>
  <c r="BJ20" i="1"/>
  <c r="BL20" i="1" s="1"/>
  <c r="BJ6" i="1"/>
  <c r="BZ6" i="1" s="1"/>
  <c r="BX2" i="1"/>
  <c r="BJ22" i="1"/>
  <c r="BJ16" i="1"/>
  <c r="BL16" i="1" s="1"/>
  <c r="BZ4" i="1"/>
  <c r="BM23" i="1"/>
  <c r="BO23" i="1" s="1"/>
  <c r="CE23" i="1" s="1"/>
  <c r="BX4" i="1"/>
  <c r="BM27" i="1"/>
  <c r="BO27" i="1" s="1"/>
  <c r="CE27" i="1" s="1"/>
  <c r="BY19" i="1"/>
  <c r="BK19" i="1"/>
  <c r="BJ12" i="1"/>
  <c r="BX12" i="1"/>
  <c r="BY15" i="1"/>
  <c r="BK15" i="1"/>
  <c r="BM7" i="1"/>
  <c r="BO7" i="1" s="1"/>
  <c r="CE7" i="1" s="1"/>
  <c r="BJ8" i="1"/>
  <c r="BX8" i="1"/>
  <c r="BK16" i="1"/>
  <c r="BY16" i="1"/>
  <c r="BY9" i="1"/>
  <c r="BK9" i="1"/>
  <c r="BX17" i="1"/>
  <c r="BJ17" i="1"/>
  <c r="BL3" i="1"/>
  <c r="BZ3" i="1"/>
  <c r="BK4" i="1"/>
  <c r="BY4" i="1"/>
  <c r="CA10" i="1"/>
  <c r="BM10" i="1"/>
  <c r="CA31" i="1"/>
  <c r="BM31" i="1"/>
  <c r="BK20" i="1"/>
  <c r="BY20" i="1"/>
  <c r="BZ27" i="1"/>
  <c r="BL27" i="1"/>
  <c r="BX32" i="1"/>
  <c r="BJ32" i="1"/>
  <c r="BY25" i="1"/>
  <c r="BK25" i="1"/>
  <c r="CA2" i="1"/>
  <c r="BM2" i="1"/>
  <c r="BX9" i="1"/>
  <c r="BJ9" i="1"/>
  <c r="BZ18" i="1"/>
  <c r="BL18" i="1"/>
  <c r="BL15" i="1"/>
  <c r="BZ15" i="1"/>
  <c r="BL11" i="1"/>
  <c r="BZ11" i="1"/>
  <c r="CA30" i="1"/>
  <c r="BM30" i="1"/>
  <c r="BY5" i="1"/>
  <c r="BK5" i="1"/>
  <c r="BY21" i="1"/>
  <c r="BK21" i="1"/>
  <c r="BX29" i="1"/>
  <c r="BJ29" i="1"/>
  <c r="BX5" i="1"/>
  <c r="BJ5" i="1"/>
  <c r="BY29" i="1"/>
  <c r="BK29" i="1"/>
  <c r="CA26" i="1"/>
  <c r="BM26" i="1"/>
  <c r="BZ14" i="1"/>
  <c r="BL14" i="1"/>
  <c r="BN4" i="1"/>
  <c r="CD4" i="1" s="1"/>
  <c r="CB4" i="1"/>
  <c r="BK8" i="1"/>
  <c r="BY8" i="1"/>
  <c r="BX25" i="1"/>
  <c r="BJ25" i="1"/>
  <c r="BL19" i="1"/>
  <c r="BZ19" i="1"/>
  <c r="BL31" i="1"/>
  <c r="BZ31" i="1"/>
  <c r="CC3" i="1"/>
  <c r="BO3" i="1"/>
  <c r="CE3" i="1" s="1"/>
  <c r="BK12" i="1"/>
  <c r="BY12" i="1"/>
  <c r="BX13" i="1"/>
  <c r="BJ13" i="1"/>
  <c r="BK32" i="1"/>
  <c r="BY32" i="1"/>
  <c r="BY17" i="1"/>
  <c r="BK17" i="1"/>
  <c r="BK28" i="1"/>
  <c r="BY28" i="1"/>
  <c r="CA22" i="1"/>
  <c r="BM22" i="1"/>
  <c r="BK24" i="1"/>
  <c r="BY24" i="1"/>
  <c r="BY13" i="1"/>
  <c r="BK13" i="1"/>
  <c r="BX21" i="1"/>
  <c r="BJ21" i="1"/>
  <c r="BZ26" i="1"/>
  <c r="BL26" i="1"/>
  <c r="BZ2" i="1"/>
  <c r="BL2" i="1"/>
  <c r="BL23" i="1"/>
  <c r="BZ23" i="1"/>
  <c r="BL7" i="1"/>
  <c r="BZ7" i="1"/>
  <c r="AJ2" i="1" l="1" a="1"/>
  <c r="AJ2" i="1" s="1"/>
  <c r="AI3" i="1" s="1" a="1"/>
  <c r="AI3" i="1" s="1"/>
  <c r="BL22" i="1"/>
  <c r="AJ22" i="1" a="1"/>
  <c r="AJ22" i="1" s="1"/>
  <c r="AI23" i="1" s="1" a="1"/>
  <c r="AI23" i="1" s="1"/>
  <c r="FE35" i="1"/>
  <c r="FH35" i="1"/>
  <c r="FF35" i="1"/>
  <c r="FG226" i="1"/>
  <c r="AJ226" i="1" a="1"/>
  <c r="AJ226" i="1" s="1"/>
  <c r="AI227" i="1" s="1" a="1"/>
  <c r="AI227" i="1" s="1"/>
  <c r="AA447" i="1"/>
  <c r="KC447" i="1" s="1"/>
  <c r="AB447" i="1"/>
  <c r="KD447" i="1" s="1"/>
  <c r="RQ445" i="1"/>
  <c r="RP445" i="1"/>
  <c r="RO445" i="1"/>
  <c r="RN445" i="1"/>
  <c r="RM445" i="1"/>
  <c r="RL445" i="1"/>
  <c r="RK445" i="1"/>
  <c r="RJ445" i="1"/>
  <c r="RI445" i="1"/>
  <c r="RT445" i="1"/>
  <c r="RR445" i="1"/>
  <c r="RS445" i="1"/>
  <c r="UB315" i="1"/>
  <c r="UC315" i="1" s="1"/>
  <c r="UD315" i="1" s="1"/>
  <c r="UC314" i="1"/>
  <c r="UD314" i="1" s="1"/>
  <c r="AA47" i="5"/>
  <c r="HG47" i="5" s="1"/>
  <c r="Z47" i="5" s="1" a="1"/>
  <c r="Z47" i="5" s="1"/>
  <c r="Y48" i="5" s="1" a="1"/>
  <c r="Y48" i="5" s="1"/>
  <c r="AB47" i="5"/>
  <c r="HH47" i="5" s="1"/>
  <c r="HN271" i="5"/>
  <c r="GZ271" i="5"/>
  <c r="IM52" i="5"/>
  <c r="IA52" i="5"/>
  <c r="IL52" i="5"/>
  <c r="HZ52" i="5"/>
  <c r="IQ52" i="5"/>
  <c r="IE52" i="5"/>
  <c r="IB52" i="5"/>
  <c r="IJ52" i="5"/>
  <c r="IH52" i="5"/>
  <c r="IF52" i="5"/>
  <c r="U53" i="5"/>
  <c r="ID52" i="5"/>
  <c r="IN52" i="5"/>
  <c r="IK52" i="5"/>
  <c r="IP52" i="5"/>
  <c r="IO52" i="5"/>
  <c r="II52" i="5"/>
  <c r="IG52" i="5"/>
  <c r="IC52" i="5"/>
  <c r="HY52" i="5"/>
  <c r="GT52" i="5"/>
  <c r="HM271" i="5"/>
  <c r="GY271" i="5"/>
  <c r="X51" i="5"/>
  <c r="HA267" i="1"/>
  <c r="HN267" i="1"/>
  <c r="GZ267" i="1"/>
  <c r="CE268" i="1"/>
  <c r="BY3" i="4"/>
  <c r="BK3" i="4"/>
  <c r="CA3" i="4" s="1"/>
  <c r="HM52" i="4"/>
  <c r="GY52" i="4"/>
  <c r="HO52" i="4" s="1"/>
  <c r="BX6" i="4"/>
  <c r="BJ6" i="4"/>
  <c r="BZ6" i="4" s="1"/>
  <c r="IB49" i="4"/>
  <c r="IL49" i="4"/>
  <c r="HY49" i="4"/>
  <c r="IG49" i="4"/>
  <c r="IA49" i="4"/>
  <c r="GP49" i="4"/>
  <c r="HX49" i="4"/>
  <c r="U50" i="4"/>
  <c r="IM49" i="4"/>
  <c r="HV49" i="4"/>
  <c r="IJ49" i="4"/>
  <c r="II49" i="4"/>
  <c r="IH49" i="4"/>
  <c r="IF49" i="4"/>
  <c r="IE49" i="4"/>
  <c r="HZ49" i="4"/>
  <c r="HW49" i="4"/>
  <c r="IK49" i="4"/>
  <c r="ID49" i="4"/>
  <c r="IC49" i="4"/>
  <c r="HU49" i="4"/>
  <c r="BX5" i="4"/>
  <c r="BJ5" i="4"/>
  <c r="BZ5" i="4" s="1"/>
  <c r="BJ11" i="4"/>
  <c r="BZ11" i="4" s="1"/>
  <c r="BX11" i="4"/>
  <c r="BK19" i="4"/>
  <c r="CA19" i="4" s="1"/>
  <c r="BY19" i="4"/>
  <c r="BK9" i="4"/>
  <c r="CA9" i="4" s="1"/>
  <c r="BY9" i="4"/>
  <c r="BJ18" i="4"/>
  <c r="BZ18" i="4" s="1"/>
  <c r="BX18" i="4"/>
  <c r="BY18" i="4"/>
  <c r="BK18" i="4"/>
  <c r="CA18" i="4" s="1"/>
  <c r="AA44" i="4"/>
  <c r="HC44" i="4" s="1"/>
  <c r="AB44" i="4"/>
  <c r="HD44" i="4" s="1"/>
  <c r="GY44" i="4"/>
  <c r="HM44" i="4"/>
  <c r="BX9" i="4"/>
  <c r="BJ9" i="4"/>
  <c r="BZ9" i="4" s="1"/>
  <c r="BX22" i="4"/>
  <c r="BJ22" i="4"/>
  <c r="BZ22" i="4" s="1"/>
  <c r="GY53" i="4"/>
  <c r="HO53" i="4" s="1"/>
  <c r="HM53" i="4"/>
  <c r="BK28" i="4"/>
  <c r="CA28" i="4" s="1"/>
  <c r="BY28" i="4"/>
  <c r="BJ31" i="4"/>
  <c r="BZ31" i="4" s="1"/>
  <c r="BX31" i="4"/>
  <c r="BJ33" i="4"/>
  <c r="BZ33" i="4" s="1"/>
  <c r="BX33" i="4"/>
  <c r="GY47" i="4"/>
  <c r="HM47" i="4"/>
  <c r="BK21" i="4"/>
  <c r="CA21" i="4" s="1"/>
  <c r="BY21" i="4"/>
  <c r="BX7" i="4"/>
  <c r="BJ7" i="4"/>
  <c r="BZ7" i="4" s="1"/>
  <c r="HP46" i="4"/>
  <c r="BJ4" i="4"/>
  <c r="BZ4" i="4" s="1"/>
  <c r="BX4" i="4"/>
  <c r="X48" i="4"/>
  <c r="HN50" i="4"/>
  <c r="GZ50" i="4"/>
  <c r="HP50" i="4" s="1"/>
  <c r="LM175" i="4"/>
  <c r="LN174" i="4"/>
  <c r="LO174" i="4" s="1"/>
  <c r="BX16" i="4"/>
  <c r="BJ16" i="4"/>
  <c r="BZ16" i="4" s="1"/>
  <c r="BY30" i="4"/>
  <c r="BK30" i="4"/>
  <c r="CA30" i="4" s="1"/>
  <c r="GZ45" i="4"/>
  <c r="HP45" i="4" s="1"/>
  <c r="HN45" i="4"/>
  <c r="GZ48" i="4"/>
  <c r="HP48" i="4" s="1"/>
  <c r="HN48" i="4"/>
  <c r="BX3" i="4"/>
  <c r="BJ3" i="4"/>
  <c r="BZ3" i="4" s="1"/>
  <c r="Z180" i="1" a="1"/>
  <c r="Z180" i="1" s="1"/>
  <c r="IK46" i="1"/>
  <c r="GT46" i="1"/>
  <c r="IG46" i="1"/>
  <c r="NK180" i="1"/>
  <c r="IH46" i="1"/>
  <c r="HY46" i="1"/>
  <c r="IF46" i="1"/>
  <c r="IM46" i="1"/>
  <c r="ID46" i="1"/>
  <c r="IJ46" i="1"/>
  <c r="HZ46" i="1"/>
  <c r="IA46" i="1"/>
  <c r="IB46" i="1"/>
  <c r="IC46" i="1"/>
  <c r="IO46" i="1"/>
  <c r="IL46" i="1"/>
  <c r="IE46" i="1"/>
  <c r="II46" i="1"/>
  <c r="U47" i="1"/>
  <c r="IN46" i="1"/>
  <c r="IQ46" i="1"/>
  <c r="LQ174" i="1"/>
  <c r="LR173" i="1"/>
  <c r="LS173" i="1" s="1"/>
  <c r="HQ45" i="1"/>
  <c r="HC52" i="1"/>
  <c r="HS52" i="1" s="1"/>
  <c r="HQ52" i="1"/>
  <c r="HD49" i="1"/>
  <c r="HT49" i="1" s="1"/>
  <c r="HR49" i="1"/>
  <c r="HD52" i="1"/>
  <c r="HT52" i="1" s="1"/>
  <c r="HR52" i="1"/>
  <c r="HD46" i="1"/>
  <c r="HT46" i="1" s="1"/>
  <c r="HR46" i="1"/>
  <c r="HD51" i="1"/>
  <c r="HT51" i="1" s="1"/>
  <c r="HR51" i="1"/>
  <c r="HC53" i="1"/>
  <c r="HS53" i="1" s="1"/>
  <c r="HQ53" i="1"/>
  <c r="HD54" i="1"/>
  <c r="HT54" i="1" s="1"/>
  <c r="HR54" i="1"/>
  <c r="HC50" i="1"/>
  <c r="HS50" i="1" s="1"/>
  <c r="HQ50" i="1"/>
  <c r="HC46" i="1"/>
  <c r="HS46" i="1" s="1"/>
  <c r="HQ46" i="1"/>
  <c r="HD50" i="1"/>
  <c r="HT50" i="1" s="1"/>
  <c r="HR50" i="1"/>
  <c r="HD55" i="1"/>
  <c r="HT55" i="1" s="1"/>
  <c r="HR55" i="1"/>
  <c r="HD48" i="1"/>
  <c r="HT48" i="1" s="1"/>
  <c r="HR48" i="1"/>
  <c r="HD47" i="1"/>
  <c r="HT47" i="1" s="1"/>
  <c r="HR47" i="1"/>
  <c r="HC48" i="1"/>
  <c r="HS48" i="1" s="1"/>
  <c r="HQ48" i="1"/>
  <c r="HC55" i="1"/>
  <c r="HS55" i="1" s="1"/>
  <c r="HQ55" i="1"/>
  <c r="HC51" i="1"/>
  <c r="HS51" i="1" s="1"/>
  <c r="HQ51" i="1"/>
  <c r="HC49" i="1"/>
  <c r="HS49" i="1" s="1"/>
  <c r="HQ49" i="1"/>
  <c r="HC54" i="1"/>
  <c r="HS54" i="1" s="1"/>
  <c r="HQ54" i="1"/>
  <c r="HD53" i="1"/>
  <c r="HT53" i="1" s="1"/>
  <c r="HR53" i="1"/>
  <c r="HC47" i="1"/>
  <c r="HS47" i="1" s="1"/>
  <c r="HQ47" i="1"/>
  <c r="HR44" i="1"/>
  <c r="HD44" i="1"/>
  <c r="HT44" i="1" s="1"/>
  <c r="HC44" i="1"/>
  <c r="HS44" i="1" s="1"/>
  <c r="HQ44" i="1"/>
  <c r="HC43" i="1"/>
  <c r="HS43" i="1" s="1"/>
  <c r="HQ43" i="1"/>
  <c r="HD43" i="1"/>
  <c r="HT43" i="1" s="1"/>
  <c r="BM18" i="1"/>
  <c r="CC18" i="1" s="1"/>
  <c r="BL28" i="1"/>
  <c r="BN28" i="1" s="1"/>
  <c r="CD28" i="1" s="1"/>
  <c r="BZ10" i="1"/>
  <c r="BZ20" i="1"/>
  <c r="BM11" i="1"/>
  <c r="CC11" i="1" s="1"/>
  <c r="BZ24" i="1"/>
  <c r="BM6" i="1"/>
  <c r="BO6" i="1" s="1"/>
  <c r="CE6" i="1" s="1"/>
  <c r="BM14" i="1"/>
  <c r="CC14" i="1" s="1"/>
  <c r="BL30" i="1"/>
  <c r="BN30" i="1" s="1"/>
  <c r="CD30" i="1" s="1"/>
  <c r="CE33" i="1"/>
  <c r="CC33" i="1"/>
  <c r="BZ22" i="1"/>
  <c r="BL6" i="1"/>
  <c r="BN6" i="1" s="1"/>
  <c r="CD6" i="1" s="1"/>
  <c r="BZ16" i="1"/>
  <c r="CC23" i="1"/>
  <c r="CC27" i="1"/>
  <c r="CC7" i="1"/>
  <c r="CA19" i="1"/>
  <c r="BM19" i="1"/>
  <c r="CA15" i="1"/>
  <c r="BM15" i="1"/>
  <c r="BZ12" i="1"/>
  <c r="BL12" i="1"/>
  <c r="BL8" i="1"/>
  <c r="BZ8" i="1"/>
  <c r="BM5" i="1"/>
  <c r="CA5" i="1"/>
  <c r="BZ9" i="1"/>
  <c r="BL9" i="1"/>
  <c r="CB23" i="1"/>
  <c r="BN23" i="1"/>
  <c r="CD23" i="1" s="1"/>
  <c r="CB2" i="1"/>
  <c r="BN2" i="1"/>
  <c r="CD2" i="1" s="1"/>
  <c r="CC26" i="1"/>
  <c r="BO26" i="1"/>
  <c r="CE26" i="1" s="1"/>
  <c r="CC31" i="1"/>
  <c r="BO31" i="1"/>
  <c r="CE31" i="1" s="1"/>
  <c r="BM32" i="1"/>
  <c r="CA32" i="1"/>
  <c r="CB19" i="1"/>
  <c r="BN19" i="1"/>
  <c r="CD19" i="1" s="1"/>
  <c r="CB3" i="1"/>
  <c r="BN3" i="1"/>
  <c r="CD3" i="1" s="1"/>
  <c r="BZ25" i="1"/>
  <c r="BL25" i="1"/>
  <c r="CC2" i="1"/>
  <c r="BO2" i="1"/>
  <c r="CE2" i="1" s="1"/>
  <c r="CB10" i="1"/>
  <c r="BN10" i="1"/>
  <c r="CD10" i="1" s="1"/>
  <c r="BZ13" i="1"/>
  <c r="BL13" i="1"/>
  <c r="BZ29" i="1"/>
  <c r="BL29" i="1"/>
  <c r="CC30" i="1"/>
  <c r="BO30" i="1"/>
  <c r="CE30" i="1" s="1"/>
  <c r="CA25" i="1"/>
  <c r="BM25" i="1"/>
  <c r="CA20" i="1"/>
  <c r="BM20" i="1"/>
  <c r="BZ5" i="1"/>
  <c r="BL5" i="1"/>
  <c r="CA8" i="1"/>
  <c r="BM8" i="1"/>
  <c r="BN16" i="1"/>
  <c r="CD16" i="1" s="1"/>
  <c r="CB16" i="1"/>
  <c r="CB26" i="1"/>
  <c r="BN26" i="1"/>
  <c r="CD26" i="1" s="1"/>
  <c r="CA21" i="1"/>
  <c r="BM21" i="1"/>
  <c r="BL32" i="1"/>
  <c r="BZ32" i="1"/>
  <c r="CC10" i="1"/>
  <c r="BO10" i="1"/>
  <c r="CE10" i="1" s="1"/>
  <c r="BZ17" i="1"/>
  <c r="BL17" i="1"/>
  <c r="CA17" i="1"/>
  <c r="BM17" i="1"/>
  <c r="CB24" i="1"/>
  <c r="BN24" i="1"/>
  <c r="CD24" i="1" s="1"/>
  <c r="CC22" i="1"/>
  <c r="BO22" i="1"/>
  <c r="CE22" i="1" s="1"/>
  <c r="CA9" i="1"/>
  <c r="BM9" i="1"/>
  <c r="CA24" i="1"/>
  <c r="BM24" i="1"/>
  <c r="CA12" i="1"/>
  <c r="BM12" i="1"/>
  <c r="CB11" i="1"/>
  <c r="BN11" i="1"/>
  <c r="CD11" i="1" s="1"/>
  <c r="BZ21" i="1"/>
  <c r="BL21" i="1"/>
  <c r="CA29" i="1"/>
  <c r="BM29" i="1"/>
  <c r="CB20" i="1"/>
  <c r="BN20" i="1"/>
  <c r="CD20" i="1" s="1"/>
  <c r="CB15" i="1"/>
  <c r="BN15" i="1"/>
  <c r="CD15" i="1" s="1"/>
  <c r="BM4" i="1"/>
  <c r="CA4" i="1"/>
  <c r="CA13" i="1"/>
  <c r="BM13" i="1"/>
  <c r="CB14" i="1"/>
  <c r="BN14" i="1"/>
  <c r="CD14" i="1" s="1"/>
  <c r="CB18" i="1"/>
  <c r="BN18" i="1"/>
  <c r="CD18" i="1" s="1"/>
  <c r="CB27" i="1"/>
  <c r="BN27" i="1"/>
  <c r="CD27" i="1" s="1"/>
  <c r="CB22" i="1"/>
  <c r="BN22" i="1"/>
  <c r="CD22" i="1" s="1"/>
  <c r="CB7" i="1"/>
  <c r="BN7" i="1"/>
  <c r="CD7" i="1" s="1"/>
  <c r="CA28" i="1"/>
  <c r="BM28" i="1"/>
  <c r="CB31" i="1"/>
  <c r="BN31" i="1"/>
  <c r="CD31" i="1" s="1"/>
  <c r="CA16" i="1"/>
  <c r="BM16" i="1"/>
  <c r="AJ32" i="1" l="1" a="1"/>
  <c r="AJ32" i="1" s="1"/>
  <c r="AI33" i="1" s="1" a="1"/>
  <c r="AI33" i="1" s="1"/>
  <c r="AK23" i="1"/>
  <c r="AL23" i="1"/>
  <c r="AL3" i="1"/>
  <c r="AK3" i="1"/>
  <c r="FG35" i="1"/>
  <c r="AJ35" i="1" a="1"/>
  <c r="AJ35" i="1" s="1"/>
  <c r="AI36" i="1" s="1" a="1"/>
  <c r="AI36" i="1" s="1"/>
  <c r="AL227" i="1"/>
  <c r="EX227" i="1" s="1"/>
  <c r="AK227" i="1"/>
  <c r="EW227" i="1" s="1"/>
  <c r="IP47" i="1"/>
  <c r="AB48" i="5"/>
  <c r="HH48" i="5" s="1"/>
  <c r="AA48" i="5"/>
  <c r="HG48" i="5" s="1"/>
  <c r="Z48" i="5" s="1" a="1"/>
  <c r="Z48" i="5" s="1"/>
  <c r="Y49" i="5" s="1" a="1"/>
  <c r="Y49" i="5" s="1"/>
  <c r="X52" i="5"/>
  <c r="Y51" i="5" a="1"/>
  <c r="Y51" i="5" s="1"/>
  <c r="HP271" i="5"/>
  <c r="HB271" i="5"/>
  <c r="HR271" i="5" s="1"/>
  <c r="HO271" i="5"/>
  <c r="HA271" i="5"/>
  <c r="HQ271" i="5" s="1"/>
  <c r="IQ53" i="5"/>
  <c r="IE53" i="5"/>
  <c r="U54" i="5"/>
  <c r="IP53" i="5"/>
  <c r="ID53" i="5"/>
  <c r="GT53" i="5"/>
  <c r="IL53" i="5"/>
  <c r="HZ53" i="5"/>
  <c r="II53" i="5"/>
  <c r="IG53" i="5"/>
  <c r="HY53" i="5"/>
  <c r="IN53" i="5"/>
  <c r="IK53" i="5"/>
  <c r="IC53" i="5"/>
  <c r="IM53" i="5"/>
  <c r="IJ53" i="5"/>
  <c r="IO53" i="5"/>
  <c r="IH53" i="5"/>
  <c r="IF53" i="5"/>
  <c r="IB53" i="5"/>
  <c r="IA53" i="5"/>
  <c r="HQ267" i="1"/>
  <c r="HP267" i="1"/>
  <c r="HB267" i="1"/>
  <c r="X49" i="4"/>
  <c r="HO47" i="4"/>
  <c r="LN175" i="4"/>
  <c r="LO175" i="4" s="1"/>
  <c r="LM176" i="4"/>
  <c r="LN176" i="4" s="1"/>
  <c r="LO176" i="4" s="1"/>
  <c r="HO44" i="4"/>
  <c r="Z44" i="4" a="1"/>
  <c r="Z44" i="4" s="1"/>
  <c r="Y45" i="4" s="1" a="1"/>
  <c r="Y45" i="4" s="1"/>
  <c r="IF50" i="4"/>
  <c r="IL50" i="4"/>
  <c r="HY50" i="4"/>
  <c r="IG50" i="4"/>
  <c r="IA50" i="4"/>
  <c r="IH50" i="4"/>
  <c r="ID50" i="4"/>
  <c r="IB50" i="4"/>
  <c r="HZ50" i="4"/>
  <c r="HX50" i="4"/>
  <c r="IC50" i="4"/>
  <c r="HV50" i="4"/>
  <c r="HU50" i="4"/>
  <c r="U51" i="4"/>
  <c r="IM50" i="4"/>
  <c r="GP50" i="4"/>
  <c r="II50" i="4"/>
  <c r="IJ50" i="4"/>
  <c r="IE50" i="4"/>
  <c r="HW50" i="4"/>
  <c r="IK50" i="4"/>
  <c r="X61" i="1"/>
  <c r="IF47" i="1"/>
  <c r="IE47" i="1"/>
  <c r="IC47" i="1"/>
  <c r="ID47" i="1"/>
  <c r="IA47" i="1"/>
  <c r="HY47" i="1"/>
  <c r="HZ47" i="1"/>
  <c r="IH47" i="1"/>
  <c r="IK47" i="1"/>
  <c r="IJ47" i="1"/>
  <c r="IO47" i="1"/>
  <c r="II47" i="1"/>
  <c r="IB47" i="1"/>
  <c r="U48" i="1"/>
  <c r="IQ47" i="1"/>
  <c r="GT47" i="1"/>
  <c r="IL47" i="1"/>
  <c r="IN47" i="1"/>
  <c r="IG47" i="1"/>
  <c r="IM47" i="1"/>
  <c r="LR174" i="1"/>
  <c r="LS174" i="1" s="1"/>
  <c r="LQ175" i="1"/>
  <c r="CB28" i="1"/>
  <c r="BO18" i="1"/>
  <c r="CE18" i="1" s="1"/>
  <c r="CC6" i="1"/>
  <c r="CB6" i="1"/>
  <c r="CB30" i="1"/>
  <c r="BO14" i="1"/>
  <c r="CE14" i="1" s="1"/>
  <c r="BO11" i="1"/>
  <c r="CE11" i="1" s="1"/>
  <c r="CC19" i="1"/>
  <c r="BO19" i="1"/>
  <c r="CE19" i="1" s="1"/>
  <c r="BN12" i="1"/>
  <c r="CB12" i="1"/>
  <c r="CC15" i="1"/>
  <c r="BO15" i="1"/>
  <c r="CE15" i="1" s="1"/>
  <c r="CB8" i="1"/>
  <c r="BN8" i="1"/>
  <c r="CD8" i="1" s="1"/>
  <c r="BO29" i="1"/>
  <c r="CE29" i="1" s="1"/>
  <c r="CC29" i="1"/>
  <c r="BO21" i="1"/>
  <c r="CE21" i="1" s="1"/>
  <c r="CC21" i="1"/>
  <c r="BO20" i="1"/>
  <c r="CE20" i="1" s="1"/>
  <c r="CC20" i="1"/>
  <c r="BN21" i="1"/>
  <c r="CD21" i="1" s="1"/>
  <c r="CB21" i="1"/>
  <c r="BO25" i="1"/>
  <c r="CE25" i="1" s="1"/>
  <c r="CC25" i="1"/>
  <c r="BN25" i="1"/>
  <c r="CD25" i="1" s="1"/>
  <c r="CB25" i="1"/>
  <c r="BN5" i="1"/>
  <c r="CD5" i="1" s="1"/>
  <c r="CB5" i="1"/>
  <c r="BO17" i="1"/>
  <c r="CE17" i="1" s="1"/>
  <c r="CC17" i="1"/>
  <c r="CB32" i="1"/>
  <c r="BN32" i="1"/>
  <c r="CD32" i="1" s="1"/>
  <c r="BO4" i="1"/>
  <c r="CE4" i="1" s="1"/>
  <c r="CC4" i="1"/>
  <c r="BO13" i="1"/>
  <c r="CE13" i="1" s="1"/>
  <c r="CC13" i="1"/>
  <c r="BO12" i="1"/>
  <c r="CE12" i="1" s="1"/>
  <c r="CC12" i="1"/>
  <c r="BN17" i="1"/>
  <c r="CD17" i="1" s="1"/>
  <c r="CB17" i="1"/>
  <c r="BN29" i="1"/>
  <c r="CD29" i="1" s="1"/>
  <c r="CB29" i="1"/>
  <c r="BN9" i="1"/>
  <c r="CD9" i="1" s="1"/>
  <c r="CB9" i="1"/>
  <c r="BO9" i="1"/>
  <c r="CE9" i="1" s="1"/>
  <c r="CC9" i="1"/>
  <c r="BO16" i="1"/>
  <c r="CE16" i="1" s="1"/>
  <c r="CC16" i="1"/>
  <c r="BO28" i="1"/>
  <c r="CE28" i="1" s="1"/>
  <c r="CC28" i="1"/>
  <c r="CC8" i="1"/>
  <c r="BO8" i="1"/>
  <c r="CE8" i="1" s="1"/>
  <c r="BN13" i="1"/>
  <c r="CD13" i="1" s="1"/>
  <c r="CB13" i="1"/>
  <c r="BO24" i="1"/>
  <c r="CE24" i="1" s="1"/>
  <c r="CC24" i="1"/>
  <c r="BO32" i="1"/>
  <c r="CE32" i="1" s="1"/>
  <c r="CC32" i="1"/>
  <c r="BO5" i="1"/>
  <c r="CE5" i="1" s="1"/>
  <c r="CC5" i="1"/>
  <c r="CD12" i="1" l="1"/>
  <c r="AJ12" i="1" a="1"/>
  <c r="AJ12" i="1" s="1"/>
  <c r="AI13" i="1" s="1" a="1"/>
  <c r="AI13" i="1" s="1"/>
  <c r="X62" i="1"/>
  <c r="X63" i="1" s="1"/>
  <c r="X64" i="1" s="1"/>
  <c r="X65" i="1" s="1"/>
  <c r="X67" i="1" s="1"/>
  <c r="X68" i="1" s="1"/>
  <c r="BP3" i="1"/>
  <c r="CF3" i="1"/>
  <c r="BQ3" i="1"/>
  <c r="CG3" i="1"/>
  <c r="BQ23" i="1"/>
  <c r="CG23" i="1"/>
  <c r="BP23" i="1"/>
  <c r="CF23" i="1"/>
  <c r="AL33" i="1"/>
  <c r="AK33" i="1"/>
  <c r="AL36" i="1"/>
  <c r="EX36" i="1" s="1"/>
  <c r="AK36" i="1"/>
  <c r="EW36" i="1" s="1"/>
  <c r="FE227" i="1"/>
  <c r="FH227" i="1"/>
  <c r="FF227" i="1"/>
  <c r="IE48" i="1"/>
  <c r="AA49" i="5"/>
  <c r="HG49" i="5" s="1"/>
  <c r="Z49" i="5" s="1" a="1"/>
  <c r="Z49" i="5" s="1"/>
  <c r="Y50" i="5" s="1" a="1"/>
  <c r="Y50" i="5" s="1"/>
  <c r="AB49" i="5"/>
  <c r="HH49" i="5" s="1"/>
  <c r="AA51" i="5"/>
  <c r="HG51" i="5" s="1"/>
  <c r="Z51" i="5" s="1" a="1"/>
  <c r="Z51" i="5" s="1"/>
  <c r="Y52" i="5" s="1" a="1"/>
  <c r="Y52" i="5" s="1"/>
  <c r="AB51" i="5"/>
  <c r="HH51" i="5" s="1"/>
  <c r="X53" i="5"/>
  <c r="II54" i="5"/>
  <c r="IH54" i="5"/>
  <c r="IP54" i="5"/>
  <c r="ID54" i="5"/>
  <c r="GT54" i="5"/>
  <c r="IM54" i="5"/>
  <c r="IA54" i="5"/>
  <c r="HZ54" i="5"/>
  <c r="IK54" i="5"/>
  <c r="IG54" i="5"/>
  <c r="IE54" i="5"/>
  <c r="IJ54" i="5"/>
  <c r="IF54" i="5"/>
  <c r="HY54" i="5"/>
  <c r="IQ54" i="5"/>
  <c r="IO54" i="5"/>
  <c r="IB54" i="5"/>
  <c r="U55" i="5"/>
  <c r="IL54" i="5"/>
  <c r="IN54" i="5"/>
  <c r="IC54" i="5"/>
  <c r="PF198" i="5" a="1"/>
  <c r="PF198" i="5" s="1"/>
  <c r="PG198" i="5" s="1"/>
  <c r="PH198" i="5" s="1"/>
  <c r="PI198" i="5" s="1"/>
  <c r="PJ198" i="5" s="1"/>
  <c r="PK198" i="5" s="1"/>
  <c r="HR267" i="1"/>
  <c r="IM48" i="1"/>
  <c r="II48" i="1"/>
  <c r="AB45" i="4"/>
  <c r="HD45" i="4" s="1"/>
  <c r="AA45" i="4"/>
  <c r="HC45" i="4" s="1"/>
  <c r="Z45" i="4" s="1" a="1"/>
  <c r="Z45" i="4" s="1"/>
  <c r="Y46" i="4" s="1" a="1"/>
  <c r="Y46" i="4" s="1"/>
  <c r="U52" i="4"/>
  <c r="IL51" i="4"/>
  <c r="HZ51" i="4"/>
  <c r="GP51" i="4"/>
  <c r="ID51" i="4"/>
  <c r="IB51" i="4"/>
  <c r="IJ51" i="4"/>
  <c r="HV51" i="4"/>
  <c r="IE51" i="4"/>
  <c r="IA51" i="4"/>
  <c r="HX51" i="4"/>
  <c r="HU51" i="4"/>
  <c r="IM51" i="4"/>
  <c r="IK51" i="4"/>
  <c r="II51" i="4"/>
  <c r="IH51" i="4"/>
  <c r="IF51" i="4"/>
  <c r="IC51" i="4"/>
  <c r="IG51" i="4"/>
  <c r="HY51" i="4"/>
  <c r="HW51" i="4"/>
  <c r="X50" i="4"/>
  <c r="IP48" i="1"/>
  <c r="IK48" i="1"/>
  <c r="U49" i="1"/>
  <c r="IC48" i="1"/>
  <c r="IQ48" i="1"/>
  <c r="IL48" i="1"/>
  <c r="IJ48" i="1"/>
  <c r="HZ48" i="1"/>
  <c r="IO48" i="1"/>
  <c r="IF48" i="1"/>
  <c r="HY48" i="1"/>
  <c r="IH48" i="1"/>
  <c r="IA48" i="1"/>
  <c r="IB48" i="1"/>
  <c r="IG48" i="1"/>
  <c r="ID48" i="1"/>
  <c r="IN48" i="1"/>
  <c r="GT48" i="1"/>
  <c r="LQ176" i="1"/>
  <c r="LR176" i="1" s="1"/>
  <c r="LS176" i="1" s="1"/>
  <c r="LR175" i="1"/>
  <c r="LS175" i="1" s="1"/>
  <c r="Y69" i="1" l="1" a="1"/>
  <c r="Y69" i="1" s="1"/>
  <c r="AA69" i="1" s="1"/>
  <c r="X70" i="1"/>
  <c r="BS23" i="1"/>
  <c r="CK23" i="1" s="1"/>
  <c r="CI23" i="1"/>
  <c r="BS3" i="1"/>
  <c r="CK3" i="1" s="1"/>
  <c r="CI3" i="1"/>
  <c r="BR23" i="1"/>
  <c r="CJ23" i="1" s="1"/>
  <c r="AJ23" i="1" a="1"/>
  <c r="AJ23" i="1" s="1"/>
  <c r="AI24" i="1" s="1" a="1"/>
  <c r="AI24" i="1" s="1"/>
  <c r="CH23" i="1"/>
  <c r="BR3" i="1"/>
  <c r="CJ3" i="1" s="1"/>
  <c r="AJ3" i="1" a="1"/>
  <c r="AJ3" i="1" s="1"/>
  <c r="AI4" i="1" s="1" a="1"/>
  <c r="AI4" i="1" s="1"/>
  <c r="CH3" i="1"/>
  <c r="AK13" i="1"/>
  <c r="AL13" i="1"/>
  <c r="BP33" i="1"/>
  <c r="CF33" i="1"/>
  <c r="BQ33" i="1"/>
  <c r="CG33" i="1"/>
  <c r="FE36" i="1"/>
  <c r="FH36" i="1"/>
  <c r="FF36" i="1"/>
  <c r="FG227" i="1"/>
  <c r="AJ227" i="1" a="1"/>
  <c r="AJ227" i="1" s="1"/>
  <c r="AI228" i="1" s="1" a="1"/>
  <c r="AI228" i="1" s="1"/>
  <c r="II49" i="1"/>
  <c r="AA50" i="5"/>
  <c r="HG50" i="5" s="1"/>
  <c r="Z50" i="5" s="1" a="1"/>
  <c r="Z50" i="5" s="1"/>
  <c r="AB50" i="5"/>
  <c r="HH50" i="5" s="1"/>
  <c r="AB52" i="5"/>
  <c r="HH52" i="5" s="1"/>
  <c r="AA52" i="5"/>
  <c r="HG52" i="5" s="1"/>
  <c r="Z52" i="5" s="1" a="1"/>
  <c r="Z52" i="5" s="1"/>
  <c r="Y53" i="5" s="1" a="1"/>
  <c r="Y53" i="5" s="1"/>
  <c r="II55" i="5"/>
  <c r="IG55" i="5"/>
  <c r="GT55" i="5"/>
  <c r="IF55" i="5"/>
  <c r="IO55" i="5"/>
  <c r="IB55" i="5"/>
  <c r="IL55" i="5"/>
  <c r="HY55" i="5"/>
  <c r="IC55" i="5"/>
  <c r="IA55" i="5"/>
  <c r="IN55" i="5"/>
  <c r="IK55" i="5"/>
  <c r="IH55" i="5"/>
  <c r="HZ55" i="5"/>
  <c r="IM55" i="5"/>
  <c r="IJ55" i="5"/>
  <c r="IE55" i="5"/>
  <c r="ID55" i="5"/>
  <c r="IQ55" i="5"/>
  <c r="IP55" i="5"/>
  <c r="PF215" i="5" a="1"/>
  <c r="PF215" i="5" s="1"/>
  <c r="PG215" i="5" s="1"/>
  <c r="PH215" i="5" s="1"/>
  <c r="PI215" i="5" s="1"/>
  <c r="PJ215" i="5" s="1"/>
  <c r="PK215" i="5" s="1"/>
  <c r="PF199" i="5" a="1"/>
  <c r="PF199" i="5" s="1"/>
  <c r="PG199" i="5" s="1"/>
  <c r="PH199" i="5" s="1"/>
  <c r="PI199" i="5" s="1"/>
  <c r="PJ199" i="5" s="1"/>
  <c r="PK199" i="5" s="1"/>
  <c r="KI218" i="5" a="1"/>
  <c r="KI218" i="5" s="1"/>
  <c r="KJ218" i="5" s="1"/>
  <c r="KK218" i="5" s="1"/>
  <c r="KI305" i="5" a="1"/>
  <c r="KI305" i="5" s="1"/>
  <c r="PF193" i="5" a="1"/>
  <c r="PF193" i="5" s="1"/>
  <c r="PG193" i="5" s="1"/>
  <c r="PH193" i="5" s="1"/>
  <c r="PI193" i="5" s="1"/>
  <c r="PJ193" i="5" s="1"/>
  <c r="PK193" i="5" s="1"/>
  <c r="KI259" i="5" a="1"/>
  <c r="KI259" i="5" s="1"/>
  <c r="KJ259" i="5" s="1"/>
  <c r="KK259" i="5" s="1"/>
  <c r="KI222" i="5" a="1"/>
  <c r="KI222" i="5" s="1"/>
  <c r="KJ222" i="5" s="1"/>
  <c r="KK222" i="5" s="1"/>
  <c r="KL222" i="5" s="1"/>
  <c r="KI247" i="5" a="1"/>
  <c r="KI247" i="5" s="1"/>
  <c r="KJ247" i="5" s="1"/>
  <c r="KK247" i="5" s="1"/>
  <c r="KI251" i="5" a="1"/>
  <c r="KI251" i="5" s="1"/>
  <c r="KJ251" i="5" s="1"/>
  <c r="KK251" i="5" s="1"/>
  <c r="PF188" i="5" a="1"/>
  <c r="PF188" i="5" s="1"/>
  <c r="PG188" i="5" s="1"/>
  <c r="PH188" i="5" s="1"/>
  <c r="PI188" i="5" s="1"/>
  <c r="PJ188" i="5" s="1"/>
  <c r="PK188" i="5" s="1"/>
  <c r="KI233" i="5" a="1"/>
  <c r="KI233" i="5" s="1"/>
  <c r="KJ233" i="5" s="1"/>
  <c r="KK233" i="5" s="1"/>
  <c r="KI234" i="5" a="1"/>
  <c r="KI234" i="5" s="1"/>
  <c r="KJ234" i="5" s="1"/>
  <c r="KK234" i="5" s="1"/>
  <c r="KI252" i="5" a="1"/>
  <c r="KI252" i="5" s="1"/>
  <c r="KJ252" i="5" s="1"/>
  <c r="KK252" i="5" s="1"/>
  <c r="KI263" i="5" a="1"/>
  <c r="KI263" i="5" s="1"/>
  <c r="KJ263" i="5" s="1"/>
  <c r="KK263" i="5" s="1"/>
  <c r="KI243" i="5" a="1"/>
  <c r="KI243" i="5" s="1"/>
  <c r="KJ243" i="5" s="1"/>
  <c r="KK243" i="5" s="1"/>
  <c r="KI253" i="5" a="1"/>
  <c r="KI253" i="5" s="1"/>
  <c r="KJ253" i="5" s="1"/>
  <c r="KK253" i="5" s="1"/>
  <c r="KI192" i="5" a="1"/>
  <c r="KI192" i="5" s="1"/>
  <c r="KI187" i="5" a="1"/>
  <c r="KI187" i="5" s="1"/>
  <c r="PF195" i="5" a="1"/>
  <c r="PF195" i="5" s="1"/>
  <c r="PG195" i="5" s="1"/>
  <c r="PH195" i="5" s="1"/>
  <c r="PI195" i="5" s="1"/>
  <c r="PJ195" i="5" s="1"/>
  <c r="PK195" i="5" s="1"/>
  <c r="PL195" i="5" s="1"/>
  <c r="PM195" i="5" s="1"/>
  <c r="PN195" i="5" s="1"/>
  <c r="KI57" i="5" a="1"/>
  <c r="KI57" i="5" s="1"/>
  <c r="KJ57" i="5" s="1"/>
  <c r="KK57" i="5" s="1"/>
  <c r="KI254" i="5" a="1"/>
  <c r="KI254" i="5" s="1"/>
  <c r="KJ254" i="5" s="1"/>
  <c r="KK254" i="5" s="1"/>
  <c r="PF211" i="5" a="1"/>
  <c r="PF211" i="5" s="1"/>
  <c r="PG211" i="5" s="1"/>
  <c r="PH211" i="5" s="1"/>
  <c r="PI211" i="5" s="1"/>
  <c r="PJ211" i="5" s="1"/>
  <c r="PK211" i="5" s="1"/>
  <c r="LF169" i="5" a="1"/>
  <c r="LF169" i="5" s="1"/>
  <c r="LG169" i="5" s="1"/>
  <c r="LH169" i="5" s="1"/>
  <c r="KI235" i="5" a="1"/>
  <c r="KI235" i="5" s="1"/>
  <c r="KJ235" i="5" s="1"/>
  <c r="KK235" i="5" s="1"/>
  <c r="KI236" i="5" a="1"/>
  <c r="KI236" i="5" s="1"/>
  <c r="KJ236" i="5" s="1"/>
  <c r="KK236" i="5" s="1"/>
  <c r="KI223" i="5" a="1"/>
  <c r="KI223" i="5" s="1"/>
  <c r="KJ223" i="5" s="1"/>
  <c r="KK223" i="5" s="1"/>
  <c r="KI221" i="5" a="1"/>
  <c r="KI221" i="5" s="1"/>
  <c r="KJ221" i="5" s="1"/>
  <c r="KK221" i="5" s="1"/>
  <c r="KL221" i="5" s="1"/>
  <c r="KI264" i="5" a="1"/>
  <c r="KI264" i="5" s="1"/>
  <c r="KJ264" i="5" s="1"/>
  <c r="KK264" i="5" s="1"/>
  <c r="KI244" i="5" a="1"/>
  <c r="KI244" i="5" s="1"/>
  <c r="KJ244" i="5" s="1"/>
  <c r="KK244" i="5" s="1"/>
  <c r="PF183" i="5" a="1"/>
  <c r="PF183" i="5" s="1"/>
  <c r="PG183" i="5" s="1"/>
  <c r="PH183" i="5" s="1"/>
  <c r="PI183" i="5" s="1"/>
  <c r="PJ183" i="5" s="1"/>
  <c r="PK183" i="5" s="1"/>
  <c r="PF200" i="5" a="1"/>
  <c r="PF200" i="5" s="1"/>
  <c r="PG200" i="5" s="1"/>
  <c r="PH200" i="5" s="1"/>
  <c r="PI200" i="5" s="1"/>
  <c r="PJ200" i="5" s="1"/>
  <c r="PK200" i="5" s="1"/>
  <c r="PL200" i="5" s="1"/>
  <c r="PM200" i="5" s="1"/>
  <c r="PN200" i="5" s="1"/>
  <c r="PF209" i="5" a="1"/>
  <c r="PF209" i="5" s="1"/>
  <c r="PG209" i="5" s="1"/>
  <c r="PH209" i="5" s="1"/>
  <c r="PI209" i="5" s="1"/>
  <c r="PJ209" i="5" s="1"/>
  <c r="PK209" i="5" s="1"/>
  <c r="PF184" i="5" a="1"/>
  <c r="PF184" i="5" s="1"/>
  <c r="PG184" i="5" s="1"/>
  <c r="PH184" i="5" s="1"/>
  <c r="PI184" i="5" s="1"/>
  <c r="PJ184" i="5" s="1"/>
  <c r="PK184" i="5" s="1"/>
  <c r="KI249" i="5" a="1"/>
  <c r="KI249" i="5" s="1"/>
  <c r="KJ249" i="5" s="1"/>
  <c r="KK249" i="5" s="1"/>
  <c r="KI197" i="5" a="1"/>
  <c r="KI197" i="5" s="1"/>
  <c r="PF205" i="5" a="1"/>
  <c r="PF205" i="5" s="1"/>
  <c r="PG205" i="5" s="1"/>
  <c r="PH205" i="5" s="1"/>
  <c r="PI205" i="5" s="1"/>
  <c r="PJ205" i="5" s="1"/>
  <c r="PK205" i="5" s="1"/>
  <c r="KI248" i="5" a="1"/>
  <c r="KI248" i="5" s="1"/>
  <c r="KJ248" i="5" s="1"/>
  <c r="KK248" i="5" s="1"/>
  <c r="KI255" i="5" a="1"/>
  <c r="KI255" i="5" s="1"/>
  <c r="KJ255" i="5" s="1"/>
  <c r="KK255" i="5" s="1"/>
  <c r="PF213" i="5" a="1"/>
  <c r="PF213" i="5" s="1"/>
  <c r="PG213" i="5" s="1"/>
  <c r="PH213" i="5" s="1"/>
  <c r="PI213" i="5" s="1"/>
  <c r="PJ213" i="5" s="1"/>
  <c r="PK213" i="5" s="1"/>
  <c r="PF194" i="5" a="1"/>
  <c r="PF194" i="5" s="1"/>
  <c r="PG194" i="5" s="1"/>
  <c r="PH194" i="5" s="1"/>
  <c r="PI194" i="5" s="1"/>
  <c r="PJ194" i="5" s="1"/>
  <c r="PK194" i="5" s="1"/>
  <c r="KI239" i="5" a="1"/>
  <c r="KI239" i="5" s="1"/>
  <c r="KJ239" i="5" s="1"/>
  <c r="KK239" i="5" s="1"/>
  <c r="KI260" i="5" a="1"/>
  <c r="KI260" i="5" s="1"/>
  <c r="KJ260" i="5" s="1"/>
  <c r="KK260" i="5" s="1"/>
  <c r="KI56" i="5" a="1"/>
  <c r="KI56" i="5" s="1"/>
  <c r="KJ56" i="5" s="1"/>
  <c r="KK56" i="5" s="1"/>
  <c r="KI202" i="5" a="1"/>
  <c r="KI202" i="5" s="1"/>
  <c r="PF207" i="5" a="1"/>
  <c r="PF207" i="5" s="1"/>
  <c r="PG207" i="5" s="1"/>
  <c r="PH207" i="5" s="1"/>
  <c r="PI207" i="5" s="1"/>
  <c r="PJ207" i="5" s="1"/>
  <c r="PK207" i="5" s="1"/>
  <c r="PF203" i="5" a="1"/>
  <c r="PF203" i="5" s="1"/>
  <c r="PG203" i="5" s="1"/>
  <c r="PH203" i="5" s="1"/>
  <c r="PI203" i="5" s="1"/>
  <c r="PJ203" i="5" s="1"/>
  <c r="PK203" i="5" s="1"/>
  <c r="X54" i="5"/>
  <c r="GT49" i="1"/>
  <c r="HZ49" i="1"/>
  <c r="IE49" i="1"/>
  <c r="IK49" i="1"/>
  <c r="ID49" i="1"/>
  <c r="IA49" i="1"/>
  <c r="IB49" i="1"/>
  <c r="IN49" i="1"/>
  <c r="IM49" i="1"/>
  <c r="IO49" i="1"/>
  <c r="HY49" i="1"/>
  <c r="U50" i="1"/>
  <c r="IG49" i="1"/>
  <c r="IC49" i="1"/>
  <c r="IJ49" i="1"/>
  <c r="IF49" i="1"/>
  <c r="IP49" i="1"/>
  <c r="IQ49" i="1"/>
  <c r="IL49" i="1"/>
  <c r="IH49" i="1"/>
  <c r="AA46" i="4"/>
  <c r="HC46" i="4" s="1"/>
  <c r="Z46" i="4" s="1" a="1"/>
  <c r="Z46" i="4" s="1"/>
  <c r="Y47" i="4" s="1" a="1"/>
  <c r="Y47" i="4" s="1"/>
  <c r="AB46" i="4"/>
  <c r="HD46" i="4" s="1"/>
  <c r="ID52" i="4"/>
  <c r="IA52" i="4"/>
  <c r="GP52" i="4"/>
  <c r="IH52" i="4"/>
  <c r="IB52" i="4"/>
  <c r="IJ52" i="4"/>
  <c r="HV52" i="4"/>
  <c r="HZ52" i="4"/>
  <c r="HX52" i="4"/>
  <c r="IM52" i="4"/>
  <c r="HU52" i="4"/>
  <c r="IL52" i="4"/>
  <c r="U53" i="4"/>
  <c r="IK52" i="4"/>
  <c r="II52" i="4"/>
  <c r="IF52" i="4"/>
  <c r="IC52" i="4"/>
  <c r="HY52" i="4"/>
  <c r="IG52" i="4"/>
  <c r="IE52" i="4"/>
  <c r="HW52" i="4"/>
  <c r="X51" i="4"/>
  <c r="AB69" i="1" l="1"/>
  <c r="KB69" i="1" s="1"/>
  <c r="KF69" i="1" s="1"/>
  <c r="AK4" i="1"/>
  <c r="AL4" i="1"/>
  <c r="AL24" i="1"/>
  <c r="AK24" i="1"/>
  <c r="BS33" i="1"/>
  <c r="CK33" i="1" s="1"/>
  <c r="CI33" i="1"/>
  <c r="BR33" i="1"/>
  <c r="CJ33" i="1" s="1"/>
  <c r="AJ33" i="1" a="1"/>
  <c r="AJ33" i="1" s="1"/>
  <c r="CH33" i="1"/>
  <c r="BQ13" i="1"/>
  <c r="CG13" i="1"/>
  <c r="BP13" i="1"/>
  <c r="CF13" i="1"/>
  <c r="FG36" i="1"/>
  <c r="AJ36" i="1" a="1"/>
  <c r="AJ36" i="1" s="1"/>
  <c r="AI37" i="1" s="1" a="1"/>
  <c r="AI37" i="1" s="1"/>
  <c r="AL228" i="1"/>
  <c r="FF228" i="1" s="1"/>
  <c r="AK228" i="1"/>
  <c r="FE228" i="1" s="1"/>
  <c r="IQ50" i="1"/>
  <c r="AB53" i="5"/>
  <c r="HH53" i="5" s="1"/>
  <c r="AA53" i="5"/>
  <c r="HG53" i="5" s="1"/>
  <c r="Z53" i="5" s="1" a="1"/>
  <c r="Z53" i="5" s="1"/>
  <c r="Y54" i="5" s="1" a="1"/>
  <c r="Y54" i="5" s="1"/>
  <c r="KI265" i="5" a="1"/>
  <c r="KI265" i="5" s="1"/>
  <c r="X55" i="5"/>
  <c r="KI245" i="5" a="1"/>
  <c r="KI245" i="5" s="1"/>
  <c r="KI237" i="5" a="1"/>
  <c r="KI237" i="5" s="1"/>
  <c r="KI250" i="5" a="1"/>
  <c r="KI250" i="5" s="1"/>
  <c r="KJ250" i="5" s="1"/>
  <c r="KK250" i="5" s="1"/>
  <c r="KI256" i="5" a="1"/>
  <c r="KI256" i="5" s="1"/>
  <c r="PF189" i="5" a="1"/>
  <c r="PF189" i="5" s="1"/>
  <c r="KI261" i="5" a="1"/>
  <c r="KI261" i="5" s="1"/>
  <c r="KI240" i="5" a="1"/>
  <c r="KI240" i="5" s="1"/>
  <c r="KI224" i="5" a="1"/>
  <c r="KI224" i="5" s="1"/>
  <c r="KJ224" i="5" s="1"/>
  <c r="KK224" i="5" s="1"/>
  <c r="KJ305" i="5"/>
  <c r="KK305" i="5" s="1"/>
  <c r="Z305" i="5" a="1"/>
  <c r="Z305" i="5" s="1"/>
  <c r="KI58" i="5" a="1"/>
  <c r="KI58" i="5" s="1"/>
  <c r="KI219" i="5" a="1"/>
  <c r="KI219" i="5" s="1"/>
  <c r="PF185" i="5" a="1"/>
  <c r="PF185" i="5" s="1"/>
  <c r="PG185" i="5" s="1"/>
  <c r="PH185" i="5" s="1"/>
  <c r="PI185" i="5" s="1"/>
  <c r="PJ185" i="5" s="1"/>
  <c r="PK185" i="5" s="1"/>
  <c r="PL185" i="5" s="1"/>
  <c r="PM185" i="5" s="1"/>
  <c r="PN185" i="5" s="1"/>
  <c r="IA50" i="1"/>
  <c r="IC50" i="1"/>
  <c r="IE50" i="1"/>
  <c r="IG50" i="1"/>
  <c r="IN50" i="1"/>
  <c r="IH50" i="1"/>
  <c r="HY50" i="1"/>
  <c r="GT50" i="1"/>
  <c r="IF50" i="1"/>
  <c r="IK50" i="1"/>
  <c r="IO50" i="1"/>
  <c r="IL50" i="1"/>
  <c r="U51" i="1"/>
  <c r="IB51" i="1" s="1"/>
  <c r="ID50" i="1"/>
  <c r="IP50" i="1"/>
  <c r="HZ50" i="1"/>
  <c r="IJ50" i="1"/>
  <c r="II50" i="1"/>
  <c r="IB50" i="1"/>
  <c r="IM50" i="1"/>
  <c r="AA47" i="4"/>
  <c r="HC47" i="4" s="1"/>
  <c r="Z47" i="4" s="1" a="1"/>
  <c r="Z47" i="4" s="1"/>
  <c r="Y48" i="4" s="1" a="1"/>
  <c r="Y48" i="4" s="1"/>
  <c r="AB47" i="4"/>
  <c r="HD47" i="4" s="1"/>
  <c r="X52" i="4"/>
  <c r="Y51" i="4" a="1"/>
  <c r="Y51" i="4" s="1"/>
  <c r="IH53" i="4"/>
  <c r="HV53" i="4"/>
  <c r="IA53" i="4"/>
  <c r="HZ53" i="4"/>
  <c r="II53" i="4"/>
  <c r="IC53" i="4"/>
  <c r="HY53" i="4"/>
  <c r="HW53" i="4"/>
  <c r="GP53" i="4"/>
  <c r="IL53" i="4"/>
  <c r="IK53" i="4"/>
  <c r="U54" i="4"/>
  <c r="IJ53" i="4"/>
  <c r="IG53" i="4"/>
  <c r="ID53" i="4"/>
  <c r="HX53" i="4"/>
  <c r="HU53" i="4"/>
  <c r="IF53" i="4"/>
  <c r="IM53" i="4"/>
  <c r="IE53" i="4"/>
  <c r="IB53" i="4"/>
  <c r="KD56" i="1"/>
  <c r="KC69" i="1"/>
  <c r="KA69" i="1"/>
  <c r="X72" i="1"/>
  <c r="KD69" i="1" l="1"/>
  <c r="BR13" i="1"/>
  <c r="CJ13" i="1" s="1"/>
  <c r="CH13" i="1"/>
  <c r="AJ13" i="1" a="1"/>
  <c r="AJ13" i="1" s="1"/>
  <c r="AI14" i="1" s="1" a="1"/>
  <c r="AI14" i="1" s="1"/>
  <c r="BS13" i="1"/>
  <c r="CK13" i="1" s="1"/>
  <c r="CI13" i="1"/>
  <c r="BP24" i="1"/>
  <c r="CF24" i="1"/>
  <c r="BQ24" i="1"/>
  <c r="CG24" i="1"/>
  <c r="BQ4" i="1"/>
  <c r="CG4" i="1"/>
  <c r="BP4" i="1"/>
  <c r="CF4" i="1"/>
  <c r="AK37" i="1"/>
  <c r="EW37" i="1" s="1"/>
  <c r="AL37" i="1"/>
  <c r="EX37" i="1" s="1"/>
  <c r="AJ228" i="1" a="1"/>
  <c r="AJ228" i="1" s="1"/>
  <c r="AI229" i="1" s="1" a="1"/>
  <c r="AI229" i="1" s="1"/>
  <c r="AL229" i="1" s="1"/>
  <c r="FF229" i="1" s="1"/>
  <c r="IJ51" i="1"/>
  <c r="IQ51" i="1"/>
  <c r="IA51" i="1"/>
  <c r="IP51" i="1"/>
  <c r="IG51" i="1"/>
  <c r="IH51" i="1"/>
  <c r="II51" i="1"/>
  <c r="AA54" i="5"/>
  <c r="HG54" i="5" s="1"/>
  <c r="Z54" i="5" s="1" a="1"/>
  <c r="Z54" i="5" s="1"/>
  <c r="Y55" i="5" s="1" a="1"/>
  <c r="Y55" i="5" s="1"/>
  <c r="AB54" i="5"/>
  <c r="HH54" i="5" s="1"/>
  <c r="KJ245" i="5"/>
  <c r="KK245" i="5" s="1"/>
  <c r="KI246" i="5" a="1"/>
  <c r="KI246" i="5" s="1"/>
  <c r="KJ246" i="5" s="1"/>
  <c r="KK246" i="5" s="1"/>
  <c r="KJ219" i="5"/>
  <c r="KK219" i="5" s="1"/>
  <c r="KI220" i="5" a="1"/>
  <c r="KI220" i="5" s="1"/>
  <c r="KJ220" i="5" s="1"/>
  <c r="KK220" i="5" s="1"/>
  <c r="KJ240" i="5"/>
  <c r="KK240" i="5" s="1"/>
  <c r="KI241" i="5" a="1"/>
  <c r="KI241" i="5" s="1"/>
  <c r="KJ58" i="5"/>
  <c r="KK58" i="5" s="1"/>
  <c r="KI59" i="5" a="1"/>
  <c r="KI59" i="5" s="1"/>
  <c r="PG189" i="5"/>
  <c r="PH189" i="5" s="1"/>
  <c r="PI189" i="5" s="1"/>
  <c r="PJ189" i="5" s="1"/>
  <c r="PK189" i="5" s="1"/>
  <c r="X57" i="5"/>
  <c r="Y56" i="5" a="1"/>
  <c r="Y56" i="5" s="1"/>
  <c r="KJ261" i="5"/>
  <c r="KK261" i="5" s="1"/>
  <c r="KI262" i="5" a="1"/>
  <c r="KI262" i="5" s="1"/>
  <c r="KJ262" i="5" s="1"/>
  <c r="KK262" i="5" s="1"/>
  <c r="KJ256" i="5"/>
  <c r="KK256" i="5" s="1"/>
  <c r="KI257" i="5" a="1"/>
  <c r="KI257" i="5" s="1"/>
  <c r="KJ265" i="5"/>
  <c r="KK265" i="5" s="1"/>
  <c r="KI266" i="5" a="1"/>
  <c r="KI266" i="5" s="1"/>
  <c r="KJ266" i="5" s="1"/>
  <c r="KK266" i="5" s="1"/>
  <c r="KJ237" i="5"/>
  <c r="KK237" i="5" s="1"/>
  <c r="KI238" i="5" a="1"/>
  <c r="KI238" i="5" s="1"/>
  <c r="KJ238" i="5" s="1"/>
  <c r="KK238" i="5" s="1"/>
  <c r="HZ51" i="1"/>
  <c r="U52" i="1"/>
  <c r="IF51" i="1"/>
  <c r="IC51" i="1"/>
  <c r="IE51" i="1"/>
  <c r="HY51" i="1"/>
  <c r="GT51" i="1"/>
  <c r="IK51" i="1"/>
  <c r="IL51" i="1"/>
  <c r="IO51" i="1"/>
  <c r="IM51" i="1"/>
  <c r="IN51" i="1"/>
  <c r="ID51" i="1"/>
  <c r="AB48" i="4"/>
  <c r="HD48" i="4" s="1"/>
  <c r="AA48" i="4"/>
  <c r="HC48" i="4" s="1"/>
  <c r="Z48" i="4" s="1" a="1"/>
  <c r="Z48" i="4" s="1"/>
  <c r="Y49" i="4" s="1" a="1"/>
  <c r="Y49" i="4" s="1"/>
  <c r="U55" i="4"/>
  <c r="IL54" i="4"/>
  <c r="HZ54" i="4"/>
  <c r="GP54" i="4"/>
  <c r="IM54" i="4"/>
  <c r="HY54" i="4"/>
  <c r="IG54" i="4"/>
  <c r="IB54" i="4"/>
  <c r="II54" i="4"/>
  <c r="HU54" i="4"/>
  <c r="HX54" i="4"/>
  <c r="HV54" i="4"/>
  <c r="IK54" i="4"/>
  <c r="IJ54" i="4"/>
  <c r="IH54" i="4"/>
  <c r="IF54" i="4"/>
  <c r="IC54" i="4"/>
  <c r="HW54" i="4"/>
  <c r="IE54" i="4"/>
  <c r="ID54" i="4"/>
  <c r="IA54" i="4"/>
  <c r="PB209" i="4" a="1"/>
  <c r="PB209" i="4" s="1"/>
  <c r="PC209" i="4" s="1"/>
  <c r="PD209" i="4" s="1"/>
  <c r="PE209" i="4" s="1"/>
  <c r="PF209" i="4" s="1"/>
  <c r="PG209" i="4" s="1"/>
  <c r="PB198" i="4" a="1"/>
  <c r="PB198" i="4" s="1"/>
  <c r="PC198" i="4" s="1"/>
  <c r="PD198" i="4" s="1"/>
  <c r="PE198" i="4" s="1"/>
  <c r="PF198" i="4" s="1"/>
  <c r="PG198" i="4" s="1"/>
  <c r="KE56" i="4" a="1"/>
  <c r="KE56" i="4" s="1"/>
  <c r="KF56" i="4" s="1"/>
  <c r="KG56" i="4" s="1"/>
  <c r="AA51" i="4"/>
  <c r="HC51" i="4" s="1"/>
  <c r="Z51" i="4" s="1" a="1"/>
  <c r="Z51" i="4" s="1"/>
  <c r="Y52" i="4" s="1" a="1"/>
  <c r="Y52" i="4" s="1"/>
  <c r="AB51" i="4"/>
  <c r="HD51" i="4" s="1"/>
  <c r="X53" i="4"/>
  <c r="KE69" i="1"/>
  <c r="X73" i="1"/>
  <c r="BR4" i="1" l="1"/>
  <c r="CJ4" i="1" s="1"/>
  <c r="CH4" i="1"/>
  <c r="AJ4" i="1" a="1"/>
  <c r="AJ4" i="1" s="1"/>
  <c r="AI5" i="1" s="1" a="1"/>
  <c r="AI5" i="1" s="1"/>
  <c r="BS4" i="1"/>
  <c r="CK4" i="1" s="1"/>
  <c r="CI4" i="1"/>
  <c r="BS24" i="1"/>
  <c r="CK24" i="1" s="1"/>
  <c r="CI24" i="1"/>
  <c r="BR24" i="1"/>
  <c r="CJ24" i="1" s="1"/>
  <c r="CH24" i="1"/>
  <c r="AJ24" i="1" a="1"/>
  <c r="AJ24" i="1" s="1"/>
  <c r="AI25" i="1" s="1" a="1"/>
  <c r="AI25" i="1" s="1"/>
  <c r="AL14" i="1"/>
  <c r="AK14" i="1"/>
  <c r="FE37" i="1"/>
  <c r="FH37" i="1"/>
  <c r="FF37" i="1"/>
  <c r="AK229" i="1"/>
  <c r="FE229" i="1" s="1"/>
  <c r="AJ229" i="1" s="1" a="1"/>
  <c r="AJ229" i="1" s="1"/>
  <c r="HY52" i="1"/>
  <c r="IO52" i="1"/>
  <c r="GT52" i="1"/>
  <c r="IM52" i="1"/>
  <c r="IJ52" i="1"/>
  <c r="IP52" i="1"/>
  <c r="IG52" i="1"/>
  <c r="IH52" i="1"/>
  <c r="IA52" i="1"/>
  <c r="IB52" i="1"/>
  <c r="IE52" i="1"/>
  <c r="U53" i="1"/>
  <c r="IH53" i="1" s="1"/>
  <c r="IQ52" i="1"/>
  <c r="II52" i="1"/>
  <c r="IL52" i="1"/>
  <c r="ID52" i="1"/>
  <c r="IF52" i="1"/>
  <c r="IK52" i="1"/>
  <c r="IN52" i="1"/>
  <c r="IC52" i="1"/>
  <c r="HZ52" i="1"/>
  <c r="AB55" i="5"/>
  <c r="HH55" i="5" s="1"/>
  <c r="AA55" i="5"/>
  <c r="HG55" i="5" s="1"/>
  <c r="Z55" i="5" s="1" a="1"/>
  <c r="Z55" i="5" s="1"/>
  <c r="KJ257" i="5"/>
  <c r="KK257" i="5" s="1"/>
  <c r="KI258" i="5" a="1"/>
  <c r="KI258" i="5" s="1"/>
  <c r="KJ258" i="5" s="1"/>
  <c r="KK258" i="5" s="1"/>
  <c r="KJ59" i="5"/>
  <c r="KK59" i="5" s="1"/>
  <c r="KI60" i="5" a="1"/>
  <c r="KI60" i="5" s="1"/>
  <c r="KJ241" i="5"/>
  <c r="KK241" i="5" s="1"/>
  <c r="KI242" i="5" a="1"/>
  <c r="KI242" i="5" s="1"/>
  <c r="KJ242" i="5" s="1"/>
  <c r="KK242" i="5" s="1"/>
  <c r="X58" i="5"/>
  <c r="AB56" i="5"/>
  <c r="KD56" i="5" s="1"/>
  <c r="AA56" i="5"/>
  <c r="KC56" i="5" s="1"/>
  <c r="Z56" i="5" s="1" a="1"/>
  <c r="Z56" i="5" s="1"/>
  <c r="Y57" i="5" s="1" a="1"/>
  <c r="Y57" i="5" s="1"/>
  <c r="PF190" i="5" a="1"/>
  <c r="PF190" i="5" s="1"/>
  <c r="PG190" i="5" s="1"/>
  <c r="PH190" i="5" s="1"/>
  <c r="PI190" i="5" s="1"/>
  <c r="PJ190" i="5" s="1"/>
  <c r="PK190" i="5" s="1"/>
  <c r="PL190" i="5" s="1"/>
  <c r="PM190" i="5" s="1"/>
  <c r="PN190" i="5" s="1"/>
  <c r="AA49" i="4"/>
  <c r="HC49" i="4" s="1"/>
  <c r="Z49" i="4" s="1" a="1"/>
  <c r="Z49" i="4" s="1"/>
  <c r="Y50" i="4" s="1" a="1"/>
  <c r="Y50" i="4" s="1"/>
  <c r="AB49" i="4"/>
  <c r="HD49" i="4" s="1"/>
  <c r="AB52" i="4"/>
  <c r="HD52" i="4" s="1"/>
  <c r="AA52" i="4"/>
  <c r="HC52" i="4" s="1"/>
  <c r="Z52" i="4" s="1" a="1"/>
  <c r="Z52" i="4" s="1"/>
  <c r="Y53" i="4" s="1" a="1"/>
  <c r="Y53" i="4" s="1"/>
  <c r="X54" i="4"/>
  <c r="ID55" i="4"/>
  <c r="IJ55" i="4"/>
  <c r="HW55" i="4"/>
  <c r="IM55" i="4"/>
  <c r="HY55" i="4"/>
  <c r="IG55" i="4"/>
  <c r="IA55" i="4"/>
  <c r="IL55" i="4"/>
  <c r="GP55" i="4"/>
  <c r="II55" i="4"/>
  <c r="IF55" i="4"/>
  <c r="IE55" i="4"/>
  <c r="IC55" i="4"/>
  <c r="IB55" i="4"/>
  <c r="HX55" i="4"/>
  <c r="HU55" i="4"/>
  <c r="IK55" i="4"/>
  <c r="IH55" i="4"/>
  <c r="HV55" i="4"/>
  <c r="HZ55" i="4"/>
  <c r="KE57" i="4" a="1"/>
  <c r="KE57" i="4" s="1"/>
  <c r="KF57" i="4" s="1"/>
  <c r="KG57" i="4" s="1"/>
  <c r="PB203" i="4" a="1"/>
  <c r="PB203" i="4" s="1"/>
  <c r="PC203" i="4" s="1"/>
  <c r="PD203" i="4" s="1"/>
  <c r="PE203" i="4" s="1"/>
  <c r="PF203" i="4" s="1"/>
  <c r="PG203" i="4" s="1"/>
  <c r="PB211" i="4" a="1"/>
  <c r="PB211" i="4" s="1"/>
  <c r="PC211" i="4" s="1"/>
  <c r="PD211" i="4" s="1"/>
  <c r="PE211" i="4" s="1"/>
  <c r="PF211" i="4" s="1"/>
  <c r="PG211" i="4" s="1"/>
  <c r="KE187" i="4" a="1"/>
  <c r="KE187" i="4" s="1"/>
  <c r="LB169" i="4" a="1"/>
  <c r="LB169" i="4" s="1"/>
  <c r="LC169" i="4" s="1"/>
  <c r="LD169" i="4" s="1"/>
  <c r="PB200" i="4" a="1"/>
  <c r="PB200" i="4" s="1"/>
  <c r="PC200" i="4" s="1"/>
  <c r="PD200" i="4" s="1"/>
  <c r="PE200" i="4" s="1"/>
  <c r="PF200" i="4" s="1"/>
  <c r="PG200" i="4" s="1"/>
  <c r="PH200" i="4" s="1"/>
  <c r="PI200" i="4" s="1"/>
  <c r="PJ200" i="4" s="1"/>
  <c r="PB199" i="4" a="1"/>
  <c r="PB199" i="4" s="1"/>
  <c r="PC199" i="4" s="1"/>
  <c r="PD199" i="4" s="1"/>
  <c r="PE199" i="4" s="1"/>
  <c r="PF199" i="4" s="1"/>
  <c r="PG199" i="4" s="1"/>
  <c r="PB213" i="4" a="1"/>
  <c r="PB213" i="4" s="1"/>
  <c r="PC213" i="4" s="1"/>
  <c r="PD213" i="4" s="1"/>
  <c r="PE213" i="4" s="1"/>
  <c r="PF213" i="4" s="1"/>
  <c r="PG213" i="4" s="1"/>
  <c r="KE233" i="4" a="1"/>
  <c r="KE233" i="4" s="1"/>
  <c r="KF233" i="4" s="1"/>
  <c r="KG233" i="4" s="1"/>
  <c r="PB205" i="4" a="1"/>
  <c r="PB205" i="4" s="1"/>
  <c r="PC205" i="4" s="1"/>
  <c r="PD205" i="4" s="1"/>
  <c r="PE205" i="4" s="1"/>
  <c r="PF205" i="4" s="1"/>
  <c r="PG205" i="4" s="1"/>
  <c r="PB193" i="4" a="1"/>
  <c r="PB193" i="4" s="1"/>
  <c r="PC193" i="4" s="1"/>
  <c r="PD193" i="4" s="1"/>
  <c r="PE193" i="4" s="1"/>
  <c r="PF193" i="4" s="1"/>
  <c r="PG193" i="4" s="1"/>
  <c r="KE221" i="4" a="1"/>
  <c r="KE221" i="4" s="1"/>
  <c r="KF221" i="4" s="1"/>
  <c r="KG221" i="4" s="1"/>
  <c r="KH221" i="4" s="1"/>
  <c r="PB194" i="4" a="1"/>
  <c r="PB194" i="4" s="1"/>
  <c r="PC194" i="4" s="1"/>
  <c r="PD194" i="4" s="1"/>
  <c r="PE194" i="4" s="1"/>
  <c r="PF194" i="4" s="1"/>
  <c r="PG194" i="4" s="1"/>
  <c r="PB183" i="4" a="1"/>
  <c r="PB183" i="4" s="1"/>
  <c r="PC183" i="4" s="1"/>
  <c r="PD183" i="4" s="1"/>
  <c r="PE183" i="4" s="1"/>
  <c r="PF183" i="4" s="1"/>
  <c r="PG183" i="4" s="1"/>
  <c r="PB188" i="4" a="1"/>
  <c r="PB188" i="4" s="1"/>
  <c r="PC188" i="4" s="1"/>
  <c r="PD188" i="4" s="1"/>
  <c r="PE188" i="4" s="1"/>
  <c r="PF188" i="4" s="1"/>
  <c r="PG188" i="4" s="1"/>
  <c r="KE192" i="4" a="1"/>
  <c r="KE192" i="4" s="1"/>
  <c r="KE202" i="4" a="1"/>
  <c r="KE202" i="4" s="1"/>
  <c r="KE197" i="4" a="1"/>
  <c r="KE197" i="4" s="1"/>
  <c r="PB189" i="4" a="1"/>
  <c r="PB189" i="4" s="1"/>
  <c r="PC189" i="4" s="1"/>
  <c r="PD189" i="4" s="1"/>
  <c r="PE189" i="4" s="1"/>
  <c r="PF189" i="4" s="1"/>
  <c r="PG189" i="4" s="1"/>
  <c r="KE218" i="4" a="1"/>
  <c r="KE218" i="4" s="1"/>
  <c r="KF218" i="4" s="1"/>
  <c r="KG218" i="4" s="1"/>
  <c r="PB215" i="4" a="1"/>
  <c r="PB215" i="4" s="1"/>
  <c r="PC215" i="4" s="1"/>
  <c r="PD215" i="4" s="1"/>
  <c r="PE215" i="4" s="1"/>
  <c r="PF215" i="4" s="1"/>
  <c r="PG215" i="4" s="1"/>
  <c r="KE222" i="4" a="1"/>
  <c r="KE222" i="4" s="1"/>
  <c r="KF222" i="4" s="1"/>
  <c r="KG222" i="4" s="1"/>
  <c r="KH222" i="4" s="1"/>
  <c r="PB207" i="4" a="1"/>
  <c r="PB207" i="4" s="1"/>
  <c r="PC207" i="4" s="1"/>
  <c r="PD207" i="4" s="1"/>
  <c r="PE207" i="4" s="1"/>
  <c r="PF207" i="4" s="1"/>
  <c r="PG207" i="4" s="1"/>
  <c r="X74" i="1"/>
  <c r="BP14" i="1" l="1"/>
  <c r="CF14" i="1"/>
  <c r="BQ14" i="1"/>
  <c r="CG14" i="1"/>
  <c r="AK25" i="1"/>
  <c r="AL25" i="1"/>
  <c r="AK5" i="1"/>
  <c r="AL5" i="1"/>
  <c r="FG37" i="1"/>
  <c r="AJ37" i="1" a="1"/>
  <c r="AJ37" i="1" s="1"/>
  <c r="AI38" i="1" s="1" a="1"/>
  <c r="AI38" i="1" s="1"/>
  <c r="IF53" i="1"/>
  <c r="IN53" i="1"/>
  <c r="IA53" i="1"/>
  <c r="IJ53" i="1"/>
  <c r="IO53" i="1"/>
  <c r="HZ53" i="1"/>
  <c r="IQ53" i="1"/>
  <c r="IE53" i="1"/>
  <c r="IM53" i="1"/>
  <c r="II53" i="1"/>
  <c r="IL53" i="1"/>
  <c r="ID53" i="1"/>
  <c r="IK53" i="1"/>
  <c r="HY53" i="1"/>
  <c r="IB53" i="1"/>
  <c r="IG53" i="1"/>
  <c r="IC53" i="1"/>
  <c r="IP53" i="1"/>
  <c r="GT53" i="1"/>
  <c r="U54" i="1"/>
  <c r="IH54" i="1" s="1"/>
  <c r="AB57" i="5"/>
  <c r="KD57" i="5" s="1"/>
  <c r="AA57" i="5"/>
  <c r="KC57" i="5" s="1"/>
  <c r="Z57" i="5" s="1" a="1"/>
  <c r="Z57" i="5" s="1"/>
  <c r="Y58" i="5" s="1" a="1"/>
  <c r="Y58" i="5" s="1"/>
  <c r="X59" i="5"/>
  <c r="KJ60" i="5"/>
  <c r="KK60" i="5" s="1"/>
  <c r="KI61" i="5" a="1"/>
  <c r="KI61" i="5" s="1"/>
  <c r="AA53" i="4"/>
  <c r="HC53" i="4" s="1"/>
  <c r="Z53" i="4" s="1" a="1"/>
  <c r="Z53" i="4" s="1"/>
  <c r="Y54" i="4" s="1" a="1"/>
  <c r="Y54" i="4" s="1"/>
  <c r="AB53" i="4"/>
  <c r="HD53" i="4" s="1"/>
  <c r="AA50" i="4"/>
  <c r="HC50" i="4" s="1"/>
  <c r="Z50" i="4" s="1" a="1"/>
  <c r="Z50" i="4" s="1"/>
  <c r="AB50" i="4"/>
  <c r="HD50" i="4" s="1"/>
  <c r="KE234" i="4" a="1"/>
  <c r="KE234" i="4" s="1"/>
  <c r="PB195" i="4" a="1"/>
  <c r="PB195" i="4" s="1"/>
  <c r="PC195" i="4" s="1"/>
  <c r="PD195" i="4" s="1"/>
  <c r="PE195" i="4" s="1"/>
  <c r="PF195" i="4" s="1"/>
  <c r="PG195" i="4" s="1"/>
  <c r="PH195" i="4" s="1"/>
  <c r="PI195" i="4" s="1"/>
  <c r="PJ195" i="4" s="1"/>
  <c r="KE219" i="4" a="1"/>
  <c r="KE219" i="4" s="1"/>
  <c r="X55" i="4"/>
  <c r="KE58" i="4" a="1"/>
  <c r="KE58" i="4" s="1"/>
  <c r="KE223" i="4" a="1"/>
  <c r="KE223" i="4" s="1"/>
  <c r="PB190" i="4" a="1"/>
  <c r="PB190" i="4" s="1"/>
  <c r="PC190" i="4" s="1"/>
  <c r="PD190" i="4" s="1"/>
  <c r="PE190" i="4" s="1"/>
  <c r="PF190" i="4" s="1"/>
  <c r="PG190" i="4" s="1"/>
  <c r="PH190" i="4" s="1"/>
  <c r="PI190" i="4" s="1"/>
  <c r="PJ190" i="4" s="1"/>
  <c r="PB184" i="4" a="1"/>
  <c r="PB184" i="4" s="1"/>
  <c r="X75" i="1"/>
  <c r="X76" i="1" s="1"/>
  <c r="BQ5" i="1" l="1"/>
  <c r="CG5" i="1"/>
  <c r="BP5" i="1"/>
  <c r="CF5" i="1"/>
  <c r="BQ25" i="1"/>
  <c r="CG25" i="1"/>
  <c r="BP25" i="1"/>
  <c r="CF25" i="1"/>
  <c r="BS14" i="1"/>
  <c r="CK14" i="1" s="1"/>
  <c r="CI14" i="1"/>
  <c r="BR14" i="1"/>
  <c r="CJ14" i="1" s="1"/>
  <c r="CH14" i="1"/>
  <c r="AJ14" i="1" a="1"/>
  <c r="AJ14" i="1" s="1"/>
  <c r="AI15" i="1" s="1" a="1"/>
  <c r="AI15" i="1" s="1"/>
  <c r="AK38" i="1"/>
  <c r="EW38" i="1" s="1"/>
  <c r="AL38" i="1"/>
  <c r="EX38" i="1" s="1"/>
  <c r="IP54" i="1"/>
  <c r="HY54" i="1"/>
  <c r="IK54" i="1"/>
  <c r="IE54" i="1"/>
  <c r="IC54" i="1"/>
  <c r="GT54" i="1"/>
  <c r="HZ54" i="1"/>
  <c r="IF54" i="1"/>
  <c r="IG54" i="1"/>
  <c r="IA54" i="1"/>
  <c r="IQ54" i="1"/>
  <c r="IN54" i="1"/>
  <c r="IL54" i="1"/>
  <c r="II54" i="1"/>
  <c r="U55" i="1"/>
  <c r="IM54" i="1"/>
  <c r="IJ54" i="1"/>
  <c r="IB54" i="1"/>
  <c r="IO54" i="1"/>
  <c r="ID54" i="1"/>
  <c r="AB58" i="5"/>
  <c r="KD58" i="5" s="1"/>
  <c r="AA58" i="5"/>
  <c r="KC58" i="5" s="1"/>
  <c r="Z58" i="5" s="1" a="1"/>
  <c r="Z58" i="5" s="1"/>
  <c r="Y59" i="5" s="1" a="1"/>
  <c r="Y59" i="5" s="1"/>
  <c r="KJ61" i="5"/>
  <c r="KK61" i="5" s="1"/>
  <c r="KI62" i="5" a="1"/>
  <c r="KI62" i="5" s="1"/>
  <c r="X60" i="5"/>
  <c r="AA54" i="4"/>
  <c r="HC54" i="4" s="1"/>
  <c r="Z54" i="4" s="1" a="1"/>
  <c r="Z54" i="4" s="1"/>
  <c r="Y55" i="4" s="1" a="1"/>
  <c r="Y55" i="4" s="1"/>
  <c r="AB54" i="4"/>
  <c r="HD54" i="4" s="1"/>
  <c r="Y56" i="4" a="1"/>
  <c r="Y56" i="4" s="1"/>
  <c r="X57" i="4"/>
  <c r="KF219" i="4"/>
  <c r="KG219" i="4" s="1"/>
  <c r="KE220" i="4" a="1"/>
  <c r="KE220" i="4" s="1"/>
  <c r="KF220" i="4" s="1"/>
  <c r="KG220" i="4" s="1"/>
  <c r="PC184" i="4"/>
  <c r="PD184" i="4" s="1"/>
  <c r="PE184" i="4" s="1"/>
  <c r="PF184" i="4" s="1"/>
  <c r="PG184" i="4" s="1"/>
  <c r="PB185" i="4" a="1"/>
  <c r="PB185" i="4" s="1"/>
  <c r="PC185" i="4" s="1"/>
  <c r="PD185" i="4" s="1"/>
  <c r="PE185" i="4" s="1"/>
  <c r="PF185" i="4" s="1"/>
  <c r="PG185" i="4" s="1"/>
  <c r="PH185" i="4" s="1"/>
  <c r="PI185" i="4" s="1"/>
  <c r="PJ185" i="4" s="1"/>
  <c r="KF234" i="4"/>
  <c r="KG234" i="4" s="1"/>
  <c r="KF223" i="4"/>
  <c r="KG223" i="4" s="1"/>
  <c r="KE224" i="4" a="1"/>
  <c r="KE224" i="4" s="1"/>
  <c r="KF224" i="4" s="1"/>
  <c r="KG224" i="4" s="1"/>
  <c r="KF58" i="4"/>
  <c r="KG58" i="4" s="1"/>
  <c r="KE59" i="4" a="1"/>
  <c r="KE59" i="4" s="1"/>
  <c r="PH198" i="1" a="1"/>
  <c r="PH198" i="1" s="1"/>
  <c r="PH209" i="1" a="1"/>
  <c r="PH209" i="1" s="1"/>
  <c r="X77" i="1"/>
  <c r="PH215" i="1" l="1" a="1"/>
  <c r="PH215" i="1" s="1"/>
  <c r="PI215" i="1" s="1"/>
  <c r="PJ215" i="1" s="1"/>
  <c r="PK215" i="1" s="1"/>
  <c r="PL215" i="1" s="1"/>
  <c r="PM215" i="1" s="1"/>
  <c r="KI320" i="1" a="1"/>
  <c r="KI320" i="1" s="1"/>
  <c r="KJ320" i="1" s="1"/>
  <c r="KK320" i="1" s="1"/>
  <c r="KL320" i="1" s="1"/>
  <c r="BR25" i="1"/>
  <c r="CJ25" i="1" s="1"/>
  <c r="CH25" i="1"/>
  <c r="AJ25" i="1" a="1"/>
  <c r="AJ25" i="1" s="1"/>
  <c r="AI26" i="1" s="1" a="1"/>
  <c r="AI26" i="1" s="1"/>
  <c r="BS25" i="1"/>
  <c r="CK25" i="1" s="1"/>
  <c r="CI25" i="1"/>
  <c r="IJ55" i="1"/>
  <c r="PH211" i="1" a="1"/>
  <c r="PH211" i="1" s="1"/>
  <c r="PI211" i="1" s="1"/>
  <c r="PJ211" i="1" s="1"/>
  <c r="PK211" i="1" s="1"/>
  <c r="PL211" i="1" s="1"/>
  <c r="PM211" i="1" s="1"/>
  <c r="BR5" i="1"/>
  <c r="CJ5" i="1" s="1"/>
  <c r="AJ5" i="1" a="1"/>
  <c r="AJ5" i="1" s="1"/>
  <c r="AI6" i="1" s="1" a="1"/>
  <c r="AI6" i="1" s="1"/>
  <c r="CH5" i="1"/>
  <c r="IB55" i="1"/>
  <c r="IE55" i="1"/>
  <c r="IG55" i="1"/>
  <c r="AL15" i="1"/>
  <c r="AK15" i="1"/>
  <c r="BS5" i="1"/>
  <c r="CK5" i="1" s="1"/>
  <c r="CI5" i="1"/>
  <c r="FE38" i="1"/>
  <c r="FH38" i="1"/>
  <c r="FF38" i="1"/>
  <c r="KJ527" i="1"/>
  <c r="KI218" i="1" a="1"/>
  <c r="KI218" i="1" s="1"/>
  <c r="KJ218" i="1" s="1"/>
  <c r="KK218" i="1" s="1"/>
  <c r="PH427" i="1" a="1"/>
  <c r="PH427" i="1" s="1"/>
  <c r="PI427" i="1" s="1"/>
  <c r="PJ427" i="1" s="1"/>
  <c r="PK427" i="1" s="1"/>
  <c r="PL427" i="1" s="1"/>
  <c r="PM427" i="1" s="1"/>
  <c r="PH437" i="1" a="1"/>
  <c r="PH437" i="1" s="1"/>
  <c r="PI437" i="1" s="1"/>
  <c r="PJ437" i="1" s="1"/>
  <c r="PK437" i="1" s="1"/>
  <c r="PL437" i="1" s="1"/>
  <c r="PM437" i="1" s="1"/>
  <c r="PH442" i="1" a="1"/>
  <c r="PH442" i="1" s="1"/>
  <c r="PI442" i="1" s="1"/>
  <c r="PJ442" i="1" s="1"/>
  <c r="PK442" i="1" s="1"/>
  <c r="PL442" i="1" s="1"/>
  <c r="PM442" i="1" s="1"/>
  <c r="PH432" i="1" a="1"/>
  <c r="PH432" i="1" s="1"/>
  <c r="PI432" i="1" s="1"/>
  <c r="PJ432" i="1" s="1"/>
  <c r="PK432" i="1" s="1"/>
  <c r="PL432" i="1" s="1"/>
  <c r="PM432" i="1" s="1"/>
  <c r="PH205" i="1" a="1"/>
  <c r="PH205" i="1" s="1"/>
  <c r="PI205" i="1" s="1"/>
  <c r="PJ205" i="1" s="1"/>
  <c r="PK205" i="1" s="1"/>
  <c r="PL205" i="1" s="1"/>
  <c r="PM205" i="1" s="1"/>
  <c r="IL55" i="1"/>
  <c r="GT55" i="1"/>
  <c r="IM55" i="1"/>
  <c r="PH193" i="1" a="1"/>
  <c r="PH193" i="1" s="1"/>
  <c r="PI193" i="1" s="1"/>
  <c r="PJ193" i="1" s="1"/>
  <c r="PK193" i="1" s="1"/>
  <c r="PL193" i="1" s="1"/>
  <c r="PM193" i="1" s="1"/>
  <c r="PH194" i="1" s="1" a="1"/>
  <c r="PH194" i="1" s="1"/>
  <c r="PH183" i="1" a="1"/>
  <c r="PH183" i="1" s="1"/>
  <c r="PI183" i="1" s="1"/>
  <c r="PJ183" i="1" s="1"/>
  <c r="PK183" i="1" s="1"/>
  <c r="PL183" i="1" s="1"/>
  <c r="PM183" i="1" s="1"/>
  <c r="HZ55" i="1"/>
  <c r="IN55" i="1"/>
  <c r="PH203" i="1" a="1"/>
  <c r="PH203" i="1" s="1"/>
  <c r="PI203" i="1" s="1"/>
  <c r="PJ203" i="1" s="1"/>
  <c r="PK203" i="1" s="1"/>
  <c r="PL203" i="1" s="1"/>
  <c r="PM203" i="1" s="1"/>
  <c r="KI192" i="1" a="1"/>
  <c r="KI192" i="1" s="1"/>
  <c r="IK55" i="1"/>
  <c r="IA55" i="1"/>
  <c r="KI202" i="1" a="1"/>
  <c r="KI202" i="1" s="1"/>
  <c r="LF169" i="1" a="1"/>
  <c r="LF169" i="1" s="1"/>
  <c r="LG169" i="1" s="1"/>
  <c r="LH169" i="1" s="1"/>
  <c r="II55" i="1"/>
  <c r="IF55" i="1"/>
  <c r="KI197" i="1" a="1"/>
  <c r="KI197" i="1" s="1"/>
  <c r="IP55" i="1"/>
  <c r="IC55" i="1"/>
  <c r="IQ55" i="1"/>
  <c r="IH55" i="1"/>
  <c r="IO55" i="1"/>
  <c r="PH213" i="1" a="1"/>
  <c r="PH213" i="1" s="1"/>
  <c r="PI213" i="1" s="1"/>
  <c r="PJ213" i="1" s="1"/>
  <c r="PK213" i="1" s="1"/>
  <c r="PL213" i="1" s="1"/>
  <c r="PM213" i="1" s="1"/>
  <c r="ID55" i="1"/>
  <c r="PH188" i="1" a="1"/>
  <c r="PH188" i="1" s="1"/>
  <c r="PI188" i="1" s="1"/>
  <c r="PJ188" i="1" s="1"/>
  <c r="PK188" i="1" s="1"/>
  <c r="PL188" i="1" s="1"/>
  <c r="PM188" i="1" s="1"/>
  <c r="PH189" i="1" s="1" a="1"/>
  <c r="PH189" i="1" s="1"/>
  <c r="KI187" i="1" a="1"/>
  <c r="KI187" i="1" s="1"/>
  <c r="KI56" i="1" a="1"/>
  <c r="KI56" i="1" s="1"/>
  <c r="KJ56" i="1" s="1"/>
  <c r="KK56" i="1" s="1"/>
  <c r="KI57" i="1" s="1" a="1"/>
  <c r="KI57" i="1" s="1"/>
  <c r="PH207" i="1" a="1"/>
  <c r="PH207" i="1" s="1"/>
  <c r="PI207" i="1" s="1"/>
  <c r="PJ207" i="1" s="1"/>
  <c r="PK207" i="1" s="1"/>
  <c r="PL207" i="1" s="1"/>
  <c r="PM207" i="1" s="1"/>
  <c r="HY55" i="1"/>
  <c r="AB59" i="5"/>
  <c r="KD59" i="5" s="1"/>
  <c r="AA59" i="5"/>
  <c r="KC59" i="5" s="1"/>
  <c r="Z59" i="5" s="1" a="1"/>
  <c r="Z59" i="5" s="1"/>
  <c r="Y60" i="5" s="1" a="1"/>
  <c r="Y60" i="5" s="1"/>
  <c r="X61" i="5"/>
  <c r="KJ62" i="5"/>
  <c r="KK62" i="5" s="1"/>
  <c r="KI63" i="5" a="1"/>
  <c r="KI63" i="5" s="1"/>
  <c r="AA55" i="4"/>
  <c r="HC55" i="4" s="1"/>
  <c r="Z55" i="4" s="1" a="1"/>
  <c r="Z55" i="4" s="1"/>
  <c r="AB55" i="4"/>
  <c r="HD55" i="4" s="1"/>
  <c r="KF59" i="4"/>
  <c r="KG59" i="4" s="1"/>
  <c r="KE60" i="4" a="1"/>
  <c r="KE60" i="4" s="1"/>
  <c r="X58" i="4"/>
  <c r="AA56" i="4"/>
  <c r="JY56" i="4" s="1"/>
  <c r="Z56" i="4" s="1" a="1"/>
  <c r="Z56" i="4" s="1"/>
  <c r="Y57" i="4" s="1" a="1"/>
  <c r="Y57" i="4" s="1"/>
  <c r="AB56" i="4"/>
  <c r="JZ56" i="4" s="1"/>
  <c r="PI209" i="1"/>
  <c r="PJ209" i="1" s="1"/>
  <c r="PK209" i="1" s="1"/>
  <c r="PL209" i="1" s="1"/>
  <c r="PM209" i="1" s="1"/>
  <c r="PI198" i="1"/>
  <c r="PJ198" i="1" s="1"/>
  <c r="PK198" i="1" s="1"/>
  <c r="PL198" i="1" s="1"/>
  <c r="PM198" i="1" s="1"/>
  <c r="X78" i="1"/>
  <c r="AL6" i="1" l="1"/>
  <c r="AK6" i="1"/>
  <c r="AK26" i="1"/>
  <c r="AL26" i="1"/>
  <c r="BP15" i="1"/>
  <c r="CF15" i="1"/>
  <c r="BQ15" i="1"/>
  <c r="CG15" i="1"/>
  <c r="FG38" i="1"/>
  <c r="AJ38" i="1" a="1"/>
  <c r="AJ38" i="1" s="1"/>
  <c r="AI39" i="1" s="1" a="1"/>
  <c r="AI39" i="1" s="1"/>
  <c r="KK527" i="1"/>
  <c r="KI528" i="1" s="1" a="1"/>
  <c r="KI528" i="1" s="1"/>
  <c r="KI219" i="1" a="1"/>
  <c r="KI219" i="1" s="1"/>
  <c r="KJ219" i="1" s="1"/>
  <c r="KK219" i="1" s="1"/>
  <c r="KI220" i="1" s="1" a="1"/>
  <c r="KI220" i="1" s="1"/>
  <c r="PH428" i="1" a="1"/>
  <c r="PH428" i="1" s="1"/>
  <c r="PI428" i="1" s="1"/>
  <c r="PJ428" i="1" s="1"/>
  <c r="PK428" i="1" s="1"/>
  <c r="PL428" i="1" s="1"/>
  <c r="PM428" i="1" s="1"/>
  <c r="PN428" i="1" s="1"/>
  <c r="PO428" i="1" s="1"/>
  <c r="PP428" i="1" s="1"/>
  <c r="PH443" i="1" a="1"/>
  <c r="PH443" i="1" s="1"/>
  <c r="PI443" i="1" s="1"/>
  <c r="PJ443" i="1" s="1"/>
  <c r="PK443" i="1" s="1"/>
  <c r="PL443" i="1" s="1"/>
  <c r="PM443" i="1" s="1"/>
  <c r="PN443" i="1" s="1"/>
  <c r="PO443" i="1" s="1"/>
  <c r="PP443" i="1" s="1"/>
  <c r="PH438" i="1" a="1"/>
  <c r="PH438" i="1" s="1"/>
  <c r="PI438" i="1" s="1"/>
  <c r="PJ438" i="1" s="1"/>
  <c r="PK438" i="1" s="1"/>
  <c r="PL438" i="1" s="1"/>
  <c r="PM438" i="1" s="1"/>
  <c r="PN438" i="1" s="1"/>
  <c r="PO438" i="1" s="1"/>
  <c r="PP438" i="1" s="1"/>
  <c r="PH433" i="1" a="1"/>
  <c r="PH433" i="1" s="1"/>
  <c r="PI433" i="1" s="1"/>
  <c r="PJ433" i="1" s="1"/>
  <c r="PK433" i="1" s="1"/>
  <c r="PL433" i="1" s="1"/>
  <c r="PM433" i="1" s="1"/>
  <c r="PN433" i="1" s="1"/>
  <c r="PO433" i="1" s="1"/>
  <c r="PP433" i="1" s="1"/>
  <c r="AA60" i="5"/>
  <c r="KC60" i="5" s="1"/>
  <c r="Z60" i="5" s="1" a="1"/>
  <c r="Z60" i="5" s="1"/>
  <c r="Y61" i="5" s="1" a="1"/>
  <c r="Y61" i="5" s="1"/>
  <c r="AB60" i="5"/>
  <c r="KD60" i="5" s="1"/>
  <c r="KJ63" i="5"/>
  <c r="KK63" i="5" s="1"/>
  <c r="KI64" i="5" a="1"/>
  <c r="KI64" i="5" s="1"/>
  <c r="X62" i="5"/>
  <c r="AB57" i="4"/>
  <c r="JZ57" i="4" s="1"/>
  <c r="AA57" i="4"/>
  <c r="JY57" i="4" s="1"/>
  <c r="Z57" i="4" s="1" a="1"/>
  <c r="Z57" i="4" s="1"/>
  <c r="Y58" i="4" s="1" a="1"/>
  <c r="Y58" i="4" s="1"/>
  <c r="X59" i="4"/>
  <c r="KF60" i="4"/>
  <c r="KG60" i="4" s="1"/>
  <c r="KE61" i="4" a="1"/>
  <c r="KE61" i="4" s="1"/>
  <c r="PH184" i="1" a="1"/>
  <c r="PH184" i="1" s="1"/>
  <c r="PI184" i="1" s="1"/>
  <c r="PJ184" i="1" s="1"/>
  <c r="KC56" i="1"/>
  <c r="Z56" i="1" s="1" a="1"/>
  <c r="Z56" i="1" s="1"/>
  <c r="Y57" i="1" s="1" a="1"/>
  <c r="Y57" i="1" s="1"/>
  <c r="KJ57" i="1"/>
  <c r="KK57" i="1" s="1"/>
  <c r="KI58" i="1" s="1" a="1"/>
  <c r="KI58" i="1" s="1"/>
  <c r="KJ58" i="1" s="1"/>
  <c r="KK58" i="1" s="1"/>
  <c r="PH199" i="1" a="1"/>
  <c r="PH199" i="1" s="1"/>
  <c r="PI189" i="1"/>
  <c r="PI194" i="1"/>
  <c r="PJ194" i="1" s="1"/>
  <c r="PK194" i="1" s="1"/>
  <c r="PL194" i="1" s="1"/>
  <c r="PM194" i="1" s="1"/>
  <c r="X79" i="1"/>
  <c r="BS15" i="1" l="1"/>
  <c r="CK15" i="1" s="1"/>
  <c r="CI15" i="1"/>
  <c r="BR15" i="1"/>
  <c r="CJ15" i="1" s="1"/>
  <c r="CH15" i="1"/>
  <c r="AJ15" i="1" a="1"/>
  <c r="AJ15" i="1" s="1"/>
  <c r="AI16" i="1" s="1" a="1"/>
  <c r="AI16" i="1" s="1"/>
  <c r="BQ26" i="1"/>
  <c r="CG26" i="1"/>
  <c r="BP26" i="1"/>
  <c r="CF26" i="1"/>
  <c r="BP6" i="1"/>
  <c r="CF6" i="1"/>
  <c r="BQ6" i="1"/>
  <c r="CG6" i="1"/>
  <c r="AL39" i="1"/>
  <c r="EX39" i="1" s="1"/>
  <c r="AK39" i="1"/>
  <c r="EW39" i="1" s="1"/>
  <c r="KI529" i="1" a="1"/>
  <c r="KI529" i="1" s="1"/>
  <c r="KJ528" i="1"/>
  <c r="KK528" i="1" s="1"/>
  <c r="AA61" i="5"/>
  <c r="KC61" i="5" s="1"/>
  <c r="Z61" i="5" s="1" a="1"/>
  <c r="Z61" i="5" s="1"/>
  <c r="Y62" i="5" s="1" a="1"/>
  <c r="Y62" i="5" s="1"/>
  <c r="AB61" i="5"/>
  <c r="KD61" i="5" s="1"/>
  <c r="KJ64" i="5"/>
  <c r="KK64" i="5" s="1"/>
  <c r="KI65" i="5" a="1"/>
  <c r="KI65" i="5" s="1"/>
  <c r="X63" i="5"/>
  <c r="AB58" i="4"/>
  <c r="JZ58" i="4" s="1"/>
  <c r="AA58" i="4"/>
  <c r="JY58" i="4" s="1"/>
  <c r="Z58" i="4" s="1" a="1"/>
  <c r="Z58" i="4" s="1"/>
  <c r="Y59" i="4" s="1" a="1"/>
  <c r="Y59" i="4" s="1"/>
  <c r="KF61" i="4"/>
  <c r="KG61" i="4" s="1"/>
  <c r="KE62" i="4" a="1"/>
  <c r="KE62" i="4" s="1"/>
  <c r="X60" i="4"/>
  <c r="KJ220" i="1"/>
  <c r="KK220" i="1" s="1"/>
  <c r="AA57" i="1"/>
  <c r="KC57" i="1" s="1"/>
  <c r="Z57" i="1" s="1" a="1"/>
  <c r="Z57" i="1" s="1"/>
  <c r="Y58" i="1" s="1" a="1"/>
  <c r="Y58" i="1" s="1"/>
  <c r="AB57" i="1"/>
  <c r="KD57" i="1" s="1"/>
  <c r="PH195" i="1" a="1"/>
  <c r="PH195" i="1" s="1"/>
  <c r="PI199" i="1"/>
  <c r="PJ199" i="1" s="1"/>
  <c r="PK184" i="1"/>
  <c r="PJ189" i="1"/>
  <c r="X80" i="1"/>
  <c r="KI59" i="1" a="1"/>
  <c r="KI59" i="1" s="1"/>
  <c r="BS6" i="1" l="1"/>
  <c r="CK6" i="1" s="1"/>
  <c r="CI6" i="1"/>
  <c r="BR6" i="1"/>
  <c r="CJ6" i="1" s="1"/>
  <c r="AJ6" i="1" a="1"/>
  <c r="AJ6" i="1" s="1"/>
  <c r="AI7" i="1" s="1" a="1"/>
  <c r="AI7" i="1" s="1"/>
  <c r="CH6" i="1"/>
  <c r="BR26" i="1"/>
  <c r="CJ26" i="1" s="1"/>
  <c r="AJ26" i="1" a="1"/>
  <c r="AJ26" i="1" s="1"/>
  <c r="AI27" i="1" s="1" a="1"/>
  <c r="AI27" i="1" s="1"/>
  <c r="CH26" i="1"/>
  <c r="BS26" i="1"/>
  <c r="CK26" i="1" s="1"/>
  <c r="CI26" i="1"/>
  <c r="AL16" i="1"/>
  <c r="AK16" i="1"/>
  <c r="FE39" i="1"/>
  <c r="FF39" i="1"/>
  <c r="FH39" i="1"/>
  <c r="KJ529" i="1"/>
  <c r="KK529" i="1" s="1"/>
  <c r="AB62" i="5"/>
  <c r="KD62" i="5" s="1"/>
  <c r="AA62" i="5"/>
  <c r="KC62" i="5" s="1"/>
  <c r="Z62" i="5" s="1" a="1"/>
  <c r="Z62" i="5" s="1"/>
  <c r="Y63" i="5" s="1" a="1"/>
  <c r="Y63" i="5" s="1"/>
  <c r="X64" i="5"/>
  <c r="KJ65" i="5"/>
  <c r="KK65" i="5" s="1"/>
  <c r="KI66" i="5" a="1"/>
  <c r="KI66" i="5" s="1"/>
  <c r="AB59" i="4"/>
  <c r="JZ59" i="4" s="1"/>
  <c r="AA59" i="4"/>
  <c r="JY59" i="4" s="1"/>
  <c r="Z59" i="4" s="1" a="1"/>
  <c r="Z59" i="4" s="1"/>
  <c r="Y60" i="4" s="1" a="1"/>
  <c r="Y60" i="4" s="1"/>
  <c r="KF62" i="4"/>
  <c r="KG62" i="4" s="1"/>
  <c r="KE63" i="4" a="1"/>
  <c r="KE63" i="4" s="1"/>
  <c r="X61" i="4"/>
  <c r="AA58" i="1"/>
  <c r="KC58" i="1" s="1"/>
  <c r="Z58" i="1" s="1" a="1"/>
  <c r="Z58" i="1" s="1"/>
  <c r="Y59" i="1" s="1" a="1"/>
  <c r="Y59" i="1" s="1"/>
  <c r="AB58" i="1"/>
  <c r="KD58" i="1" s="1"/>
  <c r="PI195" i="1"/>
  <c r="PJ195" i="1" s="1"/>
  <c r="PK195" i="1" s="1"/>
  <c r="PL195" i="1" s="1"/>
  <c r="PM195" i="1" s="1"/>
  <c r="PN195" i="1" s="1"/>
  <c r="PO195" i="1" s="1"/>
  <c r="PP195" i="1" s="1"/>
  <c r="KJ59" i="1"/>
  <c r="KK59" i="1" s="1"/>
  <c r="PK199" i="1"/>
  <c r="PL184" i="1"/>
  <c r="PK189" i="1"/>
  <c r="X81" i="1"/>
  <c r="BQ16" i="1" l="1"/>
  <c r="CG16" i="1"/>
  <c r="BP16" i="1"/>
  <c r="CF16" i="1"/>
  <c r="AL27" i="1"/>
  <c r="AK27" i="1"/>
  <c r="AK7" i="1"/>
  <c r="AL7" i="1"/>
  <c r="FG39" i="1"/>
  <c r="AJ39" i="1" a="1"/>
  <c r="AJ39" i="1" s="1"/>
  <c r="AI40" i="1" s="1" a="1"/>
  <c r="AI40" i="1" s="1"/>
  <c r="KI530" i="1" a="1"/>
  <c r="KI530" i="1" s="1"/>
  <c r="KJ530" i="1" s="1"/>
  <c r="KK530" i="1" s="1"/>
  <c r="AB63" i="5"/>
  <c r="KD63" i="5" s="1"/>
  <c r="AA63" i="5"/>
  <c r="KC63" i="5" s="1"/>
  <c r="Z63" i="5" s="1" a="1"/>
  <c r="Z63" i="5" s="1"/>
  <c r="KJ66" i="5"/>
  <c r="KK66" i="5" s="1"/>
  <c r="KI67" i="5" a="1"/>
  <c r="KI67" i="5" s="1"/>
  <c r="X65" i="5"/>
  <c r="Y64" i="5" a="1"/>
  <c r="Y64" i="5" s="1"/>
  <c r="KI60" i="1" a="1"/>
  <c r="KI60" i="1" s="1"/>
  <c r="AB60" i="4"/>
  <c r="JZ60" i="4" s="1"/>
  <c r="AA60" i="4"/>
  <c r="JY60" i="4" s="1"/>
  <c r="Z60" i="4" s="1" a="1"/>
  <c r="Z60" i="4" s="1"/>
  <c r="Y61" i="4" s="1" a="1"/>
  <c r="Y61" i="4" s="1"/>
  <c r="KF63" i="4"/>
  <c r="KG63" i="4" s="1"/>
  <c r="KE64" i="4" a="1"/>
  <c r="KE64" i="4" s="1"/>
  <c r="X62" i="4"/>
  <c r="AA59" i="1"/>
  <c r="KC59" i="1" s="1"/>
  <c r="AB59" i="1"/>
  <c r="KD59" i="1" s="1"/>
  <c r="PL199" i="1"/>
  <c r="PM184" i="1"/>
  <c r="PH185" i="1" s="1" a="1"/>
  <c r="PH185" i="1" s="1"/>
  <c r="PL189" i="1"/>
  <c r="X82" i="1"/>
  <c r="BQ7" i="1" l="1"/>
  <c r="CG7" i="1"/>
  <c r="BP7" i="1"/>
  <c r="CF7" i="1"/>
  <c r="BP27" i="1"/>
  <c r="CF27" i="1"/>
  <c r="BQ27" i="1"/>
  <c r="CG27" i="1"/>
  <c r="BR16" i="1"/>
  <c r="CJ16" i="1" s="1"/>
  <c r="CH16" i="1"/>
  <c r="AJ16" i="1" a="1"/>
  <c r="AJ16" i="1" s="1"/>
  <c r="AI17" i="1" s="1" a="1"/>
  <c r="AI17" i="1" s="1"/>
  <c r="BS16" i="1"/>
  <c r="CK16" i="1" s="1"/>
  <c r="CI16" i="1"/>
  <c r="AL40" i="1"/>
  <c r="EX40" i="1" s="1"/>
  <c r="AK40" i="1"/>
  <c r="EW40" i="1" s="1"/>
  <c r="KI531" i="1" a="1"/>
  <c r="KI531" i="1" s="1"/>
  <c r="KJ531" i="1" s="1"/>
  <c r="KK531" i="1" s="1"/>
  <c r="X66" i="5"/>
  <c r="AB64" i="5"/>
  <c r="KD64" i="5" s="1"/>
  <c r="AA64" i="5"/>
  <c r="KC64" i="5" s="1"/>
  <c r="Z64" i="5" s="1" a="1"/>
  <c r="Z64" i="5" s="1"/>
  <c r="Y65" i="5" s="1" a="1"/>
  <c r="Y65" i="5" s="1"/>
  <c r="KJ67" i="5"/>
  <c r="KK67" i="5" s="1"/>
  <c r="KI68" i="5" a="1"/>
  <c r="KI68" i="5" s="1"/>
  <c r="KJ60" i="1"/>
  <c r="KK60" i="1" s="1"/>
  <c r="AB61" i="4"/>
  <c r="JZ61" i="4" s="1"/>
  <c r="AA61" i="4"/>
  <c r="JY61" i="4" s="1"/>
  <c r="Z61" i="4" s="1" a="1"/>
  <c r="Z61" i="4" s="1"/>
  <c r="Y62" i="4" s="1" a="1"/>
  <c r="Y62" i="4" s="1"/>
  <c r="X63" i="4"/>
  <c r="KF64" i="4"/>
  <c r="KG64" i="4" s="1"/>
  <c r="KE65" i="4" a="1"/>
  <c r="KE65" i="4" s="1"/>
  <c r="Z59" i="1" a="1"/>
  <c r="Z59" i="1" s="1"/>
  <c r="Y60" i="1" s="1" a="1"/>
  <c r="Y60" i="1" s="1"/>
  <c r="AB60" i="1" s="1"/>
  <c r="KD60" i="1" s="1"/>
  <c r="PM199" i="1"/>
  <c r="PI185" i="1"/>
  <c r="PJ185" i="1" s="1"/>
  <c r="PK185" i="1" s="1"/>
  <c r="PL185" i="1" s="1"/>
  <c r="PM185" i="1" s="1"/>
  <c r="PN185" i="1" s="1"/>
  <c r="PO185" i="1" s="1"/>
  <c r="PP185" i="1" s="1"/>
  <c r="PM189" i="1"/>
  <c r="BS27" i="1" l="1"/>
  <c r="CK27" i="1" s="1"/>
  <c r="CI27" i="1"/>
  <c r="BR27" i="1"/>
  <c r="CJ27" i="1" s="1"/>
  <c r="CH27" i="1"/>
  <c r="AJ27" i="1" a="1"/>
  <c r="AJ27" i="1" s="1"/>
  <c r="AI28" i="1" s="1" a="1"/>
  <c r="AI28" i="1" s="1"/>
  <c r="BR7" i="1"/>
  <c r="CJ7" i="1" s="1"/>
  <c r="AJ7" i="1" a="1"/>
  <c r="AJ7" i="1" s="1"/>
  <c r="AI8" i="1" s="1" a="1"/>
  <c r="AI8" i="1" s="1"/>
  <c r="CH7" i="1"/>
  <c r="AK17" i="1"/>
  <c r="AL17" i="1"/>
  <c r="BS7" i="1"/>
  <c r="CK7" i="1" s="1"/>
  <c r="CI7" i="1"/>
  <c r="FE40" i="1"/>
  <c r="FF40" i="1"/>
  <c r="FH40" i="1"/>
  <c r="KI532" i="1" a="1"/>
  <c r="KI532" i="1" s="1"/>
  <c r="KJ532" i="1" s="1"/>
  <c r="KK532" i="1" s="1"/>
  <c r="AA65" i="5"/>
  <c r="KC65" i="5" s="1"/>
  <c r="Z65" i="5" s="1" a="1"/>
  <c r="Z65" i="5" s="1"/>
  <c r="Y66" i="5" s="1" a="1"/>
  <c r="Y66" i="5" s="1"/>
  <c r="AB65" i="5"/>
  <c r="KD65" i="5" s="1"/>
  <c r="KJ68" i="5"/>
  <c r="KK68" i="5" s="1"/>
  <c r="KL68" i="5" s="1"/>
  <c r="KM68" i="5" s="1"/>
  <c r="KI69" i="5" a="1"/>
  <c r="KI69" i="5" s="1"/>
  <c r="X67" i="5"/>
  <c r="KI61" i="1" a="1"/>
  <c r="KI61" i="1" s="1"/>
  <c r="KJ61" i="1" s="1"/>
  <c r="KK61" i="1" s="1"/>
  <c r="KI62" i="1" s="1" a="1"/>
  <c r="KI62" i="1" s="1"/>
  <c r="KJ62" i="1" s="1"/>
  <c r="KK62" i="1" s="1"/>
  <c r="AB62" i="4"/>
  <c r="JZ62" i="4" s="1"/>
  <c r="AA62" i="4"/>
  <c r="JY62" i="4" s="1"/>
  <c r="Z62" i="4" s="1" a="1"/>
  <c r="Z62" i="4" s="1"/>
  <c r="Y63" i="4" s="1" a="1"/>
  <c r="Y63" i="4" s="1"/>
  <c r="KF65" i="4"/>
  <c r="KG65" i="4" s="1"/>
  <c r="KE66" i="4" a="1"/>
  <c r="KE66" i="4" s="1"/>
  <c r="X64" i="4"/>
  <c r="AA60" i="1"/>
  <c r="KC60" i="1" s="1"/>
  <c r="Z60" i="1" s="1" a="1"/>
  <c r="Z60" i="1" s="1"/>
  <c r="Y61" i="1" s="1" a="1"/>
  <c r="Y61" i="1" s="1"/>
  <c r="AA61" i="1" s="1"/>
  <c r="KC61" i="1" s="1"/>
  <c r="PH200" i="1" a="1"/>
  <c r="PH200" i="1" s="1"/>
  <c r="PI200" i="1" s="1"/>
  <c r="PJ200" i="1" s="1"/>
  <c r="PK200" i="1" s="1"/>
  <c r="PL200" i="1" s="1"/>
  <c r="PM200" i="1" s="1"/>
  <c r="PN200" i="1" s="1"/>
  <c r="PO200" i="1" s="1"/>
  <c r="PP200" i="1" s="1"/>
  <c r="PH190" i="1" a="1"/>
  <c r="PH190" i="1" s="1"/>
  <c r="X84" i="1"/>
  <c r="BP17" i="1" l="1"/>
  <c r="CF17" i="1"/>
  <c r="AK8" i="1"/>
  <c r="AL8" i="1"/>
  <c r="AK28" i="1"/>
  <c r="AL28" i="1"/>
  <c r="BQ17" i="1"/>
  <c r="CG17" i="1"/>
  <c r="FG40" i="1"/>
  <c r="AJ40" i="1" a="1"/>
  <c r="AJ40" i="1" s="1"/>
  <c r="AI41" i="1" s="1" a="1"/>
  <c r="AI41" i="1" s="1"/>
  <c r="KI533" i="1" a="1"/>
  <c r="KI533" i="1" s="1"/>
  <c r="KJ533" i="1" s="1"/>
  <c r="KK533" i="1" s="1"/>
  <c r="AB66" i="5"/>
  <c r="KD66" i="5" s="1"/>
  <c r="AA66" i="5"/>
  <c r="KC66" i="5" s="1"/>
  <c r="Z66" i="5" s="1" a="1"/>
  <c r="Z66" i="5" s="1"/>
  <c r="Y67" i="5" s="1" a="1"/>
  <c r="Y67" i="5" s="1"/>
  <c r="KJ69" i="5"/>
  <c r="KK69" i="5" s="1"/>
  <c r="KL69" i="5" s="1"/>
  <c r="KI70" i="5" a="1"/>
  <c r="KI70" i="5" s="1"/>
  <c r="X68" i="5"/>
  <c r="AB63" i="4"/>
  <c r="JZ63" i="4" s="1"/>
  <c r="AA63" i="4"/>
  <c r="JY63" i="4" s="1"/>
  <c r="Z63" i="4" s="1" a="1"/>
  <c r="Z63" i="4" s="1"/>
  <c r="X65" i="4"/>
  <c r="Y64" i="4" a="1"/>
  <c r="Y64" i="4" s="1"/>
  <c r="KF66" i="4"/>
  <c r="KG66" i="4" s="1"/>
  <c r="KE67" i="4" a="1"/>
  <c r="KE67" i="4" s="1"/>
  <c r="AB61" i="1"/>
  <c r="KD61" i="1" s="1"/>
  <c r="Z61" i="1" s="1" a="1"/>
  <c r="Z61" i="1" s="1"/>
  <c r="Y62" i="1" s="1" a="1"/>
  <c r="Y62" i="1" s="1"/>
  <c r="AB62" i="1" s="1"/>
  <c r="KD62" i="1" s="1"/>
  <c r="PI190" i="1"/>
  <c r="PJ190" i="1" s="1"/>
  <c r="PK190" i="1" s="1"/>
  <c r="PL190" i="1" s="1"/>
  <c r="PM190" i="1" s="1"/>
  <c r="PN190" i="1" s="1"/>
  <c r="PO190" i="1" s="1"/>
  <c r="PP190" i="1" s="1"/>
  <c r="X85" i="1"/>
  <c r="KI63" i="1" a="1"/>
  <c r="KI63" i="1" s="1"/>
  <c r="BS17" i="1" l="1"/>
  <c r="CK17" i="1" s="1"/>
  <c r="CI17" i="1"/>
  <c r="BQ28" i="1"/>
  <c r="CG28" i="1"/>
  <c r="BP28" i="1"/>
  <c r="CF28" i="1"/>
  <c r="BQ8" i="1"/>
  <c r="CG8" i="1"/>
  <c r="BP8" i="1"/>
  <c r="CF8" i="1"/>
  <c r="BR17" i="1"/>
  <c r="CJ17" i="1" s="1"/>
  <c r="CH17" i="1"/>
  <c r="AJ17" i="1" s="1" a="1"/>
  <c r="AJ17" i="1" s="1"/>
  <c r="AI18" i="1" s="1" a="1"/>
  <c r="AI18" i="1" s="1"/>
  <c r="AL41" i="1"/>
  <c r="EX41" i="1" s="1"/>
  <c r="AK41" i="1"/>
  <c r="EW41" i="1" s="1"/>
  <c r="KI534" i="1" a="1"/>
  <c r="KI534" i="1" s="1"/>
  <c r="KJ534" i="1" s="1"/>
  <c r="KK534" i="1" s="1"/>
  <c r="AB67" i="5"/>
  <c r="KD67" i="5" s="1"/>
  <c r="AA67" i="5"/>
  <c r="KC67" i="5" s="1"/>
  <c r="Z67" i="5" s="1" a="1"/>
  <c r="Z67" i="5" s="1"/>
  <c r="Y68" i="5" s="1" a="1"/>
  <c r="Y68" i="5" s="1"/>
  <c r="X70" i="5"/>
  <c r="Y69" i="5" a="1"/>
  <c r="Y69" i="5" s="1"/>
  <c r="KJ70" i="5"/>
  <c r="KK70" i="5" s="1"/>
  <c r="KL70" i="5" s="1"/>
  <c r="KI71" i="5" a="1"/>
  <c r="KI71" i="5" s="1"/>
  <c r="AA64" i="4"/>
  <c r="JY64" i="4" s="1"/>
  <c r="Z64" i="4" s="1" a="1"/>
  <c r="Z64" i="4" s="1"/>
  <c r="Y65" i="4" s="1" a="1"/>
  <c r="Y65" i="4" s="1"/>
  <c r="AB64" i="4"/>
  <c r="JZ64" i="4" s="1"/>
  <c r="X66" i="4"/>
  <c r="KF67" i="4"/>
  <c r="KG67" i="4" s="1"/>
  <c r="KE68" i="4" a="1"/>
  <c r="KE68" i="4" s="1"/>
  <c r="AA62" i="1"/>
  <c r="KC62" i="1" s="1"/>
  <c r="Z62" i="1" s="1" a="1"/>
  <c r="Z62" i="1" s="1"/>
  <c r="Y63" i="1" s="1" a="1"/>
  <c r="Y63" i="1" s="1"/>
  <c r="KJ63" i="1"/>
  <c r="KK63" i="1" s="1"/>
  <c r="KI64" i="1" s="1" a="1"/>
  <c r="KI64" i="1" s="1"/>
  <c r="X86" i="1"/>
  <c r="AL18" i="1" l="1"/>
  <c r="AK18" i="1"/>
  <c r="BS8" i="1"/>
  <c r="CK8" i="1" s="1"/>
  <c r="CI8" i="1"/>
  <c r="BR28" i="1"/>
  <c r="CJ28" i="1" s="1"/>
  <c r="CH28" i="1"/>
  <c r="AJ28" i="1" a="1"/>
  <c r="AJ28" i="1" s="1"/>
  <c r="AI29" i="1" s="1" a="1"/>
  <c r="AI29" i="1" s="1"/>
  <c r="BS28" i="1"/>
  <c r="CK28" i="1" s="1"/>
  <c r="CI28" i="1"/>
  <c r="BR8" i="1"/>
  <c r="CJ8" i="1" s="1"/>
  <c r="AJ8" i="1" s="1" a="1"/>
  <c r="AJ8" i="1" s="1"/>
  <c r="AI9" i="1" s="1" a="1"/>
  <c r="AI9" i="1" s="1"/>
  <c r="CH8" i="1"/>
  <c r="FE41" i="1"/>
  <c r="FH41" i="1"/>
  <c r="FF41" i="1"/>
  <c r="KI535" i="1" a="1"/>
  <c r="KI535" i="1" s="1"/>
  <c r="AA63" i="1"/>
  <c r="KC63" i="1" s="1"/>
  <c r="AB68" i="5"/>
  <c r="KD68" i="5" s="1"/>
  <c r="AA68" i="5"/>
  <c r="KC68" i="5" s="1"/>
  <c r="Z68" i="5" s="1" a="1"/>
  <c r="Z68" i="5" s="1"/>
  <c r="Y71" i="5" s="1" a="1"/>
  <c r="Y71" i="5" s="1"/>
  <c r="KJ71" i="5"/>
  <c r="KK71" i="5" s="1"/>
  <c r="KI72" i="5" a="1"/>
  <c r="KI72" i="5" s="1"/>
  <c r="X72" i="5"/>
  <c r="AB69" i="5"/>
  <c r="AA69" i="5"/>
  <c r="AB65" i="4"/>
  <c r="JZ65" i="4" s="1"/>
  <c r="AA65" i="4"/>
  <c r="JY65" i="4" s="1"/>
  <c r="Z65" i="4" s="1" a="1"/>
  <c r="Z65" i="4" s="1"/>
  <c r="Y66" i="4" s="1" a="1"/>
  <c r="Y66" i="4" s="1"/>
  <c r="KF68" i="4"/>
  <c r="KG68" i="4" s="1"/>
  <c r="KH68" i="4" s="1"/>
  <c r="KI68" i="4" s="1"/>
  <c r="KE69" i="4" a="1"/>
  <c r="KE69" i="4" s="1"/>
  <c r="X67" i="4"/>
  <c r="AB63" i="1"/>
  <c r="KD63" i="1" s="1"/>
  <c r="Z63" i="1" s="1" a="1"/>
  <c r="Z63" i="1" s="1"/>
  <c r="Y64" i="1" s="1" a="1"/>
  <c r="Y64" i="1" s="1"/>
  <c r="KJ64" i="1"/>
  <c r="X87" i="1"/>
  <c r="AL9" i="1" l="1"/>
  <c r="AK9" i="1"/>
  <c r="AK29" i="1"/>
  <c r="AL29" i="1"/>
  <c r="BP18" i="1"/>
  <c r="CF18" i="1"/>
  <c r="BQ18" i="1"/>
  <c r="CG18" i="1"/>
  <c r="AB64" i="1"/>
  <c r="KD64" i="1" s="1"/>
  <c r="AA64" i="1"/>
  <c r="KC64" i="1" s="1"/>
  <c r="FG41" i="1"/>
  <c r="AJ41" i="1" a="1"/>
  <c r="AJ41" i="1" s="1"/>
  <c r="AI42" i="1" s="1" a="1"/>
  <c r="AI42" i="1" s="1"/>
  <c r="KJ535" i="1"/>
  <c r="KK535" i="1" s="1"/>
  <c r="AB71" i="5"/>
  <c r="KD71" i="5" s="1"/>
  <c r="AA71" i="5"/>
  <c r="KC71" i="5" s="1"/>
  <c r="Z71" i="5" s="1" a="1"/>
  <c r="Z71" i="5" s="1"/>
  <c r="Y72" i="5" s="1" a="1"/>
  <c r="Y72" i="5" s="1"/>
  <c r="KB69" i="5"/>
  <c r="KF69" i="5" s="1"/>
  <c r="KD69" i="5"/>
  <c r="X73" i="5"/>
  <c r="KJ72" i="5"/>
  <c r="KK72" i="5" s="1"/>
  <c r="KI73" i="5" a="1"/>
  <c r="KI73" i="5" s="1"/>
  <c r="KC69" i="5"/>
  <c r="KA69" i="5"/>
  <c r="AB66" i="4"/>
  <c r="JZ66" i="4" s="1"/>
  <c r="AA66" i="4"/>
  <c r="JY66" i="4" s="1"/>
  <c r="Z66" i="4" s="1" a="1"/>
  <c r="Z66" i="4" s="1"/>
  <c r="Y67" i="4" s="1" a="1"/>
  <c r="Y67" i="4" s="1"/>
  <c r="KF69" i="4"/>
  <c r="KG69" i="4" s="1"/>
  <c r="KH69" i="4" s="1"/>
  <c r="KE70" i="4" a="1"/>
  <c r="KE70" i="4" s="1"/>
  <c r="X68" i="4"/>
  <c r="KK64" i="1"/>
  <c r="Z64" i="1" s="1" a="1"/>
  <c r="Z64" i="1" s="1"/>
  <c r="Y65" i="1" s="1" a="1"/>
  <c r="Y65" i="1" s="1"/>
  <c r="X88" i="1"/>
  <c r="KI536" i="1" l="1" a="1"/>
  <c r="KI536" i="1" s="1"/>
  <c r="KJ536" i="1" s="1"/>
  <c r="KK536" i="1" s="1"/>
  <c r="BS18" i="1"/>
  <c r="CK18" i="1" s="1"/>
  <c r="CI18" i="1"/>
  <c r="BR18" i="1"/>
  <c r="CJ18" i="1" s="1"/>
  <c r="CH18" i="1"/>
  <c r="AJ18" i="1" a="1"/>
  <c r="AJ18" i="1" s="1"/>
  <c r="AI19" i="1" s="1" a="1"/>
  <c r="AI19" i="1" s="1"/>
  <c r="BQ29" i="1"/>
  <c r="CG29" i="1"/>
  <c r="BP29" i="1"/>
  <c r="CF29" i="1"/>
  <c r="BP9" i="1"/>
  <c r="CF9" i="1"/>
  <c r="BQ9" i="1"/>
  <c r="CG9" i="1"/>
  <c r="AL42" i="1"/>
  <c r="EX42" i="1" s="1"/>
  <c r="AK42" i="1"/>
  <c r="EW42" i="1" s="1"/>
  <c r="KI65" i="1" a="1"/>
  <c r="KI65" i="1" s="1"/>
  <c r="KJ65" i="1" s="1"/>
  <c r="AB72" i="5"/>
  <c r="KD72" i="5" s="1"/>
  <c r="AA72" i="5"/>
  <c r="KC72" i="5" s="1"/>
  <c r="Z72" i="5" s="1" a="1"/>
  <c r="Z72" i="5" s="1"/>
  <c r="Y73" i="5" s="1" a="1"/>
  <c r="Y73" i="5" s="1"/>
  <c r="X74" i="5"/>
  <c r="KE69" i="5"/>
  <c r="Z69" i="5" a="1"/>
  <c r="Z69" i="5" s="1"/>
  <c r="Y70" i="5" s="1" a="1"/>
  <c r="Y70" i="5" s="1"/>
  <c r="KJ73" i="5"/>
  <c r="KK73" i="5" s="1"/>
  <c r="KI74" i="5" a="1"/>
  <c r="KI74" i="5" s="1"/>
  <c r="AA67" i="4"/>
  <c r="JY67" i="4" s="1"/>
  <c r="Z67" i="4" s="1" a="1"/>
  <c r="Z67" i="4" s="1"/>
  <c r="Y68" i="4" s="1" a="1"/>
  <c r="Y68" i="4" s="1"/>
  <c r="AB67" i="4"/>
  <c r="JZ67" i="4" s="1"/>
  <c r="Y69" i="4" a="1"/>
  <c r="Y69" i="4" s="1"/>
  <c r="X70" i="4"/>
  <c r="KF70" i="4"/>
  <c r="KG70" i="4" s="1"/>
  <c r="KH70" i="4" s="1"/>
  <c r="KE71" i="4" a="1"/>
  <c r="KE71" i="4" s="1"/>
  <c r="AA65" i="1"/>
  <c r="KC65" i="1" s="1"/>
  <c r="AB65" i="1"/>
  <c r="KD65" i="1" s="1"/>
  <c r="KI537" i="1" l="1" a="1"/>
  <c r="KI537" i="1" s="1"/>
  <c r="KJ537" i="1" s="1"/>
  <c r="KK537" i="1" s="1"/>
  <c r="BS9" i="1"/>
  <c r="CK9" i="1" s="1"/>
  <c r="CI9" i="1"/>
  <c r="BR9" i="1"/>
  <c r="CJ9" i="1" s="1"/>
  <c r="CH9" i="1"/>
  <c r="AJ9" i="1" a="1"/>
  <c r="AJ9" i="1" s="1"/>
  <c r="AI10" i="1" s="1" a="1"/>
  <c r="AI10" i="1" s="1"/>
  <c r="BR29" i="1"/>
  <c r="CJ29" i="1" s="1"/>
  <c r="CH29" i="1"/>
  <c r="AJ29" i="1" a="1"/>
  <c r="AJ29" i="1" s="1"/>
  <c r="AI30" i="1" s="1" a="1"/>
  <c r="AI30" i="1" s="1"/>
  <c r="BS29" i="1"/>
  <c r="CK29" i="1" s="1"/>
  <c r="CI29" i="1"/>
  <c r="AK19" i="1"/>
  <c r="AL19" i="1"/>
  <c r="FE42" i="1"/>
  <c r="FF42" i="1"/>
  <c r="FH42" i="1"/>
  <c r="AA73" i="5"/>
  <c r="KC73" i="5" s="1"/>
  <c r="Z73" i="5" s="1" a="1"/>
  <c r="Z73" i="5" s="1"/>
  <c r="AB73" i="5"/>
  <c r="KD73" i="5" s="1"/>
  <c r="KJ74" i="5"/>
  <c r="KK74" i="5" s="1"/>
  <c r="KI75" i="5" a="1"/>
  <c r="KI75" i="5" s="1"/>
  <c r="X75" i="5"/>
  <c r="Y74" i="5" a="1"/>
  <c r="Y74" i="5" s="1"/>
  <c r="AB70" i="5"/>
  <c r="AA70" i="5"/>
  <c r="AB68" i="4"/>
  <c r="JZ68" i="4" s="1"/>
  <c r="AA68" i="4"/>
  <c r="JY68" i="4" s="1"/>
  <c r="Z68" i="4" s="1" a="1"/>
  <c r="Z68" i="4" s="1"/>
  <c r="Y71" i="4" s="1" a="1"/>
  <c r="Y71" i="4" s="1"/>
  <c r="KF71" i="4"/>
  <c r="KG71" i="4" s="1"/>
  <c r="KE72" i="4" a="1"/>
  <c r="KE72" i="4" s="1"/>
  <c r="AB69" i="4"/>
  <c r="AA69" i="4"/>
  <c r="X72" i="4"/>
  <c r="Z65" i="1" a="1"/>
  <c r="Z65" i="1" s="1"/>
  <c r="Y66" i="1" s="1" a="1"/>
  <c r="Y66" i="1" s="1"/>
  <c r="KK65" i="1"/>
  <c r="KI66" i="1" a="1"/>
  <c r="KI66" i="1" s="1"/>
  <c r="X90" i="1"/>
  <c r="X91" i="1" s="1"/>
  <c r="KI538" i="1" l="1" a="1"/>
  <c r="KI538" i="1" s="1"/>
  <c r="KJ538" i="1" s="1"/>
  <c r="KK538" i="1" s="1"/>
  <c r="BQ19" i="1"/>
  <c r="CG19" i="1"/>
  <c r="BP19" i="1"/>
  <c r="CF19" i="1"/>
  <c r="AL30" i="1"/>
  <c r="AK30" i="1"/>
  <c r="AL10" i="1"/>
  <c r="AK10" i="1"/>
  <c r="FG42" i="1"/>
  <c r="AJ42" i="1" a="1"/>
  <c r="AJ42" i="1" s="1"/>
  <c r="AB74" i="5"/>
  <c r="KD74" i="5" s="1"/>
  <c r="AA74" i="5"/>
  <c r="KC74" i="5" s="1"/>
  <c r="Z74" i="5" s="1" a="1"/>
  <c r="Z74" i="5" s="1"/>
  <c r="Y75" i="5" s="1" a="1"/>
  <c r="Y75" i="5" s="1"/>
  <c r="X76" i="5"/>
  <c r="KJ75" i="5"/>
  <c r="KK75" i="5" s="1"/>
  <c r="KI76" i="5" a="1"/>
  <c r="KI76" i="5" s="1"/>
  <c r="KA70" i="5"/>
  <c r="KC70" i="5"/>
  <c r="KB70" i="5"/>
  <c r="KF70" i="5" s="1"/>
  <c r="KD70" i="5"/>
  <c r="AB71" i="4"/>
  <c r="JZ71" i="4" s="1"/>
  <c r="AA71" i="4"/>
  <c r="JY71" i="4" s="1"/>
  <c r="Z71" i="4" s="1" a="1"/>
  <c r="Z71" i="4" s="1"/>
  <c r="Y72" i="4" s="1" a="1"/>
  <c r="Y72" i="4" s="1"/>
  <c r="JY69" i="4"/>
  <c r="JW69" i="4"/>
  <c r="JX69" i="4"/>
  <c r="KB69" i="4" s="1"/>
  <c r="JZ69" i="4"/>
  <c r="KF72" i="4"/>
  <c r="KG72" i="4" s="1"/>
  <c r="KE73" i="4" a="1"/>
  <c r="KE73" i="4" s="1"/>
  <c r="X73" i="4"/>
  <c r="AA66" i="1"/>
  <c r="KC66" i="1" s="1"/>
  <c r="AB66" i="1"/>
  <c r="KD66" i="1" s="1"/>
  <c r="Z66" i="1" s="1" a="1"/>
  <c r="Z66" i="1" s="1"/>
  <c r="Y67" i="1" s="1" a="1"/>
  <c r="Y67" i="1" s="1"/>
  <c r="KJ66" i="1"/>
  <c r="KK66" i="1" s="1"/>
  <c r="KI539" i="1" l="1" a="1"/>
  <c r="KI539" i="1" s="1"/>
  <c r="KJ539" i="1" s="1"/>
  <c r="KK539" i="1" s="1"/>
  <c r="BQ10" i="1"/>
  <c r="CG10" i="1"/>
  <c r="BP30" i="1"/>
  <c r="CF30" i="1"/>
  <c r="BP10" i="1"/>
  <c r="CF10" i="1"/>
  <c r="BQ30" i="1"/>
  <c r="CG30" i="1"/>
  <c r="BR19" i="1"/>
  <c r="CJ19" i="1" s="1"/>
  <c r="CH19" i="1"/>
  <c r="AJ19" i="1" a="1"/>
  <c r="AJ19" i="1" s="1"/>
  <c r="AI20" i="1" s="1" a="1"/>
  <c r="AI20" i="1" s="1"/>
  <c r="BS19" i="1"/>
  <c r="CK19" i="1" s="1"/>
  <c r="CI19" i="1"/>
  <c r="AB75" i="5"/>
  <c r="KD75" i="5" s="1"/>
  <c r="AA75" i="5"/>
  <c r="KC75" i="5" s="1"/>
  <c r="Z75" i="5" s="1" a="1"/>
  <c r="Z75" i="5" s="1"/>
  <c r="Y76" i="5" s="1" a="1"/>
  <c r="Y76" i="5" s="1"/>
  <c r="KJ76" i="5"/>
  <c r="KK76" i="5" s="1"/>
  <c r="KL76" i="5" s="1"/>
  <c r="KM76" i="5" s="1"/>
  <c r="KI77" i="5" a="1"/>
  <c r="KI77" i="5" s="1"/>
  <c r="X77" i="5"/>
  <c r="Z70" i="5" a="1"/>
  <c r="Z70" i="5" s="1"/>
  <c r="KE70" i="5"/>
  <c r="KI67" i="1" a="1"/>
  <c r="KI67" i="1" s="1"/>
  <c r="KJ67" i="1" s="1"/>
  <c r="KK67" i="1" s="1"/>
  <c r="KI68" i="1" s="1" a="1"/>
  <c r="KI68" i="1" s="1"/>
  <c r="AB72" i="4"/>
  <c r="JZ72" i="4" s="1"/>
  <c r="AA72" i="4"/>
  <c r="JY72" i="4" s="1"/>
  <c r="Z72" i="4" s="1" a="1"/>
  <c r="Z72" i="4" s="1"/>
  <c r="Y73" i="4" s="1" a="1"/>
  <c r="Y73" i="4" s="1"/>
  <c r="KA69" i="4"/>
  <c r="Z69" i="4" a="1"/>
  <c r="Z69" i="4" s="1"/>
  <c r="Y70" i="4" s="1" a="1"/>
  <c r="Y70" i="4" s="1"/>
  <c r="X74" i="4"/>
  <c r="KF73" i="4"/>
  <c r="KG73" i="4" s="1"/>
  <c r="KE74" i="4" a="1"/>
  <c r="KE74" i="4" s="1"/>
  <c r="AA67" i="1"/>
  <c r="AB67" i="1"/>
  <c r="KD67" i="1" s="1"/>
  <c r="KI546" i="1" l="1" a="1"/>
  <c r="KI546" i="1" s="1"/>
  <c r="KJ546" i="1" s="1"/>
  <c r="KK546" i="1" s="1"/>
  <c r="BS30" i="1"/>
  <c r="CK30" i="1" s="1"/>
  <c r="CI30" i="1"/>
  <c r="AK20" i="1"/>
  <c r="AL20" i="1"/>
  <c r="BR10" i="1"/>
  <c r="CJ10" i="1" s="1"/>
  <c r="AJ10" i="1" a="1"/>
  <c r="AJ10" i="1" s="1"/>
  <c r="AI11" i="1" s="1" a="1"/>
  <c r="AI11" i="1" s="1"/>
  <c r="CH10" i="1"/>
  <c r="BR30" i="1"/>
  <c r="CJ30" i="1" s="1"/>
  <c r="CH30" i="1"/>
  <c r="AJ30" i="1" a="1"/>
  <c r="AJ30" i="1" s="1"/>
  <c r="AI31" i="1" s="1" a="1"/>
  <c r="AI31" i="1" s="1"/>
  <c r="BS10" i="1"/>
  <c r="CK10" i="1" s="1"/>
  <c r="CI10" i="1"/>
  <c r="AB76" i="5"/>
  <c r="KD76" i="5" s="1"/>
  <c r="AA76" i="5"/>
  <c r="KC76" i="5" s="1"/>
  <c r="Z76" i="5" s="1" a="1"/>
  <c r="Z76" i="5" s="1"/>
  <c r="Y77" i="5" s="1" a="1"/>
  <c r="Y77" i="5" s="1"/>
  <c r="X78" i="5"/>
  <c r="KJ77" i="5"/>
  <c r="KK77" i="5" s="1"/>
  <c r="KI78" i="5" a="1"/>
  <c r="KI78" i="5" s="1"/>
  <c r="AA73" i="4"/>
  <c r="JY73" i="4" s="1"/>
  <c r="Z73" i="4" s="1" a="1"/>
  <c r="Z73" i="4" s="1"/>
  <c r="AB73" i="4"/>
  <c r="JZ73" i="4" s="1"/>
  <c r="KF74" i="4"/>
  <c r="KG74" i="4" s="1"/>
  <c r="KE75" i="4" a="1"/>
  <c r="KE75" i="4" s="1"/>
  <c r="AB70" i="4"/>
  <c r="AA70" i="4"/>
  <c r="Y74" i="4" a="1"/>
  <c r="Y74" i="4" s="1"/>
  <c r="X75" i="4"/>
  <c r="KC67" i="1"/>
  <c r="Z67" i="1" s="1" a="1"/>
  <c r="Z67" i="1" s="1"/>
  <c r="Y68" i="1" s="1" a="1"/>
  <c r="Y68" i="1" s="1"/>
  <c r="AB68" i="1" s="1"/>
  <c r="KJ68" i="1"/>
  <c r="KK68" i="1" s="1"/>
  <c r="KL68" i="1" s="1"/>
  <c r="KM68" i="1" s="1"/>
  <c r="X93" i="1"/>
  <c r="AK31" i="1" l="1"/>
  <c r="AL31" i="1"/>
  <c r="AK11" i="1"/>
  <c r="AL11" i="1"/>
  <c r="BQ20" i="1"/>
  <c r="CG20" i="1"/>
  <c r="BP20" i="1"/>
  <c r="CF20" i="1"/>
  <c r="KI547" i="1" a="1"/>
  <c r="KI547" i="1" s="1"/>
  <c r="KJ547" i="1" s="1"/>
  <c r="KK547" i="1" s="1"/>
  <c r="Z546" i="1" a="1"/>
  <c r="Z546" i="1" s="1"/>
  <c r="Y547" i="1" s="1" a="1"/>
  <c r="Y547" i="1" s="1"/>
  <c r="AA547" i="1" s="1"/>
  <c r="Z547" i="1" s="1" a="1"/>
  <c r="Z547" i="1" s="1"/>
  <c r="KI548" i="1" a="1"/>
  <c r="KI548" i="1" s="1"/>
  <c r="AB77" i="5"/>
  <c r="KD77" i="5" s="1"/>
  <c r="AA77" i="5"/>
  <c r="KC77" i="5" s="1"/>
  <c r="Z77" i="5" s="1" a="1"/>
  <c r="Z77" i="5" s="1"/>
  <c r="Y78" i="5" s="1" a="1"/>
  <c r="Y78" i="5" s="1"/>
  <c r="KJ78" i="5"/>
  <c r="KK78" i="5" s="1"/>
  <c r="KI79" i="5" a="1"/>
  <c r="KI79" i="5" s="1"/>
  <c r="X79" i="5"/>
  <c r="KF75" i="4"/>
  <c r="KG75" i="4" s="1"/>
  <c r="KE76" i="4" a="1"/>
  <c r="KE76" i="4" s="1"/>
  <c r="X76" i="4"/>
  <c r="JW70" i="4"/>
  <c r="JY70" i="4"/>
  <c r="JX70" i="4"/>
  <c r="KB70" i="4" s="1"/>
  <c r="JZ70" i="4"/>
  <c r="AB74" i="4"/>
  <c r="JZ74" i="4" s="1"/>
  <c r="AA74" i="4"/>
  <c r="JY74" i="4" s="1"/>
  <c r="Z74" i="4" s="1" a="1"/>
  <c r="Z74" i="4" s="1"/>
  <c r="Y75" i="4" s="1" a="1"/>
  <c r="Y75" i="4" s="1"/>
  <c r="AA68" i="1"/>
  <c r="KC68" i="1" s="1"/>
  <c r="KI69" i="1" a="1"/>
  <c r="KI69" i="1" s="1"/>
  <c r="KJ69" i="1" s="1"/>
  <c r="X94" i="1"/>
  <c r="BR20" i="1" l="1"/>
  <c r="CJ20" i="1" s="1"/>
  <c r="CH20" i="1"/>
  <c r="AJ20" i="1" a="1"/>
  <c r="AJ20" i="1" s="1"/>
  <c r="AI21" i="1" s="1" a="1"/>
  <c r="AI21" i="1" s="1"/>
  <c r="BS20" i="1"/>
  <c r="CK20" i="1" s="1"/>
  <c r="CI20" i="1"/>
  <c r="BQ11" i="1"/>
  <c r="CG11" i="1"/>
  <c r="BP11" i="1"/>
  <c r="CF11" i="1"/>
  <c r="BQ31" i="1"/>
  <c r="CG31" i="1"/>
  <c r="BP31" i="1"/>
  <c r="CF31" i="1"/>
  <c r="AB547" i="1"/>
  <c r="KJ548" i="1"/>
  <c r="KK548" i="1" s="1"/>
  <c r="KL548" i="1" s="1"/>
  <c r="KM548" i="1" s="1"/>
  <c r="ADF549" i="1" s="1"/>
  <c r="ADG549" i="1" s="1"/>
  <c r="ADH549" i="1" s="1"/>
  <c r="ADI549" i="1" s="1"/>
  <c r="AB78" i="5"/>
  <c r="KD78" i="5" s="1"/>
  <c r="AA78" i="5"/>
  <c r="KC78" i="5" s="1"/>
  <c r="Z78" i="5" s="1" a="1"/>
  <c r="Z78" i="5" s="1"/>
  <c r="Y79" i="5" s="1" a="1"/>
  <c r="Y79" i="5" s="1"/>
  <c r="KJ79" i="5"/>
  <c r="KK79" i="5" s="1"/>
  <c r="KI80" i="5" a="1"/>
  <c r="KI80" i="5" s="1"/>
  <c r="X80" i="5"/>
  <c r="AB75" i="4"/>
  <c r="JZ75" i="4" s="1"/>
  <c r="AA75" i="4"/>
  <c r="JY75" i="4" s="1"/>
  <c r="Z75" i="4" s="1" a="1"/>
  <c r="Z75" i="4" s="1"/>
  <c r="Y76" i="4" s="1" a="1"/>
  <c r="Y76" i="4" s="1"/>
  <c r="X77" i="4"/>
  <c r="Z70" i="4" a="1"/>
  <c r="Z70" i="4" s="1"/>
  <c r="KA70" i="4"/>
  <c r="KF76" i="4"/>
  <c r="KG76" i="4" s="1"/>
  <c r="KH76" i="4" s="1"/>
  <c r="KI76" i="4" s="1"/>
  <c r="KE77" i="4" a="1"/>
  <c r="KE77" i="4" s="1"/>
  <c r="KK69" i="1"/>
  <c r="KL69" i="1" s="1"/>
  <c r="KI70" i="1" s="1" a="1"/>
  <c r="KI70" i="1" s="1"/>
  <c r="KJ70" i="1" s="1"/>
  <c r="KK70" i="1" s="1"/>
  <c r="KL70" i="1" s="1"/>
  <c r="KD68" i="1"/>
  <c r="Z68" i="1" s="1" a="1"/>
  <c r="Z68" i="1" s="1"/>
  <c r="Y71" i="1" s="1" a="1"/>
  <c r="Y71" i="1" s="1"/>
  <c r="Z69" i="1" a="1"/>
  <c r="Z69" i="1" s="1"/>
  <c r="Y70" i="1" s="1" a="1"/>
  <c r="Y70" i="1" s="1"/>
  <c r="X95" i="1"/>
  <c r="BR31" i="1" l="1"/>
  <c r="CJ31" i="1" s="1"/>
  <c r="CH31" i="1"/>
  <c r="AJ31" i="1" a="1"/>
  <c r="AJ31" i="1" s="1"/>
  <c r="BS31" i="1"/>
  <c r="CK31" i="1" s="1"/>
  <c r="CI31" i="1"/>
  <c r="BR11" i="1"/>
  <c r="CJ11" i="1" s="1"/>
  <c r="AJ11" i="1" a="1"/>
  <c r="AJ11" i="1" s="1"/>
  <c r="CH11" i="1"/>
  <c r="BS11" i="1"/>
  <c r="CK11" i="1" s="1"/>
  <c r="CI11" i="1"/>
  <c r="AL21" i="1"/>
  <c r="AK21" i="1"/>
  <c r="Z549" i="1" a="1"/>
  <c r="Z549" i="1" s="1"/>
  <c r="AA79" i="5"/>
  <c r="KC79" i="5" s="1"/>
  <c r="Z79" i="5" s="1" a="1"/>
  <c r="Z79" i="5" s="1"/>
  <c r="Y80" i="5" s="1" a="1"/>
  <c r="Y80" i="5" s="1"/>
  <c r="AB79" i="5"/>
  <c r="KD79" i="5" s="1"/>
  <c r="X81" i="5"/>
  <c r="KJ80" i="5"/>
  <c r="KK80" i="5" s="1"/>
  <c r="KI81" i="5" a="1"/>
  <c r="KI81" i="5" s="1"/>
  <c r="AB76" i="4"/>
  <c r="JZ76" i="4" s="1"/>
  <c r="AA76" i="4"/>
  <c r="JY76" i="4" s="1"/>
  <c r="Z76" i="4" s="1" a="1"/>
  <c r="Z76" i="4" s="1"/>
  <c r="Y77" i="4" s="1" a="1"/>
  <c r="Y77" i="4" s="1"/>
  <c r="X78" i="4"/>
  <c r="KF77" i="4"/>
  <c r="KG77" i="4" s="1"/>
  <c r="KE78" i="4" a="1"/>
  <c r="KE78" i="4" s="1"/>
  <c r="AA70" i="1"/>
  <c r="AB70" i="1"/>
  <c r="AB71" i="1"/>
  <c r="KD71" i="1" s="1"/>
  <c r="AA71" i="1"/>
  <c r="KC71" i="1" s="1"/>
  <c r="KI71" i="1" a="1"/>
  <c r="KI71" i="1" s="1"/>
  <c r="KJ71" i="1" s="1"/>
  <c r="X96" i="1"/>
  <c r="BP21" i="1" l="1"/>
  <c r="CF21" i="1"/>
  <c r="BQ21" i="1"/>
  <c r="CG21" i="1"/>
  <c r="AB80" i="5"/>
  <c r="KD80" i="5" s="1"/>
  <c r="AA80" i="5"/>
  <c r="KC80" i="5" s="1"/>
  <c r="Z80" i="5" s="1" a="1"/>
  <c r="Z80" i="5" s="1"/>
  <c r="Y81" i="5" s="1" a="1"/>
  <c r="Y81" i="5" s="1"/>
  <c r="X82" i="5"/>
  <c r="KJ81" i="5"/>
  <c r="KK81" i="5" s="1"/>
  <c r="KI82" i="5" a="1"/>
  <c r="KI82" i="5" s="1"/>
  <c r="AB77" i="4"/>
  <c r="JZ77" i="4" s="1"/>
  <c r="AA77" i="4"/>
  <c r="JY77" i="4" s="1"/>
  <c r="Z77" i="4" s="1" a="1"/>
  <c r="Z77" i="4" s="1"/>
  <c r="Y78" i="4" s="1" a="1"/>
  <c r="Y78" i="4" s="1"/>
  <c r="KF78" i="4"/>
  <c r="KG78" i="4" s="1"/>
  <c r="KE79" i="4" a="1"/>
  <c r="KE79" i="4" s="1"/>
  <c r="X79" i="4"/>
  <c r="KB70" i="1"/>
  <c r="KF70" i="1" s="1"/>
  <c r="KD70" i="1"/>
  <c r="KC70" i="1"/>
  <c r="KA70" i="1"/>
  <c r="KK71" i="1"/>
  <c r="Z71" i="1" a="1"/>
  <c r="Z71" i="1" s="1"/>
  <c r="Y72" i="1" s="1" a="1"/>
  <c r="Y72" i="1" s="1"/>
  <c r="KI72" i="1" a="1"/>
  <c r="KI72" i="1" s="1"/>
  <c r="KJ72" i="1" s="1"/>
  <c r="X97" i="1"/>
  <c r="BS21" i="1" l="1"/>
  <c r="CK21" i="1" s="1"/>
  <c r="AJ21" i="1" s="1" a="1"/>
  <c r="AJ21" i="1" s="1"/>
  <c r="CI21" i="1"/>
  <c r="BR21" i="1"/>
  <c r="CJ21" i="1" s="1"/>
  <c r="CH21" i="1"/>
  <c r="AB81" i="5"/>
  <c r="KD81" i="5" s="1"/>
  <c r="AA81" i="5"/>
  <c r="KC81" i="5" s="1"/>
  <c r="Z81" i="5" s="1" a="1"/>
  <c r="Z81" i="5" s="1"/>
  <c r="KJ82" i="5"/>
  <c r="KK82" i="5" s="1"/>
  <c r="KI83" i="5" a="1"/>
  <c r="KI83" i="5" s="1"/>
  <c r="Y82" i="5" a="1"/>
  <c r="Y82" i="5" s="1"/>
  <c r="X83" i="5"/>
  <c r="AB78" i="4"/>
  <c r="JZ78" i="4" s="1"/>
  <c r="AA78" i="4"/>
  <c r="JY78" i="4" s="1"/>
  <c r="Z78" i="4" s="1" a="1"/>
  <c r="Z78" i="4" s="1"/>
  <c r="Y79" i="4" s="1" a="1"/>
  <c r="Y79" i="4" s="1"/>
  <c r="KF79" i="4"/>
  <c r="KG79" i="4" s="1"/>
  <c r="KE80" i="4" a="1"/>
  <c r="KE80" i="4" s="1"/>
  <c r="X80" i="4"/>
  <c r="KE70" i="1"/>
  <c r="Z70" i="1" a="1"/>
  <c r="Z70" i="1" s="1"/>
  <c r="AB72" i="1"/>
  <c r="KD72" i="1" s="1"/>
  <c r="AA72" i="1"/>
  <c r="KC72" i="1" s="1"/>
  <c r="KK72" i="1"/>
  <c r="KI73" i="1" s="1" a="1"/>
  <c r="KI73" i="1" s="1"/>
  <c r="KJ73" i="1" s="1"/>
  <c r="X98" i="1"/>
  <c r="X84" i="5" l="1"/>
  <c r="KJ83" i="5"/>
  <c r="KK83" i="5" s="1"/>
  <c r="KI84" i="5" a="1"/>
  <c r="KI84" i="5" s="1"/>
  <c r="AB82" i="5"/>
  <c r="KD82" i="5" s="1"/>
  <c r="AA82" i="5"/>
  <c r="KC82" i="5" s="1"/>
  <c r="Z82" i="5" s="1" a="1"/>
  <c r="Z82" i="5" s="1"/>
  <c r="Y83" i="5" s="1" a="1"/>
  <c r="Y83" i="5" s="1"/>
  <c r="AA79" i="4"/>
  <c r="JY79" i="4" s="1"/>
  <c r="Z79" i="4" s="1" a="1"/>
  <c r="Z79" i="4" s="1"/>
  <c r="Y80" i="4" s="1" a="1"/>
  <c r="Y80" i="4" s="1"/>
  <c r="AB79" i="4"/>
  <c r="JZ79" i="4" s="1"/>
  <c r="X81" i="4"/>
  <c r="KF80" i="4"/>
  <c r="KG80" i="4" s="1"/>
  <c r="KE81" i="4" a="1"/>
  <c r="KE81" i="4" s="1"/>
  <c r="Z72" i="1" a="1"/>
  <c r="Z72" i="1" s="1"/>
  <c r="Y73" i="1" s="1" a="1"/>
  <c r="Y73" i="1" s="1"/>
  <c r="KK73" i="1"/>
  <c r="KI74" i="1" s="1" a="1"/>
  <c r="KI74" i="1" s="1"/>
  <c r="KJ74" i="1" s="1"/>
  <c r="KK74" i="1" s="1"/>
  <c r="X99" i="1"/>
  <c r="AB73" i="1" l="1"/>
  <c r="KD73" i="1" s="1"/>
  <c r="AB83" i="5"/>
  <c r="KD83" i="5" s="1"/>
  <c r="AA83" i="5"/>
  <c r="KC83" i="5" s="1"/>
  <c r="Z83" i="5" s="1" a="1"/>
  <c r="Z83" i="5" s="1"/>
  <c r="Y84" i="5" s="1" a="1"/>
  <c r="Y84" i="5" s="1"/>
  <c r="KJ84" i="5"/>
  <c r="KK84" i="5" s="1"/>
  <c r="KI85" i="5" a="1"/>
  <c r="KI85" i="5" s="1"/>
  <c r="X85" i="5"/>
  <c r="AB80" i="4"/>
  <c r="JZ80" i="4" s="1"/>
  <c r="AA80" i="4"/>
  <c r="JY80" i="4" s="1"/>
  <c r="Z80" i="4" s="1" a="1"/>
  <c r="Z80" i="4" s="1"/>
  <c r="Y81" i="4" s="1" a="1"/>
  <c r="Y81" i="4" s="1"/>
  <c r="X82" i="4"/>
  <c r="KF81" i="4"/>
  <c r="KG81" i="4" s="1"/>
  <c r="KE82" i="4" a="1"/>
  <c r="KE82" i="4" s="1"/>
  <c r="AA73" i="1"/>
  <c r="KC73" i="1" s="1"/>
  <c r="Z73" i="1" s="1" a="1"/>
  <c r="Z73" i="1" s="1"/>
  <c r="Y74" i="1" s="1" a="1"/>
  <c r="Y74" i="1" s="1"/>
  <c r="KI75" i="1" a="1"/>
  <c r="KI75" i="1" s="1"/>
  <c r="KJ75" i="1" s="1"/>
  <c r="KK75" i="1" s="1"/>
  <c r="X100" i="1"/>
  <c r="AB74" i="1" l="1"/>
  <c r="KD74" i="1" s="1"/>
  <c r="AA74" i="1"/>
  <c r="KC74" i="1" s="1"/>
  <c r="Z74" i="1" s="1" a="1"/>
  <c r="Z74" i="1" s="1"/>
  <c r="Y75" i="1" s="1" a="1"/>
  <c r="Y75" i="1" s="1"/>
  <c r="AA75" i="1" s="1"/>
  <c r="AB84" i="5"/>
  <c r="KD84" i="5" s="1"/>
  <c r="AA84" i="5"/>
  <c r="KC84" i="5" s="1"/>
  <c r="Z84" i="5" s="1" a="1"/>
  <c r="Z84" i="5" s="1"/>
  <c r="Y85" i="5" s="1" a="1"/>
  <c r="Y85" i="5" s="1"/>
  <c r="X86" i="5"/>
  <c r="KJ85" i="5"/>
  <c r="KK85" i="5" s="1"/>
  <c r="KI86" i="5" a="1"/>
  <c r="KI86" i="5" s="1"/>
  <c r="AB81" i="4"/>
  <c r="JZ81" i="4" s="1"/>
  <c r="AA81" i="4"/>
  <c r="JY81" i="4" s="1"/>
  <c r="Z81" i="4" s="1" a="1"/>
  <c r="Z81" i="4" s="1"/>
  <c r="KF82" i="4"/>
  <c r="KG82" i="4" s="1"/>
  <c r="KE83" i="4" a="1"/>
  <c r="KE83" i="4" s="1"/>
  <c r="X83" i="4"/>
  <c r="Y82" i="4" a="1"/>
  <c r="Y82" i="4" s="1"/>
  <c r="KI76" i="1" a="1"/>
  <c r="KI76" i="1" s="1"/>
  <c r="KJ76" i="1" s="1"/>
  <c r="KK76" i="1" s="1"/>
  <c r="KL76" i="1" s="1"/>
  <c r="KM76" i="1" s="1"/>
  <c r="X101" i="1"/>
  <c r="AB75" i="1" l="1"/>
  <c r="KD75" i="1" s="1"/>
  <c r="AA85" i="5"/>
  <c r="KC85" i="5" s="1"/>
  <c r="Z85" i="5" s="1" a="1"/>
  <c r="Z85" i="5" s="1"/>
  <c r="Y86" i="5" s="1" a="1"/>
  <c r="Y86" i="5" s="1"/>
  <c r="AB85" i="5"/>
  <c r="KD85" i="5" s="1"/>
  <c r="KJ86" i="5"/>
  <c r="KK86" i="5" s="1"/>
  <c r="KI87" i="5" a="1"/>
  <c r="KI87" i="5" s="1"/>
  <c r="X87" i="5"/>
  <c r="AA82" i="4"/>
  <c r="JY82" i="4" s="1"/>
  <c r="Z82" i="4" s="1" a="1"/>
  <c r="Z82" i="4" s="1"/>
  <c r="Y83" i="4" s="1" a="1"/>
  <c r="Y83" i="4" s="1"/>
  <c r="AB82" i="4"/>
  <c r="JZ82" i="4" s="1"/>
  <c r="KF83" i="4"/>
  <c r="KG83" i="4" s="1"/>
  <c r="KE84" i="4" a="1"/>
  <c r="KE84" i="4" s="1"/>
  <c r="X84" i="4"/>
  <c r="KC75" i="1"/>
  <c r="KI77" i="1" a="1"/>
  <c r="KI77" i="1" s="1"/>
  <c r="KJ77" i="1" s="1"/>
  <c r="KK77" i="1" s="1"/>
  <c r="X102" i="1"/>
  <c r="Z75" i="1" l="1" a="1"/>
  <c r="Z75" i="1" s="1"/>
  <c r="Y76" i="1" s="1" a="1"/>
  <c r="Y76" i="1" s="1"/>
  <c r="AA76" i="1" s="1"/>
  <c r="KC76" i="1" s="1"/>
  <c r="AA86" i="5"/>
  <c r="KC86" i="5" s="1"/>
  <c r="Z86" i="5" s="1" a="1"/>
  <c r="Z86" i="5" s="1"/>
  <c r="Y87" i="5" s="1" a="1"/>
  <c r="Y87" i="5" s="1"/>
  <c r="AB86" i="5"/>
  <c r="KD86" i="5" s="1"/>
  <c r="X88" i="5"/>
  <c r="KJ87" i="5"/>
  <c r="KK87" i="5" s="1"/>
  <c r="KI88" i="5" a="1"/>
  <c r="KI88" i="5" s="1"/>
  <c r="AB83" i="4"/>
  <c r="JZ83" i="4" s="1"/>
  <c r="AA83" i="4"/>
  <c r="JY83" i="4" s="1"/>
  <c r="Z83" i="4" s="1" a="1"/>
  <c r="Z83" i="4" s="1"/>
  <c r="Y84" i="4" s="1" a="1"/>
  <c r="Y84" i="4" s="1"/>
  <c r="X85" i="4"/>
  <c r="KF84" i="4"/>
  <c r="KG84" i="4" s="1"/>
  <c r="KE85" i="4" a="1"/>
  <c r="KE85" i="4" s="1"/>
  <c r="KI78" i="1" a="1"/>
  <c r="KI78" i="1" s="1"/>
  <c r="KJ78" i="1" s="1"/>
  <c r="KK78" i="1" s="1"/>
  <c r="X103" i="1"/>
  <c r="AB76" i="1" l="1"/>
  <c r="KD76" i="1" s="1"/>
  <c r="Z76" i="1" s="1" a="1"/>
  <c r="Z76" i="1" s="1"/>
  <c r="Y77" i="1" s="1" a="1"/>
  <c r="Y77" i="1" s="1"/>
  <c r="AA77" i="1" s="1"/>
  <c r="KC77" i="1" s="1"/>
  <c r="AB87" i="5"/>
  <c r="KD87" i="5" s="1"/>
  <c r="AA87" i="5"/>
  <c r="KC87" i="5" s="1"/>
  <c r="Z87" i="5" s="1" a="1"/>
  <c r="Z87" i="5" s="1"/>
  <c r="Y88" i="5" s="1" a="1"/>
  <c r="Y88" i="5" s="1"/>
  <c r="KJ88" i="5"/>
  <c r="KK88" i="5" s="1"/>
  <c r="KI89" i="5" a="1"/>
  <c r="KI89" i="5" s="1"/>
  <c r="X89" i="5"/>
  <c r="AB84" i="4"/>
  <c r="JZ84" i="4" s="1"/>
  <c r="AA84" i="4"/>
  <c r="JY84" i="4" s="1"/>
  <c r="Z84" i="4" s="1" a="1"/>
  <c r="Z84" i="4" s="1"/>
  <c r="Y85" i="4" s="1" a="1"/>
  <c r="Y85" i="4" s="1"/>
  <c r="KF85" i="4"/>
  <c r="KG85" i="4" s="1"/>
  <c r="KE86" i="4" a="1"/>
  <c r="KE86" i="4" s="1"/>
  <c r="X86" i="4"/>
  <c r="KI79" i="1" a="1"/>
  <c r="KI79" i="1" s="1"/>
  <c r="KJ79" i="1" s="1"/>
  <c r="KK79" i="1" s="1"/>
  <c r="X104" i="1"/>
  <c r="AB77" i="1" l="1"/>
  <c r="KD77" i="1" s="1"/>
  <c r="AB88" i="5"/>
  <c r="KD88" i="5" s="1"/>
  <c r="AA88" i="5"/>
  <c r="KC88" i="5" s="1"/>
  <c r="Z88" i="5" s="1" a="1"/>
  <c r="Z88" i="5" s="1"/>
  <c r="Y89" i="5" s="1" a="1"/>
  <c r="Y89" i="5" s="1"/>
  <c r="X90" i="5"/>
  <c r="KJ89" i="5"/>
  <c r="KK89" i="5" s="1"/>
  <c r="KL89" i="5" s="1"/>
  <c r="KM89" i="5" s="1"/>
  <c r="KI90" i="5" a="1"/>
  <c r="KI90" i="5" s="1"/>
  <c r="AB85" i="4"/>
  <c r="JZ85" i="4" s="1"/>
  <c r="AA85" i="4"/>
  <c r="JY85" i="4" s="1"/>
  <c r="Z85" i="4" s="1" a="1"/>
  <c r="Z85" i="4" s="1"/>
  <c r="Y86" i="4" s="1" a="1"/>
  <c r="Y86" i="4" s="1"/>
  <c r="X87" i="4"/>
  <c r="KF86" i="4"/>
  <c r="KG86" i="4" s="1"/>
  <c r="KE87" i="4" a="1"/>
  <c r="KE87" i="4" s="1"/>
  <c r="Z77" i="1" a="1"/>
  <c r="Z77" i="1" s="1"/>
  <c r="Y78" i="1" s="1" a="1"/>
  <c r="Y78" i="1" s="1"/>
  <c r="AB78" i="1" s="1"/>
  <c r="KD78" i="1" s="1"/>
  <c r="KI80" i="1" a="1"/>
  <c r="KI80" i="1" s="1"/>
  <c r="KJ80" i="1" s="1"/>
  <c r="KK80" i="1" s="1"/>
  <c r="X105" i="1"/>
  <c r="AB89" i="5" l="1"/>
  <c r="KD89" i="5" s="1"/>
  <c r="AA89" i="5"/>
  <c r="KC89" i="5" s="1"/>
  <c r="Z89" i="5" s="1" a="1"/>
  <c r="Z89" i="5" s="1"/>
  <c r="KJ90" i="5"/>
  <c r="KK90" i="5" s="1"/>
  <c r="KI91" i="5" a="1"/>
  <c r="KI91" i="5" s="1"/>
  <c r="X91" i="5"/>
  <c r="Y90" i="5" a="1"/>
  <c r="Y90" i="5" s="1"/>
  <c r="AB86" i="4"/>
  <c r="JZ86" i="4" s="1"/>
  <c r="AA86" i="4"/>
  <c r="JY86" i="4" s="1"/>
  <c r="Z86" i="4" s="1" a="1"/>
  <c r="Z86" i="4" s="1"/>
  <c r="Y87" i="4" s="1" a="1"/>
  <c r="Y87" i="4" s="1"/>
  <c r="KF87" i="4"/>
  <c r="KG87" i="4" s="1"/>
  <c r="KE88" i="4" a="1"/>
  <c r="KE88" i="4" s="1"/>
  <c r="X88" i="4"/>
  <c r="AA78" i="1"/>
  <c r="KC78" i="1" s="1"/>
  <c r="Z78" i="1" s="1" a="1"/>
  <c r="Z78" i="1" s="1"/>
  <c r="Y79" i="1" s="1" a="1"/>
  <c r="Y79" i="1" s="1"/>
  <c r="AB79" i="1" s="1"/>
  <c r="KD79" i="1" s="1"/>
  <c r="KI81" i="1" a="1"/>
  <c r="KI81" i="1" s="1"/>
  <c r="KJ81" i="1" s="1"/>
  <c r="KK81" i="1" s="1"/>
  <c r="X106" i="1"/>
  <c r="X92" i="5" l="1"/>
  <c r="KJ91" i="5"/>
  <c r="KK91" i="5" s="1"/>
  <c r="KI92" i="5" a="1"/>
  <c r="KI92" i="5" s="1"/>
  <c r="AB90" i="5"/>
  <c r="KD90" i="5" s="1"/>
  <c r="AA90" i="5"/>
  <c r="KC90" i="5" s="1"/>
  <c r="Z90" i="5" s="1" a="1"/>
  <c r="Z90" i="5" s="1"/>
  <c r="Y91" i="5" s="1" a="1"/>
  <c r="Y91" i="5" s="1"/>
  <c r="AB87" i="4"/>
  <c r="JZ87" i="4" s="1"/>
  <c r="AA87" i="4"/>
  <c r="JY87" i="4" s="1"/>
  <c r="Z87" i="4" s="1" a="1"/>
  <c r="Z87" i="4" s="1"/>
  <c r="Y88" i="4" s="1" a="1"/>
  <c r="Y88" i="4" s="1"/>
  <c r="KF88" i="4"/>
  <c r="KG88" i="4" s="1"/>
  <c r="KE89" i="4" a="1"/>
  <c r="KE89" i="4" s="1"/>
  <c r="X89" i="4"/>
  <c r="AA79" i="1"/>
  <c r="KC79" i="1" s="1"/>
  <c r="Z79" i="1" s="1" a="1"/>
  <c r="Z79" i="1" s="1"/>
  <c r="Y80" i="1" s="1" a="1"/>
  <c r="Y80" i="1" s="1"/>
  <c r="AB80" i="1" s="1"/>
  <c r="KD80" i="1" s="1"/>
  <c r="KI82" i="1" a="1"/>
  <c r="KI82" i="1" s="1"/>
  <c r="KJ82" i="1" s="1"/>
  <c r="KK82" i="1" s="1"/>
  <c r="X107" i="1"/>
  <c r="AB91" i="5" l="1"/>
  <c r="KD91" i="5" s="1"/>
  <c r="AA91" i="5"/>
  <c r="KC91" i="5" s="1"/>
  <c r="Z91" i="5" s="1" a="1"/>
  <c r="Z91" i="5" s="1"/>
  <c r="Y92" i="5" s="1" a="1"/>
  <c r="Y92" i="5" s="1"/>
  <c r="KJ92" i="5"/>
  <c r="KK92" i="5" s="1"/>
  <c r="KI93" i="5" a="1"/>
  <c r="KI93" i="5" s="1"/>
  <c r="X93" i="5"/>
  <c r="AA88" i="4"/>
  <c r="JY88" i="4" s="1"/>
  <c r="Z88" i="4" s="1" a="1"/>
  <c r="Z88" i="4" s="1"/>
  <c r="Y89" i="4" s="1" a="1"/>
  <c r="Y89" i="4" s="1"/>
  <c r="AB88" i="4"/>
  <c r="JZ88" i="4" s="1"/>
  <c r="KF89" i="4"/>
  <c r="KG89" i="4" s="1"/>
  <c r="KH89" i="4" s="1"/>
  <c r="KI89" i="4" s="1"/>
  <c r="KE90" i="4" a="1"/>
  <c r="KE90" i="4" s="1"/>
  <c r="X90" i="4"/>
  <c r="AA80" i="1"/>
  <c r="KC80" i="1" s="1"/>
  <c r="Z80" i="1" s="1" a="1"/>
  <c r="Z80" i="1" s="1"/>
  <c r="Y81" i="1" s="1" a="1"/>
  <c r="Y81" i="1" s="1"/>
  <c r="KI83" i="1" a="1"/>
  <c r="KI83" i="1" s="1"/>
  <c r="KJ83" i="1" s="1"/>
  <c r="KK83" i="1" s="1"/>
  <c r="KI84" i="1" s="1" a="1"/>
  <c r="KI84" i="1" s="1"/>
  <c r="AB81" i="1" l="1"/>
  <c r="KD81" i="1" s="1"/>
  <c r="AB92" i="5"/>
  <c r="KD92" i="5" s="1"/>
  <c r="AA92" i="5"/>
  <c r="KC92" i="5" s="1"/>
  <c r="Z92" i="5" s="1" a="1"/>
  <c r="Z92" i="5" s="1"/>
  <c r="Y93" i="5" s="1" a="1"/>
  <c r="Y93" i="5" s="1"/>
  <c r="X94" i="5"/>
  <c r="KJ93" i="5"/>
  <c r="KK93" i="5" s="1"/>
  <c r="KI94" i="5" a="1"/>
  <c r="KI94" i="5" s="1"/>
  <c r="AA89" i="4"/>
  <c r="JY89" i="4" s="1"/>
  <c r="Z89" i="4" s="1" a="1"/>
  <c r="Z89" i="4" s="1"/>
  <c r="AB89" i="4"/>
  <c r="JZ89" i="4" s="1"/>
  <c r="Y90" i="4" a="1"/>
  <c r="Y90" i="4" s="1"/>
  <c r="X91" i="4"/>
  <c r="KF90" i="4"/>
  <c r="KG90" i="4" s="1"/>
  <c r="KE91" i="4" a="1"/>
  <c r="KE91" i="4" s="1"/>
  <c r="AA81" i="1"/>
  <c r="KC81" i="1" s="1"/>
  <c r="Z81" i="1" s="1" a="1"/>
  <c r="Z81" i="1" s="1"/>
  <c r="Y82" i="1" s="1" a="1"/>
  <c r="Y82" i="1" s="1"/>
  <c r="KJ84" i="1"/>
  <c r="KK84" i="1" s="1"/>
  <c r="KI85" i="1" s="1" a="1"/>
  <c r="KI85" i="1" s="1"/>
  <c r="X109" i="1"/>
  <c r="AB82" i="1" l="1"/>
  <c r="KD82" i="1" s="1"/>
  <c r="AA82" i="1"/>
  <c r="KC82" i="1" s="1"/>
  <c r="Z82" i="1" s="1" a="1"/>
  <c r="Z82" i="1" s="1"/>
  <c r="Y83" i="1" s="1" a="1"/>
  <c r="Y83" i="1" s="1"/>
  <c r="AB93" i="5"/>
  <c r="KD93" i="5" s="1"/>
  <c r="AA93" i="5"/>
  <c r="KC93" i="5" s="1"/>
  <c r="Z93" i="5" s="1" a="1"/>
  <c r="Z93" i="5" s="1"/>
  <c r="Y94" i="5" s="1" a="1"/>
  <c r="Y94" i="5" s="1"/>
  <c r="KJ94" i="5"/>
  <c r="KK94" i="5" s="1"/>
  <c r="KI95" i="5" a="1"/>
  <c r="KI95" i="5" s="1"/>
  <c r="X95" i="5"/>
  <c r="KF91" i="4"/>
  <c r="KG91" i="4" s="1"/>
  <c r="KE92" i="4" a="1"/>
  <c r="KE92" i="4" s="1"/>
  <c r="AB90" i="4"/>
  <c r="JZ90" i="4" s="1"/>
  <c r="AA90" i="4"/>
  <c r="JY90" i="4" s="1"/>
  <c r="Z90" i="4" s="1" a="1"/>
  <c r="Z90" i="4" s="1"/>
  <c r="Y91" i="4" s="1" a="1"/>
  <c r="Y91" i="4" s="1"/>
  <c r="X92" i="4"/>
  <c r="KJ85" i="1"/>
  <c r="KK85" i="1" s="1"/>
  <c r="KI86" i="1" s="1" a="1"/>
  <c r="KI86" i="1" s="1"/>
  <c r="X110" i="1"/>
  <c r="AB83" i="1" l="1"/>
  <c r="KD83" i="1" s="1"/>
  <c r="AA83" i="1"/>
  <c r="KC83" i="1" s="1"/>
  <c r="Z83" i="1" s="1" a="1"/>
  <c r="Z83" i="1" s="1"/>
  <c r="Y84" i="1" s="1" a="1"/>
  <c r="Y84" i="1" s="1"/>
  <c r="AB94" i="5"/>
  <c r="KD94" i="5" s="1"/>
  <c r="AA94" i="5"/>
  <c r="KC94" i="5" s="1"/>
  <c r="Z94" i="5" s="1" a="1"/>
  <c r="Z94" i="5" s="1"/>
  <c r="Y95" i="5" s="1" a="1"/>
  <c r="Y95" i="5" s="1"/>
  <c r="X96" i="5"/>
  <c r="KJ95" i="5"/>
  <c r="KK95" i="5" s="1"/>
  <c r="KI96" i="5" a="1"/>
  <c r="KI96" i="5" s="1"/>
  <c r="AB91" i="4"/>
  <c r="JZ91" i="4" s="1"/>
  <c r="AA91" i="4"/>
  <c r="JY91" i="4" s="1"/>
  <c r="Z91" i="4" s="1" a="1"/>
  <c r="Z91" i="4" s="1"/>
  <c r="Y92" i="4" s="1" a="1"/>
  <c r="Y92" i="4" s="1"/>
  <c r="X93" i="4"/>
  <c r="KF92" i="4"/>
  <c r="KG92" i="4" s="1"/>
  <c r="KE93" i="4" a="1"/>
  <c r="KE93" i="4" s="1"/>
  <c r="KJ86" i="1"/>
  <c r="KK86" i="1" s="1"/>
  <c r="X111" i="1"/>
  <c r="AB84" i="1" l="1"/>
  <c r="KD84" i="1" s="1"/>
  <c r="AA84" i="1"/>
  <c r="KC84" i="1" s="1"/>
  <c r="Z84" i="1" s="1" a="1"/>
  <c r="Z84" i="1" s="1"/>
  <c r="Y85" i="1" s="1" a="1"/>
  <c r="Y85" i="1" s="1"/>
  <c r="AB85" i="1" s="1"/>
  <c r="KD85" i="1" s="1"/>
  <c r="AB95" i="5"/>
  <c r="KD95" i="5" s="1"/>
  <c r="AA95" i="5"/>
  <c r="KC95" i="5" s="1"/>
  <c r="Z95" i="5" s="1" a="1"/>
  <c r="Z95" i="5" s="1"/>
  <c r="Y96" i="5" s="1" a="1"/>
  <c r="Y96" i="5" s="1"/>
  <c r="KJ96" i="5"/>
  <c r="KK96" i="5" s="1"/>
  <c r="KI97" i="5" a="1"/>
  <c r="KI97" i="5" s="1"/>
  <c r="X97" i="5"/>
  <c r="AA92" i="4"/>
  <c r="JY92" i="4" s="1"/>
  <c r="Z92" i="4" s="1" a="1"/>
  <c r="Z92" i="4" s="1"/>
  <c r="Y93" i="4" s="1" a="1"/>
  <c r="Y93" i="4" s="1"/>
  <c r="AB92" i="4"/>
  <c r="JZ92" i="4" s="1"/>
  <c r="KF93" i="4"/>
  <c r="KG93" i="4" s="1"/>
  <c r="KE94" i="4" a="1"/>
  <c r="KE94" i="4" s="1"/>
  <c r="X94" i="4"/>
  <c r="KI87" i="1" a="1"/>
  <c r="KI87" i="1" s="1"/>
  <c r="KJ87" i="1" s="1"/>
  <c r="KK87" i="1" s="1"/>
  <c r="AA85" i="1" l="1"/>
  <c r="KC85" i="1" s="1"/>
  <c r="Z85" i="1" s="1" a="1"/>
  <c r="Z85" i="1" s="1"/>
  <c r="Y86" i="1" s="1" a="1"/>
  <c r="Y86" i="1" s="1"/>
  <c r="AA86" i="1" s="1"/>
  <c r="KC86" i="1" s="1"/>
  <c r="AB96" i="5"/>
  <c r="KD96" i="5" s="1"/>
  <c r="AA96" i="5"/>
  <c r="KC96" i="5" s="1"/>
  <c r="Z96" i="5" s="1" a="1"/>
  <c r="Z96" i="5" s="1"/>
  <c r="Y97" i="5" s="1" a="1"/>
  <c r="Y97" i="5" s="1"/>
  <c r="X98" i="5"/>
  <c r="KJ97" i="5"/>
  <c r="KK97" i="5" s="1"/>
  <c r="KI98" i="5" a="1"/>
  <c r="KI98" i="5" s="1"/>
  <c r="AB93" i="4"/>
  <c r="JZ93" i="4" s="1"/>
  <c r="AA93" i="4"/>
  <c r="JY93" i="4" s="1"/>
  <c r="Z93" i="4" s="1" a="1"/>
  <c r="Z93" i="4" s="1"/>
  <c r="Y94" i="4" s="1" a="1"/>
  <c r="Y94" i="4" s="1"/>
  <c r="KF94" i="4"/>
  <c r="KG94" i="4" s="1"/>
  <c r="KE95" i="4" a="1"/>
  <c r="KE95" i="4" s="1"/>
  <c r="X95" i="4"/>
  <c r="KI88" i="1" a="1"/>
  <c r="KI88" i="1" s="1"/>
  <c r="KJ88" i="1" s="1"/>
  <c r="X113" i="1"/>
  <c r="Z86" i="1" l="1" a="1"/>
  <c r="Z86" i="1" s="1"/>
  <c r="Y87" i="1" s="1" a="1"/>
  <c r="Y87" i="1" s="1"/>
  <c r="AB87" i="1" s="1"/>
  <c r="KD87" i="1" s="1"/>
  <c r="AB86" i="1"/>
  <c r="KD86" i="1" s="1"/>
  <c r="AA97" i="5"/>
  <c r="KC97" i="5" s="1"/>
  <c r="Z97" i="5" s="1" a="1"/>
  <c r="Z97" i="5" s="1"/>
  <c r="AB97" i="5"/>
  <c r="KD97" i="5" s="1"/>
  <c r="KJ98" i="5"/>
  <c r="KK98" i="5" s="1"/>
  <c r="KI99" i="5" a="1"/>
  <c r="KI99" i="5" s="1"/>
  <c r="Y98" i="5" a="1"/>
  <c r="Y98" i="5" s="1"/>
  <c r="X99" i="5"/>
  <c r="AB94" i="4"/>
  <c r="JZ94" i="4" s="1"/>
  <c r="AA94" i="4"/>
  <c r="JY94" i="4" s="1"/>
  <c r="Z94" i="4" s="1" a="1"/>
  <c r="Z94" i="4" s="1"/>
  <c r="Y95" i="4" s="1" a="1"/>
  <c r="Y95" i="4" s="1"/>
  <c r="KF95" i="4"/>
  <c r="KG95" i="4" s="1"/>
  <c r="KE96" i="4" a="1"/>
  <c r="KE96" i="4" s="1"/>
  <c r="X96" i="4"/>
  <c r="KK88" i="1"/>
  <c r="KI89" i="1" s="1" a="1"/>
  <c r="KI89" i="1" s="1"/>
  <c r="KJ89" i="1" s="1"/>
  <c r="X114" i="1"/>
  <c r="AA87" i="1" l="1"/>
  <c r="KC87" i="1" s="1"/>
  <c r="Z87" i="1" s="1" a="1"/>
  <c r="Z87" i="1" s="1"/>
  <c r="Y88" i="1" s="1" a="1"/>
  <c r="Y88" i="1" s="1"/>
  <c r="AB88" i="1" s="1"/>
  <c r="X100" i="5"/>
  <c r="AB98" i="5"/>
  <c r="KD98" i="5" s="1"/>
  <c r="AA98" i="5"/>
  <c r="KC98" i="5" s="1"/>
  <c r="Z98" i="5" s="1" a="1"/>
  <c r="Z98" i="5" s="1"/>
  <c r="Y99" i="5" s="1" a="1"/>
  <c r="Y99" i="5" s="1"/>
  <c r="KJ99" i="5"/>
  <c r="KK99" i="5" s="1"/>
  <c r="KI100" i="5" a="1"/>
  <c r="KI100" i="5" s="1"/>
  <c r="AB95" i="4"/>
  <c r="JZ95" i="4" s="1"/>
  <c r="AA95" i="4"/>
  <c r="JY95" i="4" s="1"/>
  <c r="Z95" i="4" s="1" a="1"/>
  <c r="Z95" i="4" s="1"/>
  <c r="Y96" i="4" s="1" a="1"/>
  <c r="Y96" i="4" s="1"/>
  <c r="KF96" i="4"/>
  <c r="KG96" i="4" s="1"/>
  <c r="KE97" i="4" a="1"/>
  <c r="KE97" i="4" s="1"/>
  <c r="X97" i="4"/>
  <c r="KK89" i="1"/>
  <c r="KL89" i="1" s="1"/>
  <c r="KM89" i="1" s="1"/>
  <c r="X115" i="1"/>
  <c r="AA88" i="1" l="1"/>
  <c r="KC88" i="1" s="1"/>
  <c r="Z88" i="1" s="1" a="1"/>
  <c r="Z88" i="1" s="1"/>
  <c r="Y89" i="1" s="1" a="1"/>
  <c r="Y89" i="1" s="1"/>
  <c r="AA99" i="5"/>
  <c r="KC99" i="5" s="1"/>
  <c r="Z99" i="5" s="1" a="1"/>
  <c r="Z99" i="5" s="1"/>
  <c r="Y100" i="5" s="1" a="1"/>
  <c r="Y100" i="5" s="1"/>
  <c r="AB99" i="5"/>
  <c r="KD99" i="5" s="1"/>
  <c r="KJ100" i="5"/>
  <c r="KK100" i="5" s="1"/>
  <c r="KI101" i="5" a="1"/>
  <c r="KI101" i="5" s="1"/>
  <c r="X101" i="5"/>
  <c r="AB96" i="4"/>
  <c r="JZ96" i="4" s="1"/>
  <c r="AA96" i="4"/>
  <c r="JY96" i="4" s="1"/>
  <c r="Z96" i="4" s="1" a="1"/>
  <c r="Z96" i="4" s="1"/>
  <c r="Y97" i="4" s="1" a="1"/>
  <c r="Y97" i="4" s="1"/>
  <c r="X98" i="4"/>
  <c r="KF97" i="4"/>
  <c r="KG97" i="4" s="1"/>
  <c r="KE98" i="4" a="1"/>
  <c r="KE98" i="4" s="1"/>
  <c r="KI90" i="1" a="1"/>
  <c r="KI90" i="1" s="1"/>
  <c r="KJ90" i="1" s="1"/>
  <c r="KK90" i="1" s="1"/>
  <c r="KD88" i="1"/>
  <c r="X116" i="1"/>
  <c r="AB100" i="5" l="1"/>
  <c r="KD100" i="5" s="1"/>
  <c r="AA100" i="5"/>
  <c r="KC100" i="5" s="1"/>
  <c r="Z100" i="5" s="1" a="1"/>
  <c r="Z100" i="5" s="1"/>
  <c r="Y101" i="5" s="1" a="1"/>
  <c r="Y101" i="5" s="1"/>
  <c r="X102" i="5"/>
  <c r="KJ101" i="5"/>
  <c r="KK101" i="5" s="1"/>
  <c r="KI102" i="5" a="1"/>
  <c r="KI102" i="5" s="1"/>
  <c r="AB97" i="4"/>
  <c r="JZ97" i="4" s="1"/>
  <c r="AA97" i="4"/>
  <c r="JY97" i="4" s="1"/>
  <c r="Z97" i="4" s="1" a="1"/>
  <c r="Z97" i="4" s="1"/>
  <c r="X99" i="4"/>
  <c r="Y98" i="4" a="1"/>
  <c r="Y98" i="4" s="1"/>
  <c r="KF98" i="4"/>
  <c r="KG98" i="4" s="1"/>
  <c r="KE99" i="4" a="1"/>
  <c r="KE99" i="4" s="1"/>
  <c r="KI91" i="1" a="1"/>
  <c r="KI91" i="1" s="1"/>
  <c r="KJ91" i="1" s="1"/>
  <c r="KK91" i="1" s="1"/>
  <c r="AB89" i="1"/>
  <c r="KD89" i="1" s="1"/>
  <c r="AA89" i="1"/>
  <c r="KC89" i="1" s="1"/>
  <c r="AB101" i="5" l="1"/>
  <c r="KD101" i="5" s="1"/>
  <c r="AA101" i="5"/>
  <c r="KC101" i="5" s="1"/>
  <c r="Z101" i="5" s="1" a="1"/>
  <c r="Z101" i="5" s="1"/>
  <c r="Y102" i="5" s="1" a="1"/>
  <c r="Y102" i="5" s="1"/>
  <c r="KJ102" i="5"/>
  <c r="KK102" i="5" s="1"/>
  <c r="KI103" i="5" a="1"/>
  <c r="KI103" i="5" s="1"/>
  <c r="X103" i="5"/>
  <c r="KF99" i="4"/>
  <c r="KG99" i="4" s="1"/>
  <c r="KE100" i="4" a="1"/>
  <c r="KE100" i="4" s="1"/>
  <c r="AB98" i="4"/>
  <c r="JZ98" i="4" s="1"/>
  <c r="AA98" i="4"/>
  <c r="JY98" i="4" s="1"/>
  <c r="Z98" i="4" s="1" a="1"/>
  <c r="Z98" i="4" s="1"/>
  <c r="Y99" i="4" s="1" a="1"/>
  <c r="Y99" i="4" s="1"/>
  <c r="X100" i="4"/>
  <c r="KI92" i="1" a="1"/>
  <c r="KI92" i="1" s="1"/>
  <c r="KJ92" i="1" s="1"/>
  <c r="KK92" i="1" s="1"/>
  <c r="KI93" i="1" s="1" a="1"/>
  <c r="KI93" i="1" s="1"/>
  <c r="KJ93" i="1" s="1"/>
  <c r="Z89" i="1" a="1"/>
  <c r="Z89" i="1" s="1"/>
  <c r="Y90" i="1" s="1" a="1"/>
  <c r="Y90" i="1" s="1"/>
  <c r="X118" i="1"/>
  <c r="AB90" i="1" l="1"/>
  <c r="KD90" i="1" s="1"/>
  <c r="AA90" i="1"/>
  <c r="KC90" i="1" s="1"/>
  <c r="Z90" i="1" s="1" a="1"/>
  <c r="Z90" i="1" s="1"/>
  <c r="Y91" i="1" s="1" a="1"/>
  <c r="Y91" i="1" s="1"/>
  <c r="AB102" i="5"/>
  <c r="KD102" i="5" s="1"/>
  <c r="AA102" i="5"/>
  <c r="KC102" i="5" s="1"/>
  <c r="Z102" i="5" s="1" a="1"/>
  <c r="Z102" i="5" s="1"/>
  <c r="Y103" i="5" s="1" a="1"/>
  <c r="Y103" i="5" s="1"/>
  <c r="X104" i="5"/>
  <c r="KJ103" i="5"/>
  <c r="KK103" i="5" s="1"/>
  <c r="KI104" i="5" a="1"/>
  <c r="KI104" i="5" s="1"/>
  <c r="AB99" i="4"/>
  <c r="JZ99" i="4" s="1"/>
  <c r="AA99" i="4"/>
  <c r="JY99" i="4" s="1"/>
  <c r="Z99" i="4" s="1" a="1"/>
  <c r="Z99" i="4" s="1"/>
  <c r="Y100" i="4" s="1" a="1"/>
  <c r="Y100" i="4" s="1"/>
  <c r="X101" i="4"/>
  <c r="KF100" i="4"/>
  <c r="KG100" i="4" s="1"/>
  <c r="KE101" i="4" a="1"/>
  <c r="KE101" i="4" s="1"/>
  <c r="KK93" i="1"/>
  <c r="KI94" i="1" s="1" a="1"/>
  <c r="KI94" i="1" s="1"/>
  <c r="KJ94" i="1" s="1"/>
  <c r="X119" i="1"/>
  <c r="AB91" i="1" l="1"/>
  <c r="KD91" i="1" s="1"/>
  <c r="AA91" i="1"/>
  <c r="KC91" i="1" s="1"/>
  <c r="Z91" i="1" s="1" a="1"/>
  <c r="Z91" i="1" s="1"/>
  <c r="Y92" i="1" s="1" a="1"/>
  <c r="Y92" i="1" s="1"/>
  <c r="AB103" i="5"/>
  <c r="KD103" i="5" s="1"/>
  <c r="AA103" i="5"/>
  <c r="KC103" i="5" s="1"/>
  <c r="Z103" i="5" s="1" a="1"/>
  <c r="Z103" i="5" s="1"/>
  <c r="Y104" i="5" s="1" a="1"/>
  <c r="Y104" i="5" s="1"/>
  <c r="KJ104" i="5"/>
  <c r="KK104" i="5" s="1"/>
  <c r="KI105" i="5" a="1"/>
  <c r="KI105" i="5" s="1"/>
  <c r="X105" i="5"/>
  <c r="AB100" i="4"/>
  <c r="JZ100" i="4" s="1"/>
  <c r="AA100" i="4"/>
  <c r="JY100" i="4" s="1"/>
  <c r="Z100" i="4" s="1" a="1"/>
  <c r="Z100" i="4" s="1"/>
  <c r="Y101" i="4" s="1" a="1"/>
  <c r="Y101" i="4" s="1"/>
  <c r="KF101" i="4"/>
  <c r="KG101" i="4" s="1"/>
  <c r="KE102" i="4" a="1"/>
  <c r="KE102" i="4" s="1"/>
  <c r="X102" i="4"/>
  <c r="KK94" i="1"/>
  <c r="KI95" i="1" s="1" a="1"/>
  <c r="KI95" i="1" s="1"/>
  <c r="KJ95" i="1" s="1"/>
  <c r="X120" i="1"/>
  <c r="AB92" i="1" l="1"/>
  <c r="KD92" i="1" s="1"/>
  <c r="AA92" i="1"/>
  <c r="KC92" i="1" s="1"/>
  <c r="Z92" i="1" s="1" a="1"/>
  <c r="Z92" i="1" s="1"/>
  <c r="Y93" i="1" s="1" a="1"/>
  <c r="Y93" i="1" s="1"/>
  <c r="AB104" i="5"/>
  <c r="KD104" i="5" s="1"/>
  <c r="AA104" i="5"/>
  <c r="KC104" i="5" s="1"/>
  <c r="Z104" i="5" s="1" a="1"/>
  <c r="Z104" i="5" s="1"/>
  <c r="Y105" i="5" s="1" a="1"/>
  <c r="Y105" i="5" s="1"/>
  <c r="X106" i="5"/>
  <c r="KJ105" i="5"/>
  <c r="KK105" i="5" s="1"/>
  <c r="KI106" i="5" a="1"/>
  <c r="KI106" i="5" s="1"/>
  <c r="AB101" i="4"/>
  <c r="JZ101" i="4" s="1"/>
  <c r="AA101" i="4"/>
  <c r="JY101" i="4" s="1"/>
  <c r="Z101" i="4" s="1" a="1"/>
  <c r="Z101" i="4" s="1"/>
  <c r="Y102" i="4" s="1" a="1"/>
  <c r="Y102" i="4" s="1"/>
  <c r="X103" i="4"/>
  <c r="KF102" i="4"/>
  <c r="KG102" i="4" s="1"/>
  <c r="KE103" i="4" a="1"/>
  <c r="KE103" i="4" s="1"/>
  <c r="KK95" i="1"/>
  <c r="KI96" i="1" s="1" a="1"/>
  <c r="KI96" i="1" s="1"/>
  <c r="KJ96" i="1" s="1"/>
  <c r="KK96" i="1" s="1"/>
  <c r="KI97" i="1" s="1" a="1"/>
  <c r="KI97" i="1" s="1"/>
  <c r="X121" i="1"/>
  <c r="AB93" i="1" l="1"/>
  <c r="KD93" i="1" s="1"/>
  <c r="AA93" i="1"/>
  <c r="KC93" i="1" s="1"/>
  <c r="Z93" i="1" s="1" a="1"/>
  <c r="Z93" i="1" s="1"/>
  <c r="Y94" i="1" s="1" a="1"/>
  <c r="Y94" i="1" s="1"/>
  <c r="AB105" i="5"/>
  <c r="KD105" i="5" s="1"/>
  <c r="AA105" i="5"/>
  <c r="KC105" i="5" s="1"/>
  <c r="Z105" i="5" s="1" a="1"/>
  <c r="Z105" i="5" s="1"/>
  <c r="KJ106" i="5"/>
  <c r="KK106" i="5" s="1"/>
  <c r="KI107" i="5" a="1"/>
  <c r="KI107" i="5" s="1"/>
  <c r="Y106" i="5" a="1"/>
  <c r="Y106" i="5" s="1"/>
  <c r="X107" i="5"/>
  <c r="AB102" i="4"/>
  <c r="JZ102" i="4" s="1"/>
  <c r="AA102" i="4"/>
  <c r="JY102" i="4" s="1"/>
  <c r="Z102" i="4" s="1" a="1"/>
  <c r="Z102" i="4" s="1"/>
  <c r="Y103" i="4" s="1" a="1"/>
  <c r="Y103" i="4" s="1"/>
  <c r="KF103" i="4"/>
  <c r="KG103" i="4" s="1"/>
  <c r="KE104" i="4" a="1"/>
  <c r="KE104" i="4" s="1"/>
  <c r="X104" i="4"/>
  <c r="KJ97" i="1"/>
  <c r="KK97" i="1" s="1"/>
  <c r="X122" i="1"/>
  <c r="AB94" i="1" l="1"/>
  <c r="KD94" i="1" s="1"/>
  <c r="AA94" i="1"/>
  <c r="KC94" i="1" s="1"/>
  <c r="Z94" i="1" s="1" a="1"/>
  <c r="Z94" i="1" s="1"/>
  <c r="Y95" i="1" s="1" a="1"/>
  <c r="Y95" i="1" s="1"/>
  <c r="X108" i="5"/>
  <c r="AB106" i="5"/>
  <c r="KD106" i="5" s="1"/>
  <c r="AA106" i="5"/>
  <c r="KC106" i="5" s="1"/>
  <c r="Z106" i="5" s="1" a="1"/>
  <c r="Z106" i="5" s="1"/>
  <c r="Y107" i="5" s="1" a="1"/>
  <c r="Y107" i="5" s="1"/>
  <c r="KJ107" i="5"/>
  <c r="KK107" i="5" s="1"/>
  <c r="KI108" i="5" a="1"/>
  <c r="KI108" i="5" s="1"/>
  <c r="AB103" i="4"/>
  <c r="JZ103" i="4" s="1"/>
  <c r="AA103" i="4"/>
  <c r="JY103" i="4" s="1"/>
  <c r="Z103" i="4" s="1" a="1"/>
  <c r="Z103" i="4" s="1"/>
  <c r="Y104" i="4" s="1" a="1"/>
  <c r="Y104" i="4" s="1"/>
  <c r="X105" i="4"/>
  <c r="KF104" i="4"/>
  <c r="KG104" i="4" s="1"/>
  <c r="KE105" i="4" a="1"/>
  <c r="KE105" i="4" s="1"/>
  <c r="KI98" i="1" a="1"/>
  <c r="KI98" i="1" s="1"/>
  <c r="KJ98" i="1" s="1"/>
  <c r="AB95" i="1" l="1"/>
  <c r="KD95" i="1" s="1"/>
  <c r="AA95" i="1"/>
  <c r="KC95" i="1" s="1"/>
  <c r="Z95" i="1" s="1" a="1"/>
  <c r="Z95" i="1" s="1"/>
  <c r="Y96" i="1" s="1" a="1"/>
  <c r="Y96" i="1" s="1"/>
  <c r="AA107" i="5"/>
  <c r="KC107" i="5" s="1"/>
  <c r="Z107" i="5" s="1" a="1"/>
  <c r="Z107" i="5" s="1"/>
  <c r="Y108" i="5" s="1" a="1"/>
  <c r="Y108" i="5" s="1"/>
  <c r="AB107" i="5"/>
  <c r="KD107" i="5" s="1"/>
  <c r="KJ108" i="5"/>
  <c r="KK108" i="5" s="1"/>
  <c r="KI109" i="5" a="1"/>
  <c r="KI109" i="5" s="1"/>
  <c r="X109" i="5"/>
  <c r="AB104" i="4"/>
  <c r="JZ104" i="4" s="1"/>
  <c r="AA104" i="4"/>
  <c r="JY104" i="4" s="1"/>
  <c r="Z104" i="4" s="1" a="1"/>
  <c r="Z104" i="4" s="1"/>
  <c r="Y105" i="4" s="1" a="1"/>
  <c r="Y105" i="4" s="1"/>
  <c r="X106" i="4"/>
  <c r="KF105" i="4"/>
  <c r="KG105" i="4" s="1"/>
  <c r="KE106" i="4" a="1"/>
  <c r="KE106" i="4" s="1"/>
  <c r="KK98" i="1"/>
  <c r="KI99" i="1" s="1" a="1"/>
  <c r="KI99" i="1" s="1"/>
  <c r="X124" i="1"/>
  <c r="AB96" i="1" l="1"/>
  <c r="KD96" i="1" s="1"/>
  <c r="AA96" i="1"/>
  <c r="KC96" i="1" s="1"/>
  <c r="Z96" i="1" s="1" a="1"/>
  <c r="Z96" i="1" s="1"/>
  <c r="Y97" i="1" s="1" a="1"/>
  <c r="Y97" i="1" s="1"/>
  <c r="AB108" i="5"/>
  <c r="KD108" i="5" s="1"/>
  <c r="AA108" i="5"/>
  <c r="KC108" i="5" s="1"/>
  <c r="Z108" i="5" s="1" a="1"/>
  <c r="Z108" i="5" s="1"/>
  <c r="Y109" i="5" s="1" a="1"/>
  <c r="Y109" i="5" s="1"/>
  <c r="X110" i="5"/>
  <c r="KJ109" i="5"/>
  <c r="KK109" i="5" s="1"/>
  <c r="KI110" i="5" a="1"/>
  <c r="KI110" i="5" s="1"/>
  <c r="AB105" i="4"/>
  <c r="JZ105" i="4" s="1"/>
  <c r="AA105" i="4"/>
  <c r="JY105" i="4" s="1"/>
  <c r="Z105" i="4" s="1" a="1"/>
  <c r="Z105" i="4" s="1"/>
  <c r="KF106" i="4"/>
  <c r="KG106" i="4" s="1"/>
  <c r="KE107" i="4" a="1"/>
  <c r="KE107" i="4" s="1"/>
  <c r="X107" i="4"/>
  <c r="Y106" i="4" a="1"/>
  <c r="Y106" i="4" s="1"/>
  <c r="KJ99" i="1"/>
  <c r="KK99" i="1" s="1"/>
  <c r="X125" i="1"/>
  <c r="AA97" i="1" l="1"/>
  <c r="KC97" i="1" s="1"/>
  <c r="AB97" i="1"/>
  <c r="KD97" i="1" s="1"/>
  <c r="AB109" i="5"/>
  <c r="KD109" i="5" s="1"/>
  <c r="AA109" i="5"/>
  <c r="KC109" i="5" s="1"/>
  <c r="Z109" i="5" s="1" a="1"/>
  <c r="Z109" i="5" s="1"/>
  <c r="Y110" i="5" s="1" a="1"/>
  <c r="Y110" i="5" s="1"/>
  <c r="KJ110" i="5"/>
  <c r="KK110" i="5" s="1"/>
  <c r="KI111" i="5" a="1"/>
  <c r="KI111" i="5" s="1"/>
  <c r="X111" i="5"/>
  <c r="AA106" i="4"/>
  <c r="JY106" i="4" s="1"/>
  <c r="Z106" i="4" s="1" a="1"/>
  <c r="Z106" i="4" s="1"/>
  <c r="Y107" i="4" s="1" a="1"/>
  <c r="Y107" i="4" s="1"/>
  <c r="AB106" i="4"/>
  <c r="JZ106" i="4" s="1"/>
  <c r="X108" i="4"/>
  <c r="KF107" i="4"/>
  <c r="KG107" i="4" s="1"/>
  <c r="KE108" i="4" a="1"/>
  <c r="KE108" i="4" s="1"/>
  <c r="KI100" i="1" a="1"/>
  <c r="KI100" i="1" s="1"/>
  <c r="KJ100" i="1" s="1"/>
  <c r="KK100" i="1" s="1"/>
  <c r="X126" i="1"/>
  <c r="Z97" i="1" l="1" a="1"/>
  <c r="Z97" i="1" s="1"/>
  <c r="Y98" i="1" s="1" a="1"/>
  <c r="Y98" i="1" s="1"/>
  <c r="AA98" i="1" s="1"/>
  <c r="KC98" i="1" s="1"/>
  <c r="AA110" i="5"/>
  <c r="KC110" i="5" s="1"/>
  <c r="Z110" i="5" s="1" a="1"/>
  <c r="Z110" i="5" s="1"/>
  <c r="Y111" i="5" s="1" a="1"/>
  <c r="Y111" i="5" s="1"/>
  <c r="AB110" i="5"/>
  <c r="KD110" i="5" s="1"/>
  <c r="X112" i="5"/>
  <c r="KJ111" i="5"/>
  <c r="KK111" i="5" s="1"/>
  <c r="KI112" i="5" a="1"/>
  <c r="KI112" i="5" s="1"/>
  <c r="AA107" i="4"/>
  <c r="JY107" i="4" s="1"/>
  <c r="Z107" i="4" s="1" a="1"/>
  <c r="Z107" i="4" s="1"/>
  <c r="Y108" i="4" s="1" a="1"/>
  <c r="Y108" i="4" s="1"/>
  <c r="AB107" i="4"/>
  <c r="JZ107" i="4" s="1"/>
  <c r="KF108" i="4"/>
  <c r="KG108" i="4" s="1"/>
  <c r="KE109" i="4" a="1"/>
  <c r="KE109" i="4" s="1"/>
  <c r="X109" i="4"/>
  <c r="KI101" i="1" a="1"/>
  <c r="KI101" i="1" s="1"/>
  <c r="KJ101" i="1" s="1"/>
  <c r="KK101" i="1" s="1"/>
  <c r="KI102" i="1" s="1" a="1"/>
  <c r="KI102" i="1" s="1"/>
  <c r="KJ102" i="1" s="1"/>
  <c r="KK102" i="1" s="1"/>
  <c r="X127" i="1"/>
  <c r="Z98" i="1" l="1" a="1"/>
  <c r="Z98" i="1" s="1"/>
  <c r="Y99" i="1" s="1" a="1"/>
  <c r="Y99" i="1" s="1"/>
  <c r="AA99" i="1" s="1"/>
  <c r="KC99" i="1" s="1"/>
  <c r="AB98" i="1"/>
  <c r="KD98" i="1" s="1"/>
  <c r="AB111" i="5"/>
  <c r="KD111" i="5" s="1"/>
  <c r="AA111" i="5"/>
  <c r="KC111" i="5" s="1"/>
  <c r="Z111" i="5" s="1" a="1"/>
  <c r="Z111" i="5" s="1"/>
  <c r="Y112" i="5" s="1" a="1"/>
  <c r="Y112" i="5" s="1"/>
  <c r="KJ112" i="5"/>
  <c r="KK112" i="5" s="1"/>
  <c r="KI113" i="5" a="1"/>
  <c r="KI113" i="5" s="1"/>
  <c r="X113" i="5"/>
  <c r="AA108" i="4"/>
  <c r="JY108" i="4" s="1"/>
  <c r="Z108" i="4" s="1" a="1"/>
  <c r="Z108" i="4" s="1"/>
  <c r="Y109" i="4" s="1" a="1"/>
  <c r="Y109" i="4" s="1"/>
  <c r="AB108" i="4"/>
  <c r="JZ108" i="4" s="1"/>
  <c r="X110" i="4"/>
  <c r="KF109" i="4"/>
  <c r="KG109" i="4" s="1"/>
  <c r="KE110" i="4" a="1"/>
  <c r="KE110" i="4" s="1"/>
  <c r="KI103" i="1" a="1"/>
  <c r="KI103" i="1" s="1"/>
  <c r="KJ103" i="1" s="1"/>
  <c r="KK103" i="1" s="1"/>
  <c r="X128" i="1"/>
  <c r="Z99" i="1" l="1" a="1"/>
  <c r="Z99" i="1" s="1"/>
  <c r="Y100" i="1" s="1" a="1"/>
  <c r="Y100" i="1" s="1"/>
  <c r="AA100" i="1" s="1"/>
  <c r="KC100" i="1" s="1"/>
  <c r="AB99" i="1"/>
  <c r="KD99" i="1" s="1"/>
  <c r="AB112" i="5"/>
  <c r="KD112" i="5" s="1"/>
  <c r="AA112" i="5"/>
  <c r="KC112" i="5" s="1"/>
  <c r="Z112" i="5" s="1" a="1"/>
  <c r="Z112" i="5" s="1"/>
  <c r="Y113" i="5" s="1" a="1"/>
  <c r="Y113" i="5" s="1"/>
  <c r="X114" i="5"/>
  <c r="KJ113" i="5"/>
  <c r="KK113" i="5" s="1"/>
  <c r="KI114" i="5" a="1"/>
  <c r="KI114" i="5" s="1"/>
  <c r="AB109" i="4"/>
  <c r="JZ109" i="4" s="1"/>
  <c r="AA109" i="4"/>
  <c r="JY109" i="4" s="1"/>
  <c r="Z109" i="4" s="1" a="1"/>
  <c r="Z109" i="4" s="1"/>
  <c r="Y110" i="4" s="1" a="1"/>
  <c r="Y110" i="4" s="1"/>
  <c r="KF110" i="4"/>
  <c r="KG110" i="4" s="1"/>
  <c r="KE111" i="4" a="1"/>
  <c r="KE111" i="4" s="1"/>
  <c r="X111" i="4"/>
  <c r="KI104" i="1" a="1"/>
  <c r="KI104" i="1" s="1"/>
  <c r="KJ104" i="1" s="1"/>
  <c r="Z100" i="1" l="1" a="1"/>
  <c r="Z100" i="1" s="1"/>
  <c r="Y101" i="1" s="1" a="1"/>
  <c r="Y101" i="1" s="1"/>
  <c r="AA101" i="1" s="1"/>
  <c r="KC101" i="1" s="1"/>
  <c r="AB100" i="1"/>
  <c r="KD100" i="1" s="1"/>
  <c r="AB113" i="5"/>
  <c r="KD113" i="5" s="1"/>
  <c r="AA113" i="5"/>
  <c r="KC113" i="5" s="1"/>
  <c r="Z113" i="5" s="1" a="1"/>
  <c r="Z113" i="5" s="1"/>
  <c r="KJ114" i="5"/>
  <c r="KK114" i="5" s="1"/>
  <c r="KI115" i="5" a="1"/>
  <c r="KI115" i="5" s="1"/>
  <c r="X115" i="5"/>
  <c r="Y114" i="5" a="1"/>
  <c r="Y114" i="5" s="1"/>
  <c r="AA110" i="4"/>
  <c r="JY110" i="4" s="1"/>
  <c r="Z110" i="4" s="1" a="1"/>
  <c r="Z110" i="4" s="1"/>
  <c r="Y111" i="4" s="1" a="1"/>
  <c r="Y111" i="4" s="1"/>
  <c r="AB110" i="4"/>
  <c r="JZ110" i="4" s="1"/>
  <c r="KF111" i="4"/>
  <c r="KG111" i="4" s="1"/>
  <c r="KE112" i="4" a="1"/>
  <c r="KE112" i="4" s="1"/>
  <c r="X112" i="4"/>
  <c r="KK104" i="1"/>
  <c r="KI105" i="1" s="1" a="1"/>
  <c r="KI105" i="1" s="1"/>
  <c r="KJ105" i="1" s="1"/>
  <c r="X130" i="1"/>
  <c r="Z101" i="1" l="1" a="1"/>
  <c r="Z101" i="1" s="1"/>
  <c r="Y102" i="1" s="1" a="1"/>
  <c r="Y102" i="1" s="1"/>
  <c r="AB102" i="1" s="1"/>
  <c r="KD102" i="1" s="1"/>
  <c r="AB101" i="1"/>
  <c r="KD101" i="1" s="1"/>
  <c r="AA114" i="5"/>
  <c r="KC114" i="5" s="1"/>
  <c r="Z114" i="5" s="1" a="1"/>
  <c r="Z114" i="5" s="1"/>
  <c r="Y115" i="5" s="1" a="1"/>
  <c r="Y115" i="5" s="1"/>
  <c r="AB114" i="5"/>
  <c r="KD114" i="5" s="1"/>
  <c r="X116" i="5"/>
  <c r="KJ115" i="5"/>
  <c r="KK115" i="5" s="1"/>
  <c r="KI116" i="5" a="1"/>
  <c r="KI116" i="5" s="1"/>
  <c r="AB111" i="4"/>
  <c r="JZ111" i="4" s="1"/>
  <c r="AA111" i="4"/>
  <c r="JY111" i="4" s="1"/>
  <c r="Z111" i="4" s="1" a="1"/>
  <c r="Z111" i="4" s="1"/>
  <c r="Y112" i="4" s="1" a="1"/>
  <c r="Y112" i="4" s="1"/>
  <c r="X113" i="4"/>
  <c r="KF112" i="4"/>
  <c r="KG112" i="4" s="1"/>
  <c r="KE113" i="4" a="1"/>
  <c r="KE113" i="4" s="1"/>
  <c r="KK105" i="1"/>
  <c r="KI106" i="1" s="1" a="1"/>
  <c r="KI106" i="1" s="1"/>
  <c r="X131" i="1"/>
  <c r="AA102" i="1" l="1"/>
  <c r="KC102" i="1" s="1"/>
  <c r="Z102" i="1" s="1" a="1"/>
  <c r="Z102" i="1" s="1"/>
  <c r="Y103" i="1" s="1" a="1"/>
  <c r="Y103" i="1" s="1"/>
  <c r="AB103" i="1" s="1"/>
  <c r="KD103" i="1" s="1"/>
  <c r="AA115" i="5"/>
  <c r="KC115" i="5" s="1"/>
  <c r="Z115" i="5" s="1" a="1"/>
  <c r="Z115" i="5" s="1"/>
  <c r="Y116" i="5" s="1" a="1"/>
  <c r="Y116" i="5" s="1"/>
  <c r="AB115" i="5"/>
  <c r="KD115" i="5" s="1"/>
  <c r="KJ116" i="5"/>
  <c r="KK116" i="5" s="1"/>
  <c r="KI117" i="5" a="1"/>
  <c r="KI117" i="5" s="1"/>
  <c r="X117" i="5"/>
  <c r="AB112" i="4"/>
  <c r="JZ112" i="4" s="1"/>
  <c r="AA112" i="4"/>
  <c r="JY112" i="4" s="1"/>
  <c r="Z112" i="4" s="1" a="1"/>
  <c r="Z112" i="4" s="1"/>
  <c r="Y113" i="4" s="1" a="1"/>
  <c r="Y113" i="4" s="1"/>
  <c r="X114" i="4"/>
  <c r="KF113" i="4"/>
  <c r="KG113" i="4" s="1"/>
  <c r="KE114" i="4" a="1"/>
  <c r="KE114" i="4" s="1"/>
  <c r="KJ106" i="1"/>
  <c r="X132" i="1"/>
  <c r="AA103" i="1" l="1"/>
  <c r="KC103" i="1" s="1"/>
  <c r="Z103" i="1" s="1" a="1"/>
  <c r="Z103" i="1" s="1"/>
  <c r="Y104" i="1" s="1" a="1"/>
  <c r="Y104" i="1" s="1"/>
  <c r="AA104" i="1" s="1"/>
  <c r="KC104" i="1" s="1"/>
  <c r="AA116" i="5"/>
  <c r="KC116" i="5" s="1"/>
  <c r="Z116" i="5" s="1" a="1"/>
  <c r="Z116" i="5" s="1"/>
  <c r="Y117" i="5" s="1" a="1"/>
  <c r="Y117" i="5" s="1"/>
  <c r="AB116" i="5"/>
  <c r="KD116" i="5" s="1"/>
  <c r="X118" i="5"/>
  <c r="KJ117" i="5"/>
  <c r="KK117" i="5" s="1"/>
  <c r="KI118" i="5" a="1"/>
  <c r="KI118" i="5" s="1"/>
  <c r="AB113" i="4"/>
  <c r="JZ113" i="4" s="1"/>
  <c r="AA113" i="4"/>
  <c r="JY113" i="4" s="1"/>
  <c r="Z113" i="4" s="1" a="1"/>
  <c r="Z113" i="4" s="1"/>
  <c r="KF114" i="4"/>
  <c r="KG114" i="4" s="1"/>
  <c r="KE115" i="4" a="1"/>
  <c r="KE115" i="4" s="1"/>
  <c r="X115" i="4"/>
  <c r="Y114" i="4" a="1"/>
  <c r="Y114" i="4" s="1"/>
  <c r="KK106" i="1"/>
  <c r="KI107" i="1" s="1" a="1"/>
  <c r="KI107" i="1" s="1"/>
  <c r="KJ107" i="1" s="1"/>
  <c r="KK107" i="1" s="1"/>
  <c r="X133" i="1"/>
  <c r="Z104" i="1" l="1" a="1"/>
  <c r="Z104" i="1" s="1"/>
  <c r="Y105" i="1" s="1" a="1"/>
  <c r="Y105" i="1" s="1"/>
  <c r="AA105" i="1" s="1"/>
  <c r="KC105" i="1" s="1"/>
  <c r="AB104" i="1"/>
  <c r="KD104" i="1" s="1"/>
  <c r="AB117" i="5"/>
  <c r="KD117" i="5" s="1"/>
  <c r="AA117" i="5"/>
  <c r="KC117" i="5" s="1"/>
  <c r="Z117" i="5" s="1" a="1"/>
  <c r="Z117" i="5" s="1"/>
  <c r="Y118" i="5" s="1" a="1"/>
  <c r="Y118" i="5" s="1"/>
  <c r="KJ118" i="5"/>
  <c r="KK118" i="5" s="1"/>
  <c r="KI119" i="5" a="1"/>
  <c r="KI119" i="5" s="1"/>
  <c r="X119" i="5"/>
  <c r="X116" i="4"/>
  <c r="AB114" i="4"/>
  <c r="JZ114" i="4" s="1"/>
  <c r="AA114" i="4"/>
  <c r="JY114" i="4" s="1"/>
  <c r="Z114" i="4" s="1" a="1"/>
  <c r="Z114" i="4" s="1"/>
  <c r="Y115" i="4" s="1" a="1"/>
  <c r="Y115" i="4" s="1"/>
  <c r="KF115" i="4"/>
  <c r="KG115" i="4" s="1"/>
  <c r="KE116" i="4" a="1"/>
  <c r="KE116" i="4" s="1"/>
  <c r="KI108" i="1" a="1"/>
  <c r="KI108" i="1" s="1"/>
  <c r="KJ108" i="1" s="1"/>
  <c r="KK108" i="1" s="1"/>
  <c r="X134" i="1"/>
  <c r="Z105" i="1" l="1" a="1"/>
  <c r="Z105" i="1" s="1"/>
  <c r="Y106" i="1" s="1" a="1"/>
  <c r="Y106" i="1" s="1"/>
  <c r="AB106" i="1" s="1"/>
  <c r="KD106" i="1" s="1"/>
  <c r="AB105" i="1"/>
  <c r="KD105" i="1" s="1"/>
  <c r="AB118" i="5"/>
  <c r="KD118" i="5" s="1"/>
  <c r="AA118" i="5"/>
  <c r="KC118" i="5" s="1"/>
  <c r="Z118" i="5" s="1" a="1"/>
  <c r="Z118" i="5" s="1"/>
  <c r="Y119" i="5" s="1" a="1"/>
  <c r="Y119" i="5" s="1"/>
  <c r="X120" i="5"/>
  <c r="KJ119" i="5"/>
  <c r="KK119" i="5" s="1"/>
  <c r="KI120" i="5" a="1"/>
  <c r="KI120" i="5" s="1"/>
  <c r="AB115" i="4"/>
  <c r="JZ115" i="4" s="1"/>
  <c r="AA115" i="4"/>
  <c r="JY115" i="4" s="1"/>
  <c r="Z115" i="4" s="1" a="1"/>
  <c r="Z115" i="4" s="1"/>
  <c r="Y116" i="4" s="1" a="1"/>
  <c r="Y116" i="4" s="1"/>
  <c r="KF116" i="4"/>
  <c r="KG116" i="4" s="1"/>
  <c r="KE117" i="4" a="1"/>
  <c r="KE117" i="4" s="1"/>
  <c r="X117" i="4"/>
  <c r="KI109" i="1" a="1"/>
  <c r="KI109" i="1" s="1"/>
  <c r="KJ109" i="1" s="1"/>
  <c r="KK109" i="1" s="1"/>
  <c r="KI110" i="1" s="1" a="1"/>
  <c r="KI110" i="1" s="1"/>
  <c r="KJ110" i="1" s="1"/>
  <c r="AA106" i="1" l="1"/>
  <c r="KC106" i="1" s="1"/>
  <c r="Z106" i="1" s="1" a="1"/>
  <c r="Z106" i="1" s="1"/>
  <c r="Y107" i="1" s="1" a="1"/>
  <c r="Y107" i="1" s="1"/>
  <c r="AA107" i="1" s="1"/>
  <c r="KC107" i="1" s="1"/>
  <c r="AA119" i="5"/>
  <c r="KC119" i="5" s="1"/>
  <c r="Z119" i="5" s="1" a="1"/>
  <c r="Z119" i="5" s="1"/>
  <c r="Y120" i="5" s="1" a="1"/>
  <c r="Y120" i="5" s="1"/>
  <c r="AB119" i="5"/>
  <c r="KD119" i="5" s="1"/>
  <c r="KJ120" i="5"/>
  <c r="KK120" i="5" s="1"/>
  <c r="KI121" i="5" a="1"/>
  <c r="KI121" i="5" s="1"/>
  <c r="X121" i="5"/>
  <c r="AB116" i="4"/>
  <c r="JZ116" i="4" s="1"/>
  <c r="AA116" i="4"/>
  <c r="JY116" i="4" s="1"/>
  <c r="Z116" i="4" s="1" a="1"/>
  <c r="Z116" i="4" s="1"/>
  <c r="Y117" i="4" s="1" a="1"/>
  <c r="Y117" i="4" s="1"/>
  <c r="KF117" i="4"/>
  <c r="KG117" i="4" s="1"/>
  <c r="KE118" i="4" a="1"/>
  <c r="KE118" i="4" s="1"/>
  <c r="X118" i="4"/>
  <c r="KK110" i="1"/>
  <c r="KI111" i="1" s="1" a="1"/>
  <c r="KI111" i="1" s="1"/>
  <c r="KJ111" i="1" s="1"/>
  <c r="KK111" i="1" s="1"/>
  <c r="KI112" i="1" s="1" a="1"/>
  <c r="KI112" i="1" s="1"/>
  <c r="X136" i="1"/>
  <c r="Z107" i="1" l="1" a="1"/>
  <c r="Z107" i="1" s="1"/>
  <c r="Y108" i="1" s="1" a="1"/>
  <c r="Y108" i="1" s="1"/>
  <c r="AB108" i="1" s="1"/>
  <c r="KD108" i="1" s="1"/>
  <c r="AB107" i="1"/>
  <c r="KD107" i="1" s="1"/>
  <c r="AB120" i="5"/>
  <c r="KD120" i="5" s="1"/>
  <c r="AA120" i="5"/>
  <c r="KC120" i="5" s="1"/>
  <c r="Z120" i="5" s="1" a="1"/>
  <c r="Z120" i="5" s="1"/>
  <c r="Y121" i="5" s="1" a="1"/>
  <c r="Y121" i="5" s="1"/>
  <c r="KJ121" i="5"/>
  <c r="KK121" i="5" s="1"/>
  <c r="KI122" i="5" a="1"/>
  <c r="KI122" i="5" s="1"/>
  <c r="X122" i="5"/>
  <c r="AB117" i="4"/>
  <c r="JZ117" i="4" s="1"/>
  <c r="AA117" i="4"/>
  <c r="JY117" i="4" s="1"/>
  <c r="Z117" i="4" s="1" a="1"/>
  <c r="Z117" i="4" s="1"/>
  <c r="Y118" i="4" s="1" a="1"/>
  <c r="Y118" i="4" s="1"/>
  <c r="X119" i="4"/>
  <c r="KF118" i="4"/>
  <c r="KG118" i="4" s="1"/>
  <c r="KE119" i="4" a="1"/>
  <c r="KE119" i="4" s="1"/>
  <c r="KJ112" i="1"/>
  <c r="KK112" i="1" s="1"/>
  <c r="KI113" i="1" s="1" a="1"/>
  <c r="KI113" i="1" s="1"/>
  <c r="X137" i="1"/>
  <c r="AA108" i="1" l="1"/>
  <c r="KC108" i="1" s="1"/>
  <c r="Z108" i="1" s="1" a="1"/>
  <c r="Z108" i="1" s="1"/>
  <c r="Y109" i="1" s="1" a="1"/>
  <c r="Y109" i="1" s="1"/>
  <c r="AA109" i="1" s="1"/>
  <c r="KC109" i="1" s="1"/>
  <c r="AB121" i="5"/>
  <c r="KD121" i="5" s="1"/>
  <c r="AA121" i="5"/>
  <c r="KC121" i="5" s="1"/>
  <c r="Z121" i="5" s="1" a="1"/>
  <c r="Z121" i="5" s="1"/>
  <c r="KJ122" i="5"/>
  <c r="KK122" i="5" s="1"/>
  <c r="KI123" i="5" a="1"/>
  <c r="KI123" i="5" s="1"/>
  <c r="X123" i="5"/>
  <c r="Y122" i="5" a="1"/>
  <c r="Y122" i="5" s="1"/>
  <c r="AA118" i="4"/>
  <c r="JY118" i="4" s="1"/>
  <c r="Z118" i="4" s="1" a="1"/>
  <c r="Z118" i="4" s="1"/>
  <c r="Y119" i="4" s="1" a="1"/>
  <c r="Y119" i="4" s="1"/>
  <c r="AB118" i="4"/>
  <c r="JZ118" i="4" s="1"/>
  <c r="KF119" i="4"/>
  <c r="KG119" i="4" s="1"/>
  <c r="KE120" i="4" a="1"/>
  <c r="KE120" i="4" s="1"/>
  <c r="X120" i="4"/>
  <c r="KJ113" i="1"/>
  <c r="KK113" i="1" s="1"/>
  <c r="X138" i="1"/>
  <c r="Z109" i="1" l="1" a="1"/>
  <c r="Z109" i="1" s="1"/>
  <c r="Y110" i="1" s="1" a="1"/>
  <c r="Y110" i="1" s="1"/>
  <c r="AA110" i="1" s="1"/>
  <c r="KC110" i="1" s="1"/>
  <c r="AB109" i="1"/>
  <c r="KD109" i="1" s="1"/>
  <c r="KI114" i="1" a="1"/>
  <c r="KI114" i="1" s="1"/>
  <c r="KJ114" i="1" s="1"/>
  <c r="X124" i="5"/>
  <c r="AA122" i="5"/>
  <c r="KC122" i="5" s="1"/>
  <c r="Z122" i="5" s="1" a="1"/>
  <c r="Z122" i="5" s="1"/>
  <c r="Y123" i="5" s="1" a="1"/>
  <c r="Y123" i="5" s="1"/>
  <c r="AB122" i="5"/>
  <c r="KD122" i="5" s="1"/>
  <c r="KJ123" i="5"/>
  <c r="KK123" i="5" s="1"/>
  <c r="KI124" i="5" a="1"/>
  <c r="KI124" i="5" s="1"/>
  <c r="AA119" i="4"/>
  <c r="JY119" i="4" s="1"/>
  <c r="Z119" i="4" s="1" a="1"/>
  <c r="Z119" i="4" s="1"/>
  <c r="Y120" i="4" s="1" a="1"/>
  <c r="Y120" i="4" s="1"/>
  <c r="AB119" i="4"/>
  <c r="JZ119" i="4" s="1"/>
  <c r="X121" i="4"/>
  <c r="KF120" i="4"/>
  <c r="KG120" i="4" s="1"/>
  <c r="KE121" i="4" a="1"/>
  <c r="KE121" i="4" s="1"/>
  <c r="X139" i="1"/>
  <c r="AB110" i="1" l="1"/>
  <c r="KD110" i="1" s="1"/>
  <c r="Z110" i="1" s="1" a="1"/>
  <c r="Z110" i="1" s="1"/>
  <c r="Y111" i="1" s="1" a="1"/>
  <c r="Y111" i="1" s="1"/>
  <c r="AA111" i="1" s="1"/>
  <c r="KC111" i="1" s="1"/>
  <c r="KK114" i="1"/>
  <c r="KI115" i="1" s="1" a="1"/>
  <c r="KI115" i="1" s="1"/>
  <c r="KJ115" i="1" s="1"/>
  <c r="AB123" i="5"/>
  <c r="KD123" i="5" s="1"/>
  <c r="AA123" i="5"/>
  <c r="KC123" i="5" s="1"/>
  <c r="Z123" i="5" s="1" a="1"/>
  <c r="Z123" i="5" s="1"/>
  <c r="Y124" i="5" s="1" a="1"/>
  <c r="Y124" i="5" s="1"/>
  <c r="KJ124" i="5"/>
  <c r="KK124" i="5" s="1"/>
  <c r="KI125" i="5" a="1"/>
  <c r="KI125" i="5" s="1"/>
  <c r="X125" i="5"/>
  <c r="AA120" i="4"/>
  <c r="JY120" i="4" s="1"/>
  <c r="Z120" i="4" s="1" a="1"/>
  <c r="Z120" i="4" s="1"/>
  <c r="Y121" i="4" s="1" a="1"/>
  <c r="Y121" i="4" s="1"/>
  <c r="AB120" i="4"/>
  <c r="JZ120" i="4" s="1"/>
  <c r="KF121" i="4"/>
  <c r="KG121" i="4" s="1"/>
  <c r="KE122" i="4" a="1"/>
  <c r="KE122" i="4" s="1"/>
  <c r="X122" i="4"/>
  <c r="X140" i="1"/>
  <c r="AB111" i="1" l="1"/>
  <c r="KD111" i="1" s="1"/>
  <c r="Z111" i="1" s="1" a="1"/>
  <c r="Z111" i="1" s="1"/>
  <c r="Y112" i="1" s="1" a="1"/>
  <c r="Y112" i="1" s="1"/>
  <c r="AA112" i="1" s="1"/>
  <c r="KC112" i="1" s="1"/>
  <c r="KK115" i="1"/>
  <c r="KI116" i="1" s="1" a="1"/>
  <c r="KI116" i="1" s="1"/>
  <c r="KJ116" i="1" s="1"/>
  <c r="AB124" i="5"/>
  <c r="KD124" i="5" s="1"/>
  <c r="AA124" i="5"/>
  <c r="KC124" i="5" s="1"/>
  <c r="Z124" i="5" s="1" a="1"/>
  <c r="Z124" i="5" s="1"/>
  <c r="Y125" i="5" s="1" a="1"/>
  <c r="Y125" i="5" s="1"/>
  <c r="KJ125" i="5"/>
  <c r="KK125" i="5" s="1"/>
  <c r="KI126" i="5" a="1"/>
  <c r="KI126" i="5" s="1"/>
  <c r="X126" i="5"/>
  <c r="AB121" i="4"/>
  <c r="JZ121" i="4" s="1"/>
  <c r="AA121" i="4"/>
  <c r="JY121" i="4" s="1"/>
  <c r="Z121" i="4" s="1" a="1"/>
  <c r="Z121" i="4" s="1"/>
  <c r="Y122" i="4" a="1"/>
  <c r="Y122" i="4" s="1"/>
  <c r="X123" i="4"/>
  <c r="KF122" i="4"/>
  <c r="KG122" i="4" s="1"/>
  <c r="KE123" i="4" a="1"/>
  <c r="KE123" i="4" s="1"/>
  <c r="Z112" i="1" l="1" a="1"/>
  <c r="Z112" i="1" s="1"/>
  <c r="Y113" i="1" s="1" a="1"/>
  <c r="Y113" i="1" s="1"/>
  <c r="AA113" i="1" s="1"/>
  <c r="KC113" i="1" s="1"/>
  <c r="AB112" i="1"/>
  <c r="KD112" i="1" s="1"/>
  <c r="KK116" i="1"/>
  <c r="KI117" i="1" s="1" a="1"/>
  <c r="KI117" i="1" s="1"/>
  <c r="KJ117" i="1" s="1"/>
  <c r="KK117" i="1" s="1"/>
  <c r="AA125" i="5"/>
  <c r="KC125" i="5" s="1"/>
  <c r="Z125" i="5" s="1" a="1"/>
  <c r="Z125" i="5" s="1"/>
  <c r="Y126" i="5" s="1" a="1"/>
  <c r="Y126" i="5" s="1"/>
  <c r="AB125" i="5"/>
  <c r="KD125" i="5" s="1"/>
  <c r="X127" i="5"/>
  <c r="KJ126" i="5"/>
  <c r="KK126" i="5" s="1"/>
  <c r="KI127" i="5" a="1"/>
  <c r="KI127" i="5" s="1"/>
  <c r="KF123" i="4"/>
  <c r="KG123" i="4" s="1"/>
  <c r="KE124" i="4" a="1"/>
  <c r="KE124" i="4" s="1"/>
  <c r="AB122" i="4"/>
  <c r="JZ122" i="4" s="1"/>
  <c r="AA122" i="4"/>
  <c r="JY122" i="4" s="1"/>
  <c r="Z122" i="4" s="1" a="1"/>
  <c r="Z122" i="4" s="1"/>
  <c r="Y123" i="4" s="1" a="1"/>
  <c r="Y123" i="4" s="1"/>
  <c r="X124" i="4"/>
  <c r="X142" i="1"/>
  <c r="Z113" i="1" l="1" a="1"/>
  <c r="Z113" i="1" s="1"/>
  <c r="Y114" i="1" s="1" a="1"/>
  <c r="Y114" i="1" s="1"/>
  <c r="AA114" i="1" s="1"/>
  <c r="KC114" i="1" s="1"/>
  <c r="AB113" i="1"/>
  <c r="KD113" i="1" s="1"/>
  <c r="KI118" i="1" a="1"/>
  <c r="KI118" i="1" s="1"/>
  <c r="KJ118" i="1" s="1"/>
  <c r="AA126" i="5"/>
  <c r="KC126" i="5" s="1"/>
  <c r="Z126" i="5" s="1" a="1"/>
  <c r="Z126" i="5" s="1"/>
  <c r="Y127" i="5" s="1" a="1"/>
  <c r="Y127" i="5" s="1"/>
  <c r="AB126" i="5"/>
  <c r="KD126" i="5" s="1"/>
  <c r="KJ127" i="5"/>
  <c r="KK127" i="5" s="1"/>
  <c r="KI128" i="5" a="1"/>
  <c r="KI128" i="5" s="1"/>
  <c r="X128" i="5"/>
  <c r="AB123" i="4"/>
  <c r="JZ123" i="4" s="1"/>
  <c r="AA123" i="4"/>
  <c r="JY123" i="4" s="1"/>
  <c r="Z123" i="4" s="1" a="1"/>
  <c r="Z123" i="4" s="1"/>
  <c r="Y124" i="4" s="1" a="1"/>
  <c r="Y124" i="4" s="1"/>
  <c r="X125" i="4"/>
  <c r="KF124" i="4"/>
  <c r="KG124" i="4" s="1"/>
  <c r="KE125" i="4" a="1"/>
  <c r="KE125" i="4" s="1"/>
  <c r="Z114" i="1" l="1" a="1"/>
  <c r="Z114" i="1" s="1"/>
  <c r="Y115" i="1" s="1" a="1"/>
  <c r="Y115" i="1" s="1"/>
  <c r="AA115" i="1" s="1"/>
  <c r="KC115" i="1" s="1"/>
  <c r="AB114" i="1"/>
  <c r="KD114" i="1" s="1"/>
  <c r="KK118" i="1"/>
  <c r="KI119" i="1" s="1" a="1"/>
  <c r="KI119" i="1" s="1"/>
  <c r="KJ119" i="1" s="1"/>
  <c r="KK119" i="1" s="1"/>
  <c r="AB127" i="5"/>
  <c r="KD127" i="5" s="1"/>
  <c r="AA127" i="5"/>
  <c r="KC127" i="5" s="1"/>
  <c r="Z127" i="5" s="1" a="1"/>
  <c r="Z127" i="5" s="1"/>
  <c r="Y128" i="5" s="1" a="1"/>
  <c r="Y128" i="5" s="1"/>
  <c r="X129" i="5"/>
  <c r="KJ128" i="5"/>
  <c r="KK128" i="5" s="1"/>
  <c r="KI129" i="5" a="1"/>
  <c r="KI129" i="5" s="1"/>
  <c r="AB124" i="4"/>
  <c r="JZ124" i="4" s="1"/>
  <c r="AA124" i="4"/>
  <c r="JY124" i="4" s="1"/>
  <c r="Z124" i="4" s="1" a="1"/>
  <c r="Z124" i="4" s="1"/>
  <c r="Y125" i="4" s="1" a="1"/>
  <c r="Y125" i="4" s="1"/>
  <c r="KF125" i="4"/>
  <c r="KG125" i="4" s="1"/>
  <c r="KE126" i="4" a="1"/>
  <c r="KE126" i="4" s="1"/>
  <c r="X126" i="4"/>
  <c r="X144" i="1"/>
  <c r="Z115" i="1" l="1" a="1"/>
  <c r="Z115" i="1" s="1"/>
  <c r="Y116" i="1" s="1" a="1"/>
  <c r="Y116" i="1" s="1"/>
  <c r="AA116" i="1" s="1"/>
  <c r="KC116" i="1" s="1"/>
  <c r="AB115" i="1"/>
  <c r="KD115" i="1" s="1"/>
  <c r="AB128" i="5"/>
  <c r="KD128" i="5" s="1"/>
  <c r="AA128" i="5"/>
  <c r="KC128" i="5" s="1"/>
  <c r="Z128" i="5" s="1" a="1"/>
  <c r="Z128" i="5" s="1"/>
  <c r="Y129" i="5" s="1" a="1"/>
  <c r="Y129" i="5" s="1"/>
  <c r="KJ129" i="5"/>
  <c r="KK129" i="5" s="1"/>
  <c r="KI130" i="5" a="1"/>
  <c r="KI130" i="5" s="1"/>
  <c r="X130" i="5"/>
  <c r="AA125" i="4"/>
  <c r="JY125" i="4" s="1"/>
  <c r="Z125" i="4" s="1" a="1"/>
  <c r="Z125" i="4" s="1"/>
  <c r="Y126" i="4" s="1" a="1"/>
  <c r="Y126" i="4" s="1"/>
  <c r="AB125" i="4"/>
  <c r="JZ125" i="4" s="1"/>
  <c r="KF126" i="4"/>
  <c r="KG126" i="4" s="1"/>
  <c r="KE127" i="4" a="1"/>
  <c r="KE127" i="4" s="1"/>
  <c r="X127" i="4"/>
  <c r="KI120" i="1" a="1"/>
  <c r="KI120" i="1" s="1"/>
  <c r="KJ120" i="1" s="1"/>
  <c r="X145" i="1"/>
  <c r="Z116" i="1" l="1" a="1"/>
  <c r="Z116" i="1" s="1"/>
  <c r="Y117" i="1" s="1" a="1"/>
  <c r="Y117" i="1" s="1"/>
  <c r="AA117" i="1" s="1"/>
  <c r="KC117" i="1" s="1"/>
  <c r="AB116" i="1"/>
  <c r="KD116" i="1" s="1"/>
  <c r="AB129" i="5"/>
  <c r="KD129" i="5" s="1"/>
  <c r="AA129" i="5"/>
  <c r="KC129" i="5" s="1"/>
  <c r="Z129" i="5" s="1" a="1"/>
  <c r="Z129" i="5" s="1"/>
  <c r="KJ130" i="5"/>
  <c r="KK130" i="5" s="1"/>
  <c r="KI131" i="5" a="1"/>
  <c r="KI131" i="5" s="1"/>
  <c r="X131" i="5"/>
  <c r="Y130" i="5" a="1"/>
  <c r="Y130" i="5" s="1"/>
  <c r="AB126" i="4"/>
  <c r="JZ126" i="4" s="1"/>
  <c r="AA126" i="4"/>
  <c r="JY126" i="4" s="1"/>
  <c r="Z126" i="4" s="1" a="1"/>
  <c r="Z126" i="4" s="1"/>
  <c r="Y127" i="4" s="1" a="1"/>
  <c r="Y127" i="4" s="1"/>
  <c r="KF127" i="4"/>
  <c r="KG127" i="4" s="1"/>
  <c r="KE128" i="4" a="1"/>
  <c r="KE128" i="4" s="1"/>
  <c r="X128" i="4"/>
  <c r="KK120" i="1"/>
  <c r="KI121" i="1" s="1" a="1"/>
  <c r="KI121" i="1" s="1"/>
  <c r="KJ121" i="1" s="1"/>
  <c r="X146" i="1"/>
  <c r="Z117" i="1" l="1" a="1"/>
  <c r="Z117" i="1" s="1"/>
  <c r="Y118" i="1" s="1" a="1"/>
  <c r="Y118" i="1" s="1"/>
  <c r="AA118" i="1" s="1"/>
  <c r="KC118" i="1" s="1"/>
  <c r="AB117" i="1"/>
  <c r="KD117" i="1" s="1"/>
  <c r="AB130" i="5"/>
  <c r="KD130" i="5" s="1"/>
  <c r="AA130" i="5"/>
  <c r="KC130" i="5" s="1"/>
  <c r="Z130" i="5" s="1" a="1"/>
  <c r="Z130" i="5" s="1"/>
  <c r="Y131" i="5" s="1" a="1"/>
  <c r="Y131" i="5" s="1"/>
  <c r="KJ131" i="5"/>
  <c r="KK131" i="5" s="1"/>
  <c r="KI132" i="5" a="1"/>
  <c r="KI132" i="5" s="1"/>
  <c r="X132" i="5"/>
  <c r="AB127" i="4"/>
  <c r="JZ127" i="4" s="1"/>
  <c r="AA127" i="4"/>
  <c r="JY127" i="4" s="1"/>
  <c r="Z127" i="4" s="1" a="1"/>
  <c r="Z127" i="4" s="1"/>
  <c r="Y128" i="4" s="1" a="1"/>
  <c r="Y128" i="4" s="1"/>
  <c r="X129" i="4"/>
  <c r="KF128" i="4"/>
  <c r="KG128" i="4" s="1"/>
  <c r="KE129" i="4" a="1"/>
  <c r="KE129" i="4" s="1"/>
  <c r="KK121" i="1"/>
  <c r="KI122" i="1" s="1" a="1"/>
  <c r="KI122" i="1" s="1"/>
  <c r="KJ122" i="1" s="1"/>
  <c r="X147" i="1"/>
  <c r="Z118" i="1" l="1" a="1"/>
  <c r="Z118" i="1" s="1"/>
  <c r="Y119" i="1" s="1" a="1"/>
  <c r="Y119" i="1" s="1"/>
  <c r="AA119" i="1" s="1"/>
  <c r="KC119" i="1" s="1"/>
  <c r="AB118" i="1"/>
  <c r="KD118" i="1" s="1"/>
  <c r="AB131" i="5"/>
  <c r="KD131" i="5" s="1"/>
  <c r="AA131" i="5"/>
  <c r="KC131" i="5" s="1"/>
  <c r="Z131" i="5" s="1" a="1"/>
  <c r="Z131" i="5" s="1"/>
  <c r="Y132" i="5" s="1" a="1"/>
  <c r="Y132" i="5" s="1"/>
  <c r="X133" i="5"/>
  <c r="KJ132" i="5"/>
  <c r="KK132" i="5" s="1"/>
  <c r="KI133" i="5" a="1"/>
  <c r="KI133" i="5" s="1"/>
  <c r="AB128" i="4"/>
  <c r="JZ128" i="4" s="1"/>
  <c r="AA128" i="4"/>
  <c r="JY128" i="4" s="1"/>
  <c r="Z128" i="4" s="1" a="1"/>
  <c r="Z128" i="4" s="1"/>
  <c r="Y129" i="4" s="1" a="1"/>
  <c r="Y129" i="4" s="1"/>
  <c r="KF129" i="4"/>
  <c r="KG129" i="4" s="1"/>
  <c r="KE130" i="4" a="1"/>
  <c r="KE130" i="4" s="1"/>
  <c r="X130" i="4"/>
  <c r="KK122" i="1"/>
  <c r="KI123" i="1" s="1" a="1"/>
  <c r="KI123" i="1" s="1"/>
  <c r="KJ123" i="1" s="1"/>
  <c r="KK123" i="1" s="1"/>
  <c r="X148" i="1"/>
  <c r="Z119" i="1" l="1" a="1"/>
  <c r="Z119" i="1" s="1"/>
  <c r="Y120" i="1" s="1" a="1"/>
  <c r="Y120" i="1" s="1"/>
  <c r="AB120" i="1" s="1"/>
  <c r="KD120" i="1" s="1"/>
  <c r="AB119" i="1"/>
  <c r="KD119" i="1" s="1"/>
  <c r="AA132" i="5"/>
  <c r="KC132" i="5" s="1"/>
  <c r="Z132" i="5" s="1" a="1"/>
  <c r="Z132" i="5" s="1"/>
  <c r="Y133" i="5" s="1" a="1"/>
  <c r="Y133" i="5" s="1"/>
  <c r="AB132" i="5"/>
  <c r="KD132" i="5" s="1"/>
  <c r="KJ133" i="5"/>
  <c r="KK133" i="5" s="1"/>
  <c r="KI134" i="5" a="1"/>
  <c r="KI134" i="5" s="1"/>
  <c r="X134" i="5"/>
  <c r="AB129" i="4"/>
  <c r="JZ129" i="4" s="1"/>
  <c r="AA129" i="4"/>
  <c r="JY129" i="4" s="1"/>
  <c r="Z129" i="4" s="1" a="1"/>
  <c r="Z129" i="4" s="1"/>
  <c r="X131" i="4"/>
  <c r="Y130" i="4" a="1"/>
  <c r="Y130" i="4" s="1"/>
  <c r="KF130" i="4"/>
  <c r="KG130" i="4" s="1"/>
  <c r="KE131" i="4" a="1"/>
  <c r="KE131" i="4" s="1"/>
  <c r="KI124" i="1" a="1"/>
  <c r="KI124" i="1" s="1"/>
  <c r="KJ124" i="1" s="1"/>
  <c r="X149" i="1"/>
  <c r="AA120" i="1" l="1"/>
  <c r="KC120" i="1" s="1"/>
  <c r="Z120" i="1" s="1" a="1"/>
  <c r="Z120" i="1" s="1"/>
  <c r="Y121" i="1" s="1" a="1"/>
  <c r="Y121" i="1" s="1"/>
  <c r="AA121" i="1" s="1"/>
  <c r="KC121" i="1" s="1"/>
  <c r="AB133" i="5"/>
  <c r="KD133" i="5" s="1"/>
  <c r="AA133" i="5"/>
  <c r="KC133" i="5" s="1"/>
  <c r="Z133" i="5" s="1" a="1"/>
  <c r="Z133" i="5" s="1"/>
  <c r="Y134" i="5" s="1" a="1"/>
  <c r="Y134" i="5" s="1"/>
  <c r="X135" i="5"/>
  <c r="KJ134" i="5"/>
  <c r="KK134" i="5" s="1"/>
  <c r="KI135" i="5" a="1"/>
  <c r="KI135" i="5" s="1"/>
  <c r="X132" i="4"/>
  <c r="AB130" i="4"/>
  <c r="JZ130" i="4" s="1"/>
  <c r="AA130" i="4"/>
  <c r="JY130" i="4" s="1"/>
  <c r="Z130" i="4" s="1" a="1"/>
  <c r="Z130" i="4" s="1"/>
  <c r="Y131" i="4" s="1" a="1"/>
  <c r="Y131" i="4" s="1"/>
  <c r="KF131" i="4"/>
  <c r="KG131" i="4" s="1"/>
  <c r="KE132" i="4" a="1"/>
  <c r="KE132" i="4" s="1"/>
  <c r="KK124" i="1"/>
  <c r="KI125" i="1" s="1" a="1"/>
  <c r="KI125" i="1" s="1"/>
  <c r="KJ125" i="1" s="1"/>
  <c r="X150" i="1"/>
  <c r="Z121" i="1" l="1" a="1"/>
  <c r="Z121" i="1" s="1"/>
  <c r="Y122" i="1" s="1" a="1"/>
  <c r="Y122" i="1" s="1"/>
  <c r="AA122" i="1" s="1"/>
  <c r="KC122" i="1" s="1"/>
  <c r="AB121" i="1"/>
  <c r="KD121" i="1" s="1"/>
  <c r="AB134" i="5"/>
  <c r="KD134" i="5" s="1"/>
  <c r="AA134" i="5"/>
  <c r="KC134" i="5" s="1"/>
  <c r="Z134" i="5" s="1" a="1"/>
  <c r="Z134" i="5" s="1"/>
  <c r="Y135" i="5" s="1" a="1"/>
  <c r="Y135" i="5" s="1"/>
  <c r="X136" i="5"/>
  <c r="KJ135" i="5"/>
  <c r="KK135" i="5" s="1"/>
  <c r="KI136" i="5" a="1"/>
  <c r="KI136" i="5" s="1"/>
  <c r="AA131" i="4"/>
  <c r="JY131" i="4" s="1"/>
  <c r="Z131" i="4" s="1" a="1"/>
  <c r="Z131" i="4" s="1"/>
  <c r="Y132" i="4" s="1" a="1"/>
  <c r="Y132" i="4" s="1"/>
  <c r="AB131" i="4"/>
  <c r="JZ131" i="4" s="1"/>
  <c r="KF132" i="4"/>
  <c r="KG132" i="4" s="1"/>
  <c r="KE133" i="4" a="1"/>
  <c r="KE133" i="4" s="1"/>
  <c r="X133" i="4"/>
  <c r="KK125" i="1"/>
  <c r="KI126" i="1" s="1" a="1"/>
  <c r="KI126" i="1" s="1"/>
  <c r="KJ126" i="1" s="1"/>
  <c r="X151" i="1"/>
  <c r="Z122" i="1" l="1" a="1"/>
  <c r="Z122" i="1" s="1"/>
  <c r="Y123" i="1" s="1" a="1"/>
  <c r="Y123" i="1" s="1"/>
  <c r="AB123" i="1" s="1"/>
  <c r="KD123" i="1" s="1"/>
  <c r="AB122" i="1"/>
  <c r="KD122" i="1" s="1"/>
  <c r="AB135" i="5"/>
  <c r="KD135" i="5" s="1"/>
  <c r="AA135" i="5"/>
  <c r="KC135" i="5" s="1"/>
  <c r="Z135" i="5" s="1" a="1"/>
  <c r="Z135" i="5" s="1"/>
  <c r="Y136" i="5" s="1" a="1"/>
  <c r="Y136" i="5" s="1"/>
  <c r="KJ136" i="5"/>
  <c r="KK136" i="5" s="1"/>
  <c r="KI137" i="5" a="1"/>
  <c r="KI137" i="5" s="1"/>
  <c r="X137" i="5"/>
  <c r="AB132" i="4"/>
  <c r="JZ132" i="4" s="1"/>
  <c r="AA132" i="4"/>
  <c r="JY132" i="4" s="1"/>
  <c r="Z132" i="4" s="1" a="1"/>
  <c r="Z132" i="4" s="1"/>
  <c r="Y133" i="4" s="1" a="1"/>
  <c r="Y133" i="4" s="1"/>
  <c r="X134" i="4"/>
  <c r="KF133" i="4"/>
  <c r="KG133" i="4" s="1"/>
  <c r="KE134" i="4" a="1"/>
  <c r="KE134" i="4" s="1"/>
  <c r="KK126" i="1"/>
  <c r="KI127" i="1" s="1" a="1"/>
  <c r="KI127" i="1" s="1"/>
  <c r="KJ127" i="1" s="1"/>
  <c r="KK127" i="1" s="1"/>
  <c r="X152" i="1"/>
  <c r="AA123" i="1" l="1"/>
  <c r="KC123" i="1" s="1"/>
  <c r="Z123" i="1" s="1" a="1"/>
  <c r="Z123" i="1" s="1"/>
  <c r="Y124" i="1" s="1" a="1"/>
  <c r="Y124" i="1" s="1"/>
  <c r="AA124" i="1" s="1"/>
  <c r="KC124" i="1" s="1"/>
  <c r="AB136" i="5"/>
  <c r="KD136" i="5" s="1"/>
  <c r="AA136" i="5"/>
  <c r="KC136" i="5" s="1"/>
  <c r="Z136" i="5" s="1" a="1"/>
  <c r="Z136" i="5" s="1"/>
  <c r="Y137" i="5" s="1" a="1"/>
  <c r="Y137" i="5" s="1"/>
  <c r="X138" i="5"/>
  <c r="KJ137" i="5"/>
  <c r="KK137" i="5" s="1"/>
  <c r="AB133" i="4"/>
  <c r="JZ133" i="4" s="1"/>
  <c r="AA133" i="4"/>
  <c r="JY133" i="4" s="1"/>
  <c r="Z133" i="4" s="1" a="1"/>
  <c r="Z133" i="4" s="1"/>
  <c r="Y134" i="4" s="1" a="1"/>
  <c r="Y134" i="4" s="1"/>
  <c r="KF134" i="4"/>
  <c r="KG134" i="4" s="1"/>
  <c r="KE135" i="4" a="1"/>
  <c r="KE135" i="4" s="1"/>
  <c r="X135" i="4"/>
  <c r="KI128" i="1" a="1"/>
  <c r="KI128" i="1" s="1"/>
  <c r="KJ128" i="1" s="1"/>
  <c r="KK128" i="1" s="1"/>
  <c r="X153" i="1"/>
  <c r="AB124" i="1" l="1"/>
  <c r="KD124" i="1" s="1"/>
  <c r="Z124" i="1" s="1" a="1"/>
  <c r="Z124" i="1" s="1"/>
  <c r="Y125" i="1" s="1" a="1"/>
  <c r="Y125" i="1" s="1"/>
  <c r="AA125" i="1" s="1"/>
  <c r="KC125" i="1" s="1"/>
  <c r="AA137" i="5"/>
  <c r="KC137" i="5" s="1"/>
  <c r="Z137" i="5" s="1" a="1"/>
  <c r="Z137" i="5" s="1"/>
  <c r="AB137" i="5"/>
  <c r="KD137" i="5" s="1"/>
  <c r="X139" i="5"/>
  <c r="Y138" i="5" a="1"/>
  <c r="Y138" i="5" s="1"/>
  <c r="KI138" i="5" a="1"/>
  <c r="KI138" i="5" s="1"/>
  <c r="AB134" i="4"/>
  <c r="JZ134" i="4" s="1"/>
  <c r="AA134" i="4"/>
  <c r="JY134" i="4" s="1"/>
  <c r="Z134" i="4" s="1" a="1"/>
  <c r="Z134" i="4" s="1"/>
  <c r="Y135" i="4" s="1" a="1"/>
  <c r="Y135" i="4" s="1"/>
  <c r="X136" i="4"/>
  <c r="KF135" i="4"/>
  <c r="KG135" i="4" s="1"/>
  <c r="KE136" i="4" a="1"/>
  <c r="KE136" i="4" s="1"/>
  <c r="KI129" i="1" a="1"/>
  <c r="KI129" i="1" s="1"/>
  <c r="KJ129" i="1" s="1"/>
  <c r="X154" i="1"/>
  <c r="Z125" i="1" l="1" a="1"/>
  <c r="Z125" i="1" s="1"/>
  <c r="Y126" i="1" s="1" a="1"/>
  <c r="Y126" i="1" s="1"/>
  <c r="AB126" i="1" s="1"/>
  <c r="KD126" i="1" s="1"/>
  <c r="AB125" i="1"/>
  <c r="KD125" i="1" s="1"/>
  <c r="KJ138" i="5"/>
  <c r="KK138" i="5" s="1"/>
  <c r="KI139" i="5" a="1"/>
  <c r="KI139" i="5" s="1"/>
  <c r="AB138" i="5"/>
  <c r="KD138" i="5" s="1"/>
  <c r="AA138" i="5"/>
  <c r="KC138" i="5" s="1"/>
  <c r="Z138" i="5" s="1" a="1"/>
  <c r="Z138" i="5" s="1"/>
  <c r="Y139" i="5" s="1" a="1"/>
  <c r="Y139" i="5" s="1"/>
  <c r="X140" i="5"/>
  <c r="AA135" i="4"/>
  <c r="JY135" i="4" s="1"/>
  <c r="Z135" i="4" s="1" a="1"/>
  <c r="Z135" i="4" s="1"/>
  <c r="Y136" i="4" s="1" a="1"/>
  <c r="Y136" i="4" s="1"/>
  <c r="AB135" i="4"/>
  <c r="JZ135" i="4" s="1"/>
  <c r="X137" i="4"/>
  <c r="KF136" i="4"/>
  <c r="KG136" i="4" s="1"/>
  <c r="KE137" i="4" a="1"/>
  <c r="KE137" i="4" s="1"/>
  <c r="KK129" i="1"/>
  <c r="KI130" i="1" s="1" a="1"/>
  <c r="KI130" i="1" s="1"/>
  <c r="KJ130" i="1" s="1"/>
  <c r="X155" i="1"/>
  <c r="AA126" i="1" l="1"/>
  <c r="KC126" i="1" s="1"/>
  <c r="Z126" i="1" s="1" a="1"/>
  <c r="Z126" i="1" s="1"/>
  <c r="Y127" i="1" s="1" a="1"/>
  <c r="Y127" i="1" s="1"/>
  <c r="AB127" i="1" s="1"/>
  <c r="KD127" i="1" s="1"/>
  <c r="AB139" i="5"/>
  <c r="KD139" i="5" s="1"/>
  <c r="AA139" i="5"/>
  <c r="KC139" i="5" s="1"/>
  <c r="Z139" i="5" s="1" a="1"/>
  <c r="Z139" i="5" s="1"/>
  <c r="Y140" i="5" s="1" a="1"/>
  <c r="Y140" i="5" s="1"/>
  <c r="X141" i="5"/>
  <c r="KJ139" i="5"/>
  <c r="KK139" i="5" s="1"/>
  <c r="KI140" i="5" a="1"/>
  <c r="KI140" i="5" s="1"/>
  <c r="AB136" i="4"/>
  <c r="JZ136" i="4" s="1"/>
  <c r="AA136" i="4"/>
  <c r="JY136" i="4" s="1"/>
  <c r="Z136" i="4" s="1" a="1"/>
  <c r="Z136" i="4" s="1"/>
  <c r="Y137" i="4" s="1" a="1"/>
  <c r="Y137" i="4" s="1"/>
  <c r="KF137" i="4"/>
  <c r="KG137" i="4" s="1"/>
  <c r="KE138" i="4" a="1"/>
  <c r="KE138" i="4" s="1"/>
  <c r="X138" i="4"/>
  <c r="KK130" i="1"/>
  <c r="KI131" i="1" s="1" a="1"/>
  <c r="KI131" i="1" s="1"/>
  <c r="KJ131" i="1" s="1"/>
  <c r="X156" i="1"/>
  <c r="AA127" i="1" l="1"/>
  <c r="KC127" i="1" s="1"/>
  <c r="Z127" i="1" s="1" a="1"/>
  <c r="Z127" i="1" s="1"/>
  <c r="Y128" i="1" s="1" a="1"/>
  <c r="Y128" i="1" s="1"/>
  <c r="AA128" i="1" s="1"/>
  <c r="KC128" i="1" s="1"/>
  <c r="AA140" i="5"/>
  <c r="KC140" i="5" s="1"/>
  <c r="Z140" i="5" s="1" a="1"/>
  <c r="Z140" i="5" s="1"/>
  <c r="Y141" i="5" s="1" a="1"/>
  <c r="Y141" i="5" s="1"/>
  <c r="AB140" i="5"/>
  <c r="KD140" i="5" s="1"/>
  <c r="KJ140" i="5"/>
  <c r="KK140" i="5" s="1"/>
  <c r="KI141" i="5" a="1"/>
  <c r="KI141" i="5" s="1"/>
  <c r="X142" i="5"/>
  <c r="AA137" i="4"/>
  <c r="JY137" i="4" s="1"/>
  <c r="Z137" i="4" s="1" a="1"/>
  <c r="Z137" i="4" s="1"/>
  <c r="AB137" i="4"/>
  <c r="JZ137" i="4" s="1"/>
  <c r="X139" i="4"/>
  <c r="Y138" i="4" a="1"/>
  <c r="Y138" i="4" s="1"/>
  <c r="KF138" i="4"/>
  <c r="KG138" i="4" s="1"/>
  <c r="KE139" i="4" a="1"/>
  <c r="KE139" i="4" s="1"/>
  <c r="KK131" i="1"/>
  <c r="KI132" i="1" s="1" a="1"/>
  <c r="KI132" i="1" s="1"/>
  <c r="KJ132" i="1" s="1"/>
  <c r="X157" i="1"/>
  <c r="AB128" i="1" l="1"/>
  <c r="KD128" i="1" s="1"/>
  <c r="Z128" i="1" s="1" a="1"/>
  <c r="Z128" i="1" s="1"/>
  <c r="Y129" i="1" s="1" a="1"/>
  <c r="Y129" i="1" s="1"/>
  <c r="AA129" i="1" s="1"/>
  <c r="KC129" i="1" s="1"/>
  <c r="AB141" i="5"/>
  <c r="KD141" i="5" s="1"/>
  <c r="AA141" i="5"/>
  <c r="KC141" i="5" s="1"/>
  <c r="Z141" i="5" s="1" a="1"/>
  <c r="Z141" i="5" s="1"/>
  <c r="Y142" i="5" s="1" a="1"/>
  <c r="Y142" i="5" s="1"/>
  <c r="X143" i="5"/>
  <c r="KJ141" i="5"/>
  <c r="KK141" i="5" s="1"/>
  <c r="KI142" i="5" a="1"/>
  <c r="KI142" i="5" s="1"/>
  <c r="AB138" i="4"/>
  <c r="JZ138" i="4" s="1"/>
  <c r="AA138" i="4"/>
  <c r="JY138" i="4" s="1"/>
  <c r="Z138" i="4" s="1" a="1"/>
  <c r="Z138" i="4" s="1"/>
  <c r="Y139" i="4" s="1" a="1"/>
  <c r="Y139" i="4" s="1"/>
  <c r="X140" i="4"/>
  <c r="KF139" i="4"/>
  <c r="KG139" i="4" s="1"/>
  <c r="KE140" i="4" a="1"/>
  <c r="KE140" i="4" s="1"/>
  <c r="KK132" i="1"/>
  <c r="KI133" i="1" s="1" a="1"/>
  <c r="KI133" i="1" s="1"/>
  <c r="KJ133" i="1" s="1"/>
  <c r="X158" i="1"/>
  <c r="Z129" i="1" l="1" a="1"/>
  <c r="Z129" i="1" s="1"/>
  <c r="Y130" i="1" s="1" a="1"/>
  <c r="Y130" i="1" s="1"/>
  <c r="AA130" i="1" s="1"/>
  <c r="KC130" i="1" s="1"/>
  <c r="AB129" i="1"/>
  <c r="KD129" i="1" s="1"/>
  <c r="AB142" i="5"/>
  <c r="KD142" i="5" s="1"/>
  <c r="AA142" i="5"/>
  <c r="KC142" i="5" s="1"/>
  <c r="Z142" i="5" s="1" a="1"/>
  <c r="Z142" i="5" s="1"/>
  <c r="Y143" i="5" s="1" a="1"/>
  <c r="Y143" i="5" s="1"/>
  <c r="KJ142" i="5"/>
  <c r="KK142" i="5" s="1"/>
  <c r="KI143" i="5" a="1"/>
  <c r="KI143" i="5" s="1"/>
  <c r="X144" i="5"/>
  <c r="AB139" i="4"/>
  <c r="JZ139" i="4" s="1"/>
  <c r="AA139" i="4"/>
  <c r="JY139" i="4" s="1"/>
  <c r="Z139" i="4" s="1" a="1"/>
  <c r="Z139" i="4" s="1"/>
  <c r="Y140" i="4" s="1" a="1"/>
  <c r="Y140" i="4" s="1"/>
  <c r="KF140" i="4"/>
  <c r="KG140" i="4" s="1"/>
  <c r="KE141" i="4" a="1"/>
  <c r="KE141" i="4" s="1"/>
  <c r="X141" i="4"/>
  <c r="KK133" i="1"/>
  <c r="KI134" i="1" s="1" a="1"/>
  <c r="KI134" i="1" s="1"/>
  <c r="KJ134" i="1" s="1"/>
  <c r="Z130" i="1" l="1" a="1"/>
  <c r="Z130" i="1" s="1"/>
  <c r="Y131" i="1" s="1" a="1"/>
  <c r="Y131" i="1" s="1"/>
  <c r="AA131" i="1" s="1"/>
  <c r="KC131" i="1" s="1"/>
  <c r="AB130" i="1"/>
  <c r="KD130" i="1" s="1"/>
  <c r="AB143" i="5"/>
  <c r="KD143" i="5" s="1"/>
  <c r="AA143" i="5"/>
  <c r="KC143" i="5" s="1"/>
  <c r="Z143" i="5" s="1" a="1"/>
  <c r="Z143" i="5" s="1"/>
  <c r="Y144" i="5" s="1" a="1"/>
  <c r="Y144" i="5" s="1"/>
  <c r="X145" i="5"/>
  <c r="KJ143" i="5"/>
  <c r="KK143" i="5" s="1"/>
  <c r="KI144" i="5" a="1"/>
  <c r="KI144" i="5" s="1"/>
  <c r="AA140" i="4"/>
  <c r="JY140" i="4" s="1"/>
  <c r="Z140" i="4" s="1" a="1"/>
  <c r="Z140" i="4" s="1"/>
  <c r="Y141" i="4" s="1" a="1"/>
  <c r="Y141" i="4" s="1"/>
  <c r="AB140" i="4"/>
  <c r="JZ140" i="4" s="1"/>
  <c r="KF141" i="4"/>
  <c r="KG141" i="4" s="1"/>
  <c r="KE142" i="4" a="1"/>
  <c r="KE142" i="4" s="1"/>
  <c r="X142" i="4"/>
  <c r="KK134" i="1"/>
  <c r="KI135" i="1" s="1" a="1"/>
  <c r="KI135" i="1" s="1"/>
  <c r="KJ135" i="1" s="1"/>
  <c r="KK135" i="1" s="1"/>
  <c r="X160" i="1"/>
  <c r="AB131" i="1" l="1"/>
  <c r="KD131" i="1" s="1"/>
  <c r="Z131" i="1" a="1"/>
  <c r="Z131" i="1" s="1"/>
  <c r="Y132" i="1" s="1" a="1"/>
  <c r="Y132" i="1" s="1"/>
  <c r="AA132" i="1" s="1"/>
  <c r="KC132" i="1" s="1"/>
  <c r="AA144" i="5"/>
  <c r="KC144" i="5" s="1"/>
  <c r="Z144" i="5" s="1" a="1"/>
  <c r="Z144" i="5" s="1"/>
  <c r="Y145" i="5" s="1" a="1"/>
  <c r="Y145" i="5" s="1"/>
  <c r="AB144" i="5"/>
  <c r="KD144" i="5" s="1"/>
  <c r="KJ144" i="5"/>
  <c r="KK144" i="5" s="1"/>
  <c r="KI145" i="5" a="1"/>
  <c r="KI145" i="5" s="1"/>
  <c r="X146" i="5"/>
  <c r="AB141" i="4"/>
  <c r="JZ141" i="4" s="1"/>
  <c r="AA141" i="4"/>
  <c r="JY141" i="4" s="1"/>
  <c r="Z141" i="4" s="1" a="1"/>
  <c r="Z141" i="4" s="1"/>
  <c r="Y142" i="4" s="1" a="1"/>
  <c r="Y142" i="4" s="1"/>
  <c r="X143" i="4"/>
  <c r="KF142" i="4"/>
  <c r="KG142" i="4" s="1"/>
  <c r="KE143" i="4" a="1"/>
  <c r="KE143" i="4" s="1"/>
  <c r="KI136" i="1" a="1"/>
  <c r="KI136" i="1" s="1"/>
  <c r="KJ136" i="1" s="1"/>
  <c r="X161" i="1"/>
  <c r="Z132" i="1" l="1" a="1"/>
  <c r="Z132" i="1" s="1"/>
  <c r="Y133" i="1" s="1" a="1"/>
  <c r="Y133" i="1" s="1"/>
  <c r="AB133" i="1" s="1"/>
  <c r="KD133" i="1" s="1"/>
  <c r="AB132" i="1"/>
  <c r="KD132" i="1" s="1"/>
  <c r="AB145" i="5"/>
  <c r="KD145" i="5" s="1"/>
  <c r="AA145" i="5"/>
  <c r="KC145" i="5" s="1"/>
  <c r="Z145" i="5" s="1" a="1"/>
  <c r="Z145" i="5" s="1"/>
  <c r="X147" i="5"/>
  <c r="Y146" i="5" a="1"/>
  <c r="Y146" i="5" s="1"/>
  <c r="KJ145" i="5"/>
  <c r="KK145" i="5" s="1"/>
  <c r="KI146" i="5" a="1"/>
  <c r="KI146" i="5" s="1"/>
  <c r="AA142" i="4"/>
  <c r="JY142" i="4" s="1"/>
  <c r="Z142" i="4" s="1" a="1"/>
  <c r="Z142" i="4" s="1"/>
  <c r="Y143" i="4" s="1" a="1"/>
  <c r="Y143" i="4" s="1"/>
  <c r="AB142" i="4"/>
  <c r="JZ142" i="4" s="1"/>
  <c r="KF143" i="4"/>
  <c r="KG143" i="4" s="1"/>
  <c r="KE144" i="4" a="1"/>
  <c r="KE144" i="4" s="1"/>
  <c r="X144" i="4"/>
  <c r="KK136" i="1"/>
  <c r="KI137" i="1" s="1" a="1"/>
  <c r="KI137" i="1" s="1"/>
  <c r="X162" i="1"/>
  <c r="AA133" i="1" l="1"/>
  <c r="KC133" i="1" s="1"/>
  <c r="Z133" i="1" s="1" a="1"/>
  <c r="Z133" i="1" s="1"/>
  <c r="Y134" i="1" s="1" a="1"/>
  <c r="Y134" i="1" s="1"/>
  <c r="AA134" i="1" s="1"/>
  <c r="KC134" i="1" s="1"/>
  <c r="AA146" i="5"/>
  <c r="KC146" i="5" s="1"/>
  <c r="Z146" i="5" s="1" a="1"/>
  <c r="Z146" i="5" s="1"/>
  <c r="Y147" i="5" s="1" a="1"/>
  <c r="Y147" i="5" s="1"/>
  <c r="AB146" i="5"/>
  <c r="KD146" i="5" s="1"/>
  <c r="X148" i="5"/>
  <c r="KJ146" i="5"/>
  <c r="KK146" i="5" s="1"/>
  <c r="KI147" i="5" a="1"/>
  <c r="KI147" i="5" s="1"/>
  <c r="AB143" i="4"/>
  <c r="JZ143" i="4" s="1"/>
  <c r="AA143" i="4"/>
  <c r="JY143" i="4" s="1"/>
  <c r="Z143" i="4" s="1" a="1"/>
  <c r="Z143" i="4" s="1"/>
  <c r="Y144" i="4" s="1" a="1"/>
  <c r="Y144" i="4" s="1"/>
  <c r="X145" i="4"/>
  <c r="KF144" i="4"/>
  <c r="KG144" i="4" s="1"/>
  <c r="KE145" i="4" a="1"/>
  <c r="KE145" i="4" s="1"/>
  <c r="KJ137" i="1"/>
  <c r="KK137" i="1" s="1"/>
  <c r="X163" i="1"/>
  <c r="Z134" i="1" l="1" a="1"/>
  <c r="Z134" i="1" s="1"/>
  <c r="Y135" i="1" s="1" a="1"/>
  <c r="Y135" i="1" s="1"/>
  <c r="AA135" i="1" s="1"/>
  <c r="KC135" i="1" s="1"/>
  <c r="AB134" i="1"/>
  <c r="KD134" i="1" s="1"/>
  <c r="AB147" i="5"/>
  <c r="KD147" i="5" s="1"/>
  <c r="AA147" i="5"/>
  <c r="KC147" i="5" s="1"/>
  <c r="Z147" i="5" s="1" a="1"/>
  <c r="Z147" i="5" s="1"/>
  <c r="Y148" i="5" s="1" a="1"/>
  <c r="Y148" i="5" s="1"/>
  <c r="X149" i="5"/>
  <c r="KJ147" i="5"/>
  <c r="KK147" i="5" s="1"/>
  <c r="KI148" i="5" a="1"/>
  <c r="KI148" i="5" s="1"/>
  <c r="AB144" i="4"/>
  <c r="JZ144" i="4" s="1"/>
  <c r="AA144" i="4"/>
  <c r="JY144" i="4" s="1"/>
  <c r="Z144" i="4" s="1" a="1"/>
  <c r="Z144" i="4" s="1"/>
  <c r="Y145" i="4" s="1" a="1"/>
  <c r="Y145" i="4" s="1"/>
  <c r="KF145" i="4"/>
  <c r="KG145" i="4" s="1"/>
  <c r="KE146" i="4" a="1"/>
  <c r="KE146" i="4" s="1"/>
  <c r="X146" i="4"/>
  <c r="KI138" i="1" a="1"/>
  <c r="KI138" i="1" s="1"/>
  <c r="KJ138" i="1" s="1"/>
  <c r="KK138" i="1" s="1"/>
  <c r="X164" i="1"/>
  <c r="X167" i="1" s="1"/>
  <c r="X168" i="1" s="1"/>
  <c r="Z135" i="1" l="1" a="1"/>
  <c r="Z135" i="1" s="1"/>
  <c r="Y136" i="1" s="1" a="1"/>
  <c r="Y136" i="1" s="1"/>
  <c r="AA136" i="1" s="1"/>
  <c r="KC136" i="1" s="1"/>
  <c r="AB135" i="1"/>
  <c r="KD135" i="1" s="1"/>
  <c r="AB148" i="5"/>
  <c r="KD148" i="5" s="1"/>
  <c r="AA148" i="5"/>
  <c r="KC148" i="5" s="1"/>
  <c r="Z148" i="5" s="1" a="1"/>
  <c r="Z148" i="5" s="1"/>
  <c r="Y149" i="5" s="1" a="1"/>
  <c r="Y149" i="5" s="1"/>
  <c r="KJ148" i="5"/>
  <c r="KK148" i="5" s="1"/>
  <c r="KI149" i="5" a="1"/>
  <c r="KI149" i="5" s="1"/>
  <c r="X150" i="5"/>
  <c r="AB145" i="4"/>
  <c r="JZ145" i="4" s="1"/>
  <c r="AA145" i="4"/>
  <c r="JY145" i="4" s="1"/>
  <c r="Z145" i="4" s="1" a="1"/>
  <c r="Z145" i="4" s="1"/>
  <c r="Y146" i="4" a="1"/>
  <c r="Y146" i="4" s="1"/>
  <c r="X147" i="4"/>
  <c r="KF146" i="4"/>
  <c r="KG146" i="4" s="1"/>
  <c r="KE147" i="4" a="1"/>
  <c r="KE147" i="4" s="1"/>
  <c r="KI139" i="1" a="1"/>
  <c r="KI139" i="1" s="1"/>
  <c r="KJ139" i="1" s="1"/>
  <c r="KK139" i="1" s="1"/>
  <c r="KI140" i="1" s="1" a="1"/>
  <c r="KI140" i="1" s="1"/>
  <c r="KJ140" i="1" s="1"/>
  <c r="Y166" i="1" a="1"/>
  <c r="Y166" i="1" s="1"/>
  <c r="AB136" i="1" l="1"/>
  <c r="KD136" i="1" s="1"/>
  <c r="Z136" i="1" s="1" a="1"/>
  <c r="Z136" i="1" s="1"/>
  <c r="Y137" i="1" s="1" a="1"/>
  <c r="Y137" i="1" s="1"/>
  <c r="AA137" i="1" s="1"/>
  <c r="KC137" i="1" s="1"/>
  <c r="AB149" i="5"/>
  <c r="KD149" i="5" s="1"/>
  <c r="AA149" i="5"/>
  <c r="KC149" i="5" s="1"/>
  <c r="Z149" i="5" s="1" a="1"/>
  <c r="Z149" i="5" s="1"/>
  <c r="Y150" i="5" s="1" a="1"/>
  <c r="Y150" i="5" s="1"/>
  <c r="X151" i="5"/>
  <c r="KJ149" i="5"/>
  <c r="KK149" i="5" s="1"/>
  <c r="KI150" i="5" a="1"/>
  <c r="KI150" i="5" s="1"/>
  <c r="X148" i="4"/>
  <c r="KF147" i="4"/>
  <c r="KG147" i="4" s="1"/>
  <c r="KE148" i="4" a="1"/>
  <c r="KE148" i="4" s="1"/>
  <c r="AB146" i="4"/>
  <c r="JZ146" i="4" s="1"/>
  <c r="AA146" i="4"/>
  <c r="JY146" i="4" s="1"/>
  <c r="Z146" i="4" s="1" a="1"/>
  <c r="Z146" i="4" s="1"/>
  <c r="Y147" i="4" s="1" a="1"/>
  <c r="Y147" i="4" s="1"/>
  <c r="AB166" i="1"/>
  <c r="AA166" i="1"/>
  <c r="KK140" i="1"/>
  <c r="KI141" i="1" s="1" a="1"/>
  <c r="KI141" i="1" s="1"/>
  <c r="KJ141" i="1" s="1"/>
  <c r="Z137" i="1" l="1" a="1"/>
  <c r="Z137" i="1" s="1"/>
  <c r="Y138" i="1" s="1" a="1"/>
  <c r="Y138" i="1" s="1"/>
  <c r="AB138" i="1" s="1"/>
  <c r="KD138" i="1" s="1"/>
  <c r="AB137" i="1"/>
  <c r="KD137" i="1" s="1"/>
  <c r="AB150" i="5"/>
  <c r="KD150" i="5" s="1"/>
  <c r="AA150" i="5"/>
  <c r="KC150" i="5" s="1"/>
  <c r="Z150" i="5" s="1" a="1"/>
  <c r="Z150" i="5" s="1"/>
  <c r="Y151" i="5" s="1" a="1"/>
  <c r="Y151" i="5" s="1"/>
  <c r="KJ150" i="5"/>
  <c r="KK150" i="5" s="1"/>
  <c r="KI151" i="5" a="1"/>
  <c r="KI151" i="5" s="1"/>
  <c r="X152" i="5"/>
  <c r="AB147" i="4"/>
  <c r="JZ147" i="4" s="1"/>
  <c r="AA147" i="4"/>
  <c r="JY147" i="4" s="1"/>
  <c r="Z147" i="4" s="1" a="1"/>
  <c r="Z147" i="4" s="1"/>
  <c r="Y148" i="4" s="1" a="1"/>
  <c r="Y148" i="4" s="1"/>
  <c r="KF148" i="4"/>
  <c r="KG148" i="4" s="1"/>
  <c r="KE149" i="4" a="1"/>
  <c r="KE149" i="4" s="1"/>
  <c r="X149" i="4"/>
  <c r="KK141" i="1"/>
  <c r="KI142" i="1" s="1" a="1"/>
  <c r="KI142" i="1" s="1"/>
  <c r="KJ142" i="1" s="1"/>
  <c r="KA166" i="1"/>
  <c r="KC166" i="1"/>
  <c r="X171" i="1"/>
  <c r="KD166" i="1"/>
  <c r="KB166" i="1"/>
  <c r="KF166" i="1" s="1"/>
  <c r="AA138" i="1" l="1"/>
  <c r="KC138" i="1" s="1"/>
  <c r="Z138" i="1" s="1" a="1"/>
  <c r="Z138" i="1" s="1"/>
  <c r="Y139" i="1" s="1" a="1"/>
  <c r="Y139" i="1" s="1"/>
  <c r="AA139" i="1" s="1"/>
  <c r="KC139" i="1" s="1"/>
  <c r="AB151" i="5"/>
  <c r="KD151" i="5" s="1"/>
  <c r="AA151" i="5"/>
  <c r="KC151" i="5" s="1"/>
  <c r="Z151" i="5" s="1" a="1"/>
  <c r="Z151" i="5" s="1"/>
  <c r="Y152" i="5" s="1" a="1"/>
  <c r="Y152" i="5" s="1"/>
  <c r="KJ151" i="5"/>
  <c r="KK151" i="5" s="1"/>
  <c r="KI152" i="5" a="1"/>
  <c r="KI152" i="5" s="1"/>
  <c r="X153" i="5"/>
  <c r="AB148" i="4"/>
  <c r="JZ148" i="4" s="1"/>
  <c r="AA148" i="4"/>
  <c r="JY148" i="4" s="1"/>
  <c r="Z148" i="4" s="1" a="1"/>
  <c r="Z148" i="4" s="1"/>
  <c r="Y149" i="4" s="1" a="1"/>
  <c r="Y149" i="4" s="1"/>
  <c r="KF149" i="4"/>
  <c r="KG149" i="4" s="1"/>
  <c r="KE150" i="4" a="1"/>
  <c r="KE150" i="4" s="1"/>
  <c r="X150" i="4"/>
  <c r="KK142" i="1"/>
  <c r="KI143" i="1" s="1" a="1"/>
  <c r="KI143" i="1" s="1"/>
  <c r="KJ143" i="1" s="1"/>
  <c r="KE166" i="1"/>
  <c r="X172" i="1"/>
  <c r="AB139" i="1" l="1"/>
  <c r="KD139" i="1" s="1"/>
  <c r="Z139" i="1" s="1" a="1"/>
  <c r="Z139" i="1" s="1"/>
  <c r="Y140" i="1" s="1" a="1"/>
  <c r="Y140" i="1" s="1"/>
  <c r="AA140" i="1" s="1"/>
  <c r="KC140" i="1" s="1"/>
  <c r="AB152" i="5"/>
  <c r="KD152" i="5" s="1"/>
  <c r="AA152" i="5"/>
  <c r="KC152" i="5" s="1"/>
  <c r="Z152" i="5" s="1" a="1"/>
  <c r="Z152" i="5" s="1"/>
  <c r="Y153" i="5" s="1" a="1"/>
  <c r="Y153" i="5" s="1"/>
  <c r="KJ152" i="5"/>
  <c r="KK152" i="5" s="1"/>
  <c r="KI153" i="5" a="1"/>
  <c r="KI153" i="5" s="1"/>
  <c r="X154" i="5"/>
  <c r="AB149" i="4"/>
  <c r="JZ149" i="4" s="1"/>
  <c r="AA149" i="4"/>
  <c r="JY149" i="4" s="1"/>
  <c r="Z149" i="4" s="1" a="1"/>
  <c r="Z149" i="4" s="1"/>
  <c r="Y150" i="4" s="1" a="1"/>
  <c r="Y150" i="4" s="1"/>
  <c r="X151" i="4"/>
  <c r="KF150" i="4"/>
  <c r="KG150" i="4" s="1"/>
  <c r="KE151" i="4" a="1"/>
  <c r="KE151" i="4" s="1"/>
  <c r="KK143" i="1"/>
  <c r="KI144" i="1" s="1" a="1"/>
  <c r="KI144" i="1" s="1"/>
  <c r="KJ144" i="1" s="1"/>
  <c r="X173" i="1"/>
  <c r="Z140" i="1" l="1" a="1"/>
  <c r="Z140" i="1" s="1"/>
  <c r="Y141" i="1" s="1" a="1"/>
  <c r="Y141" i="1" s="1"/>
  <c r="AA141" i="1" s="1"/>
  <c r="KC141" i="1" s="1"/>
  <c r="AB140" i="1"/>
  <c r="KD140" i="1" s="1"/>
  <c r="AB153" i="5"/>
  <c r="KD153" i="5" s="1"/>
  <c r="AA153" i="5"/>
  <c r="KC153" i="5" s="1"/>
  <c r="Z153" i="5" s="1" a="1"/>
  <c r="Z153" i="5" s="1"/>
  <c r="KJ153" i="5"/>
  <c r="KK153" i="5" s="1"/>
  <c r="KI154" i="5" a="1"/>
  <c r="KI154" i="5" s="1"/>
  <c r="X155" i="5"/>
  <c r="Y154" i="5" a="1"/>
  <c r="Y154" i="5" s="1"/>
  <c r="AA150" i="4"/>
  <c r="JY150" i="4" s="1"/>
  <c r="Z150" i="4" s="1" a="1"/>
  <c r="Z150" i="4" s="1"/>
  <c r="Y151" i="4" s="1" a="1"/>
  <c r="Y151" i="4" s="1"/>
  <c r="AB150" i="4"/>
  <c r="JZ150" i="4" s="1"/>
  <c r="KF151" i="4"/>
  <c r="KG151" i="4" s="1"/>
  <c r="KE152" i="4" a="1"/>
  <c r="KE152" i="4" s="1"/>
  <c r="X152" i="4"/>
  <c r="KK144" i="1"/>
  <c r="KI145" i="1" s="1" a="1"/>
  <c r="KI145" i="1" s="1"/>
  <c r="KJ145" i="1" s="1"/>
  <c r="KK145" i="1" s="1"/>
  <c r="KI146" i="1" s="1" a="1"/>
  <c r="KI146" i="1" s="1"/>
  <c r="X174" i="1"/>
  <c r="Z141" i="1" l="1" a="1"/>
  <c r="Z141" i="1" s="1"/>
  <c r="Y142" i="1" s="1" a="1"/>
  <c r="Y142" i="1" s="1"/>
  <c r="AA142" i="1" s="1"/>
  <c r="KC142" i="1" s="1"/>
  <c r="AB141" i="1"/>
  <c r="KD141" i="1" s="1"/>
  <c r="X156" i="5"/>
  <c r="KJ154" i="5"/>
  <c r="KK154" i="5" s="1"/>
  <c r="KI155" i="5" a="1"/>
  <c r="KI155" i="5" s="1"/>
  <c r="AB154" i="5"/>
  <c r="KD154" i="5" s="1"/>
  <c r="AA154" i="5"/>
  <c r="KC154" i="5" s="1"/>
  <c r="Z154" i="5" s="1" a="1"/>
  <c r="Z154" i="5" s="1"/>
  <c r="Y155" i="5" s="1" a="1"/>
  <c r="Y155" i="5" s="1"/>
  <c r="AB151" i="4"/>
  <c r="JZ151" i="4" s="1"/>
  <c r="AA151" i="4"/>
  <c r="JY151" i="4" s="1"/>
  <c r="Z151" i="4" s="1" a="1"/>
  <c r="Z151" i="4" s="1"/>
  <c r="Y152" i="4" s="1" a="1"/>
  <c r="Y152" i="4" s="1"/>
  <c r="X153" i="4"/>
  <c r="KF152" i="4"/>
  <c r="KG152" i="4" s="1"/>
  <c r="KE153" i="4" a="1"/>
  <c r="KE153" i="4" s="1"/>
  <c r="KJ146" i="1"/>
  <c r="KK146" i="1" s="1"/>
  <c r="X175" i="1"/>
  <c r="AB142" i="1" l="1"/>
  <c r="KD142" i="1" s="1"/>
  <c r="Z142" i="1" s="1" a="1"/>
  <c r="Z142" i="1" s="1"/>
  <c r="Y143" i="1" s="1" a="1"/>
  <c r="Y143" i="1" s="1"/>
  <c r="AA143" i="1" s="1"/>
  <c r="KC143" i="1" s="1"/>
  <c r="KI147" i="1" a="1"/>
  <c r="KI147" i="1" s="1"/>
  <c r="KJ147" i="1" s="1"/>
  <c r="AB155" i="5"/>
  <c r="KD155" i="5" s="1"/>
  <c r="AA155" i="5"/>
  <c r="KC155" i="5" s="1"/>
  <c r="Z155" i="5" s="1" a="1"/>
  <c r="Z155" i="5" s="1"/>
  <c r="Y156" i="5" s="1" a="1"/>
  <c r="Y156" i="5" s="1"/>
  <c r="KJ155" i="5"/>
  <c r="KK155" i="5" s="1"/>
  <c r="KI156" i="5" a="1"/>
  <c r="KI156" i="5" s="1"/>
  <c r="X157" i="5"/>
  <c r="AB152" i="4"/>
  <c r="JZ152" i="4" s="1"/>
  <c r="AA152" i="4"/>
  <c r="JY152" i="4" s="1"/>
  <c r="Z152" i="4" s="1" a="1"/>
  <c r="Z152" i="4" s="1"/>
  <c r="Y153" i="4" s="1" a="1"/>
  <c r="Y153" i="4" s="1"/>
  <c r="X154" i="4"/>
  <c r="KF153" i="4"/>
  <c r="KG153" i="4" s="1"/>
  <c r="KE154" i="4" a="1"/>
  <c r="KE154" i="4" s="1"/>
  <c r="X176" i="1"/>
  <c r="AB143" i="1" l="1"/>
  <c r="KD143" i="1" s="1"/>
  <c r="Z143" i="1" s="1" a="1"/>
  <c r="Z143" i="1" s="1"/>
  <c r="Y144" i="1" s="1" a="1"/>
  <c r="Y144" i="1" s="1"/>
  <c r="AA144" i="1" s="1"/>
  <c r="KC144" i="1" s="1"/>
  <c r="KK147" i="1"/>
  <c r="KI148" i="1" s="1" a="1"/>
  <c r="KI148" i="1" s="1"/>
  <c r="KJ148" i="1" s="1"/>
  <c r="AB156" i="5"/>
  <c r="KD156" i="5" s="1"/>
  <c r="AA156" i="5"/>
  <c r="KC156" i="5" s="1"/>
  <c r="Z156" i="5" s="1" a="1"/>
  <c r="Z156" i="5" s="1"/>
  <c r="Y157" i="5" s="1" a="1"/>
  <c r="Y157" i="5" s="1"/>
  <c r="X158" i="5"/>
  <c r="KJ156" i="5"/>
  <c r="KK156" i="5" s="1"/>
  <c r="KI157" i="5" a="1"/>
  <c r="KI157" i="5" s="1"/>
  <c r="AB153" i="4"/>
  <c r="JZ153" i="4" s="1"/>
  <c r="AA153" i="4"/>
  <c r="JY153" i="4" s="1"/>
  <c r="Z153" i="4" s="1" a="1"/>
  <c r="Z153" i="4" s="1"/>
  <c r="KF154" i="4"/>
  <c r="KG154" i="4" s="1"/>
  <c r="KE155" i="4" a="1"/>
  <c r="KE155" i="4" s="1"/>
  <c r="X155" i="4"/>
  <c r="Y154" i="4" a="1"/>
  <c r="Y154" i="4" s="1"/>
  <c r="X180" i="1"/>
  <c r="AB144" i="1" l="1"/>
  <c r="KD144" i="1" s="1"/>
  <c r="Z144" i="1" s="1" a="1"/>
  <c r="Z144" i="1" s="1"/>
  <c r="Y145" i="1" s="1" a="1"/>
  <c r="Y145" i="1" s="1"/>
  <c r="AA145" i="1" s="1"/>
  <c r="KC145" i="1" s="1"/>
  <c r="KK148" i="1"/>
  <c r="KI149" i="1" s="1" a="1"/>
  <c r="KI149" i="1" s="1"/>
  <c r="KJ149" i="1" s="1"/>
  <c r="KK149" i="1" s="1"/>
  <c r="AB157" i="5"/>
  <c r="KD157" i="5" s="1"/>
  <c r="AA157" i="5"/>
  <c r="KC157" i="5" s="1"/>
  <c r="Z157" i="5" s="1" a="1"/>
  <c r="Z157" i="5" s="1"/>
  <c r="Y158" i="5" s="1" a="1"/>
  <c r="Y158" i="5" s="1"/>
  <c r="KJ157" i="5"/>
  <c r="KK157" i="5" s="1"/>
  <c r="KI158" i="5" a="1"/>
  <c r="KI158" i="5" s="1"/>
  <c r="X159" i="5"/>
  <c r="KF155" i="4"/>
  <c r="KG155" i="4" s="1"/>
  <c r="KE156" i="4" a="1"/>
  <c r="KE156" i="4" s="1"/>
  <c r="X156" i="4"/>
  <c r="AA154" i="4"/>
  <c r="JY154" i="4" s="1"/>
  <c r="Z154" i="4" s="1" a="1"/>
  <c r="Z154" i="4" s="1"/>
  <c r="Y155" i="4" s="1" a="1"/>
  <c r="Y155" i="4" s="1"/>
  <c r="AB154" i="4"/>
  <c r="JZ154" i="4" s="1"/>
  <c r="X181" i="1"/>
  <c r="AB145" i="1" l="1"/>
  <c r="KD145" i="1" s="1"/>
  <c r="Z145" i="1" s="1" a="1"/>
  <c r="Z145" i="1" s="1"/>
  <c r="Y146" i="1" s="1" a="1"/>
  <c r="Y146" i="1" s="1"/>
  <c r="AA146" i="1" s="1"/>
  <c r="KC146" i="1" s="1"/>
  <c r="KI150" i="1" a="1"/>
  <c r="KI150" i="1" s="1"/>
  <c r="KJ150" i="1" s="1"/>
  <c r="KK150" i="1" s="1"/>
  <c r="KI151" i="1" s="1" a="1"/>
  <c r="KI151" i="1" s="1"/>
  <c r="AB158" i="5"/>
  <c r="KD158" i="5" s="1"/>
  <c r="AA158" i="5"/>
  <c r="KC158" i="5" s="1"/>
  <c r="Z158" i="5" s="1" a="1"/>
  <c r="Z158" i="5" s="1"/>
  <c r="Y159" i="5" s="1" a="1"/>
  <c r="Y159" i="5" s="1"/>
  <c r="X160" i="5"/>
  <c r="KJ158" i="5"/>
  <c r="KK158" i="5" s="1"/>
  <c r="KI159" i="5" a="1"/>
  <c r="KI159" i="5" s="1"/>
  <c r="AB155" i="4"/>
  <c r="JZ155" i="4" s="1"/>
  <c r="AA155" i="4"/>
  <c r="JY155" i="4" s="1"/>
  <c r="Z155" i="4" s="1" a="1"/>
  <c r="Z155" i="4" s="1"/>
  <c r="Y156" i="4" s="1" a="1"/>
  <c r="Y156" i="4" s="1"/>
  <c r="X157" i="4"/>
  <c r="KF156" i="4"/>
  <c r="KG156" i="4" s="1"/>
  <c r="KE157" i="4" a="1"/>
  <c r="KE157" i="4" s="1"/>
  <c r="X182" i="1"/>
  <c r="Y183" i="1" s="1" a="1"/>
  <c r="Y183" i="1" s="1"/>
  <c r="Z146" i="1" l="1" a="1"/>
  <c r="Z146" i="1" s="1"/>
  <c r="Y147" i="1" s="1" a="1"/>
  <c r="Y147" i="1" s="1"/>
  <c r="AA147" i="1" s="1"/>
  <c r="KC147" i="1" s="1"/>
  <c r="AB146" i="1"/>
  <c r="KD146" i="1" s="1"/>
  <c r="AB159" i="5"/>
  <c r="KD159" i="5" s="1"/>
  <c r="AA159" i="5"/>
  <c r="KC159" i="5" s="1"/>
  <c r="Z159" i="5" s="1" a="1"/>
  <c r="Z159" i="5" s="1"/>
  <c r="Y160" i="5" s="1" a="1"/>
  <c r="Y160" i="5" s="1"/>
  <c r="KJ159" i="5"/>
  <c r="KK159" i="5" s="1"/>
  <c r="KI160" i="5" a="1"/>
  <c r="KI160" i="5" s="1"/>
  <c r="X161" i="5"/>
  <c r="AB156" i="4"/>
  <c r="JZ156" i="4" s="1"/>
  <c r="AA156" i="4"/>
  <c r="JY156" i="4" s="1"/>
  <c r="Z156" i="4" s="1" a="1"/>
  <c r="Z156" i="4" s="1"/>
  <c r="Y157" i="4" s="1" a="1"/>
  <c r="Y157" i="4" s="1"/>
  <c r="KF157" i="4"/>
  <c r="KG157" i="4" s="1"/>
  <c r="KE158" i="4" a="1"/>
  <c r="KE158" i="4" s="1"/>
  <c r="X158" i="4"/>
  <c r="AA183" i="1"/>
  <c r="AB183" i="1"/>
  <c r="KJ151" i="1"/>
  <c r="KK151" i="1" s="1"/>
  <c r="X184" i="1"/>
  <c r="Z147" i="1" l="1" a="1"/>
  <c r="Z147" i="1" s="1"/>
  <c r="Y148" i="1" s="1" a="1"/>
  <c r="Y148" i="1" s="1"/>
  <c r="AA148" i="1" s="1"/>
  <c r="KC148" i="1" s="1"/>
  <c r="AB147" i="1"/>
  <c r="KD147" i="1" s="1"/>
  <c r="AB160" i="5"/>
  <c r="KD160" i="5" s="1"/>
  <c r="AA160" i="5"/>
  <c r="KC160" i="5" s="1"/>
  <c r="Z160" i="5" s="1" a="1"/>
  <c r="Z160" i="5" s="1"/>
  <c r="Y161" i="5" s="1" a="1"/>
  <c r="Y161" i="5" s="1"/>
  <c r="X162" i="5"/>
  <c r="KJ160" i="5"/>
  <c r="KK160" i="5" s="1"/>
  <c r="KI161" i="5" a="1"/>
  <c r="KI161" i="5" s="1"/>
  <c r="KI152" i="1" a="1"/>
  <c r="KI152" i="1" s="1"/>
  <c r="KJ152" i="1" s="1"/>
  <c r="KK152" i="1" s="1"/>
  <c r="AB157" i="4"/>
  <c r="JZ157" i="4" s="1"/>
  <c r="AA157" i="4"/>
  <c r="JY157" i="4" s="1"/>
  <c r="Z157" i="4" s="1" a="1"/>
  <c r="Z157" i="4" s="1"/>
  <c r="Y158" i="4" s="1" a="1"/>
  <c r="Y158" i="4" s="1"/>
  <c r="X159" i="4"/>
  <c r="KF158" i="4"/>
  <c r="KG158" i="4" s="1"/>
  <c r="KE159" i="4" a="1"/>
  <c r="KE159" i="4" s="1"/>
  <c r="OW183" i="1"/>
  <c r="OM183" i="1"/>
  <c r="OL183" i="1"/>
  <c r="OV183" i="1"/>
  <c r="X185" i="1"/>
  <c r="Z148" i="1" l="1" a="1"/>
  <c r="Z148" i="1" s="1"/>
  <c r="Y149" i="1" s="1" a="1"/>
  <c r="Y149" i="1" s="1"/>
  <c r="AA149" i="1" s="1"/>
  <c r="KC149" i="1" s="1"/>
  <c r="AB148" i="1"/>
  <c r="KD148" i="1" s="1"/>
  <c r="AB161" i="5"/>
  <c r="KD161" i="5" s="1"/>
  <c r="AA161" i="5"/>
  <c r="KC161" i="5" s="1"/>
  <c r="Z161" i="5" s="1" a="1"/>
  <c r="Z161" i="5" s="1"/>
  <c r="KJ161" i="5"/>
  <c r="KK161" i="5" s="1"/>
  <c r="KI162" i="5" a="1"/>
  <c r="KI162" i="5" s="1"/>
  <c r="X163" i="5"/>
  <c r="Y162" i="5" a="1"/>
  <c r="Y162" i="5" s="1"/>
  <c r="AB158" i="4"/>
  <c r="JZ158" i="4" s="1"/>
  <c r="AA158" i="4"/>
  <c r="JY158" i="4" s="1"/>
  <c r="Z158" i="4" s="1" a="1"/>
  <c r="Z158" i="4" s="1"/>
  <c r="Y159" i="4" s="1" a="1"/>
  <c r="Y159" i="4" s="1"/>
  <c r="X160" i="4"/>
  <c r="KF159" i="4"/>
  <c r="KG159" i="4" s="1"/>
  <c r="KE160" i="4" a="1"/>
  <c r="KE160" i="4" s="1"/>
  <c r="KI153" i="1" a="1"/>
  <c r="KI153" i="1" s="1"/>
  <c r="KJ153" i="1" s="1"/>
  <c r="KK153" i="1" s="1"/>
  <c r="KI154" i="1" s="1" a="1"/>
  <c r="KI154" i="1" s="1"/>
  <c r="X187" i="1"/>
  <c r="OX183" i="1"/>
  <c r="ON183" i="1"/>
  <c r="OO183" i="1"/>
  <c r="OY183" i="1"/>
  <c r="Z149" i="1" l="1" a="1"/>
  <c r="Z149" i="1" s="1"/>
  <c r="Y150" i="1" s="1" a="1"/>
  <c r="Y150" i="1" s="1"/>
  <c r="AA150" i="1" s="1"/>
  <c r="KC150" i="1" s="1"/>
  <c r="AB149" i="1"/>
  <c r="KD149" i="1" s="1"/>
  <c r="X164" i="5"/>
  <c r="AB162" i="5"/>
  <c r="KD162" i="5" s="1"/>
  <c r="AA162" i="5"/>
  <c r="KC162" i="5" s="1"/>
  <c r="Z162" i="5" s="1" a="1"/>
  <c r="Z162" i="5" s="1"/>
  <c r="Y163" i="5" s="1" a="1"/>
  <c r="Y163" i="5" s="1"/>
  <c r="KJ162" i="5"/>
  <c r="KK162" i="5" s="1"/>
  <c r="KI163" i="5" a="1"/>
  <c r="KI163" i="5" s="1"/>
  <c r="AB159" i="4"/>
  <c r="JZ159" i="4" s="1"/>
  <c r="AA159" i="4"/>
  <c r="JY159" i="4" s="1"/>
  <c r="Z159" i="4" s="1" a="1"/>
  <c r="Z159" i="4" s="1"/>
  <c r="Y160" i="4" s="1" a="1"/>
  <c r="Y160" i="4" s="1"/>
  <c r="KF160" i="4"/>
  <c r="KG160" i="4" s="1"/>
  <c r="KE161" i="4" a="1"/>
  <c r="KE161" i="4" s="1"/>
  <c r="X161" i="4"/>
  <c r="KJ154" i="1"/>
  <c r="KK154" i="1" s="1"/>
  <c r="OP183" i="1"/>
  <c r="OZ183" i="1"/>
  <c r="X189" i="1"/>
  <c r="PZ187" i="1"/>
  <c r="PA183" i="1"/>
  <c r="OQ183" i="1"/>
  <c r="PC183" i="1" s="1"/>
  <c r="Z150" i="1" l="1" a="1"/>
  <c r="Z150" i="1" s="1"/>
  <c r="Y151" i="1" s="1" a="1"/>
  <c r="Y151" i="1" s="1"/>
  <c r="AB151" i="1" s="1"/>
  <c r="KD151" i="1" s="1"/>
  <c r="AB150" i="1"/>
  <c r="KD150" i="1" s="1"/>
  <c r="AB163" i="5"/>
  <c r="KD163" i="5" s="1"/>
  <c r="AA163" i="5"/>
  <c r="KC163" i="5" s="1"/>
  <c r="Z163" i="5" s="1" a="1"/>
  <c r="Z163" i="5" s="1"/>
  <c r="Y164" i="5" s="1" a="1"/>
  <c r="Y164" i="5" s="1"/>
  <c r="KJ163" i="5"/>
  <c r="KK163" i="5" s="1"/>
  <c r="KI164" i="5" a="1"/>
  <c r="KI164" i="5" s="1"/>
  <c r="X165" i="5"/>
  <c r="KI155" i="1" a="1"/>
  <c r="KI155" i="1" s="1"/>
  <c r="KJ155" i="1" s="1"/>
  <c r="KK155" i="1" s="1"/>
  <c r="AB160" i="4"/>
  <c r="JZ160" i="4" s="1"/>
  <c r="AA160" i="4"/>
  <c r="JY160" i="4" s="1"/>
  <c r="Z160" i="4" s="1" a="1"/>
  <c r="Z160" i="4" s="1"/>
  <c r="Y161" i="4" s="1" a="1"/>
  <c r="Y161" i="4" s="1"/>
  <c r="X162" i="4"/>
  <c r="KF161" i="4"/>
  <c r="KG161" i="4" s="1"/>
  <c r="KE162" i="4" a="1"/>
  <c r="KE162" i="4" s="1"/>
  <c r="Z183" i="1" a="1"/>
  <c r="Z183" i="1" s="1"/>
  <c r="Y184" i="1" s="1" a="1"/>
  <c r="Y184" i="1" s="1"/>
  <c r="PB183" i="1"/>
  <c r="RQ187" i="1"/>
  <c r="RR187" i="1"/>
  <c r="RS187" i="1"/>
  <c r="RT187" i="1"/>
  <c r="RJ187" i="1"/>
  <c r="RI187" i="1"/>
  <c r="RK187" i="1"/>
  <c r="RL187" i="1"/>
  <c r="RM187" i="1"/>
  <c r="RN187" i="1"/>
  <c r="RO187" i="1"/>
  <c r="RP187" i="1"/>
  <c r="X190" i="1"/>
  <c r="AA151" i="1" l="1"/>
  <c r="KC151" i="1" s="1"/>
  <c r="Z151" i="1" s="1" a="1"/>
  <c r="Z151" i="1" s="1"/>
  <c r="Y152" i="1" s="1" a="1"/>
  <c r="Y152" i="1" s="1"/>
  <c r="AA152" i="1" s="1"/>
  <c r="KC152" i="1" s="1"/>
  <c r="AB164" i="5"/>
  <c r="KD164" i="5" s="1"/>
  <c r="AA164" i="5"/>
  <c r="KC164" i="5" s="1"/>
  <c r="Z164" i="5" s="1" a="1"/>
  <c r="Z164" i="5" s="1"/>
  <c r="Y165" i="5" s="1" a="1"/>
  <c r="Y165" i="5" s="1"/>
  <c r="X167" i="5"/>
  <c r="Y166" i="5" a="1"/>
  <c r="Y166" i="5" s="1"/>
  <c r="KJ164" i="5"/>
  <c r="KK164" i="5" s="1"/>
  <c r="KI165" i="5" a="1"/>
  <c r="KI165" i="5" s="1"/>
  <c r="AB161" i="4"/>
  <c r="JZ161" i="4" s="1"/>
  <c r="AA161" i="4"/>
  <c r="JY161" i="4" s="1"/>
  <c r="Z161" i="4" s="1" a="1"/>
  <c r="Z161" i="4" s="1"/>
  <c r="KF162" i="4"/>
  <c r="KG162" i="4" s="1"/>
  <c r="KE163" i="4" a="1"/>
  <c r="KE163" i="4" s="1"/>
  <c r="X163" i="4"/>
  <c r="Y162" i="4" a="1"/>
  <c r="Y162" i="4" s="1"/>
  <c r="KI156" i="1" a="1"/>
  <c r="KI156" i="1" s="1"/>
  <c r="KJ156" i="1" s="1"/>
  <c r="KK156" i="1" s="1"/>
  <c r="AA184" i="1"/>
  <c r="AB184" i="1"/>
  <c r="X192" i="1"/>
  <c r="Y193" i="1" s="1" a="1"/>
  <c r="Y193" i="1" s="1"/>
  <c r="AB152" i="1" l="1"/>
  <c r="KD152" i="1" s="1"/>
  <c r="Z152" i="1" s="1" a="1"/>
  <c r="Z152" i="1" s="1"/>
  <c r="Y153" i="1" s="1" a="1"/>
  <c r="Y153" i="1" s="1"/>
  <c r="AA153" i="1" s="1"/>
  <c r="KC153" i="1" s="1"/>
  <c r="AB165" i="5"/>
  <c r="KD165" i="5" s="1"/>
  <c r="AA165" i="5"/>
  <c r="KC165" i="5" s="1"/>
  <c r="Z165" i="5" s="1" a="1"/>
  <c r="Z165" i="5" s="1"/>
  <c r="AB166" i="5"/>
  <c r="AA166" i="5"/>
  <c r="X168" i="5"/>
  <c r="KJ165" i="5"/>
  <c r="KK165" i="5" s="1"/>
  <c r="KI166" i="5" a="1"/>
  <c r="KI166" i="5" s="1"/>
  <c r="AA162" i="4"/>
  <c r="JY162" i="4" s="1"/>
  <c r="Z162" i="4" s="1" a="1"/>
  <c r="Z162" i="4" s="1"/>
  <c r="Y163" i="4" s="1" a="1"/>
  <c r="Y163" i="4" s="1"/>
  <c r="AB162" i="4"/>
  <c r="JZ162" i="4" s="1"/>
  <c r="X164" i="4"/>
  <c r="KF163" i="4"/>
  <c r="KG163" i="4" s="1"/>
  <c r="KE164" i="4" a="1"/>
  <c r="KE164" i="4" s="1"/>
  <c r="KI157" i="1" a="1"/>
  <c r="KI157" i="1" s="1"/>
  <c r="KJ157" i="1" s="1"/>
  <c r="KK157" i="1" s="1"/>
  <c r="KI158" i="1" s="1" a="1"/>
  <c r="KI158" i="1" s="1"/>
  <c r="AB193" i="1"/>
  <c r="OW193" i="1" s="1"/>
  <c r="AA193" i="1"/>
  <c r="OM184" i="1"/>
  <c r="OW184" i="1"/>
  <c r="OL184" i="1"/>
  <c r="OV184" i="1"/>
  <c r="X194" i="1"/>
  <c r="PZ192" i="1"/>
  <c r="Z153" i="1" l="1" a="1"/>
  <c r="Z153" i="1" s="1"/>
  <c r="Y154" i="1" s="1" a="1"/>
  <c r="Y154" i="1" s="1"/>
  <c r="AA154" i="1" s="1"/>
  <c r="KC154" i="1" s="1"/>
  <c r="AB153" i="1"/>
  <c r="KD153" i="1" s="1"/>
  <c r="KJ166" i="5"/>
  <c r="KK166" i="5" s="1"/>
  <c r="KL166" i="5" s="1"/>
  <c r="KI167" i="5" a="1"/>
  <c r="KI167" i="5" s="1"/>
  <c r="KC166" i="5"/>
  <c r="KA166" i="5"/>
  <c r="KD166" i="5"/>
  <c r="KB166" i="5"/>
  <c r="KF166" i="5" s="1"/>
  <c r="Y170" i="5" a="1"/>
  <c r="Y170" i="5" s="1"/>
  <c r="X171" i="5"/>
  <c r="AB163" i="4"/>
  <c r="JZ163" i="4" s="1"/>
  <c r="AA163" i="4"/>
  <c r="JY163" i="4" s="1"/>
  <c r="Z163" i="4" s="1" a="1"/>
  <c r="Z163" i="4" s="1"/>
  <c r="Y164" i="4" s="1" a="1"/>
  <c r="Y164" i="4" s="1"/>
  <c r="X165" i="4"/>
  <c r="KF164" i="4"/>
  <c r="KG164" i="4" s="1"/>
  <c r="KE165" i="4" a="1"/>
  <c r="KE165" i="4" s="1"/>
  <c r="OM193" i="1"/>
  <c r="OY193" i="1" s="1"/>
  <c r="ON184" i="1"/>
  <c r="OX184" i="1"/>
  <c r="OO184" i="1"/>
  <c r="OY184" i="1"/>
  <c r="KJ158" i="1"/>
  <c r="KK158" i="1" s="1"/>
  <c r="OV193" i="1"/>
  <c r="OL193" i="1"/>
  <c r="RO192" i="1"/>
  <c r="RM192" i="1"/>
  <c r="RK192" i="1"/>
  <c r="RJ192" i="1"/>
  <c r="RL192" i="1"/>
  <c r="RI192" i="1"/>
  <c r="RT192" i="1"/>
  <c r="RS192" i="1"/>
  <c r="RR192" i="1"/>
  <c r="RN192" i="1"/>
  <c r="RQ192" i="1"/>
  <c r="RP192" i="1"/>
  <c r="X195" i="1"/>
  <c r="Y196" i="1" s="1" a="1"/>
  <c r="Y196" i="1" s="1"/>
  <c r="Z154" i="1" l="1" a="1"/>
  <c r="Z154" i="1" s="1"/>
  <c r="Y155" i="1" s="1" a="1"/>
  <c r="Y155" i="1" s="1"/>
  <c r="AA155" i="1" s="1"/>
  <c r="KC155" i="1" s="1"/>
  <c r="AB154" i="1"/>
  <c r="KD154" i="1" s="1"/>
  <c r="Z166" i="5" a="1"/>
  <c r="Z166" i="5" s="1"/>
  <c r="Y167" i="5" s="1" a="1"/>
  <c r="Y167" i="5" s="1"/>
  <c r="KE166" i="5"/>
  <c r="X172" i="5"/>
  <c r="KJ167" i="5"/>
  <c r="KK167" i="5" s="1"/>
  <c r="KL167" i="5" s="1"/>
  <c r="KI168" i="5" a="1"/>
  <c r="KI168" i="5" s="1"/>
  <c r="AB170" i="5"/>
  <c r="LP170" i="5" s="1"/>
  <c r="AA170" i="5"/>
  <c r="LO170" i="5" s="1"/>
  <c r="Z170" i="5" s="1" a="1"/>
  <c r="Z170" i="5" s="1"/>
  <c r="Y171" i="5" s="1" a="1"/>
  <c r="Y171" i="5" s="1"/>
  <c r="AA164" i="4"/>
  <c r="JY164" i="4" s="1"/>
  <c r="Z164" i="4" s="1" a="1"/>
  <c r="Z164" i="4" s="1"/>
  <c r="Y165" i="4" s="1" a="1"/>
  <c r="Y165" i="4" s="1"/>
  <c r="AB164" i="4"/>
  <c r="JZ164" i="4" s="1"/>
  <c r="KF165" i="4"/>
  <c r="KG165" i="4" s="1"/>
  <c r="KE166" i="4" a="1"/>
  <c r="KE166" i="4" s="1"/>
  <c r="Y166" i="4" a="1"/>
  <c r="Y166" i="4" s="1"/>
  <c r="X167" i="4"/>
  <c r="KI159" i="1" a="1"/>
  <c r="KI159" i="1" s="1"/>
  <c r="KJ159" i="1" s="1"/>
  <c r="KK159" i="1" s="1"/>
  <c r="OO193" i="1"/>
  <c r="OQ193" i="1" s="1"/>
  <c r="PC193" i="1" s="1"/>
  <c r="OQ184" i="1"/>
  <c r="PC184" i="1" s="1"/>
  <c r="PA184" i="1"/>
  <c r="OZ184" i="1"/>
  <c r="OP184" i="1"/>
  <c r="AB196" i="1"/>
  <c r="KD196" i="1" s="1"/>
  <c r="AA196" i="1"/>
  <c r="ON193" i="1"/>
  <c r="OP193" i="1" s="1"/>
  <c r="OX193" i="1"/>
  <c r="X197" i="1"/>
  <c r="Y198" i="1" s="1" a="1"/>
  <c r="Y198" i="1" s="1"/>
  <c r="Z155" i="1" l="1" a="1"/>
  <c r="Z155" i="1" s="1"/>
  <c r="Y156" i="1" s="1" a="1"/>
  <c r="Y156" i="1" s="1"/>
  <c r="AA156" i="1" s="1"/>
  <c r="KC156" i="1" s="1"/>
  <c r="AB155" i="1"/>
  <c r="KD155" i="1" s="1"/>
  <c r="AB171" i="5"/>
  <c r="LP171" i="5" s="1"/>
  <c r="AA171" i="5"/>
  <c r="LO171" i="5" s="1"/>
  <c r="Z171" i="5" s="1" a="1"/>
  <c r="Z171" i="5" s="1"/>
  <c r="Y172" i="5" s="1" a="1"/>
  <c r="Y172" i="5" s="1"/>
  <c r="X173" i="5"/>
  <c r="KJ168" i="5"/>
  <c r="KK168" i="5" s="1"/>
  <c r="KL168" i="5" s="1"/>
  <c r="KI181" i="5" a="1"/>
  <c r="KI181" i="5" s="1"/>
  <c r="AB167" i="5"/>
  <c r="AA167" i="5"/>
  <c r="AB165" i="4"/>
  <c r="JZ165" i="4" s="1"/>
  <c r="AA165" i="4"/>
  <c r="JY165" i="4" s="1"/>
  <c r="Z165" i="4" s="1" a="1"/>
  <c r="Z165" i="4" s="1"/>
  <c r="AA166" i="4"/>
  <c r="AB166" i="4"/>
  <c r="X168" i="4"/>
  <c r="KF166" i="4"/>
  <c r="KG166" i="4" s="1"/>
  <c r="KH166" i="4" s="1"/>
  <c r="KE167" i="4" a="1"/>
  <c r="KE167" i="4" s="1"/>
  <c r="PA193" i="1"/>
  <c r="AB198" i="1"/>
  <c r="AA198" i="1"/>
  <c r="OL198" i="1" s="1"/>
  <c r="PB184" i="1"/>
  <c r="Z184" i="1" a="1"/>
  <c r="Z184" i="1" s="1"/>
  <c r="Y185" i="1" s="1" a="1"/>
  <c r="Y185" i="1" s="1"/>
  <c r="KI160" i="1" a="1"/>
  <c r="KI160" i="1" s="1"/>
  <c r="KJ160" i="1" s="1"/>
  <c r="KK160" i="1" s="1"/>
  <c r="OZ193" i="1"/>
  <c r="Z193" i="1" s="1" a="1"/>
  <c r="Z193" i="1" s="1"/>
  <c r="Y194" i="1" s="1" a="1"/>
  <c r="Y194" i="1" s="1"/>
  <c r="KC196" i="1"/>
  <c r="Z196" i="1" s="1" a="1"/>
  <c r="Z196" i="1" s="1"/>
  <c r="Y197" i="1" s="1" a="1"/>
  <c r="Y197" i="1" s="1"/>
  <c r="PB193" i="1"/>
  <c r="X199" i="1"/>
  <c r="X200" i="1" s="1"/>
  <c r="PZ197" i="1"/>
  <c r="Z156" i="1" l="1" a="1"/>
  <c r="Z156" i="1" s="1"/>
  <c r="Y157" i="1" s="1" a="1"/>
  <c r="Y157" i="1" s="1"/>
  <c r="AB157" i="1" s="1"/>
  <c r="KD157" i="1" s="1"/>
  <c r="AB156" i="1"/>
  <c r="KD156" i="1" s="1"/>
  <c r="AB172" i="5"/>
  <c r="LP172" i="5" s="1"/>
  <c r="AA172" i="5"/>
  <c r="LO172" i="5" s="1"/>
  <c r="Z172" i="5" s="1" a="1"/>
  <c r="Z172" i="5" s="1"/>
  <c r="Y173" i="5" s="1" a="1"/>
  <c r="Y173" i="5" s="1"/>
  <c r="KJ181" i="5"/>
  <c r="KK181" i="5" s="1"/>
  <c r="KL181" i="5" s="1"/>
  <c r="KM181" i="5" s="1"/>
  <c r="KI182" i="5" a="1"/>
  <c r="KI182" i="5" s="1"/>
  <c r="KJ182" i="5" s="1"/>
  <c r="KK182" i="5" s="1"/>
  <c r="KL182" i="5" s="1"/>
  <c r="KM182" i="5" s="1"/>
  <c r="KA167" i="5"/>
  <c r="KC167" i="5"/>
  <c r="KB167" i="5"/>
  <c r="KF167" i="5" s="1"/>
  <c r="KD167" i="5"/>
  <c r="X174" i="5"/>
  <c r="X171" i="4"/>
  <c r="Y170" i="4" a="1"/>
  <c r="Y170" i="4" s="1"/>
  <c r="JZ166" i="4"/>
  <c r="JX166" i="4"/>
  <c r="KB166" i="4" s="1"/>
  <c r="KF167" i="4"/>
  <c r="KG167" i="4" s="1"/>
  <c r="KH167" i="4" s="1"/>
  <c r="KE168" i="4" a="1"/>
  <c r="KE168" i="4" s="1"/>
  <c r="JW166" i="4"/>
  <c r="JY166" i="4"/>
  <c r="AA197" i="1"/>
  <c r="AB197" i="1"/>
  <c r="AB194" i="1"/>
  <c r="AA194" i="1"/>
  <c r="AA185" i="1"/>
  <c r="AB185" i="1"/>
  <c r="KI161" i="1" a="1"/>
  <c r="KI161" i="1" s="1"/>
  <c r="KJ161" i="1" s="1"/>
  <c r="OV198" i="1"/>
  <c r="OW198" i="1"/>
  <c r="OM198" i="1"/>
  <c r="OX198" i="1"/>
  <c r="ON198" i="1"/>
  <c r="X202" i="1"/>
  <c r="RL197" i="1"/>
  <c r="RK197" i="1"/>
  <c r="RN197" i="1"/>
  <c r="RJ197" i="1"/>
  <c r="RR197" i="1"/>
  <c r="RI197" i="1"/>
  <c r="RT197" i="1"/>
  <c r="RS197" i="1"/>
  <c r="RQ197" i="1"/>
  <c r="RM197" i="1"/>
  <c r="RO197" i="1"/>
  <c r="RP197" i="1"/>
  <c r="AA157" i="1" l="1"/>
  <c r="KC157" i="1" s="1"/>
  <c r="Z157" i="1" s="1" a="1"/>
  <c r="Z157" i="1" s="1"/>
  <c r="Y158" i="1" s="1" a="1"/>
  <c r="Y158" i="1" s="1"/>
  <c r="AA158" i="1" s="1"/>
  <c r="KC158" i="1" s="1"/>
  <c r="AB173" i="5"/>
  <c r="LP173" i="5" s="1"/>
  <c r="AA173" i="5"/>
  <c r="LO173" i="5" s="1"/>
  <c r="Z173" i="5" s="1" a="1"/>
  <c r="Z173" i="5" s="1"/>
  <c r="Y174" i="5" a="1"/>
  <c r="Y174" i="5" s="1"/>
  <c r="X175" i="5"/>
  <c r="Z167" i="5" a="1"/>
  <c r="Z167" i="5" s="1"/>
  <c r="Y168" i="5" s="1" a="1"/>
  <c r="Y168" i="5" s="1"/>
  <c r="KE167" i="5"/>
  <c r="AB170" i="4"/>
  <c r="LL170" i="4" s="1"/>
  <c r="AA170" i="4"/>
  <c r="LK170" i="4" s="1"/>
  <c r="Z170" i="4" s="1" a="1"/>
  <c r="Z170" i="4" s="1"/>
  <c r="Y171" i="4" s="1" a="1"/>
  <c r="Y171" i="4" s="1"/>
  <c r="KF168" i="4"/>
  <c r="KG168" i="4" s="1"/>
  <c r="KH168" i="4" s="1"/>
  <c r="KE181" i="4" a="1"/>
  <c r="KE181" i="4" s="1"/>
  <c r="X172" i="4"/>
  <c r="KA166" i="4"/>
  <c r="Z166" i="4" a="1"/>
  <c r="Z166" i="4" s="1"/>
  <c r="Y167" i="4" s="1" a="1"/>
  <c r="Y167" i="4" s="1"/>
  <c r="QA197" i="1"/>
  <c r="QW197" i="1"/>
  <c r="QB197" i="1"/>
  <c r="QX197" i="1"/>
  <c r="OV194" i="1"/>
  <c r="OL194" i="1"/>
  <c r="OM194" i="1"/>
  <c r="OW194" i="1"/>
  <c r="OM185" i="1"/>
  <c r="OW185" i="1"/>
  <c r="OL185" i="1"/>
  <c r="OV185" i="1"/>
  <c r="KK161" i="1"/>
  <c r="KI162" i="1" s="1" a="1"/>
  <c r="KI162" i="1" s="1"/>
  <c r="Y203" i="1" a="1"/>
  <c r="Y203" i="1" s="1"/>
  <c r="Y204" i="1" a="1"/>
  <c r="Y204" i="1" s="1"/>
  <c r="OZ198" i="1"/>
  <c r="OP198" i="1"/>
  <c r="PB198" i="1" s="1"/>
  <c r="OO198" i="1"/>
  <c r="OY198" i="1"/>
  <c r="PZ202" i="1"/>
  <c r="X217" i="1"/>
  <c r="AB158" i="1" l="1"/>
  <c r="KD158" i="1" s="1"/>
  <c r="Z158" i="1" s="1" a="1"/>
  <c r="Z158" i="1" s="1"/>
  <c r="Y159" i="1" s="1" a="1"/>
  <c r="Y159" i="1" s="1"/>
  <c r="AA159" i="1" s="1"/>
  <c r="KC159" i="1" s="1"/>
  <c r="AB168" i="5"/>
  <c r="AA168" i="5"/>
  <c r="X176" i="5"/>
  <c r="AB174" i="5"/>
  <c r="LP174" i="5" s="1"/>
  <c r="AA174" i="5"/>
  <c r="LO174" i="5" s="1"/>
  <c r="Z174" i="5" s="1" a="1"/>
  <c r="Z174" i="5" s="1"/>
  <c r="Y175" i="5" s="1" a="1"/>
  <c r="Y175" i="5" s="1"/>
  <c r="AB171" i="4"/>
  <c r="LL171" i="4" s="1"/>
  <c r="AA171" i="4"/>
  <c r="LK171" i="4" s="1"/>
  <c r="Z171" i="4" s="1" a="1"/>
  <c r="Z171" i="4" s="1"/>
  <c r="Y172" i="4" s="1" a="1"/>
  <c r="Y172" i="4" s="1"/>
  <c r="KF181" i="4"/>
  <c r="KG181" i="4" s="1"/>
  <c r="KH181" i="4" s="1"/>
  <c r="KI181" i="4" s="1"/>
  <c r="KE182" i="4" a="1"/>
  <c r="KE182" i="4" s="1"/>
  <c r="KF182" i="4" s="1"/>
  <c r="KG182" i="4" s="1"/>
  <c r="KH182" i="4" s="1"/>
  <c r="KI182" i="4" s="1"/>
  <c r="X173" i="4"/>
  <c r="AB167" i="4"/>
  <c r="AA167" i="4"/>
  <c r="AB203" i="1"/>
  <c r="AA203" i="1"/>
  <c r="QD197" i="1"/>
  <c r="QZ197" i="1"/>
  <c r="QC197" i="1"/>
  <c r="QY197" i="1"/>
  <c r="OO194" i="1"/>
  <c r="OY194" i="1"/>
  <c r="OX194" i="1"/>
  <c r="ON194" i="1"/>
  <c r="OX185" i="1"/>
  <c r="ON185" i="1"/>
  <c r="OO185" i="1"/>
  <c r="OY185" i="1"/>
  <c r="KJ162" i="1"/>
  <c r="AB204" i="1"/>
  <c r="KD204" i="1" s="1"/>
  <c r="AA204" i="1"/>
  <c r="KC204" i="1" s="1"/>
  <c r="Z198" i="1" a="1"/>
  <c r="Z198" i="1" s="1"/>
  <c r="Y199" i="1" s="1" a="1"/>
  <c r="Y199" i="1" s="1"/>
  <c r="PA198" i="1"/>
  <c r="OQ198" i="1"/>
  <c r="PC198" i="1" s="1"/>
  <c r="RS202" i="1"/>
  <c r="RR202" i="1"/>
  <c r="RP202" i="1"/>
  <c r="RN202" i="1"/>
  <c r="RO202" i="1"/>
  <c r="RK202" i="1"/>
  <c r="RJ202" i="1"/>
  <c r="RI202" i="1"/>
  <c r="RM202" i="1"/>
  <c r="RL202" i="1"/>
  <c r="RQ202" i="1"/>
  <c r="RT202" i="1"/>
  <c r="X218" i="1"/>
  <c r="X219" i="1" s="1"/>
  <c r="X220" i="1" s="1"/>
  <c r="Z159" i="1" l="1" a="1"/>
  <c r="Z159" i="1" s="1"/>
  <c r="Y160" i="1" s="1" a="1"/>
  <c r="Y160" i="1" s="1"/>
  <c r="AA160" i="1" s="1"/>
  <c r="KC160" i="1" s="1"/>
  <c r="AB159" i="1"/>
  <c r="KD159" i="1" s="1"/>
  <c r="AB175" i="5"/>
  <c r="LP175" i="5" s="1"/>
  <c r="AA175" i="5"/>
  <c r="LO175" i="5" s="1"/>
  <c r="Z175" i="5" s="1" a="1"/>
  <c r="Z175" i="5" s="1"/>
  <c r="Y176" i="5" s="1" a="1"/>
  <c r="Y176" i="5" s="1"/>
  <c r="X180" i="5"/>
  <c r="KA168" i="5"/>
  <c r="KC168" i="5"/>
  <c r="KB168" i="5"/>
  <c r="KF168" i="5" s="1"/>
  <c r="KD168" i="5"/>
  <c r="AB172" i="4"/>
  <c r="LL172" i="4" s="1"/>
  <c r="AA172" i="4"/>
  <c r="LK172" i="4" s="1"/>
  <c r="Z172" i="4" s="1" a="1"/>
  <c r="Z172" i="4" s="1"/>
  <c r="Y173" i="4" s="1" a="1"/>
  <c r="Y173" i="4" s="1"/>
  <c r="JW167" i="4"/>
  <c r="JY167" i="4"/>
  <c r="X174" i="4"/>
  <c r="JX167" i="4"/>
  <c r="KB167" i="4" s="1"/>
  <c r="JZ167" i="4"/>
  <c r="OL203" i="1"/>
  <c r="OV203" i="1"/>
  <c r="OM203" i="1"/>
  <c r="OW203" i="1"/>
  <c r="QE197" i="1"/>
  <c r="RA197" i="1"/>
  <c r="QF197" i="1"/>
  <c r="RB197" i="1"/>
  <c r="AB199" i="1"/>
  <c r="AA199" i="1"/>
  <c r="OP194" i="1"/>
  <c r="PB194" i="1" s="1"/>
  <c r="OZ194" i="1"/>
  <c r="OQ194" i="1"/>
  <c r="PC194" i="1" s="1"/>
  <c r="PA194" i="1"/>
  <c r="OQ185" i="1"/>
  <c r="PA185" i="1"/>
  <c r="OP185" i="1"/>
  <c r="OZ185" i="1"/>
  <c r="KK162" i="1"/>
  <c r="KI163" i="1" s="1" a="1"/>
  <c r="KI163" i="1" s="1"/>
  <c r="Z204" i="1" a="1"/>
  <c r="Z204" i="1" s="1"/>
  <c r="Y206" i="1" s="1" a="1"/>
  <c r="Y206" i="1" s="1"/>
  <c r="X222" i="1"/>
  <c r="X224" i="1" s="1"/>
  <c r="AB160" i="1" l="1"/>
  <c r="KD160" i="1" s="1"/>
  <c r="Z160" i="1" s="1" a="1"/>
  <c r="Z160" i="1" s="1"/>
  <c r="Y161" i="1" s="1" a="1"/>
  <c r="Y161" i="1" s="1"/>
  <c r="AA161" i="1" s="1"/>
  <c r="KC161" i="1" s="1"/>
  <c r="AB176" i="5"/>
  <c r="LP176" i="5" s="1"/>
  <c r="AA176" i="5"/>
  <c r="LO176" i="5" s="1"/>
  <c r="Z176" i="5" s="1" a="1"/>
  <c r="Z176" i="5" s="1"/>
  <c r="Y179" i="5" s="1" a="1"/>
  <c r="Y179" i="5" s="1"/>
  <c r="X181" i="5"/>
  <c r="Z168" i="5" a="1"/>
  <c r="Z168" i="5" s="1"/>
  <c r="KE168" i="5"/>
  <c r="Z194" i="1" a="1"/>
  <c r="Z194" i="1" s="1"/>
  <c r="Y195" i="1" s="1" a="1"/>
  <c r="Y195" i="1" s="1"/>
  <c r="AA195" i="1" s="1"/>
  <c r="X234" i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AA173" i="4"/>
  <c r="LK173" i="4" s="1"/>
  <c r="Z173" i="4" s="1" a="1"/>
  <c r="Z173" i="4" s="1"/>
  <c r="AB173" i="4"/>
  <c r="LL173" i="4" s="1"/>
  <c r="Z167" i="4" a="1"/>
  <c r="Z167" i="4" s="1"/>
  <c r="Y168" i="4" s="1" a="1"/>
  <c r="Y168" i="4" s="1"/>
  <c r="KA167" i="4"/>
  <c r="Y174" i="4" a="1"/>
  <c r="Y174" i="4" s="1"/>
  <c r="X175" i="4"/>
  <c r="OY203" i="1"/>
  <c r="OO203" i="1"/>
  <c r="OX203" i="1"/>
  <c r="ON203" i="1"/>
  <c r="QH197" i="1"/>
  <c r="RD197" i="1"/>
  <c r="QG197" i="1"/>
  <c r="RC197" i="1"/>
  <c r="OL199" i="1"/>
  <c r="OV199" i="1"/>
  <c r="OM199" i="1"/>
  <c r="OW199" i="1"/>
  <c r="PB185" i="1"/>
  <c r="OR185" i="1"/>
  <c r="OS185" i="1"/>
  <c r="PC185" i="1"/>
  <c r="KJ163" i="1"/>
  <c r="KK163" i="1" s="1"/>
  <c r="AB206" i="1"/>
  <c r="KD206" i="1" s="1"/>
  <c r="AA206" i="1"/>
  <c r="KC206" i="1" s="1"/>
  <c r="KF221" i="1"/>
  <c r="Z161" i="1" l="1" a="1"/>
  <c r="Z161" i="1" s="1"/>
  <c r="Y162" i="1" s="1" a="1"/>
  <c r="Y162" i="1" s="1"/>
  <c r="AB162" i="1" s="1"/>
  <c r="KD162" i="1" s="1"/>
  <c r="AB161" i="1"/>
  <c r="KD161" i="1" s="1"/>
  <c r="AB179" i="5"/>
  <c r="NE179" i="5" s="1"/>
  <c r="AA179" i="5"/>
  <c r="ND179" i="5" s="1"/>
  <c r="Z179" i="5" s="1" a="1"/>
  <c r="Z179" i="5" s="1"/>
  <c r="Y180" i="5" s="1" a="1"/>
  <c r="Y180" i="5" s="1"/>
  <c r="X182" i="5"/>
  <c r="AB195" i="1"/>
  <c r="OM195" i="1" s="1"/>
  <c r="X176" i="4"/>
  <c r="AB174" i="4"/>
  <c r="LL174" i="4" s="1"/>
  <c r="AA174" i="4"/>
  <c r="LK174" i="4" s="1"/>
  <c r="Z174" i="4" s="1" a="1"/>
  <c r="Z174" i="4" s="1"/>
  <c r="Y175" i="4" s="1" a="1"/>
  <c r="Y175" i="4" s="1"/>
  <c r="AB168" i="4"/>
  <c r="AA168" i="4"/>
  <c r="KI164" i="1" a="1"/>
  <c r="KI164" i="1" s="1"/>
  <c r="KJ164" i="1" s="1"/>
  <c r="OZ203" i="1"/>
  <c r="OP203" i="1"/>
  <c r="OQ203" i="1"/>
  <c r="PC203" i="1" s="1"/>
  <c r="PA203" i="1"/>
  <c r="QI197" i="1"/>
  <c r="RE197" i="1"/>
  <c r="QJ197" i="1"/>
  <c r="RH197" i="1" s="1"/>
  <c r="RF197" i="1"/>
  <c r="OO199" i="1"/>
  <c r="OY199" i="1"/>
  <c r="ON199" i="1"/>
  <c r="OX199" i="1"/>
  <c r="OL195" i="1"/>
  <c r="OV195" i="1"/>
  <c r="OU185" i="1"/>
  <c r="PG185" i="1" s="1"/>
  <c r="PE185" i="1"/>
  <c r="OT185" i="1"/>
  <c r="PD185" i="1"/>
  <c r="Z206" i="1" a="1"/>
  <c r="Z206" i="1" s="1"/>
  <c r="Y208" i="1" s="1" a="1"/>
  <c r="Y208" i="1" s="1"/>
  <c r="AA162" i="1" l="1"/>
  <c r="KC162" i="1" s="1"/>
  <c r="Z162" i="1" s="1" a="1"/>
  <c r="Z162" i="1" s="1"/>
  <c r="Y163" i="1" s="1" a="1"/>
  <c r="Y163" i="1" s="1"/>
  <c r="AA163" i="1" s="1"/>
  <c r="KC163" i="1" s="1"/>
  <c r="AB180" i="5"/>
  <c r="AA180" i="5"/>
  <c r="Y181" i="5" a="1"/>
  <c r="Y181" i="5" s="1"/>
  <c r="X184" i="5"/>
  <c r="Y183" i="5" a="1"/>
  <c r="Y183" i="5" s="1"/>
  <c r="X267" i="1"/>
  <c r="OW195" i="1"/>
  <c r="AA175" i="4"/>
  <c r="LK175" i="4" s="1"/>
  <c r="Z175" i="4" s="1" a="1"/>
  <c r="Z175" i="4" s="1"/>
  <c r="Y176" i="4" s="1" a="1"/>
  <c r="Y176" i="4" s="1"/>
  <c r="AB175" i="4"/>
  <c r="LL175" i="4" s="1"/>
  <c r="JW168" i="4"/>
  <c r="JY168" i="4"/>
  <c r="JX168" i="4"/>
  <c r="KB168" i="4" s="1"/>
  <c r="JZ168" i="4"/>
  <c r="X180" i="4"/>
  <c r="KK164" i="1"/>
  <c r="KI165" i="1" s="1" a="1"/>
  <c r="KI165" i="1" s="1"/>
  <c r="KJ165" i="1" s="1"/>
  <c r="PB203" i="1"/>
  <c r="Z203" i="1" a="1"/>
  <c r="Z203" i="1" s="1"/>
  <c r="Y205" i="1" s="1" a="1"/>
  <c r="Y205" i="1" s="1"/>
  <c r="RG197" i="1"/>
  <c r="Z197" i="1" a="1"/>
  <c r="Z197" i="1" s="1"/>
  <c r="OP199" i="1"/>
  <c r="PB199" i="1" s="1"/>
  <c r="OZ199" i="1"/>
  <c r="Z199" i="1" s="1" a="1"/>
  <c r="Z199" i="1" s="1"/>
  <c r="Y200" i="1" s="1" a="1"/>
  <c r="Y200" i="1" s="1"/>
  <c r="OQ199" i="1"/>
  <c r="PC199" i="1" s="1"/>
  <c r="PA199" i="1"/>
  <c r="OO195" i="1"/>
  <c r="OY195" i="1"/>
  <c r="ON195" i="1"/>
  <c r="OX195" i="1"/>
  <c r="PF185" i="1"/>
  <c r="Z185" i="1" a="1"/>
  <c r="Z185" i="1" s="1"/>
  <c r="AB208" i="1"/>
  <c r="KD208" i="1" s="1"/>
  <c r="AA208" i="1"/>
  <c r="Z163" i="1" l="1" a="1"/>
  <c r="Z163" i="1" s="1"/>
  <c r="Y164" i="1" s="1" a="1"/>
  <c r="Y164" i="1" s="1"/>
  <c r="AA164" i="1" s="1"/>
  <c r="KC164" i="1" s="1"/>
  <c r="AB163" i="1"/>
  <c r="KD163" i="1" s="1"/>
  <c r="Y188" i="1" a="1"/>
  <c r="Y188" i="1" s="1"/>
  <c r="AB188" i="1" s="1"/>
  <c r="X185" i="5"/>
  <c r="AB183" i="5"/>
  <c r="AA183" i="5"/>
  <c r="AB181" i="5"/>
  <c r="KD181" i="5" s="1"/>
  <c r="AA181" i="5"/>
  <c r="KC181" i="5" s="1"/>
  <c r="Z181" i="5" s="1" a="1"/>
  <c r="Z181" i="5" s="1"/>
  <c r="Y182" i="5" s="1" a="1"/>
  <c r="Y182" i="5" s="1"/>
  <c r="X269" i="1" a="1"/>
  <c r="X269" i="1" s="1"/>
  <c r="X271" i="1" s="1" a="1"/>
  <c r="X271" i="1" s="1"/>
  <c r="AB176" i="4"/>
  <c r="LL176" i="4" s="1"/>
  <c r="AA176" i="4"/>
  <c r="LK176" i="4" s="1"/>
  <c r="Z176" i="4" s="1" a="1"/>
  <c r="Z176" i="4" s="1"/>
  <c r="Y179" i="4" s="1" a="1"/>
  <c r="Y179" i="4" s="1"/>
  <c r="X181" i="4"/>
  <c r="Z168" i="4" a="1"/>
  <c r="Z168" i="4" s="1"/>
  <c r="KA168" i="4"/>
  <c r="KK165" i="1"/>
  <c r="KI166" i="1" s="1" a="1"/>
  <c r="KI166" i="1" s="1"/>
  <c r="KJ166" i="1" s="1"/>
  <c r="AA205" i="1"/>
  <c r="AB205" i="1"/>
  <c r="AB200" i="1"/>
  <c r="AA200" i="1"/>
  <c r="OP195" i="1"/>
  <c r="OZ195" i="1"/>
  <c r="OQ195" i="1"/>
  <c r="PA195" i="1"/>
  <c r="KI221" i="1" a="1"/>
  <c r="KI221" i="1" s="1"/>
  <c r="Z164" i="1" l="1" a="1"/>
  <c r="Z164" i="1" s="1"/>
  <c r="Y165" i="1" s="1" a="1"/>
  <c r="Y165" i="1" s="1"/>
  <c r="AA165" i="1" s="1"/>
  <c r="KC165" i="1" s="1"/>
  <c r="AB164" i="1"/>
  <c r="KD164" i="1" s="1"/>
  <c r="AA188" i="1"/>
  <c r="OL188" i="1" s="1"/>
  <c r="OK183" i="5"/>
  <c r="OU183" i="5"/>
  <c r="OT183" i="5"/>
  <c r="OJ183" i="5"/>
  <c r="AB182" i="5"/>
  <c r="KD182" i="5" s="1"/>
  <c r="AA182" i="5"/>
  <c r="KC182" i="5" s="1"/>
  <c r="Z182" i="5" s="1" a="1"/>
  <c r="Z182" i="5" s="1"/>
  <c r="X187" i="5"/>
  <c r="Y186" i="5" a="1"/>
  <c r="Y186" i="5" s="1"/>
  <c r="X273" i="1" a="1"/>
  <c r="X273" i="1" s="1"/>
  <c r="OW188" i="1"/>
  <c r="OM188" i="1"/>
  <c r="AA179" i="4"/>
  <c r="MZ179" i="4" s="1"/>
  <c r="Z179" i="4" s="1" a="1"/>
  <c r="Z179" i="4" s="1"/>
  <c r="Y180" i="4" s="1" a="1"/>
  <c r="Y180" i="4" s="1"/>
  <c r="AB179" i="4"/>
  <c r="NA179" i="4" s="1"/>
  <c r="X182" i="4"/>
  <c r="KK166" i="1"/>
  <c r="KL166" i="1" s="1"/>
  <c r="KI167" i="1" a="1"/>
  <c r="KI167" i="1" s="1"/>
  <c r="KJ167" i="1" s="1"/>
  <c r="Z166" i="1" a="1"/>
  <c r="Z166" i="1" s="1"/>
  <c r="Y167" i="1" s="1" a="1"/>
  <c r="Y167" i="1" s="1"/>
  <c r="AB167" i="1" s="1"/>
  <c r="OW205" i="1"/>
  <c r="OM205" i="1"/>
  <c r="OV200" i="1"/>
  <c r="OL200" i="1"/>
  <c r="OM200" i="1"/>
  <c r="OW200" i="1"/>
  <c r="OS195" i="1"/>
  <c r="PC195" i="1"/>
  <c r="OR195" i="1"/>
  <c r="PB195" i="1"/>
  <c r="KJ221" i="1"/>
  <c r="KK221" i="1" s="1"/>
  <c r="KL221" i="1" s="1"/>
  <c r="KI222" i="1" a="1"/>
  <c r="KI222" i="1" s="1"/>
  <c r="OL205" i="1"/>
  <c r="OV205" i="1"/>
  <c r="Z165" i="1" l="1" a="1"/>
  <c r="Z165" i="1" s="1"/>
  <c r="Y170" i="1" s="1" a="1"/>
  <c r="Y170" i="1" s="1"/>
  <c r="AA170" i="1" s="1"/>
  <c r="LO170" i="1" s="1"/>
  <c r="AB165" i="1"/>
  <c r="KD165" i="1" s="1"/>
  <c r="OV188" i="1"/>
  <c r="PX187" i="5"/>
  <c r="X189" i="5"/>
  <c r="Y188" i="5" a="1"/>
  <c r="Y188" i="5" s="1"/>
  <c r="AB186" i="5"/>
  <c r="KD186" i="5" s="1"/>
  <c r="AA186" i="5"/>
  <c r="KC186" i="5" s="1"/>
  <c r="Z186" i="5" s="1" a="1"/>
  <c r="Z186" i="5" s="1"/>
  <c r="Y187" i="5" s="1" a="1"/>
  <c r="Y187" i="5" s="1"/>
  <c r="OV183" i="5"/>
  <c r="OL183" i="5"/>
  <c r="OW183" i="5"/>
  <c r="OM183" i="5"/>
  <c r="X275" i="1" a="1"/>
  <c r="X275" i="1" s="1"/>
  <c r="OY188" i="1"/>
  <c r="OO188" i="1"/>
  <c r="OX188" i="1"/>
  <c r="ON188" i="1"/>
  <c r="AA180" i="4"/>
  <c r="AB180" i="4"/>
  <c r="Y181" i="4" a="1"/>
  <c r="Y181" i="4" s="1"/>
  <c r="X184" i="4"/>
  <c r="Y183" i="4" a="1"/>
  <c r="Y183" i="4" s="1"/>
  <c r="KK167" i="1"/>
  <c r="KL167" i="1" s="1"/>
  <c r="AA167" i="1"/>
  <c r="KA167" i="1" s="1"/>
  <c r="KJ222" i="1"/>
  <c r="KK222" i="1" s="1"/>
  <c r="KL222" i="1" s="1"/>
  <c r="OY205" i="1"/>
  <c r="OO205" i="1"/>
  <c r="OO200" i="1"/>
  <c r="OY200" i="1"/>
  <c r="ON200" i="1"/>
  <c r="OX200" i="1"/>
  <c r="OT195" i="1"/>
  <c r="PD195" i="1"/>
  <c r="OU195" i="1"/>
  <c r="PG195" i="1" s="1"/>
  <c r="PE195" i="1"/>
  <c r="KD167" i="1"/>
  <c r="KB167" i="1"/>
  <c r="KF167" i="1" s="1"/>
  <c r="KC208" i="1"/>
  <c r="Z208" i="1" s="1" a="1"/>
  <c r="Z208" i="1" s="1"/>
  <c r="Y210" i="1" s="1" a="1"/>
  <c r="Y210" i="1" s="1"/>
  <c r="OX205" i="1"/>
  <c r="ON205" i="1"/>
  <c r="Z170" i="1" l="1" a="1"/>
  <c r="Z170" i="1" s="1"/>
  <c r="Y171" i="1" s="1" a="1"/>
  <c r="Y171" i="1" s="1"/>
  <c r="AA171" i="1" s="1"/>
  <c r="LO171" i="1" s="1"/>
  <c r="AB170" i="1"/>
  <c r="LP170" i="1" s="1"/>
  <c r="AB187" i="5"/>
  <c r="AA187" i="5"/>
  <c r="ON183" i="5"/>
  <c r="OX183" i="5"/>
  <c r="OO183" i="5"/>
  <c r="PA183" i="5" s="1"/>
  <c r="OY183" i="5"/>
  <c r="AA188" i="5"/>
  <c r="AB188" i="5"/>
  <c r="X190" i="5"/>
  <c r="RI187" i="5"/>
  <c r="RR187" i="5"/>
  <c r="RP187" i="5"/>
  <c r="RH187" i="5"/>
  <c r="RG187" i="5"/>
  <c r="RQ187" i="5"/>
  <c r="RM187" i="5"/>
  <c r="RK187" i="5"/>
  <c r="RO187" i="5"/>
  <c r="RN187" i="5"/>
  <c r="RL187" i="5"/>
  <c r="RJ187" i="5"/>
  <c r="X277" i="1" a="1"/>
  <c r="X277" i="1" s="1"/>
  <c r="OP188" i="1"/>
  <c r="OZ188" i="1"/>
  <c r="OQ188" i="1"/>
  <c r="PC188" i="1" s="1"/>
  <c r="PA188" i="1"/>
  <c r="KI223" i="1" a="1"/>
  <c r="KI223" i="1" s="1"/>
  <c r="KJ223" i="1" s="1"/>
  <c r="AA183" i="4"/>
  <c r="AB183" i="4"/>
  <c r="AB181" i="4"/>
  <c r="JZ181" i="4" s="1"/>
  <c r="AA181" i="4"/>
  <c r="JY181" i="4" s="1"/>
  <c r="Z181" i="4" s="1" a="1"/>
  <c r="Z181" i="4" s="1"/>
  <c r="Y182" i="4" s="1" a="1"/>
  <c r="Y182" i="4" s="1"/>
  <c r="X185" i="4"/>
  <c r="KC167" i="1"/>
  <c r="KI168" i="1" a="1"/>
  <c r="KI168" i="1" s="1"/>
  <c r="KJ168" i="1" s="1"/>
  <c r="KK168" i="1" s="1"/>
  <c r="KL168" i="1" s="1"/>
  <c r="PA205" i="1"/>
  <c r="OQ205" i="1"/>
  <c r="PC205" i="1" s="1"/>
  <c r="OP200" i="1"/>
  <c r="OZ200" i="1"/>
  <c r="OQ200" i="1"/>
  <c r="PA200" i="1"/>
  <c r="PF195" i="1"/>
  <c r="Z195" i="1" a="1"/>
  <c r="Z195" i="1" s="1"/>
  <c r="KE167" i="1"/>
  <c r="Z167" i="1" a="1"/>
  <c r="Z167" i="1" s="1"/>
  <c r="Y168" i="1" s="1" a="1"/>
  <c r="Y168" i="1" s="1"/>
  <c r="AB210" i="1"/>
  <c r="AA210" i="1"/>
  <c r="KC210" i="1" s="1"/>
  <c r="OZ205" i="1"/>
  <c r="OP205" i="1"/>
  <c r="AB171" i="1" l="1"/>
  <c r="LP171" i="1" s="1"/>
  <c r="Z171" i="1" s="1" a="1"/>
  <c r="Z171" i="1" s="1"/>
  <c r="Y172" i="1" s="1" a="1"/>
  <c r="Y172" i="1" s="1"/>
  <c r="AA172" i="1" s="1"/>
  <c r="LO172" i="1" s="1"/>
  <c r="OU188" i="5"/>
  <c r="OK188" i="5"/>
  <c r="OT188" i="5"/>
  <c r="OJ188" i="5"/>
  <c r="OZ183" i="5"/>
  <c r="Z183" i="5" a="1"/>
  <c r="Z183" i="5" s="1"/>
  <c r="Y184" i="5" s="1" a="1"/>
  <c r="Y184" i="5" s="1"/>
  <c r="X192" i="5"/>
  <c r="Y191" i="5" a="1"/>
  <c r="Y191" i="5" s="1"/>
  <c r="PZ187" i="5"/>
  <c r="QV187" i="5"/>
  <c r="PY187" i="5"/>
  <c r="QU187" i="5"/>
  <c r="X279" i="1" a="1"/>
  <c r="X279" i="1" s="1"/>
  <c r="X281" i="1" s="1" a="1"/>
  <c r="X281" i="1" s="1"/>
  <c r="PB188" i="1"/>
  <c r="Z188" i="1" a="1"/>
  <c r="Z188" i="1" s="1"/>
  <c r="Y189" i="1" s="1" a="1"/>
  <c r="Y189" i="1" s="1"/>
  <c r="KK223" i="1"/>
  <c r="KI224" i="1" s="1" a="1"/>
  <c r="KI224" i="1" s="1"/>
  <c r="KJ224" i="1" s="1"/>
  <c r="KK224" i="1" s="1"/>
  <c r="AA182" i="4"/>
  <c r="JY182" i="4" s="1"/>
  <c r="Z182" i="4" s="1" a="1"/>
  <c r="Z182" i="4" s="1"/>
  <c r="AB182" i="4"/>
  <c r="JZ182" i="4" s="1"/>
  <c r="X187" i="4"/>
  <c r="Y186" i="4" a="1"/>
  <c r="Y186" i="4" s="1"/>
  <c r="OQ183" i="4"/>
  <c r="OG183" i="4"/>
  <c r="OP183" i="4"/>
  <c r="OF183" i="4"/>
  <c r="KI181" i="1" a="1"/>
  <c r="KI181" i="1" s="1"/>
  <c r="KJ181" i="1" s="1"/>
  <c r="KK181" i="1" s="1"/>
  <c r="OS200" i="1"/>
  <c r="PC200" i="1"/>
  <c r="PB200" i="1"/>
  <c r="OR200" i="1"/>
  <c r="AB168" i="1"/>
  <c r="AA168" i="1"/>
  <c r="KD210" i="1"/>
  <c r="Z210" i="1" a="1"/>
  <c r="Z210" i="1" s="1"/>
  <c r="Y212" i="1" s="1" a="1"/>
  <c r="Y212" i="1" s="1"/>
  <c r="Z205" i="1" a="1"/>
  <c r="Z205" i="1" s="1"/>
  <c r="PB205" i="1"/>
  <c r="AB172" i="1" l="1"/>
  <c r="LP172" i="1" s="1"/>
  <c r="Z172" i="1" s="1" a="1"/>
  <c r="Z172" i="1" s="1"/>
  <c r="Y173" i="1" s="1" a="1"/>
  <c r="Y173" i="1" s="1"/>
  <c r="AA173" i="1" s="1"/>
  <c r="LO173" i="1" s="1"/>
  <c r="AA191" i="5"/>
  <c r="KC191" i="5" s="1"/>
  <c r="Z191" i="5" s="1" a="1"/>
  <c r="Z191" i="5" s="1"/>
  <c r="Y192" i="5" s="1" a="1"/>
  <c r="Y192" i="5" s="1"/>
  <c r="AB191" i="5"/>
  <c r="KD191" i="5" s="1"/>
  <c r="PX192" i="5"/>
  <c r="X194" i="5"/>
  <c r="Y193" i="5" a="1"/>
  <c r="Y193" i="5" s="1"/>
  <c r="AB184" i="5"/>
  <c r="AA184" i="5"/>
  <c r="QA187" i="5"/>
  <c r="QW187" i="5"/>
  <c r="OL188" i="5"/>
  <c r="OV188" i="5"/>
  <c r="QB187" i="5"/>
  <c r="QX187" i="5"/>
  <c r="OW188" i="5"/>
  <c r="OM188" i="5"/>
  <c r="AA189" i="1"/>
  <c r="AB189" i="1"/>
  <c r="OS183" i="4"/>
  <c r="OI183" i="4"/>
  <c r="OH183" i="4"/>
  <c r="OR183" i="4"/>
  <c r="AA186" i="4"/>
  <c r="JY186" i="4" s="1"/>
  <c r="Z186" i="4" s="1" a="1"/>
  <c r="Z186" i="4" s="1"/>
  <c r="Y187" i="4" s="1" a="1"/>
  <c r="Y187" i="4" s="1"/>
  <c r="AB186" i="4"/>
  <c r="JZ186" i="4" s="1"/>
  <c r="PT187" i="4"/>
  <c r="X189" i="4"/>
  <c r="Y188" i="4" a="1"/>
  <c r="Y188" i="4" s="1"/>
  <c r="KL181" i="1"/>
  <c r="KM181" i="1" s="1"/>
  <c r="OT200" i="1"/>
  <c r="PD200" i="1"/>
  <c r="OU200" i="1"/>
  <c r="PG200" i="1" s="1"/>
  <c r="PE200" i="1"/>
  <c r="KA168" i="1"/>
  <c r="KC168" i="1"/>
  <c r="KB168" i="1"/>
  <c r="KF168" i="1" s="1"/>
  <c r="KD168" i="1"/>
  <c r="AB212" i="1"/>
  <c r="KD212" i="1" s="1"/>
  <c r="AA212" i="1"/>
  <c r="KC212" i="1" s="1"/>
  <c r="AB173" i="1" l="1"/>
  <c r="LP173" i="1" s="1"/>
  <c r="Z173" i="1" s="1" a="1"/>
  <c r="Z173" i="1" s="1"/>
  <c r="Y174" i="1" s="1" a="1"/>
  <c r="Y174" i="1" s="1"/>
  <c r="AA174" i="1" s="1"/>
  <c r="LO174" i="1" s="1"/>
  <c r="AB192" i="5"/>
  <c r="AA192" i="5"/>
  <c r="OJ184" i="5"/>
  <c r="OT184" i="5"/>
  <c r="OK184" i="5"/>
  <c r="OU184" i="5"/>
  <c r="AB193" i="5"/>
  <c r="AA193" i="5"/>
  <c r="OY188" i="5"/>
  <c r="OO188" i="5"/>
  <c r="PA188" i="5" s="1"/>
  <c r="QD187" i="5"/>
  <c r="QZ187" i="5"/>
  <c r="X195" i="5"/>
  <c r="QC187" i="5"/>
  <c r="QY187" i="5"/>
  <c r="ON188" i="5"/>
  <c r="OX188" i="5"/>
  <c r="RN192" i="5"/>
  <c r="RL192" i="5"/>
  <c r="RJ192" i="5"/>
  <c r="RO192" i="5"/>
  <c r="RM192" i="5"/>
  <c r="RK192" i="5"/>
  <c r="RH192" i="5"/>
  <c r="RR192" i="5"/>
  <c r="RQ192" i="5"/>
  <c r="RP192" i="5"/>
  <c r="RI192" i="5"/>
  <c r="RG192" i="5"/>
  <c r="KI182" i="1" a="1"/>
  <c r="KI182" i="1" s="1"/>
  <c r="OM189" i="1"/>
  <c r="OW189" i="1"/>
  <c r="OV189" i="1"/>
  <c r="OL189" i="1"/>
  <c r="AA187" i="4"/>
  <c r="AB187" i="4"/>
  <c r="AA188" i="4"/>
  <c r="AB188" i="4"/>
  <c r="RJ187" i="4"/>
  <c r="RH187" i="4"/>
  <c r="RN187" i="4"/>
  <c r="RL187" i="4"/>
  <c r="RI187" i="4"/>
  <c r="RG187" i="4"/>
  <c r="RE187" i="4"/>
  <c r="RC187" i="4"/>
  <c r="RM187" i="4"/>
  <c r="RK187" i="4"/>
  <c r="RF187" i="4"/>
  <c r="RD187" i="4"/>
  <c r="OJ183" i="4"/>
  <c r="OT183" i="4"/>
  <c r="OU183" i="4"/>
  <c r="OK183" i="4"/>
  <c r="OW183" i="4" s="1"/>
  <c r="X190" i="4"/>
  <c r="KI233" i="1" a="1"/>
  <c r="KI233" i="1" s="1"/>
  <c r="PF200" i="1"/>
  <c r="Z200" i="1" s="1" a="1"/>
  <c r="Z200" i="1" s="1"/>
  <c r="KE168" i="1"/>
  <c r="Z168" i="1" a="1"/>
  <c r="Z168" i="1" s="1"/>
  <c r="Z212" i="1" a="1"/>
  <c r="Z212" i="1" s="1"/>
  <c r="Y214" i="1" s="1" a="1"/>
  <c r="Y214" i="1" s="1"/>
  <c r="Z174" i="1" l="1" a="1"/>
  <c r="Z174" i="1" s="1"/>
  <c r="Y175" i="1" s="1" a="1"/>
  <c r="Y175" i="1" s="1"/>
  <c r="AA175" i="1" s="1"/>
  <c r="LO175" i="1" s="1"/>
  <c r="AB174" i="1"/>
  <c r="LP174" i="1" s="1"/>
  <c r="Y207" i="1" a="1"/>
  <c r="Y207" i="1" s="1"/>
  <c r="KJ182" i="1"/>
  <c r="KK182" i="1" s="1"/>
  <c r="KL182" i="1" s="1"/>
  <c r="KM182" i="1" s="1"/>
  <c r="OJ193" i="5"/>
  <c r="OT193" i="5"/>
  <c r="OK193" i="5"/>
  <c r="OU193" i="5"/>
  <c r="Y196" i="5" a="1"/>
  <c r="Y196" i="5" s="1"/>
  <c r="X197" i="5"/>
  <c r="OM184" i="5"/>
  <c r="OW184" i="5"/>
  <c r="OL184" i="5"/>
  <c r="OV184" i="5"/>
  <c r="QE187" i="5"/>
  <c r="RA187" i="5"/>
  <c r="QF187" i="5"/>
  <c r="RB187" i="5"/>
  <c r="PZ192" i="5"/>
  <c r="QV192" i="5"/>
  <c r="OZ188" i="5"/>
  <c r="Z188" i="5" a="1"/>
  <c r="Z188" i="5" s="1"/>
  <c r="Y189" i="5" s="1" a="1"/>
  <c r="Y189" i="5" s="1"/>
  <c r="PY192" i="5"/>
  <c r="QU192" i="5"/>
  <c r="OX189" i="1"/>
  <c r="ON189" i="1"/>
  <c r="OO189" i="1"/>
  <c r="OY189" i="1"/>
  <c r="OV183" i="4"/>
  <c r="Z183" i="4" a="1"/>
  <c r="Z183" i="4" s="1"/>
  <c r="Y184" i="4" s="1" a="1"/>
  <c r="Y184" i="4" s="1"/>
  <c r="OG188" i="4"/>
  <c r="OQ188" i="4"/>
  <c r="OF188" i="4"/>
  <c r="OP188" i="4"/>
  <c r="PU187" i="4"/>
  <c r="QQ187" i="4"/>
  <c r="X192" i="4"/>
  <c r="Y191" i="4" a="1"/>
  <c r="Y191" i="4" s="1"/>
  <c r="PV187" i="4"/>
  <c r="QR187" i="4"/>
  <c r="KJ233" i="1"/>
  <c r="KK233" i="1" s="1"/>
  <c r="AB214" i="1"/>
  <c r="KD214" i="1" s="1"/>
  <c r="Z214" i="1" s="1" a="1"/>
  <c r="Z214" i="1" s="1"/>
  <c r="Y216" i="1" s="1" a="1"/>
  <c r="Y216" i="1" s="1"/>
  <c r="AA214" i="1"/>
  <c r="KC214" i="1" s="1"/>
  <c r="Z175" i="1" l="1" a="1"/>
  <c r="Z175" i="1" s="1"/>
  <c r="Y176" i="1" s="1" a="1"/>
  <c r="Y176" i="1" s="1"/>
  <c r="AB176" i="1" s="1"/>
  <c r="LP176" i="1" s="1"/>
  <c r="AB175" i="1"/>
  <c r="LP175" i="1" s="1"/>
  <c r="AA207" i="1"/>
  <c r="AB207" i="1"/>
  <c r="KJ341" i="1"/>
  <c r="PX197" i="5"/>
  <c r="X199" i="5"/>
  <c r="Y198" i="5" a="1"/>
  <c r="Y198" i="5" s="1"/>
  <c r="QB192" i="5"/>
  <c r="QX192" i="5"/>
  <c r="QH187" i="5"/>
  <c r="RF187" i="5" s="1"/>
  <c r="RD187" i="5"/>
  <c r="OO184" i="5"/>
  <c r="PA184" i="5" s="1"/>
  <c r="OY184" i="5"/>
  <c r="QG187" i="5"/>
  <c r="RC187" i="5"/>
  <c r="AB196" i="5"/>
  <c r="KD196" i="5" s="1"/>
  <c r="AA196" i="5"/>
  <c r="KC196" i="5" s="1"/>
  <c r="Z196" i="5" s="1" a="1"/>
  <c r="Z196" i="5" s="1"/>
  <c r="Y197" i="5" s="1" a="1"/>
  <c r="Y197" i="5" s="1"/>
  <c r="AB189" i="5"/>
  <c r="AA189" i="5"/>
  <c r="OW193" i="5"/>
  <c r="OM193" i="5"/>
  <c r="QA192" i="5"/>
  <c r="QW192" i="5"/>
  <c r="ON184" i="5"/>
  <c r="OX184" i="5"/>
  <c r="OV193" i="5"/>
  <c r="OL193" i="5"/>
  <c r="PA189" i="1"/>
  <c r="OQ189" i="1"/>
  <c r="PC189" i="1" s="1"/>
  <c r="OP189" i="1"/>
  <c r="PB189" i="1" s="1"/>
  <c r="OZ189" i="1"/>
  <c r="Z189" i="1" s="1" a="1"/>
  <c r="Z189" i="1" s="1"/>
  <c r="Y190" i="1" s="1" a="1"/>
  <c r="Y190" i="1" s="1"/>
  <c r="KI234" i="1" a="1"/>
  <c r="KI234" i="1" s="1"/>
  <c r="KJ234" i="1" s="1"/>
  <c r="KK234" i="1" s="1"/>
  <c r="KI235" i="1" a="1"/>
  <c r="KI235" i="1" s="1"/>
  <c r="AB191" i="4"/>
  <c r="JZ191" i="4" s="1"/>
  <c r="AA191" i="4"/>
  <c r="JY191" i="4" s="1"/>
  <c r="Z191" i="4" s="1" a="1"/>
  <c r="Z191" i="4" s="1"/>
  <c r="Y192" i="4" s="1" a="1"/>
  <c r="Y192" i="4" s="1"/>
  <c r="PW187" i="4"/>
  <c r="QS187" i="4"/>
  <c r="OH188" i="4"/>
  <c r="OR188" i="4"/>
  <c r="PX187" i="4"/>
  <c r="QT187" i="4"/>
  <c r="OS188" i="4"/>
  <c r="OI188" i="4"/>
  <c r="AA184" i="4"/>
  <c r="AB184" i="4"/>
  <c r="PT192" i="4"/>
  <c r="X194" i="4"/>
  <c r="Y193" i="4" a="1"/>
  <c r="Y193" i="4" s="1"/>
  <c r="AB216" i="1"/>
  <c r="KD216" i="1" s="1"/>
  <c r="AA216" i="1"/>
  <c r="KC216" i="1" s="1"/>
  <c r="AA176" i="1" l="1"/>
  <c r="LO176" i="1" s="1"/>
  <c r="Z176" i="1" s="1" a="1"/>
  <c r="Z176" i="1" s="1"/>
  <c r="Y179" i="1" s="1" a="1"/>
  <c r="Y179" i="1" s="1"/>
  <c r="AB179" i="1" s="1"/>
  <c r="NG179" i="1" s="1"/>
  <c r="Y191" i="1" a="1"/>
  <c r="Y191" i="1" s="1"/>
  <c r="OM207" i="1"/>
  <c r="OW207" i="1"/>
  <c r="OL207" i="1"/>
  <c r="OV207" i="1"/>
  <c r="KK341" i="1"/>
  <c r="KI342" i="1" a="1"/>
  <c r="KI342" i="1" s="1"/>
  <c r="AB197" i="5"/>
  <c r="AA197" i="5"/>
  <c r="OJ189" i="5"/>
  <c r="OT189" i="5"/>
  <c r="OY193" i="5"/>
  <c r="OO193" i="5"/>
  <c r="PA193" i="5" s="1"/>
  <c r="QD192" i="5"/>
  <c r="QZ192" i="5"/>
  <c r="RG197" i="5"/>
  <c r="RQ197" i="5"/>
  <c r="RP197" i="5"/>
  <c r="RO197" i="5"/>
  <c r="RM197" i="5"/>
  <c r="RL197" i="5"/>
  <c r="RK197" i="5"/>
  <c r="RJ197" i="5"/>
  <c r="RI197" i="5"/>
  <c r="RH197" i="5"/>
  <c r="RR197" i="5"/>
  <c r="RN197" i="5"/>
  <c r="OX193" i="5"/>
  <c r="ON193" i="5"/>
  <c r="OK189" i="5"/>
  <c r="OU189" i="5"/>
  <c r="AB198" i="5"/>
  <c r="AA198" i="5"/>
  <c r="OZ184" i="5"/>
  <c r="Z184" i="5" a="1"/>
  <c r="Z184" i="5" s="1"/>
  <c r="Y185" i="5" s="1" a="1"/>
  <c r="Y185" i="5" s="1"/>
  <c r="X200" i="5"/>
  <c r="QC192" i="5"/>
  <c r="QY192" i="5"/>
  <c r="RE187" i="5"/>
  <c r="Z187" i="5" a="1"/>
  <c r="Z187" i="5" s="1"/>
  <c r="AB190" i="1"/>
  <c r="AA190" i="1"/>
  <c r="KJ235" i="1"/>
  <c r="KK235" i="1" s="1"/>
  <c r="KI236" i="1" a="1"/>
  <c r="KI236" i="1" s="1"/>
  <c r="AB192" i="4"/>
  <c r="AA192" i="4"/>
  <c r="OU188" i="4"/>
  <c r="OK188" i="4"/>
  <c r="OW188" i="4" s="1"/>
  <c r="AB193" i="4"/>
  <c r="AA193" i="4"/>
  <c r="OG184" i="4"/>
  <c r="OQ184" i="4"/>
  <c r="PZ187" i="4"/>
  <c r="QV187" i="4"/>
  <c r="X195" i="4"/>
  <c r="RD192" i="4"/>
  <c r="RC192" i="4"/>
  <c r="RM192" i="4"/>
  <c r="RE192" i="4"/>
  <c r="RN192" i="4"/>
  <c r="RL192" i="4"/>
  <c r="RJ192" i="4"/>
  <c r="RK192" i="4"/>
  <c r="RI192" i="4"/>
  <c r="RH192" i="4"/>
  <c r="RG192" i="4"/>
  <c r="RF192" i="4"/>
  <c r="OJ188" i="4"/>
  <c r="OT188" i="4"/>
  <c r="PY187" i="4"/>
  <c r="QU187" i="4"/>
  <c r="OF184" i="4"/>
  <c r="OP184" i="4"/>
  <c r="Z216" i="1" a="1"/>
  <c r="Z216" i="1" s="1"/>
  <c r="Y217" i="1" l="1" a="1"/>
  <c r="Y217" i="1" s="1"/>
  <c r="AA217" i="1" s="1"/>
  <c r="KC217" i="1" s="1"/>
  <c r="Y243" i="1" a="1"/>
  <c r="Y243" i="1" s="1"/>
  <c r="AA179" i="1"/>
  <c r="NF179" i="1" s="1"/>
  <c r="Z179" i="1" s="1" a="1"/>
  <c r="Z179" i="1" s="1"/>
  <c r="Y180" i="1" s="1" a="1"/>
  <c r="Y180" i="1" s="1"/>
  <c r="Y181" i="1" s="1" a="1"/>
  <c r="Y181" i="1" s="1"/>
  <c r="AB181" i="1" s="1"/>
  <c r="KD181" i="1" s="1"/>
  <c r="AB191" i="1"/>
  <c r="KD191" i="1" s="1"/>
  <c r="AA191" i="1"/>
  <c r="KC191" i="1" s="1"/>
  <c r="Z191" i="1" s="1" a="1"/>
  <c r="Z191" i="1" s="1"/>
  <c r="ON207" i="1"/>
  <c r="OX207" i="1"/>
  <c r="OY207" i="1"/>
  <c r="OO207" i="1"/>
  <c r="KJ342" i="1"/>
  <c r="KK342" i="1" s="1"/>
  <c r="OZ193" i="5"/>
  <c r="Z193" i="5" a="1"/>
  <c r="Z193" i="5" s="1"/>
  <c r="Y194" i="5" s="1" a="1"/>
  <c r="Y194" i="5" s="1"/>
  <c r="QF192" i="5"/>
  <c r="RB192" i="5"/>
  <c r="QE192" i="5"/>
  <c r="RA192" i="5"/>
  <c r="OJ198" i="5"/>
  <c r="OT198" i="5"/>
  <c r="OK198" i="5"/>
  <c r="OU198" i="5"/>
  <c r="OL189" i="5"/>
  <c r="OV189" i="5"/>
  <c r="X202" i="5"/>
  <c r="Y201" i="5" a="1"/>
  <c r="Y201" i="5" s="1"/>
  <c r="PZ197" i="5"/>
  <c r="QV197" i="5"/>
  <c r="AB185" i="5"/>
  <c r="AA185" i="5"/>
  <c r="OM189" i="5"/>
  <c r="OW189" i="5"/>
  <c r="PY197" i="5"/>
  <c r="QU197" i="5"/>
  <c r="OL190" i="1"/>
  <c r="OV190" i="1"/>
  <c r="OW190" i="1"/>
  <c r="OM190" i="1"/>
  <c r="KJ236" i="1"/>
  <c r="KK236" i="1" s="1"/>
  <c r="KI237" i="1" a="1"/>
  <c r="KI237" i="1" s="1"/>
  <c r="QA187" i="4"/>
  <c r="QW187" i="4"/>
  <c r="QB187" i="4"/>
  <c r="QX187" i="4"/>
  <c r="OI184" i="4"/>
  <c r="OS184" i="4"/>
  <c r="OP193" i="4"/>
  <c r="OF193" i="4"/>
  <c r="OQ193" i="4"/>
  <c r="OG193" i="4"/>
  <c r="OV188" i="4"/>
  <c r="Z188" i="4" a="1"/>
  <c r="Z188" i="4" s="1"/>
  <c r="Y189" i="4" s="1" a="1"/>
  <c r="Y189" i="4" s="1"/>
  <c r="OH184" i="4"/>
  <c r="OR184" i="4"/>
  <c r="PV192" i="4"/>
  <c r="QR192" i="4"/>
  <c r="X197" i="4"/>
  <c r="Y196" i="4" a="1"/>
  <c r="Y196" i="4" s="1"/>
  <c r="PU192" i="4"/>
  <c r="QQ192" i="4"/>
  <c r="HG43" i="1"/>
  <c r="AJ43" i="1" s="1" a="1"/>
  <c r="AJ43" i="1" s="1"/>
  <c r="AI44" i="1" s="1" a="1"/>
  <c r="AI44" i="1" s="1"/>
  <c r="Z217" i="1" l="1" a="1"/>
  <c r="Z217" i="1" s="1"/>
  <c r="Y218" i="1" s="1" a="1"/>
  <c r="Y218" i="1" s="1"/>
  <c r="AB218" i="1" s="1"/>
  <c r="KD218" i="1" s="1"/>
  <c r="AB217" i="1"/>
  <c r="KD217" i="1" s="1"/>
  <c r="AA243" i="1"/>
  <c r="KC243" i="1" s="1"/>
  <c r="AB243" i="1"/>
  <c r="KD243" i="1" s="1"/>
  <c r="AA180" i="1"/>
  <c r="AB180" i="1"/>
  <c r="AA181" i="1"/>
  <c r="KC181" i="1" s="1"/>
  <c r="Z181" i="1" s="1" a="1"/>
  <c r="Z181" i="1" s="1"/>
  <c r="Y182" i="1" s="1" a="1"/>
  <c r="Y182" i="1" s="1"/>
  <c r="AA182" i="1" s="1"/>
  <c r="KC182" i="1" s="1"/>
  <c r="PA207" i="1"/>
  <c r="OQ207" i="1"/>
  <c r="PC207" i="1" s="1"/>
  <c r="OP207" i="1"/>
  <c r="OZ207" i="1"/>
  <c r="AL44" i="1"/>
  <c r="HF44" i="1" s="1"/>
  <c r="AK44" i="1"/>
  <c r="HE44" i="1" s="1"/>
  <c r="Z43" i="1" a="1"/>
  <c r="Z43" i="1" s="1"/>
  <c r="Y44" i="1" s="1" a="1"/>
  <c r="Y44" i="1" s="1"/>
  <c r="AA44" i="1" s="1"/>
  <c r="HG44" i="1" s="1"/>
  <c r="KI343" i="1" a="1"/>
  <c r="KI343" i="1" s="1"/>
  <c r="KJ343" i="1" s="1"/>
  <c r="KK343" i="1" s="1"/>
  <c r="OO189" i="5"/>
  <c r="PA189" i="5" s="1"/>
  <c r="OY189" i="5"/>
  <c r="OK185" i="5"/>
  <c r="OU185" i="5"/>
  <c r="OM198" i="5"/>
  <c r="OW198" i="5"/>
  <c r="QB197" i="5"/>
  <c r="QX197" i="5"/>
  <c r="OL198" i="5"/>
  <c r="OV198" i="5"/>
  <c r="AB201" i="5"/>
  <c r="KD201" i="5" s="1"/>
  <c r="AA201" i="5"/>
  <c r="KC201" i="5" s="1"/>
  <c r="Z201" i="5" s="1" a="1"/>
  <c r="Z201" i="5" s="1"/>
  <c r="Y202" i="5" s="1" a="1"/>
  <c r="Y202" i="5" s="1"/>
  <c r="QG192" i="5"/>
  <c r="RC192" i="5"/>
  <c r="PX202" i="5"/>
  <c r="X217" i="5"/>
  <c r="Y203" i="5" a="1"/>
  <c r="Y203" i="5" s="1"/>
  <c r="Y207" i="5" a="1"/>
  <c r="Y207" i="5" s="1"/>
  <c r="Y213" i="5" a="1"/>
  <c r="Y213" i="5" s="1"/>
  <c r="Y204" i="5" a="1"/>
  <c r="Y204" i="5" s="1"/>
  <c r="QA197" i="5"/>
  <c r="QW197" i="5"/>
  <c r="QH192" i="5"/>
  <c r="RF192" i="5" s="1"/>
  <c r="RD192" i="5"/>
  <c r="AA194" i="5"/>
  <c r="AB194" i="5"/>
  <c r="OJ185" i="5"/>
  <c r="OT185" i="5"/>
  <c r="ON189" i="5"/>
  <c r="OX189" i="5"/>
  <c r="OO190" i="1"/>
  <c r="OY190" i="1"/>
  <c r="OX190" i="1"/>
  <c r="ON190" i="1"/>
  <c r="KJ237" i="1"/>
  <c r="KK237" i="1" s="1"/>
  <c r="OS193" i="4"/>
  <c r="OI193" i="4"/>
  <c r="PW192" i="4"/>
  <c r="QS192" i="4"/>
  <c r="AB196" i="4"/>
  <c r="JZ196" i="4" s="1"/>
  <c r="AA196" i="4"/>
  <c r="JY196" i="4" s="1"/>
  <c r="Z196" i="4" s="1" a="1"/>
  <c r="Z196" i="4" s="1"/>
  <c r="Y197" i="4" s="1" a="1"/>
  <c r="Y197" i="4" s="1"/>
  <c r="OH193" i="4"/>
  <c r="OR193" i="4"/>
  <c r="PT197" i="4"/>
  <c r="Y198" i="4" a="1"/>
  <c r="Y198" i="4" s="1"/>
  <c r="X199" i="4"/>
  <c r="OK184" i="4"/>
  <c r="OW184" i="4" s="1"/>
  <c r="OU184" i="4"/>
  <c r="PX192" i="4"/>
  <c r="QT192" i="4"/>
  <c r="QD187" i="4"/>
  <c r="RB187" i="4" s="1"/>
  <c r="QZ187" i="4"/>
  <c r="OJ184" i="4"/>
  <c r="OT184" i="4"/>
  <c r="AA189" i="4"/>
  <c r="AB189" i="4"/>
  <c r="QC187" i="4"/>
  <c r="QY187" i="4"/>
  <c r="AA218" i="1" l="1"/>
  <c r="KC218" i="1" s="1"/>
  <c r="Z218" i="1" s="1" a="1"/>
  <c r="Z218" i="1" s="1"/>
  <c r="Y219" i="1" s="1" a="1"/>
  <c r="Y219" i="1" s="1"/>
  <c r="AA219" i="1" s="1"/>
  <c r="KC219" i="1" s="1"/>
  <c r="Z182" i="1" a="1"/>
  <c r="Z182" i="1" s="1"/>
  <c r="Y186" i="1" s="1" a="1"/>
  <c r="Y186" i="1" s="1"/>
  <c r="AA186" i="1" s="1"/>
  <c r="KC186" i="1" s="1"/>
  <c r="AB182" i="1"/>
  <c r="KD182" i="1" s="1"/>
  <c r="Y192" i="1" a="1"/>
  <c r="Y192" i="1" s="1"/>
  <c r="PB207" i="1"/>
  <c r="Z207" i="1" a="1"/>
  <c r="Z207" i="1" s="1"/>
  <c r="Y209" i="1" s="1" a="1"/>
  <c r="Y209" i="1" s="1"/>
  <c r="HW44" i="1"/>
  <c r="HU44" i="1"/>
  <c r="HV44" i="1"/>
  <c r="HX44" i="1"/>
  <c r="AJ44" i="1" a="1"/>
  <c r="AJ44" i="1" s="1"/>
  <c r="AI45" i="1" s="1" a="1"/>
  <c r="AI45" i="1" s="1"/>
  <c r="Z44" i="1" a="1"/>
  <c r="Z44" i="1" s="1"/>
  <c r="Y45" i="1" s="1" a="1"/>
  <c r="Y45" i="1" s="1"/>
  <c r="AA45" i="1" s="1"/>
  <c r="HG45" i="1" s="1"/>
  <c r="AB44" i="1"/>
  <c r="HH44" i="1" s="1"/>
  <c r="KI344" i="1" a="1"/>
  <c r="KI344" i="1" s="1"/>
  <c r="KJ344" i="1" s="1"/>
  <c r="KK344" i="1" s="1"/>
  <c r="KI238" i="1" a="1"/>
  <c r="KI238" i="1" s="1"/>
  <c r="KJ238" i="1" s="1"/>
  <c r="KK238" i="1" s="1"/>
  <c r="AA202" i="5"/>
  <c r="AB202" i="5"/>
  <c r="AB207" i="5"/>
  <c r="AA207" i="5"/>
  <c r="ON198" i="5"/>
  <c r="OX198" i="5"/>
  <c r="AA213" i="5"/>
  <c r="AB213" i="5"/>
  <c r="QC197" i="5"/>
  <c r="QY197" i="5"/>
  <c r="AA203" i="5"/>
  <c r="AB203" i="5"/>
  <c r="QD197" i="5"/>
  <c r="QZ197" i="5"/>
  <c r="OZ189" i="5"/>
  <c r="Z189" i="5" a="1"/>
  <c r="Z189" i="5" s="1"/>
  <c r="Y190" i="5" s="1" a="1"/>
  <c r="Y190" i="5" s="1"/>
  <c r="X218" i="5"/>
  <c r="Y217" i="5" a="1"/>
  <c r="Y217" i="5" s="1"/>
  <c r="OL185" i="5"/>
  <c r="OV185" i="5"/>
  <c r="OK194" i="5"/>
  <c r="OU194" i="5"/>
  <c r="OO198" i="5"/>
  <c r="PA198" i="5" s="1"/>
  <c r="OY198" i="5"/>
  <c r="OJ194" i="5"/>
  <c r="OT194" i="5"/>
  <c r="RL202" i="5"/>
  <c r="RK202" i="5"/>
  <c r="RG202" i="5"/>
  <c r="RQ202" i="5"/>
  <c r="RM202" i="5"/>
  <c r="RJ202" i="5"/>
  <c r="RI202" i="5"/>
  <c r="RH202" i="5"/>
  <c r="RR202" i="5"/>
  <c r="RP202" i="5"/>
  <c r="RO202" i="5"/>
  <c r="RN202" i="5"/>
  <c r="OM185" i="5"/>
  <c r="OW185" i="5"/>
  <c r="AA204" i="5"/>
  <c r="KC204" i="5" s="1"/>
  <c r="Z204" i="5" s="1" a="1"/>
  <c r="Z204" i="5" s="1"/>
  <c r="Y206" i="5" s="1" a="1"/>
  <c r="Y206" i="5" s="1"/>
  <c r="AB204" i="5"/>
  <c r="KD204" i="5" s="1"/>
  <c r="RE192" i="5"/>
  <c r="Z192" i="5" a="1"/>
  <c r="Z192" i="5" s="1"/>
  <c r="OP190" i="1"/>
  <c r="OZ190" i="1"/>
  <c r="OQ190" i="1"/>
  <c r="PA190" i="1"/>
  <c r="KI239" i="1" a="1"/>
  <c r="KI239" i="1" s="1"/>
  <c r="AB197" i="4"/>
  <c r="AA197" i="4"/>
  <c r="OG189" i="4"/>
  <c r="OQ189" i="4"/>
  <c r="OF189" i="4"/>
  <c r="OP189" i="4"/>
  <c r="OV184" i="4"/>
  <c r="Z184" i="4" a="1"/>
  <c r="Z184" i="4" s="1"/>
  <c r="Y185" i="4" s="1" a="1"/>
  <c r="Y185" i="4" s="1"/>
  <c r="OJ193" i="4"/>
  <c r="OT193" i="4"/>
  <c r="PZ192" i="4"/>
  <c r="QV192" i="4"/>
  <c r="RL197" i="4"/>
  <c r="RI197" i="4"/>
  <c r="RH197" i="4"/>
  <c r="RF197" i="4"/>
  <c r="RN197" i="4"/>
  <c r="RM197" i="4"/>
  <c r="RJ197" i="4"/>
  <c r="RK197" i="4"/>
  <c r="RG197" i="4"/>
  <c r="RE197" i="4"/>
  <c r="RD197" i="4"/>
  <c r="RC197" i="4"/>
  <c r="PY192" i="4"/>
  <c r="QU192" i="4"/>
  <c r="X200" i="4"/>
  <c r="OK193" i="4"/>
  <c r="OW193" i="4" s="1"/>
  <c r="OU193" i="4"/>
  <c r="RA187" i="4"/>
  <c r="Z187" i="4" a="1"/>
  <c r="Z187" i="4" s="1"/>
  <c r="AB198" i="4"/>
  <c r="AA198" i="4"/>
  <c r="Z219" i="1" l="1" a="1"/>
  <c r="Z219" i="1" s="1"/>
  <c r="Y220" i="1" s="1" a="1"/>
  <c r="Y220" i="1" s="1"/>
  <c r="AB220" i="1" s="1"/>
  <c r="KD220" i="1" s="1"/>
  <c r="AB219" i="1"/>
  <c r="KD219" i="1" s="1"/>
  <c r="Z186" i="1" a="1"/>
  <c r="Z186" i="1" s="1"/>
  <c r="Y187" i="1" s="1" a="1"/>
  <c r="Y187" i="1" s="1"/>
  <c r="AA187" i="1" s="1"/>
  <c r="AB186" i="1"/>
  <c r="KD186" i="1" s="1"/>
  <c r="AB192" i="1"/>
  <c r="AA192" i="1"/>
  <c r="AA209" i="1"/>
  <c r="AB209" i="1"/>
  <c r="AL45" i="1"/>
  <c r="HF45" i="1" s="1"/>
  <c r="AK45" i="1"/>
  <c r="HE45" i="1" s="1"/>
  <c r="AB45" i="1"/>
  <c r="HH45" i="1" s="1"/>
  <c r="KI345" i="1" a="1"/>
  <c r="KI345" i="1" s="1"/>
  <c r="AB217" i="5"/>
  <c r="KD217" i="5" s="1"/>
  <c r="AA217" i="5"/>
  <c r="KC217" i="5" s="1"/>
  <c r="Z217" i="5" s="1" a="1"/>
  <c r="Z217" i="5" s="1"/>
  <c r="Y218" i="5" s="1" a="1"/>
  <c r="Y218" i="5" s="1"/>
  <c r="QE197" i="5"/>
  <c r="RA197" i="5"/>
  <c r="OL194" i="5"/>
  <c r="OV194" i="5"/>
  <c r="OU213" i="5"/>
  <c r="OK213" i="5"/>
  <c r="OJ213" i="5"/>
  <c r="OT213" i="5"/>
  <c r="OT203" i="5"/>
  <c r="OJ203" i="5"/>
  <c r="X219" i="5"/>
  <c r="AA190" i="5"/>
  <c r="AB190" i="5"/>
  <c r="OZ198" i="5"/>
  <c r="Z198" i="5" a="1"/>
  <c r="Z198" i="5" s="1"/>
  <c r="Y199" i="5" s="1" a="1"/>
  <c r="Y199" i="5" s="1"/>
  <c r="OT207" i="5"/>
  <c r="OJ207" i="5"/>
  <c r="OM194" i="5"/>
  <c r="OW194" i="5"/>
  <c r="OK207" i="5"/>
  <c r="OU207" i="5"/>
  <c r="QF197" i="5"/>
  <c r="RB197" i="5"/>
  <c r="AA206" i="5"/>
  <c r="KC206" i="5" s="1"/>
  <c r="Z206" i="5" s="1" a="1"/>
  <c r="Z206" i="5" s="1"/>
  <c r="Y208" i="5" s="1" a="1"/>
  <c r="Y208" i="5" s="1"/>
  <c r="AB206" i="5"/>
  <c r="KD206" i="5" s="1"/>
  <c r="ON185" i="5"/>
  <c r="OX185" i="5"/>
  <c r="PY202" i="5"/>
  <c r="QU202" i="5"/>
  <c r="OU203" i="5"/>
  <c r="OK203" i="5"/>
  <c r="PZ202" i="5"/>
  <c r="QV202" i="5"/>
  <c r="OO185" i="5"/>
  <c r="OY185" i="5"/>
  <c r="OS190" i="1"/>
  <c r="PC190" i="1"/>
  <c r="OR190" i="1"/>
  <c r="PB190" i="1"/>
  <c r="KJ239" i="1"/>
  <c r="KK239" i="1" s="1"/>
  <c r="QB192" i="4"/>
  <c r="QX192" i="4"/>
  <c r="OP198" i="4"/>
  <c r="OF198" i="4"/>
  <c r="AB185" i="4"/>
  <c r="AA185" i="4"/>
  <c r="OV193" i="4"/>
  <c r="Z193" i="4" a="1"/>
  <c r="Z193" i="4" s="1"/>
  <c r="Y194" i="4" s="1" a="1"/>
  <c r="Y194" i="4" s="1"/>
  <c r="Y201" i="4" a="1"/>
  <c r="Y201" i="4" s="1"/>
  <c r="X202" i="4"/>
  <c r="OH189" i="4"/>
  <c r="OR189" i="4"/>
  <c r="OG198" i="4"/>
  <c r="OQ198" i="4"/>
  <c r="OI189" i="4"/>
  <c r="OS189" i="4"/>
  <c r="QA192" i="4"/>
  <c r="QW192" i="4"/>
  <c r="PV197" i="4"/>
  <c r="QR197" i="4"/>
  <c r="PU197" i="4"/>
  <c r="QQ197" i="4"/>
  <c r="KF222" i="1"/>
  <c r="AA220" i="1" l="1"/>
  <c r="KC220" i="1" s="1"/>
  <c r="Z220" i="1" s="1" a="1"/>
  <c r="Z220" i="1" s="1"/>
  <c r="Y223" i="1" s="1" a="1"/>
  <c r="Y223" i="1" s="1"/>
  <c r="AB223" i="1" s="1"/>
  <c r="KD223" i="1" s="1"/>
  <c r="AB187" i="1"/>
  <c r="QA187" i="1" s="1"/>
  <c r="QB192" i="1"/>
  <c r="QX192" i="1"/>
  <c r="QA192" i="1"/>
  <c r="QW192" i="1"/>
  <c r="OM209" i="1"/>
  <c r="OW209" i="1"/>
  <c r="OV209" i="1"/>
  <c r="OL209" i="1"/>
  <c r="QB187" i="1"/>
  <c r="QX187" i="1"/>
  <c r="HU45" i="1"/>
  <c r="HX45" i="1"/>
  <c r="HV45" i="1"/>
  <c r="KJ345" i="1"/>
  <c r="KK345" i="1" s="1"/>
  <c r="AB208" i="5"/>
  <c r="KD208" i="5" s="1"/>
  <c r="AA208" i="5"/>
  <c r="KC208" i="5" s="1"/>
  <c r="Z208" i="5" s="1" a="1"/>
  <c r="Z208" i="5" s="1"/>
  <c r="Y210" i="5" s="1" a="1"/>
  <c r="Y210" i="5" s="1"/>
  <c r="AB218" i="5"/>
  <c r="KD218" i="5" s="1"/>
  <c r="AA218" i="5"/>
  <c r="KC218" i="5" s="1"/>
  <c r="Z218" i="5" s="1" a="1"/>
  <c r="Z218" i="5" s="1"/>
  <c r="Y219" i="5" s="1" a="1"/>
  <c r="Y219" i="5" s="1"/>
  <c r="OW213" i="5"/>
  <c r="OM213" i="5"/>
  <c r="OK190" i="5"/>
  <c r="OU190" i="5"/>
  <c r="OJ190" i="5"/>
  <c r="OT190" i="5"/>
  <c r="ON194" i="5"/>
  <c r="OX194" i="5"/>
  <c r="OW203" i="5"/>
  <c r="OM203" i="5"/>
  <c r="OM207" i="5"/>
  <c r="OW207" i="5"/>
  <c r="AA199" i="5"/>
  <c r="AB199" i="5"/>
  <c r="OQ185" i="5"/>
  <c r="PA185" i="5"/>
  <c r="QB202" i="5"/>
  <c r="QX202" i="5"/>
  <c r="X220" i="5"/>
  <c r="QG197" i="5"/>
  <c r="RC197" i="5"/>
  <c r="OV213" i="5"/>
  <c r="OL213" i="5"/>
  <c r="QH197" i="5"/>
  <c r="RF197" i="5" s="1"/>
  <c r="RD197" i="5"/>
  <c r="QA202" i="5"/>
  <c r="QW202" i="5"/>
  <c r="OO194" i="5"/>
  <c r="PA194" i="5" s="1"/>
  <c r="OY194" i="5"/>
  <c r="OV203" i="5"/>
  <c r="OL203" i="5"/>
  <c r="OL207" i="5"/>
  <c r="OV207" i="5"/>
  <c r="OP185" i="5"/>
  <c r="OZ185" i="5"/>
  <c r="KI240" i="1" a="1"/>
  <c r="KI240" i="1" s="1"/>
  <c r="KJ240" i="1" s="1"/>
  <c r="PD190" i="1"/>
  <c r="OT190" i="1"/>
  <c r="PE190" i="1"/>
  <c r="OU190" i="1"/>
  <c r="PG190" i="1" s="1"/>
  <c r="OJ189" i="4"/>
  <c r="OT189" i="4"/>
  <c r="PT202" i="4"/>
  <c r="Y204" i="4" a="1"/>
  <c r="Y204" i="4" s="1"/>
  <c r="Y207" i="4" a="1"/>
  <c r="Y207" i="4" s="1"/>
  <c r="X217" i="4"/>
  <c r="Y203" i="4" a="1"/>
  <c r="Y203" i="4" s="1"/>
  <c r="Y213" i="4" a="1"/>
  <c r="Y213" i="4" s="1"/>
  <c r="AA201" i="4"/>
  <c r="JY201" i="4" s="1"/>
  <c r="Z201" i="4" s="1" a="1"/>
  <c r="Z201" i="4" s="1"/>
  <c r="Y202" i="4" s="1" a="1"/>
  <c r="Y202" i="4" s="1"/>
  <c r="AB201" i="4"/>
  <c r="JZ201" i="4" s="1"/>
  <c r="PW197" i="4"/>
  <c r="QS197" i="4"/>
  <c r="QC192" i="4"/>
  <c r="QY192" i="4"/>
  <c r="OF185" i="4"/>
  <c r="OP185" i="4"/>
  <c r="OK189" i="4"/>
  <c r="OW189" i="4" s="1"/>
  <c r="OU189" i="4"/>
  <c r="OG185" i="4"/>
  <c r="OQ185" i="4"/>
  <c r="AA194" i="4"/>
  <c r="AB194" i="4"/>
  <c r="OR198" i="4"/>
  <c r="OH198" i="4"/>
  <c r="OS198" i="4"/>
  <c r="OI198" i="4"/>
  <c r="PX197" i="4"/>
  <c r="QT197" i="4"/>
  <c r="QD192" i="4"/>
  <c r="RB192" i="4" s="1"/>
  <c r="QZ192" i="4"/>
  <c r="QW187" i="1" l="1"/>
  <c r="AA223" i="1"/>
  <c r="KC223" i="1" s="1"/>
  <c r="Z223" i="1" s="1" a="1"/>
  <c r="Z223" i="1" s="1"/>
  <c r="Y224" i="1" s="1" a="1"/>
  <c r="Y224" i="1" s="1"/>
  <c r="AA224" i="1" s="1"/>
  <c r="KC224" i="1" s="1"/>
  <c r="QY192" i="1"/>
  <c r="QC192" i="1"/>
  <c r="QZ192" i="1"/>
  <c r="QD192" i="1"/>
  <c r="ON209" i="1"/>
  <c r="OX209" i="1"/>
  <c r="OY209" i="1"/>
  <c r="OO209" i="1"/>
  <c r="QD187" i="1"/>
  <c r="QZ187" i="1"/>
  <c r="QC187" i="1"/>
  <c r="QY187" i="1"/>
  <c r="HW45" i="1"/>
  <c r="AJ45" i="1" a="1"/>
  <c r="AJ45" i="1" s="1"/>
  <c r="AI46" i="1" s="1" a="1"/>
  <c r="AI46" i="1" s="1"/>
  <c r="Z45" i="1" a="1"/>
  <c r="Z45" i="1" s="1"/>
  <c r="Y46" i="1" s="1" a="1"/>
  <c r="Y46" i="1" s="1"/>
  <c r="KI346" i="1" a="1"/>
  <c r="KI346" i="1" s="1"/>
  <c r="KJ346" i="1" s="1"/>
  <c r="AB219" i="5"/>
  <c r="KD219" i="5" s="1"/>
  <c r="AA219" i="5"/>
  <c r="KC219" i="5" s="1"/>
  <c r="Z219" i="5" s="1" a="1"/>
  <c r="Z219" i="5" s="1"/>
  <c r="Y220" i="5" s="1" a="1"/>
  <c r="Y220" i="5" s="1"/>
  <c r="AB210" i="5"/>
  <c r="KD210" i="5" s="1"/>
  <c r="AA210" i="5"/>
  <c r="KC210" i="5" s="1"/>
  <c r="Z210" i="5" s="1" a="1"/>
  <c r="Z210" i="5" s="1"/>
  <c r="Y212" i="5" s="1" a="1"/>
  <c r="Y212" i="5" s="1"/>
  <c r="OX203" i="5"/>
  <c r="ON203" i="5"/>
  <c r="RE197" i="5"/>
  <c r="Z197" i="5" a="1"/>
  <c r="Z197" i="5" s="1"/>
  <c r="OL190" i="5"/>
  <c r="OV190" i="5"/>
  <c r="OK199" i="5"/>
  <c r="OU199" i="5"/>
  <c r="OM190" i="5"/>
  <c r="OW190" i="5"/>
  <c r="OS185" i="5"/>
  <c r="PE185" i="5" s="1"/>
  <c r="PC185" i="5"/>
  <c r="OJ199" i="5"/>
  <c r="OT199" i="5"/>
  <c r="OY213" i="5"/>
  <c r="OO213" i="5"/>
  <c r="PA213" i="5" s="1"/>
  <c r="OO207" i="5"/>
  <c r="PA207" i="5" s="1"/>
  <c r="OY207" i="5"/>
  <c r="QC202" i="5"/>
  <c r="QY202" i="5"/>
  <c r="OY203" i="5"/>
  <c r="OO203" i="5"/>
  <c r="PA203" i="5" s="1"/>
  <c r="OR185" i="5"/>
  <c r="PB185" i="5"/>
  <c r="Y221" i="5" a="1"/>
  <c r="Y221" i="5" s="1"/>
  <c r="X222" i="5"/>
  <c r="OZ194" i="5"/>
  <c r="Z194" i="5" a="1"/>
  <c r="Z194" i="5" s="1"/>
  <c r="Y195" i="5" s="1" a="1"/>
  <c r="Y195" i="5" s="1"/>
  <c r="ON207" i="5"/>
  <c r="OX207" i="5"/>
  <c r="OX213" i="5"/>
  <c r="ON213" i="5"/>
  <c r="QD202" i="5"/>
  <c r="QZ202" i="5"/>
  <c r="KK240" i="1"/>
  <c r="KI241" i="1" a="1"/>
  <c r="KI241" i="1" s="1"/>
  <c r="KJ241" i="1" s="1"/>
  <c r="PF190" i="1"/>
  <c r="Z190" i="1" a="1"/>
  <c r="Z190" i="1" s="1"/>
  <c r="AA202" i="4"/>
  <c r="AB202" i="4"/>
  <c r="AA207" i="4"/>
  <c r="AB207" i="4"/>
  <c r="OG194" i="4"/>
  <c r="OQ194" i="4"/>
  <c r="PY197" i="4"/>
  <c r="QU197" i="4"/>
  <c r="OF194" i="4"/>
  <c r="OP194" i="4"/>
  <c r="OI185" i="4"/>
  <c r="OS185" i="4"/>
  <c r="AB204" i="4"/>
  <c r="JZ204" i="4" s="1"/>
  <c r="AA204" i="4"/>
  <c r="JY204" i="4" s="1"/>
  <c r="Z204" i="4" s="1" a="1"/>
  <c r="Z204" i="4" s="1"/>
  <c r="Y206" i="4" s="1" a="1"/>
  <c r="Y206" i="4" s="1"/>
  <c r="AA213" i="4"/>
  <c r="AB213" i="4"/>
  <c r="OU198" i="4"/>
  <c r="OK198" i="4"/>
  <c r="OW198" i="4" s="1"/>
  <c r="AB203" i="4"/>
  <c r="AA203" i="4"/>
  <c r="RE202" i="4"/>
  <c r="RN202" i="4"/>
  <c r="RM202" i="4"/>
  <c r="RK202" i="4"/>
  <c r="RL202" i="4"/>
  <c r="RJ202" i="4"/>
  <c r="RI202" i="4"/>
  <c r="RH202" i="4"/>
  <c r="RF202" i="4"/>
  <c r="RC202" i="4"/>
  <c r="RG202" i="4"/>
  <c r="RD202" i="4"/>
  <c r="OH185" i="4"/>
  <c r="OR185" i="4"/>
  <c r="PZ197" i="4"/>
  <c r="QV197" i="4"/>
  <c r="OT198" i="4"/>
  <c r="OJ198" i="4"/>
  <c r="RA192" i="4"/>
  <c r="Z192" i="4" a="1"/>
  <c r="Z192" i="4" s="1"/>
  <c r="Y217" i="4" a="1"/>
  <c r="Y217" i="4" s="1"/>
  <c r="X218" i="4"/>
  <c r="OV189" i="4"/>
  <c r="Z189" i="4" a="1"/>
  <c r="Z189" i="4" s="1"/>
  <c r="Y190" i="4" s="1" a="1"/>
  <c r="Y190" i="4" s="1"/>
  <c r="Z224" i="1" l="1" a="1"/>
  <c r="Z224" i="1" s="1"/>
  <c r="AB224" i="1"/>
  <c r="KD224" i="1" s="1"/>
  <c r="QF192" i="1"/>
  <c r="RB192" i="1"/>
  <c r="RA192" i="1"/>
  <c r="QE192" i="1"/>
  <c r="OQ209" i="1"/>
  <c r="PC209" i="1" s="1"/>
  <c r="PA209" i="1"/>
  <c r="OP209" i="1"/>
  <c r="OZ209" i="1"/>
  <c r="QE187" i="1"/>
  <c r="RA187" i="1"/>
  <c r="QF187" i="1"/>
  <c r="RB187" i="1"/>
  <c r="AL46" i="1"/>
  <c r="HF46" i="1" s="1"/>
  <c r="AK46" i="1"/>
  <c r="HE46" i="1" s="1"/>
  <c r="AA46" i="1"/>
  <c r="HG46" i="1" s="1"/>
  <c r="AB46" i="1"/>
  <c r="HH46" i="1" s="1"/>
  <c r="KK346" i="1"/>
  <c r="KI347" i="1" a="1"/>
  <c r="KI347" i="1" s="1"/>
  <c r="KJ347" i="1" s="1"/>
  <c r="KK347" i="1" s="1"/>
  <c r="KL347" i="1" s="1"/>
  <c r="AB212" i="5"/>
  <c r="KD212" i="5" s="1"/>
  <c r="AA212" i="5"/>
  <c r="KC212" i="5" s="1"/>
  <c r="Z212" i="5" s="1" a="1"/>
  <c r="Z212" i="5" s="1"/>
  <c r="Y214" i="5" s="1" a="1"/>
  <c r="Y214" i="5" s="1"/>
  <c r="AB220" i="5"/>
  <c r="KD220" i="5" s="1"/>
  <c r="AA220" i="5"/>
  <c r="KC220" i="5" s="1"/>
  <c r="Z220" i="5" s="1" a="1"/>
  <c r="Z220" i="5" s="1"/>
  <c r="OL199" i="5"/>
  <c r="OV199" i="5"/>
  <c r="OZ203" i="5"/>
  <c r="Z203" i="5" a="1"/>
  <c r="Z203" i="5" s="1"/>
  <c r="Y205" i="5" s="1" a="1"/>
  <c r="Y205" i="5" s="1"/>
  <c r="ON190" i="5"/>
  <c r="OX190" i="5"/>
  <c r="QF202" i="5"/>
  <c r="RB202" i="5"/>
  <c r="OZ213" i="5"/>
  <c r="Z213" i="5" a="1"/>
  <c r="Z213" i="5" s="1"/>
  <c r="Y215" i="5" s="1" a="1"/>
  <c r="Y215" i="5" s="1"/>
  <c r="PD185" i="5"/>
  <c r="Z185" i="5" a="1"/>
  <c r="Z185" i="5" s="1"/>
  <c r="OZ207" i="5"/>
  <c r="Z207" i="5" a="1"/>
  <c r="Z207" i="5" s="1"/>
  <c r="Y209" i="5" s="1" a="1"/>
  <c r="Y209" i="5" s="1"/>
  <c r="AA195" i="5"/>
  <c r="AB195" i="5"/>
  <c r="QE202" i="5"/>
  <c r="RA202" i="5"/>
  <c r="OO190" i="5"/>
  <c r="OY190" i="5"/>
  <c r="KF222" i="5"/>
  <c r="X224" i="5"/>
  <c r="Y223" i="5" a="1"/>
  <c r="Y223" i="5" s="1"/>
  <c r="OM199" i="5"/>
  <c r="OW199" i="5"/>
  <c r="AA221" i="5"/>
  <c r="AB221" i="5"/>
  <c r="KD221" i="5" s="1"/>
  <c r="KK241" i="1"/>
  <c r="KI242" i="1" a="1"/>
  <c r="KI242" i="1" s="1"/>
  <c r="KJ242" i="1" s="1"/>
  <c r="KK242" i="1" s="1"/>
  <c r="KI243" i="1" a="1"/>
  <c r="KI243" i="1" s="1"/>
  <c r="OK185" i="4"/>
  <c r="OU185" i="4"/>
  <c r="OJ185" i="4"/>
  <c r="OT185" i="4"/>
  <c r="OH194" i="4"/>
  <c r="OR194" i="4"/>
  <c r="AA217" i="4"/>
  <c r="JY217" i="4" s="1"/>
  <c r="Z217" i="4" s="1" a="1"/>
  <c r="Z217" i="4" s="1"/>
  <c r="Y218" i="4" s="1" a="1"/>
  <c r="Y218" i="4" s="1"/>
  <c r="AB217" i="4"/>
  <c r="JZ217" i="4" s="1"/>
  <c r="OP203" i="4"/>
  <c r="OF203" i="4"/>
  <c r="OQ203" i="4"/>
  <c r="OG203" i="4"/>
  <c r="QA197" i="4"/>
  <c r="QW197" i="4"/>
  <c r="OI194" i="4"/>
  <c r="OS194" i="4"/>
  <c r="OV198" i="4"/>
  <c r="Z198" i="4" a="1"/>
  <c r="Z198" i="4" s="1"/>
  <c r="Y199" i="4" s="1" a="1"/>
  <c r="Y199" i="4" s="1"/>
  <c r="OQ213" i="4"/>
  <c r="OG213" i="4"/>
  <c r="OQ207" i="4"/>
  <c r="OG207" i="4"/>
  <c r="X219" i="4"/>
  <c r="OF213" i="4"/>
  <c r="OP213" i="4"/>
  <c r="OF207" i="4"/>
  <c r="OP207" i="4"/>
  <c r="AB206" i="4"/>
  <c r="JZ206" i="4" s="1"/>
  <c r="AA206" i="4"/>
  <c r="JY206" i="4" s="1"/>
  <c r="Z206" i="4" s="1" a="1"/>
  <c r="Z206" i="4" s="1"/>
  <c r="Y208" i="4" s="1" a="1"/>
  <c r="Y208" i="4" s="1"/>
  <c r="QB197" i="4"/>
  <c r="QX197" i="4"/>
  <c r="PU202" i="4"/>
  <c r="QQ202" i="4"/>
  <c r="AB190" i="4"/>
  <c r="AA190" i="4"/>
  <c r="PV202" i="4"/>
  <c r="QR202" i="4"/>
  <c r="RC192" i="1" l="1"/>
  <c r="QG192" i="1"/>
  <c r="RD192" i="1"/>
  <c r="QH192" i="1"/>
  <c r="PB209" i="1"/>
  <c r="Z209" i="1" a="1"/>
  <c r="Z209" i="1" s="1"/>
  <c r="Y211" i="1" s="1" a="1"/>
  <c r="Y211" i="1" s="1"/>
  <c r="QH187" i="1"/>
  <c r="RD187" i="1"/>
  <c r="QG187" i="1"/>
  <c r="RC187" i="1"/>
  <c r="HU46" i="1"/>
  <c r="HV46" i="1"/>
  <c r="HX46" i="1"/>
  <c r="KI348" i="1" a="1"/>
  <c r="KI348" i="1" s="1"/>
  <c r="AA214" i="5"/>
  <c r="KC214" i="5" s="1"/>
  <c r="Z214" i="5" s="1" a="1"/>
  <c r="Z214" i="5" s="1"/>
  <c r="Y216" i="5" s="1" a="1"/>
  <c r="Y216" i="5" s="1"/>
  <c r="AB214" i="5"/>
  <c r="KD214" i="5" s="1"/>
  <c r="AB205" i="5"/>
  <c r="AA205" i="5"/>
  <c r="OO199" i="5"/>
  <c r="PA199" i="5" s="1"/>
  <c r="OY199" i="5"/>
  <c r="AB223" i="5"/>
  <c r="KD223" i="5" s="1"/>
  <c r="AA223" i="5"/>
  <c r="KC223" i="5" s="1"/>
  <c r="Z223" i="5" s="1" a="1"/>
  <c r="Z223" i="5" s="1"/>
  <c r="Y224" i="5" s="1" a="1"/>
  <c r="Y224" i="5" s="1"/>
  <c r="OK195" i="5"/>
  <c r="OU195" i="5"/>
  <c r="X234" i="5"/>
  <c r="Y233" i="5" a="1"/>
  <c r="Y233" i="5" s="1"/>
  <c r="OJ195" i="5"/>
  <c r="OT195" i="5"/>
  <c r="AA209" i="5"/>
  <c r="AB209" i="5"/>
  <c r="ON199" i="5"/>
  <c r="OX199" i="5"/>
  <c r="AA215" i="5"/>
  <c r="AB215" i="5"/>
  <c r="KC221" i="5"/>
  <c r="KA221" i="5"/>
  <c r="OQ190" i="5"/>
  <c r="PA190" i="5"/>
  <c r="QH202" i="5"/>
  <c r="RF202" i="5" s="1"/>
  <c r="RD202" i="5"/>
  <c r="QG202" i="5"/>
  <c r="RC202" i="5"/>
  <c r="OP190" i="5"/>
  <c r="OZ190" i="5"/>
  <c r="KJ243" i="1"/>
  <c r="KK243" i="1" s="1"/>
  <c r="KI244" i="1" a="1"/>
  <c r="KI244" i="1" s="1"/>
  <c r="Z243" i="1" a="1"/>
  <c r="Z243" i="1" s="1"/>
  <c r="Y244" i="1" s="1" a="1"/>
  <c r="Y244" i="1" s="1"/>
  <c r="AB208" i="4"/>
  <c r="JZ208" i="4" s="1"/>
  <c r="AA208" i="4"/>
  <c r="JY208" i="4" s="1"/>
  <c r="Z208" i="4" s="1" a="1"/>
  <c r="Z208" i="4" s="1"/>
  <c r="Y210" i="4" s="1" a="1"/>
  <c r="Y210" i="4" s="1"/>
  <c r="AA218" i="4"/>
  <c r="JY218" i="4" s="1"/>
  <c r="Z218" i="4" s="1" a="1"/>
  <c r="Z218" i="4" s="1"/>
  <c r="Y219" i="4" s="1" a="1"/>
  <c r="Y219" i="4" s="1"/>
  <c r="AB218" i="4"/>
  <c r="JZ218" i="4" s="1"/>
  <c r="OH203" i="4"/>
  <c r="OR203" i="4"/>
  <c r="OI213" i="4"/>
  <c r="OS213" i="4"/>
  <c r="AB199" i="4"/>
  <c r="AA199" i="4"/>
  <c r="OR207" i="4"/>
  <c r="OH207" i="4"/>
  <c r="PX202" i="4"/>
  <c r="QT202" i="4"/>
  <c r="OJ194" i="4"/>
  <c r="OT194" i="4"/>
  <c r="QD197" i="4"/>
  <c r="RB197" i="4" s="1"/>
  <c r="QZ197" i="4"/>
  <c r="OF190" i="4"/>
  <c r="OP190" i="4"/>
  <c r="OK194" i="4"/>
  <c r="OW194" i="4" s="1"/>
  <c r="OU194" i="4"/>
  <c r="OL185" i="4"/>
  <c r="OV185" i="4"/>
  <c r="OS207" i="4"/>
  <c r="OI207" i="4"/>
  <c r="OR213" i="4"/>
  <c r="OH213" i="4"/>
  <c r="OG190" i="4"/>
  <c r="OQ190" i="4"/>
  <c r="X220" i="4"/>
  <c r="QC197" i="4"/>
  <c r="QY197" i="4"/>
  <c r="PW202" i="4"/>
  <c r="QS202" i="4"/>
  <c r="OI203" i="4"/>
  <c r="OS203" i="4"/>
  <c r="OM185" i="4"/>
  <c r="OW185" i="4"/>
  <c r="QJ192" i="1" l="1"/>
  <c r="RH192" i="1" s="1"/>
  <c r="RF192" i="1"/>
  <c r="QI192" i="1"/>
  <c r="RE192" i="1"/>
  <c r="AB211" i="1"/>
  <c r="AA211" i="1"/>
  <c r="RE187" i="1"/>
  <c r="QI187" i="1"/>
  <c r="QJ187" i="1"/>
  <c r="RH187" i="1" s="1"/>
  <c r="RF187" i="1"/>
  <c r="HW46" i="1"/>
  <c r="AJ46" i="1" a="1"/>
  <c r="AJ46" i="1" s="1"/>
  <c r="AI47" i="1" s="1" a="1"/>
  <c r="AI47" i="1" s="1"/>
  <c r="Z46" i="1" a="1"/>
  <c r="Z46" i="1" s="1"/>
  <c r="Y47" i="1" s="1" a="1"/>
  <c r="Y47" i="1" s="1"/>
  <c r="KJ348" i="1"/>
  <c r="KK348" i="1" s="1"/>
  <c r="AB224" i="5"/>
  <c r="KD224" i="5" s="1"/>
  <c r="AA224" i="5"/>
  <c r="KC224" i="5" s="1"/>
  <c r="Z224" i="5" s="1" a="1"/>
  <c r="Z224" i="5" s="1"/>
  <c r="AA216" i="5"/>
  <c r="KC216" i="5" s="1"/>
  <c r="Z216" i="5" s="1" a="1"/>
  <c r="Z216" i="5" s="1"/>
  <c r="AB216" i="5"/>
  <c r="KD216" i="5" s="1"/>
  <c r="OT215" i="5"/>
  <c r="OJ215" i="5"/>
  <c r="OK209" i="5"/>
  <c r="OU209" i="5"/>
  <c r="OU215" i="5"/>
  <c r="OK215" i="5"/>
  <c r="OR190" i="5"/>
  <c r="PB190" i="5"/>
  <c r="OZ199" i="5"/>
  <c r="Z199" i="5" a="1"/>
  <c r="Z199" i="5" s="1"/>
  <c r="Y200" i="5" s="1" a="1"/>
  <c r="Y200" i="5" s="1"/>
  <c r="OJ209" i="5"/>
  <c r="OT209" i="5"/>
  <c r="OM195" i="5"/>
  <c r="OW195" i="5"/>
  <c r="OS190" i="5"/>
  <c r="PE190" i="5" s="1"/>
  <c r="PC190" i="5"/>
  <c r="Z221" i="5" a="1"/>
  <c r="Z221" i="5" s="1"/>
  <c r="Y222" i="5" s="1" a="1"/>
  <c r="Y222" i="5" s="1"/>
  <c r="KE221" i="5"/>
  <c r="OL195" i="5"/>
  <c r="OV195" i="5"/>
  <c r="OT205" i="5"/>
  <c r="OJ205" i="5"/>
  <c r="AB233" i="5"/>
  <c r="KD233" i="5" s="1"/>
  <c r="AA233" i="5"/>
  <c r="KC233" i="5" s="1"/>
  <c r="Z233" i="5" s="1" a="1"/>
  <c r="Z233" i="5" s="1"/>
  <c r="Y234" i="5" s="1" a="1"/>
  <c r="Y234" i="5" s="1"/>
  <c r="OU205" i="5"/>
  <c r="OK205" i="5"/>
  <c r="X236" i="5"/>
  <c r="Y235" i="5" a="1"/>
  <c r="Y235" i="5" s="1"/>
  <c r="RE202" i="5"/>
  <c r="Z202" i="5" a="1"/>
  <c r="Z202" i="5" s="1"/>
  <c r="AB244" i="1"/>
  <c r="KD244" i="1" s="1"/>
  <c r="AA244" i="1"/>
  <c r="KC244" i="1" s="1"/>
  <c r="Z244" i="1" s="1" a="1"/>
  <c r="Z244" i="1" s="1"/>
  <c r="Y245" i="1" s="1" a="1"/>
  <c r="Y245" i="1" s="1"/>
  <c r="KJ244" i="1"/>
  <c r="KK244" i="1" s="1"/>
  <c r="KI245" i="1" a="1"/>
  <c r="KI245" i="1" s="1"/>
  <c r="AB210" i="4"/>
  <c r="JZ210" i="4" s="1"/>
  <c r="AA210" i="4"/>
  <c r="JY210" i="4" s="1"/>
  <c r="Z210" i="4" s="1" a="1"/>
  <c r="Z210" i="4" s="1"/>
  <c r="Y212" i="4" s="1" a="1"/>
  <c r="Y212" i="4" s="1"/>
  <c r="AB219" i="4"/>
  <c r="JZ219" i="4" s="1"/>
  <c r="AA219" i="4"/>
  <c r="JY219" i="4" s="1"/>
  <c r="Z219" i="4" s="1" a="1"/>
  <c r="Z219" i="4" s="1"/>
  <c r="Y220" i="4" s="1" a="1"/>
  <c r="Y220" i="4" s="1"/>
  <c r="X222" i="4"/>
  <c r="Y221" i="4" a="1"/>
  <c r="Y221" i="4" s="1"/>
  <c r="OI190" i="4"/>
  <c r="OS190" i="4"/>
  <c r="OH190" i="4"/>
  <c r="OR190" i="4"/>
  <c r="OG199" i="4"/>
  <c r="OQ199" i="4"/>
  <c r="RA197" i="4"/>
  <c r="Z197" i="4" a="1"/>
  <c r="Z197" i="4" s="1"/>
  <c r="OT207" i="4"/>
  <c r="OJ207" i="4"/>
  <c r="OF199" i="4"/>
  <c r="OP199" i="4"/>
  <c r="OK203" i="4"/>
  <c r="OW203" i="4" s="1"/>
  <c r="OU203" i="4"/>
  <c r="OJ213" i="4"/>
  <c r="OT213" i="4"/>
  <c r="OU213" i="4"/>
  <c r="OK213" i="4"/>
  <c r="OW213" i="4" s="1"/>
  <c r="ON185" i="4"/>
  <c r="OX185" i="4"/>
  <c r="OO185" i="4"/>
  <c r="PA185" i="4" s="1"/>
  <c r="OY185" i="4"/>
  <c r="OU207" i="4"/>
  <c r="OK207" i="4"/>
  <c r="OW207" i="4" s="1"/>
  <c r="OV194" i="4"/>
  <c r="Z194" i="4" a="1"/>
  <c r="Z194" i="4" s="1"/>
  <c r="Y195" i="4" s="1" a="1"/>
  <c r="Y195" i="4" s="1"/>
  <c r="PY202" i="4"/>
  <c r="QU202" i="4"/>
  <c r="OT203" i="4"/>
  <c r="OJ203" i="4"/>
  <c r="PZ202" i="4"/>
  <c r="QV202" i="4"/>
  <c r="RG192" i="1" l="1"/>
  <c r="Z192" i="1" a="1"/>
  <c r="Z192" i="1" s="1"/>
  <c r="Y201" i="1" s="1" a="1"/>
  <c r="Y201" i="1" s="1"/>
  <c r="OV211" i="1"/>
  <c r="OL211" i="1"/>
  <c r="OW211" i="1"/>
  <c r="OM211" i="1"/>
  <c r="RG187" i="1"/>
  <c r="Z187" i="1" a="1"/>
  <c r="Z187" i="1" s="1"/>
  <c r="AK47" i="1"/>
  <c r="HE47" i="1" s="1"/>
  <c r="AL47" i="1"/>
  <c r="HF47" i="1" s="1"/>
  <c r="AB47" i="1"/>
  <c r="HH47" i="1" s="1"/>
  <c r="AA47" i="1"/>
  <c r="HG47" i="1" s="1"/>
  <c r="KL348" i="1"/>
  <c r="KI349" i="1" s="1" a="1"/>
  <c r="KI349" i="1" s="1"/>
  <c r="KJ349" i="1" s="1"/>
  <c r="KK349" i="1" s="1"/>
  <c r="KJ379" i="1"/>
  <c r="AB234" i="5"/>
  <c r="KD234" i="5" s="1"/>
  <c r="AA234" i="5"/>
  <c r="KC234" i="5" s="1"/>
  <c r="Z234" i="5" s="1" a="1"/>
  <c r="Z234" i="5" s="1"/>
  <c r="OW205" i="5"/>
  <c r="OM205" i="5"/>
  <c r="OW215" i="5"/>
  <c r="OM215" i="5"/>
  <c r="AA222" i="5"/>
  <c r="AB222" i="5"/>
  <c r="KD222" i="5" s="1"/>
  <c r="OM209" i="5"/>
  <c r="OW209" i="5"/>
  <c r="X237" i="5"/>
  <c r="OV205" i="5"/>
  <c r="OL205" i="5"/>
  <c r="OO195" i="5"/>
  <c r="OY195" i="5"/>
  <c r="OV215" i="5"/>
  <c r="OL215" i="5"/>
  <c r="AB235" i="5"/>
  <c r="KD235" i="5" s="1"/>
  <c r="AA235" i="5"/>
  <c r="KC235" i="5" s="1"/>
  <c r="Z235" i="5" s="1" a="1"/>
  <c r="Z235" i="5" s="1"/>
  <c r="Y236" i="5" s="1" a="1"/>
  <c r="Y236" i="5" s="1"/>
  <c r="OV209" i="5"/>
  <c r="OL209" i="5"/>
  <c r="AB200" i="5"/>
  <c r="AA200" i="5"/>
  <c r="ON195" i="5"/>
  <c r="OX195" i="5"/>
  <c r="PD190" i="5"/>
  <c r="Z190" i="5" a="1"/>
  <c r="Z190" i="5" s="1"/>
  <c r="AB316" i="1"/>
  <c r="KD316" i="1" s="1"/>
  <c r="AA316" i="1"/>
  <c r="KC316" i="1" s="1"/>
  <c r="AA245" i="1"/>
  <c r="KC245" i="1" s="1"/>
  <c r="Z245" i="1" s="1" a="1"/>
  <c r="Z245" i="1" s="1"/>
  <c r="AB245" i="1"/>
  <c r="KD245" i="1" s="1"/>
  <c r="KJ245" i="1"/>
  <c r="KK245" i="1" s="1"/>
  <c r="KI246" i="1" a="1"/>
  <c r="KI246" i="1" s="1"/>
  <c r="AB220" i="4"/>
  <c r="JZ220" i="4" s="1"/>
  <c r="AA220" i="4"/>
  <c r="JY220" i="4" s="1"/>
  <c r="Z220" i="4" s="1" a="1"/>
  <c r="Z220" i="4" s="1"/>
  <c r="AB212" i="4"/>
  <c r="JZ212" i="4" s="1"/>
  <c r="AA212" i="4"/>
  <c r="JY212" i="4" s="1"/>
  <c r="Z212" i="4" s="1" a="1"/>
  <c r="Z212" i="4" s="1"/>
  <c r="Y214" i="4" s="1" a="1"/>
  <c r="Y214" i="4" s="1"/>
  <c r="OV213" i="4"/>
  <c r="Z213" i="4" a="1"/>
  <c r="Z213" i="4" s="1"/>
  <c r="Y215" i="4" s="1" a="1"/>
  <c r="Y215" i="4" s="1"/>
  <c r="OK190" i="4"/>
  <c r="OU190" i="4"/>
  <c r="AB221" i="4"/>
  <c r="JZ221" i="4" s="1"/>
  <c r="AA221" i="4"/>
  <c r="QA202" i="4"/>
  <c r="QW202" i="4"/>
  <c r="KB222" i="4"/>
  <c r="X224" i="4"/>
  <c r="Y223" i="4" a="1"/>
  <c r="Y223" i="4" s="1"/>
  <c r="OH199" i="4"/>
  <c r="OR199" i="4"/>
  <c r="OV207" i="4"/>
  <c r="Z207" i="4" a="1"/>
  <c r="Z207" i="4" s="1"/>
  <c r="Y209" i="4" s="1" a="1"/>
  <c r="Y209" i="4" s="1"/>
  <c r="QB202" i="4"/>
  <c r="QX202" i="4"/>
  <c r="OZ185" i="4"/>
  <c r="Z185" i="4" a="1"/>
  <c r="Z185" i="4" s="1"/>
  <c r="OV203" i="4"/>
  <c r="Z203" i="4" a="1"/>
  <c r="Z203" i="4" s="1"/>
  <c r="Y205" i="4" s="1" a="1"/>
  <c r="Y205" i="4" s="1"/>
  <c r="OI199" i="4"/>
  <c r="OS199" i="4"/>
  <c r="AB195" i="4"/>
  <c r="AA195" i="4"/>
  <c r="OJ190" i="4"/>
  <c r="OT190" i="4"/>
  <c r="AB201" i="1" l="1"/>
  <c r="KD201" i="1" s="1"/>
  <c r="AA201" i="1"/>
  <c r="KC201" i="1" s="1"/>
  <c r="Z201" i="1" s="1" a="1"/>
  <c r="Z201" i="1" s="1"/>
  <c r="Y202" i="1" s="1" a="1"/>
  <c r="Y202" i="1" s="1"/>
  <c r="OO211" i="1"/>
  <c r="OY211" i="1"/>
  <c r="OX211" i="1"/>
  <c r="ON211" i="1"/>
  <c r="HU47" i="1"/>
  <c r="HX47" i="1"/>
  <c r="HV47" i="1"/>
  <c r="KI380" i="1" a="1"/>
  <c r="KI380" i="1" s="1"/>
  <c r="KK379" i="1"/>
  <c r="KI350" i="1" a="1"/>
  <c r="KI350" i="1" s="1"/>
  <c r="AB236" i="5"/>
  <c r="KD236" i="5" s="1"/>
  <c r="AA236" i="5"/>
  <c r="KC236" i="5" s="1"/>
  <c r="Z236" i="5" s="1" a="1"/>
  <c r="Z236" i="5" s="1"/>
  <c r="Y237" i="5" s="1" a="1"/>
  <c r="Y237" i="5" s="1"/>
  <c r="OX215" i="5"/>
  <c r="ON215" i="5"/>
  <c r="OJ200" i="5"/>
  <c r="OT200" i="5"/>
  <c r="OK200" i="5"/>
  <c r="OU200" i="5"/>
  <c r="OO209" i="5"/>
  <c r="PA209" i="5" s="1"/>
  <c r="OY209" i="5"/>
  <c r="OQ195" i="5"/>
  <c r="PA195" i="5"/>
  <c r="ON209" i="5"/>
  <c r="OX209" i="5"/>
  <c r="KA222" i="5"/>
  <c r="KC222" i="5"/>
  <c r="OY215" i="5"/>
  <c r="OO215" i="5"/>
  <c r="PA215" i="5" s="1"/>
  <c r="OX205" i="5"/>
  <c r="ON205" i="5"/>
  <c r="OY205" i="5"/>
  <c r="OO205" i="5"/>
  <c r="PA205" i="5" s="1"/>
  <c r="OP195" i="5"/>
  <c r="OZ195" i="5"/>
  <c r="X238" i="5"/>
  <c r="KJ246" i="1"/>
  <c r="KK246" i="1" s="1"/>
  <c r="AA214" i="4"/>
  <c r="JY214" i="4" s="1"/>
  <c r="Z214" i="4" s="1" a="1"/>
  <c r="Z214" i="4" s="1"/>
  <c r="Y216" i="4" s="1" a="1"/>
  <c r="Y216" i="4" s="1"/>
  <c r="AB214" i="4"/>
  <c r="JZ214" i="4" s="1"/>
  <c r="OK199" i="4"/>
  <c r="OW199" i="4" s="1"/>
  <c r="OU199" i="4"/>
  <c r="AB223" i="4"/>
  <c r="JZ223" i="4" s="1"/>
  <c r="AA223" i="4"/>
  <c r="JY223" i="4" s="1"/>
  <c r="Z223" i="4" s="1" a="1"/>
  <c r="Z223" i="4" s="1"/>
  <c r="Y224" i="4" s="1" a="1"/>
  <c r="Y224" i="4" s="1"/>
  <c r="X234" i="4"/>
  <c r="Y233" i="4" a="1"/>
  <c r="Y233" i="4" s="1"/>
  <c r="OM190" i="4"/>
  <c r="OW190" i="4"/>
  <c r="AB215" i="4"/>
  <c r="AA215" i="4"/>
  <c r="AA205" i="4"/>
  <c r="AB205" i="4"/>
  <c r="AA209" i="4"/>
  <c r="AB209" i="4"/>
  <c r="OF195" i="4"/>
  <c r="OP195" i="4"/>
  <c r="QC202" i="4"/>
  <c r="QY202" i="4"/>
  <c r="OG195" i="4"/>
  <c r="OQ195" i="4"/>
  <c r="JY221" i="4"/>
  <c r="JW221" i="4"/>
  <c r="OJ199" i="4"/>
  <c r="OT199" i="4"/>
  <c r="QD202" i="4"/>
  <c r="RB202" i="4" s="1"/>
  <c r="QZ202" i="4"/>
  <c r="OL190" i="4"/>
  <c r="OV190" i="4"/>
  <c r="AB202" i="1" l="1"/>
  <c r="AA202" i="1"/>
  <c r="OP211" i="1"/>
  <c r="PB211" i="1" s="1"/>
  <c r="Z211" i="1" s="1" a="1"/>
  <c r="Z211" i="1" s="1"/>
  <c r="Y213" i="1" s="1" a="1"/>
  <c r="Y213" i="1" s="1"/>
  <c r="OZ211" i="1"/>
  <c r="OQ211" i="1"/>
  <c r="PC211" i="1" s="1"/>
  <c r="PA211" i="1"/>
  <c r="HW47" i="1"/>
  <c r="AJ47" i="1" s="1" a="1"/>
  <c r="AJ47" i="1" s="1"/>
  <c r="AI48" i="1" s="1" a="1"/>
  <c r="AI48" i="1" s="1"/>
  <c r="Z47" i="1" a="1"/>
  <c r="Z47" i="1" s="1"/>
  <c r="Y48" i="1" s="1" a="1"/>
  <c r="Y48" i="1" s="1"/>
  <c r="KJ380" i="1"/>
  <c r="KK380" i="1" s="1"/>
  <c r="KJ350" i="1"/>
  <c r="KK350" i="1" s="1"/>
  <c r="AB237" i="5"/>
  <c r="KD237" i="5" s="1"/>
  <c r="AA237" i="5"/>
  <c r="KC237" i="5" s="1"/>
  <c r="Z237" i="5" s="1" a="1"/>
  <c r="Z237" i="5" s="1"/>
  <c r="Y238" i="5" s="1" a="1"/>
  <c r="Y238" i="5" s="1"/>
  <c r="OZ209" i="5"/>
  <c r="Z209" i="5" a="1"/>
  <c r="Z209" i="5" s="1"/>
  <c r="Y211" i="5" s="1" a="1"/>
  <c r="Y211" i="5" s="1"/>
  <c r="X239" i="5"/>
  <c r="OM200" i="5"/>
  <c r="OW200" i="5"/>
  <c r="Z222" i="5" a="1"/>
  <c r="Z222" i="5" s="1"/>
  <c r="KE222" i="5"/>
  <c r="OL200" i="5"/>
  <c r="OV200" i="5"/>
  <c r="OZ215" i="5"/>
  <c r="Z215" i="5" a="1"/>
  <c r="Z215" i="5" s="1"/>
  <c r="OR195" i="5"/>
  <c r="PB195" i="5"/>
  <c r="OZ205" i="5"/>
  <c r="Z205" i="5" a="1"/>
  <c r="Z205" i="5" s="1"/>
  <c r="OS195" i="5"/>
  <c r="PE195" i="5" s="1"/>
  <c r="PC195" i="5"/>
  <c r="KI247" i="1" a="1"/>
  <c r="KI247" i="1" s="1"/>
  <c r="AA216" i="4"/>
  <c r="JY216" i="4" s="1"/>
  <c r="Z216" i="4" s="1" a="1"/>
  <c r="Z216" i="4" s="1"/>
  <c r="AB216" i="4"/>
  <c r="JZ216" i="4" s="1"/>
  <c r="AB224" i="4"/>
  <c r="JZ224" i="4" s="1"/>
  <c r="AA224" i="4"/>
  <c r="JY224" i="4" s="1"/>
  <c r="Z224" i="4" s="1" a="1"/>
  <c r="Z224" i="4" s="1"/>
  <c r="ON190" i="4"/>
  <c r="OX190" i="4"/>
  <c r="OH195" i="4"/>
  <c r="OR195" i="4"/>
  <c r="AB233" i="4"/>
  <c r="JZ233" i="4" s="1"/>
  <c r="AA233" i="4"/>
  <c r="JY233" i="4" s="1"/>
  <c r="Z233" i="4" s="1" a="1"/>
  <c r="Z233" i="4" s="1"/>
  <c r="Y234" i="4" s="1" a="1"/>
  <c r="Y234" i="4" s="1"/>
  <c r="OP209" i="4"/>
  <c r="OF209" i="4"/>
  <c r="OG205" i="4"/>
  <c r="OQ205" i="4"/>
  <c r="OO190" i="4"/>
  <c r="PA190" i="4" s="1"/>
  <c r="OY190" i="4"/>
  <c r="RA202" i="4"/>
  <c r="Z202" i="4" a="1"/>
  <c r="Z202" i="4" s="1"/>
  <c r="Z221" i="4" a="1"/>
  <c r="Z221" i="4" s="1"/>
  <c r="Y222" i="4" s="1" a="1"/>
  <c r="Y222" i="4" s="1"/>
  <c r="KA221" i="4"/>
  <c r="OF205" i="4"/>
  <c r="OP205" i="4"/>
  <c r="OQ209" i="4"/>
  <c r="OG209" i="4"/>
  <c r="OV199" i="4"/>
  <c r="Z199" i="4" a="1"/>
  <c r="Z199" i="4" s="1"/>
  <c r="Y200" i="4" s="1" a="1"/>
  <c r="Y200" i="4" s="1"/>
  <c r="OF215" i="4"/>
  <c r="OP215" i="4"/>
  <c r="OG215" i="4"/>
  <c r="OQ215" i="4"/>
  <c r="OI195" i="4"/>
  <c r="OS195" i="4"/>
  <c r="AB213" i="1" l="1"/>
  <c r="AA213" i="1"/>
  <c r="QB202" i="1"/>
  <c r="QX202" i="1"/>
  <c r="QW202" i="1"/>
  <c r="QA202" i="1"/>
  <c r="AL48" i="1"/>
  <c r="HF48" i="1" s="1"/>
  <c r="AK48" i="1"/>
  <c r="HE48" i="1" s="1"/>
  <c r="AA48" i="1"/>
  <c r="HG48" i="1" s="1"/>
  <c r="AB48" i="1"/>
  <c r="HH48" i="1" s="1"/>
  <c r="KI351" i="1" a="1"/>
  <c r="KI351" i="1" s="1"/>
  <c r="KJ351" i="1" s="1"/>
  <c r="KK351" i="1" s="1"/>
  <c r="KI381" i="1" a="1"/>
  <c r="KI381" i="1" s="1"/>
  <c r="KJ381" i="1" s="1"/>
  <c r="AB238" i="5"/>
  <c r="KD238" i="5" s="1"/>
  <c r="AA238" i="5"/>
  <c r="KC238" i="5" s="1"/>
  <c r="Z238" i="5" s="1" a="1"/>
  <c r="Z238" i="5" s="1"/>
  <c r="Y239" i="5" s="1" a="1"/>
  <c r="Y239" i="5" s="1"/>
  <c r="PD195" i="5"/>
  <c r="Z195" i="5" a="1"/>
  <c r="Z195" i="5" s="1"/>
  <c r="OO200" i="5"/>
  <c r="OY200" i="5"/>
  <c r="X240" i="5"/>
  <c r="ON200" i="5"/>
  <c r="OX200" i="5"/>
  <c r="AA211" i="5"/>
  <c r="AB211" i="5"/>
  <c r="KJ247" i="1"/>
  <c r="KK247" i="1" s="1"/>
  <c r="KI248" i="1" a="1"/>
  <c r="KI248" i="1" s="1"/>
  <c r="AB234" i="4"/>
  <c r="JZ234" i="4" s="1"/>
  <c r="AA234" i="4"/>
  <c r="JY234" i="4" s="1"/>
  <c r="Z234" i="4" s="1" a="1"/>
  <c r="Z234" i="4" s="1"/>
  <c r="OH205" i="4"/>
  <c r="OR205" i="4"/>
  <c r="OK195" i="4"/>
  <c r="OU195" i="4"/>
  <c r="OS215" i="4"/>
  <c r="OI215" i="4"/>
  <c r="OJ195" i="4"/>
  <c r="OT195" i="4"/>
  <c r="AA200" i="4"/>
  <c r="AB200" i="4"/>
  <c r="OR209" i="4"/>
  <c r="OH209" i="4"/>
  <c r="OR215" i="4"/>
  <c r="OH215" i="4"/>
  <c r="OZ190" i="4"/>
  <c r="Z190" i="4" a="1"/>
  <c r="Z190" i="4" s="1"/>
  <c r="AB222" i="4"/>
  <c r="JZ222" i="4" s="1"/>
  <c r="AA222" i="4"/>
  <c r="OS209" i="4"/>
  <c r="OI209" i="4"/>
  <c r="OI205" i="4"/>
  <c r="OS205" i="4"/>
  <c r="OL213" i="1" l="1"/>
  <c r="OV213" i="1"/>
  <c r="OM213" i="1"/>
  <c r="OW213" i="1"/>
  <c r="QC202" i="1"/>
  <c r="QY202" i="1"/>
  <c r="QD202" i="1"/>
  <c r="QZ202" i="1"/>
  <c r="HU48" i="1"/>
  <c r="HX48" i="1"/>
  <c r="HV48" i="1"/>
  <c r="KK381" i="1"/>
  <c r="KI382" i="1" s="1" a="1"/>
  <c r="KI382" i="1" s="1"/>
  <c r="KJ382" i="1" s="1"/>
  <c r="KK382" i="1" s="1"/>
  <c r="AA239" i="5"/>
  <c r="KC239" i="5" s="1"/>
  <c r="Z239" i="5" s="1" a="1"/>
  <c r="Z239" i="5" s="1"/>
  <c r="Y240" i="5" s="1" a="1"/>
  <c r="Y240" i="5" s="1"/>
  <c r="AB239" i="5"/>
  <c r="KD239" i="5" s="1"/>
  <c r="OP200" i="5"/>
  <c r="OZ200" i="5"/>
  <c r="X241" i="5"/>
  <c r="OQ200" i="5"/>
  <c r="PA200" i="5"/>
  <c r="OU211" i="5"/>
  <c r="OK211" i="5"/>
  <c r="OJ211" i="5"/>
  <c r="OT211" i="5"/>
  <c r="KJ248" i="1"/>
  <c r="KK248" i="1" s="1"/>
  <c r="OF200" i="4"/>
  <c r="OP200" i="4"/>
  <c r="OL195" i="4"/>
  <c r="OV195" i="4"/>
  <c r="OU215" i="4"/>
  <c r="OK215" i="4"/>
  <c r="OW215" i="4" s="1"/>
  <c r="OU205" i="4"/>
  <c r="OK205" i="4"/>
  <c r="OW205" i="4" s="1"/>
  <c r="OJ215" i="4"/>
  <c r="OT215" i="4"/>
  <c r="OM195" i="4"/>
  <c r="OW195" i="4"/>
  <c r="JW222" i="4"/>
  <c r="JY222" i="4"/>
  <c r="OT209" i="4"/>
  <c r="OJ209" i="4"/>
  <c r="OJ205" i="4"/>
  <c r="OT205" i="4"/>
  <c r="OK209" i="4"/>
  <c r="OW209" i="4" s="1"/>
  <c r="OU209" i="4"/>
  <c r="OG200" i="4"/>
  <c r="OQ200" i="4"/>
  <c r="OO213" i="1" l="1"/>
  <c r="OY213" i="1"/>
  <c r="ON213" i="1"/>
  <c r="OX213" i="1"/>
  <c r="QF202" i="1"/>
  <c r="RB202" i="1"/>
  <c r="QE202" i="1"/>
  <c r="RA202" i="1"/>
  <c r="HW48" i="1"/>
  <c r="AJ48" i="1" s="1" a="1"/>
  <c r="AJ48" i="1" s="1"/>
  <c r="AI49" i="1" s="1" a="1"/>
  <c r="AI49" i="1" s="1"/>
  <c r="Z48" i="1" a="1"/>
  <c r="Z48" i="1" s="1"/>
  <c r="Y49" i="1" s="1" a="1"/>
  <c r="Y49" i="1" s="1"/>
  <c r="KI249" i="1" a="1"/>
  <c r="KI249" i="1" s="1"/>
  <c r="KJ249" i="1" s="1"/>
  <c r="KK249" i="1" s="1"/>
  <c r="KI383" i="1" a="1"/>
  <c r="KI383" i="1" s="1"/>
  <c r="KJ383" i="1" s="1"/>
  <c r="AA240" i="5"/>
  <c r="KC240" i="5" s="1"/>
  <c r="Z240" i="5" s="1" a="1"/>
  <c r="Z240" i="5" s="1"/>
  <c r="Y241" i="5" s="1" a="1"/>
  <c r="Y241" i="5" s="1"/>
  <c r="AB240" i="5"/>
  <c r="KD240" i="5" s="1"/>
  <c r="X242" i="5"/>
  <c r="OV211" i="5"/>
  <c r="OL211" i="5"/>
  <c r="OS200" i="5"/>
  <c r="PE200" i="5" s="1"/>
  <c r="PC200" i="5"/>
  <c r="OR200" i="5"/>
  <c r="PB200" i="5"/>
  <c r="OW211" i="5"/>
  <c r="OM211" i="5"/>
  <c r="OI200" i="4"/>
  <c r="OS200" i="4"/>
  <c r="OO195" i="4"/>
  <c r="PA195" i="4" s="1"/>
  <c r="OY195" i="4"/>
  <c r="OV205" i="4"/>
  <c r="Z205" i="4" a="1"/>
  <c r="Z205" i="4" s="1"/>
  <c r="OV215" i="4"/>
  <c r="Z215" i="4" a="1"/>
  <c r="Z215" i="4" s="1"/>
  <c r="ON195" i="4"/>
  <c r="OX195" i="4"/>
  <c r="Z222" i="4" a="1"/>
  <c r="Z222" i="4" s="1"/>
  <c r="KA222" i="4"/>
  <c r="OV209" i="4"/>
  <c r="Z209" i="4" a="1"/>
  <c r="Z209" i="4" s="1"/>
  <c r="Y211" i="4" s="1" a="1"/>
  <c r="Y211" i="4" s="1"/>
  <c r="OH200" i="4"/>
  <c r="OR200" i="4"/>
  <c r="OP213" i="1" l="1"/>
  <c r="PB213" i="1" s="1"/>
  <c r="Z213" i="1" s="1" a="1"/>
  <c r="Z213" i="1" s="1"/>
  <c r="Y215" i="1" s="1" a="1"/>
  <c r="Y215" i="1" s="1"/>
  <c r="OZ213" i="1"/>
  <c r="OQ213" i="1"/>
  <c r="PC213" i="1" s="1"/>
  <c r="PA213" i="1"/>
  <c r="QG202" i="1"/>
  <c r="RC202" i="1"/>
  <c r="RD202" i="1"/>
  <c r="QH202" i="1"/>
  <c r="AK49" i="1"/>
  <c r="HE49" i="1" s="1"/>
  <c r="AL49" i="1"/>
  <c r="HF49" i="1" s="1"/>
  <c r="AA49" i="1"/>
  <c r="HG49" i="1" s="1"/>
  <c r="AB49" i="1"/>
  <c r="HH49" i="1" s="1"/>
  <c r="KK383" i="1"/>
  <c r="KI384" i="1" a="1"/>
  <c r="KI384" i="1" s="1"/>
  <c r="KJ384" i="1" s="1"/>
  <c r="KI250" i="1" a="1"/>
  <c r="KI250" i="1" s="1"/>
  <c r="KJ250" i="1" s="1"/>
  <c r="KK250" i="1" s="1"/>
  <c r="AA241" i="5"/>
  <c r="KC241" i="5" s="1"/>
  <c r="Z241" i="5" s="1" a="1"/>
  <c r="Z241" i="5" s="1"/>
  <c r="Y242" i="5" s="1" a="1"/>
  <c r="Y242" i="5" s="1"/>
  <c r="AB241" i="5"/>
  <c r="KD241" i="5" s="1"/>
  <c r="X244" i="5"/>
  <c r="Y243" i="5" a="1"/>
  <c r="Y243" i="5" s="1"/>
  <c r="PD200" i="5"/>
  <c r="Z200" i="5" a="1"/>
  <c r="Z200" i="5" s="1"/>
  <c r="ON211" i="5"/>
  <c r="OX211" i="5"/>
  <c r="OY211" i="5"/>
  <c r="OO211" i="5"/>
  <c r="PA211" i="5" s="1"/>
  <c r="KI251" i="1" a="1"/>
  <c r="KI251" i="1" s="1"/>
  <c r="OZ195" i="4"/>
  <c r="Z195" i="4" a="1"/>
  <c r="Z195" i="4" s="1"/>
  <c r="OK200" i="4"/>
  <c r="OU200" i="4"/>
  <c r="OJ200" i="4"/>
  <c r="OT200" i="4"/>
  <c r="AA211" i="4"/>
  <c r="AB211" i="4"/>
  <c r="AB215" i="1" l="1"/>
  <c r="AA215" i="1"/>
  <c r="RF202" i="1"/>
  <c r="QJ202" i="1"/>
  <c r="RH202" i="1" s="1"/>
  <c r="RE202" i="1"/>
  <c r="QI202" i="1"/>
  <c r="HU49" i="1"/>
  <c r="HV49" i="1"/>
  <c r="HX49" i="1"/>
  <c r="KK384" i="1"/>
  <c r="KI385" i="1" s="1" a="1"/>
  <c r="KI385" i="1" s="1"/>
  <c r="AB242" i="5"/>
  <c r="KD242" i="5" s="1"/>
  <c r="AA242" i="5"/>
  <c r="KC242" i="5" s="1"/>
  <c r="Z242" i="5" s="1" a="1"/>
  <c r="Z242" i="5" s="1"/>
  <c r="OZ211" i="5"/>
  <c r="Z211" i="5" a="1"/>
  <c r="Z211" i="5" s="1"/>
  <c r="AB243" i="5"/>
  <c r="KD243" i="5" s="1"/>
  <c r="AA243" i="5"/>
  <c r="KC243" i="5" s="1"/>
  <c r="Z243" i="5" s="1" a="1"/>
  <c r="Z243" i="5" s="1"/>
  <c r="Y244" i="5" s="1" a="1"/>
  <c r="Y244" i="5" s="1"/>
  <c r="X245" i="5"/>
  <c r="KJ251" i="1"/>
  <c r="KK251" i="1" s="1"/>
  <c r="KI252" i="1" a="1"/>
  <c r="KI252" i="1" s="1"/>
  <c r="OL200" i="4"/>
  <c r="OV200" i="4"/>
  <c r="OQ211" i="4"/>
  <c r="OG211" i="4"/>
  <c r="OM200" i="4"/>
  <c r="OW200" i="4"/>
  <c r="OP211" i="4"/>
  <c r="OF211" i="4"/>
  <c r="OV215" i="1" l="1"/>
  <c r="OL215" i="1"/>
  <c r="OM215" i="1"/>
  <c r="OW215" i="1"/>
  <c r="RG202" i="1"/>
  <c r="Z202" i="1" a="1"/>
  <c r="Z202" i="1" s="1"/>
  <c r="Y233" i="1" s="1" a="1"/>
  <c r="Y233" i="1" s="1"/>
  <c r="HW49" i="1"/>
  <c r="AJ49" i="1" s="1" a="1"/>
  <c r="AJ49" i="1" s="1"/>
  <c r="AI50" i="1" s="1" a="1"/>
  <c r="AI50" i="1" s="1"/>
  <c r="Z49" i="1" a="1"/>
  <c r="Z49" i="1" s="1"/>
  <c r="Y50" i="1" s="1" a="1"/>
  <c r="Y50" i="1" s="1"/>
  <c r="KJ385" i="1"/>
  <c r="KK385" i="1" s="1"/>
  <c r="AB244" i="5"/>
  <c r="KD244" i="5" s="1"/>
  <c r="AA244" i="5"/>
  <c r="KC244" i="5" s="1"/>
  <c r="Z244" i="5" s="1" a="1"/>
  <c r="Z244" i="5" s="1"/>
  <c r="Y245" i="5" s="1" a="1"/>
  <c r="Y245" i="5" s="1"/>
  <c r="X246" i="5"/>
  <c r="KJ252" i="1"/>
  <c r="KK252" i="1" s="1"/>
  <c r="OO200" i="4"/>
  <c r="PA200" i="4" s="1"/>
  <c r="OY200" i="4"/>
  <c r="OH211" i="4"/>
  <c r="OR211" i="4"/>
  <c r="OI211" i="4"/>
  <c r="OS211" i="4"/>
  <c r="ON200" i="4"/>
  <c r="OX200" i="4"/>
  <c r="OO215" i="1" l="1"/>
  <c r="OY215" i="1"/>
  <c r="ON215" i="1"/>
  <c r="OX215" i="1"/>
  <c r="AB233" i="1"/>
  <c r="KD233" i="1" s="1"/>
  <c r="AA233" i="1"/>
  <c r="KC233" i="1" s="1"/>
  <c r="Z233" i="1" s="1" a="1"/>
  <c r="Z233" i="1" s="1"/>
  <c r="Y234" i="1" s="1" a="1"/>
  <c r="Y234" i="1" s="1"/>
  <c r="AL50" i="1"/>
  <c r="HF50" i="1" s="1"/>
  <c r="AK50" i="1"/>
  <c r="HE50" i="1" s="1"/>
  <c r="AA50" i="1"/>
  <c r="HG50" i="1" s="1"/>
  <c r="AB50" i="1"/>
  <c r="HH50" i="1" s="1"/>
  <c r="KI253" i="1" a="1"/>
  <c r="KI253" i="1" s="1"/>
  <c r="KJ253" i="1" s="1"/>
  <c r="KK253" i="1" s="1"/>
  <c r="KI386" i="1" a="1"/>
  <c r="KI386" i="1" s="1"/>
  <c r="KJ386" i="1" s="1"/>
  <c r="AB245" i="5"/>
  <c r="KD245" i="5" s="1"/>
  <c r="AA245" i="5"/>
  <c r="KC245" i="5" s="1"/>
  <c r="Z245" i="5" s="1" a="1"/>
  <c r="Z245" i="5" s="1"/>
  <c r="Y246" i="5" s="1" a="1"/>
  <c r="Y246" i="5" s="1"/>
  <c r="X247" i="5"/>
  <c r="OZ200" i="4"/>
  <c r="Z200" i="4" a="1"/>
  <c r="Z200" i="4" s="1"/>
  <c r="OU211" i="4"/>
  <c r="OK211" i="4"/>
  <c r="OW211" i="4" s="1"/>
  <c r="OJ211" i="4"/>
  <c r="OT211" i="4"/>
  <c r="OP215" i="1" l="1"/>
  <c r="OZ215" i="1"/>
  <c r="PA215" i="1"/>
  <c r="OQ215" i="1"/>
  <c r="PC215" i="1" s="1"/>
  <c r="AB234" i="1"/>
  <c r="KD234" i="1" s="1"/>
  <c r="AA234" i="1"/>
  <c r="KC234" i="1" s="1"/>
  <c r="Z234" i="1" s="1" a="1"/>
  <c r="Z234" i="1" s="1"/>
  <c r="Y235" i="1" s="1" a="1"/>
  <c r="Y235" i="1" s="1"/>
  <c r="HW50" i="1"/>
  <c r="HU50" i="1"/>
  <c r="HX50" i="1"/>
  <c r="HV50" i="1"/>
  <c r="Z50" i="1" a="1"/>
  <c r="Z50" i="1" s="1"/>
  <c r="AJ50" i="1" a="1"/>
  <c r="AJ50" i="1" s="1"/>
  <c r="AI51" i="1" s="1" a="1"/>
  <c r="AI51" i="1" s="1"/>
  <c r="KK386" i="1"/>
  <c r="KI387" i="1" s="1" a="1"/>
  <c r="KI387" i="1" s="1"/>
  <c r="KJ387" i="1" s="1"/>
  <c r="KK387" i="1" s="1"/>
  <c r="KI388" i="1" s="1" a="1"/>
  <c r="KI388" i="1" s="1"/>
  <c r="KI254" i="1" a="1"/>
  <c r="KI254" i="1" s="1"/>
  <c r="KJ254" i="1" s="1"/>
  <c r="KK254" i="1" s="1"/>
  <c r="AB246" i="5"/>
  <c r="KD246" i="5" s="1"/>
  <c r="AA246" i="5"/>
  <c r="KC246" i="5" s="1"/>
  <c r="Z246" i="5" s="1" a="1"/>
  <c r="Z246" i="5" s="1"/>
  <c r="Y247" i="5" s="1" a="1"/>
  <c r="Y247" i="5" s="1"/>
  <c r="X248" i="5"/>
  <c r="KI255" i="1" a="1"/>
  <c r="KI255" i="1" s="1"/>
  <c r="OV211" i="4"/>
  <c r="Z211" i="4" a="1"/>
  <c r="Z211" i="4" s="1"/>
  <c r="PB215" i="1" l="1"/>
  <c r="Z215" i="1" a="1"/>
  <c r="Z215" i="1" s="1"/>
  <c r="Y221" i="1" s="1" a="1"/>
  <c r="Y221" i="1" s="1"/>
  <c r="Y246" i="1" a="1"/>
  <c r="Y246" i="1" s="1"/>
  <c r="AA235" i="1"/>
  <c r="KC235" i="1" s="1"/>
  <c r="Z235" i="1" s="1" a="1"/>
  <c r="Z235" i="1" s="1"/>
  <c r="Y236" i="1" s="1" a="1"/>
  <c r="Y236" i="1" s="1"/>
  <c r="AB235" i="1"/>
  <c r="KD235" i="1" s="1"/>
  <c r="AL51" i="1"/>
  <c r="HF51" i="1" s="1"/>
  <c r="AK51" i="1"/>
  <c r="HE51" i="1" s="1"/>
  <c r="KJ388" i="1"/>
  <c r="KK388" i="1" s="1"/>
  <c r="KI389" i="1" s="1" a="1"/>
  <c r="KI389" i="1" s="1"/>
  <c r="KJ389" i="1" s="1"/>
  <c r="AB247" i="5"/>
  <c r="KD247" i="5" s="1"/>
  <c r="AA247" i="5"/>
  <c r="KC247" i="5" s="1"/>
  <c r="Z247" i="5" s="1" a="1"/>
  <c r="Z247" i="5" s="1"/>
  <c r="Y248" i="5" s="1" a="1"/>
  <c r="Y248" i="5" s="1"/>
  <c r="X249" i="5"/>
  <c r="KJ255" i="1"/>
  <c r="KK255" i="1" s="1"/>
  <c r="AB221" i="1" l="1"/>
  <c r="KD221" i="1" s="1"/>
  <c r="AA221" i="1"/>
  <c r="AA246" i="1"/>
  <c r="KC246" i="1" s="1"/>
  <c r="Z246" i="1" s="1" a="1"/>
  <c r="Z246" i="1" s="1"/>
  <c r="Y247" i="1" s="1" a="1"/>
  <c r="Y247" i="1" s="1"/>
  <c r="AB246" i="1"/>
  <c r="KD246" i="1" s="1"/>
  <c r="AA236" i="1"/>
  <c r="KC236" i="1" s="1"/>
  <c r="Z236" i="1" s="1" a="1"/>
  <c r="Z236" i="1" s="1"/>
  <c r="Y237" i="1" s="1" a="1"/>
  <c r="Y237" i="1" s="1"/>
  <c r="AB236" i="1"/>
  <c r="KD236" i="1" s="1"/>
  <c r="HU51" i="1"/>
  <c r="HX51" i="1"/>
  <c r="HV51" i="1"/>
  <c r="KK389" i="1"/>
  <c r="KI390" i="1" a="1"/>
  <c r="KI390" i="1" s="1"/>
  <c r="KI256" i="1" a="1"/>
  <c r="KI256" i="1" s="1"/>
  <c r="KJ256" i="1" s="1"/>
  <c r="AB248" i="5"/>
  <c r="KD248" i="5" s="1"/>
  <c r="AA248" i="5"/>
  <c r="KC248" i="5" s="1"/>
  <c r="Z248" i="5" s="1" a="1"/>
  <c r="Z248" i="5" s="1"/>
  <c r="Y249" i="5" s="1" a="1"/>
  <c r="Y249" i="5" s="1"/>
  <c r="X250" i="5"/>
  <c r="KC221" i="1" l="1"/>
  <c r="KA221" i="1"/>
  <c r="KE221" i="1" s="1"/>
  <c r="Z221" i="1" s="1" a="1"/>
  <c r="Z221" i="1" s="1"/>
  <c r="Y222" i="1" s="1" a="1"/>
  <c r="Y222" i="1" s="1"/>
  <c r="AB247" i="1"/>
  <c r="KD247" i="1" s="1"/>
  <c r="AA247" i="1"/>
  <c r="KC247" i="1" s="1"/>
  <c r="Z247" i="1" s="1" a="1"/>
  <c r="Z247" i="1" s="1"/>
  <c r="Y248" i="1" s="1" a="1"/>
  <c r="Y248" i="1" s="1"/>
  <c r="AA237" i="1"/>
  <c r="KC237" i="1" s="1"/>
  <c r="Z237" i="1" s="1" a="1"/>
  <c r="Z237" i="1" s="1"/>
  <c r="Y238" i="1" s="1" a="1"/>
  <c r="Y238" i="1" s="1"/>
  <c r="AB237" i="1"/>
  <c r="KD237" i="1" s="1"/>
  <c r="HW51" i="1"/>
  <c r="AJ51" i="1" a="1"/>
  <c r="AJ51" i="1" s="1"/>
  <c r="AI52" i="1" s="1" a="1"/>
  <c r="AI52" i="1" s="1"/>
  <c r="Z51" i="1" a="1"/>
  <c r="Z51" i="1" s="1"/>
  <c r="Y52" i="1" s="1" a="1"/>
  <c r="Y52" i="1" s="1"/>
  <c r="KJ390" i="1"/>
  <c r="KK390" i="1" s="1"/>
  <c r="KK256" i="1"/>
  <c r="KI257" i="1" a="1"/>
  <c r="KI257" i="1" s="1"/>
  <c r="KJ257" i="1" s="1"/>
  <c r="KK257" i="1" s="1"/>
  <c r="AB249" i="5"/>
  <c r="KD249" i="5" s="1"/>
  <c r="AA249" i="5"/>
  <c r="KC249" i="5" s="1"/>
  <c r="Z249" i="5" s="1" a="1"/>
  <c r="Z249" i="5" s="1"/>
  <c r="Y250" i="5" s="1" a="1"/>
  <c r="Y250" i="5" s="1"/>
  <c r="X251" i="5"/>
  <c r="AA222" i="1" l="1"/>
  <c r="AB222" i="1"/>
  <c r="KD222" i="1" s="1"/>
  <c r="AA248" i="1"/>
  <c r="KC248" i="1" s="1"/>
  <c r="Z248" i="1" s="1" a="1"/>
  <c r="Z248" i="1" s="1"/>
  <c r="Y249" i="1" s="1" a="1"/>
  <c r="Y249" i="1" s="1"/>
  <c r="AB248" i="1"/>
  <c r="KD248" i="1" s="1"/>
  <c r="AA238" i="1"/>
  <c r="KC238" i="1" s="1"/>
  <c r="Z238" i="1" s="1" a="1"/>
  <c r="Z238" i="1" s="1"/>
  <c r="Y239" i="1" s="1" a="1"/>
  <c r="Y239" i="1" s="1"/>
  <c r="AB238" i="1"/>
  <c r="KD238" i="1" s="1"/>
  <c r="AL52" i="1"/>
  <c r="HF52" i="1" s="1"/>
  <c r="AK52" i="1"/>
  <c r="HE52" i="1" s="1"/>
  <c r="AB52" i="1"/>
  <c r="HH52" i="1" s="1"/>
  <c r="AA52" i="1"/>
  <c r="HG52" i="1" s="1"/>
  <c r="KI391" i="1" a="1"/>
  <c r="KI391" i="1" s="1"/>
  <c r="KJ391" i="1" s="1"/>
  <c r="KK391" i="1" s="1"/>
  <c r="KI392" i="1" s="1" a="1"/>
  <c r="KI392" i="1" s="1"/>
  <c r="KI258" i="1" a="1"/>
  <c r="KI258" i="1" s="1"/>
  <c r="KJ258" i="1" s="1"/>
  <c r="KK258" i="1" s="1"/>
  <c r="AB250" i="5"/>
  <c r="KD250" i="5" s="1"/>
  <c r="AA250" i="5"/>
  <c r="KC250" i="5" s="1"/>
  <c r="Z250" i="5" s="1" a="1"/>
  <c r="Z250" i="5" s="1"/>
  <c r="X252" i="5"/>
  <c r="Y251" i="5" a="1"/>
  <c r="Y251" i="5" s="1"/>
  <c r="KI259" i="1" a="1"/>
  <c r="KI259" i="1" s="1"/>
  <c r="KC222" i="1" l="1"/>
  <c r="KA222" i="1"/>
  <c r="AB249" i="1"/>
  <c r="KD249" i="1" s="1"/>
  <c r="AA249" i="1"/>
  <c r="KC249" i="1" s="1"/>
  <c r="Z249" i="1" s="1" a="1"/>
  <c r="Z249" i="1" s="1"/>
  <c r="Y250" i="1" s="1" a="1"/>
  <c r="Y250" i="1" s="1"/>
  <c r="AA239" i="1"/>
  <c r="KC239" i="1" s="1"/>
  <c r="Z239" i="1" s="1" a="1"/>
  <c r="Z239" i="1" s="1"/>
  <c r="Y240" i="1" s="1" a="1"/>
  <c r="Y240" i="1" s="1"/>
  <c r="AB239" i="1"/>
  <c r="KD239" i="1" s="1"/>
  <c r="HU52" i="1"/>
  <c r="HV52" i="1"/>
  <c r="HX52" i="1"/>
  <c r="KJ392" i="1"/>
  <c r="KK392" i="1" s="1"/>
  <c r="X253" i="5"/>
  <c r="AB251" i="5"/>
  <c r="KD251" i="5" s="1"/>
  <c r="AA251" i="5"/>
  <c r="KC251" i="5" s="1"/>
  <c r="Z251" i="5" s="1" a="1"/>
  <c r="Z251" i="5" s="1"/>
  <c r="Y252" i="5" s="1" a="1"/>
  <c r="Y252" i="5" s="1"/>
  <c r="KJ259" i="1"/>
  <c r="KK259" i="1" s="1"/>
  <c r="KI260" i="1" a="1"/>
  <c r="KI260" i="1" s="1"/>
  <c r="Z222" i="1" l="1" a="1"/>
  <c r="Z222" i="1" s="1"/>
  <c r="KE222" i="1"/>
  <c r="AB250" i="1"/>
  <c r="KD250" i="1" s="1"/>
  <c r="AA250" i="1"/>
  <c r="KC250" i="1" s="1"/>
  <c r="Z250" i="1" s="1" a="1"/>
  <c r="Z250" i="1" s="1"/>
  <c r="Y251" i="1" s="1" a="1"/>
  <c r="Y251" i="1" s="1"/>
  <c r="AB240" i="1"/>
  <c r="KD240" i="1" s="1"/>
  <c r="AA240" i="1"/>
  <c r="KC240" i="1" s="1"/>
  <c r="Z240" i="1" s="1" a="1"/>
  <c r="Z240" i="1" s="1"/>
  <c r="Y241" i="1" s="1" a="1"/>
  <c r="Y241" i="1" s="1"/>
  <c r="HW52" i="1"/>
  <c r="AJ52" i="1" s="1" a="1"/>
  <c r="AJ52" i="1" s="1"/>
  <c r="AI53" i="1" s="1" a="1"/>
  <c r="AI53" i="1" s="1"/>
  <c r="Z52" i="1" a="1"/>
  <c r="Z52" i="1" s="1"/>
  <c r="Y53" i="1" s="1" a="1"/>
  <c r="Y53" i="1" s="1"/>
  <c r="KI393" i="1" a="1"/>
  <c r="KI393" i="1" s="1"/>
  <c r="KJ393" i="1" s="1"/>
  <c r="KK393" i="1" s="1"/>
  <c r="KI394" i="1" s="1" a="1"/>
  <c r="KI394" i="1" s="1"/>
  <c r="AB252" i="5"/>
  <c r="KD252" i="5" s="1"/>
  <c r="AA252" i="5"/>
  <c r="KC252" i="5" s="1"/>
  <c r="Z252" i="5" s="1" a="1"/>
  <c r="Z252" i="5" s="1"/>
  <c r="Y253" i="5" s="1" a="1"/>
  <c r="Y253" i="5" s="1"/>
  <c r="X254" i="5"/>
  <c r="KJ260" i="1"/>
  <c r="KK260" i="1" s="1"/>
  <c r="KI261" i="1" a="1"/>
  <c r="KI261" i="1" s="1"/>
  <c r="AB251" i="1" l="1"/>
  <c r="KD251" i="1" s="1"/>
  <c r="AA251" i="1"/>
  <c r="KC251" i="1" s="1"/>
  <c r="Z251" i="1" s="1" a="1"/>
  <c r="Z251" i="1" s="1"/>
  <c r="Y252" i="1" s="1" a="1"/>
  <c r="Y252" i="1" s="1"/>
  <c r="AB241" i="1"/>
  <c r="KD241" i="1" s="1"/>
  <c r="AA241" i="1"/>
  <c r="KC241" i="1" s="1"/>
  <c r="Z241" i="1" s="1" a="1"/>
  <c r="Z241" i="1" s="1"/>
  <c r="Y242" i="1" s="1" a="1"/>
  <c r="Y242" i="1" s="1"/>
  <c r="AL53" i="1"/>
  <c r="HF53" i="1" s="1"/>
  <c r="AK53" i="1"/>
  <c r="HE53" i="1" s="1"/>
  <c r="AA53" i="1"/>
  <c r="HG53" i="1" s="1"/>
  <c r="AB53" i="1"/>
  <c r="HH53" i="1" s="1"/>
  <c r="KJ394" i="1"/>
  <c r="KK394" i="1" s="1"/>
  <c r="AA253" i="5"/>
  <c r="KC253" i="5" s="1"/>
  <c r="Z253" i="5" s="1" a="1"/>
  <c r="Z253" i="5" s="1"/>
  <c r="Y254" i="5" s="1" a="1"/>
  <c r="Y254" i="5" s="1"/>
  <c r="AB253" i="5"/>
  <c r="KD253" i="5" s="1"/>
  <c r="X255" i="5"/>
  <c r="KJ261" i="1"/>
  <c r="KK261" i="1" s="1"/>
  <c r="KI262" i="1" a="1"/>
  <c r="KI262" i="1" s="1"/>
  <c r="AA252" i="1" l="1"/>
  <c r="KC252" i="1" s="1"/>
  <c r="Z252" i="1" s="1" a="1"/>
  <c r="Z252" i="1" s="1"/>
  <c r="Y253" i="1" s="1" a="1"/>
  <c r="Y253" i="1" s="1"/>
  <c r="AB252" i="1"/>
  <c r="KD252" i="1" s="1"/>
  <c r="AA242" i="1"/>
  <c r="KC242" i="1" s="1"/>
  <c r="Z242" i="1" s="1" a="1"/>
  <c r="Z242" i="1" s="1"/>
  <c r="AB242" i="1"/>
  <c r="KD242" i="1" s="1"/>
  <c r="HU53" i="1"/>
  <c r="HX53" i="1"/>
  <c r="HV53" i="1"/>
  <c r="KI395" i="1" a="1"/>
  <c r="KI395" i="1" s="1"/>
  <c r="KJ395" i="1" s="1"/>
  <c r="KK395" i="1" s="1"/>
  <c r="AB254" i="5"/>
  <c r="KD254" i="5" s="1"/>
  <c r="AA254" i="5"/>
  <c r="KC254" i="5" s="1"/>
  <c r="Z254" i="5" s="1" a="1"/>
  <c r="Z254" i="5" s="1"/>
  <c r="Y255" i="5" s="1" a="1"/>
  <c r="Y255" i="5" s="1"/>
  <c r="X256" i="5"/>
  <c r="KI263" i="1" a="1"/>
  <c r="KI263" i="1" s="1"/>
  <c r="KJ262" i="1"/>
  <c r="KK262" i="1" s="1"/>
  <c r="AA253" i="1" l="1"/>
  <c r="KC253" i="1" s="1"/>
  <c r="Z253" i="1" s="1" a="1"/>
  <c r="Z253" i="1" s="1"/>
  <c r="Y254" i="1" s="1" a="1"/>
  <c r="Y254" i="1" s="1"/>
  <c r="AB253" i="1"/>
  <c r="KD253" i="1" s="1"/>
  <c r="HW53" i="1"/>
  <c r="AJ53" i="1" a="1"/>
  <c r="AJ53" i="1" s="1"/>
  <c r="AI54" i="1" s="1" a="1"/>
  <c r="AI54" i="1" s="1"/>
  <c r="Z53" i="1" a="1"/>
  <c r="Z53" i="1" s="1"/>
  <c r="Y54" i="1" s="1" a="1"/>
  <c r="Y54" i="1" s="1"/>
  <c r="KI396" i="1" a="1"/>
  <c r="KI396" i="1" s="1"/>
  <c r="KJ396" i="1" s="1"/>
  <c r="KK396" i="1" s="1"/>
  <c r="KI397" i="1" s="1" a="1"/>
  <c r="KI397" i="1" s="1"/>
  <c r="AB255" i="5"/>
  <c r="KD255" i="5" s="1"/>
  <c r="AA255" i="5"/>
  <c r="KC255" i="5" s="1"/>
  <c r="Z255" i="5" s="1" a="1"/>
  <c r="Z255" i="5" s="1"/>
  <c r="Y256" i="5" s="1" a="1"/>
  <c r="Y256" i="5" s="1"/>
  <c r="X257" i="5"/>
  <c r="KJ263" i="1"/>
  <c r="KK263" i="1" s="1"/>
  <c r="KI264" i="1" a="1"/>
  <c r="KI264" i="1" s="1"/>
  <c r="AA254" i="1" l="1"/>
  <c r="KC254" i="1" s="1"/>
  <c r="Z254" i="1" s="1" a="1"/>
  <c r="Z254" i="1" s="1"/>
  <c r="Y255" i="1" s="1" a="1"/>
  <c r="Y255" i="1" s="1"/>
  <c r="AB254" i="1"/>
  <c r="KD254" i="1" s="1"/>
  <c r="AL54" i="1"/>
  <c r="HF54" i="1" s="1"/>
  <c r="AK54" i="1"/>
  <c r="HE54" i="1" s="1"/>
  <c r="AA54" i="1"/>
  <c r="HG54" i="1" s="1"/>
  <c r="AB54" i="1"/>
  <c r="HH54" i="1" s="1"/>
  <c r="KJ397" i="1"/>
  <c r="KK397" i="1" s="1"/>
  <c r="AB256" i="5"/>
  <c r="KD256" i="5" s="1"/>
  <c r="AA256" i="5"/>
  <c r="KC256" i="5" s="1"/>
  <c r="Z256" i="5" s="1" a="1"/>
  <c r="Z256" i="5" s="1"/>
  <c r="Y257" i="5" s="1" a="1"/>
  <c r="Y257" i="5" s="1"/>
  <c r="X258" i="5"/>
  <c r="KJ264" i="1"/>
  <c r="KK264" i="1" s="1"/>
  <c r="AA255" i="1" l="1"/>
  <c r="KC255" i="1" s="1"/>
  <c r="Z255" i="1" s="1" a="1"/>
  <c r="Z255" i="1" s="1"/>
  <c r="Y256" i="1" s="1" a="1"/>
  <c r="Y256" i="1" s="1"/>
  <c r="AB255" i="1"/>
  <c r="KD255" i="1" s="1"/>
  <c r="HU54" i="1"/>
  <c r="HX54" i="1"/>
  <c r="HV54" i="1"/>
  <c r="KI398" i="1" a="1"/>
  <c r="KI398" i="1" s="1"/>
  <c r="KJ398" i="1" s="1"/>
  <c r="KK398" i="1" s="1"/>
  <c r="KI265" i="1" a="1"/>
  <c r="KI265" i="1" s="1"/>
  <c r="KJ265" i="1" s="1"/>
  <c r="AB257" i="5"/>
  <c r="KD257" i="5" s="1"/>
  <c r="AA257" i="5"/>
  <c r="KC257" i="5" s="1"/>
  <c r="Z257" i="5" s="1" a="1"/>
  <c r="Z257" i="5" s="1"/>
  <c r="Y258" i="5" s="1" a="1"/>
  <c r="Y258" i="5" s="1"/>
  <c r="X259" i="5"/>
  <c r="AA256" i="1" l="1"/>
  <c r="KC256" i="1" s="1"/>
  <c r="Z256" i="1" s="1" a="1"/>
  <c r="Z256" i="1" s="1"/>
  <c r="Y257" i="1" s="1" a="1"/>
  <c r="Y257" i="1" s="1"/>
  <c r="AB256" i="1"/>
  <c r="KD256" i="1" s="1"/>
  <c r="HW54" i="1"/>
  <c r="AJ54" i="1" s="1" a="1"/>
  <c r="AJ54" i="1" s="1"/>
  <c r="AI55" i="1" s="1" a="1"/>
  <c r="AI55" i="1" s="1"/>
  <c r="Z54" i="1" a="1"/>
  <c r="Z54" i="1" s="1"/>
  <c r="Y55" i="1" s="1" a="1"/>
  <c r="Y55" i="1" s="1"/>
  <c r="KI399" i="1" a="1"/>
  <c r="KI399" i="1" s="1"/>
  <c r="KJ399" i="1" s="1"/>
  <c r="KK399" i="1" s="1"/>
  <c r="KI400" i="1" s="1" a="1"/>
  <c r="KI400" i="1" s="1"/>
  <c r="KK265" i="1"/>
  <c r="KI266" i="1" a="1"/>
  <c r="KI266" i="1" s="1"/>
  <c r="KJ266" i="1" s="1"/>
  <c r="KK266" i="1" s="1"/>
  <c r="AB258" i="5"/>
  <c r="KD258" i="5" s="1"/>
  <c r="AA258" i="5"/>
  <c r="KC258" i="5" s="1"/>
  <c r="Z258" i="5" s="1" a="1"/>
  <c r="Z258" i="5" s="1"/>
  <c r="X260" i="5"/>
  <c r="Y259" i="5" a="1"/>
  <c r="Y259" i="5" s="1"/>
  <c r="AB257" i="1" l="1"/>
  <c r="KD257" i="1" s="1"/>
  <c r="AA257" i="1"/>
  <c r="KC257" i="1" s="1"/>
  <c r="Z257" i="1" s="1" a="1"/>
  <c r="Z257" i="1" s="1"/>
  <c r="Y258" i="1" s="1" a="1"/>
  <c r="Y258" i="1" s="1"/>
  <c r="AL55" i="1"/>
  <c r="HF55" i="1" s="1"/>
  <c r="AK55" i="1"/>
  <c r="HE55" i="1" s="1"/>
  <c r="AB55" i="1"/>
  <c r="HH55" i="1" s="1"/>
  <c r="AA55" i="1"/>
  <c r="HG55" i="1" s="1"/>
  <c r="KJ400" i="1"/>
  <c r="KK400" i="1" s="1"/>
  <c r="AB259" i="5"/>
  <c r="KD259" i="5" s="1"/>
  <c r="AA259" i="5"/>
  <c r="KC259" i="5" s="1"/>
  <c r="Z259" i="5" s="1" a="1"/>
  <c r="Z259" i="5" s="1"/>
  <c r="Y260" i="5" s="1" a="1"/>
  <c r="Y260" i="5" s="1"/>
  <c r="X261" i="5"/>
  <c r="KJ316" i="1"/>
  <c r="KK316" i="1" s="1"/>
  <c r="Z316" i="1" a="1"/>
  <c r="Z316" i="1" s="1"/>
  <c r="Y317" i="1" s="1" a="1"/>
  <c r="Y317" i="1" s="1"/>
  <c r="AA258" i="1" l="1"/>
  <c r="KC258" i="1" s="1"/>
  <c r="Z258" i="1" s="1" a="1"/>
  <c r="Z258" i="1" s="1"/>
  <c r="Y259" i="1" s="1" a="1"/>
  <c r="Y259" i="1" s="1"/>
  <c r="AB258" i="1"/>
  <c r="KD258" i="1" s="1"/>
  <c r="HU55" i="1"/>
  <c r="HV55" i="1"/>
  <c r="HX55" i="1"/>
  <c r="KI401" i="1" a="1"/>
  <c r="KI401" i="1" s="1"/>
  <c r="KJ401" i="1" s="1"/>
  <c r="KK401" i="1" s="1"/>
  <c r="KI402" i="1" s="1" a="1"/>
  <c r="KI402" i="1" s="1"/>
  <c r="KJ402" i="1" s="1"/>
  <c r="KK402" i="1" s="1"/>
  <c r="KI317" i="1" a="1"/>
  <c r="KI317" i="1" s="1"/>
  <c r="AA260" i="5"/>
  <c r="KC260" i="5" s="1"/>
  <c r="Z260" i="5" s="1" a="1"/>
  <c r="Z260" i="5" s="1"/>
  <c r="Y261" i="5" s="1" a="1"/>
  <c r="Y261" i="5" s="1"/>
  <c r="AB260" i="5"/>
  <c r="KD260" i="5" s="1"/>
  <c r="X262" i="5"/>
  <c r="AA317" i="1"/>
  <c r="KC317" i="1" s="1"/>
  <c r="AB317" i="1"/>
  <c r="KD317" i="1" s="1"/>
  <c r="Z317" i="1" l="1" a="1"/>
  <c r="Z317" i="1" s="1"/>
  <c r="KJ317" i="1"/>
  <c r="KK317" i="1" s="1"/>
  <c r="AA259" i="1"/>
  <c r="KC259" i="1" s="1"/>
  <c r="Z259" i="1" s="1" a="1"/>
  <c r="Z259" i="1" s="1"/>
  <c r="Y260" i="1" s="1" a="1"/>
  <c r="Y260" i="1" s="1"/>
  <c r="AB259" i="1"/>
  <c r="KD259" i="1" s="1"/>
  <c r="HW55" i="1"/>
  <c r="AJ55" i="1" s="1" a="1"/>
  <c r="AJ55" i="1" s="1"/>
  <c r="Z55" i="1" a="1"/>
  <c r="Z55" i="1" s="1"/>
  <c r="KI403" i="1" a="1"/>
  <c r="KI403" i="1" s="1"/>
  <c r="AB261" i="5"/>
  <c r="KD261" i="5" s="1"/>
  <c r="AA261" i="5"/>
  <c r="KC261" i="5" s="1"/>
  <c r="Z261" i="5" s="1" a="1"/>
  <c r="Z261" i="5" s="1"/>
  <c r="Y262" i="5" s="1" a="1"/>
  <c r="Y262" i="5" s="1"/>
  <c r="X263" i="5"/>
  <c r="Z319" i="1" l="1" a="1"/>
  <c r="Z319" i="1" s="1"/>
  <c r="Y320" i="1" s="1" a="1"/>
  <c r="Y320" i="1" s="1"/>
  <c r="AB260" i="1"/>
  <c r="KD260" i="1" s="1"/>
  <c r="AA260" i="1"/>
  <c r="KC260" i="1" s="1"/>
  <c r="Z260" i="1" s="1" a="1"/>
  <c r="Z260" i="1" s="1"/>
  <c r="Y261" i="1" s="1" a="1"/>
  <c r="Y261" i="1" s="1"/>
  <c r="KI404" i="1" a="1"/>
  <c r="KI404" i="1" s="1"/>
  <c r="KJ404" i="1" s="1"/>
  <c r="KJ403" i="1"/>
  <c r="KK403" i="1" s="1"/>
  <c r="AB262" i="5"/>
  <c r="KD262" i="5" s="1"/>
  <c r="AA262" i="5"/>
  <c r="KC262" i="5" s="1"/>
  <c r="Z262" i="5" s="1" a="1"/>
  <c r="Z262" i="5" s="1"/>
  <c r="Y263" i="5" s="1" a="1"/>
  <c r="Y263" i="5" s="1"/>
  <c r="X264" i="5"/>
  <c r="AA261" i="1" l="1"/>
  <c r="KC261" i="1" s="1"/>
  <c r="Z261" i="1" s="1" a="1"/>
  <c r="Z261" i="1" s="1"/>
  <c r="Y262" i="1" s="1" a="1"/>
  <c r="Y262" i="1" s="1"/>
  <c r="AB261" i="1"/>
  <c r="KD261" i="1" s="1"/>
  <c r="KK404" i="1"/>
  <c r="KI405" i="1" a="1"/>
  <c r="KI405" i="1" s="1"/>
  <c r="KJ405" i="1" s="1"/>
  <c r="AB347" i="1"/>
  <c r="KB347" i="1" s="1"/>
  <c r="AA347" i="1"/>
  <c r="KA347" i="1" s="1"/>
  <c r="Y321" i="1" a="1"/>
  <c r="Y321" i="1" s="1"/>
  <c r="AA320" i="1"/>
  <c r="AB320" i="1"/>
  <c r="AB263" i="5"/>
  <c r="KD263" i="5" s="1"/>
  <c r="AA263" i="5"/>
  <c r="KC263" i="5" s="1"/>
  <c r="Z263" i="5" s="1" a="1"/>
  <c r="Z263" i="5" s="1"/>
  <c r="Y264" i="5" s="1" a="1"/>
  <c r="Y264" i="5" s="1"/>
  <c r="X265" i="5"/>
  <c r="KD320" i="1" l="1"/>
  <c r="KB320" i="1"/>
  <c r="KF320" i="1" s="1"/>
  <c r="KC320" i="1"/>
  <c r="KA320" i="1"/>
  <c r="KE320" i="1" s="1"/>
  <c r="AA321" i="1"/>
  <c r="LO321" i="1" s="1"/>
  <c r="AB321" i="1"/>
  <c r="LP321" i="1" s="1"/>
  <c r="AB262" i="1"/>
  <c r="KD262" i="1" s="1"/>
  <c r="AA262" i="1"/>
  <c r="KC262" i="1" s="1"/>
  <c r="Z262" i="1" s="1" a="1"/>
  <c r="Z262" i="1" s="1"/>
  <c r="Y263" i="1" s="1" a="1"/>
  <c r="Y263" i="1" s="1"/>
  <c r="KK405" i="1"/>
  <c r="KI406" i="1" a="1"/>
  <c r="KI406" i="1" s="1"/>
  <c r="KJ406" i="1" s="1"/>
  <c r="KC347" i="1"/>
  <c r="KF347" i="1"/>
  <c r="KD347" i="1"/>
  <c r="AB264" i="5"/>
  <c r="KD264" i="5" s="1"/>
  <c r="AA264" i="5"/>
  <c r="KC264" i="5" s="1"/>
  <c r="Z264" i="5" s="1" a="1"/>
  <c r="Z264" i="5" s="1"/>
  <c r="Y265" i="5" s="1" a="1"/>
  <c r="Y265" i="5" s="1"/>
  <c r="X266" i="5"/>
  <c r="Z321" i="1" l="1" a="1"/>
  <c r="Z321" i="1" s="1"/>
  <c r="Y322" i="1" s="1" a="1"/>
  <c r="Y322" i="1" s="1"/>
  <c r="AA322" i="1" s="1"/>
  <c r="LO322" i="1" s="1"/>
  <c r="Z320" i="1" a="1"/>
  <c r="Z320" i="1" s="1"/>
  <c r="AB263" i="1"/>
  <c r="KD263" i="1" s="1"/>
  <c r="AA263" i="1"/>
  <c r="KC263" i="1" s="1"/>
  <c r="Z263" i="1" s="1" a="1"/>
  <c r="Z263" i="1" s="1"/>
  <c r="Y264" i="1" s="1" a="1"/>
  <c r="Y264" i="1" s="1"/>
  <c r="KK406" i="1"/>
  <c r="KI407" i="1" a="1"/>
  <c r="KI407" i="1" s="1"/>
  <c r="KJ407" i="1" s="1"/>
  <c r="Z347" i="1" a="1"/>
  <c r="Z347" i="1" s="1"/>
  <c r="Y348" i="1" s="1" a="1"/>
  <c r="Y348" i="1" s="1"/>
  <c r="KE347" i="1"/>
  <c r="AB265" i="5"/>
  <c r="KD265" i="5" s="1"/>
  <c r="AA265" i="5"/>
  <c r="KC265" i="5" s="1"/>
  <c r="Z265" i="5" s="1" a="1"/>
  <c r="Z265" i="5" s="1"/>
  <c r="Y266" i="5" s="1" a="1"/>
  <c r="Y266" i="5" s="1"/>
  <c r="X267" i="5"/>
  <c r="X269" i="5" s="1" a="1"/>
  <c r="X269" i="5" s="1"/>
  <c r="Z322" i="1" l="1" a="1"/>
  <c r="Z322" i="1" s="1"/>
  <c r="Y323" i="1" s="1" a="1"/>
  <c r="Y323" i="1" s="1"/>
  <c r="AB323" i="1" s="1"/>
  <c r="LP323" i="1" s="1"/>
  <c r="AB322" i="1"/>
  <c r="LP322" i="1" s="1"/>
  <c r="AB264" i="1"/>
  <c r="KD264" i="1" s="1"/>
  <c r="AA264" i="1"/>
  <c r="KC264" i="1" s="1"/>
  <c r="Z264" i="1" s="1" a="1"/>
  <c r="Z264" i="1" s="1"/>
  <c r="Y265" i="1" s="1" a="1"/>
  <c r="Y265" i="1" s="1"/>
  <c r="KK407" i="1"/>
  <c r="KI408" i="1" a="1"/>
  <c r="KI408" i="1" s="1"/>
  <c r="KJ408" i="1" s="1"/>
  <c r="AB348" i="1"/>
  <c r="AA348" i="1"/>
  <c r="AB266" i="5"/>
  <c r="KD266" i="5" s="1"/>
  <c r="AA266" i="5"/>
  <c r="KC266" i="5" s="1"/>
  <c r="Z266" i="5" s="1" a="1"/>
  <c r="Z266" i="5" s="1"/>
  <c r="Y267" i="5" a="1"/>
  <c r="Y267" i="5" s="1"/>
  <c r="X271" i="5" a="1"/>
  <c r="X271" i="5" s="1"/>
  <c r="AA323" i="1" l="1"/>
  <c r="LO323" i="1" s="1"/>
  <c r="Z323" i="1" s="1" a="1"/>
  <c r="Z323" i="1" s="1"/>
  <c r="Y324" i="1" s="1" a="1"/>
  <c r="Y324" i="1" s="1"/>
  <c r="AB324" i="1" s="1"/>
  <c r="LP324" i="1" s="1"/>
  <c r="AB265" i="1"/>
  <c r="KD265" i="1" s="1"/>
  <c r="AA265" i="1"/>
  <c r="KC265" i="1" s="1"/>
  <c r="Z265" i="1" s="1" a="1"/>
  <c r="Z265" i="1" s="1"/>
  <c r="Y266" i="1" s="1" a="1"/>
  <c r="Y266" i="1" s="1"/>
  <c r="KK408" i="1"/>
  <c r="KI409" i="1" a="1"/>
  <c r="KI409" i="1" s="1"/>
  <c r="KC348" i="1"/>
  <c r="KA348" i="1"/>
  <c r="KB348" i="1"/>
  <c r="KF348" i="1" s="1"/>
  <c r="KD348" i="1"/>
  <c r="AB267" i="5"/>
  <c r="HH267" i="5" s="1"/>
  <c r="AA267" i="5"/>
  <c r="HG267" i="5" s="1"/>
  <c r="X273" i="5" a="1"/>
  <c r="X273" i="5" s="1"/>
  <c r="AA324" i="1" l="1"/>
  <c r="LO324" i="1" s="1"/>
  <c r="Z324" i="1" s="1" a="1"/>
  <c r="Z324" i="1" s="1"/>
  <c r="Y327" i="1" s="1" a="1"/>
  <c r="Y327" i="1" s="1"/>
  <c r="AA327" i="1" s="1"/>
  <c r="AA266" i="1"/>
  <c r="KC266" i="1" s="1"/>
  <c r="Z266" i="1" s="1" a="1"/>
  <c r="Z266" i="1" s="1"/>
  <c r="Y267" i="1" s="1" a="1"/>
  <c r="Y267" i="1" s="1"/>
  <c r="AB266" i="1"/>
  <c r="KD266" i="1" s="1"/>
  <c r="KI410" i="1" a="1"/>
  <c r="KI410" i="1" s="1"/>
  <c r="KJ409" i="1"/>
  <c r="KK409" i="1" s="1"/>
  <c r="Z348" i="1" a="1"/>
  <c r="Z348" i="1" s="1"/>
  <c r="KE348" i="1"/>
  <c r="Z267" i="5" a="1"/>
  <c r="Z267" i="5" s="1"/>
  <c r="Y269" i="5" s="1" a="1"/>
  <c r="Y269" i="5" s="1"/>
  <c r="AJ267" i="5" a="1"/>
  <c r="AJ267" i="5" s="1"/>
  <c r="AH268" i="5" s="1"/>
  <c r="AE267" i="5" a="1"/>
  <c r="AE267" i="5" s="1"/>
  <c r="AD268" i="5" s="1" a="1"/>
  <c r="AD268" i="5" s="1"/>
  <c r="X275" i="5" a="1"/>
  <c r="X275" i="5" s="1"/>
  <c r="AB327" i="1" l="1"/>
  <c r="AB267" i="1"/>
  <c r="HH267" i="1" s="1"/>
  <c r="AA267" i="1"/>
  <c r="HG267" i="1" s="1"/>
  <c r="KJ410" i="1"/>
  <c r="KK410" i="1" s="1"/>
  <c r="Y349" i="1" a="1"/>
  <c r="Y349" i="1" s="1"/>
  <c r="AB349" i="1" s="1"/>
  <c r="KD349" i="1" s="1"/>
  <c r="AF268" i="5"/>
  <c r="AG268" i="5"/>
  <c r="AI268" i="5" a="1"/>
  <c r="AI268" i="5" s="1"/>
  <c r="AA269" i="5"/>
  <c r="HG269" i="5" s="1"/>
  <c r="AB269" i="5"/>
  <c r="HH269" i="5" s="1"/>
  <c r="X277" i="5" a="1"/>
  <c r="X277" i="5" s="1"/>
  <c r="AJ267" i="1" l="1" a="1"/>
  <c r="AJ267" i="1" s="1"/>
  <c r="AH268" i="1" s="1"/>
  <c r="AE267" i="1" a="1"/>
  <c r="AE267" i="1" s="1"/>
  <c r="AD268" i="1" s="1" a="1"/>
  <c r="AD268" i="1" s="1"/>
  <c r="Z267" i="1" a="1"/>
  <c r="Z267" i="1" s="1"/>
  <c r="Y269" i="1" s="1" a="1"/>
  <c r="Y269" i="1" s="1"/>
  <c r="KI411" i="1" a="1"/>
  <c r="KI411" i="1" s="1"/>
  <c r="KJ411" i="1" s="1"/>
  <c r="KK411" i="1" s="1"/>
  <c r="KI412" i="1" s="1" a="1"/>
  <c r="KI412" i="1" s="1"/>
  <c r="AA349" i="1"/>
  <c r="KC349" i="1" s="1"/>
  <c r="Z349" i="1" s="1" a="1"/>
  <c r="Z349" i="1" s="1"/>
  <c r="Y350" i="1" s="1" a="1"/>
  <c r="Y350" i="1" s="1"/>
  <c r="AB350" i="1" s="1"/>
  <c r="KD350" i="1" s="1"/>
  <c r="BG268" i="5"/>
  <c r="BU268" i="5"/>
  <c r="BF268" i="5"/>
  <c r="BT268" i="5"/>
  <c r="X279" i="5" a="1"/>
  <c r="X279" i="5" s="1"/>
  <c r="X281" i="5" s="1" a="1"/>
  <c r="X281" i="5" s="1"/>
  <c r="AL268" i="5"/>
  <c r="AK268" i="5"/>
  <c r="AB269" i="1" l="1"/>
  <c r="HH269" i="1" s="1"/>
  <c r="AA269" i="1"/>
  <c r="HG269" i="1" s="1"/>
  <c r="AF268" i="1"/>
  <c r="AG268" i="1"/>
  <c r="AI268" i="1" a="1"/>
  <c r="AI268" i="1" s="1"/>
  <c r="KJ412" i="1"/>
  <c r="KK412" i="1" s="1"/>
  <c r="AA350" i="1"/>
  <c r="KC350" i="1" s="1"/>
  <c r="Z350" i="1" s="1" a="1"/>
  <c r="Z350" i="1" s="1"/>
  <c r="Y351" i="1" s="1" a="1"/>
  <c r="Y351" i="1" s="1"/>
  <c r="AB351" i="1" s="1"/>
  <c r="KD351" i="1" s="1"/>
  <c r="BQ268" i="5"/>
  <c r="CG268" i="5"/>
  <c r="BP268" i="5"/>
  <c r="CF268" i="5"/>
  <c r="BI268" i="5"/>
  <c r="BW268" i="5"/>
  <c r="BV268" i="5"/>
  <c r="BH268" i="5"/>
  <c r="AL268" i="1" l="1"/>
  <c r="AK268" i="1"/>
  <c r="BU268" i="1"/>
  <c r="BG268" i="1"/>
  <c r="BF268" i="1"/>
  <c r="BT268" i="1"/>
  <c r="KI413" i="1" a="1"/>
  <c r="KI413" i="1" s="1"/>
  <c r="KJ413" i="1" s="1"/>
  <c r="AA351" i="1"/>
  <c r="KC351" i="1" s="1"/>
  <c r="Z351" i="1" s="1" a="1"/>
  <c r="Z351" i="1" s="1"/>
  <c r="BR268" i="5"/>
  <c r="CJ268" i="5" s="1"/>
  <c r="CH268" i="5"/>
  <c r="BS268" i="5"/>
  <c r="CK268" i="5" s="1"/>
  <c r="CI268" i="5"/>
  <c r="BK268" i="5"/>
  <c r="BY268" i="5"/>
  <c r="BX268" i="5"/>
  <c r="BJ268" i="5"/>
  <c r="BV268" i="1" l="1"/>
  <c r="BH268" i="1"/>
  <c r="BI268" i="1"/>
  <c r="BW268" i="1"/>
  <c r="BP268" i="1"/>
  <c r="CF268" i="1"/>
  <c r="BQ268" i="1"/>
  <c r="CG268" i="1"/>
  <c r="KK413" i="1"/>
  <c r="KI414" i="1" a="1"/>
  <c r="KI414" i="1" s="1"/>
  <c r="KJ414" i="1" s="1"/>
  <c r="KK414" i="1" s="1"/>
  <c r="BM268" i="5"/>
  <c r="CC268" i="5" s="1"/>
  <c r="CA268" i="5"/>
  <c r="BL268" i="5"/>
  <c r="CB268" i="5" s="1"/>
  <c r="BZ268" i="5"/>
  <c r="AE268" i="5" a="1"/>
  <c r="AE268" i="5" s="1"/>
  <c r="AD269" i="5" s="1" a="1"/>
  <c r="AD269" i="5" s="1"/>
  <c r="AJ268" i="5" a="1"/>
  <c r="AJ268" i="5" s="1"/>
  <c r="AH269" i="5" s="1"/>
  <c r="BS268" i="1" l="1"/>
  <c r="CK268" i="1" s="1"/>
  <c r="CI268" i="1"/>
  <c r="BR268" i="1"/>
  <c r="CJ268" i="1" s="1"/>
  <c r="CH268" i="1"/>
  <c r="BK268" i="1"/>
  <c r="BY268" i="1"/>
  <c r="BJ268" i="1"/>
  <c r="BX268" i="1"/>
  <c r="KI415" i="1" a="1"/>
  <c r="KI415" i="1" s="1"/>
  <c r="KJ415" i="1" s="1"/>
  <c r="AI269" i="5" a="1"/>
  <c r="AI269" i="5" s="1"/>
  <c r="AG269" i="5"/>
  <c r="AF269" i="5"/>
  <c r="BZ268" i="1" l="1"/>
  <c r="BL268" i="1"/>
  <c r="CB268" i="1" s="1"/>
  <c r="AE268" i="1" a="1"/>
  <c r="AE268" i="1" s="1"/>
  <c r="AD269" i="1" s="1" a="1"/>
  <c r="AD269" i="1" s="1"/>
  <c r="AJ268" i="1" a="1"/>
  <c r="AJ268" i="1" s="1"/>
  <c r="AH269" i="1" s="1"/>
  <c r="BM268" i="1"/>
  <c r="CC268" i="1" s="1"/>
  <c r="CA268" i="1"/>
  <c r="KK415" i="1"/>
  <c r="KI416" i="1" a="1"/>
  <c r="KI416" i="1" s="1"/>
  <c r="KJ416" i="1" s="1"/>
  <c r="KK416" i="1" s="1"/>
  <c r="KI417" i="1" s="1" a="1"/>
  <c r="KI417" i="1" s="1"/>
  <c r="GU269" i="5"/>
  <c r="HI269" i="5"/>
  <c r="GV269" i="5"/>
  <c r="HJ269" i="5"/>
  <c r="AK269" i="5"/>
  <c r="AL269" i="5"/>
  <c r="AI269" i="1" l="1" a="1"/>
  <c r="AI269" i="1" s="1"/>
  <c r="AG269" i="1"/>
  <c r="AF269" i="1"/>
  <c r="KI418" i="1" a="1"/>
  <c r="KI418" i="1" s="1"/>
  <c r="KJ418" i="1" s="1"/>
  <c r="KJ417" i="1"/>
  <c r="KK417" i="1" s="1"/>
  <c r="HF269" i="5"/>
  <c r="HX269" i="5" s="1"/>
  <c r="HV269" i="5"/>
  <c r="HE269" i="5"/>
  <c r="HW269" i="5" s="1"/>
  <c r="HU269" i="5"/>
  <c r="GX269" i="5"/>
  <c r="HL269" i="5"/>
  <c r="GW269" i="5"/>
  <c r="HK269" i="5"/>
  <c r="HI269" i="1" l="1"/>
  <c r="GU269" i="1"/>
  <c r="HJ269" i="1"/>
  <c r="GV269" i="1"/>
  <c r="AL269" i="1"/>
  <c r="AK269" i="1"/>
  <c r="KK418" i="1"/>
  <c r="KI419" i="1" a="1"/>
  <c r="KI419" i="1" s="1"/>
  <c r="GY269" i="5"/>
  <c r="HM269" i="5"/>
  <c r="GZ269" i="5"/>
  <c r="HN269" i="5"/>
  <c r="HE269" i="1" l="1"/>
  <c r="HW269" i="1" s="1"/>
  <c r="HU269" i="1"/>
  <c r="HF269" i="1"/>
  <c r="HX269" i="1" s="1"/>
  <c r="HV269" i="1"/>
  <c r="GX269" i="1"/>
  <c r="HL269" i="1"/>
  <c r="GW269" i="1"/>
  <c r="HK269" i="1"/>
  <c r="KI420" i="1" a="1"/>
  <c r="KI420" i="1" s="1"/>
  <c r="KJ419" i="1"/>
  <c r="KK419" i="1" s="1"/>
  <c r="HB269" i="5"/>
  <c r="HR269" i="5" s="1"/>
  <c r="HP269" i="5"/>
  <c r="HA269" i="5"/>
  <c r="HQ269" i="5" s="1"/>
  <c r="HO269" i="5"/>
  <c r="Z269" i="5" a="1"/>
  <c r="Z269" i="5" s="1"/>
  <c r="Y271" i="5" s="1" a="1"/>
  <c r="Y271" i="5" s="1"/>
  <c r="AE269" i="5" a="1"/>
  <c r="AE269" i="5" s="1"/>
  <c r="AD270" i="5" s="1" a="1"/>
  <c r="AD270" i="5" s="1"/>
  <c r="AJ269" i="5" a="1"/>
  <c r="AJ269" i="5" s="1"/>
  <c r="AH270" i="5" s="1"/>
  <c r="HM269" i="1" l="1"/>
  <c r="GY269" i="1"/>
  <c r="GZ269" i="1"/>
  <c r="HN269" i="1"/>
  <c r="KI421" i="1" a="1"/>
  <c r="KI421" i="1" s="1"/>
  <c r="KJ421" i="1" s="1"/>
  <c r="KK421" i="1" s="1"/>
  <c r="KJ420" i="1"/>
  <c r="KK420" i="1" s="1"/>
  <c r="AB271" i="5"/>
  <c r="HH271" i="5" s="1"/>
  <c r="AA271" i="5"/>
  <c r="HG271" i="5" s="1"/>
  <c r="AI270" i="5" a="1"/>
  <c r="AI270" i="5" s="1"/>
  <c r="AG270" i="5"/>
  <c r="AF270" i="5"/>
  <c r="HP269" i="1" l="1"/>
  <c r="HB269" i="1"/>
  <c r="HR269" i="1" s="1"/>
  <c r="HO269" i="1"/>
  <c r="HA269" i="1"/>
  <c r="HQ269" i="1" s="1"/>
  <c r="AE269" i="1" a="1"/>
  <c r="AE269" i="1" s="1"/>
  <c r="AD270" i="1" s="1" a="1"/>
  <c r="AD270" i="1" s="1"/>
  <c r="Z269" i="1" a="1"/>
  <c r="Z269" i="1" s="1"/>
  <c r="Y271" i="1" s="1" a="1"/>
  <c r="Y271" i="1" s="1"/>
  <c r="AJ269" i="1" a="1"/>
  <c r="AJ269" i="1" s="1"/>
  <c r="AH270" i="1" s="1"/>
  <c r="KI422" i="1" a="1"/>
  <c r="KI422" i="1" s="1"/>
  <c r="KJ422" i="1" s="1"/>
  <c r="AL270" i="5"/>
  <c r="AK270" i="5"/>
  <c r="BF270" i="5"/>
  <c r="BT270" i="5"/>
  <c r="BG270" i="5"/>
  <c r="BU270" i="5"/>
  <c r="AI270" i="1" l="1" a="1"/>
  <c r="AI270" i="1" s="1"/>
  <c r="AB271" i="1"/>
  <c r="HH271" i="1" s="1"/>
  <c r="AA271" i="1"/>
  <c r="HG271" i="1" s="1"/>
  <c r="AF270" i="1"/>
  <c r="AG270" i="1"/>
  <c r="KK422" i="1"/>
  <c r="KI423" i="1" s="1" a="1"/>
  <c r="KI423" i="1" s="1"/>
  <c r="BH270" i="5"/>
  <c r="BV270" i="5"/>
  <c r="BQ270" i="5"/>
  <c r="CG270" i="5"/>
  <c r="BI270" i="5"/>
  <c r="BW270" i="5"/>
  <c r="BP270" i="5"/>
  <c r="CF270" i="5"/>
  <c r="BU270" i="1" l="1"/>
  <c r="BG270" i="1"/>
  <c r="BT270" i="1"/>
  <c r="BF270" i="1"/>
  <c r="AK270" i="1"/>
  <c r="AL270" i="1"/>
  <c r="KJ423" i="1"/>
  <c r="KK423" i="1" s="1"/>
  <c r="BK270" i="5"/>
  <c r="BY270" i="5"/>
  <c r="BS270" i="5"/>
  <c r="CK270" i="5" s="1"/>
  <c r="CI270" i="5"/>
  <c r="BR270" i="5"/>
  <c r="CJ270" i="5" s="1"/>
  <c r="CH270" i="5"/>
  <c r="BJ270" i="5"/>
  <c r="BX270" i="5"/>
  <c r="BQ270" i="1" l="1"/>
  <c r="CG270" i="1"/>
  <c r="BV270" i="1"/>
  <c r="BH270" i="1"/>
  <c r="BP270" i="1"/>
  <c r="CF270" i="1"/>
  <c r="BI270" i="1"/>
  <c r="BW270" i="1"/>
  <c r="KI424" i="1" a="1"/>
  <c r="KI424" i="1" s="1"/>
  <c r="KJ424" i="1" s="1"/>
  <c r="BL270" i="5"/>
  <c r="CB270" i="5" s="1"/>
  <c r="BZ270" i="5"/>
  <c r="AJ270" i="5" a="1"/>
  <c r="AJ270" i="5" s="1"/>
  <c r="AH271" i="5" s="1"/>
  <c r="AE270" i="5" a="1"/>
  <c r="AE270" i="5" s="1"/>
  <c r="BM270" i="5"/>
  <c r="CC270" i="5" s="1"/>
  <c r="CA270" i="5"/>
  <c r="BK270" i="1" l="1"/>
  <c r="BY270" i="1"/>
  <c r="BJ270" i="1"/>
  <c r="BX270" i="1"/>
  <c r="BR270" i="1"/>
  <c r="CJ270" i="1" s="1"/>
  <c r="CH270" i="1"/>
  <c r="BS270" i="1"/>
  <c r="CK270" i="1" s="1"/>
  <c r="CI270" i="1"/>
  <c r="KK424" i="1"/>
  <c r="KI425" i="1" a="1"/>
  <c r="KI425" i="1" s="1"/>
  <c r="KJ425" i="1" s="1"/>
  <c r="AI271" i="5" a="1"/>
  <c r="AI271" i="5" s="1"/>
  <c r="BL270" i="1" l="1"/>
  <c r="CB270" i="1" s="1"/>
  <c r="BZ270" i="1"/>
  <c r="AJ270" i="1" a="1"/>
  <c r="AJ270" i="1" s="1"/>
  <c r="AH271" i="1" s="1"/>
  <c r="AE270" i="1" a="1"/>
  <c r="AE270" i="1" s="1"/>
  <c r="AD271" i="1" s="1" a="1"/>
  <c r="AD271" i="1" s="1"/>
  <c r="CA270" i="1"/>
  <c r="BM270" i="1"/>
  <c r="CC270" i="1" s="1"/>
  <c r="KK425" i="1"/>
  <c r="KI447" i="1" a="1"/>
  <c r="KI447" i="1" s="1"/>
  <c r="AL271" i="5"/>
  <c r="AK271" i="5"/>
  <c r="AF271" i="1" l="1"/>
  <c r="AG271" i="1"/>
  <c r="AI271" i="1" a="1"/>
  <c r="AI271" i="1" s="1"/>
  <c r="KJ447" i="1"/>
  <c r="HE271" i="5"/>
  <c r="HU271" i="5"/>
  <c r="HF271" i="5"/>
  <c r="HX271" i="5" s="1"/>
  <c r="HV271" i="5"/>
  <c r="AK271" i="1" l="1"/>
  <c r="AL271" i="1"/>
  <c r="GV271" i="1"/>
  <c r="HJ271" i="1"/>
  <c r="HI271" i="1"/>
  <c r="GU271" i="1"/>
  <c r="KK447" i="1"/>
  <c r="KI448" i="1" s="1" a="1"/>
  <c r="KI448" i="1" s="1"/>
  <c r="KJ448" i="1" s="1"/>
  <c r="KK448" i="1" s="1"/>
  <c r="Z447" i="1" a="1"/>
  <c r="Z447" i="1" s="1"/>
  <c r="Y448" i="1" s="1" a="1"/>
  <c r="Y448" i="1" s="1"/>
  <c r="AE271" i="5" a="1"/>
  <c r="AE271" i="5" s="1"/>
  <c r="AC272" i="5" s="1"/>
  <c r="Z271" i="5" a="1"/>
  <c r="Z271" i="5" s="1"/>
  <c r="Y273" i="5" s="1" a="1"/>
  <c r="Y273" i="5" s="1"/>
  <c r="AJ271" i="5" a="1"/>
  <c r="AJ271" i="5" s="1"/>
  <c r="AH272" i="5" s="1"/>
  <c r="HW271" i="5"/>
  <c r="GW271" i="1" l="1"/>
  <c r="HK271" i="1"/>
  <c r="HL271" i="1"/>
  <c r="GX271" i="1"/>
  <c r="HF271" i="1"/>
  <c r="HX271" i="1" s="1"/>
  <c r="HV271" i="1"/>
  <c r="HE271" i="1"/>
  <c r="HW271" i="1" s="1"/>
  <c r="HU271" i="1"/>
  <c r="AA448" i="1"/>
  <c r="KC448" i="1" s="1"/>
  <c r="Z448" i="1" s="1" a="1"/>
  <c r="Z448" i="1" s="1"/>
  <c r="Y493" i="1" s="1" a="1"/>
  <c r="Y493" i="1" s="1"/>
  <c r="AB448" i="1"/>
  <c r="KD448" i="1" s="1"/>
  <c r="AI272" i="5" a="1"/>
  <c r="AI272" i="5" s="1"/>
  <c r="AB273" i="5"/>
  <c r="HH273" i="5" s="1"/>
  <c r="AA273" i="5"/>
  <c r="HG273" i="5" s="1"/>
  <c r="AD272" i="5" a="1"/>
  <c r="AD272" i="5" s="1"/>
  <c r="CE272" i="5"/>
  <c r="CD272" i="5"/>
  <c r="GZ271" i="1" l="1"/>
  <c r="HN271" i="1"/>
  <c r="GY271" i="1"/>
  <c r="HM271" i="1"/>
  <c r="AB493" i="1"/>
  <c r="HH493" i="1" s="1"/>
  <c r="AA493" i="1"/>
  <c r="HG493" i="1" s="1"/>
  <c r="AF272" i="5"/>
  <c r="AG272" i="5"/>
  <c r="AL272" i="5"/>
  <c r="AK272" i="5"/>
  <c r="HO271" i="1" l="1"/>
  <c r="HA271" i="1"/>
  <c r="HQ271" i="1" s="1"/>
  <c r="Z271" i="1" a="1"/>
  <c r="Z271" i="1" s="1"/>
  <c r="Y273" i="1" s="1" a="1"/>
  <c r="Y273" i="1" s="1"/>
  <c r="AE271" i="1" a="1"/>
  <c r="AE271" i="1" s="1"/>
  <c r="AC272" i="1" s="1"/>
  <c r="AJ271" i="1" a="1"/>
  <c r="AJ271" i="1" s="1"/>
  <c r="AH272" i="1" s="1"/>
  <c r="HP271" i="1"/>
  <c r="HB271" i="1"/>
  <c r="HR271" i="1" s="1"/>
  <c r="BG272" i="5"/>
  <c r="BU272" i="5"/>
  <c r="BQ272" i="5"/>
  <c r="CG272" i="5"/>
  <c r="BP272" i="5"/>
  <c r="CF272" i="5"/>
  <c r="BF272" i="5"/>
  <c r="BT272" i="5"/>
  <c r="AI272" i="1" l="1" a="1"/>
  <c r="AI272" i="1" s="1"/>
  <c r="AD272" i="1" a="1"/>
  <c r="AD272" i="1" s="1"/>
  <c r="CD272" i="1"/>
  <c r="CE272" i="1"/>
  <c r="AA273" i="1"/>
  <c r="HG273" i="1" s="1"/>
  <c r="AB273" i="1"/>
  <c r="HH273" i="1" s="1"/>
  <c r="BH272" i="5"/>
  <c r="BV272" i="5"/>
  <c r="BS272" i="5"/>
  <c r="CK272" i="5" s="1"/>
  <c r="CI272" i="5"/>
  <c r="BR272" i="5"/>
  <c r="CJ272" i="5" s="1"/>
  <c r="CH272" i="5"/>
  <c r="BI272" i="5"/>
  <c r="BW272" i="5"/>
  <c r="AG272" i="1" l="1"/>
  <c r="AF272" i="1"/>
  <c r="AK272" i="1"/>
  <c r="AL272" i="1"/>
  <c r="BK272" i="5"/>
  <c r="BY272" i="5"/>
  <c r="BJ272" i="5"/>
  <c r="BX272" i="5"/>
  <c r="BP272" i="1" l="1"/>
  <c r="CF272" i="1"/>
  <c r="BF272" i="1"/>
  <c r="BT272" i="1"/>
  <c r="BQ272" i="1"/>
  <c r="CG272" i="1"/>
  <c r="BG272" i="1"/>
  <c r="BU272" i="1"/>
  <c r="BL272" i="5"/>
  <c r="CB272" i="5" s="1"/>
  <c r="BZ272" i="5"/>
  <c r="AJ272" i="5" a="1"/>
  <c r="AJ272" i="5" s="1"/>
  <c r="AH273" i="5" s="1"/>
  <c r="AE272" i="5" a="1"/>
  <c r="AE272" i="5" s="1"/>
  <c r="AC273" i="5" s="1"/>
  <c r="BM272" i="5"/>
  <c r="CC272" i="5" s="1"/>
  <c r="CA272" i="5"/>
  <c r="BS272" i="1" l="1"/>
  <c r="CK272" i="1" s="1"/>
  <c r="CI272" i="1"/>
  <c r="BH272" i="1"/>
  <c r="BV272" i="1"/>
  <c r="BI272" i="1"/>
  <c r="BW272" i="1"/>
  <c r="BR272" i="1"/>
  <c r="CJ272" i="1" s="1"/>
  <c r="CH272" i="1"/>
  <c r="AI273" i="5" a="1"/>
  <c r="AI273" i="5" s="1"/>
  <c r="HS273" i="5"/>
  <c r="AD273" i="5" a="1"/>
  <c r="AD273" i="5" s="1"/>
  <c r="HT273" i="5"/>
  <c r="BK272" i="1" l="1"/>
  <c r="BY272" i="1"/>
  <c r="BJ272" i="1"/>
  <c r="BX272" i="1"/>
  <c r="AG273" i="5"/>
  <c r="AF273" i="5"/>
  <c r="AL273" i="5"/>
  <c r="AK273" i="5"/>
  <c r="BL272" i="1" l="1"/>
  <c r="CB272" i="1" s="1"/>
  <c r="BZ272" i="1"/>
  <c r="AJ272" i="1" a="1"/>
  <c r="AJ272" i="1" s="1"/>
  <c r="AH273" i="1" s="1"/>
  <c r="AE272" i="1" a="1"/>
  <c r="AE272" i="1" s="1"/>
  <c r="AC273" i="1" s="1"/>
  <c r="BM272" i="1"/>
  <c r="CC272" i="1" s="1"/>
  <c r="CA272" i="1"/>
  <c r="HF273" i="5"/>
  <c r="HX273" i="5" s="1"/>
  <c r="HV273" i="5"/>
  <c r="HE273" i="5"/>
  <c r="HW273" i="5" s="1"/>
  <c r="HU273" i="5"/>
  <c r="GU273" i="5"/>
  <c r="HI273" i="5"/>
  <c r="GV273" i="5"/>
  <c r="HJ273" i="5"/>
  <c r="HT273" i="1" l="1"/>
  <c r="HS273" i="1"/>
  <c r="AD273" i="1" a="1"/>
  <c r="AD273" i="1" s="1"/>
  <c r="AI273" i="1" a="1"/>
  <c r="AI273" i="1" s="1"/>
  <c r="GW273" i="5"/>
  <c r="HK273" i="5"/>
  <c r="GX273" i="5"/>
  <c r="HL273" i="5"/>
  <c r="AK273" i="1" l="1"/>
  <c r="AL273" i="1"/>
  <c r="AF273" i="1"/>
  <c r="AG273" i="1"/>
  <c r="GZ273" i="5"/>
  <c r="HN273" i="5"/>
  <c r="GY273" i="5"/>
  <c r="HM273" i="5"/>
  <c r="GV273" i="1" l="1"/>
  <c r="HJ273" i="1"/>
  <c r="GU273" i="1"/>
  <c r="HI273" i="1"/>
  <c r="HF273" i="1"/>
  <c r="HX273" i="1" s="1"/>
  <c r="HV273" i="1"/>
  <c r="HE273" i="1"/>
  <c r="HW273" i="1" s="1"/>
  <c r="HU273" i="1"/>
  <c r="HA273" i="5"/>
  <c r="HQ273" i="5" s="1"/>
  <c r="HO273" i="5"/>
  <c r="AE273" i="5" a="1"/>
  <c r="AE273" i="5" s="1"/>
  <c r="AC274" i="5" s="1"/>
  <c r="Z273" i="5" a="1"/>
  <c r="Z273" i="5" s="1"/>
  <c r="Y275" i="5" s="1" a="1"/>
  <c r="Y275" i="5" s="1"/>
  <c r="AJ273" i="5" a="1"/>
  <c r="AJ273" i="5" s="1"/>
  <c r="AH274" i="5" s="1"/>
  <c r="HB273" i="5"/>
  <c r="HR273" i="5" s="1"/>
  <c r="HP273" i="5"/>
  <c r="GW273" i="1" l="1"/>
  <c r="HK273" i="1"/>
  <c r="GX273" i="1"/>
  <c r="HL273" i="1"/>
  <c r="CE274" i="5"/>
  <c r="CD274" i="5"/>
  <c r="AD274" i="5" a="1"/>
  <c r="AD274" i="5" s="1"/>
  <c r="AD275" i="5" a="1"/>
  <c r="AD275" i="5" s="1"/>
  <c r="AB275" i="5"/>
  <c r="HH275" i="5" s="1"/>
  <c r="AA275" i="5"/>
  <c r="HG275" i="5" s="1"/>
  <c r="AI274" i="5" a="1"/>
  <c r="AI274" i="5" s="1"/>
  <c r="AI275" i="5" a="1"/>
  <c r="AI275" i="5" s="1"/>
  <c r="GZ273" i="1" l="1"/>
  <c r="HN273" i="1"/>
  <c r="GY273" i="1"/>
  <c r="HM273" i="1"/>
  <c r="AG274" i="5"/>
  <c r="AF274" i="5"/>
  <c r="AL275" i="5"/>
  <c r="AK275" i="5"/>
  <c r="AG275" i="5"/>
  <c r="AF275" i="5"/>
  <c r="AL274" i="5"/>
  <c r="AK274" i="5"/>
  <c r="HA273" i="1" l="1"/>
  <c r="HQ273" i="1" s="1"/>
  <c r="HO273" i="1"/>
  <c r="Z273" i="1" a="1"/>
  <c r="Z273" i="1" s="1"/>
  <c r="Y275" i="1" s="1" a="1"/>
  <c r="Y275" i="1" s="1"/>
  <c r="AE273" i="1" a="1"/>
  <c r="AE273" i="1" s="1"/>
  <c r="AC274" i="1" s="1"/>
  <c r="AJ273" i="1" a="1"/>
  <c r="AJ273" i="1" s="1"/>
  <c r="AH274" i="1" s="1"/>
  <c r="HB273" i="1"/>
  <c r="HR273" i="1" s="1"/>
  <c r="HP273" i="1"/>
  <c r="BP274" i="5"/>
  <c r="CF274" i="5"/>
  <c r="BQ274" i="5"/>
  <c r="CG274" i="5"/>
  <c r="HI275" i="5"/>
  <c r="GU275" i="5"/>
  <c r="HV275" i="5"/>
  <c r="HF275" i="5"/>
  <c r="HX275" i="5" s="1"/>
  <c r="BF274" i="5"/>
  <c r="BT274" i="5"/>
  <c r="HJ275" i="5"/>
  <c r="GV275" i="5"/>
  <c r="HU275" i="5"/>
  <c r="HE275" i="5"/>
  <c r="HW275" i="5" s="1"/>
  <c r="BG274" i="5"/>
  <c r="BU274" i="5"/>
  <c r="AI274" i="1" l="1" a="1"/>
  <c r="AI274" i="1" s="1"/>
  <c r="AI275" i="1" a="1"/>
  <c r="AI275" i="1" s="1"/>
  <c r="CD274" i="1"/>
  <c r="CE274" i="1"/>
  <c r="AD274" i="1" a="1"/>
  <c r="AD274" i="1" s="1"/>
  <c r="AD275" i="1" a="1"/>
  <c r="AD275" i="1" s="1"/>
  <c r="AB275" i="1"/>
  <c r="HH275" i="1" s="1"/>
  <c r="AA275" i="1"/>
  <c r="HG275" i="1" s="1"/>
  <c r="HL275" i="5"/>
  <c r="GX275" i="5"/>
  <c r="HK275" i="5"/>
  <c r="GW275" i="5"/>
  <c r="BI274" i="5"/>
  <c r="BW274" i="5"/>
  <c r="BS274" i="5"/>
  <c r="CK274" i="5" s="1"/>
  <c r="CI274" i="5"/>
  <c r="BH274" i="5"/>
  <c r="BV274" i="5"/>
  <c r="BR274" i="5"/>
  <c r="CJ274" i="5" s="1"/>
  <c r="CH274" i="5"/>
  <c r="AF275" i="1" l="1"/>
  <c r="AG275" i="1"/>
  <c r="AK275" i="1"/>
  <c r="AL275" i="1"/>
  <c r="AF274" i="1"/>
  <c r="AG274" i="1"/>
  <c r="AK274" i="1"/>
  <c r="AL274" i="1"/>
  <c r="BJ274" i="5"/>
  <c r="BX274" i="5"/>
  <c r="BK274" i="5"/>
  <c r="BY274" i="5"/>
  <c r="HM275" i="5"/>
  <c r="GY275" i="5"/>
  <c r="HN275" i="5"/>
  <c r="GZ275" i="5"/>
  <c r="BQ274" i="1" l="1"/>
  <c r="CG274" i="1"/>
  <c r="BP274" i="1"/>
  <c r="CF274" i="1"/>
  <c r="HV275" i="1"/>
  <c r="HF275" i="1"/>
  <c r="HX275" i="1" s="1"/>
  <c r="HE275" i="1"/>
  <c r="HW275" i="1" s="1"/>
  <c r="HU275" i="1"/>
  <c r="GV275" i="1"/>
  <c r="HJ275" i="1"/>
  <c r="BG274" i="1"/>
  <c r="BU274" i="1"/>
  <c r="BF274" i="1"/>
  <c r="BT274" i="1"/>
  <c r="GU275" i="1"/>
  <c r="HI275" i="1"/>
  <c r="HO275" i="5"/>
  <c r="HA275" i="5"/>
  <c r="HQ275" i="5" s="1"/>
  <c r="AE275" i="5" a="1"/>
  <c r="AE275" i="5" s="1"/>
  <c r="AC276" i="5" s="1"/>
  <c r="AJ275" i="5" a="1"/>
  <c r="AJ275" i="5" s="1"/>
  <c r="AH276" i="5" s="1"/>
  <c r="Z275" i="5" a="1"/>
  <c r="Z275" i="5" s="1"/>
  <c r="Y277" i="5" s="1" a="1"/>
  <c r="Y277" i="5" s="1"/>
  <c r="BM274" i="5"/>
  <c r="CC274" i="5" s="1"/>
  <c r="CA274" i="5"/>
  <c r="HP275" i="5"/>
  <c r="HB275" i="5"/>
  <c r="HR275" i="5" s="1"/>
  <c r="BL274" i="5"/>
  <c r="CB274" i="5" s="1"/>
  <c r="BZ274" i="5"/>
  <c r="AJ274" i="5" a="1"/>
  <c r="AJ274" i="5" s="1"/>
  <c r="AE274" i="5" a="1"/>
  <c r="AE274" i="5" s="1"/>
  <c r="BI274" i="1" l="1"/>
  <c r="BW274" i="1"/>
  <c r="GX275" i="1"/>
  <c r="HL275" i="1"/>
  <c r="HK275" i="1"/>
  <c r="GW275" i="1"/>
  <c r="BR274" i="1"/>
  <c r="CJ274" i="1" s="1"/>
  <c r="CH274" i="1"/>
  <c r="BH274" i="1"/>
  <c r="BV274" i="1"/>
  <c r="BS274" i="1"/>
  <c r="CK274" i="1" s="1"/>
  <c r="CI274" i="1"/>
  <c r="AA277" i="5"/>
  <c r="HG277" i="5" s="1"/>
  <c r="AB277" i="5"/>
  <c r="HH277" i="5" s="1"/>
  <c r="AI276" i="5" a="1"/>
  <c r="AI276" i="5" s="1"/>
  <c r="CE276" i="5"/>
  <c r="CD276" i="5"/>
  <c r="AD276" i="5" a="1"/>
  <c r="AD276" i="5" s="1"/>
  <c r="BJ274" i="1" l="1"/>
  <c r="BX274" i="1"/>
  <c r="GY275" i="1"/>
  <c r="HM275" i="1"/>
  <c r="GZ275" i="1"/>
  <c r="HN275" i="1"/>
  <c r="BK274" i="1"/>
  <c r="BY274" i="1"/>
  <c r="AL276" i="5"/>
  <c r="AK276" i="5"/>
  <c r="AF276" i="5"/>
  <c r="AG276" i="5"/>
  <c r="HB275" i="1" l="1"/>
  <c r="HR275" i="1" s="1"/>
  <c r="HP275" i="1"/>
  <c r="HA275" i="1"/>
  <c r="HQ275" i="1" s="1"/>
  <c r="HO275" i="1"/>
  <c r="AE275" i="1" a="1"/>
  <c r="AE275" i="1" s="1"/>
  <c r="AC276" i="1" s="1"/>
  <c r="Z275" i="1" a="1"/>
  <c r="Z275" i="1" s="1"/>
  <c r="Y277" i="1" s="1" a="1"/>
  <c r="Y277" i="1" s="1"/>
  <c r="AJ275" i="1" a="1"/>
  <c r="AJ275" i="1" s="1"/>
  <c r="AH276" i="1" s="1"/>
  <c r="BM274" i="1"/>
  <c r="CC274" i="1" s="1"/>
  <c r="CA274" i="1"/>
  <c r="BL274" i="1"/>
  <c r="CB274" i="1" s="1"/>
  <c r="BZ274" i="1"/>
  <c r="AJ274" i="1" a="1"/>
  <c r="AJ274" i="1" s="1"/>
  <c r="AE274" i="1" a="1"/>
  <c r="AE274" i="1" s="1"/>
  <c r="BP276" i="5"/>
  <c r="CF276" i="5"/>
  <c r="BG276" i="5"/>
  <c r="BU276" i="5"/>
  <c r="BF276" i="5"/>
  <c r="BT276" i="5"/>
  <c r="BQ276" i="5"/>
  <c r="CG276" i="5"/>
  <c r="AD276" i="1" l="1" a="1"/>
  <c r="AD276" i="1" s="1"/>
  <c r="CD276" i="1"/>
  <c r="CE276" i="1"/>
  <c r="AI276" i="1" a="1"/>
  <c r="AI276" i="1" s="1"/>
  <c r="AB277" i="1"/>
  <c r="HH277" i="1" s="1"/>
  <c r="AA277" i="1"/>
  <c r="HG277" i="1" s="1"/>
  <c r="BS276" i="5"/>
  <c r="CK276" i="5" s="1"/>
  <c r="CI276" i="5"/>
  <c r="BI276" i="5"/>
  <c r="BW276" i="5"/>
  <c r="BH276" i="5"/>
  <c r="BV276" i="5"/>
  <c r="BR276" i="5"/>
  <c r="CJ276" i="5" s="1"/>
  <c r="CH276" i="5"/>
  <c r="AK276" i="1" l="1"/>
  <c r="AL276" i="1"/>
  <c r="AF276" i="1"/>
  <c r="AG276" i="1"/>
  <c r="BJ276" i="5"/>
  <c r="BX276" i="5"/>
  <c r="BK276" i="5"/>
  <c r="BY276" i="5"/>
  <c r="BG276" i="1" l="1"/>
  <c r="BU276" i="1"/>
  <c r="BF276" i="1"/>
  <c r="BT276" i="1"/>
  <c r="BP276" i="1"/>
  <c r="CF276" i="1"/>
  <c r="BQ276" i="1"/>
  <c r="CG276" i="1"/>
  <c r="BM276" i="5"/>
  <c r="CC276" i="5" s="1"/>
  <c r="CA276" i="5"/>
  <c r="BL276" i="5"/>
  <c r="CB276" i="5" s="1"/>
  <c r="BZ276" i="5"/>
  <c r="AJ276" i="5" a="1"/>
  <c r="AJ276" i="5" s="1"/>
  <c r="AH277" i="5" s="1"/>
  <c r="AE276" i="5" a="1"/>
  <c r="AE276" i="5" s="1"/>
  <c r="AC277" i="5" s="1"/>
  <c r="BR276" i="1" l="1"/>
  <c r="CJ276" i="1" s="1"/>
  <c r="CH276" i="1"/>
  <c r="BV276" i="1"/>
  <c r="BH276" i="1"/>
  <c r="BS276" i="1"/>
  <c r="CK276" i="1" s="1"/>
  <c r="CI276" i="1"/>
  <c r="BI276" i="1"/>
  <c r="BW276" i="1"/>
  <c r="AI277" i="5" a="1"/>
  <c r="AI277" i="5" s="1"/>
  <c r="HS277" i="5"/>
  <c r="AD277" i="5" a="1"/>
  <c r="AD277" i="5" s="1"/>
  <c r="HT277" i="5"/>
  <c r="BJ276" i="1" l="1"/>
  <c r="BX276" i="1"/>
  <c r="BK276" i="1"/>
  <c r="BY276" i="1"/>
  <c r="AG277" i="5"/>
  <c r="AF277" i="5"/>
  <c r="AL277" i="5"/>
  <c r="AK277" i="5"/>
  <c r="BM276" i="1" l="1"/>
  <c r="CC276" i="1" s="1"/>
  <c r="CA276" i="1"/>
  <c r="BL276" i="1"/>
  <c r="CB276" i="1" s="1"/>
  <c r="BZ276" i="1"/>
  <c r="AJ276" i="1" a="1"/>
  <c r="AJ276" i="1" s="1"/>
  <c r="AH277" i="1" s="1"/>
  <c r="AE276" i="1" a="1"/>
  <c r="AE276" i="1" s="1"/>
  <c r="AC277" i="1" s="1"/>
  <c r="GU277" i="5"/>
  <c r="HI277" i="5"/>
  <c r="HE277" i="5"/>
  <c r="HW277" i="5" s="1"/>
  <c r="HU277" i="5"/>
  <c r="HF277" i="5"/>
  <c r="HX277" i="5" s="1"/>
  <c r="HV277" i="5"/>
  <c r="GV277" i="5"/>
  <c r="HJ277" i="5"/>
  <c r="HS277" i="1" l="1"/>
  <c r="HT277" i="1"/>
  <c r="AD277" i="1" a="1"/>
  <c r="AD277" i="1" s="1"/>
  <c r="AI277" i="1" a="1"/>
  <c r="AI277" i="1" s="1"/>
  <c r="GX277" i="5"/>
  <c r="HL277" i="5"/>
  <c r="GW277" i="5"/>
  <c r="HK277" i="5"/>
  <c r="AG277" i="1" l="1"/>
  <c r="AF277" i="1"/>
  <c r="AK277" i="1"/>
  <c r="AL277" i="1"/>
  <c r="GY277" i="5"/>
  <c r="HM277" i="5"/>
  <c r="GZ277" i="5"/>
  <c r="HN277" i="5"/>
  <c r="HF277" i="1" l="1"/>
  <c r="HX277" i="1" s="1"/>
  <c r="HV277" i="1"/>
  <c r="HE277" i="1"/>
  <c r="HW277" i="1" s="1"/>
  <c r="HU277" i="1"/>
  <c r="GU277" i="1"/>
  <c r="HI277" i="1"/>
  <c r="GV277" i="1"/>
  <c r="HJ277" i="1"/>
  <c r="HB277" i="5"/>
  <c r="HR277" i="5" s="1"/>
  <c r="HP277" i="5"/>
  <c r="HA277" i="5"/>
  <c r="HQ277" i="5" s="1"/>
  <c r="HO277" i="5"/>
  <c r="AJ277" i="5" a="1"/>
  <c r="AJ277" i="5" s="1"/>
  <c r="AH278" i="5" s="1"/>
  <c r="Z277" i="5" a="1"/>
  <c r="Z277" i="5" s="1"/>
  <c r="Y279" i="5" s="1" a="1"/>
  <c r="Y279" i="5" s="1"/>
  <c r="AE277" i="5" a="1"/>
  <c r="AE277" i="5" s="1"/>
  <c r="AC278" i="5" s="1"/>
  <c r="GX277" i="1" l="1"/>
  <c r="HL277" i="1"/>
  <c r="GW277" i="1"/>
  <c r="HK277" i="1"/>
  <c r="CE278" i="5"/>
  <c r="CD278" i="5"/>
  <c r="AD278" i="5" a="1"/>
  <c r="AD278" i="5" s="1"/>
  <c r="AD279" i="5" a="1"/>
  <c r="AD279" i="5" s="1"/>
  <c r="AI278" i="5" a="1"/>
  <c r="AI278" i="5" s="1"/>
  <c r="AA279" i="5"/>
  <c r="HG279" i="5" s="1"/>
  <c r="AB279" i="5"/>
  <c r="HH279" i="5" s="1"/>
  <c r="GZ277" i="1" l="1"/>
  <c r="HN277" i="1"/>
  <c r="GY277" i="1"/>
  <c r="HM277" i="1"/>
  <c r="AL278" i="5"/>
  <c r="AK278" i="5"/>
  <c r="AG278" i="5"/>
  <c r="AF278" i="5"/>
  <c r="AF279" i="5"/>
  <c r="AG279" i="5"/>
  <c r="HA277" i="1" l="1"/>
  <c r="HO277" i="1"/>
  <c r="HB277" i="1"/>
  <c r="HR277" i="1" s="1"/>
  <c r="HP277" i="1"/>
  <c r="HI279" i="5"/>
  <c r="GU279" i="5"/>
  <c r="BP278" i="5"/>
  <c r="CF278" i="5"/>
  <c r="BG278" i="5"/>
  <c r="BU278" i="5"/>
  <c r="HJ279" i="5"/>
  <c r="GV279" i="5"/>
  <c r="BF278" i="5"/>
  <c r="BT278" i="5"/>
  <c r="BQ278" i="5"/>
  <c r="CG278" i="5"/>
  <c r="HQ277" i="1" l="1"/>
  <c r="Z277" i="1" a="1"/>
  <c r="Z277" i="1" s="1"/>
  <c r="Y279" i="1" s="1" a="1"/>
  <c r="Y279" i="1" s="1"/>
  <c r="AE277" i="1" a="1"/>
  <c r="AE277" i="1" s="1"/>
  <c r="AC278" i="1" s="1"/>
  <c r="AJ277" i="1" a="1"/>
  <c r="AJ277" i="1" s="1"/>
  <c r="AH278" i="1" s="1"/>
  <c r="BS278" i="5"/>
  <c r="CK278" i="5" s="1"/>
  <c r="CI278" i="5"/>
  <c r="BH278" i="5"/>
  <c r="BV278" i="5"/>
  <c r="HL279" i="5"/>
  <c r="GX279" i="5"/>
  <c r="BR278" i="5"/>
  <c r="CJ278" i="5" s="1"/>
  <c r="CH278" i="5"/>
  <c r="HK279" i="5"/>
  <c r="GW279" i="5"/>
  <c r="BI278" i="5"/>
  <c r="BW278" i="5"/>
  <c r="AI278" i="1" l="1" a="1"/>
  <c r="AI278" i="1" s="1"/>
  <c r="CE278" i="1"/>
  <c r="AD278" i="1" a="1"/>
  <c r="AD278" i="1" s="1"/>
  <c r="CD278" i="1"/>
  <c r="AB279" i="1"/>
  <c r="HH279" i="1" s="1"/>
  <c r="AA279" i="1"/>
  <c r="HG279" i="1" s="1"/>
  <c r="HM279" i="5"/>
  <c r="GY279" i="5"/>
  <c r="HN279" i="5"/>
  <c r="GZ279" i="5"/>
  <c r="BK278" i="5"/>
  <c r="BY278" i="5"/>
  <c r="BJ278" i="5"/>
  <c r="BX278" i="5"/>
  <c r="AL278" i="1" l="1"/>
  <c r="BQ278" i="1" s="1"/>
  <c r="BS278" i="1" s="1"/>
  <c r="AK278" i="1"/>
  <c r="AF278" i="1"/>
  <c r="AG278" i="1"/>
  <c r="BM278" i="5"/>
  <c r="CC278" i="5" s="1"/>
  <c r="CA278" i="5"/>
  <c r="BL278" i="5"/>
  <c r="CB278" i="5" s="1"/>
  <c r="BZ278" i="5"/>
  <c r="AJ278" i="5" a="1"/>
  <c r="AJ278" i="5" s="1"/>
  <c r="AH279" i="5" s="1"/>
  <c r="AE278" i="5" a="1"/>
  <c r="AE278" i="5" s="1"/>
  <c r="HO279" i="5"/>
  <c r="HA279" i="5"/>
  <c r="HQ279" i="5" s="1"/>
  <c r="HP279" i="5"/>
  <c r="HB279" i="5"/>
  <c r="HR279" i="5" s="1"/>
  <c r="CG278" i="1" l="1"/>
  <c r="BG278" i="1"/>
  <c r="BU278" i="1"/>
  <c r="BF278" i="1"/>
  <c r="BT278" i="1"/>
  <c r="BP278" i="1"/>
  <c r="CF278" i="1"/>
  <c r="CI278" i="1"/>
  <c r="CK278" i="1"/>
  <c r="AI279" i="5" a="1"/>
  <c r="AI279" i="5" s="1"/>
  <c r="BR278" i="1" l="1"/>
  <c r="CJ278" i="1" s="1"/>
  <c r="CH278" i="1"/>
  <c r="BV278" i="1"/>
  <c r="BH278" i="1"/>
  <c r="BW278" i="1"/>
  <c r="BI278" i="1"/>
  <c r="AL279" i="5"/>
  <c r="AK279" i="5"/>
  <c r="AD279" i="1" a="1"/>
  <c r="AD279" i="1" s="1"/>
  <c r="BK278" i="1" l="1"/>
  <c r="BY278" i="1"/>
  <c r="BX278" i="1"/>
  <c r="BJ278" i="1"/>
  <c r="HE279" i="5"/>
  <c r="HU279" i="5"/>
  <c r="HF279" i="5"/>
  <c r="HX279" i="5" s="1"/>
  <c r="HV279" i="5"/>
  <c r="AF279" i="1"/>
  <c r="AG279" i="1"/>
  <c r="BL278" i="1" l="1"/>
  <c r="BZ278" i="1"/>
  <c r="CA278" i="1"/>
  <c r="BM278" i="1"/>
  <c r="CC278" i="1" s="1"/>
  <c r="AE279" i="5" a="1"/>
  <c r="AE279" i="5" s="1"/>
  <c r="AC280" i="5" s="1"/>
  <c r="Z279" i="5" a="1"/>
  <c r="Z279" i="5" s="1"/>
  <c r="Y281" i="5" s="1" a="1"/>
  <c r="Y281" i="5" s="1"/>
  <c r="AJ279" i="5" a="1"/>
  <c r="AJ279" i="5" s="1"/>
  <c r="AH280" i="5" s="1"/>
  <c r="HW279" i="5"/>
  <c r="GV279" i="1"/>
  <c r="HJ279" i="1"/>
  <c r="GU279" i="1"/>
  <c r="HI279" i="1"/>
  <c r="CB278" i="1" l="1"/>
  <c r="AE278" i="1" a="1"/>
  <c r="AE278" i="1" s="1"/>
  <c r="AJ278" i="1" a="1"/>
  <c r="AJ278" i="1" s="1"/>
  <c r="AH279" i="1" s="1"/>
  <c r="AI280" i="5" a="1"/>
  <c r="AI280" i="5" s="1"/>
  <c r="AB281" i="5"/>
  <c r="HH281" i="5" s="1"/>
  <c r="AA281" i="5"/>
  <c r="HG281" i="5" s="1"/>
  <c r="CE280" i="5"/>
  <c r="CD280" i="5"/>
  <c r="AD280" i="5" a="1"/>
  <c r="AD280" i="5" s="1"/>
  <c r="GW279" i="1"/>
  <c r="HK279" i="1"/>
  <c r="GX279" i="1"/>
  <c r="HL279" i="1"/>
  <c r="AI279" i="1" l="1" a="1"/>
  <c r="AI279" i="1" s="1"/>
  <c r="AL280" i="5"/>
  <c r="AK280" i="5"/>
  <c r="AG280" i="5"/>
  <c r="AF280" i="5"/>
  <c r="GZ279" i="1"/>
  <c r="HN279" i="1"/>
  <c r="GY279" i="1"/>
  <c r="HM279" i="1"/>
  <c r="AK279" i="1" l="1"/>
  <c r="AL279" i="1"/>
  <c r="BG280" i="5"/>
  <c r="BU280" i="5"/>
  <c r="BP280" i="5"/>
  <c r="CF280" i="5"/>
  <c r="BF280" i="5"/>
  <c r="BT280" i="5"/>
  <c r="BQ280" i="5"/>
  <c r="CG280" i="5"/>
  <c r="HA279" i="1"/>
  <c r="HO279" i="1"/>
  <c r="HB279" i="1"/>
  <c r="HP279" i="1"/>
  <c r="HF279" i="1" l="1"/>
  <c r="HX279" i="1" s="1"/>
  <c r="HV279" i="1"/>
  <c r="HE279" i="1"/>
  <c r="HW279" i="1" s="1"/>
  <c r="HU279" i="1"/>
  <c r="BS280" i="5"/>
  <c r="CK280" i="5" s="1"/>
  <c r="CI280" i="5"/>
  <c r="BR280" i="5"/>
  <c r="CJ280" i="5" s="1"/>
  <c r="CH280" i="5"/>
  <c r="BH280" i="5"/>
  <c r="BV280" i="5"/>
  <c r="BI280" i="5"/>
  <c r="BW280" i="5"/>
  <c r="HR279" i="1"/>
  <c r="HQ279" i="1"/>
  <c r="BJ280" i="5" l="1"/>
  <c r="BX280" i="5"/>
  <c r="BK280" i="5"/>
  <c r="BY280" i="5"/>
  <c r="AJ279" i="1" a="1"/>
  <c r="AJ279" i="1" s="1"/>
  <c r="AE279" i="1" a="1"/>
  <c r="AE279" i="1" s="1"/>
  <c r="Z279" i="1" a="1"/>
  <c r="Z279" i="1" s="1"/>
  <c r="Y281" i="1" s="1" a="1"/>
  <c r="Y281" i="1" s="1"/>
  <c r="BM280" i="5" l="1"/>
  <c r="CC280" i="5" s="1"/>
  <c r="CA280" i="5"/>
  <c r="BL280" i="5"/>
  <c r="CB280" i="5" s="1"/>
  <c r="BZ280" i="5"/>
  <c r="AJ280" i="5" a="1"/>
  <c r="AJ280" i="5" s="1"/>
  <c r="AH281" i="5" s="1"/>
  <c r="AE280" i="5" a="1"/>
  <c r="AE280" i="5" s="1"/>
  <c r="AC281" i="5" s="1"/>
  <c r="AH280" i="1"/>
  <c r="AI280" i="1" s="1" a="1"/>
  <c r="AI280" i="1" s="1"/>
  <c r="AA281" i="1"/>
  <c r="HG281" i="1" s="1"/>
  <c r="AB281" i="1"/>
  <c r="HH281" i="1" s="1"/>
  <c r="AC280" i="1"/>
  <c r="AL280" i="1" l="1"/>
  <c r="BQ280" i="1" s="1"/>
  <c r="BS280" i="1" s="1"/>
  <c r="AK280" i="1"/>
  <c r="BP280" i="1" s="1"/>
  <c r="BR280" i="1" s="1"/>
  <c r="HT281" i="5"/>
  <c r="HS281" i="5"/>
  <c r="AD281" i="5" a="1"/>
  <c r="AD281" i="5" s="1"/>
  <c r="AI281" i="5" a="1"/>
  <c r="AI281" i="5" s="1"/>
  <c r="CE280" i="1"/>
  <c r="CD280" i="1"/>
  <c r="AD280" i="1" a="1"/>
  <c r="AD280" i="1" s="1"/>
  <c r="CF280" i="1" l="1"/>
  <c r="CJ280" i="1"/>
  <c r="AF281" i="5"/>
  <c r="AG281" i="5"/>
  <c r="AL281" i="5"/>
  <c r="AK281" i="5"/>
  <c r="AF280" i="1"/>
  <c r="AG280" i="1"/>
  <c r="GV281" i="5" l="1"/>
  <c r="HJ281" i="5"/>
  <c r="HF281" i="5"/>
  <c r="HX281" i="5" s="1"/>
  <c r="HV281" i="5"/>
  <c r="HE281" i="5"/>
  <c r="HW281" i="5" s="1"/>
  <c r="HU281" i="5"/>
  <c r="GU281" i="5"/>
  <c r="HI281" i="5"/>
  <c r="CH280" i="1"/>
  <c r="BG280" i="1"/>
  <c r="BU280" i="1"/>
  <c r="BF280" i="1"/>
  <c r="BT280" i="1"/>
  <c r="GW281" i="5" l="1"/>
  <c r="HK281" i="5"/>
  <c r="GX281" i="5"/>
  <c r="HL281" i="5"/>
  <c r="BH280" i="1"/>
  <c r="BV280" i="1"/>
  <c r="BI280" i="1"/>
  <c r="BW280" i="1"/>
  <c r="CG280" i="1" l="1"/>
  <c r="GZ281" i="5"/>
  <c r="HN281" i="5"/>
  <c r="GY281" i="5"/>
  <c r="HM281" i="5"/>
  <c r="BK280" i="1"/>
  <c r="BY280" i="1"/>
  <c r="BJ280" i="1"/>
  <c r="BX280" i="1"/>
  <c r="CI280" i="1" l="1"/>
  <c r="CK280" i="1"/>
  <c r="HA281" i="5"/>
  <c r="HQ281" i="5" s="1"/>
  <c r="HO281" i="5"/>
  <c r="AJ281" i="5" a="1"/>
  <c r="AJ281" i="5" s="1"/>
  <c r="AH282" i="5" s="1"/>
  <c r="AE281" i="5" a="1"/>
  <c r="AE281" i="5" s="1"/>
  <c r="AC282" i="5" s="1"/>
  <c r="Z281" i="5" a="1"/>
  <c r="Z281" i="5" s="1"/>
  <c r="HB281" i="5"/>
  <c r="HR281" i="5" s="1"/>
  <c r="HP281" i="5"/>
  <c r="BL280" i="1"/>
  <c r="CB280" i="1" s="1"/>
  <c r="BZ280" i="1"/>
  <c r="AE280" i="1" a="1"/>
  <c r="AE280" i="1" s="1"/>
  <c r="AJ280" i="1" a="1"/>
  <c r="AJ280" i="1" s="1"/>
  <c r="BM280" i="1"/>
  <c r="CC280" i="1" s="1"/>
  <c r="CA280" i="1"/>
  <c r="CE282" i="5" l="1"/>
  <c r="CD282" i="5"/>
  <c r="AD282" i="5" a="1"/>
  <c r="AD282" i="5" s="1"/>
  <c r="AD283" i="5" a="1"/>
  <c r="AD283" i="5" s="1"/>
  <c r="AI282" i="5" a="1"/>
  <c r="AI282" i="5" s="1"/>
  <c r="AI283" i="5" a="1"/>
  <c r="AI283" i="5" s="1"/>
  <c r="AH281" i="1"/>
  <c r="AI281" i="1" s="1" a="1"/>
  <c r="AI281" i="1" s="1"/>
  <c r="AC281" i="1"/>
  <c r="AL281" i="1" l="1"/>
  <c r="AK281" i="1"/>
  <c r="AG282" i="5"/>
  <c r="AF282" i="5"/>
  <c r="AL282" i="5"/>
  <c r="AK282" i="5"/>
  <c r="AG283" i="5"/>
  <c r="AF283" i="5"/>
  <c r="HS281" i="1"/>
  <c r="HT281" i="1"/>
  <c r="AD281" i="1" a="1"/>
  <c r="AD281" i="1" s="1"/>
  <c r="HF281" i="1" l="1"/>
  <c r="HX281" i="1" s="1"/>
  <c r="HU281" i="1"/>
  <c r="HE281" i="1"/>
  <c r="HW281" i="1" s="1"/>
  <c r="BG283" i="5"/>
  <c r="BU283" i="5"/>
  <c r="BQ282" i="5"/>
  <c r="CG282" i="5"/>
  <c r="BT283" i="5"/>
  <c r="BF283" i="5"/>
  <c r="BF282" i="5"/>
  <c r="BT282" i="5"/>
  <c r="BP282" i="5"/>
  <c r="CF282" i="5"/>
  <c r="BG282" i="5"/>
  <c r="BU282" i="5"/>
  <c r="HV281" i="1"/>
  <c r="AG281" i="1"/>
  <c r="AF281" i="1"/>
  <c r="BI282" i="5" l="1"/>
  <c r="BW282" i="5"/>
  <c r="BR282" i="5"/>
  <c r="CJ282" i="5" s="1"/>
  <c r="CH282" i="5"/>
  <c r="BH283" i="5"/>
  <c r="BV283" i="5"/>
  <c r="BH282" i="5"/>
  <c r="BV282" i="5"/>
  <c r="BS282" i="5"/>
  <c r="CK282" i="5" s="1"/>
  <c r="CI282" i="5"/>
  <c r="BW283" i="5"/>
  <c r="BI283" i="5"/>
  <c r="GU281" i="1"/>
  <c r="HI281" i="1"/>
  <c r="GV281" i="1"/>
  <c r="HJ281" i="1"/>
  <c r="BJ282" i="5" l="1"/>
  <c r="BX282" i="5"/>
  <c r="BX283" i="5"/>
  <c r="BJ283" i="5"/>
  <c r="BY283" i="5"/>
  <c r="BK283" i="5"/>
  <c r="BK282" i="5"/>
  <c r="BY282" i="5"/>
  <c r="GX281" i="1"/>
  <c r="HL281" i="1"/>
  <c r="GW281" i="1"/>
  <c r="HK281" i="1"/>
  <c r="BM282" i="5" l="1"/>
  <c r="CC282" i="5" s="1"/>
  <c r="CA282" i="5"/>
  <c r="BM283" i="5"/>
  <c r="CA283" i="5"/>
  <c r="BZ283" i="5"/>
  <c r="BL283" i="5"/>
  <c r="BL282" i="5"/>
  <c r="CB282" i="5" s="1"/>
  <c r="BZ282" i="5"/>
  <c r="AE282" i="5" a="1"/>
  <c r="AE282" i="5" s="1"/>
  <c r="AJ282" i="5" a="1"/>
  <c r="AJ282" i="5" s="1"/>
  <c r="GZ281" i="1"/>
  <c r="HN281" i="1"/>
  <c r="GY281" i="1"/>
  <c r="HM281" i="1"/>
  <c r="CB283" i="5" l="1"/>
  <c r="BN283" i="5"/>
  <c r="CC283" i="5"/>
  <c r="BO283" i="5"/>
  <c r="CE283" i="5" s="1"/>
  <c r="HA281" i="1"/>
  <c r="HO281" i="1"/>
  <c r="HB281" i="1"/>
  <c r="HP281" i="1"/>
  <c r="CD283" i="5" l="1"/>
  <c r="AE283" i="5" a="1"/>
  <c r="AE283" i="5" s="1"/>
  <c r="AC284" i="5" s="1"/>
  <c r="AJ283" i="5" a="1"/>
  <c r="AJ283" i="5" s="1"/>
  <c r="AH284" i="5" s="1"/>
  <c r="HR281" i="1"/>
  <c r="HQ281" i="1"/>
  <c r="AD284" i="5" l="1" a="1"/>
  <c r="AD284" i="5" s="1"/>
  <c r="CJ284" i="5"/>
  <c r="CI284" i="5"/>
  <c r="CH284" i="5"/>
  <c r="CG284" i="5"/>
  <c r="CF284" i="5"/>
  <c r="AI284" i="5" a="1"/>
  <c r="AI284" i="5" s="1"/>
  <c r="CK284" i="5"/>
  <c r="Z281" i="1" a="1"/>
  <c r="Z281" i="1" s="1"/>
  <c r="AJ281" i="1" a="1"/>
  <c r="AJ281" i="1" s="1"/>
  <c r="AE281" i="1" a="1"/>
  <c r="AE281" i="1" s="1"/>
  <c r="AG284" i="5" l="1"/>
  <c r="AF284" i="5"/>
  <c r="AH282" i="1"/>
  <c r="AC282" i="1"/>
  <c r="BF284" i="5" l="1"/>
  <c r="BT284" i="5"/>
  <c r="BG284" i="5"/>
  <c r="BU284" i="5"/>
  <c r="AI282" i="1" a="1"/>
  <c r="AI282" i="1" s="1"/>
  <c r="AI283" i="1" a="1"/>
  <c r="AI283" i="1" s="1"/>
  <c r="CE282" i="1"/>
  <c r="CD282" i="1"/>
  <c r="AD282" i="1" a="1"/>
  <c r="AD282" i="1" s="1"/>
  <c r="AK283" i="1" l="1"/>
  <c r="BP283" i="1" s="1"/>
  <c r="BR283" i="1" s="1"/>
  <c r="AL283" i="1"/>
  <c r="BQ283" i="1" s="1"/>
  <c r="BS283" i="1" s="1"/>
  <c r="AL282" i="1"/>
  <c r="BQ282" i="1" s="1"/>
  <c r="BS282" i="1" s="1"/>
  <c r="AK282" i="1"/>
  <c r="BP282" i="1" s="1"/>
  <c r="BR282" i="1" s="1"/>
  <c r="BI284" i="5"/>
  <c r="BW284" i="5"/>
  <c r="BH284" i="5"/>
  <c r="BV284" i="5"/>
  <c r="AG282" i="1"/>
  <c r="AF282" i="1"/>
  <c r="CF282" i="1" l="1"/>
  <c r="CG283" i="1"/>
  <c r="CF283" i="1"/>
  <c r="BJ284" i="5"/>
  <c r="BX284" i="5"/>
  <c r="BK284" i="5"/>
  <c r="BY284" i="5"/>
  <c r="BF282" i="1"/>
  <c r="BT282" i="1"/>
  <c r="BG282" i="1"/>
  <c r="BU282" i="1"/>
  <c r="CJ283" i="1" l="1"/>
  <c r="CH283" i="1"/>
  <c r="CK283" i="1"/>
  <c r="CI283" i="1"/>
  <c r="BM284" i="5"/>
  <c r="CA284" i="5"/>
  <c r="BL284" i="5"/>
  <c r="BZ284" i="5"/>
  <c r="CH282" i="1"/>
  <c r="CJ282" i="1"/>
  <c r="BI282" i="1"/>
  <c r="BW282" i="1"/>
  <c r="BH282" i="1"/>
  <c r="BV282" i="1"/>
  <c r="CG282" i="1" l="1"/>
  <c r="BN284" i="5"/>
  <c r="CB284" i="5"/>
  <c r="BO284" i="5"/>
  <c r="CE284" i="5" s="1"/>
  <c r="CC284" i="5"/>
  <c r="BJ282" i="1"/>
  <c r="BX282" i="1"/>
  <c r="BK282" i="1"/>
  <c r="BY282" i="1"/>
  <c r="CK282" i="1" l="1"/>
  <c r="CI282" i="1"/>
  <c r="CD284" i="5"/>
  <c r="AJ284" i="5" a="1"/>
  <c r="AJ284" i="5" s="1"/>
  <c r="AH285" i="5" s="1"/>
  <c r="AE284" i="5" a="1"/>
  <c r="AE284" i="5" s="1"/>
  <c r="AC285" i="5" s="1"/>
  <c r="BM282" i="1"/>
  <c r="CC282" i="1" s="1"/>
  <c r="CA282" i="1"/>
  <c r="BL282" i="1"/>
  <c r="CB282" i="1" s="1"/>
  <c r="BZ282" i="1"/>
  <c r="AE282" i="1" a="1"/>
  <c r="AE282" i="1" s="1"/>
  <c r="AJ282" i="1" a="1"/>
  <c r="AJ282" i="1" s="1"/>
  <c r="AD285" i="5" l="1" a="1"/>
  <c r="AD285" i="5" s="1"/>
  <c r="AD286" i="5" a="1"/>
  <c r="AD286" i="5" s="1"/>
  <c r="CK285" i="5"/>
  <c r="AI285" i="5" a="1"/>
  <c r="AI285" i="5" s="1"/>
  <c r="CJ285" i="5"/>
  <c r="CH285" i="5"/>
  <c r="CG285" i="5"/>
  <c r="CF285" i="5"/>
  <c r="CI285" i="5"/>
  <c r="AD283" i="1" a="1"/>
  <c r="AD283" i="1" s="1"/>
  <c r="AF285" i="5" l="1"/>
  <c r="AG285" i="5"/>
  <c r="AG286" i="5"/>
  <c r="AF286" i="5"/>
  <c r="LX286" i="5" s="1"/>
  <c r="AE286" i="5" s="1" a="1"/>
  <c r="AE286" i="5" s="1"/>
  <c r="AC287" i="5" s="1"/>
  <c r="AF283" i="1"/>
  <c r="AG283" i="1"/>
  <c r="AD287" i="5" l="1" a="1"/>
  <c r="AD287" i="5" s="1"/>
  <c r="BG285" i="5"/>
  <c r="BU285" i="5"/>
  <c r="BF285" i="5"/>
  <c r="BT285" i="5"/>
  <c r="BG283" i="1"/>
  <c r="BU283" i="1"/>
  <c r="BF283" i="1"/>
  <c r="BT283" i="1"/>
  <c r="BH285" i="5" l="1"/>
  <c r="BV285" i="5"/>
  <c r="BI285" i="5"/>
  <c r="BW285" i="5"/>
  <c r="AG287" i="5"/>
  <c r="AF287" i="5"/>
  <c r="LX287" i="5" s="1"/>
  <c r="AE287" i="5" s="1" a="1"/>
  <c r="AE287" i="5" s="1"/>
  <c r="AC288" i="5" s="1"/>
  <c r="BH283" i="1"/>
  <c r="BV283" i="1"/>
  <c r="BI283" i="1"/>
  <c r="BW283" i="1"/>
  <c r="AD288" i="5" l="1" a="1"/>
  <c r="AD288" i="5" s="1"/>
  <c r="BK285" i="5"/>
  <c r="BY285" i="5"/>
  <c r="BJ285" i="5"/>
  <c r="BX285" i="5"/>
  <c r="BK283" i="1"/>
  <c r="BY283" i="1"/>
  <c r="BJ283" i="1"/>
  <c r="BX283" i="1"/>
  <c r="BL285" i="5" l="1"/>
  <c r="BZ285" i="5"/>
  <c r="BM285" i="5"/>
  <c r="CA285" i="5"/>
  <c r="AG288" i="5"/>
  <c r="AF288" i="5"/>
  <c r="LX288" i="5" s="1"/>
  <c r="AE288" i="5" s="1" a="1"/>
  <c r="AE288" i="5" s="1"/>
  <c r="AC289" i="5" s="1"/>
  <c r="BL283" i="1"/>
  <c r="BZ283" i="1"/>
  <c r="BM283" i="1"/>
  <c r="CA283" i="1"/>
  <c r="AD289" i="5" l="1" a="1"/>
  <c r="AD289" i="5" s="1"/>
  <c r="BO285" i="5"/>
  <c r="CE285" i="5" s="1"/>
  <c r="CC285" i="5"/>
  <c r="BN285" i="5"/>
  <c r="CB285" i="5"/>
  <c r="BO283" i="1"/>
  <c r="CE283" i="1" s="1"/>
  <c r="CC283" i="1"/>
  <c r="BN283" i="1"/>
  <c r="CB283" i="1"/>
  <c r="AG289" i="5" l="1"/>
  <c r="AF289" i="5"/>
  <c r="LX289" i="5" s="1"/>
  <c r="AE289" i="5" s="1" a="1"/>
  <c r="AE289" i="5" s="1"/>
  <c r="AC290" i="5" s="1"/>
  <c r="CD285" i="5"/>
  <c r="AE285" i="5" a="1"/>
  <c r="AE285" i="5" s="1"/>
  <c r="AJ285" i="5" a="1"/>
  <c r="AJ285" i="5" s="1"/>
  <c r="AJ283" i="1" a="1"/>
  <c r="AJ283" i="1" s="1"/>
  <c r="AH284" i="1" s="1"/>
  <c r="CD283" i="1"/>
  <c r="AE283" i="1" a="1"/>
  <c r="AE283" i="1" s="1"/>
  <c r="AC284" i="1" s="1"/>
  <c r="AD290" i="5" l="1" a="1"/>
  <c r="AD290" i="5" s="1"/>
  <c r="AI284" i="1" a="1"/>
  <c r="AI284" i="1" s="1"/>
  <c r="AD284" i="1" a="1"/>
  <c r="AD284" i="1" s="1"/>
  <c r="AK284" i="1" l="1"/>
  <c r="BP284" i="1" s="1"/>
  <c r="BR284" i="1" s="1"/>
  <c r="AL284" i="1"/>
  <c r="BQ284" i="1" s="1"/>
  <c r="BS284" i="1" s="1"/>
  <c r="AG290" i="5"/>
  <c r="AF290" i="5"/>
  <c r="LX290" i="5" s="1"/>
  <c r="AE290" i="5" s="1" a="1"/>
  <c r="AE290" i="5" s="1"/>
  <c r="AC291" i="5" s="1"/>
  <c r="AF284" i="1"/>
  <c r="AG284" i="1"/>
  <c r="CG284" i="1" l="1"/>
  <c r="CF284" i="1"/>
  <c r="AD291" i="5" a="1"/>
  <c r="AD291" i="5" s="1"/>
  <c r="BG284" i="1"/>
  <c r="BU284" i="1"/>
  <c r="BF284" i="1"/>
  <c r="BT284" i="1"/>
  <c r="CJ284" i="1" l="1"/>
  <c r="CH284" i="1"/>
  <c r="CK284" i="1"/>
  <c r="CI284" i="1"/>
  <c r="AG291" i="5"/>
  <c r="AF291" i="5"/>
  <c r="LX291" i="5" s="1"/>
  <c r="AE291" i="5" s="1" a="1"/>
  <c r="AE291" i="5" s="1"/>
  <c r="AC292" i="5" s="1"/>
  <c r="BH284" i="1"/>
  <c r="BV284" i="1"/>
  <c r="BI284" i="1"/>
  <c r="BW284" i="1"/>
  <c r="AD292" i="5" l="1" a="1"/>
  <c r="AD292" i="5" s="1"/>
  <c r="BK284" i="1"/>
  <c r="BY284" i="1"/>
  <c r="BJ284" i="1"/>
  <c r="BX284" i="1"/>
  <c r="AG292" i="5" l="1"/>
  <c r="AF292" i="5"/>
  <c r="LX292" i="5" s="1"/>
  <c r="AE292" i="5" s="1" a="1"/>
  <c r="AE292" i="5" s="1"/>
  <c r="AC293" i="5" s="1"/>
  <c r="BL284" i="1"/>
  <c r="BZ284" i="1"/>
  <c r="BM284" i="1"/>
  <c r="CA284" i="1"/>
  <c r="AD293" i="5" l="1" a="1"/>
  <c r="AD293" i="5" s="1"/>
  <c r="BO284" i="1"/>
  <c r="CE284" i="1" s="1"/>
  <c r="CC284" i="1"/>
  <c r="BN284" i="1"/>
  <c r="CB284" i="1"/>
  <c r="AG293" i="5" l="1"/>
  <c r="AF293" i="5"/>
  <c r="LX293" i="5" s="1"/>
  <c r="AE293" i="5" s="1" a="1"/>
  <c r="AE293" i="5" s="1"/>
  <c r="AC294" i="5" s="1"/>
  <c r="CD284" i="1"/>
  <c r="AJ284" i="1" a="1"/>
  <c r="AJ284" i="1" s="1"/>
  <c r="AH285" i="1" s="1"/>
  <c r="AE284" i="1" a="1"/>
  <c r="AE284" i="1" s="1"/>
  <c r="AC285" i="1" s="1"/>
  <c r="AD286" i="1" s="1" a="1"/>
  <c r="AD286" i="1" s="1"/>
  <c r="AD294" i="5" l="1" a="1"/>
  <c r="AD294" i="5" s="1"/>
  <c r="AF286" i="1"/>
  <c r="LY286" i="1" s="1"/>
  <c r="AE286" i="1" s="1" a="1"/>
  <c r="AE286" i="1" s="1"/>
  <c r="AC287" i="1" s="1"/>
  <c r="AG286" i="1"/>
  <c r="AI285" i="1" a="1"/>
  <c r="AI285" i="1" s="1"/>
  <c r="AD285" i="1" a="1"/>
  <c r="AD285" i="1" s="1"/>
  <c r="AK285" i="1" l="1"/>
  <c r="BP285" i="1" s="1"/>
  <c r="BR285" i="1" s="1"/>
  <c r="AL285" i="1"/>
  <c r="BQ285" i="1" s="1"/>
  <c r="BS285" i="1" s="1"/>
  <c r="AG294" i="5"/>
  <c r="AF294" i="5"/>
  <c r="LX294" i="5" s="1"/>
  <c r="AE294" i="5" s="1" a="1"/>
  <c r="AE294" i="5" s="1"/>
  <c r="AD287" i="1" a="1"/>
  <c r="AD287" i="1" s="1"/>
  <c r="AF285" i="1"/>
  <c r="AG285" i="1"/>
  <c r="CG285" i="1" l="1"/>
  <c r="CF285" i="1"/>
  <c r="HX327" i="1"/>
  <c r="HV327" i="1"/>
  <c r="HU327" i="1"/>
  <c r="HW327" i="1"/>
  <c r="AF287" i="1"/>
  <c r="AG287" i="1"/>
  <c r="BG285" i="1"/>
  <c r="BU285" i="1"/>
  <c r="BF285" i="1"/>
  <c r="BT285" i="1"/>
  <c r="CJ285" i="1" l="1"/>
  <c r="CH285" i="1"/>
  <c r="CK285" i="1"/>
  <c r="CI285" i="1"/>
  <c r="AE287" i="1" a="1"/>
  <c r="AE287" i="1" s="1"/>
  <c r="AC288" i="1" s="1"/>
  <c r="LY287" i="1"/>
  <c r="BH285" i="1"/>
  <c r="BV285" i="1"/>
  <c r="BI285" i="1"/>
  <c r="BW285" i="1"/>
  <c r="AD288" i="1" l="1" a="1"/>
  <c r="AD288" i="1" s="1"/>
  <c r="AF288" i="1" s="1"/>
  <c r="LY288" i="1" s="1"/>
  <c r="AE288" i="1" s="1" a="1"/>
  <c r="AE288" i="1" s="1"/>
  <c r="BK285" i="1"/>
  <c r="BY285" i="1"/>
  <c r="BJ285" i="1"/>
  <c r="BX285" i="1"/>
  <c r="AG288" i="1" l="1"/>
  <c r="AC289" i="1"/>
  <c r="BL285" i="1"/>
  <c r="BZ285" i="1"/>
  <c r="BM285" i="1"/>
  <c r="CA285" i="1"/>
  <c r="AD289" i="1" l="1" a="1"/>
  <c r="AD289" i="1" s="1"/>
  <c r="BO285" i="1"/>
  <c r="CE285" i="1" s="1"/>
  <c r="CC285" i="1"/>
  <c r="BN285" i="1"/>
  <c r="CB285" i="1"/>
  <c r="AF289" i="1" l="1"/>
  <c r="LY289" i="1" s="1"/>
  <c r="AE289" i="1" s="1" a="1"/>
  <c r="AE289" i="1" s="1"/>
  <c r="AC290" i="1" s="1"/>
  <c r="AG289" i="1"/>
  <c r="CD285" i="1"/>
  <c r="AE285" i="1" a="1"/>
  <c r="AE285" i="1" s="1"/>
  <c r="AJ285" i="1" a="1"/>
  <c r="AJ285" i="1" s="1"/>
  <c r="AD290" i="1" l="1" a="1"/>
  <c r="AD290" i="1" s="1"/>
  <c r="AF290" i="1" l="1"/>
  <c r="LY290" i="1" s="1"/>
  <c r="AE290" i="1" s="1" a="1"/>
  <c r="AE290" i="1" s="1"/>
  <c r="AC291" i="1" s="1"/>
  <c r="AG290" i="1"/>
  <c r="AD291" i="1" l="1" a="1"/>
  <c r="AD291" i="1" s="1"/>
  <c r="AF291" i="1" l="1"/>
  <c r="LY291" i="1" s="1"/>
  <c r="AE291" i="1" s="1" a="1"/>
  <c r="AE291" i="1" s="1"/>
  <c r="AC292" i="1" s="1"/>
  <c r="AG291" i="1"/>
  <c r="AD292" i="1" l="1" a="1"/>
  <c r="AD292" i="1" s="1"/>
  <c r="AF292" i="1" l="1"/>
  <c r="LY292" i="1" s="1"/>
  <c r="AE292" i="1" s="1" a="1"/>
  <c r="AE292" i="1" s="1"/>
  <c r="AC293" i="1" s="1"/>
  <c r="AG292" i="1"/>
  <c r="AD293" i="1" l="1" a="1"/>
  <c r="AD293" i="1" s="1"/>
  <c r="AG293" i="1" l="1"/>
  <c r="AF293" i="1"/>
  <c r="LY293" i="1" s="1"/>
  <c r="AE293" i="1" s="1" a="1"/>
  <c r="AE293" i="1" s="1"/>
  <c r="AC294" i="1" s="1"/>
  <c r="AG318" i="1" l="1"/>
  <c r="AD294" i="1" a="1"/>
  <c r="AD294" i="1" s="1"/>
  <c r="UN318" i="1" l="1"/>
  <c r="UM318" i="1"/>
  <c r="UQ318" i="1" s="1"/>
  <c r="AF318" i="1"/>
  <c r="AF294" i="1"/>
  <c r="LY294" i="1" s="1"/>
  <c r="AE294" i="1" s="1" a="1"/>
  <c r="AE294" i="1" s="1"/>
  <c r="AD295" i="1" s="1" a="1"/>
  <c r="AD295" i="1" s="1"/>
  <c r="AG294" i="1"/>
  <c r="AG295" i="1" l="1"/>
  <c r="AF295" i="1"/>
  <c r="LY295" i="1" s="1"/>
  <c r="AE295" i="1" s="1" a="1"/>
  <c r="AE295" i="1" s="1"/>
  <c r="AC296" i="1" s="1"/>
  <c r="UO318" i="1"/>
  <c r="UL318" i="1"/>
  <c r="AD296" i="1" l="1" a="1"/>
  <c r="AD296" i="1" s="1"/>
  <c r="UP318" i="1"/>
  <c r="AE318" i="1" s="1" a="1"/>
  <c r="AE318" i="1" s="1"/>
  <c r="AG296" i="1" l="1"/>
  <c r="AF296" i="1"/>
  <c r="LY296" i="1" s="1"/>
  <c r="AE296" i="1" s="1" a="1"/>
  <c r="AE296" i="1" s="1"/>
  <c r="AC297" i="1" s="1"/>
  <c r="AD297" i="1" l="1" a="1"/>
  <c r="AD297" i="1" s="1"/>
  <c r="AF297" i="1" l="1"/>
  <c r="LY297" i="1" s="1"/>
  <c r="AE297" i="1" s="1" a="1"/>
  <c r="AE297" i="1" s="1"/>
  <c r="AC298" i="1" s="1"/>
  <c r="AG297" i="1"/>
  <c r="AD298" i="1" l="1" a="1"/>
  <c r="AD298" i="1" s="1"/>
  <c r="AG298" i="1" l="1"/>
  <c r="AF298" i="1"/>
  <c r="LY298" i="1" s="1"/>
  <c r="AE298" i="1" s="1" a="1"/>
  <c r="AE298" i="1" s="1"/>
  <c r="AC299" i="1" s="1"/>
  <c r="AD299" i="1" l="1" a="1"/>
  <c r="AD299" i="1" s="1"/>
  <c r="AF299" i="1" l="1"/>
  <c r="LY299" i="1" s="1"/>
  <c r="AE299" i="1" s="1" a="1"/>
  <c r="AE299" i="1" s="1"/>
  <c r="AC300" i="1" s="1"/>
  <c r="AG299" i="1"/>
  <c r="AA341" i="1" l="1"/>
  <c r="KC341" i="1" s="1"/>
  <c r="Z341" i="1" s="1" a="1"/>
  <c r="Z341" i="1" s="1"/>
  <c r="Y342" i="1" s="1" a="1"/>
  <c r="Y342" i="1" s="1"/>
  <c r="AB341" i="1"/>
  <c r="KD341" i="1" s="1"/>
  <c r="AA342" i="1" l="1"/>
  <c r="KC342" i="1" s="1"/>
  <c r="Z342" i="1" s="1" a="1"/>
  <c r="Z342" i="1" s="1"/>
  <c r="Y343" i="1" s="1" a="1"/>
  <c r="Y343" i="1" s="1"/>
  <c r="AB342" i="1"/>
  <c r="KD342" i="1" s="1"/>
  <c r="AD300" i="1" l="1" a="1"/>
  <c r="AD300" i="1" s="1"/>
  <c r="AB343" i="1"/>
  <c r="KD343" i="1" s="1"/>
  <c r="AA343" i="1"/>
  <c r="KC343" i="1" s="1"/>
  <c r="Z343" i="1" s="1" a="1"/>
  <c r="Z343" i="1" s="1"/>
  <c r="Y344" i="1" s="1" a="1"/>
  <c r="Y344" i="1" s="1"/>
  <c r="AF300" i="1" l="1"/>
  <c r="AG300" i="1"/>
  <c r="AA344" i="1"/>
  <c r="KC344" i="1" s="1"/>
  <c r="Z344" i="1" s="1" a="1"/>
  <c r="Z344" i="1" s="1"/>
  <c r="Y345" i="1" s="1" a="1"/>
  <c r="Y345" i="1" s="1"/>
  <c r="AB344" i="1"/>
  <c r="KD344" i="1" s="1"/>
  <c r="AE300" i="1" l="1" a="1"/>
  <c r="AE300" i="1" s="1"/>
  <c r="AD301" i="1" s="1" a="1"/>
  <c r="AD301" i="1" s="1"/>
  <c r="LY300" i="1"/>
  <c r="AB345" i="1"/>
  <c r="KD345" i="1" s="1"/>
  <c r="AA345" i="1"/>
  <c r="KC345" i="1" s="1"/>
  <c r="Z345" i="1" s="1" a="1"/>
  <c r="Z345" i="1" s="1"/>
  <c r="Y346" i="1" s="1" a="1"/>
  <c r="Y346" i="1" s="1"/>
  <c r="AG301" i="1" l="1"/>
  <c r="AF301" i="1"/>
  <c r="LY301" i="1" s="1"/>
  <c r="AE301" i="1" s="1" a="1"/>
  <c r="AE301" i="1" s="1"/>
  <c r="AC302" i="1" s="1"/>
  <c r="AB346" i="1"/>
  <c r="KD346" i="1" s="1"/>
  <c r="AA346" i="1"/>
  <c r="KC346" i="1" s="1"/>
  <c r="Z346" i="1" s="1" a="1"/>
  <c r="Z346" i="1" s="1"/>
  <c r="AD302" i="1" l="1" a="1"/>
  <c r="AD302" i="1" s="1"/>
  <c r="AB379" i="1"/>
  <c r="KD379" i="1" s="1"/>
  <c r="AA379" i="1"/>
  <c r="KC379" i="1" s="1"/>
  <c r="Z379" i="1" s="1" a="1"/>
  <c r="Z379" i="1" s="1"/>
  <c r="Y380" i="1" s="1" a="1"/>
  <c r="Y380" i="1" s="1"/>
  <c r="AF302" i="1" l="1"/>
  <c r="LY302" i="1" s="1"/>
  <c r="AE302" i="1" s="1" a="1"/>
  <c r="AE302" i="1" s="1"/>
  <c r="AC303" i="1" s="1"/>
  <c r="AG302" i="1"/>
  <c r="AB380" i="1"/>
  <c r="KD380" i="1" s="1"/>
  <c r="AA380" i="1"/>
  <c r="KC380" i="1" s="1"/>
  <c r="AD303" i="1" l="1" a="1"/>
  <c r="AD303" i="1" s="1"/>
  <c r="Z380" i="1" a="1"/>
  <c r="Z380" i="1" s="1"/>
  <c r="Y381" i="1" s="1" a="1"/>
  <c r="Y381" i="1" s="1"/>
  <c r="AA381" i="1" s="1"/>
  <c r="KC381" i="1" s="1"/>
  <c r="AG303" i="1" l="1"/>
  <c r="AF303" i="1"/>
  <c r="LY303" i="1" s="1"/>
  <c r="AE303" i="1" s="1" a="1"/>
  <c r="AE303" i="1" s="1"/>
  <c r="AC304" i="1" s="1"/>
  <c r="Z381" i="1" a="1"/>
  <c r="Z381" i="1" s="1"/>
  <c r="Y382" i="1" s="1" a="1"/>
  <c r="Y382" i="1" s="1"/>
  <c r="AA382" i="1" s="1"/>
  <c r="KC382" i="1" s="1"/>
  <c r="AB381" i="1"/>
  <c r="KD381" i="1" s="1"/>
  <c r="AD304" i="1" l="1" a="1"/>
  <c r="AD304" i="1" s="1"/>
  <c r="Z382" i="1" a="1"/>
  <c r="Z382" i="1" s="1"/>
  <c r="Y383" i="1" s="1" a="1"/>
  <c r="Y383" i="1" s="1"/>
  <c r="AA383" i="1" s="1"/>
  <c r="KC383" i="1" s="1"/>
  <c r="AB382" i="1"/>
  <c r="KD382" i="1" s="1"/>
  <c r="AF304" i="1" l="1"/>
  <c r="LY304" i="1" s="1"/>
  <c r="AE304" i="1" s="1" a="1"/>
  <c r="AE304" i="1" s="1"/>
  <c r="AC305" i="1" s="1"/>
  <c r="AG304" i="1"/>
  <c r="Z383" i="1" a="1"/>
  <c r="Z383" i="1" s="1"/>
  <c r="Y384" i="1" s="1" a="1"/>
  <c r="Y384" i="1" s="1"/>
  <c r="AA384" i="1" s="1"/>
  <c r="KC384" i="1" s="1"/>
  <c r="AB383" i="1"/>
  <c r="KD383" i="1" s="1"/>
  <c r="AD305" i="1" l="1" a="1"/>
  <c r="AD305" i="1" s="1"/>
  <c r="Z384" i="1" a="1"/>
  <c r="Z384" i="1" s="1"/>
  <c r="Y385" i="1" s="1" a="1"/>
  <c r="Y385" i="1" s="1"/>
  <c r="AB385" i="1" s="1"/>
  <c r="KD385" i="1" s="1"/>
  <c r="AB384" i="1"/>
  <c r="KD384" i="1" s="1"/>
  <c r="AG332" i="1"/>
  <c r="AF332" i="1"/>
  <c r="LY332" i="1" s="1"/>
  <c r="AE332" i="1" s="1" a="1"/>
  <c r="AE332" i="1" s="1"/>
  <c r="AC333" i="1" s="1"/>
  <c r="AG305" i="1" l="1"/>
  <c r="AF305" i="1"/>
  <c r="LY305" i="1" s="1"/>
  <c r="AE305" i="1" s="1" a="1"/>
  <c r="AE305" i="1" s="1"/>
  <c r="AC306" i="1" s="1"/>
  <c r="AA385" i="1"/>
  <c r="KC385" i="1" s="1"/>
  <c r="Z385" i="1" s="1" a="1"/>
  <c r="Z385" i="1" s="1"/>
  <c r="Y386" i="1" s="1" a="1"/>
  <c r="Y386" i="1" s="1"/>
  <c r="AB386" i="1" s="1"/>
  <c r="KD386" i="1" s="1"/>
  <c r="AD306" i="1" l="1" a="1"/>
  <c r="AD306" i="1" s="1"/>
  <c r="AD325" i="1" a="1"/>
  <c r="AD325" i="1" s="1"/>
  <c r="AA386" i="1"/>
  <c r="KC386" i="1" s="1"/>
  <c r="Z386" i="1" s="1" a="1"/>
  <c r="Z386" i="1" s="1"/>
  <c r="Y387" i="1" s="1" a="1"/>
  <c r="Y387" i="1" s="1"/>
  <c r="AF325" i="1" l="1"/>
  <c r="AG325" i="1"/>
  <c r="AF306" i="1"/>
  <c r="LY306" i="1" s="1"/>
  <c r="AE306" i="1" s="1" a="1"/>
  <c r="AE306" i="1" s="1"/>
  <c r="AG306" i="1"/>
  <c r="UN325" i="1" l="1"/>
  <c r="UM325" i="1"/>
  <c r="UQ325" i="1" s="1"/>
  <c r="UL325" i="1"/>
  <c r="UO325" i="1"/>
  <c r="UP325" i="1" l="1"/>
  <c r="AE325" i="1" a="1"/>
  <c r="AE325" i="1" s="1"/>
  <c r="AC326" i="1" s="1"/>
  <c r="AD326" i="1" s="1" a="1"/>
  <c r="AD326" i="1" s="1"/>
  <c r="AF326" i="1" l="1"/>
  <c r="LZ326" i="1" s="1"/>
  <c r="AG326" i="1"/>
  <c r="LY326" i="1" s="1"/>
  <c r="AE326" i="1" s="1" a="1"/>
  <c r="AE326" i="1" s="1"/>
  <c r="AC327" i="1" s="1"/>
  <c r="AD327" i="1" l="1" a="1"/>
  <c r="AD327" i="1" s="1"/>
  <c r="AF327" i="1" l="1"/>
  <c r="AG327" i="1"/>
  <c r="GV327" i="1" l="1"/>
  <c r="HL327" i="1" s="1"/>
  <c r="HJ327" i="1"/>
  <c r="GU327" i="1"/>
  <c r="HI327" i="1"/>
  <c r="AJ327" i="1" l="1" a="1"/>
  <c r="AJ327" i="1" s="1"/>
  <c r="AH328" i="1" s="1"/>
  <c r="Z327" i="1" a="1"/>
  <c r="Z327" i="1" s="1"/>
  <c r="Y328" i="1" s="1" a="1"/>
  <c r="Y328" i="1" s="1"/>
  <c r="AE327" i="1" a="1"/>
  <c r="AE327" i="1" s="1"/>
  <c r="AC328" i="1" s="1"/>
  <c r="HK327" i="1"/>
  <c r="AD328" i="1" l="1" a="1"/>
  <c r="AD328" i="1" s="1"/>
  <c r="AA328" i="1"/>
  <c r="AB328" i="1"/>
  <c r="AI328" i="1" a="1"/>
  <c r="AI328" i="1" s="1"/>
  <c r="AK328" i="1" l="1"/>
  <c r="AL328" i="1"/>
  <c r="AG328" i="1"/>
  <c r="AF328" i="1"/>
  <c r="GU328" i="1" l="1"/>
  <c r="HI328" i="1"/>
  <c r="HF328" i="1"/>
  <c r="HX328" i="1" s="1"/>
  <c r="HV328" i="1"/>
  <c r="GV328" i="1"/>
  <c r="HL328" i="1" s="1"/>
  <c r="HJ328" i="1"/>
  <c r="HE328" i="1"/>
  <c r="HW328" i="1" s="1"/>
  <c r="HU328" i="1"/>
  <c r="AJ328" i="1" l="1" a="1"/>
  <c r="AJ328" i="1" s="1"/>
  <c r="AH329" i="1" s="1"/>
  <c r="Z328" i="1" a="1"/>
  <c r="Z328" i="1" s="1"/>
  <c r="AE328" i="1" a="1"/>
  <c r="AE328" i="1" s="1"/>
  <c r="AC329" i="1" s="1"/>
  <c r="HK328" i="1"/>
  <c r="AD329" i="1" l="1" a="1"/>
  <c r="AD329" i="1" s="1"/>
  <c r="AI329" i="1" a="1"/>
  <c r="AI329" i="1" s="1"/>
  <c r="AD352" i="1" a="1"/>
  <c r="AD352" i="1" s="1"/>
  <c r="AG352" i="1" s="1"/>
  <c r="AK329" i="1" l="1"/>
  <c r="AL329" i="1"/>
  <c r="AF329" i="1"/>
  <c r="AG329" i="1"/>
  <c r="BG352" i="1"/>
  <c r="BU352" i="1"/>
  <c r="AF352" i="1"/>
  <c r="BG329" i="1" l="1"/>
  <c r="BU329" i="1"/>
  <c r="BF329" i="1"/>
  <c r="BT329" i="1"/>
  <c r="BQ329" i="1"/>
  <c r="CG329" i="1"/>
  <c r="BP329" i="1"/>
  <c r="CF329" i="1"/>
  <c r="BF352" i="1"/>
  <c r="BT352" i="1"/>
  <c r="BI352" i="1"/>
  <c r="BW352" i="1"/>
  <c r="BS329" i="1" l="1"/>
  <c r="CK329" i="1" s="1"/>
  <c r="CI329" i="1"/>
  <c r="BH329" i="1"/>
  <c r="BV329" i="1"/>
  <c r="BR329" i="1"/>
  <c r="CJ329" i="1" s="1"/>
  <c r="CH329" i="1"/>
  <c r="BI329" i="1"/>
  <c r="BW329" i="1"/>
  <c r="BK352" i="1"/>
  <c r="CA352" i="1" s="1"/>
  <c r="BY352" i="1"/>
  <c r="BH352" i="1"/>
  <c r="BV352" i="1"/>
  <c r="BJ329" i="1" l="1"/>
  <c r="BX329" i="1"/>
  <c r="BK329" i="1"/>
  <c r="CA329" i="1" s="1"/>
  <c r="BY329" i="1"/>
  <c r="BX352" i="1"/>
  <c r="BJ352" i="1"/>
  <c r="BZ352" i="1" s="1"/>
  <c r="AJ352" i="1" a="1"/>
  <c r="AJ352" i="1" s="1"/>
  <c r="AH353" i="1" s="1"/>
  <c r="AI353" i="1" s="1" a="1"/>
  <c r="AI353" i="1" s="1"/>
  <c r="AL353" i="1" s="1"/>
  <c r="AE352" i="1" a="1"/>
  <c r="AE352" i="1" s="1"/>
  <c r="AC353" i="1" s="1"/>
  <c r="BZ329" i="1" l="1"/>
  <c r="AE329" i="1" a="1"/>
  <c r="AE329" i="1" s="1"/>
  <c r="AC330" i="1" s="1"/>
  <c r="AJ329" i="1" a="1"/>
  <c r="AJ329" i="1" s="1"/>
  <c r="AH330" i="1" s="1"/>
  <c r="AK353" i="1"/>
  <c r="BP353" i="1" s="1"/>
  <c r="CD353" i="1"/>
  <c r="CC353" i="1"/>
  <c r="CE353" i="1"/>
  <c r="CB353" i="1"/>
  <c r="AD353" i="1" a="1"/>
  <c r="AD353" i="1" s="1"/>
  <c r="BQ353" i="1"/>
  <c r="CG353" i="1"/>
  <c r="AI330" i="1" l="1" a="1"/>
  <c r="AI330" i="1" s="1"/>
  <c r="AD330" i="1" a="1"/>
  <c r="AD330" i="1" s="1"/>
  <c r="CF353" i="1"/>
  <c r="AF353" i="1"/>
  <c r="AG353" i="1"/>
  <c r="BR353" i="1"/>
  <c r="CJ353" i="1" s="1"/>
  <c r="CH353" i="1"/>
  <c r="BS353" i="1"/>
  <c r="CK353" i="1" s="1"/>
  <c r="CI353" i="1"/>
  <c r="AF330" i="1" l="1"/>
  <c r="AG330" i="1"/>
  <c r="AK330" i="1"/>
  <c r="AL330" i="1"/>
  <c r="BU353" i="1"/>
  <c r="BG353" i="1"/>
  <c r="BF353" i="1"/>
  <c r="BT353" i="1"/>
  <c r="BQ330" i="1" l="1"/>
  <c r="CG330" i="1"/>
  <c r="BG330" i="1"/>
  <c r="BU330" i="1"/>
  <c r="BP330" i="1"/>
  <c r="CF330" i="1"/>
  <c r="BF330" i="1"/>
  <c r="BT330" i="1"/>
  <c r="BI353" i="1"/>
  <c r="BW353" i="1"/>
  <c r="BH353" i="1"/>
  <c r="BV353" i="1"/>
  <c r="BR330" i="1" l="1"/>
  <c r="CJ330" i="1" s="1"/>
  <c r="CH330" i="1"/>
  <c r="BH330" i="1"/>
  <c r="BV330" i="1"/>
  <c r="BI330" i="1"/>
  <c r="BW330" i="1"/>
  <c r="BS330" i="1"/>
  <c r="CK330" i="1" s="1"/>
  <c r="CI330" i="1"/>
  <c r="BJ353" i="1"/>
  <c r="BZ353" i="1" s="1"/>
  <c r="AJ353" i="1" a="1"/>
  <c r="AJ353" i="1" s="1"/>
  <c r="AH354" i="1" s="1"/>
  <c r="BX353" i="1"/>
  <c r="AE353" i="1" a="1"/>
  <c r="AE353" i="1" s="1"/>
  <c r="AC354" i="1" s="1"/>
  <c r="BK353" i="1"/>
  <c r="CA353" i="1" s="1"/>
  <c r="BY353" i="1"/>
  <c r="BK330" i="1" l="1"/>
  <c r="CA330" i="1" s="1"/>
  <c r="BY330" i="1"/>
  <c r="BJ330" i="1"/>
  <c r="BX330" i="1"/>
  <c r="AD354" i="1" a="1"/>
  <c r="AD354" i="1" s="1"/>
  <c r="CE354" i="1"/>
  <c r="CB354" i="1"/>
  <c r="CC354" i="1"/>
  <c r="CD354" i="1"/>
  <c r="AI354" i="1" a="1"/>
  <c r="AI354" i="1" s="1"/>
  <c r="BZ330" i="1" l="1"/>
  <c r="AJ330" i="1" a="1"/>
  <c r="AJ330" i="1" s="1"/>
  <c r="AH331" i="1" s="1"/>
  <c r="AE330" i="1" a="1"/>
  <c r="AE330" i="1" s="1"/>
  <c r="AC331" i="1" s="1"/>
  <c r="AL354" i="1"/>
  <c r="AK354" i="1"/>
  <c r="AF354" i="1"/>
  <c r="AG354" i="1"/>
  <c r="Y356" i="1" a="1"/>
  <c r="Y356" i="1" s="1"/>
  <c r="AD331" i="1" l="1" a="1"/>
  <c r="AD331" i="1" s="1"/>
  <c r="AD333" i="1" a="1"/>
  <c r="AD333" i="1" s="1"/>
  <c r="AI331" i="1" a="1"/>
  <c r="AI331" i="1" s="1"/>
  <c r="BG354" i="1"/>
  <c r="BU354" i="1"/>
  <c r="BP354" i="1"/>
  <c r="CF354" i="1"/>
  <c r="BT354" i="1"/>
  <c r="BF354" i="1"/>
  <c r="BQ354" i="1"/>
  <c r="CG354" i="1"/>
  <c r="AB356" i="1"/>
  <c r="HH356" i="1" s="1"/>
  <c r="AA356" i="1"/>
  <c r="HG356" i="1" s="1"/>
  <c r="AK331" i="1" l="1"/>
  <c r="AL331" i="1"/>
  <c r="AF333" i="1"/>
  <c r="LY333" i="1" s="1"/>
  <c r="AE333" i="1" s="1" a="1"/>
  <c r="AE333" i="1" s="1"/>
  <c r="AC334" i="1" s="1"/>
  <c r="AD334" i="1" s="1" a="1"/>
  <c r="AD334" i="1" s="1"/>
  <c r="AG333" i="1"/>
  <c r="AG331" i="1"/>
  <c r="AF331" i="1"/>
  <c r="BV354" i="1"/>
  <c r="BH354" i="1"/>
  <c r="BS354" i="1"/>
  <c r="CK354" i="1" s="1"/>
  <c r="CI354" i="1"/>
  <c r="BR354" i="1"/>
  <c r="CJ354" i="1" s="1"/>
  <c r="CH354" i="1"/>
  <c r="BI354" i="1"/>
  <c r="BW354" i="1"/>
  <c r="BG331" i="1" l="1"/>
  <c r="BU331" i="1"/>
  <c r="AG334" i="1"/>
  <c r="AF334" i="1"/>
  <c r="LY334" i="1" s="1"/>
  <c r="AE334" i="1" s="1" a="1"/>
  <c r="AE334" i="1" s="1"/>
  <c r="AC335" i="1" s="1"/>
  <c r="AD335" i="1" s="1" a="1"/>
  <c r="AD335" i="1" s="1"/>
  <c r="BF331" i="1"/>
  <c r="BT331" i="1"/>
  <c r="BQ331" i="1"/>
  <c r="CG331" i="1"/>
  <c r="BP331" i="1"/>
  <c r="CF331" i="1"/>
  <c r="BK354" i="1"/>
  <c r="CA354" i="1" s="1"/>
  <c r="BY354" i="1"/>
  <c r="AE354" i="1" a="1"/>
  <c r="AE354" i="1" s="1"/>
  <c r="AC355" i="1" s="1"/>
  <c r="BX354" i="1"/>
  <c r="AJ354" i="1" a="1"/>
  <c r="AJ354" i="1" s="1"/>
  <c r="AH355" i="1" s="1"/>
  <c r="AI355" i="1" s="1" a="1"/>
  <c r="AI355" i="1" s="1"/>
  <c r="AK355" i="1" s="1"/>
  <c r="BJ354" i="1"/>
  <c r="BZ354" i="1" s="1"/>
  <c r="BR331" i="1" l="1"/>
  <c r="CJ331" i="1" s="1"/>
  <c r="CH331" i="1"/>
  <c r="BS331" i="1"/>
  <c r="CK331" i="1" s="1"/>
  <c r="CI331" i="1"/>
  <c r="BH331" i="1"/>
  <c r="BV331" i="1"/>
  <c r="AG335" i="1"/>
  <c r="AF335" i="1"/>
  <c r="LY335" i="1" s="1"/>
  <c r="AE335" i="1" s="1" a="1"/>
  <c r="AE335" i="1" s="1"/>
  <c r="AC336" i="1" s="1"/>
  <c r="AD336" i="1" s="1" a="1"/>
  <c r="AD336" i="1" s="1"/>
  <c r="BI331" i="1"/>
  <c r="BW331" i="1"/>
  <c r="AL355" i="1"/>
  <c r="BQ355" i="1" s="1"/>
  <c r="CC355" i="1"/>
  <c r="CB355" i="1"/>
  <c r="AD355" i="1" a="1"/>
  <c r="AD355" i="1" s="1"/>
  <c r="CE355" i="1"/>
  <c r="CD355" i="1"/>
  <c r="BP355" i="1"/>
  <c r="CF355" i="1"/>
  <c r="AG336" i="1" l="1"/>
  <c r="AF336" i="1"/>
  <c r="LY336" i="1" s="1"/>
  <c r="AE336" i="1" s="1" a="1"/>
  <c r="AE336" i="1" s="1"/>
  <c r="AC337" i="1" s="1"/>
  <c r="AD337" i="1" s="1" a="1"/>
  <c r="AD337" i="1" s="1"/>
  <c r="BK331" i="1"/>
  <c r="BY331" i="1"/>
  <c r="BJ331" i="1"/>
  <c r="BX331" i="1"/>
  <c r="CG355" i="1"/>
  <c r="AF355" i="1"/>
  <c r="AG355" i="1"/>
  <c r="BR355" i="1"/>
  <c r="CJ355" i="1" s="1"/>
  <c r="CH355" i="1"/>
  <c r="BS355" i="1"/>
  <c r="CK355" i="1" s="1"/>
  <c r="CI355" i="1"/>
  <c r="BL331" i="1" l="1"/>
  <c r="CB331" i="1" s="1"/>
  <c r="BZ331" i="1"/>
  <c r="AJ331" i="1" a="1"/>
  <c r="AJ331" i="1" s="1"/>
  <c r="AE331" i="1" a="1"/>
  <c r="AE331" i="1" s="1"/>
  <c r="BM331" i="1"/>
  <c r="CC331" i="1" s="1"/>
  <c r="CA331" i="1"/>
  <c r="AG337" i="1"/>
  <c r="AF337" i="1"/>
  <c r="LY337" i="1" s="1"/>
  <c r="AE337" i="1" s="1" a="1"/>
  <c r="AE337" i="1" s="1"/>
  <c r="AC338" i="1" s="1"/>
  <c r="AD338" i="1" s="1" a="1"/>
  <c r="AD338" i="1" s="1"/>
  <c r="BG355" i="1"/>
  <c r="BU355" i="1"/>
  <c r="BF355" i="1"/>
  <c r="BT355" i="1"/>
  <c r="AG338" i="1" l="1"/>
  <c r="AF338" i="1"/>
  <c r="LY338" i="1" s="1"/>
  <c r="AE338" i="1" s="1" a="1"/>
  <c r="AE338" i="1" s="1"/>
  <c r="AC339" i="1" s="1"/>
  <c r="AD339" i="1" s="1" a="1"/>
  <c r="AD339" i="1" s="1"/>
  <c r="BV355" i="1"/>
  <c r="BH355" i="1"/>
  <c r="BW355" i="1"/>
  <c r="BI355" i="1"/>
  <c r="AG339" i="1" l="1"/>
  <c r="AF339" i="1"/>
  <c r="LY339" i="1" s="1"/>
  <c r="AE339" i="1" s="1" a="1"/>
  <c r="AE339" i="1" s="1"/>
  <c r="AC340" i="1" s="1"/>
  <c r="AD340" i="1" s="1" a="1"/>
  <c r="AD340" i="1" s="1"/>
  <c r="BY355" i="1"/>
  <c r="BK355" i="1"/>
  <c r="CA355" i="1" s="1"/>
  <c r="BX355" i="1"/>
  <c r="AE355" i="1" a="1"/>
  <c r="AE355" i="1" s="1"/>
  <c r="AC356" i="1" s="1"/>
  <c r="BJ355" i="1"/>
  <c r="BZ355" i="1" s="1"/>
  <c r="AJ355" i="1" a="1"/>
  <c r="AJ355" i="1" s="1"/>
  <c r="AH356" i="1" s="1"/>
  <c r="AF340" i="1" l="1"/>
  <c r="LY340" i="1" s="1"/>
  <c r="AE340" i="1" s="1" a="1"/>
  <c r="AE340" i="1" s="1"/>
  <c r="AG340" i="1"/>
  <c r="AI356" i="1" a="1"/>
  <c r="AI356" i="1" s="1"/>
  <c r="HS356" i="1"/>
  <c r="AD356" i="1" a="1"/>
  <c r="AD356" i="1" s="1"/>
  <c r="HT356" i="1"/>
  <c r="AF356" i="1" l="1"/>
  <c r="AG356" i="1"/>
  <c r="AL356" i="1"/>
  <c r="AK356" i="1"/>
  <c r="HE356" i="1" l="1"/>
  <c r="HW356" i="1" s="1"/>
  <c r="HU356" i="1"/>
  <c r="HJ356" i="1"/>
  <c r="GV356" i="1"/>
  <c r="HF356" i="1"/>
  <c r="HX356" i="1" s="1"/>
  <c r="HV356" i="1"/>
  <c r="HI356" i="1"/>
  <c r="GU356" i="1"/>
  <c r="GW356" i="1" l="1"/>
  <c r="HK356" i="1"/>
  <c r="HL356" i="1"/>
  <c r="GX356" i="1"/>
  <c r="HN356" i="1" l="1"/>
  <c r="GZ356" i="1"/>
  <c r="GY356" i="1"/>
  <c r="HM356" i="1"/>
  <c r="AJ356" i="1" l="1" a="1"/>
  <c r="AJ356" i="1" s="1"/>
  <c r="AH357" i="1" s="1"/>
  <c r="AE356" i="1" a="1"/>
  <c r="AE356" i="1" s="1"/>
  <c r="AC357" i="1" s="1"/>
  <c r="HO356" i="1"/>
  <c r="HA356" i="1"/>
  <c r="HQ356" i="1" s="1"/>
  <c r="Z356" i="1" a="1"/>
  <c r="Z356" i="1" s="1"/>
  <c r="Y357" i="1" s="1" a="1"/>
  <c r="Y357" i="1" s="1"/>
  <c r="HB356" i="1"/>
  <c r="HR356" i="1" s="1"/>
  <c r="HP356" i="1"/>
  <c r="AA357" i="1" l="1"/>
  <c r="HG357" i="1" s="1"/>
  <c r="AB357" i="1"/>
  <c r="HH357" i="1" s="1"/>
  <c r="AD358" i="1" a="1"/>
  <c r="AD358" i="1" s="1"/>
  <c r="HT357" i="1"/>
  <c r="HS357" i="1"/>
  <c r="AD357" i="1" a="1"/>
  <c r="AD357" i="1" s="1"/>
  <c r="AI357" i="1" a="1"/>
  <c r="AI357" i="1" s="1"/>
  <c r="AB387" i="1"/>
  <c r="KD387" i="1" s="1"/>
  <c r="AA387" i="1"/>
  <c r="KC387" i="1" s="1"/>
  <c r="Z387" i="1" s="1" a="1"/>
  <c r="Z387" i="1" s="1"/>
  <c r="Y388" i="1" s="1" a="1"/>
  <c r="Y388" i="1" s="1"/>
  <c r="AK357" i="1" l="1"/>
  <c r="AL357" i="1"/>
  <c r="AF357" i="1"/>
  <c r="AG357" i="1"/>
  <c r="AF358" i="1"/>
  <c r="AG358" i="1"/>
  <c r="AB388" i="1"/>
  <c r="KD388" i="1" s="1"/>
  <c r="AA388" i="1"/>
  <c r="KC388" i="1" s="1"/>
  <c r="Z388" i="1" s="1" a="1"/>
  <c r="Z388" i="1" s="1"/>
  <c r="Y389" i="1" s="1" a="1"/>
  <c r="Y389" i="1" s="1"/>
  <c r="BU358" i="1" l="1"/>
  <c r="BG358" i="1"/>
  <c r="BF358" i="1"/>
  <c r="BT358" i="1"/>
  <c r="HJ357" i="1"/>
  <c r="GV357" i="1"/>
  <c r="HI357" i="1"/>
  <c r="GU357" i="1"/>
  <c r="HF357" i="1"/>
  <c r="HX357" i="1" s="1"/>
  <c r="HV357" i="1"/>
  <c r="HE357" i="1"/>
  <c r="HW357" i="1" s="1"/>
  <c r="HU357" i="1"/>
  <c r="AA389" i="1"/>
  <c r="KC389" i="1" s="1"/>
  <c r="Z389" i="1" s="1" a="1"/>
  <c r="Z389" i="1" s="1"/>
  <c r="Y390" i="1" s="1" a="1"/>
  <c r="Y390" i="1" s="1"/>
  <c r="AB389" i="1"/>
  <c r="KD389" i="1" s="1"/>
  <c r="GX357" i="1" l="1"/>
  <c r="HL357" i="1"/>
  <c r="GW357" i="1"/>
  <c r="HK357" i="1"/>
  <c r="BH358" i="1"/>
  <c r="BV358" i="1"/>
  <c r="BI358" i="1"/>
  <c r="BW358" i="1"/>
  <c r="AA390" i="1"/>
  <c r="KC390" i="1" s="1"/>
  <c r="Z390" i="1" s="1" a="1"/>
  <c r="Z390" i="1" s="1"/>
  <c r="AB390" i="1"/>
  <c r="KD390" i="1" s="1"/>
  <c r="BK358" i="1" l="1"/>
  <c r="BY358" i="1"/>
  <c r="BX358" i="1"/>
  <c r="BJ358" i="1"/>
  <c r="HM357" i="1"/>
  <c r="GY357" i="1"/>
  <c r="GZ357" i="1"/>
  <c r="HN357" i="1"/>
  <c r="AA391" i="1"/>
  <c r="KC391" i="1" s="1"/>
  <c r="Z391" i="1" s="1" a="1"/>
  <c r="Z391" i="1" s="1"/>
  <c r="Y392" i="1" s="1" a="1"/>
  <c r="Y392" i="1" s="1"/>
  <c r="AB391" i="1"/>
  <c r="KD391" i="1" s="1"/>
  <c r="HP357" i="1" l="1"/>
  <c r="HB357" i="1"/>
  <c r="HR357" i="1" s="1"/>
  <c r="AJ357" i="1" a="1"/>
  <c r="AJ357" i="1" s="1"/>
  <c r="AH358" i="1" s="1"/>
  <c r="AI358" i="1" s="1" a="1"/>
  <c r="AI358" i="1" s="1"/>
  <c r="AK358" i="1" s="1"/>
  <c r="Z357" i="1" a="1"/>
  <c r="Z357" i="1" s="1"/>
  <c r="Y369" i="1" s="1" a="1"/>
  <c r="Y369" i="1" s="1"/>
  <c r="HO357" i="1"/>
  <c r="HA357" i="1"/>
  <c r="HQ357" i="1" s="1"/>
  <c r="AE357" i="1" s="1" a="1"/>
  <c r="AE357" i="1" s="1"/>
  <c r="BL358" i="1"/>
  <c r="BZ358" i="1"/>
  <c r="BM358" i="1"/>
  <c r="CA358" i="1"/>
  <c r="AB392" i="1"/>
  <c r="KD392" i="1" s="1"/>
  <c r="AA392" i="1"/>
  <c r="KC392" i="1" s="1"/>
  <c r="Z392" i="1" s="1" a="1"/>
  <c r="Z392" i="1" s="1"/>
  <c r="Y393" i="1" s="1" a="1"/>
  <c r="Y393" i="1" s="1"/>
  <c r="AL358" i="1" l="1"/>
  <c r="BQ358" i="1" s="1"/>
  <c r="BN358" i="1"/>
  <c r="CD358" i="1" s="1"/>
  <c r="CB358" i="1"/>
  <c r="AA369" i="1"/>
  <c r="KC369" i="1" s="1"/>
  <c r="Z369" i="1" s="1" a="1"/>
  <c r="Z369" i="1" s="1"/>
  <c r="AB369" i="1"/>
  <c r="KD369" i="1" s="1"/>
  <c r="CC358" i="1"/>
  <c r="BO358" i="1"/>
  <c r="CE358" i="1" s="1"/>
  <c r="BP358" i="1"/>
  <c r="CF358" i="1"/>
  <c r="AB393" i="1"/>
  <c r="KD393" i="1" s="1"/>
  <c r="AA393" i="1"/>
  <c r="KC393" i="1" s="1"/>
  <c r="Z393" i="1" s="1" a="1"/>
  <c r="Z393" i="1" s="1"/>
  <c r="CG358" i="1" l="1"/>
  <c r="BR358" i="1"/>
  <c r="CJ358" i="1" s="1"/>
  <c r="CH358" i="1"/>
  <c r="AJ358" i="1" a="1"/>
  <c r="AJ358" i="1" s="1"/>
  <c r="AH359" i="1" s="1"/>
  <c r="AI359" i="1" s="1" a="1"/>
  <c r="AI359" i="1" s="1"/>
  <c r="AK359" i="1" s="1"/>
  <c r="BP359" i="1" s="1"/>
  <c r="AE358" i="1" a="1"/>
  <c r="AE358" i="1" s="1"/>
  <c r="AC359" i="1" s="1"/>
  <c r="AD359" i="1" s="1" a="1"/>
  <c r="AD359" i="1" s="1"/>
  <c r="AG359" i="1" s="1"/>
  <c r="BS358" i="1"/>
  <c r="CK358" i="1" s="1"/>
  <c r="CI358" i="1"/>
  <c r="AA394" i="1"/>
  <c r="KC394" i="1" s="1"/>
  <c r="Z394" i="1" s="1" a="1"/>
  <c r="Z394" i="1" s="1"/>
  <c r="Y395" i="1" s="1" a="1"/>
  <c r="Y395" i="1" s="1"/>
  <c r="AB394" i="1"/>
  <c r="KD394" i="1" s="1"/>
  <c r="AF359" i="1" l="1"/>
  <c r="BF359" i="1" s="1"/>
  <c r="CF359" i="1"/>
  <c r="AL359" i="1"/>
  <c r="BQ359" i="1" s="1"/>
  <c r="BG359" i="1"/>
  <c r="BU359" i="1"/>
  <c r="BR359" i="1"/>
  <c r="CJ359" i="1" s="1"/>
  <c r="CH359" i="1"/>
  <c r="AA395" i="1"/>
  <c r="KC395" i="1" s="1"/>
  <c r="Z395" i="1" s="1" a="1"/>
  <c r="Z395" i="1" s="1"/>
  <c r="Y396" i="1" s="1" a="1"/>
  <c r="Y396" i="1" s="1"/>
  <c r="AB395" i="1"/>
  <c r="KD395" i="1" s="1"/>
  <c r="CG359" i="1" l="1"/>
  <c r="BT359" i="1"/>
  <c r="BI359" i="1"/>
  <c r="BW359" i="1"/>
  <c r="BH359" i="1"/>
  <c r="BV359" i="1"/>
  <c r="BS359" i="1"/>
  <c r="CK359" i="1" s="1"/>
  <c r="CI359" i="1"/>
  <c r="AB396" i="1"/>
  <c r="KD396" i="1" s="1"/>
  <c r="AA396" i="1"/>
  <c r="KC396" i="1" s="1"/>
  <c r="Z396" i="1" s="1" a="1"/>
  <c r="Z396" i="1" s="1"/>
  <c r="BJ359" i="1" l="1"/>
  <c r="BX359" i="1"/>
  <c r="BK359" i="1"/>
  <c r="BY359" i="1"/>
  <c r="AB397" i="1"/>
  <c r="KD397" i="1" s="1"/>
  <c r="AA397" i="1"/>
  <c r="KC397" i="1" s="1"/>
  <c r="Z397" i="1" s="1" a="1"/>
  <c r="Z397" i="1" s="1"/>
  <c r="Y398" i="1" s="1" a="1"/>
  <c r="Y398" i="1" s="1"/>
  <c r="BM359" i="1" l="1"/>
  <c r="CA359" i="1"/>
  <c r="BL359" i="1"/>
  <c r="BZ359" i="1"/>
  <c r="AB398" i="1"/>
  <c r="KD398" i="1" s="1"/>
  <c r="AA398" i="1"/>
  <c r="KC398" i="1" s="1"/>
  <c r="Z398" i="1" s="1" a="1"/>
  <c r="Z398" i="1" s="1"/>
  <c r="Y399" i="1" s="1" a="1"/>
  <c r="Y399" i="1" s="1"/>
  <c r="CB359" i="1" l="1"/>
  <c r="CE359" i="1"/>
  <c r="CC359" i="1"/>
  <c r="AB399" i="1"/>
  <c r="KD399" i="1" s="1"/>
  <c r="AA399" i="1"/>
  <c r="KC399" i="1" s="1"/>
  <c r="Z399" i="1" s="1" a="1"/>
  <c r="Z399" i="1" s="1"/>
  <c r="Y400" i="1" s="1" a="1"/>
  <c r="Y400" i="1" s="1"/>
  <c r="CD359" i="1" l="1"/>
  <c r="AE359" i="1" a="1"/>
  <c r="AE359" i="1" s="1"/>
  <c r="AC360" i="1" s="1"/>
  <c r="AJ359" i="1" a="1"/>
  <c r="AJ359" i="1" s="1"/>
  <c r="AH360" i="1" s="1"/>
  <c r="AB400" i="1"/>
  <c r="KD400" i="1" s="1"/>
  <c r="AA400" i="1"/>
  <c r="KC400" i="1" s="1"/>
  <c r="Z400" i="1" s="1" a="1"/>
  <c r="Z400" i="1" s="1"/>
  <c r="Y401" i="1" s="1" a="1"/>
  <c r="Y401" i="1" s="1"/>
  <c r="AI360" i="1" l="1" a="1"/>
  <c r="AI360" i="1" s="1"/>
  <c r="AK360" i="1" s="1"/>
  <c r="BP360" i="1" s="1"/>
  <c r="BR360" i="1" s="1"/>
  <c r="CJ360" i="1" s="1"/>
  <c r="AD360" i="1" a="1"/>
  <c r="AD360" i="1" s="1"/>
  <c r="AG360" i="1" s="1"/>
  <c r="CE360" i="1"/>
  <c r="CD360" i="1"/>
  <c r="AA401" i="1"/>
  <c r="KC401" i="1" s="1"/>
  <c r="Z401" i="1" s="1" a="1"/>
  <c r="Z401" i="1" s="1"/>
  <c r="Y402" i="1" s="1" a="1"/>
  <c r="Y402" i="1" s="1"/>
  <c r="AB401" i="1"/>
  <c r="KD401" i="1" s="1"/>
  <c r="AL360" i="1" l="1"/>
  <c r="BQ360" i="1" s="1"/>
  <c r="BS360" i="1" s="1"/>
  <c r="CK360" i="1" s="1"/>
  <c r="BG360" i="1"/>
  <c r="BU360" i="1"/>
  <c r="CH360" i="1"/>
  <c r="AF360" i="1"/>
  <c r="CF360" i="1"/>
  <c r="AB402" i="1"/>
  <c r="KD402" i="1" s="1"/>
  <c r="AA402" i="1"/>
  <c r="KC402" i="1" s="1"/>
  <c r="Z402" i="1" s="1" a="1"/>
  <c r="Z402" i="1" s="1"/>
  <c r="Y403" i="1" s="1" a="1"/>
  <c r="Y403" i="1" s="1"/>
  <c r="CG360" i="1" l="1"/>
  <c r="CI360" i="1"/>
  <c r="BF360" i="1"/>
  <c r="BT360" i="1"/>
  <c r="BI360" i="1"/>
  <c r="BW360" i="1"/>
  <c r="AB403" i="1"/>
  <c r="KD403" i="1" s="1"/>
  <c r="AA403" i="1"/>
  <c r="KC403" i="1" s="1"/>
  <c r="Z403" i="1" s="1" a="1"/>
  <c r="Z403" i="1" s="1"/>
  <c r="Y404" i="1" s="1" a="1"/>
  <c r="Y404" i="1" s="1"/>
  <c r="BK360" i="1" l="1"/>
  <c r="BY360" i="1"/>
  <c r="BH360" i="1"/>
  <c r="BV360" i="1"/>
  <c r="AB404" i="1"/>
  <c r="KD404" i="1" s="1"/>
  <c r="AA404" i="1"/>
  <c r="KC404" i="1" s="1"/>
  <c r="Z404" i="1" s="1" a="1"/>
  <c r="Z404" i="1" s="1"/>
  <c r="Y405" i="1" s="1" a="1"/>
  <c r="Y405" i="1" s="1"/>
  <c r="BJ360" i="1" l="1"/>
  <c r="BX360" i="1"/>
  <c r="BM360" i="1"/>
  <c r="CC360" i="1" s="1"/>
  <c r="CA360" i="1"/>
  <c r="AB405" i="1"/>
  <c r="KD405" i="1" s="1"/>
  <c r="AA405" i="1"/>
  <c r="KC405" i="1" s="1"/>
  <c r="Z405" i="1" s="1" a="1"/>
  <c r="Z405" i="1" s="1"/>
  <c r="Y406" i="1" s="1" a="1"/>
  <c r="Y406" i="1" s="1"/>
  <c r="BL360" i="1" l="1"/>
  <c r="CB360" i="1" s="1"/>
  <c r="BZ360" i="1"/>
  <c r="AJ360" i="1" a="1"/>
  <c r="AJ360" i="1" s="1"/>
  <c r="AH361" i="1" s="1"/>
  <c r="AE360" i="1" a="1"/>
  <c r="AE360" i="1" s="1"/>
  <c r="AC361" i="1" s="1"/>
  <c r="AA406" i="1"/>
  <c r="KC406" i="1" s="1"/>
  <c r="Z406" i="1" s="1" a="1"/>
  <c r="Z406" i="1" s="1"/>
  <c r="Y407" i="1" s="1" a="1"/>
  <c r="Y407" i="1" s="1"/>
  <c r="AB406" i="1"/>
  <c r="KD406" i="1" s="1"/>
  <c r="AD361" i="1" l="1" a="1"/>
  <c r="AD361" i="1" s="1"/>
  <c r="CD361" i="1"/>
  <c r="CE361" i="1"/>
  <c r="AI361" i="1" a="1"/>
  <c r="AI361" i="1" s="1"/>
  <c r="AA407" i="1"/>
  <c r="KC407" i="1" s="1"/>
  <c r="Z407" i="1" s="1" a="1"/>
  <c r="Z407" i="1" s="1"/>
  <c r="Y408" i="1" s="1" a="1"/>
  <c r="Y408" i="1" s="1"/>
  <c r="AB407" i="1"/>
  <c r="KD407" i="1" s="1"/>
  <c r="AL361" i="1" l="1"/>
  <c r="AK361" i="1"/>
  <c r="AG361" i="1"/>
  <c r="AF361" i="1"/>
  <c r="AG450" i="1"/>
  <c r="AF450" i="1"/>
  <c r="AB408" i="1"/>
  <c r="KD408" i="1" s="1"/>
  <c r="AA408" i="1"/>
  <c r="KC408" i="1" s="1"/>
  <c r="Z408" i="1" s="1" a="1"/>
  <c r="Z408" i="1" s="1"/>
  <c r="Y409" i="1" s="1" a="1"/>
  <c r="Y409" i="1" s="1"/>
  <c r="BG361" i="1" l="1"/>
  <c r="BU361" i="1"/>
  <c r="BF361" i="1"/>
  <c r="BT361" i="1"/>
  <c r="BQ361" i="1"/>
  <c r="CG361" i="1"/>
  <c r="BP361" i="1"/>
  <c r="CF361" i="1"/>
  <c r="BF450" i="1"/>
  <c r="BT450" i="1"/>
  <c r="BU450" i="1"/>
  <c r="BG450" i="1"/>
  <c r="AB409" i="1"/>
  <c r="KD409" i="1" s="1"/>
  <c r="AA409" i="1"/>
  <c r="KC409" i="1" s="1"/>
  <c r="Z409" i="1" s="1" a="1"/>
  <c r="Z409" i="1" s="1"/>
  <c r="Y410" i="1" s="1" a="1"/>
  <c r="Y410" i="1" s="1"/>
  <c r="BH361" i="1" l="1"/>
  <c r="BV361" i="1"/>
  <c r="BR361" i="1"/>
  <c r="CJ361" i="1" s="1"/>
  <c r="CH361" i="1"/>
  <c r="BS361" i="1"/>
  <c r="CK361" i="1" s="1"/>
  <c r="CI361" i="1"/>
  <c r="BI361" i="1"/>
  <c r="BW361" i="1"/>
  <c r="BW450" i="1"/>
  <c r="BI450" i="1"/>
  <c r="BH450" i="1"/>
  <c r="BV450" i="1"/>
  <c r="AB410" i="1"/>
  <c r="KD410" i="1" s="1"/>
  <c r="AA410" i="1"/>
  <c r="KC410" i="1" s="1"/>
  <c r="Z410" i="1" s="1" a="1"/>
  <c r="Z410" i="1" s="1"/>
  <c r="Y411" i="1" s="1" a="1"/>
  <c r="Y411" i="1" s="1"/>
  <c r="BK361" i="1" l="1"/>
  <c r="BY361" i="1"/>
  <c r="BJ361" i="1"/>
  <c r="BX361" i="1"/>
  <c r="Y548" i="1" a="1"/>
  <c r="Y548" i="1" s="1"/>
  <c r="BK450" i="1"/>
  <c r="BY450" i="1"/>
  <c r="BX450" i="1"/>
  <c r="BJ450" i="1"/>
  <c r="AB411" i="1"/>
  <c r="KD411" i="1" s="1"/>
  <c r="AA411" i="1"/>
  <c r="KC411" i="1" s="1"/>
  <c r="Z411" i="1" s="1" a="1"/>
  <c r="Z411" i="1" s="1"/>
  <c r="Y412" i="1" s="1" a="1"/>
  <c r="Y412" i="1" s="1"/>
  <c r="BL361" i="1" l="1"/>
  <c r="CB361" i="1" s="1"/>
  <c r="BZ361" i="1"/>
  <c r="AE361" i="1" a="1"/>
  <c r="AE361" i="1" s="1"/>
  <c r="AC362" i="1" s="1"/>
  <c r="AJ361" i="1" a="1"/>
  <c r="AJ361" i="1" s="1"/>
  <c r="AH362" i="1" s="1"/>
  <c r="BM361" i="1"/>
  <c r="CC361" i="1" s="1"/>
  <c r="CA361" i="1"/>
  <c r="AB548" i="1"/>
  <c r="AA548" i="1"/>
  <c r="Z548" i="1" s="1" a="1"/>
  <c r="Z548" i="1" s="1"/>
  <c r="Y549" i="1" s="1" a="1"/>
  <c r="Y549" i="1" s="1"/>
  <c r="BL450" i="1"/>
  <c r="BZ450" i="1"/>
  <c r="CA450" i="1"/>
  <c r="BM450" i="1"/>
  <c r="AB412" i="1"/>
  <c r="KD412" i="1" s="1"/>
  <c r="AA412" i="1"/>
  <c r="KC412" i="1" s="1"/>
  <c r="Z412" i="1" s="1" a="1"/>
  <c r="Z412" i="1" s="1"/>
  <c r="Y413" i="1" s="1" a="1"/>
  <c r="Y413" i="1" s="1"/>
  <c r="AI362" i="1" l="1" a="1"/>
  <c r="AI362" i="1" s="1"/>
  <c r="AD362" i="1" a="1"/>
  <c r="AD362" i="1" s="1"/>
  <c r="CE362" i="1"/>
  <c r="CD362" i="1"/>
  <c r="AB549" i="1"/>
  <c r="AA549" i="1"/>
  <c r="CC450" i="1"/>
  <c r="BO450" i="1"/>
  <c r="CE450" i="1" s="1"/>
  <c r="CB450" i="1"/>
  <c r="BN450" i="1"/>
  <c r="AA413" i="1"/>
  <c r="KC413" i="1" s="1"/>
  <c r="Z413" i="1" s="1" a="1"/>
  <c r="Z413" i="1" s="1"/>
  <c r="Y414" i="1" s="1" a="1"/>
  <c r="Y414" i="1" s="1"/>
  <c r="AB413" i="1"/>
  <c r="KD413" i="1" s="1"/>
  <c r="AF362" i="1" l="1"/>
  <c r="AG362" i="1"/>
  <c r="AL362" i="1"/>
  <c r="AK362" i="1"/>
  <c r="ADJ549" i="1"/>
  <c r="ADN549" i="1"/>
  <c r="ADK549" i="1"/>
  <c r="ADM549" i="1" s="1"/>
  <c r="ADL549" i="1"/>
  <c r="AJ450" i="1" a="1"/>
  <c r="AJ450" i="1" s="1"/>
  <c r="AH451" i="1" s="1"/>
  <c r="AE450" i="1" a="1"/>
  <c r="AE450" i="1" s="1"/>
  <c r="AC451" i="1" s="1"/>
  <c r="CD450" i="1"/>
  <c r="AB414" i="1"/>
  <c r="KD414" i="1" s="1"/>
  <c r="AA414" i="1"/>
  <c r="KC414" i="1" s="1"/>
  <c r="Z414" i="1" s="1" a="1"/>
  <c r="Z414" i="1" s="1"/>
  <c r="Y415" i="1" s="1" a="1"/>
  <c r="Y415" i="1" s="1"/>
  <c r="BP362" i="1" l="1"/>
  <c r="CF362" i="1"/>
  <c r="BQ362" i="1"/>
  <c r="CG362" i="1"/>
  <c r="BG362" i="1"/>
  <c r="BU362" i="1"/>
  <c r="BF362" i="1"/>
  <c r="BT362" i="1"/>
  <c r="AI451" i="1" a="1"/>
  <c r="AI451" i="1" s="1"/>
  <c r="AD451" i="1" a="1"/>
  <c r="AD451" i="1" s="1"/>
  <c r="AB415" i="1"/>
  <c r="KD415" i="1" s="1"/>
  <c r="AA415" i="1"/>
  <c r="KC415" i="1" s="1"/>
  <c r="Z415" i="1" s="1" a="1"/>
  <c r="Z415" i="1" s="1"/>
  <c r="Y416" i="1" s="1" a="1"/>
  <c r="Y416" i="1" s="1"/>
  <c r="BH362" i="1" l="1"/>
  <c r="BV362" i="1"/>
  <c r="BI362" i="1"/>
  <c r="BW362" i="1"/>
  <c r="BS362" i="1"/>
  <c r="CK362" i="1" s="1"/>
  <c r="CI362" i="1"/>
  <c r="BR362" i="1"/>
  <c r="CJ362" i="1" s="1"/>
  <c r="CH362" i="1"/>
  <c r="AL451" i="1"/>
  <c r="BQ451" i="1" s="1"/>
  <c r="BS451" i="1" s="1"/>
  <c r="AK451" i="1"/>
  <c r="BP451" i="1" s="1"/>
  <c r="BR451" i="1" s="1"/>
  <c r="AF451" i="1"/>
  <c r="AG451" i="1"/>
  <c r="AB416" i="1"/>
  <c r="KD416" i="1" s="1"/>
  <c r="AA416" i="1"/>
  <c r="KC416" i="1" s="1"/>
  <c r="Z416" i="1" s="1" a="1"/>
  <c r="Z416" i="1" s="1"/>
  <c r="Y417" i="1" s="1" a="1"/>
  <c r="Y417" i="1" s="1"/>
  <c r="BK362" i="1" l="1"/>
  <c r="BY362" i="1"/>
  <c r="BJ362" i="1"/>
  <c r="BX362" i="1"/>
  <c r="CF451" i="1"/>
  <c r="BG451" i="1"/>
  <c r="BU451" i="1"/>
  <c r="BF451" i="1"/>
  <c r="BT451" i="1"/>
  <c r="AB417" i="1"/>
  <c r="KD417" i="1" s="1"/>
  <c r="AA417" i="1"/>
  <c r="KC417" i="1" s="1"/>
  <c r="Z417" i="1" s="1" a="1"/>
  <c r="Z417" i="1" s="1"/>
  <c r="Y418" i="1" s="1" a="1"/>
  <c r="Y418" i="1" s="1"/>
  <c r="BL362" i="1" l="1"/>
  <c r="CB362" i="1" s="1"/>
  <c r="BZ362" i="1"/>
  <c r="AJ362" i="1" a="1"/>
  <c r="AJ362" i="1" s="1"/>
  <c r="AE362" i="1" a="1"/>
  <c r="AE362" i="1" s="1"/>
  <c r="AC363" i="1" s="1"/>
  <c r="BM362" i="1"/>
  <c r="CC362" i="1" s="1"/>
  <c r="CA362" i="1"/>
  <c r="CJ451" i="1"/>
  <c r="CH451" i="1"/>
  <c r="BH451" i="1"/>
  <c r="BV451" i="1"/>
  <c r="BI451" i="1"/>
  <c r="BW451" i="1"/>
  <c r="AA418" i="1"/>
  <c r="KC418" i="1" s="1"/>
  <c r="Z418" i="1" s="1" a="1"/>
  <c r="Z418" i="1" s="1"/>
  <c r="Y419" i="1" s="1" a="1"/>
  <c r="Y419" i="1" s="1"/>
  <c r="AB418" i="1"/>
  <c r="KD418" i="1" s="1"/>
  <c r="CB363" i="1" l="1"/>
  <c r="CE363" i="1"/>
  <c r="CD363" i="1"/>
  <c r="CC363" i="1"/>
  <c r="AH363" i="1"/>
  <c r="AD363" i="1" a="1"/>
  <c r="AD363" i="1" s="1"/>
  <c r="CG451" i="1"/>
  <c r="BK451" i="1"/>
  <c r="BY451" i="1"/>
  <c r="BJ451" i="1"/>
  <c r="BX451" i="1"/>
  <c r="AA419" i="1"/>
  <c r="KC419" i="1" s="1"/>
  <c r="Z419" i="1" s="1" a="1"/>
  <c r="Z419" i="1" s="1"/>
  <c r="Y420" i="1" s="1" a="1"/>
  <c r="Y420" i="1" s="1"/>
  <c r="AB419" i="1"/>
  <c r="KD419" i="1" s="1"/>
  <c r="AI363" i="1" l="1" a="1"/>
  <c r="AI363" i="1" s="1"/>
  <c r="AK363" i="1" s="1"/>
  <c r="AG363" i="1"/>
  <c r="AF363" i="1"/>
  <c r="CK451" i="1"/>
  <c r="CI451" i="1"/>
  <c r="BL451" i="1"/>
  <c r="BZ451" i="1"/>
  <c r="BM451" i="1"/>
  <c r="CA451" i="1"/>
  <c r="AB420" i="1"/>
  <c r="KD420" i="1" s="1"/>
  <c r="AA420" i="1"/>
  <c r="KC420" i="1" s="1"/>
  <c r="Z420" i="1" s="1" a="1"/>
  <c r="Z420" i="1" s="1"/>
  <c r="Y421" i="1" s="1" a="1"/>
  <c r="Y421" i="1" s="1"/>
  <c r="BP363" i="1" l="1"/>
  <c r="CF363" i="1"/>
  <c r="BG363" i="1"/>
  <c r="BU363" i="1"/>
  <c r="AL363" i="1"/>
  <c r="BF363" i="1"/>
  <c r="BT363" i="1"/>
  <c r="BO451" i="1"/>
  <c r="CE451" i="1" s="1"/>
  <c r="CC451" i="1"/>
  <c r="BN451" i="1"/>
  <c r="CB451" i="1"/>
  <c r="AA421" i="1"/>
  <c r="KC421" i="1" s="1"/>
  <c r="Z421" i="1" s="1" a="1"/>
  <c r="Z421" i="1" s="1"/>
  <c r="Y422" i="1" s="1" a="1"/>
  <c r="Y422" i="1" s="1"/>
  <c r="AB421" i="1"/>
  <c r="KD421" i="1" s="1"/>
  <c r="BH363" i="1" l="1"/>
  <c r="BV363" i="1"/>
  <c r="BQ363" i="1"/>
  <c r="CG363" i="1"/>
  <c r="BI363" i="1"/>
  <c r="BW363" i="1"/>
  <c r="BR363" i="1"/>
  <c r="CJ363" i="1" s="1"/>
  <c r="CH363" i="1"/>
  <c r="CD451" i="1"/>
  <c r="AJ451" i="1" a="1"/>
  <c r="AJ451" i="1" s="1"/>
  <c r="AH452" i="1" s="1"/>
  <c r="AE451" i="1" a="1"/>
  <c r="AE451" i="1" s="1"/>
  <c r="AC452" i="1" s="1"/>
  <c r="AB422" i="1"/>
  <c r="KD422" i="1" s="1"/>
  <c r="AA422" i="1"/>
  <c r="KC422" i="1" s="1"/>
  <c r="Z422" i="1" s="1" a="1"/>
  <c r="Z422" i="1" s="1"/>
  <c r="Y423" i="1" s="1" a="1"/>
  <c r="Y423" i="1" s="1"/>
  <c r="BK363" i="1" l="1"/>
  <c r="CA363" i="1" s="1"/>
  <c r="BY363" i="1"/>
  <c r="BS363" i="1"/>
  <c r="CK363" i="1" s="1"/>
  <c r="CI363" i="1"/>
  <c r="BJ363" i="1"/>
  <c r="BX363" i="1"/>
  <c r="AD452" i="1" a="1"/>
  <c r="AD452" i="1" s="1"/>
  <c r="AI452" i="1" a="1"/>
  <c r="AI452" i="1" s="1"/>
  <c r="AB423" i="1"/>
  <c r="KD423" i="1" s="1"/>
  <c r="AA423" i="1"/>
  <c r="KC423" i="1" s="1"/>
  <c r="Z423" i="1" s="1" a="1"/>
  <c r="Z423" i="1" s="1"/>
  <c r="Y424" i="1" s="1" a="1"/>
  <c r="Y424" i="1" s="1"/>
  <c r="BZ363" i="1" l="1"/>
  <c r="AE363" i="1" a="1"/>
  <c r="AE363" i="1" s="1"/>
  <c r="AC364" i="1" s="1"/>
  <c r="AJ363" i="1" a="1"/>
  <c r="AJ363" i="1" s="1"/>
  <c r="AH364" i="1" s="1"/>
  <c r="AL452" i="1"/>
  <c r="BQ452" i="1" s="1"/>
  <c r="BS452" i="1" s="1"/>
  <c r="AK452" i="1"/>
  <c r="BP452" i="1" s="1"/>
  <c r="BR452" i="1" s="1"/>
  <c r="AF452" i="1"/>
  <c r="AG452" i="1"/>
  <c r="AB424" i="1"/>
  <c r="KD424" i="1" s="1"/>
  <c r="AA424" i="1"/>
  <c r="KC424" i="1" s="1"/>
  <c r="Z424" i="1" s="1" a="1"/>
  <c r="Z424" i="1" s="1"/>
  <c r="Y425" i="1" s="1" a="1"/>
  <c r="Y425" i="1" s="1"/>
  <c r="AI364" i="1" l="1" a="1"/>
  <c r="AI364" i="1" s="1"/>
  <c r="AL364" i="1" s="1"/>
  <c r="AD364" i="1" a="1"/>
  <c r="AD364" i="1" s="1"/>
  <c r="CE364" i="1"/>
  <c r="CD364" i="1"/>
  <c r="CC364" i="1"/>
  <c r="CB364" i="1"/>
  <c r="BG452" i="1"/>
  <c r="BU452" i="1"/>
  <c r="BF452" i="1"/>
  <c r="BT452" i="1"/>
  <c r="CF452" i="1"/>
  <c r="AA425" i="1"/>
  <c r="KC425" i="1" s="1"/>
  <c r="Z425" i="1" s="1" a="1"/>
  <c r="Z425" i="1" s="1"/>
  <c r="AB425" i="1"/>
  <c r="KD425" i="1" s="1"/>
  <c r="BQ364" i="1" l="1"/>
  <c r="CG364" i="1"/>
  <c r="AF364" i="1"/>
  <c r="AG364" i="1"/>
  <c r="AK364" i="1"/>
  <c r="CJ452" i="1"/>
  <c r="CH452" i="1"/>
  <c r="BH452" i="1"/>
  <c r="BV452" i="1"/>
  <c r="BI452" i="1"/>
  <c r="BW452" i="1"/>
  <c r="AB426" i="1"/>
  <c r="AA426" i="1"/>
  <c r="BP364" i="1" l="1"/>
  <c r="CF364" i="1"/>
  <c r="BG364" i="1"/>
  <c r="BU364" i="1"/>
  <c r="BF364" i="1"/>
  <c r="BT364" i="1"/>
  <c r="BS364" i="1"/>
  <c r="CK364" i="1" s="1"/>
  <c r="CI364" i="1"/>
  <c r="CG452" i="1"/>
  <c r="BJ452" i="1"/>
  <c r="BX452" i="1"/>
  <c r="BK452" i="1"/>
  <c r="BY452" i="1"/>
  <c r="OV426" i="1"/>
  <c r="OL426" i="1"/>
  <c r="OW426" i="1"/>
  <c r="OM426" i="1"/>
  <c r="BH364" i="1" l="1"/>
  <c r="BV364" i="1"/>
  <c r="BI364" i="1"/>
  <c r="BW364" i="1"/>
  <c r="BR364" i="1"/>
  <c r="CJ364" i="1" s="1"/>
  <c r="CH364" i="1"/>
  <c r="CK452" i="1"/>
  <c r="CI452" i="1"/>
  <c r="BM452" i="1"/>
  <c r="CA452" i="1"/>
  <c r="BL452" i="1"/>
  <c r="BZ452" i="1"/>
  <c r="ON426" i="1"/>
  <c r="OX426" i="1"/>
  <c r="OY426" i="1"/>
  <c r="OO426" i="1"/>
  <c r="BK364" i="1" l="1"/>
  <c r="CA364" i="1" s="1"/>
  <c r="BY364" i="1"/>
  <c r="BJ364" i="1"/>
  <c r="BX364" i="1"/>
  <c r="BN452" i="1"/>
  <c r="CB452" i="1"/>
  <c r="BO452" i="1"/>
  <c r="CE452" i="1" s="1"/>
  <c r="CC452" i="1"/>
  <c r="PA426" i="1"/>
  <c r="OQ426" i="1"/>
  <c r="PC426" i="1" s="1"/>
  <c r="OZ426" i="1"/>
  <c r="OP426" i="1"/>
  <c r="BZ364" i="1" l="1"/>
  <c r="AE364" i="1" a="1"/>
  <c r="AE364" i="1" s="1"/>
  <c r="AC365" i="1" s="1"/>
  <c r="AJ364" i="1" a="1"/>
  <c r="AJ364" i="1" s="1"/>
  <c r="AH365" i="1" s="1"/>
  <c r="CD452" i="1"/>
  <c r="AJ452" i="1" a="1"/>
  <c r="AJ452" i="1" s="1"/>
  <c r="AH453" i="1" s="1"/>
  <c r="AE452" i="1" a="1"/>
  <c r="AE452" i="1" s="1"/>
  <c r="AC453" i="1" s="1"/>
  <c r="Z426" i="1" a="1"/>
  <c r="Z426" i="1" s="1"/>
  <c r="Y427" i="1" s="1" a="1"/>
  <c r="Y427" i="1" s="1"/>
  <c r="PB426" i="1"/>
  <c r="AI365" i="1" l="1" a="1"/>
  <c r="AI365" i="1" s="1"/>
  <c r="AL365" i="1" s="1"/>
  <c r="AD365" i="1" a="1"/>
  <c r="AD365" i="1" s="1"/>
  <c r="AD453" i="1" a="1"/>
  <c r="AD453" i="1" s="1"/>
  <c r="AI453" i="1" a="1"/>
  <c r="AI453" i="1" s="1"/>
  <c r="AB427" i="1"/>
  <c r="AA427" i="1"/>
  <c r="EX365" i="1" l="1"/>
  <c r="FH365" i="1" s="1"/>
  <c r="FF365" i="1"/>
  <c r="AK365" i="1"/>
  <c r="AF365" i="1"/>
  <c r="AG365" i="1"/>
  <c r="AL453" i="1"/>
  <c r="BQ453" i="1" s="1"/>
  <c r="BS453" i="1" s="1"/>
  <c r="AK453" i="1"/>
  <c r="BP453" i="1" s="1"/>
  <c r="BR453" i="1" s="1"/>
  <c r="AF453" i="1"/>
  <c r="AG453" i="1"/>
  <c r="OL427" i="1"/>
  <c r="OV427" i="1"/>
  <c r="OM427" i="1"/>
  <c r="OW427" i="1"/>
  <c r="ET365" i="1" l="1"/>
  <c r="EZ365" i="1"/>
  <c r="ES365" i="1"/>
  <c r="EY365" i="1"/>
  <c r="EW365" i="1"/>
  <c r="FG365" i="1" s="1"/>
  <c r="FE365" i="1"/>
  <c r="BG453" i="1"/>
  <c r="BU453" i="1"/>
  <c r="CF453" i="1"/>
  <c r="BF453" i="1"/>
  <c r="BT453" i="1"/>
  <c r="OO427" i="1"/>
  <c r="OY427" i="1"/>
  <c r="ON427" i="1"/>
  <c r="OX427" i="1"/>
  <c r="EU365" i="1" l="1"/>
  <c r="FC365" i="1" s="1"/>
  <c r="AE365" i="1" a="1"/>
  <c r="AE365" i="1" s="1"/>
  <c r="AC366" i="1" s="1"/>
  <c r="AD366" i="1" s="1" a="1"/>
  <c r="AD366" i="1" s="1"/>
  <c r="AC367" i="1" s="1"/>
  <c r="AJ365" i="1" a="1"/>
  <c r="AJ365" i="1" s="1"/>
  <c r="FA365" i="1"/>
  <c r="EV365" i="1"/>
  <c r="FD365" i="1" s="1"/>
  <c r="FB365" i="1"/>
  <c r="BH453" i="1"/>
  <c r="BV453" i="1"/>
  <c r="CJ453" i="1"/>
  <c r="CH453" i="1"/>
  <c r="BI453" i="1"/>
  <c r="BW453" i="1"/>
  <c r="OP427" i="1"/>
  <c r="OZ427" i="1"/>
  <c r="OQ427" i="1"/>
  <c r="PC427" i="1" s="1"/>
  <c r="PA427" i="1"/>
  <c r="AF366" i="1" l="1"/>
  <c r="AG366" i="1"/>
  <c r="AD367" i="1" a="1"/>
  <c r="AD367" i="1" s="1"/>
  <c r="AD371" i="1" a="1"/>
  <c r="AD371" i="1" s="1"/>
  <c r="CG453" i="1"/>
  <c r="BK453" i="1"/>
  <c r="BY453" i="1"/>
  <c r="BJ453" i="1"/>
  <c r="BX453" i="1"/>
  <c r="Z427" i="1" a="1"/>
  <c r="Z427" i="1" s="1"/>
  <c r="Y428" i="1" s="1" a="1"/>
  <c r="Y428" i="1" s="1"/>
  <c r="PB427" i="1"/>
  <c r="AF371" i="1" l="1"/>
  <c r="LY371" i="1" s="1"/>
  <c r="AE371" i="1" s="1" a="1"/>
  <c r="AE371" i="1" s="1"/>
  <c r="AC372" i="1" s="1"/>
  <c r="AD372" i="1" s="1" a="1"/>
  <c r="AD372" i="1" s="1"/>
  <c r="AG371" i="1"/>
  <c r="AG367" i="1"/>
  <c r="AF367" i="1"/>
  <c r="CK453" i="1"/>
  <c r="CI453" i="1"/>
  <c r="BL453" i="1"/>
  <c r="BZ453" i="1"/>
  <c r="BM453" i="1"/>
  <c r="CA453" i="1"/>
  <c r="AA428" i="1"/>
  <c r="AB428" i="1"/>
  <c r="VR367" i="1" l="1"/>
  <c r="VS367" i="1"/>
  <c r="VQ367" i="1"/>
  <c r="VU367" i="1" s="1"/>
  <c r="VW367" i="1"/>
  <c r="VT367" i="1"/>
  <c r="AG372" i="1"/>
  <c r="AF372" i="1"/>
  <c r="LY372" i="1" s="1"/>
  <c r="AE372" i="1" s="1" a="1"/>
  <c r="AE372" i="1" s="1"/>
  <c r="AC373" i="1" s="1"/>
  <c r="AD373" i="1" s="1" a="1"/>
  <c r="AD373" i="1" s="1"/>
  <c r="BO453" i="1"/>
  <c r="CE453" i="1" s="1"/>
  <c r="CC453" i="1"/>
  <c r="BN453" i="1"/>
  <c r="CB453" i="1"/>
  <c r="OM428" i="1"/>
  <c r="OW428" i="1"/>
  <c r="OL428" i="1"/>
  <c r="OV428" i="1"/>
  <c r="AF373" i="1" l="1"/>
  <c r="LY373" i="1" s="1"/>
  <c r="AE373" i="1" s="1" a="1"/>
  <c r="AE373" i="1" s="1"/>
  <c r="AC374" i="1" s="1"/>
  <c r="AD374" i="1" s="1" a="1"/>
  <c r="AD374" i="1" s="1"/>
  <c r="AG373" i="1"/>
  <c r="VV367" i="1"/>
  <c r="AE367" i="1" s="1" a="1"/>
  <c r="AE367" i="1" s="1"/>
  <c r="VX367" i="1"/>
  <c r="CD453" i="1"/>
  <c r="AE453" i="1" a="1"/>
  <c r="AE453" i="1" s="1"/>
  <c r="AC454" i="1" s="1"/>
  <c r="AJ453" i="1" a="1"/>
  <c r="AJ453" i="1" s="1"/>
  <c r="AH454" i="1" s="1"/>
  <c r="ON428" i="1"/>
  <c r="OX428" i="1"/>
  <c r="OO428" i="1"/>
  <c r="OY428" i="1"/>
  <c r="AG374" i="1" l="1"/>
  <c r="AF374" i="1"/>
  <c r="LY374" i="1" s="1"/>
  <c r="AE374" i="1" s="1" a="1"/>
  <c r="AE374" i="1" s="1"/>
  <c r="AC375" i="1" s="1"/>
  <c r="AD375" i="1" s="1" a="1"/>
  <c r="AD375" i="1" s="1"/>
  <c r="AI454" i="1" a="1"/>
  <c r="AI454" i="1" s="1"/>
  <c r="AD454" i="1" a="1"/>
  <c r="AD454" i="1" s="1"/>
  <c r="OQ428" i="1"/>
  <c r="PA428" i="1"/>
  <c r="OP428" i="1"/>
  <c r="OZ428" i="1"/>
  <c r="AF375" i="1" l="1"/>
  <c r="LY375" i="1" s="1"/>
  <c r="AE375" i="1" s="1" a="1"/>
  <c r="AE375" i="1" s="1"/>
  <c r="AC376" i="1" s="1"/>
  <c r="AD376" i="1" s="1" a="1"/>
  <c r="AD376" i="1" s="1"/>
  <c r="AG375" i="1"/>
  <c r="AL454" i="1"/>
  <c r="BQ454" i="1" s="1"/>
  <c r="BS454" i="1" s="1"/>
  <c r="AK454" i="1"/>
  <c r="BP454" i="1" s="1"/>
  <c r="BR454" i="1" s="1"/>
  <c r="AF454" i="1"/>
  <c r="AG454" i="1"/>
  <c r="OR428" i="1"/>
  <c r="PB428" i="1"/>
  <c r="OS428" i="1"/>
  <c r="PC428" i="1"/>
  <c r="AG376" i="1" l="1"/>
  <c r="AF376" i="1"/>
  <c r="LY376" i="1" s="1"/>
  <c r="AE376" i="1" s="1" a="1"/>
  <c r="AE376" i="1" s="1"/>
  <c r="AC377" i="1" s="1"/>
  <c r="AD377" i="1" s="1" a="1"/>
  <c r="AD377" i="1" s="1"/>
  <c r="CF454" i="1"/>
  <c r="BG454" i="1"/>
  <c r="BU454" i="1"/>
  <c r="BF454" i="1"/>
  <c r="BT454" i="1"/>
  <c r="OU428" i="1"/>
  <c r="PG428" i="1" s="1"/>
  <c r="PE428" i="1"/>
  <c r="OT428" i="1"/>
  <c r="PD428" i="1"/>
  <c r="AF377" i="1" l="1"/>
  <c r="LY377" i="1" s="1"/>
  <c r="AE377" i="1" s="1" a="1"/>
  <c r="AE377" i="1" s="1"/>
  <c r="AC378" i="1" s="1"/>
  <c r="AD378" i="1" s="1" a="1"/>
  <c r="AD378" i="1" s="1"/>
  <c r="AG377" i="1"/>
  <c r="BI454" i="1"/>
  <c r="BW454" i="1"/>
  <c r="BH454" i="1"/>
  <c r="BV454" i="1"/>
  <c r="CJ454" i="1"/>
  <c r="CH454" i="1"/>
  <c r="Z428" i="1" a="1"/>
  <c r="Z428" i="1" s="1"/>
  <c r="Y499" i="1" s="1" a="1"/>
  <c r="Y499" i="1" s="1"/>
  <c r="PF428" i="1"/>
  <c r="AF378" i="1" l="1"/>
  <c r="LY378" i="1" s="1"/>
  <c r="AE378" i="1" s="1" a="1"/>
  <c r="AE378" i="1" s="1"/>
  <c r="AG378" i="1"/>
  <c r="AA499" i="1"/>
  <c r="HG499" i="1" s="1"/>
  <c r="AB499" i="1"/>
  <c r="HH499" i="1" s="1"/>
  <c r="CG454" i="1"/>
  <c r="BJ454" i="1"/>
  <c r="BX454" i="1"/>
  <c r="BK454" i="1"/>
  <c r="BY454" i="1"/>
  <c r="Y429" i="1" a="1"/>
  <c r="Y429" i="1" s="1"/>
  <c r="AB429" i="1" s="1"/>
  <c r="KD429" i="1" s="1"/>
  <c r="Y431" i="1" a="1"/>
  <c r="Y431" i="1" s="1"/>
  <c r="CK454" i="1" l="1"/>
  <c r="CI454" i="1"/>
  <c r="BM454" i="1"/>
  <c r="CA454" i="1"/>
  <c r="BL454" i="1"/>
  <c r="BZ454" i="1"/>
  <c r="AA429" i="1"/>
  <c r="KC429" i="1" s="1"/>
  <c r="AB431" i="1"/>
  <c r="AA431" i="1"/>
  <c r="Z429" i="1" a="1"/>
  <c r="Z429" i="1" s="1"/>
  <c r="Y430" i="1" s="1" a="1"/>
  <c r="Y430" i="1" s="1"/>
  <c r="BO454" i="1" l="1"/>
  <c r="CE454" i="1" s="1"/>
  <c r="CC454" i="1"/>
  <c r="BN454" i="1"/>
  <c r="CB454" i="1"/>
  <c r="OV431" i="1"/>
  <c r="OL431" i="1"/>
  <c r="OW431" i="1"/>
  <c r="OM431" i="1"/>
  <c r="AB430" i="1"/>
  <c r="QA430" i="1" s="1"/>
  <c r="AA430" i="1"/>
  <c r="QB430" i="1" s="1"/>
  <c r="CD454" i="1" l="1"/>
  <c r="AJ454" i="1" a="1"/>
  <c r="AJ454" i="1" s="1"/>
  <c r="AH455" i="1" s="1"/>
  <c r="AE454" i="1" a="1"/>
  <c r="AE454" i="1" s="1"/>
  <c r="AC455" i="1" s="1"/>
  <c r="OO431" i="1"/>
  <c r="OY431" i="1"/>
  <c r="OX431" i="1"/>
  <c r="ON431" i="1"/>
  <c r="QW430" i="1"/>
  <c r="QX430" i="1"/>
  <c r="QC430" i="1"/>
  <c r="QY430" i="1"/>
  <c r="QD430" i="1"/>
  <c r="QZ430" i="1"/>
  <c r="AD455" i="1" l="1" a="1"/>
  <c r="AD455" i="1" s="1"/>
  <c r="AI455" i="1" a="1"/>
  <c r="AI455" i="1" s="1"/>
  <c r="OP431" i="1"/>
  <c r="OZ431" i="1"/>
  <c r="PA431" i="1"/>
  <c r="OQ431" i="1"/>
  <c r="PC431" i="1" s="1"/>
  <c r="QF430" i="1"/>
  <c r="RB430" i="1"/>
  <c r="QE430" i="1"/>
  <c r="RA430" i="1"/>
  <c r="AL455" i="1" l="1"/>
  <c r="BQ455" i="1" s="1"/>
  <c r="BS455" i="1" s="1"/>
  <c r="AK455" i="1"/>
  <c r="BP455" i="1" s="1"/>
  <c r="BR455" i="1" s="1"/>
  <c r="AF455" i="1"/>
  <c r="AG455" i="1"/>
  <c r="PB431" i="1"/>
  <c r="Z431" i="1" a="1"/>
  <c r="Z431" i="1" s="1"/>
  <c r="Y432" i="1" s="1" a="1"/>
  <c r="Y432" i="1" s="1"/>
  <c r="QG430" i="1"/>
  <c r="RC430" i="1"/>
  <c r="QH430" i="1"/>
  <c r="RD430" i="1"/>
  <c r="BF455" i="1" l="1"/>
  <c r="BT455" i="1"/>
  <c r="BG455" i="1"/>
  <c r="BU455" i="1"/>
  <c r="CF455" i="1"/>
  <c r="AB432" i="1"/>
  <c r="AA432" i="1"/>
  <c r="QJ430" i="1"/>
  <c r="RH430" i="1" s="1"/>
  <c r="RF430" i="1"/>
  <c r="QI430" i="1"/>
  <c r="RE430" i="1"/>
  <c r="BI455" i="1" l="1"/>
  <c r="BW455" i="1"/>
  <c r="BH455" i="1"/>
  <c r="BV455" i="1"/>
  <c r="CJ455" i="1"/>
  <c r="CH455" i="1"/>
  <c r="OV432" i="1"/>
  <c r="OL432" i="1"/>
  <c r="OM432" i="1"/>
  <c r="OW432" i="1"/>
  <c r="Z430" i="1" a="1"/>
  <c r="Z430" i="1" s="1"/>
  <c r="Y434" i="1" s="1" a="1"/>
  <c r="Y434" i="1" s="1"/>
  <c r="RG430" i="1"/>
  <c r="CG455" i="1" l="1"/>
  <c r="BJ455" i="1"/>
  <c r="BX455" i="1"/>
  <c r="BK455" i="1"/>
  <c r="BY455" i="1"/>
  <c r="AB434" i="1"/>
  <c r="KD434" i="1" s="1"/>
  <c r="AA434" i="1"/>
  <c r="KC434" i="1" s="1"/>
  <c r="Z434" i="1" s="1" a="1"/>
  <c r="Z434" i="1" s="1"/>
  <c r="Y435" i="1" s="1" a="1"/>
  <c r="Y435" i="1" s="1"/>
  <c r="OO432" i="1"/>
  <c r="OY432" i="1"/>
  <c r="ON432" i="1"/>
  <c r="OX432" i="1"/>
  <c r="CI455" i="1" l="1"/>
  <c r="CK455" i="1"/>
  <c r="BM455" i="1"/>
  <c r="CA455" i="1"/>
  <c r="BL455" i="1"/>
  <c r="BZ455" i="1"/>
  <c r="AB435" i="1"/>
  <c r="AA435" i="1"/>
  <c r="OP432" i="1"/>
  <c r="OZ432" i="1"/>
  <c r="PA432" i="1"/>
  <c r="OQ432" i="1"/>
  <c r="PC432" i="1" s="1"/>
  <c r="BN455" i="1" l="1"/>
  <c r="CB455" i="1"/>
  <c r="BO455" i="1"/>
  <c r="CE455" i="1" s="1"/>
  <c r="CC455" i="1"/>
  <c r="PB432" i="1"/>
  <c r="Z432" i="1" a="1"/>
  <c r="Z432" i="1" s="1"/>
  <c r="Y433" i="1" s="1" a="1"/>
  <c r="Y433" i="1" s="1"/>
  <c r="QB435" i="1"/>
  <c r="QX435" i="1"/>
  <c r="QA435" i="1"/>
  <c r="QW435" i="1"/>
  <c r="CD455" i="1" l="1"/>
  <c r="AE455" i="1" a="1"/>
  <c r="AE455" i="1" s="1"/>
  <c r="AC456" i="1" s="1"/>
  <c r="AJ455" i="1" a="1"/>
  <c r="AJ455" i="1" s="1"/>
  <c r="AH456" i="1" s="1"/>
  <c r="QC435" i="1"/>
  <c r="QY435" i="1"/>
  <c r="QD435" i="1"/>
  <c r="QZ435" i="1"/>
  <c r="AB433" i="1"/>
  <c r="AA433" i="1"/>
  <c r="AI456" i="1" l="1" a="1"/>
  <c r="AI456" i="1" s="1"/>
  <c r="AD456" i="1" a="1"/>
  <c r="AD456" i="1" s="1"/>
  <c r="OM433" i="1"/>
  <c r="OW433" i="1"/>
  <c r="QF435" i="1"/>
  <c r="RB435" i="1"/>
  <c r="OL433" i="1"/>
  <c r="OV433" i="1"/>
  <c r="QE435" i="1"/>
  <c r="RA435" i="1"/>
  <c r="AL456" i="1" l="1"/>
  <c r="BQ456" i="1" s="1"/>
  <c r="BS456" i="1" s="1"/>
  <c r="AK456" i="1"/>
  <c r="BP456" i="1" s="1"/>
  <c r="BR456" i="1" s="1"/>
  <c r="AF456" i="1"/>
  <c r="AG456" i="1"/>
  <c r="QG435" i="1"/>
  <c r="RC435" i="1"/>
  <c r="QH435" i="1"/>
  <c r="RD435" i="1"/>
  <c r="ON433" i="1"/>
  <c r="OX433" i="1"/>
  <c r="OO433" i="1"/>
  <c r="OY433" i="1"/>
  <c r="CF456" i="1" l="1"/>
  <c r="BG456" i="1"/>
  <c r="BU456" i="1"/>
  <c r="BF456" i="1"/>
  <c r="BT456" i="1"/>
  <c r="OQ433" i="1"/>
  <c r="PA433" i="1"/>
  <c r="QJ435" i="1"/>
  <c r="RH435" i="1" s="1"/>
  <c r="RF435" i="1"/>
  <c r="OP433" i="1"/>
  <c r="OZ433" i="1"/>
  <c r="QI435" i="1"/>
  <c r="RE435" i="1"/>
  <c r="BH456" i="1" l="1"/>
  <c r="BV456" i="1"/>
  <c r="BI456" i="1"/>
  <c r="BW456" i="1"/>
  <c r="CJ456" i="1"/>
  <c r="CH456" i="1"/>
  <c r="OR433" i="1"/>
  <c r="PB433" i="1"/>
  <c r="RG435" i="1"/>
  <c r="Z435" i="1" a="1"/>
  <c r="Z435" i="1" s="1"/>
  <c r="OS433" i="1"/>
  <c r="PC433" i="1"/>
  <c r="CG456" i="1" l="1"/>
  <c r="BK456" i="1"/>
  <c r="BY456" i="1"/>
  <c r="BJ456" i="1"/>
  <c r="BX456" i="1"/>
  <c r="OU433" i="1"/>
  <c r="PG433" i="1" s="1"/>
  <c r="PE433" i="1"/>
  <c r="OT433" i="1"/>
  <c r="PD433" i="1"/>
  <c r="CI456" i="1" l="1"/>
  <c r="CK456" i="1"/>
  <c r="BL456" i="1"/>
  <c r="BZ456" i="1"/>
  <c r="BM456" i="1"/>
  <c r="CA456" i="1"/>
  <c r="PF433" i="1"/>
  <c r="Z433" i="1" a="1"/>
  <c r="Z433" i="1" s="1"/>
  <c r="Y436" i="1" s="1" a="1"/>
  <c r="Y436" i="1" s="1"/>
  <c r="CC456" i="1" l="1"/>
  <c r="BO456" i="1"/>
  <c r="CE456" i="1" s="1"/>
  <c r="BN456" i="1"/>
  <c r="CB456" i="1"/>
  <c r="AA436" i="1"/>
  <c r="AB436" i="1"/>
  <c r="CD456" i="1" l="1"/>
  <c r="AJ456" i="1" a="1"/>
  <c r="AJ456" i="1" s="1"/>
  <c r="AH457" i="1" s="1"/>
  <c r="AE456" i="1" a="1"/>
  <c r="AE456" i="1" s="1"/>
  <c r="AC457" i="1" s="1"/>
  <c r="OW436" i="1"/>
  <c r="OM436" i="1"/>
  <c r="OV436" i="1"/>
  <c r="OL436" i="1"/>
  <c r="AD457" i="1" l="1" a="1"/>
  <c r="AD457" i="1" s="1"/>
  <c r="AI457" i="1" a="1"/>
  <c r="AI457" i="1" s="1"/>
  <c r="OY436" i="1"/>
  <c r="OO436" i="1"/>
  <c r="ON436" i="1"/>
  <c r="OX436" i="1"/>
  <c r="AL457" i="1" l="1"/>
  <c r="BQ457" i="1" s="1"/>
  <c r="BS457" i="1" s="1"/>
  <c r="AK457" i="1"/>
  <c r="BP457" i="1" s="1"/>
  <c r="BR457" i="1" s="1"/>
  <c r="AF457" i="1"/>
  <c r="AG457" i="1"/>
  <c r="OP436" i="1"/>
  <c r="OZ436" i="1"/>
  <c r="OQ436" i="1"/>
  <c r="PC436" i="1" s="1"/>
  <c r="PA436" i="1"/>
  <c r="BG457" i="1" l="1"/>
  <c r="BU457" i="1"/>
  <c r="BF457" i="1"/>
  <c r="BT457" i="1"/>
  <c r="CF457" i="1"/>
  <c r="PB436" i="1"/>
  <c r="Z436" i="1" a="1"/>
  <c r="Z436" i="1" s="1"/>
  <c r="Y437" i="1" s="1" a="1"/>
  <c r="Y437" i="1" s="1"/>
  <c r="CJ457" i="1" l="1"/>
  <c r="CH457" i="1"/>
  <c r="BH457" i="1"/>
  <c r="BV457" i="1"/>
  <c r="BI457" i="1"/>
  <c r="BW457" i="1"/>
  <c r="AB437" i="1"/>
  <c r="AA437" i="1"/>
  <c r="CG457" i="1" l="1"/>
  <c r="BK457" i="1"/>
  <c r="BY457" i="1"/>
  <c r="BX457" i="1"/>
  <c r="BJ457" i="1"/>
  <c r="OL437" i="1"/>
  <c r="OV437" i="1"/>
  <c r="OM437" i="1"/>
  <c r="OW437" i="1"/>
  <c r="CK457" i="1" l="1"/>
  <c r="CI457" i="1"/>
  <c r="BL457" i="1"/>
  <c r="BZ457" i="1"/>
  <c r="CA457" i="1"/>
  <c r="BM457" i="1"/>
  <c r="OO437" i="1"/>
  <c r="OY437" i="1"/>
  <c r="ON437" i="1"/>
  <c r="OX437" i="1"/>
  <c r="BO457" i="1" l="1"/>
  <c r="CE457" i="1" s="1"/>
  <c r="CC457" i="1"/>
  <c r="CB457" i="1"/>
  <c r="BN457" i="1"/>
  <c r="OP437" i="1"/>
  <c r="OZ437" i="1"/>
  <c r="OQ437" i="1"/>
  <c r="PC437" i="1" s="1"/>
  <c r="PA437" i="1"/>
  <c r="CD457" i="1" l="1"/>
  <c r="AE457" i="1" a="1"/>
  <c r="AE457" i="1" s="1"/>
  <c r="AC458" i="1" s="1"/>
  <c r="AJ457" i="1" a="1"/>
  <c r="AJ457" i="1" s="1"/>
  <c r="AH458" i="1" s="1"/>
  <c r="PB437" i="1"/>
  <c r="Z437" i="1" a="1"/>
  <c r="Z437" i="1" s="1"/>
  <c r="Y438" i="1" s="1" a="1"/>
  <c r="Y438" i="1" s="1"/>
  <c r="AI458" i="1" l="1" a="1"/>
  <c r="AI458" i="1" s="1"/>
  <c r="AD458" i="1" a="1"/>
  <c r="AD458" i="1" s="1"/>
  <c r="AA438" i="1"/>
  <c r="AB438" i="1"/>
  <c r="AL458" i="1" l="1"/>
  <c r="BQ458" i="1" s="1"/>
  <c r="BS458" i="1" s="1"/>
  <c r="AK458" i="1"/>
  <c r="BP458" i="1" s="1"/>
  <c r="BR458" i="1" s="1"/>
  <c r="AF458" i="1"/>
  <c r="AG458" i="1"/>
  <c r="OL438" i="1"/>
  <c r="OV438" i="1"/>
  <c r="OM438" i="1"/>
  <c r="OW438" i="1"/>
  <c r="BF458" i="1" l="1"/>
  <c r="BT458" i="1"/>
  <c r="BG458" i="1"/>
  <c r="BU458" i="1"/>
  <c r="CF458" i="1"/>
  <c r="OO438" i="1"/>
  <c r="OY438" i="1"/>
  <c r="ON438" i="1"/>
  <c r="OX438" i="1"/>
  <c r="CJ458" i="1" l="1"/>
  <c r="CH458" i="1"/>
  <c r="BI458" i="1"/>
  <c r="BW458" i="1"/>
  <c r="BH458" i="1"/>
  <c r="BV458" i="1"/>
  <c r="OP438" i="1"/>
  <c r="OZ438" i="1"/>
  <c r="OQ438" i="1"/>
  <c r="PA438" i="1"/>
  <c r="CG458" i="1" l="1"/>
  <c r="BX458" i="1"/>
  <c r="BJ458" i="1"/>
  <c r="BK458" i="1"/>
  <c r="BY458" i="1"/>
  <c r="OS438" i="1"/>
  <c r="PC438" i="1"/>
  <c r="OR438" i="1"/>
  <c r="PB438" i="1"/>
  <c r="CK458" i="1" l="1"/>
  <c r="CI458" i="1"/>
  <c r="CA458" i="1"/>
  <c r="BM458" i="1"/>
  <c r="BL458" i="1"/>
  <c r="BZ458" i="1"/>
  <c r="OT438" i="1"/>
  <c r="PD438" i="1"/>
  <c r="OU438" i="1"/>
  <c r="PG438" i="1" s="1"/>
  <c r="PE438" i="1"/>
  <c r="BN458" i="1" l="1"/>
  <c r="CB458" i="1"/>
  <c r="BO458" i="1"/>
  <c r="CE458" i="1" s="1"/>
  <c r="CC458" i="1"/>
  <c r="PF438" i="1"/>
  <c r="Z438" i="1" a="1"/>
  <c r="Z438" i="1" s="1"/>
  <c r="CD458" i="1" l="1"/>
  <c r="AJ458" i="1" a="1"/>
  <c r="AJ458" i="1" s="1"/>
  <c r="AH459" i="1" s="1"/>
  <c r="AE458" i="1" a="1"/>
  <c r="AE458" i="1" s="1"/>
  <c r="AC459" i="1" s="1"/>
  <c r="Y439" i="1" a="1"/>
  <c r="Y439" i="1" s="1"/>
  <c r="AB439" i="1" s="1"/>
  <c r="KD439" i="1" s="1"/>
  <c r="Y441" i="1" a="1"/>
  <c r="Y441" i="1" s="1"/>
  <c r="AD459" i="1" l="1" a="1"/>
  <c r="AD459" i="1" s="1"/>
  <c r="AI459" i="1" a="1"/>
  <c r="AI459" i="1" s="1"/>
  <c r="AA439" i="1"/>
  <c r="KC439" i="1" s="1"/>
  <c r="Z439" i="1" s="1" a="1"/>
  <c r="Z439" i="1" s="1"/>
  <c r="Y440" i="1" s="1" a="1"/>
  <c r="Y440" i="1" s="1"/>
  <c r="AA440" i="1" s="1"/>
  <c r="AA441" i="1"/>
  <c r="AB441" i="1"/>
  <c r="AL459" i="1" l="1"/>
  <c r="BQ459" i="1" s="1"/>
  <c r="BS459" i="1" s="1"/>
  <c r="AK459" i="1"/>
  <c r="BP459" i="1" s="1"/>
  <c r="BR459" i="1" s="1"/>
  <c r="AG459" i="1"/>
  <c r="AF459" i="1"/>
  <c r="AB440" i="1"/>
  <c r="QA440" i="1" s="1"/>
  <c r="OW441" i="1"/>
  <c r="OM441" i="1"/>
  <c r="OV441" i="1"/>
  <c r="OL441" i="1"/>
  <c r="QB440" i="1"/>
  <c r="QX440" i="1"/>
  <c r="CF459" i="1" l="1"/>
  <c r="BF459" i="1"/>
  <c r="BT459" i="1"/>
  <c r="BG459" i="1"/>
  <c r="BU459" i="1"/>
  <c r="QW440" i="1"/>
  <c r="OO441" i="1"/>
  <c r="OY441" i="1"/>
  <c r="ON441" i="1"/>
  <c r="OX441" i="1"/>
  <c r="QC440" i="1"/>
  <c r="QY440" i="1"/>
  <c r="QD440" i="1"/>
  <c r="QZ440" i="1"/>
  <c r="BI459" i="1" l="1"/>
  <c r="BW459" i="1"/>
  <c r="BH459" i="1"/>
  <c r="BV459" i="1"/>
  <c r="CJ459" i="1"/>
  <c r="CH459" i="1"/>
  <c r="OP441" i="1"/>
  <c r="OZ441" i="1"/>
  <c r="OQ441" i="1"/>
  <c r="PC441" i="1" s="1"/>
  <c r="PA441" i="1"/>
  <c r="QF440" i="1"/>
  <c r="RB440" i="1"/>
  <c r="QE440" i="1"/>
  <c r="RA440" i="1"/>
  <c r="CG459" i="1" l="1"/>
  <c r="BJ459" i="1"/>
  <c r="BX459" i="1"/>
  <c r="BK459" i="1"/>
  <c r="BY459" i="1"/>
  <c r="PB441" i="1"/>
  <c r="Z441" i="1" a="1"/>
  <c r="Z441" i="1" s="1"/>
  <c r="Y442" i="1" s="1" a="1"/>
  <c r="Y442" i="1" s="1"/>
  <c r="QG440" i="1"/>
  <c r="RC440" i="1"/>
  <c r="QH440" i="1"/>
  <c r="RD440" i="1"/>
  <c r="CI459" i="1" l="1"/>
  <c r="CK459" i="1"/>
  <c r="BM459" i="1"/>
  <c r="CA459" i="1"/>
  <c r="BL459" i="1"/>
  <c r="BZ459" i="1"/>
  <c r="AB442" i="1"/>
  <c r="AA442" i="1"/>
  <c r="QJ440" i="1"/>
  <c r="RH440" i="1" s="1"/>
  <c r="RF440" i="1"/>
  <c r="QI440" i="1"/>
  <c r="RE440" i="1"/>
  <c r="CB459" i="1" l="1"/>
  <c r="BN459" i="1"/>
  <c r="CC459" i="1"/>
  <c r="BO459" i="1"/>
  <c r="CE459" i="1" s="1"/>
  <c r="OL442" i="1"/>
  <c r="OV442" i="1"/>
  <c r="OM442" i="1"/>
  <c r="OW442" i="1"/>
  <c r="RG440" i="1"/>
  <c r="Z440" i="1" a="1"/>
  <c r="Z440" i="1" s="1"/>
  <c r="CD459" i="1" l="1"/>
  <c r="AE459" i="1" a="1"/>
  <c r="AE459" i="1" s="1"/>
  <c r="AJ459" i="1" a="1"/>
  <c r="AJ459" i="1" s="1"/>
  <c r="AH460" i="1" s="1"/>
  <c r="OO442" i="1"/>
  <c r="OY442" i="1"/>
  <c r="ON442" i="1"/>
  <c r="OX442" i="1"/>
  <c r="AI460" i="1" l="1" a="1"/>
  <c r="AI460" i="1" s="1"/>
  <c r="AC460" i="1"/>
  <c r="OP442" i="1"/>
  <c r="OZ442" i="1"/>
  <c r="OQ442" i="1"/>
  <c r="PC442" i="1" s="1"/>
  <c r="PA442" i="1"/>
  <c r="AL460" i="1" l="1"/>
  <c r="BQ460" i="1" s="1"/>
  <c r="BS460" i="1" s="1"/>
  <c r="AK460" i="1"/>
  <c r="BP460" i="1" s="1"/>
  <c r="BR460" i="1" s="1"/>
  <c r="AD460" i="1" a="1"/>
  <c r="AD460" i="1" s="1"/>
  <c r="PB442" i="1"/>
  <c r="Z442" i="1" a="1"/>
  <c r="Z442" i="1" s="1"/>
  <c r="Y443" i="1" s="1" a="1"/>
  <c r="Y443" i="1" s="1"/>
  <c r="CF460" i="1" l="1"/>
  <c r="AG460" i="1"/>
  <c r="AF460" i="1"/>
  <c r="AA443" i="1"/>
  <c r="AB443" i="1"/>
  <c r="BF460" i="1" l="1"/>
  <c r="BT460" i="1"/>
  <c r="BG460" i="1"/>
  <c r="BU460" i="1"/>
  <c r="CJ460" i="1"/>
  <c r="CH460" i="1"/>
  <c r="OL443" i="1"/>
  <c r="OV443" i="1"/>
  <c r="OM443" i="1"/>
  <c r="OW443" i="1"/>
  <c r="BI460" i="1" l="1"/>
  <c r="BW460" i="1"/>
  <c r="BH460" i="1"/>
  <c r="BV460" i="1"/>
  <c r="OO443" i="1"/>
  <c r="OY443" i="1"/>
  <c r="ON443" i="1"/>
  <c r="OX443" i="1"/>
  <c r="CG460" i="1" l="1"/>
  <c r="BJ460" i="1"/>
  <c r="BX460" i="1"/>
  <c r="BK460" i="1"/>
  <c r="BY460" i="1"/>
  <c r="OP443" i="1"/>
  <c r="OZ443" i="1"/>
  <c r="OQ443" i="1"/>
  <c r="PA443" i="1"/>
  <c r="CK460" i="1" l="1"/>
  <c r="CI460" i="1"/>
  <c r="BM460" i="1"/>
  <c r="CA460" i="1"/>
  <c r="BL460" i="1"/>
  <c r="BZ460" i="1"/>
  <c r="OS443" i="1"/>
  <c r="PC443" i="1"/>
  <c r="OR443" i="1"/>
  <c r="PB443" i="1"/>
  <c r="BN460" i="1" l="1"/>
  <c r="CB460" i="1"/>
  <c r="BO460" i="1"/>
  <c r="CE460" i="1" s="1"/>
  <c r="CC460" i="1"/>
  <c r="OT443" i="1"/>
  <c r="PD443" i="1"/>
  <c r="OU443" i="1"/>
  <c r="PG443" i="1" s="1"/>
  <c r="PE443" i="1"/>
  <c r="CD460" i="1" l="1"/>
  <c r="AJ460" i="1" a="1"/>
  <c r="AJ460" i="1" s="1"/>
  <c r="AH461" i="1" s="1"/>
  <c r="AE460" i="1" a="1"/>
  <c r="AE460" i="1" s="1"/>
  <c r="AC461" i="1" s="1"/>
  <c r="PF443" i="1"/>
  <c r="Z443" i="1" a="1"/>
  <c r="Z443" i="1" s="1"/>
  <c r="Y444" i="1" s="1" a="1"/>
  <c r="Y444" i="1" s="1"/>
  <c r="AD461" i="1" l="1" a="1"/>
  <c r="AD461" i="1" s="1"/>
  <c r="AI461" i="1" a="1"/>
  <c r="AI461" i="1" s="1"/>
  <c r="AB444" i="1"/>
  <c r="KD444" i="1" s="1"/>
  <c r="AA444" i="1"/>
  <c r="KC444" i="1" s="1"/>
  <c r="Z444" i="1" s="1" a="1"/>
  <c r="Z444" i="1" s="1"/>
  <c r="Y445" i="1" s="1" a="1"/>
  <c r="Y445" i="1" s="1"/>
  <c r="AL461" i="1" l="1"/>
  <c r="BQ461" i="1" s="1"/>
  <c r="BS461" i="1" s="1"/>
  <c r="AK461" i="1"/>
  <c r="BP461" i="1" s="1"/>
  <c r="BR461" i="1" s="1"/>
  <c r="AF461" i="1"/>
  <c r="AG461" i="1"/>
  <c r="AA445" i="1"/>
  <c r="AB445" i="1"/>
  <c r="CF461" i="1" l="1"/>
  <c r="BF461" i="1"/>
  <c r="BT461" i="1"/>
  <c r="BG461" i="1"/>
  <c r="BU461" i="1"/>
  <c r="QA445" i="1"/>
  <c r="QW445" i="1"/>
  <c r="QB445" i="1"/>
  <c r="QX445" i="1"/>
  <c r="BI461" i="1" l="1"/>
  <c r="BW461" i="1"/>
  <c r="BH461" i="1"/>
  <c r="BV461" i="1"/>
  <c r="CJ461" i="1"/>
  <c r="CH461" i="1"/>
  <c r="QD445" i="1"/>
  <c r="QZ445" i="1"/>
  <c r="QC445" i="1"/>
  <c r="QY445" i="1"/>
  <c r="CG461" i="1" l="1"/>
  <c r="BJ461" i="1"/>
  <c r="BX461" i="1"/>
  <c r="BK461" i="1"/>
  <c r="BY461" i="1"/>
  <c r="QE445" i="1"/>
  <c r="RA445" i="1"/>
  <c r="QF445" i="1"/>
  <c r="RB445" i="1"/>
  <c r="CI461" i="1" l="1"/>
  <c r="CK461" i="1"/>
  <c r="BM461" i="1"/>
  <c r="CA461" i="1"/>
  <c r="BL461" i="1"/>
  <c r="BZ461" i="1"/>
  <c r="QH445" i="1"/>
  <c r="RD445" i="1"/>
  <c r="QG445" i="1"/>
  <c r="RC445" i="1"/>
  <c r="BN461" i="1" l="1"/>
  <c r="CB461" i="1"/>
  <c r="BO461" i="1"/>
  <c r="CE461" i="1" s="1"/>
  <c r="CC461" i="1"/>
  <c r="QI445" i="1"/>
  <c r="RE445" i="1"/>
  <c r="QJ445" i="1"/>
  <c r="RH445" i="1" s="1"/>
  <c r="RF445" i="1"/>
  <c r="CD461" i="1" l="1"/>
  <c r="AJ461" i="1" a="1"/>
  <c r="AJ461" i="1" s="1"/>
  <c r="AH462" i="1" s="1"/>
  <c r="AE461" i="1" a="1"/>
  <c r="AE461" i="1" s="1"/>
  <c r="AC462" i="1" s="1"/>
  <c r="RG445" i="1"/>
  <c r="Z445" i="1" a="1"/>
  <c r="Z445" i="1" s="1"/>
  <c r="AD462" i="1" l="1" a="1"/>
  <c r="AD462" i="1" s="1"/>
  <c r="AI462" i="1" a="1"/>
  <c r="AI462" i="1" s="1"/>
  <c r="AL462" i="1" l="1"/>
  <c r="BQ462" i="1" s="1"/>
  <c r="BS462" i="1" s="1"/>
  <c r="AK462" i="1"/>
  <c r="BP462" i="1" s="1"/>
  <c r="BR462" i="1" s="1"/>
  <c r="AF462" i="1"/>
  <c r="AG462" i="1"/>
  <c r="CF462" i="1" l="1"/>
  <c r="BG462" i="1"/>
  <c r="BU462" i="1"/>
  <c r="BF462" i="1"/>
  <c r="BT462" i="1"/>
  <c r="BH462" i="1" l="1"/>
  <c r="BV462" i="1"/>
  <c r="BI462" i="1"/>
  <c r="BW462" i="1"/>
  <c r="CJ462" i="1"/>
  <c r="CH462" i="1"/>
  <c r="CG462" i="1" l="1"/>
  <c r="BK462" i="1"/>
  <c r="BY462" i="1"/>
  <c r="BJ462" i="1"/>
  <c r="BX462" i="1"/>
  <c r="CK462" i="1" l="1"/>
  <c r="CI462" i="1"/>
  <c r="BL462" i="1"/>
  <c r="BZ462" i="1"/>
  <c r="BM462" i="1"/>
  <c r="CA462" i="1"/>
  <c r="BO462" i="1" l="1"/>
  <c r="CE462" i="1" s="1"/>
  <c r="CC462" i="1"/>
  <c r="BN462" i="1"/>
  <c r="CB462" i="1"/>
  <c r="CD462" i="1" l="1"/>
  <c r="AJ462" i="1" a="1"/>
  <c r="AJ462" i="1" s="1"/>
  <c r="AH463" i="1" s="1"/>
  <c r="AE462" i="1" a="1"/>
  <c r="AE462" i="1" s="1"/>
  <c r="AC463" i="1" s="1"/>
  <c r="AD463" i="1" l="1" a="1"/>
  <c r="AD463" i="1" s="1"/>
  <c r="AI463" i="1" a="1"/>
  <c r="AI463" i="1" s="1"/>
  <c r="AL463" i="1" l="1"/>
  <c r="BQ463" i="1" s="1"/>
  <c r="BS463" i="1" s="1"/>
  <c r="AK463" i="1"/>
  <c r="BP463" i="1" s="1"/>
  <c r="BR463" i="1" s="1"/>
  <c r="AF463" i="1"/>
  <c r="AG463" i="1"/>
  <c r="BG463" i="1" l="1"/>
  <c r="BU463" i="1"/>
  <c r="BF463" i="1"/>
  <c r="BT463" i="1"/>
  <c r="CF463" i="1"/>
  <c r="BH463" i="1" l="1"/>
  <c r="BV463" i="1"/>
  <c r="CJ463" i="1"/>
  <c r="CH463" i="1"/>
  <c r="BI463" i="1"/>
  <c r="BW463" i="1"/>
  <c r="CG463" i="1" l="1"/>
  <c r="BK463" i="1"/>
  <c r="BY463" i="1"/>
  <c r="BJ463" i="1"/>
  <c r="BX463" i="1"/>
  <c r="CK463" i="1" l="1"/>
  <c r="CI463" i="1"/>
  <c r="BL463" i="1"/>
  <c r="BZ463" i="1"/>
  <c r="BM463" i="1"/>
  <c r="CA463" i="1"/>
  <c r="BO463" i="1" l="1"/>
  <c r="CE463" i="1" s="1"/>
  <c r="CC463" i="1"/>
  <c r="BN463" i="1"/>
  <c r="CB463" i="1"/>
  <c r="CD463" i="1" l="1"/>
  <c r="AE463" i="1" a="1"/>
  <c r="AE463" i="1" s="1"/>
  <c r="AC464" i="1" s="1"/>
  <c r="AJ463" i="1" a="1"/>
  <c r="AJ463" i="1" s="1"/>
  <c r="AH464" i="1" s="1"/>
  <c r="AI464" i="1" l="1" a="1"/>
  <c r="AI464" i="1" s="1"/>
  <c r="AD464" i="1" a="1"/>
  <c r="AD464" i="1" s="1"/>
  <c r="AL464" i="1" l="1"/>
  <c r="BQ464" i="1" s="1"/>
  <c r="BS464" i="1" s="1"/>
  <c r="AK464" i="1"/>
  <c r="BP464" i="1" s="1"/>
  <c r="BR464" i="1" s="1"/>
  <c r="AF464" i="1"/>
  <c r="AG464" i="1"/>
  <c r="CF464" i="1" l="1"/>
  <c r="BF464" i="1"/>
  <c r="BT464" i="1"/>
  <c r="BG464" i="1"/>
  <c r="BU464" i="1"/>
  <c r="BH464" i="1" l="1"/>
  <c r="BV464" i="1"/>
  <c r="BI464" i="1"/>
  <c r="BW464" i="1"/>
  <c r="CJ464" i="1"/>
  <c r="CH464" i="1"/>
  <c r="CG464" i="1" l="1"/>
  <c r="BK464" i="1"/>
  <c r="BY464" i="1"/>
  <c r="BJ464" i="1"/>
  <c r="BX464" i="1"/>
  <c r="CK464" i="1" l="1"/>
  <c r="CI464" i="1"/>
  <c r="BL464" i="1"/>
  <c r="BZ464" i="1"/>
  <c r="BM464" i="1"/>
  <c r="CA464" i="1"/>
  <c r="CC464" i="1" l="1"/>
  <c r="BO464" i="1"/>
  <c r="CE464" i="1" s="1"/>
  <c r="BN464" i="1"/>
  <c r="CB464" i="1"/>
  <c r="CD464" i="1" l="1"/>
  <c r="AJ464" i="1" a="1"/>
  <c r="AJ464" i="1" s="1"/>
  <c r="AH465" i="1" s="1"/>
  <c r="AE464" i="1" a="1"/>
  <c r="AE464" i="1" s="1"/>
  <c r="AC465" i="1" l="1"/>
  <c r="AI465" i="1" a="1"/>
  <c r="AI465" i="1" s="1"/>
  <c r="AL465" i="1" l="1"/>
  <c r="BQ465" i="1" s="1"/>
  <c r="BS465" i="1" s="1"/>
  <c r="AK465" i="1"/>
  <c r="BP465" i="1" s="1"/>
  <c r="BR465" i="1" s="1"/>
  <c r="AD465" i="1" a="1"/>
  <c r="AD465" i="1" s="1"/>
  <c r="CF465" i="1" l="1"/>
  <c r="AG465" i="1"/>
  <c r="AF465" i="1"/>
  <c r="BF465" i="1" l="1"/>
  <c r="BT465" i="1"/>
  <c r="BG465" i="1"/>
  <c r="BU465" i="1"/>
  <c r="CJ465" i="1"/>
  <c r="CH465" i="1"/>
  <c r="BI465" i="1" l="1"/>
  <c r="BW465" i="1"/>
  <c r="BH465" i="1"/>
  <c r="BV465" i="1"/>
  <c r="CG465" i="1" l="1"/>
  <c r="BJ465" i="1"/>
  <c r="BX465" i="1"/>
  <c r="BK465" i="1"/>
  <c r="BY465" i="1"/>
  <c r="CK465" i="1" l="1"/>
  <c r="CI465" i="1"/>
  <c r="BM465" i="1"/>
  <c r="CA465" i="1"/>
  <c r="BL465" i="1"/>
  <c r="BZ465" i="1"/>
  <c r="BN465" i="1" l="1"/>
  <c r="CB465" i="1"/>
  <c r="BO465" i="1"/>
  <c r="CE465" i="1" s="1"/>
  <c r="CC465" i="1"/>
  <c r="CD465" i="1" l="1"/>
  <c r="AJ465" i="1" a="1"/>
  <c r="AJ465" i="1" s="1"/>
  <c r="AH466" i="1" s="1"/>
  <c r="AE465" i="1" a="1"/>
  <c r="AE465" i="1" s="1"/>
  <c r="AC466" i="1" s="1"/>
  <c r="AD466" i="1" l="1" a="1"/>
  <c r="AD466" i="1" s="1"/>
  <c r="AI466" i="1" a="1"/>
  <c r="AI466" i="1" s="1"/>
  <c r="AL466" i="1" l="1"/>
  <c r="BQ466" i="1" s="1"/>
  <c r="BS466" i="1" s="1"/>
  <c r="AK466" i="1"/>
  <c r="BP466" i="1" s="1"/>
  <c r="BR466" i="1" s="1"/>
  <c r="AG466" i="1"/>
  <c r="AF466" i="1"/>
  <c r="BF466" i="1" l="1"/>
  <c r="BT466" i="1"/>
  <c r="BG466" i="1"/>
  <c r="BU466" i="1"/>
  <c r="CF466" i="1"/>
  <c r="BI466" i="1" l="1"/>
  <c r="BW466" i="1"/>
  <c r="CJ466" i="1"/>
  <c r="CH466" i="1"/>
  <c r="BH466" i="1"/>
  <c r="BV466" i="1"/>
  <c r="CG466" i="1" l="1"/>
  <c r="BJ466" i="1"/>
  <c r="BX466" i="1"/>
  <c r="BK466" i="1"/>
  <c r="BY466" i="1"/>
  <c r="CK466" i="1" l="1"/>
  <c r="CI466" i="1"/>
  <c r="BM466" i="1"/>
  <c r="CA466" i="1"/>
  <c r="BL466" i="1"/>
  <c r="BZ466" i="1"/>
  <c r="BN466" i="1" l="1"/>
  <c r="CB466" i="1"/>
  <c r="BO466" i="1"/>
  <c r="CE466" i="1" s="1"/>
  <c r="CC466" i="1"/>
  <c r="CD466" i="1" l="1"/>
  <c r="AE466" i="1" a="1"/>
  <c r="AE466" i="1" s="1"/>
  <c r="AC467" i="1" s="1"/>
  <c r="AJ466" i="1" a="1"/>
  <c r="AJ466" i="1" s="1"/>
  <c r="AH467" i="1" s="1"/>
  <c r="AD467" i="1" l="1" a="1"/>
  <c r="AD467" i="1" s="1"/>
  <c r="AI467" i="1" a="1"/>
  <c r="AI467" i="1" s="1"/>
  <c r="AL467" i="1" l="1"/>
  <c r="BQ467" i="1" s="1"/>
  <c r="BS467" i="1" s="1"/>
  <c r="AK467" i="1"/>
  <c r="BP467" i="1" s="1"/>
  <c r="BR467" i="1" s="1"/>
  <c r="AF467" i="1"/>
  <c r="AG467" i="1"/>
  <c r="CF467" i="1" l="1"/>
  <c r="BF467" i="1"/>
  <c r="BT467" i="1"/>
  <c r="BG467" i="1"/>
  <c r="BU467" i="1"/>
  <c r="BH467" i="1" l="1"/>
  <c r="BV467" i="1"/>
  <c r="CJ467" i="1"/>
  <c r="CH467" i="1"/>
  <c r="BI467" i="1"/>
  <c r="BW467" i="1"/>
  <c r="CG467" i="1" l="1"/>
  <c r="BK467" i="1"/>
  <c r="BY467" i="1"/>
  <c r="BJ467" i="1"/>
  <c r="BX467" i="1"/>
  <c r="CK467" i="1" l="1"/>
  <c r="CI467" i="1"/>
  <c r="BL467" i="1"/>
  <c r="BZ467" i="1"/>
  <c r="BM467" i="1"/>
  <c r="CA467" i="1"/>
  <c r="BO467" i="1" l="1"/>
  <c r="CE467" i="1" s="1"/>
  <c r="CC467" i="1"/>
  <c r="BN467" i="1"/>
  <c r="CB467" i="1"/>
  <c r="CD467" i="1" l="1"/>
  <c r="AJ467" i="1" a="1"/>
  <c r="AJ467" i="1" s="1"/>
  <c r="AH468" i="1" s="1"/>
  <c r="AE467" i="1" a="1"/>
  <c r="AE467" i="1" s="1"/>
  <c r="AC468" i="1" s="1"/>
  <c r="AD468" i="1" l="1" a="1"/>
  <c r="AD468" i="1" s="1"/>
  <c r="AI468" i="1" a="1"/>
  <c r="AI468" i="1" s="1"/>
  <c r="AL468" i="1" l="1"/>
  <c r="BQ468" i="1" s="1"/>
  <c r="BS468" i="1" s="1"/>
  <c r="AK468" i="1"/>
  <c r="BP468" i="1" s="1"/>
  <c r="BR468" i="1" s="1"/>
  <c r="AG468" i="1"/>
  <c r="AF468" i="1"/>
  <c r="CF468" i="1" l="1"/>
  <c r="BG468" i="1"/>
  <c r="BU468" i="1"/>
  <c r="BF468" i="1"/>
  <c r="BT468" i="1"/>
  <c r="BH468" i="1" l="1"/>
  <c r="BV468" i="1"/>
  <c r="BI468" i="1"/>
  <c r="BW468" i="1"/>
  <c r="CJ468" i="1"/>
  <c r="CH468" i="1"/>
  <c r="CG468" i="1" l="1"/>
  <c r="BK468" i="1"/>
  <c r="BY468" i="1"/>
  <c r="BJ468" i="1"/>
  <c r="BX468" i="1"/>
  <c r="CI468" i="1" l="1"/>
  <c r="CK468" i="1"/>
  <c r="BL468" i="1"/>
  <c r="BZ468" i="1"/>
  <c r="BM468" i="1"/>
  <c r="CA468" i="1"/>
  <c r="BO468" i="1" l="1"/>
  <c r="CE468" i="1" s="1"/>
  <c r="CC468" i="1"/>
  <c r="BN468" i="1"/>
  <c r="CB468" i="1"/>
  <c r="CD468" i="1" l="1"/>
  <c r="AJ468" i="1" a="1"/>
  <c r="AJ468" i="1" s="1"/>
  <c r="AH469" i="1" s="1"/>
  <c r="AE468" i="1" a="1"/>
  <c r="AE468" i="1" s="1"/>
  <c r="AC469" i="1" s="1"/>
  <c r="AD469" i="1" l="1" a="1"/>
  <c r="AD469" i="1" s="1"/>
  <c r="AI469" i="1" a="1"/>
  <c r="AI469" i="1" s="1"/>
  <c r="AL469" i="1" l="1"/>
  <c r="BQ469" i="1" s="1"/>
  <c r="BS469" i="1" s="1"/>
  <c r="AK469" i="1"/>
  <c r="BP469" i="1" s="1"/>
  <c r="BR469" i="1" s="1"/>
  <c r="AG469" i="1"/>
  <c r="AF469" i="1"/>
  <c r="BG469" i="1" l="1"/>
  <c r="BU469" i="1"/>
  <c r="BF469" i="1"/>
  <c r="BT469" i="1"/>
  <c r="CF469" i="1"/>
  <c r="CJ469" i="1" l="1"/>
  <c r="CH469" i="1"/>
  <c r="BH469" i="1"/>
  <c r="BV469" i="1"/>
  <c r="BI469" i="1"/>
  <c r="BW469" i="1"/>
  <c r="CG469" i="1" l="1"/>
  <c r="BJ469" i="1"/>
  <c r="BX469" i="1"/>
  <c r="BK469" i="1"/>
  <c r="BY469" i="1"/>
  <c r="CK469" i="1" l="1"/>
  <c r="CI469" i="1"/>
  <c r="BM469" i="1"/>
  <c r="CA469" i="1"/>
  <c r="BL469" i="1"/>
  <c r="BZ469" i="1"/>
  <c r="BN469" i="1" l="1"/>
  <c r="CB469" i="1"/>
  <c r="BO469" i="1"/>
  <c r="CE469" i="1" s="1"/>
  <c r="CC469" i="1"/>
  <c r="CD469" i="1" l="1"/>
  <c r="AJ469" i="1" a="1"/>
  <c r="AJ469" i="1" s="1"/>
  <c r="AH470" i="1" s="1"/>
  <c r="AE469" i="1" a="1"/>
  <c r="AE469" i="1" s="1"/>
  <c r="AC470" i="1" s="1"/>
  <c r="AD470" i="1" l="1" a="1"/>
  <c r="AD470" i="1" s="1"/>
  <c r="AI470" i="1" a="1"/>
  <c r="AI470" i="1" s="1"/>
  <c r="AL470" i="1" l="1"/>
  <c r="BQ470" i="1" s="1"/>
  <c r="BS470" i="1" s="1"/>
  <c r="AK470" i="1"/>
  <c r="BP470" i="1" s="1"/>
  <c r="BR470" i="1" s="1"/>
  <c r="AG470" i="1"/>
  <c r="AF470" i="1"/>
  <c r="BF470" i="1" l="1"/>
  <c r="BT470" i="1"/>
  <c r="BG470" i="1"/>
  <c r="BU470" i="1"/>
  <c r="CF470" i="1"/>
  <c r="CJ470" i="1" l="1"/>
  <c r="CH470" i="1"/>
  <c r="BI470" i="1"/>
  <c r="BW470" i="1"/>
  <c r="BH470" i="1"/>
  <c r="BV470" i="1"/>
  <c r="CG470" i="1" l="1"/>
  <c r="BJ470" i="1"/>
  <c r="BX470" i="1"/>
  <c r="BK470" i="1"/>
  <c r="BY470" i="1"/>
  <c r="CK470" i="1" l="1"/>
  <c r="CI470" i="1"/>
  <c r="BM470" i="1"/>
  <c r="CA470" i="1"/>
  <c r="BL470" i="1"/>
  <c r="BZ470" i="1"/>
  <c r="BN470" i="1" l="1"/>
  <c r="CB470" i="1"/>
  <c r="BO470" i="1"/>
  <c r="CE470" i="1" s="1"/>
  <c r="CC470" i="1"/>
  <c r="CD470" i="1" l="1"/>
  <c r="AJ470" i="1" a="1"/>
  <c r="AJ470" i="1" s="1"/>
  <c r="AH471" i="1" s="1"/>
  <c r="AE470" i="1" a="1"/>
  <c r="AE470" i="1" s="1"/>
  <c r="AC471" i="1" s="1"/>
  <c r="AD471" i="1" l="1" a="1"/>
  <c r="AD471" i="1" s="1"/>
  <c r="AI471" i="1" a="1"/>
  <c r="AI471" i="1" s="1"/>
  <c r="AL471" i="1" l="1"/>
  <c r="BQ471" i="1" s="1"/>
  <c r="BS471" i="1" s="1"/>
  <c r="AK471" i="1"/>
  <c r="BP471" i="1" s="1"/>
  <c r="BR471" i="1" s="1"/>
  <c r="AF471" i="1"/>
  <c r="AG471" i="1"/>
  <c r="BF471" i="1" l="1"/>
  <c r="BT471" i="1"/>
  <c r="BG471" i="1"/>
  <c r="BU471" i="1"/>
  <c r="CF471" i="1"/>
  <c r="CJ471" i="1" l="1"/>
  <c r="CH471" i="1"/>
  <c r="BI471" i="1"/>
  <c r="BW471" i="1"/>
  <c r="BH471" i="1"/>
  <c r="BV471" i="1"/>
  <c r="CG471" i="1" l="1"/>
  <c r="BK471" i="1"/>
  <c r="BY471" i="1"/>
  <c r="BJ471" i="1"/>
  <c r="BX471" i="1"/>
  <c r="CK471" i="1" l="1"/>
  <c r="CI471" i="1"/>
  <c r="BL471" i="1"/>
  <c r="BZ471" i="1"/>
  <c r="BM471" i="1"/>
  <c r="CA471" i="1"/>
  <c r="BO471" i="1" l="1"/>
  <c r="CE471" i="1" s="1"/>
  <c r="CC471" i="1"/>
  <c r="BN471" i="1"/>
  <c r="CB471" i="1"/>
  <c r="CD471" i="1" l="1"/>
  <c r="AJ471" i="1" a="1"/>
  <c r="AJ471" i="1" s="1"/>
  <c r="AH472" i="1" s="1"/>
  <c r="AE471" i="1" a="1"/>
  <c r="AE471" i="1" s="1"/>
  <c r="AC472" i="1" s="1"/>
  <c r="AD472" i="1" l="1" a="1"/>
  <c r="AD472" i="1" s="1"/>
  <c r="AI472" i="1" a="1"/>
  <c r="AI472" i="1" s="1"/>
  <c r="AL472" i="1" l="1"/>
  <c r="BQ472" i="1" s="1"/>
  <c r="BS472" i="1" s="1"/>
  <c r="AK472" i="1"/>
  <c r="BP472" i="1" s="1"/>
  <c r="BR472" i="1" s="1"/>
  <c r="AG472" i="1"/>
  <c r="AF472" i="1"/>
  <c r="BF472" i="1" l="1"/>
  <c r="BT472" i="1"/>
  <c r="CF472" i="1"/>
  <c r="BG472" i="1"/>
  <c r="BU472" i="1"/>
  <c r="BI472" i="1" l="1"/>
  <c r="BW472" i="1"/>
  <c r="CJ472" i="1"/>
  <c r="CH472" i="1"/>
  <c r="BH472" i="1"/>
  <c r="BV472" i="1"/>
  <c r="CG472" i="1" l="1"/>
  <c r="BJ472" i="1"/>
  <c r="BX472" i="1"/>
  <c r="BK472" i="1"/>
  <c r="BY472" i="1"/>
  <c r="CK472" i="1" l="1"/>
  <c r="CI472" i="1"/>
  <c r="BM472" i="1"/>
  <c r="CA472" i="1"/>
  <c r="BL472" i="1"/>
  <c r="BZ472" i="1"/>
  <c r="BN472" i="1" l="1"/>
  <c r="CB472" i="1"/>
  <c r="BO472" i="1"/>
  <c r="CE472" i="1" s="1"/>
  <c r="CC472" i="1"/>
  <c r="CD472" i="1" l="1"/>
  <c r="AJ472" i="1" a="1"/>
  <c r="AJ472" i="1" s="1"/>
  <c r="AH473" i="1" s="1"/>
  <c r="AE472" i="1" a="1"/>
  <c r="AE472" i="1" s="1"/>
  <c r="AC473" i="1" s="1"/>
  <c r="AD473" i="1" l="1" a="1"/>
  <c r="AD473" i="1" s="1"/>
  <c r="AI473" i="1" a="1"/>
  <c r="AI473" i="1" s="1"/>
  <c r="AL473" i="1" l="1"/>
  <c r="BQ473" i="1" s="1"/>
  <c r="BS473" i="1" s="1"/>
  <c r="AK473" i="1"/>
  <c r="BP473" i="1" s="1"/>
  <c r="BR473" i="1" s="1"/>
  <c r="AG473" i="1"/>
  <c r="AF473" i="1"/>
  <c r="BF473" i="1" l="1"/>
  <c r="BT473" i="1"/>
  <c r="BG473" i="1"/>
  <c r="BU473" i="1"/>
  <c r="CF473" i="1"/>
  <c r="CJ473" i="1" l="1"/>
  <c r="CH473" i="1"/>
  <c r="BI473" i="1"/>
  <c r="BW473" i="1"/>
  <c r="BH473" i="1"/>
  <c r="BV473" i="1"/>
  <c r="CG473" i="1" l="1"/>
  <c r="BJ473" i="1"/>
  <c r="BX473" i="1"/>
  <c r="BK473" i="1"/>
  <c r="BY473" i="1"/>
  <c r="CK473" i="1" l="1"/>
  <c r="CI473" i="1"/>
  <c r="BM473" i="1"/>
  <c r="CA473" i="1"/>
  <c r="BL473" i="1"/>
  <c r="BZ473" i="1"/>
  <c r="BN473" i="1" l="1"/>
  <c r="CB473" i="1"/>
  <c r="BO473" i="1"/>
  <c r="CE473" i="1" s="1"/>
  <c r="CC473" i="1"/>
  <c r="CD473" i="1" l="1"/>
  <c r="AE473" i="1" a="1"/>
  <c r="AE473" i="1" s="1"/>
  <c r="AJ473" i="1" a="1"/>
  <c r="AJ473" i="1" s="1"/>
  <c r="AH474" i="1" s="1"/>
  <c r="AI474" i="1" l="1" a="1"/>
  <c r="AI474" i="1" s="1"/>
  <c r="AC474" i="1"/>
  <c r="AL474" i="1" l="1"/>
  <c r="BQ474" i="1" s="1"/>
  <c r="BS474" i="1" s="1"/>
  <c r="AK474" i="1"/>
  <c r="BP474" i="1" s="1"/>
  <c r="BR474" i="1" s="1"/>
  <c r="AD474" i="1" a="1"/>
  <c r="AD474" i="1" s="1"/>
  <c r="CF474" i="1" l="1"/>
  <c r="AG474" i="1"/>
  <c r="AF474" i="1"/>
  <c r="BG474" i="1" l="1"/>
  <c r="BU474" i="1"/>
  <c r="BF474" i="1"/>
  <c r="BT474" i="1"/>
  <c r="CJ474" i="1"/>
  <c r="CH474" i="1"/>
  <c r="BH474" i="1" l="1"/>
  <c r="BV474" i="1"/>
  <c r="BI474" i="1"/>
  <c r="BW474" i="1"/>
  <c r="CG474" i="1" l="1"/>
  <c r="BK474" i="1"/>
  <c r="BY474" i="1"/>
  <c r="BJ474" i="1"/>
  <c r="BX474" i="1"/>
  <c r="CK474" i="1" l="1"/>
  <c r="CI474" i="1"/>
  <c r="BL474" i="1"/>
  <c r="BZ474" i="1"/>
  <c r="BM474" i="1"/>
  <c r="CA474" i="1"/>
  <c r="BO474" i="1" l="1"/>
  <c r="CE474" i="1" s="1"/>
  <c r="CC474" i="1"/>
  <c r="BN474" i="1"/>
  <c r="CB474" i="1"/>
  <c r="CD474" i="1" l="1"/>
  <c r="AE474" i="1" a="1"/>
  <c r="AE474" i="1" s="1"/>
  <c r="AC475" i="1" s="1"/>
  <c r="AJ474" i="1" a="1"/>
  <c r="AJ474" i="1" s="1"/>
  <c r="AH475" i="1" s="1"/>
  <c r="AI475" i="1" l="1" a="1"/>
  <c r="AI475" i="1" s="1"/>
  <c r="AD475" i="1" a="1"/>
  <c r="AD475" i="1" s="1"/>
  <c r="AL475" i="1" l="1"/>
  <c r="BQ475" i="1" s="1"/>
  <c r="BS475" i="1" s="1"/>
  <c r="AK475" i="1"/>
  <c r="BP475" i="1" s="1"/>
  <c r="BR475" i="1" s="1"/>
  <c r="AG475" i="1"/>
  <c r="AF475" i="1"/>
  <c r="BF475" i="1" l="1"/>
  <c r="BT475" i="1"/>
  <c r="BG475" i="1"/>
  <c r="BU475" i="1"/>
  <c r="CF475" i="1"/>
  <c r="BH475" i="1" l="1"/>
  <c r="BV475" i="1"/>
  <c r="BI475" i="1"/>
  <c r="BW475" i="1"/>
  <c r="CJ475" i="1"/>
  <c r="CH475" i="1"/>
  <c r="CG475" i="1" l="1"/>
  <c r="BK475" i="1"/>
  <c r="BY475" i="1"/>
  <c r="BJ475" i="1"/>
  <c r="BX475" i="1"/>
  <c r="CK475" i="1" l="1"/>
  <c r="CI475" i="1"/>
  <c r="BL475" i="1"/>
  <c r="BZ475" i="1"/>
  <c r="BM475" i="1"/>
  <c r="CA475" i="1"/>
  <c r="BO475" i="1" l="1"/>
  <c r="CE475" i="1" s="1"/>
  <c r="CC475" i="1"/>
  <c r="BN475" i="1"/>
  <c r="CB475" i="1"/>
  <c r="CD475" i="1" l="1"/>
  <c r="AJ475" i="1" a="1"/>
  <c r="AJ475" i="1" s="1"/>
  <c r="AH476" i="1" s="1"/>
  <c r="AE475" i="1" a="1"/>
  <c r="AE475" i="1" s="1"/>
  <c r="AC476" i="1" s="1"/>
  <c r="AD476" i="1" l="1" a="1"/>
  <c r="AD476" i="1" s="1"/>
  <c r="AI476" i="1" a="1"/>
  <c r="AI476" i="1" s="1"/>
  <c r="AL476" i="1" l="1"/>
  <c r="BQ476" i="1" s="1"/>
  <c r="BS476" i="1" s="1"/>
  <c r="AK476" i="1"/>
  <c r="BP476" i="1" s="1"/>
  <c r="BR476" i="1" s="1"/>
  <c r="AF476" i="1"/>
  <c r="AG476" i="1"/>
  <c r="BF476" i="1" l="1"/>
  <c r="BT476" i="1"/>
  <c r="BG476" i="1"/>
  <c r="BU476" i="1"/>
  <c r="CF476" i="1"/>
  <c r="BI476" i="1" l="1"/>
  <c r="BW476" i="1"/>
  <c r="CJ476" i="1"/>
  <c r="CH476" i="1"/>
  <c r="BH476" i="1"/>
  <c r="BV476" i="1"/>
  <c r="CG476" i="1" l="1"/>
  <c r="BJ476" i="1"/>
  <c r="BX476" i="1"/>
  <c r="BK476" i="1"/>
  <c r="BY476" i="1"/>
  <c r="CK476" i="1" l="1"/>
  <c r="CI476" i="1"/>
  <c r="BM476" i="1"/>
  <c r="CA476" i="1"/>
  <c r="BL476" i="1"/>
  <c r="BZ476" i="1"/>
  <c r="BN476" i="1" l="1"/>
  <c r="CB476" i="1"/>
  <c r="BO476" i="1"/>
  <c r="CE476" i="1" s="1"/>
  <c r="CC476" i="1"/>
  <c r="CD476" i="1" l="1"/>
  <c r="AE476" i="1" a="1"/>
  <c r="AE476" i="1" s="1"/>
  <c r="AC477" i="1" s="1"/>
  <c r="AJ476" i="1" a="1"/>
  <c r="AJ476" i="1" s="1"/>
  <c r="AH477" i="1" s="1"/>
  <c r="AI477" i="1" l="1" a="1"/>
  <c r="AI477" i="1" s="1"/>
  <c r="AD477" i="1" a="1"/>
  <c r="AD477" i="1" s="1"/>
  <c r="AL477" i="1" l="1"/>
  <c r="BQ477" i="1" s="1"/>
  <c r="BS477" i="1" s="1"/>
  <c r="AK477" i="1"/>
  <c r="BP477" i="1" s="1"/>
  <c r="BR477" i="1" s="1"/>
  <c r="AG477" i="1"/>
  <c r="AF477" i="1"/>
  <c r="CF477" i="1" l="1"/>
  <c r="BF477" i="1"/>
  <c r="BT477" i="1"/>
  <c r="BG477" i="1"/>
  <c r="BU477" i="1"/>
  <c r="BI477" i="1" l="1"/>
  <c r="BW477" i="1"/>
  <c r="BH477" i="1"/>
  <c r="BV477" i="1"/>
  <c r="CJ477" i="1"/>
  <c r="CH477" i="1"/>
  <c r="CG477" i="1" l="1"/>
  <c r="BJ477" i="1"/>
  <c r="BX477" i="1"/>
  <c r="BK477" i="1"/>
  <c r="BY477" i="1"/>
  <c r="CK477" i="1" l="1"/>
  <c r="CI477" i="1"/>
  <c r="BM477" i="1"/>
  <c r="CA477" i="1"/>
  <c r="BL477" i="1"/>
  <c r="BZ477" i="1"/>
  <c r="BN477" i="1" l="1"/>
  <c r="CB477" i="1"/>
  <c r="BO477" i="1"/>
  <c r="CE477" i="1" s="1"/>
  <c r="CC477" i="1"/>
  <c r="CD477" i="1" l="1"/>
  <c r="AJ477" i="1" a="1"/>
  <c r="AJ477" i="1" s="1"/>
  <c r="AH478" i="1" s="1"/>
  <c r="AE477" i="1" a="1"/>
  <c r="AE477" i="1" s="1"/>
  <c r="AC478" i="1" s="1"/>
  <c r="AI478" i="1" l="1" a="1"/>
  <c r="AI478" i="1" s="1"/>
  <c r="AD478" i="1" a="1"/>
  <c r="AD478" i="1" s="1"/>
  <c r="AL478" i="1" l="1"/>
  <c r="BQ478" i="1" s="1"/>
  <c r="BS478" i="1" s="1"/>
  <c r="AK478" i="1"/>
  <c r="BP478" i="1" s="1"/>
  <c r="BR478" i="1" s="1"/>
  <c r="AG478" i="1"/>
  <c r="AF478" i="1"/>
  <c r="CF478" i="1" l="1"/>
  <c r="BF478" i="1"/>
  <c r="BT478" i="1"/>
  <c r="BG478" i="1"/>
  <c r="BU478" i="1"/>
  <c r="BH478" i="1" l="1"/>
  <c r="BV478" i="1"/>
  <c r="BI478" i="1"/>
  <c r="BW478" i="1"/>
  <c r="CJ478" i="1"/>
  <c r="CH478" i="1"/>
  <c r="CG478" i="1" l="1"/>
  <c r="BJ478" i="1"/>
  <c r="BX478" i="1"/>
  <c r="BK478" i="1"/>
  <c r="BY478" i="1"/>
  <c r="CK478" i="1" l="1"/>
  <c r="CI478" i="1"/>
  <c r="BM478" i="1"/>
  <c r="CA478" i="1"/>
  <c r="BL478" i="1"/>
  <c r="BZ478" i="1"/>
  <c r="BN478" i="1" l="1"/>
  <c r="CB478" i="1"/>
  <c r="BO478" i="1"/>
  <c r="CE478" i="1" s="1"/>
  <c r="CC478" i="1"/>
  <c r="CD478" i="1" l="1"/>
  <c r="AE478" i="1" a="1"/>
  <c r="AE478" i="1" s="1"/>
  <c r="AC479" i="1" s="1"/>
  <c r="AJ478" i="1" a="1"/>
  <c r="AJ478" i="1" s="1"/>
  <c r="AH479" i="1" s="1"/>
  <c r="AI479" i="1" l="1" a="1"/>
  <c r="AI479" i="1" s="1"/>
  <c r="AD479" i="1" a="1"/>
  <c r="AD479" i="1" s="1"/>
  <c r="AL479" i="1" l="1"/>
  <c r="BQ479" i="1" s="1"/>
  <c r="BS479" i="1" s="1"/>
  <c r="AK479" i="1"/>
  <c r="BP479" i="1" s="1"/>
  <c r="BR479" i="1" s="1"/>
  <c r="AG479" i="1"/>
  <c r="AF479" i="1"/>
  <c r="BF479" i="1" l="1"/>
  <c r="BT479" i="1"/>
  <c r="BG479" i="1"/>
  <c r="BU479" i="1"/>
  <c r="CF479" i="1"/>
  <c r="CJ479" i="1" l="1"/>
  <c r="CH479" i="1"/>
  <c r="BI479" i="1"/>
  <c r="BW479" i="1"/>
  <c r="BH479" i="1"/>
  <c r="BV479" i="1"/>
  <c r="CG479" i="1" l="1"/>
  <c r="BJ479" i="1"/>
  <c r="BX479" i="1"/>
  <c r="BK479" i="1"/>
  <c r="BY479" i="1"/>
  <c r="CK479" i="1" l="1"/>
  <c r="CI479" i="1"/>
  <c r="BM479" i="1"/>
  <c r="CA479" i="1"/>
  <c r="BL479" i="1"/>
  <c r="BZ479" i="1"/>
  <c r="BN479" i="1" l="1"/>
  <c r="CB479" i="1"/>
  <c r="BO479" i="1"/>
  <c r="CE479" i="1" s="1"/>
  <c r="CC479" i="1"/>
  <c r="CD479" i="1" l="1"/>
  <c r="AE479" i="1" a="1"/>
  <c r="AE479" i="1" s="1"/>
  <c r="AC480" i="1" s="1"/>
  <c r="AJ479" i="1" a="1"/>
  <c r="AJ479" i="1" s="1"/>
  <c r="AH480" i="1" s="1"/>
  <c r="AD480" i="1" l="1" a="1"/>
  <c r="AD480" i="1" s="1"/>
  <c r="AI480" i="1" a="1"/>
  <c r="AI480" i="1" s="1"/>
  <c r="AL480" i="1" l="1"/>
  <c r="BQ480" i="1" s="1"/>
  <c r="BS480" i="1" s="1"/>
  <c r="AK480" i="1"/>
  <c r="BP480" i="1" s="1"/>
  <c r="BR480" i="1" s="1"/>
  <c r="AG480" i="1"/>
  <c r="AF480" i="1"/>
  <c r="BF480" i="1" l="1"/>
  <c r="BT480" i="1"/>
  <c r="BG480" i="1"/>
  <c r="BU480" i="1"/>
  <c r="CF480" i="1"/>
  <c r="CJ480" i="1" l="1"/>
  <c r="CH480" i="1"/>
  <c r="BI480" i="1"/>
  <c r="BW480" i="1"/>
  <c r="BH480" i="1"/>
  <c r="BV480" i="1"/>
  <c r="CG480" i="1" l="1"/>
  <c r="BK480" i="1"/>
  <c r="BY480" i="1"/>
  <c r="BJ480" i="1"/>
  <c r="BX480" i="1"/>
  <c r="CK480" i="1" l="1"/>
  <c r="CI480" i="1"/>
  <c r="BL480" i="1"/>
  <c r="BZ480" i="1"/>
  <c r="BM480" i="1"/>
  <c r="CA480" i="1"/>
  <c r="BO480" i="1" l="1"/>
  <c r="CE480" i="1" s="1"/>
  <c r="CC480" i="1"/>
  <c r="BN480" i="1"/>
  <c r="CB480" i="1"/>
  <c r="CD480" i="1" l="1"/>
  <c r="AE480" i="1" a="1"/>
  <c r="AE480" i="1" s="1"/>
  <c r="AC481" i="1" s="1"/>
  <c r="AJ480" i="1" a="1"/>
  <c r="AJ480" i="1" s="1"/>
  <c r="AH481" i="1" s="1"/>
  <c r="AI481" i="1" l="1" a="1"/>
  <c r="AI481" i="1" s="1"/>
  <c r="AD481" i="1" a="1"/>
  <c r="AD481" i="1" s="1"/>
  <c r="AL481" i="1" l="1"/>
  <c r="BQ481" i="1" s="1"/>
  <c r="BS481" i="1" s="1"/>
  <c r="AK481" i="1"/>
  <c r="BP481" i="1" s="1"/>
  <c r="BR481" i="1" s="1"/>
  <c r="AF481" i="1"/>
  <c r="AG481" i="1"/>
  <c r="CF481" i="1" l="1"/>
  <c r="BG481" i="1"/>
  <c r="BU481" i="1"/>
  <c r="BF481" i="1"/>
  <c r="BT481" i="1"/>
  <c r="BH481" i="1" l="1"/>
  <c r="BV481" i="1"/>
  <c r="BI481" i="1"/>
  <c r="BW481" i="1"/>
  <c r="CJ481" i="1"/>
  <c r="CH481" i="1"/>
  <c r="CG481" i="1" l="1"/>
  <c r="BK481" i="1"/>
  <c r="BY481" i="1"/>
  <c r="BJ481" i="1"/>
  <c r="BX481" i="1"/>
  <c r="CI481" i="1" l="1"/>
  <c r="CK481" i="1"/>
  <c r="BL481" i="1"/>
  <c r="BZ481" i="1"/>
  <c r="BM481" i="1"/>
  <c r="CA481" i="1"/>
  <c r="BO481" i="1" l="1"/>
  <c r="CE481" i="1" s="1"/>
  <c r="CC481" i="1"/>
  <c r="BN481" i="1"/>
  <c r="CB481" i="1"/>
  <c r="CD481" i="1" l="1"/>
  <c r="AE481" i="1" a="1"/>
  <c r="AE481" i="1" s="1"/>
  <c r="AC482" i="1" s="1"/>
  <c r="AJ481" i="1" a="1"/>
  <c r="AJ481" i="1" s="1"/>
  <c r="AH482" i="1" s="1"/>
  <c r="AI482" i="1" l="1" a="1"/>
  <c r="AI482" i="1" s="1"/>
  <c r="AD482" i="1" a="1"/>
  <c r="AD482" i="1" s="1"/>
  <c r="AL482" i="1" l="1"/>
  <c r="BQ482" i="1" s="1"/>
  <c r="BS482" i="1" s="1"/>
  <c r="AK482" i="1"/>
  <c r="BP482" i="1" s="1"/>
  <c r="BR482" i="1" s="1"/>
  <c r="AG482" i="1"/>
  <c r="AF482" i="1"/>
  <c r="BF482" i="1" l="1"/>
  <c r="BT482" i="1"/>
  <c r="BG482" i="1"/>
  <c r="BU482" i="1"/>
  <c r="CF482" i="1"/>
  <c r="BI482" i="1" l="1"/>
  <c r="BW482" i="1"/>
  <c r="BH482" i="1"/>
  <c r="BV482" i="1"/>
  <c r="CJ482" i="1"/>
  <c r="CH482" i="1"/>
  <c r="CG482" i="1" l="1"/>
  <c r="BJ482" i="1"/>
  <c r="BX482" i="1"/>
  <c r="BK482" i="1"/>
  <c r="BY482" i="1"/>
  <c r="CK482" i="1" l="1"/>
  <c r="CI482" i="1"/>
  <c r="BM482" i="1"/>
  <c r="CA482" i="1"/>
  <c r="BL482" i="1"/>
  <c r="BZ482" i="1"/>
  <c r="BN482" i="1" l="1"/>
  <c r="CB482" i="1"/>
  <c r="BO482" i="1"/>
  <c r="CE482" i="1" s="1"/>
  <c r="CC482" i="1"/>
  <c r="CD482" i="1" l="1"/>
  <c r="AJ482" i="1" a="1"/>
  <c r="AJ482" i="1" s="1"/>
  <c r="AH483" i="1" s="1"/>
  <c r="AE482" i="1" a="1"/>
  <c r="AE482" i="1" s="1"/>
  <c r="AC483" i="1" s="1"/>
  <c r="AD483" i="1" l="1" a="1"/>
  <c r="AD483" i="1" s="1"/>
  <c r="AI483" i="1" a="1"/>
  <c r="AI483" i="1" s="1"/>
  <c r="AL483" i="1" l="1"/>
  <c r="BQ483" i="1" s="1"/>
  <c r="BS483" i="1" s="1"/>
  <c r="AK483" i="1"/>
  <c r="BP483" i="1" s="1"/>
  <c r="BR483" i="1" s="1"/>
  <c r="AF483" i="1"/>
  <c r="AG483" i="1"/>
  <c r="BG483" i="1" l="1"/>
  <c r="BU483" i="1"/>
  <c r="BF483" i="1"/>
  <c r="BT483" i="1"/>
  <c r="CF483" i="1"/>
  <c r="CJ483" i="1" l="1"/>
  <c r="CH483" i="1"/>
  <c r="BH483" i="1"/>
  <c r="BV483" i="1"/>
  <c r="BI483" i="1"/>
  <c r="BW483" i="1"/>
  <c r="CG483" i="1" l="1"/>
  <c r="BK483" i="1"/>
  <c r="BY483" i="1"/>
  <c r="BJ483" i="1"/>
  <c r="BX483" i="1"/>
  <c r="CK483" i="1" l="1"/>
  <c r="CI483" i="1"/>
  <c r="BL483" i="1"/>
  <c r="BZ483" i="1"/>
  <c r="BM483" i="1"/>
  <c r="CA483" i="1"/>
  <c r="BO483" i="1" l="1"/>
  <c r="CE483" i="1" s="1"/>
  <c r="CC483" i="1"/>
  <c r="BN483" i="1"/>
  <c r="CB483" i="1"/>
  <c r="CD483" i="1" l="1"/>
  <c r="AE483" i="1" a="1"/>
  <c r="AE483" i="1" s="1"/>
  <c r="AC484" i="1" s="1"/>
  <c r="AJ483" i="1" a="1"/>
  <c r="AJ483" i="1" s="1"/>
  <c r="AH484" i="1" s="1"/>
  <c r="AI484" i="1" l="1" a="1"/>
  <c r="AI484" i="1" s="1"/>
  <c r="AD484" i="1" a="1"/>
  <c r="AD484" i="1" s="1"/>
  <c r="AL484" i="1" l="1"/>
  <c r="BQ484" i="1" s="1"/>
  <c r="BS484" i="1" s="1"/>
  <c r="AK484" i="1"/>
  <c r="BP484" i="1" s="1"/>
  <c r="BR484" i="1" s="1"/>
  <c r="AG484" i="1"/>
  <c r="AF484" i="1"/>
  <c r="CF484" i="1" l="1"/>
  <c r="BG484" i="1"/>
  <c r="BU484" i="1"/>
  <c r="BF484" i="1"/>
  <c r="BT484" i="1"/>
  <c r="BI484" i="1" l="1"/>
  <c r="BW484" i="1"/>
  <c r="BH484" i="1"/>
  <c r="BV484" i="1"/>
  <c r="CJ484" i="1"/>
  <c r="CH484" i="1"/>
  <c r="CG484" i="1" l="1"/>
  <c r="BJ484" i="1"/>
  <c r="BX484" i="1"/>
  <c r="BK484" i="1"/>
  <c r="BY484" i="1"/>
  <c r="CK484" i="1" l="1"/>
  <c r="CI484" i="1"/>
  <c r="BM484" i="1"/>
  <c r="CA484" i="1"/>
  <c r="BL484" i="1"/>
  <c r="BZ484" i="1"/>
  <c r="BN484" i="1" l="1"/>
  <c r="CB484" i="1"/>
  <c r="BO484" i="1"/>
  <c r="CE484" i="1" s="1"/>
  <c r="CC484" i="1"/>
  <c r="CD484" i="1" l="1"/>
  <c r="AJ484" i="1" a="1"/>
  <c r="AJ484" i="1" s="1"/>
  <c r="AH485" i="1" s="1"/>
  <c r="AE484" i="1" a="1"/>
  <c r="AE484" i="1" s="1"/>
  <c r="AC485" i="1" s="1"/>
  <c r="AD485" i="1" l="1" a="1"/>
  <c r="AD485" i="1" s="1"/>
  <c r="AI485" i="1" a="1"/>
  <c r="AI485" i="1" s="1"/>
  <c r="AL485" i="1" l="1"/>
  <c r="BQ485" i="1" s="1"/>
  <c r="BS485" i="1" s="1"/>
  <c r="AK485" i="1"/>
  <c r="BP485" i="1" s="1"/>
  <c r="BR485" i="1" s="1"/>
  <c r="AG485" i="1"/>
  <c r="AF485" i="1"/>
  <c r="BF485" i="1" l="1"/>
  <c r="BT485" i="1"/>
  <c r="BG485" i="1"/>
  <c r="BU485" i="1"/>
  <c r="CF485" i="1"/>
  <c r="BI485" i="1" l="1"/>
  <c r="BW485" i="1"/>
  <c r="CJ485" i="1"/>
  <c r="CH485" i="1"/>
  <c r="BH485" i="1"/>
  <c r="BV485" i="1"/>
  <c r="CG485" i="1" l="1"/>
  <c r="BJ485" i="1"/>
  <c r="BX485" i="1"/>
  <c r="BK485" i="1"/>
  <c r="BY485" i="1"/>
  <c r="CK485" i="1" l="1"/>
  <c r="CI485" i="1"/>
  <c r="BM485" i="1"/>
  <c r="CA485" i="1"/>
  <c r="BL485" i="1"/>
  <c r="BZ485" i="1"/>
  <c r="BN485" i="1" l="1"/>
  <c r="CB485" i="1"/>
  <c r="BO485" i="1"/>
  <c r="CE485" i="1" s="1"/>
  <c r="CC485" i="1"/>
  <c r="CD485" i="1" l="1"/>
  <c r="AJ485" i="1" a="1"/>
  <c r="AJ485" i="1" s="1"/>
  <c r="AH486" i="1" s="1"/>
  <c r="AE485" i="1" a="1"/>
  <c r="AE485" i="1" s="1"/>
  <c r="AC486" i="1" s="1"/>
  <c r="AD486" i="1" l="1" a="1"/>
  <c r="AD486" i="1" s="1"/>
  <c r="AI486" i="1" a="1"/>
  <c r="AI486" i="1" s="1"/>
  <c r="AL486" i="1" l="1"/>
  <c r="BQ486" i="1" s="1"/>
  <c r="BS486" i="1" s="1"/>
  <c r="AK486" i="1"/>
  <c r="BP486" i="1" s="1"/>
  <c r="BR486" i="1" s="1"/>
  <c r="AF486" i="1"/>
  <c r="AG486" i="1"/>
  <c r="BG486" i="1" l="1"/>
  <c r="BU486" i="1"/>
  <c r="BF486" i="1"/>
  <c r="BT486" i="1"/>
  <c r="CF486" i="1"/>
  <c r="CJ486" i="1" l="1"/>
  <c r="CH486" i="1"/>
  <c r="BH486" i="1"/>
  <c r="BV486" i="1"/>
  <c r="BI486" i="1"/>
  <c r="BW486" i="1"/>
  <c r="CG486" i="1" l="1"/>
  <c r="BJ486" i="1"/>
  <c r="BX486" i="1"/>
  <c r="BK486" i="1"/>
  <c r="BY486" i="1"/>
  <c r="CK486" i="1" l="1"/>
  <c r="CI486" i="1"/>
  <c r="BM486" i="1"/>
  <c r="CA486" i="1"/>
  <c r="BL486" i="1"/>
  <c r="BZ486" i="1"/>
  <c r="BN486" i="1" l="1"/>
  <c r="CB486" i="1"/>
  <c r="BO486" i="1"/>
  <c r="CE486" i="1" s="1"/>
  <c r="CC486" i="1"/>
  <c r="CD486" i="1" l="1"/>
  <c r="AE486" i="1" a="1"/>
  <c r="AE486" i="1" s="1"/>
  <c r="AC487" i="1" s="1"/>
  <c r="AJ486" i="1" a="1"/>
  <c r="AJ486" i="1" s="1"/>
  <c r="AH487" i="1" s="1"/>
  <c r="AI487" i="1" l="1" a="1"/>
  <c r="AI487" i="1" s="1"/>
  <c r="AD487" i="1" a="1"/>
  <c r="AD487" i="1" s="1"/>
  <c r="AL487" i="1" l="1"/>
  <c r="BQ487" i="1" s="1"/>
  <c r="BS487" i="1" s="1"/>
  <c r="AK487" i="1"/>
  <c r="BP487" i="1" s="1"/>
  <c r="BR487" i="1" s="1"/>
  <c r="AG487" i="1"/>
  <c r="AF487" i="1"/>
  <c r="CF487" i="1" l="1"/>
  <c r="BG487" i="1"/>
  <c r="BU487" i="1"/>
  <c r="BF487" i="1"/>
  <c r="BT487" i="1"/>
  <c r="BH487" i="1" l="1"/>
  <c r="BV487" i="1"/>
  <c r="CJ487" i="1"/>
  <c r="CH487" i="1"/>
  <c r="BI487" i="1"/>
  <c r="BW487" i="1"/>
  <c r="CG487" i="1" l="1"/>
  <c r="BK487" i="1"/>
  <c r="BY487" i="1"/>
  <c r="BJ487" i="1"/>
  <c r="BX487" i="1"/>
  <c r="CI487" i="1" l="1"/>
  <c r="CK487" i="1"/>
  <c r="BL487" i="1"/>
  <c r="BZ487" i="1"/>
  <c r="BM487" i="1"/>
  <c r="CA487" i="1"/>
  <c r="BO487" i="1" l="1"/>
  <c r="CE487" i="1" s="1"/>
  <c r="CC487" i="1"/>
  <c r="BN487" i="1"/>
  <c r="CB487" i="1"/>
  <c r="CD487" i="1" l="1"/>
  <c r="AJ487" i="1" a="1"/>
  <c r="AJ487" i="1" s="1"/>
  <c r="AH488" i="1" s="1"/>
  <c r="AE487" i="1" a="1"/>
  <c r="AE487" i="1" s="1"/>
  <c r="AC488" i="1" s="1"/>
  <c r="AD488" i="1" l="1" a="1"/>
  <c r="AD488" i="1" s="1"/>
  <c r="AI488" i="1" a="1"/>
  <c r="AI488" i="1" s="1"/>
  <c r="AL488" i="1" l="1"/>
  <c r="BQ488" i="1" s="1"/>
  <c r="BS488" i="1" s="1"/>
  <c r="AK488" i="1"/>
  <c r="BP488" i="1" s="1"/>
  <c r="BR488" i="1" s="1"/>
  <c r="AF488" i="1"/>
  <c r="AG488" i="1"/>
  <c r="BF488" i="1" l="1"/>
  <c r="BT488" i="1"/>
  <c r="BG488" i="1"/>
  <c r="BU488" i="1"/>
  <c r="CF488" i="1"/>
  <c r="CJ488" i="1" l="1"/>
  <c r="CH488" i="1"/>
  <c r="BI488" i="1"/>
  <c r="BW488" i="1"/>
  <c r="BH488" i="1"/>
  <c r="BV488" i="1"/>
  <c r="CG488" i="1" l="1"/>
  <c r="BJ488" i="1"/>
  <c r="BX488" i="1"/>
  <c r="BK488" i="1"/>
  <c r="BY488" i="1"/>
  <c r="CI488" i="1" l="1"/>
  <c r="CK488" i="1"/>
  <c r="BM488" i="1"/>
  <c r="CA488" i="1"/>
  <c r="BL488" i="1"/>
  <c r="BZ488" i="1"/>
  <c r="BN488" i="1" l="1"/>
  <c r="CB488" i="1"/>
  <c r="BO488" i="1"/>
  <c r="CE488" i="1" s="1"/>
  <c r="CC488" i="1"/>
  <c r="CD488" i="1" l="1"/>
  <c r="AJ488" i="1" a="1"/>
  <c r="AJ488" i="1" s="1"/>
  <c r="AH489" i="1" s="1"/>
  <c r="AE488" i="1" a="1"/>
  <c r="AE488" i="1" s="1"/>
  <c r="AC489" i="1" s="1"/>
  <c r="AD489" i="1" l="1" a="1"/>
  <c r="AD489" i="1" s="1"/>
  <c r="AI489" i="1" a="1"/>
  <c r="AI489" i="1" s="1"/>
  <c r="AL489" i="1" l="1"/>
  <c r="BQ489" i="1" s="1"/>
  <c r="BS489" i="1" s="1"/>
  <c r="AK489" i="1"/>
  <c r="BP489" i="1" s="1"/>
  <c r="BR489" i="1" s="1"/>
  <c r="AG489" i="1"/>
  <c r="AF489" i="1"/>
  <c r="BG489" i="1" l="1"/>
  <c r="BU489" i="1"/>
  <c r="CF489" i="1"/>
  <c r="BF489" i="1"/>
  <c r="BT489" i="1"/>
  <c r="CJ489" i="1" l="1"/>
  <c r="CH489" i="1"/>
  <c r="BH489" i="1"/>
  <c r="BV489" i="1"/>
  <c r="BI489" i="1"/>
  <c r="BW489" i="1"/>
  <c r="CG489" i="1" l="1"/>
  <c r="BK489" i="1"/>
  <c r="BY489" i="1"/>
  <c r="BJ489" i="1"/>
  <c r="BX489" i="1"/>
  <c r="CK489" i="1" l="1"/>
  <c r="CI489" i="1"/>
  <c r="BL489" i="1"/>
  <c r="BZ489" i="1"/>
  <c r="BM489" i="1"/>
  <c r="CA489" i="1"/>
  <c r="BO489" i="1" l="1"/>
  <c r="CE489" i="1" s="1"/>
  <c r="CC489" i="1"/>
  <c r="BN489" i="1"/>
  <c r="CB489" i="1"/>
  <c r="CD489" i="1" l="1"/>
  <c r="AE489" i="1" a="1"/>
  <c r="AE489" i="1" s="1"/>
  <c r="AC490" i="1" s="1"/>
  <c r="AJ489" i="1" a="1"/>
  <c r="AJ489" i="1" s="1"/>
  <c r="AH490" i="1" s="1"/>
  <c r="AD490" i="1" l="1" a="1"/>
  <c r="AD490" i="1" s="1"/>
  <c r="AI490" i="1" a="1"/>
  <c r="AI490" i="1" s="1"/>
  <c r="AL490" i="1" l="1"/>
  <c r="BQ490" i="1" s="1"/>
  <c r="BS490" i="1" s="1"/>
  <c r="AK490" i="1"/>
  <c r="BP490" i="1" s="1"/>
  <c r="BR490" i="1" s="1"/>
  <c r="AF490" i="1"/>
  <c r="AG490" i="1"/>
  <c r="BG490" i="1" l="1"/>
  <c r="BU490" i="1"/>
  <c r="BF490" i="1"/>
  <c r="BT490" i="1"/>
  <c r="CF490" i="1"/>
  <c r="CJ490" i="1" l="1"/>
  <c r="CH490" i="1"/>
  <c r="BH490" i="1"/>
  <c r="BV490" i="1"/>
  <c r="BI490" i="1"/>
  <c r="BW490" i="1"/>
  <c r="CG490" i="1" l="1"/>
  <c r="BK490" i="1"/>
  <c r="BY490" i="1"/>
  <c r="BJ490" i="1"/>
  <c r="BX490" i="1"/>
  <c r="CK490" i="1" l="1"/>
  <c r="CI490" i="1"/>
  <c r="BL490" i="1"/>
  <c r="BZ490" i="1"/>
  <c r="BM490" i="1"/>
  <c r="CA490" i="1"/>
  <c r="BO490" i="1" l="1"/>
  <c r="CE490" i="1" s="1"/>
  <c r="CC490" i="1"/>
  <c r="BN490" i="1"/>
  <c r="CB490" i="1"/>
  <c r="CD490" i="1" l="1"/>
  <c r="AE490" i="1" a="1"/>
  <c r="AE490" i="1" s="1"/>
  <c r="AC491" i="1" s="1"/>
  <c r="AJ490" i="1" a="1"/>
  <c r="AJ490" i="1" s="1"/>
  <c r="AH491" i="1" s="1"/>
  <c r="AD491" i="1" l="1" a="1"/>
  <c r="AD491" i="1" s="1"/>
  <c r="AI491" i="1" a="1"/>
  <c r="AI491" i="1" s="1"/>
  <c r="AL491" i="1" l="1"/>
  <c r="BQ491" i="1" s="1"/>
  <c r="BS491" i="1" s="1"/>
  <c r="AK491" i="1"/>
  <c r="BP491" i="1" s="1"/>
  <c r="BR491" i="1" s="1"/>
  <c r="AG491" i="1"/>
  <c r="AF491" i="1"/>
  <c r="CF491" i="1" l="1"/>
  <c r="BF491" i="1"/>
  <c r="BT491" i="1"/>
  <c r="BG491" i="1"/>
  <c r="BU491" i="1"/>
  <c r="BI491" i="1" l="1"/>
  <c r="BW491" i="1"/>
  <c r="BH491" i="1"/>
  <c r="BV491" i="1"/>
  <c r="CJ491" i="1"/>
  <c r="CH491" i="1"/>
  <c r="CG491" i="1" l="1"/>
  <c r="BJ491" i="1"/>
  <c r="BX491" i="1"/>
  <c r="BK491" i="1"/>
  <c r="BY491" i="1"/>
  <c r="CK491" i="1" l="1"/>
  <c r="CI491" i="1"/>
  <c r="BM491" i="1"/>
  <c r="CA491" i="1"/>
  <c r="BL491" i="1"/>
  <c r="BZ491" i="1"/>
  <c r="BN491" i="1" l="1"/>
  <c r="CB491" i="1"/>
  <c r="BO491" i="1"/>
  <c r="CE491" i="1" s="1"/>
  <c r="CC491" i="1"/>
  <c r="CD491" i="1" l="1"/>
  <c r="AJ491" i="1" a="1"/>
  <c r="AJ491" i="1" s="1"/>
  <c r="AH492" i="1" s="1"/>
  <c r="AE491" i="1" a="1"/>
  <c r="AE491" i="1" s="1"/>
  <c r="AC492" i="1" s="1"/>
  <c r="AI492" i="1" l="1" a="1"/>
  <c r="AI492" i="1" s="1"/>
  <c r="AD492" i="1" a="1"/>
  <c r="AD492" i="1" s="1"/>
  <c r="AL492" i="1" l="1"/>
  <c r="BQ492" i="1" s="1"/>
  <c r="BS492" i="1" s="1"/>
  <c r="AK492" i="1"/>
  <c r="BP492" i="1" s="1"/>
  <c r="BR492" i="1" s="1"/>
  <c r="AG492" i="1"/>
  <c r="AF492" i="1"/>
  <c r="CF492" i="1" l="1"/>
  <c r="BF492" i="1"/>
  <c r="BT492" i="1"/>
  <c r="BG492" i="1"/>
  <c r="BU492" i="1"/>
  <c r="BI492" i="1" l="1"/>
  <c r="BW492" i="1"/>
  <c r="BH492" i="1"/>
  <c r="BV492" i="1"/>
  <c r="CJ492" i="1"/>
  <c r="CH492" i="1"/>
  <c r="CG492" i="1" l="1"/>
  <c r="BJ492" i="1"/>
  <c r="BX492" i="1"/>
  <c r="BK492" i="1"/>
  <c r="BY492" i="1"/>
  <c r="CK492" i="1" l="1"/>
  <c r="CI492" i="1"/>
  <c r="BM492" i="1"/>
  <c r="CA492" i="1"/>
  <c r="BL492" i="1"/>
  <c r="BZ492" i="1"/>
  <c r="BN492" i="1" l="1"/>
  <c r="CB492" i="1"/>
  <c r="BO492" i="1"/>
  <c r="CE492" i="1" s="1"/>
  <c r="CC492" i="1"/>
  <c r="CD492" i="1" l="1"/>
  <c r="AJ492" i="1" a="1"/>
  <c r="AJ492" i="1" s="1"/>
  <c r="AH493" i="1" s="1"/>
  <c r="AE492" i="1" a="1"/>
  <c r="AE492" i="1" s="1"/>
  <c r="AC493" i="1" s="1"/>
  <c r="AI493" i="1" l="1" a="1"/>
  <c r="AI493" i="1" s="1"/>
  <c r="AD493" i="1" a="1"/>
  <c r="AD493" i="1" s="1"/>
  <c r="AL493" i="1" l="1"/>
  <c r="HF493" i="1" s="1"/>
  <c r="AK493" i="1"/>
  <c r="HE493" i="1" s="1"/>
  <c r="AF493" i="1"/>
  <c r="AG493" i="1"/>
  <c r="HX493" i="1" l="1"/>
  <c r="HV493" i="1"/>
  <c r="HW493" i="1"/>
  <c r="HU493" i="1"/>
  <c r="GV493" i="1"/>
  <c r="HJ493" i="1"/>
  <c r="GU493" i="1"/>
  <c r="HI493" i="1"/>
  <c r="GW493" i="1" l="1"/>
  <c r="HK493" i="1"/>
  <c r="GX493" i="1"/>
  <c r="HL493" i="1"/>
  <c r="GZ493" i="1" l="1"/>
  <c r="HN493" i="1"/>
  <c r="GY493" i="1"/>
  <c r="HM493" i="1"/>
  <c r="HA493" i="1" l="1"/>
  <c r="HO493" i="1"/>
  <c r="HB493" i="1"/>
  <c r="HP493" i="1"/>
  <c r="HD493" i="1" l="1"/>
  <c r="HT493" i="1" s="1"/>
  <c r="HR493" i="1"/>
  <c r="HC493" i="1"/>
  <c r="HQ493" i="1"/>
  <c r="AJ493" i="1" l="1" a="1"/>
  <c r="AJ493" i="1" s="1"/>
  <c r="AH494" i="1" s="1"/>
  <c r="HS493" i="1"/>
  <c r="Z493" i="1" a="1"/>
  <c r="Z493" i="1" s="1"/>
  <c r="Y494" i="1" s="1" a="1"/>
  <c r="Y494" i="1" s="1"/>
  <c r="AE493" i="1" a="1"/>
  <c r="AE493" i="1" s="1"/>
  <c r="AC494" i="1" s="1"/>
  <c r="AA494" i="1" l="1"/>
  <c r="HG494" i="1" s="1"/>
  <c r="AB494" i="1"/>
  <c r="HH494" i="1" s="1"/>
  <c r="AD494" i="1" a="1"/>
  <c r="AD494" i="1" s="1"/>
  <c r="AI494" i="1" a="1"/>
  <c r="AI494" i="1" s="1"/>
  <c r="AL494" i="1" l="1"/>
  <c r="HF494" i="1" s="1"/>
  <c r="AK494" i="1"/>
  <c r="HE494" i="1" s="1"/>
  <c r="AF494" i="1"/>
  <c r="AG494" i="1"/>
  <c r="GV494" i="1" l="1"/>
  <c r="HJ494" i="1"/>
  <c r="HW494" i="1"/>
  <c r="HU494" i="1"/>
  <c r="HX494" i="1"/>
  <c r="HV494" i="1"/>
  <c r="GU494" i="1"/>
  <c r="HI494" i="1"/>
  <c r="GW494" i="1" l="1"/>
  <c r="HK494" i="1"/>
  <c r="GX494" i="1"/>
  <c r="HL494" i="1"/>
  <c r="GZ494" i="1" l="1"/>
  <c r="HN494" i="1"/>
  <c r="GY494" i="1"/>
  <c r="HM494" i="1"/>
  <c r="HA494" i="1" l="1"/>
  <c r="HO494" i="1"/>
  <c r="HB494" i="1"/>
  <c r="HP494" i="1"/>
  <c r="HD494" i="1" l="1"/>
  <c r="HT494" i="1" s="1"/>
  <c r="HR494" i="1"/>
  <c r="HC494" i="1"/>
  <c r="HQ494" i="1"/>
  <c r="HS494" i="1" l="1"/>
  <c r="Z494" i="1" a="1"/>
  <c r="Z494" i="1" s="1"/>
  <c r="Y495" i="1" s="1" a="1"/>
  <c r="Y495" i="1" s="1"/>
  <c r="AJ494" i="1" a="1"/>
  <c r="AJ494" i="1" s="1"/>
  <c r="AH495" i="1" s="1"/>
  <c r="AE494" i="1" a="1"/>
  <c r="AE494" i="1" s="1"/>
  <c r="AC495" i="1" s="1"/>
  <c r="AD495" i="1" l="1" a="1"/>
  <c r="AD495" i="1" s="1"/>
  <c r="AA495" i="1"/>
  <c r="HG495" i="1" s="1"/>
  <c r="AB495" i="1"/>
  <c r="HH495" i="1" s="1"/>
  <c r="AI495" i="1" a="1"/>
  <c r="AI495" i="1" s="1"/>
  <c r="AL495" i="1" l="1"/>
  <c r="HF495" i="1" s="1"/>
  <c r="AK495" i="1"/>
  <c r="HE495" i="1" s="1"/>
  <c r="AF495" i="1"/>
  <c r="AG495" i="1"/>
  <c r="GU495" i="1" l="1"/>
  <c r="HI495" i="1"/>
  <c r="HW495" i="1"/>
  <c r="HU495" i="1"/>
  <c r="GV495" i="1"/>
  <c r="HJ495" i="1"/>
  <c r="HX495" i="1"/>
  <c r="HV495" i="1"/>
  <c r="GX495" i="1" l="1"/>
  <c r="HL495" i="1"/>
  <c r="GW495" i="1"/>
  <c r="HK495" i="1"/>
  <c r="GY495" i="1" l="1"/>
  <c r="HM495" i="1"/>
  <c r="GZ495" i="1"/>
  <c r="HN495" i="1"/>
  <c r="HB495" i="1" l="1"/>
  <c r="HP495" i="1"/>
  <c r="HA495" i="1"/>
  <c r="HO495" i="1"/>
  <c r="HC495" i="1" l="1"/>
  <c r="HQ495" i="1"/>
  <c r="HD495" i="1"/>
  <c r="HT495" i="1" s="1"/>
  <c r="HR495" i="1"/>
  <c r="HS495" i="1" l="1"/>
  <c r="Z495" i="1" a="1"/>
  <c r="Z495" i="1" s="1"/>
  <c r="Y496" i="1" s="1" a="1"/>
  <c r="Y496" i="1" s="1"/>
  <c r="AE495" i="1" a="1"/>
  <c r="AE495" i="1" s="1"/>
  <c r="AC496" i="1" s="1"/>
  <c r="AJ495" i="1" a="1"/>
  <c r="AJ495" i="1" s="1"/>
  <c r="AH496" i="1" s="1"/>
  <c r="AI496" i="1" l="1" a="1"/>
  <c r="AI496" i="1" s="1"/>
  <c r="AA496" i="1"/>
  <c r="HG496" i="1" s="1"/>
  <c r="AB496" i="1"/>
  <c r="HH496" i="1" s="1"/>
  <c r="AD496" i="1" a="1"/>
  <c r="AD496" i="1" s="1"/>
  <c r="AL496" i="1" l="1"/>
  <c r="HF496" i="1" s="1"/>
  <c r="AK496" i="1"/>
  <c r="HE496" i="1" s="1"/>
  <c r="AF496" i="1"/>
  <c r="AG496" i="1"/>
  <c r="GV496" i="1" l="1"/>
  <c r="HJ496" i="1"/>
  <c r="HW496" i="1"/>
  <c r="HU496" i="1"/>
  <c r="GU496" i="1"/>
  <c r="HI496" i="1"/>
  <c r="HX496" i="1"/>
  <c r="HV496" i="1"/>
  <c r="GW496" i="1" l="1"/>
  <c r="HK496" i="1"/>
  <c r="GX496" i="1"/>
  <c r="HL496" i="1"/>
  <c r="GZ496" i="1" l="1"/>
  <c r="HN496" i="1"/>
  <c r="GY496" i="1"/>
  <c r="HM496" i="1"/>
  <c r="HA496" i="1" l="1"/>
  <c r="HO496" i="1"/>
  <c r="HB496" i="1"/>
  <c r="HP496" i="1"/>
  <c r="HD496" i="1" l="1"/>
  <c r="HT496" i="1" s="1"/>
  <c r="HR496" i="1"/>
  <c r="HC496" i="1"/>
  <c r="HQ496" i="1"/>
  <c r="HS496" i="1" l="1"/>
  <c r="AE496" i="1" a="1"/>
  <c r="AE496" i="1" s="1"/>
  <c r="AC497" i="1" s="1"/>
  <c r="Z496" i="1" a="1"/>
  <c r="Z496" i="1" s="1"/>
  <c r="AJ496" i="1" a="1"/>
  <c r="AJ496" i="1" s="1"/>
  <c r="AH497" i="1" s="1"/>
  <c r="AB527" i="1" l="1"/>
  <c r="KD527" i="1" s="1"/>
  <c r="AA527" i="1"/>
  <c r="KC527" i="1" s="1"/>
  <c r="Z527" i="1" s="1" a="1"/>
  <c r="Z527" i="1" s="1"/>
  <c r="Y528" i="1" s="1" a="1"/>
  <c r="Y528" i="1" s="1"/>
  <c r="AA517" i="1"/>
  <c r="HG517" i="1" s="1"/>
  <c r="AB517" i="1"/>
  <c r="HH517" i="1" s="1"/>
  <c r="AI497" i="1" a="1"/>
  <c r="AI497" i="1" s="1"/>
  <c r="AD497" i="1" a="1"/>
  <c r="AD497" i="1" s="1"/>
  <c r="AL497" i="1" l="1"/>
  <c r="BQ497" i="1" s="1"/>
  <c r="BS497" i="1" s="1"/>
  <c r="AK497" i="1"/>
  <c r="BP497" i="1" s="1"/>
  <c r="BR497" i="1" s="1"/>
  <c r="AA528" i="1"/>
  <c r="KC528" i="1" s="1"/>
  <c r="Z528" i="1" s="1" a="1"/>
  <c r="Z528" i="1" s="1"/>
  <c r="Y529" i="1" s="1" a="1"/>
  <c r="Y529" i="1" s="1"/>
  <c r="AB528" i="1"/>
  <c r="KD528" i="1" s="1"/>
  <c r="AG497" i="1"/>
  <c r="AF497" i="1"/>
  <c r="AB529" i="1" l="1"/>
  <c r="KD529" i="1" s="1"/>
  <c r="AA529" i="1"/>
  <c r="KC529" i="1" s="1"/>
  <c r="Z529" i="1" s="1" a="1"/>
  <c r="Z529" i="1" s="1"/>
  <c r="Y530" i="1" s="1" a="1"/>
  <c r="Y530" i="1" s="1"/>
  <c r="BF497" i="1"/>
  <c r="BT497" i="1"/>
  <c r="BG497" i="1"/>
  <c r="BU497" i="1"/>
  <c r="CF497" i="1"/>
  <c r="AB530" i="1" l="1"/>
  <c r="KD530" i="1" s="1"/>
  <c r="AA530" i="1"/>
  <c r="KC530" i="1" s="1"/>
  <c r="Z530" i="1" s="1" a="1"/>
  <c r="Z530" i="1" s="1"/>
  <c r="Y531" i="1" s="1" a="1"/>
  <c r="Y531" i="1" s="1"/>
  <c r="BI497" i="1"/>
  <c r="BW497" i="1"/>
  <c r="CJ497" i="1"/>
  <c r="CH497" i="1"/>
  <c r="BH497" i="1"/>
  <c r="BV497" i="1"/>
  <c r="CG497" i="1" l="1"/>
  <c r="AB531" i="1"/>
  <c r="KD531" i="1" s="1"/>
  <c r="AA531" i="1"/>
  <c r="KC531" i="1" s="1"/>
  <c r="Z531" i="1" s="1" a="1"/>
  <c r="Z531" i="1" s="1"/>
  <c r="Y532" i="1" s="1" a="1"/>
  <c r="Y532" i="1" s="1"/>
  <c r="BJ497" i="1"/>
  <c r="BX497" i="1"/>
  <c r="BK497" i="1"/>
  <c r="BY497" i="1"/>
  <c r="CK497" i="1" l="1"/>
  <c r="CI497" i="1"/>
  <c r="AB532" i="1"/>
  <c r="KD532" i="1" s="1"/>
  <c r="AA532" i="1"/>
  <c r="KC532" i="1" s="1"/>
  <c r="Z532" i="1" s="1" a="1"/>
  <c r="Z532" i="1" s="1"/>
  <c r="Y533" i="1" s="1" a="1"/>
  <c r="Y533" i="1" s="1"/>
  <c r="BM497" i="1"/>
  <c r="CA497" i="1"/>
  <c r="BL497" i="1"/>
  <c r="BZ497" i="1"/>
  <c r="AB533" i="1" l="1"/>
  <c r="KD533" i="1" s="1"/>
  <c r="AA533" i="1"/>
  <c r="KC533" i="1" s="1"/>
  <c r="Z533" i="1" s="1" a="1"/>
  <c r="Z533" i="1" s="1"/>
  <c r="Y534" i="1" s="1" a="1"/>
  <c r="Y534" i="1" s="1"/>
  <c r="BN497" i="1"/>
  <c r="CB497" i="1"/>
  <c r="BO497" i="1"/>
  <c r="CE497" i="1" s="1"/>
  <c r="CC497" i="1"/>
  <c r="AB534" i="1" l="1"/>
  <c r="KD534" i="1" s="1"/>
  <c r="AA534" i="1"/>
  <c r="KC534" i="1" s="1"/>
  <c r="Z534" i="1" s="1" a="1"/>
  <c r="Z534" i="1" s="1"/>
  <c r="Y535" i="1" s="1" a="1"/>
  <c r="Y535" i="1" s="1"/>
  <c r="CD497" i="1"/>
  <c r="AE497" i="1" a="1"/>
  <c r="AE497" i="1" s="1"/>
  <c r="AC498" i="1" s="1"/>
  <c r="AJ497" i="1" a="1"/>
  <c r="AJ497" i="1" s="1"/>
  <c r="AH498" i="1" s="1"/>
  <c r="AB535" i="1" l="1"/>
  <c r="KD535" i="1" s="1"/>
  <c r="AA535" i="1"/>
  <c r="KC535" i="1" s="1"/>
  <c r="Z535" i="1" s="1" a="1"/>
  <c r="Z535" i="1" s="1"/>
  <c r="Y536" i="1" s="1" a="1"/>
  <c r="Y536" i="1" s="1"/>
  <c r="AD498" i="1" a="1"/>
  <c r="AD498" i="1" s="1"/>
  <c r="AI498" i="1" a="1"/>
  <c r="AI498" i="1" s="1"/>
  <c r="AL498" i="1" l="1"/>
  <c r="BQ498" i="1" s="1"/>
  <c r="BS498" i="1" s="1"/>
  <c r="AK498" i="1"/>
  <c r="BP498" i="1" s="1"/>
  <c r="BR498" i="1" s="1"/>
  <c r="AB536" i="1"/>
  <c r="KD536" i="1" s="1"/>
  <c r="AA536" i="1"/>
  <c r="KC536" i="1" s="1"/>
  <c r="Z536" i="1" s="1" a="1"/>
  <c r="Z536" i="1" s="1"/>
  <c r="Y537" i="1" s="1" a="1"/>
  <c r="Y537" i="1" s="1"/>
  <c r="AG498" i="1"/>
  <c r="AF498" i="1"/>
  <c r="AB537" i="1" l="1"/>
  <c r="KD537" i="1" s="1"/>
  <c r="AA537" i="1"/>
  <c r="KC537" i="1" s="1"/>
  <c r="Z537" i="1" s="1" a="1"/>
  <c r="Z537" i="1" s="1"/>
  <c r="Y538" i="1" s="1" a="1"/>
  <c r="Y538" i="1" s="1"/>
  <c r="CF498" i="1"/>
  <c r="BF498" i="1"/>
  <c r="BT498" i="1"/>
  <c r="BG498" i="1"/>
  <c r="BU498" i="1"/>
  <c r="AA538" i="1" l="1"/>
  <c r="KC538" i="1" s="1"/>
  <c r="Z538" i="1" s="1" a="1"/>
  <c r="Z538" i="1" s="1"/>
  <c r="Y539" i="1" s="1" a="1"/>
  <c r="Y539" i="1" s="1"/>
  <c r="AB538" i="1"/>
  <c r="KD538" i="1" s="1"/>
  <c r="BH498" i="1"/>
  <c r="BV498" i="1"/>
  <c r="BI498" i="1"/>
  <c r="BW498" i="1"/>
  <c r="CJ498" i="1"/>
  <c r="CH498" i="1"/>
  <c r="CG498" i="1" l="1"/>
  <c r="AB539" i="1"/>
  <c r="KD539" i="1" s="1"/>
  <c r="AA539" i="1"/>
  <c r="KC539" i="1" s="1"/>
  <c r="BK498" i="1"/>
  <c r="BY498" i="1"/>
  <c r="BJ498" i="1"/>
  <c r="BX498" i="1"/>
  <c r="CI498" i="1" l="1"/>
  <c r="CK498" i="1"/>
  <c r="Z539" i="1" a="1"/>
  <c r="Z539" i="1" s="1"/>
  <c r="BL498" i="1"/>
  <c r="BZ498" i="1"/>
  <c r="BM498" i="1"/>
  <c r="CA498" i="1"/>
  <c r="BO498" i="1" l="1"/>
  <c r="CE498" i="1" s="1"/>
  <c r="CC498" i="1"/>
  <c r="BN498" i="1"/>
  <c r="CB498" i="1"/>
  <c r="CD498" i="1" l="1"/>
  <c r="AJ498" i="1" a="1"/>
  <c r="AJ498" i="1" s="1"/>
  <c r="AH499" i="1" s="1"/>
  <c r="AE498" i="1" a="1"/>
  <c r="AE498" i="1" s="1"/>
  <c r="AC499" i="1" s="1"/>
  <c r="AI499" i="1" l="1" a="1"/>
  <c r="AI499" i="1" s="1"/>
  <c r="AD499" i="1" a="1"/>
  <c r="AD499" i="1" s="1"/>
  <c r="AL499" i="1" l="1"/>
  <c r="HF499" i="1" s="1"/>
  <c r="AK499" i="1"/>
  <c r="HE499" i="1" s="1"/>
  <c r="AG499" i="1"/>
  <c r="AF499" i="1"/>
  <c r="GU499" i="1" l="1"/>
  <c r="HI499" i="1"/>
  <c r="HW499" i="1"/>
  <c r="HU499" i="1"/>
  <c r="HX499" i="1"/>
  <c r="HV499" i="1"/>
  <c r="GV499" i="1"/>
  <c r="HJ499" i="1"/>
  <c r="GX499" i="1" l="1"/>
  <c r="HL499" i="1"/>
  <c r="GW499" i="1"/>
  <c r="HK499" i="1"/>
  <c r="GY499" i="1" l="1"/>
  <c r="HM499" i="1"/>
  <c r="GZ499" i="1"/>
  <c r="HN499" i="1"/>
  <c r="HB499" i="1" l="1"/>
  <c r="HP499" i="1"/>
  <c r="HA499" i="1"/>
  <c r="HO499" i="1"/>
  <c r="HC499" i="1" l="1"/>
  <c r="HQ499" i="1"/>
  <c r="HD499" i="1"/>
  <c r="HT499" i="1" s="1"/>
  <c r="HR499" i="1"/>
  <c r="HS499" i="1" l="1"/>
  <c r="AE499" i="1" a="1"/>
  <c r="AE499" i="1" s="1"/>
  <c r="AC500" i="1" s="1"/>
  <c r="AJ499" i="1" a="1"/>
  <c r="AJ499" i="1" s="1"/>
  <c r="AH500" i="1" s="1"/>
  <c r="Z499" i="1" a="1"/>
  <c r="Z499" i="1" s="1"/>
  <c r="AI500" i="1" l="1" a="1"/>
  <c r="AI500" i="1" s="1"/>
  <c r="AD500" i="1" a="1"/>
  <c r="AD500" i="1" s="1"/>
  <c r="AL500" i="1" l="1"/>
  <c r="BQ500" i="1" s="1"/>
  <c r="BS500" i="1" s="1"/>
  <c r="AK500" i="1"/>
  <c r="BP500" i="1" s="1"/>
  <c r="BR500" i="1" s="1"/>
  <c r="AG500" i="1"/>
  <c r="AF500" i="1"/>
  <c r="BF500" i="1" l="1"/>
  <c r="BT500" i="1"/>
  <c r="CF500" i="1"/>
  <c r="BG500" i="1"/>
  <c r="BU500" i="1"/>
  <c r="BI500" i="1" l="1"/>
  <c r="BW500" i="1"/>
  <c r="CJ500" i="1"/>
  <c r="CH500" i="1"/>
  <c r="BH500" i="1"/>
  <c r="BV500" i="1"/>
  <c r="CG500" i="1" l="1"/>
  <c r="BJ500" i="1"/>
  <c r="BX500" i="1"/>
  <c r="BK500" i="1"/>
  <c r="BY500" i="1"/>
  <c r="CI500" i="1" l="1"/>
  <c r="CK500" i="1"/>
  <c r="BM500" i="1"/>
  <c r="CA500" i="1"/>
  <c r="BL500" i="1"/>
  <c r="BZ500" i="1"/>
  <c r="BN500" i="1" l="1"/>
  <c r="CB500" i="1"/>
  <c r="BO500" i="1"/>
  <c r="CE500" i="1" s="1"/>
  <c r="CC500" i="1"/>
  <c r="CD500" i="1" l="1"/>
  <c r="AJ500" i="1" a="1"/>
  <c r="AJ500" i="1" s="1"/>
  <c r="AH501" i="1" s="1"/>
  <c r="AE500" i="1" a="1"/>
  <c r="AE500" i="1" s="1"/>
  <c r="AC501" i="1" s="1"/>
  <c r="AI501" i="1" l="1" a="1"/>
  <c r="AI501" i="1" s="1"/>
  <c r="AD501" i="1" a="1"/>
  <c r="AD501" i="1" s="1"/>
  <c r="AL501" i="1" l="1"/>
  <c r="BQ501" i="1" s="1"/>
  <c r="BS501" i="1" s="1"/>
  <c r="AK501" i="1"/>
  <c r="BP501" i="1" s="1"/>
  <c r="BR501" i="1" s="1"/>
  <c r="CF510" i="1"/>
  <c r="AG501" i="1"/>
  <c r="AF501" i="1"/>
  <c r="CJ510" i="1" l="1"/>
  <c r="CH510" i="1"/>
  <c r="BF501" i="1"/>
  <c r="BT501" i="1"/>
  <c r="BG501" i="1"/>
  <c r="BU501" i="1"/>
  <c r="CF501" i="1"/>
  <c r="CJ501" i="1" l="1"/>
  <c r="CH501" i="1"/>
  <c r="BI501" i="1"/>
  <c r="BW501" i="1"/>
  <c r="BH501" i="1"/>
  <c r="BV501" i="1"/>
  <c r="CG501" i="1" l="1"/>
  <c r="BJ501" i="1"/>
  <c r="BX501" i="1"/>
  <c r="BK501" i="1"/>
  <c r="BY501" i="1"/>
  <c r="CK501" i="1" l="1"/>
  <c r="CI501" i="1"/>
  <c r="BM501" i="1"/>
  <c r="CA501" i="1"/>
  <c r="BL501" i="1"/>
  <c r="BZ501" i="1"/>
  <c r="BN501" i="1" l="1"/>
  <c r="CB501" i="1"/>
  <c r="BO501" i="1"/>
  <c r="CE501" i="1" s="1"/>
  <c r="CC501" i="1"/>
  <c r="CD501" i="1" l="1"/>
  <c r="AJ501" i="1" a="1"/>
  <c r="AJ501" i="1" s="1"/>
  <c r="AE501" i="1" a="1"/>
  <c r="AE501" i="1" s="1"/>
  <c r="AC502" i="1" s="1"/>
  <c r="AD502" i="1" l="1" a="1"/>
  <c r="AD502" i="1" s="1"/>
  <c r="AG502" i="1" l="1"/>
  <c r="AF502" i="1"/>
  <c r="AD503" i="1" l="1" a="1"/>
  <c r="AD503" i="1" s="1"/>
  <c r="AF503" i="1" l="1"/>
  <c r="LY503" i="1" s="1"/>
  <c r="AE503" i="1" s="1" a="1"/>
  <c r="AE503" i="1" s="1"/>
  <c r="AC504" i="1" s="1"/>
  <c r="AG503" i="1"/>
  <c r="AD504" i="1" l="1" a="1"/>
  <c r="AD504" i="1" s="1"/>
  <c r="AF504" i="1" l="1"/>
  <c r="LY504" i="1" s="1"/>
  <c r="AE504" i="1" s="1" a="1"/>
  <c r="AE504" i="1" s="1"/>
  <c r="AC505" i="1" s="1"/>
  <c r="AG504" i="1"/>
  <c r="AD505" i="1" l="1" a="1"/>
  <c r="AD505" i="1" s="1"/>
  <c r="AG505" i="1" l="1"/>
  <c r="AF505" i="1"/>
  <c r="LY505" i="1" s="1"/>
  <c r="AE505" i="1" s="1" a="1"/>
  <c r="AE505" i="1" s="1"/>
  <c r="AC506" i="1" s="1"/>
  <c r="AD506" i="1" l="1" a="1"/>
  <c r="AD506" i="1" s="1"/>
  <c r="AG506" i="1" l="1"/>
  <c r="AF506" i="1"/>
  <c r="LY506" i="1" s="1"/>
  <c r="AE506" i="1" s="1" a="1"/>
  <c r="AE506" i="1" s="1"/>
  <c r="AC507" i="1" s="1"/>
  <c r="AD507" i="1" l="1" a="1"/>
  <c r="AD507" i="1" s="1"/>
  <c r="AF507" i="1" l="1"/>
  <c r="LY507" i="1" s="1"/>
  <c r="AE507" i="1" s="1" a="1"/>
  <c r="AE507" i="1" s="1"/>
  <c r="AC508" i="1" s="1"/>
  <c r="AG507" i="1"/>
  <c r="AD508" i="1" l="1" a="1"/>
  <c r="AD508" i="1" s="1"/>
  <c r="AF508" i="1" l="1"/>
  <c r="LY508" i="1" s="1"/>
  <c r="AE508" i="1" s="1" a="1"/>
  <c r="AE508" i="1" s="1"/>
  <c r="AC509" i="1" s="1"/>
  <c r="AG508" i="1"/>
  <c r="AD509" i="1" l="1" a="1"/>
  <c r="AD509" i="1" s="1"/>
  <c r="AF509" i="1" l="1"/>
  <c r="LY509" i="1" s="1"/>
  <c r="AE509" i="1" s="1" a="1"/>
  <c r="AE509" i="1" s="1"/>
  <c r="AG509" i="1"/>
  <c r="AG510" i="1" l="1"/>
  <c r="AF510" i="1"/>
  <c r="BF510" i="1" l="1"/>
  <c r="BT510" i="1"/>
  <c r="BG510" i="1"/>
  <c r="BU510" i="1"/>
  <c r="BI510" i="1" l="1"/>
  <c r="BW510" i="1"/>
  <c r="BH510" i="1"/>
  <c r="BV510" i="1"/>
  <c r="CG510" i="1" l="1"/>
  <c r="BJ510" i="1"/>
  <c r="BX510" i="1"/>
  <c r="BK510" i="1"/>
  <c r="BY510" i="1"/>
  <c r="CK510" i="1" l="1"/>
  <c r="CI510" i="1"/>
  <c r="BM510" i="1"/>
  <c r="CA510" i="1"/>
  <c r="BL510" i="1"/>
  <c r="BZ510" i="1"/>
  <c r="BN510" i="1" l="1"/>
  <c r="CB510" i="1"/>
  <c r="BO510" i="1"/>
  <c r="CE510" i="1" s="1"/>
  <c r="CC510" i="1"/>
  <c r="CD510" i="1" l="1"/>
  <c r="AJ510" i="1" a="1"/>
  <c r="AJ510" i="1" s="1"/>
  <c r="AH511" i="1" s="1"/>
  <c r="AE510" i="1" a="1"/>
  <c r="AE510" i="1" s="1"/>
  <c r="AC511" i="1" s="1"/>
  <c r="AI511" i="1" l="1" a="1"/>
  <c r="AI511" i="1" s="1"/>
  <c r="AD511" i="1" a="1"/>
  <c r="AD511" i="1" s="1"/>
  <c r="AL511" i="1" l="1"/>
  <c r="BQ511" i="1" s="1"/>
  <c r="BS511" i="1" s="1"/>
  <c r="AK511" i="1"/>
  <c r="BP511" i="1" s="1"/>
  <c r="BR511" i="1" s="1"/>
  <c r="AG511" i="1"/>
  <c r="BG511" i="1" s="1"/>
  <c r="AF511" i="1"/>
  <c r="BT511" i="1" s="1"/>
  <c r="CF511" i="1" l="1"/>
  <c r="CJ511" i="1"/>
  <c r="BU511" i="1"/>
  <c r="BF511" i="1"/>
  <c r="BH511" i="1" s="1"/>
  <c r="BI511" i="1"/>
  <c r="CG511" i="1" s="1"/>
  <c r="BW511" i="1"/>
  <c r="CK511" i="1" l="1"/>
  <c r="CH511" i="1"/>
  <c r="BV511" i="1"/>
  <c r="BJ511" i="1"/>
  <c r="BX511" i="1"/>
  <c r="BK511" i="1"/>
  <c r="BY511" i="1"/>
  <c r="CI511" i="1" l="1"/>
  <c r="CA511" i="1"/>
  <c r="BM511" i="1"/>
  <c r="BZ511" i="1"/>
  <c r="BL511" i="1"/>
  <c r="CB511" i="1" l="1"/>
  <c r="BN511" i="1"/>
  <c r="CC511" i="1"/>
  <c r="BO511" i="1"/>
  <c r="CE511" i="1" s="1"/>
  <c r="CD511" i="1" l="1"/>
  <c r="AJ511" i="1" a="1"/>
  <c r="AJ511" i="1" s="1"/>
  <c r="AH512" i="1" s="1"/>
  <c r="AE511" i="1" a="1"/>
  <c r="AE511" i="1" s="1"/>
  <c r="AC512" i="1" s="1"/>
  <c r="AI512" i="1" l="1" a="1"/>
  <c r="AI512" i="1" s="1"/>
  <c r="AD512" i="1" a="1"/>
  <c r="AD512" i="1" s="1"/>
  <c r="AL512" i="1" l="1"/>
  <c r="BQ512" i="1" s="1"/>
  <c r="BS512" i="1" s="1"/>
  <c r="AK512" i="1"/>
  <c r="BP512" i="1" s="1"/>
  <c r="BR512" i="1" s="1"/>
  <c r="AG512" i="1"/>
  <c r="AF512" i="1"/>
  <c r="CF512" i="1" l="1"/>
  <c r="BF512" i="1"/>
  <c r="BT512" i="1"/>
  <c r="BG512" i="1"/>
  <c r="BU512" i="1"/>
  <c r="BH512" i="1" l="1"/>
  <c r="BV512" i="1"/>
  <c r="BI512" i="1"/>
  <c r="BW512" i="1"/>
  <c r="CJ512" i="1"/>
  <c r="CH512" i="1"/>
  <c r="CG512" i="1" l="1"/>
  <c r="BK512" i="1"/>
  <c r="BY512" i="1"/>
  <c r="BJ512" i="1"/>
  <c r="BX512" i="1"/>
  <c r="CI512" i="1" l="1"/>
  <c r="CK512" i="1"/>
  <c r="BL512" i="1"/>
  <c r="BZ512" i="1"/>
  <c r="BM512" i="1"/>
  <c r="CA512" i="1"/>
  <c r="BO512" i="1" l="1"/>
  <c r="CE512" i="1" s="1"/>
  <c r="CC512" i="1"/>
  <c r="BN512" i="1"/>
  <c r="CB512" i="1"/>
  <c r="CD512" i="1" l="1"/>
  <c r="AJ512" i="1" a="1"/>
  <c r="AJ512" i="1" s="1"/>
  <c r="AH513" i="1" s="1"/>
  <c r="AE512" i="1" a="1"/>
  <c r="AE512" i="1" s="1"/>
  <c r="AC513" i="1" s="1"/>
  <c r="AD513" i="1" l="1" a="1"/>
  <c r="AD513" i="1" s="1"/>
  <c r="AI513" i="1" a="1"/>
  <c r="AI513" i="1" s="1"/>
  <c r="AL513" i="1" l="1"/>
  <c r="BQ513" i="1" s="1"/>
  <c r="BS513" i="1" s="1"/>
  <c r="AK513" i="1"/>
  <c r="BP513" i="1" s="1"/>
  <c r="BR513" i="1" s="1"/>
  <c r="AF513" i="1"/>
  <c r="AG513" i="1"/>
  <c r="CF513" i="1" l="1"/>
  <c r="BG513" i="1"/>
  <c r="BU513" i="1"/>
  <c r="BF513" i="1"/>
  <c r="BT513" i="1"/>
  <c r="BH513" i="1" l="1"/>
  <c r="BJ513" i="1" s="1"/>
  <c r="BV513" i="1"/>
  <c r="BI513" i="1"/>
  <c r="BW513" i="1"/>
  <c r="CJ513" i="1"/>
  <c r="CH513" i="1"/>
  <c r="BK513" i="1" l="1"/>
  <c r="BY513" i="1"/>
  <c r="BX513" i="1"/>
  <c r="CG513" i="1" l="1"/>
  <c r="BZ513" i="1"/>
  <c r="CA513" i="1"/>
  <c r="CK513" i="1" l="1"/>
  <c r="CI513" i="1"/>
  <c r="CE513" i="1"/>
  <c r="CC513" i="1"/>
  <c r="CB513" i="1"/>
  <c r="CD513" i="1" l="1"/>
  <c r="AJ513" i="1" a="1"/>
  <c r="AJ513" i="1" s="1"/>
  <c r="AH514" i="1" s="1"/>
  <c r="AE513" i="1" a="1"/>
  <c r="AE513" i="1" s="1"/>
  <c r="AC514" i="1" s="1"/>
  <c r="AI514" i="1" l="1" a="1"/>
  <c r="AI514" i="1" s="1"/>
  <c r="AD514" i="1" a="1"/>
  <c r="AD514" i="1" s="1"/>
  <c r="CC514" i="1"/>
  <c r="CE514" i="1"/>
  <c r="CD514" i="1"/>
  <c r="CB514" i="1"/>
  <c r="AL514" i="1" l="1"/>
  <c r="BQ514" i="1" s="1"/>
  <c r="BS514" i="1" s="1"/>
  <c r="AK514" i="1"/>
  <c r="BP514" i="1" s="1"/>
  <c r="BR514" i="1" s="1"/>
  <c r="AF514" i="1"/>
  <c r="AG514" i="1"/>
  <c r="BG514" i="1" l="1"/>
  <c r="BU514" i="1"/>
  <c r="CF514" i="1"/>
  <c r="BF514" i="1"/>
  <c r="BT514" i="1"/>
  <c r="CJ514" i="1" l="1"/>
  <c r="CH514" i="1"/>
  <c r="BH514" i="1"/>
  <c r="BV514" i="1"/>
  <c r="BI514" i="1"/>
  <c r="BW514" i="1"/>
  <c r="CG514" i="1" l="1"/>
  <c r="BK514" i="1"/>
  <c r="CA514" i="1" s="1"/>
  <c r="BY514" i="1"/>
  <c r="BJ514" i="1"/>
  <c r="BX514" i="1"/>
  <c r="CK514" i="1" l="1"/>
  <c r="CI514" i="1"/>
  <c r="BZ514" i="1"/>
  <c r="AJ514" i="1" a="1"/>
  <c r="AJ514" i="1" s="1"/>
  <c r="AH515" i="1" s="1"/>
  <c r="AE514" i="1" a="1"/>
  <c r="AE514" i="1" s="1"/>
  <c r="AC515" i="1" s="1"/>
  <c r="AI515" i="1" l="1" a="1"/>
  <c r="AI515" i="1" s="1"/>
  <c r="AD515" i="1" a="1"/>
  <c r="AD515" i="1" s="1"/>
  <c r="CE515" i="1"/>
  <c r="CD515" i="1"/>
  <c r="CC515" i="1"/>
  <c r="CB515" i="1"/>
  <c r="AL515" i="1" l="1"/>
  <c r="BQ515" i="1" s="1"/>
  <c r="BS515" i="1" s="1"/>
  <c r="AK515" i="1"/>
  <c r="BP515" i="1" s="1"/>
  <c r="BR515" i="1" s="1"/>
  <c r="AF515" i="1"/>
  <c r="AG515" i="1"/>
  <c r="BG515" i="1" l="1"/>
  <c r="BU515" i="1"/>
  <c r="CF515" i="1"/>
  <c r="BF515" i="1"/>
  <c r="BT515" i="1"/>
  <c r="BH515" i="1" l="1"/>
  <c r="BV515" i="1"/>
  <c r="CJ515" i="1"/>
  <c r="CH515" i="1"/>
  <c r="BI515" i="1"/>
  <c r="BW515" i="1"/>
  <c r="CG515" i="1" l="1"/>
  <c r="BK515" i="1"/>
  <c r="CA515" i="1" s="1"/>
  <c r="BY515" i="1"/>
  <c r="BJ515" i="1"/>
  <c r="BX515" i="1"/>
  <c r="CK515" i="1" l="1"/>
  <c r="CI515" i="1"/>
  <c r="BZ515" i="1"/>
  <c r="AE515" i="1" a="1"/>
  <c r="AE515" i="1" s="1"/>
  <c r="AC516" i="1" s="1"/>
  <c r="AJ515" i="1" a="1"/>
  <c r="AJ515" i="1" s="1"/>
  <c r="AH516" i="1" s="1"/>
  <c r="AD516" i="1" l="1" a="1"/>
  <c r="AD516" i="1" s="1"/>
  <c r="CE516" i="1"/>
  <c r="CB516" i="1"/>
  <c r="CD516" i="1"/>
  <c r="CC516" i="1"/>
  <c r="AI516" i="1" a="1"/>
  <c r="AI516" i="1" s="1"/>
  <c r="AL516" i="1" l="1"/>
  <c r="BQ516" i="1" s="1"/>
  <c r="BS516" i="1" s="1"/>
  <c r="AK516" i="1"/>
  <c r="BP516" i="1" s="1"/>
  <c r="BR516" i="1" s="1"/>
  <c r="AF516" i="1"/>
  <c r="AG516" i="1"/>
  <c r="BF516" i="1" l="1"/>
  <c r="BT516" i="1"/>
  <c r="CF516" i="1"/>
  <c r="BG516" i="1"/>
  <c r="BU516" i="1"/>
  <c r="BI516" i="1" l="1"/>
  <c r="BW516" i="1"/>
  <c r="CJ516" i="1"/>
  <c r="CH516" i="1"/>
  <c r="BH516" i="1"/>
  <c r="BV516" i="1"/>
  <c r="CG516" i="1" l="1"/>
  <c r="BJ516" i="1"/>
  <c r="BX516" i="1"/>
  <c r="BK516" i="1"/>
  <c r="CA516" i="1" s="1"/>
  <c r="BY516" i="1"/>
  <c r="CK516" i="1" l="1"/>
  <c r="CI516" i="1"/>
  <c r="BZ516" i="1"/>
  <c r="AJ516" i="1" a="1"/>
  <c r="AJ516" i="1" s="1"/>
  <c r="AH517" i="1" s="1"/>
  <c r="AI517" i="1" s="1" a="1"/>
  <c r="AI517" i="1" s="1"/>
  <c r="AE516" i="1" a="1"/>
  <c r="AE516" i="1" s="1"/>
  <c r="AC517" i="1" s="1"/>
  <c r="AD517" i="1" s="1" a="1"/>
  <c r="AD517" i="1" s="1"/>
  <c r="AL517" i="1" l="1"/>
  <c r="HF517" i="1" s="1"/>
  <c r="AK517" i="1"/>
  <c r="HE517" i="1" s="1"/>
  <c r="AG517" i="1"/>
  <c r="AF517" i="1"/>
  <c r="GU517" i="1" l="1"/>
  <c r="HI517" i="1"/>
  <c r="HX517" i="1"/>
  <c r="HV517" i="1"/>
  <c r="GV517" i="1"/>
  <c r="HJ517" i="1"/>
  <c r="HW517" i="1"/>
  <c r="HU517" i="1"/>
  <c r="GX517" i="1" l="1"/>
  <c r="HL517" i="1"/>
  <c r="GW517" i="1"/>
  <c r="HK517" i="1"/>
  <c r="GY517" i="1" l="1"/>
  <c r="HM517" i="1"/>
  <c r="GZ517" i="1"/>
  <c r="HN517" i="1"/>
  <c r="HB517" i="1" l="1"/>
  <c r="HP517" i="1"/>
  <c r="HA517" i="1"/>
  <c r="HO517" i="1"/>
  <c r="HC517" i="1" l="1"/>
  <c r="HQ517" i="1"/>
  <c r="HD517" i="1"/>
  <c r="HT517" i="1" s="1"/>
  <c r="HR517" i="1"/>
  <c r="HS517" i="1" l="1"/>
  <c r="AJ517" i="1" a="1"/>
  <c r="AJ517" i="1" s="1"/>
  <c r="AH518" i="1" s="1"/>
  <c r="Z517" i="1" a="1"/>
  <c r="Z517" i="1" s="1"/>
  <c r="Y518" i="1" s="1" a="1"/>
  <c r="Y518" i="1" s="1"/>
  <c r="AE517" i="1" a="1"/>
  <c r="AE517" i="1" s="1"/>
  <c r="AC518" i="1" s="1"/>
  <c r="AD518" i="1" l="1" a="1"/>
  <c r="AD518" i="1" s="1"/>
  <c r="AI518" i="1" a="1"/>
  <c r="AI518" i="1" s="1"/>
  <c r="AA518" i="1"/>
  <c r="HG518" i="1" s="1"/>
  <c r="AB518" i="1"/>
  <c r="HH518" i="1" s="1"/>
  <c r="AL518" i="1" l="1"/>
  <c r="HF518" i="1" s="1"/>
  <c r="AK518" i="1"/>
  <c r="HE518" i="1" s="1"/>
  <c r="AG518" i="1"/>
  <c r="AF518" i="1"/>
  <c r="HW518" i="1" l="1"/>
  <c r="HU518" i="1"/>
  <c r="HX518" i="1"/>
  <c r="HV518" i="1"/>
  <c r="GU518" i="1"/>
  <c r="HI518" i="1"/>
  <c r="GV518" i="1"/>
  <c r="HJ518" i="1"/>
  <c r="GX518" i="1" l="1"/>
  <c r="HL518" i="1"/>
  <c r="GW518" i="1"/>
  <c r="HK518" i="1"/>
  <c r="GY518" i="1" l="1"/>
  <c r="HM518" i="1"/>
  <c r="GZ518" i="1"/>
  <c r="HN518" i="1"/>
  <c r="HB518" i="1" l="1"/>
  <c r="HP518" i="1"/>
  <c r="HA518" i="1"/>
  <c r="HO518" i="1"/>
  <c r="HC518" i="1" l="1"/>
  <c r="HQ518" i="1"/>
  <c r="HD518" i="1"/>
  <c r="HT518" i="1" s="1"/>
  <c r="HR518" i="1"/>
  <c r="HS518" i="1" l="1"/>
  <c r="AJ518" i="1" a="1"/>
  <c r="AJ518" i="1" s="1"/>
  <c r="AH519" i="1" s="1"/>
  <c r="AE518" i="1" a="1"/>
  <c r="AE518" i="1" s="1"/>
  <c r="AC519" i="1" s="1"/>
  <c r="Z518" i="1" a="1"/>
  <c r="Z518" i="1" s="1"/>
  <c r="AI519" i="1" l="1" a="1"/>
  <c r="AI519" i="1" s="1"/>
  <c r="AD519" i="1" a="1"/>
  <c r="AD519" i="1" s="1"/>
  <c r="AL519" i="1" l="1"/>
  <c r="BQ519" i="1" s="1"/>
  <c r="BS519" i="1" s="1"/>
  <c r="AK519" i="1"/>
  <c r="BP519" i="1" s="1"/>
  <c r="BR519" i="1" s="1"/>
  <c r="AG519" i="1"/>
  <c r="AF519" i="1"/>
  <c r="BG519" i="1" l="1"/>
  <c r="BU519" i="1"/>
  <c r="BF519" i="1"/>
  <c r="BT519" i="1"/>
  <c r="CF519" i="1"/>
  <c r="BH519" i="1" l="1"/>
  <c r="BV519" i="1"/>
  <c r="CJ519" i="1"/>
  <c r="CH519" i="1"/>
  <c r="BI519" i="1"/>
  <c r="BW519" i="1"/>
  <c r="CG519" i="1" l="1"/>
  <c r="BK519" i="1"/>
  <c r="BY519" i="1"/>
  <c r="BJ519" i="1"/>
  <c r="BX519" i="1"/>
  <c r="CK519" i="1" l="1"/>
  <c r="CI519" i="1"/>
  <c r="BL519" i="1"/>
  <c r="BZ519" i="1"/>
  <c r="BM519" i="1"/>
  <c r="CA519" i="1"/>
  <c r="BO519" i="1" l="1"/>
  <c r="CE519" i="1" s="1"/>
  <c r="CC519" i="1"/>
  <c r="BN519" i="1"/>
  <c r="CB519" i="1"/>
  <c r="CD519" i="1" l="1"/>
  <c r="AJ519" i="1" a="1"/>
  <c r="AJ519" i="1" s="1"/>
  <c r="AH520" i="1" s="1"/>
  <c r="AE519" i="1" a="1"/>
  <c r="AE519" i="1" s="1"/>
  <c r="AC520" i="1" s="1"/>
  <c r="AD520" i="1" l="1" a="1"/>
  <c r="AD520" i="1" s="1"/>
  <c r="AI520" i="1" a="1"/>
  <c r="AI520" i="1" s="1"/>
  <c r="AL520" i="1" l="1"/>
  <c r="BQ520" i="1" s="1"/>
  <c r="BS520" i="1" s="1"/>
  <c r="AK520" i="1"/>
  <c r="BP520" i="1" s="1"/>
  <c r="BR520" i="1" s="1"/>
  <c r="AG520" i="1"/>
  <c r="AF520" i="1"/>
  <c r="CF520" i="1" l="1"/>
  <c r="BF520" i="1"/>
  <c r="BT520" i="1"/>
  <c r="BG520" i="1"/>
  <c r="BU520" i="1"/>
  <c r="BI520" i="1" l="1"/>
  <c r="BW520" i="1"/>
  <c r="CJ520" i="1"/>
  <c r="CH520" i="1"/>
  <c r="BH520" i="1"/>
  <c r="BV520" i="1"/>
  <c r="CG520" i="1" l="1"/>
  <c r="BJ520" i="1"/>
  <c r="BX520" i="1"/>
  <c r="BK520" i="1"/>
  <c r="BY520" i="1"/>
  <c r="CK520" i="1" l="1"/>
  <c r="CI520" i="1"/>
  <c r="BM520" i="1"/>
  <c r="CA520" i="1"/>
  <c r="BL520" i="1"/>
  <c r="BZ520" i="1"/>
  <c r="BN520" i="1" l="1"/>
  <c r="CB520" i="1"/>
  <c r="BO520" i="1"/>
  <c r="CE520" i="1" s="1"/>
  <c r="CC520" i="1"/>
  <c r="CD520" i="1" l="1"/>
  <c r="AJ520" i="1" a="1"/>
  <c r="AJ520" i="1" s="1"/>
  <c r="AH521" i="1" s="1"/>
  <c r="AI521" i="1" s="1" a="1"/>
  <c r="AI521" i="1" s="1"/>
  <c r="AE520" i="1" a="1"/>
  <c r="AE520" i="1" s="1"/>
  <c r="AC521" i="1" s="1"/>
  <c r="AD521" i="1" s="1" a="1"/>
  <c r="AD521" i="1" s="1"/>
  <c r="AL521" i="1" l="1"/>
  <c r="BQ521" i="1" s="1"/>
  <c r="BS521" i="1" s="1"/>
  <c r="AK521" i="1"/>
  <c r="BP521" i="1" s="1"/>
  <c r="BR521" i="1" s="1"/>
  <c r="AG521" i="1"/>
  <c r="AF521" i="1"/>
  <c r="CF521" i="1" l="1"/>
  <c r="BF521" i="1"/>
  <c r="BT521" i="1"/>
  <c r="BG521" i="1"/>
  <c r="BU521" i="1"/>
  <c r="BH521" i="1" l="1"/>
  <c r="BV521" i="1"/>
  <c r="BI521" i="1"/>
  <c r="BW521" i="1"/>
  <c r="CJ521" i="1"/>
  <c r="CH521" i="1"/>
  <c r="CG521" i="1" l="1"/>
  <c r="BK521" i="1"/>
  <c r="BY521" i="1"/>
  <c r="BJ521" i="1"/>
  <c r="BX521" i="1"/>
  <c r="CI521" i="1" l="1"/>
  <c r="CK521" i="1"/>
  <c r="BL521" i="1"/>
  <c r="BZ521" i="1"/>
  <c r="BM521" i="1"/>
  <c r="CA521" i="1"/>
  <c r="BO521" i="1" l="1"/>
  <c r="CE521" i="1" s="1"/>
  <c r="CC521" i="1"/>
  <c r="BN521" i="1"/>
  <c r="CB521" i="1"/>
  <c r="CD521" i="1" l="1"/>
  <c r="AJ521" i="1" a="1"/>
  <c r="AJ521" i="1" s="1"/>
  <c r="AH522" i="1" s="1"/>
  <c r="AE521" i="1" a="1"/>
  <c r="AE521" i="1" s="1"/>
  <c r="AC522" i="1" s="1"/>
  <c r="AI522" i="1" l="1" a="1"/>
  <c r="AI522" i="1" s="1"/>
  <c r="AD522" i="1" a="1"/>
  <c r="AD522" i="1" s="1"/>
  <c r="AL522" i="1" l="1"/>
  <c r="BQ522" i="1" s="1"/>
  <c r="BS522" i="1" s="1"/>
  <c r="AK522" i="1"/>
  <c r="BP522" i="1" s="1"/>
  <c r="BR522" i="1" s="1"/>
  <c r="AG522" i="1"/>
  <c r="AF522" i="1"/>
  <c r="BG522" i="1" l="1"/>
  <c r="BU522" i="1"/>
  <c r="CF522" i="1"/>
  <c r="BF522" i="1"/>
  <c r="BT522" i="1"/>
  <c r="CJ522" i="1" l="1"/>
  <c r="CH522" i="1"/>
  <c r="BH522" i="1"/>
  <c r="BV522" i="1"/>
  <c r="BI522" i="1"/>
  <c r="BW522" i="1"/>
  <c r="CG522" i="1" l="1"/>
  <c r="BJ522" i="1"/>
  <c r="BX522" i="1"/>
  <c r="BK522" i="1"/>
  <c r="BY522" i="1"/>
  <c r="CK522" i="1" l="1"/>
  <c r="CI522" i="1"/>
  <c r="BM522" i="1"/>
  <c r="CA522" i="1"/>
  <c r="BL522" i="1"/>
  <c r="BZ522" i="1"/>
  <c r="BN522" i="1" l="1"/>
  <c r="CB522" i="1"/>
  <c r="BO522" i="1"/>
  <c r="CE522" i="1" s="1"/>
  <c r="CC522" i="1"/>
  <c r="CD522" i="1" l="1"/>
  <c r="AJ522" i="1" a="1"/>
  <c r="AJ522" i="1" s="1"/>
  <c r="AH523" i="1" s="1"/>
  <c r="AE522" i="1" a="1"/>
  <c r="AE522" i="1" s="1"/>
  <c r="AC523" i="1" s="1"/>
  <c r="AI523" i="1" l="1" a="1"/>
  <c r="AI523" i="1" s="1"/>
  <c r="CD523" i="1"/>
  <c r="CC523" i="1"/>
  <c r="AD523" i="1" a="1"/>
  <c r="AD523" i="1" s="1"/>
  <c r="CB523" i="1"/>
  <c r="CE523" i="1"/>
  <c r="AL523" i="1" l="1"/>
  <c r="BQ523" i="1" s="1"/>
  <c r="BS523" i="1" s="1"/>
  <c r="AK523" i="1"/>
  <c r="BP523" i="1" s="1"/>
  <c r="BR523" i="1" s="1"/>
  <c r="AG523" i="1"/>
  <c r="AF523" i="1"/>
  <c r="CF523" i="1" l="1"/>
  <c r="BF523" i="1"/>
  <c r="BT523" i="1"/>
  <c r="BG523" i="1"/>
  <c r="BU523" i="1"/>
  <c r="BH523" i="1" l="1"/>
  <c r="BV523" i="1"/>
  <c r="CJ523" i="1"/>
  <c r="CH523" i="1"/>
  <c r="BI523" i="1"/>
  <c r="BW523" i="1"/>
  <c r="CG523" i="1" l="1"/>
  <c r="BK523" i="1"/>
  <c r="CA523" i="1" s="1"/>
  <c r="BY523" i="1"/>
  <c r="BJ523" i="1"/>
  <c r="BX523" i="1"/>
  <c r="CK523" i="1" l="1"/>
  <c r="CI523" i="1"/>
  <c r="BZ523" i="1"/>
  <c r="AJ523" i="1" a="1"/>
  <c r="AJ523" i="1" s="1"/>
  <c r="AH524" i="1" s="1"/>
  <c r="AE523" i="1" a="1"/>
  <c r="AE523" i="1" s="1"/>
  <c r="AC524" i="1" s="1"/>
  <c r="AI524" i="1" l="1" a="1"/>
  <c r="AI524" i="1" s="1"/>
  <c r="CC524" i="1"/>
  <c r="AD524" i="1" a="1"/>
  <c r="AD524" i="1" s="1"/>
  <c r="CE524" i="1"/>
  <c r="CD524" i="1"/>
  <c r="CB524" i="1"/>
  <c r="AL524" i="1" l="1"/>
  <c r="BQ524" i="1" s="1"/>
  <c r="BS524" i="1" s="1"/>
  <c r="AK524" i="1"/>
  <c r="BP524" i="1" s="1"/>
  <c r="BR524" i="1" s="1"/>
  <c r="AF524" i="1"/>
  <c r="AG524" i="1"/>
  <c r="BG524" i="1" l="1"/>
  <c r="BU524" i="1"/>
  <c r="BF524" i="1"/>
  <c r="BT524" i="1"/>
  <c r="CF524" i="1"/>
  <c r="BH524" i="1" l="1"/>
  <c r="BV524" i="1"/>
  <c r="CJ524" i="1"/>
  <c r="CH524" i="1"/>
  <c r="BI524" i="1"/>
  <c r="BW524" i="1"/>
  <c r="CG524" i="1" l="1"/>
  <c r="BK524" i="1"/>
  <c r="CA524" i="1" s="1"/>
  <c r="BY524" i="1"/>
  <c r="BJ524" i="1"/>
  <c r="BX524" i="1"/>
  <c r="CK524" i="1" l="1"/>
  <c r="CI524" i="1"/>
  <c r="BZ524" i="1"/>
  <c r="AJ524" i="1" a="1"/>
  <c r="AJ524" i="1" s="1"/>
  <c r="AH525" i="1" s="1"/>
  <c r="AE524" i="1" a="1"/>
  <c r="AE524" i="1" s="1"/>
  <c r="AC525" i="1" s="1"/>
  <c r="AI525" i="1" l="1" a="1"/>
  <c r="AI525" i="1" s="1"/>
  <c r="CD525" i="1"/>
  <c r="CC525" i="1"/>
  <c r="AD525" i="1" a="1"/>
  <c r="AD525" i="1" s="1"/>
  <c r="CE525" i="1"/>
  <c r="CB525" i="1"/>
  <c r="AL525" i="1" l="1"/>
  <c r="BQ525" i="1" s="1"/>
  <c r="BS525" i="1" s="1"/>
  <c r="AK525" i="1"/>
  <c r="BP525" i="1" s="1"/>
  <c r="BR525" i="1" s="1"/>
  <c r="AG525" i="1"/>
  <c r="AF525" i="1"/>
  <c r="CF525" i="1" l="1"/>
  <c r="BF525" i="1"/>
  <c r="BT525" i="1"/>
  <c r="BG525" i="1"/>
  <c r="BU525" i="1"/>
  <c r="BH525" i="1" l="1"/>
  <c r="BV525" i="1"/>
  <c r="BI525" i="1"/>
  <c r="BW525" i="1"/>
  <c r="CJ525" i="1"/>
  <c r="CH525" i="1"/>
  <c r="CG525" i="1" l="1"/>
  <c r="BK525" i="1"/>
  <c r="CA525" i="1" s="1"/>
  <c r="BY525" i="1"/>
  <c r="BJ525" i="1"/>
  <c r="BX525" i="1"/>
  <c r="CI525" i="1" l="1"/>
  <c r="CK525" i="1"/>
  <c r="BZ525" i="1"/>
  <c r="AJ525" i="1" a="1"/>
  <c r="AJ525" i="1" s="1"/>
  <c r="AH526" i="1" s="1"/>
  <c r="AE525" i="1" a="1"/>
  <c r="AE525" i="1" s="1"/>
  <c r="AC526" i="1" s="1"/>
  <c r="AI540" i="1" l="1" a="1"/>
  <c r="AI540" i="1" s="1"/>
  <c r="AD541" i="1" a="1"/>
  <c r="AD541" i="1" s="1"/>
  <c r="AG541" i="1" s="1"/>
  <c r="AI526" i="1" a="1"/>
  <c r="AI526" i="1" s="1"/>
  <c r="AD526" i="1" a="1"/>
  <c r="AD526" i="1" s="1"/>
  <c r="CE526" i="1"/>
  <c r="CD526" i="1"/>
  <c r="CC526" i="1"/>
  <c r="CB526" i="1"/>
  <c r="AL526" i="1" l="1"/>
  <c r="BQ526" i="1" s="1"/>
  <c r="BS526" i="1" s="1"/>
  <c r="AK526" i="1"/>
  <c r="BP526" i="1" s="1"/>
  <c r="BR526" i="1" s="1"/>
  <c r="AL540" i="1"/>
  <c r="AK540" i="1"/>
  <c r="ABQ541" i="1"/>
  <c r="ABW541" i="1"/>
  <c r="AF541" i="1"/>
  <c r="AF526" i="1"/>
  <c r="AG526" i="1"/>
  <c r="XZ540" i="1" l="1"/>
  <c r="XH540" i="1"/>
  <c r="XJ540" i="1" s="1"/>
  <c r="XL540" i="1" s="1"/>
  <c r="XN540" i="1" s="1"/>
  <c r="XP540" i="1" s="1"/>
  <c r="XR540" i="1" s="1"/>
  <c r="XT540" i="1" s="1"/>
  <c r="XV540" i="1" s="1"/>
  <c r="XX540" i="1" s="1"/>
  <c r="YA540" i="1"/>
  <c r="XI540" i="1"/>
  <c r="ABP541" i="1"/>
  <c r="ABV541" i="1"/>
  <c r="ABS541" i="1"/>
  <c r="ABY541" i="1"/>
  <c r="BG526" i="1"/>
  <c r="BU526" i="1"/>
  <c r="BF526" i="1"/>
  <c r="BT526" i="1"/>
  <c r="CF526" i="1"/>
  <c r="YB540" i="1" l="1"/>
  <c r="YC540" i="1"/>
  <c r="XK540" i="1"/>
  <c r="XM540" i="1" s="1"/>
  <c r="XO540" i="1" s="1"/>
  <c r="XQ540" i="1" s="1"/>
  <c r="XS540" i="1" s="1"/>
  <c r="XU540" i="1" s="1"/>
  <c r="XW540" i="1" s="1"/>
  <c r="XY540" i="1" s="1"/>
  <c r="YD540" i="1"/>
  <c r="ABU541" i="1"/>
  <c r="ACC541" i="1" s="1"/>
  <c r="ACA541" i="1"/>
  <c r="ABR541" i="1"/>
  <c r="ABX541" i="1"/>
  <c r="CJ526" i="1"/>
  <c r="CH526" i="1"/>
  <c r="BH526" i="1"/>
  <c r="BV526" i="1"/>
  <c r="BI526" i="1"/>
  <c r="BW526" i="1"/>
  <c r="YE540" i="1" l="1"/>
  <c r="YF540" i="1"/>
  <c r="CG526" i="1"/>
  <c r="ABT541" i="1"/>
  <c r="ABZ541" i="1"/>
  <c r="YG540" i="1"/>
  <c r="BK526" i="1"/>
  <c r="CA526" i="1" s="1"/>
  <c r="BY526" i="1"/>
  <c r="BJ526" i="1"/>
  <c r="BX526" i="1"/>
  <c r="CK526" i="1" l="1"/>
  <c r="CI526" i="1"/>
  <c r="ACB541" i="1"/>
  <c r="AE541" i="1" a="1"/>
  <c r="AE541" i="1" s="1"/>
  <c r="AD544" i="1" s="1" a="1"/>
  <c r="AD544" i="1" s="1"/>
  <c r="YI540" i="1"/>
  <c r="BZ526" i="1"/>
  <c r="AJ526" i="1" a="1"/>
  <c r="AJ526" i="1" s="1"/>
  <c r="AE526" i="1" a="1"/>
  <c r="AE526" i="1" s="1"/>
  <c r="YH540" i="1" l="1"/>
  <c r="AG544" i="1"/>
  <c r="AF544" i="1"/>
  <c r="YK540" i="1"/>
  <c r="YJ540" i="1"/>
  <c r="ABV544" i="1" l="1"/>
  <c r="ABP544" i="1"/>
  <c r="ABW544" i="1"/>
  <c r="ABQ544" i="1"/>
  <c r="YL540" i="1"/>
  <c r="YM540" i="1"/>
  <c r="ABX544" i="1" l="1"/>
  <c r="ABR544" i="1"/>
  <c r="ABY544" i="1"/>
  <c r="ABS544" i="1"/>
  <c r="YO540" i="1"/>
  <c r="YN540" i="1"/>
  <c r="ABZ544" i="1" l="1"/>
  <c r="ABT544" i="1"/>
  <c r="ACA544" i="1"/>
  <c r="ABU544" i="1"/>
  <c r="ACC544" i="1" s="1"/>
  <c r="YP540" i="1"/>
  <c r="YS540" i="1"/>
  <c r="YQ540" i="1"/>
  <c r="ACB544" i="1" l="1"/>
  <c r="AE544" i="1" a="1"/>
  <c r="AE544" i="1" s="1"/>
  <c r="YR540" i="1"/>
  <c r="AJ540" i="1" a="1"/>
  <c r="AJ540" i="1" s="1"/>
  <c r="AI543" i="1" s="1" a="1"/>
  <c r="AI543" i="1" s="1"/>
  <c r="AL543" i="1" l="1"/>
  <c r="XI543" i="1" s="1"/>
  <c r="XK543" i="1" s="1"/>
  <c r="XM543" i="1" s="1"/>
  <c r="XO543" i="1" s="1"/>
  <c r="XQ543" i="1" s="1"/>
  <c r="XS543" i="1" s="1"/>
  <c r="XU543" i="1" s="1"/>
  <c r="XW543" i="1" s="1"/>
  <c r="XY543" i="1" s="1"/>
  <c r="AK543" i="1"/>
  <c r="XH543" i="1" s="1"/>
  <c r="XJ543" i="1" s="1"/>
  <c r="XL543" i="1" s="1"/>
  <c r="XN543" i="1" s="1"/>
  <c r="XP543" i="1" s="1"/>
  <c r="XR543" i="1" s="1"/>
  <c r="XT543" i="1" s="1"/>
  <c r="XV543" i="1" s="1"/>
  <c r="XX543" i="1" s="1"/>
  <c r="AG550" i="1"/>
  <c r="LY550" i="1" s="1"/>
  <c r="AE550" i="1" s="1" a="1"/>
  <c r="AE550" i="1" s="1"/>
  <c r="AC551" i="1" s="1"/>
  <c r="AD551" i="1" s="1" a="1"/>
  <c r="AD551" i="1" s="1"/>
  <c r="AF550" i="1"/>
  <c r="LZ550" i="1" s="1"/>
  <c r="AF551" i="1" l="1"/>
  <c r="LY551" i="1" s="1"/>
  <c r="AE551" i="1" s="1" a="1"/>
  <c r="AE551" i="1" s="1"/>
  <c r="AC552" i="1" s="1"/>
  <c r="AD552" i="1" s="1" a="1"/>
  <c r="AD552" i="1" s="1"/>
  <c r="AG551" i="1"/>
  <c r="XZ543" i="1"/>
  <c r="YA543" i="1"/>
  <c r="AF552" i="1" l="1"/>
  <c r="LY552" i="1" s="1"/>
  <c r="AE552" i="1" s="1" a="1"/>
  <c r="AE552" i="1" s="1"/>
  <c r="AC553" i="1" s="1"/>
  <c r="AD553" i="1" s="1" a="1"/>
  <c r="AD553" i="1" s="1"/>
  <c r="AG552" i="1"/>
  <c r="YC543" i="1"/>
  <c r="YB543" i="1"/>
  <c r="AF553" i="1" l="1"/>
  <c r="LY553" i="1" s="1"/>
  <c r="AE553" i="1" s="1" a="1"/>
  <c r="AE553" i="1" s="1"/>
  <c r="AC554" i="1" s="1"/>
  <c r="AD554" i="1" s="1" a="1"/>
  <c r="AD554" i="1" s="1"/>
  <c r="AG553" i="1"/>
  <c r="YD543" i="1"/>
  <c r="YE543" i="1"/>
  <c r="AF554" i="1" l="1"/>
  <c r="LY554" i="1" s="1"/>
  <c r="AE554" i="1" s="1" a="1"/>
  <c r="AE554" i="1" s="1"/>
  <c r="AC555" i="1" s="1"/>
  <c r="AD555" i="1" s="1" a="1"/>
  <c r="AD555" i="1" s="1"/>
  <c r="AG554" i="1"/>
  <c r="YG543" i="1"/>
  <c r="YF543" i="1"/>
  <c r="AF555" i="1" l="1"/>
  <c r="LY555" i="1" s="1"/>
  <c r="AE555" i="1" s="1" a="1"/>
  <c r="AE555" i="1" s="1"/>
  <c r="AC556" i="1" s="1"/>
  <c r="AD556" i="1" s="1" a="1"/>
  <c r="AD556" i="1" s="1"/>
  <c r="AG555" i="1"/>
  <c r="YH543" i="1"/>
  <c r="YI543" i="1"/>
  <c r="AF556" i="1" l="1"/>
  <c r="LY556" i="1" s="1"/>
  <c r="AE556" i="1" s="1" a="1"/>
  <c r="AE556" i="1" s="1"/>
  <c r="AC557" i="1" s="1"/>
  <c r="AD557" i="1" s="1" a="1"/>
  <c r="AD557" i="1" s="1"/>
  <c r="AG556" i="1"/>
  <c r="YK543" i="1"/>
  <c r="YJ543" i="1"/>
  <c r="AF557" i="1" l="1"/>
  <c r="LY557" i="1" s="1"/>
  <c r="AE557" i="1" s="1" a="1"/>
  <c r="AE557" i="1" s="1"/>
  <c r="AG557" i="1"/>
  <c r="YL543" i="1"/>
  <c r="YM543" i="1"/>
  <c r="YO543" i="1" l="1"/>
  <c r="YN543" i="1"/>
  <c r="YP543" i="1" l="1"/>
  <c r="YS543" i="1"/>
  <c r="YQ543" i="1"/>
  <c r="YR543" i="1" l="1"/>
  <c r="AJ543" i="1" a="1"/>
  <c r="AJ54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tc={F5B4A413-8E9D-4E5D-A7E6-F8CAAC683CB0}</author>
    <author>tc={20090E64-8286-40F1-B1DA-DF6DD14D0F7A}</author>
    <author>tc={3E3B6129-7D3D-43E1-94E9-29EE39694C57}</author>
    <author>tc={F37083B4-0267-40B3-943E-8E106B59FD56}</author>
    <author>tc={1E085EFA-2D4C-49AF-8DF0-637CB800E501}</author>
    <author>Admin</author>
    <author>tc={D3B0118F-DD0F-48F6-9A58-CF2A997A7300}</author>
    <author>tc={16653607-FB67-4DB8-8255-D89C6181BDB1}</author>
  </authors>
  <commentList>
    <comment ref="B319" authorId="0" shapeId="0" xr:uid="{F5B4A413-8E9D-4E5D-A7E6-F8CAAC683CB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4-20 или резистивный?</t>
      </text>
    </comment>
    <comment ref="B324" authorId="1" shapeId="0" xr:uid="{20090E64-8286-40F1-B1DA-DF6DD14D0F7A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Непонятно активный или пассивный</t>
      </text>
    </comment>
    <comment ref="B326" authorId="2" shapeId="0" xr:uid="{3E3B6129-7D3D-43E1-94E9-29EE39694C57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непонятное подключение</t>
      </text>
    </comment>
    <comment ref="B359" authorId="3" shapeId="0" xr:uid="{F37083B4-0267-40B3-943E-8E106B59FD56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Нет принципиальных схем для этих позиций, по схемам внешних соединений не хватает жил для всех сигналов</t>
      </text>
    </comment>
    <comment ref="B366" authorId="4" shapeId="0" xr:uid="{1E085EFA-2D4C-49AF-8DF0-637CB800E501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нужна схема шкафа Ш-1 ГРП 2</t>
      </text>
    </comment>
    <comment ref="B429" authorId="5" shapeId="0" xr:uid="{F095A147-6F0D-4CCB-B9EB-44074B91D463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в схемах сигнал идёт от секции РУ-6кВ без клеммников</t>
        </r>
      </text>
    </comment>
    <comment ref="B434" authorId="5" shapeId="0" xr:uid="{B4065FFA-39DA-4F85-968D-1EBF3AA65DF7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в схемах сигнал идёт от секции РУ-6кВ без клеммников</t>
        </r>
      </text>
    </comment>
    <comment ref="B439" authorId="5" shapeId="0" xr:uid="{3EBFF31E-A14C-4046-80DF-050960498CA5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в схемах сигнал идёт от секции РУ-6кВ без клеммников</t>
        </r>
      </text>
    </comment>
    <comment ref="B444" authorId="5" shapeId="0" xr:uid="{617D2419-2E8C-4EA4-A69D-415FA809D7AB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в схемах сигнал идёт от секции РУ-6кВ без клеммников</t>
        </r>
      </text>
    </comment>
    <comment ref="B502" authorId="6" shapeId="0" xr:uid="{D3B0118F-DD0F-48F6-9A58-CF2A997A73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нужна схема шкафа ШУЗ зд</t>
      </text>
    </comment>
    <comment ref="B550" authorId="7" shapeId="0" xr:uid="{16653607-FB67-4DB8-8255-D89C6181BDB1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непонятное подключение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<sst xmlns="http://schemas.openxmlformats.org/spreadsheetml/2006/main" count="15824" uniqueCount="3159">
  <si>
    <t>id</t>
  </si>
  <si>
    <t>role</t>
  </si>
  <si>
    <t>name</t>
  </si>
  <si>
    <t>maker</t>
  </si>
  <si>
    <t>minparam</t>
  </si>
  <si>
    <t>maxparam</t>
  </si>
  <si>
    <t>param</t>
  </si>
  <si>
    <t>muparam</t>
  </si>
  <si>
    <t>diam</t>
  </si>
  <si>
    <t>power</t>
  </si>
  <si>
    <t>code</t>
  </si>
  <si>
    <t>addinfo</t>
  </si>
  <si>
    <t>weight</t>
  </si>
  <si>
    <t>цена без НДС</t>
  </si>
  <si>
    <t>дата цены</t>
  </si>
  <si>
    <t>se</t>
  </si>
  <si>
    <t>sm</t>
  </si>
  <si>
    <t>ST</t>
  </si>
  <si>
    <t>book</t>
  </si>
  <si>
    <t>CpNum</t>
  </si>
  <si>
    <t>MechNum</t>
  </si>
  <si>
    <t>AmDi</t>
  </si>
  <si>
    <t>AmDo</t>
  </si>
  <si>
    <t>TmDi1-</t>
  </si>
  <si>
    <t>TmDi1+</t>
  </si>
  <si>
    <t>TmDo1-</t>
  </si>
  <si>
    <t>TmDo1+</t>
  </si>
  <si>
    <t>CP</t>
  </si>
  <si>
    <t>PP</t>
  </si>
  <si>
    <t>DiModName</t>
  </si>
  <si>
    <t>DoModName</t>
  </si>
  <si>
    <t>XTpp</t>
  </si>
  <si>
    <t>LC</t>
  </si>
  <si>
    <t>LCg</t>
  </si>
  <si>
    <t>LCt</t>
  </si>
  <si>
    <t>XTcp</t>
  </si>
  <si>
    <t>TmDi2-</t>
  </si>
  <si>
    <t>TmDi2+</t>
  </si>
  <si>
    <t>TmDi3-</t>
  </si>
  <si>
    <t>TmDi3+</t>
  </si>
  <si>
    <t>TmDi4-</t>
  </si>
  <si>
    <t>TmDi4+</t>
  </si>
  <si>
    <t>TmDi5-</t>
  </si>
  <si>
    <t>TmDi5+</t>
  </si>
  <si>
    <t>TmDi6-</t>
  </si>
  <si>
    <t>TmDi6+</t>
  </si>
  <si>
    <t>TmDo2-</t>
  </si>
  <si>
    <t>TmDo2+</t>
  </si>
  <si>
    <t>TmDo3-</t>
  </si>
  <si>
    <t>TmDo3+</t>
  </si>
  <si>
    <t>WcpDi1-</t>
  </si>
  <si>
    <t>WcpDi1+</t>
  </si>
  <si>
    <t>WcpDi2-</t>
  </si>
  <si>
    <t>WcpDi2+</t>
  </si>
  <si>
    <t>WcpDi3-</t>
  </si>
  <si>
    <t>WcpDi3+</t>
  </si>
  <si>
    <t>WcpDi4-</t>
  </si>
  <si>
    <t>WcpDi4+</t>
  </si>
  <si>
    <t>WcpDi5-</t>
  </si>
  <si>
    <t>WcpDi5+</t>
  </si>
  <si>
    <t>WcpDi6-</t>
  </si>
  <si>
    <t>WcpDi6+</t>
  </si>
  <si>
    <t>WcpDo1-</t>
  </si>
  <si>
    <t>WcpDo1+</t>
  </si>
  <si>
    <t>WcpDo2-</t>
  </si>
  <si>
    <t>WcpDo2+</t>
  </si>
  <si>
    <t>WcpDo3-</t>
  </si>
  <si>
    <t>WcpDo3+</t>
  </si>
  <si>
    <t>KL</t>
  </si>
  <si>
    <t>KN</t>
  </si>
  <si>
    <t>Ks</t>
  </si>
  <si>
    <t>Ko</t>
  </si>
  <si>
    <t>Kc</t>
  </si>
  <si>
    <t>KLcp1</t>
  </si>
  <si>
    <t>KLcp2</t>
  </si>
  <si>
    <t>KLcp3</t>
  </si>
  <si>
    <t>KLcp4</t>
  </si>
  <si>
    <t>KLcp5</t>
  </si>
  <si>
    <t>KLcp6</t>
  </si>
  <si>
    <t>KLcp7</t>
  </si>
  <si>
    <t>KLcp8</t>
  </si>
  <si>
    <t>KLcp9</t>
  </si>
  <si>
    <t>WcpKl1+</t>
  </si>
  <si>
    <t>WcpKl2+</t>
  </si>
  <si>
    <t>WcpKl3+</t>
  </si>
  <si>
    <t>WcpKl4+</t>
  </si>
  <si>
    <t>WcpKl5+</t>
  </si>
  <si>
    <t>WcpKl5-</t>
  </si>
  <si>
    <t>WcpKl6+</t>
  </si>
  <si>
    <t>WcpKl6-</t>
  </si>
  <si>
    <t>WcpKl7+</t>
  </si>
  <si>
    <t>WcpKl7-</t>
  </si>
  <si>
    <t>WcpKl8+</t>
  </si>
  <si>
    <t>WcpKl8-</t>
  </si>
  <si>
    <t>WcpKl9+</t>
  </si>
  <si>
    <t>WcpKl9-</t>
  </si>
  <si>
    <t>Ncp</t>
  </si>
  <si>
    <t>Lcp</t>
  </si>
  <si>
    <t>Tcp1</t>
  </si>
  <si>
    <t>Tcp2</t>
  </si>
  <si>
    <t>Tcp3</t>
  </si>
  <si>
    <t>Tcp4</t>
  </si>
  <si>
    <t>Tcp5</t>
  </si>
  <si>
    <t>Tcp6</t>
  </si>
  <si>
    <t>Tcp7</t>
  </si>
  <si>
    <t>Tcp8</t>
  </si>
  <si>
    <t>Tcp9</t>
  </si>
  <si>
    <t>Tcp10</t>
  </si>
  <si>
    <t>Tcp11</t>
  </si>
  <si>
    <t>Tcp12</t>
  </si>
  <si>
    <t>Tcp13</t>
  </si>
  <si>
    <t>Tcp14</t>
  </si>
  <si>
    <t>Tpp1</t>
  </si>
  <si>
    <t>Tpp2</t>
  </si>
  <si>
    <t>Tpp3</t>
  </si>
  <si>
    <t>Tpp4</t>
  </si>
  <si>
    <t>Tpp5</t>
  </si>
  <si>
    <t>Tpp6</t>
  </si>
  <si>
    <t>Tpp7</t>
  </si>
  <si>
    <t>Tpp8</t>
  </si>
  <si>
    <t>Tpp9</t>
  </si>
  <si>
    <t>Tpp10</t>
  </si>
  <si>
    <t>Tpp11</t>
  </si>
  <si>
    <t>Tpp12</t>
  </si>
  <si>
    <t>Tpp13</t>
  </si>
  <si>
    <t>Tpp14</t>
  </si>
  <si>
    <t>Затвор дисковый К-4 на выходе котловой воды из ВК-2</t>
  </si>
  <si>
    <t>ПЭМ-Б5М У2, 1,5кВт</t>
  </si>
  <si>
    <t xml:space="preserve">АБС ЗЭиМ </t>
  </si>
  <si>
    <t>se0001</t>
  </si>
  <si>
    <t>ГС</t>
  </si>
  <si>
    <t>A5.1</t>
  </si>
  <si>
    <t>A6.1</t>
  </si>
  <si>
    <t>C1</t>
  </si>
  <si>
    <t>B1</t>
  </si>
  <si>
    <t>1B</t>
  </si>
  <si>
    <t>1A</t>
  </si>
  <si>
    <t>Шкаф АСУТП ВК (F0CJU01)</t>
  </si>
  <si>
    <t>Шкаф управления запорной арматурой ШУЗ (F0CDA01)</t>
  </si>
  <si>
    <t>Терминальная панель TP-D</t>
  </si>
  <si>
    <t>Терминальная панель TP-O</t>
  </si>
  <si>
    <t>1X</t>
  </si>
  <si>
    <t>A1</t>
  </si>
  <si>
    <t>A2</t>
  </si>
  <si>
    <t>N</t>
  </si>
  <si>
    <t>L6</t>
  </si>
  <si>
    <t>F0NDG10AA002</t>
  </si>
  <si>
    <t>Затвор дисковый секционирующий К-1С на коллекторе обратной котловой воды</t>
  </si>
  <si>
    <t>C7</t>
  </si>
  <si>
    <t>B7</t>
  </si>
  <si>
    <t>2X</t>
  </si>
  <si>
    <t>F1NDF10AA001</t>
  </si>
  <si>
    <t>Затвор дисковый К-2 на выходе котловой воды из ВК-1</t>
  </si>
  <si>
    <t>C13</t>
  </si>
  <si>
    <t>B13</t>
  </si>
  <si>
    <t>3X</t>
  </si>
  <si>
    <t>F0NDF10AA002</t>
  </si>
  <si>
    <t>Затвор дисковый секционирующий К-2С на коллекторе прямой котловой воды</t>
  </si>
  <si>
    <t>4X</t>
  </si>
  <si>
    <t>F2NDG10AA001</t>
  </si>
  <si>
    <t>Затвор дисковый К-3 на входе котловой воды в ВК-2</t>
  </si>
  <si>
    <t>5X</t>
  </si>
  <si>
    <t>F2NDF10АА001</t>
  </si>
  <si>
    <t>6X</t>
  </si>
  <si>
    <t>F3NDG10AA001</t>
  </si>
  <si>
    <t>Затвор дисковый К-5 на входе котловой воды в ВК-3</t>
  </si>
  <si>
    <t>7X</t>
  </si>
  <si>
    <t>F3NDF10AA001</t>
  </si>
  <si>
    <t>Затвор дисковый К-6 на выходе котловой воды из ВК-3</t>
  </si>
  <si>
    <t>8X</t>
  </si>
  <si>
    <t>F4NDG10AA001</t>
  </si>
  <si>
    <t>Затвор дисковый К-7 на входе котловой воды в ВК-4</t>
  </si>
  <si>
    <t>9X</t>
  </si>
  <si>
    <t>F4NDF10AA001</t>
  </si>
  <si>
    <t>Затвор дисковый К-8 на выходе котловой воды из ВК-4</t>
  </si>
  <si>
    <t>10X</t>
  </si>
  <si>
    <t>F5NDG10AA001</t>
  </si>
  <si>
    <t xml:space="preserve">Затвор дисковый К-9 на входе котловой воды в ВК-5          </t>
  </si>
  <si>
    <t>11X</t>
  </si>
  <si>
    <t>F5NDF10AA001</t>
  </si>
  <si>
    <t>Затвор дисковый К-10 на выходе котловой воды из ВК-5</t>
  </si>
  <si>
    <t>12X</t>
  </si>
  <si>
    <t>F6NDG10AA001</t>
  </si>
  <si>
    <t xml:space="preserve">Затвор дисковый К-11 на входе котловой воды в ВК-6          </t>
  </si>
  <si>
    <t>13X</t>
  </si>
  <si>
    <t>F6NDF10AA001</t>
  </si>
  <si>
    <t>Затвор дисковый К-12 на выходе котловой воды из ВК-6</t>
  </si>
  <si>
    <t>14X</t>
  </si>
  <si>
    <t>F7NDG10AA001</t>
  </si>
  <si>
    <t>Затвор дисковый К-13 на входе котловой воды в ВК-7</t>
  </si>
  <si>
    <t>15X</t>
  </si>
  <si>
    <t>F7NDF10AA001</t>
  </si>
  <si>
    <t>Затвор дисковый К-14 на выходе котловой воды из ВК-7</t>
  </si>
  <si>
    <t>16X</t>
  </si>
  <si>
    <t>F8NDG10AA001</t>
  </si>
  <si>
    <t>Затвор дисковый К-15 на входе котловой воды в ВК-8</t>
  </si>
  <si>
    <t>17X</t>
  </si>
  <si>
    <t>F8NDF10AA001</t>
  </si>
  <si>
    <t>Затвор дисковый К-16 на выходе котловой воды из ВК-8</t>
  </si>
  <si>
    <t>18X</t>
  </si>
  <si>
    <t>F0NDG12AA001</t>
  </si>
  <si>
    <t>Затвор дисковый К-26 на входе насосной группы №2</t>
  </si>
  <si>
    <t>19X</t>
  </si>
  <si>
    <t>F0NDG11AA001</t>
  </si>
  <si>
    <t>Затвор дисковый К-27 на входе насосной группы №1</t>
  </si>
  <si>
    <t>20X</t>
  </si>
  <si>
    <t>F0NDG04AA001</t>
  </si>
  <si>
    <t>Затвор дисковый К-28 на всасе котлового насоса №4</t>
  </si>
  <si>
    <t>21X</t>
  </si>
  <si>
    <t>F0NDG04AA002</t>
  </si>
  <si>
    <t>Затвор дисковый К-29 на напоре котлового насоса №4</t>
  </si>
  <si>
    <t>22X</t>
  </si>
  <si>
    <t>F0NDG03AA001</t>
  </si>
  <si>
    <t>Затвор дисковый К-30 на всасе котлового насоса №3</t>
  </si>
  <si>
    <t>23X</t>
  </si>
  <si>
    <t>F0NDG03AA002</t>
  </si>
  <si>
    <t>Затвор дисковый К-31 на напоре котлового насоса №3</t>
  </si>
  <si>
    <t>24X</t>
  </si>
  <si>
    <t>F0NDG02AA001</t>
  </si>
  <si>
    <t>Затвор дисковый К-32 на всасе котлового насоса №2</t>
  </si>
  <si>
    <t>25X</t>
  </si>
  <si>
    <t>F0NDG02AA002</t>
  </si>
  <si>
    <t>Затвор дисковый К-33 на напоре котлового насоса №2</t>
  </si>
  <si>
    <t>26X</t>
  </si>
  <si>
    <t>F0NDG01AA001</t>
  </si>
  <si>
    <t>Затвор дисковый К-34 на всасе котлового насоса №1</t>
  </si>
  <si>
    <t>27X</t>
  </si>
  <si>
    <t>F0NDG01AA002</t>
  </si>
  <si>
    <t>Затвор дисковый К-35 на напоре котлового насоса №1</t>
  </si>
  <si>
    <t>28X</t>
  </si>
  <si>
    <t>F0NDG12AA002</t>
  </si>
  <si>
    <t>Затвор дисковый К-36 на выходе насосной группы №2</t>
  </si>
  <si>
    <t>29X</t>
  </si>
  <si>
    <t>F0NDG11AA002</t>
  </si>
  <si>
    <t>Затвор дисковый К-37 на выходе насосной группы №1</t>
  </si>
  <si>
    <t>30X</t>
  </si>
  <si>
    <t>F0GDH11AA001</t>
  </si>
  <si>
    <t>Задвижка на линии аварийного слива РК.КА9</t>
  </si>
  <si>
    <t>53X</t>
  </si>
  <si>
    <t>C19</t>
  </si>
  <si>
    <t>C25</t>
  </si>
  <si>
    <t>B19</t>
  </si>
  <si>
    <t>B25</t>
  </si>
  <si>
    <t>4B</t>
  </si>
  <si>
    <t>4A</t>
  </si>
  <si>
    <t>7B</t>
  </si>
  <si>
    <t>7A</t>
  </si>
  <si>
    <t>10B</t>
  </si>
  <si>
    <t>13B</t>
  </si>
  <si>
    <t>16B</t>
  </si>
  <si>
    <t>19B</t>
  </si>
  <si>
    <t>22B</t>
  </si>
  <si>
    <t>25B</t>
  </si>
  <si>
    <t>28B</t>
  </si>
  <si>
    <t>10A</t>
  </si>
  <si>
    <t>13A</t>
  </si>
  <si>
    <t>16A</t>
  </si>
  <si>
    <t>19A</t>
  </si>
  <si>
    <t>22A</t>
  </si>
  <si>
    <t>25A</t>
  </si>
  <si>
    <t>28A</t>
  </si>
  <si>
    <t>A5.2</t>
  </si>
  <si>
    <t>A5.3</t>
  </si>
  <si>
    <t>A5.4</t>
  </si>
  <si>
    <t>A5.5</t>
  </si>
  <si>
    <t>A5.6</t>
  </si>
  <si>
    <t>A5.7</t>
  </si>
  <si>
    <t>A6.2</t>
  </si>
  <si>
    <t>A6.3</t>
  </si>
  <si>
    <t>A6.4</t>
  </si>
  <si>
    <t>Затвор дисковый К-1 на входе котловой воды в ВК-1</t>
  </si>
  <si>
    <t>F1NDG10АА001</t>
  </si>
  <si>
    <t>Регулятор температуры в баке газоотделителе Р-66</t>
  </si>
  <si>
    <t>F0GAD12AA801</t>
  </si>
  <si>
    <t>Регулятор уровня в баке газоотделителе РТ-68</t>
  </si>
  <si>
    <t>F0GAD16AA801</t>
  </si>
  <si>
    <t>se0002</t>
  </si>
  <si>
    <t>A5.8</t>
  </si>
  <si>
    <t>A5.9</t>
  </si>
  <si>
    <t>Кран запорный бака раствора щелочи 9Д</t>
  </si>
  <si>
    <t>F0GCN01AA001</t>
  </si>
  <si>
    <t>se0003</t>
  </si>
  <si>
    <t>54X</t>
  </si>
  <si>
    <t>XTpp1</t>
  </si>
  <si>
    <t>XTpp2</t>
  </si>
  <si>
    <t>9B</t>
  </si>
  <si>
    <t>9A</t>
  </si>
  <si>
    <t>Ccb</t>
  </si>
  <si>
    <t>Cpp</t>
  </si>
  <si>
    <t>F0-A71</t>
  </si>
  <si>
    <t>F0-A70</t>
  </si>
  <si>
    <t>F0-A73</t>
  </si>
  <si>
    <t>F0-A72</t>
  </si>
  <si>
    <t>WcpN</t>
  </si>
  <si>
    <t>Tcb1</t>
  </si>
  <si>
    <t>Tcb2</t>
  </si>
  <si>
    <t>Tcb3</t>
  </si>
  <si>
    <t>Tcb4</t>
  </si>
  <si>
    <t>Tcb5</t>
  </si>
  <si>
    <t>Tpp21</t>
  </si>
  <si>
    <t>Tpp22</t>
  </si>
  <si>
    <t>CB</t>
  </si>
  <si>
    <t>WcpL</t>
  </si>
  <si>
    <t>LCcb</t>
  </si>
  <si>
    <t>LCcbg</t>
  </si>
  <si>
    <t>LCcbt</t>
  </si>
  <si>
    <t>LCpp</t>
  </si>
  <si>
    <t>LCppg</t>
  </si>
  <si>
    <t>LCppt</t>
  </si>
  <si>
    <t>F0-A1</t>
  </si>
  <si>
    <t>F0-A3</t>
  </si>
  <si>
    <t>F0-A5</t>
  </si>
  <si>
    <t>F0-A7</t>
  </si>
  <si>
    <t>F0-A9</t>
  </si>
  <si>
    <t>F0-A11</t>
  </si>
  <si>
    <t>F0-A13</t>
  </si>
  <si>
    <t>F0-A15</t>
  </si>
  <si>
    <t>F0-A17</t>
  </si>
  <si>
    <t>F0-A19</t>
  </si>
  <si>
    <t>F0-A21</t>
  </si>
  <si>
    <t>F0-A23</t>
  </si>
  <si>
    <t>F0-A25</t>
  </si>
  <si>
    <t>F0-A27</t>
  </si>
  <si>
    <t>F0-A29</t>
  </si>
  <si>
    <t>F0-A31</t>
  </si>
  <si>
    <t>F0-A33</t>
  </si>
  <si>
    <t>F0-A35</t>
  </si>
  <si>
    <t>F0-A37</t>
  </si>
  <si>
    <t>F0-A39</t>
  </si>
  <si>
    <t>F0-A41</t>
  </si>
  <si>
    <t>F0-A43</t>
  </si>
  <si>
    <t>F0-A45</t>
  </si>
  <si>
    <t>F0-A47</t>
  </si>
  <si>
    <t>F0-A49</t>
  </si>
  <si>
    <t>F0-A51</t>
  </si>
  <si>
    <t>F0-A53</t>
  </si>
  <si>
    <t>F0-A55</t>
  </si>
  <si>
    <t>F0-A57</t>
  </si>
  <si>
    <t>F0-A59</t>
  </si>
  <si>
    <t>F0-A61</t>
  </si>
  <si>
    <t>F0-A63</t>
  </si>
  <si>
    <t>Регулятор уровня в вакуумном деаэраторе РТ-63</t>
  </si>
  <si>
    <t>F0GHJ20AA801</t>
  </si>
  <si>
    <t>Регулятор давления рабочей воды на эжектора РД-5</t>
  </si>
  <si>
    <t>F0GAD17AA801</t>
  </si>
  <si>
    <t>F0-A74</t>
  </si>
  <si>
    <t>F0-A75</t>
  </si>
  <si>
    <t>F0-A76</t>
  </si>
  <si>
    <t>F0-A77</t>
  </si>
  <si>
    <t>Клапан регулирующий до теплообменников по сети Т21 РТ-70</t>
  </si>
  <si>
    <t>F0NDG24AA801</t>
  </si>
  <si>
    <t>F0-A78</t>
  </si>
  <si>
    <t>F0-A79</t>
  </si>
  <si>
    <t>F0-A80</t>
  </si>
  <si>
    <t>F0-A81</t>
  </si>
  <si>
    <t>Регулятор давления обратной котловой воды РД-К</t>
  </si>
  <si>
    <t>F0NDG20AA803</t>
  </si>
  <si>
    <t>Регулятор производительности ХВО РД-3</t>
  </si>
  <si>
    <t>F0GAC01AA801</t>
  </si>
  <si>
    <t>F0-A82</t>
  </si>
  <si>
    <t>F0-A83</t>
  </si>
  <si>
    <t>F0-A84</t>
  </si>
  <si>
    <t>F0-A85</t>
  </si>
  <si>
    <t>Регулятор температуры сырой воды РТ-4</t>
  </si>
  <si>
    <t>F0GAC01AA802</t>
  </si>
  <si>
    <t>Регулятор температуры умягченной воды РТ-71</t>
  </si>
  <si>
    <t>F0GBJ01AA801</t>
  </si>
  <si>
    <t>F0-A86</t>
  </si>
  <si>
    <t>F0-A87</t>
  </si>
  <si>
    <t>C4</t>
  </si>
  <si>
    <t>B4</t>
  </si>
  <si>
    <t>11B</t>
  </si>
  <si>
    <t>15B</t>
  </si>
  <si>
    <t>17B</t>
  </si>
  <si>
    <t>11A</t>
  </si>
  <si>
    <t>15A</t>
  </si>
  <si>
    <t>17A</t>
  </si>
  <si>
    <t>C10</t>
  </si>
  <si>
    <t>B10</t>
  </si>
  <si>
    <t>C16</t>
  </si>
  <si>
    <t>B16</t>
  </si>
  <si>
    <t>C22</t>
  </si>
  <si>
    <t>B22</t>
  </si>
  <si>
    <t>A6.5</t>
  </si>
  <si>
    <t>3B</t>
  </si>
  <si>
    <t>5B</t>
  </si>
  <si>
    <t>3A</t>
  </si>
  <si>
    <t>5A</t>
  </si>
  <si>
    <t>A6.6</t>
  </si>
  <si>
    <t>Затвор дисковый РК.КА1 регулятор расхода воды через ВК-1</t>
  </si>
  <si>
    <t>F1NDG10AA801</t>
  </si>
  <si>
    <t>se0004</t>
  </si>
  <si>
    <t>F0-A93</t>
  </si>
  <si>
    <t>F0-A94</t>
  </si>
  <si>
    <t>32X</t>
  </si>
  <si>
    <t>AiModName</t>
  </si>
  <si>
    <t>TP-U</t>
  </si>
  <si>
    <t>AmAi</t>
  </si>
  <si>
    <t>TmAi1-</t>
  </si>
  <si>
    <t>TmAi1+</t>
  </si>
  <si>
    <t>A3.1</t>
  </si>
  <si>
    <t>WcpAi1-</t>
  </si>
  <si>
    <t>WcpAi1+</t>
  </si>
  <si>
    <t>WcpKlDiH</t>
  </si>
  <si>
    <t>WcpKl1</t>
  </si>
  <si>
    <t>WcpKl2</t>
  </si>
  <si>
    <t>WcpKl3</t>
  </si>
  <si>
    <t>WcpKl4</t>
  </si>
  <si>
    <t>WcpKl5</t>
  </si>
  <si>
    <t>WcpKl6</t>
  </si>
  <si>
    <t>WcpKl7</t>
  </si>
  <si>
    <t>24Vcp</t>
  </si>
  <si>
    <t>0Vcp</t>
  </si>
  <si>
    <t>24v6</t>
  </si>
  <si>
    <t>0v6</t>
  </si>
  <si>
    <t>F2NDG10AA801</t>
  </si>
  <si>
    <t>Затвор дисковый РК.КА2 регулятор расхода воды через ВК-2</t>
  </si>
  <si>
    <t>F0-A97</t>
  </si>
  <si>
    <t>F0-A98</t>
  </si>
  <si>
    <t>33X</t>
  </si>
  <si>
    <t>WcpKlDoA</t>
  </si>
  <si>
    <t>F3NDG10AA801</t>
  </si>
  <si>
    <t>F0-A101</t>
  </si>
  <si>
    <t>Затвор дисковый РК.КА3 регулятор расхода воды через ВК-3</t>
  </si>
  <si>
    <t>34X</t>
  </si>
  <si>
    <t>35X</t>
  </si>
  <si>
    <t>Затвор дисковый РК.КА4 регулятор расхода воды через ВК-4</t>
  </si>
  <si>
    <t>F4NDG10AA801</t>
  </si>
  <si>
    <t>F0-A106</t>
  </si>
  <si>
    <t>F0-A109</t>
  </si>
  <si>
    <t>F0-A110</t>
  </si>
  <si>
    <t>F0-A113</t>
  </si>
  <si>
    <t>F0-A118</t>
  </si>
  <si>
    <t>F0-A121</t>
  </si>
  <si>
    <t>F0-A122</t>
  </si>
  <si>
    <t>F0-A125</t>
  </si>
  <si>
    <t>F0-A130</t>
  </si>
  <si>
    <t>F0-A133</t>
  </si>
  <si>
    <t>F0-A134</t>
  </si>
  <si>
    <t>F0-A137</t>
  </si>
  <si>
    <t>F0-A142</t>
  </si>
  <si>
    <t>A5.10</t>
  </si>
  <si>
    <t>A5.11</t>
  </si>
  <si>
    <t>21B</t>
  </si>
  <si>
    <t>23B</t>
  </si>
  <si>
    <t>21A</t>
  </si>
  <si>
    <t>23A</t>
  </si>
  <si>
    <t>36X</t>
  </si>
  <si>
    <t>37X</t>
  </si>
  <si>
    <t>38X</t>
  </si>
  <si>
    <t>39X</t>
  </si>
  <si>
    <t>40X</t>
  </si>
  <si>
    <t>41X</t>
  </si>
  <si>
    <t>43X</t>
  </si>
  <si>
    <t>F0-A102</t>
  </si>
  <si>
    <t>F0-A105</t>
  </si>
  <si>
    <t>F0-A114</t>
  </si>
  <si>
    <t>F0-A117</t>
  </si>
  <si>
    <t>F0-A126</t>
  </si>
  <si>
    <t>F0-A129</t>
  </si>
  <si>
    <t>F0-A138</t>
  </si>
  <si>
    <t>F0-A141</t>
  </si>
  <si>
    <t>Затвор дисковый РК.КА5 регулятор расхода воды через ВК-5</t>
  </si>
  <si>
    <t>F5NDG10AA801</t>
  </si>
  <si>
    <t>Затвор дисковый РК.КА6 регулятор расхода воды через ВК-6</t>
  </si>
  <si>
    <t>F6NDG10AA801</t>
  </si>
  <si>
    <t>Затвор дисковый РК.КА7 регулятор расхода воды через ВК-7</t>
  </si>
  <si>
    <t>F7NDG10AA801</t>
  </si>
  <si>
    <t>Затвор дисковый РК.КА8 регулятор расхода воды через ВК-8</t>
  </si>
  <si>
    <t>F8NDG10AA801</t>
  </si>
  <si>
    <t>Регулирующий клапан РТ-1 на трубопроводе байпаса насосов НСВ</t>
  </si>
  <si>
    <t>F0GAF03AA801</t>
  </si>
  <si>
    <t>Регулятор температуры ХОВ на вакуумный деаэратор РТ-59</t>
  </si>
  <si>
    <t>F0GHJ20AA802</t>
  </si>
  <si>
    <t>47X</t>
  </si>
  <si>
    <t>48X</t>
  </si>
  <si>
    <t>Регулятор температуры обратной котловой воды Ду200 РТ-об1</t>
  </si>
  <si>
    <t>F0NDG20AA801</t>
  </si>
  <si>
    <t>Регулятор температуры обратной котловой воды Ду400 РТ-об2</t>
  </si>
  <si>
    <t>F0NDG20AA802</t>
  </si>
  <si>
    <t>Регулятор расхода сырой воды на охладитель выпара РД-2</t>
  </si>
  <si>
    <t>F0GHJ10AA801</t>
  </si>
  <si>
    <t>se0005</t>
  </si>
  <si>
    <t>F0-1</t>
  </si>
  <si>
    <t>A3.3</t>
  </si>
  <si>
    <t>Температура исходной воды</t>
  </si>
  <si>
    <t>F0GAA01CT001</t>
  </si>
  <si>
    <t>24v3</t>
  </si>
  <si>
    <t>0v3</t>
  </si>
  <si>
    <t>T1+</t>
  </si>
  <si>
    <t>T2+</t>
  </si>
  <si>
    <t>T1-</t>
  </si>
  <si>
    <t>ТПУ-205</t>
  </si>
  <si>
    <t>Давление исходной воды</t>
  </si>
  <si>
    <t>F0GAA01CP001</t>
  </si>
  <si>
    <t>F0-2</t>
  </si>
  <si>
    <t>F0-3</t>
  </si>
  <si>
    <t>F0-4</t>
  </si>
  <si>
    <t>АИР-20/М2-Н</t>
  </si>
  <si>
    <t>Давление исходной воды до сетчатого фильтра</t>
  </si>
  <si>
    <t>F0GAA01CP002</t>
  </si>
  <si>
    <t>Давление исходной воды после сетчатого фильтра</t>
  </si>
  <si>
    <t>F0GAA01CP003</t>
  </si>
  <si>
    <t>se0006</t>
  </si>
  <si>
    <t>F0-5</t>
  </si>
  <si>
    <t>F0-6</t>
  </si>
  <si>
    <t>F0-7</t>
  </si>
  <si>
    <t>F0-8</t>
  </si>
  <si>
    <t>F0-9</t>
  </si>
  <si>
    <t>A3.4</t>
  </si>
  <si>
    <t>Давление сырой воды на всасе НСВ-1 (К5.1)</t>
  </si>
  <si>
    <t>F0GAF01CP001</t>
  </si>
  <si>
    <t>Давление сырой воды на напоре НСВ-1 (К5.1)</t>
  </si>
  <si>
    <t>F0GAF01CP002</t>
  </si>
  <si>
    <t>Давление сырой воды на всасе НСВ-2 (К5.2)</t>
  </si>
  <si>
    <t>Давление сырой воды на напоре НСВ-2 (К5.2)</t>
  </si>
  <si>
    <t>F0GAF02CP002</t>
  </si>
  <si>
    <t>F0GAF02CP001</t>
  </si>
  <si>
    <t>Давление исходной воды после насосов НСВ</t>
  </si>
  <si>
    <t>F0GAF10CP001</t>
  </si>
  <si>
    <t>Давление исходной воды в трубопроводе байпаса насосов НСВ</t>
  </si>
  <si>
    <t>F0GAF03CP001</t>
  </si>
  <si>
    <t>F0-10</t>
  </si>
  <si>
    <t>Температура воды аварийной подпитки</t>
  </si>
  <si>
    <t>F0-12</t>
  </si>
  <si>
    <t>F0GAD11CT001</t>
  </si>
  <si>
    <t>Давление воды аварийной подпитки</t>
  </si>
  <si>
    <t>F0GAD11CP001</t>
  </si>
  <si>
    <t>F0-13</t>
  </si>
  <si>
    <t>Уровень в баке-аккумуляторе запаса котловой воды</t>
  </si>
  <si>
    <t>F0GBK10CL001</t>
  </si>
  <si>
    <t>УЛМ-31.А1</t>
  </si>
  <si>
    <t>F0-14</t>
  </si>
  <si>
    <t>Температура воды после подогревателя исходной воды К11</t>
  </si>
  <si>
    <t>F0GAC01CT101</t>
  </si>
  <si>
    <t>F0GBJ01CT101</t>
  </si>
  <si>
    <t>Температура умягченной воды после подогревателя К16</t>
  </si>
  <si>
    <t>4-x пров R</t>
  </si>
  <si>
    <t>Температура воды в баке-газоотделителе</t>
  </si>
  <si>
    <t>F0GAD13CT001</t>
  </si>
  <si>
    <t>Давление на всасе насоса рабочей воды К10.5.1</t>
  </si>
  <si>
    <t>F0GAD14CP001</t>
  </si>
  <si>
    <t>se0007</t>
  </si>
  <si>
    <t>F0-15</t>
  </si>
  <si>
    <t>F0-16</t>
  </si>
  <si>
    <t>F0-17</t>
  </si>
  <si>
    <t>F0-18</t>
  </si>
  <si>
    <t>+</t>
  </si>
  <si>
    <t>-</t>
  </si>
  <si>
    <t>Xid1</t>
  </si>
  <si>
    <t>Xid2</t>
  </si>
  <si>
    <t>4-20мА</t>
  </si>
  <si>
    <t>24В</t>
  </si>
  <si>
    <t>T2-</t>
  </si>
  <si>
    <t>F0</t>
  </si>
  <si>
    <t>WcpAi2-</t>
  </si>
  <si>
    <t>WcpAi2+</t>
  </si>
  <si>
    <t>TmAi2-</t>
  </si>
  <si>
    <t>TmAi2+</t>
  </si>
  <si>
    <t>Давление на напоре насоса рабочей воды К10.5.1</t>
  </si>
  <si>
    <t>F0GAD14CP002</t>
  </si>
  <si>
    <t>Давление на всасе насоса рабочей воды К10.5.2</t>
  </si>
  <si>
    <t>F0GAD15CP001</t>
  </si>
  <si>
    <t>Давление на напоре насоса рабочей воды К10.5.2</t>
  </si>
  <si>
    <t>F0GAD15CP002</t>
  </si>
  <si>
    <t>Уровень в баке-газоотделителе</t>
  </si>
  <si>
    <t>F0GAD13CL001</t>
  </si>
  <si>
    <t>Давление рабочей воды на эжектора</t>
  </si>
  <si>
    <t>F0GAD17CP001</t>
  </si>
  <si>
    <t>Температура парогазовой смеси на входе в эжектора</t>
  </si>
  <si>
    <t>F0GAD17CT001</t>
  </si>
  <si>
    <t>Температура выпара вакуумного деаэратора</t>
  </si>
  <si>
    <t>F0GDH11CT002</t>
  </si>
  <si>
    <t>Давление в линии выпара вакуумного деаэратора</t>
  </si>
  <si>
    <t>F0GDH11CP002</t>
  </si>
  <si>
    <t>Температура деаэрированной воды на выходе из бака-аккумулятора вакуумного деаэратора</t>
  </si>
  <si>
    <t>F0GDH11CT001</t>
  </si>
  <si>
    <t>F0-19</t>
  </si>
  <si>
    <t>F0-20</t>
  </si>
  <si>
    <t>F0-21</t>
  </si>
  <si>
    <t>F0-22</t>
  </si>
  <si>
    <t>F0-23</t>
  </si>
  <si>
    <t>F0-24</t>
  </si>
  <si>
    <t>F0-25</t>
  </si>
  <si>
    <t>F0-26</t>
  </si>
  <si>
    <t>F0-27</t>
  </si>
  <si>
    <t>Давление деаэрированной воды на выходе из бака-аккумулятора вакуумного деаэратора</t>
  </si>
  <si>
    <t>F0GDH11CP001</t>
  </si>
  <si>
    <t>F0-28</t>
  </si>
  <si>
    <t>Давление на всасе насоса подпитки теплосети К6.1</t>
  </si>
  <si>
    <t>F0NDK11CP001</t>
  </si>
  <si>
    <t>Давление на напоре насоса подпитки теплосети К6.1</t>
  </si>
  <si>
    <t>F0NDK11CP002</t>
  </si>
  <si>
    <t>Давление на всасе насоса подпитки теплосети К6.2</t>
  </si>
  <si>
    <t>Давление на напоре насоса подпитки теплосети К6.2</t>
  </si>
  <si>
    <t>Давление на всасе насоса подпитки теплосети К6.3</t>
  </si>
  <si>
    <t>Давление на напоре насоса подпитки теплосети К6.3</t>
  </si>
  <si>
    <t>F0NDK12CP001</t>
  </si>
  <si>
    <t>F0NDK12CP002</t>
  </si>
  <si>
    <t>F0NDK13CP001</t>
  </si>
  <si>
    <t>F0NDK13CP002</t>
  </si>
  <si>
    <t>F0-30</t>
  </si>
  <si>
    <t>F0-31</t>
  </si>
  <si>
    <t>F0-32</t>
  </si>
  <si>
    <t>F0-33</t>
  </si>
  <si>
    <t>F0-34</t>
  </si>
  <si>
    <t>F0-35</t>
  </si>
  <si>
    <t>Уровень в баке-аккумуляторе вакуумного деаэратора</t>
  </si>
  <si>
    <t>F0GDH11CL002</t>
  </si>
  <si>
    <t>F0-36</t>
  </si>
  <si>
    <t>Давление подпитки теплосети от деаэратора</t>
  </si>
  <si>
    <t>F0NDK20CP001</t>
  </si>
  <si>
    <t>F0-37</t>
  </si>
  <si>
    <t>Температура подпитки теплосети от деаэратора</t>
  </si>
  <si>
    <t>F0NDK20CT001</t>
  </si>
  <si>
    <t>Давление хим.очищенной воды перед ПХОВ 1</t>
  </si>
  <si>
    <t>F0GHJ11CP001</t>
  </si>
  <si>
    <t>Температура хим.очищенной воды перед ПХОВ-1</t>
  </si>
  <si>
    <t>F0GHJ11CT001</t>
  </si>
  <si>
    <t>Давление греющей воды на ПХОВ-1</t>
  </si>
  <si>
    <t>F0GHJ11CP003</t>
  </si>
  <si>
    <t>Температура греющей воды на ПХОВ-1</t>
  </si>
  <si>
    <t>F0GHJ11CT003</t>
  </si>
  <si>
    <t>Давление хим.очищенной воды после ПХОВ 1</t>
  </si>
  <si>
    <t>F0GHJ11CP002</t>
  </si>
  <si>
    <t>Температура хим.очищенной воды после ПХОВ-1</t>
  </si>
  <si>
    <t>F0GHJ11CT002</t>
  </si>
  <si>
    <t>Давление греющей воды после ПХОВ-1</t>
  </si>
  <si>
    <t>F0GHJ11CP004</t>
  </si>
  <si>
    <t>F0-38</t>
  </si>
  <si>
    <t>F0-39</t>
  </si>
  <si>
    <t>F0-40</t>
  </si>
  <si>
    <t>F0-41</t>
  </si>
  <si>
    <t>F0-42</t>
  </si>
  <si>
    <t>F0-43</t>
  </si>
  <si>
    <t>F0-44</t>
  </si>
  <si>
    <t>F0-45</t>
  </si>
  <si>
    <t>Температура греющей воды после ПХОВ-1</t>
  </si>
  <si>
    <t>F0GHJ11CT004</t>
  </si>
  <si>
    <t>Давление хим.очищенной воды перед ПХОВ 2</t>
  </si>
  <si>
    <t>F0GHJ12CP001</t>
  </si>
  <si>
    <t>Температура хим.очищенной воды перед ПХОВ-2</t>
  </si>
  <si>
    <t>F0GHJ12CT001</t>
  </si>
  <si>
    <t>Давление греющей воды на ПХОВ-2</t>
  </si>
  <si>
    <t>F0GHJ12CP003</t>
  </si>
  <si>
    <t>Температура греющей воды на ПХОВ-2</t>
  </si>
  <si>
    <t>F0GHJ12CT003</t>
  </si>
  <si>
    <t>Давление хим.очищенной воды после ПХОВ 2</t>
  </si>
  <si>
    <t>F0GHJ12CP002</t>
  </si>
  <si>
    <t>Температура хим.очищенной воды после ПХОВ-2</t>
  </si>
  <si>
    <t>F0GHJ12CT002</t>
  </si>
  <si>
    <t>Давление греющей воды после ПХОВ-2</t>
  </si>
  <si>
    <t>F0GHJ12CP004</t>
  </si>
  <si>
    <t>Температура греющей воды после ПХОВ-2</t>
  </si>
  <si>
    <t>F0GHJ12CT004</t>
  </si>
  <si>
    <t>F0-46</t>
  </si>
  <si>
    <t>F0-47</t>
  </si>
  <si>
    <t>F0-48</t>
  </si>
  <si>
    <t>F0-49</t>
  </si>
  <si>
    <t>F0-50</t>
  </si>
  <si>
    <t>F0-51</t>
  </si>
  <si>
    <t>F0-52</t>
  </si>
  <si>
    <t>F0-53</t>
  </si>
  <si>
    <t>F0-54</t>
  </si>
  <si>
    <t>Температура хим.очищенной воды к ваккумному деаэратору подпитки т/с</t>
  </si>
  <si>
    <t>F0GHJ20CT002</t>
  </si>
  <si>
    <t>Температура обратной котловой воды на выходе из системы вентиляции</t>
  </si>
  <si>
    <t>F0NDG23CT001</t>
  </si>
  <si>
    <t>Давление обратной котловой воды на выходе из системы вентиляции</t>
  </si>
  <si>
    <t>F0NDG23CP001</t>
  </si>
  <si>
    <t>Давление обратной котловой воды на входе в котельную</t>
  </si>
  <si>
    <t>F0NDG20CP001</t>
  </si>
  <si>
    <t>Давление на всасе насоса №1 подпитки котлового контура К23.1</t>
  </si>
  <si>
    <t>F0GBK11CP001</t>
  </si>
  <si>
    <t>Давление на напоре насоса №1 подпитки котлового контура К23.1</t>
  </si>
  <si>
    <t>F0GBK11CP002</t>
  </si>
  <si>
    <t>Давление на всасе насоса №2 подпитки котлового контура К23.2</t>
  </si>
  <si>
    <t>F0GBK12CP001</t>
  </si>
  <si>
    <t>Давление на напоре насоса №2 подпитки котлового контура К23.2</t>
  </si>
  <si>
    <t>F0GBK12CP002</t>
  </si>
  <si>
    <t>Температура обратной котловой воды на входе в котельную</t>
  </si>
  <si>
    <t>F0NDG20CT001</t>
  </si>
  <si>
    <t>F0-63</t>
  </si>
  <si>
    <t>F0-55</t>
  </si>
  <si>
    <t>F0-56</t>
  </si>
  <si>
    <t>F0-57</t>
  </si>
  <si>
    <t>F0-58</t>
  </si>
  <si>
    <t>F0-59</t>
  </si>
  <si>
    <t>F0-60</t>
  </si>
  <si>
    <t>F0-61</t>
  </si>
  <si>
    <t>F0-62</t>
  </si>
  <si>
    <t>Температура воды после задвижки Т21 Котёл К1.1</t>
  </si>
  <si>
    <t>F1NDG10CT001</t>
  </si>
  <si>
    <t>Давление воды перед котлом Т21 Котёл К1.1</t>
  </si>
  <si>
    <t>F1NDG10CP001</t>
  </si>
  <si>
    <t>Температура воды перед котлом Т21 Котёл К1.1</t>
  </si>
  <si>
    <t>F1NDG10CT002</t>
  </si>
  <si>
    <t>F2NDG10CT001</t>
  </si>
  <si>
    <t>F2NDG10CP001</t>
  </si>
  <si>
    <t>F2NDG10CT002</t>
  </si>
  <si>
    <t>F3NDG10CT001</t>
  </si>
  <si>
    <t>F3NDG10CP001</t>
  </si>
  <si>
    <t>F3NDG10CT002</t>
  </si>
  <si>
    <t>F4NDG10CT001</t>
  </si>
  <si>
    <t>F4NDG10CP001</t>
  </si>
  <si>
    <t>F4NDG10CT002</t>
  </si>
  <si>
    <t>F5NDG10CT001</t>
  </si>
  <si>
    <t>F5NDG10CP001</t>
  </si>
  <si>
    <t>F5NDG10CT002</t>
  </si>
  <si>
    <t>F6NDG10CT001</t>
  </si>
  <si>
    <t>F6NDG10CP001</t>
  </si>
  <si>
    <t>F6NDG10CT002</t>
  </si>
  <si>
    <t>F7NDG10CT001</t>
  </si>
  <si>
    <t>F7NDG10CP001</t>
  </si>
  <si>
    <t>F7NDG10CT002</t>
  </si>
  <si>
    <t>F8NDG10CT001</t>
  </si>
  <si>
    <t>F8NDG10CP001</t>
  </si>
  <si>
    <t>F8NDG10CT002</t>
  </si>
  <si>
    <t>Температура воды после задвижки Т21 Котёл К1.2</t>
  </si>
  <si>
    <t>Давление воды перед котлом Т21 Котёл К1.2</t>
  </si>
  <si>
    <t>Температура воды перед котлом Т21 Котёл К1.2</t>
  </si>
  <si>
    <t>Температура воды после задвижки Т21 Котёл К1.3</t>
  </si>
  <si>
    <t>Давление воды перед котлом Т21 Котёл К1.3</t>
  </si>
  <si>
    <t>Температура воды перед котлом Т21 Котёл К1.3</t>
  </si>
  <si>
    <t>Температура воды после задвижки Т21 Котёл К1.4</t>
  </si>
  <si>
    <t>Давление воды перед котлом Т21 Котёл К1.4</t>
  </si>
  <si>
    <t>Температура воды перед котлом Т21 Котёл К1.4</t>
  </si>
  <si>
    <t>Температура воды после задвижки Т21 Котёл К1.5</t>
  </si>
  <si>
    <t>Давление воды перед котлом Т21 Котёл К1.5</t>
  </si>
  <si>
    <t>Температура воды перед котлом Т21 Котёл К1.5</t>
  </si>
  <si>
    <t>Температура воды после задвижки Т21 Котёл К1.6</t>
  </si>
  <si>
    <t>Давление воды перед котлом Т21 Котёл К1.6</t>
  </si>
  <si>
    <t>Температура воды перед котлом Т21 Котёл К1.6</t>
  </si>
  <si>
    <t>Температура воды после задвижки Т21 Котёл К1.7</t>
  </si>
  <si>
    <t>Давление воды перед котлом Т21 Котёл К1.7</t>
  </si>
  <si>
    <t>Температура воды перед котлом Т21 Котёл К1.7</t>
  </si>
  <si>
    <t>Температура воды после задвижки Т21 Котёл К1.8</t>
  </si>
  <si>
    <t>Давление воды перед котлом Т21 Котёл К1.8</t>
  </si>
  <si>
    <t>Температура воды перед котлом Т21 Котёл К1.8</t>
  </si>
  <si>
    <t>F0-73</t>
  </si>
  <si>
    <t>F0-74</t>
  </si>
  <si>
    <t>F0-75</t>
  </si>
  <si>
    <t>F0-76</t>
  </si>
  <si>
    <t>F0-77</t>
  </si>
  <si>
    <t>F0-78</t>
  </si>
  <si>
    <t>F0-79</t>
  </si>
  <si>
    <t>F0-80</t>
  </si>
  <si>
    <t>F0-81</t>
  </si>
  <si>
    <t>F0-82</t>
  </si>
  <si>
    <t>F0-83</t>
  </si>
  <si>
    <t>F0-84</t>
  </si>
  <si>
    <t>F0-85</t>
  </si>
  <si>
    <t>F0-86</t>
  </si>
  <si>
    <t>F0-87</t>
  </si>
  <si>
    <t>F0-88</t>
  </si>
  <si>
    <t>F0-89</t>
  </si>
  <si>
    <t>F0-90</t>
  </si>
  <si>
    <t>F0-91</t>
  </si>
  <si>
    <t>F0-92</t>
  </si>
  <si>
    <t>F0-93</t>
  </si>
  <si>
    <t>F0-94</t>
  </si>
  <si>
    <t>F0-95</t>
  </si>
  <si>
    <t>F0-96</t>
  </si>
  <si>
    <t>Давление прямой котловой воды на подогреватели ХОВ</t>
  </si>
  <si>
    <t>F0NDF22CP001</t>
  </si>
  <si>
    <t>Температура прямой котловой воды на подогреватели ХОВ</t>
  </si>
  <si>
    <t>F0NDF22CT001</t>
  </si>
  <si>
    <t>F0-99</t>
  </si>
  <si>
    <t>F1NDF10CP001</t>
  </si>
  <si>
    <t>F0-97</t>
  </si>
  <si>
    <t>F0-98</t>
  </si>
  <si>
    <t>Давление воды после котла Т11 Котёл К1.1</t>
  </si>
  <si>
    <t>Температура воды после котла Т11 Котёл К1.1</t>
  </si>
  <si>
    <t>F0-100</t>
  </si>
  <si>
    <t>F1NDF10CT001</t>
  </si>
  <si>
    <t>F2NDF10CP001</t>
  </si>
  <si>
    <t>F2NDF10CT001</t>
  </si>
  <si>
    <t>F3NDF10CP001</t>
  </si>
  <si>
    <t>F3NDF10CT001</t>
  </si>
  <si>
    <t>F4NDF10CP001</t>
  </si>
  <si>
    <t>F4NDF10CT001</t>
  </si>
  <si>
    <t>F5NDF10CP001</t>
  </si>
  <si>
    <t>F5NDF10CT001</t>
  </si>
  <si>
    <t>F6NDF10CP001</t>
  </si>
  <si>
    <t>F6NDF10CT001</t>
  </si>
  <si>
    <t>F7NDF10CP001</t>
  </si>
  <si>
    <t>F7NDF10CT001</t>
  </si>
  <si>
    <t>F8NDF10CP001</t>
  </si>
  <si>
    <t>F8NDF10CT001</t>
  </si>
  <si>
    <t>Давление воды после котла Т11 Котёл К1.2</t>
  </si>
  <si>
    <t>Температура воды после котла Т11 Котёл К1.2</t>
  </si>
  <si>
    <t>Давление воды после котла Т11 Котёл К1.3</t>
  </si>
  <si>
    <t>Температура воды после котла Т11 Котёл К1.3</t>
  </si>
  <si>
    <t>Давление воды после котла Т11 Котёл К1.4</t>
  </si>
  <si>
    <t>Температура воды после котла Т11 Котёл К1.4</t>
  </si>
  <si>
    <t>Давление воды после котла Т11 Котёл К1.5</t>
  </si>
  <si>
    <t>Температура воды после котла Т11 Котёл К1.5</t>
  </si>
  <si>
    <t>Давление воды после котла Т11 Котёл К1.6</t>
  </si>
  <si>
    <t>Температура воды после котла Т11 Котёл К1.6</t>
  </si>
  <si>
    <t>Давление воды после котла Т11 Котёл К1.7</t>
  </si>
  <si>
    <t>Температура воды после котла Т11 Котёл К1.7</t>
  </si>
  <si>
    <t>Давление воды после котла Т11 Котёл К1.8</t>
  </si>
  <si>
    <t>Температура воды после котла Т11 Котёл К1.8</t>
  </si>
  <si>
    <t>F0-101</t>
  </si>
  <si>
    <t>F0-102</t>
  </si>
  <si>
    <t>F0-103</t>
  </si>
  <si>
    <t>F0-104</t>
  </si>
  <si>
    <t>F0-105</t>
  </si>
  <si>
    <t>F0-106</t>
  </si>
  <si>
    <t>F0-107</t>
  </si>
  <si>
    <t>F0-108</t>
  </si>
  <si>
    <t>F0-109</t>
  </si>
  <si>
    <t>F0-110</t>
  </si>
  <si>
    <t>F0-111</t>
  </si>
  <si>
    <t>F0-112</t>
  </si>
  <si>
    <t>F0-113</t>
  </si>
  <si>
    <t>F0-114</t>
  </si>
  <si>
    <t>Температура прямой котловой воды в общем коллекторе котлов</t>
  </si>
  <si>
    <t>F0NDF10CT001</t>
  </si>
  <si>
    <t>Температура наружного воздуха</t>
  </si>
  <si>
    <t>F0UZK10CT001</t>
  </si>
  <si>
    <t>Давление на всасе НКП-1</t>
  </si>
  <si>
    <t>F0LFM11CP001</t>
  </si>
  <si>
    <t>Давление на напоре НКП-1</t>
  </si>
  <si>
    <t>F0LFM11CP002</t>
  </si>
  <si>
    <t>Давление на всасе НКП-2</t>
  </si>
  <si>
    <t>F0LFM12CP001</t>
  </si>
  <si>
    <t>Давление на напоре НКП-2</t>
  </si>
  <si>
    <t>F0LFM12CP002</t>
  </si>
  <si>
    <t>Давление до теплообменников по сети Т11</t>
  </si>
  <si>
    <t>F0NDF15СР001</t>
  </si>
  <si>
    <t>Температура до теплообменников по сети Т11</t>
  </si>
  <si>
    <t>F0NDF15СТ101</t>
  </si>
  <si>
    <t>A3.16</t>
  </si>
  <si>
    <t>Температура Т3 в систему ГВС АБК котельной</t>
  </si>
  <si>
    <t>F0GKB20СТ101</t>
  </si>
  <si>
    <t>Температура В1 от насосной станции</t>
  </si>
  <si>
    <t>F0GKB10СТ101</t>
  </si>
  <si>
    <t>F0-115</t>
  </si>
  <si>
    <t>F0-116</t>
  </si>
  <si>
    <t>F0-117</t>
  </si>
  <si>
    <t>F0-118</t>
  </si>
  <si>
    <t>F0-119</t>
  </si>
  <si>
    <t>F0-120</t>
  </si>
  <si>
    <t>F0-121</t>
  </si>
  <si>
    <t>F0-122</t>
  </si>
  <si>
    <t>F0-123</t>
  </si>
  <si>
    <t>F0-124</t>
  </si>
  <si>
    <t>F0-125</t>
  </si>
  <si>
    <t>se0008</t>
  </si>
  <si>
    <t>ЭМИС-ПОТОК 285</t>
  </si>
  <si>
    <t>Датчик реле протока через охладитель выпара</t>
  </si>
  <si>
    <t>F0GHJ10CF151</t>
  </si>
  <si>
    <t>A5.12</t>
  </si>
  <si>
    <t>TP-D</t>
  </si>
  <si>
    <t>WcpDi1</t>
  </si>
  <si>
    <t>0VcpM</t>
  </si>
  <si>
    <t>24VcpM</t>
  </si>
  <si>
    <t>0VcpS</t>
  </si>
  <si>
    <t>24VcpS</t>
  </si>
  <si>
    <t>T24V</t>
  </si>
  <si>
    <t>T0V</t>
  </si>
  <si>
    <t>T1</t>
  </si>
  <si>
    <t>T2</t>
  </si>
  <si>
    <t>T3</t>
  </si>
  <si>
    <t>F0-SD1-1</t>
  </si>
  <si>
    <t>F0-1UZ</t>
  </si>
  <si>
    <t>Расход воды аварийной подпитки</t>
  </si>
  <si>
    <t>F0GAD11CF001</t>
  </si>
  <si>
    <t>se0009</t>
  </si>
  <si>
    <t>1UZ</t>
  </si>
  <si>
    <t>I вых +</t>
  </si>
  <si>
    <t>I вых -</t>
  </si>
  <si>
    <t>Щит в аппаратной</t>
  </si>
  <si>
    <t>F0-2UZ</t>
  </si>
  <si>
    <t>F0-3UZ</t>
  </si>
  <si>
    <t>F0-4UZ</t>
  </si>
  <si>
    <t>F0-5UZ</t>
  </si>
  <si>
    <t>Расход воды на теплообменник К12</t>
  </si>
  <si>
    <t>F0NDF22CF001</t>
  </si>
  <si>
    <t>Расход воды на теплообменники К11, К16</t>
  </si>
  <si>
    <t>F0NDF22CF002</t>
  </si>
  <si>
    <t>Расход воды на бак-газоотделитель</t>
  </si>
  <si>
    <t>F0GAD12CF001</t>
  </si>
  <si>
    <t>Расход подпитки теплосети от деаэратора</t>
  </si>
  <si>
    <t>F0NDK20CF001</t>
  </si>
  <si>
    <t>F0-6UZ</t>
  </si>
  <si>
    <t>F0-7UZ</t>
  </si>
  <si>
    <t>Расход сырой воды к ХВО</t>
  </si>
  <si>
    <t>F0GAD18CF001</t>
  </si>
  <si>
    <t>Расход хим.очищенной воды к ваккумному деаэратору подпитки т/с</t>
  </si>
  <si>
    <t>F0GHJ20CF001</t>
  </si>
  <si>
    <t>2UZ</t>
  </si>
  <si>
    <t>3UZ</t>
  </si>
  <si>
    <t>4UZ</t>
  </si>
  <si>
    <t>5UZ</t>
  </si>
  <si>
    <t>6UZ</t>
  </si>
  <si>
    <t>7UZ</t>
  </si>
  <si>
    <t>se0010</t>
  </si>
  <si>
    <t>режим b-01</t>
  </si>
  <si>
    <t>Сигнализация начала/окончания процесса регенирации Фильтр К9.2.1 сработала</t>
  </si>
  <si>
    <t>F0GBJ01CF151</t>
  </si>
  <si>
    <t>Сигнализация начала/окончания процесса регенирации Фильтр К9.2.2 сработала</t>
  </si>
  <si>
    <t>F0GBJ02CF151</t>
  </si>
  <si>
    <t>F0-TM1</t>
  </si>
  <si>
    <t>F0-TM2</t>
  </si>
  <si>
    <t>C2</t>
  </si>
  <si>
    <t>B2</t>
  </si>
  <si>
    <t>C3</t>
  </si>
  <si>
    <t>B3</t>
  </si>
  <si>
    <t>F0-SD2-1</t>
  </si>
  <si>
    <t>F0-SD3-1</t>
  </si>
  <si>
    <t>F0-AT1</t>
  </si>
  <si>
    <t>Содержание кислорода в подпиточной воде котлового контура после БВД-10</t>
  </si>
  <si>
    <t>F0GBK10CQ003</t>
  </si>
  <si>
    <t>МАРК-409 Т/1</t>
  </si>
  <si>
    <t>se0011</t>
  </si>
  <si>
    <t>A3.17</t>
  </si>
  <si>
    <t>WcpDi2</t>
  </si>
  <si>
    <t>WcpDi3</t>
  </si>
  <si>
    <t>WcpDi4</t>
  </si>
  <si>
    <t>WcpAi1</t>
  </si>
  <si>
    <t>WcpAi2</t>
  </si>
  <si>
    <t>WcpAiCom</t>
  </si>
  <si>
    <t>id2</t>
  </si>
  <si>
    <t>role2</t>
  </si>
  <si>
    <t>F0NDG20CQ003</t>
  </si>
  <si>
    <t>Содержание кислорода в обратной котловой воде после подпитки</t>
  </si>
  <si>
    <t>Cda</t>
  </si>
  <si>
    <t>Cdb</t>
  </si>
  <si>
    <t>Caab</t>
  </si>
  <si>
    <t>F0-AT2</t>
  </si>
  <si>
    <t>F0-AT3</t>
  </si>
  <si>
    <t>F0-AT1-A</t>
  </si>
  <si>
    <t>F0-AT1-B</t>
  </si>
  <si>
    <t>F0-AT2-MIN</t>
  </si>
  <si>
    <t>F0-AT2-MAX</t>
  </si>
  <si>
    <t>F0-AT3-MIN</t>
  </si>
  <si>
    <t>F0-AT3-MAX</t>
  </si>
  <si>
    <t>K57-01</t>
  </si>
  <si>
    <t>K57-02</t>
  </si>
  <si>
    <t>K57-03</t>
  </si>
  <si>
    <t>K57-04</t>
  </si>
  <si>
    <t>C8</t>
  </si>
  <si>
    <t>B8</t>
  </si>
  <si>
    <t>МАРК-9010</t>
  </si>
  <si>
    <t>se0012</t>
  </si>
  <si>
    <t>F0-AT1-COM</t>
  </si>
  <si>
    <t>pH сырой воды после ХВО</t>
  </si>
  <si>
    <t>F0GHJ01CQ001</t>
  </si>
  <si>
    <t>K57-05</t>
  </si>
  <si>
    <t>K57-06</t>
  </si>
  <si>
    <t>F0-AT5-A</t>
  </si>
  <si>
    <t>NcpS</t>
  </si>
  <si>
    <t>LcpS</t>
  </si>
  <si>
    <t>F0-AT6-MAX</t>
  </si>
  <si>
    <t>F0-AT6-MIN</t>
  </si>
  <si>
    <t>F0-AT5-COM</t>
  </si>
  <si>
    <t>F0-AT7</t>
  </si>
  <si>
    <t>F0-AT5</t>
  </si>
  <si>
    <t>F0-AT6</t>
  </si>
  <si>
    <t>F0-L7</t>
  </si>
  <si>
    <t>Уровень воды бака раствора щелочи</t>
  </si>
  <si>
    <t>F0GCN01СL001</t>
  </si>
  <si>
    <t>F0GCN01СL002</t>
  </si>
  <si>
    <t>F0-126</t>
  </si>
  <si>
    <t>F0-127</t>
  </si>
  <si>
    <t>ШКА1</t>
  </si>
  <si>
    <t>F0-Eth1</t>
  </si>
  <si>
    <t>UTP cat5e 4x2x0.5</t>
  </si>
  <si>
    <t>Откуда</t>
  </si>
  <si>
    <t>Куда</t>
  </si>
  <si>
    <t>Маркировка</t>
  </si>
  <si>
    <t>Тип кабеля</t>
  </si>
  <si>
    <t>F0CJU01</t>
  </si>
  <si>
    <t>ШКА2</t>
  </si>
  <si>
    <t>F0-Eth2</t>
  </si>
  <si>
    <t>ШКА3</t>
  </si>
  <si>
    <t>F0-Eth3</t>
  </si>
  <si>
    <t>ШКА4</t>
  </si>
  <si>
    <t>F0-Eth4</t>
  </si>
  <si>
    <t>ШКА5</t>
  </si>
  <si>
    <t>F0-Eth5</t>
  </si>
  <si>
    <t>ШКА6</t>
  </si>
  <si>
    <t>F0-Eth6</t>
  </si>
  <si>
    <t>ШКА7</t>
  </si>
  <si>
    <t>F0-Eth7</t>
  </si>
  <si>
    <t>ШКА8</t>
  </si>
  <si>
    <t>F0-Eth8</t>
  </si>
  <si>
    <t>F0-Eth9</t>
  </si>
  <si>
    <t>ШУГ1</t>
  </si>
  <si>
    <t>ШУГ2</t>
  </si>
  <si>
    <t>F0-Eth10</t>
  </si>
  <si>
    <t>ШУГ3</t>
  </si>
  <si>
    <t>F0-Eth11</t>
  </si>
  <si>
    <t>ШУГ4</t>
  </si>
  <si>
    <t>F0-Eth12</t>
  </si>
  <si>
    <t>ШУГ5</t>
  </si>
  <si>
    <t>F0-Eth13</t>
  </si>
  <si>
    <t>ШУГ6</t>
  </si>
  <si>
    <t>F0-Eth14</t>
  </si>
  <si>
    <t>ШУГ7</t>
  </si>
  <si>
    <t>F0-Eth15</t>
  </si>
  <si>
    <t>ШУГ8</t>
  </si>
  <si>
    <t>F0-Eth16</t>
  </si>
  <si>
    <t>Щит КИП БВД-10</t>
  </si>
  <si>
    <t>КИПвЭВнг(А)-LS 1x2x0.78</t>
  </si>
  <si>
    <t>F0-K1</t>
  </si>
  <si>
    <t>F0-K2</t>
  </si>
  <si>
    <t>F0-K3</t>
  </si>
  <si>
    <t>F0-K4</t>
  </si>
  <si>
    <t>se0013</t>
  </si>
  <si>
    <t>3-x пров R</t>
  </si>
  <si>
    <t>Температура подшипника №1 ЭД котлового насоса К4.1</t>
  </si>
  <si>
    <t>Tcb6</t>
  </si>
  <si>
    <t>TmAi3-</t>
  </si>
  <si>
    <t>TmAi3+</t>
  </si>
  <si>
    <t>TmAi4-</t>
  </si>
  <si>
    <t>TmAi4+</t>
  </si>
  <si>
    <t>WcpAi3-</t>
  </si>
  <si>
    <t>WcpAi3+</t>
  </si>
  <si>
    <t>WcpAi4-</t>
  </si>
  <si>
    <t>WcpAi4+</t>
  </si>
  <si>
    <t>Соединительная коробка СК-1 К4.1</t>
  </si>
  <si>
    <t>Температура подшипника №2 ЭД котлового насоса К4.1</t>
  </si>
  <si>
    <t>Температура подшипника №3 ЭД котлового насоса К4.1</t>
  </si>
  <si>
    <t>Температура подшипника №4 ЭД котлового насоса К4.1</t>
  </si>
  <si>
    <t>F0NDG01CT101</t>
  </si>
  <si>
    <t>F0NDG01CT102</t>
  </si>
  <si>
    <t>F0NDG01CT103</t>
  </si>
  <si>
    <t>F0NDG01CT104</t>
  </si>
  <si>
    <t>F0NDG01CT105</t>
  </si>
  <si>
    <t>id3</t>
  </si>
  <si>
    <t>role3</t>
  </si>
  <si>
    <t>F0NDG01CT106</t>
  </si>
  <si>
    <t>F0NDG01CT107</t>
  </si>
  <si>
    <t>TmAi5-</t>
  </si>
  <si>
    <t>TmAi5+</t>
  </si>
  <si>
    <t>TmAi6-</t>
  </si>
  <si>
    <t>TmAi6+</t>
  </si>
  <si>
    <t>WcpAi5-</t>
  </si>
  <si>
    <t>WcpAi5+</t>
  </si>
  <si>
    <t>WcpAi6-</t>
  </si>
  <si>
    <t>WcpAi6+</t>
  </si>
  <si>
    <t>Tcb7</t>
  </si>
  <si>
    <t>Tcb8</t>
  </si>
  <si>
    <t>Tcb9</t>
  </si>
  <si>
    <t>se0014</t>
  </si>
  <si>
    <t>Соединительная коробка СК-2 К4.1</t>
  </si>
  <si>
    <t>Температура обмоток электродвигателя фаза W котлового насоса К4.1</t>
  </si>
  <si>
    <t>Температура обмоток электродвигателя фаза V котлового насоса К4.1</t>
  </si>
  <si>
    <t>Температура обмоток электродвигателя фаза U котлового насоса К4.1</t>
  </si>
  <si>
    <t>F0-K5</t>
  </si>
  <si>
    <t>Ток ЭД котлового насоса К4.1</t>
  </si>
  <si>
    <t>F0NDG01CE012</t>
  </si>
  <si>
    <t>A3.18</t>
  </si>
  <si>
    <t>A3.30</t>
  </si>
  <si>
    <t>A3.31</t>
  </si>
  <si>
    <t>Соединительная коробка СК-3 К4.1</t>
  </si>
  <si>
    <t>Вибрация подшипника №1, вертикальная составляющая</t>
  </si>
  <si>
    <t>F0NDG01CY001</t>
  </si>
  <si>
    <t>se0015</t>
  </si>
  <si>
    <t>AmAi2</t>
  </si>
  <si>
    <t>TmAi7+</t>
  </si>
  <si>
    <t>TmAi7-</t>
  </si>
  <si>
    <t>TmAi8+</t>
  </si>
  <si>
    <t>TmAi8-</t>
  </si>
  <si>
    <t>TmAi9+</t>
  </si>
  <si>
    <t>TmAi9-</t>
  </si>
  <si>
    <t>TmAi10+</t>
  </si>
  <si>
    <t>TmAi10-</t>
  </si>
  <si>
    <t>TmAi11+</t>
  </si>
  <si>
    <t>TmAi11-</t>
  </si>
  <si>
    <t>TmAi12+</t>
  </si>
  <si>
    <t>TmAi12-</t>
  </si>
  <si>
    <t>WcpAi7+</t>
  </si>
  <si>
    <t>WcpAi7-</t>
  </si>
  <si>
    <t>WcpAi8+</t>
  </si>
  <si>
    <t>WcpAi8-</t>
  </si>
  <si>
    <t>WcpAi9+</t>
  </si>
  <si>
    <t>WcpAi9-</t>
  </si>
  <si>
    <t>WcpAi10+</t>
  </si>
  <si>
    <t>WcpAi10-</t>
  </si>
  <si>
    <t>WcpAi11+</t>
  </si>
  <si>
    <t>WcpAi11-</t>
  </si>
  <si>
    <t>WcpAi12+</t>
  </si>
  <si>
    <t>WcpAi12-</t>
  </si>
  <si>
    <t>Tcp15</t>
  </si>
  <si>
    <t>Tcp16</t>
  </si>
  <si>
    <t>Tcp17</t>
  </si>
  <si>
    <t>Tcp18</t>
  </si>
  <si>
    <t>Tcp19</t>
  </si>
  <si>
    <t>Tcp20</t>
  </si>
  <si>
    <t>Tcp21</t>
  </si>
  <si>
    <t>Tcp22</t>
  </si>
  <si>
    <t>Tcp23</t>
  </si>
  <si>
    <t>Tcp24</t>
  </si>
  <si>
    <t>Tcp25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</si>
  <si>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</si>
  <si>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</si>
  <si>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</si>
  <si>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</si>
  <si>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</si>
  <si>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</si>
  <si>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</si>
  <si>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</si>
  <si>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</si>
  <si>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role4</t>
  </si>
  <si>
    <t>role5</t>
  </si>
  <si>
    <t>role6</t>
  </si>
  <si>
    <t>role7</t>
  </si>
  <si>
    <t>role8</t>
  </si>
  <si>
    <t>role9</t>
  </si>
  <si>
    <t>role10</t>
  </si>
  <si>
    <t>role11</t>
  </si>
  <si>
    <t>role12</t>
  </si>
  <si>
    <t>F0NDG01CY002</t>
  </si>
  <si>
    <t>F0NDG01CY003</t>
  </si>
  <si>
    <t>F0NDG01CY004</t>
  </si>
  <si>
    <t>F0NDG01CY005</t>
  </si>
  <si>
    <t>F0NDG01CY006</t>
  </si>
  <si>
    <t>F0NDG01CY007</t>
  </si>
  <si>
    <t>F0NDG01CY008</t>
  </si>
  <si>
    <t>F0NDG01CY009</t>
  </si>
  <si>
    <t>F0NDG01CY010</t>
  </si>
  <si>
    <t>F0NDG01CY011</t>
  </si>
  <si>
    <t>F0NDG01CY012</t>
  </si>
  <si>
    <t>Электродвигатель котлового насоса К4.1</t>
  </si>
  <si>
    <t>Вибрация подшипника №1, горизонтальная составляющая</t>
  </si>
  <si>
    <t>Вибрация подшипника №1, осевая составляющая</t>
  </si>
  <si>
    <t>Вибрация подшипника №2, вертикальная составляющая</t>
  </si>
  <si>
    <t>Вибрация подшипника №2, осевая составляющая</t>
  </si>
  <si>
    <t>Вибрация подшипника №2, горизонтальная составляющая</t>
  </si>
  <si>
    <t>Вибрация подшипника №3, вертикальная составляющая</t>
  </si>
  <si>
    <t>Вибрация подшипника №3, горизонтальная составляющая</t>
  </si>
  <si>
    <t>Вибрация подшипника №3, осевая составляющая</t>
  </si>
  <si>
    <t>Вибрация подшипника №4, вертикальная составляющая</t>
  </si>
  <si>
    <t>Вибрация подшипника №4, горизонтальная составляющая</t>
  </si>
  <si>
    <t>Вибрация подшипника №4, осевая составляющая</t>
  </si>
  <si>
    <t>id1</t>
  </si>
  <si>
    <t>role1</t>
  </si>
  <si>
    <t>F0NDG01CP151</t>
  </si>
  <si>
    <t>ШУ К4.1-4.4</t>
  </si>
  <si>
    <t>Ток ЭД котлового насоса К4.2</t>
  </si>
  <si>
    <t>F0-K6</t>
  </si>
  <si>
    <t>Электродвигатель котлового насоса К4.2</t>
  </si>
  <si>
    <t>F0-K7</t>
  </si>
  <si>
    <t>Соединительная коробка СК-3 К4.2</t>
  </si>
  <si>
    <t>A3.20</t>
  </si>
  <si>
    <t>F0-K8</t>
  </si>
  <si>
    <t>F0-K9</t>
  </si>
  <si>
    <t>F0-K10</t>
  </si>
  <si>
    <t>Соединительная коробка СК-1 К4.2</t>
  </si>
  <si>
    <t>Соединительная коробка СК-2 К4.2</t>
  </si>
  <si>
    <t>F0NDG02CY001</t>
  </si>
  <si>
    <t>F0NDG02CY002</t>
  </si>
  <si>
    <t>F0NDG02CY003</t>
  </si>
  <si>
    <t>F0NDG02CY004</t>
  </si>
  <si>
    <t>F0NDG02CY005</t>
  </si>
  <si>
    <t>F0NDG02CY006</t>
  </si>
  <si>
    <t>F0NDG02CY007</t>
  </si>
  <si>
    <t>F0NDG02CY008</t>
  </si>
  <si>
    <t>F0NDG02CY009</t>
  </si>
  <si>
    <t>F0NDG02CY010</t>
  </si>
  <si>
    <t>F0NDG02CY011</t>
  </si>
  <si>
    <t>F0NDG02CY012</t>
  </si>
  <si>
    <t>Температура подшипника №1 ЭД котлового насоса К4.2</t>
  </si>
  <si>
    <t>Температура подшипника №3 ЭД котлового насоса К4.2</t>
  </si>
  <si>
    <t>Температура обмоток электродвигателя фаза U котлового насоса К4.2</t>
  </si>
  <si>
    <t>F0NDG02CT101</t>
  </si>
  <si>
    <t>F0NDG02CT103</t>
  </si>
  <si>
    <t>F0NDG02CT105</t>
  </si>
  <si>
    <t>F0NDG02CE012</t>
  </si>
  <si>
    <t>F0NDG02CP151</t>
  </si>
  <si>
    <t>F0NDG02CT102</t>
  </si>
  <si>
    <t>F0NDG02CT104</t>
  </si>
  <si>
    <t>F0NDG02CT106</t>
  </si>
  <si>
    <t>F0-K11</t>
  </si>
  <si>
    <t>A3.32</t>
  </si>
  <si>
    <t>Температура подшипника №2 ЭД котлового насоса К4.2</t>
  </si>
  <si>
    <t>F0-K12</t>
  </si>
  <si>
    <t>Температура подшипника №4 ЭД котлового насоса К4.2</t>
  </si>
  <si>
    <t>F0-K13</t>
  </si>
  <si>
    <t>Температура обмоток электродвигателя фаза V котлового насоса К4.2</t>
  </si>
  <si>
    <t>F0-K14</t>
  </si>
  <si>
    <t>F0-K15</t>
  </si>
  <si>
    <t>F0NDG03CT101</t>
  </si>
  <si>
    <t>F0NDG03CT102</t>
  </si>
  <si>
    <t>F0NDG03CT103</t>
  </si>
  <si>
    <t>F0NDG03CT104</t>
  </si>
  <si>
    <t>F0NDG03CT105</t>
  </si>
  <si>
    <t>F0NDG03CT106</t>
  </si>
  <si>
    <t>F0NDG03CE012</t>
  </si>
  <si>
    <t>F0NDG03CP151</t>
  </si>
  <si>
    <t>F0NDG03CY001</t>
  </si>
  <si>
    <t>F0NDG03CY002</t>
  </si>
  <si>
    <t>F0NDG03CY003</t>
  </si>
  <si>
    <t>F0NDG03CY004</t>
  </si>
  <si>
    <t>F0NDG03CY005</t>
  </si>
  <si>
    <t>F0NDG03CY006</t>
  </si>
  <si>
    <t>F0NDG03CY007</t>
  </si>
  <si>
    <t>F0NDG03CY008</t>
  </si>
  <si>
    <t>F0NDG03CY009</t>
  </si>
  <si>
    <t>F0NDG03CY010</t>
  </si>
  <si>
    <t>F0NDG03CY011</t>
  </si>
  <si>
    <t>F0NDG03CY012</t>
  </si>
  <si>
    <t>Температура подшипника №1 ЭД котлового насоса К4.3</t>
  </si>
  <si>
    <t>Соединительная коробка СК-1 К4.3</t>
  </si>
  <si>
    <t>Температура подшипника №3 ЭД котлового насоса К4.3</t>
  </si>
  <si>
    <t>Температура обмоток электродвигателя фаза U котлового насоса К4.3</t>
  </si>
  <si>
    <t>Соединительная коробка СК-2 К4.3</t>
  </si>
  <si>
    <t>Ток ЭД котлового насоса К4.3</t>
  </si>
  <si>
    <t>Электродвигатель котлового насоса К4.3</t>
  </si>
  <si>
    <t>Соединительная коробка СК-3 К4.3</t>
  </si>
  <si>
    <t>A3.22</t>
  </si>
  <si>
    <t>Температура подшипника №1 ЭД котлового насоса К4.4</t>
  </si>
  <si>
    <t>Соединительная коробка СК-1 К4.4</t>
  </si>
  <si>
    <t>Температура подшипника №3 ЭД котлового насоса К4.4</t>
  </si>
  <si>
    <t>Температура обмоток электродвигателя фаза U котлового насоса К4.4</t>
  </si>
  <si>
    <t>Соединительная коробка СК-2 К4.4</t>
  </si>
  <si>
    <t>Ток ЭД котлового насоса К4.4</t>
  </si>
  <si>
    <t>Электродвигатель котлового насоса К4.4</t>
  </si>
  <si>
    <t>Соединительная коробка СК-3 К4.4</t>
  </si>
  <si>
    <t>F0NDG04CT101</t>
  </si>
  <si>
    <t>F0NDG04CT102</t>
  </si>
  <si>
    <t>F0NDG04CT103</t>
  </si>
  <si>
    <t>F0NDG04CT104</t>
  </si>
  <si>
    <t>F0NDG04CT105</t>
  </si>
  <si>
    <t>F0NDG04CT106</t>
  </si>
  <si>
    <t>F0NDG04CE012</t>
  </si>
  <si>
    <t>F0NDG04CP151</t>
  </si>
  <si>
    <t>F0NDG04CY001</t>
  </si>
  <si>
    <t>F0NDG04CY002</t>
  </si>
  <si>
    <t>F0NDG04CY003</t>
  </si>
  <si>
    <t>F0NDG04CY004</t>
  </si>
  <si>
    <t>F0NDG04CY005</t>
  </si>
  <si>
    <t>F0NDG04CY006</t>
  </si>
  <si>
    <t>F0NDG04CY007</t>
  </si>
  <si>
    <t>F0NDG04CY008</t>
  </si>
  <si>
    <t>F0NDG04CY009</t>
  </si>
  <si>
    <t>F0NDG04CY010</t>
  </si>
  <si>
    <t>F0NDG04CY011</t>
  </si>
  <si>
    <t>F0NDG04CY012</t>
  </si>
  <si>
    <t>F0-K16</t>
  </si>
  <si>
    <t>F0-K17</t>
  </si>
  <si>
    <t>F0-K18</t>
  </si>
  <si>
    <t>F0-K19</t>
  </si>
  <si>
    <t>A3.24</t>
  </si>
  <si>
    <t>ШУ К4.1-К4.4</t>
  </si>
  <si>
    <t>F0-K21</t>
  </si>
  <si>
    <t>F0-K22</t>
  </si>
  <si>
    <t>F0GAF01CT101</t>
  </si>
  <si>
    <t>A3.33</t>
  </si>
  <si>
    <t>Соединительная коробка СК-1 К5.1</t>
  </si>
  <si>
    <t>F0GAF02CT102</t>
  </si>
  <si>
    <t>F0GAF01CE012</t>
  </si>
  <si>
    <t>F0-K23</t>
  </si>
  <si>
    <t>A3.25</t>
  </si>
  <si>
    <t>ШУ К5.1, К5.2</t>
  </si>
  <si>
    <t>F0GAF01CT102</t>
  </si>
  <si>
    <t>F0-K24</t>
  </si>
  <si>
    <t>Соединительная коробка СК-1 К5.2</t>
  </si>
  <si>
    <t>F0-K25</t>
  </si>
  <si>
    <t>F0GAF02CT101</t>
  </si>
  <si>
    <t>F0GAF02CE012</t>
  </si>
  <si>
    <t>F0-K27</t>
  </si>
  <si>
    <t>F0-K28</t>
  </si>
  <si>
    <t>F0-K29</t>
  </si>
  <si>
    <t>F0-K30</t>
  </si>
  <si>
    <t>ШУ К6.1-К6.3</t>
  </si>
  <si>
    <t>Соединительная коробка СК-1 К6.1</t>
  </si>
  <si>
    <t>Соединительная коробка СК-1 К6.2</t>
  </si>
  <si>
    <t>F0NDK11CE012</t>
  </si>
  <si>
    <t>F0NDK12CE012</t>
  </si>
  <si>
    <t>F0NDK12CT102</t>
  </si>
  <si>
    <t>F0NDK11CT102</t>
  </si>
  <si>
    <t>F0NDK11CT101</t>
  </si>
  <si>
    <t>F0NDK12CT101</t>
  </si>
  <si>
    <t>Соединительная коробка СК-1 К6.3</t>
  </si>
  <si>
    <t>F0-K31</t>
  </si>
  <si>
    <t>F0-K32</t>
  </si>
  <si>
    <t>A3.34</t>
  </si>
  <si>
    <t>F0NDK13CT101</t>
  </si>
  <si>
    <t>F0NDK13CE012</t>
  </si>
  <si>
    <t>F0NDK13CT102</t>
  </si>
  <si>
    <t>F0-K34</t>
  </si>
  <si>
    <t>F0-K35</t>
  </si>
  <si>
    <t>F0-K36</t>
  </si>
  <si>
    <t>F0-K37</t>
  </si>
  <si>
    <t>ШУ К10.5.1, K10.5.2</t>
  </si>
  <si>
    <t>Соединительная коробка СК-1 К10.5.1</t>
  </si>
  <si>
    <t>Соединительная коробка СК-1 К10.5.2</t>
  </si>
  <si>
    <t>ШУ К10.5.1, К10.5.2</t>
  </si>
  <si>
    <t>F0GAD01CT101</t>
  </si>
  <si>
    <t>F0GAD01CE012</t>
  </si>
  <si>
    <t>F0GAD02CT101</t>
  </si>
  <si>
    <t>F0GAD02CE012</t>
  </si>
  <si>
    <t>F0GAD01CT102</t>
  </si>
  <si>
    <t>F0GAD02CT102</t>
  </si>
  <si>
    <t>F0-K39</t>
  </si>
  <si>
    <t>ШУ К23.1, K23.2</t>
  </si>
  <si>
    <t>F0-K42</t>
  </si>
  <si>
    <t>ШУ НКП-1, НКП-2</t>
  </si>
  <si>
    <t>F0GBK01CE012</t>
  </si>
  <si>
    <t>F0GBK02CE012</t>
  </si>
  <si>
    <t>F0-K40</t>
  </si>
  <si>
    <t>F0-K43</t>
  </si>
  <si>
    <t>ШУ К23.1, К23.2</t>
  </si>
  <si>
    <t>F0LFM01CE012</t>
  </si>
  <si>
    <t>F0LFM02CE012</t>
  </si>
  <si>
    <t>Температура подшипника №1 ЭД насоса сырой воды К5.1</t>
  </si>
  <si>
    <t>Температура подшипника №1 ЭД насоса сырой воды К5.2</t>
  </si>
  <si>
    <t>Температура подшипника №2 ЭД насоса сырой воды К5.1</t>
  </si>
  <si>
    <t>Температура подшипника №2 ЭД насоса сырой воды К5.2</t>
  </si>
  <si>
    <t>Температура подшипника №2 ЭД насоса рабочей воды К10.5.1</t>
  </si>
  <si>
    <t>Температура подшипника №2 ЭД насоса рабочей воды К10.5.2</t>
  </si>
  <si>
    <t>Температура подшипника №2 ЭД насоса подпитки теплосети К6.1</t>
  </si>
  <si>
    <t>Температура подшипника №2 ЭД насоса подпитки теплосети К6.2</t>
  </si>
  <si>
    <t>Температура подшипника №2 ЭД насоса подпитки теплосети К6.3</t>
  </si>
  <si>
    <t>Температура обмоток электродвигателя фаза W котлового насоса К4.2</t>
  </si>
  <si>
    <t>F0NDG02CT107</t>
  </si>
  <si>
    <t>F0NDG03CT107</t>
  </si>
  <si>
    <t>F0NDG04CT107</t>
  </si>
  <si>
    <t>Температура подшипника №2 ЭД котлового насоса К4.3</t>
  </si>
  <si>
    <t>Температура подшипника №4 ЭД котлового насоса К4.3</t>
  </si>
  <si>
    <t>Температура обмоток электродвигателя фаза V котлового насоса К4.3</t>
  </si>
  <si>
    <t>Температура обмоток электродвигателя фаза W котлового насоса К4.3</t>
  </si>
  <si>
    <t>Температура подшипника №2 ЭД котлового насоса К4.4</t>
  </si>
  <si>
    <t>Температура подшипника №4 ЭД котлового насоса К4.4</t>
  </si>
  <si>
    <t>Температура обмоток электродвигателя фаза V котлового насоса К4.4</t>
  </si>
  <si>
    <t>Температура обмоток электродвигателя фаза W котлового насоса К4.4</t>
  </si>
  <si>
    <t>Температура подшипника №1 ЭД насоса подпитки теплосети К6.1</t>
  </si>
  <si>
    <t>Температура подшипника №1 ЭД насоса подпитки теплосети К6.2</t>
  </si>
  <si>
    <t>Температура подшипника №1 ЭД насоса подпитки теплосети К6.3</t>
  </si>
  <si>
    <t>Температура подшипника №1 ЭД насоса рабочей воды К10.5.1</t>
  </si>
  <si>
    <t>Температура подшипника №1 ЭД насоса рабочей воды К10.5.2</t>
  </si>
  <si>
    <t>Ток ЭД насоса рабочей воды К10.5.1</t>
  </si>
  <si>
    <t>Ток ЭД насоса рабочей воды К10.5.2</t>
  </si>
  <si>
    <t>Ток ЭД насоса подпитки теплосети К6.3</t>
  </si>
  <si>
    <t>Ток ЭД насоса подпитки теплосети К6.1</t>
  </si>
  <si>
    <t>Ток ЭД насоса подпитки теплосети К6.2</t>
  </si>
  <si>
    <t>Ток ЭД насоса сырой воды К5.1</t>
  </si>
  <si>
    <t>Ток ЭД насоса сырой воды К5.2</t>
  </si>
  <si>
    <t>Ток ЭД насоса подпитки котлового контура К23.1</t>
  </si>
  <si>
    <t>Ток ЭД насоса подпитки котлового контура К23.2</t>
  </si>
  <si>
    <t>Ток ЭД насоса кислотной промывки НКП-1</t>
  </si>
  <si>
    <t>Ток ЭД насоса кислотной промывки НКП-2</t>
  </si>
  <si>
    <t>Температура внутреннего контура теплосети</t>
  </si>
  <si>
    <t>Температура внешнего контура теплосети</t>
  </si>
  <si>
    <t>Давление подпитки теплосети</t>
  </si>
  <si>
    <t>Давление рециркуляции теплосети</t>
  </si>
  <si>
    <t>F0SAH10СT101</t>
  </si>
  <si>
    <t>F0SAH11СT101</t>
  </si>
  <si>
    <t>F0SAH20СP001</t>
  </si>
  <si>
    <t>F0SAH21СP001</t>
  </si>
  <si>
    <t>ТС-1088</t>
  </si>
  <si>
    <t>se0016</t>
  </si>
  <si>
    <t>A3.35</t>
  </si>
  <si>
    <t>A3.36</t>
  </si>
  <si>
    <t>A3.37</t>
  </si>
  <si>
    <t>F1-K11</t>
  </si>
  <si>
    <t>F1-K12</t>
  </si>
  <si>
    <t>A3.38</t>
  </si>
  <si>
    <t>Метран - 150TGR</t>
  </si>
  <si>
    <t>№chanAi</t>
  </si>
  <si>
    <t>AiCount</t>
  </si>
  <si>
    <t>A3.28</t>
  </si>
  <si>
    <t>A3.27</t>
  </si>
  <si>
    <t>F1-K13</t>
  </si>
  <si>
    <t>F1-K14</t>
  </si>
  <si>
    <t>se0018</t>
  </si>
  <si>
    <t>Клапан регулирующий К5 по сети Т1 до теплообменника К1 отопления и ГВС</t>
  </si>
  <si>
    <t>F0NDF24AA801</t>
  </si>
  <si>
    <t>F1-K16</t>
  </si>
  <si>
    <t>F1-К20</t>
  </si>
  <si>
    <t>A5.13</t>
  </si>
  <si>
    <t>A6.7</t>
  </si>
  <si>
    <t>F0NDF24AA802</t>
  </si>
  <si>
    <t>se0019</t>
  </si>
  <si>
    <t>F1-К21</t>
  </si>
  <si>
    <t>F1-K17</t>
  </si>
  <si>
    <t>F0NDF24AA803</t>
  </si>
  <si>
    <t>F1-К22</t>
  </si>
  <si>
    <t>F1-K18</t>
  </si>
  <si>
    <t>Клапан регулирующий К5а по сети Т1 до теплообменника К1 отопления и ГВС</t>
  </si>
  <si>
    <t>Клапан регулирующий К6 по сети Т1 до теплообменника К2 вентиляции</t>
  </si>
  <si>
    <t>F1-K19</t>
  </si>
  <si>
    <t>F1-К23</t>
  </si>
  <si>
    <t>F1-К24</t>
  </si>
  <si>
    <t>Клапан электромагнитный К7 по сети Т94 подпитки контура отопления и ГВС</t>
  </si>
  <si>
    <t>Клапан электромагнитный К13 на линии заполнения теплоносителя по сети Т21 системы вентиляции</t>
  </si>
  <si>
    <t>F0NDG24AA001</t>
  </si>
  <si>
    <t>F0SAH21AA001</t>
  </si>
  <si>
    <t>se0017</t>
  </si>
  <si>
    <t>C11</t>
  </si>
  <si>
    <t>B11</t>
  </si>
  <si>
    <t>8B</t>
  </si>
  <si>
    <t>8A</t>
  </si>
  <si>
    <t>F1-K15</t>
  </si>
  <si>
    <t>TP-O</t>
  </si>
  <si>
    <t>ШУ К12</t>
  </si>
  <si>
    <t>МКЭШвнг (А)-LS 1x2x0.75</t>
  </si>
  <si>
    <t>Сигнализация "сухого хода" насосов К3 раб, К3 рез</t>
  </si>
  <si>
    <t>F1-К4</t>
  </si>
  <si>
    <t>Шкаф ШУ-К3</t>
  </si>
  <si>
    <t>_XT</t>
  </si>
  <si>
    <t>C14</t>
  </si>
  <si>
    <t>B14</t>
  </si>
  <si>
    <t>Шкаф ШУ-К4</t>
  </si>
  <si>
    <t>C15</t>
  </si>
  <si>
    <t>B15</t>
  </si>
  <si>
    <t>Сигнализация "сухого хода" насосов К4 раб, К4 рез</t>
  </si>
  <si>
    <t>Сигнализация "сухого хода" насосов К12</t>
  </si>
  <si>
    <t>F1-К8</t>
  </si>
  <si>
    <t>F1-К10</t>
  </si>
  <si>
    <t>Шкаф ШУ-К12</t>
  </si>
  <si>
    <t>F0-SD4-1</t>
  </si>
  <si>
    <t>K77-01</t>
  </si>
  <si>
    <t>K77-02</t>
  </si>
  <si>
    <t>K77-03</t>
  </si>
  <si>
    <t>F2-1</t>
  </si>
  <si>
    <t>F2-2</t>
  </si>
  <si>
    <t>K-F0-9Д</t>
  </si>
  <si>
    <t>К-F0-T1</t>
  </si>
  <si>
    <t>K-F0-AT7</t>
  </si>
  <si>
    <t>K-F0-126</t>
  </si>
  <si>
    <t>K-F0-127</t>
  </si>
  <si>
    <t>K-F0-P2</t>
  </si>
  <si>
    <t>K-F0-P3</t>
  </si>
  <si>
    <t>K-F0-P4</t>
  </si>
  <si>
    <t>K-F0-P5</t>
  </si>
  <si>
    <t>K-F0-P6</t>
  </si>
  <si>
    <t>K-F0-P7</t>
  </si>
  <si>
    <t>K-F0-P8</t>
  </si>
  <si>
    <t>K-F0-P9</t>
  </si>
  <si>
    <t>K-F0-P10</t>
  </si>
  <si>
    <t>K-F0-T12</t>
  </si>
  <si>
    <t>K-F0-P13</t>
  </si>
  <si>
    <t>K-F0-L14</t>
  </si>
  <si>
    <t>K-F0-T15</t>
  </si>
  <si>
    <t>K-F0-T16</t>
  </si>
  <si>
    <t>K-F0-T17</t>
  </si>
  <si>
    <t>K-F0-P18</t>
  </si>
  <si>
    <t>K-F0-P19</t>
  </si>
  <si>
    <t>K-F0-P20</t>
  </si>
  <si>
    <t>K-F0-P21</t>
  </si>
  <si>
    <t>K-F0-L22</t>
  </si>
  <si>
    <t>K-F0-P23</t>
  </si>
  <si>
    <t>K-F0-T24</t>
  </si>
  <si>
    <t>K-F0-T25</t>
  </si>
  <si>
    <t>K-F0-P26</t>
  </si>
  <si>
    <t>K-F0-T27</t>
  </si>
  <si>
    <t>K-F0-P28</t>
  </si>
  <si>
    <t>K-F0-P30</t>
  </si>
  <si>
    <t>K-F0-P31</t>
  </si>
  <si>
    <t>K-F0-P32</t>
  </si>
  <si>
    <t>K-F0-P33</t>
  </si>
  <si>
    <t>K-F0-P34</t>
  </si>
  <si>
    <t>K-F0-P35</t>
  </si>
  <si>
    <t>K-F0-L36</t>
  </si>
  <si>
    <t>K-F0-P37</t>
  </si>
  <si>
    <t>K-F0-T38</t>
  </si>
  <si>
    <t>K-F0-P39</t>
  </si>
  <si>
    <t>K-F0-T40</t>
  </si>
  <si>
    <t>K-F0-P41</t>
  </si>
  <si>
    <t>K-F0-T42</t>
  </si>
  <si>
    <t>K-F0-P43</t>
  </si>
  <si>
    <t>K-F0-T44</t>
  </si>
  <si>
    <t>K-F0-P45</t>
  </si>
  <si>
    <t>K-F0-T46</t>
  </si>
  <si>
    <t>K-F0-P47</t>
  </si>
  <si>
    <t>K-F0-T48</t>
  </si>
  <si>
    <t>K-F0-P49</t>
  </si>
  <si>
    <t>K-F0-T50</t>
  </si>
  <si>
    <t>K-F0-P51</t>
  </si>
  <si>
    <t>K-F0-T52</t>
  </si>
  <si>
    <t>K-F0-P53</t>
  </si>
  <si>
    <t>K-F0-T54</t>
  </si>
  <si>
    <t>K-F0-T55</t>
  </si>
  <si>
    <t>K-F0-T56</t>
  </si>
  <si>
    <t>K-F0-P57</t>
  </si>
  <si>
    <t>K-F0-P58</t>
  </si>
  <si>
    <t>K-F0-P59</t>
  </si>
  <si>
    <t>K-F0-P60</t>
  </si>
  <si>
    <t>K-F0-P61</t>
  </si>
  <si>
    <t>K-F0-P62</t>
  </si>
  <si>
    <t>K-F0-T63</t>
  </si>
  <si>
    <t>K-F0-T73</t>
  </si>
  <si>
    <t>K-F0-P74</t>
  </si>
  <si>
    <t>K-F0-T75</t>
  </si>
  <si>
    <t>K-F0-T76</t>
  </si>
  <si>
    <t>K-F0-P77</t>
  </si>
  <si>
    <t>K-F0-T78</t>
  </si>
  <si>
    <t>K-F0-T79</t>
  </si>
  <si>
    <t>K-F0-P80</t>
  </si>
  <si>
    <t>K-F0-T81</t>
  </si>
  <si>
    <t>K-F0-T82</t>
  </si>
  <si>
    <t>K-F0-P83</t>
  </si>
  <si>
    <t>K-F0-T84</t>
  </si>
  <si>
    <t>K-F0-T85</t>
  </si>
  <si>
    <t>K-F0-P86</t>
  </si>
  <si>
    <t>K-F0-T87</t>
  </si>
  <si>
    <t>K-F0-T88</t>
  </si>
  <si>
    <t>K-F0-P89</t>
  </si>
  <si>
    <t>K-F0-T90</t>
  </si>
  <si>
    <t>K-F0-T91</t>
  </si>
  <si>
    <t>K-F0-P92</t>
  </si>
  <si>
    <t>K-F0-T93</t>
  </si>
  <si>
    <t>K-F0-T94</t>
  </si>
  <si>
    <t>K-F0-P95</t>
  </si>
  <si>
    <t>K-F0-T96</t>
  </si>
  <si>
    <t>K-F0-P97</t>
  </si>
  <si>
    <t>K-F0-T98</t>
  </si>
  <si>
    <t>K-F0-P99</t>
  </si>
  <si>
    <t>K-F0-T100</t>
  </si>
  <si>
    <t>K-F0-P101</t>
  </si>
  <si>
    <t>K-F0-T102</t>
  </si>
  <si>
    <t>K-F0-P103</t>
  </si>
  <si>
    <t>K-F0-T104</t>
  </si>
  <si>
    <t>K-F0-P105</t>
  </si>
  <si>
    <t>K-F0-T106</t>
  </si>
  <si>
    <t>K-F0-P107</t>
  </si>
  <si>
    <t>K-F0-T108</t>
  </si>
  <si>
    <t>K-F0-P109</t>
  </si>
  <si>
    <t>K-F0-T110</t>
  </si>
  <si>
    <t>K-F0-P111</t>
  </si>
  <si>
    <t>K-F0-T112</t>
  </si>
  <si>
    <t>K-F0-P113</t>
  </si>
  <si>
    <t>K-F0-T114</t>
  </si>
  <si>
    <t>K-F0-T115</t>
  </si>
  <si>
    <t>K-F0-T116</t>
  </si>
  <si>
    <t>K-F0-P117</t>
  </si>
  <si>
    <t>K-F0-P118</t>
  </si>
  <si>
    <t>K-F0-P119</t>
  </si>
  <si>
    <t>K-F0-P120</t>
  </si>
  <si>
    <t>K-F0-P121</t>
  </si>
  <si>
    <t>K-F0-T122</t>
  </si>
  <si>
    <t>K-F0-T123</t>
  </si>
  <si>
    <t>K-F0-T124</t>
  </si>
  <si>
    <t>K-F0-F125</t>
  </si>
  <si>
    <t>K-F0-F1UZ</t>
  </si>
  <si>
    <t>K-F0-F2UZ</t>
  </si>
  <si>
    <t>K-F0-F3UZ</t>
  </si>
  <si>
    <t>K-F0-F4UZ</t>
  </si>
  <si>
    <t>K-F0-F5UZ</t>
  </si>
  <si>
    <t>K-F0-F6UZ</t>
  </si>
  <si>
    <t>K-F0-F7UZ</t>
  </si>
  <si>
    <t>K-F0-FTM1</t>
  </si>
  <si>
    <t>K-F0-FTM2</t>
  </si>
  <si>
    <t>К-F0-T128</t>
  </si>
  <si>
    <t>K-F0-T129</t>
  </si>
  <si>
    <t>K-F0-P130</t>
  </si>
  <si>
    <t>K-F0-P131</t>
  </si>
  <si>
    <t>KС-F0-К5</t>
  </si>
  <si>
    <t>KС-F0-К6</t>
  </si>
  <si>
    <t>K-F0-К5</t>
  </si>
  <si>
    <t>KС-F0-К5а</t>
  </si>
  <si>
    <t>КС-F0-К7</t>
  </si>
  <si>
    <t>КС-F0-К13</t>
  </si>
  <si>
    <t>K-F0-К5а</t>
  </si>
  <si>
    <t>К-F0-К7</t>
  </si>
  <si>
    <t>K-F0-К6</t>
  </si>
  <si>
    <t>К-F0-К13</t>
  </si>
  <si>
    <t>K-F0-K-1</t>
  </si>
  <si>
    <t>K-F0-K-1C</t>
  </si>
  <si>
    <t>K-F0-K-2</t>
  </si>
  <si>
    <t>K-F0-K-2C</t>
  </si>
  <si>
    <t>K-F0-K-3</t>
  </si>
  <si>
    <t>K-F0-K-4</t>
  </si>
  <si>
    <t>K-F0-K-5</t>
  </si>
  <si>
    <t>K-F0-K-6</t>
  </si>
  <si>
    <t>K-F0-K-7</t>
  </si>
  <si>
    <t>K-F0-K-8</t>
  </si>
  <si>
    <t>K-F0-K-9</t>
  </si>
  <si>
    <t>K-F0-K-10</t>
  </si>
  <si>
    <t>K-F0-K-11</t>
  </si>
  <si>
    <t>K-F0-K-12</t>
  </si>
  <si>
    <t>K-F0-K-13</t>
  </si>
  <si>
    <t>K-F0-K-14</t>
  </si>
  <si>
    <t>K-F0-K-15</t>
  </si>
  <si>
    <t>K-F0-K-16</t>
  </si>
  <si>
    <t>K-F0-K-26</t>
  </si>
  <si>
    <t>K-F0-K-27</t>
  </si>
  <si>
    <t>K-F0-K-28</t>
  </si>
  <si>
    <t>K-F0-K-29</t>
  </si>
  <si>
    <t>K-F0-K-30</t>
  </si>
  <si>
    <t>K-F0-K-31</t>
  </si>
  <si>
    <t>K-F0-K-32</t>
  </si>
  <si>
    <t>K-F0-K-33</t>
  </si>
  <si>
    <t>K-F0-K-34</t>
  </si>
  <si>
    <t>K-F0-K-35</t>
  </si>
  <si>
    <t>K-F0-K-36</t>
  </si>
  <si>
    <t>K-F0-K-37</t>
  </si>
  <si>
    <t>K-F0-РК.КА9</t>
  </si>
  <si>
    <t>KС-F0-Р-66</t>
  </si>
  <si>
    <t>K-F0-Р-66</t>
  </si>
  <si>
    <t>KС-F0-РД-5</t>
  </si>
  <si>
    <t>K-F0-РД-5</t>
  </si>
  <si>
    <t>KС-F0-РТ-70</t>
  </si>
  <si>
    <t>K-F0-РТ-70</t>
  </si>
  <si>
    <t>KС-F0-РД-К</t>
  </si>
  <si>
    <t>K-F0-РД-К</t>
  </si>
  <si>
    <t>KС-F0-РД-3</t>
  </si>
  <si>
    <t>K-F0-РД-3</t>
  </si>
  <si>
    <t>KС-F0-РТ-4</t>
  </si>
  <si>
    <t>K-F0-РТ-4</t>
  </si>
  <si>
    <t>KС-F0-РТ-71</t>
  </si>
  <si>
    <t>K-F0-РТ-71</t>
  </si>
  <si>
    <t>KС-F0-РК.КА1</t>
  </si>
  <si>
    <t>KС-F0-РК.КА2</t>
  </si>
  <si>
    <t>KС-F0-РК.КА3</t>
  </si>
  <si>
    <t>KС-F0-РК.КА4</t>
  </si>
  <si>
    <t>KС-F0-РК.КА5</t>
  </si>
  <si>
    <t>KС-F0-РК.КА6</t>
  </si>
  <si>
    <t>KС-F0-РК.КА7</t>
  </si>
  <si>
    <t>KС-F0-РК.КА8</t>
  </si>
  <si>
    <t>K-F0-РК.КА1</t>
  </si>
  <si>
    <t>K-F0-РК.КА2</t>
  </si>
  <si>
    <t>K-F0-РК.КА3</t>
  </si>
  <si>
    <t>K-F0-РК.КА4</t>
  </si>
  <si>
    <t>K-F0-РК.КА5</t>
  </si>
  <si>
    <t>K-F0-РК.КА6</t>
  </si>
  <si>
    <t>K-F0-РК.КА7</t>
  </si>
  <si>
    <t>K-F0-РК.КА8</t>
  </si>
  <si>
    <t>K-F0-РТ-1</t>
  </si>
  <si>
    <t>KС-F0-РТ-1</t>
  </si>
  <si>
    <t>KС-F0-РТ-59</t>
  </si>
  <si>
    <t>K-F0-РТ-59</t>
  </si>
  <si>
    <t>KС-F0-РТ-об1</t>
  </si>
  <si>
    <t>K-F0-РТ-об1</t>
  </si>
  <si>
    <t>KС-F0-РТ-об2</t>
  </si>
  <si>
    <t>K-F0-РТ-об2</t>
  </si>
  <si>
    <t>KС-F0-РД-2</t>
  </si>
  <si>
    <t>K-F0-РД-2</t>
  </si>
  <si>
    <t>K-F0-K4.1-T1</t>
  </si>
  <si>
    <t>K-F0-K4.1-T3</t>
  </si>
  <si>
    <t>K-F0-K4.1-T2</t>
  </si>
  <si>
    <t>K-F0-K4.1-E4</t>
  </si>
  <si>
    <t>K-F0-K4.1-V5</t>
  </si>
  <si>
    <t>K-F0-K4.2-T1</t>
  </si>
  <si>
    <t>K-F0-K4.2-T2</t>
  </si>
  <si>
    <t>K-F0-K4.2-T3</t>
  </si>
  <si>
    <t>K-F0-K4.2-E4</t>
  </si>
  <si>
    <t>K-F0-K4.2-V5</t>
  </si>
  <si>
    <t>K-F0-K4.3-T1</t>
  </si>
  <si>
    <t>K-F0-K4.3-T2</t>
  </si>
  <si>
    <t>K-F0-K4.3-T3</t>
  </si>
  <si>
    <t>K-F0-K4.3-E4</t>
  </si>
  <si>
    <t>K-F0-K4.3-V5</t>
  </si>
  <si>
    <t>K-F0-K4.4-T1</t>
  </si>
  <si>
    <t>K-F0-K4.4-T2</t>
  </si>
  <si>
    <t>K-F0-K4.4-T3</t>
  </si>
  <si>
    <t>K-F0-K4.4-E4</t>
  </si>
  <si>
    <t>K-F0-K4.4-V5</t>
  </si>
  <si>
    <t>K-F0-K5.1-T1</t>
  </si>
  <si>
    <t>K-F0-K5.1-E2</t>
  </si>
  <si>
    <t>K-F0-K5.2-T1</t>
  </si>
  <si>
    <t>K-F0-K5.2-E2</t>
  </si>
  <si>
    <t>K-F0-K6.1-T1</t>
  </si>
  <si>
    <t>K-F0-K6.1-E2</t>
  </si>
  <si>
    <t>K-F0-K6.2-T1</t>
  </si>
  <si>
    <t>K-F0-K6.2-E2</t>
  </si>
  <si>
    <t>K-F0-K6.3-T1</t>
  </si>
  <si>
    <t>K-F0-K6.3-E2</t>
  </si>
  <si>
    <t>K-F0-K10.5.1-T1</t>
  </si>
  <si>
    <t>K-F0-K10.5.1-E2</t>
  </si>
  <si>
    <t>K-F0-K10.5.2-T1</t>
  </si>
  <si>
    <t>K-F0-K10.5.2-E2</t>
  </si>
  <si>
    <t>K-F0-K23.1-E1</t>
  </si>
  <si>
    <t>K-F0-K23.2-E1</t>
  </si>
  <si>
    <t>K-F0-НКП-1-E1</t>
  </si>
  <si>
    <t>K-F0-НКП-2-E1</t>
  </si>
  <si>
    <t>К-F0-К3-HG</t>
  </si>
  <si>
    <t>K-F0-К4-HG</t>
  </si>
  <si>
    <t>K-F0-К12-HG</t>
  </si>
  <si>
    <t>K-F0-P132</t>
  </si>
  <si>
    <t>K-F0-P133</t>
  </si>
  <si>
    <t>F0EKG10СР001</t>
  </si>
  <si>
    <t>F0EKG10СТ001</t>
  </si>
  <si>
    <t>Давление газа на входе в котельную</t>
  </si>
  <si>
    <t>Температура газа на входе в котельную</t>
  </si>
  <si>
    <t>K-F0-P134</t>
  </si>
  <si>
    <t>K-F0-P135</t>
  </si>
  <si>
    <t>K-F0-P136</t>
  </si>
  <si>
    <t>K-F0-P137</t>
  </si>
  <si>
    <t>F1HHG20СР001</t>
  </si>
  <si>
    <t>F1HHG20СР002</t>
  </si>
  <si>
    <t>F1HHG20СР003</t>
  </si>
  <si>
    <t>F1HHG20СР004</t>
  </si>
  <si>
    <t>Давление газа перед фильтром котла №1</t>
  </si>
  <si>
    <t>Давление газа после фильтра котла №1</t>
  </si>
  <si>
    <t>Давление газа перед котлом до регулятора №1</t>
  </si>
  <si>
    <t>Давление газа перед котлом после регулятора №1</t>
  </si>
  <si>
    <t>А3.29</t>
  </si>
  <si>
    <t>Давление газа перед фильтром котла №2</t>
  </si>
  <si>
    <t>K-F0-P138</t>
  </si>
  <si>
    <t>Давление газа после фильтра котла №2</t>
  </si>
  <si>
    <t>K-F0-P139</t>
  </si>
  <si>
    <t>Давление газа перед котлом до регулятора №2</t>
  </si>
  <si>
    <t>K-F0-P140</t>
  </si>
  <si>
    <t>Давление газа перед котлом после регулятора №2</t>
  </si>
  <si>
    <t>K-F0-P141</t>
  </si>
  <si>
    <t>F2HHG20СР001</t>
  </si>
  <si>
    <t>F2HHG20СР002</t>
  </si>
  <si>
    <t>F2HHG20СР003</t>
  </si>
  <si>
    <t>F2HHG20СР004</t>
  </si>
  <si>
    <t>Давление газа перед фильтром котла №3</t>
  </si>
  <si>
    <t>K-F0-P142</t>
  </si>
  <si>
    <t>Давление газа после фильтра котла №3</t>
  </si>
  <si>
    <t>K-F0-P143</t>
  </si>
  <si>
    <t>Давление газа перед котлом до регулятора №3</t>
  </si>
  <si>
    <t>K-F0-P144</t>
  </si>
  <si>
    <t>Давление газа перед котлом после регулятора №3</t>
  </si>
  <si>
    <t>K-F0-P145</t>
  </si>
  <si>
    <t>Давление газа перед фильтром котла №4</t>
  </si>
  <si>
    <t>K-F0-P146</t>
  </si>
  <si>
    <t>F3HHG20СР001</t>
  </si>
  <si>
    <t>F3HHG20СР002</t>
  </si>
  <si>
    <t>F3HHG20СР003</t>
  </si>
  <si>
    <t>F3HHG20СР004</t>
  </si>
  <si>
    <t>K-F0-P147</t>
  </si>
  <si>
    <t>K-F0-P148</t>
  </si>
  <si>
    <t>K-F0-P149</t>
  </si>
  <si>
    <t>K-F0-P150</t>
  </si>
  <si>
    <t>K-F0-P151</t>
  </si>
  <si>
    <t>K-F0-P152</t>
  </si>
  <si>
    <t>K-F0-P153</t>
  </si>
  <si>
    <t>K-F0-P154</t>
  </si>
  <si>
    <t>Давление газа после фильтра котла №4</t>
  </si>
  <si>
    <t>K-F0-P155</t>
  </si>
  <si>
    <t>Давление газа перед котлом до регулятора №4</t>
  </si>
  <si>
    <t>K-F0-P156</t>
  </si>
  <si>
    <t>Давление газа перед котлом после регулятора №4</t>
  </si>
  <si>
    <t>K-F0-P157</t>
  </si>
  <si>
    <t>K-F0-P158</t>
  </si>
  <si>
    <t>K-F0-P159</t>
  </si>
  <si>
    <t>K-F0-P160</t>
  </si>
  <si>
    <t>K-F0-P161</t>
  </si>
  <si>
    <t>Давление газа перед фильтром котла №5</t>
  </si>
  <si>
    <t>Давление газа после фильтра котла №5</t>
  </si>
  <si>
    <t>Давление газа перед котлом до регулятора №5</t>
  </si>
  <si>
    <t>Давление газа перед котлом после регулятора №5</t>
  </si>
  <si>
    <t>Давление газа перед фильтром котла №6</t>
  </si>
  <si>
    <t>Давление газа после фильтра котла №6</t>
  </si>
  <si>
    <t>Давление газа перед котлом до регулятора №6</t>
  </si>
  <si>
    <t>Давление газа перед котлом после регулятора №6</t>
  </si>
  <si>
    <t>Давление газа перед фильтром котла №7</t>
  </si>
  <si>
    <t>Давление газа после фильтра котла №7</t>
  </si>
  <si>
    <t>Давление газа перед котлом до регулятора №7</t>
  </si>
  <si>
    <t>Давление газа перед котлом после регулятора №7</t>
  </si>
  <si>
    <t>Давление газа перед фильтром котла №8</t>
  </si>
  <si>
    <t>K-F0-P162</t>
  </si>
  <si>
    <t>Давление газа после фильтра котла №8</t>
  </si>
  <si>
    <t>K-F0-P163</t>
  </si>
  <si>
    <t>Давление газа перед котлом до регулятора №8</t>
  </si>
  <si>
    <t>K-F0-P164</t>
  </si>
  <si>
    <t>Давление газа перед котлом после регулятора №8</t>
  </si>
  <si>
    <t>K-F0-P165</t>
  </si>
  <si>
    <t>F4HHG20СР001</t>
  </si>
  <si>
    <t>F4HHG20СР002</t>
  </si>
  <si>
    <t>F4HHG20СР003</t>
  </si>
  <si>
    <t>F4HHG20СР004</t>
  </si>
  <si>
    <t>F5HHG20СР001</t>
  </si>
  <si>
    <t>F5HHG20СР002</t>
  </si>
  <si>
    <t>F5HHG20СР003</t>
  </si>
  <si>
    <t>F5HHG20СР004</t>
  </si>
  <si>
    <t>F6HHG20СР001</t>
  </si>
  <si>
    <t>F6HHG20СР002</t>
  </si>
  <si>
    <t>F6HHG20СР003</t>
  </si>
  <si>
    <t>F6HHG20СР004</t>
  </si>
  <si>
    <t>F7HHG20СР001</t>
  </si>
  <si>
    <t>F7HHG20СР002</t>
  </si>
  <si>
    <t>F7HHG20СР003</t>
  </si>
  <si>
    <t>F7HHG20СР004</t>
  </si>
  <si>
    <t>F8HHG20СР001</t>
  </si>
  <si>
    <t>F8HHG20СР002</t>
  </si>
  <si>
    <t>F8HHG20СР003</t>
  </si>
  <si>
    <t>F8HHG20СР004</t>
  </si>
  <si>
    <t>Шкаф УУГ1</t>
  </si>
  <si>
    <t>АТМ</t>
  </si>
  <si>
    <t>АОВ</t>
  </si>
  <si>
    <t>АГСВ</t>
  </si>
  <si>
    <t>F1HHG20AA801</t>
  </si>
  <si>
    <t>F1HHG20AA201</t>
  </si>
  <si>
    <t>se0022</t>
  </si>
  <si>
    <t>se0021</t>
  </si>
  <si>
    <t>Заслонка регулирующая газа котла №1</t>
  </si>
  <si>
    <t>Затвор продувной свечи газа котла №1</t>
  </si>
  <si>
    <t>A5.14</t>
  </si>
  <si>
    <t>№chanDi</t>
  </si>
  <si>
    <t>DiCount</t>
  </si>
  <si>
    <t>№chanDo</t>
  </si>
  <si>
    <t>DoCount</t>
  </si>
  <si>
    <t>A6.8</t>
  </si>
  <si>
    <t>Шкаф ШУЗГ (F0CDA01GH001)</t>
  </si>
  <si>
    <t>KС-F0-РДГ.КА1</t>
  </si>
  <si>
    <t>K-F0-РДГ.КА1</t>
  </si>
  <si>
    <t>K-F0-СП.КА1</t>
  </si>
  <si>
    <t>Заслонка регулирующая газа котла №2</t>
  </si>
  <si>
    <t>KС-F0-РДГ.КА2</t>
  </si>
  <si>
    <t>K-F0-РДГ.КА2</t>
  </si>
  <si>
    <t>A5.15</t>
  </si>
  <si>
    <t>A6.9</t>
  </si>
  <si>
    <t>Затвор продувной свечи газа котла №2</t>
  </si>
  <si>
    <t>K-F0-СП.КА2</t>
  </si>
  <si>
    <t>L7</t>
  </si>
  <si>
    <t>Заслонка регулирующая газа котла №3</t>
  </si>
  <si>
    <t>KС-F0-РДГ.КА3</t>
  </si>
  <si>
    <t>K-F0-РДГ.КА3</t>
  </si>
  <si>
    <t>A5.16</t>
  </si>
  <si>
    <t>Затвор продувной свечи газа котла №3</t>
  </si>
  <si>
    <t>K-F0-СП.КА3</t>
  </si>
  <si>
    <t>L8</t>
  </si>
  <si>
    <t>Заслонка регулирующая газа котла №4</t>
  </si>
  <si>
    <t>KС-F0-РДГ.КА4</t>
  </si>
  <si>
    <t>K-F0-РДГ.КА4</t>
  </si>
  <si>
    <t>A5.17</t>
  </si>
  <si>
    <t>Затвор продувной свечи газа котла №4</t>
  </si>
  <si>
    <t>K-F0-СП.КА4</t>
  </si>
  <si>
    <t>L9</t>
  </si>
  <si>
    <t>Заслонка регулирующая газа котла №5</t>
  </si>
  <si>
    <t>KС-F0-РДГ.КА5</t>
  </si>
  <si>
    <t>K-F0-РДГ.КА5</t>
  </si>
  <si>
    <t>Затвор продувной свечи газа котла №5</t>
  </si>
  <si>
    <t>K-F0-СП.КА5</t>
  </si>
  <si>
    <t>L10</t>
  </si>
  <si>
    <t>Заслонка регулирующая газа котла №6</t>
  </si>
  <si>
    <t>KС-F0-РДГ.КА6</t>
  </si>
  <si>
    <t>K-F0-РДГ.КА6</t>
  </si>
  <si>
    <t>Затвор продувной свечи газа котла №6</t>
  </si>
  <si>
    <t>K-F0-СП.КА6</t>
  </si>
  <si>
    <t>L11</t>
  </si>
  <si>
    <t>Заслонка регулирующая газа котла №7</t>
  </si>
  <si>
    <t>KС-F0-РДГ.КА7</t>
  </si>
  <si>
    <t>K-F0-РДГ.КА7</t>
  </si>
  <si>
    <t>Затвор продувной свечи газа котла №7</t>
  </si>
  <si>
    <t>K-F0-СП.КА7</t>
  </si>
  <si>
    <t>L12</t>
  </si>
  <si>
    <t>Заслонка регулирующая газа котла №8</t>
  </si>
  <si>
    <t>KС-F0-РДГ.КА8</t>
  </si>
  <si>
    <t>K-F0-РДГ.КА8</t>
  </si>
  <si>
    <t>Затвор продувной свечи газа котла №8</t>
  </si>
  <si>
    <t>K-F0-СП.КА8</t>
  </si>
  <si>
    <t>L13</t>
  </si>
  <si>
    <t>F2HHG20AA801</t>
  </si>
  <si>
    <t>F2HHG20AA201</t>
  </si>
  <si>
    <t>F3HHG20AA801</t>
  </si>
  <si>
    <t>F3HHG20AA201</t>
  </si>
  <si>
    <t>F4HHG20AA801</t>
  </si>
  <si>
    <t>F4HHG20AA201</t>
  </si>
  <si>
    <t>F5HHG20AA801</t>
  </si>
  <si>
    <t>F5HHG20AA201</t>
  </si>
  <si>
    <t>F6HHG20AA801</t>
  </si>
  <si>
    <t>F6HHG20AA201</t>
  </si>
  <si>
    <t>F7HHG20AA801</t>
  </si>
  <si>
    <t>F7HHG20AA201</t>
  </si>
  <si>
    <t>F8HHG20AA801</t>
  </si>
  <si>
    <t>F8HHG20AA201</t>
  </si>
  <si>
    <t>Задвижка ГК-3</t>
  </si>
  <si>
    <t>F0EKG10AA001</t>
  </si>
  <si>
    <t>K-F0-ГК-3</t>
  </si>
  <si>
    <t>A5.18</t>
  </si>
  <si>
    <t>A6.10</t>
  </si>
  <si>
    <t>F0EKG10AA002</t>
  </si>
  <si>
    <t>K-F0-ГК-4</t>
  </si>
  <si>
    <t>A5.19</t>
  </si>
  <si>
    <t>Затвор дисковый на котлы №1-5</t>
  </si>
  <si>
    <t>F0EKG10AA003</t>
  </si>
  <si>
    <t>K-F0-ГК-5</t>
  </si>
  <si>
    <t>Затвор дисковый на котлы №6-8</t>
  </si>
  <si>
    <t>МЭОФ 4000(6000)/63-0,25 ЦА 2</t>
  </si>
  <si>
    <t>АМАКС-ЗДЭ-100-1,6-0,2</t>
  </si>
  <si>
    <t>АНМ.609.14.33-ЯС</t>
  </si>
  <si>
    <t>se0023</t>
  </si>
  <si>
    <t>Питание ввода №1 в норме</t>
  </si>
  <si>
    <t>Питание ввода №2 в норме</t>
  </si>
  <si>
    <t>Ввод 1 включен</t>
  </si>
  <si>
    <t>Ввод 2 включен</t>
  </si>
  <si>
    <t>Питание ИБП в норме</t>
  </si>
  <si>
    <t>Питание цепей внешних сигналов включено</t>
  </si>
  <si>
    <t>Питание цепей внутренних сигналов включено</t>
  </si>
  <si>
    <t>Питание датчиков 220В включено</t>
  </si>
  <si>
    <t>Дверь шкафа открыта</t>
  </si>
  <si>
    <t>Ki-01</t>
  </si>
  <si>
    <t>SD1</t>
  </si>
  <si>
    <t>SD2</t>
  </si>
  <si>
    <t>Ki-02</t>
  </si>
  <si>
    <t>SD3</t>
  </si>
  <si>
    <t>Ki-03</t>
  </si>
  <si>
    <t>SD4</t>
  </si>
  <si>
    <t>Ki-04</t>
  </si>
  <si>
    <t>SD5</t>
  </si>
  <si>
    <t>Ki-05</t>
  </si>
  <si>
    <t>SD6</t>
  </si>
  <si>
    <t>Ki-06</t>
  </si>
  <si>
    <t>SD7</t>
  </si>
  <si>
    <t>Ki-07</t>
  </si>
  <si>
    <t>SD8</t>
  </si>
  <si>
    <t>Ki-08</t>
  </si>
  <si>
    <t>SD9</t>
  </si>
  <si>
    <t>Ki-09</t>
  </si>
  <si>
    <t>F0CJU01GH001 XM01</t>
  </si>
  <si>
    <t>F0CJU01GH001 XM02</t>
  </si>
  <si>
    <t>F0CJU01GH001 XM03</t>
  </si>
  <si>
    <t>F0CJU01GH001 XM04</t>
  </si>
  <si>
    <t>F0CJU01GH001 XM05</t>
  </si>
  <si>
    <t>F0CJU01GH001 XM06</t>
  </si>
  <si>
    <t>F0CJU01GH001 XM07</t>
  </si>
  <si>
    <t>F0CJU01GH001 XM08</t>
  </si>
  <si>
    <t>F0CJU01GH001 XM09</t>
  </si>
  <si>
    <t>KС-F0-РТ-68</t>
  </si>
  <si>
    <t>K-F0-РТ-68</t>
  </si>
  <si>
    <t>KС-F0-РТ-63</t>
  </si>
  <si>
    <t>K-F0-РТ-63</t>
  </si>
  <si>
    <t>K3XG02</t>
  </si>
  <si>
    <t>K4XG02</t>
  </si>
  <si>
    <t>K12XG02</t>
  </si>
  <si>
    <t>E1CJU01</t>
  </si>
  <si>
    <t>E2CJU01</t>
  </si>
  <si>
    <t>N1CJU01</t>
  </si>
  <si>
    <t>N2CJU01</t>
  </si>
  <si>
    <t>АСУ ЭТО</t>
  </si>
  <si>
    <t>Шкаф Серверный №1</t>
  </si>
  <si>
    <t>Шкаф Серверный №2</t>
  </si>
  <si>
    <t>К-F0-УУГ1</t>
  </si>
  <si>
    <t>К-F0-БВД10</t>
  </si>
  <si>
    <t>К-F0-К12</t>
  </si>
  <si>
    <t>К-F0-K4.1</t>
  </si>
  <si>
    <t>К-F0-K5.1</t>
  </si>
  <si>
    <t>К-F0-K6.1</t>
  </si>
  <si>
    <t>К-F0-K10.5.1</t>
  </si>
  <si>
    <t>К-F0-К23.1</t>
  </si>
  <si>
    <t>К-F0-НКП1</t>
  </si>
  <si>
    <t>Сигналы с щита КИП БВД-10</t>
  </si>
  <si>
    <t>Сигналы с ШУ К4.1-К4.4</t>
  </si>
  <si>
    <t>Сигналы с ШУ К5.1, К5.2</t>
  </si>
  <si>
    <t>Сигналы с ШУ К6.1-К6.3</t>
  </si>
  <si>
    <t>Сигналы с ШУ К10.5.1, K10.5.2</t>
  </si>
  <si>
    <t>Сигналы с ШУ К23.1, K23.2</t>
  </si>
  <si>
    <t>Сигналы с ШУ НКП-1, НКП-2</t>
  </si>
  <si>
    <t>Сигналы с ШУ К12</t>
  </si>
  <si>
    <t>Сигналы со шкафа УУГ1</t>
  </si>
  <si>
    <t>se0020</t>
  </si>
  <si>
    <t>AmCom</t>
  </si>
  <si>
    <t>TmComA</t>
  </si>
  <si>
    <t>TmComB</t>
  </si>
  <si>
    <t>ComModName</t>
  </si>
  <si>
    <t>WcpA</t>
  </si>
  <si>
    <t>WcpB</t>
  </si>
  <si>
    <t>WcpSG</t>
  </si>
  <si>
    <t>A7.1
Port3</t>
  </si>
  <si>
    <t>A</t>
  </si>
  <si>
    <t>B</t>
  </si>
  <si>
    <t>SG</t>
  </si>
  <si>
    <t>S343-0</t>
  </si>
  <si>
    <t>Com1-3-A</t>
  </si>
  <si>
    <t>Com1-3-B</t>
  </si>
  <si>
    <t>Com1-3-SG</t>
  </si>
  <si>
    <t>Com1-4-A</t>
  </si>
  <si>
    <t>Com1-4-B</t>
  </si>
  <si>
    <t>Com1-4-SG</t>
  </si>
  <si>
    <t>A7.1
Port4</t>
  </si>
  <si>
    <t>A7.1
Port5</t>
  </si>
  <si>
    <t>A7.1
Port6</t>
  </si>
  <si>
    <t>Com1-5-A</t>
  </si>
  <si>
    <t>Com1-6-A</t>
  </si>
  <si>
    <t>Com1-5-B</t>
  </si>
  <si>
    <t>Com1-6-B</t>
  </si>
  <si>
    <t>Com1-5-SG</t>
  </si>
  <si>
    <t>Com1-6-SG</t>
  </si>
  <si>
    <t>A7.2
Port3</t>
  </si>
  <si>
    <t>A7.2
Port4</t>
  </si>
  <si>
    <t>A7.2
Port5</t>
  </si>
  <si>
    <t>A7.2
Port6</t>
  </si>
  <si>
    <t>A7.2
Port7</t>
  </si>
  <si>
    <t>Com1-7-A</t>
  </si>
  <si>
    <t>Com1-7-B</t>
  </si>
  <si>
    <t>Com1-7-SG</t>
  </si>
  <si>
    <t>TmComSG</t>
  </si>
  <si>
    <t>A3.39</t>
  </si>
  <si>
    <t>A3.40</t>
  </si>
  <si>
    <t>A3.41</t>
  </si>
  <si>
    <t>A3.42</t>
  </si>
  <si>
    <t>Давление до фильтра №1</t>
  </si>
  <si>
    <t>Давление после фильтра №1</t>
  </si>
  <si>
    <t>E1EKE10CP001</t>
  </si>
  <si>
    <t>E1EKE10CP002</t>
  </si>
  <si>
    <t>E1</t>
  </si>
  <si>
    <t>K-E1-P1</t>
  </si>
  <si>
    <t>K-E1-P2</t>
  </si>
  <si>
    <t>Шкаф АСУ ГРП-1 (E1CJU01)</t>
  </si>
  <si>
    <t>Засорение фильтра №1</t>
  </si>
  <si>
    <t>E1EKE01CP151</t>
  </si>
  <si>
    <t>Элемер-АИР-30</t>
  </si>
  <si>
    <t>se0024</t>
  </si>
  <si>
    <t>E1-3</t>
  </si>
  <si>
    <t>E1-2</t>
  </si>
  <si>
    <t>E1-1</t>
  </si>
  <si>
    <t>E1EKE02CP151</t>
  </si>
  <si>
    <t>Засорение фильтра №2</t>
  </si>
  <si>
    <t>WppL</t>
  </si>
  <si>
    <t>WppDi1</t>
  </si>
  <si>
    <t>WppDi2</t>
  </si>
  <si>
    <t>E1-S9-L</t>
  </si>
  <si>
    <t>WppL2</t>
  </si>
  <si>
    <t>E1-S10-L</t>
  </si>
  <si>
    <t>XT7</t>
  </si>
  <si>
    <t>XT5</t>
  </si>
  <si>
    <t>XT10</t>
  </si>
  <si>
    <t>E1-S9-D1</t>
  </si>
  <si>
    <t>E1-S10-D1</t>
  </si>
  <si>
    <t>ЩА сущ. ГРП-1</t>
  </si>
  <si>
    <t>Температура на выходе ГРП-1 (15а)</t>
  </si>
  <si>
    <t>Температура на входе ГРП-1 (16а)</t>
  </si>
  <si>
    <t>E1EKG01CT101</t>
  </si>
  <si>
    <t>E1EKA01CT101</t>
  </si>
  <si>
    <t>E1-4</t>
  </si>
  <si>
    <t>E1-5</t>
  </si>
  <si>
    <t>A3.2</t>
  </si>
  <si>
    <t>Давление на выходе ГРП-1 (13а)</t>
  </si>
  <si>
    <t>Давление на входе ГРП-1 (14а)</t>
  </si>
  <si>
    <t>E1EKG01CP001</t>
  </si>
  <si>
    <t>E1EKA01CP001</t>
  </si>
  <si>
    <t>Давление после заслонки №1 (11а)</t>
  </si>
  <si>
    <t>Давление после заслонки №2 (12а)</t>
  </si>
  <si>
    <t>E1EKD01CP001</t>
  </si>
  <si>
    <t>E1EKD02CP001</t>
  </si>
  <si>
    <t>E1-6</t>
  </si>
  <si>
    <t>E1-7</t>
  </si>
  <si>
    <t>E1-8</t>
  </si>
  <si>
    <t>E1-9</t>
  </si>
  <si>
    <t>XT27</t>
  </si>
  <si>
    <t>XT28</t>
  </si>
  <si>
    <t>XT31</t>
  </si>
  <si>
    <t>XT32</t>
  </si>
  <si>
    <t>XT38</t>
  </si>
  <si>
    <t>XT39</t>
  </si>
  <si>
    <t>XT43</t>
  </si>
  <si>
    <t>XT44</t>
  </si>
  <si>
    <t>E1-30</t>
  </si>
  <si>
    <t>Загазованность в ГРП, 1 порог</t>
  </si>
  <si>
    <t>E1UEN01CQ001</t>
  </si>
  <si>
    <t>se0025</t>
  </si>
  <si>
    <t>Сигнализатор газов СТМ-10</t>
  </si>
  <si>
    <t>E1-S17-21</t>
  </si>
  <si>
    <t>E1-S17-23</t>
  </si>
  <si>
    <t>---</t>
  </si>
  <si>
    <t>Desc1</t>
  </si>
  <si>
    <t>Desc2</t>
  </si>
  <si>
    <t>Загазованность в ГРП, 2 порог</t>
  </si>
  <si>
    <t>Неисправность шкафа сборки задвижек</t>
  </si>
  <si>
    <t>E1CDA01GH002</t>
  </si>
  <si>
    <t>E1-29</t>
  </si>
  <si>
    <t>Сборка СЗ ГРП-1 (E1CDA01GH002)</t>
  </si>
  <si>
    <t>X</t>
  </si>
  <si>
    <t>K2-05</t>
  </si>
  <si>
    <t>E1-GH2-EH</t>
  </si>
  <si>
    <t>Регулирующая заслонка №1</t>
  </si>
  <si>
    <t>E1EKD01AA801</t>
  </si>
  <si>
    <t>E1-12</t>
  </si>
  <si>
    <t>E1-14</t>
  </si>
  <si>
    <t>se0026</t>
  </si>
  <si>
    <t>Регулирующая заслонка №2</t>
  </si>
  <si>
    <t>se0027</t>
  </si>
  <si>
    <t>E1EKD02AA801</t>
  </si>
  <si>
    <t>E1-17</t>
  </si>
  <si>
    <t>E1-19</t>
  </si>
  <si>
    <t>Задвижка 2-Г</t>
  </si>
  <si>
    <t>E1EKA01AA001</t>
  </si>
  <si>
    <t>E1-21</t>
  </si>
  <si>
    <t>se0028</t>
  </si>
  <si>
    <t>Задвижка 3-Г</t>
  </si>
  <si>
    <t>E1EKG11AA001</t>
  </si>
  <si>
    <t>E1-24</t>
  </si>
  <si>
    <t>Дисковый затвор ГК-1</t>
  </si>
  <si>
    <t>E1EKG12AA001</t>
  </si>
  <si>
    <t>E1-27</t>
  </si>
  <si>
    <t>Давление после клапана ЗР-1</t>
  </si>
  <si>
    <t>Давление после клапана ЗР-2</t>
  </si>
  <si>
    <t>Давление на входе ГРП-2</t>
  </si>
  <si>
    <t>Температура на входе в ГРП-2</t>
  </si>
  <si>
    <t>Температура на выходе ГРП-2</t>
  </si>
  <si>
    <t>E2EKD01CP001</t>
  </si>
  <si>
    <t>E2EKD02CP001</t>
  </si>
  <si>
    <t>E2EKA01CP001</t>
  </si>
  <si>
    <t>E2EKG01CP001</t>
  </si>
  <si>
    <t>E2EKG01CP002</t>
  </si>
  <si>
    <t>E2EKG01CP003</t>
  </si>
  <si>
    <t>E2EKA01CT101</t>
  </si>
  <si>
    <t>E2EKG01CT101</t>
  </si>
  <si>
    <t>Регулирующий клапан ЗР-1 (линия 1)</t>
  </si>
  <si>
    <t>Регулирующий клапан ЗР-1 (линия 2)</t>
  </si>
  <si>
    <t>Задвижка 2-13Г на входе линии 1</t>
  </si>
  <si>
    <t>Задвижка 2-14Г на выходе линии 1</t>
  </si>
  <si>
    <t>Задвижка 2-15Г на входе линии 2</t>
  </si>
  <si>
    <t>Задвижка 2-16Г на выходе линии 2</t>
  </si>
  <si>
    <t>Задвижка 2-17Г на байпасе ГРП-2</t>
  </si>
  <si>
    <t>Задвижка 2-3Г на входе ГРП-2</t>
  </si>
  <si>
    <t>Задвижка 2-19Г на выходе ГРП-2 к главному корпусу</t>
  </si>
  <si>
    <t>Задвижка 4-ГД</t>
  </si>
  <si>
    <t>Дисковый затвор ГК-2</t>
  </si>
  <si>
    <t>E2CDA01GH001</t>
  </si>
  <si>
    <t>E2UEN01CQ001</t>
  </si>
  <si>
    <t>E2EKG12AA001</t>
  </si>
  <si>
    <t>E2EKG11AA002</t>
  </si>
  <si>
    <t>E2EKG11AA001</t>
  </si>
  <si>
    <t>E2EKA01AA001</t>
  </si>
  <si>
    <t>E2EKG02AA001</t>
  </si>
  <si>
    <t>E2EKD02AA002</t>
  </si>
  <si>
    <t>E2EKD02AA001</t>
  </si>
  <si>
    <t>E2EKD01AA002</t>
  </si>
  <si>
    <t>E2EKD01AA001</t>
  </si>
  <si>
    <t>E2EKD02AA801</t>
  </si>
  <si>
    <t>E2EKD01AA801</t>
  </si>
  <si>
    <t>Давление на выходе ГРП-2 №1</t>
  </si>
  <si>
    <t>Давление на выходе ГРП-2 №2</t>
  </si>
  <si>
    <t>Давление на выходе ГРП-2 №3</t>
  </si>
  <si>
    <t>E2</t>
  </si>
  <si>
    <t>E2-1</t>
  </si>
  <si>
    <t>Шкаф АСУ ГРП-2 (E2CJU01)</t>
  </si>
  <si>
    <t>E2-2</t>
  </si>
  <si>
    <t>E2-3</t>
  </si>
  <si>
    <t>E2-4</t>
  </si>
  <si>
    <t>E2-5</t>
  </si>
  <si>
    <t>E2-6</t>
  </si>
  <si>
    <t>E2-7</t>
  </si>
  <si>
    <t>E2-8</t>
  </si>
  <si>
    <t>E2-11</t>
  </si>
  <si>
    <t>E2-12</t>
  </si>
  <si>
    <t>E2-13</t>
  </si>
  <si>
    <t>E2EKA02СР001</t>
  </si>
  <si>
    <t>E2EKA02СР002</t>
  </si>
  <si>
    <t>E2EKA02СР003</t>
  </si>
  <si>
    <t>Давление газа после регулятора на перемычке (регулирование)</t>
  </si>
  <si>
    <t>Давление газа после регулятора на перемычке</t>
  </si>
  <si>
    <t>Давление газа до регулятора на перемычке</t>
  </si>
  <si>
    <t>E2-20</t>
  </si>
  <si>
    <t>Шкаф Ш-2 (E2CDA01GH002)</t>
  </si>
  <si>
    <t>E2-23</t>
  </si>
  <si>
    <t>E2-26</t>
  </si>
  <si>
    <t>se0029</t>
  </si>
  <si>
    <t>E2-29</t>
  </si>
  <si>
    <t>E2-35</t>
  </si>
  <si>
    <t>E2-41</t>
  </si>
  <si>
    <t>E2-36</t>
  </si>
  <si>
    <t>E2-40</t>
  </si>
  <si>
    <t>E2-42</t>
  </si>
  <si>
    <t>Затвор со стороны газопровода на ГРП-2</t>
  </si>
  <si>
    <t>E2EKA02AA001</t>
  </si>
  <si>
    <t>Затвор со стороны газопровода на ГРП-1</t>
  </si>
  <si>
    <t>E2EKA02AA002</t>
  </si>
  <si>
    <t>Регулятор давления газа</t>
  </si>
  <si>
    <t>E2EKA02AA801</t>
  </si>
  <si>
    <t>E2EKA02FF001</t>
  </si>
  <si>
    <t>Расход газа</t>
  </si>
  <si>
    <t>E2-15</t>
  </si>
  <si>
    <t>Шкаф учета газа ШУГ (E2CFQ01)</t>
  </si>
  <si>
    <t>E2EKA02СF001</t>
  </si>
  <si>
    <t>E2-16</t>
  </si>
  <si>
    <t>ИРВИС-Ультра.ТИ (A1.4)</t>
  </si>
  <si>
    <t>E2-68</t>
  </si>
  <si>
    <t>E2-45</t>
  </si>
  <si>
    <t>E2-48</t>
  </si>
  <si>
    <t>E2-51</t>
  </si>
  <si>
    <t>E2-54</t>
  </si>
  <si>
    <t>E2-57</t>
  </si>
  <si>
    <t>E2-60</t>
  </si>
  <si>
    <t>E2-66</t>
  </si>
  <si>
    <t>E2-67</t>
  </si>
  <si>
    <t>E2-17</t>
  </si>
  <si>
    <t>Шкаф Ш-3 (E2CDA01GH003)</t>
  </si>
  <si>
    <t>Шкаф Ш-1 (E2CDA01GH001)</t>
  </si>
  <si>
    <t>Шкаф системы контроля загазованности ШСКЗ (E2CXE01)</t>
  </si>
  <si>
    <t>se0031</t>
  </si>
  <si>
    <t>T4</t>
  </si>
  <si>
    <t>name1</t>
  </si>
  <si>
    <t>name2</t>
  </si>
  <si>
    <t>Порог 1</t>
  </si>
  <si>
    <t>Порог 2</t>
  </si>
  <si>
    <t>KL1</t>
  </si>
  <si>
    <t>KL2</t>
  </si>
  <si>
    <t>K17-01</t>
  </si>
  <si>
    <t>K17-02</t>
  </si>
  <si>
    <t>Давление сетевой воды после всех теплообменных аппаратов</t>
  </si>
  <si>
    <t>N1NDA10CP001</t>
  </si>
  <si>
    <t>N1</t>
  </si>
  <si>
    <t>N1-1</t>
  </si>
  <si>
    <t>Шкаф АСУ Зд (N1CJU01)</t>
  </si>
  <si>
    <t>Температура сетевой воды после всех теплообменных аппаратов</t>
  </si>
  <si>
    <t>N1NDA10CT002</t>
  </si>
  <si>
    <t>N1-2</t>
  </si>
  <si>
    <t>N1NDD01CT002</t>
  </si>
  <si>
    <t>Температура сетевой воды на выходе из ТА-1</t>
  </si>
  <si>
    <t>N1-3</t>
  </si>
  <si>
    <t>N1-4</t>
  </si>
  <si>
    <t>N1-5</t>
  </si>
  <si>
    <t>N1-6</t>
  </si>
  <si>
    <t>N1-7</t>
  </si>
  <si>
    <t>N1-8</t>
  </si>
  <si>
    <t>N1-9</t>
  </si>
  <si>
    <t>N1-10</t>
  </si>
  <si>
    <t>N1-11</t>
  </si>
  <si>
    <t>N1-12</t>
  </si>
  <si>
    <t>N1-13</t>
  </si>
  <si>
    <t>N1-14</t>
  </si>
  <si>
    <t>N1-15</t>
  </si>
  <si>
    <t>N1-16</t>
  </si>
  <si>
    <t>N1-17</t>
  </si>
  <si>
    <t>N1-18</t>
  </si>
  <si>
    <t>N1-19</t>
  </si>
  <si>
    <t>N1-20</t>
  </si>
  <si>
    <t>N1-21</t>
  </si>
  <si>
    <t>N1-22</t>
  </si>
  <si>
    <t>N1-23</t>
  </si>
  <si>
    <t>N1-24</t>
  </si>
  <si>
    <t>N1-25</t>
  </si>
  <si>
    <t>N1-26</t>
  </si>
  <si>
    <t>N1-27</t>
  </si>
  <si>
    <t>N1-28</t>
  </si>
  <si>
    <t>N1-29</t>
  </si>
  <si>
    <t>N1-30</t>
  </si>
  <si>
    <t>N1-31</t>
  </si>
  <si>
    <t>N1-32</t>
  </si>
  <si>
    <t>N1-33</t>
  </si>
  <si>
    <t>N1-34</t>
  </si>
  <si>
    <t>N1-35</t>
  </si>
  <si>
    <t>N1-36</t>
  </si>
  <si>
    <t>N1-37</t>
  </si>
  <si>
    <t>N1-38</t>
  </si>
  <si>
    <t>N1-39</t>
  </si>
  <si>
    <t>N1-40</t>
  </si>
  <si>
    <t>N1-41</t>
  </si>
  <si>
    <t>N1-42</t>
  </si>
  <si>
    <t>N1-43</t>
  </si>
  <si>
    <t>N1-44</t>
  </si>
  <si>
    <t>N1-45</t>
  </si>
  <si>
    <t>N1-46</t>
  </si>
  <si>
    <t>N1-47</t>
  </si>
  <si>
    <t>N1-48</t>
  </si>
  <si>
    <t>Температура сетевой воды на выходе из ТА-2</t>
  </si>
  <si>
    <t>N1NDD02CT002</t>
  </si>
  <si>
    <t>Температура сетевой воды на выходе из ТА-3</t>
  </si>
  <si>
    <t>N1NDD03CT002</t>
  </si>
  <si>
    <t>Температура сетевой воды на выходе из ТА-4</t>
  </si>
  <si>
    <t>N1NDD04CT002</t>
  </si>
  <si>
    <t>Температура сетевой воды на выходе из ТА-5</t>
  </si>
  <si>
    <t>N1NDD05CT002</t>
  </si>
  <si>
    <t>Температура сетевой воды на выходе из ТА-6</t>
  </si>
  <si>
    <t>N1NDD06CT002</t>
  </si>
  <si>
    <t>Температура сетевой воды на выходе из ТА-7</t>
  </si>
  <si>
    <t>N1NDD07CT002</t>
  </si>
  <si>
    <t>Температура сетевой воды на выходе из ТА-8</t>
  </si>
  <si>
    <t>N1NDD08CT002</t>
  </si>
  <si>
    <t>Температура сетевой воды на выходе из ТА-9</t>
  </si>
  <si>
    <t>N1NDD09CT002</t>
  </si>
  <si>
    <t>N1NDF10CT001</t>
  </si>
  <si>
    <t>Температура котловой воды перед сетевыми теплообменниками</t>
  </si>
  <si>
    <t>Температура котловой воды на выходе из ТА-1</t>
  </si>
  <si>
    <t>Температура котловой воды на выходе из ТА-2</t>
  </si>
  <si>
    <t>N1NDD01CT004</t>
  </si>
  <si>
    <t>N1NDD02CT004</t>
  </si>
  <si>
    <t>Температура котловой воды на выходе из ТА-3</t>
  </si>
  <si>
    <t>N1NDD03CT004</t>
  </si>
  <si>
    <t>Температура котловой воды на выходе из ТА-4</t>
  </si>
  <si>
    <t>N1NDD04CT004</t>
  </si>
  <si>
    <t>Температура котловой воды на выходе из ТА-5</t>
  </si>
  <si>
    <t>N1NDD05CT004</t>
  </si>
  <si>
    <t>Температура котловой воды на выходе из ТА-6</t>
  </si>
  <si>
    <t>N1NDD06CT004</t>
  </si>
  <si>
    <t>Температура котловой воды на выходе из ТА-7</t>
  </si>
  <si>
    <t>N1NDD07CT004</t>
  </si>
  <si>
    <t>Температура котловой воды на выходе из ТА-8</t>
  </si>
  <si>
    <t>N1NDD08CT004</t>
  </si>
  <si>
    <t>Температура котловой воды на выходе из ТА-9</t>
  </si>
  <si>
    <t>N1NDD09CT004</t>
  </si>
  <si>
    <t>Температура обратной сетевой воды на входе в здание теплообменников</t>
  </si>
  <si>
    <t>N1NDB10CT001</t>
  </si>
  <si>
    <t>N1NDB10CP003</t>
  </si>
  <si>
    <t>Давление обратной сетевой воды на входе в здание теплообменников</t>
  </si>
  <si>
    <t>Давление обратной сетевой воды (регулирование)</t>
  </si>
  <si>
    <t>N1NDB10CP004</t>
  </si>
  <si>
    <t>Давление на всасе насоса СН-1</t>
  </si>
  <si>
    <t>N1NDC01CP001</t>
  </si>
  <si>
    <t>N1NDC01CP002</t>
  </si>
  <si>
    <t>Давление на напоре насоса СН-1</t>
  </si>
  <si>
    <t>Давление на всасе насоса СН-2</t>
  </si>
  <si>
    <t>Давление на напоре насоса СН-2</t>
  </si>
  <si>
    <t>Давление на всасе насоса СН-3</t>
  </si>
  <si>
    <t>Давление на напоре насоса СН-3</t>
  </si>
  <si>
    <t>Давление на всасе насоса СН-4</t>
  </si>
  <si>
    <t>Давление на напоре насоса СН-4</t>
  </si>
  <si>
    <t>N1NDC02CP001</t>
  </si>
  <si>
    <t>N1NDC02CP002</t>
  </si>
  <si>
    <t>N1NDC03CP001</t>
  </si>
  <si>
    <t>N1NDC03CP002</t>
  </si>
  <si>
    <t>N1NDC04CP001</t>
  </si>
  <si>
    <t>N1NDC04CP002</t>
  </si>
  <si>
    <t>Давление обратной сетевой воды перед теплообменниками</t>
  </si>
  <si>
    <t>N1NDB20CP001</t>
  </si>
  <si>
    <t>Температура обратной сетевой воды перед теплообменниками</t>
  </si>
  <si>
    <t>N1NDB20CT001</t>
  </si>
  <si>
    <t>Давление воды на аварийную подпитку</t>
  </si>
  <si>
    <t>N1GAD11CP001</t>
  </si>
  <si>
    <t>Температура воды на аварийную подпитку</t>
  </si>
  <si>
    <t>N1GAD11CT001</t>
  </si>
  <si>
    <t>Температура подпиточной воды от деаэратора</t>
  </si>
  <si>
    <t>N1NDK10CT001</t>
  </si>
  <si>
    <t>Давление сетевой воды после сетевых насосов (группа 1)</t>
  </si>
  <si>
    <t>N1NDB11CP002</t>
  </si>
  <si>
    <t>Давление сетевой воды после сетевых насосов (группа 1) сигнализация</t>
  </si>
  <si>
    <t>N1NDB11CP003</t>
  </si>
  <si>
    <t>Давление сетевой воды после сетевых насосов (группа 2)</t>
  </si>
  <si>
    <t>N1NDB12CP002</t>
  </si>
  <si>
    <t>Давление сетевой воды после сетевых насосов (группа 2) сигнализация</t>
  </si>
  <si>
    <t>N1NDB12CP003</t>
  </si>
  <si>
    <t>Давление обратной сетевой воды до сетевых насосов (коллектор)</t>
  </si>
  <si>
    <t>N1NDB10CP005</t>
  </si>
  <si>
    <t>Температура обратной сетевой воды до сетевых насосов (коллектор)</t>
  </si>
  <si>
    <t>N1NDB10CT002</t>
  </si>
  <si>
    <t>Давление сетевой воды до сетевых насосов (группа 1)</t>
  </si>
  <si>
    <t>N1NDB11CP001</t>
  </si>
  <si>
    <t>Давление сетевой воды до сетевых насосов (группа 2)</t>
  </si>
  <si>
    <t>N1NDB12CP001</t>
  </si>
  <si>
    <t>Давление обратной сетевой воды до фильтра ГИГ</t>
  </si>
  <si>
    <t>N1NDB10CP001</t>
  </si>
  <si>
    <t>Давление обратной сетевой воды после фильтра ГИГ</t>
  </si>
  <si>
    <t>N1NDB10CP002</t>
  </si>
  <si>
    <t>A3.5</t>
  </si>
  <si>
    <t>A3.7</t>
  </si>
  <si>
    <t>A3.8</t>
  </si>
  <si>
    <t>N1-49</t>
  </si>
  <si>
    <t>N1-50</t>
  </si>
  <si>
    <t>N1-51</t>
  </si>
  <si>
    <t>N1-52</t>
  </si>
  <si>
    <t>A3.9</t>
  </si>
  <si>
    <t>N1NDC01CT101</t>
  </si>
  <si>
    <t>N1NDC01CT103</t>
  </si>
  <si>
    <t>Температура подшипника №1 ЭД сетевого насоса СН-1</t>
  </si>
  <si>
    <t>Температура подшипника №3 ЭД сетевого насоса СН-1</t>
  </si>
  <si>
    <t>N1NDC01CT105</t>
  </si>
  <si>
    <t>N1NDC01CE012</t>
  </si>
  <si>
    <t>N1NDC01CT102</t>
  </si>
  <si>
    <t>N1NDC01CT104</t>
  </si>
  <si>
    <t>N1NDC01CT106</t>
  </si>
  <si>
    <t>N1NDC01CT107</t>
  </si>
  <si>
    <t>Температура подшипника №2 ЭД сетевого насоса СН-1</t>
  </si>
  <si>
    <t>Температура подшипника №4 ЭД сетевого насоса СН-1</t>
  </si>
  <si>
    <t>Температура обмоток электродвигателя фаза V сетевого насоса СН-1</t>
  </si>
  <si>
    <t>Температура обмоток электродвигателя фаза W сетевого насоса СН-1</t>
  </si>
  <si>
    <t>N1NDC01CY001</t>
  </si>
  <si>
    <t>N1NDC01CY002</t>
  </si>
  <si>
    <t>N1NDC01CY003</t>
  </si>
  <si>
    <t>N1NDC01CY004</t>
  </si>
  <si>
    <t>N1NDC01CY005</t>
  </si>
  <si>
    <t>N1NDC01CY006</t>
  </si>
  <si>
    <t>N1NDC01CY007</t>
  </si>
  <si>
    <t>N1NDC01CY008</t>
  </si>
  <si>
    <t>N1NDC01CY009</t>
  </si>
  <si>
    <t>N1NDC01CY010</t>
  </si>
  <si>
    <t>N1NDC01CY011</t>
  </si>
  <si>
    <t>N1NDC01CY012</t>
  </si>
  <si>
    <t>N1NDC01AP001</t>
  </si>
  <si>
    <t>Температура обмоток электродвигателя фаза U сетевого насоса СН-1</t>
  </si>
  <si>
    <t>Ток ЭД сетевого насоса СН-1</t>
  </si>
  <si>
    <t>Электродвигатель сетевого насоса СН-1</t>
  </si>
  <si>
    <t>F0NDG01AP001</t>
  </si>
  <si>
    <t>F0NDG02AP001</t>
  </si>
  <si>
    <t>F0NDG03AP001</t>
  </si>
  <si>
    <t>F0NDG04AP001</t>
  </si>
  <si>
    <t>I секция РУ-6кВ Ячейка №2</t>
  </si>
  <si>
    <t>Соединительная коробка СК-1 СН-1</t>
  </si>
  <si>
    <t>Соединительная коробка СК-2 СН-1</t>
  </si>
  <si>
    <t>Соединительная коробка СК-3 СН-1</t>
  </si>
  <si>
    <t>N1-53</t>
  </si>
  <si>
    <t>N1-54</t>
  </si>
  <si>
    <t>N1-55</t>
  </si>
  <si>
    <t>N1-56</t>
  </si>
  <si>
    <t>N1-57</t>
  </si>
  <si>
    <t>Температура подшипника №1 ЭД сетевого насоса СН-2</t>
  </si>
  <si>
    <t>Соединительная коробка СК-1 СН-2</t>
  </si>
  <si>
    <t>Температура подшипника №2 ЭД сетевого насоса СН-2</t>
  </si>
  <si>
    <t>Температура подшипника №3 ЭД сетевого насоса СН-2</t>
  </si>
  <si>
    <t>Температура подшипника №4 ЭД сетевого насоса СН-2</t>
  </si>
  <si>
    <t>Температура обмоток электродвигателя фаза U сетевого насоса СН-2</t>
  </si>
  <si>
    <t>Соединительная коробка СК-2 СН-2</t>
  </si>
  <si>
    <t>Температура обмоток электродвигателя фаза V сетевого насоса СН-2</t>
  </si>
  <si>
    <t>Температура обмоток электродвигателя фаза W сетевого насоса СН-2</t>
  </si>
  <si>
    <t>Ток ЭД сетевого насоса СН-2</t>
  </si>
  <si>
    <t>Электродвигатель сетевого насоса СН-2</t>
  </si>
  <si>
    <t>Соединительная коробка СК-3 СН-2</t>
  </si>
  <si>
    <t>N1NDC02CT101</t>
  </si>
  <si>
    <t>N1NDC02CT102</t>
  </si>
  <si>
    <t>N1NDC02CT103</t>
  </si>
  <si>
    <t>N1NDC02CT104</t>
  </si>
  <si>
    <t>N1NDC02CT105</t>
  </si>
  <si>
    <t>N1NDC02CT106</t>
  </si>
  <si>
    <t>N1NDC02CT107</t>
  </si>
  <si>
    <t>N1NDC02CE012</t>
  </si>
  <si>
    <t>N1NDC02AP001</t>
  </si>
  <si>
    <t>N1NDC02CY001</t>
  </si>
  <si>
    <t>N1NDC02CY002</t>
  </si>
  <si>
    <t>N1NDC02CY003</t>
  </si>
  <si>
    <t>N1NDC02CY004</t>
  </si>
  <si>
    <t>N1NDC02CY005</t>
  </si>
  <si>
    <t>N1NDC02CY006</t>
  </si>
  <si>
    <t>N1NDC02CY007</t>
  </si>
  <si>
    <t>N1NDC02CY008</t>
  </si>
  <si>
    <t>N1NDC02CY009</t>
  </si>
  <si>
    <t>N1NDC02CY010</t>
  </si>
  <si>
    <t>N1NDC02CY011</t>
  </si>
  <si>
    <t>N1NDC02CY012</t>
  </si>
  <si>
    <t>A3.21</t>
  </si>
  <si>
    <t>A3.11</t>
  </si>
  <si>
    <t>I секция РУ-6кВ Ячейка №3</t>
  </si>
  <si>
    <t>N1NDC03CT101</t>
  </si>
  <si>
    <t>N1NDC03CT102</t>
  </si>
  <si>
    <t>N1NDC03CT103</t>
  </si>
  <si>
    <t>N1NDC03CT104</t>
  </si>
  <si>
    <t>N1NDC03CT105</t>
  </si>
  <si>
    <t>N1NDC03CT106</t>
  </si>
  <si>
    <t>N1NDC03CT107</t>
  </si>
  <si>
    <t>N1NDC03CE012</t>
  </si>
  <si>
    <t>N1NDC03AP001</t>
  </si>
  <si>
    <t>N1NDC03CY001</t>
  </si>
  <si>
    <t>N1NDC03CY002</t>
  </si>
  <si>
    <t>N1NDC03CY003</t>
  </si>
  <si>
    <t>N1NDC03CY004</t>
  </si>
  <si>
    <t>N1NDC03CY005</t>
  </si>
  <si>
    <t>N1NDC03CY006</t>
  </si>
  <si>
    <t>N1NDC03CY007</t>
  </si>
  <si>
    <t>N1NDC03CY008</t>
  </si>
  <si>
    <t>N1NDC03CY009</t>
  </si>
  <si>
    <t>N1NDC03CY010</t>
  </si>
  <si>
    <t>N1NDC03CY011</t>
  </si>
  <si>
    <t>N1NDC03CY012</t>
  </si>
  <si>
    <t>Температура подшипника №1 ЭД сетевого насоса СН-3</t>
  </si>
  <si>
    <t>Соединительная коробка СК-1 СН-3</t>
  </si>
  <si>
    <t>Температура подшипника №2 ЭД сетевого насоса СН-3</t>
  </si>
  <si>
    <t>Температура подшипника №3 ЭД сетевого насоса СН-3</t>
  </si>
  <si>
    <t>Температура подшипника №4 ЭД сетевого насоса СН-3</t>
  </si>
  <si>
    <t>Температура обмоток электродвигателя фаза U сетевого насоса СН-3</t>
  </si>
  <si>
    <t>Соединительная коробка СК-2 СН-3</t>
  </si>
  <si>
    <t>Температура обмоток электродвигателя фаза V сетевого насоса СН-3</t>
  </si>
  <si>
    <t>Температура обмоток электродвигателя фаза W сетевого насоса СН-3</t>
  </si>
  <si>
    <t>Ток ЭД сетевого насоса СН-3</t>
  </si>
  <si>
    <t>Электродвигатель сетевого насоса СН-3</t>
  </si>
  <si>
    <t>Соединительная коробка СК-3 СН-3</t>
  </si>
  <si>
    <t>N1-58</t>
  </si>
  <si>
    <t>N1-59</t>
  </si>
  <si>
    <t>N1-60</t>
  </si>
  <si>
    <t>N1-61</t>
  </si>
  <si>
    <t>N1-62</t>
  </si>
  <si>
    <t>A3.13</t>
  </si>
  <si>
    <t>II секция РУ-6кВ Ячейка №9</t>
  </si>
  <si>
    <t>Температура подшипника №1 ЭД сетевого насоса СН-4</t>
  </si>
  <si>
    <t>Соединительная коробка СК-1 СН-4</t>
  </si>
  <si>
    <t>Температура подшипника №2 ЭД сетевого насоса СН-4</t>
  </si>
  <si>
    <t>Температура подшипника №3 ЭД сетевого насоса СН-4</t>
  </si>
  <si>
    <t>Температура подшипника №4 ЭД сетевого насоса СН-4</t>
  </si>
  <si>
    <t>Температура обмоток электродвигателя фаза U сетевого насоса СН-4</t>
  </si>
  <si>
    <t>Соединительная коробка СК-2 СН-4</t>
  </si>
  <si>
    <t>Температура обмоток электродвигателя фаза V сетевого насоса СН-4</t>
  </si>
  <si>
    <t>Температура обмоток электродвигателя фаза W сетевого насоса СН-4</t>
  </si>
  <si>
    <t>Ток ЭД сетевого насоса СН-4</t>
  </si>
  <si>
    <t>Электродвигатель сетевого насоса СН-4</t>
  </si>
  <si>
    <t>Соединительная коробка СК-3 СН-4</t>
  </si>
  <si>
    <t>N1NDC04CT101</t>
  </si>
  <si>
    <t>N1NDC04CT102</t>
  </si>
  <si>
    <t>N1NDC04CT103</t>
  </si>
  <si>
    <t>N1NDC04CT104</t>
  </si>
  <si>
    <t>N1NDC04CT105</t>
  </si>
  <si>
    <t>N1NDC04CT106</t>
  </si>
  <si>
    <t>N1NDC04CT107</t>
  </si>
  <si>
    <t>N1NDC04CE012</t>
  </si>
  <si>
    <t>N1NDC04AP001</t>
  </si>
  <si>
    <t>N1NDC04CY001</t>
  </si>
  <si>
    <t>N1NDC04CY002</t>
  </si>
  <si>
    <t>N1NDC04CY003</t>
  </si>
  <si>
    <t>N1NDC04CY004</t>
  </si>
  <si>
    <t>N1NDC04CY005</t>
  </si>
  <si>
    <t>N1NDC04CY006</t>
  </si>
  <si>
    <t>N1NDC04CY007</t>
  </si>
  <si>
    <t>N1NDC04CY008</t>
  </si>
  <si>
    <t>N1NDC04CY009</t>
  </si>
  <si>
    <t>N1NDC04CY010</t>
  </si>
  <si>
    <t>N1NDC04CY011</t>
  </si>
  <si>
    <t>N1NDC04CY012</t>
  </si>
  <si>
    <t>N1-63</t>
  </si>
  <si>
    <t>N1-64</t>
  </si>
  <si>
    <t>N1-65</t>
  </si>
  <si>
    <t>N1-66</t>
  </si>
  <si>
    <t>N1-67</t>
  </si>
  <si>
    <t>A3.15</t>
  </si>
  <si>
    <t>II секция РУ-6кВ Ячейка №10</t>
  </si>
  <si>
    <t>N1-68</t>
  </si>
  <si>
    <t>Сигналы с ША ПЧВМ СН-1 - СН-4</t>
  </si>
  <si>
    <t>ША ПЧВМ СН-1 - СН-4</t>
  </si>
  <si>
    <t>E1-Eth1</t>
  </si>
  <si>
    <t>E2-Eth1</t>
  </si>
  <si>
    <t>N1-Eth1</t>
  </si>
  <si>
    <t>N2-Eth1</t>
  </si>
  <si>
    <t>E1-Eth2</t>
  </si>
  <si>
    <t>E2-Eth2</t>
  </si>
  <si>
    <t>N1-Eth2</t>
  </si>
  <si>
    <t>N2-Eth2</t>
  </si>
  <si>
    <t>N1SGA01CP001</t>
  </si>
  <si>
    <t>Давление воды после пожарных насосов. Датчик 1</t>
  </si>
  <si>
    <t>N1-ПТ2</t>
  </si>
  <si>
    <t>N1SGA01CP002</t>
  </si>
  <si>
    <t>Давление воды после пожарных насосов. Датчик 2</t>
  </si>
  <si>
    <t>N1-ПТ3</t>
  </si>
  <si>
    <t>ТОЛ-П-8У-2.7 кН</t>
  </si>
  <si>
    <t>Затвор дисковый Т-1 тепловывод "A"</t>
  </si>
  <si>
    <t>N1NDB01AA001</t>
  </si>
  <si>
    <t>N1-70</t>
  </si>
  <si>
    <t>Шкаф управления запорной арматурой ШУЗ (N1CDA01)</t>
  </si>
  <si>
    <t>Затвор дисковый Т-2 тепловывод "B"</t>
  </si>
  <si>
    <t>N1NDB02AA001</t>
  </si>
  <si>
    <t>N1-72</t>
  </si>
  <si>
    <t>Затвор дисковый Т-3 тепловывод "С"</t>
  </si>
  <si>
    <t>N1NDB03AA001</t>
  </si>
  <si>
    <t>N1-74</t>
  </si>
  <si>
    <t>Затвор дисковый Т-4 на подаче сетевой воды в ГИГ</t>
  </si>
  <si>
    <t>N1NDB10AA001</t>
  </si>
  <si>
    <t>Затвор дисковый Т-5 на выходе сетевой воды из ГИГ</t>
  </si>
  <si>
    <t>N1NDB10AA002</t>
  </si>
  <si>
    <t>Затвор дисковый Т-6 на трубопроводе помимо ГИГ</t>
  </si>
  <si>
    <t>N1NDB10AA003</t>
  </si>
  <si>
    <t>Затвор дисковый Т-7 на отключение здания теплообменников по сетевой воде</t>
  </si>
  <si>
    <t>N1NDB10AA004</t>
  </si>
  <si>
    <t>N1-76</t>
  </si>
  <si>
    <t>N1-78</t>
  </si>
  <si>
    <t>N1-80</t>
  </si>
  <si>
    <t>N1-82</t>
  </si>
  <si>
    <t>N1-84</t>
  </si>
  <si>
    <t>N1-86</t>
  </si>
  <si>
    <t>N1-88</t>
  </si>
  <si>
    <t>N1-90</t>
  </si>
  <si>
    <t>N1-92</t>
  </si>
  <si>
    <t>N1-94</t>
  </si>
  <si>
    <t>N1-96</t>
  </si>
  <si>
    <t>N1-98</t>
  </si>
  <si>
    <t>N1-100</t>
  </si>
  <si>
    <t>N1-102</t>
  </si>
  <si>
    <t>N1-104</t>
  </si>
  <si>
    <t>N1-106</t>
  </si>
  <si>
    <t>Затвор дисковый Т-8 на входе насосной группы №1</t>
  </si>
  <si>
    <t>N1NDB11AA001</t>
  </si>
  <si>
    <t>Затвор дисковый Т-9 на входе насосной группы №2</t>
  </si>
  <si>
    <t>N1NDB12AA001</t>
  </si>
  <si>
    <t>Затвор дисковый Т-10 на всасе СН №1</t>
  </si>
  <si>
    <t>N1NDC01AA001</t>
  </si>
  <si>
    <t>Затвор дисковый Т-11 на напоре СН №1</t>
  </si>
  <si>
    <t>N1NDC01AA002</t>
  </si>
  <si>
    <t>Затвор дисковый Т-12 на всасе СН №2</t>
  </si>
  <si>
    <t>N1NDC02AA001</t>
  </si>
  <si>
    <t>Затвор дисковый Т-13 на напоре СН №2</t>
  </si>
  <si>
    <t>N1NDC02AA002</t>
  </si>
  <si>
    <t>Затвор дисковый Т-14 на всасе СН №3</t>
  </si>
  <si>
    <t>N1NDC03AA001</t>
  </si>
  <si>
    <t>Затвор дисковый Т-15 на напоре СН №3</t>
  </si>
  <si>
    <t>N1NDC03AA002</t>
  </si>
  <si>
    <t>Затвор дисковый Т-16 на всасе СН №4</t>
  </si>
  <si>
    <t>N1NDC04AA001</t>
  </si>
  <si>
    <t>Затвор дисковый Т-17 на напоре СН №4</t>
  </si>
  <si>
    <t>N1NDC04AA002</t>
  </si>
  <si>
    <t>Затвор дисковый Т-18 на выходе насосной группы №1</t>
  </si>
  <si>
    <t>N1NDB11AA002</t>
  </si>
  <si>
    <t>Затвор дисковый Т-19 на выходе насосной группы №2</t>
  </si>
  <si>
    <t>N1NDB12AA002</t>
  </si>
  <si>
    <t>Затвор дисковый Т-20 на выходе сетевой воды из ТА-1</t>
  </si>
  <si>
    <t>N1NDD01AA002</t>
  </si>
  <si>
    <t>N1-108</t>
  </si>
  <si>
    <t>N1-110</t>
  </si>
  <si>
    <t>N1-112</t>
  </si>
  <si>
    <t>N1-114</t>
  </si>
  <si>
    <t>N1-116</t>
  </si>
  <si>
    <t>N1-118</t>
  </si>
  <si>
    <t>N1-120</t>
  </si>
  <si>
    <t>N1-122</t>
  </si>
  <si>
    <t>N1-124</t>
  </si>
  <si>
    <t>Затвор дисковый Т-21 на выходе сетевой воды из ТА-2</t>
  </si>
  <si>
    <t>N1NDD02AA002</t>
  </si>
  <si>
    <t>Затвор дисковый Т-22 на выходе сетевой воды из ТА-3</t>
  </si>
  <si>
    <t>N1NDD03AA002</t>
  </si>
  <si>
    <t>Затвор дисковый Т-23 на выходе сетевой воды из ТА-4</t>
  </si>
  <si>
    <t>N1NDD04AA002</t>
  </si>
  <si>
    <t>Затвор дисковый Т-24 на выходе сетевой воды из ТА-5</t>
  </si>
  <si>
    <t>N1NDD05AA002</t>
  </si>
  <si>
    <t>Затвор дисковый Т-25 на выходе сетевой воды из ТА-6</t>
  </si>
  <si>
    <t>N1NDD06AA002</t>
  </si>
  <si>
    <t>Затвор дисковый Т-26 на выходе сетевой воды из ТА-7</t>
  </si>
  <si>
    <t>N1NDD07AA002</t>
  </si>
  <si>
    <t>Затвор дисковый Т-27 на выходе сетевой воды из ТА-8</t>
  </si>
  <si>
    <t>N1NDD08AA002</t>
  </si>
  <si>
    <t>Затвор дисковый Т-28 на выходе сетевой воды из ТА-9</t>
  </si>
  <si>
    <t>N1NDD09AA002</t>
  </si>
  <si>
    <t>N1-126</t>
  </si>
  <si>
    <t>N1-128</t>
  </si>
  <si>
    <t>N1-130</t>
  </si>
  <si>
    <t>31X</t>
  </si>
  <si>
    <t>Затвор дисковый Т-29 тепловывод "A"</t>
  </si>
  <si>
    <t>N1NDA01AA001</t>
  </si>
  <si>
    <t>Затвор дисковый Т-30 тепловывод "B"</t>
  </si>
  <si>
    <t>N1NDA02AA001</t>
  </si>
  <si>
    <t>Затвор дисковый Т-31 тепловывод "C"</t>
  </si>
  <si>
    <t>N1NDA03AA001</t>
  </si>
  <si>
    <t>N1-132</t>
  </si>
  <si>
    <t>N1-134</t>
  </si>
  <si>
    <t>N1-136</t>
  </si>
  <si>
    <t>N1-138</t>
  </si>
  <si>
    <t>N1-140</t>
  </si>
  <si>
    <t>N1-142</t>
  </si>
  <si>
    <t>N1-144</t>
  </si>
  <si>
    <t>N1-146</t>
  </si>
  <si>
    <t>N1-148</t>
  </si>
  <si>
    <t>Затвор дисковый К-17 на выходе котловой воды из ТА-1</t>
  </si>
  <si>
    <t>N1NDD01AA004</t>
  </si>
  <si>
    <t>Затвор дисковый К-18 на выходе котловой воды из ТА-2</t>
  </si>
  <si>
    <t>N1NDD02AA004</t>
  </si>
  <si>
    <t>Затвор дисковый К-19 на выходе котловой воды из ТА-3</t>
  </si>
  <si>
    <t>N1NDD03AA004</t>
  </si>
  <si>
    <t>Затвор дисковый К-20 на выходе котловой воды из ТА-4</t>
  </si>
  <si>
    <t>N1NDD04AA004</t>
  </si>
  <si>
    <t>Затвор дисковый К-21 на выходе котловой воды из ТА-5</t>
  </si>
  <si>
    <t>N1NDD05AA004</t>
  </si>
  <si>
    <t>Затвор дисковый К-22 на выходе котловой воды из ТА-6</t>
  </si>
  <si>
    <t>N1NDD06AA004</t>
  </si>
  <si>
    <t>Затвор дисковый К-23 на выходе котловой воды из ТА-7</t>
  </si>
  <si>
    <t>N1NDD07AA004</t>
  </si>
  <si>
    <t>Затвор дисковый К-24 на выходе котловой воды из ТА-8</t>
  </si>
  <si>
    <t>N1NDD08AA004</t>
  </si>
  <si>
    <t>Затвор дисковый К-25 на выходе котловой воды из ТА-9</t>
  </si>
  <si>
    <t>N1NDD09AA004</t>
  </si>
  <si>
    <t>N1-150</t>
  </si>
  <si>
    <t>N1-152</t>
  </si>
  <si>
    <t>N1-154</t>
  </si>
  <si>
    <t>42X</t>
  </si>
  <si>
    <t>Затвор дисковый секционирующий Т-1С на входе сетевой воды в теплообменники</t>
  </si>
  <si>
    <t>N1NDB20AA001</t>
  </si>
  <si>
    <t>Затвор дисковый секционирующий Т-2С на выходе сетевой воды из теплообменников</t>
  </si>
  <si>
    <t>N1NDA10AA001</t>
  </si>
  <si>
    <t>Затвор дисковый зТА-0 помимо регуляторов расхода</t>
  </si>
  <si>
    <t>N1NDB23AA001</t>
  </si>
  <si>
    <t>Регулирующий клапан РДТА-1 на линии помимо теплообменников</t>
  </si>
  <si>
    <t>N1NDB21AA801</t>
  </si>
  <si>
    <t>N1-158</t>
  </si>
  <si>
    <t>N1-159</t>
  </si>
  <si>
    <t>44X</t>
  </si>
  <si>
    <t>Регулирующий клапан РДТА-2 на линии помимо теплообменников</t>
  </si>
  <si>
    <t>N1NDB22AA801</t>
  </si>
  <si>
    <t>N1-162</t>
  </si>
  <si>
    <t>N1-163</t>
  </si>
  <si>
    <t>45X</t>
  </si>
  <si>
    <t>Регулирующий клапан РД-79 аварийной подпитки сырой водой</t>
  </si>
  <si>
    <t>N1GAD11AA801</t>
  </si>
  <si>
    <t>N1-166</t>
  </si>
  <si>
    <t>N1-167</t>
  </si>
  <si>
    <t>46X</t>
  </si>
  <si>
    <t>Регулирующий клапан РД-80 на линии подпитки теплосети</t>
  </si>
  <si>
    <t>N1NDK10AA801</t>
  </si>
  <si>
    <t>N1-170</t>
  </si>
  <si>
    <t>N1-171</t>
  </si>
  <si>
    <t>N1-172</t>
  </si>
  <si>
    <t>N1NDE10AA002</t>
  </si>
  <si>
    <t>Затвор дисковый С-10 от аккумуляторной насосной</t>
  </si>
  <si>
    <t>Затвор дисковый С-71 на линии подпитки теплосети</t>
  </si>
  <si>
    <t>N1NDK10AA001</t>
  </si>
  <si>
    <t>N1-174</t>
  </si>
  <si>
    <t>49X</t>
  </si>
  <si>
    <t>Регулирующий клапан РД-75 от аккумуляторной насосной</t>
  </si>
  <si>
    <t>N1NDE10AA802</t>
  </si>
  <si>
    <t>N1-178</t>
  </si>
  <si>
    <t>N1-179</t>
  </si>
  <si>
    <t>50X</t>
  </si>
  <si>
    <t>N1-180</t>
  </si>
  <si>
    <t>51X</t>
  </si>
  <si>
    <t>Затвор дисковый секционирующий К-3С на входе котловой воды в теплообменники</t>
  </si>
  <si>
    <t>N1NDF10AA001</t>
  </si>
  <si>
    <t>N1-182</t>
  </si>
  <si>
    <t>52X</t>
  </si>
  <si>
    <t>N1NDG20AA001</t>
  </si>
  <si>
    <t>Затвор дисковый секционирующий К-4С на выходе котловой воды из теплообменников</t>
  </si>
  <si>
    <t>N1-184</t>
  </si>
  <si>
    <t>N1-ПТ5</t>
  </si>
  <si>
    <t>Давление воды до пожарных насосов ниже уставки. Датчик "сухого хода"</t>
  </si>
  <si>
    <t>N1CDA01GH001</t>
  </si>
  <si>
    <t>N1CJU01GH001</t>
  </si>
  <si>
    <t>N1CJU01GH003</t>
  </si>
  <si>
    <t>N1CJU01GH005</t>
  </si>
  <si>
    <t>N1CJU01GH006</t>
  </si>
  <si>
    <t>N1CJU01GH007</t>
  </si>
  <si>
    <t>N1CJU01GH008</t>
  </si>
  <si>
    <t>N1CJU01GH009</t>
  </si>
  <si>
    <t>E2CJU01GH001</t>
  </si>
  <si>
    <t>E2CJU01GH002</t>
  </si>
  <si>
    <t>E2CJU01GH003</t>
  </si>
  <si>
    <t>E2CJU01GH004</t>
  </si>
  <si>
    <t>E2CJU01GH005</t>
  </si>
  <si>
    <t>E2CJU01GH006</t>
  </si>
  <si>
    <t>E2CJU01GH007</t>
  </si>
  <si>
    <t>E2CJU01GH008</t>
  </si>
  <si>
    <t>E2CJU01GH009</t>
  </si>
  <si>
    <t>E1CJU01GH001</t>
  </si>
  <si>
    <t>E1CJU01GH002</t>
  </si>
  <si>
    <t>E1CJU01GH003</t>
  </si>
  <si>
    <t>E1CJU01GH004</t>
  </si>
  <si>
    <t>E1CJU01GH005</t>
  </si>
  <si>
    <t>E1CJU01GH006</t>
  </si>
  <si>
    <t>E1CJU01GH007</t>
  </si>
  <si>
    <t>E1CJU01GH008</t>
  </si>
  <si>
    <t>E1CJU01GH009</t>
  </si>
  <si>
    <t>F0CJU01GH001</t>
  </si>
  <si>
    <t>F0CJU01GH002</t>
  </si>
  <si>
    <t>F0CJU01GH003</t>
  </si>
  <si>
    <t>F0CJU01GH004</t>
  </si>
  <si>
    <t>F0CJU01GH005</t>
  </si>
  <si>
    <t>F0CJU01GH006</t>
  </si>
  <si>
    <t>F0CJU01GH007</t>
  </si>
  <si>
    <t>F0CJU01GH008</t>
  </si>
  <si>
    <t>F0CJU01GH009</t>
  </si>
  <si>
    <t>Шкаф пожаротушения ШУВН</t>
  </si>
  <si>
    <t>se0032</t>
  </si>
  <si>
    <t>N2-1</t>
  </si>
  <si>
    <t>N2</t>
  </si>
  <si>
    <t>Задвижка 9ПТА-1</t>
  </si>
  <si>
    <t>N2NDE11AA001</t>
  </si>
  <si>
    <t>Шкаф АСУ ТП НАБ (N2CJU01)</t>
  </si>
  <si>
    <t>Шкаф Ш-2 (N2CDA01GH002)</t>
  </si>
  <si>
    <t>N2-4</t>
  </si>
  <si>
    <t>Задвижка 10ПТА-1</t>
  </si>
  <si>
    <t>N2NDE11AA002</t>
  </si>
  <si>
    <t>Задвижка 3ПТА</t>
  </si>
  <si>
    <t>N2NDE20AA002</t>
  </si>
  <si>
    <t>N2-7</t>
  </si>
  <si>
    <t>N2-10</t>
  </si>
  <si>
    <t>Шаровый кран 4ПТА-1 на всасе насоса</t>
  </si>
  <si>
    <t>N2NDE01AA001</t>
  </si>
  <si>
    <t>se0033</t>
  </si>
  <si>
    <t>Шаровый кран 5ПТА-1 на напоре насоса</t>
  </si>
  <si>
    <t>N2NDE01AA002</t>
  </si>
  <si>
    <t>N2-13</t>
  </si>
  <si>
    <t>Шаровый кран 4ПТА-2 на всасе насоса</t>
  </si>
  <si>
    <t>N2NDE02AA001</t>
  </si>
  <si>
    <t>N2-16</t>
  </si>
  <si>
    <t>N2-19</t>
  </si>
  <si>
    <t>Шаровый кран 5ПТА-2 на напоре насоса</t>
  </si>
  <si>
    <t>N2NDE02AA002</t>
  </si>
  <si>
    <t>N2-26</t>
  </si>
  <si>
    <t>N2-25</t>
  </si>
  <si>
    <t>Регулирующий клапан РД0</t>
  </si>
  <si>
    <t>N2NDE20AA801</t>
  </si>
  <si>
    <t>Регулирующий клапан РД1</t>
  </si>
  <si>
    <t>N2NDE10AA801</t>
  </si>
  <si>
    <t>N2-30</t>
  </si>
  <si>
    <t>N2-31</t>
  </si>
  <si>
    <t>Шкаф Ш-3 (N2CDA01GH003)</t>
  </si>
  <si>
    <t>Задвижка 9ПТА-2</t>
  </si>
  <si>
    <t>N2-32</t>
  </si>
  <si>
    <t>N2NDE12AA001</t>
  </si>
  <si>
    <t>Задвижка 10ПТА-2</t>
  </si>
  <si>
    <t>N2NDE12AA002</t>
  </si>
  <si>
    <t>N2-35</t>
  </si>
  <si>
    <t>N2-38</t>
  </si>
  <si>
    <t>Затвор дисковый 11ПТА</t>
  </si>
  <si>
    <t>N2NDE20AA001</t>
  </si>
  <si>
    <t>N2-41</t>
  </si>
  <si>
    <t>Затвор дисковый 12ПТА</t>
  </si>
  <si>
    <t>N2NDE10AA001</t>
  </si>
  <si>
    <t>N2-44</t>
  </si>
  <si>
    <t>N2-47</t>
  </si>
  <si>
    <t>N2-50</t>
  </si>
  <si>
    <t>N2-53</t>
  </si>
  <si>
    <t>Шаровый кран 4ПТА-3 на всасе насоса</t>
  </si>
  <si>
    <t>N2NDE03AA001</t>
  </si>
  <si>
    <t>N2NDE03AA002</t>
  </si>
  <si>
    <t>Шаровый кран 5ПТА-3 на напоре насоса</t>
  </si>
  <si>
    <t>Шаровый кран 4ПТА-4 на всасе насоса</t>
  </si>
  <si>
    <t>Шаровый кран 5ПТА-4 на напоре насоса</t>
  </si>
  <si>
    <t>N2NDE04AA001</t>
  </si>
  <si>
    <t>N2NDE04AA002</t>
  </si>
  <si>
    <t>N2-56</t>
  </si>
  <si>
    <t>Давление в напорном коллекторе НАБ</t>
  </si>
  <si>
    <t>N2NDE10CP001</t>
  </si>
  <si>
    <t>Давление в коллекторе всаса НАБ</t>
  </si>
  <si>
    <t>N2NDE20CP001</t>
  </si>
  <si>
    <t>N2-57</t>
  </si>
  <si>
    <t>Давление на всасе НАБ-1</t>
  </si>
  <si>
    <t>N2NDE01CP001</t>
  </si>
  <si>
    <t>Давление на напоре НАБ-1</t>
  </si>
  <si>
    <t>N2NDE01CP002</t>
  </si>
  <si>
    <t>N2-58</t>
  </si>
  <si>
    <t>N2-59</t>
  </si>
  <si>
    <t>N2-60</t>
  </si>
  <si>
    <t>N2-61</t>
  </si>
  <si>
    <t>Давление на всасе НАБ-2</t>
  </si>
  <si>
    <t>Давление на напоре НАБ-2</t>
  </si>
  <si>
    <t>N2NDE02CP001</t>
  </si>
  <si>
    <t>N2NDE02CP002</t>
  </si>
  <si>
    <t>Давление на всасе НАБ-3</t>
  </si>
  <si>
    <t>Давление на напоре НАБ-3</t>
  </si>
  <si>
    <t>Давление на всасе НАБ-4</t>
  </si>
  <si>
    <t>Давление на напоре НАБ-4</t>
  </si>
  <si>
    <t>N2-62</t>
  </si>
  <si>
    <t>N2-63</t>
  </si>
  <si>
    <t>N2-64</t>
  </si>
  <si>
    <t>N2-65</t>
  </si>
  <si>
    <t>N2NDE03CP001</t>
  </si>
  <si>
    <t>N2NDE03CP002</t>
  </si>
  <si>
    <t>N2NDE04CP001</t>
  </si>
  <si>
    <t>N2NDE04CP002</t>
  </si>
  <si>
    <t>N2-66</t>
  </si>
  <si>
    <t>N2-67</t>
  </si>
  <si>
    <t>N2-68</t>
  </si>
  <si>
    <t>Температура воды от аккумуляторных баков</t>
  </si>
  <si>
    <t>N2NDE20CT001</t>
  </si>
  <si>
    <t>Температура воздуха в машзале НАБ</t>
  </si>
  <si>
    <t>N2UNC01CT001</t>
  </si>
  <si>
    <t>Температура воздуха в помещении управления НАБ</t>
  </si>
  <si>
    <t>N2UNC02CT001</t>
  </si>
  <si>
    <t>N2CUB01 DO</t>
  </si>
  <si>
    <t>Управляющие сигналы в ШУ НАБ-1, НАБ-2</t>
  </si>
  <si>
    <t>se0034</t>
  </si>
  <si>
    <t>N2-69</t>
  </si>
  <si>
    <t>ШУ насосами аккумулирующих баков НАБ-1, НАБ-2 (N2CUB01)</t>
  </si>
  <si>
    <t>TmDo10+</t>
  </si>
  <si>
    <t>TmDo10-</t>
  </si>
  <si>
    <t>TmDo9+</t>
  </si>
  <si>
    <t>TmDo9-</t>
  </si>
  <si>
    <t>TmDo8+</t>
  </si>
  <si>
    <t>TmDo7+</t>
  </si>
  <si>
    <t>TmDo6+</t>
  </si>
  <si>
    <t>TmDo5+</t>
  </si>
  <si>
    <t>TmDo4+</t>
  </si>
  <si>
    <t>TmDo4-</t>
  </si>
  <si>
    <t>TmDo5-</t>
  </si>
  <si>
    <t>TmDo6-</t>
  </si>
  <si>
    <t>TmDo7-</t>
  </si>
  <si>
    <t>TmDo8-</t>
  </si>
  <si>
    <t>WcpDo4+</t>
  </si>
  <si>
    <t>WcpDo4-</t>
  </si>
  <si>
    <t>WcpDo5+</t>
  </si>
  <si>
    <t>WcpDo5-</t>
  </si>
  <si>
    <t>WcpDo6+</t>
  </si>
  <si>
    <t>WcpDo6-</t>
  </si>
  <si>
    <t>WcpDo7+</t>
  </si>
  <si>
    <t>WcpDo7-</t>
  </si>
  <si>
    <t>WcpDo8+</t>
  </si>
  <si>
    <t>WcpDo8-</t>
  </si>
  <si>
    <t>WcpDo9+</t>
  </si>
  <si>
    <t>WcpDo9-</t>
  </si>
  <si>
    <t>WcpDo10-</t>
  </si>
  <si>
    <t>WcpDo10+</t>
  </si>
  <si>
    <t>KLcp10</t>
  </si>
  <si>
    <t>WcpKl1-</t>
  </si>
  <si>
    <t>WcpKl2-</t>
  </si>
  <si>
    <t>WcpKl3-</t>
  </si>
  <si>
    <t>WcpKl4-</t>
  </si>
  <si>
    <t>WcpKl10-</t>
  </si>
  <si>
    <t>WcpKl10+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</si>
  <si>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</si>
  <si>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</si>
  <si>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</si>
  <si>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</si>
  <si>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</si>
  <si>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</si>
  <si>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</si>
  <si>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</si>
  <si>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</si>
  <si>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</si>
  <si>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</si>
  <si>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</si>
  <si>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</si>
  <si>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</si>
  <si>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</si>
  <si>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</si>
  <si>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1-17</t>
  </si>
  <si>
    <t>1-18</t>
  </si>
  <si>
    <t>1-19</t>
  </si>
  <si>
    <t>1-20</t>
  </si>
  <si>
    <t>Desc3</t>
  </si>
  <si>
    <t>Desc4</t>
  </si>
  <si>
    <t>Desc5</t>
  </si>
  <si>
    <t>Desc6</t>
  </si>
  <si>
    <t>Desc7</t>
  </si>
  <si>
    <t>Desc8</t>
  </si>
  <si>
    <t>Desc9</t>
  </si>
  <si>
    <t>Desc10</t>
  </si>
  <si>
    <t>Пуск насосной группы НАБ-1, НАБ-2</t>
  </si>
  <si>
    <t>Стоп насосной группы НАБ-1, НАБ-2</t>
  </si>
  <si>
    <t>Давление на всасе НАБ-1 норма</t>
  </si>
  <si>
    <t>Давление на напоре НАБ-1 низко</t>
  </si>
  <si>
    <t>Давление на всасе НАБ-2 норма</t>
  </si>
  <si>
    <t>Давление на напоре НАБ-2 низко</t>
  </si>
  <si>
    <t>Шаровый кран 5ПТА-1 на напоре насоса закрыт</t>
  </si>
  <si>
    <t>Шаровый кран 5ПТА-2 на напоре насоса закрыт</t>
  </si>
  <si>
    <t>Технологическая защита НАБ-1 сработала</t>
  </si>
  <si>
    <t>Технологическая защита НАБ-2 сработала</t>
  </si>
  <si>
    <t>Tpp15</t>
  </si>
  <si>
    <t>Tpp16</t>
  </si>
  <si>
    <t>Tpp17</t>
  </si>
  <si>
    <t>Tpp18</t>
  </si>
  <si>
    <t>Tpp19</t>
  </si>
  <si>
    <t>Tpp20</t>
  </si>
  <si>
    <t>N2CUB01 DI</t>
  </si>
  <si>
    <t>Контрольные сигналы в ШУ НАБ-1, НАБ-2</t>
  </si>
  <si>
    <t>se0035</t>
  </si>
  <si>
    <t>N2-70</t>
  </si>
  <si>
    <t>Насос НАБ-1 Включен</t>
  </si>
  <si>
    <t>Насос НАБ-2 Включен</t>
  </si>
  <si>
    <t>Насос НАБ-1 Отключен</t>
  </si>
  <si>
    <t>Насос НАБ-2 Отключен</t>
  </si>
  <si>
    <t>1-21</t>
  </si>
  <si>
    <t>1-22</t>
  </si>
  <si>
    <t>1-23</t>
  </si>
  <si>
    <t>1-24</t>
  </si>
  <si>
    <t>WcpKl8</t>
  </si>
  <si>
    <t>1-25</t>
  </si>
  <si>
    <t>1-26</t>
  </si>
  <si>
    <t>1-27</t>
  </si>
  <si>
    <t>1-28</t>
  </si>
  <si>
    <t>Цифровые сигналы в ШУ НАБ-1, НАБ-2</t>
  </si>
  <si>
    <t>N2CUB01 MB</t>
  </si>
  <si>
    <t>1-A</t>
  </si>
  <si>
    <t>1-B</t>
  </si>
  <si>
    <t>1-G</t>
  </si>
  <si>
    <t>XT6</t>
  </si>
  <si>
    <t>A+</t>
  </si>
  <si>
    <t>B-</t>
  </si>
  <si>
    <t>GND</t>
  </si>
  <si>
    <t>Управляющие сигналы в ШУ НАБ-3, НАБ-4</t>
  </si>
  <si>
    <t>Контрольные сигналы в ШУ НАБ-3, НАБ-4</t>
  </si>
  <si>
    <t>Цифровые сигналы в ШУ НАБ-3, НАБ-4</t>
  </si>
  <si>
    <t>N2CUB02 DO</t>
  </si>
  <si>
    <t>N2CUB02 DI</t>
  </si>
  <si>
    <t>N2CUB02 MB</t>
  </si>
  <si>
    <t>N2-72</t>
  </si>
  <si>
    <t>N2-73</t>
  </si>
  <si>
    <t>N2-74</t>
  </si>
  <si>
    <t>N2-71</t>
  </si>
  <si>
    <t>Насос НАБ-3 Включен</t>
  </si>
  <si>
    <t>Насос НАБ-3 Отключен</t>
  </si>
  <si>
    <t>ШУ насосами аккумулирующих баков НАБ-3, НАБ-4 (N2CUB01)</t>
  </si>
  <si>
    <t>Насос НАБ-4 Включен</t>
  </si>
  <si>
    <t>Насос НАБ-4 Отключен</t>
  </si>
  <si>
    <t>Давление на всасе НАБ-4 норма</t>
  </si>
  <si>
    <t>Давление на напоре НАБ-4 низко</t>
  </si>
  <si>
    <t>Технологическая защита НАБ-4 сработала</t>
  </si>
  <si>
    <t>Пуск насосной группы НАБ-3, НАБ-4</t>
  </si>
  <si>
    <t>Стоп насосной группы НАБ-3, НАБ-4</t>
  </si>
  <si>
    <t>Давление на всасе НАБ-3 норма</t>
  </si>
  <si>
    <t>Давление на напоре НАБ-3 низко</t>
  </si>
  <si>
    <t>Технологическая защита НАБ-3 сработала</t>
  </si>
  <si>
    <t>Уровень в АБ№1</t>
  </si>
  <si>
    <t>N2NDE11CL001</t>
  </si>
  <si>
    <t>N2-75</t>
  </si>
  <si>
    <t>Уровень в АБ№2</t>
  </si>
  <si>
    <t>N2NDE12CL001</t>
  </si>
  <si>
    <t>N2-76</t>
  </si>
  <si>
    <t>Уровень герметизирующей жидкости в резервуаре хранения</t>
  </si>
  <si>
    <t>N2NDV10CL001</t>
  </si>
  <si>
    <t>N2-77</t>
  </si>
  <si>
    <t>Расход воды на заполнение аккумуляторных баков</t>
  </si>
  <si>
    <t>N2NDE10CF001</t>
  </si>
  <si>
    <t>ЭБ ультразвукового расходомера US-800</t>
  </si>
  <si>
    <t>se0036</t>
  </si>
  <si>
    <t>N2-80</t>
  </si>
  <si>
    <t>Шкаф расходомера (N2CFQ01)</t>
  </si>
  <si>
    <t>XS3</t>
  </si>
  <si>
    <t>ch1</t>
  </si>
  <si>
    <t>chCom</t>
  </si>
  <si>
    <t>ch2</t>
  </si>
  <si>
    <t>N2NDE10CF002</t>
  </si>
  <si>
    <t>Расход воды на подпитку теплосети от аккумуляторных баков</t>
  </si>
  <si>
    <t>Неисправность шкафа ввода Ш-1 сборки задвижек</t>
  </si>
  <si>
    <t>N2CDA01GH001</t>
  </si>
  <si>
    <t>N2-78</t>
  </si>
  <si>
    <t>Сборка задвижек НАБ. Шкаф ввода Ш-1 (N2CDA01GH001)</t>
  </si>
  <si>
    <t>A3.19</t>
  </si>
  <si>
    <t>A3.6</t>
  </si>
  <si>
    <t>A3.10</t>
  </si>
  <si>
    <t>A3.12</t>
  </si>
  <si>
    <t>A3.14</t>
  </si>
  <si>
    <t>A3.43</t>
  </si>
  <si>
    <t>A3.44</t>
  </si>
  <si>
    <t>A3.45</t>
  </si>
  <si>
    <t>A3.26</t>
  </si>
  <si>
    <t>А3.33</t>
  </si>
  <si>
    <t>F0-F1UZ</t>
  </si>
  <si>
    <t>F0-F2UZ</t>
  </si>
  <si>
    <t>F0-F3UZ</t>
  </si>
  <si>
    <t>F0-F4UZ</t>
  </si>
  <si>
    <t>F0-F5UZ</t>
  </si>
  <si>
    <t>F0-F6UZ</t>
  </si>
  <si>
    <t>F0-F7UZ</t>
  </si>
  <si>
    <t>F0-FTM1</t>
  </si>
  <si>
    <t>F0-FTM2</t>
  </si>
  <si>
    <t>F0-K20</t>
  </si>
  <si>
    <t>F0-K26</t>
  </si>
  <si>
    <t>F0-K33</t>
  </si>
  <si>
    <t>F0-K38</t>
  </si>
  <si>
    <t>F0-K41</t>
  </si>
  <si>
    <t>F0-K44</t>
  </si>
  <si>
    <t>F0-RS1</t>
  </si>
  <si>
    <t>K11</t>
  </si>
  <si>
    <t>K12</t>
  </si>
  <si>
    <t>K13</t>
  </si>
  <si>
    <t>K14</t>
  </si>
  <si>
    <t>K20</t>
  </si>
  <si>
    <t>K16</t>
  </si>
  <si>
    <t>K21</t>
  </si>
  <si>
    <t>K18</t>
  </si>
  <si>
    <t>K22</t>
  </si>
  <si>
    <t>K19</t>
  </si>
  <si>
    <t>K23</t>
  </si>
  <si>
    <t>K15</t>
  </si>
  <si>
    <t>K24</t>
  </si>
  <si>
    <t>K17</t>
  </si>
  <si>
    <t>K4</t>
  </si>
  <si>
    <t>K8</t>
  </si>
  <si>
    <t>K10</t>
  </si>
  <si>
    <t>F0-G1</t>
  </si>
  <si>
    <t>F0-G2</t>
  </si>
  <si>
    <t>F1-1</t>
  </si>
  <si>
    <t>F1-2</t>
  </si>
  <si>
    <t>F1-3</t>
  </si>
  <si>
    <t>F1-4</t>
  </si>
  <si>
    <t>F2-3</t>
  </si>
  <si>
    <t>F2-4</t>
  </si>
  <si>
    <t>F3-1</t>
  </si>
  <si>
    <t>F3-2</t>
  </si>
  <si>
    <t>F3-3</t>
  </si>
  <si>
    <t>F3-4</t>
  </si>
  <si>
    <t>F4-1</t>
  </si>
  <si>
    <t>F4-2</t>
  </si>
  <si>
    <t>F4-3</t>
  </si>
  <si>
    <t>F4-4</t>
  </si>
  <si>
    <t>F5-1</t>
  </si>
  <si>
    <t>F5-2</t>
  </si>
  <si>
    <t>F5-3</t>
  </si>
  <si>
    <t>F5-4</t>
  </si>
  <si>
    <t>F6-1</t>
  </si>
  <si>
    <t>F6-2</t>
  </si>
  <si>
    <t>F6-3</t>
  </si>
  <si>
    <t>F6-4</t>
  </si>
  <si>
    <t>F7-1</t>
  </si>
  <si>
    <t>F7-2</t>
  </si>
  <si>
    <t>F7-3</t>
  </si>
  <si>
    <t>F7-4</t>
  </si>
  <si>
    <t>F8-1</t>
  </si>
  <si>
    <t>F8-2</t>
  </si>
  <si>
    <t>F8-3</t>
  </si>
  <si>
    <t>F8-4</t>
  </si>
  <si>
    <t>F1-10</t>
  </si>
  <si>
    <t>F1-11</t>
  </si>
  <si>
    <t>F1-12</t>
  </si>
  <si>
    <t>F2-10</t>
  </si>
  <si>
    <t>F2-11</t>
  </si>
  <si>
    <t>F2-12</t>
  </si>
  <si>
    <t>F3-10</t>
  </si>
  <si>
    <t>F3-11</t>
  </si>
  <si>
    <t>F3-12</t>
  </si>
  <si>
    <t>F4-10</t>
  </si>
  <si>
    <t>F4-11</t>
  </si>
  <si>
    <t>F4-12</t>
  </si>
  <si>
    <t>F5-10</t>
  </si>
  <si>
    <t>F5-11</t>
  </si>
  <si>
    <t>F5-12</t>
  </si>
  <si>
    <t>F6-10</t>
  </si>
  <si>
    <t>F6-11</t>
  </si>
  <si>
    <t>F6-12</t>
  </si>
  <si>
    <t>F7-10</t>
  </si>
  <si>
    <t>F7-11</t>
  </si>
  <si>
    <t>F7-12</t>
  </si>
  <si>
    <t>F8-10</t>
  </si>
  <si>
    <t>F8-11</t>
  </si>
  <si>
    <t>F8-12</t>
  </si>
  <si>
    <t>F0-G8</t>
  </si>
  <si>
    <t>F0-G13</t>
  </si>
  <si>
    <t>F0-G18</t>
  </si>
  <si>
    <t>K9</t>
  </si>
  <si>
    <t>F0-УУГ1</t>
  </si>
  <si>
    <t>XT30</t>
  </si>
  <si>
    <t>XT42</t>
  </si>
  <si>
    <t>se0037</t>
  </si>
  <si>
    <t>?</t>
  </si>
  <si>
    <t>Z0CJU01GH001</t>
  </si>
  <si>
    <t>Z0CJU01GH002</t>
  </si>
  <si>
    <t>Z0CJU01GH003</t>
  </si>
  <si>
    <t>Z0CJU01GH004</t>
  </si>
  <si>
    <t>Z0CJU01GH005</t>
  </si>
  <si>
    <t>Z0CJU01GH009</t>
  </si>
  <si>
    <t>Z0</t>
  </si>
  <si>
    <t>Питание ввода №1 в норме (ВК)</t>
  </si>
  <si>
    <t>Питание ввода №2 в норме (ВК)</t>
  </si>
  <si>
    <t>Ввод 1 включен (ВК)</t>
  </si>
  <si>
    <t>Ввод 2 включен (ВК)</t>
  </si>
  <si>
    <t>Питание ИБП в норме (ВК)</t>
  </si>
  <si>
    <t>Питание цепей внешних сигналов включено (ВК)</t>
  </si>
  <si>
    <t>Питание цепей внутренних сигналов включено (ВК)</t>
  </si>
  <si>
    <t>Питание датчиков 220В включено (ВК)</t>
  </si>
  <si>
    <t>Дверь шкафа открыта (ВК)</t>
  </si>
  <si>
    <t>Питание ввода №1 в норме (Серв 1)</t>
  </si>
  <si>
    <t>Питание ввода №2 в норме (Серв 1)</t>
  </si>
  <si>
    <t>Ввод 1 включен (Серв 1)</t>
  </si>
  <si>
    <t>Ввод 2 включен (Серв 1)</t>
  </si>
  <si>
    <t>Питание ИБП в норме (Серв 1)</t>
  </si>
  <si>
    <t>Дверь шкафа открыта (Серв 1)</t>
  </si>
  <si>
    <t>Питание ввода №1 в норме (Серв 2)</t>
  </si>
  <si>
    <t>Питание ввода №2 в норме (Серв 2)</t>
  </si>
  <si>
    <t>Ввод 1 включен (Серв 2)</t>
  </si>
  <si>
    <t>Ввод 2 включен (Серв 2)</t>
  </si>
  <si>
    <t>Питание ИБП в норме (Серв 2)</t>
  </si>
  <si>
    <t>Дверь шкафа открыта (Серв 2)</t>
  </si>
  <si>
    <t>Z0CJU02GH001</t>
  </si>
  <si>
    <t>Z0CJU02GH002</t>
  </si>
  <si>
    <t>Z0CJU02GH003</t>
  </si>
  <si>
    <t>Z0CJU02GH004</t>
  </si>
  <si>
    <t>Z0CJU02GH005</t>
  </si>
  <si>
    <t>Z0CJU02GH009</t>
  </si>
  <si>
    <t>N2CJU01GH001</t>
  </si>
  <si>
    <t>N2CJU01GH003</t>
  </si>
  <si>
    <t>N2CJU01GH005</t>
  </si>
  <si>
    <t>N2CJU01GH006</t>
  </si>
  <si>
    <t>N2CJU01GH007</t>
  </si>
  <si>
    <t>N2CJU01GH008</t>
  </si>
  <si>
    <t>N2CJU01GH009</t>
  </si>
  <si>
    <t>Питание ввода №1 в норме (НАБ)</t>
  </si>
  <si>
    <t>Ввод 1 включен (НАБ)</t>
  </si>
  <si>
    <t>Питание ИБП в норме (НАБ)</t>
  </si>
  <si>
    <t>Питание цепей внешних сигналов включено (НАБ)</t>
  </si>
  <si>
    <t>Питание цепей внутренних сигналов включено (НАБ)</t>
  </si>
  <si>
    <t>Питание датчиков 220В включено (НАБ)</t>
  </si>
  <si>
    <t>Дверь шкафа открыта (НАБ)</t>
  </si>
  <si>
    <t>Дверь шкафа открыта (Зд)</t>
  </si>
  <si>
    <t>Питание датчиков 220В включено (Зд)</t>
  </si>
  <si>
    <t>Питание цепей внутренних сигналов включено (Зд)</t>
  </si>
  <si>
    <t>Питание цепей внешних сигналов включено (Зд)</t>
  </si>
  <si>
    <t>Питание ИБП в норме (Зд)</t>
  </si>
  <si>
    <t>Ввод 1 включен (Зд)</t>
  </si>
  <si>
    <t>Питание ввода №1 в норме (Зд)</t>
  </si>
  <si>
    <t>Питание ввода №1 в норме (ГРП-2)</t>
  </si>
  <si>
    <t>Питание ввода №2 в норме (ГРП-2)</t>
  </si>
  <si>
    <t>Ввод 1 включен (ГРП-2)</t>
  </si>
  <si>
    <t>Ввод 2 включен (ГРП-2)</t>
  </si>
  <si>
    <t>Питание ИБП в норме (ГРП-2)</t>
  </si>
  <si>
    <t>Питание цепей внешних сигналов включено (ГРП-2)</t>
  </si>
  <si>
    <t>Питание цепей внутренних сигналов включено (ГРП-2)</t>
  </si>
  <si>
    <t>Питание датчиков 220В включено (ГРП-2)</t>
  </si>
  <si>
    <t>Дверь шкафа открыта (ГРП-2)</t>
  </si>
  <si>
    <t>Питание ввода №1 в норме (ГРП-1)</t>
  </si>
  <si>
    <t>Питание ввода №2 в норме (ГРП-1)</t>
  </si>
  <si>
    <t>Ввод 1 включен (ГРП-1)</t>
  </si>
  <si>
    <t>Ввод 2 включен (ГРП-1)</t>
  </si>
  <si>
    <t>Питание ИБП в норме (ГРП-1)</t>
  </si>
  <si>
    <t>Питание цепей внешних сигналов включено (ГРП-1)</t>
  </si>
  <si>
    <t>Питание цепей внутренних сигналов включено (ГРП-1)</t>
  </si>
  <si>
    <t>Питание датчиков 220В включено (ГРП-1)</t>
  </si>
  <si>
    <t>Дверь шкафа открыта (ГРП-1)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</si>
</sst>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8"/>
      <name val="Calibri"/>
      <family val="2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4" fillId="0" borderId="0" xfId="0" applyFont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2" xfId="0" applyFill="1" applyBorder="1"/>
    <xf numFmtId="0" fontId="0" fillId="0" borderId="3" xfId="0" applyBorder="1"/>
    <xf numFmtId="0" fontId="0" fillId="0" borderId="4" xfId="0" applyBorder="1" applyAlignment="1">
      <alignment horizontal="left"/>
    </xf>
    <xf numFmtId="1" fontId="0" fillId="0" borderId="5" xfId="0" applyNumberFormat="1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/>
    </xf>
    <xf numFmtId="1" fontId="0" fillId="0" borderId="0" xfId="0" applyNumberFormat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  <xf numFmtId="1" fontId="0" fillId="0" borderId="10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left"/>
    </xf>
    <xf numFmtId="1" fontId="0" fillId="0" borderId="13" xfId="0" applyNumberFormat="1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0" fillId="0" borderId="4" xfId="0" applyBorder="1"/>
    <xf numFmtId="0" fontId="0" fillId="2" borderId="15" xfId="0" applyFill="1" applyBorder="1"/>
    <xf numFmtId="0" fontId="0" fillId="0" borderId="7" xfId="0" applyBorder="1"/>
    <xf numFmtId="0" fontId="0" fillId="0" borderId="9" xfId="0" applyBorder="1"/>
    <xf numFmtId="0" fontId="0" fillId="0" borderId="0" xfId="0" applyAlignment="1">
      <alignment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2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" fontId="0" fillId="0" borderId="5" xfId="0" applyNumberFormat="1" applyBorder="1"/>
    <xf numFmtId="1" fontId="0" fillId="0" borderId="13" xfId="0" applyNumberFormat="1" applyBorder="1"/>
    <xf numFmtId="1" fontId="0" fillId="0" borderId="10" xfId="0" applyNumberFormat="1" applyBorder="1"/>
    <xf numFmtId="0" fontId="0" fillId="0" borderId="29" xfId="0" applyBorder="1"/>
    <xf numFmtId="0" fontId="0" fillId="0" borderId="28" xfId="0" applyBorder="1"/>
    <xf numFmtId="0" fontId="0" fillId="0" borderId="30" xfId="0" applyBorder="1"/>
    <xf numFmtId="0" fontId="3" fillId="0" borderId="0" xfId="0" applyFont="1"/>
    <xf numFmtId="0" fontId="0" fillId="0" borderId="10" xfId="0" applyBorder="1" applyAlignment="1">
      <alignment wrapText="1"/>
    </xf>
    <xf numFmtId="0" fontId="3" fillId="0" borderId="5" xfId="0" applyFont="1" applyBorder="1"/>
    <xf numFmtId="0" fontId="0" fillId="3" borderId="0" xfId="0" applyFill="1"/>
    <xf numFmtId="0" fontId="0" fillId="0" borderId="5" xfId="0" quotePrefix="1" applyBorder="1"/>
    <xf numFmtId="1" fontId="0" fillId="0" borderId="0" xfId="0" applyNumberFormat="1"/>
    <xf numFmtId="0" fontId="0" fillId="0" borderId="5" xfId="0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4" borderId="0" xfId="0" applyFill="1"/>
    <xf numFmtId="0" fontId="0" fillId="0" borderId="12" xfId="0" applyBorder="1" applyAlignment="1">
      <alignment wrapText="1"/>
    </xf>
    <xf numFmtId="0" fontId="1" fillId="0" borderId="0" xfId="0" applyFont="1"/>
    <xf numFmtId="0" fontId="0" fillId="0" borderId="10" xfId="0" applyBorder="1" applyAlignment="1">
      <alignment horizontal="center"/>
    </xf>
    <xf numFmtId="49" fontId="0" fillId="0" borderId="5" xfId="0" applyNumberFormat="1" applyBorder="1"/>
    <xf numFmtId="49" fontId="0" fillId="0" borderId="13" xfId="0" applyNumberFormat="1" applyBorder="1"/>
    <xf numFmtId="0" fontId="0" fillId="0" borderId="2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0" xfId="0" applyBorder="1" applyAlignment="1">
      <alignment horizontal="right"/>
    </xf>
    <xf numFmtId="0" fontId="0" fillId="0" borderId="13" xfId="0" applyBorder="1" applyAlignment="1">
      <alignment horizontal="right"/>
    </xf>
    <xf numFmtId="1" fontId="0" fillId="0" borderId="5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1" fontId="0" fillId="0" borderId="10" xfId="0" applyNumberFormat="1" applyBorder="1" applyAlignment="1">
      <alignment horizontal="right"/>
    </xf>
    <xf numFmtId="0" fontId="0" fillId="0" borderId="5" xfId="0" applyBorder="1" applyAlignment="1">
      <alignment horizontal="right" vertical="center"/>
    </xf>
    <xf numFmtId="0" fontId="0" fillId="0" borderId="0" xfId="0" applyBorder="1"/>
  </cellXfs>
  <cellStyles count="1">
    <cellStyle name="Обычный" xfId="0" builtinId="0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Илья Чураков" id="{1BBA9C37-440F-4406-BC90-B03034B3364F}" userId="60dee7a27dd0a6c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19" dT="2025-07-01T11:25:50.76" personId="{1BBA9C37-440F-4406-BC90-B03034B3364F}" id="{F5B4A413-8E9D-4E5D-A7E6-F8CAAC683CB0}">
    <text>4-20 или резистивный?</text>
  </threadedComment>
  <threadedComment ref="B324" dT="2025-07-01T11:25:21.18" personId="{1BBA9C37-440F-4406-BC90-B03034B3364F}" id="{20090E64-8286-40F1-B1DA-DF6DD14D0F7A}">
    <text>Непонятно активный или пассивный</text>
  </threadedComment>
  <threadedComment ref="B326" dT="2025-07-02T09:35:37.96" personId="{1BBA9C37-440F-4406-BC90-B03034B3364F}" id="{3E3B6129-7D3D-43E1-94E9-29EE39694C57}">
    <text>непонятное подключение</text>
  </threadedComment>
  <threadedComment ref="B359" dT="2025-07-03T06:02:52.64" personId="{1BBA9C37-440F-4406-BC90-B03034B3364F}" id="{F37083B4-0267-40B3-943E-8E106B59FD56}">
    <text>Нет принципиальных схем для этих позиций, по схемам внешних соединений не хватает жил для всех сигналов</text>
  </threadedComment>
  <threadedComment ref="B366" dT="2025-07-03T10:31:53.28" personId="{1BBA9C37-440F-4406-BC90-B03034B3364F}" id="{1E085EFA-2D4C-49AF-8DF0-637CB800E501}">
    <text>нужна схема шкафа Ш-1 ГРП 2</text>
  </threadedComment>
  <threadedComment ref="B502" dT="2025-07-03T10:31:53.28" personId="{1BBA9C37-440F-4406-BC90-B03034B3364F}" id="{D3B0118F-DD0F-48F6-9A58-CF2A997A7300}">
    <text>нужна схема шкафа ШУЗ зд</text>
  </threadedComment>
  <threadedComment ref="B550" dT="2025-07-02T09:35:37.96" personId="{1BBA9C37-440F-4406-BC90-B03034B3364F}" id="{16653607-FB67-4DB8-8255-D89C6181BDB1}">
    <text>непонятное подключение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V557"/>
  <sheetViews>
    <sheetView tabSelected="1" zoomScale="85" zoomScaleNormal="85" workbookViewId="0">
      <pane ySplit="1" topLeftCell="A521" activePane="bottomLeft" state="frozen"/>
      <selection pane="bottomLeft" activeCell="B342" sqref="B342"/>
    </sheetView>
  </sheetViews>
  <sheetFormatPr defaultRowHeight="15" x14ac:dyDescent="0.25"/>
  <cols>
    <col min="1" max="1" width="19.28515625" bestFit="1" customWidth="1"/>
    <col min="2" max="2" width="90.28515625" bestFit="1" customWidth="1"/>
    <col min="3" max="3" width="29.140625" bestFit="1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2" width="13.140625" bestFit="1" customWidth="1"/>
    <col min="23" max="23" width="14.85546875" bestFit="1" customWidth="1"/>
    <col min="24" max="24" width="7.7109375" bestFit="1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10.28515625" bestFit="1" customWidth="1"/>
    <col min="30" max="30" width="9.140625" bestFit="1" customWidth="1"/>
    <col min="31" max="31" width="8.140625" bestFit="1" customWidth="1"/>
    <col min="32" max="32" width="7.28515625" customWidth="1"/>
    <col min="33" max="33" width="7.7109375" customWidth="1"/>
    <col min="34" max="34" width="6.42578125" customWidth="1"/>
    <col min="35" max="35" width="9.7109375" style="73" bestFit="1" customWidth="1"/>
    <col min="36" max="36" width="8.7109375" style="73" bestFit="1" customWidth="1"/>
    <col min="37" max="37" width="7.85546875" customWidth="1"/>
    <col min="38" max="38" width="8.28515625" customWidth="1"/>
    <col min="39" max="39" width="5.42578125" customWidth="1"/>
    <col min="40" max="41" width="6.42578125" customWidth="1"/>
    <col min="42" max="42" width="27" bestFit="1" customWidth="1"/>
    <col min="43" max="43" width="59.140625" bestFit="1" customWidth="1"/>
    <col min="44" max="44" width="40.42578125" customWidth="1"/>
    <col min="45" max="45" width="12.140625" customWidth="1"/>
    <col min="46" max="46" width="26.42578125" customWidth="1"/>
    <col min="47" max="47" width="26.5703125" customWidth="1"/>
    <col min="48" max="48" width="3.140625" customWidth="1"/>
    <col min="49" max="49" width="4.28515625" customWidth="1"/>
    <col min="50" max="50" width="3.85546875" customWidth="1"/>
    <col min="51" max="51" width="5" customWidth="1"/>
    <col min="52" max="52" width="6" customWidth="1"/>
    <col min="53" max="53" width="5.7109375" customWidth="1"/>
    <col min="54" max="54" width="5.28515625" customWidth="1"/>
    <col min="55" max="55" width="6.28515625" customWidth="1"/>
    <col min="56" max="56" width="7.7109375" bestFit="1" customWidth="1"/>
    <col min="57" max="57" width="6.42578125" bestFit="1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28515625" customWidth="1"/>
    <col min="65" max="65" width="7.7109375" customWidth="1"/>
    <col min="66" max="66" width="7.28515625" customWidth="1"/>
    <col min="67" max="67" width="7.7109375" customWidth="1"/>
    <col min="68" max="68" width="7.85546875" customWidth="1"/>
    <col min="69" max="69" width="8.28515625" customWidth="1"/>
    <col min="70" max="70" width="7.85546875" customWidth="1"/>
    <col min="71" max="71" width="8.2851562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8.42578125" customWidth="1"/>
    <col min="81" max="81" width="8.7109375" customWidth="1"/>
    <col min="82" max="82" width="8.42578125" customWidth="1"/>
    <col min="83" max="83" width="8.7109375" customWidth="1"/>
    <col min="84" max="84" width="9" customWidth="1"/>
    <col min="85" max="85" width="9.28515625" customWidth="1"/>
    <col min="86" max="86" width="9" customWidth="1"/>
    <col min="87" max="87" width="9.28515625" customWidth="1"/>
    <col min="88" max="88" width="9" customWidth="1"/>
    <col min="89" max="89" width="9.28515625" customWidth="1"/>
    <col min="90" max="98" width="7.140625" customWidth="1"/>
    <col min="99" max="102" width="9.7109375" customWidth="1"/>
    <col min="103" max="103" width="10.7109375" customWidth="1"/>
    <col min="104" max="104" width="10.5703125" bestFit="1" customWidth="1"/>
    <col min="105" max="105" width="11.7109375" customWidth="1"/>
    <col min="106" max="106" width="12.42578125" customWidth="1"/>
    <col min="107" max="108" width="9.7109375" customWidth="1"/>
    <col min="109" max="112" width="10.7109375" customWidth="1"/>
    <col min="113" max="114" width="3.5703125" customWidth="1"/>
    <col min="115" max="117" width="3.42578125" customWidth="1"/>
    <col min="118" max="118" width="4.42578125" customWidth="1"/>
    <col min="119" max="119" width="4.7109375" customWidth="1"/>
    <col min="120" max="128" width="5.28515625" customWidth="1"/>
    <col min="129" max="133" width="6.28515625" customWidth="1"/>
    <col min="134" max="142" width="5.42578125" customWidth="1"/>
    <col min="143" max="147" width="6.42578125" customWidth="1"/>
    <col min="148" max="169" width="9.140625" customWidth="1"/>
    <col min="170" max="171" width="10.7109375" bestFit="1" customWidth="1"/>
    <col min="172" max="173" width="9.5703125" bestFit="1" customWidth="1"/>
    <col min="174" max="175" width="10.5703125" bestFit="1" customWidth="1"/>
    <col min="176" max="176" width="12.85546875" bestFit="1" customWidth="1"/>
    <col min="177" max="177" width="13.42578125" bestFit="1" customWidth="1"/>
    <col min="178" max="179" width="3.5703125" bestFit="1" customWidth="1"/>
    <col min="180" max="181" width="3.42578125" bestFit="1" customWidth="1"/>
    <col min="182" max="182" width="4" bestFit="1" customWidth="1"/>
    <col min="183" max="183" width="4.42578125" bestFit="1" customWidth="1"/>
    <col min="184" max="197" width="5.28515625" bestFit="1" customWidth="1"/>
    <col min="198" max="201" width="6.42578125" bestFit="1" customWidth="1"/>
    <col min="202" max="214" width="9.140625" customWidth="1"/>
    <col min="215" max="216" width="12.42578125" bestFit="1" customWidth="1"/>
    <col min="217" max="240" width="9.140625" customWidth="1"/>
    <col min="241" max="249" width="14.42578125" customWidth="1"/>
    <col min="250" max="250" width="11.7109375" customWidth="1"/>
    <col min="251" max="251" width="12.42578125" customWidth="1"/>
    <col min="252" max="288" width="9.140625" customWidth="1"/>
    <col min="289" max="290" width="15.7109375" bestFit="1" customWidth="1"/>
    <col min="291" max="291" width="11.7109375" bestFit="1" customWidth="1"/>
    <col min="292" max="292" width="11.5703125" bestFit="1" customWidth="1"/>
    <col min="293" max="294" width="11.5703125" customWidth="1"/>
    <col min="295" max="299" width="5.140625" customWidth="1"/>
    <col min="300" max="306" width="9.140625" customWidth="1"/>
    <col min="307" max="308" width="10.5703125" customWidth="1"/>
    <col min="309" max="325" width="9.140625" customWidth="1"/>
    <col min="327" max="328" width="10.5703125" bestFit="1" customWidth="1"/>
    <col min="339" max="339" width="10.28515625" bestFit="1" customWidth="1"/>
    <col min="358" max="358" width="9.5703125" customWidth="1"/>
    <col min="378" max="378" width="14.5703125" bestFit="1" customWidth="1"/>
    <col min="382" max="382" width="12" bestFit="1" customWidth="1"/>
    <col min="397" max="397" width="5.42578125" bestFit="1" customWidth="1"/>
    <col min="398" max="401" width="5.42578125" customWidth="1"/>
    <col min="402" max="402" width="7.28515625" bestFit="1" customWidth="1"/>
    <col min="403" max="403" width="7.7109375" bestFit="1" customWidth="1"/>
    <col min="404" max="411" width="7.7109375" customWidth="1"/>
    <col min="412" max="412" width="11.7109375" bestFit="1" customWidth="1"/>
    <col min="413" max="413" width="11.5703125" bestFit="1" customWidth="1"/>
    <col min="414" max="414" width="11.7109375" bestFit="1" customWidth="1"/>
    <col min="415" max="415" width="11.5703125" bestFit="1" customWidth="1"/>
    <col min="416" max="423" width="11.5703125" customWidth="1"/>
    <col min="424" max="424" width="7.7109375" bestFit="1" customWidth="1"/>
    <col min="425" max="428" width="5.28515625" bestFit="1" customWidth="1"/>
    <col min="429" max="432" width="5.28515625" customWidth="1"/>
    <col min="433" max="433" width="4.42578125" bestFit="1" customWidth="1"/>
    <col min="434" max="434" width="4" bestFit="1" customWidth="1"/>
    <col min="435" max="435" width="4.42578125" bestFit="1" customWidth="1"/>
    <col min="436" max="436" width="4" bestFit="1" customWidth="1"/>
    <col min="437" max="438" width="4.85546875" bestFit="1" customWidth="1"/>
    <col min="439" max="441" width="5.28515625" bestFit="1" customWidth="1"/>
    <col min="465" max="465" width="10.5703125" bestFit="1" customWidth="1"/>
    <col min="466" max="466" width="10.7109375" bestFit="1" customWidth="1"/>
    <col min="467" max="467" width="10.5703125" bestFit="1" customWidth="1"/>
    <col min="468" max="468" width="10.7109375" bestFit="1" customWidth="1"/>
    <col min="469" max="469" width="10.5703125" bestFit="1" customWidth="1"/>
    <col min="470" max="470" width="10.7109375" bestFit="1" customWidth="1"/>
    <col min="471" max="471" width="11.5703125" bestFit="1" customWidth="1"/>
    <col min="472" max="472" width="11.7109375" bestFit="1" customWidth="1"/>
    <col min="473" max="473" width="11.5703125" bestFit="1" customWidth="1"/>
    <col min="474" max="474" width="11.7109375" bestFit="1" customWidth="1"/>
    <col min="475" max="475" width="11.5703125" bestFit="1" customWidth="1"/>
    <col min="476" max="476" width="11.7109375" customWidth="1"/>
    <col min="477" max="477" width="10.5703125" bestFit="1" customWidth="1"/>
    <col min="478" max="478" width="10.7109375" customWidth="1"/>
    <col min="479" max="479" width="10.5703125" bestFit="1" customWidth="1"/>
    <col min="480" max="480" width="10.7109375" bestFit="1" customWidth="1"/>
    <col min="481" max="481" width="10.5703125" bestFit="1" customWidth="1"/>
    <col min="482" max="482" width="10.7109375" bestFit="1" customWidth="1"/>
    <col min="483" max="483" width="10.5703125" bestFit="1" customWidth="1"/>
    <col min="484" max="484" width="10.7109375" bestFit="1" customWidth="1"/>
    <col min="485" max="485" width="10.5703125" bestFit="1" customWidth="1"/>
    <col min="486" max="486" width="10.7109375" bestFit="1" customWidth="1"/>
    <col min="487" max="487" width="11.5703125" bestFit="1" customWidth="1"/>
    <col min="488" max="488" width="11.7109375" bestFit="1" customWidth="1"/>
    <col min="539" max="539" width="8" bestFit="1" customWidth="1"/>
    <col min="540" max="540" width="9" bestFit="1" customWidth="1"/>
    <col min="541" max="541" width="8.85546875" bestFit="1" customWidth="1"/>
    <col min="542" max="542" width="10" bestFit="1" customWidth="1"/>
    <col min="543" max="543" width="14.42578125" bestFit="1" customWidth="1"/>
    <col min="544" max="544" width="9.7109375" bestFit="1" customWidth="1"/>
    <col min="545" max="545" width="9.5703125" bestFit="1" customWidth="1"/>
    <col min="546" max="546" width="10.7109375" bestFit="1" customWidth="1"/>
    <col min="547" max="547" width="6.42578125" bestFit="1" customWidth="1"/>
    <col min="574" max="575" width="9.7109375" bestFit="1" customWidth="1"/>
    <col min="595" max="595" width="10.28515625" bestFit="1" customWidth="1"/>
    <col min="596" max="596" width="10.28515625" customWidth="1"/>
    <col min="597" max="598" width="6.85546875" bestFit="1" customWidth="1"/>
    <col min="792" max="793" width="9.42578125" bestFit="1" customWidth="1"/>
    <col min="794" max="794" width="10.5703125" bestFit="1" customWidth="1"/>
  </cols>
  <sheetData>
    <row r="1" spans="1:802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5" t="s">
        <v>1789</v>
      </c>
      <c r="AE1" s="5" t="s">
        <v>1790</v>
      </c>
      <c r="AF1" s="5" t="s">
        <v>23</v>
      </c>
      <c r="AG1" s="5" t="s">
        <v>24</v>
      </c>
      <c r="AH1" s="8" t="s">
        <v>22</v>
      </c>
      <c r="AI1" s="71" t="s">
        <v>1791</v>
      </c>
      <c r="AJ1" s="71" t="s">
        <v>1792</v>
      </c>
      <c r="AK1" s="5" t="s">
        <v>25</v>
      </c>
      <c r="AL1" s="5" t="s">
        <v>26</v>
      </c>
      <c r="AM1" s="8" t="s">
        <v>31</v>
      </c>
      <c r="AN1" s="8" t="s">
        <v>283</v>
      </c>
      <c r="AO1" s="8" t="s">
        <v>284</v>
      </c>
      <c r="AP1" s="8" t="s">
        <v>27</v>
      </c>
      <c r="AQ1" s="8" t="s">
        <v>28</v>
      </c>
      <c r="AR1" s="8" t="s">
        <v>301</v>
      </c>
      <c r="AS1" s="8" t="s">
        <v>395</v>
      </c>
      <c r="AT1" s="8" t="s">
        <v>29</v>
      </c>
      <c r="AU1" s="8" t="s">
        <v>30</v>
      </c>
      <c r="AV1" s="26" t="s">
        <v>32</v>
      </c>
      <c r="AW1" s="26" t="s">
        <v>33</v>
      </c>
      <c r="AX1" s="26" t="s">
        <v>34</v>
      </c>
      <c r="AY1" s="26" t="s">
        <v>303</v>
      </c>
      <c r="AZ1" s="26" t="s">
        <v>304</v>
      </c>
      <c r="BA1" s="26" t="s">
        <v>305</v>
      </c>
      <c r="BB1" s="26" t="s">
        <v>306</v>
      </c>
      <c r="BC1" s="26" t="s">
        <v>307</v>
      </c>
      <c r="BD1" s="26" t="s">
        <v>308</v>
      </c>
      <c r="BE1" s="5" t="s">
        <v>35</v>
      </c>
      <c r="BF1" s="5" t="s">
        <v>36</v>
      </c>
      <c r="BG1" s="5" t="s">
        <v>37</v>
      </c>
      <c r="BH1" s="5" t="s">
        <v>38</v>
      </c>
      <c r="BI1" s="5" t="s">
        <v>39</v>
      </c>
      <c r="BJ1" s="5" t="s">
        <v>40</v>
      </c>
      <c r="BK1" s="5" t="s">
        <v>41</v>
      </c>
      <c r="BL1" s="5" t="s">
        <v>42</v>
      </c>
      <c r="BM1" s="5" t="s">
        <v>43</v>
      </c>
      <c r="BN1" s="5" t="s">
        <v>44</v>
      </c>
      <c r="BO1" s="5" t="s">
        <v>45</v>
      </c>
      <c r="BP1" s="5" t="s">
        <v>46</v>
      </c>
      <c r="BQ1" s="5" t="s">
        <v>47</v>
      </c>
      <c r="BR1" s="5" t="s">
        <v>48</v>
      </c>
      <c r="BS1" s="5" t="s">
        <v>49</v>
      </c>
      <c r="BT1" s="5" t="s">
        <v>50</v>
      </c>
      <c r="BU1" s="5" t="s">
        <v>51</v>
      </c>
      <c r="BV1" s="5" t="s">
        <v>52</v>
      </c>
      <c r="BW1" s="5" t="s">
        <v>53</v>
      </c>
      <c r="BX1" s="5" t="s">
        <v>54</v>
      </c>
      <c r="BY1" s="5" t="s">
        <v>55</v>
      </c>
      <c r="BZ1" s="5" t="s">
        <v>56</v>
      </c>
      <c r="CA1" s="5" t="s">
        <v>57</v>
      </c>
      <c r="CB1" s="5" t="s">
        <v>58</v>
      </c>
      <c r="CC1" s="5" t="s">
        <v>59</v>
      </c>
      <c r="CD1" s="5" t="s">
        <v>60</v>
      </c>
      <c r="CE1" s="5" t="s">
        <v>61</v>
      </c>
      <c r="CF1" s="5" t="s">
        <v>62</v>
      </c>
      <c r="CG1" s="5" t="s">
        <v>63</v>
      </c>
      <c r="CH1" s="5" t="s">
        <v>64</v>
      </c>
      <c r="CI1" s="5" t="s">
        <v>65</v>
      </c>
      <c r="CJ1" s="5" t="s">
        <v>66</v>
      </c>
      <c r="CK1" s="5" t="s">
        <v>67</v>
      </c>
      <c r="CL1" s="5" t="s">
        <v>73</v>
      </c>
      <c r="CM1" s="5" t="s">
        <v>74</v>
      </c>
      <c r="CN1" s="5" t="s">
        <v>75</v>
      </c>
      <c r="CO1" s="5" t="s">
        <v>76</v>
      </c>
      <c r="CP1" s="5" t="s">
        <v>77</v>
      </c>
      <c r="CQ1" s="5" t="s">
        <v>78</v>
      </c>
      <c r="CR1" s="5" t="s">
        <v>79</v>
      </c>
      <c r="CS1" s="5" t="s">
        <v>80</v>
      </c>
      <c r="CT1" s="5" t="s">
        <v>81</v>
      </c>
      <c r="CU1" s="5" t="s">
        <v>82</v>
      </c>
      <c r="CV1" s="5" t="s">
        <v>83</v>
      </c>
      <c r="CW1" s="5" t="s">
        <v>84</v>
      </c>
      <c r="CX1" s="5" t="s">
        <v>85</v>
      </c>
      <c r="CY1" s="5" t="s">
        <v>86</v>
      </c>
      <c r="CZ1" s="5" t="s">
        <v>87</v>
      </c>
      <c r="DA1" s="5" t="s">
        <v>88</v>
      </c>
      <c r="DB1" s="5" t="s">
        <v>89</v>
      </c>
      <c r="DC1" s="5" t="s">
        <v>90</v>
      </c>
      <c r="DD1" s="5" t="s">
        <v>91</v>
      </c>
      <c r="DE1" s="5" t="s">
        <v>92</v>
      </c>
      <c r="DF1" s="5" t="s">
        <v>93</v>
      </c>
      <c r="DG1" s="5" t="s">
        <v>94</v>
      </c>
      <c r="DH1" s="5" t="s">
        <v>95</v>
      </c>
      <c r="DI1" s="5" t="s">
        <v>68</v>
      </c>
      <c r="DJ1" s="5" t="s">
        <v>69</v>
      </c>
      <c r="DK1" s="5" t="s">
        <v>70</v>
      </c>
      <c r="DL1" s="5" t="s">
        <v>71</v>
      </c>
      <c r="DM1" s="5" t="s">
        <v>72</v>
      </c>
      <c r="DN1" s="5" t="s">
        <v>96</v>
      </c>
      <c r="DO1" s="5" t="s">
        <v>97</v>
      </c>
      <c r="DP1" s="5" t="s">
        <v>98</v>
      </c>
      <c r="DQ1" s="5" t="s">
        <v>99</v>
      </c>
      <c r="DR1" s="5" t="s">
        <v>100</v>
      </c>
      <c r="DS1" s="5" t="s">
        <v>101</v>
      </c>
      <c r="DT1" s="5" t="s">
        <v>102</v>
      </c>
      <c r="DU1" s="5" t="s">
        <v>103</v>
      </c>
      <c r="DV1" s="5" t="s">
        <v>104</v>
      </c>
      <c r="DW1" s="5" t="s">
        <v>105</v>
      </c>
      <c r="DX1" s="5" t="s">
        <v>106</v>
      </c>
      <c r="DY1" s="5" t="s">
        <v>107</v>
      </c>
      <c r="DZ1" s="5" t="s">
        <v>108</v>
      </c>
      <c r="EA1" s="5" t="s">
        <v>109</v>
      </c>
      <c r="EB1" s="5" t="s">
        <v>110</v>
      </c>
      <c r="EC1" s="5" t="s">
        <v>111</v>
      </c>
      <c r="ED1" s="5" t="s">
        <v>112</v>
      </c>
      <c r="EE1" s="5" t="s">
        <v>113</v>
      </c>
      <c r="EF1" s="5" t="s">
        <v>114</v>
      </c>
      <c r="EG1" s="5" t="s">
        <v>115</v>
      </c>
      <c r="EH1" s="5" t="s">
        <v>116</v>
      </c>
      <c r="EI1" s="5" t="s">
        <v>117</v>
      </c>
      <c r="EJ1" s="5" t="s">
        <v>118</v>
      </c>
      <c r="EK1" s="5" t="s">
        <v>119</v>
      </c>
      <c r="EL1" s="5" t="s">
        <v>120</v>
      </c>
      <c r="EM1" s="5" t="s">
        <v>121</v>
      </c>
      <c r="EN1" s="5" t="s">
        <v>122</v>
      </c>
      <c r="EO1" s="5" t="s">
        <v>123</v>
      </c>
      <c r="EP1" s="5" t="s">
        <v>124</v>
      </c>
      <c r="EQ1" s="9" t="s">
        <v>125</v>
      </c>
      <c r="ER1" s="5" t="s">
        <v>35</v>
      </c>
      <c r="ES1" s="5" t="s">
        <v>36</v>
      </c>
      <c r="ET1" s="5" t="s">
        <v>37</v>
      </c>
      <c r="EU1" s="5" t="s">
        <v>38</v>
      </c>
      <c r="EV1" s="5" t="s">
        <v>39</v>
      </c>
      <c r="EW1" s="5" t="s">
        <v>46</v>
      </c>
      <c r="EX1" s="5" t="s">
        <v>47</v>
      </c>
      <c r="EY1" s="5" t="s">
        <v>50</v>
      </c>
      <c r="EZ1" s="5" t="s">
        <v>51</v>
      </c>
      <c r="FA1" s="5" t="s">
        <v>52</v>
      </c>
      <c r="FB1" s="5" t="s">
        <v>53</v>
      </c>
      <c r="FC1" s="5" t="s">
        <v>54</v>
      </c>
      <c r="FD1" s="5" t="s">
        <v>55</v>
      </c>
      <c r="FE1" s="5" t="s">
        <v>62</v>
      </c>
      <c r="FF1" s="5" t="s">
        <v>63</v>
      </c>
      <c r="FG1" s="5" t="s">
        <v>64</v>
      </c>
      <c r="FH1" s="5" t="s">
        <v>65</v>
      </c>
      <c r="FI1" s="5" t="s">
        <v>73</v>
      </c>
      <c r="FJ1" s="5" t="s">
        <v>74</v>
      </c>
      <c r="FK1" s="5" t="s">
        <v>75</v>
      </c>
      <c r="FL1" s="5" t="s">
        <v>76</v>
      </c>
      <c r="FM1" s="5" t="s">
        <v>77</v>
      </c>
      <c r="FN1" s="5" t="s">
        <v>293</v>
      </c>
      <c r="FO1" s="5" t="s">
        <v>302</v>
      </c>
      <c r="FP1" s="5" t="s">
        <v>82</v>
      </c>
      <c r="FQ1" s="5" t="s">
        <v>83</v>
      </c>
      <c r="FR1" s="5" t="s">
        <v>84</v>
      </c>
      <c r="FS1" s="5" t="s">
        <v>85</v>
      </c>
      <c r="FT1" s="5" t="s">
        <v>86</v>
      </c>
      <c r="FU1" s="5" t="s">
        <v>87</v>
      </c>
      <c r="FV1" s="5" t="s">
        <v>68</v>
      </c>
      <c r="FW1" s="5" t="s">
        <v>69</v>
      </c>
      <c r="FX1" s="5" t="s">
        <v>70</v>
      </c>
      <c r="FY1" s="5" t="s">
        <v>71</v>
      </c>
      <c r="FZ1" s="5" t="s">
        <v>97</v>
      </c>
      <c r="GA1" s="5" t="s">
        <v>96</v>
      </c>
      <c r="GB1" s="5" t="s">
        <v>98</v>
      </c>
      <c r="GC1" s="5" t="s">
        <v>99</v>
      </c>
      <c r="GD1" s="5" t="s">
        <v>100</v>
      </c>
      <c r="GE1" s="5" t="s">
        <v>101</v>
      </c>
      <c r="GF1" s="5" t="s">
        <v>102</v>
      </c>
      <c r="GG1" s="5" t="s">
        <v>103</v>
      </c>
      <c r="GH1" s="5" t="s">
        <v>104</v>
      </c>
      <c r="GI1" s="5" t="s">
        <v>105</v>
      </c>
      <c r="GJ1" s="5" t="s">
        <v>106</v>
      </c>
      <c r="GK1" s="5" t="s">
        <v>294</v>
      </c>
      <c r="GL1" s="5" t="s">
        <v>295</v>
      </c>
      <c r="GM1" s="5" t="s">
        <v>296</v>
      </c>
      <c r="GN1" s="5" t="s">
        <v>297</v>
      </c>
      <c r="GO1" s="5" t="s">
        <v>298</v>
      </c>
      <c r="GP1" s="5" t="s">
        <v>122</v>
      </c>
      <c r="GQ1" s="5" t="s">
        <v>123</v>
      </c>
      <c r="GR1" s="5" t="s">
        <v>299</v>
      </c>
      <c r="GS1" s="31" t="s">
        <v>300</v>
      </c>
      <c r="GT1" s="4" t="s">
        <v>35</v>
      </c>
      <c r="GU1" s="5" t="s">
        <v>36</v>
      </c>
      <c r="GV1" s="5" t="s">
        <v>37</v>
      </c>
      <c r="GW1" s="5" t="s">
        <v>38</v>
      </c>
      <c r="GX1" s="5" t="s">
        <v>39</v>
      </c>
      <c r="GY1" s="5" t="s">
        <v>40</v>
      </c>
      <c r="GZ1" s="5" t="s">
        <v>41</v>
      </c>
      <c r="HA1" s="5" t="s">
        <v>42</v>
      </c>
      <c r="HB1" s="5" t="s">
        <v>43</v>
      </c>
      <c r="HC1" s="5" t="s">
        <v>44</v>
      </c>
      <c r="HD1" s="5" t="s">
        <v>45</v>
      </c>
      <c r="HE1" s="5" t="s">
        <v>46</v>
      </c>
      <c r="HF1" s="5" t="s">
        <v>47</v>
      </c>
      <c r="HG1" s="5" t="s">
        <v>401</v>
      </c>
      <c r="HH1" s="5" t="s">
        <v>402</v>
      </c>
      <c r="HI1" s="5" t="s">
        <v>50</v>
      </c>
      <c r="HJ1" s="5" t="s">
        <v>51</v>
      </c>
      <c r="HK1" s="5" t="s">
        <v>52</v>
      </c>
      <c r="HL1" s="5" t="s">
        <v>53</v>
      </c>
      <c r="HM1" s="5" t="s">
        <v>54</v>
      </c>
      <c r="HN1" s="5" t="s">
        <v>55</v>
      </c>
      <c r="HO1" s="5" t="s">
        <v>56</v>
      </c>
      <c r="HP1" s="5" t="s">
        <v>57</v>
      </c>
      <c r="HQ1" s="5" t="s">
        <v>58</v>
      </c>
      <c r="HR1" s="5" t="s">
        <v>59</v>
      </c>
      <c r="HS1" s="5" t="s">
        <v>60</v>
      </c>
      <c r="HT1" s="5" t="s">
        <v>61</v>
      </c>
      <c r="HU1" s="5" t="s">
        <v>62</v>
      </c>
      <c r="HV1" s="5" t="s">
        <v>63</v>
      </c>
      <c r="HW1" s="5" t="s">
        <v>64</v>
      </c>
      <c r="HX1" s="5" t="s">
        <v>65</v>
      </c>
      <c r="HY1" s="5" t="s">
        <v>73</v>
      </c>
      <c r="HZ1" s="5" t="s">
        <v>74</v>
      </c>
      <c r="IA1" s="5" t="s">
        <v>75</v>
      </c>
      <c r="IB1" s="5" t="s">
        <v>76</v>
      </c>
      <c r="IC1" s="5" t="s">
        <v>77</v>
      </c>
      <c r="ID1" s="5" t="s">
        <v>78</v>
      </c>
      <c r="IE1" s="5" t="s">
        <v>79</v>
      </c>
      <c r="IF1" s="5" t="s">
        <v>80</v>
      </c>
      <c r="IG1" s="5" t="s">
        <v>403</v>
      </c>
      <c r="IH1" s="5" t="s">
        <v>420</v>
      </c>
      <c r="II1" s="5" t="s">
        <v>404</v>
      </c>
      <c r="IJ1" s="5" t="s">
        <v>405</v>
      </c>
      <c r="IK1" s="5" t="s">
        <v>406</v>
      </c>
      <c r="IL1" s="5" t="s">
        <v>407</v>
      </c>
      <c r="IM1" s="5" t="s">
        <v>408</v>
      </c>
      <c r="IN1" s="5" t="s">
        <v>409</v>
      </c>
      <c r="IO1" s="5" t="s">
        <v>410</v>
      </c>
      <c r="IP1" s="5" t="s">
        <v>92</v>
      </c>
      <c r="IQ1" s="5" t="s">
        <v>93</v>
      </c>
      <c r="IR1" s="5" t="s">
        <v>68</v>
      </c>
      <c r="IS1" s="5" t="s">
        <v>69</v>
      </c>
      <c r="IT1" s="5" t="s">
        <v>70</v>
      </c>
      <c r="IU1" s="5" t="s">
        <v>71</v>
      </c>
      <c r="IV1" s="5" t="s">
        <v>411</v>
      </c>
      <c r="IW1" s="5" t="s">
        <v>412</v>
      </c>
      <c r="IX1" s="5" t="s">
        <v>98</v>
      </c>
      <c r="IY1" s="5" t="s">
        <v>99</v>
      </c>
      <c r="IZ1" s="5" t="s">
        <v>100</v>
      </c>
      <c r="JA1" s="5" t="s">
        <v>101</v>
      </c>
      <c r="JB1" s="5" t="s">
        <v>102</v>
      </c>
      <c r="JC1" s="5" t="s">
        <v>103</v>
      </c>
      <c r="JD1" s="5" t="s">
        <v>104</v>
      </c>
      <c r="JE1" s="5" t="s">
        <v>105</v>
      </c>
      <c r="JF1" s="5" t="s">
        <v>106</v>
      </c>
      <c r="JG1" s="5" t="s">
        <v>107</v>
      </c>
      <c r="JH1" s="5" t="s">
        <v>108</v>
      </c>
      <c r="JI1" s="5" t="s">
        <v>109</v>
      </c>
      <c r="JJ1" s="5" t="s">
        <v>110</v>
      </c>
      <c r="JK1" s="5" t="s">
        <v>111</v>
      </c>
      <c r="JL1" s="5" t="s">
        <v>112</v>
      </c>
      <c r="JM1" s="5" t="s">
        <v>113</v>
      </c>
      <c r="JN1" s="5" t="s">
        <v>114</v>
      </c>
      <c r="JO1" s="5" t="s">
        <v>115</v>
      </c>
      <c r="JP1" s="5" t="s">
        <v>116</v>
      </c>
      <c r="JQ1" s="5" t="s">
        <v>117</v>
      </c>
      <c r="JR1" s="5" t="s">
        <v>118</v>
      </c>
      <c r="JS1" s="5" t="s">
        <v>119</v>
      </c>
      <c r="JT1" s="5" t="s">
        <v>120</v>
      </c>
      <c r="JU1" s="5" t="s">
        <v>121</v>
      </c>
      <c r="JV1" s="5" t="s">
        <v>122</v>
      </c>
      <c r="JW1" s="5" t="s">
        <v>123</v>
      </c>
      <c r="JX1" s="5" t="s">
        <v>124</v>
      </c>
      <c r="JY1" s="9" t="s">
        <v>125</v>
      </c>
      <c r="JZ1" s="23" t="s">
        <v>35</v>
      </c>
      <c r="KA1" s="23" t="s">
        <v>557</v>
      </c>
      <c r="KB1" s="23" t="s">
        <v>558</v>
      </c>
      <c r="KC1" s="32" t="s">
        <v>401</v>
      </c>
      <c r="KD1" s="5" t="s">
        <v>402</v>
      </c>
      <c r="KE1" s="32" t="s">
        <v>555</v>
      </c>
      <c r="KF1" s="5" t="s">
        <v>556</v>
      </c>
      <c r="KG1" s="5" t="s">
        <v>412</v>
      </c>
      <c r="KH1" s="5" t="s">
        <v>411</v>
      </c>
      <c r="KI1" s="5" t="s">
        <v>98</v>
      </c>
      <c r="KJ1" s="5" t="s">
        <v>99</v>
      </c>
      <c r="KK1" s="5" t="s">
        <v>100</v>
      </c>
      <c r="KL1" s="5" t="s">
        <v>101</v>
      </c>
      <c r="KM1" s="5" t="s">
        <v>102</v>
      </c>
      <c r="KN1" s="30" t="s">
        <v>489</v>
      </c>
      <c r="KO1" s="35" t="s">
        <v>491</v>
      </c>
      <c r="KP1" s="30" t="s">
        <v>490</v>
      </c>
      <c r="KQ1" s="35" t="s">
        <v>553</v>
      </c>
      <c r="KR1" s="19" t="s">
        <v>549</v>
      </c>
      <c r="KS1" s="19" t="s">
        <v>550</v>
      </c>
      <c r="KT1" s="4" t="s">
        <v>35</v>
      </c>
      <c r="KU1" s="5" t="s">
        <v>855</v>
      </c>
      <c r="KV1" s="5" t="s">
        <v>404</v>
      </c>
      <c r="KW1" s="5" t="s">
        <v>73</v>
      </c>
      <c r="KX1" s="5" t="s">
        <v>70</v>
      </c>
      <c r="KY1" s="5" t="s">
        <v>71</v>
      </c>
      <c r="KZ1" s="5" t="s">
        <v>68</v>
      </c>
      <c r="LA1" s="5" t="s">
        <v>69</v>
      </c>
      <c r="LB1" s="5" t="s">
        <v>856</v>
      </c>
      <c r="LC1" s="5" t="s">
        <v>857</v>
      </c>
      <c r="LD1" s="5" t="s">
        <v>858</v>
      </c>
      <c r="LE1" s="5" t="s">
        <v>859</v>
      </c>
      <c r="LF1" s="5" t="s">
        <v>98</v>
      </c>
      <c r="LG1" s="5" t="s">
        <v>99</v>
      </c>
      <c r="LH1" s="5" t="s">
        <v>100</v>
      </c>
      <c r="LI1" s="5" t="s">
        <v>860</v>
      </c>
      <c r="LJ1" s="5" t="s">
        <v>861</v>
      </c>
      <c r="LK1" s="5" t="s">
        <v>862</v>
      </c>
      <c r="LL1" s="5" t="s">
        <v>863</v>
      </c>
      <c r="LM1" s="9" t="s">
        <v>864</v>
      </c>
      <c r="LN1" s="39" t="s">
        <v>35</v>
      </c>
      <c r="LO1" s="32" t="s">
        <v>401</v>
      </c>
      <c r="LP1" s="5" t="s">
        <v>402</v>
      </c>
      <c r="LQ1" s="5" t="s">
        <v>98</v>
      </c>
      <c r="LR1" s="5" t="s">
        <v>99</v>
      </c>
      <c r="LS1" s="5" t="s">
        <v>100</v>
      </c>
      <c r="LT1" s="37" t="s">
        <v>31</v>
      </c>
      <c r="LU1" s="30" t="s">
        <v>112</v>
      </c>
      <c r="LV1" s="38" t="s">
        <v>113</v>
      </c>
      <c r="LW1" s="19" t="s">
        <v>114</v>
      </c>
      <c r="LX1" s="4" t="s">
        <v>35</v>
      </c>
      <c r="LY1" s="5" t="s">
        <v>51</v>
      </c>
      <c r="LZ1" s="5" t="s">
        <v>50</v>
      </c>
      <c r="MA1" s="5" t="s">
        <v>404</v>
      </c>
      <c r="MB1" s="5" t="s">
        <v>73</v>
      </c>
      <c r="MC1" s="5" t="s">
        <v>70</v>
      </c>
      <c r="MD1" s="5" t="s">
        <v>71</v>
      </c>
      <c r="ME1" s="5" t="s">
        <v>68</v>
      </c>
      <c r="MF1" s="5" t="s">
        <v>69</v>
      </c>
      <c r="MG1" s="5" t="s">
        <v>856</v>
      </c>
      <c r="MH1" s="5" t="s">
        <v>857</v>
      </c>
      <c r="MI1" s="5" t="s">
        <v>858</v>
      </c>
      <c r="MJ1" s="5" t="s">
        <v>859</v>
      </c>
      <c r="MK1" s="5" t="s">
        <v>98</v>
      </c>
      <c r="ML1" s="5" t="s">
        <v>99</v>
      </c>
      <c r="MM1" s="5" t="s">
        <v>100</v>
      </c>
      <c r="MN1" s="5" t="s">
        <v>101</v>
      </c>
      <c r="MO1" s="5" t="s">
        <v>860</v>
      </c>
      <c r="MP1" s="5" t="s">
        <v>861</v>
      </c>
      <c r="MQ1" s="5" t="s">
        <v>862</v>
      </c>
      <c r="MR1" s="5" t="s">
        <v>863</v>
      </c>
      <c r="MS1" s="9" t="s">
        <v>864</v>
      </c>
      <c r="MT1" s="40" t="s">
        <v>924</v>
      </c>
      <c r="MU1" s="37" t="s">
        <v>925</v>
      </c>
      <c r="MV1" s="41" t="s">
        <v>928</v>
      </c>
      <c r="MW1" s="41" t="s">
        <v>929</v>
      </c>
      <c r="MX1" s="41" t="s">
        <v>930</v>
      </c>
      <c r="MY1" s="41" t="s">
        <v>35</v>
      </c>
      <c r="MZ1" s="41" t="s">
        <v>37</v>
      </c>
      <c r="NA1" s="41" t="s">
        <v>36</v>
      </c>
      <c r="NB1" s="41" t="s">
        <v>39</v>
      </c>
      <c r="NC1" s="41" t="s">
        <v>38</v>
      </c>
      <c r="ND1" s="41" t="s">
        <v>41</v>
      </c>
      <c r="NE1" s="41" t="s">
        <v>40</v>
      </c>
      <c r="NF1" s="41" t="s">
        <v>557</v>
      </c>
      <c r="NG1" s="41" t="s">
        <v>558</v>
      </c>
      <c r="NH1" s="5" t="s">
        <v>855</v>
      </c>
      <c r="NI1" s="5" t="s">
        <v>918</v>
      </c>
      <c r="NJ1" s="5" t="s">
        <v>919</v>
      </c>
      <c r="NK1" s="5" t="s">
        <v>920</v>
      </c>
      <c r="NL1" s="5" t="s">
        <v>921</v>
      </c>
      <c r="NM1" s="5" t="s">
        <v>922</v>
      </c>
      <c r="NN1" s="5" t="s">
        <v>923</v>
      </c>
      <c r="NO1" s="5" t="s">
        <v>404</v>
      </c>
      <c r="NP1" s="5" t="s">
        <v>405</v>
      </c>
      <c r="NQ1" s="5" t="s">
        <v>406</v>
      </c>
      <c r="NR1" s="5" t="s">
        <v>407</v>
      </c>
      <c r="NS1" s="5" t="s">
        <v>73</v>
      </c>
      <c r="NT1" s="5" t="s">
        <v>74</v>
      </c>
      <c r="NU1" s="5" t="s">
        <v>75</v>
      </c>
      <c r="NV1" s="5" t="s">
        <v>76</v>
      </c>
      <c r="NW1" s="5" t="s">
        <v>70</v>
      </c>
      <c r="NX1" s="5" t="s">
        <v>71</v>
      </c>
      <c r="NY1" s="5" t="s">
        <v>68</v>
      </c>
      <c r="NZ1" s="5" t="s">
        <v>69</v>
      </c>
      <c r="OA1" s="5" t="s">
        <v>856</v>
      </c>
      <c r="OB1" s="5" t="s">
        <v>857</v>
      </c>
      <c r="OC1" s="5" t="s">
        <v>858</v>
      </c>
      <c r="OD1" s="9" t="s">
        <v>859</v>
      </c>
      <c r="OE1" s="5" t="s">
        <v>953</v>
      </c>
      <c r="OF1" s="9" t="s">
        <v>954</v>
      </c>
      <c r="OG1" s="23" t="s">
        <v>35</v>
      </c>
      <c r="OH1" s="23" t="s">
        <v>924</v>
      </c>
      <c r="OI1" s="23" t="s">
        <v>925</v>
      </c>
      <c r="OJ1" s="23" t="s">
        <v>1032</v>
      </c>
      <c r="OK1" s="23" t="s">
        <v>1033</v>
      </c>
      <c r="OL1" s="23" t="s">
        <v>557</v>
      </c>
      <c r="OM1" s="23" t="s">
        <v>558</v>
      </c>
      <c r="ON1" s="23" t="s">
        <v>1015</v>
      </c>
      <c r="OO1" s="23" t="s">
        <v>1016</v>
      </c>
      <c r="OP1" s="23" t="s">
        <v>1017</v>
      </c>
      <c r="OQ1" s="23" t="s">
        <v>1018</v>
      </c>
      <c r="OR1" s="23" t="s">
        <v>1036</v>
      </c>
      <c r="OS1" s="23" t="s">
        <v>1037</v>
      </c>
      <c r="OT1" s="23" t="s">
        <v>1038</v>
      </c>
      <c r="OU1" s="23" t="s">
        <v>1039</v>
      </c>
      <c r="OV1" s="32" t="s">
        <v>401</v>
      </c>
      <c r="OW1" s="5" t="s">
        <v>402</v>
      </c>
      <c r="OX1" s="32" t="s">
        <v>555</v>
      </c>
      <c r="OY1" s="5" t="s">
        <v>556</v>
      </c>
      <c r="OZ1" s="32" t="s">
        <v>1019</v>
      </c>
      <c r="PA1" s="5" t="s">
        <v>1020</v>
      </c>
      <c r="PB1" s="32" t="s">
        <v>1021</v>
      </c>
      <c r="PC1" s="5" t="s">
        <v>1022</v>
      </c>
      <c r="PD1" s="32" t="s">
        <v>1040</v>
      </c>
      <c r="PE1" s="5" t="s">
        <v>1041</v>
      </c>
      <c r="PF1" s="32" t="s">
        <v>1042</v>
      </c>
      <c r="PG1" s="5" t="s">
        <v>1043</v>
      </c>
      <c r="PH1" s="5" t="s">
        <v>98</v>
      </c>
      <c r="PI1" s="5" t="s">
        <v>99</v>
      </c>
      <c r="PJ1" s="5" t="s">
        <v>100</v>
      </c>
      <c r="PK1" s="5" t="s">
        <v>101</v>
      </c>
      <c r="PL1" s="5" t="s">
        <v>102</v>
      </c>
      <c r="PM1" s="5" t="s">
        <v>103</v>
      </c>
      <c r="PN1" s="5" t="s">
        <v>104</v>
      </c>
      <c r="PO1" s="5" t="s">
        <v>105</v>
      </c>
      <c r="PP1" s="5" t="s">
        <v>106</v>
      </c>
      <c r="PQ1" s="30" t="s">
        <v>294</v>
      </c>
      <c r="PR1" s="30" t="s">
        <v>295</v>
      </c>
      <c r="PS1" s="30" t="s">
        <v>296</v>
      </c>
      <c r="PT1" s="30" t="s">
        <v>297</v>
      </c>
      <c r="PU1" s="30" t="s">
        <v>298</v>
      </c>
      <c r="PV1" s="30" t="s">
        <v>1014</v>
      </c>
      <c r="PW1" s="30" t="s">
        <v>1044</v>
      </c>
      <c r="PX1" s="30" t="s">
        <v>1045</v>
      </c>
      <c r="PY1" s="30" t="s">
        <v>1046</v>
      </c>
      <c r="PZ1" s="42" t="s">
        <v>1062</v>
      </c>
      <c r="QA1" s="42" t="s">
        <v>558</v>
      </c>
      <c r="QB1" s="42" t="s">
        <v>557</v>
      </c>
      <c r="QC1" s="42" t="s">
        <v>1016</v>
      </c>
      <c r="QD1" s="42" t="s">
        <v>1015</v>
      </c>
      <c r="QE1" s="42" t="s">
        <v>1018</v>
      </c>
      <c r="QF1" s="42" t="s">
        <v>1017</v>
      </c>
      <c r="QG1" s="42" t="s">
        <v>1037</v>
      </c>
      <c r="QH1" s="42" t="s">
        <v>1036</v>
      </c>
      <c r="QI1" s="42" t="s">
        <v>1039</v>
      </c>
      <c r="QJ1" s="42" t="s">
        <v>1038</v>
      </c>
      <c r="QK1" s="42" t="s">
        <v>1063</v>
      </c>
      <c r="QL1" s="42" t="s">
        <v>1064</v>
      </c>
      <c r="QM1" s="42" t="s">
        <v>1065</v>
      </c>
      <c r="QN1" s="42" t="s">
        <v>1066</v>
      </c>
      <c r="QO1" s="42" t="s">
        <v>1067</v>
      </c>
      <c r="QP1" s="42" t="s">
        <v>1068</v>
      </c>
      <c r="QQ1" s="42" t="s">
        <v>1069</v>
      </c>
      <c r="QR1" s="42" t="s">
        <v>1070</v>
      </c>
      <c r="QS1" s="42" t="s">
        <v>1071</v>
      </c>
      <c r="QT1" s="42" t="s">
        <v>1072</v>
      </c>
      <c r="QU1" s="42" t="s">
        <v>1073</v>
      </c>
      <c r="QV1" s="42" t="s">
        <v>1074</v>
      </c>
      <c r="QW1" s="42" t="s">
        <v>402</v>
      </c>
      <c r="QX1" s="42" t="s">
        <v>401</v>
      </c>
      <c r="QY1" s="42" t="s">
        <v>556</v>
      </c>
      <c r="QZ1" s="42" t="s">
        <v>555</v>
      </c>
      <c r="RA1" s="42" t="s">
        <v>1020</v>
      </c>
      <c r="RB1" s="42" t="s">
        <v>1019</v>
      </c>
      <c r="RC1" s="42" t="s">
        <v>1022</v>
      </c>
      <c r="RD1" s="42" t="s">
        <v>1021</v>
      </c>
      <c r="RE1" s="42" t="s">
        <v>1041</v>
      </c>
      <c r="RF1" s="42" t="s">
        <v>1040</v>
      </c>
      <c r="RG1" s="42" t="s">
        <v>1043</v>
      </c>
      <c r="RH1" s="42" t="s">
        <v>1042</v>
      </c>
      <c r="RI1" s="42" t="s">
        <v>1075</v>
      </c>
      <c r="RJ1" s="42" t="s">
        <v>1076</v>
      </c>
      <c r="RK1" s="42" t="s">
        <v>1077</v>
      </c>
      <c r="RL1" s="42" t="s">
        <v>1078</v>
      </c>
      <c r="RM1" s="42" t="s">
        <v>1079</v>
      </c>
      <c r="RN1" s="42" t="s">
        <v>1080</v>
      </c>
      <c r="RO1" s="42" t="s">
        <v>1081</v>
      </c>
      <c r="RP1" s="42" t="s">
        <v>1082</v>
      </c>
      <c r="RQ1" s="42" t="s">
        <v>1083</v>
      </c>
      <c r="RR1" s="42" t="s">
        <v>1084</v>
      </c>
      <c r="RS1" s="42" t="s">
        <v>1085</v>
      </c>
      <c r="RT1" s="42" t="s">
        <v>1086</v>
      </c>
      <c r="RU1" s="42" t="s">
        <v>35</v>
      </c>
      <c r="RV1" s="42" t="s">
        <v>98</v>
      </c>
      <c r="RW1" s="42" t="s">
        <v>99</v>
      </c>
      <c r="RX1" s="42" t="s">
        <v>100</v>
      </c>
      <c r="RY1" s="42" t="s">
        <v>101</v>
      </c>
      <c r="RZ1" s="42" t="s">
        <v>102</v>
      </c>
      <c r="SA1" s="42" t="s">
        <v>103</v>
      </c>
      <c r="SB1" s="42" t="s">
        <v>104</v>
      </c>
      <c r="SC1" s="42" t="s">
        <v>105</v>
      </c>
      <c r="SD1" s="42" t="s">
        <v>106</v>
      </c>
      <c r="SE1" s="42" t="s">
        <v>107</v>
      </c>
      <c r="SF1" s="42" t="s">
        <v>108</v>
      </c>
      <c r="SG1" s="42" t="s">
        <v>109</v>
      </c>
      <c r="SH1" s="42" t="s">
        <v>110</v>
      </c>
      <c r="SI1" s="42" t="s">
        <v>111</v>
      </c>
      <c r="SJ1" s="42" t="s">
        <v>1087</v>
      </c>
      <c r="SK1" s="42" t="s">
        <v>1088</v>
      </c>
      <c r="SL1" s="42" t="s">
        <v>1089</v>
      </c>
      <c r="SM1" s="42" t="s">
        <v>1090</v>
      </c>
      <c r="SN1" s="42" t="s">
        <v>1091</v>
      </c>
      <c r="SO1" s="42" t="s">
        <v>1092</v>
      </c>
      <c r="SP1" s="42" t="s">
        <v>1093</v>
      </c>
      <c r="SQ1" s="42" t="s">
        <v>1094</v>
      </c>
      <c r="SR1" s="42" t="s">
        <v>1095</v>
      </c>
      <c r="SS1" s="42" t="s">
        <v>1096</v>
      </c>
      <c r="ST1" s="42" t="s">
        <v>1097</v>
      </c>
      <c r="SU1" s="42" t="s">
        <v>1139</v>
      </c>
      <c r="SV1" s="42" t="s">
        <v>924</v>
      </c>
      <c r="SW1" s="42" t="s">
        <v>1032</v>
      </c>
      <c r="SX1" s="42" t="s">
        <v>1098</v>
      </c>
      <c r="SY1" s="42" t="s">
        <v>1099</v>
      </c>
      <c r="SZ1" s="42" t="s">
        <v>1100</v>
      </c>
      <c r="TA1" s="42" t="s">
        <v>1101</v>
      </c>
      <c r="TB1" s="42" t="s">
        <v>1102</v>
      </c>
      <c r="TC1" s="42" t="s">
        <v>1103</v>
      </c>
      <c r="TD1" s="42" t="s">
        <v>1104</v>
      </c>
      <c r="TE1" s="42" t="s">
        <v>1105</v>
      </c>
      <c r="TF1" s="42" t="s">
        <v>1106</v>
      </c>
      <c r="TG1" s="42" t="s">
        <v>1140</v>
      </c>
      <c r="TH1" s="42" t="s">
        <v>925</v>
      </c>
      <c r="TI1" s="42" t="s">
        <v>1033</v>
      </c>
      <c r="TJ1" s="42" t="s">
        <v>1107</v>
      </c>
      <c r="TK1" s="42" t="s">
        <v>1108</v>
      </c>
      <c r="TL1" s="42" t="s">
        <v>1109</v>
      </c>
      <c r="TM1" s="42" t="s">
        <v>1110</v>
      </c>
      <c r="TN1" s="42" t="s">
        <v>1111</v>
      </c>
      <c r="TO1" s="42" t="s">
        <v>1112</v>
      </c>
      <c r="TP1" s="42" t="s">
        <v>1113</v>
      </c>
      <c r="TQ1" s="42" t="s">
        <v>1114</v>
      </c>
      <c r="TR1" s="52" t="s">
        <v>1115</v>
      </c>
      <c r="TS1" s="39" t="s">
        <v>1943</v>
      </c>
      <c r="TT1" s="23" t="s">
        <v>1944</v>
      </c>
      <c r="TU1" s="23" t="s">
        <v>1945</v>
      </c>
      <c r="TV1" s="23" t="s">
        <v>1978</v>
      </c>
      <c r="TW1" s="23" t="s">
        <v>1946</v>
      </c>
      <c r="TX1" s="23" t="s">
        <v>1947</v>
      </c>
      <c r="TY1" s="23" t="s">
        <v>1948</v>
      </c>
      <c r="TZ1" s="23" t="s">
        <v>1949</v>
      </c>
      <c r="UA1" s="23" t="s">
        <v>35</v>
      </c>
      <c r="UB1" s="23" t="s">
        <v>98</v>
      </c>
      <c r="UC1" s="23" t="s">
        <v>99</v>
      </c>
      <c r="UD1" s="23" t="s">
        <v>100</v>
      </c>
      <c r="UE1" s="23" t="s">
        <v>31</v>
      </c>
      <c r="UF1" s="23" t="s">
        <v>112</v>
      </c>
      <c r="UG1" s="23" t="s">
        <v>113</v>
      </c>
      <c r="UH1" s="24" t="s">
        <v>114</v>
      </c>
      <c r="UI1" s="39" t="s">
        <v>35</v>
      </c>
      <c r="UJ1" s="23" t="s">
        <v>924</v>
      </c>
      <c r="UK1" s="23" t="s">
        <v>925</v>
      </c>
      <c r="UL1" s="23" t="s">
        <v>37</v>
      </c>
      <c r="UM1" s="23" t="s">
        <v>36</v>
      </c>
      <c r="UN1" s="23" t="s">
        <v>51</v>
      </c>
      <c r="UO1" s="23" t="s">
        <v>50</v>
      </c>
      <c r="UP1" s="23" t="s">
        <v>53</v>
      </c>
      <c r="UQ1" s="23" t="s">
        <v>52</v>
      </c>
      <c r="UR1" s="23" t="s">
        <v>73</v>
      </c>
      <c r="US1" s="23" t="s">
        <v>74</v>
      </c>
      <c r="UT1" s="23" t="s">
        <v>70</v>
      </c>
      <c r="UU1" s="23" t="s">
        <v>71</v>
      </c>
      <c r="UV1" s="23" t="s">
        <v>68</v>
      </c>
      <c r="UW1" s="23" t="s">
        <v>69</v>
      </c>
      <c r="UX1" s="23" t="s">
        <v>98</v>
      </c>
      <c r="UY1" s="23" t="s">
        <v>99</v>
      </c>
      <c r="UZ1" s="23" t="s">
        <v>100</v>
      </c>
      <c r="VA1" s="23" t="s">
        <v>101</v>
      </c>
      <c r="VB1" s="23" t="s">
        <v>2000</v>
      </c>
      <c r="VC1" s="23" t="s">
        <v>2004</v>
      </c>
      <c r="VD1" s="23" t="s">
        <v>2001</v>
      </c>
      <c r="VE1" s="23" t="s">
        <v>2002</v>
      </c>
      <c r="VF1" s="23" t="s">
        <v>112</v>
      </c>
      <c r="VG1" s="23" t="s">
        <v>113</v>
      </c>
      <c r="VH1" s="24" t="s">
        <v>114</v>
      </c>
      <c r="VI1" s="28" t="s">
        <v>144</v>
      </c>
      <c r="VJ1" s="19" t="s">
        <v>2047</v>
      </c>
      <c r="VK1" s="20" t="s">
        <v>2048</v>
      </c>
      <c r="VL1" s="4" t="s">
        <v>35</v>
      </c>
      <c r="VM1" s="32" t="s">
        <v>98</v>
      </c>
      <c r="VN1" s="32" t="s">
        <v>99</v>
      </c>
      <c r="VO1" s="32" t="s">
        <v>100</v>
      </c>
      <c r="VP1" s="32" t="s">
        <v>101</v>
      </c>
      <c r="VQ1" s="32" t="s">
        <v>37</v>
      </c>
      <c r="VR1" s="32" t="s">
        <v>36</v>
      </c>
      <c r="VS1" s="5" t="s">
        <v>51</v>
      </c>
      <c r="VT1" s="5" t="s">
        <v>50</v>
      </c>
      <c r="VU1" s="5" t="s">
        <v>53</v>
      </c>
      <c r="VV1" s="5" t="s">
        <v>52</v>
      </c>
      <c r="VW1" s="5" t="s">
        <v>404</v>
      </c>
      <c r="VX1" s="5" t="s">
        <v>405</v>
      </c>
      <c r="VY1" s="5" t="s">
        <v>73</v>
      </c>
      <c r="VZ1" s="5" t="s">
        <v>74</v>
      </c>
      <c r="WA1" s="5" t="s">
        <v>70</v>
      </c>
      <c r="WB1" s="5" t="s">
        <v>71</v>
      </c>
      <c r="WC1" s="5" t="s">
        <v>68</v>
      </c>
      <c r="WD1" s="5" t="s">
        <v>69</v>
      </c>
      <c r="WE1" s="5" t="s">
        <v>858</v>
      </c>
      <c r="WF1" s="5" t="s">
        <v>859</v>
      </c>
      <c r="WG1" s="5" t="s">
        <v>862</v>
      </c>
      <c r="WH1" s="5" t="s">
        <v>863</v>
      </c>
      <c r="WI1" s="31" t="s">
        <v>864</v>
      </c>
      <c r="WJ1" s="23" t="s">
        <v>2174</v>
      </c>
      <c r="WK1" s="19" t="s">
        <v>2175</v>
      </c>
      <c r="WL1" s="20" t="s">
        <v>2176</v>
      </c>
      <c r="WM1" t="s">
        <v>35</v>
      </c>
      <c r="WN1" t="s">
        <v>98</v>
      </c>
      <c r="WO1" t="s">
        <v>99</v>
      </c>
      <c r="WP1" t="s">
        <v>100</v>
      </c>
      <c r="WQ1" t="s">
        <v>101</v>
      </c>
      <c r="WR1" t="s">
        <v>102</v>
      </c>
      <c r="WS1" t="s">
        <v>103</v>
      </c>
      <c r="WT1" t="s">
        <v>104</v>
      </c>
      <c r="WU1" t="s">
        <v>105</v>
      </c>
      <c r="WV1" t="s">
        <v>106</v>
      </c>
      <c r="WW1" t="s">
        <v>107</v>
      </c>
      <c r="WX1" t="s">
        <v>108</v>
      </c>
      <c r="WY1" t="s">
        <v>109</v>
      </c>
      <c r="WZ1" t="s">
        <v>110</v>
      </c>
      <c r="XA1" t="s">
        <v>111</v>
      </c>
      <c r="XB1" t="s">
        <v>1087</v>
      </c>
      <c r="XC1" t="s">
        <v>1088</v>
      </c>
      <c r="XD1" t="s">
        <v>1089</v>
      </c>
      <c r="XE1" t="s">
        <v>1090</v>
      </c>
      <c r="XF1" t="s">
        <v>1091</v>
      </c>
      <c r="XG1" t="s">
        <v>1092</v>
      </c>
      <c r="XH1" t="s">
        <v>46</v>
      </c>
      <c r="XI1" t="s">
        <v>47</v>
      </c>
      <c r="XJ1" t="s">
        <v>48</v>
      </c>
      <c r="XK1" t="s">
        <v>49</v>
      </c>
      <c r="XL1" t="s">
        <v>2834</v>
      </c>
      <c r="XM1" t="s">
        <v>2833</v>
      </c>
      <c r="XN1" t="s">
        <v>2835</v>
      </c>
      <c r="XO1" t="s">
        <v>2832</v>
      </c>
      <c r="XP1" t="s">
        <v>2836</v>
      </c>
      <c r="XQ1" t="s">
        <v>2831</v>
      </c>
      <c r="XR1" t="s">
        <v>2837</v>
      </c>
      <c r="XS1" t="s">
        <v>2830</v>
      </c>
      <c r="XT1" t="s">
        <v>2838</v>
      </c>
      <c r="XU1" t="s">
        <v>2829</v>
      </c>
      <c r="XV1" t="s">
        <v>2828</v>
      </c>
      <c r="XW1" t="s">
        <v>2827</v>
      </c>
      <c r="XX1" t="s">
        <v>2826</v>
      </c>
      <c r="XY1" t="s">
        <v>2825</v>
      </c>
      <c r="XZ1" t="s">
        <v>62</v>
      </c>
      <c r="YA1" t="s">
        <v>63</v>
      </c>
      <c r="YB1" t="s">
        <v>64</v>
      </c>
      <c r="YC1" t="s">
        <v>65</v>
      </c>
      <c r="YD1" t="s">
        <v>66</v>
      </c>
      <c r="YE1" t="s">
        <v>67</v>
      </c>
      <c r="YF1" t="s">
        <v>2840</v>
      </c>
      <c r="YG1" t="s">
        <v>2839</v>
      </c>
      <c r="YH1" t="s">
        <v>2842</v>
      </c>
      <c r="YI1" t="s">
        <v>2841</v>
      </c>
      <c r="YJ1" t="s">
        <v>2844</v>
      </c>
      <c r="YK1" t="s">
        <v>2843</v>
      </c>
      <c r="YL1" t="s">
        <v>2846</v>
      </c>
      <c r="YM1" t="s">
        <v>2845</v>
      </c>
      <c r="YN1" t="s">
        <v>2848</v>
      </c>
      <c r="YO1" t="s">
        <v>2847</v>
      </c>
      <c r="YP1" t="s">
        <v>2850</v>
      </c>
      <c r="YQ1" t="s">
        <v>2849</v>
      </c>
      <c r="YR1" t="s">
        <v>2851</v>
      </c>
      <c r="YS1" t="s">
        <v>2852</v>
      </c>
      <c r="YT1" t="s">
        <v>73</v>
      </c>
      <c r="YU1" t="s">
        <v>74</v>
      </c>
      <c r="YV1" t="s">
        <v>75</v>
      </c>
      <c r="YW1" t="s">
        <v>76</v>
      </c>
      <c r="YX1" t="s">
        <v>77</v>
      </c>
      <c r="YY1" t="s">
        <v>78</v>
      </c>
      <c r="YZ1" t="s">
        <v>79</v>
      </c>
      <c r="ZA1" t="s">
        <v>80</v>
      </c>
      <c r="ZB1" t="s">
        <v>81</v>
      </c>
      <c r="ZC1" t="s">
        <v>2853</v>
      </c>
      <c r="ZD1" t="s">
        <v>2854</v>
      </c>
      <c r="ZE1" t="s">
        <v>82</v>
      </c>
      <c r="ZF1" t="s">
        <v>2855</v>
      </c>
      <c r="ZG1" t="s">
        <v>83</v>
      </c>
      <c r="ZH1" t="s">
        <v>2856</v>
      </c>
      <c r="ZI1" t="s">
        <v>84</v>
      </c>
      <c r="ZJ1" t="s">
        <v>2857</v>
      </c>
      <c r="ZK1" t="s">
        <v>85</v>
      </c>
      <c r="ZL1" t="s">
        <v>87</v>
      </c>
      <c r="ZM1" t="s">
        <v>86</v>
      </c>
      <c r="ZN1" t="s">
        <v>89</v>
      </c>
      <c r="ZO1" t="s">
        <v>88</v>
      </c>
      <c r="ZP1" t="s">
        <v>91</v>
      </c>
      <c r="ZQ1" t="s">
        <v>90</v>
      </c>
      <c r="ZR1" t="s">
        <v>93</v>
      </c>
      <c r="ZS1" t="s">
        <v>92</v>
      </c>
      <c r="ZT1" t="s">
        <v>95</v>
      </c>
      <c r="ZU1" t="s">
        <v>94</v>
      </c>
      <c r="ZV1" t="s">
        <v>2858</v>
      </c>
      <c r="ZW1" t="s">
        <v>2859</v>
      </c>
      <c r="ZX1" t="s">
        <v>2047</v>
      </c>
      <c r="ZY1" t="s">
        <v>2048</v>
      </c>
      <c r="ZZ1" t="s">
        <v>2880</v>
      </c>
      <c r="AAA1" t="s">
        <v>2881</v>
      </c>
      <c r="AAB1" t="s">
        <v>2882</v>
      </c>
      <c r="AAC1" t="s">
        <v>2883</v>
      </c>
      <c r="AAD1" t="s">
        <v>2884</v>
      </c>
      <c r="AAE1" t="s">
        <v>2885</v>
      </c>
      <c r="AAF1" t="s">
        <v>2886</v>
      </c>
      <c r="AAG1" t="s">
        <v>2887</v>
      </c>
      <c r="AAH1" t="s">
        <v>31</v>
      </c>
      <c r="AAI1" t="s">
        <v>112</v>
      </c>
      <c r="AAJ1" t="s">
        <v>113</v>
      </c>
      <c r="AAK1" t="s">
        <v>114</v>
      </c>
      <c r="AAL1" t="s">
        <v>115</v>
      </c>
      <c r="AAM1" t="s">
        <v>116</v>
      </c>
      <c r="AAN1" t="s">
        <v>117</v>
      </c>
      <c r="AAO1" t="s">
        <v>118</v>
      </c>
      <c r="AAP1" t="s">
        <v>119</v>
      </c>
      <c r="AAQ1" t="s">
        <v>120</v>
      </c>
      <c r="AAR1" t="s">
        <v>121</v>
      </c>
      <c r="AAS1" t="s">
        <v>122</v>
      </c>
      <c r="AAT1" t="s">
        <v>123</v>
      </c>
      <c r="AAU1" t="s">
        <v>124</v>
      </c>
      <c r="AAV1" t="s">
        <v>125</v>
      </c>
      <c r="AAW1" t="s">
        <v>2898</v>
      </c>
      <c r="AAX1" t="s">
        <v>2899</v>
      </c>
      <c r="AAY1" t="s">
        <v>2900</v>
      </c>
      <c r="AAZ1" t="s">
        <v>2901</v>
      </c>
      <c r="ABA1" t="s">
        <v>2902</v>
      </c>
      <c r="ABB1" s="16" t="s">
        <v>2903</v>
      </c>
      <c r="ABC1" s="19" t="s">
        <v>2047</v>
      </c>
      <c r="ABD1" s="20" t="s">
        <v>2048</v>
      </c>
      <c r="ABE1" s="19" t="s">
        <v>2880</v>
      </c>
      <c r="ABF1" s="19" t="s">
        <v>2881</v>
      </c>
      <c r="ABG1" s="4" t="s">
        <v>35</v>
      </c>
      <c r="ABH1" s="32" t="s">
        <v>98</v>
      </c>
      <c r="ABI1" s="32" t="s">
        <v>99</v>
      </c>
      <c r="ABJ1" s="32" t="s">
        <v>100</v>
      </c>
      <c r="ABK1" s="32" t="s">
        <v>101</v>
      </c>
      <c r="ABL1" s="32" t="s">
        <v>102</v>
      </c>
      <c r="ABM1" s="32" t="s">
        <v>103</v>
      </c>
      <c r="ABN1" s="32" t="s">
        <v>104</v>
      </c>
      <c r="ABO1" s="32" t="s">
        <v>105</v>
      </c>
      <c r="ABP1" s="32" t="s">
        <v>37</v>
      </c>
      <c r="ABQ1" s="32" t="s">
        <v>36</v>
      </c>
      <c r="ABR1" s="32" t="s">
        <v>39</v>
      </c>
      <c r="ABS1" s="32" t="s">
        <v>38</v>
      </c>
      <c r="ABT1" s="32" t="s">
        <v>41</v>
      </c>
      <c r="ABU1" s="32" t="s">
        <v>40</v>
      </c>
      <c r="ABV1" s="5" t="s">
        <v>51</v>
      </c>
      <c r="ABW1" s="5" t="s">
        <v>50</v>
      </c>
      <c r="ABX1" s="5" t="s">
        <v>53</v>
      </c>
      <c r="ABY1" s="5" t="s">
        <v>52</v>
      </c>
      <c r="ABZ1" s="5" t="s">
        <v>55</v>
      </c>
      <c r="ACA1" s="5" t="s">
        <v>54</v>
      </c>
      <c r="ACB1" s="5" t="s">
        <v>57</v>
      </c>
      <c r="ACC1" s="5" t="s">
        <v>56</v>
      </c>
      <c r="ACD1" s="5" t="s">
        <v>404</v>
      </c>
      <c r="ACE1" s="5" t="s">
        <v>405</v>
      </c>
      <c r="ACF1" s="5" t="s">
        <v>406</v>
      </c>
      <c r="ACG1" s="5" t="s">
        <v>407</v>
      </c>
      <c r="ACH1" s="5" t="s">
        <v>408</v>
      </c>
      <c r="ACI1" s="5" t="s">
        <v>409</v>
      </c>
      <c r="ACJ1" s="5" t="s">
        <v>410</v>
      </c>
      <c r="ACK1" s="5" t="s">
        <v>2916</v>
      </c>
      <c r="ACL1" s="5" t="s">
        <v>73</v>
      </c>
      <c r="ACM1" s="5" t="s">
        <v>74</v>
      </c>
      <c r="ACN1" s="5" t="s">
        <v>75</v>
      </c>
      <c r="ACO1" s="5" t="s">
        <v>76</v>
      </c>
      <c r="ACP1" s="5" t="s">
        <v>68</v>
      </c>
      <c r="ACQ1" s="5" t="s">
        <v>69</v>
      </c>
      <c r="ACR1" s="5" t="s">
        <v>70</v>
      </c>
      <c r="ACS1" s="5" t="s">
        <v>71</v>
      </c>
      <c r="ACT1" s="5" t="s">
        <v>858</v>
      </c>
      <c r="ACU1" s="5" t="s">
        <v>859</v>
      </c>
      <c r="ACV1" s="5" t="s">
        <v>31</v>
      </c>
      <c r="ACW1" s="5" t="s">
        <v>112</v>
      </c>
      <c r="ACX1" s="5" t="s">
        <v>113</v>
      </c>
      <c r="ACY1" s="5" t="s">
        <v>114</v>
      </c>
      <c r="ACZ1" s="5" t="s">
        <v>115</v>
      </c>
      <c r="ADA1" s="5" t="s">
        <v>116</v>
      </c>
      <c r="ADB1" s="5" t="s">
        <v>117</v>
      </c>
      <c r="ADC1" s="5" t="s">
        <v>118</v>
      </c>
      <c r="ADD1" s="5" t="s">
        <v>119</v>
      </c>
      <c r="ADE1" s="42" t="s">
        <v>35</v>
      </c>
      <c r="ADF1" s="42" t="s">
        <v>98</v>
      </c>
      <c r="ADG1" s="42" t="s">
        <v>99</v>
      </c>
      <c r="ADH1" s="42" t="s">
        <v>100</v>
      </c>
      <c r="ADI1" s="42" t="s">
        <v>101</v>
      </c>
      <c r="ADJ1" s="42" t="s">
        <v>558</v>
      </c>
      <c r="ADK1" s="42" t="s">
        <v>557</v>
      </c>
      <c r="ADL1" s="42" t="s">
        <v>921</v>
      </c>
      <c r="ADM1" s="42" t="s">
        <v>922</v>
      </c>
      <c r="ADN1" s="42" t="s">
        <v>923</v>
      </c>
      <c r="ADO1" s="42" t="s">
        <v>862</v>
      </c>
      <c r="ADP1" s="42" t="s">
        <v>863</v>
      </c>
      <c r="ADQ1" s="42" t="s">
        <v>864</v>
      </c>
      <c r="ADR1" s="42" t="s">
        <v>2969</v>
      </c>
      <c r="ADS1" s="42" t="s">
        <v>2970</v>
      </c>
      <c r="ADT1" s="42" t="s">
        <v>2971</v>
      </c>
      <c r="ADU1" s="42" t="s">
        <v>924</v>
      </c>
      <c r="ADV1" s="42" t="s">
        <v>925</v>
      </c>
    </row>
    <row r="2" spans="1:802" x14ac:dyDescent="0.25">
      <c r="A2" t="s">
        <v>271</v>
      </c>
      <c r="B2" t="s">
        <v>270</v>
      </c>
      <c r="C2" s="3" t="s">
        <v>127</v>
      </c>
      <c r="D2" t="s">
        <v>128</v>
      </c>
      <c r="G2" t="str">
        <f>IF(F2="","",F2)</f>
        <v/>
      </c>
      <c r="J2">
        <v>0.7</v>
      </c>
      <c r="M2">
        <v>0.4</v>
      </c>
      <c r="N2">
        <v>59675</v>
      </c>
      <c r="O2" s="2">
        <v>45427</v>
      </c>
      <c r="P2" t="s">
        <v>129</v>
      </c>
      <c r="Q2" s="1"/>
      <c r="S2" s="1" t="s">
        <v>130</v>
      </c>
      <c r="T2" s="10" t="s">
        <v>554</v>
      </c>
      <c r="U2" s="11">
        <v>1</v>
      </c>
      <c r="V2" s="11" t="s">
        <v>309</v>
      </c>
      <c r="W2" s="11"/>
      <c r="X2" s="12"/>
      <c r="Y2" s="12"/>
      <c r="Z2" s="12"/>
      <c r="AA2" s="12"/>
      <c r="AB2" s="12"/>
      <c r="AC2" s="12" t="s">
        <v>131</v>
      </c>
      <c r="AD2" s="12"/>
      <c r="AE2" s="12"/>
      <c r="AF2" s="12" t="s">
        <v>133</v>
      </c>
      <c r="AG2" s="12" t="s">
        <v>134</v>
      </c>
      <c r="AH2" s="12" t="s">
        <v>132</v>
      </c>
      <c r="AI2" s="72" t="str" cm="1">
        <f t="array" ref="AI2">IF(COUNTIFS(AH$2:AH2,AH2)=1,"1",VALUE(SUBSTITUTE(INDEX(AI:AI,_xlfn.XMATCH(AH2,AH$1:AH1,0,-1)),"A",""))+INDEX(AJ:AJ,_xlfn.XMATCH(AH2,AH$1:AH1,0,-1))+1)</f>
        <v>1</v>
      </c>
      <c r="AJ2" s="72" cm="1">
        <f t="array" ref="AJ2">SUM(IF(ISNUMBER(FIND("TmDo",$BE$1:$AAL$1)),IF(IFERROR(ISNUMBER(VALUE(SUBSTITUTE($BE2:$AAL2,"B",""))),FALSE),IF(ISNUMBER(VALUE(SUBSTITUTE($BE2:$AAL2,"B",""))),1,0),0)))</f>
        <v>2</v>
      </c>
      <c r="AK2" s="12" t="str">
        <f t="shared" ref="AK2:AK55" si="0">CONCATENATE($AI2,"A")</f>
        <v>1A</v>
      </c>
      <c r="AL2" s="12" t="str">
        <f t="shared" ref="AL2:AL55" si="1">CONCATENATE($AI2,"B")</f>
        <v>1B</v>
      </c>
      <c r="AM2" s="12" t="s">
        <v>141</v>
      </c>
      <c r="AN2" s="12"/>
      <c r="AO2" s="12"/>
      <c r="AP2" s="12" t="s">
        <v>137</v>
      </c>
      <c r="AQ2" s="12" t="s">
        <v>138</v>
      </c>
      <c r="AR2" s="12"/>
      <c r="AS2" s="12"/>
      <c r="AT2" s="12" t="s">
        <v>139</v>
      </c>
      <c r="AU2" s="12" t="s">
        <v>140</v>
      </c>
      <c r="AV2" s="12"/>
      <c r="AW2" s="12"/>
      <c r="AX2" s="12"/>
      <c r="AY2" s="12"/>
      <c r="AZ2" s="12"/>
      <c r="BA2" s="12"/>
      <c r="BB2" s="12"/>
      <c r="BC2" s="12"/>
      <c r="BD2" s="13"/>
      <c r="BE2" s="12" t="str">
        <f t="shared" ref="BE2:BE33" si="2">CONCATENATE("XT",U2)</f>
        <v>XT1</v>
      </c>
      <c r="BF2" s="12" t="str">
        <f t="shared" ref="BF2:BF33" si="3">CONCATENATE("C",REPLACE(AF2,1,1,"")+1)</f>
        <v>C2</v>
      </c>
      <c r="BG2" s="12" t="str">
        <f t="shared" ref="BG2:BG33" si="4">CONCATENATE("B",REPLACE(AG2,1,1,"")+1)</f>
        <v>B2</v>
      </c>
      <c r="BH2" s="12" t="str">
        <f t="shared" ref="BH2:BH33" si="5">CONCATENATE("C",REPLACE(BF2,1,1,"")+1)</f>
        <v>C3</v>
      </c>
      <c r="BI2" s="12" t="str">
        <f t="shared" ref="BI2:BI33" si="6">CONCATENATE("B",REPLACE(BG2,1,1,"")+1)</f>
        <v>B3</v>
      </c>
      <c r="BJ2" s="12" t="str">
        <f t="shared" ref="BJ2:BJ33" si="7">CONCATENATE("C",REPLACE(BH2,1,1,"")+1)</f>
        <v>C4</v>
      </c>
      <c r="BK2" s="12" t="str">
        <f t="shared" ref="BK2:BK33" si="8">CONCATENATE("B",REPLACE(BI2,1,1,"")+1)</f>
        <v>B4</v>
      </c>
      <c r="BL2" s="12" t="str">
        <f t="shared" ref="BL2:BL33" si="9">CONCATENATE("C",REPLACE(BJ2,1,1,"")+1)</f>
        <v>C5</v>
      </c>
      <c r="BM2" s="12" t="str">
        <f t="shared" ref="BM2:BM33" si="10">CONCATENATE("B",REPLACE(BK2,1,1,"")+1)</f>
        <v>B5</v>
      </c>
      <c r="BN2" s="12" t="str">
        <f t="shared" ref="BN2:BN33" si="11">CONCATENATE("C",REPLACE(BL2,1,1,"")+1)</f>
        <v>C6</v>
      </c>
      <c r="BO2" s="12" t="str">
        <f t="shared" ref="BO2:BO33" si="12">CONCATENATE("B",REPLACE(BM2,1,1,"")+1)</f>
        <v>B6</v>
      </c>
      <c r="BP2" s="12" t="str">
        <f t="shared" ref="BP2:BP33" si="13">CONCATENATE(REPLACE(AK2,LEN(AK2),1,"")+1,"A")</f>
        <v>2A</v>
      </c>
      <c r="BQ2" s="12" t="str">
        <f t="shared" ref="BQ2:BQ33" si="14">CONCATENATE(REPLACE(AL2,LEN(AL2),1,"")+1,"B")</f>
        <v>2B</v>
      </c>
      <c r="BR2" s="12" t="str">
        <f t="shared" ref="BR2:BR33" si="15">CONCATENATE(REPLACE(BP2,LEN(BP2),1,"")+1,"A")</f>
        <v>3A</v>
      </c>
      <c r="BS2" s="12" t="str">
        <f t="shared" ref="BS2:BS33" si="16">CONCATENATE(REPLACE(BQ2,LEN(BQ2),1,"")+1,"B")</f>
        <v>3B</v>
      </c>
      <c r="BT2" s="12" t="str">
        <f t="shared" ref="BT2:BT33" si="17">CONCATENATE("DI",REPLACE($AC2,1,3,""),"-",AF2)</f>
        <v>DI1-C1</v>
      </c>
      <c r="BU2" s="12" t="str">
        <f t="shared" ref="BU2:BU33" si="18">CONCATENATE("DI",REPLACE($AC2,1,3,""),"-",AG2)</f>
        <v>DI1-B1</v>
      </c>
      <c r="BV2" s="12" t="str">
        <f t="shared" ref="BV2:CE17" si="19">CONCATENATE("DI",REPLACE($AC2,1,3,""),"-",BF2)</f>
        <v>DI1-C2</v>
      </c>
      <c r="BW2" s="12" t="str">
        <f t="shared" si="19"/>
        <v>DI1-B2</v>
      </c>
      <c r="BX2" s="12" t="str">
        <f t="shared" si="19"/>
        <v>DI1-C3</v>
      </c>
      <c r="BY2" s="12" t="str">
        <f t="shared" si="19"/>
        <v>DI1-B3</v>
      </c>
      <c r="BZ2" s="12" t="str">
        <f t="shared" si="19"/>
        <v>DI1-C4</v>
      </c>
      <c r="CA2" s="12" t="str">
        <f t="shared" si="19"/>
        <v>DI1-B4</v>
      </c>
      <c r="CB2" s="12" t="str">
        <f t="shared" si="19"/>
        <v>DI1-C5</v>
      </c>
      <c r="CC2" s="12" t="str">
        <f t="shared" si="19"/>
        <v>DI1-B5</v>
      </c>
      <c r="CD2" s="12" t="str">
        <f t="shared" si="19"/>
        <v>DI1-C6</v>
      </c>
      <c r="CE2" s="12" t="str">
        <f t="shared" si="19"/>
        <v>DI1-B6</v>
      </c>
      <c r="CF2" s="12" t="str">
        <f t="shared" ref="CF2:CF33" si="20">CONCATENATE("DO",REPLACE($AH2,1,3,""),"-",AK2)</f>
        <v>DO1-1A</v>
      </c>
      <c r="CG2" s="12" t="str">
        <f t="shared" ref="CG2:CG33" si="21">CONCATENATE("DO",REPLACE($AH2,1,3,""),"-",AL2)</f>
        <v>DO1-1B</v>
      </c>
      <c r="CH2" s="12" t="str">
        <f t="shared" ref="CH2:CH33" si="22">CONCATENATE("DO",REPLACE($AH2,1,3,""),"-",BP2)</f>
        <v>DO1-2A</v>
      </c>
      <c r="CI2" s="12" t="str">
        <f t="shared" ref="CI2:CI33" si="23">CONCATENATE("DO",REPLACE($AH2,1,3,""),"-",BQ2)</f>
        <v>DO1-2B</v>
      </c>
      <c r="CJ2" s="12" t="str">
        <f t="shared" ref="CJ2:CJ33" si="24">CONCATENATE("DO",REPLACE($AH2,1,3,""),"-",BR2)</f>
        <v>DO1-3A</v>
      </c>
      <c r="CK2" s="12" t="str">
        <f t="shared" ref="CK2:CK33" si="25">CONCATENATE("DO",REPLACE($AH2,1,3,""),"-",BS2)</f>
        <v>DO1-3B</v>
      </c>
      <c r="CL2" s="12" t="str">
        <f>CONCATENATE("K",$U2,"-10")</f>
        <v>K1-10</v>
      </c>
      <c r="CM2" s="12" t="str">
        <f>CONCATENATE("K",$U2,"-03")</f>
        <v>K1-03</v>
      </c>
      <c r="CN2" s="12" t="str">
        <f>CONCATENATE("K",$U2,"-04")</f>
        <v>K1-04</v>
      </c>
      <c r="CO2" s="12" t="str">
        <f>CONCATENATE("K",$U2,"-01")</f>
        <v>K1-01</v>
      </c>
      <c r="CP2" s="12" t="str">
        <f>CONCATENATE("K",$U2,"-08")</f>
        <v>K1-08</v>
      </c>
      <c r="CQ2" s="12" t="str">
        <f>CONCATENATE("K",$U2,"-02")</f>
        <v>K1-02</v>
      </c>
      <c r="CR2" s="12" t="str">
        <f>CONCATENATE("K",$U2,"-09")</f>
        <v>K1-09</v>
      </c>
      <c r="CS2" s="12" t="str">
        <f>CONCATENATE("K",$U2,"-05")</f>
        <v>K1-05</v>
      </c>
      <c r="CT2" s="12" t="str">
        <f>CONCATENATE("K",$U2,"-11")</f>
        <v>K1-11</v>
      </c>
      <c r="CU2" s="12" t="str">
        <f>CONCATENATE($T2,"-M",$U2,"-A9")</f>
        <v>F0-M1-A9</v>
      </c>
      <c r="CV2" s="12" t="str">
        <f>CONCATENATE($T2,"-M",$U2,"-A7")</f>
        <v>F0-M1-A7</v>
      </c>
      <c r="CW2" s="12" t="str">
        <f>CONCATENATE($T2,"-M",$U2,"-A8")</f>
        <v>F0-M1-A8</v>
      </c>
      <c r="CX2" s="12" t="str">
        <f>CONCATENATE($T2,"-M",$U2,"-A6")</f>
        <v>F0-M1-A6</v>
      </c>
      <c r="CY2" s="12" t="str">
        <f>CONCATENATE($T2,"-M",$U2,"-A30")</f>
        <v>F0-M1-A30</v>
      </c>
      <c r="CZ2" s="12" t="str">
        <f>CONCATENATE($T2,"-M",$U2,"-N")</f>
        <v>F0-M1-N</v>
      </c>
      <c r="DA2" s="12" t="str">
        <f t="shared" ref="DA2:DA33" si="26">CONCATENATE($T2,"-A220-M",U2)</f>
        <v>F0-A220-M1</v>
      </c>
      <c r="DB2" s="12" t="str">
        <f>CONCATENATE($T2,"-M",$U2,"-XM01")</f>
        <v>F0-M1-XM01</v>
      </c>
      <c r="DC2" s="12" t="str">
        <f>CONCATENATE($T2,"-M",$U2,"-A1")</f>
        <v>F0-M1-A1</v>
      </c>
      <c r="DD2" s="12" t="str">
        <f>CONCATENATE($T2,"-M",$U2,"-A5")</f>
        <v>F0-M1-A5</v>
      </c>
      <c r="DE2" s="12" t="str">
        <f>CONCATENATE($T2,"-M",$U2,"-A11")</f>
        <v>F0-M1-A11</v>
      </c>
      <c r="DF2" s="12" t="str">
        <f>CONCATENATE($T2,"-M",$U2,"-A12")</f>
        <v>F0-M1-A12</v>
      </c>
      <c r="DG2" s="12" t="str">
        <f>CONCATENATE($T2,"-M",$U2,"-A19")</f>
        <v>F0-M1-A19</v>
      </c>
      <c r="DH2" s="12" t="str">
        <f>CONCATENATE($T2,"-M",$U2,"-A20")</f>
        <v>F0-M1-A20</v>
      </c>
      <c r="DI2" s="12" t="s">
        <v>142</v>
      </c>
      <c r="DJ2" s="12" t="s">
        <v>143</v>
      </c>
      <c r="DK2" s="12">
        <v>11</v>
      </c>
      <c r="DL2" s="12">
        <v>14</v>
      </c>
      <c r="DM2" s="12">
        <v>12</v>
      </c>
      <c r="DN2" s="12" t="s">
        <v>144</v>
      </c>
      <c r="DO2" s="12" t="s">
        <v>145</v>
      </c>
      <c r="DP2" s="12">
        <v>1</v>
      </c>
      <c r="DQ2" s="12">
        <v>2</v>
      </c>
      <c r="DR2" s="12">
        <v>3</v>
      </c>
      <c r="DS2" s="12">
        <v>4</v>
      </c>
      <c r="DT2" s="12">
        <v>5</v>
      </c>
      <c r="DU2" s="12">
        <v>6</v>
      </c>
      <c r="DV2" s="12">
        <v>7</v>
      </c>
      <c r="DW2" s="12">
        <v>8</v>
      </c>
      <c r="DX2" s="12">
        <v>9</v>
      </c>
      <c r="DY2" s="12">
        <v>10</v>
      </c>
      <c r="DZ2" s="12">
        <v>11</v>
      </c>
      <c r="EA2" s="12">
        <v>12</v>
      </c>
      <c r="EB2" s="12">
        <v>13</v>
      </c>
      <c r="EC2" s="12">
        <v>14</v>
      </c>
      <c r="ED2" s="12">
        <v>1</v>
      </c>
      <c r="EE2" s="12">
        <v>3</v>
      </c>
      <c r="EF2" s="12">
        <v>4</v>
      </c>
      <c r="EG2" s="12">
        <v>7</v>
      </c>
      <c r="EH2" s="12">
        <v>8</v>
      </c>
      <c r="EI2" s="12">
        <v>9</v>
      </c>
      <c r="EJ2" s="12">
        <v>10</v>
      </c>
      <c r="EK2" s="12">
        <v>13</v>
      </c>
      <c r="EL2" s="12">
        <v>14</v>
      </c>
      <c r="EM2" s="12">
        <v>15</v>
      </c>
      <c r="EN2" s="12">
        <v>16</v>
      </c>
      <c r="EO2" s="12">
        <v>22</v>
      </c>
      <c r="EP2" s="12">
        <v>23</v>
      </c>
      <c r="EQ2" s="13">
        <v>24</v>
      </c>
    </row>
    <row r="3" spans="1:802" x14ac:dyDescent="0.25">
      <c r="A3" t="s">
        <v>146</v>
      </c>
      <c r="B3" t="s">
        <v>147</v>
      </c>
      <c r="C3" s="3" t="s">
        <v>127</v>
      </c>
      <c r="O3" s="2"/>
      <c r="P3" t="s">
        <v>129</v>
      </c>
      <c r="Q3" s="1"/>
      <c r="S3" s="1" t="s">
        <v>130</v>
      </c>
      <c r="T3" s="14" t="s">
        <v>554</v>
      </c>
      <c r="U3" s="15">
        <v>2</v>
      </c>
      <c r="V3" s="15" t="s">
        <v>310</v>
      </c>
      <c r="W3" s="15"/>
      <c r="AC3" t="s">
        <v>131</v>
      </c>
      <c r="AF3" t="s">
        <v>148</v>
      </c>
      <c r="AG3" t="s">
        <v>149</v>
      </c>
      <c r="AH3" t="s">
        <v>132</v>
      </c>
      <c r="AI3" s="73" cm="1">
        <f t="array" ref="AI3">IF(COUNTIFS(AH$2:AH3,AH3)=1,"1",VALUE(SUBSTITUTE(INDEX(AI:AI,_xlfn.XMATCH(AH3,AH$1:AH2,0,-1)),"A",""))+INDEX(AJ:AJ,_xlfn.XMATCH(AH3,AH$1:AH2,0,-1))+1)</f>
        <v>4</v>
      </c>
      <c r="AJ3" s="73" cm="1">
        <f t="array" ref="AJ3">SUM(IF(ISNUMBER(FIND("TmDo",$BE$1:$AAL$1)),IF(IFERROR(ISNUMBER(VALUE(SUBSTITUTE($BE3:$AAL3,"B",""))),FALSE),IF(ISNUMBER(VALUE(SUBSTITUTE($BE3:$AAL3,"B",""))),1,0),0)))</f>
        <v>2</v>
      </c>
      <c r="AK3" t="str">
        <f t="shared" si="0"/>
        <v>4A</v>
      </c>
      <c r="AL3" t="str">
        <f t="shared" si="1"/>
        <v>4B</v>
      </c>
      <c r="AM3" t="s">
        <v>150</v>
      </c>
      <c r="AP3" t="s">
        <v>137</v>
      </c>
      <c r="AQ3" t="s">
        <v>138</v>
      </c>
      <c r="AT3" t="s">
        <v>139</v>
      </c>
      <c r="AU3" t="s">
        <v>140</v>
      </c>
      <c r="BD3" s="16"/>
      <c r="BE3" t="str">
        <f t="shared" si="2"/>
        <v>XT2</v>
      </c>
      <c r="BF3" t="str">
        <f t="shared" si="3"/>
        <v>C8</v>
      </c>
      <c r="BG3" t="str">
        <f t="shared" si="4"/>
        <v>B8</v>
      </c>
      <c r="BH3" t="str">
        <f t="shared" si="5"/>
        <v>C9</v>
      </c>
      <c r="BI3" t="str">
        <f t="shared" si="6"/>
        <v>B9</v>
      </c>
      <c r="BJ3" t="str">
        <f t="shared" si="7"/>
        <v>C10</v>
      </c>
      <c r="BK3" t="str">
        <f t="shared" si="8"/>
        <v>B10</v>
      </c>
      <c r="BL3" t="str">
        <f t="shared" si="9"/>
        <v>C11</v>
      </c>
      <c r="BM3" t="str">
        <f t="shared" si="10"/>
        <v>B11</v>
      </c>
      <c r="BN3" t="str">
        <f t="shared" si="11"/>
        <v>C12</v>
      </c>
      <c r="BO3" t="str">
        <f t="shared" si="12"/>
        <v>B12</v>
      </c>
      <c r="BP3" t="str">
        <f t="shared" si="13"/>
        <v>5A</v>
      </c>
      <c r="BQ3" t="str">
        <f t="shared" si="14"/>
        <v>5B</v>
      </c>
      <c r="BR3" t="str">
        <f t="shared" si="15"/>
        <v>6A</v>
      </c>
      <c r="BS3" t="str">
        <f t="shared" si="16"/>
        <v>6B</v>
      </c>
      <c r="BT3" t="str">
        <f t="shared" si="17"/>
        <v>DI1-C7</v>
      </c>
      <c r="BU3" t="str">
        <f t="shared" si="18"/>
        <v>DI1-B7</v>
      </c>
      <c r="BV3" t="str">
        <f t="shared" si="19"/>
        <v>DI1-C8</v>
      </c>
      <c r="BW3" t="str">
        <f t="shared" si="19"/>
        <v>DI1-B8</v>
      </c>
      <c r="BX3" t="str">
        <f t="shared" si="19"/>
        <v>DI1-C9</v>
      </c>
      <c r="BY3" t="str">
        <f t="shared" si="19"/>
        <v>DI1-B9</v>
      </c>
      <c r="BZ3" t="str">
        <f t="shared" si="19"/>
        <v>DI1-C10</v>
      </c>
      <c r="CA3" t="str">
        <f t="shared" si="19"/>
        <v>DI1-B10</v>
      </c>
      <c r="CB3" t="str">
        <f t="shared" si="19"/>
        <v>DI1-C11</v>
      </c>
      <c r="CC3" t="str">
        <f t="shared" si="19"/>
        <v>DI1-B11</v>
      </c>
      <c r="CD3" t="str">
        <f t="shared" si="19"/>
        <v>DI1-C12</v>
      </c>
      <c r="CE3" t="str">
        <f t="shared" si="19"/>
        <v>DI1-B12</v>
      </c>
      <c r="CF3" t="str">
        <f t="shared" si="20"/>
        <v>DO1-4A</v>
      </c>
      <c r="CG3" t="str">
        <f t="shared" si="21"/>
        <v>DO1-4B</v>
      </c>
      <c r="CH3" t="str">
        <f t="shared" si="22"/>
        <v>DO1-5A</v>
      </c>
      <c r="CI3" t="str">
        <f t="shared" si="23"/>
        <v>DO1-5B</v>
      </c>
      <c r="CJ3" t="str">
        <f t="shared" si="24"/>
        <v>DO1-6A</v>
      </c>
      <c r="CK3" t="str">
        <f t="shared" si="25"/>
        <v>DO1-6B</v>
      </c>
      <c r="CL3" t="str">
        <f t="shared" ref="CL3:CL33" si="27">CONCATENATE("K",$U3,"-10")</f>
        <v>K2-10</v>
      </c>
      <c r="CM3" t="str">
        <f t="shared" ref="CM3:CM33" si="28">CONCATENATE("K",$U3,"-03")</f>
        <v>K2-03</v>
      </c>
      <c r="CN3" t="str">
        <f t="shared" ref="CN3:CN33" si="29">CONCATENATE("K",$U3,"-04")</f>
        <v>K2-04</v>
      </c>
      <c r="CO3" t="str">
        <f t="shared" ref="CO3:CO33" si="30">CONCATENATE("K",$U3,"-01")</f>
        <v>K2-01</v>
      </c>
      <c r="CP3" t="str">
        <f t="shared" ref="CP3:CP33" si="31">CONCATENATE("K",$U3,"-08")</f>
        <v>K2-08</v>
      </c>
      <c r="CQ3" t="str">
        <f t="shared" ref="CQ3:CQ33" si="32">CONCATENATE("K",$U3,"-02")</f>
        <v>K2-02</v>
      </c>
      <c r="CR3" t="str">
        <f t="shared" ref="CR3:CR33" si="33">CONCATENATE("K",$U3,"-09")</f>
        <v>K2-09</v>
      </c>
      <c r="CS3" t="str">
        <f t="shared" ref="CS3:CS33" si="34">CONCATENATE("K",$U3,"-05")</f>
        <v>K2-05</v>
      </c>
      <c r="CT3" t="str">
        <f t="shared" ref="CT3:CT33" si="35">CONCATENATE("K",$U3,"-11")</f>
        <v>K2-11</v>
      </c>
      <c r="CU3" t="str">
        <f t="shared" ref="CU3:CU33" si="36">CONCATENATE($T3,"-M",$U3,"-A9")</f>
        <v>F0-M2-A9</v>
      </c>
      <c r="CV3" t="str">
        <f t="shared" ref="CV3:CV33" si="37">CONCATENATE($T3,"-M",$U3,"-A7")</f>
        <v>F0-M2-A7</v>
      </c>
      <c r="CW3" t="str">
        <f t="shared" ref="CW3:CW33" si="38">CONCATENATE($T3,"-M",$U3,"-A8")</f>
        <v>F0-M2-A8</v>
      </c>
      <c r="CX3" t="str">
        <f t="shared" ref="CX3:CX33" si="39">CONCATENATE($T3,"-M",$U3,"-A6")</f>
        <v>F0-M2-A6</v>
      </c>
      <c r="CY3" t="str">
        <f t="shared" ref="CY3:CY33" si="40">CONCATENATE($T3,"-M",$U3,"-A30")</f>
        <v>F0-M2-A30</v>
      </c>
      <c r="CZ3" t="str">
        <f t="shared" ref="CZ3:CZ33" si="41">CONCATENATE($T3,"-M",$U3,"-N")</f>
        <v>F0-M2-N</v>
      </c>
      <c r="DA3" t="str">
        <f t="shared" si="26"/>
        <v>F0-A220-M2</v>
      </c>
      <c r="DB3" t="str">
        <f t="shared" ref="DB3:DB33" si="42">CONCATENATE($T3,"-M",$U3,"-XM01")</f>
        <v>F0-M2-XM01</v>
      </c>
      <c r="DC3" t="str">
        <f t="shared" ref="DC3:DC33" si="43">CONCATENATE($T3,"-M",$U3,"-A1")</f>
        <v>F0-M2-A1</v>
      </c>
      <c r="DD3" t="str">
        <f t="shared" ref="DD3:DD33" si="44">CONCATENATE($T3,"-M",$U3,"-A5")</f>
        <v>F0-M2-A5</v>
      </c>
      <c r="DE3" t="str">
        <f t="shared" ref="DE3:DE33" si="45">CONCATENATE($T3,"-M",$U3,"-A11")</f>
        <v>F0-M2-A11</v>
      </c>
      <c r="DF3" t="str">
        <f t="shared" ref="DF3:DF33" si="46">CONCATENATE($T3,"-M",$U3,"-A12")</f>
        <v>F0-M2-A12</v>
      </c>
      <c r="DG3" t="str">
        <f t="shared" ref="DG3:DG33" si="47">CONCATENATE($T3,"-M",$U3,"-A19")</f>
        <v>F0-M2-A19</v>
      </c>
      <c r="DH3" t="str">
        <f t="shared" ref="DH3:DH33" si="48">CONCATENATE($T3,"-M",$U3,"-A20")</f>
        <v>F0-M2-A20</v>
      </c>
      <c r="DI3" t="s">
        <v>142</v>
      </c>
      <c r="DJ3" t="s">
        <v>143</v>
      </c>
      <c r="DK3">
        <v>11</v>
      </c>
      <c r="DL3">
        <v>14</v>
      </c>
      <c r="DM3">
        <v>12</v>
      </c>
      <c r="DN3" t="s">
        <v>144</v>
      </c>
      <c r="DO3" t="s">
        <v>145</v>
      </c>
      <c r="DP3">
        <v>1</v>
      </c>
      <c r="DQ3">
        <v>2</v>
      </c>
      <c r="DR3">
        <v>3</v>
      </c>
      <c r="DS3">
        <v>4</v>
      </c>
      <c r="DT3">
        <v>5</v>
      </c>
      <c r="DU3">
        <v>6</v>
      </c>
      <c r="DV3">
        <v>7</v>
      </c>
      <c r="DW3">
        <v>8</v>
      </c>
      <c r="DX3">
        <v>9</v>
      </c>
      <c r="DY3">
        <v>10</v>
      </c>
      <c r="DZ3">
        <v>11</v>
      </c>
      <c r="EA3">
        <v>12</v>
      </c>
      <c r="EB3">
        <v>13</v>
      </c>
      <c r="EC3">
        <v>14</v>
      </c>
      <c r="ED3">
        <v>1</v>
      </c>
      <c r="EE3">
        <v>3</v>
      </c>
      <c r="EF3">
        <v>4</v>
      </c>
      <c r="EG3">
        <v>7</v>
      </c>
      <c r="EH3">
        <v>8</v>
      </c>
      <c r="EI3">
        <v>9</v>
      </c>
      <c r="EJ3">
        <v>10</v>
      </c>
      <c r="EK3">
        <v>13</v>
      </c>
      <c r="EL3">
        <v>14</v>
      </c>
      <c r="EM3">
        <v>15</v>
      </c>
      <c r="EN3">
        <v>16</v>
      </c>
      <c r="EO3">
        <v>22</v>
      </c>
      <c r="EP3">
        <v>23</v>
      </c>
      <c r="EQ3" s="16">
        <v>24</v>
      </c>
    </row>
    <row r="4" spans="1:802" x14ac:dyDescent="0.25">
      <c r="A4" t="s">
        <v>151</v>
      </c>
      <c r="B4" t="s">
        <v>152</v>
      </c>
      <c r="C4" s="3" t="s">
        <v>127</v>
      </c>
      <c r="O4" s="2"/>
      <c r="P4" t="s">
        <v>129</v>
      </c>
      <c r="Q4" s="1"/>
      <c r="S4" s="1" t="s">
        <v>130</v>
      </c>
      <c r="T4" s="14" t="s">
        <v>554</v>
      </c>
      <c r="U4" s="15">
        <v>3</v>
      </c>
      <c r="V4" s="15" t="s">
        <v>311</v>
      </c>
      <c r="W4" s="15"/>
      <c r="AC4" t="s">
        <v>131</v>
      </c>
      <c r="AF4" t="s">
        <v>153</v>
      </c>
      <c r="AG4" t="s">
        <v>154</v>
      </c>
      <c r="AH4" t="s">
        <v>132</v>
      </c>
      <c r="AI4" s="73" cm="1">
        <f t="array" ref="AI4">IF(COUNTIFS(AH$2:AH4,AH4)=1,"1",VALUE(SUBSTITUTE(INDEX(AI:AI,_xlfn.XMATCH(AH4,AH$1:AH3,0,-1)),"A",""))+INDEX(AJ:AJ,_xlfn.XMATCH(AH4,AH$1:AH3,0,-1))+1)</f>
        <v>7</v>
      </c>
      <c r="AJ4" s="73" cm="1">
        <f t="array" ref="AJ4">SUM(IF(ISNUMBER(FIND("TmDo",$BE$1:$AAL$1)),IF(IFERROR(ISNUMBER(VALUE(SUBSTITUTE($BE4:$AAL4,"B",""))),FALSE),IF(ISNUMBER(VALUE(SUBSTITUTE($BE4:$AAL4,"B",""))),1,0),0)))</f>
        <v>2</v>
      </c>
      <c r="AK4" t="str">
        <f t="shared" si="0"/>
        <v>7A</v>
      </c>
      <c r="AL4" t="str">
        <f t="shared" si="1"/>
        <v>7B</v>
      </c>
      <c r="AM4" t="s">
        <v>155</v>
      </c>
      <c r="AP4" t="s">
        <v>137</v>
      </c>
      <c r="AQ4" t="s">
        <v>138</v>
      </c>
      <c r="AT4" t="s">
        <v>139</v>
      </c>
      <c r="AU4" t="s">
        <v>140</v>
      </c>
      <c r="BD4" s="16"/>
      <c r="BE4" t="str">
        <f t="shared" si="2"/>
        <v>XT3</v>
      </c>
      <c r="BF4" t="str">
        <f t="shared" si="3"/>
        <v>C14</v>
      </c>
      <c r="BG4" t="str">
        <f t="shared" si="4"/>
        <v>B14</v>
      </c>
      <c r="BH4" t="str">
        <f t="shared" si="5"/>
        <v>C15</v>
      </c>
      <c r="BI4" t="str">
        <f t="shared" si="6"/>
        <v>B15</v>
      </c>
      <c r="BJ4" t="str">
        <f t="shared" si="7"/>
        <v>C16</v>
      </c>
      <c r="BK4" t="str">
        <f t="shared" si="8"/>
        <v>B16</v>
      </c>
      <c r="BL4" t="str">
        <f t="shared" si="9"/>
        <v>C17</v>
      </c>
      <c r="BM4" t="str">
        <f t="shared" si="10"/>
        <v>B17</v>
      </c>
      <c r="BN4" t="str">
        <f t="shared" si="11"/>
        <v>C18</v>
      </c>
      <c r="BO4" t="str">
        <f t="shared" si="12"/>
        <v>B18</v>
      </c>
      <c r="BP4" t="str">
        <f t="shared" si="13"/>
        <v>8A</v>
      </c>
      <c r="BQ4" t="str">
        <f t="shared" si="14"/>
        <v>8B</v>
      </c>
      <c r="BR4" t="str">
        <f t="shared" si="15"/>
        <v>9A</v>
      </c>
      <c r="BS4" t="str">
        <f t="shared" si="16"/>
        <v>9B</v>
      </c>
      <c r="BT4" t="str">
        <f t="shared" si="17"/>
        <v>DI1-C13</v>
      </c>
      <c r="BU4" t="str">
        <f t="shared" si="18"/>
        <v>DI1-B13</v>
      </c>
      <c r="BV4" t="str">
        <f t="shared" si="19"/>
        <v>DI1-C14</v>
      </c>
      <c r="BW4" t="str">
        <f t="shared" si="19"/>
        <v>DI1-B14</v>
      </c>
      <c r="BX4" t="str">
        <f t="shared" si="19"/>
        <v>DI1-C15</v>
      </c>
      <c r="BY4" t="str">
        <f t="shared" si="19"/>
        <v>DI1-B15</v>
      </c>
      <c r="BZ4" t="str">
        <f t="shared" si="19"/>
        <v>DI1-C16</v>
      </c>
      <c r="CA4" t="str">
        <f t="shared" si="19"/>
        <v>DI1-B16</v>
      </c>
      <c r="CB4" t="str">
        <f t="shared" si="19"/>
        <v>DI1-C17</v>
      </c>
      <c r="CC4" t="str">
        <f t="shared" si="19"/>
        <v>DI1-B17</v>
      </c>
      <c r="CD4" t="str">
        <f t="shared" si="19"/>
        <v>DI1-C18</v>
      </c>
      <c r="CE4" t="str">
        <f t="shared" si="19"/>
        <v>DI1-B18</v>
      </c>
      <c r="CF4" t="str">
        <f t="shared" si="20"/>
        <v>DO1-7A</v>
      </c>
      <c r="CG4" t="str">
        <f t="shared" si="21"/>
        <v>DO1-7B</v>
      </c>
      <c r="CH4" t="str">
        <f t="shared" si="22"/>
        <v>DO1-8A</v>
      </c>
      <c r="CI4" t="str">
        <f t="shared" si="23"/>
        <v>DO1-8B</v>
      </c>
      <c r="CJ4" t="str">
        <f t="shared" si="24"/>
        <v>DO1-9A</v>
      </c>
      <c r="CK4" t="str">
        <f t="shared" si="25"/>
        <v>DO1-9B</v>
      </c>
      <c r="CL4" t="str">
        <f t="shared" si="27"/>
        <v>K3-10</v>
      </c>
      <c r="CM4" t="str">
        <f t="shared" si="28"/>
        <v>K3-03</v>
      </c>
      <c r="CN4" t="str">
        <f t="shared" si="29"/>
        <v>K3-04</v>
      </c>
      <c r="CO4" t="str">
        <f t="shared" si="30"/>
        <v>K3-01</v>
      </c>
      <c r="CP4" t="str">
        <f t="shared" si="31"/>
        <v>K3-08</v>
      </c>
      <c r="CQ4" t="str">
        <f t="shared" si="32"/>
        <v>K3-02</v>
      </c>
      <c r="CR4" t="str">
        <f t="shared" si="33"/>
        <v>K3-09</v>
      </c>
      <c r="CS4" t="str">
        <f t="shared" si="34"/>
        <v>K3-05</v>
      </c>
      <c r="CT4" t="str">
        <f t="shared" si="35"/>
        <v>K3-11</v>
      </c>
      <c r="CU4" t="str">
        <f t="shared" si="36"/>
        <v>F0-M3-A9</v>
      </c>
      <c r="CV4" t="str">
        <f t="shared" si="37"/>
        <v>F0-M3-A7</v>
      </c>
      <c r="CW4" t="str">
        <f t="shared" si="38"/>
        <v>F0-M3-A8</v>
      </c>
      <c r="CX4" t="str">
        <f t="shared" si="39"/>
        <v>F0-M3-A6</v>
      </c>
      <c r="CY4" t="str">
        <f t="shared" si="40"/>
        <v>F0-M3-A30</v>
      </c>
      <c r="CZ4" t="str">
        <f t="shared" si="41"/>
        <v>F0-M3-N</v>
      </c>
      <c r="DA4" t="str">
        <f t="shared" si="26"/>
        <v>F0-A220-M3</v>
      </c>
      <c r="DB4" t="str">
        <f t="shared" si="42"/>
        <v>F0-M3-XM01</v>
      </c>
      <c r="DC4" t="str">
        <f t="shared" si="43"/>
        <v>F0-M3-A1</v>
      </c>
      <c r="DD4" t="str">
        <f t="shared" si="44"/>
        <v>F0-M3-A5</v>
      </c>
      <c r="DE4" t="str">
        <f t="shared" si="45"/>
        <v>F0-M3-A11</v>
      </c>
      <c r="DF4" t="str">
        <f t="shared" si="46"/>
        <v>F0-M3-A12</v>
      </c>
      <c r="DG4" t="str">
        <f t="shared" si="47"/>
        <v>F0-M3-A19</v>
      </c>
      <c r="DH4" t="str">
        <f t="shared" si="48"/>
        <v>F0-M3-A20</v>
      </c>
      <c r="DI4" t="s">
        <v>142</v>
      </c>
      <c r="DJ4" t="s">
        <v>143</v>
      </c>
      <c r="DK4">
        <v>11</v>
      </c>
      <c r="DL4">
        <v>14</v>
      </c>
      <c r="DM4">
        <v>12</v>
      </c>
      <c r="DN4" t="s">
        <v>144</v>
      </c>
      <c r="DO4" t="s">
        <v>145</v>
      </c>
      <c r="DP4">
        <v>1</v>
      </c>
      <c r="DQ4">
        <v>2</v>
      </c>
      <c r="DR4">
        <v>3</v>
      </c>
      <c r="DS4">
        <v>4</v>
      </c>
      <c r="DT4">
        <v>5</v>
      </c>
      <c r="DU4">
        <v>6</v>
      </c>
      <c r="DV4">
        <v>7</v>
      </c>
      <c r="DW4">
        <v>8</v>
      </c>
      <c r="DX4">
        <v>9</v>
      </c>
      <c r="DY4">
        <v>10</v>
      </c>
      <c r="DZ4">
        <v>11</v>
      </c>
      <c r="EA4">
        <v>12</v>
      </c>
      <c r="EB4">
        <v>13</v>
      </c>
      <c r="EC4">
        <v>14</v>
      </c>
      <c r="ED4">
        <v>1</v>
      </c>
      <c r="EE4">
        <v>3</v>
      </c>
      <c r="EF4">
        <v>4</v>
      </c>
      <c r="EG4">
        <v>7</v>
      </c>
      <c r="EH4">
        <v>8</v>
      </c>
      <c r="EI4">
        <v>9</v>
      </c>
      <c r="EJ4">
        <v>10</v>
      </c>
      <c r="EK4">
        <v>13</v>
      </c>
      <c r="EL4">
        <v>14</v>
      </c>
      <c r="EM4">
        <v>15</v>
      </c>
      <c r="EN4">
        <v>16</v>
      </c>
      <c r="EO4">
        <v>22</v>
      </c>
      <c r="EP4">
        <v>23</v>
      </c>
      <c r="EQ4" s="16">
        <v>24</v>
      </c>
    </row>
    <row r="5" spans="1:802" x14ac:dyDescent="0.25">
      <c r="A5" t="s">
        <v>156</v>
      </c>
      <c r="B5" t="s">
        <v>157</v>
      </c>
      <c r="C5" s="3" t="s">
        <v>127</v>
      </c>
      <c r="O5" s="2"/>
      <c r="P5" t="s">
        <v>129</v>
      </c>
      <c r="Q5" s="1"/>
      <c r="S5" s="1" t="s">
        <v>130</v>
      </c>
      <c r="T5" s="14" t="s">
        <v>554</v>
      </c>
      <c r="U5" s="15">
        <v>4</v>
      </c>
      <c r="V5" s="15" t="s">
        <v>312</v>
      </c>
      <c r="W5" s="15"/>
      <c r="AC5" t="s">
        <v>131</v>
      </c>
      <c r="AF5" t="s">
        <v>239</v>
      </c>
      <c r="AG5" t="s">
        <v>241</v>
      </c>
      <c r="AH5" t="s">
        <v>132</v>
      </c>
      <c r="AI5" s="73" cm="1">
        <f t="array" ref="AI5">IF(COUNTIFS(AH$2:AH5,AH5)=1,"1",VALUE(SUBSTITUTE(INDEX(AI:AI,_xlfn.XMATCH(AH5,AH$1:AH4,0,-1)),"A",""))+INDEX(AJ:AJ,_xlfn.XMATCH(AH5,AH$1:AH4,0,-1))+1)</f>
        <v>10</v>
      </c>
      <c r="AJ5" s="73" cm="1">
        <f t="array" ref="AJ5">SUM(IF(ISNUMBER(FIND("TmDo",$BE$1:$AAL$1)),IF(IFERROR(ISNUMBER(VALUE(SUBSTITUTE($BE5:$AAL5,"B",""))),FALSE),IF(ISNUMBER(VALUE(SUBSTITUTE($BE5:$AAL5,"B",""))),1,0),0)))</f>
        <v>2</v>
      </c>
      <c r="AK5" t="str">
        <f t="shared" si="0"/>
        <v>10A</v>
      </c>
      <c r="AL5" t="str">
        <f t="shared" si="1"/>
        <v>10B</v>
      </c>
      <c r="AM5" t="s">
        <v>158</v>
      </c>
      <c r="AP5" t="s">
        <v>137</v>
      </c>
      <c r="AQ5" t="s">
        <v>138</v>
      </c>
      <c r="AT5" t="s">
        <v>139</v>
      </c>
      <c r="AU5" t="s">
        <v>140</v>
      </c>
      <c r="BD5" s="16"/>
      <c r="BE5" t="str">
        <f t="shared" si="2"/>
        <v>XT4</v>
      </c>
      <c r="BF5" t="str">
        <f t="shared" si="3"/>
        <v>C20</v>
      </c>
      <c r="BG5" t="str">
        <f t="shared" si="4"/>
        <v>B20</v>
      </c>
      <c r="BH5" t="str">
        <f t="shared" si="5"/>
        <v>C21</v>
      </c>
      <c r="BI5" t="str">
        <f t="shared" si="6"/>
        <v>B21</v>
      </c>
      <c r="BJ5" t="str">
        <f t="shared" si="7"/>
        <v>C22</v>
      </c>
      <c r="BK5" t="str">
        <f t="shared" si="8"/>
        <v>B22</v>
      </c>
      <c r="BL5" t="str">
        <f t="shared" si="9"/>
        <v>C23</v>
      </c>
      <c r="BM5" t="str">
        <f t="shared" si="10"/>
        <v>B23</v>
      </c>
      <c r="BN5" t="str">
        <f t="shared" si="11"/>
        <v>C24</v>
      </c>
      <c r="BO5" t="str">
        <f t="shared" si="12"/>
        <v>B24</v>
      </c>
      <c r="BP5" t="str">
        <f t="shared" si="13"/>
        <v>11A</v>
      </c>
      <c r="BQ5" t="str">
        <f t="shared" si="14"/>
        <v>11B</v>
      </c>
      <c r="BR5" t="str">
        <f t="shared" si="15"/>
        <v>12A</v>
      </c>
      <c r="BS5" t="str">
        <f t="shared" si="16"/>
        <v>12B</v>
      </c>
      <c r="BT5" t="str">
        <f t="shared" si="17"/>
        <v>DI1-C19</v>
      </c>
      <c r="BU5" t="str">
        <f t="shared" si="18"/>
        <v>DI1-B19</v>
      </c>
      <c r="BV5" t="str">
        <f t="shared" si="19"/>
        <v>DI1-C20</v>
      </c>
      <c r="BW5" t="str">
        <f t="shared" si="19"/>
        <v>DI1-B20</v>
      </c>
      <c r="BX5" t="str">
        <f t="shared" si="19"/>
        <v>DI1-C21</v>
      </c>
      <c r="BY5" t="str">
        <f t="shared" si="19"/>
        <v>DI1-B21</v>
      </c>
      <c r="BZ5" t="str">
        <f t="shared" si="19"/>
        <v>DI1-C22</v>
      </c>
      <c r="CA5" t="str">
        <f t="shared" si="19"/>
        <v>DI1-B22</v>
      </c>
      <c r="CB5" t="str">
        <f t="shared" si="19"/>
        <v>DI1-C23</v>
      </c>
      <c r="CC5" t="str">
        <f t="shared" si="19"/>
        <v>DI1-B23</v>
      </c>
      <c r="CD5" t="str">
        <f t="shared" si="19"/>
        <v>DI1-C24</v>
      </c>
      <c r="CE5" t="str">
        <f t="shared" si="19"/>
        <v>DI1-B24</v>
      </c>
      <c r="CF5" t="str">
        <f t="shared" si="20"/>
        <v>DO1-10A</v>
      </c>
      <c r="CG5" t="str">
        <f t="shared" si="21"/>
        <v>DO1-10B</v>
      </c>
      <c r="CH5" t="str">
        <f t="shared" si="22"/>
        <v>DO1-11A</v>
      </c>
      <c r="CI5" t="str">
        <f t="shared" si="23"/>
        <v>DO1-11B</v>
      </c>
      <c r="CJ5" t="str">
        <f t="shared" si="24"/>
        <v>DO1-12A</v>
      </c>
      <c r="CK5" t="str">
        <f t="shared" si="25"/>
        <v>DO1-12B</v>
      </c>
      <c r="CL5" t="str">
        <f t="shared" si="27"/>
        <v>K4-10</v>
      </c>
      <c r="CM5" t="str">
        <f t="shared" si="28"/>
        <v>K4-03</v>
      </c>
      <c r="CN5" t="str">
        <f t="shared" si="29"/>
        <v>K4-04</v>
      </c>
      <c r="CO5" t="str">
        <f t="shared" si="30"/>
        <v>K4-01</v>
      </c>
      <c r="CP5" t="str">
        <f t="shared" si="31"/>
        <v>K4-08</v>
      </c>
      <c r="CQ5" t="str">
        <f t="shared" si="32"/>
        <v>K4-02</v>
      </c>
      <c r="CR5" t="str">
        <f t="shared" si="33"/>
        <v>K4-09</v>
      </c>
      <c r="CS5" t="str">
        <f t="shared" si="34"/>
        <v>K4-05</v>
      </c>
      <c r="CT5" t="str">
        <f t="shared" si="35"/>
        <v>K4-11</v>
      </c>
      <c r="CU5" t="str">
        <f t="shared" si="36"/>
        <v>F0-M4-A9</v>
      </c>
      <c r="CV5" t="str">
        <f t="shared" si="37"/>
        <v>F0-M4-A7</v>
      </c>
      <c r="CW5" t="str">
        <f t="shared" si="38"/>
        <v>F0-M4-A8</v>
      </c>
      <c r="CX5" t="str">
        <f t="shared" si="39"/>
        <v>F0-M4-A6</v>
      </c>
      <c r="CY5" t="str">
        <f t="shared" si="40"/>
        <v>F0-M4-A30</v>
      </c>
      <c r="CZ5" t="str">
        <f t="shared" si="41"/>
        <v>F0-M4-N</v>
      </c>
      <c r="DA5" t="str">
        <f t="shared" si="26"/>
        <v>F0-A220-M4</v>
      </c>
      <c r="DB5" t="str">
        <f t="shared" si="42"/>
        <v>F0-M4-XM01</v>
      </c>
      <c r="DC5" t="str">
        <f t="shared" si="43"/>
        <v>F0-M4-A1</v>
      </c>
      <c r="DD5" t="str">
        <f t="shared" si="44"/>
        <v>F0-M4-A5</v>
      </c>
      <c r="DE5" t="str">
        <f t="shared" si="45"/>
        <v>F0-M4-A11</v>
      </c>
      <c r="DF5" t="str">
        <f t="shared" si="46"/>
        <v>F0-M4-A12</v>
      </c>
      <c r="DG5" t="str">
        <f t="shared" si="47"/>
        <v>F0-M4-A19</v>
      </c>
      <c r="DH5" t="str">
        <f t="shared" si="48"/>
        <v>F0-M4-A20</v>
      </c>
      <c r="DI5" t="s">
        <v>142</v>
      </c>
      <c r="DJ5" t="s">
        <v>143</v>
      </c>
      <c r="DK5">
        <v>11</v>
      </c>
      <c r="DL5">
        <v>14</v>
      </c>
      <c r="DM5">
        <v>12</v>
      </c>
      <c r="DN5" t="s">
        <v>144</v>
      </c>
      <c r="DO5" t="s">
        <v>145</v>
      </c>
      <c r="DP5">
        <v>1</v>
      </c>
      <c r="DQ5">
        <v>2</v>
      </c>
      <c r="DR5">
        <v>3</v>
      </c>
      <c r="DS5">
        <v>4</v>
      </c>
      <c r="DT5">
        <v>5</v>
      </c>
      <c r="DU5">
        <v>6</v>
      </c>
      <c r="DV5">
        <v>7</v>
      </c>
      <c r="DW5">
        <v>8</v>
      </c>
      <c r="DX5">
        <v>9</v>
      </c>
      <c r="DY5">
        <v>10</v>
      </c>
      <c r="DZ5">
        <v>11</v>
      </c>
      <c r="EA5">
        <v>12</v>
      </c>
      <c r="EB5">
        <v>13</v>
      </c>
      <c r="EC5">
        <v>14</v>
      </c>
      <c r="ED5">
        <v>1</v>
      </c>
      <c r="EE5">
        <v>3</v>
      </c>
      <c r="EF5">
        <v>4</v>
      </c>
      <c r="EG5">
        <v>7</v>
      </c>
      <c r="EH5">
        <v>8</v>
      </c>
      <c r="EI5">
        <v>9</v>
      </c>
      <c r="EJ5">
        <v>10</v>
      </c>
      <c r="EK5">
        <v>13</v>
      </c>
      <c r="EL5">
        <v>14</v>
      </c>
      <c r="EM5">
        <v>15</v>
      </c>
      <c r="EN5">
        <v>16</v>
      </c>
      <c r="EO5">
        <v>22</v>
      </c>
      <c r="EP5">
        <v>23</v>
      </c>
      <c r="EQ5" s="16">
        <v>24</v>
      </c>
    </row>
    <row r="6" spans="1:802" x14ac:dyDescent="0.25">
      <c r="A6" t="s">
        <v>159</v>
      </c>
      <c r="B6" t="s">
        <v>160</v>
      </c>
      <c r="C6" s="3" t="s">
        <v>127</v>
      </c>
      <c r="O6" s="2"/>
      <c r="P6" t="s">
        <v>129</v>
      </c>
      <c r="Q6" s="1"/>
      <c r="S6" s="1" t="s">
        <v>130</v>
      </c>
      <c r="T6" s="14" t="s">
        <v>554</v>
      </c>
      <c r="U6" s="15">
        <v>5</v>
      </c>
      <c r="V6" s="15" t="s">
        <v>313</v>
      </c>
      <c r="W6" s="15"/>
      <c r="AC6" t="s">
        <v>131</v>
      </c>
      <c r="AF6" t="s">
        <v>240</v>
      </c>
      <c r="AG6" t="s">
        <v>242</v>
      </c>
      <c r="AH6" t="s">
        <v>132</v>
      </c>
      <c r="AI6" s="73" cm="1">
        <f t="array" ref="AI6">IF(COUNTIFS(AH$2:AH6,AH6)=1,"1",VALUE(SUBSTITUTE(INDEX(AI:AI,_xlfn.XMATCH(AH6,AH$1:AH5,0,-1)),"A",""))+INDEX(AJ:AJ,_xlfn.XMATCH(AH6,AH$1:AH5,0,-1))+1)</f>
        <v>13</v>
      </c>
      <c r="AJ6" s="73" cm="1">
        <f t="array" ref="AJ6">SUM(IF(ISNUMBER(FIND("TmDo",$BE$1:$AAL$1)),IF(IFERROR(ISNUMBER(VALUE(SUBSTITUTE($BE6:$AAL6,"B",""))),FALSE),IF(ISNUMBER(VALUE(SUBSTITUTE($BE6:$AAL6,"B",""))),1,0),0)))</f>
        <v>2</v>
      </c>
      <c r="AK6" t="str">
        <f t="shared" si="0"/>
        <v>13A</v>
      </c>
      <c r="AL6" t="str">
        <f t="shared" si="1"/>
        <v>13B</v>
      </c>
      <c r="AM6" t="s">
        <v>161</v>
      </c>
      <c r="AP6" t="s">
        <v>137</v>
      </c>
      <c r="AQ6" t="s">
        <v>138</v>
      </c>
      <c r="AT6" t="s">
        <v>139</v>
      </c>
      <c r="AU6" t="s">
        <v>140</v>
      </c>
      <c r="BD6" s="16"/>
      <c r="BE6" t="str">
        <f t="shared" si="2"/>
        <v>XT5</v>
      </c>
      <c r="BF6" t="str">
        <f t="shared" si="3"/>
        <v>C26</v>
      </c>
      <c r="BG6" t="str">
        <f t="shared" si="4"/>
        <v>B26</v>
      </c>
      <c r="BH6" t="str">
        <f t="shared" si="5"/>
        <v>C27</v>
      </c>
      <c r="BI6" t="str">
        <f t="shared" si="6"/>
        <v>B27</v>
      </c>
      <c r="BJ6" t="str">
        <f t="shared" si="7"/>
        <v>C28</v>
      </c>
      <c r="BK6" t="str">
        <f t="shared" si="8"/>
        <v>B28</v>
      </c>
      <c r="BL6" t="str">
        <f t="shared" si="9"/>
        <v>C29</v>
      </c>
      <c r="BM6" t="str">
        <f t="shared" si="10"/>
        <v>B29</v>
      </c>
      <c r="BN6" t="str">
        <f t="shared" si="11"/>
        <v>C30</v>
      </c>
      <c r="BO6" t="str">
        <f t="shared" si="12"/>
        <v>B30</v>
      </c>
      <c r="BP6" t="str">
        <f t="shared" si="13"/>
        <v>14A</v>
      </c>
      <c r="BQ6" t="str">
        <f t="shared" si="14"/>
        <v>14B</v>
      </c>
      <c r="BR6" t="str">
        <f t="shared" si="15"/>
        <v>15A</v>
      </c>
      <c r="BS6" t="str">
        <f t="shared" si="16"/>
        <v>15B</v>
      </c>
      <c r="BT6" t="str">
        <f t="shared" si="17"/>
        <v>DI1-C25</v>
      </c>
      <c r="BU6" t="str">
        <f t="shared" si="18"/>
        <v>DI1-B25</v>
      </c>
      <c r="BV6" t="str">
        <f t="shared" si="19"/>
        <v>DI1-C26</v>
      </c>
      <c r="BW6" t="str">
        <f t="shared" si="19"/>
        <v>DI1-B26</v>
      </c>
      <c r="BX6" t="str">
        <f t="shared" si="19"/>
        <v>DI1-C27</v>
      </c>
      <c r="BY6" t="str">
        <f t="shared" si="19"/>
        <v>DI1-B27</v>
      </c>
      <c r="BZ6" t="str">
        <f t="shared" si="19"/>
        <v>DI1-C28</v>
      </c>
      <c r="CA6" t="str">
        <f t="shared" si="19"/>
        <v>DI1-B28</v>
      </c>
      <c r="CB6" t="str">
        <f t="shared" si="19"/>
        <v>DI1-C29</v>
      </c>
      <c r="CC6" t="str">
        <f t="shared" si="19"/>
        <v>DI1-B29</v>
      </c>
      <c r="CD6" t="str">
        <f t="shared" si="19"/>
        <v>DI1-C30</v>
      </c>
      <c r="CE6" t="str">
        <f t="shared" si="19"/>
        <v>DI1-B30</v>
      </c>
      <c r="CF6" t="str">
        <f t="shared" si="20"/>
        <v>DO1-13A</v>
      </c>
      <c r="CG6" t="str">
        <f t="shared" si="21"/>
        <v>DO1-13B</v>
      </c>
      <c r="CH6" t="str">
        <f t="shared" si="22"/>
        <v>DO1-14A</v>
      </c>
      <c r="CI6" t="str">
        <f t="shared" si="23"/>
        <v>DO1-14B</v>
      </c>
      <c r="CJ6" t="str">
        <f t="shared" si="24"/>
        <v>DO1-15A</v>
      </c>
      <c r="CK6" t="str">
        <f t="shared" si="25"/>
        <v>DO1-15B</v>
      </c>
      <c r="CL6" t="str">
        <f t="shared" si="27"/>
        <v>K5-10</v>
      </c>
      <c r="CM6" t="str">
        <f t="shared" si="28"/>
        <v>K5-03</v>
      </c>
      <c r="CN6" t="str">
        <f t="shared" si="29"/>
        <v>K5-04</v>
      </c>
      <c r="CO6" t="str">
        <f t="shared" si="30"/>
        <v>K5-01</v>
      </c>
      <c r="CP6" t="str">
        <f t="shared" si="31"/>
        <v>K5-08</v>
      </c>
      <c r="CQ6" t="str">
        <f t="shared" si="32"/>
        <v>K5-02</v>
      </c>
      <c r="CR6" t="str">
        <f t="shared" si="33"/>
        <v>K5-09</v>
      </c>
      <c r="CS6" t="str">
        <f t="shared" si="34"/>
        <v>K5-05</v>
      </c>
      <c r="CT6" t="str">
        <f t="shared" si="35"/>
        <v>K5-11</v>
      </c>
      <c r="CU6" t="str">
        <f t="shared" si="36"/>
        <v>F0-M5-A9</v>
      </c>
      <c r="CV6" t="str">
        <f t="shared" si="37"/>
        <v>F0-M5-A7</v>
      </c>
      <c r="CW6" t="str">
        <f t="shared" si="38"/>
        <v>F0-M5-A8</v>
      </c>
      <c r="CX6" t="str">
        <f t="shared" si="39"/>
        <v>F0-M5-A6</v>
      </c>
      <c r="CY6" t="str">
        <f t="shared" si="40"/>
        <v>F0-M5-A30</v>
      </c>
      <c r="CZ6" t="str">
        <f t="shared" si="41"/>
        <v>F0-M5-N</v>
      </c>
      <c r="DA6" t="str">
        <f t="shared" si="26"/>
        <v>F0-A220-M5</v>
      </c>
      <c r="DB6" t="str">
        <f t="shared" si="42"/>
        <v>F0-M5-XM01</v>
      </c>
      <c r="DC6" t="str">
        <f t="shared" si="43"/>
        <v>F0-M5-A1</v>
      </c>
      <c r="DD6" t="str">
        <f t="shared" si="44"/>
        <v>F0-M5-A5</v>
      </c>
      <c r="DE6" t="str">
        <f t="shared" si="45"/>
        <v>F0-M5-A11</v>
      </c>
      <c r="DF6" t="str">
        <f t="shared" si="46"/>
        <v>F0-M5-A12</v>
      </c>
      <c r="DG6" t="str">
        <f t="shared" si="47"/>
        <v>F0-M5-A19</v>
      </c>
      <c r="DH6" t="str">
        <f t="shared" si="48"/>
        <v>F0-M5-A20</v>
      </c>
      <c r="DI6" t="s">
        <v>142</v>
      </c>
      <c r="DJ6" t="s">
        <v>143</v>
      </c>
      <c r="DK6">
        <v>11</v>
      </c>
      <c r="DL6">
        <v>14</v>
      </c>
      <c r="DM6">
        <v>12</v>
      </c>
      <c r="DN6" t="s">
        <v>144</v>
      </c>
      <c r="DO6" t="s">
        <v>145</v>
      </c>
      <c r="DP6">
        <v>1</v>
      </c>
      <c r="DQ6">
        <v>2</v>
      </c>
      <c r="DR6">
        <v>3</v>
      </c>
      <c r="DS6">
        <v>4</v>
      </c>
      <c r="DT6">
        <v>5</v>
      </c>
      <c r="DU6">
        <v>6</v>
      </c>
      <c r="DV6">
        <v>7</v>
      </c>
      <c r="DW6">
        <v>8</v>
      </c>
      <c r="DX6">
        <v>9</v>
      </c>
      <c r="DY6">
        <v>10</v>
      </c>
      <c r="DZ6">
        <v>11</v>
      </c>
      <c r="EA6">
        <v>12</v>
      </c>
      <c r="EB6">
        <v>13</v>
      </c>
      <c r="EC6">
        <v>14</v>
      </c>
      <c r="ED6">
        <v>1</v>
      </c>
      <c r="EE6">
        <v>3</v>
      </c>
      <c r="EF6">
        <v>4</v>
      </c>
      <c r="EG6">
        <v>7</v>
      </c>
      <c r="EH6">
        <v>8</v>
      </c>
      <c r="EI6">
        <v>9</v>
      </c>
      <c r="EJ6">
        <v>10</v>
      </c>
      <c r="EK6">
        <v>13</v>
      </c>
      <c r="EL6">
        <v>14</v>
      </c>
      <c r="EM6">
        <v>15</v>
      </c>
      <c r="EN6">
        <v>16</v>
      </c>
      <c r="EO6">
        <v>22</v>
      </c>
      <c r="EP6">
        <v>23</v>
      </c>
      <c r="EQ6" s="16">
        <v>24</v>
      </c>
    </row>
    <row r="7" spans="1:802" x14ac:dyDescent="0.25">
      <c r="A7" t="s">
        <v>162</v>
      </c>
      <c r="B7" t="s">
        <v>126</v>
      </c>
      <c r="C7" s="3" t="s">
        <v>127</v>
      </c>
      <c r="O7" s="2"/>
      <c r="P7" t="s">
        <v>129</v>
      </c>
      <c r="Q7" s="1"/>
      <c r="S7" s="1" t="s">
        <v>130</v>
      </c>
      <c r="T7" s="14" t="s">
        <v>554</v>
      </c>
      <c r="U7" s="15">
        <v>6</v>
      </c>
      <c r="V7" s="15" t="s">
        <v>314</v>
      </c>
      <c r="W7" s="15"/>
      <c r="AC7" t="s">
        <v>261</v>
      </c>
      <c r="AF7" t="s">
        <v>133</v>
      </c>
      <c r="AG7" t="s">
        <v>134</v>
      </c>
      <c r="AH7" t="s">
        <v>132</v>
      </c>
      <c r="AI7" s="73" cm="1">
        <f t="array" ref="AI7">IF(COUNTIFS(AH$2:AH7,AH7)=1,"1",VALUE(SUBSTITUTE(INDEX(AI:AI,_xlfn.XMATCH(AH7,AH$1:AH6,0,-1)),"A",""))+INDEX(AJ:AJ,_xlfn.XMATCH(AH7,AH$1:AH6,0,-1))+1)</f>
        <v>16</v>
      </c>
      <c r="AJ7" s="73" cm="1">
        <f t="array" ref="AJ7">SUM(IF(ISNUMBER(FIND("TmDo",$BE$1:$AAL$1)),IF(IFERROR(ISNUMBER(VALUE(SUBSTITUTE($BE7:$AAL7,"B",""))),FALSE),IF(ISNUMBER(VALUE(SUBSTITUTE($BE7:$AAL7,"B",""))),1,0),0)))</f>
        <v>2</v>
      </c>
      <c r="AK7" t="str">
        <f t="shared" si="0"/>
        <v>16A</v>
      </c>
      <c r="AL7" t="str">
        <f t="shared" si="1"/>
        <v>16B</v>
      </c>
      <c r="AM7" t="s">
        <v>163</v>
      </c>
      <c r="AP7" t="s">
        <v>137</v>
      </c>
      <c r="AQ7" t="s">
        <v>138</v>
      </c>
      <c r="AT7" t="s">
        <v>139</v>
      </c>
      <c r="AU7" t="s">
        <v>140</v>
      </c>
      <c r="BD7" s="16"/>
      <c r="BE7" t="str">
        <f t="shared" si="2"/>
        <v>XT6</v>
      </c>
      <c r="BF7" t="str">
        <f t="shared" si="3"/>
        <v>C2</v>
      </c>
      <c r="BG7" t="str">
        <f t="shared" si="4"/>
        <v>B2</v>
      </c>
      <c r="BH7" t="str">
        <f t="shared" si="5"/>
        <v>C3</v>
      </c>
      <c r="BI7" t="str">
        <f t="shared" si="6"/>
        <v>B3</v>
      </c>
      <c r="BJ7" t="str">
        <f t="shared" si="7"/>
        <v>C4</v>
      </c>
      <c r="BK7" t="str">
        <f t="shared" si="8"/>
        <v>B4</v>
      </c>
      <c r="BL7" t="str">
        <f t="shared" si="9"/>
        <v>C5</v>
      </c>
      <c r="BM7" t="str">
        <f t="shared" si="10"/>
        <v>B5</v>
      </c>
      <c r="BN7" t="str">
        <f t="shared" si="11"/>
        <v>C6</v>
      </c>
      <c r="BO7" t="str">
        <f t="shared" si="12"/>
        <v>B6</v>
      </c>
      <c r="BP7" t="str">
        <f t="shared" si="13"/>
        <v>17A</v>
      </c>
      <c r="BQ7" t="str">
        <f t="shared" si="14"/>
        <v>17B</v>
      </c>
      <c r="BR7" t="str">
        <f t="shared" si="15"/>
        <v>18A</v>
      </c>
      <c r="BS7" t="str">
        <f t="shared" si="16"/>
        <v>18B</v>
      </c>
      <c r="BT7" t="str">
        <f t="shared" si="17"/>
        <v>DI2-C1</v>
      </c>
      <c r="BU7" t="str">
        <f t="shared" si="18"/>
        <v>DI2-B1</v>
      </c>
      <c r="BV7" t="str">
        <f t="shared" si="19"/>
        <v>DI2-C2</v>
      </c>
      <c r="BW7" t="str">
        <f t="shared" si="19"/>
        <v>DI2-B2</v>
      </c>
      <c r="BX7" t="str">
        <f t="shared" si="19"/>
        <v>DI2-C3</v>
      </c>
      <c r="BY7" t="str">
        <f t="shared" si="19"/>
        <v>DI2-B3</v>
      </c>
      <c r="BZ7" t="str">
        <f t="shared" si="19"/>
        <v>DI2-C4</v>
      </c>
      <c r="CA7" t="str">
        <f t="shared" si="19"/>
        <v>DI2-B4</v>
      </c>
      <c r="CB7" t="str">
        <f t="shared" si="19"/>
        <v>DI2-C5</v>
      </c>
      <c r="CC7" t="str">
        <f t="shared" si="19"/>
        <v>DI2-B5</v>
      </c>
      <c r="CD7" t="str">
        <f t="shared" si="19"/>
        <v>DI2-C6</v>
      </c>
      <c r="CE7" t="str">
        <f t="shared" si="19"/>
        <v>DI2-B6</v>
      </c>
      <c r="CF7" t="str">
        <f t="shared" si="20"/>
        <v>DO1-16A</v>
      </c>
      <c r="CG7" t="str">
        <f t="shared" si="21"/>
        <v>DO1-16B</v>
      </c>
      <c r="CH7" t="str">
        <f t="shared" si="22"/>
        <v>DO1-17A</v>
      </c>
      <c r="CI7" t="str">
        <f t="shared" si="23"/>
        <v>DO1-17B</v>
      </c>
      <c r="CJ7" t="str">
        <f t="shared" si="24"/>
        <v>DO1-18A</v>
      </c>
      <c r="CK7" t="str">
        <f t="shared" si="25"/>
        <v>DO1-18B</v>
      </c>
      <c r="CL7" t="str">
        <f t="shared" si="27"/>
        <v>K6-10</v>
      </c>
      <c r="CM7" t="str">
        <f t="shared" si="28"/>
        <v>K6-03</v>
      </c>
      <c r="CN7" t="str">
        <f t="shared" si="29"/>
        <v>K6-04</v>
      </c>
      <c r="CO7" t="str">
        <f t="shared" si="30"/>
        <v>K6-01</v>
      </c>
      <c r="CP7" t="str">
        <f t="shared" si="31"/>
        <v>K6-08</v>
      </c>
      <c r="CQ7" t="str">
        <f t="shared" si="32"/>
        <v>K6-02</v>
      </c>
      <c r="CR7" t="str">
        <f t="shared" si="33"/>
        <v>K6-09</v>
      </c>
      <c r="CS7" t="str">
        <f t="shared" si="34"/>
        <v>K6-05</v>
      </c>
      <c r="CT7" t="str">
        <f t="shared" si="35"/>
        <v>K6-11</v>
      </c>
      <c r="CU7" t="str">
        <f t="shared" si="36"/>
        <v>F0-M6-A9</v>
      </c>
      <c r="CV7" t="str">
        <f t="shared" si="37"/>
        <v>F0-M6-A7</v>
      </c>
      <c r="CW7" t="str">
        <f t="shared" si="38"/>
        <v>F0-M6-A8</v>
      </c>
      <c r="CX7" t="str">
        <f t="shared" si="39"/>
        <v>F0-M6-A6</v>
      </c>
      <c r="CY7" t="str">
        <f t="shared" si="40"/>
        <v>F0-M6-A30</v>
      </c>
      <c r="CZ7" t="str">
        <f t="shared" si="41"/>
        <v>F0-M6-N</v>
      </c>
      <c r="DA7" t="str">
        <f t="shared" si="26"/>
        <v>F0-A220-M6</v>
      </c>
      <c r="DB7" t="str">
        <f t="shared" si="42"/>
        <v>F0-M6-XM01</v>
      </c>
      <c r="DC7" t="str">
        <f t="shared" si="43"/>
        <v>F0-M6-A1</v>
      </c>
      <c r="DD7" t="str">
        <f t="shared" si="44"/>
        <v>F0-M6-A5</v>
      </c>
      <c r="DE7" t="str">
        <f t="shared" si="45"/>
        <v>F0-M6-A11</v>
      </c>
      <c r="DF7" t="str">
        <f t="shared" si="46"/>
        <v>F0-M6-A12</v>
      </c>
      <c r="DG7" t="str">
        <f t="shared" si="47"/>
        <v>F0-M6-A19</v>
      </c>
      <c r="DH7" t="str">
        <f t="shared" si="48"/>
        <v>F0-M6-A20</v>
      </c>
      <c r="DI7" t="s">
        <v>142</v>
      </c>
      <c r="DJ7" t="s">
        <v>143</v>
      </c>
      <c r="DK7">
        <v>11</v>
      </c>
      <c r="DL7">
        <v>14</v>
      </c>
      <c r="DM7">
        <v>12</v>
      </c>
      <c r="DN7" t="s">
        <v>144</v>
      </c>
      <c r="DO7" t="s">
        <v>145</v>
      </c>
      <c r="DP7">
        <v>1</v>
      </c>
      <c r="DQ7">
        <v>2</v>
      </c>
      <c r="DR7">
        <v>3</v>
      </c>
      <c r="DS7">
        <v>4</v>
      </c>
      <c r="DT7">
        <v>5</v>
      </c>
      <c r="DU7">
        <v>6</v>
      </c>
      <c r="DV7">
        <v>7</v>
      </c>
      <c r="DW7">
        <v>8</v>
      </c>
      <c r="DX7">
        <v>9</v>
      </c>
      <c r="DY7">
        <v>10</v>
      </c>
      <c r="DZ7">
        <v>11</v>
      </c>
      <c r="EA7">
        <v>12</v>
      </c>
      <c r="EB7">
        <v>13</v>
      </c>
      <c r="EC7">
        <v>14</v>
      </c>
      <c r="ED7">
        <v>1</v>
      </c>
      <c r="EE7">
        <v>3</v>
      </c>
      <c r="EF7">
        <v>4</v>
      </c>
      <c r="EG7">
        <v>7</v>
      </c>
      <c r="EH7">
        <v>8</v>
      </c>
      <c r="EI7">
        <v>9</v>
      </c>
      <c r="EJ7">
        <v>10</v>
      </c>
      <c r="EK7">
        <v>13</v>
      </c>
      <c r="EL7">
        <v>14</v>
      </c>
      <c r="EM7">
        <v>15</v>
      </c>
      <c r="EN7">
        <v>16</v>
      </c>
      <c r="EO7">
        <v>22</v>
      </c>
      <c r="EP7">
        <v>23</v>
      </c>
      <c r="EQ7" s="16">
        <v>24</v>
      </c>
    </row>
    <row r="8" spans="1:802" x14ac:dyDescent="0.25">
      <c r="A8" t="s">
        <v>164</v>
      </c>
      <c r="B8" t="s">
        <v>165</v>
      </c>
      <c r="C8" s="3" t="s">
        <v>127</v>
      </c>
      <c r="O8" s="2"/>
      <c r="P8" t="s">
        <v>129</v>
      </c>
      <c r="Q8" s="1"/>
      <c r="S8" s="1" t="s">
        <v>130</v>
      </c>
      <c r="T8" s="14" t="s">
        <v>554</v>
      </c>
      <c r="U8" s="15">
        <v>7</v>
      </c>
      <c r="V8" s="15" t="s">
        <v>315</v>
      </c>
      <c r="W8" s="15"/>
      <c r="AC8" t="s">
        <v>261</v>
      </c>
      <c r="AF8" t="s">
        <v>148</v>
      </c>
      <c r="AG8" t="s">
        <v>149</v>
      </c>
      <c r="AH8" t="s">
        <v>132</v>
      </c>
      <c r="AI8" s="73" cm="1">
        <f t="array" ref="AI8">IF(COUNTIFS(AH$2:AH8,AH8)=1,"1",VALUE(SUBSTITUTE(INDEX(AI:AI,_xlfn.XMATCH(AH8,AH$1:AH7,0,-1)),"A",""))+INDEX(AJ:AJ,_xlfn.XMATCH(AH8,AH$1:AH7,0,-1))+1)</f>
        <v>19</v>
      </c>
      <c r="AJ8" s="73" cm="1">
        <f t="array" ref="AJ8">SUM(IF(ISNUMBER(FIND("TmDo",$BE$1:$AAL$1)),IF(IFERROR(ISNUMBER(VALUE(SUBSTITUTE($BE8:$AAL8,"B",""))),FALSE),IF(ISNUMBER(VALUE(SUBSTITUTE($BE8:$AAL8,"B",""))),1,0),0)))</f>
        <v>2</v>
      </c>
      <c r="AK8" t="str">
        <f t="shared" si="0"/>
        <v>19A</v>
      </c>
      <c r="AL8" t="str">
        <f t="shared" si="1"/>
        <v>19B</v>
      </c>
      <c r="AM8" t="s">
        <v>166</v>
      </c>
      <c r="AP8" t="s">
        <v>137</v>
      </c>
      <c r="AQ8" t="s">
        <v>138</v>
      </c>
      <c r="AT8" t="s">
        <v>139</v>
      </c>
      <c r="AU8" t="s">
        <v>140</v>
      </c>
      <c r="BD8" s="16"/>
      <c r="BE8" t="str">
        <f t="shared" si="2"/>
        <v>XT7</v>
      </c>
      <c r="BF8" t="str">
        <f t="shared" si="3"/>
        <v>C8</v>
      </c>
      <c r="BG8" t="str">
        <f t="shared" si="4"/>
        <v>B8</v>
      </c>
      <c r="BH8" t="str">
        <f t="shared" si="5"/>
        <v>C9</v>
      </c>
      <c r="BI8" t="str">
        <f t="shared" si="6"/>
        <v>B9</v>
      </c>
      <c r="BJ8" t="str">
        <f t="shared" si="7"/>
        <v>C10</v>
      </c>
      <c r="BK8" t="str">
        <f t="shared" si="8"/>
        <v>B10</v>
      </c>
      <c r="BL8" t="str">
        <f t="shared" si="9"/>
        <v>C11</v>
      </c>
      <c r="BM8" t="str">
        <f t="shared" si="10"/>
        <v>B11</v>
      </c>
      <c r="BN8" t="str">
        <f t="shared" si="11"/>
        <v>C12</v>
      </c>
      <c r="BO8" t="str">
        <f t="shared" si="12"/>
        <v>B12</v>
      </c>
      <c r="BP8" t="str">
        <f t="shared" si="13"/>
        <v>20A</v>
      </c>
      <c r="BQ8" t="str">
        <f t="shared" si="14"/>
        <v>20B</v>
      </c>
      <c r="BR8" t="str">
        <f t="shared" si="15"/>
        <v>21A</v>
      </c>
      <c r="BS8" t="str">
        <f t="shared" si="16"/>
        <v>21B</v>
      </c>
      <c r="BT8" t="str">
        <f t="shared" si="17"/>
        <v>DI2-C7</v>
      </c>
      <c r="BU8" t="str">
        <f t="shared" si="18"/>
        <v>DI2-B7</v>
      </c>
      <c r="BV8" t="str">
        <f t="shared" si="19"/>
        <v>DI2-C8</v>
      </c>
      <c r="BW8" t="str">
        <f t="shared" si="19"/>
        <v>DI2-B8</v>
      </c>
      <c r="BX8" t="str">
        <f t="shared" si="19"/>
        <v>DI2-C9</v>
      </c>
      <c r="BY8" t="str">
        <f t="shared" si="19"/>
        <v>DI2-B9</v>
      </c>
      <c r="BZ8" t="str">
        <f t="shared" si="19"/>
        <v>DI2-C10</v>
      </c>
      <c r="CA8" t="str">
        <f t="shared" si="19"/>
        <v>DI2-B10</v>
      </c>
      <c r="CB8" t="str">
        <f t="shared" si="19"/>
        <v>DI2-C11</v>
      </c>
      <c r="CC8" t="str">
        <f t="shared" si="19"/>
        <v>DI2-B11</v>
      </c>
      <c r="CD8" t="str">
        <f t="shared" si="19"/>
        <v>DI2-C12</v>
      </c>
      <c r="CE8" t="str">
        <f t="shared" si="19"/>
        <v>DI2-B12</v>
      </c>
      <c r="CF8" t="str">
        <f t="shared" si="20"/>
        <v>DO1-19A</v>
      </c>
      <c r="CG8" t="str">
        <f t="shared" si="21"/>
        <v>DO1-19B</v>
      </c>
      <c r="CH8" t="str">
        <f t="shared" si="22"/>
        <v>DO1-20A</v>
      </c>
      <c r="CI8" t="str">
        <f t="shared" si="23"/>
        <v>DO1-20B</v>
      </c>
      <c r="CJ8" t="str">
        <f t="shared" si="24"/>
        <v>DO1-21A</v>
      </c>
      <c r="CK8" t="str">
        <f t="shared" si="25"/>
        <v>DO1-21B</v>
      </c>
      <c r="CL8" t="str">
        <f t="shared" si="27"/>
        <v>K7-10</v>
      </c>
      <c r="CM8" t="str">
        <f t="shared" si="28"/>
        <v>K7-03</v>
      </c>
      <c r="CN8" t="str">
        <f t="shared" si="29"/>
        <v>K7-04</v>
      </c>
      <c r="CO8" t="str">
        <f t="shared" si="30"/>
        <v>K7-01</v>
      </c>
      <c r="CP8" t="str">
        <f t="shared" si="31"/>
        <v>K7-08</v>
      </c>
      <c r="CQ8" t="str">
        <f t="shared" si="32"/>
        <v>K7-02</v>
      </c>
      <c r="CR8" t="str">
        <f t="shared" si="33"/>
        <v>K7-09</v>
      </c>
      <c r="CS8" t="str">
        <f t="shared" si="34"/>
        <v>K7-05</v>
      </c>
      <c r="CT8" t="str">
        <f t="shared" si="35"/>
        <v>K7-11</v>
      </c>
      <c r="CU8" t="str">
        <f t="shared" si="36"/>
        <v>F0-M7-A9</v>
      </c>
      <c r="CV8" t="str">
        <f t="shared" si="37"/>
        <v>F0-M7-A7</v>
      </c>
      <c r="CW8" t="str">
        <f t="shared" si="38"/>
        <v>F0-M7-A8</v>
      </c>
      <c r="CX8" t="str">
        <f t="shared" si="39"/>
        <v>F0-M7-A6</v>
      </c>
      <c r="CY8" t="str">
        <f t="shared" si="40"/>
        <v>F0-M7-A30</v>
      </c>
      <c r="CZ8" t="str">
        <f t="shared" si="41"/>
        <v>F0-M7-N</v>
      </c>
      <c r="DA8" t="str">
        <f t="shared" si="26"/>
        <v>F0-A220-M7</v>
      </c>
      <c r="DB8" t="str">
        <f t="shared" si="42"/>
        <v>F0-M7-XM01</v>
      </c>
      <c r="DC8" t="str">
        <f t="shared" si="43"/>
        <v>F0-M7-A1</v>
      </c>
      <c r="DD8" t="str">
        <f t="shared" si="44"/>
        <v>F0-M7-A5</v>
      </c>
      <c r="DE8" t="str">
        <f t="shared" si="45"/>
        <v>F0-M7-A11</v>
      </c>
      <c r="DF8" t="str">
        <f t="shared" si="46"/>
        <v>F0-M7-A12</v>
      </c>
      <c r="DG8" t="str">
        <f t="shared" si="47"/>
        <v>F0-M7-A19</v>
      </c>
      <c r="DH8" t="str">
        <f t="shared" si="48"/>
        <v>F0-M7-A20</v>
      </c>
      <c r="DI8" t="s">
        <v>142</v>
      </c>
      <c r="DJ8" t="s">
        <v>143</v>
      </c>
      <c r="DK8">
        <v>11</v>
      </c>
      <c r="DL8">
        <v>14</v>
      </c>
      <c r="DM8">
        <v>12</v>
      </c>
      <c r="DN8" t="s">
        <v>144</v>
      </c>
      <c r="DO8" t="s">
        <v>145</v>
      </c>
      <c r="DP8">
        <v>1</v>
      </c>
      <c r="DQ8">
        <v>2</v>
      </c>
      <c r="DR8">
        <v>3</v>
      </c>
      <c r="DS8">
        <v>4</v>
      </c>
      <c r="DT8">
        <v>5</v>
      </c>
      <c r="DU8">
        <v>6</v>
      </c>
      <c r="DV8">
        <v>7</v>
      </c>
      <c r="DW8">
        <v>8</v>
      </c>
      <c r="DX8">
        <v>9</v>
      </c>
      <c r="DY8">
        <v>10</v>
      </c>
      <c r="DZ8">
        <v>11</v>
      </c>
      <c r="EA8">
        <v>12</v>
      </c>
      <c r="EB8">
        <v>13</v>
      </c>
      <c r="EC8">
        <v>14</v>
      </c>
      <c r="ED8">
        <v>1</v>
      </c>
      <c r="EE8">
        <v>3</v>
      </c>
      <c r="EF8">
        <v>4</v>
      </c>
      <c r="EG8">
        <v>7</v>
      </c>
      <c r="EH8">
        <v>8</v>
      </c>
      <c r="EI8">
        <v>9</v>
      </c>
      <c r="EJ8">
        <v>10</v>
      </c>
      <c r="EK8">
        <v>13</v>
      </c>
      <c r="EL8">
        <v>14</v>
      </c>
      <c r="EM8">
        <v>15</v>
      </c>
      <c r="EN8">
        <v>16</v>
      </c>
      <c r="EO8">
        <v>22</v>
      </c>
      <c r="EP8">
        <v>23</v>
      </c>
      <c r="EQ8" s="16">
        <v>24</v>
      </c>
    </row>
    <row r="9" spans="1:802" x14ac:dyDescent="0.25">
      <c r="A9" t="s">
        <v>167</v>
      </c>
      <c r="B9" t="s">
        <v>168</v>
      </c>
      <c r="C9" s="3" t="s">
        <v>127</v>
      </c>
      <c r="O9" s="2"/>
      <c r="P9" t="s">
        <v>129</v>
      </c>
      <c r="Q9" s="1"/>
      <c r="S9" s="1" t="s">
        <v>130</v>
      </c>
      <c r="T9" s="14" t="s">
        <v>554</v>
      </c>
      <c r="U9" s="15">
        <v>8</v>
      </c>
      <c r="V9" s="15" t="s">
        <v>316</v>
      </c>
      <c r="W9" s="15"/>
      <c r="AC9" t="s">
        <v>261</v>
      </c>
      <c r="AF9" t="s">
        <v>153</v>
      </c>
      <c r="AG9" t="s">
        <v>154</v>
      </c>
      <c r="AH9" t="s">
        <v>132</v>
      </c>
      <c r="AI9" s="73" cm="1">
        <f t="array" ref="AI9">IF(COUNTIFS(AH$2:AH9,AH9)=1,"1",VALUE(SUBSTITUTE(INDEX(AI:AI,_xlfn.XMATCH(AH9,AH$1:AH8,0,-1)),"A",""))+INDEX(AJ:AJ,_xlfn.XMATCH(AH9,AH$1:AH8,0,-1))+1)</f>
        <v>22</v>
      </c>
      <c r="AJ9" s="73" cm="1">
        <f t="array" ref="AJ9">SUM(IF(ISNUMBER(FIND("TmDo",$BE$1:$AAL$1)),IF(IFERROR(ISNUMBER(VALUE(SUBSTITUTE($BE9:$AAL9,"B",""))),FALSE),IF(ISNUMBER(VALUE(SUBSTITUTE($BE9:$AAL9,"B",""))),1,0),0)))</f>
        <v>2</v>
      </c>
      <c r="AK9" t="str">
        <f t="shared" si="0"/>
        <v>22A</v>
      </c>
      <c r="AL9" t="str">
        <f t="shared" si="1"/>
        <v>22B</v>
      </c>
      <c r="AM9" t="s">
        <v>169</v>
      </c>
      <c r="AP9" t="s">
        <v>137</v>
      </c>
      <c r="AQ9" t="s">
        <v>138</v>
      </c>
      <c r="AT9" t="s">
        <v>139</v>
      </c>
      <c r="AU9" t="s">
        <v>140</v>
      </c>
      <c r="BD9" s="16"/>
      <c r="BE9" t="str">
        <f t="shared" si="2"/>
        <v>XT8</v>
      </c>
      <c r="BF9" t="str">
        <f t="shared" si="3"/>
        <v>C14</v>
      </c>
      <c r="BG9" t="str">
        <f t="shared" si="4"/>
        <v>B14</v>
      </c>
      <c r="BH9" t="str">
        <f t="shared" si="5"/>
        <v>C15</v>
      </c>
      <c r="BI9" t="str">
        <f t="shared" si="6"/>
        <v>B15</v>
      </c>
      <c r="BJ9" t="str">
        <f t="shared" si="7"/>
        <v>C16</v>
      </c>
      <c r="BK9" t="str">
        <f t="shared" si="8"/>
        <v>B16</v>
      </c>
      <c r="BL9" t="str">
        <f t="shared" si="9"/>
        <v>C17</v>
      </c>
      <c r="BM9" t="str">
        <f t="shared" si="10"/>
        <v>B17</v>
      </c>
      <c r="BN9" t="str">
        <f t="shared" si="11"/>
        <v>C18</v>
      </c>
      <c r="BO9" t="str">
        <f t="shared" si="12"/>
        <v>B18</v>
      </c>
      <c r="BP9" t="str">
        <f t="shared" si="13"/>
        <v>23A</v>
      </c>
      <c r="BQ9" t="str">
        <f t="shared" si="14"/>
        <v>23B</v>
      </c>
      <c r="BR9" t="str">
        <f t="shared" si="15"/>
        <v>24A</v>
      </c>
      <c r="BS9" t="str">
        <f t="shared" si="16"/>
        <v>24B</v>
      </c>
      <c r="BT9" t="str">
        <f t="shared" si="17"/>
        <v>DI2-C13</v>
      </c>
      <c r="BU9" t="str">
        <f t="shared" si="18"/>
        <v>DI2-B13</v>
      </c>
      <c r="BV9" t="str">
        <f t="shared" si="19"/>
        <v>DI2-C14</v>
      </c>
      <c r="BW9" t="str">
        <f t="shared" si="19"/>
        <v>DI2-B14</v>
      </c>
      <c r="BX9" t="str">
        <f t="shared" si="19"/>
        <v>DI2-C15</v>
      </c>
      <c r="BY9" t="str">
        <f t="shared" si="19"/>
        <v>DI2-B15</v>
      </c>
      <c r="BZ9" t="str">
        <f t="shared" si="19"/>
        <v>DI2-C16</v>
      </c>
      <c r="CA9" t="str">
        <f t="shared" si="19"/>
        <v>DI2-B16</v>
      </c>
      <c r="CB9" t="str">
        <f t="shared" si="19"/>
        <v>DI2-C17</v>
      </c>
      <c r="CC9" t="str">
        <f t="shared" si="19"/>
        <v>DI2-B17</v>
      </c>
      <c r="CD9" t="str">
        <f t="shared" si="19"/>
        <v>DI2-C18</v>
      </c>
      <c r="CE9" t="str">
        <f t="shared" si="19"/>
        <v>DI2-B18</v>
      </c>
      <c r="CF9" t="str">
        <f t="shared" si="20"/>
        <v>DO1-22A</v>
      </c>
      <c r="CG9" t="str">
        <f t="shared" si="21"/>
        <v>DO1-22B</v>
      </c>
      <c r="CH9" t="str">
        <f t="shared" si="22"/>
        <v>DO1-23A</v>
      </c>
      <c r="CI9" t="str">
        <f t="shared" si="23"/>
        <v>DO1-23B</v>
      </c>
      <c r="CJ9" t="str">
        <f t="shared" si="24"/>
        <v>DO1-24A</v>
      </c>
      <c r="CK9" t="str">
        <f t="shared" si="25"/>
        <v>DO1-24B</v>
      </c>
      <c r="CL9" t="str">
        <f t="shared" si="27"/>
        <v>K8-10</v>
      </c>
      <c r="CM9" t="str">
        <f t="shared" si="28"/>
        <v>K8-03</v>
      </c>
      <c r="CN9" t="str">
        <f t="shared" si="29"/>
        <v>K8-04</v>
      </c>
      <c r="CO9" t="str">
        <f t="shared" si="30"/>
        <v>K8-01</v>
      </c>
      <c r="CP9" t="str">
        <f t="shared" si="31"/>
        <v>K8-08</v>
      </c>
      <c r="CQ9" t="str">
        <f t="shared" si="32"/>
        <v>K8-02</v>
      </c>
      <c r="CR9" t="str">
        <f t="shared" si="33"/>
        <v>K8-09</v>
      </c>
      <c r="CS9" t="str">
        <f t="shared" si="34"/>
        <v>K8-05</v>
      </c>
      <c r="CT9" t="str">
        <f t="shared" si="35"/>
        <v>K8-11</v>
      </c>
      <c r="CU9" t="str">
        <f t="shared" si="36"/>
        <v>F0-M8-A9</v>
      </c>
      <c r="CV9" t="str">
        <f t="shared" si="37"/>
        <v>F0-M8-A7</v>
      </c>
      <c r="CW9" t="str">
        <f t="shared" si="38"/>
        <v>F0-M8-A8</v>
      </c>
      <c r="CX9" t="str">
        <f t="shared" si="39"/>
        <v>F0-M8-A6</v>
      </c>
      <c r="CY9" t="str">
        <f t="shared" si="40"/>
        <v>F0-M8-A30</v>
      </c>
      <c r="CZ9" t="str">
        <f t="shared" si="41"/>
        <v>F0-M8-N</v>
      </c>
      <c r="DA9" t="str">
        <f t="shared" si="26"/>
        <v>F0-A220-M8</v>
      </c>
      <c r="DB9" t="str">
        <f t="shared" si="42"/>
        <v>F0-M8-XM01</v>
      </c>
      <c r="DC9" t="str">
        <f t="shared" si="43"/>
        <v>F0-M8-A1</v>
      </c>
      <c r="DD9" t="str">
        <f t="shared" si="44"/>
        <v>F0-M8-A5</v>
      </c>
      <c r="DE9" t="str">
        <f t="shared" si="45"/>
        <v>F0-M8-A11</v>
      </c>
      <c r="DF9" t="str">
        <f t="shared" si="46"/>
        <v>F0-M8-A12</v>
      </c>
      <c r="DG9" t="str">
        <f t="shared" si="47"/>
        <v>F0-M8-A19</v>
      </c>
      <c r="DH9" t="str">
        <f t="shared" si="48"/>
        <v>F0-M8-A20</v>
      </c>
      <c r="DI9" t="s">
        <v>142</v>
      </c>
      <c r="DJ9" t="s">
        <v>143</v>
      </c>
      <c r="DK9">
        <v>11</v>
      </c>
      <c r="DL9">
        <v>14</v>
      </c>
      <c r="DM9">
        <v>12</v>
      </c>
      <c r="DN9" t="s">
        <v>144</v>
      </c>
      <c r="DO9" t="s">
        <v>145</v>
      </c>
      <c r="DP9">
        <v>1</v>
      </c>
      <c r="DQ9">
        <v>2</v>
      </c>
      <c r="DR9">
        <v>3</v>
      </c>
      <c r="DS9">
        <v>4</v>
      </c>
      <c r="DT9">
        <v>5</v>
      </c>
      <c r="DU9">
        <v>6</v>
      </c>
      <c r="DV9">
        <v>7</v>
      </c>
      <c r="DW9">
        <v>8</v>
      </c>
      <c r="DX9">
        <v>9</v>
      </c>
      <c r="DY9">
        <v>10</v>
      </c>
      <c r="DZ9">
        <v>11</v>
      </c>
      <c r="EA9">
        <v>12</v>
      </c>
      <c r="EB9">
        <v>13</v>
      </c>
      <c r="EC9">
        <v>14</v>
      </c>
      <c r="ED9">
        <v>1</v>
      </c>
      <c r="EE9">
        <v>3</v>
      </c>
      <c r="EF9">
        <v>4</v>
      </c>
      <c r="EG9">
        <v>7</v>
      </c>
      <c r="EH9">
        <v>8</v>
      </c>
      <c r="EI9">
        <v>9</v>
      </c>
      <c r="EJ9">
        <v>10</v>
      </c>
      <c r="EK9">
        <v>13</v>
      </c>
      <c r="EL9">
        <v>14</v>
      </c>
      <c r="EM9">
        <v>15</v>
      </c>
      <c r="EN9">
        <v>16</v>
      </c>
      <c r="EO9">
        <v>22</v>
      </c>
      <c r="EP9">
        <v>23</v>
      </c>
      <c r="EQ9" s="16">
        <v>24</v>
      </c>
    </row>
    <row r="10" spans="1:802" x14ac:dyDescent="0.25">
      <c r="A10" t="s">
        <v>170</v>
      </c>
      <c r="B10" t="s">
        <v>171</v>
      </c>
      <c r="C10" s="3" t="s">
        <v>127</v>
      </c>
      <c r="O10" s="2"/>
      <c r="P10" t="s">
        <v>129</v>
      </c>
      <c r="Q10" s="1"/>
      <c r="S10" s="1" t="s">
        <v>130</v>
      </c>
      <c r="T10" s="14" t="s">
        <v>554</v>
      </c>
      <c r="U10" s="15">
        <v>9</v>
      </c>
      <c r="V10" s="15" t="s">
        <v>317</v>
      </c>
      <c r="W10" s="15"/>
      <c r="AC10" t="s">
        <v>261</v>
      </c>
      <c r="AF10" t="s">
        <v>239</v>
      </c>
      <c r="AG10" t="s">
        <v>241</v>
      </c>
      <c r="AH10" t="s">
        <v>132</v>
      </c>
      <c r="AI10" s="73" cm="1">
        <f t="array" ref="AI10">IF(COUNTIFS(AH$2:AH10,AH10)=1,"1",VALUE(SUBSTITUTE(INDEX(AI:AI,_xlfn.XMATCH(AH10,AH$1:AH9,0,-1)),"A",""))+INDEX(AJ:AJ,_xlfn.XMATCH(AH10,AH$1:AH9,0,-1))+1)</f>
        <v>25</v>
      </c>
      <c r="AJ10" s="73" cm="1">
        <f t="array" ref="AJ10">SUM(IF(ISNUMBER(FIND("TmDo",$BE$1:$AAL$1)),IF(IFERROR(ISNUMBER(VALUE(SUBSTITUTE($BE10:$AAL10,"B",""))),FALSE),IF(ISNUMBER(VALUE(SUBSTITUTE($BE10:$AAL10,"B",""))),1,0),0)))</f>
        <v>2</v>
      </c>
      <c r="AK10" t="str">
        <f t="shared" si="0"/>
        <v>25A</v>
      </c>
      <c r="AL10" t="str">
        <f t="shared" si="1"/>
        <v>25B</v>
      </c>
      <c r="AM10" t="s">
        <v>172</v>
      </c>
      <c r="AP10" t="s">
        <v>137</v>
      </c>
      <c r="AQ10" t="s">
        <v>138</v>
      </c>
      <c r="AT10" t="s">
        <v>139</v>
      </c>
      <c r="AU10" t="s">
        <v>140</v>
      </c>
      <c r="BD10" s="16"/>
      <c r="BE10" t="str">
        <f t="shared" si="2"/>
        <v>XT9</v>
      </c>
      <c r="BF10" t="str">
        <f t="shared" si="3"/>
        <v>C20</v>
      </c>
      <c r="BG10" t="str">
        <f t="shared" si="4"/>
        <v>B20</v>
      </c>
      <c r="BH10" t="str">
        <f t="shared" si="5"/>
        <v>C21</v>
      </c>
      <c r="BI10" t="str">
        <f t="shared" si="6"/>
        <v>B21</v>
      </c>
      <c r="BJ10" t="str">
        <f t="shared" si="7"/>
        <v>C22</v>
      </c>
      <c r="BK10" t="str">
        <f t="shared" si="8"/>
        <v>B22</v>
      </c>
      <c r="BL10" t="str">
        <f t="shared" si="9"/>
        <v>C23</v>
      </c>
      <c r="BM10" t="str">
        <f t="shared" si="10"/>
        <v>B23</v>
      </c>
      <c r="BN10" t="str">
        <f t="shared" si="11"/>
        <v>C24</v>
      </c>
      <c r="BO10" t="str">
        <f t="shared" si="12"/>
        <v>B24</v>
      </c>
      <c r="BP10" t="str">
        <f t="shared" si="13"/>
        <v>26A</v>
      </c>
      <c r="BQ10" t="str">
        <f t="shared" si="14"/>
        <v>26B</v>
      </c>
      <c r="BR10" t="str">
        <f t="shared" si="15"/>
        <v>27A</v>
      </c>
      <c r="BS10" t="str">
        <f t="shared" si="16"/>
        <v>27B</v>
      </c>
      <c r="BT10" t="str">
        <f t="shared" si="17"/>
        <v>DI2-C19</v>
      </c>
      <c r="BU10" t="str">
        <f t="shared" si="18"/>
        <v>DI2-B19</v>
      </c>
      <c r="BV10" t="str">
        <f t="shared" si="19"/>
        <v>DI2-C20</v>
      </c>
      <c r="BW10" t="str">
        <f t="shared" si="19"/>
        <v>DI2-B20</v>
      </c>
      <c r="BX10" t="str">
        <f t="shared" si="19"/>
        <v>DI2-C21</v>
      </c>
      <c r="BY10" t="str">
        <f t="shared" si="19"/>
        <v>DI2-B21</v>
      </c>
      <c r="BZ10" t="str">
        <f t="shared" si="19"/>
        <v>DI2-C22</v>
      </c>
      <c r="CA10" t="str">
        <f t="shared" si="19"/>
        <v>DI2-B22</v>
      </c>
      <c r="CB10" t="str">
        <f t="shared" si="19"/>
        <v>DI2-C23</v>
      </c>
      <c r="CC10" t="str">
        <f t="shared" si="19"/>
        <v>DI2-B23</v>
      </c>
      <c r="CD10" t="str">
        <f t="shared" si="19"/>
        <v>DI2-C24</v>
      </c>
      <c r="CE10" t="str">
        <f t="shared" si="19"/>
        <v>DI2-B24</v>
      </c>
      <c r="CF10" t="str">
        <f t="shared" si="20"/>
        <v>DO1-25A</v>
      </c>
      <c r="CG10" t="str">
        <f t="shared" si="21"/>
        <v>DO1-25B</v>
      </c>
      <c r="CH10" t="str">
        <f t="shared" si="22"/>
        <v>DO1-26A</v>
      </c>
      <c r="CI10" t="str">
        <f t="shared" si="23"/>
        <v>DO1-26B</v>
      </c>
      <c r="CJ10" t="str">
        <f t="shared" si="24"/>
        <v>DO1-27A</v>
      </c>
      <c r="CK10" t="str">
        <f t="shared" si="25"/>
        <v>DO1-27B</v>
      </c>
      <c r="CL10" t="str">
        <f t="shared" si="27"/>
        <v>K9-10</v>
      </c>
      <c r="CM10" t="str">
        <f t="shared" si="28"/>
        <v>K9-03</v>
      </c>
      <c r="CN10" t="str">
        <f t="shared" si="29"/>
        <v>K9-04</v>
      </c>
      <c r="CO10" t="str">
        <f t="shared" si="30"/>
        <v>K9-01</v>
      </c>
      <c r="CP10" t="str">
        <f t="shared" si="31"/>
        <v>K9-08</v>
      </c>
      <c r="CQ10" t="str">
        <f t="shared" si="32"/>
        <v>K9-02</v>
      </c>
      <c r="CR10" t="str">
        <f t="shared" si="33"/>
        <v>K9-09</v>
      </c>
      <c r="CS10" t="str">
        <f t="shared" si="34"/>
        <v>K9-05</v>
      </c>
      <c r="CT10" t="str">
        <f t="shared" si="35"/>
        <v>K9-11</v>
      </c>
      <c r="CU10" t="str">
        <f t="shared" si="36"/>
        <v>F0-M9-A9</v>
      </c>
      <c r="CV10" t="str">
        <f t="shared" si="37"/>
        <v>F0-M9-A7</v>
      </c>
      <c r="CW10" t="str">
        <f t="shared" si="38"/>
        <v>F0-M9-A8</v>
      </c>
      <c r="CX10" t="str">
        <f t="shared" si="39"/>
        <v>F0-M9-A6</v>
      </c>
      <c r="CY10" t="str">
        <f t="shared" si="40"/>
        <v>F0-M9-A30</v>
      </c>
      <c r="CZ10" t="str">
        <f t="shared" si="41"/>
        <v>F0-M9-N</v>
      </c>
      <c r="DA10" t="str">
        <f t="shared" si="26"/>
        <v>F0-A220-M9</v>
      </c>
      <c r="DB10" t="str">
        <f t="shared" si="42"/>
        <v>F0-M9-XM01</v>
      </c>
      <c r="DC10" t="str">
        <f t="shared" si="43"/>
        <v>F0-M9-A1</v>
      </c>
      <c r="DD10" t="str">
        <f t="shared" si="44"/>
        <v>F0-M9-A5</v>
      </c>
      <c r="DE10" t="str">
        <f t="shared" si="45"/>
        <v>F0-M9-A11</v>
      </c>
      <c r="DF10" t="str">
        <f t="shared" si="46"/>
        <v>F0-M9-A12</v>
      </c>
      <c r="DG10" t="str">
        <f t="shared" si="47"/>
        <v>F0-M9-A19</v>
      </c>
      <c r="DH10" t="str">
        <f t="shared" si="48"/>
        <v>F0-M9-A20</v>
      </c>
      <c r="DI10" t="s">
        <v>142</v>
      </c>
      <c r="DJ10" t="s">
        <v>143</v>
      </c>
      <c r="DK10">
        <v>11</v>
      </c>
      <c r="DL10">
        <v>14</v>
      </c>
      <c r="DM10">
        <v>12</v>
      </c>
      <c r="DN10" t="s">
        <v>144</v>
      </c>
      <c r="DO10" t="s">
        <v>145</v>
      </c>
      <c r="DP10">
        <v>1</v>
      </c>
      <c r="DQ10">
        <v>2</v>
      </c>
      <c r="DR10">
        <v>3</v>
      </c>
      <c r="DS10">
        <v>4</v>
      </c>
      <c r="DT10">
        <v>5</v>
      </c>
      <c r="DU10">
        <v>6</v>
      </c>
      <c r="DV10">
        <v>7</v>
      </c>
      <c r="DW10">
        <v>8</v>
      </c>
      <c r="DX10">
        <v>9</v>
      </c>
      <c r="DY10">
        <v>10</v>
      </c>
      <c r="DZ10">
        <v>11</v>
      </c>
      <c r="EA10">
        <v>12</v>
      </c>
      <c r="EB10">
        <v>13</v>
      </c>
      <c r="EC10">
        <v>14</v>
      </c>
      <c r="ED10">
        <v>1</v>
      </c>
      <c r="EE10">
        <v>3</v>
      </c>
      <c r="EF10">
        <v>4</v>
      </c>
      <c r="EG10">
        <v>7</v>
      </c>
      <c r="EH10">
        <v>8</v>
      </c>
      <c r="EI10">
        <v>9</v>
      </c>
      <c r="EJ10">
        <v>10</v>
      </c>
      <c r="EK10">
        <v>13</v>
      </c>
      <c r="EL10">
        <v>14</v>
      </c>
      <c r="EM10">
        <v>15</v>
      </c>
      <c r="EN10">
        <v>16</v>
      </c>
      <c r="EO10">
        <v>22</v>
      </c>
      <c r="EP10">
        <v>23</v>
      </c>
      <c r="EQ10" s="16">
        <v>24</v>
      </c>
    </row>
    <row r="11" spans="1:802" x14ac:dyDescent="0.25">
      <c r="A11" t="s">
        <v>173</v>
      </c>
      <c r="B11" t="s">
        <v>174</v>
      </c>
      <c r="C11" s="3" t="s">
        <v>127</v>
      </c>
      <c r="O11" s="2"/>
      <c r="P11" t="s">
        <v>129</v>
      </c>
      <c r="Q11" s="1"/>
      <c r="S11" s="1" t="s">
        <v>130</v>
      </c>
      <c r="T11" s="14" t="s">
        <v>554</v>
      </c>
      <c r="U11" s="15">
        <v>10</v>
      </c>
      <c r="V11" s="15" t="s">
        <v>318</v>
      </c>
      <c r="W11" s="15"/>
      <c r="AC11" t="s">
        <v>261</v>
      </c>
      <c r="AF11" t="s">
        <v>240</v>
      </c>
      <c r="AG11" t="s">
        <v>242</v>
      </c>
      <c r="AH11" t="s">
        <v>132</v>
      </c>
      <c r="AI11" s="73" cm="1">
        <f t="array" ref="AI11">IF(COUNTIFS(AH$2:AH11,AH11)=1,"1",VALUE(SUBSTITUTE(INDEX(AI:AI,_xlfn.XMATCH(AH11,AH$1:AH10,0,-1)),"A",""))+INDEX(AJ:AJ,_xlfn.XMATCH(AH11,AH$1:AH10,0,-1))+1)</f>
        <v>28</v>
      </c>
      <c r="AJ11" s="73" cm="1">
        <f t="array" ref="AJ11">SUM(IF(ISNUMBER(FIND("TmDo",$BE$1:$AAL$1)),IF(IFERROR(ISNUMBER(VALUE(SUBSTITUTE($BE11:$AAL11,"B",""))),FALSE),IF(ISNUMBER(VALUE(SUBSTITUTE($BE11:$AAL11,"B",""))),1,0),0)))</f>
        <v>2</v>
      </c>
      <c r="AK11" t="str">
        <f t="shared" si="0"/>
        <v>28A</v>
      </c>
      <c r="AL11" t="str">
        <f t="shared" si="1"/>
        <v>28B</v>
      </c>
      <c r="AM11" t="s">
        <v>175</v>
      </c>
      <c r="AP11" t="s">
        <v>137</v>
      </c>
      <c r="AQ11" t="s">
        <v>138</v>
      </c>
      <c r="AT11" t="s">
        <v>139</v>
      </c>
      <c r="AU11" t="s">
        <v>140</v>
      </c>
      <c r="BD11" s="16"/>
      <c r="BE11" t="str">
        <f t="shared" si="2"/>
        <v>XT10</v>
      </c>
      <c r="BF11" t="str">
        <f t="shared" si="3"/>
        <v>C26</v>
      </c>
      <c r="BG11" t="str">
        <f t="shared" si="4"/>
        <v>B26</v>
      </c>
      <c r="BH11" t="str">
        <f t="shared" si="5"/>
        <v>C27</v>
      </c>
      <c r="BI11" t="str">
        <f t="shared" si="6"/>
        <v>B27</v>
      </c>
      <c r="BJ11" t="str">
        <f t="shared" si="7"/>
        <v>C28</v>
      </c>
      <c r="BK11" t="str">
        <f t="shared" si="8"/>
        <v>B28</v>
      </c>
      <c r="BL11" t="str">
        <f t="shared" si="9"/>
        <v>C29</v>
      </c>
      <c r="BM11" t="str">
        <f t="shared" si="10"/>
        <v>B29</v>
      </c>
      <c r="BN11" t="str">
        <f t="shared" si="11"/>
        <v>C30</v>
      </c>
      <c r="BO11" t="str">
        <f t="shared" si="12"/>
        <v>B30</v>
      </c>
      <c r="BP11" t="str">
        <f t="shared" si="13"/>
        <v>29A</v>
      </c>
      <c r="BQ11" t="str">
        <f t="shared" si="14"/>
        <v>29B</v>
      </c>
      <c r="BR11" t="str">
        <f t="shared" si="15"/>
        <v>30A</v>
      </c>
      <c r="BS11" t="str">
        <f t="shared" si="16"/>
        <v>30B</v>
      </c>
      <c r="BT11" t="str">
        <f t="shared" si="17"/>
        <v>DI2-C25</v>
      </c>
      <c r="BU11" t="str">
        <f t="shared" si="18"/>
        <v>DI2-B25</v>
      </c>
      <c r="BV11" t="str">
        <f t="shared" si="19"/>
        <v>DI2-C26</v>
      </c>
      <c r="BW11" t="str">
        <f t="shared" si="19"/>
        <v>DI2-B26</v>
      </c>
      <c r="BX11" t="str">
        <f t="shared" si="19"/>
        <v>DI2-C27</v>
      </c>
      <c r="BY11" t="str">
        <f t="shared" si="19"/>
        <v>DI2-B27</v>
      </c>
      <c r="BZ11" t="str">
        <f t="shared" si="19"/>
        <v>DI2-C28</v>
      </c>
      <c r="CA11" t="str">
        <f t="shared" si="19"/>
        <v>DI2-B28</v>
      </c>
      <c r="CB11" t="str">
        <f t="shared" si="19"/>
        <v>DI2-C29</v>
      </c>
      <c r="CC11" t="str">
        <f t="shared" si="19"/>
        <v>DI2-B29</v>
      </c>
      <c r="CD11" t="str">
        <f t="shared" si="19"/>
        <v>DI2-C30</v>
      </c>
      <c r="CE11" t="str">
        <f t="shared" si="19"/>
        <v>DI2-B30</v>
      </c>
      <c r="CF11" t="str">
        <f t="shared" si="20"/>
        <v>DO1-28A</v>
      </c>
      <c r="CG11" t="str">
        <f t="shared" si="21"/>
        <v>DO1-28B</v>
      </c>
      <c r="CH11" t="str">
        <f t="shared" si="22"/>
        <v>DO1-29A</v>
      </c>
      <c r="CI11" t="str">
        <f t="shared" si="23"/>
        <v>DO1-29B</v>
      </c>
      <c r="CJ11" t="str">
        <f t="shared" si="24"/>
        <v>DO1-30A</v>
      </c>
      <c r="CK11" t="str">
        <f t="shared" si="25"/>
        <v>DO1-30B</v>
      </c>
      <c r="CL11" t="str">
        <f t="shared" si="27"/>
        <v>K10-10</v>
      </c>
      <c r="CM11" t="str">
        <f t="shared" si="28"/>
        <v>K10-03</v>
      </c>
      <c r="CN11" t="str">
        <f t="shared" si="29"/>
        <v>K10-04</v>
      </c>
      <c r="CO11" t="str">
        <f t="shared" si="30"/>
        <v>K10-01</v>
      </c>
      <c r="CP11" t="str">
        <f t="shared" si="31"/>
        <v>K10-08</v>
      </c>
      <c r="CQ11" t="str">
        <f t="shared" si="32"/>
        <v>K10-02</v>
      </c>
      <c r="CR11" t="str">
        <f t="shared" si="33"/>
        <v>K10-09</v>
      </c>
      <c r="CS11" t="str">
        <f t="shared" si="34"/>
        <v>K10-05</v>
      </c>
      <c r="CT11" t="str">
        <f t="shared" si="35"/>
        <v>K10-11</v>
      </c>
      <c r="CU11" t="str">
        <f t="shared" si="36"/>
        <v>F0-M10-A9</v>
      </c>
      <c r="CV11" t="str">
        <f t="shared" si="37"/>
        <v>F0-M10-A7</v>
      </c>
      <c r="CW11" t="str">
        <f t="shared" si="38"/>
        <v>F0-M10-A8</v>
      </c>
      <c r="CX11" t="str">
        <f t="shared" si="39"/>
        <v>F0-M10-A6</v>
      </c>
      <c r="CY11" t="str">
        <f t="shared" si="40"/>
        <v>F0-M10-A30</v>
      </c>
      <c r="CZ11" t="str">
        <f t="shared" si="41"/>
        <v>F0-M10-N</v>
      </c>
      <c r="DA11" t="str">
        <f t="shared" si="26"/>
        <v>F0-A220-M10</v>
      </c>
      <c r="DB11" t="str">
        <f t="shared" si="42"/>
        <v>F0-M10-XM01</v>
      </c>
      <c r="DC11" t="str">
        <f t="shared" si="43"/>
        <v>F0-M10-A1</v>
      </c>
      <c r="DD11" t="str">
        <f t="shared" si="44"/>
        <v>F0-M10-A5</v>
      </c>
      <c r="DE11" t="str">
        <f t="shared" si="45"/>
        <v>F0-M10-A11</v>
      </c>
      <c r="DF11" t="str">
        <f t="shared" si="46"/>
        <v>F0-M10-A12</v>
      </c>
      <c r="DG11" t="str">
        <f t="shared" si="47"/>
        <v>F0-M10-A19</v>
      </c>
      <c r="DH11" t="str">
        <f t="shared" si="48"/>
        <v>F0-M10-A20</v>
      </c>
      <c r="DI11" t="s">
        <v>142</v>
      </c>
      <c r="DJ11" t="s">
        <v>143</v>
      </c>
      <c r="DK11">
        <v>11</v>
      </c>
      <c r="DL11">
        <v>14</v>
      </c>
      <c r="DM11">
        <v>12</v>
      </c>
      <c r="DN11" t="s">
        <v>144</v>
      </c>
      <c r="DO11" t="s">
        <v>145</v>
      </c>
      <c r="DP11">
        <v>1</v>
      </c>
      <c r="DQ11">
        <v>2</v>
      </c>
      <c r="DR11">
        <v>3</v>
      </c>
      <c r="DS11">
        <v>4</v>
      </c>
      <c r="DT11">
        <v>5</v>
      </c>
      <c r="DU11">
        <v>6</v>
      </c>
      <c r="DV11">
        <v>7</v>
      </c>
      <c r="DW11">
        <v>8</v>
      </c>
      <c r="DX11">
        <v>9</v>
      </c>
      <c r="DY11">
        <v>10</v>
      </c>
      <c r="DZ11">
        <v>11</v>
      </c>
      <c r="EA11">
        <v>12</v>
      </c>
      <c r="EB11">
        <v>13</v>
      </c>
      <c r="EC11">
        <v>14</v>
      </c>
      <c r="ED11">
        <v>1</v>
      </c>
      <c r="EE11">
        <v>3</v>
      </c>
      <c r="EF11">
        <v>4</v>
      </c>
      <c r="EG11">
        <v>7</v>
      </c>
      <c r="EH11">
        <v>8</v>
      </c>
      <c r="EI11">
        <v>9</v>
      </c>
      <c r="EJ11">
        <v>10</v>
      </c>
      <c r="EK11">
        <v>13</v>
      </c>
      <c r="EL11">
        <v>14</v>
      </c>
      <c r="EM11">
        <v>15</v>
      </c>
      <c r="EN11">
        <v>16</v>
      </c>
      <c r="EO11">
        <v>22</v>
      </c>
      <c r="EP11">
        <v>23</v>
      </c>
      <c r="EQ11" s="16">
        <v>24</v>
      </c>
    </row>
    <row r="12" spans="1:802" x14ac:dyDescent="0.25">
      <c r="A12" t="s">
        <v>176</v>
      </c>
      <c r="B12" t="s">
        <v>177</v>
      </c>
      <c r="C12" s="3" t="s">
        <v>127</v>
      </c>
      <c r="O12" s="2"/>
      <c r="P12" t="s">
        <v>129</v>
      </c>
      <c r="Q12" s="1"/>
      <c r="S12" s="1" t="s">
        <v>130</v>
      </c>
      <c r="T12" s="14" t="s">
        <v>554</v>
      </c>
      <c r="U12" s="15">
        <v>11</v>
      </c>
      <c r="V12" s="15" t="s">
        <v>319</v>
      </c>
      <c r="W12" s="15"/>
      <c r="AC12" t="s">
        <v>262</v>
      </c>
      <c r="AF12" t="s">
        <v>133</v>
      </c>
      <c r="AG12" t="s">
        <v>134</v>
      </c>
      <c r="AH12" t="s">
        <v>267</v>
      </c>
      <c r="AI12" s="73" t="str" cm="1">
        <f t="array" ref="AI12">IF(COUNTIFS(AH$2:AH12,AH12)=1,"1",VALUE(SUBSTITUTE(INDEX(AI:AI,_xlfn.XMATCH(AH12,AH$1:AH11,0,-1)),"A",""))+INDEX(AJ:AJ,_xlfn.XMATCH(AH12,AH$1:AH11,0,-1))+1)</f>
        <v>1</v>
      </c>
      <c r="AJ12" s="73" cm="1">
        <f t="array" ref="AJ12">SUM(IF(ISNUMBER(FIND("TmDo",$BE$1:$AAL$1)),IF(IFERROR(ISNUMBER(VALUE(SUBSTITUTE($BE12:$AAL12,"B",""))),FALSE),IF(ISNUMBER(VALUE(SUBSTITUTE($BE12:$AAL12,"B",""))),1,0),0)))</f>
        <v>2</v>
      </c>
      <c r="AK12" t="str">
        <f t="shared" si="0"/>
        <v>1A</v>
      </c>
      <c r="AL12" t="str">
        <f t="shared" si="1"/>
        <v>1B</v>
      </c>
      <c r="AM12" t="s">
        <v>178</v>
      </c>
      <c r="AP12" t="s">
        <v>137</v>
      </c>
      <c r="AQ12" t="s">
        <v>138</v>
      </c>
      <c r="AT12" t="s">
        <v>139</v>
      </c>
      <c r="AU12" t="s">
        <v>140</v>
      </c>
      <c r="BD12" s="16"/>
      <c r="BE12" t="str">
        <f t="shared" si="2"/>
        <v>XT11</v>
      </c>
      <c r="BF12" t="str">
        <f t="shared" si="3"/>
        <v>C2</v>
      </c>
      <c r="BG12" t="str">
        <f t="shared" si="4"/>
        <v>B2</v>
      </c>
      <c r="BH12" t="str">
        <f t="shared" si="5"/>
        <v>C3</v>
      </c>
      <c r="BI12" t="str">
        <f t="shared" si="6"/>
        <v>B3</v>
      </c>
      <c r="BJ12" t="str">
        <f t="shared" si="7"/>
        <v>C4</v>
      </c>
      <c r="BK12" t="str">
        <f t="shared" si="8"/>
        <v>B4</v>
      </c>
      <c r="BL12" t="str">
        <f t="shared" si="9"/>
        <v>C5</v>
      </c>
      <c r="BM12" t="str">
        <f t="shared" si="10"/>
        <v>B5</v>
      </c>
      <c r="BN12" t="str">
        <f t="shared" si="11"/>
        <v>C6</v>
      </c>
      <c r="BO12" t="str">
        <f t="shared" si="12"/>
        <v>B6</v>
      </c>
      <c r="BP12" t="str">
        <f t="shared" si="13"/>
        <v>2A</v>
      </c>
      <c r="BQ12" t="str">
        <f t="shared" si="14"/>
        <v>2B</v>
      </c>
      <c r="BR12" t="str">
        <f t="shared" si="15"/>
        <v>3A</v>
      </c>
      <c r="BS12" t="str">
        <f t="shared" si="16"/>
        <v>3B</v>
      </c>
      <c r="BT12" t="str">
        <f t="shared" si="17"/>
        <v>DI3-C1</v>
      </c>
      <c r="BU12" t="str">
        <f t="shared" si="18"/>
        <v>DI3-B1</v>
      </c>
      <c r="BV12" t="str">
        <f t="shared" si="19"/>
        <v>DI3-C2</v>
      </c>
      <c r="BW12" t="str">
        <f t="shared" si="19"/>
        <v>DI3-B2</v>
      </c>
      <c r="BX12" t="str">
        <f t="shared" si="19"/>
        <v>DI3-C3</v>
      </c>
      <c r="BY12" t="str">
        <f t="shared" si="19"/>
        <v>DI3-B3</v>
      </c>
      <c r="BZ12" t="str">
        <f t="shared" si="19"/>
        <v>DI3-C4</v>
      </c>
      <c r="CA12" t="str">
        <f t="shared" si="19"/>
        <v>DI3-B4</v>
      </c>
      <c r="CB12" t="str">
        <f t="shared" si="19"/>
        <v>DI3-C5</v>
      </c>
      <c r="CC12" t="str">
        <f t="shared" si="19"/>
        <v>DI3-B5</v>
      </c>
      <c r="CD12" t="str">
        <f t="shared" si="19"/>
        <v>DI3-C6</v>
      </c>
      <c r="CE12" t="str">
        <f t="shared" si="19"/>
        <v>DI3-B6</v>
      </c>
      <c r="CF12" t="str">
        <f t="shared" si="20"/>
        <v>DO2-1A</v>
      </c>
      <c r="CG12" t="str">
        <f t="shared" si="21"/>
        <v>DO2-1B</v>
      </c>
      <c r="CH12" t="str">
        <f t="shared" si="22"/>
        <v>DO2-2A</v>
      </c>
      <c r="CI12" t="str">
        <f t="shared" si="23"/>
        <v>DO2-2B</v>
      </c>
      <c r="CJ12" t="str">
        <f t="shared" si="24"/>
        <v>DO2-3A</v>
      </c>
      <c r="CK12" t="str">
        <f t="shared" si="25"/>
        <v>DO2-3B</v>
      </c>
      <c r="CL12" t="str">
        <f t="shared" si="27"/>
        <v>K11-10</v>
      </c>
      <c r="CM12" t="str">
        <f t="shared" si="28"/>
        <v>K11-03</v>
      </c>
      <c r="CN12" t="str">
        <f t="shared" si="29"/>
        <v>K11-04</v>
      </c>
      <c r="CO12" t="str">
        <f t="shared" si="30"/>
        <v>K11-01</v>
      </c>
      <c r="CP12" t="str">
        <f t="shared" si="31"/>
        <v>K11-08</v>
      </c>
      <c r="CQ12" t="str">
        <f t="shared" si="32"/>
        <v>K11-02</v>
      </c>
      <c r="CR12" t="str">
        <f t="shared" si="33"/>
        <v>K11-09</v>
      </c>
      <c r="CS12" t="str">
        <f t="shared" si="34"/>
        <v>K11-05</v>
      </c>
      <c r="CT12" t="str">
        <f t="shared" si="35"/>
        <v>K11-11</v>
      </c>
      <c r="CU12" t="str">
        <f t="shared" si="36"/>
        <v>F0-M11-A9</v>
      </c>
      <c r="CV12" t="str">
        <f t="shared" si="37"/>
        <v>F0-M11-A7</v>
      </c>
      <c r="CW12" t="str">
        <f t="shared" si="38"/>
        <v>F0-M11-A8</v>
      </c>
      <c r="CX12" t="str">
        <f t="shared" si="39"/>
        <v>F0-M11-A6</v>
      </c>
      <c r="CY12" t="str">
        <f t="shared" si="40"/>
        <v>F0-M11-A30</v>
      </c>
      <c r="CZ12" t="str">
        <f t="shared" si="41"/>
        <v>F0-M11-N</v>
      </c>
      <c r="DA12" t="str">
        <f t="shared" si="26"/>
        <v>F0-A220-M11</v>
      </c>
      <c r="DB12" t="str">
        <f t="shared" si="42"/>
        <v>F0-M11-XM01</v>
      </c>
      <c r="DC12" t="str">
        <f t="shared" si="43"/>
        <v>F0-M11-A1</v>
      </c>
      <c r="DD12" t="str">
        <f t="shared" si="44"/>
        <v>F0-M11-A5</v>
      </c>
      <c r="DE12" t="str">
        <f t="shared" si="45"/>
        <v>F0-M11-A11</v>
      </c>
      <c r="DF12" t="str">
        <f t="shared" si="46"/>
        <v>F0-M11-A12</v>
      </c>
      <c r="DG12" t="str">
        <f t="shared" si="47"/>
        <v>F0-M11-A19</v>
      </c>
      <c r="DH12" t="str">
        <f t="shared" si="48"/>
        <v>F0-M11-A20</v>
      </c>
      <c r="DI12" t="s">
        <v>142</v>
      </c>
      <c r="DJ12" t="s">
        <v>143</v>
      </c>
      <c r="DK12">
        <v>11</v>
      </c>
      <c r="DL12">
        <v>14</v>
      </c>
      <c r="DM12">
        <v>12</v>
      </c>
      <c r="DN12" t="s">
        <v>144</v>
      </c>
      <c r="DO12" t="s">
        <v>145</v>
      </c>
      <c r="DP12">
        <v>1</v>
      </c>
      <c r="DQ12">
        <v>2</v>
      </c>
      <c r="DR12">
        <v>3</v>
      </c>
      <c r="DS12">
        <v>4</v>
      </c>
      <c r="DT12">
        <v>5</v>
      </c>
      <c r="DU12">
        <v>6</v>
      </c>
      <c r="DV12">
        <v>7</v>
      </c>
      <c r="DW12">
        <v>8</v>
      </c>
      <c r="DX12">
        <v>9</v>
      </c>
      <c r="DY12">
        <v>10</v>
      </c>
      <c r="DZ12">
        <v>11</v>
      </c>
      <c r="EA12">
        <v>12</v>
      </c>
      <c r="EB12">
        <v>13</v>
      </c>
      <c r="EC12">
        <v>14</v>
      </c>
      <c r="ED12">
        <v>1</v>
      </c>
      <c r="EE12">
        <v>3</v>
      </c>
      <c r="EF12">
        <v>4</v>
      </c>
      <c r="EG12">
        <v>7</v>
      </c>
      <c r="EH12">
        <v>8</v>
      </c>
      <c r="EI12">
        <v>9</v>
      </c>
      <c r="EJ12">
        <v>10</v>
      </c>
      <c r="EK12">
        <v>13</v>
      </c>
      <c r="EL12">
        <v>14</v>
      </c>
      <c r="EM12">
        <v>15</v>
      </c>
      <c r="EN12">
        <v>16</v>
      </c>
      <c r="EO12">
        <v>22</v>
      </c>
      <c r="EP12">
        <v>23</v>
      </c>
      <c r="EQ12" s="16">
        <v>24</v>
      </c>
    </row>
    <row r="13" spans="1:802" x14ac:dyDescent="0.25">
      <c r="A13" t="s">
        <v>179</v>
      </c>
      <c r="B13" t="s">
        <v>180</v>
      </c>
      <c r="C13" s="3" t="s">
        <v>127</v>
      </c>
      <c r="O13" s="2"/>
      <c r="P13" t="s">
        <v>129</v>
      </c>
      <c r="Q13" s="1"/>
      <c r="S13" s="1" t="s">
        <v>130</v>
      </c>
      <c r="T13" s="14" t="s">
        <v>554</v>
      </c>
      <c r="U13" s="15">
        <v>12</v>
      </c>
      <c r="V13" s="15" t="s">
        <v>320</v>
      </c>
      <c r="W13" s="15"/>
      <c r="AC13" t="s">
        <v>262</v>
      </c>
      <c r="AF13" t="s">
        <v>148</v>
      </c>
      <c r="AG13" t="s">
        <v>149</v>
      </c>
      <c r="AH13" t="s">
        <v>267</v>
      </c>
      <c r="AI13" s="73" cm="1">
        <f t="array" ref="AI13">IF(COUNTIFS(AH$2:AH13,AH13)=1,"1",VALUE(SUBSTITUTE(INDEX(AI:AI,_xlfn.XMATCH(AH13,AH$1:AH12,0,-1)),"A",""))+INDEX(AJ:AJ,_xlfn.XMATCH(AH13,AH$1:AH12,0,-1))+1)</f>
        <v>4</v>
      </c>
      <c r="AJ13" s="73" cm="1">
        <f t="array" ref="AJ13">SUM(IF(ISNUMBER(FIND("TmDo",$BE$1:$AAL$1)),IF(IFERROR(ISNUMBER(VALUE(SUBSTITUTE($BE13:$AAL13,"B",""))),FALSE),IF(ISNUMBER(VALUE(SUBSTITUTE($BE13:$AAL13,"B",""))),1,0),0)))</f>
        <v>2</v>
      </c>
      <c r="AK13" t="str">
        <f t="shared" si="0"/>
        <v>4A</v>
      </c>
      <c r="AL13" t="str">
        <f t="shared" si="1"/>
        <v>4B</v>
      </c>
      <c r="AM13" t="s">
        <v>181</v>
      </c>
      <c r="AP13" t="s">
        <v>137</v>
      </c>
      <c r="AQ13" t="s">
        <v>138</v>
      </c>
      <c r="AT13" t="s">
        <v>139</v>
      </c>
      <c r="AU13" t="s">
        <v>140</v>
      </c>
      <c r="BD13" s="16"/>
      <c r="BE13" t="str">
        <f t="shared" si="2"/>
        <v>XT12</v>
      </c>
      <c r="BF13" t="str">
        <f t="shared" si="3"/>
        <v>C8</v>
      </c>
      <c r="BG13" t="str">
        <f t="shared" si="4"/>
        <v>B8</v>
      </c>
      <c r="BH13" t="str">
        <f t="shared" si="5"/>
        <v>C9</v>
      </c>
      <c r="BI13" t="str">
        <f t="shared" si="6"/>
        <v>B9</v>
      </c>
      <c r="BJ13" t="str">
        <f t="shared" si="7"/>
        <v>C10</v>
      </c>
      <c r="BK13" t="str">
        <f t="shared" si="8"/>
        <v>B10</v>
      </c>
      <c r="BL13" t="str">
        <f t="shared" si="9"/>
        <v>C11</v>
      </c>
      <c r="BM13" t="str">
        <f t="shared" si="10"/>
        <v>B11</v>
      </c>
      <c r="BN13" t="str">
        <f t="shared" si="11"/>
        <v>C12</v>
      </c>
      <c r="BO13" t="str">
        <f t="shared" si="12"/>
        <v>B12</v>
      </c>
      <c r="BP13" t="str">
        <f t="shared" si="13"/>
        <v>5A</v>
      </c>
      <c r="BQ13" t="str">
        <f t="shared" si="14"/>
        <v>5B</v>
      </c>
      <c r="BR13" t="str">
        <f t="shared" si="15"/>
        <v>6A</v>
      </c>
      <c r="BS13" t="str">
        <f t="shared" si="16"/>
        <v>6B</v>
      </c>
      <c r="BT13" t="str">
        <f t="shared" si="17"/>
        <v>DI3-C7</v>
      </c>
      <c r="BU13" t="str">
        <f t="shared" si="18"/>
        <v>DI3-B7</v>
      </c>
      <c r="BV13" t="str">
        <f t="shared" si="19"/>
        <v>DI3-C8</v>
      </c>
      <c r="BW13" t="str">
        <f t="shared" si="19"/>
        <v>DI3-B8</v>
      </c>
      <c r="BX13" t="str">
        <f t="shared" si="19"/>
        <v>DI3-C9</v>
      </c>
      <c r="BY13" t="str">
        <f t="shared" si="19"/>
        <v>DI3-B9</v>
      </c>
      <c r="BZ13" t="str">
        <f t="shared" si="19"/>
        <v>DI3-C10</v>
      </c>
      <c r="CA13" t="str">
        <f t="shared" si="19"/>
        <v>DI3-B10</v>
      </c>
      <c r="CB13" t="str">
        <f t="shared" si="19"/>
        <v>DI3-C11</v>
      </c>
      <c r="CC13" t="str">
        <f t="shared" si="19"/>
        <v>DI3-B11</v>
      </c>
      <c r="CD13" t="str">
        <f t="shared" si="19"/>
        <v>DI3-C12</v>
      </c>
      <c r="CE13" t="str">
        <f t="shared" si="19"/>
        <v>DI3-B12</v>
      </c>
      <c r="CF13" t="str">
        <f t="shared" si="20"/>
        <v>DO2-4A</v>
      </c>
      <c r="CG13" t="str">
        <f t="shared" si="21"/>
        <v>DO2-4B</v>
      </c>
      <c r="CH13" t="str">
        <f t="shared" si="22"/>
        <v>DO2-5A</v>
      </c>
      <c r="CI13" t="str">
        <f t="shared" si="23"/>
        <v>DO2-5B</v>
      </c>
      <c r="CJ13" t="str">
        <f t="shared" si="24"/>
        <v>DO2-6A</v>
      </c>
      <c r="CK13" t="str">
        <f t="shared" si="25"/>
        <v>DO2-6B</v>
      </c>
      <c r="CL13" t="str">
        <f t="shared" si="27"/>
        <v>K12-10</v>
      </c>
      <c r="CM13" t="str">
        <f t="shared" si="28"/>
        <v>K12-03</v>
      </c>
      <c r="CN13" t="str">
        <f t="shared" si="29"/>
        <v>K12-04</v>
      </c>
      <c r="CO13" t="str">
        <f t="shared" si="30"/>
        <v>K12-01</v>
      </c>
      <c r="CP13" t="str">
        <f t="shared" si="31"/>
        <v>K12-08</v>
      </c>
      <c r="CQ13" t="str">
        <f t="shared" si="32"/>
        <v>K12-02</v>
      </c>
      <c r="CR13" t="str">
        <f t="shared" si="33"/>
        <v>K12-09</v>
      </c>
      <c r="CS13" t="str">
        <f t="shared" si="34"/>
        <v>K12-05</v>
      </c>
      <c r="CT13" t="str">
        <f t="shared" si="35"/>
        <v>K12-11</v>
      </c>
      <c r="CU13" t="str">
        <f t="shared" si="36"/>
        <v>F0-M12-A9</v>
      </c>
      <c r="CV13" t="str">
        <f t="shared" si="37"/>
        <v>F0-M12-A7</v>
      </c>
      <c r="CW13" t="str">
        <f t="shared" si="38"/>
        <v>F0-M12-A8</v>
      </c>
      <c r="CX13" t="str">
        <f t="shared" si="39"/>
        <v>F0-M12-A6</v>
      </c>
      <c r="CY13" t="str">
        <f t="shared" si="40"/>
        <v>F0-M12-A30</v>
      </c>
      <c r="CZ13" t="str">
        <f t="shared" si="41"/>
        <v>F0-M12-N</v>
      </c>
      <c r="DA13" t="str">
        <f t="shared" si="26"/>
        <v>F0-A220-M12</v>
      </c>
      <c r="DB13" t="str">
        <f t="shared" si="42"/>
        <v>F0-M12-XM01</v>
      </c>
      <c r="DC13" t="str">
        <f t="shared" si="43"/>
        <v>F0-M12-A1</v>
      </c>
      <c r="DD13" t="str">
        <f t="shared" si="44"/>
        <v>F0-M12-A5</v>
      </c>
      <c r="DE13" t="str">
        <f t="shared" si="45"/>
        <v>F0-M12-A11</v>
      </c>
      <c r="DF13" t="str">
        <f t="shared" si="46"/>
        <v>F0-M12-A12</v>
      </c>
      <c r="DG13" t="str">
        <f t="shared" si="47"/>
        <v>F0-M12-A19</v>
      </c>
      <c r="DH13" t="str">
        <f t="shared" si="48"/>
        <v>F0-M12-A20</v>
      </c>
      <c r="DI13" t="s">
        <v>142</v>
      </c>
      <c r="DJ13" t="s">
        <v>143</v>
      </c>
      <c r="DK13">
        <v>11</v>
      </c>
      <c r="DL13">
        <v>14</v>
      </c>
      <c r="DM13">
        <v>12</v>
      </c>
      <c r="DN13" t="s">
        <v>144</v>
      </c>
      <c r="DO13" t="s">
        <v>145</v>
      </c>
      <c r="DP13">
        <v>1</v>
      </c>
      <c r="DQ13">
        <v>2</v>
      </c>
      <c r="DR13">
        <v>3</v>
      </c>
      <c r="DS13">
        <v>4</v>
      </c>
      <c r="DT13">
        <v>5</v>
      </c>
      <c r="DU13">
        <v>6</v>
      </c>
      <c r="DV13">
        <v>7</v>
      </c>
      <c r="DW13">
        <v>8</v>
      </c>
      <c r="DX13">
        <v>9</v>
      </c>
      <c r="DY13">
        <v>10</v>
      </c>
      <c r="DZ13">
        <v>11</v>
      </c>
      <c r="EA13">
        <v>12</v>
      </c>
      <c r="EB13">
        <v>13</v>
      </c>
      <c r="EC13">
        <v>14</v>
      </c>
      <c r="ED13">
        <v>1</v>
      </c>
      <c r="EE13">
        <v>3</v>
      </c>
      <c r="EF13">
        <v>4</v>
      </c>
      <c r="EG13">
        <v>7</v>
      </c>
      <c r="EH13">
        <v>8</v>
      </c>
      <c r="EI13">
        <v>9</v>
      </c>
      <c r="EJ13">
        <v>10</v>
      </c>
      <c r="EK13">
        <v>13</v>
      </c>
      <c r="EL13">
        <v>14</v>
      </c>
      <c r="EM13">
        <v>15</v>
      </c>
      <c r="EN13">
        <v>16</v>
      </c>
      <c r="EO13">
        <v>22</v>
      </c>
      <c r="EP13">
        <v>23</v>
      </c>
      <c r="EQ13" s="16">
        <v>24</v>
      </c>
    </row>
    <row r="14" spans="1:802" x14ac:dyDescent="0.25">
      <c r="A14" t="s">
        <v>182</v>
      </c>
      <c r="B14" t="s">
        <v>183</v>
      </c>
      <c r="C14" s="3" t="s">
        <v>127</v>
      </c>
      <c r="O14" s="2"/>
      <c r="P14" t="s">
        <v>129</v>
      </c>
      <c r="Q14" s="1"/>
      <c r="S14" s="1" t="s">
        <v>130</v>
      </c>
      <c r="T14" s="14" t="s">
        <v>554</v>
      </c>
      <c r="U14" s="15">
        <v>13</v>
      </c>
      <c r="V14" s="15" t="s">
        <v>321</v>
      </c>
      <c r="W14" s="15"/>
      <c r="AC14" t="s">
        <v>262</v>
      </c>
      <c r="AF14" t="s">
        <v>153</v>
      </c>
      <c r="AG14" t="s">
        <v>154</v>
      </c>
      <c r="AH14" t="s">
        <v>267</v>
      </c>
      <c r="AI14" s="73" cm="1">
        <f t="array" ref="AI14">IF(COUNTIFS(AH$2:AH14,AH14)=1,"1",VALUE(SUBSTITUTE(INDEX(AI:AI,_xlfn.XMATCH(AH14,AH$1:AH13,0,-1)),"A",""))+INDEX(AJ:AJ,_xlfn.XMATCH(AH14,AH$1:AH13,0,-1))+1)</f>
        <v>7</v>
      </c>
      <c r="AJ14" s="73" cm="1">
        <f t="array" ref="AJ14">SUM(IF(ISNUMBER(FIND("TmDo",$BE$1:$AAL$1)),IF(IFERROR(ISNUMBER(VALUE(SUBSTITUTE($BE14:$AAL14,"B",""))),FALSE),IF(ISNUMBER(VALUE(SUBSTITUTE($BE14:$AAL14,"B",""))),1,0),0)))</f>
        <v>2</v>
      </c>
      <c r="AK14" t="str">
        <f t="shared" si="0"/>
        <v>7A</v>
      </c>
      <c r="AL14" t="str">
        <f t="shared" si="1"/>
        <v>7B</v>
      </c>
      <c r="AM14" t="s">
        <v>184</v>
      </c>
      <c r="AP14" t="s">
        <v>137</v>
      </c>
      <c r="AQ14" t="s">
        <v>138</v>
      </c>
      <c r="AT14" t="s">
        <v>139</v>
      </c>
      <c r="AU14" t="s">
        <v>140</v>
      </c>
      <c r="BD14" s="16"/>
      <c r="BE14" t="str">
        <f t="shared" si="2"/>
        <v>XT13</v>
      </c>
      <c r="BF14" t="str">
        <f t="shared" si="3"/>
        <v>C14</v>
      </c>
      <c r="BG14" t="str">
        <f t="shared" si="4"/>
        <v>B14</v>
      </c>
      <c r="BH14" t="str">
        <f t="shared" si="5"/>
        <v>C15</v>
      </c>
      <c r="BI14" t="str">
        <f t="shared" si="6"/>
        <v>B15</v>
      </c>
      <c r="BJ14" t="str">
        <f t="shared" si="7"/>
        <v>C16</v>
      </c>
      <c r="BK14" t="str">
        <f t="shared" si="8"/>
        <v>B16</v>
      </c>
      <c r="BL14" t="str">
        <f t="shared" si="9"/>
        <v>C17</v>
      </c>
      <c r="BM14" t="str">
        <f t="shared" si="10"/>
        <v>B17</v>
      </c>
      <c r="BN14" t="str">
        <f t="shared" si="11"/>
        <v>C18</v>
      </c>
      <c r="BO14" t="str">
        <f t="shared" si="12"/>
        <v>B18</v>
      </c>
      <c r="BP14" t="str">
        <f t="shared" si="13"/>
        <v>8A</v>
      </c>
      <c r="BQ14" t="str">
        <f t="shared" si="14"/>
        <v>8B</v>
      </c>
      <c r="BR14" t="str">
        <f t="shared" si="15"/>
        <v>9A</v>
      </c>
      <c r="BS14" t="str">
        <f t="shared" si="16"/>
        <v>9B</v>
      </c>
      <c r="BT14" t="str">
        <f t="shared" si="17"/>
        <v>DI3-C13</v>
      </c>
      <c r="BU14" t="str">
        <f t="shared" si="18"/>
        <v>DI3-B13</v>
      </c>
      <c r="BV14" t="str">
        <f t="shared" si="19"/>
        <v>DI3-C14</v>
      </c>
      <c r="BW14" t="str">
        <f t="shared" si="19"/>
        <v>DI3-B14</v>
      </c>
      <c r="BX14" t="str">
        <f t="shared" si="19"/>
        <v>DI3-C15</v>
      </c>
      <c r="BY14" t="str">
        <f t="shared" si="19"/>
        <v>DI3-B15</v>
      </c>
      <c r="BZ14" t="str">
        <f t="shared" si="19"/>
        <v>DI3-C16</v>
      </c>
      <c r="CA14" t="str">
        <f t="shared" si="19"/>
        <v>DI3-B16</v>
      </c>
      <c r="CB14" t="str">
        <f t="shared" si="19"/>
        <v>DI3-C17</v>
      </c>
      <c r="CC14" t="str">
        <f t="shared" si="19"/>
        <v>DI3-B17</v>
      </c>
      <c r="CD14" t="str">
        <f t="shared" si="19"/>
        <v>DI3-C18</v>
      </c>
      <c r="CE14" t="str">
        <f t="shared" si="19"/>
        <v>DI3-B18</v>
      </c>
      <c r="CF14" t="str">
        <f t="shared" si="20"/>
        <v>DO2-7A</v>
      </c>
      <c r="CG14" t="str">
        <f t="shared" si="21"/>
        <v>DO2-7B</v>
      </c>
      <c r="CH14" t="str">
        <f t="shared" si="22"/>
        <v>DO2-8A</v>
      </c>
      <c r="CI14" t="str">
        <f t="shared" si="23"/>
        <v>DO2-8B</v>
      </c>
      <c r="CJ14" t="str">
        <f t="shared" si="24"/>
        <v>DO2-9A</v>
      </c>
      <c r="CK14" t="str">
        <f t="shared" si="25"/>
        <v>DO2-9B</v>
      </c>
      <c r="CL14" t="str">
        <f t="shared" si="27"/>
        <v>K13-10</v>
      </c>
      <c r="CM14" t="str">
        <f t="shared" si="28"/>
        <v>K13-03</v>
      </c>
      <c r="CN14" t="str">
        <f t="shared" si="29"/>
        <v>K13-04</v>
      </c>
      <c r="CO14" t="str">
        <f t="shared" si="30"/>
        <v>K13-01</v>
      </c>
      <c r="CP14" t="str">
        <f t="shared" si="31"/>
        <v>K13-08</v>
      </c>
      <c r="CQ14" t="str">
        <f t="shared" si="32"/>
        <v>K13-02</v>
      </c>
      <c r="CR14" t="str">
        <f t="shared" si="33"/>
        <v>K13-09</v>
      </c>
      <c r="CS14" t="str">
        <f t="shared" si="34"/>
        <v>K13-05</v>
      </c>
      <c r="CT14" t="str">
        <f t="shared" si="35"/>
        <v>K13-11</v>
      </c>
      <c r="CU14" t="str">
        <f t="shared" si="36"/>
        <v>F0-M13-A9</v>
      </c>
      <c r="CV14" t="str">
        <f t="shared" si="37"/>
        <v>F0-M13-A7</v>
      </c>
      <c r="CW14" t="str">
        <f t="shared" si="38"/>
        <v>F0-M13-A8</v>
      </c>
      <c r="CX14" t="str">
        <f t="shared" si="39"/>
        <v>F0-M13-A6</v>
      </c>
      <c r="CY14" t="str">
        <f t="shared" si="40"/>
        <v>F0-M13-A30</v>
      </c>
      <c r="CZ14" t="str">
        <f t="shared" si="41"/>
        <v>F0-M13-N</v>
      </c>
      <c r="DA14" t="str">
        <f t="shared" si="26"/>
        <v>F0-A220-M13</v>
      </c>
      <c r="DB14" t="str">
        <f t="shared" si="42"/>
        <v>F0-M13-XM01</v>
      </c>
      <c r="DC14" t="str">
        <f t="shared" si="43"/>
        <v>F0-M13-A1</v>
      </c>
      <c r="DD14" t="str">
        <f t="shared" si="44"/>
        <v>F0-M13-A5</v>
      </c>
      <c r="DE14" t="str">
        <f t="shared" si="45"/>
        <v>F0-M13-A11</v>
      </c>
      <c r="DF14" t="str">
        <f t="shared" si="46"/>
        <v>F0-M13-A12</v>
      </c>
      <c r="DG14" t="str">
        <f t="shared" si="47"/>
        <v>F0-M13-A19</v>
      </c>
      <c r="DH14" t="str">
        <f t="shared" si="48"/>
        <v>F0-M13-A20</v>
      </c>
      <c r="DI14" t="s">
        <v>142</v>
      </c>
      <c r="DJ14" t="s">
        <v>143</v>
      </c>
      <c r="DK14">
        <v>11</v>
      </c>
      <c r="DL14">
        <v>14</v>
      </c>
      <c r="DM14">
        <v>12</v>
      </c>
      <c r="DN14" t="s">
        <v>144</v>
      </c>
      <c r="DO14" t="s">
        <v>145</v>
      </c>
      <c r="DP14">
        <v>1</v>
      </c>
      <c r="DQ14">
        <v>2</v>
      </c>
      <c r="DR14">
        <v>3</v>
      </c>
      <c r="DS14">
        <v>4</v>
      </c>
      <c r="DT14">
        <v>5</v>
      </c>
      <c r="DU14">
        <v>6</v>
      </c>
      <c r="DV14">
        <v>7</v>
      </c>
      <c r="DW14">
        <v>8</v>
      </c>
      <c r="DX14">
        <v>9</v>
      </c>
      <c r="DY14">
        <v>10</v>
      </c>
      <c r="DZ14">
        <v>11</v>
      </c>
      <c r="EA14">
        <v>12</v>
      </c>
      <c r="EB14">
        <v>13</v>
      </c>
      <c r="EC14">
        <v>14</v>
      </c>
      <c r="ED14">
        <v>1</v>
      </c>
      <c r="EE14">
        <v>3</v>
      </c>
      <c r="EF14">
        <v>4</v>
      </c>
      <c r="EG14">
        <v>7</v>
      </c>
      <c r="EH14">
        <v>8</v>
      </c>
      <c r="EI14">
        <v>9</v>
      </c>
      <c r="EJ14">
        <v>10</v>
      </c>
      <c r="EK14">
        <v>13</v>
      </c>
      <c r="EL14">
        <v>14</v>
      </c>
      <c r="EM14">
        <v>15</v>
      </c>
      <c r="EN14">
        <v>16</v>
      </c>
      <c r="EO14">
        <v>22</v>
      </c>
      <c r="EP14">
        <v>23</v>
      </c>
      <c r="EQ14" s="16">
        <v>24</v>
      </c>
    </row>
    <row r="15" spans="1:802" x14ac:dyDescent="0.25">
      <c r="A15" t="s">
        <v>185</v>
      </c>
      <c r="B15" t="s">
        <v>186</v>
      </c>
      <c r="C15" s="3" t="s">
        <v>127</v>
      </c>
      <c r="O15" s="2"/>
      <c r="P15" t="s">
        <v>129</v>
      </c>
      <c r="Q15" s="1"/>
      <c r="S15" s="1" t="s">
        <v>130</v>
      </c>
      <c r="T15" s="14" t="s">
        <v>554</v>
      </c>
      <c r="U15" s="15">
        <v>14</v>
      </c>
      <c r="V15" s="15" t="s">
        <v>322</v>
      </c>
      <c r="W15" s="15"/>
      <c r="AC15" t="s">
        <v>262</v>
      </c>
      <c r="AF15" t="s">
        <v>239</v>
      </c>
      <c r="AG15" t="s">
        <v>241</v>
      </c>
      <c r="AH15" t="s">
        <v>267</v>
      </c>
      <c r="AI15" s="73" cm="1">
        <f t="array" ref="AI15">IF(COUNTIFS(AH$2:AH15,AH15)=1,"1",VALUE(SUBSTITUTE(INDEX(AI:AI,_xlfn.XMATCH(AH15,AH$1:AH14,0,-1)),"A",""))+INDEX(AJ:AJ,_xlfn.XMATCH(AH15,AH$1:AH14,0,-1))+1)</f>
        <v>10</v>
      </c>
      <c r="AJ15" s="73" cm="1">
        <f t="array" ref="AJ15">SUM(IF(ISNUMBER(FIND("TmDo",$BE$1:$AAL$1)),IF(IFERROR(ISNUMBER(VALUE(SUBSTITUTE($BE15:$AAL15,"B",""))),FALSE),IF(ISNUMBER(VALUE(SUBSTITUTE($BE15:$AAL15,"B",""))),1,0),0)))</f>
        <v>2</v>
      </c>
      <c r="AK15" t="str">
        <f t="shared" si="0"/>
        <v>10A</v>
      </c>
      <c r="AL15" t="str">
        <f t="shared" si="1"/>
        <v>10B</v>
      </c>
      <c r="AM15" t="s">
        <v>187</v>
      </c>
      <c r="AP15" t="s">
        <v>137</v>
      </c>
      <c r="AQ15" t="s">
        <v>138</v>
      </c>
      <c r="AT15" t="s">
        <v>139</v>
      </c>
      <c r="AU15" t="s">
        <v>140</v>
      </c>
      <c r="BD15" s="16"/>
      <c r="BE15" t="str">
        <f t="shared" si="2"/>
        <v>XT14</v>
      </c>
      <c r="BF15" t="str">
        <f t="shared" si="3"/>
        <v>C20</v>
      </c>
      <c r="BG15" t="str">
        <f t="shared" si="4"/>
        <v>B20</v>
      </c>
      <c r="BH15" t="str">
        <f t="shared" si="5"/>
        <v>C21</v>
      </c>
      <c r="BI15" t="str">
        <f t="shared" si="6"/>
        <v>B21</v>
      </c>
      <c r="BJ15" t="str">
        <f t="shared" si="7"/>
        <v>C22</v>
      </c>
      <c r="BK15" t="str">
        <f t="shared" si="8"/>
        <v>B22</v>
      </c>
      <c r="BL15" t="str">
        <f t="shared" si="9"/>
        <v>C23</v>
      </c>
      <c r="BM15" t="str">
        <f t="shared" si="10"/>
        <v>B23</v>
      </c>
      <c r="BN15" t="str">
        <f t="shared" si="11"/>
        <v>C24</v>
      </c>
      <c r="BO15" t="str">
        <f t="shared" si="12"/>
        <v>B24</v>
      </c>
      <c r="BP15" t="str">
        <f t="shared" si="13"/>
        <v>11A</v>
      </c>
      <c r="BQ15" t="str">
        <f t="shared" si="14"/>
        <v>11B</v>
      </c>
      <c r="BR15" t="str">
        <f t="shared" si="15"/>
        <v>12A</v>
      </c>
      <c r="BS15" t="str">
        <f t="shared" si="16"/>
        <v>12B</v>
      </c>
      <c r="BT15" t="str">
        <f t="shared" si="17"/>
        <v>DI3-C19</v>
      </c>
      <c r="BU15" t="str">
        <f t="shared" si="18"/>
        <v>DI3-B19</v>
      </c>
      <c r="BV15" t="str">
        <f t="shared" si="19"/>
        <v>DI3-C20</v>
      </c>
      <c r="BW15" t="str">
        <f t="shared" si="19"/>
        <v>DI3-B20</v>
      </c>
      <c r="BX15" t="str">
        <f t="shared" si="19"/>
        <v>DI3-C21</v>
      </c>
      <c r="BY15" t="str">
        <f t="shared" si="19"/>
        <v>DI3-B21</v>
      </c>
      <c r="BZ15" t="str">
        <f t="shared" si="19"/>
        <v>DI3-C22</v>
      </c>
      <c r="CA15" t="str">
        <f t="shared" si="19"/>
        <v>DI3-B22</v>
      </c>
      <c r="CB15" t="str">
        <f t="shared" si="19"/>
        <v>DI3-C23</v>
      </c>
      <c r="CC15" t="str">
        <f t="shared" si="19"/>
        <v>DI3-B23</v>
      </c>
      <c r="CD15" t="str">
        <f t="shared" si="19"/>
        <v>DI3-C24</v>
      </c>
      <c r="CE15" t="str">
        <f t="shared" si="19"/>
        <v>DI3-B24</v>
      </c>
      <c r="CF15" t="str">
        <f t="shared" si="20"/>
        <v>DO2-10A</v>
      </c>
      <c r="CG15" t="str">
        <f t="shared" si="21"/>
        <v>DO2-10B</v>
      </c>
      <c r="CH15" t="str">
        <f t="shared" si="22"/>
        <v>DO2-11A</v>
      </c>
      <c r="CI15" t="str">
        <f t="shared" si="23"/>
        <v>DO2-11B</v>
      </c>
      <c r="CJ15" t="str">
        <f t="shared" si="24"/>
        <v>DO2-12A</v>
      </c>
      <c r="CK15" t="str">
        <f t="shared" si="25"/>
        <v>DO2-12B</v>
      </c>
      <c r="CL15" t="str">
        <f t="shared" si="27"/>
        <v>K14-10</v>
      </c>
      <c r="CM15" t="str">
        <f t="shared" si="28"/>
        <v>K14-03</v>
      </c>
      <c r="CN15" t="str">
        <f t="shared" si="29"/>
        <v>K14-04</v>
      </c>
      <c r="CO15" t="str">
        <f t="shared" si="30"/>
        <v>K14-01</v>
      </c>
      <c r="CP15" t="str">
        <f t="shared" si="31"/>
        <v>K14-08</v>
      </c>
      <c r="CQ15" t="str">
        <f t="shared" si="32"/>
        <v>K14-02</v>
      </c>
      <c r="CR15" t="str">
        <f t="shared" si="33"/>
        <v>K14-09</v>
      </c>
      <c r="CS15" t="str">
        <f t="shared" si="34"/>
        <v>K14-05</v>
      </c>
      <c r="CT15" t="str">
        <f t="shared" si="35"/>
        <v>K14-11</v>
      </c>
      <c r="CU15" t="str">
        <f t="shared" si="36"/>
        <v>F0-M14-A9</v>
      </c>
      <c r="CV15" t="str">
        <f t="shared" si="37"/>
        <v>F0-M14-A7</v>
      </c>
      <c r="CW15" t="str">
        <f t="shared" si="38"/>
        <v>F0-M14-A8</v>
      </c>
      <c r="CX15" t="str">
        <f t="shared" si="39"/>
        <v>F0-M14-A6</v>
      </c>
      <c r="CY15" t="str">
        <f t="shared" si="40"/>
        <v>F0-M14-A30</v>
      </c>
      <c r="CZ15" t="str">
        <f t="shared" si="41"/>
        <v>F0-M14-N</v>
      </c>
      <c r="DA15" t="str">
        <f t="shared" si="26"/>
        <v>F0-A220-M14</v>
      </c>
      <c r="DB15" t="str">
        <f t="shared" si="42"/>
        <v>F0-M14-XM01</v>
      </c>
      <c r="DC15" t="str">
        <f t="shared" si="43"/>
        <v>F0-M14-A1</v>
      </c>
      <c r="DD15" t="str">
        <f t="shared" si="44"/>
        <v>F0-M14-A5</v>
      </c>
      <c r="DE15" t="str">
        <f t="shared" si="45"/>
        <v>F0-M14-A11</v>
      </c>
      <c r="DF15" t="str">
        <f t="shared" si="46"/>
        <v>F0-M14-A12</v>
      </c>
      <c r="DG15" t="str">
        <f t="shared" si="47"/>
        <v>F0-M14-A19</v>
      </c>
      <c r="DH15" t="str">
        <f t="shared" si="48"/>
        <v>F0-M14-A20</v>
      </c>
      <c r="DI15" t="s">
        <v>142</v>
      </c>
      <c r="DJ15" t="s">
        <v>143</v>
      </c>
      <c r="DK15">
        <v>11</v>
      </c>
      <c r="DL15">
        <v>14</v>
      </c>
      <c r="DM15">
        <v>12</v>
      </c>
      <c r="DN15" t="s">
        <v>144</v>
      </c>
      <c r="DO15" t="s">
        <v>145</v>
      </c>
      <c r="DP15">
        <v>1</v>
      </c>
      <c r="DQ15">
        <v>2</v>
      </c>
      <c r="DR15">
        <v>3</v>
      </c>
      <c r="DS15">
        <v>4</v>
      </c>
      <c r="DT15">
        <v>5</v>
      </c>
      <c r="DU15">
        <v>6</v>
      </c>
      <c r="DV15">
        <v>7</v>
      </c>
      <c r="DW15">
        <v>8</v>
      </c>
      <c r="DX15">
        <v>9</v>
      </c>
      <c r="DY15">
        <v>10</v>
      </c>
      <c r="DZ15">
        <v>11</v>
      </c>
      <c r="EA15">
        <v>12</v>
      </c>
      <c r="EB15">
        <v>13</v>
      </c>
      <c r="EC15">
        <v>14</v>
      </c>
      <c r="ED15">
        <v>1</v>
      </c>
      <c r="EE15">
        <v>3</v>
      </c>
      <c r="EF15">
        <v>4</v>
      </c>
      <c r="EG15">
        <v>7</v>
      </c>
      <c r="EH15">
        <v>8</v>
      </c>
      <c r="EI15">
        <v>9</v>
      </c>
      <c r="EJ15">
        <v>10</v>
      </c>
      <c r="EK15">
        <v>13</v>
      </c>
      <c r="EL15">
        <v>14</v>
      </c>
      <c r="EM15">
        <v>15</v>
      </c>
      <c r="EN15">
        <v>16</v>
      </c>
      <c r="EO15">
        <v>22</v>
      </c>
      <c r="EP15">
        <v>23</v>
      </c>
      <c r="EQ15" s="16">
        <v>24</v>
      </c>
    </row>
    <row r="16" spans="1:802" x14ac:dyDescent="0.25">
      <c r="A16" t="s">
        <v>188</v>
      </c>
      <c r="B16" t="s">
        <v>189</v>
      </c>
      <c r="C16" s="3" t="s">
        <v>127</v>
      </c>
      <c r="O16" s="2"/>
      <c r="P16" t="s">
        <v>129</v>
      </c>
      <c r="Q16" s="1"/>
      <c r="S16" s="1" t="s">
        <v>130</v>
      </c>
      <c r="T16" s="14" t="s">
        <v>554</v>
      </c>
      <c r="U16" s="15">
        <v>15</v>
      </c>
      <c r="V16" s="15" t="s">
        <v>323</v>
      </c>
      <c r="W16" s="15"/>
      <c r="AC16" t="s">
        <v>262</v>
      </c>
      <c r="AF16" t="s">
        <v>240</v>
      </c>
      <c r="AG16" t="s">
        <v>242</v>
      </c>
      <c r="AH16" t="s">
        <v>267</v>
      </c>
      <c r="AI16" s="73" cm="1">
        <f t="array" ref="AI16">IF(COUNTIFS(AH$2:AH16,AH16)=1,"1",VALUE(SUBSTITUTE(INDEX(AI:AI,_xlfn.XMATCH(AH16,AH$1:AH15,0,-1)),"A",""))+INDEX(AJ:AJ,_xlfn.XMATCH(AH16,AH$1:AH15,0,-1))+1)</f>
        <v>13</v>
      </c>
      <c r="AJ16" s="73" cm="1">
        <f t="array" ref="AJ16">SUM(IF(ISNUMBER(FIND("TmDo",$BE$1:$AAL$1)),IF(IFERROR(ISNUMBER(VALUE(SUBSTITUTE($BE16:$AAL16,"B",""))),FALSE),IF(ISNUMBER(VALUE(SUBSTITUTE($BE16:$AAL16,"B",""))),1,0),0)))</f>
        <v>2</v>
      </c>
      <c r="AK16" t="str">
        <f t="shared" si="0"/>
        <v>13A</v>
      </c>
      <c r="AL16" t="str">
        <f t="shared" si="1"/>
        <v>13B</v>
      </c>
      <c r="AM16" t="s">
        <v>190</v>
      </c>
      <c r="AP16" t="s">
        <v>137</v>
      </c>
      <c r="AQ16" t="s">
        <v>138</v>
      </c>
      <c r="AT16" t="s">
        <v>139</v>
      </c>
      <c r="AU16" t="s">
        <v>140</v>
      </c>
      <c r="BD16" s="16"/>
      <c r="BE16" t="str">
        <f t="shared" si="2"/>
        <v>XT15</v>
      </c>
      <c r="BF16" t="str">
        <f t="shared" si="3"/>
        <v>C26</v>
      </c>
      <c r="BG16" t="str">
        <f t="shared" si="4"/>
        <v>B26</v>
      </c>
      <c r="BH16" t="str">
        <f t="shared" si="5"/>
        <v>C27</v>
      </c>
      <c r="BI16" t="str">
        <f t="shared" si="6"/>
        <v>B27</v>
      </c>
      <c r="BJ16" t="str">
        <f t="shared" si="7"/>
        <v>C28</v>
      </c>
      <c r="BK16" t="str">
        <f t="shared" si="8"/>
        <v>B28</v>
      </c>
      <c r="BL16" t="str">
        <f t="shared" si="9"/>
        <v>C29</v>
      </c>
      <c r="BM16" t="str">
        <f t="shared" si="10"/>
        <v>B29</v>
      </c>
      <c r="BN16" t="str">
        <f t="shared" si="11"/>
        <v>C30</v>
      </c>
      <c r="BO16" t="str">
        <f t="shared" si="12"/>
        <v>B30</v>
      </c>
      <c r="BP16" t="str">
        <f t="shared" si="13"/>
        <v>14A</v>
      </c>
      <c r="BQ16" t="str">
        <f t="shared" si="14"/>
        <v>14B</v>
      </c>
      <c r="BR16" t="str">
        <f t="shared" si="15"/>
        <v>15A</v>
      </c>
      <c r="BS16" t="str">
        <f t="shared" si="16"/>
        <v>15B</v>
      </c>
      <c r="BT16" t="str">
        <f t="shared" si="17"/>
        <v>DI3-C25</v>
      </c>
      <c r="BU16" t="str">
        <f t="shared" si="18"/>
        <v>DI3-B25</v>
      </c>
      <c r="BV16" t="str">
        <f t="shared" si="19"/>
        <v>DI3-C26</v>
      </c>
      <c r="BW16" t="str">
        <f t="shared" si="19"/>
        <v>DI3-B26</v>
      </c>
      <c r="BX16" t="str">
        <f t="shared" si="19"/>
        <v>DI3-C27</v>
      </c>
      <c r="BY16" t="str">
        <f t="shared" si="19"/>
        <v>DI3-B27</v>
      </c>
      <c r="BZ16" t="str">
        <f t="shared" si="19"/>
        <v>DI3-C28</v>
      </c>
      <c r="CA16" t="str">
        <f t="shared" si="19"/>
        <v>DI3-B28</v>
      </c>
      <c r="CB16" t="str">
        <f t="shared" si="19"/>
        <v>DI3-C29</v>
      </c>
      <c r="CC16" t="str">
        <f t="shared" si="19"/>
        <v>DI3-B29</v>
      </c>
      <c r="CD16" t="str">
        <f t="shared" si="19"/>
        <v>DI3-C30</v>
      </c>
      <c r="CE16" t="str">
        <f t="shared" si="19"/>
        <v>DI3-B30</v>
      </c>
      <c r="CF16" t="str">
        <f t="shared" si="20"/>
        <v>DO2-13A</v>
      </c>
      <c r="CG16" t="str">
        <f t="shared" si="21"/>
        <v>DO2-13B</v>
      </c>
      <c r="CH16" t="str">
        <f t="shared" si="22"/>
        <v>DO2-14A</v>
      </c>
      <c r="CI16" t="str">
        <f t="shared" si="23"/>
        <v>DO2-14B</v>
      </c>
      <c r="CJ16" t="str">
        <f t="shared" si="24"/>
        <v>DO2-15A</v>
      </c>
      <c r="CK16" t="str">
        <f t="shared" si="25"/>
        <v>DO2-15B</v>
      </c>
      <c r="CL16" t="str">
        <f t="shared" si="27"/>
        <v>K15-10</v>
      </c>
      <c r="CM16" t="str">
        <f t="shared" si="28"/>
        <v>K15-03</v>
      </c>
      <c r="CN16" t="str">
        <f t="shared" si="29"/>
        <v>K15-04</v>
      </c>
      <c r="CO16" t="str">
        <f t="shared" si="30"/>
        <v>K15-01</v>
      </c>
      <c r="CP16" t="str">
        <f t="shared" si="31"/>
        <v>K15-08</v>
      </c>
      <c r="CQ16" t="str">
        <f t="shared" si="32"/>
        <v>K15-02</v>
      </c>
      <c r="CR16" t="str">
        <f t="shared" si="33"/>
        <v>K15-09</v>
      </c>
      <c r="CS16" t="str">
        <f t="shared" si="34"/>
        <v>K15-05</v>
      </c>
      <c r="CT16" t="str">
        <f t="shared" si="35"/>
        <v>K15-11</v>
      </c>
      <c r="CU16" t="str">
        <f t="shared" si="36"/>
        <v>F0-M15-A9</v>
      </c>
      <c r="CV16" t="str">
        <f t="shared" si="37"/>
        <v>F0-M15-A7</v>
      </c>
      <c r="CW16" t="str">
        <f t="shared" si="38"/>
        <v>F0-M15-A8</v>
      </c>
      <c r="CX16" t="str">
        <f t="shared" si="39"/>
        <v>F0-M15-A6</v>
      </c>
      <c r="CY16" t="str">
        <f t="shared" si="40"/>
        <v>F0-M15-A30</v>
      </c>
      <c r="CZ16" t="str">
        <f t="shared" si="41"/>
        <v>F0-M15-N</v>
      </c>
      <c r="DA16" t="str">
        <f t="shared" si="26"/>
        <v>F0-A220-M15</v>
      </c>
      <c r="DB16" t="str">
        <f t="shared" si="42"/>
        <v>F0-M15-XM01</v>
      </c>
      <c r="DC16" t="str">
        <f t="shared" si="43"/>
        <v>F0-M15-A1</v>
      </c>
      <c r="DD16" t="str">
        <f t="shared" si="44"/>
        <v>F0-M15-A5</v>
      </c>
      <c r="DE16" t="str">
        <f t="shared" si="45"/>
        <v>F0-M15-A11</v>
      </c>
      <c r="DF16" t="str">
        <f t="shared" si="46"/>
        <v>F0-M15-A12</v>
      </c>
      <c r="DG16" t="str">
        <f t="shared" si="47"/>
        <v>F0-M15-A19</v>
      </c>
      <c r="DH16" t="str">
        <f t="shared" si="48"/>
        <v>F0-M15-A20</v>
      </c>
      <c r="DI16" t="s">
        <v>142</v>
      </c>
      <c r="DJ16" t="s">
        <v>143</v>
      </c>
      <c r="DK16">
        <v>11</v>
      </c>
      <c r="DL16">
        <v>14</v>
      </c>
      <c r="DM16">
        <v>12</v>
      </c>
      <c r="DN16" t="s">
        <v>144</v>
      </c>
      <c r="DO16" t="s">
        <v>145</v>
      </c>
      <c r="DP16">
        <v>1</v>
      </c>
      <c r="DQ16">
        <v>2</v>
      </c>
      <c r="DR16">
        <v>3</v>
      </c>
      <c r="DS16">
        <v>4</v>
      </c>
      <c r="DT16">
        <v>5</v>
      </c>
      <c r="DU16">
        <v>6</v>
      </c>
      <c r="DV16">
        <v>7</v>
      </c>
      <c r="DW16">
        <v>8</v>
      </c>
      <c r="DX16">
        <v>9</v>
      </c>
      <c r="DY16">
        <v>10</v>
      </c>
      <c r="DZ16">
        <v>11</v>
      </c>
      <c r="EA16">
        <v>12</v>
      </c>
      <c r="EB16">
        <v>13</v>
      </c>
      <c r="EC16">
        <v>14</v>
      </c>
      <c r="ED16">
        <v>1</v>
      </c>
      <c r="EE16">
        <v>3</v>
      </c>
      <c r="EF16">
        <v>4</v>
      </c>
      <c r="EG16">
        <v>7</v>
      </c>
      <c r="EH16">
        <v>8</v>
      </c>
      <c r="EI16">
        <v>9</v>
      </c>
      <c r="EJ16">
        <v>10</v>
      </c>
      <c r="EK16">
        <v>13</v>
      </c>
      <c r="EL16">
        <v>14</v>
      </c>
      <c r="EM16">
        <v>15</v>
      </c>
      <c r="EN16">
        <v>16</v>
      </c>
      <c r="EO16">
        <v>22</v>
      </c>
      <c r="EP16">
        <v>23</v>
      </c>
      <c r="EQ16" s="16">
        <v>24</v>
      </c>
    </row>
    <row r="17" spans="1:147" x14ac:dyDescent="0.25">
      <c r="A17" t="s">
        <v>191</v>
      </c>
      <c r="B17" t="s">
        <v>192</v>
      </c>
      <c r="C17" s="3" t="s">
        <v>127</v>
      </c>
      <c r="O17" s="2"/>
      <c r="P17" t="s">
        <v>129</v>
      </c>
      <c r="Q17" s="1"/>
      <c r="S17" s="1" t="s">
        <v>130</v>
      </c>
      <c r="T17" s="14" t="s">
        <v>554</v>
      </c>
      <c r="U17" s="15">
        <v>16</v>
      </c>
      <c r="V17" s="15" t="s">
        <v>324</v>
      </c>
      <c r="W17" s="15"/>
      <c r="AC17" t="s">
        <v>263</v>
      </c>
      <c r="AF17" t="s">
        <v>133</v>
      </c>
      <c r="AG17" t="s">
        <v>134</v>
      </c>
      <c r="AH17" t="s">
        <v>267</v>
      </c>
      <c r="AI17" s="73" cm="1">
        <f t="array" ref="AI17">IF(COUNTIFS(AH$2:AH17,AH17)=1,"1",VALUE(SUBSTITUTE(INDEX(AI:AI,_xlfn.XMATCH(AH17,AH$1:AH16,0,-1)),"A",""))+INDEX(AJ:AJ,_xlfn.XMATCH(AH17,AH$1:AH16,0,-1))+1)</f>
        <v>16</v>
      </c>
      <c r="AJ17" s="73" cm="1">
        <f t="array" ref="AJ17">SUM(IF(ISNUMBER(FIND("TmDo",$BE$1:$AAL$1)),IF(IFERROR(ISNUMBER(VALUE(SUBSTITUTE($BE17:$AAL17,"B",""))),FALSE),IF(ISNUMBER(VALUE(SUBSTITUTE($BE17:$AAL17,"B",""))),1,0),0)))</f>
        <v>2</v>
      </c>
      <c r="AK17" t="str">
        <f t="shared" si="0"/>
        <v>16A</v>
      </c>
      <c r="AL17" t="str">
        <f t="shared" si="1"/>
        <v>16B</v>
      </c>
      <c r="AM17" t="s">
        <v>193</v>
      </c>
      <c r="AP17" t="s">
        <v>137</v>
      </c>
      <c r="AQ17" t="s">
        <v>138</v>
      </c>
      <c r="AT17" t="s">
        <v>139</v>
      </c>
      <c r="AU17" t="s">
        <v>140</v>
      </c>
      <c r="BD17" s="16"/>
      <c r="BE17" t="str">
        <f t="shared" si="2"/>
        <v>XT16</v>
      </c>
      <c r="BF17" t="str">
        <f t="shared" si="3"/>
        <v>C2</v>
      </c>
      <c r="BG17" t="str">
        <f t="shared" si="4"/>
        <v>B2</v>
      </c>
      <c r="BH17" t="str">
        <f t="shared" si="5"/>
        <v>C3</v>
      </c>
      <c r="BI17" t="str">
        <f t="shared" si="6"/>
        <v>B3</v>
      </c>
      <c r="BJ17" t="str">
        <f t="shared" si="7"/>
        <v>C4</v>
      </c>
      <c r="BK17" t="str">
        <f t="shared" si="8"/>
        <v>B4</v>
      </c>
      <c r="BL17" t="str">
        <f t="shared" si="9"/>
        <v>C5</v>
      </c>
      <c r="BM17" t="str">
        <f t="shared" si="10"/>
        <v>B5</v>
      </c>
      <c r="BN17" t="str">
        <f t="shared" si="11"/>
        <v>C6</v>
      </c>
      <c r="BO17" t="str">
        <f t="shared" si="12"/>
        <v>B6</v>
      </c>
      <c r="BP17" t="str">
        <f t="shared" si="13"/>
        <v>17A</v>
      </c>
      <c r="BQ17" t="str">
        <f t="shared" si="14"/>
        <v>17B</v>
      </c>
      <c r="BR17" t="str">
        <f t="shared" si="15"/>
        <v>18A</v>
      </c>
      <c r="BS17" t="str">
        <f t="shared" si="16"/>
        <v>18B</v>
      </c>
      <c r="BT17" t="str">
        <f t="shared" si="17"/>
        <v>DI4-C1</v>
      </c>
      <c r="BU17" t="str">
        <f t="shared" si="18"/>
        <v>DI4-B1</v>
      </c>
      <c r="BV17" t="str">
        <f t="shared" si="19"/>
        <v>DI4-C2</v>
      </c>
      <c r="BW17" t="str">
        <f t="shared" si="19"/>
        <v>DI4-B2</v>
      </c>
      <c r="BX17" t="str">
        <f t="shared" si="19"/>
        <v>DI4-C3</v>
      </c>
      <c r="BY17" t="str">
        <f t="shared" si="19"/>
        <v>DI4-B3</v>
      </c>
      <c r="BZ17" t="str">
        <f t="shared" si="19"/>
        <v>DI4-C4</v>
      </c>
      <c r="CA17" t="str">
        <f t="shared" si="19"/>
        <v>DI4-B4</v>
      </c>
      <c r="CB17" t="str">
        <f t="shared" si="19"/>
        <v>DI4-C5</v>
      </c>
      <c r="CC17" t="str">
        <f t="shared" si="19"/>
        <v>DI4-B5</v>
      </c>
      <c r="CD17" t="str">
        <f t="shared" si="19"/>
        <v>DI4-C6</v>
      </c>
      <c r="CE17" t="str">
        <f t="shared" si="19"/>
        <v>DI4-B6</v>
      </c>
      <c r="CF17" t="str">
        <f t="shared" si="20"/>
        <v>DO2-16A</v>
      </c>
      <c r="CG17" t="str">
        <f t="shared" si="21"/>
        <v>DO2-16B</v>
      </c>
      <c r="CH17" t="str">
        <f t="shared" si="22"/>
        <v>DO2-17A</v>
      </c>
      <c r="CI17" t="str">
        <f t="shared" si="23"/>
        <v>DO2-17B</v>
      </c>
      <c r="CJ17" t="str">
        <f t="shared" si="24"/>
        <v>DO2-18A</v>
      </c>
      <c r="CK17" t="str">
        <f t="shared" si="25"/>
        <v>DO2-18B</v>
      </c>
      <c r="CL17" t="str">
        <f t="shared" si="27"/>
        <v>K16-10</v>
      </c>
      <c r="CM17" t="str">
        <f t="shared" si="28"/>
        <v>K16-03</v>
      </c>
      <c r="CN17" t="str">
        <f t="shared" si="29"/>
        <v>K16-04</v>
      </c>
      <c r="CO17" t="str">
        <f t="shared" si="30"/>
        <v>K16-01</v>
      </c>
      <c r="CP17" t="str">
        <f t="shared" si="31"/>
        <v>K16-08</v>
      </c>
      <c r="CQ17" t="str">
        <f t="shared" si="32"/>
        <v>K16-02</v>
      </c>
      <c r="CR17" t="str">
        <f t="shared" si="33"/>
        <v>K16-09</v>
      </c>
      <c r="CS17" t="str">
        <f t="shared" si="34"/>
        <v>K16-05</v>
      </c>
      <c r="CT17" t="str">
        <f t="shared" si="35"/>
        <v>K16-11</v>
      </c>
      <c r="CU17" t="str">
        <f t="shared" si="36"/>
        <v>F0-M16-A9</v>
      </c>
      <c r="CV17" t="str">
        <f t="shared" si="37"/>
        <v>F0-M16-A7</v>
      </c>
      <c r="CW17" t="str">
        <f t="shared" si="38"/>
        <v>F0-M16-A8</v>
      </c>
      <c r="CX17" t="str">
        <f t="shared" si="39"/>
        <v>F0-M16-A6</v>
      </c>
      <c r="CY17" t="str">
        <f t="shared" si="40"/>
        <v>F0-M16-A30</v>
      </c>
      <c r="CZ17" t="str">
        <f t="shared" si="41"/>
        <v>F0-M16-N</v>
      </c>
      <c r="DA17" t="str">
        <f t="shared" si="26"/>
        <v>F0-A220-M16</v>
      </c>
      <c r="DB17" t="str">
        <f t="shared" si="42"/>
        <v>F0-M16-XM01</v>
      </c>
      <c r="DC17" t="str">
        <f t="shared" si="43"/>
        <v>F0-M16-A1</v>
      </c>
      <c r="DD17" t="str">
        <f t="shared" si="44"/>
        <v>F0-M16-A5</v>
      </c>
      <c r="DE17" t="str">
        <f t="shared" si="45"/>
        <v>F0-M16-A11</v>
      </c>
      <c r="DF17" t="str">
        <f t="shared" si="46"/>
        <v>F0-M16-A12</v>
      </c>
      <c r="DG17" t="str">
        <f t="shared" si="47"/>
        <v>F0-M16-A19</v>
      </c>
      <c r="DH17" t="str">
        <f t="shared" si="48"/>
        <v>F0-M16-A20</v>
      </c>
      <c r="DI17" t="s">
        <v>142</v>
      </c>
      <c r="DJ17" t="s">
        <v>143</v>
      </c>
      <c r="DK17">
        <v>11</v>
      </c>
      <c r="DL17">
        <v>14</v>
      </c>
      <c r="DM17">
        <v>12</v>
      </c>
      <c r="DN17" t="s">
        <v>144</v>
      </c>
      <c r="DO17" t="s">
        <v>145</v>
      </c>
      <c r="DP17">
        <v>1</v>
      </c>
      <c r="DQ17">
        <v>2</v>
      </c>
      <c r="DR17">
        <v>3</v>
      </c>
      <c r="DS17">
        <v>4</v>
      </c>
      <c r="DT17">
        <v>5</v>
      </c>
      <c r="DU17">
        <v>6</v>
      </c>
      <c r="DV17">
        <v>7</v>
      </c>
      <c r="DW17">
        <v>8</v>
      </c>
      <c r="DX17">
        <v>9</v>
      </c>
      <c r="DY17">
        <v>10</v>
      </c>
      <c r="DZ17">
        <v>11</v>
      </c>
      <c r="EA17">
        <v>12</v>
      </c>
      <c r="EB17">
        <v>13</v>
      </c>
      <c r="EC17">
        <v>14</v>
      </c>
      <c r="ED17">
        <v>1</v>
      </c>
      <c r="EE17">
        <v>3</v>
      </c>
      <c r="EF17">
        <v>4</v>
      </c>
      <c r="EG17">
        <v>7</v>
      </c>
      <c r="EH17">
        <v>8</v>
      </c>
      <c r="EI17">
        <v>9</v>
      </c>
      <c r="EJ17">
        <v>10</v>
      </c>
      <c r="EK17">
        <v>13</v>
      </c>
      <c r="EL17">
        <v>14</v>
      </c>
      <c r="EM17">
        <v>15</v>
      </c>
      <c r="EN17">
        <v>16</v>
      </c>
      <c r="EO17">
        <v>22</v>
      </c>
      <c r="EP17">
        <v>23</v>
      </c>
      <c r="EQ17" s="16">
        <v>24</v>
      </c>
    </row>
    <row r="18" spans="1:147" x14ac:dyDescent="0.25">
      <c r="A18" t="s">
        <v>194</v>
      </c>
      <c r="B18" t="s">
        <v>195</v>
      </c>
      <c r="C18" s="3" t="s">
        <v>127</v>
      </c>
      <c r="O18" s="2"/>
      <c r="P18" t="s">
        <v>129</v>
      </c>
      <c r="Q18" s="1"/>
      <c r="S18" s="1" t="s">
        <v>130</v>
      </c>
      <c r="T18" s="14" t="s">
        <v>554</v>
      </c>
      <c r="U18" s="15">
        <v>17</v>
      </c>
      <c r="V18" s="15" t="s">
        <v>325</v>
      </c>
      <c r="W18" s="15"/>
      <c r="AC18" t="s">
        <v>263</v>
      </c>
      <c r="AF18" t="s">
        <v>148</v>
      </c>
      <c r="AG18" t="s">
        <v>149</v>
      </c>
      <c r="AH18" t="s">
        <v>267</v>
      </c>
      <c r="AI18" s="73" cm="1">
        <f t="array" ref="AI18">IF(COUNTIFS(AH$2:AH18,AH18)=1,"1",VALUE(SUBSTITUTE(INDEX(AI:AI,_xlfn.XMATCH(AH18,AH$1:AH17,0,-1)),"A",""))+INDEX(AJ:AJ,_xlfn.XMATCH(AH18,AH$1:AH17,0,-1))+1)</f>
        <v>19</v>
      </c>
      <c r="AJ18" s="73" cm="1">
        <f t="array" ref="AJ18">SUM(IF(ISNUMBER(FIND("TmDo",$BE$1:$AAL$1)),IF(IFERROR(ISNUMBER(VALUE(SUBSTITUTE($BE18:$AAL18,"B",""))),FALSE),IF(ISNUMBER(VALUE(SUBSTITUTE($BE18:$AAL18,"B",""))),1,0),0)))</f>
        <v>2</v>
      </c>
      <c r="AK18" t="str">
        <f t="shared" si="0"/>
        <v>19A</v>
      </c>
      <c r="AL18" t="str">
        <f t="shared" si="1"/>
        <v>19B</v>
      </c>
      <c r="AM18" t="s">
        <v>196</v>
      </c>
      <c r="AP18" t="s">
        <v>137</v>
      </c>
      <c r="AQ18" t="s">
        <v>138</v>
      </c>
      <c r="AT18" t="s">
        <v>139</v>
      </c>
      <c r="AU18" t="s">
        <v>140</v>
      </c>
      <c r="BD18" s="16"/>
      <c r="BE18" t="str">
        <f t="shared" si="2"/>
        <v>XT17</v>
      </c>
      <c r="BF18" t="str">
        <f t="shared" si="3"/>
        <v>C8</v>
      </c>
      <c r="BG18" t="str">
        <f t="shared" si="4"/>
        <v>B8</v>
      </c>
      <c r="BH18" t="str">
        <f t="shared" si="5"/>
        <v>C9</v>
      </c>
      <c r="BI18" t="str">
        <f t="shared" si="6"/>
        <v>B9</v>
      </c>
      <c r="BJ18" t="str">
        <f t="shared" si="7"/>
        <v>C10</v>
      </c>
      <c r="BK18" t="str">
        <f t="shared" si="8"/>
        <v>B10</v>
      </c>
      <c r="BL18" t="str">
        <f t="shared" si="9"/>
        <v>C11</v>
      </c>
      <c r="BM18" t="str">
        <f t="shared" si="10"/>
        <v>B11</v>
      </c>
      <c r="BN18" t="str">
        <f t="shared" si="11"/>
        <v>C12</v>
      </c>
      <c r="BO18" t="str">
        <f t="shared" si="12"/>
        <v>B12</v>
      </c>
      <c r="BP18" t="str">
        <f t="shared" si="13"/>
        <v>20A</v>
      </c>
      <c r="BQ18" t="str">
        <f t="shared" si="14"/>
        <v>20B</v>
      </c>
      <c r="BR18" t="str">
        <f t="shared" si="15"/>
        <v>21A</v>
      </c>
      <c r="BS18" t="str">
        <f t="shared" si="16"/>
        <v>21B</v>
      </c>
      <c r="BT18" t="str">
        <f t="shared" si="17"/>
        <v>DI4-C7</v>
      </c>
      <c r="BU18" t="str">
        <f t="shared" si="18"/>
        <v>DI4-B7</v>
      </c>
      <c r="BV18" t="str">
        <f t="shared" ref="BV18:CE33" si="49">CONCATENATE("DI",REPLACE($AC18,1,3,""),"-",BF18)</f>
        <v>DI4-C8</v>
      </c>
      <c r="BW18" t="str">
        <f t="shared" si="49"/>
        <v>DI4-B8</v>
      </c>
      <c r="BX18" t="str">
        <f t="shared" si="49"/>
        <v>DI4-C9</v>
      </c>
      <c r="BY18" t="str">
        <f t="shared" si="49"/>
        <v>DI4-B9</v>
      </c>
      <c r="BZ18" t="str">
        <f t="shared" si="49"/>
        <v>DI4-C10</v>
      </c>
      <c r="CA18" t="str">
        <f t="shared" si="49"/>
        <v>DI4-B10</v>
      </c>
      <c r="CB18" t="str">
        <f t="shared" si="49"/>
        <v>DI4-C11</v>
      </c>
      <c r="CC18" t="str">
        <f t="shared" si="49"/>
        <v>DI4-B11</v>
      </c>
      <c r="CD18" t="str">
        <f t="shared" si="49"/>
        <v>DI4-C12</v>
      </c>
      <c r="CE18" t="str">
        <f t="shared" si="49"/>
        <v>DI4-B12</v>
      </c>
      <c r="CF18" t="str">
        <f t="shared" si="20"/>
        <v>DO2-19A</v>
      </c>
      <c r="CG18" t="str">
        <f t="shared" si="21"/>
        <v>DO2-19B</v>
      </c>
      <c r="CH18" t="str">
        <f t="shared" si="22"/>
        <v>DO2-20A</v>
      </c>
      <c r="CI18" t="str">
        <f t="shared" si="23"/>
        <v>DO2-20B</v>
      </c>
      <c r="CJ18" t="str">
        <f t="shared" si="24"/>
        <v>DO2-21A</v>
      </c>
      <c r="CK18" t="str">
        <f t="shared" si="25"/>
        <v>DO2-21B</v>
      </c>
      <c r="CL18" t="str">
        <f t="shared" si="27"/>
        <v>K17-10</v>
      </c>
      <c r="CM18" t="str">
        <f t="shared" si="28"/>
        <v>K17-03</v>
      </c>
      <c r="CN18" t="str">
        <f t="shared" si="29"/>
        <v>K17-04</v>
      </c>
      <c r="CO18" t="str">
        <f t="shared" si="30"/>
        <v>K17-01</v>
      </c>
      <c r="CP18" t="str">
        <f t="shared" si="31"/>
        <v>K17-08</v>
      </c>
      <c r="CQ18" t="str">
        <f t="shared" si="32"/>
        <v>K17-02</v>
      </c>
      <c r="CR18" t="str">
        <f t="shared" si="33"/>
        <v>K17-09</v>
      </c>
      <c r="CS18" t="str">
        <f t="shared" si="34"/>
        <v>K17-05</v>
      </c>
      <c r="CT18" t="str">
        <f t="shared" si="35"/>
        <v>K17-11</v>
      </c>
      <c r="CU18" t="str">
        <f t="shared" si="36"/>
        <v>F0-M17-A9</v>
      </c>
      <c r="CV18" t="str">
        <f t="shared" si="37"/>
        <v>F0-M17-A7</v>
      </c>
      <c r="CW18" t="str">
        <f t="shared" si="38"/>
        <v>F0-M17-A8</v>
      </c>
      <c r="CX18" t="str">
        <f t="shared" si="39"/>
        <v>F0-M17-A6</v>
      </c>
      <c r="CY18" t="str">
        <f t="shared" si="40"/>
        <v>F0-M17-A30</v>
      </c>
      <c r="CZ18" t="str">
        <f t="shared" si="41"/>
        <v>F0-M17-N</v>
      </c>
      <c r="DA18" t="str">
        <f t="shared" si="26"/>
        <v>F0-A220-M17</v>
      </c>
      <c r="DB18" t="str">
        <f t="shared" si="42"/>
        <v>F0-M17-XM01</v>
      </c>
      <c r="DC18" t="str">
        <f t="shared" si="43"/>
        <v>F0-M17-A1</v>
      </c>
      <c r="DD18" t="str">
        <f t="shared" si="44"/>
        <v>F0-M17-A5</v>
      </c>
      <c r="DE18" t="str">
        <f t="shared" si="45"/>
        <v>F0-M17-A11</v>
      </c>
      <c r="DF18" t="str">
        <f t="shared" si="46"/>
        <v>F0-M17-A12</v>
      </c>
      <c r="DG18" t="str">
        <f t="shared" si="47"/>
        <v>F0-M17-A19</v>
      </c>
      <c r="DH18" t="str">
        <f t="shared" si="48"/>
        <v>F0-M17-A20</v>
      </c>
      <c r="DI18" t="s">
        <v>142</v>
      </c>
      <c r="DJ18" t="s">
        <v>143</v>
      </c>
      <c r="DK18">
        <v>11</v>
      </c>
      <c r="DL18">
        <v>14</v>
      </c>
      <c r="DM18">
        <v>12</v>
      </c>
      <c r="DN18" t="s">
        <v>144</v>
      </c>
      <c r="DO18" t="s">
        <v>145</v>
      </c>
      <c r="DP18">
        <v>1</v>
      </c>
      <c r="DQ18">
        <v>2</v>
      </c>
      <c r="DR18">
        <v>3</v>
      </c>
      <c r="DS18">
        <v>4</v>
      </c>
      <c r="DT18">
        <v>5</v>
      </c>
      <c r="DU18">
        <v>6</v>
      </c>
      <c r="DV18">
        <v>7</v>
      </c>
      <c r="DW18">
        <v>8</v>
      </c>
      <c r="DX18">
        <v>9</v>
      </c>
      <c r="DY18">
        <v>10</v>
      </c>
      <c r="DZ18">
        <v>11</v>
      </c>
      <c r="EA18">
        <v>12</v>
      </c>
      <c r="EB18">
        <v>13</v>
      </c>
      <c r="EC18">
        <v>14</v>
      </c>
      <c r="ED18">
        <v>1</v>
      </c>
      <c r="EE18">
        <v>3</v>
      </c>
      <c r="EF18">
        <v>4</v>
      </c>
      <c r="EG18">
        <v>7</v>
      </c>
      <c r="EH18">
        <v>8</v>
      </c>
      <c r="EI18">
        <v>9</v>
      </c>
      <c r="EJ18">
        <v>10</v>
      </c>
      <c r="EK18">
        <v>13</v>
      </c>
      <c r="EL18">
        <v>14</v>
      </c>
      <c r="EM18">
        <v>15</v>
      </c>
      <c r="EN18">
        <v>16</v>
      </c>
      <c r="EO18">
        <v>22</v>
      </c>
      <c r="EP18">
        <v>23</v>
      </c>
      <c r="EQ18" s="16">
        <v>24</v>
      </c>
    </row>
    <row r="19" spans="1:147" x14ac:dyDescent="0.25">
      <c r="A19" t="s">
        <v>197</v>
      </c>
      <c r="B19" t="s">
        <v>198</v>
      </c>
      <c r="C19" s="3" t="s">
        <v>127</v>
      </c>
      <c r="O19" s="2"/>
      <c r="P19" t="s">
        <v>129</v>
      </c>
      <c r="Q19" s="1"/>
      <c r="S19" s="1" t="s">
        <v>130</v>
      </c>
      <c r="T19" s="14" t="s">
        <v>554</v>
      </c>
      <c r="U19" s="15">
        <v>18</v>
      </c>
      <c r="V19" s="15" t="s">
        <v>326</v>
      </c>
      <c r="W19" s="15"/>
      <c r="AC19" t="s">
        <v>263</v>
      </c>
      <c r="AF19" t="s">
        <v>153</v>
      </c>
      <c r="AG19" t="s">
        <v>154</v>
      </c>
      <c r="AH19" t="s">
        <v>267</v>
      </c>
      <c r="AI19" s="73" cm="1">
        <f t="array" ref="AI19">IF(COUNTIFS(AH$2:AH19,AH19)=1,"1",VALUE(SUBSTITUTE(INDEX(AI:AI,_xlfn.XMATCH(AH19,AH$1:AH18,0,-1)),"A",""))+INDEX(AJ:AJ,_xlfn.XMATCH(AH19,AH$1:AH18,0,-1))+1)</f>
        <v>22</v>
      </c>
      <c r="AJ19" s="73" cm="1">
        <f t="array" ref="AJ19">SUM(IF(ISNUMBER(FIND("TmDo",$BE$1:$AAL$1)),IF(IFERROR(ISNUMBER(VALUE(SUBSTITUTE($BE19:$AAL19,"B",""))),FALSE),IF(ISNUMBER(VALUE(SUBSTITUTE($BE19:$AAL19,"B",""))),1,0),0)))</f>
        <v>2</v>
      </c>
      <c r="AK19" t="str">
        <f t="shared" si="0"/>
        <v>22A</v>
      </c>
      <c r="AL19" t="str">
        <f t="shared" si="1"/>
        <v>22B</v>
      </c>
      <c r="AM19" t="s">
        <v>199</v>
      </c>
      <c r="AP19" t="s">
        <v>137</v>
      </c>
      <c r="AQ19" t="s">
        <v>138</v>
      </c>
      <c r="AT19" t="s">
        <v>139</v>
      </c>
      <c r="AU19" t="s">
        <v>140</v>
      </c>
      <c r="BD19" s="16"/>
      <c r="BE19" t="str">
        <f t="shared" si="2"/>
        <v>XT18</v>
      </c>
      <c r="BF19" t="str">
        <f t="shared" si="3"/>
        <v>C14</v>
      </c>
      <c r="BG19" t="str">
        <f t="shared" si="4"/>
        <v>B14</v>
      </c>
      <c r="BH19" t="str">
        <f t="shared" si="5"/>
        <v>C15</v>
      </c>
      <c r="BI19" t="str">
        <f t="shared" si="6"/>
        <v>B15</v>
      </c>
      <c r="BJ19" t="str">
        <f t="shared" si="7"/>
        <v>C16</v>
      </c>
      <c r="BK19" t="str">
        <f t="shared" si="8"/>
        <v>B16</v>
      </c>
      <c r="BL19" t="str">
        <f t="shared" si="9"/>
        <v>C17</v>
      </c>
      <c r="BM19" t="str">
        <f t="shared" si="10"/>
        <v>B17</v>
      </c>
      <c r="BN19" t="str">
        <f t="shared" si="11"/>
        <v>C18</v>
      </c>
      <c r="BO19" t="str">
        <f t="shared" si="12"/>
        <v>B18</v>
      </c>
      <c r="BP19" t="str">
        <f t="shared" si="13"/>
        <v>23A</v>
      </c>
      <c r="BQ19" t="str">
        <f t="shared" si="14"/>
        <v>23B</v>
      </c>
      <c r="BR19" t="str">
        <f t="shared" si="15"/>
        <v>24A</v>
      </c>
      <c r="BS19" t="str">
        <f t="shared" si="16"/>
        <v>24B</v>
      </c>
      <c r="BT19" t="str">
        <f t="shared" si="17"/>
        <v>DI4-C13</v>
      </c>
      <c r="BU19" t="str">
        <f t="shared" si="18"/>
        <v>DI4-B13</v>
      </c>
      <c r="BV19" t="str">
        <f t="shared" si="49"/>
        <v>DI4-C14</v>
      </c>
      <c r="BW19" t="str">
        <f t="shared" si="49"/>
        <v>DI4-B14</v>
      </c>
      <c r="BX19" t="str">
        <f t="shared" si="49"/>
        <v>DI4-C15</v>
      </c>
      <c r="BY19" t="str">
        <f t="shared" si="49"/>
        <v>DI4-B15</v>
      </c>
      <c r="BZ19" t="str">
        <f t="shared" si="49"/>
        <v>DI4-C16</v>
      </c>
      <c r="CA19" t="str">
        <f t="shared" si="49"/>
        <v>DI4-B16</v>
      </c>
      <c r="CB19" t="str">
        <f t="shared" si="49"/>
        <v>DI4-C17</v>
      </c>
      <c r="CC19" t="str">
        <f t="shared" si="49"/>
        <v>DI4-B17</v>
      </c>
      <c r="CD19" t="str">
        <f t="shared" si="49"/>
        <v>DI4-C18</v>
      </c>
      <c r="CE19" t="str">
        <f t="shared" si="49"/>
        <v>DI4-B18</v>
      </c>
      <c r="CF19" t="str">
        <f t="shared" si="20"/>
        <v>DO2-22A</v>
      </c>
      <c r="CG19" t="str">
        <f t="shared" si="21"/>
        <v>DO2-22B</v>
      </c>
      <c r="CH19" t="str">
        <f t="shared" si="22"/>
        <v>DO2-23A</v>
      </c>
      <c r="CI19" t="str">
        <f t="shared" si="23"/>
        <v>DO2-23B</v>
      </c>
      <c r="CJ19" t="str">
        <f t="shared" si="24"/>
        <v>DO2-24A</v>
      </c>
      <c r="CK19" t="str">
        <f t="shared" si="25"/>
        <v>DO2-24B</v>
      </c>
      <c r="CL19" t="str">
        <f t="shared" si="27"/>
        <v>K18-10</v>
      </c>
      <c r="CM19" t="str">
        <f t="shared" si="28"/>
        <v>K18-03</v>
      </c>
      <c r="CN19" t="str">
        <f t="shared" si="29"/>
        <v>K18-04</v>
      </c>
      <c r="CO19" t="str">
        <f t="shared" si="30"/>
        <v>K18-01</v>
      </c>
      <c r="CP19" t="str">
        <f t="shared" si="31"/>
        <v>K18-08</v>
      </c>
      <c r="CQ19" t="str">
        <f t="shared" si="32"/>
        <v>K18-02</v>
      </c>
      <c r="CR19" t="str">
        <f t="shared" si="33"/>
        <v>K18-09</v>
      </c>
      <c r="CS19" t="str">
        <f t="shared" si="34"/>
        <v>K18-05</v>
      </c>
      <c r="CT19" t="str">
        <f t="shared" si="35"/>
        <v>K18-11</v>
      </c>
      <c r="CU19" t="str">
        <f t="shared" si="36"/>
        <v>F0-M18-A9</v>
      </c>
      <c r="CV19" t="str">
        <f t="shared" si="37"/>
        <v>F0-M18-A7</v>
      </c>
      <c r="CW19" t="str">
        <f t="shared" si="38"/>
        <v>F0-M18-A8</v>
      </c>
      <c r="CX19" t="str">
        <f t="shared" si="39"/>
        <v>F0-M18-A6</v>
      </c>
      <c r="CY19" t="str">
        <f t="shared" si="40"/>
        <v>F0-M18-A30</v>
      </c>
      <c r="CZ19" t="str">
        <f t="shared" si="41"/>
        <v>F0-M18-N</v>
      </c>
      <c r="DA19" t="str">
        <f t="shared" si="26"/>
        <v>F0-A220-M18</v>
      </c>
      <c r="DB19" t="str">
        <f t="shared" si="42"/>
        <v>F0-M18-XM01</v>
      </c>
      <c r="DC19" t="str">
        <f t="shared" si="43"/>
        <v>F0-M18-A1</v>
      </c>
      <c r="DD19" t="str">
        <f t="shared" si="44"/>
        <v>F0-M18-A5</v>
      </c>
      <c r="DE19" t="str">
        <f t="shared" si="45"/>
        <v>F0-M18-A11</v>
      </c>
      <c r="DF19" t="str">
        <f t="shared" si="46"/>
        <v>F0-M18-A12</v>
      </c>
      <c r="DG19" t="str">
        <f t="shared" si="47"/>
        <v>F0-M18-A19</v>
      </c>
      <c r="DH19" t="str">
        <f t="shared" si="48"/>
        <v>F0-M18-A20</v>
      </c>
      <c r="DI19" t="s">
        <v>142</v>
      </c>
      <c r="DJ19" t="s">
        <v>143</v>
      </c>
      <c r="DK19">
        <v>11</v>
      </c>
      <c r="DL19">
        <v>14</v>
      </c>
      <c r="DM19">
        <v>12</v>
      </c>
      <c r="DN19" t="s">
        <v>144</v>
      </c>
      <c r="DO19" t="s">
        <v>145</v>
      </c>
      <c r="DP19">
        <v>1</v>
      </c>
      <c r="DQ19">
        <v>2</v>
      </c>
      <c r="DR19">
        <v>3</v>
      </c>
      <c r="DS19">
        <v>4</v>
      </c>
      <c r="DT19">
        <v>5</v>
      </c>
      <c r="DU19">
        <v>6</v>
      </c>
      <c r="DV19">
        <v>7</v>
      </c>
      <c r="DW19">
        <v>8</v>
      </c>
      <c r="DX19">
        <v>9</v>
      </c>
      <c r="DY19">
        <v>10</v>
      </c>
      <c r="DZ19">
        <v>11</v>
      </c>
      <c r="EA19">
        <v>12</v>
      </c>
      <c r="EB19">
        <v>13</v>
      </c>
      <c r="EC19">
        <v>14</v>
      </c>
      <c r="ED19">
        <v>1</v>
      </c>
      <c r="EE19">
        <v>3</v>
      </c>
      <c r="EF19">
        <v>4</v>
      </c>
      <c r="EG19">
        <v>7</v>
      </c>
      <c r="EH19">
        <v>8</v>
      </c>
      <c r="EI19">
        <v>9</v>
      </c>
      <c r="EJ19">
        <v>10</v>
      </c>
      <c r="EK19">
        <v>13</v>
      </c>
      <c r="EL19">
        <v>14</v>
      </c>
      <c r="EM19">
        <v>15</v>
      </c>
      <c r="EN19">
        <v>16</v>
      </c>
      <c r="EO19">
        <v>22</v>
      </c>
      <c r="EP19">
        <v>23</v>
      </c>
      <c r="EQ19" s="16">
        <v>24</v>
      </c>
    </row>
    <row r="20" spans="1:147" x14ac:dyDescent="0.25">
      <c r="A20" t="s">
        <v>200</v>
      </c>
      <c r="B20" t="s">
        <v>201</v>
      </c>
      <c r="C20" s="3" t="s">
        <v>127</v>
      </c>
      <c r="O20" s="2"/>
      <c r="P20" t="s">
        <v>129</v>
      </c>
      <c r="Q20" s="1"/>
      <c r="S20" s="1" t="s">
        <v>130</v>
      </c>
      <c r="T20" s="14" t="s">
        <v>554</v>
      </c>
      <c r="U20" s="15">
        <v>19</v>
      </c>
      <c r="V20" s="15" t="s">
        <v>327</v>
      </c>
      <c r="W20" s="15"/>
      <c r="AC20" t="s">
        <v>263</v>
      </c>
      <c r="AF20" t="s">
        <v>239</v>
      </c>
      <c r="AG20" t="s">
        <v>241</v>
      </c>
      <c r="AH20" t="s">
        <v>267</v>
      </c>
      <c r="AI20" s="73" cm="1">
        <f t="array" ref="AI20">IF(COUNTIFS(AH$2:AH20,AH20)=1,"1",VALUE(SUBSTITUTE(INDEX(AI:AI,_xlfn.XMATCH(AH20,AH$1:AH19,0,-1)),"A",""))+INDEX(AJ:AJ,_xlfn.XMATCH(AH20,AH$1:AH19,0,-1))+1)</f>
        <v>25</v>
      </c>
      <c r="AJ20" s="73" cm="1">
        <f t="array" ref="AJ20">SUM(IF(ISNUMBER(FIND("TmDo",$BE$1:$AAL$1)),IF(IFERROR(ISNUMBER(VALUE(SUBSTITUTE($BE20:$AAL20,"B",""))),FALSE),IF(ISNUMBER(VALUE(SUBSTITUTE($BE20:$AAL20,"B",""))),1,0),0)))</f>
        <v>2</v>
      </c>
      <c r="AK20" t="str">
        <f t="shared" si="0"/>
        <v>25A</v>
      </c>
      <c r="AL20" t="str">
        <f t="shared" si="1"/>
        <v>25B</v>
      </c>
      <c r="AM20" t="s">
        <v>202</v>
      </c>
      <c r="AP20" t="s">
        <v>137</v>
      </c>
      <c r="AQ20" t="s">
        <v>138</v>
      </c>
      <c r="AT20" t="s">
        <v>139</v>
      </c>
      <c r="AU20" t="s">
        <v>140</v>
      </c>
      <c r="BD20" s="16"/>
      <c r="BE20" t="str">
        <f t="shared" si="2"/>
        <v>XT19</v>
      </c>
      <c r="BF20" t="str">
        <f t="shared" si="3"/>
        <v>C20</v>
      </c>
      <c r="BG20" t="str">
        <f t="shared" si="4"/>
        <v>B20</v>
      </c>
      <c r="BH20" t="str">
        <f t="shared" si="5"/>
        <v>C21</v>
      </c>
      <c r="BI20" t="str">
        <f t="shared" si="6"/>
        <v>B21</v>
      </c>
      <c r="BJ20" t="str">
        <f t="shared" si="7"/>
        <v>C22</v>
      </c>
      <c r="BK20" t="str">
        <f t="shared" si="8"/>
        <v>B22</v>
      </c>
      <c r="BL20" t="str">
        <f t="shared" si="9"/>
        <v>C23</v>
      </c>
      <c r="BM20" t="str">
        <f t="shared" si="10"/>
        <v>B23</v>
      </c>
      <c r="BN20" t="str">
        <f t="shared" si="11"/>
        <v>C24</v>
      </c>
      <c r="BO20" t="str">
        <f t="shared" si="12"/>
        <v>B24</v>
      </c>
      <c r="BP20" t="str">
        <f t="shared" si="13"/>
        <v>26A</v>
      </c>
      <c r="BQ20" t="str">
        <f t="shared" si="14"/>
        <v>26B</v>
      </c>
      <c r="BR20" t="str">
        <f t="shared" si="15"/>
        <v>27A</v>
      </c>
      <c r="BS20" t="str">
        <f t="shared" si="16"/>
        <v>27B</v>
      </c>
      <c r="BT20" t="str">
        <f t="shared" si="17"/>
        <v>DI4-C19</v>
      </c>
      <c r="BU20" t="str">
        <f t="shared" si="18"/>
        <v>DI4-B19</v>
      </c>
      <c r="BV20" t="str">
        <f t="shared" si="49"/>
        <v>DI4-C20</v>
      </c>
      <c r="BW20" t="str">
        <f t="shared" si="49"/>
        <v>DI4-B20</v>
      </c>
      <c r="BX20" t="str">
        <f t="shared" si="49"/>
        <v>DI4-C21</v>
      </c>
      <c r="BY20" t="str">
        <f t="shared" si="49"/>
        <v>DI4-B21</v>
      </c>
      <c r="BZ20" t="str">
        <f t="shared" si="49"/>
        <v>DI4-C22</v>
      </c>
      <c r="CA20" t="str">
        <f t="shared" si="49"/>
        <v>DI4-B22</v>
      </c>
      <c r="CB20" t="str">
        <f t="shared" si="49"/>
        <v>DI4-C23</v>
      </c>
      <c r="CC20" t="str">
        <f t="shared" si="49"/>
        <v>DI4-B23</v>
      </c>
      <c r="CD20" t="str">
        <f t="shared" si="49"/>
        <v>DI4-C24</v>
      </c>
      <c r="CE20" t="str">
        <f t="shared" si="49"/>
        <v>DI4-B24</v>
      </c>
      <c r="CF20" t="str">
        <f t="shared" si="20"/>
        <v>DO2-25A</v>
      </c>
      <c r="CG20" t="str">
        <f t="shared" si="21"/>
        <v>DO2-25B</v>
      </c>
      <c r="CH20" t="str">
        <f t="shared" si="22"/>
        <v>DO2-26A</v>
      </c>
      <c r="CI20" t="str">
        <f t="shared" si="23"/>
        <v>DO2-26B</v>
      </c>
      <c r="CJ20" t="str">
        <f t="shared" si="24"/>
        <v>DO2-27A</v>
      </c>
      <c r="CK20" t="str">
        <f t="shared" si="25"/>
        <v>DO2-27B</v>
      </c>
      <c r="CL20" t="str">
        <f t="shared" si="27"/>
        <v>K19-10</v>
      </c>
      <c r="CM20" t="str">
        <f t="shared" si="28"/>
        <v>K19-03</v>
      </c>
      <c r="CN20" t="str">
        <f t="shared" si="29"/>
        <v>K19-04</v>
      </c>
      <c r="CO20" t="str">
        <f t="shared" si="30"/>
        <v>K19-01</v>
      </c>
      <c r="CP20" t="str">
        <f t="shared" si="31"/>
        <v>K19-08</v>
      </c>
      <c r="CQ20" t="str">
        <f t="shared" si="32"/>
        <v>K19-02</v>
      </c>
      <c r="CR20" t="str">
        <f t="shared" si="33"/>
        <v>K19-09</v>
      </c>
      <c r="CS20" t="str">
        <f t="shared" si="34"/>
        <v>K19-05</v>
      </c>
      <c r="CT20" t="str">
        <f t="shared" si="35"/>
        <v>K19-11</v>
      </c>
      <c r="CU20" t="str">
        <f t="shared" si="36"/>
        <v>F0-M19-A9</v>
      </c>
      <c r="CV20" t="str">
        <f t="shared" si="37"/>
        <v>F0-M19-A7</v>
      </c>
      <c r="CW20" t="str">
        <f t="shared" si="38"/>
        <v>F0-M19-A8</v>
      </c>
      <c r="CX20" t="str">
        <f t="shared" si="39"/>
        <v>F0-M19-A6</v>
      </c>
      <c r="CY20" t="str">
        <f t="shared" si="40"/>
        <v>F0-M19-A30</v>
      </c>
      <c r="CZ20" t="str">
        <f t="shared" si="41"/>
        <v>F0-M19-N</v>
      </c>
      <c r="DA20" t="str">
        <f t="shared" si="26"/>
        <v>F0-A220-M19</v>
      </c>
      <c r="DB20" t="str">
        <f t="shared" si="42"/>
        <v>F0-M19-XM01</v>
      </c>
      <c r="DC20" t="str">
        <f t="shared" si="43"/>
        <v>F0-M19-A1</v>
      </c>
      <c r="DD20" t="str">
        <f t="shared" si="44"/>
        <v>F0-M19-A5</v>
      </c>
      <c r="DE20" t="str">
        <f t="shared" si="45"/>
        <v>F0-M19-A11</v>
      </c>
      <c r="DF20" t="str">
        <f t="shared" si="46"/>
        <v>F0-M19-A12</v>
      </c>
      <c r="DG20" t="str">
        <f t="shared" si="47"/>
        <v>F0-M19-A19</v>
      </c>
      <c r="DH20" t="str">
        <f t="shared" si="48"/>
        <v>F0-M19-A20</v>
      </c>
      <c r="DI20" t="s">
        <v>142</v>
      </c>
      <c r="DJ20" t="s">
        <v>143</v>
      </c>
      <c r="DK20">
        <v>11</v>
      </c>
      <c r="DL20">
        <v>14</v>
      </c>
      <c r="DM20">
        <v>12</v>
      </c>
      <c r="DN20" t="s">
        <v>144</v>
      </c>
      <c r="DO20" t="s">
        <v>145</v>
      </c>
      <c r="DP20">
        <v>1</v>
      </c>
      <c r="DQ20">
        <v>2</v>
      </c>
      <c r="DR20">
        <v>3</v>
      </c>
      <c r="DS20">
        <v>4</v>
      </c>
      <c r="DT20">
        <v>5</v>
      </c>
      <c r="DU20">
        <v>6</v>
      </c>
      <c r="DV20">
        <v>7</v>
      </c>
      <c r="DW20">
        <v>8</v>
      </c>
      <c r="DX20">
        <v>9</v>
      </c>
      <c r="DY20">
        <v>10</v>
      </c>
      <c r="DZ20">
        <v>11</v>
      </c>
      <c r="EA20">
        <v>12</v>
      </c>
      <c r="EB20">
        <v>13</v>
      </c>
      <c r="EC20">
        <v>14</v>
      </c>
      <c r="ED20">
        <v>1</v>
      </c>
      <c r="EE20">
        <v>3</v>
      </c>
      <c r="EF20">
        <v>4</v>
      </c>
      <c r="EG20">
        <v>7</v>
      </c>
      <c r="EH20">
        <v>8</v>
      </c>
      <c r="EI20">
        <v>9</v>
      </c>
      <c r="EJ20">
        <v>10</v>
      </c>
      <c r="EK20">
        <v>13</v>
      </c>
      <c r="EL20">
        <v>14</v>
      </c>
      <c r="EM20">
        <v>15</v>
      </c>
      <c r="EN20">
        <v>16</v>
      </c>
      <c r="EO20">
        <v>22</v>
      </c>
      <c r="EP20">
        <v>23</v>
      </c>
      <c r="EQ20" s="16">
        <v>24</v>
      </c>
    </row>
    <row r="21" spans="1:147" x14ac:dyDescent="0.25">
      <c r="A21" t="s">
        <v>203</v>
      </c>
      <c r="B21" t="s">
        <v>204</v>
      </c>
      <c r="C21" s="3" t="s">
        <v>127</v>
      </c>
      <c r="O21" s="2"/>
      <c r="P21" t="s">
        <v>129</v>
      </c>
      <c r="Q21" s="1"/>
      <c r="S21" s="1" t="s">
        <v>130</v>
      </c>
      <c r="T21" s="14" t="s">
        <v>554</v>
      </c>
      <c r="U21" s="15">
        <v>20</v>
      </c>
      <c r="V21" s="15" t="s">
        <v>328</v>
      </c>
      <c r="W21" s="15"/>
      <c r="AC21" t="s">
        <v>263</v>
      </c>
      <c r="AF21" t="s">
        <v>240</v>
      </c>
      <c r="AG21" t="s">
        <v>242</v>
      </c>
      <c r="AH21" t="s">
        <v>267</v>
      </c>
      <c r="AI21" s="73" cm="1">
        <f t="array" ref="AI21">IF(COUNTIFS(AH$2:AH21,AH21)=1,"1",VALUE(SUBSTITUTE(INDEX(AI:AI,_xlfn.XMATCH(AH21,AH$1:AH20,0,-1)),"A",""))+INDEX(AJ:AJ,_xlfn.XMATCH(AH21,AH$1:AH20,0,-1))+1)</f>
        <v>28</v>
      </c>
      <c r="AJ21" s="73" cm="1">
        <f t="array" ref="AJ21">SUM(IF(ISNUMBER(FIND("TmDo",$BE$1:$AAL$1)),IF(IFERROR(ISNUMBER(VALUE(SUBSTITUTE($BE21:$AAL21,"B",""))),FALSE),IF(ISNUMBER(VALUE(SUBSTITUTE($BE21:$AAL21,"B",""))),1,0),0)))</f>
        <v>2</v>
      </c>
      <c r="AK21" t="str">
        <f t="shared" si="0"/>
        <v>28A</v>
      </c>
      <c r="AL21" t="str">
        <f t="shared" si="1"/>
        <v>28B</v>
      </c>
      <c r="AM21" t="s">
        <v>205</v>
      </c>
      <c r="AP21" t="s">
        <v>137</v>
      </c>
      <c r="AQ21" t="s">
        <v>138</v>
      </c>
      <c r="AT21" t="s">
        <v>139</v>
      </c>
      <c r="AU21" t="s">
        <v>140</v>
      </c>
      <c r="BD21" s="16"/>
      <c r="BE21" t="str">
        <f t="shared" si="2"/>
        <v>XT20</v>
      </c>
      <c r="BF21" t="str">
        <f t="shared" si="3"/>
        <v>C26</v>
      </c>
      <c r="BG21" t="str">
        <f t="shared" si="4"/>
        <v>B26</v>
      </c>
      <c r="BH21" t="str">
        <f t="shared" si="5"/>
        <v>C27</v>
      </c>
      <c r="BI21" t="str">
        <f t="shared" si="6"/>
        <v>B27</v>
      </c>
      <c r="BJ21" t="str">
        <f t="shared" si="7"/>
        <v>C28</v>
      </c>
      <c r="BK21" t="str">
        <f t="shared" si="8"/>
        <v>B28</v>
      </c>
      <c r="BL21" t="str">
        <f t="shared" si="9"/>
        <v>C29</v>
      </c>
      <c r="BM21" t="str">
        <f t="shared" si="10"/>
        <v>B29</v>
      </c>
      <c r="BN21" t="str">
        <f t="shared" si="11"/>
        <v>C30</v>
      </c>
      <c r="BO21" t="str">
        <f t="shared" si="12"/>
        <v>B30</v>
      </c>
      <c r="BP21" t="str">
        <f t="shared" si="13"/>
        <v>29A</v>
      </c>
      <c r="BQ21" t="str">
        <f t="shared" si="14"/>
        <v>29B</v>
      </c>
      <c r="BR21" t="str">
        <f t="shared" si="15"/>
        <v>30A</v>
      </c>
      <c r="BS21" t="str">
        <f t="shared" si="16"/>
        <v>30B</v>
      </c>
      <c r="BT21" t="str">
        <f t="shared" si="17"/>
        <v>DI4-C25</v>
      </c>
      <c r="BU21" t="str">
        <f t="shared" si="18"/>
        <v>DI4-B25</v>
      </c>
      <c r="BV21" t="str">
        <f t="shared" si="49"/>
        <v>DI4-C26</v>
      </c>
      <c r="BW21" t="str">
        <f t="shared" si="49"/>
        <v>DI4-B26</v>
      </c>
      <c r="BX21" t="str">
        <f t="shared" si="49"/>
        <v>DI4-C27</v>
      </c>
      <c r="BY21" t="str">
        <f t="shared" si="49"/>
        <v>DI4-B27</v>
      </c>
      <c r="BZ21" t="str">
        <f t="shared" si="49"/>
        <v>DI4-C28</v>
      </c>
      <c r="CA21" t="str">
        <f t="shared" si="49"/>
        <v>DI4-B28</v>
      </c>
      <c r="CB21" t="str">
        <f t="shared" si="49"/>
        <v>DI4-C29</v>
      </c>
      <c r="CC21" t="str">
        <f t="shared" si="49"/>
        <v>DI4-B29</v>
      </c>
      <c r="CD21" t="str">
        <f t="shared" si="49"/>
        <v>DI4-C30</v>
      </c>
      <c r="CE21" t="str">
        <f t="shared" si="49"/>
        <v>DI4-B30</v>
      </c>
      <c r="CF21" t="str">
        <f t="shared" si="20"/>
        <v>DO2-28A</v>
      </c>
      <c r="CG21" t="str">
        <f t="shared" si="21"/>
        <v>DO2-28B</v>
      </c>
      <c r="CH21" t="str">
        <f t="shared" si="22"/>
        <v>DO2-29A</v>
      </c>
      <c r="CI21" t="str">
        <f t="shared" si="23"/>
        <v>DO2-29B</v>
      </c>
      <c r="CJ21" t="str">
        <f t="shared" si="24"/>
        <v>DO2-30A</v>
      </c>
      <c r="CK21" t="str">
        <f t="shared" si="25"/>
        <v>DO2-30B</v>
      </c>
      <c r="CL21" t="str">
        <f t="shared" si="27"/>
        <v>K20-10</v>
      </c>
      <c r="CM21" t="str">
        <f t="shared" si="28"/>
        <v>K20-03</v>
      </c>
      <c r="CN21" t="str">
        <f t="shared" si="29"/>
        <v>K20-04</v>
      </c>
      <c r="CO21" t="str">
        <f t="shared" si="30"/>
        <v>K20-01</v>
      </c>
      <c r="CP21" t="str">
        <f t="shared" si="31"/>
        <v>K20-08</v>
      </c>
      <c r="CQ21" t="str">
        <f t="shared" si="32"/>
        <v>K20-02</v>
      </c>
      <c r="CR21" t="str">
        <f t="shared" si="33"/>
        <v>K20-09</v>
      </c>
      <c r="CS21" t="str">
        <f t="shared" si="34"/>
        <v>K20-05</v>
      </c>
      <c r="CT21" t="str">
        <f t="shared" si="35"/>
        <v>K20-11</v>
      </c>
      <c r="CU21" t="str">
        <f t="shared" si="36"/>
        <v>F0-M20-A9</v>
      </c>
      <c r="CV21" t="str">
        <f t="shared" si="37"/>
        <v>F0-M20-A7</v>
      </c>
      <c r="CW21" t="str">
        <f t="shared" si="38"/>
        <v>F0-M20-A8</v>
      </c>
      <c r="CX21" t="str">
        <f t="shared" si="39"/>
        <v>F0-M20-A6</v>
      </c>
      <c r="CY21" t="str">
        <f t="shared" si="40"/>
        <v>F0-M20-A30</v>
      </c>
      <c r="CZ21" t="str">
        <f t="shared" si="41"/>
        <v>F0-M20-N</v>
      </c>
      <c r="DA21" t="str">
        <f t="shared" si="26"/>
        <v>F0-A220-M20</v>
      </c>
      <c r="DB21" t="str">
        <f t="shared" si="42"/>
        <v>F0-M20-XM01</v>
      </c>
      <c r="DC21" t="str">
        <f t="shared" si="43"/>
        <v>F0-M20-A1</v>
      </c>
      <c r="DD21" t="str">
        <f t="shared" si="44"/>
        <v>F0-M20-A5</v>
      </c>
      <c r="DE21" t="str">
        <f t="shared" si="45"/>
        <v>F0-M20-A11</v>
      </c>
      <c r="DF21" t="str">
        <f t="shared" si="46"/>
        <v>F0-M20-A12</v>
      </c>
      <c r="DG21" t="str">
        <f t="shared" si="47"/>
        <v>F0-M20-A19</v>
      </c>
      <c r="DH21" t="str">
        <f t="shared" si="48"/>
        <v>F0-M20-A20</v>
      </c>
      <c r="DI21" t="s">
        <v>142</v>
      </c>
      <c r="DJ21" t="s">
        <v>143</v>
      </c>
      <c r="DK21">
        <v>11</v>
      </c>
      <c r="DL21">
        <v>14</v>
      </c>
      <c r="DM21">
        <v>12</v>
      </c>
      <c r="DN21" t="s">
        <v>144</v>
      </c>
      <c r="DO21" t="s">
        <v>145</v>
      </c>
      <c r="DP21">
        <v>1</v>
      </c>
      <c r="DQ21">
        <v>2</v>
      </c>
      <c r="DR21">
        <v>3</v>
      </c>
      <c r="DS21">
        <v>4</v>
      </c>
      <c r="DT21">
        <v>5</v>
      </c>
      <c r="DU21">
        <v>6</v>
      </c>
      <c r="DV21">
        <v>7</v>
      </c>
      <c r="DW21">
        <v>8</v>
      </c>
      <c r="DX21">
        <v>9</v>
      </c>
      <c r="DY21">
        <v>10</v>
      </c>
      <c r="DZ21">
        <v>11</v>
      </c>
      <c r="EA21">
        <v>12</v>
      </c>
      <c r="EB21">
        <v>13</v>
      </c>
      <c r="EC21">
        <v>14</v>
      </c>
      <c r="ED21">
        <v>1</v>
      </c>
      <c r="EE21">
        <v>3</v>
      </c>
      <c r="EF21">
        <v>4</v>
      </c>
      <c r="EG21">
        <v>7</v>
      </c>
      <c r="EH21">
        <v>8</v>
      </c>
      <c r="EI21">
        <v>9</v>
      </c>
      <c r="EJ21">
        <v>10</v>
      </c>
      <c r="EK21">
        <v>13</v>
      </c>
      <c r="EL21">
        <v>14</v>
      </c>
      <c r="EM21">
        <v>15</v>
      </c>
      <c r="EN21">
        <v>16</v>
      </c>
      <c r="EO21">
        <v>22</v>
      </c>
      <c r="EP21">
        <v>23</v>
      </c>
      <c r="EQ21" s="16">
        <v>24</v>
      </c>
    </row>
    <row r="22" spans="1:147" x14ac:dyDescent="0.25">
      <c r="A22" t="s">
        <v>206</v>
      </c>
      <c r="B22" t="s">
        <v>207</v>
      </c>
      <c r="C22" s="3" t="s">
        <v>127</v>
      </c>
      <c r="O22" s="2"/>
      <c r="P22" t="s">
        <v>129</v>
      </c>
      <c r="Q22" s="1"/>
      <c r="S22" s="1" t="s">
        <v>130</v>
      </c>
      <c r="T22" s="14" t="s">
        <v>554</v>
      </c>
      <c r="U22" s="15">
        <v>21</v>
      </c>
      <c r="V22" s="15" t="s">
        <v>329</v>
      </c>
      <c r="W22" s="15"/>
      <c r="AC22" t="s">
        <v>264</v>
      </c>
      <c r="AF22" t="s">
        <v>133</v>
      </c>
      <c r="AG22" t="s">
        <v>134</v>
      </c>
      <c r="AH22" t="s">
        <v>268</v>
      </c>
      <c r="AI22" s="73" t="str" cm="1">
        <f t="array" ref="AI22">IF(COUNTIFS(AH$2:AH22,AH22)=1,"1",VALUE(SUBSTITUTE(INDEX(AI:AI,_xlfn.XMATCH(AH22,AH$1:AH21,0,-1)),"A",""))+INDEX(AJ:AJ,_xlfn.XMATCH(AH22,AH$1:AH21,0,-1))+1)</f>
        <v>1</v>
      </c>
      <c r="AJ22" s="73" cm="1">
        <f t="array" ref="AJ22">SUM(IF(ISNUMBER(FIND("TmDo",$BE$1:$AAL$1)),IF(IFERROR(ISNUMBER(VALUE(SUBSTITUTE($BE22:$AAL22,"B",""))),FALSE),IF(ISNUMBER(VALUE(SUBSTITUTE($BE22:$AAL22,"B",""))),1,0),0)))</f>
        <v>2</v>
      </c>
      <c r="AK22" t="str">
        <f t="shared" si="0"/>
        <v>1A</v>
      </c>
      <c r="AL22" t="str">
        <f t="shared" si="1"/>
        <v>1B</v>
      </c>
      <c r="AM22" t="s">
        <v>208</v>
      </c>
      <c r="AP22" t="s">
        <v>137</v>
      </c>
      <c r="AQ22" t="s">
        <v>138</v>
      </c>
      <c r="AT22" t="s">
        <v>139</v>
      </c>
      <c r="AU22" t="s">
        <v>140</v>
      </c>
      <c r="BD22" s="16"/>
      <c r="BE22" t="str">
        <f t="shared" si="2"/>
        <v>XT21</v>
      </c>
      <c r="BF22" t="str">
        <f t="shared" si="3"/>
        <v>C2</v>
      </c>
      <c r="BG22" t="str">
        <f t="shared" si="4"/>
        <v>B2</v>
      </c>
      <c r="BH22" t="str">
        <f t="shared" si="5"/>
        <v>C3</v>
      </c>
      <c r="BI22" t="str">
        <f t="shared" si="6"/>
        <v>B3</v>
      </c>
      <c r="BJ22" t="str">
        <f t="shared" si="7"/>
        <v>C4</v>
      </c>
      <c r="BK22" t="str">
        <f t="shared" si="8"/>
        <v>B4</v>
      </c>
      <c r="BL22" t="str">
        <f t="shared" si="9"/>
        <v>C5</v>
      </c>
      <c r="BM22" t="str">
        <f t="shared" si="10"/>
        <v>B5</v>
      </c>
      <c r="BN22" t="str">
        <f t="shared" si="11"/>
        <v>C6</v>
      </c>
      <c r="BO22" t="str">
        <f t="shared" si="12"/>
        <v>B6</v>
      </c>
      <c r="BP22" t="str">
        <f t="shared" si="13"/>
        <v>2A</v>
      </c>
      <c r="BQ22" t="str">
        <f t="shared" si="14"/>
        <v>2B</v>
      </c>
      <c r="BR22" t="str">
        <f t="shared" si="15"/>
        <v>3A</v>
      </c>
      <c r="BS22" t="str">
        <f t="shared" si="16"/>
        <v>3B</v>
      </c>
      <c r="BT22" t="str">
        <f t="shared" si="17"/>
        <v>DI5-C1</v>
      </c>
      <c r="BU22" t="str">
        <f t="shared" si="18"/>
        <v>DI5-B1</v>
      </c>
      <c r="BV22" t="str">
        <f t="shared" si="49"/>
        <v>DI5-C2</v>
      </c>
      <c r="BW22" t="str">
        <f t="shared" si="49"/>
        <v>DI5-B2</v>
      </c>
      <c r="BX22" t="str">
        <f t="shared" si="49"/>
        <v>DI5-C3</v>
      </c>
      <c r="BY22" t="str">
        <f t="shared" si="49"/>
        <v>DI5-B3</v>
      </c>
      <c r="BZ22" t="str">
        <f t="shared" si="49"/>
        <v>DI5-C4</v>
      </c>
      <c r="CA22" t="str">
        <f t="shared" si="49"/>
        <v>DI5-B4</v>
      </c>
      <c r="CB22" t="str">
        <f t="shared" si="49"/>
        <v>DI5-C5</v>
      </c>
      <c r="CC22" t="str">
        <f t="shared" si="49"/>
        <v>DI5-B5</v>
      </c>
      <c r="CD22" t="str">
        <f t="shared" si="49"/>
        <v>DI5-C6</v>
      </c>
      <c r="CE22" t="str">
        <f t="shared" si="49"/>
        <v>DI5-B6</v>
      </c>
      <c r="CF22" t="str">
        <f t="shared" si="20"/>
        <v>DO3-1A</v>
      </c>
      <c r="CG22" t="str">
        <f t="shared" si="21"/>
        <v>DO3-1B</v>
      </c>
      <c r="CH22" t="str">
        <f t="shared" si="22"/>
        <v>DO3-2A</v>
      </c>
      <c r="CI22" t="str">
        <f t="shared" si="23"/>
        <v>DO3-2B</v>
      </c>
      <c r="CJ22" t="str">
        <f t="shared" si="24"/>
        <v>DO3-3A</v>
      </c>
      <c r="CK22" t="str">
        <f t="shared" si="25"/>
        <v>DO3-3B</v>
      </c>
      <c r="CL22" t="str">
        <f t="shared" si="27"/>
        <v>K21-10</v>
      </c>
      <c r="CM22" t="str">
        <f t="shared" si="28"/>
        <v>K21-03</v>
      </c>
      <c r="CN22" t="str">
        <f t="shared" si="29"/>
        <v>K21-04</v>
      </c>
      <c r="CO22" t="str">
        <f t="shared" si="30"/>
        <v>K21-01</v>
      </c>
      <c r="CP22" t="str">
        <f t="shared" si="31"/>
        <v>K21-08</v>
      </c>
      <c r="CQ22" t="str">
        <f t="shared" si="32"/>
        <v>K21-02</v>
      </c>
      <c r="CR22" t="str">
        <f t="shared" si="33"/>
        <v>K21-09</v>
      </c>
      <c r="CS22" t="str">
        <f t="shared" si="34"/>
        <v>K21-05</v>
      </c>
      <c r="CT22" t="str">
        <f t="shared" si="35"/>
        <v>K21-11</v>
      </c>
      <c r="CU22" t="str">
        <f t="shared" si="36"/>
        <v>F0-M21-A9</v>
      </c>
      <c r="CV22" t="str">
        <f t="shared" si="37"/>
        <v>F0-M21-A7</v>
      </c>
      <c r="CW22" t="str">
        <f t="shared" si="38"/>
        <v>F0-M21-A8</v>
      </c>
      <c r="CX22" t="str">
        <f t="shared" si="39"/>
        <v>F0-M21-A6</v>
      </c>
      <c r="CY22" t="str">
        <f t="shared" si="40"/>
        <v>F0-M21-A30</v>
      </c>
      <c r="CZ22" t="str">
        <f t="shared" si="41"/>
        <v>F0-M21-N</v>
      </c>
      <c r="DA22" t="str">
        <f t="shared" si="26"/>
        <v>F0-A220-M21</v>
      </c>
      <c r="DB22" t="str">
        <f t="shared" si="42"/>
        <v>F0-M21-XM01</v>
      </c>
      <c r="DC22" t="str">
        <f t="shared" si="43"/>
        <v>F0-M21-A1</v>
      </c>
      <c r="DD22" t="str">
        <f t="shared" si="44"/>
        <v>F0-M21-A5</v>
      </c>
      <c r="DE22" t="str">
        <f t="shared" si="45"/>
        <v>F0-M21-A11</v>
      </c>
      <c r="DF22" t="str">
        <f t="shared" si="46"/>
        <v>F0-M21-A12</v>
      </c>
      <c r="DG22" t="str">
        <f t="shared" si="47"/>
        <v>F0-M21-A19</v>
      </c>
      <c r="DH22" t="str">
        <f t="shared" si="48"/>
        <v>F0-M21-A20</v>
      </c>
      <c r="DI22" t="s">
        <v>142</v>
      </c>
      <c r="DJ22" t="s">
        <v>143</v>
      </c>
      <c r="DK22">
        <v>11</v>
      </c>
      <c r="DL22">
        <v>14</v>
      </c>
      <c r="DM22">
        <v>12</v>
      </c>
      <c r="DN22" t="s">
        <v>144</v>
      </c>
      <c r="DO22" t="s">
        <v>145</v>
      </c>
      <c r="DP22">
        <v>1</v>
      </c>
      <c r="DQ22">
        <v>2</v>
      </c>
      <c r="DR22">
        <v>3</v>
      </c>
      <c r="DS22">
        <v>4</v>
      </c>
      <c r="DT22">
        <v>5</v>
      </c>
      <c r="DU22">
        <v>6</v>
      </c>
      <c r="DV22">
        <v>7</v>
      </c>
      <c r="DW22">
        <v>8</v>
      </c>
      <c r="DX22">
        <v>9</v>
      </c>
      <c r="DY22">
        <v>10</v>
      </c>
      <c r="DZ22">
        <v>11</v>
      </c>
      <c r="EA22">
        <v>12</v>
      </c>
      <c r="EB22">
        <v>13</v>
      </c>
      <c r="EC22">
        <v>14</v>
      </c>
      <c r="ED22">
        <v>1</v>
      </c>
      <c r="EE22">
        <v>3</v>
      </c>
      <c r="EF22">
        <v>4</v>
      </c>
      <c r="EG22">
        <v>7</v>
      </c>
      <c r="EH22">
        <v>8</v>
      </c>
      <c r="EI22">
        <v>9</v>
      </c>
      <c r="EJ22">
        <v>10</v>
      </c>
      <c r="EK22">
        <v>13</v>
      </c>
      <c r="EL22">
        <v>14</v>
      </c>
      <c r="EM22">
        <v>15</v>
      </c>
      <c r="EN22">
        <v>16</v>
      </c>
      <c r="EO22">
        <v>22</v>
      </c>
      <c r="EP22">
        <v>23</v>
      </c>
      <c r="EQ22" s="16">
        <v>24</v>
      </c>
    </row>
    <row r="23" spans="1:147" x14ac:dyDescent="0.25">
      <c r="A23" t="s">
        <v>209</v>
      </c>
      <c r="B23" t="s">
        <v>210</v>
      </c>
      <c r="C23" s="3" t="s">
        <v>127</v>
      </c>
      <c r="O23" s="2"/>
      <c r="P23" t="s">
        <v>129</v>
      </c>
      <c r="Q23" s="1"/>
      <c r="S23" s="1" t="s">
        <v>130</v>
      </c>
      <c r="T23" s="14" t="s">
        <v>554</v>
      </c>
      <c r="U23" s="15">
        <v>22</v>
      </c>
      <c r="V23" s="15" t="s">
        <v>330</v>
      </c>
      <c r="W23" s="15"/>
      <c r="AC23" t="s">
        <v>264</v>
      </c>
      <c r="AF23" t="s">
        <v>148</v>
      </c>
      <c r="AG23" t="s">
        <v>149</v>
      </c>
      <c r="AH23" t="s">
        <v>268</v>
      </c>
      <c r="AI23" s="73" cm="1">
        <f t="array" ref="AI23">IF(COUNTIFS(AH$2:AH23,AH23)=1,"1",VALUE(SUBSTITUTE(INDEX(AI:AI,_xlfn.XMATCH(AH23,AH$1:AH22,0,-1)),"A",""))+INDEX(AJ:AJ,_xlfn.XMATCH(AH23,AH$1:AH22,0,-1))+1)</f>
        <v>4</v>
      </c>
      <c r="AJ23" s="73" cm="1">
        <f t="array" ref="AJ23">SUM(IF(ISNUMBER(FIND("TmDo",$BE$1:$AAL$1)),IF(IFERROR(ISNUMBER(VALUE(SUBSTITUTE($BE23:$AAL23,"B",""))),FALSE),IF(ISNUMBER(VALUE(SUBSTITUTE($BE23:$AAL23,"B",""))),1,0),0)))</f>
        <v>2</v>
      </c>
      <c r="AK23" t="str">
        <f t="shared" si="0"/>
        <v>4A</v>
      </c>
      <c r="AL23" t="str">
        <f t="shared" si="1"/>
        <v>4B</v>
      </c>
      <c r="AM23" t="s">
        <v>211</v>
      </c>
      <c r="AP23" t="s">
        <v>137</v>
      </c>
      <c r="AQ23" t="s">
        <v>138</v>
      </c>
      <c r="AT23" t="s">
        <v>139</v>
      </c>
      <c r="AU23" t="s">
        <v>140</v>
      </c>
      <c r="BD23" s="16"/>
      <c r="BE23" t="str">
        <f t="shared" si="2"/>
        <v>XT22</v>
      </c>
      <c r="BF23" t="str">
        <f t="shared" si="3"/>
        <v>C8</v>
      </c>
      <c r="BG23" t="str">
        <f t="shared" si="4"/>
        <v>B8</v>
      </c>
      <c r="BH23" t="str">
        <f t="shared" si="5"/>
        <v>C9</v>
      </c>
      <c r="BI23" t="str">
        <f t="shared" si="6"/>
        <v>B9</v>
      </c>
      <c r="BJ23" t="str">
        <f t="shared" si="7"/>
        <v>C10</v>
      </c>
      <c r="BK23" t="str">
        <f t="shared" si="8"/>
        <v>B10</v>
      </c>
      <c r="BL23" t="str">
        <f t="shared" si="9"/>
        <v>C11</v>
      </c>
      <c r="BM23" t="str">
        <f t="shared" si="10"/>
        <v>B11</v>
      </c>
      <c r="BN23" t="str">
        <f t="shared" si="11"/>
        <v>C12</v>
      </c>
      <c r="BO23" t="str">
        <f t="shared" si="12"/>
        <v>B12</v>
      </c>
      <c r="BP23" t="str">
        <f t="shared" si="13"/>
        <v>5A</v>
      </c>
      <c r="BQ23" t="str">
        <f t="shared" si="14"/>
        <v>5B</v>
      </c>
      <c r="BR23" t="str">
        <f t="shared" si="15"/>
        <v>6A</v>
      </c>
      <c r="BS23" t="str">
        <f t="shared" si="16"/>
        <v>6B</v>
      </c>
      <c r="BT23" t="str">
        <f t="shared" si="17"/>
        <v>DI5-C7</v>
      </c>
      <c r="BU23" t="str">
        <f t="shared" si="18"/>
        <v>DI5-B7</v>
      </c>
      <c r="BV23" t="str">
        <f t="shared" si="49"/>
        <v>DI5-C8</v>
      </c>
      <c r="BW23" t="str">
        <f t="shared" si="49"/>
        <v>DI5-B8</v>
      </c>
      <c r="BX23" t="str">
        <f t="shared" si="49"/>
        <v>DI5-C9</v>
      </c>
      <c r="BY23" t="str">
        <f t="shared" si="49"/>
        <v>DI5-B9</v>
      </c>
      <c r="BZ23" t="str">
        <f t="shared" si="49"/>
        <v>DI5-C10</v>
      </c>
      <c r="CA23" t="str">
        <f t="shared" si="49"/>
        <v>DI5-B10</v>
      </c>
      <c r="CB23" t="str">
        <f t="shared" si="49"/>
        <v>DI5-C11</v>
      </c>
      <c r="CC23" t="str">
        <f t="shared" si="49"/>
        <v>DI5-B11</v>
      </c>
      <c r="CD23" t="str">
        <f t="shared" si="49"/>
        <v>DI5-C12</v>
      </c>
      <c r="CE23" t="str">
        <f t="shared" si="49"/>
        <v>DI5-B12</v>
      </c>
      <c r="CF23" t="str">
        <f t="shared" si="20"/>
        <v>DO3-4A</v>
      </c>
      <c r="CG23" t="str">
        <f t="shared" si="21"/>
        <v>DO3-4B</v>
      </c>
      <c r="CH23" t="str">
        <f t="shared" si="22"/>
        <v>DO3-5A</v>
      </c>
      <c r="CI23" t="str">
        <f t="shared" si="23"/>
        <v>DO3-5B</v>
      </c>
      <c r="CJ23" t="str">
        <f t="shared" si="24"/>
        <v>DO3-6A</v>
      </c>
      <c r="CK23" t="str">
        <f t="shared" si="25"/>
        <v>DO3-6B</v>
      </c>
      <c r="CL23" t="str">
        <f t="shared" si="27"/>
        <v>K22-10</v>
      </c>
      <c r="CM23" t="str">
        <f t="shared" si="28"/>
        <v>K22-03</v>
      </c>
      <c r="CN23" t="str">
        <f t="shared" si="29"/>
        <v>K22-04</v>
      </c>
      <c r="CO23" t="str">
        <f t="shared" si="30"/>
        <v>K22-01</v>
      </c>
      <c r="CP23" t="str">
        <f t="shared" si="31"/>
        <v>K22-08</v>
      </c>
      <c r="CQ23" t="str">
        <f t="shared" si="32"/>
        <v>K22-02</v>
      </c>
      <c r="CR23" t="str">
        <f t="shared" si="33"/>
        <v>K22-09</v>
      </c>
      <c r="CS23" t="str">
        <f t="shared" si="34"/>
        <v>K22-05</v>
      </c>
      <c r="CT23" t="str">
        <f t="shared" si="35"/>
        <v>K22-11</v>
      </c>
      <c r="CU23" t="str">
        <f t="shared" si="36"/>
        <v>F0-M22-A9</v>
      </c>
      <c r="CV23" t="str">
        <f t="shared" si="37"/>
        <v>F0-M22-A7</v>
      </c>
      <c r="CW23" t="str">
        <f t="shared" si="38"/>
        <v>F0-M22-A8</v>
      </c>
      <c r="CX23" t="str">
        <f t="shared" si="39"/>
        <v>F0-M22-A6</v>
      </c>
      <c r="CY23" t="str">
        <f t="shared" si="40"/>
        <v>F0-M22-A30</v>
      </c>
      <c r="CZ23" t="str">
        <f t="shared" si="41"/>
        <v>F0-M22-N</v>
      </c>
      <c r="DA23" t="str">
        <f t="shared" si="26"/>
        <v>F0-A220-M22</v>
      </c>
      <c r="DB23" t="str">
        <f t="shared" si="42"/>
        <v>F0-M22-XM01</v>
      </c>
      <c r="DC23" t="str">
        <f t="shared" si="43"/>
        <v>F0-M22-A1</v>
      </c>
      <c r="DD23" t="str">
        <f t="shared" si="44"/>
        <v>F0-M22-A5</v>
      </c>
      <c r="DE23" t="str">
        <f t="shared" si="45"/>
        <v>F0-M22-A11</v>
      </c>
      <c r="DF23" t="str">
        <f t="shared" si="46"/>
        <v>F0-M22-A12</v>
      </c>
      <c r="DG23" t="str">
        <f t="shared" si="47"/>
        <v>F0-M22-A19</v>
      </c>
      <c r="DH23" t="str">
        <f t="shared" si="48"/>
        <v>F0-M22-A20</v>
      </c>
      <c r="DI23" t="s">
        <v>142</v>
      </c>
      <c r="DJ23" t="s">
        <v>143</v>
      </c>
      <c r="DK23">
        <v>11</v>
      </c>
      <c r="DL23">
        <v>14</v>
      </c>
      <c r="DM23">
        <v>12</v>
      </c>
      <c r="DN23" t="s">
        <v>144</v>
      </c>
      <c r="DO23" t="s">
        <v>145</v>
      </c>
      <c r="DP23">
        <v>1</v>
      </c>
      <c r="DQ23">
        <v>2</v>
      </c>
      <c r="DR23">
        <v>3</v>
      </c>
      <c r="DS23">
        <v>4</v>
      </c>
      <c r="DT23">
        <v>5</v>
      </c>
      <c r="DU23">
        <v>6</v>
      </c>
      <c r="DV23">
        <v>7</v>
      </c>
      <c r="DW23">
        <v>8</v>
      </c>
      <c r="DX23">
        <v>9</v>
      </c>
      <c r="DY23">
        <v>10</v>
      </c>
      <c r="DZ23">
        <v>11</v>
      </c>
      <c r="EA23">
        <v>12</v>
      </c>
      <c r="EB23">
        <v>13</v>
      </c>
      <c r="EC23">
        <v>14</v>
      </c>
      <c r="ED23">
        <v>1</v>
      </c>
      <c r="EE23">
        <v>3</v>
      </c>
      <c r="EF23">
        <v>4</v>
      </c>
      <c r="EG23">
        <v>7</v>
      </c>
      <c r="EH23">
        <v>8</v>
      </c>
      <c r="EI23">
        <v>9</v>
      </c>
      <c r="EJ23">
        <v>10</v>
      </c>
      <c r="EK23">
        <v>13</v>
      </c>
      <c r="EL23">
        <v>14</v>
      </c>
      <c r="EM23">
        <v>15</v>
      </c>
      <c r="EN23">
        <v>16</v>
      </c>
      <c r="EO23">
        <v>22</v>
      </c>
      <c r="EP23">
        <v>23</v>
      </c>
      <c r="EQ23" s="16">
        <v>24</v>
      </c>
    </row>
    <row r="24" spans="1:147" x14ac:dyDescent="0.25">
      <c r="A24" t="s">
        <v>212</v>
      </c>
      <c r="B24" t="s">
        <v>213</v>
      </c>
      <c r="C24" s="3" t="s">
        <v>127</v>
      </c>
      <c r="O24" s="2"/>
      <c r="P24" t="s">
        <v>129</v>
      </c>
      <c r="Q24" s="1"/>
      <c r="S24" s="1" t="s">
        <v>130</v>
      </c>
      <c r="T24" s="14" t="s">
        <v>554</v>
      </c>
      <c r="U24" s="15">
        <v>23</v>
      </c>
      <c r="V24" s="15" t="s">
        <v>331</v>
      </c>
      <c r="W24" s="15"/>
      <c r="AC24" t="s">
        <v>264</v>
      </c>
      <c r="AF24" t="s">
        <v>153</v>
      </c>
      <c r="AG24" t="s">
        <v>154</v>
      </c>
      <c r="AH24" t="s">
        <v>268</v>
      </c>
      <c r="AI24" s="73" cm="1">
        <f t="array" ref="AI24">IF(COUNTIFS(AH$2:AH24,AH24)=1,"1",VALUE(SUBSTITUTE(INDEX(AI:AI,_xlfn.XMATCH(AH24,AH$1:AH23,0,-1)),"A",""))+INDEX(AJ:AJ,_xlfn.XMATCH(AH24,AH$1:AH23,0,-1))+1)</f>
        <v>7</v>
      </c>
      <c r="AJ24" s="73" cm="1">
        <f t="array" ref="AJ24">SUM(IF(ISNUMBER(FIND("TmDo",$BE$1:$AAL$1)),IF(IFERROR(ISNUMBER(VALUE(SUBSTITUTE($BE24:$AAL24,"B",""))),FALSE),IF(ISNUMBER(VALUE(SUBSTITUTE($BE24:$AAL24,"B",""))),1,0),0)))</f>
        <v>2</v>
      </c>
      <c r="AK24" t="str">
        <f t="shared" si="0"/>
        <v>7A</v>
      </c>
      <c r="AL24" t="str">
        <f t="shared" si="1"/>
        <v>7B</v>
      </c>
      <c r="AM24" t="s">
        <v>214</v>
      </c>
      <c r="AP24" t="s">
        <v>137</v>
      </c>
      <c r="AQ24" t="s">
        <v>138</v>
      </c>
      <c r="AT24" t="s">
        <v>139</v>
      </c>
      <c r="AU24" t="s">
        <v>140</v>
      </c>
      <c r="BD24" s="16"/>
      <c r="BE24" t="str">
        <f t="shared" si="2"/>
        <v>XT23</v>
      </c>
      <c r="BF24" t="str">
        <f t="shared" si="3"/>
        <v>C14</v>
      </c>
      <c r="BG24" t="str">
        <f t="shared" si="4"/>
        <v>B14</v>
      </c>
      <c r="BH24" t="str">
        <f t="shared" si="5"/>
        <v>C15</v>
      </c>
      <c r="BI24" t="str">
        <f t="shared" si="6"/>
        <v>B15</v>
      </c>
      <c r="BJ24" t="str">
        <f t="shared" si="7"/>
        <v>C16</v>
      </c>
      <c r="BK24" t="str">
        <f t="shared" si="8"/>
        <v>B16</v>
      </c>
      <c r="BL24" t="str">
        <f t="shared" si="9"/>
        <v>C17</v>
      </c>
      <c r="BM24" t="str">
        <f t="shared" si="10"/>
        <v>B17</v>
      </c>
      <c r="BN24" t="str">
        <f t="shared" si="11"/>
        <v>C18</v>
      </c>
      <c r="BO24" t="str">
        <f t="shared" si="12"/>
        <v>B18</v>
      </c>
      <c r="BP24" t="str">
        <f t="shared" si="13"/>
        <v>8A</v>
      </c>
      <c r="BQ24" t="str">
        <f t="shared" si="14"/>
        <v>8B</v>
      </c>
      <c r="BR24" t="str">
        <f t="shared" si="15"/>
        <v>9A</v>
      </c>
      <c r="BS24" t="str">
        <f t="shared" si="16"/>
        <v>9B</v>
      </c>
      <c r="BT24" t="str">
        <f t="shared" si="17"/>
        <v>DI5-C13</v>
      </c>
      <c r="BU24" t="str">
        <f t="shared" si="18"/>
        <v>DI5-B13</v>
      </c>
      <c r="BV24" t="str">
        <f t="shared" si="49"/>
        <v>DI5-C14</v>
      </c>
      <c r="BW24" t="str">
        <f t="shared" si="49"/>
        <v>DI5-B14</v>
      </c>
      <c r="BX24" t="str">
        <f t="shared" si="49"/>
        <v>DI5-C15</v>
      </c>
      <c r="BY24" t="str">
        <f t="shared" si="49"/>
        <v>DI5-B15</v>
      </c>
      <c r="BZ24" t="str">
        <f t="shared" si="49"/>
        <v>DI5-C16</v>
      </c>
      <c r="CA24" t="str">
        <f t="shared" si="49"/>
        <v>DI5-B16</v>
      </c>
      <c r="CB24" t="str">
        <f t="shared" si="49"/>
        <v>DI5-C17</v>
      </c>
      <c r="CC24" t="str">
        <f t="shared" si="49"/>
        <v>DI5-B17</v>
      </c>
      <c r="CD24" t="str">
        <f t="shared" si="49"/>
        <v>DI5-C18</v>
      </c>
      <c r="CE24" t="str">
        <f t="shared" si="49"/>
        <v>DI5-B18</v>
      </c>
      <c r="CF24" t="str">
        <f t="shared" si="20"/>
        <v>DO3-7A</v>
      </c>
      <c r="CG24" t="str">
        <f t="shared" si="21"/>
        <v>DO3-7B</v>
      </c>
      <c r="CH24" t="str">
        <f t="shared" si="22"/>
        <v>DO3-8A</v>
      </c>
      <c r="CI24" t="str">
        <f t="shared" si="23"/>
        <v>DO3-8B</v>
      </c>
      <c r="CJ24" t="str">
        <f t="shared" si="24"/>
        <v>DO3-9A</v>
      </c>
      <c r="CK24" t="str">
        <f t="shared" si="25"/>
        <v>DO3-9B</v>
      </c>
      <c r="CL24" t="str">
        <f t="shared" si="27"/>
        <v>K23-10</v>
      </c>
      <c r="CM24" t="str">
        <f t="shared" si="28"/>
        <v>K23-03</v>
      </c>
      <c r="CN24" t="str">
        <f t="shared" si="29"/>
        <v>K23-04</v>
      </c>
      <c r="CO24" t="str">
        <f t="shared" si="30"/>
        <v>K23-01</v>
      </c>
      <c r="CP24" t="str">
        <f t="shared" si="31"/>
        <v>K23-08</v>
      </c>
      <c r="CQ24" t="str">
        <f t="shared" si="32"/>
        <v>K23-02</v>
      </c>
      <c r="CR24" t="str">
        <f t="shared" si="33"/>
        <v>K23-09</v>
      </c>
      <c r="CS24" t="str">
        <f t="shared" si="34"/>
        <v>K23-05</v>
      </c>
      <c r="CT24" t="str">
        <f t="shared" si="35"/>
        <v>K23-11</v>
      </c>
      <c r="CU24" t="str">
        <f t="shared" si="36"/>
        <v>F0-M23-A9</v>
      </c>
      <c r="CV24" t="str">
        <f t="shared" si="37"/>
        <v>F0-M23-A7</v>
      </c>
      <c r="CW24" t="str">
        <f t="shared" si="38"/>
        <v>F0-M23-A8</v>
      </c>
      <c r="CX24" t="str">
        <f t="shared" si="39"/>
        <v>F0-M23-A6</v>
      </c>
      <c r="CY24" t="str">
        <f t="shared" si="40"/>
        <v>F0-M23-A30</v>
      </c>
      <c r="CZ24" t="str">
        <f t="shared" si="41"/>
        <v>F0-M23-N</v>
      </c>
      <c r="DA24" t="str">
        <f t="shared" si="26"/>
        <v>F0-A220-M23</v>
      </c>
      <c r="DB24" t="str">
        <f t="shared" si="42"/>
        <v>F0-M23-XM01</v>
      </c>
      <c r="DC24" t="str">
        <f t="shared" si="43"/>
        <v>F0-M23-A1</v>
      </c>
      <c r="DD24" t="str">
        <f t="shared" si="44"/>
        <v>F0-M23-A5</v>
      </c>
      <c r="DE24" t="str">
        <f t="shared" si="45"/>
        <v>F0-M23-A11</v>
      </c>
      <c r="DF24" t="str">
        <f t="shared" si="46"/>
        <v>F0-M23-A12</v>
      </c>
      <c r="DG24" t="str">
        <f t="shared" si="47"/>
        <v>F0-M23-A19</v>
      </c>
      <c r="DH24" t="str">
        <f t="shared" si="48"/>
        <v>F0-M23-A20</v>
      </c>
      <c r="DI24" t="s">
        <v>142</v>
      </c>
      <c r="DJ24" t="s">
        <v>143</v>
      </c>
      <c r="DK24">
        <v>11</v>
      </c>
      <c r="DL24">
        <v>14</v>
      </c>
      <c r="DM24">
        <v>12</v>
      </c>
      <c r="DN24" t="s">
        <v>144</v>
      </c>
      <c r="DO24" t="s">
        <v>145</v>
      </c>
      <c r="DP24">
        <v>1</v>
      </c>
      <c r="DQ24">
        <v>2</v>
      </c>
      <c r="DR24">
        <v>3</v>
      </c>
      <c r="DS24">
        <v>4</v>
      </c>
      <c r="DT24">
        <v>5</v>
      </c>
      <c r="DU24">
        <v>6</v>
      </c>
      <c r="DV24">
        <v>7</v>
      </c>
      <c r="DW24">
        <v>8</v>
      </c>
      <c r="DX24">
        <v>9</v>
      </c>
      <c r="DY24">
        <v>10</v>
      </c>
      <c r="DZ24">
        <v>11</v>
      </c>
      <c r="EA24">
        <v>12</v>
      </c>
      <c r="EB24">
        <v>13</v>
      </c>
      <c r="EC24">
        <v>14</v>
      </c>
      <c r="ED24">
        <v>1</v>
      </c>
      <c r="EE24">
        <v>3</v>
      </c>
      <c r="EF24">
        <v>4</v>
      </c>
      <c r="EG24">
        <v>7</v>
      </c>
      <c r="EH24">
        <v>8</v>
      </c>
      <c r="EI24">
        <v>9</v>
      </c>
      <c r="EJ24">
        <v>10</v>
      </c>
      <c r="EK24">
        <v>13</v>
      </c>
      <c r="EL24">
        <v>14</v>
      </c>
      <c r="EM24">
        <v>15</v>
      </c>
      <c r="EN24">
        <v>16</v>
      </c>
      <c r="EO24">
        <v>22</v>
      </c>
      <c r="EP24">
        <v>23</v>
      </c>
      <c r="EQ24" s="16">
        <v>24</v>
      </c>
    </row>
    <row r="25" spans="1:147" x14ac:dyDescent="0.25">
      <c r="A25" t="s">
        <v>215</v>
      </c>
      <c r="B25" t="s">
        <v>216</v>
      </c>
      <c r="C25" s="3" t="s">
        <v>127</v>
      </c>
      <c r="O25" s="2"/>
      <c r="P25" t="s">
        <v>129</v>
      </c>
      <c r="Q25" s="1"/>
      <c r="S25" s="1" t="s">
        <v>130</v>
      </c>
      <c r="T25" s="14" t="s">
        <v>554</v>
      </c>
      <c r="U25" s="15">
        <v>24</v>
      </c>
      <c r="V25" s="15" t="s">
        <v>332</v>
      </c>
      <c r="W25" s="15"/>
      <c r="AC25" t="s">
        <v>264</v>
      </c>
      <c r="AF25" t="s">
        <v>239</v>
      </c>
      <c r="AG25" t="s">
        <v>241</v>
      </c>
      <c r="AH25" t="s">
        <v>268</v>
      </c>
      <c r="AI25" s="73" cm="1">
        <f t="array" ref="AI25">IF(COUNTIFS(AH$2:AH25,AH25)=1,"1",VALUE(SUBSTITUTE(INDEX(AI:AI,_xlfn.XMATCH(AH25,AH$1:AH24,0,-1)),"A",""))+INDEX(AJ:AJ,_xlfn.XMATCH(AH25,AH$1:AH24,0,-1))+1)</f>
        <v>10</v>
      </c>
      <c r="AJ25" s="73" cm="1">
        <f t="array" ref="AJ25">SUM(IF(ISNUMBER(FIND("TmDo",$BE$1:$AAL$1)),IF(IFERROR(ISNUMBER(VALUE(SUBSTITUTE($BE25:$AAL25,"B",""))),FALSE),IF(ISNUMBER(VALUE(SUBSTITUTE($BE25:$AAL25,"B",""))),1,0),0)))</f>
        <v>2</v>
      </c>
      <c r="AK25" t="str">
        <f t="shared" si="0"/>
        <v>10A</v>
      </c>
      <c r="AL25" t="str">
        <f t="shared" si="1"/>
        <v>10B</v>
      </c>
      <c r="AM25" t="s">
        <v>217</v>
      </c>
      <c r="AP25" t="s">
        <v>137</v>
      </c>
      <c r="AQ25" t="s">
        <v>138</v>
      </c>
      <c r="AT25" t="s">
        <v>139</v>
      </c>
      <c r="AU25" t="s">
        <v>140</v>
      </c>
      <c r="BD25" s="16"/>
      <c r="BE25" t="str">
        <f t="shared" si="2"/>
        <v>XT24</v>
      </c>
      <c r="BF25" t="str">
        <f t="shared" si="3"/>
        <v>C20</v>
      </c>
      <c r="BG25" t="str">
        <f t="shared" si="4"/>
        <v>B20</v>
      </c>
      <c r="BH25" t="str">
        <f t="shared" si="5"/>
        <v>C21</v>
      </c>
      <c r="BI25" t="str">
        <f t="shared" si="6"/>
        <v>B21</v>
      </c>
      <c r="BJ25" t="str">
        <f t="shared" si="7"/>
        <v>C22</v>
      </c>
      <c r="BK25" t="str">
        <f t="shared" si="8"/>
        <v>B22</v>
      </c>
      <c r="BL25" t="str">
        <f t="shared" si="9"/>
        <v>C23</v>
      </c>
      <c r="BM25" t="str">
        <f t="shared" si="10"/>
        <v>B23</v>
      </c>
      <c r="BN25" t="str">
        <f t="shared" si="11"/>
        <v>C24</v>
      </c>
      <c r="BO25" t="str">
        <f t="shared" si="12"/>
        <v>B24</v>
      </c>
      <c r="BP25" t="str">
        <f t="shared" si="13"/>
        <v>11A</v>
      </c>
      <c r="BQ25" t="str">
        <f t="shared" si="14"/>
        <v>11B</v>
      </c>
      <c r="BR25" t="str">
        <f t="shared" si="15"/>
        <v>12A</v>
      </c>
      <c r="BS25" t="str">
        <f t="shared" si="16"/>
        <v>12B</v>
      </c>
      <c r="BT25" t="str">
        <f t="shared" si="17"/>
        <v>DI5-C19</v>
      </c>
      <c r="BU25" t="str">
        <f t="shared" si="18"/>
        <v>DI5-B19</v>
      </c>
      <c r="BV25" t="str">
        <f t="shared" si="49"/>
        <v>DI5-C20</v>
      </c>
      <c r="BW25" t="str">
        <f t="shared" si="49"/>
        <v>DI5-B20</v>
      </c>
      <c r="BX25" t="str">
        <f t="shared" si="49"/>
        <v>DI5-C21</v>
      </c>
      <c r="BY25" t="str">
        <f t="shared" si="49"/>
        <v>DI5-B21</v>
      </c>
      <c r="BZ25" t="str">
        <f t="shared" si="49"/>
        <v>DI5-C22</v>
      </c>
      <c r="CA25" t="str">
        <f t="shared" si="49"/>
        <v>DI5-B22</v>
      </c>
      <c r="CB25" t="str">
        <f t="shared" si="49"/>
        <v>DI5-C23</v>
      </c>
      <c r="CC25" t="str">
        <f t="shared" si="49"/>
        <v>DI5-B23</v>
      </c>
      <c r="CD25" t="str">
        <f t="shared" si="49"/>
        <v>DI5-C24</v>
      </c>
      <c r="CE25" t="str">
        <f t="shared" si="49"/>
        <v>DI5-B24</v>
      </c>
      <c r="CF25" t="str">
        <f t="shared" si="20"/>
        <v>DO3-10A</v>
      </c>
      <c r="CG25" t="str">
        <f t="shared" si="21"/>
        <v>DO3-10B</v>
      </c>
      <c r="CH25" t="str">
        <f t="shared" si="22"/>
        <v>DO3-11A</v>
      </c>
      <c r="CI25" t="str">
        <f t="shared" si="23"/>
        <v>DO3-11B</v>
      </c>
      <c r="CJ25" t="str">
        <f t="shared" si="24"/>
        <v>DO3-12A</v>
      </c>
      <c r="CK25" t="str">
        <f t="shared" si="25"/>
        <v>DO3-12B</v>
      </c>
      <c r="CL25" t="str">
        <f t="shared" si="27"/>
        <v>K24-10</v>
      </c>
      <c r="CM25" t="str">
        <f t="shared" si="28"/>
        <v>K24-03</v>
      </c>
      <c r="CN25" t="str">
        <f t="shared" si="29"/>
        <v>K24-04</v>
      </c>
      <c r="CO25" t="str">
        <f t="shared" si="30"/>
        <v>K24-01</v>
      </c>
      <c r="CP25" t="str">
        <f t="shared" si="31"/>
        <v>K24-08</v>
      </c>
      <c r="CQ25" t="str">
        <f t="shared" si="32"/>
        <v>K24-02</v>
      </c>
      <c r="CR25" t="str">
        <f t="shared" si="33"/>
        <v>K24-09</v>
      </c>
      <c r="CS25" t="str">
        <f t="shared" si="34"/>
        <v>K24-05</v>
      </c>
      <c r="CT25" t="str">
        <f t="shared" si="35"/>
        <v>K24-11</v>
      </c>
      <c r="CU25" t="str">
        <f t="shared" si="36"/>
        <v>F0-M24-A9</v>
      </c>
      <c r="CV25" t="str">
        <f t="shared" si="37"/>
        <v>F0-M24-A7</v>
      </c>
      <c r="CW25" t="str">
        <f t="shared" si="38"/>
        <v>F0-M24-A8</v>
      </c>
      <c r="CX25" t="str">
        <f t="shared" si="39"/>
        <v>F0-M24-A6</v>
      </c>
      <c r="CY25" t="str">
        <f t="shared" si="40"/>
        <v>F0-M24-A30</v>
      </c>
      <c r="CZ25" t="str">
        <f t="shared" si="41"/>
        <v>F0-M24-N</v>
      </c>
      <c r="DA25" t="str">
        <f t="shared" si="26"/>
        <v>F0-A220-M24</v>
      </c>
      <c r="DB25" t="str">
        <f t="shared" si="42"/>
        <v>F0-M24-XM01</v>
      </c>
      <c r="DC25" t="str">
        <f t="shared" si="43"/>
        <v>F0-M24-A1</v>
      </c>
      <c r="DD25" t="str">
        <f t="shared" si="44"/>
        <v>F0-M24-A5</v>
      </c>
      <c r="DE25" t="str">
        <f t="shared" si="45"/>
        <v>F0-M24-A11</v>
      </c>
      <c r="DF25" t="str">
        <f t="shared" si="46"/>
        <v>F0-M24-A12</v>
      </c>
      <c r="DG25" t="str">
        <f t="shared" si="47"/>
        <v>F0-M24-A19</v>
      </c>
      <c r="DH25" t="str">
        <f t="shared" si="48"/>
        <v>F0-M24-A20</v>
      </c>
      <c r="DI25" t="s">
        <v>142</v>
      </c>
      <c r="DJ25" t="s">
        <v>143</v>
      </c>
      <c r="DK25">
        <v>11</v>
      </c>
      <c r="DL25">
        <v>14</v>
      </c>
      <c r="DM25">
        <v>12</v>
      </c>
      <c r="DN25" t="s">
        <v>144</v>
      </c>
      <c r="DO25" t="s">
        <v>145</v>
      </c>
      <c r="DP25">
        <v>1</v>
      </c>
      <c r="DQ25">
        <v>2</v>
      </c>
      <c r="DR25">
        <v>3</v>
      </c>
      <c r="DS25">
        <v>4</v>
      </c>
      <c r="DT25">
        <v>5</v>
      </c>
      <c r="DU25">
        <v>6</v>
      </c>
      <c r="DV25">
        <v>7</v>
      </c>
      <c r="DW25">
        <v>8</v>
      </c>
      <c r="DX25">
        <v>9</v>
      </c>
      <c r="DY25">
        <v>10</v>
      </c>
      <c r="DZ25">
        <v>11</v>
      </c>
      <c r="EA25">
        <v>12</v>
      </c>
      <c r="EB25">
        <v>13</v>
      </c>
      <c r="EC25">
        <v>14</v>
      </c>
      <c r="ED25">
        <v>1</v>
      </c>
      <c r="EE25">
        <v>3</v>
      </c>
      <c r="EF25">
        <v>4</v>
      </c>
      <c r="EG25">
        <v>7</v>
      </c>
      <c r="EH25">
        <v>8</v>
      </c>
      <c r="EI25">
        <v>9</v>
      </c>
      <c r="EJ25">
        <v>10</v>
      </c>
      <c r="EK25">
        <v>13</v>
      </c>
      <c r="EL25">
        <v>14</v>
      </c>
      <c r="EM25">
        <v>15</v>
      </c>
      <c r="EN25">
        <v>16</v>
      </c>
      <c r="EO25">
        <v>22</v>
      </c>
      <c r="EP25">
        <v>23</v>
      </c>
      <c r="EQ25" s="16">
        <v>24</v>
      </c>
    </row>
    <row r="26" spans="1:147" x14ac:dyDescent="0.25">
      <c r="A26" t="s">
        <v>218</v>
      </c>
      <c r="B26" t="s">
        <v>219</v>
      </c>
      <c r="C26" s="3" t="s">
        <v>127</v>
      </c>
      <c r="O26" s="2"/>
      <c r="P26" t="s">
        <v>129</v>
      </c>
      <c r="Q26" s="1"/>
      <c r="S26" s="1" t="s">
        <v>130</v>
      </c>
      <c r="T26" s="14" t="s">
        <v>554</v>
      </c>
      <c r="U26" s="15">
        <v>25</v>
      </c>
      <c r="V26" s="15" t="s">
        <v>333</v>
      </c>
      <c r="W26" s="15"/>
      <c r="AC26" t="s">
        <v>264</v>
      </c>
      <c r="AF26" t="s">
        <v>240</v>
      </c>
      <c r="AG26" t="s">
        <v>242</v>
      </c>
      <c r="AH26" t="s">
        <v>268</v>
      </c>
      <c r="AI26" s="73" cm="1">
        <f t="array" ref="AI26">IF(COUNTIFS(AH$2:AH26,AH26)=1,"1",VALUE(SUBSTITUTE(INDEX(AI:AI,_xlfn.XMATCH(AH26,AH$1:AH25,0,-1)),"A",""))+INDEX(AJ:AJ,_xlfn.XMATCH(AH26,AH$1:AH25,0,-1))+1)</f>
        <v>13</v>
      </c>
      <c r="AJ26" s="73" cm="1">
        <f t="array" ref="AJ26">SUM(IF(ISNUMBER(FIND("TmDo",$BE$1:$AAL$1)),IF(IFERROR(ISNUMBER(VALUE(SUBSTITUTE($BE26:$AAL26,"B",""))),FALSE),IF(ISNUMBER(VALUE(SUBSTITUTE($BE26:$AAL26,"B",""))),1,0),0)))</f>
        <v>2</v>
      </c>
      <c r="AK26" t="str">
        <f t="shared" si="0"/>
        <v>13A</v>
      </c>
      <c r="AL26" t="str">
        <f t="shared" si="1"/>
        <v>13B</v>
      </c>
      <c r="AM26" t="s">
        <v>220</v>
      </c>
      <c r="AP26" t="s">
        <v>137</v>
      </c>
      <c r="AQ26" t="s">
        <v>138</v>
      </c>
      <c r="AT26" t="s">
        <v>139</v>
      </c>
      <c r="AU26" t="s">
        <v>140</v>
      </c>
      <c r="BD26" s="16"/>
      <c r="BE26" t="str">
        <f t="shared" si="2"/>
        <v>XT25</v>
      </c>
      <c r="BF26" t="str">
        <f t="shared" si="3"/>
        <v>C26</v>
      </c>
      <c r="BG26" t="str">
        <f t="shared" si="4"/>
        <v>B26</v>
      </c>
      <c r="BH26" t="str">
        <f t="shared" si="5"/>
        <v>C27</v>
      </c>
      <c r="BI26" t="str">
        <f t="shared" si="6"/>
        <v>B27</v>
      </c>
      <c r="BJ26" t="str">
        <f t="shared" si="7"/>
        <v>C28</v>
      </c>
      <c r="BK26" t="str">
        <f t="shared" si="8"/>
        <v>B28</v>
      </c>
      <c r="BL26" t="str">
        <f t="shared" si="9"/>
        <v>C29</v>
      </c>
      <c r="BM26" t="str">
        <f t="shared" si="10"/>
        <v>B29</v>
      </c>
      <c r="BN26" t="str">
        <f t="shared" si="11"/>
        <v>C30</v>
      </c>
      <c r="BO26" t="str">
        <f t="shared" si="12"/>
        <v>B30</v>
      </c>
      <c r="BP26" t="str">
        <f t="shared" si="13"/>
        <v>14A</v>
      </c>
      <c r="BQ26" t="str">
        <f t="shared" si="14"/>
        <v>14B</v>
      </c>
      <c r="BR26" t="str">
        <f t="shared" si="15"/>
        <v>15A</v>
      </c>
      <c r="BS26" t="str">
        <f t="shared" si="16"/>
        <v>15B</v>
      </c>
      <c r="BT26" t="str">
        <f t="shared" si="17"/>
        <v>DI5-C25</v>
      </c>
      <c r="BU26" t="str">
        <f t="shared" si="18"/>
        <v>DI5-B25</v>
      </c>
      <c r="BV26" t="str">
        <f t="shared" si="49"/>
        <v>DI5-C26</v>
      </c>
      <c r="BW26" t="str">
        <f t="shared" si="49"/>
        <v>DI5-B26</v>
      </c>
      <c r="BX26" t="str">
        <f t="shared" si="49"/>
        <v>DI5-C27</v>
      </c>
      <c r="BY26" t="str">
        <f t="shared" si="49"/>
        <v>DI5-B27</v>
      </c>
      <c r="BZ26" t="str">
        <f t="shared" si="49"/>
        <v>DI5-C28</v>
      </c>
      <c r="CA26" t="str">
        <f t="shared" si="49"/>
        <v>DI5-B28</v>
      </c>
      <c r="CB26" t="str">
        <f t="shared" si="49"/>
        <v>DI5-C29</v>
      </c>
      <c r="CC26" t="str">
        <f t="shared" si="49"/>
        <v>DI5-B29</v>
      </c>
      <c r="CD26" t="str">
        <f t="shared" si="49"/>
        <v>DI5-C30</v>
      </c>
      <c r="CE26" t="str">
        <f t="shared" si="49"/>
        <v>DI5-B30</v>
      </c>
      <c r="CF26" t="str">
        <f t="shared" si="20"/>
        <v>DO3-13A</v>
      </c>
      <c r="CG26" t="str">
        <f t="shared" si="21"/>
        <v>DO3-13B</v>
      </c>
      <c r="CH26" t="str">
        <f t="shared" si="22"/>
        <v>DO3-14A</v>
      </c>
      <c r="CI26" t="str">
        <f t="shared" si="23"/>
        <v>DO3-14B</v>
      </c>
      <c r="CJ26" t="str">
        <f t="shared" si="24"/>
        <v>DO3-15A</v>
      </c>
      <c r="CK26" t="str">
        <f t="shared" si="25"/>
        <v>DO3-15B</v>
      </c>
      <c r="CL26" t="str">
        <f t="shared" si="27"/>
        <v>K25-10</v>
      </c>
      <c r="CM26" t="str">
        <f t="shared" si="28"/>
        <v>K25-03</v>
      </c>
      <c r="CN26" t="str">
        <f t="shared" si="29"/>
        <v>K25-04</v>
      </c>
      <c r="CO26" t="str">
        <f t="shared" si="30"/>
        <v>K25-01</v>
      </c>
      <c r="CP26" t="str">
        <f t="shared" si="31"/>
        <v>K25-08</v>
      </c>
      <c r="CQ26" t="str">
        <f t="shared" si="32"/>
        <v>K25-02</v>
      </c>
      <c r="CR26" t="str">
        <f t="shared" si="33"/>
        <v>K25-09</v>
      </c>
      <c r="CS26" t="str">
        <f t="shared" si="34"/>
        <v>K25-05</v>
      </c>
      <c r="CT26" t="str">
        <f t="shared" si="35"/>
        <v>K25-11</v>
      </c>
      <c r="CU26" t="str">
        <f t="shared" si="36"/>
        <v>F0-M25-A9</v>
      </c>
      <c r="CV26" t="str">
        <f t="shared" si="37"/>
        <v>F0-M25-A7</v>
      </c>
      <c r="CW26" t="str">
        <f t="shared" si="38"/>
        <v>F0-M25-A8</v>
      </c>
      <c r="CX26" t="str">
        <f t="shared" si="39"/>
        <v>F0-M25-A6</v>
      </c>
      <c r="CY26" t="str">
        <f t="shared" si="40"/>
        <v>F0-M25-A30</v>
      </c>
      <c r="CZ26" t="str">
        <f t="shared" si="41"/>
        <v>F0-M25-N</v>
      </c>
      <c r="DA26" t="str">
        <f t="shared" si="26"/>
        <v>F0-A220-M25</v>
      </c>
      <c r="DB26" t="str">
        <f t="shared" si="42"/>
        <v>F0-M25-XM01</v>
      </c>
      <c r="DC26" t="str">
        <f t="shared" si="43"/>
        <v>F0-M25-A1</v>
      </c>
      <c r="DD26" t="str">
        <f t="shared" si="44"/>
        <v>F0-M25-A5</v>
      </c>
      <c r="DE26" t="str">
        <f t="shared" si="45"/>
        <v>F0-M25-A11</v>
      </c>
      <c r="DF26" t="str">
        <f t="shared" si="46"/>
        <v>F0-M25-A12</v>
      </c>
      <c r="DG26" t="str">
        <f t="shared" si="47"/>
        <v>F0-M25-A19</v>
      </c>
      <c r="DH26" t="str">
        <f t="shared" si="48"/>
        <v>F0-M25-A20</v>
      </c>
      <c r="DI26" t="s">
        <v>142</v>
      </c>
      <c r="DJ26" t="s">
        <v>143</v>
      </c>
      <c r="DK26">
        <v>11</v>
      </c>
      <c r="DL26">
        <v>14</v>
      </c>
      <c r="DM26">
        <v>12</v>
      </c>
      <c r="DN26" t="s">
        <v>144</v>
      </c>
      <c r="DO26" t="s">
        <v>145</v>
      </c>
      <c r="DP26">
        <v>1</v>
      </c>
      <c r="DQ26">
        <v>2</v>
      </c>
      <c r="DR26">
        <v>3</v>
      </c>
      <c r="DS26">
        <v>4</v>
      </c>
      <c r="DT26">
        <v>5</v>
      </c>
      <c r="DU26">
        <v>6</v>
      </c>
      <c r="DV26">
        <v>7</v>
      </c>
      <c r="DW26">
        <v>8</v>
      </c>
      <c r="DX26">
        <v>9</v>
      </c>
      <c r="DY26">
        <v>10</v>
      </c>
      <c r="DZ26">
        <v>11</v>
      </c>
      <c r="EA26">
        <v>12</v>
      </c>
      <c r="EB26">
        <v>13</v>
      </c>
      <c r="EC26">
        <v>14</v>
      </c>
      <c r="ED26">
        <v>1</v>
      </c>
      <c r="EE26">
        <v>3</v>
      </c>
      <c r="EF26">
        <v>4</v>
      </c>
      <c r="EG26">
        <v>7</v>
      </c>
      <c r="EH26">
        <v>8</v>
      </c>
      <c r="EI26">
        <v>9</v>
      </c>
      <c r="EJ26">
        <v>10</v>
      </c>
      <c r="EK26">
        <v>13</v>
      </c>
      <c r="EL26">
        <v>14</v>
      </c>
      <c r="EM26">
        <v>15</v>
      </c>
      <c r="EN26">
        <v>16</v>
      </c>
      <c r="EO26">
        <v>22</v>
      </c>
      <c r="EP26">
        <v>23</v>
      </c>
      <c r="EQ26" s="16">
        <v>24</v>
      </c>
    </row>
    <row r="27" spans="1:147" x14ac:dyDescent="0.25">
      <c r="A27" t="s">
        <v>221</v>
      </c>
      <c r="B27" t="s">
        <v>222</v>
      </c>
      <c r="C27" s="3" t="s">
        <v>127</v>
      </c>
      <c r="O27" s="2"/>
      <c r="P27" t="s">
        <v>129</v>
      </c>
      <c r="Q27" s="1"/>
      <c r="S27" s="1" t="s">
        <v>130</v>
      </c>
      <c r="T27" s="14" t="s">
        <v>554</v>
      </c>
      <c r="U27" s="15">
        <v>26</v>
      </c>
      <c r="V27" s="15" t="s">
        <v>334</v>
      </c>
      <c r="W27" s="15"/>
      <c r="AC27" t="s">
        <v>265</v>
      </c>
      <c r="AF27" t="s">
        <v>133</v>
      </c>
      <c r="AG27" t="s">
        <v>134</v>
      </c>
      <c r="AH27" t="s">
        <v>268</v>
      </c>
      <c r="AI27" s="73" cm="1">
        <f t="array" ref="AI27">IF(COUNTIFS(AH$2:AH27,AH27)=1,"1",VALUE(SUBSTITUTE(INDEX(AI:AI,_xlfn.XMATCH(AH27,AH$1:AH26,0,-1)),"A",""))+INDEX(AJ:AJ,_xlfn.XMATCH(AH27,AH$1:AH26,0,-1))+1)</f>
        <v>16</v>
      </c>
      <c r="AJ27" s="73" cm="1">
        <f t="array" ref="AJ27">SUM(IF(ISNUMBER(FIND("TmDo",$BE$1:$AAL$1)),IF(IFERROR(ISNUMBER(VALUE(SUBSTITUTE($BE27:$AAL27,"B",""))),FALSE),IF(ISNUMBER(VALUE(SUBSTITUTE($BE27:$AAL27,"B",""))),1,0),0)))</f>
        <v>2</v>
      </c>
      <c r="AK27" t="str">
        <f t="shared" si="0"/>
        <v>16A</v>
      </c>
      <c r="AL27" t="str">
        <f t="shared" si="1"/>
        <v>16B</v>
      </c>
      <c r="AM27" t="s">
        <v>223</v>
      </c>
      <c r="AP27" t="s">
        <v>137</v>
      </c>
      <c r="AQ27" t="s">
        <v>138</v>
      </c>
      <c r="AT27" t="s">
        <v>139</v>
      </c>
      <c r="AU27" t="s">
        <v>140</v>
      </c>
      <c r="BD27" s="16"/>
      <c r="BE27" t="str">
        <f t="shared" si="2"/>
        <v>XT26</v>
      </c>
      <c r="BF27" t="str">
        <f t="shared" si="3"/>
        <v>C2</v>
      </c>
      <c r="BG27" t="str">
        <f t="shared" si="4"/>
        <v>B2</v>
      </c>
      <c r="BH27" t="str">
        <f t="shared" si="5"/>
        <v>C3</v>
      </c>
      <c r="BI27" t="str">
        <f t="shared" si="6"/>
        <v>B3</v>
      </c>
      <c r="BJ27" t="str">
        <f t="shared" si="7"/>
        <v>C4</v>
      </c>
      <c r="BK27" t="str">
        <f t="shared" si="8"/>
        <v>B4</v>
      </c>
      <c r="BL27" t="str">
        <f t="shared" si="9"/>
        <v>C5</v>
      </c>
      <c r="BM27" t="str">
        <f t="shared" si="10"/>
        <v>B5</v>
      </c>
      <c r="BN27" t="str">
        <f t="shared" si="11"/>
        <v>C6</v>
      </c>
      <c r="BO27" t="str">
        <f t="shared" si="12"/>
        <v>B6</v>
      </c>
      <c r="BP27" t="str">
        <f t="shared" si="13"/>
        <v>17A</v>
      </c>
      <c r="BQ27" t="str">
        <f t="shared" si="14"/>
        <v>17B</v>
      </c>
      <c r="BR27" t="str">
        <f t="shared" si="15"/>
        <v>18A</v>
      </c>
      <c r="BS27" t="str">
        <f t="shared" si="16"/>
        <v>18B</v>
      </c>
      <c r="BT27" t="str">
        <f t="shared" si="17"/>
        <v>DI6-C1</v>
      </c>
      <c r="BU27" t="str">
        <f t="shared" si="18"/>
        <v>DI6-B1</v>
      </c>
      <c r="BV27" t="str">
        <f t="shared" si="49"/>
        <v>DI6-C2</v>
      </c>
      <c r="BW27" t="str">
        <f t="shared" si="49"/>
        <v>DI6-B2</v>
      </c>
      <c r="BX27" t="str">
        <f t="shared" si="49"/>
        <v>DI6-C3</v>
      </c>
      <c r="BY27" t="str">
        <f t="shared" si="49"/>
        <v>DI6-B3</v>
      </c>
      <c r="BZ27" t="str">
        <f t="shared" si="49"/>
        <v>DI6-C4</v>
      </c>
      <c r="CA27" t="str">
        <f t="shared" si="49"/>
        <v>DI6-B4</v>
      </c>
      <c r="CB27" t="str">
        <f t="shared" si="49"/>
        <v>DI6-C5</v>
      </c>
      <c r="CC27" t="str">
        <f t="shared" si="49"/>
        <v>DI6-B5</v>
      </c>
      <c r="CD27" t="str">
        <f t="shared" si="49"/>
        <v>DI6-C6</v>
      </c>
      <c r="CE27" t="str">
        <f t="shared" si="49"/>
        <v>DI6-B6</v>
      </c>
      <c r="CF27" t="str">
        <f t="shared" si="20"/>
        <v>DO3-16A</v>
      </c>
      <c r="CG27" t="str">
        <f t="shared" si="21"/>
        <v>DO3-16B</v>
      </c>
      <c r="CH27" t="str">
        <f t="shared" si="22"/>
        <v>DO3-17A</v>
      </c>
      <c r="CI27" t="str">
        <f t="shared" si="23"/>
        <v>DO3-17B</v>
      </c>
      <c r="CJ27" t="str">
        <f t="shared" si="24"/>
        <v>DO3-18A</v>
      </c>
      <c r="CK27" t="str">
        <f t="shared" si="25"/>
        <v>DO3-18B</v>
      </c>
      <c r="CL27" t="str">
        <f t="shared" si="27"/>
        <v>K26-10</v>
      </c>
      <c r="CM27" t="str">
        <f t="shared" si="28"/>
        <v>K26-03</v>
      </c>
      <c r="CN27" t="str">
        <f t="shared" si="29"/>
        <v>K26-04</v>
      </c>
      <c r="CO27" t="str">
        <f t="shared" si="30"/>
        <v>K26-01</v>
      </c>
      <c r="CP27" t="str">
        <f t="shared" si="31"/>
        <v>K26-08</v>
      </c>
      <c r="CQ27" t="str">
        <f t="shared" si="32"/>
        <v>K26-02</v>
      </c>
      <c r="CR27" t="str">
        <f t="shared" si="33"/>
        <v>K26-09</v>
      </c>
      <c r="CS27" t="str">
        <f t="shared" si="34"/>
        <v>K26-05</v>
      </c>
      <c r="CT27" t="str">
        <f t="shared" si="35"/>
        <v>K26-11</v>
      </c>
      <c r="CU27" t="str">
        <f t="shared" si="36"/>
        <v>F0-M26-A9</v>
      </c>
      <c r="CV27" t="str">
        <f t="shared" si="37"/>
        <v>F0-M26-A7</v>
      </c>
      <c r="CW27" t="str">
        <f t="shared" si="38"/>
        <v>F0-M26-A8</v>
      </c>
      <c r="CX27" t="str">
        <f t="shared" si="39"/>
        <v>F0-M26-A6</v>
      </c>
      <c r="CY27" t="str">
        <f t="shared" si="40"/>
        <v>F0-M26-A30</v>
      </c>
      <c r="CZ27" t="str">
        <f t="shared" si="41"/>
        <v>F0-M26-N</v>
      </c>
      <c r="DA27" t="str">
        <f t="shared" si="26"/>
        <v>F0-A220-M26</v>
      </c>
      <c r="DB27" t="str">
        <f t="shared" si="42"/>
        <v>F0-M26-XM01</v>
      </c>
      <c r="DC27" t="str">
        <f t="shared" si="43"/>
        <v>F0-M26-A1</v>
      </c>
      <c r="DD27" t="str">
        <f t="shared" si="44"/>
        <v>F0-M26-A5</v>
      </c>
      <c r="DE27" t="str">
        <f t="shared" si="45"/>
        <v>F0-M26-A11</v>
      </c>
      <c r="DF27" t="str">
        <f t="shared" si="46"/>
        <v>F0-M26-A12</v>
      </c>
      <c r="DG27" t="str">
        <f t="shared" si="47"/>
        <v>F0-M26-A19</v>
      </c>
      <c r="DH27" t="str">
        <f t="shared" si="48"/>
        <v>F0-M26-A20</v>
      </c>
      <c r="DI27" t="s">
        <v>142</v>
      </c>
      <c r="DJ27" t="s">
        <v>143</v>
      </c>
      <c r="DK27">
        <v>11</v>
      </c>
      <c r="DL27">
        <v>14</v>
      </c>
      <c r="DM27">
        <v>12</v>
      </c>
      <c r="DN27" t="s">
        <v>144</v>
      </c>
      <c r="DO27" t="s">
        <v>145</v>
      </c>
      <c r="DP27">
        <v>1</v>
      </c>
      <c r="DQ27">
        <v>2</v>
      </c>
      <c r="DR27">
        <v>3</v>
      </c>
      <c r="DS27">
        <v>4</v>
      </c>
      <c r="DT27">
        <v>5</v>
      </c>
      <c r="DU27">
        <v>6</v>
      </c>
      <c r="DV27">
        <v>7</v>
      </c>
      <c r="DW27">
        <v>8</v>
      </c>
      <c r="DX27">
        <v>9</v>
      </c>
      <c r="DY27">
        <v>10</v>
      </c>
      <c r="DZ27">
        <v>11</v>
      </c>
      <c r="EA27">
        <v>12</v>
      </c>
      <c r="EB27">
        <v>13</v>
      </c>
      <c r="EC27">
        <v>14</v>
      </c>
      <c r="ED27">
        <v>1</v>
      </c>
      <c r="EE27">
        <v>3</v>
      </c>
      <c r="EF27">
        <v>4</v>
      </c>
      <c r="EG27">
        <v>7</v>
      </c>
      <c r="EH27">
        <v>8</v>
      </c>
      <c r="EI27">
        <v>9</v>
      </c>
      <c r="EJ27">
        <v>10</v>
      </c>
      <c r="EK27">
        <v>13</v>
      </c>
      <c r="EL27">
        <v>14</v>
      </c>
      <c r="EM27">
        <v>15</v>
      </c>
      <c r="EN27">
        <v>16</v>
      </c>
      <c r="EO27">
        <v>22</v>
      </c>
      <c r="EP27">
        <v>23</v>
      </c>
      <c r="EQ27" s="16">
        <v>24</v>
      </c>
    </row>
    <row r="28" spans="1:147" x14ac:dyDescent="0.25">
      <c r="A28" t="s">
        <v>224</v>
      </c>
      <c r="B28" t="s">
        <v>225</v>
      </c>
      <c r="C28" s="3" t="s">
        <v>127</v>
      </c>
      <c r="O28" s="2"/>
      <c r="P28" t="s">
        <v>129</v>
      </c>
      <c r="Q28" s="1"/>
      <c r="S28" s="1" t="s">
        <v>130</v>
      </c>
      <c r="T28" s="14" t="s">
        <v>554</v>
      </c>
      <c r="U28" s="15">
        <v>27</v>
      </c>
      <c r="V28" s="15" t="s">
        <v>335</v>
      </c>
      <c r="W28" s="15"/>
      <c r="AC28" t="s">
        <v>265</v>
      </c>
      <c r="AF28" t="s">
        <v>148</v>
      </c>
      <c r="AG28" t="s">
        <v>149</v>
      </c>
      <c r="AH28" t="s">
        <v>268</v>
      </c>
      <c r="AI28" s="73" cm="1">
        <f t="array" ref="AI28">IF(COUNTIFS(AH$2:AH28,AH28)=1,"1",VALUE(SUBSTITUTE(INDEX(AI:AI,_xlfn.XMATCH(AH28,AH$1:AH27,0,-1)),"A",""))+INDEX(AJ:AJ,_xlfn.XMATCH(AH28,AH$1:AH27,0,-1))+1)</f>
        <v>19</v>
      </c>
      <c r="AJ28" s="73" cm="1">
        <f t="array" ref="AJ28">SUM(IF(ISNUMBER(FIND("TmDo",$BE$1:$AAL$1)),IF(IFERROR(ISNUMBER(VALUE(SUBSTITUTE($BE28:$AAL28,"B",""))),FALSE),IF(ISNUMBER(VALUE(SUBSTITUTE($BE28:$AAL28,"B",""))),1,0),0)))</f>
        <v>2</v>
      </c>
      <c r="AK28" t="str">
        <f t="shared" si="0"/>
        <v>19A</v>
      </c>
      <c r="AL28" t="str">
        <f t="shared" si="1"/>
        <v>19B</v>
      </c>
      <c r="AM28" t="s">
        <v>226</v>
      </c>
      <c r="AP28" t="s">
        <v>137</v>
      </c>
      <c r="AQ28" t="s">
        <v>138</v>
      </c>
      <c r="AT28" t="s">
        <v>139</v>
      </c>
      <c r="AU28" t="s">
        <v>140</v>
      </c>
      <c r="BD28" s="16"/>
      <c r="BE28" t="str">
        <f t="shared" si="2"/>
        <v>XT27</v>
      </c>
      <c r="BF28" t="str">
        <f t="shared" si="3"/>
        <v>C8</v>
      </c>
      <c r="BG28" t="str">
        <f t="shared" si="4"/>
        <v>B8</v>
      </c>
      <c r="BH28" t="str">
        <f t="shared" si="5"/>
        <v>C9</v>
      </c>
      <c r="BI28" t="str">
        <f t="shared" si="6"/>
        <v>B9</v>
      </c>
      <c r="BJ28" t="str">
        <f t="shared" si="7"/>
        <v>C10</v>
      </c>
      <c r="BK28" t="str">
        <f t="shared" si="8"/>
        <v>B10</v>
      </c>
      <c r="BL28" t="str">
        <f t="shared" si="9"/>
        <v>C11</v>
      </c>
      <c r="BM28" t="str">
        <f t="shared" si="10"/>
        <v>B11</v>
      </c>
      <c r="BN28" t="str">
        <f t="shared" si="11"/>
        <v>C12</v>
      </c>
      <c r="BO28" t="str">
        <f t="shared" si="12"/>
        <v>B12</v>
      </c>
      <c r="BP28" t="str">
        <f t="shared" si="13"/>
        <v>20A</v>
      </c>
      <c r="BQ28" t="str">
        <f t="shared" si="14"/>
        <v>20B</v>
      </c>
      <c r="BR28" t="str">
        <f t="shared" si="15"/>
        <v>21A</v>
      </c>
      <c r="BS28" t="str">
        <f t="shared" si="16"/>
        <v>21B</v>
      </c>
      <c r="BT28" t="str">
        <f t="shared" si="17"/>
        <v>DI6-C7</v>
      </c>
      <c r="BU28" t="str">
        <f t="shared" si="18"/>
        <v>DI6-B7</v>
      </c>
      <c r="BV28" t="str">
        <f t="shared" si="49"/>
        <v>DI6-C8</v>
      </c>
      <c r="BW28" t="str">
        <f t="shared" si="49"/>
        <v>DI6-B8</v>
      </c>
      <c r="BX28" t="str">
        <f t="shared" si="49"/>
        <v>DI6-C9</v>
      </c>
      <c r="BY28" t="str">
        <f t="shared" si="49"/>
        <v>DI6-B9</v>
      </c>
      <c r="BZ28" t="str">
        <f t="shared" si="49"/>
        <v>DI6-C10</v>
      </c>
      <c r="CA28" t="str">
        <f t="shared" si="49"/>
        <v>DI6-B10</v>
      </c>
      <c r="CB28" t="str">
        <f t="shared" si="49"/>
        <v>DI6-C11</v>
      </c>
      <c r="CC28" t="str">
        <f t="shared" si="49"/>
        <v>DI6-B11</v>
      </c>
      <c r="CD28" t="str">
        <f t="shared" si="49"/>
        <v>DI6-C12</v>
      </c>
      <c r="CE28" t="str">
        <f t="shared" si="49"/>
        <v>DI6-B12</v>
      </c>
      <c r="CF28" t="str">
        <f t="shared" si="20"/>
        <v>DO3-19A</v>
      </c>
      <c r="CG28" t="str">
        <f t="shared" si="21"/>
        <v>DO3-19B</v>
      </c>
      <c r="CH28" t="str">
        <f t="shared" si="22"/>
        <v>DO3-20A</v>
      </c>
      <c r="CI28" t="str">
        <f t="shared" si="23"/>
        <v>DO3-20B</v>
      </c>
      <c r="CJ28" t="str">
        <f t="shared" si="24"/>
        <v>DO3-21A</v>
      </c>
      <c r="CK28" t="str">
        <f t="shared" si="25"/>
        <v>DO3-21B</v>
      </c>
      <c r="CL28" t="str">
        <f t="shared" si="27"/>
        <v>K27-10</v>
      </c>
      <c r="CM28" t="str">
        <f t="shared" si="28"/>
        <v>K27-03</v>
      </c>
      <c r="CN28" t="str">
        <f t="shared" si="29"/>
        <v>K27-04</v>
      </c>
      <c r="CO28" t="str">
        <f t="shared" si="30"/>
        <v>K27-01</v>
      </c>
      <c r="CP28" t="str">
        <f t="shared" si="31"/>
        <v>K27-08</v>
      </c>
      <c r="CQ28" t="str">
        <f t="shared" si="32"/>
        <v>K27-02</v>
      </c>
      <c r="CR28" t="str">
        <f t="shared" si="33"/>
        <v>K27-09</v>
      </c>
      <c r="CS28" t="str">
        <f t="shared" si="34"/>
        <v>K27-05</v>
      </c>
      <c r="CT28" t="str">
        <f t="shared" si="35"/>
        <v>K27-11</v>
      </c>
      <c r="CU28" t="str">
        <f t="shared" si="36"/>
        <v>F0-M27-A9</v>
      </c>
      <c r="CV28" t="str">
        <f t="shared" si="37"/>
        <v>F0-M27-A7</v>
      </c>
      <c r="CW28" t="str">
        <f t="shared" si="38"/>
        <v>F0-M27-A8</v>
      </c>
      <c r="CX28" t="str">
        <f t="shared" si="39"/>
        <v>F0-M27-A6</v>
      </c>
      <c r="CY28" t="str">
        <f t="shared" si="40"/>
        <v>F0-M27-A30</v>
      </c>
      <c r="CZ28" t="str">
        <f t="shared" si="41"/>
        <v>F0-M27-N</v>
      </c>
      <c r="DA28" t="str">
        <f t="shared" si="26"/>
        <v>F0-A220-M27</v>
      </c>
      <c r="DB28" t="str">
        <f t="shared" si="42"/>
        <v>F0-M27-XM01</v>
      </c>
      <c r="DC28" t="str">
        <f t="shared" si="43"/>
        <v>F0-M27-A1</v>
      </c>
      <c r="DD28" t="str">
        <f t="shared" si="44"/>
        <v>F0-M27-A5</v>
      </c>
      <c r="DE28" t="str">
        <f t="shared" si="45"/>
        <v>F0-M27-A11</v>
      </c>
      <c r="DF28" t="str">
        <f t="shared" si="46"/>
        <v>F0-M27-A12</v>
      </c>
      <c r="DG28" t="str">
        <f t="shared" si="47"/>
        <v>F0-M27-A19</v>
      </c>
      <c r="DH28" t="str">
        <f t="shared" si="48"/>
        <v>F0-M27-A20</v>
      </c>
      <c r="DI28" t="s">
        <v>142</v>
      </c>
      <c r="DJ28" t="s">
        <v>143</v>
      </c>
      <c r="DK28">
        <v>11</v>
      </c>
      <c r="DL28">
        <v>14</v>
      </c>
      <c r="DM28">
        <v>12</v>
      </c>
      <c r="DN28" t="s">
        <v>144</v>
      </c>
      <c r="DO28" t="s">
        <v>145</v>
      </c>
      <c r="DP28">
        <v>1</v>
      </c>
      <c r="DQ28">
        <v>2</v>
      </c>
      <c r="DR28">
        <v>3</v>
      </c>
      <c r="DS28">
        <v>4</v>
      </c>
      <c r="DT28">
        <v>5</v>
      </c>
      <c r="DU28">
        <v>6</v>
      </c>
      <c r="DV28">
        <v>7</v>
      </c>
      <c r="DW28">
        <v>8</v>
      </c>
      <c r="DX28">
        <v>9</v>
      </c>
      <c r="DY28">
        <v>10</v>
      </c>
      <c r="DZ28">
        <v>11</v>
      </c>
      <c r="EA28">
        <v>12</v>
      </c>
      <c r="EB28">
        <v>13</v>
      </c>
      <c r="EC28">
        <v>14</v>
      </c>
      <c r="ED28">
        <v>1</v>
      </c>
      <c r="EE28">
        <v>3</v>
      </c>
      <c r="EF28">
        <v>4</v>
      </c>
      <c r="EG28">
        <v>7</v>
      </c>
      <c r="EH28">
        <v>8</v>
      </c>
      <c r="EI28">
        <v>9</v>
      </c>
      <c r="EJ28">
        <v>10</v>
      </c>
      <c r="EK28">
        <v>13</v>
      </c>
      <c r="EL28">
        <v>14</v>
      </c>
      <c r="EM28">
        <v>15</v>
      </c>
      <c r="EN28">
        <v>16</v>
      </c>
      <c r="EO28">
        <v>22</v>
      </c>
      <c r="EP28">
        <v>23</v>
      </c>
      <c r="EQ28" s="16">
        <v>24</v>
      </c>
    </row>
    <row r="29" spans="1:147" x14ac:dyDescent="0.25">
      <c r="A29" t="s">
        <v>227</v>
      </c>
      <c r="B29" t="s">
        <v>228</v>
      </c>
      <c r="C29" s="3" t="s">
        <v>127</v>
      </c>
      <c r="O29" s="2"/>
      <c r="P29" t="s">
        <v>129</v>
      </c>
      <c r="Q29" s="1"/>
      <c r="S29" s="1" t="s">
        <v>130</v>
      </c>
      <c r="T29" s="14" t="s">
        <v>554</v>
      </c>
      <c r="U29" s="15">
        <v>28</v>
      </c>
      <c r="V29" s="15" t="s">
        <v>336</v>
      </c>
      <c r="W29" s="15"/>
      <c r="AC29" t="s">
        <v>265</v>
      </c>
      <c r="AF29" t="s">
        <v>153</v>
      </c>
      <c r="AG29" t="s">
        <v>154</v>
      </c>
      <c r="AH29" t="s">
        <v>268</v>
      </c>
      <c r="AI29" s="73" cm="1">
        <f t="array" ref="AI29">IF(COUNTIFS(AH$2:AH29,AH29)=1,"1",VALUE(SUBSTITUTE(INDEX(AI:AI,_xlfn.XMATCH(AH29,AH$1:AH28,0,-1)),"A",""))+INDEX(AJ:AJ,_xlfn.XMATCH(AH29,AH$1:AH28,0,-1))+1)</f>
        <v>22</v>
      </c>
      <c r="AJ29" s="73" cm="1">
        <f t="array" ref="AJ29">SUM(IF(ISNUMBER(FIND("TmDo",$BE$1:$AAL$1)),IF(IFERROR(ISNUMBER(VALUE(SUBSTITUTE($BE29:$AAL29,"B",""))),FALSE),IF(ISNUMBER(VALUE(SUBSTITUTE($BE29:$AAL29,"B",""))),1,0),0)))</f>
        <v>2</v>
      </c>
      <c r="AK29" t="str">
        <f t="shared" si="0"/>
        <v>22A</v>
      </c>
      <c r="AL29" t="str">
        <f t="shared" si="1"/>
        <v>22B</v>
      </c>
      <c r="AM29" t="s">
        <v>229</v>
      </c>
      <c r="AP29" t="s">
        <v>137</v>
      </c>
      <c r="AQ29" t="s">
        <v>138</v>
      </c>
      <c r="AT29" t="s">
        <v>139</v>
      </c>
      <c r="AU29" t="s">
        <v>140</v>
      </c>
      <c r="BD29" s="16"/>
      <c r="BE29" t="str">
        <f t="shared" si="2"/>
        <v>XT28</v>
      </c>
      <c r="BF29" t="str">
        <f t="shared" si="3"/>
        <v>C14</v>
      </c>
      <c r="BG29" t="str">
        <f t="shared" si="4"/>
        <v>B14</v>
      </c>
      <c r="BH29" t="str">
        <f t="shared" si="5"/>
        <v>C15</v>
      </c>
      <c r="BI29" t="str">
        <f t="shared" si="6"/>
        <v>B15</v>
      </c>
      <c r="BJ29" t="str">
        <f t="shared" si="7"/>
        <v>C16</v>
      </c>
      <c r="BK29" t="str">
        <f t="shared" si="8"/>
        <v>B16</v>
      </c>
      <c r="BL29" t="str">
        <f t="shared" si="9"/>
        <v>C17</v>
      </c>
      <c r="BM29" t="str">
        <f t="shared" si="10"/>
        <v>B17</v>
      </c>
      <c r="BN29" t="str">
        <f t="shared" si="11"/>
        <v>C18</v>
      </c>
      <c r="BO29" t="str">
        <f t="shared" si="12"/>
        <v>B18</v>
      </c>
      <c r="BP29" t="str">
        <f t="shared" si="13"/>
        <v>23A</v>
      </c>
      <c r="BQ29" t="str">
        <f t="shared" si="14"/>
        <v>23B</v>
      </c>
      <c r="BR29" t="str">
        <f t="shared" si="15"/>
        <v>24A</v>
      </c>
      <c r="BS29" t="str">
        <f t="shared" si="16"/>
        <v>24B</v>
      </c>
      <c r="BT29" t="str">
        <f t="shared" si="17"/>
        <v>DI6-C13</v>
      </c>
      <c r="BU29" t="str">
        <f t="shared" si="18"/>
        <v>DI6-B13</v>
      </c>
      <c r="BV29" t="str">
        <f t="shared" si="49"/>
        <v>DI6-C14</v>
      </c>
      <c r="BW29" t="str">
        <f t="shared" si="49"/>
        <v>DI6-B14</v>
      </c>
      <c r="BX29" t="str">
        <f t="shared" si="49"/>
        <v>DI6-C15</v>
      </c>
      <c r="BY29" t="str">
        <f t="shared" si="49"/>
        <v>DI6-B15</v>
      </c>
      <c r="BZ29" t="str">
        <f t="shared" si="49"/>
        <v>DI6-C16</v>
      </c>
      <c r="CA29" t="str">
        <f t="shared" si="49"/>
        <v>DI6-B16</v>
      </c>
      <c r="CB29" t="str">
        <f t="shared" si="49"/>
        <v>DI6-C17</v>
      </c>
      <c r="CC29" t="str">
        <f t="shared" si="49"/>
        <v>DI6-B17</v>
      </c>
      <c r="CD29" t="str">
        <f t="shared" si="49"/>
        <v>DI6-C18</v>
      </c>
      <c r="CE29" t="str">
        <f t="shared" si="49"/>
        <v>DI6-B18</v>
      </c>
      <c r="CF29" t="str">
        <f t="shared" si="20"/>
        <v>DO3-22A</v>
      </c>
      <c r="CG29" t="str">
        <f t="shared" si="21"/>
        <v>DO3-22B</v>
      </c>
      <c r="CH29" t="str">
        <f t="shared" si="22"/>
        <v>DO3-23A</v>
      </c>
      <c r="CI29" t="str">
        <f t="shared" si="23"/>
        <v>DO3-23B</v>
      </c>
      <c r="CJ29" t="str">
        <f t="shared" si="24"/>
        <v>DO3-24A</v>
      </c>
      <c r="CK29" t="str">
        <f t="shared" si="25"/>
        <v>DO3-24B</v>
      </c>
      <c r="CL29" t="str">
        <f t="shared" si="27"/>
        <v>K28-10</v>
      </c>
      <c r="CM29" t="str">
        <f t="shared" si="28"/>
        <v>K28-03</v>
      </c>
      <c r="CN29" t="str">
        <f t="shared" si="29"/>
        <v>K28-04</v>
      </c>
      <c r="CO29" t="str">
        <f t="shared" si="30"/>
        <v>K28-01</v>
      </c>
      <c r="CP29" t="str">
        <f t="shared" si="31"/>
        <v>K28-08</v>
      </c>
      <c r="CQ29" t="str">
        <f t="shared" si="32"/>
        <v>K28-02</v>
      </c>
      <c r="CR29" t="str">
        <f t="shared" si="33"/>
        <v>K28-09</v>
      </c>
      <c r="CS29" t="str">
        <f t="shared" si="34"/>
        <v>K28-05</v>
      </c>
      <c r="CT29" t="str">
        <f t="shared" si="35"/>
        <v>K28-11</v>
      </c>
      <c r="CU29" t="str">
        <f t="shared" si="36"/>
        <v>F0-M28-A9</v>
      </c>
      <c r="CV29" t="str">
        <f t="shared" si="37"/>
        <v>F0-M28-A7</v>
      </c>
      <c r="CW29" t="str">
        <f t="shared" si="38"/>
        <v>F0-M28-A8</v>
      </c>
      <c r="CX29" t="str">
        <f t="shared" si="39"/>
        <v>F0-M28-A6</v>
      </c>
      <c r="CY29" t="str">
        <f t="shared" si="40"/>
        <v>F0-M28-A30</v>
      </c>
      <c r="CZ29" t="str">
        <f t="shared" si="41"/>
        <v>F0-M28-N</v>
      </c>
      <c r="DA29" t="str">
        <f t="shared" si="26"/>
        <v>F0-A220-M28</v>
      </c>
      <c r="DB29" t="str">
        <f t="shared" si="42"/>
        <v>F0-M28-XM01</v>
      </c>
      <c r="DC29" t="str">
        <f t="shared" si="43"/>
        <v>F0-M28-A1</v>
      </c>
      <c r="DD29" t="str">
        <f t="shared" si="44"/>
        <v>F0-M28-A5</v>
      </c>
      <c r="DE29" t="str">
        <f t="shared" si="45"/>
        <v>F0-M28-A11</v>
      </c>
      <c r="DF29" t="str">
        <f t="shared" si="46"/>
        <v>F0-M28-A12</v>
      </c>
      <c r="DG29" t="str">
        <f t="shared" si="47"/>
        <v>F0-M28-A19</v>
      </c>
      <c r="DH29" t="str">
        <f t="shared" si="48"/>
        <v>F0-M28-A20</v>
      </c>
      <c r="DI29" t="s">
        <v>142</v>
      </c>
      <c r="DJ29" t="s">
        <v>143</v>
      </c>
      <c r="DK29">
        <v>11</v>
      </c>
      <c r="DL29">
        <v>14</v>
      </c>
      <c r="DM29">
        <v>12</v>
      </c>
      <c r="DN29" t="s">
        <v>144</v>
      </c>
      <c r="DO29" t="s">
        <v>145</v>
      </c>
      <c r="DP29">
        <v>1</v>
      </c>
      <c r="DQ29">
        <v>2</v>
      </c>
      <c r="DR29">
        <v>3</v>
      </c>
      <c r="DS29">
        <v>4</v>
      </c>
      <c r="DT29">
        <v>5</v>
      </c>
      <c r="DU29">
        <v>6</v>
      </c>
      <c r="DV29">
        <v>7</v>
      </c>
      <c r="DW29">
        <v>8</v>
      </c>
      <c r="DX29">
        <v>9</v>
      </c>
      <c r="DY29">
        <v>10</v>
      </c>
      <c r="DZ29">
        <v>11</v>
      </c>
      <c r="EA29">
        <v>12</v>
      </c>
      <c r="EB29">
        <v>13</v>
      </c>
      <c r="EC29">
        <v>14</v>
      </c>
      <c r="ED29">
        <v>1</v>
      </c>
      <c r="EE29">
        <v>3</v>
      </c>
      <c r="EF29">
        <v>4</v>
      </c>
      <c r="EG29">
        <v>7</v>
      </c>
      <c r="EH29">
        <v>8</v>
      </c>
      <c r="EI29">
        <v>9</v>
      </c>
      <c r="EJ29">
        <v>10</v>
      </c>
      <c r="EK29">
        <v>13</v>
      </c>
      <c r="EL29">
        <v>14</v>
      </c>
      <c r="EM29">
        <v>15</v>
      </c>
      <c r="EN29">
        <v>16</v>
      </c>
      <c r="EO29">
        <v>22</v>
      </c>
      <c r="EP29">
        <v>23</v>
      </c>
      <c r="EQ29" s="16">
        <v>24</v>
      </c>
    </row>
    <row r="30" spans="1:147" x14ac:dyDescent="0.25">
      <c r="A30" t="s">
        <v>230</v>
      </c>
      <c r="B30" t="s">
        <v>231</v>
      </c>
      <c r="C30" s="3" t="s">
        <v>127</v>
      </c>
      <c r="O30" s="2"/>
      <c r="P30" t="s">
        <v>129</v>
      </c>
      <c r="Q30" s="1"/>
      <c r="S30" s="1" t="s">
        <v>130</v>
      </c>
      <c r="T30" s="14" t="s">
        <v>554</v>
      </c>
      <c r="U30" s="15">
        <v>29</v>
      </c>
      <c r="V30" s="15" t="s">
        <v>337</v>
      </c>
      <c r="W30" s="15"/>
      <c r="AC30" t="s">
        <v>265</v>
      </c>
      <c r="AF30" t="s">
        <v>239</v>
      </c>
      <c r="AG30" t="s">
        <v>241</v>
      </c>
      <c r="AH30" t="s">
        <v>268</v>
      </c>
      <c r="AI30" s="73" cm="1">
        <f t="array" ref="AI30">IF(COUNTIFS(AH$2:AH30,AH30)=1,"1",VALUE(SUBSTITUTE(INDEX(AI:AI,_xlfn.XMATCH(AH30,AH$1:AH29,0,-1)),"A",""))+INDEX(AJ:AJ,_xlfn.XMATCH(AH30,AH$1:AH29,0,-1))+1)</f>
        <v>25</v>
      </c>
      <c r="AJ30" s="73" cm="1">
        <f t="array" ref="AJ30">SUM(IF(ISNUMBER(FIND("TmDo",$BE$1:$AAL$1)),IF(IFERROR(ISNUMBER(VALUE(SUBSTITUTE($BE30:$AAL30,"B",""))),FALSE),IF(ISNUMBER(VALUE(SUBSTITUTE($BE30:$AAL30,"B",""))),1,0),0)))</f>
        <v>2</v>
      </c>
      <c r="AK30" t="str">
        <f t="shared" si="0"/>
        <v>25A</v>
      </c>
      <c r="AL30" t="str">
        <f t="shared" si="1"/>
        <v>25B</v>
      </c>
      <c r="AM30" t="s">
        <v>232</v>
      </c>
      <c r="AP30" t="s">
        <v>137</v>
      </c>
      <c r="AQ30" t="s">
        <v>138</v>
      </c>
      <c r="AT30" t="s">
        <v>139</v>
      </c>
      <c r="AU30" t="s">
        <v>140</v>
      </c>
      <c r="BD30" s="16"/>
      <c r="BE30" t="str">
        <f t="shared" si="2"/>
        <v>XT29</v>
      </c>
      <c r="BF30" t="str">
        <f t="shared" si="3"/>
        <v>C20</v>
      </c>
      <c r="BG30" t="str">
        <f t="shared" si="4"/>
        <v>B20</v>
      </c>
      <c r="BH30" t="str">
        <f t="shared" si="5"/>
        <v>C21</v>
      </c>
      <c r="BI30" t="str">
        <f t="shared" si="6"/>
        <v>B21</v>
      </c>
      <c r="BJ30" t="str">
        <f t="shared" si="7"/>
        <v>C22</v>
      </c>
      <c r="BK30" t="str">
        <f t="shared" si="8"/>
        <v>B22</v>
      </c>
      <c r="BL30" t="str">
        <f t="shared" si="9"/>
        <v>C23</v>
      </c>
      <c r="BM30" t="str">
        <f t="shared" si="10"/>
        <v>B23</v>
      </c>
      <c r="BN30" t="str">
        <f t="shared" si="11"/>
        <v>C24</v>
      </c>
      <c r="BO30" t="str">
        <f t="shared" si="12"/>
        <v>B24</v>
      </c>
      <c r="BP30" t="str">
        <f t="shared" si="13"/>
        <v>26A</v>
      </c>
      <c r="BQ30" t="str">
        <f t="shared" si="14"/>
        <v>26B</v>
      </c>
      <c r="BR30" t="str">
        <f t="shared" si="15"/>
        <v>27A</v>
      </c>
      <c r="BS30" t="str">
        <f t="shared" si="16"/>
        <v>27B</v>
      </c>
      <c r="BT30" t="str">
        <f t="shared" si="17"/>
        <v>DI6-C19</v>
      </c>
      <c r="BU30" t="str">
        <f t="shared" si="18"/>
        <v>DI6-B19</v>
      </c>
      <c r="BV30" t="str">
        <f t="shared" si="49"/>
        <v>DI6-C20</v>
      </c>
      <c r="BW30" t="str">
        <f t="shared" si="49"/>
        <v>DI6-B20</v>
      </c>
      <c r="BX30" t="str">
        <f t="shared" si="49"/>
        <v>DI6-C21</v>
      </c>
      <c r="BY30" t="str">
        <f t="shared" si="49"/>
        <v>DI6-B21</v>
      </c>
      <c r="BZ30" t="str">
        <f t="shared" si="49"/>
        <v>DI6-C22</v>
      </c>
      <c r="CA30" t="str">
        <f t="shared" si="49"/>
        <v>DI6-B22</v>
      </c>
      <c r="CB30" t="str">
        <f t="shared" si="49"/>
        <v>DI6-C23</v>
      </c>
      <c r="CC30" t="str">
        <f t="shared" si="49"/>
        <v>DI6-B23</v>
      </c>
      <c r="CD30" t="str">
        <f t="shared" si="49"/>
        <v>DI6-C24</v>
      </c>
      <c r="CE30" t="str">
        <f t="shared" si="49"/>
        <v>DI6-B24</v>
      </c>
      <c r="CF30" t="str">
        <f t="shared" si="20"/>
        <v>DO3-25A</v>
      </c>
      <c r="CG30" t="str">
        <f t="shared" si="21"/>
        <v>DO3-25B</v>
      </c>
      <c r="CH30" t="str">
        <f t="shared" si="22"/>
        <v>DO3-26A</v>
      </c>
      <c r="CI30" t="str">
        <f t="shared" si="23"/>
        <v>DO3-26B</v>
      </c>
      <c r="CJ30" t="str">
        <f t="shared" si="24"/>
        <v>DO3-27A</v>
      </c>
      <c r="CK30" t="str">
        <f t="shared" si="25"/>
        <v>DO3-27B</v>
      </c>
      <c r="CL30" t="str">
        <f t="shared" si="27"/>
        <v>K29-10</v>
      </c>
      <c r="CM30" t="str">
        <f t="shared" si="28"/>
        <v>K29-03</v>
      </c>
      <c r="CN30" t="str">
        <f t="shared" si="29"/>
        <v>K29-04</v>
      </c>
      <c r="CO30" t="str">
        <f t="shared" si="30"/>
        <v>K29-01</v>
      </c>
      <c r="CP30" t="str">
        <f t="shared" si="31"/>
        <v>K29-08</v>
      </c>
      <c r="CQ30" t="str">
        <f t="shared" si="32"/>
        <v>K29-02</v>
      </c>
      <c r="CR30" t="str">
        <f t="shared" si="33"/>
        <v>K29-09</v>
      </c>
      <c r="CS30" t="str">
        <f t="shared" si="34"/>
        <v>K29-05</v>
      </c>
      <c r="CT30" t="str">
        <f t="shared" si="35"/>
        <v>K29-11</v>
      </c>
      <c r="CU30" t="str">
        <f t="shared" si="36"/>
        <v>F0-M29-A9</v>
      </c>
      <c r="CV30" t="str">
        <f t="shared" si="37"/>
        <v>F0-M29-A7</v>
      </c>
      <c r="CW30" t="str">
        <f t="shared" si="38"/>
        <v>F0-M29-A8</v>
      </c>
      <c r="CX30" t="str">
        <f t="shared" si="39"/>
        <v>F0-M29-A6</v>
      </c>
      <c r="CY30" t="str">
        <f t="shared" si="40"/>
        <v>F0-M29-A30</v>
      </c>
      <c r="CZ30" t="str">
        <f t="shared" si="41"/>
        <v>F0-M29-N</v>
      </c>
      <c r="DA30" t="str">
        <f t="shared" si="26"/>
        <v>F0-A220-M29</v>
      </c>
      <c r="DB30" t="str">
        <f t="shared" si="42"/>
        <v>F0-M29-XM01</v>
      </c>
      <c r="DC30" t="str">
        <f t="shared" si="43"/>
        <v>F0-M29-A1</v>
      </c>
      <c r="DD30" t="str">
        <f t="shared" si="44"/>
        <v>F0-M29-A5</v>
      </c>
      <c r="DE30" t="str">
        <f t="shared" si="45"/>
        <v>F0-M29-A11</v>
      </c>
      <c r="DF30" t="str">
        <f t="shared" si="46"/>
        <v>F0-M29-A12</v>
      </c>
      <c r="DG30" t="str">
        <f t="shared" si="47"/>
        <v>F0-M29-A19</v>
      </c>
      <c r="DH30" t="str">
        <f t="shared" si="48"/>
        <v>F0-M29-A20</v>
      </c>
      <c r="DI30" t="s">
        <v>142</v>
      </c>
      <c r="DJ30" t="s">
        <v>143</v>
      </c>
      <c r="DK30">
        <v>11</v>
      </c>
      <c r="DL30">
        <v>14</v>
      </c>
      <c r="DM30">
        <v>12</v>
      </c>
      <c r="DN30" t="s">
        <v>144</v>
      </c>
      <c r="DO30" t="s">
        <v>145</v>
      </c>
      <c r="DP30">
        <v>1</v>
      </c>
      <c r="DQ30">
        <v>2</v>
      </c>
      <c r="DR30">
        <v>3</v>
      </c>
      <c r="DS30">
        <v>4</v>
      </c>
      <c r="DT30">
        <v>5</v>
      </c>
      <c r="DU30">
        <v>6</v>
      </c>
      <c r="DV30">
        <v>7</v>
      </c>
      <c r="DW30">
        <v>8</v>
      </c>
      <c r="DX30">
        <v>9</v>
      </c>
      <c r="DY30">
        <v>10</v>
      </c>
      <c r="DZ30">
        <v>11</v>
      </c>
      <c r="EA30">
        <v>12</v>
      </c>
      <c r="EB30">
        <v>13</v>
      </c>
      <c r="EC30">
        <v>14</v>
      </c>
      <c r="ED30">
        <v>1</v>
      </c>
      <c r="EE30">
        <v>3</v>
      </c>
      <c r="EF30">
        <v>4</v>
      </c>
      <c r="EG30">
        <v>7</v>
      </c>
      <c r="EH30">
        <v>8</v>
      </c>
      <c r="EI30">
        <v>9</v>
      </c>
      <c r="EJ30">
        <v>10</v>
      </c>
      <c r="EK30">
        <v>13</v>
      </c>
      <c r="EL30">
        <v>14</v>
      </c>
      <c r="EM30">
        <v>15</v>
      </c>
      <c r="EN30">
        <v>16</v>
      </c>
      <c r="EO30">
        <v>22</v>
      </c>
      <c r="EP30">
        <v>23</v>
      </c>
      <c r="EQ30" s="16">
        <v>24</v>
      </c>
    </row>
    <row r="31" spans="1:147" x14ac:dyDescent="0.25">
      <c r="A31" t="s">
        <v>233</v>
      </c>
      <c r="B31" t="s">
        <v>234</v>
      </c>
      <c r="C31" s="3" t="s">
        <v>127</v>
      </c>
      <c r="O31" s="2"/>
      <c r="P31" t="s">
        <v>129</v>
      </c>
      <c r="Q31" s="1"/>
      <c r="S31" s="1" t="s">
        <v>130</v>
      </c>
      <c r="T31" s="14" t="s">
        <v>554</v>
      </c>
      <c r="U31" s="15">
        <v>30</v>
      </c>
      <c r="V31" s="15" t="s">
        <v>338</v>
      </c>
      <c r="W31" s="15"/>
      <c r="AC31" t="s">
        <v>265</v>
      </c>
      <c r="AF31" t="s">
        <v>240</v>
      </c>
      <c r="AG31" t="s">
        <v>242</v>
      </c>
      <c r="AH31" t="s">
        <v>268</v>
      </c>
      <c r="AI31" s="73" cm="1">
        <f t="array" ref="AI31">IF(COUNTIFS(AH$2:AH31,AH31)=1,"1",VALUE(SUBSTITUTE(INDEX(AI:AI,_xlfn.XMATCH(AH31,AH$1:AH30,0,-1)),"A",""))+INDEX(AJ:AJ,_xlfn.XMATCH(AH31,AH$1:AH30,0,-1))+1)</f>
        <v>28</v>
      </c>
      <c r="AJ31" s="73" cm="1">
        <f t="array" ref="AJ31">SUM(IF(ISNUMBER(FIND("TmDo",$BE$1:$AAL$1)),IF(IFERROR(ISNUMBER(VALUE(SUBSTITUTE($BE31:$AAL31,"B",""))),FALSE),IF(ISNUMBER(VALUE(SUBSTITUTE($BE31:$AAL31,"B",""))),1,0),0)))</f>
        <v>2</v>
      </c>
      <c r="AK31" t="str">
        <f t="shared" si="0"/>
        <v>28A</v>
      </c>
      <c r="AL31" t="str">
        <f t="shared" si="1"/>
        <v>28B</v>
      </c>
      <c r="AM31" t="s">
        <v>235</v>
      </c>
      <c r="AP31" t="s">
        <v>137</v>
      </c>
      <c r="AQ31" t="s">
        <v>138</v>
      </c>
      <c r="AT31" t="s">
        <v>139</v>
      </c>
      <c r="AU31" t="s">
        <v>140</v>
      </c>
      <c r="BD31" s="16"/>
      <c r="BE31" t="str">
        <f t="shared" si="2"/>
        <v>XT30</v>
      </c>
      <c r="BF31" t="str">
        <f t="shared" si="3"/>
        <v>C26</v>
      </c>
      <c r="BG31" t="str">
        <f t="shared" si="4"/>
        <v>B26</v>
      </c>
      <c r="BH31" t="str">
        <f t="shared" si="5"/>
        <v>C27</v>
      </c>
      <c r="BI31" t="str">
        <f t="shared" si="6"/>
        <v>B27</v>
      </c>
      <c r="BJ31" t="str">
        <f t="shared" si="7"/>
        <v>C28</v>
      </c>
      <c r="BK31" t="str">
        <f t="shared" si="8"/>
        <v>B28</v>
      </c>
      <c r="BL31" t="str">
        <f t="shared" si="9"/>
        <v>C29</v>
      </c>
      <c r="BM31" t="str">
        <f t="shared" si="10"/>
        <v>B29</v>
      </c>
      <c r="BN31" t="str">
        <f t="shared" si="11"/>
        <v>C30</v>
      </c>
      <c r="BO31" t="str">
        <f t="shared" si="12"/>
        <v>B30</v>
      </c>
      <c r="BP31" t="str">
        <f t="shared" si="13"/>
        <v>29A</v>
      </c>
      <c r="BQ31" t="str">
        <f t="shared" si="14"/>
        <v>29B</v>
      </c>
      <c r="BR31" t="str">
        <f t="shared" si="15"/>
        <v>30A</v>
      </c>
      <c r="BS31" t="str">
        <f t="shared" si="16"/>
        <v>30B</v>
      </c>
      <c r="BT31" t="str">
        <f t="shared" si="17"/>
        <v>DI6-C25</v>
      </c>
      <c r="BU31" t="str">
        <f t="shared" si="18"/>
        <v>DI6-B25</v>
      </c>
      <c r="BV31" t="str">
        <f t="shared" si="49"/>
        <v>DI6-C26</v>
      </c>
      <c r="BW31" t="str">
        <f t="shared" si="49"/>
        <v>DI6-B26</v>
      </c>
      <c r="BX31" t="str">
        <f t="shared" si="49"/>
        <v>DI6-C27</v>
      </c>
      <c r="BY31" t="str">
        <f t="shared" si="49"/>
        <v>DI6-B27</v>
      </c>
      <c r="BZ31" t="str">
        <f t="shared" si="49"/>
        <v>DI6-C28</v>
      </c>
      <c r="CA31" t="str">
        <f t="shared" si="49"/>
        <v>DI6-B28</v>
      </c>
      <c r="CB31" t="str">
        <f t="shared" si="49"/>
        <v>DI6-C29</v>
      </c>
      <c r="CC31" t="str">
        <f t="shared" si="49"/>
        <v>DI6-B29</v>
      </c>
      <c r="CD31" t="str">
        <f t="shared" si="49"/>
        <v>DI6-C30</v>
      </c>
      <c r="CE31" t="str">
        <f t="shared" si="49"/>
        <v>DI6-B30</v>
      </c>
      <c r="CF31" t="str">
        <f t="shared" si="20"/>
        <v>DO3-28A</v>
      </c>
      <c r="CG31" t="str">
        <f t="shared" si="21"/>
        <v>DO3-28B</v>
      </c>
      <c r="CH31" t="str">
        <f t="shared" si="22"/>
        <v>DO3-29A</v>
      </c>
      <c r="CI31" t="str">
        <f t="shared" si="23"/>
        <v>DO3-29B</v>
      </c>
      <c r="CJ31" t="str">
        <f t="shared" si="24"/>
        <v>DO3-30A</v>
      </c>
      <c r="CK31" t="str">
        <f t="shared" si="25"/>
        <v>DO3-30B</v>
      </c>
      <c r="CL31" t="str">
        <f t="shared" si="27"/>
        <v>K30-10</v>
      </c>
      <c r="CM31" t="str">
        <f t="shared" si="28"/>
        <v>K30-03</v>
      </c>
      <c r="CN31" t="str">
        <f t="shared" si="29"/>
        <v>K30-04</v>
      </c>
      <c r="CO31" t="str">
        <f t="shared" si="30"/>
        <v>K30-01</v>
      </c>
      <c r="CP31" t="str">
        <f t="shared" si="31"/>
        <v>K30-08</v>
      </c>
      <c r="CQ31" t="str">
        <f t="shared" si="32"/>
        <v>K30-02</v>
      </c>
      <c r="CR31" t="str">
        <f t="shared" si="33"/>
        <v>K30-09</v>
      </c>
      <c r="CS31" t="str">
        <f t="shared" si="34"/>
        <v>K30-05</v>
      </c>
      <c r="CT31" t="str">
        <f t="shared" si="35"/>
        <v>K30-11</v>
      </c>
      <c r="CU31" t="str">
        <f t="shared" si="36"/>
        <v>F0-M30-A9</v>
      </c>
      <c r="CV31" t="str">
        <f t="shared" si="37"/>
        <v>F0-M30-A7</v>
      </c>
      <c r="CW31" t="str">
        <f t="shared" si="38"/>
        <v>F0-M30-A8</v>
      </c>
      <c r="CX31" t="str">
        <f t="shared" si="39"/>
        <v>F0-M30-A6</v>
      </c>
      <c r="CY31" t="str">
        <f t="shared" si="40"/>
        <v>F0-M30-A30</v>
      </c>
      <c r="CZ31" t="str">
        <f t="shared" si="41"/>
        <v>F0-M30-N</v>
      </c>
      <c r="DA31" t="str">
        <f t="shared" si="26"/>
        <v>F0-A220-M30</v>
      </c>
      <c r="DB31" t="str">
        <f t="shared" si="42"/>
        <v>F0-M30-XM01</v>
      </c>
      <c r="DC31" t="str">
        <f t="shared" si="43"/>
        <v>F0-M30-A1</v>
      </c>
      <c r="DD31" t="str">
        <f t="shared" si="44"/>
        <v>F0-M30-A5</v>
      </c>
      <c r="DE31" t="str">
        <f t="shared" si="45"/>
        <v>F0-M30-A11</v>
      </c>
      <c r="DF31" t="str">
        <f t="shared" si="46"/>
        <v>F0-M30-A12</v>
      </c>
      <c r="DG31" t="str">
        <f t="shared" si="47"/>
        <v>F0-M30-A19</v>
      </c>
      <c r="DH31" t="str">
        <f t="shared" si="48"/>
        <v>F0-M30-A20</v>
      </c>
      <c r="DI31" t="s">
        <v>142</v>
      </c>
      <c r="DJ31" t="s">
        <v>143</v>
      </c>
      <c r="DK31">
        <v>11</v>
      </c>
      <c r="DL31">
        <v>14</v>
      </c>
      <c r="DM31">
        <v>12</v>
      </c>
      <c r="DN31" t="s">
        <v>144</v>
      </c>
      <c r="DO31" t="s">
        <v>145</v>
      </c>
      <c r="DP31">
        <v>1</v>
      </c>
      <c r="DQ31">
        <v>2</v>
      </c>
      <c r="DR31">
        <v>3</v>
      </c>
      <c r="DS31">
        <v>4</v>
      </c>
      <c r="DT31">
        <v>5</v>
      </c>
      <c r="DU31">
        <v>6</v>
      </c>
      <c r="DV31">
        <v>7</v>
      </c>
      <c r="DW31">
        <v>8</v>
      </c>
      <c r="DX31">
        <v>9</v>
      </c>
      <c r="DY31">
        <v>10</v>
      </c>
      <c r="DZ31">
        <v>11</v>
      </c>
      <c r="EA31">
        <v>12</v>
      </c>
      <c r="EB31">
        <v>13</v>
      </c>
      <c r="EC31">
        <v>14</v>
      </c>
      <c r="ED31">
        <v>1</v>
      </c>
      <c r="EE31">
        <v>3</v>
      </c>
      <c r="EF31">
        <v>4</v>
      </c>
      <c r="EG31">
        <v>7</v>
      </c>
      <c r="EH31">
        <v>8</v>
      </c>
      <c r="EI31">
        <v>9</v>
      </c>
      <c r="EJ31">
        <v>10</v>
      </c>
      <c r="EK31">
        <v>13</v>
      </c>
      <c r="EL31">
        <v>14</v>
      </c>
      <c r="EM31">
        <v>15</v>
      </c>
      <c r="EN31">
        <v>16</v>
      </c>
      <c r="EO31">
        <v>22</v>
      </c>
      <c r="EP31">
        <v>23</v>
      </c>
      <c r="EQ31" s="16">
        <v>24</v>
      </c>
    </row>
    <row r="32" spans="1:147" ht="15.75" thickBot="1" x14ac:dyDescent="0.3">
      <c r="A32" t="s">
        <v>236</v>
      </c>
      <c r="B32" t="s">
        <v>237</v>
      </c>
      <c r="C32" s="3" t="s">
        <v>127</v>
      </c>
      <c r="O32" s="2"/>
      <c r="P32" t="s">
        <v>129</v>
      </c>
      <c r="Q32" s="1"/>
      <c r="S32" s="1" t="s">
        <v>130</v>
      </c>
      <c r="T32" s="17" t="s">
        <v>554</v>
      </c>
      <c r="U32" s="18">
        <v>31</v>
      </c>
      <c r="V32" s="18" t="s">
        <v>339</v>
      </c>
      <c r="W32" s="18"/>
      <c r="X32" s="19"/>
      <c r="Y32" s="19"/>
      <c r="Z32" s="19"/>
      <c r="AA32" s="19"/>
      <c r="AB32" s="19"/>
      <c r="AC32" s="19" t="s">
        <v>266</v>
      </c>
      <c r="AD32" s="19"/>
      <c r="AE32" s="19"/>
      <c r="AF32" s="19" t="s">
        <v>133</v>
      </c>
      <c r="AG32" s="19" t="s">
        <v>134</v>
      </c>
      <c r="AH32" s="19" t="s">
        <v>269</v>
      </c>
      <c r="AI32" s="74" t="str" cm="1">
        <f t="array" ref="AI32">IF(COUNTIFS(AH$2:AH32,AH32)=1,"1",VALUE(SUBSTITUTE(INDEX(AI:AI,_xlfn.XMATCH(AH32,AH$1:AH31,0,-1)),"A",""))+INDEX(AJ:AJ,_xlfn.XMATCH(AH32,AH$1:AH31,0,-1))+1)</f>
        <v>1</v>
      </c>
      <c r="AJ32" s="74" cm="1">
        <f t="array" ref="AJ32">SUM(IF(ISNUMBER(FIND("TmDo",$BE$1:$AAL$1)),IF(IFERROR(ISNUMBER(VALUE(SUBSTITUTE($BE32:$AAL32,"B",""))),FALSE),IF(ISNUMBER(VALUE(SUBSTITUTE($BE32:$AAL32,"B",""))),1,0),0)))</f>
        <v>2</v>
      </c>
      <c r="AK32" s="19" t="str">
        <f t="shared" si="0"/>
        <v>1A</v>
      </c>
      <c r="AL32" s="19" t="str">
        <f t="shared" si="1"/>
        <v>1B</v>
      </c>
      <c r="AM32" s="19" t="s">
        <v>238</v>
      </c>
      <c r="AN32" s="19"/>
      <c r="AO32" s="19"/>
      <c r="AP32" s="19" t="s">
        <v>137</v>
      </c>
      <c r="AQ32" s="19" t="s">
        <v>138</v>
      </c>
      <c r="AR32" s="19"/>
      <c r="AS32" s="19"/>
      <c r="AT32" s="19" t="s">
        <v>139</v>
      </c>
      <c r="AU32" s="19" t="s">
        <v>140</v>
      </c>
      <c r="AX32" s="19"/>
      <c r="BD32" s="16"/>
      <c r="BE32" s="19" t="str">
        <f t="shared" si="2"/>
        <v>XT31</v>
      </c>
      <c r="BF32" s="19" t="str">
        <f t="shared" si="3"/>
        <v>C2</v>
      </c>
      <c r="BG32" s="19" t="str">
        <f t="shared" si="4"/>
        <v>B2</v>
      </c>
      <c r="BH32" s="19" t="str">
        <f t="shared" si="5"/>
        <v>C3</v>
      </c>
      <c r="BI32" s="19" t="str">
        <f t="shared" si="6"/>
        <v>B3</v>
      </c>
      <c r="BJ32" s="19" t="str">
        <f t="shared" si="7"/>
        <v>C4</v>
      </c>
      <c r="BK32" s="19" t="str">
        <f t="shared" si="8"/>
        <v>B4</v>
      </c>
      <c r="BL32" s="19" t="str">
        <f t="shared" si="9"/>
        <v>C5</v>
      </c>
      <c r="BM32" s="19" t="str">
        <f t="shared" si="10"/>
        <v>B5</v>
      </c>
      <c r="BN32" s="19" t="str">
        <f t="shared" si="11"/>
        <v>C6</v>
      </c>
      <c r="BO32" s="19" t="str">
        <f t="shared" si="12"/>
        <v>B6</v>
      </c>
      <c r="BP32" s="19" t="str">
        <f t="shared" si="13"/>
        <v>2A</v>
      </c>
      <c r="BQ32" s="19" t="str">
        <f t="shared" si="14"/>
        <v>2B</v>
      </c>
      <c r="BR32" s="19" t="str">
        <f t="shared" si="15"/>
        <v>3A</v>
      </c>
      <c r="BS32" s="19" t="str">
        <f t="shared" si="16"/>
        <v>3B</v>
      </c>
      <c r="BT32" s="19" t="str">
        <f t="shared" si="17"/>
        <v>DI7-C1</v>
      </c>
      <c r="BU32" s="19" t="str">
        <f t="shared" si="18"/>
        <v>DI7-B1</v>
      </c>
      <c r="BV32" s="19" t="str">
        <f t="shared" si="49"/>
        <v>DI7-C2</v>
      </c>
      <c r="BW32" s="19" t="str">
        <f t="shared" si="49"/>
        <v>DI7-B2</v>
      </c>
      <c r="BX32" s="19" t="str">
        <f t="shared" si="49"/>
        <v>DI7-C3</v>
      </c>
      <c r="BY32" s="19" t="str">
        <f t="shared" si="49"/>
        <v>DI7-B3</v>
      </c>
      <c r="BZ32" s="19" t="str">
        <f t="shared" si="49"/>
        <v>DI7-C4</v>
      </c>
      <c r="CA32" s="19" t="str">
        <f t="shared" si="49"/>
        <v>DI7-B4</v>
      </c>
      <c r="CB32" s="19" t="str">
        <f t="shared" si="49"/>
        <v>DI7-C5</v>
      </c>
      <c r="CC32" s="19" t="str">
        <f t="shared" si="49"/>
        <v>DI7-B5</v>
      </c>
      <c r="CD32" s="19" t="str">
        <f t="shared" si="49"/>
        <v>DI7-C6</v>
      </c>
      <c r="CE32" s="19" t="str">
        <f t="shared" si="49"/>
        <v>DI7-B6</v>
      </c>
      <c r="CF32" s="19" t="str">
        <f t="shared" si="20"/>
        <v>DO4-1A</v>
      </c>
      <c r="CG32" s="19" t="str">
        <f t="shared" si="21"/>
        <v>DO4-1B</v>
      </c>
      <c r="CH32" s="19" t="str">
        <f t="shared" si="22"/>
        <v>DO4-2A</v>
      </c>
      <c r="CI32" s="19" t="str">
        <f t="shared" si="23"/>
        <v>DO4-2B</v>
      </c>
      <c r="CJ32" s="19" t="str">
        <f t="shared" si="24"/>
        <v>DO4-3A</v>
      </c>
      <c r="CK32" s="19" t="str">
        <f t="shared" si="25"/>
        <v>DO4-3B</v>
      </c>
      <c r="CL32" s="19" t="str">
        <f t="shared" si="27"/>
        <v>K31-10</v>
      </c>
      <c r="CM32" s="19" t="str">
        <f t="shared" si="28"/>
        <v>K31-03</v>
      </c>
      <c r="CN32" s="19" t="str">
        <f t="shared" si="29"/>
        <v>K31-04</v>
      </c>
      <c r="CO32" s="19" t="str">
        <f t="shared" si="30"/>
        <v>K31-01</v>
      </c>
      <c r="CP32" s="19" t="str">
        <f t="shared" si="31"/>
        <v>K31-08</v>
      </c>
      <c r="CQ32" s="19" t="str">
        <f t="shared" si="32"/>
        <v>K31-02</v>
      </c>
      <c r="CR32" s="19" t="str">
        <f t="shared" si="33"/>
        <v>K31-09</v>
      </c>
      <c r="CS32" s="19" t="str">
        <f t="shared" si="34"/>
        <v>K31-05</v>
      </c>
      <c r="CT32" s="19" t="str">
        <f t="shared" si="35"/>
        <v>K31-11</v>
      </c>
      <c r="CU32" s="19" t="str">
        <f t="shared" si="36"/>
        <v>F0-M31-A9</v>
      </c>
      <c r="CV32" s="19" t="str">
        <f t="shared" si="37"/>
        <v>F0-M31-A7</v>
      </c>
      <c r="CW32" s="19" t="str">
        <f t="shared" si="38"/>
        <v>F0-M31-A8</v>
      </c>
      <c r="CX32" s="19" t="str">
        <f t="shared" si="39"/>
        <v>F0-M31-A6</v>
      </c>
      <c r="CY32" s="19" t="str">
        <f t="shared" si="40"/>
        <v>F0-M31-A30</v>
      </c>
      <c r="CZ32" s="19" t="str">
        <f t="shared" si="41"/>
        <v>F0-M31-N</v>
      </c>
      <c r="DA32" s="19" t="str">
        <f t="shared" si="26"/>
        <v>F0-A220-M31</v>
      </c>
      <c r="DB32" s="19" t="str">
        <f t="shared" si="42"/>
        <v>F0-M31-XM01</v>
      </c>
      <c r="DC32" s="19" t="str">
        <f t="shared" si="43"/>
        <v>F0-M31-A1</v>
      </c>
      <c r="DD32" s="19" t="str">
        <f t="shared" si="44"/>
        <v>F0-M31-A5</v>
      </c>
      <c r="DE32" s="19" t="str">
        <f t="shared" si="45"/>
        <v>F0-M31-A11</v>
      </c>
      <c r="DF32" s="19" t="str">
        <f t="shared" si="46"/>
        <v>F0-M31-A12</v>
      </c>
      <c r="DG32" s="19" t="str">
        <f t="shared" si="47"/>
        <v>F0-M31-A19</v>
      </c>
      <c r="DH32" s="19" t="str">
        <f t="shared" si="48"/>
        <v>F0-M31-A20</v>
      </c>
      <c r="DI32" s="19" t="s">
        <v>142</v>
      </c>
      <c r="DJ32" s="19" t="s">
        <v>143</v>
      </c>
      <c r="DK32" s="19">
        <v>11</v>
      </c>
      <c r="DL32" s="19">
        <v>14</v>
      </c>
      <c r="DM32" s="19">
        <v>12</v>
      </c>
      <c r="DN32" s="19" t="s">
        <v>144</v>
      </c>
      <c r="DO32" s="19" t="s">
        <v>145</v>
      </c>
      <c r="DP32" s="19">
        <v>1</v>
      </c>
      <c r="DQ32" s="19">
        <v>2</v>
      </c>
      <c r="DR32" s="19">
        <v>3</v>
      </c>
      <c r="DS32" s="19">
        <v>4</v>
      </c>
      <c r="DT32" s="19">
        <v>5</v>
      </c>
      <c r="DU32" s="19">
        <v>6</v>
      </c>
      <c r="DV32" s="19">
        <v>7</v>
      </c>
      <c r="DW32" s="19">
        <v>8</v>
      </c>
      <c r="DX32" s="19">
        <v>9</v>
      </c>
      <c r="DY32" s="19">
        <v>10</v>
      </c>
      <c r="DZ32" s="19">
        <v>11</v>
      </c>
      <c r="EA32" s="19">
        <v>12</v>
      </c>
      <c r="EB32" s="19">
        <v>13</v>
      </c>
      <c r="EC32" s="19">
        <v>14</v>
      </c>
      <c r="ED32" s="19">
        <v>1</v>
      </c>
      <c r="EE32" s="19">
        <v>3</v>
      </c>
      <c r="EF32" s="19">
        <v>4</v>
      </c>
      <c r="EG32" s="19">
        <v>7</v>
      </c>
      <c r="EH32" s="19">
        <v>8</v>
      </c>
      <c r="EI32" s="19">
        <v>9</v>
      </c>
      <c r="EJ32" s="19">
        <v>10</v>
      </c>
      <c r="EK32" s="19">
        <v>13</v>
      </c>
      <c r="EL32" s="19">
        <v>14</v>
      </c>
      <c r="EM32" s="19">
        <v>15</v>
      </c>
      <c r="EN32" s="19">
        <v>16</v>
      </c>
      <c r="EO32" s="19">
        <v>22</v>
      </c>
      <c r="EP32" s="19">
        <v>23</v>
      </c>
      <c r="EQ32" s="20">
        <v>24</v>
      </c>
    </row>
    <row r="33" spans="1:285" ht="15.75" thickBot="1" x14ac:dyDescent="0.3">
      <c r="A33" t="s">
        <v>280</v>
      </c>
      <c r="B33" t="s">
        <v>279</v>
      </c>
      <c r="C33" s="3"/>
      <c r="O33" s="2"/>
      <c r="P33" t="s">
        <v>276</v>
      </c>
      <c r="Q33" s="1"/>
      <c r="S33" s="1"/>
      <c r="T33" s="21" t="s">
        <v>554</v>
      </c>
      <c r="U33" s="22">
        <v>32</v>
      </c>
      <c r="V33" s="18" t="s">
        <v>340</v>
      </c>
      <c r="W33" s="22"/>
      <c r="X33" s="23"/>
      <c r="Y33" s="23"/>
      <c r="Z33" s="23"/>
      <c r="AA33" s="23"/>
      <c r="AB33" s="23"/>
      <c r="AC33" s="23" t="s">
        <v>266</v>
      </c>
      <c r="AD33" s="23"/>
      <c r="AE33" s="23"/>
      <c r="AF33" s="23" t="s">
        <v>148</v>
      </c>
      <c r="AG33" s="23" t="s">
        <v>149</v>
      </c>
      <c r="AH33" s="23" t="s">
        <v>269</v>
      </c>
      <c r="AI33" s="75" cm="1">
        <f t="array" ref="AI33">IF(COUNTIFS(AH$2:AH33,AH33)=1,"1",VALUE(SUBSTITUTE(INDEX(AI:AI,_xlfn.XMATCH(AH33,AH$1:AH32,0,-1)),"A",""))+INDEX(AJ:AJ,_xlfn.XMATCH(AH33,AH$1:AH32,0,-1))+1)</f>
        <v>4</v>
      </c>
      <c r="AJ33" s="75" cm="1">
        <f t="array" ref="AJ33">SUM(IF(ISNUMBER(FIND("TmDo",$BE$1:$AAL$1)),IF(IFERROR(ISNUMBER(VALUE(SUBSTITUTE($BE33:$AAL33,"B",""))),FALSE),IF(ISNUMBER(VALUE(SUBSTITUTE($BE33:$AAL33,"B",""))),1,0),0)))</f>
        <v>2</v>
      </c>
      <c r="AK33" s="23" t="str">
        <f t="shared" si="0"/>
        <v>4A</v>
      </c>
      <c r="AL33" s="23" t="str">
        <f t="shared" si="1"/>
        <v>4B</v>
      </c>
      <c r="AM33" s="23" t="s">
        <v>282</v>
      </c>
      <c r="AN33" s="23"/>
      <c r="AO33" s="23"/>
      <c r="AP33" s="23" t="s">
        <v>137</v>
      </c>
      <c r="AQ33" s="23" t="s">
        <v>138</v>
      </c>
      <c r="AR33" s="23"/>
      <c r="AS33" s="23"/>
      <c r="AT33" s="23" t="s">
        <v>139</v>
      </c>
      <c r="AU33" s="23" t="s">
        <v>140</v>
      </c>
      <c r="AV33" s="23"/>
      <c r="AW33" s="23"/>
      <c r="AX33" s="23"/>
      <c r="AY33" s="12"/>
      <c r="AZ33" s="12"/>
      <c r="BA33" s="12"/>
      <c r="BB33" s="12"/>
      <c r="BC33" s="12"/>
      <c r="BD33" s="13"/>
      <c r="BE33" s="23" t="str">
        <f t="shared" si="2"/>
        <v>XT32</v>
      </c>
      <c r="BF33" s="23" t="str">
        <f t="shared" si="3"/>
        <v>C8</v>
      </c>
      <c r="BG33" s="23" t="str">
        <f t="shared" si="4"/>
        <v>B8</v>
      </c>
      <c r="BH33" s="23" t="str">
        <f t="shared" si="5"/>
        <v>C9</v>
      </c>
      <c r="BI33" s="23" t="str">
        <f t="shared" si="6"/>
        <v>B9</v>
      </c>
      <c r="BJ33" s="23" t="str">
        <f t="shared" si="7"/>
        <v>C10</v>
      </c>
      <c r="BK33" s="23" t="str">
        <f t="shared" si="8"/>
        <v>B10</v>
      </c>
      <c r="BL33" s="23" t="str">
        <f t="shared" si="9"/>
        <v>C11</v>
      </c>
      <c r="BM33" s="23" t="str">
        <f t="shared" si="10"/>
        <v>B11</v>
      </c>
      <c r="BN33" s="23" t="str">
        <f t="shared" si="11"/>
        <v>C12</v>
      </c>
      <c r="BO33" s="23" t="str">
        <f t="shared" si="12"/>
        <v>B12</v>
      </c>
      <c r="BP33" s="23" t="str">
        <f t="shared" si="13"/>
        <v>5A</v>
      </c>
      <c r="BQ33" s="23" t="str">
        <f t="shared" si="14"/>
        <v>5B</v>
      </c>
      <c r="BR33" s="23" t="str">
        <f t="shared" si="15"/>
        <v>6A</v>
      </c>
      <c r="BS33" s="23" t="str">
        <f t="shared" si="16"/>
        <v>6B</v>
      </c>
      <c r="BT33" s="23" t="str">
        <f t="shared" si="17"/>
        <v>DI7-C7</v>
      </c>
      <c r="BU33" s="23" t="str">
        <f t="shared" si="18"/>
        <v>DI7-B7</v>
      </c>
      <c r="BV33" s="23" t="str">
        <f t="shared" si="49"/>
        <v>DI7-C8</v>
      </c>
      <c r="BW33" s="23" t="str">
        <f t="shared" si="49"/>
        <v>DI7-B8</v>
      </c>
      <c r="BX33" s="23" t="str">
        <f t="shared" si="49"/>
        <v>DI7-C9</v>
      </c>
      <c r="BY33" s="23" t="str">
        <f t="shared" si="49"/>
        <v>DI7-B9</v>
      </c>
      <c r="BZ33" s="23" t="str">
        <f t="shared" si="49"/>
        <v>DI7-C10</v>
      </c>
      <c r="CA33" s="23" t="str">
        <f t="shared" si="49"/>
        <v>DI7-B10</v>
      </c>
      <c r="CB33" s="23" t="str">
        <f t="shared" si="49"/>
        <v>DI7-C11</v>
      </c>
      <c r="CC33" s="23" t="str">
        <f t="shared" si="49"/>
        <v>DI7-B11</v>
      </c>
      <c r="CD33" s="23" t="str">
        <f t="shared" si="49"/>
        <v>DI7-C12</v>
      </c>
      <c r="CE33" s="23" t="str">
        <f t="shared" si="49"/>
        <v>DI7-B12</v>
      </c>
      <c r="CF33" s="23" t="str">
        <f t="shared" si="20"/>
        <v>DO4-4A</v>
      </c>
      <c r="CG33" s="23" t="str">
        <f t="shared" si="21"/>
        <v>DO4-4B</v>
      </c>
      <c r="CH33" s="23" t="str">
        <f t="shared" si="22"/>
        <v>DO4-5A</v>
      </c>
      <c r="CI33" s="23" t="str">
        <f t="shared" si="23"/>
        <v>DO4-5B</v>
      </c>
      <c r="CJ33" s="23" t="str">
        <f t="shared" si="24"/>
        <v>DO4-6A</v>
      </c>
      <c r="CK33" s="23" t="str">
        <f t="shared" si="25"/>
        <v>DO4-6B</v>
      </c>
      <c r="CL33" s="23" t="str">
        <f t="shared" si="27"/>
        <v>K32-10</v>
      </c>
      <c r="CM33" s="23" t="str">
        <f t="shared" si="28"/>
        <v>K32-03</v>
      </c>
      <c r="CN33" s="23" t="str">
        <f t="shared" si="29"/>
        <v>K32-04</v>
      </c>
      <c r="CO33" s="23" t="str">
        <f t="shared" si="30"/>
        <v>K32-01</v>
      </c>
      <c r="CP33" s="23" t="str">
        <f t="shared" si="31"/>
        <v>K32-08</v>
      </c>
      <c r="CQ33" s="23" t="str">
        <f t="shared" si="32"/>
        <v>K32-02</v>
      </c>
      <c r="CR33" s="23" t="str">
        <f t="shared" si="33"/>
        <v>K32-09</v>
      </c>
      <c r="CS33" s="23" t="str">
        <f t="shared" si="34"/>
        <v>K32-05</v>
      </c>
      <c r="CT33" s="23" t="str">
        <f t="shared" si="35"/>
        <v>K32-11</v>
      </c>
      <c r="CU33" s="23" t="str">
        <f t="shared" si="36"/>
        <v>F0-M32-A9</v>
      </c>
      <c r="CV33" s="23" t="str">
        <f t="shared" si="37"/>
        <v>F0-M32-A7</v>
      </c>
      <c r="CW33" s="23" t="str">
        <f t="shared" si="38"/>
        <v>F0-M32-A8</v>
      </c>
      <c r="CX33" s="23" t="str">
        <f t="shared" si="39"/>
        <v>F0-M32-A6</v>
      </c>
      <c r="CY33" s="23" t="str">
        <f t="shared" si="40"/>
        <v>F0-M32-A30</v>
      </c>
      <c r="CZ33" s="23" t="str">
        <f t="shared" si="41"/>
        <v>F0-M32-N</v>
      </c>
      <c r="DA33" s="23" t="str">
        <f t="shared" si="26"/>
        <v>F0-A220-M32</v>
      </c>
      <c r="DB33" s="23" t="str">
        <f t="shared" si="42"/>
        <v>F0-M32-XM01</v>
      </c>
      <c r="DC33" s="23" t="str">
        <f t="shared" si="43"/>
        <v>F0-M32-A1</v>
      </c>
      <c r="DD33" s="23" t="str">
        <f t="shared" si="44"/>
        <v>F0-M32-A5</v>
      </c>
      <c r="DE33" s="23" t="str">
        <f t="shared" si="45"/>
        <v>F0-M32-A11</v>
      </c>
      <c r="DF33" s="23" t="str">
        <f t="shared" si="46"/>
        <v>F0-M32-A12</v>
      </c>
      <c r="DG33" s="23" t="str">
        <f t="shared" si="47"/>
        <v>F0-M32-A19</v>
      </c>
      <c r="DH33" s="23" t="str">
        <f t="shared" si="48"/>
        <v>F0-M32-A20</v>
      </c>
      <c r="DI33" s="23" t="s">
        <v>142</v>
      </c>
      <c r="DJ33" s="23" t="s">
        <v>143</v>
      </c>
      <c r="DK33" s="23">
        <v>11</v>
      </c>
      <c r="DL33" s="23">
        <v>14</v>
      </c>
      <c r="DM33" s="23">
        <v>12</v>
      </c>
      <c r="DN33" s="23" t="s">
        <v>144</v>
      </c>
      <c r="DO33" s="23" t="s">
        <v>145</v>
      </c>
      <c r="DP33" s="23">
        <v>1</v>
      </c>
      <c r="DQ33" s="23">
        <v>2</v>
      </c>
      <c r="DR33" s="23">
        <v>3</v>
      </c>
      <c r="DS33" s="23">
        <v>4</v>
      </c>
      <c r="DT33" s="23">
        <v>5</v>
      </c>
      <c r="DU33" s="23">
        <v>6</v>
      </c>
      <c r="DV33" s="23">
        <v>7</v>
      </c>
      <c r="DW33" s="23">
        <v>8</v>
      </c>
      <c r="DX33" s="23">
        <v>9</v>
      </c>
      <c r="DY33" s="23">
        <v>10</v>
      </c>
      <c r="DZ33" s="23">
        <v>11</v>
      </c>
      <c r="EA33" s="23">
        <v>12</v>
      </c>
      <c r="EB33" s="23">
        <v>13</v>
      </c>
      <c r="EC33" s="23">
        <v>14</v>
      </c>
      <c r="ED33" s="23">
        <v>1</v>
      </c>
      <c r="EE33" s="23">
        <v>3</v>
      </c>
      <c r="EF33" s="23">
        <v>4</v>
      </c>
      <c r="EG33" s="23">
        <v>7</v>
      </c>
      <c r="EH33" s="23">
        <v>8</v>
      </c>
      <c r="EI33" s="23">
        <v>9</v>
      </c>
      <c r="EJ33" s="23">
        <v>10</v>
      </c>
      <c r="EK33" s="23">
        <v>13</v>
      </c>
      <c r="EL33" s="23">
        <v>14</v>
      </c>
      <c r="EM33" s="23">
        <v>15</v>
      </c>
      <c r="EN33" s="23">
        <v>16</v>
      </c>
      <c r="EO33" s="23">
        <v>22</v>
      </c>
      <c r="EP33" s="23">
        <v>23</v>
      </c>
      <c r="EQ33" s="24">
        <v>24</v>
      </c>
    </row>
    <row r="34" spans="1:285" x14ac:dyDescent="0.25">
      <c r="A34" t="s">
        <v>273</v>
      </c>
      <c r="B34" t="s">
        <v>272</v>
      </c>
      <c r="P34" t="s">
        <v>281</v>
      </c>
      <c r="T34" s="10" t="s">
        <v>554</v>
      </c>
      <c r="U34" s="11">
        <v>33</v>
      </c>
      <c r="V34" s="11" t="s">
        <v>290</v>
      </c>
      <c r="W34" s="11" t="s">
        <v>289</v>
      </c>
      <c r="X34" s="12"/>
      <c r="Y34" s="12"/>
      <c r="Z34" s="12"/>
      <c r="AA34" s="12"/>
      <c r="AB34" s="12"/>
      <c r="AC34" s="12" t="s">
        <v>277</v>
      </c>
      <c r="AD34" s="12"/>
      <c r="AE34" s="12"/>
      <c r="AF34" s="12" t="s">
        <v>133</v>
      </c>
      <c r="AG34" s="12" t="s">
        <v>134</v>
      </c>
      <c r="AH34" s="12" t="s">
        <v>383</v>
      </c>
      <c r="AI34" s="72" t="str" cm="1">
        <f t="array" ref="AI34">IF(COUNTIFS(AH$2:AH34,AH34)=1,"1",VALUE(SUBSTITUTE(INDEX(AI:AI,_xlfn.XMATCH(AH34,AH$1:AH33,0,-1)),"A",""))+INDEX(AJ:AJ,_xlfn.XMATCH(AH34,AH$1:AH33,0,-1))+1)</f>
        <v>1</v>
      </c>
      <c r="AJ34" s="72" cm="1">
        <f t="array" ref="AJ34">SUM(IF(ISNUMBER(FIND("TmDo",$BE$1:$AAL$1)),IF(IFERROR(ISNUMBER(VALUE(SUBSTITUTE($BE34:$AAL34,"B",""))),FALSE),IF(ISNUMBER(VALUE(SUBSTITUTE($BE34:$AAL34,"B",""))),1,0),0)))</f>
        <v>1</v>
      </c>
      <c r="AK34" s="12" t="str">
        <f t="shared" si="0"/>
        <v>1A</v>
      </c>
      <c r="AL34" s="12" t="str">
        <f t="shared" si="1"/>
        <v>1B</v>
      </c>
      <c r="AM34" s="12">
        <v>31</v>
      </c>
      <c r="AN34" s="12" t="str">
        <f>CONCATENATE(AM34,"XT")</f>
        <v>31XT</v>
      </c>
      <c r="AO34" s="12" t="str">
        <f t="shared" ref="AO34:AO42" si="50">CONCATENATE(AM34,"X")</f>
        <v>31X</v>
      </c>
      <c r="AP34" s="12" t="s">
        <v>137</v>
      </c>
      <c r="AQ34" s="12" t="s">
        <v>138</v>
      </c>
      <c r="AR34" s="12" t="str">
        <f t="shared" ref="AR34:AR42" si="51">CONCATENATE("Соединительная коробка (",REPLACE(A34,SEARCH("AA",A34),2,"GB"),")")</f>
        <v>Соединительная коробка (F0GAD12GB801)</v>
      </c>
      <c r="AS34" s="12"/>
      <c r="AT34" s="12" t="s">
        <v>139</v>
      </c>
      <c r="AU34" s="12" t="s">
        <v>140</v>
      </c>
      <c r="AV34" s="12"/>
      <c r="AW34" s="12"/>
      <c r="AX34" s="12"/>
      <c r="AY34" s="12"/>
      <c r="AZ34" s="12"/>
      <c r="BA34" s="12"/>
      <c r="BB34" s="12"/>
      <c r="BC34" s="12"/>
      <c r="BD34" s="13"/>
      <c r="ER34" s="25" t="str">
        <f t="shared" ref="ER34:ER42" si="52">CONCATENATE("XT",U34)</f>
        <v>XT33</v>
      </c>
      <c r="ES34" s="12" t="str">
        <f t="shared" ref="ES34:ES42" si="53">CONCATENATE("C",REPLACE(AF34,1,1,"")+1)</f>
        <v>C2</v>
      </c>
      <c r="ET34" s="12" t="str">
        <f>CONCATENATE("B",REPLACE(AG34,1,1,"")+1)</f>
        <v>B2</v>
      </c>
      <c r="EU34" s="12" t="str">
        <f>CONCATENATE("C",REPLACE(ES34,1,1,"")+1)</f>
        <v>C3</v>
      </c>
      <c r="EV34" s="12" t="str">
        <f>CONCATENATE("B",REPLACE(ET34,1,1,"")+1)</f>
        <v>B3</v>
      </c>
      <c r="EW34" s="12" t="str">
        <f t="shared" ref="EW34:EW42" si="54">CONCATENATE(REPLACE(AK34,LEN(AK34),1,"")+1,"A")</f>
        <v>2A</v>
      </c>
      <c r="EX34" s="12" t="str">
        <f t="shared" ref="EX34:EX42" si="55">CONCATENATE(REPLACE(AL34,LEN(AL34),1,"")+1,"B")</f>
        <v>2B</v>
      </c>
      <c r="EY34" s="12" t="str">
        <f>CONCATENATE("DI",REPLACE($AC34,1,3,""),"-",AF34)</f>
        <v>DI8-C1</v>
      </c>
      <c r="EZ34" s="12" t="str">
        <f>CONCATENATE("DI",REPLACE($AC34,1,3,""),"-",AG34)</f>
        <v>DI8-B1</v>
      </c>
      <c r="FA34" s="12" t="str">
        <f t="shared" ref="FA34:FD35" si="56">CONCATENATE("DI",REPLACE($AC34,1,3,""),"-",ES34)</f>
        <v>DI8-C2</v>
      </c>
      <c r="FB34" s="12" t="str">
        <f t="shared" si="56"/>
        <v>DI8-B2</v>
      </c>
      <c r="FC34" s="12" t="str">
        <f t="shared" si="56"/>
        <v>DI8-C3</v>
      </c>
      <c r="FD34" s="12" t="str">
        <f t="shared" si="56"/>
        <v>DI8-B3</v>
      </c>
      <c r="FE34" s="12" t="str">
        <f>CONCATENATE("DO",REPLACE($AH34,1,3,""),"-",AK34)</f>
        <v>DO5-1A</v>
      </c>
      <c r="FF34" s="12" t="str">
        <f>CONCATENATE("DO",REPLACE($AH34,1,3,""),"-",AL34)</f>
        <v>DO5-1B</v>
      </c>
      <c r="FG34" s="12" t="str">
        <f>CONCATENATE("DO",REPLACE($AH34,1,3,""),"-",EW34)</f>
        <v>DO5-2A</v>
      </c>
      <c r="FH34" s="12" t="str">
        <f>CONCATENATE("DO",REPLACE($AH34,1,3,""),"-",EX34)</f>
        <v>DO5-2B</v>
      </c>
      <c r="FI34" s="12" t="str">
        <f>CONCATENATE("K",$U34,"-03")</f>
        <v>K33-03</v>
      </c>
      <c r="FJ34" s="12" t="str">
        <f>CONCATENATE("K",$U34,"-04")</f>
        <v>K33-04</v>
      </c>
      <c r="FK34" s="12" t="str">
        <f>CONCATENATE("K",$U34,"-01")</f>
        <v>K33-01</v>
      </c>
      <c r="FL34" s="12" t="str">
        <f>CONCATENATE("K",$U34,"-02")</f>
        <v>K33-02</v>
      </c>
      <c r="FM34" s="12" t="str">
        <f t="shared" ref="FM34:FM42" si="57">CONCATENATE("K",$U34,"-05")</f>
        <v>K33-05</v>
      </c>
      <c r="FN34" s="12" t="str">
        <f>CONCATENATE($T34,"-M",$U34,"-H1")</f>
        <v>F0-M33-H1</v>
      </c>
      <c r="FO34" s="12" t="str">
        <f>CONCATENATE($T34,"-M",$U34,"-A1")</f>
        <v>F0-M33-A1</v>
      </c>
      <c r="FP34" s="12" t="str">
        <f>CONCATENATE($T34,"-M",$U34,"-3")</f>
        <v>F0-M33-3</v>
      </c>
      <c r="FQ34" s="12" t="str">
        <f>CONCATENATE($T34,"-M",$U34,"-2")</f>
        <v>F0-M33-2</v>
      </c>
      <c r="FR34" s="12" t="str">
        <f>CONCATENATE($T34,"-M",$U34,"-16")</f>
        <v>F0-M33-16</v>
      </c>
      <c r="FS34" s="12" t="str">
        <f>CONCATENATE($T34,"-M",$U34,"-15")</f>
        <v>F0-M33-15</v>
      </c>
      <c r="FT34" s="12" t="str">
        <f>CONCATENATE($T34,"-A220-M",$U34,)</f>
        <v>F0-A220-M33</v>
      </c>
      <c r="FU34" s="12" t="str">
        <f t="shared" ref="FU34:FU42" si="58">CONCATENATE($T34,"-M",$U34,"-XM01")</f>
        <v>F0-M33-XM01</v>
      </c>
      <c r="FV34" s="12" t="s">
        <v>142</v>
      </c>
      <c r="FW34" s="12" t="s">
        <v>143</v>
      </c>
      <c r="FX34" s="12">
        <v>11</v>
      </c>
      <c r="FY34" s="12">
        <v>14</v>
      </c>
      <c r="FZ34" s="12" t="s">
        <v>145</v>
      </c>
      <c r="GA34" s="12" t="s">
        <v>144</v>
      </c>
      <c r="GB34" s="12">
        <v>1</v>
      </c>
      <c r="GC34" s="12">
        <v>2</v>
      </c>
      <c r="GD34" s="12">
        <v>3</v>
      </c>
      <c r="GE34" s="12">
        <v>4</v>
      </c>
      <c r="GF34" s="12">
        <v>5</v>
      </c>
      <c r="GG34" s="12">
        <v>6</v>
      </c>
      <c r="GH34" s="12">
        <v>7</v>
      </c>
      <c r="GI34" s="12">
        <v>8</v>
      </c>
      <c r="GJ34" s="12">
        <v>9</v>
      </c>
      <c r="GK34" s="12">
        <v>1</v>
      </c>
      <c r="GL34" s="12">
        <v>2</v>
      </c>
      <c r="GM34" s="12">
        <v>3</v>
      </c>
      <c r="GN34" s="12">
        <v>4</v>
      </c>
      <c r="GO34" s="12">
        <v>5</v>
      </c>
      <c r="GP34" s="12">
        <v>1</v>
      </c>
      <c r="GQ34" s="12">
        <v>2</v>
      </c>
      <c r="GR34" s="12">
        <v>4</v>
      </c>
      <c r="GS34" s="13">
        <v>5</v>
      </c>
    </row>
    <row r="35" spans="1:285" x14ac:dyDescent="0.25">
      <c r="A35" t="s">
        <v>275</v>
      </c>
      <c r="B35" t="s">
        <v>274</v>
      </c>
      <c r="P35" t="s">
        <v>281</v>
      </c>
      <c r="T35" s="14" t="s">
        <v>554</v>
      </c>
      <c r="U35" s="15">
        <v>34</v>
      </c>
      <c r="V35" s="15" t="s">
        <v>292</v>
      </c>
      <c r="W35" s="15" t="s">
        <v>291</v>
      </c>
      <c r="AC35" t="s">
        <v>277</v>
      </c>
      <c r="AF35" t="s">
        <v>369</v>
      </c>
      <c r="AG35" t="s">
        <v>370</v>
      </c>
      <c r="AH35" t="s">
        <v>383</v>
      </c>
      <c r="AI35" s="73" cm="1">
        <f t="array" ref="AI35">IF(COUNTIFS(AH$2:AH35,AH35)=1,"1",VALUE(SUBSTITUTE(INDEX(AI:AI,_xlfn.XMATCH(AH35,AH$1:AH34,0,-1)),"A",""))+INDEX(AJ:AJ,_xlfn.XMATCH(AH35,AH$1:AH34,0,-1))+1)</f>
        <v>3</v>
      </c>
      <c r="AJ35" s="73" cm="1">
        <f t="array" ref="AJ35">SUM(IF(ISNUMBER(FIND("TmDo",$BE$1:$AAL$1)),IF(IFERROR(ISNUMBER(VALUE(SUBSTITUTE($BE35:$AAL35,"B",""))),FALSE),IF(ISNUMBER(VALUE(SUBSTITUTE($BE35:$AAL35,"B",""))),1,0),0)))</f>
        <v>1</v>
      </c>
      <c r="AK35" t="str">
        <f t="shared" si="0"/>
        <v>3A</v>
      </c>
      <c r="AL35" t="str">
        <f t="shared" si="1"/>
        <v>3B</v>
      </c>
      <c r="AM35">
        <v>45</v>
      </c>
      <c r="AN35" t="str">
        <f t="shared" ref="AN35:AN42" si="59">CONCATENATE(AM35,"XT")</f>
        <v>45XT</v>
      </c>
      <c r="AO35" t="str">
        <f t="shared" si="50"/>
        <v>45X</v>
      </c>
      <c r="AP35" t="s">
        <v>137</v>
      </c>
      <c r="AQ35" t="s">
        <v>138</v>
      </c>
      <c r="AR35" t="str">
        <f t="shared" si="51"/>
        <v>Соединительная коробка (F0GAD16GB801)</v>
      </c>
      <c r="AT35" t="s">
        <v>139</v>
      </c>
      <c r="AU35" t="s">
        <v>140</v>
      </c>
      <c r="BD35" s="16"/>
      <c r="ER35" s="27" t="str">
        <f t="shared" si="52"/>
        <v>XT34</v>
      </c>
      <c r="ES35" t="str">
        <f t="shared" si="53"/>
        <v>C5</v>
      </c>
      <c r="ET35" t="str">
        <f>CONCATENATE("B",REPLACE(AG35,1,1,"")+1)</f>
        <v>B5</v>
      </c>
      <c r="EU35" t="str">
        <f>CONCATENATE("C",REPLACE(ES35,1,1,"")+1)</f>
        <v>C6</v>
      </c>
      <c r="EV35" t="str">
        <f>CONCATENATE("B",REPLACE(ET35,1,1,"")+1)</f>
        <v>B6</v>
      </c>
      <c r="EW35" t="str">
        <f t="shared" si="54"/>
        <v>4A</v>
      </c>
      <c r="EX35" t="str">
        <f t="shared" si="55"/>
        <v>4B</v>
      </c>
      <c r="EY35" t="str">
        <f>CONCATENATE("DI",REPLACE($AC35,1,3,""),"-",AF35)</f>
        <v>DI8-C4</v>
      </c>
      <c r="EZ35" t="str">
        <f>CONCATENATE("DI",REPLACE($AC35,1,3,""),"-",AG35)</f>
        <v>DI8-B4</v>
      </c>
      <c r="FA35" t="str">
        <f t="shared" si="56"/>
        <v>DI8-C5</v>
      </c>
      <c r="FB35" t="str">
        <f t="shared" si="56"/>
        <v>DI8-B5</v>
      </c>
      <c r="FC35" t="str">
        <f t="shared" si="56"/>
        <v>DI8-C6</v>
      </c>
      <c r="FD35" t="str">
        <f t="shared" si="56"/>
        <v>DI8-B6</v>
      </c>
      <c r="FE35" t="str">
        <f>CONCATENATE("DO",REPLACE($AH35,1,3,""),"-",AK35)</f>
        <v>DO5-3A</v>
      </c>
      <c r="FF35" t="str">
        <f>CONCATENATE("DO",REPLACE($AH35,1,3,""),"-",AL35)</f>
        <v>DO5-3B</v>
      </c>
      <c r="FG35" t="str">
        <f>CONCATENATE("DO",REPLACE($AH35,1,3,""),"-",EW35)</f>
        <v>DO5-4A</v>
      </c>
      <c r="FH35" t="str">
        <f>CONCATENATE("DO",REPLACE($AH35,1,3,""),"-",EX35)</f>
        <v>DO5-4B</v>
      </c>
      <c r="FI35" t="str">
        <f>CONCATENATE("K",$U35,"-03")</f>
        <v>K34-03</v>
      </c>
      <c r="FJ35" t="str">
        <f>CONCATENATE("K",$U35,"-04")</f>
        <v>K34-04</v>
      </c>
      <c r="FK35" t="str">
        <f>CONCATENATE("K",$U35,"-01")</f>
        <v>K34-01</v>
      </c>
      <c r="FL35" t="str">
        <f>CONCATENATE("K",$U35,"-02")</f>
        <v>K34-02</v>
      </c>
      <c r="FM35" t="str">
        <f t="shared" si="57"/>
        <v>K34-05</v>
      </c>
      <c r="FN35" t="str">
        <f>CONCATENATE($T35,"-M",$U35,"-H1")</f>
        <v>F0-M34-H1</v>
      </c>
      <c r="FO35" t="str">
        <f>CONCATENATE($T35,"-M",$U35,"-A1")</f>
        <v>F0-M34-A1</v>
      </c>
      <c r="FP35" t="str">
        <f>CONCATENATE($T35,"-M",$U35,"-3")</f>
        <v>F0-M34-3</v>
      </c>
      <c r="FQ35" t="str">
        <f>CONCATENATE($T35,"-M",$U35,"-2")</f>
        <v>F0-M34-2</v>
      </c>
      <c r="FR35" t="str">
        <f>CONCATENATE($T35,"-M",$U35,"-16")</f>
        <v>F0-M34-16</v>
      </c>
      <c r="FS35" t="str">
        <f>CONCATENATE($T35,"-M",$U35,"-15")</f>
        <v>F0-M34-15</v>
      </c>
      <c r="FT35" t="str">
        <f>CONCATENATE($T35,"-A220-M",$U35,)</f>
        <v>F0-A220-M34</v>
      </c>
      <c r="FU35" t="str">
        <f t="shared" si="58"/>
        <v>F0-M34-XM01</v>
      </c>
      <c r="FV35" t="s">
        <v>142</v>
      </c>
      <c r="FW35" t="s">
        <v>143</v>
      </c>
      <c r="FX35">
        <v>11</v>
      </c>
      <c r="FY35">
        <v>14</v>
      </c>
      <c r="FZ35" t="s">
        <v>145</v>
      </c>
      <c r="GA35" t="s">
        <v>144</v>
      </c>
      <c r="GB35">
        <v>1</v>
      </c>
      <c r="GC35">
        <v>2</v>
      </c>
      <c r="GD35">
        <v>3</v>
      </c>
      <c r="GE35">
        <v>4</v>
      </c>
      <c r="GF35">
        <v>5</v>
      </c>
      <c r="GG35">
        <v>6</v>
      </c>
      <c r="GH35">
        <v>7</v>
      </c>
      <c r="GI35">
        <v>8</v>
      </c>
      <c r="GJ35">
        <v>9</v>
      </c>
      <c r="GK35">
        <v>1</v>
      </c>
      <c r="GL35">
        <v>2</v>
      </c>
      <c r="GM35">
        <v>3</v>
      </c>
      <c r="GN35">
        <v>4</v>
      </c>
      <c r="GO35">
        <v>5</v>
      </c>
      <c r="GP35">
        <v>1</v>
      </c>
      <c r="GQ35">
        <v>2</v>
      </c>
      <c r="GR35">
        <v>4</v>
      </c>
      <c r="GS35" s="16">
        <v>5</v>
      </c>
    </row>
    <row r="36" spans="1:285" x14ac:dyDescent="0.25">
      <c r="A36" t="s">
        <v>342</v>
      </c>
      <c r="B36" t="s">
        <v>341</v>
      </c>
      <c r="P36" t="s">
        <v>281</v>
      </c>
      <c r="T36" s="14" t="s">
        <v>554</v>
      </c>
      <c r="U36" s="15">
        <v>35</v>
      </c>
      <c r="V36" t="s">
        <v>345</v>
      </c>
      <c r="W36" t="s">
        <v>346</v>
      </c>
      <c r="AC36" t="s">
        <v>277</v>
      </c>
      <c r="AF36" t="s">
        <v>148</v>
      </c>
      <c r="AG36" t="s">
        <v>149</v>
      </c>
      <c r="AH36" t="s">
        <v>383</v>
      </c>
      <c r="AI36" s="73" cm="1">
        <f t="array" ref="AI36">IF(COUNTIFS(AH$2:AH36,AH36)=1,"1",VALUE(SUBSTITUTE(INDEX(AI:AI,_xlfn.XMATCH(AH36,AH$1:AH35,0,-1)),"A",""))+INDEX(AJ:AJ,_xlfn.XMATCH(AH36,AH$1:AH35,0,-1))+1)</f>
        <v>5</v>
      </c>
      <c r="AJ36" s="73" cm="1">
        <f t="array" ref="AJ36">SUM(IF(ISNUMBER(FIND("TmDo",$BE$1:$AAL$1)),IF(IFERROR(ISNUMBER(VALUE(SUBSTITUTE($BE36:$AAL36,"B",""))),FALSE),IF(ISNUMBER(VALUE(SUBSTITUTE($BE36:$AAL36,"B",""))),1,0),0)))</f>
        <v>1</v>
      </c>
      <c r="AK36" t="str">
        <f t="shared" si="0"/>
        <v>5A</v>
      </c>
      <c r="AL36" t="str">
        <f t="shared" si="1"/>
        <v>5B</v>
      </c>
      <c r="AM36">
        <v>44</v>
      </c>
      <c r="AN36" t="str">
        <f t="shared" si="59"/>
        <v>44XT</v>
      </c>
      <c r="AO36" t="str">
        <f t="shared" si="50"/>
        <v>44X</v>
      </c>
      <c r="AP36" t="s">
        <v>137</v>
      </c>
      <c r="AQ36" t="s">
        <v>138</v>
      </c>
      <c r="AR36" t="str">
        <f t="shared" si="51"/>
        <v>Соединительная коробка (F0GHJ20GB801)</v>
      </c>
      <c r="AT36" t="s">
        <v>139</v>
      </c>
      <c r="AU36" t="s">
        <v>140</v>
      </c>
      <c r="BD36" s="16"/>
      <c r="ER36" s="27" t="str">
        <f t="shared" si="52"/>
        <v>XT35</v>
      </c>
      <c r="ES36" t="str">
        <f t="shared" si="53"/>
        <v>C8</v>
      </c>
      <c r="ET36" t="str">
        <f t="shared" ref="ET36:ET42" si="60">CONCATENATE("B",REPLACE(AG36,1,1,"")+1)</f>
        <v>B8</v>
      </c>
      <c r="EU36" t="str">
        <f t="shared" ref="EU36:EU42" si="61">CONCATENATE("C",REPLACE(ES36,1,1,"")+1)</f>
        <v>C9</v>
      </c>
      <c r="EV36" t="str">
        <f t="shared" ref="EV36:EV42" si="62">CONCATENATE("B",REPLACE(ET36,1,1,"")+1)</f>
        <v>B9</v>
      </c>
      <c r="EW36" t="str">
        <f t="shared" si="54"/>
        <v>6A</v>
      </c>
      <c r="EX36" t="str">
        <f t="shared" si="55"/>
        <v>6B</v>
      </c>
      <c r="EY36" t="str">
        <f t="shared" ref="EY36:EY42" si="63">CONCATENATE("DI",REPLACE($AC36,1,3,""),"-",AF36)</f>
        <v>DI8-C7</v>
      </c>
      <c r="EZ36" t="str">
        <f t="shared" ref="EZ36:EZ42" si="64">CONCATENATE("DI",REPLACE($AC36,1,3,""),"-",AG36)</f>
        <v>DI8-B7</v>
      </c>
      <c r="FA36" t="str">
        <f t="shared" ref="FA36:FA42" si="65">CONCATENATE("DI",REPLACE($AC36,1,3,""),"-",ES36)</f>
        <v>DI8-C8</v>
      </c>
      <c r="FB36" t="str">
        <f t="shared" ref="FB36:FB42" si="66">CONCATENATE("DI",REPLACE($AC36,1,3,""),"-",ET36)</f>
        <v>DI8-B8</v>
      </c>
      <c r="FC36" t="str">
        <f t="shared" ref="FC36:FC42" si="67">CONCATENATE("DI",REPLACE($AC36,1,3,""),"-",EU36)</f>
        <v>DI8-C9</v>
      </c>
      <c r="FD36" t="str">
        <f t="shared" ref="FD36:FD42" si="68">CONCATENATE("DI",REPLACE($AC36,1,3,""),"-",EV36)</f>
        <v>DI8-B9</v>
      </c>
      <c r="FE36" t="str">
        <f t="shared" ref="FE36:FE42" si="69">CONCATENATE("DO",REPLACE($AH36,1,3,""),"-",AK36)</f>
        <v>DO5-5A</v>
      </c>
      <c r="FF36" t="str">
        <f t="shared" ref="FF36:FF42" si="70">CONCATENATE("DO",REPLACE($AH36,1,3,""),"-",AL36)</f>
        <v>DO5-5B</v>
      </c>
      <c r="FG36" t="str">
        <f t="shared" ref="FG36:FG42" si="71">CONCATENATE("DO",REPLACE($AH36,1,3,""),"-",EW36)</f>
        <v>DO5-6A</v>
      </c>
      <c r="FH36" t="str">
        <f t="shared" ref="FH36:FH42" si="72">CONCATENATE("DO",REPLACE($AH36,1,3,""),"-",EX36)</f>
        <v>DO5-6B</v>
      </c>
      <c r="FI36" t="str">
        <f t="shared" ref="FI36:FI42" si="73">CONCATENATE("K",$U36,"-03")</f>
        <v>K35-03</v>
      </c>
      <c r="FJ36" t="str">
        <f t="shared" ref="FJ36:FJ42" si="74">CONCATENATE("K",$U36,"-04")</f>
        <v>K35-04</v>
      </c>
      <c r="FK36" t="str">
        <f t="shared" ref="FK36:FK42" si="75">CONCATENATE("K",$U36,"-01")</f>
        <v>K35-01</v>
      </c>
      <c r="FL36" t="str">
        <f t="shared" ref="FL36:FL42" si="76">CONCATENATE("K",$U36,"-02")</f>
        <v>K35-02</v>
      </c>
      <c r="FM36" t="str">
        <f t="shared" si="57"/>
        <v>K35-05</v>
      </c>
      <c r="FN36" t="str">
        <f t="shared" ref="FN36:FN42" si="77">CONCATENATE($T36,"-M",$U36,"-H1")</f>
        <v>F0-M35-H1</v>
      </c>
      <c r="FO36" t="str">
        <f t="shared" ref="FO36:FO42" si="78">CONCATENATE($T36,"-M",$U36,"-A1")</f>
        <v>F0-M35-A1</v>
      </c>
      <c r="FP36" t="str">
        <f t="shared" ref="FP36:FP42" si="79">CONCATENATE($T36,"-M",$U36,"-3")</f>
        <v>F0-M35-3</v>
      </c>
      <c r="FQ36" t="str">
        <f t="shared" ref="FQ36:FQ42" si="80">CONCATENATE($T36,"-M",$U36,"-2")</f>
        <v>F0-M35-2</v>
      </c>
      <c r="FR36" t="str">
        <f t="shared" ref="FR36:FR42" si="81">CONCATENATE($T36,"-M",$U36,"-16")</f>
        <v>F0-M35-16</v>
      </c>
      <c r="FS36" t="str">
        <f t="shared" ref="FS36:FS42" si="82">CONCATENATE($T36,"-M",$U36,"-15")</f>
        <v>F0-M35-15</v>
      </c>
      <c r="FT36" t="str">
        <f t="shared" ref="FT36:FT42" si="83">CONCATENATE($T36,"-A220-M",$U36,)</f>
        <v>F0-A220-M35</v>
      </c>
      <c r="FU36" t="str">
        <f t="shared" si="58"/>
        <v>F0-M35-XM01</v>
      </c>
      <c r="FV36" t="s">
        <v>142</v>
      </c>
      <c r="FW36" t="s">
        <v>143</v>
      </c>
      <c r="FX36">
        <v>11</v>
      </c>
      <c r="FY36">
        <v>14</v>
      </c>
      <c r="FZ36" t="s">
        <v>145</v>
      </c>
      <c r="GA36" t="s">
        <v>144</v>
      </c>
      <c r="GB36">
        <v>1</v>
      </c>
      <c r="GC36">
        <v>2</v>
      </c>
      <c r="GD36">
        <v>3</v>
      </c>
      <c r="GE36">
        <v>4</v>
      </c>
      <c r="GF36">
        <v>5</v>
      </c>
      <c r="GG36">
        <v>6</v>
      </c>
      <c r="GH36">
        <v>7</v>
      </c>
      <c r="GI36">
        <v>8</v>
      </c>
      <c r="GJ36">
        <v>9</v>
      </c>
      <c r="GK36">
        <v>1</v>
      </c>
      <c r="GL36">
        <v>2</v>
      </c>
      <c r="GM36">
        <v>3</v>
      </c>
      <c r="GN36">
        <v>4</v>
      </c>
      <c r="GO36">
        <v>5</v>
      </c>
      <c r="GP36">
        <v>1</v>
      </c>
      <c r="GQ36">
        <v>2</v>
      </c>
      <c r="GR36">
        <v>4</v>
      </c>
      <c r="GS36" s="16">
        <v>5</v>
      </c>
    </row>
    <row r="37" spans="1:285" x14ac:dyDescent="0.25">
      <c r="A37" t="s">
        <v>344</v>
      </c>
      <c r="B37" t="s">
        <v>343</v>
      </c>
      <c r="P37" t="s">
        <v>281</v>
      </c>
      <c r="T37" s="14" t="s">
        <v>554</v>
      </c>
      <c r="U37" s="15">
        <v>36</v>
      </c>
      <c r="V37" s="15" t="s">
        <v>347</v>
      </c>
      <c r="W37" s="15" t="s">
        <v>348</v>
      </c>
      <c r="AC37" t="s">
        <v>277</v>
      </c>
      <c r="AF37" t="s">
        <v>377</v>
      </c>
      <c r="AG37" t="s">
        <v>378</v>
      </c>
      <c r="AH37" t="s">
        <v>383</v>
      </c>
      <c r="AI37" s="73" cm="1">
        <f t="array" ref="AI37">IF(COUNTIFS(AH$2:AH37,AH37)=1,"1",VALUE(SUBSTITUTE(INDEX(AI:AI,_xlfn.XMATCH(AH37,AH$1:AH36,0,-1)),"A",""))+INDEX(AJ:AJ,_xlfn.XMATCH(AH37,AH$1:AH36,0,-1))+1)</f>
        <v>7</v>
      </c>
      <c r="AJ37" s="73" cm="1">
        <f t="array" ref="AJ37">SUM(IF(ISNUMBER(FIND("TmDo",$BE$1:$AAL$1)),IF(IFERROR(ISNUMBER(VALUE(SUBSTITUTE($BE37:$AAL37,"B",""))),FALSE),IF(ISNUMBER(VALUE(SUBSTITUTE($BE37:$AAL37,"B",""))),1,0),0)))</f>
        <v>1</v>
      </c>
      <c r="AK37" t="str">
        <f t="shared" si="0"/>
        <v>7A</v>
      </c>
      <c r="AL37" t="str">
        <f t="shared" si="1"/>
        <v>7B</v>
      </c>
      <c r="AM37">
        <v>42</v>
      </c>
      <c r="AN37" t="str">
        <f t="shared" si="59"/>
        <v>42XT</v>
      </c>
      <c r="AO37" t="str">
        <f t="shared" si="50"/>
        <v>42X</v>
      </c>
      <c r="AP37" t="s">
        <v>137</v>
      </c>
      <c r="AQ37" t="s">
        <v>138</v>
      </c>
      <c r="AR37" t="str">
        <f t="shared" si="51"/>
        <v>Соединительная коробка (F0GAD17GB801)</v>
      </c>
      <c r="AT37" t="s">
        <v>139</v>
      </c>
      <c r="AU37" t="s">
        <v>140</v>
      </c>
      <c r="BD37" s="16"/>
      <c r="ER37" s="27" t="str">
        <f t="shared" si="52"/>
        <v>XT36</v>
      </c>
      <c r="ES37" t="str">
        <f t="shared" si="53"/>
        <v>C11</v>
      </c>
      <c r="ET37" t="str">
        <f t="shared" si="60"/>
        <v>B11</v>
      </c>
      <c r="EU37" t="str">
        <f t="shared" si="61"/>
        <v>C12</v>
      </c>
      <c r="EV37" t="str">
        <f t="shared" si="62"/>
        <v>B12</v>
      </c>
      <c r="EW37" t="str">
        <f t="shared" si="54"/>
        <v>8A</v>
      </c>
      <c r="EX37" t="str">
        <f t="shared" si="55"/>
        <v>8B</v>
      </c>
      <c r="EY37" t="str">
        <f t="shared" si="63"/>
        <v>DI8-C10</v>
      </c>
      <c r="EZ37" t="str">
        <f t="shared" si="64"/>
        <v>DI8-B10</v>
      </c>
      <c r="FA37" t="str">
        <f t="shared" si="65"/>
        <v>DI8-C11</v>
      </c>
      <c r="FB37" t="str">
        <f t="shared" si="66"/>
        <v>DI8-B11</v>
      </c>
      <c r="FC37" t="str">
        <f t="shared" si="67"/>
        <v>DI8-C12</v>
      </c>
      <c r="FD37" t="str">
        <f t="shared" si="68"/>
        <v>DI8-B12</v>
      </c>
      <c r="FE37" t="str">
        <f t="shared" si="69"/>
        <v>DO5-7A</v>
      </c>
      <c r="FF37" t="str">
        <f t="shared" si="70"/>
        <v>DO5-7B</v>
      </c>
      <c r="FG37" t="str">
        <f t="shared" si="71"/>
        <v>DO5-8A</v>
      </c>
      <c r="FH37" t="str">
        <f t="shared" si="72"/>
        <v>DO5-8B</v>
      </c>
      <c r="FI37" t="str">
        <f t="shared" si="73"/>
        <v>K36-03</v>
      </c>
      <c r="FJ37" t="str">
        <f t="shared" si="74"/>
        <v>K36-04</v>
      </c>
      <c r="FK37" t="str">
        <f t="shared" si="75"/>
        <v>K36-01</v>
      </c>
      <c r="FL37" t="str">
        <f t="shared" si="76"/>
        <v>K36-02</v>
      </c>
      <c r="FM37" t="str">
        <f t="shared" si="57"/>
        <v>K36-05</v>
      </c>
      <c r="FN37" t="str">
        <f t="shared" si="77"/>
        <v>F0-M36-H1</v>
      </c>
      <c r="FO37" t="str">
        <f t="shared" si="78"/>
        <v>F0-M36-A1</v>
      </c>
      <c r="FP37" t="str">
        <f t="shared" si="79"/>
        <v>F0-M36-3</v>
      </c>
      <c r="FQ37" t="str">
        <f t="shared" si="80"/>
        <v>F0-M36-2</v>
      </c>
      <c r="FR37" t="str">
        <f t="shared" si="81"/>
        <v>F0-M36-16</v>
      </c>
      <c r="FS37" t="str">
        <f t="shared" si="82"/>
        <v>F0-M36-15</v>
      </c>
      <c r="FT37" t="str">
        <f t="shared" si="83"/>
        <v>F0-A220-M36</v>
      </c>
      <c r="FU37" t="str">
        <f t="shared" si="58"/>
        <v>F0-M36-XM01</v>
      </c>
      <c r="FV37" t="s">
        <v>142</v>
      </c>
      <c r="FW37" t="s">
        <v>143</v>
      </c>
      <c r="FX37">
        <v>11</v>
      </c>
      <c r="FY37">
        <v>14</v>
      </c>
      <c r="FZ37" t="s">
        <v>145</v>
      </c>
      <c r="GA37" t="s">
        <v>144</v>
      </c>
      <c r="GB37">
        <v>1</v>
      </c>
      <c r="GC37">
        <v>2</v>
      </c>
      <c r="GD37">
        <v>3</v>
      </c>
      <c r="GE37">
        <v>4</v>
      </c>
      <c r="GF37">
        <v>5</v>
      </c>
      <c r="GG37">
        <v>6</v>
      </c>
      <c r="GH37">
        <v>7</v>
      </c>
      <c r="GI37">
        <v>8</v>
      </c>
      <c r="GJ37">
        <v>9</v>
      </c>
      <c r="GK37">
        <v>1</v>
      </c>
      <c r="GL37">
        <v>2</v>
      </c>
      <c r="GM37">
        <v>3</v>
      </c>
      <c r="GN37">
        <v>4</v>
      </c>
      <c r="GO37">
        <v>5</v>
      </c>
      <c r="GP37">
        <v>1</v>
      </c>
      <c r="GQ37">
        <v>2</v>
      </c>
      <c r="GR37">
        <v>4</v>
      </c>
      <c r="GS37" s="16">
        <v>5</v>
      </c>
    </row>
    <row r="38" spans="1:285" x14ac:dyDescent="0.25">
      <c r="A38" t="s">
        <v>350</v>
      </c>
      <c r="B38" t="s">
        <v>349</v>
      </c>
      <c r="P38" t="s">
        <v>281</v>
      </c>
      <c r="T38" s="14" t="s">
        <v>554</v>
      </c>
      <c r="U38" s="15">
        <v>37</v>
      </c>
      <c r="V38" t="s">
        <v>351</v>
      </c>
      <c r="W38" t="s">
        <v>352</v>
      </c>
      <c r="AC38" t="s">
        <v>277</v>
      </c>
      <c r="AF38" t="s">
        <v>153</v>
      </c>
      <c r="AG38" t="s">
        <v>154</v>
      </c>
      <c r="AH38" t="s">
        <v>383</v>
      </c>
      <c r="AI38" s="73" cm="1">
        <f t="array" ref="AI38">IF(COUNTIFS(AH$2:AH38,AH38)=1,"1",VALUE(SUBSTITUTE(INDEX(AI:AI,_xlfn.XMATCH(AH38,AH$1:AH37,0,-1)),"A",""))+INDEX(AJ:AJ,_xlfn.XMATCH(AH38,AH$1:AH37,0,-1))+1)</f>
        <v>9</v>
      </c>
      <c r="AJ38" s="73" cm="1">
        <f t="array" ref="AJ38">SUM(IF(ISNUMBER(FIND("TmDo",$BE$1:$AAL$1)),IF(IFERROR(ISNUMBER(VALUE(SUBSTITUTE($BE38:$AAL38,"B",""))),FALSE),IF(ISNUMBER(VALUE(SUBSTITUTE($BE38:$AAL38,"B",""))),1,0),0)))</f>
        <v>1</v>
      </c>
      <c r="AK38" t="str">
        <f t="shared" si="0"/>
        <v>9A</v>
      </c>
      <c r="AL38" t="str">
        <f t="shared" si="1"/>
        <v>9B</v>
      </c>
      <c r="AM38">
        <v>46</v>
      </c>
      <c r="AN38" t="str">
        <f t="shared" si="59"/>
        <v>46XT</v>
      </c>
      <c r="AO38" t="str">
        <f t="shared" si="50"/>
        <v>46X</v>
      </c>
      <c r="AP38" t="s">
        <v>137</v>
      </c>
      <c r="AQ38" t="s">
        <v>138</v>
      </c>
      <c r="AR38" t="str">
        <f t="shared" si="51"/>
        <v>Соединительная коробка (F0NDG24GB801)</v>
      </c>
      <c r="AT38" t="s">
        <v>139</v>
      </c>
      <c r="AU38" t="s">
        <v>140</v>
      </c>
      <c r="BD38" s="16"/>
      <c r="ER38" s="27" t="str">
        <f t="shared" si="52"/>
        <v>XT37</v>
      </c>
      <c r="ES38" t="str">
        <f t="shared" si="53"/>
        <v>C14</v>
      </c>
      <c r="ET38" t="str">
        <f t="shared" si="60"/>
        <v>B14</v>
      </c>
      <c r="EU38" t="str">
        <f t="shared" si="61"/>
        <v>C15</v>
      </c>
      <c r="EV38" t="str">
        <f t="shared" si="62"/>
        <v>B15</v>
      </c>
      <c r="EW38" t="str">
        <f t="shared" si="54"/>
        <v>10A</v>
      </c>
      <c r="EX38" t="str">
        <f t="shared" si="55"/>
        <v>10B</v>
      </c>
      <c r="EY38" t="str">
        <f t="shared" si="63"/>
        <v>DI8-C13</v>
      </c>
      <c r="EZ38" t="str">
        <f t="shared" si="64"/>
        <v>DI8-B13</v>
      </c>
      <c r="FA38" t="str">
        <f t="shared" si="65"/>
        <v>DI8-C14</v>
      </c>
      <c r="FB38" t="str">
        <f t="shared" si="66"/>
        <v>DI8-B14</v>
      </c>
      <c r="FC38" t="str">
        <f t="shared" si="67"/>
        <v>DI8-C15</v>
      </c>
      <c r="FD38" t="str">
        <f t="shared" si="68"/>
        <v>DI8-B15</v>
      </c>
      <c r="FE38" t="str">
        <f t="shared" si="69"/>
        <v>DO5-9A</v>
      </c>
      <c r="FF38" t="str">
        <f t="shared" si="70"/>
        <v>DO5-9B</v>
      </c>
      <c r="FG38" t="str">
        <f t="shared" si="71"/>
        <v>DO5-10A</v>
      </c>
      <c r="FH38" t="str">
        <f t="shared" si="72"/>
        <v>DO5-10B</v>
      </c>
      <c r="FI38" t="str">
        <f t="shared" si="73"/>
        <v>K37-03</v>
      </c>
      <c r="FJ38" t="str">
        <f t="shared" si="74"/>
        <v>K37-04</v>
      </c>
      <c r="FK38" t="str">
        <f t="shared" si="75"/>
        <v>K37-01</v>
      </c>
      <c r="FL38" t="str">
        <f t="shared" si="76"/>
        <v>K37-02</v>
      </c>
      <c r="FM38" t="str">
        <f t="shared" si="57"/>
        <v>K37-05</v>
      </c>
      <c r="FN38" t="str">
        <f t="shared" si="77"/>
        <v>F0-M37-H1</v>
      </c>
      <c r="FO38" t="str">
        <f t="shared" si="78"/>
        <v>F0-M37-A1</v>
      </c>
      <c r="FP38" t="str">
        <f t="shared" si="79"/>
        <v>F0-M37-3</v>
      </c>
      <c r="FQ38" t="str">
        <f t="shared" si="80"/>
        <v>F0-M37-2</v>
      </c>
      <c r="FR38" t="str">
        <f t="shared" si="81"/>
        <v>F0-M37-16</v>
      </c>
      <c r="FS38" t="str">
        <f t="shared" si="82"/>
        <v>F0-M37-15</v>
      </c>
      <c r="FT38" t="str">
        <f t="shared" si="83"/>
        <v>F0-A220-M37</v>
      </c>
      <c r="FU38" t="str">
        <f t="shared" si="58"/>
        <v>F0-M37-XM01</v>
      </c>
      <c r="FV38" t="s">
        <v>142</v>
      </c>
      <c r="FW38" t="s">
        <v>143</v>
      </c>
      <c r="FX38">
        <v>11</v>
      </c>
      <c r="FY38">
        <v>14</v>
      </c>
      <c r="FZ38" t="s">
        <v>145</v>
      </c>
      <c r="GA38" t="s">
        <v>144</v>
      </c>
      <c r="GB38">
        <v>1</v>
      </c>
      <c r="GC38">
        <v>2</v>
      </c>
      <c r="GD38">
        <v>3</v>
      </c>
      <c r="GE38">
        <v>4</v>
      </c>
      <c r="GF38">
        <v>5</v>
      </c>
      <c r="GG38">
        <v>6</v>
      </c>
      <c r="GH38">
        <v>7</v>
      </c>
      <c r="GI38">
        <v>8</v>
      </c>
      <c r="GJ38">
        <v>9</v>
      </c>
      <c r="GK38">
        <v>1</v>
      </c>
      <c r="GL38">
        <v>2</v>
      </c>
      <c r="GM38">
        <v>3</v>
      </c>
      <c r="GN38">
        <v>4</v>
      </c>
      <c r="GO38">
        <v>5</v>
      </c>
      <c r="GP38">
        <v>1</v>
      </c>
      <c r="GQ38">
        <v>2</v>
      </c>
      <c r="GR38">
        <v>4</v>
      </c>
      <c r="GS38" s="16">
        <v>5</v>
      </c>
    </row>
    <row r="39" spans="1:285" x14ac:dyDescent="0.25">
      <c r="A39" t="s">
        <v>356</v>
      </c>
      <c r="B39" t="s">
        <v>355</v>
      </c>
      <c r="P39" t="s">
        <v>281</v>
      </c>
      <c r="T39" s="14" t="s">
        <v>554</v>
      </c>
      <c r="U39" s="15">
        <v>38</v>
      </c>
      <c r="V39" s="15" t="s">
        <v>353</v>
      </c>
      <c r="W39" s="15" t="s">
        <v>354</v>
      </c>
      <c r="AC39" t="s">
        <v>277</v>
      </c>
      <c r="AF39" t="s">
        <v>379</v>
      </c>
      <c r="AG39" t="s">
        <v>380</v>
      </c>
      <c r="AH39" t="s">
        <v>383</v>
      </c>
      <c r="AI39" s="73" cm="1">
        <f t="array" ref="AI39">IF(COUNTIFS(AH$2:AH39,AH39)=1,"1",VALUE(SUBSTITUTE(INDEX(AI:AI,_xlfn.XMATCH(AH39,AH$1:AH38,0,-1)),"A",""))+INDEX(AJ:AJ,_xlfn.XMATCH(AH39,AH$1:AH38,0,-1))+1)</f>
        <v>11</v>
      </c>
      <c r="AJ39" s="73" cm="1">
        <f t="array" ref="AJ39">SUM(IF(ISNUMBER(FIND("TmDo",$BE$1:$AAL$1)),IF(IFERROR(ISNUMBER(VALUE(SUBSTITUTE($BE39:$AAL39,"B",""))),FALSE),IF(ISNUMBER(VALUE(SUBSTITUTE($BE39:$AAL39,"B",""))),1,0),0)))</f>
        <v>1</v>
      </c>
      <c r="AK39" t="str">
        <f t="shared" si="0"/>
        <v>11A</v>
      </c>
      <c r="AL39" t="str">
        <f t="shared" si="1"/>
        <v>11B</v>
      </c>
      <c r="AM39">
        <v>55</v>
      </c>
      <c r="AN39" t="str">
        <f t="shared" si="59"/>
        <v>55XT</v>
      </c>
      <c r="AO39" t="str">
        <f t="shared" si="50"/>
        <v>55X</v>
      </c>
      <c r="AP39" t="s">
        <v>137</v>
      </c>
      <c r="AQ39" t="s">
        <v>138</v>
      </c>
      <c r="AR39" t="str">
        <f t="shared" si="51"/>
        <v>Соединительная коробка (F0NDG20GB803)</v>
      </c>
      <c r="AT39" t="s">
        <v>139</v>
      </c>
      <c r="AU39" t="s">
        <v>140</v>
      </c>
      <c r="BD39" s="16"/>
      <c r="ER39" s="27" t="str">
        <f t="shared" si="52"/>
        <v>XT38</v>
      </c>
      <c r="ES39" t="str">
        <f t="shared" si="53"/>
        <v>C17</v>
      </c>
      <c r="ET39" t="str">
        <f t="shared" si="60"/>
        <v>B17</v>
      </c>
      <c r="EU39" t="str">
        <f t="shared" si="61"/>
        <v>C18</v>
      </c>
      <c r="EV39" t="str">
        <f t="shared" si="62"/>
        <v>B18</v>
      </c>
      <c r="EW39" t="str">
        <f t="shared" si="54"/>
        <v>12A</v>
      </c>
      <c r="EX39" t="str">
        <f t="shared" si="55"/>
        <v>12B</v>
      </c>
      <c r="EY39" t="str">
        <f t="shared" si="63"/>
        <v>DI8-C16</v>
      </c>
      <c r="EZ39" t="str">
        <f t="shared" si="64"/>
        <v>DI8-B16</v>
      </c>
      <c r="FA39" t="str">
        <f t="shared" si="65"/>
        <v>DI8-C17</v>
      </c>
      <c r="FB39" t="str">
        <f t="shared" si="66"/>
        <v>DI8-B17</v>
      </c>
      <c r="FC39" t="str">
        <f t="shared" si="67"/>
        <v>DI8-C18</v>
      </c>
      <c r="FD39" t="str">
        <f t="shared" si="68"/>
        <v>DI8-B18</v>
      </c>
      <c r="FE39" t="str">
        <f t="shared" si="69"/>
        <v>DO5-11A</v>
      </c>
      <c r="FF39" t="str">
        <f t="shared" si="70"/>
        <v>DO5-11B</v>
      </c>
      <c r="FG39" t="str">
        <f t="shared" si="71"/>
        <v>DO5-12A</v>
      </c>
      <c r="FH39" t="str">
        <f t="shared" si="72"/>
        <v>DO5-12B</v>
      </c>
      <c r="FI39" t="str">
        <f t="shared" si="73"/>
        <v>K38-03</v>
      </c>
      <c r="FJ39" t="str">
        <f t="shared" si="74"/>
        <v>K38-04</v>
      </c>
      <c r="FK39" t="str">
        <f t="shared" si="75"/>
        <v>K38-01</v>
      </c>
      <c r="FL39" t="str">
        <f t="shared" si="76"/>
        <v>K38-02</v>
      </c>
      <c r="FM39" t="str">
        <f t="shared" si="57"/>
        <v>K38-05</v>
      </c>
      <c r="FN39" t="str">
        <f t="shared" si="77"/>
        <v>F0-M38-H1</v>
      </c>
      <c r="FO39" t="str">
        <f t="shared" si="78"/>
        <v>F0-M38-A1</v>
      </c>
      <c r="FP39" t="str">
        <f t="shared" si="79"/>
        <v>F0-M38-3</v>
      </c>
      <c r="FQ39" t="str">
        <f t="shared" si="80"/>
        <v>F0-M38-2</v>
      </c>
      <c r="FR39" t="str">
        <f t="shared" si="81"/>
        <v>F0-M38-16</v>
      </c>
      <c r="FS39" t="str">
        <f t="shared" si="82"/>
        <v>F0-M38-15</v>
      </c>
      <c r="FT39" t="str">
        <f t="shared" si="83"/>
        <v>F0-A220-M38</v>
      </c>
      <c r="FU39" t="str">
        <f t="shared" si="58"/>
        <v>F0-M38-XM01</v>
      </c>
      <c r="FV39" t="s">
        <v>142</v>
      </c>
      <c r="FW39" t="s">
        <v>143</v>
      </c>
      <c r="FX39">
        <v>11</v>
      </c>
      <c r="FY39">
        <v>14</v>
      </c>
      <c r="FZ39" t="s">
        <v>145</v>
      </c>
      <c r="GA39" t="s">
        <v>144</v>
      </c>
      <c r="GB39">
        <v>1</v>
      </c>
      <c r="GC39">
        <v>2</v>
      </c>
      <c r="GD39">
        <v>3</v>
      </c>
      <c r="GE39">
        <v>4</v>
      </c>
      <c r="GF39">
        <v>5</v>
      </c>
      <c r="GG39">
        <v>6</v>
      </c>
      <c r="GH39">
        <v>7</v>
      </c>
      <c r="GI39">
        <v>8</v>
      </c>
      <c r="GJ39">
        <v>9</v>
      </c>
      <c r="GK39">
        <v>1</v>
      </c>
      <c r="GL39">
        <v>2</v>
      </c>
      <c r="GM39">
        <v>3</v>
      </c>
      <c r="GN39">
        <v>4</v>
      </c>
      <c r="GO39">
        <v>5</v>
      </c>
      <c r="GP39">
        <v>1</v>
      </c>
      <c r="GQ39">
        <v>2</v>
      </c>
      <c r="GR39">
        <v>4</v>
      </c>
      <c r="GS39" s="16">
        <v>5</v>
      </c>
    </row>
    <row r="40" spans="1:285" x14ac:dyDescent="0.25">
      <c r="A40" t="s">
        <v>358</v>
      </c>
      <c r="B40" s="29" t="s">
        <v>357</v>
      </c>
      <c r="P40" t="s">
        <v>281</v>
      </c>
      <c r="T40" s="14" t="s">
        <v>554</v>
      </c>
      <c r="U40" s="15">
        <v>39</v>
      </c>
      <c r="V40" t="s">
        <v>359</v>
      </c>
      <c r="W40" t="s">
        <v>360</v>
      </c>
      <c r="AC40" t="s">
        <v>277</v>
      </c>
      <c r="AF40" t="s">
        <v>239</v>
      </c>
      <c r="AG40" t="s">
        <v>241</v>
      </c>
      <c r="AH40" t="s">
        <v>383</v>
      </c>
      <c r="AI40" s="73" cm="1">
        <f t="array" ref="AI40">IF(COUNTIFS(AH$2:AH40,AH40)=1,"1",VALUE(SUBSTITUTE(INDEX(AI:AI,_xlfn.XMATCH(AH40,AH$1:AH39,0,-1)),"A",""))+INDEX(AJ:AJ,_xlfn.XMATCH(AH40,AH$1:AH39,0,-1))+1)</f>
        <v>13</v>
      </c>
      <c r="AJ40" s="73" cm="1">
        <f t="array" ref="AJ40">SUM(IF(ISNUMBER(FIND("TmDo",$BE$1:$AAL$1)),IF(IFERROR(ISNUMBER(VALUE(SUBSTITUTE($BE40:$AAL40,"B",""))),FALSE),IF(ISNUMBER(VALUE(SUBSTITUTE($BE40:$AAL40,"B",""))),1,0),0)))</f>
        <v>1</v>
      </c>
      <c r="AK40" t="str">
        <f t="shared" si="0"/>
        <v>13A</v>
      </c>
      <c r="AL40" t="str">
        <f t="shared" si="1"/>
        <v>13B</v>
      </c>
      <c r="AM40">
        <v>56</v>
      </c>
      <c r="AN40" t="str">
        <f t="shared" si="59"/>
        <v>56XT</v>
      </c>
      <c r="AO40" t="str">
        <f t="shared" si="50"/>
        <v>56X</v>
      </c>
      <c r="AP40" t="s">
        <v>137</v>
      </c>
      <c r="AQ40" t="s">
        <v>138</v>
      </c>
      <c r="AR40" t="str">
        <f t="shared" si="51"/>
        <v>Соединительная коробка (F0GAC01GB801)</v>
      </c>
      <c r="AT40" t="s">
        <v>139</v>
      </c>
      <c r="AU40" t="s">
        <v>140</v>
      </c>
      <c r="BD40" s="16"/>
      <c r="ER40" s="27" t="str">
        <f t="shared" si="52"/>
        <v>XT39</v>
      </c>
      <c r="ES40" t="str">
        <f t="shared" si="53"/>
        <v>C20</v>
      </c>
      <c r="ET40" t="str">
        <f t="shared" si="60"/>
        <v>B20</v>
      </c>
      <c r="EU40" t="str">
        <f t="shared" si="61"/>
        <v>C21</v>
      </c>
      <c r="EV40" t="str">
        <f t="shared" si="62"/>
        <v>B21</v>
      </c>
      <c r="EW40" t="str">
        <f t="shared" si="54"/>
        <v>14A</v>
      </c>
      <c r="EX40" t="str">
        <f t="shared" si="55"/>
        <v>14B</v>
      </c>
      <c r="EY40" t="str">
        <f t="shared" si="63"/>
        <v>DI8-C19</v>
      </c>
      <c r="EZ40" t="str">
        <f t="shared" si="64"/>
        <v>DI8-B19</v>
      </c>
      <c r="FA40" t="str">
        <f t="shared" si="65"/>
        <v>DI8-C20</v>
      </c>
      <c r="FB40" t="str">
        <f t="shared" si="66"/>
        <v>DI8-B20</v>
      </c>
      <c r="FC40" t="str">
        <f t="shared" si="67"/>
        <v>DI8-C21</v>
      </c>
      <c r="FD40" t="str">
        <f t="shared" si="68"/>
        <v>DI8-B21</v>
      </c>
      <c r="FE40" t="str">
        <f t="shared" si="69"/>
        <v>DO5-13A</v>
      </c>
      <c r="FF40" t="str">
        <f t="shared" si="70"/>
        <v>DO5-13B</v>
      </c>
      <c r="FG40" t="str">
        <f t="shared" si="71"/>
        <v>DO5-14A</v>
      </c>
      <c r="FH40" t="str">
        <f t="shared" si="72"/>
        <v>DO5-14B</v>
      </c>
      <c r="FI40" t="str">
        <f t="shared" si="73"/>
        <v>K39-03</v>
      </c>
      <c r="FJ40" t="str">
        <f t="shared" si="74"/>
        <v>K39-04</v>
      </c>
      <c r="FK40" t="str">
        <f t="shared" si="75"/>
        <v>K39-01</v>
      </c>
      <c r="FL40" t="str">
        <f t="shared" si="76"/>
        <v>K39-02</v>
      </c>
      <c r="FM40" t="str">
        <f t="shared" si="57"/>
        <v>K39-05</v>
      </c>
      <c r="FN40" t="str">
        <f t="shared" si="77"/>
        <v>F0-M39-H1</v>
      </c>
      <c r="FO40" t="str">
        <f t="shared" si="78"/>
        <v>F0-M39-A1</v>
      </c>
      <c r="FP40" t="str">
        <f t="shared" si="79"/>
        <v>F0-M39-3</v>
      </c>
      <c r="FQ40" t="str">
        <f t="shared" si="80"/>
        <v>F0-M39-2</v>
      </c>
      <c r="FR40" t="str">
        <f t="shared" si="81"/>
        <v>F0-M39-16</v>
      </c>
      <c r="FS40" t="str">
        <f t="shared" si="82"/>
        <v>F0-M39-15</v>
      </c>
      <c r="FT40" t="str">
        <f t="shared" si="83"/>
        <v>F0-A220-M39</v>
      </c>
      <c r="FU40" t="str">
        <f t="shared" si="58"/>
        <v>F0-M39-XM01</v>
      </c>
      <c r="FV40" t="s">
        <v>142</v>
      </c>
      <c r="FW40" t="s">
        <v>143</v>
      </c>
      <c r="FX40">
        <v>11</v>
      </c>
      <c r="FY40">
        <v>14</v>
      </c>
      <c r="FZ40" t="s">
        <v>145</v>
      </c>
      <c r="GA40" t="s">
        <v>144</v>
      </c>
      <c r="GB40">
        <v>1</v>
      </c>
      <c r="GC40">
        <v>2</v>
      </c>
      <c r="GD40">
        <v>3</v>
      </c>
      <c r="GE40">
        <v>4</v>
      </c>
      <c r="GF40">
        <v>5</v>
      </c>
      <c r="GG40">
        <v>6</v>
      </c>
      <c r="GH40">
        <v>7</v>
      </c>
      <c r="GI40">
        <v>8</v>
      </c>
      <c r="GJ40">
        <v>9</v>
      </c>
      <c r="GK40">
        <v>1</v>
      </c>
      <c r="GL40">
        <v>2</v>
      </c>
      <c r="GM40">
        <v>3</v>
      </c>
      <c r="GN40">
        <v>4</v>
      </c>
      <c r="GO40">
        <v>5</v>
      </c>
      <c r="GP40">
        <v>1</v>
      </c>
      <c r="GQ40">
        <v>2</v>
      </c>
      <c r="GR40">
        <v>4</v>
      </c>
      <c r="GS40" s="16">
        <v>5</v>
      </c>
    </row>
    <row r="41" spans="1:285" x14ac:dyDescent="0.25">
      <c r="A41" t="s">
        <v>364</v>
      </c>
      <c r="B41" s="29" t="s">
        <v>363</v>
      </c>
      <c r="P41" t="s">
        <v>281</v>
      </c>
      <c r="T41" s="14" t="s">
        <v>554</v>
      </c>
      <c r="U41" s="15">
        <v>40</v>
      </c>
      <c r="V41" s="15" t="s">
        <v>361</v>
      </c>
      <c r="W41" s="15" t="s">
        <v>362</v>
      </c>
      <c r="AC41" t="s">
        <v>277</v>
      </c>
      <c r="AF41" t="s">
        <v>381</v>
      </c>
      <c r="AG41" t="s">
        <v>382</v>
      </c>
      <c r="AH41" t="s">
        <v>383</v>
      </c>
      <c r="AI41" s="73" cm="1">
        <f t="array" ref="AI41">IF(COUNTIFS(AH$2:AH41,AH41)=1,"1",VALUE(SUBSTITUTE(INDEX(AI:AI,_xlfn.XMATCH(AH41,AH$1:AH40,0,-1)),"A",""))+INDEX(AJ:AJ,_xlfn.XMATCH(AH41,AH$1:AH40,0,-1))+1)</f>
        <v>15</v>
      </c>
      <c r="AJ41" s="73" cm="1">
        <f t="array" ref="AJ41">SUM(IF(ISNUMBER(FIND("TmDo",$BE$1:$AAL$1)),IF(IFERROR(ISNUMBER(VALUE(SUBSTITUTE($BE41:$AAL41,"B",""))),FALSE),IF(ISNUMBER(VALUE(SUBSTITUTE($BE41:$AAL41,"B",""))),1,0),0)))</f>
        <v>1</v>
      </c>
      <c r="AK41" t="str">
        <f t="shared" si="0"/>
        <v>15A</v>
      </c>
      <c r="AL41" t="str">
        <f t="shared" si="1"/>
        <v>15B</v>
      </c>
      <c r="AM41">
        <v>57</v>
      </c>
      <c r="AN41" t="str">
        <f t="shared" si="59"/>
        <v>57XT</v>
      </c>
      <c r="AO41" t="str">
        <f t="shared" si="50"/>
        <v>57X</v>
      </c>
      <c r="AP41" t="s">
        <v>137</v>
      </c>
      <c r="AQ41" t="s">
        <v>138</v>
      </c>
      <c r="AR41" t="str">
        <f t="shared" si="51"/>
        <v>Соединительная коробка (F0GAC01GB802)</v>
      </c>
      <c r="AT41" t="s">
        <v>139</v>
      </c>
      <c r="AU41" t="s">
        <v>140</v>
      </c>
      <c r="BD41" s="16"/>
      <c r="ER41" s="27" t="str">
        <f t="shared" si="52"/>
        <v>XT40</v>
      </c>
      <c r="ES41" t="str">
        <f t="shared" si="53"/>
        <v>C23</v>
      </c>
      <c r="ET41" t="str">
        <f t="shared" si="60"/>
        <v>B23</v>
      </c>
      <c r="EU41" t="str">
        <f t="shared" si="61"/>
        <v>C24</v>
      </c>
      <c r="EV41" t="str">
        <f t="shared" si="62"/>
        <v>B24</v>
      </c>
      <c r="EW41" t="str">
        <f t="shared" si="54"/>
        <v>16A</v>
      </c>
      <c r="EX41" t="str">
        <f t="shared" si="55"/>
        <v>16B</v>
      </c>
      <c r="EY41" t="str">
        <f t="shared" si="63"/>
        <v>DI8-C22</v>
      </c>
      <c r="EZ41" t="str">
        <f t="shared" si="64"/>
        <v>DI8-B22</v>
      </c>
      <c r="FA41" t="str">
        <f t="shared" si="65"/>
        <v>DI8-C23</v>
      </c>
      <c r="FB41" t="str">
        <f t="shared" si="66"/>
        <v>DI8-B23</v>
      </c>
      <c r="FC41" t="str">
        <f t="shared" si="67"/>
        <v>DI8-C24</v>
      </c>
      <c r="FD41" t="str">
        <f t="shared" si="68"/>
        <v>DI8-B24</v>
      </c>
      <c r="FE41" t="str">
        <f t="shared" si="69"/>
        <v>DO5-15A</v>
      </c>
      <c r="FF41" t="str">
        <f t="shared" si="70"/>
        <v>DO5-15B</v>
      </c>
      <c r="FG41" t="str">
        <f t="shared" si="71"/>
        <v>DO5-16A</v>
      </c>
      <c r="FH41" t="str">
        <f t="shared" si="72"/>
        <v>DO5-16B</v>
      </c>
      <c r="FI41" t="str">
        <f t="shared" si="73"/>
        <v>K40-03</v>
      </c>
      <c r="FJ41" t="str">
        <f t="shared" si="74"/>
        <v>K40-04</v>
      </c>
      <c r="FK41" t="str">
        <f t="shared" si="75"/>
        <v>K40-01</v>
      </c>
      <c r="FL41" t="str">
        <f t="shared" si="76"/>
        <v>K40-02</v>
      </c>
      <c r="FM41" t="str">
        <f t="shared" si="57"/>
        <v>K40-05</v>
      </c>
      <c r="FN41" t="str">
        <f t="shared" si="77"/>
        <v>F0-M40-H1</v>
      </c>
      <c r="FO41" t="str">
        <f t="shared" si="78"/>
        <v>F0-M40-A1</v>
      </c>
      <c r="FP41" t="str">
        <f t="shared" si="79"/>
        <v>F0-M40-3</v>
      </c>
      <c r="FQ41" t="str">
        <f t="shared" si="80"/>
        <v>F0-M40-2</v>
      </c>
      <c r="FR41" t="str">
        <f t="shared" si="81"/>
        <v>F0-M40-16</v>
      </c>
      <c r="FS41" t="str">
        <f t="shared" si="82"/>
        <v>F0-M40-15</v>
      </c>
      <c r="FT41" t="str">
        <f t="shared" si="83"/>
        <v>F0-A220-M40</v>
      </c>
      <c r="FU41" t="str">
        <f t="shared" si="58"/>
        <v>F0-M40-XM01</v>
      </c>
      <c r="FV41" t="s">
        <v>142</v>
      </c>
      <c r="FW41" t="s">
        <v>143</v>
      </c>
      <c r="FX41">
        <v>11</v>
      </c>
      <c r="FY41">
        <v>14</v>
      </c>
      <c r="FZ41" t="s">
        <v>145</v>
      </c>
      <c r="GA41" t="s">
        <v>144</v>
      </c>
      <c r="GB41">
        <v>1</v>
      </c>
      <c r="GC41">
        <v>2</v>
      </c>
      <c r="GD41">
        <v>3</v>
      </c>
      <c r="GE41">
        <v>4</v>
      </c>
      <c r="GF41">
        <v>5</v>
      </c>
      <c r="GG41">
        <v>6</v>
      </c>
      <c r="GH41">
        <v>7</v>
      </c>
      <c r="GI41">
        <v>8</v>
      </c>
      <c r="GJ41">
        <v>9</v>
      </c>
      <c r="GK41">
        <v>1</v>
      </c>
      <c r="GL41">
        <v>2</v>
      </c>
      <c r="GM41">
        <v>3</v>
      </c>
      <c r="GN41">
        <v>4</v>
      </c>
      <c r="GO41">
        <v>5</v>
      </c>
      <c r="GP41">
        <v>1</v>
      </c>
      <c r="GQ41">
        <v>2</v>
      </c>
      <c r="GR41">
        <v>4</v>
      </c>
      <c r="GS41" s="16">
        <v>5</v>
      </c>
    </row>
    <row r="42" spans="1:285" ht="15.75" thickBot="1" x14ac:dyDescent="0.3">
      <c r="A42" t="s">
        <v>366</v>
      </c>
      <c r="B42" s="29" t="s">
        <v>365</v>
      </c>
      <c r="P42" t="s">
        <v>281</v>
      </c>
      <c r="T42" s="17" t="s">
        <v>554</v>
      </c>
      <c r="U42" s="18">
        <v>41</v>
      </c>
      <c r="V42" s="19" t="s">
        <v>367</v>
      </c>
      <c r="W42" s="19" t="s">
        <v>368</v>
      </c>
      <c r="X42" s="19"/>
      <c r="Y42" s="19"/>
      <c r="Z42" s="19"/>
      <c r="AA42" s="19"/>
      <c r="AB42" s="19"/>
      <c r="AC42" s="19" t="s">
        <v>277</v>
      </c>
      <c r="AD42" s="19"/>
      <c r="AE42" s="19"/>
      <c r="AF42" s="19" t="s">
        <v>240</v>
      </c>
      <c r="AG42" s="19" t="s">
        <v>242</v>
      </c>
      <c r="AH42" s="19" t="s">
        <v>383</v>
      </c>
      <c r="AI42" s="74" cm="1">
        <f t="array" ref="AI42">IF(COUNTIFS(AH$2:AH42,AH42)=1,"1",VALUE(SUBSTITUTE(INDEX(AI:AI,_xlfn.XMATCH(AH42,AH$1:AH41,0,-1)),"A",""))+INDEX(AJ:AJ,_xlfn.XMATCH(AH42,AH$1:AH41,0,-1))+1)</f>
        <v>17</v>
      </c>
      <c r="AJ42" s="74" cm="1">
        <f t="array" ref="AJ42">SUM(IF(ISNUMBER(FIND("TmDo",$BE$1:$AAL$1)),IF(IFERROR(ISNUMBER(VALUE(SUBSTITUTE($BE42:$AAL42,"B",""))),FALSE),IF(ISNUMBER(VALUE(SUBSTITUTE($BE42:$AAL42,"B",""))),1,0),0)))</f>
        <v>1</v>
      </c>
      <c r="AK42" s="19" t="str">
        <f t="shared" si="0"/>
        <v>17A</v>
      </c>
      <c r="AL42" s="19" t="str">
        <f t="shared" si="1"/>
        <v>17B</v>
      </c>
      <c r="AM42" s="19">
        <v>58</v>
      </c>
      <c r="AN42" s="19" t="str">
        <f t="shared" si="59"/>
        <v>58XT</v>
      </c>
      <c r="AO42" s="19" t="str">
        <f t="shared" si="50"/>
        <v>58X</v>
      </c>
      <c r="AP42" s="19" t="s">
        <v>137</v>
      </c>
      <c r="AQ42" s="19" t="s">
        <v>138</v>
      </c>
      <c r="AR42" s="19" t="str">
        <f t="shared" si="51"/>
        <v>Соединительная коробка (F0GBJ01GB801)</v>
      </c>
      <c r="AS42" s="19"/>
      <c r="AT42" s="19" t="s">
        <v>139</v>
      </c>
      <c r="AU42" s="19" t="s">
        <v>140</v>
      </c>
      <c r="AV42" s="19"/>
      <c r="AW42" s="19"/>
      <c r="AX42" s="19"/>
      <c r="AY42" s="19"/>
      <c r="AZ42" s="19"/>
      <c r="BA42" s="19"/>
      <c r="BB42" s="19"/>
      <c r="BC42" s="19"/>
      <c r="BD42" s="20"/>
      <c r="ER42" s="28" t="str">
        <f t="shared" si="52"/>
        <v>XT41</v>
      </c>
      <c r="ES42" s="19" t="str">
        <f t="shared" si="53"/>
        <v>C26</v>
      </c>
      <c r="ET42" s="19" t="str">
        <f t="shared" si="60"/>
        <v>B26</v>
      </c>
      <c r="EU42" s="19" t="str">
        <f t="shared" si="61"/>
        <v>C27</v>
      </c>
      <c r="EV42" s="19" t="str">
        <f t="shared" si="62"/>
        <v>B27</v>
      </c>
      <c r="EW42" s="19" t="str">
        <f t="shared" si="54"/>
        <v>18A</v>
      </c>
      <c r="EX42" s="19" t="str">
        <f t="shared" si="55"/>
        <v>18B</v>
      </c>
      <c r="EY42" s="19" t="str">
        <f t="shared" si="63"/>
        <v>DI8-C25</v>
      </c>
      <c r="EZ42" s="19" t="str">
        <f t="shared" si="64"/>
        <v>DI8-B25</v>
      </c>
      <c r="FA42" s="19" t="str">
        <f t="shared" si="65"/>
        <v>DI8-C26</v>
      </c>
      <c r="FB42" s="19" t="str">
        <f t="shared" si="66"/>
        <v>DI8-B26</v>
      </c>
      <c r="FC42" s="19" t="str">
        <f t="shared" si="67"/>
        <v>DI8-C27</v>
      </c>
      <c r="FD42" s="19" t="str">
        <f t="shared" si="68"/>
        <v>DI8-B27</v>
      </c>
      <c r="FE42" s="19" t="str">
        <f t="shared" si="69"/>
        <v>DO5-17A</v>
      </c>
      <c r="FF42" s="19" t="str">
        <f t="shared" si="70"/>
        <v>DO5-17B</v>
      </c>
      <c r="FG42" s="19" t="str">
        <f t="shared" si="71"/>
        <v>DO5-18A</v>
      </c>
      <c r="FH42" s="19" t="str">
        <f t="shared" si="72"/>
        <v>DO5-18B</v>
      </c>
      <c r="FI42" s="19" t="str">
        <f t="shared" si="73"/>
        <v>K41-03</v>
      </c>
      <c r="FJ42" s="19" t="str">
        <f t="shared" si="74"/>
        <v>K41-04</v>
      </c>
      <c r="FK42" s="19" t="str">
        <f t="shared" si="75"/>
        <v>K41-01</v>
      </c>
      <c r="FL42" s="19" t="str">
        <f t="shared" si="76"/>
        <v>K41-02</v>
      </c>
      <c r="FM42" s="19" t="str">
        <f t="shared" si="57"/>
        <v>K41-05</v>
      </c>
      <c r="FN42" s="19" t="str">
        <f t="shared" si="77"/>
        <v>F0-M41-H1</v>
      </c>
      <c r="FO42" s="19" t="str">
        <f t="shared" si="78"/>
        <v>F0-M41-A1</v>
      </c>
      <c r="FP42" s="19" t="str">
        <f t="shared" si="79"/>
        <v>F0-M41-3</v>
      </c>
      <c r="FQ42" s="19" t="str">
        <f t="shared" si="80"/>
        <v>F0-M41-2</v>
      </c>
      <c r="FR42" s="19" t="str">
        <f t="shared" si="81"/>
        <v>F0-M41-16</v>
      </c>
      <c r="FS42" s="19" t="str">
        <f t="shared" si="82"/>
        <v>F0-M41-15</v>
      </c>
      <c r="FT42" s="19" t="str">
        <f t="shared" si="83"/>
        <v>F0-A220-M41</v>
      </c>
      <c r="FU42" s="19" t="str">
        <f t="shared" si="58"/>
        <v>F0-M41-XM01</v>
      </c>
      <c r="FV42" s="19" t="s">
        <v>142</v>
      </c>
      <c r="FW42" s="19" t="s">
        <v>143</v>
      </c>
      <c r="FX42" s="19">
        <v>11</v>
      </c>
      <c r="FY42" s="19">
        <v>14</v>
      </c>
      <c r="FZ42" s="19" t="s">
        <v>145</v>
      </c>
      <c r="GA42" s="19" t="s">
        <v>144</v>
      </c>
      <c r="GB42" s="19">
        <v>1</v>
      </c>
      <c r="GC42" s="19">
        <v>2</v>
      </c>
      <c r="GD42" s="19">
        <v>3</v>
      </c>
      <c r="GE42" s="19">
        <v>4</v>
      </c>
      <c r="GF42" s="19">
        <v>5</v>
      </c>
      <c r="GG42" s="19">
        <v>6</v>
      </c>
      <c r="GH42" s="19">
        <v>7</v>
      </c>
      <c r="GI42" s="19">
        <v>8</v>
      </c>
      <c r="GJ42" s="19">
        <v>9</v>
      </c>
      <c r="GK42" s="19">
        <v>1</v>
      </c>
      <c r="GL42" s="19">
        <v>2</v>
      </c>
      <c r="GM42" s="19">
        <v>3</v>
      </c>
      <c r="GN42" s="19">
        <v>4</v>
      </c>
      <c r="GO42" s="19">
        <v>5</v>
      </c>
      <c r="GP42" s="19">
        <v>1</v>
      </c>
      <c r="GQ42" s="19">
        <v>2</v>
      </c>
      <c r="GR42" s="19">
        <v>4</v>
      </c>
      <c r="GS42" s="20">
        <v>5</v>
      </c>
    </row>
    <row r="43" spans="1:285" x14ac:dyDescent="0.25">
      <c r="A43" t="s">
        <v>390</v>
      </c>
      <c r="B43" t="s">
        <v>389</v>
      </c>
      <c r="P43" t="s">
        <v>391</v>
      </c>
      <c r="T43" s="10" t="s">
        <v>554</v>
      </c>
      <c r="U43" s="11">
        <v>42</v>
      </c>
      <c r="V43" s="11" t="s">
        <v>392</v>
      </c>
      <c r="W43" s="11" t="s">
        <v>393</v>
      </c>
      <c r="X43" s="12" t="s">
        <v>400</v>
      </c>
      <c r="Y43" s="43" t="str" cm="1">
        <f t="array" ref="Y43">IF(COUNTIFS($X$2:$X43,$X43)=1,"1",VALUE(SUBSTITUTE(INDEX(Y:Y,_xlfn.XMATCH($X43,$X$1:$X42,0,-1)),"A",""))+INDEX(Z:Z,_xlfn.XMATCH($X43,$X$1:$X42,0,-1))+1)</f>
        <v>1</v>
      </c>
      <c r="Z43" s="43" cm="1">
        <f t="array" ref="Z43">SUM(IF(ISNUMBER(FIND("TmAi",$BE$1:$AAL$1)),IF(IFERROR(ISODD(SUBSTITUTE($BE43:$AAL43,"A","")),FALSE),IF(ISODD(SUBSTITUTE($BE43:$AAL43,"A","")),1,0),0)))</f>
        <v>0</v>
      </c>
      <c r="AA43" t="str">
        <f>CONCATENATE($Y43*2-1,"A")</f>
        <v>1A</v>
      </c>
      <c r="AB43" t="str">
        <f>CONCATENATE($Y43*2-1,"B")</f>
        <v>1B</v>
      </c>
      <c r="AC43" s="12" t="s">
        <v>278</v>
      </c>
      <c r="AD43" s="12"/>
      <c r="AE43" s="12"/>
      <c r="AF43" s="11" t="s">
        <v>133</v>
      </c>
      <c r="AG43" s="11" t="s">
        <v>134</v>
      </c>
      <c r="AH43" s="11" t="s">
        <v>388</v>
      </c>
      <c r="AI43" s="76" t="str" cm="1">
        <f t="array" ref="AI43">IF(COUNTIFS(AH$2:AH43,AH43)=1,"1",VALUE(SUBSTITUTE(INDEX(AI:AI,_xlfn.XMATCH(AH43,AH$1:AH42,0,-1)),"A",""))+INDEX(AJ:AJ,_xlfn.XMATCH(AH43,AH$1:AH42,0,-1))+1)</f>
        <v>1</v>
      </c>
      <c r="AJ43" s="76" cm="1">
        <f t="array" ref="AJ43">SUM(IF(ISNUMBER(FIND("TmDo",$BE$1:$AAL$1)),IF(IFERROR(ISNUMBER(VALUE(SUBSTITUTE($BE43:$AAL43,"B",""))),FALSE),IF(ISNUMBER(VALUE(SUBSTITUTE($BE43:$AAL43,"B",""))),1,0),0)))</f>
        <v>1</v>
      </c>
      <c r="AK43" s="11" t="str">
        <f t="shared" si="0"/>
        <v>1A</v>
      </c>
      <c r="AL43" s="11" t="str">
        <f t="shared" si="1"/>
        <v>1B</v>
      </c>
      <c r="AM43" s="12" t="s">
        <v>394</v>
      </c>
      <c r="AN43" s="12"/>
      <c r="AO43" s="12"/>
      <c r="AP43" s="12" t="s">
        <v>137</v>
      </c>
      <c r="AQ43" s="12" t="s">
        <v>138</v>
      </c>
      <c r="AR43" s="12"/>
      <c r="AS43" s="12" t="s">
        <v>396</v>
      </c>
      <c r="AT43" s="12" t="s">
        <v>139</v>
      </c>
      <c r="AU43" s="12" t="s">
        <v>140</v>
      </c>
      <c r="AV43" s="12"/>
      <c r="AW43" s="12"/>
      <c r="AX43" s="12"/>
      <c r="AY43" s="12"/>
      <c r="AZ43" s="12"/>
      <c r="BA43" s="12"/>
      <c r="BB43" s="12"/>
      <c r="BC43" s="12"/>
      <c r="BD43" s="13"/>
      <c r="GT43" s="25" t="str">
        <f t="shared" ref="GT43:GT55" si="84">CONCATENATE("XT",U43)</f>
        <v>XT42</v>
      </c>
      <c r="GU43" s="12" t="str">
        <f t="shared" ref="GU43:GU55" si="85">CONCATENATE("C",REPLACE(AF43,1,1,"")+1)</f>
        <v>C2</v>
      </c>
      <c r="GV43" s="12" t="str">
        <f>CONCATENATE("B",REPLACE(AG43,1,1,"")+1)</f>
        <v>B2</v>
      </c>
      <c r="GW43" s="12" t="str">
        <f>CONCATENATE("C",REPLACE(GU43,1,1,"")+1)</f>
        <v>C3</v>
      </c>
      <c r="GX43" s="12" t="str">
        <f>CONCATENATE("B",REPLACE(GV43,1,1,"")+1)</f>
        <v>B3</v>
      </c>
      <c r="GY43" s="12" t="str">
        <f>CONCATENATE("C",REPLACE(GW43,1,1,"")+1)</f>
        <v>C4</v>
      </c>
      <c r="GZ43" s="12" t="str">
        <f>CONCATENATE("B",REPLACE(GX43,1,1,"")+1)</f>
        <v>B4</v>
      </c>
      <c r="HA43" s="12" t="str">
        <f>CONCATENATE("C",REPLACE(GY43,1,1,"")+1)</f>
        <v>C5</v>
      </c>
      <c r="HB43" s="12" t="str">
        <f>CONCATENATE("B",REPLACE(GZ43,1,1,"")+1)</f>
        <v>B5</v>
      </c>
      <c r="HC43" s="12" t="str">
        <f>CONCATENATE("C",REPLACE(HA43,1,1,"")+1)</f>
        <v>C6</v>
      </c>
      <c r="HD43" s="12" t="str">
        <f>CONCATENATE("B",REPLACE(HB43,1,1,"")+1)</f>
        <v>B6</v>
      </c>
      <c r="HE43" s="12" t="str">
        <f t="shared" ref="HE43:HE55" si="86">CONCATENATE(REPLACE(AK43,LEN(AK43),1,"")+1,"A")</f>
        <v>2A</v>
      </c>
      <c r="HF43" s="12" t="str">
        <f t="shared" ref="HF43:HF55" si="87">CONCATENATE(REPLACE(AL43,LEN(AL43),1,"")+1,"B")</f>
        <v>2B</v>
      </c>
      <c r="HG43" s="12" t="str">
        <f t="shared" ref="HG43:HG55" si="88">CONCATENATE("AI",REPLACE($X43,1,3,""),"-",AA43)</f>
        <v>AI1-1A</v>
      </c>
      <c r="HH43" s="12" t="str">
        <f t="shared" ref="HH43:HH55" si="89">CONCATENATE("AI",REPLACE($X43,1,3,""),"-",AB43)</f>
        <v>AI1-1B</v>
      </c>
      <c r="HI43" s="12" t="str">
        <f>CONCATENATE("DI",REPLACE($AC43,1,3,""),"-",AF43)</f>
        <v>DI9-C1</v>
      </c>
      <c r="HJ43" s="12" t="str">
        <f>CONCATENATE("DI",REPLACE($AC43,1,3,""),"-",AG43)</f>
        <v>DI9-B1</v>
      </c>
      <c r="HK43" s="12" t="str">
        <f t="shared" ref="HK43:HT44" si="90">CONCATENATE("DI",REPLACE($AC43,1,3,""),"-",GU43)</f>
        <v>DI9-C2</v>
      </c>
      <c r="HL43" s="12" t="str">
        <f t="shared" si="90"/>
        <v>DI9-B2</v>
      </c>
      <c r="HM43" s="12" t="str">
        <f t="shared" si="90"/>
        <v>DI9-C3</v>
      </c>
      <c r="HN43" s="12" t="str">
        <f t="shared" si="90"/>
        <v>DI9-B3</v>
      </c>
      <c r="HO43" s="12" t="str">
        <f t="shared" si="90"/>
        <v>DI9-C4</v>
      </c>
      <c r="HP43" s="12" t="str">
        <f t="shared" si="90"/>
        <v>DI9-B4</v>
      </c>
      <c r="HQ43" s="12" t="str">
        <f t="shared" si="90"/>
        <v>DI9-C5</v>
      </c>
      <c r="HR43" s="12" t="str">
        <f t="shared" si="90"/>
        <v>DI9-B5</v>
      </c>
      <c r="HS43" s="12" t="str">
        <f t="shared" si="90"/>
        <v>DI9-C6</v>
      </c>
      <c r="HT43" s="12" t="str">
        <f t="shared" si="90"/>
        <v>DI9-B6</v>
      </c>
      <c r="HU43" s="12" t="str">
        <f>CONCATENATE("DO",REPLACE($AH43,1,3,""),"-",AK43)</f>
        <v>DO6-1A</v>
      </c>
      <c r="HV43" s="12" t="str">
        <f>CONCATENATE("DO",REPLACE($AH43,1,3,""),"-",AL43)</f>
        <v>DO6-1B</v>
      </c>
      <c r="HW43" s="12" t="str">
        <f>CONCATENATE("DO",REPLACE($AH43,1,3,""),"-",HE43)</f>
        <v>DO6-2A</v>
      </c>
      <c r="HX43" s="12" t="str">
        <f>CONCATENATE("DO",REPLACE($AH43,1,3,""),"-",HF43)</f>
        <v>DO6-2B</v>
      </c>
      <c r="HY43" s="12" t="str">
        <f>CONCATENATE("K",$U43,"-01")</f>
        <v>K42-01</v>
      </c>
      <c r="HZ43" s="12" t="str">
        <f>CONCATENATE("K",$U43,"-02")</f>
        <v>K42-02</v>
      </c>
      <c r="IA43" s="12" t="str">
        <f>CONCATENATE("K",$U43,"-03")</f>
        <v>K42-03</v>
      </c>
      <c r="IB43" s="12" t="str">
        <f>CONCATENATE("K",$U43,"-04")</f>
        <v>K42-04</v>
      </c>
      <c r="IC43" s="12" t="str">
        <f>CONCATENATE("K",$U43,"-05")</f>
        <v>K42-05</v>
      </c>
      <c r="ID43" s="12" t="str">
        <f>CONCATENATE("K",$U43,"-06")</f>
        <v>K42-06</v>
      </c>
      <c r="IE43" s="12" t="str">
        <f>CONCATENATE("K",$U43,"-07")</f>
        <v>K42-07</v>
      </c>
      <c r="IF43" s="12" t="str">
        <f>CONCATENATE("K",$U43,"-08")</f>
        <v>K42-08</v>
      </c>
      <c r="IG43" s="12" t="str">
        <f>CONCATENATE($T43,"-M",$U43,"-AMS-12")</f>
        <v>F0-M42-AMS-12</v>
      </c>
      <c r="IH43" s="12" t="str">
        <f>CONCATENATE($T43,"-M",$U43,"-AMS-10")</f>
        <v>F0-M42-AMS-10</v>
      </c>
      <c r="II43" s="12" t="str">
        <f>CONCATENATE($T43,"-M",$U43,"-AMS-11")</f>
        <v>F0-M42-AMS-11</v>
      </c>
      <c r="IJ43" s="12" t="str">
        <f>CONCATENATE($T43,"-M",$U43,"-AMS-13")</f>
        <v>F0-M42-AMS-13</v>
      </c>
      <c r="IK43" s="12" t="str">
        <f>CONCATENATE($T43,"-M",$U43,"-AMS-9")</f>
        <v>F0-M42-AMS-9</v>
      </c>
      <c r="IL43" s="12" t="str">
        <f>CONCATENATE($T43,"-M",$U43,"-AMS-7")</f>
        <v>F0-M42-AMS-7</v>
      </c>
      <c r="IM43" s="12" t="str">
        <f>CONCATENATE($T43,"-M",$U43,"-AMS-18")</f>
        <v>F0-M42-AMS-18</v>
      </c>
      <c r="IN43" s="12" t="str">
        <f>CONCATENATE($T43,"-M",$U43,"-AMS-20")</f>
        <v>F0-M42-AMS-20</v>
      </c>
      <c r="IO43" s="12" t="str">
        <f>CONCATENATE($T43,"-M",$U43,"-AMS-17")</f>
        <v>F0-M42-AMS-17</v>
      </c>
      <c r="IP43" s="12" t="str">
        <f>CONCATENATE($T43,"-+24-M",$U43,)</f>
        <v>F0-+24-M42</v>
      </c>
      <c r="IQ43" s="12" t="str">
        <f>CONCATENATE($T43,"-M",$U43,"-XM01")</f>
        <v>F0-M42-XM01</v>
      </c>
      <c r="IR43" s="12" t="s">
        <v>142</v>
      </c>
      <c r="IS43" s="12" t="s">
        <v>143</v>
      </c>
      <c r="IT43" s="12">
        <v>11</v>
      </c>
      <c r="IU43" s="12">
        <v>14</v>
      </c>
      <c r="IV43" s="12" t="s">
        <v>413</v>
      </c>
      <c r="IW43" s="12" t="s">
        <v>414</v>
      </c>
      <c r="IX43" s="12">
        <v>1</v>
      </c>
      <c r="IY43" s="12">
        <v>2</v>
      </c>
      <c r="IZ43" s="12">
        <v>3</v>
      </c>
      <c r="JA43" s="12">
        <v>4</v>
      </c>
      <c r="JB43" s="12">
        <v>5</v>
      </c>
      <c r="JC43" s="12">
        <v>6</v>
      </c>
      <c r="JD43" s="12">
        <v>7</v>
      </c>
      <c r="JE43" s="12">
        <v>8</v>
      </c>
      <c r="JF43" s="12">
        <v>9</v>
      </c>
      <c r="JG43" s="12">
        <v>10</v>
      </c>
      <c r="JH43" s="12">
        <v>11</v>
      </c>
      <c r="JI43" s="12">
        <v>12</v>
      </c>
      <c r="JJ43" s="12">
        <v>13</v>
      </c>
      <c r="JK43" s="12">
        <v>14</v>
      </c>
      <c r="JL43" s="12">
        <v>17</v>
      </c>
      <c r="JM43" s="12">
        <v>15</v>
      </c>
      <c r="JN43" s="12">
        <v>18</v>
      </c>
      <c r="JO43" s="12">
        <v>11</v>
      </c>
      <c r="JP43" s="12">
        <v>9</v>
      </c>
      <c r="JQ43" s="12">
        <v>6</v>
      </c>
      <c r="JR43" s="12">
        <v>20</v>
      </c>
      <c r="JS43" s="12">
        <v>7</v>
      </c>
      <c r="JT43" s="12">
        <v>10</v>
      </c>
      <c r="JU43" s="12">
        <v>22</v>
      </c>
      <c r="JV43" s="12">
        <v>23</v>
      </c>
      <c r="JW43" s="12">
        <v>26</v>
      </c>
      <c r="JX43" s="12">
        <v>27</v>
      </c>
      <c r="JY43" s="13">
        <v>30</v>
      </c>
    </row>
    <row r="44" spans="1:285" x14ac:dyDescent="0.25">
      <c r="A44" t="s">
        <v>415</v>
      </c>
      <c r="B44" t="s">
        <v>416</v>
      </c>
      <c r="P44" t="s">
        <v>391</v>
      </c>
      <c r="T44" s="14" t="s">
        <v>554</v>
      </c>
      <c r="U44" s="15">
        <f>U43+1</f>
        <v>43</v>
      </c>
      <c r="V44" t="s">
        <v>417</v>
      </c>
      <c r="W44" t="s">
        <v>418</v>
      </c>
      <c r="X44" t="str">
        <f>IF(COUNTIF(X$1:X43,X43)&gt;7,REPLACE(X43,LEN(X43),1,VALUE(RIGHT(X43,1))+1),X43)</f>
        <v>A3.1</v>
      </c>
      <c r="Y44" s="43" cm="1">
        <f t="array" ref="Y44">IF(COUNTIFS($X$2:$X44,$X44)=1,"1",VALUE(SUBSTITUTE(INDEX(Y:Y,_xlfn.XMATCH($X44,$X$1:$X43,0,-1)),"A",""))+INDEX(Z:Z,_xlfn.XMATCH($X44,$X$1:$X43,0,-1))+1)</f>
        <v>2</v>
      </c>
      <c r="Z44" s="43" cm="1">
        <f t="array" ref="Z44">SUM(IF(ISNUMBER(FIND("TmAi",$BE$1:$AAL$1)),IF(IFERROR(ISODD(SUBSTITUTE($BE44:$AAL44,"A","")),FALSE),IF(ISODD(SUBSTITUTE($BE44:$AAL44,"A","")),1,0),0)))</f>
        <v>0</v>
      </c>
      <c r="AA44" t="str">
        <f t="shared" ref="AA44:AA55" si="91">CONCATENATE($Y44*2-1,"A")</f>
        <v>3A</v>
      </c>
      <c r="AB44" t="str">
        <f t="shared" ref="AB44:AB55" si="92">CONCATENATE($Y44*2-1,"B")</f>
        <v>3B</v>
      </c>
      <c r="AC44" t="s">
        <v>278</v>
      </c>
      <c r="AF44" t="s">
        <v>148</v>
      </c>
      <c r="AG44" t="s">
        <v>149</v>
      </c>
      <c r="AH44" t="s">
        <v>388</v>
      </c>
      <c r="AI44" s="73" cm="1">
        <f t="array" ref="AI44">IF(COUNTIFS(AH$2:AH44,AH44)=1,"1",VALUE(SUBSTITUTE(INDEX(AI:AI,_xlfn.XMATCH(AH44,AH$1:AH43,0,-1)),"A",""))+INDEX(AJ:AJ,_xlfn.XMATCH(AH44,AH$1:AH43,0,-1))+1)</f>
        <v>3</v>
      </c>
      <c r="AJ44" s="73" cm="1">
        <f t="array" ref="AJ44">SUM(IF(ISNUMBER(FIND("TmDo",$BE$1:$AAL$1)),IF(IFERROR(ISNUMBER(VALUE(SUBSTITUTE($BE44:$AAL44,"B",""))),FALSE),IF(ISNUMBER(VALUE(SUBSTITUTE($BE44:$AAL44,"B",""))),1,0),0)))</f>
        <v>1</v>
      </c>
      <c r="AK44" t="str">
        <f t="shared" si="0"/>
        <v>3A</v>
      </c>
      <c r="AL44" t="str">
        <f t="shared" si="1"/>
        <v>3B</v>
      </c>
      <c r="AM44" t="s">
        <v>419</v>
      </c>
      <c r="AP44" t="s">
        <v>137</v>
      </c>
      <c r="AQ44" t="s">
        <v>138</v>
      </c>
      <c r="AS44" t="s">
        <v>396</v>
      </c>
      <c r="AT44" t="s">
        <v>139</v>
      </c>
      <c r="AU44" t="s">
        <v>140</v>
      </c>
      <c r="BD44" s="16"/>
      <c r="GT44" s="27" t="str">
        <f t="shared" si="84"/>
        <v>XT43</v>
      </c>
      <c r="GU44" t="str">
        <f t="shared" si="85"/>
        <v>C8</v>
      </c>
      <c r="GV44" t="str">
        <f>CONCATENATE("B",REPLACE(AG44,1,1,"")+1)</f>
        <v>B8</v>
      </c>
      <c r="GW44" t="str">
        <f>CONCATENATE("C",REPLACE(GU44,1,1,"")+1)</f>
        <v>C9</v>
      </c>
      <c r="GX44" t="str">
        <f>CONCATENATE("B",REPLACE(GV44,1,1,"")+1)</f>
        <v>B9</v>
      </c>
      <c r="GY44" t="str">
        <f>CONCATENATE("C",REPLACE(GW44,1,1,"")+1)</f>
        <v>C10</v>
      </c>
      <c r="GZ44" t="str">
        <f>CONCATENATE("B",REPLACE(GX44,1,1,"")+1)</f>
        <v>B10</v>
      </c>
      <c r="HA44" t="str">
        <f>CONCATENATE("C",REPLACE(GY44,1,1,"")+1)</f>
        <v>C11</v>
      </c>
      <c r="HB44" t="str">
        <f>CONCATENATE("B",REPLACE(GZ44,1,1,"")+1)</f>
        <v>B11</v>
      </c>
      <c r="HC44" t="str">
        <f>CONCATENATE("C",REPLACE(HA44,1,1,"")+1)</f>
        <v>C12</v>
      </c>
      <c r="HD44" t="str">
        <f>CONCATENATE("B",REPLACE(HB44,1,1,"")+1)</f>
        <v>B12</v>
      </c>
      <c r="HE44" t="str">
        <f t="shared" si="86"/>
        <v>4A</v>
      </c>
      <c r="HF44" t="str">
        <f t="shared" si="87"/>
        <v>4B</v>
      </c>
      <c r="HG44" t="str">
        <f t="shared" si="88"/>
        <v>AI1-3A</v>
      </c>
      <c r="HH44" t="str">
        <f t="shared" si="89"/>
        <v>AI1-3B</v>
      </c>
      <c r="HI44" t="str">
        <f>CONCATENATE("DI",REPLACE($AC44,1,3,""),"-",AF44)</f>
        <v>DI9-C7</v>
      </c>
      <c r="HJ44" t="str">
        <f>CONCATENATE("DI",REPLACE($AC44,1,3,""),"-",AG44)</f>
        <v>DI9-B7</v>
      </c>
      <c r="HK44" t="str">
        <f t="shared" si="90"/>
        <v>DI9-C8</v>
      </c>
      <c r="HL44" t="str">
        <f t="shared" si="90"/>
        <v>DI9-B8</v>
      </c>
      <c r="HM44" t="str">
        <f t="shared" si="90"/>
        <v>DI9-C9</v>
      </c>
      <c r="HN44" t="str">
        <f t="shared" si="90"/>
        <v>DI9-B9</v>
      </c>
      <c r="HO44" t="str">
        <f t="shared" si="90"/>
        <v>DI9-C10</v>
      </c>
      <c r="HP44" t="str">
        <f t="shared" si="90"/>
        <v>DI9-B10</v>
      </c>
      <c r="HQ44" t="str">
        <f t="shared" si="90"/>
        <v>DI9-C11</v>
      </c>
      <c r="HR44" t="str">
        <f t="shared" si="90"/>
        <v>DI9-B11</v>
      </c>
      <c r="HS44" t="str">
        <f t="shared" si="90"/>
        <v>DI9-C12</v>
      </c>
      <c r="HT44" t="str">
        <f t="shared" si="90"/>
        <v>DI9-B12</v>
      </c>
      <c r="HU44" t="str">
        <f>CONCATENATE("DO",REPLACE($AH44,1,3,""),"-",AK44)</f>
        <v>DO6-3A</v>
      </c>
      <c r="HV44" t="str">
        <f>CONCATENATE("DO",REPLACE($AH44,1,3,""),"-",AL44)</f>
        <v>DO6-3B</v>
      </c>
      <c r="HW44" t="str">
        <f>CONCATENATE("DO",REPLACE($AH44,1,3,""),"-",HE44)</f>
        <v>DO6-4A</v>
      </c>
      <c r="HX44" t="str">
        <f>CONCATENATE("DO",REPLACE($AH44,1,3,""),"-",HF44)</f>
        <v>DO6-4B</v>
      </c>
      <c r="HY44" t="str">
        <f>CONCATENATE("K",$U44,"-01")</f>
        <v>K43-01</v>
      </c>
      <c r="HZ44" t="str">
        <f>CONCATENATE("K",$U44,"-02")</f>
        <v>K43-02</v>
      </c>
      <c r="IA44" t="str">
        <f>CONCATENATE("K",$U44,"-03")</f>
        <v>K43-03</v>
      </c>
      <c r="IB44" t="str">
        <f>CONCATENATE("K",$U44,"-04")</f>
        <v>K43-04</v>
      </c>
      <c r="IC44" t="str">
        <f>CONCATENATE("K",$U44,"-05")</f>
        <v>K43-05</v>
      </c>
      <c r="ID44" t="str">
        <f>CONCATENATE("K",$U44,"-06")</f>
        <v>K43-06</v>
      </c>
      <c r="IE44" t="str">
        <f>CONCATENATE("K",$U44,"-07")</f>
        <v>K43-07</v>
      </c>
      <c r="IF44" t="str">
        <f>CONCATENATE("K",$U44,"-08")</f>
        <v>K43-08</v>
      </c>
      <c r="IG44" t="str">
        <f>CONCATENATE($T44,"-M",$U44,"-AMS-12")</f>
        <v>F0-M43-AMS-12</v>
      </c>
      <c r="IH44" t="str">
        <f>CONCATENATE($T44,"-M",$U44,"-AMS-10")</f>
        <v>F0-M43-AMS-10</v>
      </c>
      <c r="II44" t="str">
        <f>CONCATENATE($T44,"-M",$U44,"-AMS-11")</f>
        <v>F0-M43-AMS-11</v>
      </c>
      <c r="IJ44" t="str">
        <f>CONCATENATE($T44,"-M",$U44,"-AMS-13")</f>
        <v>F0-M43-AMS-13</v>
      </c>
      <c r="IK44" t="str">
        <f>CONCATENATE($T44,"-M",$U44,"-AMS-9")</f>
        <v>F0-M43-AMS-9</v>
      </c>
      <c r="IL44" t="str">
        <f>CONCATENATE($T44,"-M",$U44,"-AMS-7")</f>
        <v>F0-M43-AMS-7</v>
      </c>
      <c r="IM44" t="str">
        <f>CONCATENATE($T44,"-M",$U44,"-AMS-18")</f>
        <v>F0-M43-AMS-18</v>
      </c>
      <c r="IN44" t="str">
        <f>CONCATENATE($T44,"-M",$U44,"-AMS-20")</f>
        <v>F0-M43-AMS-20</v>
      </c>
      <c r="IO44" t="str">
        <f>CONCATENATE($T44,"-M",$U44,"-AMS-17")</f>
        <v>F0-M43-AMS-17</v>
      </c>
      <c r="IP44" t="str">
        <f>CONCATENATE($T44,"-+24-M",$U44,)</f>
        <v>F0-+24-M43</v>
      </c>
      <c r="IQ44" t="str">
        <f>CONCATENATE($T44,"-M",$U44,"-XM01")</f>
        <v>F0-M43-XM01</v>
      </c>
      <c r="IR44" t="str">
        <f t="shared" ref="IR44:IY44" si="93">IR43</f>
        <v>A1</v>
      </c>
      <c r="IS44" t="str">
        <f t="shared" si="93"/>
        <v>A2</v>
      </c>
      <c r="IT44">
        <f t="shared" si="93"/>
        <v>11</v>
      </c>
      <c r="IU44">
        <f t="shared" si="93"/>
        <v>14</v>
      </c>
      <c r="IV44" t="str">
        <f t="shared" si="93"/>
        <v>24v6</v>
      </c>
      <c r="IW44" t="str">
        <f t="shared" si="93"/>
        <v>0v6</v>
      </c>
      <c r="IX44">
        <f t="shared" si="93"/>
        <v>1</v>
      </c>
      <c r="IY44">
        <f t="shared" si="93"/>
        <v>2</v>
      </c>
      <c r="IZ44">
        <f t="shared" ref="IZ44:JY44" si="94">IZ43</f>
        <v>3</v>
      </c>
      <c r="JA44">
        <f t="shared" si="94"/>
        <v>4</v>
      </c>
      <c r="JB44">
        <f t="shared" si="94"/>
        <v>5</v>
      </c>
      <c r="JC44">
        <f t="shared" si="94"/>
        <v>6</v>
      </c>
      <c r="JD44">
        <f t="shared" si="94"/>
        <v>7</v>
      </c>
      <c r="JE44">
        <f t="shared" si="94"/>
        <v>8</v>
      </c>
      <c r="JF44">
        <f t="shared" si="94"/>
        <v>9</v>
      </c>
      <c r="JG44">
        <f t="shared" si="94"/>
        <v>10</v>
      </c>
      <c r="JH44">
        <f t="shared" si="94"/>
        <v>11</v>
      </c>
      <c r="JI44">
        <f t="shared" si="94"/>
        <v>12</v>
      </c>
      <c r="JJ44">
        <f t="shared" si="94"/>
        <v>13</v>
      </c>
      <c r="JK44">
        <f t="shared" si="94"/>
        <v>14</v>
      </c>
      <c r="JL44">
        <f t="shared" si="94"/>
        <v>17</v>
      </c>
      <c r="JM44">
        <f t="shared" si="94"/>
        <v>15</v>
      </c>
      <c r="JN44">
        <f t="shared" si="94"/>
        <v>18</v>
      </c>
      <c r="JO44">
        <f t="shared" si="94"/>
        <v>11</v>
      </c>
      <c r="JP44">
        <f t="shared" si="94"/>
        <v>9</v>
      </c>
      <c r="JQ44">
        <f t="shared" si="94"/>
        <v>6</v>
      </c>
      <c r="JR44">
        <f t="shared" si="94"/>
        <v>20</v>
      </c>
      <c r="JS44">
        <f t="shared" si="94"/>
        <v>7</v>
      </c>
      <c r="JT44">
        <f t="shared" si="94"/>
        <v>10</v>
      </c>
      <c r="JU44">
        <f t="shared" si="94"/>
        <v>22</v>
      </c>
      <c r="JV44">
        <f t="shared" si="94"/>
        <v>23</v>
      </c>
      <c r="JW44">
        <f t="shared" si="94"/>
        <v>26</v>
      </c>
      <c r="JX44">
        <f t="shared" si="94"/>
        <v>27</v>
      </c>
      <c r="JY44" s="16">
        <f t="shared" si="94"/>
        <v>30</v>
      </c>
    </row>
    <row r="45" spans="1:285" x14ac:dyDescent="0.25">
      <c r="A45" t="s">
        <v>421</v>
      </c>
      <c r="B45" t="s">
        <v>423</v>
      </c>
      <c r="P45" t="s">
        <v>391</v>
      </c>
      <c r="T45" s="14" t="s">
        <v>554</v>
      </c>
      <c r="U45" s="15">
        <f t="shared" ref="U45:U55" si="95">U44+1</f>
        <v>44</v>
      </c>
      <c r="V45" s="15" t="s">
        <v>422</v>
      </c>
      <c r="W45" s="15" t="s">
        <v>454</v>
      </c>
      <c r="X45" t="str">
        <f>IF(COUNTIF(X$1:X44,X44)&gt;7,REPLACE(X44,LEN(X44),1,VALUE(RIGHT(X44,1))+1),X44)</f>
        <v>A3.1</v>
      </c>
      <c r="Y45" s="43" cm="1">
        <f t="array" ref="Y45">IF(COUNTIFS($X$2:$X45,$X45)=1,"1",VALUE(SUBSTITUTE(INDEX(Y:Y,_xlfn.XMATCH($X45,$X$1:$X44,0,-1)),"A",""))+INDEX(Z:Z,_xlfn.XMATCH($X45,$X$1:$X44,0,-1))+1)</f>
        <v>3</v>
      </c>
      <c r="Z45" s="43" cm="1">
        <f t="array" ref="Z45">SUM(IF(ISNUMBER(FIND("TmAi",$BE$1:$AAL$1)),IF(IFERROR(ISODD(SUBSTITUTE($BE45:$AAL45,"A","")),FALSE),IF(ISODD(SUBSTITUTE($BE45:$AAL45,"A","")),1,0),0)))</f>
        <v>0</v>
      </c>
      <c r="AA45" t="str">
        <f t="shared" si="91"/>
        <v>5A</v>
      </c>
      <c r="AB45" t="str">
        <f t="shared" si="92"/>
        <v>5B</v>
      </c>
      <c r="AC45" s="15" t="s">
        <v>278</v>
      </c>
      <c r="AD45" s="15"/>
      <c r="AE45" s="15"/>
      <c r="AF45" s="15" t="s">
        <v>153</v>
      </c>
      <c r="AG45" s="15" t="s">
        <v>154</v>
      </c>
      <c r="AH45" s="15" t="s">
        <v>388</v>
      </c>
      <c r="AI45" s="77" cm="1">
        <f t="array" ref="AI45">IF(COUNTIFS(AH$2:AH45,AH45)=1,"1",VALUE(SUBSTITUTE(INDEX(AI:AI,_xlfn.XMATCH(AH45,AH$1:AH44,0,-1)),"A",""))+INDEX(AJ:AJ,_xlfn.XMATCH(AH45,AH$1:AH44,0,-1))+1)</f>
        <v>5</v>
      </c>
      <c r="AJ45" s="77" cm="1">
        <f t="array" ref="AJ45">SUM(IF(ISNUMBER(FIND("TmDo",$BE$1:$AAL$1)),IF(IFERROR(ISNUMBER(VALUE(SUBSTITUTE($BE45:$AAL45,"B",""))),FALSE),IF(ISNUMBER(VALUE(SUBSTITUTE($BE45:$AAL45,"B",""))),1,0),0)))</f>
        <v>1</v>
      </c>
      <c r="AK45" s="15" t="str">
        <f t="shared" si="0"/>
        <v>5A</v>
      </c>
      <c r="AL45" s="15" t="str">
        <f t="shared" si="1"/>
        <v>5B</v>
      </c>
      <c r="AM45" s="15" t="s">
        <v>424</v>
      </c>
      <c r="AP45" t="s">
        <v>137</v>
      </c>
      <c r="AQ45" t="s">
        <v>138</v>
      </c>
      <c r="AS45" t="s">
        <v>396</v>
      </c>
      <c r="AT45" t="s">
        <v>139</v>
      </c>
      <c r="AU45" t="s">
        <v>140</v>
      </c>
      <c r="BD45" s="16"/>
      <c r="GT45" s="27" t="str">
        <f t="shared" si="84"/>
        <v>XT44</v>
      </c>
      <c r="GU45" t="str">
        <f t="shared" si="85"/>
        <v>C14</v>
      </c>
      <c r="GV45" t="str">
        <f t="shared" ref="GV45:GV55" si="96">CONCATENATE("B",REPLACE(AG45,1,1,"")+1)</f>
        <v>B14</v>
      </c>
      <c r="GW45" t="str">
        <f t="shared" ref="GW45:GW55" si="97">CONCATENATE("C",REPLACE(GU45,1,1,"")+1)</f>
        <v>C15</v>
      </c>
      <c r="GX45" t="str">
        <f t="shared" ref="GX45:GX55" si="98">CONCATENATE("B",REPLACE(GV45,1,1,"")+1)</f>
        <v>B15</v>
      </c>
      <c r="GY45" t="str">
        <f t="shared" ref="GY45:GY55" si="99">CONCATENATE("C",REPLACE(GW45,1,1,"")+1)</f>
        <v>C16</v>
      </c>
      <c r="GZ45" t="str">
        <f t="shared" ref="GZ45:GZ55" si="100">CONCATENATE("B",REPLACE(GX45,1,1,"")+1)</f>
        <v>B16</v>
      </c>
      <c r="HA45" t="str">
        <f t="shared" ref="HA45:HA55" si="101">CONCATENATE("C",REPLACE(GY45,1,1,"")+1)</f>
        <v>C17</v>
      </c>
      <c r="HB45" t="str">
        <f t="shared" ref="HB45:HB55" si="102">CONCATENATE("B",REPLACE(GZ45,1,1,"")+1)</f>
        <v>B17</v>
      </c>
      <c r="HC45" t="str">
        <f t="shared" ref="HC45:HC55" si="103">CONCATENATE("C",REPLACE(HA45,1,1,"")+1)</f>
        <v>C18</v>
      </c>
      <c r="HD45" t="str">
        <f t="shared" ref="HD45:HD55" si="104">CONCATENATE("B",REPLACE(HB45,1,1,"")+1)</f>
        <v>B18</v>
      </c>
      <c r="HE45" t="str">
        <f t="shared" si="86"/>
        <v>6A</v>
      </c>
      <c r="HF45" t="str">
        <f t="shared" si="87"/>
        <v>6B</v>
      </c>
      <c r="HG45" t="str">
        <f t="shared" si="88"/>
        <v>AI1-5A</v>
      </c>
      <c r="HH45" t="str">
        <f t="shared" si="89"/>
        <v>AI1-5B</v>
      </c>
      <c r="HI45" t="str">
        <f t="shared" ref="HI45:HI55" si="105">CONCATENATE("DI",REPLACE($AC45,1,3,""),"-",AF45)</f>
        <v>DI9-C13</v>
      </c>
      <c r="HJ45" t="str">
        <f t="shared" ref="HJ45:HJ55" si="106">CONCATENATE("DI",REPLACE($AC45,1,3,""),"-",AG45)</f>
        <v>DI9-B13</v>
      </c>
      <c r="HK45" t="str">
        <f t="shared" ref="HK45:HK55" si="107">CONCATENATE("DI",REPLACE($AC45,1,3,""),"-",GU45)</f>
        <v>DI9-C14</v>
      </c>
      <c r="HL45" t="str">
        <f t="shared" ref="HL45:HL55" si="108">CONCATENATE("DI",REPLACE($AC45,1,3,""),"-",GV45)</f>
        <v>DI9-B14</v>
      </c>
      <c r="HM45" t="str">
        <f t="shared" ref="HM45:HM55" si="109">CONCATENATE("DI",REPLACE($AC45,1,3,""),"-",GW45)</f>
        <v>DI9-C15</v>
      </c>
      <c r="HN45" t="str">
        <f t="shared" ref="HN45:HN55" si="110">CONCATENATE("DI",REPLACE($AC45,1,3,""),"-",GX45)</f>
        <v>DI9-B15</v>
      </c>
      <c r="HO45" t="str">
        <f t="shared" ref="HO45:HO55" si="111">CONCATENATE("DI",REPLACE($AC45,1,3,""),"-",GY45)</f>
        <v>DI9-C16</v>
      </c>
      <c r="HP45" t="str">
        <f t="shared" ref="HP45:HP55" si="112">CONCATENATE("DI",REPLACE($AC45,1,3,""),"-",GZ45)</f>
        <v>DI9-B16</v>
      </c>
      <c r="HQ45" t="str">
        <f t="shared" ref="HQ45:HQ55" si="113">CONCATENATE("DI",REPLACE($AC45,1,3,""),"-",HA45)</f>
        <v>DI9-C17</v>
      </c>
      <c r="HR45" t="str">
        <f t="shared" ref="HR45:HR55" si="114">CONCATENATE("DI",REPLACE($AC45,1,3,""),"-",HB45)</f>
        <v>DI9-B17</v>
      </c>
      <c r="HS45" t="str">
        <f t="shared" ref="HS45:HS55" si="115">CONCATENATE("DI",REPLACE($AC45,1,3,""),"-",HC45)</f>
        <v>DI9-C18</v>
      </c>
      <c r="HT45" t="str">
        <f t="shared" ref="HT45:HT55" si="116">CONCATENATE("DI",REPLACE($AC45,1,3,""),"-",HD45)</f>
        <v>DI9-B18</v>
      </c>
      <c r="HU45" t="str">
        <f t="shared" ref="HU45:HU55" si="117">CONCATENATE("DO",REPLACE($AH45,1,3,""),"-",AK45)</f>
        <v>DO6-5A</v>
      </c>
      <c r="HV45" t="str">
        <f t="shared" ref="HV45:HV55" si="118">CONCATENATE("DO",REPLACE($AH45,1,3,""),"-",AL45)</f>
        <v>DO6-5B</v>
      </c>
      <c r="HW45" t="str">
        <f t="shared" ref="HW45:HW55" si="119">CONCATENATE("DO",REPLACE($AH45,1,3,""),"-",HE45)</f>
        <v>DO6-6A</v>
      </c>
      <c r="HX45" t="str">
        <f t="shared" ref="HX45:HX55" si="120">CONCATENATE("DO",REPLACE($AH45,1,3,""),"-",HF45)</f>
        <v>DO6-6B</v>
      </c>
      <c r="HY45" t="str">
        <f t="shared" ref="HY45:HY55" si="121">CONCATENATE("K",$U45,"-01")</f>
        <v>K44-01</v>
      </c>
      <c r="HZ45" t="str">
        <f t="shared" ref="HZ45:HZ55" si="122">CONCATENATE("K",$U45,"-02")</f>
        <v>K44-02</v>
      </c>
      <c r="IA45" t="str">
        <f t="shared" ref="IA45:IA55" si="123">CONCATENATE("K",$U45,"-03")</f>
        <v>K44-03</v>
      </c>
      <c r="IB45" t="str">
        <f t="shared" ref="IB45:IB55" si="124">CONCATENATE("K",$U45,"-04")</f>
        <v>K44-04</v>
      </c>
      <c r="IC45" t="str">
        <f t="shared" ref="IC45:IC55" si="125">CONCATENATE("K",$U45,"-05")</f>
        <v>K44-05</v>
      </c>
      <c r="ID45" t="str">
        <f t="shared" ref="ID45:ID55" si="126">CONCATENATE("K",$U45,"-06")</f>
        <v>K44-06</v>
      </c>
      <c r="IE45" t="str">
        <f t="shared" ref="IE45:IE55" si="127">CONCATENATE("K",$U45,"-07")</f>
        <v>K44-07</v>
      </c>
      <c r="IF45" t="str">
        <f t="shared" ref="IF45:IF55" si="128">CONCATENATE("K",$U45,"-08")</f>
        <v>K44-08</v>
      </c>
      <c r="IG45" t="str">
        <f t="shared" ref="IG45:IG55" si="129">CONCATENATE($T45,"-M",$U45,"-AMS-12")</f>
        <v>F0-M44-AMS-12</v>
      </c>
      <c r="IH45" t="str">
        <f t="shared" ref="IH45:IH55" si="130">CONCATENATE($T45,"-M",$U45,"-AMS-10")</f>
        <v>F0-M44-AMS-10</v>
      </c>
      <c r="II45" t="str">
        <f t="shared" ref="II45:II55" si="131">CONCATENATE($T45,"-M",$U45,"-AMS-11")</f>
        <v>F0-M44-AMS-11</v>
      </c>
      <c r="IJ45" t="str">
        <f t="shared" ref="IJ45:IJ55" si="132">CONCATENATE($T45,"-M",$U45,"-AMS-13")</f>
        <v>F0-M44-AMS-13</v>
      </c>
      <c r="IK45" t="str">
        <f t="shared" ref="IK45:IK55" si="133">CONCATENATE($T45,"-M",$U45,"-AMS-9")</f>
        <v>F0-M44-AMS-9</v>
      </c>
      <c r="IL45" t="str">
        <f t="shared" ref="IL45:IL55" si="134">CONCATENATE($T45,"-M",$U45,"-AMS-7")</f>
        <v>F0-M44-AMS-7</v>
      </c>
      <c r="IM45" t="str">
        <f t="shared" ref="IM45:IM55" si="135">CONCATENATE($T45,"-M",$U45,"-AMS-18")</f>
        <v>F0-M44-AMS-18</v>
      </c>
      <c r="IN45" t="str">
        <f t="shared" ref="IN45:IN55" si="136">CONCATENATE($T45,"-M",$U45,"-AMS-20")</f>
        <v>F0-M44-AMS-20</v>
      </c>
      <c r="IO45" t="str">
        <f t="shared" ref="IO45:IO55" si="137">CONCATENATE($T45,"-M",$U45,"-AMS-17")</f>
        <v>F0-M44-AMS-17</v>
      </c>
      <c r="IP45" t="str">
        <f t="shared" ref="IP45:IP55" si="138">CONCATENATE($T45,"-+24-M",$U45,)</f>
        <v>F0-+24-M44</v>
      </c>
      <c r="IQ45" t="str">
        <f t="shared" ref="IQ45:IQ55" si="139">CONCATENATE($T45,"-M",$U45,"-XM01")</f>
        <v>F0-M44-XM01</v>
      </c>
      <c r="IR45" t="str">
        <f t="shared" ref="IR45:JY45" si="140">IR44</f>
        <v>A1</v>
      </c>
      <c r="IS45" t="str">
        <f t="shared" si="140"/>
        <v>A2</v>
      </c>
      <c r="IT45">
        <f t="shared" si="140"/>
        <v>11</v>
      </c>
      <c r="IU45">
        <f t="shared" si="140"/>
        <v>14</v>
      </c>
      <c r="IV45" t="str">
        <f t="shared" si="140"/>
        <v>24v6</v>
      </c>
      <c r="IW45" t="str">
        <f t="shared" si="140"/>
        <v>0v6</v>
      </c>
      <c r="IX45">
        <f t="shared" si="140"/>
        <v>1</v>
      </c>
      <c r="IY45">
        <f t="shared" si="140"/>
        <v>2</v>
      </c>
      <c r="IZ45">
        <f t="shared" si="140"/>
        <v>3</v>
      </c>
      <c r="JA45">
        <f t="shared" si="140"/>
        <v>4</v>
      </c>
      <c r="JB45">
        <f t="shared" si="140"/>
        <v>5</v>
      </c>
      <c r="JC45">
        <f t="shared" si="140"/>
        <v>6</v>
      </c>
      <c r="JD45">
        <f t="shared" si="140"/>
        <v>7</v>
      </c>
      <c r="JE45">
        <f t="shared" si="140"/>
        <v>8</v>
      </c>
      <c r="JF45">
        <f t="shared" si="140"/>
        <v>9</v>
      </c>
      <c r="JG45">
        <f t="shared" si="140"/>
        <v>10</v>
      </c>
      <c r="JH45">
        <f t="shared" si="140"/>
        <v>11</v>
      </c>
      <c r="JI45">
        <f t="shared" si="140"/>
        <v>12</v>
      </c>
      <c r="JJ45">
        <f t="shared" si="140"/>
        <v>13</v>
      </c>
      <c r="JK45">
        <f t="shared" si="140"/>
        <v>14</v>
      </c>
      <c r="JL45">
        <f t="shared" si="140"/>
        <v>17</v>
      </c>
      <c r="JM45">
        <f t="shared" si="140"/>
        <v>15</v>
      </c>
      <c r="JN45">
        <f t="shared" si="140"/>
        <v>18</v>
      </c>
      <c r="JO45">
        <f t="shared" si="140"/>
        <v>11</v>
      </c>
      <c r="JP45">
        <f t="shared" si="140"/>
        <v>9</v>
      </c>
      <c r="JQ45">
        <f t="shared" si="140"/>
        <v>6</v>
      </c>
      <c r="JR45">
        <f t="shared" si="140"/>
        <v>20</v>
      </c>
      <c r="JS45">
        <f t="shared" si="140"/>
        <v>7</v>
      </c>
      <c r="JT45">
        <f t="shared" si="140"/>
        <v>10</v>
      </c>
      <c r="JU45">
        <f t="shared" si="140"/>
        <v>22</v>
      </c>
      <c r="JV45">
        <f t="shared" si="140"/>
        <v>23</v>
      </c>
      <c r="JW45">
        <f t="shared" si="140"/>
        <v>26</v>
      </c>
      <c r="JX45">
        <f t="shared" si="140"/>
        <v>27</v>
      </c>
      <c r="JY45" s="16">
        <f t="shared" si="140"/>
        <v>30</v>
      </c>
    </row>
    <row r="46" spans="1:285" x14ac:dyDescent="0.25">
      <c r="A46" t="s">
        <v>427</v>
      </c>
      <c r="B46" t="s">
        <v>426</v>
      </c>
      <c r="P46" t="s">
        <v>391</v>
      </c>
      <c r="T46" s="14" t="s">
        <v>554</v>
      </c>
      <c r="U46" s="15">
        <f t="shared" si="95"/>
        <v>45</v>
      </c>
      <c r="V46" t="s">
        <v>455</v>
      </c>
      <c r="W46" t="s">
        <v>428</v>
      </c>
      <c r="X46" t="str">
        <f>IF(COUNTIF(X$1:X45,X45)&gt;7,REPLACE(X45,LEN(X45),1,VALUE(RIGHT(X45,1))+1),X45)</f>
        <v>A3.1</v>
      </c>
      <c r="Y46" s="43" cm="1">
        <f t="array" ref="Y46">IF(COUNTIFS($X$2:$X46,$X46)=1,"1",VALUE(SUBSTITUTE(INDEX(Y:Y,_xlfn.XMATCH($X46,$X$1:$X45,0,-1)),"A",""))+INDEX(Z:Z,_xlfn.XMATCH($X46,$X$1:$X45,0,-1))+1)</f>
        <v>4</v>
      </c>
      <c r="Z46" s="43" cm="1">
        <f t="array" ref="Z46">SUM(IF(ISNUMBER(FIND("TmAi",$BE$1:$AAL$1)),IF(IFERROR(ISODD(SUBSTITUTE($BE46:$AAL46,"A","")),FALSE),IF(ISODD(SUBSTITUTE($BE46:$AAL46,"A","")),1,0),0)))</f>
        <v>0</v>
      </c>
      <c r="AA46" t="str">
        <f t="shared" si="91"/>
        <v>7A</v>
      </c>
      <c r="AB46" t="str">
        <f t="shared" si="92"/>
        <v>7B</v>
      </c>
      <c r="AC46" s="15" t="s">
        <v>278</v>
      </c>
      <c r="AD46" s="15"/>
      <c r="AE46" s="15"/>
      <c r="AF46" t="s">
        <v>239</v>
      </c>
      <c r="AG46" t="s">
        <v>241</v>
      </c>
      <c r="AH46" s="15" t="s">
        <v>388</v>
      </c>
      <c r="AI46" s="77" cm="1">
        <f t="array" ref="AI46">IF(COUNTIFS(AH$2:AH46,AH46)=1,"1",VALUE(SUBSTITUTE(INDEX(AI:AI,_xlfn.XMATCH(AH46,AH$1:AH45,0,-1)),"A",""))+INDEX(AJ:AJ,_xlfn.XMATCH(AH46,AH$1:AH45,0,-1))+1)</f>
        <v>7</v>
      </c>
      <c r="AJ46" s="77" cm="1">
        <f t="array" ref="AJ46">SUM(IF(ISNUMBER(FIND("TmDo",$BE$1:$AAL$1)),IF(IFERROR(ISNUMBER(VALUE(SUBSTITUTE($BE46:$AAL46,"B",""))),FALSE),IF(ISNUMBER(VALUE(SUBSTITUTE($BE46:$AAL46,"B",""))),1,0),0)))</f>
        <v>1</v>
      </c>
      <c r="AK46" t="str">
        <f t="shared" si="0"/>
        <v>7A</v>
      </c>
      <c r="AL46" t="str">
        <f t="shared" si="1"/>
        <v>7B</v>
      </c>
      <c r="AM46" t="s">
        <v>425</v>
      </c>
      <c r="AP46" t="s">
        <v>137</v>
      </c>
      <c r="AQ46" t="s">
        <v>138</v>
      </c>
      <c r="AS46" t="s">
        <v>396</v>
      </c>
      <c r="AT46" t="s">
        <v>139</v>
      </c>
      <c r="AU46" t="s">
        <v>140</v>
      </c>
      <c r="BD46" s="16"/>
      <c r="GT46" s="27" t="str">
        <f t="shared" si="84"/>
        <v>XT45</v>
      </c>
      <c r="GU46" t="str">
        <f t="shared" si="85"/>
        <v>C20</v>
      </c>
      <c r="GV46" t="str">
        <f t="shared" si="96"/>
        <v>B20</v>
      </c>
      <c r="GW46" t="str">
        <f t="shared" si="97"/>
        <v>C21</v>
      </c>
      <c r="GX46" t="str">
        <f t="shared" si="98"/>
        <v>B21</v>
      </c>
      <c r="GY46" t="str">
        <f t="shared" si="99"/>
        <v>C22</v>
      </c>
      <c r="GZ46" t="str">
        <f t="shared" si="100"/>
        <v>B22</v>
      </c>
      <c r="HA46" t="str">
        <f t="shared" si="101"/>
        <v>C23</v>
      </c>
      <c r="HB46" t="str">
        <f t="shared" si="102"/>
        <v>B23</v>
      </c>
      <c r="HC46" t="str">
        <f t="shared" si="103"/>
        <v>C24</v>
      </c>
      <c r="HD46" t="str">
        <f t="shared" si="104"/>
        <v>B24</v>
      </c>
      <c r="HE46" t="str">
        <f t="shared" si="86"/>
        <v>8A</v>
      </c>
      <c r="HF46" t="str">
        <f t="shared" si="87"/>
        <v>8B</v>
      </c>
      <c r="HG46" t="str">
        <f t="shared" si="88"/>
        <v>AI1-7A</v>
      </c>
      <c r="HH46" t="str">
        <f t="shared" si="89"/>
        <v>AI1-7B</v>
      </c>
      <c r="HI46" t="str">
        <f t="shared" si="105"/>
        <v>DI9-C19</v>
      </c>
      <c r="HJ46" t="str">
        <f t="shared" si="106"/>
        <v>DI9-B19</v>
      </c>
      <c r="HK46" t="str">
        <f t="shared" si="107"/>
        <v>DI9-C20</v>
      </c>
      <c r="HL46" t="str">
        <f t="shared" si="108"/>
        <v>DI9-B20</v>
      </c>
      <c r="HM46" t="str">
        <f t="shared" si="109"/>
        <v>DI9-C21</v>
      </c>
      <c r="HN46" t="str">
        <f t="shared" si="110"/>
        <v>DI9-B21</v>
      </c>
      <c r="HO46" t="str">
        <f t="shared" si="111"/>
        <v>DI9-C22</v>
      </c>
      <c r="HP46" t="str">
        <f t="shared" si="112"/>
        <v>DI9-B22</v>
      </c>
      <c r="HQ46" t="str">
        <f t="shared" si="113"/>
        <v>DI9-C23</v>
      </c>
      <c r="HR46" t="str">
        <f t="shared" si="114"/>
        <v>DI9-B23</v>
      </c>
      <c r="HS46" t="str">
        <f t="shared" si="115"/>
        <v>DI9-C24</v>
      </c>
      <c r="HT46" t="str">
        <f t="shared" si="116"/>
        <v>DI9-B24</v>
      </c>
      <c r="HU46" t="str">
        <f t="shared" si="117"/>
        <v>DO6-7A</v>
      </c>
      <c r="HV46" t="str">
        <f t="shared" si="118"/>
        <v>DO6-7B</v>
      </c>
      <c r="HW46" t="str">
        <f t="shared" si="119"/>
        <v>DO6-8A</v>
      </c>
      <c r="HX46" t="str">
        <f t="shared" si="120"/>
        <v>DO6-8B</v>
      </c>
      <c r="HY46" t="str">
        <f t="shared" si="121"/>
        <v>K45-01</v>
      </c>
      <c r="HZ46" t="str">
        <f t="shared" si="122"/>
        <v>K45-02</v>
      </c>
      <c r="IA46" t="str">
        <f t="shared" si="123"/>
        <v>K45-03</v>
      </c>
      <c r="IB46" t="str">
        <f t="shared" si="124"/>
        <v>K45-04</v>
      </c>
      <c r="IC46" t="str">
        <f t="shared" si="125"/>
        <v>K45-05</v>
      </c>
      <c r="ID46" t="str">
        <f t="shared" si="126"/>
        <v>K45-06</v>
      </c>
      <c r="IE46" t="str">
        <f t="shared" si="127"/>
        <v>K45-07</v>
      </c>
      <c r="IF46" t="str">
        <f t="shared" si="128"/>
        <v>K45-08</v>
      </c>
      <c r="IG46" t="str">
        <f t="shared" si="129"/>
        <v>F0-M45-AMS-12</v>
      </c>
      <c r="IH46" t="str">
        <f t="shared" si="130"/>
        <v>F0-M45-AMS-10</v>
      </c>
      <c r="II46" t="str">
        <f t="shared" si="131"/>
        <v>F0-M45-AMS-11</v>
      </c>
      <c r="IJ46" t="str">
        <f t="shared" si="132"/>
        <v>F0-M45-AMS-13</v>
      </c>
      <c r="IK46" t="str">
        <f t="shared" si="133"/>
        <v>F0-M45-AMS-9</v>
      </c>
      <c r="IL46" t="str">
        <f t="shared" si="134"/>
        <v>F0-M45-AMS-7</v>
      </c>
      <c r="IM46" t="str">
        <f t="shared" si="135"/>
        <v>F0-M45-AMS-18</v>
      </c>
      <c r="IN46" t="str">
        <f t="shared" si="136"/>
        <v>F0-M45-AMS-20</v>
      </c>
      <c r="IO46" t="str">
        <f t="shared" si="137"/>
        <v>F0-M45-AMS-17</v>
      </c>
      <c r="IP46" t="str">
        <f t="shared" si="138"/>
        <v>F0-+24-M45</v>
      </c>
      <c r="IQ46" t="str">
        <f t="shared" si="139"/>
        <v>F0-M45-XM01</v>
      </c>
      <c r="IR46" t="str">
        <f t="shared" ref="IR46:JY46" si="141">IR45</f>
        <v>A1</v>
      </c>
      <c r="IS46" t="str">
        <f t="shared" si="141"/>
        <v>A2</v>
      </c>
      <c r="IT46">
        <f t="shared" si="141"/>
        <v>11</v>
      </c>
      <c r="IU46">
        <f t="shared" si="141"/>
        <v>14</v>
      </c>
      <c r="IV46" t="str">
        <f t="shared" si="141"/>
        <v>24v6</v>
      </c>
      <c r="IW46" t="str">
        <f t="shared" si="141"/>
        <v>0v6</v>
      </c>
      <c r="IX46">
        <f t="shared" si="141"/>
        <v>1</v>
      </c>
      <c r="IY46">
        <f t="shared" si="141"/>
        <v>2</v>
      </c>
      <c r="IZ46">
        <f t="shared" si="141"/>
        <v>3</v>
      </c>
      <c r="JA46">
        <f t="shared" si="141"/>
        <v>4</v>
      </c>
      <c r="JB46">
        <f t="shared" si="141"/>
        <v>5</v>
      </c>
      <c r="JC46">
        <f t="shared" si="141"/>
        <v>6</v>
      </c>
      <c r="JD46">
        <f t="shared" si="141"/>
        <v>7</v>
      </c>
      <c r="JE46">
        <f t="shared" si="141"/>
        <v>8</v>
      </c>
      <c r="JF46">
        <f t="shared" si="141"/>
        <v>9</v>
      </c>
      <c r="JG46">
        <f t="shared" si="141"/>
        <v>10</v>
      </c>
      <c r="JH46">
        <f t="shared" si="141"/>
        <v>11</v>
      </c>
      <c r="JI46">
        <f t="shared" si="141"/>
        <v>12</v>
      </c>
      <c r="JJ46">
        <f t="shared" si="141"/>
        <v>13</v>
      </c>
      <c r="JK46">
        <f t="shared" si="141"/>
        <v>14</v>
      </c>
      <c r="JL46">
        <f t="shared" si="141"/>
        <v>17</v>
      </c>
      <c r="JM46">
        <f t="shared" si="141"/>
        <v>15</v>
      </c>
      <c r="JN46">
        <f t="shared" si="141"/>
        <v>18</v>
      </c>
      <c r="JO46">
        <f t="shared" si="141"/>
        <v>11</v>
      </c>
      <c r="JP46">
        <f t="shared" si="141"/>
        <v>9</v>
      </c>
      <c r="JQ46">
        <f t="shared" si="141"/>
        <v>6</v>
      </c>
      <c r="JR46">
        <f t="shared" si="141"/>
        <v>20</v>
      </c>
      <c r="JS46">
        <f t="shared" si="141"/>
        <v>7</v>
      </c>
      <c r="JT46">
        <f t="shared" si="141"/>
        <v>10</v>
      </c>
      <c r="JU46">
        <f t="shared" si="141"/>
        <v>22</v>
      </c>
      <c r="JV46">
        <f t="shared" si="141"/>
        <v>23</v>
      </c>
      <c r="JW46">
        <f t="shared" si="141"/>
        <v>26</v>
      </c>
      <c r="JX46">
        <f t="shared" si="141"/>
        <v>27</v>
      </c>
      <c r="JY46" s="16">
        <f t="shared" si="141"/>
        <v>30</v>
      </c>
    </row>
    <row r="47" spans="1:285" x14ac:dyDescent="0.25">
      <c r="A47" t="s">
        <v>463</v>
      </c>
      <c r="B47" t="s">
        <v>462</v>
      </c>
      <c r="P47" t="s">
        <v>391</v>
      </c>
      <c r="T47" s="14" t="s">
        <v>554</v>
      </c>
      <c r="U47" s="15">
        <f t="shared" si="95"/>
        <v>46</v>
      </c>
      <c r="V47" t="s">
        <v>429</v>
      </c>
      <c r="W47" t="s">
        <v>430</v>
      </c>
      <c r="X47" t="str">
        <f>IF(COUNTIF(X$1:X46,X46)&gt;7,REPLACE(X46,LEN(X46),1,VALUE(RIGHT(X46,1))+1),X46)</f>
        <v>A3.1</v>
      </c>
      <c r="Y47" s="43" cm="1">
        <f t="array" ref="Y47">IF(COUNTIFS($X$2:$X47,$X47)=1,"1",VALUE(SUBSTITUTE(INDEX(Y:Y,_xlfn.XMATCH($X47,$X$1:$X46,0,-1)),"A",""))+INDEX(Z:Z,_xlfn.XMATCH($X47,$X$1:$X46,0,-1))+1)</f>
        <v>5</v>
      </c>
      <c r="Z47" s="43" cm="1">
        <f t="array" ref="Z47">SUM(IF(ISNUMBER(FIND("TmAi",$BE$1:$AAL$1)),IF(IFERROR(ISODD(SUBSTITUTE($BE47:$AAL47,"A","")),FALSE),IF(ISODD(SUBSTITUTE($BE47:$AAL47,"A","")),1,0),0)))</f>
        <v>0</v>
      </c>
      <c r="AA47" t="str">
        <f t="shared" si="91"/>
        <v>9A</v>
      </c>
      <c r="AB47" t="str">
        <f t="shared" si="92"/>
        <v>9B</v>
      </c>
      <c r="AC47" s="15" t="s">
        <v>278</v>
      </c>
      <c r="AD47" s="15"/>
      <c r="AE47" s="15"/>
      <c r="AF47" t="s">
        <v>240</v>
      </c>
      <c r="AG47" t="s">
        <v>242</v>
      </c>
      <c r="AH47" s="15" t="s">
        <v>388</v>
      </c>
      <c r="AI47" s="77" cm="1">
        <f t="array" ref="AI47">IF(COUNTIFS(AH$2:AH47,AH47)=1,"1",VALUE(SUBSTITUTE(INDEX(AI:AI,_xlfn.XMATCH(AH47,AH$1:AH46,0,-1)),"A",""))+INDEX(AJ:AJ,_xlfn.XMATCH(AH47,AH$1:AH46,0,-1))+1)</f>
        <v>9</v>
      </c>
      <c r="AJ47" s="77" cm="1">
        <f t="array" ref="AJ47">SUM(IF(ISNUMBER(FIND("TmDo",$BE$1:$AAL$1)),IF(IFERROR(ISNUMBER(VALUE(SUBSTITUTE($BE47:$AAL47,"B",""))),FALSE),IF(ISNUMBER(VALUE(SUBSTITUTE($BE47:$AAL47,"B",""))),1,0),0)))</f>
        <v>1</v>
      </c>
      <c r="AK47" s="15" t="str">
        <f t="shared" si="0"/>
        <v>9A</v>
      </c>
      <c r="AL47" s="15" t="str">
        <f t="shared" si="1"/>
        <v>9B</v>
      </c>
      <c r="AM47" s="15" t="s">
        <v>447</v>
      </c>
      <c r="AP47" t="s">
        <v>137</v>
      </c>
      <c r="AQ47" t="s">
        <v>138</v>
      </c>
      <c r="AS47" t="s">
        <v>396</v>
      </c>
      <c r="AT47" t="s">
        <v>139</v>
      </c>
      <c r="AU47" t="s">
        <v>140</v>
      </c>
      <c r="BD47" s="16"/>
      <c r="GT47" s="27" t="str">
        <f t="shared" si="84"/>
        <v>XT46</v>
      </c>
      <c r="GU47" t="str">
        <f t="shared" si="85"/>
        <v>C26</v>
      </c>
      <c r="GV47" t="str">
        <f t="shared" si="96"/>
        <v>B26</v>
      </c>
      <c r="GW47" t="str">
        <f t="shared" si="97"/>
        <v>C27</v>
      </c>
      <c r="GX47" t="str">
        <f t="shared" si="98"/>
        <v>B27</v>
      </c>
      <c r="GY47" t="str">
        <f t="shared" si="99"/>
        <v>C28</v>
      </c>
      <c r="GZ47" t="str">
        <f t="shared" si="100"/>
        <v>B28</v>
      </c>
      <c r="HA47" t="str">
        <f t="shared" si="101"/>
        <v>C29</v>
      </c>
      <c r="HB47" t="str">
        <f t="shared" si="102"/>
        <v>B29</v>
      </c>
      <c r="HC47" t="str">
        <f t="shared" si="103"/>
        <v>C30</v>
      </c>
      <c r="HD47" t="str">
        <f t="shared" si="104"/>
        <v>B30</v>
      </c>
      <c r="HE47" t="str">
        <f t="shared" si="86"/>
        <v>10A</v>
      </c>
      <c r="HF47" t="str">
        <f t="shared" si="87"/>
        <v>10B</v>
      </c>
      <c r="HG47" t="str">
        <f t="shared" si="88"/>
        <v>AI1-9A</v>
      </c>
      <c r="HH47" t="str">
        <f t="shared" si="89"/>
        <v>AI1-9B</v>
      </c>
      <c r="HI47" t="str">
        <f t="shared" si="105"/>
        <v>DI9-C25</v>
      </c>
      <c r="HJ47" t="str">
        <f t="shared" si="106"/>
        <v>DI9-B25</v>
      </c>
      <c r="HK47" t="str">
        <f t="shared" si="107"/>
        <v>DI9-C26</v>
      </c>
      <c r="HL47" t="str">
        <f t="shared" si="108"/>
        <v>DI9-B26</v>
      </c>
      <c r="HM47" t="str">
        <f t="shared" si="109"/>
        <v>DI9-C27</v>
      </c>
      <c r="HN47" t="str">
        <f t="shared" si="110"/>
        <v>DI9-B27</v>
      </c>
      <c r="HO47" t="str">
        <f t="shared" si="111"/>
        <v>DI9-C28</v>
      </c>
      <c r="HP47" t="str">
        <f t="shared" si="112"/>
        <v>DI9-B28</v>
      </c>
      <c r="HQ47" t="str">
        <f t="shared" si="113"/>
        <v>DI9-C29</v>
      </c>
      <c r="HR47" t="str">
        <f t="shared" si="114"/>
        <v>DI9-B29</v>
      </c>
      <c r="HS47" t="str">
        <f t="shared" si="115"/>
        <v>DI9-C30</v>
      </c>
      <c r="HT47" t="str">
        <f t="shared" si="116"/>
        <v>DI9-B30</v>
      </c>
      <c r="HU47" t="str">
        <f t="shared" si="117"/>
        <v>DO6-9A</v>
      </c>
      <c r="HV47" t="str">
        <f t="shared" si="118"/>
        <v>DO6-9B</v>
      </c>
      <c r="HW47" t="str">
        <f t="shared" si="119"/>
        <v>DO6-10A</v>
      </c>
      <c r="HX47" t="str">
        <f t="shared" si="120"/>
        <v>DO6-10B</v>
      </c>
      <c r="HY47" t="str">
        <f t="shared" si="121"/>
        <v>K46-01</v>
      </c>
      <c r="HZ47" t="str">
        <f t="shared" si="122"/>
        <v>K46-02</v>
      </c>
      <c r="IA47" t="str">
        <f t="shared" si="123"/>
        <v>K46-03</v>
      </c>
      <c r="IB47" t="str">
        <f t="shared" si="124"/>
        <v>K46-04</v>
      </c>
      <c r="IC47" t="str">
        <f t="shared" si="125"/>
        <v>K46-05</v>
      </c>
      <c r="ID47" t="str">
        <f t="shared" si="126"/>
        <v>K46-06</v>
      </c>
      <c r="IE47" t="str">
        <f t="shared" si="127"/>
        <v>K46-07</v>
      </c>
      <c r="IF47" t="str">
        <f t="shared" si="128"/>
        <v>K46-08</v>
      </c>
      <c r="IG47" t="str">
        <f t="shared" si="129"/>
        <v>F0-M46-AMS-12</v>
      </c>
      <c r="IH47" t="str">
        <f t="shared" si="130"/>
        <v>F0-M46-AMS-10</v>
      </c>
      <c r="II47" t="str">
        <f t="shared" si="131"/>
        <v>F0-M46-AMS-11</v>
      </c>
      <c r="IJ47" t="str">
        <f t="shared" si="132"/>
        <v>F0-M46-AMS-13</v>
      </c>
      <c r="IK47" t="str">
        <f t="shared" si="133"/>
        <v>F0-M46-AMS-9</v>
      </c>
      <c r="IL47" t="str">
        <f t="shared" si="134"/>
        <v>F0-M46-AMS-7</v>
      </c>
      <c r="IM47" t="str">
        <f t="shared" si="135"/>
        <v>F0-M46-AMS-18</v>
      </c>
      <c r="IN47" t="str">
        <f t="shared" si="136"/>
        <v>F0-M46-AMS-20</v>
      </c>
      <c r="IO47" t="str">
        <f t="shared" si="137"/>
        <v>F0-M46-AMS-17</v>
      </c>
      <c r="IP47" t="str">
        <f t="shared" si="138"/>
        <v>F0-+24-M46</v>
      </c>
      <c r="IQ47" t="str">
        <f t="shared" si="139"/>
        <v>F0-M46-XM01</v>
      </c>
      <c r="IR47" t="str">
        <f t="shared" ref="IR47:JY47" si="142">IR46</f>
        <v>A1</v>
      </c>
      <c r="IS47" t="str">
        <f t="shared" si="142"/>
        <v>A2</v>
      </c>
      <c r="IT47">
        <f t="shared" si="142"/>
        <v>11</v>
      </c>
      <c r="IU47">
        <f t="shared" si="142"/>
        <v>14</v>
      </c>
      <c r="IV47" t="str">
        <f t="shared" si="142"/>
        <v>24v6</v>
      </c>
      <c r="IW47" t="str">
        <f t="shared" si="142"/>
        <v>0v6</v>
      </c>
      <c r="IX47">
        <f t="shared" si="142"/>
        <v>1</v>
      </c>
      <c r="IY47">
        <f t="shared" si="142"/>
        <v>2</v>
      </c>
      <c r="IZ47">
        <f t="shared" si="142"/>
        <v>3</v>
      </c>
      <c r="JA47">
        <f t="shared" si="142"/>
        <v>4</v>
      </c>
      <c r="JB47">
        <f t="shared" si="142"/>
        <v>5</v>
      </c>
      <c r="JC47">
        <f t="shared" si="142"/>
        <v>6</v>
      </c>
      <c r="JD47">
        <f t="shared" si="142"/>
        <v>7</v>
      </c>
      <c r="JE47">
        <f t="shared" si="142"/>
        <v>8</v>
      </c>
      <c r="JF47">
        <f t="shared" si="142"/>
        <v>9</v>
      </c>
      <c r="JG47">
        <f t="shared" si="142"/>
        <v>10</v>
      </c>
      <c r="JH47">
        <f t="shared" si="142"/>
        <v>11</v>
      </c>
      <c r="JI47">
        <f t="shared" si="142"/>
        <v>12</v>
      </c>
      <c r="JJ47">
        <f t="shared" si="142"/>
        <v>13</v>
      </c>
      <c r="JK47">
        <f t="shared" si="142"/>
        <v>14</v>
      </c>
      <c r="JL47">
        <f t="shared" si="142"/>
        <v>17</v>
      </c>
      <c r="JM47">
        <f t="shared" si="142"/>
        <v>15</v>
      </c>
      <c r="JN47">
        <f t="shared" si="142"/>
        <v>18</v>
      </c>
      <c r="JO47">
        <f t="shared" si="142"/>
        <v>11</v>
      </c>
      <c r="JP47">
        <f t="shared" si="142"/>
        <v>9</v>
      </c>
      <c r="JQ47">
        <f t="shared" si="142"/>
        <v>6</v>
      </c>
      <c r="JR47">
        <f t="shared" si="142"/>
        <v>20</v>
      </c>
      <c r="JS47">
        <f t="shared" si="142"/>
        <v>7</v>
      </c>
      <c r="JT47">
        <f t="shared" si="142"/>
        <v>10</v>
      </c>
      <c r="JU47">
        <f t="shared" si="142"/>
        <v>22</v>
      </c>
      <c r="JV47">
        <f t="shared" si="142"/>
        <v>23</v>
      </c>
      <c r="JW47">
        <f t="shared" si="142"/>
        <v>26</v>
      </c>
      <c r="JX47">
        <f t="shared" si="142"/>
        <v>27</v>
      </c>
      <c r="JY47" s="16">
        <f t="shared" si="142"/>
        <v>30</v>
      </c>
    </row>
    <row r="48" spans="1:285" x14ac:dyDescent="0.25">
      <c r="A48" t="s">
        <v>465</v>
      </c>
      <c r="B48" t="s">
        <v>464</v>
      </c>
      <c r="P48" t="s">
        <v>391</v>
      </c>
      <c r="T48" s="14" t="s">
        <v>554</v>
      </c>
      <c r="U48" s="15">
        <f t="shared" si="95"/>
        <v>47</v>
      </c>
      <c r="V48" t="s">
        <v>431</v>
      </c>
      <c r="W48" t="s">
        <v>456</v>
      </c>
      <c r="X48" t="str">
        <f>IF(COUNTIF(X$1:X47,X47)&gt;7,REPLACE(X47,LEN(X47),1,VALUE(RIGHT(X47,1))+1),X47)</f>
        <v>A3.1</v>
      </c>
      <c r="Y48" s="43" cm="1">
        <f t="array" ref="Y48">IF(COUNTIFS($X$2:$X48,$X48)=1,"1",VALUE(SUBSTITUTE(INDEX(Y:Y,_xlfn.XMATCH($X48,$X$1:$X47,0,-1)),"A",""))+INDEX(Z:Z,_xlfn.XMATCH($X48,$X$1:$X47,0,-1))+1)</f>
        <v>6</v>
      </c>
      <c r="Z48" s="43" cm="1">
        <f t="array" ref="Z48">SUM(IF(ISNUMBER(FIND("TmAi",$BE$1:$AAL$1)),IF(IFERROR(ISODD(SUBSTITUTE($BE48:$AAL48,"A","")),FALSE),IF(ISODD(SUBSTITUTE($BE48:$AAL48,"A","")),1,0),0)))</f>
        <v>0</v>
      </c>
      <c r="AA48" t="str">
        <f t="shared" si="91"/>
        <v>11A</v>
      </c>
      <c r="AB48" t="str">
        <f t="shared" si="92"/>
        <v>11B</v>
      </c>
      <c r="AC48" s="15" t="s">
        <v>441</v>
      </c>
      <c r="AD48" s="15"/>
      <c r="AE48" s="15"/>
      <c r="AF48" t="s">
        <v>133</v>
      </c>
      <c r="AG48" t="s">
        <v>134</v>
      </c>
      <c r="AH48" s="15" t="s">
        <v>388</v>
      </c>
      <c r="AI48" s="77" cm="1">
        <f t="array" ref="AI48">IF(COUNTIFS(AH$2:AH48,AH48)=1,"1",VALUE(SUBSTITUTE(INDEX(AI:AI,_xlfn.XMATCH(AH48,AH$1:AH47,0,-1)),"A",""))+INDEX(AJ:AJ,_xlfn.XMATCH(AH48,AH$1:AH47,0,-1))+1)</f>
        <v>11</v>
      </c>
      <c r="AJ48" s="77" cm="1">
        <f t="array" ref="AJ48">SUM(IF(ISNUMBER(FIND("TmDo",$BE$1:$AAL$1)),IF(IFERROR(ISNUMBER(VALUE(SUBSTITUTE($BE48:$AAL48,"B",""))),FALSE),IF(ISNUMBER(VALUE(SUBSTITUTE($BE48:$AAL48,"B",""))),1,0),0)))</f>
        <v>1</v>
      </c>
      <c r="AK48" t="str">
        <f t="shared" si="0"/>
        <v>11A</v>
      </c>
      <c r="AL48" t="str">
        <f t="shared" si="1"/>
        <v>11B</v>
      </c>
      <c r="AM48" t="s">
        <v>448</v>
      </c>
      <c r="AP48" t="s">
        <v>137</v>
      </c>
      <c r="AQ48" t="s">
        <v>138</v>
      </c>
      <c r="AS48" t="s">
        <v>396</v>
      </c>
      <c r="AT48" t="s">
        <v>139</v>
      </c>
      <c r="AU48" t="s">
        <v>140</v>
      </c>
      <c r="BD48" s="16"/>
      <c r="GT48" s="27" t="str">
        <f t="shared" si="84"/>
        <v>XT47</v>
      </c>
      <c r="GU48" t="str">
        <f t="shared" si="85"/>
        <v>C2</v>
      </c>
      <c r="GV48" t="str">
        <f t="shared" si="96"/>
        <v>B2</v>
      </c>
      <c r="GW48" t="str">
        <f t="shared" si="97"/>
        <v>C3</v>
      </c>
      <c r="GX48" t="str">
        <f t="shared" si="98"/>
        <v>B3</v>
      </c>
      <c r="GY48" t="str">
        <f t="shared" si="99"/>
        <v>C4</v>
      </c>
      <c r="GZ48" t="str">
        <f t="shared" si="100"/>
        <v>B4</v>
      </c>
      <c r="HA48" t="str">
        <f t="shared" si="101"/>
        <v>C5</v>
      </c>
      <c r="HB48" t="str">
        <f t="shared" si="102"/>
        <v>B5</v>
      </c>
      <c r="HC48" t="str">
        <f t="shared" si="103"/>
        <v>C6</v>
      </c>
      <c r="HD48" t="str">
        <f t="shared" si="104"/>
        <v>B6</v>
      </c>
      <c r="HE48" t="str">
        <f t="shared" si="86"/>
        <v>12A</v>
      </c>
      <c r="HF48" t="str">
        <f t="shared" si="87"/>
        <v>12B</v>
      </c>
      <c r="HG48" t="str">
        <f t="shared" si="88"/>
        <v>AI1-11A</v>
      </c>
      <c r="HH48" t="str">
        <f t="shared" si="89"/>
        <v>AI1-11B</v>
      </c>
      <c r="HI48" t="str">
        <f t="shared" si="105"/>
        <v>DI10-C1</v>
      </c>
      <c r="HJ48" t="str">
        <f t="shared" si="106"/>
        <v>DI10-B1</v>
      </c>
      <c r="HK48" t="str">
        <f t="shared" si="107"/>
        <v>DI10-C2</v>
      </c>
      <c r="HL48" t="str">
        <f t="shared" si="108"/>
        <v>DI10-B2</v>
      </c>
      <c r="HM48" t="str">
        <f t="shared" si="109"/>
        <v>DI10-C3</v>
      </c>
      <c r="HN48" t="str">
        <f t="shared" si="110"/>
        <v>DI10-B3</v>
      </c>
      <c r="HO48" t="str">
        <f t="shared" si="111"/>
        <v>DI10-C4</v>
      </c>
      <c r="HP48" t="str">
        <f t="shared" si="112"/>
        <v>DI10-B4</v>
      </c>
      <c r="HQ48" t="str">
        <f t="shared" si="113"/>
        <v>DI10-C5</v>
      </c>
      <c r="HR48" t="str">
        <f t="shared" si="114"/>
        <v>DI10-B5</v>
      </c>
      <c r="HS48" t="str">
        <f t="shared" si="115"/>
        <v>DI10-C6</v>
      </c>
      <c r="HT48" t="str">
        <f t="shared" si="116"/>
        <v>DI10-B6</v>
      </c>
      <c r="HU48" t="str">
        <f t="shared" si="117"/>
        <v>DO6-11A</v>
      </c>
      <c r="HV48" t="str">
        <f t="shared" si="118"/>
        <v>DO6-11B</v>
      </c>
      <c r="HW48" t="str">
        <f t="shared" si="119"/>
        <v>DO6-12A</v>
      </c>
      <c r="HX48" t="str">
        <f t="shared" si="120"/>
        <v>DO6-12B</v>
      </c>
      <c r="HY48" t="str">
        <f t="shared" si="121"/>
        <v>K47-01</v>
      </c>
      <c r="HZ48" t="str">
        <f t="shared" si="122"/>
        <v>K47-02</v>
      </c>
      <c r="IA48" t="str">
        <f t="shared" si="123"/>
        <v>K47-03</v>
      </c>
      <c r="IB48" t="str">
        <f t="shared" si="124"/>
        <v>K47-04</v>
      </c>
      <c r="IC48" t="str">
        <f t="shared" si="125"/>
        <v>K47-05</v>
      </c>
      <c r="ID48" t="str">
        <f t="shared" si="126"/>
        <v>K47-06</v>
      </c>
      <c r="IE48" t="str">
        <f t="shared" si="127"/>
        <v>K47-07</v>
      </c>
      <c r="IF48" t="str">
        <f t="shared" si="128"/>
        <v>K47-08</v>
      </c>
      <c r="IG48" t="str">
        <f t="shared" si="129"/>
        <v>F0-M47-AMS-12</v>
      </c>
      <c r="IH48" t="str">
        <f t="shared" si="130"/>
        <v>F0-M47-AMS-10</v>
      </c>
      <c r="II48" t="str">
        <f t="shared" si="131"/>
        <v>F0-M47-AMS-11</v>
      </c>
      <c r="IJ48" t="str">
        <f t="shared" si="132"/>
        <v>F0-M47-AMS-13</v>
      </c>
      <c r="IK48" t="str">
        <f t="shared" si="133"/>
        <v>F0-M47-AMS-9</v>
      </c>
      <c r="IL48" t="str">
        <f t="shared" si="134"/>
        <v>F0-M47-AMS-7</v>
      </c>
      <c r="IM48" t="str">
        <f t="shared" si="135"/>
        <v>F0-M47-AMS-18</v>
      </c>
      <c r="IN48" t="str">
        <f t="shared" si="136"/>
        <v>F0-M47-AMS-20</v>
      </c>
      <c r="IO48" t="str">
        <f t="shared" si="137"/>
        <v>F0-M47-AMS-17</v>
      </c>
      <c r="IP48" t="str">
        <f t="shared" si="138"/>
        <v>F0-+24-M47</v>
      </c>
      <c r="IQ48" t="str">
        <f t="shared" si="139"/>
        <v>F0-M47-XM01</v>
      </c>
      <c r="IR48" t="str">
        <f t="shared" ref="IR48:JY48" si="143">IR47</f>
        <v>A1</v>
      </c>
      <c r="IS48" t="str">
        <f t="shared" si="143"/>
        <v>A2</v>
      </c>
      <c r="IT48">
        <f t="shared" si="143"/>
        <v>11</v>
      </c>
      <c r="IU48">
        <f t="shared" si="143"/>
        <v>14</v>
      </c>
      <c r="IV48" t="str">
        <f t="shared" si="143"/>
        <v>24v6</v>
      </c>
      <c r="IW48" t="str">
        <f t="shared" si="143"/>
        <v>0v6</v>
      </c>
      <c r="IX48">
        <f t="shared" si="143"/>
        <v>1</v>
      </c>
      <c r="IY48">
        <f t="shared" si="143"/>
        <v>2</v>
      </c>
      <c r="IZ48">
        <f t="shared" si="143"/>
        <v>3</v>
      </c>
      <c r="JA48">
        <f t="shared" si="143"/>
        <v>4</v>
      </c>
      <c r="JB48">
        <f t="shared" si="143"/>
        <v>5</v>
      </c>
      <c r="JC48">
        <f t="shared" si="143"/>
        <v>6</v>
      </c>
      <c r="JD48">
        <f t="shared" si="143"/>
        <v>7</v>
      </c>
      <c r="JE48">
        <f t="shared" si="143"/>
        <v>8</v>
      </c>
      <c r="JF48">
        <f t="shared" si="143"/>
        <v>9</v>
      </c>
      <c r="JG48">
        <f t="shared" si="143"/>
        <v>10</v>
      </c>
      <c r="JH48">
        <f t="shared" si="143"/>
        <v>11</v>
      </c>
      <c r="JI48">
        <f t="shared" si="143"/>
        <v>12</v>
      </c>
      <c r="JJ48">
        <f t="shared" si="143"/>
        <v>13</v>
      </c>
      <c r="JK48">
        <f t="shared" si="143"/>
        <v>14</v>
      </c>
      <c r="JL48">
        <f t="shared" si="143"/>
        <v>17</v>
      </c>
      <c r="JM48">
        <f t="shared" si="143"/>
        <v>15</v>
      </c>
      <c r="JN48">
        <f t="shared" si="143"/>
        <v>18</v>
      </c>
      <c r="JO48">
        <f t="shared" si="143"/>
        <v>11</v>
      </c>
      <c r="JP48">
        <f t="shared" si="143"/>
        <v>9</v>
      </c>
      <c r="JQ48">
        <f t="shared" si="143"/>
        <v>6</v>
      </c>
      <c r="JR48">
        <f t="shared" si="143"/>
        <v>20</v>
      </c>
      <c r="JS48">
        <f t="shared" si="143"/>
        <v>7</v>
      </c>
      <c r="JT48">
        <f t="shared" si="143"/>
        <v>10</v>
      </c>
      <c r="JU48">
        <f t="shared" si="143"/>
        <v>22</v>
      </c>
      <c r="JV48">
        <f t="shared" si="143"/>
        <v>23</v>
      </c>
      <c r="JW48">
        <f t="shared" si="143"/>
        <v>26</v>
      </c>
      <c r="JX48">
        <f t="shared" si="143"/>
        <v>27</v>
      </c>
      <c r="JY48" s="16">
        <f t="shared" si="143"/>
        <v>30</v>
      </c>
    </row>
    <row r="49" spans="1:305" x14ac:dyDescent="0.25">
      <c r="A49" t="s">
        <v>467</v>
      </c>
      <c r="B49" t="s">
        <v>466</v>
      </c>
      <c r="P49" t="s">
        <v>391</v>
      </c>
      <c r="T49" s="14" t="s">
        <v>554</v>
      </c>
      <c r="U49" s="15">
        <f t="shared" si="95"/>
        <v>48</v>
      </c>
      <c r="V49" t="s">
        <v>457</v>
      </c>
      <c r="W49" t="s">
        <v>432</v>
      </c>
      <c r="X49" t="str">
        <f>IF(COUNTIF(X$1:X48,X48)&gt;7,REPLACE(X48,LEN(X48),1,VALUE(RIGHT(X48,1))+1),X48)</f>
        <v>A3.1</v>
      </c>
      <c r="Y49" s="43" cm="1">
        <f t="array" ref="Y49">IF(COUNTIFS($X$2:$X49,$X49)=1,"1",VALUE(SUBSTITUTE(INDEX(Y:Y,_xlfn.XMATCH($X49,$X$1:$X48,0,-1)),"A",""))+INDEX(Z:Z,_xlfn.XMATCH($X49,$X$1:$X48,0,-1))+1)</f>
        <v>7</v>
      </c>
      <c r="Z49" s="43" cm="1">
        <f t="array" ref="Z49">SUM(IF(ISNUMBER(FIND("TmAi",$BE$1:$AAL$1)),IF(IFERROR(ISODD(SUBSTITUTE($BE49:$AAL49,"A","")),FALSE),IF(ISODD(SUBSTITUTE($BE49:$AAL49,"A","")),1,0),0)))</f>
        <v>0</v>
      </c>
      <c r="AA49" t="str">
        <f t="shared" si="91"/>
        <v>13A</v>
      </c>
      <c r="AB49" t="str">
        <f t="shared" si="92"/>
        <v>13B</v>
      </c>
      <c r="AC49" s="15" t="s">
        <v>441</v>
      </c>
      <c r="AD49" s="15"/>
      <c r="AE49" s="15"/>
      <c r="AF49" t="s">
        <v>148</v>
      </c>
      <c r="AG49" t="s">
        <v>149</v>
      </c>
      <c r="AH49" s="15" t="s">
        <v>388</v>
      </c>
      <c r="AI49" s="77" cm="1">
        <f t="array" ref="AI49">IF(COUNTIFS(AH$2:AH49,AH49)=1,"1",VALUE(SUBSTITUTE(INDEX(AI:AI,_xlfn.XMATCH(AH49,AH$1:AH48,0,-1)),"A",""))+INDEX(AJ:AJ,_xlfn.XMATCH(AH49,AH$1:AH48,0,-1))+1)</f>
        <v>13</v>
      </c>
      <c r="AJ49" s="77" cm="1">
        <f t="array" ref="AJ49">SUM(IF(ISNUMBER(FIND("TmDo",$BE$1:$AAL$1)),IF(IFERROR(ISNUMBER(VALUE(SUBSTITUTE($BE49:$AAL49,"B",""))),FALSE),IF(ISNUMBER(VALUE(SUBSTITUTE($BE49:$AAL49,"B",""))),1,0),0)))</f>
        <v>1</v>
      </c>
      <c r="AK49" s="15" t="str">
        <f t="shared" si="0"/>
        <v>13A</v>
      </c>
      <c r="AL49" s="15" t="str">
        <f t="shared" si="1"/>
        <v>13B</v>
      </c>
      <c r="AM49" s="15" t="s">
        <v>449</v>
      </c>
      <c r="AP49" t="s">
        <v>137</v>
      </c>
      <c r="AQ49" t="s">
        <v>138</v>
      </c>
      <c r="AS49" t="s">
        <v>396</v>
      </c>
      <c r="AT49" t="s">
        <v>139</v>
      </c>
      <c r="AU49" t="s">
        <v>140</v>
      </c>
      <c r="BD49" s="16"/>
      <c r="GT49" s="27" t="str">
        <f t="shared" si="84"/>
        <v>XT48</v>
      </c>
      <c r="GU49" t="str">
        <f t="shared" si="85"/>
        <v>C8</v>
      </c>
      <c r="GV49" t="str">
        <f t="shared" si="96"/>
        <v>B8</v>
      </c>
      <c r="GW49" t="str">
        <f t="shared" si="97"/>
        <v>C9</v>
      </c>
      <c r="GX49" t="str">
        <f t="shared" si="98"/>
        <v>B9</v>
      </c>
      <c r="GY49" t="str">
        <f t="shared" si="99"/>
        <v>C10</v>
      </c>
      <c r="GZ49" t="str">
        <f t="shared" si="100"/>
        <v>B10</v>
      </c>
      <c r="HA49" t="str">
        <f t="shared" si="101"/>
        <v>C11</v>
      </c>
      <c r="HB49" t="str">
        <f t="shared" si="102"/>
        <v>B11</v>
      </c>
      <c r="HC49" t="str">
        <f t="shared" si="103"/>
        <v>C12</v>
      </c>
      <c r="HD49" t="str">
        <f t="shared" si="104"/>
        <v>B12</v>
      </c>
      <c r="HE49" t="str">
        <f t="shared" si="86"/>
        <v>14A</v>
      </c>
      <c r="HF49" t="str">
        <f t="shared" si="87"/>
        <v>14B</v>
      </c>
      <c r="HG49" t="str">
        <f t="shared" si="88"/>
        <v>AI1-13A</v>
      </c>
      <c r="HH49" t="str">
        <f t="shared" si="89"/>
        <v>AI1-13B</v>
      </c>
      <c r="HI49" t="str">
        <f t="shared" si="105"/>
        <v>DI10-C7</v>
      </c>
      <c r="HJ49" t="str">
        <f t="shared" si="106"/>
        <v>DI10-B7</v>
      </c>
      <c r="HK49" t="str">
        <f t="shared" si="107"/>
        <v>DI10-C8</v>
      </c>
      <c r="HL49" t="str">
        <f t="shared" si="108"/>
        <v>DI10-B8</v>
      </c>
      <c r="HM49" t="str">
        <f t="shared" si="109"/>
        <v>DI10-C9</v>
      </c>
      <c r="HN49" t="str">
        <f t="shared" si="110"/>
        <v>DI10-B9</v>
      </c>
      <c r="HO49" t="str">
        <f t="shared" si="111"/>
        <v>DI10-C10</v>
      </c>
      <c r="HP49" t="str">
        <f t="shared" si="112"/>
        <v>DI10-B10</v>
      </c>
      <c r="HQ49" t="str">
        <f t="shared" si="113"/>
        <v>DI10-C11</v>
      </c>
      <c r="HR49" t="str">
        <f t="shared" si="114"/>
        <v>DI10-B11</v>
      </c>
      <c r="HS49" t="str">
        <f t="shared" si="115"/>
        <v>DI10-C12</v>
      </c>
      <c r="HT49" t="str">
        <f t="shared" si="116"/>
        <v>DI10-B12</v>
      </c>
      <c r="HU49" t="str">
        <f t="shared" si="117"/>
        <v>DO6-13A</v>
      </c>
      <c r="HV49" t="str">
        <f t="shared" si="118"/>
        <v>DO6-13B</v>
      </c>
      <c r="HW49" t="str">
        <f t="shared" si="119"/>
        <v>DO6-14A</v>
      </c>
      <c r="HX49" t="str">
        <f t="shared" si="120"/>
        <v>DO6-14B</v>
      </c>
      <c r="HY49" t="str">
        <f t="shared" si="121"/>
        <v>K48-01</v>
      </c>
      <c r="HZ49" t="str">
        <f t="shared" si="122"/>
        <v>K48-02</v>
      </c>
      <c r="IA49" t="str">
        <f t="shared" si="123"/>
        <v>K48-03</v>
      </c>
      <c r="IB49" t="str">
        <f t="shared" si="124"/>
        <v>K48-04</v>
      </c>
      <c r="IC49" t="str">
        <f t="shared" si="125"/>
        <v>K48-05</v>
      </c>
      <c r="ID49" t="str">
        <f t="shared" si="126"/>
        <v>K48-06</v>
      </c>
      <c r="IE49" t="str">
        <f t="shared" si="127"/>
        <v>K48-07</v>
      </c>
      <c r="IF49" t="str">
        <f t="shared" si="128"/>
        <v>K48-08</v>
      </c>
      <c r="IG49" t="str">
        <f t="shared" si="129"/>
        <v>F0-M48-AMS-12</v>
      </c>
      <c r="IH49" t="str">
        <f t="shared" si="130"/>
        <v>F0-M48-AMS-10</v>
      </c>
      <c r="II49" t="str">
        <f t="shared" si="131"/>
        <v>F0-M48-AMS-11</v>
      </c>
      <c r="IJ49" t="str">
        <f t="shared" si="132"/>
        <v>F0-M48-AMS-13</v>
      </c>
      <c r="IK49" t="str">
        <f t="shared" si="133"/>
        <v>F0-M48-AMS-9</v>
      </c>
      <c r="IL49" t="str">
        <f t="shared" si="134"/>
        <v>F0-M48-AMS-7</v>
      </c>
      <c r="IM49" t="str">
        <f t="shared" si="135"/>
        <v>F0-M48-AMS-18</v>
      </c>
      <c r="IN49" t="str">
        <f t="shared" si="136"/>
        <v>F0-M48-AMS-20</v>
      </c>
      <c r="IO49" t="str">
        <f t="shared" si="137"/>
        <v>F0-M48-AMS-17</v>
      </c>
      <c r="IP49" t="str">
        <f t="shared" si="138"/>
        <v>F0-+24-M48</v>
      </c>
      <c r="IQ49" t="str">
        <f t="shared" si="139"/>
        <v>F0-M48-XM01</v>
      </c>
      <c r="IR49" t="str">
        <f t="shared" ref="IR49:JY49" si="144">IR48</f>
        <v>A1</v>
      </c>
      <c r="IS49" t="str">
        <f t="shared" si="144"/>
        <v>A2</v>
      </c>
      <c r="IT49">
        <f t="shared" si="144"/>
        <v>11</v>
      </c>
      <c r="IU49">
        <f t="shared" si="144"/>
        <v>14</v>
      </c>
      <c r="IV49" t="str">
        <f t="shared" si="144"/>
        <v>24v6</v>
      </c>
      <c r="IW49" t="str">
        <f t="shared" si="144"/>
        <v>0v6</v>
      </c>
      <c r="IX49">
        <f t="shared" si="144"/>
        <v>1</v>
      </c>
      <c r="IY49">
        <f t="shared" si="144"/>
        <v>2</v>
      </c>
      <c r="IZ49">
        <f t="shared" si="144"/>
        <v>3</v>
      </c>
      <c r="JA49">
        <f t="shared" si="144"/>
        <v>4</v>
      </c>
      <c r="JB49">
        <f t="shared" si="144"/>
        <v>5</v>
      </c>
      <c r="JC49">
        <f t="shared" si="144"/>
        <v>6</v>
      </c>
      <c r="JD49">
        <f t="shared" si="144"/>
        <v>7</v>
      </c>
      <c r="JE49">
        <f t="shared" si="144"/>
        <v>8</v>
      </c>
      <c r="JF49">
        <f t="shared" si="144"/>
        <v>9</v>
      </c>
      <c r="JG49">
        <f t="shared" si="144"/>
        <v>10</v>
      </c>
      <c r="JH49">
        <f t="shared" si="144"/>
        <v>11</v>
      </c>
      <c r="JI49">
        <f t="shared" si="144"/>
        <v>12</v>
      </c>
      <c r="JJ49">
        <f t="shared" si="144"/>
        <v>13</v>
      </c>
      <c r="JK49">
        <f t="shared" si="144"/>
        <v>14</v>
      </c>
      <c r="JL49">
        <f t="shared" si="144"/>
        <v>17</v>
      </c>
      <c r="JM49">
        <f t="shared" si="144"/>
        <v>15</v>
      </c>
      <c r="JN49">
        <f t="shared" si="144"/>
        <v>18</v>
      </c>
      <c r="JO49">
        <f t="shared" si="144"/>
        <v>11</v>
      </c>
      <c r="JP49">
        <f t="shared" si="144"/>
        <v>9</v>
      </c>
      <c r="JQ49">
        <f t="shared" si="144"/>
        <v>6</v>
      </c>
      <c r="JR49">
        <f t="shared" si="144"/>
        <v>20</v>
      </c>
      <c r="JS49">
        <f t="shared" si="144"/>
        <v>7</v>
      </c>
      <c r="JT49">
        <f t="shared" si="144"/>
        <v>10</v>
      </c>
      <c r="JU49">
        <f t="shared" si="144"/>
        <v>22</v>
      </c>
      <c r="JV49">
        <f t="shared" si="144"/>
        <v>23</v>
      </c>
      <c r="JW49">
        <f t="shared" si="144"/>
        <v>26</v>
      </c>
      <c r="JX49">
        <f t="shared" si="144"/>
        <v>27</v>
      </c>
      <c r="JY49" s="16">
        <f t="shared" si="144"/>
        <v>30</v>
      </c>
    </row>
    <row r="50" spans="1:305" x14ac:dyDescent="0.25">
      <c r="A50" t="s">
        <v>469</v>
      </c>
      <c r="B50" t="s">
        <v>468</v>
      </c>
      <c r="P50" t="s">
        <v>391</v>
      </c>
      <c r="T50" s="14" t="s">
        <v>554</v>
      </c>
      <c r="U50" s="15">
        <f t="shared" si="95"/>
        <v>49</v>
      </c>
      <c r="V50" t="s">
        <v>433</v>
      </c>
      <c r="W50" t="s">
        <v>434</v>
      </c>
      <c r="X50" s="33" t="str">
        <f>IF(COUNTIF(X$1:X49,X49)&gt;7,REPLACE(X49,LEN(X49),1,VALUE(RIGHT(X49,1))+1),X49)</f>
        <v>A3.1</v>
      </c>
      <c r="Y50" s="45" cm="1">
        <f t="array" ref="Y50">IF(COUNTIFS($X$2:$X50,$X50)=1,"1",VALUE(SUBSTITUTE(INDEX(Y:Y,_xlfn.XMATCH($X50,$X$1:$X49,0,-1)),"A",""))+INDEX(Z:Z,_xlfn.XMATCH($X50,$X$1:$X49,0,-1))+1)</f>
        <v>8</v>
      </c>
      <c r="Z50" s="43" cm="1">
        <f t="array" ref="Z50">SUM(IF(ISNUMBER(FIND("TmAi",$BE$1:$AAL$1)),IF(IFERROR(ISODD(SUBSTITUTE($BE50:$AAL50,"A","")),FALSE),IF(ISODD(SUBSTITUTE($BE50:$AAL50,"A","")),1,0),0)))</f>
        <v>0</v>
      </c>
      <c r="AA50" t="str">
        <f t="shared" si="91"/>
        <v>15A</v>
      </c>
      <c r="AB50" t="str">
        <f t="shared" si="92"/>
        <v>15B</v>
      </c>
      <c r="AC50" s="15" t="s">
        <v>441</v>
      </c>
      <c r="AD50" s="15"/>
      <c r="AE50" s="15"/>
      <c r="AF50" t="s">
        <v>153</v>
      </c>
      <c r="AG50" t="s">
        <v>154</v>
      </c>
      <c r="AH50" s="15" t="s">
        <v>388</v>
      </c>
      <c r="AI50" s="77" cm="1">
        <f t="array" ref="AI50">IF(COUNTIFS(AH$2:AH50,AH50)=1,"1",VALUE(SUBSTITUTE(INDEX(AI:AI,_xlfn.XMATCH(AH50,AH$1:AH49,0,-1)),"A",""))+INDEX(AJ:AJ,_xlfn.XMATCH(AH50,AH$1:AH49,0,-1))+1)</f>
        <v>15</v>
      </c>
      <c r="AJ50" s="77" cm="1">
        <f t="array" ref="AJ50">SUM(IF(ISNUMBER(FIND("TmDo",$BE$1:$AAL$1)),IF(IFERROR(ISNUMBER(VALUE(SUBSTITUTE($BE50:$AAL50,"B",""))),FALSE),IF(ISNUMBER(VALUE(SUBSTITUTE($BE50:$AAL50,"B",""))),1,0),0)))</f>
        <v>1</v>
      </c>
      <c r="AK50" t="str">
        <f t="shared" si="0"/>
        <v>15A</v>
      </c>
      <c r="AL50" t="str">
        <f t="shared" si="1"/>
        <v>15B</v>
      </c>
      <c r="AM50" t="s">
        <v>450</v>
      </c>
      <c r="AP50" t="s">
        <v>137</v>
      </c>
      <c r="AQ50" t="s">
        <v>138</v>
      </c>
      <c r="AS50" t="s">
        <v>396</v>
      </c>
      <c r="AT50" t="s">
        <v>139</v>
      </c>
      <c r="AU50" t="s">
        <v>140</v>
      </c>
      <c r="BD50" s="16"/>
      <c r="GT50" s="27" t="str">
        <f t="shared" si="84"/>
        <v>XT49</v>
      </c>
      <c r="GU50" t="str">
        <f t="shared" si="85"/>
        <v>C14</v>
      </c>
      <c r="GV50" t="str">
        <f t="shared" si="96"/>
        <v>B14</v>
      </c>
      <c r="GW50" t="str">
        <f t="shared" si="97"/>
        <v>C15</v>
      </c>
      <c r="GX50" t="str">
        <f t="shared" si="98"/>
        <v>B15</v>
      </c>
      <c r="GY50" t="str">
        <f t="shared" si="99"/>
        <v>C16</v>
      </c>
      <c r="GZ50" t="str">
        <f t="shared" si="100"/>
        <v>B16</v>
      </c>
      <c r="HA50" t="str">
        <f t="shared" si="101"/>
        <v>C17</v>
      </c>
      <c r="HB50" t="str">
        <f t="shared" si="102"/>
        <v>B17</v>
      </c>
      <c r="HC50" t="str">
        <f t="shared" si="103"/>
        <v>C18</v>
      </c>
      <c r="HD50" t="str">
        <f t="shared" si="104"/>
        <v>B18</v>
      </c>
      <c r="HE50" t="str">
        <f t="shared" si="86"/>
        <v>16A</v>
      </c>
      <c r="HF50" t="str">
        <f t="shared" si="87"/>
        <v>16B</v>
      </c>
      <c r="HG50" t="str">
        <f t="shared" si="88"/>
        <v>AI1-15A</v>
      </c>
      <c r="HH50" t="str">
        <f t="shared" si="89"/>
        <v>AI1-15B</v>
      </c>
      <c r="HI50" t="str">
        <f t="shared" si="105"/>
        <v>DI10-C13</v>
      </c>
      <c r="HJ50" t="str">
        <f t="shared" si="106"/>
        <v>DI10-B13</v>
      </c>
      <c r="HK50" t="str">
        <f t="shared" si="107"/>
        <v>DI10-C14</v>
      </c>
      <c r="HL50" t="str">
        <f t="shared" si="108"/>
        <v>DI10-B14</v>
      </c>
      <c r="HM50" t="str">
        <f t="shared" si="109"/>
        <v>DI10-C15</v>
      </c>
      <c r="HN50" t="str">
        <f t="shared" si="110"/>
        <v>DI10-B15</v>
      </c>
      <c r="HO50" t="str">
        <f t="shared" si="111"/>
        <v>DI10-C16</v>
      </c>
      <c r="HP50" t="str">
        <f t="shared" si="112"/>
        <v>DI10-B16</v>
      </c>
      <c r="HQ50" t="str">
        <f t="shared" si="113"/>
        <v>DI10-C17</v>
      </c>
      <c r="HR50" t="str">
        <f t="shared" si="114"/>
        <v>DI10-B17</v>
      </c>
      <c r="HS50" t="str">
        <f t="shared" si="115"/>
        <v>DI10-C18</v>
      </c>
      <c r="HT50" t="str">
        <f t="shared" si="116"/>
        <v>DI10-B18</v>
      </c>
      <c r="HU50" t="str">
        <f t="shared" si="117"/>
        <v>DO6-15A</v>
      </c>
      <c r="HV50" t="str">
        <f t="shared" si="118"/>
        <v>DO6-15B</v>
      </c>
      <c r="HW50" t="str">
        <f t="shared" si="119"/>
        <v>DO6-16A</v>
      </c>
      <c r="HX50" t="str">
        <f t="shared" si="120"/>
        <v>DO6-16B</v>
      </c>
      <c r="HY50" t="str">
        <f t="shared" si="121"/>
        <v>K49-01</v>
      </c>
      <c r="HZ50" t="str">
        <f t="shared" si="122"/>
        <v>K49-02</v>
      </c>
      <c r="IA50" t="str">
        <f t="shared" si="123"/>
        <v>K49-03</v>
      </c>
      <c r="IB50" t="str">
        <f t="shared" si="124"/>
        <v>K49-04</v>
      </c>
      <c r="IC50" t="str">
        <f t="shared" si="125"/>
        <v>K49-05</v>
      </c>
      <c r="ID50" t="str">
        <f t="shared" si="126"/>
        <v>K49-06</v>
      </c>
      <c r="IE50" t="str">
        <f t="shared" si="127"/>
        <v>K49-07</v>
      </c>
      <c r="IF50" t="str">
        <f t="shared" si="128"/>
        <v>K49-08</v>
      </c>
      <c r="IG50" t="str">
        <f t="shared" si="129"/>
        <v>F0-M49-AMS-12</v>
      </c>
      <c r="IH50" t="str">
        <f t="shared" si="130"/>
        <v>F0-M49-AMS-10</v>
      </c>
      <c r="II50" t="str">
        <f t="shared" si="131"/>
        <v>F0-M49-AMS-11</v>
      </c>
      <c r="IJ50" t="str">
        <f t="shared" si="132"/>
        <v>F0-M49-AMS-13</v>
      </c>
      <c r="IK50" t="str">
        <f t="shared" si="133"/>
        <v>F0-M49-AMS-9</v>
      </c>
      <c r="IL50" t="str">
        <f t="shared" si="134"/>
        <v>F0-M49-AMS-7</v>
      </c>
      <c r="IM50" t="str">
        <f t="shared" si="135"/>
        <v>F0-M49-AMS-18</v>
      </c>
      <c r="IN50" t="str">
        <f t="shared" si="136"/>
        <v>F0-M49-AMS-20</v>
      </c>
      <c r="IO50" t="str">
        <f t="shared" si="137"/>
        <v>F0-M49-AMS-17</v>
      </c>
      <c r="IP50" t="str">
        <f t="shared" si="138"/>
        <v>F0-+24-M49</v>
      </c>
      <c r="IQ50" t="str">
        <f t="shared" si="139"/>
        <v>F0-M49-XM01</v>
      </c>
      <c r="IR50" t="str">
        <f t="shared" ref="IR50:JY50" si="145">IR49</f>
        <v>A1</v>
      </c>
      <c r="IS50" t="str">
        <f t="shared" si="145"/>
        <v>A2</v>
      </c>
      <c r="IT50">
        <f t="shared" si="145"/>
        <v>11</v>
      </c>
      <c r="IU50">
        <f t="shared" si="145"/>
        <v>14</v>
      </c>
      <c r="IV50" t="str">
        <f t="shared" si="145"/>
        <v>24v6</v>
      </c>
      <c r="IW50" t="str">
        <f t="shared" si="145"/>
        <v>0v6</v>
      </c>
      <c r="IX50">
        <f t="shared" si="145"/>
        <v>1</v>
      </c>
      <c r="IY50">
        <f t="shared" si="145"/>
        <v>2</v>
      </c>
      <c r="IZ50">
        <f t="shared" si="145"/>
        <v>3</v>
      </c>
      <c r="JA50">
        <f t="shared" si="145"/>
        <v>4</v>
      </c>
      <c r="JB50">
        <f t="shared" si="145"/>
        <v>5</v>
      </c>
      <c r="JC50">
        <f t="shared" si="145"/>
        <v>6</v>
      </c>
      <c r="JD50">
        <f t="shared" si="145"/>
        <v>7</v>
      </c>
      <c r="JE50">
        <f t="shared" si="145"/>
        <v>8</v>
      </c>
      <c r="JF50">
        <f t="shared" si="145"/>
        <v>9</v>
      </c>
      <c r="JG50">
        <f t="shared" si="145"/>
        <v>10</v>
      </c>
      <c r="JH50">
        <f t="shared" si="145"/>
        <v>11</v>
      </c>
      <c r="JI50">
        <f t="shared" si="145"/>
        <v>12</v>
      </c>
      <c r="JJ50">
        <f t="shared" si="145"/>
        <v>13</v>
      </c>
      <c r="JK50">
        <f t="shared" si="145"/>
        <v>14</v>
      </c>
      <c r="JL50">
        <f t="shared" si="145"/>
        <v>17</v>
      </c>
      <c r="JM50">
        <f t="shared" si="145"/>
        <v>15</v>
      </c>
      <c r="JN50">
        <f t="shared" si="145"/>
        <v>18</v>
      </c>
      <c r="JO50">
        <f t="shared" si="145"/>
        <v>11</v>
      </c>
      <c r="JP50">
        <f t="shared" si="145"/>
        <v>9</v>
      </c>
      <c r="JQ50">
        <f t="shared" si="145"/>
        <v>6</v>
      </c>
      <c r="JR50">
        <f t="shared" si="145"/>
        <v>20</v>
      </c>
      <c r="JS50">
        <f t="shared" si="145"/>
        <v>7</v>
      </c>
      <c r="JT50">
        <f t="shared" si="145"/>
        <v>10</v>
      </c>
      <c r="JU50">
        <f t="shared" si="145"/>
        <v>22</v>
      </c>
      <c r="JV50">
        <f t="shared" si="145"/>
        <v>23</v>
      </c>
      <c r="JW50">
        <f t="shared" si="145"/>
        <v>26</v>
      </c>
      <c r="JX50">
        <f t="shared" si="145"/>
        <v>27</v>
      </c>
      <c r="JY50" s="16">
        <f t="shared" si="145"/>
        <v>30</v>
      </c>
    </row>
    <row r="51" spans="1:305" x14ac:dyDescent="0.25">
      <c r="A51" t="s">
        <v>471</v>
      </c>
      <c r="B51" s="29" t="s">
        <v>470</v>
      </c>
      <c r="P51" t="s">
        <v>391</v>
      </c>
      <c r="T51" s="14" t="s">
        <v>554</v>
      </c>
      <c r="U51" s="15">
        <f t="shared" si="95"/>
        <v>50</v>
      </c>
      <c r="V51" t="s">
        <v>435</v>
      </c>
      <c r="W51" t="s">
        <v>458</v>
      </c>
      <c r="X51" t="str">
        <f>IF(COUNTIF(X$1:X50,X50)&gt;7,REPLACE(X50,LEN(X50),1,VALUE(RIGHT(X50,1))+1),X50)</f>
        <v>A3.2</v>
      </c>
      <c r="Y51" s="43" t="str" cm="1">
        <f t="array" ref="Y51">IF(COUNTIFS($X$2:$X51,$X51)=1,"1",VALUE(SUBSTITUTE(INDEX(Y:Y,_xlfn.XMATCH($X51,$X$1:$X50,0,-1)),"A",""))+INDEX(Z:Z,_xlfn.XMATCH($X51,$X$1:$X50,0,-1))+1)</f>
        <v>1</v>
      </c>
      <c r="Z51" s="43" cm="1">
        <f t="array" ref="Z51">SUM(IF(ISNUMBER(FIND("TmAi",$BE$1:$AAL$1)),IF(IFERROR(ISODD(SUBSTITUTE($BE51:$AAL51,"A","")),FALSE),IF(ISODD(SUBSTITUTE($BE51:$AAL51,"A","")),1,0),0)))</f>
        <v>0</v>
      </c>
      <c r="AA51" t="str">
        <f t="shared" si="91"/>
        <v>1A</v>
      </c>
      <c r="AB51" t="str">
        <f t="shared" si="92"/>
        <v>1B</v>
      </c>
      <c r="AC51" s="15" t="s">
        <v>441</v>
      </c>
      <c r="AD51" s="15"/>
      <c r="AE51" s="15"/>
      <c r="AF51" t="s">
        <v>239</v>
      </c>
      <c r="AG51" t="s">
        <v>241</v>
      </c>
      <c r="AH51" s="15" t="s">
        <v>388</v>
      </c>
      <c r="AI51" s="77" cm="1">
        <f t="array" ref="AI51">IF(COUNTIFS(AH$2:AH51,AH51)=1,"1",VALUE(SUBSTITUTE(INDEX(AI:AI,_xlfn.XMATCH(AH51,AH$1:AH50,0,-1)),"A",""))+INDEX(AJ:AJ,_xlfn.XMATCH(AH51,AH$1:AH50,0,-1))+1)</f>
        <v>17</v>
      </c>
      <c r="AJ51" s="77" cm="1">
        <f t="array" ref="AJ51">SUM(IF(ISNUMBER(FIND("TmDo",$BE$1:$AAL$1)),IF(IFERROR(ISNUMBER(VALUE(SUBSTITUTE($BE51:$AAL51,"B",""))),FALSE),IF(ISNUMBER(VALUE(SUBSTITUTE($BE51:$AAL51,"B",""))),1,0),0)))</f>
        <v>1</v>
      </c>
      <c r="AK51" s="15" t="str">
        <f t="shared" si="0"/>
        <v>17A</v>
      </c>
      <c r="AL51" s="15" t="str">
        <f t="shared" si="1"/>
        <v>17B</v>
      </c>
      <c r="AM51" s="15" t="s">
        <v>451</v>
      </c>
      <c r="AP51" t="s">
        <v>137</v>
      </c>
      <c r="AQ51" t="s">
        <v>138</v>
      </c>
      <c r="AS51" t="s">
        <v>396</v>
      </c>
      <c r="AT51" t="s">
        <v>139</v>
      </c>
      <c r="AU51" t="s">
        <v>140</v>
      </c>
      <c r="BD51" s="16"/>
      <c r="GT51" s="27" t="str">
        <f t="shared" si="84"/>
        <v>XT50</v>
      </c>
      <c r="GU51" t="str">
        <f t="shared" si="85"/>
        <v>C20</v>
      </c>
      <c r="GV51" t="str">
        <f t="shared" si="96"/>
        <v>B20</v>
      </c>
      <c r="GW51" t="str">
        <f t="shared" si="97"/>
        <v>C21</v>
      </c>
      <c r="GX51" t="str">
        <f t="shared" si="98"/>
        <v>B21</v>
      </c>
      <c r="GY51" t="str">
        <f t="shared" si="99"/>
        <v>C22</v>
      </c>
      <c r="GZ51" t="str">
        <f t="shared" si="100"/>
        <v>B22</v>
      </c>
      <c r="HA51" t="str">
        <f t="shared" si="101"/>
        <v>C23</v>
      </c>
      <c r="HB51" t="str">
        <f t="shared" si="102"/>
        <v>B23</v>
      </c>
      <c r="HC51" t="str">
        <f t="shared" si="103"/>
        <v>C24</v>
      </c>
      <c r="HD51" t="str">
        <f t="shared" si="104"/>
        <v>B24</v>
      </c>
      <c r="HE51" t="str">
        <f t="shared" si="86"/>
        <v>18A</v>
      </c>
      <c r="HF51" t="str">
        <f t="shared" si="87"/>
        <v>18B</v>
      </c>
      <c r="HG51" t="str">
        <f t="shared" si="88"/>
        <v>AI2-1A</v>
      </c>
      <c r="HH51" t="str">
        <f t="shared" si="89"/>
        <v>AI2-1B</v>
      </c>
      <c r="HI51" t="str">
        <f t="shared" si="105"/>
        <v>DI10-C19</v>
      </c>
      <c r="HJ51" t="str">
        <f t="shared" si="106"/>
        <v>DI10-B19</v>
      </c>
      <c r="HK51" t="str">
        <f t="shared" si="107"/>
        <v>DI10-C20</v>
      </c>
      <c r="HL51" t="str">
        <f t="shared" si="108"/>
        <v>DI10-B20</v>
      </c>
      <c r="HM51" t="str">
        <f t="shared" si="109"/>
        <v>DI10-C21</v>
      </c>
      <c r="HN51" t="str">
        <f t="shared" si="110"/>
        <v>DI10-B21</v>
      </c>
      <c r="HO51" t="str">
        <f t="shared" si="111"/>
        <v>DI10-C22</v>
      </c>
      <c r="HP51" t="str">
        <f t="shared" si="112"/>
        <v>DI10-B22</v>
      </c>
      <c r="HQ51" t="str">
        <f t="shared" si="113"/>
        <v>DI10-C23</v>
      </c>
      <c r="HR51" t="str">
        <f t="shared" si="114"/>
        <v>DI10-B23</v>
      </c>
      <c r="HS51" t="str">
        <f t="shared" si="115"/>
        <v>DI10-C24</v>
      </c>
      <c r="HT51" t="str">
        <f t="shared" si="116"/>
        <v>DI10-B24</v>
      </c>
      <c r="HU51" t="str">
        <f t="shared" si="117"/>
        <v>DO6-17A</v>
      </c>
      <c r="HV51" t="str">
        <f t="shared" si="118"/>
        <v>DO6-17B</v>
      </c>
      <c r="HW51" t="str">
        <f t="shared" si="119"/>
        <v>DO6-18A</v>
      </c>
      <c r="HX51" t="str">
        <f t="shared" si="120"/>
        <v>DO6-18B</v>
      </c>
      <c r="HY51" t="str">
        <f t="shared" si="121"/>
        <v>K50-01</v>
      </c>
      <c r="HZ51" t="str">
        <f t="shared" si="122"/>
        <v>K50-02</v>
      </c>
      <c r="IA51" t="str">
        <f t="shared" si="123"/>
        <v>K50-03</v>
      </c>
      <c r="IB51" t="str">
        <f t="shared" si="124"/>
        <v>K50-04</v>
      </c>
      <c r="IC51" t="str">
        <f t="shared" si="125"/>
        <v>K50-05</v>
      </c>
      <c r="ID51" t="str">
        <f t="shared" si="126"/>
        <v>K50-06</v>
      </c>
      <c r="IE51" t="str">
        <f t="shared" si="127"/>
        <v>K50-07</v>
      </c>
      <c r="IF51" t="str">
        <f t="shared" si="128"/>
        <v>K50-08</v>
      </c>
      <c r="IG51" t="str">
        <f t="shared" si="129"/>
        <v>F0-M50-AMS-12</v>
      </c>
      <c r="IH51" t="str">
        <f t="shared" si="130"/>
        <v>F0-M50-AMS-10</v>
      </c>
      <c r="II51" t="str">
        <f t="shared" si="131"/>
        <v>F0-M50-AMS-11</v>
      </c>
      <c r="IJ51" t="str">
        <f t="shared" si="132"/>
        <v>F0-M50-AMS-13</v>
      </c>
      <c r="IK51" t="str">
        <f t="shared" si="133"/>
        <v>F0-M50-AMS-9</v>
      </c>
      <c r="IL51" t="str">
        <f t="shared" si="134"/>
        <v>F0-M50-AMS-7</v>
      </c>
      <c r="IM51" t="str">
        <f t="shared" si="135"/>
        <v>F0-M50-AMS-18</v>
      </c>
      <c r="IN51" t="str">
        <f t="shared" si="136"/>
        <v>F0-M50-AMS-20</v>
      </c>
      <c r="IO51" t="str">
        <f t="shared" si="137"/>
        <v>F0-M50-AMS-17</v>
      </c>
      <c r="IP51" t="str">
        <f t="shared" si="138"/>
        <v>F0-+24-M50</v>
      </c>
      <c r="IQ51" t="str">
        <f t="shared" si="139"/>
        <v>F0-M50-XM01</v>
      </c>
      <c r="IR51" t="str">
        <f t="shared" ref="IR51:JY51" si="146">IR50</f>
        <v>A1</v>
      </c>
      <c r="IS51" t="str">
        <f t="shared" si="146"/>
        <v>A2</v>
      </c>
      <c r="IT51">
        <f t="shared" si="146"/>
        <v>11</v>
      </c>
      <c r="IU51">
        <f t="shared" si="146"/>
        <v>14</v>
      </c>
      <c r="IV51" t="str">
        <f t="shared" si="146"/>
        <v>24v6</v>
      </c>
      <c r="IW51" t="str">
        <f t="shared" si="146"/>
        <v>0v6</v>
      </c>
      <c r="IX51">
        <f t="shared" si="146"/>
        <v>1</v>
      </c>
      <c r="IY51">
        <f t="shared" si="146"/>
        <v>2</v>
      </c>
      <c r="IZ51">
        <f t="shared" si="146"/>
        <v>3</v>
      </c>
      <c r="JA51">
        <f t="shared" si="146"/>
        <v>4</v>
      </c>
      <c r="JB51">
        <f t="shared" si="146"/>
        <v>5</v>
      </c>
      <c r="JC51">
        <f t="shared" si="146"/>
        <v>6</v>
      </c>
      <c r="JD51">
        <f t="shared" si="146"/>
        <v>7</v>
      </c>
      <c r="JE51">
        <f t="shared" si="146"/>
        <v>8</v>
      </c>
      <c r="JF51">
        <f t="shared" si="146"/>
        <v>9</v>
      </c>
      <c r="JG51">
        <f t="shared" si="146"/>
        <v>10</v>
      </c>
      <c r="JH51">
        <f t="shared" si="146"/>
        <v>11</v>
      </c>
      <c r="JI51">
        <f t="shared" si="146"/>
        <v>12</v>
      </c>
      <c r="JJ51">
        <f t="shared" si="146"/>
        <v>13</v>
      </c>
      <c r="JK51">
        <f t="shared" si="146"/>
        <v>14</v>
      </c>
      <c r="JL51">
        <f t="shared" si="146"/>
        <v>17</v>
      </c>
      <c r="JM51">
        <f t="shared" si="146"/>
        <v>15</v>
      </c>
      <c r="JN51">
        <f t="shared" si="146"/>
        <v>18</v>
      </c>
      <c r="JO51">
        <f t="shared" si="146"/>
        <v>11</v>
      </c>
      <c r="JP51">
        <f t="shared" si="146"/>
        <v>9</v>
      </c>
      <c r="JQ51">
        <f t="shared" si="146"/>
        <v>6</v>
      </c>
      <c r="JR51">
        <f t="shared" si="146"/>
        <v>20</v>
      </c>
      <c r="JS51">
        <f t="shared" si="146"/>
        <v>7</v>
      </c>
      <c r="JT51">
        <f t="shared" si="146"/>
        <v>10</v>
      </c>
      <c r="JU51">
        <f t="shared" si="146"/>
        <v>22</v>
      </c>
      <c r="JV51">
        <f t="shared" si="146"/>
        <v>23</v>
      </c>
      <c r="JW51">
        <f t="shared" si="146"/>
        <v>26</v>
      </c>
      <c r="JX51">
        <f t="shared" si="146"/>
        <v>27</v>
      </c>
      <c r="JY51" s="16">
        <f t="shared" si="146"/>
        <v>30</v>
      </c>
    </row>
    <row r="52" spans="1:305" x14ac:dyDescent="0.25">
      <c r="A52" t="s">
        <v>473</v>
      </c>
      <c r="B52" t="s">
        <v>472</v>
      </c>
      <c r="P52" t="s">
        <v>391</v>
      </c>
      <c r="T52" s="14" t="s">
        <v>554</v>
      </c>
      <c r="U52" s="15">
        <f t="shared" si="95"/>
        <v>51</v>
      </c>
      <c r="V52" t="s">
        <v>459</v>
      </c>
      <c r="W52" t="s">
        <v>436</v>
      </c>
      <c r="X52" t="str">
        <f>IF(COUNTIF(X$1:X51,X51)&gt;7,REPLACE(X51,LEN(X51),1,VALUE(RIGHT(X51,1))+1),X51)</f>
        <v>A3.2</v>
      </c>
      <c r="Y52" s="43" cm="1">
        <f t="array" ref="Y52">IF(COUNTIFS($X$2:$X52,$X52)=1,"1",VALUE(SUBSTITUTE(INDEX(Y:Y,_xlfn.XMATCH($X52,$X$1:$X51,0,-1)),"A",""))+INDEX(Z:Z,_xlfn.XMATCH($X52,$X$1:$X51,0,-1))+1)</f>
        <v>2</v>
      </c>
      <c r="Z52" s="43" cm="1">
        <f t="array" ref="Z52">SUM(IF(ISNUMBER(FIND("TmAi",$BE$1:$AAL$1)),IF(IFERROR(ISODD(SUBSTITUTE($BE52:$AAL52,"A","")),FALSE),IF(ISODD(SUBSTITUTE($BE52:$AAL52,"A","")),1,0),0)))</f>
        <v>0</v>
      </c>
      <c r="AA52" t="str">
        <f t="shared" si="91"/>
        <v>3A</v>
      </c>
      <c r="AB52" t="str">
        <f t="shared" si="92"/>
        <v>3B</v>
      </c>
      <c r="AC52" s="15" t="s">
        <v>441</v>
      </c>
      <c r="AD52" s="15"/>
      <c r="AE52" s="15"/>
      <c r="AF52" t="s">
        <v>240</v>
      </c>
      <c r="AG52" t="s">
        <v>242</v>
      </c>
      <c r="AH52" s="15" t="s">
        <v>388</v>
      </c>
      <c r="AI52" s="77" cm="1">
        <f t="array" ref="AI52">IF(COUNTIFS(AH$2:AH52,AH52)=1,"1",VALUE(SUBSTITUTE(INDEX(AI:AI,_xlfn.XMATCH(AH52,AH$1:AH51,0,-1)),"A",""))+INDEX(AJ:AJ,_xlfn.XMATCH(AH52,AH$1:AH51,0,-1))+1)</f>
        <v>19</v>
      </c>
      <c r="AJ52" s="77" cm="1">
        <f t="array" ref="AJ52">SUM(IF(ISNUMBER(FIND("TmDo",$BE$1:$AAL$1)),IF(IFERROR(ISNUMBER(VALUE(SUBSTITUTE($BE52:$AAL52,"B",""))),FALSE),IF(ISNUMBER(VALUE(SUBSTITUTE($BE52:$AAL52,"B",""))),1,0),0)))</f>
        <v>1</v>
      </c>
      <c r="AK52" t="str">
        <f t="shared" si="0"/>
        <v>19A</v>
      </c>
      <c r="AL52" t="str">
        <f t="shared" si="1"/>
        <v>19B</v>
      </c>
      <c r="AM52" t="s">
        <v>453</v>
      </c>
      <c r="AP52" t="s">
        <v>137</v>
      </c>
      <c r="AQ52" t="s">
        <v>138</v>
      </c>
      <c r="AS52" t="s">
        <v>396</v>
      </c>
      <c r="AT52" t="s">
        <v>139</v>
      </c>
      <c r="AU52" t="s">
        <v>140</v>
      </c>
      <c r="BD52" s="16"/>
      <c r="GT52" s="27" t="str">
        <f t="shared" si="84"/>
        <v>XT51</v>
      </c>
      <c r="GU52" t="str">
        <f t="shared" si="85"/>
        <v>C26</v>
      </c>
      <c r="GV52" t="str">
        <f t="shared" si="96"/>
        <v>B26</v>
      </c>
      <c r="GW52" t="str">
        <f t="shared" si="97"/>
        <v>C27</v>
      </c>
      <c r="GX52" t="str">
        <f t="shared" si="98"/>
        <v>B27</v>
      </c>
      <c r="GY52" t="str">
        <f t="shared" si="99"/>
        <v>C28</v>
      </c>
      <c r="GZ52" t="str">
        <f t="shared" si="100"/>
        <v>B28</v>
      </c>
      <c r="HA52" t="str">
        <f t="shared" si="101"/>
        <v>C29</v>
      </c>
      <c r="HB52" t="str">
        <f t="shared" si="102"/>
        <v>B29</v>
      </c>
      <c r="HC52" t="str">
        <f t="shared" si="103"/>
        <v>C30</v>
      </c>
      <c r="HD52" t="str">
        <f t="shared" si="104"/>
        <v>B30</v>
      </c>
      <c r="HE52" t="str">
        <f t="shared" si="86"/>
        <v>20A</v>
      </c>
      <c r="HF52" t="str">
        <f t="shared" si="87"/>
        <v>20B</v>
      </c>
      <c r="HG52" t="str">
        <f t="shared" si="88"/>
        <v>AI2-3A</v>
      </c>
      <c r="HH52" t="str">
        <f t="shared" si="89"/>
        <v>AI2-3B</v>
      </c>
      <c r="HI52" t="str">
        <f t="shared" si="105"/>
        <v>DI10-C25</v>
      </c>
      <c r="HJ52" t="str">
        <f t="shared" si="106"/>
        <v>DI10-B25</v>
      </c>
      <c r="HK52" t="str">
        <f t="shared" si="107"/>
        <v>DI10-C26</v>
      </c>
      <c r="HL52" t="str">
        <f t="shared" si="108"/>
        <v>DI10-B26</v>
      </c>
      <c r="HM52" t="str">
        <f t="shared" si="109"/>
        <v>DI10-C27</v>
      </c>
      <c r="HN52" t="str">
        <f t="shared" si="110"/>
        <v>DI10-B27</v>
      </c>
      <c r="HO52" t="str">
        <f t="shared" si="111"/>
        <v>DI10-C28</v>
      </c>
      <c r="HP52" t="str">
        <f t="shared" si="112"/>
        <v>DI10-B28</v>
      </c>
      <c r="HQ52" t="str">
        <f t="shared" si="113"/>
        <v>DI10-C29</v>
      </c>
      <c r="HR52" t="str">
        <f t="shared" si="114"/>
        <v>DI10-B29</v>
      </c>
      <c r="HS52" t="str">
        <f t="shared" si="115"/>
        <v>DI10-C30</v>
      </c>
      <c r="HT52" t="str">
        <f t="shared" si="116"/>
        <v>DI10-B30</v>
      </c>
      <c r="HU52" t="str">
        <f t="shared" si="117"/>
        <v>DO6-19A</v>
      </c>
      <c r="HV52" t="str">
        <f t="shared" si="118"/>
        <v>DO6-19B</v>
      </c>
      <c r="HW52" t="str">
        <f t="shared" si="119"/>
        <v>DO6-20A</v>
      </c>
      <c r="HX52" t="str">
        <f t="shared" si="120"/>
        <v>DO6-20B</v>
      </c>
      <c r="HY52" t="str">
        <f t="shared" si="121"/>
        <v>K51-01</v>
      </c>
      <c r="HZ52" t="str">
        <f t="shared" si="122"/>
        <v>K51-02</v>
      </c>
      <c r="IA52" t="str">
        <f t="shared" si="123"/>
        <v>K51-03</v>
      </c>
      <c r="IB52" t="str">
        <f t="shared" si="124"/>
        <v>K51-04</v>
      </c>
      <c r="IC52" t="str">
        <f t="shared" si="125"/>
        <v>K51-05</v>
      </c>
      <c r="ID52" t="str">
        <f t="shared" si="126"/>
        <v>K51-06</v>
      </c>
      <c r="IE52" t="str">
        <f t="shared" si="127"/>
        <v>K51-07</v>
      </c>
      <c r="IF52" t="str">
        <f t="shared" si="128"/>
        <v>K51-08</v>
      </c>
      <c r="IG52" t="str">
        <f t="shared" si="129"/>
        <v>F0-M51-AMS-12</v>
      </c>
      <c r="IH52" t="str">
        <f t="shared" si="130"/>
        <v>F0-M51-AMS-10</v>
      </c>
      <c r="II52" t="str">
        <f t="shared" si="131"/>
        <v>F0-M51-AMS-11</v>
      </c>
      <c r="IJ52" t="str">
        <f t="shared" si="132"/>
        <v>F0-M51-AMS-13</v>
      </c>
      <c r="IK52" t="str">
        <f t="shared" si="133"/>
        <v>F0-M51-AMS-9</v>
      </c>
      <c r="IL52" t="str">
        <f t="shared" si="134"/>
        <v>F0-M51-AMS-7</v>
      </c>
      <c r="IM52" t="str">
        <f t="shared" si="135"/>
        <v>F0-M51-AMS-18</v>
      </c>
      <c r="IN52" t="str">
        <f t="shared" si="136"/>
        <v>F0-M51-AMS-20</v>
      </c>
      <c r="IO52" t="str">
        <f t="shared" si="137"/>
        <v>F0-M51-AMS-17</v>
      </c>
      <c r="IP52" t="str">
        <f t="shared" si="138"/>
        <v>F0-+24-M51</v>
      </c>
      <c r="IQ52" t="str">
        <f t="shared" si="139"/>
        <v>F0-M51-XM01</v>
      </c>
      <c r="IR52" t="str">
        <f t="shared" ref="IR52:JY52" si="147">IR51</f>
        <v>A1</v>
      </c>
      <c r="IS52" t="str">
        <f t="shared" si="147"/>
        <v>A2</v>
      </c>
      <c r="IT52">
        <f t="shared" si="147"/>
        <v>11</v>
      </c>
      <c r="IU52">
        <f t="shared" si="147"/>
        <v>14</v>
      </c>
      <c r="IV52" t="str">
        <f t="shared" si="147"/>
        <v>24v6</v>
      </c>
      <c r="IW52" t="str">
        <f t="shared" si="147"/>
        <v>0v6</v>
      </c>
      <c r="IX52">
        <f t="shared" si="147"/>
        <v>1</v>
      </c>
      <c r="IY52">
        <f t="shared" si="147"/>
        <v>2</v>
      </c>
      <c r="IZ52">
        <f t="shared" si="147"/>
        <v>3</v>
      </c>
      <c r="JA52">
        <f t="shared" si="147"/>
        <v>4</v>
      </c>
      <c r="JB52">
        <f t="shared" si="147"/>
        <v>5</v>
      </c>
      <c r="JC52">
        <f t="shared" si="147"/>
        <v>6</v>
      </c>
      <c r="JD52">
        <f t="shared" si="147"/>
        <v>7</v>
      </c>
      <c r="JE52">
        <f t="shared" si="147"/>
        <v>8</v>
      </c>
      <c r="JF52">
        <f t="shared" si="147"/>
        <v>9</v>
      </c>
      <c r="JG52">
        <f t="shared" si="147"/>
        <v>10</v>
      </c>
      <c r="JH52">
        <f t="shared" si="147"/>
        <v>11</v>
      </c>
      <c r="JI52">
        <f t="shared" si="147"/>
        <v>12</v>
      </c>
      <c r="JJ52">
        <f t="shared" si="147"/>
        <v>13</v>
      </c>
      <c r="JK52">
        <f t="shared" si="147"/>
        <v>14</v>
      </c>
      <c r="JL52">
        <f t="shared" si="147"/>
        <v>17</v>
      </c>
      <c r="JM52">
        <f t="shared" si="147"/>
        <v>15</v>
      </c>
      <c r="JN52">
        <f t="shared" si="147"/>
        <v>18</v>
      </c>
      <c r="JO52">
        <f t="shared" si="147"/>
        <v>11</v>
      </c>
      <c r="JP52">
        <f t="shared" si="147"/>
        <v>9</v>
      </c>
      <c r="JQ52">
        <f t="shared" si="147"/>
        <v>6</v>
      </c>
      <c r="JR52">
        <f t="shared" si="147"/>
        <v>20</v>
      </c>
      <c r="JS52">
        <f t="shared" si="147"/>
        <v>7</v>
      </c>
      <c r="JT52">
        <f t="shared" si="147"/>
        <v>10</v>
      </c>
      <c r="JU52">
        <f t="shared" si="147"/>
        <v>22</v>
      </c>
      <c r="JV52">
        <f t="shared" si="147"/>
        <v>23</v>
      </c>
      <c r="JW52">
        <f t="shared" si="147"/>
        <v>26</v>
      </c>
      <c r="JX52">
        <f t="shared" si="147"/>
        <v>27</v>
      </c>
      <c r="JY52" s="16">
        <f t="shared" si="147"/>
        <v>30</v>
      </c>
    </row>
    <row r="53" spans="1:305" x14ac:dyDescent="0.25">
      <c r="A53" t="s">
        <v>477</v>
      </c>
      <c r="B53" t="s">
        <v>476</v>
      </c>
      <c r="P53" t="s">
        <v>391</v>
      </c>
      <c r="T53" s="14" t="s">
        <v>554</v>
      </c>
      <c r="U53" s="15">
        <f t="shared" si="95"/>
        <v>52</v>
      </c>
      <c r="V53" t="s">
        <v>437</v>
      </c>
      <c r="W53" t="s">
        <v>438</v>
      </c>
      <c r="X53" t="str">
        <f>IF(COUNTIF(X$1:X52,X52)&gt;7,REPLACE(X52,LEN(X52),1,VALUE(RIGHT(X52,1))+1),X52)</f>
        <v>A3.2</v>
      </c>
      <c r="Y53" s="43" cm="1">
        <f t="array" ref="Y53">IF(COUNTIFS($X$2:$X53,$X53)=1,"1",VALUE(SUBSTITUTE(INDEX(Y:Y,_xlfn.XMATCH($X53,$X$1:$X52,0,-1)),"A",""))+INDEX(Z:Z,_xlfn.XMATCH($X53,$X$1:$X52,0,-1))+1)</f>
        <v>3</v>
      </c>
      <c r="Z53" s="43" cm="1">
        <f t="array" ref="Z53">SUM(IF(ISNUMBER(FIND("TmAi",$BE$1:$AAL$1)),IF(IFERROR(ISODD(SUBSTITUTE($BE53:$AAL53,"A","")),FALSE),IF(ISODD(SUBSTITUTE($BE53:$AAL53,"A","")),1,0),0)))</f>
        <v>0</v>
      </c>
      <c r="AA53" t="str">
        <f t="shared" si="91"/>
        <v>5A</v>
      </c>
      <c r="AB53" t="str">
        <f t="shared" si="92"/>
        <v>5B</v>
      </c>
      <c r="AC53" s="15" t="s">
        <v>442</v>
      </c>
      <c r="AD53" s="15"/>
      <c r="AE53" s="15"/>
      <c r="AF53" t="s">
        <v>133</v>
      </c>
      <c r="AG53" t="s">
        <v>134</v>
      </c>
      <c r="AH53" s="15" t="s">
        <v>388</v>
      </c>
      <c r="AI53" s="77" cm="1">
        <f t="array" ref="AI53">IF(COUNTIFS(AH$2:AH53,AH53)=1,"1",VALUE(SUBSTITUTE(INDEX(AI:AI,_xlfn.XMATCH(AH53,AH$1:AH52,0,-1)),"A",""))+INDEX(AJ:AJ,_xlfn.XMATCH(AH53,AH$1:AH52,0,-1))+1)</f>
        <v>21</v>
      </c>
      <c r="AJ53" s="77" cm="1">
        <f t="array" ref="AJ53">SUM(IF(ISNUMBER(FIND("TmDo",$BE$1:$AAL$1)),IF(IFERROR(ISNUMBER(VALUE(SUBSTITUTE($BE53:$AAL53,"B",""))),FALSE),IF(ISNUMBER(VALUE(SUBSTITUTE($BE53:$AAL53,"B",""))),1,0),0)))</f>
        <v>1</v>
      </c>
      <c r="AK53" s="15" t="str">
        <f t="shared" si="0"/>
        <v>21A</v>
      </c>
      <c r="AL53" s="15" t="str">
        <f t="shared" si="1"/>
        <v>21B</v>
      </c>
      <c r="AM53" s="15" t="s">
        <v>474</v>
      </c>
      <c r="AP53" t="s">
        <v>137</v>
      </c>
      <c r="AQ53" t="s">
        <v>138</v>
      </c>
      <c r="AS53" t="s">
        <v>396</v>
      </c>
      <c r="AT53" t="s">
        <v>139</v>
      </c>
      <c r="AU53" t="s">
        <v>140</v>
      </c>
      <c r="BD53" s="16"/>
      <c r="GT53" s="27" t="str">
        <f t="shared" si="84"/>
        <v>XT52</v>
      </c>
      <c r="GU53" t="str">
        <f t="shared" si="85"/>
        <v>C2</v>
      </c>
      <c r="GV53" t="str">
        <f t="shared" si="96"/>
        <v>B2</v>
      </c>
      <c r="GW53" t="str">
        <f t="shared" si="97"/>
        <v>C3</v>
      </c>
      <c r="GX53" t="str">
        <f t="shared" si="98"/>
        <v>B3</v>
      </c>
      <c r="GY53" t="str">
        <f t="shared" si="99"/>
        <v>C4</v>
      </c>
      <c r="GZ53" t="str">
        <f t="shared" si="100"/>
        <v>B4</v>
      </c>
      <c r="HA53" t="str">
        <f t="shared" si="101"/>
        <v>C5</v>
      </c>
      <c r="HB53" t="str">
        <f t="shared" si="102"/>
        <v>B5</v>
      </c>
      <c r="HC53" t="str">
        <f t="shared" si="103"/>
        <v>C6</v>
      </c>
      <c r="HD53" t="str">
        <f t="shared" si="104"/>
        <v>B6</v>
      </c>
      <c r="HE53" t="str">
        <f t="shared" si="86"/>
        <v>22A</v>
      </c>
      <c r="HF53" t="str">
        <f t="shared" si="87"/>
        <v>22B</v>
      </c>
      <c r="HG53" t="str">
        <f t="shared" si="88"/>
        <v>AI2-5A</v>
      </c>
      <c r="HH53" t="str">
        <f t="shared" si="89"/>
        <v>AI2-5B</v>
      </c>
      <c r="HI53" t="str">
        <f t="shared" si="105"/>
        <v>DI11-C1</v>
      </c>
      <c r="HJ53" t="str">
        <f t="shared" si="106"/>
        <v>DI11-B1</v>
      </c>
      <c r="HK53" t="str">
        <f t="shared" si="107"/>
        <v>DI11-C2</v>
      </c>
      <c r="HL53" t="str">
        <f t="shared" si="108"/>
        <v>DI11-B2</v>
      </c>
      <c r="HM53" t="str">
        <f t="shared" si="109"/>
        <v>DI11-C3</v>
      </c>
      <c r="HN53" t="str">
        <f t="shared" si="110"/>
        <v>DI11-B3</v>
      </c>
      <c r="HO53" t="str">
        <f t="shared" si="111"/>
        <v>DI11-C4</v>
      </c>
      <c r="HP53" t="str">
        <f t="shared" si="112"/>
        <v>DI11-B4</v>
      </c>
      <c r="HQ53" t="str">
        <f t="shared" si="113"/>
        <v>DI11-C5</v>
      </c>
      <c r="HR53" t="str">
        <f t="shared" si="114"/>
        <v>DI11-B5</v>
      </c>
      <c r="HS53" t="str">
        <f t="shared" si="115"/>
        <v>DI11-C6</v>
      </c>
      <c r="HT53" t="str">
        <f t="shared" si="116"/>
        <v>DI11-B6</v>
      </c>
      <c r="HU53" t="str">
        <f t="shared" si="117"/>
        <v>DO6-21A</v>
      </c>
      <c r="HV53" t="str">
        <f t="shared" si="118"/>
        <v>DO6-21B</v>
      </c>
      <c r="HW53" t="str">
        <f t="shared" si="119"/>
        <v>DO6-22A</v>
      </c>
      <c r="HX53" t="str">
        <f t="shared" si="120"/>
        <v>DO6-22B</v>
      </c>
      <c r="HY53" t="str">
        <f t="shared" si="121"/>
        <v>K52-01</v>
      </c>
      <c r="HZ53" t="str">
        <f t="shared" si="122"/>
        <v>K52-02</v>
      </c>
      <c r="IA53" t="str">
        <f t="shared" si="123"/>
        <v>K52-03</v>
      </c>
      <c r="IB53" t="str">
        <f t="shared" si="124"/>
        <v>K52-04</v>
      </c>
      <c r="IC53" t="str">
        <f t="shared" si="125"/>
        <v>K52-05</v>
      </c>
      <c r="ID53" t="str">
        <f t="shared" si="126"/>
        <v>K52-06</v>
      </c>
      <c r="IE53" t="str">
        <f t="shared" si="127"/>
        <v>K52-07</v>
      </c>
      <c r="IF53" t="str">
        <f t="shared" si="128"/>
        <v>K52-08</v>
      </c>
      <c r="IG53" t="str">
        <f t="shared" si="129"/>
        <v>F0-M52-AMS-12</v>
      </c>
      <c r="IH53" t="str">
        <f t="shared" si="130"/>
        <v>F0-M52-AMS-10</v>
      </c>
      <c r="II53" t="str">
        <f t="shared" si="131"/>
        <v>F0-M52-AMS-11</v>
      </c>
      <c r="IJ53" t="str">
        <f t="shared" si="132"/>
        <v>F0-M52-AMS-13</v>
      </c>
      <c r="IK53" t="str">
        <f t="shared" si="133"/>
        <v>F0-M52-AMS-9</v>
      </c>
      <c r="IL53" t="str">
        <f t="shared" si="134"/>
        <v>F0-M52-AMS-7</v>
      </c>
      <c r="IM53" t="str">
        <f t="shared" si="135"/>
        <v>F0-M52-AMS-18</v>
      </c>
      <c r="IN53" t="str">
        <f t="shared" si="136"/>
        <v>F0-M52-AMS-20</v>
      </c>
      <c r="IO53" t="str">
        <f t="shared" si="137"/>
        <v>F0-M52-AMS-17</v>
      </c>
      <c r="IP53" t="str">
        <f t="shared" si="138"/>
        <v>F0-+24-M52</v>
      </c>
      <c r="IQ53" t="str">
        <f t="shared" si="139"/>
        <v>F0-M52-XM01</v>
      </c>
      <c r="IR53" t="str">
        <f t="shared" ref="IR53:JY53" si="148">IR52</f>
        <v>A1</v>
      </c>
      <c r="IS53" t="str">
        <f t="shared" si="148"/>
        <v>A2</v>
      </c>
      <c r="IT53">
        <f t="shared" si="148"/>
        <v>11</v>
      </c>
      <c r="IU53">
        <f t="shared" si="148"/>
        <v>14</v>
      </c>
      <c r="IV53" t="str">
        <f t="shared" si="148"/>
        <v>24v6</v>
      </c>
      <c r="IW53" t="str">
        <f t="shared" si="148"/>
        <v>0v6</v>
      </c>
      <c r="IX53">
        <f t="shared" si="148"/>
        <v>1</v>
      </c>
      <c r="IY53">
        <f t="shared" si="148"/>
        <v>2</v>
      </c>
      <c r="IZ53">
        <f t="shared" si="148"/>
        <v>3</v>
      </c>
      <c r="JA53">
        <f t="shared" si="148"/>
        <v>4</v>
      </c>
      <c r="JB53">
        <f t="shared" si="148"/>
        <v>5</v>
      </c>
      <c r="JC53">
        <f t="shared" si="148"/>
        <v>6</v>
      </c>
      <c r="JD53">
        <f t="shared" si="148"/>
        <v>7</v>
      </c>
      <c r="JE53">
        <f t="shared" si="148"/>
        <v>8</v>
      </c>
      <c r="JF53">
        <f t="shared" si="148"/>
        <v>9</v>
      </c>
      <c r="JG53">
        <f t="shared" si="148"/>
        <v>10</v>
      </c>
      <c r="JH53">
        <f t="shared" si="148"/>
        <v>11</v>
      </c>
      <c r="JI53">
        <f t="shared" si="148"/>
        <v>12</v>
      </c>
      <c r="JJ53">
        <f t="shared" si="148"/>
        <v>13</v>
      </c>
      <c r="JK53">
        <f t="shared" si="148"/>
        <v>14</v>
      </c>
      <c r="JL53">
        <f t="shared" si="148"/>
        <v>17</v>
      </c>
      <c r="JM53">
        <f t="shared" si="148"/>
        <v>15</v>
      </c>
      <c r="JN53">
        <f t="shared" si="148"/>
        <v>18</v>
      </c>
      <c r="JO53">
        <f t="shared" si="148"/>
        <v>11</v>
      </c>
      <c r="JP53">
        <f t="shared" si="148"/>
        <v>9</v>
      </c>
      <c r="JQ53">
        <f t="shared" si="148"/>
        <v>6</v>
      </c>
      <c r="JR53">
        <f t="shared" si="148"/>
        <v>20</v>
      </c>
      <c r="JS53">
        <f t="shared" si="148"/>
        <v>7</v>
      </c>
      <c r="JT53">
        <f t="shared" si="148"/>
        <v>10</v>
      </c>
      <c r="JU53">
        <f t="shared" si="148"/>
        <v>22</v>
      </c>
      <c r="JV53">
        <f t="shared" si="148"/>
        <v>23</v>
      </c>
      <c r="JW53">
        <f t="shared" si="148"/>
        <v>26</v>
      </c>
      <c r="JX53">
        <f t="shared" si="148"/>
        <v>27</v>
      </c>
      <c r="JY53" s="16">
        <f t="shared" si="148"/>
        <v>30</v>
      </c>
    </row>
    <row r="54" spans="1:305" x14ac:dyDescent="0.25">
      <c r="A54" t="s">
        <v>479</v>
      </c>
      <c r="B54" t="s">
        <v>478</v>
      </c>
      <c r="P54" t="s">
        <v>391</v>
      </c>
      <c r="T54" s="14" t="s">
        <v>554</v>
      </c>
      <c r="U54" s="15">
        <f t="shared" si="95"/>
        <v>53</v>
      </c>
      <c r="V54" t="s">
        <v>439</v>
      </c>
      <c r="W54" t="s">
        <v>460</v>
      </c>
      <c r="X54" t="str">
        <f>IF(COUNTIF(X$1:X53,X53)&gt;7,REPLACE(X53,LEN(X53),1,VALUE(RIGHT(X53,1))+1),X53)</f>
        <v>A3.2</v>
      </c>
      <c r="Y54" s="43" cm="1">
        <f t="array" ref="Y54">IF(COUNTIFS($X$2:$X54,$X54)=1,"1",VALUE(SUBSTITUTE(INDEX(Y:Y,_xlfn.XMATCH($X54,$X$1:$X53,0,-1)),"A",""))+INDEX(Z:Z,_xlfn.XMATCH($X54,$X$1:$X53,0,-1))+1)</f>
        <v>4</v>
      </c>
      <c r="Z54" s="43" cm="1">
        <f t="array" ref="Z54">SUM(IF(ISNUMBER(FIND("TmAi",$BE$1:$AAL$1)),IF(IFERROR(ISODD(SUBSTITUTE($BE54:$AAL54,"A","")),FALSE),IF(ISODD(SUBSTITUTE($BE54:$AAL54,"A","")),1,0),0)))</f>
        <v>0</v>
      </c>
      <c r="AA54" t="str">
        <f t="shared" si="91"/>
        <v>7A</v>
      </c>
      <c r="AB54" t="str">
        <f t="shared" si="92"/>
        <v>7B</v>
      </c>
      <c r="AC54" s="15" t="s">
        <v>442</v>
      </c>
      <c r="AD54" s="15"/>
      <c r="AE54" s="15"/>
      <c r="AF54" t="s">
        <v>148</v>
      </c>
      <c r="AG54" t="s">
        <v>149</v>
      </c>
      <c r="AH54" s="15" t="s">
        <v>388</v>
      </c>
      <c r="AI54" s="77" cm="1">
        <f t="array" ref="AI54">IF(COUNTIFS(AH$2:AH54,AH54)=1,"1",VALUE(SUBSTITUTE(INDEX(AI:AI,_xlfn.XMATCH(AH54,AH$1:AH53,0,-1)),"A",""))+INDEX(AJ:AJ,_xlfn.XMATCH(AH54,AH$1:AH53,0,-1))+1)</f>
        <v>23</v>
      </c>
      <c r="AJ54" s="77" cm="1">
        <f t="array" ref="AJ54">SUM(IF(ISNUMBER(FIND("TmDo",$BE$1:$AAL$1)),IF(IFERROR(ISNUMBER(VALUE(SUBSTITUTE($BE54:$AAL54,"B",""))),FALSE),IF(ISNUMBER(VALUE(SUBSTITUTE($BE54:$AAL54,"B",""))),1,0),0)))</f>
        <v>1</v>
      </c>
      <c r="AK54" t="str">
        <f t="shared" si="0"/>
        <v>23A</v>
      </c>
      <c r="AL54" t="str">
        <f t="shared" si="1"/>
        <v>23B</v>
      </c>
      <c r="AM54" t="s">
        <v>475</v>
      </c>
      <c r="AP54" t="s">
        <v>137</v>
      </c>
      <c r="AQ54" t="s">
        <v>138</v>
      </c>
      <c r="AS54" t="s">
        <v>396</v>
      </c>
      <c r="AT54" t="s">
        <v>139</v>
      </c>
      <c r="AU54" t="s">
        <v>140</v>
      </c>
      <c r="BD54" s="16"/>
      <c r="GT54" s="27" t="str">
        <f t="shared" si="84"/>
        <v>XT53</v>
      </c>
      <c r="GU54" t="str">
        <f t="shared" si="85"/>
        <v>C8</v>
      </c>
      <c r="GV54" t="str">
        <f t="shared" si="96"/>
        <v>B8</v>
      </c>
      <c r="GW54" t="str">
        <f t="shared" si="97"/>
        <v>C9</v>
      </c>
      <c r="GX54" t="str">
        <f t="shared" si="98"/>
        <v>B9</v>
      </c>
      <c r="GY54" t="str">
        <f t="shared" si="99"/>
        <v>C10</v>
      </c>
      <c r="GZ54" t="str">
        <f t="shared" si="100"/>
        <v>B10</v>
      </c>
      <c r="HA54" t="str">
        <f t="shared" si="101"/>
        <v>C11</v>
      </c>
      <c r="HB54" t="str">
        <f t="shared" si="102"/>
        <v>B11</v>
      </c>
      <c r="HC54" t="str">
        <f t="shared" si="103"/>
        <v>C12</v>
      </c>
      <c r="HD54" t="str">
        <f t="shared" si="104"/>
        <v>B12</v>
      </c>
      <c r="HE54" t="str">
        <f t="shared" si="86"/>
        <v>24A</v>
      </c>
      <c r="HF54" t="str">
        <f t="shared" si="87"/>
        <v>24B</v>
      </c>
      <c r="HG54" t="str">
        <f t="shared" si="88"/>
        <v>AI2-7A</v>
      </c>
      <c r="HH54" t="str">
        <f t="shared" si="89"/>
        <v>AI2-7B</v>
      </c>
      <c r="HI54" t="str">
        <f t="shared" si="105"/>
        <v>DI11-C7</v>
      </c>
      <c r="HJ54" t="str">
        <f t="shared" si="106"/>
        <v>DI11-B7</v>
      </c>
      <c r="HK54" t="str">
        <f t="shared" si="107"/>
        <v>DI11-C8</v>
      </c>
      <c r="HL54" t="str">
        <f t="shared" si="108"/>
        <v>DI11-B8</v>
      </c>
      <c r="HM54" t="str">
        <f t="shared" si="109"/>
        <v>DI11-C9</v>
      </c>
      <c r="HN54" t="str">
        <f t="shared" si="110"/>
        <v>DI11-B9</v>
      </c>
      <c r="HO54" t="str">
        <f t="shared" si="111"/>
        <v>DI11-C10</v>
      </c>
      <c r="HP54" t="str">
        <f t="shared" si="112"/>
        <v>DI11-B10</v>
      </c>
      <c r="HQ54" t="str">
        <f t="shared" si="113"/>
        <v>DI11-C11</v>
      </c>
      <c r="HR54" t="str">
        <f t="shared" si="114"/>
        <v>DI11-B11</v>
      </c>
      <c r="HS54" t="str">
        <f t="shared" si="115"/>
        <v>DI11-C12</v>
      </c>
      <c r="HT54" t="str">
        <f t="shared" si="116"/>
        <v>DI11-B12</v>
      </c>
      <c r="HU54" t="str">
        <f t="shared" si="117"/>
        <v>DO6-23A</v>
      </c>
      <c r="HV54" t="str">
        <f t="shared" si="118"/>
        <v>DO6-23B</v>
      </c>
      <c r="HW54" t="str">
        <f t="shared" si="119"/>
        <v>DO6-24A</v>
      </c>
      <c r="HX54" t="str">
        <f t="shared" si="120"/>
        <v>DO6-24B</v>
      </c>
      <c r="HY54" t="str">
        <f t="shared" si="121"/>
        <v>K53-01</v>
      </c>
      <c r="HZ54" t="str">
        <f t="shared" si="122"/>
        <v>K53-02</v>
      </c>
      <c r="IA54" t="str">
        <f t="shared" si="123"/>
        <v>K53-03</v>
      </c>
      <c r="IB54" t="str">
        <f t="shared" si="124"/>
        <v>K53-04</v>
      </c>
      <c r="IC54" t="str">
        <f t="shared" si="125"/>
        <v>K53-05</v>
      </c>
      <c r="ID54" t="str">
        <f t="shared" si="126"/>
        <v>K53-06</v>
      </c>
      <c r="IE54" t="str">
        <f t="shared" si="127"/>
        <v>K53-07</v>
      </c>
      <c r="IF54" t="str">
        <f t="shared" si="128"/>
        <v>K53-08</v>
      </c>
      <c r="IG54" t="str">
        <f t="shared" si="129"/>
        <v>F0-M53-AMS-12</v>
      </c>
      <c r="IH54" t="str">
        <f t="shared" si="130"/>
        <v>F0-M53-AMS-10</v>
      </c>
      <c r="II54" t="str">
        <f t="shared" si="131"/>
        <v>F0-M53-AMS-11</v>
      </c>
      <c r="IJ54" t="str">
        <f t="shared" si="132"/>
        <v>F0-M53-AMS-13</v>
      </c>
      <c r="IK54" t="str">
        <f t="shared" si="133"/>
        <v>F0-M53-AMS-9</v>
      </c>
      <c r="IL54" t="str">
        <f t="shared" si="134"/>
        <v>F0-M53-AMS-7</v>
      </c>
      <c r="IM54" t="str">
        <f t="shared" si="135"/>
        <v>F0-M53-AMS-18</v>
      </c>
      <c r="IN54" t="str">
        <f t="shared" si="136"/>
        <v>F0-M53-AMS-20</v>
      </c>
      <c r="IO54" t="str">
        <f t="shared" si="137"/>
        <v>F0-M53-AMS-17</v>
      </c>
      <c r="IP54" t="str">
        <f t="shared" si="138"/>
        <v>F0-+24-M53</v>
      </c>
      <c r="IQ54" t="str">
        <f t="shared" si="139"/>
        <v>F0-M53-XM01</v>
      </c>
      <c r="IR54" t="str">
        <f t="shared" ref="IR54:JY54" si="149">IR53</f>
        <v>A1</v>
      </c>
      <c r="IS54" t="str">
        <f t="shared" si="149"/>
        <v>A2</v>
      </c>
      <c r="IT54">
        <f t="shared" si="149"/>
        <v>11</v>
      </c>
      <c r="IU54">
        <f t="shared" si="149"/>
        <v>14</v>
      </c>
      <c r="IV54" t="str">
        <f t="shared" si="149"/>
        <v>24v6</v>
      </c>
      <c r="IW54" t="str">
        <f t="shared" si="149"/>
        <v>0v6</v>
      </c>
      <c r="IX54">
        <f t="shared" si="149"/>
        <v>1</v>
      </c>
      <c r="IY54">
        <f t="shared" si="149"/>
        <v>2</v>
      </c>
      <c r="IZ54">
        <f t="shared" si="149"/>
        <v>3</v>
      </c>
      <c r="JA54">
        <f t="shared" si="149"/>
        <v>4</v>
      </c>
      <c r="JB54">
        <f t="shared" si="149"/>
        <v>5</v>
      </c>
      <c r="JC54">
        <f t="shared" si="149"/>
        <v>6</v>
      </c>
      <c r="JD54">
        <f t="shared" si="149"/>
        <v>7</v>
      </c>
      <c r="JE54">
        <f t="shared" si="149"/>
        <v>8</v>
      </c>
      <c r="JF54">
        <f t="shared" si="149"/>
        <v>9</v>
      </c>
      <c r="JG54">
        <f t="shared" si="149"/>
        <v>10</v>
      </c>
      <c r="JH54">
        <f t="shared" si="149"/>
        <v>11</v>
      </c>
      <c r="JI54">
        <f t="shared" si="149"/>
        <v>12</v>
      </c>
      <c r="JJ54">
        <f t="shared" si="149"/>
        <v>13</v>
      </c>
      <c r="JK54">
        <f t="shared" si="149"/>
        <v>14</v>
      </c>
      <c r="JL54">
        <f t="shared" si="149"/>
        <v>17</v>
      </c>
      <c r="JM54">
        <f t="shared" si="149"/>
        <v>15</v>
      </c>
      <c r="JN54">
        <f t="shared" si="149"/>
        <v>18</v>
      </c>
      <c r="JO54">
        <f t="shared" si="149"/>
        <v>11</v>
      </c>
      <c r="JP54">
        <f t="shared" si="149"/>
        <v>9</v>
      </c>
      <c r="JQ54">
        <f t="shared" si="149"/>
        <v>6</v>
      </c>
      <c r="JR54">
        <f t="shared" si="149"/>
        <v>20</v>
      </c>
      <c r="JS54">
        <f t="shared" si="149"/>
        <v>7</v>
      </c>
      <c r="JT54">
        <f t="shared" si="149"/>
        <v>10</v>
      </c>
      <c r="JU54">
        <f t="shared" si="149"/>
        <v>22</v>
      </c>
      <c r="JV54">
        <f t="shared" si="149"/>
        <v>23</v>
      </c>
      <c r="JW54">
        <f t="shared" si="149"/>
        <v>26</v>
      </c>
      <c r="JX54">
        <f t="shared" si="149"/>
        <v>27</v>
      </c>
      <c r="JY54" s="16">
        <f t="shared" si="149"/>
        <v>30</v>
      </c>
    </row>
    <row r="55" spans="1:305" ht="15.75" thickBot="1" x14ac:dyDescent="0.3">
      <c r="A55" t="s">
        <v>481</v>
      </c>
      <c r="B55" t="s">
        <v>480</v>
      </c>
      <c r="P55" t="s">
        <v>391</v>
      </c>
      <c r="T55" s="17" t="s">
        <v>554</v>
      </c>
      <c r="U55" s="18">
        <f t="shared" si="95"/>
        <v>54</v>
      </c>
      <c r="V55" s="19" t="s">
        <v>461</v>
      </c>
      <c r="W55" s="19" t="s">
        <v>440</v>
      </c>
      <c r="X55" s="19" t="str">
        <f>IF(COUNTIF(X$1:X54,X54)&gt;7,REPLACE(X54,LEN(X54),1,VALUE(RIGHT(X54,1))+1),X54)</f>
        <v>A3.2</v>
      </c>
      <c r="Y55" s="44" cm="1">
        <f t="array" ref="Y55">IF(COUNTIFS($X$2:$X55,$X55)=1,"1",VALUE(SUBSTITUTE(INDEX(Y:Y,_xlfn.XMATCH($X55,$X$1:$X54,0,-1)),"A",""))+INDEX(Z:Z,_xlfn.XMATCH($X55,$X$1:$X54,0,-1))+1)</f>
        <v>5</v>
      </c>
      <c r="Z55" s="44" cm="1">
        <f t="array" ref="Z55">SUM(IF(ISNUMBER(FIND("TmAi",$BE$1:$AAL$1)),IF(IFERROR(ISODD(SUBSTITUTE($BE55:$AAL55,"A","")),FALSE),IF(ISODD(SUBSTITUTE($BE55:$AAL55,"A","")),1,0),0)))</f>
        <v>0</v>
      </c>
      <c r="AA55" s="19" t="str">
        <f t="shared" si="91"/>
        <v>9A</v>
      </c>
      <c r="AB55" s="19" t="str">
        <f t="shared" si="92"/>
        <v>9B</v>
      </c>
      <c r="AC55" s="18" t="s">
        <v>442</v>
      </c>
      <c r="AD55" s="18"/>
      <c r="AE55" s="18"/>
      <c r="AF55" s="19" t="s">
        <v>153</v>
      </c>
      <c r="AG55" s="19" t="s">
        <v>154</v>
      </c>
      <c r="AH55" s="18" t="s">
        <v>388</v>
      </c>
      <c r="AI55" s="78" cm="1">
        <f t="array" ref="AI55">IF(COUNTIFS(AH$2:AH55,AH55)=1,"1",VALUE(SUBSTITUTE(INDEX(AI:AI,_xlfn.XMATCH(AH55,AH$1:AH54,0,-1)),"A",""))+INDEX(AJ:AJ,_xlfn.XMATCH(AH55,AH$1:AH54,0,-1))+1)</f>
        <v>25</v>
      </c>
      <c r="AJ55" s="78" cm="1">
        <f t="array" ref="AJ55">SUM(IF(ISNUMBER(FIND("TmDo",$BE$1:$AAL$1)),IF(IFERROR(ISNUMBER(VALUE(SUBSTITUTE($BE55:$AAL55,"B",""))),FALSE),IF(ISNUMBER(VALUE(SUBSTITUTE($BE55:$AAL55,"B",""))),1,0),0)))</f>
        <v>1</v>
      </c>
      <c r="AK55" s="18" t="str">
        <f t="shared" si="0"/>
        <v>25A</v>
      </c>
      <c r="AL55" s="18" t="str">
        <f t="shared" si="1"/>
        <v>25B</v>
      </c>
      <c r="AM55" s="18" t="s">
        <v>452</v>
      </c>
      <c r="AN55" s="19"/>
      <c r="AO55" s="19"/>
      <c r="AP55" s="19" t="s">
        <v>137</v>
      </c>
      <c r="AQ55" s="19" t="s">
        <v>138</v>
      </c>
      <c r="AR55" s="19"/>
      <c r="AS55" s="19" t="s">
        <v>396</v>
      </c>
      <c r="AT55" s="19" t="s">
        <v>139</v>
      </c>
      <c r="AU55" s="19" t="s">
        <v>140</v>
      </c>
      <c r="AV55" s="19"/>
      <c r="AW55" s="19"/>
      <c r="AX55" s="19"/>
      <c r="AY55" s="19"/>
      <c r="AZ55" s="19"/>
      <c r="BA55" s="19"/>
      <c r="BB55" s="19"/>
      <c r="BC55" s="19"/>
      <c r="BD55" s="20"/>
      <c r="GT55" s="28" t="str">
        <f t="shared" si="84"/>
        <v>XT54</v>
      </c>
      <c r="GU55" s="19" t="str">
        <f t="shared" si="85"/>
        <v>C14</v>
      </c>
      <c r="GV55" s="19" t="str">
        <f t="shared" si="96"/>
        <v>B14</v>
      </c>
      <c r="GW55" s="19" t="str">
        <f t="shared" si="97"/>
        <v>C15</v>
      </c>
      <c r="GX55" s="19" t="str">
        <f t="shared" si="98"/>
        <v>B15</v>
      </c>
      <c r="GY55" s="19" t="str">
        <f t="shared" si="99"/>
        <v>C16</v>
      </c>
      <c r="GZ55" s="19" t="str">
        <f t="shared" si="100"/>
        <v>B16</v>
      </c>
      <c r="HA55" s="19" t="str">
        <f t="shared" si="101"/>
        <v>C17</v>
      </c>
      <c r="HB55" s="19" t="str">
        <f t="shared" si="102"/>
        <v>B17</v>
      </c>
      <c r="HC55" s="19" t="str">
        <f t="shared" si="103"/>
        <v>C18</v>
      </c>
      <c r="HD55" s="19" t="str">
        <f t="shared" si="104"/>
        <v>B18</v>
      </c>
      <c r="HE55" s="19" t="str">
        <f t="shared" si="86"/>
        <v>26A</v>
      </c>
      <c r="HF55" s="19" t="str">
        <f t="shared" si="87"/>
        <v>26B</v>
      </c>
      <c r="HG55" s="19" t="str">
        <f t="shared" si="88"/>
        <v>AI2-9A</v>
      </c>
      <c r="HH55" s="19" t="str">
        <f t="shared" si="89"/>
        <v>AI2-9B</v>
      </c>
      <c r="HI55" s="19" t="str">
        <f t="shared" si="105"/>
        <v>DI11-C13</v>
      </c>
      <c r="HJ55" s="19" t="str">
        <f t="shared" si="106"/>
        <v>DI11-B13</v>
      </c>
      <c r="HK55" s="19" t="str">
        <f t="shared" si="107"/>
        <v>DI11-C14</v>
      </c>
      <c r="HL55" s="19" t="str">
        <f t="shared" si="108"/>
        <v>DI11-B14</v>
      </c>
      <c r="HM55" s="19" t="str">
        <f t="shared" si="109"/>
        <v>DI11-C15</v>
      </c>
      <c r="HN55" s="19" t="str">
        <f t="shared" si="110"/>
        <v>DI11-B15</v>
      </c>
      <c r="HO55" s="19" t="str">
        <f t="shared" si="111"/>
        <v>DI11-C16</v>
      </c>
      <c r="HP55" s="19" t="str">
        <f t="shared" si="112"/>
        <v>DI11-B16</v>
      </c>
      <c r="HQ55" s="19" t="str">
        <f t="shared" si="113"/>
        <v>DI11-C17</v>
      </c>
      <c r="HR55" s="19" t="str">
        <f t="shared" si="114"/>
        <v>DI11-B17</v>
      </c>
      <c r="HS55" s="19" t="str">
        <f t="shared" si="115"/>
        <v>DI11-C18</v>
      </c>
      <c r="HT55" s="19" t="str">
        <f t="shared" si="116"/>
        <v>DI11-B18</v>
      </c>
      <c r="HU55" s="19" t="str">
        <f t="shared" si="117"/>
        <v>DO6-25A</v>
      </c>
      <c r="HV55" s="19" t="str">
        <f t="shared" si="118"/>
        <v>DO6-25B</v>
      </c>
      <c r="HW55" s="19" t="str">
        <f t="shared" si="119"/>
        <v>DO6-26A</v>
      </c>
      <c r="HX55" s="19" t="str">
        <f t="shared" si="120"/>
        <v>DO6-26B</v>
      </c>
      <c r="HY55" s="19" t="str">
        <f t="shared" si="121"/>
        <v>K54-01</v>
      </c>
      <c r="HZ55" s="19" t="str">
        <f t="shared" si="122"/>
        <v>K54-02</v>
      </c>
      <c r="IA55" s="19" t="str">
        <f t="shared" si="123"/>
        <v>K54-03</v>
      </c>
      <c r="IB55" s="19" t="str">
        <f t="shared" si="124"/>
        <v>K54-04</v>
      </c>
      <c r="IC55" s="19" t="str">
        <f t="shared" si="125"/>
        <v>K54-05</v>
      </c>
      <c r="ID55" s="19" t="str">
        <f t="shared" si="126"/>
        <v>K54-06</v>
      </c>
      <c r="IE55" s="19" t="str">
        <f t="shared" si="127"/>
        <v>K54-07</v>
      </c>
      <c r="IF55" s="19" t="str">
        <f t="shared" si="128"/>
        <v>K54-08</v>
      </c>
      <c r="IG55" s="19" t="str">
        <f t="shared" si="129"/>
        <v>F0-M54-AMS-12</v>
      </c>
      <c r="IH55" s="19" t="str">
        <f t="shared" si="130"/>
        <v>F0-M54-AMS-10</v>
      </c>
      <c r="II55" s="19" t="str">
        <f t="shared" si="131"/>
        <v>F0-M54-AMS-11</v>
      </c>
      <c r="IJ55" s="19" t="str">
        <f t="shared" si="132"/>
        <v>F0-M54-AMS-13</v>
      </c>
      <c r="IK55" s="19" t="str">
        <f t="shared" si="133"/>
        <v>F0-M54-AMS-9</v>
      </c>
      <c r="IL55" s="19" t="str">
        <f t="shared" si="134"/>
        <v>F0-M54-AMS-7</v>
      </c>
      <c r="IM55" s="19" t="str">
        <f t="shared" si="135"/>
        <v>F0-M54-AMS-18</v>
      </c>
      <c r="IN55" s="19" t="str">
        <f t="shared" si="136"/>
        <v>F0-M54-AMS-20</v>
      </c>
      <c r="IO55" s="19" t="str">
        <f t="shared" si="137"/>
        <v>F0-M54-AMS-17</v>
      </c>
      <c r="IP55" s="19" t="str">
        <f t="shared" si="138"/>
        <v>F0-+24-M54</v>
      </c>
      <c r="IQ55" s="19" t="str">
        <f t="shared" si="139"/>
        <v>F0-M54-XM01</v>
      </c>
      <c r="IR55" s="19" t="str">
        <f t="shared" ref="IR55:JY55" si="150">IR54</f>
        <v>A1</v>
      </c>
      <c r="IS55" s="19" t="str">
        <f t="shared" si="150"/>
        <v>A2</v>
      </c>
      <c r="IT55" s="19">
        <f t="shared" si="150"/>
        <v>11</v>
      </c>
      <c r="IU55" s="19">
        <f t="shared" si="150"/>
        <v>14</v>
      </c>
      <c r="IV55" s="19" t="str">
        <f t="shared" si="150"/>
        <v>24v6</v>
      </c>
      <c r="IW55" s="19" t="str">
        <f t="shared" si="150"/>
        <v>0v6</v>
      </c>
      <c r="IX55" s="19">
        <f t="shared" si="150"/>
        <v>1</v>
      </c>
      <c r="IY55" s="19">
        <f t="shared" si="150"/>
        <v>2</v>
      </c>
      <c r="IZ55" s="19">
        <f t="shared" si="150"/>
        <v>3</v>
      </c>
      <c r="JA55" s="19">
        <f t="shared" si="150"/>
        <v>4</v>
      </c>
      <c r="JB55" s="19">
        <f t="shared" si="150"/>
        <v>5</v>
      </c>
      <c r="JC55" s="19">
        <f t="shared" si="150"/>
        <v>6</v>
      </c>
      <c r="JD55" s="19">
        <f t="shared" si="150"/>
        <v>7</v>
      </c>
      <c r="JE55" s="19">
        <f t="shared" si="150"/>
        <v>8</v>
      </c>
      <c r="JF55" s="19">
        <f t="shared" si="150"/>
        <v>9</v>
      </c>
      <c r="JG55" s="19">
        <f t="shared" si="150"/>
        <v>10</v>
      </c>
      <c r="JH55" s="19">
        <f t="shared" si="150"/>
        <v>11</v>
      </c>
      <c r="JI55" s="19">
        <f t="shared" si="150"/>
        <v>12</v>
      </c>
      <c r="JJ55" s="19">
        <f t="shared" si="150"/>
        <v>13</v>
      </c>
      <c r="JK55" s="19">
        <f t="shared" si="150"/>
        <v>14</v>
      </c>
      <c r="JL55" s="19">
        <f t="shared" si="150"/>
        <v>17</v>
      </c>
      <c r="JM55" s="19">
        <f t="shared" si="150"/>
        <v>15</v>
      </c>
      <c r="JN55" s="19">
        <f t="shared" si="150"/>
        <v>18</v>
      </c>
      <c r="JO55" s="19">
        <f t="shared" si="150"/>
        <v>11</v>
      </c>
      <c r="JP55" s="19">
        <f t="shared" si="150"/>
        <v>9</v>
      </c>
      <c r="JQ55" s="19">
        <f t="shared" si="150"/>
        <v>6</v>
      </c>
      <c r="JR55" s="19">
        <f t="shared" si="150"/>
        <v>20</v>
      </c>
      <c r="JS55" s="19">
        <f t="shared" si="150"/>
        <v>7</v>
      </c>
      <c r="JT55" s="19">
        <f t="shared" si="150"/>
        <v>10</v>
      </c>
      <c r="JU55" s="19">
        <f t="shared" si="150"/>
        <v>22</v>
      </c>
      <c r="JV55" s="19">
        <f t="shared" si="150"/>
        <v>23</v>
      </c>
      <c r="JW55" s="19">
        <f t="shared" si="150"/>
        <v>26</v>
      </c>
      <c r="JX55" s="19">
        <f t="shared" si="150"/>
        <v>27</v>
      </c>
      <c r="JY55" s="20">
        <f t="shared" si="150"/>
        <v>30</v>
      </c>
    </row>
    <row r="56" spans="1:305" x14ac:dyDescent="0.25">
      <c r="A56" t="s">
        <v>486</v>
      </c>
      <c r="B56" t="s">
        <v>485</v>
      </c>
      <c r="C56" t="s">
        <v>492</v>
      </c>
      <c r="P56" t="s">
        <v>482</v>
      </c>
      <c r="T56" s="14" t="s">
        <v>554</v>
      </c>
      <c r="U56">
        <v>55</v>
      </c>
      <c r="V56" t="s">
        <v>483</v>
      </c>
      <c r="X56" t="s">
        <v>484</v>
      </c>
      <c r="Y56" s="43" t="str" cm="1">
        <f t="array" ref="Y56">IF(COUNTIFS($X$2:$X56,$X56)=1,"1",VALUE(SUBSTITUTE(INDEX(Y:Y,_xlfn.XMATCH($X56,$X$1:$X55,0,-1)),"A",""))+INDEX(Z:Z,_xlfn.XMATCH($X56,$X$1:$X55,0,-1))+1)</f>
        <v>1</v>
      </c>
      <c r="Z56" s="43" cm="1">
        <f t="array" ref="Z56">SUM(IF(ISNUMBER(FIND("TmAi",$BE$1:$AAL$1)),IF(IFERROR(ISODD(SUBSTITUTE($BE56:$AAL56,"A","")),FALSE),IF(ISODD(SUBSTITUTE($BE56:$AAL56,"A","")),1,0),0)))</f>
        <v>0</v>
      </c>
      <c r="AA56" t="str">
        <f>CONCATENATE($Y56*2-1,"B")</f>
        <v>1B</v>
      </c>
      <c r="AB56" t="str">
        <f>CONCATENATE($Y56*2,"B")</f>
        <v>2B</v>
      </c>
      <c r="AP56" t="s">
        <v>137</v>
      </c>
      <c r="AS56" t="s">
        <v>396</v>
      </c>
      <c r="JZ56" s="25" t="str">
        <f t="shared" ref="JZ56:JZ87" si="151">CONCATENATE("XT",U56)</f>
        <v>XT55</v>
      </c>
      <c r="KA56" s="12"/>
      <c r="KB56" s="12"/>
      <c r="KC56" s="12" t="str">
        <f t="shared" ref="KC56:KC87" si="152">CONCATENATE(T56,"-AI",REPLACE($X56,1,3,""),"-",AA56)</f>
        <v>F0-AI3-1B</v>
      </c>
      <c r="KD56" s="12" t="str">
        <f t="shared" ref="KD56:KD87" si="153">CONCATENATE(T56,"-AI",REPLACE($X56,1,3,""),"-",AB56)</f>
        <v>F0-AI3-2B</v>
      </c>
      <c r="KE56" s="12"/>
      <c r="KF56" s="12"/>
      <c r="KG56" s="12"/>
      <c r="KH56" s="12"/>
      <c r="KI56" s="12" cm="1">
        <f t="array" ref="KI56">IF(COUNTIFS($U$2:$U56,$U56)=1,1,INDEX(KI:KI,_xlfn.XMATCH(U56,U$1:U55,0,-1))+COUNT(KI55:KM55))</f>
        <v>1</v>
      </c>
      <c r="KJ56" s="12">
        <f>KI56+1</f>
        <v>2</v>
      </c>
      <c r="KK56" s="12">
        <f>KJ56+1</f>
        <v>3</v>
      </c>
      <c r="KL56" s="12"/>
      <c r="KM56" s="12"/>
      <c r="KN56" s="12">
        <v>1</v>
      </c>
      <c r="KO56" s="13">
        <v>2</v>
      </c>
      <c r="KP56" s="12"/>
      <c r="KQ56" s="12"/>
      <c r="KR56" s="12"/>
      <c r="KS56" s="13"/>
    </row>
    <row r="57" spans="1:305" x14ac:dyDescent="0.25">
      <c r="A57" t="s">
        <v>494</v>
      </c>
      <c r="B57" t="s">
        <v>493</v>
      </c>
      <c r="C57" t="s">
        <v>498</v>
      </c>
      <c r="P57" t="s">
        <v>482</v>
      </c>
      <c r="T57" s="14" t="s">
        <v>554</v>
      </c>
      <c r="U57">
        <v>55</v>
      </c>
      <c r="V57" t="s">
        <v>495</v>
      </c>
      <c r="X57" t="str">
        <f>IF(COUNTIF(X$1:X56,X56)&gt;7,REPLACE(X56,LEN(X56),1,VALUE(RIGHT(X56,1))+1),X56)</f>
        <v>A3.3</v>
      </c>
      <c r="Y57" s="43" cm="1">
        <f t="array" ref="Y57">IF(COUNTIFS($X$2:$X57,$X57)=1,"1",VALUE(SUBSTITUTE(INDEX(Y:Y,_xlfn.XMATCH($X57,$X$1:$X56,0,-1)),"A",""))+INDEX(Z:Z,_xlfn.XMATCH($X57,$X$1:$X56,0,-1))+1)</f>
        <v>2</v>
      </c>
      <c r="Z57" s="43" cm="1">
        <f t="array" ref="Z57">SUM(IF(ISNUMBER(FIND("TmAi",$BE$1:$AAL$1)),IF(IFERROR(ISODD(SUBSTITUTE($BE57:$AAL57,"A","")),FALSE),IF(ISODD(SUBSTITUTE($BE57:$AAL57,"A","")),1,0),0)))</f>
        <v>0</v>
      </c>
      <c r="AA57" t="str">
        <f t="shared" ref="AA57:AA67" si="154">CONCATENATE($Y57*2-1,"B")</f>
        <v>3B</v>
      </c>
      <c r="AB57" t="str">
        <f t="shared" ref="AB57:AB67" si="155">CONCATENATE($Y57*2,"B")</f>
        <v>4B</v>
      </c>
      <c r="AP57" t="s">
        <v>137</v>
      </c>
      <c r="AS57" t="s">
        <v>396</v>
      </c>
      <c r="JZ57" s="27" t="str">
        <f t="shared" si="151"/>
        <v>XT55</v>
      </c>
      <c r="KC57" t="str">
        <f t="shared" si="152"/>
        <v>F0-AI3-3B</v>
      </c>
      <c r="KD57" t="str">
        <f t="shared" si="153"/>
        <v>F0-AI3-4B</v>
      </c>
      <c r="KI57" cm="1">
        <f t="array" ref="KI57">IF(COUNTIFS($U$2:$U57,$U57)=1,1,INDEX(KI:KI,_xlfn.XMATCH(U57,U$1:U56,0,-1))+COUNT(KI56:KM56))</f>
        <v>4</v>
      </c>
      <c r="KJ57">
        <f>KI57+1</f>
        <v>5</v>
      </c>
      <c r="KK57">
        <f>KJ57+1</f>
        <v>6</v>
      </c>
      <c r="KN57">
        <v>1</v>
      </c>
      <c r="KO57" s="16">
        <v>2</v>
      </c>
      <c r="KS57" s="16"/>
    </row>
    <row r="58" spans="1:305" x14ac:dyDescent="0.25">
      <c r="A58" t="s">
        <v>500</v>
      </c>
      <c r="B58" t="s">
        <v>499</v>
      </c>
      <c r="C58" t="s">
        <v>498</v>
      </c>
      <c r="P58" t="s">
        <v>482</v>
      </c>
      <c r="T58" s="14" t="s">
        <v>554</v>
      </c>
      <c r="U58">
        <v>55</v>
      </c>
      <c r="V58" t="s">
        <v>496</v>
      </c>
      <c r="X58" t="str">
        <f>IF(COUNTIF(X$1:X57,X57)&gt;7,REPLACE(X57,LEN(X57),1,VALUE(RIGHT(X57,1))+1),X57)</f>
        <v>A3.3</v>
      </c>
      <c r="Y58" s="43" cm="1">
        <f t="array" ref="Y58">IF(COUNTIFS($X$2:$X58,$X58)=1,"1",VALUE(SUBSTITUTE(INDEX(Y:Y,_xlfn.XMATCH($X58,$X$1:$X57,0,-1)),"A",""))+INDEX(Z:Z,_xlfn.XMATCH($X58,$X$1:$X57,0,-1))+1)</f>
        <v>3</v>
      </c>
      <c r="Z58" s="43" cm="1">
        <f t="array" ref="Z58">SUM(IF(ISNUMBER(FIND("TmAi",$BE$1:$AAL$1)),IF(IFERROR(ISODD(SUBSTITUTE($BE58:$AAL58,"A","")),FALSE),IF(ISODD(SUBSTITUTE($BE58:$AAL58,"A","")),1,0),0)))</f>
        <v>0</v>
      </c>
      <c r="AA58" t="str">
        <f t="shared" si="154"/>
        <v>5B</v>
      </c>
      <c r="AB58" t="str">
        <f t="shared" si="155"/>
        <v>6B</v>
      </c>
      <c r="AP58" t="s">
        <v>137</v>
      </c>
      <c r="AS58" t="s">
        <v>396</v>
      </c>
      <c r="JZ58" s="27" t="str">
        <f t="shared" si="151"/>
        <v>XT55</v>
      </c>
      <c r="KC58" t="str">
        <f t="shared" si="152"/>
        <v>F0-AI3-5B</v>
      </c>
      <c r="KD58" t="str">
        <f t="shared" si="153"/>
        <v>F0-AI3-6B</v>
      </c>
      <c r="KI58" cm="1">
        <f t="array" ref="KI58">IF(COUNTIFS($U$2:$U58,$U58)=1,1,INDEX(KI:KI,_xlfn.XMATCH(U58,U$1:U57,0,-1))+COUNT(KI57:KM57))</f>
        <v>7</v>
      </c>
      <c r="KJ58">
        <f t="shared" ref="KJ58:KK58" si="156">KI58+1</f>
        <v>8</v>
      </c>
      <c r="KK58">
        <f t="shared" si="156"/>
        <v>9</v>
      </c>
      <c r="KN58">
        <v>1</v>
      </c>
      <c r="KO58" s="16">
        <v>2</v>
      </c>
      <c r="KS58" s="16"/>
    </row>
    <row r="59" spans="1:305" x14ac:dyDescent="0.25">
      <c r="A59" t="s">
        <v>502</v>
      </c>
      <c r="B59" s="33" t="s">
        <v>501</v>
      </c>
      <c r="C59" t="s">
        <v>498</v>
      </c>
      <c r="P59" t="s">
        <v>482</v>
      </c>
      <c r="T59" s="14" t="s">
        <v>554</v>
      </c>
      <c r="U59">
        <v>55</v>
      </c>
      <c r="V59" t="s">
        <v>497</v>
      </c>
      <c r="X59" t="str">
        <f>IF(COUNTIF(X$1:X58,X58)&gt;7,REPLACE(X58,LEN(X58),1,VALUE(RIGHT(X58,1))+1),X58)</f>
        <v>A3.3</v>
      </c>
      <c r="Y59" s="43" cm="1">
        <f t="array" ref="Y59">IF(COUNTIFS($X$2:$X59,$X59)=1,"1",VALUE(SUBSTITUTE(INDEX(Y:Y,_xlfn.XMATCH($X59,$X$1:$X58,0,-1)),"A",""))+INDEX(Z:Z,_xlfn.XMATCH($X59,$X$1:$X58,0,-1))+1)</f>
        <v>4</v>
      </c>
      <c r="Z59" s="43" cm="1">
        <f t="array" ref="Z59">SUM(IF(ISNUMBER(FIND("TmAi",$BE$1:$AAL$1)),IF(IFERROR(ISODD(SUBSTITUTE($BE59:$AAL59,"A","")),FALSE),IF(ISODD(SUBSTITUTE($BE59:$AAL59,"A","")),1,0),0)))</f>
        <v>0</v>
      </c>
      <c r="AA59" t="str">
        <f t="shared" si="154"/>
        <v>7B</v>
      </c>
      <c r="AB59" t="str">
        <f t="shared" si="155"/>
        <v>8B</v>
      </c>
      <c r="AP59" t="s">
        <v>137</v>
      </c>
      <c r="AS59" t="s">
        <v>396</v>
      </c>
      <c r="JZ59" s="27" t="str">
        <f t="shared" si="151"/>
        <v>XT55</v>
      </c>
      <c r="KC59" t="str">
        <f t="shared" si="152"/>
        <v>F0-AI3-7B</v>
      </c>
      <c r="KD59" t="str">
        <f t="shared" si="153"/>
        <v>F0-AI3-8B</v>
      </c>
      <c r="KI59" cm="1">
        <f t="array" ref="KI59">IF(COUNTIFS($U$2:$U59,$U59)=1,1,INDEX(KI:KI,_xlfn.XMATCH(U59,U$1:U58,0,-1))+COUNT(KI58:KM58))</f>
        <v>10</v>
      </c>
      <c r="KJ59">
        <f t="shared" ref="KJ59:KK59" si="157">KI59+1</f>
        <v>11</v>
      </c>
      <c r="KK59">
        <f t="shared" si="157"/>
        <v>12</v>
      </c>
      <c r="KN59">
        <v>1</v>
      </c>
      <c r="KO59" s="16">
        <v>2</v>
      </c>
      <c r="KS59" s="16"/>
    </row>
    <row r="60" spans="1:305" x14ac:dyDescent="0.25">
      <c r="A60" t="s">
        <v>511</v>
      </c>
      <c r="B60" s="34" t="s">
        <v>510</v>
      </c>
      <c r="C60" t="s">
        <v>498</v>
      </c>
      <c r="P60" t="s">
        <v>482</v>
      </c>
      <c r="T60" s="14" t="s">
        <v>554</v>
      </c>
      <c r="U60">
        <v>55</v>
      </c>
      <c r="V60" t="s">
        <v>504</v>
      </c>
      <c r="X60" t="s">
        <v>509</v>
      </c>
      <c r="Y60" s="43" t="str" cm="1">
        <f t="array" ref="Y60">IF(COUNTIFS($X$2:$X60,$X60)=1,"1",VALUE(SUBSTITUTE(INDEX(Y:Y,_xlfn.XMATCH($X60,$X$1:$X59,0,-1)),"A",""))+INDEX(Z:Z,_xlfn.XMATCH($X60,$X$1:$X59,0,-1))+1)</f>
        <v>1</v>
      </c>
      <c r="Z60" s="43" cm="1">
        <f t="array" ref="Z60">SUM(IF(ISNUMBER(FIND("TmAi",$BE$1:$AAL$1)),IF(IFERROR(ISODD(SUBSTITUTE($BE60:$AAL60,"A","")),FALSE),IF(ISODD(SUBSTITUTE($BE60:$AAL60,"A","")),1,0),0)))</f>
        <v>0</v>
      </c>
      <c r="AA60" t="str">
        <f t="shared" si="154"/>
        <v>1B</v>
      </c>
      <c r="AB60" t="str">
        <f t="shared" si="155"/>
        <v>2B</v>
      </c>
      <c r="AP60" t="s">
        <v>137</v>
      </c>
      <c r="AS60" t="s">
        <v>396</v>
      </c>
      <c r="JZ60" s="27" t="str">
        <f t="shared" si="151"/>
        <v>XT55</v>
      </c>
      <c r="KC60" t="str">
        <f t="shared" si="152"/>
        <v>F0-AI4-1B</v>
      </c>
      <c r="KD60" t="str">
        <f t="shared" si="153"/>
        <v>F0-AI4-2B</v>
      </c>
      <c r="KI60" cm="1">
        <f t="array" ref="KI60">IF(COUNTIFS($U$2:$U60,$U60)=1,1,INDEX(KI:KI,_xlfn.XMATCH(U60,U$1:U59,0,-1))+COUNT(KI59:KM59))</f>
        <v>13</v>
      </c>
      <c r="KJ60">
        <f t="shared" ref="KJ60:KK60" si="158">KI60+1</f>
        <v>14</v>
      </c>
      <c r="KK60">
        <f t="shared" si="158"/>
        <v>15</v>
      </c>
      <c r="KN60">
        <v>1</v>
      </c>
      <c r="KO60" s="16">
        <v>2</v>
      </c>
      <c r="KS60" s="16"/>
    </row>
    <row r="61" spans="1:305" x14ac:dyDescent="0.25">
      <c r="A61" t="s">
        <v>513</v>
      </c>
      <c r="B61" t="s">
        <v>512</v>
      </c>
      <c r="C61" t="s">
        <v>498</v>
      </c>
      <c r="P61" t="s">
        <v>482</v>
      </c>
      <c r="T61" s="14" t="s">
        <v>554</v>
      </c>
      <c r="U61">
        <v>55</v>
      </c>
      <c r="V61" t="s">
        <v>505</v>
      </c>
      <c r="X61" t="str">
        <f>IF(COUNTIF(X$1:X60,X60)&gt;7,REPLACE(X60,LEN(X60),1,VALUE(RIGHT(X60,1))+1),X60)</f>
        <v>A3.4</v>
      </c>
      <c r="Y61" s="43" cm="1">
        <f t="array" ref="Y61">IF(COUNTIFS($X$2:$X61,$X61)=1,"1",VALUE(SUBSTITUTE(INDEX(Y:Y,_xlfn.XMATCH($X61,$X$1:$X60,0,-1)),"A",""))+INDEX(Z:Z,_xlfn.XMATCH($X61,$X$1:$X60,0,-1))+1)</f>
        <v>2</v>
      </c>
      <c r="Z61" s="43" cm="1">
        <f t="array" ref="Z61">SUM(IF(ISNUMBER(FIND("TmAi",$BE$1:$AAL$1)),IF(IFERROR(ISODD(SUBSTITUTE($BE61:$AAL61,"A","")),FALSE),IF(ISODD(SUBSTITUTE($BE61:$AAL61,"A","")),1,0),0)))</f>
        <v>0</v>
      </c>
      <c r="AA61" t="str">
        <f t="shared" si="154"/>
        <v>3B</v>
      </c>
      <c r="AB61" t="str">
        <f t="shared" si="155"/>
        <v>4B</v>
      </c>
      <c r="AP61" t="s">
        <v>137</v>
      </c>
      <c r="AS61" t="s">
        <v>396</v>
      </c>
      <c r="JZ61" s="27" t="str">
        <f t="shared" si="151"/>
        <v>XT55</v>
      </c>
      <c r="KC61" t="str">
        <f t="shared" si="152"/>
        <v>F0-AI4-3B</v>
      </c>
      <c r="KD61" t="str">
        <f t="shared" si="153"/>
        <v>F0-AI4-4B</v>
      </c>
      <c r="KI61" cm="1">
        <f t="array" ref="KI61">IF(COUNTIFS($U$2:$U61,$U61)=1,1,INDEX(KI:KI,_xlfn.XMATCH(U61,U$1:U60,0,-1))+COUNT(KI60:KM60))</f>
        <v>16</v>
      </c>
      <c r="KJ61">
        <f t="shared" ref="KJ61:KK61" si="159">KI61+1</f>
        <v>17</v>
      </c>
      <c r="KK61">
        <f t="shared" si="159"/>
        <v>18</v>
      </c>
      <c r="KN61">
        <v>1</v>
      </c>
      <c r="KO61" s="16">
        <v>2</v>
      </c>
      <c r="KS61" s="16"/>
    </row>
    <row r="62" spans="1:305" x14ac:dyDescent="0.25">
      <c r="A62" t="s">
        <v>517</v>
      </c>
      <c r="B62" t="s">
        <v>514</v>
      </c>
      <c r="C62" t="s">
        <v>498</v>
      </c>
      <c r="P62" t="s">
        <v>482</v>
      </c>
      <c r="T62" s="14" t="s">
        <v>554</v>
      </c>
      <c r="U62">
        <v>55</v>
      </c>
      <c r="V62" t="s">
        <v>506</v>
      </c>
      <c r="X62" t="str">
        <f>IF(COUNTIF(X$1:X61,X61)&gt;7,REPLACE(X61,LEN(X61),1,VALUE(RIGHT(X61,1))+1),X61)</f>
        <v>A3.4</v>
      </c>
      <c r="Y62" s="43" cm="1">
        <f t="array" ref="Y62">IF(COUNTIFS($X$2:$X62,$X62)=1,"1",VALUE(SUBSTITUTE(INDEX(Y:Y,_xlfn.XMATCH($X62,$X$1:$X61,0,-1)),"A",""))+INDEX(Z:Z,_xlfn.XMATCH($X62,$X$1:$X61,0,-1))+1)</f>
        <v>3</v>
      </c>
      <c r="Z62" s="43" cm="1">
        <f t="array" ref="Z62">SUM(IF(ISNUMBER(FIND("TmAi",$BE$1:$AAL$1)),IF(IFERROR(ISODD(SUBSTITUTE($BE62:$AAL62,"A","")),FALSE),IF(ISODD(SUBSTITUTE($BE62:$AAL62,"A","")),1,0),0)))</f>
        <v>0</v>
      </c>
      <c r="AA62" t="str">
        <f t="shared" si="154"/>
        <v>5B</v>
      </c>
      <c r="AB62" t="str">
        <f t="shared" si="155"/>
        <v>6B</v>
      </c>
      <c r="AP62" t="s">
        <v>137</v>
      </c>
      <c r="AS62" t="s">
        <v>396</v>
      </c>
      <c r="JZ62" s="27" t="str">
        <f t="shared" si="151"/>
        <v>XT55</v>
      </c>
      <c r="KC62" t="str">
        <f t="shared" si="152"/>
        <v>F0-AI4-5B</v>
      </c>
      <c r="KD62" t="str">
        <f t="shared" si="153"/>
        <v>F0-AI4-6B</v>
      </c>
      <c r="KI62" cm="1">
        <f t="array" ref="KI62">IF(COUNTIFS($U$2:$U62,$U62)=1,1,INDEX(KI:KI,_xlfn.XMATCH(U62,U$1:U61,0,-1))+COUNT(KI61:KM61))</f>
        <v>19</v>
      </c>
      <c r="KJ62">
        <f t="shared" ref="KJ62:KK62" si="160">KI62+1</f>
        <v>20</v>
      </c>
      <c r="KK62">
        <f t="shared" si="160"/>
        <v>21</v>
      </c>
      <c r="KN62">
        <v>1</v>
      </c>
      <c r="KO62" s="16">
        <v>2</v>
      </c>
      <c r="KS62" s="16"/>
    </row>
    <row r="63" spans="1:305" x14ac:dyDescent="0.25">
      <c r="A63" t="s">
        <v>516</v>
      </c>
      <c r="B63" t="s">
        <v>515</v>
      </c>
      <c r="C63" t="s">
        <v>498</v>
      </c>
      <c r="P63" t="s">
        <v>482</v>
      </c>
      <c r="T63" s="14" t="s">
        <v>554</v>
      </c>
      <c r="U63">
        <v>55</v>
      </c>
      <c r="V63" t="s">
        <v>507</v>
      </c>
      <c r="X63" s="33" t="str">
        <f>IF(COUNTIF(X$1:X62,X62)&gt;7,REPLACE(X62,LEN(X62),1,VALUE(RIGHT(X62,1))+1),X62)</f>
        <v>A3.4</v>
      </c>
      <c r="Y63" s="45" cm="1">
        <f t="array" ref="Y63">IF(COUNTIFS($X$2:$X63,$X63)=1,"1",VALUE(SUBSTITUTE(INDEX(Y:Y,_xlfn.XMATCH($X63,$X$1:$X62,0,-1)),"A",""))+INDEX(Z:Z,_xlfn.XMATCH($X63,$X$1:$X62,0,-1))+1)</f>
        <v>4</v>
      </c>
      <c r="Z63" s="43" cm="1">
        <f t="array" ref="Z63">SUM(IF(ISNUMBER(FIND("TmAi",$BE$1:$AAL$1)),IF(IFERROR(ISODD(SUBSTITUTE($BE63:$AAL63,"A","")),FALSE),IF(ISODD(SUBSTITUTE($BE63:$AAL63,"A","")),1,0),0)))</f>
        <v>0</v>
      </c>
      <c r="AA63" t="str">
        <f t="shared" si="154"/>
        <v>7B</v>
      </c>
      <c r="AB63" t="str">
        <f t="shared" si="155"/>
        <v>8B</v>
      </c>
      <c r="AP63" t="s">
        <v>137</v>
      </c>
      <c r="AS63" t="s">
        <v>396</v>
      </c>
      <c r="JZ63" s="27" t="str">
        <f t="shared" si="151"/>
        <v>XT55</v>
      </c>
      <c r="KC63" t="str">
        <f t="shared" si="152"/>
        <v>F0-AI4-7B</v>
      </c>
      <c r="KD63" t="str">
        <f t="shared" si="153"/>
        <v>F0-AI4-8B</v>
      </c>
      <c r="KI63" cm="1">
        <f t="array" ref="KI63">IF(COUNTIFS($U$2:$U63,$U63)=1,1,INDEX(KI:KI,_xlfn.XMATCH(U63,U$1:U62,0,-1))+COUNT(KI62:KM62))</f>
        <v>22</v>
      </c>
      <c r="KJ63">
        <f t="shared" ref="KJ63:KK63" si="161">KI63+1</f>
        <v>23</v>
      </c>
      <c r="KK63">
        <f t="shared" si="161"/>
        <v>24</v>
      </c>
      <c r="KN63">
        <v>1</v>
      </c>
      <c r="KO63" s="16">
        <v>2</v>
      </c>
      <c r="KS63" s="16"/>
    </row>
    <row r="64" spans="1:305" x14ac:dyDescent="0.25">
      <c r="A64" t="s">
        <v>519</v>
      </c>
      <c r="B64" t="s">
        <v>518</v>
      </c>
      <c r="C64" t="s">
        <v>498</v>
      </c>
      <c r="P64" t="s">
        <v>482</v>
      </c>
      <c r="T64" s="14" t="s">
        <v>554</v>
      </c>
      <c r="U64">
        <v>55</v>
      </c>
      <c r="V64" t="s">
        <v>508</v>
      </c>
      <c r="X64" t="str">
        <f>IF(COUNTIF(X$1:X63,X63)&gt;7,REPLACE(X63,LEN(X63),1,VALUE(RIGHT(X63,1))+1),X63)</f>
        <v>A3.4</v>
      </c>
      <c r="Y64" s="43" cm="1">
        <f t="array" ref="Y64">IF(COUNTIFS($X$2:$X64,$X64)=1,"1",VALUE(SUBSTITUTE(INDEX(Y:Y,_xlfn.XMATCH($X64,$X$1:$X63,0,-1)),"A",""))+INDEX(Z:Z,_xlfn.XMATCH($X64,$X$1:$X63,0,-1))+1)</f>
        <v>5</v>
      </c>
      <c r="Z64" s="43" cm="1">
        <f t="array" ref="Z64">SUM(IF(ISNUMBER(FIND("TmAi",$BE$1:$AAL$1)),IF(IFERROR(ISODD(SUBSTITUTE($BE64:$AAL64,"A","")),FALSE),IF(ISODD(SUBSTITUTE($BE64:$AAL64,"A","")),1,0),0)))</f>
        <v>0</v>
      </c>
      <c r="AA64" t="str">
        <f t="shared" si="154"/>
        <v>9B</v>
      </c>
      <c r="AB64" t="str">
        <f t="shared" si="155"/>
        <v>10B</v>
      </c>
      <c r="AP64" t="s">
        <v>137</v>
      </c>
      <c r="AS64" t="s">
        <v>396</v>
      </c>
      <c r="JZ64" s="27" t="str">
        <f t="shared" si="151"/>
        <v>XT55</v>
      </c>
      <c r="KC64" t="str">
        <f t="shared" si="152"/>
        <v>F0-AI4-9B</v>
      </c>
      <c r="KD64" t="str">
        <f t="shared" si="153"/>
        <v>F0-AI4-10B</v>
      </c>
      <c r="KI64" cm="1">
        <f t="array" ref="KI64">IF(COUNTIFS($U$2:$U64,$U64)=1,1,INDEX(KI:KI,_xlfn.XMATCH(U64,U$1:U63,0,-1))+COUNT(KI63:KM63))</f>
        <v>25</v>
      </c>
      <c r="KJ64">
        <f t="shared" ref="KJ64:KK64" si="162">KI64+1</f>
        <v>26</v>
      </c>
      <c r="KK64">
        <f t="shared" si="162"/>
        <v>27</v>
      </c>
      <c r="KN64">
        <v>1</v>
      </c>
      <c r="KO64" s="16">
        <v>2</v>
      </c>
      <c r="KS64" s="16"/>
    </row>
    <row r="65" spans="1:305" x14ac:dyDescent="0.25">
      <c r="A65" t="s">
        <v>521</v>
      </c>
      <c r="B65" s="33" t="s">
        <v>520</v>
      </c>
      <c r="C65" t="s">
        <v>498</v>
      </c>
      <c r="P65" t="s">
        <v>482</v>
      </c>
      <c r="T65" s="14" t="s">
        <v>554</v>
      </c>
      <c r="U65">
        <v>55</v>
      </c>
      <c r="V65" t="s">
        <v>522</v>
      </c>
      <c r="X65" t="str">
        <f>IF(COUNTIF(X$1:X64,X64)&gt;7,REPLACE(X64,LEN(X64),1,VALUE(RIGHT(X64,1))+1),X64)</f>
        <v>A3.4</v>
      </c>
      <c r="Y65" s="43" cm="1">
        <f t="array" ref="Y65">IF(COUNTIFS($X$2:$X65,$X65)=1,"1",VALUE(SUBSTITUTE(INDEX(Y:Y,_xlfn.XMATCH($X65,$X$1:$X64,0,-1)),"A",""))+INDEX(Z:Z,_xlfn.XMATCH($X65,$X$1:$X64,0,-1))+1)</f>
        <v>6</v>
      </c>
      <c r="Z65" s="43" cm="1">
        <f t="array" ref="Z65">SUM(IF(ISNUMBER(FIND("TmAi",$BE$1:$AAL$1)),IF(IFERROR(ISODD(SUBSTITUTE($BE65:$AAL65,"A","")),FALSE),IF(ISODD(SUBSTITUTE($BE65:$AAL65,"A","")),1,0),0)))</f>
        <v>0</v>
      </c>
      <c r="AA65" t="str">
        <f t="shared" si="154"/>
        <v>11B</v>
      </c>
      <c r="AB65" t="str">
        <f t="shared" si="155"/>
        <v>12B</v>
      </c>
      <c r="AP65" t="s">
        <v>137</v>
      </c>
      <c r="AS65" t="s">
        <v>396</v>
      </c>
      <c r="JZ65" s="27" t="str">
        <f t="shared" si="151"/>
        <v>XT55</v>
      </c>
      <c r="KC65" t="str">
        <f t="shared" si="152"/>
        <v>F0-AI4-11B</v>
      </c>
      <c r="KD65" t="str">
        <f t="shared" si="153"/>
        <v>F0-AI4-12B</v>
      </c>
      <c r="KI65" cm="1">
        <f t="array" ref="KI65">IF(COUNTIFS($U$2:$U65,$U65)=1,1,INDEX(KI:KI,_xlfn.XMATCH(U65,U$1:U64,0,-1))+COUNT(KI64:KM64))</f>
        <v>28</v>
      </c>
      <c r="KJ65">
        <f t="shared" ref="KJ65:KK65" si="163">KI65+1</f>
        <v>29</v>
      </c>
      <c r="KK65">
        <f t="shared" si="163"/>
        <v>30</v>
      </c>
      <c r="KN65">
        <v>1</v>
      </c>
      <c r="KO65" s="16">
        <v>2</v>
      </c>
      <c r="KS65" s="16"/>
    </row>
    <row r="66" spans="1:305" x14ac:dyDescent="0.25">
      <c r="A66" t="s">
        <v>525</v>
      </c>
      <c r="B66" s="34" t="s">
        <v>523</v>
      </c>
      <c r="C66" t="s">
        <v>492</v>
      </c>
      <c r="P66" t="s">
        <v>482</v>
      </c>
      <c r="T66" s="14" t="s">
        <v>554</v>
      </c>
      <c r="U66">
        <v>55</v>
      </c>
      <c r="V66" t="s">
        <v>524</v>
      </c>
      <c r="X66" t="s">
        <v>2327</v>
      </c>
      <c r="Y66" s="43" t="str" cm="1">
        <f t="array" ref="Y66">IF(COUNTIFS($X$2:$X66,$X66)=1,"1",VALUE(SUBSTITUTE(INDEX(Y:Y,_xlfn.XMATCH($X66,$X$1:$X65,0,-1)),"A",""))+INDEX(Z:Z,_xlfn.XMATCH($X66,$X$1:$X65,0,-1))+1)</f>
        <v>1</v>
      </c>
      <c r="Z66" s="43" cm="1">
        <f t="array" ref="Z66">SUM(IF(ISNUMBER(FIND("TmAi",$BE$1:$AAL$1)),IF(IFERROR(ISODD(SUBSTITUTE($BE66:$AAL66,"A","")),FALSE),IF(ISODD(SUBSTITUTE($BE66:$AAL66,"A","")),1,0),0)))</f>
        <v>0</v>
      </c>
      <c r="AA66" t="str">
        <f t="shared" si="154"/>
        <v>1B</v>
      </c>
      <c r="AB66" t="str">
        <f t="shared" si="155"/>
        <v>2B</v>
      </c>
      <c r="AP66" t="s">
        <v>137</v>
      </c>
      <c r="AS66" t="s">
        <v>396</v>
      </c>
      <c r="JZ66" s="27" t="str">
        <f t="shared" si="151"/>
        <v>XT55</v>
      </c>
      <c r="KC66" t="str">
        <f t="shared" si="152"/>
        <v>F0-AI5-1B</v>
      </c>
      <c r="KD66" t="str">
        <f t="shared" si="153"/>
        <v>F0-AI5-2B</v>
      </c>
      <c r="KI66" cm="1">
        <f t="array" ref="KI66">IF(COUNTIFS($U$2:$U66,$U66)=1,1,INDEX(KI:KI,_xlfn.XMATCH(U66,U$1:U65,0,-1))+COUNT(KI65:KM65))</f>
        <v>31</v>
      </c>
      <c r="KJ66">
        <f t="shared" ref="KJ66:KK66" si="164">KI66+1</f>
        <v>32</v>
      </c>
      <c r="KK66">
        <f t="shared" si="164"/>
        <v>33</v>
      </c>
      <c r="KN66">
        <v>1</v>
      </c>
      <c r="KO66" s="16">
        <v>2</v>
      </c>
      <c r="KS66" s="16"/>
    </row>
    <row r="67" spans="1:305" x14ac:dyDescent="0.25">
      <c r="A67" t="s">
        <v>527</v>
      </c>
      <c r="B67" s="33" t="s">
        <v>526</v>
      </c>
      <c r="C67" t="s">
        <v>498</v>
      </c>
      <c r="P67" t="s">
        <v>482</v>
      </c>
      <c r="T67" s="14" t="s">
        <v>554</v>
      </c>
      <c r="U67">
        <v>55</v>
      </c>
      <c r="V67" t="s">
        <v>528</v>
      </c>
      <c r="X67" t="str">
        <f>IF(COUNTIF(X$1:X66,X66)&gt;7,REPLACE(X66,LEN(X66),1,VALUE(RIGHT(X66,1))+1),X66)</f>
        <v>A3.5</v>
      </c>
      <c r="Y67" s="43" cm="1">
        <f t="array" ref="Y67">IF(COUNTIFS($X$2:$X67,$X67)=1,"1",VALUE(SUBSTITUTE(INDEX(Y:Y,_xlfn.XMATCH($X67,$X$1:$X66,0,-1)),"A",""))+INDEX(Z:Z,_xlfn.XMATCH($X67,$X$1:$X66,0,-1))+1)</f>
        <v>2</v>
      </c>
      <c r="Z67" s="43" cm="1">
        <f t="array" ref="Z67">SUM(IF(ISNUMBER(FIND("TmAi",$BE$1:$AAL$1)),IF(IFERROR(ISODD(SUBSTITUTE($BE67:$AAL67,"A","")),FALSE),IF(ISODD(SUBSTITUTE($BE67:$AAL67,"A","")),1,0),0)))</f>
        <v>0</v>
      </c>
      <c r="AA67" t="str">
        <f t="shared" si="154"/>
        <v>3B</v>
      </c>
      <c r="AB67" t="str">
        <f t="shared" si="155"/>
        <v>4B</v>
      </c>
      <c r="AP67" t="s">
        <v>137</v>
      </c>
      <c r="AS67" t="s">
        <v>396</v>
      </c>
      <c r="JZ67" s="27" t="str">
        <f t="shared" si="151"/>
        <v>XT55</v>
      </c>
      <c r="KC67" t="str">
        <f t="shared" si="152"/>
        <v>F0-AI5-3B</v>
      </c>
      <c r="KD67" t="str">
        <f t="shared" si="153"/>
        <v>F0-AI5-4B</v>
      </c>
      <c r="KI67" cm="1">
        <f t="array" ref="KI67">IF(COUNTIFS($U$2:$U67,$U67)=1,1,INDEX(KI:KI,_xlfn.XMATCH(U67,U$1:U66,0,-1))+COUNT(KI66:KM66))</f>
        <v>34</v>
      </c>
      <c r="KJ67">
        <f t="shared" ref="KJ67:KK67" si="165">KI67+1</f>
        <v>35</v>
      </c>
      <c r="KK67">
        <f t="shared" si="165"/>
        <v>36</v>
      </c>
      <c r="KN67">
        <v>1</v>
      </c>
      <c r="KO67" s="16">
        <v>2</v>
      </c>
      <c r="KS67" s="16"/>
    </row>
    <row r="68" spans="1:305" x14ac:dyDescent="0.25">
      <c r="A68" t="s">
        <v>530</v>
      </c>
      <c r="B68" t="s">
        <v>529</v>
      </c>
      <c r="C68" t="s">
        <v>531</v>
      </c>
      <c r="P68" t="s">
        <v>503</v>
      </c>
      <c r="T68" s="14" t="s">
        <v>554</v>
      </c>
      <c r="U68">
        <v>55</v>
      </c>
      <c r="V68" t="s">
        <v>532</v>
      </c>
      <c r="X68" s="33" t="str">
        <f>IF(COUNTIF(X$1:X67,X67)&gt;7,REPLACE(X67,LEN(X67),1,VALUE(RIGHT(X67,1))+1),X67)</f>
        <v>A3.5</v>
      </c>
      <c r="Y68" s="45" cm="1">
        <f t="array" ref="Y68">IF(COUNTIFS($X$2:$X68,$X68)=1,"1",VALUE(SUBSTITUTE(INDEX(Y:Y,_xlfn.XMATCH($X68,$X$1:$X67,0,-1)),"A",""))+INDEX(Z:Z,_xlfn.XMATCH($X68,$X$1:$X67,0,-1))+1)</f>
        <v>3</v>
      </c>
      <c r="Z68" s="43" cm="1">
        <f t="array" ref="Z68">SUM(IF(ISNUMBER(FIND("TmAi",$BE$1:$AAL$1)),IF(IFERROR(ISODD(SUBSTITUTE($BE68:$AAL68,"A","")),FALSE),IF(ISODD(SUBSTITUTE($BE68:$AAL68,"A","")),1,0),0)))</f>
        <v>0</v>
      </c>
      <c r="AA68" t="str">
        <f>CONCATENATE($Y68*2-1,"A")</f>
        <v>5A</v>
      </c>
      <c r="AB68" t="str">
        <f>CONCATENATE($Y68*2-1,"B")</f>
        <v>5B</v>
      </c>
      <c r="AP68" t="s">
        <v>137</v>
      </c>
      <c r="AS68" t="s">
        <v>396</v>
      </c>
      <c r="JZ68" s="27" t="str">
        <f t="shared" si="151"/>
        <v>XT55</v>
      </c>
      <c r="KC68" t="str">
        <f t="shared" si="152"/>
        <v>F0-AI5-5A</v>
      </c>
      <c r="KD68" t="str">
        <f t="shared" si="153"/>
        <v>F0-AI5-5B</v>
      </c>
      <c r="KG68" t="s">
        <v>488</v>
      </c>
      <c r="KH68" t="s">
        <v>487</v>
      </c>
      <c r="KI68" cm="1">
        <f t="array" ref="KI68">IF(COUNTIFS($U$2:$U68,$U68)=1,1,INDEX(KI:KI,_xlfn.XMATCH(U68,U$1:U67,0,-1))+COUNT(KI67:KM67))</f>
        <v>37</v>
      </c>
      <c r="KJ68">
        <f t="shared" ref="KJ68:KM68" si="166">KI68+1</f>
        <v>38</v>
      </c>
      <c r="KK68">
        <f t="shared" si="166"/>
        <v>39</v>
      </c>
      <c r="KL68">
        <f t="shared" si="166"/>
        <v>40</v>
      </c>
      <c r="KM68">
        <f t="shared" si="166"/>
        <v>41</v>
      </c>
      <c r="KN68" t="s">
        <v>547</v>
      </c>
      <c r="KO68" s="16" t="s">
        <v>548</v>
      </c>
      <c r="KP68" t="s">
        <v>547</v>
      </c>
      <c r="KQ68" t="s">
        <v>548</v>
      </c>
      <c r="KR68" t="s">
        <v>551</v>
      </c>
      <c r="KS68" s="16" t="s">
        <v>552</v>
      </c>
    </row>
    <row r="69" spans="1:305" x14ac:dyDescent="0.25">
      <c r="A69" t="s">
        <v>534</v>
      </c>
      <c r="B69" t="s">
        <v>533</v>
      </c>
      <c r="C69" t="s">
        <v>537</v>
      </c>
      <c r="P69" t="s">
        <v>542</v>
      </c>
      <c r="T69" s="14" t="s">
        <v>554</v>
      </c>
      <c r="U69">
        <v>55</v>
      </c>
      <c r="V69" t="s">
        <v>543</v>
      </c>
      <c r="X69" t="s">
        <v>1362</v>
      </c>
      <c r="Y69" s="43" t="str" cm="1">
        <f t="array" ref="Y69">IF(COUNTIFS($X$2:$X69,$X69)=1,"1",VALUE(SUBSTITUTE(INDEX(Y:Y,_xlfn.XMATCH($X69,$X$1:$X68,0,-1)),"A",""))+INDEX(Z:Z,_xlfn.XMATCH($X69,$X$1:$X68,0,-1))+1)</f>
        <v>1</v>
      </c>
      <c r="Z69" s="43" cm="1">
        <f t="array" ref="Z69">SUM(IF(ISNUMBER(FIND("TmAi",$BE$1:$AAL$1)),IF(IFERROR(ISODD(SUBSTITUTE($BE69:$AAL69,"A","")),FALSE),IF(ISODD(SUBSTITUTE($BE69:$AAL69,"A","")),1,0),0)))</f>
        <v>0</v>
      </c>
      <c r="AA69" t="str">
        <f>CONCATENATE($Y69*2-1,"A")</f>
        <v>1A</v>
      </c>
      <c r="AB69" t="str">
        <f>CONCATENATE($Y69*2-1,"B")</f>
        <v>1B</v>
      </c>
      <c r="AP69" t="s">
        <v>137</v>
      </c>
      <c r="AS69" t="s">
        <v>396</v>
      </c>
      <c r="JZ69" s="27" t="str">
        <f t="shared" si="151"/>
        <v>XT55</v>
      </c>
      <c r="KA69" t="str">
        <f>REPLACE(AA69,1,1,LEFT(AA69,1)+1)</f>
        <v>2A</v>
      </c>
      <c r="KB69" t="str">
        <f>REPLACE(AB69,1,1,LEFT(AB69,1)+1)</f>
        <v>2B</v>
      </c>
      <c r="KC69" t="str">
        <f t="shared" si="152"/>
        <v>F0-AI38-1A</v>
      </c>
      <c r="KD69" t="str">
        <f t="shared" si="153"/>
        <v>F0-AI38-1B</v>
      </c>
      <c r="KE69" t="str">
        <f>CONCATENATE($T69,"-AI",REPLACE($X69,1,3,""),"-",KA69)</f>
        <v>F0-AI38-2A</v>
      </c>
      <c r="KF69" t="str">
        <f>CONCATENATE($T69,"-AI",REPLACE($X69,1,3,""),"-",KB69)</f>
        <v>F0-AI38-2B</v>
      </c>
      <c r="KI69" cm="1">
        <f t="array" ref="KI69">IF(COUNTIFS($U$2:$U69,$U69)=1,1,INDEX(KI:KI,_xlfn.XMATCH(U69,U$1:U68,0,-1))+COUNT(KI68:KM68))</f>
        <v>42</v>
      </c>
      <c r="KJ69">
        <f>KI69+1</f>
        <v>43</v>
      </c>
      <c r="KK69">
        <f>KJ69+1</f>
        <v>44</v>
      </c>
      <c r="KL69">
        <f>KK69+1</f>
        <v>45</v>
      </c>
      <c r="KN69">
        <v>1</v>
      </c>
      <c r="KO69" s="16">
        <v>2</v>
      </c>
      <c r="KP69">
        <v>3</v>
      </c>
      <c r="KQ69">
        <v>4</v>
      </c>
      <c r="KS69" s="16"/>
    </row>
    <row r="70" spans="1:305" x14ac:dyDescent="0.25">
      <c r="A70" t="s">
        <v>535</v>
      </c>
      <c r="B70" t="s">
        <v>536</v>
      </c>
      <c r="C70" t="s">
        <v>537</v>
      </c>
      <c r="P70" t="s">
        <v>542</v>
      </c>
      <c r="T70" s="14" t="s">
        <v>554</v>
      </c>
      <c r="U70">
        <v>55</v>
      </c>
      <c r="V70" t="s">
        <v>544</v>
      </c>
      <c r="X70" s="33" t="str">
        <f>IF(COUNTIF(X$1:X69,X69)&gt;7,REPLACE(X69,LEN(X69),1,VALUE(RIGHT(X69,1))+1),X69)</f>
        <v>A3.38</v>
      </c>
      <c r="Y70" s="45" cm="1">
        <f t="array" ref="Y70">IF(COUNTIFS($X$2:$X70,$X70)=1,"1",VALUE(SUBSTITUTE(INDEX(Y:Y,_xlfn.XMATCH($X70,$X$1:$X69,0,-1)),"A",""))+INDEX(Z:Z,_xlfn.XMATCH($X70,$X$1:$X69,0,-1))+1)</f>
        <v>2</v>
      </c>
      <c r="Z70" s="43" cm="1">
        <f t="array" ref="Z70">SUM(IF(ISNUMBER(FIND("TmAi",$BE$1:$AAL$1)),IF(IFERROR(ISODD(SUBSTITUTE($BE70:$AAL70,"A","")),FALSE),IF(ISODD(SUBSTITUTE($BE70:$AAL70,"A","")),1,0),0)))</f>
        <v>0</v>
      </c>
      <c r="AA70" t="str">
        <f>CONCATENATE($Y70*2-1,"A")</f>
        <v>3A</v>
      </c>
      <c r="AB70" t="str">
        <f>CONCATENATE($Y70*2-1,"B")</f>
        <v>3B</v>
      </c>
      <c r="AP70" t="s">
        <v>137</v>
      </c>
      <c r="AS70" t="s">
        <v>396</v>
      </c>
      <c r="JZ70" s="27" t="str">
        <f t="shared" si="151"/>
        <v>XT55</v>
      </c>
      <c r="KA70" t="str">
        <f>REPLACE(AA70,1,1,LEFT(AA70,1)+1)</f>
        <v>4A</v>
      </c>
      <c r="KB70" t="str">
        <f>REPLACE(AB70,1,1,LEFT(AB70,1)+1)</f>
        <v>4B</v>
      </c>
      <c r="KC70" t="str">
        <f t="shared" si="152"/>
        <v>F0-AI38-3A</v>
      </c>
      <c r="KD70" t="str">
        <f t="shared" si="153"/>
        <v>F0-AI38-3B</v>
      </c>
      <c r="KE70" t="str">
        <f>CONCATENATE($T70,"-AI",REPLACE($X70,1,3,""),"-",KA70)</f>
        <v>F0-AI38-4A</v>
      </c>
      <c r="KF70" t="str">
        <f>CONCATENATE($T70,"-AI",REPLACE($X70,1,3,""),"-",KB70)</f>
        <v>F0-AI38-4B</v>
      </c>
      <c r="KI70" cm="1">
        <f t="array" ref="KI70">IF(COUNTIFS($U$2:$U70,$U70)=1,1,INDEX(KI:KI,_xlfn.XMATCH(U70,U$1:U69,0,-1))+COUNT(KI69:KM69))</f>
        <v>46</v>
      </c>
      <c r="KJ70">
        <f t="shared" ref="KJ70:KL70" si="167">KI70+1</f>
        <v>47</v>
      </c>
      <c r="KK70">
        <f t="shared" si="167"/>
        <v>48</v>
      </c>
      <c r="KL70">
        <f t="shared" si="167"/>
        <v>49</v>
      </c>
      <c r="KN70">
        <v>1</v>
      </c>
      <c r="KO70" s="16">
        <v>2</v>
      </c>
      <c r="KP70">
        <v>3</v>
      </c>
      <c r="KQ70">
        <v>4</v>
      </c>
      <c r="KS70" s="16"/>
    </row>
    <row r="71" spans="1:305" x14ac:dyDescent="0.25">
      <c r="A71" t="s">
        <v>539</v>
      </c>
      <c r="B71" s="34" t="s">
        <v>538</v>
      </c>
      <c r="C71" t="s">
        <v>492</v>
      </c>
      <c r="P71" t="s">
        <v>482</v>
      </c>
      <c r="T71" s="14" t="s">
        <v>554</v>
      </c>
      <c r="U71">
        <v>55</v>
      </c>
      <c r="V71" t="s">
        <v>545</v>
      </c>
      <c r="X71" t="s">
        <v>2979</v>
      </c>
      <c r="Y71" s="43" t="str" cm="1">
        <f t="array" ref="Y71">IF(COUNTIFS($X$2:$X71,$X71)=1,"1",VALUE(SUBSTITUTE(INDEX(Y:Y,_xlfn.XMATCH($X71,$X$1:$X70,0,-1)),"A",""))+INDEX(Z:Z,_xlfn.XMATCH($X71,$X$1:$X70,0,-1))+1)</f>
        <v>1</v>
      </c>
      <c r="Z71" s="43" cm="1">
        <f t="array" ref="Z71">SUM(IF(ISNUMBER(FIND("TmAi",$BE$1:$AAL$1)),IF(IFERROR(ISODD(SUBSTITUTE($BE71:$AAL71,"A","")),FALSE),IF(ISODD(SUBSTITUTE($BE71:$AAL71,"A","")),1,0),0)))</f>
        <v>0</v>
      </c>
      <c r="AA71" t="str">
        <f t="shared" ref="AA71:AA75" si="168">CONCATENATE($Y71*2-1,"B")</f>
        <v>1B</v>
      </c>
      <c r="AB71" t="str">
        <f t="shared" ref="AB71:AB75" si="169">CONCATENATE($Y71*2,"B")</f>
        <v>2B</v>
      </c>
      <c r="AP71" t="s">
        <v>137</v>
      </c>
      <c r="AS71" t="s">
        <v>396</v>
      </c>
      <c r="JZ71" s="27" t="str">
        <f t="shared" si="151"/>
        <v>XT55</v>
      </c>
      <c r="KC71" t="str">
        <f t="shared" si="152"/>
        <v>F0-AI6-1B</v>
      </c>
      <c r="KD71" t="str">
        <f t="shared" si="153"/>
        <v>F0-AI6-2B</v>
      </c>
      <c r="KI71" cm="1">
        <f t="array" ref="KI71">IF(COUNTIFS($U$2:$U71,$U71)=1,1,INDEX(KI:KI,_xlfn.XMATCH(U71,U$1:U70,0,-1))+COUNT(KI70:KM70))</f>
        <v>50</v>
      </c>
      <c r="KJ71">
        <f t="shared" ref="KJ71:KK71" si="170">KI71+1</f>
        <v>51</v>
      </c>
      <c r="KK71">
        <f t="shared" si="170"/>
        <v>52</v>
      </c>
      <c r="KN71">
        <v>1</v>
      </c>
      <c r="KO71" s="16">
        <v>2</v>
      </c>
      <c r="KS71" s="16"/>
    </row>
    <row r="72" spans="1:305" x14ac:dyDescent="0.25">
      <c r="A72" t="s">
        <v>541</v>
      </c>
      <c r="B72" t="s">
        <v>540</v>
      </c>
      <c r="C72" t="s">
        <v>498</v>
      </c>
      <c r="P72" t="s">
        <v>482</v>
      </c>
      <c r="T72" s="14" t="s">
        <v>554</v>
      </c>
      <c r="U72">
        <v>55</v>
      </c>
      <c r="V72" t="s">
        <v>546</v>
      </c>
      <c r="X72" t="str">
        <f>IF(COUNTIF(X$1:X71,X71)&gt;7,REPLACE(X71,LEN(X71),1,VALUE(RIGHT(X71,1))+1),X71)</f>
        <v>A3.6</v>
      </c>
      <c r="Y72" s="43" cm="1">
        <f t="array" ref="Y72">IF(COUNTIFS($X$2:$X72,$X72)=1,"1",VALUE(SUBSTITUTE(INDEX(Y:Y,_xlfn.XMATCH($X72,$X$1:$X71,0,-1)),"A",""))+INDEX(Z:Z,_xlfn.XMATCH($X72,$X$1:$X71,0,-1))+1)</f>
        <v>2</v>
      </c>
      <c r="Z72" s="43" cm="1">
        <f t="array" ref="Z72">SUM(IF(ISNUMBER(FIND("TmAi",$BE$1:$AAL$1)),IF(IFERROR(ISODD(SUBSTITUTE($BE72:$AAL72,"A","")),FALSE),IF(ISODD(SUBSTITUTE($BE72:$AAL72,"A","")),1,0),0)))</f>
        <v>0</v>
      </c>
      <c r="AA72" t="str">
        <f t="shared" si="168"/>
        <v>3B</v>
      </c>
      <c r="AB72" t="str">
        <f t="shared" si="169"/>
        <v>4B</v>
      </c>
      <c r="AP72" t="s">
        <v>137</v>
      </c>
      <c r="AS72" t="s">
        <v>396</v>
      </c>
      <c r="JZ72" s="27" t="str">
        <f t="shared" si="151"/>
        <v>XT55</v>
      </c>
      <c r="KC72" t="str">
        <f t="shared" si="152"/>
        <v>F0-AI6-3B</v>
      </c>
      <c r="KD72" t="str">
        <f t="shared" si="153"/>
        <v>F0-AI6-4B</v>
      </c>
      <c r="KI72" cm="1">
        <f t="array" ref="KI72">IF(COUNTIFS($U$2:$U72,$U72)=1,1,INDEX(KI:KI,_xlfn.XMATCH(U72,U$1:U71,0,-1))+COUNT(KI71:KM71))</f>
        <v>53</v>
      </c>
      <c r="KJ72">
        <f t="shared" ref="KJ72:KK72" si="171">KI72+1</f>
        <v>54</v>
      </c>
      <c r="KK72">
        <f t="shared" si="171"/>
        <v>55</v>
      </c>
      <c r="KN72">
        <v>1</v>
      </c>
      <c r="KO72" s="16">
        <v>2</v>
      </c>
      <c r="KS72" s="16"/>
    </row>
    <row r="73" spans="1:305" x14ac:dyDescent="0.25">
      <c r="A73" t="s">
        <v>560</v>
      </c>
      <c r="B73" t="s">
        <v>559</v>
      </c>
      <c r="C73" t="s">
        <v>498</v>
      </c>
      <c r="P73" t="s">
        <v>482</v>
      </c>
      <c r="T73" s="14" t="s">
        <v>554</v>
      </c>
      <c r="U73">
        <v>55</v>
      </c>
      <c r="V73" t="s">
        <v>577</v>
      </c>
      <c r="X73" s="33" t="str">
        <f>IF(COUNTIF(X$1:X72,X72)&gt;7,REPLACE(X72,LEN(X72),1,VALUE(RIGHT(X72,1))+1),X72)</f>
        <v>A3.6</v>
      </c>
      <c r="Y73" s="45" cm="1">
        <f t="array" ref="Y73">IF(COUNTIFS($X$2:$X73,$X73)=1,"1",VALUE(SUBSTITUTE(INDEX(Y:Y,_xlfn.XMATCH($X73,$X$1:$X72,0,-1)),"A",""))+INDEX(Z:Z,_xlfn.XMATCH($X73,$X$1:$X72,0,-1))+1)</f>
        <v>3</v>
      </c>
      <c r="Z73" s="43" cm="1">
        <f t="array" ref="Z73">SUM(IF(ISNUMBER(FIND("TmAi",$BE$1:$AAL$1)),IF(IFERROR(ISODD(SUBSTITUTE($BE73:$AAL73,"A","")),FALSE),IF(ISODD(SUBSTITUTE($BE73:$AAL73,"A","")),1,0),0)))</f>
        <v>0</v>
      </c>
      <c r="AA73" t="str">
        <f t="shared" si="168"/>
        <v>5B</v>
      </c>
      <c r="AB73" t="str">
        <f t="shared" si="169"/>
        <v>6B</v>
      </c>
      <c r="AP73" t="s">
        <v>137</v>
      </c>
      <c r="AS73" t="s">
        <v>396</v>
      </c>
      <c r="JZ73" s="27" t="str">
        <f t="shared" si="151"/>
        <v>XT55</v>
      </c>
      <c r="KC73" t="str">
        <f t="shared" si="152"/>
        <v>F0-AI6-5B</v>
      </c>
      <c r="KD73" t="str">
        <f t="shared" si="153"/>
        <v>F0-AI6-6B</v>
      </c>
      <c r="KI73" cm="1">
        <f t="array" ref="KI73">IF(COUNTIFS($U$2:$U73,$U73)=1,1,INDEX(KI:KI,_xlfn.XMATCH(U73,U$1:U72,0,-1))+COUNT(KI72:KM72))</f>
        <v>56</v>
      </c>
      <c r="KJ73">
        <f t="shared" ref="KJ73:KK73" si="172">KI73+1</f>
        <v>57</v>
      </c>
      <c r="KK73">
        <f t="shared" si="172"/>
        <v>58</v>
      </c>
      <c r="KN73">
        <v>1</v>
      </c>
      <c r="KO73" s="16">
        <v>2</v>
      </c>
      <c r="KS73" s="16"/>
    </row>
    <row r="74" spans="1:305" x14ac:dyDescent="0.25">
      <c r="A74" t="s">
        <v>562</v>
      </c>
      <c r="B74" t="s">
        <v>561</v>
      </c>
      <c r="C74" t="s">
        <v>498</v>
      </c>
      <c r="P74" t="s">
        <v>482</v>
      </c>
      <c r="T74" s="14" t="s">
        <v>554</v>
      </c>
      <c r="U74">
        <v>55</v>
      </c>
      <c r="V74" t="s">
        <v>578</v>
      </c>
      <c r="X74" t="str">
        <f>IF(COUNTIF(X$1:X73,X73)&gt;7,REPLACE(X73,LEN(X73),1,VALUE(RIGHT(X73,1))+1),X73)</f>
        <v>A3.6</v>
      </c>
      <c r="Y74" s="43" cm="1">
        <f t="array" ref="Y74">IF(COUNTIFS($X$2:$X74,$X74)=1,"1",VALUE(SUBSTITUTE(INDEX(Y:Y,_xlfn.XMATCH($X74,$X$1:$X73,0,-1)),"A",""))+INDEX(Z:Z,_xlfn.XMATCH($X74,$X$1:$X73,0,-1))+1)</f>
        <v>4</v>
      </c>
      <c r="Z74" s="43" cm="1">
        <f t="array" ref="Z74">SUM(IF(ISNUMBER(FIND("TmAi",$BE$1:$AAL$1)),IF(IFERROR(ISODD(SUBSTITUTE($BE74:$AAL74,"A","")),FALSE),IF(ISODD(SUBSTITUTE($BE74:$AAL74,"A","")),1,0),0)))</f>
        <v>0</v>
      </c>
      <c r="AA74" t="str">
        <f t="shared" si="168"/>
        <v>7B</v>
      </c>
      <c r="AB74" t="str">
        <f t="shared" si="169"/>
        <v>8B</v>
      </c>
      <c r="AP74" t="s">
        <v>137</v>
      </c>
      <c r="AS74" t="s">
        <v>396</v>
      </c>
      <c r="JZ74" s="27" t="str">
        <f t="shared" si="151"/>
        <v>XT55</v>
      </c>
      <c r="KC74" t="str">
        <f t="shared" si="152"/>
        <v>F0-AI6-7B</v>
      </c>
      <c r="KD74" t="str">
        <f t="shared" si="153"/>
        <v>F0-AI6-8B</v>
      </c>
      <c r="KI74" cm="1">
        <f t="array" ref="KI74">IF(COUNTIFS($U$2:$U74,$U74)=1,1,INDEX(KI:KI,_xlfn.XMATCH(U74,U$1:U73,0,-1))+COUNT(KI73:KM73))</f>
        <v>59</v>
      </c>
      <c r="KJ74">
        <f t="shared" ref="KJ74:KK74" si="173">KI74+1</f>
        <v>60</v>
      </c>
      <c r="KK74">
        <f t="shared" si="173"/>
        <v>61</v>
      </c>
      <c r="KN74">
        <v>1</v>
      </c>
      <c r="KO74" s="16">
        <v>2</v>
      </c>
      <c r="KS74" s="16"/>
    </row>
    <row r="75" spans="1:305" x14ac:dyDescent="0.25">
      <c r="A75" t="s">
        <v>564</v>
      </c>
      <c r="B75" t="s">
        <v>563</v>
      </c>
      <c r="C75" t="s">
        <v>498</v>
      </c>
      <c r="P75" t="s">
        <v>482</v>
      </c>
      <c r="T75" s="14" t="s">
        <v>554</v>
      </c>
      <c r="U75">
        <v>55</v>
      </c>
      <c r="V75" t="s">
        <v>579</v>
      </c>
      <c r="X75" t="str">
        <f>IF(COUNTIF(X$1:X74,X74)&gt;7,REPLACE(X74,LEN(X74),1,VALUE(RIGHT(X74,1))+1),X74)</f>
        <v>A3.6</v>
      </c>
      <c r="Y75" s="43" cm="1">
        <f t="array" ref="Y75">IF(COUNTIFS($X$2:$X75,$X75)=1,"1",VALUE(SUBSTITUTE(INDEX(Y:Y,_xlfn.XMATCH($X75,$X$1:$X74,0,-1)),"A",""))+INDEX(Z:Z,_xlfn.XMATCH($X75,$X$1:$X74,0,-1))+1)</f>
        <v>5</v>
      </c>
      <c r="Z75" s="43" cm="1">
        <f t="array" ref="Z75">SUM(IF(ISNUMBER(FIND("TmAi",$BE$1:$AAL$1)),IF(IFERROR(ISODD(SUBSTITUTE($BE75:$AAL75,"A","")),FALSE),IF(ISODD(SUBSTITUTE($BE75:$AAL75,"A","")),1,0),0)))</f>
        <v>0</v>
      </c>
      <c r="AA75" t="str">
        <f t="shared" si="168"/>
        <v>9B</v>
      </c>
      <c r="AB75" t="str">
        <f t="shared" si="169"/>
        <v>10B</v>
      </c>
      <c r="AP75" t="s">
        <v>137</v>
      </c>
      <c r="AS75" t="s">
        <v>396</v>
      </c>
      <c r="JZ75" s="27" t="str">
        <f t="shared" si="151"/>
        <v>XT55</v>
      </c>
      <c r="KC75" t="str">
        <f t="shared" si="152"/>
        <v>F0-AI6-9B</v>
      </c>
      <c r="KD75" t="str">
        <f t="shared" si="153"/>
        <v>F0-AI6-10B</v>
      </c>
      <c r="KI75" cm="1">
        <f t="array" ref="KI75">IF(COUNTIFS($U$2:$U75,$U75)=1,1,INDEX(KI:KI,_xlfn.XMATCH(U75,U$1:U74,0,-1))+COUNT(KI74:KM74))</f>
        <v>62</v>
      </c>
      <c r="KJ75">
        <f t="shared" ref="KJ75:KK75" si="174">KI75+1</f>
        <v>63</v>
      </c>
      <c r="KK75">
        <f t="shared" si="174"/>
        <v>64</v>
      </c>
      <c r="KN75">
        <v>1</v>
      </c>
      <c r="KO75" s="16">
        <v>2</v>
      </c>
      <c r="KS75" s="16"/>
    </row>
    <row r="76" spans="1:305" x14ac:dyDescent="0.25">
      <c r="A76" t="s">
        <v>566</v>
      </c>
      <c r="B76" t="s">
        <v>565</v>
      </c>
      <c r="C76" t="s">
        <v>531</v>
      </c>
      <c r="P76" t="s">
        <v>503</v>
      </c>
      <c r="T76" s="14" t="s">
        <v>554</v>
      </c>
      <c r="U76">
        <v>55</v>
      </c>
      <c r="V76" t="s">
        <v>580</v>
      </c>
      <c r="X76" t="str">
        <f>IF(COUNTIF(X$1:X75,X75)&gt;7,REPLACE(X75,LEN(X75),1,VALUE(RIGHT(X75,1))+1),X75)</f>
        <v>A3.6</v>
      </c>
      <c r="Y76" s="43" cm="1">
        <f t="array" ref="Y76">IF(COUNTIFS($X$2:$X76,$X76)=1,"1",VALUE(SUBSTITUTE(INDEX(Y:Y,_xlfn.XMATCH($X76,$X$1:$X75,0,-1)),"A",""))+INDEX(Z:Z,_xlfn.XMATCH($X76,$X$1:$X75,0,-1))+1)</f>
        <v>6</v>
      </c>
      <c r="Z76" s="43" cm="1">
        <f t="array" ref="Z76">SUM(IF(ISNUMBER(FIND("TmAi",$BE$1:$AAL$1)),IF(IFERROR(ISODD(SUBSTITUTE($BE76:$AAL76,"A","")),FALSE),IF(ISODD(SUBSTITUTE($BE76:$AAL76,"A","")),1,0),0)))</f>
        <v>0</v>
      </c>
      <c r="AA76" t="str">
        <f>CONCATENATE($Y76*2-1,"A")</f>
        <v>11A</v>
      </c>
      <c r="AB76" t="str">
        <f>CONCATENATE($Y76*2-1,"B")</f>
        <v>11B</v>
      </c>
      <c r="AP76" t="s">
        <v>137</v>
      </c>
      <c r="AS76" t="s">
        <v>396</v>
      </c>
      <c r="JZ76" s="27" t="str">
        <f t="shared" si="151"/>
        <v>XT55</v>
      </c>
      <c r="KC76" t="str">
        <f t="shared" si="152"/>
        <v>F0-AI6-11A</v>
      </c>
      <c r="KD76" t="str">
        <f t="shared" si="153"/>
        <v>F0-AI6-11B</v>
      </c>
      <c r="KG76" t="s">
        <v>488</v>
      </c>
      <c r="KH76" t="s">
        <v>487</v>
      </c>
      <c r="KI76" cm="1">
        <f t="array" ref="KI76">IF(COUNTIFS($U$2:$U76,$U76)=1,1,INDEX(KI:KI,_xlfn.XMATCH(U76,U$1:U75,0,-1))+COUNT(KI75:KM75))</f>
        <v>65</v>
      </c>
      <c r="KJ76">
        <f t="shared" ref="KJ76:KM76" si="175">KI76+1</f>
        <v>66</v>
      </c>
      <c r="KK76">
        <f t="shared" si="175"/>
        <v>67</v>
      </c>
      <c r="KL76">
        <f t="shared" si="175"/>
        <v>68</v>
      </c>
      <c r="KM76">
        <f t="shared" si="175"/>
        <v>69</v>
      </c>
      <c r="KN76" t="s">
        <v>547</v>
      </c>
      <c r="KO76" s="16" t="s">
        <v>548</v>
      </c>
      <c r="KP76" t="s">
        <v>547</v>
      </c>
      <c r="KQ76" t="s">
        <v>548</v>
      </c>
      <c r="KR76" t="s">
        <v>551</v>
      </c>
      <c r="KS76" s="16" t="s">
        <v>552</v>
      </c>
    </row>
    <row r="77" spans="1:305" x14ac:dyDescent="0.25">
      <c r="A77" t="s">
        <v>568</v>
      </c>
      <c r="B77" t="s">
        <v>567</v>
      </c>
      <c r="C77" t="s">
        <v>498</v>
      </c>
      <c r="P77" t="s">
        <v>482</v>
      </c>
      <c r="T77" s="14" t="s">
        <v>554</v>
      </c>
      <c r="U77">
        <v>55</v>
      </c>
      <c r="V77" t="s">
        <v>581</v>
      </c>
      <c r="X77" t="str">
        <f>IF(COUNTIF(X$1:X76,X76)&gt;7,REPLACE(X76,LEN(X76),1,VALUE(RIGHT(X76,1))+1),X76)</f>
        <v>A3.6</v>
      </c>
      <c r="Y77" s="43" cm="1">
        <f t="array" ref="Y77">IF(COUNTIFS($X$2:$X77,$X77)=1,"1",VALUE(SUBSTITUTE(INDEX(Y:Y,_xlfn.XMATCH($X77,$X$1:$X76,0,-1)),"A",""))+INDEX(Z:Z,_xlfn.XMATCH($X77,$X$1:$X76,0,-1))+1)</f>
        <v>7</v>
      </c>
      <c r="Z77" s="43" cm="1">
        <f t="array" ref="Z77">SUM(IF(ISNUMBER(FIND("TmAi",$BE$1:$AAL$1)),IF(IFERROR(ISODD(SUBSTITUTE($BE77:$AAL77,"A","")),FALSE),IF(ISODD(SUBSTITUTE($BE77:$AAL77,"A","")),1,0),0)))</f>
        <v>0</v>
      </c>
      <c r="AA77" t="str">
        <f t="shared" ref="AA77:AA88" si="176">CONCATENATE($Y77*2-1,"B")</f>
        <v>13B</v>
      </c>
      <c r="AB77" t="str">
        <f t="shared" ref="AB77:AB88" si="177">CONCATENATE($Y77*2,"B")</f>
        <v>14B</v>
      </c>
      <c r="AP77" t="s">
        <v>137</v>
      </c>
      <c r="AS77" t="s">
        <v>396</v>
      </c>
      <c r="JZ77" s="27" t="str">
        <f t="shared" si="151"/>
        <v>XT55</v>
      </c>
      <c r="KC77" t="str">
        <f t="shared" si="152"/>
        <v>F0-AI6-13B</v>
      </c>
      <c r="KD77" t="str">
        <f t="shared" si="153"/>
        <v>F0-AI6-14B</v>
      </c>
      <c r="KI77" cm="1">
        <f t="array" ref="KI77">IF(COUNTIFS($U$2:$U77,$U77)=1,1,INDEX(KI:KI,_xlfn.XMATCH(U77,U$1:U76,0,-1))+COUNT(KI76:KM76))</f>
        <v>70</v>
      </c>
      <c r="KJ77">
        <f t="shared" ref="KJ77:KK77" si="178">KI77+1</f>
        <v>71</v>
      </c>
      <c r="KK77">
        <f t="shared" si="178"/>
        <v>72</v>
      </c>
      <c r="KN77">
        <v>1</v>
      </c>
      <c r="KO77" s="16">
        <v>2</v>
      </c>
      <c r="KS77" s="16"/>
    </row>
    <row r="78" spans="1:305" x14ac:dyDescent="0.25">
      <c r="A78" t="s">
        <v>570</v>
      </c>
      <c r="B78" s="33" t="s">
        <v>569</v>
      </c>
      <c r="C78" t="s">
        <v>492</v>
      </c>
      <c r="P78" t="s">
        <v>482</v>
      </c>
      <c r="T78" s="14" t="s">
        <v>554</v>
      </c>
      <c r="U78">
        <v>55</v>
      </c>
      <c r="V78" t="s">
        <v>582</v>
      </c>
      <c r="X78" t="str">
        <f>IF(COUNTIF(X$1:X77,X77)&gt;7,REPLACE(X77,LEN(X77),1,VALUE(RIGHT(X77,1))+1),X77)</f>
        <v>A3.6</v>
      </c>
      <c r="Y78" s="43" cm="1">
        <f t="array" ref="Y78">IF(COUNTIFS($X$2:$X78,$X78)=1,"1",VALUE(SUBSTITUTE(INDEX(Y:Y,_xlfn.XMATCH($X78,$X$1:$X77,0,-1)),"A",""))+INDEX(Z:Z,_xlfn.XMATCH($X78,$X$1:$X77,0,-1))+1)</f>
        <v>8</v>
      </c>
      <c r="Z78" s="43" cm="1">
        <f t="array" ref="Z78">SUM(IF(ISNUMBER(FIND("TmAi",$BE$1:$AAL$1)),IF(IFERROR(ISODD(SUBSTITUTE($BE78:$AAL78,"A","")),FALSE),IF(ISODD(SUBSTITUTE($BE78:$AAL78,"A","")),1,0),0)))</f>
        <v>0</v>
      </c>
      <c r="AA78" t="str">
        <f t="shared" si="176"/>
        <v>15B</v>
      </c>
      <c r="AB78" t="str">
        <f t="shared" si="177"/>
        <v>16B</v>
      </c>
      <c r="AP78" t="s">
        <v>137</v>
      </c>
      <c r="AS78" t="s">
        <v>396</v>
      </c>
      <c r="JZ78" s="27" t="str">
        <f t="shared" si="151"/>
        <v>XT55</v>
      </c>
      <c r="KC78" t="str">
        <f t="shared" si="152"/>
        <v>F0-AI6-15B</v>
      </c>
      <c r="KD78" t="str">
        <f t="shared" si="153"/>
        <v>F0-AI6-16B</v>
      </c>
      <c r="KI78" cm="1">
        <f t="array" ref="KI78">IF(COUNTIFS($U$2:$U78,$U78)=1,1,INDEX(KI:KI,_xlfn.XMATCH(U78,U$1:U77,0,-1))+COUNT(KI77:KM77))</f>
        <v>73</v>
      </c>
      <c r="KJ78">
        <f t="shared" ref="KJ78:KK78" si="179">KI78+1</f>
        <v>74</v>
      </c>
      <c r="KK78">
        <f t="shared" si="179"/>
        <v>75</v>
      </c>
      <c r="KN78">
        <v>1</v>
      </c>
      <c r="KO78" s="16">
        <v>2</v>
      </c>
      <c r="KS78" s="16"/>
    </row>
    <row r="79" spans="1:305" x14ac:dyDescent="0.25">
      <c r="A79" t="s">
        <v>572</v>
      </c>
      <c r="B79" t="s">
        <v>571</v>
      </c>
      <c r="C79" t="s">
        <v>492</v>
      </c>
      <c r="P79" t="s">
        <v>482</v>
      </c>
      <c r="T79" s="14" t="s">
        <v>554</v>
      </c>
      <c r="U79">
        <v>55</v>
      </c>
      <c r="V79" t="s">
        <v>583</v>
      </c>
      <c r="X79" t="str">
        <f>IF(COUNTIF(X$1:X78,X78)&gt;7,REPLACE(X78,LEN(X78),1,VALUE(RIGHT(X78,1))+1),X78)</f>
        <v>A3.7</v>
      </c>
      <c r="Y79" s="43" t="str" cm="1">
        <f t="array" ref="Y79">IF(COUNTIFS($X$2:$X79,$X79)=1,"1",VALUE(SUBSTITUTE(INDEX(Y:Y,_xlfn.XMATCH($X79,$X$1:$X78,0,-1)),"A",""))+INDEX(Z:Z,_xlfn.XMATCH($X79,$X$1:$X78,0,-1))+1)</f>
        <v>1</v>
      </c>
      <c r="Z79" s="43" cm="1">
        <f t="array" ref="Z79">SUM(IF(ISNUMBER(FIND("TmAi",$BE$1:$AAL$1)),IF(IFERROR(ISODD(SUBSTITUTE($BE79:$AAL79,"A","")),FALSE),IF(ISODD(SUBSTITUTE($BE79:$AAL79,"A","")),1,0),0)))</f>
        <v>0</v>
      </c>
      <c r="AA79" t="str">
        <f t="shared" si="176"/>
        <v>1B</v>
      </c>
      <c r="AB79" t="str">
        <f t="shared" si="177"/>
        <v>2B</v>
      </c>
      <c r="AP79" t="s">
        <v>137</v>
      </c>
      <c r="AS79" t="s">
        <v>396</v>
      </c>
      <c r="JZ79" s="27" t="str">
        <f t="shared" si="151"/>
        <v>XT55</v>
      </c>
      <c r="KC79" t="str">
        <f t="shared" si="152"/>
        <v>F0-AI7-1B</v>
      </c>
      <c r="KD79" t="str">
        <f t="shared" si="153"/>
        <v>F0-AI7-2B</v>
      </c>
      <c r="KI79" cm="1">
        <f t="array" ref="KI79">IF(COUNTIFS($U$2:$U79,$U79)=1,1,INDEX(KI:KI,_xlfn.XMATCH(U79,U$1:U78,0,-1))+COUNT(KI78:KM78))</f>
        <v>76</v>
      </c>
      <c r="KJ79">
        <f t="shared" ref="KJ79:KK79" si="180">KI79+1</f>
        <v>77</v>
      </c>
      <c r="KK79">
        <f t="shared" si="180"/>
        <v>78</v>
      </c>
      <c r="KN79">
        <v>1</v>
      </c>
      <c r="KO79" s="16">
        <v>2</v>
      </c>
      <c r="KS79" s="16"/>
    </row>
    <row r="80" spans="1:305" x14ac:dyDescent="0.25">
      <c r="A80" t="s">
        <v>574</v>
      </c>
      <c r="B80" t="s">
        <v>573</v>
      </c>
      <c r="C80" t="s">
        <v>498</v>
      </c>
      <c r="P80" t="s">
        <v>482</v>
      </c>
      <c r="T80" s="14" t="s">
        <v>554</v>
      </c>
      <c r="U80">
        <v>55</v>
      </c>
      <c r="V80" t="s">
        <v>584</v>
      </c>
      <c r="X80" t="str">
        <f>IF(COUNTIF(X$1:X79,X79)&gt;7,REPLACE(X79,LEN(X79),1,VALUE(RIGHT(X79,1))+1),X79)</f>
        <v>A3.7</v>
      </c>
      <c r="Y80" s="43" cm="1">
        <f t="array" ref="Y80">IF(COUNTIFS($X$2:$X80,$X80)=1,"1",VALUE(SUBSTITUTE(INDEX(Y:Y,_xlfn.XMATCH($X80,$X$1:$X79,0,-1)),"A",""))+INDEX(Z:Z,_xlfn.XMATCH($X80,$X$1:$X79,0,-1))+1)</f>
        <v>2</v>
      </c>
      <c r="Z80" s="43" cm="1">
        <f t="array" ref="Z80">SUM(IF(ISNUMBER(FIND("TmAi",$BE$1:$AAL$1)),IF(IFERROR(ISODD(SUBSTITUTE($BE80:$AAL80,"A","")),FALSE),IF(ISODD(SUBSTITUTE($BE80:$AAL80,"A","")),1,0),0)))</f>
        <v>0</v>
      </c>
      <c r="AA80" t="str">
        <f t="shared" si="176"/>
        <v>3B</v>
      </c>
      <c r="AB80" t="str">
        <f t="shared" si="177"/>
        <v>4B</v>
      </c>
      <c r="AP80" t="s">
        <v>137</v>
      </c>
      <c r="AS80" t="s">
        <v>396</v>
      </c>
      <c r="JZ80" s="27" t="str">
        <f t="shared" si="151"/>
        <v>XT55</v>
      </c>
      <c r="KC80" t="str">
        <f t="shared" si="152"/>
        <v>F0-AI7-3B</v>
      </c>
      <c r="KD80" t="str">
        <f t="shared" si="153"/>
        <v>F0-AI7-4B</v>
      </c>
      <c r="KI80" cm="1">
        <f t="array" ref="KI80">IF(COUNTIFS($U$2:$U80,$U80)=1,1,INDEX(KI:KI,_xlfn.XMATCH(U80,U$1:U79,0,-1))+COUNT(KI79:KM79))</f>
        <v>79</v>
      </c>
      <c r="KJ80">
        <f t="shared" ref="KJ80:KK80" si="181">KI80+1</f>
        <v>80</v>
      </c>
      <c r="KK80">
        <f t="shared" si="181"/>
        <v>81</v>
      </c>
      <c r="KN80">
        <v>1</v>
      </c>
      <c r="KO80" s="16">
        <v>2</v>
      </c>
      <c r="KS80" s="16"/>
    </row>
    <row r="81" spans="1:305" x14ac:dyDescent="0.25">
      <c r="A81" t="s">
        <v>576</v>
      </c>
      <c r="B81" t="s">
        <v>575</v>
      </c>
      <c r="C81" t="s">
        <v>492</v>
      </c>
      <c r="P81" t="s">
        <v>482</v>
      </c>
      <c r="T81" s="14" t="s">
        <v>554</v>
      </c>
      <c r="U81">
        <v>55</v>
      </c>
      <c r="V81" t="s">
        <v>585</v>
      </c>
      <c r="X81" s="33" t="str">
        <f>IF(COUNTIF(X$1:X80,X80)&gt;7,REPLACE(X80,LEN(X80),1,VALUE(RIGHT(X80,1))+1),X80)</f>
        <v>A3.7</v>
      </c>
      <c r="Y81" s="45" cm="1">
        <f t="array" ref="Y81">IF(COUNTIFS($X$2:$X81,$X81)=1,"1",VALUE(SUBSTITUTE(INDEX(Y:Y,_xlfn.XMATCH($X81,$X$1:$X80,0,-1)),"A",""))+INDEX(Z:Z,_xlfn.XMATCH($X81,$X$1:$X80,0,-1))+1)</f>
        <v>3</v>
      </c>
      <c r="Z81" s="43" cm="1">
        <f t="array" ref="Z81">SUM(IF(ISNUMBER(FIND("TmAi",$BE$1:$AAL$1)),IF(IFERROR(ISODD(SUBSTITUTE($BE81:$AAL81,"A","")),FALSE),IF(ISODD(SUBSTITUTE($BE81:$AAL81,"A","")),1,0),0)))</f>
        <v>0</v>
      </c>
      <c r="AA81" t="str">
        <f t="shared" si="176"/>
        <v>5B</v>
      </c>
      <c r="AB81" t="str">
        <f t="shared" si="177"/>
        <v>6B</v>
      </c>
      <c r="AP81" t="s">
        <v>137</v>
      </c>
      <c r="AS81" t="s">
        <v>396</v>
      </c>
      <c r="JZ81" s="27" t="str">
        <f t="shared" si="151"/>
        <v>XT55</v>
      </c>
      <c r="KC81" t="str">
        <f t="shared" si="152"/>
        <v>F0-AI7-5B</v>
      </c>
      <c r="KD81" t="str">
        <f t="shared" si="153"/>
        <v>F0-AI7-6B</v>
      </c>
      <c r="KI81" cm="1">
        <f t="array" ref="KI81">IF(COUNTIFS($U$2:$U81,$U81)=1,1,INDEX(KI:KI,_xlfn.XMATCH(U81,U$1:U80,0,-1))+COUNT(KI80:KM80))</f>
        <v>82</v>
      </c>
      <c r="KJ81">
        <f t="shared" ref="KJ81:KK81" si="182">KI81+1</f>
        <v>83</v>
      </c>
      <c r="KK81">
        <f t="shared" si="182"/>
        <v>84</v>
      </c>
      <c r="KN81">
        <v>1</v>
      </c>
      <c r="KO81" s="16">
        <v>2</v>
      </c>
      <c r="KS81" s="16"/>
    </row>
    <row r="82" spans="1:305" x14ac:dyDescent="0.25">
      <c r="A82" t="s">
        <v>587</v>
      </c>
      <c r="B82" t="s">
        <v>586</v>
      </c>
      <c r="C82" t="s">
        <v>498</v>
      </c>
      <c r="P82" t="s">
        <v>482</v>
      </c>
      <c r="T82" s="14" t="s">
        <v>554</v>
      </c>
      <c r="U82">
        <v>55</v>
      </c>
      <c r="V82" t="s">
        <v>588</v>
      </c>
      <c r="X82" t="str">
        <f>IF(COUNTIF(X$1:X81,X81)&gt;7,REPLACE(X81,LEN(X81),1,VALUE(RIGHT(X81,1))+1),X81)</f>
        <v>A3.7</v>
      </c>
      <c r="Y82" s="43" cm="1">
        <f t="array" ref="Y82">IF(COUNTIFS($X$2:$X82,$X82)=1,"1",VALUE(SUBSTITUTE(INDEX(Y:Y,_xlfn.XMATCH($X82,$X$1:$X81,0,-1)),"A",""))+INDEX(Z:Z,_xlfn.XMATCH($X82,$X$1:$X81,0,-1))+1)</f>
        <v>4</v>
      </c>
      <c r="Z82" s="43" cm="1">
        <f t="array" ref="Z82">SUM(IF(ISNUMBER(FIND("TmAi",$BE$1:$AAL$1)),IF(IFERROR(ISODD(SUBSTITUTE($BE82:$AAL82,"A","")),FALSE),IF(ISODD(SUBSTITUTE($BE82:$AAL82,"A","")),1,0),0)))</f>
        <v>0</v>
      </c>
      <c r="AA82" t="str">
        <f t="shared" si="176"/>
        <v>7B</v>
      </c>
      <c r="AB82" t="str">
        <f t="shared" si="177"/>
        <v>8B</v>
      </c>
      <c r="AP82" t="s">
        <v>137</v>
      </c>
      <c r="AS82" t="s">
        <v>396</v>
      </c>
      <c r="JZ82" s="27" t="str">
        <f t="shared" si="151"/>
        <v>XT55</v>
      </c>
      <c r="KC82" t="str">
        <f t="shared" si="152"/>
        <v>F0-AI7-7B</v>
      </c>
      <c r="KD82" t="str">
        <f t="shared" si="153"/>
        <v>F0-AI7-8B</v>
      </c>
      <c r="KI82" cm="1">
        <f t="array" ref="KI82">IF(COUNTIFS($U$2:$U82,$U82)=1,1,INDEX(KI:KI,_xlfn.XMATCH(U82,U$1:U81,0,-1))+COUNT(KI81:KM81))</f>
        <v>85</v>
      </c>
      <c r="KJ82">
        <f t="shared" ref="KJ82:KK82" si="183">KI82+1</f>
        <v>86</v>
      </c>
      <c r="KK82">
        <f t="shared" si="183"/>
        <v>87</v>
      </c>
      <c r="KN82">
        <v>1</v>
      </c>
      <c r="KO82" s="16">
        <v>2</v>
      </c>
      <c r="KS82" s="16"/>
    </row>
    <row r="83" spans="1:305" x14ac:dyDescent="0.25">
      <c r="A83" t="s">
        <v>590</v>
      </c>
      <c r="B83" t="s">
        <v>589</v>
      </c>
      <c r="C83" t="s">
        <v>498</v>
      </c>
      <c r="P83" t="s">
        <v>482</v>
      </c>
      <c r="T83" s="14" t="s">
        <v>554</v>
      </c>
      <c r="U83">
        <v>55</v>
      </c>
      <c r="V83" t="s">
        <v>601</v>
      </c>
      <c r="X83" t="s">
        <v>2329</v>
      </c>
      <c r="Y83" s="43" t="str" cm="1">
        <f t="array" ref="Y83">IF(COUNTIFS($X$2:$X83,$X83)=1,"1",VALUE(SUBSTITUTE(INDEX(Y:Y,_xlfn.XMATCH($X83,$X$1:$X82,0,-1)),"A",""))+INDEX(Z:Z,_xlfn.XMATCH($X83,$X$1:$X82,0,-1))+1)</f>
        <v>1</v>
      </c>
      <c r="Z83" s="43" cm="1">
        <f t="array" ref="Z83">SUM(IF(ISNUMBER(FIND("TmAi",$BE$1:$AAL$1)),IF(IFERROR(ISODD(SUBSTITUTE($BE83:$AAL83,"A","")),FALSE),IF(ISODD(SUBSTITUTE($BE83:$AAL83,"A","")),1,0),0)))</f>
        <v>0</v>
      </c>
      <c r="AA83" t="str">
        <f t="shared" si="176"/>
        <v>1B</v>
      </c>
      <c r="AB83" t="str">
        <f t="shared" si="177"/>
        <v>2B</v>
      </c>
      <c r="AP83" t="s">
        <v>137</v>
      </c>
      <c r="AS83" t="s">
        <v>396</v>
      </c>
      <c r="JZ83" s="27" t="str">
        <f t="shared" si="151"/>
        <v>XT55</v>
      </c>
      <c r="KC83" t="str">
        <f t="shared" si="152"/>
        <v>F0-AI8-1B</v>
      </c>
      <c r="KD83" t="str">
        <f t="shared" si="153"/>
        <v>F0-AI8-2B</v>
      </c>
      <c r="KI83" cm="1">
        <f t="array" ref="KI83">IF(COUNTIFS($U$2:$U83,$U83)=1,1,INDEX(KI:KI,_xlfn.XMATCH(U83,U$1:U82,0,-1))+COUNT(KI82:KM82))</f>
        <v>88</v>
      </c>
      <c r="KJ83">
        <f t="shared" ref="KJ83:KK83" si="184">KI83+1</f>
        <v>89</v>
      </c>
      <c r="KK83">
        <f t="shared" si="184"/>
        <v>90</v>
      </c>
      <c r="KN83">
        <v>1</v>
      </c>
      <c r="KO83" s="16">
        <v>2</v>
      </c>
      <c r="KS83" s="16"/>
    </row>
    <row r="84" spans="1:305" x14ac:dyDescent="0.25">
      <c r="A84" t="s">
        <v>592</v>
      </c>
      <c r="B84" t="s">
        <v>591</v>
      </c>
      <c r="C84" t="s">
        <v>498</v>
      </c>
      <c r="P84" t="s">
        <v>482</v>
      </c>
      <c r="T84" s="14" t="s">
        <v>554</v>
      </c>
      <c r="U84">
        <v>55</v>
      </c>
      <c r="V84" t="s">
        <v>602</v>
      </c>
      <c r="X84" t="str">
        <f>IF(COUNTIF(X$1:X83,X83)&gt;7,REPLACE(X83,LEN(X83),1,VALUE(RIGHT(X83,1))+1),X83)</f>
        <v>A3.8</v>
      </c>
      <c r="Y84" s="43" cm="1">
        <f t="array" ref="Y84">IF(COUNTIFS($X$2:$X84,$X84)=1,"1",VALUE(SUBSTITUTE(INDEX(Y:Y,_xlfn.XMATCH($X84,$X$1:$X83,0,-1)),"A",""))+INDEX(Z:Z,_xlfn.XMATCH($X84,$X$1:$X83,0,-1))+1)</f>
        <v>2</v>
      </c>
      <c r="Z84" s="43" cm="1">
        <f t="array" ref="Z84">SUM(IF(ISNUMBER(FIND("TmAi",$BE$1:$AAL$1)),IF(IFERROR(ISODD(SUBSTITUTE($BE84:$AAL84,"A","")),FALSE),IF(ISODD(SUBSTITUTE($BE84:$AAL84,"A","")),1,0),0)))</f>
        <v>0</v>
      </c>
      <c r="AA84" t="str">
        <f t="shared" si="176"/>
        <v>3B</v>
      </c>
      <c r="AB84" t="str">
        <f t="shared" si="177"/>
        <v>4B</v>
      </c>
      <c r="AP84" t="s">
        <v>137</v>
      </c>
      <c r="AS84" t="s">
        <v>396</v>
      </c>
      <c r="JZ84" s="27" t="str">
        <f t="shared" si="151"/>
        <v>XT55</v>
      </c>
      <c r="KC84" t="str">
        <f t="shared" si="152"/>
        <v>F0-AI8-3B</v>
      </c>
      <c r="KD84" t="str">
        <f t="shared" si="153"/>
        <v>F0-AI8-4B</v>
      </c>
      <c r="KI84" cm="1">
        <f t="array" ref="KI84">IF(COUNTIFS($U$2:$U84,$U84)=1,1,INDEX(KI:KI,_xlfn.XMATCH(U84,U$1:U83,0,-1))+COUNT(KI83:KM83))</f>
        <v>91</v>
      </c>
      <c r="KJ84">
        <f t="shared" ref="KJ84:KK84" si="185">KI84+1</f>
        <v>92</v>
      </c>
      <c r="KK84">
        <f t="shared" si="185"/>
        <v>93</v>
      </c>
      <c r="KN84">
        <v>1</v>
      </c>
      <c r="KO84" s="16">
        <v>2</v>
      </c>
      <c r="KS84" s="16"/>
    </row>
    <row r="85" spans="1:305" x14ac:dyDescent="0.25">
      <c r="A85" t="s">
        <v>597</v>
      </c>
      <c r="B85" t="s">
        <v>593</v>
      </c>
      <c r="C85" t="s">
        <v>498</v>
      </c>
      <c r="P85" t="s">
        <v>482</v>
      </c>
      <c r="T85" s="14" t="s">
        <v>554</v>
      </c>
      <c r="U85">
        <v>55</v>
      </c>
      <c r="V85" t="s">
        <v>603</v>
      </c>
      <c r="X85" t="str">
        <f>IF(COUNTIF(X$1:X84,X84)&gt;7,REPLACE(X84,LEN(X84),1,VALUE(RIGHT(X84,1))+1),X84)</f>
        <v>A3.8</v>
      </c>
      <c r="Y85" s="43" cm="1">
        <f t="array" ref="Y85">IF(COUNTIFS($X$2:$X85,$X85)=1,"1",VALUE(SUBSTITUTE(INDEX(Y:Y,_xlfn.XMATCH($X85,$X$1:$X84,0,-1)),"A",""))+INDEX(Z:Z,_xlfn.XMATCH($X85,$X$1:$X84,0,-1))+1)</f>
        <v>3</v>
      </c>
      <c r="Z85" s="43" cm="1">
        <f t="array" ref="Z85">SUM(IF(ISNUMBER(FIND("TmAi",$BE$1:$AAL$1)),IF(IFERROR(ISODD(SUBSTITUTE($BE85:$AAL85,"A","")),FALSE),IF(ISODD(SUBSTITUTE($BE85:$AAL85,"A","")),1,0),0)))</f>
        <v>0</v>
      </c>
      <c r="AA85" t="str">
        <f t="shared" si="176"/>
        <v>5B</v>
      </c>
      <c r="AB85" t="str">
        <f t="shared" si="177"/>
        <v>6B</v>
      </c>
      <c r="AP85" t="s">
        <v>137</v>
      </c>
      <c r="AS85" t="s">
        <v>396</v>
      </c>
      <c r="JZ85" s="27" t="str">
        <f t="shared" si="151"/>
        <v>XT55</v>
      </c>
      <c r="KC85" t="str">
        <f t="shared" si="152"/>
        <v>F0-AI8-5B</v>
      </c>
      <c r="KD85" t="str">
        <f t="shared" si="153"/>
        <v>F0-AI8-6B</v>
      </c>
      <c r="KI85" cm="1">
        <f t="array" ref="KI85">IF(COUNTIFS($U$2:$U85,$U85)=1,1,INDEX(KI:KI,_xlfn.XMATCH(U85,U$1:U84,0,-1))+COUNT(KI84:KM84))</f>
        <v>94</v>
      </c>
      <c r="KJ85">
        <f t="shared" ref="KJ85:KK85" si="186">KI85+1</f>
        <v>95</v>
      </c>
      <c r="KK85">
        <f t="shared" si="186"/>
        <v>96</v>
      </c>
      <c r="KN85">
        <v>1</v>
      </c>
      <c r="KO85" s="16">
        <v>2</v>
      </c>
      <c r="KS85" s="16"/>
    </row>
    <row r="86" spans="1:305" x14ac:dyDescent="0.25">
      <c r="A86" t="s">
        <v>598</v>
      </c>
      <c r="B86" t="s">
        <v>594</v>
      </c>
      <c r="C86" t="s">
        <v>498</v>
      </c>
      <c r="P86" t="s">
        <v>482</v>
      </c>
      <c r="T86" s="14" t="s">
        <v>554</v>
      </c>
      <c r="U86">
        <v>55</v>
      </c>
      <c r="V86" t="s">
        <v>604</v>
      </c>
      <c r="X86" t="str">
        <f>IF(COUNTIF(X$1:X85,X85)&gt;7,REPLACE(X85,LEN(X85),1,VALUE(RIGHT(X85,1))+1),X85)</f>
        <v>A3.8</v>
      </c>
      <c r="Y86" s="43" cm="1">
        <f t="array" ref="Y86">IF(COUNTIFS($X$2:$X86,$X86)=1,"1",VALUE(SUBSTITUTE(INDEX(Y:Y,_xlfn.XMATCH($X86,$X$1:$X85,0,-1)),"A",""))+INDEX(Z:Z,_xlfn.XMATCH($X86,$X$1:$X85,0,-1))+1)</f>
        <v>4</v>
      </c>
      <c r="Z86" s="43" cm="1">
        <f t="array" ref="Z86">SUM(IF(ISNUMBER(FIND("TmAi",$BE$1:$AAL$1)),IF(IFERROR(ISODD(SUBSTITUTE($BE86:$AAL86,"A","")),FALSE),IF(ISODD(SUBSTITUTE($BE86:$AAL86,"A","")),1,0),0)))</f>
        <v>0</v>
      </c>
      <c r="AA86" t="str">
        <f t="shared" si="176"/>
        <v>7B</v>
      </c>
      <c r="AB86" t="str">
        <f t="shared" si="177"/>
        <v>8B</v>
      </c>
      <c r="AP86" t="s">
        <v>137</v>
      </c>
      <c r="AS86" t="s">
        <v>396</v>
      </c>
      <c r="JZ86" s="27" t="str">
        <f t="shared" si="151"/>
        <v>XT55</v>
      </c>
      <c r="KC86" t="str">
        <f t="shared" si="152"/>
        <v>F0-AI8-7B</v>
      </c>
      <c r="KD86" t="str">
        <f t="shared" si="153"/>
        <v>F0-AI8-8B</v>
      </c>
      <c r="KI86" cm="1">
        <f t="array" ref="KI86">IF(COUNTIFS($U$2:$U86,$U86)=1,1,INDEX(KI:KI,_xlfn.XMATCH(U86,U$1:U85,0,-1))+COUNT(KI85:KM85))</f>
        <v>97</v>
      </c>
      <c r="KJ86">
        <f t="shared" ref="KJ86:KK86" si="187">KI86+1</f>
        <v>98</v>
      </c>
      <c r="KK86">
        <f t="shared" si="187"/>
        <v>99</v>
      </c>
      <c r="KN86">
        <v>1</v>
      </c>
      <c r="KO86" s="16">
        <v>2</v>
      </c>
      <c r="KS86" s="16"/>
    </row>
    <row r="87" spans="1:305" x14ac:dyDescent="0.25">
      <c r="A87" t="s">
        <v>599</v>
      </c>
      <c r="B87" t="s">
        <v>595</v>
      </c>
      <c r="C87" t="s">
        <v>498</v>
      </c>
      <c r="P87" t="s">
        <v>482</v>
      </c>
      <c r="T87" s="14" t="s">
        <v>554</v>
      </c>
      <c r="U87">
        <v>55</v>
      </c>
      <c r="V87" t="s">
        <v>605</v>
      </c>
      <c r="X87" t="str">
        <f>IF(COUNTIF(X$1:X86,X86)&gt;7,REPLACE(X86,LEN(X86),1,VALUE(RIGHT(X86,1))+1),X86)</f>
        <v>A3.8</v>
      </c>
      <c r="Y87" s="43" cm="1">
        <f t="array" ref="Y87">IF(COUNTIFS($X$2:$X87,$X87)=1,"1",VALUE(SUBSTITUTE(INDEX(Y:Y,_xlfn.XMATCH($X87,$X$1:$X86,0,-1)),"A",""))+INDEX(Z:Z,_xlfn.XMATCH($X87,$X$1:$X86,0,-1))+1)</f>
        <v>5</v>
      </c>
      <c r="Z87" s="43" cm="1">
        <f t="array" ref="Z87">SUM(IF(ISNUMBER(FIND("TmAi",$BE$1:$AAL$1)),IF(IFERROR(ISODD(SUBSTITUTE($BE87:$AAL87,"A","")),FALSE),IF(ISODD(SUBSTITUTE($BE87:$AAL87,"A","")),1,0),0)))</f>
        <v>0</v>
      </c>
      <c r="AA87" t="str">
        <f t="shared" si="176"/>
        <v>9B</v>
      </c>
      <c r="AB87" t="str">
        <f t="shared" si="177"/>
        <v>10B</v>
      </c>
      <c r="AP87" t="s">
        <v>137</v>
      </c>
      <c r="AS87" t="s">
        <v>396</v>
      </c>
      <c r="JZ87" s="27" t="str">
        <f t="shared" si="151"/>
        <v>XT55</v>
      </c>
      <c r="KC87" t="str">
        <f t="shared" si="152"/>
        <v>F0-AI8-9B</v>
      </c>
      <c r="KD87" t="str">
        <f t="shared" si="153"/>
        <v>F0-AI8-10B</v>
      </c>
      <c r="KI87" cm="1">
        <f t="array" ref="KI87">IF(COUNTIFS($U$2:$U87,$U87)=1,1,INDEX(KI:KI,_xlfn.XMATCH(U87,U$1:U86,0,-1))+COUNT(KI86:KM86))</f>
        <v>100</v>
      </c>
      <c r="KJ87">
        <f t="shared" ref="KJ87:KK87" si="188">KI87+1</f>
        <v>101</v>
      </c>
      <c r="KK87">
        <f t="shared" si="188"/>
        <v>102</v>
      </c>
      <c r="KN87">
        <v>1</v>
      </c>
      <c r="KO87" s="16">
        <v>2</v>
      </c>
      <c r="KS87" s="16"/>
    </row>
    <row r="88" spans="1:305" x14ac:dyDescent="0.25">
      <c r="A88" t="s">
        <v>600</v>
      </c>
      <c r="B88" t="s">
        <v>596</v>
      </c>
      <c r="C88" t="s">
        <v>498</v>
      </c>
      <c r="P88" t="s">
        <v>482</v>
      </c>
      <c r="T88" s="14" t="s">
        <v>554</v>
      </c>
      <c r="U88">
        <v>55</v>
      </c>
      <c r="V88" t="s">
        <v>606</v>
      </c>
      <c r="X88" t="str">
        <f>IF(COUNTIF(X$1:X87,X87)&gt;7,REPLACE(X87,LEN(X87),1,VALUE(RIGHT(X87,1))+1),X87)</f>
        <v>A3.8</v>
      </c>
      <c r="Y88" s="43" cm="1">
        <f t="array" ref="Y88">IF(COUNTIFS($X$2:$X88,$X88)=1,"1",VALUE(SUBSTITUTE(INDEX(Y:Y,_xlfn.XMATCH($X88,$X$1:$X87,0,-1)),"A",""))+INDEX(Z:Z,_xlfn.XMATCH($X88,$X$1:$X87,0,-1))+1)</f>
        <v>6</v>
      </c>
      <c r="Z88" s="43" cm="1">
        <f t="array" ref="Z88">SUM(IF(ISNUMBER(FIND("TmAi",$BE$1:$AAL$1)),IF(IFERROR(ISODD(SUBSTITUTE($BE88:$AAL88,"A","")),FALSE),IF(ISODD(SUBSTITUTE($BE88:$AAL88,"A","")),1,0),0)))</f>
        <v>0</v>
      </c>
      <c r="AA88" t="str">
        <f t="shared" si="176"/>
        <v>11B</v>
      </c>
      <c r="AB88" t="str">
        <f t="shared" si="177"/>
        <v>12B</v>
      </c>
      <c r="AP88" t="s">
        <v>137</v>
      </c>
      <c r="AS88" t="s">
        <v>396</v>
      </c>
      <c r="JZ88" s="27" t="str">
        <f t="shared" ref="JZ88:JZ119" si="189">CONCATENATE("XT",U88)</f>
        <v>XT55</v>
      </c>
      <c r="KC88" t="str">
        <f t="shared" ref="KC88:KC119" si="190">CONCATENATE(T88,"-AI",REPLACE($X88,1,3,""),"-",AA88)</f>
        <v>F0-AI8-11B</v>
      </c>
      <c r="KD88" t="str">
        <f t="shared" ref="KD88:KD119" si="191">CONCATENATE(T88,"-AI",REPLACE($X88,1,3,""),"-",AB88)</f>
        <v>F0-AI8-12B</v>
      </c>
      <c r="KI88" cm="1">
        <f t="array" ref="KI88">IF(COUNTIFS($U$2:$U88,$U88)=1,1,INDEX(KI:KI,_xlfn.XMATCH(U88,U$1:U87,0,-1))+COUNT(KI87:KM87))</f>
        <v>103</v>
      </c>
      <c r="KJ88">
        <f t="shared" ref="KJ88:KK88" si="192">KI88+1</f>
        <v>104</v>
      </c>
      <c r="KK88">
        <f t="shared" si="192"/>
        <v>105</v>
      </c>
      <c r="KN88">
        <v>1</v>
      </c>
      <c r="KO88" s="16">
        <v>2</v>
      </c>
      <c r="KS88" s="16"/>
    </row>
    <row r="89" spans="1:305" x14ac:dyDescent="0.25">
      <c r="A89" t="s">
        <v>608</v>
      </c>
      <c r="B89" t="s">
        <v>607</v>
      </c>
      <c r="C89" t="s">
        <v>531</v>
      </c>
      <c r="P89" t="s">
        <v>503</v>
      </c>
      <c r="T89" s="14" t="s">
        <v>554</v>
      </c>
      <c r="U89">
        <v>55</v>
      </c>
      <c r="V89" t="s">
        <v>609</v>
      </c>
      <c r="X89" s="33" t="s">
        <v>2334</v>
      </c>
      <c r="Y89" s="45" t="str" cm="1">
        <f t="array" ref="Y89">IF(COUNTIFS($X$2:$X89,$X89)=1,"1",VALUE(SUBSTITUTE(INDEX(Y:Y,_xlfn.XMATCH($X89,$X$1:$X88,0,-1)),"A",""))+INDEX(Z:Z,_xlfn.XMATCH($X89,$X$1:$X88,0,-1))+1)</f>
        <v>1</v>
      </c>
      <c r="Z89" s="43" cm="1">
        <f t="array" ref="Z89">SUM(IF(ISNUMBER(FIND("TmAi",$BE$1:$AAL$1)),IF(IFERROR(ISODD(SUBSTITUTE($BE89:$AAL89,"A","")),FALSE),IF(ISODD(SUBSTITUTE($BE89:$AAL89,"A","")),1,0),0)))</f>
        <v>0</v>
      </c>
      <c r="AA89" t="str">
        <f>CONCATENATE($Y89*2-1,"A")</f>
        <v>1A</v>
      </c>
      <c r="AB89" t="str">
        <f>CONCATENATE($Y89*2-1,"B")</f>
        <v>1B</v>
      </c>
      <c r="AP89" t="s">
        <v>137</v>
      </c>
      <c r="AS89" t="s">
        <v>396</v>
      </c>
      <c r="JZ89" s="27" t="str">
        <f t="shared" si="189"/>
        <v>XT55</v>
      </c>
      <c r="KC89" t="str">
        <f t="shared" si="190"/>
        <v>F0-AI9-1A</v>
      </c>
      <c r="KD89" t="str">
        <f t="shared" si="191"/>
        <v>F0-AI9-1B</v>
      </c>
      <c r="KG89" t="s">
        <v>488</v>
      </c>
      <c r="KH89" t="s">
        <v>487</v>
      </c>
      <c r="KI89" cm="1">
        <f t="array" ref="KI89">IF(COUNTIFS($U$2:$U89,$U89)=1,1,INDEX(KI:KI,_xlfn.XMATCH(U89,U$1:U88,0,-1))+COUNT(KI88:KM88))</f>
        <v>106</v>
      </c>
      <c r="KJ89">
        <f t="shared" ref="KJ89:KK89" si="193">KI89+1</f>
        <v>107</v>
      </c>
      <c r="KK89">
        <f t="shared" si="193"/>
        <v>108</v>
      </c>
      <c r="KL89">
        <f t="shared" ref="KL89" si="194">KK89+1</f>
        <v>109</v>
      </c>
      <c r="KM89">
        <f t="shared" ref="KM89" si="195">KL89+1</f>
        <v>110</v>
      </c>
      <c r="KN89" t="s">
        <v>547</v>
      </c>
      <c r="KO89" s="16" t="s">
        <v>548</v>
      </c>
      <c r="KP89" t="s">
        <v>547</v>
      </c>
      <c r="KQ89" t="s">
        <v>548</v>
      </c>
      <c r="KR89" t="s">
        <v>551</v>
      </c>
      <c r="KS89" s="16" t="s">
        <v>552</v>
      </c>
    </row>
    <row r="90" spans="1:305" x14ac:dyDescent="0.25">
      <c r="A90" t="s">
        <v>611</v>
      </c>
      <c r="B90" t="s">
        <v>610</v>
      </c>
      <c r="C90" t="s">
        <v>498</v>
      </c>
      <c r="P90" t="s">
        <v>482</v>
      </c>
      <c r="T90" s="14" t="s">
        <v>554</v>
      </c>
      <c r="U90">
        <v>55</v>
      </c>
      <c r="V90" t="s">
        <v>612</v>
      </c>
      <c r="X90" t="str">
        <f>IF(COUNTIF(X$1:X89,X89)&gt;7,REPLACE(X89,LEN(X89),1,VALUE(RIGHT(X89,1))+1),X89)</f>
        <v>A3.9</v>
      </c>
      <c r="Y90" s="43" cm="1">
        <f t="array" ref="Y90">IF(COUNTIFS($X$2:$X90,$X90)=1,"1",VALUE(SUBSTITUTE(INDEX(Y:Y,_xlfn.XMATCH($X90,$X$1:$X89,0,-1)),"A",""))+INDEX(Z:Z,_xlfn.XMATCH($X90,$X$1:$X89,0,-1))+1)</f>
        <v>2</v>
      </c>
      <c r="Z90" s="43" cm="1">
        <f t="array" ref="Z90">SUM(IF(ISNUMBER(FIND("TmAi",$BE$1:$AAL$1)),IF(IFERROR(ISODD(SUBSTITUTE($BE90:$AAL90,"A","")),FALSE),IF(ISODD(SUBSTITUTE($BE90:$AAL90,"A","")),1,0),0)))</f>
        <v>0</v>
      </c>
      <c r="AA90" t="str">
        <f t="shared" ref="AA90:AA153" si="196">CONCATENATE($Y90*2-1,"B")</f>
        <v>3B</v>
      </c>
      <c r="AB90" t="str">
        <f t="shared" ref="AB90:AB153" si="197">CONCATENATE($Y90*2,"B")</f>
        <v>4B</v>
      </c>
      <c r="AP90" t="s">
        <v>137</v>
      </c>
      <c r="AS90" t="s">
        <v>396</v>
      </c>
      <c r="JZ90" s="27" t="str">
        <f t="shared" si="189"/>
        <v>XT55</v>
      </c>
      <c r="KC90" t="str">
        <f t="shared" si="190"/>
        <v>F0-AI9-3B</v>
      </c>
      <c r="KD90" t="str">
        <f t="shared" si="191"/>
        <v>F0-AI9-4B</v>
      </c>
      <c r="KI90" cm="1">
        <f t="array" ref="KI90">IF(COUNTIFS($U$2:$U90,$U90)=1,1,INDEX(KI:KI,_xlfn.XMATCH(U90,U$1:U89,0,-1))+COUNT(KI89:KM89))</f>
        <v>111</v>
      </c>
      <c r="KJ90">
        <f t="shared" ref="KJ90:KK90" si="198">KI90+1</f>
        <v>112</v>
      </c>
      <c r="KK90">
        <f t="shared" si="198"/>
        <v>113</v>
      </c>
      <c r="KN90">
        <v>1</v>
      </c>
      <c r="KO90" s="16">
        <v>2</v>
      </c>
      <c r="KS90" s="16"/>
    </row>
    <row r="91" spans="1:305" x14ac:dyDescent="0.25">
      <c r="A91" t="s">
        <v>614</v>
      </c>
      <c r="B91" t="s">
        <v>613</v>
      </c>
      <c r="C91" t="s">
        <v>492</v>
      </c>
      <c r="P91" t="s">
        <v>482</v>
      </c>
      <c r="T91" s="14" t="s">
        <v>554</v>
      </c>
      <c r="U91">
        <v>55</v>
      </c>
      <c r="V91" t="s">
        <v>629</v>
      </c>
      <c r="X91" t="str">
        <f>IF(COUNTIF(X$1:X90,X90)&gt;7,REPLACE(X90,LEN(X90),1,VALUE(RIGHT(X90,1))+1),X90)</f>
        <v>A3.9</v>
      </c>
      <c r="Y91" s="43" cm="1">
        <f t="array" ref="Y91">IF(COUNTIFS($X$2:$X91,$X91)=1,"1",VALUE(SUBSTITUTE(INDEX(Y:Y,_xlfn.XMATCH($X91,$X$1:$X90,0,-1)),"A",""))+INDEX(Z:Z,_xlfn.XMATCH($X91,$X$1:$X90,0,-1))+1)</f>
        <v>3</v>
      </c>
      <c r="Z91" s="43" cm="1">
        <f t="array" ref="Z91">SUM(IF(ISNUMBER(FIND("TmAi",$BE$1:$AAL$1)),IF(IFERROR(ISODD(SUBSTITUTE($BE91:$AAL91,"A","")),FALSE),IF(ISODD(SUBSTITUTE($BE91:$AAL91,"A","")),1,0),0)))</f>
        <v>0</v>
      </c>
      <c r="AA91" t="str">
        <f t="shared" si="196"/>
        <v>5B</v>
      </c>
      <c r="AB91" t="str">
        <f t="shared" si="197"/>
        <v>6B</v>
      </c>
      <c r="AP91" t="s">
        <v>137</v>
      </c>
      <c r="AS91" t="s">
        <v>396</v>
      </c>
      <c r="JZ91" s="27" t="str">
        <f t="shared" si="189"/>
        <v>XT55</v>
      </c>
      <c r="KC91" t="str">
        <f t="shared" si="190"/>
        <v>F0-AI9-5B</v>
      </c>
      <c r="KD91" t="str">
        <f t="shared" si="191"/>
        <v>F0-AI9-6B</v>
      </c>
      <c r="KI91" cm="1">
        <f t="array" ref="KI91">IF(COUNTIFS($U$2:$U91,$U91)=1,1,INDEX(KI:KI,_xlfn.XMATCH(U91,U$1:U90,0,-1))+COUNT(KI90:KM90))</f>
        <v>114</v>
      </c>
      <c r="KJ91">
        <f t="shared" ref="KJ91:KK91" si="199">KI91+1</f>
        <v>115</v>
      </c>
      <c r="KK91">
        <f t="shared" si="199"/>
        <v>116</v>
      </c>
      <c r="KN91">
        <v>1</v>
      </c>
      <c r="KO91" s="16">
        <v>2</v>
      </c>
      <c r="KS91" s="16"/>
    </row>
    <row r="92" spans="1:305" x14ac:dyDescent="0.25">
      <c r="A92" t="s">
        <v>616</v>
      </c>
      <c r="B92" t="s">
        <v>615</v>
      </c>
      <c r="C92" t="s">
        <v>498</v>
      </c>
      <c r="P92" t="s">
        <v>482</v>
      </c>
      <c r="T92" s="14" t="s">
        <v>554</v>
      </c>
      <c r="U92">
        <v>55</v>
      </c>
      <c r="V92" t="s">
        <v>630</v>
      </c>
      <c r="X92" t="s">
        <v>2980</v>
      </c>
      <c r="Y92" s="43" t="str" cm="1">
        <f t="array" ref="Y92">IF(COUNTIFS($X$2:$X92,$X92)=1,"1",VALUE(SUBSTITUTE(INDEX(Y:Y,_xlfn.XMATCH($X92,$X$1:$X91,0,-1)),"A",""))+INDEX(Z:Z,_xlfn.XMATCH($X92,$X$1:$X91,0,-1))+1)</f>
        <v>1</v>
      </c>
      <c r="Z92" s="43" cm="1">
        <f t="array" ref="Z92">SUM(IF(ISNUMBER(FIND("TmAi",$BE$1:$AAL$1)),IF(IFERROR(ISODD(SUBSTITUTE($BE92:$AAL92,"A","")),FALSE),IF(ISODD(SUBSTITUTE($BE92:$AAL92,"A","")),1,0),0)))</f>
        <v>0</v>
      </c>
      <c r="AA92" t="str">
        <f t="shared" si="196"/>
        <v>1B</v>
      </c>
      <c r="AB92" t="str">
        <f t="shared" si="197"/>
        <v>2B</v>
      </c>
      <c r="AP92" t="s">
        <v>137</v>
      </c>
      <c r="AS92" t="s">
        <v>396</v>
      </c>
      <c r="JZ92" s="27" t="str">
        <f t="shared" si="189"/>
        <v>XT55</v>
      </c>
      <c r="KC92" t="str">
        <f t="shared" si="190"/>
        <v>F0-AI10-1B</v>
      </c>
      <c r="KD92" t="str">
        <f t="shared" si="191"/>
        <v>F0-AI10-2B</v>
      </c>
      <c r="KI92" cm="1">
        <f t="array" ref="KI92">IF(COUNTIFS($U$2:$U92,$U92)=1,1,INDEX(KI:KI,_xlfn.XMATCH(U92,U$1:U91,0,-1))+COUNT(KI91:KM91))</f>
        <v>117</v>
      </c>
      <c r="KJ92">
        <f t="shared" ref="KJ92:KK92" si="200">KI92+1</f>
        <v>118</v>
      </c>
      <c r="KK92">
        <f t="shared" si="200"/>
        <v>119</v>
      </c>
      <c r="KN92">
        <v>1</v>
      </c>
      <c r="KO92" s="16">
        <v>2</v>
      </c>
      <c r="KS92" s="16"/>
    </row>
    <row r="93" spans="1:305" x14ac:dyDescent="0.25">
      <c r="A93" t="s">
        <v>618</v>
      </c>
      <c r="B93" t="s">
        <v>617</v>
      </c>
      <c r="C93" t="s">
        <v>492</v>
      </c>
      <c r="P93" t="s">
        <v>482</v>
      </c>
      <c r="T93" s="14" t="s">
        <v>554</v>
      </c>
      <c r="U93">
        <v>55</v>
      </c>
      <c r="V93" t="s">
        <v>631</v>
      </c>
      <c r="X93" t="str">
        <f>IF(COUNTIF(X$1:X92,X92)&gt;7,REPLACE(X92,LEN(X92),1,VALUE(RIGHT(X92,1))+1),X92)</f>
        <v>A3.10</v>
      </c>
      <c r="Y93" s="43" cm="1">
        <f t="array" ref="Y93">IF(COUNTIFS($X$2:$X93,$X93)=1,"1",VALUE(SUBSTITUTE(INDEX(Y:Y,_xlfn.XMATCH($X93,$X$1:$X92,0,-1)),"A",""))+INDEX(Z:Z,_xlfn.XMATCH($X93,$X$1:$X92,0,-1))+1)</f>
        <v>2</v>
      </c>
      <c r="Z93" s="43" cm="1">
        <f t="array" ref="Z93">SUM(IF(ISNUMBER(FIND("TmAi",$BE$1:$AAL$1)),IF(IFERROR(ISODD(SUBSTITUTE($BE93:$AAL93,"A","")),FALSE),IF(ISODD(SUBSTITUTE($BE93:$AAL93,"A","")),1,0),0)))</f>
        <v>0</v>
      </c>
      <c r="AA93" t="str">
        <f t="shared" si="196"/>
        <v>3B</v>
      </c>
      <c r="AB93" t="str">
        <f t="shared" si="197"/>
        <v>4B</v>
      </c>
      <c r="AP93" t="s">
        <v>137</v>
      </c>
      <c r="AS93" t="s">
        <v>396</v>
      </c>
      <c r="JZ93" s="27" t="str">
        <f t="shared" si="189"/>
        <v>XT55</v>
      </c>
      <c r="KC93" t="str">
        <f t="shared" si="190"/>
        <v>F0-AI10-3B</v>
      </c>
      <c r="KD93" t="str">
        <f t="shared" si="191"/>
        <v>F0-AI10-4B</v>
      </c>
      <c r="KI93" cm="1">
        <f t="array" ref="KI93">IF(COUNTIFS($U$2:$U93,$U93)=1,1,INDEX(KI:KI,_xlfn.XMATCH(U93,U$1:U92,0,-1))+COUNT(KI92:KM92))</f>
        <v>120</v>
      </c>
      <c r="KJ93">
        <f t="shared" ref="KJ93:KJ113" si="201">KI93+1</f>
        <v>121</v>
      </c>
      <c r="KK93">
        <f t="shared" ref="KK93:KK113" si="202">KJ93+1</f>
        <v>122</v>
      </c>
      <c r="KN93">
        <v>1</v>
      </c>
      <c r="KO93" s="16">
        <v>2</v>
      </c>
      <c r="KS93" s="16"/>
    </row>
    <row r="94" spans="1:305" x14ac:dyDescent="0.25">
      <c r="A94" t="s">
        <v>620</v>
      </c>
      <c r="B94" t="s">
        <v>619</v>
      </c>
      <c r="C94" t="s">
        <v>498</v>
      </c>
      <c r="P94" t="s">
        <v>482</v>
      </c>
      <c r="T94" s="14" t="s">
        <v>554</v>
      </c>
      <c r="U94">
        <v>55</v>
      </c>
      <c r="V94" t="s">
        <v>632</v>
      </c>
      <c r="X94" t="str">
        <f>IF(COUNTIF(X$1:X93,X93)&gt;7,REPLACE(X93,LEN(X93),1,VALUE(RIGHT(X93,1))+1),X93)</f>
        <v>A3.10</v>
      </c>
      <c r="Y94" s="43" cm="1">
        <f t="array" ref="Y94">IF(COUNTIFS($X$2:$X94,$X94)=1,"1",VALUE(SUBSTITUTE(INDEX(Y:Y,_xlfn.XMATCH($X94,$X$1:$X93,0,-1)),"A",""))+INDEX(Z:Z,_xlfn.XMATCH($X94,$X$1:$X93,0,-1))+1)</f>
        <v>3</v>
      </c>
      <c r="Z94" s="43" cm="1">
        <f t="array" ref="Z94">SUM(IF(ISNUMBER(FIND("TmAi",$BE$1:$AAL$1)),IF(IFERROR(ISODD(SUBSTITUTE($BE94:$AAL94,"A","")),FALSE),IF(ISODD(SUBSTITUTE($BE94:$AAL94,"A","")),1,0),0)))</f>
        <v>0</v>
      </c>
      <c r="AA94" t="str">
        <f t="shared" si="196"/>
        <v>5B</v>
      </c>
      <c r="AB94" t="str">
        <f t="shared" si="197"/>
        <v>6B</v>
      </c>
      <c r="AP94" t="s">
        <v>137</v>
      </c>
      <c r="AS94" t="s">
        <v>396</v>
      </c>
      <c r="JZ94" s="27" t="str">
        <f t="shared" si="189"/>
        <v>XT55</v>
      </c>
      <c r="KC94" t="str">
        <f t="shared" si="190"/>
        <v>F0-AI10-5B</v>
      </c>
      <c r="KD94" t="str">
        <f t="shared" si="191"/>
        <v>F0-AI10-6B</v>
      </c>
      <c r="KI94" cm="1">
        <f t="array" ref="KI94">IF(COUNTIFS($U$2:$U94,$U94)=1,1,INDEX(KI:KI,_xlfn.XMATCH(U94,U$1:U93,0,-1))+COUNT(KI93:KM93))</f>
        <v>123</v>
      </c>
      <c r="KJ94">
        <f t="shared" si="201"/>
        <v>124</v>
      </c>
      <c r="KK94">
        <f t="shared" si="202"/>
        <v>125</v>
      </c>
      <c r="KN94">
        <v>1</v>
      </c>
      <c r="KO94" s="16">
        <v>2</v>
      </c>
      <c r="KS94" s="16"/>
    </row>
    <row r="95" spans="1:305" x14ac:dyDescent="0.25">
      <c r="A95" t="s">
        <v>622</v>
      </c>
      <c r="B95" t="s">
        <v>621</v>
      </c>
      <c r="C95" t="s">
        <v>492</v>
      </c>
      <c r="P95" t="s">
        <v>482</v>
      </c>
      <c r="T95" s="14" t="s">
        <v>554</v>
      </c>
      <c r="U95">
        <v>55</v>
      </c>
      <c r="V95" t="s">
        <v>633</v>
      </c>
      <c r="X95" t="str">
        <f>IF(COUNTIF(X$1:X94,X94)&gt;7,REPLACE(X94,LEN(X94),1,VALUE(RIGHT(X94,1))+1),X94)</f>
        <v>A3.10</v>
      </c>
      <c r="Y95" s="43" cm="1">
        <f t="array" ref="Y95">IF(COUNTIFS($X$2:$X95,$X95)=1,"1",VALUE(SUBSTITUTE(INDEX(Y:Y,_xlfn.XMATCH($X95,$X$1:$X94,0,-1)),"A",""))+INDEX(Z:Z,_xlfn.XMATCH($X95,$X$1:$X94,0,-1))+1)</f>
        <v>4</v>
      </c>
      <c r="Z95" s="43" cm="1">
        <f t="array" ref="Z95">SUM(IF(ISNUMBER(FIND("TmAi",$BE$1:$AAL$1)),IF(IFERROR(ISODD(SUBSTITUTE($BE95:$AAL95,"A","")),FALSE),IF(ISODD(SUBSTITUTE($BE95:$AAL95,"A","")),1,0),0)))</f>
        <v>0</v>
      </c>
      <c r="AA95" t="str">
        <f t="shared" si="196"/>
        <v>7B</v>
      </c>
      <c r="AB95" t="str">
        <f t="shared" si="197"/>
        <v>8B</v>
      </c>
      <c r="AP95" t="s">
        <v>137</v>
      </c>
      <c r="AS95" t="s">
        <v>396</v>
      </c>
      <c r="JZ95" s="27" t="str">
        <f t="shared" si="189"/>
        <v>XT55</v>
      </c>
      <c r="KC95" t="str">
        <f t="shared" si="190"/>
        <v>F0-AI10-7B</v>
      </c>
      <c r="KD95" t="str">
        <f t="shared" si="191"/>
        <v>F0-AI10-8B</v>
      </c>
      <c r="KI95" cm="1">
        <f t="array" ref="KI95">IF(COUNTIFS($U$2:$U95,$U95)=1,1,INDEX(KI:KI,_xlfn.XMATCH(U95,U$1:U94,0,-1))+COUNT(KI94:KM94))</f>
        <v>126</v>
      </c>
      <c r="KJ95">
        <f t="shared" si="201"/>
        <v>127</v>
      </c>
      <c r="KK95">
        <f t="shared" si="202"/>
        <v>128</v>
      </c>
      <c r="KN95">
        <v>1</v>
      </c>
      <c r="KO95" s="16">
        <v>2</v>
      </c>
      <c r="KS95" s="16"/>
    </row>
    <row r="96" spans="1:305" x14ac:dyDescent="0.25">
      <c r="A96" t="s">
        <v>624</v>
      </c>
      <c r="B96" t="s">
        <v>623</v>
      </c>
      <c r="C96" t="s">
        <v>498</v>
      </c>
      <c r="P96" t="s">
        <v>482</v>
      </c>
      <c r="T96" s="14" t="s">
        <v>554</v>
      </c>
      <c r="U96">
        <v>55</v>
      </c>
      <c r="V96" t="s">
        <v>634</v>
      </c>
      <c r="X96" t="str">
        <f>IF(COUNTIF(X$1:X95,X95)&gt;7,REPLACE(X95,LEN(X95),1,VALUE(RIGHT(X95,1))+1),X95)</f>
        <v>A3.10</v>
      </c>
      <c r="Y96" s="43" cm="1">
        <f t="array" ref="Y96">IF(COUNTIFS($X$2:$X96,$X96)=1,"1",VALUE(SUBSTITUTE(INDEX(Y:Y,_xlfn.XMATCH($X96,$X$1:$X95,0,-1)),"A",""))+INDEX(Z:Z,_xlfn.XMATCH($X96,$X$1:$X95,0,-1))+1)</f>
        <v>5</v>
      </c>
      <c r="Z96" s="43" cm="1">
        <f t="array" ref="Z96">SUM(IF(ISNUMBER(FIND("TmAi",$BE$1:$AAL$1)),IF(IFERROR(ISODD(SUBSTITUTE($BE96:$AAL96,"A","")),FALSE),IF(ISODD(SUBSTITUTE($BE96:$AAL96,"A","")),1,0),0)))</f>
        <v>0</v>
      </c>
      <c r="AA96" t="str">
        <f t="shared" si="196"/>
        <v>9B</v>
      </c>
      <c r="AB96" t="str">
        <f t="shared" si="197"/>
        <v>10B</v>
      </c>
      <c r="AP96" t="s">
        <v>137</v>
      </c>
      <c r="AS96" t="s">
        <v>396</v>
      </c>
      <c r="JZ96" s="27" t="str">
        <f t="shared" si="189"/>
        <v>XT55</v>
      </c>
      <c r="KC96" t="str">
        <f t="shared" si="190"/>
        <v>F0-AI10-9B</v>
      </c>
      <c r="KD96" t="str">
        <f t="shared" si="191"/>
        <v>F0-AI10-10B</v>
      </c>
      <c r="KI96" cm="1">
        <f t="array" ref="KI96">IF(COUNTIFS($U$2:$U96,$U96)=1,1,INDEX(KI:KI,_xlfn.XMATCH(U96,U$1:U95,0,-1))+COUNT(KI95:KM95))</f>
        <v>129</v>
      </c>
      <c r="KJ96">
        <f t="shared" si="201"/>
        <v>130</v>
      </c>
      <c r="KK96">
        <f t="shared" si="202"/>
        <v>131</v>
      </c>
      <c r="KN96">
        <v>1</v>
      </c>
      <c r="KO96" s="16">
        <v>2</v>
      </c>
      <c r="KS96" s="16"/>
    </row>
    <row r="97" spans="1:305" x14ac:dyDescent="0.25">
      <c r="A97" t="s">
        <v>626</v>
      </c>
      <c r="B97" t="s">
        <v>625</v>
      </c>
      <c r="C97" t="s">
        <v>492</v>
      </c>
      <c r="P97" t="s">
        <v>482</v>
      </c>
      <c r="T97" s="14" t="s">
        <v>554</v>
      </c>
      <c r="U97">
        <v>55</v>
      </c>
      <c r="V97" t="s">
        <v>635</v>
      </c>
      <c r="X97" s="33" t="str">
        <f>IF(COUNTIF(X$1:X96,X96)&gt;7,REPLACE(X96,LEN(X96),1,VALUE(RIGHT(X96,1))+1),X96)</f>
        <v>A3.10</v>
      </c>
      <c r="Y97" s="45" cm="1">
        <f t="array" ref="Y97">IF(COUNTIFS($X$2:$X97,$X97)=1,"1",VALUE(SUBSTITUTE(INDEX(Y:Y,_xlfn.XMATCH($X97,$X$1:$X96,0,-1)),"A",""))+INDEX(Z:Z,_xlfn.XMATCH($X97,$X$1:$X96,0,-1))+1)</f>
        <v>6</v>
      </c>
      <c r="Z97" s="43" cm="1">
        <f t="array" ref="Z97">SUM(IF(ISNUMBER(FIND("TmAi",$BE$1:$AAL$1)),IF(IFERROR(ISODD(SUBSTITUTE($BE97:$AAL97,"A","")),FALSE),IF(ISODD(SUBSTITUTE($BE97:$AAL97,"A","")),1,0),0)))</f>
        <v>0</v>
      </c>
      <c r="AA97" t="str">
        <f t="shared" si="196"/>
        <v>11B</v>
      </c>
      <c r="AB97" t="str">
        <f t="shared" si="197"/>
        <v>12B</v>
      </c>
      <c r="AP97" t="s">
        <v>137</v>
      </c>
      <c r="AS97" t="s">
        <v>396</v>
      </c>
      <c r="JZ97" s="27" t="str">
        <f t="shared" si="189"/>
        <v>XT55</v>
      </c>
      <c r="KC97" t="str">
        <f t="shared" si="190"/>
        <v>F0-AI10-11B</v>
      </c>
      <c r="KD97" t="str">
        <f t="shared" si="191"/>
        <v>F0-AI10-12B</v>
      </c>
      <c r="KI97" cm="1">
        <f t="array" ref="KI97">IF(COUNTIFS($U$2:$U97,$U97)=1,1,INDEX(KI:KI,_xlfn.XMATCH(U97,U$1:U96,0,-1))+COUNT(KI96:KM96))</f>
        <v>132</v>
      </c>
      <c r="KJ97">
        <f t="shared" si="201"/>
        <v>133</v>
      </c>
      <c r="KK97">
        <f t="shared" si="202"/>
        <v>134</v>
      </c>
      <c r="KN97">
        <v>1</v>
      </c>
      <c r="KO97" s="16">
        <v>2</v>
      </c>
      <c r="KS97" s="16"/>
    </row>
    <row r="98" spans="1:305" x14ac:dyDescent="0.25">
      <c r="A98" t="s">
        <v>628</v>
      </c>
      <c r="B98" t="s">
        <v>627</v>
      </c>
      <c r="C98" t="s">
        <v>498</v>
      </c>
      <c r="P98" t="s">
        <v>482</v>
      </c>
      <c r="T98" s="14" t="s">
        <v>554</v>
      </c>
      <c r="U98">
        <v>55</v>
      </c>
      <c r="V98" t="s">
        <v>636</v>
      </c>
      <c r="X98" t="str">
        <f>IF(COUNTIF(X$1:X97,X97)&gt;7,REPLACE(X97,LEN(X97),1,VALUE(RIGHT(X97,1))+1),X97)</f>
        <v>A3.10</v>
      </c>
      <c r="Y98" s="43" cm="1">
        <f t="array" ref="Y98">IF(COUNTIFS($X$2:$X98,$X98)=1,"1",VALUE(SUBSTITUTE(INDEX(Y:Y,_xlfn.XMATCH($X98,$X$1:$X97,0,-1)),"A",""))+INDEX(Z:Z,_xlfn.XMATCH($X98,$X$1:$X97,0,-1))+1)</f>
        <v>7</v>
      </c>
      <c r="Z98" s="43" cm="1">
        <f t="array" ref="Z98">SUM(IF(ISNUMBER(FIND("TmAi",$BE$1:$AAL$1)),IF(IFERROR(ISODD(SUBSTITUTE($BE98:$AAL98,"A","")),FALSE),IF(ISODD(SUBSTITUTE($BE98:$AAL98,"A","")),1,0),0)))</f>
        <v>0</v>
      </c>
      <c r="AA98" t="str">
        <f t="shared" si="196"/>
        <v>13B</v>
      </c>
      <c r="AB98" t="str">
        <f t="shared" si="197"/>
        <v>14B</v>
      </c>
      <c r="AP98" t="s">
        <v>137</v>
      </c>
      <c r="AS98" t="s">
        <v>396</v>
      </c>
      <c r="JZ98" s="27" t="str">
        <f t="shared" si="189"/>
        <v>XT55</v>
      </c>
      <c r="KC98" t="str">
        <f t="shared" si="190"/>
        <v>F0-AI10-13B</v>
      </c>
      <c r="KD98" t="str">
        <f t="shared" si="191"/>
        <v>F0-AI10-14B</v>
      </c>
      <c r="KI98" cm="1">
        <f t="array" ref="KI98">IF(COUNTIFS($U$2:$U98,$U98)=1,1,INDEX(KI:KI,_xlfn.XMATCH(U98,U$1:U97,0,-1))+COUNT(KI97:KM97))</f>
        <v>135</v>
      </c>
      <c r="KJ98">
        <f t="shared" si="201"/>
        <v>136</v>
      </c>
      <c r="KK98">
        <f t="shared" si="202"/>
        <v>137</v>
      </c>
      <c r="KN98">
        <v>1</v>
      </c>
      <c r="KO98" s="16">
        <v>2</v>
      </c>
      <c r="KS98" s="16"/>
    </row>
    <row r="99" spans="1:305" x14ac:dyDescent="0.25">
      <c r="A99" t="s">
        <v>638</v>
      </c>
      <c r="B99" t="s">
        <v>637</v>
      </c>
      <c r="C99" t="s">
        <v>492</v>
      </c>
      <c r="P99" t="s">
        <v>482</v>
      </c>
      <c r="T99" s="14" t="s">
        <v>554</v>
      </c>
      <c r="U99">
        <v>55</v>
      </c>
      <c r="V99" t="s">
        <v>655</v>
      </c>
      <c r="X99" t="str">
        <f>IF(COUNTIF(X$1:X98,X98)&gt;7,REPLACE(X98,LEN(X98),1,VALUE(RIGHT(X98,1))+1),X98)</f>
        <v>A3.10</v>
      </c>
      <c r="Y99" s="43" cm="1">
        <f t="array" ref="Y99">IF(COUNTIFS($X$2:$X99,$X99)=1,"1",VALUE(SUBSTITUTE(INDEX(Y:Y,_xlfn.XMATCH($X99,$X$1:$X98,0,-1)),"A",""))+INDEX(Z:Z,_xlfn.XMATCH($X99,$X$1:$X98,0,-1))+1)</f>
        <v>8</v>
      </c>
      <c r="Z99" s="43" cm="1">
        <f t="array" ref="Z99">SUM(IF(ISNUMBER(FIND("TmAi",$BE$1:$AAL$1)),IF(IFERROR(ISODD(SUBSTITUTE($BE99:$AAL99,"A","")),FALSE),IF(ISODD(SUBSTITUTE($BE99:$AAL99,"A","")),1,0),0)))</f>
        <v>0</v>
      </c>
      <c r="AA99" t="str">
        <f t="shared" si="196"/>
        <v>15B</v>
      </c>
      <c r="AB99" t="str">
        <f t="shared" si="197"/>
        <v>16B</v>
      </c>
      <c r="AP99" t="s">
        <v>137</v>
      </c>
      <c r="AS99" t="s">
        <v>396</v>
      </c>
      <c r="JZ99" s="27" t="str">
        <f t="shared" si="189"/>
        <v>XT55</v>
      </c>
      <c r="KC99" t="str">
        <f t="shared" si="190"/>
        <v>F0-AI10-15B</v>
      </c>
      <c r="KD99" t="str">
        <f t="shared" si="191"/>
        <v>F0-AI10-16B</v>
      </c>
      <c r="KI99" cm="1">
        <f t="array" ref="KI99">IF(COUNTIFS($U$2:$U99,$U99)=1,1,INDEX(KI:KI,_xlfn.XMATCH(U99,U$1:U98,0,-1))+COUNT(KI98:KM98))</f>
        <v>138</v>
      </c>
      <c r="KJ99">
        <f t="shared" si="201"/>
        <v>139</v>
      </c>
      <c r="KK99">
        <f t="shared" si="202"/>
        <v>140</v>
      </c>
      <c r="KN99">
        <v>1</v>
      </c>
      <c r="KO99" s="16">
        <v>2</v>
      </c>
      <c r="KS99" s="16"/>
    </row>
    <row r="100" spans="1:305" x14ac:dyDescent="0.25">
      <c r="A100" t="s">
        <v>640</v>
      </c>
      <c r="B100" t="s">
        <v>639</v>
      </c>
      <c r="C100" t="s">
        <v>498</v>
      </c>
      <c r="P100" t="s">
        <v>482</v>
      </c>
      <c r="T100" s="14" t="s">
        <v>554</v>
      </c>
      <c r="U100">
        <v>55</v>
      </c>
      <c r="V100" t="s">
        <v>656</v>
      </c>
      <c r="X100" t="str">
        <f>IF(COUNTIF(X$1:X99,X99)&gt;7,REPLACE(X99,LEN(X99),1,VALUE(RIGHT(X99,1))+1),X99)</f>
        <v>A3.11</v>
      </c>
      <c r="Y100" s="43" t="str" cm="1">
        <f t="array" ref="Y100">IF(COUNTIFS($X$2:$X100,$X100)=1,"1",VALUE(SUBSTITUTE(INDEX(Y:Y,_xlfn.XMATCH($X100,$X$1:$X99,0,-1)),"A",""))+INDEX(Z:Z,_xlfn.XMATCH($X100,$X$1:$X99,0,-1))+1)</f>
        <v>1</v>
      </c>
      <c r="Z100" s="43" cm="1">
        <f t="array" ref="Z100">SUM(IF(ISNUMBER(FIND("TmAi",$BE$1:$AAL$1)),IF(IFERROR(ISODD(SUBSTITUTE($BE100:$AAL100,"A","")),FALSE),IF(ISODD(SUBSTITUTE($BE100:$AAL100,"A","")),1,0),0)))</f>
        <v>0</v>
      </c>
      <c r="AA100" t="str">
        <f t="shared" si="196"/>
        <v>1B</v>
      </c>
      <c r="AB100" t="str">
        <f t="shared" si="197"/>
        <v>2B</v>
      </c>
      <c r="AP100" t="s">
        <v>137</v>
      </c>
      <c r="AS100" t="s">
        <v>396</v>
      </c>
      <c r="JZ100" s="27" t="str">
        <f t="shared" si="189"/>
        <v>XT55</v>
      </c>
      <c r="KC100" t="str">
        <f t="shared" si="190"/>
        <v>F0-AI11-1B</v>
      </c>
      <c r="KD100" t="str">
        <f t="shared" si="191"/>
        <v>F0-AI11-2B</v>
      </c>
      <c r="KI100" cm="1">
        <f t="array" ref="KI100">IF(COUNTIFS($U$2:$U100,$U100)=1,1,INDEX(KI:KI,_xlfn.XMATCH(U100,U$1:U99,0,-1))+COUNT(KI99:KM99))</f>
        <v>141</v>
      </c>
      <c r="KJ100">
        <f t="shared" si="201"/>
        <v>142</v>
      </c>
      <c r="KK100">
        <f t="shared" si="202"/>
        <v>143</v>
      </c>
      <c r="KN100">
        <v>1</v>
      </c>
      <c r="KO100" s="16">
        <v>2</v>
      </c>
      <c r="KS100" s="16"/>
    </row>
    <row r="101" spans="1:305" x14ac:dyDescent="0.25">
      <c r="A101" t="s">
        <v>642</v>
      </c>
      <c r="B101" t="s">
        <v>641</v>
      </c>
      <c r="C101" t="s">
        <v>492</v>
      </c>
      <c r="P101" t="s">
        <v>482</v>
      </c>
      <c r="T101" s="14" t="s">
        <v>554</v>
      </c>
      <c r="U101">
        <v>55</v>
      </c>
      <c r="V101" t="s">
        <v>657</v>
      </c>
      <c r="X101" t="str">
        <f>IF(COUNTIF(X$1:X100,X100)&gt;7,REPLACE(X100,LEN(X100),1,VALUE(RIGHT(X100,1))+1),X100)</f>
        <v>A3.11</v>
      </c>
      <c r="Y101" s="43" cm="1">
        <f t="array" ref="Y101">IF(COUNTIFS($X$2:$X101,$X101)=1,"1",VALUE(SUBSTITUTE(INDEX(Y:Y,_xlfn.XMATCH($X101,$X$1:$X100,0,-1)),"A",""))+INDEX(Z:Z,_xlfn.XMATCH($X101,$X$1:$X100,0,-1))+1)</f>
        <v>2</v>
      </c>
      <c r="Z101" s="43" cm="1">
        <f t="array" ref="Z101">SUM(IF(ISNUMBER(FIND("TmAi",$BE$1:$AAL$1)),IF(IFERROR(ISODD(SUBSTITUTE($BE101:$AAL101,"A","")),FALSE),IF(ISODD(SUBSTITUTE($BE101:$AAL101,"A","")),1,0),0)))</f>
        <v>0</v>
      </c>
      <c r="AA101" t="str">
        <f t="shared" si="196"/>
        <v>3B</v>
      </c>
      <c r="AB101" t="str">
        <f t="shared" si="197"/>
        <v>4B</v>
      </c>
      <c r="AP101" t="s">
        <v>137</v>
      </c>
      <c r="AS101" t="s">
        <v>396</v>
      </c>
      <c r="JZ101" s="27" t="str">
        <f t="shared" si="189"/>
        <v>XT55</v>
      </c>
      <c r="KC101" t="str">
        <f t="shared" si="190"/>
        <v>F0-AI11-3B</v>
      </c>
      <c r="KD101" t="str">
        <f t="shared" si="191"/>
        <v>F0-AI11-4B</v>
      </c>
      <c r="KI101" cm="1">
        <f t="array" ref="KI101">IF(COUNTIFS($U$2:$U101,$U101)=1,1,INDEX(KI:KI,_xlfn.XMATCH(U101,U$1:U100,0,-1))+COUNT(KI100:KM100))</f>
        <v>144</v>
      </c>
      <c r="KJ101">
        <f t="shared" si="201"/>
        <v>145</v>
      </c>
      <c r="KK101">
        <f t="shared" si="202"/>
        <v>146</v>
      </c>
      <c r="KN101">
        <v>1</v>
      </c>
      <c r="KO101" s="16">
        <v>2</v>
      </c>
      <c r="KS101" s="16"/>
    </row>
    <row r="102" spans="1:305" x14ac:dyDescent="0.25">
      <c r="A102" t="s">
        <v>644</v>
      </c>
      <c r="B102" t="s">
        <v>643</v>
      </c>
      <c r="C102" t="s">
        <v>498</v>
      </c>
      <c r="P102" t="s">
        <v>482</v>
      </c>
      <c r="T102" s="14" t="s">
        <v>554</v>
      </c>
      <c r="U102">
        <v>55</v>
      </c>
      <c r="V102" t="s">
        <v>658</v>
      </c>
      <c r="X102" t="str">
        <f>IF(COUNTIF(X$1:X101,X101)&gt;7,REPLACE(X101,LEN(X101),1,VALUE(RIGHT(X101,1))+1),X101)</f>
        <v>A3.11</v>
      </c>
      <c r="Y102" s="43" cm="1">
        <f t="array" ref="Y102">IF(COUNTIFS($X$2:$X102,$X102)=1,"1",VALUE(SUBSTITUTE(INDEX(Y:Y,_xlfn.XMATCH($X102,$X$1:$X101,0,-1)),"A",""))+INDEX(Z:Z,_xlfn.XMATCH($X102,$X$1:$X101,0,-1))+1)</f>
        <v>3</v>
      </c>
      <c r="Z102" s="43" cm="1">
        <f t="array" ref="Z102">SUM(IF(ISNUMBER(FIND("TmAi",$BE$1:$AAL$1)),IF(IFERROR(ISODD(SUBSTITUTE($BE102:$AAL102,"A","")),FALSE),IF(ISODD(SUBSTITUTE($BE102:$AAL102,"A","")),1,0),0)))</f>
        <v>0</v>
      </c>
      <c r="AA102" t="str">
        <f t="shared" si="196"/>
        <v>5B</v>
      </c>
      <c r="AB102" t="str">
        <f t="shared" si="197"/>
        <v>6B</v>
      </c>
      <c r="AP102" t="s">
        <v>137</v>
      </c>
      <c r="AS102" t="s">
        <v>396</v>
      </c>
      <c r="JZ102" s="27" t="str">
        <f t="shared" si="189"/>
        <v>XT55</v>
      </c>
      <c r="KC102" t="str">
        <f t="shared" si="190"/>
        <v>F0-AI11-5B</v>
      </c>
      <c r="KD102" t="str">
        <f t="shared" si="191"/>
        <v>F0-AI11-6B</v>
      </c>
      <c r="KI102" cm="1">
        <f t="array" ref="KI102">IF(COUNTIFS($U$2:$U102,$U102)=1,1,INDEX(KI:KI,_xlfn.XMATCH(U102,U$1:U101,0,-1))+COUNT(KI101:KM101))</f>
        <v>147</v>
      </c>
      <c r="KJ102">
        <f t="shared" si="201"/>
        <v>148</v>
      </c>
      <c r="KK102">
        <f t="shared" si="202"/>
        <v>149</v>
      </c>
      <c r="KN102">
        <v>1</v>
      </c>
      <c r="KO102" s="16">
        <v>2</v>
      </c>
      <c r="KS102" s="16"/>
    </row>
    <row r="103" spans="1:305" x14ac:dyDescent="0.25">
      <c r="A103" t="s">
        <v>646</v>
      </c>
      <c r="B103" t="s">
        <v>645</v>
      </c>
      <c r="C103" t="s">
        <v>492</v>
      </c>
      <c r="P103" t="s">
        <v>482</v>
      </c>
      <c r="T103" s="14" t="s">
        <v>554</v>
      </c>
      <c r="U103">
        <v>55</v>
      </c>
      <c r="V103" t="s">
        <v>659</v>
      </c>
      <c r="X103" t="str">
        <f>IF(COUNTIF(X$1:X102,X102)&gt;7,REPLACE(X102,LEN(X102),1,VALUE(RIGHT(X102,1))+1),X102)</f>
        <v>A3.11</v>
      </c>
      <c r="Y103" s="43" cm="1">
        <f t="array" ref="Y103">IF(COUNTIFS($X$2:$X103,$X103)=1,"1",VALUE(SUBSTITUTE(INDEX(Y:Y,_xlfn.XMATCH($X103,$X$1:$X102,0,-1)),"A",""))+INDEX(Z:Z,_xlfn.XMATCH($X103,$X$1:$X102,0,-1))+1)</f>
        <v>4</v>
      </c>
      <c r="Z103" s="43" cm="1">
        <f t="array" ref="Z103">SUM(IF(ISNUMBER(FIND("TmAi",$BE$1:$AAL$1)),IF(IFERROR(ISODD(SUBSTITUTE($BE103:$AAL103,"A","")),FALSE),IF(ISODD(SUBSTITUTE($BE103:$AAL103,"A","")),1,0),0)))</f>
        <v>0</v>
      </c>
      <c r="AA103" t="str">
        <f t="shared" si="196"/>
        <v>7B</v>
      </c>
      <c r="AB103" t="str">
        <f t="shared" si="197"/>
        <v>8B</v>
      </c>
      <c r="AP103" t="s">
        <v>137</v>
      </c>
      <c r="AS103" t="s">
        <v>396</v>
      </c>
      <c r="JZ103" s="27" t="str">
        <f t="shared" si="189"/>
        <v>XT55</v>
      </c>
      <c r="KC103" t="str">
        <f t="shared" si="190"/>
        <v>F0-AI11-7B</v>
      </c>
      <c r="KD103" t="str">
        <f t="shared" si="191"/>
        <v>F0-AI11-8B</v>
      </c>
      <c r="KI103" cm="1">
        <f t="array" ref="KI103">IF(COUNTIFS($U$2:$U103,$U103)=1,1,INDEX(KI:KI,_xlfn.XMATCH(U103,U$1:U102,0,-1))+COUNT(KI102:KM102))</f>
        <v>150</v>
      </c>
      <c r="KJ103">
        <f t="shared" si="201"/>
        <v>151</v>
      </c>
      <c r="KK103">
        <f t="shared" si="202"/>
        <v>152</v>
      </c>
      <c r="KN103">
        <v>1</v>
      </c>
      <c r="KO103" s="16">
        <v>2</v>
      </c>
      <c r="KS103" s="16"/>
    </row>
    <row r="104" spans="1:305" x14ac:dyDescent="0.25">
      <c r="A104" t="s">
        <v>648</v>
      </c>
      <c r="B104" t="s">
        <v>647</v>
      </c>
      <c r="C104" t="s">
        <v>498</v>
      </c>
      <c r="P104" t="s">
        <v>482</v>
      </c>
      <c r="T104" s="14" t="s">
        <v>554</v>
      </c>
      <c r="U104">
        <v>55</v>
      </c>
      <c r="V104" t="s">
        <v>660</v>
      </c>
      <c r="X104" t="str">
        <f>IF(COUNTIF(X$1:X103,X103)&gt;7,REPLACE(X103,LEN(X103),1,VALUE(RIGHT(X103,1))+1),X103)</f>
        <v>A3.11</v>
      </c>
      <c r="Y104" s="43" cm="1">
        <f t="array" ref="Y104">IF(COUNTIFS($X$2:$X104,$X104)=1,"1",VALUE(SUBSTITUTE(INDEX(Y:Y,_xlfn.XMATCH($X104,$X$1:$X103,0,-1)),"A",""))+INDEX(Z:Z,_xlfn.XMATCH($X104,$X$1:$X103,0,-1))+1)</f>
        <v>5</v>
      </c>
      <c r="Z104" s="43" cm="1">
        <f t="array" ref="Z104">SUM(IF(ISNUMBER(FIND("TmAi",$BE$1:$AAL$1)),IF(IFERROR(ISODD(SUBSTITUTE($BE104:$AAL104,"A","")),FALSE),IF(ISODD(SUBSTITUTE($BE104:$AAL104,"A","")),1,0),0)))</f>
        <v>0</v>
      </c>
      <c r="AA104" t="str">
        <f t="shared" si="196"/>
        <v>9B</v>
      </c>
      <c r="AB104" t="str">
        <f t="shared" si="197"/>
        <v>10B</v>
      </c>
      <c r="AP104" t="s">
        <v>137</v>
      </c>
      <c r="AS104" t="s">
        <v>396</v>
      </c>
      <c r="JZ104" s="27" t="str">
        <f t="shared" si="189"/>
        <v>XT55</v>
      </c>
      <c r="KC104" t="str">
        <f t="shared" si="190"/>
        <v>F0-AI11-9B</v>
      </c>
      <c r="KD104" t="str">
        <f t="shared" si="191"/>
        <v>F0-AI11-10B</v>
      </c>
      <c r="KI104" cm="1">
        <f t="array" ref="KI104">IF(COUNTIFS($U$2:$U104,$U104)=1,1,INDEX(KI:KI,_xlfn.XMATCH(U104,U$1:U103,0,-1))+COUNT(KI103:KM103))</f>
        <v>153</v>
      </c>
      <c r="KJ104">
        <f t="shared" si="201"/>
        <v>154</v>
      </c>
      <c r="KK104">
        <f t="shared" si="202"/>
        <v>155</v>
      </c>
      <c r="KN104">
        <v>1</v>
      </c>
      <c r="KO104" s="16">
        <v>2</v>
      </c>
      <c r="KS104" s="16"/>
    </row>
    <row r="105" spans="1:305" x14ac:dyDescent="0.25">
      <c r="A105" t="s">
        <v>650</v>
      </c>
      <c r="B105" t="s">
        <v>649</v>
      </c>
      <c r="C105" t="s">
        <v>492</v>
      </c>
      <c r="P105" t="s">
        <v>482</v>
      </c>
      <c r="T105" s="14" t="s">
        <v>554</v>
      </c>
      <c r="U105">
        <v>55</v>
      </c>
      <c r="V105" t="s">
        <v>661</v>
      </c>
      <c r="X105" s="33" t="str">
        <f>IF(COUNTIF(X$1:X104,X104)&gt;7,REPLACE(X104,LEN(X104),1,VALUE(RIGHT(X104,1))+1),X104)</f>
        <v>A3.11</v>
      </c>
      <c r="Y105" s="45" cm="1">
        <f t="array" ref="Y105">IF(COUNTIFS($X$2:$X105,$X105)=1,"1",VALUE(SUBSTITUTE(INDEX(Y:Y,_xlfn.XMATCH($X105,$X$1:$X104,0,-1)),"A",""))+INDEX(Z:Z,_xlfn.XMATCH($X105,$X$1:$X104,0,-1))+1)</f>
        <v>6</v>
      </c>
      <c r="Z105" s="43" cm="1">
        <f t="array" ref="Z105">SUM(IF(ISNUMBER(FIND("TmAi",$BE$1:$AAL$1)),IF(IFERROR(ISODD(SUBSTITUTE($BE105:$AAL105,"A","")),FALSE),IF(ISODD(SUBSTITUTE($BE105:$AAL105,"A","")),1,0),0)))</f>
        <v>0</v>
      </c>
      <c r="AA105" t="str">
        <f t="shared" si="196"/>
        <v>11B</v>
      </c>
      <c r="AB105" t="str">
        <f t="shared" si="197"/>
        <v>12B</v>
      </c>
      <c r="AP105" t="s">
        <v>137</v>
      </c>
      <c r="AS105" t="s">
        <v>396</v>
      </c>
      <c r="JZ105" s="27" t="str">
        <f t="shared" si="189"/>
        <v>XT55</v>
      </c>
      <c r="KC105" t="str">
        <f t="shared" si="190"/>
        <v>F0-AI11-11B</v>
      </c>
      <c r="KD105" t="str">
        <f t="shared" si="191"/>
        <v>F0-AI11-12B</v>
      </c>
      <c r="KI105" cm="1">
        <f t="array" ref="KI105">IF(COUNTIFS($U$2:$U105,$U105)=1,1,INDEX(KI:KI,_xlfn.XMATCH(U105,U$1:U104,0,-1))+COUNT(KI104:KM104))</f>
        <v>156</v>
      </c>
      <c r="KJ105">
        <f t="shared" si="201"/>
        <v>157</v>
      </c>
      <c r="KK105">
        <f t="shared" si="202"/>
        <v>158</v>
      </c>
      <c r="KN105">
        <v>1</v>
      </c>
      <c r="KO105" s="16">
        <v>2</v>
      </c>
      <c r="KS105" s="16"/>
    </row>
    <row r="106" spans="1:305" x14ac:dyDescent="0.25">
      <c r="A106" t="s">
        <v>652</v>
      </c>
      <c r="B106" t="s">
        <v>651</v>
      </c>
      <c r="C106" t="s">
        <v>498</v>
      </c>
      <c r="P106" t="s">
        <v>482</v>
      </c>
      <c r="T106" s="14" t="s">
        <v>554</v>
      </c>
      <c r="U106">
        <v>55</v>
      </c>
      <c r="V106" t="s">
        <v>662</v>
      </c>
      <c r="X106" t="str">
        <f>IF(COUNTIF(X$1:X105,X105)&gt;7,REPLACE(X105,LEN(X105),1,VALUE(RIGHT(X105,1))+1),X105)</f>
        <v>A3.11</v>
      </c>
      <c r="Y106" s="43" cm="1">
        <f t="array" ref="Y106">IF(COUNTIFS($X$2:$X106,$X106)=1,"1",VALUE(SUBSTITUTE(INDEX(Y:Y,_xlfn.XMATCH($X106,$X$1:$X105,0,-1)),"A",""))+INDEX(Z:Z,_xlfn.XMATCH($X106,$X$1:$X105,0,-1))+1)</f>
        <v>7</v>
      </c>
      <c r="Z106" s="43" cm="1">
        <f t="array" ref="Z106">SUM(IF(ISNUMBER(FIND("TmAi",$BE$1:$AAL$1)),IF(IFERROR(ISODD(SUBSTITUTE($BE106:$AAL106,"A","")),FALSE),IF(ISODD(SUBSTITUTE($BE106:$AAL106,"A","")),1,0),0)))</f>
        <v>0</v>
      </c>
      <c r="AA106" t="str">
        <f t="shared" si="196"/>
        <v>13B</v>
      </c>
      <c r="AB106" t="str">
        <f t="shared" si="197"/>
        <v>14B</v>
      </c>
      <c r="AP106" t="s">
        <v>137</v>
      </c>
      <c r="AS106" t="s">
        <v>396</v>
      </c>
      <c r="JZ106" s="27" t="str">
        <f t="shared" si="189"/>
        <v>XT55</v>
      </c>
      <c r="KC106" t="str">
        <f t="shared" si="190"/>
        <v>F0-AI11-13B</v>
      </c>
      <c r="KD106" t="str">
        <f t="shared" si="191"/>
        <v>F0-AI11-14B</v>
      </c>
      <c r="KI106" cm="1">
        <f t="array" ref="KI106">IF(COUNTIFS($U$2:$U106,$U106)=1,1,INDEX(KI:KI,_xlfn.XMATCH(U106,U$1:U105,0,-1))+COUNT(KI105:KM105))</f>
        <v>159</v>
      </c>
      <c r="KJ106">
        <f t="shared" si="201"/>
        <v>160</v>
      </c>
      <c r="KK106">
        <f t="shared" si="202"/>
        <v>161</v>
      </c>
      <c r="KN106">
        <v>1</v>
      </c>
      <c r="KO106" s="16">
        <v>2</v>
      </c>
      <c r="KS106" s="16"/>
    </row>
    <row r="107" spans="1:305" x14ac:dyDescent="0.25">
      <c r="A107" t="s">
        <v>654</v>
      </c>
      <c r="B107" t="s">
        <v>653</v>
      </c>
      <c r="C107" t="s">
        <v>492</v>
      </c>
      <c r="P107" t="s">
        <v>482</v>
      </c>
      <c r="T107" s="14" t="s">
        <v>554</v>
      </c>
      <c r="U107">
        <v>55</v>
      </c>
      <c r="V107" t="s">
        <v>663</v>
      </c>
      <c r="X107" t="str">
        <f>IF(COUNTIF(X$1:X106,X106)&gt;7,REPLACE(X106,LEN(X106),1,VALUE(RIGHT(X106,1))+1),X106)</f>
        <v>A3.11</v>
      </c>
      <c r="Y107" s="43" cm="1">
        <f t="array" ref="Y107">IF(COUNTIFS($X$2:$X107,$X107)=1,"1",VALUE(SUBSTITUTE(INDEX(Y:Y,_xlfn.XMATCH($X107,$X$1:$X106,0,-1)),"A",""))+INDEX(Z:Z,_xlfn.XMATCH($X107,$X$1:$X106,0,-1))+1)</f>
        <v>8</v>
      </c>
      <c r="Z107" s="43" cm="1">
        <f t="array" ref="Z107">SUM(IF(ISNUMBER(FIND("TmAi",$BE$1:$AAL$1)),IF(IFERROR(ISODD(SUBSTITUTE($BE107:$AAL107,"A","")),FALSE),IF(ISODD(SUBSTITUTE($BE107:$AAL107,"A","")),1,0),0)))</f>
        <v>0</v>
      </c>
      <c r="AA107" t="str">
        <f t="shared" si="196"/>
        <v>15B</v>
      </c>
      <c r="AB107" t="str">
        <f t="shared" si="197"/>
        <v>16B</v>
      </c>
      <c r="AP107" t="s">
        <v>137</v>
      </c>
      <c r="AS107" t="s">
        <v>396</v>
      </c>
      <c r="JZ107" s="27" t="str">
        <f t="shared" si="189"/>
        <v>XT55</v>
      </c>
      <c r="KC107" t="str">
        <f t="shared" si="190"/>
        <v>F0-AI11-15B</v>
      </c>
      <c r="KD107" t="str">
        <f t="shared" si="191"/>
        <v>F0-AI11-16B</v>
      </c>
      <c r="KI107" cm="1">
        <f t="array" ref="KI107">IF(COUNTIFS($U$2:$U107,$U107)=1,1,INDEX(KI:KI,_xlfn.XMATCH(U107,U$1:U106,0,-1))+COUNT(KI106:KM106))</f>
        <v>162</v>
      </c>
      <c r="KJ107">
        <f t="shared" si="201"/>
        <v>163</v>
      </c>
      <c r="KK107">
        <f t="shared" si="202"/>
        <v>164</v>
      </c>
      <c r="KN107">
        <v>1</v>
      </c>
      <c r="KO107" s="16">
        <v>2</v>
      </c>
      <c r="KS107" s="16"/>
    </row>
    <row r="108" spans="1:305" x14ac:dyDescent="0.25">
      <c r="A108" t="s">
        <v>665</v>
      </c>
      <c r="B108" s="33" t="s">
        <v>664</v>
      </c>
      <c r="C108" t="s">
        <v>492</v>
      </c>
      <c r="P108" t="s">
        <v>482</v>
      </c>
      <c r="T108" s="14" t="s">
        <v>554</v>
      </c>
      <c r="U108">
        <v>55</v>
      </c>
      <c r="V108" t="s">
        <v>683</v>
      </c>
      <c r="X108" t="s">
        <v>2334</v>
      </c>
      <c r="Y108" s="43" cm="1">
        <f t="array" ref="Y108">IF(COUNTIFS($X$2:$X108,$X108)=1,"1",VALUE(SUBSTITUTE(INDEX(Y:Y,_xlfn.XMATCH($X108,$X$1:$X107,0,-1)),"A",""))+INDEX(Z:Z,_xlfn.XMATCH($X108,$X$1:$X107,0,-1))+1)</f>
        <v>4</v>
      </c>
      <c r="Z108" s="43" cm="1">
        <f t="array" ref="Z108">SUM(IF(ISNUMBER(FIND("TmAi",$BE$1:$AAL$1)),IF(IFERROR(ISODD(SUBSTITUTE($BE108:$AAL108,"A","")),FALSE),IF(ISODD(SUBSTITUTE($BE108:$AAL108,"A","")),1,0),0)))</f>
        <v>0</v>
      </c>
      <c r="AA108" t="str">
        <f t="shared" si="196"/>
        <v>7B</v>
      </c>
      <c r="AB108" t="str">
        <f t="shared" si="197"/>
        <v>8B</v>
      </c>
      <c r="AP108" t="s">
        <v>137</v>
      </c>
      <c r="AS108" t="s">
        <v>396</v>
      </c>
      <c r="JZ108" s="27" t="str">
        <f t="shared" si="189"/>
        <v>XT55</v>
      </c>
      <c r="KC108" t="str">
        <f t="shared" si="190"/>
        <v>F0-AI9-7B</v>
      </c>
      <c r="KD108" t="str">
        <f t="shared" si="191"/>
        <v>F0-AI9-8B</v>
      </c>
      <c r="KI108" cm="1">
        <f t="array" ref="KI108">IF(COUNTIFS($U$2:$U108,$U108)=1,1,INDEX(KI:KI,_xlfn.XMATCH(U108,U$1:U107,0,-1))+COUNT(KI107:KM107))</f>
        <v>165</v>
      </c>
      <c r="KJ108">
        <f t="shared" si="201"/>
        <v>166</v>
      </c>
      <c r="KK108">
        <f t="shared" si="202"/>
        <v>167</v>
      </c>
      <c r="KN108">
        <v>1</v>
      </c>
      <c r="KO108" s="16">
        <v>2</v>
      </c>
      <c r="KS108" s="16"/>
    </row>
    <row r="109" spans="1:305" x14ac:dyDescent="0.25">
      <c r="A109" t="s">
        <v>667</v>
      </c>
      <c r="B109" t="s">
        <v>666</v>
      </c>
      <c r="C109" t="s">
        <v>492</v>
      </c>
      <c r="P109" t="s">
        <v>482</v>
      </c>
      <c r="T109" s="14" t="s">
        <v>554</v>
      </c>
      <c r="U109">
        <v>55</v>
      </c>
      <c r="V109" t="s">
        <v>684</v>
      </c>
      <c r="X109" t="str">
        <f>IF(COUNTIF(X$1:X108,X108)&gt;7,REPLACE(X108,LEN(X108),1,VALUE(RIGHT(X108,1))+1),X108)</f>
        <v>A3.9</v>
      </c>
      <c r="Y109" s="43" cm="1">
        <f t="array" ref="Y109">IF(COUNTIFS($X$2:$X109,$X109)=1,"1",VALUE(SUBSTITUTE(INDEX(Y:Y,_xlfn.XMATCH($X109,$X$1:$X108,0,-1)),"A",""))+INDEX(Z:Z,_xlfn.XMATCH($X109,$X$1:$X108,0,-1))+1)</f>
        <v>5</v>
      </c>
      <c r="Z109" s="43" cm="1">
        <f t="array" ref="Z109">SUM(IF(ISNUMBER(FIND("TmAi",$BE$1:$AAL$1)),IF(IFERROR(ISODD(SUBSTITUTE($BE109:$AAL109,"A","")),FALSE),IF(ISODD(SUBSTITUTE($BE109:$AAL109,"A","")),1,0),0)))</f>
        <v>0</v>
      </c>
      <c r="AA109" t="str">
        <f t="shared" si="196"/>
        <v>9B</v>
      </c>
      <c r="AB109" t="str">
        <f t="shared" si="197"/>
        <v>10B</v>
      </c>
      <c r="AP109" t="s">
        <v>137</v>
      </c>
      <c r="AS109" t="s">
        <v>396</v>
      </c>
      <c r="JZ109" s="27" t="str">
        <f t="shared" si="189"/>
        <v>XT55</v>
      </c>
      <c r="KC109" t="str">
        <f t="shared" si="190"/>
        <v>F0-AI9-9B</v>
      </c>
      <c r="KD109" t="str">
        <f t="shared" si="191"/>
        <v>F0-AI9-10B</v>
      </c>
      <c r="KI109" cm="1">
        <f t="array" ref="KI109">IF(COUNTIFS($U$2:$U109,$U109)=1,1,INDEX(KI:KI,_xlfn.XMATCH(U109,U$1:U108,0,-1))+COUNT(KI108:KM108))</f>
        <v>168</v>
      </c>
      <c r="KJ109">
        <f t="shared" si="201"/>
        <v>169</v>
      </c>
      <c r="KK109">
        <f t="shared" si="202"/>
        <v>170</v>
      </c>
      <c r="KN109">
        <v>1</v>
      </c>
      <c r="KO109" s="16">
        <v>2</v>
      </c>
      <c r="KS109" s="16"/>
    </row>
    <row r="110" spans="1:305" x14ac:dyDescent="0.25">
      <c r="A110" t="s">
        <v>669</v>
      </c>
      <c r="B110" t="s">
        <v>668</v>
      </c>
      <c r="C110" t="s">
        <v>498</v>
      </c>
      <c r="P110" t="s">
        <v>482</v>
      </c>
      <c r="T110" s="14" t="s">
        <v>554</v>
      </c>
      <c r="U110">
        <v>55</v>
      </c>
      <c r="V110" t="s">
        <v>685</v>
      </c>
      <c r="X110" t="str">
        <f>IF(COUNTIF(X$1:X109,X109)&gt;7,REPLACE(X109,LEN(X109),1,VALUE(RIGHT(X109,1))+1),X109)</f>
        <v>A3.9</v>
      </c>
      <c r="Y110" s="43" cm="1">
        <f t="array" ref="Y110">IF(COUNTIFS($X$2:$X110,$X110)=1,"1",VALUE(SUBSTITUTE(INDEX(Y:Y,_xlfn.XMATCH($X110,$X$1:$X109,0,-1)),"A",""))+INDEX(Z:Z,_xlfn.XMATCH($X110,$X$1:$X109,0,-1))+1)</f>
        <v>6</v>
      </c>
      <c r="Z110" s="43" cm="1">
        <f t="array" ref="Z110">SUM(IF(ISNUMBER(FIND("TmAi",$BE$1:$AAL$1)),IF(IFERROR(ISODD(SUBSTITUTE($BE110:$AAL110,"A","")),FALSE),IF(ISODD(SUBSTITUTE($BE110:$AAL110,"A","")),1,0),0)))</f>
        <v>0</v>
      </c>
      <c r="AA110" t="str">
        <f t="shared" si="196"/>
        <v>11B</v>
      </c>
      <c r="AB110" t="str">
        <f t="shared" si="197"/>
        <v>12B</v>
      </c>
      <c r="AP110" t="s">
        <v>137</v>
      </c>
      <c r="AS110" t="s">
        <v>396</v>
      </c>
      <c r="JZ110" s="27" t="str">
        <f t="shared" si="189"/>
        <v>XT55</v>
      </c>
      <c r="KC110" t="str">
        <f t="shared" si="190"/>
        <v>F0-AI9-11B</v>
      </c>
      <c r="KD110" t="str">
        <f t="shared" si="191"/>
        <v>F0-AI9-12B</v>
      </c>
      <c r="KI110" cm="1">
        <f t="array" ref="KI110">IF(COUNTIFS($U$2:$U110,$U110)=1,1,INDEX(KI:KI,_xlfn.XMATCH(U110,U$1:U109,0,-1))+COUNT(KI109:KM109))</f>
        <v>171</v>
      </c>
      <c r="KJ110">
        <f t="shared" si="201"/>
        <v>172</v>
      </c>
      <c r="KK110">
        <f t="shared" si="202"/>
        <v>173</v>
      </c>
      <c r="KN110">
        <v>1</v>
      </c>
      <c r="KO110" s="16">
        <v>2</v>
      </c>
      <c r="KS110" s="16"/>
    </row>
    <row r="111" spans="1:305" x14ac:dyDescent="0.25">
      <c r="A111" t="s">
        <v>671</v>
      </c>
      <c r="B111" t="s">
        <v>670</v>
      </c>
      <c r="C111" t="s">
        <v>498</v>
      </c>
      <c r="P111" t="s">
        <v>482</v>
      </c>
      <c r="T111" s="14" t="s">
        <v>554</v>
      </c>
      <c r="U111">
        <v>55</v>
      </c>
      <c r="V111" t="s">
        <v>686</v>
      </c>
      <c r="X111" t="str">
        <f>IF(COUNTIF(X$1:X110,X110)&gt;7,REPLACE(X110,LEN(X110),1,VALUE(RIGHT(X110,1))+1),X110)</f>
        <v>A3.9</v>
      </c>
      <c r="Y111" s="43" cm="1">
        <f t="array" ref="Y111">IF(COUNTIFS($X$2:$X111,$X111)=1,"1",VALUE(SUBSTITUTE(INDEX(Y:Y,_xlfn.XMATCH($X111,$X$1:$X110,0,-1)),"A",""))+INDEX(Z:Z,_xlfn.XMATCH($X111,$X$1:$X110,0,-1))+1)</f>
        <v>7</v>
      </c>
      <c r="Z111" s="43" cm="1">
        <f t="array" ref="Z111">SUM(IF(ISNUMBER(FIND("TmAi",$BE$1:$AAL$1)),IF(IFERROR(ISODD(SUBSTITUTE($BE111:$AAL111,"A","")),FALSE),IF(ISODD(SUBSTITUTE($BE111:$AAL111,"A","")),1,0),0)))</f>
        <v>0</v>
      </c>
      <c r="AA111" t="str">
        <f t="shared" si="196"/>
        <v>13B</v>
      </c>
      <c r="AB111" t="str">
        <f t="shared" si="197"/>
        <v>14B</v>
      </c>
      <c r="AP111" t="s">
        <v>137</v>
      </c>
      <c r="AS111" t="s">
        <v>396</v>
      </c>
      <c r="JZ111" s="27" t="str">
        <f t="shared" si="189"/>
        <v>XT55</v>
      </c>
      <c r="KC111" t="str">
        <f t="shared" si="190"/>
        <v>F0-AI9-13B</v>
      </c>
      <c r="KD111" t="str">
        <f t="shared" si="191"/>
        <v>F0-AI9-14B</v>
      </c>
      <c r="KI111" cm="1">
        <f t="array" ref="KI111">IF(COUNTIFS($U$2:$U111,$U111)=1,1,INDEX(KI:KI,_xlfn.XMATCH(U111,U$1:U110,0,-1))+COUNT(KI110:KM110))</f>
        <v>174</v>
      </c>
      <c r="KJ111">
        <f t="shared" si="201"/>
        <v>175</v>
      </c>
      <c r="KK111">
        <f t="shared" si="202"/>
        <v>176</v>
      </c>
      <c r="KN111">
        <v>1</v>
      </c>
      <c r="KO111" s="16">
        <v>2</v>
      </c>
      <c r="KS111" s="16"/>
    </row>
    <row r="112" spans="1:305" x14ac:dyDescent="0.25">
      <c r="A112" t="s">
        <v>673</v>
      </c>
      <c r="B112" t="s">
        <v>672</v>
      </c>
      <c r="C112" t="s">
        <v>498</v>
      </c>
      <c r="P112" t="s">
        <v>482</v>
      </c>
      <c r="T112" s="14" t="s">
        <v>554</v>
      </c>
      <c r="U112">
        <v>55</v>
      </c>
      <c r="V112" t="s">
        <v>687</v>
      </c>
      <c r="X112" t="s">
        <v>2981</v>
      </c>
      <c r="Y112" s="43" t="str" cm="1">
        <f t="array" ref="Y112">IF(COUNTIFS($X$2:$X112,$X112)=1,"1",VALUE(SUBSTITUTE(INDEX(Y:Y,_xlfn.XMATCH($X112,$X$1:$X111,0,-1)),"A",""))+INDEX(Z:Z,_xlfn.XMATCH($X112,$X$1:$X111,0,-1))+1)</f>
        <v>1</v>
      </c>
      <c r="Z112" s="43" cm="1">
        <f t="array" ref="Z112">SUM(IF(ISNUMBER(FIND("TmAi",$BE$1:$AAL$1)),IF(IFERROR(ISODD(SUBSTITUTE($BE112:$AAL112,"A","")),FALSE),IF(ISODD(SUBSTITUTE($BE112:$AAL112,"A","")),1,0),0)))</f>
        <v>0</v>
      </c>
      <c r="AA112" t="str">
        <f t="shared" si="196"/>
        <v>1B</v>
      </c>
      <c r="AB112" t="str">
        <f t="shared" si="197"/>
        <v>2B</v>
      </c>
      <c r="AP112" t="s">
        <v>137</v>
      </c>
      <c r="AS112" t="s">
        <v>396</v>
      </c>
      <c r="JZ112" s="27" t="str">
        <f t="shared" si="189"/>
        <v>XT55</v>
      </c>
      <c r="KC112" t="str">
        <f t="shared" si="190"/>
        <v>F0-AI12-1B</v>
      </c>
      <c r="KD112" t="str">
        <f t="shared" si="191"/>
        <v>F0-AI12-2B</v>
      </c>
      <c r="KI112" cm="1">
        <f t="array" ref="KI112">IF(COUNTIFS($U$2:$U112,$U112)=1,1,INDEX(KI:KI,_xlfn.XMATCH(U112,U$1:U111,0,-1))+COUNT(KI111:KM111))</f>
        <v>177</v>
      </c>
      <c r="KJ112">
        <f t="shared" si="201"/>
        <v>178</v>
      </c>
      <c r="KK112">
        <f t="shared" si="202"/>
        <v>179</v>
      </c>
      <c r="KN112">
        <v>1</v>
      </c>
      <c r="KO112" s="16">
        <v>2</v>
      </c>
      <c r="KS112" s="16"/>
    </row>
    <row r="113" spans="1:305" x14ac:dyDescent="0.25">
      <c r="A113" t="s">
        <v>675</v>
      </c>
      <c r="B113" t="s">
        <v>674</v>
      </c>
      <c r="C113" t="s">
        <v>498</v>
      </c>
      <c r="P113" t="s">
        <v>482</v>
      </c>
      <c r="T113" s="14" t="s">
        <v>554</v>
      </c>
      <c r="U113">
        <v>55</v>
      </c>
      <c r="V113" t="s">
        <v>688</v>
      </c>
      <c r="X113" s="33" t="str">
        <f>IF(COUNTIF(X$1:X112,X112)&gt;7,REPLACE(X112,LEN(X112),1,VALUE(RIGHT(X112,1))+1),X112)</f>
        <v>A3.12</v>
      </c>
      <c r="Y113" s="45" cm="1">
        <f t="array" ref="Y113">IF(COUNTIFS($X$2:$X113,$X113)=1,"1",VALUE(SUBSTITUTE(INDEX(Y:Y,_xlfn.XMATCH($X113,$X$1:$X112,0,-1)),"A",""))+INDEX(Z:Z,_xlfn.XMATCH($X113,$X$1:$X112,0,-1))+1)</f>
        <v>2</v>
      </c>
      <c r="Z113" s="43" cm="1">
        <f t="array" ref="Z113">SUM(IF(ISNUMBER(FIND("TmAi",$BE$1:$AAL$1)),IF(IFERROR(ISODD(SUBSTITUTE($BE113:$AAL113,"A","")),FALSE),IF(ISODD(SUBSTITUTE($BE113:$AAL113,"A","")),1,0),0)))</f>
        <v>0</v>
      </c>
      <c r="AA113" t="str">
        <f t="shared" si="196"/>
        <v>3B</v>
      </c>
      <c r="AB113" t="str">
        <f t="shared" si="197"/>
        <v>4B</v>
      </c>
      <c r="AP113" t="s">
        <v>137</v>
      </c>
      <c r="AS113" t="s">
        <v>396</v>
      </c>
      <c r="JZ113" s="27" t="str">
        <f t="shared" si="189"/>
        <v>XT55</v>
      </c>
      <c r="KC113" t="str">
        <f t="shared" si="190"/>
        <v>F0-AI12-3B</v>
      </c>
      <c r="KD113" t="str">
        <f t="shared" si="191"/>
        <v>F0-AI12-4B</v>
      </c>
      <c r="KI113" cm="1">
        <f t="array" ref="KI113">IF(COUNTIFS($U$2:$U113,$U113)=1,1,INDEX(KI:KI,_xlfn.XMATCH(U113,U$1:U112,0,-1))+COUNT(KI112:KM112))</f>
        <v>180</v>
      </c>
      <c r="KJ113">
        <f t="shared" si="201"/>
        <v>181</v>
      </c>
      <c r="KK113">
        <f t="shared" si="202"/>
        <v>182</v>
      </c>
      <c r="KN113">
        <v>1</v>
      </c>
      <c r="KO113" s="16">
        <v>2</v>
      </c>
      <c r="KS113" s="16"/>
    </row>
    <row r="114" spans="1:305" x14ac:dyDescent="0.25">
      <c r="A114" t="s">
        <v>677</v>
      </c>
      <c r="B114" t="s">
        <v>676</v>
      </c>
      <c r="C114" t="s">
        <v>498</v>
      </c>
      <c r="P114" t="s">
        <v>482</v>
      </c>
      <c r="T114" s="14" t="s">
        <v>554</v>
      </c>
      <c r="U114">
        <v>55</v>
      </c>
      <c r="V114" t="s">
        <v>689</v>
      </c>
      <c r="X114" t="str">
        <f>IF(COUNTIF(X$1:X113,X113)&gt;7,REPLACE(X113,LEN(X113),1,VALUE(RIGHT(X113,1))+1),X113)</f>
        <v>A3.12</v>
      </c>
      <c r="Y114" s="43" cm="1">
        <f t="array" ref="Y114">IF(COUNTIFS($X$2:$X114,$X114)=1,"1",VALUE(SUBSTITUTE(INDEX(Y:Y,_xlfn.XMATCH($X114,$X$1:$X113,0,-1)),"A",""))+INDEX(Z:Z,_xlfn.XMATCH($X114,$X$1:$X113,0,-1))+1)</f>
        <v>3</v>
      </c>
      <c r="Z114" s="43" cm="1">
        <f t="array" ref="Z114">SUM(IF(ISNUMBER(FIND("TmAi",$BE$1:$AAL$1)),IF(IFERROR(ISODD(SUBSTITUTE($BE114:$AAL114,"A","")),FALSE),IF(ISODD(SUBSTITUTE($BE114:$AAL114,"A","")),1,0),0)))</f>
        <v>0</v>
      </c>
      <c r="AA114" t="str">
        <f t="shared" si="196"/>
        <v>5B</v>
      </c>
      <c r="AB114" t="str">
        <f t="shared" si="197"/>
        <v>6B</v>
      </c>
      <c r="AP114" t="s">
        <v>137</v>
      </c>
      <c r="AS114" t="s">
        <v>396</v>
      </c>
      <c r="JZ114" s="27" t="str">
        <f t="shared" si="189"/>
        <v>XT55</v>
      </c>
      <c r="KC114" t="str">
        <f t="shared" si="190"/>
        <v>F0-AI12-5B</v>
      </c>
      <c r="KD114" t="str">
        <f t="shared" si="191"/>
        <v>F0-AI12-6B</v>
      </c>
      <c r="KI114" cm="1">
        <f t="array" ref="KI114">IF(COUNTIFS($U$2:$U114,$U114)=1,1,INDEX(KI:KI,_xlfn.XMATCH(U114,U$1:U113,0,-1))+COUNT(KI113:KM113))</f>
        <v>183</v>
      </c>
      <c r="KJ114">
        <f t="shared" ref="KJ114:KJ152" si="203">KI114+1</f>
        <v>184</v>
      </c>
      <c r="KK114">
        <f t="shared" ref="KK114:KK152" si="204">KJ114+1</f>
        <v>185</v>
      </c>
      <c r="KN114">
        <v>1</v>
      </c>
      <c r="KO114" s="16">
        <v>2</v>
      </c>
      <c r="KS114" s="16"/>
    </row>
    <row r="115" spans="1:305" x14ac:dyDescent="0.25">
      <c r="A115" t="s">
        <v>679</v>
      </c>
      <c r="B115" t="s">
        <v>678</v>
      </c>
      <c r="C115" t="s">
        <v>498</v>
      </c>
      <c r="P115" t="s">
        <v>482</v>
      </c>
      <c r="T115" s="14" t="s">
        <v>554</v>
      </c>
      <c r="U115">
        <v>55</v>
      </c>
      <c r="V115" t="s">
        <v>690</v>
      </c>
      <c r="X115" t="str">
        <f>IF(COUNTIF(X$1:X114,X114)&gt;7,REPLACE(X114,LEN(X114),1,VALUE(RIGHT(X114,1))+1),X114)</f>
        <v>A3.12</v>
      </c>
      <c r="Y115" s="43" cm="1">
        <f t="array" ref="Y115">IF(COUNTIFS($X$2:$X115,$X115)=1,"1",VALUE(SUBSTITUTE(INDEX(Y:Y,_xlfn.XMATCH($X115,$X$1:$X114,0,-1)),"A",""))+INDEX(Z:Z,_xlfn.XMATCH($X115,$X$1:$X114,0,-1))+1)</f>
        <v>4</v>
      </c>
      <c r="Z115" s="43" cm="1">
        <f t="array" ref="Z115">SUM(IF(ISNUMBER(FIND("TmAi",$BE$1:$AAL$1)),IF(IFERROR(ISODD(SUBSTITUTE($BE115:$AAL115,"A","")),FALSE),IF(ISODD(SUBSTITUTE($BE115:$AAL115,"A","")),1,0),0)))</f>
        <v>0</v>
      </c>
      <c r="AA115" t="str">
        <f t="shared" si="196"/>
        <v>7B</v>
      </c>
      <c r="AB115" t="str">
        <f t="shared" si="197"/>
        <v>8B</v>
      </c>
      <c r="AP115" t="s">
        <v>137</v>
      </c>
      <c r="AS115" t="s">
        <v>396</v>
      </c>
      <c r="JZ115" s="27" t="str">
        <f t="shared" si="189"/>
        <v>XT55</v>
      </c>
      <c r="KC115" t="str">
        <f t="shared" si="190"/>
        <v>F0-AI12-7B</v>
      </c>
      <c r="KD115" t="str">
        <f t="shared" si="191"/>
        <v>F0-AI12-8B</v>
      </c>
      <c r="KI115" cm="1">
        <f t="array" ref="KI115">IF(COUNTIFS($U$2:$U115,$U115)=1,1,INDEX(KI:KI,_xlfn.XMATCH(U115,U$1:U114,0,-1))+COUNT(KI114:KM114))</f>
        <v>186</v>
      </c>
      <c r="KJ115">
        <f t="shared" si="203"/>
        <v>187</v>
      </c>
      <c r="KK115">
        <f t="shared" si="204"/>
        <v>188</v>
      </c>
      <c r="KN115">
        <v>1</v>
      </c>
      <c r="KO115" s="16">
        <v>2</v>
      </c>
      <c r="KS115" s="16"/>
    </row>
    <row r="116" spans="1:305" x14ac:dyDescent="0.25">
      <c r="A116" t="s">
        <v>681</v>
      </c>
      <c r="B116" s="33" t="s">
        <v>680</v>
      </c>
      <c r="C116" t="s">
        <v>492</v>
      </c>
      <c r="P116" t="s">
        <v>482</v>
      </c>
      <c r="T116" s="14" t="s">
        <v>554</v>
      </c>
      <c r="U116">
        <v>55</v>
      </c>
      <c r="V116" t="s">
        <v>682</v>
      </c>
      <c r="X116" t="str">
        <f>IF(COUNTIF(X$1:X115,X115)&gt;7,REPLACE(X115,LEN(X115),1,VALUE(RIGHT(X115,1))+1),X115)</f>
        <v>A3.12</v>
      </c>
      <c r="Y116" s="43" cm="1">
        <f t="array" ref="Y116">IF(COUNTIFS($X$2:$X116,$X116)=1,"1",VALUE(SUBSTITUTE(INDEX(Y:Y,_xlfn.XMATCH($X116,$X$1:$X115,0,-1)),"A",""))+INDEX(Z:Z,_xlfn.XMATCH($X116,$X$1:$X115,0,-1))+1)</f>
        <v>5</v>
      </c>
      <c r="Z116" s="43" cm="1">
        <f t="array" ref="Z116">SUM(IF(ISNUMBER(FIND("TmAi",$BE$1:$AAL$1)),IF(IFERROR(ISODD(SUBSTITUTE($BE116:$AAL116,"A","")),FALSE),IF(ISODD(SUBSTITUTE($BE116:$AAL116,"A","")),1,0),0)))</f>
        <v>0</v>
      </c>
      <c r="AA116" t="str">
        <f t="shared" si="196"/>
        <v>9B</v>
      </c>
      <c r="AB116" t="str">
        <f t="shared" si="197"/>
        <v>10B</v>
      </c>
      <c r="AP116" t="s">
        <v>137</v>
      </c>
      <c r="AS116" t="s">
        <v>396</v>
      </c>
      <c r="JZ116" s="27" t="str">
        <f t="shared" si="189"/>
        <v>XT55</v>
      </c>
      <c r="KC116" t="str">
        <f t="shared" si="190"/>
        <v>F0-AI12-9B</v>
      </c>
      <c r="KD116" t="str">
        <f t="shared" si="191"/>
        <v>F0-AI12-10B</v>
      </c>
      <c r="KI116" cm="1">
        <f t="array" ref="KI116">IF(COUNTIFS($U$2:$U116,$U116)=1,1,INDEX(KI:KI,_xlfn.XMATCH(U116,U$1:U115,0,-1))+COUNT(KI115:KM115))</f>
        <v>189</v>
      </c>
      <c r="KJ116">
        <f t="shared" si="203"/>
        <v>190</v>
      </c>
      <c r="KK116">
        <f t="shared" si="204"/>
        <v>191</v>
      </c>
      <c r="KN116">
        <v>1</v>
      </c>
      <c r="KO116" s="16">
        <v>2</v>
      </c>
      <c r="KS116" s="16"/>
    </row>
    <row r="117" spans="1:305" x14ac:dyDescent="0.25">
      <c r="A117" t="s">
        <v>692</v>
      </c>
      <c r="B117" t="s">
        <v>691</v>
      </c>
      <c r="C117" t="s">
        <v>492</v>
      </c>
      <c r="P117" t="s">
        <v>482</v>
      </c>
      <c r="T117" s="14" t="s">
        <v>554</v>
      </c>
      <c r="U117">
        <v>55</v>
      </c>
      <c r="V117" t="s">
        <v>739</v>
      </c>
      <c r="X117" t="s">
        <v>2452</v>
      </c>
      <c r="Y117" s="43" t="str" cm="1">
        <f t="array" ref="Y117">IF(COUNTIFS($X$2:$X117,$X117)=1,"1",VALUE(SUBSTITUTE(INDEX(Y:Y,_xlfn.XMATCH($X117,$X$1:$X116,0,-1)),"A",""))+INDEX(Z:Z,_xlfn.XMATCH($X117,$X$1:$X116,0,-1))+1)</f>
        <v>1</v>
      </c>
      <c r="Z117" s="43" cm="1">
        <f t="array" ref="Z117">SUM(IF(ISNUMBER(FIND("TmAi",$BE$1:$AAL$1)),IF(IFERROR(ISODD(SUBSTITUTE($BE117:$AAL117,"A","")),FALSE),IF(ISODD(SUBSTITUTE($BE117:$AAL117,"A","")),1,0),0)))</f>
        <v>0</v>
      </c>
      <c r="AA117" t="str">
        <f t="shared" si="196"/>
        <v>1B</v>
      </c>
      <c r="AB117" t="str">
        <f t="shared" si="197"/>
        <v>2B</v>
      </c>
      <c r="AP117" t="s">
        <v>137</v>
      </c>
      <c r="AS117" t="s">
        <v>396</v>
      </c>
      <c r="JZ117" s="27" t="str">
        <f t="shared" si="189"/>
        <v>XT55</v>
      </c>
      <c r="KC117" t="str">
        <f t="shared" si="190"/>
        <v>F0-AI13-1B</v>
      </c>
      <c r="KD117" t="str">
        <f t="shared" si="191"/>
        <v>F0-AI13-2B</v>
      </c>
      <c r="KI117" cm="1">
        <f t="array" ref="KI117">IF(COUNTIFS($U$2:$U117,$U117)=1,1,INDEX(KI:KI,_xlfn.XMATCH(U117,U$1:U116,0,-1))+COUNT(KI116:KM116))</f>
        <v>192</v>
      </c>
      <c r="KJ117">
        <f t="shared" si="203"/>
        <v>193</v>
      </c>
      <c r="KK117">
        <f t="shared" si="204"/>
        <v>194</v>
      </c>
      <c r="KN117">
        <v>1</v>
      </c>
      <c r="KO117" s="16">
        <v>2</v>
      </c>
      <c r="KS117" s="16"/>
    </row>
    <row r="118" spans="1:305" x14ac:dyDescent="0.25">
      <c r="A118" t="s">
        <v>694</v>
      </c>
      <c r="B118" t="s">
        <v>693</v>
      </c>
      <c r="C118" t="s">
        <v>498</v>
      </c>
      <c r="P118" t="s">
        <v>482</v>
      </c>
      <c r="T118" s="14" t="s">
        <v>554</v>
      </c>
      <c r="U118">
        <v>55</v>
      </c>
      <c r="V118" t="s">
        <v>740</v>
      </c>
      <c r="X118" t="str">
        <f>IF(COUNTIF(X$1:X117,X117)&gt;7,REPLACE(X117,LEN(X117),1,VALUE(RIGHT(X117,1))+1),X117)</f>
        <v>A3.13</v>
      </c>
      <c r="Y118" s="43" cm="1">
        <f t="array" ref="Y118">IF(COUNTIFS($X$2:$X118,$X118)=1,"1",VALUE(SUBSTITUTE(INDEX(Y:Y,_xlfn.XMATCH($X118,$X$1:$X117,0,-1)),"A",""))+INDEX(Z:Z,_xlfn.XMATCH($X118,$X$1:$X117,0,-1))+1)</f>
        <v>2</v>
      </c>
      <c r="Z118" s="43" cm="1">
        <f t="array" ref="Z118">SUM(IF(ISNUMBER(FIND("TmAi",$BE$1:$AAL$1)),IF(IFERROR(ISODD(SUBSTITUTE($BE118:$AAL118,"A","")),FALSE),IF(ISODD(SUBSTITUTE($BE118:$AAL118,"A","")),1,0),0)))</f>
        <v>0</v>
      </c>
      <c r="AA118" t="str">
        <f t="shared" si="196"/>
        <v>3B</v>
      </c>
      <c r="AB118" t="str">
        <f t="shared" si="197"/>
        <v>4B</v>
      </c>
      <c r="AP118" t="s">
        <v>137</v>
      </c>
      <c r="AS118" t="s">
        <v>396</v>
      </c>
      <c r="JZ118" s="27" t="str">
        <f t="shared" si="189"/>
        <v>XT55</v>
      </c>
      <c r="KC118" t="str">
        <f t="shared" si="190"/>
        <v>F0-AI13-3B</v>
      </c>
      <c r="KD118" t="str">
        <f t="shared" si="191"/>
        <v>F0-AI13-4B</v>
      </c>
      <c r="KI118" cm="1">
        <f t="array" ref="KI118">IF(COUNTIFS($U$2:$U118,$U118)=1,1,INDEX(KI:KI,_xlfn.XMATCH(U118,U$1:U117,0,-1))+COUNT(KI117:KM117))</f>
        <v>195</v>
      </c>
      <c r="KJ118">
        <f t="shared" si="203"/>
        <v>196</v>
      </c>
      <c r="KK118">
        <f t="shared" si="204"/>
        <v>197</v>
      </c>
      <c r="KN118">
        <v>1</v>
      </c>
      <c r="KO118" s="16">
        <v>2</v>
      </c>
      <c r="KS118" s="16"/>
    </row>
    <row r="119" spans="1:305" x14ac:dyDescent="0.25">
      <c r="A119" t="s">
        <v>696</v>
      </c>
      <c r="B119" s="33" t="s">
        <v>695</v>
      </c>
      <c r="C119" t="s">
        <v>492</v>
      </c>
      <c r="P119" t="s">
        <v>482</v>
      </c>
      <c r="T119" s="14" t="s">
        <v>554</v>
      </c>
      <c r="U119">
        <v>55</v>
      </c>
      <c r="V119" t="s">
        <v>741</v>
      </c>
      <c r="X119" t="str">
        <f>IF(COUNTIF(X$1:X118,X118)&gt;7,REPLACE(X118,LEN(X118),1,VALUE(RIGHT(X118,1))+1),X118)</f>
        <v>A3.13</v>
      </c>
      <c r="Y119" s="43" cm="1">
        <f t="array" ref="Y119">IF(COUNTIFS($X$2:$X119,$X119)=1,"1",VALUE(SUBSTITUTE(INDEX(Y:Y,_xlfn.XMATCH($X119,$X$1:$X118,0,-1)),"A",""))+INDEX(Z:Z,_xlfn.XMATCH($X119,$X$1:$X118,0,-1))+1)</f>
        <v>3</v>
      </c>
      <c r="Z119" s="43" cm="1">
        <f t="array" ref="Z119">SUM(IF(ISNUMBER(FIND("TmAi",$BE$1:$AAL$1)),IF(IFERROR(ISODD(SUBSTITUTE($BE119:$AAL119,"A","")),FALSE),IF(ISODD(SUBSTITUTE($BE119:$AAL119,"A","")),1,0),0)))</f>
        <v>0</v>
      </c>
      <c r="AA119" t="str">
        <f t="shared" si="196"/>
        <v>5B</v>
      </c>
      <c r="AB119" t="str">
        <f t="shared" si="197"/>
        <v>6B</v>
      </c>
      <c r="AP119" t="s">
        <v>137</v>
      </c>
      <c r="AS119" t="s">
        <v>396</v>
      </c>
      <c r="JZ119" s="27" t="str">
        <f t="shared" si="189"/>
        <v>XT55</v>
      </c>
      <c r="KC119" t="str">
        <f t="shared" si="190"/>
        <v>F0-AI13-5B</v>
      </c>
      <c r="KD119" t="str">
        <f t="shared" si="191"/>
        <v>F0-AI13-6B</v>
      </c>
      <c r="KI119" cm="1">
        <f t="array" ref="KI119">IF(COUNTIFS($U$2:$U119,$U119)=1,1,INDEX(KI:KI,_xlfn.XMATCH(U119,U$1:U118,0,-1))+COUNT(KI118:KM118))</f>
        <v>198</v>
      </c>
      <c r="KJ119">
        <f t="shared" si="203"/>
        <v>199</v>
      </c>
      <c r="KK119">
        <f t="shared" si="204"/>
        <v>200</v>
      </c>
      <c r="KN119">
        <v>1</v>
      </c>
      <c r="KO119" s="16">
        <v>2</v>
      </c>
      <c r="KS119" s="16"/>
    </row>
    <row r="120" spans="1:305" x14ac:dyDescent="0.25">
      <c r="A120" t="s">
        <v>697</v>
      </c>
      <c r="B120" t="s">
        <v>718</v>
      </c>
      <c r="C120" t="s">
        <v>492</v>
      </c>
      <c r="P120" t="s">
        <v>482</v>
      </c>
      <c r="T120" s="14" t="s">
        <v>554</v>
      </c>
      <c r="U120">
        <v>55</v>
      </c>
      <c r="V120" t="s">
        <v>742</v>
      </c>
      <c r="X120" t="str">
        <f>IF(COUNTIF(X$1:X119,X119)&gt;7,REPLACE(X119,LEN(X119),1,VALUE(RIGHT(X119,1))+1),X119)</f>
        <v>A3.13</v>
      </c>
      <c r="Y120" s="43" cm="1">
        <f t="array" ref="Y120">IF(COUNTIFS($X$2:$X120,$X120)=1,"1",VALUE(SUBSTITUTE(INDEX(Y:Y,_xlfn.XMATCH($X120,$X$1:$X119,0,-1)),"A",""))+INDEX(Z:Z,_xlfn.XMATCH($X120,$X$1:$X119,0,-1))+1)</f>
        <v>4</v>
      </c>
      <c r="Z120" s="43" cm="1">
        <f t="array" ref="Z120">SUM(IF(ISNUMBER(FIND("TmAi",$BE$1:$AAL$1)),IF(IFERROR(ISODD(SUBSTITUTE($BE120:$AAL120,"A","")),FALSE),IF(ISODD(SUBSTITUTE($BE120:$AAL120,"A","")),1,0),0)))</f>
        <v>0</v>
      </c>
      <c r="AA120" t="str">
        <f t="shared" si="196"/>
        <v>7B</v>
      </c>
      <c r="AB120" t="str">
        <f t="shared" si="197"/>
        <v>8B</v>
      </c>
      <c r="AP120" t="s">
        <v>137</v>
      </c>
      <c r="AS120" t="s">
        <v>396</v>
      </c>
      <c r="JZ120" s="27" t="str">
        <f t="shared" ref="JZ120:JZ151" si="205">CONCATENATE("XT",U120)</f>
        <v>XT55</v>
      </c>
      <c r="KC120" t="str">
        <f t="shared" ref="KC120:KC151" si="206">CONCATENATE(T120,"-AI",REPLACE($X120,1,3,""),"-",AA120)</f>
        <v>F0-AI13-7B</v>
      </c>
      <c r="KD120" t="str">
        <f t="shared" ref="KD120:KD151" si="207">CONCATENATE(T120,"-AI",REPLACE($X120,1,3,""),"-",AB120)</f>
        <v>F0-AI13-8B</v>
      </c>
      <c r="KI120" cm="1">
        <f t="array" ref="KI120">IF(COUNTIFS($U$2:$U120,$U120)=1,1,INDEX(KI:KI,_xlfn.XMATCH(U120,U$1:U119,0,-1))+COUNT(KI119:KM119))</f>
        <v>201</v>
      </c>
      <c r="KJ120">
        <f t="shared" si="203"/>
        <v>202</v>
      </c>
      <c r="KK120">
        <f t="shared" si="204"/>
        <v>203</v>
      </c>
      <c r="KN120">
        <v>1</v>
      </c>
      <c r="KO120" s="16">
        <v>2</v>
      </c>
      <c r="KS120" s="16"/>
    </row>
    <row r="121" spans="1:305" x14ac:dyDescent="0.25">
      <c r="A121" t="s">
        <v>698</v>
      </c>
      <c r="B121" t="s">
        <v>719</v>
      </c>
      <c r="C121" t="s">
        <v>498</v>
      </c>
      <c r="P121" t="s">
        <v>482</v>
      </c>
      <c r="T121" s="14" t="s">
        <v>554</v>
      </c>
      <c r="U121">
        <v>55</v>
      </c>
      <c r="V121" t="s">
        <v>743</v>
      </c>
      <c r="X121" s="33" t="str">
        <f>IF(COUNTIF(X$1:X120,X120)&gt;7,REPLACE(X120,LEN(X120),1,VALUE(RIGHT(X120,1))+1),X120)</f>
        <v>A3.13</v>
      </c>
      <c r="Y121" s="45" cm="1">
        <f t="array" ref="Y121">IF(COUNTIFS($X$2:$X121,$X121)=1,"1",VALUE(SUBSTITUTE(INDEX(Y:Y,_xlfn.XMATCH($X121,$X$1:$X120,0,-1)),"A",""))+INDEX(Z:Z,_xlfn.XMATCH($X121,$X$1:$X120,0,-1))+1)</f>
        <v>5</v>
      </c>
      <c r="Z121" s="43" cm="1">
        <f t="array" ref="Z121">SUM(IF(ISNUMBER(FIND("TmAi",$BE$1:$AAL$1)),IF(IFERROR(ISODD(SUBSTITUTE($BE121:$AAL121,"A","")),FALSE),IF(ISODD(SUBSTITUTE($BE121:$AAL121,"A","")),1,0),0)))</f>
        <v>0</v>
      </c>
      <c r="AA121" t="str">
        <f t="shared" si="196"/>
        <v>9B</v>
      </c>
      <c r="AB121" t="str">
        <f t="shared" si="197"/>
        <v>10B</v>
      </c>
      <c r="AP121" t="s">
        <v>137</v>
      </c>
      <c r="AS121" t="s">
        <v>396</v>
      </c>
      <c r="JZ121" s="27" t="str">
        <f t="shared" si="205"/>
        <v>XT55</v>
      </c>
      <c r="KC121" t="str">
        <f t="shared" si="206"/>
        <v>F0-AI13-9B</v>
      </c>
      <c r="KD121" t="str">
        <f t="shared" si="207"/>
        <v>F0-AI13-10B</v>
      </c>
      <c r="KI121" cm="1">
        <f t="array" ref="KI121">IF(COUNTIFS($U$2:$U121,$U121)=1,1,INDEX(KI:KI,_xlfn.XMATCH(U121,U$1:U120,0,-1))+COUNT(KI120:KM120))</f>
        <v>204</v>
      </c>
      <c r="KJ121">
        <f t="shared" si="203"/>
        <v>205</v>
      </c>
      <c r="KK121">
        <f t="shared" si="204"/>
        <v>206</v>
      </c>
      <c r="KN121">
        <v>1</v>
      </c>
      <c r="KO121" s="16">
        <v>2</v>
      </c>
      <c r="KS121" s="16"/>
    </row>
    <row r="122" spans="1:305" x14ac:dyDescent="0.25">
      <c r="A122" t="s">
        <v>699</v>
      </c>
      <c r="B122" s="33" t="s">
        <v>720</v>
      </c>
      <c r="C122" t="s">
        <v>492</v>
      </c>
      <c r="P122" t="s">
        <v>482</v>
      </c>
      <c r="T122" s="14" t="s">
        <v>554</v>
      </c>
      <c r="U122">
        <v>55</v>
      </c>
      <c r="V122" t="s">
        <v>744</v>
      </c>
      <c r="X122" t="str">
        <f>IF(COUNTIF(X$1:X121,X121)&gt;7,REPLACE(X121,LEN(X121),1,VALUE(RIGHT(X121,1))+1),X121)</f>
        <v>A3.13</v>
      </c>
      <c r="Y122" s="43" cm="1">
        <f t="array" ref="Y122">IF(COUNTIFS($X$2:$X122,$X122)=1,"1",VALUE(SUBSTITUTE(INDEX(Y:Y,_xlfn.XMATCH($X122,$X$1:$X121,0,-1)),"A",""))+INDEX(Z:Z,_xlfn.XMATCH($X122,$X$1:$X121,0,-1))+1)</f>
        <v>6</v>
      </c>
      <c r="Z122" s="43" cm="1">
        <f t="array" ref="Z122">SUM(IF(ISNUMBER(FIND("TmAi",$BE$1:$AAL$1)),IF(IFERROR(ISODD(SUBSTITUTE($BE122:$AAL122,"A","")),FALSE),IF(ISODD(SUBSTITUTE($BE122:$AAL122,"A","")),1,0),0)))</f>
        <v>0</v>
      </c>
      <c r="AA122" t="str">
        <f t="shared" si="196"/>
        <v>11B</v>
      </c>
      <c r="AB122" t="str">
        <f t="shared" si="197"/>
        <v>12B</v>
      </c>
      <c r="AP122" t="s">
        <v>137</v>
      </c>
      <c r="AS122" t="s">
        <v>396</v>
      </c>
      <c r="JZ122" s="27" t="str">
        <f t="shared" si="205"/>
        <v>XT55</v>
      </c>
      <c r="KC122" t="str">
        <f t="shared" si="206"/>
        <v>F0-AI13-11B</v>
      </c>
      <c r="KD122" t="str">
        <f t="shared" si="207"/>
        <v>F0-AI13-12B</v>
      </c>
      <c r="KI122" cm="1">
        <f t="array" ref="KI122">IF(COUNTIFS($U$2:$U122,$U122)=1,1,INDEX(KI:KI,_xlfn.XMATCH(U122,U$1:U121,0,-1))+COUNT(KI121:KM121))</f>
        <v>207</v>
      </c>
      <c r="KJ122">
        <f t="shared" si="203"/>
        <v>208</v>
      </c>
      <c r="KK122">
        <f t="shared" si="204"/>
        <v>209</v>
      </c>
      <c r="KN122">
        <v>1</v>
      </c>
      <c r="KO122" s="16">
        <v>2</v>
      </c>
      <c r="KS122" s="16"/>
    </row>
    <row r="123" spans="1:305" x14ac:dyDescent="0.25">
      <c r="A123" t="s">
        <v>700</v>
      </c>
      <c r="B123" t="s">
        <v>721</v>
      </c>
      <c r="C123" t="s">
        <v>492</v>
      </c>
      <c r="P123" t="s">
        <v>482</v>
      </c>
      <c r="T123" s="14" t="s">
        <v>554</v>
      </c>
      <c r="U123">
        <v>55</v>
      </c>
      <c r="V123" t="s">
        <v>745</v>
      </c>
      <c r="X123" t="s">
        <v>2982</v>
      </c>
      <c r="Y123" s="43" t="str" cm="1">
        <f t="array" ref="Y123">IF(COUNTIFS($X$2:$X123,$X123)=1,"1",VALUE(SUBSTITUTE(INDEX(Y:Y,_xlfn.XMATCH($X123,$X$1:$X122,0,-1)),"A",""))+INDEX(Z:Z,_xlfn.XMATCH($X123,$X$1:$X122,0,-1))+1)</f>
        <v>1</v>
      </c>
      <c r="Z123" s="43" cm="1">
        <f t="array" ref="Z123">SUM(IF(ISNUMBER(FIND("TmAi",$BE$1:$AAL$1)),IF(IFERROR(ISODD(SUBSTITUTE($BE123:$AAL123,"A","")),FALSE),IF(ISODD(SUBSTITUTE($BE123:$AAL123,"A","")),1,0),0)))</f>
        <v>0</v>
      </c>
      <c r="AA123" t="str">
        <f t="shared" si="196"/>
        <v>1B</v>
      </c>
      <c r="AB123" t="str">
        <f t="shared" si="197"/>
        <v>2B</v>
      </c>
      <c r="AP123" t="s">
        <v>137</v>
      </c>
      <c r="AS123" t="s">
        <v>396</v>
      </c>
      <c r="JZ123" s="27" t="str">
        <f t="shared" si="205"/>
        <v>XT55</v>
      </c>
      <c r="KC123" t="str">
        <f t="shared" si="206"/>
        <v>F0-AI14-1B</v>
      </c>
      <c r="KD123" t="str">
        <f t="shared" si="207"/>
        <v>F0-AI14-2B</v>
      </c>
      <c r="KI123" cm="1">
        <f t="array" ref="KI123">IF(COUNTIFS($U$2:$U123,$U123)=1,1,INDEX(KI:KI,_xlfn.XMATCH(U123,U$1:U122,0,-1))+COUNT(KI122:KM122))</f>
        <v>210</v>
      </c>
      <c r="KJ123">
        <f t="shared" si="203"/>
        <v>211</v>
      </c>
      <c r="KK123">
        <f t="shared" si="204"/>
        <v>212</v>
      </c>
      <c r="KN123">
        <v>1</v>
      </c>
      <c r="KO123" s="16">
        <v>2</v>
      </c>
      <c r="KS123" s="16"/>
    </row>
    <row r="124" spans="1:305" x14ac:dyDescent="0.25">
      <c r="A124" t="s">
        <v>701</v>
      </c>
      <c r="B124" t="s">
        <v>722</v>
      </c>
      <c r="C124" t="s">
        <v>498</v>
      </c>
      <c r="P124" t="s">
        <v>482</v>
      </c>
      <c r="T124" s="14" t="s">
        <v>554</v>
      </c>
      <c r="U124">
        <v>55</v>
      </c>
      <c r="V124" t="s">
        <v>746</v>
      </c>
      <c r="X124" t="str">
        <f>IF(COUNTIF(X$1:X123,X123)&gt;7,REPLACE(X123,LEN(X123),1,VALUE(RIGHT(X123,1))+1),X123)</f>
        <v>A3.14</v>
      </c>
      <c r="Y124" s="43" cm="1">
        <f t="array" ref="Y124">IF(COUNTIFS($X$2:$X124,$X124)=1,"1",VALUE(SUBSTITUTE(INDEX(Y:Y,_xlfn.XMATCH($X124,$X$1:$X123,0,-1)),"A",""))+INDEX(Z:Z,_xlfn.XMATCH($X124,$X$1:$X123,0,-1))+1)</f>
        <v>2</v>
      </c>
      <c r="Z124" s="43" cm="1">
        <f t="array" ref="Z124">SUM(IF(ISNUMBER(FIND("TmAi",$BE$1:$AAL$1)),IF(IFERROR(ISODD(SUBSTITUTE($BE124:$AAL124,"A","")),FALSE),IF(ISODD(SUBSTITUTE($BE124:$AAL124,"A","")),1,0),0)))</f>
        <v>0</v>
      </c>
      <c r="AA124" t="str">
        <f t="shared" si="196"/>
        <v>3B</v>
      </c>
      <c r="AB124" t="str">
        <f t="shared" si="197"/>
        <v>4B</v>
      </c>
      <c r="AP124" t="s">
        <v>137</v>
      </c>
      <c r="AS124" t="s">
        <v>396</v>
      </c>
      <c r="JZ124" s="27" t="str">
        <f t="shared" si="205"/>
        <v>XT55</v>
      </c>
      <c r="KC124" t="str">
        <f t="shared" si="206"/>
        <v>F0-AI14-3B</v>
      </c>
      <c r="KD124" t="str">
        <f t="shared" si="207"/>
        <v>F0-AI14-4B</v>
      </c>
      <c r="KI124" cm="1">
        <f t="array" ref="KI124">IF(COUNTIFS($U$2:$U124,$U124)=1,1,INDEX(KI:KI,_xlfn.XMATCH(U124,U$1:U123,0,-1))+COUNT(KI123:KM123))</f>
        <v>213</v>
      </c>
      <c r="KJ124">
        <f t="shared" si="203"/>
        <v>214</v>
      </c>
      <c r="KK124">
        <f t="shared" si="204"/>
        <v>215</v>
      </c>
      <c r="KN124">
        <v>1</v>
      </c>
      <c r="KO124" s="16">
        <v>2</v>
      </c>
      <c r="KS124" s="16"/>
    </row>
    <row r="125" spans="1:305" x14ac:dyDescent="0.25">
      <c r="A125" t="s">
        <v>702</v>
      </c>
      <c r="B125" s="33" t="s">
        <v>723</v>
      </c>
      <c r="C125" t="s">
        <v>492</v>
      </c>
      <c r="P125" t="s">
        <v>482</v>
      </c>
      <c r="T125" s="14" t="s">
        <v>554</v>
      </c>
      <c r="U125">
        <v>55</v>
      </c>
      <c r="V125" t="s">
        <v>747</v>
      </c>
      <c r="X125" t="str">
        <f>IF(COUNTIF(X$1:X124,X124)&gt;7,REPLACE(X124,LEN(X124),1,VALUE(RIGHT(X124,1))+1),X124)</f>
        <v>A3.14</v>
      </c>
      <c r="Y125" s="43" cm="1">
        <f t="array" ref="Y125">IF(COUNTIFS($X$2:$X125,$X125)=1,"1",VALUE(SUBSTITUTE(INDEX(Y:Y,_xlfn.XMATCH($X125,$X$1:$X124,0,-1)),"A",""))+INDEX(Z:Z,_xlfn.XMATCH($X125,$X$1:$X124,0,-1))+1)</f>
        <v>3</v>
      </c>
      <c r="Z125" s="43" cm="1">
        <f t="array" ref="Z125">SUM(IF(ISNUMBER(FIND("TmAi",$BE$1:$AAL$1)),IF(IFERROR(ISODD(SUBSTITUTE($BE125:$AAL125,"A","")),FALSE),IF(ISODD(SUBSTITUTE($BE125:$AAL125,"A","")),1,0),0)))</f>
        <v>0</v>
      </c>
      <c r="AA125" t="str">
        <f t="shared" si="196"/>
        <v>5B</v>
      </c>
      <c r="AB125" t="str">
        <f t="shared" si="197"/>
        <v>6B</v>
      </c>
      <c r="AP125" t="s">
        <v>137</v>
      </c>
      <c r="AS125" t="s">
        <v>396</v>
      </c>
      <c r="JZ125" s="27" t="str">
        <f t="shared" si="205"/>
        <v>XT55</v>
      </c>
      <c r="KC125" t="str">
        <f t="shared" si="206"/>
        <v>F0-AI14-5B</v>
      </c>
      <c r="KD125" t="str">
        <f t="shared" si="207"/>
        <v>F0-AI14-6B</v>
      </c>
      <c r="KI125" cm="1">
        <f t="array" ref="KI125">IF(COUNTIFS($U$2:$U125,$U125)=1,1,INDEX(KI:KI,_xlfn.XMATCH(U125,U$1:U124,0,-1))+COUNT(KI124:KM124))</f>
        <v>216</v>
      </c>
      <c r="KJ125">
        <f t="shared" si="203"/>
        <v>217</v>
      </c>
      <c r="KK125">
        <f t="shared" si="204"/>
        <v>218</v>
      </c>
      <c r="KN125">
        <v>1</v>
      </c>
      <c r="KO125" s="16">
        <v>2</v>
      </c>
      <c r="KS125" s="16"/>
    </row>
    <row r="126" spans="1:305" x14ac:dyDescent="0.25">
      <c r="A126" t="s">
        <v>703</v>
      </c>
      <c r="B126" t="s">
        <v>724</v>
      </c>
      <c r="C126" t="s">
        <v>492</v>
      </c>
      <c r="P126" t="s">
        <v>482</v>
      </c>
      <c r="T126" s="14" t="s">
        <v>554</v>
      </c>
      <c r="U126">
        <v>55</v>
      </c>
      <c r="V126" t="s">
        <v>748</v>
      </c>
      <c r="X126" t="str">
        <f>IF(COUNTIF(X$1:X125,X125)&gt;7,REPLACE(X125,LEN(X125),1,VALUE(RIGHT(X125,1))+1),X125)</f>
        <v>A3.14</v>
      </c>
      <c r="Y126" s="43" cm="1">
        <f t="array" ref="Y126">IF(COUNTIFS($X$2:$X126,$X126)=1,"1",VALUE(SUBSTITUTE(INDEX(Y:Y,_xlfn.XMATCH($X126,$X$1:$X125,0,-1)),"A",""))+INDEX(Z:Z,_xlfn.XMATCH($X126,$X$1:$X125,0,-1))+1)</f>
        <v>4</v>
      </c>
      <c r="Z126" s="43" cm="1">
        <f t="array" ref="Z126">SUM(IF(ISNUMBER(FIND("TmAi",$BE$1:$AAL$1)),IF(IFERROR(ISODD(SUBSTITUTE($BE126:$AAL126,"A","")),FALSE),IF(ISODD(SUBSTITUTE($BE126:$AAL126,"A","")),1,0),0)))</f>
        <v>0</v>
      </c>
      <c r="AA126" t="str">
        <f t="shared" si="196"/>
        <v>7B</v>
      </c>
      <c r="AB126" t="str">
        <f t="shared" si="197"/>
        <v>8B</v>
      </c>
      <c r="AP126" t="s">
        <v>137</v>
      </c>
      <c r="AS126" t="s">
        <v>396</v>
      </c>
      <c r="JZ126" s="27" t="str">
        <f t="shared" si="205"/>
        <v>XT55</v>
      </c>
      <c r="KC126" t="str">
        <f t="shared" si="206"/>
        <v>F0-AI14-7B</v>
      </c>
      <c r="KD126" t="str">
        <f t="shared" si="207"/>
        <v>F0-AI14-8B</v>
      </c>
      <c r="KI126" cm="1">
        <f t="array" ref="KI126">IF(COUNTIFS($U$2:$U126,$U126)=1,1,INDEX(KI:KI,_xlfn.XMATCH(U126,U$1:U125,0,-1))+COUNT(KI125:KM125))</f>
        <v>219</v>
      </c>
      <c r="KJ126">
        <f t="shared" si="203"/>
        <v>220</v>
      </c>
      <c r="KK126">
        <f t="shared" si="204"/>
        <v>221</v>
      </c>
      <c r="KN126">
        <v>1</v>
      </c>
      <c r="KO126" s="16">
        <v>2</v>
      </c>
      <c r="KS126" s="16"/>
    </row>
    <row r="127" spans="1:305" x14ac:dyDescent="0.25">
      <c r="A127" t="s">
        <v>704</v>
      </c>
      <c r="B127" t="s">
        <v>725</v>
      </c>
      <c r="C127" t="s">
        <v>498</v>
      </c>
      <c r="P127" t="s">
        <v>482</v>
      </c>
      <c r="T127" s="14" t="s">
        <v>554</v>
      </c>
      <c r="U127">
        <v>55</v>
      </c>
      <c r="V127" t="s">
        <v>749</v>
      </c>
      <c r="X127" t="str">
        <f>IF(COUNTIF(X$1:X126,X126)&gt;7,REPLACE(X126,LEN(X126),1,VALUE(RIGHT(X126,1))+1),X126)</f>
        <v>A3.14</v>
      </c>
      <c r="Y127" s="43" cm="1">
        <f t="array" ref="Y127">IF(COUNTIFS($X$2:$X127,$X127)=1,"1",VALUE(SUBSTITUTE(INDEX(Y:Y,_xlfn.XMATCH($X127,$X$1:$X126,0,-1)),"A",""))+INDEX(Z:Z,_xlfn.XMATCH($X127,$X$1:$X126,0,-1))+1)</f>
        <v>5</v>
      </c>
      <c r="Z127" s="43" cm="1">
        <f t="array" ref="Z127">SUM(IF(ISNUMBER(FIND("TmAi",$BE$1:$AAL$1)),IF(IFERROR(ISODD(SUBSTITUTE($BE127:$AAL127,"A","")),FALSE),IF(ISODD(SUBSTITUTE($BE127:$AAL127,"A","")),1,0),0)))</f>
        <v>0</v>
      </c>
      <c r="AA127" t="str">
        <f t="shared" si="196"/>
        <v>9B</v>
      </c>
      <c r="AB127" t="str">
        <f t="shared" si="197"/>
        <v>10B</v>
      </c>
      <c r="AP127" t="s">
        <v>137</v>
      </c>
      <c r="AS127" t="s">
        <v>396</v>
      </c>
      <c r="JZ127" s="27" t="str">
        <f t="shared" si="205"/>
        <v>XT55</v>
      </c>
      <c r="KC127" t="str">
        <f t="shared" si="206"/>
        <v>F0-AI14-9B</v>
      </c>
      <c r="KD127" t="str">
        <f t="shared" si="207"/>
        <v>F0-AI14-10B</v>
      </c>
      <c r="KI127" cm="1">
        <f t="array" ref="KI127">IF(COUNTIFS($U$2:$U127,$U127)=1,1,INDEX(KI:KI,_xlfn.XMATCH(U127,U$1:U126,0,-1))+COUNT(KI126:KM126))</f>
        <v>222</v>
      </c>
      <c r="KJ127">
        <f t="shared" si="203"/>
        <v>223</v>
      </c>
      <c r="KK127">
        <f t="shared" si="204"/>
        <v>224</v>
      </c>
      <c r="KN127">
        <v>1</v>
      </c>
      <c r="KO127" s="16">
        <v>2</v>
      </c>
      <c r="KS127" s="16"/>
    </row>
    <row r="128" spans="1:305" x14ac:dyDescent="0.25">
      <c r="A128" t="s">
        <v>705</v>
      </c>
      <c r="B128" s="33" t="s">
        <v>726</v>
      </c>
      <c r="C128" t="s">
        <v>492</v>
      </c>
      <c r="P128" t="s">
        <v>482</v>
      </c>
      <c r="T128" s="14" t="s">
        <v>554</v>
      </c>
      <c r="U128">
        <v>55</v>
      </c>
      <c r="V128" t="s">
        <v>750</v>
      </c>
      <c r="X128" t="str">
        <f>IF(COUNTIF(X$1:X127,X127)&gt;7,REPLACE(X127,LEN(X127),1,VALUE(RIGHT(X127,1))+1),X127)</f>
        <v>A3.14</v>
      </c>
      <c r="Y128" s="43" cm="1">
        <f t="array" ref="Y128">IF(COUNTIFS($X$2:$X128,$X128)=1,"1",VALUE(SUBSTITUTE(INDEX(Y:Y,_xlfn.XMATCH($X128,$X$1:$X127,0,-1)),"A",""))+INDEX(Z:Z,_xlfn.XMATCH($X128,$X$1:$X127,0,-1))+1)</f>
        <v>6</v>
      </c>
      <c r="Z128" s="43" cm="1">
        <f t="array" ref="Z128">SUM(IF(ISNUMBER(FIND("TmAi",$BE$1:$AAL$1)),IF(IFERROR(ISODD(SUBSTITUTE($BE128:$AAL128,"A","")),FALSE),IF(ISODD(SUBSTITUTE($BE128:$AAL128,"A","")),1,0),0)))</f>
        <v>0</v>
      </c>
      <c r="AA128" t="str">
        <f t="shared" si="196"/>
        <v>11B</v>
      </c>
      <c r="AB128" t="str">
        <f t="shared" si="197"/>
        <v>12B</v>
      </c>
      <c r="AP128" t="s">
        <v>137</v>
      </c>
      <c r="AS128" t="s">
        <v>396</v>
      </c>
      <c r="JZ128" s="27" t="str">
        <f t="shared" si="205"/>
        <v>XT55</v>
      </c>
      <c r="KC128" t="str">
        <f t="shared" si="206"/>
        <v>F0-AI14-11B</v>
      </c>
      <c r="KD128" t="str">
        <f t="shared" si="207"/>
        <v>F0-AI14-12B</v>
      </c>
      <c r="KI128" cm="1">
        <f t="array" ref="KI128">IF(COUNTIFS($U$2:$U128,$U128)=1,1,INDEX(KI:KI,_xlfn.XMATCH(U128,U$1:U127,0,-1))+COUNT(KI127:KM127))</f>
        <v>225</v>
      </c>
      <c r="KJ128">
        <f t="shared" si="203"/>
        <v>226</v>
      </c>
      <c r="KK128">
        <f t="shared" si="204"/>
        <v>227</v>
      </c>
      <c r="KN128">
        <v>1</v>
      </c>
      <c r="KO128" s="16">
        <v>2</v>
      </c>
      <c r="KS128" s="16"/>
    </row>
    <row r="129" spans="1:305" x14ac:dyDescent="0.25">
      <c r="A129" t="s">
        <v>706</v>
      </c>
      <c r="B129" t="s">
        <v>727</v>
      </c>
      <c r="C129" t="s">
        <v>492</v>
      </c>
      <c r="P129" t="s">
        <v>482</v>
      </c>
      <c r="T129" s="14" t="s">
        <v>554</v>
      </c>
      <c r="U129">
        <v>55</v>
      </c>
      <c r="V129" t="s">
        <v>751</v>
      </c>
      <c r="X129" s="33" t="s">
        <v>2492</v>
      </c>
      <c r="Y129" s="45" t="str" cm="1">
        <f t="array" ref="Y129">IF(COUNTIFS($X$2:$X129,$X129)=1,"1",VALUE(SUBSTITUTE(INDEX(Y:Y,_xlfn.XMATCH($X129,$X$1:$X128,0,-1)),"A",""))+INDEX(Z:Z,_xlfn.XMATCH($X129,$X$1:$X128,0,-1))+1)</f>
        <v>1</v>
      </c>
      <c r="Z129" s="43" cm="1">
        <f t="array" ref="Z129">SUM(IF(ISNUMBER(FIND("TmAi",$BE$1:$AAL$1)),IF(IFERROR(ISODD(SUBSTITUTE($BE129:$AAL129,"A","")),FALSE),IF(ISODD(SUBSTITUTE($BE129:$AAL129,"A","")),1,0),0)))</f>
        <v>0</v>
      </c>
      <c r="AA129" t="str">
        <f t="shared" si="196"/>
        <v>1B</v>
      </c>
      <c r="AB129" t="str">
        <f t="shared" si="197"/>
        <v>2B</v>
      </c>
      <c r="AP129" t="s">
        <v>137</v>
      </c>
      <c r="AS129" t="s">
        <v>396</v>
      </c>
      <c r="JZ129" s="27" t="str">
        <f t="shared" si="205"/>
        <v>XT55</v>
      </c>
      <c r="KC129" t="str">
        <f t="shared" si="206"/>
        <v>F0-AI15-1B</v>
      </c>
      <c r="KD129" t="str">
        <f t="shared" si="207"/>
        <v>F0-AI15-2B</v>
      </c>
      <c r="KI129" cm="1">
        <f t="array" ref="KI129">IF(COUNTIFS($U$2:$U129,$U129)=1,1,INDEX(KI:KI,_xlfn.XMATCH(U129,U$1:U128,0,-1))+COUNT(KI128:KM128))</f>
        <v>228</v>
      </c>
      <c r="KJ129">
        <f t="shared" si="203"/>
        <v>229</v>
      </c>
      <c r="KK129">
        <f t="shared" si="204"/>
        <v>230</v>
      </c>
      <c r="KN129">
        <v>1</v>
      </c>
      <c r="KO129" s="16">
        <v>2</v>
      </c>
      <c r="KS129" s="16"/>
    </row>
    <row r="130" spans="1:305" x14ac:dyDescent="0.25">
      <c r="A130" t="s">
        <v>707</v>
      </c>
      <c r="B130" t="s">
        <v>728</v>
      </c>
      <c r="C130" t="s">
        <v>498</v>
      </c>
      <c r="P130" t="s">
        <v>482</v>
      </c>
      <c r="T130" s="14" t="s">
        <v>554</v>
      </c>
      <c r="U130">
        <v>55</v>
      </c>
      <c r="V130" t="s">
        <v>752</v>
      </c>
      <c r="X130" t="str">
        <f>IF(COUNTIF(X$1:X129,X129)&gt;7,REPLACE(X129,LEN(X129),1,VALUE(RIGHT(X129,1))+1),X129)</f>
        <v>A3.15</v>
      </c>
      <c r="Y130" s="43" cm="1">
        <f t="array" ref="Y130">IF(COUNTIFS($X$2:$X130,$X130)=1,"1",VALUE(SUBSTITUTE(INDEX(Y:Y,_xlfn.XMATCH($X130,$X$1:$X129,0,-1)),"A",""))+INDEX(Z:Z,_xlfn.XMATCH($X130,$X$1:$X129,0,-1))+1)</f>
        <v>2</v>
      </c>
      <c r="Z130" s="43" cm="1">
        <f t="array" ref="Z130">SUM(IF(ISNUMBER(FIND("TmAi",$BE$1:$AAL$1)),IF(IFERROR(ISODD(SUBSTITUTE($BE130:$AAL130,"A","")),FALSE),IF(ISODD(SUBSTITUTE($BE130:$AAL130,"A","")),1,0),0)))</f>
        <v>0</v>
      </c>
      <c r="AA130" t="str">
        <f t="shared" si="196"/>
        <v>3B</v>
      </c>
      <c r="AB130" t="str">
        <f t="shared" si="197"/>
        <v>4B</v>
      </c>
      <c r="AP130" t="s">
        <v>137</v>
      </c>
      <c r="AS130" t="s">
        <v>396</v>
      </c>
      <c r="JZ130" s="27" t="str">
        <f t="shared" si="205"/>
        <v>XT55</v>
      </c>
      <c r="KC130" t="str">
        <f t="shared" si="206"/>
        <v>F0-AI15-3B</v>
      </c>
      <c r="KD130" t="str">
        <f t="shared" si="207"/>
        <v>F0-AI15-4B</v>
      </c>
      <c r="KI130" cm="1">
        <f t="array" ref="KI130">IF(COUNTIFS($U$2:$U130,$U130)=1,1,INDEX(KI:KI,_xlfn.XMATCH(U130,U$1:U129,0,-1))+COUNT(KI129:KM129))</f>
        <v>231</v>
      </c>
      <c r="KJ130">
        <f t="shared" si="203"/>
        <v>232</v>
      </c>
      <c r="KK130">
        <f t="shared" si="204"/>
        <v>233</v>
      </c>
      <c r="KN130">
        <v>1</v>
      </c>
      <c r="KO130" s="16">
        <v>2</v>
      </c>
      <c r="KS130" s="16"/>
    </row>
    <row r="131" spans="1:305" x14ac:dyDescent="0.25">
      <c r="A131" t="s">
        <v>708</v>
      </c>
      <c r="B131" s="33" t="s">
        <v>729</v>
      </c>
      <c r="C131" t="s">
        <v>492</v>
      </c>
      <c r="P131" t="s">
        <v>482</v>
      </c>
      <c r="T131" s="14" t="s">
        <v>554</v>
      </c>
      <c r="U131">
        <v>55</v>
      </c>
      <c r="V131" t="s">
        <v>753</v>
      </c>
      <c r="X131" t="str">
        <f>IF(COUNTIF(X$1:X130,X130)&gt;7,REPLACE(X130,LEN(X130),1,VALUE(RIGHT(X130,1))+1),X130)</f>
        <v>A3.15</v>
      </c>
      <c r="Y131" s="43" cm="1">
        <f t="array" ref="Y131">IF(COUNTIFS($X$2:$X131,$X131)=1,"1",VALUE(SUBSTITUTE(INDEX(Y:Y,_xlfn.XMATCH($X131,$X$1:$X130,0,-1)),"A",""))+INDEX(Z:Z,_xlfn.XMATCH($X131,$X$1:$X130,0,-1))+1)</f>
        <v>3</v>
      </c>
      <c r="Z131" s="43" cm="1">
        <f t="array" ref="Z131">SUM(IF(ISNUMBER(FIND("TmAi",$BE$1:$AAL$1)),IF(IFERROR(ISODD(SUBSTITUTE($BE131:$AAL131,"A","")),FALSE),IF(ISODD(SUBSTITUTE($BE131:$AAL131,"A","")),1,0),0)))</f>
        <v>0</v>
      </c>
      <c r="AA131" t="str">
        <f t="shared" si="196"/>
        <v>5B</v>
      </c>
      <c r="AB131" t="str">
        <f t="shared" si="197"/>
        <v>6B</v>
      </c>
      <c r="AP131" t="s">
        <v>137</v>
      </c>
      <c r="AS131" t="s">
        <v>396</v>
      </c>
      <c r="JZ131" s="27" t="str">
        <f t="shared" si="205"/>
        <v>XT55</v>
      </c>
      <c r="KC131" t="str">
        <f t="shared" si="206"/>
        <v>F0-AI15-5B</v>
      </c>
      <c r="KD131" t="str">
        <f t="shared" si="207"/>
        <v>F0-AI15-6B</v>
      </c>
      <c r="KI131" cm="1">
        <f t="array" ref="KI131">IF(COUNTIFS($U$2:$U131,$U131)=1,1,INDEX(KI:KI,_xlfn.XMATCH(U131,U$1:U130,0,-1))+COUNT(KI130:KM130))</f>
        <v>234</v>
      </c>
      <c r="KJ131">
        <f t="shared" si="203"/>
        <v>235</v>
      </c>
      <c r="KK131">
        <f t="shared" si="204"/>
        <v>236</v>
      </c>
      <c r="KN131">
        <v>1</v>
      </c>
      <c r="KO131" s="16">
        <v>2</v>
      </c>
      <c r="KS131" s="16"/>
    </row>
    <row r="132" spans="1:305" x14ac:dyDescent="0.25">
      <c r="A132" t="s">
        <v>709</v>
      </c>
      <c r="B132" t="s">
        <v>730</v>
      </c>
      <c r="C132" t="s">
        <v>492</v>
      </c>
      <c r="P132" t="s">
        <v>482</v>
      </c>
      <c r="T132" s="14" t="s">
        <v>554</v>
      </c>
      <c r="U132">
        <v>55</v>
      </c>
      <c r="V132" t="s">
        <v>754</v>
      </c>
      <c r="X132" t="str">
        <f>IF(COUNTIF(X$1:X131,X131)&gt;7,REPLACE(X131,LEN(X131),1,VALUE(RIGHT(X131,1))+1),X131)</f>
        <v>A3.15</v>
      </c>
      <c r="Y132" s="43" cm="1">
        <f t="array" ref="Y132">IF(COUNTIFS($X$2:$X132,$X132)=1,"1",VALUE(SUBSTITUTE(INDEX(Y:Y,_xlfn.XMATCH($X132,$X$1:$X131,0,-1)),"A",""))+INDEX(Z:Z,_xlfn.XMATCH($X132,$X$1:$X131,0,-1))+1)</f>
        <v>4</v>
      </c>
      <c r="Z132" s="43" cm="1">
        <f t="array" ref="Z132">SUM(IF(ISNUMBER(FIND("TmAi",$BE$1:$AAL$1)),IF(IFERROR(ISODD(SUBSTITUTE($BE132:$AAL132,"A","")),FALSE),IF(ISODD(SUBSTITUTE($BE132:$AAL132,"A","")),1,0),0)))</f>
        <v>0</v>
      </c>
      <c r="AA132" t="str">
        <f t="shared" si="196"/>
        <v>7B</v>
      </c>
      <c r="AB132" t="str">
        <f t="shared" si="197"/>
        <v>8B</v>
      </c>
      <c r="AP132" t="s">
        <v>137</v>
      </c>
      <c r="AS132" t="s">
        <v>396</v>
      </c>
      <c r="JZ132" s="27" t="str">
        <f t="shared" si="205"/>
        <v>XT55</v>
      </c>
      <c r="KC132" t="str">
        <f t="shared" si="206"/>
        <v>F0-AI15-7B</v>
      </c>
      <c r="KD132" t="str">
        <f t="shared" si="207"/>
        <v>F0-AI15-8B</v>
      </c>
      <c r="KI132" cm="1">
        <f t="array" ref="KI132">IF(COUNTIFS($U$2:$U132,$U132)=1,1,INDEX(KI:KI,_xlfn.XMATCH(U132,U$1:U131,0,-1))+COUNT(KI131:KM131))</f>
        <v>237</v>
      </c>
      <c r="KJ132">
        <f t="shared" si="203"/>
        <v>238</v>
      </c>
      <c r="KK132">
        <f t="shared" si="204"/>
        <v>239</v>
      </c>
      <c r="KN132">
        <v>1</v>
      </c>
      <c r="KO132" s="16">
        <v>2</v>
      </c>
      <c r="KS132" s="16"/>
    </row>
    <row r="133" spans="1:305" x14ac:dyDescent="0.25">
      <c r="A133" t="s">
        <v>710</v>
      </c>
      <c r="B133" t="s">
        <v>731</v>
      </c>
      <c r="C133" t="s">
        <v>498</v>
      </c>
      <c r="P133" t="s">
        <v>482</v>
      </c>
      <c r="T133" s="14" t="s">
        <v>554</v>
      </c>
      <c r="U133">
        <v>55</v>
      </c>
      <c r="V133" t="s">
        <v>755</v>
      </c>
      <c r="X133" t="str">
        <f>IF(COUNTIF(X$1:X132,X132)&gt;7,REPLACE(X132,LEN(X132),1,VALUE(RIGHT(X132,1))+1),X132)</f>
        <v>A3.15</v>
      </c>
      <c r="Y133" s="43" cm="1">
        <f t="array" ref="Y133">IF(COUNTIFS($X$2:$X133,$X133)=1,"1",VALUE(SUBSTITUTE(INDEX(Y:Y,_xlfn.XMATCH($X133,$X$1:$X132,0,-1)),"A",""))+INDEX(Z:Z,_xlfn.XMATCH($X133,$X$1:$X132,0,-1))+1)</f>
        <v>5</v>
      </c>
      <c r="Z133" s="43" cm="1">
        <f t="array" ref="Z133">SUM(IF(ISNUMBER(FIND("TmAi",$BE$1:$AAL$1)),IF(IFERROR(ISODD(SUBSTITUTE($BE133:$AAL133,"A","")),FALSE),IF(ISODD(SUBSTITUTE($BE133:$AAL133,"A","")),1,0),0)))</f>
        <v>0</v>
      </c>
      <c r="AA133" t="str">
        <f t="shared" si="196"/>
        <v>9B</v>
      </c>
      <c r="AB133" t="str">
        <f t="shared" si="197"/>
        <v>10B</v>
      </c>
      <c r="AP133" t="s">
        <v>137</v>
      </c>
      <c r="AS133" t="s">
        <v>396</v>
      </c>
      <c r="JZ133" s="27" t="str">
        <f t="shared" si="205"/>
        <v>XT55</v>
      </c>
      <c r="KC133" t="str">
        <f t="shared" si="206"/>
        <v>F0-AI15-9B</v>
      </c>
      <c r="KD133" t="str">
        <f t="shared" si="207"/>
        <v>F0-AI15-10B</v>
      </c>
      <c r="KI133" cm="1">
        <f t="array" ref="KI133">IF(COUNTIFS($U$2:$U133,$U133)=1,1,INDEX(KI:KI,_xlfn.XMATCH(U133,U$1:U132,0,-1))+COUNT(KI132:KM132))</f>
        <v>240</v>
      </c>
      <c r="KJ133">
        <f t="shared" si="203"/>
        <v>241</v>
      </c>
      <c r="KK133">
        <f t="shared" si="204"/>
        <v>242</v>
      </c>
      <c r="KN133">
        <v>1</v>
      </c>
      <c r="KO133" s="16">
        <v>2</v>
      </c>
      <c r="KS133" s="16"/>
    </row>
    <row r="134" spans="1:305" x14ac:dyDescent="0.25">
      <c r="A134" t="s">
        <v>711</v>
      </c>
      <c r="B134" s="33" t="s">
        <v>732</v>
      </c>
      <c r="C134" t="s">
        <v>492</v>
      </c>
      <c r="P134" t="s">
        <v>482</v>
      </c>
      <c r="T134" s="14" t="s">
        <v>554</v>
      </c>
      <c r="U134">
        <v>55</v>
      </c>
      <c r="V134" t="s">
        <v>756</v>
      </c>
      <c r="X134" t="str">
        <f>IF(COUNTIF(X$1:X133,X133)&gt;7,REPLACE(X133,LEN(X133),1,VALUE(RIGHT(X133,1))+1),X133)</f>
        <v>A3.15</v>
      </c>
      <c r="Y134" s="43" cm="1">
        <f t="array" ref="Y134">IF(COUNTIFS($X$2:$X134,$X134)=1,"1",VALUE(SUBSTITUTE(INDEX(Y:Y,_xlfn.XMATCH($X134,$X$1:$X133,0,-1)),"A",""))+INDEX(Z:Z,_xlfn.XMATCH($X134,$X$1:$X133,0,-1))+1)</f>
        <v>6</v>
      </c>
      <c r="Z134" s="43" cm="1">
        <f t="array" ref="Z134">SUM(IF(ISNUMBER(FIND("TmAi",$BE$1:$AAL$1)),IF(IFERROR(ISODD(SUBSTITUTE($BE134:$AAL134,"A","")),FALSE),IF(ISODD(SUBSTITUTE($BE134:$AAL134,"A","")),1,0),0)))</f>
        <v>0</v>
      </c>
      <c r="AA134" t="str">
        <f t="shared" si="196"/>
        <v>11B</v>
      </c>
      <c r="AB134" t="str">
        <f t="shared" si="197"/>
        <v>12B</v>
      </c>
      <c r="AP134" t="s">
        <v>137</v>
      </c>
      <c r="AS134" t="s">
        <v>396</v>
      </c>
      <c r="JZ134" s="27" t="str">
        <f t="shared" si="205"/>
        <v>XT55</v>
      </c>
      <c r="KC134" t="str">
        <f t="shared" si="206"/>
        <v>F0-AI15-11B</v>
      </c>
      <c r="KD134" t="str">
        <f t="shared" si="207"/>
        <v>F0-AI15-12B</v>
      </c>
      <c r="KI134" cm="1">
        <f t="array" ref="KI134">IF(COUNTIFS($U$2:$U134,$U134)=1,1,INDEX(KI:KI,_xlfn.XMATCH(U134,U$1:U133,0,-1))+COUNT(KI133:KM133))</f>
        <v>243</v>
      </c>
      <c r="KJ134">
        <f t="shared" si="203"/>
        <v>244</v>
      </c>
      <c r="KK134">
        <f t="shared" si="204"/>
        <v>245</v>
      </c>
      <c r="KN134">
        <v>1</v>
      </c>
      <c r="KO134" s="16">
        <v>2</v>
      </c>
      <c r="KS134" s="16"/>
    </row>
    <row r="135" spans="1:305" x14ac:dyDescent="0.25">
      <c r="A135" t="s">
        <v>712</v>
      </c>
      <c r="B135" t="s">
        <v>733</v>
      </c>
      <c r="C135" t="s">
        <v>492</v>
      </c>
      <c r="P135" t="s">
        <v>482</v>
      </c>
      <c r="T135" s="14" t="s">
        <v>554</v>
      </c>
      <c r="U135">
        <v>55</v>
      </c>
      <c r="V135" t="s">
        <v>757</v>
      </c>
      <c r="X135" t="s">
        <v>833</v>
      </c>
      <c r="Y135" s="43" t="str" cm="1">
        <f t="array" ref="Y135">IF(COUNTIFS($X$2:$X135,$X135)=1,"1",VALUE(SUBSTITUTE(INDEX(Y:Y,_xlfn.XMATCH($X135,$X$1:$X134,0,-1)),"A",""))+INDEX(Z:Z,_xlfn.XMATCH($X135,$X$1:$X134,0,-1))+1)</f>
        <v>1</v>
      </c>
      <c r="Z135" s="43" cm="1">
        <f t="array" ref="Z135">SUM(IF(ISNUMBER(FIND("TmAi",$BE$1:$AAL$1)),IF(IFERROR(ISODD(SUBSTITUTE($BE135:$AAL135,"A","")),FALSE),IF(ISODD(SUBSTITUTE($BE135:$AAL135,"A","")),1,0),0)))</f>
        <v>0</v>
      </c>
      <c r="AA135" t="str">
        <f t="shared" si="196"/>
        <v>1B</v>
      </c>
      <c r="AB135" t="str">
        <f t="shared" si="197"/>
        <v>2B</v>
      </c>
      <c r="AP135" t="s">
        <v>137</v>
      </c>
      <c r="AS135" t="s">
        <v>396</v>
      </c>
      <c r="JZ135" s="27" t="str">
        <f t="shared" si="205"/>
        <v>XT55</v>
      </c>
      <c r="KC135" t="str">
        <f t="shared" si="206"/>
        <v>F0-AI16-1B</v>
      </c>
      <c r="KD135" t="str">
        <f t="shared" si="207"/>
        <v>F0-AI16-2B</v>
      </c>
      <c r="KI135" cm="1">
        <f t="array" ref="KI135">IF(COUNTIFS($U$2:$U135,$U135)=1,1,INDEX(KI:KI,_xlfn.XMATCH(U135,U$1:U134,0,-1))+COUNT(KI134:KM134))</f>
        <v>246</v>
      </c>
      <c r="KJ135">
        <f t="shared" si="203"/>
        <v>247</v>
      </c>
      <c r="KK135">
        <f t="shared" si="204"/>
        <v>248</v>
      </c>
      <c r="KN135">
        <v>1</v>
      </c>
      <c r="KO135" s="16">
        <v>2</v>
      </c>
      <c r="KS135" s="16"/>
    </row>
    <row r="136" spans="1:305" x14ac:dyDescent="0.25">
      <c r="A136" t="s">
        <v>713</v>
      </c>
      <c r="B136" t="s">
        <v>734</v>
      </c>
      <c r="C136" t="s">
        <v>498</v>
      </c>
      <c r="P136" t="s">
        <v>482</v>
      </c>
      <c r="T136" s="14" t="s">
        <v>554</v>
      </c>
      <c r="U136">
        <v>55</v>
      </c>
      <c r="V136" t="s">
        <v>758</v>
      </c>
      <c r="X136" t="str">
        <f>IF(COUNTIF(X$1:X135,X135)&gt;7,REPLACE(X135,LEN(X135),1,VALUE(RIGHT(X135,1))+1),X135)</f>
        <v>A3.16</v>
      </c>
      <c r="Y136" s="43" cm="1">
        <f t="array" ref="Y136">IF(COUNTIFS($X$2:$X136,$X136)=1,"1",VALUE(SUBSTITUTE(INDEX(Y:Y,_xlfn.XMATCH($X136,$X$1:$X135,0,-1)),"A",""))+INDEX(Z:Z,_xlfn.XMATCH($X136,$X$1:$X135,0,-1))+1)</f>
        <v>2</v>
      </c>
      <c r="Z136" s="43" cm="1">
        <f t="array" ref="Z136">SUM(IF(ISNUMBER(FIND("TmAi",$BE$1:$AAL$1)),IF(IFERROR(ISODD(SUBSTITUTE($BE136:$AAL136,"A","")),FALSE),IF(ISODD(SUBSTITUTE($BE136:$AAL136,"A","")),1,0),0)))</f>
        <v>0</v>
      </c>
      <c r="AA136" t="str">
        <f t="shared" si="196"/>
        <v>3B</v>
      </c>
      <c r="AB136" t="str">
        <f t="shared" si="197"/>
        <v>4B</v>
      </c>
      <c r="AP136" t="s">
        <v>137</v>
      </c>
      <c r="AS136" t="s">
        <v>396</v>
      </c>
      <c r="JZ136" s="27" t="str">
        <f t="shared" si="205"/>
        <v>XT55</v>
      </c>
      <c r="KC136" t="str">
        <f t="shared" si="206"/>
        <v>F0-AI16-3B</v>
      </c>
      <c r="KD136" t="str">
        <f t="shared" si="207"/>
        <v>F0-AI16-4B</v>
      </c>
      <c r="KI136" cm="1">
        <f t="array" ref="KI136">IF(COUNTIFS($U$2:$U136,$U136)=1,1,INDEX(KI:KI,_xlfn.XMATCH(U136,U$1:U135,0,-1))+COUNT(KI135:KM135))</f>
        <v>249</v>
      </c>
      <c r="KJ136">
        <f t="shared" si="203"/>
        <v>250</v>
      </c>
      <c r="KK136">
        <f t="shared" si="204"/>
        <v>251</v>
      </c>
      <c r="KN136">
        <v>1</v>
      </c>
      <c r="KO136" s="16">
        <v>2</v>
      </c>
      <c r="KS136" s="16"/>
    </row>
    <row r="137" spans="1:305" x14ac:dyDescent="0.25">
      <c r="A137" t="s">
        <v>714</v>
      </c>
      <c r="B137" s="33" t="s">
        <v>735</v>
      </c>
      <c r="C137" t="s">
        <v>492</v>
      </c>
      <c r="P137" t="s">
        <v>482</v>
      </c>
      <c r="T137" s="14" t="s">
        <v>554</v>
      </c>
      <c r="U137">
        <v>55</v>
      </c>
      <c r="V137" t="s">
        <v>759</v>
      </c>
      <c r="X137" s="33" t="str">
        <f>IF(COUNTIF(X$1:X136,X136)&gt;7,REPLACE(X136,LEN(X136),1,VALUE(RIGHT(X136,1))+1),X136)</f>
        <v>A3.16</v>
      </c>
      <c r="Y137" s="45" cm="1">
        <f t="array" ref="Y137">IF(COUNTIFS($X$2:$X137,$X137)=1,"1",VALUE(SUBSTITUTE(INDEX(Y:Y,_xlfn.XMATCH($X137,$X$1:$X136,0,-1)),"A",""))+INDEX(Z:Z,_xlfn.XMATCH($X137,$X$1:$X136,0,-1))+1)</f>
        <v>3</v>
      </c>
      <c r="Z137" s="43" cm="1">
        <f t="array" ref="Z137">SUM(IF(ISNUMBER(FIND("TmAi",$BE$1:$AAL$1)),IF(IFERROR(ISODD(SUBSTITUTE($BE137:$AAL137,"A","")),FALSE),IF(ISODD(SUBSTITUTE($BE137:$AAL137,"A","")),1,0),0)))</f>
        <v>0</v>
      </c>
      <c r="AA137" t="str">
        <f t="shared" si="196"/>
        <v>5B</v>
      </c>
      <c r="AB137" t="str">
        <f t="shared" si="197"/>
        <v>6B</v>
      </c>
      <c r="AP137" t="s">
        <v>137</v>
      </c>
      <c r="AS137" t="s">
        <v>396</v>
      </c>
      <c r="JZ137" s="27" t="str">
        <f t="shared" si="205"/>
        <v>XT55</v>
      </c>
      <c r="KC137" t="str">
        <f t="shared" si="206"/>
        <v>F0-AI16-5B</v>
      </c>
      <c r="KD137" t="str">
        <f t="shared" si="207"/>
        <v>F0-AI16-6B</v>
      </c>
      <c r="KI137" cm="1">
        <f t="array" ref="KI137">IF(COUNTIFS($U$2:$U137,$U137)=1,1,INDEX(KI:KI,_xlfn.XMATCH(U137,U$1:U136,0,-1))+COUNT(KI136:KM136))</f>
        <v>252</v>
      </c>
      <c r="KJ137">
        <f t="shared" si="203"/>
        <v>253</v>
      </c>
      <c r="KK137">
        <f t="shared" si="204"/>
        <v>254</v>
      </c>
      <c r="KN137">
        <v>1</v>
      </c>
      <c r="KO137" s="16">
        <v>2</v>
      </c>
      <c r="KS137" s="16"/>
    </row>
    <row r="138" spans="1:305" x14ac:dyDescent="0.25">
      <c r="A138" t="s">
        <v>715</v>
      </c>
      <c r="B138" t="s">
        <v>736</v>
      </c>
      <c r="C138" t="s">
        <v>492</v>
      </c>
      <c r="P138" t="s">
        <v>482</v>
      </c>
      <c r="T138" s="14" t="s">
        <v>554</v>
      </c>
      <c r="U138">
        <v>55</v>
      </c>
      <c r="V138" t="s">
        <v>760</v>
      </c>
      <c r="X138" t="str">
        <f>IF(COUNTIF(X$1:X137,X137)&gt;7,REPLACE(X137,LEN(X137),1,VALUE(RIGHT(X137,1))+1),X137)</f>
        <v>A3.16</v>
      </c>
      <c r="Y138" s="43" cm="1">
        <f t="array" ref="Y138">IF(COUNTIFS($X$2:$X138,$X138)=1,"1",VALUE(SUBSTITUTE(INDEX(Y:Y,_xlfn.XMATCH($X138,$X$1:$X137,0,-1)),"A",""))+INDEX(Z:Z,_xlfn.XMATCH($X138,$X$1:$X137,0,-1))+1)</f>
        <v>4</v>
      </c>
      <c r="Z138" s="43" cm="1">
        <f t="array" ref="Z138">SUM(IF(ISNUMBER(FIND("TmAi",$BE$1:$AAL$1)),IF(IFERROR(ISODD(SUBSTITUTE($BE138:$AAL138,"A","")),FALSE),IF(ISODD(SUBSTITUTE($BE138:$AAL138,"A","")),1,0),0)))</f>
        <v>0</v>
      </c>
      <c r="AA138" t="str">
        <f t="shared" si="196"/>
        <v>7B</v>
      </c>
      <c r="AB138" t="str">
        <f t="shared" si="197"/>
        <v>8B</v>
      </c>
      <c r="AP138" t="s">
        <v>137</v>
      </c>
      <c r="AS138" t="s">
        <v>396</v>
      </c>
      <c r="JZ138" s="27" t="str">
        <f t="shared" si="205"/>
        <v>XT55</v>
      </c>
      <c r="KC138" t="str">
        <f t="shared" si="206"/>
        <v>F0-AI16-7B</v>
      </c>
      <c r="KD138" t="str">
        <f t="shared" si="207"/>
        <v>F0-AI16-8B</v>
      </c>
      <c r="KI138" cm="1">
        <f t="array" ref="KI138">IF(COUNTIFS($U$2:$U138,$U138)=1,1,INDEX(KI:KI,_xlfn.XMATCH(U138,U$1:U137,0,-1))+COUNT(KI137:KM137))</f>
        <v>255</v>
      </c>
      <c r="KJ138">
        <f t="shared" si="203"/>
        <v>256</v>
      </c>
      <c r="KK138">
        <f t="shared" si="204"/>
        <v>257</v>
      </c>
      <c r="KN138">
        <v>1</v>
      </c>
      <c r="KO138" s="16">
        <v>2</v>
      </c>
      <c r="KS138" s="16"/>
    </row>
    <row r="139" spans="1:305" x14ac:dyDescent="0.25">
      <c r="A139" t="s">
        <v>716</v>
      </c>
      <c r="B139" t="s">
        <v>737</v>
      </c>
      <c r="C139" t="s">
        <v>498</v>
      </c>
      <c r="P139" t="s">
        <v>482</v>
      </c>
      <c r="T139" s="14" t="s">
        <v>554</v>
      </c>
      <c r="U139">
        <v>55</v>
      </c>
      <c r="V139" t="s">
        <v>761</v>
      </c>
      <c r="X139" t="str">
        <f>IF(COUNTIF(X$1:X138,X138)&gt;7,REPLACE(X138,LEN(X138),1,VALUE(RIGHT(X138,1))+1),X138)</f>
        <v>A3.16</v>
      </c>
      <c r="Y139" s="43" cm="1">
        <f t="array" ref="Y139">IF(COUNTIFS($X$2:$X139,$X139)=1,"1",VALUE(SUBSTITUTE(INDEX(Y:Y,_xlfn.XMATCH($X139,$X$1:$X138,0,-1)),"A",""))+INDEX(Z:Z,_xlfn.XMATCH($X139,$X$1:$X138,0,-1))+1)</f>
        <v>5</v>
      </c>
      <c r="Z139" s="43" cm="1">
        <f t="array" ref="Z139">SUM(IF(ISNUMBER(FIND("TmAi",$BE$1:$AAL$1)),IF(IFERROR(ISODD(SUBSTITUTE($BE139:$AAL139,"A","")),FALSE),IF(ISODD(SUBSTITUTE($BE139:$AAL139,"A","")),1,0),0)))</f>
        <v>0</v>
      </c>
      <c r="AA139" t="str">
        <f t="shared" si="196"/>
        <v>9B</v>
      </c>
      <c r="AB139" t="str">
        <f t="shared" si="197"/>
        <v>10B</v>
      </c>
      <c r="AP139" t="s">
        <v>137</v>
      </c>
      <c r="AS139" t="s">
        <v>396</v>
      </c>
      <c r="JZ139" s="27" t="str">
        <f t="shared" si="205"/>
        <v>XT55</v>
      </c>
      <c r="KC139" t="str">
        <f t="shared" si="206"/>
        <v>F0-AI16-9B</v>
      </c>
      <c r="KD139" t="str">
        <f t="shared" si="207"/>
        <v>F0-AI16-10B</v>
      </c>
      <c r="KI139" cm="1">
        <f t="array" ref="KI139">IF(COUNTIFS($U$2:$U139,$U139)=1,1,INDEX(KI:KI,_xlfn.XMATCH(U139,U$1:U138,0,-1))+COUNT(KI138:KM138))</f>
        <v>258</v>
      </c>
      <c r="KJ139">
        <f t="shared" si="203"/>
        <v>259</v>
      </c>
      <c r="KK139">
        <f t="shared" si="204"/>
        <v>260</v>
      </c>
      <c r="KN139">
        <v>1</v>
      </c>
      <c r="KO139" s="16">
        <v>2</v>
      </c>
      <c r="KS139" s="16"/>
    </row>
    <row r="140" spans="1:305" x14ac:dyDescent="0.25">
      <c r="A140" t="s">
        <v>717</v>
      </c>
      <c r="B140" s="33" t="s">
        <v>738</v>
      </c>
      <c r="C140" t="s">
        <v>492</v>
      </c>
      <c r="P140" t="s">
        <v>482</v>
      </c>
      <c r="T140" s="14" t="s">
        <v>554</v>
      </c>
      <c r="U140">
        <v>55</v>
      </c>
      <c r="V140" t="s">
        <v>762</v>
      </c>
      <c r="X140" t="str">
        <f>IF(COUNTIF(X$1:X139,X139)&gt;7,REPLACE(X139,LEN(X139),1,VALUE(RIGHT(X139,1))+1),X139)</f>
        <v>A3.16</v>
      </c>
      <c r="Y140" s="43" cm="1">
        <f t="array" ref="Y140">IF(COUNTIFS($X$2:$X140,$X140)=1,"1",VALUE(SUBSTITUTE(INDEX(Y:Y,_xlfn.XMATCH($X140,$X$1:$X139,0,-1)),"A",""))+INDEX(Z:Z,_xlfn.XMATCH($X140,$X$1:$X139,0,-1))+1)</f>
        <v>6</v>
      </c>
      <c r="Z140" s="43" cm="1">
        <f t="array" ref="Z140">SUM(IF(ISNUMBER(FIND("TmAi",$BE$1:$AAL$1)),IF(IFERROR(ISODD(SUBSTITUTE($BE140:$AAL140,"A","")),FALSE),IF(ISODD(SUBSTITUTE($BE140:$AAL140,"A","")),1,0),0)))</f>
        <v>0</v>
      </c>
      <c r="AA140" t="str">
        <f t="shared" si="196"/>
        <v>11B</v>
      </c>
      <c r="AB140" t="str">
        <f t="shared" si="197"/>
        <v>12B</v>
      </c>
      <c r="AP140" t="s">
        <v>137</v>
      </c>
      <c r="AS140" t="s">
        <v>396</v>
      </c>
      <c r="JZ140" s="27" t="str">
        <f t="shared" si="205"/>
        <v>XT55</v>
      </c>
      <c r="KC140" t="str">
        <f t="shared" si="206"/>
        <v>F0-AI16-11B</v>
      </c>
      <c r="KD140" t="str">
        <f t="shared" si="207"/>
        <v>F0-AI16-12B</v>
      </c>
      <c r="KI140" cm="1">
        <f t="array" ref="KI140">IF(COUNTIFS($U$2:$U140,$U140)=1,1,INDEX(KI:KI,_xlfn.XMATCH(U140,U$1:U139,0,-1))+COUNT(KI139:KM139))</f>
        <v>261</v>
      </c>
      <c r="KJ140">
        <f t="shared" si="203"/>
        <v>262</v>
      </c>
      <c r="KK140">
        <f t="shared" si="204"/>
        <v>263</v>
      </c>
      <c r="KN140">
        <v>1</v>
      </c>
      <c r="KO140" s="16">
        <v>2</v>
      </c>
      <c r="KS140" s="16"/>
    </row>
    <row r="141" spans="1:305" x14ac:dyDescent="0.25">
      <c r="A141" t="s">
        <v>764</v>
      </c>
      <c r="B141" t="s">
        <v>763</v>
      </c>
      <c r="C141" t="s">
        <v>498</v>
      </c>
      <c r="P141" t="s">
        <v>482</v>
      </c>
      <c r="T141" s="14" t="s">
        <v>554</v>
      </c>
      <c r="U141">
        <v>55</v>
      </c>
      <c r="V141" t="s">
        <v>769</v>
      </c>
      <c r="X141" t="s">
        <v>917</v>
      </c>
      <c r="Y141" s="43" t="str" cm="1">
        <f t="array" ref="Y141">IF(COUNTIFS($X$2:$X141,$X141)=1,"1",VALUE(SUBSTITUTE(INDEX(Y:Y,_xlfn.XMATCH($X141,$X$1:$X140,0,-1)),"A",""))+INDEX(Z:Z,_xlfn.XMATCH($X141,$X$1:$X140,0,-1))+1)</f>
        <v>1</v>
      </c>
      <c r="Z141" s="43" cm="1">
        <f t="array" ref="Z141">SUM(IF(ISNUMBER(FIND("TmAi",$BE$1:$AAL$1)),IF(IFERROR(ISODD(SUBSTITUTE($BE141:$AAL141,"A","")),FALSE),IF(ISODD(SUBSTITUTE($BE141:$AAL141,"A","")),1,0),0)))</f>
        <v>0</v>
      </c>
      <c r="AA141" t="str">
        <f t="shared" si="196"/>
        <v>1B</v>
      </c>
      <c r="AB141" t="str">
        <f t="shared" si="197"/>
        <v>2B</v>
      </c>
      <c r="AP141" t="s">
        <v>137</v>
      </c>
      <c r="AS141" t="s">
        <v>396</v>
      </c>
      <c r="JZ141" s="27" t="str">
        <f t="shared" si="205"/>
        <v>XT55</v>
      </c>
      <c r="KC141" t="str">
        <f t="shared" si="206"/>
        <v>F0-AI17-1B</v>
      </c>
      <c r="KD141" t="str">
        <f t="shared" si="207"/>
        <v>F0-AI17-2B</v>
      </c>
      <c r="KI141" cm="1">
        <f t="array" ref="KI141">IF(COUNTIFS($U$2:$U141,$U141)=1,1,INDEX(KI:KI,_xlfn.XMATCH(U141,U$1:U140,0,-1))+COUNT(KI140:KM140))</f>
        <v>264</v>
      </c>
      <c r="KJ141">
        <f t="shared" si="203"/>
        <v>265</v>
      </c>
      <c r="KK141">
        <f t="shared" si="204"/>
        <v>266</v>
      </c>
      <c r="KN141">
        <v>1</v>
      </c>
      <c r="KO141" s="16">
        <v>2</v>
      </c>
      <c r="KS141" s="16"/>
    </row>
    <row r="142" spans="1:305" x14ac:dyDescent="0.25">
      <c r="A142" t="s">
        <v>766</v>
      </c>
      <c r="B142" s="33" t="s">
        <v>765</v>
      </c>
      <c r="C142" t="s">
        <v>492</v>
      </c>
      <c r="P142" t="s">
        <v>482</v>
      </c>
      <c r="T142" s="14" t="s">
        <v>554</v>
      </c>
      <c r="U142">
        <v>55</v>
      </c>
      <c r="V142" t="s">
        <v>770</v>
      </c>
      <c r="X142" t="str">
        <f>IF(COUNTIF(X$1:X141,X141)&gt;7,REPLACE(X141,LEN(X141),1,VALUE(RIGHT(X141,1))+1),X141)</f>
        <v>A3.17</v>
      </c>
      <c r="Y142" s="43" cm="1">
        <f t="array" ref="Y142">IF(COUNTIFS($X$2:$X142,$X142)=1,"1",VALUE(SUBSTITUTE(INDEX(Y:Y,_xlfn.XMATCH($X142,$X$1:$X141,0,-1)),"A",""))+INDEX(Z:Z,_xlfn.XMATCH($X142,$X$1:$X141,0,-1))+1)</f>
        <v>2</v>
      </c>
      <c r="Z142" s="43" cm="1">
        <f t="array" ref="Z142">SUM(IF(ISNUMBER(FIND("TmAi",$BE$1:$AAL$1)),IF(IFERROR(ISODD(SUBSTITUTE($BE142:$AAL142,"A","")),FALSE),IF(ISODD(SUBSTITUTE($BE142:$AAL142,"A","")),1,0),0)))</f>
        <v>0</v>
      </c>
      <c r="AA142" t="str">
        <f t="shared" si="196"/>
        <v>3B</v>
      </c>
      <c r="AB142" t="str">
        <f t="shared" si="197"/>
        <v>4B</v>
      </c>
      <c r="AP142" t="s">
        <v>137</v>
      </c>
      <c r="AS142" t="s">
        <v>396</v>
      </c>
      <c r="JZ142" s="27" t="str">
        <f t="shared" si="205"/>
        <v>XT55</v>
      </c>
      <c r="KC142" t="str">
        <f t="shared" si="206"/>
        <v>F0-AI17-3B</v>
      </c>
      <c r="KD142" t="str">
        <f t="shared" si="207"/>
        <v>F0-AI17-4B</v>
      </c>
      <c r="KI142" cm="1">
        <f t="array" ref="KI142">IF(COUNTIFS($U$2:$U142,$U142)=1,1,INDEX(KI:KI,_xlfn.XMATCH(U142,U$1:U141,0,-1))+COUNT(KI141:KM141))</f>
        <v>267</v>
      </c>
      <c r="KJ142">
        <f t="shared" si="203"/>
        <v>268</v>
      </c>
      <c r="KK142">
        <f t="shared" si="204"/>
        <v>269</v>
      </c>
      <c r="KN142">
        <v>1</v>
      </c>
      <c r="KO142" s="16">
        <v>2</v>
      </c>
      <c r="KS142" s="16"/>
    </row>
    <row r="143" spans="1:305" x14ac:dyDescent="0.25">
      <c r="A143" t="s">
        <v>768</v>
      </c>
      <c r="B143" t="s">
        <v>771</v>
      </c>
      <c r="C143" t="s">
        <v>498</v>
      </c>
      <c r="P143" t="s">
        <v>482</v>
      </c>
      <c r="T143" s="14" t="s">
        <v>554</v>
      </c>
      <c r="U143">
        <v>55</v>
      </c>
      <c r="V143" t="s">
        <v>767</v>
      </c>
      <c r="X143" t="s">
        <v>1055</v>
      </c>
      <c r="Y143" s="43" t="str" cm="1">
        <f t="array" ref="Y143">IF(COUNTIFS($X$2:$X143,$X143)=1,"1",VALUE(SUBSTITUTE(INDEX(Y:Y,_xlfn.XMATCH($X143,$X$1:$X142,0,-1)),"A",""))+INDEX(Z:Z,_xlfn.XMATCH($X143,$X$1:$X142,0,-1))+1)</f>
        <v>1</v>
      </c>
      <c r="Z143" s="43" cm="1">
        <f t="array" ref="Z143">SUM(IF(ISNUMBER(FIND("TmAi",$BE$1:$AAL$1)),IF(IFERROR(ISODD(SUBSTITUTE($BE143:$AAL143,"A","")),FALSE),IF(ISODD(SUBSTITUTE($BE143:$AAL143,"A","")),1,0),0)))</f>
        <v>0</v>
      </c>
      <c r="AA143" t="str">
        <f t="shared" si="196"/>
        <v>1B</v>
      </c>
      <c r="AB143" t="str">
        <f t="shared" si="197"/>
        <v>2B</v>
      </c>
      <c r="AP143" t="s">
        <v>137</v>
      </c>
      <c r="AS143" t="s">
        <v>396</v>
      </c>
      <c r="JZ143" s="27" t="str">
        <f t="shared" si="205"/>
        <v>XT55</v>
      </c>
      <c r="KC143" t="str">
        <f t="shared" si="206"/>
        <v>F0-AI18-1B</v>
      </c>
      <c r="KD143" t="str">
        <f t="shared" si="207"/>
        <v>F0-AI18-2B</v>
      </c>
      <c r="KI143" cm="1">
        <f t="array" ref="KI143">IF(COUNTIFS($U$2:$U143,$U143)=1,1,INDEX(KI:KI,_xlfn.XMATCH(U143,U$1:U142,0,-1))+COUNT(KI142:KM142))</f>
        <v>270</v>
      </c>
      <c r="KJ143">
        <f t="shared" si="203"/>
        <v>271</v>
      </c>
      <c r="KK143">
        <f t="shared" si="204"/>
        <v>272</v>
      </c>
      <c r="KN143">
        <v>1</v>
      </c>
      <c r="KO143" s="16">
        <v>2</v>
      </c>
      <c r="KS143" s="16"/>
    </row>
    <row r="144" spans="1:305" x14ac:dyDescent="0.25">
      <c r="A144" t="s">
        <v>774</v>
      </c>
      <c r="B144" s="33" t="s">
        <v>772</v>
      </c>
      <c r="C144" t="s">
        <v>492</v>
      </c>
      <c r="P144" t="s">
        <v>482</v>
      </c>
      <c r="T144" s="14" t="s">
        <v>554</v>
      </c>
      <c r="U144">
        <v>55</v>
      </c>
      <c r="V144" t="s">
        <v>773</v>
      </c>
      <c r="X144" t="str">
        <f>IF(COUNTIF(X$1:X143,X143)&gt;7,REPLACE(X143,LEN(X143),1,VALUE(RIGHT(X143,1))+1),X143)</f>
        <v>A3.18</v>
      </c>
      <c r="Y144" s="43" cm="1">
        <f t="array" ref="Y144">IF(COUNTIFS($X$2:$X144,$X144)=1,"1",VALUE(SUBSTITUTE(INDEX(Y:Y,_xlfn.XMATCH($X144,$X$1:$X143,0,-1)),"A",""))+INDEX(Z:Z,_xlfn.XMATCH($X144,$X$1:$X143,0,-1))+1)</f>
        <v>2</v>
      </c>
      <c r="Z144" s="43" cm="1">
        <f t="array" ref="Z144">SUM(IF(ISNUMBER(FIND("TmAi",$BE$1:$AAL$1)),IF(IFERROR(ISODD(SUBSTITUTE($BE144:$AAL144,"A","")),FALSE),IF(ISODD(SUBSTITUTE($BE144:$AAL144,"A","")),1,0),0)))</f>
        <v>0</v>
      </c>
      <c r="AA144" t="str">
        <f t="shared" si="196"/>
        <v>3B</v>
      </c>
      <c r="AB144" t="str">
        <f t="shared" si="197"/>
        <v>4B</v>
      </c>
      <c r="AP144" t="s">
        <v>137</v>
      </c>
      <c r="AS144" t="s">
        <v>396</v>
      </c>
      <c r="JZ144" s="27" t="str">
        <f t="shared" si="205"/>
        <v>XT55</v>
      </c>
      <c r="KC144" t="str">
        <f t="shared" si="206"/>
        <v>F0-AI18-3B</v>
      </c>
      <c r="KD144" t="str">
        <f t="shared" si="207"/>
        <v>F0-AI18-4B</v>
      </c>
      <c r="KI144" cm="1">
        <f t="array" ref="KI144">IF(COUNTIFS($U$2:$U144,$U144)=1,1,INDEX(KI:KI,_xlfn.XMATCH(U144,U$1:U143,0,-1))+COUNT(KI143:KM143))</f>
        <v>273</v>
      </c>
      <c r="KJ144">
        <f t="shared" si="203"/>
        <v>274</v>
      </c>
      <c r="KK144">
        <f t="shared" si="204"/>
        <v>275</v>
      </c>
      <c r="KN144">
        <v>1</v>
      </c>
      <c r="KO144" s="16">
        <v>2</v>
      </c>
      <c r="KS144" s="16"/>
    </row>
    <row r="145" spans="1:305" x14ac:dyDescent="0.25">
      <c r="A145" t="s">
        <v>775</v>
      </c>
      <c r="B145" t="s">
        <v>789</v>
      </c>
      <c r="C145" t="s">
        <v>498</v>
      </c>
      <c r="P145" t="s">
        <v>482</v>
      </c>
      <c r="T145" s="14" t="s">
        <v>554</v>
      </c>
      <c r="U145">
        <v>55</v>
      </c>
      <c r="V145" t="s">
        <v>803</v>
      </c>
      <c r="X145" s="33" t="str">
        <f>IF(COUNTIF(X$1:X144,X144)&gt;7,REPLACE(X144,LEN(X144),1,VALUE(RIGHT(X144,1))+1),X144)</f>
        <v>A3.18</v>
      </c>
      <c r="Y145" s="45" cm="1">
        <f t="array" ref="Y145">IF(COUNTIFS($X$2:$X145,$X145)=1,"1",VALUE(SUBSTITUTE(INDEX(Y:Y,_xlfn.XMATCH($X145,$X$1:$X144,0,-1)),"A",""))+INDEX(Z:Z,_xlfn.XMATCH($X145,$X$1:$X144,0,-1))+1)</f>
        <v>3</v>
      </c>
      <c r="Z145" s="43" cm="1">
        <f t="array" ref="Z145">SUM(IF(ISNUMBER(FIND("TmAi",$BE$1:$AAL$1)),IF(IFERROR(ISODD(SUBSTITUTE($BE145:$AAL145,"A","")),FALSE),IF(ISODD(SUBSTITUTE($BE145:$AAL145,"A","")),1,0),0)))</f>
        <v>0</v>
      </c>
      <c r="AA145" t="str">
        <f t="shared" si="196"/>
        <v>5B</v>
      </c>
      <c r="AB145" t="str">
        <f t="shared" si="197"/>
        <v>6B</v>
      </c>
      <c r="AP145" t="s">
        <v>137</v>
      </c>
      <c r="AS145" t="s">
        <v>396</v>
      </c>
      <c r="JZ145" s="27" t="str">
        <f t="shared" si="205"/>
        <v>XT55</v>
      </c>
      <c r="KC145" t="str">
        <f t="shared" si="206"/>
        <v>F0-AI18-5B</v>
      </c>
      <c r="KD145" t="str">
        <f t="shared" si="207"/>
        <v>F0-AI18-6B</v>
      </c>
      <c r="KI145" cm="1">
        <f t="array" ref="KI145">IF(COUNTIFS($U$2:$U145,$U145)=1,1,INDEX(KI:KI,_xlfn.XMATCH(U145,U$1:U144,0,-1))+COUNT(KI144:KM144))</f>
        <v>276</v>
      </c>
      <c r="KJ145">
        <f t="shared" si="203"/>
        <v>277</v>
      </c>
      <c r="KK145">
        <f t="shared" si="204"/>
        <v>278</v>
      </c>
      <c r="KN145">
        <v>1</v>
      </c>
      <c r="KO145" s="16">
        <v>2</v>
      </c>
      <c r="KS145" s="16"/>
    </row>
    <row r="146" spans="1:305" x14ac:dyDescent="0.25">
      <c r="A146" t="s">
        <v>776</v>
      </c>
      <c r="B146" s="33" t="s">
        <v>790</v>
      </c>
      <c r="C146" t="s">
        <v>492</v>
      </c>
      <c r="P146" t="s">
        <v>482</v>
      </c>
      <c r="T146" s="14" t="s">
        <v>554</v>
      </c>
      <c r="U146">
        <v>55</v>
      </c>
      <c r="V146" t="s">
        <v>804</v>
      </c>
      <c r="X146" t="str">
        <f>IF(COUNTIF(X$1:X145,X145)&gt;7,REPLACE(X145,LEN(X145),1,VALUE(RIGHT(X145,1))+1),X145)</f>
        <v>A3.18</v>
      </c>
      <c r="Y146" s="43" cm="1">
        <f t="array" ref="Y146">IF(COUNTIFS($X$2:$X146,$X146)=1,"1",VALUE(SUBSTITUTE(INDEX(Y:Y,_xlfn.XMATCH($X146,$X$1:$X145,0,-1)),"A",""))+INDEX(Z:Z,_xlfn.XMATCH($X146,$X$1:$X145,0,-1))+1)</f>
        <v>4</v>
      </c>
      <c r="Z146" s="43" cm="1">
        <f t="array" ref="Z146">SUM(IF(ISNUMBER(FIND("TmAi",$BE$1:$AAL$1)),IF(IFERROR(ISODD(SUBSTITUTE($BE146:$AAL146,"A","")),FALSE),IF(ISODD(SUBSTITUTE($BE146:$AAL146,"A","")),1,0),0)))</f>
        <v>0</v>
      </c>
      <c r="AA146" t="str">
        <f t="shared" si="196"/>
        <v>7B</v>
      </c>
      <c r="AB146" t="str">
        <f t="shared" si="197"/>
        <v>8B</v>
      </c>
      <c r="AP146" t="s">
        <v>137</v>
      </c>
      <c r="AS146" t="s">
        <v>396</v>
      </c>
      <c r="JZ146" s="27" t="str">
        <f t="shared" si="205"/>
        <v>XT55</v>
      </c>
      <c r="KC146" t="str">
        <f t="shared" si="206"/>
        <v>F0-AI18-7B</v>
      </c>
      <c r="KD146" t="str">
        <f t="shared" si="207"/>
        <v>F0-AI18-8B</v>
      </c>
      <c r="KI146" cm="1">
        <f t="array" ref="KI146">IF(COUNTIFS($U$2:$U146,$U146)=1,1,INDEX(KI:KI,_xlfn.XMATCH(U146,U$1:U145,0,-1))+COUNT(KI145:KM145))</f>
        <v>279</v>
      </c>
      <c r="KJ146">
        <f t="shared" si="203"/>
        <v>280</v>
      </c>
      <c r="KK146">
        <f t="shared" si="204"/>
        <v>281</v>
      </c>
      <c r="KN146">
        <v>1</v>
      </c>
      <c r="KO146" s="16">
        <v>2</v>
      </c>
      <c r="KS146" s="16"/>
    </row>
    <row r="147" spans="1:305" x14ac:dyDescent="0.25">
      <c r="A147" t="s">
        <v>777</v>
      </c>
      <c r="B147" t="s">
        <v>791</v>
      </c>
      <c r="C147" t="s">
        <v>498</v>
      </c>
      <c r="P147" t="s">
        <v>482</v>
      </c>
      <c r="T147" s="14" t="s">
        <v>554</v>
      </c>
      <c r="U147">
        <v>55</v>
      </c>
      <c r="V147" t="s">
        <v>805</v>
      </c>
      <c r="X147" t="str">
        <f>IF(COUNTIF(X$1:X146,X146)&gt;7,REPLACE(X146,LEN(X146),1,VALUE(RIGHT(X146,1))+1),X146)</f>
        <v>A3.18</v>
      </c>
      <c r="Y147" s="43" cm="1">
        <f t="array" ref="Y147">IF(COUNTIFS($X$2:$X147,$X147)=1,"1",VALUE(SUBSTITUTE(INDEX(Y:Y,_xlfn.XMATCH($X147,$X$1:$X146,0,-1)),"A",""))+INDEX(Z:Z,_xlfn.XMATCH($X147,$X$1:$X146,0,-1))+1)</f>
        <v>5</v>
      </c>
      <c r="Z147" s="43" cm="1">
        <f t="array" ref="Z147">SUM(IF(ISNUMBER(FIND("TmAi",$BE$1:$AAL$1)),IF(IFERROR(ISODD(SUBSTITUTE($BE147:$AAL147,"A","")),FALSE),IF(ISODD(SUBSTITUTE($BE147:$AAL147,"A","")),1,0),0)))</f>
        <v>0</v>
      </c>
      <c r="AA147" t="str">
        <f t="shared" si="196"/>
        <v>9B</v>
      </c>
      <c r="AB147" t="str">
        <f t="shared" si="197"/>
        <v>10B</v>
      </c>
      <c r="AP147" t="s">
        <v>137</v>
      </c>
      <c r="AS147" t="s">
        <v>396</v>
      </c>
      <c r="JZ147" s="27" t="str">
        <f t="shared" si="205"/>
        <v>XT55</v>
      </c>
      <c r="KC147" t="str">
        <f t="shared" si="206"/>
        <v>F0-AI18-9B</v>
      </c>
      <c r="KD147" t="str">
        <f t="shared" si="207"/>
        <v>F0-AI18-10B</v>
      </c>
      <c r="KI147" cm="1">
        <f t="array" ref="KI147">IF(COUNTIFS($U$2:$U147,$U147)=1,1,INDEX(KI:KI,_xlfn.XMATCH(U147,U$1:U146,0,-1))+COUNT(KI146:KM146))</f>
        <v>282</v>
      </c>
      <c r="KJ147">
        <f t="shared" si="203"/>
        <v>283</v>
      </c>
      <c r="KK147">
        <f t="shared" si="204"/>
        <v>284</v>
      </c>
      <c r="KN147">
        <v>1</v>
      </c>
      <c r="KO147" s="16">
        <v>2</v>
      </c>
      <c r="KS147" s="16"/>
    </row>
    <row r="148" spans="1:305" x14ac:dyDescent="0.25">
      <c r="A148" t="s">
        <v>778</v>
      </c>
      <c r="B148" s="33" t="s">
        <v>792</v>
      </c>
      <c r="C148" t="s">
        <v>492</v>
      </c>
      <c r="P148" t="s">
        <v>482</v>
      </c>
      <c r="T148" s="14" t="s">
        <v>554</v>
      </c>
      <c r="U148">
        <v>55</v>
      </c>
      <c r="V148" t="s">
        <v>806</v>
      </c>
      <c r="X148" t="str">
        <f>IF(COUNTIF(X$1:X147,X147)&gt;7,REPLACE(X147,LEN(X147),1,VALUE(RIGHT(X147,1))+1),X147)</f>
        <v>A3.18</v>
      </c>
      <c r="Y148" s="43" cm="1">
        <f t="array" ref="Y148">IF(COUNTIFS($X$2:$X148,$X148)=1,"1",VALUE(SUBSTITUTE(INDEX(Y:Y,_xlfn.XMATCH($X148,$X$1:$X147,0,-1)),"A",""))+INDEX(Z:Z,_xlfn.XMATCH($X148,$X$1:$X147,0,-1))+1)</f>
        <v>6</v>
      </c>
      <c r="Z148" s="43" cm="1">
        <f t="array" ref="Z148">SUM(IF(ISNUMBER(FIND("TmAi",$BE$1:$AAL$1)),IF(IFERROR(ISODD(SUBSTITUTE($BE148:$AAL148,"A","")),FALSE),IF(ISODD(SUBSTITUTE($BE148:$AAL148,"A","")),1,0),0)))</f>
        <v>0</v>
      </c>
      <c r="AA148" t="str">
        <f t="shared" si="196"/>
        <v>11B</v>
      </c>
      <c r="AB148" t="str">
        <f t="shared" si="197"/>
        <v>12B</v>
      </c>
      <c r="AP148" t="s">
        <v>137</v>
      </c>
      <c r="AS148" t="s">
        <v>396</v>
      </c>
      <c r="JZ148" s="27" t="str">
        <f t="shared" si="205"/>
        <v>XT55</v>
      </c>
      <c r="KC148" t="str">
        <f t="shared" si="206"/>
        <v>F0-AI18-11B</v>
      </c>
      <c r="KD148" t="str">
        <f t="shared" si="207"/>
        <v>F0-AI18-12B</v>
      </c>
      <c r="KI148" cm="1">
        <f t="array" ref="KI148">IF(COUNTIFS($U$2:$U148,$U148)=1,1,INDEX(KI:KI,_xlfn.XMATCH(U148,U$1:U147,0,-1))+COUNT(KI147:KM147))</f>
        <v>285</v>
      </c>
      <c r="KJ148">
        <f t="shared" si="203"/>
        <v>286</v>
      </c>
      <c r="KK148">
        <f t="shared" si="204"/>
        <v>287</v>
      </c>
      <c r="KN148">
        <v>1</v>
      </c>
      <c r="KO148" s="16">
        <v>2</v>
      </c>
      <c r="KS148" s="16"/>
    </row>
    <row r="149" spans="1:305" x14ac:dyDescent="0.25">
      <c r="A149" t="s">
        <v>779</v>
      </c>
      <c r="B149" t="s">
        <v>793</v>
      </c>
      <c r="C149" t="s">
        <v>498</v>
      </c>
      <c r="P149" t="s">
        <v>482</v>
      </c>
      <c r="T149" s="14" t="s">
        <v>554</v>
      </c>
      <c r="U149">
        <v>55</v>
      </c>
      <c r="V149" t="s">
        <v>807</v>
      </c>
      <c r="X149" t="str">
        <f>IF(COUNTIF(X$1:X148,X148)&gt;7,REPLACE(X148,LEN(X148),1,VALUE(RIGHT(X148,1))+1),X148)</f>
        <v>A3.18</v>
      </c>
      <c r="Y149" s="43" cm="1">
        <f t="array" ref="Y149">IF(COUNTIFS($X$2:$X149,$X149)=1,"1",VALUE(SUBSTITUTE(INDEX(Y:Y,_xlfn.XMATCH($X149,$X$1:$X148,0,-1)),"A",""))+INDEX(Z:Z,_xlfn.XMATCH($X149,$X$1:$X148,0,-1))+1)</f>
        <v>7</v>
      </c>
      <c r="Z149" s="43" cm="1">
        <f t="array" ref="Z149">SUM(IF(ISNUMBER(FIND("TmAi",$BE$1:$AAL$1)),IF(IFERROR(ISODD(SUBSTITUTE($BE149:$AAL149,"A","")),FALSE),IF(ISODD(SUBSTITUTE($BE149:$AAL149,"A","")),1,0),0)))</f>
        <v>0</v>
      </c>
      <c r="AA149" t="str">
        <f t="shared" si="196"/>
        <v>13B</v>
      </c>
      <c r="AB149" t="str">
        <f t="shared" si="197"/>
        <v>14B</v>
      </c>
      <c r="AP149" t="s">
        <v>137</v>
      </c>
      <c r="AS149" t="s">
        <v>396</v>
      </c>
      <c r="JZ149" s="27" t="str">
        <f t="shared" si="205"/>
        <v>XT55</v>
      </c>
      <c r="KC149" t="str">
        <f t="shared" si="206"/>
        <v>F0-AI18-13B</v>
      </c>
      <c r="KD149" t="str">
        <f t="shared" si="207"/>
        <v>F0-AI18-14B</v>
      </c>
      <c r="KI149" cm="1">
        <f t="array" ref="KI149">IF(COUNTIFS($U$2:$U149,$U149)=1,1,INDEX(KI:KI,_xlfn.XMATCH(U149,U$1:U148,0,-1))+COUNT(KI148:KM148))</f>
        <v>288</v>
      </c>
      <c r="KJ149">
        <f t="shared" si="203"/>
        <v>289</v>
      </c>
      <c r="KK149">
        <f t="shared" si="204"/>
        <v>290</v>
      </c>
      <c r="KN149">
        <v>1</v>
      </c>
      <c r="KO149" s="16">
        <v>2</v>
      </c>
      <c r="KS149" s="16"/>
    </row>
    <row r="150" spans="1:305" x14ac:dyDescent="0.25">
      <c r="A150" t="s">
        <v>780</v>
      </c>
      <c r="B150" s="33" t="s">
        <v>794</v>
      </c>
      <c r="C150" t="s">
        <v>492</v>
      </c>
      <c r="P150" t="s">
        <v>482</v>
      </c>
      <c r="T150" s="14" t="s">
        <v>554</v>
      </c>
      <c r="U150">
        <v>55</v>
      </c>
      <c r="V150" t="s">
        <v>808</v>
      </c>
      <c r="X150" t="str">
        <f>IF(COUNTIF(X$1:X149,X149)&gt;7,REPLACE(X149,LEN(X149),1,VALUE(RIGHT(X149,1))+1),X149)</f>
        <v>A3.18</v>
      </c>
      <c r="Y150" s="43" cm="1">
        <f t="array" ref="Y150">IF(COUNTIFS($X$2:$X150,$X150)=1,"1",VALUE(SUBSTITUTE(INDEX(Y:Y,_xlfn.XMATCH($X150,$X$1:$X149,0,-1)),"A",""))+INDEX(Z:Z,_xlfn.XMATCH($X150,$X$1:$X149,0,-1))+1)</f>
        <v>8</v>
      </c>
      <c r="Z150" s="43" cm="1">
        <f t="array" ref="Z150">SUM(IF(ISNUMBER(FIND("TmAi",$BE$1:$AAL$1)),IF(IFERROR(ISODD(SUBSTITUTE($BE150:$AAL150,"A","")),FALSE),IF(ISODD(SUBSTITUTE($BE150:$AAL150,"A","")),1,0),0)))</f>
        <v>0</v>
      </c>
      <c r="AA150" t="str">
        <f t="shared" si="196"/>
        <v>15B</v>
      </c>
      <c r="AB150" t="str">
        <f t="shared" si="197"/>
        <v>16B</v>
      </c>
      <c r="AP150" t="s">
        <v>137</v>
      </c>
      <c r="AS150" t="s">
        <v>396</v>
      </c>
      <c r="JZ150" s="27" t="str">
        <f t="shared" si="205"/>
        <v>XT55</v>
      </c>
      <c r="KC150" t="str">
        <f t="shared" si="206"/>
        <v>F0-AI18-15B</v>
      </c>
      <c r="KD150" t="str">
        <f t="shared" si="207"/>
        <v>F0-AI18-16B</v>
      </c>
      <c r="KI150" cm="1">
        <f t="array" ref="KI150">IF(COUNTIFS($U$2:$U150,$U150)=1,1,INDEX(KI:KI,_xlfn.XMATCH(U150,U$1:U149,0,-1))+COUNT(KI149:KM149))</f>
        <v>291</v>
      </c>
      <c r="KJ150">
        <f t="shared" si="203"/>
        <v>292</v>
      </c>
      <c r="KK150">
        <f t="shared" si="204"/>
        <v>293</v>
      </c>
      <c r="KN150">
        <v>1</v>
      </c>
      <c r="KO150" s="16">
        <v>2</v>
      </c>
      <c r="KS150" s="16"/>
    </row>
    <row r="151" spans="1:305" x14ac:dyDescent="0.25">
      <c r="A151" t="s">
        <v>781</v>
      </c>
      <c r="B151" t="s">
        <v>795</v>
      </c>
      <c r="C151" t="s">
        <v>498</v>
      </c>
      <c r="P151" t="s">
        <v>482</v>
      </c>
      <c r="T151" s="14" t="s">
        <v>554</v>
      </c>
      <c r="U151">
        <v>55</v>
      </c>
      <c r="V151" t="s">
        <v>809</v>
      </c>
      <c r="X151" t="str">
        <f>IF(COUNTIF(X$1:X150,X150)&gt;7,REPLACE(X150,LEN(X150),1,VALUE(RIGHT(X150,1))+1),X150)</f>
        <v>A3.19</v>
      </c>
      <c r="Y151" s="43" t="str" cm="1">
        <f t="array" ref="Y151">IF(COUNTIFS($X$2:$X151,$X151)=1,"1",VALUE(SUBSTITUTE(INDEX(Y:Y,_xlfn.XMATCH($X151,$X$1:$X150,0,-1)),"A",""))+INDEX(Z:Z,_xlfn.XMATCH($X151,$X$1:$X150,0,-1))+1)</f>
        <v>1</v>
      </c>
      <c r="Z151" s="43" cm="1">
        <f t="array" ref="Z151">SUM(IF(ISNUMBER(FIND("TmAi",$BE$1:$AAL$1)),IF(IFERROR(ISODD(SUBSTITUTE($BE151:$AAL151,"A","")),FALSE),IF(ISODD(SUBSTITUTE($BE151:$AAL151,"A","")),1,0),0)))</f>
        <v>0</v>
      </c>
      <c r="AA151" t="str">
        <f t="shared" si="196"/>
        <v>1B</v>
      </c>
      <c r="AB151" t="str">
        <f t="shared" si="197"/>
        <v>2B</v>
      </c>
      <c r="AP151" t="s">
        <v>137</v>
      </c>
      <c r="AS151" t="s">
        <v>396</v>
      </c>
      <c r="JZ151" s="27" t="str">
        <f t="shared" si="205"/>
        <v>XT55</v>
      </c>
      <c r="KC151" t="str">
        <f t="shared" si="206"/>
        <v>F0-AI19-1B</v>
      </c>
      <c r="KD151" t="str">
        <f t="shared" si="207"/>
        <v>F0-AI19-2B</v>
      </c>
      <c r="KI151" cm="1">
        <f t="array" ref="KI151">IF(COUNTIFS($U$2:$U151,$U151)=1,1,INDEX(KI:KI,_xlfn.XMATCH(U151,U$1:U150,0,-1))+COUNT(KI150:KM150))</f>
        <v>294</v>
      </c>
      <c r="KJ151">
        <f t="shared" si="203"/>
        <v>295</v>
      </c>
      <c r="KK151">
        <f t="shared" si="204"/>
        <v>296</v>
      </c>
      <c r="KN151">
        <v>1</v>
      </c>
      <c r="KO151" s="16">
        <v>2</v>
      </c>
      <c r="KS151" s="16"/>
    </row>
    <row r="152" spans="1:305" x14ac:dyDescent="0.25">
      <c r="A152" t="s">
        <v>782</v>
      </c>
      <c r="B152" s="33" t="s">
        <v>796</v>
      </c>
      <c r="C152" t="s">
        <v>492</v>
      </c>
      <c r="P152" t="s">
        <v>482</v>
      </c>
      <c r="T152" s="14" t="s">
        <v>554</v>
      </c>
      <c r="U152">
        <v>55</v>
      </c>
      <c r="V152" t="s">
        <v>810</v>
      </c>
      <c r="X152" t="str">
        <f>IF(COUNTIF(X$1:X151,X151)&gt;7,REPLACE(X151,LEN(X151),1,VALUE(RIGHT(X151,1))+1),X151)</f>
        <v>A3.19</v>
      </c>
      <c r="Y152" s="43" cm="1">
        <f t="array" ref="Y152">IF(COUNTIFS($X$2:$X152,$X152)=1,"1",VALUE(SUBSTITUTE(INDEX(Y:Y,_xlfn.XMATCH($X152,$X$1:$X151,0,-1)),"A",""))+INDEX(Z:Z,_xlfn.XMATCH($X152,$X$1:$X151,0,-1))+1)</f>
        <v>2</v>
      </c>
      <c r="Z152" s="43" cm="1">
        <f t="array" ref="Z152">SUM(IF(ISNUMBER(FIND("TmAi",$BE$1:$AAL$1)),IF(IFERROR(ISODD(SUBSTITUTE($BE152:$AAL152,"A","")),FALSE),IF(ISODD(SUBSTITUTE($BE152:$AAL152,"A","")),1,0),0)))</f>
        <v>0</v>
      </c>
      <c r="AA152" t="str">
        <f t="shared" si="196"/>
        <v>3B</v>
      </c>
      <c r="AB152" t="str">
        <f t="shared" si="197"/>
        <v>4B</v>
      </c>
      <c r="AP152" t="s">
        <v>137</v>
      </c>
      <c r="AS152" t="s">
        <v>396</v>
      </c>
      <c r="JZ152" s="27" t="str">
        <f t="shared" ref="JZ152:JZ168" si="208">CONCATENATE("XT",U152)</f>
        <v>XT55</v>
      </c>
      <c r="KC152" t="str">
        <f t="shared" ref="KC152:KC168" si="209">CONCATENATE(T152,"-AI",REPLACE($X152,1,3,""),"-",AA152)</f>
        <v>F0-AI19-3B</v>
      </c>
      <c r="KD152" t="str">
        <f t="shared" ref="KD152:KD168" si="210">CONCATENATE(T152,"-AI",REPLACE($X152,1,3,""),"-",AB152)</f>
        <v>F0-AI19-4B</v>
      </c>
      <c r="KI152" cm="1">
        <f t="array" ref="KI152">IF(COUNTIFS($U$2:$U152,$U152)=1,1,INDEX(KI:KI,_xlfn.XMATCH(U152,U$1:U151,0,-1))+COUNT(KI151:KM151))</f>
        <v>297</v>
      </c>
      <c r="KJ152">
        <f t="shared" si="203"/>
        <v>298</v>
      </c>
      <c r="KK152">
        <f t="shared" si="204"/>
        <v>299</v>
      </c>
      <c r="KN152">
        <v>1</v>
      </c>
      <c r="KO152" s="16">
        <v>2</v>
      </c>
      <c r="KS152" s="16"/>
    </row>
    <row r="153" spans="1:305" x14ac:dyDescent="0.25">
      <c r="A153" t="s">
        <v>783</v>
      </c>
      <c r="B153" t="s">
        <v>797</v>
      </c>
      <c r="C153" t="s">
        <v>498</v>
      </c>
      <c r="P153" t="s">
        <v>482</v>
      </c>
      <c r="T153" s="14" t="s">
        <v>554</v>
      </c>
      <c r="U153">
        <v>55</v>
      </c>
      <c r="V153" t="s">
        <v>811</v>
      </c>
      <c r="X153" s="33" t="str">
        <f>IF(COUNTIF(X$1:X152,X152)&gt;7,REPLACE(X152,LEN(X152),1,VALUE(RIGHT(X152,1))+1),X152)</f>
        <v>A3.19</v>
      </c>
      <c r="Y153" s="45" cm="1">
        <f t="array" ref="Y153">IF(COUNTIFS($X$2:$X153,$X153)=1,"1",VALUE(SUBSTITUTE(INDEX(Y:Y,_xlfn.XMATCH($X153,$X$1:$X152,0,-1)),"A",""))+INDEX(Z:Z,_xlfn.XMATCH($X153,$X$1:$X152,0,-1))+1)</f>
        <v>3</v>
      </c>
      <c r="Z153" s="43" cm="1">
        <f t="array" ref="Z153">SUM(IF(ISNUMBER(FIND("TmAi",$BE$1:$AAL$1)),IF(IFERROR(ISODD(SUBSTITUTE($BE153:$AAL153,"A","")),FALSE),IF(ISODD(SUBSTITUTE($BE153:$AAL153,"A","")),1,0),0)))</f>
        <v>0</v>
      </c>
      <c r="AA153" t="str">
        <f t="shared" si="196"/>
        <v>5B</v>
      </c>
      <c r="AB153" t="str">
        <f t="shared" si="197"/>
        <v>6B</v>
      </c>
      <c r="AP153" t="s">
        <v>137</v>
      </c>
      <c r="AS153" t="s">
        <v>396</v>
      </c>
      <c r="JZ153" s="27" t="str">
        <f t="shared" si="208"/>
        <v>XT55</v>
      </c>
      <c r="KC153" t="str">
        <f t="shared" si="209"/>
        <v>F0-AI19-5B</v>
      </c>
      <c r="KD153" t="str">
        <f t="shared" si="210"/>
        <v>F0-AI19-6B</v>
      </c>
      <c r="KI153" cm="1">
        <f t="array" ref="KI153">IF(COUNTIFS($U$2:$U153,$U153)=1,1,INDEX(KI:KI,_xlfn.XMATCH(U153,U$1:U152,0,-1))+COUNT(KI152:KM152))</f>
        <v>300</v>
      </c>
      <c r="KJ153">
        <f t="shared" ref="KJ153:KJ168" si="211">KI153+1</f>
        <v>301</v>
      </c>
      <c r="KK153">
        <f t="shared" ref="KK153:KK168" si="212">KJ153+1</f>
        <v>302</v>
      </c>
      <c r="KN153">
        <v>1</v>
      </c>
      <c r="KO153" s="16">
        <v>2</v>
      </c>
      <c r="KS153" s="16"/>
    </row>
    <row r="154" spans="1:305" x14ac:dyDescent="0.25">
      <c r="A154" t="s">
        <v>784</v>
      </c>
      <c r="B154" s="33" t="s">
        <v>798</v>
      </c>
      <c r="C154" t="s">
        <v>492</v>
      </c>
      <c r="P154" t="s">
        <v>482</v>
      </c>
      <c r="T154" s="14" t="s">
        <v>554</v>
      </c>
      <c r="U154">
        <v>55</v>
      </c>
      <c r="V154" t="s">
        <v>812</v>
      </c>
      <c r="X154" t="str">
        <f>IF(COUNTIF(X$1:X153,X153)&gt;7,REPLACE(X153,LEN(X153),1,VALUE(RIGHT(X153,1))+1),X153)</f>
        <v>A3.19</v>
      </c>
      <c r="Y154" s="43" cm="1">
        <f t="array" ref="Y154">IF(COUNTIFS($X$2:$X154,$X154)=1,"1",VALUE(SUBSTITUTE(INDEX(Y:Y,_xlfn.XMATCH($X154,$X$1:$X153,0,-1)),"A",""))+INDEX(Z:Z,_xlfn.XMATCH($X154,$X$1:$X153,0,-1))+1)</f>
        <v>4</v>
      </c>
      <c r="Z154" s="43" cm="1">
        <f t="array" ref="Z154">SUM(IF(ISNUMBER(FIND("TmAi",$BE$1:$AAL$1)),IF(IFERROR(ISODD(SUBSTITUTE($BE154:$AAL154,"A","")),FALSE),IF(ISODD(SUBSTITUTE($BE154:$AAL154,"A","")),1,0),0)))</f>
        <v>0</v>
      </c>
      <c r="AA154" t="str">
        <f t="shared" ref="AA154:AA165" si="213">CONCATENATE($Y154*2-1,"B")</f>
        <v>7B</v>
      </c>
      <c r="AB154" t="str">
        <f t="shared" ref="AB154:AB165" si="214">CONCATENATE($Y154*2,"B")</f>
        <v>8B</v>
      </c>
      <c r="AP154" t="s">
        <v>137</v>
      </c>
      <c r="AS154" t="s">
        <v>396</v>
      </c>
      <c r="JZ154" s="27" t="str">
        <f t="shared" si="208"/>
        <v>XT55</v>
      </c>
      <c r="KC154" t="str">
        <f t="shared" si="209"/>
        <v>F0-AI19-7B</v>
      </c>
      <c r="KD154" t="str">
        <f t="shared" si="210"/>
        <v>F0-AI19-8B</v>
      </c>
      <c r="KI154" cm="1">
        <f t="array" ref="KI154">IF(COUNTIFS($U$2:$U154,$U154)=1,1,INDEX(KI:KI,_xlfn.XMATCH(U154,U$1:U153,0,-1))+COUNT(KI153:KM153))</f>
        <v>303</v>
      </c>
      <c r="KJ154">
        <f t="shared" si="211"/>
        <v>304</v>
      </c>
      <c r="KK154">
        <f t="shared" si="212"/>
        <v>305</v>
      </c>
      <c r="KN154">
        <v>1</v>
      </c>
      <c r="KO154" s="16">
        <v>2</v>
      </c>
      <c r="KS154" s="16"/>
    </row>
    <row r="155" spans="1:305" x14ac:dyDescent="0.25">
      <c r="A155" t="s">
        <v>785</v>
      </c>
      <c r="B155" t="s">
        <v>799</v>
      </c>
      <c r="C155" t="s">
        <v>498</v>
      </c>
      <c r="P155" t="s">
        <v>482</v>
      </c>
      <c r="T155" s="14" t="s">
        <v>554</v>
      </c>
      <c r="U155">
        <v>55</v>
      </c>
      <c r="V155" t="s">
        <v>813</v>
      </c>
      <c r="X155" t="str">
        <f>IF(COUNTIF(X$1:X154,X154)&gt;7,REPLACE(X154,LEN(X154),1,VALUE(RIGHT(X154,1))+1),X154)</f>
        <v>A3.19</v>
      </c>
      <c r="Y155" s="43" cm="1">
        <f t="array" ref="Y155">IF(COUNTIFS($X$2:$X155,$X155)=1,"1",VALUE(SUBSTITUTE(INDEX(Y:Y,_xlfn.XMATCH($X155,$X$1:$X154,0,-1)),"A",""))+INDEX(Z:Z,_xlfn.XMATCH($X155,$X$1:$X154,0,-1))+1)</f>
        <v>5</v>
      </c>
      <c r="Z155" s="43" cm="1">
        <f t="array" ref="Z155">SUM(IF(ISNUMBER(FIND("TmAi",$BE$1:$AAL$1)),IF(IFERROR(ISODD(SUBSTITUTE($BE155:$AAL155,"A","")),FALSE),IF(ISODD(SUBSTITUTE($BE155:$AAL155,"A","")),1,0),0)))</f>
        <v>0</v>
      </c>
      <c r="AA155" t="str">
        <f t="shared" si="213"/>
        <v>9B</v>
      </c>
      <c r="AB155" t="str">
        <f t="shared" si="214"/>
        <v>10B</v>
      </c>
      <c r="AP155" t="s">
        <v>137</v>
      </c>
      <c r="AS155" t="s">
        <v>396</v>
      </c>
      <c r="JZ155" s="27" t="str">
        <f t="shared" si="208"/>
        <v>XT55</v>
      </c>
      <c r="KC155" t="str">
        <f t="shared" si="209"/>
        <v>F0-AI19-9B</v>
      </c>
      <c r="KD155" t="str">
        <f t="shared" si="210"/>
        <v>F0-AI19-10B</v>
      </c>
      <c r="KI155" cm="1">
        <f t="array" ref="KI155">IF(COUNTIFS($U$2:$U155,$U155)=1,1,INDEX(KI:KI,_xlfn.XMATCH(U155,U$1:U154,0,-1))+COUNT(KI154:KM154))</f>
        <v>306</v>
      </c>
      <c r="KJ155">
        <f t="shared" si="211"/>
        <v>307</v>
      </c>
      <c r="KK155">
        <f t="shared" si="212"/>
        <v>308</v>
      </c>
      <c r="KN155">
        <v>1</v>
      </c>
      <c r="KO155" s="16">
        <v>2</v>
      </c>
      <c r="KS155" s="16"/>
    </row>
    <row r="156" spans="1:305" x14ac:dyDescent="0.25">
      <c r="A156" t="s">
        <v>786</v>
      </c>
      <c r="B156" s="33" t="s">
        <v>800</v>
      </c>
      <c r="C156" t="s">
        <v>492</v>
      </c>
      <c r="P156" t="s">
        <v>482</v>
      </c>
      <c r="T156" s="14" t="s">
        <v>554</v>
      </c>
      <c r="U156">
        <v>55</v>
      </c>
      <c r="V156" t="s">
        <v>814</v>
      </c>
      <c r="X156" t="str">
        <f>IF(COUNTIF(X$1:X155,X155)&gt;7,REPLACE(X155,LEN(X155),1,VALUE(RIGHT(X155,1))+1),X155)</f>
        <v>A3.19</v>
      </c>
      <c r="Y156" s="43" cm="1">
        <f t="array" ref="Y156">IF(COUNTIFS($X$2:$X156,$X156)=1,"1",VALUE(SUBSTITUTE(INDEX(Y:Y,_xlfn.XMATCH($X156,$X$1:$X155,0,-1)),"A",""))+INDEX(Z:Z,_xlfn.XMATCH($X156,$X$1:$X155,0,-1))+1)</f>
        <v>6</v>
      </c>
      <c r="Z156" s="43" cm="1">
        <f t="array" ref="Z156">SUM(IF(ISNUMBER(FIND("TmAi",$BE$1:$AAL$1)),IF(IFERROR(ISODD(SUBSTITUTE($BE156:$AAL156,"A","")),FALSE),IF(ISODD(SUBSTITUTE($BE156:$AAL156,"A","")),1,0),0)))</f>
        <v>0</v>
      </c>
      <c r="AA156" t="str">
        <f t="shared" si="213"/>
        <v>11B</v>
      </c>
      <c r="AB156" t="str">
        <f t="shared" si="214"/>
        <v>12B</v>
      </c>
      <c r="AP156" t="s">
        <v>137</v>
      </c>
      <c r="AS156" t="s">
        <v>396</v>
      </c>
      <c r="JZ156" s="27" t="str">
        <f t="shared" si="208"/>
        <v>XT55</v>
      </c>
      <c r="KC156" t="str">
        <f t="shared" si="209"/>
        <v>F0-AI19-11B</v>
      </c>
      <c r="KD156" t="str">
        <f t="shared" si="210"/>
        <v>F0-AI19-12B</v>
      </c>
      <c r="KI156" cm="1">
        <f t="array" ref="KI156">IF(COUNTIFS($U$2:$U156,$U156)=1,1,INDEX(KI:KI,_xlfn.XMATCH(U156,U$1:U155,0,-1))+COUNT(KI155:KM155))</f>
        <v>309</v>
      </c>
      <c r="KJ156">
        <f t="shared" si="211"/>
        <v>310</v>
      </c>
      <c r="KK156">
        <f t="shared" si="212"/>
        <v>311</v>
      </c>
      <c r="KN156">
        <v>1</v>
      </c>
      <c r="KO156" s="16">
        <v>2</v>
      </c>
      <c r="KS156" s="16"/>
    </row>
    <row r="157" spans="1:305" x14ac:dyDescent="0.25">
      <c r="A157" t="s">
        <v>787</v>
      </c>
      <c r="B157" t="s">
        <v>801</v>
      </c>
      <c r="C157" t="s">
        <v>498</v>
      </c>
      <c r="P157" t="s">
        <v>482</v>
      </c>
      <c r="T157" s="14" t="s">
        <v>554</v>
      </c>
      <c r="U157">
        <v>55</v>
      </c>
      <c r="V157" t="s">
        <v>815</v>
      </c>
      <c r="X157" t="str">
        <f>IF(COUNTIF(X$1:X156,X156)&gt;7,REPLACE(X156,LEN(X156),1,VALUE(RIGHT(X156,1))+1),X156)</f>
        <v>A3.19</v>
      </c>
      <c r="Y157" s="43" cm="1">
        <f t="array" ref="Y157">IF(COUNTIFS($X$2:$X157,$X157)=1,"1",VALUE(SUBSTITUTE(INDEX(Y:Y,_xlfn.XMATCH($X157,$X$1:$X156,0,-1)),"A",""))+INDEX(Z:Z,_xlfn.XMATCH($X157,$X$1:$X156,0,-1))+1)</f>
        <v>7</v>
      </c>
      <c r="Z157" s="43" cm="1">
        <f t="array" ref="Z157">SUM(IF(ISNUMBER(FIND("TmAi",$BE$1:$AAL$1)),IF(IFERROR(ISODD(SUBSTITUTE($BE157:$AAL157,"A","")),FALSE),IF(ISODD(SUBSTITUTE($BE157:$AAL157,"A","")),1,0),0)))</f>
        <v>0</v>
      </c>
      <c r="AA157" t="str">
        <f t="shared" si="213"/>
        <v>13B</v>
      </c>
      <c r="AB157" t="str">
        <f t="shared" si="214"/>
        <v>14B</v>
      </c>
      <c r="AP157" t="s">
        <v>137</v>
      </c>
      <c r="AS157" t="s">
        <v>396</v>
      </c>
      <c r="JZ157" s="27" t="str">
        <f t="shared" si="208"/>
        <v>XT55</v>
      </c>
      <c r="KC157" t="str">
        <f t="shared" si="209"/>
        <v>F0-AI19-13B</v>
      </c>
      <c r="KD157" t="str">
        <f t="shared" si="210"/>
        <v>F0-AI19-14B</v>
      </c>
      <c r="KI157" cm="1">
        <f t="array" ref="KI157">IF(COUNTIFS($U$2:$U157,$U157)=1,1,INDEX(KI:KI,_xlfn.XMATCH(U157,U$1:U156,0,-1))+COUNT(KI156:KM156))</f>
        <v>312</v>
      </c>
      <c r="KJ157">
        <f t="shared" si="211"/>
        <v>313</v>
      </c>
      <c r="KK157">
        <f t="shared" si="212"/>
        <v>314</v>
      </c>
      <c r="KN157">
        <v>1</v>
      </c>
      <c r="KO157" s="16">
        <v>2</v>
      </c>
      <c r="KS157" s="16"/>
    </row>
    <row r="158" spans="1:305" x14ac:dyDescent="0.25">
      <c r="A158" t="s">
        <v>788</v>
      </c>
      <c r="B158" s="33" t="s">
        <v>802</v>
      </c>
      <c r="C158" t="s">
        <v>492</v>
      </c>
      <c r="P158" t="s">
        <v>482</v>
      </c>
      <c r="T158" s="14" t="s">
        <v>554</v>
      </c>
      <c r="U158">
        <v>55</v>
      </c>
      <c r="V158" t="s">
        <v>816</v>
      </c>
      <c r="X158" t="str">
        <f>IF(COUNTIF(X$1:X157,X157)&gt;7,REPLACE(X157,LEN(X157),1,VALUE(RIGHT(X157,1))+1),X157)</f>
        <v>A3.19</v>
      </c>
      <c r="Y158" s="43" cm="1">
        <f t="array" ref="Y158">IF(COUNTIFS($X$2:$X158,$X158)=1,"1",VALUE(SUBSTITUTE(INDEX(Y:Y,_xlfn.XMATCH($X158,$X$1:$X157,0,-1)),"A",""))+INDEX(Z:Z,_xlfn.XMATCH($X158,$X$1:$X157,0,-1))+1)</f>
        <v>8</v>
      </c>
      <c r="Z158" s="43" cm="1">
        <f t="array" ref="Z158">SUM(IF(ISNUMBER(FIND("TmAi",$BE$1:$AAL$1)),IF(IFERROR(ISODD(SUBSTITUTE($BE158:$AAL158,"A","")),FALSE),IF(ISODD(SUBSTITUTE($BE158:$AAL158,"A","")),1,0),0)))</f>
        <v>0</v>
      </c>
      <c r="AA158" t="str">
        <f t="shared" si="213"/>
        <v>15B</v>
      </c>
      <c r="AB158" t="str">
        <f t="shared" si="214"/>
        <v>16B</v>
      </c>
      <c r="AP158" t="s">
        <v>137</v>
      </c>
      <c r="AS158" t="s">
        <v>396</v>
      </c>
      <c r="JZ158" s="27" t="str">
        <f t="shared" si="208"/>
        <v>XT55</v>
      </c>
      <c r="KC158" t="str">
        <f t="shared" si="209"/>
        <v>F0-AI19-15B</v>
      </c>
      <c r="KD158" t="str">
        <f t="shared" si="210"/>
        <v>F0-AI19-16B</v>
      </c>
      <c r="KI158" cm="1">
        <f t="array" ref="KI158">IF(COUNTIFS($U$2:$U158,$U158)=1,1,INDEX(KI:KI,_xlfn.XMATCH(U158,U$1:U157,0,-1))+COUNT(KI157:KM157))</f>
        <v>315</v>
      </c>
      <c r="KJ158">
        <f t="shared" si="211"/>
        <v>316</v>
      </c>
      <c r="KK158">
        <f t="shared" si="212"/>
        <v>317</v>
      </c>
      <c r="KN158">
        <v>1</v>
      </c>
      <c r="KO158" s="16">
        <v>2</v>
      </c>
      <c r="KS158" s="16"/>
    </row>
    <row r="159" spans="1:305" x14ac:dyDescent="0.25">
      <c r="A159" t="s">
        <v>818</v>
      </c>
      <c r="B159" s="36" t="s">
        <v>817</v>
      </c>
      <c r="C159" t="s">
        <v>492</v>
      </c>
      <c r="P159" t="s">
        <v>482</v>
      </c>
      <c r="T159" s="14" t="s">
        <v>554</v>
      </c>
      <c r="U159">
        <v>55</v>
      </c>
      <c r="V159" t="s">
        <v>838</v>
      </c>
      <c r="X159" t="s">
        <v>917</v>
      </c>
      <c r="Y159" s="43" cm="1">
        <f t="array" ref="Y159">IF(COUNTIFS($X$2:$X159,$X159)=1,"1",VALUE(SUBSTITUTE(INDEX(Y:Y,_xlfn.XMATCH($X159,$X$1:$X158,0,-1)),"A",""))+INDEX(Z:Z,_xlfn.XMATCH($X159,$X$1:$X158,0,-1))+1)</f>
        <v>3</v>
      </c>
      <c r="Z159" s="43" cm="1">
        <f t="array" ref="Z159">SUM(IF(ISNUMBER(FIND("TmAi",$BE$1:$AAL$1)),IF(IFERROR(ISODD(SUBSTITUTE($BE159:$AAL159,"A","")),FALSE),IF(ISODD(SUBSTITUTE($BE159:$AAL159,"A","")),1,0),0)))</f>
        <v>0</v>
      </c>
      <c r="AA159" t="str">
        <f t="shared" si="213"/>
        <v>5B</v>
      </c>
      <c r="AB159" t="str">
        <f t="shared" si="214"/>
        <v>6B</v>
      </c>
      <c r="AP159" t="s">
        <v>137</v>
      </c>
      <c r="AS159" t="s">
        <v>396</v>
      </c>
      <c r="JZ159" s="27" t="str">
        <f t="shared" si="208"/>
        <v>XT55</v>
      </c>
      <c r="KC159" t="str">
        <f t="shared" si="209"/>
        <v>F0-AI17-5B</v>
      </c>
      <c r="KD159" t="str">
        <f t="shared" si="210"/>
        <v>F0-AI17-6B</v>
      </c>
      <c r="KI159" cm="1">
        <f t="array" ref="KI159">IF(COUNTIFS($U$2:$U159,$U159)=1,1,INDEX(KI:KI,_xlfn.XMATCH(U159,U$1:U158,0,-1))+COUNT(KI158:KM158))</f>
        <v>318</v>
      </c>
      <c r="KJ159">
        <f t="shared" si="211"/>
        <v>319</v>
      </c>
      <c r="KK159">
        <f t="shared" si="212"/>
        <v>320</v>
      </c>
      <c r="KN159">
        <v>1</v>
      </c>
      <c r="KO159" s="16">
        <v>2</v>
      </c>
      <c r="KS159" s="16"/>
    </row>
    <row r="160" spans="1:305" x14ac:dyDescent="0.25">
      <c r="A160" t="s">
        <v>820</v>
      </c>
      <c r="B160" s="36" t="s">
        <v>819</v>
      </c>
      <c r="C160" t="s">
        <v>492</v>
      </c>
      <c r="P160" t="s">
        <v>482</v>
      </c>
      <c r="T160" s="14" t="s">
        <v>554</v>
      </c>
      <c r="U160">
        <v>55</v>
      </c>
      <c r="V160" t="s">
        <v>839</v>
      </c>
      <c r="X160" t="str">
        <f>IF(COUNTIF(X$1:X159,X159)&gt;7,REPLACE(X159,LEN(X159),1,VALUE(RIGHT(X159,1))+1),X159)</f>
        <v>A3.17</v>
      </c>
      <c r="Y160" s="43" cm="1">
        <f t="array" ref="Y160">IF(COUNTIFS($X$2:$X160,$X160)=1,"1",VALUE(SUBSTITUTE(INDEX(Y:Y,_xlfn.XMATCH($X160,$X$1:$X159,0,-1)),"A",""))+INDEX(Z:Z,_xlfn.XMATCH($X160,$X$1:$X159,0,-1))+1)</f>
        <v>4</v>
      </c>
      <c r="Z160" s="43" cm="1">
        <f t="array" ref="Z160">SUM(IF(ISNUMBER(FIND("TmAi",$BE$1:$AAL$1)),IF(IFERROR(ISODD(SUBSTITUTE($BE160:$AAL160,"A","")),FALSE),IF(ISODD(SUBSTITUTE($BE160:$AAL160,"A","")),1,0),0)))</f>
        <v>0</v>
      </c>
      <c r="AA160" t="str">
        <f t="shared" si="213"/>
        <v>7B</v>
      </c>
      <c r="AB160" t="str">
        <f t="shared" si="214"/>
        <v>8B</v>
      </c>
      <c r="AP160" t="s">
        <v>137</v>
      </c>
      <c r="AS160" t="s">
        <v>396</v>
      </c>
      <c r="JZ160" s="27" t="str">
        <f t="shared" si="208"/>
        <v>XT55</v>
      </c>
      <c r="KC160" t="str">
        <f t="shared" si="209"/>
        <v>F0-AI17-7B</v>
      </c>
      <c r="KD160" t="str">
        <f t="shared" si="210"/>
        <v>F0-AI17-8B</v>
      </c>
      <c r="KI160" cm="1">
        <f t="array" ref="KI160">IF(COUNTIFS($U$2:$U160,$U160)=1,1,INDEX(KI:KI,_xlfn.XMATCH(U160,U$1:U159,0,-1))+COUNT(KI159:KM159))</f>
        <v>321</v>
      </c>
      <c r="KJ160">
        <f t="shared" si="211"/>
        <v>322</v>
      </c>
      <c r="KK160">
        <f t="shared" si="212"/>
        <v>323</v>
      </c>
      <c r="KN160">
        <v>1</v>
      </c>
      <c r="KO160" s="16">
        <v>2</v>
      </c>
      <c r="KS160" s="16"/>
    </row>
    <row r="161" spans="1:335" x14ac:dyDescent="0.25">
      <c r="A161" t="s">
        <v>822</v>
      </c>
      <c r="B161" t="s">
        <v>821</v>
      </c>
      <c r="C161" t="s">
        <v>498</v>
      </c>
      <c r="P161" t="s">
        <v>482</v>
      </c>
      <c r="T161" s="14" t="s">
        <v>554</v>
      </c>
      <c r="U161">
        <v>55</v>
      </c>
      <c r="V161" t="s">
        <v>840</v>
      </c>
      <c r="X161" s="33" t="str">
        <f>IF(COUNTIF(X$1:X160,X160)&gt;7,REPLACE(X160,LEN(X160),1,VALUE(RIGHT(X160,1))+1),X160)</f>
        <v>A3.17</v>
      </c>
      <c r="Y161" s="45" cm="1">
        <f t="array" ref="Y161">IF(COUNTIFS($X$2:$X161,$X161)=1,"1",VALUE(SUBSTITUTE(INDEX(Y:Y,_xlfn.XMATCH($X161,$X$1:$X160,0,-1)),"A",""))+INDEX(Z:Z,_xlfn.XMATCH($X161,$X$1:$X160,0,-1))+1)</f>
        <v>5</v>
      </c>
      <c r="Z161" s="43" cm="1">
        <f t="array" ref="Z161">SUM(IF(ISNUMBER(FIND("TmAi",$BE$1:$AAL$1)),IF(IFERROR(ISODD(SUBSTITUTE($BE161:$AAL161,"A","")),FALSE),IF(ISODD(SUBSTITUTE($BE161:$AAL161,"A","")),1,0),0)))</f>
        <v>0</v>
      </c>
      <c r="AA161" t="str">
        <f t="shared" si="213"/>
        <v>9B</v>
      </c>
      <c r="AB161" t="str">
        <f t="shared" si="214"/>
        <v>10B</v>
      </c>
      <c r="AP161" t="s">
        <v>137</v>
      </c>
      <c r="AS161" t="s">
        <v>396</v>
      </c>
      <c r="JZ161" s="27" t="str">
        <f t="shared" si="208"/>
        <v>XT55</v>
      </c>
      <c r="KC161" t="str">
        <f t="shared" si="209"/>
        <v>F0-AI17-9B</v>
      </c>
      <c r="KD161" t="str">
        <f t="shared" si="210"/>
        <v>F0-AI17-10B</v>
      </c>
      <c r="KI161" cm="1">
        <f t="array" ref="KI161">IF(COUNTIFS($U$2:$U161,$U161)=1,1,INDEX(KI:KI,_xlfn.XMATCH(U161,U$1:U160,0,-1))+COUNT(KI160:KM160))</f>
        <v>324</v>
      </c>
      <c r="KJ161">
        <f t="shared" si="211"/>
        <v>325</v>
      </c>
      <c r="KK161">
        <f t="shared" si="212"/>
        <v>326</v>
      </c>
      <c r="KN161">
        <v>1</v>
      </c>
      <c r="KO161" s="16">
        <v>2</v>
      </c>
      <c r="KS161" s="16"/>
    </row>
    <row r="162" spans="1:335" x14ac:dyDescent="0.25">
      <c r="A162" t="s">
        <v>824</v>
      </c>
      <c r="B162" t="s">
        <v>823</v>
      </c>
      <c r="C162" t="s">
        <v>498</v>
      </c>
      <c r="P162" t="s">
        <v>482</v>
      </c>
      <c r="T162" s="14" t="s">
        <v>554</v>
      </c>
      <c r="U162">
        <v>55</v>
      </c>
      <c r="V162" t="s">
        <v>841</v>
      </c>
      <c r="X162" t="str">
        <f>IF(COUNTIF(X$1:X161,X161)&gt;7,REPLACE(X161,LEN(X161),1,VALUE(RIGHT(X161,1))+1),X161)</f>
        <v>A3.17</v>
      </c>
      <c r="Y162" s="43" cm="1">
        <f t="array" ref="Y162">IF(COUNTIFS($X$2:$X162,$X162)=1,"1",VALUE(SUBSTITUTE(INDEX(Y:Y,_xlfn.XMATCH($X162,$X$1:$X161,0,-1)),"A",""))+INDEX(Z:Z,_xlfn.XMATCH($X162,$X$1:$X161,0,-1))+1)</f>
        <v>6</v>
      </c>
      <c r="Z162" s="46" cm="1">
        <f t="array" ref="Z162">SUM(IF(ISNUMBER(FIND("TmAi",$BE$1:$AAL$1)),IF(IFERROR(ISODD(SUBSTITUTE($BE162:$AAL162,"A","")),FALSE),IF(ISODD(SUBSTITUTE($BE162:$AAL162,"A","")),1,0),0)))</f>
        <v>0</v>
      </c>
      <c r="AA162" t="str">
        <f t="shared" si="213"/>
        <v>11B</v>
      </c>
      <c r="AB162" t="str">
        <f t="shared" si="214"/>
        <v>12B</v>
      </c>
      <c r="AP162" t="s">
        <v>137</v>
      </c>
      <c r="AS162" t="s">
        <v>396</v>
      </c>
      <c r="JZ162" s="27" t="str">
        <f t="shared" si="208"/>
        <v>XT55</v>
      </c>
      <c r="KC162" t="str">
        <f t="shared" si="209"/>
        <v>F0-AI17-11B</v>
      </c>
      <c r="KD162" t="str">
        <f t="shared" si="210"/>
        <v>F0-AI17-12B</v>
      </c>
      <c r="KI162" cm="1">
        <f t="array" ref="KI162">IF(COUNTIFS($U$2:$U162,$U162)=1,1,INDEX(KI:KI,_xlfn.XMATCH(U162,U$1:U161,0,-1))+COUNT(KI161:KM161))</f>
        <v>327</v>
      </c>
      <c r="KJ162">
        <f t="shared" si="211"/>
        <v>328</v>
      </c>
      <c r="KK162">
        <f t="shared" si="212"/>
        <v>329</v>
      </c>
      <c r="KN162">
        <v>1</v>
      </c>
      <c r="KO162" s="16">
        <v>2</v>
      </c>
      <c r="KS162" s="16"/>
    </row>
    <row r="163" spans="1:335" x14ac:dyDescent="0.25">
      <c r="A163" t="s">
        <v>826</v>
      </c>
      <c r="B163" t="s">
        <v>825</v>
      </c>
      <c r="C163" t="s">
        <v>498</v>
      </c>
      <c r="P163" t="s">
        <v>482</v>
      </c>
      <c r="T163" s="14" t="s">
        <v>554</v>
      </c>
      <c r="U163">
        <v>55</v>
      </c>
      <c r="V163" t="s">
        <v>842</v>
      </c>
      <c r="X163" t="str">
        <f>IF(COUNTIF(X$1:X162,X162)&gt;7,REPLACE(X162,LEN(X162),1,VALUE(RIGHT(X162,1))+1),X162)</f>
        <v>A3.17</v>
      </c>
      <c r="Y163" s="43" cm="1">
        <f t="array" ref="Y163">IF(COUNTIFS($X$2:$X163,$X163)=1,"1",VALUE(SUBSTITUTE(INDEX(Y:Y,_xlfn.XMATCH($X163,$X$1:$X162,0,-1)),"A",""))+INDEX(Z:Z,_xlfn.XMATCH($X163,$X$1:$X162,0,-1))+1)</f>
        <v>7</v>
      </c>
      <c r="Z163" s="46" cm="1">
        <f t="array" ref="Z163">SUM(IF(ISNUMBER(FIND("TmAi",$BE$1:$AAL$1)),IF(IFERROR(ISODD(SUBSTITUTE($BE163:$AAL163,"A","")),FALSE),IF(ISODD(SUBSTITUTE($BE163:$AAL163,"A","")),1,0),0)))</f>
        <v>0</v>
      </c>
      <c r="AA163" t="str">
        <f t="shared" si="213"/>
        <v>13B</v>
      </c>
      <c r="AB163" t="str">
        <f t="shared" si="214"/>
        <v>14B</v>
      </c>
      <c r="AP163" t="s">
        <v>137</v>
      </c>
      <c r="AS163" t="s">
        <v>396</v>
      </c>
      <c r="JZ163" s="27" t="str">
        <f t="shared" si="208"/>
        <v>XT55</v>
      </c>
      <c r="KC163" t="str">
        <f t="shared" si="209"/>
        <v>F0-AI17-13B</v>
      </c>
      <c r="KD163" t="str">
        <f t="shared" si="210"/>
        <v>F0-AI17-14B</v>
      </c>
      <c r="KI163" cm="1">
        <f t="array" ref="KI163">IF(COUNTIFS($U$2:$U163,$U163)=1,1,INDEX(KI:KI,_xlfn.XMATCH(U163,U$1:U162,0,-1))+COUNT(KI162:KM162))</f>
        <v>330</v>
      </c>
      <c r="KJ163">
        <f t="shared" si="211"/>
        <v>331</v>
      </c>
      <c r="KK163">
        <f t="shared" si="212"/>
        <v>332</v>
      </c>
      <c r="KN163">
        <v>1</v>
      </c>
      <c r="KO163" s="16">
        <v>2</v>
      </c>
      <c r="KS163" s="16"/>
    </row>
    <row r="164" spans="1:335" x14ac:dyDescent="0.25">
      <c r="A164" t="s">
        <v>828</v>
      </c>
      <c r="B164" s="33" t="s">
        <v>827</v>
      </c>
      <c r="C164" t="s">
        <v>498</v>
      </c>
      <c r="P164" t="s">
        <v>482</v>
      </c>
      <c r="T164" s="14" t="s">
        <v>554</v>
      </c>
      <c r="U164">
        <v>55</v>
      </c>
      <c r="V164" t="s">
        <v>843</v>
      </c>
      <c r="X164" t="str">
        <f>IF(COUNTIF(X$1:X163,X163)&gt;7,REPLACE(X163,LEN(X163),1,VALUE(RIGHT(X163,1))+1),X163)</f>
        <v>A3.17</v>
      </c>
      <c r="Y164" s="43" cm="1">
        <f t="array" ref="Y164">IF(COUNTIFS($X$2:$X164,$X164)=1,"1",VALUE(SUBSTITUTE(INDEX(Y:Y,_xlfn.XMATCH($X164,$X$1:$X163,0,-1)),"A",""))+INDEX(Z:Z,_xlfn.XMATCH($X164,$X$1:$X163,0,-1))+1)</f>
        <v>8</v>
      </c>
      <c r="Z164" s="46" cm="1">
        <f t="array" ref="Z164">SUM(IF(ISNUMBER(FIND("TmAi",$BE$1:$AAL$1)),IF(IFERROR(ISODD(SUBSTITUTE($BE164:$AAL164,"A","")),FALSE),IF(ISODD(SUBSTITUTE($BE164:$AAL164,"A","")),1,0),0)))</f>
        <v>0</v>
      </c>
      <c r="AA164" t="str">
        <f t="shared" si="213"/>
        <v>15B</v>
      </c>
      <c r="AB164" t="str">
        <f t="shared" si="214"/>
        <v>16B</v>
      </c>
      <c r="AP164" t="s">
        <v>137</v>
      </c>
      <c r="AS164" t="s">
        <v>396</v>
      </c>
      <c r="JZ164" s="27" t="str">
        <f t="shared" si="208"/>
        <v>XT55</v>
      </c>
      <c r="KC164" t="str">
        <f t="shared" si="209"/>
        <v>F0-AI17-15B</v>
      </c>
      <c r="KD164" t="str">
        <f t="shared" si="210"/>
        <v>F0-AI17-16B</v>
      </c>
      <c r="KI164" cm="1">
        <f t="array" ref="KI164">IF(COUNTIFS($U$2:$U164,$U164)=1,1,INDEX(KI:KI,_xlfn.XMATCH(U164,U$1:U163,0,-1))+COUNT(KI163:KM163))</f>
        <v>333</v>
      </c>
      <c r="KJ164">
        <f t="shared" si="211"/>
        <v>334</v>
      </c>
      <c r="KK164">
        <f t="shared" si="212"/>
        <v>335</v>
      </c>
      <c r="KN164">
        <v>1</v>
      </c>
      <c r="KO164" s="16">
        <v>2</v>
      </c>
      <c r="KS164" s="16"/>
    </row>
    <row r="165" spans="1:335" x14ac:dyDescent="0.25">
      <c r="A165" t="s">
        <v>830</v>
      </c>
      <c r="B165" t="s">
        <v>829</v>
      </c>
      <c r="C165" t="s">
        <v>498</v>
      </c>
      <c r="P165" t="s">
        <v>482</v>
      </c>
      <c r="T165" s="14" t="s">
        <v>554</v>
      </c>
      <c r="U165">
        <v>55</v>
      </c>
      <c r="V165" t="s">
        <v>844</v>
      </c>
      <c r="X165" s="33" t="s">
        <v>1148</v>
      </c>
      <c r="Y165" s="45" t="str" cm="1">
        <f t="array" ref="Y165">IF(COUNTIFS($X$2:$X165,$X165)=1,"1",VALUE(SUBSTITUTE(INDEX(Y:Y,_xlfn.XMATCH($X165,$X$1:$X164,0,-1)),"A",""))+INDEX(Z:Z,_xlfn.XMATCH($X165,$X$1:$X164,0,-1))+1)</f>
        <v>1</v>
      </c>
      <c r="Z165" s="46" cm="1">
        <f t="array" ref="Z165">SUM(IF(ISNUMBER(FIND("TmAi",$BE$1:$AAL$1)),IF(IFERROR(ISODD(SUBSTITUTE($BE165:$AAL165,"A","")),FALSE),IF(ISODD(SUBSTITUTE($BE165:$AAL165,"A","")),1,0),0)))</f>
        <v>0</v>
      </c>
      <c r="AA165" t="str">
        <f t="shared" si="213"/>
        <v>1B</v>
      </c>
      <c r="AB165" t="str">
        <f t="shared" si="214"/>
        <v>2B</v>
      </c>
      <c r="AP165" t="s">
        <v>137</v>
      </c>
      <c r="AS165" t="s">
        <v>396</v>
      </c>
      <c r="JZ165" s="27" t="str">
        <f t="shared" si="208"/>
        <v>XT55</v>
      </c>
      <c r="KC165" t="str">
        <f t="shared" si="209"/>
        <v>F0-AI20-1B</v>
      </c>
      <c r="KD165" t="str">
        <f t="shared" si="210"/>
        <v>F0-AI20-2B</v>
      </c>
      <c r="KI165" cm="1">
        <f t="array" ref="KI165">IF(COUNTIFS($U$2:$U165,$U165)=1,1,INDEX(KI:KI,_xlfn.XMATCH(U165,U$1:U164,0,-1))+COUNT(KI164:KM164))</f>
        <v>336</v>
      </c>
      <c r="KJ165">
        <f t="shared" si="211"/>
        <v>337</v>
      </c>
      <c r="KK165">
        <f t="shared" si="212"/>
        <v>338</v>
      </c>
      <c r="KN165">
        <v>1</v>
      </c>
      <c r="KO165" s="16">
        <v>2</v>
      </c>
      <c r="KS165" s="16"/>
    </row>
    <row r="166" spans="1:335" x14ac:dyDescent="0.25">
      <c r="A166" t="s">
        <v>832</v>
      </c>
      <c r="B166" t="s">
        <v>831</v>
      </c>
      <c r="C166" t="s">
        <v>537</v>
      </c>
      <c r="P166" t="s">
        <v>542</v>
      </c>
      <c r="T166" s="14" t="s">
        <v>554</v>
      </c>
      <c r="U166">
        <v>55</v>
      </c>
      <c r="V166" t="s">
        <v>845</v>
      </c>
      <c r="X166" t="s">
        <v>1362</v>
      </c>
      <c r="Y166" s="43" cm="1">
        <f t="array" ref="Y166">IF(COUNTIFS($X$2:$X166,$X166)=1,"1",VALUE(SUBSTITUTE(INDEX(Y:Y,_xlfn.XMATCH($X166,$X$1:$X165,0,-1)),"A",""))+INDEX(Z:Z,_xlfn.XMATCH($X166,$X$1:$X165,0,-1))+1)</f>
        <v>3</v>
      </c>
      <c r="Z166" s="46" cm="1">
        <f t="array" ref="Z166">SUM(IF(ISNUMBER(FIND("TmAi",$BE$1:$AAL$1)),IF(IFERROR(ISODD(SUBSTITUTE($BE166:$AAL166,"A","")),FALSE),IF(ISODD(SUBSTITUTE($BE166:$AAL166,"A","")),1,0),0)))</f>
        <v>0</v>
      </c>
      <c r="AA166" t="str">
        <f t="shared" ref="AA166:AA180" si="215">CONCATENATE($Y166*2-1,"A")</f>
        <v>5A</v>
      </c>
      <c r="AB166" t="str">
        <f t="shared" ref="AB166:AB180" si="216">CONCATENATE($Y166*2-1,"B")</f>
        <v>5B</v>
      </c>
      <c r="AP166" t="s">
        <v>137</v>
      </c>
      <c r="AS166" t="s">
        <v>396</v>
      </c>
      <c r="JZ166" s="27" t="str">
        <f t="shared" si="208"/>
        <v>XT55</v>
      </c>
      <c r="KA166" t="str">
        <f>REPLACE($AA166,1,1,LEFT($AA166,1)+1)</f>
        <v>6A</v>
      </c>
      <c r="KB166" t="str">
        <f>REPLACE(AB166,1,1,LEFT(AB166,1)+1)</f>
        <v>6B</v>
      </c>
      <c r="KC166" t="str">
        <f t="shared" si="209"/>
        <v>F0-AI38-5A</v>
      </c>
      <c r="KD166" t="str">
        <f t="shared" si="210"/>
        <v>F0-AI38-5B</v>
      </c>
      <c r="KE166" t="str">
        <f>CONCATENATE($T166,"-AI",REPLACE($X166,1,3,""),"-",KA166)</f>
        <v>F0-AI38-6A</v>
      </c>
      <c r="KF166" t="str">
        <f>CONCATENATE($T166,"-AI",REPLACE($X166,1,3,""),"-",KB166)</f>
        <v>F0-AI38-6B</v>
      </c>
      <c r="KI166" cm="1">
        <f t="array" ref="KI166">IF(COUNTIFS($U$2:$U166,$U166)=1,1,INDEX(KI:KI,_xlfn.XMATCH(U166,U$1:U165,0,-1))+COUNT(KI165:KM165))</f>
        <v>339</v>
      </c>
      <c r="KJ166">
        <f t="shared" si="211"/>
        <v>340</v>
      </c>
      <c r="KK166">
        <f t="shared" si="212"/>
        <v>341</v>
      </c>
      <c r="KL166">
        <f>KK166+1</f>
        <v>342</v>
      </c>
      <c r="KN166">
        <v>1</v>
      </c>
      <c r="KO166" s="16">
        <v>2</v>
      </c>
      <c r="KP166">
        <v>3</v>
      </c>
      <c r="KQ166">
        <v>4</v>
      </c>
      <c r="KS166" s="16"/>
    </row>
    <row r="167" spans="1:335" x14ac:dyDescent="0.25">
      <c r="A167" t="s">
        <v>835</v>
      </c>
      <c r="B167" t="s">
        <v>834</v>
      </c>
      <c r="C167" t="s">
        <v>537</v>
      </c>
      <c r="P167" t="s">
        <v>542</v>
      </c>
      <c r="T167" s="14" t="s">
        <v>554</v>
      </c>
      <c r="U167">
        <v>55</v>
      </c>
      <c r="V167" t="s">
        <v>846</v>
      </c>
      <c r="X167" t="str">
        <f>IF(COUNTIF(X$1:X166,X166)&gt;7,REPLACE(X166,LEN(X166),1,VALUE(RIGHT(X166,1))+1),X166)</f>
        <v>A3.38</v>
      </c>
      <c r="Y167" s="43" cm="1">
        <f t="array" ref="Y167">IF(COUNTIFS($X$2:$X167,$X167)=1,"1",VALUE(SUBSTITUTE(INDEX(Y:Y,_xlfn.XMATCH($X167,$X$1:$X166,0,-1)),"A",""))+INDEX(Z:Z,_xlfn.XMATCH($X167,$X$1:$X166,0,-1))+1)</f>
        <v>4</v>
      </c>
      <c r="Z167" s="46" cm="1">
        <f t="array" ref="Z167">SUM(IF(ISNUMBER(FIND("TmAi",$BE$1:$AAL$1)),IF(IFERROR(ISODD(SUBSTITUTE($BE167:$AAL167,"A","")),FALSE),IF(ISODD(SUBSTITUTE($BE167:$AAL167,"A","")),1,0),0)))</f>
        <v>0</v>
      </c>
      <c r="AA167" t="str">
        <f t="shared" si="215"/>
        <v>7A</v>
      </c>
      <c r="AB167" t="str">
        <f t="shared" si="216"/>
        <v>7B</v>
      </c>
      <c r="AP167" t="s">
        <v>137</v>
      </c>
      <c r="AS167" t="s">
        <v>396</v>
      </c>
      <c r="JZ167" s="27" t="str">
        <f t="shared" si="208"/>
        <v>XT55</v>
      </c>
      <c r="KA167" t="str">
        <f>REPLACE(AA167,1,1,LEFT(AA167,1)+1)</f>
        <v>8A</v>
      </c>
      <c r="KB167" t="str">
        <f>REPLACE(AB167,1,1,LEFT(AB167,1)+1)</f>
        <v>8B</v>
      </c>
      <c r="KC167" t="str">
        <f t="shared" si="209"/>
        <v>F0-AI38-7A</v>
      </c>
      <c r="KD167" t="str">
        <f t="shared" si="210"/>
        <v>F0-AI38-7B</v>
      </c>
      <c r="KE167" t="str">
        <f t="shared" ref="KE167:KE168" si="217">CONCATENATE($T167,"-AI",REPLACE($X167,1,3,""),"-",KA167)</f>
        <v>F0-AI38-8A</v>
      </c>
      <c r="KF167" t="str">
        <f t="shared" ref="KF167:KF168" si="218">CONCATENATE($T167,"-AI",REPLACE($X167,1,3,""),"-",KB167)</f>
        <v>F0-AI38-8B</v>
      </c>
      <c r="KI167" cm="1">
        <f t="array" ref="KI167">IF(COUNTIFS($U$2:$U167,$U167)=1,1,INDEX(KI:KI,_xlfn.XMATCH(U167,U$1:U166,0,-1))+COUNT(KI166:KM166))</f>
        <v>343</v>
      </c>
      <c r="KJ167">
        <f t="shared" si="211"/>
        <v>344</v>
      </c>
      <c r="KK167">
        <f t="shared" si="212"/>
        <v>345</v>
      </c>
      <c r="KL167">
        <f t="shared" ref="KL167:KL168" si="219">KK167+1</f>
        <v>346</v>
      </c>
      <c r="KN167">
        <v>1</v>
      </c>
      <c r="KO167" s="16">
        <v>2</v>
      </c>
      <c r="KP167">
        <v>3</v>
      </c>
      <c r="KQ167">
        <v>4</v>
      </c>
      <c r="KS167" s="16"/>
    </row>
    <row r="168" spans="1:335" ht="15.75" thickBot="1" x14ac:dyDescent="0.3">
      <c r="A168" t="s">
        <v>837</v>
      </c>
      <c r="B168" s="33" t="s">
        <v>836</v>
      </c>
      <c r="C168" t="s">
        <v>537</v>
      </c>
      <c r="P168" t="s">
        <v>542</v>
      </c>
      <c r="T168" s="14" t="s">
        <v>554</v>
      </c>
      <c r="U168">
        <v>55</v>
      </c>
      <c r="V168" t="s">
        <v>847</v>
      </c>
      <c r="X168" s="33" t="str">
        <f>IF(COUNTIF(X$1:X167,X167)&gt;7,REPLACE(X167,LEN(X167),1,VALUE(RIGHT(X167,1))+1),X167)</f>
        <v>A3.38</v>
      </c>
      <c r="Y168" s="45" cm="1">
        <f t="array" ref="Y168">IF(COUNTIFS($X$2:$X168,$X168)=1,"1",VALUE(SUBSTITUTE(INDEX(Y:Y,_xlfn.XMATCH($X168,$X$1:$X167,0,-1)),"A",""))+INDEX(Z:Z,_xlfn.XMATCH($X168,$X$1:$X167,0,-1))+1)</f>
        <v>5</v>
      </c>
      <c r="Z168" s="46" cm="1">
        <f t="array" ref="Z168">SUM(IF(ISNUMBER(FIND("TmAi",$BE$1:$AAL$1)),IF(IFERROR(ISODD(SUBSTITUTE($BE168:$AAL168,"A","")),FALSE),IF(ISODD(SUBSTITUTE($BE168:$AAL168,"A","")),1,0),0)))</f>
        <v>0</v>
      </c>
      <c r="AA168" t="str">
        <f t="shared" si="215"/>
        <v>9A</v>
      </c>
      <c r="AB168" t="str">
        <f t="shared" si="216"/>
        <v>9B</v>
      </c>
      <c r="AP168" t="s">
        <v>137</v>
      </c>
      <c r="AS168" t="s">
        <v>396</v>
      </c>
      <c r="JZ168" s="28" t="str">
        <f t="shared" si="208"/>
        <v>XT55</v>
      </c>
      <c r="KA168" s="19" t="str">
        <f>REPLACE($AA168,1,1,LEFT($AA168,1)+1)</f>
        <v>10A</v>
      </c>
      <c r="KB168" s="19" t="str">
        <f>REPLACE($AB168,1,1,LEFT($AB168,1)+1)</f>
        <v>10B</v>
      </c>
      <c r="KC168" s="19" t="str">
        <f t="shared" si="209"/>
        <v>F0-AI38-9A</v>
      </c>
      <c r="KD168" s="19" t="str">
        <f t="shared" si="210"/>
        <v>F0-AI38-9B</v>
      </c>
      <c r="KE168" s="19" t="str">
        <f t="shared" si="217"/>
        <v>F0-AI38-10A</v>
      </c>
      <c r="KF168" s="19" t="str">
        <f t="shared" si="218"/>
        <v>F0-AI38-10B</v>
      </c>
      <c r="KG168" s="19"/>
      <c r="KH168" s="19"/>
      <c r="KI168" s="19" cm="1">
        <f t="array" ref="KI168">IF(COUNTIFS($U$2:$U168,$U168)=1,1,INDEX(KI:KI,_xlfn.XMATCH(U168,U$1:U167,0,-1))+COUNT(KI167:KM167))</f>
        <v>347</v>
      </c>
      <c r="KJ168" s="19">
        <f t="shared" si="211"/>
        <v>348</v>
      </c>
      <c r="KK168" s="19">
        <f t="shared" si="212"/>
        <v>349</v>
      </c>
      <c r="KL168" s="19">
        <f t="shared" si="219"/>
        <v>350</v>
      </c>
      <c r="KM168" s="19"/>
      <c r="KN168" s="19">
        <v>1</v>
      </c>
      <c r="KO168" s="20">
        <v>2</v>
      </c>
      <c r="KP168" s="19">
        <v>3</v>
      </c>
      <c r="KQ168" s="19">
        <v>4</v>
      </c>
      <c r="KR168" s="19"/>
      <c r="KS168" s="20"/>
    </row>
    <row r="169" spans="1:335" ht="15.75" thickBot="1" x14ac:dyDescent="0.3">
      <c r="A169" t="s">
        <v>852</v>
      </c>
      <c r="B169" t="s">
        <v>851</v>
      </c>
      <c r="C169" t="s">
        <v>850</v>
      </c>
      <c r="P169" t="s">
        <v>849</v>
      </c>
      <c r="T169" s="14" t="s">
        <v>554</v>
      </c>
      <c r="U169">
        <v>56</v>
      </c>
      <c r="V169" t="s">
        <v>848</v>
      </c>
      <c r="Y169" s="43"/>
      <c r="Z169" s="46"/>
      <c r="AC169" t="s">
        <v>853</v>
      </c>
      <c r="AF169" t="s">
        <v>133</v>
      </c>
      <c r="AG169" t="s">
        <v>134</v>
      </c>
      <c r="AP169" t="s">
        <v>137</v>
      </c>
      <c r="AT169" t="s">
        <v>854</v>
      </c>
      <c r="KT169" s="25" t="str">
        <f>CONCATENATE("XT",U169)</f>
        <v>XT56</v>
      </c>
      <c r="KU169" s="12" t="str">
        <f>CONCATENATE("DI",REPLACE($AC169,1,3,""),"-",$AF169)</f>
        <v>DI12-C1</v>
      </c>
      <c r="KV169" s="12" t="s">
        <v>865</v>
      </c>
      <c r="KW169" s="12" t="str">
        <f>CONCATENATE("K",$U169,"-01")</f>
        <v>K56-01</v>
      </c>
      <c r="KX169" s="12">
        <v>11</v>
      </c>
      <c r="KY169" s="12">
        <v>14</v>
      </c>
      <c r="KZ169" s="12" t="s">
        <v>142</v>
      </c>
      <c r="LA169" s="12" t="s">
        <v>143</v>
      </c>
      <c r="LB169" s="12" t="s">
        <v>488</v>
      </c>
      <c r="LC169" s="12" t="s">
        <v>487</v>
      </c>
      <c r="LD169" s="12" t="s">
        <v>414</v>
      </c>
      <c r="LE169" s="12" t="s">
        <v>413</v>
      </c>
      <c r="LF169" s="12" cm="1">
        <f t="array" ref="LF169">IF(COUNTIFS($U$2:$U169,$U169)=1,1,INDEX(LF:LF,_xlfn.XMATCH(AW169,AW$1:AW168,0,-1))+COUNT(LF168:LJ168))</f>
        <v>1</v>
      </c>
      <c r="LG169" s="12">
        <f>LF169+1</f>
        <v>2</v>
      </c>
      <c r="LH169" s="12">
        <f>LG169+1</f>
        <v>3</v>
      </c>
      <c r="LI169" s="12" t="s">
        <v>547</v>
      </c>
      <c r="LJ169" s="12" t="s">
        <v>548</v>
      </c>
      <c r="LK169" s="12">
        <v>1</v>
      </c>
      <c r="LL169" s="12">
        <v>2</v>
      </c>
      <c r="LM169" s="13">
        <v>3</v>
      </c>
    </row>
    <row r="170" spans="1:335" x14ac:dyDescent="0.25">
      <c r="A170" t="s">
        <v>868</v>
      </c>
      <c r="B170" t="s">
        <v>867</v>
      </c>
      <c r="P170" t="s">
        <v>869</v>
      </c>
      <c r="T170" s="14" t="s">
        <v>554</v>
      </c>
      <c r="U170">
        <v>57</v>
      </c>
      <c r="V170" t="s">
        <v>2988</v>
      </c>
      <c r="X170" t="s">
        <v>1148</v>
      </c>
      <c r="Y170" s="43" cm="1">
        <f t="array" ref="Y170">IF(COUNTIFS($X$2:$X170,$X170)=1,"1",VALUE(SUBSTITUTE(INDEX(Y:Y,_xlfn.XMATCH($X170,$X$1:$X169,0,-1)),"A",""))+INDEX(Z:Z,_xlfn.XMATCH($X170,$X$1:$X169,0,-1))+1)</f>
        <v>2</v>
      </c>
      <c r="Z170" s="46" cm="1">
        <f t="array" ref="Z170">SUM(IF(ISNUMBER(FIND("TmAi",$BE$1:$AAL$1)),IF(IFERROR(ISODD(SUBSTITUTE($BE170:$AAL170,"A","")),FALSE),IF(ISODD(SUBSTITUTE($BE170:$AAL170,"A","")),1,0),0)))</f>
        <v>0</v>
      </c>
      <c r="AA170" t="str">
        <f t="shared" si="215"/>
        <v>3A</v>
      </c>
      <c r="AB170" t="str">
        <f t="shared" si="216"/>
        <v>3B</v>
      </c>
      <c r="AP170" t="s">
        <v>137</v>
      </c>
      <c r="AQ170" t="s">
        <v>873</v>
      </c>
      <c r="AS170" t="s">
        <v>396</v>
      </c>
      <c r="KS170" s="16"/>
      <c r="LN170" s="25" t="str">
        <f t="shared" ref="LN170:LN176" si="220">CONCATENATE("XT",U170)</f>
        <v>XT57</v>
      </c>
      <c r="LO170" s="12" t="str">
        <f t="shared" ref="LO170:LO176" si="221">CONCATENATE(T170,"-AI",REPLACE($X170,1,3,""),"-",AA170)</f>
        <v>F0-AI20-3A</v>
      </c>
      <c r="LP170" s="12" t="str">
        <f t="shared" ref="LP170:LP176" si="222">CONCATENATE(T170,"-AI",REPLACE($X170,1,3,""),"-",AB170)</f>
        <v>F0-AI20-3B</v>
      </c>
      <c r="LQ170" s="12">
        <v>1</v>
      </c>
      <c r="LR170" s="12">
        <f t="shared" ref="LR170" si="223">LQ170+1</f>
        <v>2</v>
      </c>
      <c r="LS170" s="12">
        <f t="shared" ref="LS170" si="224">LR170+1</f>
        <v>3</v>
      </c>
      <c r="LT170" s="12" t="s">
        <v>870</v>
      </c>
      <c r="LU170" s="12" t="s">
        <v>871</v>
      </c>
      <c r="LV170" s="13" t="s">
        <v>872</v>
      </c>
      <c r="LW170" s="80"/>
    </row>
    <row r="171" spans="1:335" x14ac:dyDescent="0.25">
      <c r="A171" t="s">
        <v>879</v>
      </c>
      <c r="B171" t="s">
        <v>878</v>
      </c>
      <c r="P171" t="s">
        <v>869</v>
      </c>
      <c r="T171" s="14" t="s">
        <v>554</v>
      </c>
      <c r="U171">
        <v>57</v>
      </c>
      <c r="V171" t="s">
        <v>2989</v>
      </c>
      <c r="X171" t="str">
        <f>IF(COUNTIF(X$1:X170,X170)&gt;7,REPLACE(X170,LEN(X170),1,VALUE(RIGHT(X170,1))+1),X170)</f>
        <v>A3.20</v>
      </c>
      <c r="Y171" s="43" cm="1">
        <f t="array" ref="Y171">IF(COUNTIFS($X$2:$X171,$X171)=1,"1",VALUE(SUBSTITUTE(INDEX(Y:Y,_xlfn.XMATCH($X171,$X$1:$X170,0,-1)),"A",""))+INDEX(Z:Z,_xlfn.XMATCH($X171,$X$1:$X170,0,-1))+1)</f>
        <v>3</v>
      </c>
      <c r="Z171" s="46" cm="1">
        <f t="array" ref="Z171">SUM(IF(ISNUMBER(FIND("TmAi",$BE$1:$AAL$1)),IF(IFERROR(ISODD(SUBSTITUTE($BE171:$AAL171,"A","")),FALSE),IF(ISODD(SUBSTITUTE($BE171:$AAL171,"A","")),1,0),0)))</f>
        <v>0</v>
      </c>
      <c r="AA171" t="str">
        <f t="shared" si="215"/>
        <v>5A</v>
      </c>
      <c r="AB171" t="str">
        <f t="shared" si="216"/>
        <v>5B</v>
      </c>
      <c r="AP171" t="s">
        <v>137</v>
      </c>
      <c r="AQ171" t="s">
        <v>873</v>
      </c>
      <c r="AS171" t="s">
        <v>396</v>
      </c>
      <c r="LN171" s="27" t="str">
        <f t="shared" si="220"/>
        <v>XT57</v>
      </c>
      <c r="LO171" t="str">
        <f t="shared" si="221"/>
        <v>F0-AI20-5A</v>
      </c>
      <c r="LP171" t="str">
        <f t="shared" si="222"/>
        <v>F0-AI20-5B</v>
      </c>
      <c r="LQ171">
        <f>LQ170+3</f>
        <v>4</v>
      </c>
      <c r="LR171">
        <f t="shared" ref="LR171:LR176" si="225">LQ171+1</f>
        <v>5</v>
      </c>
      <c r="LS171">
        <f t="shared" ref="LS171:LS176" si="226">LR171+1</f>
        <v>6</v>
      </c>
      <c r="LT171" t="s">
        <v>892</v>
      </c>
      <c r="LU171" t="s">
        <v>871</v>
      </c>
      <c r="LV171" s="16" t="s">
        <v>872</v>
      </c>
      <c r="LW171" s="80"/>
    </row>
    <row r="172" spans="1:335" x14ac:dyDescent="0.25">
      <c r="A172" t="s">
        <v>881</v>
      </c>
      <c r="B172" t="s">
        <v>880</v>
      </c>
      <c r="P172" t="s">
        <v>869</v>
      </c>
      <c r="T172" s="14" t="s">
        <v>554</v>
      </c>
      <c r="U172">
        <v>57</v>
      </c>
      <c r="V172" t="s">
        <v>2990</v>
      </c>
      <c r="X172" t="str">
        <f>IF(COUNTIF(X$1:X171,X171)&gt;7,REPLACE(X171,LEN(X171),1,VALUE(RIGHT(X171,1))+1),X171)</f>
        <v>A3.20</v>
      </c>
      <c r="Y172" s="43" cm="1">
        <f t="array" ref="Y172">IF(COUNTIFS($X$2:$X172,$X172)=1,"1",VALUE(SUBSTITUTE(INDEX(Y:Y,_xlfn.XMATCH($X172,$X$1:$X171,0,-1)),"A",""))+INDEX(Z:Z,_xlfn.XMATCH($X172,$X$1:$X171,0,-1))+1)</f>
        <v>4</v>
      </c>
      <c r="Z172" s="46" cm="1">
        <f t="array" ref="Z172">SUM(IF(ISNUMBER(FIND("TmAi",$BE$1:$AAL$1)),IF(IFERROR(ISODD(SUBSTITUTE($BE172:$AAL172,"A","")),FALSE),IF(ISODD(SUBSTITUTE($BE172:$AAL172,"A","")),1,0),0)))</f>
        <v>0</v>
      </c>
      <c r="AA172" t="str">
        <f t="shared" si="215"/>
        <v>7A</v>
      </c>
      <c r="AB172" t="str">
        <f t="shared" si="216"/>
        <v>7B</v>
      </c>
      <c r="AP172" t="s">
        <v>137</v>
      </c>
      <c r="AQ172" t="s">
        <v>873</v>
      </c>
      <c r="AS172" t="s">
        <v>396</v>
      </c>
      <c r="LN172" s="27" t="str">
        <f t="shared" si="220"/>
        <v>XT57</v>
      </c>
      <c r="LO172" t="str">
        <f t="shared" si="221"/>
        <v>F0-AI20-7A</v>
      </c>
      <c r="LP172" t="str">
        <f t="shared" si="222"/>
        <v>F0-AI20-7B</v>
      </c>
      <c r="LQ172">
        <f t="shared" ref="LQ172:LQ176" si="227">LQ171+3</f>
        <v>7</v>
      </c>
      <c r="LR172">
        <f t="shared" si="225"/>
        <v>8</v>
      </c>
      <c r="LS172">
        <f t="shared" si="226"/>
        <v>9</v>
      </c>
      <c r="LT172" t="s">
        <v>893</v>
      </c>
      <c r="LU172" t="s">
        <v>871</v>
      </c>
      <c r="LV172" s="16" t="s">
        <v>872</v>
      </c>
      <c r="LW172" s="80"/>
    </row>
    <row r="173" spans="1:335" x14ac:dyDescent="0.25">
      <c r="A173" t="s">
        <v>883</v>
      </c>
      <c r="B173" t="s">
        <v>882</v>
      </c>
      <c r="P173" t="s">
        <v>869</v>
      </c>
      <c r="T173" s="14" t="s">
        <v>554</v>
      </c>
      <c r="U173">
        <v>57</v>
      </c>
      <c r="V173" t="s">
        <v>2991</v>
      </c>
      <c r="X173" s="33" t="str">
        <f>IF(COUNTIF(X$1:X172,X172)&gt;7,REPLACE(X172,LEN(X172),1,VALUE(RIGHT(X172,1))+1),X172)</f>
        <v>A3.20</v>
      </c>
      <c r="Y173" s="45" cm="1">
        <f t="array" ref="Y173">IF(COUNTIFS($X$2:$X173,$X173)=1,"1",VALUE(SUBSTITUTE(INDEX(Y:Y,_xlfn.XMATCH($X173,$X$1:$X172,0,-1)),"A",""))+INDEX(Z:Z,_xlfn.XMATCH($X173,$X$1:$X172,0,-1))+1)</f>
        <v>5</v>
      </c>
      <c r="Z173" s="46" cm="1">
        <f t="array" ref="Z173">SUM(IF(ISNUMBER(FIND("TmAi",$BE$1:$AAL$1)),IF(IFERROR(ISODD(SUBSTITUTE($BE173:$AAL173,"A","")),FALSE),IF(ISODD(SUBSTITUTE($BE173:$AAL173,"A","")),1,0),0)))</f>
        <v>0</v>
      </c>
      <c r="AA173" t="str">
        <f t="shared" si="215"/>
        <v>9A</v>
      </c>
      <c r="AB173" t="str">
        <f t="shared" si="216"/>
        <v>9B</v>
      </c>
      <c r="AP173" t="s">
        <v>137</v>
      </c>
      <c r="AQ173" t="s">
        <v>873</v>
      </c>
      <c r="AS173" t="s">
        <v>396</v>
      </c>
      <c r="LN173" s="27" t="str">
        <f t="shared" si="220"/>
        <v>XT57</v>
      </c>
      <c r="LO173" t="str">
        <f t="shared" si="221"/>
        <v>F0-AI20-9A</v>
      </c>
      <c r="LP173" t="str">
        <f t="shared" si="222"/>
        <v>F0-AI20-9B</v>
      </c>
      <c r="LQ173">
        <f t="shared" si="227"/>
        <v>10</v>
      </c>
      <c r="LR173">
        <f t="shared" si="225"/>
        <v>11</v>
      </c>
      <c r="LS173">
        <f t="shared" si="226"/>
        <v>12</v>
      </c>
      <c r="LT173" t="s">
        <v>894</v>
      </c>
      <c r="LU173" t="s">
        <v>871</v>
      </c>
      <c r="LV173" s="16" t="s">
        <v>872</v>
      </c>
      <c r="LW173" s="80"/>
    </row>
    <row r="174" spans="1:335" x14ac:dyDescent="0.25">
      <c r="A174" t="s">
        <v>885</v>
      </c>
      <c r="B174" t="s">
        <v>884</v>
      </c>
      <c r="P174" t="s">
        <v>869</v>
      </c>
      <c r="T174" s="14" t="s">
        <v>554</v>
      </c>
      <c r="U174">
        <v>57</v>
      </c>
      <c r="V174" t="s">
        <v>2992</v>
      </c>
      <c r="X174" t="str">
        <f>IF(COUNTIF(X$1:X173,X173)&gt;7,REPLACE(X173,LEN(X173),1,VALUE(RIGHT(X173,1))+1),X173)</f>
        <v>A3.20</v>
      </c>
      <c r="Y174" s="43" cm="1">
        <f t="array" ref="Y174">IF(COUNTIFS($X$2:$X174,$X174)=1,"1",VALUE(SUBSTITUTE(INDEX(Y:Y,_xlfn.XMATCH($X174,$X$1:$X173,0,-1)),"A",""))+INDEX(Z:Z,_xlfn.XMATCH($X174,$X$1:$X173,0,-1))+1)</f>
        <v>6</v>
      </c>
      <c r="Z174" s="46" cm="1">
        <f t="array" ref="Z174">SUM(IF(ISNUMBER(FIND("TmAi",$BE$1:$AAL$1)),IF(IFERROR(ISODD(SUBSTITUTE($BE174:$AAL174,"A","")),FALSE),IF(ISODD(SUBSTITUTE($BE174:$AAL174,"A","")),1,0),0)))</f>
        <v>0</v>
      </c>
      <c r="AA174" t="str">
        <f t="shared" si="215"/>
        <v>11A</v>
      </c>
      <c r="AB174" t="str">
        <f t="shared" si="216"/>
        <v>11B</v>
      </c>
      <c r="AP174" t="s">
        <v>137</v>
      </c>
      <c r="AQ174" t="s">
        <v>873</v>
      </c>
      <c r="AS174" t="s">
        <v>396</v>
      </c>
      <c r="LN174" s="27" t="str">
        <f t="shared" si="220"/>
        <v>XT57</v>
      </c>
      <c r="LO174" t="str">
        <f t="shared" si="221"/>
        <v>F0-AI20-11A</v>
      </c>
      <c r="LP174" t="str">
        <f t="shared" si="222"/>
        <v>F0-AI20-11B</v>
      </c>
      <c r="LQ174">
        <f t="shared" si="227"/>
        <v>13</v>
      </c>
      <c r="LR174">
        <f t="shared" si="225"/>
        <v>14</v>
      </c>
      <c r="LS174">
        <f t="shared" si="226"/>
        <v>15</v>
      </c>
      <c r="LT174" t="s">
        <v>895</v>
      </c>
      <c r="LU174" t="s">
        <v>871</v>
      </c>
      <c r="LV174" s="16" t="s">
        <v>872</v>
      </c>
      <c r="LW174" s="80"/>
    </row>
    <row r="175" spans="1:335" x14ac:dyDescent="0.25">
      <c r="A175" t="s">
        <v>889</v>
      </c>
      <c r="B175" t="s">
        <v>888</v>
      </c>
      <c r="P175" t="s">
        <v>869</v>
      </c>
      <c r="T175" s="14" t="s">
        <v>554</v>
      </c>
      <c r="U175">
        <v>57</v>
      </c>
      <c r="V175" t="s">
        <v>2993</v>
      </c>
      <c r="X175" t="str">
        <f>IF(COUNTIF(X$1:X174,X174)&gt;7,REPLACE(X174,LEN(X174),1,VALUE(RIGHT(X174,1))+1),X174)</f>
        <v>A3.20</v>
      </c>
      <c r="Y175" s="43" cm="1">
        <f t="array" ref="Y175">IF(COUNTIFS($X$2:$X175,$X175)=1,"1",VALUE(SUBSTITUTE(INDEX(Y:Y,_xlfn.XMATCH($X175,$X$1:$X174,0,-1)),"A",""))+INDEX(Z:Z,_xlfn.XMATCH($X175,$X$1:$X174,0,-1))+1)</f>
        <v>7</v>
      </c>
      <c r="Z175" s="46" cm="1">
        <f t="array" ref="Z175">SUM(IF(ISNUMBER(FIND("TmAi",$BE$1:$AAL$1)),IF(IFERROR(ISODD(SUBSTITUTE($BE175:$AAL175,"A","")),FALSE),IF(ISODD(SUBSTITUTE($BE175:$AAL175,"A","")),1,0),0)))</f>
        <v>0</v>
      </c>
      <c r="AA175" t="str">
        <f t="shared" si="215"/>
        <v>13A</v>
      </c>
      <c r="AB175" t="str">
        <f t="shared" si="216"/>
        <v>13B</v>
      </c>
      <c r="AP175" t="s">
        <v>137</v>
      </c>
      <c r="AQ175" t="s">
        <v>873</v>
      </c>
      <c r="AS175" t="s">
        <v>396</v>
      </c>
      <c r="LN175" s="27" t="str">
        <f t="shared" si="220"/>
        <v>XT57</v>
      </c>
      <c r="LO175" t="str">
        <f t="shared" si="221"/>
        <v>F0-AI20-13A</v>
      </c>
      <c r="LP175" t="str">
        <f t="shared" si="222"/>
        <v>F0-AI20-13B</v>
      </c>
      <c r="LQ175">
        <f t="shared" si="227"/>
        <v>16</v>
      </c>
      <c r="LR175">
        <f t="shared" si="225"/>
        <v>17</v>
      </c>
      <c r="LS175">
        <f t="shared" si="226"/>
        <v>18</v>
      </c>
      <c r="LT175" t="s">
        <v>896</v>
      </c>
      <c r="LU175" t="s">
        <v>871</v>
      </c>
      <c r="LV175" s="16" t="s">
        <v>872</v>
      </c>
      <c r="LW175" s="80"/>
    </row>
    <row r="176" spans="1:335" ht="15.75" thickBot="1" x14ac:dyDescent="0.3">
      <c r="A176" t="s">
        <v>891</v>
      </c>
      <c r="B176" s="33" t="s">
        <v>890</v>
      </c>
      <c r="P176" t="s">
        <v>869</v>
      </c>
      <c r="T176" s="14" t="s">
        <v>554</v>
      </c>
      <c r="U176">
        <v>57</v>
      </c>
      <c r="V176" t="s">
        <v>2994</v>
      </c>
      <c r="X176" t="str">
        <f>IF(COUNTIF(X$1:X175,X175)&gt;7,REPLACE(X175,LEN(X175),1,VALUE(RIGHT(X175,1))+1),X175)</f>
        <v>A3.20</v>
      </c>
      <c r="Y176" s="43" cm="1">
        <f t="array" ref="Y176">IF(COUNTIFS($X$2:$X176,$X176)=1,"1",VALUE(SUBSTITUTE(INDEX(Y:Y,_xlfn.XMATCH($X176,$X$1:$X175,0,-1)),"A",""))+INDEX(Z:Z,_xlfn.XMATCH($X176,$X$1:$X175,0,-1))+1)</f>
        <v>8</v>
      </c>
      <c r="Z176" s="46" cm="1">
        <f t="array" ref="Z176">SUM(IF(ISNUMBER(FIND("TmAi",$BE$1:$AAL$1)),IF(IFERROR(ISODD(SUBSTITUTE($BE176:$AAL176,"A","")),FALSE),IF(ISODD(SUBSTITUTE($BE176:$AAL176,"A","")),1,0),0)))</f>
        <v>0</v>
      </c>
      <c r="AA176" t="str">
        <f t="shared" si="215"/>
        <v>15A</v>
      </c>
      <c r="AB176" t="str">
        <f t="shared" si="216"/>
        <v>15B</v>
      </c>
      <c r="AP176" t="s">
        <v>137</v>
      </c>
      <c r="AQ176" t="s">
        <v>873</v>
      </c>
      <c r="AS176" t="s">
        <v>396</v>
      </c>
      <c r="LN176" s="27" t="str">
        <f t="shared" si="220"/>
        <v>XT57</v>
      </c>
      <c r="LO176" t="str">
        <f t="shared" si="221"/>
        <v>F0-AI20-15A</v>
      </c>
      <c r="LP176" t="str">
        <f t="shared" si="222"/>
        <v>F0-AI20-15B</v>
      </c>
      <c r="LQ176">
        <f t="shared" si="227"/>
        <v>19</v>
      </c>
      <c r="LR176">
        <f t="shared" si="225"/>
        <v>20</v>
      </c>
      <c r="LS176">
        <f t="shared" si="226"/>
        <v>21</v>
      </c>
      <c r="LT176" t="s">
        <v>897</v>
      </c>
      <c r="LU176" t="s">
        <v>871</v>
      </c>
      <c r="LV176" s="16" t="s">
        <v>872</v>
      </c>
      <c r="LW176" s="80"/>
    </row>
    <row r="177" spans="1:538" x14ac:dyDescent="0.25">
      <c r="A177" t="s">
        <v>901</v>
      </c>
      <c r="B177" t="s">
        <v>900</v>
      </c>
      <c r="C177" t="s">
        <v>899</v>
      </c>
      <c r="P177" t="s">
        <v>898</v>
      </c>
      <c r="T177" s="14" t="s">
        <v>554</v>
      </c>
      <c r="U177">
        <v>56</v>
      </c>
      <c r="V177" t="s">
        <v>2995</v>
      </c>
      <c r="Y177" s="43"/>
      <c r="Z177" s="46"/>
      <c r="AC177" t="s">
        <v>853</v>
      </c>
      <c r="AF177" t="s">
        <v>906</v>
      </c>
      <c r="AG177" t="s">
        <v>907</v>
      </c>
      <c r="AP177" t="s">
        <v>137</v>
      </c>
      <c r="AS177" t="s">
        <v>396</v>
      </c>
      <c r="AT177" t="s">
        <v>854</v>
      </c>
      <c r="LX177" s="25" t="str">
        <f>CONCATENATE("XT",U177)</f>
        <v>XT56</v>
      </c>
      <c r="LY177" s="12" t="str">
        <f>CONCATENATE("DI",REPLACE($AC177,1,3,""),"-",$AF177)</f>
        <v>DI12-C2</v>
      </c>
      <c r="LZ177" s="12"/>
      <c r="MA177" s="12" t="s">
        <v>910</v>
      </c>
      <c r="MB177" s="12" t="str">
        <f>CONCATENATE("K",$U177,"-02")</f>
        <v>K56-02</v>
      </c>
      <c r="MC177" s="12">
        <v>11</v>
      </c>
      <c r="MD177" s="12">
        <v>14</v>
      </c>
      <c r="ME177" s="12" t="s">
        <v>142</v>
      </c>
      <c r="MF177" s="12" t="s">
        <v>143</v>
      </c>
      <c r="MG177" s="12" t="s">
        <v>488</v>
      </c>
      <c r="MH177" s="12" t="s">
        <v>487</v>
      </c>
      <c r="MI177" s="12" t="s">
        <v>414</v>
      </c>
      <c r="MJ177" s="12" t="s">
        <v>413</v>
      </c>
      <c r="MK177" s="12">
        <v>4</v>
      </c>
      <c r="ML177" s="12">
        <f t="shared" ref="ML177:MN178" si="228">MK177+1</f>
        <v>5</v>
      </c>
      <c r="MM177" s="12">
        <f t="shared" si="228"/>
        <v>6</v>
      </c>
      <c r="MN177" s="12">
        <f t="shared" si="228"/>
        <v>7</v>
      </c>
      <c r="MO177" s="12">
        <v>1</v>
      </c>
      <c r="MP177" s="12">
        <v>2</v>
      </c>
      <c r="MQ177" s="12">
        <v>3</v>
      </c>
      <c r="MR177" s="12">
        <v>4</v>
      </c>
      <c r="MS177" s="13">
        <v>5</v>
      </c>
    </row>
    <row r="178" spans="1:538" ht="15.75" thickBot="1" x14ac:dyDescent="0.3">
      <c r="A178" t="s">
        <v>903</v>
      </c>
      <c r="B178" s="33" t="s">
        <v>902</v>
      </c>
      <c r="C178" t="s">
        <v>899</v>
      </c>
      <c r="P178" t="s">
        <v>898</v>
      </c>
      <c r="T178" s="14" t="s">
        <v>554</v>
      </c>
      <c r="U178">
        <v>56</v>
      </c>
      <c r="V178" t="s">
        <v>2996</v>
      </c>
      <c r="Y178" s="43"/>
      <c r="Z178" s="46"/>
      <c r="AC178" t="s">
        <v>853</v>
      </c>
      <c r="AF178" t="s">
        <v>908</v>
      </c>
      <c r="AG178" t="s">
        <v>909</v>
      </c>
      <c r="AP178" t="s">
        <v>137</v>
      </c>
      <c r="AS178" t="s">
        <v>396</v>
      </c>
      <c r="AT178" t="s">
        <v>854</v>
      </c>
      <c r="LX178" s="27" t="str">
        <f>CONCATENATE("XT",$U178)</f>
        <v>XT56</v>
      </c>
      <c r="LY178" t="str">
        <f>CONCATENATE("DI",REPLACE($AC178,1,3,""),"-",$AF178)</f>
        <v>DI12-C3</v>
      </c>
      <c r="MA178" t="s">
        <v>911</v>
      </c>
      <c r="MB178" t="str">
        <f>CONCATENATE("K",$U178,"-03")</f>
        <v>K56-03</v>
      </c>
      <c r="MC178">
        <v>11</v>
      </c>
      <c r="MD178">
        <v>14</v>
      </c>
      <c r="ME178" t="s">
        <v>142</v>
      </c>
      <c r="MF178" t="s">
        <v>143</v>
      </c>
      <c r="MG178" t="s">
        <v>488</v>
      </c>
      <c r="MH178" t="s">
        <v>487</v>
      </c>
      <c r="MI178" t="s">
        <v>414</v>
      </c>
      <c r="MJ178" t="s">
        <v>413</v>
      </c>
      <c r="MK178">
        <f>MK177+4</f>
        <v>8</v>
      </c>
      <c r="ML178">
        <f t="shared" si="228"/>
        <v>9</v>
      </c>
      <c r="MM178">
        <f t="shared" si="228"/>
        <v>10</v>
      </c>
      <c r="MN178">
        <f t="shared" si="228"/>
        <v>11</v>
      </c>
      <c r="MO178">
        <v>1</v>
      </c>
      <c r="MP178">
        <v>2</v>
      </c>
      <c r="MQ178">
        <v>3</v>
      </c>
      <c r="MR178">
        <v>4</v>
      </c>
      <c r="MS178" s="16">
        <v>5</v>
      </c>
    </row>
    <row r="179" spans="1:538" ht="15.75" thickBot="1" x14ac:dyDescent="0.3">
      <c r="A179" t="s">
        <v>914</v>
      </c>
      <c r="B179" t="s">
        <v>913</v>
      </c>
      <c r="C179" t="s">
        <v>915</v>
      </c>
      <c r="P179" t="s">
        <v>916</v>
      </c>
      <c r="T179" s="14" t="s">
        <v>554</v>
      </c>
      <c r="U179">
        <v>58</v>
      </c>
      <c r="X179" t="s">
        <v>2411</v>
      </c>
      <c r="Y179" s="43" t="str" cm="1">
        <f t="array" ref="Y179">IF(COUNTIFS($X$2:$X179,$X179)=1,"1",VALUE(SUBSTITUTE(INDEX(Y:Y,_xlfn.XMATCH($X179,$X$1:$X178,0,-1)),"A",""))+INDEX(Z:Z,_xlfn.XMATCH($X179,$X$1:$X178,0,-1))+1)</f>
        <v>1</v>
      </c>
      <c r="Z179" s="46" cm="1">
        <f t="array" ref="Z179">SUM(IF(ISNUMBER(FIND("TmAi",$BE$1:$AAL$1)),IF(IFERROR(ISODD(SUBSTITUTE($BE179:$AAL179,"A","")),FALSE),IF(ISODD(SUBSTITUTE($BE179:$AAL179,"A","")),1,0),0)))</f>
        <v>1</v>
      </c>
      <c r="AA179" t="str">
        <f t="shared" si="215"/>
        <v>1A</v>
      </c>
      <c r="AB179" t="str">
        <f t="shared" si="216"/>
        <v>1B</v>
      </c>
      <c r="AC179" t="s">
        <v>853</v>
      </c>
      <c r="AF179" t="s">
        <v>369</v>
      </c>
      <c r="AG179" t="s">
        <v>370</v>
      </c>
      <c r="AP179" t="s">
        <v>137</v>
      </c>
      <c r="AQ179" t="s">
        <v>873</v>
      </c>
      <c r="AS179" t="s">
        <v>396</v>
      </c>
      <c r="AT179" t="s">
        <v>139</v>
      </c>
      <c r="MT179" s="25" t="s">
        <v>926</v>
      </c>
      <c r="MU179" s="12" t="s">
        <v>927</v>
      </c>
      <c r="MV179" s="12" t="s">
        <v>931</v>
      </c>
      <c r="MW179" s="12" t="s">
        <v>932</v>
      </c>
      <c r="MX179" s="12" t="s">
        <v>912</v>
      </c>
      <c r="MY179" s="12" t="str">
        <f>CONCATENATE("XT",$U179)</f>
        <v>XT58</v>
      </c>
      <c r="MZ179" s="12" t="str">
        <f>CONCATENATE("B",REPLACE(AF179,1,1,"")+1)</f>
        <v>B5</v>
      </c>
      <c r="NA179" s="12" t="str">
        <f>CONCATENATE("C",REPLACE(AG179,1,1,"")+1)</f>
        <v>C5</v>
      </c>
      <c r="NB179" s="12" t="str">
        <f>CONCATENATE("B",REPLACE(MZ179,1,1,"")+1)</f>
        <v>B6</v>
      </c>
      <c r="NC179" s="12" t="str">
        <f>CONCATENATE("C",REPLACE(NA179,1,1,"")+1)</f>
        <v>C6</v>
      </c>
      <c r="ND179" s="12" t="str">
        <f>CONCATENATE("B",REPLACE(NB179,1,1,"")+1)</f>
        <v>B7</v>
      </c>
      <c r="NE179" s="12" t="str">
        <f>CONCATENATE("C",REPLACE(NC179,1,1,"")+1)</f>
        <v>C7</v>
      </c>
      <c r="NF179" s="12" t="str">
        <f>REPLACE($AA179,1,1,LEFT($AA179,1)+2)</f>
        <v>3A</v>
      </c>
      <c r="NG179" s="12" t="str">
        <f>REPLACE($AB179,1,1,LEFT($AB179,1)+2)</f>
        <v>3B</v>
      </c>
      <c r="NH179" s="12" t="str">
        <f>CONCATENATE("DI",REPLACE($AC179,1,3,""),"-",$AF179)</f>
        <v>DI12-C4</v>
      </c>
      <c r="NI179" s="12" t="str">
        <f>CONCATENATE("DI",REPLACE($AC179,1,3,""),"-",$NA179)</f>
        <v>DI12-C5</v>
      </c>
      <c r="NJ179" s="12" t="str">
        <f>CONCATENATE("DI",REPLACE($AC179,1,3,""),"-",$NC179)</f>
        <v>DI12-C6</v>
      </c>
      <c r="NK179" s="12" t="str">
        <f>CONCATENATE("DI",REPLACE($AC179,1,3,""),"-",$NE179)</f>
        <v>DI12-C7</v>
      </c>
      <c r="NL179" s="12" t="s">
        <v>933</v>
      </c>
      <c r="NM179" s="12" t="s">
        <v>934</v>
      </c>
      <c r="NN179" s="12" t="s">
        <v>947</v>
      </c>
      <c r="NO179" s="12" t="s">
        <v>935</v>
      </c>
      <c r="NP179" s="12" t="s">
        <v>936</v>
      </c>
      <c r="NQ179" s="12" t="s">
        <v>937</v>
      </c>
      <c r="NR179" s="12" t="s">
        <v>938</v>
      </c>
      <c r="NS179" s="12" t="s">
        <v>939</v>
      </c>
      <c r="NT179" s="12" t="s">
        <v>940</v>
      </c>
      <c r="NU179" s="12" t="s">
        <v>941</v>
      </c>
      <c r="NV179" s="12" t="s">
        <v>942</v>
      </c>
      <c r="NW179" s="12">
        <v>11</v>
      </c>
      <c r="NX179" s="12">
        <v>14</v>
      </c>
      <c r="NY179" s="12" t="s">
        <v>142</v>
      </c>
      <c r="NZ179" s="12" t="s">
        <v>143</v>
      </c>
      <c r="OA179" s="12" t="s">
        <v>488</v>
      </c>
      <c r="OB179" s="12" t="s">
        <v>487</v>
      </c>
      <c r="OC179" s="12" t="s">
        <v>414</v>
      </c>
      <c r="OD179" s="13" t="s">
        <v>413</v>
      </c>
    </row>
    <row r="180" spans="1:538" x14ac:dyDescent="0.25">
      <c r="A180" t="s">
        <v>949</v>
      </c>
      <c r="B180" t="s">
        <v>948</v>
      </c>
      <c r="C180" t="s">
        <v>945</v>
      </c>
      <c r="P180" t="s">
        <v>946</v>
      </c>
      <c r="T180" s="14" t="s">
        <v>554</v>
      </c>
      <c r="U180">
        <v>58</v>
      </c>
      <c r="V180" t="s">
        <v>958</v>
      </c>
      <c r="X180" t="str">
        <f>IF(COUNTIF(X$1:X179,X179)&gt;7,REPLACE(X179,LEN(X179),1,VALUE(RIGHT(X179,1))+1),X179)</f>
        <v>A3.21</v>
      </c>
      <c r="Y180" s="43" cm="1">
        <f t="array" ref="Y180">IF(COUNTIFS($X$2:$X180,$X180)=1,"1",VALUE(SUBSTITUTE(INDEX(Y:Y,_xlfn.XMATCH($X180,$X$1:$X179,0,-1)),"A",""))+INDEX(Z:Z,_xlfn.XMATCH($X180,$X$1:$X179,0,-1))+1)</f>
        <v>3</v>
      </c>
      <c r="Z180" s="46" cm="1">
        <f t="array" ref="Z180">SUM(IF(ISNUMBER(FIND("TmAi",$BE$1:$AAL$1)),IF(IFERROR(ISODD(SUBSTITUTE($BE180:$AAL180,"A","")),FALSE),IF(ISODD(SUBSTITUTE($BE180:$AAL180,"A","")),1,0),0)))</f>
        <v>0</v>
      </c>
      <c r="AA180" t="str">
        <f t="shared" si="215"/>
        <v>5A</v>
      </c>
      <c r="AB180" t="str">
        <f t="shared" si="216"/>
        <v>5B</v>
      </c>
      <c r="AC180" t="s">
        <v>853</v>
      </c>
      <c r="AF180" t="s">
        <v>943</v>
      </c>
      <c r="AG180" t="s">
        <v>944</v>
      </c>
      <c r="AP180" t="s">
        <v>137</v>
      </c>
      <c r="AQ180" t="s">
        <v>873</v>
      </c>
      <c r="AS180" t="s">
        <v>396</v>
      </c>
      <c r="AT180" t="s">
        <v>139</v>
      </c>
      <c r="MT180" s="25"/>
      <c r="MU180" s="12"/>
      <c r="MV180" s="12" t="s">
        <v>960</v>
      </c>
      <c r="MW180" s="12"/>
      <c r="MX180" s="12" t="s">
        <v>959</v>
      </c>
      <c r="MY180" s="12" t="str">
        <f>CONCATENATE("XT",$U180)</f>
        <v>XT58</v>
      </c>
      <c r="MZ180" s="12" t="str">
        <f>CONCATENATE("B",REPLACE(AF180,1,1,"")+1)</f>
        <v>B9</v>
      </c>
      <c r="NA180" s="12" t="str">
        <f>CONCATENATE("C",REPLACE(AG180,1,1,"")+1)</f>
        <v>C9</v>
      </c>
      <c r="NB180" s="12" t="str">
        <f>CONCATENATE("B",REPLACE(MZ180,1,1,"")+1)</f>
        <v>B10</v>
      </c>
      <c r="NC180" s="12" t="str">
        <f>CONCATENATE("C",REPLACE(NA180,1,1,"")+1)</f>
        <v>C10</v>
      </c>
      <c r="ND180" s="12" t="str">
        <f>CONCATENATE("B",REPLACE(NB180,1,1,"")+1)</f>
        <v>B11</v>
      </c>
      <c r="NE180" s="12" t="str">
        <f>CONCATENATE("C",REPLACE(NC180,1,1,"")+1)</f>
        <v>C11</v>
      </c>
      <c r="NF180" s="12"/>
      <c r="NG180" s="12"/>
      <c r="NH180" s="12" t="str">
        <f>CONCATENATE("DI",REPLACE($AC180,1,3,""),"-",$AF180)</f>
        <v>DI12-C8</v>
      </c>
      <c r="NI180" s="12" t="str">
        <f>CONCATENATE("DI",REPLACE($AC180,1,3,""),"-",$NA180)</f>
        <v>DI12-C9</v>
      </c>
      <c r="NJ180" s="12" t="str">
        <f>CONCATENATE("DI",REPLACE($AC180,1,3,""),"-",$NC180)</f>
        <v>DI12-C10</v>
      </c>
      <c r="NK180" s="12" t="str">
        <f>CONCATENATE("DI",REPLACE($AC180,1,3,""),"-",$NE180)</f>
        <v>DI12-C11</v>
      </c>
      <c r="NL180" s="12" t="s">
        <v>952</v>
      </c>
      <c r="NM180" s="12"/>
      <c r="NN180" s="12" t="s">
        <v>957</v>
      </c>
      <c r="NO180" s="12" t="s">
        <v>956</v>
      </c>
      <c r="NP180" s="12" t="s">
        <v>955</v>
      </c>
      <c r="NQ180" s="12"/>
      <c r="NR180" s="12"/>
      <c r="NS180" s="12" t="s">
        <v>950</v>
      </c>
      <c r="NT180" s="12" t="s">
        <v>951</v>
      </c>
      <c r="NU180" s="12"/>
      <c r="NV180" s="12"/>
      <c r="NW180" s="12">
        <v>11</v>
      </c>
      <c r="NX180" s="12">
        <v>14</v>
      </c>
      <c r="NY180" s="12" t="s">
        <v>142</v>
      </c>
      <c r="NZ180" s="12" t="s">
        <v>143</v>
      </c>
      <c r="OA180" s="12" t="s">
        <v>488</v>
      </c>
      <c r="OB180" s="12" t="s">
        <v>487</v>
      </c>
      <c r="OC180" s="12" t="s">
        <v>414</v>
      </c>
      <c r="OD180" s="12" t="s">
        <v>413</v>
      </c>
      <c r="OE180" s="12" t="s">
        <v>144</v>
      </c>
      <c r="OF180" s="13" t="s">
        <v>961</v>
      </c>
    </row>
    <row r="181" spans="1:538" x14ac:dyDescent="0.25">
      <c r="A181" t="s">
        <v>963</v>
      </c>
      <c r="B181" t="s">
        <v>962</v>
      </c>
      <c r="C181" t="s">
        <v>531</v>
      </c>
      <c r="P181" t="s">
        <v>503</v>
      </c>
      <c r="T181" s="14" t="s">
        <v>554</v>
      </c>
      <c r="U181">
        <v>55</v>
      </c>
      <c r="V181" t="s">
        <v>965</v>
      </c>
      <c r="X181" t="str">
        <f>IF(COUNTIF(X$1:X180,X180)&gt;7,REPLACE(X180,LEN(X180),1,VALUE(RIGHT(X180,1))+1),X180)</f>
        <v>A3.21</v>
      </c>
      <c r="Y181" s="43" cm="1">
        <f t="array" ref="Y181">IF(COUNTIFS($X$2:$X181,$X181)=1,"1",VALUE(SUBSTITUTE(INDEX(Y:Y,_xlfn.XMATCH($X181,$X$1:$X180,0,-1)),"A",""))+INDEX(Z:Z,_xlfn.XMATCH($X181,$X$1:$X180,0,-1))+1)</f>
        <v>4</v>
      </c>
      <c r="Z181" s="46" cm="1">
        <f t="array" ref="Z181">SUM(IF(ISNUMBER(FIND("TmAi",$BE$1:$AAL$1)),IF(IFERROR(ISODD(SUBSTITUTE($BE181:$AAL181,"A","")),FALSE),IF(ISODD(SUBSTITUTE($BE181:$AAL181,"A","")),1,0),0)))</f>
        <v>0</v>
      </c>
      <c r="AA181" t="str">
        <f t="shared" ref="AA181:AA215" si="229">CONCATENATE($Y181*2-1,"A")</f>
        <v>7A</v>
      </c>
      <c r="AB181" t="str">
        <f t="shared" ref="AB181:AB215" si="230">CONCATENATE($Y181*2-1,"B")</f>
        <v>7B</v>
      </c>
      <c r="AP181" t="s">
        <v>137</v>
      </c>
      <c r="AQ181" t="s">
        <v>873</v>
      </c>
      <c r="AS181" t="s">
        <v>396</v>
      </c>
      <c r="JZ181" s="27" t="str">
        <f>CONCATENATE("XT",U181)</f>
        <v>XT55</v>
      </c>
      <c r="KC181" t="str">
        <f>CONCATENATE(T181,"-AI",REPLACE($X181,1,3,""),"-",AA181)</f>
        <v>F0-AI21-7A</v>
      </c>
      <c r="KD181" t="str">
        <f>CONCATENATE(T181,"-AI",REPLACE($X181,1,3,""),"-",AB181)</f>
        <v>F0-AI21-7B</v>
      </c>
      <c r="KG181" t="s">
        <v>488</v>
      </c>
      <c r="KH181" t="s">
        <v>487</v>
      </c>
      <c r="KI181" cm="1">
        <f t="array" ref="KI181">IF(COUNTIFS($U$2:$U181,$U181)=1,1,INDEX(KI:KI,_xlfn.XMATCH(U181,U$1:U180,0,-1))+COUNT(KI168:KM168))</f>
        <v>351</v>
      </c>
      <c r="KJ181">
        <f t="shared" ref="KJ181" si="231">KI181+1</f>
        <v>352</v>
      </c>
      <c r="KK181">
        <f t="shared" ref="KK181" si="232">KJ181+1</f>
        <v>353</v>
      </c>
      <c r="KL181">
        <f t="shared" ref="KL181" si="233">KK181+1</f>
        <v>354</v>
      </c>
      <c r="KM181">
        <f t="shared" ref="KM181" si="234">KL181+1</f>
        <v>355</v>
      </c>
      <c r="KN181" t="s">
        <v>547</v>
      </c>
      <c r="KO181" s="16" t="s">
        <v>548</v>
      </c>
      <c r="KP181" t="s">
        <v>547</v>
      </c>
      <c r="KQ181" t="s">
        <v>548</v>
      </c>
      <c r="KR181" t="s">
        <v>551</v>
      </c>
      <c r="KS181" s="16" t="s">
        <v>552</v>
      </c>
    </row>
    <row r="182" spans="1:538" ht="15.75" thickBot="1" x14ac:dyDescent="0.3">
      <c r="A182" t="s">
        <v>964</v>
      </c>
      <c r="B182" t="s">
        <v>962</v>
      </c>
      <c r="C182" t="s">
        <v>531</v>
      </c>
      <c r="P182" t="s">
        <v>503</v>
      </c>
      <c r="T182" s="14" t="s">
        <v>554</v>
      </c>
      <c r="U182">
        <v>55</v>
      </c>
      <c r="V182" t="s">
        <v>966</v>
      </c>
      <c r="X182" s="33" t="str">
        <f>IF(COUNTIF(X$1:X181,X181)&gt;7,REPLACE(X181,LEN(X181),1,VALUE(RIGHT(X181,1))+1),X181)</f>
        <v>A3.21</v>
      </c>
      <c r="Y182" s="45" cm="1">
        <f t="array" ref="Y182">IF(COUNTIFS($X$2:$X182,$X182)=1,"1",VALUE(SUBSTITUTE(INDEX(Y:Y,_xlfn.XMATCH($X182,$X$1:$X181,0,-1)),"A",""))+INDEX(Z:Z,_xlfn.XMATCH($X182,$X$1:$X181,0,-1))+1)</f>
        <v>5</v>
      </c>
      <c r="Z182" s="46" cm="1">
        <f t="array" ref="Z182">SUM(IF(ISNUMBER(FIND("TmAi",$BE$1:$AAL$1)),IF(IFERROR(ISODD(SUBSTITUTE($BE182:$AAL182,"A","")),FALSE),IF(ISODD(SUBSTITUTE($BE182:$AAL182,"A","")),1,0),0)))</f>
        <v>0</v>
      </c>
      <c r="AA182" t="str">
        <f t="shared" si="229"/>
        <v>9A</v>
      </c>
      <c r="AB182" t="str">
        <f t="shared" si="230"/>
        <v>9B</v>
      </c>
      <c r="AP182" t="s">
        <v>137</v>
      </c>
      <c r="AQ182" t="s">
        <v>873</v>
      </c>
      <c r="AS182" t="s">
        <v>396</v>
      </c>
      <c r="JZ182" s="27" t="str">
        <f>CONCATENATE("XT",U182)</f>
        <v>XT55</v>
      </c>
      <c r="KC182" t="str">
        <f>CONCATENATE(T182,"-AI",REPLACE($X182,1,3,""),"-",AA182)</f>
        <v>F0-AI21-9A</v>
      </c>
      <c r="KD182" t="str">
        <f>CONCATENATE(T182,"-AI",REPLACE($X182,1,3,""),"-",AB182)</f>
        <v>F0-AI21-9B</v>
      </c>
      <c r="KG182" t="s">
        <v>488</v>
      </c>
      <c r="KH182" t="s">
        <v>487</v>
      </c>
      <c r="KI182" cm="1">
        <f t="array" ref="KI182">IF(COUNTIFS($U$2:$U182,$U182)=1,1,INDEX(KI:KI,_xlfn.XMATCH(U182,U$1:U181,0,-1))+COUNT(KI181:KM181))</f>
        <v>356</v>
      </c>
      <c r="KJ182">
        <f t="shared" ref="KJ182" si="235">KI182+1</f>
        <v>357</v>
      </c>
      <c r="KK182">
        <f t="shared" ref="KK182" si="236">KJ182+1</f>
        <v>358</v>
      </c>
      <c r="KL182">
        <f t="shared" ref="KL182" si="237">KK182+1</f>
        <v>359</v>
      </c>
      <c r="KM182">
        <f t="shared" ref="KM182" si="238">KL182+1</f>
        <v>360</v>
      </c>
      <c r="KN182" t="s">
        <v>547</v>
      </c>
      <c r="KO182" s="16" t="s">
        <v>548</v>
      </c>
      <c r="KP182" t="s">
        <v>547</v>
      </c>
      <c r="KQ182" t="s">
        <v>548</v>
      </c>
      <c r="KR182" t="s">
        <v>551</v>
      </c>
      <c r="KS182" s="16" t="s">
        <v>552</v>
      </c>
    </row>
    <row r="183" spans="1:538" x14ac:dyDescent="0.25">
      <c r="A183" t="s">
        <v>1027</v>
      </c>
      <c r="B183" s="34" t="s">
        <v>1013</v>
      </c>
      <c r="C183" t="s">
        <v>1012</v>
      </c>
      <c r="P183" t="s">
        <v>1011</v>
      </c>
      <c r="T183" s="14" t="s">
        <v>554</v>
      </c>
      <c r="U183">
        <v>59</v>
      </c>
      <c r="W183" t="s">
        <v>1007</v>
      </c>
      <c r="X183" t="s">
        <v>1979</v>
      </c>
      <c r="Y183" s="43" t="str" cm="1">
        <f t="array" ref="Y183">IF(COUNTIFS($X$2:$X183,$X183)=1,"1",VALUE(SUBSTITUTE(INDEX(Y:Y,_xlfn.XMATCH($X183,$X$1:$X182,0,-1)),"A",""))+INDEX(Z:Z,_xlfn.XMATCH($X183,$X$1:$X182,0,-1))+1)</f>
        <v>1</v>
      </c>
      <c r="Z183" s="46" cm="1">
        <f t="array" ref="Z183">SUM(IF(ISNUMBER(FIND("TmAi",$BE$1:$AAL$1)),IF(IFERROR(ISODD(SUBSTITUTE($BE183:$AAL183,"A","")),FALSE),IF(ISODD(SUBSTITUTE($BE183:$AAL183,"A","")),1,0),0)))</f>
        <v>1</v>
      </c>
      <c r="AA183" t="str">
        <f t="shared" si="229"/>
        <v>1A</v>
      </c>
      <c r="AB183" t="str">
        <f t="shared" si="230"/>
        <v>1B</v>
      </c>
      <c r="AP183" t="s">
        <v>137</v>
      </c>
      <c r="AR183" t="s">
        <v>1023</v>
      </c>
      <c r="AS183" t="s">
        <v>396</v>
      </c>
      <c r="OG183" s="25" t="str">
        <f>CONCATENATE("XT",$U183)</f>
        <v>XT59</v>
      </c>
      <c r="OH183" s="12" t="s">
        <v>1028</v>
      </c>
      <c r="OI183" s="12" t="s">
        <v>1024</v>
      </c>
      <c r="OJ183" s="12"/>
      <c r="OK183" s="12"/>
      <c r="OL183" s="12" t="str">
        <f>CONCATENATE(REPLACE($AA183,LEN($AA183),1,"")+1,RIGHT($AA183))</f>
        <v>2A</v>
      </c>
      <c r="OM183" s="12" t="str">
        <f>CONCATENATE(REPLACE($AB183,LEN($AB183),1,"")+1,RIGHT($AB183))</f>
        <v>2B</v>
      </c>
      <c r="ON183" s="12" t="str">
        <f>CONCATENATE(REPLACE(OL183,LEN(OL183),1,"")+1,RIGHT(OL183))</f>
        <v>3A</v>
      </c>
      <c r="OO183" s="12" t="str">
        <f t="shared" ref="OO183:OQ183" si="239">CONCATENATE(REPLACE(OM183,LEN(OM183),1,"")+1,RIGHT(OM183))</f>
        <v>3B</v>
      </c>
      <c r="OP183" s="12" t="str">
        <f t="shared" si="239"/>
        <v>4A</v>
      </c>
      <c r="OQ183" s="12" t="str">
        <f t="shared" si="239"/>
        <v>4B</v>
      </c>
      <c r="OR183" s="12"/>
      <c r="OS183" s="12"/>
      <c r="OT183" s="12"/>
      <c r="OU183" s="12"/>
      <c r="OV183" s="12" t="str">
        <f>CONCATENATE($T183,"-AI",REPLACE($X183,1,3,""),"-",$AA183)</f>
        <v>F0-AI39-1A</v>
      </c>
      <c r="OW183" s="12" t="str">
        <f>CONCATENATE($T183,"-AI",REPLACE($X183,1,3,""),"-",$AB183)</f>
        <v>F0-AI39-1B</v>
      </c>
      <c r="OX183" s="12" t="str">
        <f t="shared" ref="OX183:PC183" si="240">CONCATENATE($T183,"-AI",REPLACE($X183,1,3,""),"-",OL183)</f>
        <v>F0-AI39-2A</v>
      </c>
      <c r="OY183" s="12" t="str">
        <f t="shared" si="240"/>
        <v>F0-AI39-2B</v>
      </c>
      <c r="OZ183" s="12" t="str">
        <f t="shared" si="240"/>
        <v>F0-AI39-3A</v>
      </c>
      <c r="PA183" s="12" t="str">
        <f t="shared" si="240"/>
        <v>F0-AI39-3B</v>
      </c>
      <c r="PB183" s="12" t="str">
        <f t="shared" si="240"/>
        <v>F0-AI39-4A</v>
      </c>
      <c r="PC183" s="12" t="str">
        <f t="shared" si="240"/>
        <v>F0-AI39-4B</v>
      </c>
      <c r="PD183" s="12"/>
      <c r="PE183" s="12"/>
      <c r="PF183" s="12"/>
      <c r="PG183" s="12"/>
      <c r="PH183" s="12" cm="1">
        <f t="array" ref="PH183">IF(COUNTIFS($U$2:$U183,$U183)=1,1,INDEX(PH:PH,_xlfn.XMATCH($U183,$U$1:EF182,0,-1))+COUNT(PH182:PM182))</f>
        <v>1</v>
      </c>
      <c r="PI183" s="12">
        <f t="shared" ref="PI183" si="241">PH183+1</f>
        <v>2</v>
      </c>
      <c r="PJ183" s="12">
        <f t="shared" ref="PJ183" si="242">PI183+1</f>
        <v>3</v>
      </c>
      <c r="PK183" s="12">
        <f>PJ183+1</f>
        <v>4</v>
      </c>
      <c r="PL183" s="12">
        <f t="shared" ref="PL183:PM183" si="243">PK183+1</f>
        <v>5</v>
      </c>
      <c r="PM183" s="12">
        <f t="shared" si="243"/>
        <v>6</v>
      </c>
      <c r="PN183" s="12"/>
      <c r="PO183" s="12"/>
      <c r="PP183" s="12"/>
      <c r="PQ183" s="12">
        <v>1</v>
      </c>
      <c r="PR183" s="12">
        <v>2</v>
      </c>
      <c r="PS183" s="12">
        <v>3</v>
      </c>
      <c r="PT183" s="12">
        <v>4</v>
      </c>
      <c r="PU183" s="12">
        <v>5</v>
      </c>
      <c r="PV183" s="13">
        <v>6</v>
      </c>
    </row>
    <row r="184" spans="1:538" ht="15.75" thickBot="1" x14ac:dyDescent="0.3">
      <c r="A184" t="s">
        <v>1029</v>
      </c>
      <c r="B184" t="s">
        <v>1025</v>
      </c>
      <c r="C184" t="s">
        <v>1012</v>
      </c>
      <c r="P184" t="s">
        <v>1011</v>
      </c>
      <c r="T184" s="14" t="s">
        <v>554</v>
      </c>
      <c r="U184">
        <v>59</v>
      </c>
      <c r="W184" t="s">
        <v>1008</v>
      </c>
      <c r="X184" t="str">
        <f>IF(COUNTIF(X$1:X183,X183)&gt;7,REPLACE(X183,LEN(X183),1,VALUE(RIGHT(X183,1))+1),X183)</f>
        <v>A3.39</v>
      </c>
      <c r="Y184" s="43" cm="1">
        <f t="array" ref="Y184">IF(COUNTIFS($X$2:$X184,$X184)=1,"1",VALUE(SUBSTITUTE(INDEX(Y:Y,_xlfn.XMATCH($X184,$X$1:$X183,0,-1)),"A",""))+INDEX(Z:Z,_xlfn.XMATCH($X184,$X$1:$X183,0,-1))+1)</f>
        <v>3</v>
      </c>
      <c r="Z184" s="46" cm="1">
        <f t="array" ref="Z184">SUM(IF(ISNUMBER(FIND("TmAi",$BE$1:$AAL$1)),IF(IFERROR(ISODD(SUBSTITUTE($BE184:$AAL184,"A","")),FALSE),IF(ISODD(SUBSTITUTE($BE184:$AAL184,"A","")),1,0),0)))</f>
        <v>1</v>
      </c>
      <c r="AA184" t="str">
        <f t="shared" si="229"/>
        <v>5A</v>
      </c>
      <c r="AB184" t="str">
        <f t="shared" si="230"/>
        <v>5B</v>
      </c>
      <c r="AP184" t="s">
        <v>137</v>
      </c>
      <c r="AR184" t="s">
        <v>1023</v>
      </c>
      <c r="AS184" t="s">
        <v>396</v>
      </c>
      <c r="OG184" s="27" t="str">
        <f t="shared" ref="OG184:OG185" si="244">CONCATENATE("XT",$U184)</f>
        <v>XT59</v>
      </c>
      <c r="OH184" t="s">
        <v>1030</v>
      </c>
      <c r="OI184" t="s">
        <v>1026</v>
      </c>
      <c r="OL184" t="str">
        <f t="shared" ref="OL184:OL185" si="245">CONCATENATE(REPLACE($AA184,LEN($AA184),1,"")+1,RIGHT($AA184))</f>
        <v>6A</v>
      </c>
      <c r="OM184" t="str">
        <f t="shared" ref="OM184:OM185" si="246">CONCATENATE(REPLACE($AB184,LEN($AB184),1,"")+1,RIGHT($AB184))</f>
        <v>6B</v>
      </c>
      <c r="ON184" t="str">
        <f t="shared" ref="ON184:ON185" si="247">CONCATENATE(REPLACE(OL184,LEN(OL184),1,"")+1,RIGHT(OL184))</f>
        <v>7A</v>
      </c>
      <c r="OO184" t="str">
        <f t="shared" ref="OO184:OO185" si="248">CONCATENATE(REPLACE(OM184,LEN(OM184),1,"")+1,RIGHT(OM184))</f>
        <v>7B</v>
      </c>
      <c r="OP184" t="str">
        <f t="shared" ref="OP184:OP185" si="249">CONCATENATE(REPLACE(ON184,LEN(ON184),1,"")+1,RIGHT(ON184))</f>
        <v>8A</v>
      </c>
      <c r="OQ184" t="str">
        <f t="shared" ref="OQ184:OQ185" si="250">CONCATENATE(REPLACE(OO184,LEN(OO184),1,"")+1,RIGHT(OO184))</f>
        <v>8B</v>
      </c>
      <c r="OV184" t="str">
        <f>CONCATENATE($T184,"-AI",REPLACE($X184,1,3,""),"-",$AA184)</f>
        <v>F0-AI39-5A</v>
      </c>
      <c r="OW184" t="str">
        <f>CONCATENATE($T184,"-AI",REPLACE($X184,1,3,""),"-",$AB184)</f>
        <v>F0-AI39-5B</v>
      </c>
      <c r="OX184" t="str">
        <f t="shared" ref="OX184:OX185" si="251">CONCATENATE($T184,"-AI",REPLACE($X184,1,3,""),"-",OL184)</f>
        <v>F0-AI39-6A</v>
      </c>
      <c r="OY184" t="str">
        <f t="shared" ref="OY184:OY185" si="252">CONCATENATE($T184,"-AI",REPLACE($X184,1,3,""),"-",OM184)</f>
        <v>F0-AI39-6B</v>
      </c>
      <c r="OZ184" t="str">
        <f t="shared" ref="OZ184:OZ185" si="253">CONCATENATE($T184,"-AI",REPLACE($X184,1,3,""),"-",ON184)</f>
        <v>F0-AI39-7A</v>
      </c>
      <c r="PA184" t="str">
        <f t="shared" ref="PA184:PA185" si="254">CONCATENATE($T184,"-AI",REPLACE($X184,1,3,""),"-",OO184)</f>
        <v>F0-AI39-7B</v>
      </c>
      <c r="PB184" t="str">
        <f t="shared" ref="PB184:PB185" si="255">CONCATENATE($T184,"-AI",REPLACE($X184,1,3,""),"-",OP184)</f>
        <v>F0-AI39-8A</v>
      </c>
      <c r="PC184" t="str">
        <f t="shared" ref="PC184:PC185" si="256">CONCATENATE($T184,"-AI",REPLACE($X184,1,3,""),"-",OQ184)</f>
        <v>F0-AI39-8B</v>
      </c>
      <c r="PH184" cm="1">
        <f t="array" ref="PH184">IF(COUNTIFS($U$2:$U184,$U184)=1,1,INDEX(PH:PH,_xlfn.XMATCH($U184,$U$1:$U183,0,-1))+COUNT(PH183:PM183))</f>
        <v>7</v>
      </c>
      <c r="PI184">
        <f t="shared" ref="PI184:PI185" si="257">PH184+1</f>
        <v>8</v>
      </c>
      <c r="PJ184">
        <f t="shared" ref="PJ184:PJ185" si="258">PI184+1</f>
        <v>9</v>
      </c>
      <c r="PK184">
        <f t="shared" ref="PK184:PM184" si="259">PJ184+1</f>
        <v>10</v>
      </c>
      <c r="PL184">
        <f t="shared" si="259"/>
        <v>11</v>
      </c>
      <c r="PM184">
        <f t="shared" si="259"/>
        <v>12</v>
      </c>
      <c r="PQ184">
        <v>7</v>
      </c>
      <c r="PR184">
        <v>8</v>
      </c>
      <c r="PS184">
        <v>9</v>
      </c>
      <c r="PT184">
        <v>10</v>
      </c>
      <c r="PU184">
        <v>11</v>
      </c>
      <c r="PV184" s="16">
        <v>12</v>
      </c>
    </row>
    <row r="185" spans="1:538" ht="15.75" thickBot="1" x14ac:dyDescent="0.3">
      <c r="A185" t="s">
        <v>1031</v>
      </c>
      <c r="B185" t="s">
        <v>1051</v>
      </c>
      <c r="C185" t="s">
        <v>1012</v>
      </c>
      <c r="P185" t="s">
        <v>1047</v>
      </c>
      <c r="T185" s="14" t="s">
        <v>554</v>
      </c>
      <c r="U185">
        <v>59</v>
      </c>
      <c r="W185" t="s">
        <v>1009</v>
      </c>
      <c r="X185" s="33" t="str">
        <f>IF(COUNTIF(X$1:X184,X184)&gt;7,REPLACE(X184,LEN(X184),1,VALUE(RIGHT(X184,1))+1),X184)</f>
        <v>A3.39</v>
      </c>
      <c r="Y185" s="45" cm="1">
        <f t="array" ref="Y185">IF(COUNTIFS($X$2:$X185,$X185)=1,"1",VALUE(SUBSTITUTE(INDEX(Y:Y,_xlfn.XMATCH($X185,$X$1:$X184,0,-1)),"A",""))+INDEX(Z:Z,_xlfn.XMATCH($X185,$X$1:$X184,0,-1))+1)</f>
        <v>5</v>
      </c>
      <c r="Z185" s="46" cm="1">
        <f t="array" ref="Z185">SUM(IF(ISNUMBER(FIND("TmAi",$BE$1:$AAL$1)),IF(IFERROR(ISODD(SUBSTITUTE($BE185:$AAL185,"A","")),FALSE),IF(ISODD(SUBSTITUTE($BE185:$AAL185,"A","")),1,0),0)))</f>
        <v>2</v>
      </c>
      <c r="AA185" t="str">
        <f t="shared" si="229"/>
        <v>9A</v>
      </c>
      <c r="AB185" t="str">
        <f t="shared" si="230"/>
        <v>9B</v>
      </c>
      <c r="AP185" t="s">
        <v>137</v>
      </c>
      <c r="AR185" t="s">
        <v>1048</v>
      </c>
      <c r="AS185" t="s">
        <v>396</v>
      </c>
      <c r="OG185" s="27" t="str">
        <f t="shared" si="244"/>
        <v>XT59</v>
      </c>
      <c r="OH185" t="s">
        <v>1034</v>
      </c>
      <c r="OI185" t="s">
        <v>1050</v>
      </c>
      <c r="OJ185" t="s">
        <v>1035</v>
      </c>
      <c r="OK185" t="s">
        <v>1049</v>
      </c>
      <c r="OL185" t="str">
        <f t="shared" si="245"/>
        <v>10A</v>
      </c>
      <c r="OM185" t="str">
        <f t="shared" si="246"/>
        <v>10B</v>
      </c>
      <c r="ON185" t="str">
        <f t="shared" si="247"/>
        <v>11A</v>
      </c>
      <c r="OO185" t="str">
        <f t="shared" si="248"/>
        <v>11B</v>
      </c>
      <c r="OP185" t="str">
        <f t="shared" si="249"/>
        <v>12A</v>
      </c>
      <c r="OQ185" t="str">
        <f t="shared" si="250"/>
        <v>12B</v>
      </c>
      <c r="OR185" t="str">
        <f t="shared" ref="OR185" si="260">CONCATENATE(REPLACE(OP185,LEN(OP185),1,"")+1,RIGHT(OP185))</f>
        <v>13A</v>
      </c>
      <c r="OS185" t="str">
        <f t="shared" ref="OS185" si="261">CONCATENATE(REPLACE(OQ185,LEN(OQ185),1,"")+1,RIGHT(OQ185))</f>
        <v>13B</v>
      </c>
      <c r="OT185" t="str">
        <f t="shared" ref="OT185" si="262">CONCATENATE(REPLACE(OR185,LEN(OR185),1,"")+1,RIGHT(OR185))</f>
        <v>14A</v>
      </c>
      <c r="OU185" t="str">
        <f t="shared" ref="OU185" si="263">CONCATENATE(REPLACE(OS185,LEN(OS185),1,"")+1,RIGHT(OS185))</f>
        <v>14B</v>
      </c>
      <c r="OV185" t="str">
        <f>CONCATENATE($T185,"-AI",REPLACE($X185,1,3,""),"-",$AA185)</f>
        <v>F0-AI39-9A</v>
      </c>
      <c r="OW185" t="str">
        <f>CONCATENATE($T185,"-AI",REPLACE($X185,1,3,""),"-",$AB185)</f>
        <v>F0-AI39-9B</v>
      </c>
      <c r="OX185" t="str">
        <f t="shared" si="251"/>
        <v>F0-AI39-10A</v>
      </c>
      <c r="OY185" t="str">
        <f t="shared" si="252"/>
        <v>F0-AI39-10B</v>
      </c>
      <c r="OZ185" t="str">
        <f t="shared" si="253"/>
        <v>F0-AI39-11A</v>
      </c>
      <c r="PA185" t="str">
        <f t="shared" si="254"/>
        <v>F0-AI39-11B</v>
      </c>
      <c r="PB185" t="str">
        <f t="shared" si="255"/>
        <v>F0-AI39-12A</v>
      </c>
      <c r="PC185" t="str">
        <f t="shared" si="256"/>
        <v>F0-AI39-12B</v>
      </c>
      <c r="PD185" t="str">
        <f t="shared" ref="PD185" si="264">CONCATENATE($T185,"-AI",REPLACE($X185,1,3,""),"-",OR185)</f>
        <v>F0-AI39-13A</v>
      </c>
      <c r="PE185" t="str">
        <f t="shared" ref="PE185" si="265">CONCATENATE($T185,"-AI",REPLACE($X185,1,3,""),"-",OS185)</f>
        <v>F0-AI39-13B</v>
      </c>
      <c r="PF185" t="str">
        <f t="shared" ref="PF185" si="266">CONCATENATE($T185,"-AI",REPLACE($X185,1,3,""),"-",OT185)</f>
        <v>F0-AI39-14A</v>
      </c>
      <c r="PG185" t="str">
        <f t="shared" ref="PG185" si="267">CONCATENATE($T185,"-AI",REPLACE($X185,1,3,""),"-",OU185)</f>
        <v>F0-AI39-14B</v>
      </c>
      <c r="PH185" cm="1">
        <f t="array" ref="PH185">IF(COUNTIFS($U$2:$U185,$U185)=1,1,INDEX(PH:PH,_xlfn.XMATCH($U185,$U$1:$U184,0,-1))+COUNT(PH184:PM184))</f>
        <v>13</v>
      </c>
      <c r="PI185">
        <f t="shared" si="257"/>
        <v>14</v>
      </c>
      <c r="PJ185">
        <f t="shared" si="258"/>
        <v>15</v>
      </c>
      <c r="PK185">
        <f t="shared" ref="PK185:PP185" si="268">PJ185+1</f>
        <v>16</v>
      </c>
      <c r="PL185">
        <f t="shared" si="268"/>
        <v>17</v>
      </c>
      <c r="PM185">
        <f t="shared" si="268"/>
        <v>18</v>
      </c>
      <c r="PN185">
        <f t="shared" si="268"/>
        <v>19</v>
      </c>
      <c r="PO185">
        <f t="shared" si="268"/>
        <v>20</v>
      </c>
      <c r="PP185">
        <f t="shared" si="268"/>
        <v>21</v>
      </c>
      <c r="PQ185">
        <v>1</v>
      </c>
      <c r="PR185">
        <v>2</v>
      </c>
      <c r="PS185">
        <v>3</v>
      </c>
      <c r="PT185">
        <v>4</v>
      </c>
      <c r="PU185">
        <v>5</v>
      </c>
      <c r="PV185">
        <v>6</v>
      </c>
      <c r="PW185" s="23">
        <v>7</v>
      </c>
      <c r="PX185" s="23">
        <v>8</v>
      </c>
      <c r="PY185" s="24">
        <v>9</v>
      </c>
    </row>
    <row r="186" spans="1:538" ht="15.75" thickBot="1" x14ac:dyDescent="0.3">
      <c r="A186" t="s">
        <v>1054</v>
      </c>
      <c r="B186" t="s">
        <v>1053</v>
      </c>
      <c r="P186" t="s">
        <v>482</v>
      </c>
      <c r="T186" s="14" t="s">
        <v>554</v>
      </c>
      <c r="U186">
        <v>59</v>
      </c>
      <c r="W186" t="s">
        <v>1010</v>
      </c>
      <c r="X186" t="s">
        <v>1214</v>
      </c>
      <c r="Y186" s="43" t="str" cm="1">
        <f t="array" ref="Y186">IF(COUNTIFS($X$2:$X186,$X186)=1,"1",VALUE(SUBSTITUTE(INDEX(Y:Y,_xlfn.XMATCH($X186,$X$1:$X185,0,-1)),"A",""))+INDEX(Z:Z,_xlfn.XMATCH($X186,$X$1:$X185,0,-1))+1)</f>
        <v>1</v>
      </c>
      <c r="Z186" s="46" cm="1">
        <f t="array" ref="Z186">SUM(IF(ISNUMBER(FIND("TmAi",$BE$1:$AAL$1)),IF(IFERROR(ISODD(SUBSTITUTE($BE186:$AAL186,"A","")),FALSE),IF(ISODD(SUBSTITUTE($BE186:$AAL186,"A","")),1,0),0)))</f>
        <v>0</v>
      </c>
      <c r="AA186" t="str">
        <f t="shared" ref="AA186" si="269">CONCATENATE($Y186*2-1,"B")</f>
        <v>1B</v>
      </c>
      <c r="AB186" t="str">
        <f t="shared" ref="AB186" si="270">CONCATENATE($Y186*2,"B")</f>
        <v>2B</v>
      </c>
      <c r="AP186" t="s">
        <v>137</v>
      </c>
      <c r="AQ186" t="s">
        <v>1142</v>
      </c>
      <c r="AS186" t="s">
        <v>396</v>
      </c>
      <c r="JZ186" s="27" t="str">
        <f>CONCATENATE("XT",U186)</f>
        <v>XT59</v>
      </c>
      <c r="KC186" t="str">
        <f>CONCATENATE(T186,"-AI",REPLACE($X186,1,3,""),"-",AA186)</f>
        <v>F0-AI22-1B</v>
      </c>
      <c r="KD186" t="str">
        <f>CONCATENATE(T186,"-AI",REPLACE($X186,1,3,""),"-",AB186)</f>
        <v>F0-AI22-2B</v>
      </c>
      <c r="KI186">
        <v>22</v>
      </c>
      <c r="KJ186">
        <f t="shared" ref="KJ186" si="271">KI186+1</f>
        <v>23</v>
      </c>
      <c r="KK186">
        <f t="shared" ref="KK186" si="272">KJ186+1</f>
        <v>24</v>
      </c>
      <c r="KN186" t="s">
        <v>548</v>
      </c>
      <c r="KO186" s="16" t="s">
        <v>548</v>
      </c>
      <c r="KS186" s="16"/>
      <c r="OG186" s="27"/>
      <c r="PV186" s="16"/>
    </row>
    <row r="187" spans="1:538" ht="15.75" thickBot="1" x14ac:dyDescent="0.3">
      <c r="A187" t="s">
        <v>2365</v>
      </c>
      <c r="B187" s="33" t="s">
        <v>1127</v>
      </c>
      <c r="P187" t="s">
        <v>1061</v>
      </c>
      <c r="T187" s="14" t="s">
        <v>554</v>
      </c>
      <c r="U187">
        <v>59</v>
      </c>
      <c r="W187" t="s">
        <v>1052</v>
      </c>
      <c r="X187" s="33" t="str">
        <f>IF(COUNTIF(X$1:X186,X186)&gt;3,REPLACE(X186,LEN(X186),1,VALUE(RIGHT(X186,1))+1),X186)</f>
        <v>A3.22</v>
      </c>
      <c r="Y187" s="45" cm="1">
        <f t="array" ref="Y187">IF(COUNTIFS($X$2:$X187,$X187)=1,"1",VALUE(SUBSTITUTE(INDEX(Y:Y,_xlfn.XMATCH($X187,$X$1:$X186,0,-1)),"A",""))+INDEX(Z:Z,_xlfn.XMATCH($X187,$X$1:$X186,0,-1))+1)</f>
        <v>2</v>
      </c>
      <c r="Z187" s="46" cm="1">
        <f t="array" ref="Z187">SUM(IF(ISNUMBER(FIND("TmAi",$BE$1:$AAL$1)),IF(IFERROR(ISODD(SUBSTITUTE($BE187:$AAL187,"A","")),FALSE),IF(ISODD(SUBSTITUTE($BE187:$AAL187,"A","")),1,0),0)))</f>
        <v>11</v>
      </c>
      <c r="AA187" t="str">
        <f t="shared" si="229"/>
        <v>3A</v>
      </c>
      <c r="AB187" t="str">
        <f t="shared" si="230"/>
        <v>3B</v>
      </c>
      <c r="AP187" t="s">
        <v>137</v>
      </c>
      <c r="AR187" t="s">
        <v>1058</v>
      </c>
      <c r="AS187" t="s">
        <v>396</v>
      </c>
      <c r="JZ187" s="27"/>
      <c r="KI187" cm="1">
        <f t="array" ref="KI187">IF(COUNTIFS($U$2:$U187,$U187)=1,1,INDEX(KI:KI,_xlfn.XMATCH(U187,U$1:U186,0,-1))+COUNT(KI186:KM186))</f>
        <v>25</v>
      </c>
      <c r="KO187" s="16"/>
      <c r="KS187" s="16"/>
      <c r="PZ187" s="25" t="str">
        <f>REPLACE(X187,FIND(".",X187)+1,3,MID(X187,FIND(".",X187)+1,3)+1)</f>
        <v>A3.23</v>
      </c>
      <c r="QA187" s="12" t="str">
        <f>CONCATENATE(VALUE(SUBSTITUTE($AB187,"B",""))+2,"B")</f>
        <v>5B</v>
      </c>
      <c r="QB187" s="12" t="str">
        <f>CONCATENATE(VALUE(SUBSTITUTE($AA187,"A",""))+2,"A")</f>
        <v>5A</v>
      </c>
      <c r="QC187" s="12" t="str">
        <f>CONCATENATE(VALUE(SUBSTITUTE(QA187,"B",""))+2,"B")</f>
        <v>7B</v>
      </c>
      <c r="QD187" s="12" t="str">
        <f>CONCATENATE(VALUE(SUBSTITUTE(QB187,"A",""))+2,"A")</f>
        <v>7A</v>
      </c>
      <c r="QE187" s="12" t="str">
        <f t="shared" ref="QE187" si="273">CONCATENATE(VALUE(SUBSTITUTE(QC187,"B",""))+2,"B")</f>
        <v>9B</v>
      </c>
      <c r="QF187" s="12" t="str">
        <f t="shared" ref="QF187" si="274">CONCATENATE(VALUE(SUBSTITUTE(QD187,"A",""))+2,"A")</f>
        <v>9A</v>
      </c>
      <c r="QG187" s="12" t="str">
        <f t="shared" ref="QG187" si="275">CONCATENATE(VALUE(SUBSTITUTE(QE187,"B",""))+2,"B")</f>
        <v>11B</v>
      </c>
      <c r="QH187" s="12" t="str">
        <f t="shared" ref="QH187" si="276">CONCATENATE(VALUE(SUBSTITUTE(QF187,"A",""))+2,"A")</f>
        <v>11A</v>
      </c>
      <c r="QI187" s="12" t="str">
        <f t="shared" ref="QI187" si="277">CONCATENATE(VALUE(SUBSTITUTE(QG187,"B",""))+2,"B")</f>
        <v>13B</v>
      </c>
      <c r="QJ187" s="12" t="str">
        <f t="shared" ref="QJ187" si="278">CONCATENATE(VALUE(SUBSTITUTE(QH187,"A",""))+2,"A")</f>
        <v>13A</v>
      </c>
      <c r="QK187" s="12" t="s">
        <v>135</v>
      </c>
      <c r="QL187" s="12" t="s">
        <v>136</v>
      </c>
      <c r="QM187" s="12" t="str">
        <f t="shared" ref="QM187" si="279">CONCATENATE(VALUE(SUBSTITUTE(QK187,"B",""))+2,"B")</f>
        <v>3B</v>
      </c>
      <c r="QN187" s="12" t="str">
        <f t="shared" ref="QN187" si="280">CONCATENATE(VALUE(SUBSTITUTE(QL187,"A",""))+2,"A")</f>
        <v>3A</v>
      </c>
      <c r="QO187" s="12" t="str">
        <f t="shared" ref="QO187" si="281">CONCATENATE(VALUE(SUBSTITUTE(QM187,"B",""))+2,"B")</f>
        <v>5B</v>
      </c>
      <c r="QP187" s="12" t="str">
        <f t="shared" ref="QP187" si="282">CONCATENATE(VALUE(SUBSTITUTE(QN187,"A",""))+2,"A")</f>
        <v>5A</v>
      </c>
      <c r="QQ187" s="12" t="str">
        <f t="shared" ref="QQ187" si="283">CONCATENATE(VALUE(SUBSTITUTE(QO187,"B",""))+2,"B")</f>
        <v>7B</v>
      </c>
      <c r="QR187" s="12" t="str">
        <f t="shared" ref="QR187" si="284">CONCATENATE(VALUE(SUBSTITUTE(QP187,"A",""))+2,"A")</f>
        <v>7A</v>
      </c>
      <c r="QS187" s="12" t="str">
        <f t="shared" ref="QS187" si="285">CONCATENATE(VALUE(SUBSTITUTE(QQ187,"B",""))+2,"B")</f>
        <v>9B</v>
      </c>
      <c r="QT187" s="12" t="str">
        <f t="shared" ref="QT187" si="286">CONCATENATE(VALUE(SUBSTITUTE(QR187,"A",""))+2,"A")</f>
        <v>9A</v>
      </c>
      <c r="QU187" s="12" t="str">
        <f t="shared" ref="QU187" si="287">CONCATENATE(VALUE(SUBSTITUTE(QS187,"B",""))+2,"B")</f>
        <v>11B</v>
      </c>
      <c r="QV187" s="12" t="str">
        <f t="shared" ref="QV187" si="288">CONCATENATE(VALUE(SUBSTITUTE(QT187,"A",""))+2,"A")</f>
        <v>11A</v>
      </c>
      <c r="QW187" s="12" t="str">
        <f>CONCATENATE($T187,"-AI",REPLACE($X187,1,3,""),"-",AB187)</f>
        <v>F0-AI22-3B</v>
      </c>
      <c r="QX187" s="12" t="str">
        <f>CONCATENATE($T187,"-AI",REPLACE($X187,1,3,""),"-",AA187)</f>
        <v>F0-AI22-3A</v>
      </c>
      <c r="QY187" s="12" t="str">
        <f>CONCATENATE($T187,"-AI",REPLACE($X187,1,3,""),"-",QA187)</f>
        <v>F0-AI22-5B</v>
      </c>
      <c r="QZ187" s="12" t="str">
        <f>CONCATENATE($T187,"-AI",REPLACE($X187,1,3,""),"-",QB187)</f>
        <v>F0-AI22-5A</v>
      </c>
      <c r="RA187" s="12" t="str">
        <f t="shared" ref="RA187:RH187" si="289">CONCATENATE($T187,"-AI",REPLACE($X187,1,3,""),"-",QC187)</f>
        <v>F0-AI22-7B</v>
      </c>
      <c r="RB187" s="12" t="str">
        <f t="shared" si="289"/>
        <v>F0-AI22-7A</v>
      </c>
      <c r="RC187" s="12" t="str">
        <f t="shared" si="289"/>
        <v>F0-AI22-9B</v>
      </c>
      <c r="RD187" s="12" t="str">
        <f t="shared" si="289"/>
        <v>F0-AI22-9A</v>
      </c>
      <c r="RE187" s="12" t="str">
        <f t="shared" si="289"/>
        <v>F0-AI22-11B</v>
      </c>
      <c r="RF187" s="12" t="str">
        <f t="shared" si="289"/>
        <v>F0-AI22-11A</v>
      </c>
      <c r="RG187" s="12" t="str">
        <f t="shared" si="289"/>
        <v>F0-AI22-13B</v>
      </c>
      <c r="RH187" s="12" t="str">
        <f t="shared" si="289"/>
        <v>F0-AI22-13A</v>
      </c>
      <c r="RI187" s="12" t="str">
        <f>CONCATENATE($T187,"-AI",REPLACE($PZ187,1,3,""),"-",QK187)</f>
        <v>F0-AI23-1B</v>
      </c>
      <c r="RJ187" s="12" t="str">
        <f>CONCATENATE($T187,"-AI",REPLACE($PZ187,1,3,""),"-",QL187)</f>
        <v>F0-AI23-1A</v>
      </c>
      <c r="RK187" s="12" t="str">
        <f>CONCATENATE($T187,"-AI",REPLACE($PZ187,1,3,""),"-",QM187)</f>
        <v>F0-AI23-3B</v>
      </c>
      <c r="RL187" s="12" t="str">
        <f>CONCATENATE($T187,"-AI",REPLACE($PZ187,1,3,""),"-",QN187)</f>
        <v>F0-AI23-3A</v>
      </c>
      <c r="RM187" s="12" t="str">
        <f>CONCATENATE($T187,"-AI",REPLACE($PZ187,1,3,""),"-",QO187)</f>
        <v>F0-AI23-5B</v>
      </c>
      <c r="RN187" s="12" t="str">
        <f>CONCATENATE($T187,"-AI",REPLACE($PZ187,1,3,""),"-",QP187)</f>
        <v>F0-AI23-5A</v>
      </c>
      <c r="RO187" s="12" t="str">
        <f>CONCATENATE($T187,"-AI",REPLACE($PZ187,1,3,""),"-",QQ187)</f>
        <v>F0-AI23-7B</v>
      </c>
      <c r="RP187" s="12" t="str">
        <f>CONCATENATE($T187,"-AI",REPLACE($PZ187,1,3,""),"-",QR187)</f>
        <v>F0-AI23-7A</v>
      </c>
      <c r="RQ187" s="12" t="str">
        <f>CONCATENATE($T187,"-AI",REPLACE($PZ187,1,3,""),"-",QS187)</f>
        <v>F0-AI23-9B</v>
      </c>
      <c r="RR187" s="12" t="str">
        <f>CONCATENATE($T187,"-AI",REPLACE($PZ187,1,3,""),"-",QT187)</f>
        <v>F0-AI23-9A</v>
      </c>
      <c r="RS187" s="12" t="str">
        <f>CONCATENATE($T187,"-AI",REPLACE($PZ187,1,3,""),"-",QU187)</f>
        <v>F0-AI23-11B</v>
      </c>
      <c r="RT187" s="12" t="str">
        <f>CONCATENATE($T187,"-AI",REPLACE($PZ187,1,3,""),"-",QV187)</f>
        <v>F0-AI23-11A</v>
      </c>
      <c r="RU187" s="12" t="str">
        <f t="shared" ref="RU187" si="290">CONCATENATE("XT",$U187)</f>
        <v>XT59</v>
      </c>
      <c r="RV187" s="12">
        <v>25</v>
      </c>
      <c r="RW187" s="12">
        <f>RV187+1</f>
        <v>26</v>
      </c>
      <c r="RX187" s="12">
        <f t="shared" ref="RX187:ST187" si="291">RW187+1</f>
        <v>27</v>
      </c>
      <c r="RY187" s="12">
        <f t="shared" si="291"/>
        <v>28</v>
      </c>
      <c r="RZ187" s="12">
        <f t="shared" si="291"/>
        <v>29</v>
      </c>
      <c r="SA187" s="12">
        <f t="shared" si="291"/>
        <v>30</v>
      </c>
      <c r="SB187" s="12">
        <f t="shared" si="291"/>
        <v>31</v>
      </c>
      <c r="SC187" s="12">
        <f t="shared" si="291"/>
        <v>32</v>
      </c>
      <c r="SD187" s="12">
        <f t="shared" si="291"/>
        <v>33</v>
      </c>
      <c r="SE187" s="12">
        <f t="shared" si="291"/>
        <v>34</v>
      </c>
      <c r="SF187" s="12">
        <f t="shared" si="291"/>
        <v>35</v>
      </c>
      <c r="SG187" s="12">
        <f t="shared" si="291"/>
        <v>36</v>
      </c>
      <c r="SH187" s="12">
        <f t="shared" si="291"/>
        <v>37</v>
      </c>
      <c r="SI187" s="12">
        <f t="shared" si="291"/>
        <v>38</v>
      </c>
      <c r="SJ187" s="12">
        <f t="shared" si="291"/>
        <v>39</v>
      </c>
      <c r="SK187" s="12">
        <f t="shared" si="291"/>
        <v>40</v>
      </c>
      <c r="SL187" s="12">
        <f t="shared" si="291"/>
        <v>41</v>
      </c>
      <c r="SM187" s="12">
        <f t="shared" si="291"/>
        <v>42</v>
      </c>
      <c r="SN187" s="12">
        <f t="shared" si="291"/>
        <v>43</v>
      </c>
      <c r="SO187" s="12">
        <f t="shared" si="291"/>
        <v>44</v>
      </c>
      <c r="SP187" s="12">
        <f t="shared" si="291"/>
        <v>45</v>
      </c>
      <c r="SQ187" s="12">
        <f t="shared" si="291"/>
        <v>46</v>
      </c>
      <c r="SR187" s="12">
        <f t="shared" si="291"/>
        <v>47</v>
      </c>
      <c r="SS187" s="12">
        <f t="shared" si="291"/>
        <v>48</v>
      </c>
      <c r="ST187" s="12">
        <f t="shared" si="291"/>
        <v>49</v>
      </c>
      <c r="SU187" s="12" t="s">
        <v>1060</v>
      </c>
      <c r="SV187" s="12" t="s">
        <v>1116</v>
      </c>
      <c r="SW187" s="12" t="s">
        <v>1117</v>
      </c>
      <c r="SX187" s="12" t="s">
        <v>1118</v>
      </c>
      <c r="SY187" s="12" t="s">
        <v>1119</v>
      </c>
      <c r="SZ187" s="12" t="s">
        <v>1120</v>
      </c>
      <c r="TA187" s="12" t="s">
        <v>1121</v>
      </c>
      <c r="TB187" s="12" t="s">
        <v>1122</v>
      </c>
      <c r="TC187" s="12" t="s">
        <v>1123</v>
      </c>
      <c r="TD187" s="12" t="s">
        <v>1124</v>
      </c>
      <c r="TE187" s="12" t="s">
        <v>1125</v>
      </c>
      <c r="TF187" s="12" t="s">
        <v>1126</v>
      </c>
      <c r="TG187" s="12" t="s">
        <v>1059</v>
      </c>
      <c r="TH187" s="12" t="s">
        <v>1128</v>
      </c>
      <c r="TI187" s="12" t="s">
        <v>1129</v>
      </c>
      <c r="TJ187" s="12" t="s">
        <v>1130</v>
      </c>
      <c r="TK187" s="12" t="s">
        <v>1132</v>
      </c>
      <c r="TL187" s="12" t="s">
        <v>1131</v>
      </c>
      <c r="TM187" s="12" t="s">
        <v>1133</v>
      </c>
      <c r="TN187" s="12" t="s">
        <v>1134</v>
      </c>
      <c r="TO187" s="12" t="s">
        <v>1135</v>
      </c>
      <c r="TP187" s="12" t="s">
        <v>1136</v>
      </c>
      <c r="TQ187" s="12" t="s">
        <v>1137</v>
      </c>
      <c r="TR187" s="13" t="s">
        <v>1138</v>
      </c>
    </row>
    <row r="188" spans="1:538" x14ac:dyDescent="0.25">
      <c r="A188" t="s">
        <v>1169</v>
      </c>
      <c r="B188" s="34" t="s">
        <v>1166</v>
      </c>
      <c r="C188" t="s">
        <v>1012</v>
      </c>
      <c r="P188" t="s">
        <v>1011</v>
      </c>
      <c r="T188" s="14" t="s">
        <v>554</v>
      </c>
      <c r="U188">
        <v>60</v>
      </c>
      <c r="W188" t="s">
        <v>1144</v>
      </c>
      <c r="X188" t="s">
        <v>1980</v>
      </c>
      <c r="Y188" s="43" t="str" cm="1">
        <f t="array" ref="Y188">IF(COUNTIFS($X$2:$X188,$X188)=1,"1",VALUE(SUBSTITUTE(INDEX(Y:Y,_xlfn.XMATCH($X188,$X$1:$X187,0,-1)),"A",""))+INDEX(Z:Z,_xlfn.XMATCH($X188,$X$1:$X187,0,-1))+1)</f>
        <v>1</v>
      </c>
      <c r="Z188" s="46" cm="1">
        <f t="array" ref="Z188">SUM(IF(ISNUMBER(FIND("TmAi",$BE$1:$AAL$1)),IF(IFERROR(ISODD(SUBSTITUTE($BE188:$AAL188,"A","")),FALSE),IF(ISODD(SUBSTITUTE($BE188:$AAL188,"A","")),1,0),0)))</f>
        <v>1</v>
      </c>
      <c r="AA188" t="str">
        <f t="shared" si="229"/>
        <v>1A</v>
      </c>
      <c r="AB188" t="str">
        <f t="shared" si="230"/>
        <v>1B</v>
      </c>
      <c r="AP188" t="s">
        <v>137</v>
      </c>
      <c r="AR188" t="s">
        <v>1152</v>
      </c>
      <c r="AS188" t="s">
        <v>396</v>
      </c>
      <c r="OG188" s="25" t="str">
        <f>CONCATENATE("XT",$U188)</f>
        <v>XT60</v>
      </c>
      <c r="OH188" s="12" t="s">
        <v>1174</v>
      </c>
      <c r="OI188" s="12" t="s">
        <v>1179</v>
      </c>
      <c r="OJ188" s="12"/>
      <c r="OK188" s="12"/>
      <c r="OL188" s="12" t="str">
        <f>CONCATENATE(REPLACE($AA188,LEN($AA188),1,"")+1,RIGHT($AA188))</f>
        <v>2A</v>
      </c>
      <c r="OM188" s="12" t="str">
        <f>CONCATENATE(REPLACE($AB188,LEN($AB188),1,"")+1,RIGHT($AB188))</f>
        <v>2B</v>
      </c>
      <c r="ON188" s="12" t="str">
        <f>CONCATENATE(REPLACE(OL188,LEN(OL188),1,"")+1,RIGHT(OL188))</f>
        <v>3A</v>
      </c>
      <c r="OO188" s="12" t="str">
        <f t="shared" ref="OO188:OO190" si="292">CONCATENATE(REPLACE(OM188,LEN(OM188),1,"")+1,RIGHT(OM188))</f>
        <v>3B</v>
      </c>
      <c r="OP188" s="12" t="str">
        <f t="shared" ref="OP188:OP190" si="293">CONCATENATE(REPLACE(ON188,LEN(ON188),1,"")+1,RIGHT(ON188))</f>
        <v>4A</v>
      </c>
      <c r="OQ188" s="12" t="str">
        <f t="shared" ref="OQ188:OQ190" si="294">CONCATENATE(REPLACE(OO188,LEN(OO188),1,"")+1,RIGHT(OO188))</f>
        <v>4B</v>
      </c>
      <c r="OR188" s="12"/>
      <c r="OS188" s="12"/>
      <c r="OT188" s="12"/>
      <c r="OU188" s="12"/>
      <c r="OV188" s="12" t="str">
        <f>CONCATENATE($T188,"-AI",REPLACE($X188,1,3,""),"-",$AA188)</f>
        <v>F0-AI40-1A</v>
      </c>
      <c r="OW188" s="12" t="str">
        <f>CONCATENATE($T188,"-AI",REPLACE($X188,1,3,""),"-",$AB188)</f>
        <v>F0-AI40-1B</v>
      </c>
      <c r="OX188" s="12" t="str">
        <f t="shared" ref="OX188:OX190" si="295">CONCATENATE($T188,"-AI",REPLACE($X188,1,3,""),"-",OL188)</f>
        <v>F0-AI40-2A</v>
      </c>
      <c r="OY188" s="12" t="str">
        <f t="shared" ref="OY188:OY190" si="296">CONCATENATE($T188,"-AI",REPLACE($X188,1,3,""),"-",OM188)</f>
        <v>F0-AI40-2B</v>
      </c>
      <c r="OZ188" s="12" t="str">
        <f t="shared" ref="OZ188:OZ190" si="297">CONCATENATE($T188,"-AI",REPLACE($X188,1,3,""),"-",ON188)</f>
        <v>F0-AI40-3A</v>
      </c>
      <c r="PA188" s="12" t="str">
        <f t="shared" ref="PA188:PA190" si="298">CONCATENATE($T188,"-AI",REPLACE($X188,1,3,""),"-",OO188)</f>
        <v>F0-AI40-3B</v>
      </c>
      <c r="PB188" s="12" t="str">
        <f t="shared" ref="PB188:PB190" si="299">CONCATENATE($T188,"-AI",REPLACE($X188,1,3,""),"-",OP188)</f>
        <v>F0-AI40-4A</v>
      </c>
      <c r="PC188" s="12" t="str">
        <f t="shared" ref="PC188:PC190" si="300">CONCATENATE($T188,"-AI",REPLACE($X188,1,3,""),"-",OQ188)</f>
        <v>F0-AI40-4B</v>
      </c>
      <c r="PD188" s="12"/>
      <c r="PE188" s="12"/>
      <c r="PF188" s="12"/>
      <c r="PG188" s="12"/>
      <c r="PH188" s="12" cm="1">
        <f t="array" ref="PH188">IF(COUNTIFS($U$2:$U188,$U188)=1,1,INDEX(PH:PH,_xlfn.XMATCH($U188,$U$1:EF187,0,-1))+COUNT(PH187:PM187))</f>
        <v>1</v>
      </c>
      <c r="PI188" s="12">
        <f t="shared" ref="PI188:PI190" si="301">PH188+1</f>
        <v>2</v>
      </c>
      <c r="PJ188" s="12">
        <f t="shared" ref="PJ188:PJ190" si="302">PI188+1</f>
        <v>3</v>
      </c>
      <c r="PK188" s="12">
        <f>PJ188+1</f>
        <v>4</v>
      </c>
      <c r="PL188" s="12">
        <f t="shared" ref="PL188:PL190" si="303">PK188+1</f>
        <v>5</v>
      </c>
      <c r="PM188" s="12">
        <f t="shared" ref="PM188:PM190" si="304">PL188+1</f>
        <v>6</v>
      </c>
      <c r="PN188" s="12"/>
      <c r="PO188" s="12"/>
      <c r="PP188" s="12"/>
      <c r="PQ188" s="12">
        <v>1</v>
      </c>
      <c r="PR188" s="12">
        <v>2</v>
      </c>
      <c r="PS188" s="12">
        <v>3</v>
      </c>
      <c r="PT188" s="12">
        <v>4</v>
      </c>
      <c r="PU188" s="12">
        <v>5</v>
      </c>
      <c r="PV188" s="13">
        <v>6</v>
      </c>
    </row>
    <row r="189" spans="1:538" ht="15.75" thickBot="1" x14ac:dyDescent="0.3">
      <c r="A189" t="s">
        <v>1170</v>
      </c>
      <c r="B189" t="s">
        <v>1167</v>
      </c>
      <c r="C189" t="s">
        <v>1012</v>
      </c>
      <c r="P189" t="s">
        <v>1011</v>
      </c>
      <c r="T189" s="14" t="s">
        <v>554</v>
      </c>
      <c r="U189">
        <v>60</v>
      </c>
      <c r="W189" t="s">
        <v>1146</v>
      </c>
      <c r="X189" t="str">
        <f>IF(COUNTIF(X$1:X188,X188)&gt;7,REPLACE(X188,LEN(X188),1,VALUE(RIGHT(X188,1))+1),X188)</f>
        <v>A3.40</v>
      </c>
      <c r="Y189" s="43" cm="1">
        <f t="array" ref="Y189">IF(COUNTIFS($X$2:$X189,$X189)=1,"1",VALUE(SUBSTITUTE(INDEX(Y:Y,_xlfn.XMATCH($X189,$X$1:$X188,0,-1)),"A",""))+INDEX(Z:Z,_xlfn.XMATCH($X189,$X$1:$X188,0,-1))+1)</f>
        <v>3</v>
      </c>
      <c r="Z189" s="46" cm="1">
        <f t="array" ref="Z189">SUM(IF(ISNUMBER(FIND("TmAi",$BE$1:$AAL$1)),IF(IFERROR(ISODD(SUBSTITUTE($BE189:$AAL189,"A","")),FALSE),IF(ISODD(SUBSTITUTE($BE189:$AAL189,"A","")),1,0),0)))</f>
        <v>1</v>
      </c>
      <c r="AA189" t="str">
        <f t="shared" si="229"/>
        <v>5A</v>
      </c>
      <c r="AB189" t="str">
        <f t="shared" si="230"/>
        <v>5B</v>
      </c>
      <c r="AP189" t="s">
        <v>137</v>
      </c>
      <c r="AR189" t="s">
        <v>1152</v>
      </c>
      <c r="AS189" t="s">
        <v>396</v>
      </c>
      <c r="OG189" s="27" t="str">
        <f t="shared" ref="OG189:OG190" si="305">CONCATENATE("XT",$U189)</f>
        <v>XT60</v>
      </c>
      <c r="OH189" t="s">
        <v>1175</v>
      </c>
      <c r="OI189" t="s">
        <v>1181</v>
      </c>
      <c r="OL189" t="str">
        <f t="shared" ref="OL189:OL190" si="306">CONCATENATE(REPLACE($AA189,LEN($AA189),1,"")+1,RIGHT($AA189))</f>
        <v>6A</v>
      </c>
      <c r="OM189" t="str">
        <f t="shared" ref="OM189:OM190" si="307">CONCATENATE(REPLACE($AB189,LEN($AB189),1,"")+1,RIGHT($AB189))</f>
        <v>6B</v>
      </c>
      <c r="ON189" t="str">
        <f t="shared" ref="ON189:ON190" si="308">CONCATENATE(REPLACE(OL189,LEN(OL189),1,"")+1,RIGHT(OL189))</f>
        <v>7A</v>
      </c>
      <c r="OO189" t="str">
        <f t="shared" si="292"/>
        <v>7B</v>
      </c>
      <c r="OP189" t="str">
        <f t="shared" si="293"/>
        <v>8A</v>
      </c>
      <c r="OQ189" t="str">
        <f t="shared" si="294"/>
        <v>8B</v>
      </c>
      <c r="OV189" t="str">
        <f>CONCATENATE($T189,"-AI",REPLACE($X189,1,3,""),"-",$AA189)</f>
        <v>F0-AI40-5A</v>
      </c>
      <c r="OW189" t="str">
        <f>CONCATENATE($T189,"-AI",REPLACE($X189,1,3,""),"-",$AB189)</f>
        <v>F0-AI40-5B</v>
      </c>
      <c r="OX189" t="str">
        <f t="shared" si="295"/>
        <v>F0-AI40-6A</v>
      </c>
      <c r="OY189" t="str">
        <f t="shared" si="296"/>
        <v>F0-AI40-6B</v>
      </c>
      <c r="OZ189" t="str">
        <f t="shared" si="297"/>
        <v>F0-AI40-7A</v>
      </c>
      <c r="PA189" t="str">
        <f t="shared" si="298"/>
        <v>F0-AI40-7B</v>
      </c>
      <c r="PB189" t="str">
        <f t="shared" si="299"/>
        <v>F0-AI40-8A</v>
      </c>
      <c r="PC189" t="str">
        <f t="shared" si="300"/>
        <v>F0-AI40-8B</v>
      </c>
      <c r="PH189" cm="1">
        <f t="array" ref="PH189">IF(COUNTIFS($U$2:$U189,$U189)=1,1,INDEX(PH:PH,_xlfn.XMATCH($U189,$U$1:$U188,0,-1))+COUNT(PH188:PM188))</f>
        <v>7</v>
      </c>
      <c r="PI189">
        <f t="shared" si="301"/>
        <v>8</v>
      </c>
      <c r="PJ189">
        <f t="shared" si="302"/>
        <v>9</v>
      </c>
      <c r="PK189">
        <f t="shared" ref="PK189:PK190" si="309">PJ189+1</f>
        <v>10</v>
      </c>
      <c r="PL189">
        <f t="shared" si="303"/>
        <v>11</v>
      </c>
      <c r="PM189">
        <f t="shared" si="304"/>
        <v>12</v>
      </c>
      <c r="PQ189">
        <v>7</v>
      </c>
      <c r="PR189">
        <v>8</v>
      </c>
      <c r="PS189">
        <v>9</v>
      </c>
      <c r="PT189">
        <v>10</v>
      </c>
      <c r="PU189">
        <v>11</v>
      </c>
      <c r="PV189" s="16">
        <v>12</v>
      </c>
    </row>
    <row r="190" spans="1:538" ht="15.75" thickBot="1" x14ac:dyDescent="0.3">
      <c r="A190" t="s">
        <v>1171</v>
      </c>
      <c r="B190" t="s">
        <v>1168</v>
      </c>
      <c r="C190" t="s">
        <v>1012</v>
      </c>
      <c r="P190" t="s">
        <v>1047</v>
      </c>
      <c r="T190" s="14" t="s">
        <v>554</v>
      </c>
      <c r="U190">
        <v>60</v>
      </c>
      <c r="W190" t="s">
        <v>1149</v>
      </c>
      <c r="X190" s="33" t="str">
        <f>IF(COUNTIF(X$1:X189,X189)&gt;7,REPLACE(X189,LEN(X189),1,VALUE(RIGHT(X189,1))+1),X189)</f>
        <v>A3.40</v>
      </c>
      <c r="Y190" s="45" cm="1">
        <f t="array" ref="Y190">IF(COUNTIFS($X$2:$X190,$X190)=1,"1",VALUE(SUBSTITUTE(INDEX(Y:Y,_xlfn.XMATCH($X190,$X$1:$X189,0,-1)),"A",""))+INDEX(Z:Z,_xlfn.XMATCH($X190,$X$1:$X189,0,-1))+1)</f>
        <v>5</v>
      </c>
      <c r="Z190" s="46" cm="1">
        <f t="array" ref="Z190">SUM(IF(ISNUMBER(FIND("TmAi",$BE$1:$AAL$1)),IF(IFERROR(ISODD(SUBSTITUTE($BE190:$AAL190,"A","")),FALSE),IF(ISODD(SUBSTITUTE($BE190:$AAL190,"A","")),1,0),0)))</f>
        <v>2</v>
      </c>
      <c r="AA190" t="str">
        <f t="shared" si="229"/>
        <v>9A</v>
      </c>
      <c r="AB190" t="str">
        <f t="shared" si="230"/>
        <v>9B</v>
      </c>
      <c r="AP190" t="s">
        <v>137</v>
      </c>
      <c r="AR190" t="s">
        <v>1153</v>
      </c>
      <c r="AS190" t="s">
        <v>396</v>
      </c>
      <c r="OG190" s="27" t="str">
        <f t="shared" si="305"/>
        <v>XT60</v>
      </c>
      <c r="OH190" t="s">
        <v>1176</v>
      </c>
      <c r="OI190" t="s">
        <v>1183</v>
      </c>
      <c r="OJ190" t="s">
        <v>1320</v>
      </c>
      <c r="OK190" t="s">
        <v>1319</v>
      </c>
      <c r="OL190" t="str">
        <f t="shared" si="306"/>
        <v>10A</v>
      </c>
      <c r="OM190" t="str">
        <f t="shared" si="307"/>
        <v>10B</v>
      </c>
      <c r="ON190" t="str">
        <f t="shared" si="308"/>
        <v>11A</v>
      </c>
      <c r="OO190" t="str">
        <f t="shared" si="292"/>
        <v>11B</v>
      </c>
      <c r="OP190" t="str">
        <f t="shared" si="293"/>
        <v>12A</v>
      </c>
      <c r="OQ190" t="str">
        <f t="shared" si="294"/>
        <v>12B</v>
      </c>
      <c r="OR190" t="str">
        <f t="shared" ref="OR190" si="310">CONCATENATE(REPLACE(OP190,LEN(OP190),1,"")+1,RIGHT(OP190))</f>
        <v>13A</v>
      </c>
      <c r="OS190" t="str">
        <f t="shared" ref="OS190" si="311">CONCATENATE(REPLACE(OQ190,LEN(OQ190),1,"")+1,RIGHT(OQ190))</f>
        <v>13B</v>
      </c>
      <c r="OT190" t="str">
        <f t="shared" ref="OT190" si="312">CONCATENATE(REPLACE(OR190,LEN(OR190),1,"")+1,RIGHT(OR190))</f>
        <v>14A</v>
      </c>
      <c r="OU190" t="str">
        <f t="shared" ref="OU190" si="313">CONCATENATE(REPLACE(OS190,LEN(OS190),1,"")+1,RIGHT(OS190))</f>
        <v>14B</v>
      </c>
      <c r="OV190" t="str">
        <f>CONCATENATE($T190,"-AI",REPLACE($X190,1,3,""),"-",$AA190)</f>
        <v>F0-AI40-9A</v>
      </c>
      <c r="OW190" t="str">
        <f>CONCATENATE($T190,"-AI",REPLACE($X190,1,3,""),"-",$AB190)</f>
        <v>F0-AI40-9B</v>
      </c>
      <c r="OX190" t="str">
        <f t="shared" si="295"/>
        <v>F0-AI40-10A</v>
      </c>
      <c r="OY190" t="str">
        <f t="shared" si="296"/>
        <v>F0-AI40-10B</v>
      </c>
      <c r="OZ190" t="str">
        <f t="shared" si="297"/>
        <v>F0-AI40-11A</v>
      </c>
      <c r="PA190" t="str">
        <f t="shared" si="298"/>
        <v>F0-AI40-11B</v>
      </c>
      <c r="PB190" t="str">
        <f t="shared" si="299"/>
        <v>F0-AI40-12A</v>
      </c>
      <c r="PC190" t="str">
        <f t="shared" si="300"/>
        <v>F0-AI40-12B</v>
      </c>
      <c r="PD190" t="str">
        <f t="shared" ref="PD190" si="314">CONCATENATE($T190,"-AI",REPLACE($X190,1,3,""),"-",OR190)</f>
        <v>F0-AI40-13A</v>
      </c>
      <c r="PE190" t="str">
        <f t="shared" ref="PE190" si="315">CONCATENATE($T190,"-AI",REPLACE($X190,1,3,""),"-",OS190)</f>
        <v>F0-AI40-13B</v>
      </c>
      <c r="PF190" t="str">
        <f t="shared" ref="PF190" si="316">CONCATENATE($T190,"-AI",REPLACE($X190,1,3,""),"-",OT190)</f>
        <v>F0-AI40-14A</v>
      </c>
      <c r="PG190" t="str">
        <f t="shared" ref="PG190" si="317">CONCATENATE($T190,"-AI",REPLACE($X190,1,3,""),"-",OU190)</f>
        <v>F0-AI40-14B</v>
      </c>
      <c r="PH190" cm="1">
        <f t="array" ref="PH190">IF(COUNTIFS($U$2:$U190,$U190)=1,1,INDEX(PH:PH,_xlfn.XMATCH($U190,$U$1:$U189,0,-1))+COUNT(PH189:PM189))</f>
        <v>13</v>
      </c>
      <c r="PI190">
        <f t="shared" si="301"/>
        <v>14</v>
      </c>
      <c r="PJ190">
        <f t="shared" si="302"/>
        <v>15</v>
      </c>
      <c r="PK190">
        <f t="shared" si="309"/>
        <v>16</v>
      </c>
      <c r="PL190">
        <f t="shared" si="303"/>
        <v>17</v>
      </c>
      <c r="PM190">
        <f t="shared" si="304"/>
        <v>18</v>
      </c>
      <c r="PN190">
        <f t="shared" ref="PN190" si="318">PM190+1</f>
        <v>19</v>
      </c>
      <c r="PO190">
        <f t="shared" ref="PO190" si="319">PN190+1</f>
        <v>20</v>
      </c>
      <c r="PP190">
        <f t="shared" ref="PP190" si="320">PO190+1</f>
        <v>21</v>
      </c>
      <c r="PQ190">
        <v>1</v>
      </c>
      <c r="PR190">
        <v>2</v>
      </c>
      <c r="PS190">
        <v>3</v>
      </c>
      <c r="PT190">
        <v>4</v>
      </c>
      <c r="PU190">
        <v>5</v>
      </c>
      <c r="PV190">
        <v>6</v>
      </c>
      <c r="PW190" s="23">
        <v>7</v>
      </c>
      <c r="PX190" s="23">
        <v>8</v>
      </c>
      <c r="PY190" s="24">
        <v>9</v>
      </c>
    </row>
    <row r="191" spans="1:538" ht="15.75" thickBot="1" x14ac:dyDescent="0.3">
      <c r="A191" t="s">
        <v>1172</v>
      </c>
      <c r="B191" t="s">
        <v>1143</v>
      </c>
      <c r="P191" t="s">
        <v>482</v>
      </c>
      <c r="T191" s="14" t="s">
        <v>554</v>
      </c>
      <c r="U191">
        <v>60</v>
      </c>
      <c r="W191" t="s">
        <v>1150</v>
      </c>
      <c r="X191" t="s">
        <v>1247</v>
      </c>
      <c r="Y191" s="43" t="str" cm="1">
        <f t="array" ref="Y191">IF(COUNTIFS($X$2:$X191,$X191)=1,"1",VALUE(SUBSTITUTE(INDEX(Y:Y,_xlfn.XMATCH($X191,$X$1:$X190,0,-1)),"A",""))+INDEX(Z:Z,_xlfn.XMATCH($X191,$X$1:$X190,0,-1))+1)</f>
        <v>1</v>
      </c>
      <c r="Z191" s="46" cm="1">
        <f t="array" ref="Z191">SUM(IF(ISNUMBER(FIND("TmAi",$BE$1:$AAL$1)),IF(IFERROR(ISODD(SUBSTITUTE($BE191:$AAL191,"A","")),FALSE),IF(ISODD(SUBSTITUTE($BE191:$AAL191,"A","")),1,0),0)))</f>
        <v>0</v>
      </c>
      <c r="AA191" t="str">
        <f t="shared" ref="AA191" si="321">CONCATENATE($Y191*2-1,"B")</f>
        <v>1B</v>
      </c>
      <c r="AB191" t="str">
        <f t="shared" ref="AB191" si="322">CONCATENATE($Y191*2,"B")</f>
        <v>2B</v>
      </c>
      <c r="AP191" t="s">
        <v>137</v>
      </c>
      <c r="AQ191" t="s">
        <v>1142</v>
      </c>
      <c r="AS191" t="s">
        <v>396</v>
      </c>
      <c r="JZ191" s="27" t="str">
        <f>CONCATENATE("XT",U191)</f>
        <v>XT60</v>
      </c>
      <c r="KC191" t="str">
        <f>CONCATENATE(T191,"-AI",REPLACE($X191,1,3,""),"-",AA191)</f>
        <v>F0-AI24-1B</v>
      </c>
      <c r="KD191" t="str">
        <f>CONCATENATE(T191,"-AI",REPLACE($X191,1,3,""),"-",AB191)</f>
        <v>F0-AI24-2B</v>
      </c>
      <c r="KI191">
        <v>22</v>
      </c>
      <c r="KJ191">
        <f t="shared" ref="KJ191" si="323">KI191+1</f>
        <v>23</v>
      </c>
      <c r="KK191">
        <f t="shared" ref="KK191" si="324">KJ191+1</f>
        <v>24</v>
      </c>
      <c r="KN191" t="s">
        <v>548</v>
      </c>
      <c r="KO191" s="16" t="s">
        <v>548</v>
      </c>
      <c r="KS191" s="16"/>
      <c r="OG191" s="27"/>
      <c r="PV191" s="16"/>
    </row>
    <row r="192" spans="1:538" ht="15.75" thickBot="1" x14ac:dyDescent="0.3">
      <c r="A192" t="s">
        <v>2366</v>
      </c>
      <c r="B192" s="33" t="s">
        <v>1145</v>
      </c>
      <c r="P192" t="s">
        <v>1061</v>
      </c>
      <c r="T192" s="14" t="s">
        <v>554</v>
      </c>
      <c r="U192">
        <v>60</v>
      </c>
      <c r="W192" t="s">
        <v>1151</v>
      </c>
      <c r="X192" s="33" t="str">
        <f>IF(COUNTIF(X$1:X191,X191)&gt;3,REPLACE(X191,LEN(X191),1,VALUE(RIGHT(X191,1))+1),X191)</f>
        <v>A3.24</v>
      </c>
      <c r="Y192" s="45" cm="1">
        <f t="array" ref="Y192">IF(COUNTIFS($X$2:$X192,$X192)=1,"1",VALUE(SUBSTITUTE(INDEX(Y:Y,_xlfn.XMATCH($X192,$X$1:$X191,0,-1)),"A",""))+INDEX(Z:Z,_xlfn.XMATCH($X192,$X$1:$X191,0,-1))+1)</f>
        <v>2</v>
      </c>
      <c r="Z192" s="46" cm="1">
        <f t="array" ref="Z192">SUM(IF(ISNUMBER(FIND("TmAi",$BE$1:$AAL$1)),IF(IFERROR(ISODD(SUBSTITUTE($BE192:$AAL192,"A","")),FALSE),IF(ISODD(SUBSTITUTE($BE192:$AAL192,"A","")),1,0),0)))</f>
        <v>11</v>
      </c>
      <c r="AA192" t="str">
        <f t="shared" si="229"/>
        <v>3A</v>
      </c>
      <c r="AB192" t="str">
        <f t="shared" si="230"/>
        <v>3B</v>
      </c>
      <c r="AP192" t="s">
        <v>137</v>
      </c>
      <c r="AR192" t="s">
        <v>1147</v>
      </c>
      <c r="AS192" t="s">
        <v>396</v>
      </c>
      <c r="JZ192" s="27"/>
      <c r="KI192" cm="1">
        <f t="array" ref="KI192">IF(COUNTIFS($U$2:$U192,$U192)=1,1,INDEX(KI:KI,_xlfn.XMATCH(U192,U$1:U191,0,-1))+COUNT(KI191:KM191))</f>
        <v>25</v>
      </c>
      <c r="KO192" s="16"/>
      <c r="KS192" s="16"/>
      <c r="PZ192" s="25" t="str">
        <f>REPLACE(X192,FIND(".",X192)+1,3,MID(X192,FIND(".",X192)+1,3)+1)</f>
        <v>A3.25</v>
      </c>
      <c r="QA192" s="12" t="str">
        <f>CONCATENATE(VALUE(SUBSTITUTE($AB192,"B",""))+2,"B")</f>
        <v>5B</v>
      </c>
      <c r="QB192" s="12" t="str">
        <f>CONCATENATE(VALUE(SUBSTITUTE($AA192,"A",""))+2,"A")</f>
        <v>5A</v>
      </c>
      <c r="QC192" s="12" t="str">
        <f>CONCATENATE(VALUE(SUBSTITUTE(QA192,"B",""))+2,"B")</f>
        <v>7B</v>
      </c>
      <c r="QD192" s="12" t="str">
        <f>CONCATENATE(VALUE(SUBSTITUTE(QB192,"A",""))+2,"A")</f>
        <v>7A</v>
      </c>
      <c r="QE192" s="12" t="str">
        <f t="shared" ref="QE192" si="325">CONCATENATE(VALUE(SUBSTITUTE(QC192,"B",""))+2,"B")</f>
        <v>9B</v>
      </c>
      <c r="QF192" s="12" t="str">
        <f t="shared" ref="QF192" si="326">CONCATENATE(VALUE(SUBSTITUTE(QD192,"A",""))+2,"A")</f>
        <v>9A</v>
      </c>
      <c r="QG192" s="12" t="str">
        <f t="shared" ref="QG192" si="327">CONCATENATE(VALUE(SUBSTITUTE(QE192,"B",""))+2,"B")</f>
        <v>11B</v>
      </c>
      <c r="QH192" s="12" t="str">
        <f t="shared" ref="QH192" si="328">CONCATENATE(VALUE(SUBSTITUTE(QF192,"A",""))+2,"A")</f>
        <v>11A</v>
      </c>
      <c r="QI192" s="12" t="str">
        <f t="shared" ref="QI192" si="329">CONCATENATE(VALUE(SUBSTITUTE(QG192,"B",""))+2,"B")</f>
        <v>13B</v>
      </c>
      <c r="QJ192" s="12" t="str">
        <f t="shared" ref="QJ192" si="330">CONCATENATE(VALUE(SUBSTITUTE(QH192,"A",""))+2,"A")</f>
        <v>13A</v>
      </c>
      <c r="QK192" s="12" t="s">
        <v>135</v>
      </c>
      <c r="QL192" s="12" t="s">
        <v>136</v>
      </c>
      <c r="QM192" s="12" t="str">
        <f t="shared" ref="QM192" si="331">CONCATENATE(VALUE(SUBSTITUTE(QK192,"B",""))+2,"B")</f>
        <v>3B</v>
      </c>
      <c r="QN192" s="12" t="str">
        <f t="shared" ref="QN192" si="332">CONCATENATE(VALUE(SUBSTITUTE(QL192,"A",""))+2,"A")</f>
        <v>3A</v>
      </c>
      <c r="QO192" s="12" t="str">
        <f t="shared" ref="QO192" si="333">CONCATENATE(VALUE(SUBSTITUTE(QM192,"B",""))+2,"B")</f>
        <v>5B</v>
      </c>
      <c r="QP192" s="12" t="str">
        <f t="shared" ref="QP192" si="334">CONCATENATE(VALUE(SUBSTITUTE(QN192,"A",""))+2,"A")</f>
        <v>5A</v>
      </c>
      <c r="QQ192" s="12" t="str">
        <f t="shared" ref="QQ192" si="335">CONCATENATE(VALUE(SUBSTITUTE(QO192,"B",""))+2,"B")</f>
        <v>7B</v>
      </c>
      <c r="QR192" s="12" t="str">
        <f t="shared" ref="QR192" si="336">CONCATENATE(VALUE(SUBSTITUTE(QP192,"A",""))+2,"A")</f>
        <v>7A</v>
      </c>
      <c r="QS192" s="12" t="str">
        <f t="shared" ref="QS192" si="337">CONCATENATE(VALUE(SUBSTITUTE(QQ192,"B",""))+2,"B")</f>
        <v>9B</v>
      </c>
      <c r="QT192" s="12" t="str">
        <f t="shared" ref="QT192" si="338">CONCATENATE(VALUE(SUBSTITUTE(QR192,"A",""))+2,"A")</f>
        <v>9A</v>
      </c>
      <c r="QU192" s="12" t="str">
        <f t="shared" ref="QU192" si="339">CONCATENATE(VALUE(SUBSTITUTE(QS192,"B",""))+2,"B")</f>
        <v>11B</v>
      </c>
      <c r="QV192" s="12" t="str">
        <f t="shared" ref="QV192" si="340">CONCATENATE(VALUE(SUBSTITUTE(QT192,"A",""))+2,"A")</f>
        <v>11A</v>
      </c>
      <c r="QW192" s="12" t="str">
        <f>CONCATENATE($T192,"-AI",REPLACE($X192,1,3,""),"-",AB192)</f>
        <v>F0-AI24-3B</v>
      </c>
      <c r="QX192" s="12" t="str">
        <f>CONCATENATE($T192,"-AI",REPLACE($X192,1,3,""),"-",AA192)</f>
        <v>F0-AI24-3A</v>
      </c>
      <c r="QY192" s="12" t="str">
        <f>CONCATENATE($T192,"-AI",REPLACE($X192,1,3,""),"-",QA192)</f>
        <v>F0-AI24-5B</v>
      </c>
      <c r="QZ192" s="12" t="str">
        <f>CONCATENATE($T192,"-AI",REPLACE($X192,1,3,""),"-",QB192)</f>
        <v>F0-AI24-5A</v>
      </c>
      <c r="RA192" s="12" t="str">
        <f t="shared" ref="RA192" si="341">CONCATENATE($T192,"-AI",REPLACE($X192,1,3,""),"-",QC192)</f>
        <v>F0-AI24-7B</v>
      </c>
      <c r="RB192" s="12" t="str">
        <f t="shared" ref="RB192" si="342">CONCATENATE($T192,"-AI",REPLACE($X192,1,3,""),"-",QD192)</f>
        <v>F0-AI24-7A</v>
      </c>
      <c r="RC192" s="12" t="str">
        <f t="shared" ref="RC192" si="343">CONCATENATE($T192,"-AI",REPLACE($X192,1,3,""),"-",QE192)</f>
        <v>F0-AI24-9B</v>
      </c>
      <c r="RD192" s="12" t="str">
        <f t="shared" ref="RD192" si="344">CONCATENATE($T192,"-AI",REPLACE($X192,1,3,""),"-",QF192)</f>
        <v>F0-AI24-9A</v>
      </c>
      <c r="RE192" s="12" t="str">
        <f t="shared" ref="RE192" si="345">CONCATENATE($T192,"-AI",REPLACE($X192,1,3,""),"-",QG192)</f>
        <v>F0-AI24-11B</v>
      </c>
      <c r="RF192" s="12" t="str">
        <f t="shared" ref="RF192" si="346">CONCATENATE($T192,"-AI",REPLACE($X192,1,3,""),"-",QH192)</f>
        <v>F0-AI24-11A</v>
      </c>
      <c r="RG192" s="12" t="str">
        <f t="shared" ref="RG192" si="347">CONCATENATE($T192,"-AI",REPLACE($X192,1,3,""),"-",QI192)</f>
        <v>F0-AI24-13B</v>
      </c>
      <c r="RH192" s="12" t="str">
        <f t="shared" ref="RH192" si="348">CONCATENATE($T192,"-AI",REPLACE($X192,1,3,""),"-",QJ192)</f>
        <v>F0-AI24-13A</v>
      </c>
      <c r="RI192" s="12" t="str">
        <f>CONCATENATE($T192,"-AI",REPLACE($PZ192,1,3,""),"-",QK192)</f>
        <v>F0-AI25-1B</v>
      </c>
      <c r="RJ192" s="12" t="str">
        <f>CONCATENATE($T192,"-AI",REPLACE($PZ192,1,3,""),"-",QL192)</f>
        <v>F0-AI25-1A</v>
      </c>
      <c r="RK192" s="12" t="str">
        <f>CONCATENATE($T192,"-AI",REPLACE($PZ192,1,3,""),"-",QM192)</f>
        <v>F0-AI25-3B</v>
      </c>
      <c r="RL192" s="12" t="str">
        <f>CONCATENATE($T192,"-AI",REPLACE($PZ192,1,3,""),"-",QN192)</f>
        <v>F0-AI25-3A</v>
      </c>
      <c r="RM192" s="12" t="str">
        <f>CONCATENATE($T192,"-AI",REPLACE($PZ192,1,3,""),"-",QO192)</f>
        <v>F0-AI25-5B</v>
      </c>
      <c r="RN192" s="12" t="str">
        <f>CONCATENATE($T192,"-AI",REPLACE($PZ192,1,3,""),"-",QP192)</f>
        <v>F0-AI25-5A</v>
      </c>
      <c r="RO192" s="12" t="str">
        <f>CONCATENATE($T192,"-AI",REPLACE($PZ192,1,3,""),"-",QQ192)</f>
        <v>F0-AI25-7B</v>
      </c>
      <c r="RP192" s="12" t="str">
        <f>CONCATENATE($T192,"-AI",REPLACE($PZ192,1,3,""),"-",QR192)</f>
        <v>F0-AI25-7A</v>
      </c>
      <c r="RQ192" s="12" t="str">
        <f>CONCATENATE($T192,"-AI",REPLACE($PZ192,1,3,""),"-",QS192)</f>
        <v>F0-AI25-9B</v>
      </c>
      <c r="RR192" s="12" t="str">
        <f>CONCATENATE($T192,"-AI",REPLACE($PZ192,1,3,""),"-",QT192)</f>
        <v>F0-AI25-9A</v>
      </c>
      <c r="RS192" s="12" t="str">
        <f>CONCATENATE($T192,"-AI",REPLACE($PZ192,1,3,""),"-",QU192)</f>
        <v>F0-AI25-11B</v>
      </c>
      <c r="RT192" s="12" t="str">
        <f>CONCATENATE($T192,"-AI",REPLACE($PZ192,1,3,""),"-",QV192)</f>
        <v>F0-AI25-11A</v>
      </c>
      <c r="RU192" s="12" t="str">
        <f t="shared" ref="RU192" si="349">CONCATENATE("XT",$U192)</f>
        <v>XT60</v>
      </c>
      <c r="RV192" s="12">
        <v>25</v>
      </c>
      <c r="RW192" s="12">
        <f>RV192+1</f>
        <v>26</v>
      </c>
      <c r="RX192" s="12">
        <f t="shared" ref="RX192:ST192" si="350">RW192+1</f>
        <v>27</v>
      </c>
      <c r="RY192" s="12">
        <f t="shared" si="350"/>
        <v>28</v>
      </c>
      <c r="RZ192" s="12">
        <f t="shared" si="350"/>
        <v>29</v>
      </c>
      <c r="SA192" s="12">
        <f t="shared" si="350"/>
        <v>30</v>
      </c>
      <c r="SB192" s="12">
        <f t="shared" si="350"/>
        <v>31</v>
      </c>
      <c r="SC192" s="12">
        <f t="shared" si="350"/>
        <v>32</v>
      </c>
      <c r="SD192" s="12">
        <f t="shared" si="350"/>
        <v>33</v>
      </c>
      <c r="SE192" s="12">
        <f t="shared" si="350"/>
        <v>34</v>
      </c>
      <c r="SF192" s="12">
        <f t="shared" si="350"/>
        <v>35</v>
      </c>
      <c r="SG192" s="12">
        <f t="shared" si="350"/>
        <v>36</v>
      </c>
      <c r="SH192" s="12">
        <f t="shared" si="350"/>
        <v>37</v>
      </c>
      <c r="SI192" s="12">
        <f t="shared" si="350"/>
        <v>38</v>
      </c>
      <c r="SJ192" s="12">
        <f t="shared" si="350"/>
        <v>39</v>
      </c>
      <c r="SK192" s="12">
        <f t="shared" si="350"/>
        <v>40</v>
      </c>
      <c r="SL192" s="12">
        <f t="shared" si="350"/>
        <v>41</v>
      </c>
      <c r="SM192" s="12">
        <f t="shared" si="350"/>
        <v>42</v>
      </c>
      <c r="SN192" s="12">
        <f t="shared" si="350"/>
        <v>43</v>
      </c>
      <c r="SO192" s="12">
        <f t="shared" si="350"/>
        <v>44</v>
      </c>
      <c r="SP192" s="12">
        <f t="shared" si="350"/>
        <v>45</v>
      </c>
      <c r="SQ192" s="12">
        <f t="shared" si="350"/>
        <v>46</v>
      </c>
      <c r="SR192" s="12">
        <f t="shared" si="350"/>
        <v>47</v>
      </c>
      <c r="SS192" s="12">
        <f t="shared" si="350"/>
        <v>48</v>
      </c>
      <c r="ST192" s="12">
        <f t="shared" si="350"/>
        <v>49</v>
      </c>
      <c r="SU192" s="12" t="s">
        <v>1154</v>
      </c>
      <c r="SV192" s="12" t="s">
        <v>1155</v>
      </c>
      <c r="SW192" s="12" t="s">
        <v>1156</v>
      </c>
      <c r="SX192" s="12" t="s">
        <v>1157</v>
      </c>
      <c r="SY192" s="12" t="s">
        <v>1158</v>
      </c>
      <c r="SZ192" s="12" t="s">
        <v>1159</v>
      </c>
      <c r="TA192" s="12" t="s">
        <v>1160</v>
      </c>
      <c r="TB192" s="12" t="s">
        <v>1161</v>
      </c>
      <c r="TC192" s="12" t="s">
        <v>1162</v>
      </c>
      <c r="TD192" s="12" t="s">
        <v>1163</v>
      </c>
      <c r="TE192" s="12" t="s">
        <v>1164</v>
      </c>
      <c r="TF192" s="12" t="s">
        <v>1165</v>
      </c>
      <c r="TG192" s="12" t="s">
        <v>1059</v>
      </c>
      <c r="TH192" s="12" t="s">
        <v>1128</v>
      </c>
      <c r="TI192" s="12" t="s">
        <v>1129</v>
      </c>
      <c r="TJ192" s="12" t="s">
        <v>1130</v>
      </c>
      <c r="TK192" s="12" t="s">
        <v>1132</v>
      </c>
      <c r="TL192" s="12" t="s">
        <v>1131</v>
      </c>
      <c r="TM192" s="12" t="s">
        <v>1133</v>
      </c>
      <c r="TN192" s="12" t="s">
        <v>1134</v>
      </c>
      <c r="TO192" s="12" t="s">
        <v>1135</v>
      </c>
      <c r="TP192" s="12" t="s">
        <v>1136</v>
      </c>
      <c r="TQ192" s="12" t="s">
        <v>1137</v>
      </c>
      <c r="TR192" s="13" t="s">
        <v>1138</v>
      </c>
    </row>
    <row r="193" spans="1:538" x14ac:dyDescent="0.25">
      <c r="A193" t="s">
        <v>1186</v>
      </c>
      <c r="B193" s="34" t="s">
        <v>1206</v>
      </c>
      <c r="C193" t="s">
        <v>1012</v>
      </c>
      <c r="P193" t="s">
        <v>1011</v>
      </c>
      <c r="T193" s="14" t="s">
        <v>554</v>
      </c>
      <c r="U193">
        <v>61</v>
      </c>
      <c r="W193" t="s">
        <v>1177</v>
      </c>
      <c r="X193" t="s">
        <v>1981</v>
      </c>
      <c r="Y193" s="43" t="str" cm="1">
        <f t="array" ref="Y193">IF(COUNTIFS($X$2:$X193,$X193)=1,"1",VALUE(SUBSTITUTE(INDEX(Y:Y,_xlfn.XMATCH($X193,$X$1:$X192,0,-1)),"A",""))+INDEX(Z:Z,_xlfn.XMATCH($X193,$X$1:$X192,0,-1))+1)</f>
        <v>1</v>
      </c>
      <c r="Z193" s="46" cm="1">
        <f t="array" ref="Z193">SUM(IF(ISNUMBER(FIND("TmAi",$BE$1:$AAL$1)),IF(IFERROR(ISODD(SUBSTITUTE($BE193:$AAL193,"A","")),FALSE),IF(ISODD(SUBSTITUTE($BE193:$AAL193,"A","")),1,0),0)))</f>
        <v>1</v>
      </c>
      <c r="AA193" t="str">
        <f t="shared" si="229"/>
        <v>1A</v>
      </c>
      <c r="AB193" t="str">
        <f t="shared" si="230"/>
        <v>1B</v>
      </c>
      <c r="AP193" t="s">
        <v>137</v>
      </c>
      <c r="AR193" t="s">
        <v>1207</v>
      </c>
      <c r="AS193" t="s">
        <v>396</v>
      </c>
      <c r="OG193" s="25" t="str">
        <f>CONCATENATE("XT",$U193)</f>
        <v>XT61</v>
      </c>
      <c r="OH193" s="12" t="s">
        <v>1187</v>
      </c>
      <c r="OI193" s="12" t="s">
        <v>1323</v>
      </c>
      <c r="OJ193" s="12"/>
      <c r="OK193" s="12"/>
      <c r="OL193" s="12" t="str">
        <f>CONCATENATE(REPLACE($AA193,LEN($AA193),1,"")+1,RIGHT($AA193))</f>
        <v>2A</v>
      </c>
      <c r="OM193" s="12" t="str">
        <f>CONCATENATE(REPLACE($AB193,LEN($AB193),1,"")+1,RIGHT($AB193))</f>
        <v>2B</v>
      </c>
      <c r="ON193" s="12" t="str">
        <f>CONCATENATE(REPLACE(OL193,LEN(OL193),1,"")+1,RIGHT(OL193))</f>
        <v>3A</v>
      </c>
      <c r="OO193" s="12" t="str">
        <f t="shared" ref="OO193:OO195" si="351">CONCATENATE(REPLACE(OM193,LEN(OM193),1,"")+1,RIGHT(OM193))</f>
        <v>3B</v>
      </c>
      <c r="OP193" s="12" t="str">
        <f t="shared" ref="OP193:OP195" si="352">CONCATENATE(REPLACE(ON193,LEN(ON193),1,"")+1,RIGHT(ON193))</f>
        <v>4A</v>
      </c>
      <c r="OQ193" s="12" t="str">
        <f t="shared" ref="OQ193:OQ195" si="353">CONCATENATE(REPLACE(OO193,LEN(OO193),1,"")+1,RIGHT(OO193))</f>
        <v>4B</v>
      </c>
      <c r="OR193" s="12"/>
      <c r="OS193" s="12"/>
      <c r="OT193" s="12"/>
      <c r="OU193" s="12"/>
      <c r="OV193" s="12" t="str">
        <f>CONCATENATE($T193,"-AI",REPLACE($X193,1,3,""),"-",$AA193)</f>
        <v>F0-AI41-1A</v>
      </c>
      <c r="OW193" s="12" t="str">
        <f>CONCATENATE($T193,"-AI",REPLACE($X193,1,3,""),"-",$AB193)</f>
        <v>F0-AI41-1B</v>
      </c>
      <c r="OX193" s="12" t="str">
        <f t="shared" ref="OX193:OX195" si="354">CONCATENATE($T193,"-AI",REPLACE($X193,1,3,""),"-",OL193)</f>
        <v>F0-AI41-2A</v>
      </c>
      <c r="OY193" s="12" t="str">
        <f t="shared" ref="OY193:OY195" si="355">CONCATENATE($T193,"-AI",REPLACE($X193,1,3,""),"-",OM193)</f>
        <v>F0-AI41-2B</v>
      </c>
      <c r="OZ193" s="12" t="str">
        <f t="shared" ref="OZ193:OZ195" si="356">CONCATENATE($T193,"-AI",REPLACE($X193,1,3,""),"-",ON193)</f>
        <v>F0-AI41-3A</v>
      </c>
      <c r="PA193" s="12" t="str">
        <f t="shared" ref="PA193:PA195" si="357">CONCATENATE($T193,"-AI",REPLACE($X193,1,3,""),"-",OO193)</f>
        <v>F0-AI41-3B</v>
      </c>
      <c r="PB193" s="12" t="str">
        <f t="shared" ref="PB193:PB195" si="358">CONCATENATE($T193,"-AI",REPLACE($X193,1,3,""),"-",OP193)</f>
        <v>F0-AI41-4A</v>
      </c>
      <c r="PC193" s="12" t="str">
        <f t="shared" ref="PC193:PC195" si="359">CONCATENATE($T193,"-AI",REPLACE($X193,1,3,""),"-",OQ193)</f>
        <v>F0-AI41-4B</v>
      </c>
      <c r="PD193" s="12"/>
      <c r="PE193" s="12"/>
      <c r="PF193" s="12"/>
      <c r="PG193" s="12"/>
      <c r="PH193" s="12" cm="1">
        <f t="array" ref="PH193">IF(COUNTIFS($U$2:$U193,$U193)=1,1,INDEX(PH:PH,_xlfn.XMATCH($U193,$U$1:EF192,0,-1))+COUNT(PH192:PM192))</f>
        <v>1</v>
      </c>
      <c r="PI193" s="12">
        <f t="shared" ref="PI193:PI195" si="360">PH193+1</f>
        <v>2</v>
      </c>
      <c r="PJ193" s="12">
        <f t="shared" ref="PJ193:PJ195" si="361">PI193+1</f>
        <v>3</v>
      </c>
      <c r="PK193" s="12">
        <f>PJ193+1</f>
        <v>4</v>
      </c>
      <c r="PL193" s="12">
        <f t="shared" ref="PL193:PL195" si="362">PK193+1</f>
        <v>5</v>
      </c>
      <c r="PM193" s="12">
        <f t="shared" ref="PM193:PM195" si="363">PL193+1</f>
        <v>6</v>
      </c>
      <c r="PN193" s="12"/>
      <c r="PO193" s="12"/>
      <c r="PP193" s="12"/>
      <c r="PQ193" s="12">
        <v>1</v>
      </c>
      <c r="PR193" s="12">
        <v>2</v>
      </c>
      <c r="PS193" s="12">
        <v>3</v>
      </c>
      <c r="PT193" s="12">
        <v>4</v>
      </c>
      <c r="PU193" s="12">
        <v>5</v>
      </c>
      <c r="PV193" s="13">
        <v>6</v>
      </c>
    </row>
    <row r="194" spans="1:538" ht="15.75" thickBot="1" x14ac:dyDescent="0.3">
      <c r="A194" t="s">
        <v>1188</v>
      </c>
      <c r="B194" t="s">
        <v>1208</v>
      </c>
      <c r="C194" t="s">
        <v>1012</v>
      </c>
      <c r="P194" t="s">
        <v>1011</v>
      </c>
      <c r="T194" s="14" t="s">
        <v>554</v>
      </c>
      <c r="U194">
        <v>61</v>
      </c>
      <c r="W194" t="s">
        <v>1180</v>
      </c>
      <c r="X194" t="str">
        <f>IF(COUNTIF(X$1:X193,X193)&gt;7,REPLACE(X193,LEN(X193),1,VALUE(RIGHT(X193,1))+1),X193)</f>
        <v>A3.41</v>
      </c>
      <c r="Y194" s="43" cm="1">
        <f t="array" ref="Y194">IF(COUNTIFS($X$2:$X194,$X194)=1,"1",VALUE(SUBSTITUTE(INDEX(Y:Y,_xlfn.XMATCH($X194,$X$1:$X193,0,-1)),"A",""))+INDEX(Z:Z,_xlfn.XMATCH($X194,$X$1:$X193,0,-1))+1)</f>
        <v>3</v>
      </c>
      <c r="Z194" s="46" cm="1">
        <f t="array" ref="Z194">SUM(IF(ISNUMBER(FIND("TmAi",$BE$1:$AAL$1)),IF(IFERROR(ISODD(SUBSTITUTE($BE194:$AAL194,"A","")),FALSE),IF(ISODD(SUBSTITUTE($BE194:$AAL194,"A","")),1,0),0)))</f>
        <v>1</v>
      </c>
      <c r="AA194" t="str">
        <f t="shared" si="229"/>
        <v>5A</v>
      </c>
      <c r="AB194" t="str">
        <f t="shared" si="230"/>
        <v>5B</v>
      </c>
      <c r="AP194" t="s">
        <v>137</v>
      </c>
      <c r="AR194" t="s">
        <v>1207</v>
      </c>
      <c r="AS194" t="s">
        <v>396</v>
      </c>
      <c r="OG194" s="27" t="str">
        <f t="shared" ref="OG194:OG195" si="364">CONCATENATE("XT",$U194)</f>
        <v>XT61</v>
      </c>
      <c r="OH194" t="s">
        <v>1189</v>
      </c>
      <c r="OI194" t="s">
        <v>1324</v>
      </c>
      <c r="OL194" t="str">
        <f t="shared" ref="OL194:OL195" si="365">CONCATENATE(REPLACE($AA194,LEN($AA194),1,"")+1,RIGHT($AA194))</f>
        <v>6A</v>
      </c>
      <c r="OM194" t="str">
        <f t="shared" ref="OM194:OM195" si="366">CONCATENATE(REPLACE($AB194,LEN($AB194),1,"")+1,RIGHT($AB194))</f>
        <v>6B</v>
      </c>
      <c r="ON194" t="str">
        <f t="shared" ref="ON194:ON195" si="367">CONCATENATE(REPLACE(OL194,LEN(OL194),1,"")+1,RIGHT(OL194))</f>
        <v>7A</v>
      </c>
      <c r="OO194" t="str">
        <f t="shared" si="351"/>
        <v>7B</v>
      </c>
      <c r="OP194" t="str">
        <f t="shared" si="352"/>
        <v>8A</v>
      </c>
      <c r="OQ194" t="str">
        <f t="shared" si="353"/>
        <v>8B</v>
      </c>
      <c r="OV194" t="str">
        <f>CONCATENATE($T194,"-AI",REPLACE($X194,1,3,""),"-",$AA194)</f>
        <v>F0-AI41-5A</v>
      </c>
      <c r="OW194" t="str">
        <f>CONCATENATE($T194,"-AI",REPLACE($X194,1,3,""),"-",$AB194)</f>
        <v>F0-AI41-5B</v>
      </c>
      <c r="OX194" t="str">
        <f t="shared" si="354"/>
        <v>F0-AI41-6A</v>
      </c>
      <c r="OY194" t="str">
        <f t="shared" si="355"/>
        <v>F0-AI41-6B</v>
      </c>
      <c r="OZ194" t="str">
        <f t="shared" si="356"/>
        <v>F0-AI41-7A</v>
      </c>
      <c r="PA194" t="str">
        <f t="shared" si="357"/>
        <v>F0-AI41-7B</v>
      </c>
      <c r="PB194" t="str">
        <f t="shared" si="358"/>
        <v>F0-AI41-8A</v>
      </c>
      <c r="PC194" t="str">
        <f t="shared" si="359"/>
        <v>F0-AI41-8B</v>
      </c>
      <c r="PH194" cm="1">
        <f t="array" ref="PH194">IF(COUNTIFS($U$2:$U194,$U194)=1,1,INDEX(PH:PH,_xlfn.XMATCH($U194,$U$1:$U193,0,-1))+COUNT(PH193:PM193))</f>
        <v>7</v>
      </c>
      <c r="PI194">
        <f t="shared" si="360"/>
        <v>8</v>
      </c>
      <c r="PJ194">
        <f t="shared" si="361"/>
        <v>9</v>
      </c>
      <c r="PK194">
        <f t="shared" ref="PK194:PK195" si="368">PJ194+1</f>
        <v>10</v>
      </c>
      <c r="PL194">
        <f t="shared" si="362"/>
        <v>11</v>
      </c>
      <c r="PM194">
        <f t="shared" si="363"/>
        <v>12</v>
      </c>
      <c r="PQ194">
        <v>7</v>
      </c>
      <c r="PR194">
        <v>8</v>
      </c>
      <c r="PS194">
        <v>9</v>
      </c>
      <c r="PT194">
        <v>10</v>
      </c>
      <c r="PU194">
        <v>11</v>
      </c>
      <c r="PV194" s="16">
        <v>12</v>
      </c>
    </row>
    <row r="195" spans="1:538" ht="15.75" thickBot="1" x14ac:dyDescent="0.3">
      <c r="A195" t="s">
        <v>1190</v>
      </c>
      <c r="B195" t="s">
        <v>1209</v>
      </c>
      <c r="C195" t="s">
        <v>1012</v>
      </c>
      <c r="P195" t="s">
        <v>1047</v>
      </c>
      <c r="T195" s="14" t="s">
        <v>554</v>
      </c>
      <c r="U195">
        <v>61</v>
      </c>
      <c r="W195" t="s">
        <v>1182</v>
      </c>
      <c r="X195" s="33" t="str">
        <f>IF(COUNTIF(X$1:X194,X194)&gt;7,REPLACE(X194,LEN(X194),1,VALUE(RIGHT(X194,1))+1),X194)</f>
        <v>A3.41</v>
      </c>
      <c r="Y195" s="45" cm="1">
        <f t="array" ref="Y195">IF(COUNTIFS($X$2:$X195,$X195)=1,"1",VALUE(SUBSTITUTE(INDEX(Y:Y,_xlfn.XMATCH($X195,$X$1:$X194,0,-1)),"A",""))+INDEX(Z:Z,_xlfn.XMATCH($X195,$X$1:$X194,0,-1))+1)</f>
        <v>5</v>
      </c>
      <c r="Z195" s="46" cm="1">
        <f t="array" ref="Z195">SUM(IF(ISNUMBER(FIND("TmAi",$BE$1:$AAL$1)),IF(IFERROR(ISODD(SUBSTITUTE($BE195:$AAL195,"A","")),FALSE),IF(ISODD(SUBSTITUTE($BE195:$AAL195,"A","")),1,0),0)))</f>
        <v>2</v>
      </c>
      <c r="AA195" t="str">
        <f t="shared" si="229"/>
        <v>9A</v>
      </c>
      <c r="AB195" t="str">
        <f t="shared" si="230"/>
        <v>9B</v>
      </c>
      <c r="AP195" t="s">
        <v>137</v>
      </c>
      <c r="AR195" t="s">
        <v>1210</v>
      </c>
      <c r="AS195" t="s">
        <v>396</v>
      </c>
      <c r="OG195" s="27" t="str">
        <f t="shared" si="364"/>
        <v>XT61</v>
      </c>
      <c r="OH195" t="s">
        <v>1191</v>
      </c>
      <c r="OI195" t="s">
        <v>1325</v>
      </c>
      <c r="OJ195" t="s">
        <v>1321</v>
      </c>
      <c r="OK195" t="s">
        <v>1326</v>
      </c>
      <c r="OL195" t="str">
        <f t="shared" si="365"/>
        <v>10A</v>
      </c>
      <c r="OM195" t="str">
        <f t="shared" si="366"/>
        <v>10B</v>
      </c>
      <c r="ON195" t="str">
        <f t="shared" si="367"/>
        <v>11A</v>
      </c>
      <c r="OO195" t="str">
        <f t="shared" si="351"/>
        <v>11B</v>
      </c>
      <c r="OP195" t="str">
        <f t="shared" si="352"/>
        <v>12A</v>
      </c>
      <c r="OQ195" t="str">
        <f t="shared" si="353"/>
        <v>12B</v>
      </c>
      <c r="OR195" t="str">
        <f t="shared" ref="OR195" si="369">CONCATENATE(REPLACE(OP195,LEN(OP195),1,"")+1,RIGHT(OP195))</f>
        <v>13A</v>
      </c>
      <c r="OS195" t="str">
        <f t="shared" ref="OS195" si="370">CONCATENATE(REPLACE(OQ195,LEN(OQ195),1,"")+1,RIGHT(OQ195))</f>
        <v>13B</v>
      </c>
      <c r="OT195" t="str">
        <f t="shared" ref="OT195" si="371">CONCATENATE(REPLACE(OR195,LEN(OR195),1,"")+1,RIGHT(OR195))</f>
        <v>14A</v>
      </c>
      <c r="OU195" t="str">
        <f t="shared" ref="OU195" si="372">CONCATENATE(REPLACE(OS195,LEN(OS195),1,"")+1,RIGHT(OS195))</f>
        <v>14B</v>
      </c>
      <c r="OV195" t="str">
        <f>CONCATENATE($T195,"-AI",REPLACE($X195,1,3,""),"-",$AA195)</f>
        <v>F0-AI41-9A</v>
      </c>
      <c r="OW195" t="str">
        <f>CONCATENATE($T195,"-AI",REPLACE($X195,1,3,""),"-",$AB195)</f>
        <v>F0-AI41-9B</v>
      </c>
      <c r="OX195" t="str">
        <f t="shared" si="354"/>
        <v>F0-AI41-10A</v>
      </c>
      <c r="OY195" t="str">
        <f t="shared" si="355"/>
        <v>F0-AI41-10B</v>
      </c>
      <c r="OZ195" t="str">
        <f t="shared" si="356"/>
        <v>F0-AI41-11A</v>
      </c>
      <c r="PA195" t="str">
        <f t="shared" si="357"/>
        <v>F0-AI41-11B</v>
      </c>
      <c r="PB195" t="str">
        <f t="shared" si="358"/>
        <v>F0-AI41-12A</v>
      </c>
      <c r="PC195" t="str">
        <f t="shared" si="359"/>
        <v>F0-AI41-12B</v>
      </c>
      <c r="PD195" t="str">
        <f t="shared" ref="PD195" si="373">CONCATENATE($T195,"-AI",REPLACE($X195,1,3,""),"-",OR195)</f>
        <v>F0-AI41-13A</v>
      </c>
      <c r="PE195" t="str">
        <f t="shared" ref="PE195" si="374">CONCATENATE($T195,"-AI",REPLACE($X195,1,3,""),"-",OS195)</f>
        <v>F0-AI41-13B</v>
      </c>
      <c r="PF195" t="str">
        <f t="shared" ref="PF195" si="375">CONCATENATE($T195,"-AI",REPLACE($X195,1,3,""),"-",OT195)</f>
        <v>F0-AI41-14A</v>
      </c>
      <c r="PG195" t="str">
        <f t="shared" ref="PG195" si="376">CONCATENATE($T195,"-AI",REPLACE($X195,1,3,""),"-",OU195)</f>
        <v>F0-AI41-14B</v>
      </c>
      <c r="PH195" cm="1">
        <f t="array" ref="PH195">IF(COUNTIFS($U$2:$U195,$U195)=1,1,INDEX(PH:PH,_xlfn.XMATCH($U195,$U$1:$U194,0,-1))+COUNT(PH194:PM194))</f>
        <v>13</v>
      </c>
      <c r="PI195">
        <f t="shared" si="360"/>
        <v>14</v>
      </c>
      <c r="PJ195">
        <f t="shared" si="361"/>
        <v>15</v>
      </c>
      <c r="PK195">
        <f t="shared" si="368"/>
        <v>16</v>
      </c>
      <c r="PL195">
        <f t="shared" si="362"/>
        <v>17</v>
      </c>
      <c r="PM195">
        <f t="shared" si="363"/>
        <v>18</v>
      </c>
      <c r="PN195">
        <f t="shared" ref="PN195" si="377">PM195+1</f>
        <v>19</v>
      </c>
      <c r="PO195">
        <f t="shared" ref="PO195" si="378">PN195+1</f>
        <v>20</v>
      </c>
      <c r="PP195">
        <f t="shared" ref="PP195" si="379">PO195+1</f>
        <v>21</v>
      </c>
      <c r="PQ195">
        <v>1</v>
      </c>
      <c r="PR195">
        <v>2</v>
      </c>
      <c r="PS195">
        <v>3</v>
      </c>
      <c r="PT195">
        <v>4</v>
      </c>
      <c r="PU195">
        <v>5</v>
      </c>
      <c r="PV195">
        <v>6</v>
      </c>
      <c r="PW195" s="23">
        <v>7</v>
      </c>
      <c r="PX195" s="23">
        <v>8</v>
      </c>
      <c r="PY195" s="24">
        <v>9</v>
      </c>
    </row>
    <row r="196" spans="1:538" ht="15.75" thickBot="1" x14ac:dyDescent="0.3">
      <c r="A196" t="s">
        <v>1192</v>
      </c>
      <c r="B196" t="s">
        <v>1211</v>
      </c>
      <c r="P196" t="s">
        <v>482</v>
      </c>
      <c r="T196" s="14" t="s">
        <v>554</v>
      </c>
      <c r="U196">
        <v>61</v>
      </c>
      <c r="W196" t="s">
        <v>1184</v>
      </c>
      <c r="X196" t="s">
        <v>2986</v>
      </c>
      <c r="Y196" s="43" t="str" cm="1">
        <f t="array" ref="Y196">IF(COUNTIFS($X$2:$X196,$X196)=1,"1",VALUE(SUBSTITUTE(INDEX(Y:Y,_xlfn.XMATCH($X196,$X$1:$X195,0,-1)),"A",""))+INDEX(Z:Z,_xlfn.XMATCH($X196,$X$1:$X195,0,-1))+1)</f>
        <v>1</v>
      </c>
      <c r="Z196" s="46" cm="1">
        <f t="array" ref="Z196">SUM(IF(ISNUMBER(FIND("TmAi",$BE$1:$AAL$1)),IF(IFERROR(ISODD(SUBSTITUTE($BE196:$AAL196,"A","")),FALSE),IF(ISODD(SUBSTITUTE($BE196:$AAL196,"A","")),1,0),0)))</f>
        <v>0</v>
      </c>
      <c r="AA196" t="str">
        <f t="shared" ref="AA196" si="380">CONCATENATE($Y196*2-1,"B")</f>
        <v>1B</v>
      </c>
      <c r="AB196" t="str">
        <f t="shared" ref="AB196" si="381">CONCATENATE($Y196*2,"B")</f>
        <v>2B</v>
      </c>
      <c r="AP196" t="s">
        <v>137</v>
      </c>
      <c r="AQ196" t="s">
        <v>1142</v>
      </c>
      <c r="AS196" t="s">
        <v>396</v>
      </c>
      <c r="JZ196" s="27" t="str">
        <f>CONCATENATE("XT",U196)</f>
        <v>XT61</v>
      </c>
      <c r="KC196" t="str">
        <f>CONCATENATE(T196,"-AI",REPLACE($X196,1,3,""),"-",AA196)</f>
        <v>F0-AI26-1B</v>
      </c>
      <c r="KD196" t="str">
        <f>CONCATENATE(T196,"-AI",REPLACE($X196,1,3,""),"-",AB196)</f>
        <v>F0-AI26-2B</v>
      </c>
      <c r="KI196">
        <v>22</v>
      </c>
      <c r="KJ196">
        <f t="shared" ref="KJ196" si="382">KI196+1</f>
        <v>23</v>
      </c>
      <c r="KK196">
        <f t="shared" ref="KK196" si="383">KJ196+1</f>
        <v>24</v>
      </c>
      <c r="KN196" t="s">
        <v>548</v>
      </c>
      <c r="KO196" s="16" t="s">
        <v>548</v>
      </c>
      <c r="KS196" s="16"/>
      <c r="OG196" s="27"/>
      <c r="PV196" s="16"/>
    </row>
    <row r="197" spans="1:538" ht="15.75" thickBot="1" x14ac:dyDescent="0.3">
      <c r="A197" t="s">
        <v>2367</v>
      </c>
      <c r="B197" s="33" t="s">
        <v>1212</v>
      </c>
      <c r="P197" t="s">
        <v>1061</v>
      </c>
      <c r="T197" s="14" t="s">
        <v>554</v>
      </c>
      <c r="U197">
        <v>61</v>
      </c>
      <c r="W197" t="s">
        <v>1185</v>
      </c>
      <c r="X197" s="33" t="str">
        <f>IF(COUNTIF(X$1:X196,X196)&gt;3,REPLACE(X196,LEN(X196),1,VALUE(RIGHT(X196,1))+1),X196)</f>
        <v>A3.26</v>
      </c>
      <c r="Y197" s="45" cm="1">
        <f t="array" ref="Y197">IF(COUNTIFS($X$2:$X197,$X197)=1,"1",VALUE(SUBSTITUTE(INDEX(Y:Y,_xlfn.XMATCH($X197,$X$1:$X196,0,-1)),"A",""))+INDEX(Z:Z,_xlfn.XMATCH($X197,$X$1:$X196,0,-1))+1)</f>
        <v>2</v>
      </c>
      <c r="Z197" s="46" cm="1">
        <f t="array" ref="Z197">SUM(IF(ISNUMBER(FIND("TmAi",$BE$1:$AAL$1)),IF(IFERROR(ISODD(SUBSTITUTE($BE197:$AAL197,"A","")),FALSE),IF(ISODD(SUBSTITUTE($BE197:$AAL197,"A","")),1,0),0)))</f>
        <v>11</v>
      </c>
      <c r="AA197" t="str">
        <f t="shared" si="229"/>
        <v>3A</v>
      </c>
      <c r="AB197" t="str">
        <f t="shared" si="230"/>
        <v>3B</v>
      </c>
      <c r="AP197" t="s">
        <v>137</v>
      </c>
      <c r="AR197" t="s">
        <v>1213</v>
      </c>
      <c r="AS197" t="s">
        <v>396</v>
      </c>
      <c r="JZ197" s="27"/>
      <c r="KI197" cm="1">
        <f t="array" ref="KI197">IF(COUNTIFS($U$2:$U197,$U197)=1,1,INDEX(KI:KI,_xlfn.XMATCH(U197,U$1:U196,0,-1))+COUNT(KI196:KM196))</f>
        <v>25</v>
      </c>
      <c r="KO197" s="16"/>
      <c r="KS197" s="16"/>
      <c r="PZ197" s="25" t="str">
        <f>REPLACE(X197,FIND(".",X197)+1,3,MID(X197,FIND(".",X197)+1,3)+1)</f>
        <v>A3.27</v>
      </c>
      <c r="QA197" s="12" t="str">
        <f>CONCATENATE(VALUE(SUBSTITUTE($AB197,"B",""))+2,"B")</f>
        <v>5B</v>
      </c>
      <c r="QB197" s="12" t="str">
        <f>CONCATENATE(VALUE(SUBSTITUTE($AA197,"A",""))+2,"A")</f>
        <v>5A</v>
      </c>
      <c r="QC197" s="12" t="str">
        <f>CONCATENATE(VALUE(SUBSTITUTE(QA197,"B",""))+2,"B")</f>
        <v>7B</v>
      </c>
      <c r="QD197" s="12" t="str">
        <f>CONCATENATE(VALUE(SUBSTITUTE(QB197,"A",""))+2,"A")</f>
        <v>7A</v>
      </c>
      <c r="QE197" s="12" t="str">
        <f t="shared" ref="QE197" si="384">CONCATENATE(VALUE(SUBSTITUTE(QC197,"B",""))+2,"B")</f>
        <v>9B</v>
      </c>
      <c r="QF197" s="12" t="str">
        <f t="shared" ref="QF197" si="385">CONCATENATE(VALUE(SUBSTITUTE(QD197,"A",""))+2,"A")</f>
        <v>9A</v>
      </c>
      <c r="QG197" s="12" t="str">
        <f t="shared" ref="QG197" si="386">CONCATENATE(VALUE(SUBSTITUTE(QE197,"B",""))+2,"B")</f>
        <v>11B</v>
      </c>
      <c r="QH197" s="12" t="str">
        <f t="shared" ref="QH197" si="387">CONCATENATE(VALUE(SUBSTITUTE(QF197,"A",""))+2,"A")</f>
        <v>11A</v>
      </c>
      <c r="QI197" s="12" t="str">
        <f t="shared" ref="QI197" si="388">CONCATENATE(VALUE(SUBSTITUTE(QG197,"B",""))+2,"B")</f>
        <v>13B</v>
      </c>
      <c r="QJ197" s="12" t="str">
        <f t="shared" ref="QJ197" si="389">CONCATENATE(VALUE(SUBSTITUTE(QH197,"A",""))+2,"A")</f>
        <v>13A</v>
      </c>
      <c r="QK197" s="12" t="s">
        <v>135</v>
      </c>
      <c r="QL197" s="12" t="s">
        <v>136</v>
      </c>
      <c r="QM197" s="12" t="str">
        <f t="shared" ref="QM197" si="390">CONCATENATE(VALUE(SUBSTITUTE(QK197,"B",""))+2,"B")</f>
        <v>3B</v>
      </c>
      <c r="QN197" s="12" t="str">
        <f t="shared" ref="QN197" si="391">CONCATENATE(VALUE(SUBSTITUTE(QL197,"A",""))+2,"A")</f>
        <v>3A</v>
      </c>
      <c r="QO197" s="12" t="str">
        <f t="shared" ref="QO197" si="392">CONCATENATE(VALUE(SUBSTITUTE(QM197,"B",""))+2,"B")</f>
        <v>5B</v>
      </c>
      <c r="QP197" s="12" t="str">
        <f t="shared" ref="QP197" si="393">CONCATENATE(VALUE(SUBSTITUTE(QN197,"A",""))+2,"A")</f>
        <v>5A</v>
      </c>
      <c r="QQ197" s="12" t="str">
        <f t="shared" ref="QQ197" si="394">CONCATENATE(VALUE(SUBSTITUTE(QO197,"B",""))+2,"B")</f>
        <v>7B</v>
      </c>
      <c r="QR197" s="12" t="str">
        <f t="shared" ref="QR197" si="395">CONCATENATE(VALUE(SUBSTITUTE(QP197,"A",""))+2,"A")</f>
        <v>7A</v>
      </c>
      <c r="QS197" s="12" t="str">
        <f t="shared" ref="QS197" si="396">CONCATENATE(VALUE(SUBSTITUTE(QQ197,"B",""))+2,"B")</f>
        <v>9B</v>
      </c>
      <c r="QT197" s="12" t="str">
        <f t="shared" ref="QT197" si="397">CONCATENATE(VALUE(SUBSTITUTE(QR197,"A",""))+2,"A")</f>
        <v>9A</v>
      </c>
      <c r="QU197" s="12" t="str">
        <f t="shared" ref="QU197" si="398">CONCATENATE(VALUE(SUBSTITUTE(QS197,"B",""))+2,"B")</f>
        <v>11B</v>
      </c>
      <c r="QV197" s="12" t="str">
        <f t="shared" ref="QV197" si="399">CONCATENATE(VALUE(SUBSTITUTE(QT197,"A",""))+2,"A")</f>
        <v>11A</v>
      </c>
      <c r="QW197" s="12" t="str">
        <f>CONCATENATE($T197,"-AI",REPLACE($X197,1,3,""),"-",AB197)</f>
        <v>F0-AI26-3B</v>
      </c>
      <c r="QX197" s="12" t="str">
        <f>CONCATENATE($T197,"-AI",REPLACE($X197,1,3,""),"-",AA197)</f>
        <v>F0-AI26-3A</v>
      </c>
      <c r="QY197" s="12" t="str">
        <f>CONCATENATE($T197,"-AI",REPLACE($X197,1,3,""),"-",QA197)</f>
        <v>F0-AI26-5B</v>
      </c>
      <c r="QZ197" s="12" t="str">
        <f>CONCATENATE($T197,"-AI",REPLACE($X197,1,3,""),"-",QB197)</f>
        <v>F0-AI26-5A</v>
      </c>
      <c r="RA197" s="12" t="str">
        <f t="shared" ref="RA197" si="400">CONCATENATE($T197,"-AI",REPLACE($X197,1,3,""),"-",QC197)</f>
        <v>F0-AI26-7B</v>
      </c>
      <c r="RB197" s="12" t="str">
        <f t="shared" ref="RB197" si="401">CONCATENATE($T197,"-AI",REPLACE($X197,1,3,""),"-",QD197)</f>
        <v>F0-AI26-7A</v>
      </c>
      <c r="RC197" s="12" t="str">
        <f t="shared" ref="RC197" si="402">CONCATENATE($T197,"-AI",REPLACE($X197,1,3,""),"-",QE197)</f>
        <v>F0-AI26-9B</v>
      </c>
      <c r="RD197" s="12" t="str">
        <f t="shared" ref="RD197" si="403">CONCATENATE($T197,"-AI",REPLACE($X197,1,3,""),"-",QF197)</f>
        <v>F0-AI26-9A</v>
      </c>
      <c r="RE197" s="12" t="str">
        <f t="shared" ref="RE197" si="404">CONCATENATE($T197,"-AI",REPLACE($X197,1,3,""),"-",QG197)</f>
        <v>F0-AI26-11B</v>
      </c>
      <c r="RF197" s="12" t="str">
        <f t="shared" ref="RF197" si="405">CONCATENATE($T197,"-AI",REPLACE($X197,1,3,""),"-",QH197)</f>
        <v>F0-AI26-11A</v>
      </c>
      <c r="RG197" s="12" t="str">
        <f t="shared" ref="RG197" si="406">CONCATENATE($T197,"-AI",REPLACE($X197,1,3,""),"-",QI197)</f>
        <v>F0-AI26-13B</v>
      </c>
      <c r="RH197" s="12" t="str">
        <f t="shared" ref="RH197" si="407">CONCATENATE($T197,"-AI",REPLACE($X197,1,3,""),"-",QJ197)</f>
        <v>F0-AI26-13A</v>
      </c>
      <c r="RI197" s="12" t="str">
        <f>CONCATENATE($T197,"-AI",REPLACE($PZ197,1,3,""),"-",QK197)</f>
        <v>F0-AI27-1B</v>
      </c>
      <c r="RJ197" s="12" t="str">
        <f>CONCATENATE($T197,"-AI",REPLACE($PZ197,1,3,""),"-",QL197)</f>
        <v>F0-AI27-1A</v>
      </c>
      <c r="RK197" s="12" t="str">
        <f>CONCATENATE($T197,"-AI",REPLACE($PZ197,1,3,""),"-",QM197)</f>
        <v>F0-AI27-3B</v>
      </c>
      <c r="RL197" s="12" t="str">
        <f>CONCATENATE($T197,"-AI",REPLACE($PZ197,1,3,""),"-",QN197)</f>
        <v>F0-AI27-3A</v>
      </c>
      <c r="RM197" s="12" t="str">
        <f>CONCATENATE($T197,"-AI",REPLACE($PZ197,1,3,""),"-",QO197)</f>
        <v>F0-AI27-5B</v>
      </c>
      <c r="RN197" s="12" t="str">
        <f>CONCATENATE($T197,"-AI",REPLACE($PZ197,1,3,""),"-",QP197)</f>
        <v>F0-AI27-5A</v>
      </c>
      <c r="RO197" s="12" t="str">
        <f>CONCATENATE($T197,"-AI",REPLACE($PZ197,1,3,""),"-",QQ197)</f>
        <v>F0-AI27-7B</v>
      </c>
      <c r="RP197" s="12" t="str">
        <f>CONCATENATE($T197,"-AI",REPLACE($PZ197,1,3,""),"-",QR197)</f>
        <v>F0-AI27-7A</v>
      </c>
      <c r="RQ197" s="12" t="str">
        <f>CONCATENATE($T197,"-AI",REPLACE($PZ197,1,3,""),"-",QS197)</f>
        <v>F0-AI27-9B</v>
      </c>
      <c r="RR197" s="12" t="str">
        <f>CONCATENATE($T197,"-AI",REPLACE($PZ197,1,3,""),"-",QT197)</f>
        <v>F0-AI27-9A</v>
      </c>
      <c r="RS197" s="12" t="str">
        <f>CONCATENATE($T197,"-AI",REPLACE($PZ197,1,3,""),"-",QU197)</f>
        <v>F0-AI27-11B</v>
      </c>
      <c r="RT197" s="12" t="str">
        <f>CONCATENATE($T197,"-AI",REPLACE($PZ197,1,3,""),"-",QV197)</f>
        <v>F0-AI27-11A</v>
      </c>
      <c r="RU197" s="12" t="str">
        <f t="shared" ref="RU197" si="408">CONCATENATE("XT",$U197)</f>
        <v>XT61</v>
      </c>
      <c r="RV197" s="12">
        <v>25</v>
      </c>
      <c r="RW197" s="12">
        <f>RV197+1</f>
        <v>26</v>
      </c>
      <c r="RX197" s="12">
        <f t="shared" ref="RX197:ST197" si="409">RW197+1</f>
        <v>27</v>
      </c>
      <c r="RY197" s="12">
        <f t="shared" si="409"/>
        <v>28</v>
      </c>
      <c r="RZ197" s="12">
        <f t="shared" si="409"/>
        <v>29</v>
      </c>
      <c r="SA197" s="12">
        <f t="shared" si="409"/>
        <v>30</v>
      </c>
      <c r="SB197" s="12">
        <f t="shared" si="409"/>
        <v>31</v>
      </c>
      <c r="SC197" s="12">
        <f t="shared" si="409"/>
        <v>32</v>
      </c>
      <c r="SD197" s="12">
        <f t="shared" si="409"/>
        <v>33</v>
      </c>
      <c r="SE197" s="12">
        <f t="shared" si="409"/>
        <v>34</v>
      </c>
      <c r="SF197" s="12">
        <f t="shared" si="409"/>
        <v>35</v>
      </c>
      <c r="SG197" s="12">
        <f t="shared" si="409"/>
        <v>36</v>
      </c>
      <c r="SH197" s="12">
        <f t="shared" si="409"/>
        <v>37</v>
      </c>
      <c r="SI197" s="12">
        <f t="shared" si="409"/>
        <v>38</v>
      </c>
      <c r="SJ197" s="12">
        <f t="shared" si="409"/>
        <v>39</v>
      </c>
      <c r="SK197" s="12">
        <f t="shared" si="409"/>
        <v>40</v>
      </c>
      <c r="SL197" s="12">
        <f t="shared" si="409"/>
        <v>41</v>
      </c>
      <c r="SM197" s="12">
        <f t="shared" si="409"/>
        <v>42</v>
      </c>
      <c r="SN197" s="12">
        <f t="shared" si="409"/>
        <v>43</v>
      </c>
      <c r="SO197" s="12">
        <f t="shared" si="409"/>
        <v>44</v>
      </c>
      <c r="SP197" s="12">
        <f t="shared" si="409"/>
        <v>45</v>
      </c>
      <c r="SQ197" s="12">
        <f t="shared" si="409"/>
        <v>46</v>
      </c>
      <c r="SR197" s="12">
        <f t="shared" si="409"/>
        <v>47</v>
      </c>
      <c r="SS197" s="12">
        <f t="shared" si="409"/>
        <v>48</v>
      </c>
      <c r="ST197" s="12">
        <f t="shared" si="409"/>
        <v>49</v>
      </c>
      <c r="SU197" s="12" t="s">
        <v>1194</v>
      </c>
      <c r="SV197" s="12" t="s">
        <v>1195</v>
      </c>
      <c r="SW197" s="12" t="s">
        <v>1196</v>
      </c>
      <c r="SX197" s="12" t="s">
        <v>1197</v>
      </c>
      <c r="SY197" s="12" t="s">
        <v>1198</v>
      </c>
      <c r="SZ197" s="12" t="s">
        <v>1199</v>
      </c>
      <c r="TA197" s="12" t="s">
        <v>1200</v>
      </c>
      <c r="TB197" s="12" t="s">
        <v>1201</v>
      </c>
      <c r="TC197" s="12" t="s">
        <v>1202</v>
      </c>
      <c r="TD197" s="12" t="s">
        <v>1203</v>
      </c>
      <c r="TE197" s="12" t="s">
        <v>1204</v>
      </c>
      <c r="TF197" s="12" t="s">
        <v>1205</v>
      </c>
      <c r="TG197" s="12" t="s">
        <v>1059</v>
      </c>
      <c r="TH197" s="12" t="s">
        <v>1128</v>
      </c>
      <c r="TI197" s="12" t="s">
        <v>1129</v>
      </c>
      <c r="TJ197" s="12" t="s">
        <v>1130</v>
      </c>
      <c r="TK197" s="12" t="s">
        <v>1132</v>
      </c>
      <c r="TL197" s="12" t="s">
        <v>1131</v>
      </c>
      <c r="TM197" s="12" t="s">
        <v>1133</v>
      </c>
      <c r="TN197" s="12" t="s">
        <v>1134</v>
      </c>
      <c r="TO197" s="12" t="s">
        <v>1135</v>
      </c>
      <c r="TP197" s="12" t="s">
        <v>1136</v>
      </c>
      <c r="TQ197" s="12" t="s">
        <v>1137</v>
      </c>
      <c r="TR197" s="13" t="s">
        <v>1138</v>
      </c>
    </row>
    <row r="198" spans="1:538" x14ac:dyDescent="0.25">
      <c r="A198" t="s">
        <v>1223</v>
      </c>
      <c r="B198" s="34" t="s">
        <v>1215</v>
      </c>
      <c r="C198" t="s">
        <v>1012</v>
      </c>
      <c r="P198" t="s">
        <v>1011</v>
      </c>
      <c r="T198" s="14" t="s">
        <v>554</v>
      </c>
      <c r="U198">
        <v>62</v>
      </c>
      <c r="W198" t="s">
        <v>1243</v>
      </c>
      <c r="X198" t="s">
        <v>1982</v>
      </c>
      <c r="Y198" s="43" t="str" cm="1">
        <f t="array" ref="Y198">IF(COUNTIFS($X$2:$X198,$X198)=1,"1",VALUE(SUBSTITUTE(INDEX(Y:Y,_xlfn.XMATCH($X198,$X$1:$X197,0,-1)),"A",""))+INDEX(Z:Z,_xlfn.XMATCH($X198,$X$1:$X197,0,-1))+1)</f>
        <v>1</v>
      </c>
      <c r="Z198" s="46" cm="1">
        <f t="array" ref="Z198">SUM(IF(ISNUMBER(FIND("TmAi",$BE$1:$AAL$1)),IF(IFERROR(ISODD(SUBSTITUTE($BE198:$AAL198,"A","")),FALSE),IF(ISODD(SUBSTITUTE($BE198:$AAL198,"A","")),1,0),0)))</f>
        <v>1</v>
      </c>
      <c r="AA198" t="str">
        <f t="shared" si="229"/>
        <v>1A</v>
      </c>
      <c r="AB198" t="str">
        <f t="shared" si="230"/>
        <v>1B</v>
      </c>
      <c r="AP198" t="s">
        <v>137</v>
      </c>
      <c r="AR198" t="s">
        <v>1216</v>
      </c>
      <c r="AS198" t="s">
        <v>396</v>
      </c>
      <c r="OG198" s="25" t="str">
        <f>CONCATENATE("XT",$U198)</f>
        <v>XT62</v>
      </c>
      <c r="OH198" s="12" t="s">
        <v>1224</v>
      </c>
      <c r="OI198" s="12" t="s">
        <v>1327</v>
      </c>
      <c r="OJ198" s="12"/>
      <c r="OK198" s="12"/>
      <c r="OL198" s="12" t="str">
        <f>CONCATENATE(REPLACE($AA198,LEN($AA198),1,"")+1,RIGHT($AA198))</f>
        <v>2A</v>
      </c>
      <c r="OM198" s="12" t="str">
        <f>CONCATENATE(REPLACE($AB198,LEN($AB198),1,"")+1,RIGHT($AB198))</f>
        <v>2B</v>
      </c>
      <c r="ON198" s="12" t="str">
        <f>CONCATENATE(REPLACE(OL198,LEN(OL198),1,"")+1,RIGHT(OL198))</f>
        <v>3A</v>
      </c>
      <c r="OO198" s="12" t="str">
        <f t="shared" ref="OO198:OO200" si="410">CONCATENATE(REPLACE(OM198,LEN(OM198),1,"")+1,RIGHT(OM198))</f>
        <v>3B</v>
      </c>
      <c r="OP198" s="12" t="str">
        <f t="shared" ref="OP198:OP200" si="411">CONCATENATE(REPLACE(ON198,LEN(ON198),1,"")+1,RIGHT(ON198))</f>
        <v>4A</v>
      </c>
      <c r="OQ198" s="12" t="str">
        <f t="shared" ref="OQ198:OQ200" si="412">CONCATENATE(REPLACE(OO198,LEN(OO198),1,"")+1,RIGHT(OO198))</f>
        <v>4B</v>
      </c>
      <c r="OR198" s="12"/>
      <c r="OS198" s="12"/>
      <c r="OT198" s="12"/>
      <c r="OU198" s="12"/>
      <c r="OV198" s="12" t="str">
        <f>CONCATENATE($T198,"-AI",REPLACE($X198,1,3,""),"-",$AA198)</f>
        <v>F0-AI42-1A</v>
      </c>
      <c r="OW198" s="12" t="str">
        <f>CONCATENATE($T198,"-AI",REPLACE($X198,1,3,""),"-",$AB198)</f>
        <v>F0-AI42-1B</v>
      </c>
      <c r="OX198" s="12" t="str">
        <f t="shared" ref="OX198:OX200" si="413">CONCATENATE($T198,"-AI",REPLACE($X198,1,3,""),"-",OL198)</f>
        <v>F0-AI42-2A</v>
      </c>
      <c r="OY198" s="12" t="str">
        <f t="shared" ref="OY198:OY200" si="414">CONCATENATE($T198,"-AI",REPLACE($X198,1,3,""),"-",OM198)</f>
        <v>F0-AI42-2B</v>
      </c>
      <c r="OZ198" s="12" t="str">
        <f t="shared" ref="OZ198:OZ200" si="415">CONCATENATE($T198,"-AI",REPLACE($X198,1,3,""),"-",ON198)</f>
        <v>F0-AI42-3A</v>
      </c>
      <c r="PA198" s="12" t="str">
        <f t="shared" ref="PA198:PA200" si="416">CONCATENATE($T198,"-AI",REPLACE($X198,1,3,""),"-",OO198)</f>
        <v>F0-AI42-3B</v>
      </c>
      <c r="PB198" s="12" t="str">
        <f t="shared" ref="PB198:PB200" si="417">CONCATENATE($T198,"-AI",REPLACE($X198,1,3,""),"-",OP198)</f>
        <v>F0-AI42-4A</v>
      </c>
      <c r="PC198" s="12" t="str">
        <f t="shared" ref="PC198:PC200" si="418">CONCATENATE($T198,"-AI",REPLACE($X198,1,3,""),"-",OQ198)</f>
        <v>F0-AI42-4B</v>
      </c>
      <c r="PD198" s="12"/>
      <c r="PE198" s="12"/>
      <c r="PF198" s="12"/>
      <c r="PG198" s="12"/>
      <c r="PH198" s="12" cm="1">
        <f t="array" ref="PH198">IF(COUNTIFS($U$2:$U198,$U198)=1,1,INDEX(PH:PH,_xlfn.XMATCH($U198,$U$1:EF197,0,-1))+COUNT(PH197:PM197))</f>
        <v>1</v>
      </c>
      <c r="PI198" s="12">
        <f t="shared" ref="PI198:PI200" si="419">PH198+1</f>
        <v>2</v>
      </c>
      <c r="PJ198" s="12">
        <f t="shared" ref="PJ198:PJ200" si="420">PI198+1</f>
        <v>3</v>
      </c>
      <c r="PK198" s="12">
        <f>PJ198+1</f>
        <v>4</v>
      </c>
      <c r="PL198" s="12">
        <f t="shared" ref="PL198:PL200" si="421">PK198+1</f>
        <v>5</v>
      </c>
      <c r="PM198" s="12">
        <f t="shared" ref="PM198:PM200" si="422">PL198+1</f>
        <v>6</v>
      </c>
      <c r="PN198" s="12"/>
      <c r="PO198" s="12"/>
      <c r="PP198" s="12"/>
      <c r="PQ198" s="12">
        <v>1</v>
      </c>
      <c r="PR198" s="12">
        <v>2</v>
      </c>
      <c r="PS198" s="12">
        <v>3</v>
      </c>
      <c r="PT198" s="12">
        <v>4</v>
      </c>
      <c r="PU198" s="12">
        <v>5</v>
      </c>
      <c r="PV198" s="13">
        <v>6</v>
      </c>
    </row>
    <row r="199" spans="1:538" ht="15.75" thickBot="1" x14ac:dyDescent="0.3">
      <c r="A199" t="s">
        <v>1225</v>
      </c>
      <c r="B199" t="s">
        <v>1217</v>
      </c>
      <c r="C199" t="s">
        <v>1012</v>
      </c>
      <c r="P199" t="s">
        <v>1011</v>
      </c>
      <c r="T199" s="14" t="s">
        <v>554</v>
      </c>
      <c r="U199">
        <v>62</v>
      </c>
      <c r="W199" t="s">
        <v>1244</v>
      </c>
      <c r="X199" t="str">
        <f>IF(COUNTIF(X$1:X198,X198)&gt;7,REPLACE(X198,LEN(X198),1,VALUE(RIGHT(X198,1))+1),X198)</f>
        <v>A3.42</v>
      </c>
      <c r="Y199" s="43" cm="1">
        <f t="array" ref="Y199">IF(COUNTIFS($X$2:$X199,$X199)=1,"1",VALUE(SUBSTITUTE(INDEX(Y:Y,_xlfn.XMATCH($X199,$X$1:$X198,0,-1)),"A",""))+INDEX(Z:Z,_xlfn.XMATCH($X199,$X$1:$X198,0,-1))+1)</f>
        <v>3</v>
      </c>
      <c r="Z199" s="46" cm="1">
        <f t="array" ref="Z199">SUM(IF(ISNUMBER(FIND("TmAi",$BE$1:$AAL$1)),IF(IFERROR(ISODD(SUBSTITUTE($BE199:$AAL199,"A","")),FALSE),IF(ISODD(SUBSTITUTE($BE199:$AAL199,"A","")),1,0),0)))</f>
        <v>1</v>
      </c>
      <c r="AA199" t="str">
        <f t="shared" si="229"/>
        <v>5A</v>
      </c>
      <c r="AB199" t="str">
        <f t="shared" si="230"/>
        <v>5B</v>
      </c>
      <c r="AP199" t="s">
        <v>137</v>
      </c>
      <c r="AR199" t="s">
        <v>1216</v>
      </c>
      <c r="AS199" t="s">
        <v>396</v>
      </c>
      <c r="OG199" s="27" t="str">
        <f t="shared" ref="OG199:OG200" si="423">CONCATENATE("XT",$U199)</f>
        <v>XT62</v>
      </c>
      <c r="OH199" t="s">
        <v>1226</v>
      </c>
      <c r="OI199" t="s">
        <v>1328</v>
      </c>
      <c r="OL199" t="str">
        <f t="shared" ref="OL199:OL200" si="424">CONCATENATE(REPLACE($AA199,LEN($AA199),1,"")+1,RIGHT($AA199))</f>
        <v>6A</v>
      </c>
      <c r="OM199" t="str">
        <f t="shared" ref="OM199:OM200" si="425">CONCATENATE(REPLACE($AB199,LEN($AB199),1,"")+1,RIGHT($AB199))</f>
        <v>6B</v>
      </c>
      <c r="ON199" t="str">
        <f t="shared" ref="ON199:ON200" si="426">CONCATENATE(REPLACE(OL199,LEN(OL199),1,"")+1,RIGHT(OL199))</f>
        <v>7A</v>
      </c>
      <c r="OO199" t="str">
        <f t="shared" si="410"/>
        <v>7B</v>
      </c>
      <c r="OP199" t="str">
        <f t="shared" si="411"/>
        <v>8A</v>
      </c>
      <c r="OQ199" t="str">
        <f t="shared" si="412"/>
        <v>8B</v>
      </c>
      <c r="OV199" t="str">
        <f>CONCATENATE($T199,"-AI",REPLACE($X199,1,3,""),"-",$AA199)</f>
        <v>F0-AI42-5A</v>
      </c>
      <c r="OW199" t="str">
        <f>CONCATENATE($T199,"-AI",REPLACE($X199,1,3,""),"-",$AB199)</f>
        <v>F0-AI42-5B</v>
      </c>
      <c r="OX199" t="str">
        <f t="shared" si="413"/>
        <v>F0-AI42-6A</v>
      </c>
      <c r="OY199" t="str">
        <f t="shared" si="414"/>
        <v>F0-AI42-6B</v>
      </c>
      <c r="OZ199" t="str">
        <f t="shared" si="415"/>
        <v>F0-AI42-7A</v>
      </c>
      <c r="PA199" t="str">
        <f t="shared" si="416"/>
        <v>F0-AI42-7B</v>
      </c>
      <c r="PB199" t="str">
        <f t="shared" si="417"/>
        <v>F0-AI42-8A</v>
      </c>
      <c r="PC199" t="str">
        <f t="shared" si="418"/>
        <v>F0-AI42-8B</v>
      </c>
      <c r="PH199" cm="1">
        <f t="array" ref="PH199">IF(COUNTIFS($U$2:$U199,$U199)=1,1,INDEX(PH:PH,_xlfn.XMATCH($U199,$U$1:$U198,0,-1))+COUNT(PH198:PM198))</f>
        <v>7</v>
      </c>
      <c r="PI199">
        <f t="shared" si="419"/>
        <v>8</v>
      </c>
      <c r="PJ199">
        <f t="shared" si="420"/>
        <v>9</v>
      </c>
      <c r="PK199">
        <f t="shared" ref="PK199:PK200" si="427">PJ199+1</f>
        <v>10</v>
      </c>
      <c r="PL199">
        <f t="shared" si="421"/>
        <v>11</v>
      </c>
      <c r="PM199">
        <f t="shared" si="422"/>
        <v>12</v>
      </c>
      <c r="PQ199">
        <v>7</v>
      </c>
      <c r="PR199">
        <v>8</v>
      </c>
      <c r="PS199">
        <v>9</v>
      </c>
      <c r="PT199">
        <v>10</v>
      </c>
      <c r="PU199">
        <v>11</v>
      </c>
      <c r="PV199" s="16">
        <v>12</v>
      </c>
    </row>
    <row r="200" spans="1:538" ht="15.75" thickBot="1" x14ac:dyDescent="0.3">
      <c r="A200" t="s">
        <v>1227</v>
      </c>
      <c r="B200" t="s">
        <v>1218</v>
      </c>
      <c r="C200" t="s">
        <v>1012</v>
      </c>
      <c r="P200" t="s">
        <v>1047</v>
      </c>
      <c r="T200" s="14" t="s">
        <v>554</v>
      </c>
      <c r="U200">
        <v>62</v>
      </c>
      <c r="W200" t="s">
        <v>1245</v>
      </c>
      <c r="X200" s="33" t="str">
        <f>IF(COUNTIF(X$1:X199,X199)&gt;7,REPLACE(X199,LEN(X199),1,VALUE(RIGHT(X199,1))+1),X199)</f>
        <v>A3.42</v>
      </c>
      <c r="Y200" s="45" cm="1">
        <f t="array" ref="Y200">IF(COUNTIFS($X$2:$X200,$X200)=1,"1",VALUE(SUBSTITUTE(INDEX(Y:Y,_xlfn.XMATCH($X200,$X$1:$X199,0,-1)),"A",""))+INDEX(Z:Z,_xlfn.XMATCH($X200,$X$1:$X199,0,-1))+1)</f>
        <v>5</v>
      </c>
      <c r="Z200" s="46" cm="1">
        <f t="array" ref="Z200">SUM(IF(ISNUMBER(FIND("TmAi",$BE$1:$AAL$1)),IF(IFERROR(ISODD(SUBSTITUTE($BE200:$AAL200,"A","")),FALSE),IF(ISODD(SUBSTITUTE($BE200:$AAL200,"A","")),1,0),0)))</f>
        <v>2</v>
      </c>
      <c r="AA200" t="str">
        <f t="shared" si="229"/>
        <v>9A</v>
      </c>
      <c r="AB200" t="str">
        <f t="shared" si="230"/>
        <v>9B</v>
      </c>
      <c r="AP200" t="s">
        <v>137</v>
      </c>
      <c r="AR200" t="s">
        <v>1219</v>
      </c>
      <c r="AS200" t="s">
        <v>396</v>
      </c>
      <c r="OG200" s="27" t="str">
        <f t="shared" si="423"/>
        <v>XT62</v>
      </c>
      <c r="OH200" t="s">
        <v>1228</v>
      </c>
      <c r="OI200" t="s">
        <v>1329</v>
      </c>
      <c r="OJ200" t="s">
        <v>1322</v>
      </c>
      <c r="OK200" t="s">
        <v>1330</v>
      </c>
      <c r="OL200" t="str">
        <f t="shared" si="424"/>
        <v>10A</v>
      </c>
      <c r="OM200" t="str">
        <f t="shared" si="425"/>
        <v>10B</v>
      </c>
      <c r="ON200" t="str">
        <f t="shared" si="426"/>
        <v>11A</v>
      </c>
      <c r="OO200" t="str">
        <f t="shared" si="410"/>
        <v>11B</v>
      </c>
      <c r="OP200" t="str">
        <f t="shared" si="411"/>
        <v>12A</v>
      </c>
      <c r="OQ200" t="str">
        <f t="shared" si="412"/>
        <v>12B</v>
      </c>
      <c r="OR200" t="str">
        <f t="shared" ref="OR200" si="428">CONCATENATE(REPLACE(OP200,LEN(OP200),1,"")+1,RIGHT(OP200))</f>
        <v>13A</v>
      </c>
      <c r="OS200" t="str">
        <f t="shared" ref="OS200" si="429">CONCATENATE(REPLACE(OQ200,LEN(OQ200),1,"")+1,RIGHT(OQ200))</f>
        <v>13B</v>
      </c>
      <c r="OT200" t="str">
        <f t="shared" ref="OT200" si="430">CONCATENATE(REPLACE(OR200,LEN(OR200),1,"")+1,RIGHT(OR200))</f>
        <v>14A</v>
      </c>
      <c r="OU200" t="str">
        <f t="shared" ref="OU200" si="431">CONCATENATE(REPLACE(OS200,LEN(OS200),1,"")+1,RIGHT(OS200))</f>
        <v>14B</v>
      </c>
      <c r="OV200" t="str">
        <f>CONCATENATE($T200,"-AI",REPLACE($X200,1,3,""),"-",$AA200)</f>
        <v>F0-AI42-9A</v>
      </c>
      <c r="OW200" t="str">
        <f>CONCATENATE($T200,"-AI",REPLACE($X200,1,3,""),"-",$AB200)</f>
        <v>F0-AI42-9B</v>
      </c>
      <c r="OX200" t="str">
        <f t="shared" si="413"/>
        <v>F0-AI42-10A</v>
      </c>
      <c r="OY200" t="str">
        <f t="shared" si="414"/>
        <v>F0-AI42-10B</v>
      </c>
      <c r="OZ200" t="str">
        <f t="shared" si="415"/>
        <v>F0-AI42-11A</v>
      </c>
      <c r="PA200" t="str">
        <f t="shared" si="416"/>
        <v>F0-AI42-11B</v>
      </c>
      <c r="PB200" t="str">
        <f t="shared" si="417"/>
        <v>F0-AI42-12A</v>
      </c>
      <c r="PC200" t="str">
        <f t="shared" si="418"/>
        <v>F0-AI42-12B</v>
      </c>
      <c r="PD200" t="str">
        <f t="shared" ref="PD200" si="432">CONCATENATE($T200,"-AI",REPLACE($X200,1,3,""),"-",OR200)</f>
        <v>F0-AI42-13A</v>
      </c>
      <c r="PE200" t="str">
        <f t="shared" ref="PE200" si="433">CONCATENATE($T200,"-AI",REPLACE($X200,1,3,""),"-",OS200)</f>
        <v>F0-AI42-13B</v>
      </c>
      <c r="PF200" t="str">
        <f t="shared" ref="PF200" si="434">CONCATENATE($T200,"-AI",REPLACE($X200,1,3,""),"-",OT200)</f>
        <v>F0-AI42-14A</v>
      </c>
      <c r="PG200" t="str">
        <f t="shared" ref="PG200" si="435">CONCATENATE($T200,"-AI",REPLACE($X200,1,3,""),"-",OU200)</f>
        <v>F0-AI42-14B</v>
      </c>
      <c r="PH200" cm="1">
        <f t="array" ref="PH200">IF(COUNTIFS($U$2:$U200,$U200)=1,1,INDEX(PH:PH,_xlfn.XMATCH($U200,$U$1:$U199,0,-1))+COUNT(PH199:PM199))</f>
        <v>13</v>
      </c>
      <c r="PI200">
        <f t="shared" si="419"/>
        <v>14</v>
      </c>
      <c r="PJ200">
        <f t="shared" si="420"/>
        <v>15</v>
      </c>
      <c r="PK200">
        <f t="shared" si="427"/>
        <v>16</v>
      </c>
      <c r="PL200">
        <f t="shared" si="421"/>
        <v>17</v>
      </c>
      <c r="PM200">
        <f t="shared" si="422"/>
        <v>18</v>
      </c>
      <c r="PN200">
        <f t="shared" ref="PN200" si="436">PM200+1</f>
        <v>19</v>
      </c>
      <c r="PO200">
        <f t="shared" ref="PO200" si="437">PN200+1</f>
        <v>20</v>
      </c>
      <c r="PP200">
        <f t="shared" ref="PP200" si="438">PO200+1</f>
        <v>21</v>
      </c>
      <c r="PQ200">
        <v>1</v>
      </c>
      <c r="PR200">
        <v>2</v>
      </c>
      <c r="PS200">
        <v>3</v>
      </c>
      <c r="PT200">
        <v>4</v>
      </c>
      <c r="PU200">
        <v>5</v>
      </c>
      <c r="PV200">
        <v>6</v>
      </c>
      <c r="PW200" s="23">
        <v>7</v>
      </c>
      <c r="PX200" s="23">
        <v>8</v>
      </c>
      <c r="PY200" s="24">
        <v>9</v>
      </c>
    </row>
    <row r="201" spans="1:538" ht="15.75" thickBot="1" x14ac:dyDescent="0.3">
      <c r="A201" t="s">
        <v>1229</v>
      </c>
      <c r="B201" t="s">
        <v>1220</v>
      </c>
      <c r="P201" t="s">
        <v>482</v>
      </c>
      <c r="T201" s="14" t="s">
        <v>554</v>
      </c>
      <c r="U201">
        <v>62</v>
      </c>
      <c r="W201" t="s">
        <v>1246</v>
      </c>
      <c r="X201" s="36" t="s">
        <v>1366</v>
      </c>
      <c r="Y201" s="47" t="str" cm="1">
        <f t="array" ref="Y201">IF(COUNTIFS($X$2:$X201,$X201)=1,"1",VALUE(SUBSTITUTE(INDEX(Y:Y,_xlfn.XMATCH($X201,$X$1:$X200,0,-1)),"A",""))+INDEX(Z:Z,_xlfn.XMATCH($X201,$X$1:$X200,0,-1))+1)</f>
        <v>1</v>
      </c>
      <c r="Z201" s="46" cm="1">
        <f t="array" ref="Z201">SUM(IF(ISNUMBER(FIND("TmAi",$BE$1:$AAL$1)),IF(IFERROR(ISODD(SUBSTITUTE($BE201:$AAL201,"A","")),FALSE),IF(ISODD(SUBSTITUTE($BE201:$AAL201,"A","")),1,0),0)))</f>
        <v>0</v>
      </c>
      <c r="AA201" t="str">
        <f t="shared" ref="AA201" si="439">CONCATENATE($Y201*2-1,"B")</f>
        <v>1B</v>
      </c>
      <c r="AB201" t="str">
        <f t="shared" ref="AB201" si="440">CONCATENATE($Y201*2,"B")</f>
        <v>2B</v>
      </c>
      <c r="AP201" t="s">
        <v>137</v>
      </c>
      <c r="AQ201" t="s">
        <v>1142</v>
      </c>
      <c r="AS201" t="s">
        <v>396</v>
      </c>
      <c r="JZ201" s="27" t="str">
        <f>CONCATENATE("XT",U201)</f>
        <v>XT62</v>
      </c>
      <c r="KC201" t="str">
        <f>CONCATENATE(T201,"-AI",REPLACE($X201,1,3,""),"-",AA201)</f>
        <v>F0-AI28-1B</v>
      </c>
      <c r="KD201" t="str">
        <f>CONCATENATE(T201,"-AI",REPLACE($X201,1,3,""),"-",AB201)</f>
        <v>F0-AI28-2B</v>
      </c>
      <c r="KI201">
        <v>22</v>
      </c>
      <c r="KJ201">
        <f t="shared" ref="KJ201" si="441">KI201+1</f>
        <v>23</v>
      </c>
      <c r="KK201">
        <f t="shared" ref="KK201" si="442">KJ201+1</f>
        <v>24</v>
      </c>
      <c r="KN201" t="s">
        <v>548</v>
      </c>
      <c r="KO201" s="16" t="s">
        <v>548</v>
      </c>
      <c r="KS201" s="16"/>
      <c r="OG201" s="27"/>
      <c r="PV201" s="16"/>
    </row>
    <row r="202" spans="1:538" ht="15.75" thickBot="1" x14ac:dyDescent="0.3">
      <c r="A202" t="s">
        <v>2368</v>
      </c>
      <c r="B202" s="33" t="s">
        <v>1221</v>
      </c>
      <c r="P202" t="s">
        <v>1061</v>
      </c>
      <c r="T202" s="14" t="s">
        <v>554</v>
      </c>
      <c r="U202">
        <v>62</v>
      </c>
      <c r="W202" t="s">
        <v>1249</v>
      </c>
      <c r="X202" s="33" t="str">
        <f>IF(COUNTIF(X$1:X201,X201)&gt;3,REPLACE(X201,LEN(X201),1,VALUE(RIGHT(X201,1))+1),X201)</f>
        <v>A3.28</v>
      </c>
      <c r="Y202" s="45" cm="1">
        <f t="array" ref="Y202">IF(COUNTIFS($X$2:$X202,$X202)=1,"1",VALUE(SUBSTITUTE(INDEX(Y:Y,_xlfn.XMATCH($X202,$X$1:$X201,0,-1)),"A",""))+INDEX(Z:Z,_xlfn.XMATCH($X202,$X$1:$X201,0,-1))+1)</f>
        <v>2</v>
      </c>
      <c r="Z202" s="46" cm="1">
        <f t="array" ref="Z202">SUM(IF(ISNUMBER(FIND("TmAi",$BE$1:$AAL$1)),IF(IFERROR(ISODD(SUBSTITUTE($BE202:$AAL202,"A","")),FALSE),IF(ISODD(SUBSTITUTE($BE202:$AAL202,"A","")),1,0),0)))</f>
        <v>11</v>
      </c>
      <c r="AA202" t="str">
        <f t="shared" si="229"/>
        <v>3A</v>
      </c>
      <c r="AB202" t="str">
        <f t="shared" si="230"/>
        <v>3B</v>
      </c>
      <c r="AP202" t="s">
        <v>137</v>
      </c>
      <c r="AR202" t="s">
        <v>1222</v>
      </c>
      <c r="AS202" t="s">
        <v>396</v>
      </c>
      <c r="JZ202" s="27"/>
      <c r="KI202" cm="1">
        <f t="array" ref="KI202">IF(COUNTIFS($U$2:$U202,$U202)=1,1,INDEX(KI:KI,_xlfn.XMATCH(U202,U$1:U201,0,-1))+COUNT(KI201:KM201))</f>
        <v>25</v>
      </c>
      <c r="KO202" s="16"/>
      <c r="KS202" s="16"/>
      <c r="PZ202" s="25" t="str">
        <f>REPLACE(X202,FIND(".",X202)+1,3,MID(X202,FIND(".",X202)+1,3)+1)</f>
        <v>A3.29</v>
      </c>
      <c r="QA202" s="12" t="str">
        <f>CONCATENATE(VALUE(SUBSTITUTE($AB202,"B",""))+2,"B")</f>
        <v>5B</v>
      </c>
      <c r="QB202" s="12" t="str">
        <f>CONCATENATE(VALUE(SUBSTITUTE($AA202,"A",""))+2,"A")</f>
        <v>5A</v>
      </c>
      <c r="QC202" s="12" t="str">
        <f>CONCATENATE(VALUE(SUBSTITUTE(QA202,"B",""))+2,"B")</f>
        <v>7B</v>
      </c>
      <c r="QD202" s="12" t="str">
        <f>CONCATENATE(VALUE(SUBSTITUTE(QB202,"A",""))+2,"A")</f>
        <v>7A</v>
      </c>
      <c r="QE202" s="12" t="str">
        <f t="shared" ref="QE202" si="443">CONCATENATE(VALUE(SUBSTITUTE(QC202,"B",""))+2,"B")</f>
        <v>9B</v>
      </c>
      <c r="QF202" s="12" t="str">
        <f t="shared" ref="QF202" si="444">CONCATENATE(VALUE(SUBSTITUTE(QD202,"A",""))+2,"A")</f>
        <v>9A</v>
      </c>
      <c r="QG202" s="12" t="str">
        <f t="shared" ref="QG202" si="445">CONCATENATE(VALUE(SUBSTITUTE(QE202,"B",""))+2,"B")</f>
        <v>11B</v>
      </c>
      <c r="QH202" s="12" t="str">
        <f t="shared" ref="QH202" si="446">CONCATENATE(VALUE(SUBSTITUTE(QF202,"A",""))+2,"A")</f>
        <v>11A</v>
      </c>
      <c r="QI202" s="12" t="str">
        <f t="shared" ref="QI202" si="447">CONCATENATE(VALUE(SUBSTITUTE(QG202,"B",""))+2,"B")</f>
        <v>13B</v>
      </c>
      <c r="QJ202" s="12" t="str">
        <f t="shared" ref="QJ202" si="448">CONCATENATE(VALUE(SUBSTITUTE(QH202,"A",""))+2,"A")</f>
        <v>13A</v>
      </c>
      <c r="QK202" s="12" t="s">
        <v>135</v>
      </c>
      <c r="QL202" s="12" t="s">
        <v>136</v>
      </c>
      <c r="QM202" s="12" t="str">
        <f t="shared" ref="QM202" si="449">CONCATENATE(VALUE(SUBSTITUTE(QK202,"B",""))+2,"B")</f>
        <v>3B</v>
      </c>
      <c r="QN202" s="12" t="str">
        <f t="shared" ref="QN202" si="450">CONCATENATE(VALUE(SUBSTITUTE(QL202,"A",""))+2,"A")</f>
        <v>3A</v>
      </c>
      <c r="QO202" s="12" t="str">
        <f t="shared" ref="QO202" si="451">CONCATENATE(VALUE(SUBSTITUTE(QM202,"B",""))+2,"B")</f>
        <v>5B</v>
      </c>
      <c r="QP202" s="12" t="str">
        <f t="shared" ref="QP202" si="452">CONCATENATE(VALUE(SUBSTITUTE(QN202,"A",""))+2,"A")</f>
        <v>5A</v>
      </c>
      <c r="QQ202" s="12" t="str">
        <f t="shared" ref="QQ202" si="453">CONCATENATE(VALUE(SUBSTITUTE(QO202,"B",""))+2,"B")</f>
        <v>7B</v>
      </c>
      <c r="QR202" s="12" t="str">
        <f t="shared" ref="QR202" si="454">CONCATENATE(VALUE(SUBSTITUTE(QP202,"A",""))+2,"A")</f>
        <v>7A</v>
      </c>
      <c r="QS202" s="12" t="str">
        <f t="shared" ref="QS202" si="455">CONCATENATE(VALUE(SUBSTITUTE(QQ202,"B",""))+2,"B")</f>
        <v>9B</v>
      </c>
      <c r="QT202" s="12" t="str">
        <f t="shared" ref="QT202" si="456">CONCATENATE(VALUE(SUBSTITUTE(QR202,"A",""))+2,"A")</f>
        <v>9A</v>
      </c>
      <c r="QU202" s="12" t="str">
        <f t="shared" ref="QU202" si="457">CONCATENATE(VALUE(SUBSTITUTE(QS202,"B",""))+2,"B")</f>
        <v>11B</v>
      </c>
      <c r="QV202" s="12" t="str">
        <f t="shared" ref="QV202" si="458">CONCATENATE(VALUE(SUBSTITUTE(QT202,"A",""))+2,"A")</f>
        <v>11A</v>
      </c>
      <c r="QW202" s="12" t="str">
        <f>CONCATENATE($T202,"-AI",REPLACE($X202,1,3,""),"-",AB202)</f>
        <v>F0-AI28-3B</v>
      </c>
      <c r="QX202" s="12" t="str">
        <f>CONCATENATE($T202,"-AI",REPLACE($X202,1,3,""),"-",AA202)</f>
        <v>F0-AI28-3A</v>
      </c>
      <c r="QY202" s="12" t="str">
        <f>CONCATENATE($T202,"-AI",REPLACE($X202,1,3,""),"-",QA202)</f>
        <v>F0-AI28-5B</v>
      </c>
      <c r="QZ202" s="12" t="str">
        <f>CONCATENATE($T202,"-AI",REPLACE($X202,1,3,""),"-",QB202)</f>
        <v>F0-AI28-5A</v>
      </c>
      <c r="RA202" s="12" t="str">
        <f t="shared" ref="RA202" si="459">CONCATENATE($T202,"-AI",REPLACE($X202,1,3,""),"-",QC202)</f>
        <v>F0-AI28-7B</v>
      </c>
      <c r="RB202" s="12" t="str">
        <f t="shared" ref="RB202" si="460">CONCATENATE($T202,"-AI",REPLACE($X202,1,3,""),"-",QD202)</f>
        <v>F0-AI28-7A</v>
      </c>
      <c r="RC202" s="12" t="str">
        <f t="shared" ref="RC202" si="461">CONCATENATE($T202,"-AI",REPLACE($X202,1,3,""),"-",QE202)</f>
        <v>F0-AI28-9B</v>
      </c>
      <c r="RD202" s="12" t="str">
        <f t="shared" ref="RD202" si="462">CONCATENATE($T202,"-AI",REPLACE($X202,1,3,""),"-",QF202)</f>
        <v>F0-AI28-9A</v>
      </c>
      <c r="RE202" s="12" t="str">
        <f t="shared" ref="RE202" si="463">CONCATENATE($T202,"-AI",REPLACE($X202,1,3,""),"-",QG202)</f>
        <v>F0-AI28-11B</v>
      </c>
      <c r="RF202" s="12" t="str">
        <f t="shared" ref="RF202" si="464">CONCATENATE($T202,"-AI",REPLACE($X202,1,3,""),"-",QH202)</f>
        <v>F0-AI28-11A</v>
      </c>
      <c r="RG202" s="12" t="str">
        <f t="shared" ref="RG202" si="465">CONCATENATE($T202,"-AI",REPLACE($X202,1,3,""),"-",QI202)</f>
        <v>F0-AI28-13B</v>
      </c>
      <c r="RH202" s="12" t="str">
        <f t="shared" ref="RH202" si="466">CONCATENATE($T202,"-AI",REPLACE($X202,1,3,""),"-",QJ202)</f>
        <v>F0-AI28-13A</v>
      </c>
      <c r="RI202" s="12" t="str">
        <f>CONCATENATE($T202,"-AI",REPLACE($PZ202,1,3,""),"-",QK202)</f>
        <v>F0-AI29-1B</v>
      </c>
      <c r="RJ202" s="12" t="str">
        <f>CONCATENATE($T202,"-AI",REPLACE($PZ202,1,3,""),"-",QL202)</f>
        <v>F0-AI29-1A</v>
      </c>
      <c r="RK202" s="12" t="str">
        <f>CONCATENATE($T202,"-AI",REPLACE($PZ202,1,3,""),"-",QM202)</f>
        <v>F0-AI29-3B</v>
      </c>
      <c r="RL202" s="12" t="str">
        <f>CONCATENATE($T202,"-AI",REPLACE($PZ202,1,3,""),"-",QN202)</f>
        <v>F0-AI29-3A</v>
      </c>
      <c r="RM202" s="12" t="str">
        <f>CONCATENATE($T202,"-AI",REPLACE($PZ202,1,3,""),"-",QO202)</f>
        <v>F0-AI29-5B</v>
      </c>
      <c r="RN202" s="12" t="str">
        <f>CONCATENATE($T202,"-AI",REPLACE($PZ202,1,3,""),"-",QP202)</f>
        <v>F0-AI29-5A</v>
      </c>
      <c r="RO202" s="12" t="str">
        <f>CONCATENATE($T202,"-AI",REPLACE($PZ202,1,3,""),"-",QQ202)</f>
        <v>F0-AI29-7B</v>
      </c>
      <c r="RP202" s="12" t="str">
        <f>CONCATENATE($T202,"-AI",REPLACE($PZ202,1,3,""),"-",QR202)</f>
        <v>F0-AI29-7A</v>
      </c>
      <c r="RQ202" s="12" t="str">
        <f>CONCATENATE($T202,"-AI",REPLACE($PZ202,1,3,""),"-",QS202)</f>
        <v>F0-AI29-9B</v>
      </c>
      <c r="RR202" s="12" t="str">
        <f>CONCATENATE($T202,"-AI",REPLACE($PZ202,1,3,""),"-",QT202)</f>
        <v>F0-AI29-9A</v>
      </c>
      <c r="RS202" s="12" t="str">
        <f>CONCATENATE($T202,"-AI",REPLACE($PZ202,1,3,""),"-",QU202)</f>
        <v>F0-AI29-11B</v>
      </c>
      <c r="RT202" s="12" t="str">
        <f>CONCATENATE($T202,"-AI",REPLACE($PZ202,1,3,""),"-",QV202)</f>
        <v>F0-AI29-11A</v>
      </c>
      <c r="RU202" s="12" t="str">
        <f t="shared" ref="RU202" si="467">CONCATENATE("XT",$U202)</f>
        <v>XT62</v>
      </c>
      <c r="RV202" s="12">
        <v>25</v>
      </c>
      <c r="RW202" s="12">
        <f>RV202+1</f>
        <v>26</v>
      </c>
      <c r="RX202" s="12">
        <f t="shared" ref="RX202:ST202" si="468">RW202+1</f>
        <v>27</v>
      </c>
      <c r="RY202" s="12">
        <f t="shared" si="468"/>
        <v>28</v>
      </c>
      <c r="RZ202" s="12">
        <f t="shared" si="468"/>
        <v>29</v>
      </c>
      <c r="SA202" s="12">
        <f t="shared" si="468"/>
        <v>30</v>
      </c>
      <c r="SB202" s="12">
        <f t="shared" si="468"/>
        <v>31</v>
      </c>
      <c r="SC202" s="12">
        <f t="shared" si="468"/>
        <v>32</v>
      </c>
      <c r="SD202" s="12">
        <f t="shared" si="468"/>
        <v>33</v>
      </c>
      <c r="SE202" s="12">
        <f t="shared" si="468"/>
        <v>34</v>
      </c>
      <c r="SF202" s="12">
        <f t="shared" si="468"/>
        <v>35</v>
      </c>
      <c r="SG202" s="12">
        <f t="shared" si="468"/>
        <v>36</v>
      </c>
      <c r="SH202" s="12">
        <f t="shared" si="468"/>
        <v>37</v>
      </c>
      <c r="SI202" s="12">
        <f t="shared" si="468"/>
        <v>38</v>
      </c>
      <c r="SJ202" s="12">
        <f t="shared" si="468"/>
        <v>39</v>
      </c>
      <c r="SK202" s="12">
        <f t="shared" si="468"/>
        <v>40</v>
      </c>
      <c r="SL202" s="12">
        <f t="shared" si="468"/>
        <v>41</v>
      </c>
      <c r="SM202" s="12">
        <f t="shared" si="468"/>
        <v>42</v>
      </c>
      <c r="SN202" s="12">
        <f t="shared" si="468"/>
        <v>43</v>
      </c>
      <c r="SO202" s="12">
        <f t="shared" si="468"/>
        <v>44</v>
      </c>
      <c r="SP202" s="12">
        <f t="shared" si="468"/>
        <v>45</v>
      </c>
      <c r="SQ202" s="12">
        <f t="shared" si="468"/>
        <v>46</v>
      </c>
      <c r="SR202" s="12">
        <f t="shared" si="468"/>
        <v>47</v>
      </c>
      <c r="SS202" s="12">
        <f t="shared" si="468"/>
        <v>48</v>
      </c>
      <c r="ST202" s="12">
        <f t="shared" si="468"/>
        <v>49</v>
      </c>
      <c r="SU202" s="12" t="s">
        <v>1231</v>
      </c>
      <c r="SV202" s="12" t="s">
        <v>1232</v>
      </c>
      <c r="SW202" s="12" t="s">
        <v>1233</v>
      </c>
      <c r="SX202" s="12" t="s">
        <v>1234</v>
      </c>
      <c r="SY202" s="12" t="s">
        <v>1235</v>
      </c>
      <c r="SZ202" s="12" t="s">
        <v>1236</v>
      </c>
      <c r="TA202" s="12" t="s">
        <v>1237</v>
      </c>
      <c r="TB202" s="12" t="s">
        <v>1238</v>
      </c>
      <c r="TC202" s="12" t="s">
        <v>1239</v>
      </c>
      <c r="TD202" s="12" t="s">
        <v>1240</v>
      </c>
      <c r="TE202" s="12" t="s">
        <v>1241</v>
      </c>
      <c r="TF202" s="12" t="s">
        <v>1242</v>
      </c>
      <c r="TG202" s="12" t="s">
        <v>1059</v>
      </c>
      <c r="TH202" s="12" t="s">
        <v>1128</v>
      </c>
      <c r="TI202" s="12" t="s">
        <v>1129</v>
      </c>
      <c r="TJ202" s="12" t="s">
        <v>1130</v>
      </c>
      <c r="TK202" s="12" t="s">
        <v>1132</v>
      </c>
      <c r="TL202" s="12" t="s">
        <v>1131</v>
      </c>
      <c r="TM202" s="12" t="s">
        <v>1133</v>
      </c>
      <c r="TN202" s="12" t="s">
        <v>1134</v>
      </c>
      <c r="TO202" s="12" t="s">
        <v>1135</v>
      </c>
      <c r="TP202" s="12" t="s">
        <v>1136</v>
      </c>
      <c r="TQ202" s="12" t="s">
        <v>1137</v>
      </c>
      <c r="TR202" s="13" t="s">
        <v>1138</v>
      </c>
    </row>
    <row r="203" spans="1:538" x14ac:dyDescent="0.25">
      <c r="A203" t="s">
        <v>1251</v>
      </c>
      <c r="B203" s="34" t="s">
        <v>1310</v>
      </c>
      <c r="C203" t="s">
        <v>1012</v>
      </c>
      <c r="P203" t="s">
        <v>1011</v>
      </c>
      <c r="T203" s="14" t="s">
        <v>554</v>
      </c>
      <c r="U203">
        <v>63</v>
      </c>
      <c r="W203" t="s">
        <v>1250</v>
      </c>
      <c r="X203" s="36" t="s">
        <v>2983</v>
      </c>
      <c r="Y203" s="45" t="str" cm="1">
        <f t="array" ref="Y203">IF(COUNTIFS($X$2:$X203,$X203)=1,"1",VALUE(SUBSTITUTE(INDEX(Y:Y,_xlfn.XMATCH($X203,$X$1:$X202,0,-1)),"A",""))+INDEX(Z:Z,_xlfn.XMATCH($X203,$X$1:$X202,0,-1))+1)</f>
        <v>1</v>
      </c>
      <c r="Z203" s="46" cm="1">
        <f t="array" ref="Z203">SUM(IF(ISNUMBER(FIND("TmAi",$BE$1:$AAL$1)),IF(IFERROR(ISODD(SUBSTITUTE($BE203:$AAL203,"A","")),FALSE),IF(ISODD(SUBSTITUTE($BE203:$AAL203,"A","")),1,0),0)))</f>
        <v>1</v>
      </c>
      <c r="AA203" t="str">
        <f t="shared" si="229"/>
        <v>1A</v>
      </c>
      <c r="AB203" t="str">
        <f t="shared" si="230"/>
        <v>1B</v>
      </c>
      <c r="AP203" t="s">
        <v>137</v>
      </c>
      <c r="AR203" t="s">
        <v>1253</v>
      </c>
      <c r="AS203" t="s">
        <v>396</v>
      </c>
      <c r="OG203" s="25" t="str">
        <f>CONCATENATE("XT",$U203)</f>
        <v>XT63</v>
      </c>
      <c r="OH203" s="12" t="s">
        <v>1259</v>
      </c>
      <c r="OI203" s="12" t="s">
        <v>1312</v>
      </c>
      <c r="OJ203" s="12"/>
      <c r="OK203" s="12"/>
      <c r="OL203" s="12" t="str">
        <f>CONCATENATE(REPLACE($AA203,LEN($AA203),1,"")+1,RIGHT($AA203))</f>
        <v>2A</v>
      </c>
      <c r="OM203" s="12" t="str">
        <f>CONCATENATE(REPLACE($AB203,LEN($AB203),1,"")+1,RIGHT($AB203))</f>
        <v>2B</v>
      </c>
      <c r="ON203" s="12" t="str">
        <f>CONCATENATE(REPLACE(OL203,LEN(OL203),1,"")+1,RIGHT(OL203))</f>
        <v>3A</v>
      </c>
      <c r="OO203" s="12" t="str">
        <f t="shared" ref="OO203" si="469">CONCATENATE(REPLACE(OM203,LEN(OM203),1,"")+1,RIGHT(OM203))</f>
        <v>3B</v>
      </c>
      <c r="OP203" s="12" t="str">
        <f t="shared" ref="OP203" si="470">CONCATENATE(REPLACE(ON203,LEN(ON203),1,"")+1,RIGHT(ON203))</f>
        <v>4A</v>
      </c>
      <c r="OQ203" s="12" t="str">
        <f t="shared" ref="OQ203" si="471">CONCATENATE(REPLACE(OO203,LEN(OO203),1,"")+1,RIGHT(OO203))</f>
        <v>4B</v>
      </c>
      <c r="OR203" s="12"/>
      <c r="OS203" s="12"/>
      <c r="OT203" s="12"/>
      <c r="OU203" s="12"/>
      <c r="OV203" s="12" t="str">
        <f>CONCATENATE($T203,"-AI",REPLACE($X203,1,3,""),"-",$AA203)</f>
        <v>F0-AI43-1A</v>
      </c>
      <c r="OW203" s="12" t="str">
        <f>CONCATENATE($T203,"-AI",REPLACE($X203,1,3,""),"-",$AB203)</f>
        <v>F0-AI43-1B</v>
      </c>
      <c r="OX203" s="12" t="str">
        <f t="shared" ref="OX203" si="472">CONCATENATE($T203,"-AI",REPLACE($X203,1,3,""),"-",OL203)</f>
        <v>F0-AI43-2A</v>
      </c>
      <c r="OY203" s="12" t="str">
        <f t="shared" ref="OY203" si="473">CONCATENATE($T203,"-AI",REPLACE($X203,1,3,""),"-",OM203)</f>
        <v>F0-AI43-2B</v>
      </c>
      <c r="OZ203" s="12" t="str">
        <f t="shared" ref="OZ203" si="474">CONCATENATE($T203,"-AI",REPLACE($X203,1,3,""),"-",ON203)</f>
        <v>F0-AI43-3A</v>
      </c>
      <c r="PA203" s="12" t="str">
        <f t="shared" ref="PA203" si="475">CONCATENATE($T203,"-AI",REPLACE($X203,1,3,""),"-",OO203)</f>
        <v>F0-AI43-3B</v>
      </c>
      <c r="PB203" s="12" t="str">
        <f t="shared" ref="PB203" si="476">CONCATENATE($T203,"-AI",REPLACE($X203,1,3,""),"-",OP203)</f>
        <v>F0-AI43-4A</v>
      </c>
      <c r="PC203" s="12" t="str">
        <f t="shared" ref="PC203" si="477">CONCATENATE($T203,"-AI",REPLACE($X203,1,3,""),"-",OQ203)</f>
        <v>F0-AI43-4B</v>
      </c>
      <c r="PD203" s="12"/>
      <c r="PE203" s="12"/>
      <c r="PF203" s="12"/>
      <c r="PG203" s="12"/>
      <c r="PH203" s="12" cm="1">
        <f t="array" ref="PH203">IF(COUNTIFS($U$2:$U203,$U203)=1,1,INDEX(PH:PH,_xlfn.XMATCH($U203,$U$1:EF202,0,-1))+COUNT(PH202:PM202))</f>
        <v>1</v>
      </c>
      <c r="PI203" s="12">
        <f t="shared" ref="PI203" si="478">PH203+1</f>
        <v>2</v>
      </c>
      <c r="PJ203" s="12">
        <f t="shared" ref="PJ203" si="479">PI203+1</f>
        <v>3</v>
      </c>
      <c r="PK203" s="12">
        <f>PJ203+1</f>
        <v>4</v>
      </c>
      <c r="PL203" s="12">
        <f t="shared" ref="PL203" si="480">PK203+1</f>
        <v>5</v>
      </c>
      <c r="PM203" s="12">
        <f t="shared" ref="PM203" si="481">PL203+1</f>
        <v>6</v>
      </c>
      <c r="PN203" s="12"/>
      <c r="PO203" s="12"/>
      <c r="PP203" s="12"/>
      <c r="PQ203" s="12">
        <v>1</v>
      </c>
      <c r="PR203" s="12">
        <v>2</v>
      </c>
      <c r="PS203" s="12">
        <v>3</v>
      </c>
      <c r="PT203" s="12">
        <v>4</v>
      </c>
      <c r="PU203" s="12">
        <v>5</v>
      </c>
      <c r="PV203" s="13">
        <v>6</v>
      </c>
    </row>
    <row r="204" spans="1:538" ht="15.75" thickBot="1" x14ac:dyDescent="0.3">
      <c r="A204" t="s">
        <v>1255</v>
      </c>
      <c r="B204" s="33" t="s">
        <v>1341</v>
      </c>
      <c r="P204" t="s">
        <v>482</v>
      </c>
      <c r="T204" s="14" t="s">
        <v>554</v>
      </c>
      <c r="U204">
        <v>63</v>
      </c>
      <c r="W204" t="s">
        <v>1256</v>
      </c>
      <c r="X204" s="36" t="s">
        <v>1056</v>
      </c>
      <c r="Y204" s="45" t="str" cm="1">
        <f t="array" ref="Y204">IF(COUNTIFS($X$2:$X204,$X204)=1,"1",VALUE(SUBSTITUTE(INDEX(Y:Y,_xlfn.XMATCH($X204,$X$1:$X203,0,-1)),"A",""))+INDEX(Z:Z,_xlfn.XMATCH($X204,$X$1:$X203,0,-1))+1)</f>
        <v>1</v>
      </c>
      <c r="Z204" s="46" cm="1">
        <f t="array" ref="Z204">SUM(IF(ISNUMBER(FIND("TmAi",$BE$1:$AAL$1)),IF(IFERROR(ISODD(SUBSTITUTE($BE204:$AAL204,"A","")),FALSE),IF(ISODD(SUBSTITUTE($BE204:$AAL204,"A","")),1,0),0)))</f>
        <v>0</v>
      </c>
      <c r="AA204" t="str">
        <f t="shared" ref="AA204:AA220" si="482">CONCATENATE($Y204*2-1,"B")</f>
        <v>1B</v>
      </c>
      <c r="AB204" t="str">
        <f t="shared" ref="AB204:AB220" si="483">CONCATENATE($Y204*2,"B")</f>
        <v>2B</v>
      </c>
      <c r="AP204" t="s">
        <v>137</v>
      </c>
      <c r="AQ204" t="s">
        <v>1258</v>
      </c>
      <c r="AS204" t="s">
        <v>396</v>
      </c>
      <c r="JZ204" s="27" t="str">
        <f>CONCATENATE("XT",U204)</f>
        <v>XT63</v>
      </c>
      <c r="KC204" t="str">
        <f>CONCATENATE(T204,"-AI",REPLACE($X204,1,3,""),"-",AA204)</f>
        <v>F0-AI30-1B</v>
      </c>
      <c r="KD204" t="str">
        <f>CONCATENATE(T204,"-AI",REPLACE($X204,1,3,""),"-",AB204)</f>
        <v>F0-AI30-2B</v>
      </c>
      <c r="KI204">
        <v>7</v>
      </c>
      <c r="KJ204">
        <f t="shared" ref="KJ204" si="484">KI204+1</f>
        <v>8</v>
      </c>
      <c r="KK204">
        <f t="shared" ref="KK204" si="485">KJ204+1</f>
        <v>9</v>
      </c>
      <c r="KN204" t="s">
        <v>548</v>
      </c>
      <c r="KO204" s="16" t="s">
        <v>548</v>
      </c>
      <c r="KS204" s="16"/>
      <c r="OG204" s="27"/>
      <c r="PV204" s="16"/>
    </row>
    <row r="205" spans="1:538" x14ac:dyDescent="0.25">
      <c r="A205" t="s">
        <v>1263</v>
      </c>
      <c r="B205" s="34" t="s">
        <v>1311</v>
      </c>
      <c r="C205" t="s">
        <v>1012</v>
      </c>
      <c r="P205" t="s">
        <v>1011</v>
      </c>
      <c r="T205" s="14" t="s">
        <v>554</v>
      </c>
      <c r="U205">
        <v>64</v>
      </c>
      <c r="W205" t="s">
        <v>1260</v>
      </c>
      <c r="X205" s="36" t="s">
        <v>2983</v>
      </c>
      <c r="Y205" s="45" cm="1">
        <f t="array" ref="Y205">IF(COUNTIFS($X$2:$X205,$X205)=1,"1",VALUE(SUBSTITUTE(INDEX(Y:Y,_xlfn.XMATCH($X205,$X$1:$X204,0,-1)),"A",""))+INDEX(Z:Z,_xlfn.XMATCH($X205,$X$1:$X204,0,-1))+1)</f>
        <v>3</v>
      </c>
      <c r="Z205" s="46" cm="1">
        <f t="array" ref="Z205">SUM(IF(ISNUMBER(FIND("TmAi",$BE$1:$AAL$1)),IF(IFERROR(ISODD(SUBSTITUTE($BE205:$AAL205,"A","")),FALSE),IF(ISODD(SUBSTITUTE($BE205:$AAL205,"A","")),1,0),0)))</f>
        <v>1</v>
      </c>
      <c r="AA205" t="str">
        <f t="shared" si="229"/>
        <v>5A</v>
      </c>
      <c r="AB205" t="str">
        <f t="shared" si="230"/>
        <v>5B</v>
      </c>
      <c r="AP205" t="s">
        <v>137</v>
      </c>
      <c r="AR205" t="s">
        <v>1261</v>
      </c>
      <c r="AS205" t="s">
        <v>396</v>
      </c>
      <c r="OG205" s="25" t="str">
        <f>CONCATENATE("XT",$U205)</f>
        <v>XT64</v>
      </c>
      <c r="OH205" s="12" t="s">
        <v>1254</v>
      </c>
      <c r="OI205" s="12" t="s">
        <v>1313</v>
      </c>
      <c r="OJ205" s="12"/>
      <c r="OK205" s="12"/>
      <c r="OL205" s="12" t="str">
        <f>CONCATENATE(REPLACE($AA205,LEN($AA205),1,"")+1,RIGHT($AA205))</f>
        <v>6A</v>
      </c>
      <c r="OM205" s="12" t="str">
        <f>CONCATENATE(REPLACE($AB205,LEN($AB205),1,"")+1,RIGHT($AB205))</f>
        <v>6B</v>
      </c>
      <c r="ON205" s="12" t="str">
        <f>CONCATENATE(REPLACE(OL205,LEN(OL205),1,"")+1,RIGHT(OL205))</f>
        <v>7A</v>
      </c>
      <c r="OO205" s="12" t="str">
        <f t="shared" ref="OO205" si="486">CONCATENATE(REPLACE(OM205,LEN(OM205),1,"")+1,RIGHT(OM205))</f>
        <v>7B</v>
      </c>
      <c r="OP205" s="12" t="str">
        <f t="shared" ref="OP205" si="487">CONCATENATE(REPLACE(ON205,LEN(ON205),1,"")+1,RIGHT(ON205))</f>
        <v>8A</v>
      </c>
      <c r="OQ205" s="12" t="str">
        <f t="shared" ref="OQ205" si="488">CONCATENATE(REPLACE(OO205,LEN(OO205),1,"")+1,RIGHT(OO205))</f>
        <v>8B</v>
      </c>
      <c r="OR205" s="12"/>
      <c r="OS205" s="12"/>
      <c r="OT205" s="12"/>
      <c r="OU205" s="12"/>
      <c r="OV205" s="12" t="str">
        <f>CONCATENATE($T205,"-AI",REPLACE($X205,1,3,""),"-",$AA205)</f>
        <v>F0-AI43-5A</v>
      </c>
      <c r="OW205" s="12" t="str">
        <f>CONCATENATE($T205,"-AI",REPLACE($X205,1,3,""),"-",$AB205)</f>
        <v>F0-AI43-5B</v>
      </c>
      <c r="OX205" s="12" t="str">
        <f t="shared" ref="OX205" si="489">CONCATENATE($T205,"-AI",REPLACE($X205,1,3,""),"-",OL205)</f>
        <v>F0-AI43-6A</v>
      </c>
      <c r="OY205" s="12" t="str">
        <f t="shared" ref="OY205" si="490">CONCATENATE($T205,"-AI",REPLACE($X205,1,3,""),"-",OM205)</f>
        <v>F0-AI43-6B</v>
      </c>
      <c r="OZ205" s="12" t="str">
        <f t="shared" ref="OZ205" si="491">CONCATENATE($T205,"-AI",REPLACE($X205,1,3,""),"-",ON205)</f>
        <v>F0-AI43-7A</v>
      </c>
      <c r="PA205" s="12" t="str">
        <f t="shared" ref="PA205" si="492">CONCATENATE($T205,"-AI",REPLACE($X205,1,3,""),"-",OO205)</f>
        <v>F0-AI43-7B</v>
      </c>
      <c r="PB205" s="12" t="str">
        <f t="shared" ref="PB205" si="493">CONCATENATE($T205,"-AI",REPLACE($X205,1,3,""),"-",OP205)</f>
        <v>F0-AI43-8A</v>
      </c>
      <c r="PC205" s="12" t="str">
        <f t="shared" ref="PC205" si="494">CONCATENATE($T205,"-AI",REPLACE($X205,1,3,""),"-",OQ205)</f>
        <v>F0-AI43-8B</v>
      </c>
      <c r="PD205" s="12"/>
      <c r="PE205" s="12"/>
      <c r="PF205" s="12"/>
      <c r="PG205" s="12"/>
      <c r="PH205" s="12" cm="1">
        <f t="array" ref="PH205">IF(COUNTIFS($U$2:$U205,$U205)=1,1,INDEX(PH:PH,_xlfn.XMATCH($U205,$U$1:EF204,0,-1))+COUNT(PH204:PM204))</f>
        <v>1</v>
      </c>
      <c r="PI205" s="12">
        <f t="shared" ref="PI205" si="495">PH205+1</f>
        <v>2</v>
      </c>
      <c r="PJ205" s="12">
        <f t="shared" ref="PJ205" si="496">PI205+1</f>
        <v>3</v>
      </c>
      <c r="PK205" s="12">
        <f>PJ205+1</f>
        <v>4</v>
      </c>
      <c r="PL205" s="12">
        <f t="shared" ref="PL205" si="497">PK205+1</f>
        <v>5</v>
      </c>
      <c r="PM205" s="12">
        <f t="shared" ref="PM205" si="498">PL205+1</f>
        <v>6</v>
      </c>
      <c r="PN205" s="12"/>
      <c r="PO205" s="12"/>
      <c r="PP205" s="12"/>
      <c r="PQ205" s="12">
        <v>1</v>
      </c>
      <c r="PR205" s="12">
        <v>2</v>
      </c>
      <c r="PS205" s="12">
        <v>3</v>
      </c>
      <c r="PT205" s="12">
        <v>4</v>
      </c>
      <c r="PU205" s="12">
        <v>5</v>
      </c>
      <c r="PV205" s="13">
        <v>6</v>
      </c>
    </row>
    <row r="206" spans="1:538" ht="15.75" thickBot="1" x14ac:dyDescent="0.3">
      <c r="A206" t="s">
        <v>1264</v>
      </c>
      <c r="B206" s="33" t="s">
        <v>1342</v>
      </c>
      <c r="P206" t="s">
        <v>482</v>
      </c>
      <c r="T206" s="14" t="s">
        <v>554</v>
      </c>
      <c r="U206">
        <v>64</v>
      </c>
      <c r="W206" t="s">
        <v>1262</v>
      </c>
      <c r="X206" s="33" t="s">
        <v>1056</v>
      </c>
      <c r="Y206" s="45" cm="1">
        <f t="array" ref="Y206">IF(COUNTIFS($X$2:$X206,$X206)=1,"1",VALUE(SUBSTITUTE(INDEX(Y:Y,_xlfn.XMATCH($X206,$X$1:$X205,0,-1)),"A",""))+INDEX(Z:Z,_xlfn.XMATCH($X206,$X$1:$X205,0,-1))+1)</f>
        <v>2</v>
      </c>
      <c r="Z206" s="46" cm="1">
        <f t="array" ref="Z206">SUM(IF(ISNUMBER(FIND("TmAi",$BE$1:$AAL$1)),IF(IFERROR(ISODD(SUBSTITUTE($BE206:$AAL206,"A","")),FALSE),IF(ISODD(SUBSTITUTE($BE206:$AAL206,"A","")),1,0),0)))</f>
        <v>0</v>
      </c>
      <c r="AA206" t="str">
        <f t="shared" si="482"/>
        <v>3B</v>
      </c>
      <c r="AB206" t="str">
        <f t="shared" si="483"/>
        <v>4B</v>
      </c>
      <c r="AP206" t="s">
        <v>137</v>
      </c>
      <c r="AQ206" t="s">
        <v>1258</v>
      </c>
      <c r="AS206" t="s">
        <v>396</v>
      </c>
      <c r="JZ206" s="27" t="str">
        <f>CONCATENATE("XT",U206)</f>
        <v>XT64</v>
      </c>
      <c r="KC206" t="str">
        <f>CONCATENATE(T206,"-AI",REPLACE($X206,1,3,""),"-",AA206)</f>
        <v>F0-AI30-3B</v>
      </c>
      <c r="KD206" t="str">
        <f>CONCATENATE(T206,"-AI",REPLACE($X206,1,3,""),"-",AB206)</f>
        <v>F0-AI30-4B</v>
      </c>
      <c r="KI206">
        <v>7</v>
      </c>
      <c r="KJ206">
        <f t="shared" ref="KJ206" si="499">KI206+1</f>
        <v>8</v>
      </c>
      <c r="KK206">
        <f t="shared" ref="KK206" si="500">KJ206+1</f>
        <v>9</v>
      </c>
      <c r="KN206" t="s">
        <v>548</v>
      </c>
      <c r="KO206" s="16" t="s">
        <v>548</v>
      </c>
      <c r="KS206" s="16"/>
      <c r="OG206" s="27"/>
      <c r="PV206" s="16"/>
    </row>
    <row r="207" spans="1:538" x14ac:dyDescent="0.25">
      <c r="A207" t="s">
        <v>1276</v>
      </c>
      <c r="B207" s="34" t="s">
        <v>1331</v>
      </c>
      <c r="C207" t="s">
        <v>1012</v>
      </c>
      <c r="P207" t="s">
        <v>1011</v>
      </c>
      <c r="T207" s="14" t="s">
        <v>554</v>
      </c>
      <c r="U207">
        <v>65</v>
      </c>
      <c r="W207" t="s">
        <v>1265</v>
      </c>
      <c r="X207" s="36" t="s">
        <v>2983</v>
      </c>
      <c r="Y207" s="45" cm="1">
        <f t="array" ref="Y207">IF(COUNTIFS($X$2:$X207,$X207)=1,"1",VALUE(SUBSTITUTE(INDEX(Y:Y,_xlfn.XMATCH($X207,$X$1:$X206,0,-1)),"A",""))+INDEX(Z:Z,_xlfn.XMATCH($X207,$X$1:$X206,0,-1))+1)</f>
        <v>5</v>
      </c>
      <c r="Z207" s="46" cm="1">
        <f t="array" ref="Z207">SUM(IF(ISNUMBER(FIND("TmAi",$BE$1:$AAL$1)),IF(IFERROR(ISODD(SUBSTITUTE($BE207:$AAL207,"A","")),FALSE),IF(ISODD(SUBSTITUTE($BE207:$AAL207,"A","")),1,0),0)))</f>
        <v>1</v>
      </c>
      <c r="AA207" t="str">
        <f t="shared" si="229"/>
        <v>9A</v>
      </c>
      <c r="AB207" t="str">
        <f t="shared" si="230"/>
        <v>9B</v>
      </c>
      <c r="AP207" t="s">
        <v>137</v>
      </c>
      <c r="AR207" t="s">
        <v>1270</v>
      </c>
      <c r="AS207" t="s">
        <v>396</v>
      </c>
      <c r="OG207" s="25" t="str">
        <f>CONCATENATE("XT",$U207)</f>
        <v>XT65</v>
      </c>
      <c r="OH207" s="12" t="s">
        <v>1275</v>
      </c>
      <c r="OI207" s="12" t="s">
        <v>1316</v>
      </c>
      <c r="OJ207" s="12"/>
      <c r="OK207" s="12"/>
      <c r="OL207" s="12" t="str">
        <f>CONCATENATE(REPLACE($AA207,LEN($AA207),1,"")+1,RIGHT($AA207))</f>
        <v>10A</v>
      </c>
      <c r="OM207" s="12" t="str">
        <f>CONCATENATE(REPLACE($AB207,LEN($AB207),1,"")+1,RIGHT($AB207))</f>
        <v>10B</v>
      </c>
      <c r="ON207" s="12" t="str">
        <f>CONCATENATE(REPLACE(OL207,LEN(OL207),1,"")+1,RIGHT(OL207))</f>
        <v>11A</v>
      </c>
      <c r="OO207" s="12" t="str">
        <f t="shared" ref="OO207" si="501">CONCATENATE(REPLACE(OM207,LEN(OM207),1,"")+1,RIGHT(OM207))</f>
        <v>11B</v>
      </c>
      <c r="OP207" s="12" t="str">
        <f t="shared" ref="OP207" si="502">CONCATENATE(REPLACE(ON207,LEN(ON207),1,"")+1,RIGHT(ON207))</f>
        <v>12A</v>
      </c>
      <c r="OQ207" s="12" t="str">
        <f t="shared" ref="OQ207" si="503">CONCATENATE(REPLACE(OO207,LEN(OO207),1,"")+1,RIGHT(OO207))</f>
        <v>12B</v>
      </c>
      <c r="OR207" s="12"/>
      <c r="OS207" s="12"/>
      <c r="OT207" s="12"/>
      <c r="OU207" s="12"/>
      <c r="OV207" s="12" t="str">
        <f>CONCATENATE($T207,"-AI",REPLACE($X207,1,3,""),"-",$AA207)</f>
        <v>F0-AI43-9A</v>
      </c>
      <c r="OW207" s="12" t="str">
        <f>CONCATENATE($T207,"-AI",REPLACE($X207,1,3,""),"-",$AB207)</f>
        <v>F0-AI43-9B</v>
      </c>
      <c r="OX207" s="12" t="str">
        <f t="shared" ref="OX207" si="504">CONCATENATE($T207,"-AI",REPLACE($X207,1,3,""),"-",OL207)</f>
        <v>F0-AI43-10A</v>
      </c>
      <c r="OY207" s="12" t="str">
        <f t="shared" ref="OY207" si="505">CONCATENATE($T207,"-AI",REPLACE($X207,1,3,""),"-",OM207)</f>
        <v>F0-AI43-10B</v>
      </c>
      <c r="OZ207" s="12" t="str">
        <f t="shared" ref="OZ207" si="506">CONCATENATE($T207,"-AI",REPLACE($X207,1,3,""),"-",ON207)</f>
        <v>F0-AI43-11A</v>
      </c>
      <c r="PA207" s="12" t="str">
        <f t="shared" ref="PA207" si="507">CONCATENATE($T207,"-AI",REPLACE($X207,1,3,""),"-",OO207)</f>
        <v>F0-AI43-11B</v>
      </c>
      <c r="PB207" s="12" t="str">
        <f t="shared" ref="PB207" si="508">CONCATENATE($T207,"-AI",REPLACE($X207,1,3,""),"-",OP207)</f>
        <v>F0-AI43-12A</v>
      </c>
      <c r="PC207" s="12" t="str">
        <f t="shared" ref="PC207" si="509">CONCATENATE($T207,"-AI",REPLACE($X207,1,3,""),"-",OQ207)</f>
        <v>F0-AI43-12B</v>
      </c>
      <c r="PD207" s="12"/>
      <c r="PE207" s="12"/>
      <c r="PF207" s="12"/>
      <c r="PG207" s="12"/>
      <c r="PH207" s="12" cm="1">
        <f t="array" ref="PH207">IF(COUNTIFS($U$2:$U207,$U207)=1,1,INDEX(PH:PH,_xlfn.XMATCH($U207,$U$1:EF206,0,-1))+COUNT(PH206:PM206))</f>
        <v>1</v>
      </c>
      <c r="PI207" s="12">
        <f t="shared" ref="PI207" si="510">PH207+1</f>
        <v>2</v>
      </c>
      <c r="PJ207" s="12">
        <f t="shared" ref="PJ207" si="511">PI207+1</f>
        <v>3</v>
      </c>
      <c r="PK207" s="12">
        <f>PJ207+1</f>
        <v>4</v>
      </c>
      <c r="PL207" s="12">
        <f t="shared" ref="PL207" si="512">PK207+1</f>
        <v>5</v>
      </c>
      <c r="PM207" s="12">
        <f t="shared" ref="PM207" si="513">PL207+1</f>
        <v>6</v>
      </c>
      <c r="PN207" s="12"/>
      <c r="PO207" s="12"/>
      <c r="PP207" s="12"/>
      <c r="PQ207" s="12">
        <v>1</v>
      </c>
      <c r="PR207" s="12">
        <v>2</v>
      </c>
      <c r="PS207" s="12">
        <v>3</v>
      </c>
      <c r="PT207" s="12">
        <v>4</v>
      </c>
      <c r="PU207" s="12">
        <v>5</v>
      </c>
      <c r="PV207" s="13">
        <v>6</v>
      </c>
    </row>
    <row r="208" spans="1:538" ht="15.75" thickBot="1" x14ac:dyDescent="0.3">
      <c r="A208" t="s">
        <v>1272</v>
      </c>
      <c r="B208" s="33" t="s">
        <v>1339</v>
      </c>
      <c r="P208" t="s">
        <v>482</v>
      </c>
      <c r="T208" s="14" t="s">
        <v>554</v>
      </c>
      <c r="U208">
        <v>65</v>
      </c>
      <c r="W208" t="s">
        <v>1266</v>
      </c>
      <c r="X208" s="36" t="s">
        <v>1056</v>
      </c>
      <c r="Y208" s="45" cm="1">
        <f t="array" ref="Y208">IF(COUNTIFS($X$2:$X208,$X208)=1,"1",VALUE(SUBSTITUTE(INDEX(Y:Y,_xlfn.XMATCH($X208,$X$1:$X207,0,-1)),"A",""))+INDEX(Z:Z,_xlfn.XMATCH($X208,$X$1:$X207,0,-1))+1)</f>
        <v>3</v>
      </c>
      <c r="Z208" s="46" cm="1">
        <f t="array" ref="Z208">SUM(IF(ISNUMBER(FIND("TmAi",$BE$1:$AAL$1)),IF(IFERROR(ISODD(SUBSTITUTE($BE208:$AAL208,"A","")),FALSE),IF(ISODD(SUBSTITUTE($BE208:$AAL208,"A","")),1,0),0)))</f>
        <v>0</v>
      </c>
      <c r="AA208" t="str">
        <f t="shared" si="482"/>
        <v>5B</v>
      </c>
      <c r="AB208" t="str">
        <f t="shared" si="483"/>
        <v>6B</v>
      </c>
      <c r="AP208" t="s">
        <v>137</v>
      </c>
      <c r="AQ208" t="s">
        <v>1269</v>
      </c>
      <c r="AS208" t="s">
        <v>396</v>
      </c>
      <c r="JZ208" s="27" t="str">
        <f>CONCATENATE("XT",U208)</f>
        <v>XT65</v>
      </c>
      <c r="KC208" t="str">
        <f>CONCATENATE(T208,"-AI",REPLACE($X208,1,3,""),"-",AA208)</f>
        <v>F0-AI30-5B</v>
      </c>
      <c r="KD208" t="str">
        <f>CONCATENATE(T208,"-AI",REPLACE($X208,1,3,""),"-",AB208)</f>
        <v>F0-AI30-6B</v>
      </c>
      <c r="KI208">
        <v>7</v>
      </c>
      <c r="KJ208">
        <f t="shared" ref="KJ208" si="514">KI208+1</f>
        <v>8</v>
      </c>
      <c r="KK208">
        <f t="shared" ref="KK208" si="515">KJ208+1</f>
        <v>9</v>
      </c>
      <c r="KN208" t="s">
        <v>548</v>
      </c>
      <c r="KO208" s="16" t="s">
        <v>548</v>
      </c>
      <c r="KS208" s="16"/>
      <c r="OG208" s="27"/>
      <c r="PV208" s="16"/>
    </row>
    <row r="209" spans="1:438" x14ac:dyDescent="0.25">
      <c r="A209" t="s">
        <v>1277</v>
      </c>
      <c r="B209" s="34" t="s">
        <v>1332</v>
      </c>
      <c r="C209" t="s">
        <v>1012</v>
      </c>
      <c r="P209" t="s">
        <v>1011</v>
      </c>
      <c r="T209" s="14" t="s">
        <v>554</v>
      </c>
      <c r="U209">
        <v>66</v>
      </c>
      <c r="W209" t="s">
        <v>1267</v>
      </c>
      <c r="X209" s="36" t="s">
        <v>2984</v>
      </c>
      <c r="Y209" s="45" t="str" cm="1">
        <f t="array" ref="Y209">IF(COUNTIFS($X$2:$X209,$X209)=1,"1",VALUE(SUBSTITUTE(INDEX(Y:Y,_xlfn.XMATCH($X209,$X$1:$X208,0,-1)),"A",""))+INDEX(Z:Z,_xlfn.XMATCH($X209,$X$1:$X208,0,-1))+1)</f>
        <v>1</v>
      </c>
      <c r="Z209" s="46" cm="1">
        <f t="array" ref="Z209">SUM(IF(ISNUMBER(FIND("TmAi",$BE$1:$AAL$1)),IF(IFERROR(ISODD(SUBSTITUTE($BE209:$AAL209,"A","")),FALSE),IF(ISODD(SUBSTITUTE($BE209:$AAL209,"A","")),1,0),0)))</f>
        <v>1</v>
      </c>
      <c r="AA209" t="str">
        <f t="shared" si="229"/>
        <v>1A</v>
      </c>
      <c r="AB209" t="str">
        <f t="shared" si="230"/>
        <v>1B</v>
      </c>
      <c r="AP209" t="s">
        <v>137</v>
      </c>
      <c r="AR209" t="s">
        <v>1271</v>
      </c>
      <c r="AS209" t="s">
        <v>396</v>
      </c>
      <c r="OG209" s="25" t="str">
        <f>CONCATENATE("XT",$U209)</f>
        <v>XT66</v>
      </c>
      <c r="OH209" s="12" t="s">
        <v>1274</v>
      </c>
      <c r="OI209" s="12" t="s">
        <v>1317</v>
      </c>
      <c r="OJ209" s="12"/>
      <c r="OK209" s="12"/>
      <c r="OL209" s="12" t="str">
        <f>CONCATENATE(REPLACE($AA209,LEN($AA209),1,"")+1,RIGHT($AA209))</f>
        <v>2A</v>
      </c>
      <c r="OM209" s="12" t="str">
        <f>CONCATENATE(REPLACE($AB209,LEN($AB209),1,"")+1,RIGHT($AB209))</f>
        <v>2B</v>
      </c>
      <c r="ON209" s="12" t="str">
        <f>CONCATENATE(REPLACE(OL209,LEN(OL209),1,"")+1,RIGHT(OL209))</f>
        <v>3A</v>
      </c>
      <c r="OO209" s="12" t="str">
        <f t="shared" ref="OO209" si="516">CONCATENATE(REPLACE(OM209,LEN(OM209),1,"")+1,RIGHT(OM209))</f>
        <v>3B</v>
      </c>
      <c r="OP209" s="12" t="str">
        <f t="shared" ref="OP209" si="517">CONCATENATE(REPLACE(ON209,LEN(ON209),1,"")+1,RIGHT(ON209))</f>
        <v>4A</v>
      </c>
      <c r="OQ209" s="12" t="str">
        <f t="shared" ref="OQ209" si="518">CONCATENATE(REPLACE(OO209,LEN(OO209),1,"")+1,RIGHT(OO209))</f>
        <v>4B</v>
      </c>
      <c r="OR209" s="12"/>
      <c r="OS209" s="12"/>
      <c r="OT209" s="12"/>
      <c r="OU209" s="12"/>
      <c r="OV209" s="12" t="str">
        <f>CONCATENATE($T209,"-AI",REPLACE($X209,1,3,""),"-",$AA209)</f>
        <v>F0-AI44-1A</v>
      </c>
      <c r="OW209" s="12" t="str">
        <f>CONCATENATE($T209,"-AI",REPLACE($X209,1,3,""),"-",$AB209)</f>
        <v>F0-AI44-1B</v>
      </c>
      <c r="OX209" s="12" t="str">
        <f t="shared" ref="OX209" si="519">CONCATENATE($T209,"-AI",REPLACE($X209,1,3,""),"-",OL209)</f>
        <v>F0-AI44-2A</v>
      </c>
      <c r="OY209" s="12" t="str">
        <f t="shared" ref="OY209" si="520">CONCATENATE($T209,"-AI",REPLACE($X209,1,3,""),"-",OM209)</f>
        <v>F0-AI44-2B</v>
      </c>
      <c r="OZ209" s="12" t="str">
        <f t="shared" ref="OZ209" si="521">CONCATENATE($T209,"-AI",REPLACE($X209,1,3,""),"-",ON209)</f>
        <v>F0-AI44-3A</v>
      </c>
      <c r="PA209" s="12" t="str">
        <f t="shared" ref="PA209" si="522">CONCATENATE($T209,"-AI",REPLACE($X209,1,3,""),"-",OO209)</f>
        <v>F0-AI44-3B</v>
      </c>
      <c r="PB209" s="12" t="str">
        <f t="shared" ref="PB209" si="523">CONCATENATE($T209,"-AI",REPLACE($X209,1,3,""),"-",OP209)</f>
        <v>F0-AI44-4A</v>
      </c>
      <c r="PC209" s="12" t="str">
        <f t="shared" ref="PC209" si="524">CONCATENATE($T209,"-AI",REPLACE($X209,1,3,""),"-",OQ209)</f>
        <v>F0-AI44-4B</v>
      </c>
      <c r="PD209" s="12"/>
      <c r="PE209" s="12"/>
      <c r="PF209" s="12"/>
      <c r="PG209" s="12"/>
      <c r="PH209" s="12" cm="1">
        <f t="array" ref="PH209">IF(COUNTIFS($U$2:$U209,$U209)=1,1,INDEX(PH:PH,_xlfn.XMATCH($U209,$U$1:EF208,0,-1))+COUNT(PH208:PM208))</f>
        <v>1</v>
      </c>
      <c r="PI209" s="12">
        <f t="shared" ref="PI209" si="525">PH209+1</f>
        <v>2</v>
      </c>
      <c r="PJ209" s="12">
        <f t="shared" ref="PJ209" si="526">PI209+1</f>
        <v>3</v>
      </c>
      <c r="PK209" s="12">
        <f>PJ209+1</f>
        <v>4</v>
      </c>
      <c r="PL209" s="12">
        <f t="shared" ref="PL209" si="527">PK209+1</f>
        <v>5</v>
      </c>
      <c r="PM209" s="12">
        <f t="shared" ref="PM209" si="528">PL209+1</f>
        <v>6</v>
      </c>
      <c r="PN209" s="12"/>
      <c r="PO209" s="12"/>
      <c r="PP209" s="12"/>
      <c r="PQ209" s="12">
        <v>1</v>
      </c>
      <c r="PR209" s="12">
        <v>2</v>
      </c>
      <c r="PS209" s="12">
        <v>3</v>
      </c>
      <c r="PT209" s="12">
        <v>4</v>
      </c>
      <c r="PU209" s="12">
        <v>5</v>
      </c>
      <c r="PV209" s="13">
        <v>6</v>
      </c>
    </row>
    <row r="210" spans="1:438" ht="15.75" thickBot="1" x14ac:dyDescent="0.3">
      <c r="A210" t="s">
        <v>1273</v>
      </c>
      <c r="B210" s="33" t="s">
        <v>1340</v>
      </c>
      <c r="P210" t="s">
        <v>482</v>
      </c>
      <c r="T210" s="14" t="s">
        <v>554</v>
      </c>
      <c r="U210">
        <v>66</v>
      </c>
      <c r="W210" t="s">
        <v>1268</v>
      </c>
      <c r="X210" s="36" t="s">
        <v>1056</v>
      </c>
      <c r="Y210" s="45" cm="1">
        <f t="array" ref="Y210">IF(COUNTIFS($X$2:$X210,$X210)=1,"1",VALUE(SUBSTITUTE(INDEX(Y:Y,_xlfn.XMATCH($X210,$X$1:$X209,0,-1)),"A",""))+INDEX(Z:Z,_xlfn.XMATCH($X210,$X$1:$X209,0,-1))+1)</f>
        <v>4</v>
      </c>
      <c r="Z210" s="46" cm="1">
        <f t="array" ref="Z210">SUM(IF(ISNUMBER(FIND("TmAi",$BE$1:$AAL$1)),IF(IFERROR(ISODD(SUBSTITUTE($BE210:$AAL210,"A","")),FALSE),IF(ISODD(SUBSTITUTE($BE210:$AAL210,"A","")),1,0),0)))</f>
        <v>0</v>
      </c>
      <c r="AA210" t="str">
        <f t="shared" si="482"/>
        <v>7B</v>
      </c>
      <c r="AB210" t="str">
        <f t="shared" si="483"/>
        <v>8B</v>
      </c>
      <c r="AP210" t="s">
        <v>137</v>
      </c>
      <c r="AQ210" t="s">
        <v>1269</v>
      </c>
      <c r="AS210" t="s">
        <v>396</v>
      </c>
      <c r="JZ210" s="27" t="str">
        <f>CONCATENATE("XT",U210)</f>
        <v>XT66</v>
      </c>
      <c r="KC210" t="str">
        <f>CONCATENATE(T210,"-AI",REPLACE($X210,1,3,""),"-",AA210)</f>
        <v>F0-AI30-7B</v>
      </c>
      <c r="KD210" t="str">
        <f>CONCATENATE(T210,"-AI",REPLACE($X210,1,3,""),"-",AB210)</f>
        <v>F0-AI30-8B</v>
      </c>
      <c r="KI210">
        <v>7</v>
      </c>
      <c r="KJ210">
        <f t="shared" ref="KJ210" si="529">KI210+1</f>
        <v>8</v>
      </c>
      <c r="KK210">
        <f t="shared" ref="KK210" si="530">KJ210+1</f>
        <v>9</v>
      </c>
      <c r="KN210" t="s">
        <v>548</v>
      </c>
      <c r="KO210" s="16" t="s">
        <v>548</v>
      </c>
      <c r="KS210" s="16"/>
      <c r="OG210" s="27"/>
      <c r="PV210" s="16"/>
    </row>
    <row r="211" spans="1:438" x14ac:dyDescent="0.25">
      <c r="A211" t="s">
        <v>1282</v>
      </c>
      <c r="B211" s="34" t="s">
        <v>1333</v>
      </c>
      <c r="C211" t="s">
        <v>1012</v>
      </c>
      <c r="P211" t="s">
        <v>1011</v>
      </c>
      <c r="T211" s="14" t="s">
        <v>554</v>
      </c>
      <c r="U211">
        <v>67</v>
      </c>
      <c r="W211" t="s">
        <v>1279</v>
      </c>
      <c r="X211" s="36" t="s">
        <v>2984</v>
      </c>
      <c r="Y211" s="45" cm="1">
        <f t="array" ref="Y211">IF(COUNTIFS($X$2:$X211,$X211)=1,"1",VALUE(SUBSTITUTE(INDEX(Y:Y,_xlfn.XMATCH($X211,$X$1:$X210,0,-1)),"A",""))+INDEX(Z:Z,_xlfn.XMATCH($X211,$X$1:$X210,0,-1))+1)</f>
        <v>3</v>
      </c>
      <c r="Z211" s="46" cm="1">
        <f t="array" ref="Z211">SUM(IF(ISNUMBER(FIND("TmAi",$BE$1:$AAL$1)),IF(IFERROR(ISODD(SUBSTITUTE($BE211:$AAL211,"A","")),FALSE),IF(ISODD(SUBSTITUTE($BE211:$AAL211,"A","")),1,0),0)))</f>
        <v>1</v>
      </c>
      <c r="AA211" t="str">
        <f t="shared" si="229"/>
        <v>5A</v>
      </c>
      <c r="AB211" t="str">
        <f t="shared" si="230"/>
        <v>5B</v>
      </c>
      <c r="AP211" t="s">
        <v>137</v>
      </c>
      <c r="AR211" t="s">
        <v>1278</v>
      </c>
      <c r="AS211" t="s">
        <v>396</v>
      </c>
      <c r="OG211" s="25" t="str">
        <f>CONCATENATE("XT",$U211)</f>
        <v>XT67</v>
      </c>
      <c r="OH211" s="12" t="s">
        <v>1284</v>
      </c>
      <c r="OI211" s="12" t="s">
        <v>1318</v>
      </c>
      <c r="OJ211" s="12"/>
      <c r="OK211" s="12"/>
      <c r="OL211" s="12" t="str">
        <f>CONCATENATE(REPLACE($AA211,LEN($AA211),1,"")+1,RIGHT($AA211))</f>
        <v>6A</v>
      </c>
      <c r="OM211" s="12" t="str">
        <f>CONCATENATE(REPLACE($AB211,LEN($AB211),1,"")+1,RIGHT($AB211))</f>
        <v>6B</v>
      </c>
      <c r="ON211" s="12" t="str">
        <f>CONCATENATE(REPLACE(OL211,LEN(OL211),1,"")+1,RIGHT(OL211))</f>
        <v>7A</v>
      </c>
      <c r="OO211" s="12" t="str">
        <f t="shared" ref="OO211" si="531">CONCATENATE(REPLACE(OM211,LEN(OM211),1,"")+1,RIGHT(OM211))</f>
        <v>7B</v>
      </c>
      <c r="OP211" s="12" t="str">
        <f t="shared" ref="OP211" si="532">CONCATENATE(REPLACE(ON211,LEN(ON211),1,"")+1,RIGHT(ON211))</f>
        <v>8A</v>
      </c>
      <c r="OQ211" s="12" t="str">
        <f t="shared" ref="OQ211" si="533">CONCATENATE(REPLACE(OO211,LEN(OO211),1,"")+1,RIGHT(OO211))</f>
        <v>8B</v>
      </c>
      <c r="OR211" s="12"/>
      <c r="OS211" s="12"/>
      <c r="OT211" s="12"/>
      <c r="OU211" s="12"/>
      <c r="OV211" s="12" t="str">
        <f>CONCATENATE($T211,"-AI",REPLACE($X211,1,3,""),"-",$AA211)</f>
        <v>F0-AI44-5A</v>
      </c>
      <c r="OW211" s="12" t="str">
        <f>CONCATENATE($T211,"-AI",REPLACE($X211,1,3,""),"-",$AB211)</f>
        <v>F0-AI44-5B</v>
      </c>
      <c r="OX211" s="12" t="str">
        <f t="shared" ref="OX211" si="534">CONCATENATE($T211,"-AI",REPLACE($X211,1,3,""),"-",OL211)</f>
        <v>F0-AI44-6A</v>
      </c>
      <c r="OY211" s="12" t="str">
        <f t="shared" ref="OY211" si="535">CONCATENATE($T211,"-AI",REPLACE($X211,1,3,""),"-",OM211)</f>
        <v>F0-AI44-6B</v>
      </c>
      <c r="OZ211" s="12" t="str">
        <f t="shared" ref="OZ211" si="536">CONCATENATE($T211,"-AI",REPLACE($X211,1,3,""),"-",ON211)</f>
        <v>F0-AI44-7A</v>
      </c>
      <c r="PA211" s="12" t="str">
        <f t="shared" ref="PA211" si="537">CONCATENATE($T211,"-AI",REPLACE($X211,1,3,""),"-",OO211)</f>
        <v>F0-AI44-7B</v>
      </c>
      <c r="PB211" s="12" t="str">
        <f t="shared" ref="PB211" si="538">CONCATENATE($T211,"-AI",REPLACE($X211,1,3,""),"-",OP211)</f>
        <v>F0-AI44-8A</v>
      </c>
      <c r="PC211" s="12" t="str">
        <f t="shared" ref="PC211" si="539">CONCATENATE($T211,"-AI",REPLACE($X211,1,3,""),"-",OQ211)</f>
        <v>F0-AI44-8B</v>
      </c>
      <c r="PD211" s="12"/>
      <c r="PE211" s="12"/>
      <c r="PF211" s="12"/>
      <c r="PG211" s="12"/>
      <c r="PH211" s="12" cm="1">
        <f t="array" ref="PH211">IF(COUNTIFS($U$2:$U211,$U211)=1,1,INDEX(PH:PH,_xlfn.XMATCH($U211,$U$1:EF210,0,-1))+COUNT(PH210:PM210))</f>
        <v>1</v>
      </c>
      <c r="PI211" s="12">
        <f t="shared" ref="PI211" si="540">PH211+1</f>
        <v>2</v>
      </c>
      <c r="PJ211" s="12">
        <f t="shared" ref="PJ211" si="541">PI211+1</f>
        <v>3</v>
      </c>
      <c r="PK211" s="12">
        <f>PJ211+1</f>
        <v>4</v>
      </c>
      <c r="PL211" s="12">
        <f t="shared" ref="PL211" si="542">PK211+1</f>
        <v>5</v>
      </c>
      <c r="PM211" s="12">
        <f t="shared" ref="PM211" si="543">PL211+1</f>
        <v>6</v>
      </c>
      <c r="PN211" s="12"/>
      <c r="PO211" s="12"/>
      <c r="PP211" s="12"/>
      <c r="PQ211" s="12">
        <v>1</v>
      </c>
      <c r="PR211" s="12">
        <v>2</v>
      </c>
      <c r="PS211" s="12">
        <v>3</v>
      </c>
      <c r="PT211" s="12">
        <v>4</v>
      </c>
      <c r="PU211" s="12">
        <v>5</v>
      </c>
      <c r="PV211" s="13">
        <v>6</v>
      </c>
    </row>
    <row r="212" spans="1:438" ht="15.75" thickBot="1" x14ac:dyDescent="0.3">
      <c r="A212" t="s">
        <v>1283</v>
      </c>
      <c r="B212" s="33" t="s">
        <v>1338</v>
      </c>
      <c r="P212" t="s">
        <v>482</v>
      </c>
      <c r="T212" s="14" t="s">
        <v>554</v>
      </c>
      <c r="U212">
        <v>67</v>
      </c>
      <c r="W212" t="s">
        <v>1280</v>
      </c>
      <c r="X212" s="36" t="s">
        <v>1056</v>
      </c>
      <c r="Y212" s="45" cm="1">
        <f t="array" ref="Y212">IF(COUNTIFS($X$2:$X212,$X212)=1,"1",VALUE(SUBSTITUTE(INDEX(Y:Y,_xlfn.XMATCH($X212,$X$1:$X211,0,-1)),"A",""))+INDEX(Z:Z,_xlfn.XMATCH($X212,$X$1:$X211,0,-1))+1)</f>
        <v>5</v>
      </c>
      <c r="Z212" s="46" cm="1">
        <f t="array" ref="Z212">SUM(IF(ISNUMBER(FIND("TmAi",$BE$1:$AAL$1)),IF(IFERROR(ISODD(SUBSTITUTE($BE212:$AAL212,"A","")),FALSE),IF(ISODD(SUBSTITUTE($BE212:$AAL212,"A","")),1,0),0)))</f>
        <v>0</v>
      </c>
      <c r="AA212" t="str">
        <f t="shared" si="482"/>
        <v>9B</v>
      </c>
      <c r="AB212" t="str">
        <f t="shared" si="483"/>
        <v>10B</v>
      </c>
      <c r="AP212" t="s">
        <v>137</v>
      </c>
      <c r="AQ212" t="s">
        <v>1269</v>
      </c>
      <c r="AS212" t="s">
        <v>396</v>
      </c>
      <c r="JZ212" s="27" t="str">
        <f>CONCATENATE("XT",U212)</f>
        <v>XT67</v>
      </c>
      <c r="KC212" t="str">
        <f>CONCATENATE(T212,"-AI",REPLACE($X212,1,3,""),"-",AA212)</f>
        <v>F0-AI30-9B</v>
      </c>
      <c r="KD212" t="str">
        <f>CONCATENATE(T212,"-AI",REPLACE($X212,1,3,""),"-",AB212)</f>
        <v>F0-AI30-10B</v>
      </c>
      <c r="KI212">
        <v>7</v>
      </c>
      <c r="KJ212">
        <f t="shared" ref="KJ212" si="544">KI212+1</f>
        <v>8</v>
      </c>
      <c r="KK212">
        <f t="shared" ref="KK212" si="545">KJ212+1</f>
        <v>9</v>
      </c>
      <c r="KN212" t="s">
        <v>548</v>
      </c>
      <c r="KO212" s="16" t="s">
        <v>548</v>
      </c>
      <c r="KS212" s="16"/>
      <c r="OG212" s="27"/>
      <c r="PV212" s="16"/>
    </row>
    <row r="213" spans="1:438" x14ac:dyDescent="0.25">
      <c r="A213" t="s">
        <v>1293</v>
      </c>
      <c r="B213" s="34" t="s">
        <v>1334</v>
      </c>
      <c r="C213" t="s">
        <v>1012</v>
      </c>
      <c r="P213" t="s">
        <v>1011</v>
      </c>
      <c r="T213" s="14" t="s">
        <v>554</v>
      </c>
      <c r="U213">
        <v>68</v>
      </c>
      <c r="W213" t="s">
        <v>1285</v>
      </c>
      <c r="X213" s="36" t="s">
        <v>2984</v>
      </c>
      <c r="Y213" s="45" cm="1">
        <f t="array" ref="Y213">IF(COUNTIFS($X$2:$X213,$X213)=1,"1",VALUE(SUBSTITUTE(INDEX(Y:Y,_xlfn.XMATCH($X213,$X$1:$X212,0,-1)),"A",""))+INDEX(Z:Z,_xlfn.XMATCH($X213,$X$1:$X212,0,-1))+1)</f>
        <v>5</v>
      </c>
      <c r="Z213" s="46" cm="1">
        <f t="array" ref="Z213">SUM(IF(ISNUMBER(FIND("TmAi",$BE$1:$AAL$1)),IF(IFERROR(ISODD(SUBSTITUTE($BE213:$AAL213,"A","")),FALSE),IF(ISODD(SUBSTITUTE($BE213:$AAL213,"A","")),1,0),0)))</f>
        <v>1</v>
      </c>
      <c r="AA213" t="str">
        <f t="shared" si="229"/>
        <v>9A</v>
      </c>
      <c r="AB213" t="str">
        <f t="shared" si="230"/>
        <v>9B</v>
      </c>
      <c r="AP213" t="s">
        <v>137</v>
      </c>
      <c r="AR213" t="s">
        <v>1290</v>
      </c>
      <c r="AS213" t="s">
        <v>396</v>
      </c>
      <c r="OG213" s="25" t="str">
        <f>CONCATENATE("XT",$U213)</f>
        <v>XT68</v>
      </c>
      <c r="OH213" s="12" t="s">
        <v>1297</v>
      </c>
      <c r="OI213" s="12" t="s">
        <v>1314</v>
      </c>
      <c r="OJ213" s="12"/>
      <c r="OK213" s="12"/>
      <c r="OL213" s="12" t="str">
        <f>CONCATENATE(REPLACE($AA213,LEN($AA213),1,"")+1,RIGHT($AA213))</f>
        <v>10A</v>
      </c>
      <c r="OM213" s="12" t="str">
        <f>CONCATENATE(REPLACE($AB213,LEN($AB213),1,"")+1,RIGHT($AB213))</f>
        <v>10B</v>
      </c>
      <c r="ON213" s="12" t="str">
        <f>CONCATENATE(REPLACE(OL213,LEN(OL213),1,"")+1,RIGHT(OL213))</f>
        <v>11A</v>
      </c>
      <c r="OO213" s="12" t="str">
        <f t="shared" ref="OO213" si="546">CONCATENATE(REPLACE(OM213,LEN(OM213),1,"")+1,RIGHT(OM213))</f>
        <v>11B</v>
      </c>
      <c r="OP213" s="12" t="str">
        <f t="shared" ref="OP213" si="547">CONCATENATE(REPLACE(ON213,LEN(ON213),1,"")+1,RIGHT(ON213))</f>
        <v>12A</v>
      </c>
      <c r="OQ213" s="12" t="str">
        <f t="shared" ref="OQ213" si="548">CONCATENATE(REPLACE(OO213,LEN(OO213),1,"")+1,RIGHT(OO213))</f>
        <v>12B</v>
      </c>
      <c r="OR213" s="12"/>
      <c r="OS213" s="12"/>
      <c r="OT213" s="12"/>
      <c r="OU213" s="12"/>
      <c r="OV213" s="12" t="str">
        <f>CONCATENATE($T213,"-AI",REPLACE($X213,1,3,""),"-",$AA213)</f>
        <v>F0-AI44-9A</v>
      </c>
      <c r="OW213" s="12" t="str">
        <f>CONCATENATE($T213,"-AI",REPLACE($X213,1,3,""),"-",$AB213)</f>
        <v>F0-AI44-9B</v>
      </c>
      <c r="OX213" s="12" t="str">
        <f t="shared" ref="OX213" si="549">CONCATENATE($T213,"-AI",REPLACE($X213,1,3,""),"-",OL213)</f>
        <v>F0-AI44-10A</v>
      </c>
      <c r="OY213" s="12" t="str">
        <f t="shared" ref="OY213" si="550">CONCATENATE($T213,"-AI",REPLACE($X213,1,3,""),"-",OM213)</f>
        <v>F0-AI44-10B</v>
      </c>
      <c r="OZ213" s="12" t="str">
        <f t="shared" ref="OZ213" si="551">CONCATENATE($T213,"-AI",REPLACE($X213,1,3,""),"-",ON213)</f>
        <v>F0-AI44-11A</v>
      </c>
      <c r="PA213" s="12" t="str">
        <f t="shared" ref="PA213" si="552">CONCATENATE($T213,"-AI",REPLACE($X213,1,3,""),"-",OO213)</f>
        <v>F0-AI44-11B</v>
      </c>
      <c r="PB213" s="12" t="str">
        <f t="shared" ref="PB213" si="553">CONCATENATE($T213,"-AI",REPLACE($X213,1,3,""),"-",OP213)</f>
        <v>F0-AI44-12A</v>
      </c>
      <c r="PC213" s="12" t="str">
        <f t="shared" ref="PC213" si="554">CONCATENATE($T213,"-AI",REPLACE($X213,1,3,""),"-",OQ213)</f>
        <v>F0-AI44-12B</v>
      </c>
      <c r="PD213" s="12"/>
      <c r="PE213" s="12"/>
      <c r="PF213" s="12"/>
      <c r="PG213" s="12"/>
      <c r="PH213" s="12" cm="1">
        <f t="array" ref="PH213">IF(COUNTIFS($U$2:$U213,$U213)=1,1,INDEX(PH:PH,_xlfn.XMATCH($U213,$U$1:EF212,0,-1))+COUNT(PH212:PM212))</f>
        <v>1</v>
      </c>
      <c r="PI213" s="12">
        <f t="shared" ref="PI213" si="555">PH213+1</f>
        <v>2</v>
      </c>
      <c r="PJ213" s="12">
        <f t="shared" ref="PJ213" si="556">PI213+1</f>
        <v>3</v>
      </c>
      <c r="PK213" s="12">
        <f>PJ213+1</f>
        <v>4</v>
      </c>
      <c r="PL213" s="12">
        <f t="shared" ref="PL213" si="557">PK213+1</f>
        <v>5</v>
      </c>
      <c r="PM213" s="12">
        <f t="shared" ref="PM213" si="558">PL213+1</f>
        <v>6</v>
      </c>
      <c r="PN213" s="12"/>
      <c r="PO213" s="12"/>
      <c r="PP213" s="12"/>
      <c r="PQ213" s="12">
        <v>1</v>
      </c>
      <c r="PR213" s="12">
        <v>2</v>
      </c>
      <c r="PS213" s="12">
        <v>3</v>
      </c>
      <c r="PT213" s="12">
        <v>4</v>
      </c>
      <c r="PU213" s="12">
        <v>5</v>
      </c>
      <c r="PV213" s="13">
        <v>6</v>
      </c>
    </row>
    <row r="214" spans="1:438" ht="15.75" thickBot="1" x14ac:dyDescent="0.3">
      <c r="A214" t="s">
        <v>1294</v>
      </c>
      <c r="B214" s="33" t="s">
        <v>1336</v>
      </c>
      <c r="P214" t="s">
        <v>482</v>
      </c>
      <c r="T214" s="14" t="s">
        <v>554</v>
      </c>
      <c r="U214">
        <v>68</v>
      </c>
      <c r="W214" t="s">
        <v>1286</v>
      </c>
      <c r="X214" s="36" t="s">
        <v>1056</v>
      </c>
      <c r="Y214" s="45" cm="1">
        <f t="array" ref="Y214">IF(COUNTIFS($X$2:$X214,$X214)=1,"1",VALUE(SUBSTITUTE(INDEX(Y:Y,_xlfn.XMATCH($X214,$X$1:$X213,0,-1)),"A",""))+INDEX(Z:Z,_xlfn.XMATCH($X214,$X$1:$X213,0,-1))+1)</f>
        <v>6</v>
      </c>
      <c r="Z214" s="46" cm="1">
        <f t="array" ref="Z214">SUM(IF(ISNUMBER(FIND("TmAi",$BE$1:$AAL$1)),IF(IFERROR(ISODD(SUBSTITUTE($BE214:$AAL214,"A","")),FALSE),IF(ISODD(SUBSTITUTE($BE214:$AAL214,"A","")),1,0),0)))</f>
        <v>0</v>
      </c>
      <c r="AA214" t="str">
        <f t="shared" si="482"/>
        <v>11B</v>
      </c>
      <c r="AB214" t="str">
        <f t="shared" si="483"/>
        <v>12B</v>
      </c>
      <c r="AP214" t="s">
        <v>137</v>
      </c>
      <c r="AQ214" t="s">
        <v>1292</v>
      </c>
      <c r="AS214" t="s">
        <v>396</v>
      </c>
      <c r="JZ214" s="27" t="str">
        <f>CONCATENATE("XT",U214)</f>
        <v>XT68</v>
      </c>
      <c r="KC214" t="str">
        <f>CONCATENATE(T214,"-AI",REPLACE($X214,1,3,""),"-",AA214)</f>
        <v>F0-AI30-11B</v>
      </c>
      <c r="KD214" t="str">
        <f>CONCATENATE(T214,"-AI",REPLACE($X214,1,3,""),"-",AB214)</f>
        <v>F0-AI30-12B</v>
      </c>
      <c r="KI214">
        <v>7</v>
      </c>
      <c r="KJ214">
        <f t="shared" ref="KJ214" si="559">KI214+1</f>
        <v>8</v>
      </c>
      <c r="KK214">
        <f t="shared" ref="KK214" si="560">KJ214+1</f>
        <v>9</v>
      </c>
      <c r="KN214" t="s">
        <v>548</v>
      </c>
      <c r="KO214" s="16" t="s">
        <v>548</v>
      </c>
      <c r="KS214" s="16"/>
      <c r="OG214" s="27"/>
      <c r="PV214" s="16"/>
    </row>
    <row r="215" spans="1:438" x14ac:dyDescent="0.25">
      <c r="A215" t="s">
        <v>1295</v>
      </c>
      <c r="B215" s="34" t="s">
        <v>1335</v>
      </c>
      <c r="C215" t="s">
        <v>1012</v>
      </c>
      <c r="P215" t="s">
        <v>1011</v>
      </c>
      <c r="T215" s="14" t="s">
        <v>554</v>
      </c>
      <c r="U215">
        <v>69</v>
      </c>
      <c r="W215" t="s">
        <v>1287</v>
      </c>
      <c r="X215" s="36" t="s">
        <v>2985</v>
      </c>
      <c r="Y215" s="45" t="str" cm="1">
        <f t="array" ref="Y215">IF(COUNTIFS($X$2:$X215,$X215)=1,"1",VALUE(SUBSTITUTE(INDEX(Y:Y,_xlfn.XMATCH($X215,$X$1:$X214,0,-1)),"A",""))+INDEX(Z:Z,_xlfn.XMATCH($X215,$X$1:$X214,0,-1))+1)</f>
        <v>1</v>
      </c>
      <c r="Z215" s="46" cm="1">
        <f t="array" ref="Z215">SUM(IF(ISNUMBER(FIND("TmAi",$BE$1:$AAL$1)),IF(IFERROR(ISODD(SUBSTITUTE($BE215:$AAL215,"A","")),FALSE),IF(ISODD(SUBSTITUTE($BE215:$AAL215,"A","")),1,0),0)))</f>
        <v>1</v>
      </c>
      <c r="AA215" t="str">
        <f t="shared" si="229"/>
        <v>1A</v>
      </c>
      <c r="AB215" t="str">
        <f t="shared" si="230"/>
        <v>1B</v>
      </c>
      <c r="AP215" t="s">
        <v>137</v>
      </c>
      <c r="AR215" t="s">
        <v>1291</v>
      </c>
      <c r="AS215" t="s">
        <v>396</v>
      </c>
      <c r="OG215" s="25" t="str">
        <f>CONCATENATE("XT",$U215)</f>
        <v>XT69</v>
      </c>
      <c r="OH215" s="12" t="s">
        <v>1298</v>
      </c>
      <c r="OI215" s="12" t="s">
        <v>1315</v>
      </c>
      <c r="OJ215" s="12"/>
      <c r="OK215" s="12"/>
      <c r="OL215" s="12" t="str">
        <f>CONCATENATE(REPLACE($AA215,LEN($AA215),1,"")+1,RIGHT($AA215))</f>
        <v>2A</v>
      </c>
      <c r="OM215" s="12" t="str">
        <f>CONCATENATE(REPLACE($AB215,LEN($AB215),1,"")+1,RIGHT($AB215))</f>
        <v>2B</v>
      </c>
      <c r="ON215" s="12" t="str">
        <f>CONCATENATE(REPLACE(OL215,LEN(OL215),1,"")+1,RIGHT(OL215))</f>
        <v>3A</v>
      </c>
      <c r="OO215" s="12" t="str">
        <f t="shared" ref="OO215" si="561">CONCATENATE(REPLACE(OM215,LEN(OM215),1,"")+1,RIGHT(OM215))</f>
        <v>3B</v>
      </c>
      <c r="OP215" s="12" t="str">
        <f t="shared" ref="OP215" si="562">CONCATENATE(REPLACE(ON215,LEN(ON215),1,"")+1,RIGHT(ON215))</f>
        <v>4A</v>
      </c>
      <c r="OQ215" s="12" t="str">
        <f t="shared" ref="OQ215" si="563">CONCATENATE(REPLACE(OO215,LEN(OO215),1,"")+1,RIGHT(OO215))</f>
        <v>4B</v>
      </c>
      <c r="OR215" s="12"/>
      <c r="OS215" s="12"/>
      <c r="OT215" s="12"/>
      <c r="OU215" s="12"/>
      <c r="OV215" s="12" t="str">
        <f>CONCATENATE($T215,"-AI",REPLACE($X215,1,3,""),"-",$AA215)</f>
        <v>F0-AI45-1A</v>
      </c>
      <c r="OW215" s="12" t="str">
        <f>CONCATENATE($T215,"-AI",REPLACE($X215,1,3,""),"-",$AB215)</f>
        <v>F0-AI45-1B</v>
      </c>
      <c r="OX215" s="12" t="str">
        <f t="shared" ref="OX215" si="564">CONCATENATE($T215,"-AI",REPLACE($X215,1,3,""),"-",OL215)</f>
        <v>F0-AI45-2A</v>
      </c>
      <c r="OY215" s="12" t="str">
        <f t="shared" ref="OY215" si="565">CONCATENATE($T215,"-AI",REPLACE($X215,1,3,""),"-",OM215)</f>
        <v>F0-AI45-2B</v>
      </c>
      <c r="OZ215" s="12" t="str">
        <f t="shared" ref="OZ215" si="566">CONCATENATE($T215,"-AI",REPLACE($X215,1,3,""),"-",ON215)</f>
        <v>F0-AI45-3A</v>
      </c>
      <c r="PA215" s="12" t="str">
        <f t="shared" ref="PA215" si="567">CONCATENATE($T215,"-AI",REPLACE($X215,1,3,""),"-",OO215)</f>
        <v>F0-AI45-3B</v>
      </c>
      <c r="PB215" s="12" t="str">
        <f t="shared" ref="PB215" si="568">CONCATENATE($T215,"-AI",REPLACE($X215,1,3,""),"-",OP215)</f>
        <v>F0-AI45-4A</v>
      </c>
      <c r="PC215" s="12" t="str">
        <f t="shared" ref="PC215" si="569">CONCATENATE($T215,"-AI",REPLACE($X215,1,3,""),"-",OQ215)</f>
        <v>F0-AI45-4B</v>
      </c>
      <c r="PD215" s="12"/>
      <c r="PE215" s="12"/>
      <c r="PF215" s="12"/>
      <c r="PG215" s="12"/>
      <c r="PH215" s="12" cm="1">
        <f t="array" ref="PH215">IF(COUNTIFS($U$2:$U215,$U215)=1,1,INDEX(PH:PH,_xlfn.XMATCH($U215,$U$1:EF214,0,-1))+COUNT(PH214:PM214))</f>
        <v>1</v>
      </c>
      <c r="PI215" s="12">
        <f t="shared" ref="PI215" si="570">PH215+1</f>
        <v>2</v>
      </c>
      <c r="PJ215" s="12">
        <f t="shared" ref="PJ215" si="571">PI215+1</f>
        <v>3</v>
      </c>
      <c r="PK215" s="12">
        <f>PJ215+1</f>
        <v>4</v>
      </c>
      <c r="PL215" s="12">
        <f t="shared" ref="PL215" si="572">PK215+1</f>
        <v>5</v>
      </c>
      <c r="PM215" s="12">
        <f t="shared" ref="PM215" si="573">PL215+1</f>
        <v>6</v>
      </c>
      <c r="PN215" s="12"/>
      <c r="PO215" s="12"/>
      <c r="PP215" s="12"/>
      <c r="PQ215" s="12">
        <v>1</v>
      </c>
      <c r="PR215" s="12">
        <v>2</v>
      </c>
      <c r="PS215" s="12">
        <v>3</v>
      </c>
      <c r="PT215" s="12">
        <v>4</v>
      </c>
      <c r="PU215" s="12">
        <v>5</v>
      </c>
      <c r="PV215" s="13">
        <v>6</v>
      </c>
    </row>
    <row r="216" spans="1:438" x14ac:dyDescent="0.25">
      <c r="A216" t="s">
        <v>1296</v>
      </c>
      <c r="B216" s="33" t="s">
        <v>1337</v>
      </c>
      <c r="P216" t="s">
        <v>482</v>
      </c>
      <c r="T216" s="14" t="s">
        <v>554</v>
      </c>
      <c r="U216">
        <v>69</v>
      </c>
      <c r="W216" t="s">
        <v>1288</v>
      </c>
      <c r="X216" s="36" t="s">
        <v>1056</v>
      </c>
      <c r="Y216" s="45" cm="1">
        <f t="array" ref="Y216">IF(COUNTIFS($X$2:$X216,$X216)=1,"1",VALUE(SUBSTITUTE(INDEX(Y:Y,_xlfn.XMATCH($X216,$X$1:$X215,0,-1)),"A",""))+INDEX(Z:Z,_xlfn.XMATCH($X216,$X$1:$X215,0,-1))+1)</f>
        <v>7</v>
      </c>
      <c r="Z216" s="46" cm="1">
        <f t="array" ref="Z216">SUM(IF(ISNUMBER(FIND("TmAi",$BE$1:$AAL$1)),IF(IFERROR(ISODD(SUBSTITUTE($BE216:$AAL216,"A","")),FALSE),IF(ISODD(SUBSTITUTE($BE216:$AAL216,"A","")),1,0),0)))</f>
        <v>0</v>
      </c>
      <c r="AA216" t="str">
        <f t="shared" si="482"/>
        <v>13B</v>
      </c>
      <c r="AB216" t="str">
        <f t="shared" si="483"/>
        <v>14B</v>
      </c>
      <c r="AP216" t="s">
        <v>137</v>
      </c>
      <c r="AQ216" t="s">
        <v>1292</v>
      </c>
      <c r="AS216" t="s">
        <v>396</v>
      </c>
      <c r="JZ216" s="27" t="str">
        <f t="shared" ref="JZ216:JZ224" si="574">CONCATENATE("XT",U216)</f>
        <v>XT69</v>
      </c>
      <c r="KC216" t="str">
        <f t="shared" ref="KC216:KC224" si="575">CONCATENATE(T216,"-AI",REPLACE($X216,1,3,""),"-",AA216)</f>
        <v>F0-AI30-13B</v>
      </c>
      <c r="KD216" t="str">
        <f t="shared" ref="KD216:KD224" si="576">CONCATENATE(T216,"-AI",REPLACE($X216,1,3,""),"-",AB216)</f>
        <v>F0-AI30-14B</v>
      </c>
      <c r="KI216">
        <v>7</v>
      </c>
      <c r="KJ216">
        <f t="shared" ref="KJ216" si="577">KI216+1</f>
        <v>8</v>
      </c>
      <c r="KK216">
        <f t="shared" ref="KK216" si="578">KJ216+1</f>
        <v>9</v>
      </c>
      <c r="KN216" t="s">
        <v>548</v>
      </c>
      <c r="KO216" s="16" t="s">
        <v>548</v>
      </c>
      <c r="KS216" s="16"/>
      <c r="OG216" s="27"/>
      <c r="PV216" s="16"/>
    </row>
    <row r="217" spans="1:438" x14ac:dyDescent="0.25">
      <c r="A217" t="s">
        <v>1303</v>
      </c>
      <c r="B217" s="33" t="s">
        <v>1343</v>
      </c>
      <c r="P217" t="s">
        <v>482</v>
      </c>
      <c r="T217" s="14" t="s">
        <v>554</v>
      </c>
      <c r="U217">
        <v>70</v>
      </c>
      <c r="W217" t="s">
        <v>1299</v>
      </c>
      <c r="X217" t="str">
        <f>IF(COUNTIF(X$1:X216,X216)&gt;3,REPLACE(X216,LEN(X216),1,VALUE(RIGHT(X216,1))+1),X216)</f>
        <v>A3.31</v>
      </c>
      <c r="Y217" s="43" t="str" cm="1">
        <f t="array" ref="Y217">IF(COUNTIFS($X$2:$X217,$X217)=1,"1",VALUE(SUBSTITUTE(INDEX(Y:Y,_xlfn.XMATCH($X217,$X$1:$X216,0,-1)),"A",""))+INDEX(Z:Z,_xlfn.XMATCH($X217,$X$1:$X216,0,-1))+1)</f>
        <v>1</v>
      </c>
      <c r="Z217" s="46" cm="1">
        <f t="array" ref="Z217">SUM(IF(ISNUMBER(FIND("TmAi",$BE$1:$AAL$1)),IF(IFERROR(ISODD(SUBSTITUTE($BE217:$AAL217,"A","")),FALSE),IF(ISODD(SUBSTITUTE($BE217:$AAL217,"A","")),1,0),0)))</f>
        <v>0</v>
      </c>
      <c r="AA217" t="str">
        <f t="shared" si="482"/>
        <v>1B</v>
      </c>
      <c r="AB217" t="str">
        <f t="shared" si="483"/>
        <v>2B</v>
      </c>
      <c r="AP217" t="s">
        <v>137</v>
      </c>
      <c r="AQ217" t="s">
        <v>1307</v>
      </c>
      <c r="AS217" t="s">
        <v>396</v>
      </c>
      <c r="JZ217" s="27" t="str">
        <f t="shared" si="574"/>
        <v>XT70</v>
      </c>
      <c r="KC217" t="str">
        <f t="shared" si="575"/>
        <v>F0-AI31-1B</v>
      </c>
      <c r="KD217" t="str">
        <f t="shared" si="576"/>
        <v>F0-AI31-2B</v>
      </c>
      <c r="KI217">
        <v>1</v>
      </c>
      <c r="KJ217">
        <f t="shared" ref="KJ217:KJ222" si="579">KI217+1</f>
        <v>2</v>
      </c>
      <c r="KK217">
        <f t="shared" ref="KK217:KK222" si="580">KJ217+1</f>
        <v>3</v>
      </c>
      <c r="KN217" t="s">
        <v>548</v>
      </c>
      <c r="KO217" s="16" t="s">
        <v>548</v>
      </c>
      <c r="KS217" s="16"/>
      <c r="OG217" s="27"/>
      <c r="PV217" s="16"/>
    </row>
    <row r="218" spans="1:438" x14ac:dyDescent="0.25">
      <c r="A218" t="s">
        <v>1304</v>
      </c>
      <c r="B218" s="33" t="s">
        <v>1344</v>
      </c>
      <c r="P218" t="s">
        <v>482</v>
      </c>
      <c r="T218" s="14" t="s">
        <v>554</v>
      </c>
      <c r="U218">
        <v>70</v>
      </c>
      <c r="W218" t="s">
        <v>1305</v>
      </c>
      <c r="X218" t="str">
        <f>IF(COUNTIF(X$1:X217,X217)&gt;3,REPLACE(X217,LEN(X217),1,VALUE(RIGHT(X217,1))+1),X217)</f>
        <v>A3.31</v>
      </c>
      <c r="Y218" s="43" cm="1">
        <f t="array" ref="Y218">IF(COUNTIFS($X$2:$X218,$X218)=1,"1",VALUE(SUBSTITUTE(INDEX(Y:Y,_xlfn.XMATCH($X218,$X$1:$X217,0,-1)),"A",""))+INDEX(Z:Z,_xlfn.XMATCH($X218,$X$1:$X217,0,-1))+1)</f>
        <v>2</v>
      </c>
      <c r="Z218" s="46" cm="1">
        <f t="array" ref="Z218">SUM(IF(ISNUMBER(FIND("TmAi",$BE$1:$AAL$1)),IF(IFERROR(ISODD(SUBSTITUTE($BE218:$AAL218,"A","")),FALSE),IF(ISODD(SUBSTITUTE($BE218:$AAL218,"A","")),1,0),0)))</f>
        <v>0</v>
      </c>
      <c r="AA218" t="str">
        <f t="shared" si="482"/>
        <v>3B</v>
      </c>
      <c r="AB218" t="str">
        <f t="shared" si="483"/>
        <v>4B</v>
      </c>
      <c r="AP218" t="s">
        <v>137</v>
      </c>
      <c r="AQ218" t="s">
        <v>1307</v>
      </c>
      <c r="AS218" t="s">
        <v>396</v>
      </c>
      <c r="JZ218" s="27" t="str">
        <f t="shared" si="574"/>
        <v>XT70</v>
      </c>
      <c r="KC218" t="str">
        <f t="shared" si="575"/>
        <v>F0-AI31-3B</v>
      </c>
      <c r="KD218" t="str">
        <f t="shared" si="576"/>
        <v>F0-AI31-4B</v>
      </c>
      <c r="KI218" cm="1">
        <f t="array" ref="KI218">IF(COUNTIFS($U$2:$U218,$U218)=1,1,INDEX(KI:KI,_xlfn.XMATCH(U218,U$1:U217,0,-1))+COUNT(KI217:KM217))</f>
        <v>4</v>
      </c>
      <c r="KJ218">
        <f t="shared" si="579"/>
        <v>5</v>
      </c>
      <c r="KK218">
        <f t="shared" si="580"/>
        <v>6</v>
      </c>
      <c r="KN218" t="s">
        <v>548</v>
      </c>
      <c r="KO218" s="16" t="s">
        <v>548</v>
      </c>
      <c r="KS218" s="16"/>
      <c r="OG218" s="27"/>
      <c r="PV218" s="16"/>
    </row>
    <row r="219" spans="1:438" x14ac:dyDescent="0.25">
      <c r="A219" t="s">
        <v>1308</v>
      </c>
      <c r="B219" s="36" t="s">
        <v>1345</v>
      </c>
      <c r="P219" t="s">
        <v>482</v>
      </c>
      <c r="T219" s="14" t="s">
        <v>554</v>
      </c>
      <c r="U219">
        <v>70</v>
      </c>
      <c r="W219" t="s">
        <v>1301</v>
      </c>
      <c r="X219" t="str">
        <f>IF(COUNTIF(X$1:X218,X218)&gt;3,REPLACE(X218,LEN(X218),1,VALUE(RIGHT(X218,1))+1),X218)</f>
        <v>A3.31</v>
      </c>
      <c r="Y219" s="43" cm="1">
        <f t="array" ref="Y219">IF(COUNTIFS($X$2:$X219,$X219)=1,"1",VALUE(SUBSTITUTE(INDEX(Y:Y,_xlfn.XMATCH($X219,$X$1:$X218,0,-1)),"A",""))+INDEX(Z:Z,_xlfn.XMATCH($X219,$X$1:$X218,0,-1))+1)</f>
        <v>3</v>
      </c>
      <c r="Z219" s="46" cm="1">
        <f t="array" ref="Z219">SUM(IF(ISNUMBER(FIND("TmAi",$BE$1:$AAL$1)),IF(IFERROR(ISODD(SUBSTITUTE($BE219:$AAL219,"A","")),FALSE),IF(ISODD(SUBSTITUTE($BE219:$AAL219,"A","")),1,0),0)))</f>
        <v>0</v>
      </c>
      <c r="AA219" t="str">
        <f t="shared" si="482"/>
        <v>5B</v>
      </c>
      <c r="AB219" t="str">
        <f t="shared" si="483"/>
        <v>6B</v>
      </c>
      <c r="AP219" t="s">
        <v>137</v>
      </c>
      <c r="AQ219" t="s">
        <v>1302</v>
      </c>
      <c r="AS219" t="s">
        <v>396</v>
      </c>
      <c r="JZ219" s="27" t="str">
        <f t="shared" si="574"/>
        <v>XT70</v>
      </c>
      <c r="KC219" t="str">
        <f t="shared" si="575"/>
        <v>F0-AI31-5B</v>
      </c>
      <c r="KD219" t="str">
        <f t="shared" si="576"/>
        <v>F0-AI31-6B</v>
      </c>
      <c r="KI219" cm="1">
        <f t="array" ref="KI219">IF(COUNTIFS($U$2:$U219,$U219)=1,1,INDEX(KI:KI,_xlfn.XMATCH(U219,U$1:U218,0,-1))+COUNT(KI218:KM218))</f>
        <v>7</v>
      </c>
      <c r="KJ219">
        <f t="shared" si="579"/>
        <v>8</v>
      </c>
      <c r="KK219">
        <f t="shared" si="580"/>
        <v>9</v>
      </c>
      <c r="KN219" t="s">
        <v>548</v>
      </c>
      <c r="KO219" s="16" t="s">
        <v>548</v>
      </c>
      <c r="KS219" s="16"/>
      <c r="OG219" s="27"/>
      <c r="PV219" s="16"/>
    </row>
    <row r="220" spans="1:438" x14ac:dyDescent="0.25">
      <c r="A220" t="s">
        <v>1309</v>
      </c>
      <c r="B220" s="36" t="s">
        <v>1346</v>
      </c>
      <c r="P220" t="s">
        <v>482</v>
      </c>
      <c r="T220" s="14" t="s">
        <v>554</v>
      </c>
      <c r="U220">
        <v>70</v>
      </c>
      <c r="W220" t="s">
        <v>1306</v>
      </c>
      <c r="X220" s="33" t="str">
        <f>IF(COUNTIF(X$1:X219,X219)&gt;3,REPLACE(X219,LEN(X219),1,VALUE(RIGHT(X219,1))+1),X219)</f>
        <v>A3.31</v>
      </c>
      <c r="Y220" s="45" cm="1">
        <f t="array" ref="Y220">IF(COUNTIFS($X$2:$X220,$X220)=1,"1",VALUE(SUBSTITUTE(INDEX(Y:Y,_xlfn.XMATCH($X220,$X$1:$X219,0,-1)),"A",""))+INDEX(Z:Z,_xlfn.XMATCH($X220,$X$1:$X219,0,-1))+1)</f>
        <v>4</v>
      </c>
      <c r="Z220" s="46" cm="1">
        <f t="array" ref="Z220">SUM(IF(ISNUMBER(FIND("TmAi",$BE$1:$AAL$1)),IF(IFERROR(ISODD(SUBSTITUTE($BE220:$AAL220,"A","")),FALSE),IF(ISODD(SUBSTITUTE($BE220:$AAL220,"A","")),1,0),0)))</f>
        <v>0</v>
      </c>
      <c r="AA220" t="str">
        <f t="shared" si="482"/>
        <v>7B</v>
      </c>
      <c r="AB220" t="str">
        <f t="shared" si="483"/>
        <v>8B</v>
      </c>
      <c r="AP220" t="s">
        <v>137</v>
      </c>
      <c r="AQ220" t="s">
        <v>1302</v>
      </c>
      <c r="AS220" t="s">
        <v>396</v>
      </c>
      <c r="JZ220" s="27" t="str">
        <f t="shared" si="574"/>
        <v>XT70</v>
      </c>
      <c r="KC220" t="str">
        <f t="shared" si="575"/>
        <v>F0-AI31-7B</v>
      </c>
      <c r="KD220" t="str">
        <f t="shared" si="576"/>
        <v>F0-AI31-8B</v>
      </c>
      <c r="KI220" cm="1">
        <f t="array" ref="KI220">IF(COUNTIFS($U$2:$U220,$U220)=1,1,INDEX(KI:KI,_xlfn.XMATCH(U220,U$1:U219,0,-1))+COUNT(KI219:KM219))</f>
        <v>10</v>
      </c>
      <c r="KJ220">
        <f t="shared" si="579"/>
        <v>11</v>
      </c>
      <c r="KK220">
        <f t="shared" si="580"/>
        <v>12</v>
      </c>
      <c r="KN220" t="s">
        <v>548</v>
      </c>
      <c r="KO220" s="16" t="s">
        <v>548</v>
      </c>
      <c r="KS220" s="16"/>
      <c r="OG220" s="27"/>
      <c r="PV220" s="16"/>
    </row>
    <row r="221" spans="1:438" x14ac:dyDescent="0.25">
      <c r="A221" t="s">
        <v>1351</v>
      </c>
      <c r="B221" t="s">
        <v>1347</v>
      </c>
      <c r="C221" t="s">
        <v>1355</v>
      </c>
      <c r="P221" t="s">
        <v>1356</v>
      </c>
      <c r="T221" s="14" t="s">
        <v>554</v>
      </c>
      <c r="U221">
        <v>71</v>
      </c>
      <c r="V221" t="s">
        <v>3004</v>
      </c>
      <c r="X221" t="s">
        <v>2985</v>
      </c>
      <c r="Y221" s="43" cm="1">
        <f t="array" ref="Y221">IF(COUNTIFS($X$2:$X221,$X221)=1,"1",VALUE(SUBSTITUTE(INDEX(Y:Y,_xlfn.XMATCH($X221,$X$1:$X220,0,-1)),"A",""))+INDEX(Z:Z,_xlfn.XMATCH($X221,$X$1:$X220,0,-1))+1)</f>
        <v>3</v>
      </c>
      <c r="Z221" s="46" cm="1">
        <f t="array" ref="Z221">SUM(IF(ISNUMBER(FIND("TmAi",$BE$1:$AAL$1)),IF(IFERROR(ISODD(SUBSTITUTE($BE221:$AAL221,"A","")),FALSE),IF(ISODD(SUBSTITUTE($BE221:$AAL221,"A","")),1,0),0)))</f>
        <v>0</v>
      </c>
      <c r="AA221" t="str">
        <f>CONCATENATE($Y221*2-1,"A")</f>
        <v>5A</v>
      </c>
      <c r="AB221" t="str">
        <f>CONCATENATE($Y221*2-1,"B")</f>
        <v>5B</v>
      </c>
      <c r="AP221" t="s">
        <v>137</v>
      </c>
      <c r="AS221" t="s">
        <v>396</v>
      </c>
      <c r="JZ221" s="27" t="str">
        <f t="shared" si="574"/>
        <v>XT71</v>
      </c>
      <c r="KA221" t="str">
        <f>REPLACE(AA221,1,1,LEFT(AA221,1)+1)</f>
        <v>6A</v>
      </c>
      <c r="KC221" t="str">
        <f t="shared" si="575"/>
        <v>F0-AI45-5A</v>
      </c>
      <c r="KD221" t="str">
        <f t="shared" si="576"/>
        <v>F0-AI45-5B</v>
      </c>
      <c r="KE221" t="str">
        <f t="shared" ref="KE221:KE222" si="581">CONCATENATE($T221,"-AI",REPLACE($X221,1,3,""),"-",KA221)</f>
        <v>F0-AI45-6A</v>
      </c>
      <c r="KF221" t="str">
        <f t="shared" ref="KF221:KF222" si="582">CONCATENATE($T221,"-AI",REPLACE($X221,1,3,""),"-",KB221)</f>
        <v>F0-AI45-</v>
      </c>
      <c r="KI221" cm="1">
        <f t="array" ref="KI221">IF(COUNTIFS($U$2:$U221,$U221)=1,1,INDEX(KI:KI,_xlfn.XMATCH(U221,U$1:U220,0,-1))+COUNT(KI220:KM220))</f>
        <v>1</v>
      </c>
      <c r="KJ221">
        <f t="shared" si="579"/>
        <v>2</v>
      </c>
      <c r="KK221">
        <f t="shared" si="580"/>
        <v>3</v>
      </c>
      <c r="KL221">
        <f t="shared" ref="KL221:KL222" si="583">KK221+1</f>
        <v>4</v>
      </c>
      <c r="KN221">
        <v>2</v>
      </c>
      <c r="KO221" s="16">
        <v>1</v>
      </c>
      <c r="KP221">
        <v>4</v>
      </c>
      <c r="KQ221">
        <v>3</v>
      </c>
      <c r="KS221" s="16"/>
    </row>
    <row r="222" spans="1:438" x14ac:dyDescent="0.25">
      <c r="A222" t="s">
        <v>1352</v>
      </c>
      <c r="B222" t="s">
        <v>1348</v>
      </c>
      <c r="C222" t="s">
        <v>1355</v>
      </c>
      <c r="P222" t="s">
        <v>1356</v>
      </c>
      <c r="T222" s="14" t="s">
        <v>554</v>
      </c>
      <c r="U222">
        <v>71</v>
      </c>
      <c r="V222" t="s">
        <v>3005</v>
      </c>
      <c r="X222" s="33" t="str">
        <f>IF(COUNTIF(X$1:X221,X221)&gt;7,REPLACE(X221,LEN(X221),1,VALUE(RIGHT(X221,1))+1),X221)</f>
        <v>A3.45</v>
      </c>
      <c r="Y222" s="45" cm="1">
        <f t="array" ref="Y222">IF(COUNTIFS($X$2:$X222,$X222)=1,"1",VALUE(SUBSTITUTE(INDEX(Y:Y,_xlfn.XMATCH($X222,$X$1:$X221,0,-1)),"A",""))+INDEX(Z:Z,_xlfn.XMATCH($X222,$X$1:$X221,0,-1))+1)</f>
        <v>4</v>
      </c>
      <c r="Z222" s="46" cm="1">
        <f t="array" ref="Z222">SUM(IF(ISNUMBER(FIND("TmAi",$BE$1:$AAL$1)),IF(IFERROR(ISODD(SUBSTITUTE($BE222:$AAL222,"A","")),FALSE),IF(ISODD(SUBSTITUTE($BE222:$AAL222,"A","")),1,0),0)))</f>
        <v>0</v>
      </c>
      <c r="AA222" t="str">
        <f>CONCATENATE($Y222*2-1,"A")</f>
        <v>7A</v>
      </c>
      <c r="AB222" t="str">
        <f>CONCATENATE($Y222*2-1,"B")</f>
        <v>7B</v>
      </c>
      <c r="AP222" t="s">
        <v>137</v>
      </c>
      <c r="AS222" t="s">
        <v>396</v>
      </c>
      <c r="JZ222" s="27" t="str">
        <f t="shared" si="574"/>
        <v>XT71</v>
      </c>
      <c r="KA222" t="str">
        <f>REPLACE(AA222,1,1,LEFT(AA222,1)+1)</f>
        <v>8A</v>
      </c>
      <c r="KC222" t="str">
        <f t="shared" si="575"/>
        <v>F0-AI45-7A</v>
      </c>
      <c r="KD222" t="str">
        <f t="shared" si="576"/>
        <v>F0-AI45-7B</v>
      </c>
      <c r="KE222" t="str">
        <f t="shared" si="581"/>
        <v>F0-AI45-8A</v>
      </c>
      <c r="KF222" t="str">
        <f t="shared" si="582"/>
        <v>F0-AI45-</v>
      </c>
      <c r="KI222" cm="1">
        <f t="array" ref="KI222">IF(COUNTIFS($U$2:$U222,$U222)=1,1,INDEX(KI:KI,_xlfn.XMATCH(U222,U$1:U221,0,-1))+COUNT(KI221:KM221))</f>
        <v>5</v>
      </c>
      <c r="KJ222">
        <f t="shared" si="579"/>
        <v>6</v>
      </c>
      <c r="KK222">
        <f t="shared" si="580"/>
        <v>7</v>
      </c>
      <c r="KL222">
        <f t="shared" si="583"/>
        <v>8</v>
      </c>
      <c r="KN222">
        <v>2</v>
      </c>
      <c r="KO222" s="16">
        <v>1</v>
      </c>
      <c r="KP222">
        <v>4</v>
      </c>
      <c r="KQ222">
        <v>3</v>
      </c>
      <c r="KS222" s="16"/>
    </row>
    <row r="223" spans="1:438" x14ac:dyDescent="0.25">
      <c r="A223" t="s">
        <v>1353</v>
      </c>
      <c r="B223" t="s">
        <v>1349</v>
      </c>
      <c r="C223" t="s">
        <v>1363</v>
      </c>
      <c r="P223" t="s">
        <v>482</v>
      </c>
      <c r="T223" s="14" t="s">
        <v>554</v>
      </c>
      <c r="U223">
        <v>71</v>
      </c>
      <c r="W223" t="s">
        <v>3006</v>
      </c>
      <c r="X223" s="34" t="s">
        <v>1057</v>
      </c>
      <c r="Y223" s="48" cm="1">
        <f t="array" ref="Y223">IF(COUNTIFS($X$2:$X223,$X223)=1,"1",VALUE(SUBSTITUTE(INDEX(Y:Y,_xlfn.XMATCH($X223,$X$1:$X222,0,-1)),"A",""))+INDEX(Z:Z,_xlfn.XMATCH($X223,$X$1:$X222,0,-1))+1)</f>
        <v>5</v>
      </c>
      <c r="Z223" s="46" cm="1">
        <f t="array" ref="Z223">SUM(IF(ISNUMBER(FIND("TmAi",$BE$1:$AAL$1)),IF(IFERROR(ISODD(SUBSTITUTE($BE223:$AAL223,"A","")),FALSE),IF(ISODD(SUBSTITUTE($BE223:$AAL223,"A","")),1,0),0)))</f>
        <v>0</v>
      </c>
      <c r="AA223" t="str">
        <f t="shared" ref="AA223:AA224" si="584">CONCATENATE($Y223*2-1,"B")</f>
        <v>9B</v>
      </c>
      <c r="AB223" t="str">
        <f t="shared" ref="AB223:AB224" si="585">CONCATENATE($Y223*2,"B")</f>
        <v>10B</v>
      </c>
      <c r="AP223" t="s">
        <v>137</v>
      </c>
      <c r="AS223" t="s">
        <v>396</v>
      </c>
      <c r="JZ223" s="27" t="str">
        <f t="shared" si="574"/>
        <v>XT71</v>
      </c>
      <c r="KC223" t="str">
        <f t="shared" si="575"/>
        <v>F0-AI31-9B</v>
      </c>
      <c r="KD223" t="str">
        <f t="shared" si="576"/>
        <v>F0-AI31-10B</v>
      </c>
      <c r="KI223" cm="1">
        <f t="array" ref="KI223">IF(COUNTIFS($U$2:$U223,$U223)=1,1,INDEX(KI:KI,_xlfn.XMATCH(U223,U$1:U222,0,-1))+COUNT(KI222:KM222))</f>
        <v>9</v>
      </c>
      <c r="KJ223">
        <f t="shared" ref="KJ223:KJ224" si="586">KI223+1</f>
        <v>10</v>
      </c>
      <c r="KK223">
        <f t="shared" ref="KK223:KK224" si="587">KJ223+1</f>
        <v>11</v>
      </c>
      <c r="KN223">
        <v>1</v>
      </c>
      <c r="KO223" s="16">
        <v>2</v>
      </c>
      <c r="KS223" s="16"/>
    </row>
    <row r="224" spans="1:438" ht="15.75" thickBot="1" x14ac:dyDescent="0.3">
      <c r="A224" t="s">
        <v>1354</v>
      </c>
      <c r="B224" t="s">
        <v>1350</v>
      </c>
      <c r="C224" t="s">
        <v>1363</v>
      </c>
      <c r="P224" t="s">
        <v>482</v>
      </c>
      <c r="T224" s="14" t="s">
        <v>554</v>
      </c>
      <c r="U224">
        <v>71</v>
      </c>
      <c r="W224" t="s">
        <v>3007</v>
      </c>
      <c r="X224" s="33" t="str">
        <f>IF(COUNTIF(X$1:X223,X223)&gt;7,REPLACE(X223,LEN(X223),1,VALUE(RIGHT(X223,1))+1),X223)</f>
        <v>A3.31</v>
      </c>
      <c r="Y224" s="45" cm="1">
        <f t="array" ref="Y224">IF(COUNTIFS($X$2:$X224,$X224)=1,"1",VALUE(SUBSTITUTE(INDEX(Y:Y,_xlfn.XMATCH($X224,$X$1:$X223,0,-1)),"A",""))+INDEX(Z:Z,_xlfn.XMATCH($X224,$X$1:$X223,0,-1))+1)</f>
        <v>6</v>
      </c>
      <c r="Z224" s="46" cm="1">
        <f t="array" ref="Z224">SUM(IF(ISNUMBER(FIND("TmAi",$BE$1:$AAL$1)),IF(IFERROR(ISODD(SUBSTITUTE($BE224:$AAL224,"A","")),FALSE),IF(ISODD(SUBSTITUTE($BE224:$AAL224,"A","")),1,0),0)))</f>
        <v>0</v>
      </c>
      <c r="AA224" t="str">
        <f t="shared" si="584"/>
        <v>11B</v>
      </c>
      <c r="AB224" t="str">
        <f t="shared" si="585"/>
        <v>12B</v>
      </c>
      <c r="AP224" t="s">
        <v>137</v>
      </c>
      <c r="AS224" t="s">
        <v>396</v>
      </c>
      <c r="JZ224" s="27" t="str">
        <f t="shared" si="574"/>
        <v>XT71</v>
      </c>
      <c r="KC224" t="str">
        <f t="shared" si="575"/>
        <v>F0-AI31-11B</v>
      </c>
      <c r="KD224" t="str">
        <f t="shared" si="576"/>
        <v>F0-AI31-12B</v>
      </c>
      <c r="KI224" cm="1">
        <f t="array" ref="KI224">IF(COUNTIFS($U$2:$U224,$U224)=1,1,INDEX(KI:KI,_xlfn.XMATCH(U224,U$1:U223,0,-1))+COUNT(KI223:KM223))</f>
        <v>12</v>
      </c>
      <c r="KJ224">
        <f t="shared" si="586"/>
        <v>13</v>
      </c>
      <c r="KK224">
        <f t="shared" si="587"/>
        <v>14</v>
      </c>
      <c r="KN224">
        <v>1</v>
      </c>
      <c r="KO224" s="16">
        <v>2</v>
      </c>
      <c r="KS224" s="16"/>
    </row>
    <row r="225" spans="1:357" x14ac:dyDescent="0.25">
      <c r="A225" t="s">
        <v>1372</v>
      </c>
      <c r="B225" t="s">
        <v>1371</v>
      </c>
      <c r="P225" t="s">
        <v>1370</v>
      </c>
      <c r="T225" s="10" t="s">
        <v>554</v>
      </c>
      <c r="U225" s="49">
        <v>72</v>
      </c>
      <c r="V225" s="11" t="s">
        <v>3008</v>
      </c>
      <c r="W225" s="11" t="s">
        <v>3009</v>
      </c>
      <c r="X225" s="12"/>
      <c r="Y225" s="12"/>
      <c r="Z225" s="12"/>
      <c r="AA225" s="12"/>
      <c r="AB225" s="12"/>
      <c r="AC225" s="12" t="s">
        <v>1375</v>
      </c>
      <c r="AD225" s="12"/>
      <c r="AE225" s="12"/>
      <c r="AF225" s="12" t="s">
        <v>133</v>
      </c>
      <c r="AG225" s="12" t="s">
        <v>134</v>
      </c>
      <c r="AH225" s="12" t="s">
        <v>1376</v>
      </c>
      <c r="AI225" s="72" t="str" cm="1">
        <f t="array" ref="AI225">IF(COUNTIFS(AH$2:AH225,AH225)=1,"1",VALUE(SUBSTITUTE(INDEX(AI:AI,_xlfn.XMATCH(AH225,AH$1:AH224,0,-1)),"A",""))+INDEX(AJ:AJ,_xlfn.XMATCH(AH225,AH$1:AH224,0,-1))+1)</f>
        <v>1</v>
      </c>
      <c r="AJ225" s="72" cm="1">
        <f t="array" ref="AJ225">SUM(IF(ISNUMBER(FIND("TmDo",$BE$1:$AAL$1)),IF(IFERROR(ISNUMBER(VALUE(SUBSTITUTE($BE225:$AAL225,"B",""))),FALSE),IF(ISNUMBER(VALUE(SUBSTITUTE($BE225:$AAL225,"B",""))),1,0),0)))</f>
        <v>1</v>
      </c>
      <c r="AK225" s="12" t="str">
        <f t="shared" ref="AK225:AK229" si="588">CONCATENATE($AI225,"A")</f>
        <v>1A</v>
      </c>
      <c r="AL225" s="12" t="str">
        <f t="shared" ref="AL225:AL229" si="589">CONCATENATE($AI225,"B")</f>
        <v>1B</v>
      </c>
      <c r="AM225" s="12">
        <v>1</v>
      </c>
      <c r="AN225" s="12" t="str">
        <f>CONCATENATE(AM225,"XT")</f>
        <v>1XT</v>
      </c>
      <c r="AO225" s="12" t="str">
        <f t="shared" ref="AO225" si="590">CONCATENATE(AM225,"X")</f>
        <v>1X</v>
      </c>
      <c r="AP225" s="12" t="s">
        <v>137</v>
      </c>
      <c r="AQ225" s="12" t="s">
        <v>138</v>
      </c>
      <c r="AR225" s="12"/>
      <c r="AS225" s="12"/>
      <c r="AT225" s="12" t="s">
        <v>139</v>
      </c>
      <c r="AU225" s="12" t="s">
        <v>140</v>
      </c>
      <c r="AV225" s="12"/>
      <c r="AW225" s="12"/>
      <c r="AX225" s="12"/>
      <c r="AY225" s="12"/>
      <c r="AZ225" s="12"/>
      <c r="BA225" s="12"/>
      <c r="BB225" s="12"/>
      <c r="BC225" s="12"/>
      <c r="BD225" s="13"/>
      <c r="ER225" s="25" t="str">
        <f>CONCATENATE("XT",U225)</f>
        <v>XT72</v>
      </c>
      <c r="ES225" s="12" t="str">
        <f>CONCATENATE("C",REPLACE(AF225,1,1,"")+1)</f>
        <v>C2</v>
      </c>
      <c r="ET225" s="12" t="str">
        <f>CONCATENATE("B",REPLACE(AG225,1,1,"")+1)</f>
        <v>B2</v>
      </c>
      <c r="EU225" s="12" t="str">
        <f>CONCATENATE("C",REPLACE(ES225,1,1,"")+1)</f>
        <v>C3</v>
      </c>
      <c r="EV225" s="12" t="str">
        <f>CONCATENATE("B",REPLACE(ET225,1,1,"")+1)</f>
        <v>B3</v>
      </c>
      <c r="EW225" s="12" t="str">
        <f>CONCATENATE(REPLACE(AK225,LEN(AK225),1,"")+1,"A")</f>
        <v>2A</v>
      </c>
      <c r="EX225" s="12" t="str">
        <f>CONCATENATE(REPLACE(AL225,LEN(AL225),1,"")+1,"B")</f>
        <v>2B</v>
      </c>
      <c r="EY225" s="12" t="str">
        <f>CONCATENATE("DI",REPLACE($AC225,1,3,""),"-",AF225)</f>
        <v>DI13-C1</v>
      </c>
      <c r="EZ225" s="12" t="str">
        <f>CONCATENATE("DI",REPLACE($AC225,1,3,""),"-",AG225)</f>
        <v>DI13-B1</v>
      </c>
      <c r="FA225" s="12" t="str">
        <f t="shared" ref="FA225" si="591">CONCATENATE("DI",REPLACE($AC225,1,3,""),"-",ES225)</f>
        <v>DI13-C2</v>
      </c>
      <c r="FB225" s="12" t="str">
        <f t="shared" ref="FB225" si="592">CONCATENATE("DI",REPLACE($AC225,1,3,""),"-",ET225)</f>
        <v>DI13-B2</v>
      </c>
      <c r="FC225" s="12" t="str">
        <f t="shared" ref="FC225" si="593">CONCATENATE("DI",REPLACE($AC225,1,3,""),"-",EU225)</f>
        <v>DI13-C3</v>
      </c>
      <c r="FD225" s="12" t="str">
        <f t="shared" ref="FD225" si="594">CONCATENATE("DI",REPLACE($AC225,1,3,""),"-",EV225)</f>
        <v>DI13-B3</v>
      </c>
      <c r="FE225" s="12" t="str">
        <f>CONCATENATE("DO",REPLACE($AH225,1,3,""),"-",AK225)</f>
        <v>DO7-1A</v>
      </c>
      <c r="FF225" s="12" t="str">
        <f>CONCATENATE("DO",REPLACE($AH225,1,3,""),"-",AL225)</f>
        <v>DO7-1B</v>
      </c>
      <c r="FG225" s="12" t="str">
        <f>CONCATENATE("DO",REPLACE($AH225,1,3,""),"-",EW225)</f>
        <v>DO7-2A</v>
      </c>
      <c r="FH225" s="12" t="str">
        <f>CONCATENATE("DO",REPLACE($AH225,1,3,""),"-",EX225)</f>
        <v>DO7-2B</v>
      </c>
      <c r="FI225" s="12" t="str">
        <f>CONCATENATE("K",$U225,"-03")</f>
        <v>K72-03</v>
      </c>
      <c r="FJ225" s="12" t="str">
        <f>CONCATENATE("K",$U225,"-04")</f>
        <v>K72-04</v>
      </c>
      <c r="FK225" s="12" t="str">
        <f>CONCATENATE("K",$U225,"-01")</f>
        <v>K72-01</v>
      </c>
      <c r="FL225" s="12" t="str">
        <f>CONCATENATE("K",$U225,"-02")</f>
        <v>K72-02</v>
      </c>
      <c r="FM225" s="12" t="str">
        <f t="shared" ref="FM225:FM229" si="595">CONCATENATE("K",$U225,"-05")</f>
        <v>K72-05</v>
      </c>
      <c r="FN225" s="12" t="str">
        <f>CONCATENATE($T225,"-M",$U225,"-H1")</f>
        <v>F0-M72-H1</v>
      </c>
      <c r="FO225" s="12" t="str">
        <f>CONCATENATE($T225,"-M",$U225,"-A1")</f>
        <v>F0-M72-A1</v>
      </c>
      <c r="FP225" s="12" t="str">
        <f>CONCATENATE($T225,"-M",$U225,"-3")</f>
        <v>F0-M72-3</v>
      </c>
      <c r="FQ225" s="12" t="str">
        <f>CONCATENATE($T225,"-M",$U225,"-2")</f>
        <v>F0-M72-2</v>
      </c>
      <c r="FR225" s="12" t="str">
        <f>CONCATENATE($T225,"-M",$U225,"-16")</f>
        <v>F0-M72-16</v>
      </c>
      <c r="FS225" s="12" t="str">
        <f>CONCATENATE($T225,"-M",$U225,"-15")</f>
        <v>F0-M72-15</v>
      </c>
      <c r="FT225" s="12" t="str">
        <f>CONCATENATE($T225,"-A220-M",$U225,)</f>
        <v>F0-A220-M72</v>
      </c>
      <c r="FU225" s="12" t="str">
        <f t="shared" ref="FU225:FU229" si="596">CONCATENATE($T225,"-M",$U225,"-XM01")</f>
        <v>F0-M72-XM01</v>
      </c>
      <c r="FV225" s="12" t="s">
        <v>142</v>
      </c>
      <c r="FW225" s="12" t="s">
        <v>143</v>
      </c>
      <c r="FX225" s="12">
        <v>11</v>
      </c>
      <c r="FY225" s="12">
        <v>14</v>
      </c>
      <c r="FZ225" s="12" t="s">
        <v>145</v>
      </c>
      <c r="GA225" s="12" t="s">
        <v>144</v>
      </c>
      <c r="GB225" s="12">
        <v>1</v>
      </c>
      <c r="GC225" s="12">
        <v>2</v>
      </c>
      <c r="GD225" s="12">
        <v>3</v>
      </c>
      <c r="GE225" s="12">
        <v>4</v>
      </c>
      <c r="GF225" s="12">
        <v>5</v>
      </c>
      <c r="GG225" s="12">
        <v>6</v>
      </c>
      <c r="GH225" s="12">
        <v>7</v>
      </c>
      <c r="GI225" s="12">
        <v>8</v>
      </c>
      <c r="GJ225" s="12">
        <v>9</v>
      </c>
      <c r="GK225" s="12">
        <v>1</v>
      </c>
      <c r="GL225" s="12">
        <v>2</v>
      </c>
      <c r="GM225" s="12">
        <v>3</v>
      </c>
      <c r="GN225" s="12">
        <v>15</v>
      </c>
      <c r="GO225" s="12">
        <v>16</v>
      </c>
      <c r="GP225" s="12">
        <v>1</v>
      </c>
      <c r="GQ225" s="12">
        <v>2</v>
      </c>
      <c r="GR225" s="12">
        <v>4</v>
      </c>
      <c r="GS225" s="13">
        <v>5</v>
      </c>
    </row>
    <row r="226" spans="1:357" x14ac:dyDescent="0.25">
      <c r="A226" t="s">
        <v>1377</v>
      </c>
      <c r="B226" t="s">
        <v>1384</v>
      </c>
      <c r="P226" t="s">
        <v>1370</v>
      </c>
      <c r="T226" s="27" t="s">
        <v>554</v>
      </c>
      <c r="U226">
        <v>73</v>
      </c>
      <c r="V226" t="s">
        <v>3010</v>
      </c>
      <c r="W226" t="s">
        <v>3011</v>
      </c>
      <c r="AC226" t="s">
        <v>1375</v>
      </c>
      <c r="AF226" t="s">
        <v>369</v>
      </c>
      <c r="AG226" t="s">
        <v>370</v>
      </c>
      <c r="AH226" t="s">
        <v>1376</v>
      </c>
      <c r="AI226" s="73" cm="1">
        <f t="array" ref="AI226">IF(COUNTIFS(AH$2:AH226,AH226)=1,"1",VALUE(SUBSTITUTE(INDEX(AI:AI,_xlfn.XMATCH(AH226,AH$1:AH225,0,-1)),"A",""))+INDEX(AJ:AJ,_xlfn.XMATCH(AH226,AH$1:AH225,0,-1))+1)</f>
        <v>3</v>
      </c>
      <c r="AJ226" s="73" cm="1">
        <f t="array" ref="AJ226">SUM(IF(ISNUMBER(FIND("TmDo",$BE$1:$AAL$1)),IF(IFERROR(ISNUMBER(VALUE(SUBSTITUTE($BE226:$AAL226,"B",""))),FALSE),IF(ISNUMBER(VALUE(SUBSTITUTE($BE226:$AAL226,"B",""))),1,0),0)))</f>
        <v>1</v>
      </c>
      <c r="AK226" t="str">
        <f t="shared" si="588"/>
        <v>3A</v>
      </c>
      <c r="AL226" t="str">
        <f t="shared" si="589"/>
        <v>3B</v>
      </c>
      <c r="AM226">
        <v>2</v>
      </c>
      <c r="AN226" t="str">
        <f t="shared" ref="AN226:AN229" si="597">CONCATENATE(AM226,"XT")</f>
        <v>2XT</v>
      </c>
      <c r="AO226" t="str">
        <f t="shared" ref="AO226:AO227" si="598">CONCATENATE(AM226,"X")</f>
        <v>2X</v>
      </c>
      <c r="AP226" t="s">
        <v>137</v>
      </c>
      <c r="AQ226" t="s">
        <v>138</v>
      </c>
      <c r="AT226" t="s">
        <v>139</v>
      </c>
      <c r="AU226" t="s">
        <v>140</v>
      </c>
      <c r="ER226" t="str">
        <f>CONCATENATE("XT",U226)</f>
        <v>XT73</v>
      </c>
      <c r="ES226" t="str">
        <f>CONCATENATE("C",REPLACE(AF226,1,1,"")+1)</f>
        <v>C5</v>
      </c>
      <c r="ET226" t="str">
        <f t="shared" ref="ET226:ET227" si="599">CONCATENATE("B",REPLACE(AG226,1,1,"")+1)</f>
        <v>B5</v>
      </c>
      <c r="EU226" t="str">
        <f t="shared" ref="EU226:EU227" si="600">CONCATENATE("C",REPLACE(ES226,1,1,"")+1)</f>
        <v>C6</v>
      </c>
      <c r="EV226" t="str">
        <f t="shared" ref="EV226:EV227" si="601">CONCATENATE("B",REPLACE(ET226,1,1,"")+1)</f>
        <v>B6</v>
      </c>
      <c r="EW226" t="str">
        <f>CONCATENATE(REPLACE(AK226,LEN(AK226),1,"")+1,"A")</f>
        <v>4A</v>
      </c>
      <c r="EX226" t="str">
        <f>CONCATENATE(REPLACE(AL226,LEN(AL226),1,"")+1,"B")</f>
        <v>4B</v>
      </c>
      <c r="EY226" t="str">
        <f>CONCATENATE("DI",REPLACE($AC226,1,3,""),"-",AF226)</f>
        <v>DI13-C4</v>
      </c>
      <c r="EZ226" t="str">
        <f t="shared" ref="EZ226:EZ227" si="602">CONCATENATE("DI",REPLACE($AC226,1,3,""),"-",AG226)</f>
        <v>DI13-B4</v>
      </c>
      <c r="FA226" t="str">
        <f t="shared" ref="FA226:FA227" si="603">CONCATENATE("DI",REPLACE($AC226,1,3,""),"-",ES226)</f>
        <v>DI13-C5</v>
      </c>
      <c r="FB226" t="str">
        <f t="shared" ref="FB226:FB227" si="604">CONCATENATE("DI",REPLACE($AC226,1,3,""),"-",ET226)</f>
        <v>DI13-B5</v>
      </c>
      <c r="FC226" t="str">
        <f t="shared" ref="FC226:FC227" si="605">CONCATENATE("DI",REPLACE($AC226,1,3,""),"-",EU226)</f>
        <v>DI13-C6</v>
      </c>
      <c r="FD226" t="str">
        <f t="shared" ref="FD226:FD227" si="606">CONCATENATE("DI",REPLACE($AC226,1,3,""),"-",EV226)</f>
        <v>DI13-B6</v>
      </c>
      <c r="FE226" t="str">
        <f t="shared" ref="FE226:FE227" si="607">CONCATENATE("DO",REPLACE($AH226,1,3,""),"-",AK226)</f>
        <v>DO7-3A</v>
      </c>
      <c r="FF226" t="str">
        <f t="shared" ref="FF226:FF227" si="608">CONCATENATE("DO",REPLACE($AH226,1,3,""),"-",AL226)</f>
        <v>DO7-3B</v>
      </c>
      <c r="FG226" t="str">
        <f t="shared" ref="FG226:FG227" si="609">CONCATENATE("DO",REPLACE($AH226,1,3,""),"-",EW226)</f>
        <v>DO7-4A</v>
      </c>
      <c r="FH226" t="str">
        <f t="shared" ref="FH226:FH227" si="610">CONCATENATE("DO",REPLACE($AH226,1,3,""),"-",EX226)</f>
        <v>DO7-4B</v>
      </c>
      <c r="FI226" t="str">
        <f t="shared" ref="FI226:FI229" si="611">CONCATENATE("K",$U226,"-03")</f>
        <v>K73-03</v>
      </c>
      <c r="FJ226" t="str">
        <f t="shared" ref="FJ226:FJ227" si="612">CONCATENATE("K",$U226,"-04")</f>
        <v>K73-04</v>
      </c>
      <c r="FK226" t="str">
        <f t="shared" ref="FK226:FK227" si="613">CONCATENATE("K",$U226,"-01")</f>
        <v>K73-01</v>
      </c>
      <c r="FL226" t="str">
        <f t="shared" ref="FL226:FL227" si="614">CONCATENATE("K",$U226,"-02")</f>
        <v>K73-02</v>
      </c>
      <c r="FM226" t="str">
        <f t="shared" si="595"/>
        <v>K73-05</v>
      </c>
      <c r="FN226" t="str">
        <f t="shared" ref="FN226:FN229" si="615">CONCATENATE($T226,"-M",$U226,"-H1")</f>
        <v>F0-M73-H1</v>
      </c>
      <c r="FO226" t="str">
        <f t="shared" ref="FO226:FO229" si="616">CONCATENATE($T226,"-M",$U226,"-A1")</f>
        <v>F0-M73-A1</v>
      </c>
      <c r="FP226" t="str">
        <f t="shared" ref="FP226:FP229" si="617">CONCATENATE($T226,"-M",$U226,"-3")</f>
        <v>F0-M73-3</v>
      </c>
      <c r="FQ226" t="str">
        <f t="shared" ref="FQ226:FQ227" si="618">CONCATENATE($T226,"-M",$U226,"-2")</f>
        <v>F0-M73-2</v>
      </c>
      <c r="FR226" t="str">
        <f t="shared" ref="FR226:FR227" si="619">CONCATENATE($T226,"-M",$U226,"-16")</f>
        <v>F0-M73-16</v>
      </c>
      <c r="FS226" t="str">
        <f t="shared" ref="FS226:FS227" si="620">CONCATENATE($T226,"-M",$U226,"-15")</f>
        <v>F0-M73-15</v>
      </c>
      <c r="FT226" t="str">
        <f t="shared" ref="FT226:FT229" si="621">CONCATENATE($T226,"-A220-M",$U226,)</f>
        <v>F0-A220-M73</v>
      </c>
      <c r="FU226" t="str">
        <f t="shared" si="596"/>
        <v>F0-M73-XM01</v>
      </c>
      <c r="FV226" t="s">
        <v>142</v>
      </c>
      <c r="FW226" t="s">
        <v>143</v>
      </c>
      <c r="FX226">
        <v>11</v>
      </c>
      <c r="FY226">
        <v>14</v>
      </c>
      <c r="FZ226" t="s">
        <v>145</v>
      </c>
      <c r="GA226" t="s">
        <v>144</v>
      </c>
      <c r="GB226">
        <v>1</v>
      </c>
      <c r="GC226">
        <v>2</v>
      </c>
      <c r="GD226">
        <v>3</v>
      </c>
      <c r="GE226">
        <v>4</v>
      </c>
      <c r="GF226">
        <v>5</v>
      </c>
      <c r="GG226">
        <v>6</v>
      </c>
      <c r="GH226">
        <v>7</v>
      </c>
      <c r="GI226">
        <v>8</v>
      </c>
      <c r="GJ226">
        <v>9</v>
      </c>
      <c r="GK226">
        <v>1</v>
      </c>
      <c r="GL226">
        <v>2</v>
      </c>
      <c r="GM226">
        <v>3</v>
      </c>
      <c r="GN226">
        <v>15</v>
      </c>
      <c r="GO226">
        <v>16</v>
      </c>
      <c r="GP226">
        <v>1</v>
      </c>
      <c r="GQ226">
        <v>2</v>
      </c>
      <c r="GR226">
        <v>4</v>
      </c>
      <c r="GS226">
        <v>5</v>
      </c>
    </row>
    <row r="227" spans="1:357" x14ac:dyDescent="0.25">
      <c r="A227" t="s">
        <v>1381</v>
      </c>
      <c r="B227" t="s">
        <v>1385</v>
      </c>
      <c r="P227" t="s">
        <v>1370</v>
      </c>
      <c r="T227" s="27" t="s">
        <v>554</v>
      </c>
      <c r="U227">
        <v>74</v>
      </c>
      <c r="V227" t="s">
        <v>3012</v>
      </c>
      <c r="W227" t="s">
        <v>3013</v>
      </c>
      <c r="AC227" t="s">
        <v>1375</v>
      </c>
      <c r="AF227" t="s">
        <v>148</v>
      </c>
      <c r="AG227" t="s">
        <v>149</v>
      </c>
      <c r="AH227" t="s">
        <v>1376</v>
      </c>
      <c r="AI227" s="73" cm="1">
        <f t="array" ref="AI227">IF(COUNTIFS(AH$2:AH227,AH227)=1,"1",VALUE(SUBSTITUTE(INDEX(AI:AI,_xlfn.XMATCH(AH227,AH$1:AH226,0,-1)),"A",""))+INDEX(AJ:AJ,_xlfn.XMATCH(AH227,AH$1:AH226,0,-1))+1)</f>
        <v>5</v>
      </c>
      <c r="AJ227" s="73" cm="1">
        <f t="array" ref="AJ227">SUM(IF(ISNUMBER(FIND("TmDo",$BE$1:$AAL$1)),IF(IFERROR(ISNUMBER(VALUE(SUBSTITUTE($BE227:$AAL227,"B",""))),FALSE),IF(ISNUMBER(VALUE(SUBSTITUTE($BE227:$AAL227,"B",""))),1,0),0)))</f>
        <v>1</v>
      </c>
      <c r="AK227" t="str">
        <f t="shared" si="588"/>
        <v>5A</v>
      </c>
      <c r="AL227" t="str">
        <f t="shared" si="589"/>
        <v>5B</v>
      </c>
      <c r="AM227">
        <v>3</v>
      </c>
      <c r="AN227" t="str">
        <f t="shared" si="597"/>
        <v>3XT</v>
      </c>
      <c r="AO227" t="str">
        <f t="shared" si="598"/>
        <v>3X</v>
      </c>
      <c r="AP227" t="s">
        <v>137</v>
      </c>
      <c r="AQ227" t="s">
        <v>138</v>
      </c>
      <c r="AT227" t="s">
        <v>139</v>
      </c>
      <c r="AU227" t="s">
        <v>140</v>
      </c>
      <c r="ER227" t="str">
        <f>CONCATENATE("XT",U227)</f>
        <v>XT74</v>
      </c>
      <c r="ES227" t="str">
        <f>CONCATENATE("C",REPLACE(AF227,1,1,"")+1)</f>
        <v>C8</v>
      </c>
      <c r="ET227" t="str">
        <f t="shared" si="599"/>
        <v>B8</v>
      </c>
      <c r="EU227" t="str">
        <f t="shared" si="600"/>
        <v>C9</v>
      </c>
      <c r="EV227" t="str">
        <f t="shared" si="601"/>
        <v>B9</v>
      </c>
      <c r="EW227" t="str">
        <f>CONCATENATE(REPLACE(AK227,LEN(AK227),1,"")+1,"A")</f>
        <v>6A</v>
      </c>
      <c r="EX227" t="str">
        <f>CONCATENATE(REPLACE(AL227,LEN(AL227),1,"")+1,"B")</f>
        <v>6B</v>
      </c>
      <c r="EY227" t="str">
        <f>CONCATENATE("DI",REPLACE($AC227,1,3,""),"-",AF227)</f>
        <v>DI13-C7</v>
      </c>
      <c r="EZ227" t="str">
        <f t="shared" si="602"/>
        <v>DI13-B7</v>
      </c>
      <c r="FA227" t="str">
        <f t="shared" si="603"/>
        <v>DI13-C8</v>
      </c>
      <c r="FB227" t="str">
        <f t="shared" si="604"/>
        <v>DI13-B8</v>
      </c>
      <c r="FC227" t="str">
        <f t="shared" si="605"/>
        <v>DI13-C9</v>
      </c>
      <c r="FD227" t="str">
        <f t="shared" si="606"/>
        <v>DI13-B9</v>
      </c>
      <c r="FE227" t="str">
        <f t="shared" si="607"/>
        <v>DO7-5A</v>
      </c>
      <c r="FF227" t="str">
        <f t="shared" si="608"/>
        <v>DO7-5B</v>
      </c>
      <c r="FG227" t="str">
        <f t="shared" si="609"/>
        <v>DO7-6A</v>
      </c>
      <c r="FH227" t="str">
        <f t="shared" si="610"/>
        <v>DO7-6B</v>
      </c>
      <c r="FI227" t="str">
        <f t="shared" si="611"/>
        <v>K74-03</v>
      </c>
      <c r="FJ227" t="str">
        <f t="shared" si="612"/>
        <v>K74-04</v>
      </c>
      <c r="FK227" t="str">
        <f t="shared" si="613"/>
        <v>K74-01</v>
      </c>
      <c r="FL227" t="str">
        <f t="shared" si="614"/>
        <v>K74-02</v>
      </c>
      <c r="FM227" t="str">
        <f t="shared" si="595"/>
        <v>K74-05</v>
      </c>
      <c r="FN227" t="str">
        <f t="shared" si="615"/>
        <v>F0-M74-H1</v>
      </c>
      <c r="FO227" t="str">
        <f t="shared" si="616"/>
        <v>F0-M74-A1</v>
      </c>
      <c r="FP227" t="str">
        <f t="shared" si="617"/>
        <v>F0-M74-3</v>
      </c>
      <c r="FQ227" t="str">
        <f t="shared" si="618"/>
        <v>F0-M74-2</v>
      </c>
      <c r="FR227" t="str">
        <f t="shared" si="619"/>
        <v>F0-M74-16</v>
      </c>
      <c r="FS227" t="str">
        <f t="shared" si="620"/>
        <v>F0-M74-15</v>
      </c>
      <c r="FT227" t="str">
        <f t="shared" si="621"/>
        <v>F0-A220-M74</v>
      </c>
      <c r="FU227" t="str">
        <f t="shared" si="596"/>
        <v>F0-M74-XM01</v>
      </c>
      <c r="FV227" t="s">
        <v>142</v>
      </c>
      <c r="FW227" t="s">
        <v>143</v>
      </c>
      <c r="FX227">
        <v>11</v>
      </c>
      <c r="FY227">
        <v>14</v>
      </c>
      <c r="FZ227" t="s">
        <v>145</v>
      </c>
      <c r="GA227" t="s">
        <v>144</v>
      </c>
      <c r="GB227">
        <v>1</v>
      </c>
      <c r="GC227">
        <v>2</v>
      </c>
      <c r="GD227">
        <v>3</v>
      </c>
      <c r="GE227">
        <v>4</v>
      </c>
      <c r="GF227">
        <v>5</v>
      </c>
      <c r="GG227">
        <v>6</v>
      </c>
      <c r="GH227">
        <v>7</v>
      </c>
      <c r="GI227">
        <v>8</v>
      </c>
      <c r="GJ227">
        <v>9</v>
      </c>
      <c r="GK227">
        <v>1</v>
      </c>
      <c r="GL227">
        <v>2</v>
      </c>
      <c r="GM227">
        <v>3</v>
      </c>
      <c r="GN227">
        <v>15</v>
      </c>
      <c r="GO227">
        <v>16</v>
      </c>
      <c r="GP227">
        <v>1</v>
      </c>
      <c r="GQ227">
        <v>2</v>
      </c>
      <c r="GR227">
        <v>4</v>
      </c>
      <c r="GS227">
        <v>5</v>
      </c>
    </row>
    <row r="228" spans="1:357" x14ac:dyDescent="0.25">
      <c r="A228" t="s">
        <v>1391</v>
      </c>
      <c r="B228" t="s">
        <v>1389</v>
      </c>
      <c r="P228" t="s">
        <v>1393</v>
      </c>
      <c r="T228" s="27" t="s">
        <v>554</v>
      </c>
      <c r="U228">
        <v>75</v>
      </c>
      <c r="V228" t="s">
        <v>3014</v>
      </c>
      <c r="W228" t="s">
        <v>3015</v>
      </c>
      <c r="AC228" t="s">
        <v>1375</v>
      </c>
      <c r="AF228" t="s">
        <v>377</v>
      </c>
      <c r="AG228" t="s">
        <v>378</v>
      </c>
      <c r="AH228" t="s">
        <v>1376</v>
      </c>
      <c r="AI228" s="73" cm="1">
        <f t="array" ref="AI228">IF(COUNTIFS(AH$2:AH228,AH228)=1,"1",VALUE(SUBSTITUTE(INDEX(AI:AI,_xlfn.XMATCH(AH228,AH$1:AH227,0,-1)),"A",""))+INDEX(AJ:AJ,_xlfn.XMATCH(AH228,AH$1:AH227,0,-1))+1)</f>
        <v>7</v>
      </c>
      <c r="AJ228" s="73" cm="1">
        <f t="array" ref="AJ228">SUM(IF(ISNUMBER(FIND("TmDo",$BE$1:$AAL$1)),IF(IFERROR(ISNUMBER(VALUE(SUBSTITUTE($BE228:$AAL228,"B",""))),FALSE),IF(ISNUMBER(VALUE(SUBSTITUTE($BE228:$AAL228,"B",""))),1,0),0)))</f>
        <v>0</v>
      </c>
      <c r="AK228" t="str">
        <f t="shared" si="588"/>
        <v>7A</v>
      </c>
      <c r="AL228" t="str">
        <f t="shared" si="589"/>
        <v>7B</v>
      </c>
      <c r="AM228">
        <v>4</v>
      </c>
      <c r="AN228" t="str">
        <f t="shared" si="597"/>
        <v>4XT</v>
      </c>
      <c r="AO228" t="str">
        <f t="shared" ref="AO228:AO229" si="622">CONCATENATE(AM228,"X")</f>
        <v>4X</v>
      </c>
      <c r="AP228" t="s">
        <v>137</v>
      </c>
      <c r="AQ228" t="s">
        <v>138</v>
      </c>
      <c r="AT228" t="s">
        <v>854</v>
      </c>
      <c r="AU228" t="s">
        <v>1399</v>
      </c>
      <c r="ER228" t="str">
        <f>CONCATENATE("XT",U228)</f>
        <v>XT75</v>
      </c>
      <c r="EY228" t="str">
        <f>CONCATENATE("DI",REPLACE($AC228,1,3,""),"-",AF228)</f>
        <v>DI13-C10</v>
      </c>
      <c r="EZ228" t="str">
        <f t="shared" ref="EZ228:EZ229" si="623">CONCATENATE("DI",REPLACE($AC228,1,3,""),"-",AG228)</f>
        <v>DI13-B10</v>
      </c>
      <c r="FE228" t="str">
        <f t="shared" ref="FE228:FE229" si="624">CONCATENATE("DO",REPLACE($AH228,1,3,""),"-",AK228)</f>
        <v>DO7-7A</v>
      </c>
      <c r="FF228" t="str">
        <f t="shared" ref="FF228:FF229" si="625">CONCATENATE("DO",REPLACE($AH228,1,3,""),"-",AL228)</f>
        <v>DO7-7B</v>
      </c>
      <c r="FI228" t="str">
        <f t="shared" si="611"/>
        <v>K75-03</v>
      </c>
      <c r="FM228" t="str">
        <f t="shared" si="595"/>
        <v>K75-05</v>
      </c>
      <c r="FN228" t="str">
        <f t="shared" si="615"/>
        <v>F0-M75-H1</v>
      </c>
      <c r="FO228" t="str">
        <f t="shared" si="616"/>
        <v>F0-M75-A1</v>
      </c>
      <c r="FP228" t="str">
        <f t="shared" si="617"/>
        <v>F0-M75-3</v>
      </c>
      <c r="FT228" t="str">
        <f t="shared" si="621"/>
        <v>F0-A220-M75</v>
      </c>
      <c r="FU228" t="str">
        <f t="shared" si="596"/>
        <v>F0-M75-XM01</v>
      </c>
      <c r="FV228" t="s">
        <v>142</v>
      </c>
      <c r="FW228" t="s">
        <v>143</v>
      </c>
      <c r="FX228">
        <v>11</v>
      </c>
      <c r="FY228">
        <v>14</v>
      </c>
      <c r="FZ228" t="s">
        <v>145</v>
      </c>
      <c r="GA228" t="s">
        <v>144</v>
      </c>
      <c r="GB228">
        <v>1</v>
      </c>
      <c r="GC228">
        <v>2</v>
      </c>
      <c r="GD228">
        <v>3</v>
      </c>
      <c r="GE228">
        <v>4</v>
      </c>
      <c r="GF228">
        <v>5</v>
      </c>
      <c r="GG228">
        <v>6</v>
      </c>
      <c r="GH228">
        <v>7</v>
      </c>
      <c r="GI228">
        <v>8</v>
      </c>
      <c r="GJ228">
        <v>9</v>
      </c>
      <c r="GK228">
        <v>1</v>
      </c>
      <c r="GL228">
        <v>2</v>
      </c>
      <c r="GM228">
        <v>3</v>
      </c>
      <c r="GN228">
        <v>15</v>
      </c>
      <c r="GO228">
        <v>16</v>
      </c>
      <c r="GP228">
        <v>1</v>
      </c>
      <c r="GQ228">
        <v>2</v>
      </c>
      <c r="GR228">
        <v>4</v>
      </c>
      <c r="GS228">
        <v>5</v>
      </c>
    </row>
    <row r="229" spans="1:357" ht="15.75" customHeight="1" thickBot="1" x14ac:dyDescent="0.3">
      <c r="A229" t="s">
        <v>1392</v>
      </c>
      <c r="B229" t="s">
        <v>1390</v>
      </c>
      <c r="P229" t="s">
        <v>1393</v>
      </c>
      <c r="T229" s="27" t="s">
        <v>554</v>
      </c>
      <c r="U229">
        <v>76</v>
      </c>
      <c r="V229" t="s">
        <v>3016</v>
      </c>
      <c r="W229" t="s">
        <v>3017</v>
      </c>
      <c r="AC229" t="s">
        <v>1375</v>
      </c>
      <c r="AF229" t="s">
        <v>1394</v>
      </c>
      <c r="AG229" t="s">
        <v>1395</v>
      </c>
      <c r="AH229" t="s">
        <v>1376</v>
      </c>
      <c r="AI229" s="73" cm="1">
        <f t="array" ref="AI229">IF(COUNTIFS(AH$2:AH229,AH229)=1,"1",VALUE(SUBSTITUTE(INDEX(AI:AI,_xlfn.XMATCH(AH229,AH$1:AH228,0,-1)),"A",""))+INDEX(AJ:AJ,_xlfn.XMATCH(AH229,AH$1:AH228,0,-1))+1)</f>
        <v>8</v>
      </c>
      <c r="AJ229" s="73" cm="1">
        <f t="array" ref="AJ229">SUM(IF(ISNUMBER(FIND("TmDo",$BE$1:$AAL$1)),IF(IFERROR(ISNUMBER(VALUE(SUBSTITUTE($BE229:$AAL229,"B",""))),FALSE),IF(ISNUMBER(VALUE(SUBSTITUTE($BE229:$AAL229,"B",""))),1,0),0)))</f>
        <v>0</v>
      </c>
      <c r="AK229" t="str">
        <f t="shared" si="588"/>
        <v>8A</v>
      </c>
      <c r="AL229" t="str">
        <f t="shared" si="589"/>
        <v>8B</v>
      </c>
      <c r="AM229">
        <v>5</v>
      </c>
      <c r="AN229" t="str">
        <f t="shared" si="597"/>
        <v>5XT</v>
      </c>
      <c r="AO229" t="str">
        <f t="shared" si="622"/>
        <v>5X</v>
      </c>
      <c r="AP229" t="s">
        <v>137</v>
      </c>
      <c r="AQ229" t="s">
        <v>138</v>
      </c>
      <c r="AT229" t="s">
        <v>854</v>
      </c>
      <c r="AU229" t="s">
        <v>1399</v>
      </c>
      <c r="ER229" t="str">
        <f>CONCATENATE("XT",U229)</f>
        <v>XT76</v>
      </c>
      <c r="EY229" t="str">
        <f>CONCATENATE("DI",REPLACE($AC229,1,3,""),"-",AF229)</f>
        <v>DI13-C11</v>
      </c>
      <c r="EZ229" t="str">
        <f t="shared" si="623"/>
        <v>DI13-B11</v>
      </c>
      <c r="FE229" t="str">
        <f t="shared" si="624"/>
        <v>DO7-8A</v>
      </c>
      <c r="FF229" t="str">
        <f t="shared" si="625"/>
        <v>DO7-8B</v>
      </c>
      <c r="FI229" t="str">
        <f t="shared" si="611"/>
        <v>K76-03</v>
      </c>
      <c r="FM229" t="str">
        <f t="shared" si="595"/>
        <v>K76-05</v>
      </c>
      <c r="FN229" t="str">
        <f t="shared" si="615"/>
        <v>F0-M76-H1</v>
      </c>
      <c r="FO229" t="str">
        <f t="shared" si="616"/>
        <v>F0-M76-A1</v>
      </c>
      <c r="FP229" t="str">
        <f t="shared" si="617"/>
        <v>F0-M76-3</v>
      </c>
      <c r="FT229" t="str">
        <f t="shared" si="621"/>
        <v>F0-A220-M76</v>
      </c>
      <c r="FU229" t="str">
        <f t="shared" si="596"/>
        <v>F0-M76-XM01</v>
      </c>
      <c r="FV229" t="s">
        <v>142</v>
      </c>
      <c r="FW229" t="s">
        <v>143</v>
      </c>
      <c r="FX229">
        <v>11</v>
      </c>
      <c r="FY229">
        <v>14</v>
      </c>
      <c r="FZ229" t="s">
        <v>145</v>
      </c>
      <c r="GA229" t="s">
        <v>144</v>
      </c>
      <c r="GB229">
        <v>1</v>
      </c>
      <c r="GC229">
        <v>2</v>
      </c>
      <c r="GD229">
        <v>3</v>
      </c>
      <c r="GE229">
        <v>4</v>
      </c>
      <c r="GF229">
        <v>5</v>
      </c>
      <c r="GG229">
        <v>6</v>
      </c>
      <c r="GH229">
        <v>7</v>
      </c>
      <c r="GI229">
        <v>8</v>
      </c>
      <c r="GJ229">
        <v>9</v>
      </c>
      <c r="GK229">
        <v>1</v>
      </c>
      <c r="GL229">
        <v>2</v>
      </c>
      <c r="GM229">
        <v>3</v>
      </c>
      <c r="GN229">
        <v>15</v>
      </c>
      <c r="GO229">
        <v>16</v>
      </c>
      <c r="GP229">
        <v>1</v>
      </c>
      <c r="GQ229">
        <v>2</v>
      </c>
      <c r="GR229">
        <v>4</v>
      </c>
      <c r="GS229">
        <v>5</v>
      </c>
    </row>
    <row r="230" spans="1:357" ht="15.75" thickBot="1" x14ac:dyDescent="0.3">
      <c r="A230" t="s">
        <v>1914</v>
      </c>
      <c r="B230" t="s">
        <v>1402</v>
      </c>
      <c r="P230" t="s">
        <v>1378</v>
      </c>
      <c r="T230" s="14" t="s">
        <v>554</v>
      </c>
      <c r="U230">
        <v>77</v>
      </c>
      <c r="V230" t="s">
        <v>3018</v>
      </c>
      <c r="Y230" s="43"/>
      <c r="Z230" s="46"/>
      <c r="AC230" t="s">
        <v>1375</v>
      </c>
      <c r="AF230" t="s">
        <v>153</v>
      </c>
      <c r="AG230" t="s">
        <v>154</v>
      </c>
      <c r="AP230" t="s">
        <v>137</v>
      </c>
      <c r="AQ230" t="s">
        <v>1404</v>
      </c>
      <c r="AT230" t="s">
        <v>854</v>
      </c>
      <c r="LT230" t="s">
        <v>1405</v>
      </c>
      <c r="LX230" s="25" t="str">
        <f>CONCATENATE("XT",U230)</f>
        <v>XT77</v>
      </c>
      <c r="LY230" s="12" t="str">
        <f>CONCATENATE("DI",REPLACE($AC230,1,3,""),"-",$AG230)</f>
        <v>DI13-B13</v>
      </c>
      <c r="LZ230" s="12" t="str">
        <f>CONCATENATE("DI",REPLACE($AC230,1,3,""),"-",$AF230)</f>
        <v>DI13-C13</v>
      </c>
      <c r="MA230" s="12" t="s">
        <v>910</v>
      </c>
      <c r="MB230" s="12" t="s">
        <v>1417</v>
      </c>
      <c r="MC230" s="12">
        <v>11</v>
      </c>
      <c r="MD230" s="12">
        <v>14</v>
      </c>
      <c r="ME230" s="12" t="s">
        <v>142</v>
      </c>
      <c r="MF230" s="12" t="s">
        <v>143</v>
      </c>
      <c r="MG230" s="12" t="s">
        <v>488</v>
      </c>
      <c r="MH230" s="12" t="s">
        <v>487</v>
      </c>
      <c r="MI230" s="12" t="s">
        <v>414</v>
      </c>
      <c r="MJ230" s="12" t="s">
        <v>413</v>
      </c>
      <c r="MK230" s="12">
        <v>1</v>
      </c>
      <c r="ML230" s="12">
        <f t="shared" ref="ML230" si="626">MK230+1</f>
        <v>2</v>
      </c>
      <c r="MM230" s="12"/>
      <c r="MN230" s="12"/>
      <c r="MO230" s="12"/>
      <c r="MP230" s="12"/>
      <c r="MQ230" s="12">
        <v>1</v>
      </c>
      <c r="MR230" s="12">
        <v>2</v>
      </c>
      <c r="MS230" s="13"/>
    </row>
    <row r="231" spans="1:357" ht="15.75" thickBot="1" x14ac:dyDescent="0.3">
      <c r="A231" t="s">
        <v>1915</v>
      </c>
      <c r="B231" t="s">
        <v>1411</v>
      </c>
      <c r="P231" t="s">
        <v>1378</v>
      </c>
      <c r="T231" s="14" t="s">
        <v>554</v>
      </c>
      <c r="U231">
        <v>77</v>
      </c>
      <c r="V231" t="s">
        <v>3019</v>
      </c>
      <c r="Y231" s="43"/>
      <c r="Z231" s="46"/>
      <c r="AC231" t="s">
        <v>1375</v>
      </c>
      <c r="AF231" t="s">
        <v>1406</v>
      </c>
      <c r="AG231" t="s">
        <v>1407</v>
      </c>
      <c r="AP231" t="s">
        <v>137</v>
      </c>
      <c r="AQ231" t="s">
        <v>1408</v>
      </c>
      <c r="AT231" t="s">
        <v>854</v>
      </c>
      <c r="LT231" t="s">
        <v>1405</v>
      </c>
      <c r="LX231" s="25" t="str">
        <f>CONCATENATE("XT",U231)</f>
        <v>XT77</v>
      </c>
      <c r="LY231" s="12" t="str">
        <f>CONCATENATE("DI",REPLACE($AC231,1,3,""),"-",$AG231)</f>
        <v>DI13-B14</v>
      </c>
      <c r="LZ231" s="12" t="str">
        <f>CONCATENATE("DI",REPLACE($AC231,1,3,""),"-",$AF231)</f>
        <v>DI13-C14</v>
      </c>
      <c r="MA231" s="12" t="s">
        <v>911</v>
      </c>
      <c r="MB231" s="12" t="s">
        <v>1418</v>
      </c>
      <c r="MC231" s="12">
        <v>11</v>
      </c>
      <c r="MD231" s="12">
        <v>14</v>
      </c>
      <c r="ME231" s="12" t="s">
        <v>142</v>
      </c>
      <c r="MF231" s="12" t="s">
        <v>143</v>
      </c>
      <c r="MG231" s="12" t="s">
        <v>488</v>
      </c>
      <c r="MH231" s="12" t="s">
        <v>487</v>
      </c>
      <c r="MI231" s="12" t="s">
        <v>414</v>
      </c>
      <c r="MJ231" s="12" t="s">
        <v>413</v>
      </c>
      <c r="MK231" s="12">
        <v>3</v>
      </c>
      <c r="ML231" s="12">
        <v>4</v>
      </c>
      <c r="MM231" s="12"/>
      <c r="MN231" s="12"/>
      <c r="MO231" s="12"/>
      <c r="MP231" s="12"/>
      <c r="MQ231" s="12">
        <v>1</v>
      </c>
      <c r="MR231" s="12">
        <v>2</v>
      </c>
      <c r="MS231" s="13"/>
    </row>
    <row r="232" spans="1:357" x14ac:dyDescent="0.25">
      <c r="A232" t="s">
        <v>1916</v>
      </c>
      <c r="B232" t="s">
        <v>1412</v>
      </c>
      <c r="P232" t="s">
        <v>1378</v>
      </c>
      <c r="T232" s="14" t="s">
        <v>554</v>
      </c>
      <c r="U232">
        <v>77</v>
      </c>
      <c r="V232" t="s">
        <v>3020</v>
      </c>
      <c r="Y232" s="43"/>
      <c r="Z232" s="46"/>
      <c r="AC232" t="s">
        <v>1375</v>
      </c>
      <c r="AF232" t="s">
        <v>1409</v>
      </c>
      <c r="AG232" t="s">
        <v>1410</v>
      </c>
      <c r="AP232" t="s">
        <v>137</v>
      </c>
      <c r="AQ232" t="s">
        <v>1415</v>
      </c>
      <c r="AT232" t="s">
        <v>854</v>
      </c>
      <c r="LT232" t="s">
        <v>1405</v>
      </c>
      <c r="LX232" s="25" t="str">
        <f>CONCATENATE("XT",U232)</f>
        <v>XT77</v>
      </c>
      <c r="LY232" s="12" t="str">
        <f>CONCATENATE("DI",REPLACE($AC232,1,3,""),"-",$AG232)</f>
        <v>DI13-B15</v>
      </c>
      <c r="LZ232" s="12" t="str">
        <f>CONCATENATE("DI",REPLACE($AC232,1,3,""),"-",$AF232)</f>
        <v>DI13-C15</v>
      </c>
      <c r="MA232" s="12" t="s">
        <v>1416</v>
      </c>
      <c r="MB232" s="12" t="s">
        <v>1419</v>
      </c>
      <c r="MC232" s="12">
        <v>11</v>
      </c>
      <c r="MD232" s="12">
        <v>14</v>
      </c>
      <c r="ME232" s="12" t="s">
        <v>142</v>
      </c>
      <c r="MF232" s="12" t="s">
        <v>143</v>
      </c>
      <c r="MG232" s="12" t="s">
        <v>488</v>
      </c>
      <c r="MH232" s="12" t="s">
        <v>487</v>
      </c>
      <c r="MI232" s="12" t="s">
        <v>414</v>
      </c>
      <c r="MJ232" s="12" t="s">
        <v>413</v>
      </c>
      <c r="MK232" s="12">
        <v>5</v>
      </c>
      <c r="ML232" s="12">
        <v>6</v>
      </c>
      <c r="MM232" s="12"/>
      <c r="MN232" s="12"/>
      <c r="MO232" s="12"/>
      <c r="MP232" s="12"/>
      <c r="MQ232" s="12">
        <v>1</v>
      </c>
      <c r="MR232" s="12">
        <v>2</v>
      </c>
      <c r="MS232" s="13"/>
    </row>
    <row r="233" spans="1:357" x14ac:dyDescent="0.25">
      <c r="A233" t="s">
        <v>1677</v>
      </c>
      <c r="B233" t="s">
        <v>1679</v>
      </c>
      <c r="C233" t="s">
        <v>498</v>
      </c>
      <c r="P233" t="s">
        <v>482</v>
      </c>
      <c r="T233" s="14" t="s">
        <v>554</v>
      </c>
      <c r="U233">
        <v>78</v>
      </c>
      <c r="V233" t="s">
        <v>3021</v>
      </c>
      <c r="X233" t="s">
        <v>1178</v>
      </c>
      <c r="Y233" s="43" t="str" cm="1">
        <f t="array" ref="Y233">IF(COUNTIFS($X$2:$X233,$X233)=1,"1",VALUE(SUBSTITUTE(INDEX(Y:Y,_xlfn.XMATCH($X233,$X$1:$X232,0,-1)),"A",""))+INDEX(Z:Z,_xlfn.XMATCH($X233,$X$1:$X232,0,-1))+1)</f>
        <v>1</v>
      </c>
      <c r="Z233" s="43" cm="1">
        <f t="array" ref="Z233">SUM(IF(ISNUMBER(FIND("TmAi",$BE$1:$AAL$1)),IF(IFERROR(ISODD(SUBSTITUTE($BE233:$AAL233,"A","")),FALSE),IF(ISODD(SUBSTITUTE($BE233:$AAL233,"A","")),1,0),0)))</f>
        <v>0</v>
      </c>
      <c r="AA233" t="str">
        <f t="shared" ref="AA233:AA266" si="627">CONCATENATE($Y233*2-1,"B")</f>
        <v>1B</v>
      </c>
      <c r="AB233" t="str">
        <f t="shared" ref="AB233:AB266" si="628">CONCATENATE($Y233*2,"B")</f>
        <v>2B</v>
      </c>
      <c r="AP233" t="s">
        <v>137</v>
      </c>
      <c r="AS233" t="s">
        <v>396</v>
      </c>
      <c r="JZ233" s="27" t="str">
        <f t="shared" ref="JZ233:JZ266" si="629">CONCATENATE("XT",U233)</f>
        <v>XT78</v>
      </c>
      <c r="KC233" t="str">
        <f t="shared" ref="KC233:KC266" si="630">CONCATENATE(T233,"-AI",REPLACE($X233,1,3,""),"-",AA233)</f>
        <v>F0-AI32-1B</v>
      </c>
      <c r="KD233" t="str">
        <f t="shared" ref="KD233:KD266" si="631">CONCATENATE(T233,"-AI",REPLACE($X233,1,3,""),"-",AB233)</f>
        <v>F0-AI32-2B</v>
      </c>
      <c r="KI233" cm="1">
        <f t="array" ref="KI233">IF(COUNTIFS($U$2:$U233,$U233)=1,1,INDEX(KI:KI,_xlfn.XMATCH(U233,U$1:U232,0,-1))+COUNT(KI232:KM232))</f>
        <v>1</v>
      </c>
      <c r="KJ233">
        <f>KI233+1</f>
        <v>2</v>
      </c>
      <c r="KK233">
        <f>KJ233+1</f>
        <v>3</v>
      </c>
      <c r="KN233">
        <v>1</v>
      </c>
      <c r="KO233" s="16">
        <v>2</v>
      </c>
      <c r="KS233" s="16"/>
    </row>
    <row r="234" spans="1:357" x14ac:dyDescent="0.25">
      <c r="A234" t="s">
        <v>1678</v>
      </c>
      <c r="B234" s="33" t="s">
        <v>1680</v>
      </c>
      <c r="C234" t="s">
        <v>492</v>
      </c>
      <c r="P234" t="s">
        <v>482</v>
      </c>
      <c r="T234" s="14" t="s">
        <v>554</v>
      </c>
      <c r="U234">
        <v>78</v>
      </c>
      <c r="V234" t="s">
        <v>3022</v>
      </c>
      <c r="X234" t="str">
        <f>IF(COUNTIF(X$1:X233,X233)&gt;7,REPLACE(X233,LEN(X233),1,VALUE(RIGHT(X233,1))+1),X233)</f>
        <v>A3.32</v>
      </c>
      <c r="Y234" s="43" cm="1">
        <f t="array" ref="Y234">IF(COUNTIFS($X$2:$X234,$X234)=1,"1",VALUE(SUBSTITUTE(INDEX(Y:Y,_xlfn.XMATCH($X234,$X$1:$X233,0,-1)),"A",""))+INDEX(Z:Z,_xlfn.XMATCH($X234,$X$1:$X233,0,-1))+1)</f>
        <v>2</v>
      </c>
      <c r="Z234" s="43" cm="1">
        <f t="array" ref="Z234">SUM(IF(ISNUMBER(FIND("TmAi",$BE$1:$AAL$1)),IF(IFERROR(ISODD(SUBSTITUTE($BE234:$AAL234,"A","")),FALSE),IF(ISODD(SUBSTITUTE($BE234:$AAL234,"A","")),1,0),0)))</f>
        <v>0</v>
      </c>
      <c r="AA234" t="str">
        <f t="shared" si="627"/>
        <v>3B</v>
      </c>
      <c r="AB234" t="str">
        <f t="shared" si="628"/>
        <v>4B</v>
      </c>
      <c r="AP234" t="s">
        <v>137</v>
      </c>
      <c r="AS234" t="s">
        <v>396</v>
      </c>
      <c r="JZ234" s="27" t="str">
        <f t="shared" si="629"/>
        <v>XT78</v>
      </c>
      <c r="KC234" t="str">
        <f t="shared" si="630"/>
        <v>F0-AI32-3B</v>
      </c>
      <c r="KD234" t="str">
        <f t="shared" si="631"/>
        <v>F0-AI32-4B</v>
      </c>
      <c r="KI234" cm="1">
        <f t="array" ref="KI234">IF(COUNTIFS($U$2:$U234,$U234)=1,1,INDEX(KI:KI,_xlfn.XMATCH(U234,U$1:U233,0,-1))+COUNT(KI233:KM233))</f>
        <v>4</v>
      </c>
      <c r="KJ234">
        <f t="shared" ref="KJ234:KJ235" si="632">KI234+1</f>
        <v>5</v>
      </c>
      <c r="KK234">
        <f t="shared" ref="KK234:KK235" si="633">KJ234+1</f>
        <v>6</v>
      </c>
      <c r="KN234">
        <v>1</v>
      </c>
      <c r="KO234" s="16">
        <v>2</v>
      </c>
      <c r="KS234" s="16"/>
    </row>
    <row r="235" spans="1:357" x14ac:dyDescent="0.25">
      <c r="A235" t="s">
        <v>1685</v>
      </c>
      <c r="B235" t="s">
        <v>1689</v>
      </c>
      <c r="C235" t="s">
        <v>498</v>
      </c>
      <c r="P235" t="s">
        <v>482</v>
      </c>
      <c r="T235" s="14" t="s">
        <v>554</v>
      </c>
      <c r="U235">
        <v>79</v>
      </c>
      <c r="V235" t="s">
        <v>3023</v>
      </c>
      <c r="X235" t="s">
        <v>2987</v>
      </c>
      <c r="Y235" s="43" t="str" cm="1">
        <f t="array" ref="Y235">IF(COUNTIFS($X$2:$X235,$X235)=1,"1",VALUE(SUBSTITUTE(INDEX(Y:Y,_xlfn.XMATCH($X235,$X$1:$X234,0,-1)),"A",""))+INDEX(Z:Z,_xlfn.XMATCH($X235,$X$1:$X234,0,-1))+1)</f>
        <v>1</v>
      </c>
      <c r="Z235" s="43" cm="1">
        <f t="array" ref="Z235">SUM(IF(ISNUMBER(FIND("TmAi",$BE$1:$AAL$1)),IF(IFERROR(ISODD(SUBSTITUTE($BE235:$AAL235,"A","")),FALSE),IF(ISODD(SUBSTITUTE($BE235:$AAL235,"A","")),1,0),0)))</f>
        <v>0</v>
      </c>
      <c r="AA235" t="str">
        <f t="shared" si="627"/>
        <v>1B</v>
      </c>
      <c r="AB235" t="str">
        <f t="shared" si="628"/>
        <v>2B</v>
      </c>
      <c r="AP235" t="s">
        <v>137</v>
      </c>
      <c r="AS235" t="s">
        <v>396</v>
      </c>
      <c r="JZ235" s="27" t="str">
        <f t="shared" si="629"/>
        <v>XT79</v>
      </c>
      <c r="KC235" t="str">
        <f t="shared" si="630"/>
        <v>F0-AI33-1B</v>
      </c>
      <c r="KD235" t="str">
        <f t="shared" si="631"/>
        <v>F0-AI33-2B</v>
      </c>
      <c r="KI235" cm="1">
        <f t="array" ref="KI235">IF(COUNTIFS($U$2:$U235,$U235)=1,1,INDEX(KI:KI,_xlfn.XMATCH(U235,U$1:U234,0,-1))+COUNT(KI234:KM234))</f>
        <v>1</v>
      </c>
      <c r="KJ235">
        <f t="shared" si="632"/>
        <v>2</v>
      </c>
      <c r="KK235">
        <f t="shared" si="633"/>
        <v>3</v>
      </c>
      <c r="KN235">
        <v>1</v>
      </c>
      <c r="KO235" s="16">
        <v>2</v>
      </c>
      <c r="KS235" s="16"/>
    </row>
    <row r="236" spans="1:357" x14ac:dyDescent="0.25">
      <c r="A236" t="s">
        <v>1686</v>
      </c>
      <c r="B236" t="s">
        <v>1690</v>
      </c>
      <c r="C236" t="s">
        <v>498</v>
      </c>
      <c r="P236" t="s">
        <v>482</v>
      </c>
      <c r="T236" s="14" t="s">
        <v>554</v>
      </c>
      <c r="U236">
        <v>79</v>
      </c>
      <c r="V236" t="s">
        <v>3024</v>
      </c>
      <c r="X236" t="str">
        <f>IF(COUNTIF(X$1:X235,X235)&gt;7,REPLACE(X235,LEN(X235),1,VALUE(RIGHT(X235,1))+1),X235)</f>
        <v>А3.33</v>
      </c>
      <c r="Y236" s="43" cm="1">
        <f t="array" ref="Y236">IF(COUNTIFS($X$2:$X236,$X236)=1,"1",VALUE(SUBSTITUTE(INDEX(Y:Y,_xlfn.XMATCH($X236,$X$1:$X235,0,-1)),"A",""))+INDEX(Z:Z,_xlfn.XMATCH($X236,$X$1:$X235,0,-1))+1)</f>
        <v>2</v>
      </c>
      <c r="Z236" s="43" cm="1">
        <f t="array" ref="Z236">SUM(IF(ISNUMBER(FIND("TmAi",$BE$1:$AAL$1)),IF(IFERROR(ISODD(SUBSTITUTE($BE236:$AAL236,"A","")),FALSE),IF(ISODD(SUBSTITUTE($BE236:$AAL236,"A","")),1,0),0)))</f>
        <v>0</v>
      </c>
      <c r="AA236" t="str">
        <f t="shared" si="627"/>
        <v>3B</v>
      </c>
      <c r="AB236" t="str">
        <f t="shared" si="628"/>
        <v>4B</v>
      </c>
      <c r="AP236" t="s">
        <v>137</v>
      </c>
      <c r="AS236" t="s">
        <v>396</v>
      </c>
      <c r="JZ236" s="27" t="str">
        <f t="shared" si="629"/>
        <v>XT79</v>
      </c>
      <c r="KC236" t="str">
        <f t="shared" si="630"/>
        <v>F0-AI33-3B</v>
      </c>
      <c r="KD236" t="str">
        <f t="shared" si="631"/>
        <v>F0-AI33-4B</v>
      </c>
      <c r="KI236" cm="1">
        <f t="array" ref="KI236">IF(COUNTIFS($U$2:$U236,$U236)=1,1,INDEX(KI:KI,_xlfn.XMATCH(U236,U$1:U235,0,-1))+COUNT(KI235:KM235))</f>
        <v>4</v>
      </c>
      <c r="KJ236">
        <f t="shared" ref="KJ236:KJ239" si="634">KI236+1</f>
        <v>5</v>
      </c>
      <c r="KK236">
        <f t="shared" ref="KK236:KK239" si="635">KJ236+1</f>
        <v>6</v>
      </c>
      <c r="KN236">
        <v>1</v>
      </c>
      <c r="KO236" s="16">
        <v>2</v>
      </c>
      <c r="KS236" s="16"/>
    </row>
    <row r="237" spans="1:357" x14ac:dyDescent="0.25">
      <c r="A237" t="s">
        <v>1687</v>
      </c>
      <c r="B237" t="s">
        <v>1691</v>
      </c>
      <c r="C237" t="s">
        <v>498</v>
      </c>
      <c r="P237" t="s">
        <v>482</v>
      </c>
      <c r="T237" s="14" t="s">
        <v>554</v>
      </c>
      <c r="U237">
        <v>79</v>
      </c>
      <c r="V237" t="s">
        <v>3025</v>
      </c>
      <c r="X237" t="str">
        <f>IF(COUNTIF(X$1:X236,X236)&gt;7,REPLACE(X236,LEN(X236),1,VALUE(RIGHT(X236,1))+1),X236)</f>
        <v>А3.33</v>
      </c>
      <c r="Y237" s="43" cm="1">
        <f t="array" ref="Y237">IF(COUNTIFS($X$2:$X237,$X237)=1,"1",VALUE(SUBSTITUTE(INDEX(Y:Y,_xlfn.XMATCH($X237,$X$1:$X236,0,-1)),"A",""))+INDEX(Z:Z,_xlfn.XMATCH($X237,$X$1:$X236,0,-1))+1)</f>
        <v>3</v>
      </c>
      <c r="Z237" s="43" cm="1">
        <f t="array" ref="Z237">SUM(IF(ISNUMBER(FIND("TmAi",$BE$1:$AAL$1)),IF(IFERROR(ISODD(SUBSTITUTE($BE237:$AAL237,"A","")),FALSE),IF(ISODD(SUBSTITUTE($BE237:$AAL237,"A","")),1,0),0)))</f>
        <v>0</v>
      </c>
      <c r="AA237" t="str">
        <f t="shared" si="627"/>
        <v>5B</v>
      </c>
      <c r="AB237" t="str">
        <f t="shared" si="628"/>
        <v>6B</v>
      </c>
      <c r="AP237" t="s">
        <v>137</v>
      </c>
      <c r="AS237" t="s">
        <v>396</v>
      </c>
      <c r="JZ237" s="27" t="str">
        <f t="shared" si="629"/>
        <v>XT79</v>
      </c>
      <c r="KC237" t="str">
        <f t="shared" si="630"/>
        <v>F0-AI33-5B</v>
      </c>
      <c r="KD237" t="str">
        <f t="shared" si="631"/>
        <v>F0-AI33-6B</v>
      </c>
      <c r="KI237" cm="1">
        <f t="array" ref="KI237">IF(COUNTIFS($U$2:$U237,$U237)=1,1,INDEX(KI:KI,_xlfn.XMATCH(U237,U$1:U236,0,-1))+COUNT(KI236:KM236))</f>
        <v>7</v>
      </c>
      <c r="KJ237">
        <f t="shared" si="634"/>
        <v>8</v>
      </c>
      <c r="KK237">
        <f t="shared" si="635"/>
        <v>9</v>
      </c>
      <c r="KN237">
        <v>1</v>
      </c>
      <c r="KO237" s="16">
        <v>2</v>
      </c>
      <c r="KS237" s="16"/>
    </row>
    <row r="238" spans="1:357" x14ac:dyDescent="0.25">
      <c r="A238" t="s">
        <v>1688</v>
      </c>
      <c r="B238" s="33" t="s">
        <v>1692</v>
      </c>
      <c r="C238" t="s">
        <v>498</v>
      </c>
      <c r="P238" t="s">
        <v>482</v>
      </c>
      <c r="T238" s="14" t="s">
        <v>554</v>
      </c>
      <c r="U238">
        <v>79</v>
      </c>
      <c r="V238" t="s">
        <v>3026</v>
      </c>
      <c r="X238" t="str">
        <f>IF(COUNTIF(X$1:X237,X237)&gt;7,REPLACE(X237,LEN(X237),1,VALUE(RIGHT(X237,1))+1),X237)</f>
        <v>А3.33</v>
      </c>
      <c r="Y238" s="43" cm="1">
        <f t="array" ref="Y238">IF(COUNTIFS($X$2:$X238,$X238)=1,"1",VALUE(SUBSTITUTE(INDEX(Y:Y,_xlfn.XMATCH($X238,$X$1:$X237,0,-1)),"A",""))+INDEX(Z:Z,_xlfn.XMATCH($X238,$X$1:$X237,0,-1))+1)</f>
        <v>4</v>
      </c>
      <c r="Z238" s="43" cm="1">
        <f t="array" ref="Z238">SUM(IF(ISNUMBER(FIND("TmAi",$BE$1:$AAL$1)),IF(IFERROR(ISODD(SUBSTITUTE($BE238:$AAL238,"A","")),FALSE),IF(ISODD(SUBSTITUTE($BE238:$AAL238,"A","")),1,0),0)))</f>
        <v>0</v>
      </c>
      <c r="AA238" t="str">
        <f t="shared" si="627"/>
        <v>7B</v>
      </c>
      <c r="AB238" t="str">
        <f t="shared" si="628"/>
        <v>8B</v>
      </c>
      <c r="AP238" t="s">
        <v>137</v>
      </c>
      <c r="AS238" t="s">
        <v>396</v>
      </c>
      <c r="JZ238" s="27" t="str">
        <f t="shared" si="629"/>
        <v>XT79</v>
      </c>
      <c r="KC238" t="str">
        <f t="shared" si="630"/>
        <v>F0-AI33-7B</v>
      </c>
      <c r="KD238" t="str">
        <f t="shared" si="631"/>
        <v>F0-AI33-8B</v>
      </c>
      <c r="KI238" cm="1">
        <f t="array" ref="KI238">IF(COUNTIFS($U$2:$U238,$U238)=1,1,INDEX(KI:KI,_xlfn.XMATCH(U238,U$1:U237,0,-1))+COUNT(KI237:KM237))</f>
        <v>10</v>
      </c>
      <c r="KJ238">
        <f t="shared" si="634"/>
        <v>11</v>
      </c>
      <c r="KK238">
        <f t="shared" si="635"/>
        <v>12</v>
      </c>
      <c r="KN238">
        <v>1</v>
      </c>
      <c r="KO238" s="16">
        <v>2</v>
      </c>
      <c r="KS238" s="16"/>
    </row>
    <row r="239" spans="1:357" x14ac:dyDescent="0.25">
      <c r="A239" t="s">
        <v>1702</v>
      </c>
      <c r="B239" t="s">
        <v>1694</v>
      </c>
      <c r="C239" t="s">
        <v>498</v>
      </c>
      <c r="P239" t="s">
        <v>482</v>
      </c>
      <c r="T239" s="14" t="s">
        <v>554</v>
      </c>
      <c r="U239">
        <v>80</v>
      </c>
      <c r="V239" t="s">
        <v>1420</v>
      </c>
      <c r="X239" t="str">
        <f>IF(COUNTIF(X$1:X238,X238)&gt;7,REPLACE(X238,LEN(X238),1,VALUE(RIGHT(X238,1))+1),X238)</f>
        <v>А3.33</v>
      </c>
      <c r="Y239" s="43" cm="1">
        <f t="array" ref="Y239">IF(COUNTIFS($X$2:$X239,$X239)=1,"1",VALUE(SUBSTITUTE(INDEX(Y:Y,_xlfn.XMATCH($X239,$X$1:$X238,0,-1)),"A",""))+INDEX(Z:Z,_xlfn.XMATCH($X239,$X$1:$X238,0,-1))+1)</f>
        <v>5</v>
      </c>
      <c r="Z239" s="43" cm="1">
        <f t="array" ref="Z239">SUM(IF(ISNUMBER(FIND("TmAi",$BE$1:$AAL$1)),IF(IFERROR(ISODD(SUBSTITUTE($BE239:$AAL239,"A","")),FALSE),IF(ISODD(SUBSTITUTE($BE239:$AAL239,"A","")),1,0),0)))</f>
        <v>0</v>
      </c>
      <c r="AA239" t="str">
        <f t="shared" si="627"/>
        <v>9B</v>
      </c>
      <c r="AB239" t="str">
        <f t="shared" si="628"/>
        <v>10B</v>
      </c>
      <c r="AP239" t="s">
        <v>137</v>
      </c>
      <c r="AS239" t="s">
        <v>396</v>
      </c>
      <c r="JZ239" s="27" t="str">
        <f t="shared" si="629"/>
        <v>XT80</v>
      </c>
      <c r="KC239" t="str">
        <f t="shared" si="630"/>
        <v>F0-AI33-9B</v>
      </c>
      <c r="KD239" t="str">
        <f t="shared" si="631"/>
        <v>F0-AI33-10B</v>
      </c>
      <c r="KI239" cm="1">
        <f t="array" ref="KI239">IF(COUNTIFS($U$2:$U239,$U239)=1,1,INDEX(KI:KI,_xlfn.XMATCH(U239,U$1:U238,0,-1))+COUNT(KI238:KM238))</f>
        <v>1</v>
      </c>
      <c r="KJ239">
        <f t="shared" si="634"/>
        <v>2</v>
      </c>
      <c r="KK239">
        <f t="shared" si="635"/>
        <v>3</v>
      </c>
      <c r="KN239">
        <v>1</v>
      </c>
      <c r="KO239" s="16">
        <v>2</v>
      </c>
      <c r="KS239" s="16"/>
    </row>
    <row r="240" spans="1:357" x14ac:dyDescent="0.25">
      <c r="A240" t="s">
        <v>1703</v>
      </c>
      <c r="B240" t="s">
        <v>1696</v>
      </c>
      <c r="C240" t="s">
        <v>498</v>
      </c>
      <c r="P240" t="s">
        <v>482</v>
      </c>
      <c r="T240" s="14" t="s">
        <v>554</v>
      </c>
      <c r="U240">
        <v>80</v>
      </c>
      <c r="V240" t="s">
        <v>1421</v>
      </c>
      <c r="X240" t="str">
        <f>IF(COUNTIF(X$1:X239,X239)&gt;7,REPLACE(X239,LEN(X239),1,VALUE(RIGHT(X239,1))+1),X239)</f>
        <v>А3.33</v>
      </c>
      <c r="Y240" s="43" cm="1">
        <f t="array" ref="Y240">IF(COUNTIFS($X$2:$X240,$X240)=1,"1",VALUE(SUBSTITUTE(INDEX(Y:Y,_xlfn.XMATCH($X240,$X$1:$X239,0,-1)),"A",""))+INDEX(Z:Z,_xlfn.XMATCH($X240,$X$1:$X239,0,-1))+1)</f>
        <v>6</v>
      </c>
      <c r="Z240" s="43" cm="1">
        <f t="array" ref="Z240">SUM(IF(ISNUMBER(FIND("TmAi",$BE$1:$AAL$1)),IF(IFERROR(ISODD(SUBSTITUTE($BE240:$AAL240,"A","")),FALSE),IF(ISODD(SUBSTITUTE($BE240:$AAL240,"A","")),1,0),0)))</f>
        <v>0</v>
      </c>
      <c r="AA240" t="str">
        <f t="shared" si="627"/>
        <v>11B</v>
      </c>
      <c r="AB240" t="str">
        <f t="shared" si="628"/>
        <v>12B</v>
      </c>
      <c r="AP240" t="s">
        <v>137</v>
      </c>
      <c r="AS240" t="s">
        <v>396</v>
      </c>
      <c r="JZ240" s="27" t="str">
        <f t="shared" si="629"/>
        <v>XT80</v>
      </c>
      <c r="KC240" t="str">
        <f t="shared" si="630"/>
        <v>F0-AI33-11B</v>
      </c>
      <c r="KD240" t="str">
        <f t="shared" si="631"/>
        <v>F0-AI33-12B</v>
      </c>
      <c r="KI240" cm="1">
        <f t="array" ref="KI240">IF(COUNTIFS($U$2:$U240,$U240)=1,1,INDEX(KI:KI,_xlfn.XMATCH(U240,U$1:U239,0,-1))+COUNT(KI239:KM239))</f>
        <v>4</v>
      </c>
      <c r="KJ240">
        <f t="shared" ref="KJ240:KJ243" si="636">KI240+1</f>
        <v>5</v>
      </c>
      <c r="KK240">
        <f t="shared" ref="KK240:KK243" si="637">KJ240+1</f>
        <v>6</v>
      </c>
      <c r="KN240">
        <v>1</v>
      </c>
      <c r="KO240" s="16">
        <v>2</v>
      </c>
      <c r="KS240" s="16"/>
    </row>
    <row r="241" spans="1:305" x14ac:dyDescent="0.25">
      <c r="A241" t="s">
        <v>1704</v>
      </c>
      <c r="B241" t="s">
        <v>1698</v>
      </c>
      <c r="C241" t="s">
        <v>498</v>
      </c>
      <c r="P241" t="s">
        <v>482</v>
      </c>
      <c r="T241" s="14" t="s">
        <v>554</v>
      </c>
      <c r="U241">
        <v>80</v>
      </c>
      <c r="V241" t="s">
        <v>3027</v>
      </c>
      <c r="X241" t="str">
        <f>IF(COUNTIF(X$1:X240,X240)&gt;7,REPLACE(X240,LEN(X240),1,VALUE(RIGHT(X240,1))+1),X240)</f>
        <v>А3.33</v>
      </c>
      <c r="Y241" s="43" cm="1">
        <f t="array" ref="Y241">IF(COUNTIFS($X$2:$X241,$X241)=1,"1",VALUE(SUBSTITUTE(INDEX(Y:Y,_xlfn.XMATCH($X241,$X$1:$X240,0,-1)),"A",""))+INDEX(Z:Z,_xlfn.XMATCH($X241,$X$1:$X240,0,-1))+1)</f>
        <v>7</v>
      </c>
      <c r="Z241" s="43" cm="1">
        <f t="array" ref="Z241">SUM(IF(ISNUMBER(FIND("TmAi",$BE$1:$AAL$1)),IF(IFERROR(ISODD(SUBSTITUTE($BE241:$AAL241,"A","")),FALSE),IF(ISODD(SUBSTITUTE($BE241:$AAL241,"A","")),1,0),0)))</f>
        <v>0</v>
      </c>
      <c r="AA241" t="str">
        <f t="shared" si="627"/>
        <v>13B</v>
      </c>
      <c r="AB241" t="str">
        <f t="shared" si="628"/>
        <v>14B</v>
      </c>
      <c r="AP241" t="s">
        <v>137</v>
      </c>
      <c r="AS241" t="s">
        <v>396</v>
      </c>
      <c r="JZ241" s="27" t="str">
        <f t="shared" si="629"/>
        <v>XT80</v>
      </c>
      <c r="KC241" t="str">
        <f t="shared" si="630"/>
        <v>F0-AI33-13B</v>
      </c>
      <c r="KD241" t="str">
        <f t="shared" si="631"/>
        <v>F0-AI33-14B</v>
      </c>
      <c r="KI241" cm="1">
        <f t="array" ref="KI241">IF(COUNTIFS($U$2:$U241,$U241)=1,1,INDEX(KI:KI,_xlfn.XMATCH(U241,U$1:U240,0,-1))+COUNT(KI240:KM240))</f>
        <v>7</v>
      </c>
      <c r="KJ241">
        <f t="shared" si="636"/>
        <v>8</v>
      </c>
      <c r="KK241">
        <f t="shared" si="637"/>
        <v>9</v>
      </c>
      <c r="KN241">
        <v>1</v>
      </c>
      <c r="KO241" s="16">
        <v>2</v>
      </c>
      <c r="KS241" s="16"/>
    </row>
    <row r="242" spans="1:305" x14ac:dyDescent="0.25">
      <c r="A242" t="s">
        <v>1705</v>
      </c>
      <c r="B242" s="33" t="s">
        <v>1700</v>
      </c>
      <c r="C242" t="s">
        <v>498</v>
      </c>
      <c r="P242" t="s">
        <v>482</v>
      </c>
      <c r="T242" s="14" t="s">
        <v>554</v>
      </c>
      <c r="U242">
        <v>80</v>
      </c>
      <c r="V242" t="s">
        <v>3028</v>
      </c>
      <c r="X242" t="str">
        <f>IF(COUNTIF(X$1:X241,X241)&gt;7,REPLACE(X241,LEN(X241),1,VALUE(RIGHT(X241,1))+1),X241)</f>
        <v>А3.33</v>
      </c>
      <c r="Y242" s="43" cm="1">
        <f t="array" ref="Y242">IF(COUNTIFS($X$2:$X242,$X242)=1,"1",VALUE(SUBSTITUTE(INDEX(Y:Y,_xlfn.XMATCH($X242,$X$1:$X241,0,-1)),"A",""))+INDEX(Z:Z,_xlfn.XMATCH($X242,$X$1:$X241,0,-1))+1)</f>
        <v>8</v>
      </c>
      <c r="Z242" s="43" cm="1">
        <f t="array" ref="Z242">SUM(IF(ISNUMBER(FIND("TmAi",$BE$1:$AAL$1)),IF(IFERROR(ISODD(SUBSTITUTE($BE242:$AAL242,"A","")),FALSE),IF(ISODD(SUBSTITUTE($BE242:$AAL242,"A","")),1,0),0)))</f>
        <v>0</v>
      </c>
      <c r="AA242" t="str">
        <f t="shared" si="627"/>
        <v>15B</v>
      </c>
      <c r="AB242" t="str">
        <f t="shared" si="628"/>
        <v>16B</v>
      </c>
      <c r="AP242" t="s">
        <v>137</v>
      </c>
      <c r="AS242" t="s">
        <v>396</v>
      </c>
      <c r="JZ242" s="27" t="str">
        <f t="shared" si="629"/>
        <v>XT80</v>
      </c>
      <c r="KC242" t="str">
        <f t="shared" si="630"/>
        <v>F0-AI33-15B</v>
      </c>
      <c r="KD242" t="str">
        <f t="shared" si="631"/>
        <v>F0-AI33-16B</v>
      </c>
      <c r="KI242" cm="1">
        <f t="array" ref="KI242">IF(COUNTIFS($U$2:$U242,$U242)=1,1,INDEX(KI:KI,_xlfn.XMATCH(U242,U$1:U241,0,-1))+COUNT(KI241:KM241))</f>
        <v>10</v>
      </c>
      <c r="KJ242">
        <f t="shared" si="636"/>
        <v>11</v>
      </c>
      <c r="KK242">
        <f t="shared" si="637"/>
        <v>12</v>
      </c>
      <c r="KN242">
        <v>1</v>
      </c>
      <c r="KO242" s="16">
        <v>2</v>
      </c>
      <c r="KS242" s="16"/>
    </row>
    <row r="243" spans="1:305" x14ac:dyDescent="0.25">
      <c r="A243" t="s">
        <v>1716</v>
      </c>
      <c r="B243" t="s">
        <v>1706</v>
      </c>
      <c r="C243" t="s">
        <v>498</v>
      </c>
      <c r="P243" t="s">
        <v>482</v>
      </c>
      <c r="T243" s="14" t="s">
        <v>554</v>
      </c>
      <c r="U243">
        <v>81</v>
      </c>
      <c r="V243" t="s">
        <v>3029</v>
      </c>
      <c r="X243" t="str">
        <f>IF(COUNTIF(X$1:X242,X242)&gt;7,REPLACE(X242,LEN(X242),1,VALUE(RIGHT(X242,1))+1),X242)</f>
        <v>А3.34</v>
      </c>
      <c r="Y243" s="43" t="str" cm="1">
        <f t="array" ref="Y243">IF(COUNTIFS($X$2:$X243,$X243)=1,"1",VALUE(SUBSTITUTE(INDEX(Y:Y,_xlfn.XMATCH($X243,$X$1:$X242,0,-1)),"A",""))+INDEX(Z:Z,_xlfn.XMATCH($X243,$X$1:$X242,0,-1))+1)</f>
        <v>1</v>
      </c>
      <c r="Z243" s="43" cm="1">
        <f t="array" ref="Z243">SUM(IF(ISNUMBER(FIND("TmAi",$BE$1:$AAL$1)),IF(IFERROR(ISODD(SUBSTITUTE($BE243:$AAL243,"A","")),FALSE),IF(ISODD(SUBSTITUTE($BE243:$AAL243,"A","")),1,0),0)))</f>
        <v>0</v>
      </c>
      <c r="AA243" t="str">
        <f t="shared" si="627"/>
        <v>1B</v>
      </c>
      <c r="AB243" t="str">
        <f t="shared" si="628"/>
        <v>2B</v>
      </c>
      <c r="AP243" t="s">
        <v>137</v>
      </c>
      <c r="AS243" t="s">
        <v>396</v>
      </c>
      <c r="JZ243" s="27" t="str">
        <f t="shared" si="629"/>
        <v>XT81</v>
      </c>
      <c r="KC243" t="str">
        <f t="shared" si="630"/>
        <v>F0-AI34-1B</v>
      </c>
      <c r="KD243" t="str">
        <f t="shared" si="631"/>
        <v>F0-AI34-2B</v>
      </c>
      <c r="KI243" cm="1">
        <f t="array" ref="KI243">IF(COUNTIFS($U$2:$U243,$U243)=1,1,INDEX(KI:KI,_xlfn.XMATCH(U243,U$1:U242,0,-1))+COUNT(KI242:KM242))</f>
        <v>1</v>
      </c>
      <c r="KJ243">
        <f t="shared" si="636"/>
        <v>2</v>
      </c>
      <c r="KK243">
        <f t="shared" si="637"/>
        <v>3</v>
      </c>
      <c r="KN243">
        <v>1</v>
      </c>
      <c r="KO243" s="16">
        <v>2</v>
      </c>
      <c r="KS243" s="16"/>
    </row>
    <row r="244" spans="1:305" x14ac:dyDescent="0.25">
      <c r="A244" t="s">
        <v>1717</v>
      </c>
      <c r="B244" t="s">
        <v>1708</v>
      </c>
      <c r="C244" t="s">
        <v>498</v>
      </c>
      <c r="P244" t="s">
        <v>482</v>
      </c>
      <c r="T244" s="14" t="s">
        <v>554</v>
      </c>
      <c r="U244">
        <v>81</v>
      </c>
      <c r="V244" t="s">
        <v>3030</v>
      </c>
      <c r="X244" t="str">
        <f>IF(COUNTIF(X$1:X243,X243)&gt;7,REPLACE(X243,LEN(X243),1,VALUE(RIGHT(X243,1))+1),X243)</f>
        <v>А3.34</v>
      </c>
      <c r="Y244" s="43" cm="1">
        <f t="array" ref="Y244">IF(COUNTIFS($X$2:$X244,$X244)=1,"1",VALUE(SUBSTITUTE(INDEX(Y:Y,_xlfn.XMATCH($X244,$X$1:$X243,0,-1)),"A",""))+INDEX(Z:Z,_xlfn.XMATCH($X244,$X$1:$X243,0,-1))+1)</f>
        <v>2</v>
      </c>
      <c r="Z244" s="43" cm="1">
        <f t="array" ref="Z244">SUM(IF(ISNUMBER(FIND("TmAi",$BE$1:$AAL$1)),IF(IFERROR(ISODD(SUBSTITUTE($BE244:$AAL244,"A","")),FALSE),IF(ISODD(SUBSTITUTE($BE244:$AAL244,"A","")),1,0),0)))</f>
        <v>0</v>
      </c>
      <c r="AA244" t="str">
        <f t="shared" si="627"/>
        <v>3B</v>
      </c>
      <c r="AB244" t="str">
        <f t="shared" si="628"/>
        <v>4B</v>
      </c>
      <c r="AP244" t="s">
        <v>137</v>
      </c>
      <c r="AS244" t="s">
        <v>396</v>
      </c>
      <c r="JZ244" s="27" t="str">
        <f t="shared" si="629"/>
        <v>XT81</v>
      </c>
      <c r="KC244" t="str">
        <f t="shared" si="630"/>
        <v>F0-AI34-3B</v>
      </c>
      <c r="KD244" t="str">
        <f t="shared" si="631"/>
        <v>F0-AI34-4B</v>
      </c>
      <c r="KI244" cm="1">
        <f t="array" ref="KI244">IF(COUNTIFS($U$2:$U244,$U244)=1,1,INDEX(KI:KI,_xlfn.XMATCH(U244,U$1:U243,0,-1))+COUNT(KI243:KM243))</f>
        <v>4</v>
      </c>
      <c r="KJ244">
        <f t="shared" ref="KJ244:KJ247" si="638">KI244+1</f>
        <v>5</v>
      </c>
      <c r="KK244">
        <f t="shared" ref="KK244:KK247" si="639">KJ244+1</f>
        <v>6</v>
      </c>
      <c r="KN244">
        <v>1</v>
      </c>
      <c r="KO244" s="16">
        <v>2</v>
      </c>
      <c r="KS244" s="16"/>
    </row>
    <row r="245" spans="1:305" x14ac:dyDescent="0.25">
      <c r="A245" t="s">
        <v>1718</v>
      </c>
      <c r="B245" t="s">
        <v>1710</v>
      </c>
      <c r="C245" t="s">
        <v>498</v>
      </c>
      <c r="P245" t="s">
        <v>482</v>
      </c>
      <c r="T245" s="14" t="s">
        <v>554</v>
      </c>
      <c r="U245">
        <v>81</v>
      </c>
      <c r="V245" t="s">
        <v>3031</v>
      </c>
      <c r="X245" t="str">
        <f>IF(COUNTIF(X$1:X244,X244)&gt;7,REPLACE(X244,LEN(X244),1,VALUE(RIGHT(X244,1))+1),X244)</f>
        <v>А3.34</v>
      </c>
      <c r="Y245" s="43" cm="1">
        <f t="array" ref="Y245">IF(COUNTIFS($X$2:$X245,$X245)=1,"1",VALUE(SUBSTITUTE(INDEX(Y:Y,_xlfn.XMATCH($X245,$X$1:$X244,0,-1)),"A",""))+INDEX(Z:Z,_xlfn.XMATCH($X245,$X$1:$X244,0,-1))+1)</f>
        <v>3</v>
      </c>
      <c r="Z245" s="43" cm="1">
        <f t="array" ref="Z245">SUM(IF(ISNUMBER(FIND("TmAi",$BE$1:$AAL$1)),IF(IFERROR(ISODD(SUBSTITUTE($BE245:$AAL245,"A","")),FALSE),IF(ISODD(SUBSTITUTE($BE245:$AAL245,"A","")),1,0),0)))</f>
        <v>0</v>
      </c>
      <c r="AA245" t="str">
        <f t="shared" si="627"/>
        <v>5B</v>
      </c>
      <c r="AB245" t="str">
        <f t="shared" si="628"/>
        <v>6B</v>
      </c>
      <c r="AP245" t="s">
        <v>137</v>
      </c>
      <c r="AS245" t="s">
        <v>396</v>
      </c>
      <c r="JZ245" s="27" t="str">
        <f t="shared" si="629"/>
        <v>XT81</v>
      </c>
      <c r="KC245" t="str">
        <f t="shared" si="630"/>
        <v>F0-AI34-5B</v>
      </c>
      <c r="KD245" t="str">
        <f t="shared" si="631"/>
        <v>F0-AI34-6B</v>
      </c>
      <c r="KI245" cm="1">
        <f t="array" ref="KI245">IF(COUNTIFS($U$2:$U245,$U245)=1,1,INDEX(KI:KI,_xlfn.XMATCH(U245,U$1:U244,0,-1))+COUNT(KI244:KM244))</f>
        <v>7</v>
      </c>
      <c r="KJ245">
        <f t="shared" si="638"/>
        <v>8</v>
      </c>
      <c r="KK245">
        <f t="shared" si="639"/>
        <v>9</v>
      </c>
      <c r="KN245">
        <v>1</v>
      </c>
      <c r="KO245" s="16">
        <v>2</v>
      </c>
      <c r="KS245" s="16"/>
    </row>
    <row r="246" spans="1:305" x14ac:dyDescent="0.25">
      <c r="A246" t="s">
        <v>1719</v>
      </c>
      <c r="B246" s="33" t="s">
        <v>1712</v>
      </c>
      <c r="C246" t="s">
        <v>498</v>
      </c>
      <c r="P246" t="s">
        <v>482</v>
      </c>
      <c r="T246" s="14" t="s">
        <v>554</v>
      </c>
      <c r="U246">
        <v>81</v>
      </c>
      <c r="V246" t="s">
        <v>3032</v>
      </c>
      <c r="X246" t="str">
        <f>IF(COUNTIF(X$1:X245,X245)&gt;7,REPLACE(X245,LEN(X245),1,VALUE(RIGHT(X245,1))+1),X245)</f>
        <v>А3.34</v>
      </c>
      <c r="Y246" s="43" cm="1">
        <f t="array" ref="Y246">IF(COUNTIFS($X$2:$X246,$X246)=1,"1",VALUE(SUBSTITUTE(INDEX(Y:Y,_xlfn.XMATCH($X246,$X$1:$X245,0,-1)),"A",""))+INDEX(Z:Z,_xlfn.XMATCH($X246,$X$1:$X245,0,-1))+1)</f>
        <v>4</v>
      </c>
      <c r="Z246" s="43" cm="1">
        <f t="array" ref="Z246">SUM(IF(ISNUMBER(FIND("TmAi",$BE$1:$AAL$1)),IF(IFERROR(ISODD(SUBSTITUTE($BE246:$AAL246,"A","")),FALSE),IF(ISODD(SUBSTITUTE($BE246:$AAL246,"A","")),1,0),0)))</f>
        <v>0</v>
      </c>
      <c r="AA246" t="str">
        <f t="shared" si="627"/>
        <v>7B</v>
      </c>
      <c r="AB246" t="str">
        <f t="shared" si="628"/>
        <v>8B</v>
      </c>
      <c r="AP246" t="s">
        <v>137</v>
      </c>
      <c r="AS246" t="s">
        <v>396</v>
      </c>
      <c r="JZ246" s="27" t="str">
        <f t="shared" si="629"/>
        <v>XT81</v>
      </c>
      <c r="KC246" t="str">
        <f t="shared" si="630"/>
        <v>F0-AI34-7B</v>
      </c>
      <c r="KD246" t="str">
        <f t="shared" si="631"/>
        <v>F0-AI34-8B</v>
      </c>
      <c r="KI246" cm="1">
        <f t="array" ref="KI246">IF(COUNTIFS($U$2:$U246,$U246)=1,1,INDEX(KI:KI,_xlfn.XMATCH(U246,U$1:U245,0,-1))+COUNT(KI245:KM245))</f>
        <v>10</v>
      </c>
      <c r="KJ246">
        <f t="shared" si="638"/>
        <v>11</v>
      </c>
      <c r="KK246">
        <f t="shared" si="639"/>
        <v>12</v>
      </c>
      <c r="KN246">
        <v>1</v>
      </c>
      <c r="KO246" s="16">
        <v>2</v>
      </c>
      <c r="KS246" s="16"/>
    </row>
    <row r="247" spans="1:305" x14ac:dyDescent="0.25">
      <c r="A247" t="s">
        <v>1758</v>
      </c>
      <c r="B247" t="s">
        <v>1714</v>
      </c>
      <c r="C247" t="s">
        <v>498</v>
      </c>
      <c r="P247" t="s">
        <v>482</v>
      </c>
      <c r="T247" s="14" t="s">
        <v>554</v>
      </c>
      <c r="U247">
        <v>82</v>
      </c>
      <c r="V247" t="s">
        <v>3033</v>
      </c>
      <c r="X247" t="str">
        <f>IF(COUNTIF(X$1:X246,X246)&gt;7,REPLACE(X246,LEN(X246),1,VALUE(RIGHT(X246,1))+1),X246)</f>
        <v>А3.34</v>
      </c>
      <c r="Y247" s="43" cm="1">
        <f t="array" ref="Y247">IF(COUNTIFS($X$2:$X247,$X247)=1,"1",VALUE(SUBSTITUTE(INDEX(Y:Y,_xlfn.XMATCH($X247,$X$1:$X246,0,-1)),"A",""))+INDEX(Z:Z,_xlfn.XMATCH($X247,$X$1:$X246,0,-1))+1)</f>
        <v>5</v>
      </c>
      <c r="Z247" s="43" cm="1">
        <f t="array" ref="Z247">SUM(IF(ISNUMBER(FIND("TmAi",$BE$1:$AAL$1)),IF(IFERROR(ISODD(SUBSTITUTE($BE247:$AAL247,"A","")),FALSE),IF(ISODD(SUBSTITUTE($BE247:$AAL247,"A","")),1,0),0)))</f>
        <v>0</v>
      </c>
      <c r="AA247" t="str">
        <f t="shared" si="627"/>
        <v>9B</v>
      </c>
      <c r="AB247" t="str">
        <f t="shared" si="628"/>
        <v>10B</v>
      </c>
      <c r="AP247" t="s">
        <v>137</v>
      </c>
      <c r="AS247" t="s">
        <v>396</v>
      </c>
      <c r="JZ247" s="27" t="str">
        <f t="shared" si="629"/>
        <v>XT82</v>
      </c>
      <c r="KC247" t="str">
        <f t="shared" si="630"/>
        <v>F0-AI34-9B</v>
      </c>
      <c r="KD247" t="str">
        <f t="shared" si="631"/>
        <v>F0-AI34-10B</v>
      </c>
      <c r="KI247" cm="1">
        <f t="array" ref="KI247">IF(COUNTIFS($U$2:$U247,$U247)=1,1,INDEX(KI:KI,_xlfn.XMATCH(U247,U$1:U246,0,-1))+COUNT(KI246:KM246))</f>
        <v>1</v>
      </c>
      <c r="KJ247">
        <f t="shared" si="638"/>
        <v>2</v>
      </c>
      <c r="KK247">
        <f t="shared" si="639"/>
        <v>3</v>
      </c>
      <c r="KN247">
        <v>1</v>
      </c>
      <c r="KO247" s="16">
        <v>2</v>
      </c>
      <c r="KS247" s="16"/>
    </row>
    <row r="248" spans="1:305" x14ac:dyDescent="0.25">
      <c r="A248" t="s">
        <v>1759</v>
      </c>
      <c r="B248" t="s">
        <v>1728</v>
      </c>
      <c r="C248" t="s">
        <v>498</v>
      </c>
      <c r="P248" t="s">
        <v>482</v>
      </c>
      <c r="T248" s="14" t="s">
        <v>554</v>
      </c>
      <c r="U248">
        <v>82</v>
      </c>
      <c r="V248" t="s">
        <v>3034</v>
      </c>
      <c r="X248" t="str">
        <f>IF(COUNTIF(X$1:X247,X247)&gt;7,REPLACE(X247,LEN(X247),1,VALUE(RIGHT(X247,1))+1),X247)</f>
        <v>А3.34</v>
      </c>
      <c r="Y248" s="43" cm="1">
        <f t="array" ref="Y248">IF(COUNTIFS($X$2:$X248,$X248)=1,"1",VALUE(SUBSTITUTE(INDEX(Y:Y,_xlfn.XMATCH($X248,$X$1:$X247,0,-1)),"A",""))+INDEX(Z:Z,_xlfn.XMATCH($X248,$X$1:$X247,0,-1))+1)</f>
        <v>6</v>
      </c>
      <c r="Z248" s="43" cm="1">
        <f t="array" ref="Z248">SUM(IF(ISNUMBER(FIND("TmAi",$BE$1:$AAL$1)),IF(IFERROR(ISODD(SUBSTITUTE($BE248:$AAL248,"A","")),FALSE),IF(ISODD(SUBSTITUTE($BE248:$AAL248,"A","")),1,0),0)))</f>
        <v>0</v>
      </c>
      <c r="AA248" t="str">
        <f t="shared" si="627"/>
        <v>11B</v>
      </c>
      <c r="AB248" t="str">
        <f t="shared" si="628"/>
        <v>12B</v>
      </c>
      <c r="AP248" t="s">
        <v>137</v>
      </c>
      <c r="AS248" t="s">
        <v>396</v>
      </c>
      <c r="JZ248" s="27" t="str">
        <f t="shared" si="629"/>
        <v>XT82</v>
      </c>
      <c r="KC248" t="str">
        <f t="shared" si="630"/>
        <v>F0-AI34-11B</v>
      </c>
      <c r="KD248" t="str">
        <f t="shared" si="631"/>
        <v>F0-AI34-12B</v>
      </c>
      <c r="KI248" cm="1">
        <f t="array" ref="KI248">IF(COUNTIFS($U$2:$U248,$U248)=1,1,INDEX(KI:KI,_xlfn.XMATCH(U248,U$1:U247,0,-1))+COUNT(KI247:KM247))</f>
        <v>4</v>
      </c>
      <c r="KJ248">
        <f t="shared" ref="KJ248:KJ266" si="640">KI248+1</f>
        <v>5</v>
      </c>
      <c r="KK248">
        <f t="shared" ref="KK248:KK266" si="641">KJ248+1</f>
        <v>6</v>
      </c>
      <c r="KN248">
        <v>1</v>
      </c>
      <c r="KO248" s="16">
        <v>2</v>
      </c>
      <c r="KS248" s="16"/>
    </row>
    <row r="249" spans="1:305" x14ac:dyDescent="0.25">
      <c r="A249" t="s">
        <v>1760</v>
      </c>
      <c r="B249" t="s">
        <v>1730</v>
      </c>
      <c r="C249" t="s">
        <v>498</v>
      </c>
      <c r="P249" t="s">
        <v>482</v>
      </c>
      <c r="T249" s="14" t="s">
        <v>554</v>
      </c>
      <c r="U249">
        <v>82</v>
      </c>
      <c r="V249" t="s">
        <v>3035</v>
      </c>
      <c r="X249" t="str">
        <f>IF(COUNTIF(X$1:X248,X248)&gt;7,REPLACE(X248,LEN(X248),1,VALUE(RIGHT(X248,1))+1),X248)</f>
        <v>А3.34</v>
      </c>
      <c r="Y249" s="43" cm="1">
        <f t="array" ref="Y249">IF(COUNTIFS($X$2:$X249,$X249)=1,"1",VALUE(SUBSTITUTE(INDEX(Y:Y,_xlfn.XMATCH($X249,$X$1:$X248,0,-1)),"A",""))+INDEX(Z:Z,_xlfn.XMATCH($X249,$X$1:$X248,0,-1))+1)</f>
        <v>7</v>
      </c>
      <c r="Z249" s="43" cm="1">
        <f t="array" ref="Z249">SUM(IF(ISNUMBER(FIND("TmAi",$BE$1:$AAL$1)),IF(IFERROR(ISODD(SUBSTITUTE($BE249:$AAL249,"A","")),FALSE),IF(ISODD(SUBSTITUTE($BE249:$AAL249,"A","")),1,0),0)))</f>
        <v>0</v>
      </c>
      <c r="AA249" t="str">
        <f t="shared" si="627"/>
        <v>13B</v>
      </c>
      <c r="AB249" t="str">
        <f t="shared" si="628"/>
        <v>14B</v>
      </c>
      <c r="AP249" t="s">
        <v>137</v>
      </c>
      <c r="AS249" t="s">
        <v>396</v>
      </c>
      <c r="JZ249" s="27" t="str">
        <f t="shared" si="629"/>
        <v>XT82</v>
      </c>
      <c r="KC249" t="str">
        <f t="shared" si="630"/>
        <v>F0-AI34-13B</v>
      </c>
      <c r="KD249" t="str">
        <f t="shared" si="631"/>
        <v>F0-AI34-14B</v>
      </c>
      <c r="KI249" cm="1">
        <f t="array" ref="KI249">IF(COUNTIFS($U$2:$U249,$U249)=1,1,INDEX(KI:KI,_xlfn.XMATCH(U249,U$1:U248,0,-1))+COUNT(KI248:KM248))</f>
        <v>7</v>
      </c>
      <c r="KJ249">
        <f t="shared" si="640"/>
        <v>8</v>
      </c>
      <c r="KK249">
        <f t="shared" si="641"/>
        <v>9</v>
      </c>
      <c r="KN249">
        <v>1</v>
      </c>
      <c r="KO249" s="16">
        <v>2</v>
      </c>
      <c r="KS249" s="16"/>
    </row>
    <row r="250" spans="1:305" x14ac:dyDescent="0.25">
      <c r="A250" t="s">
        <v>1761</v>
      </c>
      <c r="B250" s="33" t="s">
        <v>1732</v>
      </c>
      <c r="C250" t="s">
        <v>498</v>
      </c>
      <c r="P250" t="s">
        <v>482</v>
      </c>
      <c r="T250" s="14" t="s">
        <v>554</v>
      </c>
      <c r="U250">
        <v>82</v>
      </c>
      <c r="V250" t="s">
        <v>3036</v>
      </c>
      <c r="X250" t="str">
        <f>IF(COUNTIF(X$1:X249,X249)&gt;7,REPLACE(X249,LEN(X249),1,VALUE(RIGHT(X249,1))+1),X249)</f>
        <v>А3.34</v>
      </c>
      <c r="Y250" s="43" cm="1">
        <f t="array" ref="Y250">IF(COUNTIFS($X$2:$X250,$X250)=1,"1",VALUE(SUBSTITUTE(INDEX(Y:Y,_xlfn.XMATCH($X250,$X$1:$X249,0,-1)),"A",""))+INDEX(Z:Z,_xlfn.XMATCH($X250,$X$1:$X249,0,-1))+1)</f>
        <v>8</v>
      </c>
      <c r="Z250" s="43" cm="1">
        <f t="array" ref="Z250">SUM(IF(ISNUMBER(FIND("TmAi",$BE$1:$AAL$1)),IF(IFERROR(ISODD(SUBSTITUTE($BE250:$AAL250,"A","")),FALSE),IF(ISODD(SUBSTITUTE($BE250:$AAL250,"A","")),1,0),0)))</f>
        <v>0</v>
      </c>
      <c r="AA250" t="str">
        <f t="shared" si="627"/>
        <v>15B</v>
      </c>
      <c r="AB250" t="str">
        <f t="shared" si="628"/>
        <v>16B</v>
      </c>
      <c r="AP250" t="s">
        <v>137</v>
      </c>
      <c r="AS250" t="s">
        <v>396</v>
      </c>
      <c r="JZ250" s="27" t="str">
        <f t="shared" si="629"/>
        <v>XT82</v>
      </c>
      <c r="KC250" t="str">
        <f t="shared" si="630"/>
        <v>F0-AI34-15B</v>
      </c>
      <c r="KD250" t="str">
        <f t="shared" si="631"/>
        <v>F0-AI34-16B</v>
      </c>
      <c r="KI250" cm="1">
        <f t="array" ref="KI250">IF(COUNTIFS($U$2:$U250,$U250)=1,1,INDEX(KI:KI,_xlfn.XMATCH(U250,U$1:U249,0,-1))+COUNT(KI249:KM249))</f>
        <v>10</v>
      </c>
      <c r="KJ250">
        <f t="shared" si="640"/>
        <v>11</v>
      </c>
      <c r="KK250">
        <f t="shared" si="641"/>
        <v>12</v>
      </c>
      <c r="KN250">
        <v>1</v>
      </c>
      <c r="KO250" s="16">
        <v>2</v>
      </c>
      <c r="KS250" s="16"/>
    </row>
    <row r="251" spans="1:305" x14ac:dyDescent="0.25">
      <c r="A251" t="s">
        <v>1762</v>
      </c>
      <c r="B251" t="s">
        <v>1738</v>
      </c>
      <c r="C251" t="s">
        <v>498</v>
      </c>
      <c r="P251" t="s">
        <v>482</v>
      </c>
      <c r="T251" s="14" t="s">
        <v>554</v>
      </c>
      <c r="U251">
        <v>83</v>
      </c>
      <c r="V251" t="s">
        <v>3037</v>
      </c>
      <c r="X251" t="str">
        <f>IF(COUNTIF(X$1:X250,X250)&gt;7,REPLACE(X250,LEN(X250),1,VALUE(RIGHT(X250,1))+1),X250)</f>
        <v>А3.35</v>
      </c>
      <c r="Y251" s="43" t="str" cm="1">
        <f t="array" ref="Y251">IF(COUNTIFS($X$2:$X251,$X251)=1,"1",VALUE(SUBSTITUTE(INDEX(Y:Y,_xlfn.XMATCH($X251,$X$1:$X250,0,-1)),"A",""))+INDEX(Z:Z,_xlfn.XMATCH($X251,$X$1:$X250,0,-1))+1)</f>
        <v>1</v>
      </c>
      <c r="Z251" s="43" cm="1">
        <f t="array" ref="Z251">SUM(IF(ISNUMBER(FIND("TmAi",$BE$1:$AAL$1)),IF(IFERROR(ISODD(SUBSTITUTE($BE251:$AAL251,"A","")),FALSE),IF(ISODD(SUBSTITUTE($BE251:$AAL251,"A","")),1,0),0)))</f>
        <v>0</v>
      </c>
      <c r="AA251" t="str">
        <f t="shared" si="627"/>
        <v>1B</v>
      </c>
      <c r="AB251" t="str">
        <f t="shared" si="628"/>
        <v>2B</v>
      </c>
      <c r="AP251" t="s">
        <v>137</v>
      </c>
      <c r="AS251" t="s">
        <v>396</v>
      </c>
      <c r="JZ251" s="27" t="str">
        <f t="shared" si="629"/>
        <v>XT83</v>
      </c>
      <c r="KC251" t="str">
        <f t="shared" si="630"/>
        <v>F0-AI35-1B</v>
      </c>
      <c r="KD251" t="str">
        <f t="shared" si="631"/>
        <v>F0-AI35-2B</v>
      </c>
      <c r="KI251" cm="1">
        <f t="array" ref="KI251">IF(COUNTIFS($U$2:$U251,$U251)=1,1,INDEX(KI:KI,_xlfn.XMATCH(U251,U$1:U250,0,-1))+COUNT(KI250:KM250))</f>
        <v>1</v>
      </c>
      <c r="KJ251">
        <f t="shared" si="640"/>
        <v>2</v>
      </c>
      <c r="KK251">
        <f t="shared" si="641"/>
        <v>3</v>
      </c>
      <c r="KN251">
        <v>1</v>
      </c>
      <c r="KO251" s="16">
        <v>2</v>
      </c>
      <c r="KS251" s="16"/>
    </row>
    <row r="252" spans="1:305" x14ac:dyDescent="0.25">
      <c r="A252" t="s">
        <v>1763</v>
      </c>
      <c r="B252" t="s">
        <v>1739</v>
      </c>
      <c r="C252" t="s">
        <v>498</v>
      </c>
      <c r="P252" t="s">
        <v>482</v>
      </c>
      <c r="T252" s="14" t="s">
        <v>554</v>
      </c>
      <c r="U252">
        <v>83</v>
      </c>
      <c r="V252" t="s">
        <v>3038</v>
      </c>
      <c r="X252" t="str">
        <f>IF(COUNTIF(X$1:X251,X251)&gt;7,REPLACE(X251,LEN(X251),1,VALUE(RIGHT(X251,1))+1),X251)</f>
        <v>А3.35</v>
      </c>
      <c r="Y252" s="43" cm="1">
        <f t="array" ref="Y252">IF(COUNTIFS($X$2:$X252,$X252)=1,"1",VALUE(SUBSTITUTE(INDEX(Y:Y,_xlfn.XMATCH($X252,$X$1:$X251,0,-1)),"A",""))+INDEX(Z:Z,_xlfn.XMATCH($X252,$X$1:$X251,0,-1))+1)</f>
        <v>2</v>
      </c>
      <c r="Z252" s="43" cm="1">
        <f t="array" ref="Z252">SUM(IF(ISNUMBER(FIND("TmAi",$BE$1:$AAL$1)),IF(IFERROR(ISODD(SUBSTITUTE($BE252:$AAL252,"A","")),FALSE),IF(ISODD(SUBSTITUTE($BE252:$AAL252,"A","")),1,0),0)))</f>
        <v>0</v>
      </c>
      <c r="AA252" t="str">
        <f t="shared" si="627"/>
        <v>3B</v>
      </c>
      <c r="AB252" t="str">
        <f t="shared" si="628"/>
        <v>4B</v>
      </c>
      <c r="AP252" t="s">
        <v>137</v>
      </c>
      <c r="AS252" t="s">
        <v>396</v>
      </c>
      <c r="JZ252" s="27" t="str">
        <f t="shared" si="629"/>
        <v>XT83</v>
      </c>
      <c r="KC252" t="str">
        <f t="shared" si="630"/>
        <v>F0-AI35-3B</v>
      </c>
      <c r="KD252" t="str">
        <f t="shared" si="631"/>
        <v>F0-AI35-4B</v>
      </c>
      <c r="KI252" cm="1">
        <f t="array" ref="KI252">IF(COUNTIFS($U$2:$U252,$U252)=1,1,INDEX(KI:KI,_xlfn.XMATCH(U252,U$1:U251,0,-1))+COUNT(KI251:KM251))</f>
        <v>4</v>
      </c>
      <c r="KJ252">
        <f t="shared" si="640"/>
        <v>5</v>
      </c>
      <c r="KK252">
        <f t="shared" si="641"/>
        <v>6</v>
      </c>
      <c r="KN252">
        <v>1</v>
      </c>
      <c r="KO252" s="16">
        <v>2</v>
      </c>
      <c r="KS252" s="16"/>
    </row>
    <row r="253" spans="1:305" x14ac:dyDescent="0.25">
      <c r="A253" t="s">
        <v>1764</v>
      </c>
      <c r="B253" t="s">
        <v>1740</v>
      </c>
      <c r="C253" t="s">
        <v>498</v>
      </c>
      <c r="P253" t="s">
        <v>482</v>
      </c>
      <c r="T253" s="14" t="s">
        <v>554</v>
      </c>
      <c r="U253">
        <v>83</v>
      </c>
      <c r="V253" t="s">
        <v>3039</v>
      </c>
      <c r="X253" t="str">
        <f>IF(COUNTIF(X$1:X252,X252)&gt;7,REPLACE(X252,LEN(X252),1,VALUE(RIGHT(X252,1))+1),X252)</f>
        <v>А3.35</v>
      </c>
      <c r="Y253" s="43" cm="1">
        <f t="array" ref="Y253">IF(COUNTIFS($X$2:$X253,$X253)=1,"1",VALUE(SUBSTITUTE(INDEX(Y:Y,_xlfn.XMATCH($X253,$X$1:$X252,0,-1)),"A",""))+INDEX(Z:Z,_xlfn.XMATCH($X253,$X$1:$X252,0,-1))+1)</f>
        <v>3</v>
      </c>
      <c r="Z253" s="43" cm="1">
        <f t="array" ref="Z253">SUM(IF(ISNUMBER(FIND("TmAi",$BE$1:$AAL$1)),IF(IFERROR(ISODD(SUBSTITUTE($BE253:$AAL253,"A","")),FALSE),IF(ISODD(SUBSTITUTE($BE253:$AAL253,"A","")),1,0),0)))</f>
        <v>0</v>
      </c>
      <c r="AA253" t="str">
        <f t="shared" si="627"/>
        <v>5B</v>
      </c>
      <c r="AB253" t="str">
        <f t="shared" si="628"/>
        <v>6B</v>
      </c>
      <c r="AP253" t="s">
        <v>137</v>
      </c>
      <c r="AS253" t="s">
        <v>396</v>
      </c>
      <c r="JZ253" s="27" t="str">
        <f t="shared" si="629"/>
        <v>XT83</v>
      </c>
      <c r="KC253" t="str">
        <f t="shared" si="630"/>
        <v>F0-AI35-5B</v>
      </c>
      <c r="KD253" t="str">
        <f t="shared" si="631"/>
        <v>F0-AI35-6B</v>
      </c>
      <c r="KI253" cm="1">
        <f t="array" ref="KI253">IF(COUNTIFS($U$2:$U253,$U253)=1,1,INDEX(KI:KI,_xlfn.XMATCH(U253,U$1:U252,0,-1))+COUNT(KI252:KM252))</f>
        <v>7</v>
      </c>
      <c r="KJ253">
        <f t="shared" si="640"/>
        <v>8</v>
      </c>
      <c r="KK253">
        <f t="shared" si="641"/>
        <v>9</v>
      </c>
      <c r="KN253">
        <v>1</v>
      </c>
      <c r="KO253" s="16">
        <v>2</v>
      </c>
      <c r="KS253" s="16"/>
    </row>
    <row r="254" spans="1:305" x14ac:dyDescent="0.25">
      <c r="A254" t="s">
        <v>1765</v>
      </c>
      <c r="B254" s="33" t="s">
        <v>1741</v>
      </c>
      <c r="C254" t="s">
        <v>498</v>
      </c>
      <c r="P254" t="s">
        <v>482</v>
      </c>
      <c r="T254" s="14" t="s">
        <v>554</v>
      </c>
      <c r="U254">
        <v>83</v>
      </c>
      <c r="V254" t="s">
        <v>3040</v>
      </c>
      <c r="X254" t="str">
        <f>IF(COUNTIF(X$1:X253,X253)&gt;7,REPLACE(X253,LEN(X253),1,VALUE(RIGHT(X253,1))+1),X253)</f>
        <v>А3.35</v>
      </c>
      <c r="Y254" s="43" cm="1">
        <f t="array" ref="Y254">IF(COUNTIFS($X$2:$X254,$X254)=1,"1",VALUE(SUBSTITUTE(INDEX(Y:Y,_xlfn.XMATCH($X254,$X$1:$X253,0,-1)),"A",""))+INDEX(Z:Z,_xlfn.XMATCH($X254,$X$1:$X253,0,-1))+1)</f>
        <v>4</v>
      </c>
      <c r="Z254" s="43" cm="1">
        <f t="array" ref="Z254">SUM(IF(ISNUMBER(FIND("TmAi",$BE$1:$AAL$1)),IF(IFERROR(ISODD(SUBSTITUTE($BE254:$AAL254,"A","")),FALSE),IF(ISODD(SUBSTITUTE($BE254:$AAL254,"A","")),1,0),0)))</f>
        <v>0</v>
      </c>
      <c r="AA254" t="str">
        <f t="shared" si="627"/>
        <v>7B</v>
      </c>
      <c r="AB254" t="str">
        <f t="shared" si="628"/>
        <v>8B</v>
      </c>
      <c r="AP254" t="s">
        <v>137</v>
      </c>
      <c r="AS254" t="s">
        <v>396</v>
      </c>
      <c r="JZ254" s="27" t="str">
        <f t="shared" si="629"/>
        <v>XT83</v>
      </c>
      <c r="KC254" t="str">
        <f t="shared" si="630"/>
        <v>F0-AI35-7B</v>
      </c>
      <c r="KD254" t="str">
        <f t="shared" si="631"/>
        <v>F0-AI35-8B</v>
      </c>
      <c r="KI254" cm="1">
        <f t="array" ref="KI254">IF(COUNTIFS($U$2:$U254,$U254)=1,1,INDEX(KI:KI,_xlfn.XMATCH(U254,U$1:U253,0,-1))+COUNT(KI253:KM253))</f>
        <v>10</v>
      </c>
      <c r="KJ254">
        <f t="shared" si="640"/>
        <v>11</v>
      </c>
      <c r="KK254">
        <f t="shared" si="641"/>
        <v>12</v>
      </c>
      <c r="KN254">
        <v>1</v>
      </c>
      <c r="KO254" s="16">
        <v>2</v>
      </c>
      <c r="KS254" s="16"/>
    </row>
    <row r="255" spans="1:305" x14ac:dyDescent="0.25">
      <c r="A255" t="s">
        <v>1766</v>
      </c>
      <c r="B255" t="s">
        <v>1742</v>
      </c>
      <c r="C255" t="s">
        <v>498</v>
      </c>
      <c r="P255" t="s">
        <v>482</v>
      </c>
      <c r="T255" s="14" t="s">
        <v>554</v>
      </c>
      <c r="U255">
        <v>84</v>
      </c>
      <c r="V255" t="s">
        <v>3041</v>
      </c>
      <c r="X255" t="str">
        <f>IF(COUNTIF(X$1:X254,X254)&gt;7,REPLACE(X254,LEN(X254),1,VALUE(RIGHT(X254,1))+1),X254)</f>
        <v>А3.35</v>
      </c>
      <c r="Y255" s="43" cm="1">
        <f t="array" ref="Y255">IF(COUNTIFS($X$2:$X255,$X255)=1,"1",VALUE(SUBSTITUTE(INDEX(Y:Y,_xlfn.XMATCH($X255,$X$1:$X254,0,-1)),"A",""))+INDEX(Z:Z,_xlfn.XMATCH($X255,$X$1:$X254,0,-1))+1)</f>
        <v>5</v>
      </c>
      <c r="Z255" s="43" cm="1">
        <f t="array" ref="Z255">SUM(IF(ISNUMBER(FIND("TmAi",$BE$1:$AAL$1)),IF(IFERROR(ISODD(SUBSTITUTE($BE255:$AAL255,"A","")),FALSE),IF(ISODD(SUBSTITUTE($BE255:$AAL255,"A","")),1,0),0)))</f>
        <v>0</v>
      </c>
      <c r="AA255" t="str">
        <f t="shared" si="627"/>
        <v>9B</v>
      </c>
      <c r="AB255" t="str">
        <f t="shared" si="628"/>
        <v>10B</v>
      </c>
      <c r="AP255" t="s">
        <v>137</v>
      </c>
      <c r="AS255" t="s">
        <v>396</v>
      </c>
      <c r="JZ255" s="27" t="str">
        <f t="shared" si="629"/>
        <v>XT84</v>
      </c>
      <c r="KC255" t="str">
        <f t="shared" si="630"/>
        <v>F0-AI35-9B</v>
      </c>
      <c r="KD255" t="str">
        <f t="shared" si="631"/>
        <v>F0-AI35-10B</v>
      </c>
      <c r="KI255" cm="1">
        <f t="array" ref="KI255">IF(COUNTIFS($U$2:$U255,$U255)=1,1,INDEX(KI:KI,_xlfn.XMATCH(U255,U$1:U254,0,-1))+COUNT(KI254:KM254))</f>
        <v>1</v>
      </c>
      <c r="KJ255">
        <f t="shared" si="640"/>
        <v>2</v>
      </c>
      <c r="KK255">
        <f t="shared" si="641"/>
        <v>3</v>
      </c>
      <c r="KN255">
        <v>1</v>
      </c>
      <c r="KO255" s="16">
        <v>2</v>
      </c>
      <c r="KS255" s="16"/>
    </row>
    <row r="256" spans="1:305" x14ac:dyDescent="0.25">
      <c r="A256" t="s">
        <v>1767</v>
      </c>
      <c r="B256" t="s">
        <v>1743</v>
      </c>
      <c r="C256" t="s">
        <v>498</v>
      </c>
      <c r="P256" t="s">
        <v>482</v>
      </c>
      <c r="T256" s="14" t="s">
        <v>554</v>
      </c>
      <c r="U256">
        <v>84</v>
      </c>
      <c r="V256" t="s">
        <v>3042</v>
      </c>
      <c r="X256" t="str">
        <f>IF(COUNTIF(X$1:X255,X255)&gt;7,REPLACE(X255,LEN(X255),1,VALUE(RIGHT(X255,1))+1),X255)</f>
        <v>А3.35</v>
      </c>
      <c r="Y256" s="43" cm="1">
        <f t="array" ref="Y256">IF(COUNTIFS($X$2:$X256,$X256)=1,"1",VALUE(SUBSTITUTE(INDEX(Y:Y,_xlfn.XMATCH($X256,$X$1:$X255,0,-1)),"A",""))+INDEX(Z:Z,_xlfn.XMATCH($X256,$X$1:$X255,0,-1))+1)</f>
        <v>6</v>
      </c>
      <c r="Z256" s="43" cm="1">
        <f t="array" ref="Z256">SUM(IF(ISNUMBER(FIND("TmAi",$BE$1:$AAL$1)),IF(IFERROR(ISODD(SUBSTITUTE($BE256:$AAL256,"A","")),FALSE),IF(ISODD(SUBSTITUTE($BE256:$AAL256,"A","")),1,0),0)))</f>
        <v>0</v>
      </c>
      <c r="AA256" t="str">
        <f t="shared" si="627"/>
        <v>11B</v>
      </c>
      <c r="AB256" t="str">
        <f t="shared" si="628"/>
        <v>12B</v>
      </c>
      <c r="AP256" t="s">
        <v>137</v>
      </c>
      <c r="AS256" t="s">
        <v>396</v>
      </c>
      <c r="JZ256" s="27" t="str">
        <f t="shared" si="629"/>
        <v>XT84</v>
      </c>
      <c r="KC256" t="str">
        <f t="shared" si="630"/>
        <v>F0-AI35-11B</v>
      </c>
      <c r="KD256" t="str">
        <f t="shared" si="631"/>
        <v>F0-AI35-12B</v>
      </c>
      <c r="KI256" cm="1">
        <f t="array" ref="KI256">IF(COUNTIFS($U$2:$U256,$U256)=1,1,INDEX(KI:KI,_xlfn.XMATCH(U256,U$1:U255,0,-1))+COUNT(KI255:KM255))</f>
        <v>4</v>
      </c>
      <c r="KJ256">
        <f t="shared" si="640"/>
        <v>5</v>
      </c>
      <c r="KK256">
        <f t="shared" si="641"/>
        <v>6</v>
      </c>
      <c r="KN256">
        <v>1</v>
      </c>
      <c r="KO256" s="16">
        <v>2</v>
      </c>
      <c r="KS256" s="16"/>
    </row>
    <row r="257" spans="1:305" x14ac:dyDescent="0.25">
      <c r="A257" t="s">
        <v>1768</v>
      </c>
      <c r="B257" t="s">
        <v>1744</v>
      </c>
      <c r="C257" t="s">
        <v>498</v>
      </c>
      <c r="P257" t="s">
        <v>482</v>
      </c>
      <c r="T257" s="14" t="s">
        <v>554</v>
      </c>
      <c r="U257">
        <v>84</v>
      </c>
      <c r="V257" t="s">
        <v>3043</v>
      </c>
      <c r="X257" t="str">
        <f>IF(COUNTIF(X$1:X256,X256)&gt;7,REPLACE(X256,LEN(X256),1,VALUE(RIGHT(X256,1))+1),X256)</f>
        <v>А3.35</v>
      </c>
      <c r="Y257" s="43" cm="1">
        <f t="array" ref="Y257">IF(COUNTIFS($X$2:$X257,$X257)=1,"1",VALUE(SUBSTITUTE(INDEX(Y:Y,_xlfn.XMATCH($X257,$X$1:$X256,0,-1)),"A",""))+INDEX(Z:Z,_xlfn.XMATCH($X257,$X$1:$X256,0,-1))+1)</f>
        <v>7</v>
      </c>
      <c r="Z257" s="43" cm="1">
        <f t="array" ref="Z257">SUM(IF(ISNUMBER(FIND("TmAi",$BE$1:$AAL$1)),IF(IFERROR(ISODD(SUBSTITUTE($BE257:$AAL257,"A","")),FALSE),IF(ISODD(SUBSTITUTE($BE257:$AAL257,"A","")),1,0),0)))</f>
        <v>0</v>
      </c>
      <c r="AA257" t="str">
        <f t="shared" si="627"/>
        <v>13B</v>
      </c>
      <c r="AB257" t="str">
        <f t="shared" si="628"/>
        <v>14B</v>
      </c>
      <c r="AP257" t="s">
        <v>137</v>
      </c>
      <c r="AS257" t="s">
        <v>396</v>
      </c>
      <c r="JZ257" s="27" t="str">
        <f t="shared" si="629"/>
        <v>XT84</v>
      </c>
      <c r="KC257" t="str">
        <f t="shared" si="630"/>
        <v>F0-AI35-13B</v>
      </c>
      <c r="KD257" t="str">
        <f t="shared" si="631"/>
        <v>F0-AI35-14B</v>
      </c>
      <c r="KI257" cm="1">
        <f t="array" ref="KI257">IF(COUNTIFS($U$2:$U257,$U257)=1,1,INDEX(KI:KI,_xlfn.XMATCH(U257,U$1:U256,0,-1))+COUNT(KI256:KM256))</f>
        <v>7</v>
      </c>
      <c r="KJ257">
        <f t="shared" si="640"/>
        <v>8</v>
      </c>
      <c r="KK257">
        <f t="shared" si="641"/>
        <v>9</v>
      </c>
      <c r="KN257">
        <v>1</v>
      </c>
      <c r="KO257" s="16">
        <v>2</v>
      </c>
      <c r="KS257" s="16"/>
    </row>
    <row r="258" spans="1:305" x14ac:dyDescent="0.25">
      <c r="A258" t="s">
        <v>1769</v>
      </c>
      <c r="B258" s="33" t="s">
        <v>1745</v>
      </c>
      <c r="C258" t="s">
        <v>498</v>
      </c>
      <c r="P258" t="s">
        <v>482</v>
      </c>
      <c r="T258" s="14" t="s">
        <v>554</v>
      </c>
      <c r="U258">
        <v>84</v>
      </c>
      <c r="V258" t="s">
        <v>3044</v>
      </c>
      <c r="X258" t="str">
        <f>IF(COUNTIF(X$1:X257,X257)&gt;7,REPLACE(X257,LEN(X257),1,VALUE(RIGHT(X257,1))+1),X257)</f>
        <v>А3.35</v>
      </c>
      <c r="Y258" s="43" cm="1">
        <f t="array" ref="Y258">IF(COUNTIFS($X$2:$X258,$X258)=1,"1",VALUE(SUBSTITUTE(INDEX(Y:Y,_xlfn.XMATCH($X258,$X$1:$X257,0,-1)),"A",""))+INDEX(Z:Z,_xlfn.XMATCH($X258,$X$1:$X257,0,-1))+1)</f>
        <v>8</v>
      </c>
      <c r="Z258" s="43" cm="1">
        <f t="array" ref="Z258">SUM(IF(ISNUMBER(FIND("TmAi",$BE$1:$AAL$1)),IF(IFERROR(ISODD(SUBSTITUTE($BE258:$AAL258,"A","")),FALSE),IF(ISODD(SUBSTITUTE($BE258:$AAL258,"A","")),1,0),0)))</f>
        <v>0</v>
      </c>
      <c r="AA258" t="str">
        <f t="shared" si="627"/>
        <v>15B</v>
      </c>
      <c r="AB258" t="str">
        <f t="shared" si="628"/>
        <v>16B</v>
      </c>
      <c r="AP258" t="s">
        <v>137</v>
      </c>
      <c r="AS258" t="s">
        <v>396</v>
      </c>
      <c r="JZ258" s="27" t="str">
        <f t="shared" si="629"/>
        <v>XT84</v>
      </c>
      <c r="KC258" t="str">
        <f t="shared" si="630"/>
        <v>F0-AI35-15B</v>
      </c>
      <c r="KD258" t="str">
        <f t="shared" si="631"/>
        <v>F0-AI35-16B</v>
      </c>
      <c r="KI258" cm="1">
        <f t="array" ref="KI258">IF(COUNTIFS($U$2:$U258,$U258)=1,1,INDEX(KI:KI,_xlfn.XMATCH(U258,U$1:U257,0,-1))+COUNT(KI257:KM257))</f>
        <v>10</v>
      </c>
      <c r="KJ258">
        <f t="shared" si="640"/>
        <v>11</v>
      </c>
      <c r="KK258">
        <f t="shared" si="641"/>
        <v>12</v>
      </c>
      <c r="KN258">
        <v>1</v>
      </c>
      <c r="KO258" s="16">
        <v>2</v>
      </c>
      <c r="KS258" s="16"/>
    </row>
    <row r="259" spans="1:305" x14ac:dyDescent="0.25">
      <c r="A259" t="s">
        <v>1770</v>
      </c>
      <c r="B259" t="s">
        <v>1746</v>
      </c>
      <c r="C259" t="s">
        <v>498</v>
      </c>
      <c r="P259" t="s">
        <v>482</v>
      </c>
      <c r="T259" s="14" t="s">
        <v>554</v>
      </c>
      <c r="U259">
        <v>85</v>
      </c>
      <c r="V259" t="s">
        <v>3045</v>
      </c>
      <c r="X259" t="str">
        <f>IF(COUNTIF(X$1:X258,X258)&gt;7,REPLACE(X258,LEN(X258),1,VALUE(RIGHT(X258,1))+1),X258)</f>
        <v>А3.36</v>
      </c>
      <c r="Y259" s="43" t="str" cm="1">
        <f t="array" ref="Y259">IF(COUNTIFS($X$2:$X259,$X259)=1,"1",VALUE(SUBSTITUTE(INDEX(Y:Y,_xlfn.XMATCH($X259,$X$1:$X258,0,-1)),"A",""))+INDEX(Z:Z,_xlfn.XMATCH($X259,$X$1:$X258,0,-1))+1)</f>
        <v>1</v>
      </c>
      <c r="Z259" s="43" cm="1">
        <f t="array" ref="Z259">SUM(IF(ISNUMBER(FIND("TmAi",$BE$1:$AAL$1)),IF(IFERROR(ISODD(SUBSTITUTE($BE259:$AAL259,"A","")),FALSE),IF(ISODD(SUBSTITUTE($BE259:$AAL259,"A","")),1,0),0)))</f>
        <v>0</v>
      </c>
      <c r="AA259" t="str">
        <f t="shared" si="627"/>
        <v>1B</v>
      </c>
      <c r="AB259" t="str">
        <f t="shared" si="628"/>
        <v>2B</v>
      </c>
      <c r="AP259" t="s">
        <v>137</v>
      </c>
      <c r="AS259" t="s">
        <v>396</v>
      </c>
      <c r="JZ259" s="27" t="str">
        <f t="shared" si="629"/>
        <v>XT85</v>
      </c>
      <c r="KC259" t="str">
        <f t="shared" si="630"/>
        <v>F0-AI36-1B</v>
      </c>
      <c r="KD259" t="str">
        <f t="shared" si="631"/>
        <v>F0-AI36-2B</v>
      </c>
      <c r="KI259" cm="1">
        <f t="array" ref="KI259">IF(COUNTIFS($U$2:$U259,$U259)=1,1,INDEX(KI:KI,_xlfn.XMATCH(U259,U$1:U258,0,-1))+COUNT(KI258:KM258))</f>
        <v>1</v>
      </c>
      <c r="KJ259">
        <f t="shared" si="640"/>
        <v>2</v>
      </c>
      <c r="KK259">
        <f t="shared" si="641"/>
        <v>3</v>
      </c>
      <c r="KN259">
        <v>1</v>
      </c>
      <c r="KO259" s="16">
        <v>2</v>
      </c>
      <c r="KS259" s="16"/>
    </row>
    <row r="260" spans="1:305" x14ac:dyDescent="0.25">
      <c r="A260" t="s">
        <v>1771</v>
      </c>
      <c r="B260" t="s">
        <v>1747</v>
      </c>
      <c r="C260" t="s">
        <v>498</v>
      </c>
      <c r="P260" t="s">
        <v>482</v>
      </c>
      <c r="T260" s="14" t="s">
        <v>554</v>
      </c>
      <c r="U260">
        <v>85</v>
      </c>
      <c r="V260" t="s">
        <v>3046</v>
      </c>
      <c r="X260" t="str">
        <f>IF(COUNTIF(X$1:X259,X259)&gt;7,REPLACE(X259,LEN(X259),1,VALUE(RIGHT(X259,1))+1),X259)</f>
        <v>А3.36</v>
      </c>
      <c r="Y260" s="43" cm="1">
        <f t="array" ref="Y260">IF(COUNTIFS($X$2:$X260,$X260)=1,"1",VALUE(SUBSTITUTE(INDEX(Y:Y,_xlfn.XMATCH($X260,$X$1:$X259,0,-1)),"A",""))+INDEX(Z:Z,_xlfn.XMATCH($X260,$X$1:$X259,0,-1))+1)</f>
        <v>2</v>
      </c>
      <c r="Z260" s="43" cm="1">
        <f t="array" ref="Z260">SUM(IF(ISNUMBER(FIND("TmAi",$BE$1:$AAL$1)),IF(IFERROR(ISODD(SUBSTITUTE($BE260:$AAL260,"A","")),FALSE),IF(ISODD(SUBSTITUTE($BE260:$AAL260,"A","")),1,0),0)))</f>
        <v>0</v>
      </c>
      <c r="AA260" t="str">
        <f t="shared" si="627"/>
        <v>3B</v>
      </c>
      <c r="AB260" t="str">
        <f t="shared" si="628"/>
        <v>4B</v>
      </c>
      <c r="AP260" t="s">
        <v>137</v>
      </c>
      <c r="AS260" t="s">
        <v>396</v>
      </c>
      <c r="JZ260" s="27" t="str">
        <f t="shared" si="629"/>
        <v>XT85</v>
      </c>
      <c r="KC260" t="str">
        <f t="shared" si="630"/>
        <v>F0-AI36-3B</v>
      </c>
      <c r="KD260" t="str">
        <f t="shared" si="631"/>
        <v>F0-AI36-4B</v>
      </c>
      <c r="KI260" cm="1">
        <f t="array" ref="KI260">IF(COUNTIFS($U$2:$U260,$U260)=1,1,INDEX(KI:KI,_xlfn.XMATCH(U260,U$1:U259,0,-1))+COUNT(KI259:KM259))</f>
        <v>4</v>
      </c>
      <c r="KJ260">
        <f t="shared" si="640"/>
        <v>5</v>
      </c>
      <c r="KK260">
        <f t="shared" si="641"/>
        <v>6</v>
      </c>
      <c r="KN260">
        <v>1</v>
      </c>
      <c r="KO260" s="16">
        <v>2</v>
      </c>
      <c r="KS260" s="16"/>
    </row>
    <row r="261" spans="1:305" x14ac:dyDescent="0.25">
      <c r="A261" t="s">
        <v>1772</v>
      </c>
      <c r="B261" t="s">
        <v>1748</v>
      </c>
      <c r="C261" t="s">
        <v>498</v>
      </c>
      <c r="P261" t="s">
        <v>482</v>
      </c>
      <c r="T261" s="14" t="s">
        <v>554</v>
      </c>
      <c r="U261">
        <v>85</v>
      </c>
      <c r="V261" t="s">
        <v>3047</v>
      </c>
      <c r="X261" t="str">
        <f>IF(COUNTIF(X$1:X260,X260)&gt;7,REPLACE(X260,LEN(X260),1,VALUE(RIGHT(X260,1))+1),X260)</f>
        <v>А3.36</v>
      </c>
      <c r="Y261" s="43" cm="1">
        <f t="array" ref="Y261">IF(COUNTIFS($X$2:$X261,$X261)=1,"1",VALUE(SUBSTITUTE(INDEX(Y:Y,_xlfn.XMATCH($X261,$X$1:$X260,0,-1)),"A",""))+INDEX(Z:Z,_xlfn.XMATCH($X261,$X$1:$X260,0,-1))+1)</f>
        <v>3</v>
      </c>
      <c r="Z261" s="43" cm="1">
        <f t="array" ref="Z261">SUM(IF(ISNUMBER(FIND("TmAi",$BE$1:$AAL$1)),IF(IFERROR(ISODD(SUBSTITUTE($BE261:$AAL261,"A","")),FALSE),IF(ISODD(SUBSTITUTE($BE261:$AAL261,"A","")),1,0),0)))</f>
        <v>0</v>
      </c>
      <c r="AA261" t="str">
        <f t="shared" si="627"/>
        <v>5B</v>
      </c>
      <c r="AB261" t="str">
        <f t="shared" si="628"/>
        <v>6B</v>
      </c>
      <c r="AP261" t="s">
        <v>137</v>
      </c>
      <c r="AS261" t="s">
        <v>396</v>
      </c>
      <c r="JZ261" s="27" t="str">
        <f t="shared" si="629"/>
        <v>XT85</v>
      </c>
      <c r="KC261" t="str">
        <f t="shared" si="630"/>
        <v>F0-AI36-5B</v>
      </c>
      <c r="KD261" t="str">
        <f t="shared" si="631"/>
        <v>F0-AI36-6B</v>
      </c>
      <c r="KI261" cm="1">
        <f t="array" ref="KI261">IF(COUNTIFS($U$2:$U261,$U261)=1,1,INDEX(KI:KI,_xlfn.XMATCH(U261,U$1:U260,0,-1))+COUNT(KI260:KM260))</f>
        <v>7</v>
      </c>
      <c r="KJ261">
        <f t="shared" si="640"/>
        <v>8</v>
      </c>
      <c r="KK261">
        <f t="shared" si="641"/>
        <v>9</v>
      </c>
      <c r="KN261">
        <v>1</v>
      </c>
      <c r="KO261" s="16">
        <v>2</v>
      </c>
      <c r="KS261" s="16"/>
    </row>
    <row r="262" spans="1:305" x14ac:dyDescent="0.25">
      <c r="A262" t="s">
        <v>1773</v>
      </c>
      <c r="B262" s="33" t="s">
        <v>1749</v>
      </c>
      <c r="C262" t="s">
        <v>498</v>
      </c>
      <c r="P262" t="s">
        <v>482</v>
      </c>
      <c r="T262" s="14" t="s">
        <v>554</v>
      </c>
      <c r="U262">
        <v>85</v>
      </c>
      <c r="V262" t="s">
        <v>3048</v>
      </c>
      <c r="X262" t="str">
        <f>IF(COUNTIF(X$1:X261,X261)&gt;7,REPLACE(X261,LEN(X261),1,VALUE(RIGHT(X261,1))+1),X261)</f>
        <v>А3.36</v>
      </c>
      <c r="Y262" s="43" cm="1">
        <f t="array" ref="Y262">IF(COUNTIFS($X$2:$X262,$X262)=1,"1",VALUE(SUBSTITUTE(INDEX(Y:Y,_xlfn.XMATCH($X262,$X$1:$X261,0,-1)),"A",""))+INDEX(Z:Z,_xlfn.XMATCH($X262,$X$1:$X261,0,-1))+1)</f>
        <v>4</v>
      </c>
      <c r="Z262" s="43" cm="1">
        <f t="array" ref="Z262">SUM(IF(ISNUMBER(FIND("TmAi",$BE$1:$AAL$1)),IF(IFERROR(ISODD(SUBSTITUTE($BE262:$AAL262,"A","")),FALSE),IF(ISODD(SUBSTITUTE($BE262:$AAL262,"A","")),1,0),0)))</f>
        <v>0</v>
      </c>
      <c r="AA262" t="str">
        <f t="shared" si="627"/>
        <v>7B</v>
      </c>
      <c r="AB262" t="str">
        <f t="shared" si="628"/>
        <v>8B</v>
      </c>
      <c r="AP262" t="s">
        <v>137</v>
      </c>
      <c r="AS262" t="s">
        <v>396</v>
      </c>
      <c r="JZ262" s="27" t="str">
        <f t="shared" si="629"/>
        <v>XT85</v>
      </c>
      <c r="KC262" t="str">
        <f t="shared" si="630"/>
        <v>F0-AI36-7B</v>
      </c>
      <c r="KD262" t="str">
        <f t="shared" si="631"/>
        <v>F0-AI36-8B</v>
      </c>
      <c r="KI262" cm="1">
        <f t="array" ref="KI262">IF(COUNTIFS($U$2:$U262,$U262)=1,1,INDEX(KI:KI,_xlfn.XMATCH(U262,U$1:U261,0,-1))+COUNT(KI261:KM261))</f>
        <v>10</v>
      </c>
      <c r="KJ262">
        <f t="shared" si="640"/>
        <v>11</v>
      </c>
      <c r="KK262">
        <f t="shared" si="641"/>
        <v>12</v>
      </c>
      <c r="KN262">
        <v>1</v>
      </c>
      <c r="KO262" s="16">
        <v>2</v>
      </c>
      <c r="KS262" s="16"/>
    </row>
    <row r="263" spans="1:305" x14ac:dyDescent="0.25">
      <c r="A263" t="s">
        <v>1774</v>
      </c>
      <c r="B263" t="s">
        <v>1750</v>
      </c>
      <c r="C263" t="s">
        <v>498</v>
      </c>
      <c r="P263" t="s">
        <v>482</v>
      </c>
      <c r="T263" s="14" t="s">
        <v>554</v>
      </c>
      <c r="U263">
        <v>86</v>
      </c>
      <c r="V263" t="s">
        <v>3049</v>
      </c>
      <c r="X263" t="str">
        <f>IF(COUNTIF(X$1:X262,X262)&gt;7,REPLACE(X262,LEN(X262),1,VALUE(RIGHT(X262,1))+1),X262)</f>
        <v>А3.36</v>
      </c>
      <c r="Y263" s="43" cm="1">
        <f t="array" ref="Y263">IF(COUNTIFS($X$2:$X263,$X263)=1,"1",VALUE(SUBSTITUTE(INDEX(Y:Y,_xlfn.XMATCH($X263,$X$1:$X262,0,-1)),"A",""))+INDEX(Z:Z,_xlfn.XMATCH($X263,$X$1:$X262,0,-1))+1)</f>
        <v>5</v>
      </c>
      <c r="Z263" s="43" cm="1">
        <f t="array" ref="Z263">SUM(IF(ISNUMBER(FIND("TmAi",$BE$1:$AAL$1)),IF(IFERROR(ISODD(SUBSTITUTE($BE263:$AAL263,"A","")),FALSE),IF(ISODD(SUBSTITUTE($BE263:$AAL263,"A","")),1,0),0)))</f>
        <v>0</v>
      </c>
      <c r="AA263" t="str">
        <f t="shared" si="627"/>
        <v>9B</v>
      </c>
      <c r="AB263" t="str">
        <f t="shared" si="628"/>
        <v>10B</v>
      </c>
      <c r="AP263" t="s">
        <v>137</v>
      </c>
      <c r="AS263" t="s">
        <v>396</v>
      </c>
      <c r="JZ263" s="27" t="str">
        <f t="shared" si="629"/>
        <v>XT86</v>
      </c>
      <c r="KC263" t="str">
        <f t="shared" si="630"/>
        <v>F0-AI36-9B</v>
      </c>
      <c r="KD263" t="str">
        <f t="shared" si="631"/>
        <v>F0-AI36-10B</v>
      </c>
      <c r="KI263" cm="1">
        <f t="array" ref="KI263">IF(COUNTIFS($U$2:$U263,$U263)=1,1,INDEX(KI:KI,_xlfn.XMATCH(U263,U$1:U262,0,-1))+COUNT(KI262:KM262))</f>
        <v>1</v>
      </c>
      <c r="KJ263">
        <f t="shared" si="640"/>
        <v>2</v>
      </c>
      <c r="KK263">
        <f t="shared" si="641"/>
        <v>3</v>
      </c>
      <c r="KN263">
        <v>1</v>
      </c>
      <c r="KO263" s="16">
        <v>2</v>
      </c>
      <c r="KS263" s="16"/>
    </row>
    <row r="264" spans="1:305" x14ac:dyDescent="0.25">
      <c r="A264" t="s">
        <v>1775</v>
      </c>
      <c r="B264" t="s">
        <v>1752</v>
      </c>
      <c r="C264" t="s">
        <v>498</v>
      </c>
      <c r="P264" t="s">
        <v>482</v>
      </c>
      <c r="T264" s="14" t="s">
        <v>554</v>
      </c>
      <c r="U264">
        <v>86</v>
      </c>
      <c r="V264" t="s">
        <v>3050</v>
      </c>
      <c r="X264" t="str">
        <f>IF(COUNTIF(X$1:X263,X263)&gt;7,REPLACE(X263,LEN(X263),1,VALUE(RIGHT(X263,1))+1),X263)</f>
        <v>А3.36</v>
      </c>
      <c r="Y264" s="43" cm="1">
        <f t="array" ref="Y264">IF(COUNTIFS($X$2:$X264,$X264)=1,"1",VALUE(SUBSTITUTE(INDEX(Y:Y,_xlfn.XMATCH($X264,$X$1:$X263,0,-1)),"A",""))+INDEX(Z:Z,_xlfn.XMATCH($X264,$X$1:$X263,0,-1))+1)</f>
        <v>6</v>
      </c>
      <c r="Z264" s="43" cm="1">
        <f t="array" ref="Z264">SUM(IF(ISNUMBER(FIND("TmAi",$BE$1:$AAL$1)),IF(IFERROR(ISODD(SUBSTITUTE($BE264:$AAL264,"A","")),FALSE),IF(ISODD(SUBSTITUTE($BE264:$AAL264,"A","")),1,0),0)))</f>
        <v>0</v>
      </c>
      <c r="AA264" t="str">
        <f t="shared" si="627"/>
        <v>11B</v>
      </c>
      <c r="AB264" t="str">
        <f t="shared" si="628"/>
        <v>12B</v>
      </c>
      <c r="AP264" t="s">
        <v>137</v>
      </c>
      <c r="AS264" t="s">
        <v>396</v>
      </c>
      <c r="JZ264" s="27" t="str">
        <f t="shared" si="629"/>
        <v>XT86</v>
      </c>
      <c r="KC264" t="str">
        <f t="shared" si="630"/>
        <v>F0-AI36-11B</v>
      </c>
      <c r="KD264" t="str">
        <f t="shared" si="631"/>
        <v>F0-AI36-12B</v>
      </c>
      <c r="KI264" cm="1">
        <f t="array" ref="KI264">IF(COUNTIFS($U$2:$U264,$U264)=1,1,INDEX(KI:KI,_xlfn.XMATCH(U264,U$1:U263,0,-1))+COUNT(KI263:KM263))</f>
        <v>4</v>
      </c>
      <c r="KJ264">
        <f t="shared" si="640"/>
        <v>5</v>
      </c>
      <c r="KK264">
        <f t="shared" si="641"/>
        <v>6</v>
      </c>
      <c r="KN264">
        <v>1</v>
      </c>
      <c r="KO264" s="16">
        <v>2</v>
      </c>
      <c r="KS264" s="16"/>
    </row>
    <row r="265" spans="1:305" x14ac:dyDescent="0.25">
      <c r="A265" t="s">
        <v>1776</v>
      </c>
      <c r="B265" t="s">
        <v>1754</v>
      </c>
      <c r="C265" t="s">
        <v>498</v>
      </c>
      <c r="P265" t="s">
        <v>482</v>
      </c>
      <c r="T265" s="14" t="s">
        <v>554</v>
      </c>
      <c r="U265">
        <v>86</v>
      </c>
      <c r="V265" t="s">
        <v>3051</v>
      </c>
      <c r="X265" t="str">
        <f>IF(COUNTIF(X$1:X264,X264)&gt;7,REPLACE(X264,LEN(X264),1,VALUE(RIGHT(X264,1))+1),X264)</f>
        <v>А3.36</v>
      </c>
      <c r="Y265" s="43" cm="1">
        <f t="array" ref="Y265">IF(COUNTIFS($X$2:$X265,$X265)=1,"1",VALUE(SUBSTITUTE(INDEX(Y:Y,_xlfn.XMATCH($X265,$X$1:$X264,0,-1)),"A",""))+INDEX(Z:Z,_xlfn.XMATCH($X265,$X$1:$X264,0,-1))+1)</f>
        <v>7</v>
      </c>
      <c r="Z265" s="43" cm="1">
        <f t="array" ref="Z265">SUM(IF(ISNUMBER(FIND("TmAi",$BE$1:$AAL$1)),IF(IFERROR(ISODD(SUBSTITUTE($BE265:$AAL265,"A","")),FALSE),IF(ISODD(SUBSTITUTE($BE265:$AAL265,"A","")),1,0),0)))</f>
        <v>0</v>
      </c>
      <c r="AA265" t="str">
        <f t="shared" si="627"/>
        <v>13B</v>
      </c>
      <c r="AB265" t="str">
        <f t="shared" si="628"/>
        <v>14B</v>
      </c>
      <c r="AP265" t="s">
        <v>137</v>
      </c>
      <c r="AS265" t="s">
        <v>396</v>
      </c>
      <c r="JZ265" s="27" t="str">
        <f t="shared" si="629"/>
        <v>XT86</v>
      </c>
      <c r="KC265" t="str">
        <f t="shared" si="630"/>
        <v>F0-AI36-13B</v>
      </c>
      <c r="KD265" t="str">
        <f t="shared" si="631"/>
        <v>F0-AI36-14B</v>
      </c>
      <c r="KI265" cm="1">
        <f t="array" ref="KI265">IF(COUNTIFS($U$2:$U265,$U265)=1,1,INDEX(KI:KI,_xlfn.XMATCH(U265,U$1:U264,0,-1))+COUNT(KI264:KM264))</f>
        <v>7</v>
      </c>
      <c r="KJ265">
        <f t="shared" si="640"/>
        <v>8</v>
      </c>
      <c r="KK265">
        <f t="shared" si="641"/>
        <v>9</v>
      </c>
      <c r="KN265">
        <v>1</v>
      </c>
      <c r="KO265" s="16">
        <v>2</v>
      </c>
      <c r="KS265" s="16"/>
    </row>
    <row r="266" spans="1:305" ht="15.75" thickBot="1" x14ac:dyDescent="0.3">
      <c r="A266" t="s">
        <v>1777</v>
      </c>
      <c r="B266" s="33" t="s">
        <v>1756</v>
      </c>
      <c r="C266" t="s">
        <v>498</v>
      </c>
      <c r="P266" t="s">
        <v>482</v>
      </c>
      <c r="T266" s="14" t="s">
        <v>554</v>
      </c>
      <c r="U266">
        <v>86</v>
      </c>
      <c r="V266" t="s">
        <v>3052</v>
      </c>
      <c r="X266" t="str">
        <f>IF(COUNTIF(X$1:X265,X265)&gt;7,REPLACE(X265,LEN(X265),1,VALUE(RIGHT(X265,1))+1),X265)</f>
        <v>А3.36</v>
      </c>
      <c r="Y266" s="43" cm="1">
        <f t="array" ref="Y266">IF(COUNTIFS($X$2:$X266,$X266)=1,"1",VALUE(SUBSTITUTE(INDEX(Y:Y,_xlfn.XMATCH($X266,$X$1:$X265,0,-1)),"A",""))+INDEX(Z:Z,_xlfn.XMATCH($X266,$X$1:$X265,0,-1))+1)</f>
        <v>8</v>
      </c>
      <c r="Z266" s="43" cm="1">
        <f t="array" ref="Z266">SUM(IF(ISNUMBER(FIND("TmAi",$BE$1:$AAL$1)),IF(IFERROR(ISODD(SUBSTITUTE($BE266:$AAL266,"A","")),FALSE),IF(ISODD(SUBSTITUTE($BE266:$AAL266,"A","")),1,0),0)))</f>
        <v>0</v>
      </c>
      <c r="AA266" t="str">
        <f t="shared" si="627"/>
        <v>15B</v>
      </c>
      <c r="AB266" t="str">
        <f t="shared" si="628"/>
        <v>16B</v>
      </c>
      <c r="AP266" t="s">
        <v>137</v>
      </c>
      <c r="AS266" t="s">
        <v>396</v>
      </c>
      <c r="JZ266" s="27" t="str">
        <f t="shared" si="629"/>
        <v>XT86</v>
      </c>
      <c r="KC266" t="str">
        <f t="shared" si="630"/>
        <v>F0-AI36-15B</v>
      </c>
      <c r="KD266" t="str">
        <f t="shared" si="631"/>
        <v>F0-AI36-16B</v>
      </c>
      <c r="KI266" cm="1">
        <f t="array" ref="KI266">IF(COUNTIFS($U$2:$U266,$U266)=1,1,INDEX(KI:KI,_xlfn.XMATCH(U266,U$1:U265,0,-1))+COUNT(KI265:KM265))</f>
        <v>10</v>
      </c>
      <c r="KJ266">
        <f t="shared" si="640"/>
        <v>11</v>
      </c>
      <c r="KK266">
        <f t="shared" si="641"/>
        <v>12</v>
      </c>
      <c r="KN266">
        <v>1</v>
      </c>
      <c r="KO266" s="16">
        <v>2</v>
      </c>
      <c r="KS266" s="16"/>
    </row>
    <row r="267" spans="1:305" ht="15.75" thickBot="1" x14ac:dyDescent="0.3">
      <c r="A267" t="s">
        <v>1782</v>
      </c>
      <c r="B267" t="s">
        <v>1786</v>
      </c>
      <c r="C267" t="s">
        <v>1871</v>
      </c>
      <c r="P267" t="s">
        <v>1785</v>
      </c>
      <c r="T267" s="10" t="s">
        <v>554</v>
      </c>
      <c r="U267" s="49">
        <v>87</v>
      </c>
      <c r="V267" s="11" t="s">
        <v>3053</v>
      </c>
      <c r="W267" s="11" t="s">
        <v>3054</v>
      </c>
      <c r="X267" t="str">
        <f>IF(COUNTIF(X$1:X266,X266)&gt;7,REPLACE(X266,LEN(X266),1,VALUE(RIGHT(X266,1))+1),X266)</f>
        <v>А3.37</v>
      </c>
      <c r="Y267" s="43" t="str" cm="1">
        <f t="array" ref="Y267">IF(COUNTIFS(X$2:X267,X267)=1,"1",VALUE(SUBSTITUTE(INDEX(Y:Y,_xlfn.XMATCH(X267,X$1:X266,0,-1)),"A",""))+INDEX(Z:Z,_xlfn.XMATCH(X267,X$1:X266,0,-1))+1)</f>
        <v>1</v>
      </c>
      <c r="Z267" s="43" cm="1">
        <f t="array" ref="Z267">SUM(IF(ISNUMBER(FIND("TmAi",$BE$1:$AAL$1)),IF(IFERROR(ISODD(SUBSTITUTE($BE267:$AAL267,"A","")),FALSE),IF(ISODD(SUBSTITUTE($BE267:$AAL267,"A","")),1,0),0)))</f>
        <v>0</v>
      </c>
      <c r="AA267" t="str">
        <f>CONCATENATE($Y267*2-1,"A")</f>
        <v>1A</v>
      </c>
      <c r="AB267" t="str">
        <f>CONCATENATE($Y267*2-1,"B")</f>
        <v>1B</v>
      </c>
      <c r="AC267" t="s">
        <v>1788</v>
      </c>
      <c r="AD267" s="43" t="str" cm="1">
        <f t="array" ref="AD267">IF(COUNTIFS(AC$2:AC267,AC267)=1,"1",VALUE(SUBSTITUTE(INDEX(AD:AD,_xlfn.XMATCH(AC267,AC$1:AC266,0,-1)),"A",""))+INDEX(AE:AE,_xlfn.XMATCH(AC267,AC$1:AC266,0,-1))+1)</f>
        <v>1</v>
      </c>
      <c r="AE267" s="43" cm="1">
        <f t="array" ref="AE267">SUM(IF(ISNUMBER(FIND("TmDi",$BE$1:$AAL$1)),IF(IFERROR(ISNUMBER(VALUE(SUBSTITUTE($BE267:$AAL267,"B",""))),FALSE),IF(ISNUMBER(VALUE(SUBSTITUTE($BE267:$AAL267,"B",""))),1,0),0)))</f>
        <v>4</v>
      </c>
      <c r="AF267" t="str">
        <f>CONCATENATE("C",$AD267)</f>
        <v>C1</v>
      </c>
      <c r="AG267" t="str">
        <f>CONCATENATE("B",$AD267)</f>
        <v>B1</v>
      </c>
      <c r="AH267" s="11" t="s">
        <v>1793</v>
      </c>
      <c r="AI267" s="64" t="str" cm="1">
        <f t="array" ref="AI267">IF(COUNTIFS(AH$2:AH267,AH267)=1,"1",VALUE(SUBSTITUTE(INDEX(AI:AI,_xlfn.XMATCH(AH267,AH$1:AH266,0,-1)),"A",""))+INDEX(AJ:AJ,_xlfn.XMATCH(AH267,AH$1:AH266,0,-1))+1)</f>
        <v>1</v>
      </c>
      <c r="AJ267" s="64" cm="1">
        <f t="array" ref="AJ267">SUM(IF(ISNUMBER(FIND("TmDo",$BE$1:$AAL$1)),IF(IFERROR(ISNUMBER(VALUE(SUBSTITUTE($BE267:$AAL267,"B",""))),FALSE),IF(ISNUMBER(VALUE(SUBSTITUTE($BE267:$AAL267,"B",""))),1,0),0)))</f>
        <v>1</v>
      </c>
      <c r="AK267" s="11" t="str">
        <f t="shared" ref="AK267:AK282" si="642">CONCATENATE($AI267,"A")</f>
        <v>1A</v>
      </c>
      <c r="AL267" s="11" t="str">
        <f t="shared" ref="AL267:AL282" si="643">CONCATENATE($AI267,"B")</f>
        <v>1B</v>
      </c>
      <c r="AM267" s="12" t="s">
        <v>161</v>
      </c>
      <c r="AN267" s="12"/>
      <c r="AO267" s="12"/>
      <c r="AP267" s="12" t="s">
        <v>137</v>
      </c>
      <c r="AQ267" s="12" t="s">
        <v>1794</v>
      </c>
      <c r="AR267" s="12"/>
      <c r="AS267" s="12" t="s">
        <v>396</v>
      </c>
      <c r="AT267" s="12" t="s">
        <v>139</v>
      </c>
      <c r="AU267" s="12" t="s">
        <v>140</v>
      </c>
      <c r="AV267" s="12"/>
      <c r="AW267" s="12"/>
      <c r="AX267" s="12"/>
      <c r="AY267" s="12"/>
      <c r="AZ267" s="12"/>
      <c r="BA267" s="12"/>
      <c r="BB267" s="12"/>
      <c r="BC267" s="12"/>
      <c r="BD267" s="13"/>
      <c r="GT267" s="25" t="str">
        <f>CONCATENATE("XT",U267)</f>
        <v>XT87</v>
      </c>
      <c r="GU267" s="12" t="str">
        <f>CONCATENATE("C",REPLACE(AF267,1,1,"")+1)</f>
        <v>C2</v>
      </c>
      <c r="GV267" s="12" t="str">
        <f>CONCATENATE("B",REPLACE(AG267,1,1,"")+1)</f>
        <v>B2</v>
      </c>
      <c r="GW267" s="12" t="str">
        <f>CONCATENATE("C",REPLACE(GU267,1,1,"")+1)</f>
        <v>C3</v>
      </c>
      <c r="GX267" s="12" t="str">
        <f>CONCATENATE("B",REPLACE(GV267,1,1,"")+1)</f>
        <v>B3</v>
      </c>
      <c r="GY267" s="12" t="str">
        <f>CONCATENATE("C",REPLACE(GW267,1,1,"")+1)</f>
        <v>C4</v>
      </c>
      <c r="GZ267" s="12" t="str">
        <f>CONCATENATE("B",REPLACE(GX267,1,1,"")+1)</f>
        <v>B4</v>
      </c>
      <c r="HA267" s="12" t="str">
        <f>CONCATENATE("C",REPLACE(GY267,1,1,"")+1)</f>
        <v>C5</v>
      </c>
      <c r="HB267" s="12" t="str">
        <f>CONCATENATE("B",REPLACE(GZ267,1,1,"")+1)</f>
        <v>B5</v>
      </c>
      <c r="HC267" s="12"/>
      <c r="HD267" s="12"/>
      <c r="HE267" s="12" t="str">
        <f>CONCATENATE(REPLACE(AK267,LEN(AK267),1,"")+1,"A")</f>
        <v>2A</v>
      </c>
      <c r="HF267" s="12" t="str">
        <f>CONCATENATE(REPLACE(AL267,LEN(AL267),1,"")+1,"B")</f>
        <v>2B</v>
      </c>
      <c r="HG267" s="12" t="str">
        <f>CONCATENATE("AI",REPLACE($X267,1,3,""),"-",AA267)</f>
        <v>AI37-1A</v>
      </c>
      <c r="HH267" s="12" t="str">
        <f>CONCATENATE("AI",REPLACE($X267,1,3,""),"-",AB267)</f>
        <v>AI37-1B</v>
      </c>
      <c r="HI267" s="12" t="str">
        <f>CONCATENATE("DI",REPLACE($AC267,1,3,""),"-",AF267)</f>
        <v>DI14-C1</v>
      </c>
      <c r="HJ267" s="12" t="str">
        <f>CONCATENATE("DI",REPLACE($AC267,1,3,""),"-",AG267)</f>
        <v>DI14-B1</v>
      </c>
      <c r="HK267" s="12" t="str">
        <f t="shared" ref="HK267" si="644">CONCATENATE("DI",REPLACE($AC267,1,3,""),"-",GU267)</f>
        <v>DI14-C2</v>
      </c>
      <c r="HL267" s="12" t="str">
        <f t="shared" ref="HL267" si="645">CONCATENATE("DI",REPLACE($AC267,1,3,""),"-",GV267)</f>
        <v>DI14-B2</v>
      </c>
      <c r="HM267" s="12" t="str">
        <f t="shared" ref="HM267" si="646">CONCATENATE("DI",REPLACE($AC267,1,3,""),"-",GW267)</f>
        <v>DI14-C3</v>
      </c>
      <c r="HN267" s="12" t="str">
        <f t="shared" ref="HN267" si="647">CONCATENATE("DI",REPLACE($AC267,1,3,""),"-",GX267)</f>
        <v>DI14-B3</v>
      </c>
      <c r="HO267" s="12" t="str">
        <f t="shared" ref="HO267" si="648">CONCATENATE("DI",REPLACE($AC267,1,3,""),"-",GY267)</f>
        <v>DI14-C4</v>
      </c>
      <c r="HP267" s="12" t="str">
        <f t="shared" ref="HP267" si="649">CONCATENATE("DI",REPLACE($AC267,1,3,""),"-",GZ267)</f>
        <v>DI14-B4</v>
      </c>
      <c r="HQ267" s="12" t="str">
        <f t="shared" ref="HQ267" si="650">CONCATENATE("DI",REPLACE($AC267,1,3,""),"-",HA267)</f>
        <v>DI14-C5</v>
      </c>
      <c r="HR267" s="12" t="str">
        <f t="shared" ref="HR267" si="651">CONCATENATE("DI",REPLACE($AC267,1,3,""),"-",HB267)</f>
        <v>DI14-B5</v>
      </c>
      <c r="HS267" s="12" t="str">
        <f t="shared" ref="HS267" si="652">CONCATENATE("DI",REPLACE($AC267,1,3,""),"-",HC267)</f>
        <v>DI14-</v>
      </c>
      <c r="HT267" s="12" t="str">
        <f t="shared" ref="HT267" si="653">CONCATENATE("DI",REPLACE($AC267,1,3,""),"-",HD267)</f>
        <v>DI14-</v>
      </c>
      <c r="HU267" s="12" t="str">
        <f>CONCATENATE("DO",REPLACE($AH267,1,3,""),"-",AK267)</f>
        <v>DO8-1A</v>
      </c>
      <c r="HV267" s="12" t="str">
        <f>CONCATENATE("DO",REPLACE($AH267,1,3,""),"-",AL267)</f>
        <v>DO8-1B</v>
      </c>
      <c r="HW267" s="12" t="str">
        <f>CONCATENATE("DO",REPLACE($AH267,1,3,""),"-",HE267)</f>
        <v>DO8-2A</v>
      </c>
      <c r="HX267" s="12" t="str">
        <f>CONCATENATE("DO",REPLACE($AH267,1,3,""),"-",HF267)</f>
        <v>DO8-2B</v>
      </c>
      <c r="HY267" s="12" t="str">
        <f>CONCATENATE("K",$U267,"-01")</f>
        <v>K87-01</v>
      </c>
      <c r="HZ267" s="12" t="str">
        <f>CONCATENATE("K",$U267,"-02")</f>
        <v>K87-02</v>
      </c>
      <c r="IA267" s="12" t="str">
        <f>CONCATENATE("K",$U267,"-03")</f>
        <v>K87-03</v>
      </c>
      <c r="IB267" s="12" t="str">
        <f>CONCATENATE("K",$U267,"-04")</f>
        <v>K87-04</v>
      </c>
      <c r="IC267" s="12" t="str">
        <f>CONCATENATE("K",$U267,"-05")</f>
        <v>K87-05</v>
      </c>
      <c r="ID267" s="12" t="str">
        <f>CONCATENATE("K",$U267,"-06")</f>
        <v>K87-06</v>
      </c>
      <c r="IE267" s="12" t="str">
        <f>CONCATENATE("K",$U267,"-07")</f>
        <v>K87-07</v>
      </c>
      <c r="IF267" s="12" t="str">
        <f>CONCATENATE("K",$U267,"-08")</f>
        <v>K87-08</v>
      </c>
      <c r="IG267" s="12" t="str">
        <f>CONCATENATE($T267,"-M",$U267,"-AMS-12")</f>
        <v>F0-M87-AMS-12</v>
      </c>
      <c r="IH267" s="12" t="str">
        <f>CONCATENATE($T267,"-M",$U267,"-AMS-10")</f>
        <v>F0-M87-AMS-10</v>
      </c>
      <c r="II267" s="12" t="str">
        <f>CONCATENATE($T267,"-M",$U267,"-AMS-11")</f>
        <v>F0-M87-AMS-11</v>
      </c>
      <c r="IJ267" s="12" t="str">
        <f>CONCATENATE($T267,"-M",$U267,"-AMS-13")</f>
        <v>F0-M87-AMS-13</v>
      </c>
      <c r="IK267" s="12" t="str">
        <f>CONCATENATE($T267,"-M",$U267,"-AMS-9")</f>
        <v>F0-M87-AMS-9</v>
      </c>
      <c r="IL267" s="12" t="str">
        <f>CONCATENATE($T267,"-M",$U267,"-AMS-7")</f>
        <v>F0-M87-AMS-7</v>
      </c>
      <c r="IM267" s="12" t="str">
        <f>CONCATENATE($T267,"-M",$U267,"-AMS-18")</f>
        <v>F0-M87-AMS-18</v>
      </c>
      <c r="IN267" s="12" t="str">
        <f>CONCATENATE($T267,"-M",$U267,"-AMS-20")</f>
        <v>F0-M87-AMS-20</v>
      </c>
      <c r="IO267" s="12" t="str">
        <f>CONCATENATE($T267,"-M",$U267,"-AMS-17")</f>
        <v>F0-M87-AMS-17</v>
      </c>
      <c r="IP267" s="12" t="str">
        <f>CONCATENATE($T267,"-+24-M",$U267,)</f>
        <v>F0-+24-M87</v>
      </c>
      <c r="IQ267" s="12" t="str">
        <f>CONCATENATE($T267,"-M",$U267,"-XM01")</f>
        <v>F0-M87-XM01</v>
      </c>
      <c r="IR267" s="12" t="s">
        <v>142</v>
      </c>
      <c r="IS267" s="12" t="s">
        <v>143</v>
      </c>
      <c r="IT267" s="12">
        <v>11</v>
      </c>
      <c r="IU267" s="12">
        <v>14</v>
      </c>
      <c r="IV267" s="12" t="s">
        <v>413</v>
      </c>
      <c r="IW267" s="12" t="s">
        <v>414</v>
      </c>
      <c r="IX267" s="12">
        <v>1</v>
      </c>
      <c r="IY267" s="12">
        <v>2</v>
      </c>
      <c r="IZ267" s="12">
        <v>3</v>
      </c>
      <c r="JA267" s="12">
        <v>4</v>
      </c>
      <c r="JB267" s="12">
        <v>5</v>
      </c>
      <c r="JC267" s="12">
        <v>6</v>
      </c>
      <c r="JD267" s="12">
        <v>7</v>
      </c>
      <c r="JE267" s="12">
        <v>8</v>
      </c>
      <c r="JF267" s="12">
        <v>9</v>
      </c>
      <c r="JG267" s="12">
        <v>10</v>
      </c>
      <c r="JH267" s="12">
        <v>11</v>
      </c>
      <c r="JI267" s="12">
        <v>12</v>
      </c>
      <c r="JJ267" s="12">
        <v>13</v>
      </c>
      <c r="JK267" s="12">
        <v>14</v>
      </c>
      <c r="JL267" s="12">
        <v>17</v>
      </c>
      <c r="JM267" s="12">
        <v>15</v>
      </c>
      <c r="JN267" s="12">
        <v>18</v>
      </c>
      <c r="JO267" s="12">
        <v>11</v>
      </c>
      <c r="JP267" s="12">
        <v>9</v>
      </c>
      <c r="JQ267" s="12">
        <v>6</v>
      </c>
      <c r="JR267" s="12">
        <v>20</v>
      </c>
      <c r="JS267" s="12">
        <v>7</v>
      </c>
      <c r="JT267" s="12">
        <v>10</v>
      </c>
      <c r="JU267" s="12">
        <v>22</v>
      </c>
      <c r="JV267" s="12">
        <v>23</v>
      </c>
      <c r="JW267" s="12">
        <v>26</v>
      </c>
      <c r="JX267" s="12">
        <v>27</v>
      </c>
      <c r="JY267" s="13">
        <v>30</v>
      </c>
    </row>
    <row r="268" spans="1:305" ht="15.75" thickBot="1" x14ac:dyDescent="0.3">
      <c r="A268" t="s">
        <v>1783</v>
      </c>
      <c r="B268" t="s">
        <v>1787</v>
      </c>
      <c r="C268" s="3" t="s">
        <v>1872</v>
      </c>
      <c r="O268" s="2"/>
      <c r="P268" t="s">
        <v>1784</v>
      </c>
      <c r="Q268" s="1"/>
      <c r="S268" s="1"/>
      <c r="T268" s="21" t="s">
        <v>554</v>
      </c>
      <c r="U268" s="50">
        <v>88</v>
      </c>
      <c r="V268" s="18" t="s">
        <v>3055</v>
      </c>
      <c r="W268" s="22"/>
      <c r="X268" s="23"/>
      <c r="Y268" s="23"/>
      <c r="Z268" s="23"/>
      <c r="AA268" s="23"/>
      <c r="AB268" s="23"/>
      <c r="AC268" t="str">
        <f>IF(COUNTIF(AC$1:AC267,AC267)&gt;31,REPLACE(AC267,LEN(AC267),1,VALUE(RIGHT(AC267,1))+1),AC267)</f>
        <v>A5.14</v>
      </c>
      <c r="AD268" s="43" cm="1">
        <f t="array" ref="AD268">IF(COUNTIFS(AC$2:AC268,AC268)=1,"1",VALUE(SUBSTITUTE(INDEX(AD:AD,_xlfn.XMATCH(AC268,AC$1:AC267,0,-1)),"A",""))+INDEX(AE:AE,_xlfn.XMATCH(AC268,AC$1:AC267,0,-1))+1)</f>
        <v>6</v>
      </c>
      <c r="AE268" s="43" cm="1">
        <f t="array" ref="AE268">SUM(IF(ISNUMBER(FIND("TmDi",$BE$1:$AAL$1)),IF(IFERROR(ISNUMBER(VALUE(SUBSTITUTE($BE268:$AAL268,"B",""))),FALSE),IF(ISNUMBER(VALUE(SUBSTITUTE($BE268:$AAL268,"B",""))),1,0),0)))</f>
        <v>4</v>
      </c>
      <c r="AF268" t="str">
        <f>CONCATENATE("C",$AD268)</f>
        <v>C6</v>
      </c>
      <c r="AG268" t="str">
        <f>CONCATENATE("B",$AD268)</f>
        <v>B6</v>
      </c>
      <c r="AH268" t="str">
        <f>IF(AI267+AJ267&gt;31,REPLACE(AH267,LEN(AH267),1,VALUE(RIGHT(AH267,1))+1),AH267)</f>
        <v>A6.8</v>
      </c>
      <c r="AI268" s="64" cm="1">
        <f t="array" ref="AI268">IF(COUNTIFS(AH$2:AH268,AH268)=1,"1",VALUE(SUBSTITUTE(INDEX(AI:AI,_xlfn.XMATCH(AH268,AH$1:AH267,0,-1)),"A",""))+INDEX(AJ:AJ,_xlfn.XMATCH(AH268,AH$1:AH267,0,-1))+1)</f>
        <v>3</v>
      </c>
      <c r="AJ268" s="64" cm="1">
        <f t="array" ref="AJ268">SUM(IF(ISNUMBER(FIND("TmDo",$BE$1:$AAL$1)),IF(IFERROR(ISNUMBER(VALUE(SUBSTITUTE($BE268:$AAL268,"B",""))),FALSE),IF(ISNUMBER(VALUE(SUBSTITUTE($BE268:$AAL268,"B",""))),1,0),0)))</f>
        <v>2</v>
      </c>
      <c r="AK268" s="11" t="str">
        <f t="shared" si="642"/>
        <v>3A</v>
      </c>
      <c r="AL268" s="11" t="str">
        <f t="shared" si="643"/>
        <v>3B</v>
      </c>
      <c r="AM268" s="23" t="s">
        <v>150</v>
      </c>
      <c r="AN268" s="23"/>
      <c r="AO268" s="23"/>
      <c r="AP268" s="23" t="s">
        <v>137</v>
      </c>
      <c r="AQ268" s="23" t="s">
        <v>1794</v>
      </c>
      <c r="AR268" s="23"/>
      <c r="AS268" s="23"/>
      <c r="AT268" s="23" t="s">
        <v>139</v>
      </c>
      <c r="AU268" s="23" t="s">
        <v>140</v>
      </c>
      <c r="AV268" s="23"/>
      <c r="AW268" s="23"/>
      <c r="AX268" s="23"/>
      <c r="AY268" s="12"/>
      <c r="AZ268" s="12"/>
      <c r="BA268" s="12"/>
      <c r="BB268" s="12"/>
      <c r="BC268" s="12"/>
      <c r="BD268" s="13"/>
      <c r="BE268" s="23" t="str">
        <f>CONCATENATE("XT",U268)</f>
        <v>XT88</v>
      </c>
      <c r="BF268" s="23" t="str">
        <f>CONCATENATE("C",REPLACE(AF268,1,1,"")+1)</f>
        <v>C7</v>
      </c>
      <c r="BG268" s="23" t="str">
        <f t="shared" ref="BG268" si="654">CONCATENATE("B",REPLACE(AG268,1,1,"")+1)</f>
        <v>B7</v>
      </c>
      <c r="BH268" s="23" t="str">
        <f t="shared" ref="BH268" si="655">CONCATENATE("C",REPLACE(BF268,1,1,"")+1)</f>
        <v>C8</v>
      </c>
      <c r="BI268" s="23" t="str">
        <f t="shared" ref="BI268" si="656">CONCATENATE("B",REPLACE(BG268,1,1,"")+1)</f>
        <v>B8</v>
      </c>
      <c r="BJ268" s="23" t="str">
        <f t="shared" ref="BJ268" si="657">CONCATENATE("C",REPLACE(BH268,1,1,"")+1)</f>
        <v>C9</v>
      </c>
      <c r="BK268" s="23" t="str">
        <f t="shared" ref="BK268" si="658">CONCATENATE("B",REPLACE(BI268,1,1,"")+1)</f>
        <v>B9</v>
      </c>
      <c r="BL268" s="23" t="str">
        <f t="shared" ref="BL268" si="659">CONCATENATE("C",REPLACE(BJ268,1,1,"")+1)</f>
        <v>C10</v>
      </c>
      <c r="BM268" s="23" t="str">
        <f t="shared" ref="BM268" si="660">CONCATENATE("B",REPLACE(BK268,1,1,"")+1)</f>
        <v>B10</v>
      </c>
      <c r="BN268" s="23"/>
      <c r="BO268" s="23"/>
      <c r="BP268" s="23" t="str">
        <f>CONCATENATE(REPLACE(AK268,LEN(AK268),1,"")+1,"A")</f>
        <v>4A</v>
      </c>
      <c r="BQ268" s="23" t="str">
        <f>CONCATENATE(REPLACE(AL268,LEN(AL268),1,"")+1,"B")</f>
        <v>4B</v>
      </c>
      <c r="BR268" s="23" t="str">
        <f>CONCATENATE(REPLACE(BP268,LEN(BP268),1,"")+1,"A")</f>
        <v>5A</v>
      </c>
      <c r="BS268" s="23" t="str">
        <f>CONCATENATE(REPLACE(BQ268,LEN(BQ268),1,"")+1,"B")</f>
        <v>5B</v>
      </c>
      <c r="BT268" s="23" t="str">
        <f>CONCATENATE("DI",REPLACE($AC268,1,3,""),"-",AF268)</f>
        <v>DI14-C6</v>
      </c>
      <c r="BU268" s="23" t="str">
        <f t="shared" ref="BU268" si="661">CONCATENATE("DI",REPLACE($AC268,1,3,""),"-",AG268)</f>
        <v>DI14-B6</v>
      </c>
      <c r="BV268" s="23" t="str">
        <f t="shared" ref="BV268" si="662">CONCATENATE("DI",REPLACE($AC268,1,3,""),"-",BF268)</f>
        <v>DI14-C7</v>
      </c>
      <c r="BW268" s="23" t="str">
        <f t="shared" ref="BW268" si="663">CONCATENATE("DI",REPLACE($AC268,1,3,""),"-",BG268)</f>
        <v>DI14-B7</v>
      </c>
      <c r="BX268" s="23" t="str">
        <f t="shared" ref="BX268" si="664">CONCATENATE("DI",REPLACE($AC268,1,3,""),"-",BH268)</f>
        <v>DI14-C8</v>
      </c>
      <c r="BY268" s="23" t="str">
        <f t="shared" ref="BY268" si="665">CONCATENATE("DI",REPLACE($AC268,1,3,""),"-",BI268)</f>
        <v>DI14-B8</v>
      </c>
      <c r="BZ268" s="23" t="str">
        <f t="shared" ref="BZ268" si="666">CONCATENATE("DI",REPLACE($AC268,1,3,""),"-",BJ268)</f>
        <v>DI14-C9</v>
      </c>
      <c r="CA268" s="23" t="str">
        <f t="shared" ref="CA268" si="667">CONCATENATE("DI",REPLACE($AC268,1,3,""),"-",BK268)</f>
        <v>DI14-B9</v>
      </c>
      <c r="CB268" s="23" t="str">
        <f t="shared" ref="CB268" si="668">CONCATENATE("DI",REPLACE($AC268,1,3,""),"-",BL268)</f>
        <v>DI14-C10</v>
      </c>
      <c r="CC268" s="23" t="str">
        <f t="shared" ref="CC268" si="669">CONCATENATE("DI",REPLACE($AC268,1,3,""),"-",BM268)</f>
        <v>DI14-B10</v>
      </c>
      <c r="CD268" s="23" t="str">
        <f t="shared" ref="CD268" si="670">CONCATENATE("DI",REPLACE($AC268,1,3,""),"-",BN268)</f>
        <v>DI14-</v>
      </c>
      <c r="CE268" s="23" t="str">
        <f t="shared" ref="CE268" si="671">CONCATENATE("DI",REPLACE($AC268,1,3,""),"-",BO268)</f>
        <v>DI14-</v>
      </c>
      <c r="CF268" s="23" t="str">
        <f t="shared" ref="CF268" si="672">CONCATENATE("DO",REPLACE($AH268,1,3,""),"-",AK268)</f>
        <v>DO8-3A</v>
      </c>
      <c r="CG268" s="23" t="str">
        <f t="shared" ref="CG268" si="673">CONCATENATE("DO",REPLACE($AH268,1,3,""),"-",AL268)</f>
        <v>DO8-3B</v>
      </c>
      <c r="CH268" s="23" t="str">
        <f t="shared" ref="CH268" si="674">CONCATENATE("DO",REPLACE($AH268,1,3,""),"-",BP268)</f>
        <v>DO8-4A</v>
      </c>
      <c r="CI268" s="23" t="str">
        <f t="shared" ref="CI268" si="675">CONCATENATE("DO",REPLACE($AH268,1,3,""),"-",BQ268)</f>
        <v>DO8-4B</v>
      </c>
      <c r="CJ268" s="23" t="str">
        <f t="shared" ref="CJ268" si="676">CONCATENATE("DO",REPLACE($AH268,1,3,""),"-",BR268)</f>
        <v>DO8-5A</v>
      </c>
      <c r="CK268" s="23" t="str">
        <f t="shared" ref="CK268" si="677">CONCATENATE("DO",REPLACE($AH268,1,3,""),"-",BS268)</f>
        <v>DO8-5B</v>
      </c>
      <c r="CL268" s="23" t="str">
        <f t="shared" ref="CL268:CL285" si="678">CONCATENATE("K",$U268,"-10")</f>
        <v>K88-10</v>
      </c>
      <c r="CM268" s="23" t="str">
        <f t="shared" ref="CM268:CM285" si="679">CONCATENATE("K",$U268,"-03")</f>
        <v>K88-03</v>
      </c>
      <c r="CN268" s="23" t="str">
        <f t="shared" ref="CN268:CN285" si="680">CONCATENATE("K",$U268,"-04")</f>
        <v>K88-04</v>
      </c>
      <c r="CO268" s="23" t="str">
        <f t="shared" ref="CO268:CO285" si="681">CONCATENATE("K",$U268,"-01")</f>
        <v>K88-01</v>
      </c>
      <c r="CP268" s="23" t="str">
        <f t="shared" ref="CP268:CP285" si="682">CONCATENATE("K",$U268,"-08")</f>
        <v>K88-08</v>
      </c>
      <c r="CQ268" s="23" t="str">
        <f t="shared" ref="CQ268:CQ285" si="683">CONCATENATE("K",$U268,"-02")</f>
        <v>K88-02</v>
      </c>
      <c r="CR268" s="23" t="str">
        <f t="shared" ref="CR268:CR285" si="684">CONCATENATE("K",$U268,"-09")</f>
        <v>K88-09</v>
      </c>
      <c r="CS268" s="23" t="str">
        <f t="shared" ref="CS268:CS285" si="685">CONCATENATE("K",$U268,"-05")</f>
        <v>K88-05</v>
      </c>
      <c r="CT268" s="23" t="str">
        <f t="shared" ref="CT268:CT285" si="686">CONCATENATE("K",$U268,"-11")</f>
        <v>K88-11</v>
      </c>
      <c r="CU268" s="23" t="str">
        <f t="shared" ref="CU268:CU285" si="687">CONCATENATE($T268,"-M",$U268,"-A9")</f>
        <v>F0-M88-A9</v>
      </c>
      <c r="CV268" s="23" t="str">
        <f t="shared" ref="CV268:CV285" si="688">CONCATENATE($T268,"-M",$U268,"-A7")</f>
        <v>F0-M88-A7</v>
      </c>
      <c r="CW268" s="23" t="str">
        <f t="shared" ref="CW268:CW285" si="689">CONCATENATE($T268,"-M",$U268,"-A8")</f>
        <v>F0-M88-A8</v>
      </c>
      <c r="CX268" s="23" t="str">
        <f t="shared" ref="CX268:CX285" si="690">CONCATENATE($T268,"-M",$U268,"-A6")</f>
        <v>F0-M88-A6</v>
      </c>
      <c r="CY268" s="23" t="str">
        <f t="shared" ref="CY268:CY285" si="691">CONCATENATE($T268,"-M",$U268,"-A30")</f>
        <v>F0-M88-A30</v>
      </c>
      <c r="CZ268" s="23" t="str">
        <f t="shared" ref="CZ268:CZ285" si="692">CONCATENATE($T268,"-M",$U268,"-N")</f>
        <v>F0-M88-N</v>
      </c>
      <c r="DA268" s="23" t="str">
        <f>CONCATENATE($T268,"-A220-M",U268)</f>
        <v>F0-A220-M88</v>
      </c>
      <c r="DB268" s="23" t="str">
        <f t="shared" ref="DB268:DB285" si="693">CONCATENATE($T268,"-M",$U268,"-XM01")</f>
        <v>F0-M88-XM01</v>
      </c>
      <c r="DC268" s="23" t="str">
        <f t="shared" ref="DC268:DC285" si="694">CONCATENATE($T268,"-M",$U268,"-A1")</f>
        <v>F0-M88-A1</v>
      </c>
      <c r="DD268" s="23" t="str">
        <f t="shared" ref="DD268:DD285" si="695">CONCATENATE($T268,"-M",$U268,"-A5")</f>
        <v>F0-M88-A5</v>
      </c>
      <c r="DE268" s="23" t="str">
        <f t="shared" ref="DE268:DE285" si="696">CONCATENATE($T268,"-M",$U268,"-A11")</f>
        <v>F0-M88-A11</v>
      </c>
      <c r="DF268" s="23" t="str">
        <f t="shared" ref="DF268:DF285" si="697">CONCATENATE($T268,"-M",$U268,"-A12")</f>
        <v>F0-M88-A12</v>
      </c>
      <c r="DG268" s="23" t="str">
        <f t="shared" ref="DG268:DG285" si="698">CONCATENATE($T268,"-M",$U268,"-A19")</f>
        <v>F0-M88-A19</v>
      </c>
      <c r="DH268" s="23" t="str">
        <f t="shared" ref="DH268:DH285" si="699">CONCATENATE($T268,"-M",$U268,"-A20")</f>
        <v>F0-M88-A20</v>
      </c>
      <c r="DI268" s="23" t="s">
        <v>142</v>
      </c>
      <c r="DJ268" s="23" t="s">
        <v>143</v>
      </c>
      <c r="DK268" s="23">
        <v>11</v>
      </c>
      <c r="DL268" s="23">
        <v>14</v>
      </c>
      <c r="DM268" s="23">
        <v>12</v>
      </c>
      <c r="DN268" s="23" t="s">
        <v>144</v>
      </c>
      <c r="DO268" s="23" t="s">
        <v>145</v>
      </c>
      <c r="DP268" s="23">
        <v>1</v>
      </c>
      <c r="DQ268" s="23">
        <v>2</v>
      </c>
      <c r="DR268" s="23">
        <v>3</v>
      </c>
      <c r="DS268" s="23">
        <v>4</v>
      </c>
      <c r="DT268" s="23">
        <v>5</v>
      </c>
      <c r="DU268" s="23">
        <v>6</v>
      </c>
      <c r="DV268" s="23">
        <v>7</v>
      </c>
      <c r="DW268" s="23">
        <v>8</v>
      </c>
      <c r="DX268" s="23">
        <v>9</v>
      </c>
      <c r="DY268" s="23">
        <v>10</v>
      </c>
      <c r="DZ268" s="23">
        <v>11</v>
      </c>
      <c r="EA268" s="23">
        <v>12</v>
      </c>
      <c r="EB268" s="23">
        <v>13</v>
      </c>
      <c r="EC268" s="23">
        <v>14</v>
      </c>
      <c r="ED268" s="23">
        <v>1</v>
      </c>
      <c r="EE268" s="23">
        <v>3</v>
      </c>
      <c r="EF268" s="23">
        <v>4</v>
      </c>
      <c r="EG268" s="23">
        <v>7</v>
      </c>
      <c r="EH268" s="23">
        <v>8</v>
      </c>
      <c r="EI268" s="23">
        <v>9</v>
      </c>
      <c r="EJ268" s="23">
        <v>10</v>
      </c>
      <c r="EK268" s="23">
        <v>13</v>
      </c>
      <c r="EL268" s="23">
        <v>14</v>
      </c>
      <c r="EM268" s="23">
        <v>15</v>
      </c>
      <c r="EN268" s="23">
        <v>16</v>
      </c>
      <c r="EO268" s="23">
        <v>22</v>
      </c>
      <c r="EP268" s="23">
        <v>23</v>
      </c>
      <c r="EQ268" s="24">
        <v>24</v>
      </c>
    </row>
    <row r="269" spans="1:305" ht="15.75" thickBot="1" x14ac:dyDescent="0.3">
      <c r="A269" t="s">
        <v>1844</v>
      </c>
      <c r="B269" t="s">
        <v>1798</v>
      </c>
      <c r="C269" t="s">
        <v>1871</v>
      </c>
      <c r="P269" t="s">
        <v>1785</v>
      </c>
      <c r="T269" s="10" t="s">
        <v>554</v>
      </c>
      <c r="U269" s="49">
        <v>89</v>
      </c>
      <c r="V269" s="11" t="s">
        <v>3056</v>
      </c>
      <c r="W269" s="11" t="s">
        <v>3057</v>
      </c>
      <c r="X269" t="str" cm="1">
        <f t="array" ref="X269">IF(COUNTIF(X$1:X268,INDEX(X$1:X268,MAX(IF(X$1:X268&lt;&gt;"",ROW(X$1:X268)))))&gt;7,REPLACE(INDEX(X$1:X268,MAX(IF(X$1:X268&lt;&gt;"",ROW(X$1:X268)))),LEN(INDEX(X$1:X268,MAX(IF(X$1:X268&lt;&gt;"",ROW(X$1:X268))))),1,VALUE(RIGHT(INDEX(X$1:X268,MAX(IF(X$1:X268&lt;&gt;"",ROW(X$1:X268)))),1))+1),INDEX(X$1:X268,MAX(IF(X$1:X268&lt;&gt;"",ROW(X$1:X268)))))</f>
        <v>А3.37</v>
      </c>
      <c r="Y269" s="43" cm="1">
        <f t="array" ref="Y269">IF(COUNTIFS(X$2:X269,X269)=1,"1",VALUE(SUBSTITUTE(INDEX(Y:Y,_xlfn.XMATCH(X269,X$1:X268,0,-1)),"A",""))+INDEX(Z:Z,_xlfn.XMATCH(X269,X$1:X268,0,-1))+1)</f>
        <v>2</v>
      </c>
      <c r="Z269" s="43" cm="1">
        <f t="array" ref="Z269">SUM(IF(ISNUMBER(FIND("TmAi",$BE$1:$AAL$1)),IF(IFERROR(ISODD(SUBSTITUTE($BE269:$AAL269,"A","")),FALSE),IF(ISODD(SUBSTITUTE($BE269:$AAL269,"A","")),1,0),0)))</f>
        <v>0</v>
      </c>
      <c r="AA269" t="str">
        <f t="shared" ref="AA269" si="700">CONCATENATE($Y269*2-1,"A")</f>
        <v>3A</v>
      </c>
      <c r="AB269" t="str">
        <f t="shared" ref="AB269" si="701">CONCATENATE($Y269*2-1,"B")</f>
        <v>3B</v>
      </c>
      <c r="AC269" t="str">
        <f>IF(COUNTIF(AC$1:AC268,AC268)&gt;31,REPLACE(AC268,LEN(AC268),1,VALUE(RIGHT(AC268,1))+1),AC268)</f>
        <v>A5.14</v>
      </c>
      <c r="AD269" s="43" cm="1">
        <f t="array" ref="AD269">IF(COUNTIFS(AC$2:AC269,AC269)=1,"1",VALUE(SUBSTITUTE(INDEX(AD:AD,_xlfn.XMATCH(AC269,AC$1:AC268,0,-1)),"A",""))+INDEX(AE:AE,_xlfn.XMATCH(AC269,AC$1:AC268,0,-1))+1)</f>
        <v>11</v>
      </c>
      <c r="AE269" s="43" cm="1">
        <f t="array" ref="AE269">SUM(IF(ISNUMBER(FIND("TmDi",$BE$1:$AAL$1)),IF(IFERROR(ISNUMBER(VALUE(SUBSTITUTE($BE269:$AAL269,"B",""))),FALSE),IF(ISNUMBER(VALUE(SUBSTITUTE($BE269:$AAL269,"B",""))),1,0),0)))</f>
        <v>4</v>
      </c>
      <c r="AF269" t="str">
        <f t="shared" ref="AF269:AF306" si="702">CONCATENATE("C",$AD269)</f>
        <v>C11</v>
      </c>
      <c r="AG269" t="str">
        <f t="shared" ref="AG269:AG306" si="703">CONCATENATE("B",$AD269)</f>
        <v>B11</v>
      </c>
      <c r="AH269" t="str">
        <f t="shared" ref="AH269:AH284" si="704">IF(AI268+AJ268&gt;31,REPLACE(AH268,LEN(AH268),1,VALUE(RIGHT(AH268,1))+1),AH268)</f>
        <v>A6.8</v>
      </c>
      <c r="AI269" s="64" cm="1">
        <f t="array" ref="AI269">IF(COUNTIFS(AH$2:AH269,AH269)=1,"1",VALUE(SUBSTITUTE(INDEX(AI:AI,_xlfn.XMATCH(AH269,AH$1:AH268,0,-1)),"A",""))+INDEX(AJ:AJ,_xlfn.XMATCH(AH269,AH$1:AH268,0,-1))+1)</f>
        <v>6</v>
      </c>
      <c r="AJ269" s="64" cm="1">
        <f t="array" ref="AJ269">SUM(IF(ISNUMBER(FIND("TmDo",$BE$1:$AAL$1)),IF(IFERROR(ISNUMBER(VALUE(SUBSTITUTE($BE269:$AAL269,"B",""))),FALSE),IF(ISNUMBER(VALUE(SUBSTITUTE($BE269:$AAL269,"B",""))),1,0),0)))</f>
        <v>1</v>
      </c>
      <c r="AK269" s="11" t="str">
        <f t="shared" si="642"/>
        <v>6A</v>
      </c>
      <c r="AL269" s="11" t="str">
        <f t="shared" si="643"/>
        <v>6B</v>
      </c>
      <c r="AM269" s="12" t="s">
        <v>161</v>
      </c>
      <c r="AN269" s="12"/>
      <c r="AO269" s="12"/>
      <c r="AP269" s="12" t="s">
        <v>137</v>
      </c>
      <c r="AQ269" s="12" t="s">
        <v>1794</v>
      </c>
      <c r="AR269" s="12"/>
      <c r="AS269" s="12" t="s">
        <v>396</v>
      </c>
      <c r="AT269" s="12" t="s">
        <v>139</v>
      </c>
      <c r="AU269" s="12" t="s">
        <v>140</v>
      </c>
      <c r="AV269" s="12"/>
      <c r="AW269" s="12"/>
      <c r="AX269" s="12"/>
      <c r="AY269" s="12"/>
      <c r="AZ269" s="12"/>
      <c r="BA269" s="12"/>
      <c r="BB269" s="12"/>
      <c r="BC269" s="12"/>
      <c r="BD269" s="13"/>
      <c r="GT269" s="25" t="str">
        <f t="shared" ref="GT269" si="705">CONCATENATE("XT",U269)</f>
        <v>XT89</v>
      </c>
      <c r="GU269" s="12" t="str">
        <f t="shared" ref="GU269" si="706">CONCATENATE("C",REPLACE(AF269,1,1,"")+1)</f>
        <v>C12</v>
      </c>
      <c r="GV269" s="12" t="str">
        <f t="shared" ref="GV269" si="707">CONCATENATE("B",REPLACE(AG269,1,1,"")+1)</f>
        <v>B12</v>
      </c>
      <c r="GW269" s="12" t="str">
        <f t="shared" ref="GW269" si="708">CONCATENATE("C",REPLACE(GU269,1,1,"")+1)</f>
        <v>C13</v>
      </c>
      <c r="GX269" s="12" t="str">
        <f t="shared" ref="GX269" si="709">CONCATENATE("B",REPLACE(GV269,1,1,"")+1)</f>
        <v>B13</v>
      </c>
      <c r="GY269" s="12" t="str">
        <f t="shared" ref="GY269" si="710">CONCATENATE("C",REPLACE(GW269,1,1,"")+1)</f>
        <v>C14</v>
      </c>
      <c r="GZ269" s="12" t="str">
        <f t="shared" ref="GZ269" si="711">CONCATENATE("B",REPLACE(GX269,1,1,"")+1)</f>
        <v>B14</v>
      </c>
      <c r="HA269" s="12" t="str">
        <f t="shared" ref="HA269" si="712">CONCATENATE("C",REPLACE(GY269,1,1,"")+1)</f>
        <v>C15</v>
      </c>
      <c r="HB269" s="12" t="str">
        <f t="shared" ref="HB269" si="713">CONCATENATE("B",REPLACE(GZ269,1,1,"")+1)</f>
        <v>B15</v>
      </c>
      <c r="HC269" s="12"/>
      <c r="HD269" s="12"/>
      <c r="HE269" s="12" t="str">
        <f>CONCATENATE(REPLACE(AK269,LEN(AK269),1,"")+1,"A")</f>
        <v>7A</v>
      </c>
      <c r="HF269" s="12" t="str">
        <f>CONCATENATE(REPLACE(AL269,LEN(AL269),1,"")+1,"B")</f>
        <v>7B</v>
      </c>
      <c r="HG269" s="12" t="str">
        <f t="shared" ref="HG269" si="714">CONCATENATE("AI",REPLACE($X269,1,3,""),"-",AA269)</f>
        <v>AI37-3A</v>
      </c>
      <c r="HH269" s="12" t="str">
        <f t="shared" ref="HH269" si="715">CONCATENATE("AI",REPLACE($X269,1,3,""),"-",AB269)</f>
        <v>AI37-3B</v>
      </c>
      <c r="HI269" s="12" t="str">
        <f t="shared" ref="HI269" si="716">CONCATENATE("DI",REPLACE($AC269,1,3,""),"-",AF269)</f>
        <v>DI14-C11</v>
      </c>
      <c r="HJ269" s="12" t="str">
        <f t="shared" ref="HJ269" si="717">CONCATENATE("DI",REPLACE($AC269,1,3,""),"-",AG269)</f>
        <v>DI14-B11</v>
      </c>
      <c r="HK269" s="12" t="str">
        <f t="shared" ref="HK269" si="718">CONCATENATE("DI",REPLACE($AC269,1,3,""),"-",GU269)</f>
        <v>DI14-C12</v>
      </c>
      <c r="HL269" s="12" t="str">
        <f t="shared" ref="HL269" si="719">CONCATENATE("DI",REPLACE($AC269,1,3,""),"-",GV269)</f>
        <v>DI14-B12</v>
      </c>
      <c r="HM269" s="12" t="str">
        <f t="shared" ref="HM269" si="720">CONCATENATE("DI",REPLACE($AC269,1,3,""),"-",GW269)</f>
        <v>DI14-C13</v>
      </c>
      <c r="HN269" s="12" t="str">
        <f t="shared" ref="HN269" si="721">CONCATENATE("DI",REPLACE($AC269,1,3,""),"-",GX269)</f>
        <v>DI14-B13</v>
      </c>
      <c r="HO269" s="12" t="str">
        <f t="shared" ref="HO269" si="722">CONCATENATE("DI",REPLACE($AC269,1,3,""),"-",GY269)</f>
        <v>DI14-C14</v>
      </c>
      <c r="HP269" s="12" t="str">
        <f t="shared" ref="HP269" si="723">CONCATENATE("DI",REPLACE($AC269,1,3,""),"-",GZ269)</f>
        <v>DI14-B14</v>
      </c>
      <c r="HQ269" s="12" t="str">
        <f t="shared" ref="HQ269" si="724">CONCATENATE("DI",REPLACE($AC269,1,3,""),"-",HA269)</f>
        <v>DI14-C15</v>
      </c>
      <c r="HR269" s="12" t="str">
        <f t="shared" ref="HR269" si="725">CONCATENATE("DI",REPLACE($AC269,1,3,""),"-",HB269)</f>
        <v>DI14-B15</v>
      </c>
      <c r="HS269" s="12" t="str">
        <f t="shared" ref="HS269" si="726">CONCATENATE("DI",REPLACE($AC269,1,3,""),"-",HC269)</f>
        <v>DI14-</v>
      </c>
      <c r="HT269" s="12" t="str">
        <f t="shared" ref="HT269" si="727">CONCATENATE("DI",REPLACE($AC269,1,3,""),"-",HD269)</f>
        <v>DI14-</v>
      </c>
      <c r="HU269" s="12" t="str">
        <f t="shared" ref="HU269" si="728">CONCATENATE("DO",REPLACE($AH269,1,3,""),"-",AK269)</f>
        <v>DO8-6A</v>
      </c>
      <c r="HV269" s="12" t="str">
        <f t="shared" ref="HV269" si="729">CONCATENATE("DO",REPLACE($AH269,1,3,""),"-",AL269)</f>
        <v>DO8-6B</v>
      </c>
      <c r="HW269" s="12" t="str">
        <f t="shared" ref="HW269" si="730">CONCATENATE("DO",REPLACE($AH269,1,3,""),"-",HE269)</f>
        <v>DO8-7A</v>
      </c>
      <c r="HX269" s="12" t="str">
        <f t="shared" ref="HX269" si="731">CONCATENATE("DO",REPLACE($AH269,1,3,""),"-",HF269)</f>
        <v>DO8-7B</v>
      </c>
      <c r="HY269" s="12" t="str">
        <f t="shared" ref="HY269" si="732">CONCATENATE("K",$U269,"-01")</f>
        <v>K89-01</v>
      </c>
      <c r="HZ269" s="12" t="str">
        <f t="shared" ref="HZ269" si="733">CONCATENATE("K",$U269,"-02")</f>
        <v>K89-02</v>
      </c>
      <c r="IA269" s="12" t="str">
        <f t="shared" ref="IA269" si="734">CONCATENATE("K",$U269,"-03")</f>
        <v>K89-03</v>
      </c>
      <c r="IB269" s="12" t="str">
        <f t="shared" ref="IB269" si="735">CONCATENATE("K",$U269,"-04")</f>
        <v>K89-04</v>
      </c>
      <c r="IC269" s="12" t="str">
        <f t="shared" ref="IC269" si="736">CONCATENATE("K",$U269,"-05")</f>
        <v>K89-05</v>
      </c>
      <c r="ID269" s="12" t="str">
        <f t="shared" ref="ID269" si="737">CONCATENATE("K",$U269,"-06")</f>
        <v>K89-06</v>
      </c>
      <c r="IE269" s="12" t="str">
        <f t="shared" ref="IE269" si="738">CONCATENATE("K",$U269,"-07")</f>
        <v>K89-07</v>
      </c>
      <c r="IF269" s="12" t="str">
        <f t="shared" ref="IF269" si="739">CONCATENATE("K",$U269,"-08")</f>
        <v>K89-08</v>
      </c>
      <c r="IG269" s="12" t="str">
        <f t="shared" ref="IG269" si="740">CONCATENATE($T269,"-M",$U269,"-AMS-12")</f>
        <v>F0-M89-AMS-12</v>
      </c>
      <c r="IH269" s="12" t="str">
        <f t="shared" ref="IH269" si="741">CONCATENATE($T269,"-M",$U269,"-AMS-10")</f>
        <v>F0-M89-AMS-10</v>
      </c>
      <c r="II269" s="12" t="str">
        <f t="shared" ref="II269" si="742">CONCATENATE($T269,"-M",$U269,"-AMS-11")</f>
        <v>F0-M89-AMS-11</v>
      </c>
      <c r="IJ269" s="12" t="str">
        <f t="shared" ref="IJ269" si="743">CONCATENATE($T269,"-M",$U269,"-AMS-13")</f>
        <v>F0-M89-AMS-13</v>
      </c>
      <c r="IK269" s="12" t="str">
        <f t="shared" ref="IK269" si="744">CONCATENATE($T269,"-M",$U269,"-AMS-9")</f>
        <v>F0-M89-AMS-9</v>
      </c>
      <c r="IL269" s="12" t="str">
        <f t="shared" ref="IL269" si="745">CONCATENATE($T269,"-M",$U269,"-AMS-7")</f>
        <v>F0-M89-AMS-7</v>
      </c>
      <c r="IM269" s="12" t="str">
        <f t="shared" ref="IM269" si="746">CONCATENATE($T269,"-M",$U269,"-AMS-18")</f>
        <v>F0-M89-AMS-18</v>
      </c>
      <c r="IN269" s="12" t="str">
        <f t="shared" ref="IN269" si="747">CONCATENATE($T269,"-M",$U269,"-AMS-20")</f>
        <v>F0-M89-AMS-20</v>
      </c>
      <c r="IO269" s="12" t="str">
        <f t="shared" ref="IO269" si="748">CONCATENATE($T269,"-M",$U269,"-AMS-17")</f>
        <v>F0-M89-AMS-17</v>
      </c>
      <c r="IP269" s="12" t="str">
        <f t="shared" ref="IP269" si="749">CONCATENATE($T269,"-+24-M",$U269,)</f>
        <v>F0-+24-M89</v>
      </c>
      <c r="IQ269" s="12" t="str">
        <f t="shared" ref="IQ269" si="750">CONCATENATE($T269,"-M",$U269,"-XM01")</f>
        <v>F0-M89-XM01</v>
      </c>
      <c r="IR269" s="12" t="s">
        <v>142</v>
      </c>
      <c r="IS269" s="12" t="s">
        <v>143</v>
      </c>
      <c r="IT269" s="12">
        <v>11</v>
      </c>
      <c r="IU269" s="12">
        <v>14</v>
      </c>
      <c r="IV269" s="12" t="s">
        <v>413</v>
      </c>
      <c r="IW269" s="12" t="s">
        <v>414</v>
      </c>
      <c r="IX269" s="12">
        <v>1</v>
      </c>
      <c r="IY269" s="12">
        <v>2</v>
      </c>
      <c r="IZ269" s="12">
        <v>3</v>
      </c>
      <c r="JA269" s="12">
        <v>4</v>
      </c>
      <c r="JB269" s="12">
        <v>5</v>
      </c>
      <c r="JC269" s="12">
        <v>6</v>
      </c>
      <c r="JD269" s="12">
        <v>7</v>
      </c>
      <c r="JE269" s="12">
        <v>8</v>
      </c>
      <c r="JF269" s="12">
        <v>9</v>
      </c>
      <c r="JG269" s="12">
        <v>10</v>
      </c>
      <c r="JH269" s="12">
        <v>11</v>
      </c>
      <c r="JI269" s="12">
        <v>12</v>
      </c>
      <c r="JJ269" s="12">
        <v>13</v>
      </c>
      <c r="JK269" s="12">
        <v>14</v>
      </c>
      <c r="JL269" s="12">
        <v>17</v>
      </c>
      <c r="JM269" s="12">
        <v>15</v>
      </c>
      <c r="JN269" s="12">
        <v>18</v>
      </c>
      <c r="JO269" s="12">
        <v>11</v>
      </c>
      <c r="JP269" s="12">
        <v>9</v>
      </c>
      <c r="JQ269" s="12">
        <v>6</v>
      </c>
      <c r="JR269" s="12">
        <v>20</v>
      </c>
      <c r="JS269" s="12">
        <v>7</v>
      </c>
      <c r="JT269" s="12">
        <v>10</v>
      </c>
      <c r="JU269" s="12">
        <v>22</v>
      </c>
      <c r="JV269" s="12">
        <v>23</v>
      </c>
      <c r="JW269" s="12">
        <v>26</v>
      </c>
      <c r="JX269" s="12">
        <v>27</v>
      </c>
      <c r="JY269" s="13">
        <v>30</v>
      </c>
    </row>
    <row r="270" spans="1:305" ht="15.75" thickBot="1" x14ac:dyDescent="0.3">
      <c r="A270" t="s">
        <v>1845</v>
      </c>
      <c r="B270" t="s">
        <v>1803</v>
      </c>
      <c r="C270" s="3" t="s">
        <v>1872</v>
      </c>
      <c r="O270" s="2"/>
      <c r="P270" t="s">
        <v>1784</v>
      </c>
      <c r="Q270" s="1"/>
      <c r="S270" s="1"/>
      <c r="T270" s="21" t="s">
        <v>554</v>
      </c>
      <c r="U270" s="50">
        <v>90</v>
      </c>
      <c r="V270" s="18" t="s">
        <v>3058</v>
      </c>
      <c r="W270" s="22"/>
      <c r="X270" s="23"/>
      <c r="Y270" s="23"/>
      <c r="Z270" s="23"/>
      <c r="AA270" s="23"/>
      <c r="AB270" s="23"/>
      <c r="AC270" t="str">
        <f>IF(COUNTIF(AC$1:AC269,AC269)&gt;31,REPLACE(AC269,LEN(AC269),1,VALUE(RIGHT(AC269,1))+1),AC269)</f>
        <v>A5.14</v>
      </c>
      <c r="AD270" s="43" cm="1">
        <f t="array" ref="AD270">IF(COUNTIFS(AC$2:AC270,AC270)=1,"1",VALUE(SUBSTITUTE(INDEX(AD:AD,_xlfn.XMATCH(AC270,AC$1:AC269,0,-1)),"A",""))+INDEX(AE:AE,_xlfn.XMATCH(AC270,AC$1:AC269,0,-1))+1)</f>
        <v>16</v>
      </c>
      <c r="AE270" s="43" cm="1">
        <f t="array" ref="AE270">SUM(IF(ISNUMBER(FIND("TmDi",$BE$1:$AAL$1)),IF(IFERROR(ISNUMBER(VALUE(SUBSTITUTE($BE270:$AAL270,"B",""))),FALSE),IF(ISNUMBER(VALUE(SUBSTITUTE($BE270:$AAL270,"B",""))),1,0),0)))</f>
        <v>4</v>
      </c>
      <c r="AF270" t="str">
        <f t="shared" si="702"/>
        <v>C16</v>
      </c>
      <c r="AG270" t="str">
        <f t="shared" si="703"/>
        <v>B16</v>
      </c>
      <c r="AH270" t="str">
        <f t="shared" si="704"/>
        <v>A6.8</v>
      </c>
      <c r="AI270" s="64" cm="1">
        <f t="array" ref="AI270">IF(COUNTIFS(AH$2:AH270,AH270)=1,"1",VALUE(SUBSTITUTE(INDEX(AI:AI,_xlfn.XMATCH(AH270,AH$1:AH269,0,-1)),"A",""))+INDEX(AJ:AJ,_xlfn.XMATCH(AH270,AH$1:AH269,0,-1))+1)</f>
        <v>8</v>
      </c>
      <c r="AJ270" s="64" cm="1">
        <f t="array" ref="AJ270">SUM(IF(ISNUMBER(FIND("TmDo",$BE$1:$AAL$1)),IF(IFERROR(ISNUMBER(VALUE(SUBSTITUTE($BE270:$AAL270,"B",""))),FALSE),IF(ISNUMBER(VALUE(SUBSTITUTE($BE270:$AAL270,"B",""))),1,0),0)))</f>
        <v>2</v>
      </c>
      <c r="AK270" s="11" t="str">
        <f t="shared" si="642"/>
        <v>8A</v>
      </c>
      <c r="AL270" s="11" t="str">
        <f t="shared" si="643"/>
        <v>8B</v>
      </c>
      <c r="AM270" s="23" t="s">
        <v>150</v>
      </c>
      <c r="AN270" s="23"/>
      <c r="AO270" s="23"/>
      <c r="AP270" s="23" t="s">
        <v>137</v>
      </c>
      <c r="AQ270" s="23" t="s">
        <v>1794</v>
      </c>
      <c r="AR270" s="23"/>
      <c r="AS270" s="23"/>
      <c r="AT270" s="23" t="s">
        <v>139</v>
      </c>
      <c r="AU270" s="23" t="s">
        <v>140</v>
      </c>
      <c r="AV270" s="23"/>
      <c r="AW270" s="23"/>
      <c r="AX270" s="23"/>
      <c r="AY270" s="12"/>
      <c r="AZ270" s="12"/>
      <c r="BA270" s="12"/>
      <c r="BB270" s="12"/>
      <c r="BC270" s="12"/>
      <c r="BD270" s="13"/>
      <c r="BE270" s="23" t="str">
        <f t="shared" ref="BE270" si="751">CONCATENATE("XT",U270)</f>
        <v>XT90</v>
      </c>
      <c r="BF270" s="23" t="str">
        <f t="shared" ref="BF270" si="752">CONCATENATE("C",REPLACE(AF270,1,1,"")+1)</f>
        <v>C17</v>
      </c>
      <c r="BG270" s="23" t="str">
        <f t="shared" ref="BG270" si="753">CONCATENATE("B",REPLACE(AG270,1,1,"")+1)</f>
        <v>B17</v>
      </c>
      <c r="BH270" s="23" t="str">
        <f t="shared" ref="BH270" si="754">CONCATENATE("C",REPLACE(BF270,1,1,"")+1)</f>
        <v>C18</v>
      </c>
      <c r="BI270" s="23" t="str">
        <f t="shared" ref="BI270" si="755">CONCATENATE("B",REPLACE(BG270,1,1,"")+1)</f>
        <v>B18</v>
      </c>
      <c r="BJ270" s="23" t="str">
        <f t="shared" ref="BJ270" si="756">CONCATENATE("C",REPLACE(BH270,1,1,"")+1)</f>
        <v>C19</v>
      </c>
      <c r="BK270" s="23" t="str">
        <f t="shared" ref="BK270" si="757">CONCATENATE("B",REPLACE(BI270,1,1,"")+1)</f>
        <v>B19</v>
      </c>
      <c r="BL270" s="23" t="str">
        <f t="shared" ref="BL270" si="758">CONCATENATE("C",REPLACE(BJ270,1,1,"")+1)</f>
        <v>C20</v>
      </c>
      <c r="BM270" s="23" t="str">
        <f t="shared" ref="BM270" si="759">CONCATENATE("B",REPLACE(BK270,1,1,"")+1)</f>
        <v>B20</v>
      </c>
      <c r="BN270" s="23"/>
      <c r="BO270" s="23"/>
      <c r="BP270" s="23" t="str">
        <f>CONCATENATE(REPLACE(AK270,LEN(AK270),1,"")+1,"A")</f>
        <v>9A</v>
      </c>
      <c r="BQ270" s="23" t="str">
        <f>CONCATENATE(REPLACE(AL270,LEN(AL270),1,"")+1,"B")</f>
        <v>9B</v>
      </c>
      <c r="BR270" s="23" t="str">
        <f>CONCATENATE(REPLACE(BP270,LEN(BP270),1,"")+1,"A")</f>
        <v>10A</v>
      </c>
      <c r="BS270" s="23" t="str">
        <f>CONCATENATE(REPLACE(BQ270,LEN(BQ270),1,"")+1,"B")</f>
        <v>10B</v>
      </c>
      <c r="BT270" s="23" t="str">
        <f t="shared" ref="BT270" si="760">CONCATENATE("DI",REPLACE($AC270,1,3,""),"-",AF270)</f>
        <v>DI14-C16</v>
      </c>
      <c r="BU270" s="23" t="str">
        <f t="shared" ref="BU270" si="761">CONCATENATE("DI",REPLACE($AC270,1,3,""),"-",AG270)</f>
        <v>DI14-B16</v>
      </c>
      <c r="BV270" s="23" t="str">
        <f t="shared" ref="BV270" si="762">CONCATENATE("DI",REPLACE($AC270,1,3,""),"-",BF270)</f>
        <v>DI14-C17</v>
      </c>
      <c r="BW270" s="23" t="str">
        <f t="shared" ref="BW270" si="763">CONCATENATE("DI",REPLACE($AC270,1,3,""),"-",BG270)</f>
        <v>DI14-B17</v>
      </c>
      <c r="BX270" s="23" t="str">
        <f t="shared" ref="BX270" si="764">CONCATENATE("DI",REPLACE($AC270,1,3,""),"-",BH270)</f>
        <v>DI14-C18</v>
      </c>
      <c r="BY270" s="23" t="str">
        <f t="shared" ref="BY270" si="765">CONCATENATE("DI",REPLACE($AC270,1,3,""),"-",BI270)</f>
        <v>DI14-B18</v>
      </c>
      <c r="BZ270" s="23" t="str">
        <f t="shared" ref="BZ270" si="766">CONCATENATE("DI",REPLACE($AC270,1,3,""),"-",BJ270)</f>
        <v>DI14-C19</v>
      </c>
      <c r="CA270" s="23" t="str">
        <f t="shared" ref="CA270" si="767">CONCATENATE("DI",REPLACE($AC270,1,3,""),"-",BK270)</f>
        <v>DI14-B19</v>
      </c>
      <c r="CB270" s="23" t="str">
        <f t="shared" ref="CB270" si="768">CONCATENATE("DI",REPLACE($AC270,1,3,""),"-",BL270)</f>
        <v>DI14-C20</v>
      </c>
      <c r="CC270" s="23" t="str">
        <f t="shared" ref="CC270" si="769">CONCATENATE("DI",REPLACE($AC270,1,3,""),"-",BM270)</f>
        <v>DI14-B20</v>
      </c>
      <c r="CD270" s="23" t="str">
        <f t="shared" ref="CD270" si="770">CONCATENATE("DI",REPLACE($AC270,1,3,""),"-",BN270)</f>
        <v>DI14-</v>
      </c>
      <c r="CE270" s="23" t="str">
        <f t="shared" ref="CE270" si="771">CONCATENATE("DI",REPLACE($AC270,1,3,""),"-",BO270)</f>
        <v>DI14-</v>
      </c>
      <c r="CF270" s="23" t="str">
        <f t="shared" ref="CF270" si="772">CONCATENATE("DO",REPLACE($AH270,1,3,""),"-",AK270)</f>
        <v>DO8-8A</v>
      </c>
      <c r="CG270" s="23" t="str">
        <f t="shared" ref="CG270" si="773">CONCATENATE("DO",REPLACE($AH270,1,3,""),"-",AL270)</f>
        <v>DO8-8B</v>
      </c>
      <c r="CH270" s="23" t="str">
        <f t="shared" ref="CH270" si="774">CONCATENATE("DO",REPLACE($AH270,1,3,""),"-",BP270)</f>
        <v>DO8-9A</v>
      </c>
      <c r="CI270" s="23" t="str">
        <f t="shared" ref="CI270" si="775">CONCATENATE("DO",REPLACE($AH270,1,3,""),"-",BQ270)</f>
        <v>DO8-9B</v>
      </c>
      <c r="CJ270" s="23" t="str">
        <f t="shared" ref="CJ270" si="776">CONCATENATE("DO",REPLACE($AH270,1,3,""),"-",BR270)</f>
        <v>DO8-10A</v>
      </c>
      <c r="CK270" s="23" t="str">
        <f t="shared" ref="CK270" si="777">CONCATENATE("DO",REPLACE($AH270,1,3,""),"-",BS270)</f>
        <v>DO8-10B</v>
      </c>
      <c r="CL270" s="23" t="str">
        <f t="shared" si="678"/>
        <v>K90-10</v>
      </c>
      <c r="CM270" s="23" t="str">
        <f t="shared" si="679"/>
        <v>K90-03</v>
      </c>
      <c r="CN270" s="23" t="str">
        <f t="shared" si="680"/>
        <v>K90-04</v>
      </c>
      <c r="CO270" s="23" t="str">
        <f t="shared" si="681"/>
        <v>K90-01</v>
      </c>
      <c r="CP270" s="23" t="str">
        <f t="shared" si="682"/>
        <v>K90-08</v>
      </c>
      <c r="CQ270" s="23" t="str">
        <f t="shared" si="683"/>
        <v>K90-02</v>
      </c>
      <c r="CR270" s="23" t="str">
        <f t="shared" si="684"/>
        <v>K90-09</v>
      </c>
      <c r="CS270" s="23" t="str">
        <f t="shared" si="685"/>
        <v>K90-05</v>
      </c>
      <c r="CT270" s="23" t="str">
        <f t="shared" si="686"/>
        <v>K90-11</v>
      </c>
      <c r="CU270" s="23" t="str">
        <f t="shared" si="687"/>
        <v>F0-M90-A9</v>
      </c>
      <c r="CV270" s="23" t="str">
        <f t="shared" si="688"/>
        <v>F0-M90-A7</v>
      </c>
      <c r="CW270" s="23" t="str">
        <f t="shared" si="689"/>
        <v>F0-M90-A8</v>
      </c>
      <c r="CX270" s="23" t="str">
        <f t="shared" si="690"/>
        <v>F0-M90-A6</v>
      </c>
      <c r="CY270" s="23" t="str">
        <f t="shared" si="691"/>
        <v>F0-M90-A30</v>
      </c>
      <c r="CZ270" s="23" t="str">
        <f t="shared" si="692"/>
        <v>F0-M90-N</v>
      </c>
      <c r="DA270" s="23" t="str">
        <f t="shared" ref="DA270" si="778">CONCATENATE($T270,"-A220-M",U270)</f>
        <v>F0-A220-M90</v>
      </c>
      <c r="DB270" s="23" t="str">
        <f t="shared" si="693"/>
        <v>F0-M90-XM01</v>
      </c>
      <c r="DC270" s="23" t="str">
        <f t="shared" si="694"/>
        <v>F0-M90-A1</v>
      </c>
      <c r="DD270" s="23" t="str">
        <f t="shared" si="695"/>
        <v>F0-M90-A5</v>
      </c>
      <c r="DE270" s="23" t="str">
        <f t="shared" si="696"/>
        <v>F0-M90-A11</v>
      </c>
      <c r="DF270" s="23" t="str">
        <f t="shared" si="697"/>
        <v>F0-M90-A12</v>
      </c>
      <c r="DG270" s="23" t="str">
        <f t="shared" si="698"/>
        <v>F0-M90-A19</v>
      </c>
      <c r="DH270" s="23" t="str">
        <f t="shared" si="699"/>
        <v>F0-M90-A20</v>
      </c>
      <c r="DI270" s="23" t="s">
        <v>142</v>
      </c>
      <c r="DJ270" s="23" t="s">
        <v>143</v>
      </c>
      <c r="DK270" s="23">
        <v>11</v>
      </c>
      <c r="DL270" s="23">
        <v>14</v>
      </c>
      <c r="DM270" s="23">
        <v>12</v>
      </c>
      <c r="DN270" s="23" t="s">
        <v>144</v>
      </c>
      <c r="DO270" s="23" t="s">
        <v>1805</v>
      </c>
      <c r="DP270" s="23">
        <v>1</v>
      </c>
      <c r="DQ270" s="23">
        <v>2</v>
      </c>
      <c r="DR270" s="23">
        <v>3</v>
      </c>
      <c r="DS270" s="23">
        <v>4</v>
      </c>
      <c r="DT270" s="23">
        <v>5</v>
      </c>
      <c r="DU270" s="23">
        <v>6</v>
      </c>
      <c r="DV270" s="23">
        <v>7</v>
      </c>
      <c r="DW270" s="23">
        <v>8</v>
      </c>
      <c r="DX270" s="23">
        <v>9</v>
      </c>
      <c r="DY270" s="23">
        <v>10</v>
      </c>
      <c r="DZ270" s="23">
        <v>11</v>
      </c>
      <c r="EA270" s="23">
        <v>12</v>
      </c>
      <c r="EB270" s="23">
        <v>13</v>
      </c>
      <c r="EC270" s="23">
        <v>14</v>
      </c>
      <c r="ED270" s="23">
        <v>1</v>
      </c>
      <c r="EE270" s="23">
        <v>3</v>
      </c>
      <c r="EF270" s="23">
        <v>4</v>
      </c>
      <c r="EG270" s="23">
        <v>7</v>
      </c>
      <c r="EH270" s="23">
        <v>8</v>
      </c>
      <c r="EI270" s="23">
        <v>9</v>
      </c>
      <c r="EJ270" s="23">
        <v>10</v>
      </c>
      <c r="EK270" s="23">
        <v>13</v>
      </c>
      <c r="EL270" s="23">
        <v>14</v>
      </c>
      <c r="EM270" s="23">
        <v>15</v>
      </c>
      <c r="EN270" s="23">
        <v>16</v>
      </c>
      <c r="EO270" s="23">
        <v>22</v>
      </c>
      <c r="EP270" s="23">
        <v>23</v>
      </c>
      <c r="EQ270" s="24">
        <v>24</v>
      </c>
    </row>
    <row r="271" spans="1:305" ht="15.75" thickBot="1" x14ac:dyDescent="0.3">
      <c r="A271" t="s">
        <v>1846</v>
      </c>
      <c r="B271" t="s">
        <v>1806</v>
      </c>
      <c r="C271" t="s">
        <v>1871</v>
      </c>
      <c r="P271" t="s">
        <v>1785</v>
      </c>
      <c r="T271" s="10" t="s">
        <v>554</v>
      </c>
      <c r="U271" s="49">
        <v>91</v>
      </c>
      <c r="V271" s="11" t="s">
        <v>3059</v>
      </c>
      <c r="W271" s="11" t="s">
        <v>3060</v>
      </c>
      <c r="X271" t="str" cm="1">
        <f t="array" ref="X271">IF(COUNTIF(X$1:X270,INDEX(X$1:X270,MAX(IF(X$1:X270&lt;&gt;"",ROW(X$1:X270)))))&gt;7,REPLACE(INDEX(X$1:X270,MAX(IF(X$1:X270&lt;&gt;"",ROW(X$1:X270)))),LEN(INDEX(X$1:X270,MAX(IF(X$1:X270&lt;&gt;"",ROW(X$1:X270))))),1,VALUE(RIGHT(INDEX(X$1:X270,MAX(IF(X$1:X270&lt;&gt;"",ROW(X$1:X270)))),1))+1),INDEX(X$1:X270,MAX(IF(X$1:X270&lt;&gt;"",ROW(X$1:X270)))))</f>
        <v>А3.37</v>
      </c>
      <c r="Y271" s="43" cm="1">
        <f t="array" ref="Y271">IF(COUNTIFS(X$2:X271,X271)=1,"1",VALUE(SUBSTITUTE(INDEX(Y:Y,_xlfn.XMATCH(X271,X$1:X270,0,-1)),"A",""))+INDEX(Z:Z,_xlfn.XMATCH(X271,X$1:X270,0,-1))+1)</f>
        <v>3</v>
      </c>
      <c r="Z271" s="43" cm="1">
        <f t="array" ref="Z271">SUM(IF(ISNUMBER(FIND("TmAi",$BE$1:$AAL$1)),IF(IFERROR(ISODD(SUBSTITUTE($BE271:$AAL271,"A","")),FALSE),IF(ISODD(SUBSTITUTE($BE271:$AAL271,"A","")),1,0),0)))</f>
        <v>0</v>
      </c>
      <c r="AA271" t="str">
        <f t="shared" ref="AA271" si="779">CONCATENATE($Y271*2-1,"A")</f>
        <v>5A</v>
      </c>
      <c r="AB271" t="str">
        <f t="shared" ref="AB271" si="780">CONCATENATE($Y271*2-1,"B")</f>
        <v>5B</v>
      </c>
      <c r="AC271" t="s">
        <v>1801</v>
      </c>
      <c r="AD271" s="43" t="str" cm="1">
        <f t="array" ref="AD271">IF(COUNTIFS(AC$2:AC271,AC271)=1,"1",VALUE(SUBSTITUTE(INDEX(AD$1:AD270,_xlfn.XMATCH(AC271,AC$1:AC270,0,-1)),"A",""))+INDEX(AE$1:AE$270,_xlfn.XMATCH(AC271,AC$1:AC270,0,-1))+1)</f>
        <v>1</v>
      </c>
      <c r="AE271" s="43" cm="1">
        <f t="array" ref="AE271">SUM(IF(ISNUMBER(FIND("TmDi",$BE$1:$AAL$1)),IF(IFERROR(ISNUMBER(VALUE(SUBSTITUTE($BE271:$AAL271,"B",""))),FALSE),IF(ISNUMBER(VALUE(SUBSTITUTE($BE271:$AAL271,"B",""))),1,0),0)))</f>
        <v>4</v>
      </c>
      <c r="AF271" t="str">
        <f t="shared" si="702"/>
        <v>C1</v>
      </c>
      <c r="AG271" t="str">
        <f t="shared" si="703"/>
        <v>B1</v>
      </c>
      <c r="AH271" t="str">
        <f t="shared" si="704"/>
        <v>A6.8</v>
      </c>
      <c r="AI271" s="64" cm="1">
        <f t="array" ref="AI271">IF(COUNTIFS(AH$2:AH271,AH271)=1,"1",VALUE(SUBSTITUTE(INDEX(AI:AI,_xlfn.XMATCH(AH271,AH$1:AH270,0,-1)),"A",""))+INDEX(AJ:AJ,_xlfn.XMATCH(AH271,AH$1:AH270,0,-1))+1)</f>
        <v>11</v>
      </c>
      <c r="AJ271" s="64" cm="1">
        <f t="array" ref="AJ271">SUM(IF(ISNUMBER(FIND("TmDo",$BE$1:$AAL$1)),IF(IFERROR(ISNUMBER(VALUE(SUBSTITUTE($BE271:$AAL271,"B",""))),FALSE),IF(ISNUMBER(VALUE(SUBSTITUTE($BE271:$AAL271,"B",""))),1,0),0)))</f>
        <v>1</v>
      </c>
      <c r="AK271" s="11" t="str">
        <f t="shared" si="642"/>
        <v>11A</v>
      </c>
      <c r="AL271" s="11" t="str">
        <f t="shared" si="643"/>
        <v>11B</v>
      </c>
      <c r="AM271" s="12" t="s">
        <v>161</v>
      </c>
      <c r="AN271" s="12"/>
      <c r="AO271" s="12"/>
      <c r="AP271" s="12" t="s">
        <v>137</v>
      </c>
      <c r="AQ271" s="12" t="s">
        <v>1794</v>
      </c>
      <c r="AR271" s="12"/>
      <c r="AS271" s="12" t="s">
        <v>396</v>
      </c>
      <c r="AT271" s="12" t="s">
        <v>139</v>
      </c>
      <c r="AU271" s="12" t="s">
        <v>140</v>
      </c>
      <c r="AV271" s="12"/>
      <c r="AW271" s="12"/>
      <c r="AX271" s="12"/>
      <c r="AY271" s="12"/>
      <c r="AZ271" s="12"/>
      <c r="BA271" s="12"/>
      <c r="BB271" s="12"/>
      <c r="BC271" s="12"/>
      <c r="BD271" s="13"/>
      <c r="GT271" s="25" t="str">
        <f t="shared" ref="GT271" si="781">CONCATENATE("XT",U271)</f>
        <v>XT91</v>
      </c>
      <c r="GU271" s="12" t="str">
        <f t="shared" ref="GU271" si="782">CONCATENATE("C",REPLACE(AF271,1,1,"")+1)</f>
        <v>C2</v>
      </c>
      <c r="GV271" s="12" t="str">
        <f t="shared" ref="GV271" si="783">CONCATENATE("B",REPLACE(AG271,1,1,"")+1)</f>
        <v>B2</v>
      </c>
      <c r="GW271" s="12" t="str">
        <f t="shared" ref="GW271" si="784">CONCATENATE("C",REPLACE(GU271,1,1,"")+1)</f>
        <v>C3</v>
      </c>
      <c r="GX271" s="12" t="str">
        <f t="shared" ref="GX271" si="785">CONCATENATE("B",REPLACE(GV271,1,1,"")+1)</f>
        <v>B3</v>
      </c>
      <c r="GY271" s="12" t="str">
        <f t="shared" ref="GY271" si="786">CONCATENATE("C",REPLACE(GW271,1,1,"")+1)</f>
        <v>C4</v>
      </c>
      <c r="GZ271" s="12" t="str">
        <f t="shared" ref="GZ271" si="787">CONCATENATE("B",REPLACE(GX271,1,1,"")+1)</f>
        <v>B4</v>
      </c>
      <c r="HA271" s="12" t="str">
        <f t="shared" ref="HA271" si="788">CONCATENATE("C",REPLACE(GY271,1,1,"")+1)</f>
        <v>C5</v>
      </c>
      <c r="HB271" s="12" t="str">
        <f t="shared" ref="HB271" si="789">CONCATENATE("B",REPLACE(GZ271,1,1,"")+1)</f>
        <v>B5</v>
      </c>
      <c r="HC271" s="12"/>
      <c r="HD271" s="12"/>
      <c r="HE271" s="12" t="str">
        <f>CONCATENATE(REPLACE(AK271,LEN(AK271),1,"")+1,"A")</f>
        <v>12A</v>
      </c>
      <c r="HF271" s="12" t="str">
        <f>CONCATENATE(REPLACE(AL271,LEN(AL271),1,"")+1,"B")</f>
        <v>12B</v>
      </c>
      <c r="HG271" s="12" t="str">
        <f t="shared" ref="HG271" si="790">CONCATENATE("AI",REPLACE($X271,1,3,""),"-",AA271)</f>
        <v>AI37-5A</v>
      </c>
      <c r="HH271" s="12" t="str">
        <f t="shared" ref="HH271" si="791">CONCATENATE("AI",REPLACE($X271,1,3,""),"-",AB271)</f>
        <v>AI37-5B</v>
      </c>
      <c r="HI271" s="12" t="str">
        <f t="shared" ref="HI271" si="792">CONCATENATE("DI",REPLACE($AC271,1,3,""),"-",AF271)</f>
        <v>DI15-C1</v>
      </c>
      <c r="HJ271" s="12" t="str">
        <f t="shared" ref="HJ271" si="793">CONCATENATE("DI",REPLACE($AC271,1,3,""),"-",AG271)</f>
        <v>DI15-B1</v>
      </c>
      <c r="HK271" s="12" t="str">
        <f t="shared" ref="HK271" si="794">CONCATENATE("DI",REPLACE($AC271,1,3,""),"-",GU271)</f>
        <v>DI15-C2</v>
      </c>
      <c r="HL271" s="12" t="str">
        <f t="shared" ref="HL271" si="795">CONCATENATE("DI",REPLACE($AC271,1,3,""),"-",GV271)</f>
        <v>DI15-B2</v>
      </c>
      <c r="HM271" s="12" t="str">
        <f t="shared" ref="HM271" si="796">CONCATENATE("DI",REPLACE($AC271,1,3,""),"-",GW271)</f>
        <v>DI15-C3</v>
      </c>
      <c r="HN271" s="12" t="str">
        <f t="shared" ref="HN271" si="797">CONCATENATE("DI",REPLACE($AC271,1,3,""),"-",GX271)</f>
        <v>DI15-B3</v>
      </c>
      <c r="HO271" s="12" t="str">
        <f t="shared" ref="HO271" si="798">CONCATENATE("DI",REPLACE($AC271,1,3,""),"-",GY271)</f>
        <v>DI15-C4</v>
      </c>
      <c r="HP271" s="12" t="str">
        <f t="shared" ref="HP271" si="799">CONCATENATE("DI",REPLACE($AC271,1,3,""),"-",GZ271)</f>
        <v>DI15-B4</v>
      </c>
      <c r="HQ271" s="12" t="str">
        <f t="shared" ref="HQ271" si="800">CONCATENATE("DI",REPLACE($AC271,1,3,""),"-",HA271)</f>
        <v>DI15-C5</v>
      </c>
      <c r="HR271" s="12" t="str">
        <f t="shared" ref="HR271" si="801">CONCATENATE("DI",REPLACE($AC271,1,3,""),"-",HB271)</f>
        <v>DI15-B5</v>
      </c>
      <c r="HS271" s="12" t="str">
        <f t="shared" ref="HS271" si="802">CONCATENATE("DI",REPLACE($AC271,1,3,""),"-",HC271)</f>
        <v>DI15-</v>
      </c>
      <c r="HT271" s="12" t="str">
        <f t="shared" ref="HT271" si="803">CONCATENATE("DI",REPLACE($AC271,1,3,""),"-",HD271)</f>
        <v>DI15-</v>
      </c>
      <c r="HU271" s="12" t="str">
        <f t="shared" ref="HU271" si="804">CONCATENATE("DO",REPLACE($AH271,1,3,""),"-",AK271)</f>
        <v>DO8-11A</v>
      </c>
      <c r="HV271" s="12" t="str">
        <f t="shared" ref="HV271" si="805">CONCATENATE("DO",REPLACE($AH271,1,3,""),"-",AL271)</f>
        <v>DO8-11B</v>
      </c>
      <c r="HW271" s="12" t="str">
        <f t="shared" ref="HW271" si="806">CONCATENATE("DO",REPLACE($AH271,1,3,""),"-",HE271)</f>
        <v>DO8-12A</v>
      </c>
      <c r="HX271" s="12" t="str">
        <f t="shared" ref="HX271" si="807">CONCATENATE("DO",REPLACE($AH271,1,3,""),"-",HF271)</f>
        <v>DO8-12B</v>
      </c>
      <c r="HY271" s="12" t="str">
        <f t="shared" ref="HY271" si="808">CONCATENATE("K",$U271,"-01")</f>
        <v>K91-01</v>
      </c>
      <c r="HZ271" s="12" t="str">
        <f t="shared" ref="HZ271" si="809">CONCATENATE("K",$U271,"-02")</f>
        <v>K91-02</v>
      </c>
      <c r="IA271" s="12" t="str">
        <f t="shared" ref="IA271" si="810">CONCATENATE("K",$U271,"-03")</f>
        <v>K91-03</v>
      </c>
      <c r="IB271" s="12" t="str">
        <f t="shared" ref="IB271" si="811">CONCATENATE("K",$U271,"-04")</f>
        <v>K91-04</v>
      </c>
      <c r="IC271" s="12" t="str">
        <f t="shared" ref="IC271" si="812">CONCATENATE("K",$U271,"-05")</f>
        <v>K91-05</v>
      </c>
      <c r="ID271" s="12" t="str">
        <f t="shared" ref="ID271" si="813">CONCATENATE("K",$U271,"-06")</f>
        <v>K91-06</v>
      </c>
      <c r="IE271" s="12" t="str">
        <f t="shared" ref="IE271" si="814">CONCATENATE("K",$U271,"-07")</f>
        <v>K91-07</v>
      </c>
      <c r="IF271" s="12" t="str">
        <f t="shared" ref="IF271" si="815">CONCATENATE("K",$U271,"-08")</f>
        <v>K91-08</v>
      </c>
      <c r="IG271" s="12" t="str">
        <f t="shared" ref="IG271" si="816">CONCATENATE($T271,"-M",$U271,"-AMS-12")</f>
        <v>F0-M91-AMS-12</v>
      </c>
      <c r="IH271" s="12" t="str">
        <f t="shared" ref="IH271" si="817">CONCATENATE($T271,"-M",$U271,"-AMS-10")</f>
        <v>F0-M91-AMS-10</v>
      </c>
      <c r="II271" s="12" t="str">
        <f t="shared" ref="II271" si="818">CONCATENATE($T271,"-M",$U271,"-AMS-11")</f>
        <v>F0-M91-AMS-11</v>
      </c>
      <c r="IJ271" s="12" t="str">
        <f t="shared" ref="IJ271" si="819">CONCATENATE($T271,"-M",$U271,"-AMS-13")</f>
        <v>F0-M91-AMS-13</v>
      </c>
      <c r="IK271" s="12" t="str">
        <f t="shared" ref="IK271" si="820">CONCATENATE($T271,"-M",$U271,"-AMS-9")</f>
        <v>F0-M91-AMS-9</v>
      </c>
      <c r="IL271" s="12" t="str">
        <f t="shared" ref="IL271" si="821">CONCATENATE($T271,"-M",$U271,"-AMS-7")</f>
        <v>F0-M91-AMS-7</v>
      </c>
      <c r="IM271" s="12" t="str">
        <f t="shared" ref="IM271" si="822">CONCATENATE($T271,"-M",$U271,"-AMS-18")</f>
        <v>F0-M91-AMS-18</v>
      </c>
      <c r="IN271" s="12" t="str">
        <f t="shared" ref="IN271" si="823">CONCATENATE($T271,"-M",$U271,"-AMS-20")</f>
        <v>F0-M91-AMS-20</v>
      </c>
      <c r="IO271" s="12" t="str">
        <f t="shared" ref="IO271" si="824">CONCATENATE($T271,"-M",$U271,"-AMS-17")</f>
        <v>F0-M91-AMS-17</v>
      </c>
      <c r="IP271" s="12" t="str">
        <f t="shared" ref="IP271" si="825">CONCATENATE($T271,"-+24-M",$U271,)</f>
        <v>F0-+24-M91</v>
      </c>
      <c r="IQ271" s="12" t="str">
        <f t="shared" ref="IQ271" si="826">CONCATENATE($T271,"-M",$U271,"-XM01")</f>
        <v>F0-M91-XM01</v>
      </c>
      <c r="IR271" s="12" t="s">
        <v>142</v>
      </c>
      <c r="IS271" s="12" t="s">
        <v>143</v>
      </c>
      <c r="IT271" s="12">
        <v>11</v>
      </c>
      <c r="IU271" s="12">
        <v>14</v>
      </c>
      <c r="IV271" s="12" t="s">
        <v>413</v>
      </c>
      <c r="IW271" s="12" t="s">
        <v>414</v>
      </c>
      <c r="IX271" s="12">
        <v>1</v>
      </c>
      <c r="IY271" s="12">
        <v>2</v>
      </c>
      <c r="IZ271" s="12">
        <v>3</v>
      </c>
      <c r="JA271" s="12">
        <v>4</v>
      </c>
      <c r="JB271" s="12">
        <v>5</v>
      </c>
      <c r="JC271" s="12">
        <v>6</v>
      </c>
      <c r="JD271" s="12">
        <v>7</v>
      </c>
      <c r="JE271" s="12">
        <v>8</v>
      </c>
      <c r="JF271" s="12">
        <v>9</v>
      </c>
      <c r="JG271" s="12">
        <v>10</v>
      </c>
      <c r="JH271" s="12">
        <v>11</v>
      </c>
      <c r="JI271" s="12">
        <v>12</v>
      </c>
      <c r="JJ271" s="12">
        <v>13</v>
      </c>
      <c r="JK271" s="12">
        <v>14</v>
      </c>
      <c r="JL271" s="12">
        <v>17</v>
      </c>
      <c r="JM271" s="12">
        <v>15</v>
      </c>
      <c r="JN271" s="12">
        <v>18</v>
      </c>
      <c r="JO271" s="12">
        <v>11</v>
      </c>
      <c r="JP271" s="12">
        <v>9</v>
      </c>
      <c r="JQ271" s="12">
        <v>6</v>
      </c>
      <c r="JR271" s="12">
        <v>20</v>
      </c>
      <c r="JS271" s="12">
        <v>7</v>
      </c>
      <c r="JT271" s="12">
        <v>10</v>
      </c>
      <c r="JU271" s="12">
        <v>22</v>
      </c>
      <c r="JV271" s="12">
        <v>23</v>
      </c>
      <c r="JW271" s="12">
        <v>26</v>
      </c>
      <c r="JX271" s="12">
        <v>27</v>
      </c>
      <c r="JY271" s="13">
        <v>30</v>
      </c>
    </row>
    <row r="272" spans="1:305" ht="15.75" thickBot="1" x14ac:dyDescent="0.3">
      <c r="A272" t="s">
        <v>1847</v>
      </c>
      <c r="B272" t="s">
        <v>1810</v>
      </c>
      <c r="C272" s="3" t="s">
        <v>1872</v>
      </c>
      <c r="O272" s="2"/>
      <c r="P272" t="s">
        <v>1784</v>
      </c>
      <c r="Q272" s="1"/>
      <c r="S272" s="1"/>
      <c r="T272" s="21" t="s">
        <v>554</v>
      </c>
      <c r="U272" s="50">
        <v>92</v>
      </c>
      <c r="V272" s="18" t="s">
        <v>3061</v>
      </c>
      <c r="W272" s="22"/>
      <c r="X272" s="23"/>
      <c r="Y272" s="23"/>
      <c r="Z272" s="23"/>
      <c r="AA272" s="23"/>
      <c r="AB272" s="23"/>
      <c r="AC272" t="str">
        <f t="shared" ref="AC272:AC284" si="827">IF(AD271+AE271&gt;31,REPLACE(AC271,LEN(AC271),1,VALUE(RIGHT(AC271,1))+1),AC271)</f>
        <v>A5.15</v>
      </c>
      <c r="AD272" s="43" cm="1">
        <f t="array" ref="AD272">IF(COUNTIFS(AC$2:AC272,AC272)=1,"1",VALUE(SUBSTITUTE(INDEX(AD:AD,_xlfn.XMATCH(AC272,AC$1:AC271,0,-1)),"A",""))+INDEX(AE:AE,_xlfn.XMATCH(AC272,AC$1:AC271,0,-1))+1)</f>
        <v>6</v>
      </c>
      <c r="AE272" s="43" cm="1">
        <f t="array" ref="AE272">SUM(IF(ISNUMBER(FIND("TmDi",$BE$1:$AAL$1)),IF(IFERROR(ISNUMBER(VALUE(SUBSTITUTE($BE272:$AAL272,"B",""))),FALSE),IF(ISNUMBER(VALUE(SUBSTITUTE($BE272:$AAL272,"B",""))),1,0),0)))</f>
        <v>4</v>
      </c>
      <c r="AF272" t="str">
        <f t="shared" si="702"/>
        <v>C6</v>
      </c>
      <c r="AG272" t="str">
        <f t="shared" si="703"/>
        <v>B6</v>
      </c>
      <c r="AH272" t="str">
        <f t="shared" si="704"/>
        <v>A6.8</v>
      </c>
      <c r="AI272" s="64" cm="1">
        <f t="array" ref="AI272">IF(COUNTIFS(AH$2:AH272,AH272)=1,"1",VALUE(SUBSTITUTE(INDEX(AI:AI,_xlfn.XMATCH(AH272,AH$1:AH271,0,-1)),"A",""))+INDEX(AJ:AJ,_xlfn.XMATCH(AH272,AH$1:AH271,0,-1))+1)</f>
        <v>13</v>
      </c>
      <c r="AJ272" s="64" cm="1">
        <f t="array" ref="AJ272">SUM(IF(ISNUMBER(FIND("TmDo",$BE$1:$AAL$1)),IF(IFERROR(ISNUMBER(VALUE(SUBSTITUTE($BE272:$AAL272,"B",""))),FALSE),IF(ISNUMBER(VALUE(SUBSTITUTE($BE272:$AAL272,"B",""))),1,0),0)))</f>
        <v>2</v>
      </c>
      <c r="AK272" s="11" t="str">
        <f t="shared" si="642"/>
        <v>13A</v>
      </c>
      <c r="AL272" s="11" t="str">
        <f t="shared" si="643"/>
        <v>13B</v>
      </c>
      <c r="AM272" s="23" t="s">
        <v>150</v>
      </c>
      <c r="AN272" s="23"/>
      <c r="AO272" s="23"/>
      <c r="AP272" s="23" t="s">
        <v>137</v>
      </c>
      <c r="AQ272" s="23" t="s">
        <v>1794</v>
      </c>
      <c r="AR272" s="23"/>
      <c r="AS272" s="23"/>
      <c r="AT272" s="23" t="s">
        <v>139</v>
      </c>
      <c r="AU272" s="23" t="s">
        <v>140</v>
      </c>
      <c r="AV272" s="23"/>
      <c r="AW272" s="23"/>
      <c r="AX272" s="23"/>
      <c r="AY272" s="12"/>
      <c r="AZ272" s="12"/>
      <c r="BA272" s="12"/>
      <c r="BB272" s="12"/>
      <c r="BC272" s="12"/>
      <c r="BD272" s="13"/>
      <c r="BE272" s="23" t="str">
        <f t="shared" ref="BE272" si="828">CONCATENATE("XT",U272)</f>
        <v>XT92</v>
      </c>
      <c r="BF272" s="23" t="str">
        <f t="shared" ref="BF272" si="829">CONCATENATE("C",REPLACE(AF272,1,1,"")+1)</f>
        <v>C7</v>
      </c>
      <c r="BG272" s="23" t="str">
        <f t="shared" ref="BG272" si="830">CONCATENATE("B",REPLACE(AG272,1,1,"")+1)</f>
        <v>B7</v>
      </c>
      <c r="BH272" s="23" t="str">
        <f t="shared" ref="BH272" si="831">CONCATENATE("C",REPLACE(BF272,1,1,"")+1)</f>
        <v>C8</v>
      </c>
      <c r="BI272" s="23" t="str">
        <f t="shared" ref="BI272" si="832">CONCATENATE("B",REPLACE(BG272,1,1,"")+1)</f>
        <v>B8</v>
      </c>
      <c r="BJ272" s="23" t="str">
        <f t="shared" ref="BJ272" si="833">CONCATENATE("C",REPLACE(BH272,1,1,"")+1)</f>
        <v>C9</v>
      </c>
      <c r="BK272" s="23" t="str">
        <f t="shared" ref="BK272" si="834">CONCATENATE("B",REPLACE(BI272,1,1,"")+1)</f>
        <v>B9</v>
      </c>
      <c r="BL272" s="23" t="str">
        <f t="shared" ref="BL272" si="835">CONCATENATE("C",REPLACE(BJ272,1,1,"")+1)</f>
        <v>C10</v>
      </c>
      <c r="BM272" s="23" t="str">
        <f t="shared" ref="BM272" si="836">CONCATENATE("B",REPLACE(BK272,1,1,"")+1)</f>
        <v>B10</v>
      </c>
      <c r="BN272" s="23"/>
      <c r="BO272" s="23"/>
      <c r="BP272" s="23" t="str">
        <f>CONCATENATE(REPLACE(AK272,LEN(AK272),1,"")+1,"A")</f>
        <v>14A</v>
      </c>
      <c r="BQ272" s="23" t="str">
        <f>CONCATENATE(REPLACE(AL272,LEN(AL272),1,"")+1,"B")</f>
        <v>14B</v>
      </c>
      <c r="BR272" s="23" t="str">
        <f>CONCATENATE(REPLACE(BP272,LEN(BP272),1,"")+1,"A")</f>
        <v>15A</v>
      </c>
      <c r="BS272" s="23" t="str">
        <f>CONCATENATE(REPLACE(BQ272,LEN(BQ272),1,"")+1,"B")</f>
        <v>15B</v>
      </c>
      <c r="BT272" s="23" t="str">
        <f t="shared" ref="BT272" si="837">CONCATENATE("DI",REPLACE($AC272,1,3,""),"-",AF272)</f>
        <v>DI15-C6</v>
      </c>
      <c r="BU272" s="23" t="str">
        <f t="shared" ref="BU272" si="838">CONCATENATE("DI",REPLACE($AC272,1,3,""),"-",AG272)</f>
        <v>DI15-B6</v>
      </c>
      <c r="BV272" s="23" t="str">
        <f t="shared" ref="BV272" si="839">CONCATENATE("DI",REPLACE($AC272,1,3,""),"-",BF272)</f>
        <v>DI15-C7</v>
      </c>
      <c r="BW272" s="23" t="str">
        <f t="shared" ref="BW272" si="840">CONCATENATE("DI",REPLACE($AC272,1,3,""),"-",BG272)</f>
        <v>DI15-B7</v>
      </c>
      <c r="BX272" s="23" t="str">
        <f t="shared" ref="BX272" si="841">CONCATENATE("DI",REPLACE($AC272,1,3,""),"-",BH272)</f>
        <v>DI15-C8</v>
      </c>
      <c r="BY272" s="23" t="str">
        <f t="shared" ref="BY272" si="842">CONCATENATE("DI",REPLACE($AC272,1,3,""),"-",BI272)</f>
        <v>DI15-B8</v>
      </c>
      <c r="BZ272" s="23" t="str">
        <f t="shared" ref="BZ272" si="843">CONCATENATE("DI",REPLACE($AC272,1,3,""),"-",BJ272)</f>
        <v>DI15-C9</v>
      </c>
      <c r="CA272" s="23" t="str">
        <f t="shared" ref="CA272" si="844">CONCATENATE("DI",REPLACE($AC272,1,3,""),"-",BK272)</f>
        <v>DI15-B9</v>
      </c>
      <c r="CB272" s="23" t="str">
        <f t="shared" ref="CB272" si="845">CONCATENATE("DI",REPLACE($AC272,1,3,""),"-",BL272)</f>
        <v>DI15-C10</v>
      </c>
      <c r="CC272" s="23" t="str">
        <f t="shared" ref="CC272" si="846">CONCATENATE("DI",REPLACE($AC272,1,3,""),"-",BM272)</f>
        <v>DI15-B10</v>
      </c>
      <c r="CD272" s="23" t="str">
        <f t="shared" ref="CD272" si="847">CONCATENATE("DI",REPLACE($AC272,1,3,""),"-",BN272)</f>
        <v>DI15-</v>
      </c>
      <c r="CE272" s="23" t="str">
        <f t="shared" ref="CE272" si="848">CONCATENATE("DI",REPLACE($AC272,1,3,""),"-",BO272)</f>
        <v>DI15-</v>
      </c>
      <c r="CF272" s="23" t="str">
        <f t="shared" ref="CF272" si="849">CONCATENATE("DO",REPLACE($AH272,1,3,""),"-",AK272)</f>
        <v>DO8-13A</v>
      </c>
      <c r="CG272" s="23" t="str">
        <f t="shared" ref="CG272" si="850">CONCATENATE("DO",REPLACE($AH272,1,3,""),"-",AL272)</f>
        <v>DO8-13B</v>
      </c>
      <c r="CH272" s="23" t="str">
        <f t="shared" ref="CH272" si="851">CONCATENATE("DO",REPLACE($AH272,1,3,""),"-",BP272)</f>
        <v>DO8-14A</v>
      </c>
      <c r="CI272" s="23" t="str">
        <f t="shared" ref="CI272" si="852">CONCATENATE("DO",REPLACE($AH272,1,3,""),"-",BQ272)</f>
        <v>DO8-14B</v>
      </c>
      <c r="CJ272" s="23" t="str">
        <f t="shared" ref="CJ272" si="853">CONCATENATE("DO",REPLACE($AH272,1,3,""),"-",BR272)</f>
        <v>DO8-15A</v>
      </c>
      <c r="CK272" s="23" t="str">
        <f t="shared" ref="CK272" si="854">CONCATENATE("DO",REPLACE($AH272,1,3,""),"-",BS272)</f>
        <v>DO8-15B</v>
      </c>
      <c r="CL272" s="23" t="str">
        <f t="shared" si="678"/>
        <v>K92-10</v>
      </c>
      <c r="CM272" s="23" t="str">
        <f t="shared" si="679"/>
        <v>K92-03</v>
      </c>
      <c r="CN272" s="23" t="str">
        <f t="shared" si="680"/>
        <v>K92-04</v>
      </c>
      <c r="CO272" s="23" t="str">
        <f t="shared" si="681"/>
        <v>K92-01</v>
      </c>
      <c r="CP272" s="23" t="str">
        <f t="shared" si="682"/>
        <v>K92-08</v>
      </c>
      <c r="CQ272" s="23" t="str">
        <f t="shared" si="683"/>
        <v>K92-02</v>
      </c>
      <c r="CR272" s="23" t="str">
        <f t="shared" si="684"/>
        <v>K92-09</v>
      </c>
      <c r="CS272" s="23" t="str">
        <f t="shared" si="685"/>
        <v>K92-05</v>
      </c>
      <c r="CT272" s="23" t="str">
        <f t="shared" si="686"/>
        <v>K92-11</v>
      </c>
      <c r="CU272" s="23" t="str">
        <f t="shared" si="687"/>
        <v>F0-M92-A9</v>
      </c>
      <c r="CV272" s="23" t="str">
        <f t="shared" si="688"/>
        <v>F0-M92-A7</v>
      </c>
      <c r="CW272" s="23" t="str">
        <f t="shared" si="689"/>
        <v>F0-M92-A8</v>
      </c>
      <c r="CX272" s="23" t="str">
        <f t="shared" si="690"/>
        <v>F0-M92-A6</v>
      </c>
      <c r="CY272" s="23" t="str">
        <f t="shared" si="691"/>
        <v>F0-M92-A30</v>
      </c>
      <c r="CZ272" s="23" t="str">
        <f t="shared" si="692"/>
        <v>F0-M92-N</v>
      </c>
      <c r="DA272" s="23" t="str">
        <f t="shared" ref="DA272" si="855">CONCATENATE($T272,"-A220-M",U272)</f>
        <v>F0-A220-M92</v>
      </c>
      <c r="DB272" s="23" t="str">
        <f t="shared" si="693"/>
        <v>F0-M92-XM01</v>
      </c>
      <c r="DC272" s="23" t="str">
        <f t="shared" si="694"/>
        <v>F0-M92-A1</v>
      </c>
      <c r="DD272" s="23" t="str">
        <f t="shared" si="695"/>
        <v>F0-M92-A5</v>
      </c>
      <c r="DE272" s="23" t="str">
        <f t="shared" si="696"/>
        <v>F0-M92-A11</v>
      </c>
      <c r="DF272" s="23" t="str">
        <f t="shared" si="697"/>
        <v>F0-M92-A12</v>
      </c>
      <c r="DG272" s="23" t="str">
        <f t="shared" si="698"/>
        <v>F0-M92-A19</v>
      </c>
      <c r="DH272" s="23" t="str">
        <f t="shared" si="699"/>
        <v>F0-M92-A20</v>
      </c>
      <c r="DI272" s="23" t="s">
        <v>142</v>
      </c>
      <c r="DJ272" s="23" t="s">
        <v>143</v>
      </c>
      <c r="DK272" s="23">
        <v>11</v>
      </c>
      <c r="DL272" s="23">
        <v>14</v>
      </c>
      <c r="DM272" s="23">
        <v>12</v>
      </c>
      <c r="DN272" s="23" t="s">
        <v>144</v>
      </c>
      <c r="DO272" s="23" t="s">
        <v>1812</v>
      </c>
      <c r="DP272" s="23">
        <v>1</v>
      </c>
      <c r="DQ272" s="23">
        <v>2</v>
      </c>
      <c r="DR272" s="23">
        <v>3</v>
      </c>
      <c r="DS272" s="23">
        <v>4</v>
      </c>
      <c r="DT272" s="23">
        <v>5</v>
      </c>
      <c r="DU272" s="23">
        <v>6</v>
      </c>
      <c r="DV272" s="23">
        <v>7</v>
      </c>
      <c r="DW272" s="23">
        <v>8</v>
      </c>
      <c r="DX272" s="23">
        <v>9</v>
      </c>
      <c r="DY272" s="23">
        <v>10</v>
      </c>
      <c r="DZ272" s="23">
        <v>11</v>
      </c>
      <c r="EA272" s="23">
        <v>12</v>
      </c>
      <c r="EB272" s="23">
        <v>13</v>
      </c>
      <c r="EC272" s="23">
        <v>14</v>
      </c>
      <c r="ED272" s="23">
        <v>1</v>
      </c>
      <c r="EE272" s="23">
        <v>3</v>
      </c>
      <c r="EF272" s="23">
        <v>4</v>
      </c>
      <c r="EG272" s="23">
        <v>7</v>
      </c>
      <c r="EH272" s="23">
        <v>8</v>
      </c>
      <c r="EI272" s="23">
        <v>9</v>
      </c>
      <c r="EJ272" s="23">
        <v>10</v>
      </c>
      <c r="EK272" s="23">
        <v>13</v>
      </c>
      <c r="EL272" s="23">
        <v>14</v>
      </c>
      <c r="EM272" s="23">
        <v>15</v>
      </c>
      <c r="EN272" s="23">
        <v>16</v>
      </c>
      <c r="EO272" s="23">
        <v>22</v>
      </c>
      <c r="EP272" s="23">
        <v>23</v>
      </c>
      <c r="EQ272" s="24">
        <v>24</v>
      </c>
    </row>
    <row r="273" spans="1:357" ht="15.75" thickBot="1" x14ac:dyDescent="0.3">
      <c r="A273" t="s">
        <v>1848</v>
      </c>
      <c r="B273" t="s">
        <v>1813</v>
      </c>
      <c r="C273" t="s">
        <v>1871</v>
      </c>
      <c r="P273" t="s">
        <v>1785</v>
      </c>
      <c r="T273" s="10" t="s">
        <v>554</v>
      </c>
      <c r="U273" s="49">
        <v>93</v>
      </c>
      <c r="V273" s="11" t="s">
        <v>3062</v>
      </c>
      <c r="W273" s="11" t="s">
        <v>3063</v>
      </c>
      <c r="X273" t="str" cm="1">
        <f t="array" ref="X273">IF(COUNTIF(X$1:X272,INDEX(X$1:X272,MAX(IF(X$1:X272&lt;&gt;"",ROW(X$1:X272)))))&gt;7,REPLACE(INDEX(X$1:X272,MAX(IF(X$1:X272&lt;&gt;"",ROW(X$1:X272)))),LEN(INDEX(X$1:X272,MAX(IF(X$1:X272&lt;&gt;"",ROW(X$1:X272))))),1,VALUE(RIGHT(INDEX(X$1:X272,MAX(IF(X$1:X272&lt;&gt;"",ROW(X$1:X272)))),1))+1),INDEX(X$1:X272,MAX(IF(X$1:X272&lt;&gt;"",ROW(X$1:X272)))))</f>
        <v>А3.37</v>
      </c>
      <c r="Y273" s="43" cm="1">
        <f t="array" ref="Y273">IF(COUNTIFS(X$2:X273,X273)=1,"1",VALUE(SUBSTITUTE(INDEX(Y:Y,_xlfn.XMATCH(X273,X$1:X272,0,-1)),"A",""))+INDEX(Z:Z,_xlfn.XMATCH(X273,X$1:X272,0,-1))+1)</f>
        <v>4</v>
      </c>
      <c r="Z273" s="43" cm="1">
        <f t="array" ref="Z273">SUM(IF(ISNUMBER(FIND("TmAi",$BE$1:$AAL$1)),IF(IFERROR(ISODD(SUBSTITUTE($BE273:$AAL273,"A","")),FALSE),IF(ISODD(SUBSTITUTE($BE273:$AAL273,"A","")),1,0),0)))</f>
        <v>0</v>
      </c>
      <c r="AA273" t="str">
        <f t="shared" ref="AA273" si="856">CONCATENATE($Y273*2-1,"A")</f>
        <v>7A</v>
      </c>
      <c r="AB273" t="str">
        <f t="shared" ref="AB273" si="857">CONCATENATE($Y273*2-1,"B")</f>
        <v>7B</v>
      </c>
      <c r="AC273" t="str">
        <f t="shared" si="827"/>
        <v>A5.15</v>
      </c>
      <c r="AD273" s="43" cm="1">
        <f t="array" ref="AD273">IF(COUNTIFS(AC$2:AC273,AC273)=1,"1",VALUE(SUBSTITUTE(INDEX(AD:AD,_xlfn.XMATCH(AC273,AC$1:AC272,0,-1)),"A",""))+INDEX(AE:AE,_xlfn.XMATCH(AC273,AC$1:AC272,0,-1))+1)</f>
        <v>11</v>
      </c>
      <c r="AE273" s="43" cm="1">
        <f t="array" ref="AE273">SUM(IF(ISNUMBER(FIND("TmDi",$BE$1:$AAL$1)),IF(IFERROR(ISNUMBER(VALUE(SUBSTITUTE($BE273:$AAL273,"B",""))),FALSE),IF(ISNUMBER(VALUE(SUBSTITUTE($BE273:$AAL273,"B",""))),1,0),0)))</f>
        <v>4</v>
      </c>
      <c r="AF273" t="str">
        <f t="shared" si="702"/>
        <v>C11</v>
      </c>
      <c r="AG273" t="str">
        <f t="shared" si="703"/>
        <v>B11</v>
      </c>
      <c r="AH273" t="str">
        <f t="shared" si="704"/>
        <v>A6.8</v>
      </c>
      <c r="AI273" s="64" cm="1">
        <f t="array" ref="AI273">IF(COUNTIFS(AH$2:AH273,AH273)=1,"1",VALUE(SUBSTITUTE(INDEX(AI:AI,_xlfn.XMATCH(AH273,AH$1:AH272,0,-1)),"A",""))+INDEX(AJ:AJ,_xlfn.XMATCH(AH273,AH$1:AH272,0,-1))+1)</f>
        <v>16</v>
      </c>
      <c r="AJ273" s="64" cm="1">
        <f t="array" ref="AJ273">SUM(IF(ISNUMBER(FIND("TmDo",$BE$1:$AAL$1)),IF(IFERROR(ISNUMBER(VALUE(SUBSTITUTE($BE273:$AAL273,"B",""))),FALSE),IF(ISNUMBER(VALUE(SUBSTITUTE($BE273:$AAL273,"B",""))),1,0),0)))</f>
        <v>1</v>
      </c>
      <c r="AK273" s="11" t="str">
        <f t="shared" si="642"/>
        <v>16A</v>
      </c>
      <c r="AL273" s="11" t="str">
        <f t="shared" si="643"/>
        <v>16B</v>
      </c>
      <c r="AM273" s="12" t="s">
        <v>161</v>
      </c>
      <c r="AN273" s="12"/>
      <c r="AO273" s="12"/>
      <c r="AP273" s="12" t="s">
        <v>137</v>
      </c>
      <c r="AQ273" s="12" t="s">
        <v>1794</v>
      </c>
      <c r="AR273" s="12"/>
      <c r="AS273" s="12" t="s">
        <v>396</v>
      </c>
      <c r="AT273" s="12" t="s">
        <v>139</v>
      </c>
      <c r="AU273" s="12" t="s">
        <v>140</v>
      </c>
      <c r="AV273" s="12"/>
      <c r="AW273" s="12"/>
      <c r="AX273" s="12"/>
      <c r="AY273" s="12"/>
      <c r="AZ273" s="12"/>
      <c r="BA273" s="12"/>
      <c r="BB273" s="12"/>
      <c r="BC273" s="12"/>
      <c r="BD273" s="13"/>
      <c r="GT273" s="25" t="str">
        <f t="shared" ref="GT273" si="858">CONCATENATE("XT",U273)</f>
        <v>XT93</v>
      </c>
      <c r="GU273" s="12" t="str">
        <f t="shared" ref="GU273" si="859">CONCATENATE("C",REPLACE(AF273,1,1,"")+1)</f>
        <v>C12</v>
      </c>
      <c r="GV273" s="12" t="str">
        <f t="shared" ref="GV273" si="860">CONCATENATE("B",REPLACE(AG273,1,1,"")+1)</f>
        <v>B12</v>
      </c>
      <c r="GW273" s="12" t="str">
        <f t="shared" ref="GW273" si="861">CONCATENATE("C",REPLACE(GU273,1,1,"")+1)</f>
        <v>C13</v>
      </c>
      <c r="GX273" s="12" t="str">
        <f t="shared" ref="GX273" si="862">CONCATENATE("B",REPLACE(GV273,1,1,"")+1)</f>
        <v>B13</v>
      </c>
      <c r="GY273" s="12" t="str">
        <f t="shared" ref="GY273" si="863">CONCATENATE("C",REPLACE(GW273,1,1,"")+1)</f>
        <v>C14</v>
      </c>
      <c r="GZ273" s="12" t="str">
        <f t="shared" ref="GZ273" si="864">CONCATENATE("B",REPLACE(GX273,1,1,"")+1)</f>
        <v>B14</v>
      </c>
      <c r="HA273" s="12" t="str">
        <f t="shared" ref="HA273" si="865">CONCATENATE("C",REPLACE(GY273,1,1,"")+1)</f>
        <v>C15</v>
      </c>
      <c r="HB273" s="12" t="str">
        <f t="shared" ref="HB273" si="866">CONCATENATE("B",REPLACE(GZ273,1,1,"")+1)</f>
        <v>B15</v>
      </c>
      <c r="HC273" s="12"/>
      <c r="HD273" s="12"/>
      <c r="HE273" s="12" t="str">
        <f>CONCATENATE(REPLACE(AK273,LEN(AK273),1,"")+1,"A")</f>
        <v>17A</v>
      </c>
      <c r="HF273" s="12" t="str">
        <f>CONCATENATE(REPLACE(AL273,LEN(AL273),1,"")+1,"B")</f>
        <v>17B</v>
      </c>
      <c r="HG273" s="12" t="str">
        <f t="shared" ref="HG273" si="867">CONCATENATE("AI",REPLACE($X273,1,3,""),"-",AA273)</f>
        <v>AI37-7A</v>
      </c>
      <c r="HH273" s="12" t="str">
        <f t="shared" ref="HH273" si="868">CONCATENATE("AI",REPLACE($X273,1,3,""),"-",AB273)</f>
        <v>AI37-7B</v>
      </c>
      <c r="HI273" s="12" t="str">
        <f t="shared" ref="HI273" si="869">CONCATENATE("DI",REPLACE($AC273,1,3,""),"-",AF273)</f>
        <v>DI15-C11</v>
      </c>
      <c r="HJ273" s="12" t="str">
        <f t="shared" ref="HJ273" si="870">CONCATENATE("DI",REPLACE($AC273,1,3,""),"-",AG273)</f>
        <v>DI15-B11</v>
      </c>
      <c r="HK273" s="12" t="str">
        <f t="shared" ref="HK273" si="871">CONCATENATE("DI",REPLACE($AC273,1,3,""),"-",GU273)</f>
        <v>DI15-C12</v>
      </c>
      <c r="HL273" s="12" t="str">
        <f t="shared" ref="HL273" si="872">CONCATENATE("DI",REPLACE($AC273,1,3,""),"-",GV273)</f>
        <v>DI15-B12</v>
      </c>
      <c r="HM273" s="12" t="str">
        <f t="shared" ref="HM273" si="873">CONCATENATE("DI",REPLACE($AC273,1,3,""),"-",GW273)</f>
        <v>DI15-C13</v>
      </c>
      <c r="HN273" s="12" t="str">
        <f t="shared" ref="HN273" si="874">CONCATENATE("DI",REPLACE($AC273,1,3,""),"-",GX273)</f>
        <v>DI15-B13</v>
      </c>
      <c r="HO273" s="12" t="str">
        <f t="shared" ref="HO273" si="875">CONCATENATE("DI",REPLACE($AC273,1,3,""),"-",GY273)</f>
        <v>DI15-C14</v>
      </c>
      <c r="HP273" s="12" t="str">
        <f t="shared" ref="HP273" si="876">CONCATENATE("DI",REPLACE($AC273,1,3,""),"-",GZ273)</f>
        <v>DI15-B14</v>
      </c>
      <c r="HQ273" s="12" t="str">
        <f t="shared" ref="HQ273" si="877">CONCATENATE("DI",REPLACE($AC273,1,3,""),"-",HA273)</f>
        <v>DI15-C15</v>
      </c>
      <c r="HR273" s="12" t="str">
        <f t="shared" ref="HR273" si="878">CONCATENATE("DI",REPLACE($AC273,1,3,""),"-",HB273)</f>
        <v>DI15-B15</v>
      </c>
      <c r="HS273" s="12" t="str">
        <f t="shared" ref="HS273" si="879">CONCATENATE("DI",REPLACE($AC273,1,3,""),"-",HC273)</f>
        <v>DI15-</v>
      </c>
      <c r="HT273" s="12" t="str">
        <f t="shared" ref="HT273" si="880">CONCATENATE("DI",REPLACE($AC273,1,3,""),"-",HD273)</f>
        <v>DI15-</v>
      </c>
      <c r="HU273" s="12" t="str">
        <f t="shared" ref="HU273" si="881">CONCATENATE("DO",REPLACE($AH273,1,3,""),"-",AK273)</f>
        <v>DO8-16A</v>
      </c>
      <c r="HV273" s="12" t="str">
        <f t="shared" ref="HV273" si="882">CONCATENATE("DO",REPLACE($AH273,1,3,""),"-",AL273)</f>
        <v>DO8-16B</v>
      </c>
      <c r="HW273" s="12" t="str">
        <f t="shared" ref="HW273" si="883">CONCATENATE("DO",REPLACE($AH273,1,3,""),"-",HE273)</f>
        <v>DO8-17A</v>
      </c>
      <c r="HX273" s="12" t="str">
        <f t="shared" ref="HX273" si="884">CONCATENATE("DO",REPLACE($AH273,1,3,""),"-",HF273)</f>
        <v>DO8-17B</v>
      </c>
      <c r="HY273" s="12" t="str">
        <f t="shared" ref="HY273" si="885">CONCATENATE("K",$U273,"-01")</f>
        <v>K93-01</v>
      </c>
      <c r="HZ273" s="12" t="str">
        <f t="shared" ref="HZ273" si="886">CONCATENATE("K",$U273,"-02")</f>
        <v>K93-02</v>
      </c>
      <c r="IA273" s="12" t="str">
        <f t="shared" ref="IA273" si="887">CONCATENATE("K",$U273,"-03")</f>
        <v>K93-03</v>
      </c>
      <c r="IB273" s="12" t="str">
        <f t="shared" ref="IB273" si="888">CONCATENATE("K",$U273,"-04")</f>
        <v>K93-04</v>
      </c>
      <c r="IC273" s="12" t="str">
        <f t="shared" ref="IC273" si="889">CONCATENATE("K",$U273,"-05")</f>
        <v>K93-05</v>
      </c>
      <c r="ID273" s="12" t="str">
        <f t="shared" ref="ID273" si="890">CONCATENATE("K",$U273,"-06")</f>
        <v>K93-06</v>
      </c>
      <c r="IE273" s="12" t="str">
        <f t="shared" ref="IE273" si="891">CONCATENATE("K",$U273,"-07")</f>
        <v>K93-07</v>
      </c>
      <c r="IF273" s="12" t="str">
        <f t="shared" ref="IF273" si="892">CONCATENATE("K",$U273,"-08")</f>
        <v>K93-08</v>
      </c>
      <c r="IG273" s="12" t="str">
        <f t="shared" ref="IG273" si="893">CONCATENATE($T273,"-M",$U273,"-AMS-12")</f>
        <v>F0-M93-AMS-12</v>
      </c>
      <c r="IH273" s="12" t="str">
        <f t="shared" ref="IH273" si="894">CONCATENATE($T273,"-M",$U273,"-AMS-10")</f>
        <v>F0-M93-AMS-10</v>
      </c>
      <c r="II273" s="12" t="str">
        <f t="shared" ref="II273" si="895">CONCATENATE($T273,"-M",$U273,"-AMS-11")</f>
        <v>F0-M93-AMS-11</v>
      </c>
      <c r="IJ273" s="12" t="str">
        <f t="shared" ref="IJ273" si="896">CONCATENATE($T273,"-M",$U273,"-AMS-13")</f>
        <v>F0-M93-AMS-13</v>
      </c>
      <c r="IK273" s="12" t="str">
        <f t="shared" ref="IK273" si="897">CONCATENATE($T273,"-M",$U273,"-AMS-9")</f>
        <v>F0-M93-AMS-9</v>
      </c>
      <c r="IL273" s="12" t="str">
        <f t="shared" ref="IL273" si="898">CONCATENATE($T273,"-M",$U273,"-AMS-7")</f>
        <v>F0-M93-AMS-7</v>
      </c>
      <c r="IM273" s="12" t="str">
        <f t="shared" ref="IM273" si="899">CONCATENATE($T273,"-M",$U273,"-AMS-18")</f>
        <v>F0-M93-AMS-18</v>
      </c>
      <c r="IN273" s="12" t="str">
        <f t="shared" ref="IN273" si="900">CONCATENATE($T273,"-M",$U273,"-AMS-20")</f>
        <v>F0-M93-AMS-20</v>
      </c>
      <c r="IO273" s="12" t="str">
        <f t="shared" ref="IO273" si="901">CONCATENATE($T273,"-M",$U273,"-AMS-17")</f>
        <v>F0-M93-AMS-17</v>
      </c>
      <c r="IP273" s="12" t="str">
        <f t="shared" ref="IP273" si="902">CONCATENATE($T273,"-+24-M",$U273,)</f>
        <v>F0-+24-M93</v>
      </c>
      <c r="IQ273" s="12" t="str">
        <f t="shared" ref="IQ273" si="903">CONCATENATE($T273,"-M",$U273,"-XM01")</f>
        <v>F0-M93-XM01</v>
      </c>
      <c r="IR273" s="12" t="s">
        <v>142</v>
      </c>
      <c r="IS273" s="12" t="s">
        <v>143</v>
      </c>
      <c r="IT273" s="12">
        <v>11</v>
      </c>
      <c r="IU273" s="12">
        <v>14</v>
      </c>
      <c r="IV273" s="12" t="s">
        <v>413</v>
      </c>
      <c r="IW273" s="12" t="s">
        <v>414</v>
      </c>
      <c r="IX273" s="12">
        <v>1</v>
      </c>
      <c r="IY273" s="12">
        <v>2</v>
      </c>
      <c r="IZ273" s="12">
        <v>3</v>
      </c>
      <c r="JA273" s="12">
        <v>4</v>
      </c>
      <c r="JB273" s="12">
        <v>5</v>
      </c>
      <c r="JC273" s="12">
        <v>6</v>
      </c>
      <c r="JD273" s="12">
        <v>7</v>
      </c>
      <c r="JE273" s="12">
        <v>8</v>
      </c>
      <c r="JF273" s="12">
        <v>9</v>
      </c>
      <c r="JG273" s="12">
        <v>10</v>
      </c>
      <c r="JH273" s="12">
        <v>11</v>
      </c>
      <c r="JI273" s="12">
        <v>12</v>
      </c>
      <c r="JJ273" s="12">
        <v>13</v>
      </c>
      <c r="JK273" s="12">
        <v>14</v>
      </c>
      <c r="JL273" s="12">
        <v>17</v>
      </c>
      <c r="JM273" s="12">
        <v>15</v>
      </c>
      <c r="JN273" s="12">
        <v>18</v>
      </c>
      <c r="JO273" s="12">
        <v>11</v>
      </c>
      <c r="JP273" s="12">
        <v>9</v>
      </c>
      <c r="JQ273" s="12">
        <v>6</v>
      </c>
      <c r="JR273" s="12">
        <v>20</v>
      </c>
      <c r="JS273" s="12">
        <v>7</v>
      </c>
      <c r="JT273" s="12">
        <v>10</v>
      </c>
      <c r="JU273" s="12">
        <v>22</v>
      </c>
      <c r="JV273" s="12">
        <v>23</v>
      </c>
      <c r="JW273" s="12">
        <v>26</v>
      </c>
      <c r="JX273" s="12">
        <v>27</v>
      </c>
      <c r="JY273" s="13">
        <v>30</v>
      </c>
    </row>
    <row r="274" spans="1:357" ht="15.75" thickBot="1" x14ac:dyDescent="0.3">
      <c r="A274" t="s">
        <v>1849</v>
      </c>
      <c r="B274" t="s">
        <v>1817</v>
      </c>
      <c r="C274" s="3" t="s">
        <v>1872</v>
      </c>
      <c r="O274" s="2"/>
      <c r="P274" t="s">
        <v>1784</v>
      </c>
      <c r="Q274" s="1"/>
      <c r="S274" s="1"/>
      <c r="T274" s="21" t="s">
        <v>554</v>
      </c>
      <c r="U274" s="50">
        <v>94</v>
      </c>
      <c r="V274" s="18" t="s">
        <v>3064</v>
      </c>
      <c r="W274" s="22"/>
      <c r="X274" s="23"/>
      <c r="Y274" s="23"/>
      <c r="Z274" s="23"/>
      <c r="AA274" s="23"/>
      <c r="AB274" s="23"/>
      <c r="AC274" t="str">
        <f t="shared" si="827"/>
        <v>A5.15</v>
      </c>
      <c r="AD274" s="43" cm="1">
        <f t="array" ref="AD274">IF(COUNTIFS(AC$2:AC274,AC274)=1,"1",VALUE(SUBSTITUTE(INDEX(AD:AD,_xlfn.XMATCH(AC274,AC$1:AC273,0,-1)),"A",""))+INDEX(AE:AE,_xlfn.XMATCH(AC274,AC$1:AC273,0,-1))+1)</f>
        <v>16</v>
      </c>
      <c r="AE274" s="43" cm="1">
        <f t="array" ref="AE274">SUM(IF(ISNUMBER(FIND("TmDi",$BE$1:$AAL$1)),IF(IFERROR(ISNUMBER(VALUE(SUBSTITUTE($BE274:$AAL274,"B",""))),FALSE),IF(ISNUMBER(VALUE(SUBSTITUTE($BE274:$AAL274,"B",""))),1,0),0)))</f>
        <v>4</v>
      </c>
      <c r="AF274" t="str">
        <f t="shared" si="702"/>
        <v>C16</v>
      </c>
      <c r="AG274" t="str">
        <f t="shared" si="703"/>
        <v>B16</v>
      </c>
      <c r="AH274" t="str">
        <f t="shared" si="704"/>
        <v>A6.8</v>
      </c>
      <c r="AI274" s="64" cm="1">
        <f t="array" ref="AI274">IF(COUNTIFS(AH$2:AH274,AH274)=1,"1",VALUE(SUBSTITUTE(INDEX(AI:AI,_xlfn.XMATCH(AH274,AH$1:AH273,0,-1)),"A",""))+INDEX(AJ:AJ,_xlfn.XMATCH(AH274,AH$1:AH273,0,-1))+1)</f>
        <v>18</v>
      </c>
      <c r="AJ274" s="64" cm="1">
        <f t="array" ref="AJ274">SUM(IF(ISNUMBER(FIND("TmDo",$BE$1:$AAL$1)),IF(IFERROR(ISNUMBER(VALUE(SUBSTITUTE($BE274:$AAL274,"B",""))),FALSE),IF(ISNUMBER(VALUE(SUBSTITUTE($BE274:$AAL274,"B",""))),1,0),0)))</f>
        <v>2</v>
      </c>
      <c r="AK274" s="11" t="str">
        <f t="shared" si="642"/>
        <v>18A</v>
      </c>
      <c r="AL274" s="11" t="str">
        <f t="shared" si="643"/>
        <v>18B</v>
      </c>
      <c r="AM274" s="23" t="s">
        <v>150</v>
      </c>
      <c r="AN274" s="23"/>
      <c r="AO274" s="23"/>
      <c r="AP274" s="23" t="s">
        <v>137</v>
      </c>
      <c r="AQ274" s="23" t="s">
        <v>1794</v>
      </c>
      <c r="AR274" s="23"/>
      <c r="AS274" s="23"/>
      <c r="AT274" s="23" t="s">
        <v>139</v>
      </c>
      <c r="AU274" s="23" t="s">
        <v>140</v>
      </c>
      <c r="AV274" s="23"/>
      <c r="AW274" s="23"/>
      <c r="AX274" s="23"/>
      <c r="AY274" s="12"/>
      <c r="AZ274" s="12"/>
      <c r="BA274" s="12"/>
      <c r="BB274" s="12"/>
      <c r="BC274" s="12"/>
      <c r="BD274" s="13"/>
      <c r="BE274" s="23" t="str">
        <f t="shared" ref="BE274" si="904">CONCATENATE("XT",U274)</f>
        <v>XT94</v>
      </c>
      <c r="BF274" s="23" t="str">
        <f t="shared" ref="BF274" si="905">CONCATENATE("C",REPLACE(AF274,1,1,"")+1)</f>
        <v>C17</v>
      </c>
      <c r="BG274" s="23" t="str">
        <f t="shared" ref="BG274" si="906">CONCATENATE("B",REPLACE(AG274,1,1,"")+1)</f>
        <v>B17</v>
      </c>
      <c r="BH274" s="23" t="str">
        <f t="shared" ref="BH274" si="907">CONCATENATE("C",REPLACE(BF274,1,1,"")+1)</f>
        <v>C18</v>
      </c>
      <c r="BI274" s="23" t="str">
        <f t="shared" ref="BI274" si="908">CONCATENATE("B",REPLACE(BG274,1,1,"")+1)</f>
        <v>B18</v>
      </c>
      <c r="BJ274" s="23" t="str">
        <f t="shared" ref="BJ274" si="909">CONCATENATE("C",REPLACE(BH274,1,1,"")+1)</f>
        <v>C19</v>
      </c>
      <c r="BK274" s="23" t="str">
        <f t="shared" ref="BK274" si="910">CONCATENATE("B",REPLACE(BI274,1,1,"")+1)</f>
        <v>B19</v>
      </c>
      <c r="BL274" s="23" t="str">
        <f t="shared" ref="BL274" si="911">CONCATENATE("C",REPLACE(BJ274,1,1,"")+1)</f>
        <v>C20</v>
      </c>
      <c r="BM274" s="23" t="str">
        <f t="shared" ref="BM274" si="912">CONCATENATE("B",REPLACE(BK274,1,1,"")+1)</f>
        <v>B20</v>
      </c>
      <c r="BN274" s="23"/>
      <c r="BO274" s="23"/>
      <c r="BP274" s="23" t="str">
        <f>CONCATENATE(REPLACE(AK274,LEN(AK274),1,"")+1,"A")</f>
        <v>19A</v>
      </c>
      <c r="BQ274" s="23" t="str">
        <f>CONCATENATE(REPLACE(AL274,LEN(AL274),1,"")+1,"B")</f>
        <v>19B</v>
      </c>
      <c r="BR274" s="23" t="str">
        <f>CONCATENATE(REPLACE(BP274,LEN(BP274),1,"")+1,"A")</f>
        <v>20A</v>
      </c>
      <c r="BS274" s="23" t="str">
        <f>CONCATENATE(REPLACE(BQ274,LEN(BQ274),1,"")+1,"B")</f>
        <v>20B</v>
      </c>
      <c r="BT274" s="23" t="str">
        <f t="shared" ref="BT274" si="913">CONCATENATE("DI",REPLACE($AC274,1,3,""),"-",AF274)</f>
        <v>DI15-C16</v>
      </c>
      <c r="BU274" s="23" t="str">
        <f t="shared" ref="BU274" si="914">CONCATENATE("DI",REPLACE($AC274,1,3,""),"-",AG274)</f>
        <v>DI15-B16</v>
      </c>
      <c r="BV274" s="23" t="str">
        <f t="shared" ref="BV274" si="915">CONCATENATE("DI",REPLACE($AC274,1,3,""),"-",BF274)</f>
        <v>DI15-C17</v>
      </c>
      <c r="BW274" s="23" t="str">
        <f t="shared" ref="BW274" si="916">CONCATENATE("DI",REPLACE($AC274,1,3,""),"-",BG274)</f>
        <v>DI15-B17</v>
      </c>
      <c r="BX274" s="23" t="str">
        <f t="shared" ref="BX274" si="917">CONCATENATE("DI",REPLACE($AC274,1,3,""),"-",BH274)</f>
        <v>DI15-C18</v>
      </c>
      <c r="BY274" s="23" t="str">
        <f t="shared" ref="BY274" si="918">CONCATENATE("DI",REPLACE($AC274,1,3,""),"-",BI274)</f>
        <v>DI15-B18</v>
      </c>
      <c r="BZ274" s="23" t="str">
        <f t="shared" ref="BZ274" si="919">CONCATENATE("DI",REPLACE($AC274,1,3,""),"-",BJ274)</f>
        <v>DI15-C19</v>
      </c>
      <c r="CA274" s="23" t="str">
        <f t="shared" ref="CA274" si="920">CONCATENATE("DI",REPLACE($AC274,1,3,""),"-",BK274)</f>
        <v>DI15-B19</v>
      </c>
      <c r="CB274" s="23" t="str">
        <f t="shared" ref="CB274" si="921">CONCATENATE("DI",REPLACE($AC274,1,3,""),"-",BL274)</f>
        <v>DI15-C20</v>
      </c>
      <c r="CC274" s="23" t="str">
        <f t="shared" ref="CC274" si="922">CONCATENATE("DI",REPLACE($AC274,1,3,""),"-",BM274)</f>
        <v>DI15-B20</v>
      </c>
      <c r="CD274" s="23" t="str">
        <f t="shared" ref="CD274" si="923">CONCATENATE("DI",REPLACE($AC274,1,3,""),"-",BN274)</f>
        <v>DI15-</v>
      </c>
      <c r="CE274" s="23" t="str">
        <f t="shared" ref="CE274" si="924">CONCATENATE("DI",REPLACE($AC274,1,3,""),"-",BO274)</f>
        <v>DI15-</v>
      </c>
      <c r="CF274" s="23" t="str">
        <f t="shared" ref="CF274" si="925">CONCATENATE("DO",REPLACE($AH274,1,3,""),"-",AK274)</f>
        <v>DO8-18A</v>
      </c>
      <c r="CG274" s="23" t="str">
        <f t="shared" ref="CG274" si="926">CONCATENATE("DO",REPLACE($AH274,1,3,""),"-",AL274)</f>
        <v>DO8-18B</v>
      </c>
      <c r="CH274" s="23" t="str">
        <f t="shared" ref="CH274" si="927">CONCATENATE("DO",REPLACE($AH274,1,3,""),"-",BP274)</f>
        <v>DO8-19A</v>
      </c>
      <c r="CI274" s="23" t="str">
        <f t="shared" ref="CI274" si="928">CONCATENATE("DO",REPLACE($AH274,1,3,""),"-",BQ274)</f>
        <v>DO8-19B</v>
      </c>
      <c r="CJ274" s="23" t="str">
        <f t="shared" ref="CJ274" si="929">CONCATENATE("DO",REPLACE($AH274,1,3,""),"-",BR274)</f>
        <v>DO8-20A</v>
      </c>
      <c r="CK274" s="23" t="str">
        <f t="shared" ref="CK274" si="930">CONCATENATE("DO",REPLACE($AH274,1,3,""),"-",BS274)</f>
        <v>DO8-20B</v>
      </c>
      <c r="CL274" s="23" t="str">
        <f t="shared" si="678"/>
        <v>K94-10</v>
      </c>
      <c r="CM274" s="23" t="str">
        <f t="shared" si="679"/>
        <v>K94-03</v>
      </c>
      <c r="CN274" s="23" t="str">
        <f t="shared" si="680"/>
        <v>K94-04</v>
      </c>
      <c r="CO274" s="23" t="str">
        <f t="shared" si="681"/>
        <v>K94-01</v>
      </c>
      <c r="CP274" s="23" t="str">
        <f t="shared" si="682"/>
        <v>K94-08</v>
      </c>
      <c r="CQ274" s="23" t="str">
        <f t="shared" si="683"/>
        <v>K94-02</v>
      </c>
      <c r="CR274" s="23" t="str">
        <f t="shared" si="684"/>
        <v>K94-09</v>
      </c>
      <c r="CS274" s="23" t="str">
        <f t="shared" si="685"/>
        <v>K94-05</v>
      </c>
      <c r="CT274" s="23" t="str">
        <f t="shared" si="686"/>
        <v>K94-11</v>
      </c>
      <c r="CU274" s="23" t="str">
        <f t="shared" si="687"/>
        <v>F0-M94-A9</v>
      </c>
      <c r="CV274" s="23" t="str">
        <f t="shared" si="688"/>
        <v>F0-M94-A7</v>
      </c>
      <c r="CW274" s="23" t="str">
        <f t="shared" si="689"/>
        <v>F0-M94-A8</v>
      </c>
      <c r="CX274" s="23" t="str">
        <f t="shared" si="690"/>
        <v>F0-M94-A6</v>
      </c>
      <c r="CY274" s="23" t="str">
        <f t="shared" si="691"/>
        <v>F0-M94-A30</v>
      </c>
      <c r="CZ274" s="23" t="str">
        <f t="shared" si="692"/>
        <v>F0-M94-N</v>
      </c>
      <c r="DA274" s="23" t="str">
        <f t="shared" ref="DA274" si="931">CONCATENATE($T274,"-A220-M",U274)</f>
        <v>F0-A220-M94</v>
      </c>
      <c r="DB274" s="23" t="str">
        <f t="shared" si="693"/>
        <v>F0-M94-XM01</v>
      </c>
      <c r="DC274" s="23" t="str">
        <f t="shared" si="694"/>
        <v>F0-M94-A1</v>
      </c>
      <c r="DD274" s="23" t="str">
        <f t="shared" si="695"/>
        <v>F0-M94-A5</v>
      </c>
      <c r="DE274" s="23" t="str">
        <f t="shared" si="696"/>
        <v>F0-M94-A11</v>
      </c>
      <c r="DF274" s="23" t="str">
        <f t="shared" si="697"/>
        <v>F0-M94-A12</v>
      </c>
      <c r="DG274" s="23" t="str">
        <f t="shared" si="698"/>
        <v>F0-M94-A19</v>
      </c>
      <c r="DH274" s="23" t="str">
        <f t="shared" si="699"/>
        <v>F0-M94-A20</v>
      </c>
      <c r="DI274" s="23" t="s">
        <v>142</v>
      </c>
      <c r="DJ274" s="23" t="s">
        <v>143</v>
      </c>
      <c r="DK274" s="23">
        <v>11</v>
      </c>
      <c r="DL274" s="23">
        <v>14</v>
      </c>
      <c r="DM274" s="23">
        <v>12</v>
      </c>
      <c r="DN274" s="23" t="s">
        <v>144</v>
      </c>
      <c r="DO274" s="23" t="s">
        <v>1819</v>
      </c>
      <c r="DP274" s="23">
        <v>1</v>
      </c>
      <c r="DQ274" s="23">
        <v>2</v>
      </c>
      <c r="DR274" s="23">
        <v>3</v>
      </c>
      <c r="DS274" s="23">
        <v>4</v>
      </c>
      <c r="DT274" s="23">
        <v>5</v>
      </c>
      <c r="DU274" s="23">
        <v>6</v>
      </c>
      <c r="DV274" s="23">
        <v>7</v>
      </c>
      <c r="DW274" s="23">
        <v>8</v>
      </c>
      <c r="DX274" s="23">
        <v>9</v>
      </c>
      <c r="DY274" s="23">
        <v>10</v>
      </c>
      <c r="DZ274" s="23">
        <v>11</v>
      </c>
      <c r="EA274" s="23">
        <v>12</v>
      </c>
      <c r="EB274" s="23">
        <v>13</v>
      </c>
      <c r="EC274" s="23">
        <v>14</v>
      </c>
      <c r="ED274" s="23">
        <v>1</v>
      </c>
      <c r="EE274" s="23">
        <v>3</v>
      </c>
      <c r="EF274" s="23">
        <v>4</v>
      </c>
      <c r="EG274" s="23">
        <v>7</v>
      </c>
      <c r="EH274" s="23">
        <v>8</v>
      </c>
      <c r="EI274" s="23">
        <v>9</v>
      </c>
      <c r="EJ274" s="23">
        <v>10</v>
      </c>
      <c r="EK274" s="23">
        <v>13</v>
      </c>
      <c r="EL274" s="23">
        <v>14</v>
      </c>
      <c r="EM274" s="23">
        <v>15</v>
      </c>
      <c r="EN274" s="23">
        <v>16</v>
      </c>
      <c r="EO274" s="23">
        <v>22</v>
      </c>
      <c r="EP274" s="23">
        <v>23</v>
      </c>
      <c r="EQ274" s="24">
        <v>24</v>
      </c>
    </row>
    <row r="275" spans="1:357" ht="15.75" thickBot="1" x14ac:dyDescent="0.3">
      <c r="A275" t="s">
        <v>1850</v>
      </c>
      <c r="B275" t="s">
        <v>1820</v>
      </c>
      <c r="C275" t="s">
        <v>1871</v>
      </c>
      <c r="P275" t="s">
        <v>1785</v>
      </c>
      <c r="T275" s="10" t="s">
        <v>554</v>
      </c>
      <c r="U275" s="49">
        <v>95</v>
      </c>
      <c r="V275" s="11" t="s">
        <v>3065</v>
      </c>
      <c r="W275" s="11" t="s">
        <v>3066</v>
      </c>
      <c r="X275" t="str" cm="1">
        <f t="array" ref="X275">IF(COUNTIF(X$1:X274,INDEX(X$1:X274,MAX(IF(X$1:X274&lt;&gt;"",ROW(X$1:X274)))))&gt;7,REPLACE(INDEX(X$1:X274,MAX(IF(X$1:X274&lt;&gt;"",ROW(X$1:X274)))),LEN(INDEX(X$1:X274,MAX(IF(X$1:X274&lt;&gt;"",ROW(X$1:X274))))),1,VALUE(RIGHT(INDEX(X$1:X274,MAX(IF(X$1:X274&lt;&gt;"",ROW(X$1:X274)))),1))+1),INDEX(X$1:X274,MAX(IF(X$1:X274&lt;&gt;"",ROW(X$1:X274)))))</f>
        <v>А3.37</v>
      </c>
      <c r="Y275" s="43" cm="1">
        <f t="array" ref="Y275">IF(COUNTIFS(X$2:X275,X275)=1,"1",VALUE(SUBSTITUTE(INDEX(Y:Y,_xlfn.XMATCH(X275,X$1:X274,0,-1)),"A",""))+INDEX(Z:Z,_xlfn.XMATCH(X275,X$1:X274,0,-1))+1)</f>
        <v>5</v>
      </c>
      <c r="Z275" s="43" cm="1">
        <f t="array" ref="Z275">SUM(IF(ISNUMBER(FIND("TmAi",$BE$1:$AAL$1)),IF(IFERROR(ISODD(SUBSTITUTE($BE275:$AAL275,"A","")),FALSE),IF(ISODD(SUBSTITUTE($BE275:$AAL275,"A","")),1,0),0)))</f>
        <v>0</v>
      </c>
      <c r="AA275" t="str">
        <f t="shared" ref="AA275" si="932">CONCATENATE($Y275*2-1,"A")</f>
        <v>9A</v>
      </c>
      <c r="AB275" t="str">
        <f t="shared" ref="AB275" si="933">CONCATENATE($Y275*2-1,"B")</f>
        <v>9B</v>
      </c>
      <c r="AC275" t="s">
        <v>1809</v>
      </c>
      <c r="AD275" s="43" t="str" cm="1">
        <f t="array" ref="AD275">IF(COUNTIFS(AC$2:AC275,AC275)=1,"1",VALUE(SUBSTITUTE(INDEX(AD:AD,_xlfn.XMATCH(AC275,AC$1:AC274,0,-1)),"A",""))+INDEX(AE:AE,_xlfn.XMATCH(AC275,AC$1:AC274,0,-1))+1)</f>
        <v>1</v>
      </c>
      <c r="AE275" s="43" cm="1">
        <f t="array" ref="AE275">SUM(IF(ISNUMBER(FIND("TmDi",$BE$1:$AAL$1)),IF(IFERROR(ISNUMBER(VALUE(SUBSTITUTE($BE275:$AAL275,"B",""))),FALSE),IF(ISNUMBER(VALUE(SUBSTITUTE($BE275:$AAL275,"B",""))),1,0),0)))</f>
        <v>4</v>
      </c>
      <c r="AF275" t="str">
        <f t="shared" si="702"/>
        <v>C1</v>
      </c>
      <c r="AG275" t="str">
        <f t="shared" si="703"/>
        <v>B1</v>
      </c>
      <c r="AH275" t="s">
        <v>1802</v>
      </c>
      <c r="AI275" s="64" t="str" cm="1">
        <f t="array" ref="AI275">IF(COUNTIFS(AH$2:AH275,AH275)=1,"1",VALUE(SUBSTITUTE(INDEX(AI:AI,_xlfn.XMATCH(AH275,AH$1:AH274,0,-1)),"A",""))+INDEX(AJ:AJ,_xlfn.XMATCH(AH275,AH$1:AH274,0,-1))+1)</f>
        <v>1</v>
      </c>
      <c r="AJ275" s="64" cm="1">
        <f t="array" ref="AJ275">SUM(IF(ISNUMBER(FIND("TmDo",$BE$1:$AAL$1)),IF(IFERROR(ISNUMBER(VALUE(SUBSTITUTE($BE275:$AAL275,"B",""))),FALSE),IF(ISNUMBER(VALUE(SUBSTITUTE($BE275:$AAL275,"B",""))),1,0),0)))</f>
        <v>1</v>
      </c>
      <c r="AK275" s="11" t="str">
        <f t="shared" si="642"/>
        <v>1A</v>
      </c>
      <c r="AL275" s="11" t="str">
        <f t="shared" si="643"/>
        <v>1B</v>
      </c>
      <c r="AM275" s="12" t="s">
        <v>161</v>
      </c>
      <c r="AN275" s="12"/>
      <c r="AO275" s="12"/>
      <c r="AP275" s="12" t="s">
        <v>137</v>
      </c>
      <c r="AQ275" s="12" t="s">
        <v>1794</v>
      </c>
      <c r="AR275" s="12"/>
      <c r="AS275" s="12" t="s">
        <v>396</v>
      </c>
      <c r="AT275" s="12" t="s">
        <v>139</v>
      </c>
      <c r="AU275" s="12" t="s">
        <v>140</v>
      </c>
      <c r="AV275" s="12"/>
      <c r="AW275" s="12"/>
      <c r="AX275" s="12"/>
      <c r="AY275" s="12"/>
      <c r="AZ275" s="12"/>
      <c r="BA275" s="12"/>
      <c r="BB275" s="12"/>
      <c r="BC275" s="12"/>
      <c r="BD275" s="13"/>
      <c r="GT275" s="25" t="str">
        <f t="shared" ref="GT275" si="934">CONCATENATE("XT",U275)</f>
        <v>XT95</v>
      </c>
      <c r="GU275" s="12" t="str">
        <f t="shared" ref="GU275" si="935">CONCATENATE("C",REPLACE(AF275,1,1,"")+1)</f>
        <v>C2</v>
      </c>
      <c r="GV275" s="12" t="str">
        <f t="shared" ref="GV275" si="936">CONCATENATE("B",REPLACE(AG275,1,1,"")+1)</f>
        <v>B2</v>
      </c>
      <c r="GW275" s="12" t="str">
        <f t="shared" ref="GW275" si="937">CONCATENATE("C",REPLACE(GU275,1,1,"")+1)</f>
        <v>C3</v>
      </c>
      <c r="GX275" s="12" t="str">
        <f t="shared" ref="GX275" si="938">CONCATENATE("B",REPLACE(GV275,1,1,"")+1)</f>
        <v>B3</v>
      </c>
      <c r="GY275" s="12" t="str">
        <f t="shared" ref="GY275" si="939">CONCATENATE("C",REPLACE(GW275,1,1,"")+1)</f>
        <v>C4</v>
      </c>
      <c r="GZ275" s="12" t="str">
        <f t="shared" ref="GZ275" si="940">CONCATENATE("B",REPLACE(GX275,1,1,"")+1)</f>
        <v>B4</v>
      </c>
      <c r="HA275" s="12" t="str">
        <f t="shared" ref="HA275" si="941">CONCATENATE("C",REPLACE(GY275,1,1,"")+1)</f>
        <v>C5</v>
      </c>
      <c r="HB275" s="12" t="str">
        <f t="shared" ref="HB275" si="942">CONCATENATE("B",REPLACE(GZ275,1,1,"")+1)</f>
        <v>B5</v>
      </c>
      <c r="HC275" s="12"/>
      <c r="HD275" s="12"/>
      <c r="HE275" s="12" t="str">
        <f>CONCATENATE(REPLACE(AK275,LEN(AK275),1,"")+1,"A")</f>
        <v>2A</v>
      </c>
      <c r="HF275" s="12" t="str">
        <f>CONCATENATE(REPLACE(AL275,LEN(AL275),1,"")+1,"B")</f>
        <v>2B</v>
      </c>
      <c r="HG275" s="12" t="str">
        <f t="shared" ref="HG275" si="943">CONCATENATE("AI",REPLACE($X275,1,3,""),"-",AA275)</f>
        <v>AI37-9A</v>
      </c>
      <c r="HH275" s="12" t="str">
        <f t="shared" ref="HH275" si="944">CONCATENATE("AI",REPLACE($X275,1,3,""),"-",AB275)</f>
        <v>AI37-9B</v>
      </c>
      <c r="HI275" s="12" t="str">
        <f t="shared" ref="HI275" si="945">CONCATENATE("DI",REPLACE($AC275,1,3,""),"-",AF275)</f>
        <v>DI16-C1</v>
      </c>
      <c r="HJ275" s="12" t="str">
        <f t="shared" ref="HJ275" si="946">CONCATENATE("DI",REPLACE($AC275,1,3,""),"-",AG275)</f>
        <v>DI16-B1</v>
      </c>
      <c r="HK275" s="12" t="str">
        <f t="shared" ref="HK275" si="947">CONCATENATE("DI",REPLACE($AC275,1,3,""),"-",GU275)</f>
        <v>DI16-C2</v>
      </c>
      <c r="HL275" s="12" t="str">
        <f t="shared" ref="HL275" si="948">CONCATENATE("DI",REPLACE($AC275,1,3,""),"-",GV275)</f>
        <v>DI16-B2</v>
      </c>
      <c r="HM275" s="12" t="str">
        <f t="shared" ref="HM275" si="949">CONCATENATE("DI",REPLACE($AC275,1,3,""),"-",GW275)</f>
        <v>DI16-C3</v>
      </c>
      <c r="HN275" s="12" t="str">
        <f t="shared" ref="HN275" si="950">CONCATENATE("DI",REPLACE($AC275,1,3,""),"-",GX275)</f>
        <v>DI16-B3</v>
      </c>
      <c r="HO275" s="12" t="str">
        <f t="shared" ref="HO275" si="951">CONCATENATE("DI",REPLACE($AC275,1,3,""),"-",GY275)</f>
        <v>DI16-C4</v>
      </c>
      <c r="HP275" s="12" t="str">
        <f t="shared" ref="HP275" si="952">CONCATENATE("DI",REPLACE($AC275,1,3,""),"-",GZ275)</f>
        <v>DI16-B4</v>
      </c>
      <c r="HQ275" s="12" t="str">
        <f t="shared" ref="HQ275" si="953">CONCATENATE("DI",REPLACE($AC275,1,3,""),"-",HA275)</f>
        <v>DI16-C5</v>
      </c>
      <c r="HR275" s="12" t="str">
        <f t="shared" ref="HR275" si="954">CONCATENATE("DI",REPLACE($AC275,1,3,""),"-",HB275)</f>
        <v>DI16-B5</v>
      </c>
      <c r="HS275" s="12" t="str">
        <f t="shared" ref="HS275" si="955">CONCATENATE("DI",REPLACE($AC275,1,3,""),"-",HC275)</f>
        <v>DI16-</v>
      </c>
      <c r="HT275" s="12" t="str">
        <f t="shared" ref="HT275" si="956">CONCATENATE("DI",REPLACE($AC275,1,3,""),"-",HD275)</f>
        <v>DI16-</v>
      </c>
      <c r="HU275" s="12" t="str">
        <f t="shared" ref="HU275" si="957">CONCATENATE("DO",REPLACE($AH275,1,3,""),"-",AK275)</f>
        <v>DO9-1A</v>
      </c>
      <c r="HV275" s="12" t="str">
        <f t="shared" ref="HV275" si="958">CONCATENATE("DO",REPLACE($AH275,1,3,""),"-",AL275)</f>
        <v>DO9-1B</v>
      </c>
      <c r="HW275" s="12" t="str">
        <f t="shared" ref="HW275" si="959">CONCATENATE("DO",REPLACE($AH275,1,3,""),"-",HE275)</f>
        <v>DO9-2A</v>
      </c>
      <c r="HX275" s="12" t="str">
        <f t="shared" ref="HX275" si="960">CONCATENATE("DO",REPLACE($AH275,1,3,""),"-",HF275)</f>
        <v>DO9-2B</v>
      </c>
      <c r="HY275" s="12" t="str">
        <f t="shared" ref="HY275" si="961">CONCATENATE("K",$U275,"-01")</f>
        <v>K95-01</v>
      </c>
      <c r="HZ275" s="12" t="str">
        <f t="shared" ref="HZ275" si="962">CONCATENATE("K",$U275,"-02")</f>
        <v>K95-02</v>
      </c>
      <c r="IA275" s="12" t="str">
        <f t="shared" ref="IA275" si="963">CONCATENATE("K",$U275,"-03")</f>
        <v>K95-03</v>
      </c>
      <c r="IB275" s="12" t="str">
        <f t="shared" ref="IB275" si="964">CONCATENATE("K",$U275,"-04")</f>
        <v>K95-04</v>
      </c>
      <c r="IC275" s="12" t="str">
        <f t="shared" ref="IC275" si="965">CONCATENATE("K",$U275,"-05")</f>
        <v>K95-05</v>
      </c>
      <c r="ID275" s="12" t="str">
        <f t="shared" ref="ID275" si="966">CONCATENATE("K",$U275,"-06")</f>
        <v>K95-06</v>
      </c>
      <c r="IE275" s="12" t="str">
        <f t="shared" ref="IE275" si="967">CONCATENATE("K",$U275,"-07")</f>
        <v>K95-07</v>
      </c>
      <c r="IF275" s="12" t="str">
        <f t="shared" ref="IF275" si="968">CONCATENATE("K",$U275,"-08")</f>
        <v>K95-08</v>
      </c>
      <c r="IG275" s="12" t="str">
        <f t="shared" ref="IG275" si="969">CONCATENATE($T275,"-M",$U275,"-AMS-12")</f>
        <v>F0-M95-AMS-12</v>
      </c>
      <c r="IH275" s="12" t="str">
        <f t="shared" ref="IH275" si="970">CONCATENATE($T275,"-M",$U275,"-AMS-10")</f>
        <v>F0-M95-AMS-10</v>
      </c>
      <c r="II275" s="12" t="str">
        <f t="shared" ref="II275" si="971">CONCATENATE($T275,"-M",$U275,"-AMS-11")</f>
        <v>F0-M95-AMS-11</v>
      </c>
      <c r="IJ275" s="12" t="str">
        <f t="shared" ref="IJ275" si="972">CONCATENATE($T275,"-M",$U275,"-AMS-13")</f>
        <v>F0-M95-AMS-13</v>
      </c>
      <c r="IK275" s="12" t="str">
        <f t="shared" ref="IK275" si="973">CONCATENATE($T275,"-M",$U275,"-AMS-9")</f>
        <v>F0-M95-AMS-9</v>
      </c>
      <c r="IL275" s="12" t="str">
        <f t="shared" ref="IL275" si="974">CONCATENATE($T275,"-M",$U275,"-AMS-7")</f>
        <v>F0-M95-AMS-7</v>
      </c>
      <c r="IM275" s="12" t="str">
        <f t="shared" ref="IM275" si="975">CONCATENATE($T275,"-M",$U275,"-AMS-18")</f>
        <v>F0-M95-AMS-18</v>
      </c>
      <c r="IN275" s="12" t="str">
        <f t="shared" ref="IN275" si="976">CONCATENATE($T275,"-M",$U275,"-AMS-20")</f>
        <v>F0-M95-AMS-20</v>
      </c>
      <c r="IO275" s="12" t="str">
        <f t="shared" ref="IO275" si="977">CONCATENATE($T275,"-M",$U275,"-AMS-17")</f>
        <v>F0-M95-AMS-17</v>
      </c>
      <c r="IP275" s="12" t="str">
        <f t="shared" ref="IP275" si="978">CONCATENATE($T275,"-+24-M",$U275,)</f>
        <v>F0-+24-M95</v>
      </c>
      <c r="IQ275" s="12" t="str">
        <f t="shared" ref="IQ275" si="979">CONCATENATE($T275,"-M",$U275,"-XM01")</f>
        <v>F0-M95-XM01</v>
      </c>
      <c r="IR275" s="12" t="s">
        <v>142</v>
      </c>
      <c r="IS275" s="12" t="s">
        <v>143</v>
      </c>
      <c r="IT275" s="12">
        <v>11</v>
      </c>
      <c r="IU275" s="12">
        <v>14</v>
      </c>
      <c r="IV275" s="12" t="s">
        <v>413</v>
      </c>
      <c r="IW275" s="12" t="s">
        <v>414</v>
      </c>
      <c r="IX275" s="12">
        <v>1</v>
      </c>
      <c r="IY275" s="12">
        <v>2</v>
      </c>
      <c r="IZ275" s="12">
        <v>3</v>
      </c>
      <c r="JA275" s="12">
        <v>4</v>
      </c>
      <c r="JB275" s="12">
        <v>5</v>
      </c>
      <c r="JC275" s="12">
        <v>6</v>
      </c>
      <c r="JD275" s="12">
        <v>7</v>
      </c>
      <c r="JE275" s="12">
        <v>8</v>
      </c>
      <c r="JF275" s="12">
        <v>9</v>
      </c>
      <c r="JG275" s="12">
        <v>10</v>
      </c>
      <c r="JH275" s="12">
        <v>11</v>
      </c>
      <c r="JI275" s="12">
        <v>12</v>
      </c>
      <c r="JJ275" s="12">
        <v>13</v>
      </c>
      <c r="JK275" s="12">
        <v>14</v>
      </c>
      <c r="JL275" s="12">
        <v>17</v>
      </c>
      <c r="JM275" s="12">
        <v>15</v>
      </c>
      <c r="JN275" s="12">
        <v>18</v>
      </c>
      <c r="JO275" s="12">
        <v>11</v>
      </c>
      <c r="JP275" s="12">
        <v>9</v>
      </c>
      <c r="JQ275" s="12">
        <v>6</v>
      </c>
      <c r="JR275" s="12">
        <v>20</v>
      </c>
      <c r="JS275" s="12">
        <v>7</v>
      </c>
      <c r="JT275" s="12">
        <v>10</v>
      </c>
      <c r="JU275" s="12">
        <v>22</v>
      </c>
      <c r="JV275" s="12">
        <v>23</v>
      </c>
      <c r="JW275" s="12">
        <v>26</v>
      </c>
      <c r="JX275" s="12">
        <v>27</v>
      </c>
      <c r="JY275" s="13">
        <v>30</v>
      </c>
    </row>
    <row r="276" spans="1:357" ht="15.75" thickBot="1" x14ac:dyDescent="0.3">
      <c r="A276" t="s">
        <v>1851</v>
      </c>
      <c r="B276" t="s">
        <v>1823</v>
      </c>
      <c r="C276" s="3" t="s">
        <v>1872</v>
      </c>
      <c r="O276" s="2"/>
      <c r="P276" t="s">
        <v>1784</v>
      </c>
      <c r="Q276" s="1"/>
      <c r="S276" s="1"/>
      <c r="T276" s="21" t="s">
        <v>554</v>
      </c>
      <c r="U276" s="50">
        <v>96</v>
      </c>
      <c r="V276" s="18" t="s">
        <v>3067</v>
      </c>
      <c r="W276" s="22"/>
      <c r="X276" s="23"/>
      <c r="Y276" s="23"/>
      <c r="Z276" s="23"/>
      <c r="AA276" s="23"/>
      <c r="AB276" s="23"/>
      <c r="AC276" t="str">
        <f t="shared" si="827"/>
        <v>A5.16</v>
      </c>
      <c r="AD276" s="43" cm="1">
        <f t="array" ref="AD276">IF(COUNTIFS(AC$2:AC276,AC276)=1,"1",VALUE(SUBSTITUTE(INDEX(AD:AD,_xlfn.XMATCH(AC276,AC$1:AC275,0,-1)),"A",""))+INDEX(AE:AE,_xlfn.XMATCH(AC276,AC$1:AC275,0,-1))+1)</f>
        <v>6</v>
      </c>
      <c r="AE276" s="43" cm="1">
        <f t="array" ref="AE276">SUM(IF(ISNUMBER(FIND("TmDi",$BE$1:$AAL$1)),IF(IFERROR(ISNUMBER(VALUE(SUBSTITUTE($BE276:$AAL276,"B",""))),FALSE),IF(ISNUMBER(VALUE(SUBSTITUTE($BE276:$AAL276,"B",""))),1,0),0)))</f>
        <v>4</v>
      </c>
      <c r="AF276" t="str">
        <f t="shared" si="702"/>
        <v>C6</v>
      </c>
      <c r="AG276" t="str">
        <f t="shared" si="703"/>
        <v>B6</v>
      </c>
      <c r="AH276" t="str">
        <f t="shared" si="704"/>
        <v>A6.9</v>
      </c>
      <c r="AI276" s="64" cm="1">
        <f t="array" ref="AI276">IF(COUNTIFS(AH$2:AH276,AH276)=1,"1",VALUE(SUBSTITUTE(INDEX(AI:AI,_xlfn.XMATCH(AH276,AH$1:AH275,0,-1)),"A",""))+INDEX(AJ:AJ,_xlfn.XMATCH(AH276,AH$1:AH275,0,-1))+1)</f>
        <v>3</v>
      </c>
      <c r="AJ276" s="64" cm="1">
        <f t="array" ref="AJ276">SUM(IF(ISNUMBER(FIND("TmDo",$BE$1:$AAL$1)),IF(IFERROR(ISNUMBER(VALUE(SUBSTITUTE($BE276:$AAL276,"B",""))),FALSE),IF(ISNUMBER(VALUE(SUBSTITUTE($BE276:$AAL276,"B",""))),1,0),0)))</f>
        <v>2</v>
      </c>
      <c r="AK276" s="11" t="str">
        <f t="shared" si="642"/>
        <v>3A</v>
      </c>
      <c r="AL276" s="11" t="str">
        <f t="shared" si="643"/>
        <v>3B</v>
      </c>
      <c r="AM276" s="23" t="s">
        <v>150</v>
      </c>
      <c r="AN276" s="23"/>
      <c r="AO276" s="23"/>
      <c r="AP276" s="23" t="s">
        <v>137</v>
      </c>
      <c r="AQ276" s="23" t="s">
        <v>1794</v>
      </c>
      <c r="AR276" s="23"/>
      <c r="AS276" s="23"/>
      <c r="AT276" s="23" t="s">
        <v>139</v>
      </c>
      <c r="AU276" s="23" t="s">
        <v>140</v>
      </c>
      <c r="AV276" s="23"/>
      <c r="AW276" s="23"/>
      <c r="AX276" s="23"/>
      <c r="AY276" s="12"/>
      <c r="AZ276" s="12"/>
      <c r="BA276" s="12"/>
      <c r="BB276" s="12"/>
      <c r="BC276" s="12"/>
      <c r="BD276" s="13"/>
      <c r="BE276" s="23" t="str">
        <f t="shared" ref="BE276" si="980">CONCATENATE("XT",U276)</f>
        <v>XT96</v>
      </c>
      <c r="BF276" s="23" t="str">
        <f t="shared" ref="BF276" si="981">CONCATENATE("C",REPLACE(AF276,1,1,"")+1)</f>
        <v>C7</v>
      </c>
      <c r="BG276" s="23" t="str">
        <f t="shared" ref="BG276" si="982">CONCATENATE("B",REPLACE(AG276,1,1,"")+1)</f>
        <v>B7</v>
      </c>
      <c r="BH276" s="23" t="str">
        <f t="shared" ref="BH276" si="983">CONCATENATE("C",REPLACE(BF276,1,1,"")+1)</f>
        <v>C8</v>
      </c>
      <c r="BI276" s="23" t="str">
        <f t="shared" ref="BI276" si="984">CONCATENATE("B",REPLACE(BG276,1,1,"")+1)</f>
        <v>B8</v>
      </c>
      <c r="BJ276" s="23" t="str">
        <f t="shared" ref="BJ276" si="985">CONCATENATE("C",REPLACE(BH276,1,1,"")+1)</f>
        <v>C9</v>
      </c>
      <c r="BK276" s="23" t="str">
        <f t="shared" ref="BK276" si="986">CONCATENATE("B",REPLACE(BI276,1,1,"")+1)</f>
        <v>B9</v>
      </c>
      <c r="BL276" s="23" t="str">
        <f t="shared" ref="BL276" si="987">CONCATENATE("C",REPLACE(BJ276,1,1,"")+1)</f>
        <v>C10</v>
      </c>
      <c r="BM276" s="23" t="str">
        <f t="shared" ref="BM276" si="988">CONCATENATE("B",REPLACE(BK276,1,1,"")+1)</f>
        <v>B10</v>
      </c>
      <c r="BN276" s="23"/>
      <c r="BO276" s="23"/>
      <c r="BP276" s="23" t="str">
        <f>CONCATENATE(REPLACE(AK276,LEN(AK276),1,"")+1,"A")</f>
        <v>4A</v>
      </c>
      <c r="BQ276" s="23" t="str">
        <f>CONCATENATE(REPLACE(AL276,LEN(AL276),1,"")+1,"B")</f>
        <v>4B</v>
      </c>
      <c r="BR276" s="23" t="str">
        <f>CONCATENATE(REPLACE(BP276,LEN(BP276),1,"")+1,"A")</f>
        <v>5A</v>
      </c>
      <c r="BS276" s="23" t="str">
        <f>CONCATENATE(REPLACE(BQ276,LEN(BQ276),1,"")+1,"B")</f>
        <v>5B</v>
      </c>
      <c r="BT276" s="23" t="str">
        <f t="shared" ref="BT276" si="989">CONCATENATE("DI",REPLACE($AC276,1,3,""),"-",AF276)</f>
        <v>DI16-C6</v>
      </c>
      <c r="BU276" s="23" t="str">
        <f t="shared" ref="BU276" si="990">CONCATENATE("DI",REPLACE($AC276,1,3,""),"-",AG276)</f>
        <v>DI16-B6</v>
      </c>
      <c r="BV276" s="23" t="str">
        <f t="shared" ref="BV276" si="991">CONCATENATE("DI",REPLACE($AC276,1,3,""),"-",BF276)</f>
        <v>DI16-C7</v>
      </c>
      <c r="BW276" s="23" t="str">
        <f t="shared" ref="BW276" si="992">CONCATENATE("DI",REPLACE($AC276,1,3,""),"-",BG276)</f>
        <v>DI16-B7</v>
      </c>
      <c r="BX276" s="23" t="str">
        <f t="shared" ref="BX276" si="993">CONCATENATE("DI",REPLACE($AC276,1,3,""),"-",BH276)</f>
        <v>DI16-C8</v>
      </c>
      <c r="BY276" s="23" t="str">
        <f t="shared" ref="BY276" si="994">CONCATENATE("DI",REPLACE($AC276,1,3,""),"-",BI276)</f>
        <v>DI16-B8</v>
      </c>
      <c r="BZ276" s="23" t="str">
        <f t="shared" ref="BZ276" si="995">CONCATENATE("DI",REPLACE($AC276,1,3,""),"-",BJ276)</f>
        <v>DI16-C9</v>
      </c>
      <c r="CA276" s="23" t="str">
        <f t="shared" ref="CA276" si="996">CONCATENATE("DI",REPLACE($AC276,1,3,""),"-",BK276)</f>
        <v>DI16-B9</v>
      </c>
      <c r="CB276" s="23" t="str">
        <f t="shared" ref="CB276" si="997">CONCATENATE("DI",REPLACE($AC276,1,3,""),"-",BL276)</f>
        <v>DI16-C10</v>
      </c>
      <c r="CC276" s="23" t="str">
        <f t="shared" ref="CC276" si="998">CONCATENATE("DI",REPLACE($AC276,1,3,""),"-",BM276)</f>
        <v>DI16-B10</v>
      </c>
      <c r="CD276" s="23" t="str">
        <f t="shared" ref="CD276" si="999">CONCATENATE("DI",REPLACE($AC276,1,3,""),"-",BN276)</f>
        <v>DI16-</v>
      </c>
      <c r="CE276" s="23" t="str">
        <f t="shared" ref="CE276" si="1000">CONCATENATE("DI",REPLACE($AC276,1,3,""),"-",BO276)</f>
        <v>DI16-</v>
      </c>
      <c r="CF276" s="23" t="str">
        <f t="shared" ref="CF276" si="1001">CONCATENATE("DO",REPLACE($AH276,1,3,""),"-",AK276)</f>
        <v>DO9-3A</v>
      </c>
      <c r="CG276" s="23" t="str">
        <f t="shared" ref="CG276" si="1002">CONCATENATE("DO",REPLACE($AH276,1,3,""),"-",AL276)</f>
        <v>DO9-3B</v>
      </c>
      <c r="CH276" s="23" t="str">
        <f t="shared" ref="CH276" si="1003">CONCATENATE("DO",REPLACE($AH276,1,3,""),"-",BP276)</f>
        <v>DO9-4A</v>
      </c>
      <c r="CI276" s="23" t="str">
        <f t="shared" ref="CI276" si="1004">CONCATENATE("DO",REPLACE($AH276,1,3,""),"-",BQ276)</f>
        <v>DO9-4B</v>
      </c>
      <c r="CJ276" s="23" t="str">
        <f t="shared" ref="CJ276" si="1005">CONCATENATE("DO",REPLACE($AH276,1,3,""),"-",BR276)</f>
        <v>DO9-5A</v>
      </c>
      <c r="CK276" s="23" t="str">
        <f t="shared" ref="CK276" si="1006">CONCATENATE("DO",REPLACE($AH276,1,3,""),"-",BS276)</f>
        <v>DO9-5B</v>
      </c>
      <c r="CL276" s="23" t="str">
        <f t="shared" si="678"/>
        <v>K96-10</v>
      </c>
      <c r="CM276" s="23" t="str">
        <f t="shared" si="679"/>
        <v>K96-03</v>
      </c>
      <c r="CN276" s="23" t="str">
        <f t="shared" si="680"/>
        <v>K96-04</v>
      </c>
      <c r="CO276" s="23" t="str">
        <f t="shared" si="681"/>
        <v>K96-01</v>
      </c>
      <c r="CP276" s="23" t="str">
        <f t="shared" si="682"/>
        <v>K96-08</v>
      </c>
      <c r="CQ276" s="23" t="str">
        <f t="shared" si="683"/>
        <v>K96-02</v>
      </c>
      <c r="CR276" s="23" t="str">
        <f t="shared" si="684"/>
        <v>K96-09</v>
      </c>
      <c r="CS276" s="23" t="str">
        <f t="shared" si="685"/>
        <v>K96-05</v>
      </c>
      <c r="CT276" s="23" t="str">
        <f t="shared" si="686"/>
        <v>K96-11</v>
      </c>
      <c r="CU276" s="23" t="str">
        <f t="shared" si="687"/>
        <v>F0-M96-A9</v>
      </c>
      <c r="CV276" s="23" t="str">
        <f t="shared" si="688"/>
        <v>F0-M96-A7</v>
      </c>
      <c r="CW276" s="23" t="str">
        <f t="shared" si="689"/>
        <v>F0-M96-A8</v>
      </c>
      <c r="CX276" s="23" t="str">
        <f t="shared" si="690"/>
        <v>F0-M96-A6</v>
      </c>
      <c r="CY276" s="23" t="str">
        <f t="shared" si="691"/>
        <v>F0-M96-A30</v>
      </c>
      <c r="CZ276" s="23" t="str">
        <f t="shared" si="692"/>
        <v>F0-M96-N</v>
      </c>
      <c r="DA276" s="23" t="str">
        <f t="shared" ref="DA276" si="1007">CONCATENATE($T276,"-A220-M",U276)</f>
        <v>F0-A220-M96</v>
      </c>
      <c r="DB276" s="23" t="str">
        <f t="shared" si="693"/>
        <v>F0-M96-XM01</v>
      </c>
      <c r="DC276" s="23" t="str">
        <f t="shared" si="694"/>
        <v>F0-M96-A1</v>
      </c>
      <c r="DD276" s="23" t="str">
        <f t="shared" si="695"/>
        <v>F0-M96-A5</v>
      </c>
      <c r="DE276" s="23" t="str">
        <f t="shared" si="696"/>
        <v>F0-M96-A11</v>
      </c>
      <c r="DF276" s="23" t="str">
        <f t="shared" si="697"/>
        <v>F0-M96-A12</v>
      </c>
      <c r="DG276" s="23" t="str">
        <f t="shared" si="698"/>
        <v>F0-M96-A19</v>
      </c>
      <c r="DH276" s="23" t="str">
        <f t="shared" si="699"/>
        <v>F0-M96-A20</v>
      </c>
      <c r="DI276" s="23" t="s">
        <v>142</v>
      </c>
      <c r="DJ276" s="23" t="s">
        <v>143</v>
      </c>
      <c r="DK276" s="23">
        <v>11</v>
      </c>
      <c r="DL276" s="23">
        <v>14</v>
      </c>
      <c r="DM276" s="23">
        <v>12</v>
      </c>
      <c r="DN276" s="23" t="s">
        <v>144</v>
      </c>
      <c r="DO276" s="23" t="s">
        <v>1825</v>
      </c>
      <c r="DP276" s="23">
        <v>1</v>
      </c>
      <c r="DQ276" s="23">
        <v>2</v>
      </c>
      <c r="DR276" s="23">
        <v>3</v>
      </c>
      <c r="DS276" s="23">
        <v>4</v>
      </c>
      <c r="DT276" s="23">
        <v>5</v>
      </c>
      <c r="DU276" s="23">
        <v>6</v>
      </c>
      <c r="DV276" s="23">
        <v>7</v>
      </c>
      <c r="DW276" s="23">
        <v>8</v>
      </c>
      <c r="DX276" s="23">
        <v>9</v>
      </c>
      <c r="DY276" s="23">
        <v>10</v>
      </c>
      <c r="DZ276" s="23">
        <v>11</v>
      </c>
      <c r="EA276" s="23">
        <v>12</v>
      </c>
      <c r="EB276" s="23">
        <v>13</v>
      </c>
      <c r="EC276" s="23">
        <v>14</v>
      </c>
      <c r="ED276" s="23">
        <v>1</v>
      </c>
      <c r="EE276" s="23">
        <v>3</v>
      </c>
      <c r="EF276" s="23">
        <v>4</v>
      </c>
      <c r="EG276" s="23">
        <v>7</v>
      </c>
      <c r="EH276" s="23">
        <v>8</v>
      </c>
      <c r="EI276" s="23">
        <v>9</v>
      </c>
      <c r="EJ276" s="23">
        <v>10</v>
      </c>
      <c r="EK276" s="23">
        <v>13</v>
      </c>
      <c r="EL276" s="23">
        <v>14</v>
      </c>
      <c r="EM276" s="23">
        <v>15</v>
      </c>
      <c r="EN276" s="23">
        <v>16</v>
      </c>
      <c r="EO276" s="23">
        <v>22</v>
      </c>
      <c r="EP276" s="23">
        <v>23</v>
      </c>
      <c r="EQ276" s="24">
        <v>24</v>
      </c>
    </row>
    <row r="277" spans="1:357" ht="15.75" thickBot="1" x14ac:dyDescent="0.3">
      <c r="A277" t="s">
        <v>1852</v>
      </c>
      <c r="B277" t="s">
        <v>1826</v>
      </c>
      <c r="C277" t="s">
        <v>1871</v>
      </c>
      <c r="P277" t="s">
        <v>1785</v>
      </c>
      <c r="T277" s="10" t="s">
        <v>554</v>
      </c>
      <c r="U277" s="49">
        <v>97</v>
      </c>
      <c r="V277" s="11" t="s">
        <v>3068</v>
      </c>
      <c r="W277" s="11" t="s">
        <v>3069</v>
      </c>
      <c r="X277" t="str" cm="1">
        <f t="array" ref="X277">IF(COUNTIF(X$1:X276,INDEX(X$1:X276,MAX(IF(X$1:X276&lt;&gt;"",ROW(X$1:X276)))))&gt;7,REPLACE(INDEX(X$1:X276,MAX(IF(X$1:X276&lt;&gt;"",ROW(X$1:X276)))),LEN(INDEX(X$1:X276,MAX(IF(X$1:X276&lt;&gt;"",ROW(X$1:X276))))),1,VALUE(RIGHT(INDEX(X$1:X276,MAX(IF(X$1:X276&lt;&gt;"",ROW(X$1:X276)))),1))+1),INDEX(X$1:X276,MAX(IF(X$1:X276&lt;&gt;"",ROW(X$1:X276)))))</f>
        <v>А3.37</v>
      </c>
      <c r="Y277" s="43" cm="1">
        <f t="array" ref="Y277">IF(COUNTIFS(X$2:X277,X277)=1,"1",VALUE(SUBSTITUTE(INDEX(Y:Y,_xlfn.XMATCH(X277,X$1:X276,0,-1)),"A",""))+INDEX(Z:Z,_xlfn.XMATCH(X277,X$1:X276,0,-1))+1)</f>
        <v>6</v>
      </c>
      <c r="Z277" s="43" cm="1">
        <f t="array" ref="Z277">SUM(IF(ISNUMBER(FIND("TmAi",$BE$1:$AAL$1)),IF(IFERROR(ISODD(SUBSTITUTE($BE277:$AAL277,"A","")),FALSE),IF(ISODD(SUBSTITUTE($BE277:$AAL277,"A","")),1,0),0)))</f>
        <v>0</v>
      </c>
      <c r="AA277" t="str">
        <f t="shared" ref="AA277" si="1008">CONCATENATE($Y277*2-1,"A")</f>
        <v>11A</v>
      </c>
      <c r="AB277" t="str">
        <f t="shared" ref="AB277" si="1009">CONCATENATE($Y277*2-1,"B")</f>
        <v>11B</v>
      </c>
      <c r="AC277" t="str">
        <f t="shared" si="827"/>
        <v>A5.16</v>
      </c>
      <c r="AD277" s="43" cm="1">
        <f t="array" ref="AD277">IF(COUNTIFS(AC$2:AC277,AC277)=1,"1",VALUE(SUBSTITUTE(INDEX(AD:AD,_xlfn.XMATCH(AC277,AC$1:AC276,0,-1)),"A",""))+INDEX(AE:AE,_xlfn.XMATCH(AC277,AC$1:AC276,0,-1))+1)</f>
        <v>11</v>
      </c>
      <c r="AE277" s="43" cm="1">
        <f t="array" ref="AE277">SUM(IF(ISNUMBER(FIND("TmDi",$BE$1:$AAL$1)),IF(IFERROR(ISNUMBER(VALUE(SUBSTITUTE($BE277:$AAL277,"B",""))),FALSE),IF(ISNUMBER(VALUE(SUBSTITUTE($BE277:$AAL277,"B",""))),1,0),0)))</f>
        <v>4</v>
      </c>
      <c r="AF277" t="str">
        <f t="shared" si="702"/>
        <v>C11</v>
      </c>
      <c r="AG277" t="str">
        <f t="shared" si="703"/>
        <v>B11</v>
      </c>
      <c r="AH277" t="str">
        <f t="shared" si="704"/>
        <v>A6.9</v>
      </c>
      <c r="AI277" s="64" cm="1">
        <f t="array" ref="AI277">IF(COUNTIFS(AH$2:AH277,AH277)=1,"1",VALUE(SUBSTITUTE(INDEX(AI:AI,_xlfn.XMATCH(AH277,AH$1:AH276,0,-1)),"A",""))+INDEX(AJ:AJ,_xlfn.XMATCH(AH277,AH$1:AH276,0,-1))+1)</f>
        <v>6</v>
      </c>
      <c r="AJ277" s="64" cm="1">
        <f t="array" ref="AJ277">SUM(IF(ISNUMBER(FIND("TmDo",$BE$1:$AAL$1)),IF(IFERROR(ISNUMBER(VALUE(SUBSTITUTE($BE277:$AAL277,"B",""))),FALSE),IF(ISNUMBER(VALUE(SUBSTITUTE($BE277:$AAL277,"B",""))),1,0),0)))</f>
        <v>1</v>
      </c>
      <c r="AK277" s="11" t="str">
        <f t="shared" si="642"/>
        <v>6A</v>
      </c>
      <c r="AL277" s="11" t="str">
        <f t="shared" si="643"/>
        <v>6B</v>
      </c>
      <c r="AM277" s="12" t="s">
        <v>161</v>
      </c>
      <c r="AN277" s="12"/>
      <c r="AO277" s="12"/>
      <c r="AP277" s="12" t="s">
        <v>137</v>
      </c>
      <c r="AQ277" s="12" t="s">
        <v>1794</v>
      </c>
      <c r="AR277" s="12"/>
      <c r="AS277" s="12" t="s">
        <v>396</v>
      </c>
      <c r="AT277" s="12" t="s">
        <v>139</v>
      </c>
      <c r="AU277" s="12" t="s">
        <v>140</v>
      </c>
      <c r="AV277" s="12"/>
      <c r="AW277" s="12"/>
      <c r="AX277" s="12"/>
      <c r="AY277" s="12"/>
      <c r="AZ277" s="12"/>
      <c r="BA277" s="12"/>
      <c r="BB277" s="12"/>
      <c r="BC277" s="12"/>
      <c r="BD277" s="13"/>
      <c r="GT277" s="25" t="str">
        <f t="shared" ref="GT277" si="1010">CONCATENATE("XT",U277)</f>
        <v>XT97</v>
      </c>
      <c r="GU277" s="12" t="str">
        <f t="shared" ref="GU277" si="1011">CONCATENATE("C",REPLACE(AF277,1,1,"")+1)</f>
        <v>C12</v>
      </c>
      <c r="GV277" s="12" t="str">
        <f t="shared" ref="GV277" si="1012">CONCATENATE("B",REPLACE(AG277,1,1,"")+1)</f>
        <v>B12</v>
      </c>
      <c r="GW277" s="12" t="str">
        <f t="shared" ref="GW277" si="1013">CONCATENATE("C",REPLACE(GU277,1,1,"")+1)</f>
        <v>C13</v>
      </c>
      <c r="GX277" s="12" t="str">
        <f t="shared" ref="GX277" si="1014">CONCATENATE("B",REPLACE(GV277,1,1,"")+1)</f>
        <v>B13</v>
      </c>
      <c r="GY277" s="12" t="str">
        <f t="shared" ref="GY277" si="1015">CONCATENATE("C",REPLACE(GW277,1,1,"")+1)</f>
        <v>C14</v>
      </c>
      <c r="GZ277" s="12" t="str">
        <f t="shared" ref="GZ277" si="1016">CONCATENATE("B",REPLACE(GX277,1,1,"")+1)</f>
        <v>B14</v>
      </c>
      <c r="HA277" s="12" t="str">
        <f t="shared" ref="HA277" si="1017">CONCATENATE("C",REPLACE(GY277,1,1,"")+1)</f>
        <v>C15</v>
      </c>
      <c r="HB277" s="12" t="str">
        <f t="shared" ref="HB277" si="1018">CONCATENATE("B",REPLACE(GZ277,1,1,"")+1)</f>
        <v>B15</v>
      </c>
      <c r="HC277" s="12"/>
      <c r="HD277" s="12"/>
      <c r="HE277" s="12" t="str">
        <f>CONCATENATE(REPLACE(AK277,LEN(AK277),1,"")+1,"A")</f>
        <v>7A</v>
      </c>
      <c r="HF277" s="12" t="str">
        <f>CONCATENATE(REPLACE(AL277,LEN(AL277),1,"")+1,"B")</f>
        <v>7B</v>
      </c>
      <c r="HG277" s="12" t="str">
        <f t="shared" ref="HG277" si="1019">CONCATENATE("AI",REPLACE($X277,1,3,""),"-",AA277)</f>
        <v>AI37-11A</v>
      </c>
      <c r="HH277" s="12" t="str">
        <f t="shared" ref="HH277" si="1020">CONCATENATE("AI",REPLACE($X277,1,3,""),"-",AB277)</f>
        <v>AI37-11B</v>
      </c>
      <c r="HI277" s="12" t="str">
        <f t="shared" ref="HI277" si="1021">CONCATENATE("DI",REPLACE($AC277,1,3,""),"-",AF277)</f>
        <v>DI16-C11</v>
      </c>
      <c r="HJ277" s="12" t="str">
        <f t="shared" ref="HJ277" si="1022">CONCATENATE("DI",REPLACE($AC277,1,3,""),"-",AG277)</f>
        <v>DI16-B11</v>
      </c>
      <c r="HK277" s="12" t="str">
        <f t="shared" ref="HK277" si="1023">CONCATENATE("DI",REPLACE($AC277,1,3,""),"-",GU277)</f>
        <v>DI16-C12</v>
      </c>
      <c r="HL277" s="12" t="str">
        <f t="shared" ref="HL277" si="1024">CONCATENATE("DI",REPLACE($AC277,1,3,""),"-",GV277)</f>
        <v>DI16-B12</v>
      </c>
      <c r="HM277" s="12" t="str">
        <f t="shared" ref="HM277" si="1025">CONCATENATE("DI",REPLACE($AC277,1,3,""),"-",GW277)</f>
        <v>DI16-C13</v>
      </c>
      <c r="HN277" s="12" t="str">
        <f t="shared" ref="HN277" si="1026">CONCATENATE("DI",REPLACE($AC277,1,3,""),"-",GX277)</f>
        <v>DI16-B13</v>
      </c>
      <c r="HO277" s="12" t="str">
        <f t="shared" ref="HO277" si="1027">CONCATENATE("DI",REPLACE($AC277,1,3,""),"-",GY277)</f>
        <v>DI16-C14</v>
      </c>
      <c r="HP277" s="12" t="str">
        <f t="shared" ref="HP277" si="1028">CONCATENATE("DI",REPLACE($AC277,1,3,""),"-",GZ277)</f>
        <v>DI16-B14</v>
      </c>
      <c r="HQ277" s="12" t="str">
        <f t="shared" ref="HQ277" si="1029">CONCATENATE("DI",REPLACE($AC277,1,3,""),"-",HA277)</f>
        <v>DI16-C15</v>
      </c>
      <c r="HR277" s="12" t="str">
        <f t="shared" ref="HR277" si="1030">CONCATENATE("DI",REPLACE($AC277,1,3,""),"-",HB277)</f>
        <v>DI16-B15</v>
      </c>
      <c r="HS277" s="12" t="str">
        <f t="shared" ref="HS277" si="1031">CONCATENATE("DI",REPLACE($AC277,1,3,""),"-",HC277)</f>
        <v>DI16-</v>
      </c>
      <c r="HT277" s="12" t="str">
        <f t="shared" ref="HT277" si="1032">CONCATENATE("DI",REPLACE($AC277,1,3,""),"-",HD277)</f>
        <v>DI16-</v>
      </c>
      <c r="HU277" s="12" t="str">
        <f t="shared" ref="HU277" si="1033">CONCATENATE("DO",REPLACE($AH277,1,3,""),"-",AK277)</f>
        <v>DO9-6A</v>
      </c>
      <c r="HV277" s="12" t="str">
        <f t="shared" ref="HV277" si="1034">CONCATENATE("DO",REPLACE($AH277,1,3,""),"-",AL277)</f>
        <v>DO9-6B</v>
      </c>
      <c r="HW277" s="12" t="str">
        <f t="shared" ref="HW277" si="1035">CONCATENATE("DO",REPLACE($AH277,1,3,""),"-",HE277)</f>
        <v>DO9-7A</v>
      </c>
      <c r="HX277" s="12" t="str">
        <f t="shared" ref="HX277" si="1036">CONCATENATE("DO",REPLACE($AH277,1,3,""),"-",HF277)</f>
        <v>DO9-7B</v>
      </c>
      <c r="HY277" s="12" t="str">
        <f t="shared" ref="HY277" si="1037">CONCATENATE("K",$U277,"-01")</f>
        <v>K97-01</v>
      </c>
      <c r="HZ277" s="12" t="str">
        <f t="shared" ref="HZ277" si="1038">CONCATENATE("K",$U277,"-02")</f>
        <v>K97-02</v>
      </c>
      <c r="IA277" s="12" t="str">
        <f t="shared" ref="IA277" si="1039">CONCATENATE("K",$U277,"-03")</f>
        <v>K97-03</v>
      </c>
      <c r="IB277" s="12" t="str">
        <f t="shared" ref="IB277" si="1040">CONCATENATE("K",$U277,"-04")</f>
        <v>K97-04</v>
      </c>
      <c r="IC277" s="12" t="str">
        <f t="shared" ref="IC277" si="1041">CONCATENATE("K",$U277,"-05")</f>
        <v>K97-05</v>
      </c>
      <c r="ID277" s="12" t="str">
        <f t="shared" ref="ID277" si="1042">CONCATENATE("K",$U277,"-06")</f>
        <v>K97-06</v>
      </c>
      <c r="IE277" s="12" t="str">
        <f t="shared" ref="IE277" si="1043">CONCATENATE("K",$U277,"-07")</f>
        <v>K97-07</v>
      </c>
      <c r="IF277" s="12" t="str">
        <f t="shared" ref="IF277" si="1044">CONCATENATE("K",$U277,"-08")</f>
        <v>K97-08</v>
      </c>
      <c r="IG277" s="12" t="str">
        <f t="shared" ref="IG277" si="1045">CONCATENATE($T277,"-M",$U277,"-AMS-12")</f>
        <v>F0-M97-AMS-12</v>
      </c>
      <c r="IH277" s="12" t="str">
        <f t="shared" ref="IH277" si="1046">CONCATENATE($T277,"-M",$U277,"-AMS-10")</f>
        <v>F0-M97-AMS-10</v>
      </c>
      <c r="II277" s="12" t="str">
        <f t="shared" ref="II277" si="1047">CONCATENATE($T277,"-M",$U277,"-AMS-11")</f>
        <v>F0-M97-AMS-11</v>
      </c>
      <c r="IJ277" s="12" t="str">
        <f t="shared" ref="IJ277" si="1048">CONCATENATE($T277,"-M",$U277,"-AMS-13")</f>
        <v>F0-M97-AMS-13</v>
      </c>
      <c r="IK277" s="12" t="str">
        <f t="shared" ref="IK277" si="1049">CONCATENATE($T277,"-M",$U277,"-AMS-9")</f>
        <v>F0-M97-AMS-9</v>
      </c>
      <c r="IL277" s="12" t="str">
        <f t="shared" ref="IL277" si="1050">CONCATENATE($T277,"-M",$U277,"-AMS-7")</f>
        <v>F0-M97-AMS-7</v>
      </c>
      <c r="IM277" s="12" t="str">
        <f t="shared" ref="IM277" si="1051">CONCATENATE($T277,"-M",$U277,"-AMS-18")</f>
        <v>F0-M97-AMS-18</v>
      </c>
      <c r="IN277" s="12" t="str">
        <f t="shared" ref="IN277" si="1052">CONCATENATE($T277,"-M",$U277,"-AMS-20")</f>
        <v>F0-M97-AMS-20</v>
      </c>
      <c r="IO277" s="12" t="str">
        <f t="shared" ref="IO277" si="1053">CONCATENATE($T277,"-M",$U277,"-AMS-17")</f>
        <v>F0-M97-AMS-17</v>
      </c>
      <c r="IP277" s="12" t="str">
        <f t="shared" ref="IP277" si="1054">CONCATENATE($T277,"-+24-M",$U277,)</f>
        <v>F0-+24-M97</v>
      </c>
      <c r="IQ277" s="12" t="str">
        <f t="shared" ref="IQ277" si="1055">CONCATENATE($T277,"-M",$U277,"-XM01")</f>
        <v>F0-M97-XM01</v>
      </c>
      <c r="IR277" s="12" t="s">
        <v>142</v>
      </c>
      <c r="IS277" s="12" t="s">
        <v>143</v>
      </c>
      <c r="IT277" s="12">
        <v>11</v>
      </c>
      <c r="IU277" s="12">
        <v>14</v>
      </c>
      <c r="IV277" s="12" t="s">
        <v>413</v>
      </c>
      <c r="IW277" s="12" t="s">
        <v>414</v>
      </c>
      <c r="IX277" s="12">
        <v>1</v>
      </c>
      <c r="IY277" s="12">
        <v>2</v>
      </c>
      <c r="IZ277" s="12">
        <v>3</v>
      </c>
      <c r="JA277" s="12">
        <v>4</v>
      </c>
      <c r="JB277" s="12">
        <v>5</v>
      </c>
      <c r="JC277" s="12">
        <v>6</v>
      </c>
      <c r="JD277" s="12">
        <v>7</v>
      </c>
      <c r="JE277" s="12">
        <v>8</v>
      </c>
      <c r="JF277" s="12">
        <v>9</v>
      </c>
      <c r="JG277" s="12">
        <v>10</v>
      </c>
      <c r="JH277" s="12">
        <v>11</v>
      </c>
      <c r="JI277" s="12">
        <v>12</v>
      </c>
      <c r="JJ277" s="12">
        <v>13</v>
      </c>
      <c r="JK277" s="12">
        <v>14</v>
      </c>
      <c r="JL277" s="12">
        <v>17</v>
      </c>
      <c r="JM277" s="12">
        <v>15</v>
      </c>
      <c r="JN277" s="12">
        <v>18</v>
      </c>
      <c r="JO277" s="12">
        <v>11</v>
      </c>
      <c r="JP277" s="12">
        <v>9</v>
      </c>
      <c r="JQ277" s="12">
        <v>6</v>
      </c>
      <c r="JR277" s="12">
        <v>20</v>
      </c>
      <c r="JS277" s="12">
        <v>7</v>
      </c>
      <c r="JT277" s="12">
        <v>10</v>
      </c>
      <c r="JU277" s="12">
        <v>22</v>
      </c>
      <c r="JV277" s="12">
        <v>23</v>
      </c>
      <c r="JW277" s="12">
        <v>26</v>
      </c>
      <c r="JX277" s="12">
        <v>27</v>
      </c>
      <c r="JY277" s="13">
        <v>30</v>
      </c>
    </row>
    <row r="278" spans="1:357" ht="15.75" thickBot="1" x14ac:dyDescent="0.3">
      <c r="A278" t="s">
        <v>1853</v>
      </c>
      <c r="B278" t="s">
        <v>1829</v>
      </c>
      <c r="C278" s="3" t="s">
        <v>1872</v>
      </c>
      <c r="O278" s="2"/>
      <c r="P278" t="s">
        <v>1784</v>
      </c>
      <c r="Q278" s="1"/>
      <c r="S278" s="1"/>
      <c r="T278" s="21" t="s">
        <v>554</v>
      </c>
      <c r="U278" s="50">
        <v>98</v>
      </c>
      <c r="V278" s="18" t="s">
        <v>3070</v>
      </c>
      <c r="W278" s="22"/>
      <c r="X278" s="23"/>
      <c r="Y278" s="23"/>
      <c r="Z278" s="23"/>
      <c r="AA278" s="23"/>
      <c r="AB278" s="23"/>
      <c r="AC278" t="str">
        <f t="shared" si="827"/>
        <v>A5.16</v>
      </c>
      <c r="AD278" s="43" cm="1">
        <f t="array" ref="AD278">IF(COUNTIFS(AC$2:AC278,AC278)=1,"1",VALUE(SUBSTITUTE(INDEX(AD:AD,_xlfn.XMATCH(AC278,AC$1:AC277,0,-1)),"A",""))+INDEX(AE:AE,_xlfn.XMATCH(AC278,AC$1:AC277,0,-1))+1)</f>
        <v>16</v>
      </c>
      <c r="AE278" s="43" cm="1">
        <f t="array" ref="AE278">SUM(IF(ISNUMBER(FIND("TmDi",$BE$1:$AAL$1)),IF(IFERROR(ISNUMBER(VALUE(SUBSTITUTE($BE278:$AAL278,"B",""))),FALSE),IF(ISNUMBER(VALUE(SUBSTITUTE($BE278:$AAL278,"B",""))),1,0),0)))</f>
        <v>4</v>
      </c>
      <c r="AF278" t="str">
        <f t="shared" si="702"/>
        <v>C16</v>
      </c>
      <c r="AG278" t="str">
        <f t="shared" si="703"/>
        <v>B16</v>
      </c>
      <c r="AH278" t="str">
        <f t="shared" si="704"/>
        <v>A6.9</v>
      </c>
      <c r="AI278" s="64" cm="1">
        <f t="array" ref="AI278">IF(COUNTIFS(AH$2:AH278,AH278)=1,"1",VALUE(SUBSTITUTE(INDEX(AI:AI,_xlfn.XMATCH(AH278,AH$1:AH277,0,-1)),"A",""))+INDEX(AJ:AJ,_xlfn.XMATCH(AH278,AH$1:AH277,0,-1))+1)</f>
        <v>8</v>
      </c>
      <c r="AJ278" s="64" cm="1">
        <f t="array" ref="AJ278">SUM(IF(ISNUMBER(FIND("TmDo",$BE$1:$AAL$1)),IF(IFERROR(ISNUMBER(VALUE(SUBSTITUTE($BE278:$AAL278,"B",""))),FALSE),IF(ISNUMBER(VALUE(SUBSTITUTE($BE278:$AAL278,"B",""))),1,0),0)))</f>
        <v>2</v>
      </c>
      <c r="AK278" s="11" t="str">
        <f t="shared" si="642"/>
        <v>8A</v>
      </c>
      <c r="AL278" s="11" t="str">
        <f t="shared" si="643"/>
        <v>8B</v>
      </c>
      <c r="AM278" s="23" t="s">
        <v>150</v>
      </c>
      <c r="AN278" s="23"/>
      <c r="AO278" s="23"/>
      <c r="AP278" s="23" t="s">
        <v>137</v>
      </c>
      <c r="AQ278" s="23" t="s">
        <v>1794</v>
      </c>
      <c r="AR278" s="23"/>
      <c r="AS278" s="23"/>
      <c r="AT278" s="23" t="s">
        <v>139</v>
      </c>
      <c r="AU278" s="23" t="s">
        <v>140</v>
      </c>
      <c r="AV278" s="23"/>
      <c r="AW278" s="23"/>
      <c r="AX278" s="23"/>
      <c r="AY278" s="12"/>
      <c r="AZ278" s="12"/>
      <c r="BA278" s="12"/>
      <c r="BB278" s="12"/>
      <c r="BC278" s="12"/>
      <c r="BD278" s="13"/>
      <c r="BE278" s="23" t="str">
        <f t="shared" ref="BE278" si="1056">CONCATENATE("XT",U278)</f>
        <v>XT98</v>
      </c>
      <c r="BF278" s="23" t="str">
        <f t="shared" ref="BF278" si="1057">CONCATENATE("C",REPLACE(AF278,1,1,"")+1)</f>
        <v>C17</v>
      </c>
      <c r="BG278" s="23" t="str">
        <f t="shared" ref="BG278" si="1058">CONCATENATE("B",REPLACE(AG278,1,1,"")+1)</f>
        <v>B17</v>
      </c>
      <c r="BH278" s="23" t="str">
        <f t="shared" ref="BH278" si="1059">CONCATENATE("C",REPLACE(BF278,1,1,"")+1)</f>
        <v>C18</v>
      </c>
      <c r="BI278" s="23" t="str">
        <f t="shared" ref="BI278" si="1060">CONCATENATE("B",REPLACE(BG278,1,1,"")+1)</f>
        <v>B18</v>
      </c>
      <c r="BJ278" s="23" t="str">
        <f t="shared" ref="BJ278" si="1061">CONCATENATE("C",REPLACE(BH278,1,1,"")+1)</f>
        <v>C19</v>
      </c>
      <c r="BK278" s="23" t="str">
        <f t="shared" ref="BK278" si="1062">CONCATENATE("B",REPLACE(BI278,1,1,"")+1)</f>
        <v>B19</v>
      </c>
      <c r="BL278" s="23" t="str">
        <f t="shared" ref="BL278" si="1063">CONCATENATE("C",REPLACE(BJ278,1,1,"")+1)</f>
        <v>C20</v>
      </c>
      <c r="BM278" s="23" t="str">
        <f t="shared" ref="BM278" si="1064">CONCATENATE("B",REPLACE(BK278,1,1,"")+1)</f>
        <v>B20</v>
      </c>
      <c r="BN278" s="23"/>
      <c r="BO278" s="23"/>
      <c r="BP278" s="23" t="str">
        <f>CONCATENATE(REPLACE(AK278,LEN(AK278),1,"")+1,"A")</f>
        <v>9A</v>
      </c>
      <c r="BQ278" s="23" t="str">
        <f>CONCATENATE(REPLACE(AL278,LEN(AL278),1,"")+1,"B")</f>
        <v>9B</v>
      </c>
      <c r="BR278" s="23" t="str">
        <f>CONCATENATE(REPLACE(BP278,LEN(BP278),1,"")+1,"A")</f>
        <v>10A</v>
      </c>
      <c r="BS278" s="23" t="str">
        <f>CONCATENATE(REPLACE(BQ278,LEN(BQ278),1,"")+1,"B")</f>
        <v>10B</v>
      </c>
      <c r="BT278" s="23" t="str">
        <f t="shared" ref="BT278" si="1065">CONCATENATE("DI",REPLACE($AC278,1,3,""),"-",AF278)</f>
        <v>DI16-C16</v>
      </c>
      <c r="BU278" s="23" t="str">
        <f t="shared" ref="BU278" si="1066">CONCATENATE("DI",REPLACE($AC278,1,3,""),"-",AG278)</f>
        <v>DI16-B16</v>
      </c>
      <c r="BV278" s="23" t="str">
        <f t="shared" ref="BV278" si="1067">CONCATENATE("DI",REPLACE($AC278,1,3,""),"-",BF278)</f>
        <v>DI16-C17</v>
      </c>
      <c r="BW278" s="23" t="str">
        <f t="shared" ref="BW278" si="1068">CONCATENATE("DI",REPLACE($AC278,1,3,""),"-",BG278)</f>
        <v>DI16-B17</v>
      </c>
      <c r="BX278" s="23" t="str">
        <f t="shared" ref="BX278" si="1069">CONCATENATE("DI",REPLACE($AC278,1,3,""),"-",BH278)</f>
        <v>DI16-C18</v>
      </c>
      <c r="BY278" s="23" t="str">
        <f t="shared" ref="BY278" si="1070">CONCATENATE("DI",REPLACE($AC278,1,3,""),"-",BI278)</f>
        <v>DI16-B18</v>
      </c>
      <c r="BZ278" s="23" t="str">
        <f t="shared" ref="BZ278" si="1071">CONCATENATE("DI",REPLACE($AC278,1,3,""),"-",BJ278)</f>
        <v>DI16-C19</v>
      </c>
      <c r="CA278" s="23" t="str">
        <f t="shared" ref="CA278" si="1072">CONCATENATE("DI",REPLACE($AC278,1,3,""),"-",BK278)</f>
        <v>DI16-B19</v>
      </c>
      <c r="CB278" s="23" t="str">
        <f t="shared" ref="CB278" si="1073">CONCATENATE("DI",REPLACE($AC278,1,3,""),"-",BL278)</f>
        <v>DI16-C20</v>
      </c>
      <c r="CC278" s="23" t="str">
        <f t="shared" ref="CC278" si="1074">CONCATENATE("DI",REPLACE($AC278,1,3,""),"-",BM278)</f>
        <v>DI16-B20</v>
      </c>
      <c r="CD278" s="23" t="str">
        <f t="shared" ref="CD278" si="1075">CONCATENATE("DI",REPLACE($AC278,1,3,""),"-",BN278)</f>
        <v>DI16-</v>
      </c>
      <c r="CE278" s="23" t="str">
        <f t="shared" ref="CE278" si="1076">CONCATENATE("DI",REPLACE($AC278,1,3,""),"-",BO278)</f>
        <v>DI16-</v>
      </c>
      <c r="CF278" s="23" t="str">
        <f t="shared" ref="CF278" si="1077">CONCATENATE("DO",REPLACE($AH278,1,3,""),"-",AK278)</f>
        <v>DO9-8A</v>
      </c>
      <c r="CG278" s="23" t="str">
        <f t="shared" ref="CG278" si="1078">CONCATENATE("DO",REPLACE($AH278,1,3,""),"-",AL278)</f>
        <v>DO9-8B</v>
      </c>
      <c r="CH278" s="23" t="str">
        <f t="shared" ref="CH278" si="1079">CONCATENATE("DO",REPLACE($AH278,1,3,""),"-",BP278)</f>
        <v>DO9-9A</v>
      </c>
      <c r="CI278" s="23" t="str">
        <f t="shared" ref="CI278" si="1080">CONCATENATE("DO",REPLACE($AH278,1,3,""),"-",BQ278)</f>
        <v>DO9-9B</v>
      </c>
      <c r="CJ278" s="23" t="str">
        <f t="shared" ref="CJ278" si="1081">CONCATENATE("DO",REPLACE($AH278,1,3,""),"-",BR278)</f>
        <v>DO9-10A</v>
      </c>
      <c r="CK278" s="23" t="str">
        <f t="shared" ref="CK278" si="1082">CONCATENATE("DO",REPLACE($AH278,1,3,""),"-",BS278)</f>
        <v>DO9-10B</v>
      </c>
      <c r="CL278" s="23" t="str">
        <f t="shared" si="678"/>
        <v>K98-10</v>
      </c>
      <c r="CM278" s="23" t="str">
        <f t="shared" si="679"/>
        <v>K98-03</v>
      </c>
      <c r="CN278" s="23" t="str">
        <f t="shared" si="680"/>
        <v>K98-04</v>
      </c>
      <c r="CO278" s="23" t="str">
        <f t="shared" si="681"/>
        <v>K98-01</v>
      </c>
      <c r="CP278" s="23" t="str">
        <f t="shared" si="682"/>
        <v>K98-08</v>
      </c>
      <c r="CQ278" s="23" t="str">
        <f t="shared" si="683"/>
        <v>K98-02</v>
      </c>
      <c r="CR278" s="23" t="str">
        <f t="shared" si="684"/>
        <v>K98-09</v>
      </c>
      <c r="CS278" s="23" t="str">
        <f t="shared" si="685"/>
        <v>K98-05</v>
      </c>
      <c r="CT278" s="23" t="str">
        <f t="shared" si="686"/>
        <v>K98-11</v>
      </c>
      <c r="CU278" s="23" t="str">
        <f t="shared" si="687"/>
        <v>F0-M98-A9</v>
      </c>
      <c r="CV278" s="23" t="str">
        <f t="shared" si="688"/>
        <v>F0-M98-A7</v>
      </c>
      <c r="CW278" s="23" t="str">
        <f t="shared" si="689"/>
        <v>F0-M98-A8</v>
      </c>
      <c r="CX278" s="23" t="str">
        <f t="shared" si="690"/>
        <v>F0-M98-A6</v>
      </c>
      <c r="CY278" s="23" t="str">
        <f t="shared" si="691"/>
        <v>F0-M98-A30</v>
      </c>
      <c r="CZ278" s="23" t="str">
        <f t="shared" si="692"/>
        <v>F0-M98-N</v>
      </c>
      <c r="DA278" s="23" t="str">
        <f t="shared" ref="DA278" si="1083">CONCATENATE($T278,"-A220-M",U278)</f>
        <v>F0-A220-M98</v>
      </c>
      <c r="DB278" s="23" t="str">
        <f t="shared" si="693"/>
        <v>F0-M98-XM01</v>
      </c>
      <c r="DC278" s="23" t="str">
        <f t="shared" si="694"/>
        <v>F0-M98-A1</v>
      </c>
      <c r="DD278" s="23" t="str">
        <f t="shared" si="695"/>
        <v>F0-M98-A5</v>
      </c>
      <c r="DE278" s="23" t="str">
        <f t="shared" si="696"/>
        <v>F0-M98-A11</v>
      </c>
      <c r="DF278" s="23" t="str">
        <f t="shared" si="697"/>
        <v>F0-M98-A12</v>
      </c>
      <c r="DG278" s="23" t="str">
        <f t="shared" si="698"/>
        <v>F0-M98-A19</v>
      </c>
      <c r="DH278" s="23" t="str">
        <f t="shared" si="699"/>
        <v>F0-M98-A20</v>
      </c>
      <c r="DI278" s="23" t="s">
        <v>142</v>
      </c>
      <c r="DJ278" s="23" t="s">
        <v>143</v>
      </c>
      <c r="DK278" s="23">
        <v>11</v>
      </c>
      <c r="DL278" s="23">
        <v>14</v>
      </c>
      <c r="DM278" s="23">
        <v>12</v>
      </c>
      <c r="DN278" s="23" t="s">
        <v>144</v>
      </c>
      <c r="DO278" s="23" t="s">
        <v>1831</v>
      </c>
      <c r="DP278" s="23">
        <v>1</v>
      </c>
      <c r="DQ278" s="23">
        <v>2</v>
      </c>
      <c r="DR278" s="23">
        <v>3</v>
      </c>
      <c r="DS278" s="23">
        <v>4</v>
      </c>
      <c r="DT278" s="23">
        <v>5</v>
      </c>
      <c r="DU278" s="23">
        <v>6</v>
      </c>
      <c r="DV278" s="23">
        <v>7</v>
      </c>
      <c r="DW278" s="23">
        <v>8</v>
      </c>
      <c r="DX278" s="23">
        <v>9</v>
      </c>
      <c r="DY278" s="23">
        <v>10</v>
      </c>
      <c r="DZ278" s="23">
        <v>11</v>
      </c>
      <c r="EA278" s="23">
        <v>12</v>
      </c>
      <c r="EB278" s="23">
        <v>13</v>
      </c>
      <c r="EC278" s="23">
        <v>14</v>
      </c>
      <c r="ED278" s="23">
        <v>1</v>
      </c>
      <c r="EE278" s="23">
        <v>3</v>
      </c>
      <c r="EF278" s="23">
        <v>4</v>
      </c>
      <c r="EG278" s="23">
        <v>7</v>
      </c>
      <c r="EH278" s="23">
        <v>8</v>
      </c>
      <c r="EI278" s="23">
        <v>9</v>
      </c>
      <c r="EJ278" s="23">
        <v>10</v>
      </c>
      <c r="EK278" s="23">
        <v>13</v>
      </c>
      <c r="EL278" s="23">
        <v>14</v>
      </c>
      <c r="EM278" s="23">
        <v>15</v>
      </c>
      <c r="EN278" s="23">
        <v>16</v>
      </c>
      <c r="EO278" s="23">
        <v>22</v>
      </c>
      <c r="EP278" s="23">
        <v>23</v>
      </c>
      <c r="EQ278" s="24">
        <v>24</v>
      </c>
    </row>
    <row r="279" spans="1:357" ht="15.75" thickBot="1" x14ac:dyDescent="0.3">
      <c r="A279" t="s">
        <v>1854</v>
      </c>
      <c r="B279" t="s">
        <v>1832</v>
      </c>
      <c r="C279" t="s">
        <v>1871</v>
      </c>
      <c r="P279" t="s">
        <v>1785</v>
      </c>
      <c r="T279" s="10" t="s">
        <v>554</v>
      </c>
      <c r="U279" s="49">
        <v>99</v>
      </c>
      <c r="V279" s="11" t="s">
        <v>3071</v>
      </c>
      <c r="W279" s="11" t="s">
        <v>3072</v>
      </c>
      <c r="X279" t="str" cm="1">
        <f t="array" ref="X279">IF(COUNTIF(X$1:X278,INDEX(X$1:X278,MAX(IF(X$1:X278&lt;&gt;"",ROW(X$1:X278)))))&gt;7,REPLACE(INDEX(X$1:X278,MAX(IF(X$1:X278&lt;&gt;"",ROW(X$1:X278)))),LEN(INDEX(X$1:X278,MAX(IF(X$1:X278&lt;&gt;"",ROW(X$1:X278))))),1,VALUE(RIGHT(INDEX(X$1:X278,MAX(IF(X$1:X278&lt;&gt;"",ROW(X$1:X278)))),1))+1),INDEX(X$1:X278,MAX(IF(X$1:X278&lt;&gt;"",ROW(X$1:X278)))))</f>
        <v>А3.37</v>
      </c>
      <c r="Y279" s="43" cm="1">
        <f t="array" ref="Y279">IF(COUNTIFS(X$2:X279,X279)=1,"1",VALUE(SUBSTITUTE(INDEX(Y:Y,_xlfn.XMATCH(X279,X$1:X278,0,-1)),"A",""))+INDEX(Z:Z,_xlfn.XMATCH(X279,X$1:X278,0,-1))+1)</f>
        <v>7</v>
      </c>
      <c r="Z279" s="43" cm="1">
        <f t="array" ref="Z279">SUM(IF(ISNUMBER(FIND("TmAi",$BE$1:$AAL$1)),IF(IFERROR(ISODD(SUBSTITUTE($BE279:$AAL279,"A","")),FALSE),IF(ISODD(SUBSTITUTE($BE279:$AAL279,"A","")),1,0),0)))</f>
        <v>0</v>
      </c>
      <c r="AA279" t="str">
        <f t="shared" ref="AA279" si="1084">CONCATENATE($Y279*2-1,"A")</f>
        <v>13A</v>
      </c>
      <c r="AB279" t="str">
        <f t="shared" ref="AB279" si="1085">CONCATENATE($Y279*2-1,"B")</f>
        <v>13B</v>
      </c>
      <c r="AC279" t="s">
        <v>1816</v>
      </c>
      <c r="AD279" s="43" t="str" cm="1">
        <f t="array" ref="AD279">IF(COUNTIFS(AC$2:AC279,AC279)=1,"1",VALUE(SUBSTITUTE(INDEX(AD:AD,_xlfn.XMATCH(AC279,AC$1:AC278,0,-1)),"A",""))+INDEX(AE:AE,_xlfn.XMATCH(AC279,AC$1:AC278,0,-1))+1)</f>
        <v>1</v>
      </c>
      <c r="AE279" s="43" cm="1">
        <f t="array" ref="AE279">SUM(IF(ISNUMBER(FIND("TmDi",$BE$1:$AAL$1)),IF(IFERROR(ISNUMBER(VALUE(SUBSTITUTE($BE279:$AAL279,"B",""))),FALSE),IF(ISNUMBER(VALUE(SUBSTITUTE($BE279:$AAL279,"B",""))),1,0),0)))</f>
        <v>4</v>
      </c>
      <c r="AF279" t="str">
        <f t="shared" si="702"/>
        <v>C1</v>
      </c>
      <c r="AG279" t="str">
        <f t="shared" si="703"/>
        <v>B1</v>
      </c>
      <c r="AH279" t="str">
        <f t="shared" si="704"/>
        <v>A6.9</v>
      </c>
      <c r="AI279" s="64" cm="1">
        <f t="array" ref="AI279">IF(COUNTIFS(AH$2:AH279,AH279)=1,"1",VALUE(SUBSTITUTE(INDEX(AI:AI,_xlfn.XMATCH(AH279,AH$1:AH278,0,-1)),"A",""))+INDEX(AJ:AJ,_xlfn.XMATCH(AH279,AH$1:AH278,0,-1))+1)</f>
        <v>11</v>
      </c>
      <c r="AJ279" s="64" cm="1">
        <f t="array" ref="AJ279">SUM(IF(ISNUMBER(FIND("TmDo",$BE$1:$AAL$1)),IF(IFERROR(ISNUMBER(VALUE(SUBSTITUTE($BE279:$AAL279,"B",""))),FALSE),IF(ISNUMBER(VALUE(SUBSTITUTE($BE279:$AAL279,"B",""))),1,0),0)))</f>
        <v>1</v>
      </c>
      <c r="AK279" s="11" t="str">
        <f t="shared" si="642"/>
        <v>11A</v>
      </c>
      <c r="AL279" s="11" t="str">
        <f t="shared" si="643"/>
        <v>11B</v>
      </c>
      <c r="AM279" s="12" t="s">
        <v>161</v>
      </c>
      <c r="AN279" s="12"/>
      <c r="AO279" s="12"/>
      <c r="AP279" s="12" t="s">
        <v>137</v>
      </c>
      <c r="AQ279" s="12" t="s">
        <v>1794</v>
      </c>
      <c r="AR279" s="12"/>
      <c r="AS279" s="12" t="s">
        <v>396</v>
      </c>
      <c r="AT279" s="12" t="s">
        <v>139</v>
      </c>
      <c r="AU279" s="12" t="s">
        <v>140</v>
      </c>
      <c r="AV279" s="12"/>
      <c r="AW279" s="12"/>
      <c r="AX279" s="12"/>
      <c r="AY279" s="12"/>
      <c r="AZ279" s="12"/>
      <c r="BA279" s="12"/>
      <c r="BB279" s="12"/>
      <c r="BC279" s="12"/>
      <c r="BD279" s="13"/>
      <c r="GT279" s="25" t="str">
        <f t="shared" ref="GT279" si="1086">CONCATENATE("XT",U279)</f>
        <v>XT99</v>
      </c>
      <c r="GU279" s="12" t="str">
        <f t="shared" ref="GU279" si="1087">CONCATENATE("C",REPLACE(AF279,1,1,"")+1)</f>
        <v>C2</v>
      </c>
      <c r="GV279" s="12" t="str">
        <f t="shared" ref="GV279" si="1088">CONCATENATE("B",REPLACE(AG279,1,1,"")+1)</f>
        <v>B2</v>
      </c>
      <c r="GW279" s="12" t="str">
        <f t="shared" ref="GW279" si="1089">CONCATENATE("C",REPLACE(GU279,1,1,"")+1)</f>
        <v>C3</v>
      </c>
      <c r="GX279" s="12" t="str">
        <f t="shared" ref="GX279" si="1090">CONCATENATE("B",REPLACE(GV279,1,1,"")+1)</f>
        <v>B3</v>
      </c>
      <c r="GY279" s="12" t="str">
        <f t="shared" ref="GY279" si="1091">CONCATENATE("C",REPLACE(GW279,1,1,"")+1)</f>
        <v>C4</v>
      </c>
      <c r="GZ279" s="12" t="str">
        <f t="shared" ref="GZ279" si="1092">CONCATENATE("B",REPLACE(GX279,1,1,"")+1)</f>
        <v>B4</v>
      </c>
      <c r="HA279" s="12" t="str">
        <f t="shared" ref="HA279" si="1093">CONCATENATE("C",REPLACE(GY279,1,1,"")+1)</f>
        <v>C5</v>
      </c>
      <c r="HB279" s="12" t="str">
        <f t="shared" ref="HB279" si="1094">CONCATENATE("B",REPLACE(GZ279,1,1,"")+1)</f>
        <v>B5</v>
      </c>
      <c r="HC279" s="12"/>
      <c r="HD279" s="12"/>
      <c r="HE279" s="12" t="str">
        <f>CONCATENATE(REPLACE(AK279,LEN(AK279),1,"")+1,"A")</f>
        <v>12A</v>
      </c>
      <c r="HF279" s="12" t="str">
        <f>CONCATENATE(REPLACE(AL279,LEN(AL279),1,"")+1,"B")</f>
        <v>12B</v>
      </c>
      <c r="HG279" s="12" t="str">
        <f t="shared" ref="HG279" si="1095">CONCATENATE("AI",REPLACE($X279,1,3,""),"-",AA279)</f>
        <v>AI37-13A</v>
      </c>
      <c r="HH279" s="12" t="str">
        <f t="shared" ref="HH279" si="1096">CONCATENATE("AI",REPLACE($X279,1,3,""),"-",AB279)</f>
        <v>AI37-13B</v>
      </c>
      <c r="HI279" s="12" t="str">
        <f t="shared" ref="HI279" si="1097">CONCATENATE("DI",REPLACE($AC279,1,3,""),"-",AF279)</f>
        <v>DI17-C1</v>
      </c>
      <c r="HJ279" s="12" t="str">
        <f t="shared" ref="HJ279" si="1098">CONCATENATE("DI",REPLACE($AC279,1,3,""),"-",AG279)</f>
        <v>DI17-B1</v>
      </c>
      <c r="HK279" s="12" t="str">
        <f t="shared" ref="HK279" si="1099">CONCATENATE("DI",REPLACE($AC279,1,3,""),"-",GU279)</f>
        <v>DI17-C2</v>
      </c>
      <c r="HL279" s="12" t="str">
        <f t="shared" ref="HL279" si="1100">CONCATENATE("DI",REPLACE($AC279,1,3,""),"-",GV279)</f>
        <v>DI17-B2</v>
      </c>
      <c r="HM279" s="12" t="str">
        <f t="shared" ref="HM279" si="1101">CONCATENATE("DI",REPLACE($AC279,1,3,""),"-",GW279)</f>
        <v>DI17-C3</v>
      </c>
      <c r="HN279" s="12" t="str">
        <f t="shared" ref="HN279" si="1102">CONCATENATE("DI",REPLACE($AC279,1,3,""),"-",GX279)</f>
        <v>DI17-B3</v>
      </c>
      <c r="HO279" s="12" t="str">
        <f t="shared" ref="HO279" si="1103">CONCATENATE("DI",REPLACE($AC279,1,3,""),"-",GY279)</f>
        <v>DI17-C4</v>
      </c>
      <c r="HP279" s="12" t="str">
        <f t="shared" ref="HP279" si="1104">CONCATENATE("DI",REPLACE($AC279,1,3,""),"-",GZ279)</f>
        <v>DI17-B4</v>
      </c>
      <c r="HQ279" s="12" t="str">
        <f t="shared" ref="HQ279" si="1105">CONCATENATE("DI",REPLACE($AC279,1,3,""),"-",HA279)</f>
        <v>DI17-C5</v>
      </c>
      <c r="HR279" s="12" t="str">
        <f t="shared" ref="HR279" si="1106">CONCATENATE("DI",REPLACE($AC279,1,3,""),"-",HB279)</f>
        <v>DI17-B5</v>
      </c>
      <c r="HS279" s="12" t="str">
        <f t="shared" ref="HS279" si="1107">CONCATENATE("DI",REPLACE($AC279,1,3,""),"-",HC279)</f>
        <v>DI17-</v>
      </c>
      <c r="HT279" s="12" t="str">
        <f t="shared" ref="HT279" si="1108">CONCATENATE("DI",REPLACE($AC279,1,3,""),"-",HD279)</f>
        <v>DI17-</v>
      </c>
      <c r="HU279" s="12" t="str">
        <f t="shared" ref="HU279" si="1109">CONCATENATE("DO",REPLACE($AH279,1,3,""),"-",AK279)</f>
        <v>DO9-11A</v>
      </c>
      <c r="HV279" s="12" t="str">
        <f t="shared" ref="HV279" si="1110">CONCATENATE("DO",REPLACE($AH279,1,3,""),"-",AL279)</f>
        <v>DO9-11B</v>
      </c>
      <c r="HW279" s="12" t="str">
        <f t="shared" ref="HW279" si="1111">CONCATENATE("DO",REPLACE($AH279,1,3,""),"-",HE279)</f>
        <v>DO9-12A</v>
      </c>
      <c r="HX279" s="12" t="str">
        <f t="shared" ref="HX279" si="1112">CONCATENATE("DO",REPLACE($AH279,1,3,""),"-",HF279)</f>
        <v>DO9-12B</v>
      </c>
      <c r="HY279" s="12" t="str">
        <f t="shared" ref="HY279" si="1113">CONCATENATE("K",$U279,"-01")</f>
        <v>K99-01</v>
      </c>
      <c r="HZ279" s="12" t="str">
        <f t="shared" ref="HZ279" si="1114">CONCATENATE("K",$U279,"-02")</f>
        <v>K99-02</v>
      </c>
      <c r="IA279" s="12" t="str">
        <f t="shared" ref="IA279" si="1115">CONCATENATE("K",$U279,"-03")</f>
        <v>K99-03</v>
      </c>
      <c r="IB279" s="12" t="str">
        <f t="shared" ref="IB279" si="1116">CONCATENATE("K",$U279,"-04")</f>
        <v>K99-04</v>
      </c>
      <c r="IC279" s="12" t="str">
        <f t="shared" ref="IC279" si="1117">CONCATENATE("K",$U279,"-05")</f>
        <v>K99-05</v>
      </c>
      <c r="ID279" s="12" t="str">
        <f t="shared" ref="ID279" si="1118">CONCATENATE("K",$U279,"-06")</f>
        <v>K99-06</v>
      </c>
      <c r="IE279" s="12" t="str">
        <f t="shared" ref="IE279" si="1119">CONCATENATE("K",$U279,"-07")</f>
        <v>K99-07</v>
      </c>
      <c r="IF279" s="12" t="str">
        <f t="shared" ref="IF279" si="1120">CONCATENATE("K",$U279,"-08")</f>
        <v>K99-08</v>
      </c>
      <c r="IG279" s="12" t="str">
        <f t="shared" ref="IG279" si="1121">CONCATENATE($T279,"-M",$U279,"-AMS-12")</f>
        <v>F0-M99-AMS-12</v>
      </c>
      <c r="IH279" s="12" t="str">
        <f t="shared" ref="IH279" si="1122">CONCATENATE($T279,"-M",$U279,"-AMS-10")</f>
        <v>F0-M99-AMS-10</v>
      </c>
      <c r="II279" s="12" t="str">
        <f t="shared" ref="II279" si="1123">CONCATENATE($T279,"-M",$U279,"-AMS-11")</f>
        <v>F0-M99-AMS-11</v>
      </c>
      <c r="IJ279" s="12" t="str">
        <f t="shared" ref="IJ279" si="1124">CONCATENATE($T279,"-M",$U279,"-AMS-13")</f>
        <v>F0-M99-AMS-13</v>
      </c>
      <c r="IK279" s="12" t="str">
        <f t="shared" ref="IK279" si="1125">CONCATENATE($T279,"-M",$U279,"-AMS-9")</f>
        <v>F0-M99-AMS-9</v>
      </c>
      <c r="IL279" s="12" t="str">
        <f t="shared" ref="IL279" si="1126">CONCATENATE($T279,"-M",$U279,"-AMS-7")</f>
        <v>F0-M99-AMS-7</v>
      </c>
      <c r="IM279" s="12" t="str">
        <f t="shared" ref="IM279" si="1127">CONCATENATE($T279,"-M",$U279,"-AMS-18")</f>
        <v>F0-M99-AMS-18</v>
      </c>
      <c r="IN279" s="12" t="str">
        <f t="shared" ref="IN279" si="1128">CONCATENATE($T279,"-M",$U279,"-AMS-20")</f>
        <v>F0-M99-AMS-20</v>
      </c>
      <c r="IO279" s="12" t="str">
        <f t="shared" ref="IO279" si="1129">CONCATENATE($T279,"-M",$U279,"-AMS-17")</f>
        <v>F0-M99-AMS-17</v>
      </c>
      <c r="IP279" s="12" t="str">
        <f t="shared" ref="IP279" si="1130">CONCATENATE($T279,"-+24-M",$U279,)</f>
        <v>F0-+24-M99</v>
      </c>
      <c r="IQ279" s="12" t="str">
        <f t="shared" ref="IQ279" si="1131">CONCATENATE($T279,"-M",$U279,"-XM01")</f>
        <v>F0-M99-XM01</v>
      </c>
      <c r="IR279" s="12" t="s">
        <v>142</v>
      </c>
      <c r="IS279" s="12" t="s">
        <v>143</v>
      </c>
      <c r="IT279" s="12">
        <v>11</v>
      </c>
      <c r="IU279" s="12">
        <v>14</v>
      </c>
      <c r="IV279" s="12" t="s">
        <v>413</v>
      </c>
      <c r="IW279" s="12" t="s">
        <v>414</v>
      </c>
      <c r="IX279" s="12">
        <v>1</v>
      </c>
      <c r="IY279" s="12">
        <v>2</v>
      </c>
      <c r="IZ279" s="12">
        <v>3</v>
      </c>
      <c r="JA279" s="12">
        <v>4</v>
      </c>
      <c r="JB279" s="12">
        <v>5</v>
      </c>
      <c r="JC279" s="12">
        <v>6</v>
      </c>
      <c r="JD279" s="12">
        <v>7</v>
      </c>
      <c r="JE279" s="12">
        <v>8</v>
      </c>
      <c r="JF279" s="12">
        <v>9</v>
      </c>
      <c r="JG279" s="12">
        <v>10</v>
      </c>
      <c r="JH279" s="12">
        <v>11</v>
      </c>
      <c r="JI279" s="12">
        <v>12</v>
      </c>
      <c r="JJ279" s="12">
        <v>13</v>
      </c>
      <c r="JK279" s="12">
        <v>14</v>
      </c>
      <c r="JL279" s="12">
        <v>17</v>
      </c>
      <c r="JM279" s="12">
        <v>15</v>
      </c>
      <c r="JN279" s="12">
        <v>18</v>
      </c>
      <c r="JO279" s="12">
        <v>11</v>
      </c>
      <c r="JP279" s="12">
        <v>9</v>
      </c>
      <c r="JQ279" s="12">
        <v>6</v>
      </c>
      <c r="JR279" s="12">
        <v>20</v>
      </c>
      <c r="JS279" s="12">
        <v>7</v>
      </c>
      <c r="JT279" s="12">
        <v>10</v>
      </c>
      <c r="JU279" s="12">
        <v>22</v>
      </c>
      <c r="JV279" s="12">
        <v>23</v>
      </c>
      <c r="JW279" s="12">
        <v>26</v>
      </c>
      <c r="JX279" s="12">
        <v>27</v>
      </c>
      <c r="JY279" s="13">
        <v>30</v>
      </c>
    </row>
    <row r="280" spans="1:357" ht="15.75" thickBot="1" x14ac:dyDescent="0.3">
      <c r="A280" t="s">
        <v>1855</v>
      </c>
      <c r="B280" t="s">
        <v>1835</v>
      </c>
      <c r="C280" s="3" t="s">
        <v>1872</v>
      </c>
      <c r="O280" s="2"/>
      <c r="P280" t="s">
        <v>1784</v>
      </c>
      <c r="Q280" s="1"/>
      <c r="S280" s="1"/>
      <c r="T280" s="21" t="s">
        <v>554</v>
      </c>
      <c r="U280" s="50">
        <v>100</v>
      </c>
      <c r="V280" s="18" t="s">
        <v>3073</v>
      </c>
      <c r="W280" s="22"/>
      <c r="X280" s="23"/>
      <c r="Y280" s="23"/>
      <c r="Z280" s="23"/>
      <c r="AA280" s="23"/>
      <c r="AB280" s="23"/>
      <c r="AC280" t="str">
        <f t="shared" si="827"/>
        <v>A5.17</v>
      </c>
      <c r="AD280" s="43" cm="1">
        <f t="array" ref="AD280">IF(COUNTIFS(AC$2:AC280,AC280)=1,"1",VALUE(SUBSTITUTE(INDEX(AD:AD,_xlfn.XMATCH(AC280,AC$1:AC279,0,-1)),"A",""))+INDEX(AE:AE,_xlfn.XMATCH(AC280,AC$1:AC279,0,-1))+1)</f>
        <v>6</v>
      </c>
      <c r="AE280" s="43" cm="1">
        <f t="array" ref="AE280">SUM(IF(ISNUMBER(FIND("TmDi",$BE$1:$AAL$1)),IF(IFERROR(ISNUMBER(VALUE(SUBSTITUTE($BE280:$AAL280,"B",""))),FALSE),IF(ISNUMBER(VALUE(SUBSTITUTE($BE280:$AAL280,"B",""))),1,0),0)))</f>
        <v>4</v>
      </c>
      <c r="AF280" t="str">
        <f t="shared" si="702"/>
        <v>C6</v>
      </c>
      <c r="AG280" t="str">
        <f t="shared" si="703"/>
        <v>B6</v>
      </c>
      <c r="AH280" t="str">
        <f t="shared" si="704"/>
        <v>A6.9</v>
      </c>
      <c r="AI280" s="64" cm="1">
        <f t="array" ref="AI280">IF(COUNTIFS(AH$2:AH280,AH280)=1,"1",VALUE(SUBSTITUTE(INDEX(AI:AI,_xlfn.XMATCH(AH280,AH$1:AH279,0,-1)),"A",""))+INDEX(AJ:AJ,_xlfn.XMATCH(AH280,AH$1:AH279,0,-1))+1)</f>
        <v>13</v>
      </c>
      <c r="AJ280" s="64" cm="1">
        <f t="array" ref="AJ280">SUM(IF(ISNUMBER(FIND("TmDo",$BE$1:$AAL$1)),IF(IFERROR(ISNUMBER(VALUE(SUBSTITUTE($BE280:$AAL280,"B",""))),FALSE),IF(ISNUMBER(VALUE(SUBSTITUTE($BE280:$AAL280,"B",""))),1,0),0)))</f>
        <v>2</v>
      </c>
      <c r="AK280" s="11" t="str">
        <f t="shared" si="642"/>
        <v>13A</v>
      </c>
      <c r="AL280" s="11" t="str">
        <f t="shared" si="643"/>
        <v>13B</v>
      </c>
      <c r="AM280" s="23" t="s">
        <v>150</v>
      </c>
      <c r="AN280" s="23"/>
      <c r="AO280" s="23"/>
      <c r="AP280" s="23" t="s">
        <v>137</v>
      </c>
      <c r="AQ280" s="23" t="s">
        <v>1794</v>
      </c>
      <c r="AR280" s="23"/>
      <c r="AS280" s="23"/>
      <c r="AT280" s="23" t="s">
        <v>139</v>
      </c>
      <c r="AU280" s="23" t="s">
        <v>140</v>
      </c>
      <c r="AV280" s="23"/>
      <c r="AW280" s="23"/>
      <c r="AX280" s="23"/>
      <c r="AY280" s="12"/>
      <c r="AZ280" s="12"/>
      <c r="BA280" s="12"/>
      <c r="BB280" s="12"/>
      <c r="BC280" s="12"/>
      <c r="BD280" s="13"/>
      <c r="BE280" s="23" t="str">
        <f t="shared" ref="BE280" si="1132">CONCATENATE("XT",U280)</f>
        <v>XT100</v>
      </c>
      <c r="BF280" s="23" t="str">
        <f t="shared" ref="BF280" si="1133">CONCATENATE("C",REPLACE(AF280,1,1,"")+1)</f>
        <v>C7</v>
      </c>
      <c r="BG280" s="23" t="str">
        <f t="shared" ref="BG280" si="1134">CONCATENATE("B",REPLACE(AG280,1,1,"")+1)</f>
        <v>B7</v>
      </c>
      <c r="BH280" s="23" t="str">
        <f t="shared" ref="BH280" si="1135">CONCATENATE("C",REPLACE(BF280,1,1,"")+1)</f>
        <v>C8</v>
      </c>
      <c r="BI280" s="23" t="str">
        <f t="shared" ref="BI280" si="1136">CONCATENATE("B",REPLACE(BG280,1,1,"")+1)</f>
        <v>B8</v>
      </c>
      <c r="BJ280" s="23" t="str">
        <f t="shared" ref="BJ280" si="1137">CONCATENATE("C",REPLACE(BH280,1,1,"")+1)</f>
        <v>C9</v>
      </c>
      <c r="BK280" s="23" t="str">
        <f t="shared" ref="BK280" si="1138">CONCATENATE("B",REPLACE(BI280,1,1,"")+1)</f>
        <v>B9</v>
      </c>
      <c r="BL280" s="23" t="str">
        <f t="shared" ref="BL280" si="1139">CONCATENATE("C",REPLACE(BJ280,1,1,"")+1)</f>
        <v>C10</v>
      </c>
      <c r="BM280" s="23" t="str">
        <f t="shared" ref="BM280" si="1140">CONCATENATE("B",REPLACE(BK280,1,1,"")+1)</f>
        <v>B10</v>
      </c>
      <c r="BN280" s="23"/>
      <c r="BO280" s="23"/>
      <c r="BP280" s="23" t="str">
        <f>CONCATENATE(REPLACE(AK280,LEN(AK280),1,"")+1,"A")</f>
        <v>14A</v>
      </c>
      <c r="BQ280" s="23" t="str">
        <f>CONCATENATE(REPLACE(AL280,LEN(AL280),1,"")+1,"B")</f>
        <v>14B</v>
      </c>
      <c r="BR280" s="23" t="str">
        <f>CONCATENATE(REPLACE(BP280,LEN(BP280),1,"")+1,"A")</f>
        <v>15A</v>
      </c>
      <c r="BS280" s="23" t="str">
        <f>CONCATENATE(REPLACE(BQ280,LEN(BQ280),1,"")+1,"B")</f>
        <v>15B</v>
      </c>
      <c r="BT280" s="23" t="str">
        <f t="shared" ref="BT280" si="1141">CONCATENATE("DI",REPLACE($AC280,1,3,""),"-",AF280)</f>
        <v>DI17-C6</v>
      </c>
      <c r="BU280" s="23" t="str">
        <f t="shared" ref="BU280" si="1142">CONCATENATE("DI",REPLACE($AC280,1,3,""),"-",AG280)</f>
        <v>DI17-B6</v>
      </c>
      <c r="BV280" s="23" t="str">
        <f t="shared" ref="BV280" si="1143">CONCATENATE("DI",REPLACE($AC280,1,3,""),"-",BF280)</f>
        <v>DI17-C7</v>
      </c>
      <c r="BW280" s="23" t="str">
        <f t="shared" ref="BW280" si="1144">CONCATENATE("DI",REPLACE($AC280,1,3,""),"-",BG280)</f>
        <v>DI17-B7</v>
      </c>
      <c r="BX280" s="23" t="str">
        <f t="shared" ref="BX280" si="1145">CONCATENATE("DI",REPLACE($AC280,1,3,""),"-",BH280)</f>
        <v>DI17-C8</v>
      </c>
      <c r="BY280" s="23" t="str">
        <f t="shared" ref="BY280" si="1146">CONCATENATE("DI",REPLACE($AC280,1,3,""),"-",BI280)</f>
        <v>DI17-B8</v>
      </c>
      <c r="BZ280" s="23" t="str">
        <f t="shared" ref="BZ280" si="1147">CONCATENATE("DI",REPLACE($AC280,1,3,""),"-",BJ280)</f>
        <v>DI17-C9</v>
      </c>
      <c r="CA280" s="23" t="str">
        <f t="shared" ref="CA280" si="1148">CONCATENATE("DI",REPLACE($AC280,1,3,""),"-",BK280)</f>
        <v>DI17-B9</v>
      </c>
      <c r="CB280" s="23" t="str">
        <f t="shared" ref="CB280" si="1149">CONCATENATE("DI",REPLACE($AC280,1,3,""),"-",BL280)</f>
        <v>DI17-C10</v>
      </c>
      <c r="CC280" s="23" t="str">
        <f t="shared" ref="CC280" si="1150">CONCATENATE("DI",REPLACE($AC280,1,3,""),"-",BM280)</f>
        <v>DI17-B10</v>
      </c>
      <c r="CD280" s="23" t="str">
        <f t="shared" ref="CD280" si="1151">CONCATENATE("DI",REPLACE($AC280,1,3,""),"-",BN280)</f>
        <v>DI17-</v>
      </c>
      <c r="CE280" s="23" t="str">
        <f t="shared" ref="CE280" si="1152">CONCATENATE("DI",REPLACE($AC280,1,3,""),"-",BO280)</f>
        <v>DI17-</v>
      </c>
      <c r="CF280" s="23" t="str">
        <f t="shared" ref="CF280" si="1153">CONCATENATE("DO",REPLACE($AH280,1,3,""),"-",AK280)</f>
        <v>DO9-13A</v>
      </c>
      <c r="CG280" s="23" t="str">
        <f t="shared" ref="CG280" si="1154">CONCATENATE("DO",REPLACE($AH280,1,3,""),"-",AL280)</f>
        <v>DO9-13B</v>
      </c>
      <c r="CH280" s="23" t="str">
        <f t="shared" ref="CH280" si="1155">CONCATENATE("DO",REPLACE($AH280,1,3,""),"-",BP280)</f>
        <v>DO9-14A</v>
      </c>
      <c r="CI280" s="23" t="str">
        <f t="shared" ref="CI280" si="1156">CONCATENATE("DO",REPLACE($AH280,1,3,""),"-",BQ280)</f>
        <v>DO9-14B</v>
      </c>
      <c r="CJ280" s="23" t="str">
        <f t="shared" ref="CJ280" si="1157">CONCATENATE("DO",REPLACE($AH280,1,3,""),"-",BR280)</f>
        <v>DO9-15A</v>
      </c>
      <c r="CK280" s="23" t="str">
        <f t="shared" ref="CK280" si="1158">CONCATENATE("DO",REPLACE($AH280,1,3,""),"-",BS280)</f>
        <v>DO9-15B</v>
      </c>
      <c r="CL280" s="23" t="str">
        <f t="shared" si="678"/>
        <v>K100-10</v>
      </c>
      <c r="CM280" s="23" t="str">
        <f t="shared" si="679"/>
        <v>K100-03</v>
      </c>
      <c r="CN280" s="23" t="str">
        <f t="shared" si="680"/>
        <v>K100-04</v>
      </c>
      <c r="CO280" s="23" t="str">
        <f t="shared" si="681"/>
        <v>K100-01</v>
      </c>
      <c r="CP280" s="23" t="str">
        <f t="shared" si="682"/>
        <v>K100-08</v>
      </c>
      <c r="CQ280" s="23" t="str">
        <f t="shared" si="683"/>
        <v>K100-02</v>
      </c>
      <c r="CR280" s="23" t="str">
        <f t="shared" si="684"/>
        <v>K100-09</v>
      </c>
      <c r="CS280" s="23" t="str">
        <f t="shared" si="685"/>
        <v>K100-05</v>
      </c>
      <c r="CT280" s="23" t="str">
        <f t="shared" si="686"/>
        <v>K100-11</v>
      </c>
      <c r="CU280" s="23" t="str">
        <f t="shared" si="687"/>
        <v>F0-M100-A9</v>
      </c>
      <c r="CV280" s="23" t="str">
        <f t="shared" si="688"/>
        <v>F0-M100-A7</v>
      </c>
      <c r="CW280" s="23" t="str">
        <f t="shared" si="689"/>
        <v>F0-M100-A8</v>
      </c>
      <c r="CX280" s="23" t="str">
        <f t="shared" si="690"/>
        <v>F0-M100-A6</v>
      </c>
      <c r="CY280" s="23" t="str">
        <f t="shared" si="691"/>
        <v>F0-M100-A30</v>
      </c>
      <c r="CZ280" s="23" t="str">
        <f t="shared" si="692"/>
        <v>F0-M100-N</v>
      </c>
      <c r="DA280" s="23" t="str">
        <f t="shared" ref="DA280" si="1159">CONCATENATE($T280,"-A220-M",U280)</f>
        <v>F0-A220-M100</v>
      </c>
      <c r="DB280" s="23" t="str">
        <f t="shared" si="693"/>
        <v>F0-M100-XM01</v>
      </c>
      <c r="DC280" s="23" t="str">
        <f t="shared" si="694"/>
        <v>F0-M100-A1</v>
      </c>
      <c r="DD280" s="23" t="str">
        <f t="shared" si="695"/>
        <v>F0-M100-A5</v>
      </c>
      <c r="DE280" s="23" t="str">
        <f t="shared" si="696"/>
        <v>F0-M100-A11</v>
      </c>
      <c r="DF280" s="23" t="str">
        <f t="shared" si="697"/>
        <v>F0-M100-A12</v>
      </c>
      <c r="DG280" s="23" t="str">
        <f t="shared" si="698"/>
        <v>F0-M100-A19</v>
      </c>
      <c r="DH280" s="23" t="str">
        <f t="shared" si="699"/>
        <v>F0-M100-A20</v>
      </c>
      <c r="DI280" s="23" t="s">
        <v>142</v>
      </c>
      <c r="DJ280" s="23" t="s">
        <v>143</v>
      </c>
      <c r="DK280" s="23">
        <v>11</v>
      </c>
      <c r="DL280" s="23">
        <v>14</v>
      </c>
      <c r="DM280" s="23">
        <v>12</v>
      </c>
      <c r="DN280" s="23" t="s">
        <v>144</v>
      </c>
      <c r="DO280" s="23" t="s">
        <v>1837</v>
      </c>
      <c r="DP280" s="23">
        <v>1</v>
      </c>
      <c r="DQ280" s="23">
        <v>2</v>
      </c>
      <c r="DR280" s="23">
        <v>3</v>
      </c>
      <c r="DS280" s="23">
        <v>4</v>
      </c>
      <c r="DT280" s="23">
        <v>5</v>
      </c>
      <c r="DU280" s="23">
        <v>6</v>
      </c>
      <c r="DV280" s="23">
        <v>7</v>
      </c>
      <c r="DW280" s="23">
        <v>8</v>
      </c>
      <c r="DX280" s="23">
        <v>9</v>
      </c>
      <c r="DY280" s="23">
        <v>10</v>
      </c>
      <c r="DZ280" s="23">
        <v>11</v>
      </c>
      <c r="EA280" s="23">
        <v>12</v>
      </c>
      <c r="EB280" s="23">
        <v>13</v>
      </c>
      <c r="EC280" s="23">
        <v>14</v>
      </c>
      <c r="ED280" s="23">
        <v>1</v>
      </c>
      <c r="EE280" s="23">
        <v>3</v>
      </c>
      <c r="EF280" s="23">
        <v>4</v>
      </c>
      <c r="EG280" s="23">
        <v>7</v>
      </c>
      <c r="EH280" s="23">
        <v>8</v>
      </c>
      <c r="EI280" s="23">
        <v>9</v>
      </c>
      <c r="EJ280" s="23">
        <v>10</v>
      </c>
      <c r="EK280" s="23">
        <v>13</v>
      </c>
      <c r="EL280" s="23">
        <v>14</v>
      </c>
      <c r="EM280" s="23">
        <v>15</v>
      </c>
      <c r="EN280" s="23">
        <v>16</v>
      </c>
      <c r="EO280" s="23">
        <v>22</v>
      </c>
      <c r="EP280" s="23">
        <v>23</v>
      </c>
      <c r="EQ280" s="24">
        <v>24</v>
      </c>
    </row>
    <row r="281" spans="1:357" ht="15.75" thickBot="1" x14ac:dyDescent="0.3">
      <c r="A281" t="s">
        <v>1856</v>
      </c>
      <c r="B281" t="s">
        <v>1838</v>
      </c>
      <c r="C281" t="s">
        <v>1871</v>
      </c>
      <c r="P281" t="s">
        <v>1785</v>
      </c>
      <c r="T281" s="10" t="s">
        <v>554</v>
      </c>
      <c r="U281" s="49">
        <v>101</v>
      </c>
      <c r="V281" s="11" t="s">
        <v>3074</v>
      </c>
      <c r="W281" s="11" t="s">
        <v>3075</v>
      </c>
      <c r="X281" t="str" cm="1">
        <f t="array" ref="X281">IF(COUNTIF(X$1:X280,INDEX(X$1:X280,MAX(IF(X$1:X280&lt;&gt;"",ROW(X$1:X280)))))&gt;7,REPLACE(INDEX(X$1:X280,MAX(IF(X$1:X280&lt;&gt;"",ROW(X$1:X280)))),LEN(INDEX(X$1:X280,MAX(IF(X$1:X280&lt;&gt;"",ROW(X$1:X280))))),1,VALUE(RIGHT(INDEX(X$1:X280,MAX(IF(X$1:X280&lt;&gt;"",ROW(X$1:X280)))),1))+1),INDEX(X$1:X280,MAX(IF(X$1:X280&lt;&gt;"",ROW(X$1:X280)))))</f>
        <v>А3.37</v>
      </c>
      <c r="Y281" s="43" cm="1">
        <f t="array" ref="Y281">IF(COUNTIFS(X$2:X281,X281)=1,"1",VALUE(SUBSTITUTE(INDEX(Y:Y,_xlfn.XMATCH(X281,X$1:X280,0,-1)),"A",""))+INDEX(Z:Z,_xlfn.XMATCH(X281,X$1:X280,0,-1))+1)</f>
        <v>8</v>
      </c>
      <c r="Z281" s="43" cm="1">
        <f t="array" ref="Z281">SUM(IF(ISNUMBER(FIND("TmAi",$BE$1:$AAL$1)),IF(IFERROR(ISODD(SUBSTITUTE($BE281:$AAL281,"A","")),FALSE),IF(ISODD(SUBSTITUTE($BE281:$AAL281,"A","")),1,0),0)))</f>
        <v>0</v>
      </c>
      <c r="AA281" t="str">
        <f t="shared" ref="AA281" si="1160">CONCATENATE($Y281*2-1,"A")</f>
        <v>15A</v>
      </c>
      <c r="AB281" t="str">
        <f t="shared" ref="AB281" si="1161">CONCATENATE($Y281*2-1,"B")</f>
        <v>15B</v>
      </c>
      <c r="AC281" t="str">
        <f t="shared" si="827"/>
        <v>A5.17</v>
      </c>
      <c r="AD281" s="43" cm="1">
        <f t="array" ref="AD281">IF(COUNTIFS(AC$2:AC281,AC281)=1,"1",VALUE(SUBSTITUTE(INDEX(AD:AD,_xlfn.XMATCH(AC281,AC$1:AC280,0,-1)),"A",""))+INDEX(AE:AE,_xlfn.XMATCH(AC281,AC$1:AC280,0,-1))+1)</f>
        <v>11</v>
      </c>
      <c r="AE281" s="43" cm="1">
        <f t="array" ref="AE281">SUM(IF(ISNUMBER(FIND("TmDi",$BE$1:$AAL$1)),IF(IFERROR(ISNUMBER(VALUE(SUBSTITUTE($BE281:$AAL281,"B",""))),FALSE),IF(ISNUMBER(VALUE(SUBSTITUTE($BE281:$AAL281,"B",""))),1,0),0)))</f>
        <v>4</v>
      </c>
      <c r="AF281" t="str">
        <f t="shared" si="702"/>
        <v>C11</v>
      </c>
      <c r="AG281" t="str">
        <f t="shared" si="703"/>
        <v>B11</v>
      </c>
      <c r="AH281" t="str">
        <f t="shared" si="704"/>
        <v>A6.9</v>
      </c>
      <c r="AI281" s="64" cm="1">
        <f t="array" ref="AI281">IF(COUNTIFS(AH$2:AH281,AH281)=1,"1",VALUE(SUBSTITUTE(INDEX(AI:AI,_xlfn.XMATCH(AH281,AH$1:AH280,0,-1)),"A",""))+INDEX(AJ:AJ,_xlfn.XMATCH(AH281,AH$1:AH280,0,-1))+1)</f>
        <v>16</v>
      </c>
      <c r="AJ281" s="64" cm="1">
        <f t="array" ref="AJ281">SUM(IF(ISNUMBER(FIND("TmDo",$BE$1:$AAL$1)),IF(IFERROR(ISNUMBER(VALUE(SUBSTITUTE($BE281:$AAL281,"B",""))),FALSE),IF(ISNUMBER(VALUE(SUBSTITUTE($BE281:$AAL281,"B",""))),1,0),0)))</f>
        <v>1</v>
      </c>
      <c r="AK281" s="11" t="str">
        <f t="shared" si="642"/>
        <v>16A</v>
      </c>
      <c r="AL281" s="11" t="str">
        <f t="shared" si="643"/>
        <v>16B</v>
      </c>
      <c r="AM281" s="12" t="s">
        <v>161</v>
      </c>
      <c r="AN281" s="12"/>
      <c r="AO281" s="12"/>
      <c r="AP281" s="12" t="s">
        <v>137</v>
      </c>
      <c r="AQ281" s="12" t="s">
        <v>1794</v>
      </c>
      <c r="AR281" s="12"/>
      <c r="AS281" s="12" t="s">
        <v>396</v>
      </c>
      <c r="AT281" s="12" t="s">
        <v>139</v>
      </c>
      <c r="AU281" s="12" t="s">
        <v>140</v>
      </c>
      <c r="AV281" s="12"/>
      <c r="AW281" s="12"/>
      <c r="AX281" s="12"/>
      <c r="AY281" s="12"/>
      <c r="AZ281" s="12"/>
      <c r="BA281" s="12"/>
      <c r="BB281" s="12"/>
      <c r="BC281" s="12"/>
      <c r="BD281" s="13"/>
      <c r="GT281" s="25" t="str">
        <f>CONCATENATE("XT",$U281)</f>
        <v>XT101</v>
      </c>
      <c r="GU281" s="12" t="str">
        <f t="shared" ref="GU281" si="1162">CONCATENATE("C",REPLACE(AF281,1,1,"")+1)</f>
        <v>C12</v>
      </c>
      <c r="GV281" s="12" t="str">
        <f t="shared" ref="GV281" si="1163">CONCATENATE("B",REPLACE(AG281,1,1,"")+1)</f>
        <v>B12</v>
      </c>
      <c r="GW281" s="12" t="str">
        <f t="shared" ref="GW281" si="1164">CONCATENATE("C",REPLACE(GU281,1,1,"")+1)</f>
        <v>C13</v>
      </c>
      <c r="GX281" s="12" t="str">
        <f t="shared" ref="GX281" si="1165">CONCATENATE("B",REPLACE(GV281,1,1,"")+1)</f>
        <v>B13</v>
      </c>
      <c r="GY281" s="12" t="str">
        <f t="shared" ref="GY281" si="1166">CONCATENATE("C",REPLACE(GW281,1,1,"")+1)</f>
        <v>C14</v>
      </c>
      <c r="GZ281" s="12" t="str">
        <f t="shared" ref="GZ281" si="1167">CONCATENATE("B",REPLACE(GX281,1,1,"")+1)</f>
        <v>B14</v>
      </c>
      <c r="HA281" s="12" t="str">
        <f t="shared" ref="HA281" si="1168">CONCATENATE("C",REPLACE(GY281,1,1,"")+1)</f>
        <v>C15</v>
      </c>
      <c r="HB281" s="12" t="str">
        <f t="shared" ref="HB281" si="1169">CONCATENATE("B",REPLACE(GZ281,1,1,"")+1)</f>
        <v>B15</v>
      </c>
      <c r="HC281" s="12"/>
      <c r="HD281" s="12"/>
      <c r="HE281" s="12" t="str">
        <f>CONCATENATE(REPLACE(AK281,LEN(AK281),1,"")+1,"A")</f>
        <v>17A</v>
      </c>
      <c r="HF281" s="12" t="str">
        <f>CONCATENATE(REPLACE(AL281,LEN(AL281),1,"")+1,"B")</f>
        <v>17B</v>
      </c>
      <c r="HG281" s="12" t="str">
        <f t="shared" ref="HG281" si="1170">CONCATENATE("AI",REPLACE($X281,1,3,""),"-",AA281)</f>
        <v>AI37-15A</v>
      </c>
      <c r="HH281" s="12" t="str">
        <f t="shared" ref="HH281" si="1171">CONCATENATE("AI",REPLACE($X281,1,3,""),"-",AB281)</f>
        <v>AI37-15B</v>
      </c>
      <c r="HI281" s="12" t="str">
        <f t="shared" ref="HI281" si="1172">CONCATENATE("DI",REPLACE($AC281,1,3,""),"-",AF281)</f>
        <v>DI17-C11</v>
      </c>
      <c r="HJ281" s="12" t="str">
        <f t="shared" ref="HJ281" si="1173">CONCATENATE("DI",REPLACE($AC281,1,3,""),"-",AG281)</f>
        <v>DI17-B11</v>
      </c>
      <c r="HK281" s="12" t="str">
        <f t="shared" ref="HK281" si="1174">CONCATENATE("DI",REPLACE($AC281,1,3,""),"-",GU281)</f>
        <v>DI17-C12</v>
      </c>
      <c r="HL281" s="12" t="str">
        <f t="shared" ref="HL281" si="1175">CONCATENATE("DI",REPLACE($AC281,1,3,""),"-",GV281)</f>
        <v>DI17-B12</v>
      </c>
      <c r="HM281" s="12" t="str">
        <f t="shared" ref="HM281" si="1176">CONCATENATE("DI",REPLACE($AC281,1,3,""),"-",GW281)</f>
        <v>DI17-C13</v>
      </c>
      <c r="HN281" s="12" t="str">
        <f t="shared" ref="HN281" si="1177">CONCATENATE("DI",REPLACE($AC281,1,3,""),"-",GX281)</f>
        <v>DI17-B13</v>
      </c>
      <c r="HO281" s="12" t="str">
        <f t="shared" ref="HO281" si="1178">CONCATENATE("DI",REPLACE($AC281,1,3,""),"-",GY281)</f>
        <v>DI17-C14</v>
      </c>
      <c r="HP281" s="12" t="str">
        <f t="shared" ref="HP281" si="1179">CONCATENATE("DI",REPLACE($AC281,1,3,""),"-",GZ281)</f>
        <v>DI17-B14</v>
      </c>
      <c r="HQ281" s="12" t="str">
        <f t="shared" ref="HQ281" si="1180">CONCATENATE("DI",REPLACE($AC281,1,3,""),"-",HA281)</f>
        <v>DI17-C15</v>
      </c>
      <c r="HR281" s="12" t="str">
        <f t="shared" ref="HR281" si="1181">CONCATENATE("DI",REPLACE($AC281,1,3,""),"-",HB281)</f>
        <v>DI17-B15</v>
      </c>
      <c r="HS281" s="12" t="str">
        <f t="shared" ref="HS281" si="1182">CONCATENATE("DI",REPLACE($AC281,1,3,""),"-",HC281)</f>
        <v>DI17-</v>
      </c>
      <c r="HT281" s="12" t="str">
        <f t="shared" ref="HT281" si="1183">CONCATENATE("DI",REPLACE($AC281,1,3,""),"-",HD281)</f>
        <v>DI17-</v>
      </c>
      <c r="HU281" s="12" t="str">
        <f t="shared" ref="HU281" si="1184">CONCATENATE("DO",REPLACE($AH281,1,3,""),"-",AK281)</f>
        <v>DO9-16A</v>
      </c>
      <c r="HV281" s="12" t="str">
        <f t="shared" ref="HV281" si="1185">CONCATENATE("DO",REPLACE($AH281,1,3,""),"-",AL281)</f>
        <v>DO9-16B</v>
      </c>
      <c r="HW281" s="12" t="str">
        <f t="shared" ref="HW281" si="1186">CONCATENATE("DO",REPLACE($AH281,1,3,""),"-",HE281)</f>
        <v>DO9-17A</v>
      </c>
      <c r="HX281" s="12" t="str">
        <f t="shared" ref="HX281" si="1187">CONCATENATE("DO",REPLACE($AH281,1,3,""),"-",HF281)</f>
        <v>DO9-17B</v>
      </c>
      <c r="HY281" s="12" t="str">
        <f t="shared" ref="HY281" si="1188">CONCATENATE("K",$U281,"-01")</f>
        <v>K101-01</v>
      </c>
      <c r="HZ281" s="12" t="str">
        <f t="shared" ref="HZ281" si="1189">CONCATENATE("K",$U281,"-02")</f>
        <v>K101-02</v>
      </c>
      <c r="IA281" s="12" t="str">
        <f t="shared" ref="IA281" si="1190">CONCATENATE("K",$U281,"-03")</f>
        <v>K101-03</v>
      </c>
      <c r="IB281" s="12" t="str">
        <f t="shared" ref="IB281" si="1191">CONCATENATE("K",$U281,"-04")</f>
        <v>K101-04</v>
      </c>
      <c r="IC281" s="12" t="str">
        <f t="shared" ref="IC281" si="1192">CONCATENATE("K",$U281,"-05")</f>
        <v>K101-05</v>
      </c>
      <c r="ID281" s="12" t="str">
        <f t="shared" ref="ID281" si="1193">CONCATENATE("K",$U281,"-06")</f>
        <v>K101-06</v>
      </c>
      <c r="IE281" s="12" t="str">
        <f t="shared" ref="IE281" si="1194">CONCATENATE("K",$U281,"-07")</f>
        <v>K101-07</v>
      </c>
      <c r="IF281" s="12" t="str">
        <f t="shared" ref="IF281" si="1195">CONCATENATE("K",$U281,"-08")</f>
        <v>K101-08</v>
      </c>
      <c r="IG281" s="12" t="str">
        <f t="shared" ref="IG281" si="1196">CONCATENATE($T281,"-M",$U281,"-AMS-12")</f>
        <v>F0-M101-AMS-12</v>
      </c>
      <c r="IH281" s="12" t="str">
        <f t="shared" ref="IH281" si="1197">CONCATENATE($T281,"-M",$U281,"-AMS-10")</f>
        <v>F0-M101-AMS-10</v>
      </c>
      <c r="II281" s="12" t="str">
        <f t="shared" ref="II281" si="1198">CONCATENATE($T281,"-M",$U281,"-AMS-11")</f>
        <v>F0-M101-AMS-11</v>
      </c>
      <c r="IJ281" s="12" t="str">
        <f t="shared" ref="IJ281" si="1199">CONCATENATE($T281,"-M",$U281,"-AMS-13")</f>
        <v>F0-M101-AMS-13</v>
      </c>
      <c r="IK281" s="12" t="str">
        <f t="shared" ref="IK281" si="1200">CONCATENATE($T281,"-M",$U281,"-AMS-9")</f>
        <v>F0-M101-AMS-9</v>
      </c>
      <c r="IL281" s="12" t="str">
        <f t="shared" ref="IL281" si="1201">CONCATENATE($T281,"-M",$U281,"-AMS-7")</f>
        <v>F0-M101-AMS-7</v>
      </c>
      <c r="IM281" s="12" t="str">
        <f t="shared" ref="IM281" si="1202">CONCATENATE($T281,"-M",$U281,"-AMS-18")</f>
        <v>F0-M101-AMS-18</v>
      </c>
      <c r="IN281" s="12" t="str">
        <f t="shared" ref="IN281" si="1203">CONCATENATE($T281,"-M",$U281,"-AMS-20")</f>
        <v>F0-M101-AMS-20</v>
      </c>
      <c r="IO281" s="12" t="str">
        <f t="shared" ref="IO281" si="1204">CONCATENATE($T281,"-M",$U281,"-AMS-17")</f>
        <v>F0-M101-AMS-17</v>
      </c>
      <c r="IP281" s="12" t="str">
        <f t="shared" ref="IP281" si="1205">CONCATENATE($T281,"-+24-M",$U281,)</f>
        <v>F0-+24-M101</v>
      </c>
      <c r="IQ281" s="12" t="str">
        <f t="shared" ref="IQ281" si="1206">CONCATENATE($T281,"-M",$U281,"-XM01")</f>
        <v>F0-M101-XM01</v>
      </c>
      <c r="IR281" s="12" t="s">
        <v>142</v>
      </c>
      <c r="IS281" s="12" t="s">
        <v>143</v>
      </c>
      <c r="IT281" s="12">
        <v>11</v>
      </c>
      <c r="IU281" s="12">
        <v>14</v>
      </c>
      <c r="IV281" s="12" t="s">
        <v>413</v>
      </c>
      <c r="IW281" s="12" t="s">
        <v>414</v>
      </c>
      <c r="IX281" s="12">
        <v>1</v>
      </c>
      <c r="IY281" s="12">
        <v>2</v>
      </c>
      <c r="IZ281" s="12">
        <v>3</v>
      </c>
      <c r="JA281" s="12">
        <v>4</v>
      </c>
      <c r="JB281" s="12">
        <v>5</v>
      </c>
      <c r="JC281" s="12">
        <v>6</v>
      </c>
      <c r="JD281" s="12">
        <v>7</v>
      </c>
      <c r="JE281" s="12">
        <v>8</v>
      </c>
      <c r="JF281" s="12">
        <v>9</v>
      </c>
      <c r="JG281" s="12">
        <v>10</v>
      </c>
      <c r="JH281" s="12">
        <v>11</v>
      </c>
      <c r="JI281" s="12">
        <v>12</v>
      </c>
      <c r="JJ281" s="12">
        <v>13</v>
      </c>
      <c r="JK281" s="12">
        <v>14</v>
      </c>
      <c r="JL281" s="12">
        <v>17</v>
      </c>
      <c r="JM281" s="12">
        <v>15</v>
      </c>
      <c r="JN281" s="12">
        <v>18</v>
      </c>
      <c r="JO281" s="12">
        <v>11</v>
      </c>
      <c r="JP281" s="12">
        <v>9</v>
      </c>
      <c r="JQ281" s="12">
        <v>6</v>
      </c>
      <c r="JR281" s="12">
        <v>20</v>
      </c>
      <c r="JS281" s="12">
        <v>7</v>
      </c>
      <c r="JT281" s="12">
        <v>10</v>
      </c>
      <c r="JU281" s="12">
        <v>22</v>
      </c>
      <c r="JV281" s="12">
        <v>23</v>
      </c>
      <c r="JW281" s="12">
        <v>26</v>
      </c>
      <c r="JX281" s="12">
        <v>27</v>
      </c>
      <c r="JY281" s="13">
        <v>30</v>
      </c>
    </row>
    <row r="282" spans="1:357" ht="15.75" thickBot="1" x14ac:dyDescent="0.3">
      <c r="A282" t="s">
        <v>1857</v>
      </c>
      <c r="B282" t="s">
        <v>1841</v>
      </c>
      <c r="C282" s="3" t="s">
        <v>1872</v>
      </c>
      <c r="O282" s="2"/>
      <c r="P282" t="s">
        <v>1784</v>
      </c>
      <c r="Q282" s="1"/>
      <c r="S282" s="1"/>
      <c r="T282" s="21" t="s">
        <v>554</v>
      </c>
      <c r="U282" s="50">
        <v>102</v>
      </c>
      <c r="V282" s="18" t="s">
        <v>3076</v>
      </c>
      <c r="W282" s="22"/>
      <c r="X282" s="23"/>
      <c r="Y282" s="23"/>
      <c r="Z282" s="23"/>
      <c r="AA282" s="23"/>
      <c r="AB282" s="23"/>
      <c r="AC282" t="str">
        <f t="shared" si="827"/>
        <v>A5.17</v>
      </c>
      <c r="AD282" s="43" cm="1">
        <f t="array" ref="AD282">IF(COUNTIFS(AC$2:AC282,AC282)=1,"1",VALUE(SUBSTITUTE(INDEX(AD:AD,_xlfn.XMATCH(AC282,AC$1:AC281,0,-1)),"A",""))+INDEX(AE:AE,_xlfn.XMATCH(AC282,AC$1:AC281,0,-1))+1)</f>
        <v>16</v>
      </c>
      <c r="AE282" s="43" cm="1">
        <f t="array" ref="AE282">SUM(IF(ISNUMBER(FIND("TmDi",$BE$1:$AAL$1)),IF(IFERROR(ISNUMBER(VALUE(SUBSTITUTE($BE282:$AAL282,"B",""))),FALSE),IF(ISNUMBER(VALUE(SUBSTITUTE($BE282:$AAL282,"B",""))),1,0),0)))</f>
        <v>4</v>
      </c>
      <c r="AF282" t="str">
        <f t="shared" si="702"/>
        <v>C16</v>
      </c>
      <c r="AG282" t="str">
        <f t="shared" si="703"/>
        <v>B16</v>
      </c>
      <c r="AH282" t="str">
        <f t="shared" si="704"/>
        <v>A6.9</v>
      </c>
      <c r="AI282" s="64" cm="1">
        <f t="array" ref="AI282">IF(COUNTIFS(AH$2:AH282,AH282)=1,"1",VALUE(SUBSTITUTE(INDEX(AI:AI,_xlfn.XMATCH(AH282,AH$1:AH281,0,-1)),"A",""))+INDEX(AJ:AJ,_xlfn.XMATCH(AH282,AH$1:AH281,0,-1))+1)</f>
        <v>18</v>
      </c>
      <c r="AJ282" s="64" cm="1">
        <f t="array" ref="AJ282">SUM(IF(ISNUMBER(FIND("TmDo",$BE$1:$AAL$1)),IF(IFERROR(ISNUMBER(VALUE(SUBSTITUTE($BE282:$AAL282,"B",""))),FALSE),IF(ISNUMBER(VALUE(SUBSTITUTE($BE282:$AAL282,"B",""))),1,0),0)))</f>
        <v>2</v>
      </c>
      <c r="AK282" s="11" t="str">
        <f t="shared" si="642"/>
        <v>18A</v>
      </c>
      <c r="AL282" s="11" t="str">
        <f t="shared" si="643"/>
        <v>18B</v>
      </c>
      <c r="AM282" s="23" t="s">
        <v>150</v>
      </c>
      <c r="AN282" s="23"/>
      <c r="AO282" s="23"/>
      <c r="AP282" s="23" t="s">
        <v>137</v>
      </c>
      <c r="AQ282" s="23" t="s">
        <v>1794</v>
      </c>
      <c r="AR282" s="23"/>
      <c r="AS282" s="23"/>
      <c r="AT282" s="23" t="s">
        <v>139</v>
      </c>
      <c r="AU282" s="23" t="s">
        <v>140</v>
      </c>
      <c r="AV282" s="23"/>
      <c r="AW282" s="23"/>
      <c r="AX282" s="23"/>
      <c r="AY282" s="12"/>
      <c r="AZ282" s="12"/>
      <c r="BA282" s="12"/>
      <c r="BB282" s="12"/>
      <c r="BC282" s="12"/>
      <c r="BD282" s="13"/>
      <c r="BE282" s="23" t="str">
        <f t="shared" ref="BE282:BE283" si="1207">CONCATENATE("XT",U282)</f>
        <v>XT102</v>
      </c>
      <c r="BF282" s="23" t="str">
        <f t="shared" ref="BF282:BF283" si="1208">CONCATENATE("C",REPLACE(AF282,1,1,"")+1)</f>
        <v>C17</v>
      </c>
      <c r="BG282" s="23" t="str">
        <f t="shared" ref="BG282:BG283" si="1209">CONCATENATE("B",REPLACE(AG282,1,1,"")+1)</f>
        <v>B17</v>
      </c>
      <c r="BH282" s="23" t="str">
        <f t="shared" ref="BH282:BH283" si="1210">CONCATENATE("C",REPLACE(BF282,1,1,"")+1)</f>
        <v>C18</v>
      </c>
      <c r="BI282" s="23" t="str">
        <f t="shared" ref="BI282:BI283" si="1211">CONCATENATE("B",REPLACE(BG282,1,1,"")+1)</f>
        <v>B18</v>
      </c>
      <c r="BJ282" s="23" t="str">
        <f t="shared" ref="BJ282:BJ283" si="1212">CONCATENATE("C",REPLACE(BH282,1,1,"")+1)</f>
        <v>C19</v>
      </c>
      <c r="BK282" s="23" t="str">
        <f t="shared" ref="BK282:BK283" si="1213">CONCATENATE("B",REPLACE(BI282,1,1,"")+1)</f>
        <v>B19</v>
      </c>
      <c r="BL282" s="23" t="str">
        <f t="shared" ref="BL282:BL283" si="1214">CONCATENATE("C",REPLACE(BJ282,1,1,"")+1)</f>
        <v>C20</v>
      </c>
      <c r="BM282" s="23" t="str">
        <f t="shared" ref="BM282:BM283" si="1215">CONCATENATE("B",REPLACE(BK282,1,1,"")+1)</f>
        <v>B20</v>
      </c>
      <c r="BN282" s="23"/>
      <c r="BO282" s="23"/>
      <c r="BP282" s="23" t="str">
        <f>CONCATENATE(REPLACE(AK282,LEN(AK282),1,"")+1,"A")</f>
        <v>19A</v>
      </c>
      <c r="BQ282" s="23" t="str">
        <f>CONCATENATE(REPLACE(AL282,LEN(AL282),1,"")+1,"B")</f>
        <v>19B</v>
      </c>
      <c r="BR282" s="23" t="str">
        <f>CONCATENATE(REPLACE(BP282,LEN(BP282),1,"")+1,"A")</f>
        <v>20A</v>
      </c>
      <c r="BS282" s="23" t="str">
        <f>CONCATENATE(REPLACE(BQ282,LEN(BQ282),1,"")+1,"B")</f>
        <v>20B</v>
      </c>
      <c r="BT282" s="23" t="str">
        <f t="shared" ref="BT282:BT283" si="1216">CONCATENATE("DI",REPLACE($AC282,1,3,""),"-",AF282)</f>
        <v>DI17-C16</v>
      </c>
      <c r="BU282" s="23" t="str">
        <f t="shared" ref="BU282:BU283" si="1217">CONCATENATE("DI",REPLACE($AC282,1,3,""),"-",AG282)</f>
        <v>DI17-B16</v>
      </c>
      <c r="BV282" s="23" t="str">
        <f t="shared" ref="BV282:BV283" si="1218">CONCATENATE("DI",REPLACE($AC282,1,3,""),"-",BF282)</f>
        <v>DI17-C17</v>
      </c>
      <c r="BW282" s="23" t="str">
        <f t="shared" ref="BW282:BW283" si="1219">CONCATENATE("DI",REPLACE($AC282,1,3,""),"-",BG282)</f>
        <v>DI17-B17</v>
      </c>
      <c r="BX282" s="23" t="str">
        <f t="shared" ref="BX282:BX283" si="1220">CONCATENATE("DI",REPLACE($AC282,1,3,""),"-",BH282)</f>
        <v>DI17-C18</v>
      </c>
      <c r="BY282" s="23" t="str">
        <f t="shared" ref="BY282:BY283" si="1221">CONCATENATE("DI",REPLACE($AC282,1,3,""),"-",BI282)</f>
        <v>DI17-B18</v>
      </c>
      <c r="BZ282" s="23" t="str">
        <f t="shared" ref="BZ282:BZ283" si="1222">CONCATENATE("DI",REPLACE($AC282,1,3,""),"-",BJ282)</f>
        <v>DI17-C19</v>
      </c>
      <c r="CA282" s="23" t="str">
        <f t="shared" ref="CA282:CA283" si="1223">CONCATENATE("DI",REPLACE($AC282,1,3,""),"-",BK282)</f>
        <v>DI17-B19</v>
      </c>
      <c r="CB282" s="23" t="str">
        <f t="shared" ref="CB282:CB283" si="1224">CONCATENATE("DI",REPLACE($AC282,1,3,""),"-",BL282)</f>
        <v>DI17-C20</v>
      </c>
      <c r="CC282" s="23" t="str">
        <f t="shared" ref="CC282:CC283" si="1225">CONCATENATE("DI",REPLACE($AC282,1,3,""),"-",BM282)</f>
        <v>DI17-B20</v>
      </c>
      <c r="CD282" s="23" t="str">
        <f t="shared" ref="CD282:CD283" si="1226">CONCATENATE("DI",REPLACE($AC282,1,3,""),"-",BN282)</f>
        <v>DI17-</v>
      </c>
      <c r="CE282" s="23" t="str">
        <f t="shared" ref="CE282:CE283" si="1227">CONCATENATE("DI",REPLACE($AC282,1,3,""),"-",BO282)</f>
        <v>DI17-</v>
      </c>
      <c r="CF282" s="23" t="str">
        <f t="shared" ref="CF282:CF283" si="1228">CONCATENATE("DO",REPLACE($AH282,1,3,""),"-",AK282)</f>
        <v>DO9-18A</v>
      </c>
      <c r="CG282" s="23" t="str">
        <f t="shared" ref="CG282:CG283" si="1229">CONCATENATE("DO",REPLACE($AH282,1,3,""),"-",AL282)</f>
        <v>DO9-18B</v>
      </c>
      <c r="CH282" s="23" t="str">
        <f t="shared" ref="CH282:CH283" si="1230">CONCATENATE("DO",REPLACE($AH282,1,3,""),"-",BP282)</f>
        <v>DO9-19A</v>
      </c>
      <c r="CI282" s="23" t="str">
        <f t="shared" ref="CI282:CI283" si="1231">CONCATENATE("DO",REPLACE($AH282,1,3,""),"-",BQ282)</f>
        <v>DO9-19B</v>
      </c>
      <c r="CJ282" s="23" t="str">
        <f t="shared" ref="CJ282:CJ283" si="1232">CONCATENATE("DO",REPLACE($AH282,1,3,""),"-",BR282)</f>
        <v>DO9-20A</v>
      </c>
      <c r="CK282" s="23" t="str">
        <f t="shared" ref="CK282:CK283" si="1233">CONCATENATE("DO",REPLACE($AH282,1,3,""),"-",BS282)</f>
        <v>DO9-20B</v>
      </c>
      <c r="CL282" s="23" t="str">
        <f t="shared" si="678"/>
        <v>K102-10</v>
      </c>
      <c r="CM282" s="23" t="str">
        <f t="shared" si="679"/>
        <v>K102-03</v>
      </c>
      <c r="CN282" s="23" t="str">
        <f t="shared" si="680"/>
        <v>K102-04</v>
      </c>
      <c r="CO282" s="23" t="str">
        <f t="shared" si="681"/>
        <v>K102-01</v>
      </c>
      <c r="CP282" s="23" t="str">
        <f t="shared" si="682"/>
        <v>K102-08</v>
      </c>
      <c r="CQ282" s="23" t="str">
        <f t="shared" si="683"/>
        <v>K102-02</v>
      </c>
      <c r="CR282" s="23" t="str">
        <f t="shared" si="684"/>
        <v>K102-09</v>
      </c>
      <c r="CS282" s="23" t="str">
        <f t="shared" si="685"/>
        <v>K102-05</v>
      </c>
      <c r="CT282" s="23" t="str">
        <f t="shared" si="686"/>
        <v>K102-11</v>
      </c>
      <c r="CU282" s="23" t="str">
        <f t="shared" si="687"/>
        <v>F0-M102-A9</v>
      </c>
      <c r="CV282" s="23" t="str">
        <f t="shared" si="688"/>
        <v>F0-M102-A7</v>
      </c>
      <c r="CW282" s="23" t="str">
        <f t="shared" si="689"/>
        <v>F0-M102-A8</v>
      </c>
      <c r="CX282" s="23" t="str">
        <f t="shared" si="690"/>
        <v>F0-M102-A6</v>
      </c>
      <c r="CY282" s="23" t="str">
        <f t="shared" si="691"/>
        <v>F0-M102-A30</v>
      </c>
      <c r="CZ282" s="23" t="str">
        <f t="shared" si="692"/>
        <v>F0-M102-N</v>
      </c>
      <c r="DA282" s="23" t="str">
        <f t="shared" ref="DA282:DA283" si="1234">CONCATENATE($T282,"-A220-M",U282)</f>
        <v>F0-A220-M102</v>
      </c>
      <c r="DB282" s="23" t="str">
        <f t="shared" si="693"/>
        <v>F0-M102-XM01</v>
      </c>
      <c r="DC282" s="23" t="str">
        <f t="shared" si="694"/>
        <v>F0-M102-A1</v>
      </c>
      <c r="DD282" s="23" t="str">
        <f t="shared" si="695"/>
        <v>F0-M102-A5</v>
      </c>
      <c r="DE282" s="23" t="str">
        <f t="shared" si="696"/>
        <v>F0-M102-A11</v>
      </c>
      <c r="DF282" s="23" t="str">
        <f t="shared" si="697"/>
        <v>F0-M102-A12</v>
      </c>
      <c r="DG282" s="23" t="str">
        <f t="shared" si="698"/>
        <v>F0-M102-A19</v>
      </c>
      <c r="DH282" s="23" t="str">
        <f t="shared" si="699"/>
        <v>F0-M102-A20</v>
      </c>
      <c r="DI282" s="23" t="s">
        <v>142</v>
      </c>
      <c r="DJ282" s="23" t="s">
        <v>143</v>
      </c>
      <c r="DK282" s="23">
        <v>11</v>
      </c>
      <c r="DL282" s="23">
        <v>14</v>
      </c>
      <c r="DM282" s="23">
        <v>12</v>
      </c>
      <c r="DN282" s="23" t="s">
        <v>144</v>
      </c>
      <c r="DO282" s="23" t="s">
        <v>1843</v>
      </c>
      <c r="DP282" s="23">
        <v>1</v>
      </c>
      <c r="DQ282" s="23">
        <v>2</v>
      </c>
      <c r="DR282" s="23">
        <v>3</v>
      </c>
      <c r="DS282" s="23">
        <v>4</v>
      </c>
      <c r="DT282" s="23">
        <v>5</v>
      </c>
      <c r="DU282" s="23">
        <v>6</v>
      </c>
      <c r="DV282" s="23">
        <v>7</v>
      </c>
      <c r="DW282" s="23">
        <v>8</v>
      </c>
      <c r="DX282" s="23">
        <v>9</v>
      </c>
      <c r="DY282" s="23">
        <v>10</v>
      </c>
      <c r="DZ282" s="23">
        <v>11</v>
      </c>
      <c r="EA282" s="23">
        <v>12</v>
      </c>
      <c r="EB282" s="23">
        <v>13</v>
      </c>
      <c r="EC282" s="23">
        <v>14</v>
      </c>
      <c r="ED282" s="23">
        <v>1</v>
      </c>
      <c r="EE282" s="23">
        <v>3</v>
      </c>
      <c r="EF282" s="23">
        <v>4</v>
      </c>
      <c r="EG282" s="23">
        <v>7</v>
      </c>
      <c r="EH282" s="23">
        <v>8</v>
      </c>
      <c r="EI282" s="23">
        <v>9</v>
      </c>
      <c r="EJ282" s="23">
        <v>10</v>
      </c>
      <c r="EK282" s="23">
        <v>13</v>
      </c>
      <c r="EL282" s="23">
        <v>14</v>
      </c>
      <c r="EM282" s="23">
        <v>15</v>
      </c>
      <c r="EN282" s="23">
        <v>16</v>
      </c>
      <c r="EO282" s="23">
        <v>22</v>
      </c>
      <c r="EP282" s="23">
        <v>23</v>
      </c>
      <c r="EQ282" s="24">
        <v>24</v>
      </c>
    </row>
    <row r="283" spans="1:357" ht="15.75" thickBot="1" x14ac:dyDescent="0.3">
      <c r="A283" t="s">
        <v>1859</v>
      </c>
      <c r="B283" t="s">
        <v>1858</v>
      </c>
      <c r="C283" s="3" t="s">
        <v>1870</v>
      </c>
      <c r="O283" s="2"/>
      <c r="P283" t="s">
        <v>129</v>
      </c>
      <c r="Q283" s="1"/>
      <c r="S283" s="1" t="s">
        <v>130</v>
      </c>
      <c r="T283" s="17" t="s">
        <v>554</v>
      </c>
      <c r="U283" s="51">
        <v>103</v>
      </c>
      <c r="V283" s="18" t="s">
        <v>3077</v>
      </c>
      <c r="W283" s="18"/>
      <c r="X283" s="19"/>
      <c r="Y283" s="19"/>
      <c r="Z283" s="19"/>
      <c r="AA283" s="19"/>
      <c r="AB283" s="19"/>
      <c r="AC283" t="s">
        <v>1861</v>
      </c>
      <c r="AD283" s="43" t="str" cm="1">
        <f t="array" ref="AD283">IF(COUNTIFS(AC$2:AC283,AC283)=1,"1",VALUE(SUBSTITUTE(INDEX(AD:AD,_xlfn.XMATCH(AC283,AC$1:AC282,0,-1)),"A",""))+INDEX(AE:AE,_xlfn.XMATCH(AC283,AC$1:AC282,0,-1))+1)</f>
        <v>1</v>
      </c>
      <c r="AE283" s="43" cm="1">
        <f t="array" ref="AE283">SUM(IF(ISNUMBER(FIND("TmDi",$BE$1:$AAL$1)),IF(IFERROR(ISNUMBER(VALUE(SUBSTITUTE($BE283:$AAL283,"B",""))),FALSE),IF(ISNUMBER(VALUE(SUBSTITUTE($BE283:$AAL283,"B",""))),1,0),0)))</f>
        <v>5</v>
      </c>
      <c r="AF283" t="str">
        <f t="shared" si="702"/>
        <v>C1</v>
      </c>
      <c r="AG283" t="str">
        <f t="shared" si="703"/>
        <v>B1</v>
      </c>
      <c r="AH283" s="19" t="s">
        <v>1862</v>
      </c>
      <c r="AI283" s="64" t="str" cm="1">
        <f t="array" ref="AI283">IF(COUNTIFS(AH$2:AH283,AH283)=1,"1",VALUE(SUBSTITUTE(INDEX(AI:AI,_xlfn.XMATCH(AH283,AH$1:AH282,0,-1)),"A",""))+INDEX(AJ:AJ,_xlfn.XMATCH(AH283,AH$1:AH282,0,-1))+1)</f>
        <v>1</v>
      </c>
      <c r="AJ283" s="64" cm="1">
        <f t="array" ref="AJ283">SUM(IF(ISNUMBER(FIND("TmDo",$BE$1:$AAL$1)),IF(IFERROR(ISNUMBER(VALUE(SUBSTITUTE($BE283:$AAL283,"B",""))),FALSE),IF(ISNUMBER(VALUE(SUBSTITUTE($BE283:$AAL283,"B",""))),1,0),0)))</f>
        <v>2</v>
      </c>
      <c r="AK283" s="19" t="str">
        <f t="shared" ref="AK283:AK285" si="1235">CONCATENATE($AI283,"A")</f>
        <v>1A</v>
      </c>
      <c r="AL283" s="19" t="str">
        <f t="shared" ref="AL283:AL285" si="1236">CONCATENATE($AI283,"B")</f>
        <v>1B</v>
      </c>
      <c r="AM283" s="19" t="s">
        <v>141</v>
      </c>
      <c r="AN283" s="19"/>
      <c r="AO283" s="19"/>
      <c r="AP283" s="19" t="s">
        <v>137</v>
      </c>
      <c r="AQ283" s="23" t="s">
        <v>1794</v>
      </c>
      <c r="AR283" s="19"/>
      <c r="AS283" s="19"/>
      <c r="AT283" s="19" t="s">
        <v>139</v>
      </c>
      <c r="AU283" s="19" t="s">
        <v>140</v>
      </c>
      <c r="AX283" s="19"/>
      <c r="BD283" s="16"/>
      <c r="BE283" s="19" t="str">
        <f t="shared" si="1207"/>
        <v>XT103</v>
      </c>
      <c r="BF283" s="19" t="str">
        <f t="shared" si="1208"/>
        <v>C2</v>
      </c>
      <c r="BG283" s="19" t="str">
        <f t="shared" si="1209"/>
        <v>B2</v>
      </c>
      <c r="BH283" s="19" t="str">
        <f t="shared" si="1210"/>
        <v>C3</v>
      </c>
      <c r="BI283" s="19" t="str">
        <f t="shared" si="1211"/>
        <v>B3</v>
      </c>
      <c r="BJ283" s="19" t="str">
        <f t="shared" si="1212"/>
        <v>C4</v>
      </c>
      <c r="BK283" s="19" t="str">
        <f t="shared" si="1213"/>
        <v>B4</v>
      </c>
      <c r="BL283" s="19" t="str">
        <f t="shared" si="1214"/>
        <v>C5</v>
      </c>
      <c r="BM283" s="19" t="str">
        <f t="shared" si="1215"/>
        <v>B5</v>
      </c>
      <c r="BN283" s="19" t="str">
        <f t="shared" ref="BN283" si="1237">CONCATENATE("C",REPLACE(BL283,1,1,"")+1)</f>
        <v>C6</v>
      </c>
      <c r="BO283" s="19" t="str">
        <f t="shared" ref="BO283" si="1238">CONCATENATE("B",REPLACE(BM283,1,1,"")+1)</f>
        <v>B6</v>
      </c>
      <c r="BP283" s="19" t="str">
        <f>CONCATENATE(REPLACE(AK283,LEN(AK283),1,"")+1,"A")</f>
        <v>2A</v>
      </c>
      <c r="BQ283" s="19" t="str">
        <f>CONCATENATE(REPLACE(AL283,LEN(AL283),1,"")+1,"B")</f>
        <v>2B</v>
      </c>
      <c r="BR283" s="19" t="str">
        <f>CONCATENATE(REPLACE(BP283,LEN(BP283),1,"")+1,"A")</f>
        <v>3A</v>
      </c>
      <c r="BS283" s="19" t="str">
        <f>CONCATENATE(REPLACE(BQ283,LEN(BQ283),1,"")+1,"B")</f>
        <v>3B</v>
      </c>
      <c r="BT283" s="19" t="str">
        <f t="shared" si="1216"/>
        <v>DI18-C1</v>
      </c>
      <c r="BU283" s="19" t="str">
        <f t="shared" si="1217"/>
        <v>DI18-B1</v>
      </c>
      <c r="BV283" s="19" t="str">
        <f t="shared" si="1218"/>
        <v>DI18-C2</v>
      </c>
      <c r="BW283" s="19" t="str">
        <f t="shared" si="1219"/>
        <v>DI18-B2</v>
      </c>
      <c r="BX283" s="19" t="str">
        <f t="shared" si="1220"/>
        <v>DI18-C3</v>
      </c>
      <c r="BY283" s="19" t="str">
        <f t="shared" si="1221"/>
        <v>DI18-B3</v>
      </c>
      <c r="BZ283" s="19" t="str">
        <f t="shared" si="1222"/>
        <v>DI18-C4</v>
      </c>
      <c r="CA283" s="19" t="str">
        <f t="shared" si="1223"/>
        <v>DI18-B4</v>
      </c>
      <c r="CB283" s="19" t="str">
        <f t="shared" si="1224"/>
        <v>DI18-C5</v>
      </c>
      <c r="CC283" s="19" t="str">
        <f t="shared" si="1225"/>
        <v>DI18-B5</v>
      </c>
      <c r="CD283" s="19" t="str">
        <f t="shared" si="1226"/>
        <v>DI18-C6</v>
      </c>
      <c r="CE283" s="19" t="str">
        <f t="shared" si="1227"/>
        <v>DI18-B6</v>
      </c>
      <c r="CF283" s="19" t="str">
        <f t="shared" si="1228"/>
        <v>DO10-1A</v>
      </c>
      <c r="CG283" s="19" t="str">
        <f t="shared" si="1229"/>
        <v>DO10-1B</v>
      </c>
      <c r="CH283" s="19" t="str">
        <f t="shared" si="1230"/>
        <v>DO10-2A</v>
      </c>
      <c r="CI283" s="19" t="str">
        <f t="shared" si="1231"/>
        <v>DO10-2B</v>
      </c>
      <c r="CJ283" s="19" t="str">
        <f t="shared" si="1232"/>
        <v>DO10-3A</v>
      </c>
      <c r="CK283" s="19" t="str">
        <f t="shared" si="1233"/>
        <v>DO10-3B</v>
      </c>
      <c r="CL283" s="19" t="str">
        <f t="shared" si="678"/>
        <v>K103-10</v>
      </c>
      <c r="CM283" s="19" t="str">
        <f t="shared" si="679"/>
        <v>K103-03</v>
      </c>
      <c r="CN283" s="19" t="str">
        <f t="shared" si="680"/>
        <v>K103-04</v>
      </c>
      <c r="CO283" s="19" t="str">
        <f t="shared" si="681"/>
        <v>K103-01</v>
      </c>
      <c r="CP283" s="19" t="str">
        <f t="shared" si="682"/>
        <v>K103-08</v>
      </c>
      <c r="CQ283" s="19" t="str">
        <f t="shared" si="683"/>
        <v>K103-02</v>
      </c>
      <c r="CR283" s="19" t="str">
        <f t="shared" si="684"/>
        <v>K103-09</v>
      </c>
      <c r="CS283" s="19" t="str">
        <f t="shared" si="685"/>
        <v>K103-05</v>
      </c>
      <c r="CT283" s="19" t="str">
        <f t="shared" si="686"/>
        <v>K103-11</v>
      </c>
      <c r="CU283" s="19" t="str">
        <f t="shared" si="687"/>
        <v>F0-M103-A9</v>
      </c>
      <c r="CV283" s="19" t="str">
        <f t="shared" si="688"/>
        <v>F0-M103-A7</v>
      </c>
      <c r="CW283" s="19" t="str">
        <f t="shared" si="689"/>
        <v>F0-M103-A8</v>
      </c>
      <c r="CX283" s="19" t="str">
        <f t="shared" si="690"/>
        <v>F0-M103-A6</v>
      </c>
      <c r="CY283" s="19" t="str">
        <f t="shared" si="691"/>
        <v>F0-M103-A30</v>
      </c>
      <c r="CZ283" s="19" t="str">
        <f t="shared" si="692"/>
        <v>F0-M103-N</v>
      </c>
      <c r="DA283" s="19" t="str">
        <f t="shared" si="1234"/>
        <v>F0-A220-M103</v>
      </c>
      <c r="DB283" s="19" t="str">
        <f t="shared" si="693"/>
        <v>F0-M103-XM01</v>
      </c>
      <c r="DC283" s="19" t="str">
        <f t="shared" si="694"/>
        <v>F0-M103-A1</v>
      </c>
      <c r="DD283" s="19" t="str">
        <f t="shared" si="695"/>
        <v>F0-M103-A5</v>
      </c>
      <c r="DE283" s="19" t="str">
        <f t="shared" si="696"/>
        <v>F0-M103-A11</v>
      </c>
      <c r="DF283" s="19" t="str">
        <f t="shared" si="697"/>
        <v>F0-M103-A12</v>
      </c>
      <c r="DG283" s="19" t="str">
        <f t="shared" si="698"/>
        <v>F0-M103-A19</v>
      </c>
      <c r="DH283" s="19" t="str">
        <f t="shared" si="699"/>
        <v>F0-M103-A20</v>
      </c>
      <c r="DI283" s="19" t="s">
        <v>142</v>
      </c>
      <c r="DJ283" s="19" t="s">
        <v>143</v>
      </c>
      <c r="DK283" s="19">
        <v>11</v>
      </c>
      <c r="DL283" s="19">
        <v>14</v>
      </c>
      <c r="DM283" s="19">
        <v>12</v>
      </c>
      <c r="DN283" s="19" t="s">
        <v>144</v>
      </c>
      <c r="DO283" s="19" t="s">
        <v>145</v>
      </c>
      <c r="DP283" s="19">
        <v>1</v>
      </c>
      <c r="DQ283" s="19">
        <v>2</v>
      </c>
      <c r="DR283" s="19">
        <v>3</v>
      </c>
      <c r="DS283" s="19">
        <v>4</v>
      </c>
      <c r="DT283" s="19">
        <v>5</v>
      </c>
      <c r="DU283" s="19">
        <v>6</v>
      </c>
      <c r="DV283" s="19">
        <v>7</v>
      </c>
      <c r="DW283" s="19">
        <v>8</v>
      </c>
      <c r="DX283" s="19">
        <v>9</v>
      </c>
      <c r="DY283" s="19">
        <v>10</v>
      </c>
      <c r="DZ283" s="19">
        <v>11</v>
      </c>
      <c r="EA283" s="19">
        <v>12</v>
      </c>
      <c r="EB283" s="19">
        <v>13</v>
      </c>
      <c r="EC283" s="19">
        <v>14</v>
      </c>
      <c r="ED283" s="19">
        <v>1</v>
      </c>
      <c r="EE283" s="19">
        <v>3</v>
      </c>
      <c r="EF283" s="19">
        <v>4</v>
      </c>
      <c r="EG283" s="19">
        <v>7</v>
      </c>
      <c r="EH283" s="19">
        <v>8</v>
      </c>
      <c r="EI283" s="19">
        <v>9</v>
      </c>
      <c r="EJ283" s="19">
        <v>10</v>
      </c>
      <c r="EK283" s="19">
        <v>13</v>
      </c>
      <c r="EL283" s="19">
        <v>14</v>
      </c>
      <c r="EM283" s="19">
        <v>15</v>
      </c>
      <c r="EN283" s="19">
        <v>16</v>
      </c>
      <c r="EO283" s="19">
        <v>22</v>
      </c>
      <c r="EP283" s="19">
        <v>23</v>
      </c>
      <c r="EQ283" s="20">
        <v>24</v>
      </c>
    </row>
    <row r="284" spans="1:357" ht="15.75" thickBot="1" x14ac:dyDescent="0.3">
      <c r="A284" t="s">
        <v>1863</v>
      </c>
      <c r="B284" t="s">
        <v>1866</v>
      </c>
      <c r="C284" s="3" t="s">
        <v>1870</v>
      </c>
      <c r="O284" s="2"/>
      <c r="P284" t="s">
        <v>129</v>
      </c>
      <c r="Q284" s="1"/>
      <c r="S284" s="1" t="s">
        <v>130</v>
      </c>
      <c r="T284" s="17" t="s">
        <v>554</v>
      </c>
      <c r="U284" s="51">
        <v>104</v>
      </c>
      <c r="V284" s="18" t="s">
        <v>3078</v>
      </c>
      <c r="W284" s="18"/>
      <c r="X284" s="19"/>
      <c r="Y284" s="19"/>
      <c r="Z284" s="19"/>
      <c r="AA284" s="19"/>
      <c r="AB284" s="19"/>
      <c r="AC284" t="str">
        <f t="shared" si="827"/>
        <v>A5.18</v>
      </c>
      <c r="AD284" s="43" cm="1">
        <f t="array" ref="AD284">IF(COUNTIFS(AC$2:AC284,AC284)=1,"1",VALUE(SUBSTITUTE(INDEX(AD:AD,_xlfn.XMATCH(AC284,AC$1:AC283,0,-1)),"A",""))+INDEX(AE:AE,_xlfn.XMATCH(AC284,AC$1:AC283,0,-1))+1)</f>
        <v>7</v>
      </c>
      <c r="AE284" s="43" cm="1">
        <f t="array" ref="AE284">SUM(IF(ISNUMBER(FIND("TmDi",$BE$1:$AAL$1)),IF(IFERROR(ISNUMBER(VALUE(SUBSTITUTE($BE284:$AAL284,"B",""))),FALSE),IF(ISNUMBER(VALUE(SUBSTITUTE($BE284:$AAL284,"B",""))),1,0),0)))</f>
        <v>5</v>
      </c>
      <c r="AF284" t="str">
        <f t="shared" si="702"/>
        <v>C7</v>
      </c>
      <c r="AG284" t="str">
        <f t="shared" si="703"/>
        <v>B7</v>
      </c>
      <c r="AH284" t="str">
        <f t="shared" si="704"/>
        <v>A6.10</v>
      </c>
      <c r="AI284" s="64" cm="1">
        <f t="array" ref="AI284">IF(COUNTIFS(AH$2:AH284,AH284)=1,"1",VALUE(SUBSTITUTE(INDEX(AI:AI,_xlfn.XMATCH(AH284,AH$1:AH283,0,-1)),"A",""))+INDEX(AJ:AJ,_xlfn.XMATCH(AH284,AH$1:AH283,0,-1))+1)</f>
        <v>4</v>
      </c>
      <c r="AJ284" s="64" cm="1">
        <f t="array" ref="AJ284">SUM(IF(ISNUMBER(FIND("TmDo",$BE$1:$AAL$1)),IF(IFERROR(ISNUMBER(VALUE(SUBSTITUTE($BE284:$AAL284,"B",""))),FALSE),IF(ISNUMBER(VALUE(SUBSTITUTE($BE284:$AAL284,"B",""))),1,0),0)))</f>
        <v>2</v>
      </c>
      <c r="AK284" s="19" t="str">
        <f t="shared" si="1235"/>
        <v>4A</v>
      </c>
      <c r="AL284" s="19" t="str">
        <f t="shared" si="1236"/>
        <v>4B</v>
      </c>
      <c r="AM284" s="19" t="s">
        <v>150</v>
      </c>
      <c r="AN284" s="19"/>
      <c r="AO284" s="19"/>
      <c r="AP284" s="19" t="s">
        <v>137</v>
      </c>
      <c r="AQ284" s="23" t="s">
        <v>1794</v>
      </c>
      <c r="AR284" s="19"/>
      <c r="AS284" s="19"/>
      <c r="AT284" s="19" t="s">
        <v>139</v>
      </c>
      <c r="AU284" s="19" t="s">
        <v>140</v>
      </c>
      <c r="AX284" s="19"/>
      <c r="BD284" s="16"/>
      <c r="BE284" s="19" t="str">
        <f t="shared" ref="BE284" si="1239">CONCATENATE("XT",U284)</f>
        <v>XT104</v>
      </c>
      <c r="BF284" s="19" t="str">
        <f t="shared" ref="BF284" si="1240">CONCATENATE("C",REPLACE(AF284,1,1,"")+1)</f>
        <v>C8</v>
      </c>
      <c r="BG284" s="19" t="str">
        <f t="shared" ref="BG284" si="1241">CONCATENATE("B",REPLACE(AG284,1,1,"")+1)</f>
        <v>B8</v>
      </c>
      <c r="BH284" s="19" t="str">
        <f t="shared" ref="BH284" si="1242">CONCATENATE("C",REPLACE(BF284,1,1,"")+1)</f>
        <v>C9</v>
      </c>
      <c r="BI284" s="19" t="str">
        <f t="shared" ref="BI284" si="1243">CONCATENATE("B",REPLACE(BG284,1,1,"")+1)</f>
        <v>B9</v>
      </c>
      <c r="BJ284" s="19" t="str">
        <f t="shared" ref="BJ284" si="1244">CONCATENATE("C",REPLACE(BH284,1,1,"")+1)</f>
        <v>C10</v>
      </c>
      <c r="BK284" s="19" t="str">
        <f t="shared" ref="BK284" si="1245">CONCATENATE("B",REPLACE(BI284,1,1,"")+1)</f>
        <v>B10</v>
      </c>
      <c r="BL284" s="19" t="str">
        <f t="shared" ref="BL284" si="1246">CONCATENATE("C",REPLACE(BJ284,1,1,"")+1)</f>
        <v>C11</v>
      </c>
      <c r="BM284" s="19" t="str">
        <f t="shared" ref="BM284" si="1247">CONCATENATE("B",REPLACE(BK284,1,1,"")+1)</f>
        <v>B11</v>
      </c>
      <c r="BN284" s="19" t="str">
        <f t="shared" ref="BN284" si="1248">CONCATENATE("C",REPLACE(BL284,1,1,"")+1)</f>
        <v>C12</v>
      </c>
      <c r="BO284" s="19" t="str">
        <f t="shared" ref="BO284" si="1249">CONCATENATE("B",REPLACE(BM284,1,1,"")+1)</f>
        <v>B12</v>
      </c>
      <c r="BP284" s="19" t="str">
        <f>CONCATENATE(REPLACE(AK284,LEN(AK284),1,"")+1,"A")</f>
        <v>5A</v>
      </c>
      <c r="BQ284" s="19" t="str">
        <f>CONCATENATE(REPLACE(AL284,LEN(AL284),1,"")+1,"B")</f>
        <v>5B</v>
      </c>
      <c r="BR284" s="19" t="str">
        <f>CONCATENATE(REPLACE(BP284,LEN(BP284),1,"")+1,"A")</f>
        <v>6A</v>
      </c>
      <c r="BS284" s="19" t="str">
        <f>CONCATENATE(REPLACE(BQ284,LEN(BQ284),1,"")+1,"B")</f>
        <v>6B</v>
      </c>
      <c r="BT284" s="19" t="str">
        <f t="shared" ref="BT284" si="1250">CONCATENATE("DI",REPLACE($AC284,1,3,""),"-",AF284)</f>
        <v>DI18-C7</v>
      </c>
      <c r="BU284" s="19" t="str">
        <f t="shared" ref="BU284" si="1251">CONCATENATE("DI",REPLACE($AC284,1,3,""),"-",AG284)</f>
        <v>DI18-B7</v>
      </c>
      <c r="BV284" s="19" t="str">
        <f t="shared" ref="BV284" si="1252">CONCATENATE("DI",REPLACE($AC284,1,3,""),"-",BF284)</f>
        <v>DI18-C8</v>
      </c>
      <c r="BW284" s="19" t="str">
        <f t="shared" ref="BW284" si="1253">CONCATENATE("DI",REPLACE($AC284,1,3,""),"-",BG284)</f>
        <v>DI18-B8</v>
      </c>
      <c r="BX284" s="19" t="str">
        <f t="shared" ref="BX284" si="1254">CONCATENATE("DI",REPLACE($AC284,1,3,""),"-",BH284)</f>
        <v>DI18-C9</v>
      </c>
      <c r="BY284" s="19" t="str">
        <f t="shared" ref="BY284" si="1255">CONCATENATE("DI",REPLACE($AC284,1,3,""),"-",BI284)</f>
        <v>DI18-B9</v>
      </c>
      <c r="BZ284" s="19" t="str">
        <f t="shared" ref="BZ284" si="1256">CONCATENATE("DI",REPLACE($AC284,1,3,""),"-",BJ284)</f>
        <v>DI18-C10</v>
      </c>
      <c r="CA284" s="19" t="str">
        <f t="shared" ref="CA284" si="1257">CONCATENATE("DI",REPLACE($AC284,1,3,""),"-",BK284)</f>
        <v>DI18-B10</v>
      </c>
      <c r="CB284" s="19" t="str">
        <f t="shared" ref="CB284" si="1258">CONCATENATE("DI",REPLACE($AC284,1,3,""),"-",BL284)</f>
        <v>DI18-C11</v>
      </c>
      <c r="CC284" s="19" t="str">
        <f t="shared" ref="CC284" si="1259">CONCATENATE("DI",REPLACE($AC284,1,3,""),"-",BM284)</f>
        <v>DI18-B11</v>
      </c>
      <c r="CD284" s="19" t="str">
        <f t="shared" ref="CD284" si="1260">CONCATENATE("DI",REPLACE($AC284,1,3,""),"-",BN284)</f>
        <v>DI18-C12</v>
      </c>
      <c r="CE284" s="19" t="str">
        <f t="shared" ref="CE284" si="1261">CONCATENATE("DI",REPLACE($AC284,1,3,""),"-",BO284)</f>
        <v>DI18-B12</v>
      </c>
      <c r="CF284" s="19" t="str">
        <f t="shared" ref="CF284" si="1262">CONCATENATE("DO",REPLACE($AH284,1,3,""),"-",AK284)</f>
        <v>DO10-4A</v>
      </c>
      <c r="CG284" s="19" t="str">
        <f t="shared" ref="CG284" si="1263">CONCATENATE("DO",REPLACE($AH284,1,3,""),"-",AL284)</f>
        <v>DO10-4B</v>
      </c>
      <c r="CH284" s="19" t="str">
        <f t="shared" ref="CH284" si="1264">CONCATENATE("DO",REPLACE($AH284,1,3,""),"-",BP284)</f>
        <v>DO10-5A</v>
      </c>
      <c r="CI284" s="19" t="str">
        <f t="shared" ref="CI284" si="1265">CONCATENATE("DO",REPLACE($AH284,1,3,""),"-",BQ284)</f>
        <v>DO10-5B</v>
      </c>
      <c r="CJ284" s="19" t="str">
        <f t="shared" ref="CJ284" si="1266">CONCATENATE("DO",REPLACE($AH284,1,3,""),"-",BR284)</f>
        <v>DO10-6A</v>
      </c>
      <c r="CK284" s="19" t="str">
        <f t="shared" ref="CK284" si="1267">CONCATENATE("DO",REPLACE($AH284,1,3,""),"-",BS284)</f>
        <v>DO10-6B</v>
      </c>
      <c r="CL284" s="19" t="str">
        <f t="shared" si="678"/>
        <v>K104-10</v>
      </c>
      <c r="CM284" s="19" t="str">
        <f t="shared" si="679"/>
        <v>K104-03</v>
      </c>
      <c r="CN284" s="19" t="str">
        <f t="shared" si="680"/>
        <v>K104-04</v>
      </c>
      <c r="CO284" s="19" t="str">
        <f t="shared" si="681"/>
        <v>K104-01</v>
      </c>
      <c r="CP284" s="19" t="str">
        <f t="shared" si="682"/>
        <v>K104-08</v>
      </c>
      <c r="CQ284" s="19" t="str">
        <f t="shared" si="683"/>
        <v>K104-02</v>
      </c>
      <c r="CR284" s="19" t="str">
        <f t="shared" si="684"/>
        <v>K104-09</v>
      </c>
      <c r="CS284" s="19" t="str">
        <f t="shared" si="685"/>
        <v>K104-05</v>
      </c>
      <c r="CT284" s="19" t="str">
        <f t="shared" si="686"/>
        <v>K104-11</v>
      </c>
      <c r="CU284" s="19" t="str">
        <f t="shared" si="687"/>
        <v>F0-M104-A9</v>
      </c>
      <c r="CV284" s="19" t="str">
        <f t="shared" si="688"/>
        <v>F0-M104-A7</v>
      </c>
      <c r="CW284" s="19" t="str">
        <f t="shared" si="689"/>
        <v>F0-M104-A8</v>
      </c>
      <c r="CX284" s="19" t="str">
        <f t="shared" si="690"/>
        <v>F0-M104-A6</v>
      </c>
      <c r="CY284" s="19" t="str">
        <f t="shared" si="691"/>
        <v>F0-M104-A30</v>
      </c>
      <c r="CZ284" s="19" t="str">
        <f t="shared" si="692"/>
        <v>F0-M104-N</v>
      </c>
      <c r="DA284" s="19" t="str">
        <f t="shared" ref="DA284" si="1268">CONCATENATE($T284,"-A220-M",U284)</f>
        <v>F0-A220-M104</v>
      </c>
      <c r="DB284" s="19" t="str">
        <f t="shared" si="693"/>
        <v>F0-M104-XM01</v>
      </c>
      <c r="DC284" s="19" t="str">
        <f t="shared" si="694"/>
        <v>F0-M104-A1</v>
      </c>
      <c r="DD284" s="19" t="str">
        <f t="shared" si="695"/>
        <v>F0-M104-A5</v>
      </c>
      <c r="DE284" s="19" t="str">
        <f t="shared" si="696"/>
        <v>F0-M104-A11</v>
      </c>
      <c r="DF284" s="19" t="str">
        <f t="shared" si="697"/>
        <v>F0-M104-A12</v>
      </c>
      <c r="DG284" s="19" t="str">
        <f t="shared" si="698"/>
        <v>F0-M104-A19</v>
      </c>
      <c r="DH284" s="19" t="str">
        <f t="shared" si="699"/>
        <v>F0-M104-A20</v>
      </c>
      <c r="DI284" s="19" t="s">
        <v>142</v>
      </c>
      <c r="DJ284" s="19" t="s">
        <v>143</v>
      </c>
      <c r="DK284" s="19">
        <v>11</v>
      </c>
      <c r="DL284" s="19">
        <v>14</v>
      </c>
      <c r="DM284" s="19">
        <v>12</v>
      </c>
      <c r="DN284" s="19" t="s">
        <v>144</v>
      </c>
      <c r="DO284" s="19" t="s">
        <v>1805</v>
      </c>
      <c r="DP284" s="19">
        <v>1</v>
      </c>
      <c r="DQ284" s="19">
        <v>2</v>
      </c>
      <c r="DR284" s="19">
        <v>3</v>
      </c>
      <c r="DS284" s="19">
        <v>4</v>
      </c>
      <c r="DT284" s="19">
        <v>5</v>
      </c>
      <c r="DU284" s="19">
        <v>6</v>
      </c>
      <c r="DV284" s="19">
        <v>7</v>
      </c>
      <c r="DW284" s="19">
        <v>8</v>
      </c>
      <c r="DX284" s="19">
        <v>9</v>
      </c>
      <c r="DY284" s="19">
        <v>10</v>
      </c>
      <c r="DZ284" s="19">
        <v>11</v>
      </c>
      <c r="EA284" s="19">
        <v>12</v>
      </c>
      <c r="EB284" s="19">
        <v>13</v>
      </c>
      <c r="EC284" s="19">
        <v>14</v>
      </c>
      <c r="ED284" s="19">
        <v>1</v>
      </c>
      <c r="EE284" s="19">
        <v>3</v>
      </c>
      <c r="EF284" s="19">
        <v>4</v>
      </c>
      <c r="EG284" s="19">
        <v>7</v>
      </c>
      <c r="EH284" s="19">
        <v>8</v>
      </c>
      <c r="EI284" s="19">
        <v>9</v>
      </c>
      <c r="EJ284" s="19">
        <v>10</v>
      </c>
      <c r="EK284" s="19">
        <v>13</v>
      </c>
      <c r="EL284" s="19">
        <v>14</v>
      </c>
      <c r="EM284" s="19">
        <v>15</v>
      </c>
      <c r="EN284" s="19">
        <v>16</v>
      </c>
      <c r="EO284" s="19">
        <v>22</v>
      </c>
      <c r="EP284" s="19">
        <v>23</v>
      </c>
      <c r="EQ284" s="20">
        <v>24</v>
      </c>
    </row>
    <row r="285" spans="1:357" ht="15.75" thickBot="1" x14ac:dyDescent="0.3">
      <c r="A285" t="s">
        <v>1867</v>
      </c>
      <c r="B285" t="s">
        <v>1869</v>
      </c>
      <c r="C285" s="3" t="s">
        <v>1870</v>
      </c>
      <c r="O285" s="2"/>
      <c r="P285" t="s">
        <v>129</v>
      </c>
      <c r="Q285" s="1"/>
      <c r="S285" s="1" t="s">
        <v>130</v>
      </c>
      <c r="T285" s="17" t="s">
        <v>554</v>
      </c>
      <c r="U285" s="51">
        <v>105</v>
      </c>
      <c r="V285" s="18" t="s">
        <v>3079</v>
      </c>
      <c r="W285" s="18"/>
      <c r="X285" s="19"/>
      <c r="Y285" s="19"/>
      <c r="Z285" s="19"/>
      <c r="AA285" s="19"/>
      <c r="AB285" s="19"/>
      <c r="AC285" t="str">
        <f t="shared" ref="AC285:AC294" si="1269">IF(AD284+AE284&gt;31,REPLACE(AC284,LEN(AC284),1,VALUE(RIGHT(AC284,1))+1),AC284)</f>
        <v>A5.18</v>
      </c>
      <c r="AD285" s="43" cm="1">
        <f t="array" ref="AD285">IF(COUNTIFS(AC$2:AC285,AC285)=1,"1",VALUE(SUBSTITUTE(INDEX(AD:AD,_xlfn.XMATCH(AC285,AC$1:AC284,0,-1)),"A",""))+INDEX(AE:AE,_xlfn.XMATCH(AC285,AC$1:AC284,0,-1))+1)</f>
        <v>13</v>
      </c>
      <c r="AE285" s="43" cm="1">
        <f t="array" ref="AE285">SUM(IF(ISNUMBER(FIND("TmDi",$BE$1:$AAL$1)),IF(IFERROR(ISNUMBER(VALUE(SUBSTITUTE($BE285:$AAL285,"B",""))),FALSE),IF(ISNUMBER(VALUE(SUBSTITUTE($BE285:$AAL285,"B",""))),1,0),0)))</f>
        <v>5</v>
      </c>
      <c r="AF285" t="str">
        <f t="shared" si="702"/>
        <v>C13</v>
      </c>
      <c r="AG285" t="str">
        <f t="shared" si="703"/>
        <v>B13</v>
      </c>
      <c r="AH285" t="str">
        <f t="shared" ref="AH285" si="1270">IF(AI284+AJ284&gt;31,REPLACE(AH284,LEN(AH284),1,VALUE(RIGHT(AH284,1))+1),AH284)</f>
        <v>A6.10</v>
      </c>
      <c r="AI285" s="64" cm="1">
        <f t="array" ref="AI285">IF(COUNTIFS(AH$2:AH285,AH285)=1,"1",VALUE(SUBSTITUTE(INDEX(AI:AI,_xlfn.XMATCH(AH285,AH$1:AH284,0,-1)),"A",""))+INDEX(AJ:AJ,_xlfn.XMATCH(AH285,AH$1:AH284,0,-1))+1)</f>
        <v>7</v>
      </c>
      <c r="AJ285" s="64" cm="1">
        <f t="array" ref="AJ285">SUM(IF(ISNUMBER(FIND("TmDo",$BE$1:$AAL$1)),IF(IFERROR(ISNUMBER(VALUE(SUBSTITUTE($BE285:$AAL285,"B",""))),FALSE),IF(ISNUMBER(VALUE(SUBSTITUTE($BE285:$AAL285,"B",""))),1,0),0)))</f>
        <v>2</v>
      </c>
      <c r="AK285" s="19" t="str">
        <f t="shared" si="1235"/>
        <v>7A</v>
      </c>
      <c r="AL285" s="19" t="str">
        <f t="shared" si="1236"/>
        <v>7B</v>
      </c>
      <c r="AM285" s="19" t="s">
        <v>150</v>
      </c>
      <c r="AN285" s="19"/>
      <c r="AO285" s="19"/>
      <c r="AP285" s="19" t="s">
        <v>137</v>
      </c>
      <c r="AQ285" s="23" t="s">
        <v>1794</v>
      </c>
      <c r="AR285" s="19"/>
      <c r="AS285" s="19"/>
      <c r="AT285" s="19" t="s">
        <v>139</v>
      </c>
      <c r="AU285" s="19" t="s">
        <v>140</v>
      </c>
      <c r="AX285" s="19"/>
      <c r="BD285" s="16"/>
      <c r="BE285" s="19" t="str">
        <f t="shared" ref="BE285" si="1271">CONCATENATE("XT",U285)</f>
        <v>XT105</v>
      </c>
      <c r="BF285" s="19" t="str">
        <f t="shared" ref="BF285" si="1272">CONCATENATE("C",REPLACE(AF285,1,1,"")+1)</f>
        <v>C14</v>
      </c>
      <c r="BG285" s="19" t="str">
        <f t="shared" ref="BG285" si="1273">CONCATENATE("B",REPLACE(AG285,1,1,"")+1)</f>
        <v>B14</v>
      </c>
      <c r="BH285" s="19" t="str">
        <f t="shared" ref="BH285" si="1274">CONCATENATE("C",REPLACE(BF285,1,1,"")+1)</f>
        <v>C15</v>
      </c>
      <c r="BI285" s="19" t="str">
        <f t="shared" ref="BI285" si="1275">CONCATENATE("B",REPLACE(BG285,1,1,"")+1)</f>
        <v>B15</v>
      </c>
      <c r="BJ285" s="19" t="str">
        <f t="shared" ref="BJ285" si="1276">CONCATENATE("C",REPLACE(BH285,1,1,"")+1)</f>
        <v>C16</v>
      </c>
      <c r="BK285" s="19" t="str">
        <f t="shared" ref="BK285" si="1277">CONCATENATE("B",REPLACE(BI285,1,1,"")+1)</f>
        <v>B16</v>
      </c>
      <c r="BL285" s="19" t="str">
        <f t="shared" ref="BL285" si="1278">CONCATENATE("C",REPLACE(BJ285,1,1,"")+1)</f>
        <v>C17</v>
      </c>
      <c r="BM285" s="19" t="str">
        <f t="shared" ref="BM285" si="1279">CONCATENATE("B",REPLACE(BK285,1,1,"")+1)</f>
        <v>B17</v>
      </c>
      <c r="BN285" s="19" t="str">
        <f t="shared" ref="BN285" si="1280">CONCATENATE("C",REPLACE(BL285,1,1,"")+1)</f>
        <v>C18</v>
      </c>
      <c r="BO285" s="19" t="str">
        <f t="shared" ref="BO285" si="1281">CONCATENATE("B",REPLACE(BM285,1,1,"")+1)</f>
        <v>B18</v>
      </c>
      <c r="BP285" s="19" t="str">
        <f>CONCATENATE(REPLACE(AK285,LEN(AK285),1,"")+1,"A")</f>
        <v>8A</v>
      </c>
      <c r="BQ285" s="19" t="str">
        <f>CONCATENATE(REPLACE(AL285,LEN(AL285),1,"")+1,"B")</f>
        <v>8B</v>
      </c>
      <c r="BR285" s="19" t="str">
        <f>CONCATENATE(REPLACE(BP285,LEN(BP285),1,"")+1,"A")</f>
        <v>9A</v>
      </c>
      <c r="BS285" s="19" t="str">
        <f>CONCATENATE(REPLACE(BQ285,LEN(BQ285),1,"")+1,"B")</f>
        <v>9B</v>
      </c>
      <c r="BT285" s="19" t="str">
        <f t="shared" ref="BT285" si="1282">CONCATENATE("DI",REPLACE($AC285,1,3,""),"-",AF285)</f>
        <v>DI18-C13</v>
      </c>
      <c r="BU285" s="19" t="str">
        <f t="shared" ref="BU285" si="1283">CONCATENATE("DI",REPLACE($AC285,1,3,""),"-",AG285)</f>
        <v>DI18-B13</v>
      </c>
      <c r="BV285" s="19" t="str">
        <f t="shared" ref="BV285" si="1284">CONCATENATE("DI",REPLACE($AC285,1,3,""),"-",BF285)</f>
        <v>DI18-C14</v>
      </c>
      <c r="BW285" s="19" t="str">
        <f t="shared" ref="BW285" si="1285">CONCATENATE("DI",REPLACE($AC285,1,3,""),"-",BG285)</f>
        <v>DI18-B14</v>
      </c>
      <c r="BX285" s="19" t="str">
        <f t="shared" ref="BX285" si="1286">CONCATENATE("DI",REPLACE($AC285,1,3,""),"-",BH285)</f>
        <v>DI18-C15</v>
      </c>
      <c r="BY285" s="19" t="str">
        <f t="shared" ref="BY285" si="1287">CONCATENATE("DI",REPLACE($AC285,1,3,""),"-",BI285)</f>
        <v>DI18-B15</v>
      </c>
      <c r="BZ285" s="19" t="str">
        <f t="shared" ref="BZ285" si="1288">CONCATENATE("DI",REPLACE($AC285,1,3,""),"-",BJ285)</f>
        <v>DI18-C16</v>
      </c>
      <c r="CA285" s="19" t="str">
        <f t="shared" ref="CA285" si="1289">CONCATENATE("DI",REPLACE($AC285,1,3,""),"-",BK285)</f>
        <v>DI18-B16</v>
      </c>
      <c r="CB285" s="19" t="str">
        <f t="shared" ref="CB285" si="1290">CONCATENATE("DI",REPLACE($AC285,1,3,""),"-",BL285)</f>
        <v>DI18-C17</v>
      </c>
      <c r="CC285" s="19" t="str">
        <f t="shared" ref="CC285" si="1291">CONCATENATE("DI",REPLACE($AC285,1,3,""),"-",BM285)</f>
        <v>DI18-B17</v>
      </c>
      <c r="CD285" s="19" t="str">
        <f t="shared" ref="CD285" si="1292">CONCATENATE("DI",REPLACE($AC285,1,3,""),"-",BN285)</f>
        <v>DI18-C18</v>
      </c>
      <c r="CE285" s="19" t="str">
        <f t="shared" ref="CE285" si="1293">CONCATENATE("DI",REPLACE($AC285,1,3,""),"-",BO285)</f>
        <v>DI18-B18</v>
      </c>
      <c r="CF285" s="19" t="str">
        <f t="shared" ref="CF285" si="1294">CONCATENATE("DO",REPLACE($AH285,1,3,""),"-",AK285)</f>
        <v>DO10-7A</v>
      </c>
      <c r="CG285" s="19" t="str">
        <f t="shared" ref="CG285" si="1295">CONCATENATE("DO",REPLACE($AH285,1,3,""),"-",AL285)</f>
        <v>DO10-7B</v>
      </c>
      <c r="CH285" s="19" t="str">
        <f t="shared" ref="CH285" si="1296">CONCATENATE("DO",REPLACE($AH285,1,3,""),"-",BP285)</f>
        <v>DO10-8A</v>
      </c>
      <c r="CI285" s="19" t="str">
        <f t="shared" ref="CI285" si="1297">CONCATENATE("DO",REPLACE($AH285,1,3,""),"-",BQ285)</f>
        <v>DO10-8B</v>
      </c>
      <c r="CJ285" s="19" t="str">
        <f t="shared" ref="CJ285" si="1298">CONCATENATE("DO",REPLACE($AH285,1,3,""),"-",BR285)</f>
        <v>DO10-9A</v>
      </c>
      <c r="CK285" s="19" t="str">
        <f t="shared" ref="CK285" si="1299">CONCATENATE("DO",REPLACE($AH285,1,3,""),"-",BS285)</f>
        <v>DO10-9B</v>
      </c>
      <c r="CL285" s="19" t="str">
        <f t="shared" si="678"/>
        <v>K105-10</v>
      </c>
      <c r="CM285" s="19" t="str">
        <f t="shared" si="679"/>
        <v>K105-03</v>
      </c>
      <c r="CN285" s="19" t="str">
        <f t="shared" si="680"/>
        <v>K105-04</v>
      </c>
      <c r="CO285" s="19" t="str">
        <f t="shared" si="681"/>
        <v>K105-01</v>
      </c>
      <c r="CP285" s="19" t="str">
        <f t="shared" si="682"/>
        <v>K105-08</v>
      </c>
      <c r="CQ285" s="19" t="str">
        <f t="shared" si="683"/>
        <v>K105-02</v>
      </c>
      <c r="CR285" s="19" t="str">
        <f t="shared" si="684"/>
        <v>K105-09</v>
      </c>
      <c r="CS285" s="19" t="str">
        <f t="shared" si="685"/>
        <v>K105-05</v>
      </c>
      <c r="CT285" s="19" t="str">
        <f t="shared" si="686"/>
        <v>K105-11</v>
      </c>
      <c r="CU285" s="19" t="str">
        <f t="shared" si="687"/>
        <v>F0-M105-A9</v>
      </c>
      <c r="CV285" s="19" t="str">
        <f t="shared" si="688"/>
        <v>F0-M105-A7</v>
      </c>
      <c r="CW285" s="19" t="str">
        <f t="shared" si="689"/>
        <v>F0-M105-A8</v>
      </c>
      <c r="CX285" s="19" t="str">
        <f t="shared" si="690"/>
        <v>F0-M105-A6</v>
      </c>
      <c r="CY285" s="19" t="str">
        <f t="shared" si="691"/>
        <v>F0-M105-A30</v>
      </c>
      <c r="CZ285" s="19" t="str">
        <f t="shared" si="692"/>
        <v>F0-M105-N</v>
      </c>
      <c r="DA285" s="19" t="str">
        <f t="shared" ref="DA285" si="1300">CONCATENATE($T285,"-A220-M",U285)</f>
        <v>F0-A220-M105</v>
      </c>
      <c r="DB285" s="19" t="str">
        <f t="shared" si="693"/>
        <v>F0-M105-XM01</v>
      </c>
      <c r="DC285" s="19" t="str">
        <f t="shared" si="694"/>
        <v>F0-M105-A1</v>
      </c>
      <c r="DD285" s="19" t="str">
        <f t="shared" si="695"/>
        <v>F0-M105-A5</v>
      </c>
      <c r="DE285" s="19" t="str">
        <f t="shared" si="696"/>
        <v>F0-M105-A11</v>
      </c>
      <c r="DF285" s="19" t="str">
        <f t="shared" si="697"/>
        <v>F0-M105-A12</v>
      </c>
      <c r="DG285" s="19" t="str">
        <f t="shared" si="698"/>
        <v>F0-M105-A19</v>
      </c>
      <c r="DH285" s="19" t="str">
        <f t="shared" si="699"/>
        <v>F0-M105-A20</v>
      </c>
      <c r="DI285" s="19" t="s">
        <v>142</v>
      </c>
      <c r="DJ285" s="19" t="s">
        <v>143</v>
      </c>
      <c r="DK285" s="19">
        <v>11</v>
      </c>
      <c r="DL285" s="19">
        <v>14</v>
      </c>
      <c r="DM285" s="19">
        <v>12</v>
      </c>
      <c r="DN285" s="19" t="s">
        <v>144</v>
      </c>
      <c r="DO285" s="19" t="s">
        <v>1812</v>
      </c>
      <c r="DP285" s="19">
        <v>1</v>
      </c>
      <c r="DQ285" s="19">
        <v>2</v>
      </c>
      <c r="DR285" s="19">
        <v>3</v>
      </c>
      <c r="DS285" s="19">
        <v>4</v>
      </c>
      <c r="DT285" s="19">
        <v>5</v>
      </c>
      <c r="DU285" s="19">
        <v>6</v>
      </c>
      <c r="DV285" s="19">
        <v>7</v>
      </c>
      <c r="DW285" s="19">
        <v>8</v>
      </c>
      <c r="DX285" s="19">
        <v>9</v>
      </c>
      <c r="DY285" s="19">
        <v>10</v>
      </c>
      <c r="DZ285" s="19">
        <v>11</v>
      </c>
      <c r="EA285" s="19">
        <v>12</v>
      </c>
      <c r="EB285" s="19">
        <v>13</v>
      </c>
      <c r="EC285" s="19">
        <v>14</v>
      </c>
      <c r="ED285" s="19">
        <v>1</v>
      </c>
      <c r="EE285" s="19">
        <v>3</v>
      </c>
      <c r="EF285" s="19">
        <v>4</v>
      </c>
      <c r="EG285" s="19">
        <v>7</v>
      </c>
      <c r="EH285" s="19">
        <v>8</v>
      </c>
      <c r="EI285" s="19">
        <v>9</v>
      </c>
      <c r="EJ285" s="19">
        <v>10</v>
      </c>
      <c r="EK285" s="19">
        <v>13</v>
      </c>
      <c r="EL285" s="19">
        <v>14</v>
      </c>
      <c r="EM285" s="19">
        <v>15</v>
      </c>
      <c r="EN285" s="19">
        <v>16</v>
      </c>
      <c r="EO285" s="19">
        <v>22</v>
      </c>
      <c r="EP285" s="19">
        <v>23</v>
      </c>
      <c r="EQ285" s="20">
        <v>24</v>
      </c>
    </row>
    <row r="286" spans="1:357" x14ac:dyDescent="0.25">
      <c r="A286" t="s">
        <v>2712</v>
      </c>
      <c r="B286" t="s">
        <v>3093</v>
      </c>
      <c r="P286" t="s">
        <v>1873</v>
      </c>
      <c r="T286" s="25" t="s">
        <v>554</v>
      </c>
      <c r="AC286" t="s">
        <v>1865</v>
      </c>
      <c r="AD286" s="43" t="str" cm="1">
        <f t="array" ref="AD286">IF(COUNTIFS(AC$2:AC286,AC286)=1,"1",VALUE(SUBSTITUTE(INDEX(AD:AD,_xlfn.XMATCH(AC286,AC$1:AC285,0,-1)),"A",""))+INDEX(AE:AE,_xlfn.XMATCH(AC286,AC$1:AC285,0,-1))+1)</f>
        <v>1</v>
      </c>
      <c r="AE286" s="43" cm="1">
        <f t="array" ref="AE286">SUM(IF(ISNUMBER(FIND("TmDi",$BE$1:$AAL$1)),IF(IFERROR(ISNUMBER(VALUE(SUBSTITUTE($BE286:$AAL286,"B",""))),FALSE),IF(ISNUMBER(VALUE(SUBSTITUTE($BE286:$AAL286,"B",""))),1,0),0)))</f>
        <v>0</v>
      </c>
      <c r="AF286" t="str">
        <f t="shared" si="702"/>
        <v>C1</v>
      </c>
      <c r="AG286" t="str">
        <f t="shared" si="703"/>
        <v>B1</v>
      </c>
      <c r="AP286" t="s">
        <v>137</v>
      </c>
      <c r="AT286" t="s">
        <v>854</v>
      </c>
      <c r="AU286" t="s">
        <v>1399</v>
      </c>
      <c r="LY286" s="25" t="str">
        <f>CONCATENATE("DI",REPLACE($AC286,1,3,""),"-",$AF286)</f>
        <v>DI19-C1</v>
      </c>
      <c r="LZ286" s="12"/>
      <c r="MA286" s="12" t="s">
        <v>1884</v>
      </c>
      <c r="MB286" s="12" t="s">
        <v>1883</v>
      </c>
      <c r="MC286" s="12">
        <v>11</v>
      </c>
      <c r="MD286" s="12">
        <v>14</v>
      </c>
      <c r="ME286" s="12" t="s">
        <v>142</v>
      </c>
      <c r="MF286" s="12" t="s">
        <v>143</v>
      </c>
      <c r="MG286" s="12" t="s">
        <v>488</v>
      </c>
      <c r="MH286" s="12" t="s">
        <v>487</v>
      </c>
      <c r="MI286" s="12" t="s">
        <v>414</v>
      </c>
      <c r="MJ286" s="12" t="s">
        <v>413</v>
      </c>
      <c r="MK286" s="12"/>
      <c r="ML286" s="12"/>
      <c r="MM286" s="12"/>
      <c r="MN286" s="12"/>
      <c r="MO286" s="12"/>
      <c r="MP286" s="12"/>
      <c r="MQ286" s="12">
        <v>1</v>
      </c>
      <c r="MR286" s="13">
        <v>2</v>
      </c>
      <c r="MS286" s="27"/>
    </row>
    <row r="287" spans="1:357" x14ac:dyDescent="0.25">
      <c r="A287" t="s">
        <v>2713</v>
      </c>
      <c r="B287" t="s">
        <v>3094</v>
      </c>
      <c r="P287" t="s">
        <v>1873</v>
      </c>
      <c r="T287" s="27" t="s">
        <v>554</v>
      </c>
      <c r="AC287" t="str">
        <f t="shared" si="1269"/>
        <v>A5.19</v>
      </c>
      <c r="AD287" s="43" cm="1">
        <f t="array" ref="AD287">IF(COUNTIFS(AC$2:AC287,AC287)=1,"1",VALUE(SUBSTITUTE(INDEX(AD:AD,_xlfn.XMATCH(AC287,AC$1:AC286,0,-1)),"A",""))+INDEX(AE:AE,_xlfn.XMATCH(AC287,AC$1:AC286,0,-1))+1)</f>
        <v>2</v>
      </c>
      <c r="AE287" s="43" cm="1">
        <f t="array" ref="AE287">SUM(IF(ISNUMBER(FIND("TmDi",$BE$1:$AAL$1)),IF(IFERROR(ISNUMBER(VALUE(SUBSTITUTE($BE287:$AAL287,"B",""))),FALSE),IF(ISNUMBER(VALUE(SUBSTITUTE($BE287:$AAL287,"B",""))),1,0),0)))</f>
        <v>0</v>
      </c>
      <c r="AF287" t="str">
        <f t="shared" si="702"/>
        <v>C2</v>
      </c>
      <c r="AG287" t="str">
        <f t="shared" si="703"/>
        <v>B2</v>
      </c>
      <c r="AP287" t="s">
        <v>137</v>
      </c>
      <c r="AT287" t="s">
        <v>854</v>
      </c>
      <c r="AU287" t="s">
        <v>1399</v>
      </c>
      <c r="LY287" s="27" t="str">
        <f>CONCATENATE("DI",REPLACE($AC287,1,3,""),"-",$AF287)</f>
        <v>DI19-C2</v>
      </c>
      <c r="MA287" t="s">
        <v>1885</v>
      </c>
      <c r="MB287" t="s">
        <v>1886</v>
      </c>
      <c r="MC287">
        <f t="shared" ref="MC287:MJ287" si="1301">MC286</f>
        <v>11</v>
      </c>
      <c r="MD287">
        <f t="shared" si="1301"/>
        <v>14</v>
      </c>
      <c r="ME287" t="str">
        <f t="shared" si="1301"/>
        <v>A1</v>
      </c>
      <c r="MF287" t="str">
        <f t="shared" si="1301"/>
        <v>A2</v>
      </c>
      <c r="MG287" t="str">
        <f t="shared" si="1301"/>
        <v>0v3</v>
      </c>
      <c r="MH287" t="str">
        <f t="shared" si="1301"/>
        <v>24v3</v>
      </c>
      <c r="MI287" t="str">
        <f t="shared" si="1301"/>
        <v>0v6</v>
      </c>
      <c r="MJ287" t="str">
        <f t="shared" si="1301"/>
        <v>24v6</v>
      </c>
      <c r="MQ287">
        <f>MQ286</f>
        <v>1</v>
      </c>
      <c r="MR287" s="16">
        <f>MR286</f>
        <v>2</v>
      </c>
    </row>
    <row r="288" spans="1:357" x14ac:dyDescent="0.25">
      <c r="A288" t="s">
        <v>2714</v>
      </c>
      <c r="B288" t="s">
        <v>3095</v>
      </c>
      <c r="P288" t="s">
        <v>1873</v>
      </c>
      <c r="T288" s="27" t="s">
        <v>554</v>
      </c>
      <c r="AC288" t="str">
        <f t="shared" si="1269"/>
        <v>A5.19</v>
      </c>
      <c r="AD288" s="43" cm="1">
        <f t="array" ref="AD288">IF(COUNTIFS(AC$2:AC288,AC288)=1,"1",VALUE(SUBSTITUTE(INDEX(AD:AD,_xlfn.XMATCH(AC288,AC$1:AC287,0,-1)),"A",""))+INDEX(AE:AE,_xlfn.XMATCH(AC288,AC$1:AC287,0,-1))+1)</f>
        <v>3</v>
      </c>
      <c r="AE288" s="43" cm="1">
        <f t="array" ref="AE288">SUM(IF(ISNUMBER(FIND("TmDi",$BE$1:$AAL$1)),IF(IFERROR(ISNUMBER(VALUE(SUBSTITUTE($BE288:$AAL288,"B",""))),FALSE),IF(ISNUMBER(VALUE(SUBSTITUTE($BE288:$AAL288,"B",""))),1,0),0)))</f>
        <v>0</v>
      </c>
      <c r="AF288" t="str">
        <f t="shared" si="702"/>
        <v>C3</v>
      </c>
      <c r="AG288" t="str">
        <f t="shared" si="703"/>
        <v>B3</v>
      </c>
      <c r="AP288" t="s">
        <v>137</v>
      </c>
      <c r="AT288" t="s">
        <v>854</v>
      </c>
      <c r="AU288" t="s">
        <v>1399</v>
      </c>
      <c r="LY288" s="27" t="str">
        <f t="shared" ref="LY288:LY294" si="1302">CONCATENATE("DI",REPLACE($AC288,1,3,""),"-",$AF288)</f>
        <v>DI19-C3</v>
      </c>
      <c r="MA288" t="s">
        <v>1887</v>
      </c>
      <c r="MB288" t="s">
        <v>1888</v>
      </c>
      <c r="MC288">
        <f t="shared" ref="MC288:MC294" si="1303">MC287</f>
        <v>11</v>
      </c>
      <c r="MD288">
        <f t="shared" ref="MD288:MD294" si="1304">MD287</f>
        <v>14</v>
      </c>
      <c r="ME288" t="str">
        <f t="shared" ref="ME288:ME294" si="1305">ME287</f>
        <v>A1</v>
      </c>
      <c r="MF288" t="str">
        <f t="shared" ref="MF288:MF294" si="1306">MF287</f>
        <v>A2</v>
      </c>
      <c r="MG288" t="str">
        <f t="shared" ref="MG288:MG294" si="1307">MG287</f>
        <v>0v3</v>
      </c>
      <c r="MH288" t="str">
        <f t="shared" ref="MH288:MH294" si="1308">MH287</f>
        <v>24v3</v>
      </c>
      <c r="MI288" t="str">
        <f t="shared" ref="MI288:MI294" si="1309">MI287</f>
        <v>0v6</v>
      </c>
      <c r="MJ288" t="str">
        <f t="shared" ref="MJ288:MJ294" si="1310">MJ287</f>
        <v>24v6</v>
      </c>
      <c r="MQ288">
        <f t="shared" ref="MQ288:MQ294" si="1311">MQ287</f>
        <v>1</v>
      </c>
      <c r="MR288" s="16">
        <f t="shared" ref="MR288:MR294" si="1312">MR287</f>
        <v>2</v>
      </c>
    </row>
    <row r="289" spans="1:357" x14ac:dyDescent="0.25">
      <c r="A289" t="s">
        <v>2715</v>
      </c>
      <c r="B289" t="s">
        <v>3096</v>
      </c>
      <c r="P289" t="s">
        <v>1873</v>
      </c>
      <c r="T289" s="27" t="s">
        <v>554</v>
      </c>
      <c r="AC289" t="str">
        <f t="shared" si="1269"/>
        <v>A5.19</v>
      </c>
      <c r="AD289" s="43" cm="1">
        <f t="array" ref="AD289">IF(COUNTIFS(AC$2:AC289,AC289)=1,"1",VALUE(SUBSTITUTE(INDEX(AD:AD,_xlfn.XMATCH(AC289,AC$1:AC288,0,-1)),"A",""))+INDEX(AE:AE,_xlfn.XMATCH(AC289,AC$1:AC288,0,-1))+1)</f>
        <v>4</v>
      </c>
      <c r="AE289" s="43" cm="1">
        <f t="array" ref="AE289">SUM(IF(ISNUMBER(FIND("TmDi",$BE$1:$AAL$1)),IF(IFERROR(ISNUMBER(VALUE(SUBSTITUTE($BE289:$AAL289,"B",""))),FALSE),IF(ISNUMBER(VALUE(SUBSTITUTE($BE289:$AAL289,"B",""))),1,0),0)))</f>
        <v>0</v>
      </c>
      <c r="AF289" t="str">
        <f t="shared" si="702"/>
        <v>C4</v>
      </c>
      <c r="AG289" t="str">
        <f t="shared" si="703"/>
        <v>B4</v>
      </c>
      <c r="AP289" t="s">
        <v>137</v>
      </c>
      <c r="AT289" t="s">
        <v>854</v>
      </c>
      <c r="AU289" t="s">
        <v>1399</v>
      </c>
      <c r="LY289" s="27" t="str">
        <f t="shared" si="1302"/>
        <v>DI19-C4</v>
      </c>
      <c r="MA289" t="s">
        <v>1889</v>
      </c>
      <c r="MB289" t="s">
        <v>1890</v>
      </c>
      <c r="MC289">
        <f t="shared" si="1303"/>
        <v>11</v>
      </c>
      <c r="MD289">
        <f t="shared" si="1304"/>
        <v>14</v>
      </c>
      <c r="ME289" t="str">
        <f t="shared" si="1305"/>
        <v>A1</v>
      </c>
      <c r="MF289" t="str">
        <f t="shared" si="1306"/>
        <v>A2</v>
      </c>
      <c r="MG289" t="str">
        <f t="shared" si="1307"/>
        <v>0v3</v>
      </c>
      <c r="MH289" t="str">
        <f t="shared" si="1308"/>
        <v>24v3</v>
      </c>
      <c r="MI289" t="str">
        <f t="shared" si="1309"/>
        <v>0v6</v>
      </c>
      <c r="MJ289" t="str">
        <f t="shared" si="1310"/>
        <v>24v6</v>
      </c>
      <c r="MQ289">
        <f t="shared" si="1311"/>
        <v>1</v>
      </c>
      <c r="MR289" s="16">
        <f t="shared" si="1312"/>
        <v>2</v>
      </c>
    </row>
    <row r="290" spans="1:357" x14ac:dyDescent="0.25">
      <c r="A290" t="s">
        <v>2716</v>
      </c>
      <c r="B290" t="s">
        <v>3097</v>
      </c>
      <c r="P290" t="s">
        <v>1873</v>
      </c>
      <c r="T290" s="27" t="s">
        <v>554</v>
      </c>
      <c r="AC290" t="str">
        <f t="shared" si="1269"/>
        <v>A5.19</v>
      </c>
      <c r="AD290" s="43" cm="1">
        <f t="array" ref="AD290">IF(COUNTIFS(AC$2:AC290,AC290)=1,"1",VALUE(SUBSTITUTE(INDEX(AD:AD,_xlfn.XMATCH(AC290,AC$1:AC289,0,-1)),"A",""))+INDEX(AE:AE,_xlfn.XMATCH(AC290,AC$1:AC289,0,-1))+1)</f>
        <v>5</v>
      </c>
      <c r="AE290" s="43" cm="1">
        <f t="array" ref="AE290">SUM(IF(ISNUMBER(FIND("TmDi",$BE$1:$AAL$1)),IF(IFERROR(ISNUMBER(VALUE(SUBSTITUTE($BE290:$AAL290,"B",""))),FALSE),IF(ISNUMBER(VALUE(SUBSTITUTE($BE290:$AAL290,"B",""))),1,0),0)))</f>
        <v>0</v>
      </c>
      <c r="AF290" t="str">
        <f t="shared" si="702"/>
        <v>C5</v>
      </c>
      <c r="AG290" t="str">
        <f t="shared" si="703"/>
        <v>B5</v>
      </c>
      <c r="AP290" t="s">
        <v>137</v>
      </c>
      <c r="AT290" t="s">
        <v>854</v>
      </c>
      <c r="AU290" t="s">
        <v>1399</v>
      </c>
      <c r="LY290" s="27" t="str">
        <f t="shared" si="1302"/>
        <v>DI19-C5</v>
      </c>
      <c r="MA290" t="s">
        <v>1891</v>
      </c>
      <c r="MB290" t="s">
        <v>1892</v>
      </c>
      <c r="MC290">
        <f t="shared" si="1303"/>
        <v>11</v>
      </c>
      <c r="MD290">
        <f t="shared" si="1304"/>
        <v>14</v>
      </c>
      <c r="ME290" t="str">
        <f t="shared" si="1305"/>
        <v>A1</v>
      </c>
      <c r="MF290" t="str">
        <f t="shared" si="1306"/>
        <v>A2</v>
      </c>
      <c r="MG290" t="str">
        <f t="shared" si="1307"/>
        <v>0v3</v>
      </c>
      <c r="MH290" t="str">
        <f t="shared" si="1308"/>
        <v>24v3</v>
      </c>
      <c r="MI290" t="str">
        <f t="shared" si="1309"/>
        <v>0v6</v>
      </c>
      <c r="MJ290" t="str">
        <f t="shared" si="1310"/>
        <v>24v6</v>
      </c>
      <c r="MQ290">
        <f t="shared" si="1311"/>
        <v>1</v>
      </c>
      <c r="MR290" s="16">
        <f t="shared" si="1312"/>
        <v>2</v>
      </c>
    </row>
    <row r="291" spans="1:357" x14ac:dyDescent="0.25">
      <c r="A291" t="s">
        <v>2717</v>
      </c>
      <c r="B291" t="s">
        <v>3098</v>
      </c>
      <c r="P291" t="s">
        <v>1873</v>
      </c>
      <c r="T291" s="27" t="s">
        <v>554</v>
      </c>
      <c r="AC291" t="str">
        <f t="shared" si="1269"/>
        <v>A5.19</v>
      </c>
      <c r="AD291" s="43" cm="1">
        <f t="array" ref="AD291">IF(COUNTIFS(AC$2:AC291,AC291)=1,"1",VALUE(SUBSTITUTE(INDEX(AD:AD,_xlfn.XMATCH(AC291,AC$1:AC290,0,-1)),"A",""))+INDEX(AE:AE,_xlfn.XMATCH(AC291,AC$1:AC290,0,-1))+1)</f>
        <v>6</v>
      </c>
      <c r="AE291" s="43" cm="1">
        <f t="array" ref="AE291">SUM(IF(ISNUMBER(FIND("TmDi",$BE$1:$AAL$1)),IF(IFERROR(ISNUMBER(VALUE(SUBSTITUTE($BE291:$AAL291,"B",""))),FALSE),IF(ISNUMBER(VALUE(SUBSTITUTE($BE291:$AAL291,"B",""))),1,0),0)))</f>
        <v>0</v>
      </c>
      <c r="AF291" t="str">
        <f t="shared" si="702"/>
        <v>C6</v>
      </c>
      <c r="AG291" t="str">
        <f t="shared" si="703"/>
        <v>B6</v>
      </c>
      <c r="AP291" t="s">
        <v>137</v>
      </c>
      <c r="AT291" t="s">
        <v>854</v>
      </c>
      <c r="AU291" t="s">
        <v>1399</v>
      </c>
      <c r="LY291" s="27" t="str">
        <f t="shared" si="1302"/>
        <v>DI19-C6</v>
      </c>
      <c r="MA291" t="s">
        <v>1893</v>
      </c>
      <c r="MB291" t="s">
        <v>1894</v>
      </c>
      <c r="MC291">
        <f t="shared" si="1303"/>
        <v>11</v>
      </c>
      <c r="MD291">
        <f t="shared" si="1304"/>
        <v>14</v>
      </c>
      <c r="ME291" t="str">
        <f t="shared" si="1305"/>
        <v>A1</v>
      </c>
      <c r="MF291" t="str">
        <f t="shared" si="1306"/>
        <v>A2</v>
      </c>
      <c r="MG291" t="str">
        <f t="shared" si="1307"/>
        <v>0v3</v>
      </c>
      <c r="MH291" t="str">
        <f t="shared" si="1308"/>
        <v>24v3</v>
      </c>
      <c r="MI291" t="str">
        <f t="shared" si="1309"/>
        <v>0v6</v>
      </c>
      <c r="MJ291" t="str">
        <f t="shared" si="1310"/>
        <v>24v6</v>
      </c>
      <c r="MQ291">
        <f t="shared" si="1311"/>
        <v>1</v>
      </c>
      <c r="MR291" s="16">
        <f t="shared" si="1312"/>
        <v>2</v>
      </c>
    </row>
    <row r="292" spans="1:357" x14ac:dyDescent="0.25">
      <c r="A292" t="s">
        <v>2718</v>
      </c>
      <c r="B292" t="s">
        <v>3099</v>
      </c>
      <c r="P292" t="s">
        <v>1873</v>
      </c>
      <c r="T292" s="27" t="s">
        <v>554</v>
      </c>
      <c r="AC292" t="str">
        <f t="shared" si="1269"/>
        <v>A5.19</v>
      </c>
      <c r="AD292" s="43" cm="1">
        <f t="array" ref="AD292">IF(COUNTIFS(AC$2:AC292,AC292)=1,"1",VALUE(SUBSTITUTE(INDEX(AD:AD,_xlfn.XMATCH(AC292,AC$1:AC291,0,-1)),"A",""))+INDEX(AE:AE,_xlfn.XMATCH(AC292,AC$1:AC291,0,-1))+1)</f>
        <v>7</v>
      </c>
      <c r="AE292" s="43" cm="1">
        <f t="array" ref="AE292">SUM(IF(ISNUMBER(FIND("TmDi",$BE$1:$AAL$1)),IF(IFERROR(ISNUMBER(VALUE(SUBSTITUTE($BE292:$AAL292,"B",""))),FALSE),IF(ISNUMBER(VALUE(SUBSTITUTE($BE292:$AAL292,"B",""))),1,0),0)))</f>
        <v>0</v>
      </c>
      <c r="AF292" t="str">
        <f t="shared" si="702"/>
        <v>C7</v>
      </c>
      <c r="AG292" t="str">
        <f t="shared" si="703"/>
        <v>B7</v>
      </c>
      <c r="AP292" t="s">
        <v>137</v>
      </c>
      <c r="AT292" t="s">
        <v>854</v>
      </c>
      <c r="AU292" t="s">
        <v>1399</v>
      </c>
      <c r="LY292" s="27" t="str">
        <f t="shared" si="1302"/>
        <v>DI19-C7</v>
      </c>
      <c r="MA292" t="s">
        <v>1895</v>
      </c>
      <c r="MB292" t="s">
        <v>1896</v>
      </c>
      <c r="MC292">
        <f t="shared" si="1303"/>
        <v>11</v>
      </c>
      <c r="MD292">
        <f t="shared" si="1304"/>
        <v>14</v>
      </c>
      <c r="ME292" t="str">
        <f t="shared" si="1305"/>
        <v>A1</v>
      </c>
      <c r="MF292" t="str">
        <f t="shared" si="1306"/>
        <v>A2</v>
      </c>
      <c r="MG292" t="str">
        <f t="shared" si="1307"/>
        <v>0v3</v>
      </c>
      <c r="MH292" t="str">
        <f t="shared" si="1308"/>
        <v>24v3</v>
      </c>
      <c r="MI292" t="str">
        <f t="shared" si="1309"/>
        <v>0v6</v>
      </c>
      <c r="MJ292" t="str">
        <f t="shared" si="1310"/>
        <v>24v6</v>
      </c>
      <c r="MQ292">
        <f t="shared" si="1311"/>
        <v>1</v>
      </c>
      <c r="MR292" s="16">
        <f t="shared" si="1312"/>
        <v>2</v>
      </c>
    </row>
    <row r="293" spans="1:357" x14ac:dyDescent="0.25">
      <c r="A293" t="s">
        <v>2719</v>
      </c>
      <c r="B293" t="s">
        <v>3100</v>
      </c>
      <c r="P293" t="s">
        <v>1873</v>
      </c>
      <c r="T293" s="27" t="s">
        <v>554</v>
      </c>
      <c r="AC293" t="str">
        <f t="shared" si="1269"/>
        <v>A5.19</v>
      </c>
      <c r="AD293" s="43" cm="1">
        <f t="array" ref="AD293">IF(COUNTIFS(AC$2:AC293,AC293)=1,"1",VALUE(SUBSTITUTE(INDEX(AD:AD,_xlfn.XMATCH(AC293,AC$1:AC292,0,-1)),"A",""))+INDEX(AE:AE,_xlfn.XMATCH(AC293,AC$1:AC292,0,-1))+1)</f>
        <v>8</v>
      </c>
      <c r="AE293" s="43" cm="1">
        <f t="array" ref="AE293">SUM(IF(ISNUMBER(FIND("TmDi",$BE$1:$AAL$1)),IF(IFERROR(ISNUMBER(VALUE(SUBSTITUTE($BE293:$AAL293,"B",""))),FALSE),IF(ISNUMBER(VALUE(SUBSTITUTE($BE293:$AAL293,"B",""))),1,0),0)))</f>
        <v>0</v>
      </c>
      <c r="AF293" t="str">
        <f t="shared" si="702"/>
        <v>C8</v>
      </c>
      <c r="AG293" t="str">
        <f t="shared" si="703"/>
        <v>B8</v>
      </c>
      <c r="AP293" t="s">
        <v>137</v>
      </c>
      <c r="AT293" t="s">
        <v>854</v>
      </c>
      <c r="AU293" t="s">
        <v>1399</v>
      </c>
      <c r="LY293" s="27" t="str">
        <f t="shared" si="1302"/>
        <v>DI19-C8</v>
      </c>
      <c r="MA293" t="s">
        <v>1897</v>
      </c>
      <c r="MB293" t="s">
        <v>1898</v>
      </c>
      <c r="MC293">
        <f t="shared" si="1303"/>
        <v>11</v>
      </c>
      <c r="MD293">
        <f t="shared" si="1304"/>
        <v>14</v>
      </c>
      <c r="ME293" t="str">
        <f t="shared" si="1305"/>
        <v>A1</v>
      </c>
      <c r="MF293" t="str">
        <f t="shared" si="1306"/>
        <v>A2</v>
      </c>
      <c r="MG293" t="str">
        <f t="shared" si="1307"/>
        <v>0v3</v>
      </c>
      <c r="MH293" t="str">
        <f t="shared" si="1308"/>
        <v>24v3</v>
      </c>
      <c r="MI293" t="str">
        <f t="shared" si="1309"/>
        <v>0v6</v>
      </c>
      <c r="MJ293" t="str">
        <f t="shared" si="1310"/>
        <v>24v6</v>
      </c>
      <c r="MQ293">
        <f t="shared" si="1311"/>
        <v>1</v>
      </c>
      <c r="MR293" s="16">
        <f t="shared" si="1312"/>
        <v>2</v>
      </c>
    </row>
    <row r="294" spans="1:357" ht="15.75" thickBot="1" x14ac:dyDescent="0.3">
      <c r="A294" t="s">
        <v>2720</v>
      </c>
      <c r="B294" t="s">
        <v>3101</v>
      </c>
      <c r="P294" t="s">
        <v>1873</v>
      </c>
      <c r="T294" s="27" t="s">
        <v>554</v>
      </c>
      <c r="AC294" t="str">
        <f t="shared" si="1269"/>
        <v>A5.19</v>
      </c>
      <c r="AD294" s="43" cm="1">
        <f t="array" ref="AD294">IF(COUNTIFS(AC$2:AC294,AC294)=1,"1",VALUE(SUBSTITUTE(INDEX(AD:AD,_xlfn.XMATCH(AC294,AC$1:AC293,0,-1)),"A",""))+INDEX(AE:AE,_xlfn.XMATCH(AC294,AC$1:AC293,0,-1))+1)</f>
        <v>9</v>
      </c>
      <c r="AE294" s="43" cm="1">
        <f t="array" ref="AE294">SUM(IF(ISNUMBER(FIND("TmDi",$BE$1:$AAL$1)),IF(IFERROR(ISNUMBER(VALUE(SUBSTITUTE($BE294:$AAL294,"B",""))),FALSE),IF(ISNUMBER(VALUE(SUBSTITUTE($BE294:$AAL294,"B",""))),1,0),0)))</f>
        <v>0</v>
      </c>
      <c r="AF294" t="str">
        <f t="shared" si="702"/>
        <v>C9</v>
      </c>
      <c r="AG294" t="str">
        <f t="shared" si="703"/>
        <v>B9</v>
      </c>
      <c r="AP294" t="s">
        <v>137</v>
      </c>
      <c r="AT294" t="s">
        <v>854</v>
      </c>
      <c r="AU294" t="s">
        <v>1399</v>
      </c>
      <c r="LY294" s="27" t="str">
        <f t="shared" si="1302"/>
        <v>DI19-C9</v>
      </c>
      <c r="MA294" t="s">
        <v>1899</v>
      </c>
      <c r="MB294" t="s">
        <v>1900</v>
      </c>
      <c r="MC294">
        <f t="shared" si="1303"/>
        <v>11</v>
      </c>
      <c r="MD294">
        <f t="shared" si="1304"/>
        <v>14</v>
      </c>
      <c r="ME294" t="str">
        <f t="shared" si="1305"/>
        <v>A1</v>
      </c>
      <c r="MF294" t="str">
        <f t="shared" si="1306"/>
        <v>A2</v>
      </c>
      <c r="MG294" t="str">
        <f t="shared" si="1307"/>
        <v>0v3</v>
      </c>
      <c r="MH294" t="str">
        <f t="shared" si="1308"/>
        <v>24v3</v>
      </c>
      <c r="MI294" t="str">
        <f t="shared" si="1309"/>
        <v>0v6</v>
      </c>
      <c r="MJ294" t="str">
        <f t="shared" si="1310"/>
        <v>24v6</v>
      </c>
      <c r="MQ294">
        <f t="shared" si="1311"/>
        <v>1</v>
      </c>
      <c r="MR294" s="16">
        <f t="shared" si="1312"/>
        <v>2</v>
      </c>
    </row>
    <row r="295" spans="1:357" x14ac:dyDescent="0.25">
      <c r="A295" t="s">
        <v>3086</v>
      </c>
      <c r="B295" t="s">
        <v>3102</v>
      </c>
      <c r="P295" t="s">
        <v>1873</v>
      </c>
      <c r="T295" s="27" t="s">
        <v>3092</v>
      </c>
      <c r="AC295" t="s">
        <v>1865</v>
      </c>
      <c r="AD295" s="43" cm="1">
        <f t="array" ref="AD295">IF(COUNTIFS(AC$2:AC295,AC295)=1,"1",VALUE(SUBSTITUTE(INDEX(AD:AD,_xlfn.XMATCH(AC295,AC$1:AC294,0,-1)),"A",""))+INDEX(AE:AE,_xlfn.XMATCH(AC295,AC$1:AC294,0,-1))+1)</f>
        <v>10</v>
      </c>
      <c r="AE295" s="43" cm="1">
        <f t="array" ref="AE295">SUM(IF(ISNUMBER(FIND("TmDi",$BE$1:$AAL$1)),IF(IFERROR(ISNUMBER(VALUE(SUBSTITUTE($BE295:$AAL295,"B",""))),FALSE),IF(ISNUMBER(VALUE(SUBSTITUTE($BE295:$AAL295,"B",""))),1,0),0)))</f>
        <v>0</v>
      </c>
      <c r="AF295" t="str">
        <f t="shared" si="702"/>
        <v>C10</v>
      </c>
      <c r="AG295" t="str">
        <f t="shared" si="703"/>
        <v>B10</v>
      </c>
      <c r="AP295" t="s">
        <v>137</v>
      </c>
      <c r="AT295" t="s">
        <v>854</v>
      </c>
      <c r="AU295" t="s">
        <v>1399</v>
      </c>
      <c r="LY295" s="25" t="str">
        <f>CONCATENATE("DI",REPLACE($AC295,1,3,""),"-",$AF295)</f>
        <v>DI19-C10</v>
      </c>
      <c r="LZ295" s="12"/>
      <c r="MA295" s="12" t="s">
        <v>1884</v>
      </c>
      <c r="MB295" s="12" t="s">
        <v>1883</v>
      </c>
      <c r="MC295" s="12">
        <v>11</v>
      </c>
      <c r="MD295" s="12">
        <v>14</v>
      </c>
      <c r="ME295" s="12" t="s">
        <v>142</v>
      </c>
      <c r="MF295" s="12" t="s">
        <v>143</v>
      </c>
      <c r="MG295" s="12" t="s">
        <v>488</v>
      </c>
      <c r="MH295" s="12" t="s">
        <v>487</v>
      </c>
      <c r="MI295" s="12" t="s">
        <v>414</v>
      </c>
      <c r="MJ295" s="12" t="s">
        <v>413</v>
      </c>
      <c r="MK295" s="12"/>
      <c r="ML295" s="12"/>
      <c r="MM295" s="12"/>
      <c r="MN295" s="12"/>
      <c r="MO295" s="12"/>
      <c r="MP295" s="12"/>
      <c r="MQ295" s="12">
        <v>1</v>
      </c>
      <c r="MR295" s="13">
        <v>2</v>
      </c>
      <c r="MS295" s="27"/>
    </row>
    <row r="296" spans="1:357" x14ac:dyDescent="0.25">
      <c r="A296" t="s">
        <v>3087</v>
      </c>
      <c r="B296" t="s">
        <v>3103</v>
      </c>
      <c r="P296" t="s">
        <v>1873</v>
      </c>
      <c r="T296" s="27" t="s">
        <v>3092</v>
      </c>
      <c r="AC296" t="str">
        <f t="shared" ref="AC296:AC300" si="1313">IF(AD295+AE295&gt;31,REPLACE(AC295,LEN(AC295),1,VALUE(RIGHT(AC295,1))+1),AC295)</f>
        <v>A5.19</v>
      </c>
      <c r="AD296" s="43" cm="1">
        <f t="array" ref="AD296">IF(COUNTIFS(AC$2:AC296,AC296)=1,"1",VALUE(SUBSTITUTE(INDEX(AD:AD,_xlfn.XMATCH(AC296,AC$1:AC295,0,-1)),"A",""))+INDEX(AE:AE,_xlfn.XMATCH(AC296,AC$1:AC295,0,-1))+1)</f>
        <v>11</v>
      </c>
      <c r="AE296" s="43" cm="1">
        <f t="array" ref="AE296">SUM(IF(ISNUMBER(FIND("TmDi",$BE$1:$AAL$1)),IF(IFERROR(ISNUMBER(VALUE(SUBSTITUTE($BE296:$AAL296,"B",""))),FALSE),IF(ISNUMBER(VALUE(SUBSTITUTE($BE296:$AAL296,"B",""))),1,0),0)))</f>
        <v>0</v>
      </c>
      <c r="AF296" t="str">
        <f t="shared" si="702"/>
        <v>C11</v>
      </c>
      <c r="AG296" t="str">
        <f t="shared" si="703"/>
        <v>B11</v>
      </c>
      <c r="AP296" t="s">
        <v>137</v>
      </c>
      <c r="AT296" t="s">
        <v>854</v>
      </c>
      <c r="AU296" t="s">
        <v>1399</v>
      </c>
      <c r="LY296" s="27" t="str">
        <f>CONCATENATE("DI",REPLACE($AC296,1,3,""),"-",$AF296)</f>
        <v>DI19-C11</v>
      </c>
      <c r="MA296" t="s">
        <v>1885</v>
      </c>
      <c r="MB296" t="s">
        <v>1886</v>
      </c>
      <c r="MC296">
        <f t="shared" ref="MC296:MJ300" si="1314">MC295</f>
        <v>11</v>
      </c>
      <c r="MD296">
        <f t="shared" si="1314"/>
        <v>14</v>
      </c>
      <c r="ME296" t="str">
        <f t="shared" si="1314"/>
        <v>A1</v>
      </c>
      <c r="MF296" t="str">
        <f t="shared" si="1314"/>
        <v>A2</v>
      </c>
      <c r="MG296" t="str">
        <f t="shared" si="1314"/>
        <v>0v3</v>
      </c>
      <c r="MH296" t="str">
        <f t="shared" si="1314"/>
        <v>24v3</v>
      </c>
      <c r="MI296" t="str">
        <f t="shared" si="1314"/>
        <v>0v6</v>
      </c>
      <c r="MJ296" t="str">
        <f t="shared" si="1314"/>
        <v>24v6</v>
      </c>
      <c r="MQ296">
        <f>MQ295</f>
        <v>1</v>
      </c>
      <c r="MR296" s="16">
        <f>MR295</f>
        <v>2</v>
      </c>
    </row>
    <row r="297" spans="1:357" x14ac:dyDescent="0.25">
      <c r="A297" t="s">
        <v>3088</v>
      </c>
      <c r="B297" t="s">
        <v>3104</v>
      </c>
      <c r="P297" t="s">
        <v>1873</v>
      </c>
      <c r="T297" s="27" t="s">
        <v>3092</v>
      </c>
      <c r="AC297" t="str">
        <f t="shared" si="1313"/>
        <v>A5.19</v>
      </c>
      <c r="AD297" s="43" cm="1">
        <f t="array" ref="AD297">IF(COUNTIFS(AC$2:AC297,AC297)=1,"1",VALUE(SUBSTITUTE(INDEX(AD:AD,_xlfn.XMATCH(AC297,AC$1:AC296,0,-1)),"A",""))+INDEX(AE:AE,_xlfn.XMATCH(AC297,AC$1:AC296,0,-1))+1)</f>
        <v>12</v>
      </c>
      <c r="AE297" s="43" cm="1">
        <f t="array" ref="AE297">SUM(IF(ISNUMBER(FIND("TmDi",$BE$1:$AAL$1)),IF(IFERROR(ISNUMBER(VALUE(SUBSTITUTE($BE297:$AAL297,"B",""))),FALSE),IF(ISNUMBER(VALUE(SUBSTITUTE($BE297:$AAL297,"B",""))),1,0),0)))</f>
        <v>0</v>
      </c>
      <c r="AF297" t="str">
        <f t="shared" si="702"/>
        <v>C12</v>
      </c>
      <c r="AG297" t="str">
        <f t="shared" si="703"/>
        <v>B12</v>
      </c>
      <c r="AP297" t="s">
        <v>137</v>
      </c>
      <c r="AT297" t="s">
        <v>854</v>
      </c>
      <c r="AU297" t="s">
        <v>1399</v>
      </c>
      <c r="LY297" s="27" t="str">
        <f t="shared" ref="LY297:LY300" si="1315">CONCATENATE("DI",REPLACE($AC297,1,3,""),"-",$AF297)</f>
        <v>DI19-C12</v>
      </c>
      <c r="MA297" t="s">
        <v>1887</v>
      </c>
      <c r="MB297" t="s">
        <v>1888</v>
      </c>
      <c r="MC297">
        <f t="shared" si="1314"/>
        <v>11</v>
      </c>
      <c r="MD297">
        <f t="shared" si="1314"/>
        <v>14</v>
      </c>
      <c r="ME297" t="str">
        <f t="shared" si="1314"/>
        <v>A1</v>
      </c>
      <c r="MF297" t="str">
        <f t="shared" si="1314"/>
        <v>A2</v>
      </c>
      <c r="MG297" t="str">
        <f t="shared" si="1314"/>
        <v>0v3</v>
      </c>
      <c r="MH297" t="str">
        <f t="shared" si="1314"/>
        <v>24v3</v>
      </c>
      <c r="MI297" t="str">
        <f t="shared" si="1314"/>
        <v>0v6</v>
      </c>
      <c r="MJ297" t="str">
        <f t="shared" si="1314"/>
        <v>24v6</v>
      </c>
      <c r="MQ297">
        <f t="shared" ref="MQ297:MR300" si="1316">MQ296</f>
        <v>1</v>
      </c>
      <c r="MR297" s="16">
        <f t="shared" si="1316"/>
        <v>2</v>
      </c>
    </row>
    <row r="298" spans="1:357" x14ac:dyDescent="0.25">
      <c r="A298" t="s">
        <v>3089</v>
      </c>
      <c r="B298" t="s">
        <v>3105</v>
      </c>
      <c r="P298" t="s">
        <v>1873</v>
      </c>
      <c r="T298" s="27" t="s">
        <v>3092</v>
      </c>
      <c r="AC298" t="str">
        <f t="shared" si="1313"/>
        <v>A5.19</v>
      </c>
      <c r="AD298" s="43" cm="1">
        <f t="array" ref="AD298">IF(COUNTIFS(AC$2:AC298,AC298)=1,"1",VALUE(SUBSTITUTE(INDEX(AD:AD,_xlfn.XMATCH(AC298,AC$1:AC297,0,-1)),"A",""))+INDEX(AE:AE,_xlfn.XMATCH(AC298,AC$1:AC297,0,-1))+1)</f>
        <v>13</v>
      </c>
      <c r="AE298" s="43" cm="1">
        <f t="array" ref="AE298">SUM(IF(ISNUMBER(FIND("TmDi",$BE$1:$AAL$1)),IF(IFERROR(ISNUMBER(VALUE(SUBSTITUTE($BE298:$AAL298,"B",""))),FALSE),IF(ISNUMBER(VALUE(SUBSTITUTE($BE298:$AAL298,"B",""))),1,0),0)))</f>
        <v>0</v>
      </c>
      <c r="AF298" t="str">
        <f t="shared" si="702"/>
        <v>C13</v>
      </c>
      <c r="AG298" t="str">
        <f t="shared" si="703"/>
        <v>B13</v>
      </c>
      <c r="AP298" t="s">
        <v>137</v>
      </c>
      <c r="AT298" t="s">
        <v>854</v>
      </c>
      <c r="AU298" t="s">
        <v>1399</v>
      </c>
      <c r="LY298" s="27" t="str">
        <f t="shared" si="1315"/>
        <v>DI19-C13</v>
      </c>
      <c r="MA298" t="s">
        <v>1889</v>
      </c>
      <c r="MB298" t="s">
        <v>1890</v>
      </c>
      <c r="MC298">
        <f t="shared" si="1314"/>
        <v>11</v>
      </c>
      <c r="MD298">
        <f t="shared" si="1314"/>
        <v>14</v>
      </c>
      <c r="ME298" t="str">
        <f t="shared" si="1314"/>
        <v>A1</v>
      </c>
      <c r="MF298" t="str">
        <f t="shared" si="1314"/>
        <v>A2</v>
      </c>
      <c r="MG298" t="str">
        <f t="shared" si="1314"/>
        <v>0v3</v>
      </c>
      <c r="MH298" t="str">
        <f t="shared" si="1314"/>
        <v>24v3</v>
      </c>
      <c r="MI298" t="str">
        <f t="shared" si="1314"/>
        <v>0v6</v>
      </c>
      <c r="MJ298" t="str">
        <f t="shared" si="1314"/>
        <v>24v6</v>
      </c>
      <c r="MQ298">
        <f t="shared" si="1316"/>
        <v>1</v>
      </c>
      <c r="MR298" s="16">
        <f t="shared" si="1316"/>
        <v>2</v>
      </c>
    </row>
    <row r="299" spans="1:357" x14ac:dyDescent="0.25">
      <c r="A299" t="s">
        <v>3090</v>
      </c>
      <c r="B299" t="s">
        <v>3106</v>
      </c>
      <c r="P299" t="s">
        <v>1873</v>
      </c>
      <c r="T299" s="27" t="s">
        <v>3092</v>
      </c>
      <c r="AC299" t="str">
        <f t="shared" si="1313"/>
        <v>A5.19</v>
      </c>
      <c r="AD299" s="43" cm="1">
        <f t="array" ref="AD299">IF(COUNTIFS(AC$2:AC299,AC299)=1,"1",VALUE(SUBSTITUTE(INDEX(AD:AD,_xlfn.XMATCH(AC299,AC$1:AC298,0,-1)),"A",""))+INDEX(AE:AE,_xlfn.XMATCH(AC299,AC$1:AC298,0,-1))+1)</f>
        <v>14</v>
      </c>
      <c r="AE299" s="43" cm="1">
        <f t="array" ref="AE299">SUM(IF(ISNUMBER(FIND("TmDi",$BE$1:$AAL$1)),IF(IFERROR(ISNUMBER(VALUE(SUBSTITUTE($BE299:$AAL299,"B",""))),FALSE),IF(ISNUMBER(VALUE(SUBSTITUTE($BE299:$AAL299,"B",""))),1,0),0)))</f>
        <v>0</v>
      </c>
      <c r="AF299" t="str">
        <f t="shared" si="702"/>
        <v>C14</v>
      </c>
      <c r="AG299" t="str">
        <f t="shared" si="703"/>
        <v>B14</v>
      </c>
      <c r="AP299" t="s">
        <v>137</v>
      </c>
      <c r="AT299" t="s">
        <v>854</v>
      </c>
      <c r="AU299" t="s">
        <v>1399</v>
      </c>
      <c r="LY299" s="27" t="str">
        <f t="shared" si="1315"/>
        <v>DI19-C14</v>
      </c>
      <c r="MA299" t="s">
        <v>1891</v>
      </c>
      <c r="MB299" t="s">
        <v>1892</v>
      </c>
      <c r="MC299">
        <f t="shared" si="1314"/>
        <v>11</v>
      </c>
      <c r="MD299">
        <f t="shared" si="1314"/>
        <v>14</v>
      </c>
      <c r="ME299" t="str">
        <f t="shared" si="1314"/>
        <v>A1</v>
      </c>
      <c r="MF299" t="str">
        <f t="shared" si="1314"/>
        <v>A2</v>
      </c>
      <c r="MG299" t="str">
        <f t="shared" si="1314"/>
        <v>0v3</v>
      </c>
      <c r="MH299" t="str">
        <f t="shared" si="1314"/>
        <v>24v3</v>
      </c>
      <c r="MI299" t="str">
        <f t="shared" si="1314"/>
        <v>0v6</v>
      </c>
      <c r="MJ299" t="str">
        <f t="shared" si="1314"/>
        <v>24v6</v>
      </c>
      <c r="MQ299">
        <f t="shared" si="1316"/>
        <v>1</v>
      </c>
      <c r="MR299" s="16">
        <f t="shared" si="1316"/>
        <v>2</v>
      </c>
    </row>
    <row r="300" spans="1:357" ht="15.75" thickBot="1" x14ac:dyDescent="0.3">
      <c r="A300" t="s">
        <v>3091</v>
      </c>
      <c r="B300" t="s">
        <v>3107</v>
      </c>
      <c r="P300" t="s">
        <v>1873</v>
      </c>
      <c r="T300" s="27" t="s">
        <v>3092</v>
      </c>
      <c r="AC300" t="str">
        <f t="shared" si="1313"/>
        <v>A5.19</v>
      </c>
      <c r="AD300" s="43" cm="1">
        <f t="array" ref="AD300">IF(COUNTIFS(AC$2:AC300,AC300)=1,"1",VALUE(SUBSTITUTE(INDEX(AD:AD,_xlfn.XMATCH(AC300,AC$1:AC299,0,-1)),"A",""))+INDEX(AE:AE,_xlfn.XMATCH(AC300,AC$1:AC299,0,-1))+1)</f>
        <v>15</v>
      </c>
      <c r="AE300" s="43" cm="1">
        <f t="array" ref="AE300">SUM(IF(ISNUMBER(FIND("TmDi",$BE$1:$AAL$1)),IF(IFERROR(ISNUMBER(VALUE(SUBSTITUTE($BE300:$AAL300,"B",""))),FALSE),IF(ISNUMBER(VALUE(SUBSTITUTE($BE300:$AAL300,"B",""))),1,0),0)))</f>
        <v>0</v>
      </c>
      <c r="AF300" t="str">
        <f t="shared" si="702"/>
        <v>C15</v>
      </c>
      <c r="AG300" t="str">
        <f t="shared" si="703"/>
        <v>B15</v>
      </c>
      <c r="AP300" t="s">
        <v>137</v>
      </c>
      <c r="AT300" t="s">
        <v>854</v>
      </c>
      <c r="AU300" t="s">
        <v>1399</v>
      </c>
      <c r="LY300" s="27" t="str">
        <f t="shared" si="1315"/>
        <v>DI19-C15</v>
      </c>
      <c r="MA300" t="s">
        <v>1891</v>
      </c>
      <c r="MB300" t="s">
        <v>1892</v>
      </c>
      <c r="MC300">
        <f t="shared" si="1314"/>
        <v>11</v>
      </c>
      <c r="MD300">
        <f t="shared" si="1314"/>
        <v>14</v>
      </c>
      <c r="ME300" t="str">
        <f t="shared" si="1314"/>
        <v>A1</v>
      </c>
      <c r="MF300" t="str">
        <f t="shared" si="1314"/>
        <v>A2</v>
      </c>
      <c r="MG300" t="str">
        <f t="shared" si="1314"/>
        <v>0v3</v>
      </c>
      <c r="MH300" t="str">
        <f t="shared" si="1314"/>
        <v>24v3</v>
      </c>
      <c r="MI300" t="str">
        <f t="shared" si="1314"/>
        <v>0v6</v>
      </c>
      <c r="MJ300" t="str">
        <f t="shared" si="1314"/>
        <v>24v6</v>
      </c>
      <c r="MQ300">
        <f t="shared" si="1316"/>
        <v>1</v>
      </c>
      <c r="MR300" s="16">
        <f t="shared" si="1316"/>
        <v>2</v>
      </c>
    </row>
    <row r="301" spans="1:357" x14ac:dyDescent="0.25">
      <c r="A301" t="s">
        <v>3114</v>
      </c>
      <c r="B301" t="s">
        <v>3108</v>
      </c>
      <c r="P301" t="s">
        <v>1873</v>
      </c>
      <c r="T301" s="27" t="s">
        <v>3092</v>
      </c>
      <c r="AC301" t="s">
        <v>1865</v>
      </c>
      <c r="AD301" s="43" cm="1">
        <f t="array" ref="AD301">IF(COUNTIFS(AC$2:AC301,AC301)=1,"1",VALUE(SUBSTITUTE(INDEX(AD:AD,_xlfn.XMATCH(AC301,AC$1:AC300,0,-1)),"A",""))+INDEX(AE:AE,_xlfn.XMATCH(AC301,AC$1:AC300,0,-1))+1)</f>
        <v>16</v>
      </c>
      <c r="AE301" s="43" cm="1">
        <f t="array" ref="AE301">SUM(IF(ISNUMBER(FIND("TmDi",$BE$1:$AAL$1)),IF(IFERROR(ISNUMBER(VALUE(SUBSTITUTE($BE301:$AAL301,"B",""))),FALSE),IF(ISNUMBER(VALUE(SUBSTITUTE($BE301:$AAL301,"B",""))),1,0),0)))</f>
        <v>0</v>
      </c>
      <c r="AF301" t="str">
        <f t="shared" si="702"/>
        <v>C16</v>
      </c>
      <c r="AG301" t="str">
        <f t="shared" si="703"/>
        <v>B16</v>
      </c>
      <c r="AP301" t="s">
        <v>137</v>
      </c>
      <c r="AT301" t="s">
        <v>854</v>
      </c>
      <c r="AU301" t="s">
        <v>1399</v>
      </c>
      <c r="LY301" s="25" t="str">
        <f>CONCATENATE("DI",REPLACE($AC301,1,3,""),"-",$AF301)</f>
        <v>DI19-C16</v>
      </c>
      <c r="LZ301" s="12"/>
      <c r="MA301" s="12" t="s">
        <v>1884</v>
      </c>
      <c r="MB301" s="12" t="s">
        <v>1883</v>
      </c>
      <c r="MC301" s="12">
        <v>11</v>
      </c>
      <c r="MD301" s="12">
        <v>14</v>
      </c>
      <c r="ME301" s="12" t="s">
        <v>142</v>
      </c>
      <c r="MF301" s="12" t="s">
        <v>143</v>
      </c>
      <c r="MG301" s="12" t="s">
        <v>488</v>
      </c>
      <c r="MH301" s="12" t="s">
        <v>487</v>
      </c>
      <c r="MI301" s="12" t="s">
        <v>414</v>
      </c>
      <c r="MJ301" s="12" t="s">
        <v>413</v>
      </c>
      <c r="MK301" s="12"/>
      <c r="ML301" s="12"/>
      <c r="MM301" s="12"/>
      <c r="MN301" s="12"/>
      <c r="MO301" s="12"/>
      <c r="MP301" s="12"/>
      <c r="MQ301" s="12">
        <v>1</v>
      </c>
      <c r="MR301" s="13">
        <v>2</v>
      </c>
      <c r="MS301" s="27"/>
    </row>
    <row r="302" spans="1:357" x14ac:dyDescent="0.25">
      <c r="A302" t="s">
        <v>3115</v>
      </c>
      <c r="B302" t="s">
        <v>3109</v>
      </c>
      <c r="P302" t="s">
        <v>1873</v>
      </c>
      <c r="T302" s="27" t="s">
        <v>3092</v>
      </c>
      <c r="AC302" t="str">
        <f t="shared" ref="AC302:AC306" si="1317">IF(AD301+AE301&gt;31,REPLACE(AC301,LEN(AC301),1,VALUE(RIGHT(AC301,1))+1),AC301)</f>
        <v>A5.19</v>
      </c>
      <c r="AD302" s="43" cm="1">
        <f t="array" ref="AD302">IF(COUNTIFS(AC$2:AC302,AC302)=1,"1",VALUE(SUBSTITUTE(INDEX(AD:AD,_xlfn.XMATCH(AC302,AC$1:AC301,0,-1)),"A",""))+INDEX(AE:AE,_xlfn.XMATCH(AC302,AC$1:AC301,0,-1))+1)</f>
        <v>17</v>
      </c>
      <c r="AE302" s="43" cm="1">
        <f t="array" ref="AE302">SUM(IF(ISNUMBER(FIND("TmDi",$BE$1:$AAL$1)),IF(IFERROR(ISNUMBER(VALUE(SUBSTITUTE($BE302:$AAL302,"B",""))),FALSE),IF(ISNUMBER(VALUE(SUBSTITUTE($BE302:$AAL302,"B",""))),1,0),0)))</f>
        <v>0</v>
      </c>
      <c r="AF302" t="str">
        <f t="shared" si="702"/>
        <v>C17</v>
      </c>
      <c r="AG302" t="str">
        <f t="shared" si="703"/>
        <v>B17</v>
      </c>
      <c r="AP302" t="s">
        <v>137</v>
      </c>
      <c r="AT302" t="s">
        <v>854</v>
      </c>
      <c r="AU302" t="s">
        <v>1399</v>
      </c>
      <c r="LY302" s="27" t="str">
        <f>CONCATENATE("DI",REPLACE($AC302,1,3,""),"-",$AF302)</f>
        <v>DI19-C17</v>
      </c>
      <c r="MA302" t="s">
        <v>1885</v>
      </c>
      <c r="MB302" t="s">
        <v>1886</v>
      </c>
      <c r="MC302">
        <f t="shared" ref="MC302:MJ302" si="1318">MC301</f>
        <v>11</v>
      </c>
      <c r="MD302">
        <f t="shared" si="1318"/>
        <v>14</v>
      </c>
      <c r="ME302" t="str">
        <f t="shared" si="1318"/>
        <v>A1</v>
      </c>
      <c r="MF302" t="str">
        <f t="shared" si="1318"/>
        <v>A2</v>
      </c>
      <c r="MG302" t="str">
        <f t="shared" si="1318"/>
        <v>0v3</v>
      </c>
      <c r="MH302" t="str">
        <f t="shared" si="1318"/>
        <v>24v3</v>
      </c>
      <c r="MI302" t="str">
        <f t="shared" si="1318"/>
        <v>0v6</v>
      </c>
      <c r="MJ302" t="str">
        <f t="shared" si="1318"/>
        <v>24v6</v>
      </c>
      <c r="MQ302">
        <f>MQ301</f>
        <v>1</v>
      </c>
      <c r="MR302" s="16">
        <f>MR301</f>
        <v>2</v>
      </c>
    </row>
    <row r="303" spans="1:357" x14ac:dyDescent="0.25">
      <c r="A303" t="s">
        <v>3116</v>
      </c>
      <c r="B303" t="s">
        <v>3110</v>
      </c>
      <c r="P303" t="s">
        <v>1873</v>
      </c>
      <c r="T303" s="27" t="s">
        <v>3092</v>
      </c>
      <c r="AC303" t="str">
        <f t="shared" si="1317"/>
        <v>A5.19</v>
      </c>
      <c r="AD303" s="43" cm="1">
        <f t="array" ref="AD303">IF(COUNTIFS(AC$2:AC303,AC303)=1,"1",VALUE(SUBSTITUTE(INDEX(AD:AD,_xlfn.XMATCH(AC303,AC$1:AC302,0,-1)),"A",""))+INDEX(AE:AE,_xlfn.XMATCH(AC303,AC$1:AC302,0,-1))+1)</f>
        <v>18</v>
      </c>
      <c r="AE303" s="43" cm="1">
        <f t="array" ref="AE303">SUM(IF(ISNUMBER(FIND("TmDi",$BE$1:$AAL$1)),IF(IFERROR(ISNUMBER(VALUE(SUBSTITUTE($BE303:$AAL303,"B",""))),FALSE),IF(ISNUMBER(VALUE(SUBSTITUTE($BE303:$AAL303,"B",""))),1,0),0)))</f>
        <v>0</v>
      </c>
      <c r="AF303" t="str">
        <f t="shared" si="702"/>
        <v>C18</v>
      </c>
      <c r="AG303" t="str">
        <f t="shared" si="703"/>
        <v>B18</v>
      </c>
      <c r="AP303" t="s">
        <v>137</v>
      </c>
      <c r="AT303" t="s">
        <v>854</v>
      </c>
      <c r="AU303" t="s">
        <v>1399</v>
      </c>
      <c r="LY303" s="27" t="str">
        <f t="shared" ref="LY303:LY306" si="1319">CONCATENATE("DI",REPLACE($AC303,1,3,""),"-",$AF303)</f>
        <v>DI19-C18</v>
      </c>
      <c r="MA303" t="s">
        <v>1887</v>
      </c>
      <c r="MB303" t="s">
        <v>1888</v>
      </c>
      <c r="MC303">
        <f t="shared" ref="MC303:MJ303" si="1320">MC302</f>
        <v>11</v>
      </c>
      <c r="MD303">
        <f t="shared" si="1320"/>
        <v>14</v>
      </c>
      <c r="ME303" t="str">
        <f t="shared" si="1320"/>
        <v>A1</v>
      </c>
      <c r="MF303" t="str">
        <f t="shared" si="1320"/>
        <v>A2</v>
      </c>
      <c r="MG303" t="str">
        <f t="shared" si="1320"/>
        <v>0v3</v>
      </c>
      <c r="MH303" t="str">
        <f t="shared" si="1320"/>
        <v>24v3</v>
      </c>
      <c r="MI303" t="str">
        <f t="shared" si="1320"/>
        <v>0v6</v>
      </c>
      <c r="MJ303" t="str">
        <f t="shared" si="1320"/>
        <v>24v6</v>
      </c>
      <c r="MQ303">
        <f t="shared" ref="MQ303:MR303" si="1321">MQ302</f>
        <v>1</v>
      </c>
      <c r="MR303" s="16">
        <f t="shared" si="1321"/>
        <v>2</v>
      </c>
    </row>
    <row r="304" spans="1:357" x14ac:dyDescent="0.25">
      <c r="A304" t="s">
        <v>3117</v>
      </c>
      <c r="B304" t="s">
        <v>3111</v>
      </c>
      <c r="P304" t="s">
        <v>1873</v>
      </c>
      <c r="T304" s="27" t="s">
        <v>3092</v>
      </c>
      <c r="AC304" t="str">
        <f t="shared" si="1317"/>
        <v>A5.19</v>
      </c>
      <c r="AD304" s="43" cm="1">
        <f t="array" ref="AD304">IF(COUNTIFS(AC$2:AC304,AC304)=1,"1",VALUE(SUBSTITUTE(INDEX(AD:AD,_xlfn.XMATCH(AC304,AC$1:AC303,0,-1)),"A",""))+INDEX(AE:AE,_xlfn.XMATCH(AC304,AC$1:AC303,0,-1))+1)</f>
        <v>19</v>
      </c>
      <c r="AE304" s="43" cm="1">
        <f t="array" ref="AE304">SUM(IF(ISNUMBER(FIND("TmDi",$BE$1:$AAL$1)),IF(IFERROR(ISNUMBER(VALUE(SUBSTITUTE($BE304:$AAL304,"B",""))),FALSE),IF(ISNUMBER(VALUE(SUBSTITUTE($BE304:$AAL304,"B",""))),1,0),0)))</f>
        <v>0</v>
      </c>
      <c r="AF304" t="str">
        <f t="shared" si="702"/>
        <v>C19</v>
      </c>
      <c r="AG304" t="str">
        <f t="shared" si="703"/>
        <v>B19</v>
      </c>
      <c r="AP304" t="s">
        <v>137</v>
      </c>
      <c r="AT304" t="s">
        <v>854</v>
      </c>
      <c r="AU304" t="s">
        <v>1399</v>
      </c>
      <c r="LY304" s="27" t="str">
        <f t="shared" si="1319"/>
        <v>DI19-C19</v>
      </c>
      <c r="MA304" t="s">
        <v>1889</v>
      </c>
      <c r="MB304" t="s">
        <v>1890</v>
      </c>
      <c r="MC304">
        <f t="shared" ref="MC304:MJ304" si="1322">MC303</f>
        <v>11</v>
      </c>
      <c r="MD304">
        <f t="shared" si="1322"/>
        <v>14</v>
      </c>
      <c r="ME304" t="str">
        <f t="shared" si="1322"/>
        <v>A1</v>
      </c>
      <c r="MF304" t="str">
        <f t="shared" si="1322"/>
        <v>A2</v>
      </c>
      <c r="MG304" t="str">
        <f t="shared" si="1322"/>
        <v>0v3</v>
      </c>
      <c r="MH304" t="str">
        <f t="shared" si="1322"/>
        <v>24v3</v>
      </c>
      <c r="MI304" t="str">
        <f t="shared" si="1322"/>
        <v>0v6</v>
      </c>
      <c r="MJ304" t="str">
        <f t="shared" si="1322"/>
        <v>24v6</v>
      </c>
      <c r="MQ304">
        <f t="shared" ref="MQ304:MR304" si="1323">MQ303</f>
        <v>1</v>
      </c>
      <c r="MR304" s="16">
        <f t="shared" si="1323"/>
        <v>2</v>
      </c>
    </row>
    <row r="305" spans="1:580" x14ac:dyDescent="0.25">
      <c r="A305" t="s">
        <v>3118</v>
      </c>
      <c r="B305" t="s">
        <v>3112</v>
      </c>
      <c r="P305" t="s">
        <v>1873</v>
      </c>
      <c r="T305" s="27" t="s">
        <v>3092</v>
      </c>
      <c r="AC305" t="str">
        <f t="shared" si="1317"/>
        <v>A5.19</v>
      </c>
      <c r="AD305" s="43" cm="1">
        <f t="array" ref="AD305">IF(COUNTIFS(AC$2:AC305,AC305)=1,"1",VALUE(SUBSTITUTE(INDEX(AD:AD,_xlfn.XMATCH(AC305,AC$1:AC304,0,-1)),"A",""))+INDEX(AE:AE,_xlfn.XMATCH(AC305,AC$1:AC304,0,-1))+1)</f>
        <v>20</v>
      </c>
      <c r="AE305" s="43" cm="1">
        <f t="array" ref="AE305">SUM(IF(ISNUMBER(FIND("TmDi",$BE$1:$AAL$1)),IF(IFERROR(ISNUMBER(VALUE(SUBSTITUTE($BE305:$AAL305,"B",""))),FALSE),IF(ISNUMBER(VALUE(SUBSTITUTE($BE305:$AAL305,"B",""))),1,0),0)))</f>
        <v>0</v>
      </c>
      <c r="AF305" t="str">
        <f t="shared" si="702"/>
        <v>C20</v>
      </c>
      <c r="AG305" t="str">
        <f t="shared" si="703"/>
        <v>B20</v>
      </c>
      <c r="AP305" t="s">
        <v>137</v>
      </c>
      <c r="AT305" t="s">
        <v>854</v>
      </c>
      <c r="AU305" t="s">
        <v>1399</v>
      </c>
      <c r="LY305" s="27" t="str">
        <f t="shared" si="1319"/>
        <v>DI19-C20</v>
      </c>
      <c r="MA305" t="s">
        <v>1891</v>
      </c>
      <c r="MB305" t="s">
        <v>1892</v>
      </c>
      <c r="MC305">
        <f t="shared" ref="MC305:MJ305" si="1324">MC304</f>
        <v>11</v>
      </c>
      <c r="MD305">
        <f t="shared" si="1324"/>
        <v>14</v>
      </c>
      <c r="ME305" t="str">
        <f t="shared" si="1324"/>
        <v>A1</v>
      </c>
      <c r="MF305" t="str">
        <f t="shared" si="1324"/>
        <v>A2</v>
      </c>
      <c r="MG305" t="str">
        <f t="shared" si="1324"/>
        <v>0v3</v>
      </c>
      <c r="MH305" t="str">
        <f t="shared" si="1324"/>
        <v>24v3</v>
      </c>
      <c r="MI305" t="str">
        <f t="shared" si="1324"/>
        <v>0v6</v>
      </c>
      <c r="MJ305" t="str">
        <f t="shared" si="1324"/>
        <v>24v6</v>
      </c>
      <c r="MQ305">
        <f t="shared" ref="MQ305:MR305" si="1325">MQ304</f>
        <v>1</v>
      </c>
      <c r="MR305" s="16">
        <f t="shared" si="1325"/>
        <v>2</v>
      </c>
    </row>
    <row r="306" spans="1:580" x14ac:dyDescent="0.25">
      <c r="A306" t="s">
        <v>3119</v>
      </c>
      <c r="B306" t="s">
        <v>3113</v>
      </c>
      <c r="P306" t="s">
        <v>1873</v>
      </c>
      <c r="T306" s="27" t="s">
        <v>3092</v>
      </c>
      <c r="AC306" t="str">
        <f t="shared" si="1317"/>
        <v>A5.19</v>
      </c>
      <c r="AD306" s="43" cm="1">
        <f t="array" ref="AD306">IF(COUNTIFS(AC$2:AC306,AC306)=1,"1",VALUE(SUBSTITUTE(INDEX(AD:AD,_xlfn.XMATCH(AC306,AC$1:AC305,0,-1)),"A",""))+INDEX(AE:AE,_xlfn.XMATCH(AC306,AC$1:AC305,0,-1))+1)</f>
        <v>21</v>
      </c>
      <c r="AE306" s="43" cm="1">
        <f t="array" ref="AE306">SUM(IF(ISNUMBER(FIND("TmDi",$BE$1:$AAL$1)),IF(IFERROR(ISNUMBER(VALUE(SUBSTITUTE($BE306:$AAL306,"B",""))),FALSE),IF(ISNUMBER(VALUE(SUBSTITUTE($BE306:$AAL306,"B",""))),1,0),0)))</f>
        <v>0</v>
      </c>
      <c r="AF306" t="str">
        <f t="shared" si="702"/>
        <v>C21</v>
      </c>
      <c r="AG306" t="str">
        <f t="shared" si="703"/>
        <v>B21</v>
      </c>
      <c r="AP306" t="s">
        <v>137</v>
      </c>
      <c r="AT306" t="s">
        <v>854</v>
      </c>
      <c r="AU306" t="s">
        <v>1399</v>
      </c>
      <c r="LY306" s="27" t="str">
        <f t="shared" si="1319"/>
        <v>DI19-C21</v>
      </c>
      <c r="MA306" t="s">
        <v>1891</v>
      </c>
      <c r="MB306" t="s">
        <v>1892</v>
      </c>
      <c r="MC306">
        <f t="shared" ref="MC306:MJ306" si="1326">MC305</f>
        <v>11</v>
      </c>
      <c r="MD306">
        <f t="shared" si="1326"/>
        <v>14</v>
      </c>
      <c r="ME306" t="str">
        <f t="shared" si="1326"/>
        <v>A1</v>
      </c>
      <c r="MF306" t="str">
        <f t="shared" si="1326"/>
        <v>A2</v>
      </c>
      <c r="MG306" t="str">
        <f t="shared" si="1326"/>
        <v>0v3</v>
      </c>
      <c r="MH306" t="str">
        <f t="shared" si="1326"/>
        <v>24v3</v>
      </c>
      <c r="MI306" t="str">
        <f t="shared" si="1326"/>
        <v>0v6</v>
      </c>
      <c r="MJ306" t="str">
        <f t="shared" si="1326"/>
        <v>24v6</v>
      </c>
      <c r="MQ306">
        <f t="shared" ref="MQ306:MR306" si="1327">MQ305</f>
        <v>1</v>
      </c>
      <c r="MR306" s="16">
        <f t="shared" si="1327"/>
        <v>2</v>
      </c>
    </row>
    <row r="307" spans="1:580" ht="30" x14ac:dyDescent="0.25">
      <c r="A307" t="s">
        <v>1925</v>
      </c>
      <c r="B307" t="s">
        <v>1933</v>
      </c>
      <c r="P307" t="s">
        <v>1942</v>
      </c>
      <c r="T307" s="27" t="s">
        <v>554</v>
      </c>
      <c r="U307">
        <v>107</v>
      </c>
      <c r="V307" t="s">
        <v>3003</v>
      </c>
      <c r="AP307" t="s">
        <v>137</v>
      </c>
      <c r="AQ307" t="s">
        <v>1005</v>
      </c>
      <c r="TS307" s="29" t="s">
        <v>1950</v>
      </c>
      <c r="TT307" t="s">
        <v>1951</v>
      </c>
      <c r="TU307" t="s">
        <v>1952</v>
      </c>
      <c r="TV307" t="s">
        <v>1953</v>
      </c>
      <c r="TW307" t="s">
        <v>1954</v>
      </c>
      <c r="TX307" t="s">
        <v>1955</v>
      </c>
      <c r="TY307" t="s">
        <v>1956</v>
      </c>
      <c r="TZ307" t="s">
        <v>1957</v>
      </c>
      <c r="UA307" t="str">
        <f>CONCATENATE("XT",$U307)</f>
        <v>XT107</v>
      </c>
      <c r="UB307">
        <v>1</v>
      </c>
      <c r="UC307">
        <f>UB307+1</f>
        <v>2</v>
      </c>
      <c r="UD307">
        <f>UC307+1</f>
        <v>3</v>
      </c>
    </row>
    <row r="308" spans="1:580" ht="30" x14ac:dyDescent="0.25">
      <c r="A308" t="s">
        <v>1927</v>
      </c>
      <c r="B308" t="s">
        <v>1934</v>
      </c>
      <c r="P308" t="s">
        <v>1942</v>
      </c>
      <c r="T308" s="27" t="s">
        <v>554</v>
      </c>
      <c r="U308">
        <v>107</v>
      </c>
      <c r="V308" t="s">
        <v>2997</v>
      </c>
      <c r="AQ308" t="s">
        <v>1248</v>
      </c>
      <c r="TS308" s="29" t="s">
        <v>1961</v>
      </c>
      <c r="TT308" t="s">
        <v>1951</v>
      </c>
      <c r="TU308" t="s">
        <v>1952</v>
      </c>
      <c r="TV308" t="s">
        <v>1953</v>
      </c>
      <c r="TW308" t="s">
        <v>1954</v>
      </c>
      <c r="TX308" t="s">
        <v>1958</v>
      </c>
      <c r="TY308" t="s">
        <v>1959</v>
      </c>
      <c r="TZ308" t="s">
        <v>1960</v>
      </c>
      <c r="UA308" t="str">
        <f t="shared" ref="UA308:UA315" si="1328">CONCATENATE("XT",$U308)</f>
        <v>XT107</v>
      </c>
      <c r="UB308">
        <f>UB307+3</f>
        <v>4</v>
      </c>
      <c r="UC308">
        <f>UB308+1</f>
        <v>5</v>
      </c>
      <c r="UD308">
        <f>UC308+1</f>
        <v>6</v>
      </c>
    </row>
    <row r="309" spans="1:580" ht="30" x14ac:dyDescent="0.25">
      <c r="A309" t="s">
        <v>1928</v>
      </c>
      <c r="B309" t="s">
        <v>1935</v>
      </c>
      <c r="P309" t="s">
        <v>1942</v>
      </c>
      <c r="T309" s="27" t="s">
        <v>554</v>
      </c>
      <c r="U309">
        <v>107</v>
      </c>
      <c r="V309" t="s">
        <v>2998</v>
      </c>
      <c r="AQ309" t="s">
        <v>1258</v>
      </c>
      <c r="TS309" s="29" t="s">
        <v>1962</v>
      </c>
      <c r="TT309" t="s">
        <v>1951</v>
      </c>
      <c r="TU309" t="s">
        <v>1952</v>
      </c>
      <c r="TV309" t="s">
        <v>1953</v>
      </c>
      <c r="TW309" t="s">
        <v>1954</v>
      </c>
      <c r="TX309" t="s">
        <v>1964</v>
      </c>
      <c r="TY309" t="s">
        <v>1966</v>
      </c>
      <c r="TZ309" t="s">
        <v>1968</v>
      </c>
      <c r="UA309" t="str">
        <f t="shared" si="1328"/>
        <v>XT107</v>
      </c>
      <c r="UB309">
        <f t="shared" ref="UB309:UB311" si="1329">UB308+3</f>
        <v>7</v>
      </c>
      <c r="UC309">
        <f t="shared" ref="UC309:UD309" si="1330">UB309+1</f>
        <v>8</v>
      </c>
      <c r="UD309">
        <f t="shared" si="1330"/>
        <v>9</v>
      </c>
    </row>
    <row r="310" spans="1:580" ht="30" x14ac:dyDescent="0.25">
      <c r="A310" t="s">
        <v>1929</v>
      </c>
      <c r="B310" t="s">
        <v>1936</v>
      </c>
      <c r="P310" t="s">
        <v>1942</v>
      </c>
      <c r="T310" s="27" t="s">
        <v>554</v>
      </c>
      <c r="U310">
        <v>107</v>
      </c>
      <c r="V310" t="s">
        <v>2999</v>
      </c>
      <c r="AQ310" t="s">
        <v>1269</v>
      </c>
      <c r="TS310" s="29" t="s">
        <v>1963</v>
      </c>
      <c r="TT310" t="s">
        <v>1951</v>
      </c>
      <c r="TU310" t="s">
        <v>1952</v>
      </c>
      <c r="TV310" t="s">
        <v>1953</v>
      </c>
      <c r="TW310" t="s">
        <v>1954</v>
      </c>
      <c r="TX310" t="s">
        <v>1965</v>
      </c>
      <c r="TY310" t="s">
        <v>1967</v>
      </c>
      <c r="TZ310" t="s">
        <v>1969</v>
      </c>
      <c r="UA310" t="str">
        <f t="shared" si="1328"/>
        <v>XT107</v>
      </c>
      <c r="UB310">
        <f t="shared" si="1329"/>
        <v>10</v>
      </c>
      <c r="UC310">
        <f t="shared" ref="UC310:UD310" si="1331">UB310+1</f>
        <v>11</v>
      </c>
      <c r="UD310">
        <f t="shared" si="1331"/>
        <v>12</v>
      </c>
    </row>
    <row r="311" spans="1:580" ht="30" x14ac:dyDescent="0.25">
      <c r="A311" t="s">
        <v>1930</v>
      </c>
      <c r="B311" t="s">
        <v>1937</v>
      </c>
      <c r="P311" t="s">
        <v>1942</v>
      </c>
      <c r="T311" s="27" t="s">
        <v>554</v>
      </c>
      <c r="U311">
        <v>107</v>
      </c>
      <c r="V311" t="s">
        <v>3000</v>
      </c>
      <c r="AQ311" t="s">
        <v>1289</v>
      </c>
      <c r="TS311" s="29" t="s">
        <v>1970</v>
      </c>
      <c r="TT311" t="s">
        <v>1951</v>
      </c>
      <c r="TU311" t="s">
        <v>1952</v>
      </c>
      <c r="TV311" t="s">
        <v>1953</v>
      </c>
      <c r="TW311" t="s">
        <v>1954</v>
      </c>
      <c r="TX311" t="s">
        <v>1955</v>
      </c>
      <c r="TY311" t="s">
        <v>1956</v>
      </c>
      <c r="TZ311" t="s">
        <v>1957</v>
      </c>
      <c r="UA311" t="str">
        <f>CONCATENATE("XT",$U311)</f>
        <v>XT107</v>
      </c>
      <c r="UB311">
        <f t="shared" si="1329"/>
        <v>13</v>
      </c>
      <c r="UC311">
        <f>UB311+1</f>
        <v>14</v>
      </c>
      <c r="UD311">
        <f>UC311+1</f>
        <v>15</v>
      </c>
    </row>
    <row r="312" spans="1:580" ht="30" x14ac:dyDescent="0.25">
      <c r="A312" t="s">
        <v>1931</v>
      </c>
      <c r="B312" t="s">
        <v>1938</v>
      </c>
      <c r="P312" t="s">
        <v>1942</v>
      </c>
      <c r="T312" s="27" t="s">
        <v>554</v>
      </c>
      <c r="U312">
        <v>107</v>
      </c>
      <c r="V312" t="s">
        <v>3001</v>
      </c>
      <c r="AQ312" t="s">
        <v>1300</v>
      </c>
      <c r="TS312" s="29" t="s">
        <v>1971</v>
      </c>
      <c r="TT312" t="s">
        <v>1951</v>
      </c>
      <c r="TU312" t="s">
        <v>1952</v>
      </c>
      <c r="TV312" t="s">
        <v>1953</v>
      </c>
      <c r="TW312" t="s">
        <v>1954</v>
      </c>
      <c r="TX312" t="s">
        <v>1958</v>
      </c>
      <c r="TY312" t="s">
        <v>1959</v>
      </c>
      <c r="TZ312" t="s">
        <v>1960</v>
      </c>
      <c r="UA312" t="str">
        <f t="shared" si="1328"/>
        <v>XT107</v>
      </c>
      <c r="UB312">
        <f>UB311+3</f>
        <v>16</v>
      </c>
      <c r="UC312">
        <f>UB312+1</f>
        <v>17</v>
      </c>
      <c r="UD312">
        <f>UC312+1</f>
        <v>18</v>
      </c>
    </row>
    <row r="313" spans="1:580" ht="30" x14ac:dyDescent="0.25">
      <c r="A313" t="s">
        <v>1932</v>
      </c>
      <c r="B313" t="s">
        <v>1939</v>
      </c>
      <c r="P313" t="s">
        <v>1942</v>
      </c>
      <c r="T313" s="27" t="s">
        <v>554</v>
      </c>
      <c r="U313">
        <v>107</v>
      </c>
      <c r="V313" t="s">
        <v>3002</v>
      </c>
      <c r="AQ313" t="s">
        <v>1302</v>
      </c>
      <c r="TS313" s="29" t="s">
        <v>1972</v>
      </c>
      <c r="TT313" t="s">
        <v>1951</v>
      </c>
      <c r="TU313" t="s">
        <v>1952</v>
      </c>
      <c r="TV313" t="s">
        <v>1953</v>
      </c>
      <c r="TW313" t="s">
        <v>1954</v>
      </c>
      <c r="TX313" t="s">
        <v>1964</v>
      </c>
      <c r="TY313" t="s">
        <v>1966</v>
      </c>
      <c r="TZ313" t="s">
        <v>1968</v>
      </c>
      <c r="UA313" t="str">
        <f t="shared" si="1328"/>
        <v>XT107</v>
      </c>
      <c r="UB313">
        <f t="shared" ref="UB313:UB314" si="1332">UB312+3</f>
        <v>19</v>
      </c>
      <c r="UC313">
        <f t="shared" ref="UC313:UD313" si="1333">UB313+1</f>
        <v>20</v>
      </c>
      <c r="UD313">
        <f t="shared" si="1333"/>
        <v>21</v>
      </c>
    </row>
    <row r="314" spans="1:580" ht="30" x14ac:dyDescent="0.25">
      <c r="A314" t="s">
        <v>1926</v>
      </c>
      <c r="B314" t="s">
        <v>1940</v>
      </c>
      <c r="P314" t="s">
        <v>1942</v>
      </c>
      <c r="T314" s="27" t="s">
        <v>554</v>
      </c>
      <c r="U314">
        <v>107</v>
      </c>
      <c r="V314" t="s">
        <v>3080</v>
      </c>
      <c r="AQ314" t="s">
        <v>1400</v>
      </c>
      <c r="TS314" s="29" t="s">
        <v>1973</v>
      </c>
      <c r="TT314" t="s">
        <v>1951</v>
      </c>
      <c r="TU314" t="s">
        <v>1952</v>
      </c>
      <c r="TV314" t="s">
        <v>1953</v>
      </c>
      <c r="TW314" t="s">
        <v>1954</v>
      </c>
      <c r="TX314" t="s">
        <v>1965</v>
      </c>
      <c r="TY314" t="s">
        <v>1967</v>
      </c>
      <c r="TZ314" t="s">
        <v>1969</v>
      </c>
      <c r="UA314" t="str">
        <f t="shared" si="1328"/>
        <v>XT107</v>
      </c>
      <c r="UB314">
        <f t="shared" si="1332"/>
        <v>22</v>
      </c>
      <c r="UC314">
        <f t="shared" ref="UC314:UD315" si="1334">UB314+1</f>
        <v>23</v>
      </c>
      <c r="UD314">
        <f t="shared" si="1334"/>
        <v>24</v>
      </c>
    </row>
    <row r="315" spans="1:580" s="19" customFormat="1" ht="30.75" thickBot="1" x14ac:dyDescent="0.3">
      <c r="A315" s="19" t="s">
        <v>1924</v>
      </c>
      <c r="B315" s="19" t="s">
        <v>1941</v>
      </c>
      <c r="P315" s="19" t="s">
        <v>1942</v>
      </c>
      <c r="T315" s="28" t="s">
        <v>554</v>
      </c>
      <c r="U315" s="19">
        <v>107</v>
      </c>
      <c r="V315" s="19" t="s">
        <v>3081</v>
      </c>
      <c r="AI315" s="74"/>
      <c r="AJ315" s="74"/>
      <c r="AQ315" s="19" t="s">
        <v>1778</v>
      </c>
      <c r="TS315" s="56" t="s">
        <v>1974</v>
      </c>
      <c r="TT315" s="19" t="s">
        <v>1951</v>
      </c>
      <c r="TU315" s="19" t="s">
        <v>1952</v>
      </c>
      <c r="TV315" s="19" t="s">
        <v>1953</v>
      </c>
      <c r="TW315" s="19" t="s">
        <v>1954</v>
      </c>
      <c r="TX315" s="19" t="s">
        <v>1975</v>
      </c>
      <c r="TY315" s="19" t="s">
        <v>1976</v>
      </c>
      <c r="TZ315" s="19" t="s">
        <v>1977</v>
      </c>
      <c r="UA315" s="19" t="str">
        <f t="shared" si="1328"/>
        <v>XT107</v>
      </c>
      <c r="UB315" s="19">
        <f t="shared" ref="UB315" si="1335">UB314+3</f>
        <v>25</v>
      </c>
      <c r="UC315" s="19">
        <f t="shared" si="1334"/>
        <v>26</v>
      </c>
      <c r="UD315" s="19">
        <f t="shared" si="1334"/>
        <v>27</v>
      </c>
    </row>
    <row r="316" spans="1:580" x14ac:dyDescent="0.25">
      <c r="A316" t="s">
        <v>1985</v>
      </c>
      <c r="B316" t="s">
        <v>1983</v>
      </c>
      <c r="C316" t="s">
        <v>498</v>
      </c>
      <c r="P316" t="s">
        <v>482</v>
      </c>
      <c r="T316" s="10" t="s">
        <v>1987</v>
      </c>
      <c r="U316">
        <v>1</v>
      </c>
      <c r="V316" t="s">
        <v>1997</v>
      </c>
      <c r="X316" t="s">
        <v>400</v>
      </c>
      <c r="Y316" s="43" t="str" cm="1">
        <f t="array" ref="Y316">IF(COUNTIFS($X$315:$X316,$X316)=1,"1",VALUE(SUBSTITUTE(INDEX(Y:Y,_xlfn.XMATCH($X316,$X$1:$X315,0,-1)),"A",""))+INDEX(Z:Z,_xlfn.XMATCH($X316,$X$1:$X315,0,-1))+1)</f>
        <v>1</v>
      </c>
      <c r="Z316" s="43" cm="1">
        <f t="array" ref="Z316">SUM(IF(ISNUMBER(FIND("TmAi",$BE$1:$AAL$1)),IF(IFERROR(ISODD(SUBSTITUTE($BE316:$AAL316,"A","")),FALSE),IF(ISODD(SUBSTITUTE($BE316:$AAL316,"A","")),1,0),0)))</f>
        <v>0</v>
      </c>
      <c r="AA316" t="str">
        <f t="shared" ref="AA316:AA320" si="1336">CONCATENATE($Y316*2-1,"B")</f>
        <v>1B</v>
      </c>
      <c r="AB316" t="str">
        <f t="shared" ref="AB316:AB320" si="1337">CONCATENATE($Y316*2,"B")</f>
        <v>2B</v>
      </c>
      <c r="AP316" t="s">
        <v>1990</v>
      </c>
      <c r="AS316" t="s">
        <v>396</v>
      </c>
      <c r="JZ316" s="27" t="str">
        <f t="shared" ref="JZ316" si="1338">CONCATENATE("XT",U316)</f>
        <v>XT1</v>
      </c>
      <c r="KC316" t="str">
        <f t="shared" ref="KC316" si="1339">CONCATENATE(T316,"-AI",REPLACE($X316,1,3,""),"-",AA316)</f>
        <v>E1-AI1-1B</v>
      </c>
      <c r="KD316" t="str">
        <f t="shared" ref="KD316" si="1340">CONCATENATE(T316,"-AI",REPLACE($X316,1,3,""),"-",AB316)</f>
        <v>E1-AI1-2B</v>
      </c>
      <c r="KI316">
        <v>1</v>
      </c>
      <c r="KJ316">
        <f t="shared" ref="KJ316" si="1341">KI316+1</f>
        <v>2</v>
      </c>
      <c r="KK316">
        <f t="shared" ref="KK316" si="1342">KJ316+1</f>
        <v>3</v>
      </c>
      <c r="KN316">
        <v>1</v>
      </c>
      <c r="KO316" s="16">
        <v>2</v>
      </c>
      <c r="KS316" s="16"/>
    </row>
    <row r="317" spans="1:580" ht="15.75" thickBot="1" x14ac:dyDescent="0.3">
      <c r="A317" t="s">
        <v>1986</v>
      </c>
      <c r="B317" t="s">
        <v>1984</v>
      </c>
      <c r="C317" t="s">
        <v>498</v>
      </c>
      <c r="P317" t="s">
        <v>482</v>
      </c>
      <c r="T317" s="14" t="s">
        <v>1987</v>
      </c>
      <c r="U317">
        <v>1</v>
      </c>
      <c r="V317" t="s">
        <v>1996</v>
      </c>
      <c r="X317" t="str">
        <f>IF(COUNTIF(X$316:X316,X316)&gt;7,REPLACE(X316,LEN(X316),1,VALUE(RIGHT(X316,1))+1),X316)</f>
        <v>A3.1</v>
      </c>
      <c r="Y317" s="43" cm="1">
        <f t="array" ref="Y317">IF(COUNTIFS($X$315:$X317,$X317)=1,"1",VALUE(SUBSTITUTE(INDEX(Y:Y,_xlfn.XMATCH($X317,$X$1:$X316,0,-1)),"A",""))+INDEX(Z:Z,_xlfn.XMATCH($X317,$X$1:$X316,0,-1))+1)</f>
        <v>2</v>
      </c>
      <c r="Z317" s="43" cm="1">
        <f t="array" ref="Z317">SUM(IF(ISNUMBER(FIND("TmAi",$BE$1:$AAL$1)),IF(IFERROR(ISODD(SUBSTITUTE($BE317:$AAL317,"A","")),FALSE),IF(ISODD(SUBSTITUTE($BE317:$AAL317,"A","")),1,0),0)))</f>
        <v>0</v>
      </c>
      <c r="AA317" t="str">
        <f t="shared" si="1336"/>
        <v>3B</v>
      </c>
      <c r="AB317" t="str">
        <f t="shared" si="1337"/>
        <v>4B</v>
      </c>
      <c r="AP317" t="s">
        <v>1990</v>
      </c>
      <c r="AS317" t="s">
        <v>396</v>
      </c>
      <c r="JZ317" s="27" t="str">
        <f t="shared" ref="JZ317" si="1343">CONCATENATE("XT",U317)</f>
        <v>XT1</v>
      </c>
      <c r="KC317" t="str">
        <f t="shared" ref="KC317" si="1344">CONCATENATE(T317,"-AI",REPLACE($X317,1,3,""),"-",AA317)</f>
        <v>E1-AI1-3B</v>
      </c>
      <c r="KD317" t="str">
        <f t="shared" ref="KD317" si="1345">CONCATENATE(T317,"-AI",REPLACE($X317,1,3,""),"-",AB317)</f>
        <v>E1-AI1-4B</v>
      </c>
      <c r="KI317" cm="1">
        <f t="array" ref="KI317">IF(COUNTIFS($U$2:$U317,$U317)=1,1,INDEX(KI:KI,_xlfn.XMATCH(U317,U$1:U316,0,-1))+COUNT(KI316:KM316))</f>
        <v>4</v>
      </c>
      <c r="KJ317">
        <f t="shared" ref="KJ317" si="1346">KI317+1</f>
        <v>5</v>
      </c>
      <c r="KK317">
        <f t="shared" ref="KK317" si="1347">KJ317+1</f>
        <v>6</v>
      </c>
      <c r="KN317">
        <v>1</v>
      </c>
      <c r="KO317" s="16">
        <v>2</v>
      </c>
      <c r="KS317" s="16"/>
    </row>
    <row r="318" spans="1:580" ht="15.75" thickBot="1" x14ac:dyDescent="0.3">
      <c r="A318" s="55" t="s">
        <v>1992</v>
      </c>
      <c r="B318" t="s">
        <v>1991</v>
      </c>
      <c r="C318" t="s">
        <v>1993</v>
      </c>
      <c r="P318" t="s">
        <v>1994</v>
      </c>
      <c r="T318" s="27" t="s">
        <v>1987</v>
      </c>
      <c r="U318">
        <v>2</v>
      </c>
      <c r="V318" t="s">
        <v>1995</v>
      </c>
      <c r="Y318" s="43"/>
      <c r="Z318" s="43"/>
      <c r="AC318" t="s">
        <v>131</v>
      </c>
      <c r="AD318" s="43">
        <v>1</v>
      </c>
      <c r="AE318" s="43" cm="1">
        <f t="array" ref="AE318">SUM(IF(ISNUMBER(FIND("TmDi",$BE$1:$AAL$1)),IF(IFERROR(ISNUMBER(VALUE(SUBSTITUTE($BE318:$AAL318,"B",""))),FALSE),IF(ISNUMBER(VALUE(SUBSTITUTE($BE318:$AAL318,"B",""))),1,0),0)))</f>
        <v>1</v>
      </c>
      <c r="AF318" t="str">
        <f t="shared" ref="AF318" si="1348">CONCATENATE("C",$AD318)</f>
        <v>C1</v>
      </c>
      <c r="AG318" t="str">
        <f t="shared" ref="AG318" si="1349">CONCATENATE("B",$AD318)</f>
        <v>B1</v>
      </c>
      <c r="AP318" t="s">
        <v>1990</v>
      </c>
      <c r="AQ318" t="s">
        <v>2011</v>
      </c>
      <c r="AT318" t="s">
        <v>854</v>
      </c>
      <c r="UI318" s="25" t="str">
        <f t="shared" ref="UI318" si="1350">CONCATENATE("XT",$U318)</f>
        <v>XT2</v>
      </c>
      <c r="UJ318" s="57" t="s">
        <v>1998</v>
      </c>
      <c r="UK318" s="12" t="s">
        <v>1999</v>
      </c>
      <c r="UL318" s="12" t="str">
        <f>CONCATENATE("B",REPLACE($AF318,1,1,"")+1)</f>
        <v>B2</v>
      </c>
      <c r="UM318" s="12" t="str">
        <f>CONCATENATE("C",REPLACE($AG318,1,1,"")+1)</f>
        <v>C2</v>
      </c>
      <c r="UN318" s="12" t="str">
        <f>CONCATENATE("DI",REPLACE($AC318,1,3,""),"-",$AG318)</f>
        <v>DI1-B1</v>
      </c>
      <c r="UO318" s="12" t="str">
        <f>CONCATENATE("DI",REPLACE($AC318,1,3,""),"-",$AF318)</f>
        <v>DI1-C1</v>
      </c>
      <c r="UP318" s="12" t="str">
        <f>CONCATENATE("DI",REPLACE($AC318,1,3,""),"-",UL318)</f>
        <v>DI1-B2</v>
      </c>
      <c r="UQ318" s="12" t="str">
        <f>CONCATENATE("DI",REPLACE($AC318,1,3,""),"-",UM318)</f>
        <v>DI1-C2</v>
      </c>
      <c r="UR318" s="12" t="str">
        <f>CONCATENATE("K",$U318,"-01")</f>
        <v>K2-01</v>
      </c>
      <c r="US318" s="12" t="str">
        <f>CONCATENATE("K",$U318,"-02")</f>
        <v>K2-02</v>
      </c>
      <c r="UT318" s="12">
        <v>11</v>
      </c>
      <c r="UU318" s="12">
        <v>14</v>
      </c>
      <c r="UV318" s="12" t="s">
        <v>142</v>
      </c>
      <c r="UW318" s="12" t="s">
        <v>143</v>
      </c>
      <c r="UX318" s="12">
        <v>1</v>
      </c>
      <c r="UY318" s="12">
        <f>UX318+1</f>
        <v>2</v>
      </c>
      <c r="UZ318" s="12">
        <f t="shared" ref="UZ318:VA318" si="1351">UY318+1</f>
        <v>3</v>
      </c>
      <c r="VA318" s="12">
        <f t="shared" si="1351"/>
        <v>4</v>
      </c>
      <c r="VB318" s="12" t="s">
        <v>2003</v>
      </c>
      <c r="VC318" s="12" t="s">
        <v>2005</v>
      </c>
      <c r="VD318" s="12" t="s">
        <v>2009</v>
      </c>
      <c r="VE318" s="12" t="s">
        <v>2010</v>
      </c>
      <c r="VF318" s="12" t="s">
        <v>2006</v>
      </c>
      <c r="VG318" s="12" t="s">
        <v>2007</v>
      </c>
      <c r="VH318" s="13" t="s">
        <v>2008</v>
      </c>
    </row>
    <row r="319" spans="1:580" x14ac:dyDescent="0.25">
      <c r="A319" s="55" t="s">
        <v>2014</v>
      </c>
      <c r="B319" s="58" t="s">
        <v>2012</v>
      </c>
      <c r="C319" t="s">
        <v>537</v>
      </c>
      <c r="P319" t="s">
        <v>542</v>
      </c>
      <c r="T319" s="27" t="s">
        <v>1987</v>
      </c>
      <c r="U319">
        <v>1</v>
      </c>
      <c r="V319" t="s">
        <v>2016</v>
      </c>
      <c r="X319" t="s">
        <v>2018</v>
      </c>
      <c r="Y319" s="43" t="str" cm="1">
        <f t="array" ref="Y319">IF(COUNTIFS($X$315:$X319,$X319)=1,"1",VALUE(SUBSTITUTE(INDEX(Y:Y,_xlfn.XMATCH($X319,$X$1:$X318,0,-1)),"A",""))+INDEX(Z:Z,_xlfn.XMATCH($X319,$X$1:$X318,0,-1))+1)</f>
        <v>1</v>
      </c>
      <c r="Z319" s="43" cm="1">
        <f t="array" ref="Z319">SUM(IF(ISNUMBER(FIND("TmAi",$BE$1:$AAL$1)),IF(IFERROR(ISODD(SUBSTITUTE($BE319:$AAL319,"A","")),FALSE),IF(ISODD(SUBSTITUTE($BE319:$AAL319,"A","")),1,0),0)))</f>
        <v>0</v>
      </c>
      <c r="AA319" t="str">
        <f t="shared" si="1336"/>
        <v>1B</v>
      </c>
      <c r="AB319" t="str">
        <f t="shared" si="1337"/>
        <v>2B</v>
      </c>
      <c r="AD319" s="43"/>
      <c r="AE319" s="43"/>
      <c r="AP319" t="s">
        <v>1990</v>
      </c>
      <c r="AQ319" t="s">
        <v>2011</v>
      </c>
      <c r="AS319" t="s">
        <v>396</v>
      </c>
      <c r="JZ319" s="27" t="str">
        <f t="shared" ref="JZ319" si="1352">CONCATENATE("XT",U319)</f>
        <v>XT1</v>
      </c>
      <c r="KA319" t="str">
        <f>REPLACE($AA319,1,1,LEFT($AA319,1)+1)</f>
        <v>2B</v>
      </c>
      <c r="KB319" t="str">
        <f>REPLACE(AB319,1,1,LEFT(AB319,1)+1)</f>
        <v>3B</v>
      </c>
      <c r="KC319" t="str">
        <f t="shared" ref="KC319" si="1353">CONCATENATE(T319,"-AI",REPLACE($X319,1,3,""),"-",AA319)</f>
        <v>E1-AI2-1B</v>
      </c>
      <c r="KD319" t="str">
        <f t="shared" ref="KD319" si="1354">CONCATENATE(T319,"-AI",REPLACE($X319,1,3,""),"-",AB319)</f>
        <v>E1-AI2-2B</v>
      </c>
      <c r="KE319" t="str">
        <f>CONCATENATE($T319,"-AI",REPLACE($X319,1,3,""),"-",KA319)</f>
        <v>E1-AI2-2B</v>
      </c>
      <c r="KF319" t="str">
        <f>CONCATENATE($T319,"-AI",REPLACE($X319,1,3,""),"-",KB319)</f>
        <v>E1-AI2-3B</v>
      </c>
      <c r="KI319">
        <v>7</v>
      </c>
      <c r="KJ319">
        <f t="shared" ref="KJ319" si="1355">KI319+1</f>
        <v>8</v>
      </c>
      <c r="KK319">
        <f t="shared" ref="KK319" si="1356">KJ319+1</f>
        <v>9</v>
      </c>
      <c r="KL319">
        <f>KK319+1</f>
        <v>10</v>
      </c>
      <c r="KN319">
        <v>1</v>
      </c>
      <c r="KO319" s="16">
        <v>2</v>
      </c>
      <c r="KP319">
        <v>3</v>
      </c>
      <c r="KQ319">
        <v>4</v>
      </c>
      <c r="KS319" s="16"/>
      <c r="LN319" s="25"/>
      <c r="LO319" s="12"/>
      <c r="LP319" s="12"/>
      <c r="LQ319" s="12"/>
      <c r="LR319" s="12"/>
      <c r="LS319" s="12"/>
      <c r="LT319" s="12"/>
      <c r="LU319" s="12"/>
      <c r="LV319" s="12"/>
      <c r="LW319" s="13"/>
    </row>
    <row r="320" spans="1:580" ht="15.75" thickBot="1" x14ac:dyDescent="0.3">
      <c r="A320" t="s">
        <v>2015</v>
      </c>
      <c r="B320" s="58" t="s">
        <v>2013</v>
      </c>
      <c r="C320" t="s">
        <v>537</v>
      </c>
      <c r="P320" t="s">
        <v>542</v>
      </c>
      <c r="T320" s="27" t="s">
        <v>1987</v>
      </c>
      <c r="U320">
        <v>1</v>
      </c>
      <c r="V320" t="s">
        <v>2017</v>
      </c>
      <c r="X320" t="str">
        <f>IF(COUNTIF(X$316:X319,X319)&gt;7,REPLACE(X319,LEN(X319),1,VALUE(RIGHT(X319,1))+1),X319)</f>
        <v>A3.2</v>
      </c>
      <c r="Y320" s="43" cm="1">
        <f t="array" ref="Y320">IF(COUNTIFS($X$315:$X320,$X320)=1,"1",VALUE(SUBSTITUTE(INDEX(Y:Y,_xlfn.XMATCH($X320,$X$1:$X319,0,-1)),"A",""))+INDEX(Z:Z,_xlfn.XMATCH($X320,$X$1:$X319,0,-1))+1)</f>
        <v>2</v>
      </c>
      <c r="Z320" s="43" cm="1">
        <f t="array" ref="Z320">SUM(IF(ISNUMBER(FIND("TmAi",$BE$1:$AAL$1)),IF(IFERROR(ISODD(SUBSTITUTE($BE320:$AAL320,"A","")),FALSE),IF(ISODD(SUBSTITUTE($BE320:$AAL320,"A","")),1,0),0)))</f>
        <v>0</v>
      </c>
      <c r="AA320" t="str">
        <f t="shared" si="1336"/>
        <v>3B</v>
      </c>
      <c r="AB320" t="str">
        <f t="shared" si="1337"/>
        <v>4B</v>
      </c>
      <c r="AP320" t="s">
        <v>1990</v>
      </c>
      <c r="AQ320" t="s">
        <v>2011</v>
      </c>
      <c r="AS320" t="s">
        <v>396</v>
      </c>
      <c r="JZ320" s="27" t="str">
        <f t="shared" ref="JZ320" si="1357">CONCATENATE("XT",U320)</f>
        <v>XT1</v>
      </c>
      <c r="KA320" t="str">
        <f>REPLACE($AA320,1,1,LEFT($AA320,1)+1)</f>
        <v>4B</v>
      </c>
      <c r="KB320" t="str">
        <f>REPLACE(AB320,1,1,LEFT(AB320,1)+1)</f>
        <v>5B</v>
      </c>
      <c r="KC320" t="str">
        <f t="shared" ref="KC320" si="1358">CONCATENATE(T320,"-AI",REPLACE($X320,1,3,""),"-",AA320)</f>
        <v>E1-AI2-3B</v>
      </c>
      <c r="KD320" t="str">
        <f t="shared" ref="KD320" si="1359">CONCATENATE(T320,"-AI",REPLACE($X320,1,3,""),"-",AB320)</f>
        <v>E1-AI2-4B</v>
      </c>
      <c r="KE320" t="str">
        <f>CONCATENATE($T320,"-AI",REPLACE($X320,1,3,""),"-",KA320)</f>
        <v>E1-AI2-4B</v>
      </c>
      <c r="KF320" t="str">
        <f>CONCATENATE($T320,"-AI",REPLACE($X320,1,3,""),"-",KB320)</f>
        <v>E1-AI2-5B</v>
      </c>
      <c r="KI320" cm="1">
        <f t="array" ref="KI320">IF(COUNTIFS($U$2:$U320,$U320)=1,1,INDEX(KI:KI,_xlfn.XMATCH(U320,U$1:U319,0,-1))+COUNT(KI319:KM319))</f>
        <v>11</v>
      </c>
      <c r="KJ320">
        <f t="shared" ref="KJ320" si="1360">KI320+1</f>
        <v>12</v>
      </c>
      <c r="KK320">
        <f t="shared" ref="KK320" si="1361">KJ320+1</f>
        <v>13</v>
      </c>
      <c r="KL320">
        <f>KK320+1</f>
        <v>14</v>
      </c>
      <c r="KN320">
        <v>1</v>
      </c>
      <c r="KO320" s="16">
        <v>2</v>
      </c>
      <c r="KP320">
        <v>3</v>
      </c>
      <c r="KQ320">
        <v>4</v>
      </c>
      <c r="KS320" s="16"/>
      <c r="LN320" s="27"/>
      <c r="LV320" s="80"/>
      <c r="LW320" s="16"/>
    </row>
    <row r="321" spans="1:583" x14ac:dyDescent="0.25">
      <c r="A321" t="s">
        <v>2021</v>
      </c>
      <c r="B321" s="58" t="s">
        <v>2019</v>
      </c>
      <c r="P321" t="s">
        <v>869</v>
      </c>
      <c r="T321" s="27" t="s">
        <v>1987</v>
      </c>
      <c r="U321">
        <v>1</v>
      </c>
      <c r="V321" t="s">
        <v>2027</v>
      </c>
      <c r="X321" t="s">
        <v>400</v>
      </c>
      <c r="Y321" s="43" cm="1">
        <f t="array" ref="Y321">IF(COUNTIFS($X$315:$X321,$X321)=1,"1",VALUE(SUBSTITUTE(INDEX(Y:Y,_xlfn.XMATCH($X321,$X$1:$X320,0,-1)),"A",""))+INDEX(Z:Z,_xlfn.XMATCH($X321,$X$1:$X320,0,-1))+1)</f>
        <v>3</v>
      </c>
      <c r="Z321" s="43" cm="1">
        <f t="array" ref="Z321">SUM(IF(ISNUMBER(FIND("TmAi",$BE$1:$AAL$1)),IF(IFERROR(ISODD(SUBSTITUTE($BE321:$AAL321,"A","")),FALSE),IF(ISODD(SUBSTITUTE($BE321:$AAL321,"A","")),1,0),0)))</f>
        <v>0</v>
      </c>
      <c r="AA321" t="str">
        <f t="shared" ref="AA321:AA322" si="1362">CONCATENATE($Y321*2-1,"A")</f>
        <v>5A</v>
      </c>
      <c r="AB321" t="str">
        <f t="shared" ref="AB321:AB322" si="1363">CONCATENATE($Y321*2-1,"B")</f>
        <v>5B</v>
      </c>
      <c r="AP321" t="s">
        <v>1990</v>
      </c>
      <c r="AQ321" t="s">
        <v>2011</v>
      </c>
      <c r="AS321" t="s">
        <v>396</v>
      </c>
      <c r="LN321" s="25" t="str">
        <f t="shared" ref="LN321:LN324" si="1364">CONCATENATE("XT",U321)</f>
        <v>XT1</v>
      </c>
      <c r="LO321" s="12" t="str">
        <f t="shared" ref="LO321:LO324" si="1365">CONCATENATE(T321,"-AI",REPLACE($X321,1,3,""),"-",AA321)</f>
        <v>E1-AI1-5A</v>
      </c>
      <c r="LP321" s="12" t="str">
        <f t="shared" ref="LP321:LP324" si="1366">CONCATENATE(T321,"-AI",REPLACE($X321,1,3,""),"-",AB321)</f>
        <v>E1-AI1-5B</v>
      </c>
      <c r="LQ321" s="12">
        <v>15</v>
      </c>
      <c r="LR321" s="12">
        <f t="shared" ref="LR321:LR324" si="1367">LQ321+1</f>
        <v>16</v>
      </c>
      <c r="LS321" s="12">
        <f t="shared" ref="LS321:LS324" si="1368">LR321+1</f>
        <v>17</v>
      </c>
      <c r="LT321" s="12"/>
      <c r="LU321" s="12" t="s">
        <v>2031</v>
      </c>
      <c r="LV321" s="12" t="s">
        <v>2032</v>
      </c>
      <c r="LW321" s="13" t="s">
        <v>3082</v>
      </c>
    </row>
    <row r="322" spans="1:583" x14ac:dyDescent="0.25">
      <c r="A322" t="s">
        <v>2022</v>
      </c>
      <c r="B322" s="58" t="s">
        <v>2020</v>
      </c>
      <c r="P322" t="s">
        <v>869</v>
      </c>
      <c r="T322" s="27" t="s">
        <v>1987</v>
      </c>
      <c r="U322">
        <v>1</v>
      </c>
      <c r="V322" t="s">
        <v>2028</v>
      </c>
      <c r="X322" t="str">
        <f>IF(COUNTIF(X$316:X321,X321)&gt;7,REPLACE(X321,LEN(X321),1,VALUE(RIGHT(X321,1))+1),X321)</f>
        <v>A3.1</v>
      </c>
      <c r="Y322" s="43" cm="1">
        <f t="array" ref="Y322">IF(COUNTIFS($X$315:$X322,$X322)=1,"1",VALUE(SUBSTITUTE(INDEX(Y:Y,_xlfn.XMATCH($X322,$X$1:$X321,0,-1)),"A",""))+INDEX(Z:Z,_xlfn.XMATCH($X322,$X$1:$X321,0,-1))+1)</f>
        <v>4</v>
      </c>
      <c r="Z322" s="43" cm="1">
        <f t="array" ref="Z322">SUM(IF(ISNUMBER(FIND("TmAi",$BE$1:$AAL$1)),IF(IFERROR(ISODD(SUBSTITUTE($BE322:$AAL322,"A","")),FALSE),IF(ISODD(SUBSTITUTE($BE322:$AAL322,"A","")),1,0),0)))</f>
        <v>0</v>
      </c>
      <c r="AA322" t="str">
        <f t="shared" si="1362"/>
        <v>7A</v>
      </c>
      <c r="AB322" t="str">
        <f t="shared" si="1363"/>
        <v>7B</v>
      </c>
      <c r="AP322" t="s">
        <v>1990</v>
      </c>
      <c r="AQ322" t="s">
        <v>2011</v>
      </c>
      <c r="AS322" t="s">
        <v>396</v>
      </c>
      <c r="LN322" s="27" t="str">
        <f t="shared" si="1364"/>
        <v>XT1</v>
      </c>
      <c r="LO322" t="str">
        <f t="shared" si="1365"/>
        <v>E1-AI1-7A</v>
      </c>
      <c r="LP322" t="str">
        <f t="shared" si="1366"/>
        <v>E1-AI1-7B</v>
      </c>
      <c r="LQ322">
        <f>LQ321+3</f>
        <v>18</v>
      </c>
      <c r="LR322">
        <f t="shared" si="1367"/>
        <v>19</v>
      </c>
      <c r="LS322">
        <f t="shared" si="1368"/>
        <v>20</v>
      </c>
      <c r="LU322" t="s">
        <v>2033</v>
      </c>
      <c r="LV322" s="80" t="s">
        <v>2034</v>
      </c>
      <c r="LW322" s="16" t="s">
        <v>3082</v>
      </c>
    </row>
    <row r="323" spans="1:583" x14ac:dyDescent="0.25">
      <c r="A323" s="55" t="s">
        <v>2025</v>
      </c>
      <c r="B323" s="58" t="s">
        <v>2023</v>
      </c>
      <c r="P323" t="s">
        <v>869</v>
      </c>
      <c r="T323" s="27" t="s">
        <v>1987</v>
      </c>
      <c r="U323">
        <v>1</v>
      </c>
      <c r="V323" t="s">
        <v>2029</v>
      </c>
      <c r="X323" t="str">
        <f>IF(COUNTIF(X$316:X322,X322)&gt;7,REPLACE(X322,LEN(X322),1,VALUE(RIGHT(X322,1))+1),X322)</f>
        <v>A3.1</v>
      </c>
      <c r="Y323" s="43" cm="1">
        <f t="array" ref="Y323">IF(COUNTIFS($X$315:$X323,$X323)=1,"1",VALUE(SUBSTITUTE(INDEX(Y:Y,_xlfn.XMATCH($X323,$X$1:$X322,0,-1)),"A",""))+INDEX(Z:Z,_xlfn.XMATCH($X323,$X$1:$X322,0,-1))+1)</f>
        <v>5</v>
      </c>
      <c r="Z323" s="43" cm="1">
        <f t="array" ref="Z323">SUM(IF(ISNUMBER(FIND("TmAi",$BE$1:$AAL$1)),IF(IFERROR(ISODD(SUBSTITUTE($BE323:$AAL323,"A","")),FALSE),IF(ISODD(SUBSTITUTE($BE323:$AAL323,"A","")),1,0),0)))</f>
        <v>0</v>
      </c>
      <c r="AA323" t="str">
        <f>CONCATENATE($Y323*2-1,"A")</f>
        <v>9A</v>
      </c>
      <c r="AB323" t="str">
        <f>CONCATENATE($Y323*2-1,"B")</f>
        <v>9B</v>
      </c>
      <c r="AP323" t="s">
        <v>1990</v>
      </c>
      <c r="AQ323" t="s">
        <v>2011</v>
      </c>
      <c r="AS323" t="s">
        <v>396</v>
      </c>
      <c r="LN323" s="27" t="str">
        <f t="shared" si="1364"/>
        <v>XT1</v>
      </c>
      <c r="LO323" t="str">
        <f t="shared" si="1365"/>
        <v>E1-AI1-9A</v>
      </c>
      <c r="LP323" t="str">
        <f t="shared" si="1366"/>
        <v>E1-AI1-9B</v>
      </c>
      <c r="LQ323">
        <f t="shared" ref="LQ323:LQ324" si="1369">LQ322+3</f>
        <v>21</v>
      </c>
      <c r="LR323">
        <f t="shared" si="1367"/>
        <v>22</v>
      </c>
      <c r="LS323">
        <f t="shared" si="1368"/>
        <v>23</v>
      </c>
      <c r="LU323" t="s">
        <v>2035</v>
      </c>
      <c r="LV323" s="80" t="s">
        <v>2036</v>
      </c>
      <c r="LW323" s="16" t="s">
        <v>3083</v>
      </c>
    </row>
    <row r="324" spans="1:583" ht="15.75" thickBot="1" x14ac:dyDescent="0.3">
      <c r="A324" t="s">
        <v>2026</v>
      </c>
      <c r="B324" s="58" t="s">
        <v>2024</v>
      </c>
      <c r="P324" t="s">
        <v>869</v>
      </c>
      <c r="T324" s="27" t="s">
        <v>1987</v>
      </c>
      <c r="U324">
        <v>1</v>
      </c>
      <c r="V324" t="s">
        <v>2030</v>
      </c>
      <c r="X324" t="str">
        <f>IF(COUNTIF(X$316:X323,X323)&gt;7,REPLACE(X323,LEN(X323),1,VALUE(RIGHT(X323,1))+1),X323)</f>
        <v>A3.1</v>
      </c>
      <c r="Y324" s="43" cm="1">
        <f t="array" ref="Y324">IF(COUNTIFS($X$315:$X324,$X324)=1,"1",VALUE(SUBSTITUTE(INDEX(Y:Y,_xlfn.XMATCH($X324,$X$1:$X323,0,-1)),"A",""))+INDEX(Z:Z,_xlfn.XMATCH($X324,$X$1:$X323,0,-1))+1)</f>
        <v>6</v>
      </c>
      <c r="Z324" s="43" cm="1">
        <f t="array" ref="Z324">SUM(IF(ISNUMBER(FIND("TmAi",$BE$1:$AAL$1)),IF(IFERROR(ISODD(SUBSTITUTE($BE324:$AAL324,"A","")),FALSE),IF(ISODD(SUBSTITUTE($BE324:$AAL324,"A","")),1,0),0)))</f>
        <v>0</v>
      </c>
      <c r="AA324" t="str">
        <f>CONCATENATE($Y324*2-1,"A")</f>
        <v>11A</v>
      </c>
      <c r="AB324" t="str">
        <f>CONCATENATE($Y324*2-1,"B")</f>
        <v>11B</v>
      </c>
      <c r="AP324" t="s">
        <v>1990</v>
      </c>
      <c r="AQ324" t="s">
        <v>2011</v>
      </c>
      <c r="AS324" t="s">
        <v>396</v>
      </c>
      <c r="LN324" s="27" t="str">
        <f t="shared" si="1364"/>
        <v>XT1</v>
      </c>
      <c r="LO324" t="str">
        <f t="shared" si="1365"/>
        <v>E1-AI1-11A</v>
      </c>
      <c r="LP324" t="str">
        <f t="shared" si="1366"/>
        <v>E1-AI1-11B</v>
      </c>
      <c r="LQ324">
        <f t="shared" si="1369"/>
        <v>24</v>
      </c>
      <c r="LR324">
        <f t="shared" si="1367"/>
        <v>25</v>
      </c>
      <c r="LS324">
        <f t="shared" si="1368"/>
        <v>26</v>
      </c>
      <c r="LU324" t="s">
        <v>2037</v>
      </c>
      <c r="LV324" s="80" t="s">
        <v>2038</v>
      </c>
      <c r="LW324" s="16" t="s">
        <v>3083</v>
      </c>
    </row>
    <row r="325" spans="1:583" ht="15.75" thickBot="1" x14ac:dyDescent="0.3">
      <c r="A325" t="s">
        <v>2041</v>
      </c>
      <c r="B325" t="s">
        <v>2043</v>
      </c>
      <c r="P325" t="s">
        <v>2042</v>
      </c>
      <c r="T325" s="27" t="s">
        <v>1987</v>
      </c>
      <c r="U325">
        <v>2</v>
      </c>
      <c r="V325" t="s">
        <v>2039</v>
      </c>
      <c r="AC325" t="s">
        <v>131</v>
      </c>
      <c r="AD325" s="43" cm="1">
        <f t="array" ref="AD325">IF(COUNTIFS(AC$2:AC325,AC325)=1,"1",VALUE(SUBSTITUTE(INDEX(AD:AD,_xlfn.XMATCH(AC325,AC$1:AC324,0,-1)),"A",""))+INDEX(AE:AE,_xlfn.XMATCH(AC325,AC$1:AC324,0,-1))+1)</f>
        <v>3</v>
      </c>
      <c r="AE325" s="43" cm="1">
        <f t="array" ref="AE325">SUM(IF(ISNUMBER(FIND("TmDi",$BE$1:$AAL$1)),IF(IFERROR(ISNUMBER(VALUE(SUBSTITUTE($BE325:$AAL325,"B",""))),FALSE),IF(ISNUMBER(VALUE(SUBSTITUTE($BE325:$AAL325,"B",""))),1,0),0)))</f>
        <v>1</v>
      </c>
      <c r="AF325" t="str">
        <f t="shared" ref="AF325:AF340" si="1370">CONCATENATE("C",$AD325)</f>
        <v>C3</v>
      </c>
      <c r="AG325" t="str">
        <f t="shared" ref="AG325:AG340" si="1371">CONCATENATE("B",$AD325)</f>
        <v>B3</v>
      </c>
      <c r="AP325" t="s">
        <v>1990</v>
      </c>
      <c r="AQ325" t="s">
        <v>2011</v>
      </c>
      <c r="AT325" t="s">
        <v>854</v>
      </c>
      <c r="UI325" s="25" t="str">
        <f t="shared" ref="UI325" si="1372">CONCATENATE("XT",$U325)</f>
        <v>XT2</v>
      </c>
      <c r="UJ325" s="57"/>
      <c r="UK325" s="12"/>
      <c r="UL325" s="12" t="str">
        <f>CONCATENATE("B",REPLACE($AF325,1,1,"")+1)</f>
        <v>B4</v>
      </c>
      <c r="UM325" s="12" t="str">
        <f>CONCATENATE("C",REPLACE($AG325,1,1,"")+1)</f>
        <v>C4</v>
      </c>
      <c r="UN325" s="12" t="str">
        <f>CONCATENATE("DI",REPLACE($AC325,1,3,""),"-",$AG325)</f>
        <v>DI1-B3</v>
      </c>
      <c r="UO325" s="12" t="str">
        <f>CONCATENATE("DI",REPLACE($AC325,1,3,""),"-",$AF325)</f>
        <v>DI1-C3</v>
      </c>
      <c r="UP325" s="12" t="str">
        <f>CONCATENATE("DI",REPLACE($AC325,1,3,""),"-",UL325)</f>
        <v>DI1-B4</v>
      </c>
      <c r="UQ325" s="12" t="str">
        <f>CONCATENATE("DI",REPLACE($AC325,1,3,""),"-",UM325)</f>
        <v>DI1-C4</v>
      </c>
      <c r="UR325" s="12" t="str">
        <f>CONCATENATE("K",$U325,"-03")</f>
        <v>K2-03</v>
      </c>
      <c r="US325" s="12" t="str">
        <f>CONCATENATE("K",$U325,"-04")</f>
        <v>K2-04</v>
      </c>
      <c r="UT325" s="12">
        <v>11</v>
      </c>
      <c r="UU325" s="12">
        <v>14</v>
      </c>
      <c r="UV325" s="12" t="s">
        <v>142</v>
      </c>
      <c r="UW325" s="12" t="s">
        <v>143</v>
      </c>
      <c r="UX325" s="12">
        <v>5</v>
      </c>
      <c r="UY325" s="12">
        <f>UX325+1</f>
        <v>6</v>
      </c>
      <c r="UZ325" s="12"/>
      <c r="VA325" s="12"/>
      <c r="VB325" s="12" t="s">
        <v>2044</v>
      </c>
      <c r="VC325" s="12" t="s">
        <v>2045</v>
      </c>
      <c r="VD325" s="12"/>
      <c r="VE325" s="12"/>
      <c r="VF325" s="59" t="s">
        <v>2046</v>
      </c>
      <c r="VG325" s="59" t="s">
        <v>2046</v>
      </c>
      <c r="VH325" s="13"/>
      <c r="VI325" s="25" t="s">
        <v>144</v>
      </c>
      <c r="VJ325" s="12" t="s">
        <v>2040</v>
      </c>
      <c r="VK325" s="13" t="s">
        <v>2049</v>
      </c>
    </row>
    <row r="326" spans="1:583" ht="15.75" thickBot="1" x14ac:dyDescent="0.3">
      <c r="A326" t="s">
        <v>2051</v>
      </c>
      <c r="B326" s="58" t="s">
        <v>2050</v>
      </c>
      <c r="P326" t="s">
        <v>1378</v>
      </c>
      <c r="T326" s="27" t="s">
        <v>1987</v>
      </c>
      <c r="U326">
        <v>2</v>
      </c>
      <c r="V326" t="s">
        <v>2052</v>
      </c>
      <c r="AC326" t="str">
        <f t="shared" ref="AC326:AC327" si="1373">IF(AD325+AE325&gt;31,REPLACE(AC325,LEN(AC325),1,VALUE(RIGHT(AC325,1))+1),AC325)</f>
        <v>A5.1</v>
      </c>
      <c r="AD326" s="43" cm="1">
        <f t="array" ref="AD326">IF(COUNTIFS(AC$2:AC326,AC326)=1,"1",VALUE(SUBSTITUTE(INDEX(AD:AD,_xlfn.XMATCH(AC326,AC$1:AC325,0,-1)),"A",""))+INDEX(AE:AE,_xlfn.XMATCH(AC326,AC$1:AC325,0,-1))+1)</f>
        <v>5</v>
      </c>
      <c r="AE326" s="43" cm="1">
        <f t="array" ref="AE326">SUM(IF(ISNUMBER(FIND("TmDi",$BE$1:$AAL$1)),IF(IFERROR(ISNUMBER(VALUE(SUBSTITUTE($BE326:$AAL326,"B",""))),FALSE),IF(ISNUMBER(VALUE(SUBSTITUTE($BE326:$AAL326,"B",""))),1,0),0)))</f>
        <v>0</v>
      </c>
      <c r="AF326" t="str">
        <f t="shared" si="1370"/>
        <v>C5</v>
      </c>
      <c r="AG326" t="str">
        <f t="shared" si="1371"/>
        <v>B5</v>
      </c>
      <c r="AP326" t="s">
        <v>1990</v>
      </c>
      <c r="AQ326" t="s">
        <v>2053</v>
      </c>
      <c r="AT326" t="s">
        <v>854</v>
      </c>
      <c r="LT326" t="s">
        <v>2054</v>
      </c>
      <c r="LX326" s="25" t="str">
        <f>CONCATENATE("XT",U326)</f>
        <v>XT2</v>
      </c>
      <c r="LY326" s="12" t="str">
        <f>CONCATENATE("DI",REPLACE($AC326,1,3,""),"-",$AG326)</f>
        <v>DI1-B5</v>
      </c>
      <c r="LZ326" s="12" t="str">
        <f>CONCATENATE("DI",REPLACE($AC326,1,3,""),"-",$AF326)</f>
        <v>DI1-C5</v>
      </c>
      <c r="MA326" s="12" t="s">
        <v>2056</v>
      </c>
      <c r="MB326" s="12" t="s">
        <v>2055</v>
      </c>
      <c r="MC326" s="12">
        <v>11</v>
      </c>
      <c r="MD326" s="12">
        <v>14</v>
      </c>
      <c r="ME326" s="12" t="s">
        <v>142</v>
      </c>
      <c r="MF326" s="12" t="s">
        <v>143</v>
      </c>
      <c r="MG326" s="12" t="s">
        <v>488</v>
      </c>
      <c r="MH326" s="12" t="s">
        <v>487</v>
      </c>
      <c r="MI326" s="12" t="s">
        <v>414</v>
      </c>
      <c r="MJ326" s="12" t="s">
        <v>413</v>
      </c>
      <c r="MK326" s="12">
        <v>5</v>
      </c>
      <c r="ML326" s="12">
        <v>6</v>
      </c>
      <c r="MM326" s="12"/>
      <c r="MN326" s="12"/>
      <c r="MO326" s="12"/>
      <c r="MP326" s="12"/>
      <c r="MQ326" s="12">
        <v>3</v>
      </c>
      <c r="MR326" s="12">
        <v>7</v>
      </c>
      <c r="MS326" s="13"/>
    </row>
    <row r="327" spans="1:583" ht="15.75" thickBot="1" x14ac:dyDescent="0.3">
      <c r="A327" t="s">
        <v>2058</v>
      </c>
      <c r="B327" t="s">
        <v>2057</v>
      </c>
      <c r="P327" t="s">
        <v>2061</v>
      </c>
      <c r="T327" s="14" t="s">
        <v>1987</v>
      </c>
      <c r="U327" s="60">
        <v>3</v>
      </c>
      <c r="V327" t="s">
        <v>2059</v>
      </c>
      <c r="W327" t="s">
        <v>2060</v>
      </c>
      <c r="X327" t="s">
        <v>400</v>
      </c>
      <c r="Y327" s="43" cm="1">
        <f t="array" ref="Y327">IF(COUNTIFS($X$2:$X327,$X327)=1,"1",VALUE(SUBSTITUTE(INDEX(Y:Y,_xlfn.XMATCH($X327,$X$1:$X326,0,-1)),"A",""))+INDEX(Z:Z,_xlfn.XMATCH($X327,$X$1:$X326,0,-1))+1)</f>
        <v>7</v>
      </c>
      <c r="Z327" s="43" cm="1">
        <f t="array" ref="Z327">SUM(IF(ISNUMBER(FIND("TmAi",$BE$1:$AAL$1)),IF(IFERROR(ISODD(SUBSTITUTE($BE327:$AAL327,"A","")),FALSE),IF(ISODD(SUBSTITUTE($BE327:$AAL327,"A","")),1,0),0)))</f>
        <v>0</v>
      </c>
      <c r="AA327" t="str">
        <f t="shared" ref="AA327:AA328" si="1374">CONCATENATE($Y327*2-1,"A")</f>
        <v>13A</v>
      </c>
      <c r="AB327" t="str">
        <f t="shared" ref="AB327:AB328" si="1375">CONCATENATE($Y327*2-1,"B")</f>
        <v>13B</v>
      </c>
      <c r="AC327" t="str">
        <f t="shared" si="1373"/>
        <v>A5.1</v>
      </c>
      <c r="AD327" s="43" cm="1">
        <f t="array" ref="AD327">IF(COUNTIFS(AC$2:AC327,AC327)=1,"1",VALUE(SUBSTITUTE(INDEX(AD:AD,_xlfn.XMATCH(AC327,AC$1:AC326,0,-1)),"A",""))+INDEX(AE:AE,_xlfn.XMATCH(AC327,AC$1:AC326,0,-1))+1)</f>
        <v>6</v>
      </c>
      <c r="AE327" s="43" cm="1">
        <f t="array" ref="AE327">SUM(IF(ISNUMBER(FIND("TmDi",$BE$1:$AAL$1)),IF(IFERROR(ISNUMBER(VALUE(SUBSTITUTE($BE327:$AAL327,"B",""))),FALSE),IF(ISNUMBER(VALUE(SUBSTITUTE($BE327:$AAL327,"B",""))),1,0),0)))</f>
        <v>1</v>
      </c>
      <c r="AF327" t="str">
        <f t="shared" si="1370"/>
        <v>C6</v>
      </c>
      <c r="AG327" t="str">
        <f t="shared" si="1371"/>
        <v>B6</v>
      </c>
      <c r="AH327" s="15" t="s">
        <v>132</v>
      </c>
      <c r="AI327" s="64">
        <v>1</v>
      </c>
      <c r="AJ327" s="64" cm="1">
        <f t="array" ref="AJ327">SUM(IF(ISNUMBER(FIND("TmDo",$BE$1:$AAL$1)),IF(IFERROR(ISNUMBER(VALUE(SUBSTITUTE($BE327:$AAL327,"B",""))),FALSE),IF(ISNUMBER(VALUE(SUBSTITUTE($BE327:$AAL327,"B",""))),1,0),0)))</f>
        <v>1</v>
      </c>
      <c r="AK327" t="str">
        <f>CONCATENATE($AI327,"A")</f>
        <v>1A</v>
      </c>
      <c r="AL327" t="str">
        <f>CONCATENATE($AI327,"B")</f>
        <v>1B</v>
      </c>
      <c r="AM327" t="s">
        <v>141</v>
      </c>
      <c r="AP327" t="s">
        <v>1990</v>
      </c>
      <c r="AQ327" t="s">
        <v>2053</v>
      </c>
      <c r="AS327" t="s">
        <v>396</v>
      </c>
      <c r="AT327" t="s">
        <v>139</v>
      </c>
      <c r="AU327" t="s">
        <v>140</v>
      </c>
      <c r="BD327" s="16"/>
      <c r="GT327" s="25" t="str">
        <f t="shared" ref="GT327" si="1376">CONCATENATE("XT",U327)</f>
        <v>XT3</v>
      </c>
      <c r="GU327" s="12" t="str">
        <f t="shared" ref="GU327" si="1377">CONCATENATE("C",REPLACE(AF327,1,1,"")+1)</f>
        <v>C7</v>
      </c>
      <c r="GV327" s="12" t="str">
        <f t="shared" ref="GV327" si="1378">CONCATENATE("B",REPLACE(AG327,1,1,"")+1)</f>
        <v>B7</v>
      </c>
      <c r="GW327" s="12"/>
      <c r="GX327" s="12"/>
      <c r="GY327" s="12"/>
      <c r="GZ327" s="12"/>
      <c r="HA327" s="12"/>
      <c r="HB327" s="12"/>
      <c r="HC327" s="12"/>
      <c r="HD327" s="12"/>
      <c r="HE327" s="12" t="str">
        <f>CONCATENATE(REPLACE(AK327,LEN(AK327),1,"")+1,"A")</f>
        <v>2A</v>
      </c>
      <c r="HF327" s="12" t="str">
        <f>CONCATENATE(REPLACE(AL327,LEN(AL327),1,"")+1,"B")</f>
        <v>2B</v>
      </c>
      <c r="HG327" s="12" t="str">
        <f>CONCATENATE($T327,"-M",$U327,"-РНЕ-2")</f>
        <v>E1-M3-РНЕ-2</v>
      </c>
      <c r="HH327" s="12" t="str">
        <f>CONCATENATE($T327,"-M",$U327,"-РНЕ-1")</f>
        <v>E1-M3-РНЕ-1</v>
      </c>
      <c r="HI327" s="12" t="str">
        <f t="shared" ref="HI327" si="1379">CONCATENATE("DI",REPLACE($AC327,1,3,""),"-",AF327)</f>
        <v>DI1-C6</v>
      </c>
      <c r="HJ327" s="12" t="str">
        <f t="shared" ref="HJ327" si="1380">CONCATENATE("DI",REPLACE($AC327,1,3,""),"-",AG327)</f>
        <v>DI1-B6</v>
      </c>
      <c r="HK327" s="12" t="str">
        <f t="shared" ref="HK327" si="1381">CONCATENATE("DI",REPLACE($AC327,1,3,""),"-",GU327)</f>
        <v>DI1-C7</v>
      </c>
      <c r="HL327" s="12" t="str">
        <f t="shared" ref="HL327" si="1382">CONCATENATE("DI",REPLACE($AC327,1,3,""),"-",GV327)</f>
        <v>DI1-B7</v>
      </c>
      <c r="HM327" s="12"/>
      <c r="HN327" s="12"/>
      <c r="HO327" s="12"/>
      <c r="HP327" s="12"/>
      <c r="HQ327" s="12"/>
      <c r="HR327" s="12"/>
      <c r="HS327" s="12"/>
      <c r="HT327" s="12"/>
      <c r="HU327" s="12" t="str">
        <f t="shared" ref="HU327" si="1383">CONCATENATE("DO",REPLACE($AH327,1,3,""),"-",AK327)</f>
        <v>DO1-1A</v>
      </c>
      <c r="HV327" s="12" t="str">
        <f t="shared" ref="HV327" si="1384">CONCATENATE("DO",REPLACE($AH327,1,3,""),"-",AL327)</f>
        <v>DO1-1B</v>
      </c>
      <c r="HW327" s="12" t="str">
        <f t="shared" ref="HW327" si="1385">CONCATENATE("DO",REPLACE($AH327,1,3,""),"-",HE327)</f>
        <v>DO1-2A</v>
      </c>
      <c r="HX327" s="12" t="str">
        <f t="shared" ref="HX327" si="1386">CONCATENATE("DO",REPLACE($AH327,1,3,""),"-",HF327)</f>
        <v>DO1-2B</v>
      </c>
      <c r="HY327" s="12" t="str">
        <f>CONCATENATE("K",$U327,"-03")</f>
        <v>K3-03</v>
      </c>
      <c r="HZ327" s="12" t="str">
        <f>CONCATENATE("K",$U327,"-04")</f>
        <v>K3-04</v>
      </c>
      <c r="IA327" s="12" t="str">
        <f>CONCATENATE("K",$U327,"-01")</f>
        <v>K3-01</v>
      </c>
      <c r="IB327" s="12" t="str">
        <f>CONCATENATE("K",$U327,"-02")</f>
        <v>K3-02</v>
      </c>
      <c r="IC327" s="12"/>
      <c r="ID327" s="12"/>
      <c r="IE327" s="12"/>
      <c r="IF327" s="12"/>
      <c r="IG327" s="12" t="str">
        <f>CONCATENATE($T327,"-M",$U327,"-MAM-12")</f>
        <v>E1-M3-MAM-12</v>
      </c>
      <c r="IH327" s="12" t="str">
        <f>CONCATENATE($T327,"-M",$U327,"-AMS-10")</f>
        <v>E1-M3-AMS-10</v>
      </c>
      <c r="II327" s="12" t="str">
        <f>CONCATENATE($T327,"-M",$U327,"-AMS-91")</f>
        <v>E1-M3-AMS-91</v>
      </c>
      <c r="IJ327" s="12" t="str">
        <f>CONCATENATE($T327,"-M",$U327,"-AMS-71")</f>
        <v>E1-M3-AMS-71</v>
      </c>
      <c r="IK327" s="12" t="str">
        <f>CONCATENATE($T327,"-M",$U327,"-MAM-21")</f>
        <v>E1-M3-MAM-21</v>
      </c>
      <c r="IL327" s="12" t="str">
        <f>CONCATENATE($T327,"-M",$U327,"-MAM-11")</f>
        <v>E1-M3-MAM-11</v>
      </c>
      <c r="IM327" s="12"/>
      <c r="IN327" s="12"/>
      <c r="IO327" s="12"/>
      <c r="IP327" s="12"/>
      <c r="IQ327" s="12"/>
      <c r="IR327" s="12" t="s">
        <v>142</v>
      </c>
      <c r="IS327" s="12" t="s">
        <v>143</v>
      </c>
      <c r="IT327" s="12">
        <v>11</v>
      </c>
      <c r="IU327" s="12">
        <v>14</v>
      </c>
      <c r="IV327" s="12" t="s">
        <v>413</v>
      </c>
      <c r="IW327" s="12" t="s">
        <v>414</v>
      </c>
      <c r="IX327" s="12">
        <v>1</v>
      </c>
      <c r="IY327" s="12">
        <v>2</v>
      </c>
      <c r="IZ327" s="12">
        <v>3</v>
      </c>
      <c r="JA327" s="12">
        <v>4</v>
      </c>
      <c r="JB327" s="12">
        <v>5</v>
      </c>
      <c r="JC327" s="12">
        <v>6</v>
      </c>
      <c r="JD327" s="12">
        <v>7</v>
      </c>
      <c r="JE327" s="12">
        <v>8</v>
      </c>
      <c r="JF327" s="12">
        <v>9</v>
      </c>
      <c r="JG327" s="12"/>
      <c r="JH327" s="12"/>
      <c r="JI327" s="12"/>
      <c r="JJ327" s="12"/>
      <c r="JK327" s="12"/>
      <c r="JL327" s="12">
        <v>18</v>
      </c>
      <c r="JM327" s="12">
        <v>19</v>
      </c>
      <c r="JN327" s="12">
        <v>20</v>
      </c>
      <c r="JO327" s="12">
        <v>21</v>
      </c>
      <c r="JP327" s="12">
        <v>23</v>
      </c>
      <c r="JQ327" s="12">
        <v>22</v>
      </c>
      <c r="JR327" s="12">
        <v>29</v>
      </c>
      <c r="JS327" s="12">
        <v>28</v>
      </c>
      <c r="JT327" s="12">
        <v>30</v>
      </c>
      <c r="JU327" s="12"/>
      <c r="JV327" s="12"/>
      <c r="JW327" s="12"/>
      <c r="JX327" s="12"/>
      <c r="JY327" s="13"/>
    </row>
    <row r="328" spans="1:583" ht="15.75" thickBot="1" x14ac:dyDescent="0.3">
      <c r="A328" t="s">
        <v>2064</v>
      </c>
      <c r="B328" t="s">
        <v>2062</v>
      </c>
      <c r="P328" t="s">
        <v>2061</v>
      </c>
      <c r="T328" s="14" t="s">
        <v>1987</v>
      </c>
      <c r="U328" s="60">
        <v>4</v>
      </c>
      <c r="V328" t="s">
        <v>2065</v>
      </c>
      <c r="W328" t="s">
        <v>2066</v>
      </c>
      <c r="X328" t="str">
        <f>IF(COUNTIF(X$316:X327,X327)&gt;7,REPLACE(X327,LEN(X327),1,VALUE(RIGHT(X327,1))+1),X327)</f>
        <v>A3.1</v>
      </c>
      <c r="Y328" s="43" cm="1">
        <f t="array" ref="Y328">IF(COUNTIFS($X$2:$X328,$X328)=1,"1",VALUE(SUBSTITUTE(INDEX(Y:Y,_xlfn.XMATCH($X328,$X$1:$X327,0,-1)),"A",""))+INDEX(Z:Z,_xlfn.XMATCH($X328,$X$1:$X327,0,-1))+1)</f>
        <v>8</v>
      </c>
      <c r="Z328" s="43" cm="1">
        <f t="array" ref="Z328">SUM(IF(ISNUMBER(FIND("TmAi",$BE$1:$AAL$1)),IF(IFERROR(ISODD(SUBSTITUTE($BE328:$AAL328,"A","")),FALSE),IF(ISODD(SUBSTITUTE($BE328:$AAL328,"A","")),1,0),0)))</f>
        <v>0</v>
      </c>
      <c r="AA328" t="str">
        <f t="shared" si="1374"/>
        <v>15A</v>
      </c>
      <c r="AB328" t="str">
        <f t="shared" si="1375"/>
        <v>15B</v>
      </c>
      <c r="AC328" t="str">
        <f t="shared" ref="AC328:AC329" si="1387">IF(AD327+AE327&gt;31,REPLACE(AC327,LEN(AC327),1,VALUE(RIGHT(AC327,1))+1),AC327)</f>
        <v>A5.1</v>
      </c>
      <c r="AD328" s="43" cm="1">
        <f t="array" ref="AD328">IF(COUNTIFS(AC$2:AC328,AC328)=1,"1",VALUE(SUBSTITUTE(INDEX(AD:AD,_xlfn.XMATCH(AC328,AC$1:AC327,0,-1)),"A",""))+INDEX(AE:AE,_xlfn.XMATCH(AC328,AC$1:AC327,0,-1))+1)</f>
        <v>8</v>
      </c>
      <c r="AE328" s="43" cm="1">
        <f t="array" ref="AE328">SUM(IF(ISNUMBER(FIND("TmDi",$BE$1:$AAL$1)),IF(IFERROR(ISNUMBER(VALUE(SUBSTITUTE($BE328:$AAL328,"B",""))),FALSE),IF(ISNUMBER(VALUE(SUBSTITUTE($BE328:$AAL328,"B",""))),1,0),0)))</f>
        <v>1</v>
      </c>
      <c r="AF328" t="str">
        <f t="shared" si="1370"/>
        <v>C8</v>
      </c>
      <c r="AG328" t="str">
        <f t="shared" si="1371"/>
        <v>B8</v>
      </c>
      <c r="AH328" t="str">
        <f t="shared" ref="AH328:AH329" si="1388">IF(AI327+AJ327&gt;31,REPLACE(AH327,LEN(AH327),1,VALUE(RIGHT(AH327,1))+1),AH327)</f>
        <v>A6.1</v>
      </c>
      <c r="AI328" s="64" cm="1">
        <f t="array" ref="AI328">IF(COUNTIFS(AH$2:AH328,AH328)=1,"1",VALUE(SUBSTITUTE(INDEX(AI:AI,_xlfn.XMATCH(AH328,AH$1:AH327,0,-1)),"A",""))+INDEX(AJ:AJ,_xlfn.XMATCH(AH328,AH$1:AH327,0,-1))+1)</f>
        <v>3</v>
      </c>
      <c r="AJ328" s="64" cm="1">
        <f t="array" ref="AJ328">SUM(IF(ISNUMBER(FIND("TmDo",$BE$1:$AAL$1)),IF(IFERROR(ISNUMBER(VALUE(SUBSTITUTE($BE328:$AAL328,"B",""))),FALSE),IF(ISNUMBER(VALUE(SUBSTITUTE($BE328:$AAL328,"B",""))),1,0),0)))</f>
        <v>1</v>
      </c>
      <c r="AK328" t="str">
        <f>CONCATENATE($AI328,"A")</f>
        <v>3A</v>
      </c>
      <c r="AL328" t="str">
        <f>CONCATENATE($AI328,"B")</f>
        <v>3B</v>
      </c>
      <c r="AM328" t="s">
        <v>150</v>
      </c>
      <c r="AP328" t="s">
        <v>1990</v>
      </c>
      <c r="AQ328" t="s">
        <v>2053</v>
      </c>
      <c r="AS328" t="s">
        <v>396</v>
      </c>
      <c r="AT328" t="s">
        <v>139</v>
      </c>
      <c r="AU328" t="s">
        <v>140</v>
      </c>
      <c r="BD328" s="16"/>
      <c r="GT328" s="25" t="str">
        <f t="shared" ref="GT328" si="1389">CONCATENATE("XT",U328)</f>
        <v>XT4</v>
      </c>
      <c r="GU328" s="12" t="str">
        <f t="shared" ref="GU328" si="1390">CONCATENATE("C",REPLACE(AF328,1,1,"")+1)</f>
        <v>C9</v>
      </c>
      <c r="GV328" s="12" t="str">
        <f t="shared" ref="GV328" si="1391">CONCATENATE("B",REPLACE(AG328,1,1,"")+1)</f>
        <v>B9</v>
      </c>
      <c r="GW328" s="12"/>
      <c r="GX328" s="12"/>
      <c r="GY328" s="12"/>
      <c r="GZ328" s="12"/>
      <c r="HA328" s="12"/>
      <c r="HB328" s="12"/>
      <c r="HC328" s="12"/>
      <c r="HD328" s="12"/>
      <c r="HE328" s="12" t="str">
        <f>CONCATENATE(REPLACE(AK328,LEN(AK328),1,"")+1,"A")</f>
        <v>4A</v>
      </c>
      <c r="HF328" s="12" t="str">
        <f>CONCATENATE(REPLACE(AL328,LEN(AL328),1,"")+1,"B")</f>
        <v>4B</v>
      </c>
      <c r="HG328" s="12" t="str">
        <f>CONCATENATE($T328,"-M",$U328,"-РНЕ-2")</f>
        <v>E1-M4-РНЕ-2</v>
      </c>
      <c r="HH328" s="12" t="str">
        <f>CONCATENATE($T328,"-M",$U328,"-РНЕ-1")</f>
        <v>E1-M4-РНЕ-1</v>
      </c>
      <c r="HI328" s="12" t="str">
        <f t="shared" ref="HI328" si="1392">CONCATENATE("DI",REPLACE($AC328,1,3,""),"-",AF328)</f>
        <v>DI1-C8</v>
      </c>
      <c r="HJ328" s="12" t="str">
        <f t="shared" ref="HJ328" si="1393">CONCATENATE("DI",REPLACE($AC328,1,3,""),"-",AG328)</f>
        <v>DI1-B8</v>
      </c>
      <c r="HK328" s="12" t="str">
        <f t="shared" ref="HK328" si="1394">CONCATENATE("DI",REPLACE($AC328,1,3,""),"-",GU328)</f>
        <v>DI1-C9</v>
      </c>
      <c r="HL328" s="12" t="str">
        <f t="shared" ref="HL328" si="1395">CONCATENATE("DI",REPLACE($AC328,1,3,""),"-",GV328)</f>
        <v>DI1-B9</v>
      </c>
      <c r="HM328" s="12"/>
      <c r="HN328" s="12"/>
      <c r="HO328" s="12"/>
      <c r="HP328" s="12"/>
      <c r="HQ328" s="12"/>
      <c r="HR328" s="12"/>
      <c r="HS328" s="12"/>
      <c r="HT328" s="12"/>
      <c r="HU328" s="12" t="str">
        <f t="shared" ref="HU328" si="1396">CONCATENATE("DO",REPLACE($AH328,1,3,""),"-",AK328)</f>
        <v>DO1-3A</v>
      </c>
      <c r="HV328" s="12" t="str">
        <f t="shared" ref="HV328" si="1397">CONCATENATE("DO",REPLACE($AH328,1,3,""),"-",AL328)</f>
        <v>DO1-3B</v>
      </c>
      <c r="HW328" s="12" t="str">
        <f t="shared" ref="HW328" si="1398">CONCATENATE("DO",REPLACE($AH328,1,3,""),"-",HE328)</f>
        <v>DO1-4A</v>
      </c>
      <c r="HX328" s="12" t="str">
        <f t="shared" ref="HX328" si="1399">CONCATENATE("DO",REPLACE($AH328,1,3,""),"-",HF328)</f>
        <v>DO1-4B</v>
      </c>
      <c r="HY328" s="12" t="str">
        <f>CONCATENATE("K",$U328,"-03")</f>
        <v>K4-03</v>
      </c>
      <c r="HZ328" s="12" t="str">
        <f>CONCATENATE("K",$U328,"-04")</f>
        <v>K4-04</v>
      </c>
      <c r="IA328" s="12" t="str">
        <f>CONCATENATE("K",$U328,"-01")</f>
        <v>K4-01</v>
      </c>
      <c r="IB328" s="12" t="str">
        <f>CONCATENATE("K",$U328,"-02")</f>
        <v>K4-02</v>
      </c>
      <c r="IC328" s="12"/>
      <c r="ID328" s="12"/>
      <c r="IE328" s="12"/>
      <c r="IF328" s="12"/>
      <c r="IG328" s="12" t="str">
        <f>CONCATENATE($T328,"-M",$U328,"-MAM-12")</f>
        <v>E1-M4-MAM-12</v>
      </c>
      <c r="IH328" s="12" t="str">
        <f>CONCATENATE($T328,"-M",$U328,"-AMS-10")</f>
        <v>E1-M4-AMS-10</v>
      </c>
      <c r="II328" s="12" t="str">
        <f>CONCATENATE($T328,"-M",$U328,"-AMS-91")</f>
        <v>E1-M4-AMS-91</v>
      </c>
      <c r="IJ328" s="12" t="str">
        <f>CONCATENATE($T328,"-M",$U328,"-AMS-71")</f>
        <v>E1-M4-AMS-71</v>
      </c>
      <c r="IK328" s="12" t="str">
        <f>CONCATENATE($T328,"-M",$U328,"-MAM-21")</f>
        <v>E1-M4-MAM-21</v>
      </c>
      <c r="IL328" s="12" t="str">
        <f>CONCATENATE($T328,"-M",$U328,"-MAM-11")</f>
        <v>E1-M4-MAM-11</v>
      </c>
      <c r="IM328" s="12"/>
      <c r="IN328" s="12"/>
      <c r="IO328" s="12"/>
      <c r="IP328" s="12"/>
      <c r="IQ328" s="12"/>
      <c r="IR328" s="12" t="s">
        <v>142</v>
      </c>
      <c r="IS328" s="12" t="s">
        <v>143</v>
      </c>
      <c r="IT328" s="12">
        <v>11</v>
      </c>
      <c r="IU328" s="12">
        <v>14</v>
      </c>
      <c r="IV328" s="12" t="str">
        <f>IV327</f>
        <v>24v6</v>
      </c>
      <c r="IW328" s="12" t="str">
        <f>IW327</f>
        <v>0v6</v>
      </c>
      <c r="IX328" s="12">
        <v>1</v>
      </c>
      <c r="IY328" s="12">
        <v>2</v>
      </c>
      <c r="IZ328" s="12">
        <v>3</v>
      </c>
      <c r="JA328" s="12">
        <v>4</v>
      </c>
      <c r="JB328" s="12">
        <v>5</v>
      </c>
      <c r="JC328" s="12">
        <v>6</v>
      </c>
      <c r="JD328" s="12">
        <v>7</v>
      </c>
      <c r="JE328" s="12">
        <v>8</v>
      </c>
      <c r="JF328" s="12">
        <v>9</v>
      </c>
      <c r="JG328" s="12"/>
      <c r="JH328" s="12"/>
      <c r="JI328" s="12"/>
      <c r="JJ328" s="12"/>
      <c r="JK328" s="12"/>
      <c r="JL328" s="12">
        <v>18</v>
      </c>
      <c r="JM328" s="12">
        <v>19</v>
      </c>
      <c r="JN328" s="12">
        <v>20</v>
      </c>
      <c r="JO328" s="12">
        <v>21</v>
      </c>
      <c r="JP328" s="12">
        <v>23</v>
      </c>
      <c r="JQ328" s="12">
        <v>22</v>
      </c>
      <c r="JR328" s="12">
        <v>29</v>
      </c>
      <c r="JS328" s="12">
        <v>28</v>
      </c>
      <c r="JT328" s="12">
        <v>30</v>
      </c>
      <c r="JU328" s="12"/>
      <c r="JV328" s="12"/>
      <c r="JW328" s="12"/>
      <c r="JX328" s="12"/>
      <c r="JY328" s="13"/>
    </row>
    <row r="329" spans="1:583" x14ac:dyDescent="0.25">
      <c r="A329" t="s">
        <v>2068</v>
      </c>
      <c r="B329" t="s">
        <v>2067</v>
      </c>
      <c r="C329" s="3"/>
      <c r="O329" s="2"/>
      <c r="P329" t="s">
        <v>2063</v>
      </c>
      <c r="Q329" s="1"/>
      <c r="S329" s="1"/>
      <c r="T329" s="10" t="s">
        <v>1987</v>
      </c>
      <c r="U329" s="49">
        <v>5</v>
      </c>
      <c r="V329" s="11" t="s">
        <v>2069</v>
      </c>
      <c r="W329" s="11"/>
      <c r="X329" s="12"/>
      <c r="Y329" s="12"/>
      <c r="Z329" s="12"/>
      <c r="AA329" s="12"/>
      <c r="AB329" s="12"/>
      <c r="AC329" s="12" t="str">
        <f t="shared" si="1387"/>
        <v>A5.1</v>
      </c>
      <c r="AD329" s="61" cm="1">
        <f t="array" ref="AD329">IF(COUNTIFS(AC$2:AC329,AC329)=1,"1",VALUE(SUBSTITUTE(INDEX(AD:AD,_xlfn.XMATCH(AC329,AC$1:AC328,0,-1)),"A",""))+INDEX(AE:AE,_xlfn.XMATCH(AC329,AC$1:AC328,0,-1))+1)</f>
        <v>10</v>
      </c>
      <c r="AE329" s="61" cm="1">
        <f t="array" ref="AE329">SUM(IF(ISNUMBER(FIND("TmDi",$BE$1:$AAL$1)),IF(IFERROR(ISNUMBER(VALUE(SUBSTITUTE($BE329:$AAL329,"B",""))),FALSE),IF(ISNUMBER(VALUE(SUBSTITUTE($BE329:$AAL329,"B",""))),1,0),0)))</f>
        <v>3</v>
      </c>
      <c r="AF329" s="12" t="str">
        <f t="shared" si="1370"/>
        <v>C10</v>
      </c>
      <c r="AG329" s="12" t="str">
        <f t="shared" si="1371"/>
        <v>B10</v>
      </c>
      <c r="AH329" s="12" t="str">
        <f t="shared" si="1388"/>
        <v>A6.1</v>
      </c>
      <c r="AI329" s="79" cm="1">
        <f t="array" ref="AI329">IF(COUNTIFS(AH$2:AH329,AH329)=1,"1",VALUE(SUBSTITUTE(INDEX(AI:AI,_xlfn.XMATCH(AH329,AH$1:AH328,0,-1)),"A",""))+INDEX(AJ:AJ,_xlfn.XMATCH(AH329,AH$1:AH328,0,-1))+1)</f>
        <v>5</v>
      </c>
      <c r="AJ329" s="79" cm="1">
        <f t="array" ref="AJ329">SUM(IF(ISNUMBER(FIND("TmDo",$BE$1:$AAL$1)),IF(IFERROR(ISNUMBER(VALUE(SUBSTITUTE($BE329:$AAL329,"B",""))),FALSE),IF(ISNUMBER(VALUE(SUBSTITUTE($BE329:$AAL329,"B",""))),1,0),0)))</f>
        <v>2</v>
      </c>
      <c r="AK329" s="11" t="str">
        <f>CONCATENATE($AI329,"A")</f>
        <v>5A</v>
      </c>
      <c r="AL329" s="11" t="str">
        <f>CONCATENATE($AI329,"B")</f>
        <v>5B</v>
      </c>
      <c r="AM329" s="12" t="s">
        <v>155</v>
      </c>
      <c r="AN329" s="12"/>
      <c r="AO329" s="12"/>
      <c r="AP329" s="12" t="s">
        <v>1990</v>
      </c>
      <c r="AQ329" s="12" t="s">
        <v>2053</v>
      </c>
      <c r="AR329" s="12"/>
      <c r="AS329" s="12"/>
      <c r="AT329" s="12" t="s">
        <v>139</v>
      </c>
      <c r="AU329" s="12" t="s">
        <v>140</v>
      </c>
      <c r="AV329" s="12"/>
      <c r="AW329" s="12"/>
      <c r="AX329" s="12"/>
      <c r="AY329" s="12"/>
      <c r="AZ329" s="12"/>
      <c r="BA329" s="12"/>
      <c r="BB329" s="12"/>
      <c r="BC329" s="12"/>
      <c r="BD329" s="13"/>
      <c r="BE329" s="25" t="str">
        <f t="shared" ref="BE329" si="1400">CONCATENATE("XT",U329)</f>
        <v>XT5</v>
      </c>
      <c r="BF329" s="12" t="str">
        <f t="shared" ref="BF329" si="1401">CONCATENATE("C",REPLACE(AF329,1,1,"")+1)</f>
        <v>C11</v>
      </c>
      <c r="BG329" s="12" t="str">
        <f t="shared" ref="BG329" si="1402">CONCATENATE("B",REPLACE(AG329,1,1,"")+1)</f>
        <v>B11</v>
      </c>
      <c r="BH329" s="12" t="str">
        <f t="shared" ref="BH329" si="1403">CONCATENATE("C",REPLACE(BF329,1,1,"")+1)</f>
        <v>C12</v>
      </c>
      <c r="BI329" s="12" t="str">
        <f t="shared" ref="BI329" si="1404">CONCATENATE("B",REPLACE(BG329,1,1,"")+1)</f>
        <v>B12</v>
      </c>
      <c r="BJ329" s="12" t="str">
        <f t="shared" ref="BJ329" si="1405">CONCATENATE("C",REPLACE(BH329,1,1,"")+1)</f>
        <v>C13</v>
      </c>
      <c r="BK329" s="12" t="str">
        <f t="shared" ref="BK329" si="1406">CONCATENATE("B",REPLACE(BI329,1,1,"")+1)</f>
        <v>B13</v>
      </c>
      <c r="BL329" s="12"/>
      <c r="BM329" s="12"/>
      <c r="BN329" s="12"/>
      <c r="BO329" s="12"/>
      <c r="BP329" s="12" t="str">
        <f>CONCATENATE(REPLACE(AK329,LEN(AK329),1,"")+1,"A")</f>
        <v>6A</v>
      </c>
      <c r="BQ329" s="12" t="str">
        <f>CONCATENATE(REPLACE(AL329,LEN(AL329),1,"")+1,"B")</f>
        <v>6B</v>
      </c>
      <c r="BR329" s="12" t="str">
        <f>CONCATENATE(REPLACE(BP329,LEN(BP329),1,"")+1,"A")</f>
        <v>7A</v>
      </c>
      <c r="BS329" s="12" t="str">
        <f>CONCATENATE(REPLACE(BQ329,LEN(BQ329),1,"")+1,"B")</f>
        <v>7B</v>
      </c>
      <c r="BT329" s="12" t="str">
        <f t="shared" ref="BT329" si="1407">CONCATENATE("DI",REPLACE($AC329,1,3,""),"-",AF329)</f>
        <v>DI1-C10</v>
      </c>
      <c r="BU329" s="12" t="str">
        <f t="shared" ref="BU329" si="1408">CONCATENATE("DI",REPLACE($AC329,1,3,""),"-",AG329)</f>
        <v>DI1-B10</v>
      </c>
      <c r="BV329" s="12" t="str">
        <f t="shared" ref="BV329" si="1409">CONCATENATE("DI",REPLACE($AC329,1,3,""),"-",BF329)</f>
        <v>DI1-C11</v>
      </c>
      <c r="BW329" s="12" t="str">
        <f t="shared" ref="BW329" si="1410">CONCATENATE("DI",REPLACE($AC329,1,3,""),"-",BG329)</f>
        <v>DI1-B11</v>
      </c>
      <c r="BX329" s="12" t="str">
        <f t="shared" ref="BX329" si="1411">CONCATENATE("DI",REPLACE($AC329,1,3,""),"-",BH329)</f>
        <v>DI1-C12</v>
      </c>
      <c r="BY329" s="12" t="str">
        <f t="shared" ref="BY329" si="1412">CONCATENATE("DI",REPLACE($AC329,1,3,""),"-",BI329)</f>
        <v>DI1-B12</v>
      </c>
      <c r="BZ329" s="12" t="str">
        <f t="shared" ref="BZ329" si="1413">CONCATENATE("DI",REPLACE($AC329,1,3,""),"-",BJ329)</f>
        <v>DI1-C13</v>
      </c>
      <c r="CA329" s="12" t="str">
        <f t="shared" ref="CA329" si="1414">CONCATENATE("DI",REPLACE($AC329,1,3,""),"-",BK329)</f>
        <v>DI1-B13</v>
      </c>
      <c r="CB329" s="12"/>
      <c r="CC329" s="12"/>
      <c r="CD329" s="12"/>
      <c r="CE329" s="12"/>
      <c r="CF329" s="12" t="str">
        <f t="shared" ref="CF329" si="1415">CONCATENATE("DO",REPLACE($AH329,1,3,""),"-",AK329)</f>
        <v>DO1-5A</v>
      </c>
      <c r="CG329" s="12" t="str">
        <f t="shared" ref="CG329" si="1416">CONCATENATE("DO",REPLACE($AH329,1,3,""),"-",AL329)</f>
        <v>DO1-5B</v>
      </c>
      <c r="CH329" s="12" t="str">
        <f t="shared" ref="CH329" si="1417">CONCATENATE("DO",REPLACE($AH329,1,3,""),"-",BP329)</f>
        <v>DO1-6A</v>
      </c>
      <c r="CI329" s="12" t="str">
        <f t="shared" ref="CI329" si="1418">CONCATENATE("DO",REPLACE($AH329,1,3,""),"-",BQ329)</f>
        <v>DO1-6B</v>
      </c>
      <c r="CJ329" s="12" t="str">
        <f t="shared" ref="CJ329" si="1419">CONCATENATE("DO",REPLACE($AH329,1,3,""),"-",BR329)</f>
        <v>DO1-7A</v>
      </c>
      <c r="CK329" s="12" t="str">
        <f t="shared" ref="CK329" si="1420">CONCATENATE("DO",REPLACE($AH329,1,3,""),"-",BS329)</f>
        <v>DO1-7B</v>
      </c>
      <c r="CL329" s="12" t="str">
        <f t="shared" ref="CL329:CL330" si="1421">CONCATENATE("K",$U329,"-10")</f>
        <v>K5-10</v>
      </c>
      <c r="CM329" s="12" t="str">
        <f t="shared" ref="CM329:CM330" si="1422">CONCATENATE("K",$U329,"-03")</f>
        <v>K5-03</v>
      </c>
      <c r="CN329" s="12" t="str">
        <f t="shared" ref="CN329:CN330" si="1423">CONCATENATE("K",$U329,"-04")</f>
        <v>K5-04</v>
      </c>
      <c r="CO329" s="12"/>
      <c r="CP329" s="12" t="str">
        <f t="shared" ref="CP329:CP330" si="1424">CONCATENATE("K",$U329,"-08")</f>
        <v>K5-08</v>
      </c>
      <c r="CQ329" s="12" t="str">
        <f t="shared" ref="CQ329:CQ330" si="1425">CONCATENATE("K",$U329,"-02")</f>
        <v>K5-02</v>
      </c>
      <c r="CR329" s="12" t="str">
        <f t="shared" ref="CR329:CR330" si="1426">CONCATENATE("K",$U329,"-09")</f>
        <v>K5-09</v>
      </c>
      <c r="CS329" s="12" t="str">
        <f>CONCATENATE("K",$U329,"-06")</f>
        <v>K5-06</v>
      </c>
      <c r="CT329" s="12" t="str">
        <f>CONCATENATE("K",$U329,"-05")</f>
        <v>K5-05</v>
      </c>
      <c r="CU329" s="12" t="str">
        <f t="shared" ref="CU329:CU331" si="1427">CONCATENATE($T329,"-M",$U329,"-A9")</f>
        <v>E1-M5-A9</v>
      </c>
      <c r="CV329" s="12" t="str">
        <f t="shared" ref="CV329:CV330" si="1428">CONCATENATE($T329,"-M",$U329,"-A7")</f>
        <v>E1-M5-A7</v>
      </c>
      <c r="CW329" s="12" t="str">
        <f t="shared" ref="CW329:CW330" si="1429">CONCATENATE($T329,"-M",$U329,"-A8")</f>
        <v>E1-M5-A8</v>
      </c>
      <c r="CX329" s="12" t="str">
        <f t="shared" ref="CX329:CX331" si="1430">CONCATENATE($T329,"-M",$U329,"-A6")</f>
        <v>E1-M5-A6</v>
      </c>
      <c r="CY329" s="12" t="str">
        <f t="shared" ref="CY329:CY331" si="1431">CONCATENATE($T329,"-M",$U329,"-A30")</f>
        <v>E1-M5-A30</v>
      </c>
      <c r="CZ329" s="12" t="str">
        <f t="shared" ref="CZ329:CZ331" si="1432">CONCATENATE($T329,"-M",$U329,"-N")</f>
        <v>E1-M5-N</v>
      </c>
      <c r="DA329" s="12" t="str">
        <f>CONCATENATE($T329,"-M",U329,"-A7")</f>
        <v>E1-M5-A7</v>
      </c>
      <c r="DB329" s="12" t="str">
        <f>CONCATENATE($T329,"-M",$U329,"-H1")</f>
        <v>E1-M5-H1</v>
      </c>
      <c r="DC329" s="12" t="str">
        <f t="shared" ref="DC329:DC331" si="1433">CONCATENATE($T329,"-M",$U329,"-A1")</f>
        <v>E1-M5-A1</v>
      </c>
      <c r="DD329" s="12" t="str">
        <f t="shared" ref="DD329:DD331" si="1434">CONCATENATE($T329,"-M",$U329,"-A5")</f>
        <v>E1-M5-A5</v>
      </c>
      <c r="DE329" s="12" t="str">
        <f t="shared" ref="DE329:DE331" si="1435">CONCATENATE($T329,"-M",$U329,"-A11")</f>
        <v>E1-M5-A11</v>
      </c>
      <c r="DF329" s="12" t="str">
        <f t="shared" ref="DF329:DF331" si="1436">CONCATENATE($T329,"-M",$U329,"-A12")</f>
        <v>E1-M5-A12</v>
      </c>
      <c r="DG329" s="12" t="str">
        <f>CONCATENATE($T329,"-M",$U329,"-A20")</f>
        <v>E1-M5-A20</v>
      </c>
      <c r="DH329" s="12" t="str">
        <f>CONCATENATE($T329,"-M",$U329,"-A19")</f>
        <v>E1-M5-A19</v>
      </c>
      <c r="DI329" s="12" t="s">
        <v>142</v>
      </c>
      <c r="DJ329" s="12" t="s">
        <v>143</v>
      </c>
      <c r="DK329" s="12">
        <v>11</v>
      </c>
      <c r="DL329" s="12">
        <v>14</v>
      </c>
      <c r="DM329" s="12">
        <v>12</v>
      </c>
      <c r="DN329" s="12"/>
      <c r="DO329" s="12"/>
      <c r="DP329" s="12">
        <v>1</v>
      </c>
      <c r="DQ329" s="12">
        <v>2</v>
      </c>
      <c r="DR329" s="12">
        <v>3</v>
      </c>
      <c r="DS329" s="12">
        <v>4</v>
      </c>
      <c r="DT329" s="12">
        <v>5</v>
      </c>
      <c r="DU329" s="12">
        <v>6</v>
      </c>
      <c r="DV329" s="12">
        <v>7</v>
      </c>
      <c r="DW329" s="12">
        <v>8</v>
      </c>
      <c r="DX329" s="12">
        <v>9</v>
      </c>
      <c r="DY329" s="12">
        <v>10</v>
      </c>
      <c r="DZ329" s="12">
        <v>11</v>
      </c>
      <c r="EA329" s="12">
        <v>12</v>
      </c>
      <c r="EB329" s="12">
        <v>13</v>
      </c>
      <c r="EC329" s="12">
        <v>14</v>
      </c>
      <c r="ED329" s="12">
        <v>1</v>
      </c>
      <c r="EE329" s="12">
        <v>3</v>
      </c>
      <c r="EF329" s="12">
        <v>5</v>
      </c>
      <c r="EG329" s="12">
        <v>7</v>
      </c>
      <c r="EH329" s="12">
        <v>13</v>
      </c>
      <c r="EI329" s="12">
        <v>17</v>
      </c>
      <c r="EJ329" s="12">
        <v>18</v>
      </c>
      <c r="EK329" s="12">
        <v>19</v>
      </c>
      <c r="EL329" s="12">
        <v>20</v>
      </c>
      <c r="EM329" s="12">
        <v>25</v>
      </c>
      <c r="EN329" s="12"/>
      <c r="EO329" s="12"/>
      <c r="EP329" s="12"/>
      <c r="EQ329" s="13"/>
    </row>
    <row r="330" spans="1:583" x14ac:dyDescent="0.25">
      <c r="A330" s="55" t="s">
        <v>2072</v>
      </c>
      <c r="B330" t="s">
        <v>2071</v>
      </c>
      <c r="C330" s="3"/>
      <c r="O330" s="2"/>
      <c r="P330" t="s">
        <v>2063</v>
      </c>
      <c r="Q330" s="1"/>
      <c r="S330" s="1"/>
      <c r="T330" s="14" t="s">
        <v>1987</v>
      </c>
      <c r="U330" s="60">
        <v>6</v>
      </c>
      <c r="V330" s="15" t="s">
        <v>2073</v>
      </c>
      <c r="W330" s="15"/>
      <c r="AC330" t="str">
        <f t="shared" ref="AC330" si="1437">IF(AD329+AE329&gt;31,REPLACE(AC329,LEN(AC329),1,VALUE(RIGHT(AC329,1))+1),AC329)</f>
        <v>A5.1</v>
      </c>
      <c r="AD330" s="43" cm="1">
        <f t="array" ref="AD330">IF(COUNTIFS(AC$2:AC330,AC330)=1,"1",VALUE(SUBSTITUTE(INDEX(AD:AD,_xlfn.XMATCH(AC330,AC$1:AC329,0,-1)),"A",""))+INDEX(AE:AE,_xlfn.XMATCH(AC330,AC$1:AC329,0,-1))+1)</f>
        <v>14</v>
      </c>
      <c r="AE330" s="43" cm="1">
        <f t="array" ref="AE330">SUM(IF(ISNUMBER(FIND("TmDi",$BE$1:$AAL$1)),IF(IFERROR(ISNUMBER(VALUE(SUBSTITUTE($BE330:$AAL330,"B",""))),FALSE),IF(ISNUMBER(VALUE(SUBSTITUTE($BE330:$AAL330,"B",""))),1,0),0)))</f>
        <v>3</v>
      </c>
      <c r="AF330" t="str">
        <f t="shared" si="1370"/>
        <v>C14</v>
      </c>
      <c r="AG330" t="str">
        <f t="shared" si="1371"/>
        <v>B14</v>
      </c>
      <c r="AH330" t="str">
        <f t="shared" ref="AH330" si="1438">IF(AI329+AJ329&gt;31,REPLACE(AH329,LEN(AH329),1,VALUE(RIGHT(AH329,1))+1),AH329)</f>
        <v>A6.1</v>
      </c>
      <c r="AI330" s="64" cm="1">
        <f t="array" ref="AI330">IF(COUNTIFS(AH$2:AH330,AH330)=1,"1",VALUE(SUBSTITUTE(INDEX(AI:AI,_xlfn.XMATCH(AH330,AH$1:AH329,0,-1)),"A",""))+INDEX(AJ:AJ,_xlfn.XMATCH(AH330,AH$1:AH329,0,-1))+1)</f>
        <v>8</v>
      </c>
      <c r="AJ330" s="64" cm="1">
        <f t="array" ref="AJ330">SUM(IF(ISNUMBER(FIND("TmDo",$BE$1:$AAL$1)),IF(IFERROR(ISNUMBER(VALUE(SUBSTITUTE($BE330:$AAL330,"B",""))),FALSE),IF(ISNUMBER(VALUE(SUBSTITUTE($BE330:$AAL330,"B",""))),1,0),0)))</f>
        <v>2</v>
      </c>
      <c r="AK330" s="15" t="str">
        <f>CONCATENATE($AI330,"A")</f>
        <v>8A</v>
      </c>
      <c r="AL330" s="15" t="str">
        <f>CONCATENATE($AI330,"B")</f>
        <v>8B</v>
      </c>
      <c r="AM330" t="s">
        <v>158</v>
      </c>
      <c r="AP330" t="s">
        <v>1990</v>
      </c>
      <c r="AQ330" t="s">
        <v>2053</v>
      </c>
      <c r="AT330" t="s">
        <v>139</v>
      </c>
      <c r="AU330" t="s">
        <v>140</v>
      </c>
      <c r="BD330" s="16"/>
      <c r="BE330" s="27" t="str">
        <f t="shared" ref="BE330" si="1439">CONCATENATE("XT",U330)</f>
        <v>XT6</v>
      </c>
      <c r="BF330" t="str">
        <f t="shared" ref="BF330" si="1440">CONCATENATE("C",REPLACE(AF330,1,1,"")+1)</f>
        <v>C15</v>
      </c>
      <c r="BG330" t="str">
        <f t="shared" ref="BG330" si="1441">CONCATENATE("B",REPLACE(AG330,1,1,"")+1)</f>
        <v>B15</v>
      </c>
      <c r="BH330" t="str">
        <f t="shared" ref="BH330" si="1442">CONCATENATE("C",REPLACE(BF330,1,1,"")+1)</f>
        <v>C16</v>
      </c>
      <c r="BI330" t="str">
        <f t="shared" ref="BI330" si="1443">CONCATENATE("B",REPLACE(BG330,1,1,"")+1)</f>
        <v>B16</v>
      </c>
      <c r="BJ330" t="str">
        <f t="shared" ref="BJ330" si="1444">CONCATENATE("C",REPLACE(BH330,1,1,"")+1)</f>
        <v>C17</v>
      </c>
      <c r="BK330" t="str">
        <f t="shared" ref="BK330" si="1445">CONCATENATE("B",REPLACE(BI330,1,1,"")+1)</f>
        <v>B17</v>
      </c>
      <c r="BP330" t="str">
        <f>CONCATENATE(REPLACE(AK330,LEN(AK330),1,"")+1,"A")</f>
        <v>9A</v>
      </c>
      <c r="BQ330" t="str">
        <f>CONCATENATE(REPLACE(AL330,LEN(AL330),1,"")+1,"B")</f>
        <v>9B</v>
      </c>
      <c r="BR330" t="str">
        <f>CONCATENATE(REPLACE(BP330,LEN(BP330),1,"")+1,"A")</f>
        <v>10A</v>
      </c>
      <c r="BS330" t="str">
        <f>CONCATENATE(REPLACE(BQ330,LEN(BQ330),1,"")+1,"B")</f>
        <v>10B</v>
      </c>
      <c r="BT330" t="str">
        <f t="shared" ref="BT330" si="1446">CONCATENATE("DI",REPLACE($AC330,1,3,""),"-",AF330)</f>
        <v>DI1-C14</v>
      </c>
      <c r="BU330" t="str">
        <f t="shared" ref="BU330" si="1447">CONCATENATE("DI",REPLACE($AC330,1,3,""),"-",AG330)</f>
        <v>DI1-B14</v>
      </c>
      <c r="BV330" t="str">
        <f t="shared" ref="BV330" si="1448">CONCATENATE("DI",REPLACE($AC330,1,3,""),"-",BF330)</f>
        <v>DI1-C15</v>
      </c>
      <c r="BW330" t="str">
        <f t="shared" ref="BW330" si="1449">CONCATENATE("DI",REPLACE($AC330,1,3,""),"-",BG330)</f>
        <v>DI1-B15</v>
      </c>
      <c r="BX330" t="str">
        <f t="shared" ref="BX330" si="1450">CONCATENATE("DI",REPLACE($AC330,1,3,""),"-",BH330)</f>
        <v>DI1-C16</v>
      </c>
      <c r="BY330" t="str">
        <f t="shared" ref="BY330" si="1451">CONCATENATE("DI",REPLACE($AC330,1,3,""),"-",BI330)</f>
        <v>DI1-B16</v>
      </c>
      <c r="BZ330" t="str">
        <f t="shared" ref="BZ330" si="1452">CONCATENATE("DI",REPLACE($AC330,1,3,""),"-",BJ330)</f>
        <v>DI1-C17</v>
      </c>
      <c r="CA330" t="str">
        <f t="shared" ref="CA330" si="1453">CONCATENATE("DI",REPLACE($AC330,1,3,""),"-",BK330)</f>
        <v>DI1-B17</v>
      </c>
      <c r="CF330" t="str">
        <f t="shared" ref="CF330" si="1454">CONCATENATE("DO",REPLACE($AH330,1,3,""),"-",AK330)</f>
        <v>DO1-8A</v>
      </c>
      <c r="CG330" t="str">
        <f t="shared" ref="CG330" si="1455">CONCATENATE("DO",REPLACE($AH330,1,3,""),"-",AL330)</f>
        <v>DO1-8B</v>
      </c>
      <c r="CH330" t="str">
        <f t="shared" ref="CH330" si="1456">CONCATENATE("DO",REPLACE($AH330,1,3,""),"-",BP330)</f>
        <v>DO1-9A</v>
      </c>
      <c r="CI330" t="str">
        <f t="shared" ref="CI330" si="1457">CONCATENATE("DO",REPLACE($AH330,1,3,""),"-",BQ330)</f>
        <v>DO1-9B</v>
      </c>
      <c r="CJ330" t="str">
        <f t="shared" ref="CJ330" si="1458">CONCATENATE("DO",REPLACE($AH330,1,3,""),"-",BR330)</f>
        <v>DO1-10A</v>
      </c>
      <c r="CK330" t="str">
        <f t="shared" ref="CK330" si="1459">CONCATENATE("DO",REPLACE($AH330,1,3,""),"-",BS330)</f>
        <v>DO1-10B</v>
      </c>
      <c r="CL330" t="str">
        <f t="shared" si="1421"/>
        <v>K6-10</v>
      </c>
      <c r="CM330" t="str">
        <f t="shared" si="1422"/>
        <v>K6-03</v>
      </c>
      <c r="CN330" t="str">
        <f t="shared" si="1423"/>
        <v>K6-04</v>
      </c>
      <c r="CP330" t="str">
        <f t="shared" si="1424"/>
        <v>K6-08</v>
      </c>
      <c r="CQ330" t="str">
        <f t="shared" si="1425"/>
        <v>K6-02</v>
      </c>
      <c r="CR330" t="str">
        <f t="shared" si="1426"/>
        <v>K6-09</v>
      </c>
      <c r="CS330" t="str">
        <f>CONCATENATE("K",$U330,"-06")</f>
        <v>K6-06</v>
      </c>
      <c r="CT330" t="str">
        <f>CONCATENATE("K",$U330,"-05")</f>
        <v>K6-05</v>
      </c>
      <c r="CU330" t="str">
        <f t="shared" si="1427"/>
        <v>E1-M6-A9</v>
      </c>
      <c r="CV330" t="str">
        <f t="shared" si="1428"/>
        <v>E1-M6-A7</v>
      </c>
      <c r="CW330" t="str">
        <f t="shared" si="1429"/>
        <v>E1-M6-A8</v>
      </c>
      <c r="CX330" t="str">
        <f t="shared" si="1430"/>
        <v>E1-M6-A6</v>
      </c>
      <c r="CY330" t="str">
        <f t="shared" si="1431"/>
        <v>E1-M6-A30</v>
      </c>
      <c r="CZ330" t="str">
        <f t="shared" si="1432"/>
        <v>E1-M6-N</v>
      </c>
      <c r="DA330" t="str">
        <f>CONCATENATE($T330,"-M",U330,"-A7")</f>
        <v>E1-M6-A7</v>
      </c>
      <c r="DB330" t="str">
        <f>CONCATENATE($T330,"-M",$U330,"-H1")</f>
        <v>E1-M6-H1</v>
      </c>
      <c r="DC330" t="str">
        <f t="shared" si="1433"/>
        <v>E1-M6-A1</v>
      </c>
      <c r="DD330" t="str">
        <f t="shared" si="1434"/>
        <v>E1-M6-A5</v>
      </c>
      <c r="DE330" t="str">
        <f t="shared" si="1435"/>
        <v>E1-M6-A11</v>
      </c>
      <c r="DF330" t="str">
        <f t="shared" si="1436"/>
        <v>E1-M6-A12</v>
      </c>
      <c r="DG330" t="str">
        <f>CONCATENATE($T330,"-M",$U330,"-A20")</f>
        <v>E1-M6-A20</v>
      </c>
      <c r="DH330" t="str">
        <f>CONCATENATE($T330,"-M",$U330,"-A19")</f>
        <v>E1-M6-A19</v>
      </c>
      <c r="DI330" t="s">
        <v>142</v>
      </c>
      <c r="DJ330" t="s">
        <v>143</v>
      </c>
      <c r="DK330">
        <v>11</v>
      </c>
      <c r="DL330">
        <v>14</v>
      </c>
      <c r="DM330">
        <v>12</v>
      </c>
      <c r="DP330">
        <v>1</v>
      </c>
      <c r="DQ330">
        <v>2</v>
      </c>
      <c r="DR330">
        <v>3</v>
      </c>
      <c r="DS330">
        <v>4</v>
      </c>
      <c r="DT330">
        <v>5</v>
      </c>
      <c r="DU330">
        <v>6</v>
      </c>
      <c r="DV330">
        <v>7</v>
      </c>
      <c r="DW330">
        <v>8</v>
      </c>
      <c r="DX330">
        <v>9</v>
      </c>
      <c r="DY330">
        <v>10</v>
      </c>
      <c r="DZ330">
        <v>11</v>
      </c>
      <c r="EA330">
        <v>12</v>
      </c>
      <c r="EB330">
        <v>13</v>
      </c>
      <c r="EC330">
        <v>14</v>
      </c>
      <c r="ED330">
        <v>1</v>
      </c>
      <c r="EE330">
        <v>3</v>
      </c>
      <c r="EF330">
        <v>5</v>
      </c>
      <c r="EG330">
        <v>7</v>
      </c>
      <c r="EH330">
        <v>13</v>
      </c>
      <c r="EI330">
        <v>17</v>
      </c>
      <c r="EJ330">
        <v>18</v>
      </c>
      <c r="EK330">
        <v>19</v>
      </c>
      <c r="EL330">
        <v>20</v>
      </c>
      <c r="EM330">
        <v>25</v>
      </c>
      <c r="EQ330" s="16"/>
    </row>
    <row r="331" spans="1:583" ht="15.75" thickBot="1" x14ac:dyDescent="0.3">
      <c r="A331" s="55" t="s">
        <v>2075</v>
      </c>
      <c r="B331" t="s">
        <v>2074</v>
      </c>
      <c r="C331" s="3"/>
      <c r="O331" s="2"/>
      <c r="P331" t="s">
        <v>2070</v>
      </c>
      <c r="Q331" s="1"/>
      <c r="S331" s="1"/>
      <c r="T331" s="14" t="s">
        <v>1987</v>
      </c>
      <c r="U331" s="60">
        <v>7</v>
      </c>
      <c r="V331" s="15" t="s">
        <v>2076</v>
      </c>
      <c r="W331" s="15"/>
      <c r="AC331" t="str">
        <f t="shared" ref="AC331" si="1460">IF(AD330+AE330&gt;31,REPLACE(AC330,LEN(AC330),1,VALUE(RIGHT(AC330,1))+1),AC330)</f>
        <v>A5.1</v>
      </c>
      <c r="AD331" s="43" cm="1">
        <f t="array" ref="AD331">IF(COUNTIFS(AC$2:AC331,AC331)=1,"1",VALUE(SUBSTITUTE(INDEX(AD:AD,_xlfn.XMATCH(AC331,AC$1:AC330,0,-1)),"A",""))+INDEX(AE:AE,_xlfn.XMATCH(AC331,AC$1:AC330,0,-1))+1)</f>
        <v>18</v>
      </c>
      <c r="AE331" s="43" cm="1">
        <f t="array" ref="AE331">SUM(IF(ISNUMBER(FIND("TmDi",$BE$1:$AAL$1)),IF(IFERROR(ISNUMBER(VALUE(SUBSTITUTE($BE331:$AAL331,"B",""))),FALSE),IF(ISNUMBER(VALUE(SUBSTITUTE($BE331:$AAL331,"B",""))),1,0),0)))</f>
        <v>4</v>
      </c>
      <c r="AF331" t="str">
        <f t="shared" si="1370"/>
        <v>C18</v>
      </c>
      <c r="AG331" t="str">
        <f t="shared" si="1371"/>
        <v>B18</v>
      </c>
      <c r="AH331" t="str">
        <f t="shared" ref="AH331" si="1461">IF(AI330+AJ330&gt;31,REPLACE(AH330,LEN(AH330),1,VALUE(RIGHT(AH330,1))+1),AH330)</f>
        <v>A6.1</v>
      </c>
      <c r="AI331" s="64" cm="1">
        <f t="array" ref="AI331">IF(COUNTIFS(AH$2:AH331,AH331)=1,"1",VALUE(SUBSTITUTE(INDEX(AI:AI,_xlfn.XMATCH(AH331,AH$1:AH330,0,-1)),"A",""))+INDEX(AJ:AJ,_xlfn.XMATCH(AH331,AH$1:AH330,0,-1))+1)</f>
        <v>11</v>
      </c>
      <c r="AJ331" s="64" cm="1">
        <f t="array" ref="AJ331">SUM(IF(ISNUMBER(FIND("TmDo",$BE$1:$AAL$1)),IF(IFERROR(ISNUMBER(VALUE(SUBSTITUTE($BE331:$AAL331,"B",""))),FALSE),IF(ISNUMBER(VALUE(SUBSTITUTE($BE331:$AAL331,"B",""))),1,0),0)))</f>
        <v>2</v>
      </c>
      <c r="AK331" s="15" t="str">
        <f>CONCATENATE($AI331,"A")</f>
        <v>11A</v>
      </c>
      <c r="AL331" s="15" t="str">
        <f>CONCATENATE($AI331,"B")</f>
        <v>11B</v>
      </c>
      <c r="AM331" t="s">
        <v>161</v>
      </c>
      <c r="AP331" t="s">
        <v>1990</v>
      </c>
      <c r="AQ331" t="s">
        <v>2053</v>
      </c>
      <c r="AT331" t="s">
        <v>139</v>
      </c>
      <c r="AU331" t="s">
        <v>140</v>
      </c>
      <c r="BD331" s="16"/>
      <c r="BE331" s="27" t="str">
        <f t="shared" ref="BE331" si="1462">CONCATENATE("XT",U331)</f>
        <v>XT7</v>
      </c>
      <c r="BF331" t="str">
        <f t="shared" ref="BF331" si="1463">CONCATENATE("C",REPLACE(AF331,1,1,"")+1)</f>
        <v>C19</v>
      </c>
      <c r="BG331" t="str">
        <f t="shared" ref="BG331" si="1464">CONCATENATE("B",REPLACE(AG331,1,1,"")+1)</f>
        <v>B19</v>
      </c>
      <c r="BH331" t="str">
        <f t="shared" ref="BH331" si="1465">CONCATENATE("C",REPLACE(BF331,1,1,"")+1)</f>
        <v>C20</v>
      </c>
      <c r="BI331" t="str">
        <f t="shared" ref="BI331" si="1466">CONCATENATE("B",REPLACE(BG331,1,1,"")+1)</f>
        <v>B20</v>
      </c>
      <c r="BJ331" t="str">
        <f t="shared" ref="BJ331" si="1467">CONCATENATE("C",REPLACE(BH331,1,1,"")+1)</f>
        <v>C21</v>
      </c>
      <c r="BK331" t="str">
        <f t="shared" ref="BK331" si="1468">CONCATENATE("B",REPLACE(BI331,1,1,"")+1)</f>
        <v>B21</v>
      </c>
      <c r="BL331" t="str">
        <f t="shared" ref="BL331" si="1469">CONCATENATE("C",REPLACE(BJ331,1,1,"")+1)</f>
        <v>C22</v>
      </c>
      <c r="BM331" t="str">
        <f t="shared" ref="BM331" si="1470">CONCATENATE("B",REPLACE(BK331,1,1,"")+1)</f>
        <v>B22</v>
      </c>
      <c r="BP331" t="str">
        <f>CONCATENATE(REPLACE(AK331,LEN(AK331),1,"")+1,"A")</f>
        <v>12A</v>
      </c>
      <c r="BQ331" t="str">
        <f>CONCATENATE(REPLACE(AL331,LEN(AL331),1,"")+1,"B")</f>
        <v>12B</v>
      </c>
      <c r="BR331" t="str">
        <f>CONCATENATE(REPLACE(BP331,LEN(BP331),1,"")+1,"A")</f>
        <v>13A</v>
      </c>
      <c r="BS331" t="str">
        <f>CONCATENATE(REPLACE(BQ331,LEN(BQ331),1,"")+1,"B")</f>
        <v>13B</v>
      </c>
      <c r="BT331" t="str">
        <f t="shared" ref="BT331" si="1471">CONCATENATE("DI",REPLACE($AC331,1,3,""),"-",AF331)</f>
        <v>DI1-C18</v>
      </c>
      <c r="BU331" t="str">
        <f t="shared" ref="BU331" si="1472">CONCATENATE("DI",REPLACE($AC331,1,3,""),"-",AG331)</f>
        <v>DI1-B18</v>
      </c>
      <c r="BV331" t="str">
        <f t="shared" ref="BV331" si="1473">CONCATENATE("DI",REPLACE($AC331,1,3,""),"-",BF331)</f>
        <v>DI1-C19</v>
      </c>
      <c r="BW331" t="str">
        <f t="shared" ref="BW331" si="1474">CONCATENATE("DI",REPLACE($AC331,1,3,""),"-",BG331)</f>
        <v>DI1-B19</v>
      </c>
      <c r="BX331" t="str">
        <f t="shared" ref="BX331" si="1475">CONCATENATE("DI",REPLACE($AC331,1,3,""),"-",BH331)</f>
        <v>DI1-C20</v>
      </c>
      <c r="BY331" t="str">
        <f t="shared" ref="BY331" si="1476">CONCATENATE("DI",REPLACE($AC331,1,3,""),"-",BI331)</f>
        <v>DI1-B20</v>
      </c>
      <c r="BZ331" t="str">
        <f t="shared" ref="BZ331" si="1477">CONCATENATE("DI",REPLACE($AC331,1,3,""),"-",BJ331)</f>
        <v>DI1-C21</v>
      </c>
      <c r="CA331" t="str">
        <f t="shared" ref="CA331" si="1478">CONCATENATE("DI",REPLACE($AC331,1,3,""),"-",BK331)</f>
        <v>DI1-B21</v>
      </c>
      <c r="CB331" t="str">
        <f t="shared" ref="CB331" si="1479">CONCATENATE("DI",REPLACE($AC331,1,3,""),"-",BL331)</f>
        <v>DI1-C22</v>
      </c>
      <c r="CC331" t="str">
        <f t="shared" ref="CC331" si="1480">CONCATENATE("DI",REPLACE($AC331,1,3,""),"-",BM331)</f>
        <v>DI1-B22</v>
      </c>
      <c r="CF331" t="str">
        <f t="shared" ref="CF331" si="1481">CONCATENATE("DO",REPLACE($AH331,1,3,""),"-",AK331)</f>
        <v>DO1-11A</v>
      </c>
      <c r="CG331" t="str">
        <f t="shared" ref="CG331" si="1482">CONCATENATE("DO",REPLACE($AH331,1,3,""),"-",AL331)</f>
        <v>DO1-11B</v>
      </c>
      <c r="CH331" t="str">
        <f t="shared" ref="CH331" si="1483">CONCATENATE("DO",REPLACE($AH331,1,3,""),"-",BP331)</f>
        <v>DO1-12A</v>
      </c>
      <c r="CI331" t="str">
        <f t="shared" ref="CI331" si="1484">CONCATENATE("DO",REPLACE($AH331,1,3,""),"-",BQ331)</f>
        <v>DO1-12B</v>
      </c>
      <c r="CJ331" t="str">
        <f t="shared" ref="CJ331" si="1485">CONCATENATE("DO",REPLACE($AH331,1,3,""),"-",BR331)</f>
        <v>DO1-13A</v>
      </c>
      <c r="CK331" t="str">
        <f t="shared" ref="CK331" si="1486">CONCATENATE("DO",REPLACE($AH331,1,3,""),"-",BS331)</f>
        <v>DO1-13B</v>
      </c>
      <c r="CL331" t="str">
        <f>CONCATENATE("K",$U331,"-01")</f>
        <v>K7-01</v>
      </c>
      <c r="CM331" t="str">
        <f>CONCATENATE("K",$U331,"-02")</f>
        <v>K7-02</v>
      </c>
      <c r="CN331" t="str">
        <f>CONCATENATE("K",$U331,"-06")</f>
        <v>K7-06</v>
      </c>
      <c r="CP331" t="str">
        <f>CONCATENATE("K",$U331,"-07")</f>
        <v>K7-07</v>
      </c>
      <c r="CQ331" t="str">
        <f>CONCATENATE("K",$U331,"-05")</f>
        <v>K7-05</v>
      </c>
      <c r="CR331" t="str">
        <f>CONCATENATE("K",$U331,"-10")</f>
        <v>K7-10</v>
      </c>
      <c r="CS331" t="str">
        <f>CONCATENATE("K",$U331,"-03")</f>
        <v>K7-03</v>
      </c>
      <c r="CT331" t="str">
        <f>CONCATENATE("K",$U331,"-04")</f>
        <v>K7-04</v>
      </c>
      <c r="CU331" t="str">
        <f t="shared" si="1427"/>
        <v>E1-M7-A9</v>
      </c>
      <c r="CV331" t="str">
        <f>CONCATENATE($T331,"-M",$U331,"-A8")</f>
        <v>E1-M7-A8</v>
      </c>
      <c r="CW331" t="str">
        <f>CONCATENATE($T331,"-M",$U331,"-A6")</f>
        <v>E1-M7-A6</v>
      </c>
      <c r="CX331" t="str">
        <f t="shared" si="1430"/>
        <v>E1-M7-A6</v>
      </c>
      <c r="CY331" t="str">
        <f t="shared" si="1431"/>
        <v>E1-M7-A30</v>
      </c>
      <c r="CZ331" t="str">
        <f t="shared" si="1432"/>
        <v>E1-M7-N</v>
      </c>
      <c r="DA331" t="str">
        <f>CONCATENATE($T331,"-M",U331,"-A7")</f>
        <v>E1-M7-A7</v>
      </c>
      <c r="DB331" t="str">
        <f>CONCATENATE($T331,"-M",$U331,"-H1")</f>
        <v>E1-M7-H1</v>
      </c>
      <c r="DC331" t="str">
        <f t="shared" si="1433"/>
        <v>E1-M7-A1</v>
      </c>
      <c r="DD331" t="str">
        <f t="shared" si="1434"/>
        <v>E1-M7-A5</v>
      </c>
      <c r="DE331" t="str">
        <f t="shared" si="1435"/>
        <v>E1-M7-A11</v>
      </c>
      <c r="DF331" t="str">
        <f t="shared" si="1436"/>
        <v>E1-M7-A12</v>
      </c>
      <c r="DG331" t="str">
        <f>CONCATENATE($T331,"-M",$U331,"-A19")</f>
        <v>E1-M7-A19</v>
      </c>
      <c r="DH331" t="str">
        <f>CONCATENATE($T331,"-M",$U331,"-A20")</f>
        <v>E1-M7-A20</v>
      </c>
      <c r="DI331" t="s">
        <v>142</v>
      </c>
      <c r="DJ331" t="s">
        <v>143</v>
      </c>
      <c r="DK331">
        <v>11</v>
      </c>
      <c r="DL331">
        <v>14</v>
      </c>
      <c r="DM331">
        <v>12</v>
      </c>
      <c r="DP331">
        <v>1</v>
      </c>
      <c r="DQ331">
        <v>2</v>
      </c>
      <c r="DR331">
        <v>3</v>
      </c>
      <c r="DS331">
        <v>4</v>
      </c>
      <c r="DT331">
        <v>5</v>
      </c>
      <c r="DU331">
        <v>6</v>
      </c>
      <c r="DV331">
        <v>7</v>
      </c>
      <c r="DW331">
        <v>8</v>
      </c>
      <c r="DX331">
        <v>9</v>
      </c>
      <c r="DY331">
        <v>10</v>
      </c>
      <c r="DZ331">
        <v>11</v>
      </c>
      <c r="EA331">
        <v>12</v>
      </c>
      <c r="EB331">
        <v>13</v>
      </c>
      <c r="EC331">
        <v>14</v>
      </c>
      <c r="ED331">
        <v>1</v>
      </c>
      <c r="EE331">
        <v>2</v>
      </c>
      <c r="EF331">
        <v>5</v>
      </c>
      <c r="EG331">
        <v>7</v>
      </c>
      <c r="EH331">
        <v>8</v>
      </c>
      <c r="EI331">
        <v>11</v>
      </c>
      <c r="EJ331">
        <v>14</v>
      </c>
      <c r="EK331">
        <v>18</v>
      </c>
      <c r="EL331">
        <v>19</v>
      </c>
      <c r="EM331">
        <v>20</v>
      </c>
      <c r="EN331">
        <v>21</v>
      </c>
      <c r="EO331">
        <v>25</v>
      </c>
      <c r="EQ331" s="16"/>
    </row>
    <row r="332" spans="1:583" x14ac:dyDescent="0.25">
      <c r="A332" t="s">
        <v>2703</v>
      </c>
      <c r="B332" t="s">
        <v>3150</v>
      </c>
      <c r="P332" t="s">
        <v>1873</v>
      </c>
      <c r="T332" s="14" t="s">
        <v>1987</v>
      </c>
      <c r="AC332" t="s">
        <v>261</v>
      </c>
      <c r="AD332" s="43">
        <v>1</v>
      </c>
      <c r="AE332" s="43" cm="1">
        <f t="array" ref="AE332">SUM(IF(ISNUMBER(FIND("TmDi",$BE$1:$AAL$1)),IF(IFERROR(ISNUMBER(VALUE(SUBSTITUTE($BE332:$AAL332,"B",""))),FALSE),IF(ISNUMBER(VALUE(SUBSTITUTE($BE332:$AAL332,"B",""))),1,0),0)))</f>
        <v>0</v>
      </c>
      <c r="AF332" t="str">
        <f t="shared" si="1370"/>
        <v>C1</v>
      </c>
      <c r="AG332" t="str">
        <f t="shared" si="1371"/>
        <v>B1</v>
      </c>
      <c r="AP332" t="s">
        <v>1990</v>
      </c>
      <c r="AT332" t="s">
        <v>854</v>
      </c>
      <c r="AU332" t="s">
        <v>1399</v>
      </c>
      <c r="LY332" s="25" t="str">
        <f>CONCATENATE("DI",REPLACE($AC332,1,3,""),"-",$AF332)</f>
        <v>DI2-C1</v>
      </c>
      <c r="LZ332" s="12"/>
      <c r="MA332" s="12" t="s">
        <v>1884</v>
      </c>
      <c r="MB332" s="12" t="s">
        <v>1883</v>
      </c>
      <c r="MC332" s="12">
        <v>11</v>
      </c>
      <c r="MD332" s="12">
        <v>14</v>
      </c>
      <c r="ME332" s="12" t="s">
        <v>142</v>
      </c>
      <c r="MF332" s="12" t="s">
        <v>143</v>
      </c>
      <c r="MG332" s="12" t="s">
        <v>488</v>
      </c>
      <c r="MH332" s="12" t="s">
        <v>487</v>
      </c>
      <c r="MI332" s="12" t="s">
        <v>414</v>
      </c>
      <c r="MJ332" s="12" t="s">
        <v>413</v>
      </c>
      <c r="MK332" s="12"/>
      <c r="ML332" s="12"/>
      <c r="MM332" s="12"/>
      <c r="MN332" s="12"/>
      <c r="MO332" s="12"/>
      <c r="MP332" s="12"/>
      <c r="MQ332" s="12">
        <v>1</v>
      </c>
      <c r="MR332" s="13">
        <v>2</v>
      </c>
      <c r="MS332" s="27"/>
    </row>
    <row r="333" spans="1:583" x14ac:dyDescent="0.25">
      <c r="A333" t="s">
        <v>2704</v>
      </c>
      <c r="B333" t="s">
        <v>3151</v>
      </c>
      <c r="P333" t="s">
        <v>1873</v>
      </c>
      <c r="T333" s="14" t="s">
        <v>1987</v>
      </c>
      <c r="AC333" t="str">
        <f t="shared" ref="AC333:AC340" si="1487">IF(AD332+AE332&gt;31,REPLACE(AC332,LEN(AC332),1,VALUE(RIGHT(AC332,1))+1),AC332)</f>
        <v>A5.2</v>
      </c>
      <c r="AD333" s="43" cm="1">
        <f t="array" ref="AD333">IF(COUNTIFS(AC$2:AC333,AC333)=1,"1",VALUE(SUBSTITUTE(INDEX(AD:AD,_xlfn.XMATCH(AC333,AC$1:AC332,0,-1)),"A",""))+INDEX(AE:AE,_xlfn.XMATCH(AC333,AC$1:AC332,0,-1))+1)</f>
        <v>2</v>
      </c>
      <c r="AE333" s="43" cm="1">
        <f t="array" ref="AE333">SUM(IF(ISNUMBER(FIND("TmDi",$BE$1:$AAL$1)),IF(IFERROR(ISNUMBER(VALUE(SUBSTITUTE($BE333:$AAL333,"B",""))),FALSE),IF(ISNUMBER(VALUE(SUBSTITUTE($BE333:$AAL333,"B",""))),1,0),0)))</f>
        <v>0</v>
      </c>
      <c r="AF333" t="str">
        <f t="shared" si="1370"/>
        <v>C2</v>
      </c>
      <c r="AG333" t="str">
        <f t="shared" si="1371"/>
        <v>B2</v>
      </c>
      <c r="AP333" t="s">
        <v>1990</v>
      </c>
      <c r="AT333" t="s">
        <v>854</v>
      </c>
      <c r="AU333" t="s">
        <v>1399</v>
      </c>
      <c r="LY333" s="27" t="str">
        <f>CONCATENATE("DI",REPLACE($AC333,1,3,""),"-",$AF333)</f>
        <v>DI2-C2</v>
      </c>
      <c r="MA333" t="s">
        <v>1885</v>
      </c>
      <c r="MB333" t="s">
        <v>1886</v>
      </c>
      <c r="MC333">
        <f t="shared" ref="MC333:MJ340" si="1488">MC332</f>
        <v>11</v>
      </c>
      <c r="MD333">
        <f t="shared" si="1488"/>
        <v>14</v>
      </c>
      <c r="ME333" t="str">
        <f t="shared" si="1488"/>
        <v>A1</v>
      </c>
      <c r="MF333" t="str">
        <f t="shared" si="1488"/>
        <v>A2</v>
      </c>
      <c r="MG333" t="str">
        <f t="shared" si="1488"/>
        <v>0v3</v>
      </c>
      <c r="MH333" t="str">
        <f t="shared" si="1488"/>
        <v>24v3</v>
      </c>
      <c r="MI333" t="str">
        <f t="shared" si="1488"/>
        <v>0v6</v>
      </c>
      <c r="MJ333" t="str">
        <f t="shared" si="1488"/>
        <v>24v6</v>
      </c>
      <c r="MQ333">
        <f>MQ332</f>
        <v>1</v>
      </c>
      <c r="MR333" s="16">
        <f>MR332</f>
        <v>2</v>
      </c>
    </row>
    <row r="334" spans="1:583" x14ac:dyDescent="0.25">
      <c r="A334" t="s">
        <v>2705</v>
      </c>
      <c r="B334" t="s">
        <v>3152</v>
      </c>
      <c r="P334" t="s">
        <v>1873</v>
      </c>
      <c r="T334" s="14" t="s">
        <v>1987</v>
      </c>
      <c r="AC334" t="str">
        <f t="shared" si="1487"/>
        <v>A5.2</v>
      </c>
      <c r="AD334" s="43" cm="1">
        <f t="array" ref="AD334">IF(COUNTIFS(AC$2:AC334,AC334)=1,"1",VALUE(SUBSTITUTE(INDEX(AD:AD,_xlfn.XMATCH(AC334,AC$1:AC333,0,-1)),"A",""))+INDEX(AE:AE,_xlfn.XMATCH(AC334,AC$1:AC333,0,-1))+1)</f>
        <v>3</v>
      </c>
      <c r="AE334" s="43" cm="1">
        <f t="array" ref="AE334">SUM(IF(ISNUMBER(FIND("TmDi",$BE$1:$AAL$1)),IF(IFERROR(ISNUMBER(VALUE(SUBSTITUTE($BE334:$AAL334,"B",""))),FALSE),IF(ISNUMBER(VALUE(SUBSTITUTE($BE334:$AAL334,"B",""))),1,0),0)))</f>
        <v>0</v>
      </c>
      <c r="AF334" t="str">
        <f t="shared" si="1370"/>
        <v>C3</v>
      </c>
      <c r="AG334" t="str">
        <f t="shared" si="1371"/>
        <v>B3</v>
      </c>
      <c r="AP334" t="s">
        <v>1990</v>
      </c>
      <c r="AT334" t="s">
        <v>854</v>
      </c>
      <c r="AU334" t="s">
        <v>1399</v>
      </c>
      <c r="LY334" s="27" t="str">
        <f t="shared" ref="LY334:LY340" si="1489">CONCATENATE("DI",REPLACE($AC334,1,3,""),"-",$AF334)</f>
        <v>DI2-C3</v>
      </c>
      <c r="MA334" t="s">
        <v>1887</v>
      </c>
      <c r="MB334" t="s">
        <v>1888</v>
      </c>
      <c r="MC334">
        <f t="shared" si="1488"/>
        <v>11</v>
      </c>
      <c r="MD334">
        <f t="shared" si="1488"/>
        <v>14</v>
      </c>
      <c r="ME334" t="str">
        <f t="shared" si="1488"/>
        <v>A1</v>
      </c>
      <c r="MF334" t="str">
        <f t="shared" si="1488"/>
        <v>A2</v>
      </c>
      <c r="MG334" t="str">
        <f t="shared" si="1488"/>
        <v>0v3</v>
      </c>
      <c r="MH334" t="str">
        <f t="shared" si="1488"/>
        <v>24v3</v>
      </c>
      <c r="MI334" t="str">
        <f t="shared" si="1488"/>
        <v>0v6</v>
      </c>
      <c r="MJ334" t="str">
        <f t="shared" si="1488"/>
        <v>24v6</v>
      </c>
      <c r="MQ334">
        <f t="shared" ref="MQ334:MR340" si="1490">MQ333</f>
        <v>1</v>
      </c>
      <c r="MR334" s="16">
        <f t="shared" si="1490"/>
        <v>2</v>
      </c>
    </row>
    <row r="335" spans="1:583" x14ac:dyDescent="0.25">
      <c r="A335" t="s">
        <v>2706</v>
      </c>
      <c r="B335" t="s">
        <v>3153</v>
      </c>
      <c r="P335" t="s">
        <v>1873</v>
      </c>
      <c r="T335" s="14" t="s">
        <v>1987</v>
      </c>
      <c r="AC335" t="str">
        <f t="shared" si="1487"/>
        <v>A5.2</v>
      </c>
      <c r="AD335" s="43" cm="1">
        <f t="array" ref="AD335">IF(COUNTIFS(AC$2:AC335,AC335)=1,"1",VALUE(SUBSTITUTE(INDEX(AD:AD,_xlfn.XMATCH(AC335,AC$1:AC334,0,-1)),"A",""))+INDEX(AE:AE,_xlfn.XMATCH(AC335,AC$1:AC334,0,-1))+1)</f>
        <v>4</v>
      </c>
      <c r="AE335" s="43" cm="1">
        <f t="array" ref="AE335">SUM(IF(ISNUMBER(FIND("TmDi",$BE$1:$AAL$1)),IF(IFERROR(ISNUMBER(VALUE(SUBSTITUTE($BE335:$AAL335,"B",""))),FALSE),IF(ISNUMBER(VALUE(SUBSTITUTE($BE335:$AAL335,"B",""))),1,0),0)))</f>
        <v>0</v>
      </c>
      <c r="AF335" t="str">
        <f t="shared" si="1370"/>
        <v>C4</v>
      </c>
      <c r="AG335" t="str">
        <f t="shared" si="1371"/>
        <v>B4</v>
      </c>
      <c r="AP335" t="s">
        <v>1990</v>
      </c>
      <c r="AT335" t="s">
        <v>854</v>
      </c>
      <c r="AU335" t="s">
        <v>1399</v>
      </c>
      <c r="LY335" s="27" t="str">
        <f t="shared" si="1489"/>
        <v>DI2-C4</v>
      </c>
      <c r="MA335" t="s">
        <v>1889</v>
      </c>
      <c r="MB335" t="s">
        <v>1890</v>
      </c>
      <c r="MC335">
        <f t="shared" si="1488"/>
        <v>11</v>
      </c>
      <c r="MD335">
        <f t="shared" si="1488"/>
        <v>14</v>
      </c>
      <c r="ME335" t="str">
        <f t="shared" si="1488"/>
        <v>A1</v>
      </c>
      <c r="MF335" t="str">
        <f t="shared" si="1488"/>
        <v>A2</v>
      </c>
      <c r="MG335" t="str">
        <f t="shared" si="1488"/>
        <v>0v3</v>
      </c>
      <c r="MH335" t="str">
        <f t="shared" si="1488"/>
        <v>24v3</v>
      </c>
      <c r="MI335" t="str">
        <f t="shared" si="1488"/>
        <v>0v6</v>
      </c>
      <c r="MJ335" t="str">
        <f t="shared" si="1488"/>
        <v>24v6</v>
      </c>
      <c r="MQ335">
        <f t="shared" si="1490"/>
        <v>1</v>
      </c>
      <c r="MR335" s="16">
        <f t="shared" si="1490"/>
        <v>2</v>
      </c>
    </row>
    <row r="336" spans="1:583" x14ac:dyDescent="0.25">
      <c r="A336" t="s">
        <v>2707</v>
      </c>
      <c r="B336" t="s">
        <v>3154</v>
      </c>
      <c r="P336" t="s">
        <v>1873</v>
      </c>
      <c r="T336" s="14" t="s">
        <v>1987</v>
      </c>
      <c r="AC336" t="str">
        <f t="shared" si="1487"/>
        <v>A5.2</v>
      </c>
      <c r="AD336" s="43" cm="1">
        <f t="array" ref="AD336">IF(COUNTIFS(AC$2:AC336,AC336)=1,"1",VALUE(SUBSTITUTE(INDEX(AD:AD,_xlfn.XMATCH(AC336,AC$1:AC335,0,-1)),"A",""))+INDEX(AE:AE,_xlfn.XMATCH(AC336,AC$1:AC335,0,-1))+1)</f>
        <v>5</v>
      </c>
      <c r="AE336" s="43" cm="1">
        <f t="array" ref="AE336">SUM(IF(ISNUMBER(FIND("TmDi",$BE$1:$AAL$1)),IF(IFERROR(ISNUMBER(VALUE(SUBSTITUTE($BE336:$AAL336,"B",""))),FALSE),IF(ISNUMBER(VALUE(SUBSTITUTE($BE336:$AAL336,"B",""))),1,0),0)))</f>
        <v>0</v>
      </c>
      <c r="AF336" t="str">
        <f t="shared" si="1370"/>
        <v>C5</v>
      </c>
      <c r="AG336" t="str">
        <f t="shared" si="1371"/>
        <v>B5</v>
      </c>
      <c r="AP336" t="s">
        <v>1990</v>
      </c>
      <c r="AT336" t="s">
        <v>854</v>
      </c>
      <c r="AU336" t="s">
        <v>1399</v>
      </c>
      <c r="LY336" s="27" t="str">
        <f t="shared" si="1489"/>
        <v>DI2-C5</v>
      </c>
      <c r="MA336" t="s">
        <v>1891</v>
      </c>
      <c r="MB336" t="s">
        <v>1892</v>
      </c>
      <c r="MC336">
        <f t="shared" si="1488"/>
        <v>11</v>
      </c>
      <c r="MD336">
        <f t="shared" si="1488"/>
        <v>14</v>
      </c>
      <c r="ME336" t="str">
        <f t="shared" si="1488"/>
        <v>A1</v>
      </c>
      <c r="MF336" t="str">
        <f t="shared" si="1488"/>
        <v>A2</v>
      </c>
      <c r="MG336" t="str">
        <f t="shared" si="1488"/>
        <v>0v3</v>
      </c>
      <c r="MH336" t="str">
        <f t="shared" si="1488"/>
        <v>24v3</v>
      </c>
      <c r="MI336" t="str">
        <f t="shared" si="1488"/>
        <v>0v6</v>
      </c>
      <c r="MJ336" t="str">
        <f t="shared" si="1488"/>
        <v>24v6</v>
      </c>
      <c r="MQ336">
        <f t="shared" si="1490"/>
        <v>1</v>
      </c>
      <c r="MR336" s="16">
        <f t="shared" si="1490"/>
        <v>2</v>
      </c>
    </row>
    <row r="337" spans="1:356" x14ac:dyDescent="0.25">
      <c r="A337" t="s">
        <v>2708</v>
      </c>
      <c r="B337" t="s">
        <v>3155</v>
      </c>
      <c r="P337" t="s">
        <v>1873</v>
      </c>
      <c r="T337" s="14" t="s">
        <v>1987</v>
      </c>
      <c r="AC337" t="str">
        <f t="shared" si="1487"/>
        <v>A5.2</v>
      </c>
      <c r="AD337" s="43" cm="1">
        <f t="array" ref="AD337">IF(COUNTIFS(AC$2:AC337,AC337)=1,"1",VALUE(SUBSTITUTE(INDEX(AD:AD,_xlfn.XMATCH(AC337,AC$1:AC336,0,-1)),"A",""))+INDEX(AE:AE,_xlfn.XMATCH(AC337,AC$1:AC336,0,-1))+1)</f>
        <v>6</v>
      </c>
      <c r="AE337" s="43" cm="1">
        <f t="array" ref="AE337">SUM(IF(ISNUMBER(FIND("TmDi",$BE$1:$AAL$1)),IF(IFERROR(ISNUMBER(VALUE(SUBSTITUTE($BE337:$AAL337,"B",""))),FALSE),IF(ISNUMBER(VALUE(SUBSTITUTE($BE337:$AAL337,"B",""))),1,0),0)))</f>
        <v>0</v>
      </c>
      <c r="AF337" t="str">
        <f t="shared" si="1370"/>
        <v>C6</v>
      </c>
      <c r="AG337" t="str">
        <f t="shared" si="1371"/>
        <v>B6</v>
      </c>
      <c r="AP337" t="s">
        <v>1990</v>
      </c>
      <c r="AT337" t="s">
        <v>854</v>
      </c>
      <c r="AU337" t="s">
        <v>1399</v>
      </c>
      <c r="LY337" s="27" t="str">
        <f t="shared" si="1489"/>
        <v>DI2-C6</v>
      </c>
      <c r="MA337" t="s">
        <v>1893</v>
      </c>
      <c r="MB337" t="s">
        <v>1894</v>
      </c>
      <c r="MC337">
        <f t="shared" si="1488"/>
        <v>11</v>
      </c>
      <c r="MD337">
        <f t="shared" si="1488"/>
        <v>14</v>
      </c>
      <c r="ME337" t="str">
        <f t="shared" si="1488"/>
        <v>A1</v>
      </c>
      <c r="MF337" t="str">
        <f t="shared" si="1488"/>
        <v>A2</v>
      </c>
      <c r="MG337" t="str">
        <f t="shared" si="1488"/>
        <v>0v3</v>
      </c>
      <c r="MH337" t="str">
        <f t="shared" si="1488"/>
        <v>24v3</v>
      </c>
      <c r="MI337" t="str">
        <f t="shared" si="1488"/>
        <v>0v6</v>
      </c>
      <c r="MJ337" t="str">
        <f t="shared" si="1488"/>
        <v>24v6</v>
      </c>
      <c r="MQ337">
        <f t="shared" si="1490"/>
        <v>1</v>
      </c>
      <c r="MR337" s="16">
        <f t="shared" si="1490"/>
        <v>2</v>
      </c>
    </row>
    <row r="338" spans="1:356" x14ac:dyDescent="0.25">
      <c r="A338" t="s">
        <v>2709</v>
      </c>
      <c r="B338" t="s">
        <v>3156</v>
      </c>
      <c r="P338" t="s">
        <v>1873</v>
      </c>
      <c r="T338" s="14" t="s">
        <v>1987</v>
      </c>
      <c r="AC338" t="str">
        <f t="shared" si="1487"/>
        <v>A5.2</v>
      </c>
      <c r="AD338" s="43" cm="1">
        <f t="array" ref="AD338">IF(COUNTIFS(AC$2:AC338,AC338)=1,"1",VALUE(SUBSTITUTE(INDEX(AD:AD,_xlfn.XMATCH(AC338,AC$1:AC337,0,-1)),"A",""))+INDEX(AE:AE,_xlfn.XMATCH(AC338,AC$1:AC337,0,-1))+1)</f>
        <v>7</v>
      </c>
      <c r="AE338" s="43" cm="1">
        <f t="array" ref="AE338">SUM(IF(ISNUMBER(FIND("TmDi",$BE$1:$AAL$1)),IF(IFERROR(ISNUMBER(VALUE(SUBSTITUTE($BE338:$AAL338,"B",""))),FALSE),IF(ISNUMBER(VALUE(SUBSTITUTE($BE338:$AAL338,"B",""))),1,0),0)))</f>
        <v>0</v>
      </c>
      <c r="AF338" t="str">
        <f t="shared" si="1370"/>
        <v>C7</v>
      </c>
      <c r="AG338" t="str">
        <f t="shared" si="1371"/>
        <v>B7</v>
      </c>
      <c r="AP338" t="s">
        <v>1990</v>
      </c>
      <c r="AT338" t="s">
        <v>854</v>
      </c>
      <c r="AU338" t="s">
        <v>1399</v>
      </c>
      <c r="LY338" s="27" t="str">
        <f t="shared" si="1489"/>
        <v>DI2-C7</v>
      </c>
      <c r="MA338" t="s">
        <v>1895</v>
      </c>
      <c r="MB338" t="s">
        <v>1896</v>
      </c>
      <c r="MC338">
        <f t="shared" si="1488"/>
        <v>11</v>
      </c>
      <c r="MD338">
        <f t="shared" si="1488"/>
        <v>14</v>
      </c>
      <c r="ME338" t="str">
        <f t="shared" si="1488"/>
        <v>A1</v>
      </c>
      <c r="MF338" t="str">
        <f t="shared" si="1488"/>
        <v>A2</v>
      </c>
      <c r="MG338" t="str">
        <f t="shared" si="1488"/>
        <v>0v3</v>
      </c>
      <c r="MH338" t="str">
        <f t="shared" si="1488"/>
        <v>24v3</v>
      </c>
      <c r="MI338" t="str">
        <f t="shared" si="1488"/>
        <v>0v6</v>
      </c>
      <c r="MJ338" t="str">
        <f t="shared" si="1488"/>
        <v>24v6</v>
      </c>
      <c r="MQ338">
        <f t="shared" si="1490"/>
        <v>1</v>
      </c>
      <c r="MR338" s="16">
        <f t="shared" si="1490"/>
        <v>2</v>
      </c>
    </row>
    <row r="339" spans="1:356" x14ac:dyDescent="0.25">
      <c r="A339" t="s">
        <v>2710</v>
      </c>
      <c r="B339" t="s">
        <v>3157</v>
      </c>
      <c r="P339" t="s">
        <v>1873</v>
      </c>
      <c r="T339" s="14" t="s">
        <v>1987</v>
      </c>
      <c r="AC339" t="str">
        <f t="shared" si="1487"/>
        <v>A5.2</v>
      </c>
      <c r="AD339" s="43" cm="1">
        <f t="array" ref="AD339">IF(COUNTIFS(AC$2:AC339,AC339)=1,"1",VALUE(SUBSTITUTE(INDEX(AD:AD,_xlfn.XMATCH(AC339,AC$1:AC338,0,-1)),"A",""))+INDEX(AE:AE,_xlfn.XMATCH(AC339,AC$1:AC338,0,-1))+1)</f>
        <v>8</v>
      </c>
      <c r="AE339" s="43" cm="1">
        <f t="array" ref="AE339">SUM(IF(ISNUMBER(FIND("TmDi",$BE$1:$AAL$1)),IF(IFERROR(ISNUMBER(VALUE(SUBSTITUTE($BE339:$AAL339,"B",""))),FALSE),IF(ISNUMBER(VALUE(SUBSTITUTE($BE339:$AAL339,"B",""))),1,0),0)))</f>
        <v>0</v>
      </c>
      <c r="AF339" t="str">
        <f t="shared" si="1370"/>
        <v>C8</v>
      </c>
      <c r="AG339" t="str">
        <f t="shared" si="1371"/>
        <v>B8</v>
      </c>
      <c r="AP339" t="s">
        <v>1990</v>
      </c>
      <c r="AT339" t="s">
        <v>854</v>
      </c>
      <c r="AU339" t="s">
        <v>1399</v>
      </c>
      <c r="LY339" s="27" t="str">
        <f t="shared" si="1489"/>
        <v>DI2-C8</v>
      </c>
      <c r="MA339" t="s">
        <v>1897</v>
      </c>
      <c r="MB339" t="s">
        <v>1898</v>
      </c>
      <c r="MC339">
        <f t="shared" si="1488"/>
        <v>11</v>
      </c>
      <c r="MD339">
        <f t="shared" si="1488"/>
        <v>14</v>
      </c>
      <c r="ME339" t="str">
        <f t="shared" si="1488"/>
        <v>A1</v>
      </c>
      <c r="MF339" t="str">
        <f t="shared" si="1488"/>
        <v>A2</v>
      </c>
      <c r="MG339" t="str">
        <f t="shared" si="1488"/>
        <v>0v3</v>
      </c>
      <c r="MH339" t="str">
        <f t="shared" si="1488"/>
        <v>24v3</v>
      </c>
      <c r="MI339" t="str">
        <f t="shared" si="1488"/>
        <v>0v6</v>
      </c>
      <c r="MJ339" t="str">
        <f t="shared" si="1488"/>
        <v>24v6</v>
      </c>
      <c r="MQ339">
        <f t="shared" si="1490"/>
        <v>1</v>
      </c>
      <c r="MR339" s="16">
        <f t="shared" si="1490"/>
        <v>2</v>
      </c>
    </row>
    <row r="340" spans="1:356" s="19" customFormat="1" ht="15.75" thickBot="1" x14ac:dyDescent="0.3">
      <c r="A340" s="19" t="s">
        <v>2711</v>
      </c>
      <c r="B340" s="19" t="s">
        <v>3158</v>
      </c>
      <c r="P340" s="19" t="s">
        <v>1873</v>
      </c>
      <c r="T340" s="17" t="s">
        <v>1987</v>
      </c>
      <c r="AC340" s="19" t="str">
        <f t="shared" si="1487"/>
        <v>A5.2</v>
      </c>
      <c r="AD340" s="44" cm="1">
        <f t="array" ref="AD340">IF(COUNTIFS(AC$2:AC340,AC340)=1,"1",VALUE(SUBSTITUTE(INDEX(AD:AD,_xlfn.XMATCH(AC340,AC$1:AC339,0,-1)),"A",""))+INDEX(AE:AE,_xlfn.XMATCH(AC340,AC$1:AC339,0,-1))+1)</f>
        <v>9</v>
      </c>
      <c r="AE340" s="44" cm="1">
        <f t="array" ref="AE340">SUM(IF(ISNUMBER(FIND("TmDi",$BE$1:$AAL$1)),IF(IFERROR(ISNUMBER(VALUE(SUBSTITUTE($BE340:$AAL340,"B",""))),FALSE),IF(ISNUMBER(VALUE(SUBSTITUTE($BE340:$AAL340,"B",""))),1,0),0)))</f>
        <v>0</v>
      </c>
      <c r="AF340" s="19" t="str">
        <f t="shared" si="1370"/>
        <v>C9</v>
      </c>
      <c r="AG340" s="19" t="str">
        <f t="shared" si="1371"/>
        <v>B9</v>
      </c>
      <c r="AI340" s="74"/>
      <c r="AJ340" s="74"/>
      <c r="AP340" s="19" t="s">
        <v>1990</v>
      </c>
      <c r="AT340" s="19" t="s">
        <v>854</v>
      </c>
      <c r="AU340" s="19" t="s">
        <v>1399</v>
      </c>
      <c r="LY340" s="28" t="str">
        <f t="shared" si="1489"/>
        <v>DI2-C9</v>
      </c>
      <c r="MA340" s="19" t="s">
        <v>1899</v>
      </c>
      <c r="MB340" s="19" t="s">
        <v>1900</v>
      </c>
      <c r="MC340" s="19">
        <f t="shared" si="1488"/>
        <v>11</v>
      </c>
      <c r="MD340" s="19">
        <f t="shared" si="1488"/>
        <v>14</v>
      </c>
      <c r="ME340" s="19" t="str">
        <f t="shared" si="1488"/>
        <v>A1</v>
      </c>
      <c r="MF340" s="19" t="str">
        <f t="shared" si="1488"/>
        <v>A2</v>
      </c>
      <c r="MG340" s="19" t="str">
        <f t="shared" si="1488"/>
        <v>0v3</v>
      </c>
      <c r="MH340" s="19" t="str">
        <f t="shared" si="1488"/>
        <v>24v3</v>
      </c>
      <c r="MI340" s="19" t="str">
        <f t="shared" si="1488"/>
        <v>0v6</v>
      </c>
      <c r="MJ340" s="19" t="str">
        <f t="shared" si="1488"/>
        <v>24v6</v>
      </c>
      <c r="MQ340" s="19">
        <f t="shared" si="1490"/>
        <v>1</v>
      </c>
      <c r="MR340" s="20">
        <f t="shared" si="1490"/>
        <v>2</v>
      </c>
    </row>
    <row r="341" spans="1:356" x14ac:dyDescent="0.25">
      <c r="A341" t="s">
        <v>2084</v>
      </c>
      <c r="B341" t="s">
        <v>2079</v>
      </c>
      <c r="C341" t="s">
        <v>498</v>
      </c>
      <c r="P341" t="s">
        <v>482</v>
      </c>
      <c r="T341" s="14" t="s">
        <v>2117</v>
      </c>
      <c r="U341">
        <v>1</v>
      </c>
      <c r="V341" t="s">
        <v>2118</v>
      </c>
      <c r="X341" t="s">
        <v>400</v>
      </c>
      <c r="Y341" s="63">
        <v>1</v>
      </c>
      <c r="Z341" s="63" cm="1">
        <f t="array" ref="Z341">SUM(IF(ISNUMBER(FIND("TmAi",$BE$1:$AAL$1)),IF(IFERROR(ISODD(SUBSTITUTE($BE341:$AAL341,"A","")),FALSE),IF(ISODD(SUBSTITUTE($BE341:$AAL341,"A","")),1,0),0)))</f>
        <v>0</v>
      </c>
      <c r="AA341" t="str">
        <f>CONCATENATE($Y341*2-1,"B")</f>
        <v>1B</v>
      </c>
      <c r="AB341" t="str">
        <f>CONCATENATE($Y341*2,"B")</f>
        <v>2B</v>
      </c>
      <c r="AP341" t="s">
        <v>2119</v>
      </c>
      <c r="AS341" t="s">
        <v>396</v>
      </c>
      <c r="JZ341" s="25" t="str">
        <f t="shared" ref="JZ341" si="1491">CONCATENATE("XT",U341)</f>
        <v>XT1</v>
      </c>
      <c r="KA341" s="12"/>
      <c r="KB341" s="12"/>
      <c r="KC341" s="12" t="str">
        <f t="shared" ref="KC341" si="1492">CONCATENATE(T341,"-AI",REPLACE($X341,1,3,""),"-",AA341)</f>
        <v>E2-AI1-1B</v>
      </c>
      <c r="KD341" s="12" t="str">
        <f t="shared" ref="KD341" si="1493">CONCATENATE(T341,"-AI",REPLACE($X341,1,3,""),"-",AB341)</f>
        <v>E2-AI1-2B</v>
      </c>
      <c r="KE341" s="12"/>
      <c r="KF341" s="12"/>
      <c r="KG341" s="12"/>
      <c r="KH341" s="12"/>
      <c r="KI341" s="12">
        <v>1</v>
      </c>
      <c r="KJ341" s="12">
        <f>KI341+1</f>
        <v>2</v>
      </c>
      <c r="KK341" s="12">
        <f>KJ341+1</f>
        <v>3</v>
      </c>
      <c r="KL341" s="12"/>
      <c r="KM341" s="12"/>
      <c r="KN341" s="12">
        <v>1</v>
      </c>
      <c r="KO341" s="13">
        <v>2</v>
      </c>
      <c r="KP341" s="12"/>
      <c r="KQ341" s="12"/>
      <c r="KR341" s="12"/>
      <c r="KS341" s="13"/>
    </row>
    <row r="342" spans="1:356" x14ac:dyDescent="0.25">
      <c r="A342" t="s">
        <v>2085</v>
      </c>
      <c r="B342" t="s">
        <v>2114</v>
      </c>
      <c r="C342" t="s">
        <v>498</v>
      </c>
      <c r="P342" t="s">
        <v>482</v>
      </c>
      <c r="T342" s="14" t="s">
        <v>2117</v>
      </c>
      <c r="U342">
        <v>1</v>
      </c>
      <c r="V342" t="s">
        <v>2120</v>
      </c>
      <c r="X342" t="str">
        <f>IF(COUNTIF(X$341:X341,X341)&gt;7,REPLACE(X341,LEN(X341),1,VALUE(RIGHT(X341,1))+1),X341)</f>
        <v>A3.1</v>
      </c>
      <c r="Y342" s="63" cm="1">
        <f t="array" ref="Y342">IF(COUNTIFS($X$341:$X342,$X342)=1,"1",VALUE(SUBSTITUTE(INDEX(Y:Y,_xlfn.XMATCH($X342,$X$1:$X341,0,-1)),"A",""))+INDEX(Z:Z,_xlfn.XMATCH($X342,$X$1:$X341,0,-1))+1)</f>
        <v>2</v>
      </c>
      <c r="Z342" cm="1">
        <f t="array" ref="Z342">SUM(IF(ISNUMBER(FIND("TmAi",$BE$1:$AAL$1)),IF(IFERROR(ISODD(SUBSTITUTE($BE342:$AAL342,"A","")),FALSE),IF(ISODD(SUBSTITUTE($BE342:$AAL342,"A","")),1,0),0)))</f>
        <v>0</v>
      </c>
      <c r="AA342" t="str">
        <f t="shared" ref="AA342:AA346" si="1494">CONCATENATE($Y342*2-1,"B")</f>
        <v>3B</v>
      </c>
      <c r="AB342" t="str">
        <f t="shared" ref="AB342:AB346" si="1495">CONCATENATE($Y342*2,"B")</f>
        <v>4B</v>
      </c>
      <c r="AP342" t="s">
        <v>2119</v>
      </c>
      <c r="AS342" t="s">
        <v>396</v>
      </c>
      <c r="JZ342" s="27" t="str">
        <f t="shared" ref="JZ342:JZ348" si="1496">CONCATENATE("XT",U342)</f>
        <v>XT1</v>
      </c>
      <c r="KC342" t="str">
        <f t="shared" ref="KC342:KC348" si="1497">CONCATENATE(T342,"-AI",REPLACE($X342,1,3,""),"-",AA342)</f>
        <v>E2-AI1-3B</v>
      </c>
      <c r="KD342" t="str">
        <f t="shared" ref="KD342:KD348" si="1498">CONCATENATE(T342,"-AI",REPLACE($X342,1,3,""),"-",AB342)</f>
        <v>E2-AI1-4B</v>
      </c>
      <c r="KI342" cm="1">
        <f t="array" ref="KI342">IF(COUNTIFS($U$2:$U342,$U342)=1,1,INDEX(KI:KI,_xlfn.XMATCH(U342,U$1:U341,0,-1))+COUNT(KI341:KM341))</f>
        <v>4</v>
      </c>
      <c r="KJ342">
        <f t="shared" ref="KJ342:KK342" si="1499">KI342+1</f>
        <v>5</v>
      </c>
      <c r="KK342">
        <f t="shared" si="1499"/>
        <v>6</v>
      </c>
      <c r="KN342">
        <v>1</v>
      </c>
      <c r="KO342">
        <v>2</v>
      </c>
      <c r="KP342" s="27"/>
      <c r="KS342" s="16"/>
    </row>
    <row r="343" spans="1:356" x14ac:dyDescent="0.25">
      <c r="A343" t="s">
        <v>2086</v>
      </c>
      <c r="B343" t="s">
        <v>2115</v>
      </c>
      <c r="C343" t="s">
        <v>498</v>
      </c>
      <c r="P343" t="s">
        <v>482</v>
      </c>
      <c r="T343" s="14" t="s">
        <v>2117</v>
      </c>
      <c r="U343">
        <v>1</v>
      </c>
      <c r="V343" t="s">
        <v>2121</v>
      </c>
      <c r="X343" t="str">
        <f>IF(COUNTIF(X$341:X342,X342)&gt;7,REPLACE(X342,LEN(X342),1,VALUE(RIGHT(X342,1))+1),X342)</f>
        <v>A3.1</v>
      </c>
      <c r="Y343" s="63" cm="1">
        <f t="array" ref="Y343">IF(COUNTIFS($X$341:$X343,$X343)=1,"1",VALUE(SUBSTITUTE(INDEX(Y:Y,_xlfn.XMATCH($X343,$X$1:$X342,0,-1)),"A",""))+INDEX(Z:Z,_xlfn.XMATCH($X343,$X$1:$X342,0,-1))+1)</f>
        <v>3</v>
      </c>
      <c r="Z343" cm="1">
        <f t="array" ref="Z343">SUM(IF(ISNUMBER(FIND("TmAi",$BE$1:$AAL$1)),IF(IFERROR(ISODD(SUBSTITUTE($BE343:$AAL343,"A","")),FALSE),IF(ISODD(SUBSTITUTE($BE343:$AAL343,"A","")),1,0),0)))</f>
        <v>0</v>
      </c>
      <c r="AA343" t="str">
        <f t="shared" si="1494"/>
        <v>5B</v>
      </c>
      <c r="AB343" t="str">
        <f t="shared" si="1495"/>
        <v>6B</v>
      </c>
      <c r="AP343" t="s">
        <v>2119</v>
      </c>
      <c r="AS343" t="s">
        <v>396</v>
      </c>
      <c r="JZ343" s="27" t="str">
        <f t="shared" si="1496"/>
        <v>XT1</v>
      </c>
      <c r="KC343" t="str">
        <f t="shared" si="1497"/>
        <v>E2-AI1-5B</v>
      </c>
      <c r="KD343" t="str">
        <f t="shared" si="1498"/>
        <v>E2-AI1-6B</v>
      </c>
      <c r="KI343" cm="1">
        <f t="array" ref="KI343">IF(COUNTIFS($U$2:$U343,$U343)=1,1,INDEX(KI:KI,_xlfn.XMATCH(U343,U$1:U342,0,-1))+COUNT(KI342:KM342))</f>
        <v>7</v>
      </c>
      <c r="KJ343">
        <f t="shared" ref="KJ343:KK343" si="1500">KI343+1</f>
        <v>8</v>
      </c>
      <c r="KK343">
        <f t="shared" si="1500"/>
        <v>9</v>
      </c>
      <c r="KN343">
        <v>1</v>
      </c>
      <c r="KO343">
        <v>2</v>
      </c>
      <c r="KP343" s="27"/>
      <c r="KS343" s="16"/>
    </row>
    <row r="344" spans="1:356" x14ac:dyDescent="0.25">
      <c r="A344" t="s">
        <v>2087</v>
      </c>
      <c r="B344" t="s">
        <v>2116</v>
      </c>
      <c r="C344" t="s">
        <v>498</v>
      </c>
      <c r="P344" t="s">
        <v>482</v>
      </c>
      <c r="T344" s="14" t="s">
        <v>2117</v>
      </c>
      <c r="U344">
        <v>1</v>
      </c>
      <c r="V344" t="s">
        <v>2122</v>
      </c>
      <c r="X344" t="str">
        <f>IF(COUNTIF(X$341:X343,X343)&gt;7,REPLACE(X343,LEN(X343),1,VALUE(RIGHT(X343,1))+1),X343)</f>
        <v>A3.1</v>
      </c>
      <c r="Y344" s="63" cm="1">
        <f t="array" ref="Y344">IF(COUNTIFS($X$341:$X344,$X344)=1,"1",VALUE(SUBSTITUTE(INDEX(Y:Y,_xlfn.XMATCH($X344,$X$1:$X343,0,-1)),"A",""))+INDEX(Z:Z,_xlfn.XMATCH($X344,$X$1:$X343,0,-1))+1)</f>
        <v>4</v>
      </c>
      <c r="Z344" cm="1">
        <f t="array" ref="Z344">SUM(IF(ISNUMBER(FIND("TmAi",$BE$1:$AAL$1)),IF(IFERROR(ISODD(SUBSTITUTE($BE344:$AAL344,"A","")),FALSE),IF(ISODD(SUBSTITUTE($BE344:$AAL344,"A","")),1,0),0)))</f>
        <v>0</v>
      </c>
      <c r="AA344" t="str">
        <f t="shared" si="1494"/>
        <v>7B</v>
      </c>
      <c r="AB344" t="str">
        <f t="shared" si="1495"/>
        <v>8B</v>
      </c>
      <c r="AP344" t="s">
        <v>2119</v>
      </c>
      <c r="AS344" t="s">
        <v>396</v>
      </c>
      <c r="JZ344" s="27" t="str">
        <f t="shared" si="1496"/>
        <v>XT1</v>
      </c>
      <c r="KC344" t="str">
        <f t="shared" si="1497"/>
        <v>E2-AI1-7B</v>
      </c>
      <c r="KD344" t="str">
        <f t="shared" si="1498"/>
        <v>E2-AI1-8B</v>
      </c>
      <c r="KI344" cm="1">
        <f t="array" ref="KI344">IF(COUNTIFS($U$2:$U344,$U344)=1,1,INDEX(KI:KI,_xlfn.XMATCH(U344,U$1:U343,0,-1))+COUNT(KI343:KM343))</f>
        <v>10</v>
      </c>
      <c r="KJ344">
        <f t="shared" ref="KJ344:KK344" si="1501">KI344+1</f>
        <v>11</v>
      </c>
      <c r="KK344">
        <f t="shared" si="1501"/>
        <v>12</v>
      </c>
      <c r="KN344">
        <v>1</v>
      </c>
      <c r="KO344">
        <v>2</v>
      </c>
      <c r="KP344" s="27"/>
      <c r="KS344" s="16"/>
    </row>
    <row r="345" spans="1:356" x14ac:dyDescent="0.25">
      <c r="A345" t="s">
        <v>2082</v>
      </c>
      <c r="B345" t="s">
        <v>2077</v>
      </c>
      <c r="C345" t="s">
        <v>498</v>
      </c>
      <c r="P345" t="s">
        <v>482</v>
      </c>
      <c r="T345" s="14" t="s">
        <v>2117</v>
      </c>
      <c r="U345">
        <v>1</v>
      </c>
      <c r="V345" t="s">
        <v>2123</v>
      </c>
      <c r="X345" t="str">
        <f>IF(COUNTIF(X$341:X344,X344)&gt;7,REPLACE(X344,LEN(X344),1,VALUE(RIGHT(X344,1))+1),X344)</f>
        <v>A3.1</v>
      </c>
      <c r="Y345" s="63" cm="1">
        <f t="array" ref="Y345">IF(COUNTIFS($X$341:$X345,$X345)=1,"1",VALUE(SUBSTITUTE(INDEX(Y:Y,_xlfn.XMATCH($X345,$X$1:$X344,0,-1)),"A",""))+INDEX(Z:Z,_xlfn.XMATCH($X345,$X$1:$X344,0,-1))+1)</f>
        <v>5</v>
      </c>
      <c r="Z345" cm="1">
        <f t="array" ref="Z345">SUM(IF(ISNUMBER(FIND("TmAi",$BE$1:$AAL$1)),IF(IFERROR(ISODD(SUBSTITUTE($BE345:$AAL345,"A","")),FALSE),IF(ISODD(SUBSTITUTE($BE345:$AAL345,"A","")),1,0),0)))</f>
        <v>0</v>
      </c>
      <c r="AA345" t="str">
        <f t="shared" si="1494"/>
        <v>9B</v>
      </c>
      <c r="AB345" t="str">
        <f t="shared" si="1495"/>
        <v>10B</v>
      </c>
      <c r="AP345" t="s">
        <v>2119</v>
      </c>
      <c r="AS345" t="s">
        <v>396</v>
      </c>
      <c r="JZ345" s="27" t="str">
        <f t="shared" si="1496"/>
        <v>XT1</v>
      </c>
      <c r="KC345" t="str">
        <f t="shared" si="1497"/>
        <v>E2-AI1-9B</v>
      </c>
      <c r="KD345" t="str">
        <f t="shared" si="1498"/>
        <v>E2-AI1-10B</v>
      </c>
      <c r="KI345" cm="1">
        <f t="array" ref="KI345">IF(COUNTIFS($U$2:$U345,$U345)=1,1,INDEX(KI:KI,_xlfn.XMATCH(U345,U$1:U344,0,-1))+COUNT(KI344:KM344))</f>
        <v>13</v>
      </c>
      <c r="KJ345">
        <f t="shared" ref="KJ345:KK345" si="1502">KI345+1</f>
        <v>14</v>
      </c>
      <c r="KK345">
        <f t="shared" si="1502"/>
        <v>15</v>
      </c>
      <c r="KN345">
        <v>1</v>
      </c>
      <c r="KO345">
        <v>2</v>
      </c>
      <c r="KP345" s="27"/>
      <c r="KS345" s="16"/>
    </row>
    <row r="346" spans="1:356" x14ac:dyDescent="0.25">
      <c r="A346" t="s">
        <v>2083</v>
      </c>
      <c r="B346" t="s">
        <v>2078</v>
      </c>
      <c r="C346" t="s">
        <v>498</v>
      </c>
      <c r="P346" t="s">
        <v>482</v>
      </c>
      <c r="T346" s="14" t="s">
        <v>2117</v>
      </c>
      <c r="U346">
        <v>1</v>
      </c>
      <c r="V346" t="s">
        <v>2124</v>
      </c>
      <c r="X346" t="str">
        <f>IF(COUNTIF(X$341:X345,X345)&gt;7,REPLACE(X345,LEN(X345),1,VALUE(RIGHT(X345,1))+1),X345)</f>
        <v>A3.1</v>
      </c>
      <c r="Y346" s="63" cm="1">
        <f t="array" ref="Y346">IF(COUNTIFS($X$341:$X346,$X346)=1,"1",VALUE(SUBSTITUTE(INDEX(Y:Y,_xlfn.XMATCH($X346,$X$1:$X345,0,-1)),"A",""))+INDEX(Z:Z,_xlfn.XMATCH($X346,$X$1:$X345,0,-1))+1)</f>
        <v>6</v>
      </c>
      <c r="Z346" cm="1">
        <f t="array" ref="Z346">SUM(IF(ISNUMBER(FIND("TmAi",$BE$1:$AAL$1)),IF(IFERROR(ISODD(SUBSTITUTE($BE346:$AAL346,"A","")),FALSE),IF(ISODD(SUBSTITUTE($BE346:$AAL346,"A","")),1,0),0)))</f>
        <v>0</v>
      </c>
      <c r="AA346" t="str">
        <f t="shared" si="1494"/>
        <v>11B</v>
      </c>
      <c r="AB346" t="str">
        <f t="shared" si="1495"/>
        <v>12B</v>
      </c>
      <c r="AP346" t="s">
        <v>2119</v>
      </c>
      <c r="AS346" t="s">
        <v>396</v>
      </c>
      <c r="JZ346" s="27" t="str">
        <f t="shared" si="1496"/>
        <v>XT1</v>
      </c>
      <c r="KC346" t="str">
        <f t="shared" si="1497"/>
        <v>E2-AI1-11B</v>
      </c>
      <c r="KD346" t="str">
        <f t="shared" si="1498"/>
        <v>E2-AI1-12B</v>
      </c>
      <c r="KI346" cm="1">
        <f t="array" ref="KI346">IF(COUNTIFS($U$2:$U346,$U346)=1,1,INDEX(KI:KI,_xlfn.XMATCH(U346,U$1:U345,0,-1))+COUNT(KI345:KM345))</f>
        <v>16</v>
      </c>
      <c r="KJ346">
        <f t="shared" ref="KJ346:KK346" si="1503">KI346+1</f>
        <v>17</v>
      </c>
      <c r="KK346">
        <f t="shared" si="1503"/>
        <v>18</v>
      </c>
      <c r="KN346">
        <v>1</v>
      </c>
      <c r="KO346">
        <v>2</v>
      </c>
      <c r="KP346" s="27"/>
      <c r="KS346" s="16"/>
    </row>
    <row r="347" spans="1:356" x14ac:dyDescent="0.25">
      <c r="A347" t="s">
        <v>2088</v>
      </c>
      <c r="B347" t="s">
        <v>2080</v>
      </c>
      <c r="C347" t="s">
        <v>537</v>
      </c>
      <c r="P347" t="s">
        <v>542</v>
      </c>
      <c r="T347" s="14" t="s">
        <v>2117</v>
      </c>
      <c r="U347">
        <v>1</v>
      </c>
      <c r="V347" t="s">
        <v>2125</v>
      </c>
      <c r="X347" t="s">
        <v>2018</v>
      </c>
      <c r="Y347" s="64" t="str" cm="1">
        <f t="array" ref="Y347">IF(COUNTIFS($X$341:$X347,$X347)=1,"1",VALUE(SUBSTITUTE(INDEX(Y:Y,_xlfn.XMATCH($X347,$X$1:$X346,0,-1)),"A",""))+INDEX(Z:Z,_xlfn.XMATCH($X347,$X$1:$X346,0,-1))+1)</f>
        <v>1</v>
      </c>
      <c r="Z347" s="63" cm="1">
        <f t="array" ref="Z347">SUM(IF(ISNUMBER(FIND("TmAi",$BE$1:$AAL$1)),IF(IFERROR(ISODD(SUBSTITUTE($BE347:$AAL347,"A","")),FALSE),IF(ISODD(SUBSTITUTE($BE347:$AAL347,"A","")),1,0),0)))</f>
        <v>0</v>
      </c>
      <c r="AA347" t="str">
        <f>CONCATENATE($Y347*2-1,"A")</f>
        <v>1A</v>
      </c>
      <c r="AB347" t="str">
        <f>CONCATENATE($Y347*2-1,"B")</f>
        <v>1B</v>
      </c>
      <c r="AP347" t="s">
        <v>2119</v>
      </c>
      <c r="AS347" t="s">
        <v>396</v>
      </c>
      <c r="JZ347" s="27" t="str">
        <f t="shared" si="1496"/>
        <v>XT1</v>
      </c>
      <c r="KA347" t="str">
        <f>REPLACE($AA347,1,1,LEFT($AA347,1)+1)</f>
        <v>2A</v>
      </c>
      <c r="KB347" t="str">
        <f>REPLACE($AB347,1,1,LEFT($AB347,1)+1)</f>
        <v>2B</v>
      </c>
      <c r="KC347" t="str">
        <f t="shared" si="1497"/>
        <v>E2-AI2-1A</v>
      </c>
      <c r="KD347" t="str">
        <f t="shared" si="1498"/>
        <v>E2-AI2-1B</v>
      </c>
      <c r="KE347" t="str">
        <f>CONCATENATE($T347,"-AI",REPLACE($X347,1,3,""),"-",KA347)</f>
        <v>E2-AI2-2A</v>
      </c>
      <c r="KF347" t="str">
        <f>CONCATENATE($T347,"-AI",REPLACE($X347,1,3,""),"-",KB347)</f>
        <v>E2-AI2-2B</v>
      </c>
      <c r="KI347" cm="1">
        <f t="array" ref="KI347">IF(COUNTIFS($U$2:$U347,$U347)=1,1,INDEX(KI:KI,_xlfn.XMATCH(U347,U$1:U346,0,-1))+COUNT(KI346:KM346))</f>
        <v>19</v>
      </c>
      <c r="KJ347">
        <f t="shared" ref="KJ347:KL348" si="1504">KI347+1</f>
        <v>20</v>
      </c>
      <c r="KK347">
        <f t="shared" si="1504"/>
        <v>21</v>
      </c>
      <c r="KL347">
        <f t="shared" si="1504"/>
        <v>22</v>
      </c>
      <c r="KN347">
        <v>1</v>
      </c>
      <c r="KO347" s="16">
        <v>2</v>
      </c>
      <c r="KP347">
        <v>3</v>
      </c>
      <c r="KQ347">
        <v>4</v>
      </c>
      <c r="KS347" s="16"/>
    </row>
    <row r="348" spans="1:356" x14ac:dyDescent="0.25">
      <c r="A348" t="s">
        <v>2089</v>
      </c>
      <c r="B348" t="s">
        <v>2081</v>
      </c>
      <c r="C348" t="s">
        <v>537</v>
      </c>
      <c r="P348" t="s">
        <v>542</v>
      </c>
      <c r="T348" s="14" t="s">
        <v>2117</v>
      </c>
      <c r="U348">
        <v>1</v>
      </c>
      <c r="V348" t="s">
        <v>2126</v>
      </c>
      <c r="X348" t="str">
        <f>IF(COUNTIF(X$341:X347,X347)&gt;7,REPLACE(X347,LEN(X347),1,VALUE(RIGHT(X347,1))+1),X347)</f>
        <v>A3.2</v>
      </c>
      <c r="Y348" s="63" cm="1">
        <f t="array" ref="Y348">IF(COUNTIFS($X$341:$X348,$X348)=1,"1",VALUE(SUBSTITUTE(INDEX(Y:Y,_xlfn.XMATCH($X348,$X$1:$X347,0,-1)),"A",""))+INDEX(Z:Z,_xlfn.XMATCH($X348,$X$1:$X347,0,-1))+1)</f>
        <v>2</v>
      </c>
      <c r="Z348" s="63" cm="1">
        <f t="array" ref="Z348">SUM(IF(ISNUMBER(FIND("TmAi",$BE$1:$AAL$1)),IF(IFERROR(ISODD(SUBSTITUTE($BE348:$AAL348,"A","")),FALSE),IF(ISODD(SUBSTITUTE($BE348:$AAL348,"A","")),1,0),0)))</f>
        <v>0</v>
      </c>
      <c r="AA348" t="str">
        <f>CONCATENATE($Y348*2-1,"A")</f>
        <v>3A</v>
      </c>
      <c r="AB348" t="str">
        <f>CONCATENATE($Y348*2-1,"B")</f>
        <v>3B</v>
      </c>
      <c r="AP348" t="s">
        <v>2119</v>
      </c>
      <c r="AS348" t="s">
        <v>396</v>
      </c>
      <c r="JZ348" s="27" t="str">
        <f t="shared" si="1496"/>
        <v>XT1</v>
      </c>
      <c r="KA348" t="str">
        <f>REPLACE(AA348,1,1,LEFT(AA348,1)+1)</f>
        <v>4A</v>
      </c>
      <c r="KB348" t="str">
        <f>REPLACE(AB348,1,1,LEFT(AB348,1)+1)</f>
        <v>4B</v>
      </c>
      <c r="KC348" t="str">
        <f t="shared" si="1497"/>
        <v>E2-AI2-3A</v>
      </c>
      <c r="KD348" t="str">
        <f t="shared" si="1498"/>
        <v>E2-AI2-3B</v>
      </c>
      <c r="KE348" t="str">
        <f>CONCATENATE($T348,"-AI",REPLACE($X348,1,3,""),"-",KA348)</f>
        <v>E2-AI2-4A</v>
      </c>
      <c r="KF348" t="str">
        <f>CONCATENATE($T348,"-AI",REPLACE($X348,1,3,""),"-",KB348)</f>
        <v>E2-AI2-4B</v>
      </c>
      <c r="KI348" cm="1">
        <f t="array" ref="KI348">IF(COUNTIFS($U$2:$U348,$U348)=1,1,INDEX(KI:KI,_xlfn.XMATCH(U348,U$1:U347,0,-1))+COUNT(KI347:KM347))</f>
        <v>23</v>
      </c>
      <c r="KJ348">
        <f t="shared" si="1504"/>
        <v>24</v>
      </c>
      <c r="KK348">
        <f t="shared" si="1504"/>
        <v>25</v>
      </c>
      <c r="KL348">
        <f t="shared" si="1504"/>
        <v>26</v>
      </c>
      <c r="KN348">
        <v>1</v>
      </c>
      <c r="KO348" s="16">
        <v>2</v>
      </c>
      <c r="KP348">
        <v>3</v>
      </c>
      <c r="KQ348">
        <v>4</v>
      </c>
      <c r="KS348" s="16"/>
    </row>
    <row r="349" spans="1:356" x14ac:dyDescent="0.25">
      <c r="A349" t="s">
        <v>2130</v>
      </c>
      <c r="B349" t="s">
        <v>2133</v>
      </c>
      <c r="C349" t="s">
        <v>498</v>
      </c>
      <c r="P349" t="s">
        <v>482</v>
      </c>
      <c r="T349" s="14" t="s">
        <v>2117</v>
      </c>
      <c r="U349">
        <v>2</v>
      </c>
      <c r="V349" t="s">
        <v>2127</v>
      </c>
      <c r="X349" t="s">
        <v>484</v>
      </c>
      <c r="Y349" s="64" t="str" cm="1">
        <f t="array" ref="Y349">IF(COUNTIFS($X$341:$X349,$X349)=1,"1",VALUE(SUBSTITUTE(INDEX(Y:Y,_xlfn.XMATCH($X349,$X$1:$X348,0,-1)),"A",""))+INDEX(Z:Z,_xlfn.XMATCH($X349,$X$1:$X348,0,-1))+1)</f>
        <v>1</v>
      </c>
      <c r="Z349" cm="1">
        <f t="array" ref="Z349">SUM(IF(ISNUMBER(FIND("TmAi",$BE$1:$AAL$1)),IF(IFERROR(ISODD(SUBSTITUTE($BE349:$AAL349,"A","")),FALSE),IF(ISODD(SUBSTITUTE($BE349:$AAL349,"A","")),1,0),0)))</f>
        <v>0</v>
      </c>
      <c r="AA349" t="str">
        <f t="shared" ref="AA349:AA351" si="1505">CONCATENATE($Y349*2-1,"B")</f>
        <v>1B</v>
      </c>
      <c r="AB349" t="str">
        <f t="shared" ref="AB349:AB351" si="1506">CONCATENATE($Y349*2,"B")</f>
        <v>2B</v>
      </c>
      <c r="AP349" t="s">
        <v>2119</v>
      </c>
      <c r="AS349" t="s">
        <v>396</v>
      </c>
      <c r="JZ349" s="27" t="str">
        <f t="shared" ref="JZ349:JZ351" si="1507">CONCATENATE("XT",U349)</f>
        <v>XT2</v>
      </c>
      <c r="KC349" t="str">
        <f t="shared" ref="KC349:KC351" si="1508">CONCATENATE(T349,"-AI",REPLACE($X349,1,3,""),"-",AA349)</f>
        <v>E2-AI3-1B</v>
      </c>
      <c r="KD349" t="str">
        <f t="shared" ref="KD349:KD351" si="1509">CONCATENATE(T349,"-AI",REPLACE($X349,1,3,""),"-",AB349)</f>
        <v>E2-AI3-2B</v>
      </c>
      <c r="KI349" cm="1">
        <f t="array" ref="KI349">IF(COUNTIFS($U$2:$U349,$U349)=1,1,INDEX(KI:KI,_xlfn.XMATCH(U349,U$1:U348,0,-1))+COUNT(KI348:KM348))</f>
        <v>4</v>
      </c>
      <c r="KJ349">
        <f t="shared" ref="KJ349:KK349" si="1510">KI349+1</f>
        <v>5</v>
      </c>
      <c r="KK349">
        <f t="shared" si="1510"/>
        <v>6</v>
      </c>
      <c r="KN349">
        <v>1</v>
      </c>
      <c r="KO349">
        <v>2</v>
      </c>
      <c r="KP349" s="27"/>
      <c r="KS349" s="16"/>
    </row>
    <row r="350" spans="1:356" x14ac:dyDescent="0.25">
      <c r="A350" t="s">
        <v>2131</v>
      </c>
      <c r="B350" t="s">
        <v>2134</v>
      </c>
      <c r="C350" t="s">
        <v>498</v>
      </c>
      <c r="P350" t="s">
        <v>482</v>
      </c>
      <c r="T350" s="14" t="s">
        <v>2117</v>
      </c>
      <c r="U350">
        <v>2</v>
      </c>
      <c r="V350" t="s">
        <v>2128</v>
      </c>
      <c r="X350" t="str">
        <f>IF(COUNTIF(X$341:X349,X349)&gt;7,REPLACE(X349,LEN(X349),1,VALUE(RIGHT(X349,1))+1),X349)</f>
        <v>A3.3</v>
      </c>
      <c r="Y350" s="63" cm="1">
        <f t="array" ref="Y350">IF(COUNTIFS($X$341:$X350,$X350)=1,"1",VALUE(SUBSTITUTE(INDEX(Y:Y,_xlfn.XMATCH($X350,$X$1:$X349,0,-1)),"A",""))+INDEX(Z:Z,_xlfn.XMATCH($X350,$X$1:$X349,0,-1))+1)</f>
        <v>2</v>
      </c>
      <c r="Z350" cm="1">
        <f t="array" ref="Z350">SUM(IF(ISNUMBER(FIND("TmAi",$BE$1:$AAL$1)),IF(IFERROR(ISODD(SUBSTITUTE($BE350:$AAL350,"A","")),FALSE),IF(ISODD(SUBSTITUTE($BE350:$AAL350,"A","")),1,0),0)))</f>
        <v>0</v>
      </c>
      <c r="AA350" t="str">
        <f t="shared" si="1505"/>
        <v>3B</v>
      </c>
      <c r="AB350" t="str">
        <f t="shared" si="1506"/>
        <v>4B</v>
      </c>
      <c r="AP350" t="s">
        <v>2119</v>
      </c>
      <c r="AS350" t="s">
        <v>396</v>
      </c>
      <c r="JZ350" s="27" t="str">
        <f t="shared" si="1507"/>
        <v>XT2</v>
      </c>
      <c r="KC350" t="str">
        <f t="shared" si="1508"/>
        <v>E2-AI3-3B</v>
      </c>
      <c r="KD350" t="str">
        <f t="shared" si="1509"/>
        <v>E2-AI3-4B</v>
      </c>
      <c r="KI350" cm="1">
        <f t="array" ref="KI350">IF(COUNTIFS($U$2:$U350,$U350)=1,1,INDEX(KI:KI,_xlfn.XMATCH(U350,U$1:U349,0,-1))+COUNT(KI349:KM349))</f>
        <v>7</v>
      </c>
      <c r="KJ350">
        <f t="shared" ref="KJ350:KK350" si="1511">KI350+1</f>
        <v>8</v>
      </c>
      <c r="KK350">
        <f t="shared" si="1511"/>
        <v>9</v>
      </c>
      <c r="KN350">
        <v>1</v>
      </c>
      <c r="KO350">
        <v>2</v>
      </c>
      <c r="KP350" s="27"/>
      <c r="KS350" s="16"/>
    </row>
    <row r="351" spans="1:356" x14ac:dyDescent="0.25">
      <c r="A351" t="s">
        <v>2132</v>
      </c>
      <c r="B351" t="s">
        <v>2135</v>
      </c>
      <c r="C351" t="s">
        <v>498</v>
      </c>
      <c r="P351" t="s">
        <v>482</v>
      </c>
      <c r="T351" s="14" t="s">
        <v>2117</v>
      </c>
      <c r="U351">
        <v>2</v>
      </c>
      <c r="V351" t="s">
        <v>2129</v>
      </c>
      <c r="X351" t="str">
        <f>IF(COUNTIF(X$341:X350,X350)&gt;7,REPLACE(X350,LEN(X350),1,VALUE(RIGHT(X350,1))+1),X350)</f>
        <v>A3.3</v>
      </c>
      <c r="Y351" s="63" cm="1">
        <f t="array" ref="Y351">IF(COUNTIFS($X$341:$X351,$X351)=1,"1",VALUE(SUBSTITUTE(INDEX(Y:Y,_xlfn.XMATCH($X351,$X$1:$X350,0,-1)),"A",""))+INDEX(Z:Z,_xlfn.XMATCH($X351,$X$1:$X350,0,-1))+1)</f>
        <v>3</v>
      </c>
      <c r="Z351" cm="1">
        <f t="array" ref="Z351">SUM(IF(ISNUMBER(FIND("TmAi",$BE$1:$AAL$1)),IF(IFERROR(ISODD(SUBSTITUTE($BE351:$AAL351,"A","")),FALSE),IF(ISODD(SUBSTITUTE($BE351:$AAL351,"A","")),1,0),0)))</f>
        <v>0</v>
      </c>
      <c r="AA351" t="str">
        <f t="shared" si="1505"/>
        <v>5B</v>
      </c>
      <c r="AB351" t="str">
        <f t="shared" si="1506"/>
        <v>6B</v>
      </c>
      <c r="AP351" t="s">
        <v>2119</v>
      </c>
      <c r="AS351" t="s">
        <v>396</v>
      </c>
      <c r="JZ351" s="27" t="str">
        <f t="shared" si="1507"/>
        <v>XT2</v>
      </c>
      <c r="KC351" t="str">
        <f t="shared" si="1508"/>
        <v>E2-AI3-5B</v>
      </c>
      <c r="KD351" t="str">
        <f t="shared" si="1509"/>
        <v>E2-AI3-6B</v>
      </c>
      <c r="KI351" cm="1">
        <f t="array" ref="KI351">IF(COUNTIFS($U$2:$U351,$U351)=1,1,INDEX(KI:KI,_xlfn.XMATCH(U351,U$1:U350,0,-1))+COUNT(KI350:KM350))</f>
        <v>10</v>
      </c>
      <c r="KJ351">
        <f t="shared" ref="KJ351:KK351" si="1512">KI351+1</f>
        <v>11</v>
      </c>
      <c r="KK351">
        <f t="shared" si="1512"/>
        <v>12</v>
      </c>
      <c r="KN351">
        <v>1</v>
      </c>
      <c r="KO351">
        <v>2</v>
      </c>
      <c r="KP351" s="27"/>
      <c r="KS351" s="16"/>
    </row>
    <row r="352" spans="1:356" x14ac:dyDescent="0.25">
      <c r="A352" s="62" t="s">
        <v>2111</v>
      </c>
      <c r="B352" t="s">
        <v>2092</v>
      </c>
      <c r="P352" t="s">
        <v>2738</v>
      </c>
      <c r="T352" s="27" t="s">
        <v>2117</v>
      </c>
      <c r="U352">
        <v>3</v>
      </c>
      <c r="V352" t="s">
        <v>2136</v>
      </c>
      <c r="Y352" s="63"/>
      <c r="AC352" t="s">
        <v>131</v>
      </c>
      <c r="AD352" s="46" t="str" cm="1">
        <f t="array" ref="AD352">IF(COUNTIFS(AC$341:AC352,AC352)=1,"1",VALUE(SUBSTITUTE(INDEX(AD:AD,_xlfn.XMATCH(AC352,AC$1:AC357,0,-1)),"A",""))+INDEX(AE:AE,_xlfn.XMATCH(AC352,AC$1:AC357,0,-1))+1)</f>
        <v>1</v>
      </c>
      <c r="AE352" s="46" cm="1">
        <f t="array" ref="AE352">SUM(IF(ISNUMBER(FIND("TmDi",$BE$1:$AAL$1)),IF(IFERROR(ISNUMBER(VALUE(SUBSTITUTE($BE352:$AAL352,"B",""))),FALSE),IF(ISNUMBER(VALUE(SUBSTITUTE($BE352:$AAL352,"B",""))),1,0),0)))</f>
        <v>3</v>
      </c>
      <c r="AF352" t="str">
        <f t="shared" ref="AF352:AF355" si="1513">CONCATENATE("C",$AD352)</f>
        <v>C1</v>
      </c>
      <c r="AG352" t="str">
        <f t="shared" ref="AG352:AG355" si="1514">CONCATENATE("B",$AD352)</f>
        <v>B1</v>
      </c>
      <c r="AH352" t="s">
        <v>132</v>
      </c>
      <c r="AI352" s="73" t="str" cm="1">
        <f t="array" ref="AI352">IF(COUNTIFS(AH$341:AH352,AH352)=1,"1",VALUE(SUBSTITUTE(INDEX(AI:AI,_xlfn.XMATCH(AH352,AH$1:AH357,0,-1)),"A",""))+INDEX(AJ:AJ,_xlfn.XMATCH(AH352,AH$1:AH357,0,-1))+1)</f>
        <v>1</v>
      </c>
      <c r="AJ352" s="73" cm="1">
        <f t="array" ref="AJ352">SUM(IF(ISNUMBER(FIND("TmDo",$BE$1:$AAL$1)),IF(IFERROR(ISNUMBER(VALUE(SUBSTITUTE($BE352:$AAL352,"B",""))),FALSE),IF(ISNUMBER(VALUE(SUBSTITUTE($BE352:$AAL352,"B",""))),1,0),0)))</f>
        <v>2</v>
      </c>
      <c r="AK352" t="str">
        <f t="shared" ref="AK352:AK365" si="1515">CONCATENATE($AI352,"A")</f>
        <v>1A</v>
      </c>
      <c r="AL352" t="str">
        <f t="shared" ref="AL352:AL365" si="1516">CONCATENATE($AI352,"B")</f>
        <v>1B</v>
      </c>
      <c r="AM352" t="s">
        <v>141</v>
      </c>
      <c r="AP352" t="s">
        <v>2119</v>
      </c>
      <c r="AQ352" t="s">
        <v>2137</v>
      </c>
      <c r="AT352" t="s">
        <v>139</v>
      </c>
      <c r="AU352" t="s">
        <v>140</v>
      </c>
      <c r="BE352" s="27" t="str">
        <f t="shared" ref="BE352" si="1517">CONCATENATE("XT",U352)</f>
        <v>XT3</v>
      </c>
      <c r="BF352" t="str">
        <f t="shared" ref="BF352" si="1518">CONCATENATE("C",REPLACE(AF352,1,1,"")+1)</f>
        <v>C2</v>
      </c>
      <c r="BG352" t="str">
        <f t="shared" ref="BG352" si="1519">CONCATENATE("B",REPLACE(AG352,1,1,"")+1)</f>
        <v>B2</v>
      </c>
      <c r="BH352" t="str">
        <f t="shared" ref="BH352" si="1520">CONCATENATE("C",REPLACE(BF352,1,1,"")+1)</f>
        <v>C3</v>
      </c>
      <c r="BI352" t="str">
        <f t="shared" ref="BI352" si="1521">CONCATENATE("B",REPLACE(BG352,1,1,"")+1)</f>
        <v>B3</v>
      </c>
      <c r="BJ352" t="str">
        <f t="shared" ref="BJ352" si="1522">CONCATENATE("C",REPLACE(BH352,1,1,"")+1)</f>
        <v>C4</v>
      </c>
      <c r="BK352" t="str">
        <f t="shared" ref="BK352" si="1523">CONCATENATE("B",REPLACE(BI352,1,1,"")+1)</f>
        <v>B4</v>
      </c>
      <c r="BP352" t="str">
        <f t="shared" ref="BP352" si="1524">CONCATENATE(REPLACE(AK352,LEN(AK352),1,"")+1,"A")</f>
        <v>2A</v>
      </c>
      <c r="BQ352" t="str">
        <f t="shared" ref="BQ352" si="1525">CONCATENATE(REPLACE(AL352,LEN(AL352),1,"")+1,"B")</f>
        <v>2B</v>
      </c>
      <c r="BR352" t="str">
        <f t="shared" ref="BR352" si="1526">CONCATENATE(REPLACE(BP352,LEN(BP352),1,"")+1,"A")</f>
        <v>3A</v>
      </c>
      <c r="BS352" t="str">
        <f t="shared" ref="BS352" si="1527">CONCATENATE(REPLACE(BQ352,LEN(BQ352),1,"")+1,"B")</f>
        <v>3B</v>
      </c>
      <c r="BT352" t="str">
        <f t="shared" ref="BT352" si="1528">CONCATENATE("DI",REPLACE($AC352,1,3,""),"-",AF352)</f>
        <v>DI1-C1</v>
      </c>
      <c r="BU352" t="str">
        <f t="shared" ref="BU352" si="1529">CONCATENATE("DI",REPLACE($AC352,1,3,""),"-",AG352)</f>
        <v>DI1-B1</v>
      </c>
      <c r="BV352" t="str">
        <f t="shared" ref="BV352" si="1530">CONCATENATE("DI",REPLACE($AC352,1,3,""),"-",BF352)</f>
        <v>DI1-C2</v>
      </c>
      <c r="BW352" t="str">
        <f t="shared" ref="BW352" si="1531">CONCATENATE("DI",REPLACE($AC352,1,3,""),"-",BG352)</f>
        <v>DI1-B2</v>
      </c>
      <c r="BX352" t="str">
        <f t="shared" ref="BX352" si="1532">CONCATENATE("DI",REPLACE($AC352,1,3,""),"-",BH352)</f>
        <v>DI1-C3</v>
      </c>
      <c r="BY352" t="str">
        <f t="shared" ref="BY352" si="1533">CONCATENATE("DI",REPLACE($AC352,1,3,""),"-",BI352)</f>
        <v>DI1-B3</v>
      </c>
      <c r="BZ352" t="str">
        <f t="shared" ref="BZ352" si="1534">CONCATENATE("DI",REPLACE($AC352,1,3,""),"-",BJ352)</f>
        <v>DI1-C4</v>
      </c>
      <c r="CA352" t="str">
        <f t="shared" ref="CA352" si="1535">CONCATENATE("DI",REPLACE($AC352,1,3,""),"-",BK352)</f>
        <v>DI1-B4</v>
      </c>
      <c r="CB352" t="str">
        <f t="shared" ref="CB352" si="1536">CONCATENATE("DI",REPLACE($AC352,1,3,""),"-",BL352)</f>
        <v>DI1-</v>
      </c>
      <c r="CC352" t="str">
        <f t="shared" ref="CC352" si="1537">CONCATENATE("DI",REPLACE($AC352,1,3,""),"-",BM352)</f>
        <v>DI1-</v>
      </c>
      <c r="CD352" t="str">
        <f t="shared" ref="CD352" si="1538">CONCATENATE("DI",REPLACE($AC352,1,3,""),"-",BN352)</f>
        <v>DI1-</v>
      </c>
      <c r="CE352" t="str">
        <f t="shared" ref="CE352" si="1539">CONCATENATE("DI",REPLACE($AC352,1,3,""),"-",BO352)</f>
        <v>DI1-</v>
      </c>
      <c r="CF352" t="str">
        <f t="shared" ref="CF352" si="1540">CONCATENATE("DO",REPLACE($AH352,1,3,""),"-",AK352)</f>
        <v>DO1-1A</v>
      </c>
      <c r="CG352" t="str">
        <f t="shared" ref="CG352" si="1541">CONCATENATE("DO",REPLACE($AH352,1,3,""),"-",AL352)</f>
        <v>DO1-1B</v>
      </c>
      <c r="CH352" t="str">
        <f t="shared" ref="CH352" si="1542">CONCATENATE("DO",REPLACE($AH352,1,3,""),"-",BP352)</f>
        <v>DO1-2A</v>
      </c>
      <c r="CI352" t="str">
        <f t="shared" ref="CI352" si="1543">CONCATENATE("DO",REPLACE($AH352,1,3,""),"-",BQ352)</f>
        <v>DO1-2B</v>
      </c>
      <c r="CJ352" t="str">
        <f t="shared" ref="CJ352" si="1544">CONCATENATE("DO",REPLACE($AH352,1,3,""),"-",BR352)</f>
        <v>DO1-3A</v>
      </c>
      <c r="CK352" t="str">
        <f t="shared" ref="CK352" si="1545">CONCATENATE("DO",REPLACE($AH352,1,3,""),"-",BS352)</f>
        <v>DO1-3B</v>
      </c>
      <c r="CL352" t="str">
        <f t="shared" ref="CL352" si="1546">CONCATENATE("K",$U352,"-10")</f>
        <v>K3-10</v>
      </c>
      <c r="CM352" t="str">
        <f t="shared" ref="CM352" si="1547">CONCATENATE("K",$U352,"-03")</f>
        <v>K3-03</v>
      </c>
      <c r="CN352" t="str">
        <f t="shared" ref="CN352" si="1548">CONCATENATE("K",$U352,"-04")</f>
        <v>K3-04</v>
      </c>
      <c r="CO352" t="str">
        <f t="shared" ref="CO352" si="1549">CONCATENATE("K",$U352,"-01")</f>
        <v>K3-01</v>
      </c>
      <c r="CP352" t="str">
        <f t="shared" ref="CP352" si="1550">CONCATENATE("K",$U352,"-08")</f>
        <v>K3-08</v>
      </c>
      <c r="CQ352" t="str">
        <f t="shared" ref="CQ352" si="1551">CONCATENATE("K",$U352,"-02")</f>
        <v>K3-02</v>
      </c>
      <c r="CR352" t="str">
        <f t="shared" ref="CR352" si="1552">CONCATENATE("K",$U352,"-09")</f>
        <v>K3-09</v>
      </c>
      <c r="CS352" t="str">
        <f t="shared" ref="CS352" si="1553">CONCATENATE("K",$U352,"-05")</f>
        <v>K3-05</v>
      </c>
      <c r="CT352" t="str">
        <f t="shared" ref="CT352" si="1554">CONCATENATE("K",$U352,"-11")</f>
        <v>K3-11</v>
      </c>
      <c r="CU352" t="str">
        <f t="shared" ref="CU352" si="1555">CONCATENATE($T352,"-M",$U352,"-A9")</f>
        <v>E2-M3-A9</v>
      </c>
      <c r="CV352" t="str">
        <f t="shared" ref="CV352" si="1556">CONCATENATE($T352,"-M",$U352,"-A7")</f>
        <v>E2-M3-A7</v>
      </c>
      <c r="CW352" t="str">
        <f t="shared" ref="CW352" si="1557">CONCATENATE($T352,"-M",$U352,"-A8")</f>
        <v>E2-M3-A8</v>
      </c>
      <c r="CX352" t="str">
        <f t="shared" ref="CX352" si="1558">CONCATENATE($T352,"-M",$U352,"-A6")</f>
        <v>E2-M3-A6</v>
      </c>
      <c r="CY352" t="str">
        <f t="shared" ref="CY352" si="1559">CONCATENATE($T352,"-M",$U352,"-A30")</f>
        <v>E2-M3-A30</v>
      </c>
      <c r="CZ352" t="str">
        <f t="shared" ref="CZ352" si="1560">CONCATENATE($T352,"-M",$U352,"-N")</f>
        <v>E2-M3-N</v>
      </c>
      <c r="DA352" t="str">
        <f t="shared" ref="DA352" si="1561">CONCATENATE($T352,"-A220-M",U352)</f>
        <v>E2-A220-M3</v>
      </c>
      <c r="DB352" t="str">
        <f t="shared" ref="DB352" si="1562">CONCATENATE($T352,"-M",$U352,"-XM01")</f>
        <v>E2-M3-XM01</v>
      </c>
      <c r="DC352" t="str">
        <f t="shared" ref="DC352" si="1563">CONCATENATE($T352,"-M",$U352,"-A1")</f>
        <v>E2-M3-A1</v>
      </c>
      <c r="DD352" t="str">
        <f t="shared" ref="DD352" si="1564">CONCATENATE($T352,"-M",$U352,"-A5")</f>
        <v>E2-M3-A5</v>
      </c>
      <c r="DE352" t="str">
        <f t="shared" ref="DE352" si="1565">CONCATENATE($T352,"-M",$U352,"-A11")</f>
        <v>E2-M3-A11</v>
      </c>
      <c r="DF352" t="str">
        <f t="shared" ref="DF352" si="1566">CONCATENATE($T352,"-M",$U352,"-A12")</f>
        <v>E2-M3-A12</v>
      </c>
      <c r="DG352" t="str">
        <f>CONCATENATE($T352,"-M",$U352,"-A19")</f>
        <v>E2-M3-A19</v>
      </c>
      <c r="DH352" t="str">
        <f>CONCATENATE($T352,"-M",$U352,"-A20")</f>
        <v>E2-M3-A20</v>
      </c>
      <c r="DI352" t="s">
        <v>142</v>
      </c>
      <c r="DJ352" t="s">
        <v>143</v>
      </c>
      <c r="DK352">
        <v>11</v>
      </c>
      <c r="DL352">
        <v>14</v>
      </c>
      <c r="DM352">
        <v>12</v>
      </c>
      <c r="DN352" t="s">
        <v>144</v>
      </c>
      <c r="DO352" t="s">
        <v>145</v>
      </c>
      <c r="DP352">
        <v>1</v>
      </c>
      <c r="DQ352">
        <v>2</v>
      </c>
      <c r="DR352">
        <v>3</v>
      </c>
      <c r="DS352">
        <v>4</v>
      </c>
      <c r="DT352">
        <v>5</v>
      </c>
      <c r="DU352">
        <v>6</v>
      </c>
      <c r="DV352">
        <v>7</v>
      </c>
      <c r="DW352">
        <v>8</v>
      </c>
      <c r="DX352">
        <v>9</v>
      </c>
      <c r="DY352">
        <v>10</v>
      </c>
      <c r="DZ352">
        <v>11</v>
      </c>
      <c r="EA352">
        <v>12</v>
      </c>
      <c r="EB352">
        <v>13</v>
      </c>
      <c r="EC352">
        <v>14</v>
      </c>
      <c r="ED352">
        <v>1</v>
      </c>
      <c r="EE352">
        <v>3</v>
      </c>
      <c r="EF352">
        <v>4</v>
      </c>
      <c r="EG352">
        <v>7</v>
      </c>
      <c r="EH352">
        <v>8</v>
      </c>
      <c r="EI352">
        <v>9</v>
      </c>
      <c r="EJ352">
        <v>10</v>
      </c>
      <c r="EK352">
        <v>13</v>
      </c>
      <c r="EL352">
        <v>15</v>
      </c>
      <c r="EM352">
        <v>16</v>
      </c>
      <c r="EN352">
        <v>16</v>
      </c>
      <c r="EO352">
        <v>22</v>
      </c>
      <c r="EP352">
        <v>23</v>
      </c>
      <c r="EQ352" s="16">
        <v>24</v>
      </c>
    </row>
    <row r="353" spans="1:610" x14ac:dyDescent="0.25">
      <c r="A353" s="62" t="s">
        <v>2110</v>
      </c>
      <c r="B353" t="s">
        <v>2093</v>
      </c>
      <c r="P353" t="s">
        <v>2738</v>
      </c>
      <c r="T353" s="27" t="s">
        <v>2117</v>
      </c>
      <c r="U353">
        <v>4</v>
      </c>
      <c r="V353" t="s">
        <v>2138</v>
      </c>
      <c r="Y353" s="63"/>
      <c r="AC353" t="str">
        <f t="shared" ref="AC353:AC356" si="1567">IF(AD352+AE352&gt;31,REPLACE(AC352,LEN(AC352),1,VALUE(RIGHT(AC352,1))+1),AC352)</f>
        <v>A5.1</v>
      </c>
      <c r="AD353" s="46" cm="1">
        <f t="array" ref="AD353">IF(COUNTIFS(AC$341:AC353,AC353)=1,"1",VALUE(SUBSTITUTE(INDEX(AD:AD,_xlfn.XMATCH(AC353,AC$1:AC352,0,-1)),"A",""))+INDEX(AE:AE,_xlfn.XMATCH(AC353,AC$1:AC352,0,-1))+1)</f>
        <v>5</v>
      </c>
      <c r="AE353" s="46" cm="1">
        <f t="array" ref="AE353">SUM(IF(ISNUMBER(FIND("TmDi",$BE$1:$AAL$1)),IF(IFERROR(ISNUMBER(VALUE(SUBSTITUTE($BE353:$AAL353,"B",""))),FALSE),IF(ISNUMBER(VALUE(SUBSTITUTE($BE353:$AAL353,"B",""))),1,0),0)))</f>
        <v>3</v>
      </c>
      <c r="AF353" t="str">
        <f t="shared" si="1513"/>
        <v>C5</v>
      </c>
      <c r="AG353" t="str">
        <f t="shared" si="1514"/>
        <v>B5</v>
      </c>
      <c r="AH353" t="str">
        <f t="shared" ref="AH353:AH356" si="1568">IF(AI352+AJ352&gt;31,REPLACE(AH352,LEN(AH352),1,VALUE(RIGHT(AH352,1))+1),AH352)</f>
        <v>A6.1</v>
      </c>
      <c r="AI353" s="73" cm="1">
        <f t="array" ref="AI353">IF(COUNTIFS(AH$341:AH353,AH353)=1,"1",VALUE(SUBSTITUTE(INDEX(AI:AI,_xlfn.XMATCH(AH353,AH$1:AH352,0,-1)),"A",""))+INDEX(AJ:AJ,_xlfn.XMATCH(AH353,AH$1:AH352,0,-1))+1)</f>
        <v>4</v>
      </c>
      <c r="AJ353" s="73" cm="1">
        <f t="array" ref="AJ353">SUM(IF(ISNUMBER(FIND("TmDo",$BE$1:$AAL$1)),IF(IFERROR(ISNUMBER(VALUE(SUBSTITUTE($BE353:$AAL353,"B",""))),FALSE),IF(ISNUMBER(VALUE(SUBSTITUTE($BE353:$AAL353,"B",""))),1,0),0)))</f>
        <v>2</v>
      </c>
      <c r="AK353" t="str">
        <f t="shared" si="1515"/>
        <v>4A</v>
      </c>
      <c r="AL353" t="str">
        <f t="shared" si="1516"/>
        <v>4B</v>
      </c>
      <c r="AM353" t="s">
        <v>150</v>
      </c>
      <c r="AP353" t="s">
        <v>2119</v>
      </c>
      <c r="AQ353" t="s">
        <v>2137</v>
      </c>
      <c r="AT353" t="s">
        <v>139</v>
      </c>
      <c r="AU353" t="s">
        <v>140</v>
      </c>
      <c r="BE353" s="27" t="str">
        <f t="shared" ref="BE353" si="1569">CONCATENATE("XT",U353)</f>
        <v>XT4</v>
      </c>
      <c r="BF353" t="str">
        <f t="shared" ref="BF353" si="1570">CONCATENATE("C",REPLACE(AF353,1,1,"")+1)</f>
        <v>C6</v>
      </c>
      <c r="BG353" t="str">
        <f t="shared" ref="BG353" si="1571">CONCATENATE("B",REPLACE(AG353,1,1,"")+1)</f>
        <v>B6</v>
      </c>
      <c r="BH353" t="str">
        <f t="shared" ref="BH353" si="1572">CONCATENATE("C",REPLACE(BF353,1,1,"")+1)</f>
        <v>C7</v>
      </c>
      <c r="BI353" t="str">
        <f t="shared" ref="BI353" si="1573">CONCATENATE("B",REPLACE(BG353,1,1,"")+1)</f>
        <v>B7</v>
      </c>
      <c r="BJ353" t="str">
        <f t="shared" ref="BJ353" si="1574">CONCATENATE("C",REPLACE(BH353,1,1,"")+1)</f>
        <v>C8</v>
      </c>
      <c r="BK353" t="str">
        <f t="shared" ref="BK353" si="1575">CONCATENATE("B",REPLACE(BI353,1,1,"")+1)</f>
        <v>B8</v>
      </c>
      <c r="BP353" t="str">
        <f t="shared" ref="BP353" si="1576">CONCATENATE(REPLACE(AK353,LEN(AK353),1,"")+1,"A")</f>
        <v>5A</v>
      </c>
      <c r="BQ353" t="str">
        <f t="shared" ref="BQ353" si="1577">CONCATENATE(REPLACE(AL353,LEN(AL353),1,"")+1,"B")</f>
        <v>5B</v>
      </c>
      <c r="BR353" t="str">
        <f t="shared" ref="BR353" si="1578">CONCATENATE(REPLACE(BP353,LEN(BP353),1,"")+1,"A")</f>
        <v>6A</v>
      </c>
      <c r="BS353" t="str">
        <f t="shared" ref="BS353" si="1579">CONCATENATE(REPLACE(BQ353,LEN(BQ353),1,"")+1,"B")</f>
        <v>6B</v>
      </c>
      <c r="BT353" t="str">
        <f t="shared" ref="BT353" si="1580">CONCATENATE("DI",REPLACE($AC353,1,3,""),"-",AF353)</f>
        <v>DI1-C5</v>
      </c>
      <c r="BU353" t="str">
        <f t="shared" ref="BU353" si="1581">CONCATENATE("DI",REPLACE($AC353,1,3,""),"-",AG353)</f>
        <v>DI1-B5</v>
      </c>
      <c r="BV353" t="str">
        <f t="shared" ref="BV353" si="1582">CONCATENATE("DI",REPLACE($AC353,1,3,""),"-",BF353)</f>
        <v>DI1-C6</v>
      </c>
      <c r="BW353" t="str">
        <f t="shared" ref="BW353" si="1583">CONCATENATE("DI",REPLACE($AC353,1,3,""),"-",BG353)</f>
        <v>DI1-B6</v>
      </c>
      <c r="BX353" t="str">
        <f t="shared" ref="BX353" si="1584">CONCATENATE("DI",REPLACE($AC353,1,3,""),"-",BH353)</f>
        <v>DI1-C7</v>
      </c>
      <c r="BY353" t="str">
        <f t="shared" ref="BY353" si="1585">CONCATENATE("DI",REPLACE($AC353,1,3,""),"-",BI353)</f>
        <v>DI1-B7</v>
      </c>
      <c r="BZ353" t="str">
        <f t="shared" ref="BZ353" si="1586">CONCATENATE("DI",REPLACE($AC353,1,3,""),"-",BJ353)</f>
        <v>DI1-C8</v>
      </c>
      <c r="CA353" t="str">
        <f t="shared" ref="CA353" si="1587">CONCATENATE("DI",REPLACE($AC353,1,3,""),"-",BK353)</f>
        <v>DI1-B8</v>
      </c>
      <c r="CB353" t="str">
        <f t="shared" ref="CB353" si="1588">CONCATENATE("DI",REPLACE($AC353,1,3,""),"-",BL353)</f>
        <v>DI1-</v>
      </c>
      <c r="CC353" t="str">
        <f t="shared" ref="CC353" si="1589">CONCATENATE("DI",REPLACE($AC353,1,3,""),"-",BM353)</f>
        <v>DI1-</v>
      </c>
      <c r="CD353" t="str">
        <f t="shared" ref="CD353" si="1590">CONCATENATE("DI",REPLACE($AC353,1,3,""),"-",BN353)</f>
        <v>DI1-</v>
      </c>
      <c r="CE353" t="str">
        <f t="shared" ref="CE353" si="1591">CONCATENATE("DI",REPLACE($AC353,1,3,""),"-",BO353)</f>
        <v>DI1-</v>
      </c>
      <c r="CF353" t="str">
        <f t="shared" ref="CF353" si="1592">CONCATENATE("DO",REPLACE($AH353,1,3,""),"-",AK353)</f>
        <v>DO1-4A</v>
      </c>
      <c r="CG353" t="str">
        <f t="shared" ref="CG353" si="1593">CONCATENATE("DO",REPLACE($AH353,1,3,""),"-",AL353)</f>
        <v>DO1-4B</v>
      </c>
      <c r="CH353" t="str">
        <f t="shared" ref="CH353" si="1594">CONCATENATE("DO",REPLACE($AH353,1,3,""),"-",BP353)</f>
        <v>DO1-5A</v>
      </c>
      <c r="CI353" t="str">
        <f t="shared" ref="CI353" si="1595">CONCATENATE("DO",REPLACE($AH353,1,3,""),"-",BQ353)</f>
        <v>DO1-5B</v>
      </c>
      <c r="CJ353" t="str">
        <f t="shared" ref="CJ353" si="1596">CONCATENATE("DO",REPLACE($AH353,1,3,""),"-",BR353)</f>
        <v>DO1-6A</v>
      </c>
      <c r="CK353" t="str">
        <f t="shared" ref="CK353" si="1597">CONCATENATE("DO",REPLACE($AH353,1,3,""),"-",BS353)</f>
        <v>DO1-6B</v>
      </c>
      <c r="CL353" t="str">
        <f t="shared" ref="CL353:CL355" si="1598">CONCATENATE("K",$U353,"-10")</f>
        <v>K4-10</v>
      </c>
      <c r="CM353" t="str">
        <f t="shared" ref="CM353:CM355" si="1599">CONCATENATE("K",$U353,"-03")</f>
        <v>K4-03</v>
      </c>
      <c r="CN353" t="str">
        <f t="shared" ref="CN353:CN355" si="1600">CONCATENATE("K",$U353,"-04")</f>
        <v>K4-04</v>
      </c>
      <c r="CO353" t="str">
        <f t="shared" ref="CO353:CO355" si="1601">CONCATENATE("K",$U353,"-01")</f>
        <v>K4-01</v>
      </c>
      <c r="CP353" t="str">
        <f t="shared" ref="CP353:CP355" si="1602">CONCATENATE("K",$U353,"-08")</f>
        <v>K4-08</v>
      </c>
      <c r="CQ353" t="str">
        <f t="shared" ref="CQ353:CQ355" si="1603">CONCATENATE("K",$U353,"-02")</f>
        <v>K4-02</v>
      </c>
      <c r="CR353" t="str">
        <f t="shared" ref="CR353:CR355" si="1604">CONCATENATE("K",$U353,"-09")</f>
        <v>K4-09</v>
      </c>
      <c r="CS353" t="str">
        <f t="shared" ref="CS353:CS355" si="1605">CONCATENATE("K",$U353,"-05")</f>
        <v>K4-05</v>
      </c>
      <c r="CT353" t="str">
        <f t="shared" ref="CT353:CT355" si="1606">CONCATENATE("K",$U353,"-11")</f>
        <v>K4-11</v>
      </c>
      <c r="CU353" t="str">
        <f t="shared" ref="CU353:CU355" si="1607">CONCATENATE($T353,"-M",$U353,"-A9")</f>
        <v>E2-M4-A9</v>
      </c>
      <c r="CV353" t="str">
        <f t="shared" ref="CV353:CV355" si="1608">CONCATENATE($T353,"-M",$U353,"-A7")</f>
        <v>E2-M4-A7</v>
      </c>
      <c r="CW353" t="str">
        <f t="shared" ref="CW353:CW355" si="1609">CONCATENATE($T353,"-M",$U353,"-A8")</f>
        <v>E2-M4-A8</v>
      </c>
      <c r="CX353" t="str">
        <f t="shared" ref="CX353:CX355" si="1610">CONCATENATE($T353,"-M",$U353,"-A6")</f>
        <v>E2-M4-A6</v>
      </c>
      <c r="CY353" t="str">
        <f t="shared" ref="CY353:CY355" si="1611">CONCATENATE($T353,"-M",$U353,"-A30")</f>
        <v>E2-M4-A30</v>
      </c>
      <c r="CZ353" t="str">
        <f t="shared" ref="CZ353" si="1612">CONCATENATE($T353,"-M",$U353,"-N")</f>
        <v>E2-M4-N</v>
      </c>
      <c r="DA353" t="str">
        <f t="shared" ref="DA353" si="1613">CONCATENATE($T353,"-A220-M",U353)</f>
        <v>E2-A220-M4</v>
      </c>
      <c r="DB353" t="str">
        <f t="shared" ref="DB353:DB355" si="1614">CONCATENATE($T353,"-M",$U353,"-XM01")</f>
        <v>E2-M4-XM01</v>
      </c>
      <c r="DC353" t="str">
        <f t="shared" ref="DC353:DC355" si="1615">CONCATENATE($T353,"-M",$U353,"-A1")</f>
        <v>E2-M4-A1</v>
      </c>
      <c r="DD353" t="str">
        <f t="shared" ref="DD353:DD355" si="1616">CONCATENATE($T353,"-M",$U353,"-A5")</f>
        <v>E2-M4-A5</v>
      </c>
      <c r="DE353" t="str">
        <f t="shared" ref="DE353:DE355" si="1617">CONCATENATE($T353,"-M",$U353,"-A11")</f>
        <v>E2-M4-A11</v>
      </c>
      <c r="DF353" t="str">
        <f t="shared" ref="DF353:DF355" si="1618">CONCATENATE($T353,"-M",$U353,"-A12")</f>
        <v>E2-M4-A12</v>
      </c>
      <c r="DG353" t="str">
        <f>CONCATENATE($T353,"-M",$U353,"-A19")</f>
        <v>E2-M4-A19</v>
      </c>
      <c r="DH353" t="str">
        <f>CONCATENATE($T353,"-M",$U353,"-A20")</f>
        <v>E2-M4-A20</v>
      </c>
      <c r="DI353" t="s">
        <v>142</v>
      </c>
      <c r="DJ353" t="s">
        <v>143</v>
      </c>
      <c r="DK353">
        <v>11</v>
      </c>
      <c r="DL353">
        <v>14</v>
      </c>
      <c r="DM353">
        <v>12</v>
      </c>
      <c r="DN353" t="s">
        <v>144</v>
      </c>
      <c r="DO353" t="s">
        <v>145</v>
      </c>
      <c r="DP353">
        <v>1</v>
      </c>
      <c r="DQ353">
        <v>2</v>
      </c>
      <c r="DR353">
        <v>3</v>
      </c>
      <c r="DS353">
        <v>4</v>
      </c>
      <c r="DT353">
        <v>5</v>
      </c>
      <c r="DU353">
        <v>6</v>
      </c>
      <c r="DV353">
        <v>7</v>
      </c>
      <c r="DW353">
        <v>8</v>
      </c>
      <c r="DX353">
        <v>9</v>
      </c>
      <c r="DY353">
        <v>10</v>
      </c>
      <c r="DZ353">
        <v>11</v>
      </c>
      <c r="EA353">
        <v>12</v>
      </c>
      <c r="EB353">
        <v>13</v>
      </c>
      <c r="EC353">
        <v>14</v>
      </c>
      <c r="ED353">
        <v>1</v>
      </c>
      <c r="EE353">
        <v>3</v>
      </c>
      <c r="EF353">
        <v>4</v>
      </c>
      <c r="EG353">
        <v>7</v>
      </c>
      <c r="EH353">
        <v>8</v>
      </c>
      <c r="EI353">
        <v>9</v>
      </c>
      <c r="EJ353">
        <v>10</v>
      </c>
      <c r="EK353">
        <v>13</v>
      </c>
      <c r="EL353">
        <v>15</v>
      </c>
      <c r="EM353">
        <v>16</v>
      </c>
      <c r="EN353">
        <v>16</v>
      </c>
      <c r="EO353">
        <v>22</v>
      </c>
      <c r="EP353">
        <v>23</v>
      </c>
      <c r="EQ353" s="16">
        <v>24</v>
      </c>
    </row>
    <row r="354" spans="1:610" x14ac:dyDescent="0.25">
      <c r="A354" s="62" t="s">
        <v>2109</v>
      </c>
      <c r="B354" t="s">
        <v>2094</v>
      </c>
      <c r="P354" t="s">
        <v>2738</v>
      </c>
      <c r="T354" s="27" t="s">
        <v>2117</v>
      </c>
      <c r="U354">
        <v>5</v>
      </c>
      <c r="V354" t="s">
        <v>2139</v>
      </c>
      <c r="Y354" s="63"/>
      <c r="AC354" t="str">
        <f t="shared" si="1567"/>
        <v>A5.1</v>
      </c>
      <c r="AD354" s="46" cm="1">
        <f t="array" ref="AD354">IF(COUNTIFS(AC$341:AC354,AC354)=1,"1",VALUE(SUBSTITUTE(INDEX(AD:AD,_xlfn.XMATCH(AC354,AC$1:AC353,0,-1)),"A",""))+INDEX(AE:AE,_xlfn.XMATCH(AC354,AC$1:AC353,0,-1))+1)</f>
        <v>9</v>
      </c>
      <c r="AE354" s="46" cm="1">
        <f t="array" ref="AE354">SUM(IF(ISNUMBER(FIND("TmDi",$BE$1:$AAL$1)),IF(IFERROR(ISNUMBER(VALUE(SUBSTITUTE($BE354:$AAL354,"B",""))),FALSE),IF(ISNUMBER(VALUE(SUBSTITUTE($BE354:$AAL354,"B",""))),1,0),0)))</f>
        <v>3</v>
      </c>
      <c r="AF354" t="str">
        <f t="shared" si="1513"/>
        <v>C9</v>
      </c>
      <c r="AG354" t="str">
        <f t="shared" si="1514"/>
        <v>B9</v>
      </c>
      <c r="AH354" t="str">
        <f t="shared" si="1568"/>
        <v>A6.1</v>
      </c>
      <c r="AI354" s="73" cm="1">
        <f t="array" ref="AI354">IF(COUNTIFS(AH$341:AH354,AH354)=1,"1",VALUE(SUBSTITUTE(INDEX(AI:AI,_xlfn.XMATCH(AH354,AH$1:AH353,0,-1)),"A",""))+INDEX(AJ:AJ,_xlfn.XMATCH(AH354,AH$1:AH353,0,-1))+1)</f>
        <v>7</v>
      </c>
      <c r="AJ354" s="73" cm="1">
        <f t="array" ref="AJ354">SUM(IF(ISNUMBER(FIND("TmDo",$BE$1:$AAL$1)),IF(IFERROR(ISNUMBER(VALUE(SUBSTITUTE($BE354:$AAL354,"B",""))),FALSE),IF(ISNUMBER(VALUE(SUBSTITUTE($BE354:$AAL354,"B",""))),1,0),0)))</f>
        <v>2</v>
      </c>
      <c r="AK354" t="str">
        <f t="shared" si="1515"/>
        <v>7A</v>
      </c>
      <c r="AL354" t="str">
        <f t="shared" si="1516"/>
        <v>7B</v>
      </c>
      <c r="AM354" t="s">
        <v>155</v>
      </c>
      <c r="AP354" t="s">
        <v>2119</v>
      </c>
      <c r="AQ354" t="s">
        <v>2137</v>
      </c>
      <c r="AT354" t="s">
        <v>139</v>
      </c>
      <c r="AU354" t="s">
        <v>140</v>
      </c>
      <c r="BE354" s="27" t="str">
        <f t="shared" ref="BE354:BE355" si="1619">CONCATENATE("XT",U354)</f>
        <v>XT5</v>
      </c>
      <c r="BF354" t="str">
        <f t="shared" ref="BF354:BF355" si="1620">CONCATENATE("C",REPLACE(AF354,1,1,"")+1)</f>
        <v>C10</v>
      </c>
      <c r="BG354" t="str">
        <f t="shared" ref="BG354:BG355" si="1621">CONCATENATE("B",REPLACE(AG354,1,1,"")+1)</f>
        <v>B10</v>
      </c>
      <c r="BH354" t="str">
        <f t="shared" ref="BH354:BH355" si="1622">CONCATENATE("C",REPLACE(BF354,1,1,"")+1)</f>
        <v>C11</v>
      </c>
      <c r="BI354" t="str">
        <f t="shared" ref="BI354:BI355" si="1623">CONCATENATE("B",REPLACE(BG354,1,1,"")+1)</f>
        <v>B11</v>
      </c>
      <c r="BJ354" t="str">
        <f t="shared" ref="BJ354:BJ355" si="1624">CONCATENATE("C",REPLACE(BH354,1,1,"")+1)</f>
        <v>C12</v>
      </c>
      <c r="BK354" t="str">
        <f t="shared" ref="BK354:BK355" si="1625">CONCATENATE("B",REPLACE(BI354,1,1,"")+1)</f>
        <v>B12</v>
      </c>
      <c r="BP354" t="str">
        <f t="shared" ref="BP354" si="1626">CONCATENATE(REPLACE(AK354,LEN(AK354),1,"")+1,"A")</f>
        <v>8A</v>
      </c>
      <c r="BQ354" t="str">
        <f t="shared" ref="BQ354" si="1627">CONCATENATE(REPLACE(AL354,LEN(AL354),1,"")+1,"B")</f>
        <v>8B</v>
      </c>
      <c r="BR354" t="str">
        <f t="shared" ref="BR354" si="1628">CONCATENATE(REPLACE(BP354,LEN(BP354),1,"")+1,"A")</f>
        <v>9A</v>
      </c>
      <c r="BS354" t="str">
        <f t="shared" ref="BS354" si="1629">CONCATENATE(REPLACE(BQ354,LEN(BQ354),1,"")+1,"B")</f>
        <v>9B</v>
      </c>
      <c r="BT354" t="str">
        <f t="shared" ref="BT354:BT355" si="1630">CONCATENATE("DI",REPLACE($AC354,1,3,""),"-",AF354)</f>
        <v>DI1-C9</v>
      </c>
      <c r="BU354" t="str">
        <f t="shared" ref="BU354:BU355" si="1631">CONCATENATE("DI",REPLACE($AC354,1,3,""),"-",AG354)</f>
        <v>DI1-B9</v>
      </c>
      <c r="BV354" t="str">
        <f t="shared" ref="BV354:BV355" si="1632">CONCATENATE("DI",REPLACE($AC354,1,3,""),"-",BF354)</f>
        <v>DI1-C10</v>
      </c>
      <c r="BW354" t="str">
        <f t="shared" ref="BW354:BW355" si="1633">CONCATENATE("DI",REPLACE($AC354,1,3,""),"-",BG354)</f>
        <v>DI1-B10</v>
      </c>
      <c r="BX354" t="str">
        <f t="shared" ref="BX354:BX355" si="1634">CONCATENATE("DI",REPLACE($AC354,1,3,""),"-",BH354)</f>
        <v>DI1-C11</v>
      </c>
      <c r="BY354" t="str">
        <f t="shared" ref="BY354:BY355" si="1635">CONCATENATE("DI",REPLACE($AC354,1,3,""),"-",BI354)</f>
        <v>DI1-B11</v>
      </c>
      <c r="BZ354" t="str">
        <f t="shared" ref="BZ354:BZ355" si="1636">CONCATENATE("DI",REPLACE($AC354,1,3,""),"-",BJ354)</f>
        <v>DI1-C12</v>
      </c>
      <c r="CA354" t="str">
        <f t="shared" ref="CA354:CA355" si="1637">CONCATENATE("DI",REPLACE($AC354,1,3,""),"-",BK354)</f>
        <v>DI1-B12</v>
      </c>
      <c r="CB354" t="str">
        <f t="shared" ref="CB354:CB355" si="1638">CONCATENATE("DI",REPLACE($AC354,1,3,""),"-",BL354)</f>
        <v>DI1-</v>
      </c>
      <c r="CC354" t="str">
        <f t="shared" ref="CC354:CC355" si="1639">CONCATENATE("DI",REPLACE($AC354,1,3,""),"-",BM354)</f>
        <v>DI1-</v>
      </c>
      <c r="CD354" t="str">
        <f t="shared" ref="CD354:CD355" si="1640">CONCATENATE("DI",REPLACE($AC354,1,3,""),"-",BN354)</f>
        <v>DI1-</v>
      </c>
      <c r="CE354" t="str">
        <f t="shared" ref="CE354:CE355" si="1641">CONCATENATE("DI",REPLACE($AC354,1,3,""),"-",BO354)</f>
        <v>DI1-</v>
      </c>
      <c r="CF354" t="str">
        <f t="shared" ref="CF354:CF355" si="1642">CONCATENATE("DO",REPLACE($AH354,1,3,""),"-",AK354)</f>
        <v>DO1-7A</v>
      </c>
      <c r="CG354" t="str">
        <f t="shared" ref="CG354:CG355" si="1643">CONCATENATE("DO",REPLACE($AH354,1,3,""),"-",AL354)</f>
        <v>DO1-7B</v>
      </c>
      <c r="CH354" t="str">
        <f t="shared" ref="CH354:CH355" si="1644">CONCATENATE("DO",REPLACE($AH354,1,3,""),"-",BP354)</f>
        <v>DO1-8A</v>
      </c>
      <c r="CI354" t="str">
        <f t="shared" ref="CI354:CI355" si="1645">CONCATENATE("DO",REPLACE($AH354,1,3,""),"-",BQ354)</f>
        <v>DO1-8B</v>
      </c>
      <c r="CJ354" t="str">
        <f t="shared" ref="CJ354:CJ355" si="1646">CONCATENATE("DO",REPLACE($AH354,1,3,""),"-",BR354)</f>
        <v>DO1-9A</v>
      </c>
      <c r="CK354" t="str">
        <f t="shared" ref="CK354:CK355" si="1647">CONCATENATE("DO",REPLACE($AH354,1,3,""),"-",BS354)</f>
        <v>DO1-9B</v>
      </c>
      <c r="CL354" t="str">
        <f t="shared" si="1598"/>
        <v>K5-10</v>
      </c>
      <c r="CM354" t="str">
        <f t="shared" si="1599"/>
        <v>K5-03</v>
      </c>
      <c r="CN354" t="str">
        <f t="shared" si="1600"/>
        <v>K5-04</v>
      </c>
      <c r="CO354" t="str">
        <f t="shared" si="1601"/>
        <v>K5-01</v>
      </c>
      <c r="CP354" t="str">
        <f t="shared" si="1602"/>
        <v>K5-08</v>
      </c>
      <c r="CQ354" t="str">
        <f t="shared" si="1603"/>
        <v>K5-02</v>
      </c>
      <c r="CR354" t="str">
        <f t="shared" si="1604"/>
        <v>K5-09</v>
      </c>
      <c r="CS354" t="str">
        <f t="shared" si="1605"/>
        <v>K5-05</v>
      </c>
      <c r="CT354" t="str">
        <f t="shared" si="1606"/>
        <v>K5-11</v>
      </c>
      <c r="CU354" t="str">
        <f t="shared" si="1607"/>
        <v>E2-M5-A9</v>
      </c>
      <c r="CV354" t="str">
        <f t="shared" si="1608"/>
        <v>E2-M5-A7</v>
      </c>
      <c r="CW354" t="str">
        <f t="shared" si="1609"/>
        <v>E2-M5-A8</v>
      </c>
      <c r="CX354" t="str">
        <f t="shared" si="1610"/>
        <v>E2-M5-A6</v>
      </c>
      <c r="CY354" t="str">
        <f t="shared" si="1611"/>
        <v>E2-M5-A30</v>
      </c>
      <c r="CZ354" t="str">
        <f t="shared" ref="CZ354:CZ355" si="1648">CONCATENATE($T354,"-M",$U354,"-N")</f>
        <v>E2-M5-N</v>
      </c>
      <c r="DA354" t="str">
        <f t="shared" ref="DA354:DA355" si="1649">CONCATENATE($T354,"-A220-M",U354)</f>
        <v>E2-A220-M5</v>
      </c>
      <c r="DB354" t="str">
        <f t="shared" si="1614"/>
        <v>E2-M5-XM01</v>
      </c>
      <c r="DC354" t="str">
        <f t="shared" si="1615"/>
        <v>E2-M5-A1</v>
      </c>
      <c r="DD354" t="str">
        <f t="shared" si="1616"/>
        <v>E2-M5-A5</v>
      </c>
      <c r="DE354" t="str">
        <f t="shared" si="1617"/>
        <v>E2-M5-A11</v>
      </c>
      <c r="DF354" t="str">
        <f t="shared" si="1618"/>
        <v>E2-M5-A12</v>
      </c>
      <c r="DG354" t="str">
        <f>CONCATENATE($T354,"-M",$U354,"-A19")</f>
        <v>E2-M5-A19</v>
      </c>
      <c r="DH354" t="str">
        <f>CONCATENATE($T354,"-M",$U354,"-A20")</f>
        <v>E2-M5-A20</v>
      </c>
      <c r="DI354" t="s">
        <v>142</v>
      </c>
      <c r="DJ354" t="s">
        <v>143</v>
      </c>
      <c r="DK354">
        <v>11</v>
      </c>
      <c r="DL354">
        <v>14</v>
      </c>
      <c r="DM354">
        <v>12</v>
      </c>
      <c r="DN354" t="s">
        <v>144</v>
      </c>
      <c r="DO354" t="s">
        <v>145</v>
      </c>
      <c r="DP354">
        <v>1</v>
      </c>
      <c r="DQ354">
        <v>2</v>
      </c>
      <c r="DR354">
        <v>3</v>
      </c>
      <c r="DS354">
        <v>4</v>
      </c>
      <c r="DT354">
        <v>5</v>
      </c>
      <c r="DU354">
        <v>6</v>
      </c>
      <c r="DV354">
        <v>7</v>
      </c>
      <c r="DW354">
        <v>8</v>
      </c>
      <c r="DX354">
        <v>9</v>
      </c>
      <c r="DY354">
        <v>10</v>
      </c>
      <c r="DZ354">
        <v>11</v>
      </c>
      <c r="EA354">
        <v>12</v>
      </c>
      <c r="EB354">
        <v>13</v>
      </c>
      <c r="EC354">
        <v>14</v>
      </c>
      <c r="ED354">
        <v>1</v>
      </c>
      <c r="EE354">
        <v>3</v>
      </c>
      <c r="EF354">
        <v>4</v>
      </c>
      <c r="EG354">
        <v>7</v>
      </c>
      <c r="EH354">
        <v>8</v>
      </c>
      <c r="EI354">
        <v>9</v>
      </c>
      <c r="EJ354">
        <v>10</v>
      </c>
      <c r="EK354">
        <v>13</v>
      </c>
      <c r="EL354">
        <v>15</v>
      </c>
      <c r="EM354">
        <v>16</v>
      </c>
      <c r="EN354">
        <v>16</v>
      </c>
      <c r="EO354">
        <v>22</v>
      </c>
      <c r="EP354">
        <v>23</v>
      </c>
      <c r="EQ354" s="16">
        <v>24</v>
      </c>
    </row>
    <row r="355" spans="1:610" ht="15.75" thickBot="1" x14ac:dyDescent="0.3">
      <c r="A355" s="62" t="s">
        <v>2108</v>
      </c>
      <c r="B355" t="s">
        <v>2095</v>
      </c>
      <c r="P355" t="s">
        <v>2738</v>
      </c>
      <c r="T355" s="27" t="s">
        <v>2117</v>
      </c>
      <c r="U355">
        <v>6</v>
      </c>
      <c r="V355" t="s">
        <v>2141</v>
      </c>
      <c r="Y355" s="63"/>
      <c r="AC355" t="str">
        <f t="shared" si="1567"/>
        <v>A5.1</v>
      </c>
      <c r="AD355" s="46" cm="1">
        <f t="array" ref="AD355">IF(COUNTIFS(AC$341:AC355,AC355)=1,"1",VALUE(SUBSTITUTE(INDEX(AD:AD,_xlfn.XMATCH(AC355,AC$1:AC354,0,-1)),"A",""))+INDEX(AE:AE,_xlfn.XMATCH(AC355,AC$1:AC354,0,-1))+1)</f>
        <v>13</v>
      </c>
      <c r="AE355" s="46" cm="1">
        <f t="array" ref="AE355">SUM(IF(ISNUMBER(FIND("TmDi",$BE$1:$AAL$1)),IF(IFERROR(ISNUMBER(VALUE(SUBSTITUTE($BE355:$AAL355,"B",""))),FALSE),IF(ISNUMBER(VALUE(SUBSTITUTE($BE355:$AAL355,"B",""))),1,0),0)))</f>
        <v>3</v>
      </c>
      <c r="AF355" t="str">
        <f t="shared" si="1513"/>
        <v>C13</v>
      </c>
      <c r="AG355" t="str">
        <f t="shared" si="1514"/>
        <v>B13</v>
      </c>
      <c r="AH355" t="str">
        <f t="shared" si="1568"/>
        <v>A6.1</v>
      </c>
      <c r="AI355" s="73" cm="1">
        <f t="array" ref="AI355">IF(COUNTIFS(AH$341:AH355,AH355)=1,"1",VALUE(SUBSTITUTE(INDEX(AI:AI,_xlfn.XMATCH(AH355,AH$1:AH354,0,-1)),"A",""))+INDEX(AJ:AJ,_xlfn.XMATCH(AH355,AH$1:AH354,0,-1))+1)</f>
        <v>10</v>
      </c>
      <c r="AJ355" s="73" cm="1">
        <f t="array" ref="AJ355">SUM(IF(ISNUMBER(FIND("TmDo",$BE$1:$AAL$1)),IF(IFERROR(ISNUMBER(VALUE(SUBSTITUTE($BE355:$AAL355,"B",""))),FALSE),IF(ISNUMBER(VALUE(SUBSTITUTE($BE355:$AAL355,"B",""))),1,0),0)))</f>
        <v>2</v>
      </c>
      <c r="AK355" t="str">
        <f t="shared" si="1515"/>
        <v>10A</v>
      </c>
      <c r="AL355" t="str">
        <f t="shared" si="1516"/>
        <v>10B</v>
      </c>
      <c r="AM355" t="s">
        <v>158</v>
      </c>
      <c r="AP355" t="s">
        <v>2119</v>
      </c>
      <c r="AQ355" t="s">
        <v>2137</v>
      </c>
      <c r="AT355" t="s">
        <v>139</v>
      </c>
      <c r="AU355" t="s">
        <v>140</v>
      </c>
      <c r="BE355" s="27" t="str">
        <f t="shared" si="1619"/>
        <v>XT6</v>
      </c>
      <c r="BF355" t="str">
        <f t="shared" si="1620"/>
        <v>C14</v>
      </c>
      <c r="BG355" t="str">
        <f t="shared" si="1621"/>
        <v>B14</v>
      </c>
      <c r="BH355" t="str">
        <f t="shared" si="1622"/>
        <v>C15</v>
      </c>
      <c r="BI355" t="str">
        <f t="shared" si="1623"/>
        <v>B15</v>
      </c>
      <c r="BJ355" t="str">
        <f t="shared" si="1624"/>
        <v>C16</v>
      </c>
      <c r="BK355" t="str">
        <f t="shared" si="1625"/>
        <v>B16</v>
      </c>
      <c r="BP355" t="str">
        <f t="shared" ref="BP355" si="1650">CONCATENATE(REPLACE(AK355,LEN(AK355),1,"")+1,"A")</f>
        <v>11A</v>
      </c>
      <c r="BQ355" t="str">
        <f t="shared" ref="BQ355" si="1651">CONCATENATE(REPLACE(AL355,LEN(AL355),1,"")+1,"B")</f>
        <v>11B</v>
      </c>
      <c r="BR355" t="str">
        <f t="shared" ref="BR355" si="1652">CONCATENATE(REPLACE(BP355,LEN(BP355),1,"")+1,"A")</f>
        <v>12A</v>
      </c>
      <c r="BS355" t="str">
        <f t="shared" ref="BS355" si="1653">CONCATENATE(REPLACE(BQ355,LEN(BQ355),1,"")+1,"B")</f>
        <v>12B</v>
      </c>
      <c r="BT355" t="str">
        <f t="shared" si="1630"/>
        <v>DI1-C13</v>
      </c>
      <c r="BU355" t="str">
        <f t="shared" si="1631"/>
        <v>DI1-B13</v>
      </c>
      <c r="BV355" t="str">
        <f t="shared" si="1632"/>
        <v>DI1-C14</v>
      </c>
      <c r="BW355" t="str">
        <f t="shared" si="1633"/>
        <v>DI1-B14</v>
      </c>
      <c r="BX355" t="str">
        <f t="shared" si="1634"/>
        <v>DI1-C15</v>
      </c>
      <c r="BY355" t="str">
        <f t="shared" si="1635"/>
        <v>DI1-B15</v>
      </c>
      <c r="BZ355" t="str">
        <f t="shared" si="1636"/>
        <v>DI1-C16</v>
      </c>
      <c r="CA355" t="str">
        <f t="shared" si="1637"/>
        <v>DI1-B16</v>
      </c>
      <c r="CB355" t="str">
        <f t="shared" si="1638"/>
        <v>DI1-</v>
      </c>
      <c r="CC355" t="str">
        <f t="shared" si="1639"/>
        <v>DI1-</v>
      </c>
      <c r="CD355" t="str">
        <f t="shared" si="1640"/>
        <v>DI1-</v>
      </c>
      <c r="CE355" t="str">
        <f t="shared" si="1641"/>
        <v>DI1-</v>
      </c>
      <c r="CF355" t="str">
        <f t="shared" si="1642"/>
        <v>DO1-10A</v>
      </c>
      <c r="CG355" t="str">
        <f t="shared" si="1643"/>
        <v>DO1-10B</v>
      </c>
      <c r="CH355" t="str">
        <f t="shared" si="1644"/>
        <v>DO1-11A</v>
      </c>
      <c r="CI355" t="str">
        <f t="shared" si="1645"/>
        <v>DO1-11B</v>
      </c>
      <c r="CJ355" t="str">
        <f t="shared" si="1646"/>
        <v>DO1-12A</v>
      </c>
      <c r="CK355" t="str">
        <f t="shared" si="1647"/>
        <v>DO1-12B</v>
      </c>
      <c r="CL355" t="str">
        <f t="shared" si="1598"/>
        <v>K6-10</v>
      </c>
      <c r="CM355" t="str">
        <f t="shared" si="1599"/>
        <v>K6-03</v>
      </c>
      <c r="CN355" t="str">
        <f t="shared" si="1600"/>
        <v>K6-04</v>
      </c>
      <c r="CO355" t="str">
        <f t="shared" si="1601"/>
        <v>K6-01</v>
      </c>
      <c r="CP355" t="str">
        <f t="shared" si="1602"/>
        <v>K6-08</v>
      </c>
      <c r="CQ355" t="str">
        <f t="shared" si="1603"/>
        <v>K6-02</v>
      </c>
      <c r="CR355" t="str">
        <f t="shared" si="1604"/>
        <v>K6-09</v>
      </c>
      <c r="CS355" t="str">
        <f t="shared" si="1605"/>
        <v>K6-05</v>
      </c>
      <c r="CT355" t="str">
        <f t="shared" si="1606"/>
        <v>K6-11</v>
      </c>
      <c r="CU355" t="str">
        <f t="shared" si="1607"/>
        <v>E2-M6-A9</v>
      </c>
      <c r="CV355" t="str">
        <f t="shared" si="1608"/>
        <v>E2-M6-A7</v>
      </c>
      <c r="CW355" t="str">
        <f t="shared" si="1609"/>
        <v>E2-M6-A8</v>
      </c>
      <c r="CX355" t="str">
        <f t="shared" si="1610"/>
        <v>E2-M6-A6</v>
      </c>
      <c r="CY355" t="str">
        <f t="shared" si="1611"/>
        <v>E2-M6-A30</v>
      </c>
      <c r="CZ355" t="str">
        <f t="shared" si="1648"/>
        <v>E2-M6-N</v>
      </c>
      <c r="DA355" t="str">
        <f t="shared" si="1649"/>
        <v>E2-A220-M6</v>
      </c>
      <c r="DB355" t="str">
        <f t="shared" si="1614"/>
        <v>E2-M6-XM01</v>
      </c>
      <c r="DC355" t="str">
        <f t="shared" si="1615"/>
        <v>E2-M6-A1</v>
      </c>
      <c r="DD355" t="str">
        <f t="shared" si="1616"/>
        <v>E2-M6-A5</v>
      </c>
      <c r="DE355" t="str">
        <f t="shared" si="1617"/>
        <v>E2-M6-A11</v>
      </c>
      <c r="DF355" t="str">
        <f t="shared" si="1618"/>
        <v>E2-M6-A12</v>
      </c>
      <c r="DG355" t="str">
        <f>CONCATENATE($T355,"-M",$U355,"-A19")</f>
        <v>E2-M6-A19</v>
      </c>
      <c r="DH355" t="str">
        <f>CONCATENATE($T355,"-M",$U355,"-A20")</f>
        <v>E2-M6-A20</v>
      </c>
      <c r="DI355" t="s">
        <v>142</v>
      </c>
      <c r="DJ355" t="s">
        <v>143</v>
      </c>
      <c r="DK355">
        <v>11</v>
      </c>
      <c r="DL355">
        <v>14</v>
      </c>
      <c r="DM355">
        <v>12</v>
      </c>
      <c r="DN355" t="s">
        <v>144</v>
      </c>
      <c r="DO355" t="s">
        <v>145</v>
      </c>
      <c r="DP355">
        <v>1</v>
      </c>
      <c r="DQ355">
        <v>2</v>
      </c>
      <c r="DR355">
        <v>3</v>
      </c>
      <c r="DS355">
        <v>4</v>
      </c>
      <c r="DT355">
        <v>5</v>
      </c>
      <c r="DU355">
        <v>6</v>
      </c>
      <c r="DV355">
        <v>7</v>
      </c>
      <c r="DW355">
        <v>8</v>
      </c>
      <c r="DX355">
        <v>9</v>
      </c>
      <c r="DY355">
        <v>10</v>
      </c>
      <c r="DZ355">
        <v>11</v>
      </c>
      <c r="EA355">
        <v>12</v>
      </c>
      <c r="EB355">
        <v>13</v>
      </c>
      <c r="EC355">
        <v>14</v>
      </c>
      <c r="ED355">
        <v>1</v>
      </c>
      <c r="EE355">
        <v>3</v>
      </c>
      <c r="EF355">
        <v>4</v>
      </c>
      <c r="EG355">
        <v>7</v>
      </c>
      <c r="EH355">
        <v>8</v>
      </c>
      <c r="EI355">
        <v>9</v>
      </c>
      <c r="EJ355">
        <v>10</v>
      </c>
      <c r="EK355">
        <v>13</v>
      </c>
      <c r="EL355">
        <v>15</v>
      </c>
      <c r="EM355">
        <v>16</v>
      </c>
      <c r="EN355">
        <v>16</v>
      </c>
      <c r="EO355">
        <v>22</v>
      </c>
      <c r="EP355">
        <v>23</v>
      </c>
      <c r="EQ355" s="16">
        <v>24</v>
      </c>
    </row>
    <row r="356" spans="1:610" x14ac:dyDescent="0.25">
      <c r="A356" s="62" t="s">
        <v>2113</v>
      </c>
      <c r="B356" t="s">
        <v>2090</v>
      </c>
      <c r="P356" t="s">
        <v>1785</v>
      </c>
      <c r="T356" s="14" t="s">
        <v>2117</v>
      </c>
      <c r="U356">
        <v>7</v>
      </c>
      <c r="V356" t="s">
        <v>2142</v>
      </c>
      <c r="W356" t="s">
        <v>2144</v>
      </c>
      <c r="X356" t="s">
        <v>484</v>
      </c>
      <c r="Y356" s="63" cm="1">
        <f t="array" ref="Y356">IF(COUNTIFS($X$341:$X356,$X356)=1,"1",VALUE(SUBSTITUTE(INDEX(Y:Y,_xlfn.XMATCH($X356,$X$1:$X355,0,-1)),"A",""))+INDEX(Z:Z,_xlfn.XMATCH($X356,$X$1:$X355,0,-1))+1)</f>
        <v>4</v>
      </c>
      <c r="Z356" cm="1">
        <f t="array" ref="Z356">SUM(IF(ISNUMBER(FIND("TmAi",$BE$1:$AAL$1)),IF(IFERROR(ISODD(SUBSTITUTE($BE356:$AAL356,"A","")),FALSE),IF(ISODD(SUBSTITUTE($BE356:$AAL356,"A","")),1,0),0)))</f>
        <v>0</v>
      </c>
      <c r="AA356" t="str">
        <f>CONCATENATE($Y356*2-1,"A")</f>
        <v>7A</v>
      </c>
      <c r="AB356" t="str">
        <f>CONCATENATE($Y356*2-1,"B")</f>
        <v>7B</v>
      </c>
      <c r="AC356" t="str">
        <f t="shared" si="1567"/>
        <v>A5.1</v>
      </c>
      <c r="AD356" s="46" cm="1">
        <f t="array" ref="AD356">IF(COUNTIFS(AC$341:AC356,AC356)=1,"1",VALUE(SUBSTITUTE(INDEX(AD:AD,_xlfn.XMATCH(AC356,AC$1:AC355,0,-1)),"A",""))+INDEX(AE:AE,_xlfn.XMATCH(AC356,AC$1:AC355,0,-1))+1)</f>
        <v>17</v>
      </c>
      <c r="AE356" s="46" cm="1">
        <f t="array" ref="AE356">SUM(IF(ISNUMBER(FIND("TmDi",$BE$1:$AAL$1)),IF(IFERROR(ISNUMBER(VALUE(SUBSTITUTE($BE356:$AAL356,"B",""))),FALSE),IF(ISNUMBER(VALUE(SUBSTITUTE($BE356:$AAL356,"B",""))),1,0),0)))</f>
        <v>4</v>
      </c>
      <c r="AF356" t="str">
        <f>CONCATENATE("C",$AD356)</f>
        <v>C17</v>
      </c>
      <c r="AG356" t="str">
        <f>CONCATENATE("B",$AD356)</f>
        <v>B17</v>
      </c>
      <c r="AH356" t="str">
        <f t="shared" si="1568"/>
        <v>A6.1</v>
      </c>
      <c r="AI356" s="73" cm="1">
        <f t="array" ref="AI356">IF(COUNTIFS(AH$341:AH356,AH356)=1,"1",VALUE(SUBSTITUTE(INDEX(AI:AI,_xlfn.XMATCH(AH356,AH$1:AH355,0,-1)),"A",""))+INDEX(AJ:AJ,_xlfn.XMATCH(AH356,AH$1:AH355,0,-1))+1)</f>
        <v>13</v>
      </c>
      <c r="AJ356" s="73" cm="1">
        <f t="array" ref="AJ356">SUM(IF(ISNUMBER(FIND("TmDo",$BE$1:$AAL$1)),IF(IFERROR(ISNUMBER(VALUE(SUBSTITUTE($BE356:$AAL356,"B",""))),FALSE),IF(ISNUMBER(VALUE(SUBSTITUTE($BE356:$AAL356,"B",""))),1,0),0)))</f>
        <v>1</v>
      </c>
      <c r="AK356" t="str">
        <f t="shared" si="1515"/>
        <v>13A</v>
      </c>
      <c r="AL356" t="str">
        <f t="shared" si="1516"/>
        <v>13B</v>
      </c>
      <c r="AM356" t="s">
        <v>161</v>
      </c>
      <c r="AP356" t="s">
        <v>2119</v>
      </c>
      <c r="AQ356" t="s">
        <v>2137</v>
      </c>
      <c r="AS356" t="s">
        <v>396</v>
      </c>
      <c r="AT356" t="s">
        <v>139</v>
      </c>
      <c r="AU356" t="s">
        <v>140</v>
      </c>
      <c r="GT356" s="25" t="str">
        <f t="shared" ref="GT356" si="1654">CONCATENATE("XT",U356)</f>
        <v>XT7</v>
      </c>
      <c r="GU356" s="12" t="str">
        <f>CONCATENATE("C",REPLACE($AF356,1,1,"")+1)</f>
        <v>C18</v>
      </c>
      <c r="GV356" s="12" t="str">
        <f>CONCATENATE("B",REPLACE($AG356,1,1,"")+1)</f>
        <v>B18</v>
      </c>
      <c r="GW356" s="12" t="str">
        <f t="shared" ref="GW356" si="1655">CONCATENATE("C",REPLACE(GU356,1,1,"")+1)</f>
        <v>C19</v>
      </c>
      <c r="GX356" s="12" t="str">
        <f t="shared" ref="GX356" si="1656">CONCATENATE("B",REPLACE(GV356,1,1,"")+1)</f>
        <v>B19</v>
      </c>
      <c r="GY356" s="12" t="str">
        <f t="shared" ref="GY356" si="1657">CONCATENATE("C",REPLACE(GW356,1,1,"")+1)</f>
        <v>C20</v>
      </c>
      <c r="GZ356" s="12" t="str">
        <f t="shared" ref="GZ356" si="1658">CONCATENATE("B",REPLACE(GX356,1,1,"")+1)</f>
        <v>B20</v>
      </c>
      <c r="HA356" s="12" t="str">
        <f t="shared" ref="HA356" si="1659">CONCATENATE("C",REPLACE(GY356,1,1,"")+1)</f>
        <v>C21</v>
      </c>
      <c r="HB356" s="12" t="str">
        <f t="shared" ref="HB356" si="1660">CONCATENATE("B",REPLACE(GZ356,1,1,"")+1)</f>
        <v>B21</v>
      </c>
      <c r="HC356" s="12"/>
      <c r="HD356" s="12"/>
      <c r="HE356" s="12" t="str">
        <f>CONCATENATE(REPLACE(AK356,LEN(AK356),1,"")+1,"A")</f>
        <v>14A</v>
      </c>
      <c r="HF356" s="12" t="str">
        <f>CONCATENATE(REPLACE(AL356,LEN(AL356),1,"")+1,"B")</f>
        <v>14B</v>
      </c>
      <c r="HG356" s="12" t="str">
        <f>CONCATENATE("AI",REPLACE($X356,1,3,""),"-",AA356)</f>
        <v>AI3-7A</v>
      </c>
      <c r="HH356" s="12" t="str">
        <f>CONCATENATE("AI",REPLACE($X356,1,3,""),"-",AB356)</f>
        <v>AI3-7B</v>
      </c>
      <c r="HI356" s="12" t="str">
        <f>CONCATENATE("DI",REPLACE($AC356,1,3,""),"-",AF356)</f>
        <v>DI1-C17</v>
      </c>
      <c r="HJ356" s="12" t="str">
        <f>CONCATENATE("DI",REPLACE($AC356,1,3,""),"-",AG356)</f>
        <v>DI1-B17</v>
      </c>
      <c r="HK356" s="12" t="str">
        <f t="shared" ref="HK356:HT357" si="1661">CONCATENATE("DI",REPLACE($AC356,1,3,""),"-",GU356)</f>
        <v>DI1-C18</v>
      </c>
      <c r="HL356" s="12" t="str">
        <f t="shared" si="1661"/>
        <v>DI1-B18</v>
      </c>
      <c r="HM356" s="12" t="str">
        <f t="shared" si="1661"/>
        <v>DI1-C19</v>
      </c>
      <c r="HN356" s="12" t="str">
        <f t="shared" si="1661"/>
        <v>DI1-B19</v>
      </c>
      <c r="HO356" s="12" t="str">
        <f t="shared" si="1661"/>
        <v>DI1-C20</v>
      </c>
      <c r="HP356" s="12" t="str">
        <f t="shared" si="1661"/>
        <v>DI1-B20</v>
      </c>
      <c r="HQ356" s="12" t="str">
        <f t="shared" si="1661"/>
        <v>DI1-C21</v>
      </c>
      <c r="HR356" s="12" t="str">
        <f t="shared" si="1661"/>
        <v>DI1-B21</v>
      </c>
      <c r="HS356" s="12" t="str">
        <f t="shared" si="1661"/>
        <v>DI1-</v>
      </c>
      <c r="HT356" s="12" t="str">
        <f t="shared" si="1661"/>
        <v>DI1-</v>
      </c>
      <c r="HU356" s="12" t="str">
        <f>CONCATENATE("DO",REPLACE($AH356,1,3,""),"-",AK356)</f>
        <v>DO1-13A</v>
      </c>
      <c r="HV356" s="12" t="str">
        <f>CONCATENATE("DO",REPLACE($AH356,1,3,""),"-",AL356)</f>
        <v>DO1-13B</v>
      </c>
      <c r="HW356" s="12" t="str">
        <f>CONCATENATE("DO",REPLACE($AH356,1,3,""),"-",HE356)</f>
        <v>DO1-14A</v>
      </c>
      <c r="HX356" s="12" t="str">
        <f>CONCATENATE("DO",REPLACE($AH356,1,3,""),"-",HF356)</f>
        <v>DO1-14B</v>
      </c>
      <c r="HY356" s="12" t="str">
        <f>CONCATENATE("K",$U356,"-01")</f>
        <v>K7-01</v>
      </c>
      <c r="HZ356" s="12" t="str">
        <f>CONCATENATE("K",$U356,"-02")</f>
        <v>K7-02</v>
      </c>
      <c r="IA356" s="12" t="str">
        <f>CONCATENATE("K",$U356,"-03")</f>
        <v>K7-03</v>
      </c>
      <c r="IB356" s="12" t="str">
        <f>CONCATENATE("K",$U356,"-04")</f>
        <v>K7-04</v>
      </c>
      <c r="IC356" s="12" t="str">
        <f>CONCATENATE("K",$U356,"-05")</f>
        <v>K7-05</v>
      </c>
      <c r="ID356" s="12" t="str">
        <f>CONCATENATE("K",$U356,"-06")</f>
        <v>K7-06</v>
      </c>
      <c r="IE356" s="12" t="str">
        <f>CONCATENATE("K",$U356,"-07")</f>
        <v>K7-07</v>
      </c>
      <c r="IF356" s="12" t="str">
        <f>CONCATENATE("K",$U356,"-08")</f>
        <v>K7-08</v>
      </c>
      <c r="IG356" s="12" t="str">
        <f>CONCATENATE($T356,"-M",$U356,"-AMS-12")</f>
        <v>E2-M7-AMS-12</v>
      </c>
      <c r="IH356" s="12" t="str">
        <f>CONCATENATE($T356,"-M",$U356,"-AMS-10")</f>
        <v>E2-M7-AMS-10</v>
      </c>
      <c r="II356" s="12" t="str">
        <f>CONCATENATE($T356,"-M",$U356,"-AMS-11")</f>
        <v>E2-M7-AMS-11</v>
      </c>
      <c r="IJ356" s="12" t="str">
        <f>CONCATENATE($T356,"-M",$U356,"-AMS-13")</f>
        <v>E2-M7-AMS-13</v>
      </c>
      <c r="IK356" s="12" t="str">
        <f>CONCATENATE($T356,"-M",$U356,"-AMS-9")</f>
        <v>E2-M7-AMS-9</v>
      </c>
      <c r="IL356" s="12" t="str">
        <f>CONCATENATE($T356,"-M",$U356,"-AMS-7")</f>
        <v>E2-M7-AMS-7</v>
      </c>
      <c r="IM356" s="12" t="str">
        <f>CONCATENATE($T356,"-M",$U356,"-AMS-18")</f>
        <v>E2-M7-AMS-18</v>
      </c>
      <c r="IN356" s="12" t="str">
        <f>CONCATENATE($T356,"-M",$U356,"-AMS-20")</f>
        <v>E2-M7-AMS-20</v>
      </c>
      <c r="IO356" s="12" t="str">
        <f>CONCATENATE($T356,"-M",$U356,"-AMS-17")</f>
        <v>E2-M7-AMS-17</v>
      </c>
      <c r="IP356" s="12" t="str">
        <f>CONCATENATE($T356,"-+24-M",$U356,)</f>
        <v>E2-+24-M7</v>
      </c>
      <c r="IQ356" s="12" t="str">
        <f>CONCATENATE($T356,"-M",$U356,"-XM01")</f>
        <v>E2-M7-XM01</v>
      </c>
      <c r="IR356" s="12" t="s">
        <v>142</v>
      </c>
      <c r="IS356" s="12" t="s">
        <v>143</v>
      </c>
      <c r="IT356" s="12">
        <v>11</v>
      </c>
      <c r="IU356" s="12">
        <v>14</v>
      </c>
      <c r="IV356" s="12" t="s">
        <v>413</v>
      </c>
      <c r="IW356" s="12" t="s">
        <v>414</v>
      </c>
      <c r="IX356" s="12">
        <v>1</v>
      </c>
      <c r="IY356" s="12">
        <v>2</v>
      </c>
      <c r="IZ356" s="12">
        <v>3</v>
      </c>
      <c r="JA356" s="12">
        <v>4</v>
      </c>
      <c r="JB356" s="12">
        <v>5</v>
      </c>
      <c r="JC356" s="12">
        <v>6</v>
      </c>
      <c r="JD356" s="12">
        <v>7</v>
      </c>
      <c r="JE356" s="12">
        <v>8</v>
      </c>
      <c r="JF356" s="12">
        <v>9</v>
      </c>
      <c r="JG356" s="12">
        <v>10</v>
      </c>
      <c r="JH356" s="12">
        <v>11</v>
      </c>
      <c r="JI356" s="12">
        <v>12</v>
      </c>
      <c r="JJ356" s="12">
        <v>13</v>
      </c>
      <c r="JK356" s="12">
        <v>14</v>
      </c>
      <c r="JL356" s="12">
        <v>17</v>
      </c>
      <c r="JM356" s="12">
        <v>15</v>
      </c>
      <c r="JN356" s="12">
        <v>18</v>
      </c>
      <c r="JO356" s="12">
        <v>11</v>
      </c>
      <c r="JP356" s="12">
        <v>9</v>
      </c>
      <c r="JQ356" s="12">
        <v>6</v>
      </c>
      <c r="JR356" s="12">
        <v>20</v>
      </c>
      <c r="JS356" s="12">
        <v>7</v>
      </c>
      <c r="JT356" s="12">
        <v>10</v>
      </c>
      <c r="JU356" s="12">
        <v>22</v>
      </c>
      <c r="JV356" s="12">
        <v>23</v>
      </c>
      <c r="JW356" s="12">
        <v>26</v>
      </c>
      <c r="JX356" s="12">
        <v>27</v>
      </c>
      <c r="JY356" s="13">
        <v>30</v>
      </c>
    </row>
    <row r="357" spans="1:610" ht="15.75" thickBot="1" x14ac:dyDescent="0.3">
      <c r="A357" s="62" t="s">
        <v>2112</v>
      </c>
      <c r="B357" t="s">
        <v>2091</v>
      </c>
      <c r="P357" t="s">
        <v>1785</v>
      </c>
      <c r="T357" s="14" t="s">
        <v>2117</v>
      </c>
      <c r="U357">
        <v>8</v>
      </c>
      <c r="V357" t="s">
        <v>2145</v>
      </c>
      <c r="W357" t="s">
        <v>2143</v>
      </c>
      <c r="X357" t="str">
        <f>IF(COUNTIF(X$341:X356,X356)&gt;7,REPLACE(X356,LEN(X356),1,VALUE(RIGHT(X356,1))+1),X356)</f>
        <v>A3.3</v>
      </c>
      <c r="Y357" s="63" cm="1">
        <f t="array" ref="Y357">IF(COUNTIFS($X$341:$X357,$X357)=1,"1",VALUE(SUBSTITUTE(INDEX(Y:Y,_xlfn.XMATCH($X357,$X$1:$X356,0,-1)),"A",""))+INDEX(Z:Z,_xlfn.XMATCH($X357,$X$1:$X356,0,-1))+1)</f>
        <v>5</v>
      </c>
      <c r="Z357" cm="1">
        <f t="array" ref="Z357">SUM(IF(ISNUMBER(FIND("TmAi",$BE$1:$AAL$1)),IF(IFERROR(ISODD(SUBSTITUTE($BE357:$AAL357,"A","")),FALSE),IF(ISODD(SUBSTITUTE($BE357:$AAL357,"A","")),1,0),0)))</f>
        <v>0</v>
      </c>
      <c r="AA357" t="str">
        <f>CONCATENATE($Y357*2-1,"A")</f>
        <v>9A</v>
      </c>
      <c r="AB357" t="str">
        <f>CONCATENATE($Y357*2-1,"B")</f>
        <v>9B</v>
      </c>
      <c r="AC357" t="str">
        <f t="shared" ref="AC357:AC365" si="1662">IF(AD356+AE356&gt;31,REPLACE(AC356,LEN(AC356),1,VALUE(RIGHT(AC356,1))+1),AC356)</f>
        <v>A5.1</v>
      </c>
      <c r="AD357" s="46" cm="1">
        <f t="array" ref="AD357">IF(COUNTIFS(AC$341:AC357,AC357)=1,"1",VALUE(SUBSTITUTE(INDEX(AD:AD,_xlfn.XMATCH(AC357,AC$1:AC356,0,-1)),"A",""))+INDEX(AE:AE,_xlfn.XMATCH(AC357,AC$1:AC356,0,-1))+1)</f>
        <v>22</v>
      </c>
      <c r="AE357" s="46" cm="1">
        <f t="array" ref="AE357">SUM(IF(ISNUMBER(FIND("TmDi",$BE$1:$AAL$1)),IF(IFERROR(ISNUMBER(VALUE(SUBSTITUTE($BE357:$AAL357,"B",""))),FALSE),IF(ISNUMBER(VALUE(SUBSTITUTE($BE357:$AAL357,"B",""))),1,0),0)))</f>
        <v>4</v>
      </c>
      <c r="AF357" t="str">
        <f>CONCATENATE("C",$AD357)</f>
        <v>C22</v>
      </c>
      <c r="AG357" t="str">
        <f>CONCATENATE("B",$AD357)</f>
        <v>B22</v>
      </c>
      <c r="AH357" t="str">
        <f t="shared" ref="AH357:AH358" si="1663">IF(AI356+AJ356&gt;31,REPLACE(AH356,LEN(AH356),1,VALUE(RIGHT(AH356,1))+1),AH356)</f>
        <v>A6.1</v>
      </c>
      <c r="AI357" s="73" cm="1">
        <f t="array" ref="AI357">IF(COUNTIFS(AH$341:AH357,AH357)=1,"1",VALUE(SUBSTITUTE(INDEX(AI:AI,_xlfn.XMATCH(AH357,AH$1:AH356,0,-1)),"A",""))+INDEX(AJ:AJ,_xlfn.XMATCH(AH357,AH$1:AH356,0,-1))+1)</f>
        <v>15</v>
      </c>
      <c r="AJ357" s="73" cm="1">
        <f t="array" ref="AJ357">SUM(IF(ISNUMBER(FIND("TmDo",$BE$1:$AAL$1)),IF(IFERROR(ISNUMBER(VALUE(SUBSTITUTE($BE357:$AAL357,"B",""))),FALSE),IF(ISNUMBER(VALUE(SUBSTITUTE($BE357:$AAL357,"B",""))),1,0),0)))</f>
        <v>1</v>
      </c>
      <c r="AK357" t="str">
        <f t="shared" si="1515"/>
        <v>15A</v>
      </c>
      <c r="AL357" t="str">
        <f t="shared" si="1516"/>
        <v>15B</v>
      </c>
      <c r="AM357" t="s">
        <v>163</v>
      </c>
      <c r="AP357" t="s">
        <v>2119</v>
      </c>
      <c r="AQ357" t="s">
        <v>2137</v>
      </c>
      <c r="AS357" t="s">
        <v>396</v>
      </c>
      <c r="AT357" t="s">
        <v>139</v>
      </c>
      <c r="AU357" t="s">
        <v>140</v>
      </c>
      <c r="GT357" s="28" t="str">
        <f t="shared" ref="GT357" si="1664">CONCATENATE("XT",U357)</f>
        <v>XT8</v>
      </c>
      <c r="GU357" s="19" t="str">
        <f t="shared" ref="GU357" si="1665">CONCATENATE("C",REPLACE(AF357,1,1,"")+1)</f>
        <v>C23</v>
      </c>
      <c r="GV357" s="19" t="str">
        <f t="shared" ref="GV357" si="1666">CONCATENATE("B",REPLACE(AG357,1,1,"")+1)</f>
        <v>B23</v>
      </c>
      <c r="GW357" s="19" t="str">
        <f t="shared" ref="GW357" si="1667">CONCATENATE("C",REPLACE(GU357,1,1,"")+1)</f>
        <v>C24</v>
      </c>
      <c r="GX357" s="19" t="str">
        <f t="shared" ref="GX357" si="1668">CONCATENATE("B",REPLACE(GV357,1,1,"")+1)</f>
        <v>B24</v>
      </c>
      <c r="GY357" s="19" t="str">
        <f t="shared" ref="GY357" si="1669">CONCATENATE("C",REPLACE(GW357,1,1,"")+1)</f>
        <v>C25</v>
      </c>
      <c r="GZ357" s="19" t="str">
        <f t="shared" ref="GZ357" si="1670">CONCATENATE("B",REPLACE(GX357,1,1,"")+1)</f>
        <v>B25</v>
      </c>
      <c r="HA357" s="19" t="str">
        <f t="shared" ref="HA357" si="1671">CONCATENATE("C",REPLACE(GY357,1,1,"")+1)</f>
        <v>C26</v>
      </c>
      <c r="HB357" s="19" t="str">
        <f t="shared" ref="HB357" si="1672">CONCATENATE("B",REPLACE(GZ357,1,1,"")+1)</f>
        <v>B26</v>
      </c>
      <c r="HC357" s="19"/>
      <c r="HD357" s="19"/>
      <c r="HE357" s="19" t="str">
        <f>CONCATENATE(REPLACE(AK357,LEN(AK357),1,"")+1,"A")</f>
        <v>16A</v>
      </c>
      <c r="HF357" s="19" t="str">
        <f>CONCATENATE(REPLACE(AL357,LEN(AL357),1,"")+1,"B")</f>
        <v>16B</v>
      </c>
      <c r="HG357" s="19" t="str">
        <f>CONCATENATE("AI",REPLACE($X357,1,3,""),"-",AA357)</f>
        <v>AI3-9A</v>
      </c>
      <c r="HH357" s="19" t="str">
        <f>CONCATENATE("AI",REPLACE($X357,1,3,""),"-",AB357)</f>
        <v>AI3-9B</v>
      </c>
      <c r="HI357" s="19" t="str">
        <f>CONCATENATE("DI",REPLACE($AC357,1,3,""),"-",AF357)</f>
        <v>DI1-C22</v>
      </c>
      <c r="HJ357" s="19" t="str">
        <f>CONCATENATE("DI",REPLACE($AC357,1,3,""),"-",AG357)</f>
        <v>DI1-B22</v>
      </c>
      <c r="HK357" s="19" t="str">
        <f t="shared" si="1661"/>
        <v>DI1-C23</v>
      </c>
      <c r="HL357" s="19" t="str">
        <f t="shared" si="1661"/>
        <v>DI1-B23</v>
      </c>
      <c r="HM357" s="19" t="str">
        <f t="shared" si="1661"/>
        <v>DI1-C24</v>
      </c>
      <c r="HN357" s="19" t="str">
        <f t="shared" si="1661"/>
        <v>DI1-B24</v>
      </c>
      <c r="HO357" s="19" t="str">
        <f t="shared" si="1661"/>
        <v>DI1-C25</v>
      </c>
      <c r="HP357" s="19" t="str">
        <f t="shared" si="1661"/>
        <v>DI1-B25</v>
      </c>
      <c r="HQ357" s="19" t="str">
        <f t="shared" si="1661"/>
        <v>DI1-C26</v>
      </c>
      <c r="HR357" s="19" t="str">
        <f t="shared" si="1661"/>
        <v>DI1-B26</v>
      </c>
      <c r="HS357" s="19" t="str">
        <f t="shared" si="1661"/>
        <v>DI1-</v>
      </c>
      <c r="HT357" s="19" t="str">
        <f t="shared" si="1661"/>
        <v>DI1-</v>
      </c>
      <c r="HU357" s="19" t="str">
        <f>CONCATENATE("DO",REPLACE($AH357,1,3,""),"-",AK357)</f>
        <v>DO1-15A</v>
      </c>
      <c r="HV357" s="19" t="str">
        <f>CONCATENATE("DO",REPLACE($AH357,1,3,""),"-",AL357)</f>
        <v>DO1-15B</v>
      </c>
      <c r="HW357" s="19" t="str">
        <f>CONCATENATE("DO",REPLACE($AH357,1,3,""),"-",HE357)</f>
        <v>DO1-16A</v>
      </c>
      <c r="HX357" s="19" t="str">
        <f>CONCATENATE("DO",REPLACE($AH357,1,3,""),"-",HF357)</f>
        <v>DO1-16B</v>
      </c>
      <c r="HY357" s="19" t="str">
        <f>CONCATENATE("K",$U357,"-01")</f>
        <v>K8-01</v>
      </c>
      <c r="HZ357" s="19" t="str">
        <f>CONCATENATE("K",$U357,"-02")</f>
        <v>K8-02</v>
      </c>
      <c r="IA357" s="19" t="str">
        <f>CONCATENATE("K",$U357,"-03")</f>
        <v>K8-03</v>
      </c>
      <c r="IB357" s="19" t="str">
        <f>CONCATENATE("K",$U357,"-04")</f>
        <v>K8-04</v>
      </c>
      <c r="IC357" s="19" t="str">
        <f>CONCATENATE("K",$U357,"-05")</f>
        <v>K8-05</v>
      </c>
      <c r="ID357" s="19" t="str">
        <f>CONCATENATE("K",$U357,"-06")</f>
        <v>K8-06</v>
      </c>
      <c r="IE357" s="19" t="str">
        <f>CONCATENATE("K",$U357,"-07")</f>
        <v>K8-07</v>
      </c>
      <c r="IF357" s="19" t="str">
        <f>CONCATENATE("K",$U357,"-08")</f>
        <v>K8-08</v>
      </c>
      <c r="IG357" s="19" t="str">
        <f>CONCATENATE($T357,"-M",$U357,"-AMS-12")</f>
        <v>E2-M8-AMS-12</v>
      </c>
      <c r="IH357" s="19" t="str">
        <f>CONCATENATE($T357,"-M",$U357,"-AMS-10")</f>
        <v>E2-M8-AMS-10</v>
      </c>
      <c r="II357" s="19" t="str">
        <f>CONCATENATE($T357,"-M",$U357,"-AMS-11")</f>
        <v>E2-M8-AMS-11</v>
      </c>
      <c r="IJ357" s="19" t="str">
        <f>CONCATENATE($T357,"-M",$U357,"-AMS-13")</f>
        <v>E2-M8-AMS-13</v>
      </c>
      <c r="IK357" s="19" t="str">
        <f>CONCATENATE($T357,"-M",$U357,"-AMS-9")</f>
        <v>E2-M8-AMS-9</v>
      </c>
      <c r="IL357" s="19" t="str">
        <f>CONCATENATE($T357,"-M",$U357,"-AMS-7")</f>
        <v>E2-M8-AMS-7</v>
      </c>
      <c r="IM357" s="19" t="str">
        <f>CONCATENATE($T357,"-M",$U357,"-AMS-18")</f>
        <v>E2-M8-AMS-18</v>
      </c>
      <c r="IN357" s="19" t="str">
        <f>CONCATENATE($T357,"-M",$U357,"-AMS-20")</f>
        <v>E2-M8-AMS-20</v>
      </c>
      <c r="IO357" s="19" t="str">
        <f>CONCATENATE($T357,"-M",$U357,"-AMS-17")</f>
        <v>E2-M8-AMS-17</v>
      </c>
      <c r="IP357" s="19" t="str">
        <f>CONCATENATE($T357,"-+24-M",$U357,)</f>
        <v>E2-+24-M8</v>
      </c>
      <c r="IQ357" s="19" t="str">
        <f>CONCATENATE($T357,"-M",$U357,"-XM01")</f>
        <v>E2-M8-XM01</v>
      </c>
      <c r="IR357" s="19" t="s">
        <v>142</v>
      </c>
      <c r="IS357" s="19" t="s">
        <v>143</v>
      </c>
      <c r="IT357" s="19">
        <v>11</v>
      </c>
      <c r="IU357" s="19">
        <v>14</v>
      </c>
      <c r="IV357" s="19" t="s">
        <v>413</v>
      </c>
      <c r="IW357" s="19" t="s">
        <v>414</v>
      </c>
      <c r="IX357" s="19">
        <v>1</v>
      </c>
      <c r="IY357" s="19">
        <v>2</v>
      </c>
      <c r="IZ357" s="19">
        <v>3</v>
      </c>
      <c r="JA357" s="19">
        <v>4</v>
      </c>
      <c r="JB357" s="19">
        <v>5</v>
      </c>
      <c r="JC357" s="19">
        <v>6</v>
      </c>
      <c r="JD357" s="19">
        <v>7</v>
      </c>
      <c r="JE357" s="19">
        <v>8</v>
      </c>
      <c r="JF357" s="19">
        <v>9</v>
      </c>
      <c r="JG357" s="19">
        <v>10</v>
      </c>
      <c r="JH357" s="19">
        <v>11</v>
      </c>
      <c r="JI357" s="19">
        <v>12</v>
      </c>
      <c r="JJ357" s="19">
        <v>13</v>
      </c>
      <c r="JK357" s="19">
        <v>14</v>
      </c>
      <c r="JL357" s="19">
        <v>17</v>
      </c>
      <c r="JM357" s="19">
        <v>15</v>
      </c>
      <c r="JN357" s="19">
        <v>18</v>
      </c>
      <c r="JO357" s="19">
        <v>11</v>
      </c>
      <c r="JP357" s="19">
        <v>9</v>
      </c>
      <c r="JQ357" s="19">
        <v>6</v>
      </c>
      <c r="JR357" s="19">
        <v>20</v>
      </c>
      <c r="JS357" s="19">
        <v>7</v>
      </c>
      <c r="JT357" s="19">
        <v>10</v>
      </c>
      <c r="JU357" s="19">
        <v>22</v>
      </c>
      <c r="JV357" s="19">
        <v>23</v>
      </c>
      <c r="JW357" s="19">
        <v>26</v>
      </c>
      <c r="JX357" s="19">
        <v>27</v>
      </c>
      <c r="JY357" s="20">
        <v>30</v>
      </c>
    </row>
    <row r="358" spans="1:610" x14ac:dyDescent="0.25">
      <c r="A358" s="62" t="s">
        <v>2103</v>
      </c>
      <c r="B358" t="s">
        <v>2100</v>
      </c>
      <c r="P358" t="s">
        <v>2140</v>
      </c>
      <c r="Q358" s="1"/>
      <c r="S358" s="1" t="s">
        <v>130</v>
      </c>
      <c r="T358" s="14" t="s">
        <v>2117</v>
      </c>
      <c r="U358" s="60">
        <v>9</v>
      </c>
      <c r="V358" s="15" t="s">
        <v>2146</v>
      </c>
      <c r="W358" s="15"/>
      <c r="AC358" t="s">
        <v>261</v>
      </c>
      <c r="AD358" s="46" t="str" cm="1">
        <f t="array" ref="AD358">IF(COUNTIFS(AC$341:AC358,AC358)=1,"1",VALUE(SUBSTITUTE(INDEX(AD:AD,_xlfn.XMATCH(AC358,AC$1:AC357,0,-1)),"A",""))+INDEX(AE:AE,_xlfn.XMATCH(AC358,AC$1:AC357,0,-1))+1)</f>
        <v>1</v>
      </c>
      <c r="AE358" s="46" cm="1">
        <f t="array" ref="AE358">SUM(IF(ISNUMBER(FIND("TmDi",$BE$1:$AAL$1)),IF(IFERROR(ISNUMBER(VALUE(SUBSTITUTE($BE358:$AAL358,"B",""))),FALSE),IF(ISNUMBER(VALUE(SUBSTITUTE($BE358:$AAL358,"B",""))),1,0),0)))</f>
        <v>5</v>
      </c>
      <c r="AF358" t="str">
        <f>CONCATENATE("C",$AD358)</f>
        <v>C1</v>
      </c>
      <c r="AG358" t="str">
        <f>CONCATENATE("B",$AD358)</f>
        <v>B1</v>
      </c>
      <c r="AH358" t="str">
        <f t="shared" si="1663"/>
        <v>A6.1</v>
      </c>
      <c r="AI358" s="73" cm="1">
        <f t="array" ref="AI358">IF(COUNTIFS(AH$341:AH358,AH358)=1,"1",VALUE(SUBSTITUTE(INDEX(AI:AI,_xlfn.XMATCH(AH358,AH$1:AH357,0,-1)),"A",""))+INDEX(AJ:AJ,_xlfn.XMATCH(AH358,AH$1:AH357,0,-1))+1)</f>
        <v>17</v>
      </c>
      <c r="AJ358" s="73" cm="1">
        <f t="array" ref="AJ358">SUM(IF(ISNUMBER(FIND("TmDo",$BE$1:$AAL$1)),IF(IFERROR(ISNUMBER(VALUE(SUBSTITUTE($BE358:$AAL358,"B",""))),FALSE),IF(ISNUMBER(VALUE(SUBSTITUTE($BE358:$AAL358,"B",""))),1,0),0)))</f>
        <v>2</v>
      </c>
      <c r="AK358" t="str">
        <f t="shared" si="1515"/>
        <v>17A</v>
      </c>
      <c r="AL358" t="str">
        <f t="shared" si="1516"/>
        <v>17B</v>
      </c>
      <c r="AM358" t="s">
        <v>166</v>
      </c>
      <c r="AP358" t="s">
        <v>2119</v>
      </c>
      <c r="AQ358" t="s">
        <v>2137</v>
      </c>
      <c r="AT358" t="s">
        <v>139</v>
      </c>
      <c r="AU358" t="s">
        <v>140</v>
      </c>
      <c r="BD358" s="16"/>
      <c r="BE358" t="str">
        <f t="shared" ref="BE358:BE359" si="1673">CONCATENATE("XT",U358)</f>
        <v>XT9</v>
      </c>
      <c r="BF358" t="str">
        <f t="shared" ref="BF358:BF359" si="1674">CONCATENATE("C",REPLACE(AF358,1,1,"")+1)</f>
        <v>C2</v>
      </c>
      <c r="BG358" t="str">
        <f t="shared" ref="BG358:BG359" si="1675">CONCATENATE("B",REPLACE(AG358,1,1,"")+1)</f>
        <v>B2</v>
      </c>
      <c r="BH358" t="str">
        <f t="shared" ref="BH358:BH359" si="1676">CONCATENATE("C",REPLACE(BF358,1,1,"")+1)</f>
        <v>C3</v>
      </c>
      <c r="BI358" t="str">
        <f t="shared" ref="BI358:BI359" si="1677">CONCATENATE("B",REPLACE(BG358,1,1,"")+1)</f>
        <v>B3</v>
      </c>
      <c r="BJ358" t="str">
        <f t="shared" ref="BJ358:BJ359" si="1678">CONCATENATE("C",REPLACE(BH358,1,1,"")+1)</f>
        <v>C4</v>
      </c>
      <c r="BK358" t="str">
        <f t="shared" ref="BK358:BK359" si="1679">CONCATENATE("B",REPLACE(BI358,1,1,"")+1)</f>
        <v>B4</v>
      </c>
      <c r="BL358" t="str">
        <f t="shared" ref="BL358:BL359" si="1680">CONCATENATE("C",REPLACE(BJ358,1,1,"")+1)</f>
        <v>C5</v>
      </c>
      <c r="BM358" t="str">
        <f t="shared" ref="BM358:BM359" si="1681">CONCATENATE("B",REPLACE(BK358,1,1,"")+1)</f>
        <v>B5</v>
      </c>
      <c r="BN358" t="str">
        <f t="shared" ref="BN358" si="1682">CONCATENATE("C",REPLACE(BL358,1,1,"")+1)</f>
        <v>C6</v>
      </c>
      <c r="BO358" t="str">
        <f t="shared" ref="BO358" si="1683">CONCATENATE("B",REPLACE(BM358,1,1,"")+1)</f>
        <v>B6</v>
      </c>
      <c r="BP358" t="str">
        <f>CONCATENATE(REPLACE(AK358,LEN(AK358),1,"")+1,"A")</f>
        <v>18A</v>
      </c>
      <c r="BQ358" t="str">
        <f>CONCATENATE(REPLACE(AL358,LEN(AL358),1,"")+1,"B")</f>
        <v>18B</v>
      </c>
      <c r="BR358" t="str">
        <f>CONCATENATE(REPLACE(BP358,LEN(BP358),1,"")+1,"A")</f>
        <v>19A</v>
      </c>
      <c r="BS358" t="str">
        <f>CONCATENATE(REPLACE(BQ358,LEN(BQ358),1,"")+1,"B")</f>
        <v>19B</v>
      </c>
      <c r="BT358" t="str">
        <f t="shared" ref="BT358:BT359" si="1684">CONCATENATE("DI",REPLACE($AC358,1,3,""),"-",AF358)</f>
        <v>DI2-C1</v>
      </c>
      <c r="BU358" t="str">
        <f t="shared" ref="BU358:BU359" si="1685">CONCATENATE("DI",REPLACE($AC358,1,3,""),"-",AG358)</f>
        <v>DI2-B1</v>
      </c>
      <c r="BV358" t="str">
        <f t="shared" ref="BV358:BV359" si="1686">CONCATENATE("DI",REPLACE($AC358,1,3,""),"-",BF358)</f>
        <v>DI2-C2</v>
      </c>
      <c r="BW358" t="str">
        <f t="shared" ref="BW358:BW359" si="1687">CONCATENATE("DI",REPLACE($AC358,1,3,""),"-",BG358)</f>
        <v>DI2-B2</v>
      </c>
      <c r="BX358" t="str">
        <f t="shared" ref="BX358:BX359" si="1688">CONCATENATE("DI",REPLACE($AC358,1,3,""),"-",BH358)</f>
        <v>DI2-C3</v>
      </c>
      <c r="BY358" t="str">
        <f t="shared" ref="BY358:BY359" si="1689">CONCATENATE("DI",REPLACE($AC358,1,3,""),"-",BI358)</f>
        <v>DI2-B3</v>
      </c>
      <c r="BZ358" t="str">
        <f t="shared" ref="BZ358:BZ359" si="1690">CONCATENATE("DI",REPLACE($AC358,1,3,""),"-",BJ358)</f>
        <v>DI2-C4</v>
      </c>
      <c r="CA358" t="str">
        <f t="shared" ref="CA358:CA359" si="1691">CONCATENATE("DI",REPLACE($AC358,1,3,""),"-",BK358)</f>
        <v>DI2-B4</v>
      </c>
      <c r="CB358" t="str">
        <f t="shared" ref="CB358:CB359" si="1692">CONCATENATE("DI",REPLACE($AC358,1,3,""),"-",BL358)</f>
        <v>DI2-C5</v>
      </c>
      <c r="CC358" t="str">
        <f t="shared" ref="CC358:CC359" si="1693">CONCATENATE("DI",REPLACE($AC358,1,3,""),"-",BM358)</f>
        <v>DI2-B5</v>
      </c>
      <c r="CD358" t="str">
        <f t="shared" ref="CD358:CD359" si="1694">CONCATENATE("DI",REPLACE($AC358,1,3,""),"-",BN358)</f>
        <v>DI2-C6</v>
      </c>
      <c r="CE358" t="str">
        <f t="shared" ref="CE358:CE359" si="1695">CONCATENATE("DI",REPLACE($AC358,1,3,""),"-",BO358)</f>
        <v>DI2-B6</v>
      </c>
      <c r="CF358" t="str">
        <f t="shared" ref="CF358:CF359" si="1696">CONCATENATE("DO",REPLACE($AH358,1,3,""),"-",AK358)</f>
        <v>DO1-17A</v>
      </c>
      <c r="CG358" t="str">
        <f t="shared" ref="CG358:CG359" si="1697">CONCATENATE("DO",REPLACE($AH358,1,3,""),"-",AL358)</f>
        <v>DO1-17B</v>
      </c>
      <c r="CH358" t="str">
        <f t="shared" ref="CH358:CH359" si="1698">CONCATENATE("DO",REPLACE($AH358,1,3,""),"-",BP358)</f>
        <v>DO1-18A</v>
      </c>
      <c r="CI358" t="str">
        <f t="shared" ref="CI358:CI359" si="1699">CONCATENATE("DO",REPLACE($AH358,1,3,""),"-",BQ358)</f>
        <v>DO1-18B</v>
      </c>
      <c r="CJ358" t="str">
        <f t="shared" ref="CJ358:CJ359" si="1700">CONCATENATE("DO",REPLACE($AH358,1,3,""),"-",BR358)</f>
        <v>DO1-19A</v>
      </c>
      <c r="CK358" t="str">
        <f t="shared" ref="CK358:CK359" si="1701">CONCATENATE("DO",REPLACE($AH358,1,3,""),"-",BS358)</f>
        <v>DO1-19B</v>
      </c>
      <c r="CL358" t="str">
        <f>CONCATENATE("K",$U358,"-01")</f>
        <v>K9-01</v>
      </c>
      <c r="CM358" t="str">
        <f>CONCATENATE("K",$U358,"-02")</f>
        <v>K9-02</v>
      </c>
      <c r="CN358" t="str">
        <f>CONCATENATE("K",$U358,"-05")</f>
        <v>K9-05</v>
      </c>
      <c r="CO358" t="str">
        <f>CONCATENATE("K",$U358,"-06")</f>
        <v>K9-06</v>
      </c>
      <c r="CP358" t="str">
        <f>CONCATENATE("K",$U358,"-07")</f>
        <v>K9-07</v>
      </c>
      <c r="CQ358" t="str">
        <f>CONCATENATE("K",$U358,"-11")</f>
        <v>K9-11</v>
      </c>
      <c r="CR358" t="str">
        <f>CONCATENATE("K",$U358,"-10")</f>
        <v>K9-10</v>
      </c>
      <c r="CS358" t="str">
        <f>CONCATENATE("K",$U358,"-03")</f>
        <v>K9-03</v>
      </c>
      <c r="CT358" t="str">
        <f>CONCATENATE("K",$U358,"-04")</f>
        <v>K9-04</v>
      </c>
      <c r="CU358" t="str">
        <f t="shared" ref="CU358:CU364" si="1702">CONCATENATE($T358,"-M",$U358,"-A9")</f>
        <v>E2-M9-A9</v>
      </c>
      <c r="CV358" t="str">
        <f>CONCATENATE($T358,"-M",$U358,"-A8")</f>
        <v>E2-M9-A8</v>
      </c>
      <c r="CW358" t="str">
        <f>CONCATENATE($T358,"-M",$U358,"-A7")</f>
        <v>E2-M9-A7</v>
      </c>
      <c r="CX358" t="str">
        <f t="shared" ref="CX358:CX364" si="1703">CONCATENATE($T358,"-M",$U358,"-A6")</f>
        <v>E2-M9-A6</v>
      </c>
      <c r="CY358" t="str">
        <f t="shared" ref="CY358:CY364" si="1704">CONCATENATE($T358,"-M",$U358,"-A30")</f>
        <v>E2-M9-A30</v>
      </c>
      <c r="CZ358" t="str">
        <f>CONCATENATE($T358,"-M",$U358,"-N")</f>
        <v>E2-M9-N</v>
      </c>
      <c r="DA358" t="str">
        <f t="shared" ref="DA358:DA359" si="1705">CONCATENATE($T358,"-A220-M",U358)</f>
        <v>E2-A220-M9</v>
      </c>
      <c r="DB358" t="str">
        <f t="shared" ref="DB358:DB364" si="1706">CONCATENATE($T358,"-M",$U358,"-XM01")</f>
        <v>E2-M9-XM01</v>
      </c>
      <c r="DC358" t="str">
        <f t="shared" ref="DC358:DC364" si="1707">CONCATENATE($T358,"-M",$U358,"-A1")</f>
        <v>E2-M9-A1</v>
      </c>
      <c r="DD358" t="str">
        <f t="shared" ref="DD358:DD364" si="1708">CONCATENATE($T358,"-M",$U358,"-A5")</f>
        <v>E2-M9-A5</v>
      </c>
      <c r="DE358" t="str">
        <f t="shared" ref="DE358:DE364" si="1709">CONCATENATE($T358,"-M",$U358,"-A11")</f>
        <v>E2-M9-A11</v>
      </c>
      <c r="DF358" t="str">
        <f t="shared" ref="DF358:DF364" si="1710">CONCATENATE($T358,"-M",$U358,"-A12")</f>
        <v>E2-M9-A12</v>
      </c>
      <c r="DG358" t="str">
        <f t="shared" ref="DG358:DG362" si="1711">CONCATENATE($T358,"-M",$U358,"-A19")</f>
        <v>E2-M9-A19</v>
      </c>
      <c r="DH358" t="str">
        <f t="shared" ref="DH358:DH362" si="1712">CONCATENATE($T358,"-M",$U358,"-A20")</f>
        <v>E2-M9-A20</v>
      </c>
      <c r="DI358" t="s">
        <v>142</v>
      </c>
      <c r="DJ358" t="s">
        <v>143</v>
      </c>
      <c r="DK358">
        <v>11</v>
      </c>
      <c r="DL358">
        <v>14</v>
      </c>
      <c r="DM358">
        <v>12</v>
      </c>
      <c r="DN358" t="s">
        <v>144</v>
      </c>
      <c r="DO358" t="s">
        <v>145</v>
      </c>
      <c r="DP358">
        <v>1</v>
      </c>
      <c r="DQ358">
        <v>2</v>
      </c>
      <c r="DR358">
        <v>3</v>
      </c>
      <c r="DS358">
        <v>4</v>
      </c>
      <c r="DT358">
        <v>5</v>
      </c>
      <c r="DU358">
        <v>6</v>
      </c>
      <c r="DV358">
        <v>7</v>
      </c>
      <c r="DW358">
        <v>8</v>
      </c>
      <c r="DX358">
        <v>9</v>
      </c>
      <c r="DY358">
        <v>10</v>
      </c>
      <c r="DZ358">
        <v>11</v>
      </c>
      <c r="EA358">
        <v>12</v>
      </c>
      <c r="EB358">
        <v>13</v>
      </c>
      <c r="EC358">
        <v>14</v>
      </c>
      <c r="ED358">
        <v>1</v>
      </c>
      <c r="EE358">
        <v>3</v>
      </c>
      <c r="EF358">
        <v>4</v>
      </c>
      <c r="EG358">
        <v>7</v>
      </c>
      <c r="EH358">
        <v>8</v>
      </c>
      <c r="EI358">
        <v>9</v>
      </c>
      <c r="EJ358">
        <v>10</v>
      </c>
      <c r="EK358">
        <v>13</v>
      </c>
      <c r="EL358">
        <v>14</v>
      </c>
      <c r="EM358">
        <v>15</v>
      </c>
      <c r="EN358">
        <v>16</v>
      </c>
      <c r="EO358">
        <v>22</v>
      </c>
      <c r="EP358">
        <v>23</v>
      </c>
      <c r="EQ358" s="16">
        <v>24</v>
      </c>
    </row>
    <row r="359" spans="1:610" x14ac:dyDescent="0.25">
      <c r="A359" s="62" t="s">
        <v>2106</v>
      </c>
      <c r="B359" s="65" t="s">
        <v>2097</v>
      </c>
      <c r="P359" t="s">
        <v>3084</v>
      </c>
      <c r="T359" s="14" t="s">
        <v>2117</v>
      </c>
      <c r="U359">
        <v>10</v>
      </c>
      <c r="V359" t="s">
        <v>2161</v>
      </c>
      <c r="AC359" t="str">
        <f t="shared" si="1662"/>
        <v>A5.2</v>
      </c>
      <c r="AD359" s="46" cm="1">
        <f t="array" ref="AD359">IF(COUNTIFS(AC$341:AC359,AC359)=1,"1",VALUE(SUBSTITUTE(INDEX(AD:AD,_xlfn.XMATCH(AC359,AC$1:AC358,0,-1)),"A",""))+INDEX(AE:AE,_xlfn.XMATCH(AC359,AC$1:AC358,0,-1))+1)</f>
        <v>7</v>
      </c>
      <c r="AE359" s="46" cm="1">
        <f t="array" ref="AE359">SUM(IF(ISNUMBER(FIND("TmDi",$BE$1:$AAL$1)),IF(IFERROR(ISNUMBER(VALUE(SUBSTITUTE($BE359:$AAL359,"B",""))),FALSE),IF(ISNUMBER(VALUE(SUBSTITUTE($BE359:$AAL359,"B",""))),1,0),0)))</f>
        <v>4</v>
      </c>
      <c r="AF359" t="str">
        <f t="shared" ref="AF359:AF367" si="1713">CONCATENATE("C",$AD359)</f>
        <v>C7</v>
      </c>
      <c r="AG359" t="str">
        <f t="shared" ref="AG359:AG367" si="1714">CONCATENATE("B",$AD359)</f>
        <v>B7</v>
      </c>
      <c r="AH359" t="str">
        <f t="shared" ref="AH359:AH361" si="1715">IF(AI358+AJ358&gt;31,REPLACE(AH358,LEN(AH358),1,VALUE(RIGHT(AH358,1))+1),AH358)</f>
        <v>A6.1</v>
      </c>
      <c r="AI359" s="73" cm="1">
        <f t="array" ref="AI359">IF(COUNTIFS(AH$341:AH359,AH359)=1,"1",VALUE(SUBSTITUTE(INDEX(AI:AI,_xlfn.XMATCH(AH359,AH$1:AH358,0,-1)),"A",""))+INDEX(AJ:AJ,_xlfn.XMATCH(AH359,AH$1:AH358,0,-1))+1)</f>
        <v>20</v>
      </c>
      <c r="AJ359" s="73" cm="1">
        <f t="array" ref="AJ359">SUM(IF(ISNUMBER(FIND("TmDo",$BE$1:$AAL$1)),IF(IFERROR(ISNUMBER(VALUE(SUBSTITUTE($BE359:$AAL359,"B",""))),FALSE),IF(ISNUMBER(VALUE(SUBSTITUTE($BE359:$AAL359,"B",""))),1,0),0)))</f>
        <v>2</v>
      </c>
      <c r="AK359" t="str">
        <f t="shared" si="1515"/>
        <v>20A</v>
      </c>
      <c r="AL359" t="str">
        <f t="shared" si="1516"/>
        <v>20B</v>
      </c>
      <c r="AM359" t="s">
        <v>169</v>
      </c>
      <c r="AP359" t="s">
        <v>2119</v>
      </c>
      <c r="AQ359" t="s">
        <v>2137</v>
      </c>
      <c r="AT359" t="s">
        <v>139</v>
      </c>
      <c r="AU359" t="s">
        <v>140</v>
      </c>
      <c r="BE359" t="str">
        <f t="shared" si="1673"/>
        <v>XT10</v>
      </c>
      <c r="BF359" t="str">
        <f t="shared" si="1674"/>
        <v>C8</v>
      </c>
      <c r="BG359" t="str">
        <f t="shared" si="1675"/>
        <v>B8</v>
      </c>
      <c r="BH359" t="str">
        <f t="shared" si="1676"/>
        <v>C9</v>
      </c>
      <c r="BI359" t="str">
        <f t="shared" si="1677"/>
        <v>B9</v>
      </c>
      <c r="BJ359" t="str">
        <f t="shared" si="1678"/>
        <v>C10</v>
      </c>
      <c r="BK359" t="str">
        <f t="shared" si="1679"/>
        <v>B10</v>
      </c>
      <c r="BL359" t="str">
        <f t="shared" si="1680"/>
        <v>C11</v>
      </c>
      <c r="BM359" t="str">
        <f t="shared" si="1681"/>
        <v>B11</v>
      </c>
      <c r="BP359" t="str">
        <f t="shared" ref="BP359" si="1716">CONCATENATE(REPLACE(AK359,LEN(AK359),1,"")+1,"A")</f>
        <v>21A</v>
      </c>
      <c r="BQ359" t="str">
        <f t="shared" ref="BQ359" si="1717">CONCATENATE(REPLACE(AL359,LEN(AL359),1,"")+1,"B")</f>
        <v>21B</v>
      </c>
      <c r="BR359" t="str">
        <f t="shared" ref="BR359" si="1718">CONCATENATE(REPLACE(BP359,LEN(BP359),1,"")+1,"A")</f>
        <v>22A</v>
      </c>
      <c r="BS359" t="str">
        <f t="shared" ref="BS359" si="1719">CONCATENATE(REPLACE(BQ359,LEN(BQ359),1,"")+1,"B")</f>
        <v>22B</v>
      </c>
      <c r="BT359" t="str">
        <f t="shared" si="1684"/>
        <v>DI2-C7</v>
      </c>
      <c r="BU359" t="str">
        <f t="shared" si="1685"/>
        <v>DI2-B7</v>
      </c>
      <c r="BV359" t="str">
        <f t="shared" si="1686"/>
        <v>DI2-C8</v>
      </c>
      <c r="BW359" t="str">
        <f t="shared" si="1687"/>
        <v>DI2-B8</v>
      </c>
      <c r="BX359" t="str">
        <f t="shared" si="1688"/>
        <v>DI2-C9</v>
      </c>
      <c r="BY359" t="str">
        <f t="shared" si="1689"/>
        <v>DI2-B9</v>
      </c>
      <c r="BZ359" t="str">
        <f t="shared" si="1690"/>
        <v>DI2-C10</v>
      </c>
      <c r="CA359" t="str">
        <f t="shared" si="1691"/>
        <v>DI2-B10</v>
      </c>
      <c r="CB359" t="str">
        <f t="shared" si="1692"/>
        <v>DI2-C11</v>
      </c>
      <c r="CC359" t="str">
        <f t="shared" si="1693"/>
        <v>DI2-B11</v>
      </c>
      <c r="CD359" t="str">
        <f t="shared" si="1694"/>
        <v>DI2-</v>
      </c>
      <c r="CE359" t="str">
        <f t="shared" si="1695"/>
        <v>DI2-</v>
      </c>
      <c r="CF359" t="str">
        <f t="shared" si="1696"/>
        <v>DO1-20A</v>
      </c>
      <c r="CG359" t="str">
        <f t="shared" si="1697"/>
        <v>DO1-20B</v>
      </c>
      <c r="CH359" t="str">
        <f t="shared" si="1698"/>
        <v>DO1-21A</v>
      </c>
      <c r="CI359" t="str">
        <f t="shared" si="1699"/>
        <v>DO1-21B</v>
      </c>
      <c r="CJ359" t="str">
        <f t="shared" si="1700"/>
        <v>DO1-22A</v>
      </c>
      <c r="CK359" t="str">
        <f t="shared" si="1701"/>
        <v>DO1-22B</v>
      </c>
      <c r="CL359" t="str">
        <f t="shared" ref="CL359:CL364" si="1720">CONCATENATE("K",$U359,"-10")</f>
        <v>K10-10</v>
      </c>
      <c r="CM359" t="str">
        <f t="shared" ref="CM359:CM364" si="1721">CONCATENATE("K",$U359,"-03")</f>
        <v>K10-03</v>
      </c>
      <c r="CN359" t="str">
        <f t="shared" ref="CN359:CN364" si="1722">CONCATENATE("K",$U359,"-04")</f>
        <v>K10-04</v>
      </c>
      <c r="CO359" t="str">
        <f t="shared" ref="CO359:CO364" si="1723">CONCATENATE("K",$U359,"-01")</f>
        <v>K10-01</v>
      </c>
      <c r="CP359" t="str">
        <f t="shared" ref="CP359:CP364" si="1724">CONCATENATE("K",$U359,"-08")</f>
        <v>K10-08</v>
      </c>
      <c r="CQ359" t="str">
        <f t="shared" ref="CQ359:CQ364" si="1725">CONCATENATE("K",$U359,"-02")</f>
        <v>K10-02</v>
      </c>
      <c r="CR359" t="str">
        <f t="shared" ref="CR359:CR364" si="1726">CONCATENATE("K",$U359,"-09")</f>
        <v>K10-09</v>
      </c>
      <c r="CS359" t="str">
        <f t="shared" ref="CS359:CS364" si="1727">CONCATENATE("K",$U359,"-05")</f>
        <v>K10-05</v>
      </c>
      <c r="CT359" t="str">
        <f t="shared" ref="CT359:CT364" si="1728">CONCATENATE("K",$U359,"-11")</f>
        <v>K10-11</v>
      </c>
      <c r="CU359" t="str">
        <f t="shared" si="1702"/>
        <v>E2-M10-A9</v>
      </c>
      <c r="CV359" t="str">
        <f t="shared" ref="CV359:CV364" si="1729">CONCATENATE($T359,"-M",$U359,"-A7")</f>
        <v>E2-M10-A7</v>
      </c>
      <c r="CW359" t="str">
        <f t="shared" ref="CW359:CW364" si="1730">CONCATENATE($T359,"-M",$U359,"-A8")</f>
        <v>E2-M10-A8</v>
      </c>
      <c r="CX359" t="str">
        <f t="shared" si="1703"/>
        <v>E2-M10-A6</v>
      </c>
      <c r="CY359" t="str">
        <f t="shared" si="1704"/>
        <v>E2-M10-A30</v>
      </c>
      <c r="CZ359" t="str">
        <f t="shared" ref="CZ359:CZ364" si="1731">CONCATENATE($T359,"-M",$U359,"-N")</f>
        <v>E2-M10-N</v>
      </c>
      <c r="DA359" t="str">
        <f t="shared" si="1705"/>
        <v>E2-A220-M10</v>
      </c>
      <c r="DB359" t="str">
        <f t="shared" si="1706"/>
        <v>E2-M10-XM01</v>
      </c>
      <c r="DC359" t="str">
        <f t="shared" si="1707"/>
        <v>E2-M10-A1</v>
      </c>
      <c r="DD359" t="str">
        <f t="shared" si="1708"/>
        <v>E2-M10-A5</v>
      </c>
      <c r="DE359" t="str">
        <f t="shared" si="1709"/>
        <v>E2-M10-A11</v>
      </c>
      <c r="DF359" t="str">
        <f t="shared" si="1710"/>
        <v>E2-M10-A12</v>
      </c>
      <c r="DG359" t="str">
        <f t="shared" si="1711"/>
        <v>E2-M10-A19</v>
      </c>
      <c r="DH359" t="str">
        <f t="shared" si="1712"/>
        <v>E2-M10-A20</v>
      </c>
      <c r="DI359" t="s">
        <v>142</v>
      </c>
      <c r="DJ359" t="s">
        <v>143</v>
      </c>
      <c r="DK359">
        <v>11</v>
      </c>
      <c r="DL359">
        <v>14</v>
      </c>
      <c r="DM359">
        <v>12</v>
      </c>
      <c r="DN359" t="s">
        <v>144</v>
      </c>
      <c r="DO359" t="s">
        <v>145</v>
      </c>
      <c r="DP359">
        <v>1</v>
      </c>
      <c r="DQ359">
        <v>2</v>
      </c>
      <c r="DR359">
        <v>3</v>
      </c>
      <c r="DS359">
        <v>4</v>
      </c>
      <c r="DT359">
        <v>5</v>
      </c>
      <c r="DU359">
        <v>6</v>
      </c>
      <c r="DV359">
        <v>7</v>
      </c>
      <c r="DX359">
        <v>8</v>
      </c>
      <c r="DY359">
        <v>9</v>
      </c>
      <c r="DZ359">
        <v>10</v>
      </c>
      <c r="EA359">
        <v>11</v>
      </c>
      <c r="EB359">
        <v>12</v>
      </c>
      <c r="EC359">
        <v>13</v>
      </c>
      <c r="ED359" t="s">
        <v>3085</v>
      </c>
      <c r="EE359" t="s">
        <v>3085</v>
      </c>
      <c r="EF359" t="s">
        <v>3085</v>
      </c>
      <c r="EG359" t="s">
        <v>3085</v>
      </c>
      <c r="EH359" t="s">
        <v>3085</v>
      </c>
      <c r="EI359" t="s">
        <v>3085</v>
      </c>
      <c r="EJ359" t="s">
        <v>3085</v>
      </c>
      <c r="EK359" t="s">
        <v>3085</v>
      </c>
      <c r="EL359" t="s">
        <v>3085</v>
      </c>
      <c r="EM359" t="s">
        <v>3085</v>
      </c>
      <c r="EN359" t="s">
        <v>3085</v>
      </c>
      <c r="EO359" t="s">
        <v>3085</v>
      </c>
      <c r="EP359" t="s">
        <v>3085</v>
      </c>
      <c r="EQ359" s="16" t="s">
        <v>3085</v>
      </c>
    </row>
    <row r="360" spans="1:610" x14ac:dyDescent="0.25">
      <c r="A360" s="62" t="s">
        <v>2105</v>
      </c>
      <c r="B360" s="65" t="s">
        <v>2098</v>
      </c>
      <c r="P360" t="s">
        <v>3084</v>
      </c>
      <c r="T360" s="14" t="s">
        <v>2117</v>
      </c>
      <c r="U360">
        <v>11</v>
      </c>
      <c r="V360" t="s">
        <v>2162</v>
      </c>
      <c r="AC360" t="str">
        <f t="shared" si="1662"/>
        <v>A5.2</v>
      </c>
      <c r="AD360" s="46" cm="1">
        <f t="array" ref="AD360">IF(COUNTIFS(AC$341:AC360,AC360)=1,"1",VALUE(SUBSTITUTE(INDEX(AD:AD,_xlfn.XMATCH(AC360,AC$1:AC359,0,-1)),"A",""))+INDEX(AE:AE,_xlfn.XMATCH(AC360,AC$1:AC359,0,-1))+1)</f>
        <v>12</v>
      </c>
      <c r="AE360" s="46" cm="1">
        <f t="array" ref="AE360">SUM(IF(ISNUMBER(FIND("TmDi",$BE$1:$AAL$1)),IF(IFERROR(ISNUMBER(VALUE(SUBSTITUTE($BE360:$AAL360,"B",""))),FALSE),IF(ISNUMBER(VALUE(SUBSTITUTE($BE360:$AAL360,"B",""))),1,0),0)))</f>
        <v>4</v>
      </c>
      <c r="AF360" t="str">
        <f t="shared" si="1713"/>
        <v>C12</v>
      </c>
      <c r="AG360" t="str">
        <f t="shared" si="1714"/>
        <v>B12</v>
      </c>
      <c r="AH360" t="str">
        <f t="shared" si="1715"/>
        <v>A6.1</v>
      </c>
      <c r="AI360" s="73" cm="1">
        <f t="array" ref="AI360">IF(COUNTIFS(AH$341:AH360,AH360)=1,"1",VALUE(SUBSTITUTE(INDEX(AI:AI,_xlfn.XMATCH(AH360,AH$1:AH359,0,-1)),"A",""))+INDEX(AJ:AJ,_xlfn.XMATCH(AH360,AH$1:AH359,0,-1))+1)</f>
        <v>23</v>
      </c>
      <c r="AJ360" s="73" cm="1">
        <f t="array" ref="AJ360">SUM(IF(ISNUMBER(FIND("TmDo",$BE$1:$AAL$1)),IF(IFERROR(ISNUMBER(VALUE(SUBSTITUTE($BE360:$AAL360,"B",""))),FALSE),IF(ISNUMBER(VALUE(SUBSTITUTE($BE360:$AAL360,"B",""))),1,0),0)))</f>
        <v>2</v>
      </c>
      <c r="AK360" t="str">
        <f t="shared" si="1515"/>
        <v>23A</v>
      </c>
      <c r="AL360" t="str">
        <f t="shared" si="1516"/>
        <v>23B</v>
      </c>
      <c r="AM360" t="s">
        <v>172</v>
      </c>
      <c r="AP360" t="s">
        <v>2119</v>
      </c>
      <c r="AQ360" t="s">
        <v>2137</v>
      </c>
      <c r="AT360" t="s">
        <v>139</v>
      </c>
      <c r="AU360" t="s">
        <v>140</v>
      </c>
      <c r="BE360" t="str">
        <f t="shared" ref="BE360:BE364" si="1732">CONCATENATE("XT",U360)</f>
        <v>XT11</v>
      </c>
      <c r="BF360" t="str">
        <f t="shared" ref="BF360:BF364" si="1733">CONCATENATE("C",REPLACE(AF360,1,1,"")+1)</f>
        <v>C13</v>
      </c>
      <c r="BG360" t="str">
        <f t="shared" ref="BG360:BG364" si="1734">CONCATENATE("B",REPLACE(AG360,1,1,"")+1)</f>
        <v>B13</v>
      </c>
      <c r="BH360" t="str">
        <f t="shared" ref="BH360:BH364" si="1735">CONCATENATE("C",REPLACE(BF360,1,1,"")+1)</f>
        <v>C14</v>
      </c>
      <c r="BI360" t="str">
        <f t="shared" ref="BI360:BI364" si="1736">CONCATENATE("B",REPLACE(BG360,1,1,"")+1)</f>
        <v>B14</v>
      </c>
      <c r="BJ360" t="str">
        <f t="shared" ref="BJ360:BJ364" si="1737">CONCATENATE("C",REPLACE(BH360,1,1,"")+1)</f>
        <v>C15</v>
      </c>
      <c r="BK360" t="str">
        <f t="shared" ref="BK360:BK364" si="1738">CONCATENATE("B",REPLACE(BI360,1,1,"")+1)</f>
        <v>B15</v>
      </c>
      <c r="BL360" t="str">
        <f t="shared" ref="BL360:BL362" si="1739">CONCATENATE("C",REPLACE(BJ360,1,1,"")+1)</f>
        <v>C16</v>
      </c>
      <c r="BM360" t="str">
        <f t="shared" ref="BM360:BM362" si="1740">CONCATENATE("B",REPLACE(BK360,1,1,"")+1)</f>
        <v>B16</v>
      </c>
      <c r="BP360" t="str">
        <f t="shared" ref="BP360:BP364" si="1741">CONCATENATE(REPLACE(AK360,LEN(AK360),1,"")+1,"A")</f>
        <v>24A</v>
      </c>
      <c r="BQ360" t="str">
        <f t="shared" ref="BQ360:BQ364" si="1742">CONCATENATE(REPLACE(AL360,LEN(AL360),1,"")+1,"B")</f>
        <v>24B</v>
      </c>
      <c r="BR360" t="str">
        <f t="shared" ref="BR360:BR364" si="1743">CONCATENATE(REPLACE(BP360,LEN(BP360),1,"")+1,"A")</f>
        <v>25A</v>
      </c>
      <c r="BS360" t="str">
        <f t="shared" ref="BS360:BS364" si="1744">CONCATENATE(REPLACE(BQ360,LEN(BQ360),1,"")+1,"B")</f>
        <v>25B</v>
      </c>
      <c r="BT360" t="str">
        <f t="shared" ref="BT360:BT364" si="1745">CONCATENATE("DI",REPLACE($AC360,1,3,""),"-",AF360)</f>
        <v>DI2-C12</v>
      </c>
      <c r="BU360" t="str">
        <f t="shared" ref="BU360:BU364" si="1746">CONCATENATE("DI",REPLACE($AC360,1,3,""),"-",AG360)</f>
        <v>DI2-B12</v>
      </c>
      <c r="BV360" t="str">
        <f t="shared" ref="BV360:BV364" si="1747">CONCATENATE("DI",REPLACE($AC360,1,3,""),"-",BF360)</f>
        <v>DI2-C13</v>
      </c>
      <c r="BW360" t="str">
        <f t="shared" ref="BW360:BW364" si="1748">CONCATENATE("DI",REPLACE($AC360,1,3,""),"-",BG360)</f>
        <v>DI2-B13</v>
      </c>
      <c r="BX360" t="str">
        <f t="shared" ref="BX360:BX364" si="1749">CONCATENATE("DI",REPLACE($AC360,1,3,""),"-",BH360)</f>
        <v>DI2-C14</v>
      </c>
      <c r="BY360" t="str">
        <f t="shared" ref="BY360:BY364" si="1750">CONCATENATE("DI",REPLACE($AC360,1,3,""),"-",BI360)</f>
        <v>DI2-B14</v>
      </c>
      <c r="BZ360" t="str">
        <f t="shared" ref="BZ360:BZ364" si="1751">CONCATENATE("DI",REPLACE($AC360,1,3,""),"-",BJ360)</f>
        <v>DI2-C15</v>
      </c>
      <c r="CA360" t="str">
        <f t="shared" ref="CA360:CA364" si="1752">CONCATENATE("DI",REPLACE($AC360,1,3,""),"-",BK360)</f>
        <v>DI2-B15</v>
      </c>
      <c r="CB360" t="str">
        <f t="shared" ref="CB360:CB364" si="1753">CONCATENATE("DI",REPLACE($AC360,1,3,""),"-",BL360)</f>
        <v>DI2-C16</v>
      </c>
      <c r="CC360" t="str">
        <f t="shared" ref="CC360:CC364" si="1754">CONCATENATE("DI",REPLACE($AC360,1,3,""),"-",BM360)</f>
        <v>DI2-B16</v>
      </c>
      <c r="CD360" t="str">
        <f t="shared" ref="CD360:CD364" si="1755">CONCATENATE("DI",REPLACE($AC360,1,3,""),"-",BN360)</f>
        <v>DI2-</v>
      </c>
      <c r="CE360" t="str">
        <f t="shared" ref="CE360:CE364" si="1756">CONCATENATE("DI",REPLACE($AC360,1,3,""),"-",BO360)</f>
        <v>DI2-</v>
      </c>
      <c r="CF360" t="str">
        <f t="shared" ref="CF360:CF364" si="1757">CONCATENATE("DO",REPLACE($AH360,1,3,""),"-",AK360)</f>
        <v>DO1-23A</v>
      </c>
      <c r="CG360" t="str">
        <f t="shared" ref="CG360:CG364" si="1758">CONCATENATE("DO",REPLACE($AH360,1,3,""),"-",AL360)</f>
        <v>DO1-23B</v>
      </c>
      <c r="CH360" t="str">
        <f t="shared" ref="CH360:CH364" si="1759">CONCATENATE("DO",REPLACE($AH360,1,3,""),"-",BP360)</f>
        <v>DO1-24A</v>
      </c>
      <c r="CI360" t="str">
        <f t="shared" ref="CI360:CI364" si="1760">CONCATENATE("DO",REPLACE($AH360,1,3,""),"-",BQ360)</f>
        <v>DO1-24B</v>
      </c>
      <c r="CJ360" t="str">
        <f t="shared" ref="CJ360:CJ364" si="1761">CONCATENATE("DO",REPLACE($AH360,1,3,""),"-",BR360)</f>
        <v>DO1-25A</v>
      </c>
      <c r="CK360" t="str">
        <f t="shared" ref="CK360:CK364" si="1762">CONCATENATE("DO",REPLACE($AH360,1,3,""),"-",BS360)</f>
        <v>DO1-25B</v>
      </c>
      <c r="CL360" t="str">
        <f t="shared" si="1720"/>
        <v>K11-10</v>
      </c>
      <c r="CM360" t="str">
        <f t="shared" si="1721"/>
        <v>K11-03</v>
      </c>
      <c r="CN360" t="str">
        <f t="shared" si="1722"/>
        <v>K11-04</v>
      </c>
      <c r="CO360" t="str">
        <f t="shared" si="1723"/>
        <v>K11-01</v>
      </c>
      <c r="CP360" t="str">
        <f t="shared" si="1724"/>
        <v>K11-08</v>
      </c>
      <c r="CQ360" t="str">
        <f t="shared" si="1725"/>
        <v>K11-02</v>
      </c>
      <c r="CR360" t="str">
        <f t="shared" si="1726"/>
        <v>K11-09</v>
      </c>
      <c r="CS360" t="str">
        <f t="shared" si="1727"/>
        <v>K11-05</v>
      </c>
      <c r="CT360" t="str">
        <f t="shared" si="1728"/>
        <v>K11-11</v>
      </c>
      <c r="CU360" t="str">
        <f t="shared" si="1702"/>
        <v>E2-M11-A9</v>
      </c>
      <c r="CV360" t="str">
        <f t="shared" si="1729"/>
        <v>E2-M11-A7</v>
      </c>
      <c r="CW360" t="str">
        <f t="shared" si="1730"/>
        <v>E2-M11-A8</v>
      </c>
      <c r="CX360" t="str">
        <f t="shared" si="1703"/>
        <v>E2-M11-A6</v>
      </c>
      <c r="CY360" t="str">
        <f t="shared" si="1704"/>
        <v>E2-M11-A30</v>
      </c>
      <c r="CZ360" t="str">
        <f t="shared" si="1731"/>
        <v>E2-M11-N</v>
      </c>
      <c r="DA360" t="str">
        <f t="shared" ref="DA360:DA364" si="1763">CONCATENATE($T360,"-A220-M",U360)</f>
        <v>E2-A220-M11</v>
      </c>
      <c r="DB360" t="str">
        <f t="shared" si="1706"/>
        <v>E2-M11-XM01</v>
      </c>
      <c r="DC360" t="str">
        <f t="shared" si="1707"/>
        <v>E2-M11-A1</v>
      </c>
      <c r="DD360" t="str">
        <f t="shared" si="1708"/>
        <v>E2-M11-A5</v>
      </c>
      <c r="DE360" t="str">
        <f t="shared" si="1709"/>
        <v>E2-M11-A11</v>
      </c>
      <c r="DF360" t="str">
        <f t="shared" si="1710"/>
        <v>E2-M11-A12</v>
      </c>
      <c r="DG360" t="str">
        <f t="shared" si="1711"/>
        <v>E2-M11-A19</v>
      </c>
      <c r="DH360" t="str">
        <f t="shared" si="1712"/>
        <v>E2-M11-A20</v>
      </c>
      <c r="DI360" t="s">
        <v>142</v>
      </c>
      <c r="DJ360" t="s">
        <v>143</v>
      </c>
      <c r="DK360">
        <v>11</v>
      </c>
      <c r="DL360">
        <v>14</v>
      </c>
      <c r="DM360">
        <v>12</v>
      </c>
      <c r="DN360" t="s">
        <v>144</v>
      </c>
      <c r="DO360" t="str">
        <f>DO359</f>
        <v>L6</v>
      </c>
      <c r="DP360">
        <v>1</v>
      </c>
      <c r="DQ360">
        <v>2</v>
      </c>
      <c r="DR360">
        <v>3</v>
      </c>
      <c r="DS360">
        <v>4</v>
      </c>
      <c r="DT360">
        <v>5</v>
      </c>
      <c r="DU360">
        <v>6</v>
      </c>
      <c r="DV360">
        <v>7</v>
      </c>
      <c r="DX360">
        <v>8</v>
      </c>
      <c r="DY360">
        <v>9</v>
      </c>
      <c r="DZ360">
        <v>10</v>
      </c>
      <c r="EA360">
        <v>11</v>
      </c>
      <c r="EB360">
        <v>12</v>
      </c>
      <c r="EC360">
        <v>13</v>
      </c>
      <c r="ED360" t="s">
        <v>3085</v>
      </c>
      <c r="EE360" t="s">
        <v>3085</v>
      </c>
      <c r="EF360" t="s">
        <v>3085</v>
      </c>
      <c r="EG360" t="s">
        <v>3085</v>
      </c>
      <c r="EH360" t="s">
        <v>3085</v>
      </c>
      <c r="EI360" t="s">
        <v>3085</v>
      </c>
      <c r="EJ360" t="s">
        <v>3085</v>
      </c>
      <c r="EK360" t="s">
        <v>3085</v>
      </c>
      <c r="EL360" t="s">
        <v>3085</v>
      </c>
      <c r="EM360" t="s">
        <v>3085</v>
      </c>
      <c r="EN360" t="s">
        <v>3085</v>
      </c>
      <c r="EO360" t="s">
        <v>3085</v>
      </c>
      <c r="EP360" t="s">
        <v>3085</v>
      </c>
      <c r="EQ360" s="16" t="s">
        <v>3085</v>
      </c>
    </row>
    <row r="361" spans="1:610" x14ac:dyDescent="0.25">
      <c r="A361" s="62" t="s">
        <v>2104</v>
      </c>
      <c r="B361" s="65" t="s">
        <v>2099</v>
      </c>
      <c r="P361" t="s">
        <v>3084</v>
      </c>
      <c r="T361" s="14" t="s">
        <v>2117</v>
      </c>
      <c r="U361">
        <v>12</v>
      </c>
      <c r="V361" t="s">
        <v>2163</v>
      </c>
      <c r="AC361" t="str">
        <f t="shared" si="1662"/>
        <v>A5.2</v>
      </c>
      <c r="AD361" s="46" cm="1">
        <f t="array" ref="AD361">IF(COUNTIFS(AC$341:AC361,AC361)=1,"1",VALUE(SUBSTITUTE(INDEX(AD:AD,_xlfn.XMATCH(AC361,AC$1:AC360,0,-1)),"A",""))+INDEX(AE:AE,_xlfn.XMATCH(AC361,AC$1:AC360,0,-1))+1)</f>
        <v>17</v>
      </c>
      <c r="AE361" s="46" cm="1">
        <f t="array" ref="AE361">SUM(IF(ISNUMBER(FIND("TmDi",$BE$1:$AAL$1)),IF(IFERROR(ISNUMBER(VALUE(SUBSTITUTE($BE361:$AAL361,"B",""))),FALSE),IF(ISNUMBER(VALUE(SUBSTITUTE($BE361:$AAL361,"B",""))),1,0),0)))</f>
        <v>4</v>
      </c>
      <c r="AF361" t="str">
        <f t="shared" si="1713"/>
        <v>C17</v>
      </c>
      <c r="AG361" t="str">
        <f t="shared" si="1714"/>
        <v>B17</v>
      </c>
      <c r="AH361" t="str">
        <f t="shared" si="1715"/>
        <v>A6.1</v>
      </c>
      <c r="AI361" s="73" cm="1">
        <f t="array" ref="AI361">IF(COUNTIFS(AH$341:AH361,AH361)=1,"1",VALUE(SUBSTITUTE(INDEX(AI:AI,_xlfn.XMATCH(AH361,AH$1:AH360,0,-1)),"A",""))+INDEX(AJ:AJ,_xlfn.XMATCH(AH361,AH$1:AH360,0,-1))+1)</f>
        <v>26</v>
      </c>
      <c r="AJ361" s="73" cm="1">
        <f t="array" ref="AJ361">SUM(IF(ISNUMBER(FIND("TmDo",$BE$1:$AAL$1)),IF(IFERROR(ISNUMBER(VALUE(SUBSTITUTE($BE361:$AAL361,"B",""))),FALSE),IF(ISNUMBER(VALUE(SUBSTITUTE($BE361:$AAL361,"B",""))),1,0),0)))</f>
        <v>2</v>
      </c>
      <c r="AK361" t="str">
        <f t="shared" si="1515"/>
        <v>26A</v>
      </c>
      <c r="AL361" t="str">
        <f t="shared" si="1516"/>
        <v>26B</v>
      </c>
      <c r="AM361" t="s">
        <v>175</v>
      </c>
      <c r="AP361" t="s">
        <v>2119</v>
      </c>
      <c r="AQ361" t="s">
        <v>2137</v>
      </c>
      <c r="AT361" t="s">
        <v>139</v>
      </c>
      <c r="AU361" t="s">
        <v>140</v>
      </c>
      <c r="BE361" t="str">
        <f t="shared" si="1732"/>
        <v>XT12</v>
      </c>
      <c r="BF361" t="str">
        <f t="shared" si="1733"/>
        <v>C18</v>
      </c>
      <c r="BG361" t="str">
        <f t="shared" si="1734"/>
        <v>B18</v>
      </c>
      <c r="BH361" t="str">
        <f t="shared" si="1735"/>
        <v>C19</v>
      </c>
      <c r="BI361" t="str">
        <f t="shared" si="1736"/>
        <v>B19</v>
      </c>
      <c r="BJ361" t="str">
        <f t="shared" si="1737"/>
        <v>C20</v>
      </c>
      <c r="BK361" t="str">
        <f t="shared" si="1738"/>
        <v>B20</v>
      </c>
      <c r="BL361" t="str">
        <f t="shared" si="1739"/>
        <v>C21</v>
      </c>
      <c r="BM361" t="str">
        <f t="shared" si="1740"/>
        <v>B21</v>
      </c>
      <c r="BP361" t="str">
        <f t="shared" si="1741"/>
        <v>27A</v>
      </c>
      <c r="BQ361" t="str">
        <f t="shared" si="1742"/>
        <v>27B</v>
      </c>
      <c r="BR361" t="str">
        <f t="shared" si="1743"/>
        <v>28A</v>
      </c>
      <c r="BS361" t="str">
        <f t="shared" si="1744"/>
        <v>28B</v>
      </c>
      <c r="BT361" t="str">
        <f t="shared" si="1745"/>
        <v>DI2-C17</v>
      </c>
      <c r="BU361" t="str">
        <f t="shared" si="1746"/>
        <v>DI2-B17</v>
      </c>
      <c r="BV361" t="str">
        <f t="shared" si="1747"/>
        <v>DI2-C18</v>
      </c>
      <c r="BW361" t="str">
        <f t="shared" si="1748"/>
        <v>DI2-B18</v>
      </c>
      <c r="BX361" t="str">
        <f t="shared" si="1749"/>
        <v>DI2-C19</v>
      </c>
      <c r="BY361" t="str">
        <f t="shared" si="1750"/>
        <v>DI2-B19</v>
      </c>
      <c r="BZ361" t="str">
        <f t="shared" si="1751"/>
        <v>DI2-C20</v>
      </c>
      <c r="CA361" t="str">
        <f t="shared" si="1752"/>
        <v>DI2-B20</v>
      </c>
      <c r="CB361" t="str">
        <f t="shared" si="1753"/>
        <v>DI2-C21</v>
      </c>
      <c r="CC361" t="str">
        <f t="shared" si="1754"/>
        <v>DI2-B21</v>
      </c>
      <c r="CD361" t="str">
        <f t="shared" si="1755"/>
        <v>DI2-</v>
      </c>
      <c r="CE361" t="str">
        <f t="shared" si="1756"/>
        <v>DI2-</v>
      </c>
      <c r="CF361" t="str">
        <f t="shared" si="1757"/>
        <v>DO1-26A</v>
      </c>
      <c r="CG361" t="str">
        <f t="shared" si="1758"/>
        <v>DO1-26B</v>
      </c>
      <c r="CH361" t="str">
        <f t="shared" si="1759"/>
        <v>DO1-27A</v>
      </c>
      <c r="CI361" t="str">
        <f t="shared" si="1760"/>
        <v>DO1-27B</v>
      </c>
      <c r="CJ361" t="str">
        <f t="shared" si="1761"/>
        <v>DO1-28A</v>
      </c>
      <c r="CK361" t="str">
        <f t="shared" si="1762"/>
        <v>DO1-28B</v>
      </c>
      <c r="CL361" t="str">
        <f t="shared" si="1720"/>
        <v>K12-10</v>
      </c>
      <c r="CM361" t="str">
        <f t="shared" si="1721"/>
        <v>K12-03</v>
      </c>
      <c r="CN361" t="str">
        <f t="shared" si="1722"/>
        <v>K12-04</v>
      </c>
      <c r="CO361" t="str">
        <f t="shared" si="1723"/>
        <v>K12-01</v>
      </c>
      <c r="CP361" t="str">
        <f t="shared" si="1724"/>
        <v>K12-08</v>
      </c>
      <c r="CQ361" t="str">
        <f t="shared" si="1725"/>
        <v>K12-02</v>
      </c>
      <c r="CR361" t="str">
        <f t="shared" si="1726"/>
        <v>K12-09</v>
      </c>
      <c r="CS361" t="str">
        <f t="shared" si="1727"/>
        <v>K12-05</v>
      </c>
      <c r="CT361" t="str">
        <f t="shared" si="1728"/>
        <v>K12-11</v>
      </c>
      <c r="CU361" t="str">
        <f t="shared" si="1702"/>
        <v>E2-M12-A9</v>
      </c>
      <c r="CV361" t="str">
        <f t="shared" si="1729"/>
        <v>E2-M12-A7</v>
      </c>
      <c r="CW361" t="str">
        <f t="shared" si="1730"/>
        <v>E2-M12-A8</v>
      </c>
      <c r="CX361" t="str">
        <f t="shared" si="1703"/>
        <v>E2-M12-A6</v>
      </c>
      <c r="CY361" t="str">
        <f t="shared" si="1704"/>
        <v>E2-M12-A30</v>
      </c>
      <c r="CZ361" t="str">
        <f t="shared" si="1731"/>
        <v>E2-M12-N</v>
      </c>
      <c r="DA361" t="str">
        <f t="shared" si="1763"/>
        <v>E2-A220-M12</v>
      </c>
      <c r="DB361" t="str">
        <f t="shared" si="1706"/>
        <v>E2-M12-XM01</v>
      </c>
      <c r="DC361" t="str">
        <f t="shared" si="1707"/>
        <v>E2-M12-A1</v>
      </c>
      <c r="DD361" t="str">
        <f t="shared" si="1708"/>
        <v>E2-M12-A5</v>
      </c>
      <c r="DE361" t="str">
        <f t="shared" si="1709"/>
        <v>E2-M12-A11</v>
      </c>
      <c r="DF361" t="str">
        <f t="shared" si="1710"/>
        <v>E2-M12-A12</v>
      </c>
      <c r="DG361" t="str">
        <f t="shared" si="1711"/>
        <v>E2-M12-A19</v>
      </c>
      <c r="DH361" t="str">
        <f t="shared" si="1712"/>
        <v>E2-M12-A20</v>
      </c>
      <c r="DI361" t="s">
        <v>142</v>
      </c>
      <c r="DJ361" t="s">
        <v>143</v>
      </c>
      <c r="DK361">
        <v>11</v>
      </c>
      <c r="DL361">
        <v>14</v>
      </c>
      <c r="DM361">
        <v>12</v>
      </c>
      <c r="DN361" t="s">
        <v>144</v>
      </c>
      <c r="DO361" t="str">
        <f t="shared" ref="DO361:DO362" si="1764">DO360</f>
        <v>L6</v>
      </c>
      <c r="DP361">
        <v>1</v>
      </c>
      <c r="DQ361">
        <v>2</v>
      </c>
      <c r="DR361">
        <v>3</v>
      </c>
      <c r="DS361">
        <v>4</v>
      </c>
      <c r="DT361">
        <v>5</v>
      </c>
      <c r="DU361">
        <v>6</v>
      </c>
      <c r="DV361">
        <v>7</v>
      </c>
      <c r="DX361">
        <v>8</v>
      </c>
      <c r="DY361">
        <v>9</v>
      </c>
      <c r="DZ361">
        <v>10</v>
      </c>
      <c r="EA361">
        <v>11</v>
      </c>
      <c r="EB361">
        <v>12</v>
      </c>
      <c r="EC361">
        <v>13</v>
      </c>
      <c r="ED361" t="s">
        <v>3085</v>
      </c>
      <c r="EE361" t="s">
        <v>3085</v>
      </c>
      <c r="EF361" t="s">
        <v>3085</v>
      </c>
      <c r="EG361" t="s">
        <v>3085</v>
      </c>
      <c r="EH361" t="s">
        <v>3085</v>
      </c>
      <c r="EI361" t="s">
        <v>3085</v>
      </c>
      <c r="EJ361" t="s">
        <v>3085</v>
      </c>
      <c r="EK361" t="s">
        <v>3085</v>
      </c>
      <c r="EL361" t="s">
        <v>3085</v>
      </c>
      <c r="EM361" t="s">
        <v>3085</v>
      </c>
      <c r="EN361" t="s">
        <v>3085</v>
      </c>
      <c r="EO361" t="s">
        <v>3085</v>
      </c>
      <c r="EP361" t="s">
        <v>3085</v>
      </c>
      <c r="EQ361" s="16" t="s">
        <v>3085</v>
      </c>
    </row>
    <row r="362" spans="1:610" x14ac:dyDescent="0.25">
      <c r="A362" s="62" t="s">
        <v>2107</v>
      </c>
      <c r="B362" s="65" t="s">
        <v>2096</v>
      </c>
      <c r="P362" t="s">
        <v>3084</v>
      </c>
      <c r="T362" s="14" t="s">
        <v>2117</v>
      </c>
      <c r="U362">
        <v>13</v>
      </c>
      <c r="V362" t="s">
        <v>2164</v>
      </c>
      <c r="AC362" t="str">
        <f t="shared" si="1662"/>
        <v>A5.2</v>
      </c>
      <c r="AD362" s="46" cm="1">
        <f t="array" ref="AD362">IF(COUNTIFS(AC$341:AC362,AC362)=1,"1",VALUE(SUBSTITUTE(INDEX(AD:AD,_xlfn.XMATCH(AC362,AC$1:AC361,0,-1)),"A",""))+INDEX(AE:AE,_xlfn.XMATCH(AC362,AC$1:AC361,0,-1))+1)</f>
        <v>22</v>
      </c>
      <c r="AE362" s="46" cm="1">
        <f t="array" ref="AE362">SUM(IF(ISNUMBER(FIND("TmDi",$BE$1:$AAL$1)),IF(IFERROR(ISNUMBER(VALUE(SUBSTITUTE($BE362:$AAL362,"B",""))),FALSE),IF(ISNUMBER(VALUE(SUBSTITUTE($BE362:$AAL362,"B",""))),1,0),0)))</f>
        <v>4</v>
      </c>
      <c r="AF362" t="str">
        <f t="shared" si="1713"/>
        <v>C22</v>
      </c>
      <c r="AG362" t="str">
        <f t="shared" si="1714"/>
        <v>B22</v>
      </c>
      <c r="AH362" t="str">
        <f>IF(AI361+AJ361&gt;27,REPLACE(AH361,LEN(AH361),1,VALUE(RIGHT(AH361,1))+1),AH361)</f>
        <v>A6.2</v>
      </c>
      <c r="AI362" s="73" t="str" cm="1">
        <f t="array" ref="AI362">IF(COUNTIFS(AH$341:AH362,AH362)=1,"1",VALUE(SUBSTITUTE(INDEX(AI:AI,_xlfn.XMATCH(AH362,AH$1:AH361,0,-1)),"A",""))+INDEX(AJ:AJ,_xlfn.XMATCH(AH362,AH$1:AH361,0,-1))+1)</f>
        <v>1</v>
      </c>
      <c r="AJ362" s="73" cm="1">
        <f t="array" ref="AJ362">SUM(IF(ISNUMBER(FIND("TmDo",$BE$1:$AAL$1)),IF(IFERROR(ISNUMBER(VALUE(SUBSTITUTE($BE362:$AAL362,"B",""))),FALSE),IF(ISNUMBER(VALUE(SUBSTITUTE($BE362:$AAL362,"B",""))),1,0),0)))</f>
        <v>2</v>
      </c>
      <c r="AK362" t="str">
        <f t="shared" si="1515"/>
        <v>1A</v>
      </c>
      <c r="AL362" t="str">
        <f t="shared" si="1516"/>
        <v>1B</v>
      </c>
      <c r="AM362" t="s">
        <v>178</v>
      </c>
      <c r="AP362" t="s">
        <v>2119</v>
      </c>
      <c r="AQ362" t="s">
        <v>2137</v>
      </c>
      <c r="AT362" t="s">
        <v>139</v>
      </c>
      <c r="AU362" t="s">
        <v>140</v>
      </c>
      <c r="BE362" t="str">
        <f t="shared" si="1732"/>
        <v>XT13</v>
      </c>
      <c r="BF362" t="str">
        <f t="shared" si="1733"/>
        <v>C23</v>
      </c>
      <c r="BG362" t="str">
        <f t="shared" si="1734"/>
        <v>B23</v>
      </c>
      <c r="BH362" t="str">
        <f t="shared" si="1735"/>
        <v>C24</v>
      </c>
      <c r="BI362" t="str">
        <f t="shared" si="1736"/>
        <v>B24</v>
      </c>
      <c r="BJ362" t="str">
        <f t="shared" si="1737"/>
        <v>C25</v>
      </c>
      <c r="BK362" t="str">
        <f t="shared" si="1738"/>
        <v>B25</v>
      </c>
      <c r="BL362" t="str">
        <f t="shared" si="1739"/>
        <v>C26</v>
      </c>
      <c r="BM362" t="str">
        <f t="shared" si="1740"/>
        <v>B26</v>
      </c>
      <c r="BP362" t="str">
        <f t="shared" si="1741"/>
        <v>2A</v>
      </c>
      <c r="BQ362" t="str">
        <f t="shared" si="1742"/>
        <v>2B</v>
      </c>
      <c r="BR362" t="str">
        <f t="shared" si="1743"/>
        <v>3A</v>
      </c>
      <c r="BS362" t="str">
        <f t="shared" si="1744"/>
        <v>3B</v>
      </c>
      <c r="BT362" t="str">
        <f t="shared" si="1745"/>
        <v>DI2-C22</v>
      </c>
      <c r="BU362" t="str">
        <f t="shared" si="1746"/>
        <v>DI2-B22</v>
      </c>
      <c r="BV362" t="str">
        <f t="shared" si="1747"/>
        <v>DI2-C23</v>
      </c>
      <c r="BW362" t="str">
        <f t="shared" si="1748"/>
        <v>DI2-B23</v>
      </c>
      <c r="BX362" t="str">
        <f t="shared" si="1749"/>
        <v>DI2-C24</v>
      </c>
      <c r="BY362" t="str">
        <f t="shared" si="1750"/>
        <v>DI2-B24</v>
      </c>
      <c r="BZ362" t="str">
        <f t="shared" si="1751"/>
        <v>DI2-C25</v>
      </c>
      <c r="CA362" t="str">
        <f t="shared" si="1752"/>
        <v>DI2-B25</v>
      </c>
      <c r="CB362" t="str">
        <f t="shared" si="1753"/>
        <v>DI2-C26</v>
      </c>
      <c r="CC362" t="str">
        <f t="shared" si="1754"/>
        <v>DI2-B26</v>
      </c>
      <c r="CD362" t="str">
        <f t="shared" si="1755"/>
        <v>DI2-</v>
      </c>
      <c r="CE362" t="str">
        <f t="shared" si="1756"/>
        <v>DI2-</v>
      </c>
      <c r="CF362" t="str">
        <f t="shared" si="1757"/>
        <v>DO2-1A</v>
      </c>
      <c r="CG362" t="str">
        <f t="shared" si="1758"/>
        <v>DO2-1B</v>
      </c>
      <c r="CH362" t="str">
        <f t="shared" si="1759"/>
        <v>DO2-2A</v>
      </c>
      <c r="CI362" t="str">
        <f t="shared" si="1760"/>
        <v>DO2-2B</v>
      </c>
      <c r="CJ362" t="str">
        <f t="shared" si="1761"/>
        <v>DO2-3A</v>
      </c>
      <c r="CK362" t="str">
        <f t="shared" si="1762"/>
        <v>DO2-3B</v>
      </c>
      <c r="CL362" t="str">
        <f t="shared" si="1720"/>
        <v>K13-10</v>
      </c>
      <c r="CM362" t="str">
        <f t="shared" si="1721"/>
        <v>K13-03</v>
      </c>
      <c r="CN362" t="str">
        <f t="shared" si="1722"/>
        <v>K13-04</v>
      </c>
      <c r="CO362" t="str">
        <f t="shared" si="1723"/>
        <v>K13-01</v>
      </c>
      <c r="CP362" t="str">
        <f t="shared" si="1724"/>
        <v>K13-08</v>
      </c>
      <c r="CQ362" t="str">
        <f t="shared" si="1725"/>
        <v>K13-02</v>
      </c>
      <c r="CR362" t="str">
        <f t="shared" si="1726"/>
        <v>K13-09</v>
      </c>
      <c r="CS362" t="str">
        <f t="shared" si="1727"/>
        <v>K13-05</v>
      </c>
      <c r="CT362" t="str">
        <f t="shared" si="1728"/>
        <v>K13-11</v>
      </c>
      <c r="CU362" t="str">
        <f t="shared" si="1702"/>
        <v>E2-M13-A9</v>
      </c>
      <c r="CV362" t="str">
        <f t="shared" si="1729"/>
        <v>E2-M13-A7</v>
      </c>
      <c r="CW362" t="str">
        <f t="shared" si="1730"/>
        <v>E2-M13-A8</v>
      </c>
      <c r="CX362" t="str">
        <f t="shared" si="1703"/>
        <v>E2-M13-A6</v>
      </c>
      <c r="CY362" t="str">
        <f t="shared" si="1704"/>
        <v>E2-M13-A30</v>
      </c>
      <c r="CZ362" t="str">
        <f t="shared" si="1731"/>
        <v>E2-M13-N</v>
      </c>
      <c r="DA362" t="str">
        <f t="shared" si="1763"/>
        <v>E2-A220-M13</v>
      </c>
      <c r="DB362" t="str">
        <f t="shared" si="1706"/>
        <v>E2-M13-XM01</v>
      </c>
      <c r="DC362" t="str">
        <f t="shared" si="1707"/>
        <v>E2-M13-A1</v>
      </c>
      <c r="DD362" t="str">
        <f t="shared" si="1708"/>
        <v>E2-M13-A5</v>
      </c>
      <c r="DE362" t="str">
        <f t="shared" si="1709"/>
        <v>E2-M13-A11</v>
      </c>
      <c r="DF362" t="str">
        <f t="shared" si="1710"/>
        <v>E2-M13-A12</v>
      </c>
      <c r="DG362" t="str">
        <f t="shared" si="1711"/>
        <v>E2-M13-A19</v>
      </c>
      <c r="DH362" t="str">
        <f t="shared" si="1712"/>
        <v>E2-M13-A20</v>
      </c>
      <c r="DI362" t="s">
        <v>142</v>
      </c>
      <c r="DJ362" t="s">
        <v>143</v>
      </c>
      <c r="DK362">
        <v>11</v>
      </c>
      <c r="DL362">
        <v>14</v>
      </c>
      <c r="DM362">
        <v>12</v>
      </c>
      <c r="DN362" t="s">
        <v>144</v>
      </c>
      <c r="DO362" t="str">
        <f t="shared" si="1764"/>
        <v>L6</v>
      </c>
      <c r="DP362">
        <v>1</v>
      </c>
      <c r="DQ362">
        <v>2</v>
      </c>
      <c r="DR362">
        <v>3</v>
      </c>
      <c r="DS362">
        <v>4</v>
      </c>
      <c r="DT362">
        <v>5</v>
      </c>
      <c r="DU362">
        <v>6</v>
      </c>
      <c r="DV362">
        <v>7</v>
      </c>
      <c r="DX362">
        <v>8</v>
      </c>
      <c r="DY362">
        <v>9</v>
      </c>
      <c r="DZ362">
        <v>10</v>
      </c>
      <c r="EA362">
        <v>11</v>
      </c>
      <c r="EB362">
        <v>12</v>
      </c>
      <c r="EC362">
        <v>13</v>
      </c>
      <c r="ED362" t="s">
        <v>3085</v>
      </c>
      <c r="EE362" t="s">
        <v>3085</v>
      </c>
      <c r="EF362" t="s">
        <v>3085</v>
      </c>
      <c r="EG362" t="s">
        <v>3085</v>
      </c>
      <c r="EH362" t="s">
        <v>3085</v>
      </c>
      <c r="EI362" t="s">
        <v>3085</v>
      </c>
      <c r="EJ362" t="s">
        <v>3085</v>
      </c>
      <c r="EK362" t="s">
        <v>3085</v>
      </c>
      <c r="EL362" t="s">
        <v>3085</v>
      </c>
      <c r="EM362" t="s">
        <v>3085</v>
      </c>
      <c r="EN362" t="s">
        <v>3085</v>
      </c>
      <c r="EO362" t="s">
        <v>3085</v>
      </c>
      <c r="EP362" t="s">
        <v>3085</v>
      </c>
      <c r="EQ362" s="16" t="s">
        <v>3085</v>
      </c>
    </row>
    <row r="363" spans="1:610" x14ac:dyDescent="0.25">
      <c r="A363" s="62" t="s">
        <v>2148</v>
      </c>
      <c r="B363" s="65" t="s">
        <v>2147</v>
      </c>
      <c r="P363" t="s">
        <v>2738</v>
      </c>
      <c r="T363" s="14" t="s">
        <v>2117</v>
      </c>
      <c r="U363">
        <v>14</v>
      </c>
      <c r="V363" t="s">
        <v>2165</v>
      </c>
      <c r="AC363" t="str">
        <f t="shared" si="1662"/>
        <v>A5.2</v>
      </c>
      <c r="AD363" s="46" cm="1">
        <f t="array" ref="AD363">IF(COUNTIFS(AC$341:AC363,AC363)=1,"1",VALUE(SUBSTITUTE(INDEX(AD:AD,_xlfn.XMATCH(AC363,AC$1:AC362,0,-1)),"A",""))+INDEX(AE:AE,_xlfn.XMATCH(AC363,AC$1:AC362,0,-1))+1)</f>
        <v>27</v>
      </c>
      <c r="AE363" s="46" cm="1">
        <f t="array" ref="AE363">SUM(IF(ISNUMBER(FIND("TmDi",$BE$1:$AAL$1)),IF(IFERROR(ISNUMBER(VALUE(SUBSTITUTE($BE363:$AAL363,"B",""))),FALSE),IF(ISNUMBER(VALUE(SUBSTITUTE($BE363:$AAL363,"B",""))),1,0),0)))</f>
        <v>3</v>
      </c>
      <c r="AF363" t="str">
        <f t="shared" si="1713"/>
        <v>C27</v>
      </c>
      <c r="AG363" t="str">
        <f t="shared" si="1714"/>
        <v>B27</v>
      </c>
      <c r="AH363" t="str">
        <f t="shared" ref="AH363:AH365" si="1765">IF(AI362+AJ362&gt;27,REPLACE(AH362,LEN(AH362),1,VALUE(RIGHT(AH362,1))+1),AH362)</f>
        <v>A6.2</v>
      </c>
      <c r="AI363" s="73" cm="1">
        <f t="array" ref="AI363">IF(COUNTIFS(AH$341:AH363,AH363)=1,"1",VALUE(SUBSTITUTE(INDEX(AI:AI,_xlfn.XMATCH(AH363,AH$1:AH362,0,-1)),"A",""))+INDEX(AJ:AJ,_xlfn.XMATCH(AH363,AH$1:AH362,0,-1))+1)</f>
        <v>4</v>
      </c>
      <c r="AJ363" s="73" cm="1">
        <f t="array" ref="AJ363">SUM(IF(ISNUMBER(FIND("TmDo",$BE$1:$AAL$1)),IF(IFERROR(ISNUMBER(VALUE(SUBSTITUTE($BE363:$AAL363,"B",""))),FALSE),IF(ISNUMBER(VALUE(SUBSTITUTE($BE363:$AAL363,"B",""))),1,0),0)))</f>
        <v>2</v>
      </c>
      <c r="AK363" t="str">
        <f t="shared" si="1515"/>
        <v>4A</v>
      </c>
      <c r="AL363" t="str">
        <f t="shared" si="1516"/>
        <v>4B</v>
      </c>
      <c r="AM363" t="s">
        <v>141</v>
      </c>
      <c r="AP363" t="s">
        <v>2119</v>
      </c>
      <c r="AQ363" t="s">
        <v>2170</v>
      </c>
      <c r="AT363" t="s">
        <v>139</v>
      </c>
      <c r="AU363" t="s">
        <v>140</v>
      </c>
      <c r="BE363" s="27" t="str">
        <f t="shared" si="1732"/>
        <v>XT14</v>
      </c>
      <c r="BF363" t="str">
        <f t="shared" si="1733"/>
        <v>C28</v>
      </c>
      <c r="BG363" t="str">
        <f t="shared" si="1734"/>
        <v>B28</v>
      </c>
      <c r="BH363" t="str">
        <f t="shared" si="1735"/>
        <v>C29</v>
      </c>
      <c r="BI363" t="str">
        <f t="shared" si="1736"/>
        <v>B29</v>
      </c>
      <c r="BJ363" t="str">
        <f t="shared" si="1737"/>
        <v>C30</v>
      </c>
      <c r="BK363" t="str">
        <f t="shared" si="1738"/>
        <v>B30</v>
      </c>
      <c r="BP363" t="str">
        <f t="shared" si="1741"/>
        <v>5A</v>
      </c>
      <c r="BQ363" t="str">
        <f t="shared" si="1742"/>
        <v>5B</v>
      </c>
      <c r="BR363" t="str">
        <f t="shared" si="1743"/>
        <v>6A</v>
      </c>
      <c r="BS363" t="str">
        <f t="shared" si="1744"/>
        <v>6B</v>
      </c>
      <c r="BT363" t="str">
        <f t="shared" si="1745"/>
        <v>DI2-C27</v>
      </c>
      <c r="BU363" t="str">
        <f t="shared" si="1746"/>
        <v>DI2-B27</v>
      </c>
      <c r="BV363" t="str">
        <f t="shared" si="1747"/>
        <v>DI2-C28</v>
      </c>
      <c r="BW363" t="str">
        <f t="shared" si="1748"/>
        <v>DI2-B28</v>
      </c>
      <c r="BX363" t="str">
        <f t="shared" si="1749"/>
        <v>DI2-C29</v>
      </c>
      <c r="BY363" t="str">
        <f t="shared" si="1750"/>
        <v>DI2-B29</v>
      </c>
      <c r="BZ363" t="str">
        <f t="shared" si="1751"/>
        <v>DI2-C30</v>
      </c>
      <c r="CA363" t="str">
        <f t="shared" si="1752"/>
        <v>DI2-B30</v>
      </c>
      <c r="CB363" t="str">
        <f t="shared" si="1753"/>
        <v>DI2-</v>
      </c>
      <c r="CC363" t="str">
        <f t="shared" si="1754"/>
        <v>DI2-</v>
      </c>
      <c r="CD363" t="str">
        <f t="shared" si="1755"/>
        <v>DI2-</v>
      </c>
      <c r="CE363" t="str">
        <f t="shared" si="1756"/>
        <v>DI2-</v>
      </c>
      <c r="CF363" t="str">
        <f t="shared" si="1757"/>
        <v>DO2-4A</v>
      </c>
      <c r="CG363" t="str">
        <f t="shared" si="1758"/>
        <v>DO2-4B</v>
      </c>
      <c r="CH363" t="str">
        <f t="shared" si="1759"/>
        <v>DO2-5A</v>
      </c>
      <c r="CI363" t="str">
        <f t="shared" si="1760"/>
        <v>DO2-5B</v>
      </c>
      <c r="CJ363" t="str">
        <f t="shared" si="1761"/>
        <v>DO2-6A</v>
      </c>
      <c r="CK363" t="str">
        <f t="shared" si="1762"/>
        <v>DO2-6B</v>
      </c>
      <c r="CL363" t="str">
        <f t="shared" si="1720"/>
        <v>K14-10</v>
      </c>
      <c r="CM363" t="str">
        <f t="shared" si="1721"/>
        <v>K14-03</v>
      </c>
      <c r="CN363" t="str">
        <f t="shared" si="1722"/>
        <v>K14-04</v>
      </c>
      <c r="CO363" t="str">
        <f t="shared" si="1723"/>
        <v>K14-01</v>
      </c>
      <c r="CP363" t="str">
        <f t="shared" si="1724"/>
        <v>K14-08</v>
      </c>
      <c r="CQ363" t="str">
        <f t="shared" si="1725"/>
        <v>K14-02</v>
      </c>
      <c r="CR363" t="str">
        <f t="shared" si="1726"/>
        <v>K14-09</v>
      </c>
      <c r="CS363" t="str">
        <f t="shared" si="1727"/>
        <v>K14-05</v>
      </c>
      <c r="CT363" t="str">
        <f t="shared" si="1728"/>
        <v>K14-11</v>
      </c>
      <c r="CU363" t="str">
        <f t="shared" si="1702"/>
        <v>E2-M14-A9</v>
      </c>
      <c r="CV363" t="str">
        <f t="shared" si="1729"/>
        <v>E2-M14-A7</v>
      </c>
      <c r="CW363" t="str">
        <f t="shared" si="1730"/>
        <v>E2-M14-A8</v>
      </c>
      <c r="CX363" t="str">
        <f t="shared" si="1703"/>
        <v>E2-M14-A6</v>
      </c>
      <c r="CY363" t="str">
        <f t="shared" si="1704"/>
        <v>E2-M14-A30</v>
      </c>
      <c r="CZ363" t="str">
        <f t="shared" si="1731"/>
        <v>E2-M14-N</v>
      </c>
      <c r="DA363" t="str">
        <f t="shared" si="1763"/>
        <v>E2-A220-M14</v>
      </c>
      <c r="DB363" t="str">
        <f t="shared" si="1706"/>
        <v>E2-M14-XM01</v>
      </c>
      <c r="DC363" t="str">
        <f t="shared" si="1707"/>
        <v>E2-M14-A1</v>
      </c>
      <c r="DD363" t="str">
        <f t="shared" si="1708"/>
        <v>E2-M14-A5</v>
      </c>
      <c r="DE363" t="str">
        <f t="shared" si="1709"/>
        <v>E2-M14-A11</v>
      </c>
      <c r="DF363" t="str">
        <f t="shared" si="1710"/>
        <v>E2-M14-A12</v>
      </c>
      <c r="DG363" t="str">
        <f>CONCATENATE($T363,"-M",$U363,"-A19")</f>
        <v>E2-M14-A19</v>
      </c>
      <c r="DH363" t="str">
        <f>CONCATENATE($T363,"-M",$U363,"-A20")</f>
        <v>E2-M14-A20</v>
      </c>
      <c r="DI363" t="s">
        <v>142</v>
      </c>
      <c r="DJ363" t="s">
        <v>143</v>
      </c>
      <c r="DK363">
        <v>11</v>
      </c>
      <c r="DL363">
        <v>14</v>
      </c>
      <c r="DM363">
        <v>12</v>
      </c>
      <c r="DN363" t="s">
        <v>144</v>
      </c>
      <c r="DO363" t="s">
        <v>145</v>
      </c>
      <c r="DP363">
        <v>1</v>
      </c>
      <c r="DQ363">
        <v>2</v>
      </c>
      <c r="DR363">
        <v>3</v>
      </c>
      <c r="DS363">
        <v>4</v>
      </c>
      <c r="DT363">
        <v>5</v>
      </c>
      <c r="DU363">
        <v>6</v>
      </c>
      <c r="DV363">
        <v>7</v>
      </c>
      <c r="DW363">
        <v>8</v>
      </c>
      <c r="DX363">
        <v>9</v>
      </c>
      <c r="DY363">
        <v>10</v>
      </c>
      <c r="DZ363">
        <v>11</v>
      </c>
      <c r="EA363">
        <v>12</v>
      </c>
      <c r="EB363">
        <v>13</v>
      </c>
      <c r="EC363">
        <v>14</v>
      </c>
      <c r="ED363">
        <v>1</v>
      </c>
      <c r="EE363">
        <v>3</v>
      </c>
      <c r="EF363">
        <v>4</v>
      </c>
      <c r="EG363">
        <v>7</v>
      </c>
      <c r="EH363">
        <v>8</v>
      </c>
      <c r="EI363">
        <v>9</v>
      </c>
      <c r="EJ363">
        <v>10</v>
      </c>
      <c r="EK363">
        <v>13</v>
      </c>
      <c r="EL363">
        <v>15</v>
      </c>
      <c r="EM363">
        <v>16</v>
      </c>
      <c r="EN363">
        <v>16</v>
      </c>
      <c r="EO363">
        <v>22</v>
      </c>
      <c r="EP363">
        <v>23</v>
      </c>
      <c r="EQ363" s="16">
        <v>24</v>
      </c>
    </row>
    <row r="364" spans="1:610" x14ac:dyDescent="0.25">
      <c r="A364" s="62" t="s">
        <v>2150</v>
      </c>
      <c r="B364" s="65" t="s">
        <v>2149</v>
      </c>
      <c r="P364" t="s">
        <v>2738</v>
      </c>
      <c r="T364" s="14" t="s">
        <v>2117</v>
      </c>
      <c r="U364">
        <v>15</v>
      </c>
      <c r="V364" t="s">
        <v>2166</v>
      </c>
      <c r="AC364" t="str">
        <f t="shared" si="1662"/>
        <v>A5.2</v>
      </c>
      <c r="AD364" s="46" cm="1">
        <f t="array" ref="AD364">IF(COUNTIFS(AC$341:AC364,AC364)=1,"1",VALUE(SUBSTITUTE(INDEX(AD:AD,_xlfn.XMATCH(AC364,AC$1:AC363,0,-1)),"A",""))+INDEX(AE:AE,_xlfn.XMATCH(AC364,AC$1:AC363,0,-1))+1)</f>
        <v>31</v>
      </c>
      <c r="AE364" s="46" cm="1">
        <f t="array" ref="AE364">SUM(IF(ISNUMBER(FIND("TmDi",$BE$1:$AAL$1)),IF(IFERROR(ISNUMBER(VALUE(SUBSTITUTE($BE364:$AAL364,"B",""))),FALSE),IF(ISNUMBER(VALUE(SUBSTITUTE($BE364:$AAL364,"B",""))),1,0),0)))</f>
        <v>3</v>
      </c>
      <c r="AF364" t="str">
        <f t="shared" si="1713"/>
        <v>C31</v>
      </c>
      <c r="AG364" t="str">
        <f t="shared" si="1714"/>
        <v>B31</v>
      </c>
      <c r="AH364" t="str">
        <f t="shared" si="1765"/>
        <v>A6.2</v>
      </c>
      <c r="AI364" s="73" cm="1">
        <f t="array" ref="AI364">IF(COUNTIFS(AH$341:AH364,AH364)=1,"1",VALUE(SUBSTITUTE(INDEX(AI:AI,_xlfn.XMATCH(AH364,AH$1:AH363,0,-1)),"A",""))+INDEX(AJ:AJ,_xlfn.XMATCH(AH364,AH$1:AH363,0,-1))+1)</f>
        <v>7</v>
      </c>
      <c r="AJ364" s="73" cm="1">
        <f t="array" ref="AJ364">SUM(IF(ISNUMBER(FIND("TmDo",$BE$1:$AAL$1)),IF(IFERROR(ISNUMBER(VALUE(SUBSTITUTE($BE364:$AAL364,"B",""))),FALSE),IF(ISNUMBER(VALUE(SUBSTITUTE($BE364:$AAL364,"B",""))),1,0),0)))</f>
        <v>2</v>
      </c>
      <c r="AK364" t="str">
        <f t="shared" si="1515"/>
        <v>7A</v>
      </c>
      <c r="AL364" t="str">
        <f t="shared" si="1516"/>
        <v>7B</v>
      </c>
      <c r="AM364" t="s">
        <v>150</v>
      </c>
      <c r="AP364" t="s">
        <v>2119</v>
      </c>
      <c r="AQ364" t="s">
        <v>2170</v>
      </c>
      <c r="AT364" t="s">
        <v>139</v>
      </c>
      <c r="AU364" t="s">
        <v>140</v>
      </c>
      <c r="BE364" s="27" t="str">
        <f t="shared" si="1732"/>
        <v>XT15</v>
      </c>
      <c r="BF364" t="str">
        <f t="shared" si="1733"/>
        <v>C32</v>
      </c>
      <c r="BG364" t="str">
        <f t="shared" si="1734"/>
        <v>B32</v>
      </c>
      <c r="BH364" t="str">
        <f t="shared" si="1735"/>
        <v>C33</v>
      </c>
      <c r="BI364" t="str">
        <f t="shared" si="1736"/>
        <v>B33</v>
      </c>
      <c r="BJ364" t="str">
        <f t="shared" si="1737"/>
        <v>C34</v>
      </c>
      <c r="BK364" t="str">
        <f t="shared" si="1738"/>
        <v>B34</v>
      </c>
      <c r="BP364" t="str">
        <f t="shared" si="1741"/>
        <v>8A</v>
      </c>
      <c r="BQ364" t="str">
        <f t="shared" si="1742"/>
        <v>8B</v>
      </c>
      <c r="BR364" t="str">
        <f t="shared" si="1743"/>
        <v>9A</v>
      </c>
      <c r="BS364" t="str">
        <f t="shared" si="1744"/>
        <v>9B</v>
      </c>
      <c r="BT364" t="str">
        <f t="shared" si="1745"/>
        <v>DI2-C31</v>
      </c>
      <c r="BU364" t="str">
        <f t="shared" si="1746"/>
        <v>DI2-B31</v>
      </c>
      <c r="BV364" t="str">
        <f t="shared" si="1747"/>
        <v>DI2-C32</v>
      </c>
      <c r="BW364" t="str">
        <f t="shared" si="1748"/>
        <v>DI2-B32</v>
      </c>
      <c r="BX364" t="str">
        <f t="shared" si="1749"/>
        <v>DI2-C33</v>
      </c>
      <c r="BY364" t="str">
        <f t="shared" si="1750"/>
        <v>DI2-B33</v>
      </c>
      <c r="BZ364" t="str">
        <f t="shared" si="1751"/>
        <v>DI2-C34</v>
      </c>
      <c r="CA364" t="str">
        <f t="shared" si="1752"/>
        <v>DI2-B34</v>
      </c>
      <c r="CB364" t="str">
        <f t="shared" si="1753"/>
        <v>DI2-</v>
      </c>
      <c r="CC364" t="str">
        <f t="shared" si="1754"/>
        <v>DI2-</v>
      </c>
      <c r="CD364" t="str">
        <f t="shared" si="1755"/>
        <v>DI2-</v>
      </c>
      <c r="CE364" t="str">
        <f t="shared" si="1756"/>
        <v>DI2-</v>
      </c>
      <c r="CF364" t="str">
        <f t="shared" si="1757"/>
        <v>DO2-7A</v>
      </c>
      <c r="CG364" t="str">
        <f t="shared" si="1758"/>
        <v>DO2-7B</v>
      </c>
      <c r="CH364" t="str">
        <f t="shared" si="1759"/>
        <v>DO2-8A</v>
      </c>
      <c r="CI364" t="str">
        <f t="shared" si="1760"/>
        <v>DO2-8B</v>
      </c>
      <c r="CJ364" t="str">
        <f t="shared" si="1761"/>
        <v>DO2-9A</v>
      </c>
      <c r="CK364" t="str">
        <f t="shared" si="1762"/>
        <v>DO2-9B</v>
      </c>
      <c r="CL364" t="str">
        <f t="shared" si="1720"/>
        <v>K15-10</v>
      </c>
      <c r="CM364" t="str">
        <f t="shared" si="1721"/>
        <v>K15-03</v>
      </c>
      <c r="CN364" t="str">
        <f t="shared" si="1722"/>
        <v>K15-04</v>
      </c>
      <c r="CO364" t="str">
        <f t="shared" si="1723"/>
        <v>K15-01</v>
      </c>
      <c r="CP364" t="str">
        <f t="shared" si="1724"/>
        <v>K15-08</v>
      </c>
      <c r="CQ364" t="str">
        <f t="shared" si="1725"/>
        <v>K15-02</v>
      </c>
      <c r="CR364" t="str">
        <f t="shared" si="1726"/>
        <v>K15-09</v>
      </c>
      <c r="CS364" t="str">
        <f t="shared" si="1727"/>
        <v>K15-05</v>
      </c>
      <c r="CT364" t="str">
        <f t="shared" si="1728"/>
        <v>K15-11</v>
      </c>
      <c r="CU364" t="str">
        <f t="shared" si="1702"/>
        <v>E2-M15-A9</v>
      </c>
      <c r="CV364" t="str">
        <f t="shared" si="1729"/>
        <v>E2-M15-A7</v>
      </c>
      <c r="CW364" t="str">
        <f t="shared" si="1730"/>
        <v>E2-M15-A8</v>
      </c>
      <c r="CX364" t="str">
        <f t="shared" si="1703"/>
        <v>E2-M15-A6</v>
      </c>
      <c r="CY364" t="str">
        <f t="shared" si="1704"/>
        <v>E2-M15-A30</v>
      </c>
      <c r="CZ364" t="str">
        <f t="shared" si="1731"/>
        <v>E2-M15-N</v>
      </c>
      <c r="DA364" t="str">
        <f t="shared" si="1763"/>
        <v>E2-A220-M15</v>
      </c>
      <c r="DB364" t="str">
        <f t="shared" si="1706"/>
        <v>E2-M15-XM01</v>
      </c>
      <c r="DC364" t="str">
        <f t="shared" si="1707"/>
        <v>E2-M15-A1</v>
      </c>
      <c r="DD364" t="str">
        <f t="shared" si="1708"/>
        <v>E2-M15-A5</v>
      </c>
      <c r="DE364" t="str">
        <f t="shared" si="1709"/>
        <v>E2-M15-A11</v>
      </c>
      <c r="DF364" t="str">
        <f t="shared" si="1710"/>
        <v>E2-M15-A12</v>
      </c>
      <c r="DG364" t="str">
        <f>CONCATENATE($T364,"-M",$U364,"-A19")</f>
        <v>E2-M15-A19</v>
      </c>
      <c r="DH364" t="str">
        <f>CONCATENATE($T364,"-M",$U364,"-A20")</f>
        <v>E2-M15-A20</v>
      </c>
      <c r="DI364" t="s">
        <v>142</v>
      </c>
      <c r="DJ364" t="s">
        <v>143</v>
      </c>
      <c r="DK364">
        <v>11</v>
      </c>
      <c r="DL364">
        <v>14</v>
      </c>
      <c r="DM364">
        <v>12</v>
      </c>
      <c r="DN364" t="s">
        <v>144</v>
      </c>
      <c r="DO364" t="s">
        <v>145</v>
      </c>
      <c r="DP364">
        <v>1</v>
      </c>
      <c r="DQ364">
        <v>2</v>
      </c>
      <c r="DR364">
        <v>3</v>
      </c>
      <c r="DS364">
        <v>4</v>
      </c>
      <c r="DT364">
        <v>5</v>
      </c>
      <c r="DU364">
        <v>6</v>
      </c>
      <c r="DV364">
        <v>7</v>
      </c>
      <c r="DW364">
        <v>8</v>
      </c>
      <c r="DX364">
        <v>9</v>
      </c>
      <c r="DY364">
        <v>10</v>
      </c>
      <c r="DZ364">
        <v>11</v>
      </c>
      <c r="EA364">
        <v>12</v>
      </c>
      <c r="EB364">
        <v>13</v>
      </c>
      <c r="EC364">
        <v>14</v>
      </c>
      <c r="ED364">
        <v>1</v>
      </c>
      <c r="EE364">
        <v>3</v>
      </c>
      <c r="EF364">
        <v>4</v>
      </c>
      <c r="EG364">
        <v>7</v>
      </c>
      <c r="EH364">
        <v>8</v>
      </c>
      <c r="EI364">
        <v>9</v>
      </c>
      <c r="EJ364">
        <v>10</v>
      </c>
      <c r="EK364">
        <v>13</v>
      </c>
      <c r="EL364">
        <v>15</v>
      </c>
      <c r="EM364">
        <v>16</v>
      </c>
      <c r="EN364">
        <v>16</v>
      </c>
      <c r="EO364">
        <v>22</v>
      </c>
      <c r="EP364">
        <v>23</v>
      </c>
      <c r="EQ364" s="16">
        <v>24</v>
      </c>
    </row>
    <row r="365" spans="1:610" x14ac:dyDescent="0.25">
      <c r="A365" s="62" t="s">
        <v>2152</v>
      </c>
      <c r="B365" s="65" t="s">
        <v>2151</v>
      </c>
      <c r="P365" t="s">
        <v>281</v>
      </c>
      <c r="T365" s="14" t="s">
        <v>2117</v>
      </c>
      <c r="U365">
        <v>16</v>
      </c>
      <c r="V365" t="s">
        <v>2167</v>
      </c>
      <c r="W365" t="s">
        <v>2168</v>
      </c>
      <c r="AC365" t="str">
        <f t="shared" si="1662"/>
        <v>A5.3</v>
      </c>
      <c r="AD365" s="46" t="str" cm="1">
        <f t="array" ref="AD365">IF(COUNTIFS(AC$341:AC365,AC365)=1,"1",VALUE(SUBSTITUTE(INDEX(AD:AD,_xlfn.XMATCH(AC365,AC$1:AC364,0,-1)),"A",""))+INDEX(AE:AE,_xlfn.XMATCH(AC365,AC$1:AC364,0,-1))+1)</f>
        <v>1</v>
      </c>
      <c r="AE365" s="46" cm="1">
        <f t="array" ref="AE365">SUM(IF(ISNUMBER(FIND("TmDi",$BE$1:$AAL$1)),IF(IFERROR(ISNUMBER(VALUE(SUBSTITUTE($BE365:$AAL365,"B",""))),FALSE),IF(ISNUMBER(VALUE(SUBSTITUTE($BE365:$AAL365,"B",""))),1,0),0)))</f>
        <v>2</v>
      </c>
      <c r="AF365" t="str">
        <f t="shared" si="1713"/>
        <v>C1</v>
      </c>
      <c r="AG365" t="str">
        <f t="shared" si="1714"/>
        <v>B1</v>
      </c>
      <c r="AH365" t="str">
        <f t="shared" si="1765"/>
        <v>A6.2</v>
      </c>
      <c r="AI365" s="73" cm="1">
        <f t="array" ref="AI365">IF(COUNTIFS(AH$341:AH365,AH365)=1,"1",VALUE(SUBSTITUTE(INDEX(AI:AI,_xlfn.XMATCH(AH365,AH$1:AH364,0,-1)),"A",""))+INDEX(AJ:AJ,_xlfn.XMATCH(AH365,AH$1:AH364,0,-1))+1)</f>
        <v>10</v>
      </c>
      <c r="AJ365" s="73" cm="1">
        <f t="array" ref="AJ365">SUM(IF(ISNUMBER(FIND("TmDo",$BE$1:$AAL$1)),IF(IFERROR(ISNUMBER(VALUE(SUBSTITUTE($BE365:$AAL365,"B",""))),FALSE),IF(ISNUMBER(VALUE(SUBSTITUTE($BE365:$AAL365,"B",""))),1,0),0)))</f>
        <v>1</v>
      </c>
      <c r="AK365" t="str">
        <f t="shared" si="1515"/>
        <v>10A</v>
      </c>
      <c r="AL365" t="str">
        <f t="shared" si="1516"/>
        <v>10B</v>
      </c>
      <c r="AM365" t="s">
        <v>155</v>
      </c>
      <c r="AP365" t="s">
        <v>2119</v>
      </c>
      <c r="AQ365" t="s">
        <v>2170</v>
      </c>
      <c r="AT365" t="s">
        <v>139</v>
      </c>
      <c r="AU365" t="s">
        <v>140</v>
      </c>
      <c r="ER365" s="27" t="str">
        <f t="shared" ref="ER365" si="1766">CONCATENATE("XT",U365)</f>
        <v>XT16</v>
      </c>
      <c r="ES365" t="str">
        <f t="shared" ref="ES365" si="1767">CONCATENATE("C",REPLACE(AF365,1,1,"")+1)</f>
        <v>C2</v>
      </c>
      <c r="ET365" t="str">
        <f t="shared" ref="ET365" si="1768">CONCATENATE("B",REPLACE(AG365,1,1,"")+1)</f>
        <v>B2</v>
      </c>
      <c r="EU365" t="str">
        <f t="shared" ref="EU365" si="1769">CONCATENATE("C",REPLACE(ES365,1,1,"")+1)</f>
        <v>C3</v>
      </c>
      <c r="EV365" t="str">
        <f t="shared" ref="EV365" si="1770">CONCATENATE("B",REPLACE(ET365,1,1,"")+1)</f>
        <v>B3</v>
      </c>
      <c r="EW365" t="str">
        <f t="shared" ref="EW365" si="1771">CONCATENATE(REPLACE(AK365,LEN(AK365),1,"")+1,"A")</f>
        <v>11A</v>
      </c>
      <c r="EX365" t="str">
        <f t="shared" ref="EX365" si="1772">CONCATENATE(REPLACE(AL365,LEN(AL365),1,"")+1,"B")</f>
        <v>11B</v>
      </c>
      <c r="EY365" t="str">
        <f t="shared" ref="EY365" si="1773">CONCATENATE("DI",REPLACE($AC365,1,3,""),"-",AF365)</f>
        <v>DI3-C1</v>
      </c>
      <c r="EZ365" t="str">
        <f t="shared" ref="EZ365" si="1774">CONCATENATE("DI",REPLACE($AC365,1,3,""),"-",AG365)</f>
        <v>DI3-B1</v>
      </c>
      <c r="FA365" t="str">
        <f t="shared" ref="FA365" si="1775">CONCATENATE("DI",REPLACE($AC365,1,3,""),"-",ES365)</f>
        <v>DI3-C2</v>
      </c>
      <c r="FB365" t="str">
        <f t="shared" ref="FB365" si="1776">CONCATENATE("DI",REPLACE($AC365,1,3,""),"-",ET365)</f>
        <v>DI3-B2</v>
      </c>
      <c r="FC365" t="str">
        <f t="shared" ref="FC365" si="1777">CONCATENATE("DI",REPLACE($AC365,1,3,""),"-",EU365)</f>
        <v>DI3-C3</v>
      </c>
      <c r="FD365" t="str">
        <f t="shared" ref="FD365" si="1778">CONCATENATE("DI",REPLACE($AC365,1,3,""),"-",EV365)</f>
        <v>DI3-B3</v>
      </c>
      <c r="FE365" t="str">
        <f t="shared" ref="FE365" si="1779">CONCATENATE("DO",REPLACE($AH365,1,3,""),"-",AK365)</f>
        <v>DO2-10A</v>
      </c>
      <c r="FF365" t="str">
        <f t="shared" ref="FF365" si="1780">CONCATENATE("DO",REPLACE($AH365,1,3,""),"-",AL365)</f>
        <v>DO2-10B</v>
      </c>
      <c r="FG365" t="str">
        <f t="shared" ref="FG365" si="1781">CONCATENATE("DO",REPLACE($AH365,1,3,""),"-",EW365)</f>
        <v>DO2-11A</v>
      </c>
      <c r="FH365" t="str">
        <f t="shared" ref="FH365" si="1782">CONCATENATE("DO",REPLACE($AH365,1,3,""),"-",EX365)</f>
        <v>DO2-11B</v>
      </c>
      <c r="FI365" t="str">
        <f t="shared" ref="FI365" si="1783">CONCATENATE("K",$U365,"-03")</f>
        <v>K16-03</v>
      </c>
      <c r="FJ365" t="str">
        <f t="shared" ref="FJ365" si="1784">CONCATENATE("K",$U365,"-04")</f>
        <v>K16-04</v>
      </c>
      <c r="FK365" t="str">
        <f t="shared" ref="FK365" si="1785">CONCATENATE("K",$U365,"-01")</f>
        <v>K16-01</v>
      </c>
      <c r="FL365" t="str">
        <f t="shared" ref="FL365" si="1786">CONCATENATE("K",$U365,"-02")</f>
        <v>K16-02</v>
      </c>
      <c r="FM365" t="str">
        <f t="shared" ref="FM365" si="1787">CONCATENATE("K",$U365,"-05")</f>
        <v>K16-05</v>
      </c>
      <c r="FN365" t="str">
        <f t="shared" ref="FN365" si="1788">CONCATENATE($T365,"-M",$U365,"-H1")</f>
        <v>E2-M16-H1</v>
      </c>
      <c r="FO365" t="str">
        <f t="shared" ref="FO365" si="1789">CONCATENATE($T365,"-M",$U365,"-A1")</f>
        <v>E2-M16-A1</v>
      </c>
      <c r="FP365" t="str">
        <f t="shared" ref="FP365" si="1790">CONCATENATE($T365,"-M",$U365,"-3")</f>
        <v>E2-M16-3</v>
      </c>
      <c r="FQ365" t="str">
        <f t="shared" ref="FQ365" si="1791">CONCATENATE($T365,"-M",$U365,"-2")</f>
        <v>E2-M16-2</v>
      </c>
      <c r="FR365" t="str">
        <f t="shared" ref="FR365" si="1792">CONCATENATE($T365,"-M",$U365,"-16")</f>
        <v>E2-M16-16</v>
      </c>
      <c r="FS365" t="str">
        <f t="shared" ref="FS365" si="1793">CONCATENATE($T365,"-M",$U365,"-15")</f>
        <v>E2-M16-15</v>
      </c>
      <c r="FT365" t="str">
        <f t="shared" ref="FT365" si="1794">CONCATENATE($T365,"-A220-M",$U365,)</f>
        <v>E2-A220-M16</v>
      </c>
      <c r="FU365" t="str">
        <f t="shared" ref="FU365" si="1795">CONCATENATE($T365,"-M",$U365,"-XM01")</f>
        <v>E2-M16-XM01</v>
      </c>
      <c r="FV365" t="s">
        <v>142</v>
      </c>
      <c r="FW365" t="s">
        <v>143</v>
      </c>
      <c r="FX365">
        <v>11</v>
      </c>
      <c r="FY365">
        <v>14</v>
      </c>
      <c r="FZ365" t="s">
        <v>145</v>
      </c>
      <c r="GA365" t="s">
        <v>144</v>
      </c>
      <c r="GB365">
        <v>1</v>
      </c>
      <c r="GC365">
        <v>2</v>
      </c>
      <c r="GD365">
        <v>3</v>
      </c>
      <c r="GE365">
        <v>4</v>
      </c>
      <c r="GF365">
        <v>5</v>
      </c>
      <c r="GG365">
        <v>6</v>
      </c>
      <c r="GH365">
        <v>7</v>
      </c>
      <c r="GI365">
        <v>8</v>
      </c>
      <c r="GJ365">
        <v>9</v>
      </c>
      <c r="GK365">
        <v>1</v>
      </c>
      <c r="GL365">
        <v>2</v>
      </c>
      <c r="GM365">
        <v>3</v>
      </c>
      <c r="GN365">
        <v>4</v>
      </c>
      <c r="GO365">
        <v>5</v>
      </c>
      <c r="GP365">
        <v>1</v>
      </c>
      <c r="GQ365">
        <v>2</v>
      </c>
      <c r="GR365">
        <v>4</v>
      </c>
      <c r="GS365" s="16">
        <v>5</v>
      </c>
    </row>
    <row r="366" spans="1:610" ht="15.75" thickBot="1" x14ac:dyDescent="0.3">
      <c r="A366" s="62" t="s">
        <v>2101</v>
      </c>
      <c r="B366" s="65" t="s">
        <v>2050</v>
      </c>
      <c r="P366" t="s">
        <v>1378</v>
      </c>
      <c r="T366" s="14" t="s">
        <v>2117</v>
      </c>
      <c r="U366">
        <v>17</v>
      </c>
      <c r="V366" t="s">
        <v>2160</v>
      </c>
      <c r="AC366" t="str">
        <f t="shared" ref="AC366:AC367" si="1796">IF(AD365+AE365&gt;31,REPLACE(AC365,LEN(AC365),1,VALUE(RIGHT(AC365,1))+1),AC365)</f>
        <v>A5.3</v>
      </c>
      <c r="AD366" s="46" cm="1">
        <f t="array" ref="AD366">IF(COUNTIFS(AC$341:AC366,AC366)=1,"1",VALUE(SUBSTITUTE(INDEX(AD:AD,_xlfn.XMATCH(AC366,AC$1:AC365,0,-1)),"A",""))+INDEX(AE:AE,_xlfn.XMATCH(AC366,AC$1:AC365,0,-1))+1)</f>
        <v>4</v>
      </c>
      <c r="AE366" s="46" cm="1">
        <f t="array" ref="AE366">SUM(IF(ISNUMBER(FIND("TmDi",$BE$1:$AAL$1)),IF(IFERROR(ISNUMBER(VALUE(SUBSTITUTE($BE366:$AAL366,"B",""))),FALSE),IF(ISNUMBER(VALUE(SUBSTITUTE($BE366:$AAL366,"B",""))),1,0),0)))</f>
        <v>0</v>
      </c>
      <c r="AF366" t="str">
        <f t="shared" si="1713"/>
        <v>C4</v>
      </c>
      <c r="AG366" t="str">
        <f t="shared" si="1714"/>
        <v>B4</v>
      </c>
      <c r="AP366" t="s">
        <v>2119</v>
      </c>
      <c r="AQ366" t="s">
        <v>2171</v>
      </c>
      <c r="AT366" t="s">
        <v>139</v>
      </c>
      <c r="AU366" t="s">
        <v>140</v>
      </c>
    </row>
    <row r="367" spans="1:610" ht="15.75" thickBot="1" x14ac:dyDescent="0.3">
      <c r="A367" s="62" t="s">
        <v>2102</v>
      </c>
      <c r="B367" t="s">
        <v>2043</v>
      </c>
      <c r="P367" t="s">
        <v>2173</v>
      </c>
      <c r="T367" s="14" t="s">
        <v>2117</v>
      </c>
      <c r="U367">
        <v>17</v>
      </c>
      <c r="V367" t="s">
        <v>2169</v>
      </c>
      <c r="AC367" t="str">
        <f t="shared" si="1796"/>
        <v>A5.3</v>
      </c>
      <c r="AD367" s="46" cm="1">
        <f t="array" ref="AD367">IF(COUNTIFS(AC$341:AC367,AC367)=1,"1",VALUE(SUBSTITUTE(INDEX(AD:AD,_xlfn.XMATCH(AC367,AC$1:AC366,0,-1)),"A",""))+INDEX(AE:AE,_xlfn.XMATCH(AC367,AC$1:AC366,0,-1))+1)</f>
        <v>5</v>
      </c>
      <c r="AE367" s="46" cm="1">
        <f t="array" ref="AE367">SUM(IF(ISNUMBER(FIND("TmDi",$BE$1:$AAL$1)),IF(IFERROR(ISNUMBER(VALUE(SUBSTITUTE($BE367:$AAL367,"B",""))),FALSE),IF(ISNUMBER(VALUE(SUBSTITUTE($BE367:$AAL367,"B",""))),1,0),0)))</f>
        <v>1</v>
      </c>
      <c r="AF367" t="str">
        <f t="shared" si="1713"/>
        <v>C5</v>
      </c>
      <c r="AG367" t="str">
        <f t="shared" si="1714"/>
        <v>B5</v>
      </c>
      <c r="AP367" t="s">
        <v>2119</v>
      </c>
      <c r="AQ367" t="s">
        <v>2172</v>
      </c>
      <c r="AT367" t="s">
        <v>139</v>
      </c>
      <c r="AU367" t="s">
        <v>140</v>
      </c>
      <c r="VJ367" s="39" t="s">
        <v>2177</v>
      </c>
      <c r="VK367" s="23" t="s">
        <v>2178</v>
      </c>
      <c r="VL367" s="23" t="str">
        <f>CONCATENATE("XT",U367)</f>
        <v>XT17</v>
      </c>
      <c r="VM367" s="23">
        <v>4</v>
      </c>
      <c r="VN367" s="23">
        <f>VM367+1</f>
        <v>5</v>
      </c>
      <c r="VO367" s="23">
        <f t="shared" ref="VO367:VP367" si="1797">VN367+1</f>
        <v>6</v>
      </c>
      <c r="VP367" s="23">
        <f t="shared" si="1797"/>
        <v>7</v>
      </c>
      <c r="VQ367" s="23" t="str">
        <f>CONCATENATE("B",REPLACE($AF367,1,1,"")+1)</f>
        <v>B6</v>
      </c>
      <c r="VR367" s="23" t="str">
        <f>CONCATENATE("C",REPLACE($AG367,1,1,"")+1)</f>
        <v>C6</v>
      </c>
      <c r="VS367" s="23" t="str">
        <f>CONCATENATE("DI",REPLACE($AC367,1,3,""),"-",$AG367)</f>
        <v>DI3-B5</v>
      </c>
      <c r="VT367" s="23" t="str">
        <f>CONCATENATE("DI",REPLACE($AC367,1,3,""),"-",$AF367)</f>
        <v>DI3-C5</v>
      </c>
      <c r="VU367" s="23" t="str">
        <f>CONCATENATE("DI",REPLACE($AC367,1,3,""),"-",VQ367)</f>
        <v>DI3-B6</v>
      </c>
      <c r="VV367" s="23" t="str">
        <f>CONCATENATE("DI",REPLACE($AC367,1,3,""),"-",VR367)</f>
        <v>DI3-C6</v>
      </c>
      <c r="VW367" s="23" t="str">
        <f>CONCATENATE($T367,"-DI",REPLACE($AC367,1,3,""),"-",$AF367)</f>
        <v>E2-DI3-C5</v>
      </c>
      <c r="VX367" s="23" t="str">
        <f>CONCATENATE($T367,"-DI",REPLACE($AC367,1,3,""),"-",VR367)</f>
        <v>E2-DI3-C6</v>
      </c>
      <c r="VY367" s="23" t="s">
        <v>2181</v>
      </c>
      <c r="VZ367" s="23" t="s">
        <v>2182</v>
      </c>
      <c r="WA367" s="23">
        <v>11</v>
      </c>
      <c r="WB367" s="23">
        <v>14</v>
      </c>
      <c r="WC367" s="23" t="s">
        <v>142</v>
      </c>
      <c r="WD367" s="23" t="s">
        <v>143</v>
      </c>
      <c r="WE367" s="23" t="s">
        <v>414</v>
      </c>
      <c r="WF367" s="23" t="s">
        <v>413</v>
      </c>
      <c r="WG367" s="23">
        <v>21</v>
      </c>
      <c r="WH367" s="23">
        <v>24</v>
      </c>
      <c r="WI367" s="23">
        <v>21</v>
      </c>
      <c r="WJ367" s="23">
        <v>24</v>
      </c>
      <c r="WK367" s="23" t="s">
        <v>2179</v>
      </c>
      <c r="WL367" s="24" t="s">
        <v>2180</v>
      </c>
    </row>
    <row r="368" spans="1:610" ht="30.75" thickBot="1" x14ac:dyDescent="0.3">
      <c r="A368" t="s">
        <v>2153</v>
      </c>
      <c r="B368" t="s">
        <v>2154</v>
      </c>
      <c r="P368" t="s">
        <v>1942</v>
      </c>
      <c r="T368" s="27" t="s">
        <v>2117</v>
      </c>
      <c r="U368">
        <v>2</v>
      </c>
      <c r="V368" t="s">
        <v>2155</v>
      </c>
      <c r="AP368" t="s">
        <v>2119</v>
      </c>
      <c r="AQ368" t="s">
        <v>2156</v>
      </c>
      <c r="TS368" s="66" t="s">
        <v>1950</v>
      </c>
      <c r="TT368" s="23" t="s">
        <v>1951</v>
      </c>
      <c r="TU368" s="23" t="s">
        <v>1952</v>
      </c>
      <c r="TV368" s="23" t="s">
        <v>1953</v>
      </c>
      <c r="TW368" s="23" t="s">
        <v>1954</v>
      </c>
      <c r="TX368" s="23" t="s">
        <v>1955</v>
      </c>
      <c r="TY368" s="23" t="s">
        <v>1956</v>
      </c>
      <c r="TZ368" s="23" t="s">
        <v>1957</v>
      </c>
      <c r="UA368" s="23" t="str">
        <f t="shared" ref="UA368" si="1798">CONCATENATE("XT",$U368)</f>
        <v>XT2</v>
      </c>
      <c r="UB368" s="23">
        <v>13</v>
      </c>
      <c r="UC368" s="23">
        <f>UB368+1</f>
        <v>14</v>
      </c>
      <c r="UD368" s="24">
        <f>UC368+1</f>
        <v>15</v>
      </c>
    </row>
    <row r="369" spans="1:357" ht="15.75" thickBot="1" x14ac:dyDescent="0.3">
      <c r="A369" t="s">
        <v>2157</v>
      </c>
      <c r="B369" t="s">
        <v>2154</v>
      </c>
      <c r="C369" t="s">
        <v>2159</v>
      </c>
      <c r="P369" t="s">
        <v>482</v>
      </c>
      <c r="T369" s="14" t="s">
        <v>2117</v>
      </c>
      <c r="U369">
        <v>2</v>
      </c>
      <c r="V369" t="s">
        <v>2158</v>
      </c>
      <c r="X369" t="s">
        <v>484</v>
      </c>
      <c r="Y369" s="63" cm="1">
        <f t="array" ref="Y369">IF(COUNTIFS($X$341:$X369,$X369)=1,"1",VALUE(SUBSTITUTE(INDEX(Y:Y,_xlfn.XMATCH($X369,$X$1:$X368,0,-1)),"A",""))+INDEX(Z:Z,_xlfn.XMATCH($X369,$X$1:$X368,0,-1))+1)</f>
        <v>6</v>
      </c>
      <c r="Z369" cm="1">
        <f t="array" ref="Z369">SUM(IF(ISNUMBER(FIND("TmAi",$BE$1:$AAL$1)),IF(IFERROR(ISODD(SUBSTITUTE($BE369:$AAL369,"A","")),FALSE),IF(ISODD(SUBSTITUTE($BE369:$AAL369,"A","")),1,0),0)))</f>
        <v>0</v>
      </c>
      <c r="AA369" t="str">
        <f t="shared" ref="AA369" si="1799">CONCATENATE($Y369*2-1,"B")</f>
        <v>11B</v>
      </c>
      <c r="AB369" t="str">
        <f t="shared" ref="AB369" si="1800">CONCATENATE($Y369*2,"B")</f>
        <v>12B</v>
      </c>
      <c r="AP369" t="s">
        <v>2119</v>
      </c>
      <c r="AS369" t="s">
        <v>396</v>
      </c>
      <c r="JZ369" s="28" t="str">
        <f t="shared" ref="JZ369" si="1801">CONCATENATE("XT",U369)</f>
        <v>XT2</v>
      </c>
      <c r="KA369" s="19"/>
      <c r="KB369" s="19"/>
      <c r="KC369" s="19" t="str">
        <f>CONCATENATE($T369,"-AI",REPLACE($X369,1,3,""),"-",$AA369)</f>
        <v>E2-AI3-11B</v>
      </c>
      <c r="KD369" s="19" t="str">
        <f t="shared" ref="KD369" si="1802">CONCATENATE(T369,"-AI",REPLACE($X369,1,3,""),"-",AB369)</f>
        <v>E2-AI3-12B</v>
      </c>
      <c r="KE369" s="19"/>
      <c r="KF369" s="19"/>
      <c r="KG369" s="19"/>
      <c r="KH369" s="19"/>
      <c r="KI369" s="19">
        <v>1</v>
      </c>
      <c r="KJ369" s="19">
        <f t="shared" ref="KJ369:KK369" si="1803">KI369+1</f>
        <v>2</v>
      </c>
      <c r="KK369" s="19">
        <f t="shared" si="1803"/>
        <v>3</v>
      </c>
      <c r="KL369" s="19"/>
      <c r="KM369" s="19"/>
      <c r="KN369" s="19">
        <v>1</v>
      </c>
      <c r="KO369" s="19">
        <v>2</v>
      </c>
      <c r="KP369" s="28"/>
      <c r="KQ369" s="19"/>
      <c r="KR369" s="19"/>
      <c r="KS369" s="20"/>
    </row>
    <row r="370" spans="1:357" x14ac:dyDescent="0.25">
      <c r="A370" t="s">
        <v>2694</v>
      </c>
      <c r="B370" t="s">
        <v>3141</v>
      </c>
      <c r="P370" t="s">
        <v>1873</v>
      </c>
      <c r="T370" s="14" t="s">
        <v>2117</v>
      </c>
      <c r="AC370" t="s">
        <v>261</v>
      </c>
      <c r="AD370" s="43">
        <v>1</v>
      </c>
      <c r="AE370" s="43" cm="1">
        <f t="array" ref="AE370">SUM(IF(ISNUMBER(FIND("TmDi",$BE$1:$AAL$1)),IF(IFERROR(ISNUMBER(VALUE(SUBSTITUTE($BE370:$AAL370,"B",""))),FALSE),IF(ISNUMBER(VALUE(SUBSTITUTE($BE370:$AAL370,"B",""))),1,0),0)))</f>
        <v>0</v>
      </c>
      <c r="AF370" t="str">
        <f t="shared" ref="AF370:AF378" si="1804">CONCATENATE("C",$AD370)</f>
        <v>C1</v>
      </c>
      <c r="AG370" t="str">
        <f t="shared" ref="AG370:AG378" si="1805">CONCATENATE("B",$AD370)</f>
        <v>B1</v>
      </c>
      <c r="AP370" t="s">
        <v>2119</v>
      </c>
      <c r="AT370" t="s">
        <v>854</v>
      </c>
      <c r="AU370" t="s">
        <v>1399</v>
      </c>
      <c r="LY370" s="25" t="str">
        <f>CONCATENATE("DI",REPLACE($AC370,1,3,""),"-",$AF370)</f>
        <v>DI2-C1</v>
      </c>
      <c r="LZ370" s="12"/>
      <c r="MA370" s="12" t="s">
        <v>1884</v>
      </c>
      <c r="MB370" s="12" t="s">
        <v>1883</v>
      </c>
      <c r="MC370" s="12">
        <v>11</v>
      </c>
      <c r="MD370" s="12">
        <v>14</v>
      </c>
      <c r="ME370" s="12" t="s">
        <v>142</v>
      </c>
      <c r="MF370" s="12" t="s">
        <v>143</v>
      </c>
      <c r="MG370" s="12" t="s">
        <v>488</v>
      </c>
      <c r="MH370" s="12" t="s">
        <v>487</v>
      </c>
      <c r="MI370" s="12" t="s">
        <v>414</v>
      </c>
      <c r="MJ370" s="12" t="s">
        <v>413</v>
      </c>
      <c r="MK370" s="12"/>
      <c r="ML370" s="12"/>
      <c r="MM370" s="12"/>
      <c r="MN370" s="12"/>
      <c r="MO370" s="12"/>
      <c r="MP370" s="12"/>
      <c r="MQ370" s="12">
        <v>1</v>
      </c>
      <c r="MR370" s="13">
        <v>2</v>
      </c>
      <c r="MS370" s="27"/>
    </row>
    <row r="371" spans="1:357" x14ac:dyDescent="0.25">
      <c r="A371" t="s">
        <v>2695</v>
      </c>
      <c r="B371" t="s">
        <v>3142</v>
      </c>
      <c r="P371" t="s">
        <v>1873</v>
      </c>
      <c r="T371" s="14" t="s">
        <v>2117</v>
      </c>
      <c r="AC371" t="str">
        <f t="shared" ref="AC371:AC378" si="1806">IF(AD370+AE370&gt;31,REPLACE(AC370,LEN(AC370),1,VALUE(RIGHT(AC370,1))+1),AC370)</f>
        <v>A5.2</v>
      </c>
      <c r="AD371" s="43" cm="1">
        <f t="array" ref="AD371">IF(COUNTIFS(AC$2:AC371,AC371)=1,"1",VALUE(SUBSTITUTE(INDEX(AD:AD,_xlfn.XMATCH(AC371,AC$1:AC370,0,-1)),"A",""))+INDEX(AE:AE,_xlfn.XMATCH(AC371,AC$1:AC370,0,-1))+1)</f>
        <v>2</v>
      </c>
      <c r="AE371" s="43" cm="1">
        <f t="array" ref="AE371">SUM(IF(ISNUMBER(FIND("TmDi",$BE$1:$AAL$1)),IF(IFERROR(ISNUMBER(VALUE(SUBSTITUTE($BE371:$AAL371,"B",""))),FALSE),IF(ISNUMBER(VALUE(SUBSTITUTE($BE371:$AAL371,"B",""))),1,0),0)))</f>
        <v>0</v>
      </c>
      <c r="AF371" t="str">
        <f t="shared" si="1804"/>
        <v>C2</v>
      </c>
      <c r="AG371" t="str">
        <f t="shared" si="1805"/>
        <v>B2</v>
      </c>
      <c r="AP371" t="s">
        <v>2119</v>
      </c>
      <c r="AT371" t="s">
        <v>854</v>
      </c>
      <c r="AU371" t="s">
        <v>1399</v>
      </c>
      <c r="LY371" s="27" t="str">
        <f>CONCATENATE("DI",REPLACE($AC371,1,3,""),"-",$AF371)</f>
        <v>DI2-C2</v>
      </c>
      <c r="MA371" t="s">
        <v>1885</v>
      </c>
      <c r="MB371" t="s">
        <v>1886</v>
      </c>
      <c r="MC371">
        <f t="shared" ref="MC371:MJ371" si="1807">MC370</f>
        <v>11</v>
      </c>
      <c r="MD371">
        <f t="shared" si="1807"/>
        <v>14</v>
      </c>
      <c r="ME371" t="str">
        <f t="shared" si="1807"/>
        <v>A1</v>
      </c>
      <c r="MF371" t="str">
        <f t="shared" si="1807"/>
        <v>A2</v>
      </c>
      <c r="MG371" t="str">
        <f t="shared" si="1807"/>
        <v>0v3</v>
      </c>
      <c r="MH371" t="str">
        <f t="shared" si="1807"/>
        <v>24v3</v>
      </c>
      <c r="MI371" t="str">
        <f t="shared" si="1807"/>
        <v>0v6</v>
      </c>
      <c r="MJ371" t="str">
        <f t="shared" si="1807"/>
        <v>24v6</v>
      </c>
      <c r="MQ371">
        <f>MQ370</f>
        <v>1</v>
      </c>
      <c r="MR371" s="16">
        <f>MR370</f>
        <v>2</v>
      </c>
    </row>
    <row r="372" spans="1:357" x14ac:dyDescent="0.25">
      <c r="A372" t="s">
        <v>2696</v>
      </c>
      <c r="B372" t="s">
        <v>3143</v>
      </c>
      <c r="P372" t="s">
        <v>1873</v>
      </c>
      <c r="T372" s="14" t="s">
        <v>2117</v>
      </c>
      <c r="AC372" t="str">
        <f t="shared" si="1806"/>
        <v>A5.2</v>
      </c>
      <c r="AD372" s="43" cm="1">
        <f t="array" ref="AD372">IF(COUNTIFS(AC$2:AC372,AC372)=1,"1",VALUE(SUBSTITUTE(INDEX(AD:AD,_xlfn.XMATCH(AC372,AC$1:AC371,0,-1)),"A",""))+INDEX(AE:AE,_xlfn.XMATCH(AC372,AC$1:AC371,0,-1))+1)</f>
        <v>3</v>
      </c>
      <c r="AE372" s="43" cm="1">
        <f t="array" ref="AE372">SUM(IF(ISNUMBER(FIND("TmDi",$BE$1:$AAL$1)),IF(IFERROR(ISNUMBER(VALUE(SUBSTITUTE($BE372:$AAL372,"B",""))),FALSE),IF(ISNUMBER(VALUE(SUBSTITUTE($BE372:$AAL372,"B",""))),1,0),0)))</f>
        <v>0</v>
      </c>
      <c r="AF372" t="str">
        <f t="shared" si="1804"/>
        <v>C3</v>
      </c>
      <c r="AG372" t="str">
        <f t="shared" si="1805"/>
        <v>B3</v>
      </c>
      <c r="AP372" t="s">
        <v>2119</v>
      </c>
      <c r="AT372" t="s">
        <v>854</v>
      </c>
      <c r="AU372" t="s">
        <v>1399</v>
      </c>
      <c r="LY372" s="27" t="str">
        <f t="shared" ref="LY372:LY378" si="1808">CONCATENATE("DI",REPLACE($AC372,1,3,""),"-",$AF372)</f>
        <v>DI2-C3</v>
      </c>
      <c r="MA372" t="s">
        <v>1887</v>
      </c>
      <c r="MB372" t="s">
        <v>1888</v>
      </c>
      <c r="MC372">
        <f t="shared" ref="MC372:MJ372" si="1809">MC371</f>
        <v>11</v>
      </c>
      <c r="MD372">
        <f t="shared" si="1809"/>
        <v>14</v>
      </c>
      <c r="ME372" t="str">
        <f t="shared" si="1809"/>
        <v>A1</v>
      </c>
      <c r="MF372" t="str">
        <f t="shared" si="1809"/>
        <v>A2</v>
      </c>
      <c r="MG372" t="str">
        <f t="shared" si="1809"/>
        <v>0v3</v>
      </c>
      <c r="MH372" t="str">
        <f t="shared" si="1809"/>
        <v>24v3</v>
      </c>
      <c r="MI372" t="str">
        <f t="shared" si="1809"/>
        <v>0v6</v>
      </c>
      <c r="MJ372" t="str">
        <f t="shared" si="1809"/>
        <v>24v6</v>
      </c>
      <c r="MQ372">
        <f t="shared" ref="MQ372:MR372" si="1810">MQ371</f>
        <v>1</v>
      </c>
      <c r="MR372" s="16">
        <f t="shared" si="1810"/>
        <v>2</v>
      </c>
    </row>
    <row r="373" spans="1:357" x14ac:dyDescent="0.25">
      <c r="A373" t="s">
        <v>2697</v>
      </c>
      <c r="B373" t="s">
        <v>3144</v>
      </c>
      <c r="P373" t="s">
        <v>1873</v>
      </c>
      <c r="T373" s="14" t="s">
        <v>2117</v>
      </c>
      <c r="AC373" t="str">
        <f t="shared" si="1806"/>
        <v>A5.2</v>
      </c>
      <c r="AD373" s="43" cm="1">
        <f t="array" ref="AD373">IF(COUNTIFS(AC$2:AC373,AC373)=1,"1",VALUE(SUBSTITUTE(INDEX(AD:AD,_xlfn.XMATCH(AC373,AC$1:AC372,0,-1)),"A",""))+INDEX(AE:AE,_xlfn.XMATCH(AC373,AC$1:AC372,0,-1))+1)</f>
        <v>4</v>
      </c>
      <c r="AE373" s="43" cm="1">
        <f t="array" ref="AE373">SUM(IF(ISNUMBER(FIND("TmDi",$BE$1:$AAL$1)),IF(IFERROR(ISNUMBER(VALUE(SUBSTITUTE($BE373:$AAL373,"B",""))),FALSE),IF(ISNUMBER(VALUE(SUBSTITUTE($BE373:$AAL373,"B",""))),1,0),0)))</f>
        <v>0</v>
      </c>
      <c r="AF373" t="str">
        <f t="shared" si="1804"/>
        <v>C4</v>
      </c>
      <c r="AG373" t="str">
        <f t="shared" si="1805"/>
        <v>B4</v>
      </c>
      <c r="AP373" t="s">
        <v>2119</v>
      </c>
      <c r="AT373" t="s">
        <v>854</v>
      </c>
      <c r="AU373" t="s">
        <v>1399</v>
      </c>
      <c r="LY373" s="27" t="str">
        <f t="shared" si="1808"/>
        <v>DI2-C4</v>
      </c>
      <c r="MA373" t="s">
        <v>1889</v>
      </c>
      <c r="MB373" t="s">
        <v>1890</v>
      </c>
      <c r="MC373">
        <f t="shared" ref="MC373:MJ373" si="1811">MC372</f>
        <v>11</v>
      </c>
      <c r="MD373">
        <f t="shared" si="1811"/>
        <v>14</v>
      </c>
      <c r="ME373" t="str">
        <f t="shared" si="1811"/>
        <v>A1</v>
      </c>
      <c r="MF373" t="str">
        <f t="shared" si="1811"/>
        <v>A2</v>
      </c>
      <c r="MG373" t="str">
        <f t="shared" si="1811"/>
        <v>0v3</v>
      </c>
      <c r="MH373" t="str">
        <f t="shared" si="1811"/>
        <v>24v3</v>
      </c>
      <c r="MI373" t="str">
        <f t="shared" si="1811"/>
        <v>0v6</v>
      </c>
      <c r="MJ373" t="str">
        <f t="shared" si="1811"/>
        <v>24v6</v>
      </c>
      <c r="MQ373">
        <f t="shared" ref="MQ373:MR373" si="1812">MQ372</f>
        <v>1</v>
      </c>
      <c r="MR373" s="16">
        <f t="shared" si="1812"/>
        <v>2</v>
      </c>
    </row>
    <row r="374" spans="1:357" x14ac:dyDescent="0.25">
      <c r="A374" t="s">
        <v>2698</v>
      </c>
      <c r="B374" t="s">
        <v>3145</v>
      </c>
      <c r="P374" t="s">
        <v>1873</v>
      </c>
      <c r="T374" s="14" t="s">
        <v>2117</v>
      </c>
      <c r="AC374" t="str">
        <f t="shared" si="1806"/>
        <v>A5.2</v>
      </c>
      <c r="AD374" s="43" cm="1">
        <f t="array" ref="AD374">IF(COUNTIFS(AC$2:AC374,AC374)=1,"1",VALUE(SUBSTITUTE(INDEX(AD:AD,_xlfn.XMATCH(AC374,AC$1:AC373,0,-1)),"A",""))+INDEX(AE:AE,_xlfn.XMATCH(AC374,AC$1:AC373,0,-1))+1)</f>
        <v>5</v>
      </c>
      <c r="AE374" s="43" cm="1">
        <f t="array" ref="AE374">SUM(IF(ISNUMBER(FIND("TmDi",$BE$1:$AAL$1)),IF(IFERROR(ISNUMBER(VALUE(SUBSTITUTE($BE374:$AAL374,"B",""))),FALSE),IF(ISNUMBER(VALUE(SUBSTITUTE($BE374:$AAL374,"B",""))),1,0),0)))</f>
        <v>0</v>
      </c>
      <c r="AF374" t="str">
        <f t="shared" si="1804"/>
        <v>C5</v>
      </c>
      <c r="AG374" t="str">
        <f t="shared" si="1805"/>
        <v>B5</v>
      </c>
      <c r="AP374" t="s">
        <v>2119</v>
      </c>
      <c r="AT374" t="s">
        <v>854</v>
      </c>
      <c r="AU374" t="s">
        <v>1399</v>
      </c>
      <c r="LY374" s="27" t="str">
        <f t="shared" si="1808"/>
        <v>DI2-C5</v>
      </c>
      <c r="MA374" t="s">
        <v>1891</v>
      </c>
      <c r="MB374" t="s">
        <v>1892</v>
      </c>
      <c r="MC374">
        <f t="shared" ref="MC374:MJ374" si="1813">MC373</f>
        <v>11</v>
      </c>
      <c r="MD374">
        <f t="shared" si="1813"/>
        <v>14</v>
      </c>
      <c r="ME374" t="str">
        <f t="shared" si="1813"/>
        <v>A1</v>
      </c>
      <c r="MF374" t="str">
        <f t="shared" si="1813"/>
        <v>A2</v>
      </c>
      <c r="MG374" t="str">
        <f t="shared" si="1813"/>
        <v>0v3</v>
      </c>
      <c r="MH374" t="str">
        <f t="shared" si="1813"/>
        <v>24v3</v>
      </c>
      <c r="MI374" t="str">
        <f t="shared" si="1813"/>
        <v>0v6</v>
      </c>
      <c r="MJ374" t="str">
        <f t="shared" si="1813"/>
        <v>24v6</v>
      </c>
      <c r="MQ374">
        <f t="shared" ref="MQ374:MR374" si="1814">MQ373</f>
        <v>1</v>
      </c>
      <c r="MR374" s="16">
        <f t="shared" si="1814"/>
        <v>2</v>
      </c>
    </row>
    <row r="375" spans="1:357" x14ac:dyDescent="0.25">
      <c r="A375" t="s">
        <v>2699</v>
      </c>
      <c r="B375" t="s">
        <v>3146</v>
      </c>
      <c r="P375" t="s">
        <v>1873</v>
      </c>
      <c r="T375" s="14" t="s">
        <v>2117</v>
      </c>
      <c r="AC375" t="str">
        <f t="shared" si="1806"/>
        <v>A5.2</v>
      </c>
      <c r="AD375" s="43" cm="1">
        <f t="array" ref="AD375">IF(COUNTIFS(AC$2:AC375,AC375)=1,"1",VALUE(SUBSTITUTE(INDEX(AD:AD,_xlfn.XMATCH(AC375,AC$1:AC374,0,-1)),"A",""))+INDEX(AE:AE,_xlfn.XMATCH(AC375,AC$1:AC374,0,-1))+1)</f>
        <v>6</v>
      </c>
      <c r="AE375" s="43" cm="1">
        <f t="array" ref="AE375">SUM(IF(ISNUMBER(FIND("TmDi",$BE$1:$AAL$1)),IF(IFERROR(ISNUMBER(VALUE(SUBSTITUTE($BE375:$AAL375,"B",""))),FALSE),IF(ISNUMBER(VALUE(SUBSTITUTE($BE375:$AAL375,"B",""))),1,0),0)))</f>
        <v>0</v>
      </c>
      <c r="AF375" t="str">
        <f t="shared" si="1804"/>
        <v>C6</v>
      </c>
      <c r="AG375" t="str">
        <f t="shared" si="1805"/>
        <v>B6</v>
      </c>
      <c r="AP375" t="s">
        <v>2119</v>
      </c>
      <c r="AT375" t="s">
        <v>854</v>
      </c>
      <c r="AU375" t="s">
        <v>1399</v>
      </c>
      <c r="LY375" s="27" t="str">
        <f t="shared" si="1808"/>
        <v>DI2-C6</v>
      </c>
      <c r="MA375" t="s">
        <v>1893</v>
      </c>
      <c r="MB375" t="s">
        <v>1894</v>
      </c>
      <c r="MC375">
        <f t="shared" ref="MC375:MJ375" si="1815">MC374</f>
        <v>11</v>
      </c>
      <c r="MD375">
        <f t="shared" si="1815"/>
        <v>14</v>
      </c>
      <c r="ME375" t="str">
        <f t="shared" si="1815"/>
        <v>A1</v>
      </c>
      <c r="MF375" t="str">
        <f t="shared" si="1815"/>
        <v>A2</v>
      </c>
      <c r="MG375" t="str">
        <f t="shared" si="1815"/>
        <v>0v3</v>
      </c>
      <c r="MH375" t="str">
        <f t="shared" si="1815"/>
        <v>24v3</v>
      </c>
      <c r="MI375" t="str">
        <f t="shared" si="1815"/>
        <v>0v6</v>
      </c>
      <c r="MJ375" t="str">
        <f t="shared" si="1815"/>
        <v>24v6</v>
      </c>
      <c r="MQ375">
        <f t="shared" ref="MQ375:MR375" si="1816">MQ374</f>
        <v>1</v>
      </c>
      <c r="MR375" s="16">
        <f t="shared" si="1816"/>
        <v>2</v>
      </c>
    </row>
    <row r="376" spans="1:357" x14ac:dyDescent="0.25">
      <c r="A376" t="s">
        <v>2700</v>
      </c>
      <c r="B376" t="s">
        <v>3147</v>
      </c>
      <c r="P376" t="s">
        <v>1873</v>
      </c>
      <c r="T376" s="14" t="s">
        <v>2117</v>
      </c>
      <c r="AC376" t="str">
        <f t="shared" si="1806"/>
        <v>A5.2</v>
      </c>
      <c r="AD376" s="43" cm="1">
        <f t="array" ref="AD376">IF(COUNTIFS(AC$2:AC376,AC376)=1,"1",VALUE(SUBSTITUTE(INDEX(AD:AD,_xlfn.XMATCH(AC376,AC$1:AC375,0,-1)),"A",""))+INDEX(AE:AE,_xlfn.XMATCH(AC376,AC$1:AC375,0,-1))+1)</f>
        <v>7</v>
      </c>
      <c r="AE376" s="43" cm="1">
        <f t="array" ref="AE376">SUM(IF(ISNUMBER(FIND("TmDi",$BE$1:$AAL$1)),IF(IFERROR(ISNUMBER(VALUE(SUBSTITUTE($BE376:$AAL376,"B",""))),FALSE),IF(ISNUMBER(VALUE(SUBSTITUTE($BE376:$AAL376,"B",""))),1,0),0)))</f>
        <v>0</v>
      </c>
      <c r="AF376" t="str">
        <f t="shared" si="1804"/>
        <v>C7</v>
      </c>
      <c r="AG376" t="str">
        <f t="shared" si="1805"/>
        <v>B7</v>
      </c>
      <c r="AP376" t="s">
        <v>2119</v>
      </c>
      <c r="AT376" t="s">
        <v>854</v>
      </c>
      <c r="AU376" t="s">
        <v>1399</v>
      </c>
      <c r="LY376" s="27" t="str">
        <f t="shared" si="1808"/>
        <v>DI2-C7</v>
      </c>
      <c r="MA376" t="s">
        <v>1895</v>
      </c>
      <c r="MB376" t="s">
        <v>1896</v>
      </c>
      <c r="MC376">
        <f t="shared" ref="MC376:MJ376" si="1817">MC375</f>
        <v>11</v>
      </c>
      <c r="MD376">
        <f t="shared" si="1817"/>
        <v>14</v>
      </c>
      <c r="ME376" t="str">
        <f t="shared" si="1817"/>
        <v>A1</v>
      </c>
      <c r="MF376" t="str">
        <f t="shared" si="1817"/>
        <v>A2</v>
      </c>
      <c r="MG376" t="str">
        <f t="shared" si="1817"/>
        <v>0v3</v>
      </c>
      <c r="MH376" t="str">
        <f t="shared" si="1817"/>
        <v>24v3</v>
      </c>
      <c r="MI376" t="str">
        <f t="shared" si="1817"/>
        <v>0v6</v>
      </c>
      <c r="MJ376" t="str">
        <f t="shared" si="1817"/>
        <v>24v6</v>
      </c>
      <c r="MQ376">
        <f t="shared" ref="MQ376:MR376" si="1818">MQ375</f>
        <v>1</v>
      </c>
      <c r="MR376" s="16">
        <f t="shared" si="1818"/>
        <v>2</v>
      </c>
    </row>
    <row r="377" spans="1:357" x14ac:dyDescent="0.25">
      <c r="A377" t="s">
        <v>2701</v>
      </c>
      <c r="B377" t="s">
        <v>3148</v>
      </c>
      <c r="P377" t="s">
        <v>1873</v>
      </c>
      <c r="T377" s="14" t="s">
        <v>2117</v>
      </c>
      <c r="AC377" t="str">
        <f t="shared" si="1806"/>
        <v>A5.2</v>
      </c>
      <c r="AD377" s="43" cm="1">
        <f t="array" ref="AD377">IF(COUNTIFS(AC$2:AC377,AC377)=1,"1",VALUE(SUBSTITUTE(INDEX(AD:AD,_xlfn.XMATCH(AC377,AC$1:AC376,0,-1)),"A",""))+INDEX(AE:AE,_xlfn.XMATCH(AC377,AC$1:AC376,0,-1))+1)</f>
        <v>8</v>
      </c>
      <c r="AE377" s="43" cm="1">
        <f t="array" ref="AE377">SUM(IF(ISNUMBER(FIND("TmDi",$BE$1:$AAL$1)),IF(IFERROR(ISNUMBER(VALUE(SUBSTITUTE($BE377:$AAL377,"B",""))),FALSE),IF(ISNUMBER(VALUE(SUBSTITUTE($BE377:$AAL377,"B",""))),1,0),0)))</f>
        <v>0</v>
      </c>
      <c r="AF377" t="str">
        <f t="shared" si="1804"/>
        <v>C8</v>
      </c>
      <c r="AG377" t="str">
        <f t="shared" si="1805"/>
        <v>B8</v>
      </c>
      <c r="AP377" t="s">
        <v>2119</v>
      </c>
      <c r="AT377" t="s">
        <v>854</v>
      </c>
      <c r="AU377" t="s">
        <v>1399</v>
      </c>
      <c r="LY377" s="27" t="str">
        <f t="shared" si="1808"/>
        <v>DI2-C8</v>
      </c>
      <c r="MA377" t="s">
        <v>1897</v>
      </c>
      <c r="MB377" t="s">
        <v>1898</v>
      </c>
      <c r="MC377">
        <f t="shared" ref="MC377:MJ377" si="1819">MC376</f>
        <v>11</v>
      </c>
      <c r="MD377">
        <f t="shared" si="1819"/>
        <v>14</v>
      </c>
      <c r="ME377" t="str">
        <f t="shared" si="1819"/>
        <v>A1</v>
      </c>
      <c r="MF377" t="str">
        <f t="shared" si="1819"/>
        <v>A2</v>
      </c>
      <c r="MG377" t="str">
        <f t="shared" si="1819"/>
        <v>0v3</v>
      </c>
      <c r="MH377" t="str">
        <f t="shared" si="1819"/>
        <v>24v3</v>
      </c>
      <c r="MI377" t="str">
        <f t="shared" si="1819"/>
        <v>0v6</v>
      </c>
      <c r="MJ377" t="str">
        <f t="shared" si="1819"/>
        <v>24v6</v>
      </c>
      <c r="MQ377">
        <f t="shared" ref="MQ377:MR377" si="1820">MQ376</f>
        <v>1</v>
      </c>
      <c r="MR377" s="16">
        <f t="shared" si="1820"/>
        <v>2</v>
      </c>
    </row>
    <row r="378" spans="1:357" s="19" customFormat="1" ht="15.75" thickBot="1" x14ac:dyDescent="0.3">
      <c r="A378" s="19" t="s">
        <v>2702</v>
      </c>
      <c r="B378" s="19" t="s">
        <v>3149</v>
      </c>
      <c r="P378" s="19" t="s">
        <v>1873</v>
      </c>
      <c r="T378" s="17" t="s">
        <v>2117</v>
      </c>
      <c r="AC378" s="19" t="str">
        <f t="shared" si="1806"/>
        <v>A5.2</v>
      </c>
      <c r="AD378" s="44" cm="1">
        <f t="array" ref="AD378">IF(COUNTIFS(AC$2:AC378,AC378)=1,"1",VALUE(SUBSTITUTE(INDEX(AD:AD,_xlfn.XMATCH(AC378,AC$1:AC377,0,-1)),"A",""))+INDEX(AE:AE,_xlfn.XMATCH(AC378,AC$1:AC377,0,-1))+1)</f>
        <v>9</v>
      </c>
      <c r="AE378" s="44" cm="1">
        <f t="array" ref="AE378">SUM(IF(ISNUMBER(FIND("TmDi",$BE$1:$AAL$1)),IF(IFERROR(ISNUMBER(VALUE(SUBSTITUTE($BE378:$AAL378,"B",""))),FALSE),IF(ISNUMBER(VALUE(SUBSTITUTE($BE378:$AAL378,"B",""))),1,0),0)))</f>
        <v>0</v>
      </c>
      <c r="AF378" s="19" t="str">
        <f t="shared" si="1804"/>
        <v>C9</v>
      </c>
      <c r="AG378" s="19" t="str">
        <f t="shared" si="1805"/>
        <v>B9</v>
      </c>
      <c r="AI378" s="74"/>
      <c r="AJ378" s="74"/>
      <c r="AP378" s="19" t="s">
        <v>2119</v>
      </c>
      <c r="AT378" s="19" t="s">
        <v>854</v>
      </c>
      <c r="AU378" s="19" t="s">
        <v>1399</v>
      </c>
      <c r="LY378" s="28" t="str">
        <f t="shared" si="1808"/>
        <v>DI2-C9</v>
      </c>
      <c r="MA378" s="19" t="s">
        <v>1899</v>
      </c>
      <c r="MB378" s="19" t="s">
        <v>1900</v>
      </c>
      <c r="MC378" s="19">
        <f t="shared" ref="MC378:MJ378" si="1821">MC377</f>
        <v>11</v>
      </c>
      <c r="MD378" s="19">
        <f t="shared" si="1821"/>
        <v>14</v>
      </c>
      <c r="ME378" s="19" t="str">
        <f t="shared" si="1821"/>
        <v>A1</v>
      </c>
      <c r="MF378" s="19" t="str">
        <f t="shared" si="1821"/>
        <v>A2</v>
      </c>
      <c r="MG378" s="19" t="str">
        <f t="shared" si="1821"/>
        <v>0v3</v>
      </c>
      <c r="MH378" s="19" t="str">
        <f t="shared" si="1821"/>
        <v>24v3</v>
      </c>
      <c r="MI378" s="19" t="str">
        <f t="shared" si="1821"/>
        <v>0v6</v>
      </c>
      <c r="MJ378" s="19" t="str">
        <f t="shared" si="1821"/>
        <v>24v6</v>
      </c>
      <c r="MQ378" s="19">
        <f t="shared" ref="MQ378:MR378" si="1822">MQ377</f>
        <v>1</v>
      </c>
      <c r="MR378" s="20">
        <f t="shared" si="1822"/>
        <v>2</v>
      </c>
    </row>
    <row r="379" spans="1:357" x14ac:dyDescent="0.25">
      <c r="A379" t="s">
        <v>2184</v>
      </c>
      <c r="B379" t="s">
        <v>2183</v>
      </c>
      <c r="C379" t="s">
        <v>498</v>
      </c>
      <c r="P379" t="s">
        <v>482</v>
      </c>
      <c r="T379" s="14" t="s">
        <v>2185</v>
      </c>
      <c r="U379">
        <v>1</v>
      </c>
      <c r="V379" t="s">
        <v>2186</v>
      </c>
      <c r="X379" t="s">
        <v>400</v>
      </c>
      <c r="Y379" s="43">
        <v>1</v>
      </c>
      <c r="Z379" s="43" cm="1">
        <f t="array" ref="Z379">SUM(IF(ISNUMBER(FIND("TmAi",$BE$1:$AAL$1)),IF(IFERROR(ISODD(SUBSTITUTE($BE379:$AAL379,"A","")),FALSE),IF(ISODD(SUBSTITUTE($BE379:$AAL379,"A","")),1,0),0)))</f>
        <v>0</v>
      </c>
      <c r="AA379" t="str">
        <f t="shared" ref="AA379:AA425" si="1823">CONCATENATE($Y379*2-1,"B")</f>
        <v>1B</v>
      </c>
      <c r="AB379" t="str">
        <f t="shared" ref="AB379:AB425" si="1824">CONCATENATE($Y379*2,"B")</f>
        <v>2B</v>
      </c>
      <c r="AP379" t="s">
        <v>2187</v>
      </c>
      <c r="AS379" t="s">
        <v>396</v>
      </c>
      <c r="JZ379" s="27" t="str">
        <f t="shared" ref="JZ379:JZ380" si="1825">CONCATENATE("XT",U379)</f>
        <v>XT1</v>
      </c>
      <c r="KC379" t="str">
        <f t="shared" ref="KC379" si="1826">CONCATENATE(T379,"-AI",REPLACE($X379,1,3,""),"-",AA379)</f>
        <v>N1-AI1-1B</v>
      </c>
      <c r="KD379" t="str">
        <f t="shared" ref="KD379" si="1827">CONCATENATE(T379,"-AI",REPLACE($X379,1,3,""),"-",AB379)</f>
        <v>N1-AI1-2B</v>
      </c>
      <c r="KI379">
        <v>1</v>
      </c>
      <c r="KJ379">
        <f>KI379+1</f>
        <v>2</v>
      </c>
      <c r="KK379">
        <f>KJ379+1</f>
        <v>3</v>
      </c>
      <c r="KN379">
        <v>1</v>
      </c>
      <c r="KO379" s="16">
        <v>2</v>
      </c>
      <c r="KS379" s="16"/>
    </row>
    <row r="380" spans="1:357" x14ac:dyDescent="0.25">
      <c r="A380" t="s">
        <v>2189</v>
      </c>
      <c r="B380" t="s">
        <v>2188</v>
      </c>
      <c r="C380" t="s">
        <v>492</v>
      </c>
      <c r="P380" t="s">
        <v>482</v>
      </c>
      <c r="T380" s="14" t="s">
        <v>2185</v>
      </c>
      <c r="U380">
        <v>1</v>
      </c>
      <c r="V380" t="s">
        <v>2190</v>
      </c>
      <c r="X380" t="str">
        <f>IF(COUNTIF(X$379:X379,X379)&gt;7,REPLACE(X379,LEN(X379),1,VALUE(RIGHT(X379,1))+1),X379)</f>
        <v>A3.1</v>
      </c>
      <c r="Y380" s="43" cm="1">
        <f t="array" ref="Y380">IF(COUNTIFS($X$379:$X380,$X380)=1,"1",VALUE(SUBSTITUTE(INDEX(Y:Y,_xlfn.XMATCH($X380,$X$1:$X379,0,-1)),"A",""))+INDEX(Z:Z,_xlfn.XMATCH($X380,$X$1:$X379,0,-1))+1)</f>
        <v>2</v>
      </c>
      <c r="Z380" s="43" cm="1">
        <f t="array" ref="Z380">SUM(IF(ISNUMBER(FIND("TmAi",$BE$1:$AAL$1)),IF(IFERROR(ISODD(SUBSTITUTE($BE380:$AAL380,"A","")),FALSE),IF(ISODD(SUBSTITUTE($BE380:$AAL380,"A","")),1,0),0)))</f>
        <v>0</v>
      </c>
      <c r="AA380" t="str">
        <f t="shared" si="1823"/>
        <v>3B</v>
      </c>
      <c r="AB380" t="str">
        <f t="shared" si="1824"/>
        <v>4B</v>
      </c>
      <c r="AP380" t="s">
        <v>2187</v>
      </c>
      <c r="AS380" t="s">
        <v>396</v>
      </c>
      <c r="JZ380" s="27" t="str">
        <f t="shared" si="1825"/>
        <v>XT1</v>
      </c>
      <c r="KC380" t="str">
        <f t="shared" ref="KC380" si="1828">CONCATENATE(T380,"-AI",REPLACE($X380,1,3,""),"-",AA380)</f>
        <v>N1-AI1-3B</v>
      </c>
      <c r="KD380" t="str">
        <f t="shared" ref="KD380" si="1829">CONCATENATE(T380,"-AI",REPLACE($X380,1,3,""),"-",AB380)</f>
        <v>N1-AI1-4B</v>
      </c>
      <c r="KI380" cm="1">
        <f t="array" ref="KI380">IF(COUNTIFS($U$2:$U380,$U380)=1,1,INDEX(KI:KI,_xlfn.XMATCH(U380,U$1:U379,0,-1))+COUNT(KI379:KM379))</f>
        <v>4</v>
      </c>
      <c r="KJ380">
        <f t="shared" ref="KJ380:KK380" si="1830">KI380+1</f>
        <v>5</v>
      </c>
      <c r="KK380">
        <f t="shared" si="1830"/>
        <v>6</v>
      </c>
      <c r="KN380">
        <v>1</v>
      </c>
      <c r="KO380" s="16">
        <v>2</v>
      </c>
      <c r="KS380" s="16"/>
    </row>
    <row r="381" spans="1:357" x14ac:dyDescent="0.25">
      <c r="A381" s="67" t="s">
        <v>2191</v>
      </c>
      <c r="B381" t="s">
        <v>2192</v>
      </c>
      <c r="C381" t="s">
        <v>492</v>
      </c>
      <c r="P381" t="s">
        <v>482</v>
      </c>
      <c r="T381" s="14" t="s">
        <v>2185</v>
      </c>
      <c r="U381">
        <v>1</v>
      </c>
      <c r="V381" t="s">
        <v>2193</v>
      </c>
      <c r="X381" t="s">
        <v>2018</v>
      </c>
      <c r="Y381" s="43" t="str" cm="1">
        <f t="array" ref="Y381">IF(COUNTIFS($X$379:$X381,$X381)=1,"1",VALUE(SUBSTITUTE(INDEX(Y:Y,_xlfn.XMATCH($X381,$X$1:$X380,0,-1)),"A",""))+INDEX(Z:Z,_xlfn.XMATCH($X381,$X$1:$X380,0,-1))+1)</f>
        <v>1</v>
      </c>
      <c r="Z381" s="43" cm="1">
        <f t="array" ref="Z381">SUM(IF(ISNUMBER(FIND("TmAi",$BE$1:$AAL$1)),IF(IFERROR(ISODD(SUBSTITUTE($BE381:$AAL381,"A","")),FALSE),IF(ISODD(SUBSTITUTE($BE381:$AAL381,"A","")),1,0),0)))</f>
        <v>0</v>
      </c>
      <c r="AA381" t="str">
        <f t="shared" si="1823"/>
        <v>1B</v>
      </c>
      <c r="AB381" t="str">
        <f t="shared" si="1824"/>
        <v>2B</v>
      </c>
      <c r="AP381" t="s">
        <v>2187</v>
      </c>
      <c r="AS381" t="s">
        <v>396</v>
      </c>
      <c r="JZ381" s="27" t="str">
        <f t="shared" ref="JZ381:JZ425" si="1831">CONCATENATE("XT",U381)</f>
        <v>XT1</v>
      </c>
      <c r="KC381" t="str">
        <f t="shared" ref="KC381:KC425" si="1832">CONCATENATE(T381,"-AI",REPLACE($X381,1,3,""),"-",AA381)</f>
        <v>N1-AI2-1B</v>
      </c>
      <c r="KD381" t="str">
        <f t="shared" ref="KD381:KD425" si="1833">CONCATENATE(T381,"-AI",REPLACE($X381,1,3,""),"-",AB381)</f>
        <v>N1-AI2-2B</v>
      </c>
      <c r="KI381" cm="1">
        <f t="array" ref="KI381">IF(COUNTIFS($U$2:$U381,$U381)=1,1,INDEX(KI:KI,_xlfn.XMATCH(U381,U$1:U380,0,-1))+COUNT(KI380:KM380))</f>
        <v>7</v>
      </c>
      <c r="KJ381">
        <f t="shared" ref="KJ381:KK381" si="1834">KI381+1</f>
        <v>8</v>
      </c>
      <c r="KK381">
        <f t="shared" si="1834"/>
        <v>9</v>
      </c>
      <c r="KN381">
        <v>1</v>
      </c>
      <c r="KO381" s="16">
        <v>2</v>
      </c>
      <c r="KS381" s="16"/>
    </row>
    <row r="382" spans="1:357" x14ac:dyDescent="0.25">
      <c r="A382" t="s">
        <v>2240</v>
      </c>
      <c r="B382" t="s">
        <v>2239</v>
      </c>
      <c r="C382" t="s">
        <v>492</v>
      </c>
      <c r="P382" t="s">
        <v>482</v>
      </c>
      <c r="T382" s="14" t="s">
        <v>2185</v>
      </c>
      <c r="U382">
        <v>1</v>
      </c>
      <c r="V382" t="s">
        <v>2194</v>
      </c>
      <c r="X382" t="str">
        <f>IF(COUNTIF(X$379:X381,X381)&gt;7,REPLACE(X381,LEN(X381),1,VALUE(RIGHT(X381,1))+1),X381)</f>
        <v>A3.2</v>
      </c>
      <c r="Y382" s="43" cm="1">
        <f t="array" ref="Y382">IF(COUNTIFS($X$379:$X382,$X382)=1,"1",VALUE(SUBSTITUTE(INDEX(Y:Y,_xlfn.XMATCH($X382,$X$1:$X381,0,-1)),"A",""))+INDEX(Z:Z,_xlfn.XMATCH($X382,$X$1:$X381,0,-1))+1)</f>
        <v>2</v>
      </c>
      <c r="Z382" s="43" cm="1">
        <f t="array" ref="Z382">SUM(IF(ISNUMBER(FIND("TmAi",$BE$1:$AAL$1)),IF(IFERROR(ISODD(SUBSTITUTE($BE382:$AAL382,"A","")),FALSE),IF(ISODD(SUBSTITUTE($BE382:$AAL382,"A","")),1,0),0)))</f>
        <v>0</v>
      </c>
      <c r="AA382" t="str">
        <f t="shared" si="1823"/>
        <v>3B</v>
      </c>
      <c r="AB382" t="str">
        <f t="shared" si="1824"/>
        <v>4B</v>
      </c>
      <c r="AP382" t="s">
        <v>2187</v>
      </c>
      <c r="AS382" t="s">
        <v>396</v>
      </c>
      <c r="JZ382" s="27" t="str">
        <f t="shared" si="1831"/>
        <v>XT1</v>
      </c>
      <c r="KC382" t="str">
        <f t="shared" si="1832"/>
        <v>N1-AI2-3B</v>
      </c>
      <c r="KD382" t="str">
        <f t="shared" si="1833"/>
        <v>N1-AI2-4B</v>
      </c>
      <c r="KI382" cm="1">
        <f t="array" ref="KI382">IF(COUNTIFS($U$2:$U382,$U382)=1,1,INDEX(KI:KI,_xlfn.XMATCH(U382,U$1:U381,0,-1))+COUNT(KI381:KM381))</f>
        <v>10</v>
      </c>
      <c r="KJ382">
        <f t="shared" ref="KJ382:KK382" si="1835">KI382+1</f>
        <v>11</v>
      </c>
      <c r="KK382">
        <f t="shared" si="1835"/>
        <v>12</v>
      </c>
      <c r="KN382">
        <v>1</v>
      </c>
      <c r="KO382" s="16">
        <v>2</v>
      </c>
      <c r="KS382" s="16"/>
    </row>
    <row r="383" spans="1:357" x14ac:dyDescent="0.25">
      <c r="A383" t="s">
        <v>2242</v>
      </c>
      <c r="B383" t="s">
        <v>2241</v>
      </c>
      <c r="C383" t="s">
        <v>492</v>
      </c>
      <c r="P383" t="s">
        <v>482</v>
      </c>
      <c r="T383" s="14" t="s">
        <v>2185</v>
      </c>
      <c r="U383">
        <v>1</v>
      </c>
      <c r="V383" t="s">
        <v>2195</v>
      </c>
      <c r="X383" t="str">
        <f>IF(COUNTIF(X$379:X382,X382)&gt;7,REPLACE(X382,LEN(X382),1,VALUE(RIGHT(X382,1))+1),X382)</f>
        <v>A3.2</v>
      </c>
      <c r="Y383" s="43" cm="1">
        <f t="array" ref="Y383">IF(COUNTIFS($X$379:$X383,$X383)=1,"1",VALUE(SUBSTITUTE(INDEX(Y:Y,_xlfn.XMATCH($X383,$X$1:$X382,0,-1)),"A",""))+INDEX(Z:Z,_xlfn.XMATCH($X383,$X$1:$X382,0,-1))+1)</f>
        <v>3</v>
      </c>
      <c r="Z383" s="43" cm="1">
        <f t="array" ref="Z383">SUM(IF(ISNUMBER(FIND("TmAi",$BE$1:$AAL$1)),IF(IFERROR(ISODD(SUBSTITUTE($BE383:$AAL383,"A","")),FALSE),IF(ISODD(SUBSTITUTE($BE383:$AAL383,"A","")),1,0),0)))</f>
        <v>0</v>
      </c>
      <c r="AA383" t="str">
        <f t="shared" si="1823"/>
        <v>5B</v>
      </c>
      <c r="AB383" t="str">
        <f t="shared" si="1824"/>
        <v>6B</v>
      </c>
      <c r="AP383" t="s">
        <v>2187</v>
      </c>
      <c r="AS383" t="s">
        <v>396</v>
      </c>
      <c r="JZ383" s="27" t="str">
        <f t="shared" si="1831"/>
        <v>XT1</v>
      </c>
      <c r="KC383" t="str">
        <f t="shared" si="1832"/>
        <v>N1-AI2-5B</v>
      </c>
      <c r="KD383" t="str">
        <f t="shared" si="1833"/>
        <v>N1-AI2-6B</v>
      </c>
      <c r="KI383" cm="1">
        <f t="array" ref="KI383">IF(COUNTIFS($U$2:$U383,$U383)=1,1,INDEX(KI:KI,_xlfn.XMATCH(U383,U$1:U382,0,-1))+COUNT(KI382:KM382))</f>
        <v>13</v>
      </c>
      <c r="KJ383">
        <f t="shared" ref="KJ383:KK383" si="1836">KI383+1</f>
        <v>14</v>
      </c>
      <c r="KK383">
        <f t="shared" si="1836"/>
        <v>15</v>
      </c>
      <c r="KN383">
        <v>1</v>
      </c>
      <c r="KO383" s="16">
        <v>2</v>
      </c>
      <c r="KS383" s="16"/>
    </row>
    <row r="384" spans="1:357" x14ac:dyDescent="0.25">
      <c r="A384" t="s">
        <v>2244</v>
      </c>
      <c r="B384" t="s">
        <v>2243</v>
      </c>
      <c r="C384" t="s">
        <v>492</v>
      </c>
      <c r="P384" t="s">
        <v>482</v>
      </c>
      <c r="T384" s="14" t="s">
        <v>2185</v>
      </c>
      <c r="U384">
        <v>1</v>
      </c>
      <c r="V384" t="s">
        <v>2196</v>
      </c>
      <c r="X384" t="s">
        <v>484</v>
      </c>
      <c r="Y384" s="43" t="str" cm="1">
        <f t="array" ref="Y384">IF(COUNTIFS($X$379:$X384,$X384)=1,"1",VALUE(SUBSTITUTE(INDEX(Y:Y,_xlfn.XMATCH($X384,$X$1:$X383,0,-1)),"A",""))+INDEX(Z:Z,_xlfn.XMATCH($X384,$X$1:$X383,0,-1))+1)</f>
        <v>1</v>
      </c>
      <c r="Z384" s="43" cm="1">
        <f t="array" ref="Z384">SUM(IF(ISNUMBER(FIND("TmAi",$BE$1:$AAL$1)),IF(IFERROR(ISODD(SUBSTITUTE($BE384:$AAL384,"A","")),FALSE),IF(ISODD(SUBSTITUTE($BE384:$AAL384,"A","")),1,0),0)))</f>
        <v>0</v>
      </c>
      <c r="AA384" t="str">
        <f t="shared" si="1823"/>
        <v>1B</v>
      </c>
      <c r="AB384" t="str">
        <f t="shared" si="1824"/>
        <v>2B</v>
      </c>
      <c r="AP384" t="s">
        <v>2187</v>
      </c>
      <c r="AS384" t="s">
        <v>396</v>
      </c>
      <c r="JZ384" s="27" t="str">
        <f t="shared" si="1831"/>
        <v>XT1</v>
      </c>
      <c r="KC384" t="str">
        <f t="shared" si="1832"/>
        <v>N1-AI3-1B</v>
      </c>
      <c r="KD384" t="str">
        <f t="shared" si="1833"/>
        <v>N1-AI3-2B</v>
      </c>
      <c r="KI384" cm="1">
        <f t="array" ref="KI384">IF(COUNTIFS($U$2:$U384,$U384)=1,1,INDEX(KI:KI,_xlfn.XMATCH(U384,U$1:U383,0,-1))+COUNT(KI383:KM383))</f>
        <v>16</v>
      </c>
      <c r="KJ384">
        <f t="shared" ref="KJ384:KK384" si="1837">KI384+1</f>
        <v>17</v>
      </c>
      <c r="KK384">
        <f t="shared" si="1837"/>
        <v>18</v>
      </c>
      <c r="KN384">
        <v>1</v>
      </c>
      <c r="KO384" s="16">
        <v>2</v>
      </c>
      <c r="KS384" s="16"/>
    </row>
    <row r="385" spans="1:305" x14ac:dyDescent="0.25">
      <c r="A385" t="s">
        <v>2246</v>
      </c>
      <c r="B385" t="s">
        <v>2245</v>
      </c>
      <c r="C385" t="s">
        <v>492</v>
      </c>
      <c r="P385" t="s">
        <v>482</v>
      </c>
      <c r="T385" s="14" t="s">
        <v>2185</v>
      </c>
      <c r="U385">
        <v>1</v>
      </c>
      <c r="V385" t="s">
        <v>2197</v>
      </c>
      <c r="X385" t="str">
        <f>IF(COUNTIF(X$379:X384,X384)&gt;7,REPLACE(X384,LEN(X384),1,VALUE(RIGHT(X384,1))+1),X384)</f>
        <v>A3.3</v>
      </c>
      <c r="Y385" s="43" cm="1">
        <f t="array" ref="Y385">IF(COUNTIFS($X$379:$X385,$X385)=1,"1",VALUE(SUBSTITUTE(INDEX(Y:Y,_xlfn.XMATCH($X385,$X$1:$X384,0,-1)),"A",""))+INDEX(Z:Z,_xlfn.XMATCH($X385,$X$1:$X384,0,-1))+1)</f>
        <v>2</v>
      </c>
      <c r="Z385" s="43" cm="1">
        <f t="array" ref="Z385">SUM(IF(ISNUMBER(FIND("TmAi",$BE$1:$AAL$1)),IF(IFERROR(ISODD(SUBSTITUTE($BE385:$AAL385,"A","")),FALSE),IF(ISODD(SUBSTITUTE($BE385:$AAL385,"A","")),1,0),0)))</f>
        <v>0</v>
      </c>
      <c r="AA385" t="str">
        <f t="shared" si="1823"/>
        <v>3B</v>
      </c>
      <c r="AB385" t="str">
        <f t="shared" si="1824"/>
        <v>4B</v>
      </c>
      <c r="AP385" t="s">
        <v>2187</v>
      </c>
      <c r="AS385" t="s">
        <v>396</v>
      </c>
      <c r="JZ385" s="27" t="str">
        <f t="shared" si="1831"/>
        <v>XT1</v>
      </c>
      <c r="KC385" t="str">
        <f t="shared" si="1832"/>
        <v>N1-AI3-3B</v>
      </c>
      <c r="KD385" t="str">
        <f t="shared" si="1833"/>
        <v>N1-AI3-4B</v>
      </c>
      <c r="KI385" cm="1">
        <f t="array" ref="KI385">IF(COUNTIFS($U$2:$U385,$U385)=1,1,INDEX(KI:KI,_xlfn.XMATCH(U385,U$1:U384,0,-1))+COUNT(KI384:KM384))</f>
        <v>19</v>
      </c>
      <c r="KJ385">
        <f t="shared" ref="KJ385:KK385" si="1838">KI385+1</f>
        <v>20</v>
      </c>
      <c r="KK385">
        <f t="shared" si="1838"/>
        <v>21</v>
      </c>
      <c r="KN385">
        <v>1</v>
      </c>
      <c r="KO385" s="16">
        <v>2</v>
      </c>
      <c r="KS385" s="16"/>
    </row>
    <row r="386" spans="1:305" x14ac:dyDescent="0.25">
      <c r="A386" t="s">
        <v>2248</v>
      </c>
      <c r="B386" t="s">
        <v>2247</v>
      </c>
      <c r="C386" t="s">
        <v>492</v>
      </c>
      <c r="P386" t="s">
        <v>482</v>
      </c>
      <c r="T386" s="14" t="s">
        <v>2185</v>
      </c>
      <c r="U386">
        <v>1</v>
      </c>
      <c r="V386" t="s">
        <v>2198</v>
      </c>
      <c r="X386" t="str">
        <f>IF(COUNTIF(X$379:X385,X385)&gt;7,REPLACE(X385,LEN(X385),1,VALUE(RIGHT(X385,1))+1),X385)</f>
        <v>A3.3</v>
      </c>
      <c r="Y386" s="43" cm="1">
        <f t="array" ref="Y386">IF(COUNTIFS($X$379:$X386,$X386)=1,"1",VALUE(SUBSTITUTE(INDEX(Y:Y,_xlfn.XMATCH($X386,$X$1:$X385,0,-1)),"A",""))+INDEX(Z:Z,_xlfn.XMATCH($X386,$X$1:$X385,0,-1))+1)</f>
        <v>3</v>
      </c>
      <c r="Z386" s="43" cm="1">
        <f t="array" ref="Z386">SUM(IF(ISNUMBER(FIND("TmAi",$BE$1:$AAL$1)),IF(IFERROR(ISODD(SUBSTITUTE($BE386:$AAL386,"A","")),FALSE),IF(ISODD(SUBSTITUTE($BE386:$AAL386,"A","")),1,0),0)))</f>
        <v>0</v>
      </c>
      <c r="AA386" t="str">
        <f t="shared" si="1823"/>
        <v>5B</v>
      </c>
      <c r="AB386" t="str">
        <f t="shared" si="1824"/>
        <v>6B</v>
      </c>
      <c r="AP386" t="s">
        <v>2187</v>
      </c>
      <c r="AS386" t="s">
        <v>396</v>
      </c>
      <c r="JZ386" s="27" t="str">
        <f t="shared" si="1831"/>
        <v>XT1</v>
      </c>
      <c r="KC386" t="str">
        <f t="shared" si="1832"/>
        <v>N1-AI3-5B</v>
      </c>
      <c r="KD386" t="str">
        <f t="shared" si="1833"/>
        <v>N1-AI3-6B</v>
      </c>
      <c r="KI386" cm="1">
        <f t="array" ref="KI386">IF(COUNTIFS($U$2:$U386,$U386)=1,1,INDEX(KI:KI,_xlfn.XMATCH(U386,U$1:U385,0,-1))+COUNT(KI385:KM385))</f>
        <v>22</v>
      </c>
      <c r="KJ386">
        <f t="shared" ref="KJ386:KK386" si="1839">KI386+1</f>
        <v>23</v>
      </c>
      <c r="KK386">
        <f t="shared" si="1839"/>
        <v>24</v>
      </c>
      <c r="KN386">
        <v>1</v>
      </c>
      <c r="KO386" s="16">
        <v>2</v>
      </c>
      <c r="KS386" s="16"/>
    </row>
    <row r="387" spans="1:305" x14ac:dyDescent="0.25">
      <c r="A387" t="s">
        <v>2250</v>
      </c>
      <c r="B387" t="s">
        <v>2249</v>
      </c>
      <c r="C387" t="s">
        <v>492</v>
      </c>
      <c r="P387" t="s">
        <v>482</v>
      </c>
      <c r="T387" s="14" t="s">
        <v>2185</v>
      </c>
      <c r="U387">
        <v>1</v>
      </c>
      <c r="V387" t="s">
        <v>2199</v>
      </c>
      <c r="X387" t="s">
        <v>509</v>
      </c>
      <c r="Y387" s="43" t="str" cm="1">
        <f t="array" ref="Y387">IF(COUNTIFS($X$379:$X387,$X387)=1,"1",VALUE(SUBSTITUTE(INDEX(Y:Y,_xlfn.XMATCH($X387,$X$1:$X386,0,-1)),"A",""))+INDEX(Z:Z,_xlfn.XMATCH($X387,$X$1:$X386,0,-1))+1)</f>
        <v>1</v>
      </c>
      <c r="Z387" s="43" cm="1">
        <f t="array" ref="Z387">SUM(IF(ISNUMBER(FIND("TmAi",$BE$1:$AAL$1)),IF(IFERROR(ISODD(SUBSTITUTE($BE387:$AAL387,"A","")),FALSE),IF(ISODD(SUBSTITUTE($BE387:$AAL387,"A","")),1,0),0)))</f>
        <v>0</v>
      </c>
      <c r="AA387" t="str">
        <f t="shared" si="1823"/>
        <v>1B</v>
      </c>
      <c r="AB387" t="str">
        <f t="shared" si="1824"/>
        <v>2B</v>
      </c>
      <c r="AP387" t="s">
        <v>2187</v>
      </c>
      <c r="AS387" t="s">
        <v>396</v>
      </c>
      <c r="JZ387" s="27" t="str">
        <f t="shared" si="1831"/>
        <v>XT1</v>
      </c>
      <c r="KC387" t="str">
        <f t="shared" si="1832"/>
        <v>N1-AI4-1B</v>
      </c>
      <c r="KD387" t="str">
        <f t="shared" si="1833"/>
        <v>N1-AI4-2B</v>
      </c>
      <c r="KI387" cm="1">
        <f t="array" ref="KI387">IF(COUNTIFS($U$2:$U387,$U387)=1,1,INDEX(KI:KI,_xlfn.XMATCH(U387,U$1:U386,0,-1))+COUNT(KI386:KM386))</f>
        <v>25</v>
      </c>
      <c r="KJ387">
        <f t="shared" ref="KJ387:KK387" si="1840">KI387+1</f>
        <v>26</v>
      </c>
      <c r="KK387">
        <f t="shared" si="1840"/>
        <v>27</v>
      </c>
      <c r="KN387">
        <v>1</v>
      </c>
      <c r="KO387" s="16">
        <v>2</v>
      </c>
      <c r="KS387" s="16"/>
    </row>
    <row r="388" spans="1:305" x14ac:dyDescent="0.25">
      <c r="A388" t="s">
        <v>2252</v>
      </c>
      <c r="B388" t="s">
        <v>2251</v>
      </c>
      <c r="C388" t="s">
        <v>492</v>
      </c>
      <c r="P388" t="s">
        <v>482</v>
      </c>
      <c r="T388" s="14" t="s">
        <v>2185</v>
      </c>
      <c r="U388">
        <v>1</v>
      </c>
      <c r="V388" t="s">
        <v>2200</v>
      </c>
      <c r="X388" t="str">
        <f>IF(COUNTIF(X$379:X387,X387)&gt;7,REPLACE(X387,LEN(X387),1,VALUE(RIGHT(X387,1))+1),X387)</f>
        <v>A3.4</v>
      </c>
      <c r="Y388" s="43" cm="1">
        <f t="array" ref="Y388">IF(COUNTIFS($X$379:$X388,$X388)=1,"1",VALUE(SUBSTITUTE(INDEX(Y:Y,_xlfn.XMATCH($X388,$X$1:$X387,0,-1)),"A",""))+INDEX(Z:Z,_xlfn.XMATCH($X388,$X$1:$X387,0,-1))+1)</f>
        <v>2</v>
      </c>
      <c r="Z388" s="43" cm="1">
        <f t="array" ref="Z388">SUM(IF(ISNUMBER(FIND("TmAi",$BE$1:$AAL$1)),IF(IFERROR(ISODD(SUBSTITUTE($BE388:$AAL388,"A","")),FALSE),IF(ISODD(SUBSTITUTE($BE388:$AAL388,"A","")),1,0),0)))</f>
        <v>0</v>
      </c>
      <c r="AA388" t="str">
        <f t="shared" si="1823"/>
        <v>3B</v>
      </c>
      <c r="AB388" t="str">
        <f t="shared" si="1824"/>
        <v>4B</v>
      </c>
      <c r="AP388" t="s">
        <v>2187</v>
      </c>
      <c r="AS388" t="s">
        <v>396</v>
      </c>
      <c r="JZ388" s="27" t="str">
        <f t="shared" si="1831"/>
        <v>XT1</v>
      </c>
      <c r="KC388" t="str">
        <f t="shared" si="1832"/>
        <v>N1-AI4-3B</v>
      </c>
      <c r="KD388" t="str">
        <f t="shared" si="1833"/>
        <v>N1-AI4-4B</v>
      </c>
      <c r="KI388" cm="1">
        <f t="array" ref="KI388">IF(COUNTIFS($U$2:$U388,$U388)=1,1,INDEX(KI:KI,_xlfn.XMATCH(U388,U$1:U387,0,-1))+COUNT(KI387:KM387))</f>
        <v>28</v>
      </c>
      <c r="KJ388">
        <f t="shared" ref="KJ388:KK388" si="1841">KI388+1</f>
        <v>29</v>
      </c>
      <c r="KK388">
        <f t="shared" si="1841"/>
        <v>30</v>
      </c>
      <c r="KN388">
        <v>1</v>
      </c>
      <c r="KO388" s="16">
        <v>2</v>
      </c>
      <c r="KS388" s="16"/>
    </row>
    <row r="389" spans="1:305" x14ac:dyDescent="0.25">
      <c r="A389" t="s">
        <v>2254</v>
      </c>
      <c r="B389" t="s">
        <v>2253</v>
      </c>
      <c r="C389" t="s">
        <v>492</v>
      </c>
      <c r="P389" t="s">
        <v>482</v>
      </c>
      <c r="T389" s="14" t="s">
        <v>2185</v>
      </c>
      <c r="U389">
        <v>1</v>
      </c>
      <c r="V389" t="s">
        <v>2201</v>
      </c>
      <c r="X389" t="str">
        <f>IF(COUNTIF(X$379:X388,X388)&gt;7,REPLACE(X388,LEN(X388),1,VALUE(RIGHT(X388,1))+1),X388)</f>
        <v>A3.4</v>
      </c>
      <c r="Y389" s="43" cm="1">
        <f t="array" ref="Y389">IF(COUNTIFS($X$379:$X389,$X389)=1,"1",VALUE(SUBSTITUTE(INDEX(Y:Y,_xlfn.XMATCH($X389,$X$1:$X388,0,-1)),"A",""))+INDEX(Z:Z,_xlfn.XMATCH($X389,$X$1:$X388,0,-1))+1)</f>
        <v>3</v>
      </c>
      <c r="Z389" s="43" cm="1">
        <f t="array" ref="Z389">SUM(IF(ISNUMBER(FIND("TmAi",$BE$1:$AAL$1)),IF(IFERROR(ISODD(SUBSTITUTE($BE389:$AAL389,"A","")),FALSE),IF(ISODD(SUBSTITUTE($BE389:$AAL389,"A","")),1,0),0)))</f>
        <v>0</v>
      </c>
      <c r="AA389" t="str">
        <f t="shared" si="1823"/>
        <v>5B</v>
      </c>
      <c r="AB389" t="str">
        <f t="shared" si="1824"/>
        <v>6B</v>
      </c>
      <c r="AP389" t="s">
        <v>2187</v>
      </c>
      <c r="AS389" t="s">
        <v>396</v>
      </c>
      <c r="JZ389" s="27" t="str">
        <f t="shared" si="1831"/>
        <v>XT1</v>
      </c>
      <c r="KC389" t="str">
        <f t="shared" si="1832"/>
        <v>N1-AI4-5B</v>
      </c>
      <c r="KD389" t="str">
        <f t="shared" si="1833"/>
        <v>N1-AI4-6B</v>
      </c>
      <c r="KI389" cm="1">
        <f t="array" ref="KI389">IF(COUNTIFS($U$2:$U389,$U389)=1,1,INDEX(KI:KI,_xlfn.XMATCH(U389,U$1:U388,0,-1))+COUNT(KI388:KM388))</f>
        <v>31</v>
      </c>
      <c r="KJ389">
        <f t="shared" ref="KJ389:KK389" si="1842">KI389+1</f>
        <v>32</v>
      </c>
      <c r="KK389">
        <f t="shared" si="1842"/>
        <v>33</v>
      </c>
      <c r="KN389">
        <v>1</v>
      </c>
      <c r="KO389" s="16">
        <v>2</v>
      </c>
      <c r="KS389" s="16"/>
    </row>
    <row r="390" spans="1:305" x14ac:dyDescent="0.25">
      <c r="A390" t="s">
        <v>2255</v>
      </c>
      <c r="B390" t="s">
        <v>2256</v>
      </c>
      <c r="C390" t="s">
        <v>492</v>
      </c>
      <c r="P390" t="s">
        <v>482</v>
      </c>
      <c r="T390" s="14" t="s">
        <v>2185</v>
      </c>
      <c r="U390">
        <v>1</v>
      </c>
      <c r="V390" t="s">
        <v>2202</v>
      </c>
      <c r="X390" t="s">
        <v>400</v>
      </c>
      <c r="Y390" s="43" cm="1">
        <f t="array" ref="Y390">IF(COUNTIFS($X$379:$X390,$X390)=1,"1",VALUE(SUBSTITUTE(INDEX(Y:Y,_xlfn.XMATCH($X390,$X$1:$X389,0,-1)),"A",""))+INDEX(Z:Z,_xlfn.XMATCH($X390,$X$1:$X389,0,-1))+1)</f>
        <v>3</v>
      </c>
      <c r="Z390" s="43" cm="1">
        <f t="array" ref="Z390">SUM(IF(ISNUMBER(FIND("TmAi",$BE$1:$AAL$1)),IF(IFERROR(ISODD(SUBSTITUTE($BE390:$AAL390,"A","")),FALSE),IF(ISODD(SUBSTITUTE($BE390:$AAL390,"A","")),1,0),0)))</f>
        <v>0</v>
      </c>
      <c r="AA390" t="str">
        <f t="shared" si="1823"/>
        <v>5B</v>
      </c>
      <c r="AB390" t="str">
        <f t="shared" si="1824"/>
        <v>6B</v>
      </c>
      <c r="AP390" t="s">
        <v>2187</v>
      </c>
      <c r="AS390" t="s">
        <v>396</v>
      </c>
      <c r="JZ390" s="27" t="str">
        <f t="shared" si="1831"/>
        <v>XT1</v>
      </c>
      <c r="KC390" t="str">
        <f t="shared" si="1832"/>
        <v>N1-AI1-5B</v>
      </c>
      <c r="KD390" t="str">
        <f t="shared" si="1833"/>
        <v>N1-AI1-6B</v>
      </c>
      <c r="KI390" cm="1">
        <f t="array" ref="KI390">IF(COUNTIFS($U$2:$U390,$U390)=1,1,INDEX(KI:KI,_xlfn.XMATCH(U390,U$1:U389,0,-1))+COUNT(KI389:KM389))</f>
        <v>34</v>
      </c>
      <c r="KJ390">
        <f t="shared" ref="KJ390:KK390" si="1843">KI390+1</f>
        <v>35</v>
      </c>
      <c r="KK390">
        <f t="shared" si="1843"/>
        <v>36</v>
      </c>
      <c r="KN390">
        <v>1</v>
      </c>
      <c r="KO390" s="16">
        <v>2</v>
      </c>
      <c r="KS390" s="16"/>
    </row>
    <row r="391" spans="1:305" x14ac:dyDescent="0.25">
      <c r="A391" t="s">
        <v>2259</v>
      </c>
      <c r="B391" t="s">
        <v>2257</v>
      </c>
      <c r="C391" t="s">
        <v>492</v>
      </c>
      <c r="P391" t="s">
        <v>482</v>
      </c>
      <c r="T391" s="14" t="s">
        <v>2185</v>
      </c>
      <c r="U391">
        <v>1</v>
      </c>
      <c r="V391" t="s">
        <v>2203</v>
      </c>
      <c r="X391" t="s">
        <v>2018</v>
      </c>
      <c r="Y391" s="43">
        <v>5</v>
      </c>
      <c r="Z391" s="43" cm="1">
        <f t="array" ref="Z391">SUM(IF(ISNUMBER(FIND("TmAi",$BE$1:$AAL$1)),IF(IFERROR(ISODD(SUBSTITUTE($BE391:$AAL391,"A","")),FALSE),IF(ISODD(SUBSTITUTE($BE391:$AAL391,"A","")),1,0),0)))</f>
        <v>0</v>
      </c>
      <c r="AA391" t="str">
        <f t="shared" si="1823"/>
        <v>9B</v>
      </c>
      <c r="AB391" t="str">
        <f t="shared" si="1824"/>
        <v>10B</v>
      </c>
      <c r="AP391" t="s">
        <v>2187</v>
      </c>
      <c r="AS391" t="s">
        <v>396</v>
      </c>
      <c r="JZ391" s="27" t="str">
        <f t="shared" si="1831"/>
        <v>XT1</v>
      </c>
      <c r="KC391" t="str">
        <f t="shared" si="1832"/>
        <v>N1-AI2-9B</v>
      </c>
      <c r="KD391" t="str">
        <f t="shared" si="1833"/>
        <v>N1-AI2-10B</v>
      </c>
      <c r="KI391" cm="1">
        <f t="array" ref="KI391">IF(COUNTIFS($U$2:$U391,$U391)=1,1,INDEX(KI:KI,_xlfn.XMATCH(U391,U$1:U390,0,-1))+COUNT(KI390:KM390))</f>
        <v>37</v>
      </c>
      <c r="KJ391">
        <f t="shared" ref="KJ391:KK391" si="1844">KI391+1</f>
        <v>38</v>
      </c>
      <c r="KK391">
        <f t="shared" si="1844"/>
        <v>39</v>
      </c>
      <c r="KN391">
        <v>1</v>
      </c>
      <c r="KO391" s="16">
        <v>2</v>
      </c>
      <c r="KS391" s="16"/>
    </row>
    <row r="392" spans="1:305" x14ac:dyDescent="0.25">
      <c r="A392" t="s">
        <v>2260</v>
      </c>
      <c r="B392" t="s">
        <v>2258</v>
      </c>
      <c r="C392" t="s">
        <v>492</v>
      </c>
      <c r="P392" t="s">
        <v>482</v>
      </c>
      <c r="T392" s="14" t="s">
        <v>2185</v>
      </c>
      <c r="U392">
        <v>1</v>
      </c>
      <c r="V392" t="s">
        <v>2204</v>
      </c>
      <c r="X392" t="str">
        <f>IF(COUNTIF(X$379:X391,X391)&gt;7,REPLACE(X391,LEN(X391),1,VALUE(RIGHT(X391,1))+1),X391)</f>
        <v>A3.2</v>
      </c>
      <c r="Y392" s="43" cm="1">
        <f t="array" ref="Y392">IF(COUNTIFS($X$379:$X392,$X392)=1,"1",VALUE(SUBSTITUTE(INDEX(Y:Y,_xlfn.XMATCH($X392,$X$1:$X391,0,-1)),"A",""))+INDEX(Z:Z,_xlfn.XMATCH($X392,$X$1:$X391,0,-1))+1)</f>
        <v>6</v>
      </c>
      <c r="Z392" s="43" cm="1">
        <f t="array" ref="Z392">SUM(IF(ISNUMBER(FIND("TmAi",$BE$1:$AAL$1)),IF(IFERROR(ISODD(SUBSTITUTE($BE392:$AAL392,"A","")),FALSE),IF(ISODD(SUBSTITUTE($BE392:$AAL392,"A","")),1,0),0)))</f>
        <v>0</v>
      </c>
      <c r="AA392" t="str">
        <f t="shared" si="1823"/>
        <v>11B</v>
      </c>
      <c r="AB392" t="str">
        <f t="shared" si="1824"/>
        <v>12B</v>
      </c>
      <c r="AP392" t="s">
        <v>2187</v>
      </c>
      <c r="AS392" t="s">
        <v>396</v>
      </c>
      <c r="JZ392" s="27" t="str">
        <f t="shared" si="1831"/>
        <v>XT1</v>
      </c>
      <c r="KC392" t="str">
        <f t="shared" si="1832"/>
        <v>N1-AI2-11B</v>
      </c>
      <c r="KD392" t="str">
        <f t="shared" si="1833"/>
        <v>N1-AI2-12B</v>
      </c>
      <c r="KI392" cm="1">
        <f t="array" ref="KI392">IF(COUNTIFS($U$2:$U392,$U392)=1,1,INDEX(KI:KI,_xlfn.XMATCH(U392,U$1:U391,0,-1))+COUNT(KI391:KM391))</f>
        <v>40</v>
      </c>
      <c r="KJ392">
        <f t="shared" ref="KJ392:KK392" si="1845">KI392+1</f>
        <v>41</v>
      </c>
      <c r="KK392">
        <f t="shared" si="1845"/>
        <v>42</v>
      </c>
      <c r="KN392">
        <v>1</v>
      </c>
      <c r="KO392" s="16">
        <v>2</v>
      </c>
      <c r="KS392" s="16"/>
    </row>
    <row r="393" spans="1:305" x14ac:dyDescent="0.25">
      <c r="A393" t="s">
        <v>2262</v>
      </c>
      <c r="B393" t="s">
        <v>2261</v>
      </c>
      <c r="C393" t="s">
        <v>492</v>
      </c>
      <c r="P393" t="s">
        <v>482</v>
      </c>
      <c r="T393" s="14" t="s">
        <v>2185</v>
      </c>
      <c r="U393">
        <v>1</v>
      </c>
      <c r="V393" t="s">
        <v>2205</v>
      </c>
      <c r="X393" t="str">
        <f>IF(COUNTIF(X$379:X392,X392)&gt;7,REPLACE(X392,LEN(X392),1,VALUE(RIGHT(X392,1))+1),X392)</f>
        <v>A3.2</v>
      </c>
      <c r="Y393" s="43" cm="1">
        <f t="array" ref="Y393">IF(COUNTIFS($X$379:$X393,$X393)=1,"1",VALUE(SUBSTITUTE(INDEX(Y:Y,_xlfn.XMATCH($X393,$X$1:$X392,0,-1)),"A",""))+INDEX(Z:Z,_xlfn.XMATCH($X393,$X$1:$X392,0,-1))+1)</f>
        <v>7</v>
      </c>
      <c r="Z393" s="43" cm="1">
        <f t="array" ref="Z393">SUM(IF(ISNUMBER(FIND("TmAi",$BE$1:$AAL$1)),IF(IFERROR(ISODD(SUBSTITUTE($BE393:$AAL393,"A","")),FALSE),IF(ISODD(SUBSTITUTE($BE393:$AAL393,"A","")),1,0),0)))</f>
        <v>0</v>
      </c>
      <c r="AA393" t="str">
        <f t="shared" si="1823"/>
        <v>13B</v>
      </c>
      <c r="AB393" t="str">
        <f t="shared" si="1824"/>
        <v>14B</v>
      </c>
      <c r="AP393" t="s">
        <v>2187</v>
      </c>
      <c r="AS393" t="s">
        <v>396</v>
      </c>
      <c r="JZ393" s="27" t="str">
        <f t="shared" si="1831"/>
        <v>XT1</v>
      </c>
      <c r="KC393" t="str">
        <f t="shared" si="1832"/>
        <v>N1-AI2-13B</v>
      </c>
      <c r="KD393" t="str">
        <f t="shared" si="1833"/>
        <v>N1-AI2-14B</v>
      </c>
      <c r="KI393" cm="1">
        <f t="array" ref="KI393">IF(COUNTIFS($U$2:$U393,$U393)=1,1,INDEX(KI:KI,_xlfn.XMATCH(U393,U$1:U392,0,-1))+COUNT(KI392:KM392))</f>
        <v>43</v>
      </c>
      <c r="KJ393">
        <f t="shared" ref="KJ393:KK393" si="1846">KI393+1</f>
        <v>44</v>
      </c>
      <c r="KK393">
        <f t="shared" si="1846"/>
        <v>45</v>
      </c>
      <c r="KN393">
        <v>1</v>
      </c>
      <c r="KO393" s="16">
        <v>2</v>
      </c>
      <c r="KS393" s="16"/>
    </row>
    <row r="394" spans="1:305" x14ac:dyDescent="0.25">
      <c r="A394" t="s">
        <v>2264</v>
      </c>
      <c r="B394" t="s">
        <v>2263</v>
      </c>
      <c r="C394" t="s">
        <v>492</v>
      </c>
      <c r="P394" t="s">
        <v>482</v>
      </c>
      <c r="T394" s="14" t="s">
        <v>2185</v>
      </c>
      <c r="U394">
        <v>1</v>
      </c>
      <c r="V394" t="s">
        <v>2206</v>
      </c>
      <c r="X394" t="s">
        <v>484</v>
      </c>
      <c r="Y394" s="43">
        <v>5</v>
      </c>
      <c r="Z394" s="43" cm="1">
        <f t="array" ref="Z394">SUM(IF(ISNUMBER(FIND("TmAi",$BE$1:$AAL$1)),IF(IFERROR(ISODD(SUBSTITUTE($BE394:$AAL394,"A","")),FALSE),IF(ISODD(SUBSTITUTE($BE394:$AAL394,"A","")),1,0),0)))</f>
        <v>0</v>
      </c>
      <c r="AA394" t="str">
        <f t="shared" si="1823"/>
        <v>9B</v>
      </c>
      <c r="AB394" t="str">
        <f t="shared" si="1824"/>
        <v>10B</v>
      </c>
      <c r="AP394" t="s">
        <v>2187</v>
      </c>
      <c r="AS394" t="s">
        <v>396</v>
      </c>
      <c r="JZ394" s="27" t="str">
        <f t="shared" si="1831"/>
        <v>XT1</v>
      </c>
      <c r="KC394" t="str">
        <f t="shared" si="1832"/>
        <v>N1-AI3-9B</v>
      </c>
      <c r="KD394" t="str">
        <f t="shared" si="1833"/>
        <v>N1-AI3-10B</v>
      </c>
      <c r="KI394" cm="1">
        <f t="array" ref="KI394">IF(COUNTIFS($U$2:$U394,$U394)=1,1,INDEX(KI:KI,_xlfn.XMATCH(U394,U$1:U393,0,-1))+COUNT(KI393:KM393))</f>
        <v>46</v>
      </c>
      <c r="KJ394">
        <f t="shared" ref="KJ394:KK394" si="1847">KI394+1</f>
        <v>47</v>
      </c>
      <c r="KK394">
        <f t="shared" si="1847"/>
        <v>48</v>
      </c>
      <c r="KN394">
        <v>1</v>
      </c>
      <c r="KO394" s="16">
        <v>2</v>
      </c>
      <c r="KS394" s="16"/>
    </row>
    <row r="395" spans="1:305" x14ac:dyDescent="0.25">
      <c r="A395" t="s">
        <v>2266</v>
      </c>
      <c r="B395" t="s">
        <v>2265</v>
      </c>
      <c r="C395" t="s">
        <v>492</v>
      </c>
      <c r="P395" t="s">
        <v>482</v>
      </c>
      <c r="T395" s="14" t="s">
        <v>2185</v>
      </c>
      <c r="U395">
        <v>1</v>
      </c>
      <c r="V395" t="s">
        <v>2207</v>
      </c>
      <c r="X395" t="str">
        <f>IF(COUNTIF(X$379:X394,X394)&gt;7,REPLACE(X394,LEN(X394),1,VALUE(RIGHT(X394,1))+1),X394)</f>
        <v>A3.3</v>
      </c>
      <c r="Y395" s="43" cm="1">
        <f t="array" ref="Y395">IF(COUNTIFS($X$379:$X395,$X395)=1,"1",VALUE(SUBSTITUTE(INDEX(Y:Y,_xlfn.XMATCH($X395,$X$1:$X394,0,-1)),"A",""))+INDEX(Z:Z,_xlfn.XMATCH($X395,$X$1:$X394,0,-1))+1)</f>
        <v>6</v>
      </c>
      <c r="Z395" s="43" cm="1">
        <f t="array" ref="Z395">SUM(IF(ISNUMBER(FIND("TmAi",$BE$1:$AAL$1)),IF(IFERROR(ISODD(SUBSTITUTE($BE395:$AAL395,"A","")),FALSE),IF(ISODD(SUBSTITUTE($BE395:$AAL395,"A","")),1,0),0)))</f>
        <v>0</v>
      </c>
      <c r="AA395" t="str">
        <f t="shared" si="1823"/>
        <v>11B</v>
      </c>
      <c r="AB395" t="str">
        <f t="shared" si="1824"/>
        <v>12B</v>
      </c>
      <c r="AP395" t="s">
        <v>2187</v>
      </c>
      <c r="AS395" t="s">
        <v>396</v>
      </c>
      <c r="JZ395" s="27" t="str">
        <f t="shared" si="1831"/>
        <v>XT1</v>
      </c>
      <c r="KC395" t="str">
        <f t="shared" si="1832"/>
        <v>N1-AI3-11B</v>
      </c>
      <c r="KD395" t="str">
        <f t="shared" si="1833"/>
        <v>N1-AI3-12B</v>
      </c>
      <c r="KI395" cm="1">
        <f t="array" ref="KI395">IF(COUNTIFS($U$2:$U395,$U395)=1,1,INDEX(KI:KI,_xlfn.XMATCH(U395,U$1:U394,0,-1))+COUNT(KI394:KM394))</f>
        <v>49</v>
      </c>
      <c r="KJ395">
        <f t="shared" ref="KJ395:KK395" si="1848">KI395+1</f>
        <v>50</v>
      </c>
      <c r="KK395">
        <f t="shared" si="1848"/>
        <v>51</v>
      </c>
      <c r="KN395">
        <v>1</v>
      </c>
      <c r="KO395" s="16">
        <v>2</v>
      </c>
      <c r="KS395" s="16"/>
    </row>
    <row r="396" spans="1:305" x14ac:dyDescent="0.25">
      <c r="A396" t="s">
        <v>2268</v>
      </c>
      <c r="B396" t="s">
        <v>2267</v>
      </c>
      <c r="C396" t="s">
        <v>492</v>
      </c>
      <c r="P396" t="s">
        <v>482</v>
      </c>
      <c r="T396" s="14" t="s">
        <v>2185</v>
      </c>
      <c r="U396">
        <v>1</v>
      </c>
      <c r="V396" t="s">
        <v>2208</v>
      </c>
      <c r="X396" t="str">
        <f>IF(COUNTIF(X$379:X395,X395)&gt;7,REPLACE(X395,LEN(X395),1,VALUE(RIGHT(X395,1))+1),X395)</f>
        <v>A3.3</v>
      </c>
      <c r="Y396" s="43" cm="1">
        <f t="array" ref="Y396">IF(COUNTIFS($X$379:$X396,$X396)=1,"1",VALUE(SUBSTITUTE(INDEX(Y:Y,_xlfn.XMATCH($X396,$X$1:$X395,0,-1)),"A",""))+INDEX(Z:Z,_xlfn.XMATCH($X396,$X$1:$X395,0,-1))+1)</f>
        <v>7</v>
      </c>
      <c r="Z396" s="43" cm="1">
        <f t="array" ref="Z396">SUM(IF(ISNUMBER(FIND("TmAi",$BE$1:$AAL$1)),IF(IFERROR(ISODD(SUBSTITUTE($BE396:$AAL396,"A","")),FALSE),IF(ISODD(SUBSTITUTE($BE396:$AAL396,"A","")),1,0),0)))</f>
        <v>0</v>
      </c>
      <c r="AA396" t="str">
        <f t="shared" si="1823"/>
        <v>13B</v>
      </c>
      <c r="AB396" t="str">
        <f t="shared" si="1824"/>
        <v>14B</v>
      </c>
      <c r="AP396" t="s">
        <v>2187</v>
      </c>
      <c r="AS396" t="s">
        <v>396</v>
      </c>
      <c r="JZ396" s="27" t="str">
        <f t="shared" si="1831"/>
        <v>XT1</v>
      </c>
      <c r="KC396" t="str">
        <f t="shared" si="1832"/>
        <v>N1-AI3-13B</v>
      </c>
      <c r="KD396" t="str">
        <f t="shared" si="1833"/>
        <v>N1-AI3-14B</v>
      </c>
      <c r="KI396" cm="1">
        <f t="array" ref="KI396">IF(COUNTIFS($U$2:$U396,$U396)=1,1,INDEX(KI:KI,_xlfn.XMATCH(U396,U$1:U395,0,-1))+COUNT(KI395:KM395))</f>
        <v>52</v>
      </c>
      <c r="KJ396">
        <f t="shared" ref="KJ396:KK396" si="1849">KI396+1</f>
        <v>53</v>
      </c>
      <c r="KK396">
        <f t="shared" si="1849"/>
        <v>54</v>
      </c>
      <c r="KN396">
        <v>1</v>
      </c>
      <c r="KO396" s="16">
        <v>2</v>
      </c>
      <c r="KS396" s="16"/>
    </row>
    <row r="397" spans="1:305" x14ac:dyDescent="0.25">
      <c r="A397" t="s">
        <v>2270</v>
      </c>
      <c r="B397" t="s">
        <v>2269</v>
      </c>
      <c r="C397" t="s">
        <v>492</v>
      </c>
      <c r="P397" t="s">
        <v>482</v>
      </c>
      <c r="T397" s="14" t="s">
        <v>2185</v>
      </c>
      <c r="U397">
        <v>1</v>
      </c>
      <c r="V397" t="s">
        <v>2209</v>
      </c>
      <c r="X397" t="s">
        <v>509</v>
      </c>
      <c r="Y397" s="43">
        <v>5</v>
      </c>
      <c r="Z397" s="43" cm="1">
        <f t="array" ref="Z397">SUM(IF(ISNUMBER(FIND("TmAi",$BE$1:$AAL$1)),IF(IFERROR(ISODD(SUBSTITUTE($BE397:$AAL397,"A","")),FALSE),IF(ISODD(SUBSTITUTE($BE397:$AAL397,"A","")),1,0),0)))</f>
        <v>0</v>
      </c>
      <c r="AA397" t="str">
        <f t="shared" si="1823"/>
        <v>9B</v>
      </c>
      <c r="AB397" t="str">
        <f t="shared" si="1824"/>
        <v>10B</v>
      </c>
      <c r="AP397" t="s">
        <v>2187</v>
      </c>
      <c r="AS397" t="s">
        <v>396</v>
      </c>
      <c r="JZ397" s="27" t="str">
        <f t="shared" si="1831"/>
        <v>XT1</v>
      </c>
      <c r="KC397" t="str">
        <f t="shared" si="1832"/>
        <v>N1-AI4-9B</v>
      </c>
      <c r="KD397" t="str">
        <f t="shared" si="1833"/>
        <v>N1-AI4-10B</v>
      </c>
      <c r="KI397" cm="1">
        <f t="array" ref="KI397">IF(COUNTIFS($U$2:$U397,$U397)=1,1,INDEX(KI:KI,_xlfn.XMATCH(U397,U$1:U396,0,-1))+COUNT(KI396:KM396))</f>
        <v>55</v>
      </c>
      <c r="KJ397">
        <f t="shared" ref="KJ397:KK397" si="1850">KI397+1</f>
        <v>56</v>
      </c>
      <c r="KK397">
        <f t="shared" si="1850"/>
        <v>57</v>
      </c>
      <c r="KN397">
        <v>1</v>
      </c>
      <c r="KO397" s="16">
        <v>2</v>
      </c>
      <c r="KS397" s="16"/>
    </row>
    <row r="398" spans="1:305" x14ac:dyDescent="0.25">
      <c r="A398" t="s">
        <v>2272</v>
      </c>
      <c r="B398" t="s">
        <v>2271</v>
      </c>
      <c r="C398" t="s">
        <v>492</v>
      </c>
      <c r="P398" t="s">
        <v>482</v>
      </c>
      <c r="T398" s="14" t="s">
        <v>2185</v>
      </c>
      <c r="U398">
        <v>1</v>
      </c>
      <c r="V398" t="s">
        <v>2210</v>
      </c>
      <c r="X398" t="str">
        <f>IF(COUNTIF(X$379:X397,X397)&gt;7,REPLACE(X397,LEN(X397),1,VALUE(RIGHT(X397,1))+1),X397)</f>
        <v>A3.4</v>
      </c>
      <c r="Y398" s="43" cm="1">
        <f t="array" ref="Y398">IF(COUNTIFS($X$379:$X398,$X398)=1,"1",VALUE(SUBSTITUTE(INDEX(Y:Y,_xlfn.XMATCH($X398,$X$1:$X397,0,-1)),"A",""))+INDEX(Z:Z,_xlfn.XMATCH($X398,$X$1:$X397,0,-1))+1)</f>
        <v>6</v>
      </c>
      <c r="Z398" s="43" cm="1">
        <f t="array" ref="Z398">SUM(IF(ISNUMBER(FIND("TmAi",$BE$1:$AAL$1)),IF(IFERROR(ISODD(SUBSTITUTE($BE398:$AAL398,"A","")),FALSE),IF(ISODD(SUBSTITUTE($BE398:$AAL398,"A","")),1,0),0)))</f>
        <v>0</v>
      </c>
      <c r="AA398" t="str">
        <f t="shared" si="1823"/>
        <v>11B</v>
      </c>
      <c r="AB398" t="str">
        <f t="shared" si="1824"/>
        <v>12B</v>
      </c>
      <c r="AP398" t="s">
        <v>2187</v>
      </c>
      <c r="AS398" t="s">
        <v>396</v>
      </c>
      <c r="JZ398" s="27" t="str">
        <f t="shared" si="1831"/>
        <v>XT1</v>
      </c>
      <c r="KC398" t="str">
        <f t="shared" si="1832"/>
        <v>N1-AI4-11B</v>
      </c>
      <c r="KD398" t="str">
        <f t="shared" si="1833"/>
        <v>N1-AI4-12B</v>
      </c>
      <c r="KI398" cm="1">
        <f t="array" ref="KI398">IF(COUNTIFS($U$2:$U398,$U398)=1,1,INDEX(KI:KI,_xlfn.XMATCH(U398,U$1:U397,0,-1))+COUNT(KI397:KM397))</f>
        <v>58</v>
      </c>
      <c r="KJ398">
        <f t="shared" ref="KJ398:KK398" si="1851">KI398+1</f>
        <v>59</v>
      </c>
      <c r="KK398">
        <f t="shared" si="1851"/>
        <v>60</v>
      </c>
      <c r="KN398">
        <v>1</v>
      </c>
      <c r="KO398" s="16">
        <v>2</v>
      </c>
      <c r="KS398" s="16"/>
    </row>
    <row r="399" spans="1:305" x14ac:dyDescent="0.25">
      <c r="A399" t="s">
        <v>2274</v>
      </c>
      <c r="B399" t="s">
        <v>2273</v>
      </c>
      <c r="C399" t="s">
        <v>492</v>
      </c>
      <c r="P399" t="s">
        <v>482</v>
      </c>
      <c r="T399" s="14" t="s">
        <v>2185</v>
      </c>
      <c r="U399">
        <v>1</v>
      </c>
      <c r="V399" t="s">
        <v>2211</v>
      </c>
      <c r="X399" t="str">
        <f>IF(COUNTIF(X$379:X398,X398)&gt;7,REPLACE(X398,LEN(X398),1,VALUE(RIGHT(X398,1))+1),X398)</f>
        <v>A3.4</v>
      </c>
      <c r="Y399" s="43" cm="1">
        <f t="array" ref="Y399">IF(COUNTIFS($X$379:$X399,$X399)=1,"1",VALUE(SUBSTITUTE(INDEX(Y:Y,_xlfn.XMATCH($X399,$X$1:$X398,0,-1)),"A",""))+INDEX(Z:Z,_xlfn.XMATCH($X399,$X$1:$X398,0,-1))+1)</f>
        <v>7</v>
      </c>
      <c r="Z399" s="43" cm="1">
        <f t="array" ref="Z399">SUM(IF(ISNUMBER(FIND("TmAi",$BE$1:$AAL$1)),IF(IFERROR(ISODD(SUBSTITUTE($BE399:$AAL399,"A","")),FALSE),IF(ISODD(SUBSTITUTE($BE399:$AAL399,"A","")),1,0),0)))</f>
        <v>0</v>
      </c>
      <c r="AA399" t="str">
        <f t="shared" si="1823"/>
        <v>13B</v>
      </c>
      <c r="AB399" t="str">
        <f t="shared" si="1824"/>
        <v>14B</v>
      </c>
      <c r="AP399" t="s">
        <v>2187</v>
      </c>
      <c r="AS399" t="s">
        <v>396</v>
      </c>
      <c r="JZ399" s="27" t="str">
        <f t="shared" si="1831"/>
        <v>XT1</v>
      </c>
      <c r="KC399" t="str">
        <f t="shared" si="1832"/>
        <v>N1-AI4-13B</v>
      </c>
      <c r="KD399" t="str">
        <f t="shared" si="1833"/>
        <v>N1-AI4-14B</v>
      </c>
      <c r="KI399" cm="1">
        <f t="array" ref="KI399">IF(COUNTIFS($U$2:$U399,$U399)=1,1,INDEX(KI:KI,_xlfn.XMATCH(U399,U$1:U398,0,-1))+COUNT(KI398:KM398))</f>
        <v>61</v>
      </c>
      <c r="KJ399">
        <f t="shared" ref="KJ399:KK399" si="1852">KI399+1</f>
        <v>62</v>
      </c>
      <c r="KK399">
        <f t="shared" si="1852"/>
        <v>63</v>
      </c>
      <c r="KN399">
        <v>1</v>
      </c>
      <c r="KO399" s="16">
        <v>2</v>
      </c>
      <c r="KS399" s="16"/>
    </row>
    <row r="400" spans="1:305" x14ac:dyDescent="0.25">
      <c r="A400" t="s">
        <v>2276</v>
      </c>
      <c r="B400" t="s">
        <v>2275</v>
      </c>
      <c r="C400" t="s">
        <v>492</v>
      </c>
      <c r="P400" t="s">
        <v>482</v>
      </c>
      <c r="T400" s="14" t="s">
        <v>2185</v>
      </c>
      <c r="U400">
        <v>1</v>
      </c>
      <c r="V400" t="s">
        <v>2212</v>
      </c>
      <c r="X400" t="s">
        <v>400</v>
      </c>
      <c r="Y400" s="43" cm="1">
        <f t="array" ref="Y400">IF(COUNTIFS($X$379:$X400,$X400)=1,"1",VALUE(SUBSTITUTE(INDEX(Y:Y,_xlfn.XMATCH($X400,$X$1:$X399,0,-1)),"A",""))+INDEX(Z:Z,_xlfn.XMATCH($X400,$X$1:$X399,0,-1))+1)</f>
        <v>4</v>
      </c>
      <c r="Z400" s="43" cm="1">
        <f t="array" ref="Z400">SUM(IF(ISNUMBER(FIND("TmAi",$BE$1:$AAL$1)),IF(IFERROR(ISODD(SUBSTITUTE($BE400:$AAL400,"A","")),FALSE),IF(ISODD(SUBSTITUTE($BE400:$AAL400,"A","")),1,0),0)))</f>
        <v>0</v>
      </c>
      <c r="AA400" t="str">
        <f t="shared" si="1823"/>
        <v>7B</v>
      </c>
      <c r="AB400" t="str">
        <f t="shared" si="1824"/>
        <v>8B</v>
      </c>
      <c r="AP400" t="s">
        <v>2187</v>
      </c>
      <c r="AS400" t="s">
        <v>396</v>
      </c>
      <c r="JZ400" s="27" t="str">
        <f t="shared" si="1831"/>
        <v>XT1</v>
      </c>
      <c r="KC400" t="str">
        <f t="shared" si="1832"/>
        <v>N1-AI1-7B</v>
      </c>
      <c r="KD400" t="str">
        <f t="shared" si="1833"/>
        <v>N1-AI1-8B</v>
      </c>
      <c r="KI400" cm="1">
        <f t="array" ref="KI400">IF(COUNTIFS($U$2:$U400,$U400)=1,1,INDEX(KI:KI,_xlfn.XMATCH(U400,U$1:U399,0,-1))+COUNT(KI399:KM399))</f>
        <v>64</v>
      </c>
      <c r="KJ400">
        <f t="shared" ref="KJ400:KK400" si="1853">KI400+1</f>
        <v>65</v>
      </c>
      <c r="KK400">
        <f t="shared" si="1853"/>
        <v>66</v>
      </c>
      <c r="KN400">
        <v>1</v>
      </c>
      <c r="KO400" s="16">
        <v>2</v>
      </c>
      <c r="KS400" s="16"/>
    </row>
    <row r="401" spans="1:305" x14ac:dyDescent="0.25">
      <c r="A401" t="s">
        <v>2277</v>
      </c>
      <c r="B401" t="s">
        <v>2278</v>
      </c>
      <c r="C401" t="s">
        <v>498</v>
      </c>
      <c r="P401" t="s">
        <v>482</v>
      </c>
      <c r="T401" s="14" t="s">
        <v>2185</v>
      </c>
      <c r="U401">
        <v>1</v>
      </c>
      <c r="V401" t="s">
        <v>2213</v>
      </c>
      <c r="X401" t="str">
        <f>IF(COUNTIF(X$379:X400,X400)&gt;7,REPLACE(X400,LEN(X400),1,VALUE(RIGHT(X400,1))+1),X400)</f>
        <v>A3.1</v>
      </c>
      <c r="Y401" s="43" cm="1">
        <f t="array" ref="Y401">IF(COUNTIFS($X$379:$X401,$X401)=1,"1",VALUE(SUBSTITUTE(INDEX(Y:Y,_xlfn.XMATCH($X401,$X$1:$X400,0,-1)),"A",""))+INDEX(Z:Z,_xlfn.XMATCH($X401,$X$1:$X400,0,-1))+1)</f>
        <v>5</v>
      </c>
      <c r="Z401" s="43" cm="1">
        <f t="array" ref="Z401">SUM(IF(ISNUMBER(FIND("TmAi",$BE$1:$AAL$1)),IF(IFERROR(ISODD(SUBSTITUTE($BE401:$AAL401,"A","")),FALSE),IF(ISODD(SUBSTITUTE($BE401:$AAL401,"A","")),1,0),0)))</f>
        <v>0</v>
      </c>
      <c r="AA401" t="str">
        <f t="shared" si="1823"/>
        <v>9B</v>
      </c>
      <c r="AB401" t="str">
        <f t="shared" si="1824"/>
        <v>10B</v>
      </c>
      <c r="AP401" t="s">
        <v>2187</v>
      </c>
      <c r="AS401" t="s">
        <v>396</v>
      </c>
      <c r="JZ401" s="27" t="str">
        <f t="shared" si="1831"/>
        <v>XT1</v>
      </c>
      <c r="KC401" t="str">
        <f t="shared" si="1832"/>
        <v>N1-AI1-9B</v>
      </c>
      <c r="KD401" t="str">
        <f t="shared" si="1833"/>
        <v>N1-AI1-10B</v>
      </c>
      <c r="KI401" cm="1">
        <f t="array" ref="KI401">IF(COUNTIFS($U$2:$U401,$U401)=1,1,INDEX(KI:KI,_xlfn.XMATCH(U401,U$1:U400,0,-1))+COUNT(KI400:KM400))</f>
        <v>67</v>
      </c>
      <c r="KJ401">
        <f t="shared" ref="KJ401:KK401" si="1854">KI401+1</f>
        <v>68</v>
      </c>
      <c r="KK401">
        <f t="shared" si="1854"/>
        <v>69</v>
      </c>
      <c r="KN401">
        <v>1</v>
      </c>
      <c r="KO401" s="16">
        <v>2</v>
      </c>
      <c r="KS401" s="16"/>
    </row>
    <row r="402" spans="1:305" x14ac:dyDescent="0.25">
      <c r="A402" t="s">
        <v>2280</v>
      </c>
      <c r="B402" t="s">
        <v>2279</v>
      </c>
      <c r="C402" t="s">
        <v>498</v>
      </c>
      <c r="P402" t="s">
        <v>482</v>
      </c>
      <c r="T402" s="14" t="s">
        <v>2185</v>
      </c>
      <c r="U402">
        <v>1</v>
      </c>
      <c r="V402" t="s">
        <v>2214</v>
      </c>
      <c r="X402" t="str">
        <f>IF(COUNTIF(X$379:X401,X401)&gt;7,REPLACE(X401,LEN(X401),1,VALUE(RIGHT(X401,1))+1),X401)</f>
        <v>A3.1</v>
      </c>
      <c r="Y402" s="43" cm="1">
        <f t="array" ref="Y402">IF(COUNTIFS($X$379:$X402,$X402)=1,"1",VALUE(SUBSTITUTE(INDEX(Y:Y,_xlfn.XMATCH($X402,$X$1:$X401,0,-1)),"A",""))+INDEX(Z:Z,_xlfn.XMATCH($X402,$X$1:$X401,0,-1))+1)</f>
        <v>6</v>
      </c>
      <c r="Z402" s="43" cm="1">
        <f t="array" ref="Z402">SUM(IF(ISNUMBER(FIND("TmAi",$BE$1:$AAL$1)),IF(IFERROR(ISODD(SUBSTITUTE($BE402:$AAL402,"A","")),FALSE),IF(ISODD(SUBSTITUTE($BE402:$AAL402,"A","")),1,0),0)))</f>
        <v>0</v>
      </c>
      <c r="AA402" t="str">
        <f t="shared" si="1823"/>
        <v>11B</v>
      </c>
      <c r="AB402" t="str">
        <f t="shared" si="1824"/>
        <v>12B</v>
      </c>
      <c r="AP402" t="s">
        <v>2187</v>
      </c>
      <c r="AS402" t="s">
        <v>396</v>
      </c>
      <c r="JZ402" s="27" t="str">
        <f t="shared" si="1831"/>
        <v>XT1</v>
      </c>
      <c r="KC402" t="str">
        <f t="shared" si="1832"/>
        <v>N1-AI1-11B</v>
      </c>
      <c r="KD402" t="str">
        <f t="shared" si="1833"/>
        <v>N1-AI1-12B</v>
      </c>
      <c r="KI402" cm="1">
        <f t="array" ref="KI402">IF(COUNTIFS($U$2:$U402,$U402)=1,1,INDEX(KI:KI,_xlfn.XMATCH(U402,U$1:U401,0,-1))+COUNT(KI401:KM401))</f>
        <v>70</v>
      </c>
      <c r="KJ402">
        <f t="shared" ref="KJ402:KK402" si="1855">KI402+1</f>
        <v>71</v>
      </c>
      <c r="KK402">
        <f t="shared" si="1855"/>
        <v>72</v>
      </c>
      <c r="KN402">
        <v>1</v>
      </c>
      <c r="KO402" s="16">
        <v>2</v>
      </c>
      <c r="KS402" s="16"/>
    </row>
    <row r="403" spans="1:305" x14ac:dyDescent="0.25">
      <c r="A403" t="s">
        <v>2282</v>
      </c>
      <c r="B403" t="s">
        <v>2281</v>
      </c>
      <c r="C403" t="s">
        <v>498</v>
      </c>
      <c r="P403" t="s">
        <v>482</v>
      </c>
      <c r="T403" s="14" t="s">
        <v>2185</v>
      </c>
      <c r="U403">
        <v>1</v>
      </c>
      <c r="V403" t="s">
        <v>2215</v>
      </c>
      <c r="X403" t="s">
        <v>2327</v>
      </c>
      <c r="Y403" s="43" t="str" cm="1">
        <f t="array" ref="Y403">IF(COUNTIFS($X$379:$X403,$X403)=1,"1",VALUE(SUBSTITUTE(INDEX(Y:Y,_xlfn.XMATCH($X403,$X$1:$X402,0,-1)),"A",""))+INDEX(Z:Z,_xlfn.XMATCH($X403,$X$1:$X402,0,-1))+1)</f>
        <v>1</v>
      </c>
      <c r="Z403" s="43" cm="1">
        <f t="array" ref="Z403">SUM(IF(ISNUMBER(FIND("TmAi",$BE$1:$AAL$1)),IF(IFERROR(ISODD(SUBSTITUTE($BE403:$AAL403,"A","")),FALSE),IF(ISODD(SUBSTITUTE($BE403:$AAL403,"A","")),1,0),0)))</f>
        <v>0</v>
      </c>
      <c r="AA403" t="str">
        <f t="shared" si="1823"/>
        <v>1B</v>
      </c>
      <c r="AB403" t="str">
        <f t="shared" si="1824"/>
        <v>2B</v>
      </c>
      <c r="AP403" t="s">
        <v>2187</v>
      </c>
      <c r="AS403" t="s">
        <v>396</v>
      </c>
      <c r="JZ403" s="27" t="str">
        <f t="shared" si="1831"/>
        <v>XT1</v>
      </c>
      <c r="KC403" t="str">
        <f t="shared" si="1832"/>
        <v>N1-AI5-1B</v>
      </c>
      <c r="KD403" t="str">
        <f t="shared" si="1833"/>
        <v>N1-AI5-2B</v>
      </c>
      <c r="KI403" cm="1">
        <f t="array" ref="KI403">IF(COUNTIFS($U$2:$U403,$U403)=1,1,INDEX(KI:KI,_xlfn.XMATCH(U403,U$1:U402,0,-1))+COUNT(KI402:KM402))</f>
        <v>73</v>
      </c>
      <c r="KJ403">
        <f t="shared" ref="KJ403:KK403" si="1856">KI403+1</f>
        <v>74</v>
      </c>
      <c r="KK403">
        <f t="shared" si="1856"/>
        <v>75</v>
      </c>
      <c r="KN403">
        <v>1</v>
      </c>
      <c r="KO403" s="16">
        <v>2</v>
      </c>
      <c r="KS403" s="16"/>
    </row>
    <row r="404" spans="1:305" x14ac:dyDescent="0.25">
      <c r="A404" t="s">
        <v>2283</v>
      </c>
      <c r="B404" t="s">
        <v>2284</v>
      </c>
      <c r="C404" t="s">
        <v>498</v>
      </c>
      <c r="P404" t="s">
        <v>482</v>
      </c>
      <c r="T404" s="14" t="s">
        <v>2185</v>
      </c>
      <c r="U404">
        <v>1</v>
      </c>
      <c r="V404" t="s">
        <v>2216</v>
      </c>
      <c r="X404" t="str">
        <f>IF(COUNTIF(X$379:X403,X403)&gt;7,REPLACE(X403,LEN(X403),1,VALUE(RIGHT(X403,1))+1),X403)</f>
        <v>A3.5</v>
      </c>
      <c r="Y404" s="43" cm="1">
        <f t="array" ref="Y404">IF(COUNTIFS($X$379:$X404,$X404)=1,"1",VALUE(SUBSTITUTE(INDEX(Y:Y,_xlfn.XMATCH($X404,$X$1:$X403,0,-1)),"A",""))+INDEX(Z:Z,_xlfn.XMATCH($X404,$X$1:$X403,0,-1))+1)</f>
        <v>2</v>
      </c>
      <c r="Z404" s="43" cm="1">
        <f t="array" ref="Z404">SUM(IF(ISNUMBER(FIND("TmAi",$BE$1:$AAL$1)),IF(IFERROR(ISODD(SUBSTITUTE($BE404:$AAL404,"A","")),FALSE),IF(ISODD(SUBSTITUTE($BE404:$AAL404,"A","")),1,0),0)))</f>
        <v>0</v>
      </c>
      <c r="AA404" t="str">
        <f t="shared" si="1823"/>
        <v>3B</v>
      </c>
      <c r="AB404" t="str">
        <f t="shared" si="1824"/>
        <v>4B</v>
      </c>
      <c r="AP404" t="s">
        <v>2187</v>
      </c>
      <c r="AS404" t="s">
        <v>396</v>
      </c>
      <c r="JZ404" s="27" t="str">
        <f t="shared" si="1831"/>
        <v>XT1</v>
      </c>
      <c r="KC404" t="str">
        <f t="shared" si="1832"/>
        <v>N1-AI5-3B</v>
      </c>
      <c r="KD404" t="str">
        <f t="shared" si="1833"/>
        <v>N1-AI5-4B</v>
      </c>
      <c r="KI404" cm="1">
        <f t="array" ref="KI404">IF(COUNTIFS($U$2:$U404,$U404)=1,1,INDEX(KI:KI,_xlfn.XMATCH(U404,U$1:U403,0,-1))+COUNT(KI403:KM403))</f>
        <v>76</v>
      </c>
      <c r="KJ404">
        <f t="shared" ref="KJ404:KK404" si="1857">KI404+1</f>
        <v>77</v>
      </c>
      <c r="KK404">
        <f t="shared" si="1857"/>
        <v>78</v>
      </c>
      <c r="KN404">
        <v>1</v>
      </c>
      <c r="KO404" s="16">
        <v>2</v>
      </c>
      <c r="KS404" s="16"/>
    </row>
    <row r="405" spans="1:305" x14ac:dyDescent="0.25">
      <c r="A405" t="s">
        <v>2291</v>
      </c>
      <c r="B405" t="s">
        <v>2285</v>
      </c>
      <c r="C405" t="s">
        <v>498</v>
      </c>
      <c r="P405" t="s">
        <v>482</v>
      </c>
      <c r="T405" s="14" t="s">
        <v>2185</v>
      </c>
      <c r="U405">
        <v>1</v>
      </c>
      <c r="V405" t="s">
        <v>2217</v>
      </c>
      <c r="X405" t="str">
        <f>IF(COUNTIF(X$379:X404,X404)&gt;7,REPLACE(X404,LEN(X404),1,VALUE(RIGHT(X404,1))+1),X404)</f>
        <v>A3.5</v>
      </c>
      <c r="Y405" s="43" cm="1">
        <f t="array" ref="Y405">IF(COUNTIFS($X$379:$X405,$X405)=1,"1",VALUE(SUBSTITUTE(INDEX(Y:Y,_xlfn.XMATCH($X405,$X$1:$X404,0,-1)),"A",""))+INDEX(Z:Z,_xlfn.XMATCH($X405,$X$1:$X404,0,-1))+1)</f>
        <v>3</v>
      </c>
      <c r="Z405" s="43" cm="1">
        <f t="array" ref="Z405">SUM(IF(ISNUMBER(FIND("TmAi",$BE$1:$AAL$1)),IF(IFERROR(ISODD(SUBSTITUTE($BE405:$AAL405,"A","")),FALSE),IF(ISODD(SUBSTITUTE($BE405:$AAL405,"A","")),1,0),0)))</f>
        <v>0</v>
      </c>
      <c r="AA405" t="str">
        <f t="shared" si="1823"/>
        <v>5B</v>
      </c>
      <c r="AB405" t="str">
        <f t="shared" si="1824"/>
        <v>6B</v>
      </c>
      <c r="AP405" t="s">
        <v>2187</v>
      </c>
      <c r="AS405" t="s">
        <v>396</v>
      </c>
      <c r="JZ405" s="27" t="str">
        <f t="shared" si="1831"/>
        <v>XT1</v>
      </c>
      <c r="KC405" t="str">
        <f t="shared" si="1832"/>
        <v>N1-AI5-5B</v>
      </c>
      <c r="KD405" t="str">
        <f t="shared" si="1833"/>
        <v>N1-AI5-6B</v>
      </c>
      <c r="KI405" cm="1">
        <f t="array" ref="KI405">IF(COUNTIFS($U$2:$U405,$U405)=1,1,INDEX(KI:KI,_xlfn.XMATCH(U405,U$1:U404,0,-1))+COUNT(KI404:KM404))</f>
        <v>79</v>
      </c>
      <c r="KJ405">
        <f t="shared" ref="KJ405:KK405" si="1858">KI405+1</f>
        <v>80</v>
      </c>
      <c r="KK405">
        <f t="shared" si="1858"/>
        <v>81</v>
      </c>
      <c r="KN405">
        <v>1</v>
      </c>
      <c r="KO405" s="16">
        <v>2</v>
      </c>
      <c r="KS405" s="16"/>
    </row>
    <row r="406" spans="1:305" x14ac:dyDescent="0.25">
      <c r="A406" t="s">
        <v>2292</v>
      </c>
      <c r="B406" t="s">
        <v>2286</v>
      </c>
      <c r="C406" t="s">
        <v>498</v>
      </c>
      <c r="P406" t="s">
        <v>482</v>
      </c>
      <c r="T406" s="14" t="s">
        <v>2185</v>
      </c>
      <c r="U406">
        <v>1</v>
      </c>
      <c r="V406" t="s">
        <v>2218</v>
      </c>
      <c r="X406" t="str">
        <f>IF(COUNTIF(X$379:X405,X405)&gt;7,REPLACE(X405,LEN(X405),1,VALUE(RIGHT(X405,1))+1),X405)</f>
        <v>A3.5</v>
      </c>
      <c r="Y406" s="43" cm="1">
        <f t="array" ref="Y406">IF(COUNTIFS($X$379:$X406,$X406)=1,"1",VALUE(SUBSTITUTE(INDEX(Y:Y,_xlfn.XMATCH($X406,$X$1:$X405,0,-1)),"A",""))+INDEX(Z:Z,_xlfn.XMATCH($X406,$X$1:$X405,0,-1))+1)</f>
        <v>4</v>
      </c>
      <c r="Z406" s="43" cm="1">
        <f t="array" ref="Z406">SUM(IF(ISNUMBER(FIND("TmAi",$BE$1:$AAL$1)),IF(IFERROR(ISODD(SUBSTITUTE($BE406:$AAL406,"A","")),FALSE),IF(ISODD(SUBSTITUTE($BE406:$AAL406,"A","")),1,0),0)))</f>
        <v>0</v>
      </c>
      <c r="AA406" t="str">
        <f t="shared" si="1823"/>
        <v>7B</v>
      </c>
      <c r="AB406" t="str">
        <f t="shared" si="1824"/>
        <v>8B</v>
      </c>
      <c r="AP406" t="s">
        <v>2187</v>
      </c>
      <c r="AS406" t="s">
        <v>396</v>
      </c>
      <c r="JZ406" s="27" t="str">
        <f t="shared" si="1831"/>
        <v>XT1</v>
      </c>
      <c r="KC406" t="str">
        <f t="shared" si="1832"/>
        <v>N1-AI5-7B</v>
      </c>
      <c r="KD406" t="str">
        <f t="shared" si="1833"/>
        <v>N1-AI5-8B</v>
      </c>
      <c r="KI406" cm="1">
        <f t="array" ref="KI406">IF(COUNTIFS($U$2:$U406,$U406)=1,1,INDEX(KI:KI,_xlfn.XMATCH(U406,U$1:U405,0,-1))+COUNT(KI405:KM405))</f>
        <v>82</v>
      </c>
      <c r="KJ406">
        <f t="shared" ref="KJ406:KK406" si="1859">KI406+1</f>
        <v>83</v>
      </c>
      <c r="KK406">
        <f t="shared" si="1859"/>
        <v>84</v>
      </c>
      <c r="KN406">
        <v>1</v>
      </c>
      <c r="KO406" s="16">
        <v>2</v>
      </c>
      <c r="KS406" s="16"/>
    </row>
    <row r="407" spans="1:305" x14ac:dyDescent="0.25">
      <c r="A407" t="s">
        <v>2293</v>
      </c>
      <c r="B407" t="s">
        <v>2287</v>
      </c>
      <c r="C407" t="s">
        <v>498</v>
      </c>
      <c r="P407" t="s">
        <v>482</v>
      </c>
      <c r="T407" s="14" t="s">
        <v>2185</v>
      </c>
      <c r="U407">
        <v>1</v>
      </c>
      <c r="V407" t="s">
        <v>2219</v>
      </c>
      <c r="X407" t="str">
        <f>IF(COUNTIF(X$379:X406,X406)&gt;7,REPLACE(X406,LEN(X406),1,VALUE(RIGHT(X406,1))+1),X406)</f>
        <v>A3.5</v>
      </c>
      <c r="Y407" s="43" cm="1">
        <f t="array" ref="Y407">IF(COUNTIFS($X$379:$X407,$X407)=1,"1",VALUE(SUBSTITUTE(INDEX(Y:Y,_xlfn.XMATCH($X407,$X$1:$X406,0,-1)),"A",""))+INDEX(Z:Z,_xlfn.XMATCH($X407,$X$1:$X406,0,-1))+1)</f>
        <v>5</v>
      </c>
      <c r="Z407" s="43" cm="1">
        <f t="array" ref="Z407">SUM(IF(ISNUMBER(FIND("TmAi",$BE$1:$AAL$1)),IF(IFERROR(ISODD(SUBSTITUTE($BE407:$AAL407,"A","")),FALSE),IF(ISODD(SUBSTITUTE($BE407:$AAL407,"A","")),1,0),0)))</f>
        <v>0</v>
      </c>
      <c r="AA407" t="str">
        <f t="shared" si="1823"/>
        <v>9B</v>
      </c>
      <c r="AB407" t="str">
        <f t="shared" si="1824"/>
        <v>10B</v>
      </c>
      <c r="AP407" t="s">
        <v>2187</v>
      </c>
      <c r="AS407" t="s">
        <v>396</v>
      </c>
      <c r="JZ407" s="27" t="str">
        <f t="shared" si="1831"/>
        <v>XT1</v>
      </c>
      <c r="KC407" t="str">
        <f t="shared" si="1832"/>
        <v>N1-AI5-9B</v>
      </c>
      <c r="KD407" t="str">
        <f t="shared" si="1833"/>
        <v>N1-AI5-10B</v>
      </c>
      <c r="KI407" cm="1">
        <f t="array" ref="KI407">IF(COUNTIFS($U$2:$U407,$U407)=1,1,INDEX(KI:KI,_xlfn.XMATCH(U407,U$1:U406,0,-1))+COUNT(KI406:KM406))</f>
        <v>85</v>
      </c>
      <c r="KJ407">
        <f t="shared" ref="KJ407:KK407" si="1860">KI407+1</f>
        <v>86</v>
      </c>
      <c r="KK407">
        <f t="shared" si="1860"/>
        <v>87</v>
      </c>
      <c r="KN407">
        <v>1</v>
      </c>
      <c r="KO407" s="16">
        <v>2</v>
      </c>
      <c r="KS407" s="16"/>
    </row>
    <row r="408" spans="1:305" x14ac:dyDescent="0.25">
      <c r="A408" t="s">
        <v>2294</v>
      </c>
      <c r="B408" t="s">
        <v>2288</v>
      </c>
      <c r="C408" t="s">
        <v>498</v>
      </c>
      <c r="P408" t="s">
        <v>482</v>
      </c>
      <c r="T408" s="14" t="s">
        <v>2185</v>
      </c>
      <c r="U408">
        <v>1</v>
      </c>
      <c r="V408" t="s">
        <v>2220</v>
      </c>
      <c r="X408" t="str">
        <f>IF(COUNTIF(X$379:X407,X407)&gt;7,REPLACE(X407,LEN(X407),1,VALUE(RIGHT(X407,1))+1),X407)</f>
        <v>A3.5</v>
      </c>
      <c r="Y408" s="43" cm="1">
        <f t="array" ref="Y408">IF(COUNTIFS($X$379:$X408,$X408)=1,"1",VALUE(SUBSTITUTE(INDEX(Y:Y,_xlfn.XMATCH($X408,$X$1:$X407,0,-1)),"A",""))+INDEX(Z:Z,_xlfn.XMATCH($X408,$X$1:$X407,0,-1))+1)</f>
        <v>6</v>
      </c>
      <c r="Z408" s="43" cm="1">
        <f t="array" ref="Z408">SUM(IF(ISNUMBER(FIND("TmAi",$BE$1:$AAL$1)),IF(IFERROR(ISODD(SUBSTITUTE($BE408:$AAL408,"A","")),FALSE),IF(ISODD(SUBSTITUTE($BE408:$AAL408,"A","")),1,0),0)))</f>
        <v>0</v>
      </c>
      <c r="AA408" t="str">
        <f t="shared" si="1823"/>
        <v>11B</v>
      </c>
      <c r="AB408" t="str">
        <f t="shared" si="1824"/>
        <v>12B</v>
      </c>
      <c r="AP408" t="s">
        <v>2187</v>
      </c>
      <c r="AS408" t="s">
        <v>396</v>
      </c>
      <c r="JZ408" s="27" t="str">
        <f t="shared" si="1831"/>
        <v>XT1</v>
      </c>
      <c r="KC408" t="str">
        <f t="shared" si="1832"/>
        <v>N1-AI5-11B</v>
      </c>
      <c r="KD408" t="str">
        <f t="shared" si="1833"/>
        <v>N1-AI5-12B</v>
      </c>
      <c r="KI408" cm="1">
        <f t="array" ref="KI408">IF(COUNTIFS($U$2:$U408,$U408)=1,1,INDEX(KI:KI,_xlfn.XMATCH(U408,U$1:U407,0,-1))+COUNT(KI407:KM407))</f>
        <v>88</v>
      </c>
      <c r="KJ408">
        <f t="shared" ref="KJ408:KK408" si="1861">KI408+1</f>
        <v>89</v>
      </c>
      <c r="KK408">
        <f t="shared" si="1861"/>
        <v>90</v>
      </c>
      <c r="KN408">
        <v>1</v>
      </c>
      <c r="KO408" s="16">
        <v>2</v>
      </c>
      <c r="KS408" s="16"/>
    </row>
    <row r="409" spans="1:305" x14ac:dyDescent="0.25">
      <c r="A409" t="s">
        <v>2295</v>
      </c>
      <c r="B409" t="s">
        <v>2289</v>
      </c>
      <c r="C409" t="s">
        <v>498</v>
      </c>
      <c r="P409" t="s">
        <v>482</v>
      </c>
      <c r="T409" s="14" t="s">
        <v>2185</v>
      </c>
      <c r="U409">
        <v>1</v>
      </c>
      <c r="V409" t="s">
        <v>2221</v>
      </c>
      <c r="X409" t="str">
        <f>IF(COUNTIF(X$379:X408,X408)&gt;7,REPLACE(X408,LEN(X408),1,VALUE(RIGHT(X408,1))+1),X408)</f>
        <v>A3.5</v>
      </c>
      <c r="Y409" s="43" cm="1">
        <f t="array" ref="Y409">IF(COUNTIFS($X$379:$X409,$X409)=1,"1",VALUE(SUBSTITUTE(INDEX(Y:Y,_xlfn.XMATCH($X409,$X$1:$X408,0,-1)),"A",""))+INDEX(Z:Z,_xlfn.XMATCH($X409,$X$1:$X408,0,-1))+1)</f>
        <v>7</v>
      </c>
      <c r="Z409" s="43" cm="1">
        <f t="array" ref="Z409">SUM(IF(ISNUMBER(FIND("TmAi",$BE$1:$AAL$1)),IF(IFERROR(ISODD(SUBSTITUTE($BE409:$AAL409,"A","")),FALSE),IF(ISODD(SUBSTITUTE($BE409:$AAL409,"A","")),1,0),0)))</f>
        <v>0</v>
      </c>
      <c r="AA409" t="str">
        <f t="shared" si="1823"/>
        <v>13B</v>
      </c>
      <c r="AB409" t="str">
        <f t="shared" si="1824"/>
        <v>14B</v>
      </c>
      <c r="AP409" t="s">
        <v>2187</v>
      </c>
      <c r="AS409" t="s">
        <v>396</v>
      </c>
      <c r="JZ409" s="27" t="str">
        <f t="shared" si="1831"/>
        <v>XT1</v>
      </c>
      <c r="KC409" t="str">
        <f t="shared" si="1832"/>
        <v>N1-AI5-13B</v>
      </c>
      <c r="KD409" t="str">
        <f t="shared" si="1833"/>
        <v>N1-AI5-14B</v>
      </c>
      <c r="KI409" cm="1">
        <f t="array" ref="KI409">IF(COUNTIFS($U$2:$U409,$U409)=1,1,INDEX(KI:KI,_xlfn.XMATCH(U409,U$1:U408,0,-1))+COUNT(KI408:KM408))</f>
        <v>91</v>
      </c>
      <c r="KJ409">
        <f t="shared" ref="KJ409:KK409" si="1862">KI409+1</f>
        <v>92</v>
      </c>
      <c r="KK409">
        <f t="shared" si="1862"/>
        <v>93</v>
      </c>
      <c r="KN409">
        <v>1</v>
      </c>
      <c r="KO409" s="16">
        <v>2</v>
      </c>
      <c r="KS409" s="16"/>
    </row>
    <row r="410" spans="1:305" x14ac:dyDescent="0.25">
      <c r="A410" t="s">
        <v>2296</v>
      </c>
      <c r="B410" t="s">
        <v>2290</v>
      </c>
      <c r="C410" t="s">
        <v>498</v>
      </c>
      <c r="P410" t="s">
        <v>482</v>
      </c>
      <c r="T410" s="14" t="s">
        <v>2185</v>
      </c>
      <c r="U410">
        <v>1</v>
      </c>
      <c r="V410" t="s">
        <v>2222</v>
      </c>
      <c r="X410" t="str">
        <f>IF(COUNTIF(X$379:X409,X409)&gt;7,REPLACE(X409,LEN(X409),1,VALUE(RIGHT(X409,1))+1),X409)</f>
        <v>A3.5</v>
      </c>
      <c r="Y410" s="43" cm="1">
        <f t="array" ref="Y410">IF(COUNTIFS($X$379:$X410,$X410)=1,"1",VALUE(SUBSTITUTE(INDEX(Y:Y,_xlfn.XMATCH($X410,$X$1:$X409,0,-1)),"A",""))+INDEX(Z:Z,_xlfn.XMATCH($X410,$X$1:$X409,0,-1))+1)</f>
        <v>8</v>
      </c>
      <c r="Z410" s="43" cm="1">
        <f t="array" ref="Z410">SUM(IF(ISNUMBER(FIND("TmAi",$BE$1:$AAL$1)),IF(IFERROR(ISODD(SUBSTITUTE($BE410:$AAL410,"A","")),FALSE),IF(ISODD(SUBSTITUTE($BE410:$AAL410,"A","")),1,0),0)))</f>
        <v>0</v>
      </c>
      <c r="AA410" t="str">
        <f t="shared" si="1823"/>
        <v>15B</v>
      </c>
      <c r="AB410" t="str">
        <f t="shared" si="1824"/>
        <v>16B</v>
      </c>
      <c r="AP410" t="s">
        <v>2187</v>
      </c>
      <c r="AS410" t="s">
        <v>396</v>
      </c>
      <c r="JZ410" s="27" t="str">
        <f t="shared" si="1831"/>
        <v>XT1</v>
      </c>
      <c r="KC410" t="str">
        <f t="shared" si="1832"/>
        <v>N1-AI5-15B</v>
      </c>
      <c r="KD410" t="str">
        <f t="shared" si="1833"/>
        <v>N1-AI5-16B</v>
      </c>
      <c r="KI410" cm="1">
        <f t="array" ref="KI410">IF(COUNTIFS($U$2:$U410,$U410)=1,1,INDEX(KI:KI,_xlfn.XMATCH(U410,U$1:U409,0,-1))+COUNT(KI409:KM409))</f>
        <v>94</v>
      </c>
      <c r="KJ410">
        <f t="shared" ref="KJ410:KK410" si="1863">KI410+1</f>
        <v>95</v>
      </c>
      <c r="KK410">
        <f t="shared" si="1863"/>
        <v>96</v>
      </c>
      <c r="KN410">
        <v>1</v>
      </c>
      <c r="KO410" s="16">
        <v>2</v>
      </c>
      <c r="KS410" s="16"/>
    </row>
    <row r="411" spans="1:305" x14ac:dyDescent="0.25">
      <c r="A411" t="s">
        <v>2298</v>
      </c>
      <c r="B411" t="s">
        <v>2297</v>
      </c>
      <c r="C411" t="s">
        <v>498</v>
      </c>
      <c r="P411" t="s">
        <v>482</v>
      </c>
      <c r="T411" s="14" t="s">
        <v>2185</v>
      </c>
      <c r="U411">
        <v>1</v>
      </c>
      <c r="V411" t="s">
        <v>2223</v>
      </c>
      <c r="X411" t="str">
        <f>IF(COUNTIF(X$379:X410,X410)&gt;7,REPLACE(X410,LEN(X410),1,VALUE(RIGHT(X410,1))+1),X410)</f>
        <v>A3.6</v>
      </c>
      <c r="Y411" s="43" t="str" cm="1">
        <f t="array" ref="Y411">IF(COUNTIFS($X$379:$X411,$X411)=1,"1",VALUE(SUBSTITUTE(INDEX(Y:Y,_xlfn.XMATCH($X411,$X$1:$X410,0,-1)),"A",""))+INDEX(Z:Z,_xlfn.XMATCH($X411,$X$1:$X410,0,-1))+1)</f>
        <v>1</v>
      </c>
      <c r="Z411" s="43" cm="1">
        <f t="array" ref="Z411">SUM(IF(ISNUMBER(FIND("TmAi",$BE$1:$AAL$1)),IF(IFERROR(ISODD(SUBSTITUTE($BE411:$AAL411,"A","")),FALSE),IF(ISODD(SUBSTITUTE($BE411:$AAL411,"A","")),1,0),0)))</f>
        <v>0</v>
      </c>
      <c r="AA411" t="str">
        <f t="shared" si="1823"/>
        <v>1B</v>
      </c>
      <c r="AB411" t="str">
        <f t="shared" si="1824"/>
        <v>2B</v>
      </c>
      <c r="AP411" t="s">
        <v>2187</v>
      </c>
      <c r="AS411" t="s">
        <v>396</v>
      </c>
      <c r="JZ411" s="27" t="str">
        <f t="shared" si="1831"/>
        <v>XT1</v>
      </c>
      <c r="KC411" t="str">
        <f t="shared" si="1832"/>
        <v>N1-AI6-1B</v>
      </c>
      <c r="KD411" t="str">
        <f t="shared" si="1833"/>
        <v>N1-AI6-2B</v>
      </c>
      <c r="KI411" cm="1">
        <f t="array" ref="KI411">IF(COUNTIFS($U$2:$U411,$U411)=1,1,INDEX(KI:KI,_xlfn.XMATCH(U411,U$1:U410,0,-1))+COUNT(KI410:KM410))</f>
        <v>97</v>
      </c>
      <c r="KJ411">
        <f t="shared" ref="KJ411:KK411" si="1864">KI411+1</f>
        <v>98</v>
      </c>
      <c r="KK411">
        <f t="shared" si="1864"/>
        <v>99</v>
      </c>
      <c r="KN411">
        <v>1</v>
      </c>
      <c r="KO411" s="16">
        <v>2</v>
      </c>
      <c r="KS411" s="16"/>
    </row>
    <row r="412" spans="1:305" x14ac:dyDescent="0.25">
      <c r="A412" t="s">
        <v>2300</v>
      </c>
      <c r="B412" t="s">
        <v>2299</v>
      </c>
      <c r="C412" t="s">
        <v>492</v>
      </c>
      <c r="P412" t="s">
        <v>482</v>
      </c>
      <c r="T412" s="14" t="s">
        <v>2185</v>
      </c>
      <c r="U412">
        <v>1</v>
      </c>
      <c r="V412" t="s">
        <v>2224</v>
      </c>
      <c r="X412" t="str">
        <f>IF(COUNTIF(X$379:X411,X411)&gt;7,REPLACE(X411,LEN(X411),1,VALUE(RIGHT(X411,1))+1),X411)</f>
        <v>A3.6</v>
      </c>
      <c r="Y412" s="43" cm="1">
        <f t="array" ref="Y412">IF(COUNTIFS($X$379:$X412,$X412)=1,"1",VALUE(SUBSTITUTE(INDEX(Y:Y,_xlfn.XMATCH($X412,$X$1:$X411,0,-1)),"A",""))+INDEX(Z:Z,_xlfn.XMATCH($X412,$X$1:$X411,0,-1))+1)</f>
        <v>2</v>
      </c>
      <c r="Z412" s="43" cm="1">
        <f t="array" ref="Z412">SUM(IF(ISNUMBER(FIND("TmAi",$BE$1:$AAL$1)),IF(IFERROR(ISODD(SUBSTITUTE($BE412:$AAL412,"A","")),FALSE),IF(ISODD(SUBSTITUTE($BE412:$AAL412,"A","")),1,0),0)))</f>
        <v>0</v>
      </c>
      <c r="AA412" t="str">
        <f t="shared" si="1823"/>
        <v>3B</v>
      </c>
      <c r="AB412" t="str">
        <f t="shared" si="1824"/>
        <v>4B</v>
      </c>
      <c r="AP412" t="s">
        <v>2187</v>
      </c>
      <c r="AS412" t="s">
        <v>396</v>
      </c>
      <c r="JZ412" s="27" t="str">
        <f t="shared" si="1831"/>
        <v>XT1</v>
      </c>
      <c r="KC412" t="str">
        <f t="shared" si="1832"/>
        <v>N1-AI6-3B</v>
      </c>
      <c r="KD412" t="str">
        <f t="shared" si="1833"/>
        <v>N1-AI6-4B</v>
      </c>
      <c r="KI412" cm="1">
        <f t="array" ref="KI412">IF(COUNTIFS($U$2:$U412,$U412)=1,1,INDEX(KI:KI,_xlfn.XMATCH(U412,U$1:U411,0,-1))+COUNT(KI411:KM411))</f>
        <v>100</v>
      </c>
      <c r="KJ412">
        <f t="shared" ref="KJ412:KK412" si="1865">KI412+1</f>
        <v>101</v>
      </c>
      <c r="KK412">
        <f t="shared" si="1865"/>
        <v>102</v>
      </c>
      <c r="KN412">
        <v>1</v>
      </c>
      <c r="KO412" s="16">
        <v>2</v>
      </c>
      <c r="KS412" s="16"/>
    </row>
    <row r="413" spans="1:305" x14ac:dyDescent="0.25">
      <c r="A413" t="s">
        <v>2302</v>
      </c>
      <c r="B413" t="s">
        <v>2301</v>
      </c>
      <c r="C413" t="s">
        <v>498</v>
      </c>
      <c r="P413" t="s">
        <v>482</v>
      </c>
      <c r="T413" s="14" t="s">
        <v>2185</v>
      </c>
      <c r="U413">
        <v>1</v>
      </c>
      <c r="V413" t="s">
        <v>2225</v>
      </c>
      <c r="X413" t="str">
        <f>IF(COUNTIF(X$379:X412,X412)&gt;7,REPLACE(X412,LEN(X412),1,VALUE(RIGHT(X412,1))+1),X412)</f>
        <v>A3.6</v>
      </c>
      <c r="Y413" s="43" cm="1">
        <f t="array" ref="Y413">IF(COUNTIFS($X$379:$X413,$X413)=1,"1",VALUE(SUBSTITUTE(INDEX(Y:Y,_xlfn.XMATCH($X413,$X$1:$X412,0,-1)),"A",""))+INDEX(Z:Z,_xlfn.XMATCH($X413,$X$1:$X412,0,-1))+1)</f>
        <v>3</v>
      </c>
      <c r="Z413" s="43" cm="1">
        <f t="array" ref="Z413">SUM(IF(ISNUMBER(FIND("TmAi",$BE$1:$AAL$1)),IF(IFERROR(ISODD(SUBSTITUTE($BE413:$AAL413,"A","")),FALSE),IF(ISODD(SUBSTITUTE($BE413:$AAL413,"A","")),1,0),0)))</f>
        <v>0</v>
      </c>
      <c r="AA413" t="str">
        <f t="shared" si="1823"/>
        <v>5B</v>
      </c>
      <c r="AB413" t="str">
        <f t="shared" si="1824"/>
        <v>6B</v>
      </c>
      <c r="AP413" t="s">
        <v>2187</v>
      </c>
      <c r="AS413" t="s">
        <v>396</v>
      </c>
      <c r="JZ413" s="27" t="str">
        <f t="shared" si="1831"/>
        <v>XT1</v>
      </c>
      <c r="KC413" t="str">
        <f t="shared" si="1832"/>
        <v>N1-AI6-5B</v>
      </c>
      <c r="KD413" t="str">
        <f t="shared" si="1833"/>
        <v>N1-AI6-6B</v>
      </c>
      <c r="KI413" cm="1">
        <f t="array" ref="KI413">IF(COUNTIFS($U$2:$U413,$U413)=1,1,INDEX(KI:KI,_xlfn.XMATCH(U413,U$1:U412,0,-1))+COUNT(KI412:KM412))</f>
        <v>103</v>
      </c>
      <c r="KJ413">
        <f t="shared" ref="KJ413:KK413" si="1866">KI413+1</f>
        <v>104</v>
      </c>
      <c r="KK413">
        <f t="shared" si="1866"/>
        <v>105</v>
      </c>
      <c r="KN413">
        <v>1</v>
      </c>
      <c r="KO413" s="16">
        <v>2</v>
      </c>
      <c r="KS413" s="16"/>
    </row>
    <row r="414" spans="1:305" x14ac:dyDescent="0.25">
      <c r="A414" t="s">
        <v>2304</v>
      </c>
      <c r="B414" t="s">
        <v>2303</v>
      </c>
      <c r="C414" t="s">
        <v>492</v>
      </c>
      <c r="P414" t="s">
        <v>482</v>
      </c>
      <c r="T414" s="14" t="s">
        <v>2185</v>
      </c>
      <c r="U414">
        <v>1</v>
      </c>
      <c r="V414" t="s">
        <v>2226</v>
      </c>
      <c r="X414" t="str">
        <f>IF(COUNTIF(X$379:X413,X413)&gt;7,REPLACE(X413,LEN(X413),1,VALUE(RIGHT(X413,1))+1),X413)</f>
        <v>A3.6</v>
      </c>
      <c r="Y414" s="43" cm="1">
        <f t="array" ref="Y414">IF(COUNTIFS($X$379:$X414,$X414)=1,"1",VALUE(SUBSTITUTE(INDEX(Y:Y,_xlfn.XMATCH($X414,$X$1:$X413,0,-1)),"A",""))+INDEX(Z:Z,_xlfn.XMATCH($X414,$X$1:$X413,0,-1))+1)</f>
        <v>4</v>
      </c>
      <c r="Z414" s="43" cm="1">
        <f t="array" ref="Z414">SUM(IF(ISNUMBER(FIND("TmAi",$BE$1:$AAL$1)),IF(IFERROR(ISODD(SUBSTITUTE($BE414:$AAL414,"A","")),FALSE),IF(ISODD(SUBSTITUTE($BE414:$AAL414,"A","")),1,0),0)))</f>
        <v>0</v>
      </c>
      <c r="AA414" t="str">
        <f t="shared" si="1823"/>
        <v>7B</v>
      </c>
      <c r="AB414" t="str">
        <f t="shared" si="1824"/>
        <v>8B</v>
      </c>
      <c r="AP414" t="s">
        <v>2187</v>
      </c>
      <c r="AS414" t="s">
        <v>396</v>
      </c>
      <c r="JZ414" s="27" t="str">
        <f t="shared" si="1831"/>
        <v>XT1</v>
      </c>
      <c r="KC414" t="str">
        <f t="shared" si="1832"/>
        <v>N1-AI6-7B</v>
      </c>
      <c r="KD414" t="str">
        <f t="shared" si="1833"/>
        <v>N1-AI6-8B</v>
      </c>
      <c r="KI414" cm="1">
        <f t="array" ref="KI414">IF(COUNTIFS($U$2:$U414,$U414)=1,1,INDEX(KI:KI,_xlfn.XMATCH(U414,U$1:U413,0,-1))+COUNT(KI413:KM413))</f>
        <v>106</v>
      </c>
      <c r="KJ414">
        <f t="shared" ref="KJ414:KK414" si="1867">KI414+1</f>
        <v>107</v>
      </c>
      <c r="KK414">
        <f t="shared" si="1867"/>
        <v>108</v>
      </c>
      <c r="KN414">
        <v>1</v>
      </c>
      <c r="KO414" s="16">
        <v>2</v>
      </c>
      <c r="KS414" s="16"/>
    </row>
    <row r="415" spans="1:305" x14ac:dyDescent="0.25">
      <c r="A415" t="s">
        <v>2306</v>
      </c>
      <c r="B415" t="s">
        <v>2305</v>
      </c>
      <c r="C415" t="s">
        <v>492</v>
      </c>
      <c r="P415" t="s">
        <v>482</v>
      </c>
      <c r="T415" s="14" t="s">
        <v>2185</v>
      </c>
      <c r="U415">
        <v>1</v>
      </c>
      <c r="V415" t="s">
        <v>2227</v>
      </c>
      <c r="X415" t="str">
        <f>IF(COUNTIF(X$379:X414,X414)&gt;7,REPLACE(X414,LEN(X414),1,VALUE(RIGHT(X414,1))+1),X414)</f>
        <v>A3.6</v>
      </c>
      <c r="Y415" s="43" cm="1">
        <f t="array" ref="Y415">IF(COUNTIFS($X$379:$X415,$X415)=1,"1",VALUE(SUBSTITUTE(INDEX(Y:Y,_xlfn.XMATCH($X415,$X$1:$X414,0,-1)),"A",""))+INDEX(Z:Z,_xlfn.XMATCH($X415,$X$1:$X414,0,-1))+1)</f>
        <v>5</v>
      </c>
      <c r="Z415" s="43" cm="1">
        <f t="array" ref="Z415">SUM(IF(ISNUMBER(FIND("TmAi",$BE$1:$AAL$1)),IF(IFERROR(ISODD(SUBSTITUTE($BE415:$AAL415,"A","")),FALSE),IF(ISODD(SUBSTITUTE($BE415:$AAL415,"A","")),1,0),0)))</f>
        <v>0</v>
      </c>
      <c r="AA415" t="str">
        <f t="shared" si="1823"/>
        <v>9B</v>
      </c>
      <c r="AB415" t="str">
        <f t="shared" si="1824"/>
        <v>10B</v>
      </c>
      <c r="AP415" t="s">
        <v>2187</v>
      </c>
      <c r="AS415" t="s">
        <v>396</v>
      </c>
      <c r="JZ415" s="27" t="str">
        <f t="shared" si="1831"/>
        <v>XT1</v>
      </c>
      <c r="KC415" t="str">
        <f t="shared" si="1832"/>
        <v>N1-AI6-9B</v>
      </c>
      <c r="KD415" t="str">
        <f t="shared" si="1833"/>
        <v>N1-AI6-10B</v>
      </c>
      <c r="KI415" cm="1">
        <f t="array" ref="KI415">IF(COUNTIFS($U$2:$U415,$U415)=1,1,INDEX(KI:KI,_xlfn.XMATCH(U415,U$1:U414,0,-1))+COUNT(KI414:KM414))</f>
        <v>109</v>
      </c>
      <c r="KJ415">
        <f t="shared" ref="KJ415:KK415" si="1868">KI415+1</f>
        <v>110</v>
      </c>
      <c r="KK415">
        <f t="shared" si="1868"/>
        <v>111</v>
      </c>
      <c r="KN415">
        <v>1</v>
      </c>
      <c r="KO415" s="16">
        <v>2</v>
      </c>
      <c r="KS415" s="16"/>
    </row>
    <row r="416" spans="1:305" x14ac:dyDescent="0.25">
      <c r="A416" t="s">
        <v>2308</v>
      </c>
      <c r="B416" t="s">
        <v>2307</v>
      </c>
      <c r="C416" t="s">
        <v>498</v>
      </c>
      <c r="P416" t="s">
        <v>482</v>
      </c>
      <c r="T416" s="14" t="s">
        <v>2185</v>
      </c>
      <c r="U416">
        <v>1</v>
      </c>
      <c r="V416" t="s">
        <v>2228</v>
      </c>
      <c r="X416" t="s">
        <v>2328</v>
      </c>
      <c r="Y416" s="43" t="str" cm="1">
        <f t="array" ref="Y416">IF(COUNTIFS($X$379:$X416,$X416)=1,"1",VALUE(SUBSTITUTE(INDEX(Y:Y,_xlfn.XMATCH($X416,$X$1:$X415,0,-1)),"A",""))+INDEX(Z:Z,_xlfn.XMATCH($X416,$X$1:$X415,0,-1))+1)</f>
        <v>1</v>
      </c>
      <c r="Z416" s="43" cm="1">
        <f t="array" ref="Z416">SUM(IF(ISNUMBER(FIND("TmAi",$BE$1:$AAL$1)),IF(IFERROR(ISODD(SUBSTITUTE($BE416:$AAL416,"A","")),FALSE),IF(ISODD(SUBSTITUTE($BE416:$AAL416,"A","")),1,0),0)))</f>
        <v>0</v>
      </c>
      <c r="AA416" t="str">
        <f t="shared" si="1823"/>
        <v>1B</v>
      </c>
      <c r="AB416" t="str">
        <f t="shared" si="1824"/>
        <v>2B</v>
      </c>
      <c r="AP416" t="s">
        <v>2187</v>
      </c>
      <c r="AS416" t="s">
        <v>396</v>
      </c>
      <c r="JZ416" s="27" t="str">
        <f t="shared" si="1831"/>
        <v>XT1</v>
      </c>
      <c r="KC416" t="str">
        <f t="shared" si="1832"/>
        <v>N1-AI7-1B</v>
      </c>
      <c r="KD416" t="str">
        <f t="shared" si="1833"/>
        <v>N1-AI7-2B</v>
      </c>
      <c r="KI416" cm="1">
        <f t="array" ref="KI416">IF(COUNTIFS($U$2:$U416,$U416)=1,1,INDEX(KI:KI,_xlfn.XMATCH(U416,U$1:U415,0,-1))+COUNT(KI415:KM415))</f>
        <v>112</v>
      </c>
      <c r="KJ416">
        <f t="shared" ref="KJ416:KK416" si="1869">KI416+1</f>
        <v>113</v>
      </c>
      <c r="KK416">
        <f t="shared" si="1869"/>
        <v>114</v>
      </c>
      <c r="KN416">
        <v>1</v>
      </c>
      <c r="KO416" s="16">
        <v>2</v>
      </c>
      <c r="KS416" s="16"/>
    </row>
    <row r="417" spans="1:538" x14ac:dyDescent="0.25">
      <c r="A417" t="s">
        <v>2310</v>
      </c>
      <c r="B417" t="s">
        <v>2309</v>
      </c>
      <c r="C417" t="s">
        <v>498</v>
      </c>
      <c r="P417" t="s">
        <v>482</v>
      </c>
      <c r="T417" s="14" t="s">
        <v>2185</v>
      </c>
      <c r="U417">
        <v>1</v>
      </c>
      <c r="V417" t="s">
        <v>2229</v>
      </c>
      <c r="X417" t="str">
        <f>IF(COUNTIF(X$379:X416,X416)&gt;7,REPLACE(X416,LEN(X416),1,VALUE(RIGHT(X416,1))+1),X416)</f>
        <v>A3.7</v>
      </c>
      <c r="Y417" s="43" cm="1">
        <f t="array" ref="Y417">IF(COUNTIFS($X$379:$X417,$X417)=1,"1",VALUE(SUBSTITUTE(INDEX(Y:Y,_xlfn.XMATCH($X417,$X$1:$X416,0,-1)),"A",""))+INDEX(Z:Z,_xlfn.XMATCH($X417,$X$1:$X416,0,-1))+1)</f>
        <v>2</v>
      </c>
      <c r="Z417" s="43" cm="1">
        <f t="array" ref="Z417">SUM(IF(ISNUMBER(FIND("TmAi",$BE$1:$AAL$1)),IF(IFERROR(ISODD(SUBSTITUTE($BE417:$AAL417,"A","")),FALSE),IF(ISODD(SUBSTITUTE($BE417:$AAL417,"A","")),1,0),0)))</f>
        <v>0</v>
      </c>
      <c r="AA417" t="str">
        <f t="shared" si="1823"/>
        <v>3B</v>
      </c>
      <c r="AB417" t="str">
        <f t="shared" si="1824"/>
        <v>4B</v>
      </c>
      <c r="AP417" t="s">
        <v>2187</v>
      </c>
      <c r="AS417" t="s">
        <v>396</v>
      </c>
      <c r="JZ417" s="27" t="str">
        <f t="shared" si="1831"/>
        <v>XT1</v>
      </c>
      <c r="KC417" t="str">
        <f t="shared" si="1832"/>
        <v>N1-AI7-3B</v>
      </c>
      <c r="KD417" t="str">
        <f t="shared" si="1833"/>
        <v>N1-AI7-4B</v>
      </c>
      <c r="KI417" cm="1">
        <f t="array" ref="KI417">IF(COUNTIFS($U$2:$U417,$U417)=1,1,INDEX(KI:KI,_xlfn.XMATCH(U417,U$1:U416,0,-1))+COUNT(KI416:KM416))</f>
        <v>115</v>
      </c>
      <c r="KJ417">
        <f t="shared" ref="KJ417:KK417" si="1870">KI417+1</f>
        <v>116</v>
      </c>
      <c r="KK417">
        <f t="shared" si="1870"/>
        <v>117</v>
      </c>
      <c r="KN417">
        <v>1</v>
      </c>
      <c r="KO417" s="16">
        <v>2</v>
      </c>
      <c r="KS417" s="16"/>
    </row>
    <row r="418" spans="1:538" x14ac:dyDescent="0.25">
      <c r="A418" t="s">
        <v>2312</v>
      </c>
      <c r="B418" t="s">
        <v>2311</v>
      </c>
      <c r="C418" t="s">
        <v>498</v>
      </c>
      <c r="P418" t="s">
        <v>482</v>
      </c>
      <c r="T418" s="14" t="s">
        <v>2185</v>
      </c>
      <c r="U418">
        <v>1</v>
      </c>
      <c r="V418" t="s">
        <v>2230</v>
      </c>
      <c r="X418" t="str">
        <f>IF(COUNTIF(X$379:X417,X417)&gt;7,REPLACE(X417,LEN(X417),1,VALUE(RIGHT(X417,1))+1),X417)</f>
        <v>A3.7</v>
      </c>
      <c r="Y418" s="43" cm="1">
        <f t="array" ref="Y418">IF(COUNTIFS($X$379:$X418,$X418)=1,"1",VALUE(SUBSTITUTE(INDEX(Y:Y,_xlfn.XMATCH($X418,$X$1:$X417,0,-1)),"A",""))+INDEX(Z:Z,_xlfn.XMATCH($X418,$X$1:$X417,0,-1))+1)</f>
        <v>3</v>
      </c>
      <c r="Z418" s="43" cm="1">
        <f t="array" ref="Z418">SUM(IF(ISNUMBER(FIND("TmAi",$BE$1:$AAL$1)),IF(IFERROR(ISODD(SUBSTITUTE($BE418:$AAL418,"A","")),FALSE),IF(ISODD(SUBSTITUTE($BE418:$AAL418,"A","")),1,0),0)))</f>
        <v>0</v>
      </c>
      <c r="AA418" t="str">
        <f t="shared" si="1823"/>
        <v>5B</v>
      </c>
      <c r="AB418" t="str">
        <f t="shared" si="1824"/>
        <v>6B</v>
      </c>
      <c r="AP418" t="s">
        <v>2187</v>
      </c>
      <c r="AS418" t="s">
        <v>396</v>
      </c>
      <c r="JZ418" s="27" t="str">
        <f t="shared" si="1831"/>
        <v>XT1</v>
      </c>
      <c r="KC418" t="str">
        <f t="shared" si="1832"/>
        <v>N1-AI7-5B</v>
      </c>
      <c r="KD418" t="str">
        <f t="shared" si="1833"/>
        <v>N1-AI7-6B</v>
      </c>
      <c r="KI418" cm="1">
        <f t="array" ref="KI418">IF(COUNTIFS($U$2:$U418,$U418)=1,1,INDEX(KI:KI,_xlfn.XMATCH(U418,U$1:U417,0,-1))+COUNT(KI417:KM417))</f>
        <v>118</v>
      </c>
      <c r="KJ418">
        <f t="shared" ref="KJ418:KK418" si="1871">KI418+1</f>
        <v>119</v>
      </c>
      <c r="KK418">
        <f t="shared" si="1871"/>
        <v>120</v>
      </c>
      <c r="KN418">
        <v>1</v>
      </c>
      <c r="KO418" s="16">
        <v>2</v>
      </c>
      <c r="KS418" s="16"/>
    </row>
    <row r="419" spans="1:538" x14ac:dyDescent="0.25">
      <c r="A419" t="s">
        <v>2314</v>
      </c>
      <c r="B419" t="s">
        <v>2313</v>
      </c>
      <c r="C419" t="s">
        <v>498</v>
      </c>
      <c r="P419" t="s">
        <v>482</v>
      </c>
      <c r="T419" s="14" t="s">
        <v>2185</v>
      </c>
      <c r="U419">
        <v>1</v>
      </c>
      <c r="V419" t="s">
        <v>2231</v>
      </c>
      <c r="X419" t="str">
        <f>IF(COUNTIF(X$379:X418,X418)&gt;7,REPLACE(X418,LEN(X418),1,VALUE(RIGHT(X418,1))+1),X418)</f>
        <v>A3.7</v>
      </c>
      <c r="Y419" s="43" cm="1">
        <f t="array" ref="Y419">IF(COUNTIFS($X$379:$X419,$X419)=1,"1",VALUE(SUBSTITUTE(INDEX(Y:Y,_xlfn.XMATCH($X419,$X$1:$X418,0,-1)),"A",""))+INDEX(Z:Z,_xlfn.XMATCH($X419,$X$1:$X418,0,-1))+1)</f>
        <v>4</v>
      </c>
      <c r="Z419" s="43" cm="1">
        <f t="array" ref="Z419">SUM(IF(ISNUMBER(FIND("TmAi",$BE$1:$AAL$1)),IF(IFERROR(ISODD(SUBSTITUTE($BE419:$AAL419,"A","")),FALSE),IF(ISODD(SUBSTITUTE($BE419:$AAL419,"A","")),1,0),0)))</f>
        <v>0</v>
      </c>
      <c r="AA419" t="str">
        <f t="shared" si="1823"/>
        <v>7B</v>
      </c>
      <c r="AB419" t="str">
        <f t="shared" si="1824"/>
        <v>8B</v>
      </c>
      <c r="AP419" t="s">
        <v>2187</v>
      </c>
      <c r="AS419" t="s">
        <v>396</v>
      </c>
      <c r="JZ419" s="27" t="str">
        <f t="shared" si="1831"/>
        <v>XT1</v>
      </c>
      <c r="KC419" t="str">
        <f t="shared" si="1832"/>
        <v>N1-AI7-7B</v>
      </c>
      <c r="KD419" t="str">
        <f t="shared" si="1833"/>
        <v>N1-AI7-8B</v>
      </c>
      <c r="KI419" cm="1">
        <f t="array" ref="KI419">IF(COUNTIFS($U$2:$U419,$U419)=1,1,INDEX(KI:KI,_xlfn.XMATCH(U419,U$1:U418,0,-1))+COUNT(KI418:KM418))</f>
        <v>121</v>
      </c>
      <c r="KJ419">
        <f t="shared" ref="KJ419:KK419" si="1872">KI419+1</f>
        <v>122</v>
      </c>
      <c r="KK419">
        <f t="shared" si="1872"/>
        <v>123</v>
      </c>
      <c r="KN419">
        <v>1</v>
      </c>
      <c r="KO419" s="16">
        <v>2</v>
      </c>
      <c r="KS419" s="16"/>
    </row>
    <row r="420" spans="1:538" x14ac:dyDescent="0.25">
      <c r="A420" t="s">
        <v>2316</v>
      </c>
      <c r="B420" t="s">
        <v>2315</v>
      </c>
      <c r="C420" t="s">
        <v>498</v>
      </c>
      <c r="P420" t="s">
        <v>482</v>
      </c>
      <c r="T420" s="14" t="s">
        <v>2185</v>
      </c>
      <c r="U420">
        <v>1</v>
      </c>
      <c r="V420" t="s">
        <v>2232</v>
      </c>
      <c r="X420" t="str">
        <f>IF(COUNTIF(X$379:X419,X419)&gt;7,REPLACE(X419,LEN(X419),1,VALUE(RIGHT(X419,1))+1),X419)</f>
        <v>A3.7</v>
      </c>
      <c r="Y420" s="43" cm="1">
        <f t="array" ref="Y420">IF(COUNTIFS($X$379:$X420,$X420)=1,"1",VALUE(SUBSTITUTE(INDEX(Y:Y,_xlfn.XMATCH($X420,$X$1:$X419,0,-1)),"A",""))+INDEX(Z:Z,_xlfn.XMATCH($X420,$X$1:$X419,0,-1))+1)</f>
        <v>5</v>
      </c>
      <c r="Z420" s="43" cm="1">
        <f t="array" ref="Z420">SUM(IF(ISNUMBER(FIND("TmAi",$BE$1:$AAL$1)),IF(IFERROR(ISODD(SUBSTITUTE($BE420:$AAL420,"A","")),FALSE),IF(ISODD(SUBSTITUTE($BE420:$AAL420,"A","")),1,0),0)))</f>
        <v>0</v>
      </c>
      <c r="AA420" t="str">
        <f t="shared" si="1823"/>
        <v>9B</v>
      </c>
      <c r="AB420" t="str">
        <f t="shared" si="1824"/>
        <v>10B</v>
      </c>
      <c r="AP420" t="s">
        <v>2187</v>
      </c>
      <c r="AS420" t="s">
        <v>396</v>
      </c>
      <c r="JZ420" s="27" t="str">
        <f t="shared" si="1831"/>
        <v>XT1</v>
      </c>
      <c r="KC420" t="str">
        <f t="shared" si="1832"/>
        <v>N1-AI7-9B</v>
      </c>
      <c r="KD420" t="str">
        <f t="shared" si="1833"/>
        <v>N1-AI7-10B</v>
      </c>
      <c r="KI420" cm="1">
        <f t="array" ref="KI420">IF(COUNTIFS($U$2:$U420,$U420)=1,1,INDEX(KI:KI,_xlfn.XMATCH(U420,U$1:U419,0,-1))+COUNT(KI419:KM419))</f>
        <v>124</v>
      </c>
      <c r="KJ420">
        <f t="shared" ref="KJ420:KK420" si="1873">KI420+1</f>
        <v>125</v>
      </c>
      <c r="KK420">
        <f t="shared" si="1873"/>
        <v>126</v>
      </c>
      <c r="KN420">
        <v>1</v>
      </c>
      <c r="KO420" s="16">
        <v>2</v>
      </c>
      <c r="KS420" s="16"/>
    </row>
    <row r="421" spans="1:538" x14ac:dyDescent="0.25">
      <c r="A421" t="s">
        <v>2318</v>
      </c>
      <c r="B421" t="s">
        <v>2317</v>
      </c>
      <c r="C421" t="s">
        <v>492</v>
      </c>
      <c r="P421" t="s">
        <v>482</v>
      </c>
      <c r="T421" s="14" t="s">
        <v>2185</v>
      </c>
      <c r="U421">
        <v>1</v>
      </c>
      <c r="V421" t="s">
        <v>2233</v>
      </c>
      <c r="X421" t="str">
        <f>IF(COUNTIF(X$379:X420,X420)&gt;7,REPLACE(X420,LEN(X420),1,VALUE(RIGHT(X420,1))+1),X420)</f>
        <v>A3.7</v>
      </c>
      <c r="Y421" s="43" cm="1">
        <f t="array" ref="Y421">IF(COUNTIFS($X$379:$X421,$X421)=1,"1",VALUE(SUBSTITUTE(INDEX(Y:Y,_xlfn.XMATCH($X421,$X$1:$X420,0,-1)),"A",""))+INDEX(Z:Z,_xlfn.XMATCH($X421,$X$1:$X420,0,-1))+1)</f>
        <v>6</v>
      </c>
      <c r="Z421" s="43" cm="1">
        <f t="array" ref="Z421">SUM(IF(ISNUMBER(FIND("TmAi",$BE$1:$AAL$1)),IF(IFERROR(ISODD(SUBSTITUTE($BE421:$AAL421,"A","")),FALSE),IF(ISODD(SUBSTITUTE($BE421:$AAL421,"A","")),1,0),0)))</f>
        <v>0</v>
      </c>
      <c r="AA421" t="str">
        <f t="shared" si="1823"/>
        <v>11B</v>
      </c>
      <c r="AB421" t="str">
        <f t="shared" si="1824"/>
        <v>12B</v>
      </c>
      <c r="AP421" t="s">
        <v>2187</v>
      </c>
      <c r="AS421" t="s">
        <v>396</v>
      </c>
      <c r="JZ421" s="27" t="str">
        <f t="shared" si="1831"/>
        <v>XT1</v>
      </c>
      <c r="KC421" t="str">
        <f t="shared" si="1832"/>
        <v>N1-AI7-11B</v>
      </c>
      <c r="KD421" t="str">
        <f t="shared" si="1833"/>
        <v>N1-AI7-12B</v>
      </c>
      <c r="KI421" cm="1">
        <f t="array" ref="KI421">IF(COUNTIFS($U$2:$U421,$U421)=1,1,INDEX(KI:KI,_xlfn.XMATCH(U421,U$1:U420,0,-1))+COUNT(KI420:KM420))</f>
        <v>127</v>
      </c>
      <c r="KJ421">
        <f t="shared" ref="KJ421:KK421" si="1874">KI421+1</f>
        <v>128</v>
      </c>
      <c r="KK421">
        <f t="shared" si="1874"/>
        <v>129</v>
      </c>
      <c r="KN421">
        <v>1</v>
      </c>
      <c r="KO421" s="16">
        <v>2</v>
      </c>
      <c r="KS421" s="16"/>
    </row>
    <row r="422" spans="1:538" x14ac:dyDescent="0.25">
      <c r="A422" t="s">
        <v>2320</v>
      </c>
      <c r="B422" t="s">
        <v>2319</v>
      </c>
      <c r="C422" t="s">
        <v>498</v>
      </c>
      <c r="P422" t="s">
        <v>482</v>
      </c>
      <c r="T422" s="14" t="s">
        <v>2185</v>
      </c>
      <c r="U422">
        <v>1</v>
      </c>
      <c r="V422" t="s">
        <v>2234</v>
      </c>
      <c r="X422" t="s">
        <v>2329</v>
      </c>
      <c r="Y422" s="43" t="str" cm="1">
        <f t="array" ref="Y422">IF(COUNTIFS($X$379:$X422,$X422)=1,"1",VALUE(SUBSTITUTE(INDEX(Y:Y,_xlfn.XMATCH($X422,$X$1:$X421,0,-1)),"A",""))+INDEX(Z:Z,_xlfn.XMATCH($X422,$X$1:$X421,0,-1))+1)</f>
        <v>1</v>
      </c>
      <c r="Z422" s="43" cm="1">
        <f t="array" ref="Z422">SUM(IF(ISNUMBER(FIND("TmAi",$BE$1:$AAL$1)),IF(IFERROR(ISODD(SUBSTITUTE($BE422:$AAL422,"A","")),FALSE),IF(ISODD(SUBSTITUTE($BE422:$AAL422,"A","")),1,0),0)))</f>
        <v>0</v>
      </c>
      <c r="AA422" t="str">
        <f t="shared" si="1823"/>
        <v>1B</v>
      </c>
      <c r="AB422" t="str">
        <f t="shared" si="1824"/>
        <v>2B</v>
      </c>
      <c r="AP422" t="s">
        <v>2187</v>
      </c>
      <c r="AS422" t="s">
        <v>396</v>
      </c>
      <c r="JZ422" s="27" t="str">
        <f t="shared" si="1831"/>
        <v>XT1</v>
      </c>
      <c r="KC422" t="str">
        <f t="shared" si="1832"/>
        <v>N1-AI8-1B</v>
      </c>
      <c r="KD422" t="str">
        <f t="shared" si="1833"/>
        <v>N1-AI8-2B</v>
      </c>
      <c r="KI422" cm="1">
        <f t="array" ref="KI422">IF(COUNTIFS($U$2:$U422,$U422)=1,1,INDEX(KI:KI,_xlfn.XMATCH(U422,U$1:U421,0,-1))+COUNT(KI421:KM421))</f>
        <v>130</v>
      </c>
      <c r="KJ422">
        <f t="shared" ref="KJ422:KK422" si="1875">KI422+1</f>
        <v>131</v>
      </c>
      <c r="KK422">
        <f t="shared" si="1875"/>
        <v>132</v>
      </c>
      <c r="KN422">
        <v>1</v>
      </c>
      <c r="KO422" s="16">
        <v>2</v>
      </c>
      <c r="KS422" s="16"/>
    </row>
    <row r="423" spans="1:538" x14ac:dyDescent="0.25">
      <c r="A423" t="s">
        <v>2322</v>
      </c>
      <c r="B423" t="s">
        <v>2321</v>
      </c>
      <c r="C423" t="s">
        <v>498</v>
      </c>
      <c r="P423" t="s">
        <v>482</v>
      </c>
      <c r="T423" s="14" t="s">
        <v>2185</v>
      </c>
      <c r="U423">
        <v>1</v>
      </c>
      <c r="V423" t="s">
        <v>2235</v>
      </c>
      <c r="X423" t="str">
        <f>IF(COUNTIF(X$379:X422,X422)&gt;7,REPLACE(X422,LEN(X422),1,VALUE(RIGHT(X422,1))+1),X422)</f>
        <v>A3.8</v>
      </c>
      <c r="Y423" s="43" cm="1">
        <f t="array" ref="Y423">IF(COUNTIFS($X$379:$X423,$X423)=1,"1",VALUE(SUBSTITUTE(INDEX(Y:Y,_xlfn.XMATCH($X423,$X$1:$X422,0,-1)),"A",""))+INDEX(Z:Z,_xlfn.XMATCH($X423,$X$1:$X422,0,-1))+1)</f>
        <v>2</v>
      </c>
      <c r="Z423" s="43" cm="1">
        <f t="array" ref="Z423">SUM(IF(ISNUMBER(FIND("TmAi",$BE$1:$AAL$1)),IF(IFERROR(ISODD(SUBSTITUTE($BE423:$AAL423,"A","")),FALSE),IF(ISODD(SUBSTITUTE($BE423:$AAL423,"A","")),1,0),0)))</f>
        <v>0</v>
      </c>
      <c r="AA423" t="str">
        <f t="shared" si="1823"/>
        <v>3B</v>
      </c>
      <c r="AB423" t="str">
        <f t="shared" si="1824"/>
        <v>4B</v>
      </c>
      <c r="AP423" t="s">
        <v>2187</v>
      </c>
      <c r="AS423" t="s">
        <v>396</v>
      </c>
      <c r="JZ423" s="27" t="str">
        <f t="shared" si="1831"/>
        <v>XT1</v>
      </c>
      <c r="KC423" t="str">
        <f t="shared" si="1832"/>
        <v>N1-AI8-3B</v>
      </c>
      <c r="KD423" t="str">
        <f t="shared" si="1833"/>
        <v>N1-AI8-4B</v>
      </c>
      <c r="KI423" cm="1">
        <f t="array" ref="KI423">IF(COUNTIFS($U$2:$U423,$U423)=1,1,INDEX(KI:KI,_xlfn.XMATCH(U423,U$1:U422,0,-1))+COUNT(KI422:KM422))</f>
        <v>133</v>
      </c>
      <c r="KJ423">
        <f t="shared" ref="KJ423:KK423" si="1876">KI423+1</f>
        <v>134</v>
      </c>
      <c r="KK423">
        <f t="shared" si="1876"/>
        <v>135</v>
      </c>
      <c r="KN423">
        <v>1</v>
      </c>
      <c r="KO423" s="16">
        <v>2</v>
      </c>
      <c r="KS423" s="16"/>
    </row>
    <row r="424" spans="1:538" x14ac:dyDescent="0.25">
      <c r="A424" t="s">
        <v>2324</v>
      </c>
      <c r="B424" t="s">
        <v>2323</v>
      </c>
      <c r="C424" t="s">
        <v>498</v>
      </c>
      <c r="P424" t="s">
        <v>482</v>
      </c>
      <c r="T424" s="14" t="s">
        <v>2185</v>
      </c>
      <c r="U424">
        <v>1</v>
      </c>
      <c r="V424" t="s">
        <v>2236</v>
      </c>
      <c r="X424" t="str">
        <f>IF(COUNTIF(X$379:X423,X423)&gt;7,REPLACE(X423,LEN(X423),1,VALUE(RIGHT(X423,1))+1),X423)</f>
        <v>A3.8</v>
      </c>
      <c r="Y424" s="43" cm="1">
        <f t="array" ref="Y424">IF(COUNTIFS($X$379:$X424,$X424)=1,"1",VALUE(SUBSTITUTE(INDEX(Y:Y,_xlfn.XMATCH($X424,$X$1:$X423,0,-1)),"A",""))+INDEX(Z:Z,_xlfn.XMATCH($X424,$X$1:$X423,0,-1))+1)</f>
        <v>3</v>
      </c>
      <c r="Z424" s="43" cm="1">
        <f t="array" ref="Z424">SUM(IF(ISNUMBER(FIND("TmAi",$BE$1:$AAL$1)),IF(IFERROR(ISODD(SUBSTITUTE($BE424:$AAL424,"A","")),FALSE),IF(ISODD(SUBSTITUTE($BE424:$AAL424,"A","")),1,0),0)))</f>
        <v>0</v>
      </c>
      <c r="AA424" t="str">
        <f t="shared" si="1823"/>
        <v>5B</v>
      </c>
      <c r="AB424" t="str">
        <f t="shared" si="1824"/>
        <v>6B</v>
      </c>
      <c r="AP424" t="s">
        <v>2187</v>
      </c>
      <c r="AS424" t="s">
        <v>396</v>
      </c>
      <c r="JZ424" s="27" t="str">
        <f t="shared" si="1831"/>
        <v>XT1</v>
      </c>
      <c r="KC424" t="str">
        <f t="shared" si="1832"/>
        <v>N1-AI8-5B</v>
      </c>
      <c r="KD424" t="str">
        <f t="shared" si="1833"/>
        <v>N1-AI8-6B</v>
      </c>
      <c r="KI424" cm="1">
        <f t="array" ref="KI424">IF(COUNTIFS($U$2:$U424,$U424)=1,1,INDEX(KI:KI,_xlfn.XMATCH(U424,U$1:U423,0,-1))+COUNT(KI423:KM423))</f>
        <v>136</v>
      </c>
      <c r="KJ424">
        <f t="shared" ref="KJ424:KK424" si="1877">KI424+1</f>
        <v>137</v>
      </c>
      <c r="KK424">
        <f t="shared" si="1877"/>
        <v>138</v>
      </c>
      <c r="KN424">
        <v>1</v>
      </c>
      <c r="KO424" s="16">
        <v>2</v>
      </c>
      <c r="KS424" s="16"/>
    </row>
    <row r="425" spans="1:538" ht="15.75" thickBot="1" x14ac:dyDescent="0.3">
      <c r="A425" t="s">
        <v>2326</v>
      </c>
      <c r="B425" t="s">
        <v>2325</v>
      </c>
      <c r="C425" t="s">
        <v>498</v>
      </c>
      <c r="P425" t="s">
        <v>482</v>
      </c>
      <c r="T425" s="14" t="s">
        <v>2185</v>
      </c>
      <c r="U425">
        <v>1</v>
      </c>
      <c r="V425" t="s">
        <v>2237</v>
      </c>
      <c r="X425" t="str">
        <f>IF(COUNTIF(X$379:X424,X424)&gt;7,REPLACE(X424,LEN(X424),1,VALUE(RIGHT(X424,1))+1),X424)</f>
        <v>A3.8</v>
      </c>
      <c r="Y425" s="43" cm="1">
        <f t="array" ref="Y425">IF(COUNTIFS($X$379:$X425,$X425)=1,"1",VALUE(SUBSTITUTE(INDEX(Y:Y,_xlfn.XMATCH($X425,$X$1:$X424,0,-1)),"A",""))+INDEX(Z:Z,_xlfn.XMATCH($X425,$X$1:$X424,0,-1))+1)</f>
        <v>4</v>
      </c>
      <c r="Z425" s="43" cm="1">
        <f t="array" ref="Z425">SUM(IF(ISNUMBER(FIND("TmAi",$BE$1:$AAL$1)),IF(IFERROR(ISODD(SUBSTITUTE($BE425:$AAL425,"A","")),FALSE),IF(ISODD(SUBSTITUTE($BE425:$AAL425,"A","")),1,0),0)))</f>
        <v>0</v>
      </c>
      <c r="AA425" t="str">
        <f t="shared" si="1823"/>
        <v>7B</v>
      </c>
      <c r="AB425" t="str">
        <f t="shared" si="1824"/>
        <v>8B</v>
      </c>
      <c r="AP425" t="s">
        <v>2187</v>
      </c>
      <c r="AS425" t="s">
        <v>396</v>
      </c>
      <c r="JZ425" s="27" t="str">
        <f t="shared" si="1831"/>
        <v>XT1</v>
      </c>
      <c r="KC425" t="str">
        <f t="shared" si="1832"/>
        <v>N1-AI8-7B</v>
      </c>
      <c r="KD425" t="str">
        <f t="shared" si="1833"/>
        <v>N1-AI8-8B</v>
      </c>
      <c r="KI425" cm="1">
        <f t="array" ref="KI425">IF(COUNTIFS($U$2:$U425,$U425)=1,1,INDEX(KI:KI,_xlfn.XMATCH(U425,U$1:U424,0,-1))+COUNT(KI424:KM424))</f>
        <v>139</v>
      </c>
      <c r="KJ425">
        <f t="shared" ref="KJ425:KK425" si="1878">KI425+1</f>
        <v>140</v>
      </c>
      <c r="KK425">
        <f t="shared" si="1878"/>
        <v>141</v>
      </c>
      <c r="KN425">
        <v>1</v>
      </c>
      <c r="KO425" s="16">
        <v>2</v>
      </c>
      <c r="KS425" s="16"/>
    </row>
    <row r="426" spans="1:538" x14ac:dyDescent="0.25">
      <c r="A426" t="s">
        <v>2335</v>
      </c>
      <c r="B426" s="34" t="s">
        <v>2337</v>
      </c>
      <c r="C426" t="s">
        <v>1012</v>
      </c>
      <c r="P426" t="s">
        <v>1011</v>
      </c>
      <c r="T426" s="14" t="s">
        <v>2185</v>
      </c>
      <c r="U426">
        <v>2</v>
      </c>
      <c r="W426" t="s">
        <v>2238</v>
      </c>
      <c r="X426" t="s">
        <v>1055</v>
      </c>
      <c r="Y426" s="43" t="str" cm="1">
        <f t="array" ref="Y426">IF(COUNTIFS($X$379:$X426,$X426)=1,"1",VALUE(SUBSTITUTE(INDEX(Y:Y,_xlfn.XMATCH($X426,$X$1:$X425,0,-1)),"A",""))+INDEX(Z:Z,_xlfn.XMATCH($X426,$X$1:$X425,0,-1))+1)</f>
        <v>1</v>
      </c>
      <c r="Z426" s="43" cm="1">
        <f t="array" ref="Z426">SUM(IF(ISNUMBER(FIND("TmAi",$BE$1:$AAL$1)),IF(IFERROR(ISODD(SUBSTITUTE($BE426:$AAL426,"A","")),FALSE),IF(ISODD(SUBSTITUTE($BE426:$AAL426,"A","")),1,0),0)))</f>
        <v>1</v>
      </c>
      <c r="AA426" t="str">
        <f t="shared" ref="AA426:AA433" si="1879">CONCATENATE($Y426*2-1,"A")</f>
        <v>1A</v>
      </c>
      <c r="AB426" t="str">
        <f t="shared" ref="AB426:AB433" si="1880">CONCATENATE($Y426*2-1,"B")</f>
        <v>1B</v>
      </c>
      <c r="AP426" t="s">
        <v>2187</v>
      </c>
      <c r="AR426" t="s">
        <v>2370</v>
      </c>
      <c r="AS426" t="s">
        <v>396</v>
      </c>
      <c r="OG426" s="25" t="str">
        <f>CONCATENATE("XT",$U426)</f>
        <v>XT2</v>
      </c>
      <c r="OH426" s="12" t="s">
        <v>2341</v>
      </c>
      <c r="OI426" s="12" t="s">
        <v>2345</v>
      </c>
      <c r="OJ426" s="12"/>
      <c r="OK426" s="12"/>
      <c r="OL426" s="12" t="str">
        <f>CONCATENATE(REPLACE($AA426,LEN($AA426),1,"")+1,RIGHT($AA426))</f>
        <v>2A</v>
      </c>
      <c r="OM426" s="12" t="str">
        <f>CONCATENATE(REPLACE($AB426,LEN($AB426),1,"")+1,RIGHT($AB426))</f>
        <v>2B</v>
      </c>
      <c r="ON426" s="12" t="str">
        <f>CONCATENATE(REPLACE(OL426,LEN(OL426),1,"")+1,RIGHT(OL426))</f>
        <v>3A</v>
      </c>
      <c r="OO426" s="12" t="str">
        <f t="shared" ref="OO426:OO428" si="1881">CONCATENATE(REPLACE(OM426,LEN(OM426),1,"")+1,RIGHT(OM426))</f>
        <v>3B</v>
      </c>
      <c r="OP426" s="12" t="str">
        <f t="shared" ref="OP426:OP428" si="1882">CONCATENATE(REPLACE(ON426,LEN(ON426),1,"")+1,RIGHT(ON426))</f>
        <v>4A</v>
      </c>
      <c r="OQ426" s="12" t="str">
        <f t="shared" ref="OQ426:OQ428" si="1883">CONCATENATE(REPLACE(OO426,LEN(OO426),1,"")+1,RIGHT(OO426))</f>
        <v>4B</v>
      </c>
      <c r="OR426" s="12"/>
      <c r="OS426" s="12"/>
      <c r="OT426" s="12"/>
      <c r="OU426" s="12"/>
      <c r="OV426" s="12" t="str">
        <f>CONCATENATE($T426,"-AI",REPLACE($X426,1,3,""),"-",$AA426)</f>
        <v>N1-AI18-1A</v>
      </c>
      <c r="OW426" s="12" t="str">
        <f>CONCATENATE($T426,"-AI",REPLACE($X426,1,3,""),"-",$AB426)</f>
        <v>N1-AI18-1B</v>
      </c>
      <c r="OX426" s="12" t="str">
        <f t="shared" ref="OX426:OX428" si="1884">CONCATENATE($T426,"-AI",REPLACE($X426,1,3,""),"-",OL426)</f>
        <v>N1-AI18-2A</v>
      </c>
      <c r="OY426" s="12" t="str">
        <f t="shared" ref="OY426:OY428" si="1885">CONCATENATE($T426,"-AI",REPLACE($X426,1,3,""),"-",OM426)</f>
        <v>N1-AI18-2B</v>
      </c>
      <c r="OZ426" s="12" t="str">
        <f t="shared" ref="OZ426:OZ428" si="1886">CONCATENATE($T426,"-AI",REPLACE($X426,1,3,""),"-",ON426)</f>
        <v>N1-AI18-3A</v>
      </c>
      <c r="PA426" s="12" t="str">
        <f t="shared" ref="PA426:PA428" si="1887">CONCATENATE($T426,"-AI",REPLACE($X426,1,3,""),"-",OO426)</f>
        <v>N1-AI18-3B</v>
      </c>
      <c r="PB426" s="12" t="str">
        <f t="shared" ref="PB426:PB428" si="1888">CONCATENATE($T426,"-AI",REPLACE($X426,1,3,""),"-",OP426)</f>
        <v>N1-AI18-4A</v>
      </c>
      <c r="PC426" s="12" t="str">
        <f t="shared" ref="PC426:PC428" si="1889">CONCATENATE($T426,"-AI",REPLACE($X426,1,3,""),"-",OQ426)</f>
        <v>N1-AI18-4B</v>
      </c>
      <c r="PD426" s="12"/>
      <c r="PE426" s="12"/>
      <c r="PF426" s="12"/>
      <c r="PG426" s="12"/>
      <c r="PH426" s="12" cm="1">
        <f t="array" ref="PH426">IF(COUNTIFS($U$379:$U426,$U426)=1,1,INDEX(PH:PH,_xlfn.XMATCH($U426,$U$379:EF425,0,-1))+COUNT(PH425:PM425))</f>
        <v>1</v>
      </c>
      <c r="PI426" s="12">
        <f t="shared" ref="PI426:PI428" si="1890">PH426+1</f>
        <v>2</v>
      </c>
      <c r="PJ426" s="12">
        <f t="shared" ref="PJ426:PJ428" si="1891">PI426+1</f>
        <v>3</v>
      </c>
      <c r="PK426" s="12">
        <f>PJ426+1</f>
        <v>4</v>
      </c>
      <c r="PL426" s="12">
        <f t="shared" ref="PL426:PL428" si="1892">PK426+1</f>
        <v>5</v>
      </c>
      <c r="PM426" s="12">
        <f t="shared" ref="PM426:PM428" si="1893">PL426+1</f>
        <v>6</v>
      </c>
      <c r="PN426" s="12"/>
      <c r="PO426" s="12"/>
      <c r="PP426" s="12"/>
      <c r="PQ426" s="12">
        <v>1</v>
      </c>
      <c r="PR426" s="12">
        <v>2</v>
      </c>
      <c r="PS426" s="12">
        <v>3</v>
      </c>
      <c r="PT426" s="12">
        <v>4</v>
      </c>
      <c r="PU426" s="12">
        <v>5</v>
      </c>
      <c r="PV426" s="13">
        <v>6</v>
      </c>
    </row>
    <row r="427" spans="1:538" ht="15.75" thickBot="1" x14ac:dyDescent="0.3">
      <c r="A427" t="s">
        <v>2336</v>
      </c>
      <c r="B427" t="s">
        <v>2338</v>
      </c>
      <c r="C427" t="s">
        <v>1012</v>
      </c>
      <c r="P427" t="s">
        <v>1011</v>
      </c>
      <c r="T427" s="14" t="s">
        <v>2185</v>
      </c>
      <c r="U427">
        <v>2</v>
      </c>
      <c r="W427" t="s">
        <v>2330</v>
      </c>
      <c r="X427" t="str">
        <f>IF(COUNTIF(X$379:X426,X426)&gt;7,REPLACE(X426,LEN(X426),1,VALUE(RIGHT(X426,1))+1),X426)</f>
        <v>A3.18</v>
      </c>
      <c r="Y427" s="43" cm="1">
        <f t="array" ref="Y427">IF(COUNTIFS($X$379:$X427,$X427)=1,"1",VALUE(SUBSTITUTE(INDEX(Y:Y,_xlfn.XMATCH($X427,$X$1:$X426,0,-1)),"A",""))+INDEX(Z:Z,_xlfn.XMATCH($X427,$X$1:$X426,0,-1))+1)</f>
        <v>3</v>
      </c>
      <c r="Z427" s="43" cm="1">
        <f t="array" ref="Z427">SUM(IF(ISNUMBER(FIND("TmAi",$BE$1:$AAL$1)),IF(IFERROR(ISODD(SUBSTITUTE($BE427:$AAL427,"A","")),FALSE),IF(ISODD(SUBSTITUTE($BE427:$AAL427,"A","")),1,0),0)))</f>
        <v>1</v>
      </c>
      <c r="AA427" t="str">
        <f t="shared" si="1879"/>
        <v>5A</v>
      </c>
      <c r="AB427" t="str">
        <f t="shared" si="1880"/>
        <v>5B</v>
      </c>
      <c r="AP427" t="s">
        <v>2187</v>
      </c>
      <c r="AR427" t="s">
        <v>2370</v>
      </c>
      <c r="AS427" t="s">
        <v>396</v>
      </c>
      <c r="OG427" s="27" t="str">
        <f t="shared" ref="OG427:OG428" si="1894">CONCATENATE("XT",$U427)</f>
        <v>XT2</v>
      </c>
      <c r="OH427" t="s">
        <v>2342</v>
      </c>
      <c r="OI427" t="s">
        <v>2346</v>
      </c>
      <c r="OL427" t="str">
        <f t="shared" ref="OL427:OL428" si="1895">CONCATENATE(REPLACE($AA427,LEN($AA427),1,"")+1,RIGHT($AA427))</f>
        <v>6A</v>
      </c>
      <c r="OM427" t="str">
        <f t="shared" ref="OM427:OM428" si="1896">CONCATENATE(REPLACE($AB427,LEN($AB427),1,"")+1,RIGHT($AB427))</f>
        <v>6B</v>
      </c>
      <c r="ON427" t="str">
        <f t="shared" ref="ON427:ON428" si="1897">CONCATENATE(REPLACE(OL427,LEN(OL427),1,"")+1,RIGHT(OL427))</f>
        <v>7A</v>
      </c>
      <c r="OO427" t="str">
        <f t="shared" si="1881"/>
        <v>7B</v>
      </c>
      <c r="OP427" t="str">
        <f t="shared" si="1882"/>
        <v>8A</v>
      </c>
      <c r="OQ427" t="str">
        <f t="shared" si="1883"/>
        <v>8B</v>
      </c>
      <c r="OV427" t="str">
        <f>CONCATENATE($T427,"-AI",REPLACE($X427,1,3,""),"-",$AA427)</f>
        <v>N1-AI18-5A</v>
      </c>
      <c r="OW427" t="str">
        <f>CONCATENATE($T427,"-AI",REPLACE($X427,1,3,""),"-",$AB427)</f>
        <v>N1-AI18-5B</v>
      </c>
      <c r="OX427" t="str">
        <f t="shared" si="1884"/>
        <v>N1-AI18-6A</v>
      </c>
      <c r="OY427" t="str">
        <f t="shared" si="1885"/>
        <v>N1-AI18-6B</v>
      </c>
      <c r="OZ427" t="str">
        <f t="shared" si="1886"/>
        <v>N1-AI18-7A</v>
      </c>
      <c r="PA427" t="str">
        <f t="shared" si="1887"/>
        <v>N1-AI18-7B</v>
      </c>
      <c r="PB427" t="str">
        <f t="shared" si="1888"/>
        <v>N1-AI18-8A</v>
      </c>
      <c r="PC427" t="str">
        <f t="shared" si="1889"/>
        <v>N1-AI18-8B</v>
      </c>
      <c r="PH427" cm="1">
        <f t="array" ref="PH427">IF(COUNTIFS($U$2:$U427,$U427)=1,1,INDEX(PH:PH,_xlfn.XMATCH($U427,$U$1:$U426,0,-1))+COUNT(PH426:PM426))</f>
        <v>7</v>
      </c>
      <c r="PI427">
        <f t="shared" si="1890"/>
        <v>8</v>
      </c>
      <c r="PJ427">
        <f t="shared" si="1891"/>
        <v>9</v>
      </c>
      <c r="PK427">
        <f t="shared" ref="PK427:PK428" si="1898">PJ427+1</f>
        <v>10</v>
      </c>
      <c r="PL427">
        <f t="shared" si="1892"/>
        <v>11</v>
      </c>
      <c r="PM427">
        <f t="shared" si="1893"/>
        <v>12</v>
      </c>
      <c r="PQ427">
        <v>7</v>
      </c>
      <c r="PR427">
        <v>8</v>
      </c>
      <c r="PS427">
        <v>9</v>
      </c>
      <c r="PT427">
        <v>10</v>
      </c>
      <c r="PU427">
        <v>11</v>
      </c>
      <c r="PV427" s="16">
        <v>12</v>
      </c>
    </row>
    <row r="428" spans="1:538" ht="15.75" thickBot="1" x14ac:dyDescent="0.3">
      <c r="A428" t="s">
        <v>2339</v>
      </c>
      <c r="B428" t="s">
        <v>2362</v>
      </c>
      <c r="C428" t="s">
        <v>1012</v>
      </c>
      <c r="P428" t="s">
        <v>1047</v>
      </c>
      <c r="T428" s="14" t="s">
        <v>2185</v>
      </c>
      <c r="U428">
        <v>2</v>
      </c>
      <c r="W428" t="s">
        <v>2331</v>
      </c>
      <c r="X428" t="str">
        <f>IF(COUNTIF(X$379:X427,X427)&gt;7,REPLACE(X427,LEN(X427),1,VALUE(RIGHT(X427,1))+1),X427)</f>
        <v>A3.18</v>
      </c>
      <c r="Y428" s="43" cm="1">
        <f t="array" ref="Y428">IF(COUNTIFS($X$379:$X428,$X428)=1,"1",VALUE(SUBSTITUTE(INDEX(Y:Y,_xlfn.XMATCH($X428,$X$1:$X427,0,-1)),"A",""))+INDEX(Z:Z,_xlfn.XMATCH($X428,$X$1:$X427,0,-1))+1)</f>
        <v>5</v>
      </c>
      <c r="Z428" s="43" cm="1">
        <f t="array" ref="Z428">SUM(IF(ISNUMBER(FIND("TmAi",$BE$1:$AAL$1)),IF(IFERROR(ISODD(SUBSTITUTE($BE428:$AAL428,"A","")),FALSE),IF(ISODD(SUBSTITUTE($BE428:$AAL428,"A","")),1,0),0)))</f>
        <v>2</v>
      </c>
      <c r="AA428" t="str">
        <f t="shared" si="1879"/>
        <v>9A</v>
      </c>
      <c r="AB428" t="str">
        <f t="shared" si="1880"/>
        <v>9B</v>
      </c>
      <c r="AP428" t="s">
        <v>2187</v>
      </c>
      <c r="AR428" t="s">
        <v>2371</v>
      </c>
      <c r="AS428" t="s">
        <v>396</v>
      </c>
      <c r="OG428" s="27" t="str">
        <f t="shared" si="1894"/>
        <v>XT2</v>
      </c>
      <c r="OH428" t="s">
        <v>2343</v>
      </c>
      <c r="OI428" t="s">
        <v>2347</v>
      </c>
      <c r="OJ428" t="s">
        <v>2344</v>
      </c>
      <c r="OK428" t="s">
        <v>2348</v>
      </c>
      <c r="OL428" t="str">
        <f t="shared" si="1895"/>
        <v>10A</v>
      </c>
      <c r="OM428" t="str">
        <f t="shared" si="1896"/>
        <v>10B</v>
      </c>
      <c r="ON428" t="str">
        <f t="shared" si="1897"/>
        <v>11A</v>
      </c>
      <c r="OO428" t="str">
        <f t="shared" si="1881"/>
        <v>11B</v>
      </c>
      <c r="OP428" t="str">
        <f t="shared" si="1882"/>
        <v>12A</v>
      </c>
      <c r="OQ428" t="str">
        <f t="shared" si="1883"/>
        <v>12B</v>
      </c>
      <c r="OR428" t="str">
        <f t="shared" ref="OR428" si="1899">CONCATENATE(REPLACE(OP428,LEN(OP428),1,"")+1,RIGHT(OP428))</f>
        <v>13A</v>
      </c>
      <c r="OS428" t="str">
        <f t="shared" ref="OS428" si="1900">CONCATENATE(REPLACE(OQ428,LEN(OQ428),1,"")+1,RIGHT(OQ428))</f>
        <v>13B</v>
      </c>
      <c r="OT428" t="str">
        <f t="shared" ref="OT428" si="1901">CONCATENATE(REPLACE(OR428,LEN(OR428),1,"")+1,RIGHT(OR428))</f>
        <v>14A</v>
      </c>
      <c r="OU428" t="str">
        <f t="shared" ref="OU428" si="1902">CONCATENATE(REPLACE(OS428,LEN(OS428),1,"")+1,RIGHT(OS428))</f>
        <v>14B</v>
      </c>
      <c r="OV428" t="str">
        <f>CONCATENATE($T428,"-AI",REPLACE($X428,1,3,""),"-",$AA428)</f>
        <v>N1-AI18-9A</v>
      </c>
      <c r="OW428" t="str">
        <f>CONCATENATE($T428,"-AI",REPLACE($X428,1,3,""),"-",$AB428)</f>
        <v>N1-AI18-9B</v>
      </c>
      <c r="OX428" t="str">
        <f t="shared" si="1884"/>
        <v>N1-AI18-10A</v>
      </c>
      <c r="OY428" t="str">
        <f t="shared" si="1885"/>
        <v>N1-AI18-10B</v>
      </c>
      <c r="OZ428" t="str">
        <f t="shared" si="1886"/>
        <v>N1-AI18-11A</v>
      </c>
      <c r="PA428" t="str">
        <f t="shared" si="1887"/>
        <v>N1-AI18-11B</v>
      </c>
      <c r="PB428" t="str">
        <f t="shared" si="1888"/>
        <v>N1-AI18-12A</v>
      </c>
      <c r="PC428" t="str">
        <f t="shared" si="1889"/>
        <v>N1-AI18-12B</v>
      </c>
      <c r="PD428" t="str">
        <f t="shared" ref="PD428" si="1903">CONCATENATE($T428,"-AI",REPLACE($X428,1,3,""),"-",OR428)</f>
        <v>N1-AI18-13A</v>
      </c>
      <c r="PE428" t="str">
        <f t="shared" ref="PE428" si="1904">CONCATENATE($T428,"-AI",REPLACE($X428,1,3,""),"-",OS428)</f>
        <v>N1-AI18-13B</v>
      </c>
      <c r="PF428" t="str">
        <f t="shared" ref="PF428" si="1905">CONCATENATE($T428,"-AI",REPLACE($X428,1,3,""),"-",OT428)</f>
        <v>N1-AI18-14A</v>
      </c>
      <c r="PG428" t="str">
        <f t="shared" ref="PG428" si="1906">CONCATENATE($T428,"-AI",REPLACE($X428,1,3,""),"-",OU428)</f>
        <v>N1-AI18-14B</v>
      </c>
      <c r="PH428" cm="1">
        <f t="array" ref="PH428">IF(COUNTIFS($U$2:$U428,$U428)=1,1,INDEX(PH:PH,_xlfn.XMATCH($U428,$U$1:$U427,0,-1))+COUNT(PH427:PM427))</f>
        <v>13</v>
      </c>
      <c r="PI428">
        <f t="shared" si="1890"/>
        <v>14</v>
      </c>
      <c r="PJ428">
        <f t="shared" si="1891"/>
        <v>15</v>
      </c>
      <c r="PK428">
        <f t="shared" si="1898"/>
        <v>16</v>
      </c>
      <c r="PL428">
        <f t="shared" si="1892"/>
        <v>17</v>
      </c>
      <c r="PM428">
        <f t="shared" si="1893"/>
        <v>18</v>
      </c>
      <c r="PN428">
        <f t="shared" ref="PN428" si="1907">PM428+1</f>
        <v>19</v>
      </c>
      <c r="PO428">
        <f t="shared" ref="PO428" si="1908">PN428+1</f>
        <v>20</v>
      </c>
      <c r="PP428">
        <f t="shared" ref="PP428" si="1909">PO428+1</f>
        <v>21</v>
      </c>
      <c r="PQ428">
        <v>1</v>
      </c>
      <c r="PR428">
        <v>2</v>
      </c>
      <c r="PS428">
        <v>3</v>
      </c>
      <c r="PT428">
        <v>4</v>
      </c>
      <c r="PU428">
        <v>5</v>
      </c>
      <c r="PV428">
        <v>6</v>
      </c>
      <c r="PW428" s="12">
        <v>7</v>
      </c>
      <c r="PX428" s="12">
        <v>8</v>
      </c>
      <c r="PY428" s="13">
        <v>9</v>
      </c>
    </row>
    <row r="429" spans="1:538" ht="15.75" thickBot="1" x14ac:dyDescent="0.3">
      <c r="A429" t="s">
        <v>2340</v>
      </c>
      <c r="B429" s="58" t="s">
        <v>2363</v>
      </c>
      <c r="P429" t="s">
        <v>482</v>
      </c>
      <c r="T429" s="14" t="s">
        <v>2185</v>
      </c>
      <c r="U429">
        <v>2</v>
      </c>
      <c r="W429" t="s">
        <v>2332</v>
      </c>
      <c r="X429" t="s">
        <v>2334</v>
      </c>
      <c r="Y429" s="43" t="str" cm="1">
        <f t="array" ref="Y429">IF(COUNTIFS($X$379:$X429,$X429)=1,"1",VALUE(SUBSTITUTE(INDEX(Y:Y,_xlfn.XMATCH($X429,$X$1:$X428,0,-1)),"A",""))+INDEX(Z:Z,_xlfn.XMATCH($X429,$X$1:$X428,0,-1))+1)</f>
        <v>1</v>
      </c>
      <c r="Z429" s="43" cm="1">
        <f t="array" ref="Z429">SUM(IF(ISNUMBER(FIND("TmAi",$BE$1:$AAL$1)),IF(IFERROR(ISODD(SUBSTITUTE($BE429:$AAL429,"A","")),FALSE),IF(ISODD(SUBSTITUTE($BE429:$AAL429,"A","")),1,0),0)))</f>
        <v>0</v>
      </c>
      <c r="AA429" t="str">
        <f t="shared" ref="AA429" si="1910">CONCATENATE($Y429*2-1,"B")</f>
        <v>1B</v>
      </c>
      <c r="AB429" t="str">
        <f t="shared" ref="AB429" si="1911">CONCATENATE($Y429*2,"B")</f>
        <v>2B</v>
      </c>
      <c r="AP429" t="s">
        <v>2187</v>
      </c>
      <c r="AQ429" t="s">
        <v>2369</v>
      </c>
      <c r="AS429" t="s">
        <v>396</v>
      </c>
      <c r="JZ429" s="25" t="str">
        <f>CONCATENATE("XT",U429)</f>
        <v>XT2</v>
      </c>
      <c r="KA429" s="12"/>
      <c r="KB429" s="12"/>
      <c r="KC429" s="12" t="str">
        <f>CONCATENATE(T429,"-AI",REPLACE($X429,1,3,""),"-",AA429)</f>
        <v>N1-AI9-1B</v>
      </c>
      <c r="KD429" s="12" t="str">
        <f>CONCATENATE(T429,"-AI",REPLACE($X429,1,3,""),"-",AB429)</f>
        <v>N1-AI9-2B</v>
      </c>
      <c r="KE429" s="12"/>
      <c r="KF429" s="12"/>
      <c r="KG429" s="12"/>
      <c r="KH429" s="12"/>
      <c r="KI429" s="12">
        <v>22</v>
      </c>
      <c r="KJ429" s="12">
        <f t="shared" ref="KJ429" si="1912">KI429+1</f>
        <v>23</v>
      </c>
      <c r="KK429" s="12">
        <f t="shared" ref="KK429" si="1913">KJ429+1</f>
        <v>24</v>
      </c>
      <c r="KL429" s="12"/>
      <c r="KM429" s="12"/>
      <c r="KN429" s="12" t="s">
        <v>548</v>
      </c>
      <c r="KO429" s="12" t="s">
        <v>548</v>
      </c>
      <c r="KP429" s="12"/>
      <c r="KQ429" s="12"/>
      <c r="KR429" s="12"/>
      <c r="KS429" s="12"/>
      <c r="KT429" s="12"/>
      <c r="KU429" s="12"/>
      <c r="KV429" s="12"/>
      <c r="KW429" s="12"/>
      <c r="KX429" s="12"/>
      <c r="KY429" s="12"/>
      <c r="KZ429" s="12"/>
      <c r="LA429" s="12"/>
      <c r="LB429" s="12"/>
      <c r="LC429" s="12"/>
      <c r="LD429" s="12"/>
      <c r="LE429" s="12"/>
      <c r="LF429" s="12"/>
      <c r="LG429" s="12"/>
      <c r="LH429" s="12"/>
      <c r="LI429" s="12"/>
      <c r="LJ429" s="12"/>
      <c r="LK429" s="12"/>
      <c r="LL429" s="12"/>
      <c r="LM429" s="12"/>
      <c r="LN429" s="12"/>
      <c r="LO429" s="12"/>
      <c r="LP429" s="12"/>
      <c r="LQ429" s="12"/>
      <c r="LR429" s="12"/>
      <c r="LS429" s="12"/>
      <c r="LT429" s="12"/>
      <c r="LU429" s="12"/>
      <c r="LV429" s="12"/>
      <c r="LW429" s="12"/>
      <c r="LX429" s="12"/>
      <c r="LY429" s="12"/>
      <c r="LZ429" s="12"/>
      <c r="MA429" s="12"/>
      <c r="MB429" s="12"/>
      <c r="MC429" s="12"/>
      <c r="MD429" s="12"/>
      <c r="ME429" s="12"/>
      <c r="MF429" s="12"/>
      <c r="MG429" s="12"/>
      <c r="MH429" s="12"/>
      <c r="MI429" s="12"/>
      <c r="MJ429" s="12"/>
      <c r="MK429" s="12"/>
      <c r="ML429" s="12"/>
      <c r="MM429" s="12"/>
      <c r="MN429" s="12"/>
      <c r="MO429" s="12"/>
      <c r="MP429" s="12"/>
      <c r="MQ429" s="12"/>
      <c r="MR429" s="12"/>
      <c r="MS429" s="12"/>
      <c r="MT429" s="12"/>
      <c r="MU429" s="12"/>
      <c r="MV429" s="12"/>
      <c r="MW429" s="12"/>
      <c r="MX429" s="12"/>
      <c r="MY429" s="12"/>
      <c r="MZ429" s="12"/>
      <c r="NA429" s="12"/>
      <c r="NB429" s="12"/>
      <c r="NC429" s="12"/>
      <c r="ND429" s="12"/>
      <c r="NE429" s="12"/>
      <c r="NF429" s="12"/>
      <c r="NG429" s="12"/>
      <c r="NH429" s="12"/>
      <c r="NI429" s="12"/>
      <c r="NJ429" s="12"/>
      <c r="NK429" s="12"/>
      <c r="NL429" s="12"/>
      <c r="NM429" s="12"/>
      <c r="NN429" s="12"/>
      <c r="NO429" s="12"/>
      <c r="NP429" s="12"/>
      <c r="NQ429" s="12"/>
      <c r="NR429" s="12"/>
      <c r="NS429" s="12"/>
      <c r="NT429" s="12"/>
      <c r="NU429" s="12"/>
      <c r="NV429" s="12"/>
      <c r="NW429" s="12"/>
      <c r="NX429" s="12"/>
      <c r="NY429" s="12"/>
      <c r="NZ429" s="12"/>
      <c r="OA429" s="12"/>
      <c r="OB429" s="12"/>
      <c r="OC429" s="12"/>
      <c r="OD429" s="12"/>
      <c r="OE429" s="12"/>
      <c r="OF429" s="12"/>
      <c r="PY429" s="16"/>
    </row>
    <row r="430" spans="1:538" ht="15.75" thickBot="1" x14ac:dyDescent="0.3">
      <c r="A430" t="s">
        <v>2361</v>
      </c>
      <c r="B430" s="33" t="s">
        <v>2364</v>
      </c>
      <c r="P430" t="s">
        <v>1061</v>
      </c>
      <c r="T430" s="14" t="s">
        <v>2185</v>
      </c>
      <c r="U430">
        <v>2</v>
      </c>
      <c r="W430" t="s">
        <v>2333</v>
      </c>
      <c r="X430" t="str">
        <f>IF(COUNTIF(X$379:X429,X429)&gt;7,REPLACE(X429,LEN(X429),1,VALUE(RIGHT(X429,1))+1),X429)</f>
        <v>A3.9</v>
      </c>
      <c r="Y430" s="43" cm="1">
        <f t="array" ref="Y430">IF(COUNTIFS($X$379:$X430,$X430)=1,"1",VALUE(SUBSTITUTE(INDEX(Y:Y,_xlfn.XMATCH($X430,$X$1:$X429,0,-1)),"A",""))+INDEX(Z:Z,_xlfn.XMATCH($X430,$X$1:$X429,0,-1))+1)</f>
        <v>2</v>
      </c>
      <c r="Z430" s="43" cm="1">
        <f t="array" ref="Z430">SUM(IF(ISNUMBER(FIND("TmAi",$BE$1:$AAL$1)),IF(IFERROR(ISODD(SUBSTITUTE($BE430:$AAL430,"A","")),FALSE),IF(ISODD(SUBSTITUTE($BE430:$AAL430,"A","")),1,0),0)))</f>
        <v>11</v>
      </c>
      <c r="AA430" t="str">
        <f t="shared" ref="AA430" si="1914">CONCATENATE($Y430*2-1,"A")</f>
        <v>3A</v>
      </c>
      <c r="AB430" t="str">
        <f t="shared" ref="AB430" si="1915">CONCATENATE($Y430*2-1,"B")</f>
        <v>3B</v>
      </c>
      <c r="AP430" t="s">
        <v>2187</v>
      </c>
      <c r="AR430" t="s">
        <v>2372</v>
      </c>
      <c r="AS430" t="s">
        <v>396</v>
      </c>
      <c r="JZ430" s="28"/>
      <c r="KA430" s="19"/>
      <c r="KB430" s="19"/>
      <c r="KC430" s="19"/>
      <c r="KD430" s="19"/>
      <c r="KE430" s="19"/>
      <c r="KF430" s="19"/>
      <c r="KG430" s="19"/>
      <c r="KH430" s="19"/>
      <c r="KI430" s="19"/>
      <c r="KJ430" s="19"/>
      <c r="KK430" s="19"/>
      <c r="KL430" s="19"/>
      <c r="KM430" s="19"/>
      <c r="KN430" s="19"/>
      <c r="KO430" s="19"/>
      <c r="KP430" s="19"/>
      <c r="KQ430" s="19"/>
      <c r="KR430" s="19"/>
      <c r="KS430" s="19"/>
      <c r="KT430" s="19"/>
      <c r="KU430" s="19"/>
      <c r="KV430" s="19"/>
      <c r="KW430" s="19"/>
      <c r="KX430" s="19"/>
      <c r="KY430" s="19"/>
      <c r="KZ430" s="19"/>
      <c r="LA430" s="19"/>
      <c r="LB430" s="19"/>
      <c r="LC430" s="19"/>
      <c r="LD430" s="19"/>
      <c r="LE430" s="19"/>
      <c r="LF430" s="19"/>
      <c r="LG430" s="19"/>
      <c r="LH430" s="19"/>
      <c r="LI430" s="19"/>
      <c r="LJ430" s="19"/>
      <c r="LK430" s="19"/>
      <c r="LL430" s="19"/>
      <c r="LM430" s="19"/>
      <c r="LN430" s="19"/>
      <c r="LO430" s="19"/>
      <c r="LP430" s="19"/>
      <c r="LQ430" s="19"/>
      <c r="LR430" s="19"/>
      <c r="LS430" s="19"/>
      <c r="LT430" s="19"/>
      <c r="LU430" s="19"/>
      <c r="LV430" s="19"/>
      <c r="LW430" s="19"/>
      <c r="LX430" s="19"/>
      <c r="LY430" s="19"/>
      <c r="LZ430" s="19"/>
      <c r="MA430" s="19"/>
      <c r="MB430" s="19"/>
      <c r="MC430" s="19"/>
      <c r="MD430" s="19"/>
      <c r="ME430" s="19"/>
      <c r="MF430" s="19"/>
      <c r="MG430" s="19"/>
      <c r="MH430" s="19"/>
      <c r="MI430" s="19"/>
      <c r="MJ430" s="19"/>
      <c r="MK430" s="19"/>
      <c r="ML430" s="19"/>
      <c r="MM430" s="19"/>
      <c r="MN430" s="19"/>
      <c r="MO430" s="19"/>
      <c r="MP430" s="19"/>
      <c r="MQ430" s="19"/>
      <c r="MR430" s="19"/>
      <c r="MS430" s="19"/>
      <c r="MT430" s="19"/>
      <c r="MU430" s="19"/>
      <c r="MV430" s="19"/>
      <c r="MW430" s="19"/>
      <c r="MX430" s="19"/>
      <c r="MY430" s="19"/>
      <c r="MZ430" s="19"/>
      <c r="NA430" s="19"/>
      <c r="NB430" s="19"/>
      <c r="NC430" s="19"/>
      <c r="ND430" s="19"/>
      <c r="NE430" s="19"/>
      <c r="NF430" s="19"/>
      <c r="NG430" s="19"/>
      <c r="NH430" s="19"/>
      <c r="NI430" s="19"/>
      <c r="NJ430" s="19"/>
      <c r="NK430" s="19"/>
      <c r="NL430" s="19"/>
      <c r="NM430" s="19"/>
      <c r="NN430" s="19"/>
      <c r="NO430" s="19"/>
      <c r="NP430" s="19"/>
      <c r="NQ430" s="19"/>
      <c r="NR430" s="19"/>
      <c r="NS430" s="19"/>
      <c r="NT430" s="19"/>
      <c r="NU430" s="19"/>
      <c r="NV430" s="19"/>
      <c r="NW430" s="19"/>
      <c r="NX430" s="19"/>
      <c r="NY430" s="19"/>
      <c r="NZ430" s="19"/>
      <c r="OA430" s="19"/>
      <c r="OB430" s="19"/>
      <c r="OC430" s="19"/>
      <c r="OD430" s="19"/>
      <c r="OE430" s="19"/>
      <c r="OF430" s="19"/>
      <c r="OG430" s="19"/>
      <c r="OH430" s="19"/>
      <c r="OI430" s="19"/>
      <c r="OJ430" s="19"/>
      <c r="OK430" s="19"/>
      <c r="OL430" s="19"/>
      <c r="OM430" s="19"/>
      <c r="ON430" s="19"/>
      <c r="OO430" s="19"/>
      <c r="OP430" s="19"/>
      <c r="OQ430" s="19"/>
      <c r="OR430" s="19"/>
      <c r="OS430" s="19"/>
      <c r="OT430" s="19"/>
      <c r="OU430" s="19"/>
      <c r="OV430" s="19"/>
      <c r="OW430" s="19"/>
      <c r="OX430" s="19"/>
      <c r="OY430" s="19"/>
      <c r="OZ430" s="19"/>
      <c r="PA430" s="19"/>
      <c r="PB430" s="19"/>
      <c r="PC430" s="19"/>
      <c r="PD430" s="19"/>
      <c r="PE430" s="19"/>
      <c r="PF430" s="19"/>
      <c r="PG430" s="19"/>
      <c r="PH430" s="19"/>
      <c r="PI430" s="19"/>
      <c r="PJ430" s="19"/>
      <c r="PK430" s="19"/>
      <c r="PL430" s="19"/>
      <c r="PM430" s="19"/>
      <c r="PN430" s="19"/>
      <c r="PO430" s="19"/>
      <c r="PP430" s="19"/>
      <c r="PQ430" s="19"/>
      <c r="PR430" s="19"/>
      <c r="PS430" s="19"/>
      <c r="PT430" s="19"/>
      <c r="PU430" s="19"/>
      <c r="PV430" s="19"/>
      <c r="PW430" s="19"/>
      <c r="PX430" s="19"/>
      <c r="PY430" s="19"/>
      <c r="PZ430" s="23" t="str">
        <f>REPLACE(X430,FIND(".",X430)+1,3,MID(X430,FIND(".",X430)+1,3)+1)</f>
        <v>A3.10</v>
      </c>
      <c r="QA430" s="23" t="str">
        <f>CONCATENATE(VALUE(SUBSTITUTE($AB430,"B",""))+2,"B")</f>
        <v>5B</v>
      </c>
      <c r="QB430" s="23" t="str">
        <f>CONCATENATE(VALUE(SUBSTITUTE($AA430,"A",""))+2,"A")</f>
        <v>5A</v>
      </c>
      <c r="QC430" s="23" t="str">
        <f>CONCATENATE(VALUE(SUBSTITUTE(QA430,"B",""))+2,"B")</f>
        <v>7B</v>
      </c>
      <c r="QD430" s="23" t="str">
        <f>CONCATENATE(VALUE(SUBSTITUTE(QB430,"A",""))+2,"A")</f>
        <v>7A</v>
      </c>
      <c r="QE430" s="23" t="str">
        <f t="shared" ref="QE430" si="1916">CONCATENATE(VALUE(SUBSTITUTE(QC430,"B",""))+2,"B")</f>
        <v>9B</v>
      </c>
      <c r="QF430" s="23" t="str">
        <f t="shared" ref="QF430" si="1917">CONCATENATE(VALUE(SUBSTITUTE(QD430,"A",""))+2,"A")</f>
        <v>9A</v>
      </c>
      <c r="QG430" s="23" t="str">
        <f t="shared" ref="QG430" si="1918">CONCATENATE(VALUE(SUBSTITUTE(QE430,"B",""))+2,"B")</f>
        <v>11B</v>
      </c>
      <c r="QH430" s="23" t="str">
        <f t="shared" ref="QH430" si="1919">CONCATENATE(VALUE(SUBSTITUTE(QF430,"A",""))+2,"A")</f>
        <v>11A</v>
      </c>
      <c r="QI430" s="23" t="str">
        <f t="shared" ref="QI430" si="1920">CONCATENATE(VALUE(SUBSTITUTE(QG430,"B",""))+2,"B")</f>
        <v>13B</v>
      </c>
      <c r="QJ430" s="23" t="str">
        <f t="shared" ref="QJ430" si="1921">CONCATENATE(VALUE(SUBSTITUTE(QH430,"A",""))+2,"A")</f>
        <v>13A</v>
      </c>
      <c r="QK430" s="23" t="s">
        <v>135</v>
      </c>
      <c r="QL430" s="23" t="s">
        <v>136</v>
      </c>
      <c r="QM430" s="23" t="str">
        <f t="shared" ref="QM430" si="1922">CONCATENATE(VALUE(SUBSTITUTE(QK430,"B",""))+2,"B")</f>
        <v>3B</v>
      </c>
      <c r="QN430" s="23" t="str">
        <f t="shared" ref="QN430" si="1923">CONCATENATE(VALUE(SUBSTITUTE(QL430,"A",""))+2,"A")</f>
        <v>3A</v>
      </c>
      <c r="QO430" s="23" t="str">
        <f t="shared" ref="QO430" si="1924">CONCATENATE(VALUE(SUBSTITUTE(QM430,"B",""))+2,"B")</f>
        <v>5B</v>
      </c>
      <c r="QP430" s="23" t="str">
        <f t="shared" ref="QP430" si="1925">CONCATENATE(VALUE(SUBSTITUTE(QN430,"A",""))+2,"A")</f>
        <v>5A</v>
      </c>
      <c r="QQ430" s="23" t="str">
        <f t="shared" ref="QQ430" si="1926">CONCATENATE(VALUE(SUBSTITUTE(QO430,"B",""))+2,"B")</f>
        <v>7B</v>
      </c>
      <c r="QR430" s="23" t="str">
        <f t="shared" ref="QR430" si="1927">CONCATENATE(VALUE(SUBSTITUTE(QP430,"A",""))+2,"A")</f>
        <v>7A</v>
      </c>
      <c r="QS430" s="23" t="str">
        <f t="shared" ref="QS430" si="1928">CONCATENATE(VALUE(SUBSTITUTE(QQ430,"B",""))+2,"B")</f>
        <v>9B</v>
      </c>
      <c r="QT430" s="23" t="str">
        <f t="shared" ref="QT430" si="1929">CONCATENATE(VALUE(SUBSTITUTE(QR430,"A",""))+2,"A")</f>
        <v>9A</v>
      </c>
      <c r="QU430" s="23" t="str">
        <f t="shared" ref="QU430" si="1930">CONCATENATE(VALUE(SUBSTITUTE(QS430,"B",""))+2,"B")</f>
        <v>11B</v>
      </c>
      <c r="QV430" s="23" t="str">
        <f t="shared" ref="QV430" si="1931">CONCATENATE(VALUE(SUBSTITUTE(QT430,"A",""))+2,"A")</f>
        <v>11A</v>
      </c>
      <c r="QW430" s="23" t="str">
        <f>CONCATENATE($T430,"-AI",REPLACE($X430,1,3,""),"-",AB430)</f>
        <v>N1-AI9-3B</v>
      </c>
      <c r="QX430" s="23" t="str">
        <f>CONCATENATE($T430,"-AI",REPLACE($X430,1,3,""),"-",AA430)</f>
        <v>N1-AI9-3A</v>
      </c>
      <c r="QY430" s="23" t="str">
        <f>CONCATENATE($T430,"-AI",REPLACE($X430,1,3,""),"-",QA430)</f>
        <v>N1-AI9-5B</v>
      </c>
      <c r="QZ430" s="23" t="str">
        <f>CONCATENATE($T430,"-AI",REPLACE($X430,1,3,""),"-",QB430)</f>
        <v>N1-AI9-5A</v>
      </c>
      <c r="RA430" s="23" t="str">
        <f t="shared" ref="RA430" si="1932">CONCATENATE($T430,"-AI",REPLACE($X430,1,3,""),"-",QC430)</f>
        <v>N1-AI9-7B</v>
      </c>
      <c r="RB430" s="23" t="str">
        <f t="shared" ref="RB430" si="1933">CONCATENATE($T430,"-AI",REPLACE($X430,1,3,""),"-",QD430)</f>
        <v>N1-AI9-7A</v>
      </c>
      <c r="RC430" s="23" t="str">
        <f t="shared" ref="RC430" si="1934">CONCATENATE($T430,"-AI",REPLACE($X430,1,3,""),"-",QE430)</f>
        <v>N1-AI9-9B</v>
      </c>
      <c r="RD430" s="23" t="str">
        <f t="shared" ref="RD430" si="1935">CONCATENATE($T430,"-AI",REPLACE($X430,1,3,""),"-",QF430)</f>
        <v>N1-AI9-9A</v>
      </c>
      <c r="RE430" s="23" t="str">
        <f t="shared" ref="RE430" si="1936">CONCATENATE($T430,"-AI",REPLACE($X430,1,3,""),"-",QG430)</f>
        <v>N1-AI9-11B</v>
      </c>
      <c r="RF430" s="23" t="str">
        <f t="shared" ref="RF430" si="1937">CONCATENATE($T430,"-AI",REPLACE($X430,1,3,""),"-",QH430)</f>
        <v>N1-AI9-11A</v>
      </c>
      <c r="RG430" s="23" t="str">
        <f t="shared" ref="RG430" si="1938">CONCATENATE($T430,"-AI",REPLACE($X430,1,3,""),"-",QI430)</f>
        <v>N1-AI9-13B</v>
      </c>
      <c r="RH430" s="23" t="str">
        <f t="shared" ref="RH430" si="1939">CONCATENATE($T430,"-AI",REPLACE($X430,1,3,""),"-",QJ430)</f>
        <v>N1-AI9-13A</v>
      </c>
      <c r="RI430" s="23" t="str">
        <f t="shared" ref="RI430" si="1940">CONCATENATE($T430,"-AI",REPLACE($PZ430,1,3,""),"-",QK430)</f>
        <v>N1-AI10-1B</v>
      </c>
      <c r="RJ430" s="23" t="str">
        <f t="shared" ref="RJ430" si="1941">CONCATENATE($T430,"-AI",REPLACE($PZ430,1,3,""),"-",QL430)</f>
        <v>N1-AI10-1A</v>
      </c>
      <c r="RK430" s="23" t="str">
        <f t="shared" ref="RK430" si="1942">CONCATENATE($T430,"-AI",REPLACE($PZ430,1,3,""),"-",QM430)</f>
        <v>N1-AI10-3B</v>
      </c>
      <c r="RL430" s="23" t="str">
        <f t="shared" ref="RL430" si="1943">CONCATENATE($T430,"-AI",REPLACE($PZ430,1,3,""),"-",QN430)</f>
        <v>N1-AI10-3A</v>
      </c>
      <c r="RM430" s="23" t="str">
        <f t="shared" ref="RM430" si="1944">CONCATENATE($T430,"-AI",REPLACE($PZ430,1,3,""),"-",QO430)</f>
        <v>N1-AI10-5B</v>
      </c>
      <c r="RN430" s="23" t="str">
        <f t="shared" ref="RN430" si="1945">CONCATENATE($T430,"-AI",REPLACE($PZ430,1,3,""),"-",QP430)</f>
        <v>N1-AI10-5A</v>
      </c>
      <c r="RO430" s="23" t="str">
        <f t="shared" ref="RO430" si="1946">CONCATENATE($T430,"-AI",REPLACE($PZ430,1,3,""),"-",QQ430)</f>
        <v>N1-AI10-7B</v>
      </c>
      <c r="RP430" s="23" t="str">
        <f t="shared" ref="RP430" si="1947">CONCATENATE($T430,"-AI",REPLACE($PZ430,1,3,""),"-",QR430)</f>
        <v>N1-AI10-7A</v>
      </c>
      <c r="RQ430" s="23" t="str">
        <f t="shared" ref="RQ430" si="1948">CONCATENATE($T430,"-AI",REPLACE($PZ430,1,3,""),"-",QS430)</f>
        <v>N1-AI10-9B</v>
      </c>
      <c r="RR430" s="23" t="str">
        <f t="shared" ref="RR430" si="1949">CONCATENATE($T430,"-AI",REPLACE($PZ430,1,3,""),"-",QT430)</f>
        <v>N1-AI10-9A</v>
      </c>
      <c r="RS430" s="23" t="str">
        <f t="shared" ref="RS430" si="1950">CONCATENATE($T430,"-AI",REPLACE($PZ430,1,3,""),"-",QU430)</f>
        <v>N1-AI10-11B</v>
      </c>
      <c r="RT430" s="23" t="str">
        <f t="shared" ref="RT430" si="1951">CONCATENATE($T430,"-AI",REPLACE($PZ430,1,3,""),"-",QV430)</f>
        <v>N1-AI10-11A</v>
      </c>
      <c r="RU430" s="23" t="str">
        <f t="shared" ref="RU430" si="1952">CONCATENATE("XT",$U430)</f>
        <v>XT2</v>
      </c>
      <c r="RV430" s="23">
        <v>25</v>
      </c>
      <c r="RW430" s="23">
        <f>RV430+1</f>
        <v>26</v>
      </c>
      <c r="RX430" s="23">
        <f t="shared" ref="RX430:SS430" si="1953">RW430+1</f>
        <v>27</v>
      </c>
      <c r="RY430" s="23">
        <f t="shared" si="1953"/>
        <v>28</v>
      </c>
      <c r="RZ430" s="23">
        <f t="shared" si="1953"/>
        <v>29</v>
      </c>
      <c r="SA430" s="23">
        <f t="shared" si="1953"/>
        <v>30</v>
      </c>
      <c r="SB430" s="23">
        <f t="shared" si="1953"/>
        <v>31</v>
      </c>
      <c r="SC430" s="23">
        <f t="shared" si="1953"/>
        <v>32</v>
      </c>
      <c r="SD430" s="23">
        <f t="shared" si="1953"/>
        <v>33</v>
      </c>
      <c r="SE430" s="23">
        <f t="shared" si="1953"/>
        <v>34</v>
      </c>
      <c r="SF430" s="23">
        <f t="shared" si="1953"/>
        <v>35</v>
      </c>
      <c r="SG430" s="23">
        <f t="shared" si="1953"/>
        <v>36</v>
      </c>
      <c r="SH430" s="23">
        <f t="shared" si="1953"/>
        <v>37</v>
      </c>
      <c r="SI430" s="23">
        <f t="shared" si="1953"/>
        <v>38</v>
      </c>
      <c r="SJ430" s="23">
        <f t="shared" si="1953"/>
        <v>39</v>
      </c>
      <c r="SK430" s="23">
        <f t="shared" si="1953"/>
        <v>40</v>
      </c>
      <c r="SL430" s="23">
        <f t="shared" si="1953"/>
        <v>41</v>
      </c>
      <c r="SM430" s="23">
        <f t="shared" si="1953"/>
        <v>42</v>
      </c>
      <c r="SN430" s="23">
        <f t="shared" si="1953"/>
        <v>43</v>
      </c>
      <c r="SO430" s="23">
        <f t="shared" si="1953"/>
        <v>44</v>
      </c>
      <c r="SP430" s="23">
        <f t="shared" si="1953"/>
        <v>45</v>
      </c>
      <c r="SQ430" s="23">
        <f t="shared" si="1953"/>
        <v>46</v>
      </c>
      <c r="SR430" s="23">
        <f t="shared" si="1953"/>
        <v>47</v>
      </c>
      <c r="SS430" s="23">
        <f t="shared" si="1953"/>
        <v>48</v>
      </c>
      <c r="ST430" s="23">
        <f>SS430+1</f>
        <v>49</v>
      </c>
      <c r="SU430" s="23" t="s">
        <v>2349</v>
      </c>
      <c r="SV430" s="23" t="s">
        <v>2350</v>
      </c>
      <c r="SW430" s="23" t="s">
        <v>2351</v>
      </c>
      <c r="SX430" s="23" t="s">
        <v>2352</v>
      </c>
      <c r="SY430" s="23" t="s">
        <v>2353</v>
      </c>
      <c r="SZ430" s="23" t="s">
        <v>2354</v>
      </c>
      <c r="TA430" s="23" t="s">
        <v>2355</v>
      </c>
      <c r="TB430" s="23" t="s">
        <v>2356</v>
      </c>
      <c r="TC430" s="23" t="s">
        <v>2357</v>
      </c>
      <c r="TD430" s="23" t="s">
        <v>2358</v>
      </c>
      <c r="TE430" s="23" t="s">
        <v>2359</v>
      </c>
      <c r="TF430" s="23" t="s">
        <v>2360</v>
      </c>
      <c r="TG430" s="23" t="s">
        <v>1059</v>
      </c>
      <c r="TH430" s="23" t="s">
        <v>1128</v>
      </c>
      <c r="TI430" s="23" t="s">
        <v>1129</v>
      </c>
      <c r="TJ430" s="23" t="s">
        <v>1130</v>
      </c>
      <c r="TK430" s="23" t="s">
        <v>1132</v>
      </c>
      <c r="TL430" s="23" t="s">
        <v>1131</v>
      </c>
      <c r="TM430" s="23" t="s">
        <v>1133</v>
      </c>
      <c r="TN430" s="23" t="s">
        <v>1134</v>
      </c>
      <c r="TO430" s="23" t="s">
        <v>1135</v>
      </c>
      <c r="TP430" s="23" t="s">
        <v>1136</v>
      </c>
      <c r="TQ430" s="23" t="s">
        <v>1137</v>
      </c>
      <c r="TR430" s="24" t="s">
        <v>1138</v>
      </c>
    </row>
    <row r="431" spans="1:538" x14ac:dyDescent="0.25">
      <c r="A431" t="s">
        <v>2390</v>
      </c>
      <c r="B431" s="34" t="s">
        <v>2378</v>
      </c>
      <c r="C431" t="s">
        <v>1012</v>
      </c>
      <c r="P431" t="s">
        <v>1011</v>
      </c>
      <c r="T431" s="14" t="s">
        <v>2185</v>
      </c>
      <c r="U431">
        <v>3</v>
      </c>
      <c r="W431" t="s">
        <v>2373</v>
      </c>
      <c r="X431" t="s">
        <v>2978</v>
      </c>
      <c r="Y431" s="43" t="str" cm="1">
        <f t="array" ref="Y431">IF(COUNTIFS($X$379:$X431,$X431)=1,"1",VALUE(SUBSTITUTE(INDEX(Y:Y,_xlfn.XMATCH($X431,$X$1:$X430,0,-1)),"A",""))+INDEX(Z:Z,_xlfn.XMATCH($X431,$X$1:$X430,0,-1))+1)</f>
        <v>1</v>
      </c>
      <c r="Z431" s="43" cm="1">
        <f t="array" ref="Z431">SUM(IF(ISNUMBER(FIND("TmAi",$BE$1:$AAL$1)),IF(IFERROR(ISODD(SUBSTITUTE($BE431:$AAL431,"A","")),FALSE),IF(ISODD(SUBSTITUTE($BE431:$AAL431,"A","")),1,0),0)))</f>
        <v>1</v>
      </c>
      <c r="AA431" t="str">
        <f t="shared" si="1879"/>
        <v>1A</v>
      </c>
      <c r="AB431" t="str">
        <f t="shared" si="1880"/>
        <v>1B</v>
      </c>
      <c r="AP431" t="s">
        <v>2187</v>
      </c>
      <c r="AR431" t="s">
        <v>2379</v>
      </c>
      <c r="AS431" t="s">
        <v>396</v>
      </c>
      <c r="OG431" s="25" t="str">
        <f>CONCATENATE("XT",$U431)</f>
        <v>XT3</v>
      </c>
      <c r="OH431" s="12" t="s">
        <v>2391</v>
      </c>
      <c r="OI431" s="12" t="s">
        <v>2380</v>
      </c>
      <c r="OJ431" s="12"/>
      <c r="OK431" s="12"/>
      <c r="OL431" s="12" t="str">
        <f>CONCATENATE(REPLACE($AA431,LEN($AA431),1,"")+1,RIGHT($AA431))</f>
        <v>2A</v>
      </c>
      <c r="OM431" s="12" t="str">
        <f>CONCATENATE(REPLACE($AB431,LEN($AB431),1,"")+1,RIGHT($AB431))</f>
        <v>2B</v>
      </c>
      <c r="ON431" s="12" t="str">
        <f>CONCATENATE(REPLACE(OL431,LEN(OL431),1,"")+1,RIGHT(OL431))</f>
        <v>3A</v>
      </c>
      <c r="OO431" s="12" t="str">
        <f t="shared" ref="OO431:OO433" si="1954">CONCATENATE(REPLACE(OM431,LEN(OM431),1,"")+1,RIGHT(OM431))</f>
        <v>3B</v>
      </c>
      <c r="OP431" s="12" t="str">
        <f t="shared" ref="OP431:OP433" si="1955">CONCATENATE(REPLACE(ON431,LEN(ON431),1,"")+1,RIGHT(ON431))</f>
        <v>4A</v>
      </c>
      <c r="OQ431" s="12" t="str">
        <f t="shared" ref="OQ431:OQ433" si="1956">CONCATENATE(REPLACE(OO431,LEN(OO431),1,"")+1,RIGHT(OO431))</f>
        <v>4B</v>
      </c>
      <c r="OR431" s="12"/>
      <c r="OS431" s="12"/>
      <c r="OT431" s="12"/>
      <c r="OU431" s="12"/>
      <c r="OV431" s="12" t="str">
        <f>CONCATENATE($T431,"-AI",REPLACE($X431,1,3,""),"-",$AA431)</f>
        <v>N1-AI19-1A</v>
      </c>
      <c r="OW431" s="12" t="str">
        <f>CONCATENATE($T431,"-AI",REPLACE($X431,1,3,""),"-",$AB431)</f>
        <v>N1-AI19-1B</v>
      </c>
      <c r="OX431" s="12" t="str">
        <f t="shared" ref="OX431:OX433" si="1957">CONCATENATE($T431,"-AI",REPLACE($X431,1,3,""),"-",OL431)</f>
        <v>N1-AI19-2A</v>
      </c>
      <c r="OY431" s="12" t="str">
        <f t="shared" ref="OY431:OY433" si="1958">CONCATENATE($T431,"-AI",REPLACE($X431,1,3,""),"-",OM431)</f>
        <v>N1-AI19-2B</v>
      </c>
      <c r="OZ431" s="12" t="str">
        <f t="shared" ref="OZ431:OZ433" si="1959">CONCATENATE($T431,"-AI",REPLACE($X431,1,3,""),"-",ON431)</f>
        <v>N1-AI19-3A</v>
      </c>
      <c r="PA431" s="12" t="str">
        <f t="shared" ref="PA431:PA433" si="1960">CONCATENATE($T431,"-AI",REPLACE($X431,1,3,""),"-",OO431)</f>
        <v>N1-AI19-3B</v>
      </c>
      <c r="PB431" s="12" t="str">
        <f t="shared" ref="PB431:PB433" si="1961">CONCATENATE($T431,"-AI",REPLACE($X431,1,3,""),"-",OP431)</f>
        <v>N1-AI19-4A</v>
      </c>
      <c r="PC431" s="12" t="str">
        <f t="shared" ref="PC431:PC433" si="1962">CONCATENATE($T431,"-AI",REPLACE($X431,1,3,""),"-",OQ431)</f>
        <v>N1-AI19-4B</v>
      </c>
      <c r="PD431" s="12"/>
      <c r="PE431" s="12"/>
      <c r="PF431" s="12"/>
      <c r="PG431" s="12"/>
      <c r="PH431" s="12" cm="1">
        <f t="array" ref="PH431">IF(COUNTIFS($U$379:$U431,$U431)=1,1,INDEX(PH:PH,_xlfn.XMATCH($U431,$U$379:EF430,0,-1))+COUNT(PH430:PM430))</f>
        <v>1</v>
      </c>
      <c r="PI431" s="12">
        <f t="shared" ref="PI431:PI433" si="1963">PH431+1</f>
        <v>2</v>
      </c>
      <c r="PJ431" s="12">
        <f t="shared" ref="PJ431:PJ433" si="1964">PI431+1</f>
        <v>3</v>
      </c>
      <c r="PK431" s="12">
        <f>PJ431+1</f>
        <v>4</v>
      </c>
      <c r="PL431" s="12">
        <f t="shared" ref="PL431:PL433" si="1965">PK431+1</f>
        <v>5</v>
      </c>
      <c r="PM431" s="12">
        <f t="shared" ref="PM431:PM433" si="1966">PL431+1</f>
        <v>6</v>
      </c>
      <c r="PN431" s="12"/>
      <c r="PO431" s="12"/>
      <c r="PP431" s="12"/>
      <c r="PQ431" s="12">
        <v>1</v>
      </c>
      <c r="PR431" s="12">
        <v>2</v>
      </c>
      <c r="PS431" s="12">
        <v>3</v>
      </c>
      <c r="PT431" s="12">
        <v>4</v>
      </c>
      <c r="PU431" s="12">
        <v>5</v>
      </c>
      <c r="PV431" s="13">
        <v>6</v>
      </c>
    </row>
    <row r="432" spans="1:538" ht="15.75" thickBot="1" x14ac:dyDescent="0.3">
      <c r="A432" t="s">
        <v>2392</v>
      </c>
      <c r="B432" t="s">
        <v>2381</v>
      </c>
      <c r="C432" t="s">
        <v>1012</v>
      </c>
      <c r="P432" t="s">
        <v>1011</v>
      </c>
      <c r="T432" s="14" t="s">
        <v>2185</v>
      </c>
      <c r="U432">
        <v>3</v>
      </c>
      <c r="W432" t="s">
        <v>2374</v>
      </c>
      <c r="X432" t="str">
        <f>IF(COUNTIF(X$379:X431,X431)&gt;7,REPLACE(X431,LEN(X431),1,VALUE(RIGHT(X431,1))+1),X431)</f>
        <v>A3.19</v>
      </c>
      <c r="Y432" s="43" cm="1">
        <f t="array" ref="Y432">IF(COUNTIFS($X$379:$X432,$X432)=1,"1",VALUE(SUBSTITUTE(INDEX(Y:Y,_xlfn.XMATCH($X432,$X$1:$X431,0,-1)),"A",""))+INDEX(Z:Z,_xlfn.XMATCH($X432,$X$1:$X431,0,-1))+1)</f>
        <v>3</v>
      </c>
      <c r="Z432" s="43" cm="1">
        <f t="array" ref="Z432">SUM(IF(ISNUMBER(FIND("TmAi",$BE$1:$AAL$1)),IF(IFERROR(ISODD(SUBSTITUTE($BE432:$AAL432,"A","")),FALSE),IF(ISODD(SUBSTITUTE($BE432:$AAL432,"A","")),1,0),0)))</f>
        <v>1</v>
      </c>
      <c r="AA432" t="str">
        <f t="shared" si="1879"/>
        <v>5A</v>
      </c>
      <c r="AB432" t="str">
        <f t="shared" si="1880"/>
        <v>5B</v>
      </c>
      <c r="AP432" t="s">
        <v>2187</v>
      </c>
      <c r="AR432" t="s">
        <v>2379</v>
      </c>
      <c r="AS432" t="s">
        <v>396</v>
      </c>
      <c r="OG432" s="27" t="str">
        <f t="shared" ref="OG432:OG433" si="1967">CONCATENATE("XT",$U432)</f>
        <v>XT3</v>
      </c>
      <c r="OH432" t="s">
        <v>2393</v>
      </c>
      <c r="OI432" t="s">
        <v>2382</v>
      </c>
      <c r="OL432" t="str">
        <f t="shared" ref="OL432:OL433" si="1968">CONCATENATE(REPLACE($AA432,LEN($AA432),1,"")+1,RIGHT($AA432))</f>
        <v>6A</v>
      </c>
      <c r="OM432" t="str">
        <f t="shared" ref="OM432:OM433" si="1969">CONCATENATE(REPLACE($AB432,LEN($AB432),1,"")+1,RIGHT($AB432))</f>
        <v>6B</v>
      </c>
      <c r="ON432" t="str">
        <f t="shared" ref="ON432:ON433" si="1970">CONCATENATE(REPLACE(OL432,LEN(OL432),1,"")+1,RIGHT(OL432))</f>
        <v>7A</v>
      </c>
      <c r="OO432" t="str">
        <f t="shared" si="1954"/>
        <v>7B</v>
      </c>
      <c r="OP432" t="str">
        <f t="shared" si="1955"/>
        <v>8A</v>
      </c>
      <c r="OQ432" t="str">
        <f t="shared" si="1956"/>
        <v>8B</v>
      </c>
      <c r="OV432" t="str">
        <f>CONCATENATE($T432,"-AI",REPLACE($X432,1,3,""),"-",$AA432)</f>
        <v>N1-AI19-5A</v>
      </c>
      <c r="OW432" t="str">
        <f>CONCATENATE($T432,"-AI",REPLACE($X432,1,3,""),"-",$AB432)</f>
        <v>N1-AI19-5B</v>
      </c>
      <c r="OX432" t="str">
        <f t="shared" si="1957"/>
        <v>N1-AI19-6A</v>
      </c>
      <c r="OY432" t="str">
        <f t="shared" si="1958"/>
        <v>N1-AI19-6B</v>
      </c>
      <c r="OZ432" t="str">
        <f t="shared" si="1959"/>
        <v>N1-AI19-7A</v>
      </c>
      <c r="PA432" t="str">
        <f t="shared" si="1960"/>
        <v>N1-AI19-7B</v>
      </c>
      <c r="PB432" t="str">
        <f t="shared" si="1961"/>
        <v>N1-AI19-8A</v>
      </c>
      <c r="PC432" t="str">
        <f t="shared" si="1962"/>
        <v>N1-AI19-8B</v>
      </c>
      <c r="PH432" cm="1">
        <f t="array" ref="PH432">IF(COUNTIFS($U$2:$U432,$U432)=1,1,INDEX(PH:PH,_xlfn.XMATCH($U432,$U$1:$U431,0,-1))+COUNT(PH431:PM431))</f>
        <v>7</v>
      </c>
      <c r="PI432">
        <f t="shared" si="1963"/>
        <v>8</v>
      </c>
      <c r="PJ432">
        <f t="shared" si="1964"/>
        <v>9</v>
      </c>
      <c r="PK432">
        <f t="shared" ref="PK432:PK433" si="1971">PJ432+1</f>
        <v>10</v>
      </c>
      <c r="PL432">
        <f t="shared" si="1965"/>
        <v>11</v>
      </c>
      <c r="PM432">
        <f t="shared" si="1966"/>
        <v>12</v>
      </c>
      <c r="PQ432">
        <v>7</v>
      </c>
      <c r="PR432">
        <v>8</v>
      </c>
      <c r="PS432">
        <v>9</v>
      </c>
      <c r="PT432">
        <v>10</v>
      </c>
      <c r="PU432">
        <v>11</v>
      </c>
      <c r="PV432" s="16">
        <v>12</v>
      </c>
    </row>
    <row r="433" spans="1:550" ht="15.75" thickBot="1" x14ac:dyDescent="0.3">
      <c r="A433" t="s">
        <v>2394</v>
      </c>
      <c r="B433" t="s">
        <v>2383</v>
      </c>
      <c r="C433" t="s">
        <v>1012</v>
      </c>
      <c r="P433" t="s">
        <v>1047</v>
      </c>
      <c r="T433" s="14" t="s">
        <v>2185</v>
      </c>
      <c r="U433">
        <v>3</v>
      </c>
      <c r="W433" t="s">
        <v>2375</v>
      </c>
      <c r="X433" t="str">
        <f>IF(COUNTIF(X$379:X432,X432)&gt;7,REPLACE(X432,LEN(X432),1,VALUE(RIGHT(X432,1))+1),X432)</f>
        <v>A3.19</v>
      </c>
      <c r="Y433" s="43" cm="1">
        <f t="array" ref="Y433">IF(COUNTIFS($X$379:$X433,$X433)=1,"1",VALUE(SUBSTITUTE(INDEX(Y:Y,_xlfn.XMATCH($X433,$X$1:$X432,0,-1)),"A",""))+INDEX(Z:Z,_xlfn.XMATCH($X433,$X$1:$X432,0,-1))+1)</f>
        <v>5</v>
      </c>
      <c r="Z433" s="43" cm="1">
        <f t="array" ref="Z433">SUM(IF(ISNUMBER(FIND("TmAi",$BE$1:$AAL$1)),IF(IFERROR(ISODD(SUBSTITUTE($BE433:$AAL433,"A","")),FALSE),IF(ISODD(SUBSTITUTE($BE433:$AAL433,"A","")),1,0),0)))</f>
        <v>2</v>
      </c>
      <c r="AA433" t="str">
        <f t="shared" si="1879"/>
        <v>9A</v>
      </c>
      <c r="AB433" t="str">
        <f t="shared" si="1880"/>
        <v>9B</v>
      </c>
      <c r="AP433" t="s">
        <v>2187</v>
      </c>
      <c r="AR433" t="s">
        <v>2384</v>
      </c>
      <c r="AS433" t="s">
        <v>396</v>
      </c>
      <c r="OG433" s="27" t="str">
        <f t="shared" si="1967"/>
        <v>XT3</v>
      </c>
      <c r="OH433" t="s">
        <v>2395</v>
      </c>
      <c r="OI433" t="s">
        <v>2385</v>
      </c>
      <c r="OJ433" t="s">
        <v>2396</v>
      </c>
      <c r="OK433" t="s">
        <v>2386</v>
      </c>
      <c r="OL433" t="str">
        <f t="shared" si="1968"/>
        <v>10A</v>
      </c>
      <c r="OM433" t="str">
        <f t="shared" si="1969"/>
        <v>10B</v>
      </c>
      <c r="ON433" t="str">
        <f t="shared" si="1970"/>
        <v>11A</v>
      </c>
      <c r="OO433" t="str">
        <f t="shared" si="1954"/>
        <v>11B</v>
      </c>
      <c r="OP433" t="str">
        <f t="shared" si="1955"/>
        <v>12A</v>
      </c>
      <c r="OQ433" t="str">
        <f t="shared" si="1956"/>
        <v>12B</v>
      </c>
      <c r="OR433" t="str">
        <f t="shared" ref="OR433" si="1972">CONCATENATE(REPLACE(OP433,LEN(OP433),1,"")+1,RIGHT(OP433))</f>
        <v>13A</v>
      </c>
      <c r="OS433" t="str">
        <f t="shared" ref="OS433" si="1973">CONCATENATE(REPLACE(OQ433,LEN(OQ433),1,"")+1,RIGHT(OQ433))</f>
        <v>13B</v>
      </c>
      <c r="OT433" t="str">
        <f t="shared" ref="OT433" si="1974">CONCATENATE(REPLACE(OR433,LEN(OR433),1,"")+1,RIGHT(OR433))</f>
        <v>14A</v>
      </c>
      <c r="OU433" t="str">
        <f t="shared" ref="OU433" si="1975">CONCATENATE(REPLACE(OS433,LEN(OS433),1,"")+1,RIGHT(OS433))</f>
        <v>14B</v>
      </c>
      <c r="OV433" t="str">
        <f>CONCATENATE($T433,"-AI",REPLACE($X433,1,3,""),"-",$AA433)</f>
        <v>N1-AI19-9A</v>
      </c>
      <c r="OW433" t="str">
        <f>CONCATENATE($T433,"-AI",REPLACE($X433,1,3,""),"-",$AB433)</f>
        <v>N1-AI19-9B</v>
      </c>
      <c r="OX433" t="str">
        <f t="shared" si="1957"/>
        <v>N1-AI19-10A</v>
      </c>
      <c r="OY433" t="str">
        <f t="shared" si="1958"/>
        <v>N1-AI19-10B</v>
      </c>
      <c r="OZ433" t="str">
        <f t="shared" si="1959"/>
        <v>N1-AI19-11A</v>
      </c>
      <c r="PA433" t="str">
        <f t="shared" si="1960"/>
        <v>N1-AI19-11B</v>
      </c>
      <c r="PB433" t="str">
        <f t="shared" si="1961"/>
        <v>N1-AI19-12A</v>
      </c>
      <c r="PC433" t="str">
        <f t="shared" si="1962"/>
        <v>N1-AI19-12B</v>
      </c>
      <c r="PD433" t="str">
        <f t="shared" ref="PD433" si="1976">CONCATENATE($T433,"-AI",REPLACE($X433,1,3,""),"-",OR433)</f>
        <v>N1-AI19-13A</v>
      </c>
      <c r="PE433" t="str">
        <f t="shared" ref="PE433" si="1977">CONCATENATE($T433,"-AI",REPLACE($X433,1,3,""),"-",OS433)</f>
        <v>N1-AI19-13B</v>
      </c>
      <c r="PF433" t="str">
        <f t="shared" ref="PF433" si="1978">CONCATENATE($T433,"-AI",REPLACE($X433,1,3,""),"-",OT433)</f>
        <v>N1-AI19-14A</v>
      </c>
      <c r="PG433" t="str">
        <f t="shared" ref="PG433" si="1979">CONCATENATE($T433,"-AI",REPLACE($X433,1,3,""),"-",OU433)</f>
        <v>N1-AI19-14B</v>
      </c>
      <c r="PH433" cm="1">
        <f t="array" ref="PH433">IF(COUNTIFS($U$2:$U433,$U433)=1,1,INDEX(PH:PH,_xlfn.XMATCH($U433,$U$1:$U432,0,-1))+COUNT(PH432:PM432))</f>
        <v>13</v>
      </c>
      <c r="PI433">
        <f t="shared" si="1963"/>
        <v>14</v>
      </c>
      <c r="PJ433">
        <f t="shared" si="1964"/>
        <v>15</v>
      </c>
      <c r="PK433">
        <f t="shared" si="1971"/>
        <v>16</v>
      </c>
      <c r="PL433">
        <f t="shared" si="1965"/>
        <v>17</v>
      </c>
      <c r="PM433">
        <f t="shared" si="1966"/>
        <v>18</v>
      </c>
      <c r="PN433">
        <f t="shared" ref="PN433" si="1980">PM433+1</f>
        <v>19</v>
      </c>
      <c r="PO433">
        <f t="shared" ref="PO433" si="1981">PN433+1</f>
        <v>20</v>
      </c>
      <c r="PP433">
        <f t="shared" ref="PP433" si="1982">PO433+1</f>
        <v>21</v>
      </c>
      <c r="PQ433">
        <v>1</v>
      </c>
      <c r="PR433">
        <v>2</v>
      </c>
      <c r="PS433">
        <v>3</v>
      </c>
      <c r="PT433">
        <v>4</v>
      </c>
      <c r="PU433">
        <v>5</v>
      </c>
      <c r="PV433">
        <v>6</v>
      </c>
      <c r="PW433" s="12">
        <v>7</v>
      </c>
      <c r="PX433" s="12">
        <v>8</v>
      </c>
      <c r="PY433" s="13">
        <v>9</v>
      </c>
    </row>
    <row r="434" spans="1:550" ht="15.75" thickBot="1" x14ac:dyDescent="0.3">
      <c r="A434" t="s">
        <v>2397</v>
      </c>
      <c r="B434" s="58" t="s">
        <v>2387</v>
      </c>
      <c r="P434" t="s">
        <v>482</v>
      </c>
      <c r="T434" s="14" t="s">
        <v>2185</v>
      </c>
      <c r="U434">
        <v>3</v>
      </c>
      <c r="W434" t="s">
        <v>2376</v>
      </c>
      <c r="X434" t="s">
        <v>2412</v>
      </c>
      <c r="Y434" s="43" t="str" cm="1">
        <f t="array" ref="Y434">IF(COUNTIFS($X$379:$X434,$X434)=1,"1",VALUE(SUBSTITUTE(INDEX(Y:Y,_xlfn.XMATCH($X434,$X$1:$X433,0,-1)),"A",""))+INDEX(Z:Z,_xlfn.XMATCH($X434,$X$1:$X433,0,-1))+1)</f>
        <v>1</v>
      </c>
      <c r="Z434" s="43" cm="1">
        <f t="array" ref="Z434">SUM(IF(ISNUMBER(FIND("TmAi",$BE$1:$AAL$1)),IF(IFERROR(ISODD(SUBSTITUTE($BE434:$AAL434,"A","")),FALSE),IF(ISODD(SUBSTITUTE($BE434:$AAL434,"A","")),1,0),0)))</f>
        <v>0</v>
      </c>
      <c r="AA434" t="str">
        <f t="shared" ref="AA434" si="1983">CONCATENATE($Y434*2-1,"B")</f>
        <v>1B</v>
      </c>
      <c r="AB434" t="str">
        <f t="shared" ref="AB434" si="1984">CONCATENATE($Y434*2,"B")</f>
        <v>2B</v>
      </c>
      <c r="AP434" t="s">
        <v>2187</v>
      </c>
      <c r="AQ434" t="s">
        <v>2413</v>
      </c>
      <c r="AS434" t="s">
        <v>396</v>
      </c>
      <c r="JZ434" s="25" t="str">
        <f>CONCATENATE("XT",U434)</f>
        <v>XT3</v>
      </c>
      <c r="KA434" s="12"/>
      <c r="KB434" s="12"/>
      <c r="KC434" s="12" t="str">
        <f>CONCATENATE(T434,"-AI",REPLACE($X434,1,3,""),"-",AA434)</f>
        <v>N1-AI11-1B</v>
      </c>
      <c r="KD434" s="12" t="str">
        <f>CONCATENATE(T434,"-AI",REPLACE($X434,1,3,""),"-",AB434)</f>
        <v>N1-AI11-2B</v>
      </c>
      <c r="KE434" s="12"/>
      <c r="KF434" s="12"/>
      <c r="KG434" s="12"/>
      <c r="KH434" s="12"/>
      <c r="KI434" s="12">
        <v>22</v>
      </c>
      <c r="KJ434" s="12">
        <f t="shared" ref="KJ434" si="1985">KI434+1</f>
        <v>23</v>
      </c>
      <c r="KK434" s="12">
        <f t="shared" ref="KK434" si="1986">KJ434+1</f>
        <v>24</v>
      </c>
      <c r="KL434" s="12"/>
      <c r="KM434" s="12"/>
      <c r="KN434" s="12" t="s">
        <v>548</v>
      </c>
      <c r="KO434" s="12" t="s">
        <v>548</v>
      </c>
      <c r="KP434" s="12"/>
      <c r="KQ434" s="12"/>
      <c r="KR434" s="12"/>
      <c r="KS434" s="12"/>
      <c r="KT434" s="12"/>
      <c r="KU434" s="12"/>
      <c r="KV434" s="12"/>
      <c r="KW434" s="12"/>
      <c r="KX434" s="12"/>
      <c r="KY434" s="12"/>
      <c r="KZ434" s="12"/>
      <c r="LA434" s="12"/>
      <c r="LB434" s="12"/>
      <c r="LC434" s="12"/>
      <c r="LD434" s="12"/>
      <c r="LE434" s="12"/>
      <c r="LF434" s="12"/>
      <c r="LG434" s="12"/>
      <c r="LH434" s="12"/>
      <c r="LI434" s="12"/>
      <c r="LJ434" s="12"/>
      <c r="LK434" s="12"/>
      <c r="LL434" s="12"/>
      <c r="LM434" s="12"/>
      <c r="LN434" s="12"/>
      <c r="LO434" s="12"/>
      <c r="LP434" s="12"/>
      <c r="LQ434" s="12"/>
      <c r="LR434" s="12"/>
      <c r="LS434" s="12"/>
      <c r="LT434" s="12"/>
      <c r="LU434" s="12"/>
      <c r="LV434" s="12"/>
      <c r="LW434" s="12"/>
      <c r="LX434" s="12"/>
      <c r="LY434" s="12"/>
      <c r="LZ434" s="12"/>
      <c r="MA434" s="12"/>
      <c r="MB434" s="12"/>
      <c r="MC434" s="12"/>
      <c r="MD434" s="12"/>
      <c r="ME434" s="12"/>
      <c r="MF434" s="12"/>
      <c r="MG434" s="12"/>
      <c r="MH434" s="12"/>
      <c r="MI434" s="12"/>
      <c r="MJ434" s="12"/>
      <c r="MK434" s="12"/>
      <c r="ML434" s="12"/>
      <c r="MM434" s="12"/>
      <c r="MN434" s="12"/>
      <c r="MO434" s="12"/>
      <c r="MP434" s="12"/>
      <c r="MQ434" s="12"/>
      <c r="MR434" s="12"/>
      <c r="MS434" s="12"/>
      <c r="MT434" s="12"/>
      <c r="MU434" s="12"/>
      <c r="MV434" s="12"/>
      <c r="MW434" s="12"/>
      <c r="MX434" s="12"/>
      <c r="MY434" s="12"/>
      <c r="MZ434" s="12"/>
      <c r="NA434" s="12"/>
      <c r="NB434" s="12"/>
      <c r="NC434" s="12"/>
      <c r="ND434" s="12"/>
      <c r="NE434" s="12"/>
      <c r="NF434" s="12"/>
      <c r="NG434" s="12"/>
      <c r="NH434" s="12"/>
      <c r="NI434" s="12"/>
      <c r="NJ434" s="12"/>
      <c r="NK434" s="12"/>
      <c r="NL434" s="12"/>
      <c r="NM434" s="12"/>
      <c r="NN434" s="12"/>
      <c r="NO434" s="12"/>
      <c r="NP434" s="12"/>
      <c r="NQ434" s="12"/>
      <c r="NR434" s="12"/>
      <c r="NS434" s="12"/>
      <c r="NT434" s="12"/>
      <c r="NU434" s="12"/>
      <c r="NV434" s="12"/>
      <c r="NW434" s="12"/>
      <c r="NX434" s="12"/>
      <c r="NY434" s="12"/>
      <c r="NZ434" s="12"/>
      <c r="OA434" s="12"/>
      <c r="OB434" s="12"/>
      <c r="OC434" s="12"/>
      <c r="OD434" s="12"/>
      <c r="OE434" s="12"/>
      <c r="OF434" s="12"/>
      <c r="PY434" s="16"/>
    </row>
    <row r="435" spans="1:550" ht="15.75" thickBot="1" x14ac:dyDescent="0.3">
      <c r="A435" t="s">
        <v>2398</v>
      </c>
      <c r="B435" s="33" t="s">
        <v>2388</v>
      </c>
      <c r="P435" t="s">
        <v>1061</v>
      </c>
      <c r="T435" s="14" t="s">
        <v>2185</v>
      </c>
      <c r="U435">
        <v>3</v>
      </c>
      <c r="W435" t="s">
        <v>2377</v>
      </c>
      <c r="X435" t="str">
        <f>IF(COUNTIF(X$379:X434,X434)&gt;7,REPLACE(X434,LEN(X434),1,VALUE(RIGHT(X434,1))+1),X434)</f>
        <v>A3.11</v>
      </c>
      <c r="Y435" s="43" cm="1">
        <f t="array" ref="Y435">IF(COUNTIFS($X$379:$X435,$X435)=1,"1",VALUE(SUBSTITUTE(INDEX(Y:Y,_xlfn.XMATCH($X435,$X$1:$X434,0,-1)),"A",""))+INDEX(Z:Z,_xlfn.XMATCH($X435,$X$1:$X434,0,-1))+1)</f>
        <v>2</v>
      </c>
      <c r="Z435" s="43" cm="1">
        <f t="array" ref="Z435">SUM(IF(ISNUMBER(FIND("TmAi",$BE$1:$AAL$1)),IF(IFERROR(ISODD(SUBSTITUTE($BE435:$AAL435,"A","")),FALSE),IF(ISODD(SUBSTITUTE($BE435:$AAL435,"A","")),1,0),0)))</f>
        <v>11</v>
      </c>
      <c r="AA435" t="str">
        <f t="shared" ref="AA435:AA445" si="1987">CONCATENATE($Y435*2-1,"A")</f>
        <v>3A</v>
      </c>
      <c r="AB435" t="str">
        <f t="shared" ref="AB435:AB445" si="1988">CONCATENATE($Y435*2-1,"B")</f>
        <v>3B</v>
      </c>
      <c r="AP435" t="s">
        <v>2187</v>
      </c>
      <c r="AR435" t="s">
        <v>2389</v>
      </c>
      <c r="AS435" t="s">
        <v>396</v>
      </c>
      <c r="JZ435" s="28"/>
      <c r="KA435" s="19"/>
      <c r="KB435" s="19"/>
      <c r="KC435" s="19"/>
      <c r="KD435" s="19"/>
      <c r="KE435" s="19"/>
      <c r="KF435" s="19"/>
      <c r="KG435" s="19"/>
      <c r="KH435" s="19"/>
      <c r="KI435" s="19"/>
      <c r="KJ435" s="19"/>
      <c r="KK435" s="19"/>
      <c r="KL435" s="19"/>
      <c r="KM435" s="19"/>
      <c r="KN435" s="19"/>
      <c r="KO435" s="19"/>
      <c r="KP435" s="19"/>
      <c r="KQ435" s="19"/>
      <c r="KR435" s="19"/>
      <c r="KS435" s="19"/>
      <c r="KT435" s="19"/>
      <c r="KU435" s="19"/>
      <c r="KV435" s="19"/>
      <c r="KW435" s="19"/>
      <c r="KX435" s="19"/>
      <c r="KY435" s="19"/>
      <c r="KZ435" s="19"/>
      <c r="LA435" s="19"/>
      <c r="LB435" s="19"/>
      <c r="LC435" s="19"/>
      <c r="LD435" s="19"/>
      <c r="LE435" s="19"/>
      <c r="LF435" s="19"/>
      <c r="LG435" s="19"/>
      <c r="LH435" s="19"/>
      <c r="LI435" s="19"/>
      <c r="LJ435" s="19"/>
      <c r="LK435" s="19"/>
      <c r="LL435" s="19"/>
      <c r="LM435" s="19"/>
      <c r="LN435" s="19"/>
      <c r="LO435" s="19"/>
      <c r="LP435" s="19"/>
      <c r="LQ435" s="19"/>
      <c r="LR435" s="19"/>
      <c r="LS435" s="19"/>
      <c r="LT435" s="19"/>
      <c r="LU435" s="19"/>
      <c r="LV435" s="19"/>
      <c r="LW435" s="19"/>
      <c r="LX435" s="19"/>
      <c r="LY435" s="19"/>
      <c r="LZ435" s="19"/>
      <c r="MA435" s="19"/>
      <c r="MB435" s="19"/>
      <c r="MC435" s="19"/>
      <c r="MD435" s="19"/>
      <c r="ME435" s="19"/>
      <c r="MF435" s="19"/>
      <c r="MG435" s="19"/>
      <c r="MH435" s="19"/>
      <c r="MI435" s="19"/>
      <c r="MJ435" s="19"/>
      <c r="MK435" s="19"/>
      <c r="ML435" s="19"/>
      <c r="MM435" s="19"/>
      <c r="MN435" s="19"/>
      <c r="MO435" s="19"/>
      <c r="MP435" s="19"/>
      <c r="MQ435" s="19"/>
      <c r="MR435" s="19"/>
      <c r="MS435" s="19"/>
      <c r="MT435" s="19"/>
      <c r="MU435" s="19"/>
      <c r="MV435" s="19"/>
      <c r="MW435" s="19"/>
      <c r="MX435" s="19"/>
      <c r="MY435" s="19"/>
      <c r="MZ435" s="19"/>
      <c r="NA435" s="19"/>
      <c r="NB435" s="19"/>
      <c r="NC435" s="19"/>
      <c r="ND435" s="19"/>
      <c r="NE435" s="19"/>
      <c r="NF435" s="19"/>
      <c r="NG435" s="19"/>
      <c r="NH435" s="19"/>
      <c r="NI435" s="19"/>
      <c r="NJ435" s="19"/>
      <c r="NK435" s="19"/>
      <c r="NL435" s="19"/>
      <c r="NM435" s="19"/>
      <c r="NN435" s="19"/>
      <c r="NO435" s="19"/>
      <c r="NP435" s="19"/>
      <c r="NQ435" s="19"/>
      <c r="NR435" s="19"/>
      <c r="NS435" s="19"/>
      <c r="NT435" s="19"/>
      <c r="NU435" s="19"/>
      <c r="NV435" s="19"/>
      <c r="NW435" s="19"/>
      <c r="NX435" s="19"/>
      <c r="NY435" s="19"/>
      <c r="NZ435" s="19"/>
      <c r="OA435" s="19"/>
      <c r="OB435" s="19"/>
      <c r="OC435" s="19"/>
      <c r="OD435" s="19"/>
      <c r="OE435" s="19"/>
      <c r="OF435" s="19"/>
      <c r="OG435" s="19"/>
      <c r="OH435" s="19"/>
      <c r="OI435" s="19"/>
      <c r="OJ435" s="19"/>
      <c r="OK435" s="19"/>
      <c r="OL435" s="19"/>
      <c r="OM435" s="19"/>
      <c r="ON435" s="19"/>
      <c r="OO435" s="19"/>
      <c r="OP435" s="19"/>
      <c r="OQ435" s="19"/>
      <c r="OR435" s="19"/>
      <c r="OS435" s="19"/>
      <c r="OT435" s="19"/>
      <c r="OU435" s="19"/>
      <c r="OV435" s="19"/>
      <c r="OW435" s="19"/>
      <c r="OX435" s="19"/>
      <c r="OY435" s="19"/>
      <c r="OZ435" s="19"/>
      <c r="PA435" s="19"/>
      <c r="PB435" s="19"/>
      <c r="PC435" s="19"/>
      <c r="PD435" s="19"/>
      <c r="PE435" s="19"/>
      <c r="PF435" s="19"/>
      <c r="PG435" s="19"/>
      <c r="PH435" s="19"/>
      <c r="PI435" s="19"/>
      <c r="PJ435" s="19"/>
      <c r="PK435" s="19"/>
      <c r="PL435" s="19"/>
      <c r="PM435" s="19"/>
      <c r="PN435" s="19"/>
      <c r="PO435" s="19"/>
      <c r="PP435" s="19"/>
      <c r="PQ435" s="19"/>
      <c r="PR435" s="19"/>
      <c r="PS435" s="19"/>
      <c r="PT435" s="19"/>
      <c r="PU435" s="19"/>
      <c r="PV435" s="19"/>
      <c r="PW435" s="19"/>
      <c r="PX435" s="19"/>
      <c r="PY435" s="19"/>
      <c r="PZ435" s="23" t="str">
        <f>REPLACE(X435,FIND(".",X435)+1,3,MID(X435,FIND(".",X435)+1,3)+1)</f>
        <v>A3.12</v>
      </c>
      <c r="QA435" s="23" t="str">
        <f>CONCATENATE(VALUE(SUBSTITUTE($AB435,"B",""))+2,"B")</f>
        <v>5B</v>
      </c>
      <c r="QB435" s="23" t="str">
        <f>CONCATENATE(VALUE(SUBSTITUTE($AA435,"A",""))+2,"A")</f>
        <v>5A</v>
      </c>
      <c r="QC435" s="23" t="str">
        <f>CONCATENATE(VALUE(SUBSTITUTE(QA435,"B",""))+2,"B")</f>
        <v>7B</v>
      </c>
      <c r="QD435" s="23" t="str">
        <f>CONCATENATE(VALUE(SUBSTITUTE(QB435,"A",""))+2,"A")</f>
        <v>7A</v>
      </c>
      <c r="QE435" s="23" t="str">
        <f t="shared" ref="QE435" si="1989">CONCATENATE(VALUE(SUBSTITUTE(QC435,"B",""))+2,"B")</f>
        <v>9B</v>
      </c>
      <c r="QF435" s="23" t="str">
        <f t="shared" ref="QF435" si="1990">CONCATENATE(VALUE(SUBSTITUTE(QD435,"A",""))+2,"A")</f>
        <v>9A</v>
      </c>
      <c r="QG435" s="23" t="str">
        <f t="shared" ref="QG435" si="1991">CONCATENATE(VALUE(SUBSTITUTE(QE435,"B",""))+2,"B")</f>
        <v>11B</v>
      </c>
      <c r="QH435" s="23" t="str">
        <f t="shared" ref="QH435" si="1992">CONCATENATE(VALUE(SUBSTITUTE(QF435,"A",""))+2,"A")</f>
        <v>11A</v>
      </c>
      <c r="QI435" s="23" t="str">
        <f t="shared" ref="QI435" si="1993">CONCATENATE(VALUE(SUBSTITUTE(QG435,"B",""))+2,"B")</f>
        <v>13B</v>
      </c>
      <c r="QJ435" s="23" t="str">
        <f t="shared" ref="QJ435" si="1994">CONCATENATE(VALUE(SUBSTITUTE(QH435,"A",""))+2,"A")</f>
        <v>13A</v>
      </c>
      <c r="QK435" s="23" t="s">
        <v>135</v>
      </c>
      <c r="QL435" s="23" t="s">
        <v>136</v>
      </c>
      <c r="QM435" s="23" t="str">
        <f t="shared" ref="QM435" si="1995">CONCATENATE(VALUE(SUBSTITUTE(QK435,"B",""))+2,"B")</f>
        <v>3B</v>
      </c>
      <c r="QN435" s="23" t="str">
        <f t="shared" ref="QN435" si="1996">CONCATENATE(VALUE(SUBSTITUTE(QL435,"A",""))+2,"A")</f>
        <v>3A</v>
      </c>
      <c r="QO435" s="23" t="str">
        <f t="shared" ref="QO435" si="1997">CONCATENATE(VALUE(SUBSTITUTE(QM435,"B",""))+2,"B")</f>
        <v>5B</v>
      </c>
      <c r="QP435" s="23" t="str">
        <f t="shared" ref="QP435" si="1998">CONCATENATE(VALUE(SUBSTITUTE(QN435,"A",""))+2,"A")</f>
        <v>5A</v>
      </c>
      <c r="QQ435" s="23" t="str">
        <f t="shared" ref="QQ435" si="1999">CONCATENATE(VALUE(SUBSTITUTE(QO435,"B",""))+2,"B")</f>
        <v>7B</v>
      </c>
      <c r="QR435" s="23" t="str">
        <f t="shared" ref="QR435" si="2000">CONCATENATE(VALUE(SUBSTITUTE(QP435,"A",""))+2,"A")</f>
        <v>7A</v>
      </c>
      <c r="QS435" s="23" t="str">
        <f t="shared" ref="QS435" si="2001">CONCATENATE(VALUE(SUBSTITUTE(QQ435,"B",""))+2,"B")</f>
        <v>9B</v>
      </c>
      <c r="QT435" s="23" t="str">
        <f t="shared" ref="QT435" si="2002">CONCATENATE(VALUE(SUBSTITUTE(QR435,"A",""))+2,"A")</f>
        <v>9A</v>
      </c>
      <c r="QU435" s="23" t="str">
        <f t="shared" ref="QU435" si="2003">CONCATENATE(VALUE(SUBSTITUTE(QS435,"B",""))+2,"B")</f>
        <v>11B</v>
      </c>
      <c r="QV435" s="23" t="str">
        <f t="shared" ref="QV435" si="2004">CONCATENATE(VALUE(SUBSTITUTE(QT435,"A",""))+2,"A")</f>
        <v>11A</v>
      </c>
      <c r="QW435" s="23" t="str">
        <f>CONCATENATE($T435,"-AI",REPLACE($X435,1,3,""),"-",AB435)</f>
        <v>N1-AI11-3B</v>
      </c>
      <c r="QX435" s="23" t="str">
        <f>CONCATENATE($T435,"-AI",REPLACE($X435,1,3,""),"-",AA435)</f>
        <v>N1-AI11-3A</v>
      </c>
      <c r="QY435" s="23" t="str">
        <f>CONCATENATE($T435,"-AI",REPLACE($X435,1,3,""),"-",QA435)</f>
        <v>N1-AI11-5B</v>
      </c>
      <c r="QZ435" s="23" t="str">
        <f>CONCATENATE($T435,"-AI",REPLACE($X435,1,3,""),"-",QB435)</f>
        <v>N1-AI11-5A</v>
      </c>
      <c r="RA435" s="23" t="str">
        <f t="shared" ref="RA435" si="2005">CONCATENATE($T435,"-AI",REPLACE($X435,1,3,""),"-",QC435)</f>
        <v>N1-AI11-7B</v>
      </c>
      <c r="RB435" s="23" t="str">
        <f t="shared" ref="RB435" si="2006">CONCATENATE($T435,"-AI",REPLACE($X435,1,3,""),"-",QD435)</f>
        <v>N1-AI11-7A</v>
      </c>
      <c r="RC435" s="23" t="str">
        <f t="shared" ref="RC435" si="2007">CONCATENATE($T435,"-AI",REPLACE($X435,1,3,""),"-",QE435)</f>
        <v>N1-AI11-9B</v>
      </c>
      <c r="RD435" s="23" t="str">
        <f t="shared" ref="RD435" si="2008">CONCATENATE($T435,"-AI",REPLACE($X435,1,3,""),"-",QF435)</f>
        <v>N1-AI11-9A</v>
      </c>
      <c r="RE435" s="23" t="str">
        <f t="shared" ref="RE435" si="2009">CONCATENATE($T435,"-AI",REPLACE($X435,1,3,""),"-",QG435)</f>
        <v>N1-AI11-11B</v>
      </c>
      <c r="RF435" s="23" t="str">
        <f t="shared" ref="RF435" si="2010">CONCATENATE($T435,"-AI",REPLACE($X435,1,3,""),"-",QH435)</f>
        <v>N1-AI11-11A</v>
      </c>
      <c r="RG435" s="23" t="str">
        <f t="shared" ref="RG435" si="2011">CONCATENATE($T435,"-AI",REPLACE($X435,1,3,""),"-",QI435)</f>
        <v>N1-AI11-13B</v>
      </c>
      <c r="RH435" s="23" t="str">
        <f t="shared" ref="RH435" si="2012">CONCATENATE($T435,"-AI",REPLACE($X435,1,3,""),"-",QJ435)</f>
        <v>N1-AI11-13A</v>
      </c>
      <c r="RI435" s="23" t="str">
        <f t="shared" ref="RI435" si="2013">CONCATENATE($T435,"-AI",REPLACE($PZ435,1,3,""),"-",QK435)</f>
        <v>N1-AI12-1B</v>
      </c>
      <c r="RJ435" s="23" t="str">
        <f t="shared" ref="RJ435" si="2014">CONCATENATE($T435,"-AI",REPLACE($PZ435,1,3,""),"-",QL435)</f>
        <v>N1-AI12-1A</v>
      </c>
      <c r="RK435" s="23" t="str">
        <f t="shared" ref="RK435" si="2015">CONCATENATE($T435,"-AI",REPLACE($PZ435,1,3,""),"-",QM435)</f>
        <v>N1-AI12-3B</v>
      </c>
      <c r="RL435" s="23" t="str">
        <f t="shared" ref="RL435" si="2016">CONCATENATE($T435,"-AI",REPLACE($PZ435,1,3,""),"-",QN435)</f>
        <v>N1-AI12-3A</v>
      </c>
      <c r="RM435" s="23" t="str">
        <f t="shared" ref="RM435" si="2017">CONCATENATE($T435,"-AI",REPLACE($PZ435,1,3,""),"-",QO435)</f>
        <v>N1-AI12-5B</v>
      </c>
      <c r="RN435" s="23" t="str">
        <f t="shared" ref="RN435" si="2018">CONCATENATE($T435,"-AI",REPLACE($PZ435,1,3,""),"-",QP435)</f>
        <v>N1-AI12-5A</v>
      </c>
      <c r="RO435" s="23" t="str">
        <f t="shared" ref="RO435" si="2019">CONCATENATE($T435,"-AI",REPLACE($PZ435,1,3,""),"-",QQ435)</f>
        <v>N1-AI12-7B</v>
      </c>
      <c r="RP435" s="23" t="str">
        <f t="shared" ref="RP435" si="2020">CONCATENATE($T435,"-AI",REPLACE($PZ435,1,3,""),"-",QR435)</f>
        <v>N1-AI12-7A</v>
      </c>
      <c r="RQ435" s="23" t="str">
        <f t="shared" ref="RQ435" si="2021">CONCATENATE($T435,"-AI",REPLACE($PZ435,1,3,""),"-",QS435)</f>
        <v>N1-AI12-9B</v>
      </c>
      <c r="RR435" s="23" t="str">
        <f t="shared" ref="RR435" si="2022">CONCATENATE($T435,"-AI",REPLACE($PZ435,1,3,""),"-",QT435)</f>
        <v>N1-AI12-9A</v>
      </c>
      <c r="RS435" s="23" t="str">
        <f t="shared" ref="RS435" si="2023">CONCATENATE($T435,"-AI",REPLACE($PZ435,1,3,""),"-",QU435)</f>
        <v>N1-AI12-11B</v>
      </c>
      <c r="RT435" s="23" t="str">
        <f t="shared" ref="RT435" si="2024">CONCATENATE($T435,"-AI",REPLACE($PZ435,1,3,""),"-",QV435)</f>
        <v>N1-AI12-11A</v>
      </c>
      <c r="RU435" s="23" t="str">
        <f t="shared" ref="RU435" si="2025">CONCATENATE("XT",$U435)</f>
        <v>XT3</v>
      </c>
      <c r="RV435" s="23">
        <v>25</v>
      </c>
      <c r="RW435" s="23">
        <f>RV435+1</f>
        <v>26</v>
      </c>
      <c r="RX435" s="23">
        <f t="shared" ref="RX435:SS435" si="2026">RW435+1</f>
        <v>27</v>
      </c>
      <c r="RY435" s="23">
        <f t="shared" si="2026"/>
        <v>28</v>
      </c>
      <c r="RZ435" s="23">
        <f t="shared" si="2026"/>
        <v>29</v>
      </c>
      <c r="SA435" s="23">
        <f t="shared" si="2026"/>
        <v>30</v>
      </c>
      <c r="SB435" s="23">
        <f t="shared" si="2026"/>
        <v>31</v>
      </c>
      <c r="SC435" s="23">
        <f t="shared" si="2026"/>
        <v>32</v>
      </c>
      <c r="SD435" s="23">
        <f t="shared" si="2026"/>
        <v>33</v>
      </c>
      <c r="SE435" s="23">
        <f t="shared" si="2026"/>
        <v>34</v>
      </c>
      <c r="SF435" s="23">
        <f t="shared" si="2026"/>
        <v>35</v>
      </c>
      <c r="SG435" s="23">
        <f t="shared" si="2026"/>
        <v>36</v>
      </c>
      <c r="SH435" s="23">
        <f t="shared" si="2026"/>
        <v>37</v>
      </c>
      <c r="SI435" s="23">
        <f t="shared" si="2026"/>
        <v>38</v>
      </c>
      <c r="SJ435" s="23">
        <f t="shared" si="2026"/>
        <v>39</v>
      </c>
      <c r="SK435" s="23">
        <f t="shared" si="2026"/>
        <v>40</v>
      </c>
      <c r="SL435" s="23">
        <f t="shared" si="2026"/>
        <v>41</v>
      </c>
      <c r="SM435" s="23">
        <f t="shared" si="2026"/>
        <v>42</v>
      </c>
      <c r="SN435" s="23">
        <f t="shared" si="2026"/>
        <v>43</v>
      </c>
      <c r="SO435" s="23">
        <f t="shared" si="2026"/>
        <v>44</v>
      </c>
      <c r="SP435" s="23">
        <f t="shared" si="2026"/>
        <v>45</v>
      </c>
      <c r="SQ435" s="23">
        <f t="shared" si="2026"/>
        <v>46</v>
      </c>
      <c r="SR435" s="23">
        <f t="shared" si="2026"/>
        <v>47</v>
      </c>
      <c r="SS435" s="23">
        <f t="shared" si="2026"/>
        <v>48</v>
      </c>
      <c r="ST435" s="23">
        <f>SS435+1</f>
        <v>49</v>
      </c>
      <c r="SU435" s="23" t="s">
        <v>2399</v>
      </c>
      <c r="SV435" s="23" t="s">
        <v>2400</v>
      </c>
      <c r="SW435" s="23" t="s">
        <v>2401</v>
      </c>
      <c r="SX435" s="23" t="s">
        <v>2402</v>
      </c>
      <c r="SY435" s="23" t="s">
        <v>2403</v>
      </c>
      <c r="SZ435" s="23" t="s">
        <v>2404</v>
      </c>
      <c r="TA435" s="23" t="s">
        <v>2405</v>
      </c>
      <c r="TB435" s="23" t="s">
        <v>2406</v>
      </c>
      <c r="TC435" s="23" t="s">
        <v>2407</v>
      </c>
      <c r="TD435" s="23" t="s">
        <v>2408</v>
      </c>
      <c r="TE435" s="23" t="s">
        <v>2409</v>
      </c>
      <c r="TF435" s="23" t="s">
        <v>2410</v>
      </c>
      <c r="TG435" s="23" t="s">
        <v>1059</v>
      </c>
      <c r="TH435" s="23" t="s">
        <v>1128</v>
      </c>
      <c r="TI435" s="23" t="s">
        <v>1129</v>
      </c>
      <c r="TJ435" s="23" t="s">
        <v>1130</v>
      </c>
      <c r="TK435" s="23" t="s">
        <v>1132</v>
      </c>
      <c r="TL435" s="23" t="s">
        <v>1131</v>
      </c>
      <c r="TM435" s="23" t="s">
        <v>1133</v>
      </c>
      <c r="TN435" s="23" t="s">
        <v>1134</v>
      </c>
      <c r="TO435" s="23" t="s">
        <v>1135</v>
      </c>
      <c r="TP435" s="23" t="s">
        <v>1136</v>
      </c>
      <c r="TQ435" s="23" t="s">
        <v>1137</v>
      </c>
      <c r="TR435" s="24" t="s">
        <v>1138</v>
      </c>
    </row>
    <row r="436" spans="1:550" x14ac:dyDescent="0.25">
      <c r="A436" t="s">
        <v>2414</v>
      </c>
      <c r="B436" s="34" t="s">
        <v>2435</v>
      </c>
      <c r="C436" t="s">
        <v>1012</v>
      </c>
      <c r="P436" t="s">
        <v>1011</v>
      </c>
      <c r="T436" s="14" t="s">
        <v>2185</v>
      </c>
      <c r="U436">
        <v>4</v>
      </c>
      <c r="W436" t="s">
        <v>2447</v>
      </c>
      <c r="X436" t="s">
        <v>1148</v>
      </c>
      <c r="Y436" s="43" t="str" cm="1">
        <f t="array" ref="Y436">IF(COUNTIFS($X$379:$X436,$X436)=1,"1",VALUE(SUBSTITUTE(INDEX(Y:Y,_xlfn.XMATCH($X436,$X$1:$X435,0,-1)),"A",""))+INDEX(Z:Z,_xlfn.XMATCH($X436,$X$1:$X435,0,-1))+1)</f>
        <v>1</v>
      </c>
      <c r="Z436" s="43" cm="1">
        <f t="array" ref="Z436">SUM(IF(ISNUMBER(FIND("TmAi",$BE$1:$AAL$1)),IF(IFERROR(ISODD(SUBSTITUTE($BE436:$AAL436,"A","")),FALSE),IF(ISODD(SUBSTITUTE($BE436:$AAL436,"A","")),1,0),0)))</f>
        <v>1</v>
      </c>
      <c r="AA436" t="str">
        <f t="shared" si="1987"/>
        <v>1A</v>
      </c>
      <c r="AB436" t="str">
        <f t="shared" si="1988"/>
        <v>1B</v>
      </c>
      <c r="AP436" t="s">
        <v>2187</v>
      </c>
      <c r="AR436" t="s">
        <v>2436</v>
      </c>
      <c r="AS436" t="s">
        <v>396</v>
      </c>
      <c r="OG436" s="25" t="str">
        <f>CONCATENATE("XT",$U436)</f>
        <v>XT4</v>
      </c>
      <c r="OH436" s="12" t="s">
        <v>2415</v>
      </c>
      <c r="OI436" s="12" t="s">
        <v>2437</v>
      </c>
      <c r="OJ436" s="12"/>
      <c r="OK436" s="12"/>
      <c r="OL436" s="12" t="str">
        <f>CONCATENATE(REPLACE($AA436,LEN($AA436),1,"")+1,RIGHT($AA436))</f>
        <v>2A</v>
      </c>
      <c r="OM436" s="12" t="str">
        <f>CONCATENATE(REPLACE($AB436,LEN($AB436),1,"")+1,RIGHT($AB436))</f>
        <v>2B</v>
      </c>
      <c r="ON436" s="12" t="str">
        <f>CONCATENATE(REPLACE(OL436,LEN(OL436),1,"")+1,RIGHT(OL436))</f>
        <v>3A</v>
      </c>
      <c r="OO436" s="12" t="str">
        <f t="shared" ref="OO436:OO438" si="2027">CONCATENATE(REPLACE(OM436,LEN(OM436),1,"")+1,RIGHT(OM436))</f>
        <v>3B</v>
      </c>
      <c r="OP436" s="12" t="str">
        <f t="shared" ref="OP436:OP438" si="2028">CONCATENATE(REPLACE(ON436,LEN(ON436),1,"")+1,RIGHT(ON436))</f>
        <v>4A</v>
      </c>
      <c r="OQ436" s="12" t="str">
        <f t="shared" ref="OQ436:OQ438" si="2029">CONCATENATE(REPLACE(OO436,LEN(OO436),1,"")+1,RIGHT(OO436))</f>
        <v>4B</v>
      </c>
      <c r="OR436" s="12"/>
      <c r="OS436" s="12"/>
      <c r="OT436" s="12"/>
      <c r="OU436" s="12"/>
      <c r="OV436" s="12" t="str">
        <f>CONCATENATE($T436,"-AI",REPLACE($X436,1,3,""),"-",$AA436)</f>
        <v>N1-AI20-1A</v>
      </c>
      <c r="OW436" s="12" t="str">
        <f>CONCATENATE($T436,"-AI",REPLACE($X436,1,3,""),"-",$AB436)</f>
        <v>N1-AI20-1B</v>
      </c>
      <c r="OX436" s="12" t="str">
        <f t="shared" ref="OX436:OX438" si="2030">CONCATENATE($T436,"-AI",REPLACE($X436,1,3,""),"-",OL436)</f>
        <v>N1-AI20-2A</v>
      </c>
      <c r="OY436" s="12" t="str">
        <f t="shared" ref="OY436:OY438" si="2031">CONCATENATE($T436,"-AI",REPLACE($X436,1,3,""),"-",OM436)</f>
        <v>N1-AI20-2B</v>
      </c>
      <c r="OZ436" s="12" t="str">
        <f t="shared" ref="OZ436:OZ438" si="2032">CONCATENATE($T436,"-AI",REPLACE($X436,1,3,""),"-",ON436)</f>
        <v>N1-AI20-3A</v>
      </c>
      <c r="PA436" s="12" t="str">
        <f t="shared" ref="PA436:PA438" si="2033">CONCATENATE($T436,"-AI",REPLACE($X436,1,3,""),"-",OO436)</f>
        <v>N1-AI20-3B</v>
      </c>
      <c r="PB436" s="12" t="str">
        <f t="shared" ref="PB436:PB438" si="2034">CONCATENATE($T436,"-AI",REPLACE($X436,1,3,""),"-",OP436)</f>
        <v>N1-AI20-4A</v>
      </c>
      <c r="PC436" s="12" t="str">
        <f t="shared" ref="PC436:PC438" si="2035">CONCATENATE($T436,"-AI",REPLACE($X436,1,3,""),"-",OQ436)</f>
        <v>N1-AI20-4B</v>
      </c>
      <c r="PD436" s="12"/>
      <c r="PE436" s="12"/>
      <c r="PF436" s="12"/>
      <c r="PG436" s="12"/>
      <c r="PH436" s="12" cm="1">
        <f t="array" ref="PH436">IF(COUNTIFS($U$379:$U436,$U436)=1,1,INDEX(PH:PH,_xlfn.XMATCH($U436,$U$379:EF435,0,-1))+COUNT(PH435:PM435))</f>
        <v>1</v>
      </c>
      <c r="PI436" s="12">
        <f t="shared" ref="PI436:PI438" si="2036">PH436+1</f>
        <v>2</v>
      </c>
      <c r="PJ436" s="12">
        <f t="shared" ref="PJ436:PJ438" si="2037">PI436+1</f>
        <v>3</v>
      </c>
      <c r="PK436" s="12">
        <f>PJ436+1</f>
        <v>4</v>
      </c>
      <c r="PL436" s="12">
        <f t="shared" ref="PL436:PL438" si="2038">PK436+1</f>
        <v>5</v>
      </c>
      <c r="PM436" s="12">
        <f t="shared" ref="PM436:PM438" si="2039">PL436+1</f>
        <v>6</v>
      </c>
      <c r="PN436" s="12"/>
      <c r="PO436" s="12"/>
      <c r="PP436" s="12"/>
      <c r="PQ436" s="12">
        <v>1</v>
      </c>
      <c r="PR436" s="12">
        <v>2</v>
      </c>
      <c r="PS436" s="12">
        <v>3</v>
      </c>
      <c r="PT436" s="12">
        <v>4</v>
      </c>
      <c r="PU436" s="12">
        <v>5</v>
      </c>
      <c r="PV436" s="13">
        <v>6</v>
      </c>
    </row>
    <row r="437" spans="1:550" ht="15.75" thickBot="1" x14ac:dyDescent="0.3">
      <c r="A437" t="s">
        <v>2416</v>
      </c>
      <c r="B437" t="s">
        <v>2438</v>
      </c>
      <c r="C437" t="s">
        <v>1012</v>
      </c>
      <c r="P437" t="s">
        <v>1011</v>
      </c>
      <c r="T437" s="14" t="s">
        <v>2185</v>
      </c>
      <c r="U437">
        <v>4</v>
      </c>
      <c r="W437" t="s">
        <v>2448</v>
      </c>
      <c r="X437" t="str">
        <f>IF(COUNTIF(X$379:X436,X436)&gt;7,REPLACE(X436,LEN(X436),1,VALUE(RIGHT(X436,1))+1),X436)</f>
        <v>A3.20</v>
      </c>
      <c r="Y437" s="43" cm="1">
        <f t="array" ref="Y437">IF(COUNTIFS($X$379:$X437,$X437)=1,"1",VALUE(SUBSTITUTE(INDEX(Y:Y,_xlfn.XMATCH($X437,$X$1:$X436,0,-1)),"A",""))+INDEX(Z:Z,_xlfn.XMATCH($X437,$X$1:$X436,0,-1))+1)</f>
        <v>3</v>
      </c>
      <c r="Z437" s="43" cm="1">
        <f t="array" ref="Z437">SUM(IF(ISNUMBER(FIND("TmAi",$BE$1:$AAL$1)),IF(IFERROR(ISODD(SUBSTITUTE($BE437:$AAL437,"A","")),FALSE),IF(ISODD(SUBSTITUTE($BE437:$AAL437,"A","")),1,0),0)))</f>
        <v>1</v>
      </c>
      <c r="AA437" t="str">
        <f t="shared" si="1987"/>
        <v>5A</v>
      </c>
      <c r="AB437" t="str">
        <f t="shared" si="1988"/>
        <v>5B</v>
      </c>
      <c r="AP437" t="s">
        <v>2187</v>
      </c>
      <c r="AR437" t="s">
        <v>2436</v>
      </c>
      <c r="AS437" t="s">
        <v>396</v>
      </c>
      <c r="OG437" s="27" t="str">
        <f t="shared" ref="OG437:OG438" si="2040">CONCATENATE("XT",$U437)</f>
        <v>XT4</v>
      </c>
      <c r="OH437" t="s">
        <v>2417</v>
      </c>
      <c r="OI437" t="s">
        <v>2439</v>
      </c>
      <c r="OL437" t="str">
        <f t="shared" ref="OL437:OL438" si="2041">CONCATENATE(REPLACE($AA437,LEN($AA437),1,"")+1,RIGHT($AA437))</f>
        <v>6A</v>
      </c>
      <c r="OM437" t="str">
        <f t="shared" ref="OM437:OM438" si="2042">CONCATENATE(REPLACE($AB437,LEN($AB437),1,"")+1,RIGHT($AB437))</f>
        <v>6B</v>
      </c>
      <c r="ON437" t="str">
        <f t="shared" ref="ON437:ON438" si="2043">CONCATENATE(REPLACE(OL437,LEN(OL437),1,"")+1,RIGHT(OL437))</f>
        <v>7A</v>
      </c>
      <c r="OO437" t="str">
        <f t="shared" si="2027"/>
        <v>7B</v>
      </c>
      <c r="OP437" t="str">
        <f t="shared" si="2028"/>
        <v>8A</v>
      </c>
      <c r="OQ437" t="str">
        <f t="shared" si="2029"/>
        <v>8B</v>
      </c>
      <c r="OV437" t="str">
        <f>CONCATENATE($T437,"-AI",REPLACE($X437,1,3,""),"-",$AA437)</f>
        <v>N1-AI20-5A</v>
      </c>
      <c r="OW437" t="str">
        <f>CONCATENATE($T437,"-AI",REPLACE($X437,1,3,""),"-",$AB437)</f>
        <v>N1-AI20-5B</v>
      </c>
      <c r="OX437" t="str">
        <f t="shared" si="2030"/>
        <v>N1-AI20-6A</v>
      </c>
      <c r="OY437" t="str">
        <f t="shared" si="2031"/>
        <v>N1-AI20-6B</v>
      </c>
      <c r="OZ437" t="str">
        <f t="shared" si="2032"/>
        <v>N1-AI20-7A</v>
      </c>
      <c r="PA437" t="str">
        <f t="shared" si="2033"/>
        <v>N1-AI20-7B</v>
      </c>
      <c r="PB437" t="str">
        <f t="shared" si="2034"/>
        <v>N1-AI20-8A</v>
      </c>
      <c r="PC437" t="str">
        <f t="shared" si="2035"/>
        <v>N1-AI20-8B</v>
      </c>
      <c r="PH437" cm="1">
        <f t="array" ref="PH437">IF(COUNTIFS($U$2:$U437,$U437)=1,1,INDEX(PH:PH,_xlfn.XMATCH($U437,$U$1:$U436,0,-1))+COUNT(PH436:PM436))</f>
        <v>7</v>
      </c>
      <c r="PI437">
        <f t="shared" si="2036"/>
        <v>8</v>
      </c>
      <c r="PJ437">
        <f t="shared" si="2037"/>
        <v>9</v>
      </c>
      <c r="PK437">
        <f t="shared" ref="PK437:PK438" si="2044">PJ437+1</f>
        <v>10</v>
      </c>
      <c r="PL437">
        <f t="shared" si="2038"/>
        <v>11</v>
      </c>
      <c r="PM437">
        <f t="shared" si="2039"/>
        <v>12</v>
      </c>
      <c r="PQ437">
        <v>7</v>
      </c>
      <c r="PR437">
        <v>8</v>
      </c>
      <c r="PS437">
        <v>9</v>
      </c>
      <c r="PT437">
        <v>10</v>
      </c>
      <c r="PU437">
        <v>11</v>
      </c>
      <c r="PV437" s="16">
        <v>12</v>
      </c>
    </row>
    <row r="438" spans="1:550" ht="15.75" thickBot="1" x14ac:dyDescent="0.3">
      <c r="A438" t="s">
        <v>2418</v>
      </c>
      <c r="B438" t="s">
        <v>2440</v>
      </c>
      <c r="C438" t="s">
        <v>1012</v>
      </c>
      <c r="P438" t="s">
        <v>1047</v>
      </c>
      <c r="T438" s="14" t="s">
        <v>2185</v>
      </c>
      <c r="U438">
        <v>4</v>
      </c>
      <c r="W438" t="s">
        <v>2449</v>
      </c>
      <c r="X438" t="str">
        <f>IF(COUNTIF(X$379:X437,X437)&gt;7,REPLACE(X437,LEN(X437),1,VALUE(RIGHT(X437,1))+1),X437)</f>
        <v>A3.20</v>
      </c>
      <c r="Y438" s="43" cm="1">
        <f t="array" ref="Y438">IF(COUNTIFS($X$379:$X438,$X438)=1,"1",VALUE(SUBSTITUTE(INDEX(Y:Y,_xlfn.XMATCH($X438,$X$1:$X437,0,-1)),"A",""))+INDEX(Z:Z,_xlfn.XMATCH($X438,$X$1:$X437,0,-1))+1)</f>
        <v>5</v>
      </c>
      <c r="Z438" s="43" cm="1">
        <f t="array" ref="Z438">SUM(IF(ISNUMBER(FIND("TmAi",$BE$1:$AAL$1)),IF(IFERROR(ISODD(SUBSTITUTE($BE438:$AAL438,"A","")),FALSE),IF(ISODD(SUBSTITUTE($BE438:$AAL438,"A","")),1,0),0)))</f>
        <v>2</v>
      </c>
      <c r="AA438" t="str">
        <f t="shared" si="1987"/>
        <v>9A</v>
      </c>
      <c r="AB438" t="str">
        <f t="shared" si="1988"/>
        <v>9B</v>
      </c>
      <c r="AP438" t="s">
        <v>2187</v>
      </c>
      <c r="AR438" t="s">
        <v>2441</v>
      </c>
      <c r="AS438" t="s">
        <v>396</v>
      </c>
      <c r="OG438" s="27" t="str">
        <f t="shared" si="2040"/>
        <v>XT4</v>
      </c>
      <c r="OH438" t="s">
        <v>2419</v>
      </c>
      <c r="OI438" t="s">
        <v>2442</v>
      </c>
      <c r="OJ438" t="s">
        <v>2420</v>
      </c>
      <c r="OK438" t="s">
        <v>2443</v>
      </c>
      <c r="OL438" t="str">
        <f t="shared" si="2041"/>
        <v>10A</v>
      </c>
      <c r="OM438" t="str">
        <f t="shared" si="2042"/>
        <v>10B</v>
      </c>
      <c r="ON438" t="str">
        <f t="shared" si="2043"/>
        <v>11A</v>
      </c>
      <c r="OO438" t="str">
        <f t="shared" si="2027"/>
        <v>11B</v>
      </c>
      <c r="OP438" t="str">
        <f t="shared" si="2028"/>
        <v>12A</v>
      </c>
      <c r="OQ438" t="str">
        <f t="shared" si="2029"/>
        <v>12B</v>
      </c>
      <c r="OR438" t="str">
        <f t="shared" ref="OR438" si="2045">CONCATENATE(REPLACE(OP438,LEN(OP438),1,"")+1,RIGHT(OP438))</f>
        <v>13A</v>
      </c>
      <c r="OS438" t="str">
        <f t="shared" ref="OS438" si="2046">CONCATENATE(REPLACE(OQ438,LEN(OQ438),1,"")+1,RIGHT(OQ438))</f>
        <v>13B</v>
      </c>
      <c r="OT438" t="str">
        <f t="shared" ref="OT438" si="2047">CONCATENATE(REPLACE(OR438,LEN(OR438),1,"")+1,RIGHT(OR438))</f>
        <v>14A</v>
      </c>
      <c r="OU438" t="str">
        <f t="shared" ref="OU438" si="2048">CONCATENATE(REPLACE(OS438,LEN(OS438),1,"")+1,RIGHT(OS438))</f>
        <v>14B</v>
      </c>
      <c r="OV438" t="str">
        <f>CONCATENATE($T438,"-AI",REPLACE($X438,1,3,""),"-",$AA438)</f>
        <v>N1-AI20-9A</v>
      </c>
      <c r="OW438" t="str">
        <f>CONCATENATE($T438,"-AI",REPLACE($X438,1,3,""),"-",$AB438)</f>
        <v>N1-AI20-9B</v>
      </c>
      <c r="OX438" t="str">
        <f t="shared" si="2030"/>
        <v>N1-AI20-10A</v>
      </c>
      <c r="OY438" t="str">
        <f t="shared" si="2031"/>
        <v>N1-AI20-10B</v>
      </c>
      <c r="OZ438" t="str">
        <f t="shared" si="2032"/>
        <v>N1-AI20-11A</v>
      </c>
      <c r="PA438" t="str">
        <f t="shared" si="2033"/>
        <v>N1-AI20-11B</v>
      </c>
      <c r="PB438" t="str">
        <f t="shared" si="2034"/>
        <v>N1-AI20-12A</v>
      </c>
      <c r="PC438" t="str">
        <f t="shared" si="2035"/>
        <v>N1-AI20-12B</v>
      </c>
      <c r="PD438" t="str">
        <f t="shared" ref="PD438" si="2049">CONCATENATE($T438,"-AI",REPLACE($X438,1,3,""),"-",OR438)</f>
        <v>N1-AI20-13A</v>
      </c>
      <c r="PE438" t="str">
        <f t="shared" ref="PE438" si="2050">CONCATENATE($T438,"-AI",REPLACE($X438,1,3,""),"-",OS438)</f>
        <v>N1-AI20-13B</v>
      </c>
      <c r="PF438" t="str">
        <f t="shared" ref="PF438" si="2051">CONCATENATE($T438,"-AI",REPLACE($X438,1,3,""),"-",OT438)</f>
        <v>N1-AI20-14A</v>
      </c>
      <c r="PG438" t="str">
        <f t="shared" ref="PG438" si="2052">CONCATENATE($T438,"-AI",REPLACE($X438,1,3,""),"-",OU438)</f>
        <v>N1-AI20-14B</v>
      </c>
      <c r="PH438" cm="1">
        <f t="array" ref="PH438">IF(COUNTIFS($U$2:$U438,$U438)=1,1,INDEX(PH:PH,_xlfn.XMATCH($U438,$U$1:$U437,0,-1))+COUNT(PH437:PM437))</f>
        <v>13</v>
      </c>
      <c r="PI438">
        <f t="shared" si="2036"/>
        <v>14</v>
      </c>
      <c r="PJ438">
        <f t="shared" si="2037"/>
        <v>15</v>
      </c>
      <c r="PK438">
        <f t="shared" si="2044"/>
        <v>16</v>
      </c>
      <c r="PL438">
        <f t="shared" si="2038"/>
        <v>17</v>
      </c>
      <c r="PM438">
        <f t="shared" si="2039"/>
        <v>18</v>
      </c>
      <c r="PN438">
        <f t="shared" ref="PN438" si="2053">PM438+1</f>
        <v>19</v>
      </c>
      <c r="PO438">
        <f t="shared" ref="PO438" si="2054">PN438+1</f>
        <v>20</v>
      </c>
      <c r="PP438">
        <f t="shared" ref="PP438" si="2055">PO438+1</f>
        <v>21</v>
      </c>
      <c r="PQ438">
        <v>1</v>
      </c>
      <c r="PR438">
        <v>2</v>
      </c>
      <c r="PS438">
        <v>3</v>
      </c>
      <c r="PT438">
        <v>4</v>
      </c>
      <c r="PU438">
        <v>5</v>
      </c>
      <c r="PV438">
        <v>6</v>
      </c>
      <c r="PW438" s="12">
        <v>7</v>
      </c>
      <c r="PX438" s="12">
        <v>8</v>
      </c>
      <c r="PY438" s="13">
        <v>9</v>
      </c>
    </row>
    <row r="439" spans="1:550" ht="15.75" thickBot="1" x14ac:dyDescent="0.3">
      <c r="A439" t="s">
        <v>2421</v>
      </c>
      <c r="B439" s="58" t="s">
        <v>2444</v>
      </c>
      <c r="P439" t="s">
        <v>482</v>
      </c>
      <c r="T439" s="14" t="s">
        <v>2185</v>
      </c>
      <c r="U439">
        <v>4</v>
      </c>
      <c r="W439" t="s">
        <v>2450</v>
      </c>
      <c r="X439" t="s">
        <v>2452</v>
      </c>
      <c r="Y439" s="43" t="str" cm="1">
        <f t="array" ref="Y439">IF(COUNTIFS($X$379:$X439,$X439)=1,"1",VALUE(SUBSTITUTE(INDEX(Y:Y,_xlfn.XMATCH($X439,$X$1:$X438,0,-1)),"A",""))+INDEX(Z:Z,_xlfn.XMATCH($X439,$X$1:$X438,0,-1))+1)</f>
        <v>1</v>
      </c>
      <c r="Z439" s="43" cm="1">
        <f t="array" ref="Z439">SUM(IF(ISNUMBER(FIND("TmAi",$BE$1:$AAL$1)),IF(IFERROR(ISODD(SUBSTITUTE($BE439:$AAL439,"A","")),FALSE),IF(ISODD(SUBSTITUTE($BE439:$AAL439,"A","")),1,0),0)))</f>
        <v>0</v>
      </c>
      <c r="AA439" t="str">
        <f t="shared" ref="AA439" si="2056">CONCATENATE($Y439*2-1,"B")</f>
        <v>1B</v>
      </c>
      <c r="AB439" t="str">
        <f t="shared" ref="AB439" si="2057">CONCATENATE($Y439*2,"B")</f>
        <v>2B</v>
      </c>
      <c r="AP439" t="s">
        <v>2187</v>
      </c>
      <c r="AQ439" t="s">
        <v>2453</v>
      </c>
      <c r="AS439" t="s">
        <v>396</v>
      </c>
      <c r="JZ439" s="25" t="str">
        <f>CONCATENATE("XT",U439)</f>
        <v>XT4</v>
      </c>
      <c r="KA439" s="12"/>
      <c r="KB439" s="12"/>
      <c r="KC439" s="12" t="str">
        <f>CONCATENATE(T439,"-AI",REPLACE($X439,1,3,""),"-",AA439)</f>
        <v>N1-AI13-1B</v>
      </c>
      <c r="KD439" s="12" t="str">
        <f>CONCATENATE(T439,"-AI",REPLACE($X439,1,3,""),"-",AB439)</f>
        <v>N1-AI13-2B</v>
      </c>
      <c r="KE439" s="12"/>
      <c r="KF439" s="12"/>
      <c r="KG439" s="12"/>
      <c r="KH439" s="12"/>
      <c r="KI439" s="12">
        <v>22</v>
      </c>
      <c r="KJ439" s="12">
        <f t="shared" ref="KJ439" si="2058">KI439+1</f>
        <v>23</v>
      </c>
      <c r="KK439" s="12">
        <f t="shared" ref="KK439" si="2059">KJ439+1</f>
        <v>24</v>
      </c>
      <c r="KL439" s="12"/>
      <c r="KM439" s="12"/>
      <c r="KN439" s="12" t="s">
        <v>548</v>
      </c>
      <c r="KO439" s="12" t="s">
        <v>548</v>
      </c>
      <c r="KP439" s="12"/>
      <c r="KQ439" s="12"/>
      <c r="KR439" s="12"/>
      <c r="KS439" s="12"/>
      <c r="KT439" s="12"/>
      <c r="KU439" s="12"/>
      <c r="KV439" s="12"/>
      <c r="KW439" s="12"/>
      <c r="KX439" s="12"/>
      <c r="KY439" s="12"/>
      <c r="KZ439" s="12"/>
      <c r="LA439" s="12"/>
      <c r="LB439" s="12"/>
      <c r="LC439" s="12"/>
      <c r="LD439" s="12"/>
      <c r="LE439" s="12"/>
      <c r="LF439" s="12"/>
      <c r="LG439" s="12"/>
      <c r="LH439" s="12"/>
      <c r="LI439" s="12"/>
      <c r="LJ439" s="12"/>
      <c r="LK439" s="12"/>
      <c r="LL439" s="12"/>
      <c r="LM439" s="12"/>
      <c r="LN439" s="12"/>
      <c r="LO439" s="12"/>
      <c r="LP439" s="12"/>
      <c r="LQ439" s="12"/>
      <c r="LR439" s="12"/>
      <c r="LS439" s="12"/>
      <c r="LT439" s="12"/>
      <c r="LU439" s="12"/>
      <c r="LV439" s="12"/>
      <c r="LW439" s="12"/>
      <c r="LX439" s="12"/>
      <c r="LY439" s="12"/>
      <c r="LZ439" s="12"/>
      <c r="MA439" s="12"/>
      <c r="MB439" s="12"/>
      <c r="MC439" s="12"/>
      <c r="MD439" s="12"/>
      <c r="ME439" s="12"/>
      <c r="MF439" s="12"/>
      <c r="MG439" s="12"/>
      <c r="MH439" s="12"/>
      <c r="MI439" s="12"/>
      <c r="MJ439" s="12"/>
      <c r="MK439" s="12"/>
      <c r="ML439" s="12"/>
      <c r="MM439" s="12"/>
      <c r="MN439" s="12"/>
      <c r="MO439" s="12"/>
      <c r="MP439" s="12"/>
      <c r="MQ439" s="12"/>
      <c r="MR439" s="12"/>
      <c r="MS439" s="12"/>
      <c r="MT439" s="12"/>
      <c r="MU439" s="12"/>
      <c r="MV439" s="12"/>
      <c r="MW439" s="12"/>
      <c r="MX439" s="12"/>
      <c r="MY439" s="12"/>
      <c r="MZ439" s="12"/>
      <c r="NA439" s="12"/>
      <c r="NB439" s="12"/>
      <c r="NC439" s="12"/>
      <c r="ND439" s="12"/>
      <c r="NE439" s="12"/>
      <c r="NF439" s="12"/>
      <c r="NG439" s="12"/>
      <c r="NH439" s="12"/>
      <c r="NI439" s="12"/>
      <c r="NJ439" s="12"/>
      <c r="NK439" s="12"/>
      <c r="NL439" s="12"/>
      <c r="NM439" s="12"/>
      <c r="NN439" s="12"/>
      <c r="NO439" s="12"/>
      <c r="NP439" s="12"/>
      <c r="NQ439" s="12"/>
      <c r="NR439" s="12"/>
      <c r="NS439" s="12"/>
      <c r="NT439" s="12"/>
      <c r="NU439" s="12"/>
      <c r="NV439" s="12"/>
      <c r="NW439" s="12"/>
      <c r="NX439" s="12"/>
      <c r="NY439" s="12"/>
      <c r="NZ439" s="12"/>
      <c r="OA439" s="12"/>
      <c r="OB439" s="12"/>
      <c r="OC439" s="12"/>
      <c r="OD439" s="12"/>
      <c r="OE439" s="12"/>
      <c r="OF439" s="12"/>
      <c r="PY439" s="16"/>
    </row>
    <row r="440" spans="1:550" ht="15.75" thickBot="1" x14ac:dyDescent="0.3">
      <c r="A440" t="s">
        <v>2422</v>
      </c>
      <c r="B440" s="33" t="s">
        <v>2445</v>
      </c>
      <c r="P440" t="s">
        <v>1061</v>
      </c>
      <c r="T440" s="14" t="s">
        <v>2185</v>
      </c>
      <c r="U440">
        <v>4</v>
      </c>
      <c r="W440" t="s">
        <v>2451</v>
      </c>
      <c r="X440" t="str">
        <f>IF(COUNTIF(X$379:X439,X439)&gt;7,REPLACE(X439,LEN(X439),1,VALUE(RIGHT(X439,1))+1),X439)</f>
        <v>A3.13</v>
      </c>
      <c r="Y440" s="43" cm="1">
        <f t="array" ref="Y440">IF(COUNTIFS($X$379:$X440,$X440)=1,"1",VALUE(SUBSTITUTE(INDEX(Y:Y,_xlfn.XMATCH($X440,$X$1:$X439,0,-1)),"A",""))+INDEX(Z:Z,_xlfn.XMATCH($X440,$X$1:$X439,0,-1))+1)</f>
        <v>2</v>
      </c>
      <c r="Z440" s="43" cm="1">
        <f t="array" ref="Z440">SUM(IF(ISNUMBER(FIND("TmAi",$BE$1:$AAL$1)),IF(IFERROR(ISODD(SUBSTITUTE($BE440:$AAL440,"A","")),FALSE),IF(ISODD(SUBSTITUTE($BE440:$AAL440,"A","")),1,0),0)))</f>
        <v>11</v>
      </c>
      <c r="AA440" t="str">
        <f t="shared" si="1987"/>
        <v>3A</v>
      </c>
      <c r="AB440" t="str">
        <f t="shared" si="1988"/>
        <v>3B</v>
      </c>
      <c r="AP440" t="s">
        <v>2187</v>
      </c>
      <c r="AR440" t="s">
        <v>2446</v>
      </c>
      <c r="AS440" t="s">
        <v>396</v>
      </c>
      <c r="JZ440" s="28"/>
      <c r="KA440" s="19"/>
      <c r="KB440" s="19"/>
      <c r="KC440" s="19"/>
      <c r="KD440" s="19"/>
      <c r="KE440" s="19"/>
      <c r="KF440" s="19"/>
      <c r="KG440" s="19"/>
      <c r="KH440" s="19"/>
      <c r="KI440" s="19"/>
      <c r="KJ440" s="19"/>
      <c r="KK440" s="19"/>
      <c r="KL440" s="19"/>
      <c r="KM440" s="19"/>
      <c r="KN440" s="19"/>
      <c r="KO440" s="19"/>
      <c r="KP440" s="19"/>
      <c r="KQ440" s="19"/>
      <c r="KR440" s="19"/>
      <c r="KS440" s="19"/>
      <c r="KT440" s="19"/>
      <c r="KU440" s="19"/>
      <c r="KV440" s="19"/>
      <c r="KW440" s="19"/>
      <c r="KX440" s="19"/>
      <c r="KY440" s="19"/>
      <c r="KZ440" s="19"/>
      <c r="LA440" s="19"/>
      <c r="LB440" s="19"/>
      <c r="LC440" s="19"/>
      <c r="LD440" s="19"/>
      <c r="LE440" s="19"/>
      <c r="LF440" s="19"/>
      <c r="LG440" s="19"/>
      <c r="LH440" s="19"/>
      <c r="LI440" s="19"/>
      <c r="LJ440" s="19"/>
      <c r="LK440" s="19"/>
      <c r="LL440" s="19"/>
      <c r="LM440" s="19"/>
      <c r="LN440" s="19"/>
      <c r="LO440" s="19"/>
      <c r="LP440" s="19"/>
      <c r="LQ440" s="19"/>
      <c r="LR440" s="19"/>
      <c r="LS440" s="19"/>
      <c r="LT440" s="19"/>
      <c r="LU440" s="19"/>
      <c r="LV440" s="19"/>
      <c r="LW440" s="19"/>
      <c r="LX440" s="19"/>
      <c r="LY440" s="19"/>
      <c r="LZ440" s="19"/>
      <c r="MA440" s="19"/>
      <c r="MB440" s="19"/>
      <c r="MC440" s="19"/>
      <c r="MD440" s="19"/>
      <c r="ME440" s="19"/>
      <c r="MF440" s="19"/>
      <c r="MG440" s="19"/>
      <c r="MH440" s="19"/>
      <c r="MI440" s="19"/>
      <c r="MJ440" s="19"/>
      <c r="MK440" s="19"/>
      <c r="ML440" s="19"/>
      <c r="MM440" s="19"/>
      <c r="MN440" s="19"/>
      <c r="MO440" s="19"/>
      <c r="MP440" s="19"/>
      <c r="MQ440" s="19"/>
      <c r="MR440" s="19"/>
      <c r="MS440" s="19"/>
      <c r="MT440" s="19"/>
      <c r="MU440" s="19"/>
      <c r="MV440" s="19"/>
      <c r="MW440" s="19"/>
      <c r="MX440" s="19"/>
      <c r="MY440" s="19"/>
      <c r="MZ440" s="19"/>
      <c r="NA440" s="19"/>
      <c r="NB440" s="19"/>
      <c r="NC440" s="19"/>
      <c r="ND440" s="19"/>
      <c r="NE440" s="19"/>
      <c r="NF440" s="19"/>
      <c r="NG440" s="19"/>
      <c r="NH440" s="19"/>
      <c r="NI440" s="19"/>
      <c r="NJ440" s="19"/>
      <c r="NK440" s="19"/>
      <c r="NL440" s="19"/>
      <c r="NM440" s="19"/>
      <c r="NN440" s="19"/>
      <c r="NO440" s="19"/>
      <c r="NP440" s="19"/>
      <c r="NQ440" s="19"/>
      <c r="NR440" s="19"/>
      <c r="NS440" s="19"/>
      <c r="NT440" s="19"/>
      <c r="NU440" s="19"/>
      <c r="NV440" s="19"/>
      <c r="NW440" s="19"/>
      <c r="NX440" s="19"/>
      <c r="NY440" s="19"/>
      <c r="NZ440" s="19"/>
      <c r="OA440" s="19"/>
      <c r="OB440" s="19"/>
      <c r="OC440" s="19"/>
      <c r="OD440" s="19"/>
      <c r="OE440" s="19"/>
      <c r="OF440" s="19"/>
      <c r="OG440" s="19"/>
      <c r="OH440" s="19"/>
      <c r="OI440" s="19"/>
      <c r="OJ440" s="19"/>
      <c r="OK440" s="19"/>
      <c r="OL440" s="19"/>
      <c r="OM440" s="19"/>
      <c r="ON440" s="19"/>
      <c r="OO440" s="19"/>
      <c r="OP440" s="19"/>
      <c r="OQ440" s="19"/>
      <c r="OR440" s="19"/>
      <c r="OS440" s="19"/>
      <c r="OT440" s="19"/>
      <c r="OU440" s="19"/>
      <c r="OV440" s="19"/>
      <c r="OW440" s="19"/>
      <c r="OX440" s="19"/>
      <c r="OY440" s="19"/>
      <c r="OZ440" s="19"/>
      <c r="PA440" s="19"/>
      <c r="PB440" s="19"/>
      <c r="PC440" s="19"/>
      <c r="PD440" s="19"/>
      <c r="PE440" s="19"/>
      <c r="PF440" s="19"/>
      <c r="PG440" s="19"/>
      <c r="PH440" s="19"/>
      <c r="PI440" s="19"/>
      <c r="PJ440" s="19"/>
      <c r="PK440" s="19"/>
      <c r="PL440" s="19"/>
      <c r="PM440" s="19"/>
      <c r="PN440" s="19"/>
      <c r="PO440" s="19"/>
      <c r="PP440" s="19"/>
      <c r="PQ440" s="19"/>
      <c r="PR440" s="19"/>
      <c r="PS440" s="19"/>
      <c r="PT440" s="19"/>
      <c r="PU440" s="19"/>
      <c r="PV440" s="19"/>
      <c r="PW440" s="19"/>
      <c r="PX440" s="19"/>
      <c r="PY440" s="19"/>
      <c r="PZ440" s="23" t="str">
        <f>REPLACE(X440,FIND(".",X440)+1,3,MID(X440,FIND(".",X440)+1,3)+1)</f>
        <v>A3.14</v>
      </c>
      <c r="QA440" s="23" t="str">
        <f>CONCATENATE(VALUE(SUBSTITUTE($AB440,"B",""))+2,"B")</f>
        <v>5B</v>
      </c>
      <c r="QB440" s="23" t="str">
        <f>CONCATENATE(VALUE(SUBSTITUTE($AA440,"A",""))+2,"A")</f>
        <v>5A</v>
      </c>
      <c r="QC440" s="23" t="str">
        <f>CONCATENATE(VALUE(SUBSTITUTE(QA440,"B",""))+2,"B")</f>
        <v>7B</v>
      </c>
      <c r="QD440" s="23" t="str">
        <f>CONCATENATE(VALUE(SUBSTITUTE(QB440,"A",""))+2,"A")</f>
        <v>7A</v>
      </c>
      <c r="QE440" s="23" t="str">
        <f t="shared" ref="QE440" si="2060">CONCATENATE(VALUE(SUBSTITUTE(QC440,"B",""))+2,"B")</f>
        <v>9B</v>
      </c>
      <c r="QF440" s="23" t="str">
        <f t="shared" ref="QF440" si="2061">CONCATENATE(VALUE(SUBSTITUTE(QD440,"A",""))+2,"A")</f>
        <v>9A</v>
      </c>
      <c r="QG440" s="23" t="str">
        <f t="shared" ref="QG440" si="2062">CONCATENATE(VALUE(SUBSTITUTE(QE440,"B",""))+2,"B")</f>
        <v>11B</v>
      </c>
      <c r="QH440" s="23" t="str">
        <f t="shared" ref="QH440" si="2063">CONCATENATE(VALUE(SUBSTITUTE(QF440,"A",""))+2,"A")</f>
        <v>11A</v>
      </c>
      <c r="QI440" s="23" t="str">
        <f t="shared" ref="QI440" si="2064">CONCATENATE(VALUE(SUBSTITUTE(QG440,"B",""))+2,"B")</f>
        <v>13B</v>
      </c>
      <c r="QJ440" s="23" t="str">
        <f t="shared" ref="QJ440" si="2065">CONCATENATE(VALUE(SUBSTITUTE(QH440,"A",""))+2,"A")</f>
        <v>13A</v>
      </c>
      <c r="QK440" s="23" t="s">
        <v>135</v>
      </c>
      <c r="QL440" s="23" t="s">
        <v>136</v>
      </c>
      <c r="QM440" s="23" t="str">
        <f t="shared" ref="QM440" si="2066">CONCATENATE(VALUE(SUBSTITUTE(QK440,"B",""))+2,"B")</f>
        <v>3B</v>
      </c>
      <c r="QN440" s="23" t="str">
        <f t="shared" ref="QN440" si="2067">CONCATENATE(VALUE(SUBSTITUTE(QL440,"A",""))+2,"A")</f>
        <v>3A</v>
      </c>
      <c r="QO440" s="23" t="str">
        <f t="shared" ref="QO440" si="2068">CONCATENATE(VALUE(SUBSTITUTE(QM440,"B",""))+2,"B")</f>
        <v>5B</v>
      </c>
      <c r="QP440" s="23" t="str">
        <f t="shared" ref="QP440" si="2069">CONCATENATE(VALUE(SUBSTITUTE(QN440,"A",""))+2,"A")</f>
        <v>5A</v>
      </c>
      <c r="QQ440" s="23" t="str">
        <f t="shared" ref="QQ440" si="2070">CONCATENATE(VALUE(SUBSTITUTE(QO440,"B",""))+2,"B")</f>
        <v>7B</v>
      </c>
      <c r="QR440" s="23" t="str">
        <f t="shared" ref="QR440" si="2071">CONCATENATE(VALUE(SUBSTITUTE(QP440,"A",""))+2,"A")</f>
        <v>7A</v>
      </c>
      <c r="QS440" s="23" t="str">
        <f t="shared" ref="QS440" si="2072">CONCATENATE(VALUE(SUBSTITUTE(QQ440,"B",""))+2,"B")</f>
        <v>9B</v>
      </c>
      <c r="QT440" s="23" t="str">
        <f t="shared" ref="QT440" si="2073">CONCATENATE(VALUE(SUBSTITUTE(QR440,"A",""))+2,"A")</f>
        <v>9A</v>
      </c>
      <c r="QU440" s="23" t="str">
        <f t="shared" ref="QU440" si="2074">CONCATENATE(VALUE(SUBSTITUTE(QS440,"B",""))+2,"B")</f>
        <v>11B</v>
      </c>
      <c r="QV440" s="23" t="str">
        <f t="shared" ref="QV440" si="2075">CONCATENATE(VALUE(SUBSTITUTE(QT440,"A",""))+2,"A")</f>
        <v>11A</v>
      </c>
      <c r="QW440" s="23" t="str">
        <f>CONCATENATE($T440,"-AI",REPLACE($X440,1,3,""),"-",AB440)</f>
        <v>N1-AI13-3B</v>
      </c>
      <c r="QX440" s="23" t="str">
        <f>CONCATENATE($T440,"-AI",REPLACE($X440,1,3,""),"-",AA440)</f>
        <v>N1-AI13-3A</v>
      </c>
      <c r="QY440" s="23" t="str">
        <f>CONCATENATE($T440,"-AI",REPLACE($X440,1,3,""),"-",QA440)</f>
        <v>N1-AI13-5B</v>
      </c>
      <c r="QZ440" s="23" t="str">
        <f>CONCATENATE($T440,"-AI",REPLACE($X440,1,3,""),"-",QB440)</f>
        <v>N1-AI13-5A</v>
      </c>
      <c r="RA440" s="23" t="str">
        <f t="shared" ref="RA440" si="2076">CONCATENATE($T440,"-AI",REPLACE($X440,1,3,""),"-",QC440)</f>
        <v>N1-AI13-7B</v>
      </c>
      <c r="RB440" s="23" t="str">
        <f t="shared" ref="RB440" si="2077">CONCATENATE($T440,"-AI",REPLACE($X440,1,3,""),"-",QD440)</f>
        <v>N1-AI13-7A</v>
      </c>
      <c r="RC440" s="23" t="str">
        <f t="shared" ref="RC440" si="2078">CONCATENATE($T440,"-AI",REPLACE($X440,1,3,""),"-",QE440)</f>
        <v>N1-AI13-9B</v>
      </c>
      <c r="RD440" s="23" t="str">
        <f t="shared" ref="RD440" si="2079">CONCATENATE($T440,"-AI",REPLACE($X440,1,3,""),"-",QF440)</f>
        <v>N1-AI13-9A</v>
      </c>
      <c r="RE440" s="23" t="str">
        <f t="shared" ref="RE440" si="2080">CONCATENATE($T440,"-AI",REPLACE($X440,1,3,""),"-",QG440)</f>
        <v>N1-AI13-11B</v>
      </c>
      <c r="RF440" s="23" t="str">
        <f t="shared" ref="RF440" si="2081">CONCATENATE($T440,"-AI",REPLACE($X440,1,3,""),"-",QH440)</f>
        <v>N1-AI13-11A</v>
      </c>
      <c r="RG440" s="23" t="str">
        <f t="shared" ref="RG440" si="2082">CONCATENATE($T440,"-AI",REPLACE($X440,1,3,""),"-",QI440)</f>
        <v>N1-AI13-13B</v>
      </c>
      <c r="RH440" s="23" t="str">
        <f t="shared" ref="RH440" si="2083">CONCATENATE($T440,"-AI",REPLACE($X440,1,3,""),"-",QJ440)</f>
        <v>N1-AI13-13A</v>
      </c>
      <c r="RI440" s="23" t="str">
        <f t="shared" ref="RI440" si="2084">CONCATENATE($T440,"-AI",REPLACE($PZ440,1,3,""),"-",QK440)</f>
        <v>N1-AI14-1B</v>
      </c>
      <c r="RJ440" s="23" t="str">
        <f t="shared" ref="RJ440" si="2085">CONCATENATE($T440,"-AI",REPLACE($PZ440,1,3,""),"-",QL440)</f>
        <v>N1-AI14-1A</v>
      </c>
      <c r="RK440" s="23" t="str">
        <f t="shared" ref="RK440" si="2086">CONCATENATE($T440,"-AI",REPLACE($PZ440,1,3,""),"-",QM440)</f>
        <v>N1-AI14-3B</v>
      </c>
      <c r="RL440" s="23" t="str">
        <f t="shared" ref="RL440" si="2087">CONCATENATE($T440,"-AI",REPLACE($PZ440,1,3,""),"-",QN440)</f>
        <v>N1-AI14-3A</v>
      </c>
      <c r="RM440" s="23" t="str">
        <f t="shared" ref="RM440" si="2088">CONCATENATE($T440,"-AI",REPLACE($PZ440,1,3,""),"-",QO440)</f>
        <v>N1-AI14-5B</v>
      </c>
      <c r="RN440" s="23" t="str">
        <f t="shared" ref="RN440" si="2089">CONCATENATE($T440,"-AI",REPLACE($PZ440,1,3,""),"-",QP440)</f>
        <v>N1-AI14-5A</v>
      </c>
      <c r="RO440" s="23" t="str">
        <f t="shared" ref="RO440" si="2090">CONCATENATE($T440,"-AI",REPLACE($PZ440,1,3,""),"-",QQ440)</f>
        <v>N1-AI14-7B</v>
      </c>
      <c r="RP440" s="23" t="str">
        <f t="shared" ref="RP440" si="2091">CONCATENATE($T440,"-AI",REPLACE($PZ440,1,3,""),"-",QR440)</f>
        <v>N1-AI14-7A</v>
      </c>
      <c r="RQ440" s="23" t="str">
        <f t="shared" ref="RQ440" si="2092">CONCATENATE($T440,"-AI",REPLACE($PZ440,1,3,""),"-",QS440)</f>
        <v>N1-AI14-9B</v>
      </c>
      <c r="RR440" s="23" t="str">
        <f t="shared" ref="RR440" si="2093">CONCATENATE($T440,"-AI",REPLACE($PZ440,1,3,""),"-",QT440)</f>
        <v>N1-AI14-9A</v>
      </c>
      <c r="RS440" s="23" t="str">
        <f t="shared" ref="RS440" si="2094">CONCATENATE($T440,"-AI",REPLACE($PZ440,1,3,""),"-",QU440)</f>
        <v>N1-AI14-11B</v>
      </c>
      <c r="RT440" s="23" t="str">
        <f t="shared" ref="RT440" si="2095">CONCATENATE($T440,"-AI",REPLACE($PZ440,1,3,""),"-",QV440)</f>
        <v>N1-AI14-11A</v>
      </c>
      <c r="RU440" s="23" t="str">
        <f t="shared" ref="RU440" si="2096">CONCATENATE("XT",$U440)</f>
        <v>XT4</v>
      </c>
      <c r="RV440" s="23">
        <v>25</v>
      </c>
      <c r="RW440" s="23">
        <f>RV440+1</f>
        <v>26</v>
      </c>
      <c r="RX440" s="23">
        <f t="shared" ref="RX440:SS440" si="2097">RW440+1</f>
        <v>27</v>
      </c>
      <c r="RY440" s="23">
        <f t="shared" si="2097"/>
        <v>28</v>
      </c>
      <c r="RZ440" s="23">
        <f t="shared" si="2097"/>
        <v>29</v>
      </c>
      <c r="SA440" s="23">
        <f t="shared" si="2097"/>
        <v>30</v>
      </c>
      <c r="SB440" s="23">
        <f t="shared" si="2097"/>
        <v>31</v>
      </c>
      <c r="SC440" s="23">
        <f t="shared" si="2097"/>
        <v>32</v>
      </c>
      <c r="SD440" s="23">
        <f t="shared" si="2097"/>
        <v>33</v>
      </c>
      <c r="SE440" s="23">
        <f t="shared" si="2097"/>
        <v>34</v>
      </c>
      <c r="SF440" s="23">
        <f t="shared" si="2097"/>
        <v>35</v>
      </c>
      <c r="SG440" s="23">
        <f t="shared" si="2097"/>
        <v>36</v>
      </c>
      <c r="SH440" s="23">
        <f t="shared" si="2097"/>
        <v>37</v>
      </c>
      <c r="SI440" s="23">
        <f t="shared" si="2097"/>
        <v>38</v>
      </c>
      <c r="SJ440" s="23">
        <f t="shared" si="2097"/>
        <v>39</v>
      </c>
      <c r="SK440" s="23">
        <f t="shared" si="2097"/>
        <v>40</v>
      </c>
      <c r="SL440" s="23">
        <f t="shared" si="2097"/>
        <v>41</v>
      </c>
      <c r="SM440" s="23">
        <f t="shared" si="2097"/>
        <v>42</v>
      </c>
      <c r="SN440" s="23">
        <f t="shared" si="2097"/>
        <v>43</v>
      </c>
      <c r="SO440" s="23">
        <f t="shared" si="2097"/>
        <v>44</v>
      </c>
      <c r="SP440" s="23">
        <f t="shared" si="2097"/>
        <v>45</v>
      </c>
      <c r="SQ440" s="23">
        <f t="shared" si="2097"/>
        <v>46</v>
      </c>
      <c r="SR440" s="23">
        <f t="shared" si="2097"/>
        <v>47</v>
      </c>
      <c r="SS440" s="23">
        <f t="shared" si="2097"/>
        <v>48</v>
      </c>
      <c r="ST440" s="23">
        <f>SS440+1</f>
        <v>49</v>
      </c>
      <c r="SU440" s="23" t="s">
        <v>2423</v>
      </c>
      <c r="SV440" s="23" t="s">
        <v>2424</v>
      </c>
      <c r="SW440" s="23" t="s">
        <v>2425</v>
      </c>
      <c r="SX440" s="23" t="s">
        <v>2426</v>
      </c>
      <c r="SY440" s="23" t="s">
        <v>2427</v>
      </c>
      <c r="SZ440" s="23" t="s">
        <v>2428</v>
      </c>
      <c r="TA440" s="23" t="s">
        <v>2429</v>
      </c>
      <c r="TB440" s="23" t="s">
        <v>2430</v>
      </c>
      <c r="TC440" s="23" t="s">
        <v>2431</v>
      </c>
      <c r="TD440" s="23" t="s">
        <v>2432</v>
      </c>
      <c r="TE440" s="23" t="s">
        <v>2433</v>
      </c>
      <c r="TF440" s="23" t="s">
        <v>2434</v>
      </c>
      <c r="TG440" s="23" t="s">
        <v>1059</v>
      </c>
      <c r="TH440" s="23" t="s">
        <v>1128</v>
      </c>
      <c r="TI440" s="23" t="s">
        <v>1129</v>
      </c>
      <c r="TJ440" s="23" t="s">
        <v>1130</v>
      </c>
      <c r="TK440" s="23" t="s">
        <v>1132</v>
      </c>
      <c r="TL440" s="23" t="s">
        <v>1131</v>
      </c>
      <c r="TM440" s="23" t="s">
        <v>1133</v>
      </c>
      <c r="TN440" s="23" t="s">
        <v>1134</v>
      </c>
      <c r="TO440" s="23" t="s">
        <v>1135</v>
      </c>
      <c r="TP440" s="23" t="s">
        <v>1136</v>
      </c>
      <c r="TQ440" s="23" t="s">
        <v>1137</v>
      </c>
      <c r="TR440" s="24" t="s">
        <v>1138</v>
      </c>
    </row>
    <row r="441" spans="1:550" x14ac:dyDescent="0.25">
      <c r="A441" t="s">
        <v>2466</v>
      </c>
      <c r="B441" s="34" t="s">
        <v>2454</v>
      </c>
      <c r="C441" t="s">
        <v>1012</v>
      </c>
      <c r="P441" t="s">
        <v>1011</v>
      </c>
      <c r="T441" s="14" t="s">
        <v>2185</v>
      </c>
      <c r="U441">
        <v>5</v>
      </c>
      <c r="W441" t="s">
        <v>2487</v>
      </c>
      <c r="X441" t="s">
        <v>2411</v>
      </c>
      <c r="Y441" s="43" t="str" cm="1">
        <f t="array" ref="Y441">IF(COUNTIFS($X$379:$X441,$X441)=1,"1",VALUE(SUBSTITUTE(INDEX(Y:Y,_xlfn.XMATCH($X441,$X$1:$X440,0,-1)),"A",""))+INDEX(Z:Z,_xlfn.XMATCH($X441,$X$1:$X440,0,-1))+1)</f>
        <v>1</v>
      </c>
      <c r="Z441" s="43" cm="1">
        <f t="array" ref="Z441">SUM(IF(ISNUMBER(FIND("TmAi",$BE$1:$AAL$1)),IF(IFERROR(ISODD(SUBSTITUTE($BE441:$AAL441,"A","")),FALSE),IF(ISODD(SUBSTITUTE($BE441:$AAL441,"A","")),1,0),0)))</f>
        <v>1</v>
      </c>
      <c r="AA441" t="str">
        <f t="shared" si="1987"/>
        <v>1A</v>
      </c>
      <c r="AB441" t="str">
        <f t="shared" si="1988"/>
        <v>1B</v>
      </c>
      <c r="AP441" t="s">
        <v>2187</v>
      </c>
      <c r="AR441" t="s">
        <v>2455</v>
      </c>
      <c r="AS441" t="s">
        <v>396</v>
      </c>
      <c r="OG441" s="25" t="str">
        <f>CONCATENATE("XT",$U441)</f>
        <v>XT5</v>
      </c>
      <c r="OH441" s="12" t="s">
        <v>2467</v>
      </c>
      <c r="OI441" s="12" t="s">
        <v>2456</v>
      </c>
      <c r="OJ441" s="12"/>
      <c r="OK441" s="12"/>
      <c r="OL441" s="12" t="str">
        <f>CONCATENATE(REPLACE($AA441,LEN($AA441),1,"")+1,RIGHT($AA441))</f>
        <v>2A</v>
      </c>
      <c r="OM441" s="12" t="str">
        <f>CONCATENATE(REPLACE($AB441,LEN($AB441),1,"")+1,RIGHT($AB441))</f>
        <v>2B</v>
      </c>
      <c r="ON441" s="12" t="str">
        <f>CONCATENATE(REPLACE(OL441,LEN(OL441),1,"")+1,RIGHT(OL441))</f>
        <v>3A</v>
      </c>
      <c r="OO441" s="12" t="str">
        <f t="shared" ref="OO441:OO443" si="2098">CONCATENATE(REPLACE(OM441,LEN(OM441),1,"")+1,RIGHT(OM441))</f>
        <v>3B</v>
      </c>
      <c r="OP441" s="12" t="str">
        <f t="shared" ref="OP441:OP443" si="2099">CONCATENATE(REPLACE(ON441,LEN(ON441),1,"")+1,RIGHT(ON441))</f>
        <v>4A</v>
      </c>
      <c r="OQ441" s="12" t="str">
        <f t="shared" ref="OQ441:OQ443" si="2100">CONCATENATE(REPLACE(OO441,LEN(OO441),1,"")+1,RIGHT(OO441))</f>
        <v>4B</v>
      </c>
      <c r="OR441" s="12"/>
      <c r="OS441" s="12"/>
      <c r="OT441" s="12"/>
      <c r="OU441" s="12"/>
      <c r="OV441" s="12" t="str">
        <f>CONCATENATE($T441,"-AI",REPLACE($X441,1,3,""),"-",$AA441)</f>
        <v>N1-AI21-1A</v>
      </c>
      <c r="OW441" s="12" t="str">
        <f>CONCATENATE($T441,"-AI",REPLACE($X441,1,3,""),"-",$AB441)</f>
        <v>N1-AI21-1B</v>
      </c>
      <c r="OX441" s="12" t="str">
        <f t="shared" ref="OX441:OX443" si="2101">CONCATENATE($T441,"-AI",REPLACE($X441,1,3,""),"-",OL441)</f>
        <v>N1-AI21-2A</v>
      </c>
      <c r="OY441" s="12" t="str">
        <f t="shared" ref="OY441:OY443" si="2102">CONCATENATE($T441,"-AI",REPLACE($X441,1,3,""),"-",OM441)</f>
        <v>N1-AI21-2B</v>
      </c>
      <c r="OZ441" s="12" t="str">
        <f t="shared" ref="OZ441:OZ443" si="2103">CONCATENATE($T441,"-AI",REPLACE($X441,1,3,""),"-",ON441)</f>
        <v>N1-AI21-3A</v>
      </c>
      <c r="PA441" s="12" t="str">
        <f t="shared" ref="PA441:PA443" si="2104">CONCATENATE($T441,"-AI",REPLACE($X441,1,3,""),"-",OO441)</f>
        <v>N1-AI21-3B</v>
      </c>
      <c r="PB441" s="12" t="str">
        <f t="shared" ref="PB441:PB443" si="2105">CONCATENATE($T441,"-AI",REPLACE($X441,1,3,""),"-",OP441)</f>
        <v>N1-AI21-4A</v>
      </c>
      <c r="PC441" s="12" t="str">
        <f t="shared" ref="PC441:PC443" si="2106">CONCATENATE($T441,"-AI",REPLACE($X441,1,3,""),"-",OQ441)</f>
        <v>N1-AI21-4B</v>
      </c>
      <c r="PD441" s="12"/>
      <c r="PE441" s="12"/>
      <c r="PF441" s="12"/>
      <c r="PG441" s="12"/>
      <c r="PH441" s="12" cm="1">
        <f t="array" ref="PH441">IF(COUNTIFS($U$379:$U441,$U441)=1,1,INDEX(PH:PH,_xlfn.XMATCH($U441,$U$379:EF440,0,-1))+COUNT(PH440:PM440))</f>
        <v>1</v>
      </c>
      <c r="PI441" s="12">
        <f t="shared" ref="PI441:PI443" si="2107">PH441+1</f>
        <v>2</v>
      </c>
      <c r="PJ441" s="12">
        <f t="shared" ref="PJ441:PJ443" si="2108">PI441+1</f>
        <v>3</v>
      </c>
      <c r="PK441" s="12">
        <f>PJ441+1</f>
        <v>4</v>
      </c>
      <c r="PL441" s="12">
        <f t="shared" ref="PL441:PL443" si="2109">PK441+1</f>
        <v>5</v>
      </c>
      <c r="PM441" s="12">
        <f t="shared" ref="PM441:PM443" si="2110">PL441+1</f>
        <v>6</v>
      </c>
      <c r="PN441" s="12"/>
      <c r="PO441" s="12"/>
      <c r="PP441" s="12"/>
      <c r="PQ441" s="12">
        <v>1</v>
      </c>
      <c r="PR441" s="12">
        <v>2</v>
      </c>
      <c r="PS441" s="12">
        <v>3</v>
      </c>
      <c r="PT441" s="12">
        <v>4</v>
      </c>
      <c r="PU441" s="12">
        <v>5</v>
      </c>
      <c r="PV441" s="13">
        <v>6</v>
      </c>
    </row>
    <row r="442" spans="1:550" ht="15.75" thickBot="1" x14ac:dyDescent="0.3">
      <c r="A442" t="s">
        <v>2468</v>
      </c>
      <c r="B442" t="s">
        <v>2457</v>
      </c>
      <c r="C442" t="s">
        <v>1012</v>
      </c>
      <c r="P442" t="s">
        <v>1011</v>
      </c>
      <c r="T442" s="14" t="s">
        <v>2185</v>
      </c>
      <c r="U442">
        <v>5</v>
      </c>
      <c r="W442" t="s">
        <v>2488</v>
      </c>
      <c r="X442" t="str">
        <f>IF(COUNTIF(X$379:X441,X441)&gt;7,REPLACE(X441,LEN(X441),1,VALUE(RIGHT(X441,1))+1),X441)</f>
        <v>A3.21</v>
      </c>
      <c r="Y442" s="43" cm="1">
        <f t="array" ref="Y442">IF(COUNTIFS($X$379:$X442,$X442)=1,"1",VALUE(SUBSTITUTE(INDEX(Y:Y,_xlfn.XMATCH($X442,$X$1:$X441,0,-1)),"A",""))+INDEX(Z:Z,_xlfn.XMATCH($X442,$X$1:$X441,0,-1))+1)</f>
        <v>3</v>
      </c>
      <c r="Z442" s="43" cm="1">
        <f t="array" ref="Z442">SUM(IF(ISNUMBER(FIND("TmAi",$BE$1:$AAL$1)),IF(IFERROR(ISODD(SUBSTITUTE($BE442:$AAL442,"A","")),FALSE),IF(ISODD(SUBSTITUTE($BE442:$AAL442,"A","")),1,0),0)))</f>
        <v>1</v>
      </c>
      <c r="AA442" t="str">
        <f t="shared" si="1987"/>
        <v>5A</v>
      </c>
      <c r="AB442" t="str">
        <f t="shared" si="1988"/>
        <v>5B</v>
      </c>
      <c r="AP442" t="s">
        <v>2187</v>
      </c>
      <c r="AR442" t="s">
        <v>2455</v>
      </c>
      <c r="AS442" t="s">
        <v>396</v>
      </c>
      <c r="OG442" s="27" t="str">
        <f t="shared" ref="OG442:OG443" si="2111">CONCATENATE("XT",$U442)</f>
        <v>XT5</v>
      </c>
      <c r="OH442" t="s">
        <v>2469</v>
      </c>
      <c r="OI442" t="s">
        <v>2458</v>
      </c>
      <c r="OL442" t="str">
        <f t="shared" ref="OL442:OL443" si="2112">CONCATENATE(REPLACE($AA442,LEN($AA442),1,"")+1,RIGHT($AA442))</f>
        <v>6A</v>
      </c>
      <c r="OM442" t="str">
        <f t="shared" ref="OM442:OM443" si="2113">CONCATENATE(REPLACE($AB442,LEN($AB442),1,"")+1,RIGHT($AB442))</f>
        <v>6B</v>
      </c>
      <c r="ON442" t="str">
        <f t="shared" ref="ON442:ON443" si="2114">CONCATENATE(REPLACE(OL442,LEN(OL442),1,"")+1,RIGHT(OL442))</f>
        <v>7A</v>
      </c>
      <c r="OO442" t="str">
        <f t="shared" si="2098"/>
        <v>7B</v>
      </c>
      <c r="OP442" t="str">
        <f t="shared" si="2099"/>
        <v>8A</v>
      </c>
      <c r="OQ442" t="str">
        <f t="shared" si="2100"/>
        <v>8B</v>
      </c>
      <c r="OV442" t="str">
        <f>CONCATENATE($T442,"-AI",REPLACE($X442,1,3,""),"-",$AA442)</f>
        <v>N1-AI21-5A</v>
      </c>
      <c r="OW442" t="str">
        <f>CONCATENATE($T442,"-AI",REPLACE($X442,1,3,""),"-",$AB442)</f>
        <v>N1-AI21-5B</v>
      </c>
      <c r="OX442" t="str">
        <f t="shared" si="2101"/>
        <v>N1-AI21-6A</v>
      </c>
      <c r="OY442" t="str">
        <f t="shared" si="2102"/>
        <v>N1-AI21-6B</v>
      </c>
      <c r="OZ442" t="str">
        <f t="shared" si="2103"/>
        <v>N1-AI21-7A</v>
      </c>
      <c r="PA442" t="str">
        <f t="shared" si="2104"/>
        <v>N1-AI21-7B</v>
      </c>
      <c r="PB442" t="str">
        <f t="shared" si="2105"/>
        <v>N1-AI21-8A</v>
      </c>
      <c r="PC442" t="str">
        <f t="shared" si="2106"/>
        <v>N1-AI21-8B</v>
      </c>
      <c r="PH442" cm="1">
        <f t="array" ref="PH442">IF(COUNTIFS($U$2:$U442,$U442)=1,1,INDEX(PH:PH,_xlfn.XMATCH($U442,$U$1:$U441,0,-1))+COUNT(PH441:PM441))</f>
        <v>7</v>
      </c>
      <c r="PI442">
        <f t="shared" si="2107"/>
        <v>8</v>
      </c>
      <c r="PJ442">
        <f t="shared" si="2108"/>
        <v>9</v>
      </c>
      <c r="PK442">
        <f t="shared" ref="PK442:PK443" si="2115">PJ442+1</f>
        <v>10</v>
      </c>
      <c r="PL442">
        <f t="shared" si="2109"/>
        <v>11</v>
      </c>
      <c r="PM442">
        <f t="shared" si="2110"/>
        <v>12</v>
      </c>
      <c r="PQ442">
        <v>7</v>
      </c>
      <c r="PR442">
        <v>8</v>
      </c>
      <c r="PS442">
        <v>9</v>
      </c>
      <c r="PT442">
        <v>10</v>
      </c>
      <c r="PU442">
        <v>11</v>
      </c>
      <c r="PV442" s="16">
        <v>12</v>
      </c>
    </row>
    <row r="443" spans="1:550" ht="15.75" thickBot="1" x14ac:dyDescent="0.3">
      <c r="A443" t="s">
        <v>2470</v>
      </c>
      <c r="B443" t="s">
        <v>2459</v>
      </c>
      <c r="C443" t="s">
        <v>1012</v>
      </c>
      <c r="P443" t="s">
        <v>1047</v>
      </c>
      <c r="T443" s="14" t="s">
        <v>2185</v>
      </c>
      <c r="U443">
        <v>5</v>
      </c>
      <c r="W443" t="s">
        <v>2489</v>
      </c>
      <c r="X443" t="str">
        <f>IF(COUNTIF(X$379:X442,X442)&gt;7,REPLACE(X442,LEN(X442),1,VALUE(RIGHT(X442,1))+1),X442)</f>
        <v>A3.21</v>
      </c>
      <c r="Y443" s="43" cm="1">
        <f t="array" ref="Y443">IF(COUNTIFS($X$379:$X443,$X443)=1,"1",VALUE(SUBSTITUTE(INDEX(Y:Y,_xlfn.XMATCH($X443,$X$1:$X442,0,-1)),"A",""))+INDEX(Z:Z,_xlfn.XMATCH($X443,$X$1:$X442,0,-1))+1)</f>
        <v>5</v>
      </c>
      <c r="Z443" s="43" cm="1">
        <f t="array" ref="Z443">SUM(IF(ISNUMBER(FIND("TmAi",$BE$1:$AAL$1)),IF(IFERROR(ISODD(SUBSTITUTE($BE443:$AAL443,"A","")),FALSE),IF(ISODD(SUBSTITUTE($BE443:$AAL443,"A","")),1,0),0)))</f>
        <v>2</v>
      </c>
      <c r="AA443" t="str">
        <f t="shared" si="1987"/>
        <v>9A</v>
      </c>
      <c r="AB443" t="str">
        <f t="shared" si="1988"/>
        <v>9B</v>
      </c>
      <c r="AP443" t="s">
        <v>2187</v>
      </c>
      <c r="AR443" t="s">
        <v>2460</v>
      </c>
      <c r="AS443" t="s">
        <v>396</v>
      </c>
      <c r="OG443" s="27" t="str">
        <f t="shared" si="2111"/>
        <v>XT5</v>
      </c>
      <c r="OH443" t="s">
        <v>2471</v>
      </c>
      <c r="OI443" t="s">
        <v>2461</v>
      </c>
      <c r="OJ443" t="s">
        <v>2472</v>
      </c>
      <c r="OK443" t="s">
        <v>2462</v>
      </c>
      <c r="OL443" t="str">
        <f t="shared" si="2112"/>
        <v>10A</v>
      </c>
      <c r="OM443" t="str">
        <f t="shared" si="2113"/>
        <v>10B</v>
      </c>
      <c r="ON443" t="str">
        <f t="shared" si="2114"/>
        <v>11A</v>
      </c>
      <c r="OO443" t="str">
        <f t="shared" si="2098"/>
        <v>11B</v>
      </c>
      <c r="OP443" t="str">
        <f t="shared" si="2099"/>
        <v>12A</v>
      </c>
      <c r="OQ443" t="str">
        <f t="shared" si="2100"/>
        <v>12B</v>
      </c>
      <c r="OR443" t="str">
        <f t="shared" ref="OR443" si="2116">CONCATENATE(REPLACE(OP443,LEN(OP443),1,"")+1,RIGHT(OP443))</f>
        <v>13A</v>
      </c>
      <c r="OS443" t="str">
        <f t="shared" ref="OS443" si="2117">CONCATENATE(REPLACE(OQ443,LEN(OQ443),1,"")+1,RIGHT(OQ443))</f>
        <v>13B</v>
      </c>
      <c r="OT443" t="str">
        <f t="shared" ref="OT443" si="2118">CONCATENATE(REPLACE(OR443,LEN(OR443),1,"")+1,RIGHT(OR443))</f>
        <v>14A</v>
      </c>
      <c r="OU443" t="str">
        <f t="shared" ref="OU443" si="2119">CONCATENATE(REPLACE(OS443,LEN(OS443),1,"")+1,RIGHT(OS443))</f>
        <v>14B</v>
      </c>
      <c r="OV443" t="str">
        <f>CONCATENATE($T443,"-AI",REPLACE($X443,1,3,""),"-",$AA443)</f>
        <v>N1-AI21-9A</v>
      </c>
      <c r="OW443" t="str">
        <f>CONCATENATE($T443,"-AI",REPLACE($X443,1,3,""),"-",$AB443)</f>
        <v>N1-AI21-9B</v>
      </c>
      <c r="OX443" t="str">
        <f t="shared" si="2101"/>
        <v>N1-AI21-10A</v>
      </c>
      <c r="OY443" t="str">
        <f t="shared" si="2102"/>
        <v>N1-AI21-10B</v>
      </c>
      <c r="OZ443" t="str">
        <f t="shared" si="2103"/>
        <v>N1-AI21-11A</v>
      </c>
      <c r="PA443" t="str">
        <f t="shared" si="2104"/>
        <v>N1-AI21-11B</v>
      </c>
      <c r="PB443" t="str">
        <f t="shared" si="2105"/>
        <v>N1-AI21-12A</v>
      </c>
      <c r="PC443" t="str">
        <f t="shared" si="2106"/>
        <v>N1-AI21-12B</v>
      </c>
      <c r="PD443" t="str">
        <f t="shared" ref="PD443" si="2120">CONCATENATE($T443,"-AI",REPLACE($X443,1,3,""),"-",OR443)</f>
        <v>N1-AI21-13A</v>
      </c>
      <c r="PE443" t="str">
        <f t="shared" ref="PE443" si="2121">CONCATENATE($T443,"-AI",REPLACE($X443,1,3,""),"-",OS443)</f>
        <v>N1-AI21-13B</v>
      </c>
      <c r="PF443" t="str">
        <f t="shared" ref="PF443" si="2122">CONCATENATE($T443,"-AI",REPLACE($X443,1,3,""),"-",OT443)</f>
        <v>N1-AI21-14A</v>
      </c>
      <c r="PG443" t="str">
        <f t="shared" ref="PG443" si="2123">CONCATENATE($T443,"-AI",REPLACE($X443,1,3,""),"-",OU443)</f>
        <v>N1-AI21-14B</v>
      </c>
      <c r="PH443" cm="1">
        <f t="array" ref="PH443">IF(COUNTIFS($U$2:$U443,$U443)=1,1,INDEX(PH:PH,_xlfn.XMATCH($U443,$U$1:$U442,0,-1))+COUNT(PH442:PM442))</f>
        <v>13</v>
      </c>
      <c r="PI443">
        <f t="shared" si="2107"/>
        <v>14</v>
      </c>
      <c r="PJ443">
        <f t="shared" si="2108"/>
        <v>15</v>
      </c>
      <c r="PK443">
        <f t="shared" si="2115"/>
        <v>16</v>
      </c>
      <c r="PL443">
        <f t="shared" si="2109"/>
        <v>17</v>
      </c>
      <c r="PM443">
        <f t="shared" si="2110"/>
        <v>18</v>
      </c>
      <c r="PN443">
        <f t="shared" ref="PN443" si="2124">PM443+1</f>
        <v>19</v>
      </c>
      <c r="PO443">
        <f t="shared" ref="PO443" si="2125">PN443+1</f>
        <v>20</v>
      </c>
      <c r="PP443">
        <f t="shared" ref="PP443" si="2126">PO443+1</f>
        <v>21</v>
      </c>
      <c r="PQ443">
        <v>1</v>
      </c>
      <c r="PR443">
        <v>2</v>
      </c>
      <c r="PS443">
        <v>3</v>
      </c>
      <c r="PT443">
        <v>4</v>
      </c>
      <c r="PU443">
        <v>5</v>
      </c>
      <c r="PV443">
        <v>6</v>
      </c>
      <c r="PW443" s="12">
        <v>7</v>
      </c>
      <c r="PX443" s="12">
        <v>8</v>
      </c>
      <c r="PY443" s="13">
        <v>9</v>
      </c>
    </row>
    <row r="444" spans="1:550" ht="15.75" thickBot="1" x14ac:dyDescent="0.3">
      <c r="A444" t="s">
        <v>2473</v>
      </c>
      <c r="B444" s="58" t="s">
        <v>2463</v>
      </c>
      <c r="P444" t="s">
        <v>482</v>
      </c>
      <c r="T444" s="14" t="s">
        <v>2185</v>
      </c>
      <c r="U444">
        <v>5</v>
      </c>
      <c r="W444" t="s">
        <v>2490</v>
      </c>
      <c r="X444" t="s">
        <v>2492</v>
      </c>
      <c r="Y444" s="43" t="str" cm="1">
        <f t="array" ref="Y444">IF(COUNTIFS($X$379:$X444,$X444)=1,"1",VALUE(SUBSTITUTE(INDEX(Y:Y,_xlfn.XMATCH($X444,$X$1:$X443,0,-1)),"A",""))+INDEX(Z:Z,_xlfn.XMATCH($X444,$X$1:$X443,0,-1))+1)</f>
        <v>1</v>
      </c>
      <c r="Z444" s="43" cm="1">
        <f t="array" ref="Z444">SUM(IF(ISNUMBER(FIND("TmAi",$BE$1:$AAL$1)),IF(IFERROR(ISODD(SUBSTITUTE($BE444:$AAL444,"A","")),FALSE),IF(ISODD(SUBSTITUTE($BE444:$AAL444,"A","")),1,0),0)))</f>
        <v>0</v>
      </c>
      <c r="AA444" t="str">
        <f t="shared" ref="AA444" si="2127">CONCATENATE($Y444*2-1,"B")</f>
        <v>1B</v>
      </c>
      <c r="AB444" t="str">
        <f t="shared" ref="AB444" si="2128">CONCATENATE($Y444*2,"B")</f>
        <v>2B</v>
      </c>
      <c r="AP444" t="s">
        <v>2187</v>
      </c>
      <c r="AQ444" t="s">
        <v>2493</v>
      </c>
      <c r="AS444" t="s">
        <v>396</v>
      </c>
      <c r="JZ444" s="25" t="str">
        <f>CONCATENATE("XT",U444)</f>
        <v>XT5</v>
      </c>
      <c r="KA444" s="12"/>
      <c r="KB444" s="12"/>
      <c r="KC444" s="12" t="str">
        <f>CONCATENATE(T444,"-AI",REPLACE($X444,1,3,""),"-",AA444)</f>
        <v>N1-AI15-1B</v>
      </c>
      <c r="KD444" s="12" t="str">
        <f>CONCATENATE(T444,"-AI",REPLACE($X444,1,3,""),"-",AB444)</f>
        <v>N1-AI15-2B</v>
      </c>
      <c r="KE444" s="12"/>
      <c r="KF444" s="12"/>
      <c r="KG444" s="12"/>
      <c r="KH444" s="12"/>
      <c r="KI444" s="12">
        <v>22</v>
      </c>
      <c r="KJ444" s="12">
        <f t="shared" ref="KJ444" si="2129">KI444+1</f>
        <v>23</v>
      </c>
      <c r="KK444" s="12">
        <f t="shared" ref="KK444" si="2130">KJ444+1</f>
        <v>24</v>
      </c>
      <c r="KL444" s="12"/>
      <c r="KM444" s="12"/>
      <c r="KN444" s="12" t="s">
        <v>548</v>
      </c>
      <c r="KO444" s="12" t="s">
        <v>548</v>
      </c>
      <c r="KP444" s="12"/>
      <c r="KQ444" s="12"/>
      <c r="KR444" s="12"/>
      <c r="KS444" s="12"/>
      <c r="KT444" s="12"/>
      <c r="KU444" s="12"/>
      <c r="KV444" s="12"/>
      <c r="KW444" s="12"/>
      <c r="KX444" s="12"/>
      <c r="KY444" s="12"/>
      <c r="KZ444" s="12"/>
      <c r="LA444" s="12"/>
      <c r="LB444" s="12"/>
      <c r="LC444" s="12"/>
      <c r="LD444" s="12"/>
      <c r="LE444" s="12"/>
      <c r="LF444" s="12"/>
      <c r="LG444" s="12"/>
      <c r="LH444" s="12"/>
      <c r="LI444" s="12"/>
      <c r="LJ444" s="12"/>
      <c r="LK444" s="12"/>
      <c r="LL444" s="12"/>
      <c r="LM444" s="12"/>
      <c r="LN444" s="12"/>
      <c r="LO444" s="12"/>
      <c r="LP444" s="12"/>
      <c r="LQ444" s="12"/>
      <c r="LR444" s="12"/>
      <c r="LS444" s="12"/>
      <c r="LT444" s="12"/>
      <c r="LU444" s="12"/>
      <c r="LV444" s="12"/>
      <c r="LW444" s="12"/>
      <c r="LX444" s="12"/>
      <c r="LY444" s="12"/>
      <c r="LZ444" s="12"/>
      <c r="MA444" s="12"/>
      <c r="MB444" s="12"/>
      <c r="MC444" s="12"/>
      <c r="MD444" s="12"/>
      <c r="ME444" s="12"/>
      <c r="MF444" s="12"/>
      <c r="MG444" s="12"/>
      <c r="MH444" s="12"/>
      <c r="MI444" s="12"/>
      <c r="MJ444" s="12"/>
      <c r="MK444" s="12"/>
      <c r="ML444" s="12"/>
      <c r="MM444" s="12"/>
      <c r="MN444" s="12"/>
      <c r="MO444" s="12"/>
      <c r="MP444" s="12"/>
      <c r="MQ444" s="12"/>
      <c r="MR444" s="12"/>
      <c r="MS444" s="12"/>
      <c r="MT444" s="12"/>
      <c r="MU444" s="12"/>
      <c r="MV444" s="12"/>
      <c r="MW444" s="12"/>
      <c r="MX444" s="12"/>
      <c r="MY444" s="12"/>
      <c r="MZ444" s="12"/>
      <c r="NA444" s="12"/>
      <c r="NB444" s="12"/>
      <c r="NC444" s="12"/>
      <c r="ND444" s="12"/>
      <c r="NE444" s="12"/>
      <c r="NF444" s="12"/>
      <c r="NG444" s="12"/>
      <c r="NH444" s="12"/>
      <c r="NI444" s="12"/>
      <c r="NJ444" s="12"/>
      <c r="NK444" s="12"/>
      <c r="NL444" s="12"/>
      <c r="NM444" s="12"/>
      <c r="NN444" s="12"/>
      <c r="NO444" s="12"/>
      <c r="NP444" s="12"/>
      <c r="NQ444" s="12"/>
      <c r="NR444" s="12"/>
      <c r="NS444" s="12"/>
      <c r="NT444" s="12"/>
      <c r="NU444" s="12"/>
      <c r="NV444" s="12"/>
      <c r="NW444" s="12"/>
      <c r="NX444" s="12"/>
      <c r="NY444" s="12"/>
      <c r="NZ444" s="12"/>
      <c r="OA444" s="12"/>
      <c r="OB444" s="12"/>
      <c r="OC444" s="12"/>
      <c r="OD444" s="12"/>
      <c r="OE444" s="12"/>
      <c r="OF444" s="12"/>
      <c r="PY444" s="16"/>
    </row>
    <row r="445" spans="1:550" ht="15.75" thickBot="1" x14ac:dyDescent="0.3">
      <c r="A445" t="s">
        <v>2474</v>
      </c>
      <c r="B445" s="33" t="s">
        <v>2464</v>
      </c>
      <c r="P445" t="s">
        <v>1061</v>
      </c>
      <c r="T445" s="14" t="s">
        <v>2185</v>
      </c>
      <c r="U445">
        <v>5</v>
      </c>
      <c r="W445" t="s">
        <v>2491</v>
      </c>
      <c r="X445" t="str">
        <f>IF(COUNTIF(X$379:X444,X444)&gt;7,REPLACE(X444,LEN(X444),1,VALUE(RIGHT(X444,1))+1),X444)</f>
        <v>A3.15</v>
      </c>
      <c r="Y445" s="43" cm="1">
        <f t="array" ref="Y445">IF(COUNTIFS($X$379:$X445,$X445)=1,"1",VALUE(SUBSTITUTE(INDEX(Y:Y,_xlfn.XMATCH($X445,$X$1:$X444,0,-1)),"A",""))+INDEX(Z:Z,_xlfn.XMATCH($X445,$X$1:$X444,0,-1))+1)</f>
        <v>2</v>
      </c>
      <c r="Z445" s="43" cm="1">
        <f t="array" ref="Z445">SUM(IF(ISNUMBER(FIND("TmAi",$BE$1:$AAL$1)),IF(IFERROR(ISODD(SUBSTITUTE($BE445:$AAL445,"A","")),FALSE),IF(ISODD(SUBSTITUTE($BE445:$AAL445,"A","")),1,0),0)))</f>
        <v>11</v>
      </c>
      <c r="AA445" t="str">
        <f t="shared" si="1987"/>
        <v>3A</v>
      </c>
      <c r="AB445" t="str">
        <f t="shared" si="1988"/>
        <v>3B</v>
      </c>
      <c r="AP445" t="s">
        <v>2187</v>
      </c>
      <c r="AR445" t="s">
        <v>2465</v>
      </c>
      <c r="AS445" t="s">
        <v>396</v>
      </c>
      <c r="JZ445" s="28"/>
      <c r="KA445" s="19"/>
      <c r="KB445" s="19"/>
      <c r="KC445" s="19"/>
      <c r="KD445" s="19"/>
      <c r="KE445" s="19"/>
      <c r="KF445" s="19"/>
      <c r="KG445" s="19"/>
      <c r="KH445" s="19"/>
      <c r="KI445" s="19"/>
      <c r="KJ445" s="19"/>
      <c r="KK445" s="19"/>
      <c r="KL445" s="19"/>
      <c r="KM445" s="19"/>
      <c r="KN445" s="19"/>
      <c r="KO445" s="19"/>
      <c r="KP445" s="19"/>
      <c r="KQ445" s="19"/>
      <c r="KR445" s="19"/>
      <c r="KS445" s="19"/>
      <c r="KT445" s="19"/>
      <c r="KU445" s="19"/>
      <c r="KV445" s="19"/>
      <c r="KW445" s="19"/>
      <c r="KX445" s="19"/>
      <c r="KY445" s="19"/>
      <c r="KZ445" s="19"/>
      <c r="LA445" s="19"/>
      <c r="LB445" s="19"/>
      <c r="LC445" s="19"/>
      <c r="LD445" s="19"/>
      <c r="LE445" s="19"/>
      <c r="LF445" s="19"/>
      <c r="LG445" s="19"/>
      <c r="LH445" s="19"/>
      <c r="LI445" s="19"/>
      <c r="LJ445" s="19"/>
      <c r="LK445" s="19"/>
      <c r="LL445" s="19"/>
      <c r="LM445" s="19"/>
      <c r="LN445" s="19"/>
      <c r="LO445" s="19"/>
      <c r="LP445" s="19"/>
      <c r="LQ445" s="19"/>
      <c r="LR445" s="19"/>
      <c r="LS445" s="19"/>
      <c r="LT445" s="19"/>
      <c r="LU445" s="19"/>
      <c r="LV445" s="19"/>
      <c r="LW445" s="19"/>
      <c r="LX445" s="19"/>
      <c r="LY445" s="19"/>
      <c r="LZ445" s="19"/>
      <c r="MA445" s="19"/>
      <c r="MB445" s="19"/>
      <c r="MC445" s="19"/>
      <c r="MD445" s="19"/>
      <c r="ME445" s="19"/>
      <c r="MF445" s="19"/>
      <c r="MG445" s="19"/>
      <c r="MH445" s="19"/>
      <c r="MI445" s="19"/>
      <c r="MJ445" s="19"/>
      <c r="MK445" s="19"/>
      <c r="ML445" s="19"/>
      <c r="MM445" s="19"/>
      <c r="MN445" s="19"/>
      <c r="MO445" s="19"/>
      <c r="MP445" s="19"/>
      <c r="MQ445" s="19"/>
      <c r="MR445" s="19"/>
      <c r="MS445" s="19"/>
      <c r="MT445" s="19"/>
      <c r="MU445" s="19"/>
      <c r="MV445" s="19"/>
      <c r="MW445" s="19"/>
      <c r="MX445" s="19"/>
      <c r="MY445" s="19"/>
      <c r="MZ445" s="19"/>
      <c r="NA445" s="19"/>
      <c r="NB445" s="19"/>
      <c r="NC445" s="19"/>
      <c r="ND445" s="19"/>
      <c r="NE445" s="19"/>
      <c r="NF445" s="19"/>
      <c r="NG445" s="19"/>
      <c r="NH445" s="19"/>
      <c r="NI445" s="19"/>
      <c r="NJ445" s="19"/>
      <c r="NK445" s="19"/>
      <c r="NL445" s="19"/>
      <c r="NM445" s="19"/>
      <c r="NN445" s="19"/>
      <c r="NO445" s="19"/>
      <c r="NP445" s="19"/>
      <c r="NQ445" s="19"/>
      <c r="NR445" s="19"/>
      <c r="NS445" s="19"/>
      <c r="NT445" s="19"/>
      <c r="NU445" s="19"/>
      <c r="NV445" s="19"/>
      <c r="NW445" s="19"/>
      <c r="NX445" s="19"/>
      <c r="NY445" s="19"/>
      <c r="NZ445" s="19"/>
      <c r="OA445" s="19"/>
      <c r="OB445" s="19"/>
      <c r="OC445" s="19"/>
      <c r="OD445" s="19"/>
      <c r="OE445" s="19"/>
      <c r="OF445" s="19"/>
      <c r="OG445" s="19"/>
      <c r="OH445" s="19"/>
      <c r="OI445" s="19"/>
      <c r="OJ445" s="19"/>
      <c r="OK445" s="19"/>
      <c r="OL445" s="19"/>
      <c r="OM445" s="19"/>
      <c r="ON445" s="19"/>
      <c r="OO445" s="19"/>
      <c r="OP445" s="19"/>
      <c r="OQ445" s="19"/>
      <c r="OR445" s="19"/>
      <c r="OS445" s="19"/>
      <c r="OT445" s="19"/>
      <c r="OU445" s="19"/>
      <c r="OV445" s="19"/>
      <c r="OW445" s="19"/>
      <c r="OX445" s="19"/>
      <c r="OY445" s="19"/>
      <c r="OZ445" s="19"/>
      <c r="PA445" s="19"/>
      <c r="PB445" s="19"/>
      <c r="PC445" s="19"/>
      <c r="PD445" s="19"/>
      <c r="PE445" s="19"/>
      <c r="PF445" s="19"/>
      <c r="PG445" s="19"/>
      <c r="PH445" s="19"/>
      <c r="PI445" s="19"/>
      <c r="PJ445" s="19"/>
      <c r="PK445" s="19"/>
      <c r="PL445" s="19"/>
      <c r="PM445" s="19"/>
      <c r="PN445" s="19"/>
      <c r="PO445" s="19"/>
      <c r="PP445" s="19"/>
      <c r="PQ445" s="19"/>
      <c r="PR445" s="19"/>
      <c r="PS445" s="19"/>
      <c r="PT445" s="19"/>
      <c r="PU445" s="19"/>
      <c r="PV445" s="19"/>
      <c r="PW445" s="19"/>
      <c r="PX445" s="19"/>
      <c r="PY445" s="19"/>
      <c r="PZ445" s="23" t="str">
        <f>REPLACE(X445,FIND(".",X445)+1,3,MID(X445,FIND(".",X445)+1,3)+1)</f>
        <v>A3.16</v>
      </c>
      <c r="QA445" s="23" t="str">
        <f>CONCATENATE(VALUE(SUBSTITUTE($AB445,"B",""))+2,"B")</f>
        <v>5B</v>
      </c>
      <c r="QB445" s="23" t="str">
        <f>CONCATENATE(VALUE(SUBSTITUTE($AA445,"A",""))+2,"A")</f>
        <v>5A</v>
      </c>
      <c r="QC445" s="23" t="str">
        <f>CONCATENATE(VALUE(SUBSTITUTE(QA445,"B",""))+2,"B")</f>
        <v>7B</v>
      </c>
      <c r="QD445" s="23" t="str">
        <f>CONCATENATE(VALUE(SUBSTITUTE(QB445,"A",""))+2,"A")</f>
        <v>7A</v>
      </c>
      <c r="QE445" s="23" t="str">
        <f t="shared" ref="QE445" si="2131">CONCATENATE(VALUE(SUBSTITUTE(QC445,"B",""))+2,"B")</f>
        <v>9B</v>
      </c>
      <c r="QF445" s="23" t="str">
        <f t="shared" ref="QF445" si="2132">CONCATENATE(VALUE(SUBSTITUTE(QD445,"A",""))+2,"A")</f>
        <v>9A</v>
      </c>
      <c r="QG445" s="23" t="str">
        <f t="shared" ref="QG445" si="2133">CONCATENATE(VALUE(SUBSTITUTE(QE445,"B",""))+2,"B")</f>
        <v>11B</v>
      </c>
      <c r="QH445" s="23" t="str">
        <f t="shared" ref="QH445" si="2134">CONCATENATE(VALUE(SUBSTITUTE(QF445,"A",""))+2,"A")</f>
        <v>11A</v>
      </c>
      <c r="QI445" s="23" t="str">
        <f t="shared" ref="QI445" si="2135">CONCATENATE(VALUE(SUBSTITUTE(QG445,"B",""))+2,"B")</f>
        <v>13B</v>
      </c>
      <c r="QJ445" s="23" t="str">
        <f t="shared" ref="QJ445" si="2136">CONCATENATE(VALUE(SUBSTITUTE(QH445,"A",""))+2,"A")</f>
        <v>13A</v>
      </c>
      <c r="QK445" s="23" t="s">
        <v>135</v>
      </c>
      <c r="QL445" s="23" t="s">
        <v>136</v>
      </c>
      <c r="QM445" s="23" t="str">
        <f t="shared" ref="QM445" si="2137">CONCATENATE(VALUE(SUBSTITUTE(QK445,"B",""))+2,"B")</f>
        <v>3B</v>
      </c>
      <c r="QN445" s="23" t="str">
        <f t="shared" ref="QN445" si="2138">CONCATENATE(VALUE(SUBSTITUTE(QL445,"A",""))+2,"A")</f>
        <v>3A</v>
      </c>
      <c r="QO445" s="23" t="str">
        <f t="shared" ref="QO445" si="2139">CONCATENATE(VALUE(SUBSTITUTE(QM445,"B",""))+2,"B")</f>
        <v>5B</v>
      </c>
      <c r="QP445" s="23" t="str">
        <f t="shared" ref="QP445" si="2140">CONCATENATE(VALUE(SUBSTITUTE(QN445,"A",""))+2,"A")</f>
        <v>5A</v>
      </c>
      <c r="QQ445" s="23" t="str">
        <f t="shared" ref="QQ445" si="2141">CONCATENATE(VALUE(SUBSTITUTE(QO445,"B",""))+2,"B")</f>
        <v>7B</v>
      </c>
      <c r="QR445" s="23" t="str">
        <f t="shared" ref="QR445" si="2142">CONCATENATE(VALUE(SUBSTITUTE(QP445,"A",""))+2,"A")</f>
        <v>7A</v>
      </c>
      <c r="QS445" s="23" t="str">
        <f t="shared" ref="QS445" si="2143">CONCATENATE(VALUE(SUBSTITUTE(QQ445,"B",""))+2,"B")</f>
        <v>9B</v>
      </c>
      <c r="QT445" s="23" t="str">
        <f t="shared" ref="QT445" si="2144">CONCATENATE(VALUE(SUBSTITUTE(QR445,"A",""))+2,"A")</f>
        <v>9A</v>
      </c>
      <c r="QU445" s="23" t="str">
        <f t="shared" ref="QU445" si="2145">CONCATENATE(VALUE(SUBSTITUTE(QS445,"B",""))+2,"B")</f>
        <v>11B</v>
      </c>
      <c r="QV445" s="23" t="str">
        <f t="shared" ref="QV445" si="2146">CONCATENATE(VALUE(SUBSTITUTE(QT445,"A",""))+2,"A")</f>
        <v>11A</v>
      </c>
      <c r="QW445" s="23" t="str">
        <f>CONCATENATE($T445,"-AI",REPLACE($X445,1,3,""),"-",AB445)</f>
        <v>N1-AI15-3B</v>
      </c>
      <c r="QX445" s="23" t="str">
        <f>CONCATENATE($T445,"-AI",REPLACE($X445,1,3,""),"-",AA445)</f>
        <v>N1-AI15-3A</v>
      </c>
      <c r="QY445" s="23" t="str">
        <f>CONCATENATE($T445,"-AI",REPLACE($X445,1,3,""),"-",QA445)</f>
        <v>N1-AI15-5B</v>
      </c>
      <c r="QZ445" s="23" t="str">
        <f>CONCATENATE($T445,"-AI",REPLACE($X445,1,3,""),"-",QB445)</f>
        <v>N1-AI15-5A</v>
      </c>
      <c r="RA445" s="23" t="str">
        <f t="shared" ref="RA445" si="2147">CONCATENATE($T445,"-AI",REPLACE($X445,1,3,""),"-",QC445)</f>
        <v>N1-AI15-7B</v>
      </c>
      <c r="RB445" s="23" t="str">
        <f t="shared" ref="RB445" si="2148">CONCATENATE($T445,"-AI",REPLACE($X445,1,3,""),"-",QD445)</f>
        <v>N1-AI15-7A</v>
      </c>
      <c r="RC445" s="23" t="str">
        <f t="shared" ref="RC445" si="2149">CONCATENATE($T445,"-AI",REPLACE($X445,1,3,""),"-",QE445)</f>
        <v>N1-AI15-9B</v>
      </c>
      <c r="RD445" s="23" t="str">
        <f t="shared" ref="RD445" si="2150">CONCATENATE($T445,"-AI",REPLACE($X445,1,3,""),"-",QF445)</f>
        <v>N1-AI15-9A</v>
      </c>
      <c r="RE445" s="23" t="str">
        <f t="shared" ref="RE445" si="2151">CONCATENATE($T445,"-AI",REPLACE($X445,1,3,""),"-",QG445)</f>
        <v>N1-AI15-11B</v>
      </c>
      <c r="RF445" s="23" t="str">
        <f t="shared" ref="RF445" si="2152">CONCATENATE($T445,"-AI",REPLACE($X445,1,3,""),"-",QH445)</f>
        <v>N1-AI15-11A</v>
      </c>
      <c r="RG445" s="23" t="str">
        <f t="shared" ref="RG445" si="2153">CONCATENATE($T445,"-AI",REPLACE($X445,1,3,""),"-",QI445)</f>
        <v>N1-AI15-13B</v>
      </c>
      <c r="RH445" s="23" t="str">
        <f t="shared" ref="RH445" si="2154">CONCATENATE($T445,"-AI",REPLACE($X445,1,3,""),"-",QJ445)</f>
        <v>N1-AI15-13A</v>
      </c>
      <c r="RI445" s="23" t="str">
        <f t="shared" ref="RI445" si="2155">CONCATENATE($T445,"-AI",REPLACE($PZ445,1,3,""),"-",QK445)</f>
        <v>N1-AI16-1B</v>
      </c>
      <c r="RJ445" s="23" t="str">
        <f t="shared" ref="RJ445" si="2156">CONCATENATE($T445,"-AI",REPLACE($PZ445,1,3,""),"-",QL445)</f>
        <v>N1-AI16-1A</v>
      </c>
      <c r="RK445" s="23" t="str">
        <f t="shared" ref="RK445" si="2157">CONCATENATE($T445,"-AI",REPLACE($PZ445,1,3,""),"-",QM445)</f>
        <v>N1-AI16-3B</v>
      </c>
      <c r="RL445" s="23" t="str">
        <f t="shared" ref="RL445" si="2158">CONCATENATE($T445,"-AI",REPLACE($PZ445,1,3,""),"-",QN445)</f>
        <v>N1-AI16-3A</v>
      </c>
      <c r="RM445" s="23" t="str">
        <f t="shared" ref="RM445" si="2159">CONCATENATE($T445,"-AI",REPLACE($PZ445,1,3,""),"-",QO445)</f>
        <v>N1-AI16-5B</v>
      </c>
      <c r="RN445" s="23" t="str">
        <f t="shared" ref="RN445" si="2160">CONCATENATE($T445,"-AI",REPLACE($PZ445,1,3,""),"-",QP445)</f>
        <v>N1-AI16-5A</v>
      </c>
      <c r="RO445" s="23" t="str">
        <f t="shared" ref="RO445" si="2161">CONCATENATE($T445,"-AI",REPLACE($PZ445,1,3,""),"-",QQ445)</f>
        <v>N1-AI16-7B</v>
      </c>
      <c r="RP445" s="23" t="str">
        <f t="shared" ref="RP445" si="2162">CONCATENATE($T445,"-AI",REPLACE($PZ445,1,3,""),"-",QR445)</f>
        <v>N1-AI16-7A</v>
      </c>
      <c r="RQ445" s="23" t="str">
        <f t="shared" ref="RQ445" si="2163">CONCATENATE($T445,"-AI",REPLACE($PZ445,1,3,""),"-",QS445)</f>
        <v>N1-AI16-9B</v>
      </c>
      <c r="RR445" s="23" t="str">
        <f t="shared" ref="RR445" si="2164">CONCATENATE($T445,"-AI",REPLACE($PZ445,1,3,""),"-",QT445)</f>
        <v>N1-AI16-9A</v>
      </c>
      <c r="RS445" s="23" t="str">
        <f t="shared" ref="RS445" si="2165">CONCATENATE($T445,"-AI",REPLACE($PZ445,1,3,""),"-",QU445)</f>
        <v>N1-AI16-11B</v>
      </c>
      <c r="RT445" s="23" t="str">
        <f t="shared" ref="RT445" si="2166">CONCATENATE($T445,"-AI",REPLACE($PZ445,1,3,""),"-",QV445)</f>
        <v>N1-AI16-11A</v>
      </c>
      <c r="RU445" s="23" t="str">
        <f t="shared" ref="RU445" si="2167">CONCATENATE("XT",$U445)</f>
        <v>XT5</v>
      </c>
      <c r="RV445" s="23">
        <v>25</v>
      </c>
      <c r="RW445" s="23">
        <f>RV445+1</f>
        <v>26</v>
      </c>
      <c r="RX445" s="23">
        <f t="shared" ref="RX445:SS445" si="2168">RW445+1</f>
        <v>27</v>
      </c>
      <c r="RY445" s="23">
        <f t="shared" si="2168"/>
        <v>28</v>
      </c>
      <c r="RZ445" s="23">
        <f t="shared" si="2168"/>
        <v>29</v>
      </c>
      <c r="SA445" s="23">
        <f t="shared" si="2168"/>
        <v>30</v>
      </c>
      <c r="SB445" s="23">
        <f t="shared" si="2168"/>
        <v>31</v>
      </c>
      <c r="SC445" s="23">
        <f t="shared" si="2168"/>
        <v>32</v>
      </c>
      <c r="SD445" s="23">
        <f t="shared" si="2168"/>
        <v>33</v>
      </c>
      <c r="SE445" s="23">
        <f t="shared" si="2168"/>
        <v>34</v>
      </c>
      <c r="SF445" s="23">
        <f t="shared" si="2168"/>
        <v>35</v>
      </c>
      <c r="SG445" s="23">
        <f t="shared" si="2168"/>
        <v>36</v>
      </c>
      <c r="SH445" s="23">
        <f t="shared" si="2168"/>
        <v>37</v>
      </c>
      <c r="SI445" s="23">
        <f t="shared" si="2168"/>
        <v>38</v>
      </c>
      <c r="SJ445" s="23">
        <f t="shared" si="2168"/>
        <v>39</v>
      </c>
      <c r="SK445" s="23">
        <f t="shared" si="2168"/>
        <v>40</v>
      </c>
      <c r="SL445" s="23">
        <f t="shared" si="2168"/>
        <v>41</v>
      </c>
      <c r="SM445" s="23">
        <f t="shared" si="2168"/>
        <v>42</v>
      </c>
      <c r="SN445" s="23">
        <f t="shared" si="2168"/>
        <v>43</v>
      </c>
      <c r="SO445" s="23">
        <f t="shared" si="2168"/>
        <v>44</v>
      </c>
      <c r="SP445" s="23">
        <f t="shared" si="2168"/>
        <v>45</v>
      </c>
      <c r="SQ445" s="23">
        <f t="shared" si="2168"/>
        <v>46</v>
      </c>
      <c r="SR445" s="23">
        <f t="shared" si="2168"/>
        <v>47</v>
      </c>
      <c r="SS445" s="23">
        <f t="shared" si="2168"/>
        <v>48</v>
      </c>
      <c r="ST445" s="23">
        <f>SS445+1</f>
        <v>49</v>
      </c>
      <c r="SU445" s="23" t="s">
        <v>2475</v>
      </c>
      <c r="SV445" s="23" t="s">
        <v>2476</v>
      </c>
      <c r="SW445" s="23" t="s">
        <v>2477</v>
      </c>
      <c r="SX445" s="23" t="s">
        <v>2478</v>
      </c>
      <c r="SY445" s="23" t="s">
        <v>2479</v>
      </c>
      <c r="SZ445" s="23" t="s">
        <v>2480</v>
      </c>
      <c r="TA445" s="23" t="s">
        <v>2481</v>
      </c>
      <c r="TB445" s="23" t="s">
        <v>2482</v>
      </c>
      <c r="TC445" s="23" t="s">
        <v>2483</v>
      </c>
      <c r="TD445" s="23" t="s">
        <v>2484</v>
      </c>
      <c r="TE445" s="23" t="s">
        <v>2485</v>
      </c>
      <c r="TF445" s="23" t="s">
        <v>2486</v>
      </c>
      <c r="TG445" s="23" t="s">
        <v>1059</v>
      </c>
      <c r="TH445" s="23" t="s">
        <v>1128</v>
      </c>
      <c r="TI445" s="23" t="s">
        <v>1129</v>
      </c>
      <c r="TJ445" s="23" t="s">
        <v>1130</v>
      </c>
      <c r="TK445" s="23" t="s">
        <v>1132</v>
      </c>
      <c r="TL445" s="23" t="s">
        <v>1131</v>
      </c>
      <c r="TM445" s="23" t="s">
        <v>1133</v>
      </c>
      <c r="TN445" s="23" t="s">
        <v>1134</v>
      </c>
      <c r="TO445" s="23" t="s">
        <v>1135</v>
      </c>
      <c r="TP445" s="23" t="s">
        <v>1136</v>
      </c>
      <c r="TQ445" s="23" t="s">
        <v>1137</v>
      </c>
      <c r="TR445" s="24" t="s">
        <v>1138</v>
      </c>
    </row>
    <row r="446" spans="1:550" ht="30.75" thickBot="1" x14ac:dyDescent="0.3">
      <c r="A446" t="s">
        <v>2494</v>
      </c>
      <c r="B446" t="s">
        <v>2495</v>
      </c>
      <c r="P446" t="s">
        <v>1942</v>
      </c>
      <c r="T446" s="27" t="s">
        <v>2185</v>
      </c>
      <c r="U446">
        <v>58</v>
      </c>
      <c r="V446" t="s">
        <v>2494</v>
      </c>
      <c r="AP446" t="s">
        <v>2187</v>
      </c>
      <c r="AQ446" t="s">
        <v>2496</v>
      </c>
      <c r="TS446" s="66" t="s">
        <v>1950</v>
      </c>
      <c r="TT446" s="23" t="s">
        <v>1951</v>
      </c>
      <c r="TU446" s="23" t="s">
        <v>1952</v>
      </c>
      <c r="TV446" s="23" t="s">
        <v>1953</v>
      </c>
      <c r="TW446" s="23" t="s">
        <v>1954</v>
      </c>
      <c r="TX446" s="23" t="s">
        <v>1955</v>
      </c>
      <c r="TY446" s="23" t="s">
        <v>1956</v>
      </c>
      <c r="TZ446" s="23" t="s">
        <v>1957</v>
      </c>
      <c r="UA446" s="23" t="str">
        <f>CONCATENATE("XT",$U446)</f>
        <v>XT58</v>
      </c>
      <c r="UB446" s="23">
        <v>1</v>
      </c>
      <c r="UC446" s="23">
        <f>UB446+1</f>
        <v>2</v>
      </c>
      <c r="UD446" s="24">
        <f>UC446+1</f>
        <v>3</v>
      </c>
    </row>
    <row r="447" spans="1:550" x14ac:dyDescent="0.25">
      <c r="A447" t="s">
        <v>2505</v>
      </c>
      <c r="B447" t="s">
        <v>2506</v>
      </c>
      <c r="C447" t="s">
        <v>498</v>
      </c>
      <c r="P447" t="s">
        <v>482</v>
      </c>
      <c r="T447" s="14" t="s">
        <v>2185</v>
      </c>
      <c r="U447">
        <v>1</v>
      </c>
      <c r="V447" t="s">
        <v>2507</v>
      </c>
      <c r="X447" t="s">
        <v>917</v>
      </c>
      <c r="Y447" s="43" t="str" cm="1">
        <f t="array" ref="Y447">IF(COUNTIFS($X$379:$X447,$X447)=1,"1",VALUE(SUBSTITUTE(INDEX(Y:Y,_xlfn.XMATCH($X447,$X$1:$X446,0,-1)),"A",""))+INDEX(Z:Z,_xlfn.XMATCH($X447,$X$1:$X446,0,-1))+1)</f>
        <v>1</v>
      </c>
      <c r="Z447" s="43" cm="1">
        <f t="array" ref="Z447">SUM(IF(ISNUMBER(FIND("TmAi",$BE$1:$AAL$1)),IF(IFERROR(ISODD(SUBSTITUTE($BE447:$AAL447,"A","")),FALSE),IF(ISODD(SUBSTITUTE($BE447:$AAL447,"A","")),1,0),0)))</f>
        <v>0</v>
      </c>
      <c r="AA447" t="str">
        <f t="shared" ref="AA447:AA448" si="2169">CONCATENATE($Y447*2-1,"B")</f>
        <v>1B</v>
      </c>
      <c r="AB447" t="str">
        <f t="shared" ref="AB447:AB448" si="2170">CONCATENATE($Y447*2,"B")</f>
        <v>2B</v>
      </c>
      <c r="AP447" t="s">
        <v>2187</v>
      </c>
      <c r="AS447" t="s">
        <v>396</v>
      </c>
      <c r="JZ447" s="27" t="str">
        <f t="shared" ref="JZ447" si="2171">CONCATENATE("XT",U447)</f>
        <v>XT1</v>
      </c>
      <c r="KC447" t="str">
        <f t="shared" ref="KC447" si="2172">CONCATENATE(T447,"-AI",REPLACE($X447,1,3,""),"-",AA447)</f>
        <v>N1-AI17-1B</v>
      </c>
      <c r="KD447" t="str">
        <f t="shared" ref="KD447" si="2173">CONCATENATE(T447,"-AI",REPLACE($X447,1,3,""),"-",AB447)</f>
        <v>N1-AI17-2B</v>
      </c>
      <c r="KI447" cm="1">
        <f t="array" ref="KI447">IF(COUNTIFS($U$2:$U447,$U447)=1,1,INDEX(KI:KI,_xlfn.XMATCH(U447,U$1:U446,0,-1))+COUNT(KI425:KM425))</f>
        <v>142</v>
      </c>
      <c r="KJ447">
        <f t="shared" ref="KJ447:KK448" si="2174">KI447+1</f>
        <v>143</v>
      </c>
      <c r="KK447">
        <f t="shared" si="2174"/>
        <v>144</v>
      </c>
      <c r="KN447">
        <v>1</v>
      </c>
      <c r="KO447" s="16">
        <v>2</v>
      </c>
      <c r="KS447" s="16"/>
    </row>
    <row r="448" spans="1:550" ht="15.75" thickBot="1" x14ac:dyDescent="0.3">
      <c r="A448" t="s">
        <v>2508</v>
      </c>
      <c r="B448" t="s">
        <v>2509</v>
      </c>
      <c r="C448" t="s">
        <v>498</v>
      </c>
      <c r="P448" t="s">
        <v>482</v>
      </c>
      <c r="T448" s="14" t="s">
        <v>2185</v>
      </c>
      <c r="U448">
        <v>1</v>
      </c>
      <c r="V448" t="s">
        <v>2510</v>
      </c>
      <c r="X448" t="str">
        <f>IF(COUNTIF(X$379:X447,X447)&gt;7,REPLACE(X447,LEN(X447),1,VALUE(RIGHT(X447,1))+1),X447)</f>
        <v>A3.17</v>
      </c>
      <c r="Y448" s="43" cm="1">
        <f t="array" ref="Y448">IF(COUNTIFS($X$379:$X448,$X448)=1,"1",VALUE(SUBSTITUTE(INDEX(Y:Y,_xlfn.XMATCH($X448,$X$1:$X447,0,-1)),"A",""))+INDEX(Z:Z,_xlfn.XMATCH($X448,$X$1:$X447,0,-1))+1)</f>
        <v>2</v>
      </c>
      <c r="Z448" s="43" cm="1">
        <f t="array" ref="Z448">SUM(IF(ISNUMBER(FIND("TmAi",$BE$1:$AAL$1)),IF(IFERROR(ISODD(SUBSTITUTE($BE448:$AAL448,"A","")),FALSE),IF(ISODD(SUBSTITUTE($BE448:$AAL448,"A","")),1,0),0)))</f>
        <v>0</v>
      </c>
      <c r="AA448" t="str">
        <f t="shared" si="2169"/>
        <v>3B</v>
      </c>
      <c r="AB448" t="str">
        <f t="shared" si="2170"/>
        <v>4B</v>
      </c>
      <c r="AP448" t="s">
        <v>2187</v>
      </c>
      <c r="AS448" t="s">
        <v>396</v>
      </c>
      <c r="JZ448" s="27" t="str">
        <f t="shared" ref="JZ448" si="2175">CONCATENATE("XT",U448)</f>
        <v>XT1</v>
      </c>
      <c r="KC448" t="str">
        <f t="shared" ref="KC448" si="2176">CONCATENATE(T448,"-AI",REPLACE($X448,1,3,""),"-",AA448)</f>
        <v>N1-AI17-3B</v>
      </c>
      <c r="KD448" t="str">
        <f t="shared" ref="KD448" si="2177">CONCATENATE(T448,"-AI",REPLACE($X448,1,3,""),"-",AB448)</f>
        <v>N1-AI17-4B</v>
      </c>
      <c r="KI448" cm="1">
        <f t="array" ref="KI448">IF(COUNTIFS($U$2:$U448,$U448)=1,1,INDEX(KI:KI,_xlfn.XMATCH(U448,U$1:U447,0,-1))+COUNT(KI447:KM447))</f>
        <v>145</v>
      </c>
      <c r="KJ448">
        <f t="shared" si="2174"/>
        <v>146</v>
      </c>
      <c r="KK448">
        <f t="shared" si="2174"/>
        <v>147</v>
      </c>
      <c r="KN448">
        <v>1</v>
      </c>
      <c r="KO448" s="16">
        <v>2</v>
      </c>
      <c r="KS448" s="16"/>
    </row>
    <row r="449" spans="1:550" ht="30.75" thickBot="1" x14ac:dyDescent="0.3">
      <c r="A449" t="s">
        <v>2684</v>
      </c>
      <c r="B449" t="s">
        <v>2685</v>
      </c>
      <c r="P449" t="s">
        <v>1942</v>
      </c>
      <c r="T449" s="27" t="s">
        <v>2185</v>
      </c>
      <c r="U449">
        <v>58</v>
      </c>
      <c r="V449" t="s">
        <v>2684</v>
      </c>
      <c r="AP449" t="s">
        <v>2187</v>
      </c>
      <c r="AQ449" t="s">
        <v>2721</v>
      </c>
      <c r="TS449" s="66" t="s">
        <v>1961</v>
      </c>
      <c r="TT449" s="23" t="s">
        <v>1951</v>
      </c>
      <c r="TU449" s="23" t="s">
        <v>1952</v>
      </c>
      <c r="TV449" s="23" t="s">
        <v>1953</v>
      </c>
      <c r="TW449" s="23" t="s">
        <v>1954</v>
      </c>
      <c r="TX449" s="23" t="s">
        <v>1958</v>
      </c>
      <c r="TY449" s="23" t="s">
        <v>1959</v>
      </c>
      <c r="TZ449" s="23" t="s">
        <v>1960</v>
      </c>
      <c r="UA449" s="23" t="str">
        <f>CONCATENATE("XT",$U449)</f>
        <v>XT58</v>
      </c>
      <c r="UB449" s="23">
        <v>4</v>
      </c>
      <c r="UC449" s="23">
        <f>UB449+1</f>
        <v>5</v>
      </c>
      <c r="UD449" s="24">
        <f>UC449+1</f>
        <v>6</v>
      </c>
    </row>
    <row r="450" spans="1:550" x14ac:dyDescent="0.25">
      <c r="A450" s="67" t="s">
        <v>2513</v>
      </c>
      <c r="B450" t="s">
        <v>2512</v>
      </c>
      <c r="C450" s="3"/>
      <c r="O450" s="2"/>
      <c r="P450" t="s">
        <v>129</v>
      </c>
      <c r="Q450" s="1"/>
      <c r="S450" s="1" t="s">
        <v>130</v>
      </c>
      <c r="T450" s="14" t="s">
        <v>2185</v>
      </c>
      <c r="U450" s="60">
        <v>6</v>
      </c>
      <c r="V450" s="15" t="s">
        <v>2514</v>
      </c>
      <c r="W450" s="15"/>
      <c r="AC450" t="s">
        <v>131</v>
      </c>
      <c r="AD450" s="43">
        <v>1</v>
      </c>
      <c r="AE450" s="43" cm="1">
        <f t="array" ref="AE450">SUM(IF(ISNUMBER(FIND("TmDi",$BE$1:$AAL$1)),IF(IFERROR(ISNUMBER(VALUE(SUBSTITUTE($BE450:$AAL450,"B",""))),FALSE),IF(ISNUMBER(VALUE(SUBSTITUTE($BE450:$AAL450,"B",""))),1,0),0)))</f>
        <v>5</v>
      </c>
      <c r="AF450" t="str">
        <f t="shared" ref="AF450:AF526" si="2178">CONCATENATE("C",$AD450)</f>
        <v>C1</v>
      </c>
      <c r="AG450" t="str">
        <f t="shared" ref="AG450:AG526" si="2179">CONCATENATE("B",$AD450)</f>
        <v>B1</v>
      </c>
      <c r="AH450" t="s">
        <v>132</v>
      </c>
      <c r="AI450" s="64">
        <v>1</v>
      </c>
      <c r="AJ450" s="64" cm="1">
        <f t="array" ref="AJ450">SUM(IF(ISNUMBER(FIND("TmDo",$BE$1:$AAL$1)),IF(IFERROR(ISNUMBER(VALUE(SUBSTITUTE($BE450:$AAL450,"B",""))),FALSE),IF(ISNUMBER(VALUE(SUBSTITUTE($BE450:$AAL450,"B",""))),1,0),0)))</f>
        <v>2</v>
      </c>
      <c r="AK450" t="str">
        <f t="shared" ref="AK450:AK481" si="2180">CONCATENATE($AI450,"A")</f>
        <v>1A</v>
      </c>
      <c r="AL450" t="str">
        <f t="shared" ref="AL450:AL481" si="2181">CONCATENATE($AI450,"B")</f>
        <v>1B</v>
      </c>
      <c r="AM450" t="s">
        <v>141</v>
      </c>
      <c r="AP450" t="s">
        <v>2187</v>
      </c>
      <c r="AQ450" t="s">
        <v>2515</v>
      </c>
      <c r="AT450" t="s">
        <v>139</v>
      </c>
      <c r="AU450" t="s">
        <v>140</v>
      </c>
      <c r="BD450" s="16"/>
      <c r="BE450" s="25" t="str">
        <f t="shared" ref="BE450" si="2182">CONCATENATE("XT",U450)</f>
        <v>XT6</v>
      </c>
      <c r="BF450" s="12" t="str">
        <f t="shared" ref="BF450" si="2183">CONCATENATE("C",REPLACE(AF450,1,1,"")+1)</f>
        <v>C2</v>
      </c>
      <c r="BG450" s="12" t="str">
        <f t="shared" ref="BG450" si="2184">CONCATENATE("B",REPLACE(AG450,1,1,"")+1)</f>
        <v>B2</v>
      </c>
      <c r="BH450" s="12" t="str">
        <f t="shared" ref="BH450" si="2185">CONCATENATE("C",REPLACE(BF450,1,1,"")+1)</f>
        <v>C3</v>
      </c>
      <c r="BI450" s="12" t="str">
        <f t="shared" ref="BI450" si="2186">CONCATENATE("B",REPLACE(BG450,1,1,"")+1)</f>
        <v>B3</v>
      </c>
      <c r="BJ450" s="12" t="str">
        <f t="shared" ref="BJ450" si="2187">CONCATENATE("C",REPLACE(BH450,1,1,"")+1)</f>
        <v>C4</v>
      </c>
      <c r="BK450" s="12" t="str">
        <f t="shared" ref="BK450" si="2188">CONCATENATE("B",REPLACE(BI450,1,1,"")+1)</f>
        <v>B4</v>
      </c>
      <c r="BL450" s="12" t="str">
        <f t="shared" ref="BL450" si="2189">CONCATENATE("C",REPLACE(BJ450,1,1,"")+1)</f>
        <v>C5</v>
      </c>
      <c r="BM450" s="12" t="str">
        <f t="shared" ref="BM450" si="2190">CONCATENATE("B",REPLACE(BK450,1,1,"")+1)</f>
        <v>B5</v>
      </c>
      <c r="BN450" s="12" t="str">
        <f t="shared" ref="BN450" si="2191">CONCATENATE("C",REPLACE(BL450,1,1,"")+1)</f>
        <v>C6</v>
      </c>
      <c r="BO450" s="12" t="str">
        <f t="shared" ref="BO450" si="2192">CONCATENATE("B",REPLACE(BM450,1,1,"")+1)</f>
        <v>B6</v>
      </c>
      <c r="BP450" s="12" t="str">
        <f t="shared" ref="BP450:BP492" si="2193">CONCATENATE(REPLACE(AK450,LEN(AK450),1,"")+1,"A")</f>
        <v>2A</v>
      </c>
      <c r="BQ450" s="12" t="str">
        <f t="shared" ref="BQ450:BQ492" si="2194">CONCATENATE(REPLACE(AL450,LEN(AL450),1,"")+1,"B")</f>
        <v>2B</v>
      </c>
      <c r="BR450" s="12" t="str">
        <f t="shared" ref="BR450:BR492" si="2195">CONCATENATE(REPLACE(BP450,LEN(BP450),1,"")+1,"A")</f>
        <v>3A</v>
      </c>
      <c r="BS450" s="12" t="str">
        <f t="shared" ref="BS450:BS492" si="2196">CONCATENATE(REPLACE(BQ450,LEN(BQ450),1,"")+1,"B")</f>
        <v>3B</v>
      </c>
      <c r="BT450" s="12" t="str">
        <f t="shared" ref="BT450" si="2197">CONCATENATE("DI",REPLACE($AC450,1,3,""),"-",AF450)</f>
        <v>DI1-C1</v>
      </c>
      <c r="BU450" s="12" t="str">
        <f t="shared" ref="BU450" si="2198">CONCATENATE("DI",REPLACE($AC450,1,3,""),"-",AG450)</f>
        <v>DI1-B1</v>
      </c>
      <c r="BV450" s="12" t="str">
        <f t="shared" ref="BV450" si="2199">CONCATENATE("DI",REPLACE($AC450,1,3,""),"-",BF450)</f>
        <v>DI1-C2</v>
      </c>
      <c r="BW450" s="12" t="str">
        <f t="shared" ref="BW450" si="2200">CONCATENATE("DI",REPLACE($AC450,1,3,""),"-",BG450)</f>
        <v>DI1-B2</v>
      </c>
      <c r="BX450" s="12" t="str">
        <f t="shared" ref="BX450" si="2201">CONCATENATE("DI",REPLACE($AC450,1,3,""),"-",BH450)</f>
        <v>DI1-C3</v>
      </c>
      <c r="BY450" s="12" t="str">
        <f t="shared" ref="BY450" si="2202">CONCATENATE("DI",REPLACE($AC450,1,3,""),"-",BI450)</f>
        <v>DI1-B3</v>
      </c>
      <c r="BZ450" s="12" t="str">
        <f t="shared" ref="BZ450" si="2203">CONCATENATE("DI",REPLACE($AC450,1,3,""),"-",BJ450)</f>
        <v>DI1-C4</v>
      </c>
      <c r="CA450" s="12" t="str">
        <f t="shared" ref="CA450" si="2204">CONCATENATE("DI",REPLACE($AC450,1,3,""),"-",BK450)</f>
        <v>DI1-B4</v>
      </c>
      <c r="CB450" s="12" t="str">
        <f t="shared" ref="CB450" si="2205">CONCATENATE("DI",REPLACE($AC450,1,3,""),"-",BL450)</f>
        <v>DI1-C5</v>
      </c>
      <c r="CC450" s="12" t="str">
        <f t="shared" ref="CC450" si="2206">CONCATENATE("DI",REPLACE($AC450,1,3,""),"-",BM450)</f>
        <v>DI1-B5</v>
      </c>
      <c r="CD450" s="12" t="str">
        <f t="shared" ref="CD450" si="2207">CONCATENATE("DI",REPLACE($AC450,1,3,""),"-",BN450)</f>
        <v>DI1-C6</v>
      </c>
      <c r="CE450" s="12" t="str">
        <f t="shared" ref="CE450" si="2208">CONCATENATE("DI",REPLACE($AC450,1,3,""),"-",BO450)</f>
        <v>DI1-B6</v>
      </c>
      <c r="CF450" s="12" t="str">
        <f t="shared" ref="CF450" si="2209">CONCATENATE("DO",REPLACE($AH450,1,3,""),"-",AK450)</f>
        <v>DO1-1A</v>
      </c>
      <c r="CG450" s="12" t="str">
        <f t="shared" ref="CG450" si="2210">CONCATENATE("DO",REPLACE($AH450,1,3,""),"-",AL450)</f>
        <v>DO1-1B</v>
      </c>
      <c r="CH450" s="12" t="str">
        <f t="shared" ref="CH450" si="2211">CONCATENATE("DO",REPLACE($AH450,1,3,""),"-",BP450)</f>
        <v>DO1-2A</v>
      </c>
      <c r="CI450" s="12" t="str">
        <f t="shared" ref="CI450" si="2212">CONCATENATE("DO",REPLACE($AH450,1,3,""),"-",BQ450)</f>
        <v>DO1-2B</v>
      </c>
      <c r="CJ450" s="12" t="str">
        <f t="shared" ref="CJ450" si="2213">CONCATENATE("DO",REPLACE($AH450,1,3,""),"-",BR450)</f>
        <v>DO1-3A</v>
      </c>
      <c r="CK450" s="12" t="str">
        <f t="shared" ref="CK450" si="2214">CONCATENATE("DO",REPLACE($AH450,1,3,""),"-",BS450)</f>
        <v>DO1-3B</v>
      </c>
      <c r="CL450" s="12" t="str">
        <f t="shared" ref="CL450:CL492" si="2215">CONCATENATE("K",$U450,"-10")</f>
        <v>K6-10</v>
      </c>
      <c r="CM450" s="12" t="str">
        <f t="shared" ref="CM450:CM492" si="2216">CONCATENATE("K",$U450,"-03")</f>
        <v>K6-03</v>
      </c>
      <c r="CN450" s="12" t="str">
        <f t="shared" ref="CN450:CN492" si="2217">CONCATENATE("K",$U450,"-04")</f>
        <v>K6-04</v>
      </c>
      <c r="CO450" s="12" t="str">
        <f t="shared" ref="CO450:CO492" si="2218">CONCATENATE("K",$U450,"-01")</f>
        <v>K6-01</v>
      </c>
      <c r="CP450" s="12" t="str">
        <f t="shared" ref="CP450:CP492" si="2219">CONCATENATE("K",$U450,"-08")</f>
        <v>K6-08</v>
      </c>
      <c r="CQ450" s="12" t="str">
        <f t="shared" ref="CQ450:CQ492" si="2220">CONCATENATE("K",$U450,"-02")</f>
        <v>K6-02</v>
      </c>
      <c r="CR450" s="12" t="str">
        <f t="shared" ref="CR450:CR492" si="2221">CONCATENATE("K",$U450,"-09")</f>
        <v>K6-09</v>
      </c>
      <c r="CS450" s="12" t="str">
        <f t="shared" ref="CS450:CS492" si="2222">CONCATENATE("K",$U450,"-05")</f>
        <v>K6-05</v>
      </c>
      <c r="CT450" s="12" t="str">
        <f t="shared" ref="CT450:CT492" si="2223">CONCATENATE("K",$U450,"-11")</f>
        <v>K6-11</v>
      </c>
      <c r="CU450" s="12" t="str">
        <f t="shared" ref="CU450:CU492" si="2224">CONCATENATE($T450,"-M",$U450,"-A9")</f>
        <v>N1-M6-A9</v>
      </c>
      <c r="CV450" s="12" t="str">
        <f t="shared" ref="CV450:CV492" si="2225">CONCATENATE($T450,"-M",$U450,"-A7")</f>
        <v>N1-M6-A7</v>
      </c>
      <c r="CW450" s="12" t="str">
        <f t="shared" ref="CW450:CW492" si="2226">CONCATENATE($T450,"-M",$U450,"-A8")</f>
        <v>N1-M6-A8</v>
      </c>
      <c r="CX450" s="12" t="str">
        <f t="shared" ref="CX450:CX492" si="2227">CONCATENATE($T450,"-M",$U450,"-A6")</f>
        <v>N1-M6-A6</v>
      </c>
      <c r="CY450" s="12" t="str">
        <f t="shared" ref="CY450:CY492" si="2228">CONCATENATE($T450,"-M",$U450,"-A30")</f>
        <v>N1-M6-A30</v>
      </c>
      <c r="CZ450" s="12" t="str">
        <f t="shared" ref="CZ450:CZ492" si="2229">CONCATENATE($T450,"-M",$U450,"-N")</f>
        <v>N1-M6-N</v>
      </c>
      <c r="DA450" s="12" t="str">
        <f t="shared" ref="DA450" si="2230">CONCATENATE($T450,"-A220-M",U450)</f>
        <v>N1-A220-M6</v>
      </c>
      <c r="DB450" s="12" t="str">
        <f t="shared" ref="DB450:DB492" si="2231">CONCATENATE($T450,"-M",$U450,"-XM01")</f>
        <v>N1-M6-XM01</v>
      </c>
      <c r="DC450" s="12" t="str">
        <f t="shared" ref="DC450:DC492" si="2232">CONCATENATE($T450,"-M",$U450,"-A1")</f>
        <v>N1-M6-A1</v>
      </c>
      <c r="DD450" s="12" t="str">
        <f t="shared" ref="DD450:DD492" si="2233">CONCATENATE($T450,"-M",$U450,"-A5")</f>
        <v>N1-M6-A5</v>
      </c>
      <c r="DE450" s="12" t="str">
        <f t="shared" ref="DE450:DE492" si="2234">CONCATENATE($T450,"-M",$U450,"-A11")</f>
        <v>N1-M6-A11</v>
      </c>
      <c r="DF450" s="12" t="str">
        <f t="shared" ref="DF450:DF492" si="2235">CONCATENATE($T450,"-M",$U450,"-A12")</f>
        <v>N1-M6-A12</v>
      </c>
      <c r="DG450" s="12" t="str">
        <f t="shared" ref="DG450:DG492" si="2236">CONCATENATE($T450,"-M",$U450,"-A19")</f>
        <v>N1-M6-A19</v>
      </c>
      <c r="DH450" s="12" t="str">
        <f t="shared" ref="DH450:DH492" si="2237">CONCATENATE($T450,"-M",$U450,"-A20")</f>
        <v>N1-M6-A20</v>
      </c>
      <c r="DI450" s="12" t="s">
        <v>142</v>
      </c>
      <c r="DJ450" s="12" t="s">
        <v>143</v>
      </c>
      <c r="DK450" s="12">
        <v>11</v>
      </c>
      <c r="DL450" s="12">
        <v>14</v>
      </c>
      <c r="DM450" s="12">
        <v>12</v>
      </c>
      <c r="DN450" s="12" t="s">
        <v>144</v>
      </c>
      <c r="DO450" s="12" t="s">
        <v>145</v>
      </c>
      <c r="DP450" s="12">
        <v>1</v>
      </c>
      <c r="DQ450" s="12">
        <v>2</v>
      </c>
      <c r="DR450" s="12">
        <v>3</v>
      </c>
      <c r="DS450" s="12">
        <v>4</v>
      </c>
      <c r="DT450" s="12">
        <v>5</v>
      </c>
      <c r="DU450" s="12">
        <v>6</v>
      </c>
      <c r="DV450" s="12">
        <v>7</v>
      </c>
      <c r="DW450" s="12">
        <v>8</v>
      </c>
      <c r="DX450" s="12">
        <v>9</v>
      </c>
      <c r="DY450" s="12">
        <v>10</v>
      </c>
      <c r="DZ450" s="12">
        <v>11</v>
      </c>
      <c r="EA450" s="12">
        <v>12</v>
      </c>
      <c r="EB450" s="12">
        <v>13</v>
      </c>
      <c r="EC450" s="12">
        <v>14</v>
      </c>
      <c r="ED450" s="12">
        <v>1</v>
      </c>
      <c r="EE450" s="12">
        <v>3</v>
      </c>
      <c r="EF450" s="12">
        <v>4</v>
      </c>
      <c r="EG450" s="12">
        <v>7</v>
      </c>
      <c r="EH450" s="12">
        <v>8</v>
      </c>
      <c r="EI450" s="12">
        <v>9</v>
      </c>
      <c r="EJ450" s="12">
        <v>10</v>
      </c>
      <c r="EK450" s="12">
        <v>13</v>
      </c>
      <c r="EL450" s="12">
        <v>14</v>
      </c>
      <c r="EM450" s="12">
        <v>15</v>
      </c>
      <c r="EN450" s="12">
        <v>16</v>
      </c>
      <c r="EO450" s="12">
        <v>22</v>
      </c>
      <c r="EP450" s="12">
        <v>23</v>
      </c>
      <c r="EQ450" s="13">
        <v>24</v>
      </c>
    </row>
    <row r="451" spans="1:550" x14ac:dyDescent="0.25">
      <c r="A451" s="67" t="s">
        <v>2517</v>
      </c>
      <c r="B451" t="s">
        <v>2516</v>
      </c>
      <c r="C451" s="3"/>
      <c r="O451" s="2"/>
      <c r="P451" t="s">
        <v>129</v>
      </c>
      <c r="Q451" s="1"/>
      <c r="S451" s="1" t="s">
        <v>130</v>
      </c>
      <c r="T451" s="14" t="s">
        <v>2185</v>
      </c>
      <c r="U451" s="60">
        <v>7</v>
      </c>
      <c r="V451" s="15" t="s">
        <v>2518</v>
      </c>
      <c r="W451" s="15"/>
      <c r="AC451" t="str">
        <f t="shared" ref="AC451:AC489" si="2238">IF(AD450+AE450&gt;25,REPLACE(AC450,LEN(AC450),1,VALUE(RIGHT(AC450,1))+1),AC450)</f>
        <v>A5.1</v>
      </c>
      <c r="AD451" s="43" cm="1">
        <f t="array" ref="AD451">IF(COUNTIFS(AC$379:AC451,AC451)=1,"1",VALUE(SUBSTITUTE(INDEX(AD:AD,_xlfn.XMATCH(AC451,AC$1:AC450,0,-1)),"A",""))+INDEX(AE:AE,_xlfn.XMATCH(AC451,AC$1:AC450,0,-1))+1)</f>
        <v>7</v>
      </c>
      <c r="AE451" s="43" cm="1">
        <f t="array" ref="AE451">SUM(IF(ISNUMBER(FIND("TmDi",$BE$1:$AAL$1)),IF(IFERROR(ISNUMBER(VALUE(SUBSTITUTE($BE451:$AAL451,"B",""))),FALSE),IF(ISNUMBER(VALUE(SUBSTITUTE($BE451:$AAL451,"B",""))),1,0),0)))</f>
        <v>5</v>
      </c>
      <c r="AF451" t="str">
        <f t="shared" si="2178"/>
        <v>C7</v>
      </c>
      <c r="AG451" t="str">
        <f t="shared" si="2179"/>
        <v>B7</v>
      </c>
      <c r="AH451" t="str">
        <f t="shared" ref="AH451:AH457" si="2239">IF(AI450+AJ450&gt;25,REPLACE(AH450,LEN(AH450),1,VALUE(RIGHT(AH450,1))+1),AH450)</f>
        <v>A6.1</v>
      </c>
      <c r="AI451" s="73" cm="1">
        <f t="array" ref="AI451">IF(COUNTIFS(AH$379:AH451,AH451)=1,"1",VALUE(SUBSTITUTE(INDEX(AI:AI,_xlfn.XMATCH(AH451,AH$1:AH450,0,-1)),"A",""))+INDEX(AJ:AJ,_xlfn.XMATCH(AH451,AH$1:AH450,0,-1))+1)</f>
        <v>4</v>
      </c>
      <c r="AJ451" s="64" cm="1">
        <f t="array" ref="AJ451">SUM(IF(ISNUMBER(FIND("TmDo",$BE$1:$AAL$1)),IF(IFERROR(ISNUMBER(VALUE(SUBSTITUTE($BE451:$AAL451,"B",""))),FALSE),IF(ISNUMBER(VALUE(SUBSTITUTE($BE451:$AAL451,"B",""))),1,0),0)))</f>
        <v>2</v>
      </c>
      <c r="AK451" t="str">
        <f t="shared" si="2180"/>
        <v>4A</v>
      </c>
      <c r="AL451" t="str">
        <f t="shared" si="2181"/>
        <v>4B</v>
      </c>
      <c r="AM451" t="s">
        <v>150</v>
      </c>
      <c r="AP451" t="s">
        <v>2187</v>
      </c>
      <c r="AQ451" t="s">
        <v>2515</v>
      </c>
      <c r="AT451" t="s">
        <v>139</v>
      </c>
      <c r="AU451" t="s">
        <v>140</v>
      </c>
      <c r="BD451" s="16"/>
      <c r="BE451" s="27" t="str">
        <f t="shared" ref="BE451" si="2240">CONCATENATE("XT",U451)</f>
        <v>XT7</v>
      </c>
      <c r="BF451" t="str">
        <f t="shared" ref="BF451" si="2241">CONCATENATE("C",REPLACE(AF451,1,1,"")+1)</f>
        <v>C8</v>
      </c>
      <c r="BG451" t="str">
        <f t="shared" ref="BG451" si="2242">CONCATENATE("B",REPLACE(AG451,1,1,"")+1)</f>
        <v>B8</v>
      </c>
      <c r="BH451" t="str">
        <f t="shared" ref="BH451" si="2243">CONCATENATE("C",REPLACE(BF451,1,1,"")+1)</f>
        <v>C9</v>
      </c>
      <c r="BI451" t="str">
        <f t="shared" ref="BI451" si="2244">CONCATENATE("B",REPLACE(BG451,1,1,"")+1)</f>
        <v>B9</v>
      </c>
      <c r="BJ451" t="str">
        <f t="shared" ref="BJ451" si="2245">CONCATENATE("C",REPLACE(BH451,1,1,"")+1)</f>
        <v>C10</v>
      </c>
      <c r="BK451" t="str">
        <f t="shared" ref="BK451" si="2246">CONCATENATE("B",REPLACE(BI451,1,1,"")+1)</f>
        <v>B10</v>
      </c>
      <c r="BL451" t="str">
        <f t="shared" ref="BL451" si="2247">CONCATENATE("C",REPLACE(BJ451,1,1,"")+1)</f>
        <v>C11</v>
      </c>
      <c r="BM451" t="str">
        <f t="shared" ref="BM451" si="2248">CONCATENATE("B",REPLACE(BK451,1,1,"")+1)</f>
        <v>B11</v>
      </c>
      <c r="BN451" t="str">
        <f t="shared" ref="BN451" si="2249">CONCATENATE("C",REPLACE(BL451,1,1,"")+1)</f>
        <v>C12</v>
      </c>
      <c r="BO451" t="str">
        <f t="shared" ref="BO451" si="2250">CONCATENATE("B",REPLACE(BM451,1,1,"")+1)</f>
        <v>B12</v>
      </c>
      <c r="BP451" t="str">
        <f t="shared" si="2193"/>
        <v>5A</v>
      </c>
      <c r="BQ451" t="str">
        <f t="shared" si="2194"/>
        <v>5B</v>
      </c>
      <c r="BR451" t="str">
        <f t="shared" si="2195"/>
        <v>6A</v>
      </c>
      <c r="BS451" t="str">
        <f t="shared" si="2196"/>
        <v>6B</v>
      </c>
      <c r="BT451" t="str">
        <f t="shared" ref="BT451" si="2251">CONCATENATE("DI",REPLACE($AC451,1,3,""),"-",AF451)</f>
        <v>DI1-C7</v>
      </c>
      <c r="BU451" t="str">
        <f t="shared" ref="BU451" si="2252">CONCATENATE("DI",REPLACE($AC451,1,3,""),"-",AG451)</f>
        <v>DI1-B7</v>
      </c>
      <c r="BV451" t="str">
        <f t="shared" ref="BV451" si="2253">CONCATENATE("DI",REPLACE($AC451,1,3,""),"-",BF451)</f>
        <v>DI1-C8</v>
      </c>
      <c r="BW451" t="str">
        <f t="shared" ref="BW451" si="2254">CONCATENATE("DI",REPLACE($AC451,1,3,""),"-",BG451)</f>
        <v>DI1-B8</v>
      </c>
      <c r="BX451" t="str">
        <f t="shared" ref="BX451" si="2255">CONCATENATE("DI",REPLACE($AC451,1,3,""),"-",BH451)</f>
        <v>DI1-C9</v>
      </c>
      <c r="BY451" t="str">
        <f t="shared" ref="BY451" si="2256">CONCATENATE("DI",REPLACE($AC451,1,3,""),"-",BI451)</f>
        <v>DI1-B9</v>
      </c>
      <c r="BZ451" t="str">
        <f t="shared" ref="BZ451" si="2257">CONCATENATE("DI",REPLACE($AC451,1,3,""),"-",BJ451)</f>
        <v>DI1-C10</v>
      </c>
      <c r="CA451" t="str">
        <f t="shared" ref="CA451" si="2258">CONCATENATE("DI",REPLACE($AC451,1,3,""),"-",BK451)</f>
        <v>DI1-B10</v>
      </c>
      <c r="CB451" t="str">
        <f t="shared" ref="CB451" si="2259">CONCATENATE("DI",REPLACE($AC451,1,3,""),"-",BL451)</f>
        <v>DI1-C11</v>
      </c>
      <c r="CC451" t="str">
        <f t="shared" ref="CC451" si="2260">CONCATENATE("DI",REPLACE($AC451,1,3,""),"-",BM451)</f>
        <v>DI1-B11</v>
      </c>
      <c r="CD451" t="str">
        <f t="shared" ref="CD451" si="2261">CONCATENATE("DI",REPLACE($AC451,1,3,""),"-",BN451)</f>
        <v>DI1-C12</v>
      </c>
      <c r="CE451" t="str">
        <f t="shared" ref="CE451" si="2262">CONCATENATE("DI",REPLACE($AC451,1,3,""),"-",BO451)</f>
        <v>DI1-B12</v>
      </c>
      <c r="CF451" t="str">
        <f t="shared" ref="CF451" si="2263">CONCATENATE("DO",REPLACE($AH451,1,3,""),"-",AK451)</f>
        <v>DO1-4A</v>
      </c>
      <c r="CG451" t="str">
        <f t="shared" ref="CG451" si="2264">CONCATENATE("DO",REPLACE($AH451,1,3,""),"-",AL451)</f>
        <v>DO1-4B</v>
      </c>
      <c r="CH451" t="str">
        <f t="shared" ref="CH451" si="2265">CONCATENATE("DO",REPLACE($AH451,1,3,""),"-",BP451)</f>
        <v>DO1-5A</v>
      </c>
      <c r="CI451" t="str">
        <f t="shared" ref="CI451" si="2266">CONCATENATE("DO",REPLACE($AH451,1,3,""),"-",BQ451)</f>
        <v>DO1-5B</v>
      </c>
      <c r="CJ451" t="str">
        <f t="shared" ref="CJ451" si="2267">CONCATENATE("DO",REPLACE($AH451,1,3,""),"-",BR451)</f>
        <v>DO1-6A</v>
      </c>
      <c r="CK451" t="str">
        <f t="shared" ref="CK451" si="2268">CONCATENATE("DO",REPLACE($AH451,1,3,""),"-",BS451)</f>
        <v>DO1-6B</v>
      </c>
      <c r="CL451" t="str">
        <f t="shared" si="2215"/>
        <v>K7-10</v>
      </c>
      <c r="CM451" t="str">
        <f t="shared" si="2216"/>
        <v>K7-03</v>
      </c>
      <c r="CN451" t="str">
        <f t="shared" si="2217"/>
        <v>K7-04</v>
      </c>
      <c r="CO451" t="str">
        <f t="shared" si="2218"/>
        <v>K7-01</v>
      </c>
      <c r="CP451" t="str">
        <f t="shared" si="2219"/>
        <v>K7-08</v>
      </c>
      <c r="CQ451" t="str">
        <f t="shared" si="2220"/>
        <v>K7-02</v>
      </c>
      <c r="CR451" t="str">
        <f t="shared" si="2221"/>
        <v>K7-09</v>
      </c>
      <c r="CS451" t="str">
        <f t="shared" si="2222"/>
        <v>K7-05</v>
      </c>
      <c r="CT451" t="str">
        <f t="shared" si="2223"/>
        <v>K7-11</v>
      </c>
      <c r="CU451" t="str">
        <f t="shared" si="2224"/>
        <v>N1-M7-A9</v>
      </c>
      <c r="CV451" t="str">
        <f t="shared" si="2225"/>
        <v>N1-M7-A7</v>
      </c>
      <c r="CW451" t="str">
        <f t="shared" si="2226"/>
        <v>N1-M7-A8</v>
      </c>
      <c r="CX451" t="str">
        <f t="shared" si="2227"/>
        <v>N1-M7-A6</v>
      </c>
      <c r="CY451" t="str">
        <f t="shared" si="2228"/>
        <v>N1-M7-A30</v>
      </c>
      <c r="CZ451" t="str">
        <f t="shared" si="2229"/>
        <v>N1-M7-N</v>
      </c>
      <c r="DA451" t="str">
        <f t="shared" ref="DA451" si="2269">CONCATENATE($T451,"-A220-M",U451)</f>
        <v>N1-A220-M7</v>
      </c>
      <c r="DB451" t="str">
        <f t="shared" si="2231"/>
        <v>N1-M7-XM01</v>
      </c>
      <c r="DC451" t="str">
        <f t="shared" si="2232"/>
        <v>N1-M7-A1</v>
      </c>
      <c r="DD451" t="str">
        <f t="shared" si="2233"/>
        <v>N1-M7-A5</v>
      </c>
      <c r="DE451" t="str">
        <f t="shared" si="2234"/>
        <v>N1-M7-A11</v>
      </c>
      <c r="DF451" t="str">
        <f t="shared" si="2235"/>
        <v>N1-M7-A12</v>
      </c>
      <c r="DG451" t="str">
        <f t="shared" si="2236"/>
        <v>N1-M7-A19</v>
      </c>
      <c r="DH451" t="str">
        <f t="shared" si="2237"/>
        <v>N1-M7-A20</v>
      </c>
      <c r="DI451" t="s">
        <v>142</v>
      </c>
      <c r="DJ451" t="s">
        <v>143</v>
      </c>
      <c r="DK451">
        <v>11</v>
      </c>
      <c r="DL451">
        <v>14</v>
      </c>
      <c r="DM451">
        <v>12</v>
      </c>
      <c r="DN451" t="s">
        <v>144</v>
      </c>
      <c r="DO451" t="s">
        <v>145</v>
      </c>
      <c r="DP451">
        <v>1</v>
      </c>
      <c r="DQ451">
        <v>2</v>
      </c>
      <c r="DR451">
        <v>3</v>
      </c>
      <c r="DS451">
        <v>4</v>
      </c>
      <c r="DT451">
        <v>5</v>
      </c>
      <c r="DU451">
        <v>6</v>
      </c>
      <c r="DV451">
        <v>7</v>
      </c>
      <c r="DW451">
        <v>8</v>
      </c>
      <c r="DX451">
        <v>9</v>
      </c>
      <c r="DY451">
        <v>10</v>
      </c>
      <c r="DZ451">
        <v>11</v>
      </c>
      <c r="EA451">
        <v>12</v>
      </c>
      <c r="EB451">
        <v>13</v>
      </c>
      <c r="EC451">
        <v>14</v>
      </c>
      <c r="ED451">
        <v>1</v>
      </c>
      <c r="EE451">
        <v>3</v>
      </c>
      <c r="EF451">
        <v>4</v>
      </c>
      <c r="EG451">
        <v>7</v>
      </c>
      <c r="EH451">
        <v>8</v>
      </c>
      <c r="EI451">
        <v>9</v>
      </c>
      <c r="EJ451">
        <v>10</v>
      </c>
      <c r="EK451">
        <v>13</v>
      </c>
      <c r="EL451">
        <v>14</v>
      </c>
      <c r="EM451">
        <v>15</v>
      </c>
      <c r="EN451">
        <v>16</v>
      </c>
      <c r="EO451">
        <v>22</v>
      </c>
      <c r="EP451">
        <v>23</v>
      </c>
      <c r="EQ451" s="16">
        <v>24</v>
      </c>
    </row>
    <row r="452" spans="1:550" x14ac:dyDescent="0.25">
      <c r="A452" s="67" t="s">
        <v>2520</v>
      </c>
      <c r="B452" t="s">
        <v>2519</v>
      </c>
      <c r="C452" s="3"/>
      <c r="O452" s="2"/>
      <c r="P452" t="s">
        <v>129</v>
      </c>
      <c r="Q452" s="1"/>
      <c r="S452" s="1" t="s">
        <v>130</v>
      </c>
      <c r="T452" s="14" t="s">
        <v>2185</v>
      </c>
      <c r="U452" s="60">
        <v>8</v>
      </c>
      <c r="V452" s="15" t="s">
        <v>2521</v>
      </c>
      <c r="W452" s="15"/>
      <c r="AC452" t="str">
        <f t="shared" si="2238"/>
        <v>A5.1</v>
      </c>
      <c r="AD452" s="43" cm="1">
        <f t="array" ref="AD452">IF(COUNTIFS(AC$379:AC452,AC452)=1,"1",VALUE(SUBSTITUTE(INDEX(AD:AD,_xlfn.XMATCH(AC452,AC$1:AC451,0,-1)),"A",""))+INDEX(AE:AE,_xlfn.XMATCH(AC452,AC$1:AC451,0,-1))+1)</f>
        <v>13</v>
      </c>
      <c r="AE452" s="43" cm="1">
        <f t="array" ref="AE452">SUM(IF(ISNUMBER(FIND("TmDi",$BE$1:$AAL$1)),IF(IFERROR(ISNUMBER(VALUE(SUBSTITUTE($BE452:$AAL452,"B",""))),FALSE),IF(ISNUMBER(VALUE(SUBSTITUTE($BE452:$AAL452,"B",""))),1,0),0)))</f>
        <v>5</v>
      </c>
      <c r="AF452" t="str">
        <f t="shared" si="2178"/>
        <v>C13</v>
      </c>
      <c r="AG452" t="str">
        <f t="shared" si="2179"/>
        <v>B13</v>
      </c>
      <c r="AH452" t="str">
        <f t="shared" si="2239"/>
        <v>A6.1</v>
      </c>
      <c r="AI452" s="73" cm="1">
        <f t="array" ref="AI452">IF(COUNTIFS(AH$379:AH452,AH452)=1,"1",VALUE(SUBSTITUTE(INDEX(AI:AI,_xlfn.XMATCH(AH452,AH$1:AH451,0,-1)),"A",""))+INDEX(AJ:AJ,_xlfn.XMATCH(AH452,AH$1:AH451,0,-1))+1)</f>
        <v>7</v>
      </c>
      <c r="AJ452" s="64" cm="1">
        <f t="array" ref="AJ452">SUM(IF(ISNUMBER(FIND("TmDo",$BE$1:$AAL$1)),IF(IFERROR(ISNUMBER(VALUE(SUBSTITUTE($BE452:$AAL452,"B",""))),FALSE),IF(ISNUMBER(VALUE(SUBSTITUTE($BE452:$AAL452,"B",""))),1,0),0)))</f>
        <v>2</v>
      </c>
      <c r="AK452" t="str">
        <f t="shared" si="2180"/>
        <v>7A</v>
      </c>
      <c r="AL452" t="str">
        <f t="shared" si="2181"/>
        <v>7B</v>
      </c>
      <c r="AM452" t="s">
        <v>155</v>
      </c>
      <c r="AP452" t="s">
        <v>2187</v>
      </c>
      <c r="AQ452" t="s">
        <v>2515</v>
      </c>
      <c r="AT452" t="s">
        <v>139</v>
      </c>
      <c r="AU452" t="s">
        <v>140</v>
      </c>
      <c r="BD452" s="16"/>
      <c r="BE452" s="27" t="str">
        <f t="shared" ref="BE452:BE454" si="2270">CONCATENATE("XT",U452)</f>
        <v>XT8</v>
      </c>
      <c r="BF452" t="str">
        <f t="shared" ref="BF452:BF454" si="2271">CONCATENATE("C",REPLACE(AF452,1,1,"")+1)</f>
        <v>C14</v>
      </c>
      <c r="BG452" t="str">
        <f t="shared" ref="BG452:BG454" si="2272">CONCATENATE("B",REPLACE(AG452,1,1,"")+1)</f>
        <v>B14</v>
      </c>
      <c r="BH452" t="str">
        <f t="shared" ref="BH452:BH454" si="2273">CONCATENATE("C",REPLACE(BF452,1,1,"")+1)</f>
        <v>C15</v>
      </c>
      <c r="BI452" t="str">
        <f t="shared" ref="BI452:BI454" si="2274">CONCATENATE("B",REPLACE(BG452,1,1,"")+1)</f>
        <v>B15</v>
      </c>
      <c r="BJ452" t="str">
        <f t="shared" ref="BJ452:BJ454" si="2275">CONCATENATE("C",REPLACE(BH452,1,1,"")+1)</f>
        <v>C16</v>
      </c>
      <c r="BK452" t="str">
        <f t="shared" ref="BK452:BK454" si="2276">CONCATENATE("B",REPLACE(BI452,1,1,"")+1)</f>
        <v>B16</v>
      </c>
      <c r="BL452" t="str">
        <f t="shared" ref="BL452:BL454" si="2277">CONCATENATE("C",REPLACE(BJ452,1,1,"")+1)</f>
        <v>C17</v>
      </c>
      <c r="BM452" t="str">
        <f t="shared" ref="BM452:BM454" si="2278">CONCATENATE("B",REPLACE(BK452,1,1,"")+1)</f>
        <v>B17</v>
      </c>
      <c r="BN452" t="str">
        <f t="shared" ref="BN452:BN454" si="2279">CONCATENATE("C",REPLACE(BL452,1,1,"")+1)</f>
        <v>C18</v>
      </c>
      <c r="BO452" t="str">
        <f t="shared" ref="BO452:BO454" si="2280">CONCATENATE("B",REPLACE(BM452,1,1,"")+1)</f>
        <v>B18</v>
      </c>
      <c r="BP452" t="str">
        <f t="shared" si="2193"/>
        <v>8A</v>
      </c>
      <c r="BQ452" t="str">
        <f t="shared" si="2194"/>
        <v>8B</v>
      </c>
      <c r="BR452" t="str">
        <f t="shared" si="2195"/>
        <v>9A</v>
      </c>
      <c r="BS452" t="str">
        <f t="shared" si="2196"/>
        <v>9B</v>
      </c>
      <c r="BT452" t="str">
        <f t="shared" ref="BT452:BT454" si="2281">CONCATENATE("DI",REPLACE($AC452,1,3,""),"-",AF452)</f>
        <v>DI1-C13</v>
      </c>
      <c r="BU452" t="str">
        <f t="shared" ref="BU452:BU454" si="2282">CONCATENATE("DI",REPLACE($AC452,1,3,""),"-",AG452)</f>
        <v>DI1-B13</v>
      </c>
      <c r="BV452" t="str">
        <f t="shared" ref="BV452:BV454" si="2283">CONCATENATE("DI",REPLACE($AC452,1,3,""),"-",BF452)</f>
        <v>DI1-C14</v>
      </c>
      <c r="BW452" t="str">
        <f t="shared" ref="BW452:BW454" si="2284">CONCATENATE("DI",REPLACE($AC452,1,3,""),"-",BG452)</f>
        <v>DI1-B14</v>
      </c>
      <c r="BX452" t="str">
        <f t="shared" ref="BX452:BX454" si="2285">CONCATENATE("DI",REPLACE($AC452,1,3,""),"-",BH452)</f>
        <v>DI1-C15</v>
      </c>
      <c r="BY452" t="str">
        <f t="shared" ref="BY452:BY454" si="2286">CONCATENATE("DI",REPLACE($AC452,1,3,""),"-",BI452)</f>
        <v>DI1-B15</v>
      </c>
      <c r="BZ452" t="str">
        <f t="shared" ref="BZ452:BZ454" si="2287">CONCATENATE("DI",REPLACE($AC452,1,3,""),"-",BJ452)</f>
        <v>DI1-C16</v>
      </c>
      <c r="CA452" t="str">
        <f t="shared" ref="CA452:CA454" si="2288">CONCATENATE("DI",REPLACE($AC452,1,3,""),"-",BK452)</f>
        <v>DI1-B16</v>
      </c>
      <c r="CB452" t="str">
        <f t="shared" ref="CB452:CB454" si="2289">CONCATENATE("DI",REPLACE($AC452,1,3,""),"-",BL452)</f>
        <v>DI1-C17</v>
      </c>
      <c r="CC452" t="str">
        <f t="shared" ref="CC452:CC454" si="2290">CONCATENATE("DI",REPLACE($AC452,1,3,""),"-",BM452)</f>
        <v>DI1-B17</v>
      </c>
      <c r="CD452" t="str">
        <f t="shared" ref="CD452:CD454" si="2291">CONCATENATE("DI",REPLACE($AC452,1,3,""),"-",BN452)</f>
        <v>DI1-C18</v>
      </c>
      <c r="CE452" t="str">
        <f t="shared" ref="CE452:CE454" si="2292">CONCATENATE("DI",REPLACE($AC452,1,3,""),"-",BO452)</f>
        <v>DI1-B18</v>
      </c>
      <c r="CF452" t="str">
        <f t="shared" ref="CF452:CF454" si="2293">CONCATENATE("DO",REPLACE($AH452,1,3,""),"-",AK452)</f>
        <v>DO1-7A</v>
      </c>
      <c r="CG452" t="str">
        <f t="shared" ref="CG452:CG454" si="2294">CONCATENATE("DO",REPLACE($AH452,1,3,""),"-",AL452)</f>
        <v>DO1-7B</v>
      </c>
      <c r="CH452" t="str">
        <f t="shared" ref="CH452:CH454" si="2295">CONCATENATE("DO",REPLACE($AH452,1,3,""),"-",BP452)</f>
        <v>DO1-8A</v>
      </c>
      <c r="CI452" t="str">
        <f t="shared" ref="CI452:CI454" si="2296">CONCATENATE("DO",REPLACE($AH452,1,3,""),"-",BQ452)</f>
        <v>DO1-8B</v>
      </c>
      <c r="CJ452" t="str">
        <f t="shared" ref="CJ452:CJ454" si="2297">CONCATENATE("DO",REPLACE($AH452,1,3,""),"-",BR452)</f>
        <v>DO1-9A</v>
      </c>
      <c r="CK452" t="str">
        <f t="shared" ref="CK452:CK454" si="2298">CONCATENATE("DO",REPLACE($AH452,1,3,""),"-",BS452)</f>
        <v>DO1-9B</v>
      </c>
      <c r="CL452" t="str">
        <f t="shared" si="2215"/>
        <v>K8-10</v>
      </c>
      <c r="CM452" t="str">
        <f t="shared" si="2216"/>
        <v>K8-03</v>
      </c>
      <c r="CN452" t="str">
        <f t="shared" si="2217"/>
        <v>K8-04</v>
      </c>
      <c r="CO452" t="str">
        <f t="shared" si="2218"/>
        <v>K8-01</v>
      </c>
      <c r="CP452" t="str">
        <f t="shared" si="2219"/>
        <v>K8-08</v>
      </c>
      <c r="CQ452" t="str">
        <f t="shared" si="2220"/>
        <v>K8-02</v>
      </c>
      <c r="CR452" t="str">
        <f t="shared" si="2221"/>
        <v>K8-09</v>
      </c>
      <c r="CS452" t="str">
        <f t="shared" si="2222"/>
        <v>K8-05</v>
      </c>
      <c r="CT452" t="str">
        <f t="shared" si="2223"/>
        <v>K8-11</v>
      </c>
      <c r="CU452" t="str">
        <f t="shared" si="2224"/>
        <v>N1-M8-A9</v>
      </c>
      <c r="CV452" t="str">
        <f t="shared" si="2225"/>
        <v>N1-M8-A7</v>
      </c>
      <c r="CW452" t="str">
        <f t="shared" si="2226"/>
        <v>N1-M8-A8</v>
      </c>
      <c r="CX452" t="str">
        <f t="shared" si="2227"/>
        <v>N1-M8-A6</v>
      </c>
      <c r="CY452" t="str">
        <f t="shared" si="2228"/>
        <v>N1-M8-A30</v>
      </c>
      <c r="CZ452" t="str">
        <f t="shared" si="2229"/>
        <v>N1-M8-N</v>
      </c>
      <c r="DA452" t="str">
        <f t="shared" ref="DA452:DA454" si="2299">CONCATENATE($T452,"-A220-M",U452)</f>
        <v>N1-A220-M8</v>
      </c>
      <c r="DB452" t="str">
        <f t="shared" si="2231"/>
        <v>N1-M8-XM01</v>
      </c>
      <c r="DC452" t="str">
        <f t="shared" si="2232"/>
        <v>N1-M8-A1</v>
      </c>
      <c r="DD452" t="str">
        <f t="shared" si="2233"/>
        <v>N1-M8-A5</v>
      </c>
      <c r="DE452" t="str">
        <f t="shared" si="2234"/>
        <v>N1-M8-A11</v>
      </c>
      <c r="DF452" t="str">
        <f t="shared" si="2235"/>
        <v>N1-M8-A12</v>
      </c>
      <c r="DG452" t="str">
        <f t="shared" si="2236"/>
        <v>N1-M8-A19</v>
      </c>
      <c r="DH452" t="str">
        <f t="shared" si="2237"/>
        <v>N1-M8-A20</v>
      </c>
      <c r="DI452" t="s">
        <v>142</v>
      </c>
      <c r="DJ452" t="s">
        <v>143</v>
      </c>
      <c r="DK452">
        <v>11</v>
      </c>
      <c r="DL452">
        <v>14</v>
      </c>
      <c r="DM452">
        <v>12</v>
      </c>
      <c r="DN452" t="s">
        <v>144</v>
      </c>
      <c r="DO452" t="s">
        <v>145</v>
      </c>
      <c r="DP452">
        <v>1</v>
      </c>
      <c r="DQ452">
        <v>2</v>
      </c>
      <c r="DR452">
        <v>3</v>
      </c>
      <c r="DS452">
        <v>4</v>
      </c>
      <c r="DT452">
        <v>5</v>
      </c>
      <c r="DU452">
        <v>6</v>
      </c>
      <c r="DV452">
        <v>7</v>
      </c>
      <c r="DW452">
        <v>8</v>
      </c>
      <c r="DX452">
        <v>9</v>
      </c>
      <c r="DY452">
        <v>10</v>
      </c>
      <c r="DZ452">
        <v>11</v>
      </c>
      <c r="EA452">
        <v>12</v>
      </c>
      <c r="EB452">
        <v>13</v>
      </c>
      <c r="EC452">
        <v>14</v>
      </c>
      <c r="ED452">
        <v>1</v>
      </c>
      <c r="EE452">
        <v>3</v>
      </c>
      <c r="EF452">
        <v>4</v>
      </c>
      <c r="EG452">
        <v>7</v>
      </c>
      <c r="EH452">
        <v>8</v>
      </c>
      <c r="EI452">
        <v>9</v>
      </c>
      <c r="EJ452">
        <v>10</v>
      </c>
      <c r="EK452">
        <v>13</v>
      </c>
      <c r="EL452">
        <v>14</v>
      </c>
      <c r="EM452">
        <v>15</v>
      </c>
      <c r="EN452">
        <v>16</v>
      </c>
      <c r="EO452">
        <v>22</v>
      </c>
      <c r="EP452">
        <v>23</v>
      </c>
      <c r="EQ452" s="16">
        <v>24</v>
      </c>
    </row>
    <row r="453" spans="1:550" x14ac:dyDescent="0.25">
      <c r="A453" s="67" t="s">
        <v>2523</v>
      </c>
      <c r="B453" t="s">
        <v>2522</v>
      </c>
      <c r="C453" s="3"/>
      <c r="O453" s="2"/>
      <c r="P453" t="s">
        <v>129</v>
      </c>
      <c r="Q453" s="1"/>
      <c r="S453" s="1" t="s">
        <v>130</v>
      </c>
      <c r="T453" s="14" t="s">
        <v>2185</v>
      </c>
      <c r="U453" s="60">
        <v>9</v>
      </c>
      <c r="V453" s="15" t="s">
        <v>2530</v>
      </c>
      <c r="W453" s="15"/>
      <c r="AC453" t="str">
        <f t="shared" si="2238"/>
        <v>A5.1</v>
      </c>
      <c r="AD453" s="43" cm="1">
        <f t="array" ref="AD453">IF(COUNTIFS(AC$379:AC453,AC453)=1,"1",VALUE(SUBSTITUTE(INDEX(AD:AD,_xlfn.XMATCH(AC453,AC$1:AC452,0,-1)),"A",""))+INDEX(AE:AE,_xlfn.XMATCH(AC453,AC$1:AC452,0,-1))+1)</f>
        <v>19</v>
      </c>
      <c r="AE453" s="43" cm="1">
        <f t="array" ref="AE453">SUM(IF(ISNUMBER(FIND("TmDi",$BE$1:$AAL$1)),IF(IFERROR(ISNUMBER(VALUE(SUBSTITUTE($BE453:$AAL453,"B",""))),FALSE),IF(ISNUMBER(VALUE(SUBSTITUTE($BE453:$AAL453,"B",""))),1,0),0)))</f>
        <v>5</v>
      </c>
      <c r="AF453" t="str">
        <f t="shared" si="2178"/>
        <v>C19</v>
      </c>
      <c r="AG453" t="str">
        <f t="shared" si="2179"/>
        <v>B19</v>
      </c>
      <c r="AH453" t="str">
        <f t="shared" si="2239"/>
        <v>A6.1</v>
      </c>
      <c r="AI453" s="73" cm="1">
        <f t="array" ref="AI453">IF(COUNTIFS(AH$379:AH453,AH453)=1,"1",VALUE(SUBSTITUTE(INDEX(AI:AI,_xlfn.XMATCH(AH453,AH$1:AH452,0,-1)),"A",""))+INDEX(AJ:AJ,_xlfn.XMATCH(AH453,AH$1:AH452,0,-1))+1)</f>
        <v>10</v>
      </c>
      <c r="AJ453" s="64" cm="1">
        <f t="array" ref="AJ453">SUM(IF(ISNUMBER(FIND("TmDo",$BE$1:$AAL$1)),IF(IFERROR(ISNUMBER(VALUE(SUBSTITUTE($BE453:$AAL453,"B",""))),FALSE),IF(ISNUMBER(VALUE(SUBSTITUTE($BE453:$AAL453,"B",""))),1,0),0)))</f>
        <v>2</v>
      </c>
      <c r="AK453" t="str">
        <f t="shared" si="2180"/>
        <v>10A</v>
      </c>
      <c r="AL453" t="str">
        <f t="shared" si="2181"/>
        <v>10B</v>
      </c>
      <c r="AM453" t="s">
        <v>158</v>
      </c>
      <c r="AP453" t="s">
        <v>2187</v>
      </c>
      <c r="AQ453" t="s">
        <v>2515</v>
      </c>
      <c r="AT453" t="s">
        <v>139</v>
      </c>
      <c r="AU453" t="s">
        <v>140</v>
      </c>
      <c r="BD453" s="16"/>
      <c r="BE453" s="27" t="str">
        <f t="shared" si="2270"/>
        <v>XT9</v>
      </c>
      <c r="BF453" t="str">
        <f t="shared" si="2271"/>
        <v>C20</v>
      </c>
      <c r="BG453" t="str">
        <f t="shared" si="2272"/>
        <v>B20</v>
      </c>
      <c r="BH453" t="str">
        <f t="shared" si="2273"/>
        <v>C21</v>
      </c>
      <c r="BI453" t="str">
        <f t="shared" si="2274"/>
        <v>B21</v>
      </c>
      <c r="BJ453" t="str">
        <f t="shared" si="2275"/>
        <v>C22</v>
      </c>
      <c r="BK453" t="str">
        <f t="shared" si="2276"/>
        <v>B22</v>
      </c>
      <c r="BL453" t="str">
        <f t="shared" si="2277"/>
        <v>C23</v>
      </c>
      <c r="BM453" t="str">
        <f t="shared" si="2278"/>
        <v>B23</v>
      </c>
      <c r="BN453" t="str">
        <f t="shared" si="2279"/>
        <v>C24</v>
      </c>
      <c r="BO453" t="str">
        <f t="shared" si="2280"/>
        <v>B24</v>
      </c>
      <c r="BP453" t="str">
        <f t="shared" si="2193"/>
        <v>11A</v>
      </c>
      <c r="BQ453" t="str">
        <f t="shared" si="2194"/>
        <v>11B</v>
      </c>
      <c r="BR453" t="str">
        <f t="shared" si="2195"/>
        <v>12A</v>
      </c>
      <c r="BS453" t="str">
        <f t="shared" si="2196"/>
        <v>12B</v>
      </c>
      <c r="BT453" t="str">
        <f t="shared" si="2281"/>
        <v>DI1-C19</v>
      </c>
      <c r="BU453" t="str">
        <f t="shared" si="2282"/>
        <v>DI1-B19</v>
      </c>
      <c r="BV453" t="str">
        <f t="shared" si="2283"/>
        <v>DI1-C20</v>
      </c>
      <c r="BW453" t="str">
        <f t="shared" si="2284"/>
        <v>DI1-B20</v>
      </c>
      <c r="BX453" t="str">
        <f t="shared" si="2285"/>
        <v>DI1-C21</v>
      </c>
      <c r="BY453" t="str">
        <f t="shared" si="2286"/>
        <v>DI1-B21</v>
      </c>
      <c r="BZ453" t="str">
        <f t="shared" si="2287"/>
        <v>DI1-C22</v>
      </c>
      <c r="CA453" t="str">
        <f t="shared" si="2288"/>
        <v>DI1-B22</v>
      </c>
      <c r="CB453" t="str">
        <f t="shared" si="2289"/>
        <v>DI1-C23</v>
      </c>
      <c r="CC453" t="str">
        <f t="shared" si="2290"/>
        <v>DI1-B23</v>
      </c>
      <c r="CD453" t="str">
        <f t="shared" si="2291"/>
        <v>DI1-C24</v>
      </c>
      <c r="CE453" t="str">
        <f t="shared" si="2292"/>
        <v>DI1-B24</v>
      </c>
      <c r="CF453" t="str">
        <f t="shared" si="2293"/>
        <v>DO1-10A</v>
      </c>
      <c r="CG453" t="str">
        <f t="shared" si="2294"/>
        <v>DO1-10B</v>
      </c>
      <c r="CH453" t="str">
        <f t="shared" si="2295"/>
        <v>DO1-11A</v>
      </c>
      <c r="CI453" t="str">
        <f t="shared" si="2296"/>
        <v>DO1-11B</v>
      </c>
      <c r="CJ453" t="str">
        <f t="shared" si="2297"/>
        <v>DO1-12A</v>
      </c>
      <c r="CK453" t="str">
        <f t="shared" si="2298"/>
        <v>DO1-12B</v>
      </c>
      <c r="CL453" t="str">
        <f t="shared" si="2215"/>
        <v>K9-10</v>
      </c>
      <c r="CM453" t="str">
        <f t="shared" si="2216"/>
        <v>K9-03</v>
      </c>
      <c r="CN453" t="str">
        <f t="shared" si="2217"/>
        <v>K9-04</v>
      </c>
      <c r="CO453" t="str">
        <f t="shared" si="2218"/>
        <v>K9-01</v>
      </c>
      <c r="CP453" t="str">
        <f t="shared" si="2219"/>
        <v>K9-08</v>
      </c>
      <c r="CQ453" t="str">
        <f t="shared" si="2220"/>
        <v>K9-02</v>
      </c>
      <c r="CR453" t="str">
        <f t="shared" si="2221"/>
        <v>K9-09</v>
      </c>
      <c r="CS453" t="str">
        <f t="shared" si="2222"/>
        <v>K9-05</v>
      </c>
      <c r="CT453" t="str">
        <f t="shared" si="2223"/>
        <v>K9-11</v>
      </c>
      <c r="CU453" t="str">
        <f t="shared" si="2224"/>
        <v>N1-M9-A9</v>
      </c>
      <c r="CV453" t="str">
        <f t="shared" si="2225"/>
        <v>N1-M9-A7</v>
      </c>
      <c r="CW453" t="str">
        <f t="shared" si="2226"/>
        <v>N1-M9-A8</v>
      </c>
      <c r="CX453" t="str">
        <f t="shared" si="2227"/>
        <v>N1-M9-A6</v>
      </c>
      <c r="CY453" t="str">
        <f t="shared" si="2228"/>
        <v>N1-M9-A30</v>
      </c>
      <c r="CZ453" t="str">
        <f t="shared" si="2229"/>
        <v>N1-M9-N</v>
      </c>
      <c r="DA453" t="str">
        <f t="shared" si="2299"/>
        <v>N1-A220-M9</v>
      </c>
      <c r="DB453" t="str">
        <f t="shared" si="2231"/>
        <v>N1-M9-XM01</v>
      </c>
      <c r="DC453" t="str">
        <f t="shared" si="2232"/>
        <v>N1-M9-A1</v>
      </c>
      <c r="DD453" t="str">
        <f t="shared" si="2233"/>
        <v>N1-M9-A5</v>
      </c>
      <c r="DE453" t="str">
        <f t="shared" si="2234"/>
        <v>N1-M9-A11</v>
      </c>
      <c r="DF453" t="str">
        <f t="shared" si="2235"/>
        <v>N1-M9-A12</v>
      </c>
      <c r="DG453" t="str">
        <f t="shared" si="2236"/>
        <v>N1-M9-A19</v>
      </c>
      <c r="DH453" t="str">
        <f t="shared" si="2237"/>
        <v>N1-M9-A20</v>
      </c>
      <c r="DI453" t="s">
        <v>142</v>
      </c>
      <c r="DJ453" t="s">
        <v>143</v>
      </c>
      <c r="DK453">
        <v>11</v>
      </c>
      <c r="DL453">
        <v>14</v>
      </c>
      <c r="DM453">
        <v>12</v>
      </c>
      <c r="DN453" t="s">
        <v>144</v>
      </c>
      <c r="DO453" t="s">
        <v>145</v>
      </c>
      <c r="DP453">
        <v>1</v>
      </c>
      <c r="DQ453">
        <v>2</v>
      </c>
      <c r="DR453">
        <v>3</v>
      </c>
      <c r="DS453">
        <v>4</v>
      </c>
      <c r="DT453">
        <v>5</v>
      </c>
      <c r="DU453">
        <v>6</v>
      </c>
      <c r="DV453">
        <v>7</v>
      </c>
      <c r="DW453">
        <v>8</v>
      </c>
      <c r="DX453">
        <v>9</v>
      </c>
      <c r="DY453">
        <v>10</v>
      </c>
      <c r="DZ453">
        <v>11</v>
      </c>
      <c r="EA453">
        <v>12</v>
      </c>
      <c r="EB453">
        <v>13</v>
      </c>
      <c r="EC453">
        <v>14</v>
      </c>
      <c r="ED453">
        <v>1</v>
      </c>
      <c r="EE453">
        <v>3</v>
      </c>
      <c r="EF453">
        <v>4</v>
      </c>
      <c r="EG453">
        <v>7</v>
      </c>
      <c r="EH453">
        <v>8</v>
      </c>
      <c r="EI453">
        <v>9</v>
      </c>
      <c r="EJ453">
        <v>10</v>
      </c>
      <c r="EK453">
        <v>13</v>
      </c>
      <c r="EL453">
        <v>14</v>
      </c>
      <c r="EM453">
        <v>15</v>
      </c>
      <c r="EN453">
        <v>16</v>
      </c>
      <c r="EO453">
        <v>22</v>
      </c>
      <c r="EP453">
        <v>23</v>
      </c>
      <c r="EQ453" s="16">
        <v>24</v>
      </c>
    </row>
    <row r="454" spans="1:550" x14ac:dyDescent="0.25">
      <c r="A454" s="67" t="s">
        <v>2525</v>
      </c>
      <c r="B454" t="s">
        <v>2524</v>
      </c>
      <c r="C454" s="3"/>
      <c r="O454" s="2"/>
      <c r="P454" t="s">
        <v>129</v>
      </c>
      <c r="Q454" s="1"/>
      <c r="S454" s="1" t="s">
        <v>130</v>
      </c>
      <c r="T454" s="14" t="s">
        <v>2185</v>
      </c>
      <c r="U454" s="60">
        <v>10</v>
      </c>
      <c r="V454" s="15" t="s">
        <v>2531</v>
      </c>
      <c r="W454" s="15"/>
      <c r="AC454" t="str">
        <f t="shared" si="2238"/>
        <v>A5.1</v>
      </c>
      <c r="AD454" s="43" cm="1">
        <f t="array" ref="AD454">IF(COUNTIFS(AC$379:AC454,AC454)=1,"1",VALUE(SUBSTITUTE(INDEX(AD:AD,_xlfn.XMATCH(AC454,AC$1:AC453,0,-1)),"A",""))+INDEX(AE:AE,_xlfn.XMATCH(AC454,AC$1:AC453,0,-1))+1)</f>
        <v>25</v>
      </c>
      <c r="AE454" s="43" cm="1">
        <f t="array" ref="AE454">SUM(IF(ISNUMBER(FIND("TmDi",$BE$1:$AAL$1)),IF(IFERROR(ISNUMBER(VALUE(SUBSTITUTE($BE454:$AAL454,"B",""))),FALSE),IF(ISNUMBER(VALUE(SUBSTITUTE($BE454:$AAL454,"B",""))),1,0),0)))</f>
        <v>5</v>
      </c>
      <c r="AF454" t="str">
        <f t="shared" si="2178"/>
        <v>C25</v>
      </c>
      <c r="AG454" t="str">
        <f t="shared" si="2179"/>
        <v>B25</v>
      </c>
      <c r="AH454" t="str">
        <f t="shared" si="2239"/>
        <v>A6.1</v>
      </c>
      <c r="AI454" s="73" cm="1">
        <f t="array" ref="AI454">IF(COUNTIFS(AH$379:AH454,AH454)=1,"1",VALUE(SUBSTITUTE(INDEX(AI:AI,_xlfn.XMATCH(AH454,AH$1:AH453,0,-1)),"A",""))+INDEX(AJ:AJ,_xlfn.XMATCH(AH454,AH$1:AH453,0,-1))+1)</f>
        <v>13</v>
      </c>
      <c r="AJ454" s="64" cm="1">
        <f t="array" ref="AJ454">SUM(IF(ISNUMBER(FIND("TmDo",$BE$1:$AAL$1)),IF(IFERROR(ISNUMBER(VALUE(SUBSTITUTE($BE454:$AAL454,"B",""))),FALSE),IF(ISNUMBER(VALUE(SUBSTITUTE($BE454:$AAL454,"B",""))),1,0),0)))</f>
        <v>2</v>
      </c>
      <c r="AK454" t="str">
        <f t="shared" si="2180"/>
        <v>13A</v>
      </c>
      <c r="AL454" t="str">
        <f t="shared" si="2181"/>
        <v>13B</v>
      </c>
      <c r="AM454" t="s">
        <v>161</v>
      </c>
      <c r="AP454" t="s">
        <v>2187</v>
      </c>
      <c r="AQ454" t="s">
        <v>2515</v>
      </c>
      <c r="AT454" t="s">
        <v>139</v>
      </c>
      <c r="AU454" t="s">
        <v>140</v>
      </c>
      <c r="BD454" s="16"/>
      <c r="BE454" s="27" t="str">
        <f t="shared" si="2270"/>
        <v>XT10</v>
      </c>
      <c r="BF454" t="str">
        <f t="shared" si="2271"/>
        <v>C26</v>
      </c>
      <c r="BG454" t="str">
        <f t="shared" si="2272"/>
        <v>B26</v>
      </c>
      <c r="BH454" t="str">
        <f t="shared" si="2273"/>
        <v>C27</v>
      </c>
      <c r="BI454" t="str">
        <f t="shared" si="2274"/>
        <v>B27</v>
      </c>
      <c r="BJ454" t="str">
        <f t="shared" si="2275"/>
        <v>C28</v>
      </c>
      <c r="BK454" t="str">
        <f t="shared" si="2276"/>
        <v>B28</v>
      </c>
      <c r="BL454" t="str">
        <f t="shared" si="2277"/>
        <v>C29</v>
      </c>
      <c r="BM454" t="str">
        <f t="shared" si="2278"/>
        <v>B29</v>
      </c>
      <c r="BN454" t="str">
        <f t="shared" si="2279"/>
        <v>C30</v>
      </c>
      <c r="BO454" t="str">
        <f t="shared" si="2280"/>
        <v>B30</v>
      </c>
      <c r="BP454" t="str">
        <f t="shared" si="2193"/>
        <v>14A</v>
      </c>
      <c r="BQ454" t="str">
        <f t="shared" si="2194"/>
        <v>14B</v>
      </c>
      <c r="BR454" t="str">
        <f t="shared" si="2195"/>
        <v>15A</v>
      </c>
      <c r="BS454" t="str">
        <f t="shared" si="2196"/>
        <v>15B</v>
      </c>
      <c r="BT454" t="str">
        <f t="shared" si="2281"/>
        <v>DI1-C25</v>
      </c>
      <c r="BU454" t="str">
        <f t="shared" si="2282"/>
        <v>DI1-B25</v>
      </c>
      <c r="BV454" t="str">
        <f t="shared" si="2283"/>
        <v>DI1-C26</v>
      </c>
      <c r="BW454" t="str">
        <f t="shared" si="2284"/>
        <v>DI1-B26</v>
      </c>
      <c r="BX454" t="str">
        <f t="shared" si="2285"/>
        <v>DI1-C27</v>
      </c>
      <c r="BY454" t="str">
        <f t="shared" si="2286"/>
        <v>DI1-B27</v>
      </c>
      <c r="BZ454" t="str">
        <f t="shared" si="2287"/>
        <v>DI1-C28</v>
      </c>
      <c r="CA454" t="str">
        <f t="shared" si="2288"/>
        <v>DI1-B28</v>
      </c>
      <c r="CB454" t="str">
        <f t="shared" si="2289"/>
        <v>DI1-C29</v>
      </c>
      <c r="CC454" t="str">
        <f t="shared" si="2290"/>
        <v>DI1-B29</v>
      </c>
      <c r="CD454" t="str">
        <f t="shared" si="2291"/>
        <v>DI1-C30</v>
      </c>
      <c r="CE454" t="str">
        <f t="shared" si="2292"/>
        <v>DI1-B30</v>
      </c>
      <c r="CF454" t="str">
        <f t="shared" si="2293"/>
        <v>DO1-13A</v>
      </c>
      <c r="CG454" t="str">
        <f t="shared" si="2294"/>
        <v>DO1-13B</v>
      </c>
      <c r="CH454" t="str">
        <f t="shared" si="2295"/>
        <v>DO1-14A</v>
      </c>
      <c r="CI454" t="str">
        <f t="shared" si="2296"/>
        <v>DO1-14B</v>
      </c>
      <c r="CJ454" t="str">
        <f t="shared" si="2297"/>
        <v>DO1-15A</v>
      </c>
      <c r="CK454" t="str">
        <f t="shared" si="2298"/>
        <v>DO1-15B</v>
      </c>
      <c r="CL454" t="str">
        <f t="shared" si="2215"/>
        <v>K10-10</v>
      </c>
      <c r="CM454" t="str">
        <f t="shared" si="2216"/>
        <v>K10-03</v>
      </c>
      <c r="CN454" t="str">
        <f t="shared" si="2217"/>
        <v>K10-04</v>
      </c>
      <c r="CO454" t="str">
        <f t="shared" si="2218"/>
        <v>K10-01</v>
      </c>
      <c r="CP454" t="str">
        <f t="shared" si="2219"/>
        <v>K10-08</v>
      </c>
      <c r="CQ454" t="str">
        <f t="shared" si="2220"/>
        <v>K10-02</v>
      </c>
      <c r="CR454" t="str">
        <f t="shared" si="2221"/>
        <v>K10-09</v>
      </c>
      <c r="CS454" t="str">
        <f t="shared" si="2222"/>
        <v>K10-05</v>
      </c>
      <c r="CT454" t="str">
        <f t="shared" si="2223"/>
        <v>K10-11</v>
      </c>
      <c r="CU454" t="str">
        <f t="shared" si="2224"/>
        <v>N1-M10-A9</v>
      </c>
      <c r="CV454" t="str">
        <f t="shared" si="2225"/>
        <v>N1-M10-A7</v>
      </c>
      <c r="CW454" t="str">
        <f t="shared" si="2226"/>
        <v>N1-M10-A8</v>
      </c>
      <c r="CX454" t="str">
        <f t="shared" si="2227"/>
        <v>N1-M10-A6</v>
      </c>
      <c r="CY454" t="str">
        <f t="shared" si="2228"/>
        <v>N1-M10-A30</v>
      </c>
      <c r="CZ454" t="str">
        <f t="shared" si="2229"/>
        <v>N1-M10-N</v>
      </c>
      <c r="DA454" t="str">
        <f t="shared" si="2299"/>
        <v>N1-A220-M10</v>
      </c>
      <c r="DB454" t="str">
        <f t="shared" si="2231"/>
        <v>N1-M10-XM01</v>
      </c>
      <c r="DC454" t="str">
        <f t="shared" si="2232"/>
        <v>N1-M10-A1</v>
      </c>
      <c r="DD454" t="str">
        <f t="shared" si="2233"/>
        <v>N1-M10-A5</v>
      </c>
      <c r="DE454" t="str">
        <f t="shared" si="2234"/>
        <v>N1-M10-A11</v>
      </c>
      <c r="DF454" t="str">
        <f t="shared" si="2235"/>
        <v>N1-M10-A12</v>
      </c>
      <c r="DG454" t="str">
        <f t="shared" si="2236"/>
        <v>N1-M10-A19</v>
      </c>
      <c r="DH454" t="str">
        <f t="shared" si="2237"/>
        <v>N1-M10-A20</v>
      </c>
      <c r="DI454" t="s">
        <v>142</v>
      </c>
      <c r="DJ454" t="s">
        <v>143</v>
      </c>
      <c r="DK454">
        <v>11</v>
      </c>
      <c r="DL454">
        <v>14</v>
      </c>
      <c r="DM454">
        <v>12</v>
      </c>
      <c r="DN454" t="s">
        <v>144</v>
      </c>
      <c r="DO454" t="s">
        <v>145</v>
      </c>
      <c r="DP454">
        <v>1</v>
      </c>
      <c r="DQ454">
        <v>2</v>
      </c>
      <c r="DR454">
        <v>3</v>
      </c>
      <c r="DS454">
        <v>4</v>
      </c>
      <c r="DT454">
        <v>5</v>
      </c>
      <c r="DU454">
        <v>6</v>
      </c>
      <c r="DV454">
        <v>7</v>
      </c>
      <c r="DW454">
        <v>8</v>
      </c>
      <c r="DX454">
        <v>9</v>
      </c>
      <c r="DY454">
        <v>10</v>
      </c>
      <c r="DZ454">
        <v>11</v>
      </c>
      <c r="EA454">
        <v>12</v>
      </c>
      <c r="EB454">
        <v>13</v>
      </c>
      <c r="EC454">
        <v>14</v>
      </c>
      <c r="ED454">
        <v>1</v>
      </c>
      <c r="EE454">
        <v>3</v>
      </c>
      <c r="EF454">
        <v>4</v>
      </c>
      <c r="EG454">
        <v>7</v>
      </c>
      <c r="EH454">
        <v>8</v>
      </c>
      <c r="EI454">
        <v>9</v>
      </c>
      <c r="EJ454">
        <v>10</v>
      </c>
      <c r="EK454">
        <v>13</v>
      </c>
      <c r="EL454">
        <v>14</v>
      </c>
      <c r="EM454">
        <v>15</v>
      </c>
      <c r="EN454">
        <v>16</v>
      </c>
      <c r="EO454">
        <v>22</v>
      </c>
      <c r="EP454">
        <v>23</v>
      </c>
      <c r="EQ454" s="16">
        <v>24</v>
      </c>
    </row>
    <row r="455" spans="1:550" x14ac:dyDescent="0.25">
      <c r="A455" s="67" t="s">
        <v>2527</v>
      </c>
      <c r="B455" t="s">
        <v>2526</v>
      </c>
      <c r="C455" s="3"/>
      <c r="O455" s="2"/>
      <c r="P455" t="s">
        <v>129</v>
      </c>
      <c r="Q455" s="1"/>
      <c r="S455" s="1" t="s">
        <v>130</v>
      </c>
      <c r="T455" s="14" t="s">
        <v>2185</v>
      </c>
      <c r="U455" s="60">
        <v>11</v>
      </c>
      <c r="V455" s="15" t="s">
        <v>2532</v>
      </c>
      <c r="W455" s="15"/>
      <c r="AC455" t="str">
        <f t="shared" si="2238"/>
        <v>A5.2</v>
      </c>
      <c r="AD455" s="43" t="str" cm="1">
        <f t="array" ref="AD455">IF(COUNTIFS(AC$379:AC455,AC455)=1,"1",VALUE(SUBSTITUTE(INDEX(AD:AD,_xlfn.XMATCH(AC455,AC$1:AC454,0,-1)),"A",""))+INDEX(AE:AE,_xlfn.XMATCH(AC455,AC$1:AC454,0,-1))+1)</f>
        <v>1</v>
      </c>
      <c r="AE455" s="43" cm="1">
        <f t="array" ref="AE455">SUM(IF(ISNUMBER(FIND("TmDi",$BE$1:$AAL$1)),IF(IFERROR(ISNUMBER(VALUE(SUBSTITUTE($BE455:$AAL455,"B",""))),FALSE),IF(ISNUMBER(VALUE(SUBSTITUTE($BE455:$AAL455,"B",""))),1,0),0)))</f>
        <v>5</v>
      </c>
      <c r="AF455" t="str">
        <f t="shared" si="2178"/>
        <v>C1</v>
      </c>
      <c r="AG455" t="str">
        <f t="shared" si="2179"/>
        <v>B1</v>
      </c>
      <c r="AH455" t="str">
        <f t="shared" si="2239"/>
        <v>A6.1</v>
      </c>
      <c r="AI455" s="73" cm="1">
        <f t="array" ref="AI455">IF(COUNTIFS(AH$379:AH455,AH455)=1,"1",VALUE(SUBSTITUTE(INDEX(AI:AI,_xlfn.XMATCH(AH455,AH$1:AH454,0,-1)),"A",""))+INDEX(AJ:AJ,_xlfn.XMATCH(AH455,AH$1:AH454,0,-1))+1)</f>
        <v>16</v>
      </c>
      <c r="AJ455" s="64" cm="1">
        <f t="array" ref="AJ455">SUM(IF(ISNUMBER(FIND("TmDo",$BE$1:$AAL$1)),IF(IFERROR(ISNUMBER(VALUE(SUBSTITUTE($BE455:$AAL455,"B",""))),FALSE),IF(ISNUMBER(VALUE(SUBSTITUTE($BE455:$AAL455,"B",""))),1,0),0)))</f>
        <v>2</v>
      </c>
      <c r="AK455" t="str">
        <f t="shared" si="2180"/>
        <v>16A</v>
      </c>
      <c r="AL455" t="str">
        <f t="shared" si="2181"/>
        <v>16B</v>
      </c>
      <c r="AM455" t="s">
        <v>163</v>
      </c>
      <c r="AP455" t="s">
        <v>2187</v>
      </c>
      <c r="AQ455" t="s">
        <v>2515</v>
      </c>
      <c r="AT455" t="s">
        <v>139</v>
      </c>
      <c r="AU455" t="s">
        <v>140</v>
      </c>
      <c r="BD455" s="16"/>
      <c r="BE455" s="27" t="str">
        <f t="shared" ref="BE455" si="2300">CONCATENATE("XT",U455)</f>
        <v>XT11</v>
      </c>
      <c r="BF455" t="str">
        <f t="shared" ref="BF455" si="2301">CONCATENATE("C",REPLACE(AF455,1,1,"")+1)</f>
        <v>C2</v>
      </c>
      <c r="BG455" t="str">
        <f t="shared" ref="BG455" si="2302">CONCATENATE("B",REPLACE(AG455,1,1,"")+1)</f>
        <v>B2</v>
      </c>
      <c r="BH455" t="str">
        <f t="shared" ref="BH455" si="2303">CONCATENATE("C",REPLACE(BF455,1,1,"")+1)</f>
        <v>C3</v>
      </c>
      <c r="BI455" t="str">
        <f t="shared" ref="BI455" si="2304">CONCATENATE("B",REPLACE(BG455,1,1,"")+1)</f>
        <v>B3</v>
      </c>
      <c r="BJ455" t="str">
        <f t="shared" ref="BJ455" si="2305">CONCATENATE("C",REPLACE(BH455,1,1,"")+1)</f>
        <v>C4</v>
      </c>
      <c r="BK455" t="str">
        <f t="shared" ref="BK455" si="2306">CONCATENATE("B",REPLACE(BI455,1,1,"")+1)</f>
        <v>B4</v>
      </c>
      <c r="BL455" t="str">
        <f t="shared" ref="BL455" si="2307">CONCATENATE("C",REPLACE(BJ455,1,1,"")+1)</f>
        <v>C5</v>
      </c>
      <c r="BM455" t="str">
        <f t="shared" ref="BM455" si="2308">CONCATENATE("B",REPLACE(BK455,1,1,"")+1)</f>
        <v>B5</v>
      </c>
      <c r="BN455" t="str">
        <f t="shared" ref="BN455" si="2309">CONCATENATE("C",REPLACE(BL455,1,1,"")+1)</f>
        <v>C6</v>
      </c>
      <c r="BO455" t="str">
        <f t="shared" ref="BO455" si="2310">CONCATENATE("B",REPLACE(BM455,1,1,"")+1)</f>
        <v>B6</v>
      </c>
      <c r="BP455" t="str">
        <f t="shared" si="2193"/>
        <v>17A</v>
      </c>
      <c r="BQ455" t="str">
        <f t="shared" si="2194"/>
        <v>17B</v>
      </c>
      <c r="BR455" t="str">
        <f t="shared" si="2195"/>
        <v>18A</v>
      </c>
      <c r="BS455" t="str">
        <f t="shared" si="2196"/>
        <v>18B</v>
      </c>
      <c r="BT455" t="str">
        <f t="shared" ref="BT455" si="2311">CONCATENATE("DI",REPLACE($AC455,1,3,""),"-",AF455)</f>
        <v>DI2-C1</v>
      </c>
      <c r="BU455" t="str">
        <f t="shared" ref="BU455" si="2312">CONCATENATE("DI",REPLACE($AC455,1,3,""),"-",AG455)</f>
        <v>DI2-B1</v>
      </c>
      <c r="BV455" t="str">
        <f t="shared" ref="BV455" si="2313">CONCATENATE("DI",REPLACE($AC455,1,3,""),"-",BF455)</f>
        <v>DI2-C2</v>
      </c>
      <c r="BW455" t="str">
        <f t="shared" ref="BW455" si="2314">CONCATENATE("DI",REPLACE($AC455,1,3,""),"-",BG455)</f>
        <v>DI2-B2</v>
      </c>
      <c r="BX455" t="str">
        <f t="shared" ref="BX455" si="2315">CONCATENATE("DI",REPLACE($AC455,1,3,""),"-",BH455)</f>
        <v>DI2-C3</v>
      </c>
      <c r="BY455" t="str">
        <f t="shared" ref="BY455" si="2316">CONCATENATE("DI",REPLACE($AC455,1,3,""),"-",BI455)</f>
        <v>DI2-B3</v>
      </c>
      <c r="BZ455" t="str">
        <f t="shared" ref="BZ455" si="2317">CONCATENATE("DI",REPLACE($AC455,1,3,""),"-",BJ455)</f>
        <v>DI2-C4</v>
      </c>
      <c r="CA455" t="str">
        <f t="shared" ref="CA455" si="2318">CONCATENATE("DI",REPLACE($AC455,1,3,""),"-",BK455)</f>
        <v>DI2-B4</v>
      </c>
      <c r="CB455" t="str">
        <f t="shared" ref="CB455" si="2319">CONCATENATE("DI",REPLACE($AC455,1,3,""),"-",BL455)</f>
        <v>DI2-C5</v>
      </c>
      <c r="CC455" t="str">
        <f t="shared" ref="CC455" si="2320">CONCATENATE("DI",REPLACE($AC455,1,3,""),"-",BM455)</f>
        <v>DI2-B5</v>
      </c>
      <c r="CD455" t="str">
        <f t="shared" ref="CD455" si="2321">CONCATENATE("DI",REPLACE($AC455,1,3,""),"-",BN455)</f>
        <v>DI2-C6</v>
      </c>
      <c r="CE455" t="str">
        <f t="shared" ref="CE455" si="2322">CONCATENATE("DI",REPLACE($AC455,1,3,""),"-",BO455)</f>
        <v>DI2-B6</v>
      </c>
      <c r="CF455" t="str">
        <f t="shared" ref="CF455" si="2323">CONCATENATE("DO",REPLACE($AH455,1,3,""),"-",AK455)</f>
        <v>DO1-16A</v>
      </c>
      <c r="CG455" t="str">
        <f t="shared" ref="CG455" si="2324">CONCATENATE("DO",REPLACE($AH455,1,3,""),"-",AL455)</f>
        <v>DO1-16B</v>
      </c>
      <c r="CH455" t="str">
        <f t="shared" ref="CH455" si="2325">CONCATENATE("DO",REPLACE($AH455,1,3,""),"-",BP455)</f>
        <v>DO1-17A</v>
      </c>
      <c r="CI455" t="str">
        <f t="shared" ref="CI455" si="2326">CONCATENATE("DO",REPLACE($AH455,1,3,""),"-",BQ455)</f>
        <v>DO1-17B</v>
      </c>
      <c r="CJ455" t="str">
        <f t="shared" ref="CJ455" si="2327">CONCATENATE("DO",REPLACE($AH455,1,3,""),"-",BR455)</f>
        <v>DO1-18A</v>
      </c>
      <c r="CK455" t="str">
        <f t="shared" ref="CK455" si="2328">CONCATENATE("DO",REPLACE($AH455,1,3,""),"-",BS455)</f>
        <v>DO1-18B</v>
      </c>
      <c r="CL455" t="str">
        <f t="shared" si="2215"/>
        <v>K11-10</v>
      </c>
      <c r="CM455" t="str">
        <f t="shared" si="2216"/>
        <v>K11-03</v>
      </c>
      <c r="CN455" t="str">
        <f t="shared" si="2217"/>
        <v>K11-04</v>
      </c>
      <c r="CO455" t="str">
        <f t="shared" si="2218"/>
        <v>K11-01</v>
      </c>
      <c r="CP455" t="str">
        <f t="shared" si="2219"/>
        <v>K11-08</v>
      </c>
      <c r="CQ455" t="str">
        <f t="shared" si="2220"/>
        <v>K11-02</v>
      </c>
      <c r="CR455" t="str">
        <f t="shared" si="2221"/>
        <v>K11-09</v>
      </c>
      <c r="CS455" t="str">
        <f t="shared" si="2222"/>
        <v>K11-05</v>
      </c>
      <c r="CT455" t="str">
        <f t="shared" si="2223"/>
        <v>K11-11</v>
      </c>
      <c r="CU455" t="str">
        <f t="shared" si="2224"/>
        <v>N1-M11-A9</v>
      </c>
      <c r="CV455" t="str">
        <f t="shared" si="2225"/>
        <v>N1-M11-A7</v>
      </c>
      <c r="CW455" t="str">
        <f t="shared" si="2226"/>
        <v>N1-M11-A8</v>
      </c>
      <c r="CX455" t="str">
        <f t="shared" si="2227"/>
        <v>N1-M11-A6</v>
      </c>
      <c r="CY455" t="str">
        <f t="shared" si="2228"/>
        <v>N1-M11-A30</v>
      </c>
      <c r="CZ455" t="str">
        <f t="shared" si="2229"/>
        <v>N1-M11-N</v>
      </c>
      <c r="DA455" t="str">
        <f t="shared" ref="DA455" si="2329">CONCATENATE($T455,"-A220-M",U455)</f>
        <v>N1-A220-M11</v>
      </c>
      <c r="DB455" t="str">
        <f t="shared" si="2231"/>
        <v>N1-M11-XM01</v>
      </c>
      <c r="DC455" t="str">
        <f t="shared" si="2232"/>
        <v>N1-M11-A1</v>
      </c>
      <c r="DD455" t="str">
        <f t="shared" si="2233"/>
        <v>N1-M11-A5</v>
      </c>
      <c r="DE455" t="str">
        <f t="shared" si="2234"/>
        <v>N1-M11-A11</v>
      </c>
      <c r="DF455" t="str">
        <f t="shared" si="2235"/>
        <v>N1-M11-A12</v>
      </c>
      <c r="DG455" t="str">
        <f t="shared" si="2236"/>
        <v>N1-M11-A19</v>
      </c>
      <c r="DH455" t="str">
        <f t="shared" si="2237"/>
        <v>N1-M11-A20</v>
      </c>
      <c r="DI455" t="s">
        <v>142</v>
      </c>
      <c r="DJ455" t="s">
        <v>143</v>
      </c>
      <c r="DK455">
        <v>11</v>
      </c>
      <c r="DL455">
        <v>14</v>
      </c>
      <c r="DM455">
        <v>12</v>
      </c>
      <c r="DN455" t="s">
        <v>144</v>
      </c>
      <c r="DO455" t="s">
        <v>145</v>
      </c>
      <c r="DP455">
        <v>1</v>
      </c>
      <c r="DQ455">
        <v>2</v>
      </c>
      <c r="DR455">
        <v>3</v>
      </c>
      <c r="DS455">
        <v>4</v>
      </c>
      <c r="DT455">
        <v>5</v>
      </c>
      <c r="DU455">
        <v>6</v>
      </c>
      <c r="DV455">
        <v>7</v>
      </c>
      <c r="DW455">
        <v>8</v>
      </c>
      <c r="DX455">
        <v>9</v>
      </c>
      <c r="DY455">
        <v>10</v>
      </c>
      <c r="DZ455">
        <v>11</v>
      </c>
      <c r="EA455">
        <v>12</v>
      </c>
      <c r="EB455">
        <v>13</v>
      </c>
      <c r="EC455">
        <v>14</v>
      </c>
      <c r="ED455">
        <v>1</v>
      </c>
      <c r="EE455">
        <v>3</v>
      </c>
      <c r="EF455">
        <v>4</v>
      </c>
      <c r="EG455">
        <v>7</v>
      </c>
      <c r="EH455">
        <v>8</v>
      </c>
      <c r="EI455">
        <v>9</v>
      </c>
      <c r="EJ455">
        <v>10</v>
      </c>
      <c r="EK455">
        <v>13</v>
      </c>
      <c r="EL455">
        <v>14</v>
      </c>
      <c r="EM455">
        <v>15</v>
      </c>
      <c r="EN455">
        <v>16</v>
      </c>
      <c r="EO455">
        <v>22</v>
      </c>
      <c r="EP455">
        <v>23</v>
      </c>
      <c r="EQ455" s="16">
        <v>24</v>
      </c>
    </row>
    <row r="456" spans="1:550" x14ac:dyDescent="0.25">
      <c r="A456" s="67" t="s">
        <v>2529</v>
      </c>
      <c r="B456" t="s">
        <v>2528</v>
      </c>
      <c r="C456" s="3"/>
      <c r="O456" s="2"/>
      <c r="P456" t="s">
        <v>129</v>
      </c>
      <c r="Q456" s="1"/>
      <c r="S456" s="1" t="s">
        <v>130</v>
      </c>
      <c r="T456" s="14" t="s">
        <v>2185</v>
      </c>
      <c r="U456" s="60">
        <v>12</v>
      </c>
      <c r="V456" s="15" t="s">
        <v>2533</v>
      </c>
      <c r="W456" s="15"/>
      <c r="AC456" t="str">
        <f t="shared" si="2238"/>
        <v>A5.2</v>
      </c>
      <c r="AD456" s="43" cm="1">
        <f t="array" ref="AD456">IF(COUNTIFS(AC$379:AC456,AC456)=1,"1",VALUE(SUBSTITUTE(INDEX(AD:AD,_xlfn.XMATCH(AC456,AC$1:AC455,0,-1)),"A",""))+INDEX(AE:AE,_xlfn.XMATCH(AC456,AC$1:AC455,0,-1))+1)</f>
        <v>7</v>
      </c>
      <c r="AE456" s="43" cm="1">
        <f t="array" ref="AE456">SUM(IF(ISNUMBER(FIND("TmDi",$BE$1:$AAL$1)),IF(IFERROR(ISNUMBER(VALUE(SUBSTITUTE($BE456:$AAL456,"B",""))),FALSE),IF(ISNUMBER(VALUE(SUBSTITUTE($BE456:$AAL456,"B",""))),1,0),0)))</f>
        <v>5</v>
      </c>
      <c r="AF456" t="str">
        <f t="shared" si="2178"/>
        <v>C7</v>
      </c>
      <c r="AG456" t="str">
        <f t="shared" si="2179"/>
        <v>B7</v>
      </c>
      <c r="AH456" t="str">
        <f t="shared" si="2239"/>
        <v>A6.1</v>
      </c>
      <c r="AI456" s="73" cm="1">
        <f t="array" ref="AI456">IF(COUNTIFS(AH$379:AH456,AH456)=1,"1",VALUE(SUBSTITUTE(INDEX(AI:AI,_xlfn.XMATCH(AH456,AH$1:AH455,0,-1)),"A",""))+INDEX(AJ:AJ,_xlfn.XMATCH(AH456,AH$1:AH455,0,-1))+1)</f>
        <v>19</v>
      </c>
      <c r="AJ456" s="64" cm="1">
        <f t="array" ref="AJ456">SUM(IF(ISNUMBER(FIND("TmDo",$BE$1:$AAL$1)),IF(IFERROR(ISNUMBER(VALUE(SUBSTITUTE($BE456:$AAL456,"B",""))),FALSE),IF(ISNUMBER(VALUE(SUBSTITUTE($BE456:$AAL456,"B",""))),1,0),0)))</f>
        <v>2</v>
      </c>
      <c r="AK456" t="str">
        <f t="shared" si="2180"/>
        <v>19A</v>
      </c>
      <c r="AL456" t="str">
        <f t="shared" si="2181"/>
        <v>19B</v>
      </c>
      <c r="AM456" t="s">
        <v>166</v>
      </c>
      <c r="AP456" t="s">
        <v>2187</v>
      </c>
      <c r="AQ456" t="s">
        <v>2515</v>
      </c>
      <c r="AT456" t="s">
        <v>139</v>
      </c>
      <c r="AU456" t="s">
        <v>140</v>
      </c>
      <c r="BD456" s="16"/>
      <c r="BE456" s="27" t="str">
        <f t="shared" ref="BE456:BE459" si="2330">CONCATENATE("XT",U456)</f>
        <v>XT12</v>
      </c>
      <c r="BF456" t="str">
        <f t="shared" ref="BF456:BF459" si="2331">CONCATENATE("C",REPLACE(AF456,1,1,"")+1)</f>
        <v>C8</v>
      </c>
      <c r="BG456" t="str">
        <f t="shared" ref="BG456:BG459" si="2332">CONCATENATE("B",REPLACE(AG456,1,1,"")+1)</f>
        <v>B8</v>
      </c>
      <c r="BH456" t="str">
        <f t="shared" ref="BH456:BH459" si="2333">CONCATENATE("C",REPLACE(BF456,1,1,"")+1)</f>
        <v>C9</v>
      </c>
      <c r="BI456" t="str">
        <f t="shared" ref="BI456:BI459" si="2334">CONCATENATE("B",REPLACE(BG456,1,1,"")+1)</f>
        <v>B9</v>
      </c>
      <c r="BJ456" t="str">
        <f t="shared" ref="BJ456:BJ459" si="2335">CONCATENATE("C",REPLACE(BH456,1,1,"")+1)</f>
        <v>C10</v>
      </c>
      <c r="BK456" t="str">
        <f t="shared" ref="BK456:BK459" si="2336">CONCATENATE("B",REPLACE(BI456,1,1,"")+1)</f>
        <v>B10</v>
      </c>
      <c r="BL456" t="str">
        <f t="shared" ref="BL456:BL459" si="2337">CONCATENATE("C",REPLACE(BJ456,1,1,"")+1)</f>
        <v>C11</v>
      </c>
      <c r="BM456" t="str">
        <f t="shared" ref="BM456:BM459" si="2338">CONCATENATE("B",REPLACE(BK456,1,1,"")+1)</f>
        <v>B11</v>
      </c>
      <c r="BN456" t="str">
        <f t="shared" ref="BN456:BN459" si="2339">CONCATENATE("C",REPLACE(BL456,1,1,"")+1)</f>
        <v>C12</v>
      </c>
      <c r="BO456" t="str">
        <f t="shared" ref="BO456:BO459" si="2340">CONCATENATE("B",REPLACE(BM456,1,1,"")+1)</f>
        <v>B12</v>
      </c>
      <c r="BP456" t="str">
        <f t="shared" si="2193"/>
        <v>20A</v>
      </c>
      <c r="BQ456" t="str">
        <f t="shared" si="2194"/>
        <v>20B</v>
      </c>
      <c r="BR456" t="str">
        <f t="shared" si="2195"/>
        <v>21A</v>
      </c>
      <c r="BS456" t="str">
        <f t="shared" si="2196"/>
        <v>21B</v>
      </c>
      <c r="BT456" t="str">
        <f t="shared" ref="BT456:BT459" si="2341">CONCATENATE("DI",REPLACE($AC456,1,3,""),"-",AF456)</f>
        <v>DI2-C7</v>
      </c>
      <c r="BU456" t="str">
        <f t="shared" ref="BU456:BU459" si="2342">CONCATENATE("DI",REPLACE($AC456,1,3,""),"-",AG456)</f>
        <v>DI2-B7</v>
      </c>
      <c r="BV456" t="str">
        <f t="shared" ref="BV456:BV459" si="2343">CONCATENATE("DI",REPLACE($AC456,1,3,""),"-",BF456)</f>
        <v>DI2-C8</v>
      </c>
      <c r="BW456" t="str">
        <f t="shared" ref="BW456:BW459" si="2344">CONCATENATE("DI",REPLACE($AC456,1,3,""),"-",BG456)</f>
        <v>DI2-B8</v>
      </c>
      <c r="BX456" t="str">
        <f t="shared" ref="BX456:BX459" si="2345">CONCATENATE("DI",REPLACE($AC456,1,3,""),"-",BH456)</f>
        <v>DI2-C9</v>
      </c>
      <c r="BY456" t="str">
        <f t="shared" ref="BY456:BY459" si="2346">CONCATENATE("DI",REPLACE($AC456,1,3,""),"-",BI456)</f>
        <v>DI2-B9</v>
      </c>
      <c r="BZ456" t="str">
        <f t="shared" ref="BZ456:BZ459" si="2347">CONCATENATE("DI",REPLACE($AC456,1,3,""),"-",BJ456)</f>
        <v>DI2-C10</v>
      </c>
      <c r="CA456" t="str">
        <f t="shared" ref="CA456:CA459" si="2348">CONCATENATE("DI",REPLACE($AC456,1,3,""),"-",BK456)</f>
        <v>DI2-B10</v>
      </c>
      <c r="CB456" t="str">
        <f t="shared" ref="CB456:CB459" si="2349">CONCATENATE("DI",REPLACE($AC456,1,3,""),"-",BL456)</f>
        <v>DI2-C11</v>
      </c>
      <c r="CC456" t="str">
        <f t="shared" ref="CC456:CC459" si="2350">CONCATENATE("DI",REPLACE($AC456,1,3,""),"-",BM456)</f>
        <v>DI2-B11</v>
      </c>
      <c r="CD456" t="str">
        <f t="shared" ref="CD456:CD459" si="2351">CONCATENATE("DI",REPLACE($AC456,1,3,""),"-",BN456)</f>
        <v>DI2-C12</v>
      </c>
      <c r="CE456" t="str">
        <f t="shared" ref="CE456:CE459" si="2352">CONCATENATE("DI",REPLACE($AC456,1,3,""),"-",BO456)</f>
        <v>DI2-B12</v>
      </c>
      <c r="CF456" t="str">
        <f t="shared" ref="CF456:CF459" si="2353">CONCATENATE("DO",REPLACE($AH456,1,3,""),"-",AK456)</f>
        <v>DO1-19A</v>
      </c>
      <c r="CG456" t="str">
        <f t="shared" ref="CG456:CG459" si="2354">CONCATENATE("DO",REPLACE($AH456,1,3,""),"-",AL456)</f>
        <v>DO1-19B</v>
      </c>
      <c r="CH456" t="str">
        <f t="shared" ref="CH456:CH459" si="2355">CONCATENATE("DO",REPLACE($AH456,1,3,""),"-",BP456)</f>
        <v>DO1-20A</v>
      </c>
      <c r="CI456" t="str">
        <f t="shared" ref="CI456:CI459" si="2356">CONCATENATE("DO",REPLACE($AH456,1,3,""),"-",BQ456)</f>
        <v>DO1-20B</v>
      </c>
      <c r="CJ456" t="str">
        <f t="shared" ref="CJ456:CJ459" si="2357">CONCATENATE("DO",REPLACE($AH456,1,3,""),"-",BR456)</f>
        <v>DO1-21A</v>
      </c>
      <c r="CK456" t="str">
        <f t="shared" ref="CK456:CK459" si="2358">CONCATENATE("DO",REPLACE($AH456,1,3,""),"-",BS456)</f>
        <v>DO1-21B</v>
      </c>
      <c r="CL456" t="str">
        <f t="shared" si="2215"/>
        <v>K12-10</v>
      </c>
      <c r="CM456" t="str">
        <f t="shared" si="2216"/>
        <v>K12-03</v>
      </c>
      <c r="CN456" t="str">
        <f t="shared" si="2217"/>
        <v>K12-04</v>
      </c>
      <c r="CO456" t="str">
        <f t="shared" si="2218"/>
        <v>K12-01</v>
      </c>
      <c r="CP456" t="str">
        <f t="shared" si="2219"/>
        <v>K12-08</v>
      </c>
      <c r="CQ456" t="str">
        <f t="shared" si="2220"/>
        <v>K12-02</v>
      </c>
      <c r="CR456" t="str">
        <f t="shared" si="2221"/>
        <v>K12-09</v>
      </c>
      <c r="CS456" t="str">
        <f t="shared" si="2222"/>
        <v>K12-05</v>
      </c>
      <c r="CT456" t="str">
        <f t="shared" si="2223"/>
        <v>K12-11</v>
      </c>
      <c r="CU456" t="str">
        <f t="shared" si="2224"/>
        <v>N1-M12-A9</v>
      </c>
      <c r="CV456" t="str">
        <f t="shared" si="2225"/>
        <v>N1-M12-A7</v>
      </c>
      <c r="CW456" t="str">
        <f t="shared" si="2226"/>
        <v>N1-M12-A8</v>
      </c>
      <c r="CX456" t="str">
        <f t="shared" si="2227"/>
        <v>N1-M12-A6</v>
      </c>
      <c r="CY456" t="str">
        <f t="shared" si="2228"/>
        <v>N1-M12-A30</v>
      </c>
      <c r="CZ456" t="str">
        <f t="shared" si="2229"/>
        <v>N1-M12-N</v>
      </c>
      <c r="DA456" t="str">
        <f t="shared" ref="DA456:DA459" si="2359">CONCATENATE($T456,"-A220-M",U456)</f>
        <v>N1-A220-M12</v>
      </c>
      <c r="DB456" t="str">
        <f t="shared" si="2231"/>
        <v>N1-M12-XM01</v>
      </c>
      <c r="DC456" t="str">
        <f t="shared" si="2232"/>
        <v>N1-M12-A1</v>
      </c>
      <c r="DD456" t="str">
        <f t="shared" si="2233"/>
        <v>N1-M12-A5</v>
      </c>
      <c r="DE456" t="str">
        <f t="shared" si="2234"/>
        <v>N1-M12-A11</v>
      </c>
      <c r="DF456" t="str">
        <f t="shared" si="2235"/>
        <v>N1-M12-A12</v>
      </c>
      <c r="DG456" t="str">
        <f t="shared" si="2236"/>
        <v>N1-M12-A19</v>
      </c>
      <c r="DH456" t="str">
        <f t="shared" si="2237"/>
        <v>N1-M12-A20</v>
      </c>
      <c r="DI456" t="s">
        <v>142</v>
      </c>
      <c r="DJ456" t="s">
        <v>143</v>
      </c>
      <c r="DK456">
        <v>11</v>
      </c>
      <c r="DL456">
        <v>14</v>
      </c>
      <c r="DM456">
        <v>12</v>
      </c>
      <c r="DN456" t="s">
        <v>144</v>
      </c>
      <c r="DO456" t="s">
        <v>145</v>
      </c>
      <c r="DP456">
        <v>1</v>
      </c>
      <c r="DQ456">
        <v>2</v>
      </c>
      <c r="DR456">
        <v>3</v>
      </c>
      <c r="DS456">
        <v>4</v>
      </c>
      <c r="DT456">
        <v>5</v>
      </c>
      <c r="DU456">
        <v>6</v>
      </c>
      <c r="DV456">
        <v>7</v>
      </c>
      <c r="DW456">
        <v>8</v>
      </c>
      <c r="DX456">
        <v>9</v>
      </c>
      <c r="DY456">
        <v>10</v>
      </c>
      <c r="DZ456">
        <v>11</v>
      </c>
      <c r="EA456">
        <v>12</v>
      </c>
      <c r="EB456">
        <v>13</v>
      </c>
      <c r="EC456">
        <v>14</v>
      </c>
      <c r="ED456">
        <v>1</v>
      </c>
      <c r="EE456">
        <v>3</v>
      </c>
      <c r="EF456">
        <v>4</v>
      </c>
      <c r="EG456">
        <v>7</v>
      </c>
      <c r="EH456">
        <v>8</v>
      </c>
      <c r="EI456">
        <v>9</v>
      </c>
      <c r="EJ456">
        <v>10</v>
      </c>
      <c r="EK456">
        <v>13</v>
      </c>
      <c r="EL456">
        <v>14</v>
      </c>
      <c r="EM456">
        <v>15</v>
      </c>
      <c r="EN456">
        <v>16</v>
      </c>
      <c r="EO456">
        <v>22</v>
      </c>
      <c r="EP456">
        <v>23</v>
      </c>
      <c r="EQ456" s="16">
        <v>24</v>
      </c>
    </row>
    <row r="457" spans="1:550" x14ac:dyDescent="0.25">
      <c r="A457" s="67" t="s">
        <v>2547</v>
      </c>
      <c r="B457" t="s">
        <v>2546</v>
      </c>
      <c r="C457" s="3"/>
      <c r="O457" s="2"/>
      <c r="P457" t="s">
        <v>129</v>
      </c>
      <c r="Q457" s="1"/>
      <c r="S457" s="1" t="s">
        <v>130</v>
      </c>
      <c r="T457" s="14" t="s">
        <v>2185</v>
      </c>
      <c r="U457" s="60">
        <v>13</v>
      </c>
      <c r="V457" s="15" t="s">
        <v>2534</v>
      </c>
      <c r="W457" s="15"/>
      <c r="AC457" t="str">
        <f t="shared" si="2238"/>
        <v>A5.2</v>
      </c>
      <c r="AD457" s="43" cm="1">
        <f t="array" ref="AD457">IF(COUNTIFS(AC$379:AC457,AC457)=1,"1",VALUE(SUBSTITUTE(INDEX(AD:AD,_xlfn.XMATCH(AC457,AC$1:AC456,0,-1)),"A",""))+INDEX(AE:AE,_xlfn.XMATCH(AC457,AC$1:AC456,0,-1))+1)</f>
        <v>13</v>
      </c>
      <c r="AE457" s="43" cm="1">
        <f t="array" ref="AE457">SUM(IF(ISNUMBER(FIND("TmDi",$BE$1:$AAL$1)),IF(IFERROR(ISNUMBER(VALUE(SUBSTITUTE($BE457:$AAL457,"B",""))),FALSE),IF(ISNUMBER(VALUE(SUBSTITUTE($BE457:$AAL457,"B",""))),1,0),0)))</f>
        <v>5</v>
      </c>
      <c r="AF457" t="str">
        <f t="shared" si="2178"/>
        <v>C13</v>
      </c>
      <c r="AG457" t="str">
        <f t="shared" si="2179"/>
        <v>B13</v>
      </c>
      <c r="AH457" t="str">
        <f t="shared" si="2239"/>
        <v>A6.1</v>
      </c>
      <c r="AI457" s="73" cm="1">
        <f t="array" ref="AI457">IF(COUNTIFS(AH$379:AH457,AH457)=1,"1",VALUE(SUBSTITUTE(INDEX(AI:AI,_xlfn.XMATCH(AH457,AH$1:AH456,0,-1)),"A",""))+INDEX(AJ:AJ,_xlfn.XMATCH(AH457,AH$1:AH456,0,-1))+1)</f>
        <v>22</v>
      </c>
      <c r="AJ457" s="64" cm="1">
        <f t="array" ref="AJ457">SUM(IF(ISNUMBER(FIND("TmDo",$BE$1:$AAL$1)),IF(IFERROR(ISNUMBER(VALUE(SUBSTITUTE($BE457:$AAL457,"B",""))),FALSE),IF(ISNUMBER(VALUE(SUBSTITUTE($BE457:$AAL457,"B",""))),1,0),0)))</f>
        <v>2</v>
      </c>
      <c r="AK457" t="str">
        <f t="shared" si="2180"/>
        <v>22A</v>
      </c>
      <c r="AL457" t="str">
        <f t="shared" si="2181"/>
        <v>22B</v>
      </c>
      <c r="AM457" t="s">
        <v>169</v>
      </c>
      <c r="AP457" t="s">
        <v>2187</v>
      </c>
      <c r="AQ457" t="s">
        <v>2515</v>
      </c>
      <c r="AT457" t="s">
        <v>139</v>
      </c>
      <c r="AU457" t="s">
        <v>140</v>
      </c>
      <c r="BD457" s="16"/>
      <c r="BE457" s="27" t="str">
        <f t="shared" si="2330"/>
        <v>XT13</v>
      </c>
      <c r="BF457" t="str">
        <f t="shared" si="2331"/>
        <v>C14</v>
      </c>
      <c r="BG457" t="str">
        <f t="shared" si="2332"/>
        <v>B14</v>
      </c>
      <c r="BH457" t="str">
        <f t="shared" si="2333"/>
        <v>C15</v>
      </c>
      <c r="BI457" t="str">
        <f t="shared" si="2334"/>
        <v>B15</v>
      </c>
      <c r="BJ457" t="str">
        <f t="shared" si="2335"/>
        <v>C16</v>
      </c>
      <c r="BK457" t="str">
        <f t="shared" si="2336"/>
        <v>B16</v>
      </c>
      <c r="BL457" t="str">
        <f t="shared" si="2337"/>
        <v>C17</v>
      </c>
      <c r="BM457" t="str">
        <f t="shared" si="2338"/>
        <v>B17</v>
      </c>
      <c r="BN457" t="str">
        <f t="shared" si="2339"/>
        <v>C18</v>
      </c>
      <c r="BO457" t="str">
        <f t="shared" si="2340"/>
        <v>B18</v>
      </c>
      <c r="BP457" t="str">
        <f t="shared" si="2193"/>
        <v>23A</v>
      </c>
      <c r="BQ457" t="str">
        <f t="shared" si="2194"/>
        <v>23B</v>
      </c>
      <c r="BR457" t="str">
        <f t="shared" si="2195"/>
        <v>24A</v>
      </c>
      <c r="BS457" t="str">
        <f t="shared" si="2196"/>
        <v>24B</v>
      </c>
      <c r="BT457" t="str">
        <f t="shared" si="2341"/>
        <v>DI2-C13</v>
      </c>
      <c r="BU457" t="str">
        <f t="shared" si="2342"/>
        <v>DI2-B13</v>
      </c>
      <c r="BV457" t="str">
        <f t="shared" si="2343"/>
        <v>DI2-C14</v>
      </c>
      <c r="BW457" t="str">
        <f t="shared" si="2344"/>
        <v>DI2-B14</v>
      </c>
      <c r="BX457" t="str">
        <f t="shared" si="2345"/>
        <v>DI2-C15</v>
      </c>
      <c r="BY457" t="str">
        <f t="shared" si="2346"/>
        <v>DI2-B15</v>
      </c>
      <c r="BZ457" t="str">
        <f t="shared" si="2347"/>
        <v>DI2-C16</v>
      </c>
      <c r="CA457" t="str">
        <f t="shared" si="2348"/>
        <v>DI2-B16</v>
      </c>
      <c r="CB457" t="str">
        <f t="shared" si="2349"/>
        <v>DI2-C17</v>
      </c>
      <c r="CC457" t="str">
        <f t="shared" si="2350"/>
        <v>DI2-B17</v>
      </c>
      <c r="CD457" t="str">
        <f t="shared" si="2351"/>
        <v>DI2-C18</v>
      </c>
      <c r="CE457" t="str">
        <f t="shared" si="2352"/>
        <v>DI2-B18</v>
      </c>
      <c r="CF457" t="str">
        <f t="shared" si="2353"/>
        <v>DO1-22A</v>
      </c>
      <c r="CG457" t="str">
        <f t="shared" si="2354"/>
        <v>DO1-22B</v>
      </c>
      <c r="CH457" t="str">
        <f t="shared" si="2355"/>
        <v>DO1-23A</v>
      </c>
      <c r="CI457" t="str">
        <f t="shared" si="2356"/>
        <v>DO1-23B</v>
      </c>
      <c r="CJ457" t="str">
        <f t="shared" si="2357"/>
        <v>DO1-24A</v>
      </c>
      <c r="CK457" t="str">
        <f t="shared" si="2358"/>
        <v>DO1-24B</v>
      </c>
      <c r="CL457" t="str">
        <f t="shared" si="2215"/>
        <v>K13-10</v>
      </c>
      <c r="CM457" t="str">
        <f t="shared" si="2216"/>
        <v>K13-03</v>
      </c>
      <c r="CN457" t="str">
        <f t="shared" si="2217"/>
        <v>K13-04</v>
      </c>
      <c r="CO457" t="str">
        <f t="shared" si="2218"/>
        <v>K13-01</v>
      </c>
      <c r="CP457" t="str">
        <f t="shared" si="2219"/>
        <v>K13-08</v>
      </c>
      <c r="CQ457" t="str">
        <f t="shared" si="2220"/>
        <v>K13-02</v>
      </c>
      <c r="CR457" t="str">
        <f t="shared" si="2221"/>
        <v>K13-09</v>
      </c>
      <c r="CS457" t="str">
        <f t="shared" si="2222"/>
        <v>K13-05</v>
      </c>
      <c r="CT457" t="str">
        <f t="shared" si="2223"/>
        <v>K13-11</v>
      </c>
      <c r="CU457" t="str">
        <f t="shared" si="2224"/>
        <v>N1-M13-A9</v>
      </c>
      <c r="CV457" t="str">
        <f t="shared" si="2225"/>
        <v>N1-M13-A7</v>
      </c>
      <c r="CW457" t="str">
        <f t="shared" si="2226"/>
        <v>N1-M13-A8</v>
      </c>
      <c r="CX457" t="str">
        <f t="shared" si="2227"/>
        <v>N1-M13-A6</v>
      </c>
      <c r="CY457" t="str">
        <f t="shared" si="2228"/>
        <v>N1-M13-A30</v>
      </c>
      <c r="CZ457" t="str">
        <f t="shared" si="2229"/>
        <v>N1-M13-N</v>
      </c>
      <c r="DA457" t="str">
        <f t="shared" si="2359"/>
        <v>N1-A220-M13</v>
      </c>
      <c r="DB457" t="str">
        <f t="shared" si="2231"/>
        <v>N1-M13-XM01</v>
      </c>
      <c r="DC457" t="str">
        <f t="shared" si="2232"/>
        <v>N1-M13-A1</v>
      </c>
      <c r="DD457" t="str">
        <f t="shared" si="2233"/>
        <v>N1-M13-A5</v>
      </c>
      <c r="DE457" t="str">
        <f t="shared" si="2234"/>
        <v>N1-M13-A11</v>
      </c>
      <c r="DF457" t="str">
        <f t="shared" si="2235"/>
        <v>N1-M13-A12</v>
      </c>
      <c r="DG457" t="str">
        <f t="shared" si="2236"/>
        <v>N1-M13-A19</v>
      </c>
      <c r="DH457" t="str">
        <f t="shared" si="2237"/>
        <v>N1-M13-A20</v>
      </c>
      <c r="DI457" t="s">
        <v>142</v>
      </c>
      <c r="DJ457" t="s">
        <v>143</v>
      </c>
      <c r="DK457">
        <v>11</v>
      </c>
      <c r="DL457">
        <v>14</v>
      </c>
      <c r="DM457">
        <v>12</v>
      </c>
      <c r="DN457" t="s">
        <v>144</v>
      </c>
      <c r="DO457" t="s">
        <v>145</v>
      </c>
      <c r="DP457">
        <v>1</v>
      </c>
      <c r="DQ457">
        <v>2</v>
      </c>
      <c r="DR457">
        <v>3</v>
      </c>
      <c r="DS457">
        <v>4</v>
      </c>
      <c r="DT457">
        <v>5</v>
      </c>
      <c r="DU457">
        <v>6</v>
      </c>
      <c r="DV457">
        <v>7</v>
      </c>
      <c r="DW457">
        <v>8</v>
      </c>
      <c r="DX457">
        <v>9</v>
      </c>
      <c r="DY457">
        <v>10</v>
      </c>
      <c r="DZ457">
        <v>11</v>
      </c>
      <c r="EA457">
        <v>12</v>
      </c>
      <c r="EB457">
        <v>13</v>
      </c>
      <c r="EC457">
        <v>14</v>
      </c>
      <c r="ED457">
        <v>1</v>
      </c>
      <c r="EE457">
        <v>3</v>
      </c>
      <c r="EF457">
        <v>4</v>
      </c>
      <c r="EG457">
        <v>7</v>
      </c>
      <c r="EH457">
        <v>8</v>
      </c>
      <c r="EI457">
        <v>9</v>
      </c>
      <c r="EJ457">
        <v>10</v>
      </c>
      <c r="EK457">
        <v>13</v>
      </c>
      <c r="EL457">
        <v>14</v>
      </c>
      <c r="EM457">
        <v>15</v>
      </c>
      <c r="EN457">
        <v>16</v>
      </c>
      <c r="EO457">
        <v>22</v>
      </c>
      <c r="EP457">
        <v>23</v>
      </c>
      <c r="EQ457" s="16">
        <v>24</v>
      </c>
    </row>
    <row r="458" spans="1:550" x14ac:dyDescent="0.25">
      <c r="A458" s="67" t="s">
        <v>2549</v>
      </c>
      <c r="B458" t="s">
        <v>2548</v>
      </c>
      <c r="C458" s="3"/>
      <c r="O458" s="2"/>
      <c r="P458" t="s">
        <v>129</v>
      </c>
      <c r="Q458" s="1"/>
      <c r="S458" s="1" t="s">
        <v>130</v>
      </c>
      <c r="T458" s="14" t="s">
        <v>2185</v>
      </c>
      <c r="U458" s="60">
        <v>14</v>
      </c>
      <c r="V458" s="15" t="s">
        <v>2535</v>
      </c>
      <c r="W458" s="15"/>
      <c r="AC458" t="str">
        <f t="shared" si="2238"/>
        <v>A5.2</v>
      </c>
      <c r="AD458" s="43" cm="1">
        <f t="array" ref="AD458">IF(COUNTIFS(AC$379:AC458,AC458)=1,"1",VALUE(SUBSTITUTE(INDEX(AD:AD,_xlfn.XMATCH(AC458,AC$1:AC457,0,-1)),"A",""))+INDEX(AE:AE,_xlfn.XMATCH(AC458,AC$1:AC457,0,-1))+1)</f>
        <v>19</v>
      </c>
      <c r="AE458" s="43" cm="1">
        <f t="array" ref="AE458">SUM(IF(ISNUMBER(FIND("TmDi",$BE$1:$AAL$1)),IF(IFERROR(ISNUMBER(VALUE(SUBSTITUTE($BE458:$AAL458,"B",""))),FALSE),IF(ISNUMBER(VALUE(SUBSTITUTE($BE458:$AAL458,"B",""))),1,0),0)))</f>
        <v>5</v>
      </c>
      <c r="AF458" t="str">
        <f t="shared" si="2178"/>
        <v>C19</v>
      </c>
      <c r="AG458" t="str">
        <f t="shared" si="2179"/>
        <v>B19</v>
      </c>
      <c r="AH458" t="str">
        <f>IF(AI457+AJ457&gt;25,REPLACE(AH457,LEN(AH457),1,VALUE(RIGHT(AH457,1))+1),AH457)</f>
        <v>A6.1</v>
      </c>
      <c r="AI458" s="73" cm="1">
        <f t="array" ref="AI458">IF(COUNTIFS(AH$379:AH458,AH458)=1,"1",VALUE(SUBSTITUTE(INDEX(AI:AI,_xlfn.XMATCH(AH458,AH$1:AH457,0,-1)),"A",""))+INDEX(AJ:AJ,_xlfn.XMATCH(AH458,AH$1:AH457,0,-1))+1)</f>
        <v>25</v>
      </c>
      <c r="AJ458" s="64" cm="1">
        <f t="array" ref="AJ458">SUM(IF(ISNUMBER(FIND("TmDo",$BE$1:$AAL$1)),IF(IFERROR(ISNUMBER(VALUE(SUBSTITUTE($BE458:$AAL458,"B",""))),FALSE),IF(ISNUMBER(VALUE(SUBSTITUTE($BE458:$AAL458,"B",""))),1,0),0)))</f>
        <v>2</v>
      </c>
      <c r="AK458" t="str">
        <f t="shared" si="2180"/>
        <v>25A</v>
      </c>
      <c r="AL458" t="str">
        <f t="shared" si="2181"/>
        <v>25B</v>
      </c>
      <c r="AM458" t="s">
        <v>172</v>
      </c>
      <c r="AP458" t="s">
        <v>2187</v>
      </c>
      <c r="AQ458" t="s">
        <v>2515</v>
      </c>
      <c r="AT458" t="s">
        <v>139</v>
      </c>
      <c r="AU458" t="s">
        <v>140</v>
      </c>
      <c r="BD458" s="16"/>
      <c r="BE458" s="27" t="str">
        <f t="shared" si="2330"/>
        <v>XT14</v>
      </c>
      <c r="BF458" t="str">
        <f t="shared" si="2331"/>
        <v>C20</v>
      </c>
      <c r="BG458" t="str">
        <f t="shared" si="2332"/>
        <v>B20</v>
      </c>
      <c r="BH458" t="str">
        <f t="shared" si="2333"/>
        <v>C21</v>
      </c>
      <c r="BI458" t="str">
        <f t="shared" si="2334"/>
        <v>B21</v>
      </c>
      <c r="BJ458" t="str">
        <f t="shared" si="2335"/>
        <v>C22</v>
      </c>
      <c r="BK458" t="str">
        <f t="shared" si="2336"/>
        <v>B22</v>
      </c>
      <c r="BL458" t="str">
        <f t="shared" si="2337"/>
        <v>C23</v>
      </c>
      <c r="BM458" t="str">
        <f t="shared" si="2338"/>
        <v>B23</v>
      </c>
      <c r="BN458" t="str">
        <f t="shared" si="2339"/>
        <v>C24</v>
      </c>
      <c r="BO458" t="str">
        <f t="shared" si="2340"/>
        <v>B24</v>
      </c>
      <c r="BP458" t="str">
        <f t="shared" si="2193"/>
        <v>26A</v>
      </c>
      <c r="BQ458" t="str">
        <f t="shared" si="2194"/>
        <v>26B</v>
      </c>
      <c r="BR458" t="str">
        <f t="shared" si="2195"/>
        <v>27A</v>
      </c>
      <c r="BS458" t="str">
        <f t="shared" si="2196"/>
        <v>27B</v>
      </c>
      <c r="BT458" t="str">
        <f t="shared" si="2341"/>
        <v>DI2-C19</v>
      </c>
      <c r="BU458" t="str">
        <f t="shared" si="2342"/>
        <v>DI2-B19</v>
      </c>
      <c r="BV458" t="str">
        <f t="shared" si="2343"/>
        <v>DI2-C20</v>
      </c>
      <c r="BW458" t="str">
        <f t="shared" si="2344"/>
        <v>DI2-B20</v>
      </c>
      <c r="BX458" t="str">
        <f t="shared" si="2345"/>
        <v>DI2-C21</v>
      </c>
      <c r="BY458" t="str">
        <f t="shared" si="2346"/>
        <v>DI2-B21</v>
      </c>
      <c r="BZ458" t="str">
        <f t="shared" si="2347"/>
        <v>DI2-C22</v>
      </c>
      <c r="CA458" t="str">
        <f t="shared" si="2348"/>
        <v>DI2-B22</v>
      </c>
      <c r="CB458" t="str">
        <f t="shared" si="2349"/>
        <v>DI2-C23</v>
      </c>
      <c r="CC458" t="str">
        <f t="shared" si="2350"/>
        <v>DI2-B23</v>
      </c>
      <c r="CD458" t="str">
        <f t="shared" si="2351"/>
        <v>DI2-C24</v>
      </c>
      <c r="CE458" t="str">
        <f t="shared" si="2352"/>
        <v>DI2-B24</v>
      </c>
      <c r="CF458" t="str">
        <f t="shared" si="2353"/>
        <v>DO1-25A</v>
      </c>
      <c r="CG458" t="str">
        <f t="shared" si="2354"/>
        <v>DO1-25B</v>
      </c>
      <c r="CH458" t="str">
        <f t="shared" si="2355"/>
        <v>DO1-26A</v>
      </c>
      <c r="CI458" t="str">
        <f t="shared" si="2356"/>
        <v>DO1-26B</v>
      </c>
      <c r="CJ458" t="str">
        <f t="shared" si="2357"/>
        <v>DO1-27A</v>
      </c>
      <c r="CK458" t="str">
        <f t="shared" si="2358"/>
        <v>DO1-27B</v>
      </c>
      <c r="CL458" t="str">
        <f t="shared" si="2215"/>
        <v>K14-10</v>
      </c>
      <c r="CM458" t="str">
        <f t="shared" si="2216"/>
        <v>K14-03</v>
      </c>
      <c r="CN458" t="str">
        <f t="shared" si="2217"/>
        <v>K14-04</v>
      </c>
      <c r="CO458" t="str">
        <f t="shared" si="2218"/>
        <v>K14-01</v>
      </c>
      <c r="CP458" t="str">
        <f t="shared" si="2219"/>
        <v>K14-08</v>
      </c>
      <c r="CQ458" t="str">
        <f t="shared" si="2220"/>
        <v>K14-02</v>
      </c>
      <c r="CR458" t="str">
        <f t="shared" si="2221"/>
        <v>K14-09</v>
      </c>
      <c r="CS458" t="str">
        <f t="shared" si="2222"/>
        <v>K14-05</v>
      </c>
      <c r="CT458" t="str">
        <f t="shared" si="2223"/>
        <v>K14-11</v>
      </c>
      <c r="CU458" t="str">
        <f t="shared" si="2224"/>
        <v>N1-M14-A9</v>
      </c>
      <c r="CV458" t="str">
        <f t="shared" si="2225"/>
        <v>N1-M14-A7</v>
      </c>
      <c r="CW458" t="str">
        <f t="shared" si="2226"/>
        <v>N1-M14-A8</v>
      </c>
      <c r="CX458" t="str">
        <f t="shared" si="2227"/>
        <v>N1-M14-A6</v>
      </c>
      <c r="CY458" t="str">
        <f t="shared" si="2228"/>
        <v>N1-M14-A30</v>
      </c>
      <c r="CZ458" t="str">
        <f t="shared" si="2229"/>
        <v>N1-M14-N</v>
      </c>
      <c r="DA458" t="str">
        <f t="shared" si="2359"/>
        <v>N1-A220-M14</v>
      </c>
      <c r="DB458" t="str">
        <f t="shared" si="2231"/>
        <v>N1-M14-XM01</v>
      </c>
      <c r="DC458" t="str">
        <f t="shared" si="2232"/>
        <v>N1-M14-A1</v>
      </c>
      <c r="DD458" t="str">
        <f t="shared" si="2233"/>
        <v>N1-M14-A5</v>
      </c>
      <c r="DE458" t="str">
        <f t="shared" si="2234"/>
        <v>N1-M14-A11</v>
      </c>
      <c r="DF458" t="str">
        <f t="shared" si="2235"/>
        <v>N1-M14-A12</v>
      </c>
      <c r="DG458" t="str">
        <f t="shared" si="2236"/>
        <v>N1-M14-A19</v>
      </c>
      <c r="DH458" t="str">
        <f t="shared" si="2237"/>
        <v>N1-M14-A20</v>
      </c>
      <c r="DI458" t="s">
        <v>142</v>
      </c>
      <c r="DJ458" t="s">
        <v>143</v>
      </c>
      <c r="DK458">
        <v>11</v>
      </c>
      <c r="DL458">
        <v>14</v>
      </c>
      <c r="DM458">
        <v>12</v>
      </c>
      <c r="DN458" t="s">
        <v>144</v>
      </c>
      <c r="DO458" t="s">
        <v>145</v>
      </c>
      <c r="DP458">
        <v>1</v>
      </c>
      <c r="DQ458">
        <v>2</v>
      </c>
      <c r="DR458">
        <v>3</v>
      </c>
      <c r="DS458">
        <v>4</v>
      </c>
      <c r="DT458">
        <v>5</v>
      </c>
      <c r="DU458">
        <v>6</v>
      </c>
      <c r="DV458">
        <v>7</v>
      </c>
      <c r="DW458">
        <v>8</v>
      </c>
      <c r="DX458">
        <v>9</v>
      </c>
      <c r="DY458">
        <v>10</v>
      </c>
      <c r="DZ458">
        <v>11</v>
      </c>
      <c r="EA458">
        <v>12</v>
      </c>
      <c r="EB458">
        <v>13</v>
      </c>
      <c r="EC458">
        <v>14</v>
      </c>
      <c r="ED458">
        <v>1</v>
      </c>
      <c r="EE458">
        <v>3</v>
      </c>
      <c r="EF458">
        <v>4</v>
      </c>
      <c r="EG458">
        <v>7</v>
      </c>
      <c r="EH458">
        <v>8</v>
      </c>
      <c r="EI458">
        <v>9</v>
      </c>
      <c r="EJ458">
        <v>10</v>
      </c>
      <c r="EK458">
        <v>13</v>
      </c>
      <c r="EL458">
        <v>14</v>
      </c>
      <c r="EM458">
        <v>15</v>
      </c>
      <c r="EN458">
        <v>16</v>
      </c>
      <c r="EO458">
        <v>22</v>
      </c>
      <c r="EP458">
        <v>23</v>
      </c>
      <c r="EQ458" s="16">
        <v>24</v>
      </c>
    </row>
    <row r="459" spans="1:550" x14ac:dyDescent="0.25">
      <c r="A459" s="67" t="s">
        <v>2551</v>
      </c>
      <c r="B459" t="s">
        <v>2550</v>
      </c>
      <c r="C459" s="3"/>
      <c r="O459" s="2"/>
      <c r="P459" t="s">
        <v>129</v>
      </c>
      <c r="Q459" s="1"/>
      <c r="S459" s="1" t="s">
        <v>130</v>
      </c>
      <c r="T459" s="14" t="s">
        <v>2185</v>
      </c>
      <c r="U459" s="60">
        <v>15</v>
      </c>
      <c r="V459" s="15" t="s">
        <v>2536</v>
      </c>
      <c r="W459" s="15"/>
      <c r="AC459" t="str">
        <f t="shared" si="2238"/>
        <v>A5.2</v>
      </c>
      <c r="AD459" s="43" cm="1">
        <f t="array" ref="AD459">IF(COUNTIFS(AC$379:AC459,AC459)=1,"1",VALUE(SUBSTITUTE(INDEX(AD:AD,_xlfn.XMATCH(AC459,AC$1:AC458,0,-1)),"A",""))+INDEX(AE:AE,_xlfn.XMATCH(AC459,AC$1:AC458,0,-1))+1)</f>
        <v>25</v>
      </c>
      <c r="AE459" s="43" cm="1">
        <f t="array" ref="AE459">SUM(IF(ISNUMBER(FIND("TmDi",$BE$1:$AAL$1)),IF(IFERROR(ISNUMBER(VALUE(SUBSTITUTE($BE459:$AAL459,"B",""))),FALSE),IF(ISNUMBER(VALUE(SUBSTITUTE($BE459:$AAL459,"B",""))),1,0),0)))</f>
        <v>5</v>
      </c>
      <c r="AF459" t="str">
        <f t="shared" si="2178"/>
        <v>C25</v>
      </c>
      <c r="AG459" t="str">
        <f t="shared" si="2179"/>
        <v>B25</v>
      </c>
      <c r="AH459" t="str">
        <f t="shared" ref="AH459:AH489" si="2360">IF(AI458+AJ458&gt;25,REPLACE(AH458,LEN(AH458),1,VALUE(RIGHT(AH458,1))+1),AH458)</f>
        <v>A6.2</v>
      </c>
      <c r="AI459" s="73" t="str" cm="1">
        <f t="array" ref="AI459">IF(COUNTIFS(AH$379:AH459,AH459)=1,"1",VALUE(SUBSTITUTE(INDEX(AI:AI,_xlfn.XMATCH(AH459,AH$1:AH458,0,-1)),"A",""))+INDEX(AJ:AJ,_xlfn.XMATCH(AH459,AH$1:AH458,0,-1))+1)</f>
        <v>1</v>
      </c>
      <c r="AJ459" s="64" cm="1">
        <f t="array" ref="AJ459">SUM(IF(ISNUMBER(FIND("TmDo",$BE$1:$AAL$1)),IF(IFERROR(ISNUMBER(VALUE(SUBSTITUTE($BE459:$AAL459,"B",""))),FALSE),IF(ISNUMBER(VALUE(SUBSTITUTE($BE459:$AAL459,"B",""))),1,0),0)))</f>
        <v>2</v>
      </c>
      <c r="AK459" t="str">
        <f t="shared" si="2180"/>
        <v>1A</v>
      </c>
      <c r="AL459" t="str">
        <f t="shared" si="2181"/>
        <v>1B</v>
      </c>
      <c r="AM459" t="s">
        <v>175</v>
      </c>
      <c r="AP459" t="s">
        <v>2187</v>
      </c>
      <c r="AQ459" t="s">
        <v>2515</v>
      </c>
      <c r="AT459" t="s">
        <v>139</v>
      </c>
      <c r="AU459" t="s">
        <v>140</v>
      </c>
      <c r="BD459" s="16"/>
      <c r="BE459" s="27" t="str">
        <f t="shared" si="2330"/>
        <v>XT15</v>
      </c>
      <c r="BF459" t="str">
        <f t="shared" si="2331"/>
        <v>C26</v>
      </c>
      <c r="BG459" t="str">
        <f t="shared" si="2332"/>
        <v>B26</v>
      </c>
      <c r="BH459" t="str">
        <f t="shared" si="2333"/>
        <v>C27</v>
      </c>
      <c r="BI459" t="str">
        <f t="shared" si="2334"/>
        <v>B27</v>
      </c>
      <c r="BJ459" t="str">
        <f t="shared" si="2335"/>
        <v>C28</v>
      </c>
      <c r="BK459" t="str">
        <f t="shared" si="2336"/>
        <v>B28</v>
      </c>
      <c r="BL459" t="str">
        <f t="shared" si="2337"/>
        <v>C29</v>
      </c>
      <c r="BM459" t="str">
        <f t="shared" si="2338"/>
        <v>B29</v>
      </c>
      <c r="BN459" t="str">
        <f t="shared" si="2339"/>
        <v>C30</v>
      </c>
      <c r="BO459" t="str">
        <f t="shared" si="2340"/>
        <v>B30</v>
      </c>
      <c r="BP459" t="str">
        <f t="shared" si="2193"/>
        <v>2A</v>
      </c>
      <c r="BQ459" t="str">
        <f t="shared" si="2194"/>
        <v>2B</v>
      </c>
      <c r="BR459" t="str">
        <f t="shared" si="2195"/>
        <v>3A</v>
      </c>
      <c r="BS459" t="str">
        <f t="shared" si="2196"/>
        <v>3B</v>
      </c>
      <c r="BT459" t="str">
        <f t="shared" si="2341"/>
        <v>DI2-C25</v>
      </c>
      <c r="BU459" t="str">
        <f t="shared" si="2342"/>
        <v>DI2-B25</v>
      </c>
      <c r="BV459" t="str">
        <f t="shared" si="2343"/>
        <v>DI2-C26</v>
      </c>
      <c r="BW459" t="str">
        <f t="shared" si="2344"/>
        <v>DI2-B26</v>
      </c>
      <c r="BX459" t="str">
        <f t="shared" si="2345"/>
        <v>DI2-C27</v>
      </c>
      <c r="BY459" t="str">
        <f t="shared" si="2346"/>
        <v>DI2-B27</v>
      </c>
      <c r="BZ459" t="str">
        <f t="shared" si="2347"/>
        <v>DI2-C28</v>
      </c>
      <c r="CA459" t="str">
        <f t="shared" si="2348"/>
        <v>DI2-B28</v>
      </c>
      <c r="CB459" t="str">
        <f t="shared" si="2349"/>
        <v>DI2-C29</v>
      </c>
      <c r="CC459" t="str">
        <f t="shared" si="2350"/>
        <v>DI2-B29</v>
      </c>
      <c r="CD459" t="str">
        <f t="shared" si="2351"/>
        <v>DI2-C30</v>
      </c>
      <c r="CE459" t="str">
        <f t="shared" si="2352"/>
        <v>DI2-B30</v>
      </c>
      <c r="CF459" t="str">
        <f t="shared" si="2353"/>
        <v>DO2-1A</v>
      </c>
      <c r="CG459" t="str">
        <f t="shared" si="2354"/>
        <v>DO2-1B</v>
      </c>
      <c r="CH459" t="str">
        <f t="shared" si="2355"/>
        <v>DO2-2A</v>
      </c>
      <c r="CI459" t="str">
        <f t="shared" si="2356"/>
        <v>DO2-2B</v>
      </c>
      <c r="CJ459" t="str">
        <f t="shared" si="2357"/>
        <v>DO2-3A</v>
      </c>
      <c r="CK459" t="str">
        <f t="shared" si="2358"/>
        <v>DO2-3B</v>
      </c>
      <c r="CL459" t="str">
        <f t="shared" si="2215"/>
        <v>K15-10</v>
      </c>
      <c r="CM459" t="str">
        <f t="shared" si="2216"/>
        <v>K15-03</v>
      </c>
      <c r="CN459" t="str">
        <f t="shared" si="2217"/>
        <v>K15-04</v>
      </c>
      <c r="CO459" t="str">
        <f t="shared" si="2218"/>
        <v>K15-01</v>
      </c>
      <c r="CP459" t="str">
        <f t="shared" si="2219"/>
        <v>K15-08</v>
      </c>
      <c r="CQ459" t="str">
        <f t="shared" si="2220"/>
        <v>K15-02</v>
      </c>
      <c r="CR459" t="str">
        <f t="shared" si="2221"/>
        <v>K15-09</v>
      </c>
      <c r="CS459" t="str">
        <f t="shared" si="2222"/>
        <v>K15-05</v>
      </c>
      <c r="CT459" t="str">
        <f t="shared" si="2223"/>
        <v>K15-11</v>
      </c>
      <c r="CU459" t="str">
        <f t="shared" si="2224"/>
        <v>N1-M15-A9</v>
      </c>
      <c r="CV459" t="str">
        <f t="shared" si="2225"/>
        <v>N1-M15-A7</v>
      </c>
      <c r="CW459" t="str">
        <f t="shared" si="2226"/>
        <v>N1-M15-A8</v>
      </c>
      <c r="CX459" t="str">
        <f t="shared" si="2227"/>
        <v>N1-M15-A6</v>
      </c>
      <c r="CY459" t="str">
        <f t="shared" si="2228"/>
        <v>N1-M15-A30</v>
      </c>
      <c r="CZ459" t="str">
        <f t="shared" si="2229"/>
        <v>N1-M15-N</v>
      </c>
      <c r="DA459" t="str">
        <f t="shared" si="2359"/>
        <v>N1-A220-M15</v>
      </c>
      <c r="DB459" t="str">
        <f t="shared" si="2231"/>
        <v>N1-M15-XM01</v>
      </c>
      <c r="DC459" t="str">
        <f t="shared" si="2232"/>
        <v>N1-M15-A1</v>
      </c>
      <c r="DD459" t="str">
        <f t="shared" si="2233"/>
        <v>N1-M15-A5</v>
      </c>
      <c r="DE459" t="str">
        <f t="shared" si="2234"/>
        <v>N1-M15-A11</v>
      </c>
      <c r="DF459" t="str">
        <f t="shared" si="2235"/>
        <v>N1-M15-A12</v>
      </c>
      <c r="DG459" t="str">
        <f t="shared" si="2236"/>
        <v>N1-M15-A19</v>
      </c>
      <c r="DH459" t="str">
        <f t="shared" si="2237"/>
        <v>N1-M15-A20</v>
      </c>
      <c r="DI459" t="s">
        <v>142</v>
      </c>
      <c r="DJ459" t="s">
        <v>143</v>
      </c>
      <c r="DK459">
        <v>11</v>
      </c>
      <c r="DL459">
        <v>14</v>
      </c>
      <c r="DM459">
        <v>12</v>
      </c>
      <c r="DN459" t="s">
        <v>144</v>
      </c>
      <c r="DO459" t="s">
        <v>145</v>
      </c>
      <c r="DP459">
        <v>1</v>
      </c>
      <c r="DQ459">
        <v>2</v>
      </c>
      <c r="DR459">
        <v>3</v>
      </c>
      <c r="DS459">
        <v>4</v>
      </c>
      <c r="DT459">
        <v>5</v>
      </c>
      <c r="DU459">
        <v>6</v>
      </c>
      <c r="DV459">
        <v>7</v>
      </c>
      <c r="DW459">
        <v>8</v>
      </c>
      <c r="DX459">
        <v>9</v>
      </c>
      <c r="DY459">
        <v>10</v>
      </c>
      <c r="DZ459">
        <v>11</v>
      </c>
      <c r="EA459">
        <v>12</v>
      </c>
      <c r="EB459">
        <v>13</v>
      </c>
      <c r="EC459">
        <v>14</v>
      </c>
      <c r="ED459">
        <v>1</v>
      </c>
      <c r="EE459">
        <v>3</v>
      </c>
      <c r="EF459">
        <v>4</v>
      </c>
      <c r="EG459">
        <v>7</v>
      </c>
      <c r="EH459">
        <v>8</v>
      </c>
      <c r="EI459">
        <v>9</v>
      </c>
      <c r="EJ459">
        <v>10</v>
      </c>
      <c r="EK459">
        <v>13</v>
      </c>
      <c r="EL459">
        <v>14</v>
      </c>
      <c r="EM459">
        <v>15</v>
      </c>
      <c r="EN459">
        <v>16</v>
      </c>
      <c r="EO459">
        <v>22</v>
      </c>
      <c r="EP459">
        <v>23</v>
      </c>
      <c r="EQ459" s="16">
        <v>24</v>
      </c>
    </row>
    <row r="460" spans="1:550" x14ac:dyDescent="0.25">
      <c r="A460" s="67" t="s">
        <v>2553</v>
      </c>
      <c r="B460" t="s">
        <v>2552</v>
      </c>
      <c r="C460" s="3"/>
      <c r="O460" s="2"/>
      <c r="P460" t="s">
        <v>129</v>
      </c>
      <c r="Q460" s="1"/>
      <c r="S460" s="1" t="s">
        <v>130</v>
      </c>
      <c r="T460" s="14" t="s">
        <v>2185</v>
      </c>
      <c r="U460" s="60">
        <v>16</v>
      </c>
      <c r="V460" s="15" t="s">
        <v>2537</v>
      </c>
      <c r="W460" s="15"/>
      <c r="AC460" t="str">
        <f t="shared" si="2238"/>
        <v>A5.3</v>
      </c>
      <c r="AD460" s="43" t="str" cm="1">
        <f t="array" ref="AD460">IF(COUNTIFS(AC$379:AC460,AC460)=1,"1",VALUE(SUBSTITUTE(INDEX(AD:AD,_xlfn.XMATCH(AC460,AC$1:AC459,0,-1)),"A",""))+INDEX(AE:AE,_xlfn.XMATCH(AC460,AC$1:AC459,0,-1))+1)</f>
        <v>1</v>
      </c>
      <c r="AE460" s="43" cm="1">
        <f t="array" ref="AE460">SUM(IF(ISNUMBER(FIND("TmDi",$BE$1:$AAL$1)),IF(IFERROR(ISNUMBER(VALUE(SUBSTITUTE($BE460:$AAL460,"B",""))),FALSE),IF(ISNUMBER(VALUE(SUBSTITUTE($BE460:$AAL460,"B",""))),1,0),0)))</f>
        <v>5</v>
      </c>
      <c r="AF460" t="str">
        <f t="shared" si="2178"/>
        <v>C1</v>
      </c>
      <c r="AG460" t="str">
        <f t="shared" si="2179"/>
        <v>B1</v>
      </c>
      <c r="AH460" t="str">
        <f t="shared" si="2360"/>
        <v>A6.2</v>
      </c>
      <c r="AI460" s="73" cm="1">
        <f t="array" ref="AI460">IF(COUNTIFS(AH$379:AH460,AH460)=1,"1",VALUE(SUBSTITUTE(INDEX(AI:AI,_xlfn.XMATCH(AH460,AH$1:AH459,0,-1)),"A",""))+INDEX(AJ:AJ,_xlfn.XMATCH(AH460,AH$1:AH459,0,-1))+1)</f>
        <v>4</v>
      </c>
      <c r="AJ460" s="64" cm="1">
        <f t="array" ref="AJ460">SUM(IF(ISNUMBER(FIND("TmDo",$BE$1:$AAL$1)),IF(IFERROR(ISNUMBER(VALUE(SUBSTITUTE($BE460:$AAL460,"B",""))),FALSE),IF(ISNUMBER(VALUE(SUBSTITUTE($BE460:$AAL460,"B",""))),1,0),0)))</f>
        <v>2</v>
      </c>
      <c r="AK460" t="str">
        <f t="shared" si="2180"/>
        <v>4A</v>
      </c>
      <c r="AL460" t="str">
        <f t="shared" si="2181"/>
        <v>4B</v>
      </c>
      <c r="AM460" t="s">
        <v>178</v>
      </c>
      <c r="AP460" t="s">
        <v>2187</v>
      </c>
      <c r="AQ460" t="s">
        <v>2515</v>
      </c>
      <c r="AT460" t="s">
        <v>139</v>
      </c>
      <c r="AU460" t="s">
        <v>140</v>
      </c>
      <c r="BD460" s="16"/>
      <c r="BE460" s="27" t="str">
        <f t="shared" ref="BE460:BE468" si="2361">CONCATENATE("XT",U460)</f>
        <v>XT16</v>
      </c>
      <c r="BF460" t="str">
        <f t="shared" ref="BF460:BF468" si="2362">CONCATENATE("C",REPLACE(AF460,1,1,"")+1)</f>
        <v>C2</v>
      </c>
      <c r="BG460" t="str">
        <f t="shared" ref="BG460:BG468" si="2363">CONCATENATE("B",REPLACE(AG460,1,1,"")+1)</f>
        <v>B2</v>
      </c>
      <c r="BH460" t="str">
        <f t="shared" ref="BH460:BH468" si="2364">CONCATENATE("C",REPLACE(BF460,1,1,"")+1)</f>
        <v>C3</v>
      </c>
      <c r="BI460" t="str">
        <f t="shared" ref="BI460:BI468" si="2365">CONCATENATE("B",REPLACE(BG460,1,1,"")+1)</f>
        <v>B3</v>
      </c>
      <c r="BJ460" t="str">
        <f t="shared" ref="BJ460:BJ468" si="2366">CONCATENATE("C",REPLACE(BH460,1,1,"")+1)</f>
        <v>C4</v>
      </c>
      <c r="BK460" t="str">
        <f t="shared" ref="BK460:BK468" si="2367">CONCATENATE("B",REPLACE(BI460,1,1,"")+1)</f>
        <v>B4</v>
      </c>
      <c r="BL460" t="str">
        <f t="shared" ref="BL460:BL468" si="2368">CONCATENATE("C",REPLACE(BJ460,1,1,"")+1)</f>
        <v>C5</v>
      </c>
      <c r="BM460" t="str">
        <f t="shared" ref="BM460:BM468" si="2369">CONCATENATE("B",REPLACE(BK460,1,1,"")+1)</f>
        <v>B5</v>
      </c>
      <c r="BN460" t="str">
        <f t="shared" ref="BN460:BN468" si="2370">CONCATENATE("C",REPLACE(BL460,1,1,"")+1)</f>
        <v>C6</v>
      </c>
      <c r="BO460" t="str">
        <f t="shared" ref="BO460:BO468" si="2371">CONCATENATE("B",REPLACE(BM460,1,1,"")+1)</f>
        <v>B6</v>
      </c>
      <c r="BP460" t="str">
        <f t="shared" si="2193"/>
        <v>5A</v>
      </c>
      <c r="BQ460" t="str">
        <f t="shared" si="2194"/>
        <v>5B</v>
      </c>
      <c r="BR460" t="str">
        <f t="shared" si="2195"/>
        <v>6A</v>
      </c>
      <c r="BS460" t="str">
        <f t="shared" si="2196"/>
        <v>6B</v>
      </c>
      <c r="BT460" t="str">
        <f t="shared" ref="BT460:BT468" si="2372">CONCATENATE("DI",REPLACE($AC460,1,3,""),"-",AF460)</f>
        <v>DI3-C1</v>
      </c>
      <c r="BU460" t="str">
        <f t="shared" ref="BU460:BU468" si="2373">CONCATENATE("DI",REPLACE($AC460,1,3,""),"-",AG460)</f>
        <v>DI3-B1</v>
      </c>
      <c r="BV460" t="str">
        <f t="shared" ref="BV460:BV468" si="2374">CONCATENATE("DI",REPLACE($AC460,1,3,""),"-",BF460)</f>
        <v>DI3-C2</v>
      </c>
      <c r="BW460" t="str">
        <f t="shared" ref="BW460:BW468" si="2375">CONCATENATE("DI",REPLACE($AC460,1,3,""),"-",BG460)</f>
        <v>DI3-B2</v>
      </c>
      <c r="BX460" t="str">
        <f t="shared" ref="BX460:BX468" si="2376">CONCATENATE("DI",REPLACE($AC460,1,3,""),"-",BH460)</f>
        <v>DI3-C3</v>
      </c>
      <c r="BY460" t="str">
        <f t="shared" ref="BY460:BY468" si="2377">CONCATENATE("DI",REPLACE($AC460,1,3,""),"-",BI460)</f>
        <v>DI3-B3</v>
      </c>
      <c r="BZ460" t="str">
        <f t="shared" ref="BZ460:BZ468" si="2378">CONCATENATE("DI",REPLACE($AC460,1,3,""),"-",BJ460)</f>
        <v>DI3-C4</v>
      </c>
      <c r="CA460" t="str">
        <f t="shared" ref="CA460:CA468" si="2379">CONCATENATE("DI",REPLACE($AC460,1,3,""),"-",BK460)</f>
        <v>DI3-B4</v>
      </c>
      <c r="CB460" t="str">
        <f t="shared" ref="CB460:CB468" si="2380">CONCATENATE("DI",REPLACE($AC460,1,3,""),"-",BL460)</f>
        <v>DI3-C5</v>
      </c>
      <c r="CC460" t="str">
        <f t="shared" ref="CC460:CC468" si="2381">CONCATENATE("DI",REPLACE($AC460,1,3,""),"-",BM460)</f>
        <v>DI3-B5</v>
      </c>
      <c r="CD460" t="str">
        <f t="shared" ref="CD460:CD468" si="2382">CONCATENATE("DI",REPLACE($AC460,1,3,""),"-",BN460)</f>
        <v>DI3-C6</v>
      </c>
      <c r="CE460" t="str">
        <f t="shared" ref="CE460:CE468" si="2383">CONCATENATE("DI",REPLACE($AC460,1,3,""),"-",BO460)</f>
        <v>DI3-B6</v>
      </c>
      <c r="CF460" t="str">
        <f t="shared" ref="CF460:CF468" si="2384">CONCATENATE("DO",REPLACE($AH460,1,3,""),"-",AK460)</f>
        <v>DO2-4A</v>
      </c>
      <c r="CG460" t="str">
        <f t="shared" ref="CG460:CG468" si="2385">CONCATENATE("DO",REPLACE($AH460,1,3,""),"-",AL460)</f>
        <v>DO2-4B</v>
      </c>
      <c r="CH460" t="str">
        <f t="shared" ref="CH460:CH468" si="2386">CONCATENATE("DO",REPLACE($AH460,1,3,""),"-",BP460)</f>
        <v>DO2-5A</v>
      </c>
      <c r="CI460" t="str">
        <f t="shared" ref="CI460:CI468" si="2387">CONCATENATE("DO",REPLACE($AH460,1,3,""),"-",BQ460)</f>
        <v>DO2-5B</v>
      </c>
      <c r="CJ460" t="str">
        <f t="shared" ref="CJ460:CJ468" si="2388">CONCATENATE("DO",REPLACE($AH460,1,3,""),"-",BR460)</f>
        <v>DO2-6A</v>
      </c>
      <c r="CK460" t="str">
        <f t="shared" ref="CK460:CK468" si="2389">CONCATENATE("DO",REPLACE($AH460,1,3,""),"-",BS460)</f>
        <v>DO2-6B</v>
      </c>
      <c r="CL460" t="str">
        <f t="shared" si="2215"/>
        <v>K16-10</v>
      </c>
      <c r="CM460" t="str">
        <f t="shared" si="2216"/>
        <v>K16-03</v>
      </c>
      <c r="CN460" t="str">
        <f t="shared" si="2217"/>
        <v>K16-04</v>
      </c>
      <c r="CO460" t="str">
        <f t="shared" si="2218"/>
        <v>K16-01</v>
      </c>
      <c r="CP460" t="str">
        <f t="shared" si="2219"/>
        <v>K16-08</v>
      </c>
      <c r="CQ460" t="str">
        <f t="shared" si="2220"/>
        <v>K16-02</v>
      </c>
      <c r="CR460" t="str">
        <f t="shared" si="2221"/>
        <v>K16-09</v>
      </c>
      <c r="CS460" t="str">
        <f t="shared" si="2222"/>
        <v>K16-05</v>
      </c>
      <c r="CT460" t="str">
        <f t="shared" si="2223"/>
        <v>K16-11</v>
      </c>
      <c r="CU460" t="str">
        <f t="shared" si="2224"/>
        <v>N1-M16-A9</v>
      </c>
      <c r="CV460" t="str">
        <f t="shared" si="2225"/>
        <v>N1-M16-A7</v>
      </c>
      <c r="CW460" t="str">
        <f t="shared" si="2226"/>
        <v>N1-M16-A8</v>
      </c>
      <c r="CX460" t="str">
        <f t="shared" si="2227"/>
        <v>N1-M16-A6</v>
      </c>
      <c r="CY460" t="str">
        <f t="shared" si="2228"/>
        <v>N1-M16-A30</v>
      </c>
      <c r="CZ460" t="str">
        <f t="shared" si="2229"/>
        <v>N1-M16-N</v>
      </c>
      <c r="DA460" t="str">
        <f t="shared" ref="DA460:DA468" si="2390">CONCATENATE($T460,"-A220-M",U460)</f>
        <v>N1-A220-M16</v>
      </c>
      <c r="DB460" t="str">
        <f t="shared" si="2231"/>
        <v>N1-M16-XM01</v>
      </c>
      <c r="DC460" t="str">
        <f t="shared" si="2232"/>
        <v>N1-M16-A1</v>
      </c>
      <c r="DD460" t="str">
        <f t="shared" si="2233"/>
        <v>N1-M16-A5</v>
      </c>
      <c r="DE460" t="str">
        <f t="shared" si="2234"/>
        <v>N1-M16-A11</v>
      </c>
      <c r="DF460" t="str">
        <f t="shared" si="2235"/>
        <v>N1-M16-A12</v>
      </c>
      <c r="DG460" t="str">
        <f t="shared" si="2236"/>
        <v>N1-M16-A19</v>
      </c>
      <c r="DH460" t="str">
        <f t="shared" si="2237"/>
        <v>N1-M16-A20</v>
      </c>
      <c r="DI460" t="s">
        <v>142</v>
      </c>
      <c r="DJ460" t="s">
        <v>143</v>
      </c>
      <c r="DK460">
        <v>11</v>
      </c>
      <c r="DL460">
        <v>14</v>
      </c>
      <c r="DM460">
        <v>12</v>
      </c>
      <c r="DN460" t="s">
        <v>144</v>
      </c>
      <c r="DO460" t="s">
        <v>145</v>
      </c>
      <c r="DP460">
        <v>1</v>
      </c>
      <c r="DQ460">
        <v>2</v>
      </c>
      <c r="DR460">
        <v>3</v>
      </c>
      <c r="DS460">
        <v>4</v>
      </c>
      <c r="DT460">
        <v>5</v>
      </c>
      <c r="DU460">
        <v>6</v>
      </c>
      <c r="DV460">
        <v>7</v>
      </c>
      <c r="DW460">
        <v>8</v>
      </c>
      <c r="DX460">
        <v>9</v>
      </c>
      <c r="DY460">
        <v>10</v>
      </c>
      <c r="DZ460">
        <v>11</v>
      </c>
      <c r="EA460">
        <v>12</v>
      </c>
      <c r="EB460">
        <v>13</v>
      </c>
      <c r="EC460">
        <v>14</v>
      </c>
      <c r="ED460">
        <v>1</v>
      </c>
      <c r="EE460">
        <v>3</v>
      </c>
      <c r="EF460">
        <v>4</v>
      </c>
      <c r="EG460">
        <v>7</v>
      </c>
      <c r="EH460">
        <v>8</v>
      </c>
      <c r="EI460">
        <v>9</v>
      </c>
      <c r="EJ460">
        <v>10</v>
      </c>
      <c r="EK460">
        <v>13</v>
      </c>
      <c r="EL460">
        <v>14</v>
      </c>
      <c r="EM460">
        <v>15</v>
      </c>
      <c r="EN460">
        <v>16</v>
      </c>
      <c r="EO460">
        <v>22</v>
      </c>
      <c r="EP460">
        <v>23</v>
      </c>
      <c r="EQ460" s="16">
        <v>24</v>
      </c>
    </row>
    <row r="461" spans="1:550" x14ac:dyDescent="0.25">
      <c r="A461" s="67" t="s">
        <v>2555</v>
      </c>
      <c r="B461" t="s">
        <v>2554</v>
      </c>
      <c r="C461" s="3"/>
      <c r="O461" s="2"/>
      <c r="P461" t="s">
        <v>129</v>
      </c>
      <c r="Q461" s="1"/>
      <c r="S461" s="1" t="s">
        <v>130</v>
      </c>
      <c r="T461" s="14" t="s">
        <v>2185</v>
      </c>
      <c r="U461" s="60">
        <v>17</v>
      </c>
      <c r="V461" s="15" t="s">
        <v>2538</v>
      </c>
      <c r="W461" s="15"/>
      <c r="AC461" t="str">
        <f t="shared" si="2238"/>
        <v>A5.3</v>
      </c>
      <c r="AD461" s="43" cm="1">
        <f t="array" ref="AD461">IF(COUNTIFS(AC$379:AC461,AC461)=1,"1",VALUE(SUBSTITUTE(INDEX(AD:AD,_xlfn.XMATCH(AC461,AC$1:AC460,0,-1)),"A",""))+INDEX(AE:AE,_xlfn.XMATCH(AC461,AC$1:AC460,0,-1))+1)</f>
        <v>7</v>
      </c>
      <c r="AE461" s="43" cm="1">
        <f t="array" ref="AE461">SUM(IF(ISNUMBER(FIND("TmDi",$BE$1:$AAL$1)),IF(IFERROR(ISNUMBER(VALUE(SUBSTITUTE($BE461:$AAL461,"B",""))),FALSE),IF(ISNUMBER(VALUE(SUBSTITUTE($BE461:$AAL461,"B",""))),1,0),0)))</f>
        <v>5</v>
      </c>
      <c r="AF461" t="str">
        <f t="shared" si="2178"/>
        <v>C7</v>
      </c>
      <c r="AG461" t="str">
        <f t="shared" si="2179"/>
        <v>B7</v>
      </c>
      <c r="AH461" t="str">
        <f t="shared" si="2360"/>
        <v>A6.2</v>
      </c>
      <c r="AI461" s="73" cm="1">
        <f t="array" ref="AI461">IF(COUNTIFS(AH$379:AH461,AH461)=1,"1",VALUE(SUBSTITUTE(INDEX(AI:AI,_xlfn.XMATCH(AH461,AH$1:AH460,0,-1)),"A",""))+INDEX(AJ:AJ,_xlfn.XMATCH(AH461,AH$1:AH460,0,-1))+1)</f>
        <v>7</v>
      </c>
      <c r="AJ461" s="64" cm="1">
        <f t="array" ref="AJ461">SUM(IF(ISNUMBER(FIND("TmDo",$BE$1:$AAL$1)),IF(IFERROR(ISNUMBER(VALUE(SUBSTITUTE($BE461:$AAL461,"B",""))),FALSE),IF(ISNUMBER(VALUE(SUBSTITUTE($BE461:$AAL461,"B",""))),1,0),0)))</f>
        <v>2</v>
      </c>
      <c r="AK461" t="str">
        <f t="shared" si="2180"/>
        <v>7A</v>
      </c>
      <c r="AL461" t="str">
        <f t="shared" si="2181"/>
        <v>7B</v>
      </c>
      <c r="AM461" t="s">
        <v>181</v>
      </c>
      <c r="AP461" t="s">
        <v>2187</v>
      </c>
      <c r="AQ461" t="s">
        <v>2515</v>
      </c>
      <c r="AT461" t="s">
        <v>139</v>
      </c>
      <c r="AU461" t="s">
        <v>140</v>
      </c>
      <c r="BD461" s="16"/>
      <c r="BE461" s="27" t="str">
        <f t="shared" si="2361"/>
        <v>XT17</v>
      </c>
      <c r="BF461" t="str">
        <f t="shared" si="2362"/>
        <v>C8</v>
      </c>
      <c r="BG461" t="str">
        <f t="shared" si="2363"/>
        <v>B8</v>
      </c>
      <c r="BH461" t="str">
        <f t="shared" si="2364"/>
        <v>C9</v>
      </c>
      <c r="BI461" t="str">
        <f t="shared" si="2365"/>
        <v>B9</v>
      </c>
      <c r="BJ461" t="str">
        <f t="shared" si="2366"/>
        <v>C10</v>
      </c>
      <c r="BK461" t="str">
        <f t="shared" si="2367"/>
        <v>B10</v>
      </c>
      <c r="BL461" t="str">
        <f t="shared" si="2368"/>
        <v>C11</v>
      </c>
      <c r="BM461" t="str">
        <f t="shared" si="2369"/>
        <v>B11</v>
      </c>
      <c r="BN461" t="str">
        <f t="shared" si="2370"/>
        <v>C12</v>
      </c>
      <c r="BO461" t="str">
        <f t="shared" si="2371"/>
        <v>B12</v>
      </c>
      <c r="BP461" t="str">
        <f t="shared" si="2193"/>
        <v>8A</v>
      </c>
      <c r="BQ461" t="str">
        <f t="shared" si="2194"/>
        <v>8B</v>
      </c>
      <c r="BR461" t="str">
        <f t="shared" si="2195"/>
        <v>9A</v>
      </c>
      <c r="BS461" t="str">
        <f t="shared" si="2196"/>
        <v>9B</v>
      </c>
      <c r="BT461" t="str">
        <f t="shared" si="2372"/>
        <v>DI3-C7</v>
      </c>
      <c r="BU461" t="str">
        <f t="shared" si="2373"/>
        <v>DI3-B7</v>
      </c>
      <c r="BV461" t="str">
        <f t="shared" si="2374"/>
        <v>DI3-C8</v>
      </c>
      <c r="BW461" t="str">
        <f t="shared" si="2375"/>
        <v>DI3-B8</v>
      </c>
      <c r="BX461" t="str">
        <f t="shared" si="2376"/>
        <v>DI3-C9</v>
      </c>
      <c r="BY461" t="str">
        <f t="shared" si="2377"/>
        <v>DI3-B9</v>
      </c>
      <c r="BZ461" t="str">
        <f t="shared" si="2378"/>
        <v>DI3-C10</v>
      </c>
      <c r="CA461" t="str">
        <f t="shared" si="2379"/>
        <v>DI3-B10</v>
      </c>
      <c r="CB461" t="str">
        <f t="shared" si="2380"/>
        <v>DI3-C11</v>
      </c>
      <c r="CC461" t="str">
        <f t="shared" si="2381"/>
        <v>DI3-B11</v>
      </c>
      <c r="CD461" t="str">
        <f t="shared" si="2382"/>
        <v>DI3-C12</v>
      </c>
      <c r="CE461" t="str">
        <f t="shared" si="2383"/>
        <v>DI3-B12</v>
      </c>
      <c r="CF461" t="str">
        <f t="shared" si="2384"/>
        <v>DO2-7A</v>
      </c>
      <c r="CG461" t="str">
        <f t="shared" si="2385"/>
        <v>DO2-7B</v>
      </c>
      <c r="CH461" t="str">
        <f t="shared" si="2386"/>
        <v>DO2-8A</v>
      </c>
      <c r="CI461" t="str">
        <f t="shared" si="2387"/>
        <v>DO2-8B</v>
      </c>
      <c r="CJ461" t="str">
        <f t="shared" si="2388"/>
        <v>DO2-9A</v>
      </c>
      <c r="CK461" t="str">
        <f t="shared" si="2389"/>
        <v>DO2-9B</v>
      </c>
      <c r="CL461" t="str">
        <f t="shared" si="2215"/>
        <v>K17-10</v>
      </c>
      <c r="CM461" t="str">
        <f t="shared" si="2216"/>
        <v>K17-03</v>
      </c>
      <c r="CN461" t="str">
        <f t="shared" si="2217"/>
        <v>K17-04</v>
      </c>
      <c r="CO461" t="str">
        <f t="shared" si="2218"/>
        <v>K17-01</v>
      </c>
      <c r="CP461" t="str">
        <f t="shared" si="2219"/>
        <v>K17-08</v>
      </c>
      <c r="CQ461" t="str">
        <f t="shared" si="2220"/>
        <v>K17-02</v>
      </c>
      <c r="CR461" t="str">
        <f t="shared" si="2221"/>
        <v>K17-09</v>
      </c>
      <c r="CS461" t="str">
        <f t="shared" si="2222"/>
        <v>K17-05</v>
      </c>
      <c r="CT461" t="str">
        <f t="shared" si="2223"/>
        <v>K17-11</v>
      </c>
      <c r="CU461" t="str">
        <f t="shared" si="2224"/>
        <v>N1-M17-A9</v>
      </c>
      <c r="CV461" t="str">
        <f t="shared" si="2225"/>
        <v>N1-M17-A7</v>
      </c>
      <c r="CW461" t="str">
        <f t="shared" si="2226"/>
        <v>N1-M17-A8</v>
      </c>
      <c r="CX461" t="str">
        <f t="shared" si="2227"/>
        <v>N1-M17-A6</v>
      </c>
      <c r="CY461" t="str">
        <f t="shared" si="2228"/>
        <v>N1-M17-A30</v>
      </c>
      <c r="CZ461" t="str">
        <f t="shared" si="2229"/>
        <v>N1-M17-N</v>
      </c>
      <c r="DA461" t="str">
        <f t="shared" si="2390"/>
        <v>N1-A220-M17</v>
      </c>
      <c r="DB461" t="str">
        <f t="shared" si="2231"/>
        <v>N1-M17-XM01</v>
      </c>
      <c r="DC461" t="str">
        <f t="shared" si="2232"/>
        <v>N1-M17-A1</v>
      </c>
      <c r="DD461" t="str">
        <f t="shared" si="2233"/>
        <v>N1-M17-A5</v>
      </c>
      <c r="DE461" t="str">
        <f t="shared" si="2234"/>
        <v>N1-M17-A11</v>
      </c>
      <c r="DF461" t="str">
        <f t="shared" si="2235"/>
        <v>N1-M17-A12</v>
      </c>
      <c r="DG461" t="str">
        <f t="shared" si="2236"/>
        <v>N1-M17-A19</v>
      </c>
      <c r="DH461" t="str">
        <f t="shared" si="2237"/>
        <v>N1-M17-A20</v>
      </c>
      <c r="DI461" t="s">
        <v>142</v>
      </c>
      <c r="DJ461" t="s">
        <v>143</v>
      </c>
      <c r="DK461">
        <v>11</v>
      </c>
      <c r="DL461">
        <v>14</v>
      </c>
      <c r="DM461">
        <v>12</v>
      </c>
      <c r="DN461" t="s">
        <v>144</v>
      </c>
      <c r="DO461" t="s">
        <v>145</v>
      </c>
      <c r="DP461">
        <v>1</v>
      </c>
      <c r="DQ461">
        <v>2</v>
      </c>
      <c r="DR461">
        <v>3</v>
      </c>
      <c r="DS461">
        <v>4</v>
      </c>
      <c r="DT461">
        <v>5</v>
      </c>
      <c r="DU461">
        <v>6</v>
      </c>
      <c r="DV461">
        <v>7</v>
      </c>
      <c r="DW461">
        <v>8</v>
      </c>
      <c r="DX461">
        <v>9</v>
      </c>
      <c r="DY461">
        <v>10</v>
      </c>
      <c r="DZ461">
        <v>11</v>
      </c>
      <c r="EA461">
        <v>12</v>
      </c>
      <c r="EB461">
        <v>13</v>
      </c>
      <c r="EC461">
        <v>14</v>
      </c>
      <c r="ED461">
        <v>1</v>
      </c>
      <c r="EE461">
        <v>3</v>
      </c>
      <c r="EF461">
        <v>4</v>
      </c>
      <c r="EG461">
        <v>7</v>
      </c>
      <c r="EH461">
        <v>8</v>
      </c>
      <c r="EI461">
        <v>9</v>
      </c>
      <c r="EJ461">
        <v>10</v>
      </c>
      <c r="EK461">
        <v>13</v>
      </c>
      <c r="EL461">
        <v>14</v>
      </c>
      <c r="EM461">
        <v>15</v>
      </c>
      <c r="EN461">
        <v>16</v>
      </c>
      <c r="EO461">
        <v>22</v>
      </c>
      <c r="EP461">
        <v>23</v>
      </c>
      <c r="EQ461" s="16">
        <v>24</v>
      </c>
    </row>
    <row r="462" spans="1:550" x14ac:dyDescent="0.25">
      <c r="A462" s="67" t="s">
        <v>2557</v>
      </c>
      <c r="B462" t="s">
        <v>2556</v>
      </c>
      <c r="C462" s="3"/>
      <c r="O462" s="2"/>
      <c r="P462" t="s">
        <v>129</v>
      </c>
      <c r="Q462" s="1"/>
      <c r="S462" s="1" t="s">
        <v>130</v>
      </c>
      <c r="T462" s="14" t="s">
        <v>2185</v>
      </c>
      <c r="U462" s="60">
        <v>18</v>
      </c>
      <c r="V462" s="15" t="s">
        <v>2539</v>
      </c>
      <c r="W462" s="15"/>
      <c r="AC462" t="str">
        <f t="shared" si="2238"/>
        <v>A5.3</v>
      </c>
      <c r="AD462" s="43" cm="1">
        <f t="array" ref="AD462">IF(COUNTIFS(AC$379:AC462,AC462)=1,"1",VALUE(SUBSTITUTE(INDEX(AD:AD,_xlfn.XMATCH(AC462,AC$1:AC461,0,-1)),"A",""))+INDEX(AE:AE,_xlfn.XMATCH(AC462,AC$1:AC461,0,-1))+1)</f>
        <v>13</v>
      </c>
      <c r="AE462" s="43" cm="1">
        <f t="array" ref="AE462">SUM(IF(ISNUMBER(FIND("TmDi",$BE$1:$AAL$1)),IF(IFERROR(ISNUMBER(VALUE(SUBSTITUTE($BE462:$AAL462,"B",""))),FALSE),IF(ISNUMBER(VALUE(SUBSTITUTE($BE462:$AAL462,"B",""))),1,0),0)))</f>
        <v>5</v>
      </c>
      <c r="AF462" t="str">
        <f t="shared" si="2178"/>
        <v>C13</v>
      </c>
      <c r="AG462" t="str">
        <f t="shared" si="2179"/>
        <v>B13</v>
      </c>
      <c r="AH462" t="str">
        <f t="shared" si="2360"/>
        <v>A6.2</v>
      </c>
      <c r="AI462" s="73" cm="1">
        <f t="array" ref="AI462">IF(COUNTIFS(AH$379:AH462,AH462)=1,"1",VALUE(SUBSTITUTE(INDEX(AI:AI,_xlfn.XMATCH(AH462,AH$1:AH461,0,-1)),"A",""))+INDEX(AJ:AJ,_xlfn.XMATCH(AH462,AH$1:AH461,0,-1))+1)</f>
        <v>10</v>
      </c>
      <c r="AJ462" s="64" cm="1">
        <f t="array" ref="AJ462">SUM(IF(ISNUMBER(FIND("TmDo",$BE$1:$AAL$1)),IF(IFERROR(ISNUMBER(VALUE(SUBSTITUTE($BE462:$AAL462,"B",""))),FALSE),IF(ISNUMBER(VALUE(SUBSTITUTE($BE462:$AAL462,"B",""))),1,0),0)))</f>
        <v>2</v>
      </c>
      <c r="AK462" t="str">
        <f t="shared" si="2180"/>
        <v>10A</v>
      </c>
      <c r="AL462" t="str">
        <f t="shared" si="2181"/>
        <v>10B</v>
      </c>
      <c r="AM462" t="s">
        <v>184</v>
      </c>
      <c r="AP462" t="s">
        <v>2187</v>
      </c>
      <c r="AQ462" t="s">
        <v>2515</v>
      </c>
      <c r="AT462" t="s">
        <v>139</v>
      </c>
      <c r="AU462" t="s">
        <v>140</v>
      </c>
      <c r="BD462" s="16"/>
      <c r="BE462" s="27" t="str">
        <f t="shared" si="2361"/>
        <v>XT18</v>
      </c>
      <c r="BF462" t="str">
        <f t="shared" si="2362"/>
        <v>C14</v>
      </c>
      <c r="BG462" t="str">
        <f t="shared" si="2363"/>
        <v>B14</v>
      </c>
      <c r="BH462" t="str">
        <f t="shared" si="2364"/>
        <v>C15</v>
      </c>
      <c r="BI462" t="str">
        <f t="shared" si="2365"/>
        <v>B15</v>
      </c>
      <c r="BJ462" t="str">
        <f t="shared" si="2366"/>
        <v>C16</v>
      </c>
      <c r="BK462" t="str">
        <f t="shared" si="2367"/>
        <v>B16</v>
      </c>
      <c r="BL462" t="str">
        <f t="shared" si="2368"/>
        <v>C17</v>
      </c>
      <c r="BM462" t="str">
        <f t="shared" si="2369"/>
        <v>B17</v>
      </c>
      <c r="BN462" t="str">
        <f t="shared" si="2370"/>
        <v>C18</v>
      </c>
      <c r="BO462" t="str">
        <f t="shared" si="2371"/>
        <v>B18</v>
      </c>
      <c r="BP462" t="str">
        <f t="shared" si="2193"/>
        <v>11A</v>
      </c>
      <c r="BQ462" t="str">
        <f t="shared" si="2194"/>
        <v>11B</v>
      </c>
      <c r="BR462" t="str">
        <f t="shared" si="2195"/>
        <v>12A</v>
      </c>
      <c r="BS462" t="str">
        <f t="shared" si="2196"/>
        <v>12B</v>
      </c>
      <c r="BT462" t="str">
        <f t="shared" si="2372"/>
        <v>DI3-C13</v>
      </c>
      <c r="BU462" t="str">
        <f t="shared" si="2373"/>
        <v>DI3-B13</v>
      </c>
      <c r="BV462" t="str">
        <f t="shared" si="2374"/>
        <v>DI3-C14</v>
      </c>
      <c r="BW462" t="str">
        <f t="shared" si="2375"/>
        <v>DI3-B14</v>
      </c>
      <c r="BX462" t="str">
        <f t="shared" si="2376"/>
        <v>DI3-C15</v>
      </c>
      <c r="BY462" t="str">
        <f t="shared" si="2377"/>
        <v>DI3-B15</v>
      </c>
      <c r="BZ462" t="str">
        <f t="shared" si="2378"/>
        <v>DI3-C16</v>
      </c>
      <c r="CA462" t="str">
        <f t="shared" si="2379"/>
        <v>DI3-B16</v>
      </c>
      <c r="CB462" t="str">
        <f t="shared" si="2380"/>
        <v>DI3-C17</v>
      </c>
      <c r="CC462" t="str">
        <f t="shared" si="2381"/>
        <v>DI3-B17</v>
      </c>
      <c r="CD462" t="str">
        <f t="shared" si="2382"/>
        <v>DI3-C18</v>
      </c>
      <c r="CE462" t="str">
        <f t="shared" si="2383"/>
        <v>DI3-B18</v>
      </c>
      <c r="CF462" t="str">
        <f t="shared" si="2384"/>
        <v>DO2-10A</v>
      </c>
      <c r="CG462" t="str">
        <f t="shared" si="2385"/>
        <v>DO2-10B</v>
      </c>
      <c r="CH462" t="str">
        <f t="shared" si="2386"/>
        <v>DO2-11A</v>
      </c>
      <c r="CI462" t="str">
        <f t="shared" si="2387"/>
        <v>DO2-11B</v>
      </c>
      <c r="CJ462" t="str">
        <f t="shared" si="2388"/>
        <v>DO2-12A</v>
      </c>
      <c r="CK462" t="str">
        <f t="shared" si="2389"/>
        <v>DO2-12B</v>
      </c>
      <c r="CL462" t="str">
        <f t="shared" si="2215"/>
        <v>K18-10</v>
      </c>
      <c r="CM462" t="str">
        <f t="shared" si="2216"/>
        <v>K18-03</v>
      </c>
      <c r="CN462" t="str">
        <f t="shared" si="2217"/>
        <v>K18-04</v>
      </c>
      <c r="CO462" t="str">
        <f t="shared" si="2218"/>
        <v>K18-01</v>
      </c>
      <c r="CP462" t="str">
        <f t="shared" si="2219"/>
        <v>K18-08</v>
      </c>
      <c r="CQ462" t="str">
        <f t="shared" si="2220"/>
        <v>K18-02</v>
      </c>
      <c r="CR462" t="str">
        <f t="shared" si="2221"/>
        <v>K18-09</v>
      </c>
      <c r="CS462" t="str">
        <f t="shared" si="2222"/>
        <v>K18-05</v>
      </c>
      <c r="CT462" t="str">
        <f t="shared" si="2223"/>
        <v>K18-11</v>
      </c>
      <c r="CU462" t="str">
        <f t="shared" si="2224"/>
        <v>N1-M18-A9</v>
      </c>
      <c r="CV462" t="str">
        <f t="shared" si="2225"/>
        <v>N1-M18-A7</v>
      </c>
      <c r="CW462" t="str">
        <f t="shared" si="2226"/>
        <v>N1-M18-A8</v>
      </c>
      <c r="CX462" t="str">
        <f t="shared" si="2227"/>
        <v>N1-M18-A6</v>
      </c>
      <c r="CY462" t="str">
        <f t="shared" si="2228"/>
        <v>N1-M18-A30</v>
      </c>
      <c r="CZ462" t="str">
        <f t="shared" si="2229"/>
        <v>N1-M18-N</v>
      </c>
      <c r="DA462" t="str">
        <f t="shared" si="2390"/>
        <v>N1-A220-M18</v>
      </c>
      <c r="DB462" t="str">
        <f t="shared" si="2231"/>
        <v>N1-M18-XM01</v>
      </c>
      <c r="DC462" t="str">
        <f t="shared" si="2232"/>
        <v>N1-M18-A1</v>
      </c>
      <c r="DD462" t="str">
        <f t="shared" si="2233"/>
        <v>N1-M18-A5</v>
      </c>
      <c r="DE462" t="str">
        <f t="shared" si="2234"/>
        <v>N1-M18-A11</v>
      </c>
      <c r="DF462" t="str">
        <f t="shared" si="2235"/>
        <v>N1-M18-A12</v>
      </c>
      <c r="DG462" t="str">
        <f t="shared" si="2236"/>
        <v>N1-M18-A19</v>
      </c>
      <c r="DH462" t="str">
        <f t="shared" si="2237"/>
        <v>N1-M18-A20</v>
      </c>
      <c r="DI462" t="s">
        <v>142</v>
      </c>
      <c r="DJ462" t="s">
        <v>143</v>
      </c>
      <c r="DK462">
        <v>11</v>
      </c>
      <c r="DL462">
        <v>14</v>
      </c>
      <c r="DM462">
        <v>12</v>
      </c>
      <c r="DN462" t="s">
        <v>144</v>
      </c>
      <c r="DO462" t="s">
        <v>145</v>
      </c>
      <c r="DP462">
        <v>1</v>
      </c>
      <c r="DQ462">
        <v>2</v>
      </c>
      <c r="DR462">
        <v>3</v>
      </c>
      <c r="DS462">
        <v>4</v>
      </c>
      <c r="DT462">
        <v>5</v>
      </c>
      <c r="DU462">
        <v>6</v>
      </c>
      <c r="DV462">
        <v>7</v>
      </c>
      <c r="DW462">
        <v>8</v>
      </c>
      <c r="DX462">
        <v>9</v>
      </c>
      <c r="DY462">
        <v>10</v>
      </c>
      <c r="DZ462">
        <v>11</v>
      </c>
      <c r="EA462">
        <v>12</v>
      </c>
      <c r="EB462">
        <v>13</v>
      </c>
      <c r="EC462">
        <v>14</v>
      </c>
      <c r="ED462">
        <v>1</v>
      </c>
      <c r="EE462">
        <v>3</v>
      </c>
      <c r="EF462">
        <v>4</v>
      </c>
      <c r="EG462">
        <v>7</v>
      </c>
      <c r="EH462">
        <v>8</v>
      </c>
      <c r="EI462">
        <v>9</v>
      </c>
      <c r="EJ462">
        <v>10</v>
      </c>
      <c r="EK462">
        <v>13</v>
      </c>
      <c r="EL462">
        <v>14</v>
      </c>
      <c r="EM462">
        <v>15</v>
      </c>
      <c r="EN462">
        <v>16</v>
      </c>
      <c r="EO462">
        <v>22</v>
      </c>
      <c r="EP462">
        <v>23</v>
      </c>
      <c r="EQ462" s="16">
        <v>24</v>
      </c>
    </row>
    <row r="463" spans="1:550" x14ac:dyDescent="0.25">
      <c r="A463" s="67" t="s">
        <v>2559</v>
      </c>
      <c r="B463" t="s">
        <v>2558</v>
      </c>
      <c r="C463" s="3"/>
      <c r="O463" s="2"/>
      <c r="P463" t="s">
        <v>129</v>
      </c>
      <c r="Q463" s="1"/>
      <c r="S463" s="1" t="s">
        <v>130</v>
      </c>
      <c r="T463" s="14" t="s">
        <v>2185</v>
      </c>
      <c r="U463" s="60">
        <v>19</v>
      </c>
      <c r="V463" s="15" t="s">
        <v>2540</v>
      </c>
      <c r="W463" s="15"/>
      <c r="AC463" t="str">
        <f t="shared" si="2238"/>
        <v>A5.3</v>
      </c>
      <c r="AD463" s="43" cm="1">
        <f t="array" ref="AD463">IF(COUNTIFS(AC$379:AC463,AC463)=1,"1",VALUE(SUBSTITUTE(INDEX(AD:AD,_xlfn.XMATCH(AC463,AC$1:AC462,0,-1)),"A",""))+INDEX(AE:AE,_xlfn.XMATCH(AC463,AC$1:AC462,0,-1))+1)</f>
        <v>19</v>
      </c>
      <c r="AE463" s="43" cm="1">
        <f t="array" ref="AE463">SUM(IF(ISNUMBER(FIND("TmDi",$BE$1:$AAL$1)),IF(IFERROR(ISNUMBER(VALUE(SUBSTITUTE($BE463:$AAL463,"B",""))),FALSE),IF(ISNUMBER(VALUE(SUBSTITUTE($BE463:$AAL463,"B",""))),1,0),0)))</f>
        <v>5</v>
      </c>
      <c r="AF463" t="str">
        <f t="shared" si="2178"/>
        <v>C19</v>
      </c>
      <c r="AG463" t="str">
        <f t="shared" si="2179"/>
        <v>B19</v>
      </c>
      <c r="AH463" t="str">
        <f t="shared" si="2360"/>
        <v>A6.2</v>
      </c>
      <c r="AI463" s="73" cm="1">
        <f t="array" ref="AI463">IF(COUNTIFS(AH$379:AH463,AH463)=1,"1",VALUE(SUBSTITUTE(INDEX(AI:AI,_xlfn.XMATCH(AH463,AH$1:AH462,0,-1)),"A",""))+INDEX(AJ:AJ,_xlfn.XMATCH(AH463,AH$1:AH462,0,-1))+1)</f>
        <v>13</v>
      </c>
      <c r="AJ463" s="64" cm="1">
        <f t="array" ref="AJ463">SUM(IF(ISNUMBER(FIND("TmDo",$BE$1:$AAL$1)),IF(IFERROR(ISNUMBER(VALUE(SUBSTITUTE($BE463:$AAL463,"B",""))),FALSE),IF(ISNUMBER(VALUE(SUBSTITUTE($BE463:$AAL463,"B",""))),1,0),0)))</f>
        <v>2</v>
      </c>
      <c r="AK463" t="str">
        <f t="shared" si="2180"/>
        <v>13A</v>
      </c>
      <c r="AL463" t="str">
        <f t="shared" si="2181"/>
        <v>13B</v>
      </c>
      <c r="AM463" t="s">
        <v>187</v>
      </c>
      <c r="AP463" t="s">
        <v>2187</v>
      </c>
      <c r="AQ463" t="s">
        <v>2515</v>
      </c>
      <c r="AT463" t="s">
        <v>139</v>
      </c>
      <c r="AU463" t="s">
        <v>140</v>
      </c>
      <c r="BD463" s="16"/>
      <c r="BE463" s="27" t="str">
        <f t="shared" si="2361"/>
        <v>XT19</v>
      </c>
      <c r="BF463" t="str">
        <f t="shared" si="2362"/>
        <v>C20</v>
      </c>
      <c r="BG463" t="str">
        <f t="shared" si="2363"/>
        <v>B20</v>
      </c>
      <c r="BH463" t="str">
        <f t="shared" si="2364"/>
        <v>C21</v>
      </c>
      <c r="BI463" t="str">
        <f t="shared" si="2365"/>
        <v>B21</v>
      </c>
      <c r="BJ463" t="str">
        <f t="shared" si="2366"/>
        <v>C22</v>
      </c>
      <c r="BK463" t="str">
        <f t="shared" si="2367"/>
        <v>B22</v>
      </c>
      <c r="BL463" t="str">
        <f t="shared" si="2368"/>
        <v>C23</v>
      </c>
      <c r="BM463" t="str">
        <f t="shared" si="2369"/>
        <v>B23</v>
      </c>
      <c r="BN463" t="str">
        <f t="shared" si="2370"/>
        <v>C24</v>
      </c>
      <c r="BO463" t="str">
        <f t="shared" si="2371"/>
        <v>B24</v>
      </c>
      <c r="BP463" t="str">
        <f t="shared" si="2193"/>
        <v>14A</v>
      </c>
      <c r="BQ463" t="str">
        <f t="shared" si="2194"/>
        <v>14B</v>
      </c>
      <c r="BR463" t="str">
        <f t="shared" si="2195"/>
        <v>15A</v>
      </c>
      <c r="BS463" t="str">
        <f t="shared" si="2196"/>
        <v>15B</v>
      </c>
      <c r="BT463" t="str">
        <f t="shared" si="2372"/>
        <v>DI3-C19</v>
      </c>
      <c r="BU463" t="str">
        <f t="shared" si="2373"/>
        <v>DI3-B19</v>
      </c>
      <c r="BV463" t="str">
        <f t="shared" si="2374"/>
        <v>DI3-C20</v>
      </c>
      <c r="BW463" t="str">
        <f t="shared" si="2375"/>
        <v>DI3-B20</v>
      </c>
      <c r="BX463" t="str">
        <f t="shared" si="2376"/>
        <v>DI3-C21</v>
      </c>
      <c r="BY463" t="str">
        <f t="shared" si="2377"/>
        <v>DI3-B21</v>
      </c>
      <c r="BZ463" t="str">
        <f t="shared" si="2378"/>
        <v>DI3-C22</v>
      </c>
      <c r="CA463" t="str">
        <f t="shared" si="2379"/>
        <v>DI3-B22</v>
      </c>
      <c r="CB463" t="str">
        <f t="shared" si="2380"/>
        <v>DI3-C23</v>
      </c>
      <c r="CC463" t="str">
        <f t="shared" si="2381"/>
        <v>DI3-B23</v>
      </c>
      <c r="CD463" t="str">
        <f t="shared" si="2382"/>
        <v>DI3-C24</v>
      </c>
      <c r="CE463" t="str">
        <f t="shared" si="2383"/>
        <v>DI3-B24</v>
      </c>
      <c r="CF463" t="str">
        <f t="shared" si="2384"/>
        <v>DO2-13A</v>
      </c>
      <c r="CG463" t="str">
        <f t="shared" si="2385"/>
        <v>DO2-13B</v>
      </c>
      <c r="CH463" t="str">
        <f t="shared" si="2386"/>
        <v>DO2-14A</v>
      </c>
      <c r="CI463" t="str">
        <f t="shared" si="2387"/>
        <v>DO2-14B</v>
      </c>
      <c r="CJ463" t="str">
        <f t="shared" si="2388"/>
        <v>DO2-15A</v>
      </c>
      <c r="CK463" t="str">
        <f t="shared" si="2389"/>
        <v>DO2-15B</v>
      </c>
      <c r="CL463" t="str">
        <f t="shared" si="2215"/>
        <v>K19-10</v>
      </c>
      <c r="CM463" t="str">
        <f t="shared" si="2216"/>
        <v>K19-03</v>
      </c>
      <c r="CN463" t="str">
        <f t="shared" si="2217"/>
        <v>K19-04</v>
      </c>
      <c r="CO463" t="str">
        <f t="shared" si="2218"/>
        <v>K19-01</v>
      </c>
      <c r="CP463" t="str">
        <f t="shared" si="2219"/>
        <v>K19-08</v>
      </c>
      <c r="CQ463" t="str">
        <f t="shared" si="2220"/>
        <v>K19-02</v>
      </c>
      <c r="CR463" t="str">
        <f t="shared" si="2221"/>
        <v>K19-09</v>
      </c>
      <c r="CS463" t="str">
        <f t="shared" si="2222"/>
        <v>K19-05</v>
      </c>
      <c r="CT463" t="str">
        <f t="shared" si="2223"/>
        <v>K19-11</v>
      </c>
      <c r="CU463" t="str">
        <f t="shared" si="2224"/>
        <v>N1-M19-A9</v>
      </c>
      <c r="CV463" t="str">
        <f t="shared" si="2225"/>
        <v>N1-M19-A7</v>
      </c>
      <c r="CW463" t="str">
        <f t="shared" si="2226"/>
        <v>N1-M19-A8</v>
      </c>
      <c r="CX463" t="str">
        <f t="shared" si="2227"/>
        <v>N1-M19-A6</v>
      </c>
      <c r="CY463" t="str">
        <f t="shared" si="2228"/>
        <v>N1-M19-A30</v>
      </c>
      <c r="CZ463" t="str">
        <f t="shared" si="2229"/>
        <v>N1-M19-N</v>
      </c>
      <c r="DA463" t="str">
        <f t="shared" si="2390"/>
        <v>N1-A220-M19</v>
      </c>
      <c r="DB463" t="str">
        <f t="shared" si="2231"/>
        <v>N1-M19-XM01</v>
      </c>
      <c r="DC463" t="str">
        <f t="shared" si="2232"/>
        <v>N1-M19-A1</v>
      </c>
      <c r="DD463" t="str">
        <f t="shared" si="2233"/>
        <v>N1-M19-A5</v>
      </c>
      <c r="DE463" t="str">
        <f t="shared" si="2234"/>
        <v>N1-M19-A11</v>
      </c>
      <c r="DF463" t="str">
        <f t="shared" si="2235"/>
        <v>N1-M19-A12</v>
      </c>
      <c r="DG463" t="str">
        <f t="shared" si="2236"/>
        <v>N1-M19-A19</v>
      </c>
      <c r="DH463" t="str">
        <f t="shared" si="2237"/>
        <v>N1-M19-A20</v>
      </c>
      <c r="DI463" t="s">
        <v>142</v>
      </c>
      <c r="DJ463" t="s">
        <v>143</v>
      </c>
      <c r="DK463">
        <v>11</v>
      </c>
      <c r="DL463">
        <v>14</v>
      </c>
      <c r="DM463">
        <v>12</v>
      </c>
      <c r="DN463" t="s">
        <v>144</v>
      </c>
      <c r="DO463" t="s">
        <v>145</v>
      </c>
      <c r="DP463">
        <v>1</v>
      </c>
      <c r="DQ463">
        <v>2</v>
      </c>
      <c r="DR463">
        <v>3</v>
      </c>
      <c r="DS463">
        <v>4</v>
      </c>
      <c r="DT463">
        <v>5</v>
      </c>
      <c r="DU463">
        <v>6</v>
      </c>
      <c r="DV463">
        <v>7</v>
      </c>
      <c r="DW463">
        <v>8</v>
      </c>
      <c r="DX463">
        <v>9</v>
      </c>
      <c r="DY463">
        <v>10</v>
      </c>
      <c r="DZ463">
        <v>11</v>
      </c>
      <c r="EA463">
        <v>12</v>
      </c>
      <c r="EB463">
        <v>13</v>
      </c>
      <c r="EC463">
        <v>14</v>
      </c>
      <c r="ED463">
        <v>1</v>
      </c>
      <c r="EE463">
        <v>3</v>
      </c>
      <c r="EF463">
        <v>4</v>
      </c>
      <c r="EG463">
        <v>7</v>
      </c>
      <c r="EH463">
        <v>8</v>
      </c>
      <c r="EI463">
        <v>9</v>
      </c>
      <c r="EJ463">
        <v>10</v>
      </c>
      <c r="EK463">
        <v>13</v>
      </c>
      <c r="EL463">
        <v>14</v>
      </c>
      <c r="EM463">
        <v>15</v>
      </c>
      <c r="EN463">
        <v>16</v>
      </c>
      <c r="EO463">
        <v>22</v>
      </c>
      <c r="EP463">
        <v>23</v>
      </c>
      <c r="EQ463" s="16">
        <v>24</v>
      </c>
    </row>
    <row r="464" spans="1:550" x14ac:dyDescent="0.25">
      <c r="A464" s="67" t="s">
        <v>2561</v>
      </c>
      <c r="B464" t="s">
        <v>2560</v>
      </c>
      <c r="C464" s="3"/>
      <c r="O464" s="2"/>
      <c r="P464" t="s">
        <v>129</v>
      </c>
      <c r="Q464" s="1"/>
      <c r="S464" s="1" t="s">
        <v>130</v>
      </c>
      <c r="T464" s="14" t="s">
        <v>2185</v>
      </c>
      <c r="U464" s="60">
        <v>20</v>
      </c>
      <c r="V464" s="15" t="s">
        <v>2541</v>
      </c>
      <c r="W464" s="15"/>
      <c r="AC464" t="str">
        <f t="shared" si="2238"/>
        <v>A5.3</v>
      </c>
      <c r="AD464" s="43" cm="1">
        <f t="array" ref="AD464">IF(COUNTIFS(AC$379:AC464,AC464)=1,"1",VALUE(SUBSTITUTE(INDEX(AD:AD,_xlfn.XMATCH(AC464,AC$1:AC463,0,-1)),"A",""))+INDEX(AE:AE,_xlfn.XMATCH(AC464,AC$1:AC463,0,-1))+1)</f>
        <v>25</v>
      </c>
      <c r="AE464" s="43" cm="1">
        <f t="array" ref="AE464">SUM(IF(ISNUMBER(FIND("TmDi",$BE$1:$AAL$1)),IF(IFERROR(ISNUMBER(VALUE(SUBSTITUTE($BE464:$AAL464,"B",""))),FALSE),IF(ISNUMBER(VALUE(SUBSTITUTE($BE464:$AAL464,"B",""))),1,0),0)))</f>
        <v>5</v>
      </c>
      <c r="AF464" t="str">
        <f t="shared" si="2178"/>
        <v>C25</v>
      </c>
      <c r="AG464" t="str">
        <f t="shared" si="2179"/>
        <v>B25</v>
      </c>
      <c r="AH464" t="str">
        <f t="shared" si="2360"/>
        <v>A6.2</v>
      </c>
      <c r="AI464" s="73" cm="1">
        <f t="array" ref="AI464">IF(COUNTIFS(AH$379:AH464,AH464)=1,"1",VALUE(SUBSTITUTE(INDEX(AI:AI,_xlfn.XMATCH(AH464,AH$1:AH463,0,-1)),"A",""))+INDEX(AJ:AJ,_xlfn.XMATCH(AH464,AH$1:AH463,0,-1))+1)</f>
        <v>16</v>
      </c>
      <c r="AJ464" s="64" cm="1">
        <f t="array" ref="AJ464">SUM(IF(ISNUMBER(FIND("TmDo",$BE$1:$AAL$1)),IF(IFERROR(ISNUMBER(VALUE(SUBSTITUTE($BE464:$AAL464,"B",""))),FALSE),IF(ISNUMBER(VALUE(SUBSTITUTE($BE464:$AAL464,"B",""))),1,0),0)))</f>
        <v>2</v>
      </c>
      <c r="AK464" t="str">
        <f t="shared" si="2180"/>
        <v>16A</v>
      </c>
      <c r="AL464" t="str">
        <f t="shared" si="2181"/>
        <v>16B</v>
      </c>
      <c r="AM464" t="s">
        <v>190</v>
      </c>
      <c r="AP464" t="s">
        <v>2187</v>
      </c>
      <c r="AQ464" t="s">
        <v>2515</v>
      </c>
      <c r="AT464" t="s">
        <v>139</v>
      </c>
      <c r="AU464" t="s">
        <v>140</v>
      </c>
      <c r="BD464" s="16"/>
      <c r="BE464" s="27" t="str">
        <f t="shared" si="2361"/>
        <v>XT20</v>
      </c>
      <c r="BF464" t="str">
        <f t="shared" si="2362"/>
        <v>C26</v>
      </c>
      <c r="BG464" t="str">
        <f t="shared" si="2363"/>
        <v>B26</v>
      </c>
      <c r="BH464" t="str">
        <f t="shared" si="2364"/>
        <v>C27</v>
      </c>
      <c r="BI464" t="str">
        <f t="shared" si="2365"/>
        <v>B27</v>
      </c>
      <c r="BJ464" t="str">
        <f t="shared" si="2366"/>
        <v>C28</v>
      </c>
      <c r="BK464" t="str">
        <f t="shared" si="2367"/>
        <v>B28</v>
      </c>
      <c r="BL464" t="str">
        <f t="shared" si="2368"/>
        <v>C29</v>
      </c>
      <c r="BM464" t="str">
        <f t="shared" si="2369"/>
        <v>B29</v>
      </c>
      <c r="BN464" t="str">
        <f t="shared" si="2370"/>
        <v>C30</v>
      </c>
      <c r="BO464" t="str">
        <f t="shared" si="2371"/>
        <v>B30</v>
      </c>
      <c r="BP464" t="str">
        <f t="shared" si="2193"/>
        <v>17A</v>
      </c>
      <c r="BQ464" t="str">
        <f t="shared" si="2194"/>
        <v>17B</v>
      </c>
      <c r="BR464" t="str">
        <f t="shared" si="2195"/>
        <v>18A</v>
      </c>
      <c r="BS464" t="str">
        <f t="shared" si="2196"/>
        <v>18B</v>
      </c>
      <c r="BT464" t="str">
        <f t="shared" si="2372"/>
        <v>DI3-C25</v>
      </c>
      <c r="BU464" t="str">
        <f t="shared" si="2373"/>
        <v>DI3-B25</v>
      </c>
      <c r="BV464" t="str">
        <f t="shared" si="2374"/>
        <v>DI3-C26</v>
      </c>
      <c r="BW464" t="str">
        <f t="shared" si="2375"/>
        <v>DI3-B26</v>
      </c>
      <c r="BX464" t="str">
        <f t="shared" si="2376"/>
        <v>DI3-C27</v>
      </c>
      <c r="BY464" t="str">
        <f t="shared" si="2377"/>
        <v>DI3-B27</v>
      </c>
      <c r="BZ464" t="str">
        <f t="shared" si="2378"/>
        <v>DI3-C28</v>
      </c>
      <c r="CA464" t="str">
        <f t="shared" si="2379"/>
        <v>DI3-B28</v>
      </c>
      <c r="CB464" t="str">
        <f t="shared" si="2380"/>
        <v>DI3-C29</v>
      </c>
      <c r="CC464" t="str">
        <f t="shared" si="2381"/>
        <v>DI3-B29</v>
      </c>
      <c r="CD464" t="str">
        <f t="shared" si="2382"/>
        <v>DI3-C30</v>
      </c>
      <c r="CE464" t="str">
        <f t="shared" si="2383"/>
        <v>DI3-B30</v>
      </c>
      <c r="CF464" t="str">
        <f t="shared" si="2384"/>
        <v>DO2-16A</v>
      </c>
      <c r="CG464" t="str">
        <f t="shared" si="2385"/>
        <v>DO2-16B</v>
      </c>
      <c r="CH464" t="str">
        <f t="shared" si="2386"/>
        <v>DO2-17A</v>
      </c>
      <c r="CI464" t="str">
        <f t="shared" si="2387"/>
        <v>DO2-17B</v>
      </c>
      <c r="CJ464" t="str">
        <f t="shared" si="2388"/>
        <v>DO2-18A</v>
      </c>
      <c r="CK464" t="str">
        <f t="shared" si="2389"/>
        <v>DO2-18B</v>
      </c>
      <c r="CL464" t="str">
        <f t="shared" si="2215"/>
        <v>K20-10</v>
      </c>
      <c r="CM464" t="str">
        <f t="shared" si="2216"/>
        <v>K20-03</v>
      </c>
      <c r="CN464" t="str">
        <f t="shared" si="2217"/>
        <v>K20-04</v>
      </c>
      <c r="CO464" t="str">
        <f t="shared" si="2218"/>
        <v>K20-01</v>
      </c>
      <c r="CP464" t="str">
        <f t="shared" si="2219"/>
        <v>K20-08</v>
      </c>
      <c r="CQ464" t="str">
        <f t="shared" si="2220"/>
        <v>K20-02</v>
      </c>
      <c r="CR464" t="str">
        <f t="shared" si="2221"/>
        <v>K20-09</v>
      </c>
      <c r="CS464" t="str">
        <f t="shared" si="2222"/>
        <v>K20-05</v>
      </c>
      <c r="CT464" t="str">
        <f t="shared" si="2223"/>
        <v>K20-11</v>
      </c>
      <c r="CU464" t="str">
        <f t="shared" si="2224"/>
        <v>N1-M20-A9</v>
      </c>
      <c r="CV464" t="str">
        <f t="shared" si="2225"/>
        <v>N1-M20-A7</v>
      </c>
      <c r="CW464" t="str">
        <f t="shared" si="2226"/>
        <v>N1-M20-A8</v>
      </c>
      <c r="CX464" t="str">
        <f t="shared" si="2227"/>
        <v>N1-M20-A6</v>
      </c>
      <c r="CY464" t="str">
        <f t="shared" si="2228"/>
        <v>N1-M20-A30</v>
      </c>
      <c r="CZ464" t="str">
        <f t="shared" si="2229"/>
        <v>N1-M20-N</v>
      </c>
      <c r="DA464" t="str">
        <f t="shared" si="2390"/>
        <v>N1-A220-M20</v>
      </c>
      <c r="DB464" t="str">
        <f t="shared" si="2231"/>
        <v>N1-M20-XM01</v>
      </c>
      <c r="DC464" t="str">
        <f t="shared" si="2232"/>
        <v>N1-M20-A1</v>
      </c>
      <c r="DD464" t="str">
        <f t="shared" si="2233"/>
        <v>N1-M20-A5</v>
      </c>
      <c r="DE464" t="str">
        <f t="shared" si="2234"/>
        <v>N1-M20-A11</v>
      </c>
      <c r="DF464" t="str">
        <f t="shared" si="2235"/>
        <v>N1-M20-A12</v>
      </c>
      <c r="DG464" t="str">
        <f t="shared" si="2236"/>
        <v>N1-M20-A19</v>
      </c>
      <c r="DH464" t="str">
        <f t="shared" si="2237"/>
        <v>N1-M20-A20</v>
      </c>
      <c r="DI464" t="s">
        <v>142</v>
      </c>
      <c r="DJ464" t="s">
        <v>143</v>
      </c>
      <c r="DK464">
        <v>11</v>
      </c>
      <c r="DL464">
        <v>14</v>
      </c>
      <c r="DM464">
        <v>12</v>
      </c>
      <c r="DN464" t="s">
        <v>144</v>
      </c>
      <c r="DO464" t="s">
        <v>145</v>
      </c>
      <c r="DP464">
        <v>1</v>
      </c>
      <c r="DQ464">
        <v>2</v>
      </c>
      <c r="DR464">
        <v>3</v>
      </c>
      <c r="DS464">
        <v>4</v>
      </c>
      <c r="DT464">
        <v>5</v>
      </c>
      <c r="DU464">
        <v>6</v>
      </c>
      <c r="DV464">
        <v>7</v>
      </c>
      <c r="DW464">
        <v>8</v>
      </c>
      <c r="DX464">
        <v>9</v>
      </c>
      <c r="DY464">
        <v>10</v>
      </c>
      <c r="DZ464">
        <v>11</v>
      </c>
      <c r="EA464">
        <v>12</v>
      </c>
      <c r="EB464">
        <v>13</v>
      </c>
      <c r="EC464">
        <v>14</v>
      </c>
      <c r="ED464">
        <v>1</v>
      </c>
      <c r="EE464">
        <v>3</v>
      </c>
      <c r="EF464">
        <v>4</v>
      </c>
      <c r="EG464">
        <v>7</v>
      </c>
      <c r="EH464">
        <v>8</v>
      </c>
      <c r="EI464">
        <v>9</v>
      </c>
      <c r="EJ464">
        <v>10</v>
      </c>
      <c r="EK464">
        <v>13</v>
      </c>
      <c r="EL464">
        <v>14</v>
      </c>
      <c r="EM464">
        <v>15</v>
      </c>
      <c r="EN464">
        <v>16</v>
      </c>
      <c r="EO464">
        <v>22</v>
      </c>
      <c r="EP464">
        <v>23</v>
      </c>
      <c r="EQ464" s="16">
        <v>24</v>
      </c>
    </row>
    <row r="465" spans="1:147" x14ac:dyDescent="0.25">
      <c r="A465" s="67" t="s">
        <v>2563</v>
      </c>
      <c r="B465" t="s">
        <v>2562</v>
      </c>
      <c r="C465" s="3"/>
      <c r="O465" s="2"/>
      <c r="P465" t="s">
        <v>129</v>
      </c>
      <c r="Q465" s="1"/>
      <c r="S465" s="1" t="s">
        <v>130</v>
      </c>
      <c r="T465" s="14" t="s">
        <v>2185</v>
      </c>
      <c r="U465" s="60">
        <v>21</v>
      </c>
      <c r="V465" s="15" t="s">
        <v>2542</v>
      </c>
      <c r="W465" s="15"/>
      <c r="AC465" t="str">
        <f t="shared" si="2238"/>
        <v>A5.4</v>
      </c>
      <c r="AD465" s="43" t="str" cm="1">
        <f t="array" ref="AD465">IF(COUNTIFS(AC$379:AC465,AC465)=1,"1",VALUE(SUBSTITUTE(INDEX(AD:AD,_xlfn.XMATCH(AC465,AC$1:AC464,0,-1)),"A",""))+INDEX(AE:AE,_xlfn.XMATCH(AC465,AC$1:AC464,0,-1))+1)</f>
        <v>1</v>
      </c>
      <c r="AE465" s="43" cm="1">
        <f t="array" ref="AE465">SUM(IF(ISNUMBER(FIND("TmDi",$BE$1:$AAL$1)),IF(IFERROR(ISNUMBER(VALUE(SUBSTITUTE($BE465:$AAL465,"B",""))),FALSE),IF(ISNUMBER(VALUE(SUBSTITUTE($BE465:$AAL465,"B",""))),1,0),0)))</f>
        <v>5</v>
      </c>
      <c r="AF465" t="str">
        <f t="shared" si="2178"/>
        <v>C1</v>
      </c>
      <c r="AG465" t="str">
        <f t="shared" si="2179"/>
        <v>B1</v>
      </c>
      <c r="AH465" t="str">
        <f t="shared" si="2360"/>
        <v>A6.2</v>
      </c>
      <c r="AI465" s="73" cm="1">
        <f t="array" ref="AI465">IF(COUNTIFS(AH$379:AH465,AH465)=1,"1",VALUE(SUBSTITUTE(INDEX(AI:AI,_xlfn.XMATCH(AH465,AH$1:AH464,0,-1)),"A",""))+INDEX(AJ:AJ,_xlfn.XMATCH(AH465,AH$1:AH464,0,-1))+1)</f>
        <v>19</v>
      </c>
      <c r="AJ465" s="64" cm="1">
        <f t="array" ref="AJ465">SUM(IF(ISNUMBER(FIND("TmDo",$BE$1:$AAL$1)),IF(IFERROR(ISNUMBER(VALUE(SUBSTITUTE($BE465:$AAL465,"B",""))),FALSE),IF(ISNUMBER(VALUE(SUBSTITUTE($BE465:$AAL465,"B",""))),1,0),0)))</f>
        <v>2</v>
      </c>
      <c r="AK465" t="str">
        <f t="shared" si="2180"/>
        <v>19A</v>
      </c>
      <c r="AL465" t="str">
        <f t="shared" si="2181"/>
        <v>19B</v>
      </c>
      <c r="AM465" t="s">
        <v>193</v>
      </c>
      <c r="AP465" t="s">
        <v>2187</v>
      </c>
      <c r="AQ465" t="s">
        <v>2515</v>
      </c>
      <c r="AT465" t="s">
        <v>139</v>
      </c>
      <c r="AU465" t="s">
        <v>140</v>
      </c>
      <c r="BD465" s="16"/>
      <c r="BE465" s="27" t="str">
        <f t="shared" si="2361"/>
        <v>XT21</v>
      </c>
      <c r="BF465" t="str">
        <f t="shared" si="2362"/>
        <v>C2</v>
      </c>
      <c r="BG465" t="str">
        <f t="shared" si="2363"/>
        <v>B2</v>
      </c>
      <c r="BH465" t="str">
        <f t="shared" si="2364"/>
        <v>C3</v>
      </c>
      <c r="BI465" t="str">
        <f t="shared" si="2365"/>
        <v>B3</v>
      </c>
      <c r="BJ465" t="str">
        <f t="shared" si="2366"/>
        <v>C4</v>
      </c>
      <c r="BK465" t="str">
        <f t="shared" si="2367"/>
        <v>B4</v>
      </c>
      <c r="BL465" t="str">
        <f t="shared" si="2368"/>
        <v>C5</v>
      </c>
      <c r="BM465" t="str">
        <f t="shared" si="2369"/>
        <v>B5</v>
      </c>
      <c r="BN465" t="str">
        <f t="shared" si="2370"/>
        <v>C6</v>
      </c>
      <c r="BO465" t="str">
        <f t="shared" si="2371"/>
        <v>B6</v>
      </c>
      <c r="BP465" t="str">
        <f t="shared" si="2193"/>
        <v>20A</v>
      </c>
      <c r="BQ465" t="str">
        <f t="shared" si="2194"/>
        <v>20B</v>
      </c>
      <c r="BR465" t="str">
        <f t="shared" si="2195"/>
        <v>21A</v>
      </c>
      <c r="BS465" t="str">
        <f t="shared" si="2196"/>
        <v>21B</v>
      </c>
      <c r="BT465" t="str">
        <f t="shared" si="2372"/>
        <v>DI4-C1</v>
      </c>
      <c r="BU465" t="str">
        <f t="shared" si="2373"/>
        <v>DI4-B1</v>
      </c>
      <c r="BV465" t="str">
        <f t="shared" si="2374"/>
        <v>DI4-C2</v>
      </c>
      <c r="BW465" t="str">
        <f t="shared" si="2375"/>
        <v>DI4-B2</v>
      </c>
      <c r="BX465" t="str">
        <f t="shared" si="2376"/>
        <v>DI4-C3</v>
      </c>
      <c r="BY465" t="str">
        <f t="shared" si="2377"/>
        <v>DI4-B3</v>
      </c>
      <c r="BZ465" t="str">
        <f t="shared" si="2378"/>
        <v>DI4-C4</v>
      </c>
      <c r="CA465" t="str">
        <f t="shared" si="2379"/>
        <v>DI4-B4</v>
      </c>
      <c r="CB465" t="str">
        <f t="shared" si="2380"/>
        <v>DI4-C5</v>
      </c>
      <c r="CC465" t="str">
        <f t="shared" si="2381"/>
        <v>DI4-B5</v>
      </c>
      <c r="CD465" t="str">
        <f t="shared" si="2382"/>
        <v>DI4-C6</v>
      </c>
      <c r="CE465" t="str">
        <f t="shared" si="2383"/>
        <v>DI4-B6</v>
      </c>
      <c r="CF465" t="str">
        <f t="shared" si="2384"/>
        <v>DO2-19A</v>
      </c>
      <c r="CG465" t="str">
        <f t="shared" si="2385"/>
        <v>DO2-19B</v>
      </c>
      <c r="CH465" t="str">
        <f t="shared" si="2386"/>
        <v>DO2-20A</v>
      </c>
      <c r="CI465" t="str">
        <f t="shared" si="2387"/>
        <v>DO2-20B</v>
      </c>
      <c r="CJ465" t="str">
        <f t="shared" si="2388"/>
        <v>DO2-21A</v>
      </c>
      <c r="CK465" t="str">
        <f t="shared" si="2389"/>
        <v>DO2-21B</v>
      </c>
      <c r="CL465" t="str">
        <f t="shared" si="2215"/>
        <v>K21-10</v>
      </c>
      <c r="CM465" t="str">
        <f t="shared" si="2216"/>
        <v>K21-03</v>
      </c>
      <c r="CN465" t="str">
        <f t="shared" si="2217"/>
        <v>K21-04</v>
      </c>
      <c r="CO465" t="str">
        <f t="shared" si="2218"/>
        <v>K21-01</v>
      </c>
      <c r="CP465" t="str">
        <f t="shared" si="2219"/>
        <v>K21-08</v>
      </c>
      <c r="CQ465" t="str">
        <f t="shared" si="2220"/>
        <v>K21-02</v>
      </c>
      <c r="CR465" t="str">
        <f t="shared" si="2221"/>
        <v>K21-09</v>
      </c>
      <c r="CS465" t="str">
        <f t="shared" si="2222"/>
        <v>K21-05</v>
      </c>
      <c r="CT465" t="str">
        <f t="shared" si="2223"/>
        <v>K21-11</v>
      </c>
      <c r="CU465" t="str">
        <f t="shared" si="2224"/>
        <v>N1-M21-A9</v>
      </c>
      <c r="CV465" t="str">
        <f t="shared" si="2225"/>
        <v>N1-M21-A7</v>
      </c>
      <c r="CW465" t="str">
        <f t="shared" si="2226"/>
        <v>N1-M21-A8</v>
      </c>
      <c r="CX465" t="str">
        <f t="shared" si="2227"/>
        <v>N1-M21-A6</v>
      </c>
      <c r="CY465" t="str">
        <f t="shared" si="2228"/>
        <v>N1-M21-A30</v>
      </c>
      <c r="CZ465" t="str">
        <f t="shared" si="2229"/>
        <v>N1-M21-N</v>
      </c>
      <c r="DA465" t="str">
        <f t="shared" si="2390"/>
        <v>N1-A220-M21</v>
      </c>
      <c r="DB465" t="str">
        <f t="shared" si="2231"/>
        <v>N1-M21-XM01</v>
      </c>
      <c r="DC465" t="str">
        <f t="shared" si="2232"/>
        <v>N1-M21-A1</v>
      </c>
      <c r="DD465" t="str">
        <f t="shared" si="2233"/>
        <v>N1-M21-A5</v>
      </c>
      <c r="DE465" t="str">
        <f t="shared" si="2234"/>
        <v>N1-M21-A11</v>
      </c>
      <c r="DF465" t="str">
        <f t="shared" si="2235"/>
        <v>N1-M21-A12</v>
      </c>
      <c r="DG465" t="str">
        <f t="shared" si="2236"/>
        <v>N1-M21-A19</v>
      </c>
      <c r="DH465" t="str">
        <f t="shared" si="2237"/>
        <v>N1-M21-A20</v>
      </c>
      <c r="DI465" t="s">
        <v>142</v>
      </c>
      <c r="DJ465" t="s">
        <v>143</v>
      </c>
      <c r="DK465">
        <v>11</v>
      </c>
      <c r="DL465">
        <v>14</v>
      </c>
      <c r="DM465">
        <v>12</v>
      </c>
      <c r="DN465" t="s">
        <v>144</v>
      </c>
      <c r="DO465" t="s">
        <v>145</v>
      </c>
      <c r="DP465">
        <v>1</v>
      </c>
      <c r="DQ465">
        <v>2</v>
      </c>
      <c r="DR465">
        <v>3</v>
      </c>
      <c r="DS465">
        <v>4</v>
      </c>
      <c r="DT465">
        <v>5</v>
      </c>
      <c r="DU465">
        <v>6</v>
      </c>
      <c r="DV465">
        <v>7</v>
      </c>
      <c r="DW465">
        <v>8</v>
      </c>
      <c r="DX465">
        <v>9</v>
      </c>
      <c r="DY465">
        <v>10</v>
      </c>
      <c r="DZ465">
        <v>11</v>
      </c>
      <c r="EA465">
        <v>12</v>
      </c>
      <c r="EB465">
        <v>13</v>
      </c>
      <c r="EC465">
        <v>14</v>
      </c>
      <c r="ED465">
        <v>1</v>
      </c>
      <c r="EE465">
        <v>3</v>
      </c>
      <c r="EF465">
        <v>4</v>
      </c>
      <c r="EG465">
        <v>7</v>
      </c>
      <c r="EH465">
        <v>8</v>
      </c>
      <c r="EI465">
        <v>9</v>
      </c>
      <c r="EJ465">
        <v>10</v>
      </c>
      <c r="EK465">
        <v>13</v>
      </c>
      <c r="EL465">
        <v>14</v>
      </c>
      <c r="EM465">
        <v>15</v>
      </c>
      <c r="EN465">
        <v>16</v>
      </c>
      <c r="EO465">
        <v>22</v>
      </c>
      <c r="EP465">
        <v>23</v>
      </c>
      <c r="EQ465" s="16">
        <v>24</v>
      </c>
    </row>
    <row r="466" spans="1:147" x14ac:dyDescent="0.25">
      <c r="A466" s="67" t="s">
        <v>2565</v>
      </c>
      <c r="B466" t="s">
        <v>2564</v>
      </c>
      <c r="C466" s="3"/>
      <c r="O466" s="2"/>
      <c r="P466" t="s">
        <v>129</v>
      </c>
      <c r="Q466" s="1"/>
      <c r="S466" s="1" t="s">
        <v>130</v>
      </c>
      <c r="T466" s="14" t="s">
        <v>2185</v>
      </c>
      <c r="U466" s="60">
        <v>22</v>
      </c>
      <c r="V466" s="15" t="s">
        <v>2543</v>
      </c>
      <c r="W466" s="15"/>
      <c r="AC466" t="str">
        <f t="shared" si="2238"/>
        <v>A5.4</v>
      </c>
      <c r="AD466" s="43" cm="1">
        <f t="array" ref="AD466">IF(COUNTIFS(AC$379:AC466,AC466)=1,"1",VALUE(SUBSTITUTE(INDEX(AD:AD,_xlfn.XMATCH(AC466,AC$1:AC465,0,-1)),"A",""))+INDEX(AE:AE,_xlfn.XMATCH(AC466,AC$1:AC465,0,-1))+1)</f>
        <v>7</v>
      </c>
      <c r="AE466" s="43" cm="1">
        <f t="array" ref="AE466">SUM(IF(ISNUMBER(FIND("TmDi",$BE$1:$AAL$1)),IF(IFERROR(ISNUMBER(VALUE(SUBSTITUTE($BE466:$AAL466,"B",""))),FALSE),IF(ISNUMBER(VALUE(SUBSTITUTE($BE466:$AAL466,"B",""))),1,0),0)))</f>
        <v>5</v>
      </c>
      <c r="AF466" t="str">
        <f t="shared" si="2178"/>
        <v>C7</v>
      </c>
      <c r="AG466" t="str">
        <f t="shared" si="2179"/>
        <v>B7</v>
      </c>
      <c r="AH466" t="str">
        <f t="shared" si="2360"/>
        <v>A6.2</v>
      </c>
      <c r="AI466" s="73" cm="1">
        <f t="array" ref="AI466">IF(COUNTIFS(AH$379:AH466,AH466)=1,"1",VALUE(SUBSTITUTE(INDEX(AI:AI,_xlfn.XMATCH(AH466,AH$1:AH465,0,-1)),"A",""))+INDEX(AJ:AJ,_xlfn.XMATCH(AH466,AH$1:AH465,0,-1))+1)</f>
        <v>22</v>
      </c>
      <c r="AJ466" s="64" cm="1">
        <f t="array" ref="AJ466">SUM(IF(ISNUMBER(FIND("TmDo",$BE$1:$AAL$1)),IF(IFERROR(ISNUMBER(VALUE(SUBSTITUTE($BE466:$AAL466,"B",""))),FALSE),IF(ISNUMBER(VALUE(SUBSTITUTE($BE466:$AAL466,"B",""))),1,0),0)))</f>
        <v>2</v>
      </c>
      <c r="AK466" t="str">
        <f t="shared" si="2180"/>
        <v>22A</v>
      </c>
      <c r="AL466" t="str">
        <f t="shared" si="2181"/>
        <v>22B</v>
      </c>
      <c r="AM466" t="s">
        <v>196</v>
      </c>
      <c r="AP466" t="s">
        <v>2187</v>
      </c>
      <c r="AQ466" t="s">
        <v>2515</v>
      </c>
      <c r="AT466" t="s">
        <v>139</v>
      </c>
      <c r="AU466" t="s">
        <v>140</v>
      </c>
      <c r="BD466" s="16"/>
      <c r="BE466" s="27" t="str">
        <f t="shared" si="2361"/>
        <v>XT22</v>
      </c>
      <c r="BF466" t="str">
        <f t="shared" si="2362"/>
        <v>C8</v>
      </c>
      <c r="BG466" t="str">
        <f t="shared" si="2363"/>
        <v>B8</v>
      </c>
      <c r="BH466" t="str">
        <f t="shared" si="2364"/>
        <v>C9</v>
      </c>
      <c r="BI466" t="str">
        <f t="shared" si="2365"/>
        <v>B9</v>
      </c>
      <c r="BJ466" t="str">
        <f t="shared" si="2366"/>
        <v>C10</v>
      </c>
      <c r="BK466" t="str">
        <f t="shared" si="2367"/>
        <v>B10</v>
      </c>
      <c r="BL466" t="str">
        <f t="shared" si="2368"/>
        <v>C11</v>
      </c>
      <c r="BM466" t="str">
        <f t="shared" si="2369"/>
        <v>B11</v>
      </c>
      <c r="BN466" t="str">
        <f t="shared" si="2370"/>
        <v>C12</v>
      </c>
      <c r="BO466" t="str">
        <f t="shared" si="2371"/>
        <v>B12</v>
      </c>
      <c r="BP466" t="str">
        <f t="shared" si="2193"/>
        <v>23A</v>
      </c>
      <c r="BQ466" t="str">
        <f t="shared" si="2194"/>
        <v>23B</v>
      </c>
      <c r="BR466" t="str">
        <f t="shared" si="2195"/>
        <v>24A</v>
      </c>
      <c r="BS466" t="str">
        <f t="shared" si="2196"/>
        <v>24B</v>
      </c>
      <c r="BT466" t="str">
        <f t="shared" si="2372"/>
        <v>DI4-C7</v>
      </c>
      <c r="BU466" t="str">
        <f t="shared" si="2373"/>
        <v>DI4-B7</v>
      </c>
      <c r="BV466" t="str">
        <f t="shared" si="2374"/>
        <v>DI4-C8</v>
      </c>
      <c r="BW466" t="str">
        <f t="shared" si="2375"/>
        <v>DI4-B8</v>
      </c>
      <c r="BX466" t="str">
        <f t="shared" si="2376"/>
        <v>DI4-C9</v>
      </c>
      <c r="BY466" t="str">
        <f t="shared" si="2377"/>
        <v>DI4-B9</v>
      </c>
      <c r="BZ466" t="str">
        <f t="shared" si="2378"/>
        <v>DI4-C10</v>
      </c>
      <c r="CA466" t="str">
        <f t="shared" si="2379"/>
        <v>DI4-B10</v>
      </c>
      <c r="CB466" t="str">
        <f t="shared" si="2380"/>
        <v>DI4-C11</v>
      </c>
      <c r="CC466" t="str">
        <f t="shared" si="2381"/>
        <v>DI4-B11</v>
      </c>
      <c r="CD466" t="str">
        <f t="shared" si="2382"/>
        <v>DI4-C12</v>
      </c>
      <c r="CE466" t="str">
        <f t="shared" si="2383"/>
        <v>DI4-B12</v>
      </c>
      <c r="CF466" t="str">
        <f t="shared" si="2384"/>
        <v>DO2-22A</v>
      </c>
      <c r="CG466" t="str">
        <f t="shared" si="2385"/>
        <v>DO2-22B</v>
      </c>
      <c r="CH466" t="str">
        <f t="shared" si="2386"/>
        <v>DO2-23A</v>
      </c>
      <c r="CI466" t="str">
        <f t="shared" si="2387"/>
        <v>DO2-23B</v>
      </c>
      <c r="CJ466" t="str">
        <f t="shared" si="2388"/>
        <v>DO2-24A</v>
      </c>
      <c r="CK466" t="str">
        <f t="shared" si="2389"/>
        <v>DO2-24B</v>
      </c>
      <c r="CL466" t="str">
        <f t="shared" si="2215"/>
        <v>K22-10</v>
      </c>
      <c r="CM466" t="str">
        <f t="shared" si="2216"/>
        <v>K22-03</v>
      </c>
      <c r="CN466" t="str">
        <f t="shared" si="2217"/>
        <v>K22-04</v>
      </c>
      <c r="CO466" t="str">
        <f t="shared" si="2218"/>
        <v>K22-01</v>
      </c>
      <c r="CP466" t="str">
        <f t="shared" si="2219"/>
        <v>K22-08</v>
      </c>
      <c r="CQ466" t="str">
        <f t="shared" si="2220"/>
        <v>K22-02</v>
      </c>
      <c r="CR466" t="str">
        <f t="shared" si="2221"/>
        <v>K22-09</v>
      </c>
      <c r="CS466" t="str">
        <f t="shared" si="2222"/>
        <v>K22-05</v>
      </c>
      <c r="CT466" t="str">
        <f t="shared" si="2223"/>
        <v>K22-11</v>
      </c>
      <c r="CU466" t="str">
        <f t="shared" si="2224"/>
        <v>N1-M22-A9</v>
      </c>
      <c r="CV466" t="str">
        <f t="shared" si="2225"/>
        <v>N1-M22-A7</v>
      </c>
      <c r="CW466" t="str">
        <f t="shared" si="2226"/>
        <v>N1-M22-A8</v>
      </c>
      <c r="CX466" t="str">
        <f t="shared" si="2227"/>
        <v>N1-M22-A6</v>
      </c>
      <c r="CY466" t="str">
        <f t="shared" si="2228"/>
        <v>N1-M22-A30</v>
      </c>
      <c r="CZ466" t="str">
        <f t="shared" si="2229"/>
        <v>N1-M22-N</v>
      </c>
      <c r="DA466" t="str">
        <f t="shared" si="2390"/>
        <v>N1-A220-M22</v>
      </c>
      <c r="DB466" t="str">
        <f t="shared" si="2231"/>
        <v>N1-M22-XM01</v>
      </c>
      <c r="DC466" t="str">
        <f t="shared" si="2232"/>
        <v>N1-M22-A1</v>
      </c>
      <c r="DD466" t="str">
        <f t="shared" si="2233"/>
        <v>N1-M22-A5</v>
      </c>
      <c r="DE466" t="str">
        <f t="shared" si="2234"/>
        <v>N1-M22-A11</v>
      </c>
      <c r="DF466" t="str">
        <f t="shared" si="2235"/>
        <v>N1-M22-A12</v>
      </c>
      <c r="DG466" t="str">
        <f t="shared" si="2236"/>
        <v>N1-M22-A19</v>
      </c>
      <c r="DH466" t="str">
        <f t="shared" si="2237"/>
        <v>N1-M22-A20</v>
      </c>
      <c r="DI466" t="s">
        <v>142</v>
      </c>
      <c r="DJ466" t="s">
        <v>143</v>
      </c>
      <c r="DK466">
        <v>11</v>
      </c>
      <c r="DL466">
        <v>14</v>
      </c>
      <c r="DM466">
        <v>12</v>
      </c>
      <c r="DN466" t="s">
        <v>144</v>
      </c>
      <c r="DO466" t="s">
        <v>145</v>
      </c>
      <c r="DP466">
        <v>1</v>
      </c>
      <c r="DQ466">
        <v>2</v>
      </c>
      <c r="DR466">
        <v>3</v>
      </c>
      <c r="DS466">
        <v>4</v>
      </c>
      <c r="DT466">
        <v>5</v>
      </c>
      <c r="DU466">
        <v>6</v>
      </c>
      <c r="DV466">
        <v>7</v>
      </c>
      <c r="DW466">
        <v>8</v>
      </c>
      <c r="DX466">
        <v>9</v>
      </c>
      <c r="DY466">
        <v>10</v>
      </c>
      <c r="DZ466">
        <v>11</v>
      </c>
      <c r="EA466">
        <v>12</v>
      </c>
      <c r="EB466">
        <v>13</v>
      </c>
      <c r="EC466">
        <v>14</v>
      </c>
      <c r="ED466">
        <v>1</v>
      </c>
      <c r="EE466">
        <v>3</v>
      </c>
      <c r="EF466">
        <v>4</v>
      </c>
      <c r="EG466">
        <v>7</v>
      </c>
      <c r="EH466">
        <v>8</v>
      </c>
      <c r="EI466">
        <v>9</v>
      </c>
      <c r="EJ466">
        <v>10</v>
      </c>
      <c r="EK466">
        <v>13</v>
      </c>
      <c r="EL466">
        <v>14</v>
      </c>
      <c r="EM466">
        <v>15</v>
      </c>
      <c r="EN466">
        <v>16</v>
      </c>
      <c r="EO466">
        <v>22</v>
      </c>
      <c r="EP466">
        <v>23</v>
      </c>
      <c r="EQ466" s="16">
        <v>24</v>
      </c>
    </row>
    <row r="467" spans="1:147" x14ac:dyDescent="0.25">
      <c r="A467" s="67" t="s">
        <v>2567</v>
      </c>
      <c r="B467" t="s">
        <v>2566</v>
      </c>
      <c r="C467" s="3"/>
      <c r="O467" s="2"/>
      <c r="P467" t="s">
        <v>129</v>
      </c>
      <c r="Q467" s="1"/>
      <c r="S467" s="1" t="s">
        <v>130</v>
      </c>
      <c r="T467" s="14" t="s">
        <v>2185</v>
      </c>
      <c r="U467" s="60">
        <v>23</v>
      </c>
      <c r="V467" s="15" t="s">
        <v>2544</v>
      </c>
      <c r="W467" s="15"/>
      <c r="AC467" t="str">
        <f t="shared" si="2238"/>
        <v>A5.4</v>
      </c>
      <c r="AD467" s="43" cm="1">
        <f t="array" ref="AD467">IF(COUNTIFS(AC$379:AC467,AC467)=1,"1",VALUE(SUBSTITUTE(INDEX(AD:AD,_xlfn.XMATCH(AC467,AC$1:AC466,0,-1)),"A",""))+INDEX(AE:AE,_xlfn.XMATCH(AC467,AC$1:AC466,0,-1))+1)</f>
        <v>13</v>
      </c>
      <c r="AE467" s="43" cm="1">
        <f t="array" ref="AE467">SUM(IF(ISNUMBER(FIND("TmDi",$BE$1:$AAL$1)),IF(IFERROR(ISNUMBER(VALUE(SUBSTITUTE($BE467:$AAL467,"B",""))),FALSE),IF(ISNUMBER(VALUE(SUBSTITUTE($BE467:$AAL467,"B",""))),1,0),0)))</f>
        <v>5</v>
      </c>
      <c r="AF467" t="str">
        <f t="shared" si="2178"/>
        <v>C13</v>
      </c>
      <c r="AG467" t="str">
        <f t="shared" si="2179"/>
        <v>B13</v>
      </c>
      <c r="AH467" t="str">
        <f t="shared" si="2360"/>
        <v>A6.2</v>
      </c>
      <c r="AI467" s="73" cm="1">
        <f t="array" ref="AI467">IF(COUNTIFS(AH$379:AH467,AH467)=1,"1",VALUE(SUBSTITUTE(INDEX(AI:AI,_xlfn.XMATCH(AH467,AH$1:AH466,0,-1)),"A",""))+INDEX(AJ:AJ,_xlfn.XMATCH(AH467,AH$1:AH466,0,-1))+1)</f>
        <v>25</v>
      </c>
      <c r="AJ467" s="64" cm="1">
        <f t="array" ref="AJ467">SUM(IF(ISNUMBER(FIND("TmDo",$BE$1:$AAL$1)),IF(IFERROR(ISNUMBER(VALUE(SUBSTITUTE($BE467:$AAL467,"B",""))),FALSE),IF(ISNUMBER(VALUE(SUBSTITUTE($BE467:$AAL467,"B",""))),1,0),0)))</f>
        <v>2</v>
      </c>
      <c r="AK467" t="str">
        <f t="shared" si="2180"/>
        <v>25A</v>
      </c>
      <c r="AL467" t="str">
        <f t="shared" si="2181"/>
        <v>25B</v>
      </c>
      <c r="AM467" t="s">
        <v>199</v>
      </c>
      <c r="AP467" t="s">
        <v>2187</v>
      </c>
      <c r="AQ467" t="s">
        <v>2515</v>
      </c>
      <c r="AT467" t="s">
        <v>139</v>
      </c>
      <c r="AU467" t="s">
        <v>140</v>
      </c>
      <c r="BD467" s="16"/>
      <c r="BE467" s="27" t="str">
        <f t="shared" si="2361"/>
        <v>XT23</v>
      </c>
      <c r="BF467" t="str">
        <f t="shared" si="2362"/>
        <v>C14</v>
      </c>
      <c r="BG467" t="str">
        <f t="shared" si="2363"/>
        <v>B14</v>
      </c>
      <c r="BH467" t="str">
        <f t="shared" si="2364"/>
        <v>C15</v>
      </c>
      <c r="BI467" t="str">
        <f t="shared" si="2365"/>
        <v>B15</v>
      </c>
      <c r="BJ467" t="str">
        <f t="shared" si="2366"/>
        <v>C16</v>
      </c>
      <c r="BK467" t="str">
        <f t="shared" si="2367"/>
        <v>B16</v>
      </c>
      <c r="BL467" t="str">
        <f t="shared" si="2368"/>
        <v>C17</v>
      </c>
      <c r="BM467" t="str">
        <f t="shared" si="2369"/>
        <v>B17</v>
      </c>
      <c r="BN467" t="str">
        <f t="shared" si="2370"/>
        <v>C18</v>
      </c>
      <c r="BO467" t="str">
        <f t="shared" si="2371"/>
        <v>B18</v>
      </c>
      <c r="BP467" t="str">
        <f t="shared" si="2193"/>
        <v>26A</v>
      </c>
      <c r="BQ467" t="str">
        <f t="shared" si="2194"/>
        <v>26B</v>
      </c>
      <c r="BR467" t="str">
        <f t="shared" si="2195"/>
        <v>27A</v>
      </c>
      <c r="BS467" t="str">
        <f t="shared" si="2196"/>
        <v>27B</v>
      </c>
      <c r="BT467" t="str">
        <f t="shared" si="2372"/>
        <v>DI4-C13</v>
      </c>
      <c r="BU467" t="str">
        <f t="shared" si="2373"/>
        <v>DI4-B13</v>
      </c>
      <c r="BV467" t="str">
        <f t="shared" si="2374"/>
        <v>DI4-C14</v>
      </c>
      <c r="BW467" t="str">
        <f t="shared" si="2375"/>
        <v>DI4-B14</v>
      </c>
      <c r="BX467" t="str">
        <f t="shared" si="2376"/>
        <v>DI4-C15</v>
      </c>
      <c r="BY467" t="str">
        <f t="shared" si="2377"/>
        <v>DI4-B15</v>
      </c>
      <c r="BZ467" t="str">
        <f t="shared" si="2378"/>
        <v>DI4-C16</v>
      </c>
      <c r="CA467" t="str">
        <f t="shared" si="2379"/>
        <v>DI4-B16</v>
      </c>
      <c r="CB467" t="str">
        <f t="shared" si="2380"/>
        <v>DI4-C17</v>
      </c>
      <c r="CC467" t="str">
        <f t="shared" si="2381"/>
        <v>DI4-B17</v>
      </c>
      <c r="CD467" t="str">
        <f t="shared" si="2382"/>
        <v>DI4-C18</v>
      </c>
      <c r="CE467" t="str">
        <f t="shared" si="2383"/>
        <v>DI4-B18</v>
      </c>
      <c r="CF467" t="str">
        <f t="shared" si="2384"/>
        <v>DO2-25A</v>
      </c>
      <c r="CG467" t="str">
        <f t="shared" si="2385"/>
        <v>DO2-25B</v>
      </c>
      <c r="CH467" t="str">
        <f t="shared" si="2386"/>
        <v>DO2-26A</v>
      </c>
      <c r="CI467" t="str">
        <f t="shared" si="2387"/>
        <v>DO2-26B</v>
      </c>
      <c r="CJ467" t="str">
        <f t="shared" si="2388"/>
        <v>DO2-27A</v>
      </c>
      <c r="CK467" t="str">
        <f t="shared" si="2389"/>
        <v>DO2-27B</v>
      </c>
      <c r="CL467" t="str">
        <f t="shared" si="2215"/>
        <v>K23-10</v>
      </c>
      <c r="CM467" t="str">
        <f t="shared" si="2216"/>
        <v>K23-03</v>
      </c>
      <c r="CN467" t="str">
        <f t="shared" si="2217"/>
        <v>K23-04</v>
      </c>
      <c r="CO467" t="str">
        <f t="shared" si="2218"/>
        <v>K23-01</v>
      </c>
      <c r="CP467" t="str">
        <f t="shared" si="2219"/>
        <v>K23-08</v>
      </c>
      <c r="CQ467" t="str">
        <f t="shared" si="2220"/>
        <v>K23-02</v>
      </c>
      <c r="CR467" t="str">
        <f t="shared" si="2221"/>
        <v>K23-09</v>
      </c>
      <c r="CS467" t="str">
        <f t="shared" si="2222"/>
        <v>K23-05</v>
      </c>
      <c r="CT467" t="str">
        <f t="shared" si="2223"/>
        <v>K23-11</v>
      </c>
      <c r="CU467" t="str">
        <f t="shared" si="2224"/>
        <v>N1-M23-A9</v>
      </c>
      <c r="CV467" t="str">
        <f t="shared" si="2225"/>
        <v>N1-M23-A7</v>
      </c>
      <c r="CW467" t="str">
        <f t="shared" si="2226"/>
        <v>N1-M23-A8</v>
      </c>
      <c r="CX467" t="str">
        <f t="shared" si="2227"/>
        <v>N1-M23-A6</v>
      </c>
      <c r="CY467" t="str">
        <f t="shared" si="2228"/>
        <v>N1-M23-A30</v>
      </c>
      <c r="CZ467" t="str">
        <f t="shared" si="2229"/>
        <v>N1-M23-N</v>
      </c>
      <c r="DA467" t="str">
        <f t="shared" si="2390"/>
        <v>N1-A220-M23</v>
      </c>
      <c r="DB467" t="str">
        <f t="shared" si="2231"/>
        <v>N1-M23-XM01</v>
      </c>
      <c r="DC467" t="str">
        <f t="shared" si="2232"/>
        <v>N1-M23-A1</v>
      </c>
      <c r="DD467" t="str">
        <f t="shared" si="2233"/>
        <v>N1-M23-A5</v>
      </c>
      <c r="DE467" t="str">
        <f t="shared" si="2234"/>
        <v>N1-M23-A11</v>
      </c>
      <c r="DF467" t="str">
        <f t="shared" si="2235"/>
        <v>N1-M23-A12</v>
      </c>
      <c r="DG467" t="str">
        <f t="shared" si="2236"/>
        <v>N1-M23-A19</v>
      </c>
      <c r="DH467" t="str">
        <f t="shared" si="2237"/>
        <v>N1-M23-A20</v>
      </c>
      <c r="DI467" t="s">
        <v>142</v>
      </c>
      <c r="DJ467" t="s">
        <v>143</v>
      </c>
      <c r="DK467">
        <v>11</v>
      </c>
      <c r="DL467">
        <v>14</v>
      </c>
      <c r="DM467">
        <v>12</v>
      </c>
      <c r="DN467" t="s">
        <v>144</v>
      </c>
      <c r="DO467" t="s">
        <v>145</v>
      </c>
      <c r="DP467">
        <v>1</v>
      </c>
      <c r="DQ467">
        <v>2</v>
      </c>
      <c r="DR467">
        <v>3</v>
      </c>
      <c r="DS467">
        <v>4</v>
      </c>
      <c r="DT467">
        <v>5</v>
      </c>
      <c r="DU467">
        <v>6</v>
      </c>
      <c r="DV467">
        <v>7</v>
      </c>
      <c r="DW467">
        <v>8</v>
      </c>
      <c r="DX467">
        <v>9</v>
      </c>
      <c r="DY467">
        <v>10</v>
      </c>
      <c r="DZ467">
        <v>11</v>
      </c>
      <c r="EA467">
        <v>12</v>
      </c>
      <c r="EB467">
        <v>13</v>
      </c>
      <c r="EC467">
        <v>14</v>
      </c>
      <c r="ED467">
        <v>1</v>
      </c>
      <c r="EE467">
        <v>3</v>
      </c>
      <c r="EF467">
        <v>4</v>
      </c>
      <c r="EG467">
        <v>7</v>
      </c>
      <c r="EH467">
        <v>8</v>
      </c>
      <c r="EI467">
        <v>9</v>
      </c>
      <c r="EJ467">
        <v>10</v>
      </c>
      <c r="EK467">
        <v>13</v>
      </c>
      <c r="EL467">
        <v>14</v>
      </c>
      <c r="EM467">
        <v>15</v>
      </c>
      <c r="EN467">
        <v>16</v>
      </c>
      <c r="EO467">
        <v>22</v>
      </c>
      <c r="EP467">
        <v>23</v>
      </c>
      <c r="EQ467" s="16">
        <v>24</v>
      </c>
    </row>
    <row r="468" spans="1:147" x14ac:dyDescent="0.25">
      <c r="A468" s="67" t="s">
        <v>2569</v>
      </c>
      <c r="B468" t="s">
        <v>2568</v>
      </c>
      <c r="C468" s="3"/>
      <c r="O468" s="2"/>
      <c r="P468" t="s">
        <v>129</v>
      </c>
      <c r="Q468" s="1"/>
      <c r="S468" s="1" t="s">
        <v>130</v>
      </c>
      <c r="T468" s="14" t="s">
        <v>2185</v>
      </c>
      <c r="U468" s="60">
        <v>24</v>
      </c>
      <c r="V468" s="15" t="s">
        <v>2545</v>
      </c>
      <c r="W468" s="15"/>
      <c r="AC468" t="str">
        <f t="shared" si="2238"/>
        <v>A5.4</v>
      </c>
      <c r="AD468" s="43" cm="1">
        <f t="array" ref="AD468">IF(COUNTIFS(AC$379:AC468,AC468)=1,"1",VALUE(SUBSTITUTE(INDEX(AD:AD,_xlfn.XMATCH(AC468,AC$1:AC467,0,-1)),"A",""))+INDEX(AE:AE,_xlfn.XMATCH(AC468,AC$1:AC467,0,-1))+1)</f>
        <v>19</v>
      </c>
      <c r="AE468" s="43" cm="1">
        <f t="array" ref="AE468">SUM(IF(ISNUMBER(FIND("TmDi",$BE$1:$AAL$1)),IF(IFERROR(ISNUMBER(VALUE(SUBSTITUTE($BE468:$AAL468,"B",""))),FALSE),IF(ISNUMBER(VALUE(SUBSTITUTE($BE468:$AAL468,"B",""))),1,0),0)))</f>
        <v>5</v>
      </c>
      <c r="AF468" t="str">
        <f t="shared" si="2178"/>
        <v>C19</v>
      </c>
      <c r="AG468" t="str">
        <f t="shared" si="2179"/>
        <v>B19</v>
      </c>
      <c r="AH468" t="str">
        <f t="shared" si="2360"/>
        <v>A6.3</v>
      </c>
      <c r="AI468" s="73" t="str" cm="1">
        <f t="array" ref="AI468">IF(COUNTIFS(AH$379:AH468,AH468)=1,"1",VALUE(SUBSTITUTE(INDEX(AI:AI,_xlfn.XMATCH(AH468,AH$1:AH467,0,-1)),"A",""))+INDEX(AJ:AJ,_xlfn.XMATCH(AH468,AH$1:AH467,0,-1))+1)</f>
        <v>1</v>
      </c>
      <c r="AJ468" s="64" cm="1">
        <f t="array" ref="AJ468">SUM(IF(ISNUMBER(FIND("TmDo",$BE$1:$AAL$1)),IF(IFERROR(ISNUMBER(VALUE(SUBSTITUTE($BE468:$AAL468,"B",""))),FALSE),IF(ISNUMBER(VALUE(SUBSTITUTE($BE468:$AAL468,"B",""))),1,0),0)))</f>
        <v>2</v>
      </c>
      <c r="AK468" t="str">
        <f t="shared" si="2180"/>
        <v>1A</v>
      </c>
      <c r="AL468" t="str">
        <f t="shared" si="2181"/>
        <v>1B</v>
      </c>
      <c r="AM468" t="s">
        <v>202</v>
      </c>
      <c r="AP468" t="s">
        <v>2187</v>
      </c>
      <c r="AQ468" t="s">
        <v>2515</v>
      </c>
      <c r="AT468" t="s">
        <v>139</v>
      </c>
      <c r="AU468" t="s">
        <v>140</v>
      </c>
      <c r="BD468" s="16"/>
      <c r="BE468" s="27" t="str">
        <f t="shared" si="2361"/>
        <v>XT24</v>
      </c>
      <c r="BF468" t="str">
        <f t="shared" si="2362"/>
        <v>C20</v>
      </c>
      <c r="BG468" t="str">
        <f t="shared" si="2363"/>
        <v>B20</v>
      </c>
      <c r="BH468" t="str">
        <f t="shared" si="2364"/>
        <v>C21</v>
      </c>
      <c r="BI468" t="str">
        <f t="shared" si="2365"/>
        <v>B21</v>
      </c>
      <c r="BJ468" t="str">
        <f t="shared" si="2366"/>
        <v>C22</v>
      </c>
      <c r="BK468" t="str">
        <f t="shared" si="2367"/>
        <v>B22</v>
      </c>
      <c r="BL468" t="str">
        <f t="shared" si="2368"/>
        <v>C23</v>
      </c>
      <c r="BM468" t="str">
        <f t="shared" si="2369"/>
        <v>B23</v>
      </c>
      <c r="BN468" t="str">
        <f t="shared" si="2370"/>
        <v>C24</v>
      </c>
      <c r="BO468" t="str">
        <f t="shared" si="2371"/>
        <v>B24</v>
      </c>
      <c r="BP468" t="str">
        <f t="shared" si="2193"/>
        <v>2A</v>
      </c>
      <c r="BQ468" t="str">
        <f t="shared" si="2194"/>
        <v>2B</v>
      </c>
      <c r="BR468" t="str">
        <f t="shared" si="2195"/>
        <v>3A</v>
      </c>
      <c r="BS468" t="str">
        <f t="shared" si="2196"/>
        <v>3B</v>
      </c>
      <c r="BT468" t="str">
        <f t="shared" si="2372"/>
        <v>DI4-C19</v>
      </c>
      <c r="BU468" t="str">
        <f t="shared" si="2373"/>
        <v>DI4-B19</v>
      </c>
      <c r="BV468" t="str">
        <f t="shared" si="2374"/>
        <v>DI4-C20</v>
      </c>
      <c r="BW468" t="str">
        <f t="shared" si="2375"/>
        <v>DI4-B20</v>
      </c>
      <c r="BX468" t="str">
        <f t="shared" si="2376"/>
        <v>DI4-C21</v>
      </c>
      <c r="BY468" t="str">
        <f t="shared" si="2377"/>
        <v>DI4-B21</v>
      </c>
      <c r="BZ468" t="str">
        <f t="shared" si="2378"/>
        <v>DI4-C22</v>
      </c>
      <c r="CA468" t="str">
        <f t="shared" si="2379"/>
        <v>DI4-B22</v>
      </c>
      <c r="CB468" t="str">
        <f t="shared" si="2380"/>
        <v>DI4-C23</v>
      </c>
      <c r="CC468" t="str">
        <f t="shared" si="2381"/>
        <v>DI4-B23</v>
      </c>
      <c r="CD468" t="str">
        <f t="shared" si="2382"/>
        <v>DI4-C24</v>
      </c>
      <c r="CE468" t="str">
        <f t="shared" si="2383"/>
        <v>DI4-B24</v>
      </c>
      <c r="CF468" t="str">
        <f t="shared" si="2384"/>
        <v>DO3-1A</v>
      </c>
      <c r="CG468" t="str">
        <f t="shared" si="2385"/>
        <v>DO3-1B</v>
      </c>
      <c r="CH468" t="str">
        <f t="shared" si="2386"/>
        <v>DO3-2A</v>
      </c>
      <c r="CI468" t="str">
        <f t="shared" si="2387"/>
        <v>DO3-2B</v>
      </c>
      <c r="CJ468" t="str">
        <f t="shared" si="2388"/>
        <v>DO3-3A</v>
      </c>
      <c r="CK468" t="str">
        <f t="shared" si="2389"/>
        <v>DO3-3B</v>
      </c>
      <c r="CL468" t="str">
        <f t="shared" si="2215"/>
        <v>K24-10</v>
      </c>
      <c r="CM468" t="str">
        <f t="shared" si="2216"/>
        <v>K24-03</v>
      </c>
      <c r="CN468" t="str">
        <f t="shared" si="2217"/>
        <v>K24-04</v>
      </c>
      <c r="CO468" t="str">
        <f t="shared" si="2218"/>
        <v>K24-01</v>
      </c>
      <c r="CP468" t="str">
        <f t="shared" si="2219"/>
        <v>K24-08</v>
      </c>
      <c r="CQ468" t="str">
        <f t="shared" si="2220"/>
        <v>K24-02</v>
      </c>
      <c r="CR468" t="str">
        <f t="shared" si="2221"/>
        <v>K24-09</v>
      </c>
      <c r="CS468" t="str">
        <f t="shared" si="2222"/>
        <v>K24-05</v>
      </c>
      <c r="CT468" t="str">
        <f t="shared" si="2223"/>
        <v>K24-11</v>
      </c>
      <c r="CU468" t="str">
        <f t="shared" si="2224"/>
        <v>N1-M24-A9</v>
      </c>
      <c r="CV468" t="str">
        <f t="shared" si="2225"/>
        <v>N1-M24-A7</v>
      </c>
      <c r="CW468" t="str">
        <f t="shared" si="2226"/>
        <v>N1-M24-A8</v>
      </c>
      <c r="CX468" t="str">
        <f t="shared" si="2227"/>
        <v>N1-M24-A6</v>
      </c>
      <c r="CY468" t="str">
        <f t="shared" si="2228"/>
        <v>N1-M24-A30</v>
      </c>
      <c r="CZ468" t="str">
        <f t="shared" si="2229"/>
        <v>N1-M24-N</v>
      </c>
      <c r="DA468" t="str">
        <f t="shared" si="2390"/>
        <v>N1-A220-M24</v>
      </c>
      <c r="DB468" t="str">
        <f t="shared" si="2231"/>
        <v>N1-M24-XM01</v>
      </c>
      <c r="DC468" t="str">
        <f t="shared" si="2232"/>
        <v>N1-M24-A1</v>
      </c>
      <c r="DD468" t="str">
        <f t="shared" si="2233"/>
        <v>N1-M24-A5</v>
      </c>
      <c r="DE468" t="str">
        <f t="shared" si="2234"/>
        <v>N1-M24-A11</v>
      </c>
      <c r="DF468" t="str">
        <f t="shared" si="2235"/>
        <v>N1-M24-A12</v>
      </c>
      <c r="DG468" t="str">
        <f t="shared" si="2236"/>
        <v>N1-M24-A19</v>
      </c>
      <c r="DH468" t="str">
        <f t="shared" si="2237"/>
        <v>N1-M24-A20</v>
      </c>
      <c r="DI468" t="s">
        <v>142</v>
      </c>
      <c r="DJ468" t="s">
        <v>143</v>
      </c>
      <c r="DK468">
        <v>11</v>
      </c>
      <c r="DL468">
        <v>14</v>
      </c>
      <c r="DM468">
        <v>12</v>
      </c>
      <c r="DN468" t="s">
        <v>144</v>
      </c>
      <c r="DO468" t="s">
        <v>145</v>
      </c>
      <c r="DP468">
        <v>1</v>
      </c>
      <c r="DQ468">
        <v>2</v>
      </c>
      <c r="DR468">
        <v>3</v>
      </c>
      <c r="DS468">
        <v>4</v>
      </c>
      <c r="DT468">
        <v>5</v>
      </c>
      <c r="DU468">
        <v>6</v>
      </c>
      <c r="DV468">
        <v>7</v>
      </c>
      <c r="DW468">
        <v>8</v>
      </c>
      <c r="DX468">
        <v>9</v>
      </c>
      <c r="DY468">
        <v>10</v>
      </c>
      <c r="DZ468">
        <v>11</v>
      </c>
      <c r="EA468">
        <v>12</v>
      </c>
      <c r="EB468">
        <v>13</v>
      </c>
      <c r="EC468">
        <v>14</v>
      </c>
      <c r="ED468">
        <v>1</v>
      </c>
      <c r="EE468">
        <v>3</v>
      </c>
      <c r="EF468">
        <v>4</v>
      </c>
      <c r="EG468">
        <v>7</v>
      </c>
      <c r="EH468">
        <v>8</v>
      </c>
      <c r="EI468">
        <v>9</v>
      </c>
      <c r="EJ468">
        <v>10</v>
      </c>
      <c r="EK468">
        <v>13</v>
      </c>
      <c r="EL468">
        <v>14</v>
      </c>
      <c r="EM468">
        <v>15</v>
      </c>
      <c r="EN468">
        <v>16</v>
      </c>
      <c r="EO468">
        <v>22</v>
      </c>
      <c r="EP468">
        <v>23</v>
      </c>
      <c r="EQ468" s="16">
        <v>24</v>
      </c>
    </row>
    <row r="469" spans="1:147" x14ac:dyDescent="0.25">
      <c r="A469" s="67" t="s">
        <v>2571</v>
      </c>
      <c r="B469" t="s">
        <v>2570</v>
      </c>
      <c r="C469" s="3"/>
      <c r="O469" s="2"/>
      <c r="P469" t="s">
        <v>129</v>
      </c>
      <c r="Q469" s="1"/>
      <c r="S469" s="1" t="s">
        <v>130</v>
      </c>
      <c r="T469" s="14" t="s">
        <v>2185</v>
      </c>
      <c r="U469" s="60">
        <v>25</v>
      </c>
      <c r="V469" s="15" t="s">
        <v>2572</v>
      </c>
      <c r="W469" s="15"/>
      <c r="AC469" t="str">
        <f t="shared" si="2238"/>
        <v>A5.4</v>
      </c>
      <c r="AD469" s="43" cm="1">
        <f t="array" ref="AD469">IF(COUNTIFS(AC$379:AC469,AC469)=1,"1",VALUE(SUBSTITUTE(INDEX(AD:AD,_xlfn.XMATCH(AC469,AC$1:AC468,0,-1)),"A",""))+INDEX(AE:AE,_xlfn.XMATCH(AC469,AC$1:AC468,0,-1))+1)</f>
        <v>25</v>
      </c>
      <c r="AE469" s="43" cm="1">
        <f t="array" ref="AE469">SUM(IF(ISNUMBER(FIND("TmDi",$BE$1:$AAL$1)),IF(IFERROR(ISNUMBER(VALUE(SUBSTITUTE($BE469:$AAL469,"B",""))),FALSE),IF(ISNUMBER(VALUE(SUBSTITUTE($BE469:$AAL469,"B",""))),1,0),0)))</f>
        <v>5</v>
      </c>
      <c r="AF469" t="str">
        <f t="shared" si="2178"/>
        <v>C25</v>
      </c>
      <c r="AG469" t="str">
        <f t="shared" si="2179"/>
        <v>B25</v>
      </c>
      <c r="AH469" t="str">
        <f t="shared" si="2360"/>
        <v>A6.3</v>
      </c>
      <c r="AI469" s="73" cm="1">
        <f t="array" ref="AI469">IF(COUNTIFS(AH$379:AH469,AH469)=1,"1",VALUE(SUBSTITUTE(INDEX(AI:AI,_xlfn.XMATCH(AH469,AH$1:AH468,0,-1)),"A",""))+INDEX(AJ:AJ,_xlfn.XMATCH(AH469,AH$1:AH468,0,-1))+1)</f>
        <v>4</v>
      </c>
      <c r="AJ469" s="64" cm="1">
        <f t="array" ref="AJ469">SUM(IF(ISNUMBER(FIND("TmDo",$BE$1:$AAL$1)),IF(IFERROR(ISNUMBER(VALUE(SUBSTITUTE($BE469:$AAL469,"B",""))),FALSE),IF(ISNUMBER(VALUE(SUBSTITUTE($BE469:$AAL469,"B",""))),1,0),0)))</f>
        <v>2</v>
      </c>
      <c r="AK469" t="str">
        <f t="shared" si="2180"/>
        <v>4A</v>
      </c>
      <c r="AL469" t="str">
        <f t="shared" si="2181"/>
        <v>4B</v>
      </c>
      <c r="AM469" t="s">
        <v>205</v>
      </c>
      <c r="AP469" t="s">
        <v>2187</v>
      </c>
      <c r="AQ469" t="s">
        <v>2515</v>
      </c>
      <c r="AT469" t="s">
        <v>139</v>
      </c>
      <c r="AU469" t="s">
        <v>140</v>
      </c>
      <c r="BD469" s="16"/>
      <c r="BE469" s="27" t="str">
        <f t="shared" ref="BE469:BE477" si="2391">CONCATENATE("XT",U469)</f>
        <v>XT25</v>
      </c>
      <c r="BF469" t="str">
        <f t="shared" ref="BF469:BF477" si="2392">CONCATENATE("C",REPLACE(AF469,1,1,"")+1)</f>
        <v>C26</v>
      </c>
      <c r="BG469" t="str">
        <f t="shared" ref="BG469:BG477" si="2393">CONCATENATE("B",REPLACE(AG469,1,1,"")+1)</f>
        <v>B26</v>
      </c>
      <c r="BH469" t="str">
        <f t="shared" ref="BH469:BH477" si="2394">CONCATENATE("C",REPLACE(BF469,1,1,"")+1)</f>
        <v>C27</v>
      </c>
      <c r="BI469" t="str">
        <f t="shared" ref="BI469:BI477" si="2395">CONCATENATE("B",REPLACE(BG469,1,1,"")+1)</f>
        <v>B27</v>
      </c>
      <c r="BJ469" t="str">
        <f t="shared" ref="BJ469:BJ477" si="2396">CONCATENATE("C",REPLACE(BH469,1,1,"")+1)</f>
        <v>C28</v>
      </c>
      <c r="BK469" t="str">
        <f t="shared" ref="BK469:BK477" si="2397">CONCATENATE("B",REPLACE(BI469,1,1,"")+1)</f>
        <v>B28</v>
      </c>
      <c r="BL469" t="str">
        <f t="shared" ref="BL469:BL477" si="2398">CONCATENATE("C",REPLACE(BJ469,1,1,"")+1)</f>
        <v>C29</v>
      </c>
      <c r="BM469" t="str">
        <f t="shared" ref="BM469:BM477" si="2399">CONCATENATE("B",REPLACE(BK469,1,1,"")+1)</f>
        <v>B29</v>
      </c>
      <c r="BN469" t="str">
        <f t="shared" ref="BN469:BN477" si="2400">CONCATENATE("C",REPLACE(BL469,1,1,"")+1)</f>
        <v>C30</v>
      </c>
      <c r="BO469" t="str">
        <f t="shared" ref="BO469:BO477" si="2401">CONCATENATE("B",REPLACE(BM469,1,1,"")+1)</f>
        <v>B30</v>
      </c>
      <c r="BP469" t="str">
        <f t="shared" si="2193"/>
        <v>5A</v>
      </c>
      <c r="BQ469" t="str">
        <f t="shared" si="2194"/>
        <v>5B</v>
      </c>
      <c r="BR469" t="str">
        <f t="shared" si="2195"/>
        <v>6A</v>
      </c>
      <c r="BS469" t="str">
        <f t="shared" si="2196"/>
        <v>6B</v>
      </c>
      <c r="BT469" t="str">
        <f t="shared" ref="BT469:BT477" si="2402">CONCATENATE("DI",REPLACE($AC469,1,3,""),"-",AF469)</f>
        <v>DI4-C25</v>
      </c>
      <c r="BU469" t="str">
        <f t="shared" ref="BU469:BU477" si="2403">CONCATENATE("DI",REPLACE($AC469,1,3,""),"-",AG469)</f>
        <v>DI4-B25</v>
      </c>
      <c r="BV469" t="str">
        <f t="shared" ref="BV469:BV477" si="2404">CONCATENATE("DI",REPLACE($AC469,1,3,""),"-",BF469)</f>
        <v>DI4-C26</v>
      </c>
      <c r="BW469" t="str">
        <f t="shared" ref="BW469:BW477" si="2405">CONCATENATE("DI",REPLACE($AC469,1,3,""),"-",BG469)</f>
        <v>DI4-B26</v>
      </c>
      <c r="BX469" t="str">
        <f t="shared" ref="BX469:BX477" si="2406">CONCATENATE("DI",REPLACE($AC469,1,3,""),"-",BH469)</f>
        <v>DI4-C27</v>
      </c>
      <c r="BY469" t="str">
        <f t="shared" ref="BY469:BY477" si="2407">CONCATENATE("DI",REPLACE($AC469,1,3,""),"-",BI469)</f>
        <v>DI4-B27</v>
      </c>
      <c r="BZ469" t="str">
        <f t="shared" ref="BZ469:BZ477" si="2408">CONCATENATE("DI",REPLACE($AC469,1,3,""),"-",BJ469)</f>
        <v>DI4-C28</v>
      </c>
      <c r="CA469" t="str">
        <f t="shared" ref="CA469:CA477" si="2409">CONCATENATE("DI",REPLACE($AC469,1,3,""),"-",BK469)</f>
        <v>DI4-B28</v>
      </c>
      <c r="CB469" t="str">
        <f t="shared" ref="CB469:CB477" si="2410">CONCATENATE("DI",REPLACE($AC469,1,3,""),"-",BL469)</f>
        <v>DI4-C29</v>
      </c>
      <c r="CC469" t="str">
        <f t="shared" ref="CC469:CC477" si="2411">CONCATENATE("DI",REPLACE($AC469,1,3,""),"-",BM469)</f>
        <v>DI4-B29</v>
      </c>
      <c r="CD469" t="str">
        <f t="shared" ref="CD469:CD477" si="2412">CONCATENATE("DI",REPLACE($AC469,1,3,""),"-",BN469)</f>
        <v>DI4-C30</v>
      </c>
      <c r="CE469" t="str">
        <f t="shared" ref="CE469:CE477" si="2413">CONCATENATE("DI",REPLACE($AC469,1,3,""),"-",BO469)</f>
        <v>DI4-B30</v>
      </c>
      <c r="CF469" t="str">
        <f t="shared" ref="CF469:CF477" si="2414">CONCATENATE("DO",REPLACE($AH469,1,3,""),"-",AK469)</f>
        <v>DO3-4A</v>
      </c>
      <c r="CG469" t="str">
        <f t="shared" ref="CG469:CG477" si="2415">CONCATENATE("DO",REPLACE($AH469,1,3,""),"-",AL469)</f>
        <v>DO3-4B</v>
      </c>
      <c r="CH469" t="str">
        <f t="shared" ref="CH469:CH477" si="2416">CONCATENATE("DO",REPLACE($AH469,1,3,""),"-",BP469)</f>
        <v>DO3-5A</v>
      </c>
      <c r="CI469" t="str">
        <f t="shared" ref="CI469:CI477" si="2417">CONCATENATE("DO",REPLACE($AH469,1,3,""),"-",BQ469)</f>
        <v>DO3-5B</v>
      </c>
      <c r="CJ469" t="str">
        <f t="shared" ref="CJ469:CJ477" si="2418">CONCATENATE("DO",REPLACE($AH469,1,3,""),"-",BR469)</f>
        <v>DO3-6A</v>
      </c>
      <c r="CK469" t="str">
        <f t="shared" ref="CK469:CK477" si="2419">CONCATENATE("DO",REPLACE($AH469,1,3,""),"-",BS469)</f>
        <v>DO3-6B</v>
      </c>
      <c r="CL469" t="str">
        <f t="shared" si="2215"/>
        <v>K25-10</v>
      </c>
      <c r="CM469" t="str">
        <f t="shared" si="2216"/>
        <v>K25-03</v>
      </c>
      <c r="CN469" t="str">
        <f t="shared" si="2217"/>
        <v>K25-04</v>
      </c>
      <c r="CO469" t="str">
        <f t="shared" si="2218"/>
        <v>K25-01</v>
      </c>
      <c r="CP469" t="str">
        <f t="shared" si="2219"/>
        <v>K25-08</v>
      </c>
      <c r="CQ469" t="str">
        <f t="shared" si="2220"/>
        <v>K25-02</v>
      </c>
      <c r="CR469" t="str">
        <f t="shared" si="2221"/>
        <v>K25-09</v>
      </c>
      <c r="CS469" t="str">
        <f t="shared" si="2222"/>
        <v>K25-05</v>
      </c>
      <c r="CT469" t="str">
        <f t="shared" si="2223"/>
        <v>K25-11</v>
      </c>
      <c r="CU469" t="str">
        <f t="shared" si="2224"/>
        <v>N1-M25-A9</v>
      </c>
      <c r="CV469" t="str">
        <f t="shared" si="2225"/>
        <v>N1-M25-A7</v>
      </c>
      <c r="CW469" t="str">
        <f t="shared" si="2226"/>
        <v>N1-M25-A8</v>
      </c>
      <c r="CX469" t="str">
        <f t="shared" si="2227"/>
        <v>N1-M25-A6</v>
      </c>
      <c r="CY469" t="str">
        <f t="shared" si="2228"/>
        <v>N1-M25-A30</v>
      </c>
      <c r="CZ469" t="str">
        <f t="shared" si="2229"/>
        <v>N1-M25-N</v>
      </c>
      <c r="DA469" t="str">
        <f t="shared" ref="DA469:DA477" si="2420">CONCATENATE($T469,"-A220-M",U469)</f>
        <v>N1-A220-M25</v>
      </c>
      <c r="DB469" t="str">
        <f t="shared" si="2231"/>
        <v>N1-M25-XM01</v>
      </c>
      <c r="DC469" t="str">
        <f t="shared" si="2232"/>
        <v>N1-M25-A1</v>
      </c>
      <c r="DD469" t="str">
        <f t="shared" si="2233"/>
        <v>N1-M25-A5</v>
      </c>
      <c r="DE469" t="str">
        <f t="shared" si="2234"/>
        <v>N1-M25-A11</v>
      </c>
      <c r="DF469" t="str">
        <f t="shared" si="2235"/>
        <v>N1-M25-A12</v>
      </c>
      <c r="DG469" t="str">
        <f t="shared" si="2236"/>
        <v>N1-M25-A19</v>
      </c>
      <c r="DH469" t="str">
        <f t="shared" si="2237"/>
        <v>N1-M25-A20</v>
      </c>
      <c r="DI469" t="s">
        <v>142</v>
      </c>
      <c r="DJ469" t="s">
        <v>143</v>
      </c>
      <c r="DK469">
        <v>11</v>
      </c>
      <c r="DL469">
        <v>14</v>
      </c>
      <c r="DM469">
        <v>12</v>
      </c>
      <c r="DN469" t="s">
        <v>144</v>
      </c>
      <c r="DO469" t="s">
        <v>145</v>
      </c>
      <c r="DP469">
        <v>1</v>
      </c>
      <c r="DQ469">
        <v>2</v>
      </c>
      <c r="DR469">
        <v>3</v>
      </c>
      <c r="DS469">
        <v>4</v>
      </c>
      <c r="DT469">
        <v>5</v>
      </c>
      <c r="DU469">
        <v>6</v>
      </c>
      <c r="DV469">
        <v>7</v>
      </c>
      <c r="DW469">
        <v>8</v>
      </c>
      <c r="DX469">
        <v>9</v>
      </c>
      <c r="DY469">
        <v>10</v>
      </c>
      <c r="DZ469">
        <v>11</v>
      </c>
      <c r="EA469">
        <v>12</v>
      </c>
      <c r="EB469">
        <v>13</v>
      </c>
      <c r="EC469">
        <v>14</v>
      </c>
      <c r="ED469">
        <v>1</v>
      </c>
      <c r="EE469">
        <v>3</v>
      </c>
      <c r="EF469">
        <v>4</v>
      </c>
      <c r="EG469">
        <v>7</v>
      </c>
      <c r="EH469">
        <v>8</v>
      </c>
      <c r="EI469">
        <v>9</v>
      </c>
      <c r="EJ469">
        <v>10</v>
      </c>
      <c r="EK469">
        <v>13</v>
      </c>
      <c r="EL469">
        <v>14</v>
      </c>
      <c r="EM469">
        <v>15</v>
      </c>
      <c r="EN469">
        <v>16</v>
      </c>
      <c r="EO469">
        <v>22</v>
      </c>
      <c r="EP469">
        <v>23</v>
      </c>
      <c r="EQ469" s="16">
        <v>24</v>
      </c>
    </row>
    <row r="470" spans="1:147" x14ac:dyDescent="0.25">
      <c r="A470" s="67" t="s">
        <v>2582</v>
      </c>
      <c r="B470" t="s">
        <v>2581</v>
      </c>
      <c r="C470" s="3"/>
      <c r="O470" s="2"/>
      <c r="P470" t="s">
        <v>129</v>
      </c>
      <c r="Q470" s="1"/>
      <c r="S470" s="1" t="s">
        <v>130</v>
      </c>
      <c r="T470" s="14" t="s">
        <v>2185</v>
      </c>
      <c r="U470" s="60">
        <v>26</v>
      </c>
      <c r="V470" s="15" t="s">
        <v>2573</v>
      </c>
      <c r="W470" s="15"/>
      <c r="AC470" t="str">
        <f t="shared" si="2238"/>
        <v>A5.5</v>
      </c>
      <c r="AD470" s="43" t="str" cm="1">
        <f t="array" ref="AD470">IF(COUNTIFS(AC$379:AC470,AC470)=1,"1",VALUE(SUBSTITUTE(INDEX(AD:AD,_xlfn.XMATCH(AC470,AC$1:AC469,0,-1)),"A",""))+INDEX(AE:AE,_xlfn.XMATCH(AC470,AC$1:AC469,0,-1))+1)</f>
        <v>1</v>
      </c>
      <c r="AE470" s="43" cm="1">
        <f t="array" ref="AE470">SUM(IF(ISNUMBER(FIND("TmDi",$BE$1:$AAL$1)),IF(IFERROR(ISNUMBER(VALUE(SUBSTITUTE($BE470:$AAL470,"B",""))),FALSE),IF(ISNUMBER(VALUE(SUBSTITUTE($BE470:$AAL470,"B",""))),1,0),0)))</f>
        <v>5</v>
      </c>
      <c r="AF470" t="str">
        <f t="shared" si="2178"/>
        <v>C1</v>
      </c>
      <c r="AG470" t="str">
        <f t="shared" si="2179"/>
        <v>B1</v>
      </c>
      <c r="AH470" t="str">
        <f t="shared" si="2360"/>
        <v>A6.3</v>
      </c>
      <c r="AI470" s="73" cm="1">
        <f t="array" ref="AI470">IF(COUNTIFS(AH$379:AH470,AH470)=1,"1",VALUE(SUBSTITUTE(INDEX(AI:AI,_xlfn.XMATCH(AH470,AH$1:AH469,0,-1)),"A",""))+INDEX(AJ:AJ,_xlfn.XMATCH(AH470,AH$1:AH469,0,-1))+1)</f>
        <v>7</v>
      </c>
      <c r="AJ470" s="64" cm="1">
        <f t="array" ref="AJ470">SUM(IF(ISNUMBER(FIND("TmDo",$BE$1:$AAL$1)),IF(IFERROR(ISNUMBER(VALUE(SUBSTITUTE($BE470:$AAL470,"B",""))),FALSE),IF(ISNUMBER(VALUE(SUBSTITUTE($BE470:$AAL470,"B",""))),1,0),0)))</f>
        <v>2</v>
      </c>
      <c r="AK470" t="str">
        <f t="shared" si="2180"/>
        <v>7A</v>
      </c>
      <c r="AL470" t="str">
        <f t="shared" si="2181"/>
        <v>7B</v>
      </c>
      <c r="AM470" t="s">
        <v>208</v>
      </c>
      <c r="AP470" t="s">
        <v>2187</v>
      </c>
      <c r="AQ470" t="s">
        <v>2515</v>
      </c>
      <c r="AT470" t="s">
        <v>139</v>
      </c>
      <c r="AU470" t="s">
        <v>140</v>
      </c>
      <c r="BD470" s="16"/>
      <c r="BE470" s="27" t="str">
        <f t="shared" si="2391"/>
        <v>XT26</v>
      </c>
      <c r="BF470" t="str">
        <f t="shared" si="2392"/>
        <v>C2</v>
      </c>
      <c r="BG470" t="str">
        <f t="shared" si="2393"/>
        <v>B2</v>
      </c>
      <c r="BH470" t="str">
        <f t="shared" si="2394"/>
        <v>C3</v>
      </c>
      <c r="BI470" t="str">
        <f t="shared" si="2395"/>
        <v>B3</v>
      </c>
      <c r="BJ470" t="str">
        <f t="shared" si="2396"/>
        <v>C4</v>
      </c>
      <c r="BK470" t="str">
        <f t="shared" si="2397"/>
        <v>B4</v>
      </c>
      <c r="BL470" t="str">
        <f t="shared" si="2398"/>
        <v>C5</v>
      </c>
      <c r="BM470" t="str">
        <f t="shared" si="2399"/>
        <v>B5</v>
      </c>
      <c r="BN470" t="str">
        <f t="shared" si="2400"/>
        <v>C6</v>
      </c>
      <c r="BO470" t="str">
        <f t="shared" si="2401"/>
        <v>B6</v>
      </c>
      <c r="BP470" t="str">
        <f t="shared" si="2193"/>
        <v>8A</v>
      </c>
      <c r="BQ470" t="str">
        <f t="shared" si="2194"/>
        <v>8B</v>
      </c>
      <c r="BR470" t="str">
        <f t="shared" si="2195"/>
        <v>9A</v>
      </c>
      <c r="BS470" t="str">
        <f t="shared" si="2196"/>
        <v>9B</v>
      </c>
      <c r="BT470" t="str">
        <f t="shared" si="2402"/>
        <v>DI5-C1</v>
      </c>
      <c r="BU470" t="str">
        <f t="shared" si="2403"/>
        <v>DI5-B1</v>
      </c>
      <c r="BV470" t="str">
        <f t="shared" si="2404"/>
        <v>DI5-C2</v>
      </c>
      <c r="BW470" t="str">
        <f t="shared" si="2405"/>
        <v>DI5-B2</v>
      </c>
      <c r="BX470" t="str">
        <f t="shared" si="2406"/>
        <v>DI5-C3</v>
      </c>
      <c r="BY470" t="str">
        <f t="shared" si="2407"/>
        <v>DI5-B3</v>
      </c>
      <c r="BZ470" t="str">
        <f t="shared" si="2408"/>
        <v>DI5-C4</v>
      </c>
      <c r="CA470" t="str">
        <f t="shared" si="2409"/>
        <v>DI5-B4</v>
      </c>
      <c r="CB470" t="str">
        <f t="shared" si="2410"/>
        <v>DI5-C5</v>
      </c>
      <c r="CC470" t="str">
        <f t="shared" si="2411"/>
        <v>DI5-B5</v>
      </c>
      <c r="CD470" t="str">
        <f t="shared" si="2412"/>
        <v>DI5-C6</v>
      </c>
      <c r="CE470" t="str">
        <f t="shared" si="2413"/>
        <v>DI5-B6</v>
      </c>
      <c r="CF470" t="str">
        <f t="shared" si="2414"/>
        <v>DO3-7A</v>
      </c>
      <c r="CG470" t="str">
        <f t="shared" si="2415"/>
        <v>DO3-7B</v>
      </c>
      <c r="CH470" t="str">
        <f t="shared" si="2416"/>
        <v>DO3-8A</v>
      </c>
      <c r="CI470" t="str">
        <f t="shared" si="2417"/>
        <v>DO3-8B</v>
      </c>
      <c r="CJ470" t="str">
        <f t="shared" si="2418"/>
        <v>DO3-9A</v>
      </c>
      <c r="CK470" t="str">
        <f t="shared" si="2419"/>
        <v>DO3-9B</v>
      </c>
      <c r="CL470" t="str">
        <f t="shared" si="2215"/>
        <v>K26-10</v>
      </c>
      <c r="CM470" t="str">
        <f t="shared" si="2216"/>
        <v>K26-03</v>
      </c>
      <c r="CN470" t="str">
        <f t="shared" si="2217"/>
        <v>K26-04</v>
      </c>
      <c r="CO470" t="str">
        <f t="shared" si="2218"/>
        <v>K26-01</v>
      </c>
      <c r="CP470" t="str">
        <f t="shared" si="2219"/>
        <v>K26-08</v>
      </c>
      <c r="CQ470" t="str">
        <f t="shared" si="2220"/>
        <v>K26-02</v>
      </c>
      <c r="CR470" t="str">
        <f t="shared" si="2221"/>
        <v>K26-09</v>
      </c>
      <c r="CS470" t="str">
        <f t="shared" si="2222"/>
        <v>K26-05</v>
      </c>
      <c r="CT470" t="str">
        <f t="shared" si="2223"/>
        <v>K26-11</v>
      </c>
      <c r="CU470" t="str">
        <f t="shared" si="2224"/>
        <v>N1-M26-A9</v>
      </c>
      <c r="CV470" t="str">
        <f t="shared" si="2225"/>
        <v>N1-M26-A7</v>
      </c>
      <c r="CW470" t="str">
        <f t="shared" si="2226"/>
        <v>N1-M26-A8</v>
      </c>
      <c r="CX470" t="str">
        <f t="shared" si="2227"/>
        <v>N1-M26-A6</v>
      </c>
      <c r="CY470" t="str">
        <f t="shared" si="2228"/>
        <v>N1-M26-A30</v>
      </c>
      <c r="CZ470" t="str">
        <f t="shared" si="2229"/>
        <v>N1-M26-N</v>
      </c>
      <c r="DA470" t="str">
        <f t="shared" si="2420"/>
        <v>N1-A220-M26</v>
      </c>
      <c r="DB470" t="str">
        <f t="shared" si="2231"/>
        <v>N1-M26-XM01</v>
      </c>
      <c r="DC470" t="str">
        <f t="shared" si="2232"/>
        <v>N1-M26-A1</v>
      </c>
      <c r="DD470" t="str">
        <f t="shared" si="2233"/>
        <v>N1-M26-A5</v>
      </c>
      <c r="DE470" t="str">
        <f t="shared" si="2234"/>
        <v>N1-M26-A11</v>
      </c>
      <c r="DF470" t="str">
        <f t="shared" si="2235"/>
        <v>N1-M26-A12</v>
      </c>
      <c r="DG470" t="str">
        <f t="shared" si="2236"/>
        <v>N1-M26-A19</v>
      </c>
      <c r="DH470" t="str">
        <f t="shared" si="2237"/>
        <v>N1-M26-A20</v>
      </c>
      <c r="DI470" t="s">
        <v>142</v>
      </c>
      <c r="DJ470" t="s">
        <v>143</v>
      </c>
      <c r="DK470">
        <v>11</v>
      </c>
      <c r="DL470">
        <v>14</v>
      </c>
      <c r="DM470">
        <v>12</v>
      </c>
      <c r="DN470" t="s">
        <v>144</v>
      </c>
      <c r="DO470" t="s">
        <v>145</v>
      </c>
      <c r="DP470">
        <v>1</v>
      </c>
      <c r="DQ470">
        <v>2</v>
      </c>
      <c r="DR470">
        <v>3</v>
      </c>
      <c r="DS470">
        <v>4</v>
      </c>
      <c r="DT470">
        <v>5</v>
      </c>
      <c r="DU470">
        <v>6</v>
      </c>
      <c r="DV470">
        <v>7</v>
      </c>
      <c r="DW470">
        <v>8</v>
      </c>
      <c r="DX470">
        <v>9</v>
      </c>
      <c r="DY470">
        <v>10</v>
      </c>
      <c r="DZ470">
        <v>11</v>
      </c>
      <c r="EA470">
        <v>12</v>
      </c>
      <c r="EB470">
        <v>13</v>
      </c>
      <c r="EC470">
        <v>14</v>
      </c>
      <c r="ED470">
        <v>1</v>
      </c>
      <c r="EE470">
        <v>3</v>
      </c>
      <c r="EF470">
        <v>4</v>
      </c>
      <c r="EG470">
        <v>7</v>
      </c>
      <c r="EH470">
        <v>8</v>
      </c>
      <c r="EI470">
        <v>9</v>
      </c>
      <c r="EJ470">
        <v>10</v>
      </c>
      <c r="EK470">
        <v>13</v>
      </c>
      <c r="EL470">
        <v>14</v>
      </c>
      <c r="EM470">
        <v>15</v>
      </c>
      <c r="EN470">
        <v>16</v>
      </c>
      <c r="EO470">
        <v>22</v>
      </c>
      <c r="EP470">
        <v>23</v>
      </c>
      <c r="EQ470" s="16">
        <v>24</v>
      </c>
    </row>
    <row r="471" spans="1:147" x14ac:dyDescent="0.25">
      <c r="A471" s="67" t="s">
        <v>2584</v>
      </c>
      <c r="B471" t="s">
        <v>2583</v>
      </c>
      <c r="C471" s="3"/>
      <c r="O471" s="2"/>
      <c r="P471" t="s">
        <v>129</v>
      </c>
      <c r="Q471" s="1"/>
      <c r="S471" s="1" t="s">
        <v>130</v>
      </c>
      <c r="T471" s="14" t="s">
        <v>2185</v>
      </c>
      <c r="U471" s="60">
        <v>27</v>
      </c>
      <c r="V471" s="15" t="s">
        <v>2574</v>
      </c>
      <c r="W471" s="15"/>
      <c r="AC471" t="str">
        <f t="shared" si="2238"/>
        <v>A5.5</v>
      </c>
      <c r="AD471" s="43" cm="1">
        <f t="array" ref="AD471">IF(COUNTIFS(AC$379:AC471,AC471)=1,"1",VALUE(SUBSTITUTE(INDEX(AD:AD,_xlfn.XMATCH(AC471,AC$1:AC470,0,-1)),"A",""))+INDEX(AE:AE,_xlfn.XMATCH(AC471,AC$1:AC470,0,-1))+1)</f>
        <v>7</v>
      </c>
      <c r="AE471" s="43" cm="1">
        <f t="array" ref="AE471">SUM(IF(ISNUMBER(FIND("TmDi",$BE$1:$AAL$1)),IF(IFERROR(ISNUMBER(VALUE(SUBSTITUTE($BE471:$AAL471,"B",""))),FALSE),IF(ISNUMBER(VALUE(SUBSTITUTE($BE471:$AAL471,"B",""))),1,0),0)))</f>
        <v>5</v>
      </c>
      <c r="AF471" t="str">
        <f t="shared" si="2178"/>
        <v>C7</v>
      </c>
      <c r="AG471" t="str">
        <f t="shared" si="2179"/>
        <v>B7</v>
      </c>
      <c r="AH471" t="str">
        <f t="shared" si="2360"/>
        <v>A6.3</v>
      </c>
      <c r="AI471" s="73" cm="1">
        <f t="array" ref="AI471">IF(COUNTIFS(AH$379:AH471,AH471)=1,"1",VALUE(SUBSTITUTE(INDEX(AI:AI,_xlfn.XMATCH(AH471,AH$1:AH470,0,-1)),"A",""))+INDEX(AJ:AJ,_xlfn.XMATCH(AH471,AH$1:AH470,0,-1))+1)</f>
        <v>10</v>
      </c>
      <c r="AJ471" s="64" cm="1">
        <f t="array" ref="AJ471">SUM(IF(ISNUMBER(FIND("TmDo",$BE$1:$AAL$1)),IF(IFERROR(ISNUMBER(VALUE(SUBSTITUTE($BE471:$AAL471,"B",""))),FALSE),IF(ISNUMBER(VALUE(SUBSTITUTE($BE471:$AAL471,"B",""))),1,0),0)))</f>
        <v>2</v>
      </c>
      <c r="AK471" t="str">
        <f t="shared" si="2180"/>
        <v>10A</v>
      </c>
      <c r="AL471" t="str">
        <f t="shared" si="2181"/>
        <v>10B</v>
      </c>
      <c r="AM471" t="s">
        <v>211</v>
      </c>
      <c r="AP471" t="s">
        <v>2187</v>
      </c>
      <c r="AQ471" t="s">
        <v>2515</v>
      </c>
      <c r="AT471" t="s">
        <v>139</v>
      </c>
      <c r="AU471" t="s">
        <v>140</v>
      </c>
      <c r="BD471" s="16"/>
      <c r="BE471" s="27" t="str">
        <f t="shared" si="2391"/>
        <v>XT27</v>
      </c>
      <c r="BF471" t="str">
        <f t="shared" si="2392"/>
        <v>C8</v>
      </c>
      <c r="BG471" t="str">
        <f t="shared" si="2393"/>
        <v>B8</v>
      </c>
      <c r="BH471" t="str">
        <f t="shared" si="2394"/>
        <v>C9</v>
      </c>
      <c r="BI471" t="str">
        <f t="shared" si="2395"/>
        <v>B9</v>
      </c>
      <c r="BJ471" t="str">
        <f t="shared" si="2396"/>
        <v>C10</v>
      </c>
      <c r="BK471" t="str">
        <f t="shared" si="2397"/>
        <v>B10</v>
      </c>
      <c r="BL471" t="str">
        <f t="shared" si="2398"/>
        <v>C11</v>
      </c>
      <c r="BM471" t="str">
        <f t="shared" si="2399"/>
        <v>B11</v>
      </c>
      <c r="BN471" t="str">
        <f t="shared" si="2400"/>
        <v>C12</v>
      </c>
      <c r="BO471" t="str">
        <f t="shared" si="2401"/>
        <v>B12</v>
      </c>
      <c r="BP471" t="str">
        <f t="shared" si="2193"/>
        <v>11A</v>
      </c>
      <c r="BQ471" t="str">
        <f t="shared" si="2194"/>
        <v>11B</v>
      </c>
      <c r="BR471" t="str">
        <f t="shared" si="2195"/>
        <v>12A</v>
      </c>
      <c r="BS471" t="str">
        <f t="shared" si="2196"/>
        <v>12B</v>
      </c>
      <c r="BT471" t="str">
        <f t="shared" si="2402"/>
        <v>DI5-C7</v>
      </c>
      <c r="BU471" t="str">
        <f t="shared" si="2403"/>
        <v>DI5-B7</v>
      </c>
      <c r="BV471" t="str">
        <f t="shared" si="2404"/>
        <v>DI5-C8</v>
      </c>
      <c r="BW471" t="str">
        <f t="shared" si="2405"/>
        <v>DI5-B8</v>
      </c>
      <c r="BX471" t="str">
        <f t="shared" si="2406"/>
        <v>DI5-C9</v>
      </c>
      <c r="BY471" t="str">
        <f t="shared" si="2407"/>
        <v>DI5-B9</v>
      </c>
      <c r="BZ471" t="str">
        <f t="shared" si="2408"/>
        <v>DI5-C10</v>
      </c>
      <c r="CA471" t="str">
        <f t="shared" si="2409"/>
        <v>DI5-B10</v>
      </c>
      <c r="CB471" t="str">
        <f t="shared" si="2410"/>
        <v>DI5-C11</v>
      </c>
      <c r="CC471" t="str">
        <f t="shared" si="2411"/>
        <v>DI5-B11</v>
      </c>
      <c r="CD471" t="str">
        <f t="shared" si="2412"/>
        <v>DI5-C12</v>
      </c>
      <c r="CE471" t="str">
        <f t="shared" si="2413"/>
        <v>DI5-B12</v>
      </c>
      <c r="CF471" t="str">
        <f t="shared" si="2414"/>
        <v>DO3-10A</v>
      </c>
      <c r="CG471" t="str">
        <f t="shared" si="2415"/>
        <v>DO3-10B</v>
      </c>
      <c r="CH471" t="str">
        <f t="shared" si="2416"/>
        <v>DO3-11A</v>
      </c>
      <c r="CI471" t="str">
        <f t="shared" si="2417"/>
        <v>DO3-11B</v>
      </c>
      <c r="CJ471" t="str">
        <f t="shared" si="2418"/>
        <v>DO3-12A</v>
      </c>
      <c r="CK471" t="str">
        <f t="shared" si="2419"/>
        <v>DO3-12B</v>
      </c>
      <c r="CL471" t="str">
        <f t="shared" si="2215"/>
        <v>K27-10</v>
      </c>
      <c r="CM471" t="str">
        <f t="shared" si="2216"/>
        <v>K27-03</v>
      </c>
      <c r="CN471" t="str">
        <f t="shared" si="2217"/>
        <v>K27-04</v>
      </c>
      <c r="CO471" t="str">
        <f t="shared" si="2218"/>
        <v>K27-01</v>
      </c>
      <c r="CP471" t="str">
        <f t="shared" si="2219"/>
        <v>K27-08</v>
      </c>
      <c r="CQ471" t="str">
        <f t="shared" si="2220"/>
        <v>K27-02</v>
      </c>
      <c r="CR471" t="str">
        <f t="shared" si="2221"/>
        <v>K27-09</v>
      </c>
      <c r="CS471" t="str">
        <f t="shared" si="2222"/>
        <v>K27-05</v>
      </c>
      <c r="CT471" t="str">
        <f t="shared" si="2223"/>
        <v>K27-11</v>
      </c>
      <c r="CU471" t="str">
        <f t="shared" si="2224"/>
        <v>N1-M27-A9</v>
      </c>
      <c r="CV471" t="str">
        <f t="shared" si="2225"/>
        <v>N1-M27-A7</v>
      </c>
      <c r="CW471" t="str">
        <f t="shared" si="2226"/>
        <v>N1-M27-A8</v>
      </c>
      <c r="CX471" t="str">
        <f t="shared" si="2227"/>
        <v>N1-M27-A6</v>
      </c>
      <c r="CY471" t="str">
        <f t="shared" si="2228"/>
        <v>N1-M27-A30</v>
      </c>
      <c r="CZ471" t="str">
        <f t="shared" si="2229"/>
        <v>N1-M27-N</v>
      </c>
      <c r="DA471" t="str">
        <f t="shared" si="2420"/>
        <v>N1-A220-M27</v>
      </c>
      <c r="DB471" t="str">
        <f t="shared" si="2231"/>
        <v>N1-M27-XM01</v>
      </c>
      <c r="DC471" t="str">
        <f t="shared" si="2232"/>
        <v>N1-M27-A1</v>
      </c>
      <c r="DD471" t="str">
        <f t="shared" si="2233"/>
        <v>N1-M27-A5</v>
      </c>
      <c r="DE471" t="str">
        <f t="shared" si="2234"/>
        <v>N1-M27-A11</v>
      </c>
      <c r="DF471" t="str">
        <f t="shared" si="2235"/>
        <v>N1-M27-A12</v>
      </c>
      <c r="DG471" t="str">
        <f t="shared" si="2236"/>
        <v>N1-M27-A19</v>
      </c>
      <c r="DH471" t="str">
        <f t="shared" si="2237"/>
        <v>N1-M27-A20</v>
      </c>
      <c r="DI471" t="s">
        <v>142</v>
      </c>
      <c r="DJ471" t="s">
        <v>143</v>
      </c>
      <c r="DK471">
        <v>11</v>
      </c>
      <c r="DL471">
        <v>14</v>
      </c>
      <c r="DM471">
        <v>12</v>
      </c>
      <c r="DN471" t="s">
        <v>144</v>
      </c>
      <c r="DO471" t="s">
        <v>145</v>
      </c>
      <c r="DP471">
        <v>1</v>
      </c>
      <c r="DQ471">
        <v>2</v>
      </c>
      <c r="DR471">
        <v>3</v>
      </c>
      <c r="DS471">
        <v>4</v>
      </c>
      <c r="DT471">
        <v>5</v>
      </c>
      <c r="DU471">
        <v>6</v>
      </c>
      <c r="DV471">
        <v>7</v>
      </c>
      <c r="DW471">
        <v>8</v>
      </c>
      <c r="DX471">
        <v>9</v>
      </c>
      <c r="DY471">
        <v>10</v>
      </c>
      <c r="DZ471">
        <v>11</v>
      </c>
      <c r="EA471">
        <v>12</v>
      </c>
      <c r="EB471">
        <v>13</v>
      </c>
      <c r="EC471">
        <v>14</v>
      </c>
      <c r="ED471">
        <v>1</v>
      </c>
      <c r="EE471">
        <v>3</v>
      </c>
      <c r="EF471">
        <v>4</v>
      </c>
      <c r="EG471">
        <v>7</v>
      </c>
      <c r="EH471">
        <v>8</v>
      </c>
      <c r="EI471">
        <v>9</v>
      </c>
      <c r="EJ471">
        <v>10</v>
      </c>
      <c r="EK471">
        <v>13</v>
      </c>
      <c r="EL471">
        <v>14</v>
      </c>
      <c r="EM471">
        <v>15</v>
      </c>
      <c r="EN471">
        <v>16</v>
      </c>
      <c r="EO471">
        <v>22</v>
      </c>
      <c r="EP471">
        <v>23</v>
      </c>
      <c r="EQ471" s="16">
        <v>24</v>
      </c>
    </row>
    <row r="472" spans="1:147" x14ac:dyDescent="0.25">
      <c r="A472" s="67" t="s">
        <v>2586</v>
      </c>
      <c r="B472" t="s">
        <v>2585</v>
      </c>
      <c r="C472" s="3"/>
      <c r="O472" s="2"/>
      <c r="P472" t="s">
        <v>129</v>
      </c>
      <c r="Q472" s="1"/>
      <c r="S472" s="1" t="s">
        <v>130</v>
      </c>
      <c r="T472" s="14" t="s">
        <v>2185</v>
      </c>
      <c r="U472" s="60">
        <v>28</v>
      </c>
      <c r="V472" s="15" t="s">
        <v>2575</v>
      </c>
      <c r="W472" s="15"/>
      <c r="AC472" t="str">
        <f t="shared" si="2238"/>
        <v>A5.5</v>
      </c>
      <c r="AD472" s="43" cm="1">
        <f t="array" ref="AD472">IF(COUNTIFS(AC$379:AC472,AC472)=1,"1",VALUE(SUBSTITUTE(INDEX(AD:AD,_xlfn.XMATCH(AC472,AC$1:AC471,0,-1)),"A",""))+INDEX(AE:AE,_xlfn.XMATCH(AC472,AC$1:AC471,0,-1))+1)</f>
        <v>13</v>
      </c>
      <c r="AE472" s="43" cm="1">
        <f t="array" ref="AE472">SUM(IF(ISNUMBER(FIND("TmDi",$BE$1:$AAL$1)),IF(IFERROR(ISNUMBER(VALUE(SUBSTITUTE($BE472:$AAL472,"B",""))),FALSE),IF(ISNUMBER(VALUE(SUBSTITUTE($BE472:$AAL472,"B",""))),1,0),0)))</f>
        <v>5</v>
      </c>
      <c r="AF472" t="str">
        <f t="shared" si="2178"/>
        <v>C13</v>
      </c>
      <c r="AG472" t="str">
        <f t="shared" si="2179"/>
        <v>B13</v>
      </c>
      <c r="AH472" t="str">
        <f t="shared" si="2360"/>
        <v>A6.3</v>
      </c>
      <c r="AI472" s="73" cm="1">
        <f t="array" ref="AI472">IF(COUNTIFS(AH$379:AH472,AH472)=1,"1",VALUE(SUBSTITUTE(INDEX(AI:AI,_xlfn.XMATCH(AH472,AH$1:AH471,0,-1)),"A",""))+INDEX(AJ:AJ,_xlfn.XMATCH(AH472,AH$1:AH471,0,-1))+1)</f>
        <v>13</v>
      </c>
      <c r="AJ472" s="64" cm="1">
        <f t="array" ref="AJ472">SUM(IF(ISNUMBER(FIND("TmDo",$BE$1:$AAL$1)),IF(IFERROR(ISNUMBER(VALUE(SUBSTITUTE($BE472:$AAL472,"B",""))),FALSE),IF(ISNUMBER(VALUE(SUBSTITUTE($BE472:$AAL472,"B",""))),1,0),0)))</f>
        <v>2</v>
      </c>
      <c r="AK472" t="str">
        <f t="shared" si="2180"/>
        <v>13A</v>
      </c>
      <c r="AL472" t="str">
        <f t="shared" si="2181"/>
        <v>13B</v>
      </c>
      <c r="AM472" t="s">
        <v>214</v>
      </c>
      <c r="AP472" t="s">
        <v>2187</v>
      </c>
      <c r="AQ472" t="s">
        <v>2515</v>
      </c>
      <c r="AT472" t="s">
        <v>139</v>
      </c>
      <c r="AU472" t="s">
        <v>140</v>
      </c>
      <c r="BD472" s="16"/>
      <c r="BE472" s="27" t="str">
        <f t="shared" si="2391"/>
        <v>XT28</v>
      </c>
      <c r="BF472" t="str">
        <f t="shared" si="2392"/>
        <v>C14</v>
      </c>
      <c r="BG472" t="str">
        <f t="shared" si="2393"/>
        <v>B14</v>
      </c>
      <c r="BH472" t="str">
        <f t="shared" si="2394"/>
        <v>C15</v>
      </c>
      <c r="BI472" t="str">
        <f t="shared" si="2395"/>
        <v>B15</v>
      </c>
      <c r="BJ472" t="str">
        <f t="shared" si="2396"/>
        <v>C16</v>
      </c>
      <c r="BK472" t="str">
        <f t="shared" si="2397"/>
        <v>B16</v>
      </c>
      <c r="BL472" t="str">
        <f t="shared" si="2398"/>
        <v>C17</v>
      </c>
      <c r="BM472" t="str">
        <f t="shared" si="2399"/>
        <v>B17</v>
      </c>
      <c r="BN472" t="str">
        <f t="shared" si="2400"/>
        <v>C18</v>
      </c>
      <c r="BO472" t="str">
        <f t="shared" si="2401"/>
        <v>B18</v>
      </c>
      <c r="BP472" t="str">
        <f t="shared" si="2193"/>
        <v>14A</v>
      </c>
      <c r="BQ472" t="str">
        <f t="shared" si="2194"/>
        <v>14B</v>
      </c>
      <c r="BR472" t="str">
        <f t="shared" si="2195"/>
        <v>15A</v>
      </c>
      <c r="BS472" t="str">
        <f t="shared" si="2196"/>
        <v>15B</v>
      </c>
      <c r="BT472" t="str">
        <f t="shared" si="2402"/>
        <v>DI5-C13</v>
      </c>
      <c r="BU472" t="str">
        <f t="shared" si="2403"/>
        <v>DI5-B13</v>
      </c>
      <c r="BV472" t="str">
        <f t="shared" si="2404"/>
        <v>DI5-C14</v>
      </c>
      <c r="BW472" t="str">
        <f t="shared" si="2405"/>
        <v>DI5-B14</v>
      </c>
      <c r="BX472" t="str">
        <f t="shared" si="2406"/>
        <v>DI5-C15</v>
      </c>
      <c r="BY472" t="str">
        <f t="shared" si="2407"/>
        <v>DI5-B15</v>
      </c>
      <c r="BZ472" t="str">
        <f t="shared" si="2408"/>
        <v>DI5-C16</v>
      </c>
      <c r="CA472" t="str">
        <f t="shared" si="2409"/>
        <v>DI5-B16</v>
      </c>
      <c r="CB472" t="str">
        <f t="shared" si="2410"/>
        <v>DI5-C17</v>
      </c>
      <c r="CC472" t="str">
        <f t="shared" si="2411"/>
        <v>DI5-B17</v>
      </c>
      <c r="CD472" t="str">
        <f t="shared" si="2412"/>
        <v>DI5-C18</v>
      </c>
      <c r="CE472" t="str">
        <f t="shared" si="2413"/>
        <v>DI5-B18</v>
      </c>
      <c r="CF472" t="str">
        <f t="shared" si="2414"/>
        <v>DO3-13A</v>
      </c>
      <c r="CG472" t="str">
        <f t="shared" si="2415"/>
        <v>DO3-13B</v>
      </c>
      <c r="CH472" t="str">
        <f t="shared" si="2416"/>
        <v>DO3-14A</v>
      </c>
      <c r="CI472" t="str">
        <f t="shared" si="2417"/>
        <v>DO3-14B</v>
      </c>
      <c r="CJ472" t="str">
        <f t="shared" si="2418"/>
        <v>DO3-15A</v>
      </c>
      <c r="CK472" t="str">
        <f t="shared" si="2419"/>
        <v>DO3-15B</v>
      </c>
      <c r="CL472" t="str">
        <f t="shared" si="2215"/>
        <v>K28-10</v>
      </c>
      <c r="CM472" t="str">
        <f t="shared" si="2216"/>
        <v>K28-03</v>
      </c>
      <c r="CN472" t="str">
        <f t="shared" si="2217"/>
        <v>K28-04</v>
      </c>
      <c r="CO472" t="str">
        <f t="shared" si="2218"/>
        <v>K28-01</v>
      </c>
      <c r="CP472" t="str">
        <f t="shared" si="2219"/>
        <v>K28-08</v>
      </c>
      <c r="CQ472" t="str">
        <f t="shared" si="2220"/>
        <v>K28-02</v>
      </c>
      <c r="CR472" t="str">
        <f t="shared" si="2221"/>
        <v>K28-09</v>
      </c>
      <c r="CS472" t="str">
        <f t="shared" si="2222"/>
        <v>K28-05</v>
      </c>
      <c r="CT472" t="str">
        <f t="shared" si="2223"/>
        <v>K28-11</v>
      </c>
      <c r="CU472" t="str">
        <f t="shared" si="2224"/>
        <v>N1-M28-A9</v>
      </c>
      <c r="CV472" t="str">
        <f t="shared" si="2225"/>
        <v>N1-M28-A7</v>
      </c>
      <c r="CW472" t="str">
        <f t="shared" si="2226"/>
        <v>N1-M28-A8</v>
      </c>
      <c r="CX472" t="str">
        <f t="shared" si="2227"/>
        <v>N1-M28-A6</v>
      </c>
      <c r="CY472" t="str">
        <f t="shared" si="2228"/>
        <v>N1-M28-A30</v>
      </c>
      <c r="CZ472" t="str">
        <f t="shared" si="2229"/>
        <v>N1-M28-N</v>
      </c>
      <c r="DA472" t="str">
        <f t="shared" si="2420"/>
        <v>N1-A220-M28</v>
      </c>
      <c r="DB472" t="str">
        <f t="shared" si="2231"/>
        <v>N1-M28-XM01</v>
      </c>
      <c r="DC472" t="str">
        <f t="shared" si="2232"/>
        <v>N1-M28-A1</v>
      </c>
      <c r="DD472" t="str">
        <f t="shared" si="2233"/>
        <v>N1-M28-A5</v>
      </c>
      <c r="DE472" t="str">
        <f t="shared" si="2234"/>
        <v>N1-M28-A11</v>
      </c>
      <c r="DF472" t="str">
        <f t="shared" si="2235"/>
        <v>N1-M28-A12</v>
      </c>
      <c r="DG472" t="str">
        <f t="shared" si="2236"/>
        <v>N1-M28-A19</v>
      </c>
      <c r="DH472" t="str">
        <f t="shared" si="2237"/>
        <v>N1-M28-A20</v>
      </c>
      <c r="DI472" t="s">
        <v>142</v>
      </c>
      <c r="DJ472" t="s">
        <v>143</v>
      </c>
      <c r="DK472">
        <v>11</v>
      </c>
      <c r="DL472">
        <v>14</v>
      </c>
      <c r="DM472">
        <v>12</v>
      </c>
      <c r="DN472" t="s">
        <v>144</v>
      </c>
      <c r="DO472" t="s">
        <v>145</v>
      </c>
      <c r="DP472">
        <v>1</v>
      </c>
      <c r="DQ472">
        <v>2</v>
      </c>
      <c r="DR472">
        <v>3</v>
      </c>
      <c r="DS472">
        <v>4</v>
      </c>
      <c r="DT472">
        <v>5</v>
      </c>
      <c r="DU472">
        <v>6</v>
      </c>
      <c r="DV472">
        <v>7</v>
      </c>
      <c r="DW472">
        <v>8</v>
      </c>
      <c r="DX472">
        <v>9</v>
      </c>
      <c r="DY472">
        <v>10</v>
      </c>
      <c r="DZ472">
        <v>11</v>
      </c>
      <c r="EA472">
        <v>12</v>
      </c>
      <c r="EB472">
        <v>13</v>
      </c>
      <c r="EC472">
        <v>14</v>
      </c>
      <c r="ED472">
        <v>1</v>
      </c>
      <c r="EE472">
        <v>3</v>
      </c>
      <c r="EF472">
        <v>4</v>
      </c>
      <c r="EG472">
        <v>7</v>
      </c>
      <c r="EH472">
        <v>8</v>
      </c>
      <c r="EI472">
        <v>9</v>
      </c>
      <c r="EJ472">
        <v>10</v>
      </c>
      <c r="EK472">
        <v>13</v>
      </c>
      <c r="EL472">
        <v>14</v>
      </c>
      <c r="EM472">
        <v>15</v>
      </c>
      <c r="EN472">
        <v>16</v>
      </c>
      <c r="EO472">
        <v>22</v>
      </c>
      <c r="EP472">
        <v>23</v>
      </c>
      <c r="EQ472" s="16">
        <v>24</v>
      </c>
    </row>
    <row r="473" spans="1:147" x14ac:dyDescent="0.25">
      <c r="A473" s="67" t="s">
        <v>2588</v>
      </c>
      <c r="B473" t="s">
        <v>2587</v>
      </c>
      <c r="C473" s="3"/>
      <c r="O473" s="2"/>
      <c r="P473" t="s">
        <v>129</v>
      </c>
      <c r="Q473" s="1"/>
      <c r="S473" s="1" t="s">
        <v>130</v>
      </c>
      <c r="T473" s="14" t="s">
        <v>2185</v>
      </c>
      <c r="U473" s="60">
        <v>29</v>
      </c>
      <c r="V473" s="15" t="s">
        <v>2576</v>
      </c>
      <c r="W473" s="15"/>
      <c r="AC473" t="str">
        <f t="shared" si="2238"/>
        <v>A5.5</v>
      </c>
      <c r="AD473" s="43" cm="1">
        <f t="array" ref="AD473">IF(COUNTIFS(AC$379:AC473,AC473)=1,"1",VALUE(SUBSTITUTE(INDEX(AD:AD,_xlfn.XMATCH(AC473,AC$1:AC472,0,-1)),"A",""))+INDEX(AE:AE,_xlfn.XMATCH(AC473,AC$1:AC472,0,-1))+1)</f>
        <v>19</v>
      </c>
      <c r="AE473" s="43" cm="1">
        <f t="array" ref="AE473">SUM(IF(ISNUMBER(FIND("TmDi",$BE$1:$AAL$1)),IF(IFERROR(ISNUMBER(VALUE(SUBSTITUTE($BE473:$AAL473,"B",""))),FALSE),IF(ISNUMBER(VALUE(SUBSTITUTE($BE473:$AAL473,"B",""))),1,0),0)))</f>
        <v>5</v>
      </c>
      <c r="AF473" t="str">
        <f t="shared" si="2178"/>
        <v>C19</v>
      </c>
      <c r="AG473" t="str">
        <f t="shared" si="2179"/>
        <v>B19</v>
      </c>
      <c r="AH473" t="str">
        <f t="shared" si="2360"/>
        <v>A6.3</v>
      </c>
      <c r="AI473" s="73" cm="1">
        <f t="array" ref="AI473">IF(COUNTIFS(AH$379:AH473,AH473)=1,"1",VALUE(SUBSTITUTE(INDEX(AI:AI,_xlfn.XMATCH(AH473,AH$1:AH472,0,-1)),"A",""))+INDEX(AJ:AJ,_xlfn.XMATCH(AH473,AH$1:AH472,0,-1))+1)</f>
        <v>16</v>
      </c>
      <c r="AJ473" s="64" cm="1">
        <f t="array" ref="AJ473">SUM(IF(ISNUMBER(FIND("TmDo",$BE$1:$AAL$1)),IF(IFERROR(ISNUMBER(VALUE(SUBSTITUTE($BE473:$AAL473,"B",""))),FALSE),IF(ISNUMBER(VALUE(SUBSTITUTE($BE473:$AAL473,"B",""))),1,0),0)))</f>
        <v>2</v>
      </c>
      <c r="AK473" t="str">
        <f t="shared" si="2180"/>
        <v>16A</v>
      </c>
      <c r="AL473" t="str">
        <f t="shared" si="2181"/>
        <v>16B</v>
      </c>
      <c r="AM473" t="s">
        <v>217</v>
      </c>
      <c r="AP473" t="s">
        <v>2187</v>
      </c>
      <c r="AQ473" t="s">
        <v>2515</v>
      </c>
      <c r="AT473" t="s">
        <v>139</v>
      </c>
      <c r="AU473" t="s">
        <v>140</v>
      </c>
      <c r="BD473" s="16"/>
      <c r="BE473" s="27" t="str">
        <f t="shared" si="2391"/>
        <v>XT29</v>
      </c>
      <c r="BF473" t="str">
        <f t="shared" si="2392"/>
        <v>C20</v>
      </c>
      <c r="BG473" t="str">
        <f t="shared" si="2393"/>
        <v>B20</v>
      </c>
      <c r="BH473" t="str">
        <f t="shared" si="2394"/>
        <v>C21</v>
      </c>
      <c r="BI473" t="str">
        <f t="shared" si="2395"/>
        <v>B21</v>
      </c>
      <c r="BJ473" t="str">
        <f t="shared" si="2396"/>
        <v>C22</v>
      </c>
      <c r="BK473" t="str">
        <f t="shared" si="2397"/>
        <v>B22</v>
      </c>
      <c r="BL473" t="str">
        <f t="shared" si="2398"/>
        <v>C23</v>
      </c>
      <c r="BM473" t="str">
        <f t="shared" si="2399"/>
        <v>B23</v>
      </c>
      <c r="BN473" t="str">
        <f t="shared" si="2400"/>
        <v>C24</v>
      </c>
      <c r="BO473" t="str">
        <f t="shared" si="2401"/>
        <v>B24</v>
      </c>
      <c r="BP473" t="str">
        <f t="shared" si="2193"/>
        <v>17A</v>
      </c>
      <c r="BQ473" t="str">
        <f t="shared" si="2194"/>
        <v>17B</v>
      </c>
      <c r="BR473" t="str">
        <f t="shared" si="2195"/>
        <v>18A</v>
      </c>
      <c r="BS473" t="str">
        <f t="shared" si="2196"/>
        <v>18B</v>
      </c>
      <c r="BT473" t="str">
        <f t="shared" si="2402"/>
        <v>DI5-C19</v>
      </c>
      <c r="BU473" t="str">
        <f t="shared" si="2403"/>
        <v>DI5-B19</v>
      </c>
      <c r="BV473" t="str">
        <f t="shared" si="2404"/>
        <v>DI5-C20</v>
      </c>
      <c r="BW473" t="str">
        <f t="shared" si="2405"/>
        <v>DI5-B20</v>
      </c>
      <c r="BX473" t="str">
        <f t="shared" si="2406"/>
        <v>DI5-C21</v>
      </c>
      <c r="BY473" t="str">
        <f t="shared" si="2407"/>
        <v>DI5-B21</v>
      </c>
      <c r="BZ473" t="str">
        <f t="shared" si="2408"/>
        <v>DI5-C22</v>
      </c>
      <c r="CA473" t="str">
        <f t="shared" si="2409"/>
        <v>DI5-B22</v>
      </c>
      <c r="CB473" t="str">
        <f t="shared" si="2410"/>
        <v>DI5-C23</v>
      </c>
      <c r="CC473" t="str">
        <f t="shared" si="2411"/>
        <v>DI5-B23</v>
      </c>
      <c r="CD473" t="str">
        <f t="shared" si="2412"/>
        <v>DI5-C24</v>
      </c>
      <c r="CE473" t="str">
        <f t="shared" si="2413"/>
        <v>DI5-B24</v>
      </c>
      <c r="CF473" t="str">
        <f t="shared" si="2414"/>
        <v>DO3-16A</v>
      </c>
      <c r="CG473" t="str">
        <f t="shared" si="2415"/>
        <v>DO3-16B</v>
      </c>
      <c r="CH473" t="str">
        <f t="shared" si="2416"/>
        <v>DO3-17A</v>
      </c>
      <c r="CI473" t="str">
        <f t="shared" si="2417"/>
        <v>DO3-17B</v>
      </c>
      <c r="CJ473" t="str">
        <f t="shared" si="2418"/>
        <v>DO3-18A</v>
      </c>
      <c r="CK473" t="str">
        <f t="shared" si="2419"/>
        <v>DO3-18B</v>
      </c>
      <c r="CL473" t="str">
        <f t="shared" si="2215"/>
        <v>K29-10</v>
      </c>
      <c r="CM473" t="str">
        <f t="shared" si="2216"/>
        <v>K29-03</v>
      </c>
      <c r="CN473" t="str">
        <f t="shared" si="2217"/>
        <v>K29-04</v>
      </c>
      <c r="CO473" t="str">
        <f t="shared" si="2218"/>
        <v>K29-01</v>
      </c>
      <c r="CP473" t="str">
        <f t="shared" si="2219"/>
        <v>K29-08</v>
      </c>
      <c r="CQ473" t="str">
        <f t="shared" si="2220"/>
        <v>K29-02</v>
      </c>
      <c r="CR473" t="str">
        <f t="shared" si="2221"/>
        <v>K29-09</v>
      </c>
      <c r="CS473" t="str">
        <f t="shared" si="2222"/>
        <v>K29-05</v>
      </c>
      <c r="CT473" t="str">
        <f t="shared" si="2223"/>
        <v>K29-11</v>
      </c>
      <c r="CU473" t="str">
        <f t="shared" si="2224"/>
        <v>N1-M29-A9</v>
      </c>
      <c r="CV473" t="str">
        <f t="shared" si="2225"/>
        <v>N1-M29-A7</v>
      </c>
      <c r="CW473" t="str">
        <f t="shared" si="2226"/>
        <v>N1-M29-A8</v>
      </c>
      <c r="CX473" t="str">
        <f t="shared" si="2227"/>
        <v>N1-M29-A6</v>
      </c>
      <c r="CY473" t="str">
        <f t="shared" si="2228"/>
        <v>N1-M29-A30</v>
      </c>
      <c r="CZ473" t="str">
        <f t="shared" si="2229"/>
        <v>N1-M29-N</v>
      </c>
      <c r="DA473" t="str">
        <f t="shared" si="2420"/>
        <v>N1-A220-M29</v>
      </c>
      <c r="DB473" t="str">
        <f t="shared" si="2231"/>
        <v>N1-M29-XM01</v>
      </c>
      <c r="DC473" t="str">
        <f t="shared" si="2232"/>
        <v>N1-M29-A1</v>
      </c>
      <c r="DD473" t="str">
        <f t="shared" si="2233"/>
        <v>N1-M29-A5</v>
      </c>
      <c r="DE473" t="str">
        <f t="shared" si="2234"/>
        <v>N1-M29-A11</v>
      </c>
      <c r="DF473" t="str">
        <f t="shared" si="2235"/>
        <v>N1-M29-A12</v>
      </c>
      <c r="DG473" t="str">
        <f t="shared" si="2236"/>
        <v>N1-M29-A19</v>
      </c>
      <c r="DH473" t="str">
        <f t="shared" si="2237"/>
        <v>N1-M29-A20</v>
      </c>
      <c r="DI473" t="s">
        <v>142</v>
      </c>
      <c r="DJ473" t="s">
        <v>143</v>
      </c>
      <c r="DK473">
        <v>11</v>
      </c>
      <c r="DL473">
        <v>14</v>
      </c>
      <c r="DM473">
        <v>12</v>
      </c>
      <c r="DN473" t="s">
        <v>144</v>
      </c>
      <c r="DO473" t="s">
        <v>145</v>
      </c>
      <c r="DP473">
        <v>1</v>
      </c>
      <c r="DQ473">
        <v>2</v>
      </c>
      <c r="DR473">
        <v>3</v>
      </c>
      <c r="DS473">
        <v>4</v>
      </c>
      <c r="DT473">
        <v>5</v>
      </c>
      <c r="DU473">
        <v>6</v>
      </c>
      <c r="DV473">
        <v>7</v>
      </c>
      <c r="DW473">
        <v>8</v>
      </c>
      <c r="DX473">
        <v>9</v>
      </c>
      <c r="DY473">
        <v>10</v>
      </c>
      <c r="DZ473">
        <v>11</v>
      </c>
      <c r="EA473">
        <v>12</v>
      </c>
      <c r="EB473">
        <v>13</v>
      </c>
      <c r="EC473">
        <v>14</v>
      </c>
      <c r="ED473">
        <v>1</v>
      </c>
      <c r="EE473">
        <v>3</v>
      </c>
      <c r="EF473">
        <v>4</v>
      </c>
      <c r="EG473">
        <v>7</v>
      </c>
      <c r="EH473">
        <v>8</v>
      </c>
      <c r="EI473">
        <v>9</v>
      </c>
      <c r="EJ473">
        <v>10</v>
      </c>
      <c r="EK473">
        <v>13</v>
      </c>
      <c r="EL473">
        <v>14</v>
      </c>
      <c r="EM473">
        <v>15</v>
      </c>
      <c r="EN473">
        <v>16</v>
      </c>
      <c r="EO473">
        <v>22</v>
      </c>
      <c r="EP473">
        <v>23</v>
      </c>
      <c r="EQ473" s="16">
        <v>24</v>
      </c>
    </row>
    <row r="474" spans="1:147" x14ac:dyDescent="0.25">
      <c r="A474" s="67" t="s">
        <v>2590</v>
      </c>
      <c r="B474" t="s">
        <v>2589</v>
      </c>
      <c r="C474" s="3"/>
      <c r="O474" s="2"/>
      <c r="P474" t="s">
        <v>129</v>
      </c>
      <c r="Q474" s="1"/>
      <c r="S474" s="1" t="s">
        <v>130</v>
      </c>
      <c r="T474" s="14" t="s">
        <v>2185</v>
      </c>
      <c r="U474" s="60">
        <v>30</v>
      </c>
      <c r="V474" s="15" t="s">
        <v>2577</v>
      </c>
      <c r="W474" s="15"/>
      <c r="AC474" t="str">
        <f t="shared" si="2238"/>
        <v>A5.5</v>
      </c>
      <c r="AD474" s="43" cm="1">
        <f t="array" ref="AD474">IF(COUNTIFS(AC$379:AC474,AC474)=1,"1",VALUE(SUBSTITUTE(INDEX(AD:AD,_xlfn.XMATCH(AC474,AC$1:AC473,0,-1)),"A",""))+INDEX(AE:AE,_xlfn.XMATCH(AC474,AC$1:AC473,0,-1))+1)</f>
        <v>25</v>
      </c>
      <c r="AE474" s="43" cm="1">
        <f t="array" ref="AE474">SUM(IF(ISNUMBER(FIND("TmDi",$BE$1:$AAL$1)),IF(IFERROR(ISNUMBER(VALUE(SUBSTITUTE($BE474:$AAL474,"B",""))),FALSE),IF(ISNUMBER(VALUE(SUBSTITUTE($BE474:$AAL474,"B",""))),1,0),0)))</f>
        <v>5</v>
      </c>
      <c r="AF474" t="str">
        <f t="shared" si="2178"/>
        <v>C25</v>
      </c>
      <c r="AG474" t="str">
        <f t="shared" si="2179"/>
        <v>B25</v>
      </c>
      <c r="AH474" t="str">
        <f t="shared" si="2360"/>
        <v>A6.3</v>
      </c>
      <c r="AI474" s="73" cm="1">
        <f t="array" ref="AI474">IF(COUNTIFS(AH$379:AH474,AH474)=1,"1",VALUE(SUBSTITUTE(INDEX(AI:AI,_xlfn.XMATCH(AH474,AH$1:AH473,0,-1)),"A",""))+INDEX(AJ:AJ,_xlfn.XMATCH(AH474,AH$1:AH473,0,-1))+1)</f>
        <v>19</v>
      </c>
      <c r="AJ474" s="64" cm="1">
        <f t="array" ref="AJ474">SUM(IF(ISNUMBER(FIND("TmDo",$BE$1:$AAL$1)),IF(IFERROR(ISNUMBER(VALUE(SUBSTITUTE($BE474:$AAL474,"B",""))),FALSE),IF(ISNUMBER(VALUE(SUBSTITUTE($BE474:$AAL474,"B",""))),1,0),0)))</f>
        <v>2</v>
      </c>
      <c r="AK474" t="str">
        <f t="shared" si="2180"/>
        <v>19A</v>
      </c>
      <c r="AL474" t="str">
        <f t="shared" si="2181"/>
        <v>19B</v>
      </c>
      <c r="AM474" t="s">
        <v>220</v>
      </c>
      <c r="AP474" t="s">
        <v>2187</v>
      </c>
      <c r="AQ474" t="s">
        <v>2515</v>
      </c>
      <c r="AT474" t="s">
        <v>139</v>
      </c>
      <c r="AU474" t="s">
        <v>140</v>
      </c>
      <c r="BD474" s="16"/>
      <c r="BE474" s="27" t="str">
        <f t="shared" si="2391"/>
        <v>XT30</v>
      </c>
      <c r="BF474" t="str">
        <f t="shared" si="2392"/>
        <v>C26</v>
      </c>
      <c r="BG474" t="str">
        <f t="shared" si="2393"/>
        <v>B26</v>
      </c>
      <c r="BH474" t="str">
        <f t="shared" si="2394"/>
        <v>C27</v>
      </c>
      <c r="BI474" t="str">
        <f t="shared" si="2395"/>
        <v>B27</v>
      </c>
      <c r="BJ474" t="str">
        <f t="shared" si="2396"/>
        <v>C28</v>
      </c>
      <c r="BK474" t="str">
        <f t="shared" si="2397"/>
        <v>B28</v>
      </c>
      <c r="BL474" t="str">
        <f t="shared" si="2398"/>
        <v>C29</v>
      </c>
      <c r="BM474" t="str">
        <f t="shared" si="2399"/>
        <v>B29</v>
      </c>
      <c r="BN474" t="str">
        <f t="shared" si="2400"/>
        <v>C30</v>
      </c>
      <c r="BO474" t="str">
        <f t="shared" si="2401"/>
        <v>B30</v>
      </c>
      <c r="BP474" t="str">
        <f t="shared" si="2193"/>
        <v>20A</v>
      </c>
      <c r="BQ474" t="str">
        <f t="shared" si="2194"/>
        <v>20B</v>
      </c>
      <c r="BR474" t="str">
        <f t="shared" si="2195"/>
        <v>21A</v>
      </c>
      <c r="BS474" t="str">
        <f t="shared" si="2196"/>
        <v>21B</v>
      </c>
      <c r="BT474" t="str">
        <f t="shared" si="2402"/>
        <v>DI5-C25</v>
      </c>
      <c r="BU474" t="str">
        <f t="shared" si="2403"/>
        <v>DI5-B25</v>
      </c>
      <c r="BV474" t="str">
        <f t="shared" si="2404"/>
        <v>DI5-C26</v>
      </c>
      <c r="BW474" t="str">
        <f t="shared" si="2405"/>
        <v>DI5-B26</v>
      </c>
      <c r="BX474" t="str">
        <f t="shared" si="2406"/>
        <v>DI5-C27</v>
      </c>
      <c r="BY474" t="str">
        <f t="shared" si="2407"/>
        <v>DI5-B27</v>
      </c>
      <c r="BZ474" t="str">
        <f t="shared" si="2408"/>
        <v>DI5-C28</v>
      </c>
      <c r="CA474" t="str">
        <f t="shared" si="2409"/>
        <v>DI5-B28</v>
      </c>
      <c r="CB474" t="str">
        <f t="shared" si="2410"/>
        <v>DI5-C29</v>
      </c>
      <c r="CC474" t="str">
        <f t="shared" si="2411"/>
        <v>DI5-B29</v>
      </c>
      <c r="CD474" t="str">
        <f t="shared" si="2412"/>
        <v>DI5-C30</v>
      </c>
      <c r="CE474" t="str">
        <f t="shared" si="2413"/>
        <v>DI5-B30</v>
      </c>
      <c r="CF474" t="str">
        <f t="shared" si="2414"/>
        <v>DO3-19A</v>
      </c>
      <c r="CG474" t="str">
        <f t="shared" si="2415"/>
        <v>DO3-19B</v>
      </c>
      <c r="CH474" t="str">
        <f t="shared" si="2416"/>
        <v>DO3-20A</v>
      </c>
      <c r="CI474" t="str">
        <f t="shared" si="2417"/>
        <v>DO3-20B</v>
      </c>
      <c r="CJ474" t="str">
        <f t="shared" si="2418"/>
        <v>DO3-21A</v>
      </c>
      <c r="CK474" t="str">
        <f t="shared" si="2419"/>
        <v>DO3-21B</v>
      </c>
      <c r="CL474" t="str">
        <f t="shared" si="2215"/>
        <v>K30-10</v>
      </c>
      <c r="CM474" t="str">
        <f t="shared" si="2216"/>
        <v>K30-03</v>
      </c>
      <c r="CN474" t="str">
        <f t="shared" si="2217"/>
        <v>K30-04</v>
      </c>
      <c r="CO474" t="str">
        <f t="shared" si="2218"/>
        <v>K30-01</v>
      </c>
      <c r="CP474" t="str">
        <f t="shared" si="2219"/>
        <v>K30-08</v>
      </c>
      <c r="CQ474" t="str">
        <f t="shared" si="2220"/>
        <v>K30-02</v>
      </c>
      <c r="CR474" t="str">
        <f t="shared" si="2221"/>
        <v>K30-09</v>
      </c>
      <c r="CS474" t="str">
        <f t="shared" si="2222"/>
        <v>K30-05</v>
      </c>
      <c r="CT474" t="str">
        <f t="shared" si="2223"/>
        <v>K30-11</v>
      </c>
      <c r="CU474" t="str">
        <f t="shared" si="2224"/>
        <v>N1-M30-A9</v>
      </c>
      <c r="CV474" t="str">
        <f t="shared" si="2225"/>
        <v>N1-M30-A7</v>
      </c>
      <c r="CW474" t="str">
        <f t="shared" si="2226"/>
        <v>N1-M30-A8</v>
      </c>
      <c r="CX474" t="str">
        <f t="shared" si="2227"/>
        <v>N1-M30-A6</v>
      </c>
      <c r="CY474" t="str">
        <f t="shared" si="2228"/>
        <v>N1-M30-A30</v>
      </c>
      <c r="CZ474" t="str">
        <f t="shared" si="2229"/>
        <v>N1-M30-N</v>
      </c>
      <c r="DA474" t="str">
        <f t="shared" si="2420"/>
        <v>N1-A220-M30</v>
      </c>
      <c r="DB474" t="str">
        <f t="shared" si="2231"/>
        <v>N1-M30-XM01</v>
      </c>
      <c r="DC474" t="str">
        <f t="shared" si="2232"/>
        <v>N1-M30-A1</v>
      </c>
      <c r="DD474" t="str">
        <f t="shared" si="2233"/>
        <v>N1-M30-A5</v>
      </c>
      <c r="DE474" t="str">
        <f t="shared" si="2234"/>
        <v>N1-M30-A11</v>
      </c>
      <c r="DF474" t="str">
        <f t="shared" si="2235"/>
        <v>N1-M30-A12</v>
      </c>
      <c r="DG474" t="str">
        <f t="shared" si="2236"/>
        <v>N1-M30-A19</v>
      </c>
      <c r="DH474" t="str">
        <f t="shared" si="2237"/>
        <v>N1-M30-A20</v>
      </c>
      <c r="DI474" t="s">
        <v>142</v>
      </c>
      <c r="DJ474" t="s">
        <v>143</v>
      </c>
      <c r="DK474">
        <v>11</v>
      </c>
      <c r="DL474">
        <v>14</v>
      </c>
      <c r="DM474">
        <v>12</v>
      </c>
      <c r="DN474" t="s">
        <v>144</v>
      </c>
      <c r="DO474" t="s">
        <v>145</v>
      </c>
      <c r="DP474">
        <v>1</v>
      </c>
      <c r="DQ474">
        <v>2</v>
      </c>
      <c r="DR474">
        <v>3</v>
      </c>
      <c r="DS474">
        <v>4</v>
      </c>
      <c r="DT474">
        <v>5</v>
      </c>
      <c r="DU474">
        <v>6</v>
      </c>
      <c r="DV474">
        <v>7</v>
      </c>
      <c r="DW474">
        <v>8</v>
      </c>
      <c r="DX474">
        <v>9</v>
      </c>
      <c r="DY474">
        <v>10</v>
      </c>
      <c r="DZ474">
        <v>11</v>
      </c>
      <c r="EA474">
        <v>12</v>
      </c>
      <c r="EB474">
        <v>13</v>
      </c>
      <c r="EC474">
        <v>14</v>
      </c>
      <c r="ED474">
        <v>1</v>
      </c>
      <c r="EE474">
        <v>3</v>
      </c>
      <c r="EF474">
        <v>4</v>
      </c>
      <c r="EG474">
        <v>7</v>
      </c>
      <c r="EH474">
        <v>8</v>
      </c>
      <c r="EI474">
        <v>9</v>
      </c>
      <c r="EJ474">
        <v>10</v>
      </c>
      <c r="EK474">
        <v>13</v>
      </c>
      <c r="EL474">
        <v>14</v>
      </c>
      <c r="EM474">
        <v>15</v>
      </c>
      <c r="EN474">
        <v>16</v>
      </c>
      <c r="EO474">
        <v>22</v>
      </c>
      <c r="EP474">
        <v>23</v>
      </c>
      <c r="EQ474" s="16">
        <v>24</v>
      </c>
    </row>
    <row r="475" spans="1:147" x14ac:dyDescent="0.25">
      <c r="A475" s="67" t="s">
        <v>2592</v>
      </c>
      <c r="B475" t="s">
        <v>2591</v>
      </c>
      <c r="C475" s="3"/>
      <c r="O475" s="2"/>
      <c r="P475" t="s">
        <v>129</v>
      </c>
      <c r="Q475" s="1"/>
      <c r="S475" s="1" t="s">
        <v>130</v>
      </c>
      <c r="T475" s="14" t="s">
        <v>2185</v>
      </c>
      <c r="U475" s="60">
        <v>31</v>
      </c>
      <c r="V475" s="15" t="s">
        <v>2578</v>
      </c>
      <c r="W475" s="15"/>
      <c r="AC475" t="str">
        <f t="shared" si="2238"/>
        <v>A5.6</v>
      </c>
      <c r="AD475" s="43" t="str" cm="1">
        <f t="array" ref="AD475">IF(COUNTIFS(AC$379:AC475,AC475)=1,"1",VALUE(SUBSTITUTE(INDEX(AD:AD,_xlfn.XMATCH(AC475,AC$1:AC474,0,-1)),"A",""))+INDEX(AE:AE,_xlfn.XMATCH(AC475,AC$1:AC474,0,-1))+1)</f>
        <v>1</v>
      </c>
      <c r="AE475" s="43" cm="1">
        <f t="array" ref="AE475">SUM(IF(ISNUMBER(FIND("TmDi",$BE$1:$AAL$1)),IF(IFERROR(ISNUMBER(VALUE(SUBSTITUTE($BE475:$AAL475,"B",""))),FALSE),IF(ISNUMBER(VALUE(SUBSTITUTE($BE475:$AAL475,"B",""))),1,0),0)))</f>
        <v>5</v>
      </c>
      <c r="AF475" t="str">
        <f t="shared" si="2178"/>
        <v>C1</v>
      </c>
      <c r="AG475" t="str">
        <f t="shared" si="2179"/>
        <v>B1</v>
      </c>
      <c r="AH475" t="str">
        <f t="shared" si="2360"/>
        <v>A6.3</v>
      </c>
      <c r="AI475" s="73" cm="1">
        <f t="array" ref="AI475">IF(COUNTIFS(AH$379:AH475,AH475)=1,"1",VALUE(SUBSTITUTE(INDEX(AI:AI,_xlfn.XMATCH(AH475,AH$1:AH474,0,-1)),"A",""))+INDEX(AJ:AJ,_xlfn.XMATCH(AH475,AH$1:AH474,0,-1))+1)</f>
        <v>22</v>
      </c>
      <c r="AJ475" s="64" cm="1">
        <f t="array" ref="AJ475">SUM(IF(ISNUMBER(FIND("TmDo",$BE$1:$AAL$1)),IF(IFERROR(ISNUMBER(VALUE(SUBSTITUTE($BE475:$AAL475,"B",""))),FALSE),IF(ISNUMBER(VALUE(SUBSTITUTE($BE475:$AAL475,"B",""))),1,0),0)))</f>
        <v>2</v>
      </c>
      <c r="AK475" t="str">
        <f t="shared" si="2180"/>
        <v>22A</v>
      </c>
      <c r="AL475" t="str">
        <f t="shared" si="2181"/>
        <v>22B</v>
      </c>
      <c r="AM475" t="s">
        <v>223</v>
      </c>
      <c r="AP475" t="s">
        <v>2187</v>
      </c>
      <c r="AQ475" t="s">
        <v>2515</v>
      </c>
      <c r="AT475" t="s">
        <v>139</v>
      </c>
      <c r="AU475" t="s">
        <v>140</v>
      </c>
      <c r="BD475" s="16"/>
      <c r="BE475" s="27" t="str">
        <f t="shared" si="2391"/>
        <v>XT31</v>
      </c>
      <c r="BF475" t="str">
        <f t="shared" si="2392"/>
        <v>C2</v>
      </c>
      <c r="BG475" t="str">
        <f t="shared" si="2393"/>
        <v>B2</v>
      </c>
      <c r="BH475" t="str">
        <f t="shared" si="2394"/>
        <v>C3</v>
      </c>
      <c r="BI475" t="str">
        <f t="shared" si="2395"/>
        <v>B3</v>
      </c>
      <c r="BJ475" t="str">
        <f t="shared" si="2396"/>
        <v>C4</v>
      </c>
      <c r="BK475" t="str">
        <f t="shared" si="2397"/>
        <v>B4</v>
      </c>
      <c r="BL475" t="str">
        <f t="shared" si="2398"/>
        <v>C5</v>
      </c>
      <c r="BM475" t="str">
        <f t="shared" si="2399"/>
        <v>B5</v>
      </c>
      <c r="BN475" t="str">
        <f t="shared" si="2400"/>
        <v>C6</v>
      </c>
      <c r="BO475" t="str">
        <f t="shared" si="2401"/>
        <v>B6</v>
      </c>
      <c r="BP475" t="str">
        <f t="shared" si="2193"/>
        <v>23A</v>
      </c>
      <c r="BQ475" t="str">
        <f t="shared" si="2194"/>
        <v>23B</v>
      </c>
      <c r="BR475" t="str">
        <f t="shared" si="2195"/>
        <v>24A</v>
      </c>
      <c r="BS475" t="str">
        <f t="shared" si="2196"/>
        <v>24B</v>
      </c>
      <c r="BT475" t="str">
        <f t="shared" si="2402"/>
        <v>DI6-C1</v>
      </c>
      <c r="BU475" t="str">
        <f t="shared" si="2403"/>
        <v>DI6-B1</v>
      </c>
      <c r="BV475" t="str">
        <f t="shared" si="2404"/>
        <v>DI6-C2</v>
      </c>
      <c r="BW475" t="str">
        <f t="shared" si="2405"/>
        <v>DI6-B2</v>
      </c>
      <c r="BX475" t="str">
        <f t="shared" si="2406"/>
        <v>DI6-C3</v>
      </c>
      <c r="BY475" t="str">
        <f t="shared" si="2407"/>
        <v>DI6-B3</v>
      </c>
      <c r="BZ475" t="str">
        <f t="shared" si="2408"/>
        <v>DI6-C4</v>
      </c>
      <c r="CA475" t="str">
        <f t="shared" si="2409"/>
        <v>DI6-B4</v>
      </c>
      <c r="CB475" t="str">
        <f t="shared" si="2410"/>
        <v>DI6-C5</v>
      </c>
      <c r="CC475" t="str">
        <f t="shared" si="2411"/>
        <v>DI6-B5</v>
      </c>
      <c r="CD475" t="str">
        <f t="shared" si="2412"/>
        <v>DI6-C6</v>
      </c>
      <c r="CE475" t="str">
        <f t="shared" si="2413"/>
        <v>DI6-B6</v>
      </c>
      <c r="CF475" t="str">
        <f t="shared" si="2414"/>
        <v>DO3-22A</v>
      </c>
      <c r="CG475" t="str">
        <f t="shared" si="2415"/>
        <v>DO3-22B</v>
      </c>
      <c r="CH475" t="str">
        <f t="shared" si="2416"/>
        <v>DO3-23A</v>
      </c>
      <c r="CI475" t="str">
        <f t="shared" si="2417"/>
        <v>DO3-23B</v>
      </c>
      <c r="CJ475" t="str">
        <f t="shared" si="2418"/>
        <v>DO3-24A</v>
      </c>
      <c r="CK475" t="str">
        <f t="shared" si="2419"/>
        <v>DO3-24B</v>
      </c>
      <c r="CL475" t="str">
        <f t="shared" si="2215"/>
        <v>K31-10</v>
      </c>
      <c r="CM475" t="str">
        <f t="shared" si="2216"/>
        <v>K31-03</v>
      </c>
      <c r="CN475" t="str">
        <f t="shared" si="2217"/>
        <v>K31-04</v>
      </c>
      <c r="CO475" t="str">
        <f t="shared" si="2218"/>
        <v>K31-01</v>
      </c>
      <c r="CP475" t="str">
        <f t="shared" si="2219"/>
        <v>K31-08</v>
      </c>
      <c r="CQ475" t="str">
        <f t="shared" si="2220"/>
        <v>K31-02</v>
      </c>
      <c r="CR475" t="str">
        <f t="shared" si="2221"/>
        <v>K31-09</v>
      </c>
      <c r="CS475" t="str">
        <f t="shared" si="2222"/>
        <v>K31-05</v>
      </c>
      <c r="CT475" t="str">
        <f t="shared" si="2223"/>
        <v>K31-11</v>
      </c>
      <c r="CU475" t="str">
        <f t="shared" si="2224"/>
        <v>N1-M31-A9</v>
      </c>
      <c r="CV475" t="str">
        <f t="shared" si="2225"/>
        <v>N1-M31-A7</v>
      </c>
      <c r="CW475" t="str">
        <f t="shared" si="2226"/>
        <v>N1-M31-A8</v>
      </c>
      <c r="CX475" t="str">
        <f t="shared" si="2227"/>
        <v>N1-M31-A6</v>
      </c>
      <c r="CY475" t="str">
        <f t="shared" si="2228"/>
        <v>N1-M31-A30</v>
      </c>
      <c r="CZ475" t="str">
        <f t="shared" si="2229"/>
        <v>N1-M31-N</v>
      </c>
      <c r="DA475" t="str">
        <f t="shared" si="2420"/>
        <v>N1-A220-M31</v>
      </c>
      <c r="DB475" t="str">
        <f t="shared" si="2231"/>
        <v>N1-M31-XM01</v>
      </c>
      <c r="DC475" t="str">
        <f t="shared" si="2232"/>
        <v>N1-M31-A1</v>
      </c>
      <c r="DD475" t="str">
        <f t="shared" si="2233"/>
        <v>N1-M31-A5</v>
      </c>
      <c r="DE475" t="str">
        <f t="shared" si="2234"/>
        <v>N1-M31-A11</v>
      </c>
      <c r="DF475" t="str">
        <f t="shared" si="2235"/>
        <v>N1-M31-A12</v>
      </c>
      <c r="DG475" t="str">
        <f t="shared" si="2236"/>
        <v>N1-M31-A19</v>
      </c>
      <c r="DH475" t="str">
        <f t="shared" si="2237"/>
        <v>N1-M31-A20</v>
      </c>
      <c r="DI475" t="s">
        <v>142</v>
      </c>
      <c r="DJ475" t="s">
        <v>143</v>
      </c>
      <c r="DK475">
        <v>11</v>
      </c>
      <c r="DL475">
        <v>14</v>
      </c>
      <c r="DM475">
        <v>12</v>
      </c>
      <c r="DN475" t="s">
        <v>144</v>
      </c>
      <c r="DO475" t="s">
        <v>145</v>
      </c>
      <c r="DP475">
        <v>1</v>
      </c>
      <c r="DQ475">
        <v>2</v>
      </c>
      <c r="DR475">
        <v>3</v>
      </c>
      <c r="DS475">
        <v>4</v>
      </c>
      <c r="DT475">
        <v>5</v>
      </c>
      <c r="DU475">
        <v>6</v>
      </c>
      <c r="DV475">
        <v>7</v>
      </c>
      <c r="DW475">
        <v>8</v>
      </c>
      <c r="DX475">
        <v>9</v>
      </c>
      <c r="DY475">
        <v>10</v>
      </c>
      <c r="DZ475">
        <v>11</v>
      </c>
      <c r="EA475">
        <v>12</v>
      </c>
      <c r="EB475">
        <v>13</v>
      </c>
      <c r="EC475">
        <v>14</v>
      </c>
      <c r="ED475">
        <v>1</v>
      </c>
      <c r="EE475">
        <v>3</v>
      </c>
      <c r="EF475">
        <v>4</v>
      </c>
      <c r="EG475">
        <v>7</v>
      </c>
      <c r="EH475">
        <v>8</v>
      </c>
      <c r="EI475">
        <v>9</v>
      </c>
      <c r="EJ475">
        <v>10</v>
      </c>
      <c r="EK475">
        <v>13</v>
      </c>
      <c r="EL475">
        <v>14</v>
      </c>
      <c r="EM475">
        <v>15</v>
      </c>
      <c r="EN475">
        <v>16</v>
      </c>
      <c r="EO475">
        <v>22</v>
      </c>
      <c r="EP475">
        <v>23</v>
      </c>
      <c r="EQ475" s="16">
        <v>24</v>
      </c>
    </row>
    <row r="476" spans="1:147" x14ac:dyDescent="0.25">
      <c r="A476" s="67" t="s">
        <v>2594</v>
      </c>
      <c r="B476" t="s">
        <v>2593</v>
      </c>
      <c r="C476" s="3"/>
      <c r="O476" s="2"/>
      <c r="P476" t="s">
        <v>129</v>
      </c>
      <c r="Q476" s="1"/>
      <c r="S476" s="1" t="s">
        <v>130</v>
      </c>
      <c r="T476" s="14" t="s">
        <v>2185</v>
      </c>
      <c r="U476" s="60">
        <v>32</v>
      </c>
      <c r="V476" s="15" t="s">
        <v>2579</v>
      </c>
      <c r="W476" s="15"/>
      <c r="AC476" t="str">
        <f t="shared" si="2238"/>
        <v>A5.6</v>
      </c>
      <c r="AD476" s="43" cm="1">
        <f t="array" ref="AD476">IF(COUNTIFS(AC$379:AC476,AC476)=1,"1",VALUE(SUBSTITUTE(INDEX(AD:AD,_xlfn.XMATCH(AC476,AC$1:AC475,0,-1)),"A",""))+INDEX(AE:AE,_xlfn.XMATCH(AC476,AC$1:AC475,0,-1))+1)</f>
        <v>7</v>
      </c>
      <c r="AE476" s="43" cm="1">
        <f t="array" ref="AE476">SUM(IF(ISNUMBER(FIND("TmDi",$BE$1:$AAL$1)),IF(IFERROR(ISNUMBER(VALUE(SUBSTITUTE($BE476:$AAL476,"B",""))),FALSE),IF(ISNUMBER(VALUE(SUBSTITUTE($BE476:$AAL476,"B",""))),1,0),0)))</f>
        <v>5</v>
      </c>
      <c r="AF476" t="str">
        <f t="shared" si="2178"/>
        <v>C7</v>
      </c>
      <c r="AG476" t="str">
        <f t="shared" si="2179"/>
        <v>B7</v>
      </c>
      <c r="AH476" t="str">
        <f t="shared" si="2360"/>
        <v>A6.3</v>
      </c>
      <c r="AI476" s="73" cm="1">
        <f t="array" ref="AI476">IF(COUNTIFS(AH$379:AH476,AH476)=1,"1",VALUE(SUBSTITUTE(INDEX(AI:AI,_xlfn.XMATCH(AH476,AH$1:AH475,0,-1)),"A",""))+INDEX(AJ:AJ,_xlfn.XMATCH(AH476,AH$1:AH475,0,-1))+1)</f>
        <v>25</v>
      </c>
      <c r="AJ476" s="64" cm="1">
        <f t="array" ref="AJ476">SUM(IF(ISNUMBER(FIND("TmDo",$BE$1:$AAL$1)),IF(IFERROR(ISNUMBER(VALUE(SUBSTITUTE($BE476:$AAL476,"B",""))),FALSE),IF(ISNUMBER(VALUE(SUBSTITUTE($BE476:$AAL476,"B",""))),1,0),0)))</f>
        <v>2</v>
      </c>
      <c r="AK476" t="str">
        <f t="shared" si="2180"/>
        <v>25A</v>
      </c>
      <c r="AL476" t="str">
        <f t="shared" si="2181"/>
        <v>25B</v>
      </c>
      <c r="AM476" t="s">
        <v>226</v>
      </c>
      <c r="AP476" t="s">
        <v>2187</v>
      </c>
      <c r="AQ476" t="s">
        <v>2515</v>
      </c>
      <c r="AT476" t="s">
        <v>139</v>
      </c>
      <c r="AU476" t="s">
        <v>140</v>
      </c>
      <c r="BD476" s="16"/>
      <c r="BE476" s="27" t="str">
        <f t="shared" si="2391"/>
        <v>XT32</v>
      </c>
      <c r="BF476" t="str">
        <f t="shared" si="2392"/>
        <v>C8</v>
      </c>
      <c r="BG476" t="str">
        <f t="shared" si="2393"/>
        <v>B8</v>
      </c>
      <c r="BH476" t="str">
        <f t="shared" si="2394"/>
        <v>C9</v>
      </c>
      <c r="BI476" t="str">
        <f t="shared" si="2395"/>
        <v>B9</v>
      </c>
      <c r="BJ476" t="str">
        <f t="shared" si="2396"/>
        <v>C10</v>
      </c>
      <c r="BK476" t="str">
        <f t="shared" si="2397"/>
        <v>B10</v>
      </c>
      <c r="BL476" t="str">
        <f t="shared" si="2398"/>
        <v>C11</v>
      </c>
      <c r="BM476" t="str">
        <f t="shared" si="2399"/>
        <v>B11</v>
      </c>
      <c r="BN476" t="str">
        <f t="shared" si="2400"/>
        <v>C12</v>
      </c>
      <c r="BO476" t="str">
        <f t="shared" si="2401"/>
        <v>B12</v>
      </c>
      <c r="BP476" t="str">
        <f t="shared" si="2193"/>
        <v>26A</v>
      </c>
      <c r="BQ476" t="str">
        <f t="shared" si="2194"/>
        <v>26B</v>
      </c>
      <c r="BR476" t="str">
        <f t="shared" si="2195"/>
        <v>27A</v>
      </c>
      <c r="BS476" t="str">
        <f t="shared" si="2196"/>
        <v>27B</v>
      </c>
      <c r="BT476" t="str">
        <f t="shared" si="2402"/>
        <v>DI6-C7</v>
      </c>
      <c r="BU476" t="str">
        <f t="shared" si="2403"/>
        <v>DI6-B7</v>
      </c>
      <c r="BV476" t="str">
        <f t="shared" si="2404"/>
        <v>DI6-C8</v>
      </c>
      <c r="BW476" t="str">
        <f t="shared" si="2405"/>
        <v>DI6-B8</v>
      </c>
      <c r="BX476" t="str">
        <f t="shared" si="2406"/>
        <v>DI6-C9</v>
      </c>
      <c r="BY476" t="str">
        <f t="shared" si="2407"/>
        <v>DI6-B9</v>
      </c>
      <c r="BZ476" t="str">
        <f t="shared" si="2408"/>
        <v>DI6-C10</v>
      </c>
      <c r="CA476" t="str">
        <f t="shared" si="2409"/>
        <v>DI6-B10</v>
      </c>
      <c r="CB476" t="str">
        <f t="shared" si="2410"/>
        <v>DI6-C11</v>
      </c>
      <c r="CC476" t="str">
        <f t="shared" si="2411"/>
        <v>DI6-B11</v>
      </c>
      <c r="CD476" t="str">
        <f t="shared" si="2412"/>
        <v>DI6-C12</v>
      </c>
      <c r="CE476" t="str">
        <f t="shared" si="2413"/>
        <v>DI6-B12</v>
      </c>
      <c r="CF476" t="str">
        <f t="shared" si="2414"/>
        <v>DO3-25A</v>
      </c>
      <c r="CG476" t="str">
        <f t="shared" si="2415"/>
        <v>DO3-25B</v>
      </c>
      <c r="CH476" t="str">
        <f t="shared" si="2416"/>
        <v>DO3-26A</v>
      </c>
      <c r="CI476" t="str">
        <f t="shared" si="2417"/>
        <v>DO3-26B</v>
      </c>
      <c r="CJ476" t="str">
        <f t="shared" si="2418"/>
        <v>DO3-27A</v>
      </c>
      <c r="CK476" t="str">
        <f t="shared" si="2419"/>
        <v>DO3-27B</v>
      </c>
      <c r="CL476" t="str">
        <f t="shared" si="2215"/>
        <v>K32-10</v>
      </c>
      <c r="CM476" t="str">
        <f t="shared" si="2216"/>
        <v>K32-03</v>
      </c>
      <c r="CN476" t="str">
        <f t="shared" si="2217"/>
        <v>K32-04</v>
      </c>
      <c r="CO476" t="str">
        <f t="shared" si="2218"/>
        <v>K32-01</v>
      </c>
      <c r="CP476" t="str">
        <f t="shared" si="2219"/>
        <v>K32-08</v>
      </c>
      <c r="CQ476" t="str">
        <f t="shared" si="2220"/>
        <v>K32-02</v>
      </c>
      <c r="CR476" t="str">
        <f t="shared" si="2221"/>
        <v>K32-09</v>
      </c>
      <c r="CS476" t="str">
        <f t="shared" si="2222"/>
        <v>K32-05</v>
      </c>
      <c r="CT476" t="str">
        <f t="shared" si="2223"/>
        <v>K32-11</v>
      </c>
      <c r="CU476" t="str">
        <f t="shared" si="2224"/>
        <v>N1-M32-A9</v>
      </c>
      <c r="CV476" t="str">
        <f t="shared" si="2225"/>
        <v>N1-M32-A7</v>
      </c>
      <c r="CW476" t="str">
        <f t="shared" si="2226"/>
        <v>N1-M32-A8</v>
      </c>
      <c r="CX476" t="str">
        <f t="shared" si="2227"/>
        <v>N1-M32-A6</v>
      </c>
      <c r="CY476" t="str">
        <f t="shared" si="2228"/>
        <v>N1-M32-A30</v>
      </c>
      <c r="CZ476" t="str">
        <f t="shared" si="2229"/>
        <v>N1-M32-N</v>
      </c>
      <c r="DA476" t="str">
        <f t="shared" si="2420"/>
        <v>N1-A220-M32</v>
      </c>
      <c r="DB476" t="str">
        <f t="shared" si="2231"/>
        <v>N1-M32-XM01</v>
      </c>
      <c r="DC476" t="str">
        <f t="shared" si="2232"/>
        <v>N1-M32-A1</v>
      </c>
      <c r="DD476" t="str">
        <f t="shared" si="2233"/>
        <v>N1-M32-A5</v>
      </c>
      <c r="DE476" t="str">
        <f t="shared" si="2234"/>
        <v>N1-M32-A11</v>
      </c>
      <c r="DF476" t="str">
        <f t="shared" si="2235"/>
        <v>N1-M32-A12</v>
      </c>
      <c r="DG476" t="str">
        <f t="shared" si="2236"/>
        <v>N1-M32-A19</v>
      </c>
      <c r="DH476" t="str">
        <f t="shared" si="2237"/>
        <v>N1-M32-A20</v>
      </c>
      <c r="DI476" t="s">
        <v>142</v>
      </c>
      <c r="DJ476" t="s">
        <v>143</v>
      </c>
      <c r="DK476">
        <v>11</v>
      </c>
      <c r="DL476">
        <v>14</v>
      </c>
      <c r="DM476">
        <v>12</v>
      </c>
      <c r="DN476" t="s">
        <v>144</v>
      </c>
      <c r="DO476" t="s">
        <v>145</v>
      </c>
      <c r="DP476">
        <v>1</v>
      </c>
      <c r="DQ476">
        <v>2</v>
      </c>
      <c r="DR476">
        <v>3</v>
      </c>
      <c r="DS476">
        <v>4</v>
      </c>
      <c r="DT476">
        <v>5</v>
      </c>
      <c r="DU476">
        <v>6</v>
      </c>
      <c r="DV476">
        <v>7</v>
      </c>
      <c r="DW476">
        <v>8</v>
      </c>
      <c r="DX476">
        <v>9</v>
      </c>
      <c r="DY476">
        <v>10</v>
      </c>
      <c r="DZ476">
        <v>11</v>
      </c>
      <c r="EA476">
        <v>12</v>
      </c>
      <c r="EB476">
        <v>13</v>
      </c>
      <c r="EC476">
        <v>14</v>
      </c>
      <c r="ED476">
        <v>1</v>
      </c>
      <c r="EE476">
        <v>3</v>
      </c>
      <c r="EF476">
        <v>4</v>
      </c>
      <c r="EG476">
        <v>7</v>
      </c>
      <c r="EH476">
        <v>8</v>
      </c>
      <c r="EI476">
        <v>9</v>
      </c>
      <c r="EJ476">
        <v>10</v>
      </c>
      <c r="EK476">
        <v>13</v>
      </c>
      <c r="EL476">
        <v>14</v>
      </c>
      <c r="EM476">
        <v>15</v>
      </c>
      <c r="EN476">
        <v>16</v>
      </c>
      <c r="EO476">
        <v>22</v>
      </c>
      <c r="EP476">
        <v>23</v>
      </c>
      <c r="EQ476" s="16">
        <v>24</v>
      </c>
    </row>
    <row r="477" spans="1:147" x14ac:dyDescent="0.25">
      <c r="A477" s="67" t="s">
        <v>2596</v>
      </c>
      <c r="B477" t="s">
        <v>2595</v>
      </c>
      <c r="C477" s="3"/>
      <c r="O477" s="2"/>
      <c r="P477" t="s">
        <v>129</v>
      </c>
      <c r="Q477" s="1"/>
      <c r="S477" s="1" t="s">
        <v>130</v>
      </c>
      <c r="T477" s="14" t="s">
        <v>2185</v>
      </c>
      <c r="U477" s="60">
        <v>33</v>
      </c>
      <c r="V477" s="15" t="s">
        <v>2580</v>
      </c>
      <c r="W477" s="15"/>
      <c r="AC477" t="str">
        <f t="shared" si="2238"/>
        <v>A5.6</v>
      </c>
      <c r="AD477" s="43" cm="1">
        <f t="array" ref="AD477">IF(COUNTIFS(AC$379:AC477,AC477)=1,"1",VALUE(SUBSTITUTE(INDEX(AD:AD,_xlfn.XMATCH(AC477,AC$1:AC476,0,-1)),"A",""))+INDEX(AE:AE,_xlfn.XMATCH(AC477,AC$1:AC476,0,-1))+1)</f>
        <v>13</v>
      </c>
      <c r="AE477" s="43" cm="1">
        <f t="array" ref="AE477">SUM(IF(ISNUMBER(FIND("TmDi",$BE$1:$AAL$1)),IF(IFERROR(ISNUMBER(VALUE(SUBSTITUTE($BE477:$AAL477,"B",""))),FALSE),IF(ISNUMBER(VALUE(SUBSTITUTE($BE477:$AAL477,"B",""))),1,0),0)))</f>
        <v>5</v>
      </c>
      <c r="AF477" t="str">
        <f t="shared" si="2178"/>
        <v>C13</v>
      </c>
      <c r="AG477" t="str">
        <f t="shared" si="2179"/>
        <v>B13</v>
      </c>
      <c r="AH477" t="str">
        <f t="shared" si="2360"/>
        <v>A6.4</v>
      </c>
      <c r="AI477" s="73" t="str" cm="1">
        <f t="array" ref="AI477">IF(COUNTIFS(AH$379:AH477,AH477)=1,"1",VALUE(SUBSTITUTE(INDEX(AI:AI,_xlfn.XMATCH(AH477,AH$1:AH476,0,-1)),"A",""))+INDEX(AJ:AJ,_xlfn.XMATCH(AH477,AH$1:AH476,0,-1))+1)</f>
        <v>1</v>
      </c>
      <c r="AJ477" s="64" cm="1">
        <f t="array" ref="AJ477">SUM(IF(ISNUMBER(FIND("TmDo",$BE$1:$AAL$1)),IF(IFERROR(ISNUMBER(VALUE(SUBSTITUTE($BE477:$AAL477,"B",""))),FALSE),IF(ISNUMBER(VALUE(SUBSTITUTE($BE477:$AAL477,"B",""))),1,0),0)))</f>
        <v>2</v>
      </c>
      <c r="AK477" t="str">
        <f t="shared" si="2180"/>
        <v>1A</v>
      </c>
      <c r="AL477" t="str">
        <f t="shared" si="2181"/>
        <v>1B</v>
      </c>
      <c r="AM477" t="s">
        <v>229</v>
      </c>
      <c r="AP477" t="s">
        <v>2187</v>
      </c>
      <c r="AQ477" t="s">
        <v>2515</v>
      </c>
      <c r="AT477" t="s">
        <v>139</v>
      </c>
      <c r="AU477" t="s">
        <v>140</v>
      </c>
      <c r="BD477" s="16"/>
      <c r="BE477" s="27" t="str">
        <f t="shared" si="2391"/>
        <v>XT33</v>
      </c>
      <c r="BF477" t="str">
        <f t="shared" si="2392"/>
        <v>C14</v>
      </c>
      <c r="BG477" t="str">
        <f t="shared" si="2393"/>
        <v>B14</v>
      </c>
      <c r="BH477" t="str">
        <f t="shared" si="2394"/>
        <v>C15</v>
      </c>
      <c r="BI477" t="str">
        <f t="shared" si="2395"/>
        <v>B15</v>
      </c>
      <c r="BJ477" t="str">
        <f t="shared" si="2396"/>
        <v>C16</v>
      </c>
      <c r="BK477" t="str">
        <f t="shared" si="2397"/>
        <v>B16</v>
      </c>
      <c r="BL477" t="str">
        <f t="shared" si="2398"/>
        <v>C17</v>
      </c>
      <c r="BM477" t="str">
        <f t="shared" si="2399"/>
        <v>B17</v>
      </c>
      <c r="BN477" t="str">
        <f t="shared" si="2400"/>
        <v>C18</v>
      </c>
      <c r="BO477" t="str">
        <f t="shared" si="2401"/>
        <v>B18</v>
      </c>
      <c r="BP477" t="str">
        <f t="shared" si="2193"/>
        <v>2A</v>
      </c>
      <c r="BQ477" t="str">
        <f t="shared" si="2194"/>
        <v>2B</v>
      </c>
      <c r="BR477" t="str">
        <f t="shared" si="2195"/>
        <v>3A</v>
      </c>
      <c r="BS477" t="str">
        <f t="shared" si="2196"/>
        <v>3B</v>
      </c>
      <c r="BT477" t="str">
        <f t="shared" si="2402"/>
        <v>DI6-C13</v>
      </c>
      <c r="BU477" t="str">
        <f t="shared" si="2403"/>
        <v>DI6-B13</v>
      </c>
      <c r="BV477" t="str">
        <f t="shared" si="2404"/>
        <v>DI6-C14</v>
      </c>
      <c r="BW477" t="str">
        <f t="shared" si="2405"/>
        <v>DI6-B14</v>
      </c>
      <c r="BX477" t="str">
        <f t="shared" si="2406"/>
        <v>DI6-C15</v>
      </c>
      <c r="BY477" t="str">
        <f t="shared" si="2407"/>
        <v>DI6-B15</v>
      </c>
      <c r="BZ477" t="str">
        <f t="shared" si="2408"/>
        <v>DI6-C16</v>
      </c>
      <c r="CA477" t="str">
        <f t="shared" si="2409"/>
        <v>DI6-B16</v>
      </c>
      <c r="CB477" t="str">
        <f t="shared" si="2410"/>
        <v>DI6-C17</v>
      </c>
      <c r="CC477" t="str">
        <f t="shared" si="2411"/>
        <v>DI6-B17</v>
      </c>
      <c r="CD477" t="str">
        <f t="shared" si="2412"/>
        <v>DI6-C18</v>
      </c>
      <c r="CE477" t="str">
        <f t="shared" si="2413"/>
        <v>DI6-B18</v>
      </c>
      <c r="CF477" t="str">
        <f t="shared" si="2414"/>
        <v>DO4-1A</v>
      </c>
      <c r="CG477" t="str">
        <f t="shared" si="2415"/>
        <v>DO4-1B</v>
      </c>
      <c r="CH477" t="str">
        <f t="shared" si="2416"/>
        <v>DO4-2A</v>
      </c>
      <c r="CI477" t="str">
        <f t="shared" si="2417"/>
        <v>DO4-2B</v>
      </c>
      <c r="CJ477" t="str">
        <f t="shared" si="2418"/>
        <v>DO4-3A</v>
      </c>
      <c r="CK477" t="str">
        <f t="shared" si="2419"/>
        <v>DO4-3B</v>
      </c>
      <c r="CL477" t="str">
        <f t="shared" si="2215"/>
        <v>K33-10</v>
      </c>
      <c r="CM477" t="str">
        <f t="shared" si="2216"/>
        <v>K33-03</v>
      </c>
      <c r="CN477" t="str">
        <f t="shared" si="2217"/>
        <v>K33-04</v>
      </c>
      <c r="CO477" t="str">
        <f t="shared" si="2218"/>
        <v>K33-01</v>
      </c>
      <c r="CP477" t="str">
        <f t="shared" si="2219"/>
        <v>K33-08</v>
      </c>
      <c r="CQ477" t="str">
        <f t="shared" si="2220"/>
        <v>K33-02</v>
      </c>
      <c r="CR477" t="str">
        <f t="shared" si="2221"/>
        <v>K33-09</v>
      </c>
      <c r="CS477" t="str">
        <f t="shared" si="2222"/>
        <v>K33-05</v>
      </c>
      <c r="CT477" t="str">
        <f t="shared" si="2223"/>
        <v>K33-11</v>
      </c>
      <c r="CU477" t="str">
        <f t="shared" si="2224"/>
        <v>N1-M33-A9</v>
      </c>
      <c r="CV477" t="str">
        <f t="shared" si="2225"/>
        <v>N1-M33-A7</v>
      </c>
      <c r="CW477" t="str">
        <f t="shared" si="2226"/>
        <v>N1-M33-A8</v>
      </c>
      <c r="CX477" t="str">
        <f t="shared" si="2227"/>
        <v>N1-M33-A6</v>
      </c>
      <c r="CY477" t="str">
        <f t="shared" si="2228"/>
        <v>N1-M33-A30</v>
      </c>
      <c r="CZ477" t="str">
        <f t="shared" si="2229"/>
        <v>N1-M33-N</v>
      </c>
      <c r="DA477" t="str">
        <f t="shared" si="2420"/>
        <v>N1-A220-M33</v>
      </c>
      <c r="DB477" t="str">
        <f t="shared" si="2231"/>
        <v>N1-M33-XM01</v>
      </c>
      <c r="DC477" t="str">
        <f t="shared" si="2232"/>
        <v>N1-M33-A1</v>
      </c>
      <c r="DD477" t="str">
        <f t="shared" si="2233"/>
        <v>N1-M33-A5</v>
      </c>
      <c r="DE477" t="str">
        <f t="shared" si="2234"/>
        <v>N1-M33-A11</v>
      </c>
      <c r="DF477" t="str">
        <f t="shared" si="2235"/>
        <v>N1-M33-A12</v>
      </c>
      <c r="DG477" t="str">
        <f t="shared" si="2236"/>
        <v>N1-M33-A19</v>
      </c>
      <c r="DH477" t="str">
        <f t="shared" si="2237"/>
        <v>N1-M33-A20</v>
      </c>
      <c r="DI477" t="s">
        <v>142</v>
      </c>
      <c r="DJ477" t="s">
        <v>143</v>
      </c>
      <c r="DK477">
        <v>11</v>
      </c>
      <c r="DL477">
        <v>14</v>
      </c>
      <c r="DM477">
        <v>12</v>
      </c>
      <c r="DN477" t="s">
        <v>144</v>
      </c>
      <c r="DO477" t="s">
        <v>145</v>
      </c>
      <c r="DP477">
        <v>1</v>
      </c>
      <c r="DQ477">
        <v>2</v>
      </c>
      <c r="DR477">
        <v>3</v>
      </c>
      <c r="DS477">
        <v>4</v>
      </c>
      <c r="DT477">
        <v>5</v>
      </c>
      <c r="DU477">
        <v>6</v>
      </c>
      <c r="DV477">
        <v>7</v>
      </c>
      <c r="DW477">
        <v>8</v>
      </c>
      <c r="DX477">
        <v>9</v>
      </c>
      <c r="DY477">
        <v>10</v>
      </c>
      <c r="DZ477">
        <v>11</v>
      </c>
      <c r="EA477">
        <v>12</v>
      </c>
      <c r="EB477">
        <v>13</v>
      </c>
      <c r="EC477">
        <v>14</v>
      </c>
      <c r="ED477">
        <v>1</v>
      </c>
      <c r="EE477">
        <v>3</v>
      </c>
      <c r="EF477">
        <v>4</v>
      </c>
      <c r="EG477">
        <v>7</v>
      </c>
      <c r="EH477">
        <v>8</v>
      </c>
      <c r="EI477">
        <v>9</v>
      </c>
      <c r="EJ477">
        <v>10</v>
      </c>
      <c r="EK477">
        <v>13</v>
      </c>
      <c r="EL477">
        <v>14</v>
      </c>
      <c r="EM477">
        <v>15</v>
      </c>
      <c r="EN477">
        <v>16</v>
      </c>
      <c r="EO477">
        <v>22</v>
      </c>
      <c r="EP477">
        <v>23</v>
      </c>
      <c r="EQ477" s="16">
        <v>24</v>
      </c>
    </row>
    <row r="478" spans="1:147" x14ac:dyDescent="0.25">
      <c r="A478" s="67" t="s">
        <v>2602</v>
      </c>
      <c r="B478" t="s">
        <v>2601</v>
      </c>
      <c r="C478" s="3"/>
      <c r="O478" s="2"/>
      <c r="P478" t="s">
        <v>129</v>
      </c>
      <c r="Q478" s="1"/>
      <c r="S478" s="1" t="s">
        <v>130</v>
      </c>
      <c r="T478" s="14" t="s">
        <v>2185</v>
      </c>
      <c r="U478" s="60">
        <v>34</v>
      </c>
      <c r="V478" s="15" t="s">
        <v>2597</v>
      </c>
      <c r="W478" s="15"/>
      <c r="AC478" t="str">
        <f t="shared" si="2238"/>
        <v>A5.6</v>
      </c>
      <c r="AD478" s="43" cm="1">
        <f t="array" ref="AD478">IF(COUNTIFS(AC$379:AC478,AC478)=1,"1",VALUE(SUBSTITUTE(INDEX(AD:AD,_xlfn.XMATCH(AC478,AC$1:AC477,0,-1)),"A",""))+INDEX(AE:AE,_xlfn.XMATCH(AC478,AC$1:AC477,0,-1))+1)</f>
        <v>19</v>
      </c>
      <c r="AE478" s="43" cm="1">
        <f t="array" ref="AE478">SUM(IF(ISNUMBER(FIND("TmDi",$BE$1:$AAL$1)),IF(IFERROR(ISNUMBER(VALUE(SUBSTITUTE($BE478:$AAL478,"B",""))),FALSE),IF(ISNUMBER(VALUE(SUBSTITUTE($BE478:$AAL478,"B",""))),1,0),0)))</f>
        <v>5</v>
      </c>
      <c r="AF478" t="str">
        <f t="shared" si="2178"/>
        <v>C19</v>
      </c>
      <c r="AG478" t="str">
        <f t="shared" si="2179"/>
        <v>B19</v>
      </c>
      <c r="AH478" t="str">
        <f t="shared" si="2360"/>
        <v>A6.4</v>
      </c>
      <c r="AI478" s="73" cm="1">
        <f t="array" ref="AI478">IF(COUNTIFS(AH$379:AH478,AH478)=1,"1",VALUE(SUBSTITUTE(INDEX(AI:AI,_xlfn.XMATCH(AH478,AH$1:AH477,0,-1)),"A",""))+INDEX(AJ:AJ,_xlfn.XMATCH(AH478,AH$1:AH477,0,-1))+1)</f>
        <v>4</v>
      </c>
      <c r="AJ478" s="64" cm="1">
        <f t="array" ref="AJ478">SUM(IF(ISNUMBER(FIND("TmDo",$BE$1:$AAL$1)),IF(IFERROR(ISNUMBER(VALUE(SUBSTITUTE($BE478:$AAL478,"B",""))),FALSE),IF(ISNUMBER(VALUE(SUBSTITUTE($BE478:$AAL478,"B",""))),1,0),0)))</f>
        <v>2</v>
      </c>
      <c r="AK478" t="str">
        <f t="shared" si="2180"/>
        <v>4A</v>
      </c>
      <c r="AL478" t="str">
        <f t="shared" si="2181"/>
        <v>4B</v>
      </c>
      <c r="AM478" t="s">
        <v>232</v>
      </c>
      <c r="AP478" t="s">
        <v>2187</v>
      </c>
      <c r="AQ478" t="s">
        <v>2515</v>
      </c>
      <c r="AT478" t="s">
        <v>139</v>
      </c>
      <c r="AU478" t="s">
        <v>140</v>
      </c>
      <c r="BD478" s="16"/>
      <c r="BE478" s="27" t="str">
        <f t="shared" ref="BE478:BE489" si="2421">CONCATENATE("XT",U478)</f>
        <v>XT34</v>
      </c>
      <c r="BF478" t="str">
        <f t="shared" ref="BF478:BF489" si="2422">CONCATENATE("C",REPLACE(AF478,1,1,"")+1)</f>
        <v>C20</v>
      </c>
      <c r="BG478" t="str">
        <f t="shared" ref="BG478:BG489" si="2423">CONCATENATE("B",REPLACE(AG478,1,1,"")+1)</f>
        <v>B20</v>
      </c>
      <c r="BH478" t="str">
        <f t="shared" ref="BH478:BH489" si="2424">CONCATENATE("C",REPLACE(BF478,1,1,"")+1)</f>
        <v>C21</v>
      </c>
      <c r="BI478" t="str">
        <f t="shared" ref="BI478:BI489" si="2425">CONCATENATE("B",REPLACE(BG478,1,1,"")+1)</f>
        <v>B21</v>
      </c>
      <c r="BJ478" t="str">
        <f t="shared" ref="BJ478:BJ489" si="2426">CONCATENATE("C",REPLACE(BH478,1,1,"")+1)</f>
        <v>C22</v>
      </c>
      <c r="BK478" t="str">
        <f t="shared" ref="BK478:BK489" si="2427">CONCATENATE("B",REPLACE(BI478,1,1,"")+1)</f>
        <v>B22</v>
      </c>
      <c r="BL478" t="str">
        <f t="shared" ref="BL478:BL489" si="2428">CONCATENATE("C",REPLACE(BJ478,1,1,"")+1)</f>
        <v>C23</v>
      </c>
      <c r="BM478" t="str">
        <f t="shared" ref="BM478:BM489" si="2429">CONCATENATE("B",REPLACE(BK478,1,1,"")+1)</f>
        <v>B23</v>
      </c>
      <c r="BN478" t="str">
        <f t="shared" ref="BN478:BN489" si="2430">CONCATENATE("C",REPLACE(BL478,1,1,"")+1)</f>
        <v>C24</v>
      </c>
      <c r="BO478" t="str">
        <f t="shared" ref="BO478:BO489" si="2431">CONCATENATE("B",REPLACE(BM478,1,1,"")+1)</f>
        <v>B24</v>
      </c>
      <c r="BP478" t="str">
        <f t="shared" si="2193"/>
        <v>5A</v>
      </c>
      <c r="BQ478" t="str">
        <f t="shared" si="2194"/>
        <v>5B</v>
      </c>
      <c r="BR478" t="str">
        <f t="shared" si="2195"/>
        <v>6A</v>
      </c>
      <c r="BS478" t="str">
        <f t="shared" si="2196"/>
        <v>6B</v>
      </c>
      <c r="BT478" t="str">
        <f t="shared" ref="BT478:BT489" si="2432">CONCATENATE("DI",REPLACE($AC478,1,3,""),"-",AF478)</f>
        <v>DI6-C19</v>
      </c>
      <c r="BU478" t="str">
        <f t="shared" ref="BU478:BU489" si="2433">CONCATENATE("DI",REPLACE($AC478,1,3,""),"-",AG478)</f>
        <v>DI6-B19</v>
      </c>
      <c r="BV478" t="str">
        <f t="shared" ref="BV478:BV489" si="2434">CONCATENATE("DI",REPLACE($AC478,1,3,""),"-",BF478)</f>
        <v>DI6-C20</v>
      </c>
      <c r="BW478" t="str">
        <f t="shared" ref="BW478:BW489" si="2435">CONCATENATE("DI",REPLACE($AC478,1,3,""),"-",BG478)</f>
        <v>DI6-B20</v>
      </c>
      <c r="BX478" t="str">
        <f t="shared" ref="BX478:BX489" si="2436">CONCATENATE("DI",REPLACE($AC478,1,3,""),"-",BH478)</f>
        <v>DI6-C21</v>
      </c>
      <c r="BY478" t="str">
        <f t="shared" ref="BY478:BY489" si="2437">CONCATENATE("DI",REPLACE($AC478,1,3,""),"-",BI478)</f>
        <v>DI6-B21</v>
      </c>
      <c r="BZ478" t="str">
        <f t="shared" ref="BZ478:BZ489" si="2438">CONCATENATE("DI",REPLACE($AC478,1,3,""),"-",BJ478)</f>
        <v>DI6-C22</v>
      </c>
      <c r="CA478" t="str">
        <f t="shared" ref="CA478:CA489" si="2439">CONCATENATE("DI",REPLACE($AC478,1,3,""),"-",BK478)</f>
        <v>DI6-B22</v>
      </c>
      <c r="CB478" t="str">
        <f t="shared" ref="CB478:CB489" si="2440">CONCATENATE("DI",REPLACE($AC478,1,3,""),"-",BL478)</f>
        <v>DI6-C23</v>
      </c>
      <c r="CC478" t="str">
        <f t="shared" ref="CC478:CC489" si="2441">CONCATENATE("DI",REPLACE($AC478,1,3,""),"-",BM478)</f>
        <v>DI6-B23</v>
      </c>
      <c r="CD478" t="str">
        <f t="shared" ref="CD478:CD489" si="2442">CONCATENATE("DI",REPLACE($AC478,1,3,""),"-",BN478)</f>
        <v>DI6-C24</v>
      </c>
      <c r="CE478" t="str">
        <f t="shared" ref="CE478:CE489" si="2443">CONCATENATE("DI",REPLACE($AC478,1,3,""),"-",BO478)</f>
        <v>DI6-B24</v>
      </c>
      <c r="CF478" t="str">
        <f t="shared" ref="CF478:CF489" si="2444">CONCATENATE("DO",REPLACE($AH478,1,3,""),"-",AK478)</f>
        <v>DO4-4A</v>
      </c>
      <c r="CG478" t="str">
        <f t="shared" ref="CG478:CG489" si="2445">CONCATENATE("DO",REPLACE($AH478,1,3,""),"-",AL478)</f>
        <v>DO4-4B</v>
      </c>
      <c r="CH478" t="str">
        <f t="shared" ref="CH478:CH489" si="2446">CONCATENATE("DO",REPLACE($AH478,1,3,""),"-",BP478)</f>
        <v>DO4-5A</v>
      </c>
      <c r="CI478" t="str">
        <f t="shared" ref="CI478:CI489" si="2447">CONCATENATE("DO",REPLACE($AH478,1,3,""),"-",BQ478)</f>
        <v>DO4-5B</v>
      </c>
      <c r="CJ478" t="str">
        <f t="shared" ref="CJ478:CJ489" si="2448">CONCATENATE("DO",REPLACE($AH478,1,3,""),"-",BR478)</f>
        <v>DO4-6A</v>
      </c>
      <c r="CK478" t="str">
        <f t="shared" ref="CK478:CK489" si="2449">CONCATENATE("DO",REPLACE($AH478,1,3,""),"-",BS478)</f>
        <v>DO4-6B</v>
      </c>
      <c r="CL478" t="str">
        <f t="shared" si="2215"/>
        <v>K34-10</v>
      </c>
      <c r="CM478" t="str">
        <f t="shared" si="2216"/>
        <v>K34-03</v>
      </c>
      <c r="CN478" t="str">
        <f t="shared" si="2217"/>
        <v>K34-04</v>
      </c>
      <c r="CO478" t="str">
        <f t="shared" si="2218"/>
        <v>K34-01</v>
      </c>
      <c r="CP478" t="str">
        <f t="shared" si="2219"/>
        <v>K34-08</v>
      </c>
      <c r="CQ478" t="str">
        <f t="shared" si="2220"/>
        <v>K34-02</v>
      </c>
      <c r="CR478" t="str">
        <f t="shared" si="2221"/>
        <v>K34-09</v>
      </c>
      <c r="CS478" t="str">
        <f t="shared" si="2222"/>
        <v>K34-05</v>
      </c>
      <c r="CT478" t="str">
        <f t="shared" si="2223"/>
        <v>K34-11</v>
      </c>
      <c r="CU478" t="str">
        <f t="shared" si="2224"/>
        <v>N1-M34-A9</v>
      </c>
      <c r="CV478" t="str">
        <f t="shared" si="2225"/>
        <v>N1-M34-A7</v>
      </c>
      <c r="CW478" t="str">
        <f t="shared" si="2226"/>
        <v>N1-M34-A8</v>
      </c>
      <c r="CX478" t="str">
        <f t="shared" si="2227"/>
        <v>N1-M34-A6</v>
      </c>
      <c r="CY478" t="str">
        <f t="shared" si="2228"/>
        <v>N1-M34-A30</v>
      </c>
      <c r="CZ478" t="str">
        <f t="shared" si="2229"/>
        <v>N1-M34-N</v>
      </c>
      <c r="DA478" t="str">
        <f t="shared" ref="DA478:DA489" si="2450">CONCATENATE($T478,"-A220-M",U478)</f>
        <v>N1-A220-M34</v>
      </c>
      <c r="DB478" t="str">
        <f t="shared" si="2231"/>
        <v>N1-M34-XM01</v>
      </c>
      <c r="DC478" t="str">
        <f t="shared" si="2232"/>
        <v>N1-M34-A1</v>
      </c>
      <c r="DD478" t="str">
        <f t="shared" si="2233"/>
        <v>N1-M34-A5</v>
      </c>
      <c r="DE478" t="str">
        <f t="shared" si="2234"/>
        <v>N1-M34-A11</v>
      </c>
      <c r="DF478" t="str">
        <f t="shared" si="2235"/>
        <v>N1-M34-A12</v>
      </c>
      <c r="DG478" t="str">
        <f t="shared" si="2236"/>
        <v>N1-M34-A19</v>
      </c>
      <c r="DH478" t="str">
        <f t="shared" si="2237"/>
        <v>N1-M34-A20</v>
      </c>
      <c r="DI478" t="s">
        <v>142</v>
      </c>
      <c r="DJ478" t="s">
        <v>143</v>
      </c>
      <c r="DK478">
        <v>11</v>
      </c>
      <c r="DL478">
        <v>14</v>
      </c>
      <c r="DM478">
        <v>12</v>
      </c>
      <c r="DN478" t="s">
        <v>144</v>
      </c>
      <c r="DO478" t="s">
        <v>145</v>
      </c>
      <c r="DP478">
        <v>1</v>
      </c>
      <c r="DQ478">
        <v>2</v>
      </c>
      <c r="DR478">
        <v>3</v>
      </c>
      <c r="DS478">
        <v>4</v>
      </c>
      <c r="DT478">
        <v>5</v>
      </c>
      <c r="DU478">
        <v>6</v>
      </c>
      <c r="DV478">
        <v>7</v>
      </c>
      <c r="DW478">
        <v>8</v>
      </c>
      <c r="DX478">
        <v>9</v>
      </c>
      <c r="DY478">
        <v>10</v>
      </c>
      <c r="DZ478">
        <v>11</v>
      </c>
      <c r="EA478">
        <v>12</v>
      </c>
      <c r="EB478">
        <v>13</v>
      </c>
      <c r="EC478">
        <v>14</v>
      </c>
      <c r="ED478">
        <v>1</v>
      </c>
      <c r="EE478">
        <v>3</v>
      </c>
      <c r="EF478">
        <v>4</v>
      </c>
      <c r="EG478">
        <v>7</v>
      </c>
      <c r="EH478">
        <v>8</v>
      </c>
      <c r="EI478">
        <v>9</v>
      </c>
      <c r="EJ478">
        <v>10</v>
      </c>
      <c r="EK478">
        <v>13</v>
      </c>
      <c r="EL478">
        <v>14</v>
      </c>
      <c r="EM478">
        <v>15</v>
      </c>
      <c r="EN478">
        <v>16</v>
      </c>
      <c r="EO478">
        <v>22</v>
      </c>
      <c r="EP478">
        <v>23</v>
      </c>
      <c r="EQ478" s="16">
        <v>24</v>
      </c>
    </row>
    <row r="479" spans="1:147" x14ac:dyDescent="0.25">
      <c r="A479" s="67" t="s">
        <v>2604</v>
      </c>
      <c r="B479" t="s">
        <v>2603</v>
      </c>
      <c r="C479" s="3"/>
      <c r="O479" s="2"/>
      <c r="P479" t="s">
        <v>129</v>
      </c>
      <c r="Q479" s="1"/>
      <c r="S479" s="1" t="s">
        <v>130</v>
      </c>
      <c r="T479" s="14" t="s">
        <v>2185</v>
      </c>
      <c r="U479" s="60">
        <v>35</v>
      </c>
      <c r="V479" s="15" t="s">
        <v>2598</v>
      </c>
      <c r="W479" s="15"/>
      <c r="AC479" t="str">
        <f t="shared" si="2238"/>
        <v>A5.6</v>
      </c>
      <c r="AD479" s="43" cm="1">
        <f t="array" ref="AD479">IF(COUNTIFS(AC$379:AC479,AC479)=1,"1",VALUE(SUBSTITUTE(INDEX(AD:AD,_xlfn.XMATCH(AC479,AC$1:AC478,0,-1)),"A",""))+INDEX(AE:AE,_xlfn.XMATCH(AC479,AC$1:AC478,0,-1))+1)</f>
        <v>25</v>
      </c>
      <c r="AE479" s="43" cm="1">
        <f t="array" ref="AE479">SUM(IF(ISNUMBER(FIND("TmDi",$BE$1:$AAL$1)),IF(IFERROR(ISNUMBER(VALUE(SUBSTITUTE($BE479:$AAL479,"B",""))),FALSE),IF(ISNUMBER(VALUE(SUBSTITUTE($BE479:$AAL479,"B",""))),1,0),0)))</f>
        <v>5</v>
      </c>
      <c r="AF479" t="str">
        <f t="shared" si="2178"/>
        <v>C25</v>
      </c>
      <c r="AG479" t="str">
        <f t="shared" si="2179"/>
        <v>B25</v>
      </c>
      <c r="AH479" t="str">
        <f t="shared" si="2360"/>
        <v>A6.4</v>
      </c>
      <c r="AI479" s="73" cm="1">
        <f t="array" ref="AI479">IF(COUNTIFS(AH$379:AH479,AH479)=1,"1",VALUE(SUBSTITUTE(INDEX(AI:AI,_xlfn.XMATCH(AH479,AH$1:AH478,0,-1)),"A",""))+INDEX(AJ:AJ,_xlfn.XMATCH(AH479,AH$1:AH478,0,-1))+1)</f>
        <v>7</v>
      </c>
      <c r="AJ479" s="64" cm="1">
        <f t="array" ref="AJ479">SUM(IF(ISNUMBER(FIND("TmDo",$BE$1:$AAL$1)),IF(IFERROR(ISNUMBER(VALUE(SUBSTITUTE($BE479:$AAL479,"B",""))),FALSE),IF(ISNUMBER(VALUE(SUBSTITUTE($BE479:$AAL479,"B",""))),1,0),0)))</f>
        <v>2</v>
      </c>
      <c r="AK479" t="str">
        <f t="shared" si="2180"/>
        <v>7A</v>
      </c>
      <c r="AL479" t="str">
        <f t="shared" si="2181"/>
        <v>7B</v>
      </c>
      <c r="AM479" t="s">
        <v>235</v>
      </c>
      <c r="AP479" t="s">
        <v>2187</v>
      </c>
      <c r="AQ479" t="s">
        <v>2515</v>
      </c>
      <c r="AT479" t="s">
        <v>139</v>
      </c>
      <c r="AU479" t="s">
        <v>140</v>
      </c>
      <c r="BD479" s="16"/>
      <c r="BE479" s="27" t="str">
        <f t="shared" si="2421"/>
        <v>XT35</v>
      </c>
      <c r="BF479" t="str">
        <f t="shared" si="2422"/>
        <v>C26</v>
      </c>
      <c r="BG479" t="str">
        <f t="shared" si="2423"/>
        <v>B26</v>
      </c>
      <c r="BH479" t="str">
        <f t="shared" si="2424"/>
        <v>C27</v>
      </c>
      <c r="BI479" t="str">
        <f t="shared" si="2425"/>
        <v>B27</v>
      </c>
      <c r="BJ479" t="str">
        <f t="shared" si="2426"/>
        <v>C28</v>
      </c>
      <c r="BK479" t="str">
        <f t="shared" si="2427"/>
        <v>B28</v>
      </c>
      <c r="BL479" t="str">
        <f t="shared" si="2428"/>
        <v>C29</v>
      </c>
      <c r="BM479" t="str">
        <f t="shared" si="2429"/>
        <v>B29</v>
      </c>
      <c r="BN479" t="str">
        <f t="shared" si="2430"/>
        <v>C30</v>
      </c>
      <c r="BO479" t="str">
        <f t="shared" si="2431"/>
        <v>B30</v>
      </c>
      <c r="BP479" t="str">
        <f t="shared" si="2193"/>
        <v>8A</v>
      </c>
      <c r="BQ479" t="str">
        <f t="shared" si="2194"/>
        <v>8B</v>
      </c>
      <c r="BR479" t="str">
        <f t="shared" si="2195"/>
        <v>9A</v>
      </c>
      <c r="BS479" t="str">
        <f t="shared" si="2196"/>
        <v>9B</v>
      </c>
      <c r="BT479" t="str">
        <f t="shared" si="2432"/>
        <v>DI6-C25</v>
      </c>
      <c r="BU479" t="str">
        <f t="shared" si="2433"/>
        <v>DI6-B25</v>
      </c>
      <c r="BV479" t="str">
        <f t="shared" si="2434"/>
        <v>DI6-C26</v>
      </c>
      <c r="BW479" t="str">
        <f t="shared" si="2435"/>
        <v>DI6-B26</v>
      </c>
      <c r="BX479" t="str">
        <f t="shared" si="2436"/>
        <v>DI6-C27</v>
      </c>
      <c r="BY479" t="str">
        <f t="shared" si="2437"/>
        <v>DI6-B27</v>
      </c>
      <c r="BZ479" t="str">
        <f t="shared" si="2438"/>
        <v>DI6-C28</v>
      </c>
      <c r="CA479" t="str">
        <f t="shared" si="2439"/>
        <v>DI6-B28</v>
      </c>
      <c r="CB479" t="str">
        <f t="shared" si="2440"/>
        <v>DI6-C29</v>
      </c>
      <c r="CC479" t="str">
        <f t="shared" si="2441"/>
        <v>DI6-B29</v>
      </c>
      <c r="CD479" t="str">
        <f t="shared" si="2442"/>
        <v>DI6-C30</v>
      </c>
      <c r="CE479" t="str">
        <f t="shared" si="2443"/>
        <v>DI6-B30</v>
      </c>
      <c r="CF479" t="str">
        <f t="shared" si="2444"/>
        <v>DO4-7A</v>
      </c>
      <c r="CG479" t="str">
        <f t="shared" si="2445"/>
        <v>DO4-7B</v>
      </c>
      <c r="CH479" t="str">
        <f t="shared" si="2446"/>
        <v>DO4-8A</v>
      </c>
      <c r="CI479" t="str">
        <f t="shared" si="2447"/>
        <v>DO4-8B</v>
      </c>
      <c r="CJ479" t="str">
        <f t="shared" si="2448"/>
        <v>DO4-9A</v>
      </c>
      <c r="CK479" t="str">
        <f t="shared" si="2449"/>
        <v>DO4-9B</v>
      </c>
      <c r="CL479" t="str">
        <f t="shared" si="2215"/>
        <v>K35-10</v>
      </c>
      <c r="CM479" t="str">
        <f t="shared" si="2216"/>
        <v>K35-03</v>
      </c>
      <c r="CN479" t="str">
        <f t="shared" si="2217"/>
        <v>K35-04</v>
      </c>
      <c r="CO479" t="str">
        <f t="shared" si="2218"/>
        <v>K35-01</v>
      </c>
      <c r="CP479" t="str">
        <f t="shared" si="2219"/>
        <v>K35-08</v>
      </c>
      <c r="CQ479" t="str">
        <f t="shared" si="2220"/>
        <v>K35-02</v>
      </c>
      <c r="CR479" t="str">
        <f t="shared" si="2221"/>
        <v>K35-09</v>
      </c>
      <c r="CS479" t="str">
        <f t="shared" si="2222"/>
        <v>K35-05</v>
      </c>
      <c r="CT479" t="str">
        <f t="shared" si="2223"/>
        <v>K35-11</v>
      </c>
      <c r="CU479" t="str">
        <f t="shared" si="2224"/>
        <v>N1-M35-A9</v>
      </c>
      <c r="CV479" t="str">
        <f t="shared" si="2225"/>
        <v>N1-M35-A7</v>
      </c>
      <c r="CW479" t="str">
        <f t="shared" si="2226"/>
        <v>N1-M35-A8</v>
      </c>
      <c r="CX479" t="str">
        <f t="shared" si="2227"/>
        <v>N1-M35-A6</v>
      </c>
      <c r="CY479" t="str">
        <f t="shared" si="2228"/>
        <v>N1-M35-A30</v>
      </c>
      <c r="CZ479" t="str">
        <f t="shared" si="2229"/>
        <v>N1-M35-N</v>
      </c>
      <c r="DA479" t="str">
        <f t="shared" si="2450"/>
        <v>N1-A220-M35</v>
      </c>
      <c r="DB479" t="str">
        <f t="shared" si="2231"/>
        <v>N1-M35-XM01</v>
      </c>
      <c r="DC479" t="str">
        <f t="shared" si="2232"/>
        <v>N1-M35-A1</v>
      </c>
      <c r="DD479" t="str">
        <f t="shared" si="2233"/>
        <v>N1-M35-A5</v>
      </c>
      <c r="DE479" t="str">
        <f t="shared" si="2234"/>
        <v>N1-M35-A11</v>
      </c>
      <c r="DF479" t="str">
        <f t="shared" si="2235"/>
        <v>N1-M35-A12</v>
      </c>
      <c r="DG479" t="str">
        <f t="shared" si="2236"/>
        <v>N1-M35-A19</v>
      </c>
      <c r="DH479" t="str">
        <f t="shared" si="2237"/>
        <v>N1-M35-A20</v>
      </c>
      <c r="DI479" t="s">
        <v>142</v>
      </c>
      <c r="DJ479" t="s">
        <v>143</v>
      </c>
      <c r="DK479">
        <v>11</v>
      </c>
      <c r="DL479">
        <v>14</v>
      </c>
      <c r="DM479">
        <v>12</v>
      </c>
      <c r="DN479" t="s">
        <v>144</v>
      </c>
      <c r="DO479" t="s">
        <v>145</v>
      </c>
      <c r="DP479">
        <v>1</v>
      </c>
      <c r="DQ479">
        <v>2</v>
      </c>
      <c r="DR479">
        <v>3</v>
      </c>
      <c r="DS479">
        <v>4</v>
      </c>
      <c r="DT479">
        <v>5</v>
      </c>
      <c r="DU479">
        <v>6</v>
      </c>
      <c r="DV479">
        <v>7</v>
      </c>
      <c r="DW479">
        <v>8</v>
      </c>
      <c r="DX479">
        <v>9</v>
      </c>
      <c r="DY479">
        <v>10</v>
      </c>
      <c r="DZ479">
        <v>11</v>
      </c>
      <c r="EA479">
        <v>12</v>
      </c>
      <c r="EB479">
        <v>13</v>
      </c>
      <c r="EC479">
        <v>14</v>
      </c>
      <c r="ED479">
        <v>1</v>
      </c>
      <c r="EE479">
        <v>3</v>
      </c>
      <c r="EF479">
        <v>4</v>
      </c>
      <c r="EG479">
        <v>7</v>
      </c>
      <c r="EH479">
        <v>8</v>
      </c>
      <c r="EI479">
        <v>9</v>
      </c>
      <c r="EJ479">
        <v>10</v>
      </c>
      <c r="EK479">
        <v>13</v>
      </c>
      <c r="EL479">
        <v>14</v>
      </c>
      <c r="EM479">
        <v>15</v>
      </c>
      <c r="EN479">
        <v>16</v>
      </c>
      <c r="EO479">
        <v>22</v>
      </c>
      <c r="EP479">
        <v>23</v>
      </c>
      <c r="EQ479" s="16">
        <v>24</v>
      </c>
    </row>
    <row r="480" spans="1:147" x14ac:dyDescent="0.25">
      <c r="A480" s="67" t="s">
        <v>2606</v>
      </c>
      <c r="B480" t="s">
        <v>2605</v>
      </c>
      <c r="C480" s="3"/>
      <c r="O480" s="2"/>
      <c r="P480" t="s">
        <v>129</v>
      </c>
      <c r="Q480" s="1"/>
      <c r="S480" s="1" t="s">
        <v>130</v>
      </c>
      <c r="T480" s="14" t="s">
        <v>2185</v>
      </c>
      <c r="U480" s="60">
        <v>36</v>
      </c>
      <c r="V480" s="15" t="s">
        <v>2599</v>
      </c>
      <c r="W480" s="15"/>
      <c r="AC480" t="str">
        <f t="shared" si="2238"/>
        <v>A5.7</v>
      </c>
      <c r="AD480" s="43" t="str" cm="1">
        <f t="array" ref="AD480">IF(COUNTIFS(AC$379:AC480,AC480)=1,"1",VALUE(SUBSTITUTE(INDEX(AD:AD,_xlfn.XMATCH(AC480,AC$1:AC479,0,-1)),"A",""))+INDEX(AE:AE,_xlfn.XMATCH(AC480,AC$1:AC479,0,-1))+1)</f>
        <v>1</v>
      </c>
      <c r="AE480" s="43" cm="1">
        <f t="array" ref="AE480">SUM(IF(ISNUMBER(FIND("TmDi",$BE$1:$AAL$1)),IF(IFERROR(ISNUMBER(VALUE(SUBSTITUTE($BE480:$AAL480,"B",""))),FALSE),IF(ISNUMBER(VALUE(SUBSTITUTE($BE480:$AAL480,"B",""))),1,0),0)))</f>
        <v>5</v>
      </c>
      <c r="AF480" t="str">
        <f t="shared" si="2178"/>
        <v>C1</v>
      </c>
      <c r="AG480" t="str">
        <f t="shared" si="2179"/>
        <v>B1</v>
      </c>
      <c r="AH480" t="str">
        <f t="shared" si="2360"/>
        <v>A6.4</v>
      </c>
      <c r="AI480" s="73" cm="1">
        <f t="array" ref="AI480">IF(COUNTIFS(AH$379:AH480,AH480)=1,"1",VALUE(SUBSTITUTE(INDEX(AI:AI,_xlfn.XMATCH(AH480,AH$1:AH479,0,-1)),"A",""))+INDEX(AJ:AJ,_xlfn.XMATCH(AH480,AH$1:AH479,0,-1))+1)</f>
        <v>10</v>
      </c>
      <c r="AJ480" s="64" cm="1">
        <f t="array" ref="AJ480">SUM(IF(ISNUMBER(FIND("TmDo",$BE$1:$AAL$1)),IF(IFERROR(ISNUMBER(VALUE(SUBSTITUTE($BE480:$AAL480,"B",""))),FALSE),IF(ISNUMBER(VALUE(SUBSTITUTE($BE480:$AAL480,"B",""))),1,0),0)))</f>
        <v>2</v>
      </c>
      <c r="AK480" t="str">
        <f t="shared" si="2180"/>
        <v>10A</v>
      </c>
      <c r="AL480" t="str">
        <f t="shared" si="2181"/>
        <v>10B</v>
      </c>
      <c r="AM480" t="s">
        <v>2600</v>
      </c>
      <c r="AP480" t="s">
        <v>2187</v>
      </c>
      <c r="AQ480" t="s">
        <v>2515</v>
      </c>
      <c r="AT480" t="s">
        <v>139</v>
      </c>
      <c r="AU480" t="s">
        <v>140</v>
      </c>
      <c r="BD480" s="16"/>
      <c r="BE480" s="27" t="str">
        <f t="shared" si="2421"/>
        <v>XT36</v>
      </c>
      <c r="BF480" t="str">
        <f t="shared" si="2422"/>
        <v>C2</v>
      </c>
      <c r="BG480" t="str">
        <f t="shared" si="2423"/>
        <v>B2</v>
      </c>
      <c r="BH480" t="str">
        <f t="shared" si="2424"/>
        <v>C3</v>
      </c>
      <c r="BI480" t="str">
        <f t="shared" si="2425"/>
        <v>B3</v>
      </c>
      <c r="BJ480" t="str">
        <f t="shared" si="2426"/>
        <v>C4</v>
      </c>
      <c r="BK480" t="str">
        <f t="shared" si="2427"/>
        <v>B4</v>
      </c>
      <c r="BL480" t="str">
        <f t="shared" si="2428"/>
        <v>C5</v>
      </c>
      <c r="BM480" t="str">
        <f t="shared" si="2429"/>
        <v>B5</v>
      </c>
      <c r="BN480" t="str">
        <f t="shared" si="2430"/>
        <v>C6</v>
      </c>
      <c r="BO480" t="str">
        <f t="shared" si="2431"/>
        <v>B6</v>
      </c>
      <c r="BP480" t="str">
        <f t="shared" si="2193"/>
        <v>11A</v>
      </c>
      <c r="BQ480" t="str">
        <f t="shared" si="2194"/>
        <v>11B</v>
      </c>
      <c r="BR480" t="str">
        <f t="shared" si="2195"/>
        <v>12A</v>
      </c>
      <c r="BS480" t="str">
        <f t="shared" si="2196"/>
        <v>12B</v>
      </c>
      <c r="BT480" t="str">
        <f t="shared" si="2432"/>
        <v>DI7-C1</v>
      </c>
      <c r="BU480" t="str">
        <f t="shared" si="2433"/>
        <v>DI7-B1</v>
      </c>
      <c r="BV480" t="str">
        <f t="shared" si="2434"/>
        <v>DI7-C2</v>
      </c>
      <c r="BW480" t="str">
        <f t="shared" si="2435"/>
        <v>DI7-B2</v>
      </c>
      <c r="BX480" t="str">
        <f t="shared" si="2436"/>
        <v>DI7-C3</v>
      </c>
      <c r="BY480" t="str">
        <f t="shared" si="2437"/>
        <v>DI7-B3</v>
      </c>
      <c r="BZ480" t="str">
        <f t="shared" si="2438"/>
        <v>DI7-C4</v>
      </c>
      <c r="CA480" t="str">
        <f t="shared" si="2439"/>
        <v>DI7-B4</v>
      </c>
      <c r="CB480" t="str">
        <f t="shared" si="2440"/>
        <v>DI7-C5</v>
      </c>
      <c r="CC480" t="str">
        <f t="shared" si="2441"/>
        <v>DI7-B5</v>
      </c>
      <c r="CD480" t="str">
        <f t="shared" si="2442"/>
        <v>DI7-C6</v>
      </c>
      <c r="CE480" t="str">
        <f t="shared" si="2443"/>
        <v>DI7-B6</v>
      </c>
      <c r="CF480" t="str">
        <f t="shared" si="2444"/>
        <v>DO4-10A</v>
      </c>
      <c r="CG480" t="str">
        <f t="shared" si="2445"/>
        <v>DO4-10B</v>
      </c>
      <c r="CH480" t="str">
        <f t="shared" si="2446"/>
        <v>DO4-11A</v>
      </c>
      <c r="CI480" t="str">
        <f t="shared" si="2447"/>
        <v>DO4-11B</v>
      </c>
      <c r="CJ480" t="str">
        <f t="shared" si="2448"/>
        <v>DO4-12A</v>
      </c>
      <c r="CK480" t="str">
        <f t="shared" si="2449"/>
        <v>DO4-12B</v>
      </c>
      <c r="CL480" t="str">
        <f t="shared" si="2215"/>
        <v>K36-10</v>
      </c>
      <c r="CM480" t="str">
        <f t="shared" si="2216"/>
        <v>K36-03</v>
      </c>
      <c r="CN480" t="str">
        <f t="shared" si="2217"/>
        <v>K36-04</v>
      </c>
      <c r="CO480" t="str">
        <f t="shared" si="2218"/>
        <v>K36-01</v>
      </c>
      <c r="CP480" t="str">
        <f t="shared" si="2219"/>
        <v>K36-08</v>
      </c>
      <c r="CQ480" t="str">
        <f t="shared" si="2220"/>
        <v>K36-02</v>
      </c>
      <c r="CR480" t="str">
        <f t="shared" si="2221"/>
        <v>K36-09</v>
      </c>
      <c r="CS480" t="str">
        <f t="shared" si="2222"/>
        <v>K36-05</v>
      </c>
      <c r="CT480" t="str">
        <f t="shared" si="2223"/>
        <v>K36-11</v>
      </c>
      <c r="CU480" t="str">
        <f t="shared" si="2224"/>
        <v>N1-M36-A9</v>
      </c>
      <c r="CV480" t="str">
        <f t="shared" si="2225"/>
        <v>N1-M36-A7</v>
      </c>
      <c r="CW480" t="str">
        <f t="shared" si="2226"/>
        <v>N1-M36-A8</v>
      </c>
      <c r="CX480" t="str">
        <f t="shared" si="2227"/>
        <v>N1-M36-A6</v>
      </c>
      <c r="CY480" t="str">
        <f t="shared" si="2228"/>
        <v>N1-M36-A30</v>
      </c>
      <c r="CZ480" t="str">
        <f t="shared" si="2229"/>
        <v>N1-M36-N</v>
      </c>
      <c r="DA480" t="str">
        <f t="shared" si="2450"/>
        <v>N1-A220-M36</v>
      </c>
      <c r="DB480" t="str">
        <f t="shared" si="2231"/>
        <v>N1-M36-XM01</v>
      </c>
      <c r="DC480" t="str">
        <f t="shared" si="2232"/>
        <v>N1-M36-A1</v>
      </c>
      <c r="DD480" t="str">
        <f t="shared" si="2233"/>
        <v>N1-M36-A5</v>
      </c>
      <c r="DE480" t="str">
        <f t="shared" si="2234"/>
        <v>N1-M36-A11</v>
      </c>
      <c r="DF480" t="str">
        <f t="shared" si="2235"/>
        <v>N1-M36-A12</v>
      </c>
      <c r="DG480" t="str">
        <f t="shared" si="2236"/>
        <v>N1-M36-A19</v>
      </c>
      <c r="DH480" t="str">
        <f t="shared" si="2237"/>
        <v>N1-M36-A20</v>
      </c>
      <c r="DI480" t="s">
        <v>142</v>
      </c>
      <c r="DJ480" t="s">
        <v>143</v>
      </c>
      <c r="DK480">
        <v>11</v>
      </c>
      <c r="DL480">
        <v>14</v>
      </c>
      <c r="DM480">
        <v>12</v>
      </c>
      <c r="DN480" t="s">
        <v>144</v>
      </c>
      <c r="DO480" t="s">
        <v>145</v>
      </c>
      <c r="DP480">
        <v>1</v>
      </c>
      <c r="DQ480">
        <v>2</v>
      </c>
      <c r="DR480">
        <v>3</v>
      </c>
      <c r="DS480">
        <v>4</v>
      </c>
      <c r="DT480">
        <v>5</v>
      </c>
      <c r="DU480">
        <v>6</v>
      </c>
      <c r="DV480">
        <v>7</v>
      </c>
      <c r="DW480">
        <v>8</v>
      </c>
      <c r="DX480">
        <v>9</v>
      </c>
      <c r="DY480">
        <v>10</v>
      </c>
      <c r="DZ480">
        <v>11</v>
      </c>
      <c r="EA480">
        <v>12</v>
      </c>
      <c r="EB480">
        <v>13</v>
      </c>
      <c r="EC480">
        <v>14</v>
      </c>
      <c r="ED480">
        <v>1</v>
      </c>
      <c r="EE480">
        <v>3</v>
      </c>
      <c r="EF480">
        <v>4</v>
      </c>
      <c r="EG480">
        <v>7</v>
      </c>
      <c r="EH480">
        <v>8</v>
      </c>
      <c r="EI480">
        <v>9</v>
      </c>
      <c r="EJ480">
        <v>10</v>
      </c>
      <c r="EK480">
        <v>13</v>
      </c>
      <c r="EL480">
        <v>14</v>
      </c>
      <c r="EM480">
        <v>15</v>
      </c>
      <c r="EN480">
        <v>16</v>
      </c>
      <c r="EO480">
        <v>22</v>
      </c>
      <c r="EP480">
        <v>23</v>
      </c>
      <c r="EQ480" s="16">
        <v>24</v>
      </c>
    </row>
    <row r="481" spans="1:285" x14ac:dyDescent="0.25">
      <c r="A481" s="67" t="s">
        <v>2617</v>
      </c>
      <c r="B481" t="s">
        <v>2616</v>
      </c>
      <c r="C481" s="3"/>
      <c r="O481" s="2"/>
      <c r="P481" t="s">
        <v>129</v>
      </c>
      <c r="Q481" s="1"/>
      <c r="S481" s="1" t="s">
        <v>130</v>
      </c>
      <c r="T481" s="14" t="s">
        <v>2185</v>
      </c>
      <c r="U481" s="60">
        <v>37</v>
      </c>
      <c r="V481" s="15" t="s">
        <v>2607</v>
      </c>
      <c r="W481" s="15"/>
      <c r="AC481" t="str">
        <f t="shared" si="2238"/>
        <v>A5.7</v>
      </c>
      <c r="AD481" s="43" cm="1">
        <f t="array" ref="AD481">IF(COUNTIFS(AC$379:AC481,AC481)=1,"1",VALUE(SUBSTITUTE(INDEX(AD:AD,_xlfn.XMATCH(AC481,AC$1:AC480,0,-1)),"A",""))+INDEX(AE:AE,_xlfn.XMATCH(AC481,AC$1:AC480,0,-1))+1)</f>
        <v>7</v>
      </c>
      <c r="AE481" s="43" cm="1">
        <f t="array" ref="AE481">SUM(IF(ISNUMBER(FIND("TmDi",$BE$1:$AAL$1)),IF(IFERROR(ISNUMBER(VALUE(SUBSTITUTE($BE481:$AAL481,"B",""))),FALSE),IF(ISNUMBER(VALUE(SUBSTITUTE($BE481:$AAL481,"B",""))),1,0),0)))</f>
        <v>5</v>
      </c>
      <c r="AF481" t="str">
        <f t="shared" si="2178"/>
        <v>C7</v>
      </c>
      <c r="AG481" t="str">
        <f t="shared" si="2179"/>
        <v>B7</v>
      </c>
      <c r="AH481" t="str">
        <f t="shared" si="2360"/>
        <v>A6.4</v>
      </c>
      <c r="AI481" s="73" cm="1">
        <f t="array" ref="AI481">IF(COUNTIFS(AH$379:AH481,AH481)=1,"1",VALUE(SUBSTITUTE(INDEX(AI:AI,_xlfn.XMATCH(AH481,AH$1:AH480,0,-1)),"A",""))+INDEX(AJ:AJ,_xlfn.XMATCH(AH481,AH$1:AH480,0,-1))+1)</f>
        <v>13</v>
      </c>
      <c r="AJ481" s="64" cm="1">
        <f t="array" ref="AJ481">SUM(IF(ISNUMBER(FIND("TmDo",$BE$1:$AAL$1)),IF(IFERROR(ISNUMBER(VALUE(SUBSTITUTE($BE481:$AAL481,"B",""))),FALSE),IF(ISNUMBER(VALUE(SUBSTITUTE($BE481:$AAL481,"B",""))),1,0),0)))</f>
        <v>2</v>
      </c>
      <c r="AK481" t="str">
        <f t="shared" si="2180"/>
        <v>13A</v>
      </c>
      <c r="AL481" t="str">
        <f t="shared" si="2181"/>
        <v>13B</v>
      </c>
      <c r="AM481" t="s">
        <v>394</v>
      </c>
      <c r="AP481" t="s">
        <v>2187</v>
      </c>
      <c r="AQ481" t="s">
        <v>2515</v>
      </c>
      <c r="AT481" t="s">
        <v>139</v>
      </c>
      <c r="AU481" t="s">
        <v>140</v>
      </c>
      <c r="BD481" s="16"/>
      <c r="BE481" s="27" t="str">
        <f t="shared" si="2421"/>
        <v>XT37</v>
      </c>
      <c r="BF481" t="str">
        <f t="shared" si="2422"/>
        <v>C8</v>
      </c>
      <c r="BG481" t="str">
        <f t="shared" si="2423"/>
        <v>B8</v>
      </c>
      <c r="BH481" t="str">
        <f t="shared" si="2424"/>
        <v>C9</v>
      </c>
      <c r="BI481" t="str">
        <f t="shared" si="2425"/>
        <v>B9</v>
      </c>
      <c r="BJ481" t="str">
        <f t="shared" si="2426"/>
        <v>C10</v>
      </c>
      <c r="BK481" t="str">
        <f t="shared" si="2427"/>
        <v>B10</v>
      </c>
      <c r="BL481" t="str">
        <f t="shared" si="2428"/>
        <v>C11</v>
      </c>
      <c r="BM481" t="str">
        <f t="shared" si="2429"/>
        <v>B11</v>
      </c>
      <c r="BN481" t="str">
        <f t="shared" si="2430"/>
        <v>C12</v>
      </c>
      <c r="BO481" t="str">
        <f t="shared" si="2431"/>
        <v>B12</v>
      </c>
      <c r="BP481" t="str">
        <f t="shared" si="2193"/>
        <v>14A</v>
      </c>
      <c r="BQ481" t="str">
        <f t="shared" si="2194"/>
        <v>14B</v>
      </c>
      <c r="BR481" t="str">
        <f t="shared" si="2195"/>
        <v>15A</v>
      </c>
      <c r="BS481" t="str">
        <f t="shared" si="2196"/>
        <v>15B</v>
      </c>
      <c r="BT481" t="str">
        <f t="shared" si="2432"/>
        <v>DI7-C7</v>
      </c>
      <c r="BU481" t="str">
        <f t="shared" si="2433"/>
        <v>DI7-B7</v>
      </c>
      <c r="BV481" t="str">
        <f t="shared" si="2434"/>
        <v>DI7-C8</v>
      </c>
      <c r="BW481" t="str">
        <f t="shared" si="2435"/>
        <v>DI7-B8</v>
      </c>
      <c r="BX481" t="str">
        <f t="shared" si="2436"/>
        <v>DI7-C9</v>
      </c>
      <c r="BY481" t="str">
        <f t="shared" si="2437"/>
        <v>DI7-B9</v>
      </c>
      <c r="BZ481" t="str">
        <f t="shared" si="2438"/>
        <v>DI7-C10</v>
      </c>
      <c r="CA481" t="str">
        <f t="shared" si="2439"/>
        <v>DI7-B10</v>
      </c>
      <c r="CB481" t="str">
        <f t="shared" si="2440"/>
        <v>DI7-C11</v>
      </c>
      <c r="CC481" t="str">
        <f t="shared" si="2441"/>
        <v>DI7-B11</v>
      </c>
      <c r="CD481" t="str">
        <f t="shared" si="2442"/>
        <v>DI7-C12</v>
      </c>
      <c r="CE481" t="str">
        <f t="shared" si="2443"/>
        <v>DI7-B12</v>
      </c>
      <c r="CF481" t="str">
        <f t="shared" si="2444"/>
        <v>DO4-13A</v>
      </c>
      <c r="CG481" t="str">
        <f t="shared" si="2445"/>
        <v>DO4-13B</v>
      </c>
      <c r="CH481" t="str">
        <f t="shared" si="2446"/>
        <v>DO4-14A</v>
      </c>
      <c r="CI481" t="str">
        <f t="shared" si="2447"/>
        <v>DO4-14B</v>
      </c>
      <c r="CJ481" t="str">
        <f t="shared" si="2448"/>
        <v>DO4-15A</v>
      </c>
      <c r="CK481" t="str">
        <f t="shared" si="2449"/>
        <v>DO4-15B</v>
      </c>
      <c r="CL481" t="str">
        <f t="shared" si="2215"/>
        <v>K37-10</v>
      </c>
      <c r="CM481" t="str">
        <f t="shared" si="2216"/>
        <v>K37-03</v>
      </c>
      <c r="CN481" t="str">
        <f t="shared" si="2217"/>
        <v>K37-04</v>
      </c>
      <c r="CO481" t="str">
        <f t="shared" si="2218"/>
        <v>K37-01</v>
      </c>
      <c r="CP481" t="str">
        <f t="shared" si="2219"/>
        <v>K37-08</v>
      </c>
      <c r="CQ481" t="str">
        <f t="shared" si="2220"/>
        <v>K37-02</v>
      </c>
      <c r="CR481" t="str">
        <f t="shared" si="2221"/>
        <v>K37-09</v>
      </c>
      <c r="CS481" t="str">
        <f t="shared" si="2222"/>
        <v>K37-05</v>
      </c>
      <c r="CT481" t="str">
        <f t="shared" si="2223"/>
        <v>K37-11</v>
      </c>
      <c r="CU481" t="str">
        <f t="shared" si="2224"/>
        <v>N1-M37-A9</v>
      </c>
      <c r="CV481" t="str">
        <f t="shared" si="2225"/>
        <v>N1-M37-A7</v>
      </c>
      <c r="CW481" t="str">
        <f t="shared" si="2226"/>
        <v>N1-M37-A8</v>
      </c>
      <c r="CX481" t="str">
        <f t="shared" si="2227"/>
        <v>N1-M37-A6</v>
      </c>
      <c r="CY481" t="str">
        <f t="shared" si="2228"/>
        <v>N1-M37-A30</v>
      </c>
      <c r="CZ481" t="str">
        <f t="shared" si="2229"/>
        <v>N1-M37-N</v>
      </c>
      <c r="DA481" t="str">
        <f t="shared" si="2450"/>
        <v>N1-A220-M37</v>
      </c>
      <c r="DB481" t="str">
        <f t="shared" si="2231"/>
        <v>N1-M37-XM01</v>
      </c>
      <c r="DC481" t="str">
        <f t="shared" si="2232"/>
        <v>N1-M37-A1</v>
      </c>
      <c r="DD481" t="str">
        <f t="shared" si="2233"/>
        <v>N1-M37-A5</v>
      </c>
      <c r="DE481" t="str">
        <f t="shared" si="2234"/>
        <v>N1-M37-A11</v>
      </c>
      <c r="DF481" t="str">
        <f t="shared" si="2235"/>
        <v>N1-M37-A12</v>
      </c>
      <c r="DG481" t="str">
        <f t="shared" si="2236"/>
        <v>N1-M37-A19</v>
      </c>
      <c r="DH481" t="str">
        <f t="shared" si="2237"/>
        <v>N1-M37-A20</v>
      </c>
      <c r="DI481" t="s">
        <v>142</v>
      </c>
      <c r="DJ481" t="s">
        <v>143</v>
      </c>
      <c r="DK481">
        <v>11</v>
      </c>
      <c r="DL481">
        <v>14</v>
      </c>
      <c r="DM481">
        <v>12</v>
      </c>
      <c r="DN481" t="s">
        <v>144</v>
      </c>
      <c r="DO481" t="s">
        <v>145</v>
      </c>
      <c r="DP481">
        <v>1</v>
      </c>
      <c r="DQ481">
        <v>2</v>
      </c>
      <c r="DR481">
        <v>3</v>
      </c>
      <c r="DS481">
        <v>4</v>
      </c>
      <c r="DT481">
        <v>5</v>
      </c>
      <c r="DU481">
        <v>6</v>
      </c>
      <c r="DV481">
        <v>7</v>
      </c>
      <c r="DW481">
        <v>8</v>
      </c>
      <c r="DX481">
        <v>9</v>
      </c>
      <c r="DY481">
        <v>10</v>
      </c>
      <c r="DZ481">
        <v>11</v>
      </c>
      <c r="EA481">
        <v>12</v>
      </c>
      <c r="EB481">
        <v>13</v>
      </c>
      <c r="EC481">
        <v>14</v>
      </c>
      <c r="ED481">
        <v>1</v>
      </c>
      <c r="EE481">
        <v>3</v>
      </c>
      <c r="EF481">
        <v>4</v>
      </c>
      <c r="EG481">
        <v>7</v>
      </c>
      <c r="EH481">
        <v>8</v>
      </c>
      <c r="EI481">
        <v>9</v>
      </c>
      <c r="EJ481">
        <v>10</v>
      </c>
      <c r="EK481">
        <v>13</v>
      </c>
      <c r="EL481">
        <v>14</v>
      </c>
      <c r="EM481">
        <v>15</v>
      </c>
      <c r="EN481">
        <v>16</v>
      </c>
      <c r="EO481">
        <v>22</v>
      </c>
      <c r="EP481">
        <v>23</v>
      </c>
      <c r="EQ481" s="16">
        <v>24</v>
      </c>
    </row>
    <row r="482" spans="1:285" x14ac:dyDescent="0.25">
      <c r="A482" s="67" t="s">
        <v>2619</v>
      </c>
      <c r="B482" t="s">
        <v>2618</v>
      </c>
      <c r="C482" s="3"/>
      <c r="O482" s="2"/>
      <c r="P482" t="s">
        <v>129</v>
      </c>
      <c r="Q482" s="1"/>
      <c r="S482" s="1" t="s">
        <v>130</v>
      </c>
      <c r="T482" s="14" t="s">
        <v>2185</v>
      </c>
      <c r="U482" s="60">
        <v>38</v>
      </c>
      <c r="V482" s="15" t="s">
        <v>2608</v>
      </c>
      <c r="W482" s="15"/>
      <c r="AC482" t="str">
        <f t="shared" si="2238"/>
        <v>A5.7</v>
      </c>
      <c r="AD482" s="43" cm="1">
        <f t="array" ref="AD482">IF(COUNTIFS(AC$379:AC482,AC482)=1,"1",VALUE(SUBSTITUTE(INDEX(AD:AD,_xlfn.XMATCH(AC482,AC$1:AC481,0,-1)),"A",""))+INDEX(AE:AE,_xlfn.XMATCH(AC482,AC$1:AC481,0,-1))+1)</f>
        <v>13</v>
      </c>
      <c r="AE482" s="43" cm="1">
        <f t="array" ref="AE482">SUM(IF(ISNUMBER(FIND("TmDi",$BE$1:$AAL$1)),IF(IFERROR(ISNUMBER(VALUE(SUBSTITUTE($BE482:$AAL482,"B",""))),FALSE),IF(ISNUMBER(VALUE(SUBSTITUTE($BE482:$AAL482,"B",""))),1,0),0)))</f>
        <v>5</v>
      </c>
      <c r="AF482" t="str">
        <f t="shared" si="2178"/>
        <v>C13</v>
      </c>
      <c r="AG482" t="str">
        <f t="shared" si="2179"/>
        <v>B13</v>
      </c>
      <c r="AH482" t="str">
        <f t="shared" si="2360"/>
        <v>A6.4</v>
      </c>
      <c r="AI482" s="73" cm="1">
        <f t="array" ref="AI482">IF(COUNTIFS(AH$379:AH482,AH482)=1,"1",VALUE(SUBSTITUTE(INDEX(AI:AI,_xlfn.XMATCH(AH482,AH$1:AH481,0,-1)),"A",""))+INDEX(AJ:AJ,_xlfn.XMATCH(AH482,AH$1:AH481,0,-1))+1)</f>
        <v>16</v>
      </c>
      <c r="AJ482" s="64" cm="1">
        <f t="array" ref="AJ482">SUM(IF(ISNUMBER(FIND("TmDo",$BE$1:$AAL$1)),IF(IFERROR(ISNUMBER(VALUE(SUBSTITUTE($BE482:$AAL482,"B",""))),FALSE),IF(ISNUMBER(VALUE(SUBSTITUTE($BE482:$AAL482,"B",""))),1,0),0)))</f>
        <v>2</v>
      </c>
      <c r="AK482" t="str">
        <f t="shared" ref="AK482:AK501" si="2451">CONCATENATE($AI482,"A")</f>
        <v>16A</v>
      </c>
      <c r="AL482" t="str">
        <f t="shared" ref="AL482:AL501" si="2452">CONCATENATE($AI482,"B")</f>
        <v>16B</v>
      </c>
      <c r="AM482" t="s">
        <v>419</v>
      </c>
      <c r="AP482" t="s">
        <v>2187</v>
      </c>
      <c r="AQ482" t="s">
        <v>2515</v>
      </c>
      <c r="AT482" t="s">
        <v>139</v>
      </c>
      <c r="AU482" t="s">
        <v>140</v>
      </c>
      <c r="BD482" s="16"/>
      <c r="BE482" s="27" t="str">
        <f t="shared" si="2421"/>
        <v>XT38</v>
      </c>
      <c r="BF482" t="str">
        <f t="shared" si="2422"/>
        <v>C14</v>
      </c>
      <c r="BG482" t="str">
        <f t="shared" si="2423"/>
        <v>B14</v>
      </c>
      <c r="BH482" t="str">
        <f t="shared" si="2424"/>
        <v>C15</v>
      </c>
      <c r="BI482" t="str">
        <f t="shared" si="2425"/>
        <v>B15</v>
      </c>
      <c r="BJ482" t="str">
        <f t="shared" si="2426"/>
        <v>C16</v>
      </c>
      <c r="BK482" t="str">
        <f t="shared" si="2427"/>
        <v>B16</v>
      </c>
      <c r="BL482" t="str">
        <f t="shared" si="2428"/>
        <v>C17</v>
      </c>
      <c r="BM482" t="str">
        <f t="shared" si="2429"/>
        <v>B17</v>
      </c>
      <c r="BN482" t="str">
        <f t="shared" si="2430"/>
        <v>C18</v>
      </c>
      <c r="BO482" t="str">
        <f t="shared" si="2431"/>
        <v>B18</v>
      </c>
      <c r="BP482" t="str">
        <f t="shared" si="2193"/>
        <v>17A</v>
      </c>
      <c r="BQ482" t="str">
        <f t="shared" si="2194"/>
        <v>17B</v>
      </c>
      <c r="BR482" t="str">
        <f t="shared" si="2195"/>
        <v>18A</v>
      </c>
      <c r="BS482" t="str">
        <f t="shared" si="2196"/>
        <v>18B</v>
      </c>
      <c r="BT482" t="str">
        <f t="shared" si="2432"/>
        <v>DI7-C13</v>
      </c>
      <c r="BU482" t="str">
        <f t="shared" si="2433"/>
        <v>DI7-B13</v>
      </c>
      <c r="BV482" t="str">
        <f t="shared" si="2434"/>
        <v>DI7-C14</v>
      </c>
      <c r="BW482" t="str">
        <f t="shared" si="2435"/>
        <v>DI7-B14</v>
      </c>
      <c r="BX482" t="str">
        <f t="shared" si="2436"/>
        <v>DI7-C15</v>
      </c>
      <c r="BY482" t="str">
        <f t="shared" si="2437"/>
        <v>DI7-B15</v>
      </c>
      <c r="BZ482" t="str">
        <f t="shared" si="2438"/>
        <v>DI7-C16</v>
      </c>
      <c r="CA482" t="str">
        <f t="shared" si="2439"/>
        <v>DI7-B16</v>
      </c>
      <c r="CB482" t="str">
        <f t="shared" si="2440"/>
        <v>DI7-C17</v>
      </c>
      <c r="CC482" t="str">
        <f t="shared" si="2441"/>
        <v>DI7-B17</v>
      </c>
      <c r="CD482" t="str">
        <f t="shared" si="2442"/>
        <v>DI7-C18</v>
      </c>
      <c r="CE482" t="str">
        <f t="shared" si="2443"/>
        <v>DI7-B18</v>
      </c>
      <c r="CF482" t="str">
        <f t="shared" si="2444"/>
        <v>DO4-16A</v>
      </c>
      <c r="CG482" t="str">
        <f t="shared" si="2445"/>
        <v>DO4-16B</v>
      </c>
      <c r="CH482" t="str">
        <f t="shared" si="2446"/>
        <v>DO4-17A</v>
      </c>
      <c r="CI482" t="str">
        <f t="shared" si="2447"/>
        <v>DO4-17B</v>
      </c>
      <c r="CJ482" t="str">
        <f t="shared" si="2448"/>
        <v>DO4-18A</v>
      </c>
      <c r="CK482" t="str">
        <f t="shared" si="2449"/>
        <v>DO4-18B</v>
      </c>
      <c r="CL482" t="str">
        <f t="shared" si="2215"/>
        <v>K38-10</v>
      </c>
      <c r="CM482" t="str">
        <f t="shared" si="2216"/>
        <v>K38-03</v>
      </c>
      <c r="CN482" t="str">
        <f t="shared" si="2217"/>
        <v>K38-04</v>
      </c>
      <c r="CO482" t="str">
        <f t="shared" si="2218"/>
        <v>K38-01</v>
      </c>
      <c r="CP482" t="str">
        <f t="shared" si="2219"/>
        <v>K38-08</v>
      </c>
      <c r="CQ482" t="str">
        <f t="shared" si="2220"/>
        <v>K38-02</v>
      </c>
      <c r="CR482" t="str">
        <f t="shared" si="2221"/>
        <v>K38-09</v>
      </c>
      <c r="CS482" t="str">
        <f t="shared" si="2222"/>
        <v>K38-05</v>
      </c>
      <c r="CT482" t="str">
        <f t="shared" si="2223"/>
        <v>K38-11</v>
      </c>
      <c r="CU482" t="str">
        <f t="shared" si="2224"/>
        <v>N1-M38-A9</v>
      </c>
      <c r="CV482" t="str">
        <f t="shared" si="2225"/>
        <v>N1-M38-A7</v>
      </c>
      <c r="CW482" t="str">
        <f t="shared" si="2226"/>
        <v>N1-M38-A8</v>
      </c>
      <c r="CX482" t="str">
        <f t="shared" si="2227"/>
        <v>N1-M38-A6</v>
      </c>
      <c r="CY482" t="str">
        <f t="shared" si="2228"/>
        <v>N1-M38-A30</v>
      </c>
      <c r="CZ482" t="str">
        <f t="shared" si="2229"/>
        <v>N1-M38-N</v>
      </c>
      <c r="DA482" t="str">
        <f t="shared" si="2450"/>
        <v>N1-A220-M38</v>
      </c>
      <c r="DB482" t="str">
        <f t="shared" si="2231"/>
        <v>N1-M38-XM01</v>
      </c>
      <c r="DC482" t="str">
        <f t="shared" si="2232"/>
        <v>N1-M38-A1</v>
      </c>
      <c r="DD482" t="str">
        <f t="shared" si="2233"/>
        <v>N1-M38-A5</v>
      </c>
      <c r="DE482" t="str">
        <f t="shared" si="2234"/>
        <v>N1-M38-A11</v>
      </c>
      <c r="DF482" t="str">
        <f t="shared" si="2235"/>
        <v>N1-M38-A12</v>
      </c>
      <c r="DG482" t="str">
        <f t="shared" si="2236"/>
        <v>N1-M38-A19</v>
      </c>
      <c r="DH482" t="str">
        <f t="shared" si="2237"/>
        <v>N1-M38-A20</v>
      </c>
      <c r="DI482" t="s">
        <v>142</v>
      </c>
      <c r="DJ482" t="s">
        <v>143</v>
      </c>
      <c r="DK482">
        <v>11</v>
      </c>
      <c r="DL482">
        <v>14</v>
      </c>
      <c r="DM482">
        <v>12</v>
      </c>
      <c r="DN482" t="s">
        <v>144</v>
      </c>
      <c r="DO482" t="s">
        <v>145</v>
      </c>
      <c r="DP482">
        <v>1</v>
      </c>
      <c r="DQ482">
        <v>2</v>
      </c>
      <c r="DR482">
        <v>3</v>
      </c>
      <c r="DS482">
        <v>4</v>
      </c>
      <c r="DT482">
        <v>5</v>
      </c>
      <c r="DU482">
        <v>6</v>
      </c>
      <c r="DV482">
        <v>7</v>
      </c>
      <c r="DW482">
        <v>8</v>
      </c>
      <c r="DX482">
        <v>9</v>
      </c>
      <c r="DY482">
        <v>10</v>
      </c>
      <c r="DZ482">
        <v>11</v>
      </c>
      <c r="EA482">
        <v>12</v>
      </c>
      <c r="EB482">
        <v>13</v>
      </c>
      <c r="EC482">
        <v>14</v>
      </c>
      <c r="ED482">
        <v>1</v>
      </c>
      <c r="EE482">
        <v>3</v>
      </c>
      <c r="EF482">
        <v>4</v>
      </c>
      <c r="EG482">
        <v>7</v>
      </c>
      <c r="EH482">
        <v>8</v>
      </c>
      <c r="EI482">
        <v>9</v>
      </c>
      <c r="EJ482">
        <v>10</v>
      </c>
      <c r="EK482">
        <v>13</v>
      </c>
      <c r="EL482">
        <v>14</v>
      </c>
      <c r="EM482">
        <v>15</v>
      </c>
      <c r="EN482">
        <v>16</v>
      </c>
      <c r="EO482">
        <v>22</v>
      </c>
      <c r="EP482">
        <v>23</v>
      </c>
      <c r="EQ482" s="16">
        <v>24</v>
      </c>
    </row>
    <row r="483" spans="1:285" x14ac:dyDescent="0.25">
      <c r="A483" s="67" t="s">
        <v>2621</v>
      </c>
      <c r="B483" t="s">
        <v>2620</v>
      </c>
      <c r="C483" s="3"/>
      <c r="O483" s="2"/>
      <c r="P483" t="s">
        <v>129</v>
      </c>
      <c r="Q483" s="1"/>
      <c r="S483" s="1" t="s">
        <v>130</v>
      </c>
      <c r="T483" s="14" t="s">
        <v>2185</v>
      </c>
      <c r="U483" s="60">
        <v>39</v>
      </c>
      <c r="V483" s="15" t="s">
        <v>2609</v>
      </c>
      <c r="W483" s="15"/>
      <c r="AC483" t="str">
        <f t="shared" si="2238"/>
        <v>A5.7</v>
      </c>
      <c r="AD483" s="43" cm="1">
        <f t="array" ref="AD483">IF(COUNTIFS(AC$379:AC483,AC483)=1,"1",VALUE(SUBSTITUTE(INDEX(AD:AD,_xlfn.XMATCH(AC483,AC$1:AC482,0,-1)),"A",""))+INDEX(AE:AE,_xlfn.XMATCH(AC483,AC$1:AC482,0,-1))+1)</f>
        <v>19</v>
      </c>
      <c r="AE483" s="43" cm="1">
        <f t="array" ref="AE483">SUM(IF(ISNUMBER(FIND("TmDi",$BE$1:$AAL$1)),IF(IFERROR(ISNUMBER(VALUE(SUBSTITUTE($BE483:$AAL483,"B",""))),FALSE),IF(ISNUMBER(VALUE(SUBSTITUTE($BE483:$AAL483,"B",""))),1,0),0)))</f>
        <v>5</v>
      </c>
      <c r="AF483" t="str">
        <f t="shared" si="2178"/>
        <v>C19</v>
      </c>
      <c r="AG483" t="str">
        <f t="shared" si="2179"/>
        <v>B19</v>
      </c>
      <c r="AH483" t="str">
        <f t="shared" si="2360"/>
        <v>A6.4</v>
      </c>
      <c r="AI483" s="73" cm="1">
        <f t="array" ref="AI483">IF(COUNTIFS(AH$379:AH483,AH483)=1,"1",VALUE(SUBSTITUTE(INDEX(AI:AI,_xlfn.XMATCH(AH483,AH$1:AH482,0,-1)),"A",""))+INDEX(AJ:AJ,_xlfn.XMATCH(AH483,AH$1:AH482,0,-1))+1)</f>
        <v>19</v>
      </c>
      <c r="AJ483" s="64" cm="1">
        <f t="array" ref="AJ483">SUM(IF(ISNUMBER(FIND("TmDo",$BE$1:$AAL$1)),IF(IFERROR(ISNUMBER(VALUE(SUBSTITUTE($BE483:$AAL483,"B",""))),FALSE),IF(ISNUMBER(VALUE(SUBSTITUTE($BE483:$AAL483,"B",""))),1,0),0)))</f>
        <v>2</v>
      </c>
      <c r="AK483" t="str">
        <f t="shared" si="2451"/>
        <v>19A</v>
      </c>
      <c r="AL483" t="str">
        <f t="shared" si="2452"/>
        <v>19B</v>
      </c>
      <c r="AM483" t="s">
        <v>424</v>
      </c>
      <c r="AP483" t="s">
        <v>2187</v>
      </c>
      <c r="AQ483" t="s">
        <v>2515</v>
      </c>
      <c r="AT483" t="s">
        <v>139</v>
      </c>
      <c r="AU483" t="s">
        <v>140</v>
      </c>
      <c r="BD483" s="16"/>
      <c r="BE483" s="27" t="str">
        <f t="shared" si="2421"/>
        <v>XT39</v>
      </c>
      <c r="BF483" t="str">
        <f t="shared" si="2422"/>
        <v>C20</v>
      </c>
      <c r="BG483" t="str">
        <f t="shared" si="2423"/>
        <v>B20</v>
      </c>
      <c r="BH483" t="str">
        <f t="shared" si="2424"/>
        <v>C21</v>
      </c>
      <c r="BI483" t="str">
        <f t="shared" si="2425"/>
        <v>B21</v>
      </c>
      <c r="BJ483" t="str">
        <f t="shared" si="2426"/>
        <v>C22</v>
      </c>
      <c r="BK483" t="str">
        <f t="shared" si="2427"/>
        <v>B22</v>
      </c>
      <c r="BL483" t="str">
        <f t="shared" si="2428"/>
        <v>C23</v>
      </c>
      <c r="BM483" t="str">
        <f t="shared" si="2429"/>
        <v>B23</v>
      </c>
      <c r="BN483" t="str">
        <f t="shared" si="2430"/>
        <v>C24</v>
      </c>
      <c r="BO483" t="str">
        <f t="shared" si="2431"/>
        <v>B24</v>
      </c>
      <c r="BP483" t="str">
        <f t="shared" si="2193"/>
        <v>20A</v>
      </c>
      <c r="BQ483" t="str">
        <f t="shared" si="2194"/>
        <v>20B</v>
      </c>
      <c r="BR483" t="str">
        <f t="shared" si="2195"/>
        <v>21A</v>
      </c>
      <c r="BS483" t="str">
        <f t="shared" si="2196"/>
        <v>21B</v>
      </c>
      <c r="BT483" t="str">
        <f t="shared" si="2432"/>
        <v>DI7-C19</v>
      </c>
      <c r="BU483" t="str">
        <f t="shared" si="2433"/>
        <v>DI7-B19</v>
      </c>
      <c r="BV483" t="str">
        <f t="shared" si="2434"/>
        <v>DI7-C20</v>
      </c>
      <c r="BW483" t="str">
        <f t="shared" si="2435"/>
        <v>DI7-B20</v>
      </c>
      <c r="BX483" t="str">
        <f t="shared" si="2436"/>
        <v>DI7-C21</v>
      </c>
      <c r="BY483" t="str">
        <f t="shared" si="2437"/>
        <v>DI7-B21</v>
      </c>
      <c r="BZ483" t="str">
        <f t="shared" si="2438"/>
        <v>DI7-C22</v>
      </c>
      <c r="CA483" t="str">
        <f t="shared" si="2439"/>
        <v>DI7-B22</v>
      </c>
      <c r="CB483" t="str">
        <f t="shared" si="2440"/>
        <v>DI7-C23</v>
      </c>
      <c r="CC483" t="str">
        <f t="shared" si="2441"/>
        <v>DI7-B23</v>
      </c>
      <c r="CD483" t="str">
        <f t="shared" si="2442"/>
        <v>DI7-C24</v>
      </c>
      <c r="CE483" t="str">
        <f t="shared" si="2443"/>
        <v>DI7-B24</v>
      </c>
      <c r="CF483" t="str">
        <f t="shared" si="2444"/>
        <v>DO4-19A</v>
      </c>
      <c r="CG483" t="str">
        <f t="shared" si="2445"/>
        <v>DO4-19B</v>
      </c>
      <c r="CH483" t="str">
        <f t="shared" si="2446"/>
        <v>DO4-20A</v>
      </c>
      <c r="CI483" t="str">
        <f t="shared" si="2447"/>
        <v>DO4-20B</v>
      </c>
      <c r="CJ483" t="str">
        <f t="shared" si="2448"/>
        <v>DO4-21A</v>
      </c>
      <c r="CK483" t="str">
        <f t="shared" si="2449"/>
        <v>DO4-21B</v>
      </c>
      <c r="CL483" t="str">
        <f t="shared" si="2215"/>
        <v>K39-10</v>
      </c>
      <c r="CM483" t="str">
        <f t="shared" si="2216"/>
        <v>K39-03</v>
      </c>
      <c r="CN483" t="str">
        <f t="shared" si="2217"/>
        <v>K39-04</v>
      </c>
      <c r="CO483" t="str">
        <f t="shared" si="2218"/>
        <v>K39-01</v>
      </c>
      <c r="CP483" t="str">
        <f t="shared" si="2219"/>
        <v>K39-08</v>
      </c>
      <c r="CQ483" t="str">
        <f t="shared" si="2220"/>
        <v>K39-02</v>
      </c>
      <c r="CR483" t="str">
        <f t="shared" si="2221"/>
        <v>K39-09</v>
      </c>
      <c r="CS483" t="str">
        <f t="shared" si="2222"/>
        <v>K39-05</v>
      </c>
      <c r="CT483" t="str">
        <f t="shared" si="2223"/>
        <v>K39-11</v>
      </c>
      <c r="CU483" t="str">
        <f t="shared" si="2224"/>
        <v>N1-M39-A9</v>
      </c>
      <c r="CV483" t="str">
        <f t="shared" si="2225"/>
        <v>N1-M39-A7</v>
      </c>
      <c r="CW483" t="str">
        <f t="shared" si="2226"/>
        <v>N1-M39-A8</v>
      </c>
      <c r="CX483" t="str">
        <f t="shared" si="2227"/>
        <v>N1-M39-A6</v>
      </c>
      <c r="CY483" t="str">
        <f t="shared" si="2228"/>
        <v>N1-M39-A30</v>
      </c>
      <c r="CZ483" t="str">
        <f t="shared" si="2229"/>
        <v>N1-M39-N</v>
      </c>
      <c r="DA483" t="str">
        <f t="shared" si="2450"/>
        <v>N1-A220-M39</v>
      </c>
      <c r="DB483" t="str">
        <f t="shared" si="2231"/>
        <v>N1-M39-XM01</v>
      </c>
      <c r="DC483" t="str">
        <f t="shared" si="2232"/>
        <v>N1-M39-A1</v>
      </c>
      <c r="DD483" t="str">
        <f t="shared" si="2233"/>
        <v>N1-M39-A5</v>
      </c>
      <c r="DE483" t="str">
        <f t="shared" si="2234"/>
        <v>N1-M39-A11</v>
      </c>
      <c r="DF483" t="str">
        <f t="shared" si="2235"/>
        <v>N1-M39-A12</v>
      </c>
      <c r="DG483" t="str">
        <f t="shared" si="2236"/>
        <v>N1-M39-A19</v>
      </c>
      <c r="DH483" t="str">
        <f t="shared" si="2237"/>
        <v>N1-M39-A20</v>
      </c>
      <c r="DI483" t="s">
        <v>142</v>
      </c>
      <c r="DJ483" t="s">
        <v>143</v>
      </c>
      <c r="DK483">
        <v>11</v>
      </c>
      <c r="DL483">
        <v>14</v>
      </c>
      <c r="DM483">
        <v>12</v>
      </c>
      <c r="DN483" t="s">
        <v>144</v>
      </c>
      <c r="DO483" t="s">
        <v>145</v>
      </c>
      <c r="DP483">
        <v>1</v>
      </c>
      <c r="DQ483">
        <v>2</v>
      </c>
      <c r="DR483">
        <v>3</v>
      </c>
      <c r="DS483">
        <v>4</v>
      </c>
      <c r="DT483">
        <v>5</v>
      </c>
      <c r="DU483">
        <v>6</v>
      </c>
      <c r="DV483">
        <v>7</v>
      </c>
      <c r="DW483">
        <v>8</v>
      </c>
      <c r="DX483">
        <v>9</v>
      </c>
      <c r="DY483">
        <v>10</v>
      </c>
      <c r="DZ483">
        <v>11</v>
      </c>
      <c r="EA483">
        <v>12</v>
      </c>
      <c r="EB483">
        <v>13</v>
      </c>
      <c r="EC483">
        <v>14</v>
      </c>
      <c r="ED483">
        <v>1</v>
      </c>
      <c r="EE483">
        <v>3</v>
      </c>
      <c r="EF483">
        <v>4</v>
      </c>
      <c r="EG483">
        <v>7</v>
      </c>
      <c r="EH483">
        <v>8</v>
      </c>
      <c r="EI483">
        <v>9</v>
      </c>
      <c r="EJ483">
        <v>10</v>
      </c>
      <c r="EK483">
        <v>13</v>
      </c>
      <c r="EL483">
        <v>14</v>
      </c>
      <c r="EM483">
        <v>15</v>
      </c>
      <c r="EN483">
        <v>16</v>
      </c>
      <c r="EO483">
        <v>22</v>
      </c>
      <c r="EP483">
        <v>23</v>
      </c>
      <c r="EQ483" s="16">
        <v>24</v>
      </c>
    </row>
    <row r="484" spans="1:285" x14ac:dyDescent="0.25">
      <c r="A484" s="67" t="s">
        <v>2623</v>
      </c>
      <c r="B484" t="s">
        <v>2622</v>
      </c>
      <c r="C484" s="3"/>
      <c r="O484" s="2"/>
      <c r="P484" t="s">
        <v>129</v>
      </c>
      <c r="Q484" s="1"/>
      <c r="S484" s="1" t="s">
        <v>130</v>
      </c>
      <c r="T484" s="14" t="s">
        <v>2185</v>
      </c>
      <c r="U484" s="60">
        <v>40</v>
      </c>
      <c r="V484" s="15" t="s">
        <v>2610</v>
      </c>
      <c r="W484" s="15"/>
      <c r="AC484" t="str">
        <f t="shared" si="2238"/>
        <v>A5.7</v>
      </c>
      <c r="AD484" s="43" cm="1">
        <f t="array" ref="AD484">IF(COUNTIFS(AC$379:AC484,AC484)=1,"1",VALUE(SUBSTITUTE(INDEX(AD:AD,_xlfn.XMATCH(AC484,AC$1:AC483,0,-1)),"A",""))+INDEX(AE:AE,_xlfn.XMATCH(AC484,AC$1:AC483,0,-1))+1)</f>
        <v>25</v>
      </c>
      <c r="AE484" s="43" cm="1">
        <f t="array" ref="AE484">SUM(IF(ISNUMBER(FIND("TmDi",$BE$1:$AAL$1)),IF(IFERROR(ISNUMBER(VALUE(SUBSTITUTE($BE484:$AAL484,"B",""))),FALSE),IF(ISNUMBER(VALUE(SUBSTITUTE($BE484:$AAL484,"B",""))),1,0),0)))</f>
        <v>5</v>
      </c>
      <c r="AF484" t="str">
        <f t="shared" si="2178"/>
        <v>C25</v>
      </c>
      <c r="AG484" t="str">
        <f t="shared" si="2179"/>
        <v>B25</v>
      </c>
      <c r="AH484" t="str">
        <f t="shared" si="2360"/>
        <v>A6.4</v>
      </c>
      <c r="AI484" s="73" cm="1">
        <f t="array" ref="AI484">IF(COUNTIFS(AH$379:AH484,AH484)=1,"1",VALUE(SUBSTITUTE(INDEX(AI:AI,_xlfn.XMATCH(AH484,AH$1:AH483,0,-1)),"A",""))+INDEX(AJ:AJ,_xlfn.XMATCH(AH484,AH$1:AH483,0,-1))+1)</f>
        <v>22</v>
      </c>
      <c r="AJ484" s="64" cm="1">
        <f t="array" ref="AJ484">SUM(IF(ISNUMBER(FIND("TmDo",$BE$1:$AAL$1)),IF(IFERROR(ISNUMBER(VALUE(SUBSTITUTE($BE484:$AAL484,"B",""))),FALSE),IF(ISNUMBER(VALUE(SUBSTITUTE($BE484:$AAL484,"B",""))),1,0),0)))</f>
        <v>2</v>
      </c>
      <c r="AK484" t="str">
        <f t="shared" si="2451"/>
        <v>22A</v>
      </c>
      <c r="AL484" t="str">
        <f t="shared" si="2452"/>
        <v>22B</v>
      </c>
      <c r="AM484" t="s">
        <v>425</v>
      </c>
      <c r="AP484" t="s">
        <v>2187</v>
      </c>
      <c r="AQ484" t="s">
        <v>2515</v>
      </c>
      <c r="AT484" t="s">
        <v>139</v>
      </c>
      <c r="AU484" t="s">
        <v>140</v>
      </c>
      <c r="BD484" s="16"/>
      <c r="BE484" s="27" t="str">
        <f t="shared" si="2421"/>
        <v>XT40</v>
      </c>
      <c r="BF484" t="str">
        <f t="shared" si="2422"/>
        <v>C26</v>
      </c>
      <c r="BG484" t="str">
        <f t="shared" si="2423"/>
        <v>B26</v>
      </c>
      <c r="BH484" t="str">
        <f t="shared" si="2424"/>
        <v>C27</v>
      </c>
      <c r="BI484" t="str">
        <f t="shared" si="2425"/>
        <v>B27</v>
      </c>
      <c r="BJ484" t="str">
        <f t="shared" si="2426"/>
        <v>C28</v>
      </c>
      <c r="BK484" t="str">
        <f t="shared" si="2427"/>
        <v>B28</v>
      </c>
      <c r="BL484" t="str">
        <f t="shared" si="2428"/>
        <v>C29</v>
      </c>
      <c r="BM484" t="str">
        <f t="shared" si="2429"/>
        <v>B29</v>
      </c>
      <c r="BN484" t="str">
        <f t="shared" si="2430"/>
        <v>C30</v>
      </c>
      <c r="BO484" t="str">
        <f t="shared" si="2431"/>
        <v>B30</v>
      </c>
      <c r="BP484" t="str">
        <f t="shared" si="2193"/>
        <v>23A</v>
      </c>
      <c r="BQ484" t="str">
        <f t="shared" si="2194"/>
        <v>23B</v>
      </c>
      <c r="BR484" t="str">
        <f t="shared" si="2195"/>
        <v>24A</v>
      </c>
      <c r="BS484" t="str">
        <f t="shared" si="2196"/>
        <v>24B</v>
      </c>
      <c r="BT484" t="str">
        <f t="shared" si="2432"/>
        <v>DI7-C25</v>
      </c>
      <c r="BU484" t="str">
        <f t="shared" si="2433"/>
        <v>DI7-B25</v>
      </c>
      <c r="BV484" t="str">
        <f t="shared" si="2434"/>
        <v>DI7-C26</v>
      </c>
      <c r="BW484" t="str">
        <f t="shared" si="2435"/>
        <v>DI7-B26</v>
      </c>
      <c r="BX484" t="str">
        <f t="shared" si="2436"/>
        <v>DI7-C27</v>
      </c>
      <c r="BY484" t="str">
        <f t="shared" si="2437"/>
        <v>DI7-B27</v>
      </c>
      <c r="BZ484" t="str">
        <f t="shared" si="2438"/>
        <v>DI7-C28</v>
      </c>
      <c r="CA484" t="str">
        <f t="shared" si="2439"/>
        <v>DI7-B28</v>
      </c>
      <c r="CB484" t="str">
        <f t="shared" si="2440"/>
        <v>DI7-C29</v>
      </c>
      <c r="CC484" t="str">
        <f t="shared" si="2441"/>
        <v>DI7-B29</v>
      </c>
      <c r="CD484" t="str">
        <f t="shared" si="2442"/>
        <v>DI7-C30</v>
      </c>
      <c r="CE484" t="str">
        <f t="shared" si="2443"/>
        <v>DI7-B30</v>
      </c>
      <c r="CF484" t="str">
        <f t="shared" si="2444"/>
        <v>DO4-22A</v>
      </c>
      <c r="CG484" t="str">
        <f t="shared" si="2445"/>
        <v>DO4-22B</v>
      </c>
      <c r="CH484" t="str">
        <f t="shared" si="2446"/>
        <v>DO4-23A</v>
      </c>
      <c r="CI484" t="str">
        <f t="shared" si="2447"/>
        <v>DO4-23B</v>
      </c>
      <c r="CJ484" t="str">
        <f t="shared" si="2448"/>
        <v>DO4-24A</v>
      </c>
      <c r="CK484" t="str">
        <f t="shared" si="2449"/>
        <v>DO4-24B</v>
      </c>
      <c r="CL484" t="str">
        <f t="shared" si="2215"/>
        <v>K40-10</v>
      </c>
      <c r="CM484" t="str">
        <f t="shared" si="2216"/>
        <v>K40-03</v>
      </c>
      <c r="CN484" t="str">
        <f t="shared" si="2217"/>
        <v>K40-04</v>
      </c>
      <c r="CO484" t="str">
        <f t="shared" si="2218"/>
        <v>K40-01</v>
      </c>
      <c r="CP484" t="str">
        <f t="shared" si="2219"/>
        <v>K40-08</v>
      </c>
      <c r="CQ484" t="str">
        <f t="shared" si="2220"/>
        <v>K40-02</v>
      </c>
      <c r="CR484" t="str">
        <f t="shared" si="2221"/>
        <v>K40-09</v>
      </c>
      <c r="CS484" t="str">
        <f t="shared" si="2222"/>
        <v>K40-05</v>
      </c>
      <c r="CT484" t="str">
        <f t="shared" si="2223"/>
        <v>K40-11</v>
      </c>
      <c r="CU484" t="str">
        <f t="shared" si="2224"/>
        <v>N1-M40-A9</v>
      </c>
      <c r="CV484" t="str">
        <f t="shared" si="2225"/>
        <v>N1-M40-A7</v>
      </c>
      <c r="CW484" t="str">
        <f t="shared" si="2226"/>
        <v>N1-M40-A8</v>
      </c>
      <c r="CX484" t="str">
        <f t="shared" si="2227"/>
        <v>N1-M40-A6</v>
      </c>
      <c r="CY484" t="str">
        <f t="shared" si="2228"/>
        <v>N1-M40-A30</v>
      </c>
      <c r="CZ484" t="str">
        <f t="shared" si="2229"/>
        <v>N1-M40-N</v>
      </c>
      <c r="DA484" t="str">
        <f t="shared" si="2450"/>
        <v>N1-A220-M40</v>
      </c>
      <c r="DB484" t="str">
        <f t="shared" si="2231"/>
        <v>N1-M40-XM01</v>
      </c>
      <c r="DC484" t="str">
        <f t="shared" si="2232"/>
        <v>N1-M40-A1</v>
      </c>
      <c r="DD484" t="str">
        <f t="shared" si="2233"/>
        <v>N1-M40-A5</v>
      </c>
      <c r="DE484" t="str">
        <f t="shared" si="2234"/>
        <v>N1-M40-A11</v>
      </c>
      <c r="DF484" t="str">
        <f t="shared" si="2235"/>
        <v>N1-M40-A12</v>
      </c>
      <c r="DG484" t="str">
        <f t="shared" si="2236"/>
        <v>N1-M40-A19</v>
      </c>
      <c r="DH484" t="str">
        <f t="shared" si="2237"/>
        <v>N1-M40-A20</v>
      </c>
      <c r="DI484" t="s">
        <v>142</v>
      </c>
      <c r="DJ484" t="s">
        <v>143</v>
      </c>
      <c r="DK484">
        <v>11</v>
      </c>
      <c r="DL484">
        <v>14</v>
      </c>
      <c r="DM484">
        <v>12</v>
      </c>
      <c r="DN484" t="s">
        <v>144</v>
      </c>
      <c r="DO484" t="s">
        <v>145</v>
      </c>
      <c r="DP484">
        <v>1</v>
      </c>
      <c r="DQ484">
        <v>2</v>
      </c>
      <c r="DR484">
        <v>3</v>
      </c>
      <c r="DS484">
        <v>4</v>
      </c>
      <c r="DT484">
        <v>5</v>
      </c>
      <c r="DU484">
        <v>6</v>
      </c>
      <c r="DV484">
        <v>7</v>
      </c>
      <c r="DW484">
        <v>8</v>
      </c>
      <c r="DX484">
        <v>9</v>
      </c>
      <c r="DY484">
        <v>10</v>
      </c>
      <c r="DZ484">
        <v>11</v>
      </c>
      <c r="EA484">
        <v>12</v>
      </c>
      <c r="EB484">
        <v>13</v>
      </c>
      <c r="EC484">
        <v>14</v>
      </c>
      <c r="ED484">
        <v>1</v>
      </c>
      <c r="EE484">
        <v>3</v>
      </c>
      <c r="EF484">
        <v>4</v>
      </c>
      <c r="EG484">
        <v>7</v>
      </c>
      <c r="EH484">
        <v>8</v>
      </c>
      <c r="EI484">
        <v>9</v>
      </c>
      <c r="EJ484">
        <v>10</v>
      </c>
      <c r="EK484">
        <v>13</v>
      </c>
      <c r="EL484">
        <v>14</v>
      </c>
      <c r="EM484">
        <v>15</v>
      </c>
      <c r="EN484">
        <v>16</v>
      </c>
      <c r="EO484">
        <v>22</v>
      </c>
      <c r="EP484">
        <v>23</v>
      </c>
      <c r="EQ484" s="16">
        <v>24</v>
      </c>
    </row>
    <row r="485" spans="1:285" x14ac:dyDescent="0.25">
      <c r="A485" s="67" t="s">
        <v>2625</v>
      </c>
      <c r="B485" t="s">
        <v>2624</v>
      </c>
      <c r="C485" s="3"/>
      <c r="O485" s="2"/>
      <c r="P485" t="s">
        <v>129</v>
      </c>
      <c r="Q485" s="1"/>
      <c r="S485" s="1" t="s">
        <v>130</v>
      </c>
      <c r="T485" s="14" t="s">
        <v>2185</v>
      </c>
      <c r="U485" s="60">
        <v>41</v>
      </c>
      <c r="V485" s="15" t="s">
        <v>2611</v>
      </c>
      <c r="W485" s="15"/>
      <c r="AC485" t="str">
        <f t="shared" si="2238"/>
        <v>A5.8</v>
      </c>
      <c r="AD485" s="43" t="str" cm="1">
        <f t="array" ref="AD485">IF(COUNTIFS(AC$379:AC485,AC485)=1,"1",VALUE(SUBSTITUTE(INDEX(AD:AD,_xlfn.XMATCH(AC485,AC$1:AC484,0,-1)),"A",""))+INDEX(AE:AE,_xlfn.XMATCH(AC485,AC$1:AC484,0,-1))+1)</f>
        <v>1</v>
      </c>
      <c r="AE485" s="43" cm="1">
        <f t="array" ref="AE485">SUM(IF(ISNUMBER(FIND("TmDi",$BE$1:$AAL$1)),IF(IFERROR(ISNUMBER(VALUE(SUBSTITUTE($BE485:$AAL485,"B",""))),FALSE),IF(ISNUMBER(VALUE(SUBSTITUTE($BE485:$AAL485,"B",""))),1,0),0)))</f>
        <v>5</v>
      </c>
      <c r="AF485" t="str">
        <f t="shared" si="2178"/>
        <v>C1</v>
      </c>
      <c r="AG485" t="str">
        <f t="shared" si="2179"/>
        <v>B1</v>
      </c>
      <c r="AH485" t="str">
        <f t="shared" si="2360"/>
        <v>A6.4</v>
      </c>
      <c r="AI485" s="73" cm="1">
        <f t="array" ref="AI485">IF(COUNTIFS(AH$379:AH485,AH485)=1,"1",VALUE(SUBSTITUTE(INDEX(AI:AI,_xlfn.XMATCH(AH485,AH$1:AH484,0,-1)),"A",""))+INDEX(AJ:AJ,_xlfn.XMATCH(AH485,AH$1:AH484,0,-1))+1)</f>
        <v>25</v>
      </c>
      <c r="AJ485" s="64" cm="1">
        <f t="array" ref="AJ485">SUM(IF(ISNUMBER(FIND("TmDo",$BE$1:$AAL$1)),IF(IFERROR(ISNUMBER(VALUE(SUBSTITUTE($BE485:$AAL485,"B",""))),FALSE),IF(ISNUMBER(VALUE(SUBSTITUTE($BE485:$AAL485,"B",""))),1,0),0)))</f>
        <v>2</v>
      </c>
      <c r="AK485" t="str">
        <f t="shared" si="2451"/>
        <v>25A</v>
      </c>
      <c r="AL485" t="str">
        <f t="shared" si="2452"/>
        <v>25B</v>
      </c>
      <c r="AM485" t="s">
        <v>447</v>
      </c>
      <c r="AP485" t="s">
        <v>2187</v>
      </c>
      <c r="AQ485" t="s">
        <v>2515</v>
      </c>
      <c r="AT485" t="s">
        <v>139</v>
      </c>
      <c r="AU485" t="s">
        <v>140</v>
      </c>
      <c r="BD485" s="16"/>
      <c r="BE485" s="27" t="str">
        <f t="shared" si="2421"/>
        <v>XT41</v>
      </c>
      <c r="BF485" t="str">
        <f t="shared" si="2422"/>
        <v>C2</v>
      </c>
      <c r="BG485" t="str">
        <f t="shared" si="2423"/>
        <v>B2</v>
      </c>
      <c r="BH485" t="str">
        <f t="shared" si="2424"/>
        <v>C3</v>
      </c>
      <c r="BI485" t="str">
        <f t="shared" si="2425"/>
        <v>B3</v>
      </c>
      <c r="BJ485" t="str">
        <f t="shared" si="2426"/>
        <v>C4</v>
      </c>
      <c r="BK485" t="str">
        <f t="shared" si="2427"/>
        <v>B4</v>
      </c>
      <c r="BL485" t="str">
        <f t="shared" si="2428"/>
        <v>C5</v>
      </c>
      <c r="BM485" t="str">
        <f t="shared" si="2429"/>
        <v>B5</v>
      </c>
      <c r="BN485" t="str">
        <f t="shared" si="2430"/>
        <v>C6</v>
      </c>
      <c r="BO485" t="str">
        <f t="shared" si="2431"/>
        <v>B6</v>
      </c>
      <c r="BP485" t="str">
        <f t="shared" si="2193"/>
        <v>26A</v>
      </c>
      <c r="BQ485" t="str">
        <f t="shared" si="2194"/>
        <v>26B</v>
      </c>
      <c r="BR485" t="str">
        <f t="shared" si="2195"/>
        <v>27A</v>
      </c>
      <c r="BS485" t="str">
        <f t="shared" si="2196"/>
        <v>27B</v>
      </c>
      <c r="BT485" t="str">
        <f t="shared" si="2432"/>
        <v>DI8-C1</v>
      </c>
      <c r="BU485" t="str">
        <f t="shared" si="2433"/>
        <v>DI8-B1</v>
      </c>
      <c r="BV485" t="str">
        <f t="shared" si="2434"/>
        <v>DI8-C2</v>
      </c>
      <c r="BW485" t="str">
        <f t="shared" si="2435"/>
        <v>DI8-B2</v>
      </c>
      <c r="BX485" t="str">
        <f t="shared" si="2436"/>
        <v>DI8-C3</v>
      </c>
      <c r="BY485" t="str">
        <f t="shared" si="2437"/>
        <v>DI8-B3</v>
      </c>
      <c r="BZ485" t="str">
        <f t="shared" si="2438"/>
        <v>DI8-C4</v>
      </c>
      <c r="CA485" t="str">
        <f t="shared" si="2439"/>
        <v>DI8-B4</v>
      </c>
      <c r="CB485" t="str">
        <f t="shared" si="2440"/>
        <v>DI8-C5</v>
      </c>
      <c r="CC485" t="str">
        <f t="shared" si="2441"/>
        <v>DI8-B5</v>
      </c>
      <c r="CD485" t="str">
        <f t="shared" si="2442"/>
        <v>DI8-C6</v>
      </c>
      <c r="CE485" t="str">
        <f t="shared" si="2443"/>
        <v>DI8-B6</v>
      </c>
      <c r="CF485" t="str">
        <f t="shared" si="2444"/>
        <v>DO4-25A</v>
      </c>
      <c r="CG485" t="str">
        <f t="shared" si="2445"/>
        <v>DO4-25B</v>
      </c>
      <c r="CH485" t="str">
        <f t="shared" si="2446"/>
        <v>DO4-26A</v>
      </c>
      <c r="CI485" t="str">
        <f t="shared" si="2447"/>
        <v>DO4-26B</v>
      </c>
      <c r="CJ485" t="str">
        <f t="shared" si="2448"/>
        <v>DO4-27A</v>
      </c>
      <c r="CK485" t="str">
        <f t="shared" si="2449"/>
        <v>DO4-27B</v>
      </c>
      <c r="CL485" t="str">
        <f t="shared" si="2215"/>
        <v>K41-10</v>
      </c>
      <c r="CM485" t="str">
        <f t="shared" si="2216"/>
        <v>K41-03</v>
      </c>
      <c r="CN485" t="str">
        <f t="shared" si="2217"/>
        <v>K41-04</v>
      </c>
      <c r="CO485" t="str">
        <f t="shared" si="2218"/>
        <v>K41-01</v>
      </c>
      <c r="CP485" t="str">
        <f t="shared" si="2219"/>
        <v>K41-08</v>
      </c>
      <c r="CQ485" t="str">
        <f t="shared" si="2220"/>
        <v>K41-02</v>
      </c>
      <c r="CR485" t="str">
        <f t="shared" si="2221"/>
        <v>K41-09</v>
      </c>
      <c r="CS485" t="str">
        <f t="shared" si="2222"/>
        <v>K41-05</v>
      </c>
      <c r="CT485" t="str">
        <f t="shared" si="2223"/>
        <v>K41-11</v>
      </c>
      <c r="CU485" t="str">
        <f t="shared" si="2224"/>
        <v>N1-M41-A9</v>
      </c>
      <c r="CV485" t="str">
        <f t="shared" si="2225"/>
        <v>N1-M41-A7</v>
      </c>
      <c r="CW485" t="str">
        <f t="shared" si="2226"/>
        <v>N1-M41-A8</v>
      </c>
      <c r="CX485" t="str">
        <f t="shared" si="2227"/>
        <v>N1-M41-A6</v>
      </c>
      <c r="CY485" t="str">
        <f t="shared" si="2228"/>
        <v>N1-M41-A30</v>
      </c>
      <c r="CZ485" t="str">
        <f t="shared" si="2229"/>
        <v>N1-M41-N</v>
      </c>
      <c r="DA485" t="str">
        <f t="shared" si="2450"/>
        <v>N1-A220-M41</v>
      </c>
      <c r="DB485" t="str">
        <f t="shared" si="2231"/>
        <v>N1-M41-XM01</v>
      </c>
      <c r="DC485" t="str">
        <f t="shared" si="2232"/>
        <v>N1-M41-A1</v>
      </c>
      <c r="DD485" t="str">
        <f t="shared" si="2233"/>
        <v>N1-M41-A5</v>
      </c>
      <c r="DE485" t="str">
        <f t="shared" si="2234"/>
        <v>N1-M41-A11</v>
      </c>
      <c r="DF485" t="str">
        <f t="shared" si="2235"/>
        <v>N1-M41-A12</v>
      </c>
      <c r="DG485" t="str">
        <f t="shared" si="2236"/>
        <v>N1-M41-A19</v>
      </c>
      <c r="DH485" t="str">
        <f t="shared" si="2237"/>
        <v>N1-M41-A20</v>
      </c>
      <c r="DI485" t="s">
        <v>142</v>
      </c>
      <c r="DJ485" t="s">
        <v>143</v>
      </c>
      <c r="DK485">
        <v>11</v>
      </c>
      <c r="DL485">
        <v>14</v>
      </c>
      <c r="DM485">
        <v>12</v>
      </c>
      <c r="DN485" t="s">
        <v>144</v>
      </c>
      <c r="DO485" t="s">
        <v>145</v>
      </c>
      <c r="DP485">
        <v>1</v>
      </c>
      <c r="DQ485">
        <v>2</v>
      </c>
      <c r="DR485">
        <v>3</v>
      </c>
      <c r="DS485">
        <v>4</v>
      </c>
      <c r="DT485">
        <v>5</v>
      </c>
      <c r="DU485">
        <v>6</v>
      </c>
      <c r="DV485">
        <v>7</v>
      </c>
      <c r="DW485">
        <v>8</v>
      </c>
      <c r="DX485">
        <v>9</v>
      </c>
      <c r="DY485">
        <v>10</v>
      </c>
      <c r="DZ485">
        <v>11</v>
      </c>
      <c r="EA485">
        <v>12</v>
      </c>
      <c r="EB485">
        <v>13</v>
      </c>
      <c r="EC485">
        <v>14</v>
      </c>
      <c r="ED485">
        <v>1</v>
      </c>
      <c r="EE485">
        <v>3</v>
      </c>
      <c r="EF485">
        <v>4</v>
      </c>
      <c r="EG485">
        <v>7</v>
      </c>
      <c r="EH485">
        <v>8</v>
      </c>
      <c r="EI485">
        <v>9</v>
      </c>
      <c r="EJ485">
        <v>10</v>
      </c>
      <c r="EK485">
        <v>13</v>
      </c>
      <c r="EL485">
        <v>14</v>
      </c>
      <c r="EM485">
        <v>15</v>
      </c>
      <c r="EN485">
        <v>16</v>
      </c>
      <c r="EO485">
        <v>22</v>
      </c>
      <c r="EP485">
        <v>23</v>
      </c>
      <c r="EQ485" s="16">
        <v>24</v>
      </c>
    </row>
    <row r="486" spans="1:285" x14ac:dyDescent="0.25">
      <c r="A486" s="67" t="s">
        <v>2627</v>
      </c>
      <c r="B486" t="s">
        <v>2626</v>
      </c>
      <c r="C486" s="3"/>
      <c r="O486" s="2"/>
      <c r="P486" t="s">
        <v>129</v>
      </c>
      <c r="Q486" s="1"/>
      <c r="S486" s="1" t="s">
        <v>130</v>
      </c>
      <c r="T486" s="14" t="s">
        <v>2185</v>
      </c>
      <c r="U486" s="60">
        <v>42</v>
      </c>
      <c r="V486" s="15" t="s">
        <v>2612</v>
      </c>
      <c r="W486" s="15"/>
      <c r="AC486" t="str">
        <f t="shared" si="2238"/>
        <v>A5.8</v>
      </c>
      <c r="AD486" s="43" cm="1">
        <f t="array" ref="AD486">IF(COUNTIFS(AC$379:AC486,AC486)=1,"1",VALUE(SUBSTITUTE(INDEX(AD:AD,_xlfn.XMATCH(AC486,AC$1:AC485,0,-1)),"A",""))+INDEX(AE:AE,_xlfn.XMATCH(AC486,AC$1:AC485,0,-1))+1)</f>
        <v>7</v>
      </c>
      <c r="AE486" s="43" cm="1">
        <f t="array" ref="AE486">SUM(IF(ISNUMBER(FIND("TmDi",$BE$1:$AAL$1)),IF(IFERROR(ISNUMBER(VALUE(SUBSTITUTE($BE486:$AAL486,"B",""))),FALSE),IF(ISNUMBER(VALUE(SUBSTITUTE($BE486:$AAL486,"B",""))),1,0),0)))</f>
        <v>5</v>
      </c>
      <c r="AF486" t="str">
        <f t="shared" si="2178"/>
        <v>C7</v>
      </c>
      <c r="AG486" t="str">
        <f t="shared" si="2179"/>
        <v>B7</v>
      </c>
      <c r="AH486" t="str">
        <f t="shared" si="2360"/>
        <v>A6.5</v>
      </c>
      <c r="AI486" s="73" t="str" cm="1">
        <f t="array" ref="AI486">IF(COUNTIFS(AH$379:AH486,AH486)=1,"1",VALUE(SUBSTITUTE(INDEX(AI:AI,_xlfn.XMATCH(AH486,AH$1:AH485,0,-1)),"A",""))+INDEX(AJ:AJ,_xlfn.XMATCH(AH486,AH$1:AH485,0,-1))+1)</f>
        <v>1</v>
      </c>
      <c r="AJ486" s="64" cm="1">
        <f t="array" ref="AJ486">SUM(IF(ISNUMBER(FIND("TmDo",$BE$1:$AAL$1)),IF(IFERROR(ISNUMBER(VALUE(SUBSTITUTE($BE486:$AAL486,"B",""))),FALSE),IF(ISNUMBER(VALUE(SUBSTITUTE($BE486:$AAL486,"B",""))),1,0),0)))</f>
        <v>2</v>
      </c>
      <c r="AK486" t="str">
        <f t="shared" si="2451"/>
        <v>1A</v>
      </c>
      <c r="AL486" t="str">
        <f t="shared" si="2452"/>
        <v>1B</v>
      </c>
      <c r="AM486" t="s">
        <v>448</v>
      </c>
      <c r="AP486" t="s">
        <v>2187</v>
      </c>
      <c r="AQ486" t="s">
        <v>2515</v>
      </c>
      <c r="AT486" t="s">
        <v>139</v>
      </c>
      <c r="AU486" t="s">
        <v>140</v>
      </c>
      <c r="BD486" s="16"/>
      <c r="BE486" s="27" t="str">
        <f t="shared" si="2421"/>
        <v>XT42</v>
      </c>
      <c r="BF486" t="str">
        <f t="shared" si="2422"/>
        <v>C8</v>
      </c>
      <c r="BG486" t="str">
        <f t="shared" si="2423"/>
        <v>B8</v>
      </c>
      <c r="BH486" t="str">
        <f t="shared" si="2424"/>
        <v>C9</v>
      </c>
      <c r="BI486" t="str">
        <f t="shared" si="2425"/>
        <v>B9</v>
      </c>
      <c r="BJ486" t="str">
        <f t="shared" si="2426"/>
        <v>C10</v>
      </c>
      <c r="BK486" t="str">
        <f t="shared" si="2427"/>
        <v>B10</v>
      </c>
      <c r="BL486" t="str">
        <f t="shared" si="2428"/>
        <v>C11</v>
      </c>
      <c r="BM486" t="str">
        <f t="shared" si="2429"/>
        <v>B11</v>
      </c>
      <c r="BN486" t="str">
        <f t="shared" si="2430"/>
        <v>C12</v>
      </c>
      <c r="BO486" t="str">
        <f t="shared" si="2431"/>
        <v>B12</v>
      </c>
      <c r="BP486" t="str">
        <f t="shared" si="2193"/>
        <v>2A</v>
      </c>
      <c r="BQ486" t="str">
        <f t="shared" si="2194"/>
        <v>2B</v>
      </c>
      <c r="BR486" t="str">
        <f t="shared" si="2195"/>
        <v>3A</v>
      </c>
      <c r="BS486" t="str">
        <f t="shared" si="2196"/>
        <v>3B</v>
      </c>
      <c r="BT486" t="str">
        <f t="shared" si="2432"/>
        <v>DI8-C7</v>
      </c>
      <c r="BU486" t="str">
        <f t="shared" si="2433"/>
        <v>DI8-B7</v>
      </c>
      <c r="BV486" t="str">
        <f t="shared" si="2434"/>
        <v>DI8-C8</v>
      </c>
      <c r="BW486" t="str">
        <f t="shared" si="2435"/>
        <v>DI8-B8</v>
      </c>
      <c r="BX486" t="str">
        <f t="shared" si="2436"/>
        <v>DI8-C9</v>
      </c>
      <c r="BY486" t="str">
        <f t="shared" si="2437"/>
        <v>DI8-B9</v>
      </c>
      <c r="BZ486" t="str">
        <f t="shared" si="2438"/>
        <v>DI8-C10</v>
      </c>
      <c r="CA486" t="str">
        <f t="shared" si="2439"/>
        <v>DI8-B10</v>
      </c>
      <c r="CB486" t="str">
        <f t="shared" si="2440"/>
        <v>DI8-C11</v>
      </c>
      <c r="CC486" t="str">
        <f t="shared" si="2441"/>
        <v>DI8-B11</v>
      </c>
      <c r="CD486" t="str">
        <f t="shared" si="2442"/>
        <v>DI8-C12</v>
      </c>
      <c r="CE486" t="str">
        <f t="shared" si="2443"/>
        <v>DI8-B12</v>
      </c>
      <c r="CF486" t="str">
        <f t="shared" si="2444"/>
        <v>DO5-1A</v>
      </c>
      <c r="CG486" t="str">
        <f t="shared" si="2445"/>
        <v>DO5-1B</v>
      </c>
      <c r="CH486" t="str">
        <f t="shared" si="2446"/>
        <v>DO5-2A</v>
      </c>
      <c r="CI486" t="str">
        <f t="shared" si="2447"/>
        <v>DO5-2B</v>
      </c>
      <c r="CJ486" t="str">
        <f t="shared" si="2448"/>
        <v>DO5-3A</v>
      </c>
      <c r="CK486" t="str">
        <f t="shared" si="2449"/>
        <v>DO5-3B</v>
      </c>
      <c r="CL486" t="str">
        <f t="shared" si="2215"/>
        <v>K42-10</v>
      </c>
      <c r="CM486" t="str">
        <f t="shared" si="2216"/>
        <v>K42-03</v>
      </c>
      <c r="CN486" t="str">
        <f t="shared" si="2217"/>
        <v>K42-04</v>
      </c>
      <c r="CO486" t="str">
        <f t="shared" si="2218"/>
        <v>K42-01</v>
      </c>
      <c r="CP486" t="str">
        <f t="shared" si="2219"/>
        <v>K42-08</v>
      </c>
      <c r="CQ486" t="str">
        <f t="shared" si="2220"/>
        <v>K42-02</v>
      </c>
      <c r="CR486" t="str">
        <f t="shared" si="2221"/>
        <v>K42-09</v>
      </c>
      <c r="CS486" t="str">
        <f t="shared" si="2222"/>
        <v>K42-05</v>
      </c>
      <c r="CT486" t="str">
        <f t="shared" si="2223"/>
        <v>K42-11</v>
      </c>
      <c r="CU486" t="str">
        <f t="shared" si="2224"/>
        <v>N1-M42-A9</v>
      </c>
      <c r="CV486" t="str">
        <f t="shared" si="2225"/>
        <v>N1-M42-A7</v>
      </c>
      <c r="CW486" t="str">
        <f t="shared" si="2226"/>
        <v>N1-M42-A8</v>
      </c>
      <c r="CX486" t="str">
        <f t="shared" si="2227"/>
        <v>N1-M42-A6</v>
      </c>
      <c r="CY486" t="str">
        <f t="shared" si="2228"/>
        <v>N1-M42-A30</v>
      </c>
      <c r="CZ486" t="str">
        <f t="shared" si="2229"/>
        <v>N1-M42-N</v>
      </c>
      <c r="DA486" t="str">
        <f t="shared" si="2450"/>
        <v>N1-A220-M42</v>
      </c>
      <c r="DB486" t="str">
        <f t="shared" si="2231"/>
        <v>N1-M42-XM01</v>
      </c>
      <c r="DC486" t="str">
        <f t="shared" si="2232"/>
        <v>N1-M42-A1</v>
      </c>
      <c r="DD486" t="str">
        <f t="shared" si="2233"/>
        <v>N1-M42-A5</v>
      </c>
      <c r="DE486" t="str">
        <f t="shared" si="2234"/>
        <v>N1-M42-A11</v>
      </c>
      <c r="DF486" t="str">
        <f t="shared" si="2235"/>
        <v>N1-M42-A12</v>
      </c>
      <c r="DG486" t="str">
        <f t="shared" si="2236"/>
        <v>N1-M42-A19</v>
      </c>
      <c r="DH486" t="str">
        <f t="shared" si="2237"/>
        <v>N1-M42-A20</v>
      </c>
      <c r="DI486" t="s">
        <v>142</v>
      </c>
      <c r="DJ486" t="s">
        <v>143</v>
      </c>
      <c r="DK486">
        <v>11</v>
      </c>
      <c r="DL486">
        <v>14</v>
      </c>
      <c r="DM486">
        <v>12</v>
      </c>
      <c r="DN486" t="s">
        <v>144</v>
      </c>
      <c r="DO486" t="s">
        <v>145</v>
      </c>
      <c r="DP486">
        <v>1</v>
      </c>
      <c r="DQ486">
        <v>2</v>
      </c>
      <c r="DR486">
        <v>3</v>
      </c>
      <c r="DS486">
        <v>4</v>
      </c>
      <c r="DT486">
        <v>5</v>
      </c>
      <c r="DU486">
        <v>6</v>
      </c>
      <c r="DV486">
        <v>7</v>
      </c>
      <c r="DW486">
        <v>8</v>
      </c>
      <c r="DX486">
        <v>9</v>
      </c>
      <c r="DY486">
        <v>10</v>
      </c>
      <c r="DZ486">
        <v>11</v>
      </c>
      <c r="EA486">
        <v>12</v>
      </c>
      <c r="EB486">
        <v>13</v>
      </c>
      <c r="EC486">
        <v>14</v>
      </c>
      <c r="ED486">
        <v>1</v>
      </c>
      <c r="EE486">
        <v>3</v>
      </c>
      <c r="EF486">
        <v>4</v>
      </c>
      <c r="EG486">
        <v>7</v>
      </c>
      <c r="EH486">
        <v>8</v>
      </c>
      <c r="EI486">
        <v>9</v>
      </c>
      <c r="EJ486">
        <v>10</v>
      </c>
      <c r="EK486">
        <v>13</v>
      </c>
      <c r="EL486">
        <v>14</v>
      </c>
      <c r="EM486">
        <v>15</v>
      </c>
      <c r="EN486">
        <v>16</v>
      </c>
      <c r="EO486">
        <v>22</v>
      </c>
      <c r="EP486">
        <v>23</v>
      </c>
      <c r="EQ486" s="16">
        <v>24</v>
      </c>
    </row>
    <row r="487" spans="1:285" x14ac:dyDescent="0.25">
      <c r="A487" s="67" t="s">
        <v>2629</v>
      </c>
      <c r="B487" t="s">
        <v>2628</v>
      </c>
      <c r="C487" s="3"/>
      <c r="O487" s="2"/>
      <c r="P487" t="s">
        <v>129</v>
      </c>
      <c r="Q487" s="1"/>
      <c r="S487" s="1" t="s">
        <v>130</v>
      </c>
      <c r="T487" s="14" t="s">
        <v>2185</v>
      </c>
      <c r="U487" s="60">
        <v>43</v>
      </c>
      <c r="V487" s="15" t="s">
        <v>2613</v>
      </c>
      <c r="W487" s="15"/>
      <c r="AC487" t="str">
        <f t="shared" si="2238"/>
        <v>A5.8</v>
      </c>
      <c r="AD487" s="43" cm="1">
        <f t="array" ref="AD487">IF(COUNTIFS(AC$379:AC487,AC487)=1,"1",VALUE(SUBSTITUTE(INDEX(AD:AD,_xlfn.XMATCH(AC487,AC$1:AC486,0,-1)),"A",""))+INDEX(AE:AE,_xlfn.XMATCH(AC487,AC$1:AC486,0,-1))+1)</f>
        <v>13</v>
      </c>
      <c r="AE487" s="43" cm="1">
        <f t="array" ref="AE487">SUM(IF(ISNUMBER(FIND("TmDi",$BE$1:$AAL$1)),IF(IFERROR(ISNUMBER(VALUE(SUBSTITUTE($BE487:$AAL487,"B",""))),FALSE),IF(ISNUMBER(VALUE(SUBSTITUTE($BE487:$AAL487,"B",""))),1,0),0)))</f>
        <v>5</v>
      </c>
      <c r="AF487" t="str">
        <f t="shared" si="2178"/>
        <v>C13</v>
      </c>
      <c r="AG487" t="str">
        <f t="shared" si="2179"/>
        <v>B13</v>
      </c>
      <c r="AH487" t="str">
        <f t="shared" si="2360"/>
        <v>A6.5</v>
      </c>
      <c r="AI487" s="73" cm="1">
        <f t="array" ref="AI487">IF(COUNTIFS(AH$379:AH487,AH487)=1,"1",VALUE(SUBSTITUTE(INDEX(AI:AI,_xlfn.XMATCH(AH487,AH$1:AH486,0,-1)),"A",""))+INDEX(AJ:AJ,_xlfn.XMATCH(AH487,AH$1:AH486,0,-1))+1)</f>
        <v>4</v>
      </c>
      <c r="AJ487" s="64" cm="1">
        <f t="array" ref="AJ487">SUM(IF(ISNUMBER(FIND("TmDo",$BE$1:$AAL$1)),IF(IFERROR(ISNUMBER(VALUE(SUBSTITUTE($BE487:$AAL487,"B",""))),FALSE),IF(ISNUMBER(VALUE(SUBSTITUTE($BE487:$AAL487,"B",""))),1,0),0)))</f>
        <v>2</v>
      </c>
      <c r="AK487" t="str">
        <f t="shared" si="2451"/>
        <v>4A</v>
      </c>
      <c r="AL487" t="str">
        <f t="shared" si="2452"/>
        <v>4B</v>
      </c>
      <c r="AM487" t="s">
        <v>449</v>
      </c>
      <c r="AP487" t="s">
        <v>2187</v>
      </c>
      <c r="AQ487" t="s">
        <v>2515</v>
      </c>
      <c r="AT487" t="s">
        <v>139</v>
      </c>
      <c r="AU487" t="s">
        <v>140</v>
      </c>
      <c r="BD487" s="16"/>
      <c r="BE487" s="27" t="str">
        <f t="shared" si="2421"/>
        <v>XT43</v>
      </c>
      <c r="BF487" t="str">
        <f t="shared" si="2422"/>
        <v>C14</v>
      </c>
      <c r="BG487" t="str">
        <f t="shared" si="2423"/>
        <v>B14</v>
      </c>
      <c r="BH487" t="str">
        <f t="shared" si="2424"/>
        <v>C15</v>
      </c>
      <c r="BI487" t="str">
        <f t="shared" si="2425"/>
        <v>B15</v>
      </c>
      <c r="BJ487" t="str">
        <f t="shared" si="2426"/>
        <v>C16</v>
      </c>
      <c r="BK487" t="str">
        <f t="shared" si="2427"/>
        <v>B16</v>
      </c>
      <c r="BL487" t="str">
        <f t="shared" si="2428"/>
        <v>C17</v>
      </c>
      <c r="BM487" t="str">
        <f t="shared" si="2429"/>
        <v>B17</v>
      </c>
      <c r="BN487" t="str">
        <f t="shared" si="2430"/>
        <v>C18</v>
      </c>
      <c r="BO487" t="str">
        <f t="shared" si="2431"/>
        <v>B18</v>
      </c>
      <c r="BP487" t="str">
        <f t="shared" si="2193"/>
        <v>5A</v>
      </c>
      <c r="BQ487" t="str">
        <f t="shared" si="2194"/>
        <v>5B</v>
      </c>
      <c r="BR487" t="str">
        <f t="shared" si="2195"/>
        <v>6A</v>
      </c>
      <c r="BS487" t="str">
        <f t="shared" si="2196"/>
        <v>6B</v>
      </c>
      <c r="BT487" t="str">
        <f t="shared" si="2432"/>
        <v>DI8-C13</v>
      </c>
      <c r="BU487" t="str">
        <f t="shared" si="2433"/>
        <v>DI8-B13</v>
      </c>
      <c r="BV487" t="str">
        <f t="shared" si="2434"/>
        <v>DI8-C14</v>
      </c>
      <c r="BW487" t="str">
        <f t="shared" si="2435"/>
        <v>DI8-B14</v>
      </c>
      <c r="BX487" t="str">
        <f t="shared" si="2436"/>
        <v>DI8-C15</v>
      </c>
      <c r="BY487" t="str">
        <f t="shared" si="2437"/>
        <v>DI8-B15</v>
      </c>
      <c r="BZ487" t="str">
        <f t="shared" si="2438"/>
        <v>DI8-C16</v>
      </c>
      <c r="CA487" t="str">
        <f t="shared" si="2439"/>
        <v>DI8-B16</v>
      </c>
      <c r="CB487" t="str">
        <f t="shared" si="2440"/>
        <v>DI8-C17</v>
      </c>
      <c r="CC487" t="str">
        <f t="shared" si="2441"/>
        <v>DI8-B17</v>
      </c>
      <c r="CD487" t="str">
        <f t="shared" si="2442"/>
        <v>DI8-C18</v>
      </c>
      <c r="CE487" t="str">
        <f t="shared" si="2443"/>
        <v>DI8-B18</v>
      </c>
      <c r="CF487" t="str">
        <f t="shared" si="2444"/>
        <v>DO5-4A</v>
      </c>
      <c r="CG487" t="str">
        <f t="shared" si="2445"/>
        <v>DO5-4B</v>
      </c>
      <c r="CH487" t="str">
        <f t="shared" si="2446"/>
        <v>DO5-5A</v>
      </c>
      <c r="CI487" t="str">
        <f t="shared" si="2447"/>
        <v>DO5-5B</v>
      </c>
      <c r="CJ487" t="str">
        <f t="shared" si="2448"/>
        <v>DO5-6A</v>
      </c>
      <c r="CK487" t="str">
        <f t="shared" si="2449"/>
        <v>DO5-6B</v>
      </c>
      <c r="CL487" t="str">
        <f t="shared" si="2215"/>
        <v>K43-10</v>
      </c>
      <c r="CM487" t="str">
        <f t="shared" si="2216"/>
        <v>K43-03</v>
      </c>
      <c r="CN487" t="str">
        <f t="shared" si="2217"/>
        <v>K43-04</v>
      </c>
      <c r="CO487" t="str">
        <f t="shared" si="2218"/>
        <v>K43-01</v>
      </c>
      <c r="CP487" t="str">
        <f t="shared" si="2219"/>
        <v>K43-08</v>
      </c>
      <c r="CQ487" t="str">
        <f t="shared" si="2220"/>
        <v>K43-02</v>
      </c>
      <c r="CR487" t="str">
        <f t="shared" si="2221"/>
        <v>K43-09</v>
      </c>
      <c r="CS487" t="str">
        <f t="shared" si="2222"/>
        <v>K43-05</v>
      </c>
      <c r="CT487" t="str">
        <f t="shared" si="2223"/>
        <v>K43-11</v>
      </c>
      <c r="CU487" t="str">
        <f t="shared" si="2224"/>
        <v>N1-M43-A9</v>
      </c>
      <c r="CV487" t="str">
        <f t="shared" si="2225"/>
        <v>N1-M43-A7</v>
      </c>
      <c r="CW487" t="str">
        <f t="shared" si="2226"/>
        <v>N1-M43-A8</v>
      </c>
      <c r="CX487" t="str">
        <f t="shared" si="2227"/>
        <v>N1-M43-A6</v>
      </c>
      <c r="CY487" t="str">
        <f t="shared" si="2228"/>
        <v>N1-M43-A30</v>
      </c>
      <c r="CZ487" t="str">
        <f t="shared" si="2229"/>
        <v>N1-M43-N</v>
      </c>
      <c r="DA487" t="str">
        <f t="shared" si="2450"/>
        <v>N1-A220-M43</v>
      </c>
      <c r="DB487" t="str">
        <f t="shared" si="2231"/>
        <v>N1-M43-XM01</v>
      </c>
      <c r="DC487" t="str">
        <f t="shared" si="2232"/>
        <v>N1-M43-A1</v>
      </c>
      <c r="DD487" t="str">
        <f t="shared" si="2233"/>
        <v>N1-M43-A5</v>
      </c>
      <c r="DE487" t="str">
        <f t="shared" si="2234"/>
        <v>N1-M43-A11</v>
      </c>
      <c r="DF487" t="str">
        <f t="shared" si="2235"/>
        <v>N1-M43-A12</v>
      </c>
      <c r="DG487" t="str">
        <f t="shared" si="2236"/>
        <v>N1-M43-A19</v>
      </c>
      <c r="DH487" t="str">
        <f t="shared" si="2237"/>
        <v>N1-M43-A20</v>
      </c>
      <c r="DI487" t="s">
        <v>142</v>
      </c>
      <c r="DJ487" t="s">
        <v>143</v>
      </c>
      <c r="DK487">
        <v>11</v>
      </c>
      <c r="DL487">
        <v>14</v>
      </c>
      <c r="DM487">
        <v>12</v>
      </c>
      <c r="DN487" t="s">
        <v>144</v>
      </c>
      <c r="DO487" t="s">
        <v>145</v>
      </c>
      <c r="DP487">
        <v>1</v>
      </c>
      <c r="DQ487">
        <v>2</v>
      </c>
      <c r="DR487">
        <v>3</v>
      </c>
      <c r="DS487">
        <v>4</v>
      </c>
      <c r="DT487">
        <v>5</v>
      </c>
      <c r="DU487">
        <v>6</v>
      </c>
      <c r="DV487">
        <v>7</v>
      </c>
      <c r="DW487">
        <v>8</v>
      </c>
      <c r="DX487">
        <v>9</v>
      </c>
      <c r="DY487">
        <v>10</v>
      </c>
      <c r="DZ487">
        <v>11</v>
      </c>
      <c r="EA487">
        <v>12</v>
      </c>
      <c r="EB487">
        <v>13</v>
      </c>
      <c r="EC487">
        <v>14</v>
      </c>
      <c r="ED487">
        <v>1</v>
      </c>
      <c r="EE487">
        <v>3</v>
      </c>
      <c r="EF487">
        <v>4</v>
      </c>
      <c r="EG487">
        <v>7</v>
      </c>
      <c r="EH487">
        <v>8</v>
      </c>
      <c r="EI487">
        <v>9</v>
      </c>
      <c r="EJ487">
        <v>10</v>
      </c>
      <c r="EK487">
        <v>13</v>
      </c>
      <c r="EL487">
        <v>14</v>
      </c>
      <c r="EM487">
        <v>15</v>
      </c>
      <c r="EN487">
        <v>16</v>
      </c>
      <c r="EO487">
        <v>22</v>
      </c>
      <c r="EP487">
        <v>23</v>
      </c>
      <c r="EQ487" s="16">
        <v>24</v>
      </c>
    </row>
    <row r="488" spans="1:285" x14ac:dyDescent="0.25">
      <c r="A488" s="67" t="s">
        <v>2631</v>
      </c>
      <c r="B488" t="s">
        <v>2630</v>
      </c>
      <c r="C488" s="3"/>
      <c r="O488" s="2"/>
      <c r="P488" t="s">
        <v>129</v>
      </c>
      <c r="Q488" s="1"/>
      <c r="S488" s="1" t="s">
        <v>130</v>
      </c>
      <c r="T488" s="14" t="s">
        <v>2185</v>
      </c>
      <c r="U488" s="60">
        <v>44</v>
      </c>
      <c r="V488" s="15" t="s">
        <v>2614</v>
      </c>
      <c r="W488" s="15"/>
      <c r="AC488" t="str">
        <f t="shared" si="2238"/>
        <v>A5.8</v>
      </c>
      <c r="AD488" s="43" cm="1">
        <f t="array" ref="AD488">IF(COUNTIFS(AC$379:AC488,AC488)=1,"1",VALUE(SUBSTITUTE(INDEX(AD:AD,_xlfn.XMATCH(AC488,AC$1:AC487,0,-1)),"A",""))+INDEX(AE:AE,_xlfn.XMATCH(AC488,AC$1:AC487,0,-1))+1)</f>
        <v>19</v>
      </c>
      <c r="AE488" s="43" cm="1">
        <f t="array" ref="AE488">SUM(IF(ISNUMBER(FIND("TmDi",$BE$1:$AAL$1)),IF(IFERROR(ISNUMBER(VALUE(SUBSTITUTE($BE488:$AAL488,"B",""))),FALSE),IF(ISNUMBER(VALUE(SUBSTITUTE($BE488:$AAL488,"B",""))),1,0),0)))</f>
        <v>5</v>
      </c>
      <c r="AF488" t="str">
        <f t="shared" si="2178"/>
        <v>C19</v>
      </c>
      <c r="AG488" t="str">
        <f t="shared" si="2179"/>
        <v>B19</v>
      </c>
      <c r="AH488" t="str">
        <f t="shared" si="2360"/>
        <v>A6.5</v>
      </c>
      <c r="AI488" s="73" cm="1">
        <f t="array" ref="AI488">IF(COUNTIFS(AH$379:AH488,AH488)=1,"1",VALUE(SUBSTITUTE(INDEX(AI:AI,_xlfn.XMATCH(AH488,AH$1:AH487,0,-1)),"A",""))+INDEX(AJ:AJ,_xlfn.XMATCH(AH488,AH$1:AH487,0,-1))+1)</f>
        <v>7</v>
      </c>
      <c r="AJ488" s="64" cm="1">
        <f t="array" ref="AJ488">SUM(IF(ISNUMBER(FIND("TmDo",$BE$1:$AAL$1)),IF(IFERROR(ISNUMBER(VALUE(SUBSTITUTE($BE488:$AAL488,"B",""))),FALSE),IF(ISNUMBER(VALUE(SUBSTITUTE($BE488:$AAL488,"B",""))),1,0),0)))</f>
        <v>2</v>
      </c>
      <c r="AK488" t="str">
        <f t="shared" si="2451"/>
        <v>7A</v>
      </c>
      <c r="AL488" t="str">
        <f t="shared" si="2452"/>
        <v>7B</v>
      </c>
      <c r="AM488" t="s">
        <v>450</v>
      </c>
      <c r="AP488" t="s">
        <v>2187</v>
      </c>
      <c r="AQ488" t="s">
        <v>2515</v>
      </c>
      <c r="AT488" t="s">
        <v>139</v>
      </c>
      <c r="AU488" t="s">
        <v>140</v>
      </c>
      <c r="BD488" s="16"/>
      <c r="BE488" s="27" t="str">
        <f t="shared" si="2421"/>
        <v>XT44</v>
      </c>
      <c r="BF488" t="str">
        <f t="shared" si="2422"/>
        <v>C20</v>
      </c>
      <c r="BG488" t="str">
        <f t="shared" si="2423"/>
        <v>B20</v>
      </c>
      <c r="BH488" t="str">
        <f t="shared" si="2424"/>
        <v>C21</v>
      </c>
      <c r="BI488" t="str">
        <f t="shared" si="2425"/>
        <v>B21</v>
      </c>
      <c r="BJ488" t="str">
        <f t="shared" si="2426"/>
        <v>C22</v>
      </c>
      <c r="BK488" t="str">
        <f t="shared" si="2427"/>
        <v>B22</v>
      </c>
      <c r="BL488" t="str">
        <f t="shared" si="2428"/>
        <v>C23</v>
      </c>
      <c r="BM488" t="str">
        <f t="shared" si="2429"/>
        <v>B23</v>
      </c>
      <c r="BN488" t="str">
        <f t="shared" si="2430"/>
        <v>C24</v>
      </c>
      <c r="BO488" t="str">
        <f t="shared" si="2431"/>
        <v>B24</v>
      </c>
      <c r="BP488" t="str">
        <f t="shared" si="2193"/>
        <v>8A</v>
      </c>
      <c r="BQ488" t="str">
        <f t="shared" si="2194"/>
        <v>8B</v>
      </c>
      <c r="BR488" t="str">
        <f t="shared" si="2195"/>
        <v>9A</v>
      </c>
      <c r="BS488" t="str">
        <f t="shared" si="2196"/>
        <v>9B</v>
      </c>
      <c r="BT488" t="str">
        <f t="shared" si="2432"/>
        <v>DI8-C19</v>
      </c>
      <c r="BU488" t="str">
        <f t="shared" si="2433"/>
        <v>DI8-B19</v>
      </c>
      <c r="BV488" t="str">
        <f t="shared" si="2434"/>
        <v>DI8-C20</v>
      </c>
      <c r="BW488" t="str">
        <f t="shared" si="2435"/>
        <v>DI8-B20</v>
      </c>
      <c r="BX488" t="str">
        <f t="shared" si="2436"/>
        <v>DI8-C21</v>
      </c>
      <c r="BY488" t="str">
        <f t="shared" si="2437"/>
        <v>DI8-B21</v>
      </c>
      <c r="BZ488" t="str">
        <f t="shared" si="2438"/>
        <v>DI8-C22</v>
      </c>
      <c r="CA488" t="str">
        <f t="shared" si="2439"/>
        <v>DI8-B22</v>
      </c>
      <c r="CB488" t="str">
        <f t="shared" si="2440"/>
        <v>DI8-C23</v>
      </c>
      <c r="CC488" t="str">
        <f t="shared" si="2441"/>
        <v>DI8-B23</v>
      </c>
      <c r="CD488" t="str">
        <f t="shared" si="2442"/>
        <v>DI8-C24</v>
      </c>
      <c r="CE488" t="str">
        <f t="shared" si="2443"/>
        <v>DI8-B24</v>
      </c>
      <c r="CF488" t="str">
        <f t="shared" si="2444"/>
        <v>DO5-7A</v>
      </c>
      <c r="CG488" t="str">
        <f t="shared" si="2445"/>
        <v>DO5-7B</v>
      </c>
      <c r="CH488" t="str">
        <f t="shared" si="2446"/>
        <v>DO5-8A</v>
      </c>
      <c r="CI488" t="str">
        <f t="shared" si="2447"/>
        <v>DO5-8B</v>
      </c>
      <c r="CJ488" t="str">
        <f t="shared" si="2448"/>
        <v>DO5-9A</v>
      </c>
      <c r="CK488" t="str">
        <f t="shared" si="2449"/>
        <v>DO5-9B</v>
      </c>
      <c r="CL488" t="str">
        <f t="shared" si="2215"/>
        <v>K44-10</v>
      </c>
      <c r="CM488" t="str">
        <f t="shared" si="2216"/>
        <v>K44-03</v>
      </c>
      <c r="CN488" t="str">
        <f t="shared" si="2217"/>
        <v>K44-04</v>
      </c>
      <c r="CO488" t="str">
        <f t="shared" si="2218"/>
        <v>K44-01</v>
      </c>
      <c r="CP488" t="str">
        <f t="shared" si="2219"/>
        <v>K44-08</v>
      </c>
      <c r="CQ488" t="str">
        <f t="shared" si="2220"/>
        <v>K44-02</v>
      </c>
      <c r="CR488" t="str">
        <f t="shared" si="2221"/>
        <v>K44-09</v>
      </c>
      <c r="CS488" t="str">
        <f t="shared" si="2222"/>
        <v>K44-05</v>
      </c>
      <c r="CT488" t="str">
        <f t="shared" si="2223"/>
        <v>K44-11</v>
      </c>
      <c r="CU488" t="str">
        <f t="shared" si="2224"/>
        <v>N1-M44-A9</v>
      </c>
      <c r="CV488" t="str">
        <f t="shared" si="2225"/>
        <v>N1-M44-A7</v>
      </c>
      <c r="CW488" t="str">
        <f t="shared" si="2226"/>
        <v>N1-M44-A8</v>
      </c>
      <c r="CX488" t="str">
        <f t="shared" si="2227"/>
        <v>N1-M44-A6</v>
      </c>
      <c r="CY488" t="str">
        <f t="shared" si="2228"/>
        <v>N1-M44-A30</v>
      </c>
      <c r="CZ488" t="str">
        <f t="shared" si="2229"/>
        <v>N1-M44-N</v>
      </c>
      <c r="DA488" t="str">
        <f t="shared" si="2450"/>
        <v>N1-A220-M44</v>
      </c>
      <c r="DB488" t="str">
        <f t="shared" si="2231"/>
        <v>N1-M44-XM01</v>
      </c>
      <c r="DC488" t="str">
        <f t="shared" si="2232"/>
        <v>N1-M44-A1</v>
      </c>
      <c r="DD488" t="str">
        <f t="shared" si="2233"/>
        <v>N1-M44-A5</v>
      </c>
      <c r="DE488" t="str">
        <f t="shared" si="2234"/>
        <v>N1-M44-A11</v>
      </c>
      <c r="DF488" t="str">
        <f t="shared" si="2235"/>
        <v>N1-M44-A12</v>
      </c>
      <c r="DG488" t="str">
        <f t="shared" si="2236"/>
        <v>N1-M44-A19</v>
      </c>
      <c r="DH488" t="str">
        <f t="shared" si="2237"/>
        <v>N1-M44-A20</v>
      </c>
      <c r="DI488" t="s">
        <v>142</v>
      </c>
      <c r="DJ488" t="s">
        <v>143</v>
      </c>
      <c r="DK488">
        <v>11</v>
      </c>
      <c r="DL488">
        <v>14</v>
      </c>
      <c r="DM488">
        <v>12</v>
      </c>
      <c r="DN488" t="s">
        <v>144</v>
      </c>
      <c r="DO488" t="s">
        <v>145</v>
      </c>
      <c r="DP488">
        <v>1</v>
      </c>
      <c r="DQ488">
        <v>2</v>
      </c>
      <c r="DR488">
        <v>3</v>
      </c>
      <c r="DS488">
        <v>4</v>
      </c>
      <c r="DT488">
        <v>5</v>
      </c>
      <c r="DU488">
        <v>6</v>
      </c>
      <c r="DV488">
        <v>7</v>
      </c>
      <c r="DW488">
        <v>8</v>
      </c>
      <c r="DX488">
        <v>9</v>
      </c>
      <c r="DY488">
        <v>10</v>
      </c>
      <c r="DZ488">
        <v>11</v>
      </c>
      <c r="EA488">
        <v>12</v>
      </c>
      <c r="EB488">
        <v>13</v>
      </c>
      <c r="EC488">
        <v>14</v>
      </c>
      <c r="ED488">
        <v>1</v>
      </c>
      <c r="EE488">
        <v>3</v>
      </c>
      <c r="EF488">
        <v>4</v>
      </c>
      <c r="EG488">
        <v>7</v>
      </c>
      <c r="EH488">
        <v>8</v>
      </c>
      <c r="EI488">
        <v>9</v>
      </c>
      <c r="EJ488">
        <v>10</v>
      </c>
      <c r="EK488">
        <v>13</v>
      </c>
      <c r="EL488">
        <v>14</v>
      </c>
      <c r="EM488">
        <v>15</v>
      </c>
      <c r="EN488">
        <v>16</v>
      </c>
      <c r="EO488">
        <v>22</v>
      </c>
      <c r="EP488">
        <v>23</v>
      </c>
      <c r="EQ488" s="16">
        <v>24</v>
      </c>
    </row>
    <row r="489" spans="1:285" x14ac:dyDescent="0.25">
      <c r="A489" s="67" t="s">
        <v>2633</v>
      </c>
      <c r="B489" t="s">
        <v>2632</v>
      </c>
      <c r="C489" s="3"/>
      <c r="O489" s="2"/>
      <c r="P489" t="s">
        <v>129</v>
      </c>
      <c r="Q489" s="1"/>
      <c r="S489" s="1" t="s">
        <v>130</v>
      </c>
      <c r="T489" s="14" t="s">
        <v>2185</v>
      </c>
      <c r="U489" s="60">
        <v>45</v>
      </c>
      <c r="V489" s="15" t="s">
        <v>2615</v>
      </c>
      <c r="W489" s="15"/>
      <c r="AC489" t="str">
        <f t="shared" si="2238"/>
        <v>A5.8</v>
      </c>
      <c r="AD489" s="43" cm="1">
        <f t="array" ref="AD489">IF(COUNTIFS(AC$379:AC489,AC489)=1,"1",VALUE(SUBSTITUTE(INDEX(AD:AD,_xlfn.XMATCH(AC489,AC$1:AC488,0,-1)),"A",""))+INDEX(AE:AE,_xlfn.XMATCH(AC489,AC$1:AC488,0,-1))+1)</f>
        <v>25</v>
      </c>
      <c r="AE489" s="43" cm="1">
        <f t="array" ref="AE489">SUM(IF(ISNUMBER(FIND("TmDi",$BE$1:$AAL$1)),IF(IFERROR(ISNUMBER(VALUE(SUBSTITUTE($BE489:$AAL489,"B",""))),FALSE),IF(ISNUMBER(VALUE(SUBSTITUTE($BE489:$AAL489,"B",""))),1,0),0)))</f>
        <v>5</v>
      </c>
      <c r="AF489" t="str">
        <f t="shared" si="2178"/>
        <v>C25</v>
      </c>
      <c r="AG489" t="str">
        <f t="shared" si="2179"/>
        <v>B25</v>
      </c>
      <c r="AH489" t="str">
        <f t="shared" si="2360"/>
        <v>A6.5</v>
      </c>
      <c r="AI489" s="73" cm="1">
        <f t="array" ref="AI489">IF(COUNTIFS(AH$379:AH489,AH489)=1,"1",VALUE(SUBSTITUTE(INDEX(AI:AI,_xlfn.XMATCH(AH489,AH$1:AH488,0,-1)),"A",""))+INDEX(AJ:AJ,_xlfn.XMATCH(AH489,AH$1:AH488,0,-1))+1)</f>
        <v>10</v>
      </c>
      <c r="AJ489" s="64" cm="1">
        <f t="array" ref="AJ489">SUM(IF(ISNUMBER(FIND("TmDo",$BE$1:$AAL$1)),IF(IFERROR(ISNUMBER(VALUE(SUBSTITUTE($BE489:$AAL489,"B",""))),FALSE),IF(ISNUMBER(VALUE(SUBSTITUTE($BE489:$AAL489,"B",""))),1,0),0)))</f>
        <v>2</v>
      </c>
      <c r="AK489" t="str">
        <f t="shared" si="2451"/>
        <v>10A</v>
      </c>
      <c r="AL489" t="str">
        <f t="shared" si="2452"/>
        <v>10B</v>
      </c>
      <c r="AM489" t="s">
        <v>451</v>
      </c>
      <c r="AP489" t="s">
        <v>2187</v>
      </c>
      <c r="AQ489" t="s">
        <v>2515</v>
      </c>
      <c r="AT489" t="s">
        <v>139</v>
      </c>
      <c r="AU489" t="s">
        <v>140</v>
      </c>
      <c r="BD489" s="16"/>
      <c r="BE489" s="27" t="str">
        <f t="shared" si="2421"/>
        <v>XT45</v>
      </c>
      <c r="BF489" t="str">
        <f t="shared" si="2422"/>
        <v>C26</v>
      </c>
      <c r="BG489" t="str">
        <f t="shared" si="2423"/>
        <v>B26</v>
      </c>
      <c r="BH489" t="str">
        <f t="shared" si="2424"/>
        <v>C27</v>
      </c>
      <c r="BI489" t="str">
        <f t="shared" si="2425"/>
        <v>B27</v>
      </c>
      <c r="BJ489" t="str">
        <f t="shared" si="2426"/>
        <v>C28</v>
      </c>
      <c r="BK489" t="str">
        <f t="shared" si="2427"/>
        <v>B28</v>
      </c>
      <c r="BL489" t="str">
        <f t="shared" si="2428"/>
        <v>C29</v>
      </c>
      <c r="BM489" t="str">
        <f t="shared" si="2429"/>
        <v>B29</v>
      </c>
      <c r="BN489" t="str">
        <f t="shared" si="2430"/>
        <v>C30</v>
      </c>
      <c r="BO489" t="str">
        <f t="shared" si="2431"/>
        <v>B30</v>
      </c>
      <c r="BP489" t="str">
        <f t="shared" si="2193"/>
        <v>11A</v>
      </c>
      <c r="BQ489" t="str">
        <f t="shared" si="2194"/>
        <v>11B</v>
      </c>
      <c r="BR489" t="str">
        <f t="shared" si="2195"/>
        <v>12A</v>
      </c>
      <c r="BS489" t="str">
        <f t="shared" si="2196"/>
        <v>12B</v>
      </c>
      <c r="BT489" t="str">
        <f t="shared" si="2432"/>
        <v>DI8-C25</v>
      </c>
      <c r="BU489" t="str">
        <f t="shared" si="2433"/>
        <v>DI8-B25</v>
      </c>
      <c r="BV489" t="str">
        <f t="shared" si="2434"/>
        <v>DI8-C26</v>
      </c>
      <c r="BW489" t="str">
        <f t="shared" si="2435"/>
        <v>DI8-B26</v>
      </c>
      <c r="BX489" t="str">
        <f t="shared" si="2436"/>
        <v>DI8-C27</v>
      </c>
      <c r="BY489" t="str">
        <f t="shared" si="2437"/>
        <v>DI8-B27</v>
      </c>
      <c r="BZ489" t="str">
        <f t="shared" si="2438"/>
        <v>DI8-C28</v>
      </c>
      <c r="CA489" t="str">
        <f t="shared" si="2439"/>
        <v>DI8-B28</v>
      </c>
      <c r="CB489" t="str">
        <f t="shared" si="2440"/>
        <v>DI8-C29</v>
      </c>
      <c r="CC489" t="str">
        <f t="shared" si="2441"/>
        <v>DI8-B29</v>
      </c>
      <c r="CD489" t="str">
        <f t="shared" si="2442"/>
        <v>DI8-C30</v>
      </c>
      <c r="CE489" t="str">
        <f t="shared" si="2443"/>
        <v>DI8-B30</v>
      </c>
      <c r="CF489" t="str">
        <f t="shared" si="2444"/>
        <v>DO5-10A</v>
      </c>
      <c r="CG489" t="str">
        <f t="shared" si="2445"/>
        <v>DO5-10B</v>
      </c>
      <c r="CH489" t="str">
        <f t="shared" si="2446"/>
        <v>DO5-11A</v>
      </c>
      <c r="CI489" t="str">
        <f t="shared" si="2447"/>
        <v>DO5-11B</v>
      </c>
      <c r="CJ489" t="str">
        <f t="shared" si="2448"/>
        <v>DO5-12A</v>
      </c>
      <c r="CK489" t="str">
        <f t="shared" si="2449"/>
        <v>DO5-12B</v>
      </c>
      <c r="CL489" t="str">
        <f t="shared" si="2215"/>
        <v>K45-10</v>
      </c>
      <c r="CM489" t="str">
        <f t="shared" si="2216"/>
        <v>K45-03</v>
      </c>
      <c r="CN489" t="str">
        <f t="shared" si="2217"/>
        <v>K45-04</v>
      </c>
      <c r="CO489" t="str">
        <f t="shared" si="2218"/>
        <v>K45-01</v>
      </c>
      <c r="CP489" t="str">
        <f t="shared" si="2219"/>
        <v>K45-08</v>
      </c>
      <c r="CQ489" t="str">
        <f t="shared" si="2220"/>
        <v>K45-02</v>
      </c>
      <c r="CR489" t="str">
        <f t="shared" si="2221"/>
        <v>K45-09</v>
      </c>
      <c r="CS489" t="str">
        <f t="shared" si="2222"/>
        <v>K45-05</v>
      </c>
      <c r="CT489" t="str">
        <f t="shared" si="2223"/>
        <v>K45-11</v>
      </c>
      <c r="CU489" t="str">
        <f t="shared" si="2224"/>
        <v>N1-M45-A9</v>
      </c>
      <c r="CV489" t="str">
        <f t="shared" si="2225"/>
        <v>N1-M45-A7</v>
      </c>
      <c r="CW489" t="str">
        <f t="shared" si="2226"/>
        <v>N1-M45-A8</v>
      </c>
      <c r="CX489" t="str">
        <f t="shared" si="2227"/>
        <v>N1-M45-A6</v>
      </c>
      <c r="CY489" t="str">
        <f t="shared" si="2228"/>
        <v>N1-M45-A30</v>
      </c>
      <c r="CZ489" t="str">
        <f t="shared" si="2229"/>
        <v>N1-M45-N</v>
      </c>
      <c r="DA489" t="str">
        <f t="shared" si="2450"/>
        <v>N1-A220-M45</v>
      </c>
      <c r="DB489" t="str">
        <f t="shared" si="2231"/>
        <v>N1-M45-XM01</v>
      </c>
      <c r="DC489" t="str">
        <f t="shared" si="2232"/>
        <v>N1-M45-A1</v>
      </c>
      <c r="DD489" t="str">
        <f t="shared" si="2233"/>
        <v>N1-M45-A5</v>
      </c>
      <c r="DE489" t="str">
        <f t="shared" si="2234"/>
        <v>N1-M45-A11</v>
      </c>
      <c r="DF489" t="str">
        <f t="shared" si="2235"/>
        <v>N1-M45-A12</v>
      </c>
      <c r="DG489" t="str">
        <f t="shared" si="2236"/>
        <v>N1-M45-A19</v>
      </c>
      <c r="DH489" t="str">
        <f t="shared" si="2237"/>
        <v>N1-M45-A20</v>
      </c>
      <c r="DI489" t="s">
        <v>142</v>
      </c>
      <c r="DJ489" t="s">
        <v>143</v>
      </c>
      <c r="DK489">
        <v>11</v>
      </c>
      <c r="DL489">
        <v>14</v>
      </c>
      <c r="DM489">
        <v>12</v>
      </c>
      <c r="DN489" t="s">
        <v>144</v>
      </c>
      <c r="DO489" t="s">
        <v>145</v>
      </c>
      <c r="DP489">
        <v>1</v>
      </c>
      <c r="DQ489">
        <v>2</v>
      </c>
      <c r="DR489">
        <v>3</v>
      </c>
      <c r="DS489">
        <v>4</v>
      </c>
      <c r="DT489">
        <v>5</v>
      </c>
      <c r="DU489">
        <v>6</v>
      </c>
      <c r="DV489">
        <v>7</v>
      </c>
      <c r="DW489">
        <v>8</v>
      </c>
      <c r="DX489">
        <v>9</v>
      </c>
      <c r="DY489">
        <v>10</v>
      </c>
      <c r="DZ489">
        <v>11</v>
      </c>
      <c r="EA489">
        <v>12</v>
      </c>
      <c r="EB489">
        <v>13</v>
      </c>
      <c r="EC489">
        <v>14</v>
      </c>
      <c r="ED489">
        <v>1</v>
      </c>
      <c r="EE489">
        <v>3</v>
      </c>
      <c r="EF489">
        <v>4</v>
      </c>
      <c r="EG489">
        <v>7</v>
      </c>
      <c r="EH489">
        <v>8</v>
      </c>
      <c r="EI489">
        <v>9</v>
      </c>
      <c r="EJ489">
        <v>10</v>
      </c>
      <c r="EK489">
        <v>13</v>
      </c>
      <c r="EL489">
        <v>14</v>
      </c>
      <c r="EM489">
        <v>15</v>
      </c>
      <c r="EN489">
        <v>16</v>
      </c>
      <c r="EO489">
        <v>22</v>
      </c>
      <c r="EP489">
        <v>23</v>
      </c>
      <c r="EQ489" s="16">
        <v>24</v>
      </c>
    </row>
    <row r="490" spans="1:285" x14ac:dyDescent="0.25">
      <c r="A490" s="67" t="s">
        <v>2639</v>
      </c>
      <c r="B490" t="s">
        <v>2638</v>
      </c>
      <c r="C490" s="3"/>
      <c r="O490" s="2"/>
      <c r="P490" t="s">
        <v>129</v>
      </c>
      <c r="Q490" s="1"/>
      <c r="S490" s="1" t="s">
        <v>130</v>
      </c>
      <c r="T490" s="14" t="s">
        <v>2185</v>
      </c>
      <c r="U490" s="60">
        <v>46</v>
      </c>
      <c r="V490" s="15" t="s">
        <v>2634</v>
      </c>
      <c r="W490" s="15"/>
      <c r="AC490" t="str">
        <f t="shared" ref="AC490:AC492" si="2453">IF(AD489+AE489&gt;25,REPLACE(AC489,LEN(AC489),1,VALUE(RIGHT(AC489,1))+1),AC489)</f>
        <v>A5.9</v>
      </c>
      <c r="AD490" s="43" t="str" cm="1">
        <f t="array" ref="AD490">IF(COUNTIFS(AC$379:AC490,AC490)=1,"1",VALUE(SUBSTITUTE(INDEX(AD:AD,_xlfn.XMATCH(AC490,AC$1:AC489,0,-1)),"A",""))+INDEX(AE:AE,_xlfn.XMATCH(AC490,AC$1:AC489,0,-1))+1)</f>
        <v>1</v>
      </c>
      <c r="AE490" s="43" cm="1">
        <f t="array" ref="AE490">SUM(IF(ISNUMBER(FIND("TmDi",$BE$1:$AAL$1)),IF(IFERROR(ISNUMBER(VALUE(SUBSTITUTE($BE490:$AAL490,"B",""))),FALSE),IF(ISNUMBER(VALUE(SUBSTITUTE($BE490:$AAL490,"B",""))),1,0),0)))</f>
        <v>5</v>
      </c>
      <c r="AF490" t="str">
        <f t="shared" si="2178"/>
        <v>C1</v>
      </c>
      <c r="AG490" t="str">
        <f t="shared" si="2179"/>
        <v>B1</v>
      </c>
      <c r="AH490" t="str">
        <f t="shared" ref="AH490:AH492" si="2454">IF(AI489+AJ489&gt;25,REPLACE(AH489,LEN(AH489),1,VALUE(RIGHT(AH489,1))+1),AH489)</f>
        <v>A6.5</v>
      </c>
      <c r="AI490" s="73" cm="1">
        <f t="array" ref="AI490">IF(COUNTIFS(AH$379:AH490,AH490)=1,"1",VALUE(SUBSTITUTE(INDEX(AI:AI,_xlfn.XMATCH(AH490,AH$1:AH489,0,-1)),"A",""))+INDEX(AJ:AJ,_xlfn.XMATCH(AH490,AH$1:AH489,0,-1))+1)</f>
        <v>13</v>
      </c>
      <c r="AJ490" s="64" cm="1">
        <f t="array" ref="AJ490">SUM(IF(ISNUMBER(FIND("TmDo",$BE$1:$AAL$1)),IF(IFERROR(ISNUMBER(VALUE(SUBSTITUTE($BE490:$AAL490,"B",""))),FALSE),IF(ISNUMBER(VALUE(SUBSTITUTE($BE490:$AAL490,"B",""))),1,0),0)))</f>
        <v>2</v>
      </c>
      <c r="AK490" t="str">
        <f t="shared" si="2451"/>
        <v>13A</v>
      </c>
      <c r="AL490" t="str">
        <f t="shared" si="2452"/>
        <v>13B</v>
      </c>
      <c r="AM490" t="s">
        <v>452</v>
      </c>
      <c r="AP490" t="s">
        <v>2187</v>
      </c>
      <c r="AQ490" t="s">
        <v>2515</v>
      </c>
      <c r="AT490" t="s">
        <v>139</v>
      </c>
      <c r="AU490" t="s">
        <v>140</v>
      </c>
      <c r="BD490" s="16"/>
      <c r="BE490" s="27" t="str">
        <f t="shared" ref="BE490:BE492" si="2455">CONCATENATE("XT",U490)</f>
        <v>XT46</v>
      </c>
      <c r="BF490" t="str">
        <f t="shared" ref="BF490:BF492" si="2456">CONCATENATE("C",REPLACE(AF490,1,1,"")+1)</f>
        <v>C2</v>
      </c>
      <c r="BG490" t="str">
        <f t="shared" ref="BG490:BG492" si="2457">CONCATENATE("B",REPLACE(AG490,1,1,"")+1)</f>
        <v>B2</v>
      </c>
      <c r="BH490" t="str">
        <f t="shared" ref="BH490:BH492" si="2458">CONCATENATE("C",REPLACE(BF490,1,1,"")+1)</f>
        <v>C3</v>
      </c>
      <c r="BI490" t="str">
        <f t="shared" ref="BI490:BI492" si="2459">CONCATENATE("B",REPLACE(BG490,1,1,"")+1)</f>
        <v>B3</v>
      </c>
      <c r="BJ490" t="str">
        <f t="shared" ref="BJ490:BJ492" si="2460">CONCATENATE("C",REPLACE(BH490,1,1,"")+1)</f>
        <v>C4</v>
      </c>
      <c r="BK490" t="str">
        <f t="shared" ref="BK490:BK492" si="2461">CONCATENATE("B",REPLACE(BI490,1,1,"")+1)</f>
        <v>B4</v>
      </c>
      <c r="BL490" t="str">
        <f t="shared" ref="BL490:BL492" si="2462">CONCATENATE("C",REPLACE(BJ490,1,1,"")+1)</f>
        <v>C5</v>
      </c>
      <c r="BM490" t="str">
        <f t="shared" ref="BM490:BM492" si="2463">CONCATENATE("B",REPLACE(BK490,1,1,"")+1)</f>
        <v>B5</v>
      </c>
      <c r="BN490" t="str">
        <f t="shared" ref="BN490:BN492" si="2464">CONCATENATE("C",REPLACE(BL490,1,1,"")+1)</f>
        <v>C6</v>
      </c>
      <c r="BO490" t="str">
        <f t="shared" ref="BO490:BO492" si="2465">CONCATENATE("B",REPLACE(BM490,1,1,"")+1)</f>
        <v>B6</v>
      </c>
      <c r="BP490" t="str">
        <f t="shared" si="2193"/>
        <v>14A</v>
      </c>
      <c r="BQ490" t="str">
        <f t="shared" si="2194"/>
        <v>14B</v>
      </c>
      <c r="BR490" t="str">
        <f t="shared" si="2195"/>
        <v>15A</v>
      </c>
      <c r="BS490" t="str">
        <f t="shared" si="2196"/>
        <v>15B</v>
      </c>
      <c r="BT490" t="str">
        <f t="shared" ref="BT490:BT492" si="2466">CONCATENATE("DI",REPLACE($AC490,1,3,""),"-",AF490)</f>
        <v>DI9-C1</v>
      </c>
      <c r="BU490" t="str">
        <f t="shared" ref="BU490:BU492" si="2467">CONCATENATE("DI",REPLACE($AC490,1,3,""),"-",AG490)</f>
        <v>DI9-B1</v>
      </c>
      <c r="BV490" t="str">
        <f t="shared" ref="BV490:BV492" si="2468">CONCATENATE("DI",REPLACE($AC490,1,3,""),"-",BF490)</f>
        <v>DI9-C2</v>
      </c>
      <c r="BW490" t="str">
        <f t="shared" ref="BW490:BW492" si="2469">CONCATENATE("DI",REPLACE($AC490,1,3,""),"-",BG490)</f>
        <v>DI9-B2</v>
      </c>
      <c r="BX490" t="str">
        <f t="shared" ref="BX490:BX492" si="2470">CONCATENATE("DI",REPLACE($AC490,1,3,""),"-",BH490)</f>
        <v>DI9-C3</v>
      </c>
      <c r="BY490" t="str">
        <f t="shared" ref="BY490:BY492" si="2471">CONCATENATE("DI",REPLACE($AC490,1,3,""),"-",BI490)</f>
        <v>DI9-B3</v>
      </c>
      <c r="BZ490" t="str">
        <f t="shared" ref="BZ490:BZ492" si="2472">CONCATENATE("DI",REPLACE($AC490,1,3,""),"-",BJ490)</f>
        <v>DI9-C4</v>
      </c>
      <c r="CA490" t="str">
        <f t="shared" ref="CA490:CA492" si="2473">CONCATENATE("DI",REPLACE($AC490,1,3,""),"-",BK490)</f>
        <v>DI9-B4</v>
      </c>
      <c r="CB490" t="str">
        <f t="shared" ref="CB490:CB492" si="2474">CONCATENATE("DI",REPLACE($AC490,1,3,""),"-",BL490)</f>
        <v>DI9-C5</v>
      </c>
      <c r="CC490" t="str">
        <f t="shared" ref="CC490:CC492" si="2475">CONCATENATE("DI",REPLACE($AC490,1,3,""),"-",BM490)</f>
        <v>DI9-B5</v>
      </c>
      <c r="CD490" t="str">
        <f t="shared" ref="CD490:CD492" si="2476">CONCATENATE("DI",REPLACE($AC490,1,3,""),"-",BN490)</f>
        <v>DI9-C6</v>
      </c>
      <c r="CE490" t="str">
        <f t="shared" ref="CE490:CE492" si="2477">CONCATENATE("DI",REPLACE($AC490,1,3,""),"-",BO490)</f>
        <v>DI9-B6</v>
      </c>
      <c r="CF490" t="str">
        <f t="shared" ref="CF490:CF492" si="2478">CONCATENATE("DO",REPLACE($AH490,1,3,""),"-",AK490)</f>
        <v>DO5-13A</v>
      </c>
      <c r="CG490" t="str">
        <f t="shared" ref="CG490:CG492" si="2479">CONCATENATE("DO",REPLACE($AH490,1,3,""),"-",AL490)</f>
        <v>DO5-13B</v>
      </c>
      <c r="CH490" t="str">
        <f t="shared" ref="CH490:CH492" si="2480">CONCATENATE("DO",REPLACE($AH490,1,3,""),"-",BP490)</f>
        <v>DO5-14A</v>
      </c>
      <c r="CI490" t="str">
        <f t="shared" ref="CI490:CI492" si="2481">CONCATENATE("DO",REPLACE($AH490,1,3,""),"-",BQ490)</f>
        <v>DO5-14B</v>
      </c>
      <c r="CJ490" t="str">
        <f t="shared" ref="CJ490:CJ492" si="2482">CONCATENATE("DO",REPLACE($AH490,1,3,""),"-",BR490)</f>
        <v>DO5-15A</v>
      </c>
      <c r="CK490" t="str">
        <f t="shared" ref="CK490:CK492" si="2483">CONCATENATE("DO",REPLACE($AH490,1,3,""),"-",BS490)</f>
        <v>DO5-15B</v>
      </c>
      <c r="CL490" t="str">
        <f t="shared" si="2215"/>
        <v>K46-10</v>
      </c>
      <c r="CM490" t="str">
        <f t="shared" si="2216"/>
        <v>K46-03</v>
      </c>
      <c r="CN490" t="str">
        <f t="shared" si="2217"/>
        <v>K46-04</v>
      </c>
      <c r="CO490" t="str">
        <f t="shared" si="2218"/>
        <v>K46-01</v>
      </c>
      <c r="CP490" t="str">
        <f t="shared" si="2219"/>
        <v>K46-08</v>
      </c>
      <c r="CQ490" t="str">
        <f t="shared" si="2220"/>
        <v>K46-02</v>
      </c>
      <c r="CR490" t="str">
        <f t="shared" si="2221"/>
        <v>K46-09</v>
      </c>
      <c r="CS490" t="str">
        <f t="shared" si="2222"/>
        <v>K46-05</v>
      </c>
      <c r="CT490" t="str">
        <f t="shared" si="2223"/>
        <v>K46-11</v>
      </c>
      <c r="CU490" t="str">
        <f t="shared" si="2224"/>
        <v>N1-M46-A9</v>
      </c>
      <c r="CV490" t="str">
        <f t="shared" si="2225"/>
        <v>N1-M46-A7</v>
      </c>
      <c r="CW490" t="str">
        <f t="shared" si="2226"/>
        <v>N1-M46-A8</v>
      </c>
      <c r="CX490" t="str">
        <f t="shared" si="2227"/>
        <v>N1-M46-A6</v>
      </c>
      <c r="CY490" t="str">
        <f t="shared" si="2228"/>
        <v>N1-M46-A30</v>
      </c>
      <c r="CZ490" t="str">
        <f t="shared" si="2229"/>
        <v>N1-M46-N</v>
      </c>
      <c r="DA490" t="str">
        <f t="shared" ref="DA490:DA492" si="2484">CONCATENATE($T490,"-A220-M",U490)</f>
        <v>N1-A220-M46</v>
      </c>
      <c r="DB490" t="str">
        <f t="shared" si="2231"/>
        <v>N1-M46-XM01</v>
      </c>
      <c r="DC490" t="str">
        <f t="shared" si="2232"/>
        <v>N1-M46-A1</v>
      </c>
      <c r="DD490" t="str">
        <f t="shared" si="2233"/>
        <v>N1-M46-A5</v>
      </c>
      <c r="DE490" t="str">
        <f t="shared" si="2234"/>
        <v>N1-M46-A11</v>
      </c>
      <c r="DF490" t="str">
        <f t="shared" si="2235"/>
        <v>N1-M46-A12</v>
      </c>
      <c r="DG490" t="str">
        <f t="shared" si="2236"/>
        <v>N1-M46-A19</v>
      </c>
      <c r="DH490" t="str">
        <f t="shared" si="2237"/>
        <v>N1-M46-A20</v>
      </c>
      <c r="DI490" t="s">
        <v>142</v>
      </c>
      <c r="DJ490" t="s">
        <v>143</v>
      </c>
      <c r="DK490">
        <v>11</v>
      </c>
      <c r="DL490">
        <v>14</v>
      </c>
      <c r="DM490">
        <v>12</v>
      </c>
      <c r="DN490" t="s">
        <v>144</v>
      </c>
      <c r="DO490" t="s">
        <v>145</v>
      </c>
      <c r="DP490">
        <v>1</v>
      </c>
      <c r="DQ490">
        <v>2</v>
      </c>
      <c r="DR490">
        <v>3</v>
      </c>
      <c r="DS490">
        <v>4</v>
      </c>
      <c r="DT490">
        <v>5</v>
      </c>
      <c r="DU490">
        <v>6</v>
      </c>
      <c r="DV490">
        <v>7</v>
      </c>
      <c r="DW490">
        <v>8</v>
      </c>
      <c r="DX490">
        <v>9</v>
      </c>
      <c r="DY490">
        <v>10</v>
      </c>
      <c r="DZ490">
        <v>11</v>
      </c>
      <c r="EA490">
        <v>12</v>
      </c>
      <c r="EB490">
        <v>13</v>
      </c>
      <c r="EC490">
        <v>14</v>
      </c>
      <c r="ED490">
        <v>1</v>
      </c>
      <c r="EE490">
        <v>3</v>
      </c>
      <c r="EF490">
        <v>4</v>
      </c>
      <c r="EG490">
        <v>7</v>
      </c>
      <c r="EH490">
        <v>8</v>
      </c>
      <c r="EI490">
        <v>9</v>
      </c>
      <c r="EJ490">
        <v>10</v>
      </c>
      <c r="EK490">
        <v>13</v>
      </c>
      <c r="EL490">
        <v>14</v>
      </c>
      <c r="EM490">
        <v>15</v>
      </c>
      <c r="EN490">
        <v>16</v>
      </c>
      <c r="EO490">
        <v>22</v>
      </c>
      <c r="EP490">
        <v>23</v>
      </c>
      <c r="EQ490" s="16">
        <v>24</v>
      </c>
    </row>
    <row r="491" spans="1:285" x14ac:dyDescent="0.25">
      <c r="A491" s="67" t="s">
        <v>2641</v>
      </c>
      <c r="B491" t="s">
        <v>2640</v>
      </c>
      <c r="C491" s="3"/>
      <c r="O491" s="2"/>
      <c r="P491" t="s">
        <v>129</v>
      </c>
      <c r="Q491" s="1"/>
      <c r="S491" s="1" t="s">
        <v>130</v>
      </c>
      <c r="T491" s="14" t="s">
        <v>2185</v>
      </c>
      <c r="U491" s="60">
        <v>47</v>
      </c>
      <c r="V491" s="15" t="s">
        <v>2635</v>
      </c>
      <c r="W491" s="15"/>
      <c r="AC491" t="str">
        <f t="shared" si="2453"/>
        <v>A5.9</v>
      </c>
      <c r="AD491" s="43" cm="1">
        <f t="array" ref="AD491">IF(COUNTIFS(AC$379:AC491,AC491)=1,"1",VALUE(SUBSTITUTE(INDEX(AD:AD,_xlfn.XMATCH(AC491,AC$1:AC490,0,-1)),"A",""))+INDEX(AE:AE,_xlfn.XMATCH(AC491,AC$1:AC490,0,-1))+1)</f>
        <v>7</v>
      </c>
      <c r="AE491" s="43" cm="1">
        <f t="array" ref="AE491">SUM(IF(ISNUMBER(FIND("TmDi",$BE$1:$AAL$1)),IF(IFERROR(ISNUMBER(VALUE(SUBSTITUTE($BE491:$AAL491,"B",""))),FALSE),IF(ISNUMBER(VALUE(SUBSTITUTE($BE491:$AAL491,"B",""))),1,0),0)))</f>
        <v>5</v>
      </c>
      <c r="AF491" t="str">
        <f t="shared" si="2178"/>
        <v>C7</v>
      </c>
      <c r="AG491" t="str">
        <f t="shared" si="2179"/>
        <v>B7</v>
      </c>
      <c r="AH491" t="str">
        <f t="shared" si="2454"/>
        <v>A6.5</v>
      </c>
      <c r="AI491" s="73" cm="1">
        <f t="array" ref="AI491">IF(COUNTIFS(AH$379:AH491,AH491)=1,"1",VALUE(SUBSTITUTE(INDEX(AI:AI,_xlfn.XMATCH(AH491,AH$1:AH490,0,-1)),"A",""))+INDEX(AJ:AJ,_xlfn.XMATCH(AH491,AH$1:AH490,0,-1))+1)</f>
        <v>16</v>
      </c>
      <c r="AJ491" s="64" cm="1">
        <f t="array" ref="AJ491">SUM(IF(ISNUMBER(FIND("TmDo",$BE$1:$AAL$1)),IF(IFERROR(ISNUMBER(VALUE(SUBSTITUTE($BE491:$AAL491,"B",""))),FALSE),IF(ISNUMBER(VALUE(SUBSTITUTE($BE491:$AAL491,"B",""))),1,0),0)))</f>
        <v>2</v>
      </c>
      <c r="AK491" t="str">
        <f t="shared" si="2451"/>
        <v>16A</v>
      </c>
      <c r="AL491" t="str">
        <f t="shared" si="2452"/>
        <v>16B</v>
      </c>
      <c r="AM491" t="s">
        <v>2637</v>
      </c>
      <c r="AP491" t="s">
        <v>2187</v>
      </c>
      <c r="AQ491" t="s">
        <v>2515</v>
      </c>
      <c r="AT491" t="s">
        <v>139</v>
      </c>
      <c r="AU491" t="s">
        <v>140</v>
      </c>
      <c r="BD491" s="16"/>
      <c r="BE491" s="27" t="str">
        <f t="shared" si="2455"/>
        <v>XT47</v>
      </c>
      <c r="BF491" t="str">
        <f t="shared" si="2456"/>
        <v>C8</v>
      </c>
      <c r="BG491" t="str">
        <f t="shared" si="2457"/>
        <v>B8</v>
      </c>
      <c r="BH491" t="str">
        <f t="shared" si="2458"/>
        <v>C9</v>
      </c>
      <c r="BI491" t="str">
        <f t="shared" si="2459"/>
        <v>B9</v>
      </c>
      <c r="BJ491" t="str">
        <f t="shared" si="2460"/>
        <v>C10</v>
      </c>
      <c r="BK491" t="str">
        <f t="shared" si="2461"/>
        <v>B10</v>
      </c>
      <c r="BL491" t="str">
        <f t="shared" si="2462"/>
        <v>C11</v>
      </c>
      <c r="BM491" t="str">
        <f t="shared" si="2463"/>
        <v>B11</v>
      </c>
      <c r="BN491" t="str">
        <f t="shared" si="2464"/>
        <v>C12</v>
      </c>
      <c r="BO491" t="str">
        <f t="shared" si="2465"/>
        <v>B12</v>
      </c>
      <c r="BP491" t="str">
        <f t="shared" si="2193"/>
        <v>17A</v>
      </c>
      <c r="BQ491" t="str">
        <f t="shared" si="2194"/>
        <v>17B</v>
      </c>
      <c r="BR491" t="str">
        <f t="shared" si="2195"/>
        <v>18A</v>
      </c>
      <c r="BS491" t="str">
        <f t="shared" si="2196"/>
        <v>18B</v>
      </c>
      <c r="BT491" t="str">
        <f t="shared" si="2466"/>
        <v>DI9-C7</v>
      </c>
      <c r="BU491" t="str">
        <f t="shared" si="2467"/>
        <v>DI9-B7</v>
      </c>
      <c r="BV491" t="str">
        <f t="shared" si="2468"/>
        <v>DI9-C8</v>
      </c>
      <c r="BW491" t="str">
        <f t="shared" si="2469"/>
        <v>DI9-B8</v>
      </c>
      <c r="BX491" t="str">
        <f t="shared" si="2470"/>
        <v>DI9-C9</v>
      </c>
      <c r="BY491" t="str">
        <f t="shared" si="2471"/>
        <v>DI9-B9</v>
      </c>
      <c r="BZ491" t="str">
        <f t="shared" si="2472"/>
        <v>DI9-C10</v>
      </c>
      <c r="CA491" t="str">
        <f t="shared" si="2473"/>
        <v>DI9-B10</v>
      </c>
      <c r="CB491" t="str">
        <f t="shared" si="2474"/>
        <v>DI9-C11</v>
      </c>
      <c r="CC491" t="str">
        <f t="shared" si="2475"/>
        <v>DI9-B11</v>
      </c>
      <c r="CD491" t="str">
        <f t="shared" si="2476"/>
        <v>DI9-C12</v>
      </c>
      <c r="CE491" t="str">
        <f t="shared" si="2477"/>
        <v>DI9-B12</v>
      </c>
      <c r="CF491" t="str">
        <f t="shared" si="2478"/>
        <v>DO5-16A</v>
      </c>
      <c r="CG491" t="str">
        <f t="shared" si="2479"/>
        <v>DO5-16B</v>
      </c>
      <c r="CH491" t="str">
        <f t="shared" si="2480"/>
        <v>DO5-17A</v>
      </c>
      <c r="CI491" t="str">
        <f t="shared" si="2481"/>
        <v>DO5-17B</v>
      </c>
      <c r="CJ491" t="str">
        <f t="shared" si="2482"/>
        <v>DO5-18A</v>
      </c>
      <c r="CK491" t="str">
        <f t="shared" si="2483"/>
        <v>DO5-18B</v>
      </c>
      <c r="CL491" t="str">
        <f t="shared" si="2215"/>
        <v>K47-10</v>
      </c>
      <c r="CM491" t="str">
        <f t="shared" si="2216"/>
        <v>K47-03</v>
      </c>
      <c r="CN491" t="str">
        <f t="shared" si="2217"/>
        <v>K47-04</v>
      </c>
      <c r="CO491" t="str">
        <f t="shared" si="2218"/>
        <v>K47-01</v>
      </c>
      <c r="CP491" t="str">
        <f t="shared" si="2219"/>
        <v>K47-08</v>
      </c>
      <c r="CQ491" t="str">
        <f t="shared" si="2220"/>
        <v>K47-02</v>
      </c>
      <c r="CR491" t="str">
        <f t="shared" si="2221"/>
        <v>K47-09</v>
      </c>
      <c r="CS491" t="str">
        <f t="shared" si="2222"/>
        <v>K47-05</v>
      </c>
      <c r="CT491" t="str">
        <f t="shared" si="2223"/>
        <v>K47-11</v>
      </c>
      <c r="CU491" t="str">
        <f t="shared" si="2224"/>
        <v>N1-M47-A9</v>
      </c>
      <c r="CV491" t="str">
        <f t="shared" si="2225"/>
        <v>N1-M47-A7</v>
      </c>
      <c r="CW491" t="str">
        <f t="shared" si="2226"/>
        <v>N1-M47-A8</v>
      </c>
      <c r="CX491" t="str">
        <f t="shared" si="2227"/>
        <v>N1-M47-A6</v>
      </c>
      <c r="CY491" t="str">
        <f t="shared" si="2228"/>
        <v>N1-M47-A30</v>
      </c>
      <c r="CZ491" t="str">
        <f t="shared" si="2229"/>
        <v>N1-M47-N</v>
      </c>
      <c r="DA491" t="str">
        <f t="shared" si="2484"/>
        <v>N1-A220-M47</v>
      </c>
      <c r="DB491" t="str">
        <f t="shared" si="2231"/>
        <v>N1-M47-XM01</v>
      </c>
      <c r="DC491" t="str">
        <f t="shared" si="2232"/>
        <v>N1-M47-A1</v>
      </c>
      <c r="DD491" t="str">
        <f t="shared" si="2233"/>
        <v>N1-M47-A5</v>
      </c>
      <c r="DE491" t="str">
        <f t="shared" si="2234"/>
        <v>N1-M47-A11</v>
      </c>
      <c r="DF491" t="str">
        <f t="shared" si="2235"/>
        <v>N1-M47-A12</v>
      </c>
      <c r="DG491" t="str">
        <f t="shared" si="2236"/>
        <v>N1-M47-A19</v>
      </c>
      <c r="DH491" t="str">
        <f t="shared" si="2237"/>
        <v>N1-M47-A20</v>
      </c>
      <c r="DI491" t="s">
        <v>142</v>
      </c>
      <c r="DJ491" t="s">
        <v>143</v>
      </c>
      <c r="DK491">
        <v>11</v>
      </c>
      <c r="DL491">
        <v>14</v>
      </c>
      <c r="DM491">
        <v>12</v>
      </c>
      <c r="DN491" t="s">
        <v>144</v>
      </c>
      <c r="DO491" t="s">
        <v>145</v>
      </c>
      <c r="DP491">
        <v>1</v>
      </c>
      <c r="DQ491">
        <v>2</v>
      </c>
      <c r="DR491">
        <v>3</v>
      </c>
      <c r="DS491">
        <v>4</v>
      </c>
      <c r="DT491">
        <v>5</v>
      </c>
      <c r="DU491">
        <v>6</v>
      </c>
      <c r="DV491">
        <v>7</v>
      </c>
      <c r="DW491">
        <v>8</v>
      </c>
      <c r="DX491">
        <v>9</v>
      </c>
      <c r="DY491">
        <v>10</v>
      </c>
      <c r="DZ491">
        <v>11</v>
      </c>
      <c r="EA491">
        <v>12</v>
      </c>
      <c r="EB491">
        <v>13</v>
      </c>
      <c r="EC491">
        <v>14</v>
      </c>
      <c r="ED491">
        <v>1</v>
      </c>
      <c r="EE491">
        <v>3</v>
      </c>
      <c r="EF491">
        <v>4</v>
      </c>
      <c r="EG491">
        <v>7</v>
      </c>
      <c r="EH491">
        <v>8</v>
      </c>
      <c r="EI491">
        <v>9</v>
      </c>
      <c r="EJ491">
        <v>10</v>
      </c>
      <c r="EK491">
        <v>13</v>
      </c>
      <c r="EL491">
        <v>14</v>
      </c>
      <c r="EM491">
        <v>15</v>
      </c>
      <c r="EN491">
        <v>16</v>
      </c>
      <c r="EO491">
        <v>22</v>
      </c>
      <c r="EP491">
        <v>23</v>
      </c>
      <c r="EQ491" s="16">
        <v>24</v>
      </c>
    </row>
    <row r="492" spans="1:285" ht="15.75" thickBot="1" x14ac:dyDescent="0.3">
      <c r="A492" s="67" t="s">
        <v>2643</v>
      </c>
      <c r="B492" t="s">
        <v>2642</v>
      </c>
      <c r="C492" s="3"/>
      <c r="O492" s="2"/>
      <c r="P492" t="s">
        <v>129</v>
      </c>
      <c r="Q492" s="1"/>
      <c r="S492" s="1" t="s">
        <v>130</v>
      </c>
      <c r="T492" s="14" t="s">
        <v>2185</v>
      </c>
      <c r="U492" s="60">
        <v>48</v>
      </c>
      <c r="V492" s="15" t="s">
        <v>2636</v>
      </c>
      <c r="W492" s="15"/>
      <c r="AC492" t="str">
        <f t="shared" si="2453"/>
        <v>A5.9</v>
      </c>
      <c r="AD492" s="43" cm="1">
        <f t="array" ref="AD492">IF(COUNTIFS(AC$379:AC492,AC492)=1,"1",VALUE(SUBSTITUTE(INDEX(AD:AD,_xlfn.XMATCH(AC492,AC$1:AC491,0,-1)),"A",""))+INDEX(AE:AE,_xlfn.XMATCH(AC492,AC$1:AC491,0,-1))+1)</f>
        <v>13</v>
      </c>
      <c r="AE492" s="43" cm="1">
        <f t="array" ref="AE492">SUM(IF(ISNUMBER(FIND("TmDi",$BE$1:$AAL$1)),IF(IFERROR(ISNUMBER(VALUE(SUBSTITUTE($BE492:$AAL492,"B",""))),FALSE),IF(ISNUMBER(VALUE(SUBSTITUTE($BE492:$AAL492,"B",""))),1,0),0)))</f>
        <v>5</v>
      </c>
      <c r="AF492" t="str">
        <f t="shared" si="2178"/>
        <v>C13</v>
      </c>
      <c r="AG492" t="str">
        <f t="shared" si="2179"/>
        <v>B13</v>
      </c>
      <c r="AH492" t="str">
        <f t="shared" si="2454"/>
        <v>A6.5</v>
      </c>
      <c r="AI492" s="73" cm="1">
        <f t="array" ref="AI492">IF(COUNTIFS(AH$379:AH492,AH492)=1,"1",VALUE(SUBSTITUTE(INDEX(AI:AI,_xlfn.XMATCH(AH492,AH$1:AH491,0,-1)),"A",""))+INDEX(AJ:AJ,_xlfn.XMATCH(AH492,AH$1:AH491,0,-1))+1)</f>
        <v>19</v>
      </c>
      <c r="AJ492" s="64" cm="1">
        <f t="array" ref="AJ492">SUM(IF(ISNUMBER(FIND("TmDo",$BE$1:$AAL$1)),IF(IFERROR(ISNUMBER(VALUE(SUBSTITUTE($BE492:$AAL492,"B",""))),FALSE),IF(ISNUMBER(VALUE(SUBSTITUTE($BE492:$AAL492,"B",""))),1,0),0)))</f>
        <v>2</v>
      </c>
      <c r="AK492" t="str">
        <f t="shared" si="2451"/>
        <v>19A</v>
      </c>
      <c r="AL492" t="str">
        <f t="shared" si="2452"/>
        <v>19B</v>
      </c>
      <c r="AM492" t="s">
        <v>453</v>
      </c>
      <c r="AP492" t="s">
        <v>2187</v>
      </c>
      <c r="AQ492" t="s">
        <v>2515</v>
      </c>
      <c r="AT492" t="s">
        <v>139</v>
      </c>
      <c r="AU492" t="s">
        <v>140</v>
      </c>
      <c r="BD492" s="16"/>
      <c r="BE492" s="28" t="str">
        <f t="shared" si="2455"/>
        <v>XT48</v>
      </c>
      <c r="BF492" s="19" t="str">
        <f t="shared" si="2456"/>
        <v>C14</v>
      </c>
      <c r="BG492" s="19" t="str">
        <f t="shared" si="2457"/>
        <v>B14</v>
      </c>
      <c r="BH492" s="19" t="str">
        <f t="shared" si="2458"/>
        <v>C15</v>
      </c>
      <c r="BI492" s="19" t="str">
        <f t="shared" si="2459"/>
        <v>B15</v>
      </c>
      <c r="BJ492" s="19" t="str">
        <f t="shared" si="2460"/>
        <v>C16</v>
      </c>
      <c r="BK492" s="19" t="str">
        <f t="shared" si="2461"/>
        <v>B16</v>
      </c>
      <c r="BL492" s="19" t="str">
        <f t="shared" si="2462"/>
        <v>C17</v>
      </c>
      <c r="BM492" s="19" t="str">
        <f t="shared" si="2463"/>
        <v>B17</v>
      </c>
      <c r="BN492" s="19" t="str">
        <f t="shared" si="2464"/>
        <v>C18</v>
      </c>
      <c r="BO492" s="19" t="str">
        <f t="shared" si="2465"/>
        <v>B18</v>
      </c>
      <c r="BP492" s="19" t="str">
        <f t="shared" si="2193"/>
        <v>20A</v>
      </c>
      <c r="BQ492" s="19" t="str">
        <f t="shared" si="2194"/>
        <v>20B</v>
      </c>
      <c r="BR492" s="19" t="str">
        <f t="shared" si="2195"/>
        <v>21A</v>
      </c>
      <c r="BS492" s="19" t="str">
        <f t="shared" si="2196"/>
        <v>21B</v>
      </c>
      <c r="BT492" s="19" t="str">
        <f t="shared" si="2466"/>
        <v>DI9-C13</v>
      </c>
      <c r="BU492" s="19" t="str">
        <f t="shared" si="2467"/>
        <v>DI9-B13</v>
      </c>
      <c r="BV492" s="19" t="str">
        <f t="shared" si="2468"/>
        <v>DI9-C14</v>
      </c>
      <c r="BW492" s="19" t="str">
        <f t="shared" si="2469"/>
        <v>DI9-B14</v>
      </c>
      <c r="BX492" s="19" t="str">
        <f t="shared" si="2470"/>
        <v>DI9-C15</v>
      </c>
      <c r="BY492" s="19" t="str">
        <f t="shared" si="2471"/>
        <v>DI9-B15</v>
      </c>
      <c r="BZ492" s="19" t="str">
        <f t="shared" si="2472"/>
        <v>DI9-C16</v>
      </c>
      <c r="CA492" s="19" t="str">
        <f t="shared" si="2473"/>
        <v>DI9-B16</v>
      </c>
      <c r="CB492" s="19" t="str">
        <f t="shared" si="2474"/>
        <v>DI9-C17</v>
      </c>
      <c r="CC492" s="19" t="str">
        <f t="shared" si="2475"/>
        <v>DI9-B17</v>
      </c>
      <c r="CD492" s="19" t="str">
        <f t="shared" si="2476"/>
        <v>DI9-C18</v>
      </c>
      <c r="CE492" s="19" t="str">
        <f t="shared" si="2477"/>
        <v>DI9-B18</v>
      </c>
      <c r="CF492" s="19" t="str">
        <f t="shared" si="2478"/>
        <v>DO5-19A</v>
      </c>
      <c r="CG492" s="19" t="str">
        <f t="shared" si="2479"/>
        <v>DO5-19B</v>
      </c>
      <c r="CH492" s="19" t="str">
        <f t="shared" si="2480"/>
        <v>DO5-20A</v>
      </c>
      <c r="CI492" s="19" t="str">
        <f t="shared" si="2481"/>
        <v>DO5-20B</v>
      </c>
      <c r="CJ492" s="19" t="str">
        <f t="shared" si="2482"/>
        <v>DO5-21A</v>
      </c>
      <c r="CK492" s="19" t="str">
        <f t="shared" si="2483"/>
        <v>DO5-21B</v>
      </c>
      <c r="CL492" s="19" t="str">
        <f t="shared" si="2215"/>
        <v>K48-10</v>
      </c>
      <c r="CM492" s="19" t="str">
        <f t="shared" si="2216"/>
        <v>K48-03</v>
      </c>
      <c r="CN492" s="19" t="str">
        <f t="shared" si="2217"/>
        <v>K48-04</v>
      </c>
      <c r="CO492" s="19" t="str">
        <f t="shared" si="2218"/>
        <v>K48-01</v>
      </c>
      <c r="CP492" s="19" t="str">
        <f t="shared" si="2219"/>
        <v>K48-08</v>
      </c>
      <c r="CQ492" s="19" t="str">
        <f t="shared" si="2220"/>
        <v>K48-02</v>
      </c>
      <c r="CR492" s="19" t="str">
        <f t="shared" si="2221"/>
        <v>K48-09</v>
      </c>
      <c r="CS492" s="19" t="str">
        <f t="shared" si="2222"/>
        <v>K48-05</v>
      </c>
      <c r="CT492" s="19" t="str">
        <f t="shared" si="2223"/>
        <v>K48-11</v>
      </c>
      <c r="CU492" s="19" t="str">
        <f t="shared" si="2224"/>
        <v>N1-M48-A9</v>
      </c>
      <c r="CV492" s="19" t="str">
        <f t="shared" si="2225"/>
        <v>N1-M48-A7</v>
      </c>
      <c r="CW492" s="19" t="str">
        <f t="shared" si="2226"/>
        <v>N1-M48-A8</v>
      </c>
      <c r="CX492" s="19" t="str">
        <f t="shared" si="2227"/>
        <v>N1-M48-A6</v>
      </c>
      <c r="CY492" s="19" t="str">
        <f t="shared" si="2228"/>
        <v>N1-M48-A30</v>
      </c>
      <c r="CZ492" s="19" t="str">
        <f t="shared" si="2229"/>
        <v>N1-M48-N</v>
      </c>
      <c r="DA492" s="19" t="str">
        <f t="shared" si="2484"/>
        <v>N1-A220-M48</v>
      </c>
      <c r="DB492" s="19" t="str">
        <f t="shared" si="2231"/>
        <v>N1-M48-XM01</v>
      </c>
      <c r="DC492" s="19" t="str">
        <f t="shared" si="2232"/>
        <v>N1-M48-A1</v>
      </c>
      <c r="DD492" s="19" t="str">
        <f t="shared" si="2233"/>
        <v>N1-M48-A5</v>
      </c>
      <c r="DE492" s="19" t="str">
        <f t="shared" si="2234"/>
        <v>N1-M48-A11</v>
      </c>
      <c r="DF492" s="19" t="str">
        <f t="shared" si="2235"/>
        <v>N1-M48-A12</v>
      </c>
      <c r="DG492" s="19" t="str">
        <f t="shared" si="2236"/>
        <v>N1-M48-A19</v>
      </c>
      <c r="DH492" s="19" t="str">
        <f t="shared" si="2237"/>
        <v>N1-M48-A20</v>
      </c>
      <c r="DI492" s="19" t="s">
        <v>142</v>
      </c>
      <c r="DJ492" s="19" t="s">
        <v>143</v>
      </c>
      <c r="DK492" s="19">
        <v>11</v>
      </c>
      <c r="DL492" s="19">
        <v>14</v>
      </c>
      <c r="DM492" s="19">
        <v>12</v>
      </c>
      <c r="DN492" s="19" t="s">
        <v>144</v>
      </c>
      <c r="DO492" s="19" t="s">
        <v>145</v>
      </c>
      <c r="DP492" s="19">
        <v>1</v>
      </c>
      <c r="DQ492" s="19">
        <v>2</v>
      </c>
      <c r="DR492" s="19">
        <v>3</v>
      </c>
      <c r="DS492" s="19">
        <v>4</v>
      </c>
      <c r="DT492" s="19">
        <v>5</v>
      </c>
      <c r="DU492" s="19">
        <v>6</v>
      </c>
      <c r="DV492" s="19">
        <v>7</v>
      </c>
      <c r="DW492" s="19">
        <v>8</v>
      </c>
      <c r="DX492" s="19">
        <v>9</v>
      </c>
      <c r="DY492" s="19">
        <v>10</v>
      </c>
      <c r="DZ492" s="19">
        <v>11</v>
      </c>
      <c r="EA492" s="19">
        <v>12</v>
      </c>
      <c r="EB492" s="19">
        <v>13</v>
      </c>
      <c r="EC492" s="19">
        <v>14</v>
      </c>
      <c r="ED492" s="19">
        <v>1</v>
      </c>
      <c r="EE492" s="19">
        <v>3</v>
      </c>
      <c r="EF492" s="19">
        <v>4</v>
      </c>
      <c r="EG492" s="19">
        <v>7</v>
      </c>
      <c r="EH492" s="19">
        <v>8</v>
      </c>
      <c r="EI492" s="19">
        <v>9</v>
      </c>
      <c r="EJ492" s="19">
        <v>10</v>
      </c>
      <c r="EK492" s="19">
        <v>13</v>
      </c>
      <c r="EL492" s="19">
        <v>14</v>
      </c>
      <c r="EM492" s="19">
        <v>15</v>
      </c>
      <c r="EN492" s="19">
        <v>16</v>
      </c>
      <c r="EO492" s="19">
        <v>22</v>
      </c>
      <c r="EP492" s="19">
        <v>23</v>
      </c>
      <c r="EQ492" s="20">
        <v>24</v>
      </c>
    </row>
    <row r="493" spans="1:285" x14ac:dyDescent="0.25">
      <c r="A493" t="s">
        <v>2645</v>
      </c>
      <c r="B493" t="s">
        <v>2644</v>
      </c>
      <c r="P493" t="s">
        <v>391</v>
      </c>
      <c r="T493" s="14" t="s">
        <v>2185</v>
      </c>
      <c r="U493" s="60">
        <f t="shared" ref="U493:U501" si="2485">U492+1</f>
        <v>49</v>
      </c>
      <c r="V493" s="15" t="s">
        <v>2646</v>
      </c>
      <c r="W493" s="15" t="s">
        <v>2647</v>
      </c>
      <c r="X493" t="s">
        <v>917</v>
      </c>
      <c r="Y493" s="43" cm="1">
        <f t="array" ref="Y493">IF(COUNTIFS($X$379:$X493,$X493)=1,"1",VALUE(SUBSTITUTE(INDEX(Y:Y,_xlfn.XMATCH($X493,$X$1:$X492,0,-1)),"A",""))+INDEX(Z:Z,_xlfn.XMATCH($X493,$X$1:$X492,0,-1))+1)</f>
        <v>3</v>
      </c>
      <c r="Z493" s="43" cm="1">
        <f t="array" ref="Z493">SUM(IF(ISNUMBER(FIND("TmAi",$BE$1:$AAL$1)),IF(IFERROR(ISODD(SUBSTITUTE($BE493:$AAL493,"A","")),FALSE),IF(ISODD(SUBSTITUTE($BE493:$AAL493,"A","")),1,0),0)))</f>
        <v>0</v>
      </c>
      <c r="AA493" t="str">
        <f t="shared" ref="AA493:AA496" si="2486">CONCATENATE($Y493*2-1,"A")</f>
        <v>5A</v>
      </c>
      <c r="AB493" t="str">
        <f t="shared" ref="AB493:AB496" si="2487">CONCATENATE($Y493*2-1,"B")</f>
        <v>5B</v>
      </c>
      <c r="AC493" t="str">
        <f t="shared" ref="AC493" si="2488">IF(AD492+AE492&gt;25,REPLACE(AC492,LEN(AC492),1,VALUE(RIGHT(AC492,1))+1),AC492)</f>
        <v>A5.9</v>
      </c>
      <c r="AD493" s="43" cm="1">
        <f t="array" ref="AD493">IF(COUNTIFS(AC$379:AC493,AC493)=1,"1",VALUE(SUBSTITUTE(INDEX(AD:AD,_xlfn.XMATCH(AC493,AC$1:AC492,0,-1)),"A",""))+INDEX(AE:AE,_xlfn.XMATCH(AC493,AC$1:AC492,0,-1))+1)</f>
        <v>19</v>
      </c>
      <c r="AE493" s="43" cm="1">
        <f t="array" ref="AE493">SUM(IF(ISNUMBER(FIND("TmDi",$BE$1:$AAL$1)),IF(IFERROR(ISNUMBER(VALUE(SUBSTITUTE($BE493:$AAL493,"B",""))),FALSE),IF(ISNUMBER(VALUE(SUBSTITUTE($BE493:$AAL493,"B",""))),1,0),0)))</f>
        <v>5</v>
      </c>
      <c r="AF493" t="str">
        <f t="shared" si="2178"/>
        <v>C19</v>
      </c>
      <c r="AG493" t="str">
        <f t="shared" si="2179"/>
        <v>B19</v>
      </c>
      <c r="AH493" t="str">
        <f t="shared" ref="AH493" si="2489">IF(AI492+AJ492&gt;25,REPLACE(AH492,LEN(AH492),1,VALUE(RIGHT(AH492,1))+1),AH492)</f>
        <v>A6.5</v>
      </c>
      <c r="AI493" s="73" cm="1">
        <f t="array" ref="AI493">IF(COUNTIFS(AH$379:AH493,AH493)=1,"1",VALUE(SUBSTITUTE(INDEX(AI:AI,_xlfn.XMATCH(AH493,AH$1:AH492,0,-1)),"A",""))+INDEX(AJ:AJ,_xlfn.XMATCH(AH493,AH$1:AH492,0,-1))+1)</f>
        <v>22</v>
      </c>
      <c r="AJ493" s="64" cm="1">
        <f t="array" ref="AJ493">SUM(IF(ISNUMBER(FIND("TmDo",$BE$1:$AAL$1)),IF(IFERROR(ISNUMBER(VALUE(SUBSTITUTE($BE493:$AAL493,"B",""))),FALSE),IF(ISNUMBER(VALUE(SUBSTITUTE($BE493:$AAL493,"B",""))),1,0),0)))</f>
        <v>1</v>
      </c>
      <c r="AK493" t="str">
        <f t="shared" si="2451"/>
        <v>22A</v>
      </c>
      <c r="AL493" t="str">
        <f t="shared" si="2452"/>
        <v>22B</v>
      </c>
      <c r="AM493" t="s">
        <v>2648</v>
      </c>
      <c r="AP493" t="s">
        <v>2187</v>
      </c>
      <c r="AQ493" t="s">
        <v>2515</v>
      </c>
      <c r="AS493" t="s">
        <v>396</v>
      </c>
      <c r="AT493" t="s">
        <v>139</v>
      </c>
      <c r="AU493" t="s">
        <v>140</v>
      </c>
      <c r="BD493" s="16"/>
      <c r="GT493" s="27" t="str">
        <f t="shared" ref="GT493" si="2490">CONCATENATE("XT",U493)</f>
        <v>XT49</v>
      </c>
      <c r="GU493" t="str">
        <f t="shared" ref="GU493" si="2491">CONCATENATE("C",REPLACE(AF493,1,1,"")+1)</f>
        <v>C20</v>
      </c>
      <c r="GV493" t="str">
        <f>CONCATENATE("B",REPLACE(AG493,1,1,"")+1)</f>
        <v>B20</v>
      </c>
      <c r="GW493" t="str">
        <f>CONCATENATE("C",REPLACE(GU493,1,1,"")+1)</f>
        <v>C21</v>
      </c>
      <c r="GX493" t="str">
        <f>CONCATENATE("B",REPLACE(GV493,1,1,"")+1)</f>
        <v>B21</v>
      </c>
      <c r="GY493" t="str">
        <f>CONCATENATE("C",REPLACE(GW493,1,1,"")+1)</f>
        <v>C22</v>
      </c>
      <c r="GZ493" t="str">
        <f>CONCATENATE("B",REPLACE(GX493,1,1,"")+1)</f>
        <v>B22</v>
      </c>
      <c r="HA493" t="str">
        <f>CONCATENATE("C",REPLACE(GY493,1,1,"")+1)</f>
        <v>C23</v>
      </c>
      <c r="HB493" t="str">
        <f>CONCATENATE("B",REPLACE(GZ493,1,1,"")+1)</f>
        <v>B23</v>
      </c>
      <c r="HC493" t="str">
        <f>CONCATENATE("C",REPLACE(HA493,1,1,"")+1)</f>
        <v>C24</v>
      </c>
      <c r="HD493" t="str">
        <f>CONCATENATE("B",REPLACE(HB493,1,1,"")+1)</f>
        <v>B24</v>
      </c>
      <c r="HE493" t="str">
        <f>CONCATENATE(REPLACE(AK493,LEN(AK493),1,"")+1,"A")</f>
        <v>23A</v>
      </c>
      <c r="HF493" t="str">
        <f>CONCATENATE(REPLACE(AL493,LEN(AL493),1,"")+1,"B")</f>
        <v>23B</v>
      </c>
      <c r="HG493" t="str">
        <f t="shared" ref="HG493" si="2492">CONCATENATE("AI",REPLACE($X493,1,3,""),"-",AA493)</f>
        <v>AI17-5A</v>
      </c>
      <c r="HH493" t="str">
        <f t="shared" ref="HH493" si="2493">CONCATENATE("AI",REPLACE($X493,1,3,""),"-",AB493)</f>
        <v>AI17-5B</v>
      </c>
      <c r="HI493" t="str">
        <f t="shared" ref="HI493:HJ496" si="2494">CONCATENATE("DI",REPLACE($AC493,1,3,""),"-",AF493)</f>
        <v>DI9-C19</v>
      </c>
      <c r="HJ493" t="str">
        <f t="shared" si="2494"/>
        <v>DI9-B19</v>
      </c>
      <c r="HK493" t="str">
        <f t="shared" ref="HK493" si="2495">CONCATENATE("DI",REPLACE($AC493,1,3,""),"-",GU493)</f>
        <v>DI9-C20</v>
      </c>
      <c r="HL493" t="str">
        <f t="shared" ref="HL493" si="2496">CONCATENATE("DI",REPLACE($AC493,1,3,""),"-",GV493)</f>
        <v>DI9-B20</v>
      </c>
      <c r="HM493" t="str">
        <f t="shared" ref="HM493" si="2497">CONCATENATE("DI",REPLACE($AC493,1,3,""),"-",GW493)</f>
        <v>DI9-C21</v>
      </c>
      <c r="HN493" t="str">
        <f t="shared" ref="HN493" si="2498">CONCATENATE("DI",REPLACE($AC493,1,3,""),"-",GX493)</f>
        <v>DI9-B21</v>
      </c>
      <c r="HO493" t="str">
        <f t="shared" ref="HO493" si="2499">CONCATENATE("DI",REPLACE($AC493,1,3,""),"-",GY493)</f>
        <v>DI9-C22</v>
      </c>
      <c r="HP493" t="str">
        <f t="shared" ref="HP493" si="2500">CONCATENATE("DI",REPLACE($AC493,1,3,""),"-",GZ493)</f>
        <v>DI9-B22</v>
      </c>
      <c r="HQ493" t="str">
        <f t="shared" ref="HQ493" si="2501">CONCATENATE("DI",REPLACE($AC493,1,3,""),"-",HA493)</f>
        <v>DI9-C23</v>
      </c>
      <c r="HR493" t="str">
        <f t="shared" ref="HR493" si="2502">CONCATENATE("DI",REPLACE($AC493,1,3,""),"-",HB493)</f>
        <v>DI9-B23</v>
      </c>
      <c r="HS493" t="str">
        <f t="shared" ref="HS493" si="2503">CONCATENATE("DI",REPLACE($AC493,1,3,""),"-",HC493)</f>
        <v>DI9-C24</v>
      </c>
      <c r="HT493" t="str">
        <f t="shared" ref="HT493" si="2504">CONCATENATE("DI",REPLACE($AC493,1,3,""),"-",HD493)</f>
        <v>DI9-B24</v>
      </c>
      <c r="HU493" t="str">
        <f t="shared" ref="HU493:HV496" si="2505">CONCATENATE("DO",REPLACE($AH493,1,3,""),"-",AK493)</f>
        <v>DO5-22A</v>
      </c>
      <c r="HV493" t="str">
        <f t="shared" si="2505"/>
        <v>DO5-22B</v>
      </c>
      <c r="HW493" t="str">
        <f t="shared" ref="HW493:HX496" si="2506">CONCATENATE("DO",REPLACE($AH493,1,3,""),"-",HE493)</f>
        <v>DO5-23A</v>
      </c>
      <c r="HX493" t="str">
        <f t="shared" si="2506"/>
        <v>DO5-23B</v>
      </c>
      <c r="HY493" t="str">
        <f>CONCATENATE("K",$U493,"-01")</f>
        <v>K49-01</v>
      </c>
      <c r="HZ493" t="str">
        <f>CONCATENATE("K",$U493,"-02")</f>
        <v>K49-02</v>
      </c>
      <c r="IA493" t="str">
        <f>CONCATENATE("K",$U493,"-03")</f>
        <v>K49-03</v>
      </c>
      <c r="IB493" t="str">
        <f>CONCATENATE("K",$U493,"-04")</f>
        <v>K49-04</v>
      </c>
      <c r="IC493" t="str">
        <f>CONCATENATE("K",$U493,"-05")</f>
        <v>K49-05</v>
      </c>
      <c r="ID493" t="str">
        <f>CONCATENATE("K",$U493,"-06")</f>
        <v>K49-06</v>
      </c>
      <c r="IE493" t="str">
        <f>CONCATENATE("K",$U493,"-07")</f>
        <v>K49-07</v>
      </c>
      <c r="IF493" t="str">
        <f>CONCATENATE("K",$U493,"-08")</f>
        <v>K49-08</v>
      </c>
      <c r="IG493" t="str">
        <f>CONCATENATE($T493,"-M",$U493,"-AMS-12")</f>
        <v>N1-M49-AMS-12</v>
      </c>
      <c r="IH493" t="str">
        <f>CONCATENATE($T493,"-M",$U493,"-AMS-10")</f>
        <v>N1-M49-AMS-10</v>
      </c>
      <c r="II493" t="str">
        <f>CONCATENATE($T493,"-M",$U493,"-AMS-11")</f>
        <v>N1-M49-AMS-11</v>
      </c>
      <c r="IJ493" t="str">
        <f>CONCATENATE($T493,"-M",$U493,"-AMS-13")</f>
        <v>N1-M49-AMS-13</v>
      </c>
      <c r="IK493" t="str">
        <f>CONCATENATE($T493,"-M",$U493,"-AMS-9")</f>
        <v>N1-M49-AMS-9</v>
      </c>
      <c r="IL493" t="str">
        <f>CONCATENATE($T493,"-M",$U493,"-AMS-7")</f>
        <v>N1-M49-AMS-7</v>
      </c>
      <c r="IM493" t="str">
        <f>CONCATENATE($T493,"-M",$U493,"-AMS-18")</f>
        <v>N1-M49-AMS-18</v>
      </c>
      <c r="IN493" t="str">
        <f>CONCATENATE($T493,"-M",$U493,"-AMS-20")</f>
        <v>N1-M49-AMS-20</v>
      </c>
      <c r="IO493" t="str">
        <f>CONCATENATE($T493,"-M",$U493,"-AMS-17")</f>
        <v>N1-M49-AMS-17</v>
      </c>
      <c r="IP493" t="str">
        <f>CONCATENATE($T493,"-+24-M",$U493,)</f>
        <v>N1-+24-M49</v>
      </c>
      <c r="IQ493" t="str">
        <f>CONCATENATE($T493,"-M",$U493,"-XM01")</f>
        <v>N1-M49-XM01</v>
      </c>
      <c r="IR493" t="s">
        <v>142</v>
      </c>
      <c r="IS493" t="s">
        <v>143</v>
      </c>
      <c r="IT493">
        <v>11</v>
      </c>
      <c r="IU493">
        <v>14</v>
      </c>
      <c r="IV493" t="s">
        <v>413</v>
      </c>
      <c r="IW493" t="s">
        <v>414</v>
      </c>
      <c r="IX493">
        <v>1</v>
      </c>
      <c r="IY493">
        <v>2</v>
      </c>
      <c r="IZ493">
        <v>3</v>
      </c>
      <c r="JA493">
        <v>4</v>
      </c>
      <c r="JB493">
        <v>5</v>
      </c>
      <c r="JC493">
        <v>6</v>
      </c>
      <c r="JD493">
        <v>7</v>
      </c>
      <c r="JE493">
        <v>8</v>
      </c>
      <c r="JF493">
        <v>9</v>
      </c>
      <c r="JG493">
        <v>10</v>
      </c>
      <c r="JH493">
        <v>11</v>
      </c>
      <c r="JI493">
        <v>12</v>
      </c>
      <c r="JJ493">
        <v>13</v>
      </c>
      <c r="JK493">
        <v>14</v>
      </c>
      <c r="JL493">
        <v>17</v>
      </c>
      <c r="JM493">
        <v>15</v>
      </c>
      <c r="JN493">
        <v>18</v>
      </c>
      <c r="JO493">
        <v>11</v>
      </c>
      <c r="JP493">
        <v>9</v>
      </c>
      <c r="JQ493">
        <v>6</v>
      </c>
      <c r="JR493">
        <v>20</v>
      </c>
      <c r="JS493">
        <v>7</v>
      </c>
      <c r="JT493">
        <v>10</v>
      </c>
      <c r="JU493">
        <v>22</v>
      </c>
      <c r="JV493">
        <v>23</v>
      </c>
      <c r="JW493">
        <v>26</v>
      </c>
      <c r="JX493">
        <v>27</v>
      </c>
      <c r="JY493" s="16">
        <v>30</v>
      </c>
    </row>
    <row r="494" spans="1:285" x14ac:dyDescent="0.25">
      <c r="A494" t="s">
        <v>2650</v>
      </c>
      <c r="B494" t="s">
        <v>2649</v>
      </c>
      <c r="P494" t="s">
        <v>391</v>
      </c>
      <c r="T494" s="14" t="s">
        <v>2185</v>
      </c>
      <c r="U494" s="60">
        <f t="shared" si="2485"/>
        <v>50</v>
      </c>
      <c r="V494" s="15" t="s">
        <v>2651</v>
      </c>
      <c r="W494" s="15" t="s">
        <v>2652</v>
      </c>
      <c r="X494" t="str">
        <f>IF(COUNTIF(X$379:X493,X493)&gt;7,REPLACE(X493,LEN(X493),1,VALUE(RIGHT(X493,1))+1),X493)</f>
        <v>A3.17</v>
      </c>
      <c r="Y494" s="43" cm="1">
        <f t="array" ref="Y494">IF(COUNTIFS($X$379:$X494,$X494)=1,"1",VALUE(SUBSTITUTE(INDEX(Y:Y,_xlfn.XMATCH($X494,$X$1:$X493,0,-1)),"A",""))+INDEX(Z:Z,_xlfn.XMATCH($X494,$X$1:$X493,0,-1))+1)</f>
        <v>4</v>
      </c>
      <c r="Z494" s="43" cm="1">
        <f t="array" ref="Z494">SUM(IF(ISNUMBER(FIND("TmAi",$BE$1:$AAL$1)),IF(IFERROR(ISODD(SUBSTITUTE($BE494:$AAL494,"A","")),FALSE),IF(ISODD(SUBSTITUTE($BE494:$AAL494,"A","")),1,0),0)))</f>
        <v>0</v>
      </c>
      <c r="AA494" t="str">
        <f t="shared" si="2486"/>
        <v>7A</v>
      </c>
      <c r="AB494" t="str">
        <f t="shared" si="2487"/>
        <v>7B</v>
      </c>
      <c r="AC494" t="str">
        <f t="shared" ref="AC494" si="2507">IF(AD493+AE493&gt;25,REPLACE(AC493,LEN(AC493),1,VALUE(RIGHT(AC493,1))+1),AC493)</f>
        <v>A5.9</v>
      </c>
      <c r="AD494" s="43" cm="1">
        <f t="array" ref="AD494">IF(COUNTIFS(AC$379:AC494,AC494)=1,"1",VALUE(SUBSTITUTE(INDEX(AD:AD,_xlfn.XMATCH(AC494,AC$1:AC493,0,-1)),"A",""))+INDEX(AE:AE,_xlfn.XMATCH(AC494,AC$1:AC493,0,-1))+1)</f>
        <v>25</v>
      </c>
      <c r="AE494" s="43" cm="1">
        <f t="array" ref="AE494">SUM(IF(ISNUMBER(FIND("TmDi",$BE$1:$AAL$1)),IF(IFERROR(ISNUMBER(VALUE(SUBSTITUTE($BE494:$AAL494,"B",""))),FALSE),IF(ISNUMBER(VALUE(SUBSTITUTE($BE494:$AAL494,"B",""))),1,0),0)))</f>
        <v>5</v>
      </c>
      <c r="AF494" t="str">
        <f t="shared" si="2178"/>
        <v>C25</v>
      </c>
      <c r="AG494" t="str">
        <f t="shared" si="2179"/>
        <v>B25</v>
      </c>
      <c r="AH494" t="str">
        <f t="shared" ref="AH494" si="2508">IF(AI493+AJ493&gt;25,REPLACE(AH493,LEN(AH493),1,VALUE(RIGHT(AH493,1))+1),AH493)</f>
        <v>A6.5</v>
      </c>
      <c r="AI494" s="73" cm="1">
        <f t="array" ref="AI494">IF(COUNTIFS(AH$379:AH494,AH494)=1,"1",VALUE(SUBSTITUTE(INDEX(AI:AI,_xlfn.XMATCH(AH494,AH$1:AH493,0,-1)),"A",""))+INDEX(AJ:AJ,_xlfn.XMATCH(AH494,AH$1:AH493,0,-1))+1)</f>
        <v>24</v>
      </c>
      <c r="AJ494" s="64" cm="1">
        <f t="array" ref="AJ494">SUM(IF(ISNUMBER(FIND("TmDo",$BE$1:$AAL$1)),IF(IFERROR(ISNUMBER(VALUE(SUBSTITUTE($BE494:$AAL494,"B",""))),FALSE),IF(ISNUMBER(VALUE(SUBSTITUTE($BE494:$AAL494,"B",""))),1,0),0)))</f>
        <v>1</v>
      </c>
      <c r="AK494" t="str">
        <f t="shared" si="2451"/>
        <v>24A</v>
      </c>
      <c r="AL494" t="str">
        <f t="shared" si="2452"/>
        <v>24B</v>
      </c>
      <c r="AM494" t="s">
        <v>2653</v>
      </c>
      <c r="AP494" t="s">
        <v>2187</v>
      </c>
      <c r="AQ494" t="s">
        <v>2515</v>
      </c>
      <c r="AS494" t="s">
        <v>396</v>
      </c>
      <c r="AT494" t="s">
        <v>139</v>
      </c>
      <c r="AU494" t="s">
        <v>140</v>
      </c>
      <c r="BD494" s="16"/>
      <c r="GT494" s="27" t="str">
        <f t="shared" ref="GT494" si="2509">CONCATENATE("XT",U494)</f>
        <v>XT50</v>
      </c>
      <c r="GU494" t="str">
        <f t="shared" ref="GU494" si="2510">CONCATENATE("C",REPLACE(AF494,1,1,"")+1)</f>
        <v>C26</v>
      </c>
      <c r="GV494" t="str">
        <f>CONCATENATE("B",REPLACE(AG494,1,1,"")+1)</f>
        <v>B26</v>
      </c>
      <c r="GW494" t="str">
        <f>CONCATENATE("C",REPLACE(GU494,1,1,"")+1)</f>
        <v>C27</v>
      </c>
      <c r="GX494" t="str">
        <f>CONCATENATE("B",REPLACE(GV494,1,1,"")+1)</f>
        <v>B27</v>
      </c>
      <c r="GY494" t="str">
        <f>CONCATENATE("C",REPLACE(GW494,1,1,"")+1)</f>
        <v>C28</v>
      </c>
      <c r="GZ494" t="str">
        <f>CONCATENATE("B",REPLACE(GX494,1,1,"")+1)</f>
        <v>B28</v>
      </c>
      <c r="HA494" t="str">
        <f>CONCATENATE("C",REPLACE(GY494,1,1,"")+1)</f>
        <v>C29</v>
      </c>
      <c r="HB494" t="str">
        <f>CONCATENATE("B",REPLACE(GZ494,1,1,"")+1)</f>
        <v>B29</v>
      </c>
      <c r="HC494" t="str">
        <f>CONCATENATE("C",REPLACE(HA494,1,1,"")+1)</f>
        <v>C30</v>
      </c>
      <c r="HD494" t="str">
        <f>CONCATENATE("B",REPLACE(HB494,1,1,"")+1)</f>
        <v>B30</v>
      </c>
      <c r="HE494" t="str">
        <f>CONCATENATE(REPLACE(AK494,LEN(AK494),1,"")+1,"A")</f>
        <v>25A</v>
      </c>
      <c r="HF494" t="str">
        <f>CONCATENATE(REPLACE(AL494,LEN(AL494),1,"")+1,"B")</f>
        <v>25B</v>
      </c>
      <c r="HG494" t="str">
        <f t="shared" ref="HG494" si="2511">CONCATENATE("AI",REPLACE($X494,1,3,""),"-",AA494)</f>
        <v>AI17-7A</v>
      </c>
      <c r="HH494" t="str">
        <f t="shared" ref="HH494" si="2512">CONCATENATE("AI",REPLACE($X494,1,3,""),"-",AB494)</f>
        <v>AI17-7B</v>
      </c>
      <c r="HI494" t="str">
        <f t="shared" si="2494"/>
        <v>DI9-C25</v>
      </c>
      <c r="HJ494" t="str">
        <f t="shared" si="2494"/>
        <v>DI9-B25</v>
      </c>
      <c r="HK494" t="str">
        <f t="shared" ref="HK494" si="2513">CONCATENATE("DI",REPLACE($AC494,1,3,""),"-",GU494)</f>
        <v>DI9-C26</v>
      </c>
      <c r="HL494" t="str">
        <f t="shared" ref="HL494" si="2514">CONCATENATE("DI",REPLACE($AC494,1,3,""),"-",GV494)</f>
        <v>DI9-B26</v>
      </c>
      <c r="HM494" t="str">
        <f t="shared" ref="HM494" si="2515">CONCATENATE("DI",REPLACE($AC494,1,3,""),"-",GW494)</f>
        <v>DI9-C27</v>
      </c>
      <c r="HN494" t="str">
        <f t="shared" ref="HN494" si="2516">CONCATENATE("DI",REPLACE($AC494,1,3,""),"-",GX494)</f>
        <v>DI9-B27</v>
      </c>
      <c r="HO494" t="str">
        <f t="shared" ref="HO494" si="2517">CONCATENATE("DI",REPLACE($AC494,1,3,""),"-",GY494)</f>
        <v>DI9-C28</v>
      </c>
      <c r="HP494" t="str">
        <f t="shared" ref="HP494" si="2518">CONCATENATE("DI",REPLACE($AC494,1,3,""),"-",GZ494)</f>
        <v>DI9-B28</v>
      </c>
      <c r="HQ494" t="str">
        <f t="shared" ref="HQ494" si="2519">CONCATENATE("DI",REPLACE($AC494,1,3,""),"-",HA494)</f>
        <v>DI9-C29</v>
      </c>
      <c r="HR494" t="str">
        <f t="shared" ref="HR494" si="2520">CONCATENATE("DI",REPLACE($AC494,1,3,""),"-",HB494)</f>
        <v>DI9-B29</v>
      </c>
      <c r="HS494" t="str">
        <f t="shared" ref="HS494" si="2521">CONCATENATE("DI",REPLACE($AC494,1,3,""),"-",HC494)</f>
        <v>DI9-C30</v>
      </c>
      <c r="HT494" t="str">
        <f t="shared" ref="HT494" si="2522">CONCATENATE("DI",REPLACE($AC494,1,3,""),"-",HD494)</f>
        <v>DI9-B30</v>
      </c>
      <c r="HU494" t="str">
        <f t="shared" si="2505"/>
        <v>DO5-24A</v>
      </c>
      <c r="HV494" t="str">
        <f t="shared" si="2505"/>
        <v>DO5-24B</v>
      </c>
      <c r="HW494" t="str">
        <f t="shared" si="2506"/>
        <v>DO5-25A</v>
      </c>
      <c r="HX494" t="str">
        <f t="shared" si="2506"/>
        <v>DO5-25B</v>
      </c>
      <c r="HY494" t="str">
        <f>CONCATENATE("K",$U494,"-01")</f>
        <v>K50-01</v>
      </c>
      <c r="HZ494" t="str">
        <f>CONCATENATE("K",$U494,"-02")</f>
        <v>K50-02</v>
      </c>
      <c r="IA494" t="str">
        <f>CONCATENATE("K",$U494,"-03")</f>
        <v>K50-03</v>
      </c>
      <c r="IB494" t="str">
        <f>CONCATENATE("K",$U494,"-04")</f>
        <v>K50-04</v>
      </c>
      <c r="IC494" t="str">
        <f>CONCATENATE("K",$U494,"-05")</f>
        <v>K50-05</v>
      </c>
      <c r="ID494" t="str">
        <f>CONCATENATE("K",$U494,"-06")</f>
        <v>K50-06</v>
      </c>
      <c r="IE494" t="str">
        <f>CONCATENATE("K",$U494,"-07")</f>
        <v>K50-07</v>
      </c>
      <c r="IF494" t="str">
        <f>CONCATENATE("K",$U494,"-08")</f>
        <v>K50-08</v>
      </c>
      <c r="IG494" t="str">
        <f>CONCATENATE($T494,"-M",$U494,"-AMS-12")</f>
        <v>N1-M50-AMS-12</v>
      </c>
      <c r="IH494" t="str">
        <f>CONCATENATE($T494,"-M",$U494,"-AMS-10")</f>
        <v>N1-M50-AMS-10</v>
      </c>
      <c r="II494" t="str">
        <f>CONCATENATE($T494,"-M",$U494,"-AMS-11")</f>
        <v>N1-M50-AMS-11</v>
      </c>
      <c r="IJ494" t="str">
        <f>CONCATENATE($T494,"-M",$U494,"-AMS-13")</f>
        <v>N1-M50-AMS-13</v>
      </c>
      <c r="IK494" t="str">
        <f>CONCATENATE($T494,"-M",$U494,"-AMS-9")</f>
        <v>N1-M50-AMS-9</v>
      </c>
      <c r="IL494" t="str">
        <f>CONCATENATE($T494,"-M",$U494,"-AMS-7")</f>
        <v>N1-M50-AMS-7</v>
      </c>
      <c r="IM494" t="str">
        <f>CONCATENATE($T494,"-M",$U494,"-AMS-18")</f>
        <v>N1-M50-AMS-18</v>
      </c>
      <c r="IN494" t="str">
        <f>CONCATENATE($T494,"-M",$U494,"-AMS-20")</f>
        <v>N1-M50-AMS-20</v>
      </c>
      <c r="IO494" t="str">
        <f>CONCATENATE($T494,"-M",$U494,"-AMS-17")</f>
        <v>N1-M50-AMS-17</v>
      </c>
      <c r="IP494" t="str">
        <f>CONCATENATE($T494,"-+24-M",$U494,)</f>
        <v>N1-+24-M50</v>
      </c>
      <c r="IQ494" t="str">
        <f>CONCATENATE($T494,"-M",$U494,"-XM01")</f>
        <v>N1-M50-XM01</v>
      </c>
      <c r="IR494" t="s">
        <v>142</v>
      </c>
      <c r="IS494" t="s">
        <v>143</v>
      </c>
      <c r="IT494">
        <v>11</v>
      </c>
      <c r="IU494">
        <v>14</v>
      </c>
      <c r="IV494" t="s">
        <v>413</v>
      </c>
      <c r="IW494" t="s">
        <v>414</v>
      </c>
      <c r="IX494">
        <v>1</v>
      </c>
      <c r="IY494">
        <v>2</v>
      </c>
      <c r="IZ494">
        <v>3</v>
      </c>
      <c r="JA494">
        <v>4</v>
      </c>
      <c r="JB494">
        <v>5</v>
      </c>
      <c r="JC494">
        <v>6</v>
      </c>
      <c r="JD494">
        <v>7</v>
      </c>
      <c r="JE494">
        <v>8</v>
      </c>
      <c r="JF494">
        <v>9</v>
      </c>
      <c r="JG494">
        <v>10</v>
      </c>
      <c r="JH494">
        <v>11</v>
      </c>
      <c r="JI494">
        <v>12</v>
      </c>
      <c r="JJ494">
        <v>13</v>
      </c>
      <c r="JK494">
        <v>14</v>
      </c>
      <c r="JL494">
        <v>17</v>
      </c>
      <c r="JM494">
        <v>15</v>
      </c>
      <c r="JN494">
        <v>18</v>
      </c>
      <c r="JO494">
        <v>11</v>
      </c>
      <c r="JP494">
        <v>9</v>
      </c>
      <c r="JQ494">
        <v>6</v>
      </c>
      <c r="JR494">
        <v>20</v>
      </c>
      <c r="JS494">
        <v>7</v>
      </c>
      <c r="JT494">
        <v>10</v>
      </c>
      <c r="JU494">
        <v>22</v>
      </c>
      <c r="JV494">
        <v>23</v>
      </c>
      <c r="JW494">
        <v>26</v>
      </c>
      <c r="JX494">
        <v>27</v>
      </c>
      <c r="JY494" s="16">
        <v>30</v>
      </c>
    </row>
    <row r="495" spans="1:285" x14ac:dyDescent="0.25">
      <c r="A495" t="s">
        <v>2655</v>
      </c>
      <c r="B495" t="s">
        <v>2654</v>
      </c>
      <c r="P495" t="s">
        <v>391</v>
      </c>
      <c r="T495" s="14" t="s">
        <v>2185</v>
      </c>
      <c r="U495" s="60">
        <f t="shared" si="2485"/>
        <v>51</v>
      </c>
      <c r="V495" s="15" t="s">
        <v>2656</v>
      </c>
      <c r="W495" s="15" t="s">
        <v>2657</v>
      </c>
      <c r="X495" t="str">
        <f>IF(COUNTIF(X$379:X494,X494)&gt;7,REPLACE(X494,LEN(X494),1,VALUE(RIGHT(X494,1))+1),X494)</f>
        <v>A3.17</v>
      </c>
      <c r="Y495" s="43" cm="1">
        <f t="array" ref="Y495">IF(COUNTIFS($X$379:$X495,$X495)=1,"1",VALUE(SUBSTITUTE(INDEX(Y:Y,_xlfn.XMATCH($X495,$X$1:$X494,0,-1)),"A",""))+INDEX(Z:Z,_xlfn.XMATCH($X495,$X$1:$X494,0,-1))+1)</f>
        <v>5</v>
      </c>
      <c r="Z495" s="43" cm="1">
        <f t="array" ref="Z495">SUM(IF(ISNUMBER(FIND("TmAi",$BE$1:$AAL$1)),IF(IFERROR(ISODD(SUBSTITUTE($BE495:$AAL495,"A","")),FALSE),IF(ISODD(SUBSTITUTE($BE495:$AAL495,"A","")),1,0),0)))</f>
        <v>0</v>
      </c>
      <c r="AA495" t="str">
        <f t="shared" si="2486"/>
        <v>9A</v>
      </c>
      <c r="AB495" t="str">
        <f t="shared" si="2487"/>
        <v>9B</v>
      </c>
      <c r="AC495" t="str">
        <f t="shared" ref="AC495" si="2523">IF(AD494+AE494&gt;25,REPLACE(AC494,LEN(AC494),1,VALUE(RIGHT(AC494,1))+1),AC494)</f>
        <v>A5.10</v>
      </c>
      <c r="AD495" s="43" t="str" cm="1">
        <f t="array" ref="AD495">IF(COUNTIFS(AC$379:AC495,AC495)=1,"1",VALUE(SUBSTITUTE(INDEX(AD:AD,_xlfn.XMATCH(AC495,AC$1:AC494,0,-1)),"A",""))+INDEX(AE:AE,_xlfn.XMATCH(AC495,AC$1:AC494,0,-1))+1)</f>
        <v>1</v>
      </c>
      <c r="AE495" s="43" cm="1">
        <f t="array" ref="AE495">SUM(IF(ISNUMBER(FIND("TmDi",$BE$1:$AAL$1)),IF(IFERROR(ISNUMBER(VALUE(SUBSTITUTE($BE495:$AAL495,"B",""))),FALSE),IF(ISNUMBER(VALUE(SUBSTITUTE($BE495:$AAL495,"B",""))),1,0),0)))</f>
        <v>5</v>
      </c>
      <c r="AF495" t="str">
        <f t="shared" si="2178"/>
        <v>C1</v>
      </c>
      <c r="AG495" t="str">
        <f t="shared" si="2179"/>
        <v>B1</v>
      </c>
      <c r="AH495" t="str">
        <f t="shared" ref="AH495" si="2524">IF(AI494+AJ494&gt;25,REPLACE(AH494,LEN(AH494),1,VALUE(RIGHT(AH494,1))+1),AH494)</f>
        <v>A6.5</v>
      </c>
      <c r="AI495" s="73" cm="1">
        <f t="array" ref="AI495">IF(COUNTIFS(AH$379:AH495,AH495)=1,"1",VALUE(SUBSTITUTE(INDEX(AI:AI,_xlfn.XMATCH(AH495,AH$1:AH494,0,-1)),"A",""))+INDEX(AJ:AJ,_xlfn.XMATCH(AH495,AH$1:AH494,0,-1))+1)</f>
        <v>26</v>
      </c>
      <c r="AJ495" s="64" cm="1">
        <f t="array" ref="AJ495">SUM(IF(ISNUMBER(FIND("TmDo",$BE$1:$AAL$1)),IF(IFERROR(ISNUMBER(VALUE(SUBSTITUTE($BE495:$AAL495,"B",""))),FALSE),IF(ISNUMBER(VALUE(SUBSTITUTE($BE495:$AAL495,"B",""))),1,0),0)))</f>
        <v>1</v>
      </c>
      <c r="AK495" t="str">
        <f t="shared" si="2451"/>
        <v>26A</v>
      </c>
      <c r="AL495" t="str">
        <f t="shared" si="2452"/>
        <v>26B</v>
      </c>
      <c r="AM495" t="s">
        <v>2658</v>
      </c>
      <c r="AP495" t="s">
        <v>2187</v>
      </c>
      <c r="AQ495" t="s">
        <v>2515</v>
      </c>
      <c r="AS495" t="s">
        <v>396</v>
      </c>
      <c r="AT495" t="s">
        <v>139</v>
      </c>
      <c r="AU495" t="s">
        <v>140</v>
      </c>
      <c r="BD495" s="16"/>
      <c r="GT495" s="27" t="str">
        <f t="shared" ref="GT495" si="2525">CONCATENATE("XT",U495)</f>
        <v>XT51</v>
      </c>
      <c r="GU495" t="str">
        <f t="shared" ref="GU495" si="2526">CONCATENATE("C",REPLACE(AF495,1,1,"")+1)</f>
        <v>C2</v>
      </c>
      <c r="GV495" t="str">
        <f>CONCATENATE("B",REPLACE(AG495,1,1,"")+1)</f>
        <v>B2</v>
      </c>
      <c r="GW495" t="str">
        <f>CONCATENATE("C",REPLACE(GU495,1,1,"")+1)</f>
        <v>C3</v>
      </c>
      <c r="GX495" t="str">
        <f>CONCATENATE("B",REPLACE(GV495,1,1,"")+1)</f>
        <v>B3</v>
      </c>
      <c r="GY495" t="str">
        <f>CONCATENATE("C",REPLACE(GW495,1,1,"")+1)</f>
        <v>C4</v>
      </c>
      <c r="GZ495" t="str">
        <f>CONCATENATE("B",REPLACE(GX495,1,1,"")+1)</f>
        <v>B4</v>
      </c>
      <c r="HA495" t="str">
        <f>CONCATENATE("C",REPLACE(GY495,1,1,"")+1)</f>
        <v>C5</v>
      </c>
      <c r="HB495" t="str">
        <f>CONCATENATE("B",REPLACE(GZ495,1,1,"")+1)</f>
        <v>B5</v>
      </c>
      <c r="HC495" t="str">
        <f>CONCATENATE("C",REPLACE(HA495,1,1,"")+1)</f>
        <v>C6</v>
      </c>
      <c r="HD495" t="str">
        <f>CONCATENATE("B",REPLACE(HB495,1,1,"")+1)</f>
        <v>B6</v>
      </c>
      <c r="HE495" t="str">
        <f>CONCATENATE(REPLACE(AK495,LEN(AK495),1,"")+1,"A")</f>
        <v>27A</v>
      </c>
      <c r="HF495" t="str">
        <f>CONCATENATE(REPLACE(AL495,LEN(AL495),1,"")+1,"B")</f>
        <v>27B</v>
      </c>
      <c r="HG495" t="str">
        <f t="shared" ref="HG495" si="2527">CONCATENATE("AI",REPLACE($X495,1,3,""),"-",AA495)</f>
        <v>AI17-9A</v>
      </c>
      <c r="HH495" t="str">
        <f t="shared" ref="HH495" si="2528">CONCATENATE("AI",REPLACE($X495,1,3,""),"-",AB495)</f>
        <v>AI17-9B</v>
      </c>
      <c r="HI495" t="str">
        <f t="shared" si="2494"/>
        <v>DI10-C1</v>
      </c>
      <c r="HJ495" t="str">
        <f t="shared" si="2494"/>
        <v>DI10-B1</v>
      </c>
      <c r="HK495" t="str">
        <f t="shared" ref="HK495" si="2529">CONCATENATE("DI",REPLACE($AC495,1,3,""),"-",GU495)</f>
        <v>DI10-C2</v>
      </c>
      <c r="HL495" t="str">
        <f t="shared" ref="HL495" si="2530">CONCATENATE("DI",REPLACE($AC495,1,3,""),"-",GV495)</f>
        <v>DI10-B2</v>
      </c>
      <c r="HM495" t="str">
        <f t="shared" ref="HM495" si="2531">CONCATENATE("DI",REPLACE($AC495,1,3,""),"-",GW495)</f>
        <v>DI10-C3</v>
      </c>
      <c r="HN495" t="str">
        <f t="shared" ref="HN495" si="2532">CONCATENATE("DI",REPLACE($AC495,1,3,""),"-",GX495)</f>
        <v>DI10-B3</v>
      </c>
      <c r="HO495" t="str">
        <f t="shared" ref="HO495" si="2533">CONCATENATE("DI",REPLACE($AC495,1,3,""),"-",GY495)</f>
        <v>DI10-C4</v>
      </c>
      <c r="HP495" t="str">
        <f t="shared" ref="HP495" si="2534">CONCATENATE("DI",REPLACE($AC495,1,3,""),"-",GZ495)</f>
        <v>DI10-B4</v>
      </c>
      <c r="HQ495" t="str">
        <f t="shared" ref="HQ495" si="2535">CONCATENATE("DI",REPLACE($AC495,1,3,""),"-",HA495)</f>
        <v>DI10-C5</v>
      </c>
      <c r="HR495" t="str">
        <f t="shared" ref="HR495" si="2536">CONCATENATE("DI",REPLACE($AC495,1,3,""),"-",HB495)</f>
        <v>DI10-B5</v>
      </c>
      <c r="HS495" t="str">
        <f t="shared" ref="HS495" si="2537">CONCATENATE("DI",REPLACE($AC495,1,3,""),"-",HC495)</f>
        <v>DI10-C6</v>
      </c>
      <c r="HT495" t="str">
        <f t="shared" ref="HT495" si="2538">CONCATENATE("DI",REPLACE($AC495,1,3,""),"-",HD495)</f>
        <v>DI10-B6</v>
      </c>
      <c r="HU495" t="str">
        <f t="shared" si="2505"/>
        <v>DO5-26A</v>
      </c>
      <c r="HV495" t="str">
        <f t="shared" si="2505"/>
        <v>DO5-26B</v>
      </c>
      <c r="HW495" t="str">
        <f t="shared" si="2506"/>
        <v>DO5-27A</v>
      </c>
      <c r="HX495" t="str">
        <f t="shared" si="2506"/>
        <v>DO5-27B</v>
      </c>
      <c r="HY495" t="str">
        <f>CONCATENATE("K",$U495,"-01")</f>
        <v>K51-01</v>
      </c>
      <c r="HZ495" t="str">
        <f>CONCATENATE("K",$U495,"-02")</f>
        <v>K51-02</v>
      </c>
      <c r="IA495" t="str">
        <f>CONCATENATE("K",$U495,"-03")</f>
        <v>K51-03</v>
      </c>
      <c r="IB495" t="str">
        <f>CONCATENATE("K",$U495,"-04")</f>
        <v>K51-04</v>
      </c>
      <c r="IC495" t="str">
        <f>CONCATENATE("K",$U495,"-05")</f>
        <v>K51-05</v>
      </c>
      <c r="ID495" t="str">
        <f>CONCATENATE("K",$U495,"-06")</f>
        <v>K51-06</v>
      </c>
      <c r="IE495" t="str">
        <f>CONCATENATE("K",$U495,"-07")</f>
        <v>K51-07</v>
      </c>
      <c r="IF495" t="str">
        <f>CONCATENATE("K",$U495,"-08")</f>
        <v>K51-08</v>
      </c>
      <c r="IG495" t="str">
        <f>CONCATENATE($T495,"-M",$U495,"-AMS-12")</f>
        <v>N1-M51-AMS-12</v>
      </c>
      <c r="IH495" t="str">
        <f>CONCATENATE($T495,"-M",$U495,"-AMS-10")</f>
        <v>N1-M51-AMS-10</v>
      </c>
      <c r="II495" t="str">
        <f>CONCATENATE($T495,"-M",$U495,"-AMS-11")</f>
        <v>N1-M51-AMS-11</v>
      </c>
      <c r="IJ495" t="str">
        <f>CONCATENATE($T495,"-M",$U495,"-AMS-13")</f>
        <v>N1-M51-AMS-13</v>
      </c>
      <c r="IK495" t="str">
        <f>CONCATENATE($T495,"-M",$U495,"-AMS-9")</f>
        <v>N1-M51-AMS-9</v>
      </c>
      <c r="IL495" t="str">
        <f>CONCATENATE($T495,"-M",$U495,"-AMS-7")</f>
        <v>N1-M51-AMS-7</v>
      </c>
      <c r="IM495" t="str">
        <f>CONCATENATE($T495,"-M",$U495,"-AMS-18")</f>
        <v>N1-M51-AMS-18</v>
      </c>
      <c r="IN495" t="str">
        <f>CONCATENATE($T495,"-M",$U495,"-AMS-20")</f>
        <v>N1-M51-AMS-20</v>
      </c>
      <c r="IO495" t="str">
        <f>CONCATENATE($T495,"-M",$U495,"-AMS-17")</f>
        <v>N1-M51-AMS-17</v>
      </c>
      <c r="IP495" t="str">
        <f>CONCATENATE($T495,"-+24-M",$U495,)</f>
        <v>N1-+24-M51</v>
      </c>
      <c r="IQ495" t="str">
        <f>CONCATENATE($T495,"-M",$U495,"-XM01")</f>
        <v>N1-M51-XM01</v>
      </c>
      <c r="IR495" t="s">
        <v>142</v>
      </c>
      <c r="IS495" t="s">
        <v>143</v>
      </c>
      <c r="IT495">
        <v>11</v>
      </c>
      <c r="IU495">
        <v>14</v>
      </c>
      <c r="IV495" t="s">
        <v>413</v>
      </c>
      <c r="IW495" t="s">
        <v>414</v>
      </c>
      <c r="IX495">
        <v>1</v>
      </c>
      <c r="IY495">
        <v>2</v>
      </c>
      <c r="IZ495">
        <v>3</v>
      </c>
      <c r="JA495">
        <v>4</v>
      </c>
      <c r="JB495">
        <v>5</v>
      </c>
      <c r="JC495">
        <v>6</v>
      </c>
      <c r="JD495">
        <v>7</v>
      </c>
      <c r="JE495">
        <v>8</v>
      </c>
      <c r="JF495">
        <v>9</v>
      </c>
      <c r="JG495">
        <v>10</v>
      </c>
      <c r="JH495">
        <v>11</v>
      </c>
      <c r="JI495">
        <v>12</v>
      </c>
      <c r="JJ495">
        <v>13</v>
      </c>
      <c r="JK495">
        <v>14</v>
      </c>
      <c r="JL495">
        <v>17</v>
      </c>
      <c r="JM495">
        <v>15</v>
      </c>
      <c r="JN495">
        <v>18</v>
      </c>
      <c r="JO495">
        <v>11</v>
      </c>
      <c r="JP495">
        <v>9</v>
      </c>
      <c r="JQ495">
        <v>6</v>
      </c>
      <c r="JR495">
        <v>20</v>
      </c>
      <c r="JS495">
        <v>7</v>
      </c>
      <c r="JT495">
        <v>10</v>
      </c>
      <c r="JU495">
        <v>22</v>
      </c>
      <c r="JV495">
        <v>23</v>
      </c>
      <c r="JW495">
        <v>26</v>
      </c>
      <c r="JX495">
        <v>27</v>
      </c>
      <c r="JY495" s="16">
        <v>30</v>
      </c>
    </row>
    <row r="496" spans="1:285" x14ac:dyDescent="0.25">
      <c r="A496" t="s">
        <v>2660</v>
      </c>
      <c r="B496" t="s">
        <v>2659</v>
      </c>
      <c r="P496" t="s">
        <v>391</v>
      </c>
      <c r="T496" s="14" t="s">
        <v>2185</v>
      </c>
      <c r="U496" s="60">
        <f t="shared" si="2485"/>
        <v>52</v>
      </c>
      <c r="V496" s="15" t="s">
        <v>2661</v>
      </c>
      <c r="W496" s="15" t="s">
        <v>2662</v>
      </c>
      <c r="X496" t="str">
        <f>IF(COUNTIF(X$379:X495,X495)&gt;7,REPLACE(X495,LEN(X495),1,VALUE(RIGHT(X495,1))+1),X495)</f>
        <v>A3.17</v>
      </c>
      <c r="Y496" s="43" cm="1">
        <f t="array" ref="Y496">IF(COUNTIFS($X$379:$X496,$X496)=1,"1",VALUE(SUBSTITUTE(INDEX(Y:Y,_xlfn.XMATCH($X496,$X$1:$X495,0,-1)),"A",""))+INDEX(Z:Z,_xlfn.XMATCH($X496,$X$1:$X495,0,-1))+1)</f>
        <v>6</v>
      </c>
      <c r="Z496" s="43" cm="1">
        <f t="array" ref="Z496">SUM(IF(ISNUMBER(FIND("TmAi",$BE$1:$AAL$1)),IF(IFERROR(ISODD(SUBSTITUTE($BE496:$AAL496,"A","")),FALSE),IF(ISODD(SUBSTITUTE($BE496:$AAL496,"A","")),1,0),0)))</f>
        <v>0</v>
      </c>
      <c r="AA496" t="str">
        <f t="shared" si="2486"/>
        <v>11A</v>
      </c>
      <c r="AB496" t="str">
        <f t="shared" si="2487"/>
        <v>11B</v>
      </c>
      <c r="AC496" t="str">
        <f t="shared" ref="AC496:AC497" si="2539">IF(AD495+AE495&gt;25,REPLACE(AC495,LEN(AC495),1,VALUE(RIGHT(AC495,1))+1),AC495)</f>
        <v>A5.10</v>
      </c>
      <c r="AD496" s="43" cm="1">
        <f t="array" ref="AD496">IF(COUNTIFS(AC$379:AC496,AC496)=1,"1",VALUE(SUBSTITUTE(INDEX(AD:AD,_xlfn.XMATCH(AC496,AC$1:AC495,0,-1)),"A",""))+INDEX(AE:AE,_xlfn.XMATCH(AC496,AC$1:AC495,0,-1))+1)</f>
        <v>7</v>
      </c>
      <c r="AE496" s="43" cm="1">
        <f t="array" ref="AE496">SUM(IF(ISNUMBER(FIND("TmDi",$BE$1:$AAL$1)),IF(IFERROR(ISNUMBER(VALUE(SUBSTITUTE($BE496:$AAL496,"B",""))),FALSE),IF(ISNUMBER(VALUE(SUBSTITUTE($BE496:$AAL496,"B",""))),1,0),0)))</f>
        <v>5</v>
      </c>
      <c r="AF496" t="str">
        <f t="shared" si="2178"/>
        <v>C7</v>
      </c>
      <c r="AG496" t="str">
        <f t="shared" si="2179"/>
        <v>B7</v>
      </c>
      <c r="AH496" t="str">
        <f t="shared" ref="AH496:AH497" si="2540">IF(AI495+AJ495&gt;25,REPLACE(AH495,LEN(AH495),1,VALUE(RIGHT(AH495,1))+1),AH495)</f>
        <v>A6.6</v>
      </c>
      <c r="AI496" s="73" t="str" cm="1">
        <f t="array" ref="AI496">IF(COUNTIFS(AH$379:AH496,AH496)=1,"1",VALUE(SUBSTITUTE(INDEX(AI:AI,_xlfn.XMATCH(AH496,AH$1:AH495,0,-1)),"A",""))+INDEX(AJ:AJ,_xlfn.XMATCH(AH496,AH$1:AH495,0,-1))+1)</f>
        <v>1</v>
      </c>
      <c r="AJ496" s="64" cm="1">
        <f t="array" ref="AJ496">SUM(IF(ISNUMBER(FIND("TmDo",$BE$1:$AAL$1)),IF(IFERROR(ISNUMBER(VALUE(SUBSTITUTE($BE496:$AAL496,"B",""))),FALSE),IF(ISNUMBER(VALUE(SUBSTITUTE($BE496:$AAL496,"B",""))),1,0),0)))</f>
        <v>1</v>
      </c>
      <c r="AK496" t="str">
        <f t="shared" si="2451"/>
        <v>1A</v>
      </c>
      <c r="AL496" t="str">
        <f t="shared" si="2452"/>
        <v>1B</v>
      </c>
      <c r="AM496" t="s">
        <v>474</v>
      </c>
      <c r="AP496" t="s">
        <v>2187</v>
      </c>
      <c r="AQ496" t="s">
        <v>2515</v>
      </c>
      <c r="AS496" t="s">
        <v>396</v>
      </c>
      <c r="AT496" t="s">
        <v>139</v>
      </c>
      <c r="AU496" t="s">
        <v>140</v>
      </c>
      <c r="BD496" s="16"/>
      <c r="GT496" s="27" t="str">
        <f t="shared" ref="GT496" si="2541">CONCATENATE("XT",U496)</f>
        <v>XT52</v>
      </c>
      <c r="GU496" t="str">
        <f t="shared" ref="GU496" si="2542">CONCATENATE("C",REPLACE(AF496,1,1,"")+1)</f>
        <v>C8</v>
      </c>
      <c r="GV496" t="str">
        <f>CONCATENATE("B",REPLACE(AG496,1,1,"")+1)</f>
        <v>B8</v>
      </c>
      <c r="GW496" t="str">
        <f>CONCATENATE("C",REPLACE(GU496,1,1,"")+1)</f>
        <v>C9</v>
      </c>
      <c r="GX496" t="str">
        <f>CONCATENATE("B",REPLACE(GV496,1,1,"")+1)</f>
        <v>B9</v>
      </c>
      <c r="GY496" t="str">
        <f>CONCATENATE("C",REPLACE(GW496,1,1,"")+1)</f>
        <v>C10</v>
      </c>
      <c r="GZ496" t="str">
        <f>CONCATENATE("B",REPLACE(GX496,1,1,"")+1)</f>
        <v>B10</v>
      </c>
      <c r="HA496" t="str">
        <f>CONCATENATE("C",REPLACE(GY496,1,1,"")+1)</f>
        <v>C11</v>
      </c>
      <c r="HB496" t="str">
        <f>CONCATENATE("B",REPLACE(GZ496,1,1,"")+1)</f>
        <v>B11</v>
      </c>
      <c r="HC496" t="str">
        <f>CONCATENATE("C",REPLACE(HA496,1,1,"")+1)</f>
        <v>C12</v>
      </c>
      <c r="HD496" t="str">
        <f>CONCATENATE("B",REPLACE(HB496,1,1,"")+1)</f>
        <v>B12</v>
      </c>
      <c r="HE496" t="str">
        <f>CONCATENATE(REPLACE(AK496,LEN(AK496),1,"")+1,"A")</f>
        <v>2A</v>
      </c>
      <c r="HF496" t="str">
        <f>CONCATENATE(REPLACE(AL496,LEN(AL496),1,"")+1,"B")</f>
        <v>2B</v>
      </c>
      <c r="HG496" t="str">
        <f t="shared" ref="HG496" si="2543">CONCATENATE("AI",REPLACE($X496,1,3,""),"-",AA496)</f>
        <v>AI17-11A</v>
      </c>
      <c r="HH496" t="str">
        <f t="shared" ref="HH496" si="2544">CONCATENATE("AI",REPLACE($X496,1,3,""),"-",AB496)</f>
        <v>AI17-11B</v>
      </c>
      <c r="HI496" t="str">
        <f t="shared" si="2494"/>
        <v>DI10-C7</v>
      </c>
      <c r="HJ496" t="str">
        <f t="shared" si="2494"/>
        <v>DI10-B7</v>
      </c>
      <c r="HK496" t="str">
        <f t="shared" ref="HK496" si="2545">CONCATENATE("DI",REPLACE($AC496,1,3,""),"-",GU496)</f>
        <v>DI10-C8</v>
      </c>
      <c r="HL496" t="str">
        <f t="shared" ref="HL496" si="2546">CONCATENATE("DI",REPLACE($AC496,1,3,""),"-",GV496)</f>
        <v>DI10-B8</v>
      </c>
      <c r="HM496" t="str">
        <f t="shared" ref="HM496" si="2547">CONCATENATE("DI",REPLACE($AC496,1,3,""),"-",GW496)</f>
        <v>DI10-C9</v>
      </c>
      <c r="HN496" t="str">
        <f t="shared" ref="HN496" si="2548">CONCATENATE("DI",REPLACE($AC496,1,3,""),"-",GX496)</f>
        <v>DI10-B9</v>
      </c>
      <c r="HO496" t="str">
        <f t="shared" ref="HO496" si="2549">CONCATENATE("DI",REPLACE($AC496,1,3,""),"-",GY496)</f>
        <v>DI10-C10</v>
      </c>
      <c r="HP496" t="str">
        <f t="shared" ref="HP496" si="2550">CONCATENATE("DI",REPLACE($AC496,1,3,""),"-",GZ496)</f>
        <v>DI10-B10</v>
      </c>
      <c r="HQ496" t="str">
        <f t="shared" ref="HQ496" si="2551">CONCATENATE("DI",REPLACE($AC496,1,3,""),"-",HA496)</f>
        <v>DI10-C11</v>
      </c>
      <c r="HR496" t="str">
        <f t="shared" ref="HR496" si="2552">CONCATENATE("DI",REPLACE($AC496,1,3,""),"-",HB496)</f>
        <v>DI10-B11</v>
      </c>
      <c r="HS496" t="str">
        <f t="shared" ref="HS496" si="2553">CONCATENATE("DI",REPLACE($AC496,1,3,""),"-",HC496)</f>
        <v>DI10-C12</v>
      </c>
      <c r="HT496" t="str">
        <f t="shared" ref="HT496" si="2554">CONCATENATE("DI",REPLACE($AC496,1,3,""),"-",HD496)</f>
        <v>DI10-B12</v>
      </c>
      <c r="HU496" t="str">
        <f t="shared" si="2505"/>
        <v>DO6-1A</v>
      </c>
      <c r="HV496" t="str">
        <f t="shared" si="2505"/>
        <v>DO6-1B</v>
      </c>
      <c r="HW496" t="str">
        <f t="shared" si="2506"/>
        <v>DO6-2A</v>
      </c>
      <c r="HX496" t="str">
        <f t="shared" si="2506"/>
        <v>DO6-2B</v>
      </c>
      <c r="HY496" t="str">
        <f>CONCATENATE("K",$U496,"-01")</f>
        <v>K52-01</v>
      </c>
      <c r="HZ496" t="str">
        <f>CONCATENATE("K",$U496,"-02")</f>
        <v>K52-02</v>
      </c>
      <c r="IA496" t="str">
        <f>CONCATENATE("K",$U496,"-03")</f>
        <v>K52-03</v>
      </c>
      <c r="IB496" t="str">
        <f>CONCATENATE("K",$U496,"-04")</f>
        <v>K52-04</v>
      </c>
      <c r="IC496" t="str">
        <f>CONCATENATE("K",$U496,"-05")</f>
        <v>K52-05</v>
      </c>
      <c r="ID496" t="str">
        <f>CONCATENATE("K",$U496,"-06")</f>
        <v>K52-06</v>
      </c>
      <c r="IE496" t="str">
        <f>CONCATENATE("K",$U496,"-07")</f>
        <v>K52-07</v>
      </c>
      <c r="IF496" t="str">
        <f>CONCATENATE("K",$U496,"-08")</f>
        <v>K52-08</v>
      </c>
      <c r="IG496" t="str">
        <f>CONCATENATE($T496,"-M",$U496,"-AMS-12")</f>
        <v>N1-M52-AMS-12</v>
      </c>
      <c r="IH496" t="str">
        <f>CONCATENATE($T496,"-M",$U496,"-AMS-10")</f>
        <v>N1-M52-AMS-10</v>
      </c>
      <c r="II496" t="str">
        <f>CONCATENATE($T496,"-M",$U496,"-AMS-11")</f>
        <v>N1-M52-AMS-11</v>
      </c>
      <c r="IJ496" t="str">
        <f>CONCATENATE($T496,"-M",$U496,"-AMS-13")</f>
        <v>N1-M52-AMS-13</v>
      </c>
      <c r="IK496" t="str">
        <f>CONCATENATE($T496,"-M",$U496,"-AMS-9")</f>
        <v>N1-M52-AMS-9</v>
      </c>
      <c r="IL496" t="str">
        <f>CONCATENATE($T496,"-M",$U496,"-AMS-7")</f>
        <v>N1-M52-AMS-7</v>
      </c>
      <c r="IM496" t="str">
        <f>CONCATENATE($T496,"-M",$U496,"-AMS-18")</f>
        <v>N1-M52-AMS-18</v>
      </c>
      <c r="IN496" t="str">
        <f>CONCATENATE($T496,"-M",$U496,"-AMS-20")</f>
        <v>N1-M52-AMS-20</v>
      </c>
      <c r="IO496" t="str">
        <f>CONCATENATE($T496,"-M",$U496,"-AMS-17")</f>
        <v>N1-M52-AMS-17</v>
      </c>
      <c r="IP496" t="str">
        <f>CONCATENATE($T496,"-+24-M",$U496,)</f>
        <v>N1-+24-M52</v>
      </c>
      <c r="IQ496" t="str">
        <f>CONCATENATE($T496,"-M",$U496,"-XM01")</f>
        <v>N1-M52-XM01</v>
      </c>
      <c r="IR496" t="s">
        <v>142</v>
      </c>
      <c r="IS496" t="s">
        <v>143</v>
      </c>
      <c r="IT496">
        <v>11</v>
      </c>
      <c r="IU496">
        <v>14</v>
      </c>
      <c r="IV496" t="s">
        <v>413</v>
      </c>
      <c r="IW496" t="s">
        <v>414</v>
      </c>
      <c r="IX496">
        <v>1</v>
      </c>
      <c r="IY496">
        <v>2</v>
      </c>
      <c r="IZ496">
        <v>3</v>
      </c>
      <c r="JA496">
        <v>4</v>
      </c>
      <c r="JB496">
        <v>5</v>
      </c>
      <c r="JC496">
        <v>6</v>
      </c>
      <c r="JD496">
        <v>7</v>
      </c>
      <c r="JE496">
        <v>8</v>
      </c>
      <c r="JF496">
        <v>9</v>
      </c>
      <c r="JG496">
        <v>10</v>
      </c>
      <c r="JH496">
        <v>11</v>
      </c>
      <c r="JI496">
        <v>12</v>
      </c>
      <c r="JJ496">
        <v>13</v>
      </c>
      <c r="JK496">
        <v>14</v>
      </c>
      <c r="JL496">
        <v>17</v>
      </c>
      <c r="JM496">
        <v>15</v>
      </c>
      <c r="JN496">
        <v>18</v>
      </c>
      <c r="JO496">
        <v>11</v>
      </c>
      <c r="JP496">
        <v>9</v>
      </c>
      <c r="JQ496">
        <v>6</v>
      </c>
      <c r="JR496">
        <v>20</v>
      </c>
      <c r="JS496">
        <v>7</v>
      </c>
      <c r="JT496">
        <v>10</v>
      </c>
      <c r="JU496">
        <v>22</v>
      </c>
      <c r="JV496">
        <v>23</v>
      </c>
      <c r="JW496">
        <v>26</v>
      </c>
      <c r="JX496">
        <v>27</v>
      </c>
      <c r="JY496" s="16">
        <v>30</v>
      </c>
    </row>
    <row r="497" spans="1:356" ht="15.75" thickBot="1" x14ac:dyDescent="0.3">
      <c r="A497" s="67" t="s">
        <v>2664</v>
      </c>
      <c r="B497" t="s">
        <v>2665</v>
      </c>
      <c r="C497" s="3"/>
      <c r="O497" s="2"/>
      <c r="P497" t="s">
        <v>129</v>
      </c>
      <c r="Q497" s="1"/>
      <c r="S497" s="1" t="s">
        <v>130</v>
      </c>
      <c r="T497" s="14" t="s">
        <v>2185</v>
      </c>
      <c r="U497" s="60">
        <f t="shared" si="2485"/>
        <v>53</v>
      </c>
      <c r="V497" s="15" t="s">
        <v>2663</v>
      </c>
      <c r="W497" s="15"/>
      <c r="AC497" t="str">
        <f t="shared" si="2539"/>
        <v>A5.10</v>
      </c>
      <c r="AD497" s="43" cm="1">
        <f t="array" ref="AD497">IF(COUNTIFS(AC$379:AC497,AC497)=1,"1",VALUE(SUBSTITUTE(INDEX(AD:AD,_xlfn.XMATCH(AC497,AC$1:AC496,0,-1)),"A",""))+INDEX(AE:AE,_xlfn.XMATCH(AC497,AC$1:AC496,0,-1))+1)</f>
        <v>13</v>
      </c>
      <c r="AE497" s="43" cm="1">
        <f t="array" ref="AE497">SUM(IF(ISNUMBER(FIND("TmDi",$BE$1:$AAL$1)),IF(IFERROR(ISNUMBER(VALUE(SUBSTITUTE($BE497:$AAL497,"B",""))),FALSE),IF(ISNUMBER(VALUE(SUBSTITUTE($BE497:$AAL497,"B",""))),1,0),0)))</f>
        <v>5</v>
      </c>
      <c r="AF497" t="str">
        <f t="shared" si="2178"/>
        <v>C13</v>
      </c>
      <c r="AG497" t="str">
        <f t="shared" si="2179"/>
        <v>B13</v>
      </c>
      <c r="AH497" t="str">
        <f t="shared" si="2540"/>
        <v>A6.6</v>
      </c>
      <c r="AI497" s="73" cm="1">
        <f t="array" ref="AI497">IF(COUNTIFS(AH$379:AH497,AH497)=1,"1",VALUE(SUBSTITUTE(INDEX(AI:AI,_xlfn.XMATCH(AH497,AH$1:AH496,0,-1)),"A",""))+INDEX(AJ:AJ,_xlfn.XMATCH(AH497,AH$1:AH496,0,-1))+1)</f>
        <v>3</v>
      </c>
      <c r="AJ497" s="64" cm="1">
        <f t="array" ref="AJ497">SUM(IF(ISNUMBER(FIND("TmDo",$BE$1:$AAL$1)),IF(IFERROR(ISNUMBER(VALUE(SUBSTITUTE($BE497:$AAL497,"B",""))),FALSE),IF(ISNUMBER(VALUE(SUBSTITUTE($BE497:$AAL497,"B",""))),1,0),0)))</f>
        <v>2</v>
      </c>
      <c r="AK497" t="str">
        <f t="shared" si="2451"/>
        <v>3A</v>
      </c>
      <c r="AL497" t="str">
        <f t="shared" si="2452"/>
        <v>3B</v>
      </c>
      <c r="AM497" t="s">
        <v>475</v>
      </c>
      <c r="AP497" t="s">
        <v>2187</v>
      </c>
      <c r="AQ497" t="s">
        <v>2515</v>
      </c>
      <c r="AT497" t="s">
        <v>139</v>
      </c>
      <c r="AU497" t="s">
        <v>140</v>
      </c>
      <c r="BD497" s="16"/>
      <c r="BE497" s="28" t="str">
        <f t="shared" ref="BE497" si="2555">CONCATENATE("XT",U497)</f>
        <v>XT53</v>
      </c>
      <c r="BF497" s="19" t="str">
        <f t="shared" ref="BF497" si="2556">CONCATENATE("C",REPLACE(AF497,1,1,"")+1)</f>
        <v>C14</v>
      </c>
      <c r="BG497" s="19" t="str">
        <f t="shared" ref="BG497" si="2557">CONCATENATE("B",REPLACE(AG497,1,1,"")+1)</f>
        <v>B14</v>
      </c>
      <c r="BH497" s="19" t="str">
        <f t="shared" ref="BH497" si="2558">CONCATENATE("C",REPLACE(BF497,1,1,"")+1)</f>
        <v>C15</v>
      </c>
      <c r="BI497" s="19" t="str">
        <f t="shared" ref="BI497" si="2559">CONCATENATE("B",REPLACE(BG497,1,1,"")+1)</f>
        <v>B15</v>
      </c>
      <c r="BJ497" s="19" t="str">
        <f t="shared" ref="BJ497" si="2560">CONCATENATE("C",REPLACE(BH497,1,1,"")+1)</f>
        <v>C16</v>
      </c>
      <c r="BK497" s="19" t="str">
        <f t="shared" ref="BK497" si="2561">CONCATENATE("B",REPLACE(BI497,1,1,"")+1)</f>
        <v>B16</v>
      </c>
      <c r="BL497" s="19" t="str">
        <f t="shared" ref="BL497" si="2562">CONCATENATE("C",REPLACE(BJ497,1,1,"")+1)</f>
        <v>C17</v>
      </c>
      <c r="BM497" s="19" t="str">
        <f t="shared" ref="BM497" si="2563">CONCATENATE("B",REPLACE(BK497,1,1,"")+1)</f>
        <v>B17</v>
      </c>
      <c r="BN497" s="19" t="str">
        <f t="shared" ref="BN497" si="2564">CONCATENATE("C",REPLACE(BL497,1,1,"")+1)</f>
        <v>C18</v>
      </c>
      <c r="BO497" s="19" t="str">
        <f t="shared" ref="BO497" si="2565">CONCATENATE("B",REPLACE(BM497,1,1,"")+1)</f>
        <v>B18</v>
      </c>
      <c r="BP497" s="19" t="str">
        <f>CONCATENATE(REPLACE(AK497,LEN(AK497),1,"")+1,"A")</f>
        <v>4A</v>
      </c>
      <c r="BQ497" s="19" t="str">
        <f>CONCATENATE(REPLACE(AL497,LEN(AL497),1,"")+1,"B")</f>
        <v>4B</v>
      </c>
      <c r="BR497" s="19" t="str">
        <f>CONCATENATE(REPLACE(BP497,LEN(BP497),1,"")+1,"A")</f>
        <v>5A</v>
      </c>
      <c r="BS497" s="19" t="str">
        <f>CONCATENATE(REPLACE(BQ497,LEN(BQ497),1,"")+1,"B")</f>
        <v>5B</v>
      </c>
      <c r="BT497" s="19" t="str">
        <f t="shared" ref="BT497" si="2566">CONCATENATE("DI",REPLACE($AC497,1,3,""),"-",AF497)</f>
        <v>DI10-C13</v>
      </c>
      <c r="BU497" s="19" t="str">
        <f t="shared" ref="BU497" si="2567">CONCATENATE("DI",REPLACE($AC497,1,3,""),"-",AG497)</f>
        <v>DI10-B13</v>
      </c>
      <c r="BV497" s="19" t="str">
        <f t="shared" ref="BV497" si="2568">CONCATENATE("DI",REPLACE($AC497,1,3,""),"-",BF497)</f>
        <v>DI10-C14</v>
      </c>
      <c r="BW497" s="19" t="str">
        <f t="shared" ref="BW497" si="2569">CONCATENATE("DI",REPLACE($AC497,1,3,""),"-",BG497)</f>
        <v>DI10-B14</v>
      </c>
      <c r="BX497" s="19" t="str">
        <f t="shared" ref="BX497" si="2570">CONCATENATE("DI",REPLACE($AC497,1,3,""),"-",BH497)</f>
        <v>DI10-C15</v>
      </c>
      <c r="BY497" s="19" t="str">
        <f t="shared" ref="BY497" si="2571">CONCATENATE("DI",REPLACE($AC497,1,3,""),"-",BI497)</f>
        <v>DI10-B15</v>
      </c>
      <c r="BZ497" s="19" t="str">
        <f t="shared" ref="BZ497" si="2572">CONCATENATE("DI",REPLACE($AC497,1,3,""),"-",BJ497)</f>
        <v>DI10-C16</v>
      </c>
      <c r="CA497" s="19" t="str">
        <f t="shared" ref="CA497" si="2573">CONCATENATE("DI",REPLACE($AC497,1,3,""),"-",BK497)</f>
        <v>DI10-B16</v>
      </c>
      <c r="CB497" s="19" t="str">
        <f t="shared" ref="CB497" si="2574">CONCATENATE("DI",REPLACE($AC497,1,3,""),"-",BL497)</f>
        <v>DI10-C17</v>
      </c>
      <c r="CC497" s="19" t="str">
        <f t="shared" ref="CC497" si="2575">CONCATENATE("DI",REPLACE($AC497,1,3,""),"-",BM497)</f>
        <v>DI10-B17</v>
      </c>
      <c r="CD497" s="19" t="str">
        <f t="shared" ref="CD497" si="2576">CONCATENATE("DI",REPLACE($AC497,1,3,""),"-",BN497)</f>
        <v>DI10-C18</v>
      </c>
      <c r="CE497" s="19" t="str">
        <f t="shared" ref="CE497" si="2577">CONCATENATE("DI",REPLACE($AC497,1,3,""),"-",BO497)</f>
        <v>DI10-B18</v>
      </c>
      <c r="CF497" s="19" t="str">
        <f t="shared" ref="CF497" si="2578">CONCATENATE("DO",REPLACE($AH497,1,3,""),"-",AK497)</f>
        <v>DO6-3A</v>
      </c>
      <c r="CG497" s="19" t="str">
        <f t="shared" ref="CG497" si="2579">CONCATENATE("DO",REPLACE($AH497,1,3,""),"-",AL497)</f>
        <v>DO6-3B</v>
      </c>
      <c r="CH497" s="19" t="str">
        <f t="shared" ref="CH497" si="2580">CONCATENATE("DO",REPLACE($AH497,1,3,""),"-",BP497)</f>
        <v>DO6-4A</v>
      </c>
      <c r="CI497" s="19" t="str">
        <f t="shared" ref="CI497" si="2581">CONCATENATE("DO",REPLACE($AH497,1,3,""),"-",BQ497)</f>
        <v>DO6-4B</v>
      </c>
      <c r="CJ497" s="19" t="str">
        <f t="shared" ref="CJ497" si="2582">CONCATENATE("DO",REPLACE($AH497,1,3,""),"-",BR497)</f>
        <v>DO6-5A</v>
      </c>
      <c r="CK497" s="19" t="str">
        <f t="shared" ref="CK497" si="2583">CONCATENATE("DO",REPLACE($AH497,1,3,""),"-",BS497)</f>
        <v>DO6-5B</v>
      </c>
      <c r="CL497" s="19" t="str">
        <f t="shared" ref="CL497:CL501" si="2584">CONCATENATE("K",$U497,"-10")</f>
        <v>K53-10</v>
      </c>
      <c r="CM497" s="19" t="str">
        <f t="shared" ref="CM497:CM501" si="2585">CONCATENATE("K",$U497,"-03")</f>
        <v>K53-03</v>
      </c>
      <c r="CN497" s="19" t="str">
        <f t="shared" ref="CN497:CN501" si="2586">CONCATENATE("K",$U497,"-04")</f>
        <v>K53-04</v>
      </c>
      <c r="CO497" s="19" t="str">
        <f t="shared" ref="CO497:CO501" si="2587">CONCATENATE("K",$U497,"-01")</f>
        <v>K53-01</v>
      </c>
      <c r="CP497" s="19" t="str">
        <f t="shared" ref="CP497:CP501" si="2588">CONCATENATE("K",$U497,"-08")</f>
        <v>K53-08</v>
      </c>
      <c r="CQ497" s="19" t="str">
        <f t="shared" ref="CQ497:CQ501" si="2589">CONCATENATE("K",$U497,"-02")</f>
        <v>K53-02</v>
      </c>
      <c r="CR497" s="19" t="str">
        <f t="shared" ref="CR497:CR501" si="2590">CONCATENATE("K",$U497,"-09")</f>
        <v>K53-09</v>
      </c>
      <c r="CS497" s="19" t="str">
        <f t="shared" ref="CS497:CS501" si="2591">CONCATENATE("K",$U497,"-05")</f>
        <v>K53-05</v>
      </c>
      <c r="CT497" s="19" t="str">
        <f t="shared" ref="CT497:CT501" si="2592">CONCATENATE("K",$U497,"-11")</f>
        <v>K53-11</v>
      </c>
      <c r="CU497" s="19" t="str">
        <f t="shared" ref="CU497:CU501" si="2593">CONCATENATE($T497,"-M",$U497,"-A9")</f>
        <v>N1-M53-A9</v>
      </c>
      <c r="CV497" s="19" t="str">
        <f t="shared" ref="CV497:CV501" si="2594">CONCATENATE($T497,"-M",$U497,"-A7")</f>
        <v>N1-M53-A7</v>
      </c>
      <c r="CW497" s="19" t="str">
        <f t="shared" ref="CW497:CW501" si="2595">CONCATENATE($T497,"-M",$U497,"-A8")</f>
        <v>N1-M53-A8</v>
      </c>
      <c r="CX497" s="19" t="str">
        <f t="shared" ref="CX497:CX501" si="2596">CONCATENATE($T497,"-M",$U497,"-A6")</f>
        <v>N1-M53-A6</v>
      </c>
      <c r="CY497" s="19" t="str">
        <f t="shared" ref="CY497:CY501" si="2597">CONCATENATE($T497,"-M",$U497,"-A30")</f>
        <v>N1-M53-A30</v>
      </c>
      <c r="CZ497" s="19" t="str">
        <f t="shared" ref="CZ497:CZ501" si="2598">CONCATENATE($T497,"-M",$U497,"-N")</f>
        <v>N1-M53-N</v>
      </c>
      <c r="DA497" s="19" t="str">
        <f t="shared" ref="DA497" si="2599">CONCATENATE($T497,"-A220-M",U497)</f>
        <v>N1-A220-M53</v>
      </c>
      <c r="DB497" s="19" t="str">
        <f t="shared" ref="DB497:DB501" si="2600">CONCATENATE($T497,"-M",$U497,"-XM01")</f>
        <v>N1-M53-XM01</v>
      </c>
      <c r="DC497" s="19" t="str">
        <f t="shared" ref="DC497:DC501" si="2601">CONCATENATE($T497,"-M",$U497,"-A1")</f>
        <v>N1-M53-A1</v>
      </c>
      <c r="DD497" s="19" t="str">
        <f t="shared" ref="DD497:DD501" si="2602">CONCATENATE($T497,"-M",$U497,"-A5")</f>
        <v>N1-M53-A5</v>
      </c>
      <c r="DE497" s="19" t="str">
        <f t="shared" ref="DE497:DE501" si="2603">CONCATENATE($T497,"-M",$U497,"-A11")</f>
        <v>N1-M53-A11</v>
      </c>
      <c r="DF497" s="19" t="str">
        <f t="shared" ref="DF497:DF501" si="2604">CONCATENATE($T497,"-M",$U497,"-A12")</f>
        <v>N1-M53-A12</v>
      </c>
      <c r="DG497" s="19" t="str">
        <f t="shared" ref="DG497:DG501" si="2605">CONCATENATE($T497,"-M",$U497,"-A19")</f>
        <v>N1-M53-A19</v>
      </c>
      <c r="DH497" s="19" t="str">
        <f t="shared" ref="DH497:DH501" si="2606">CONCATENATE($T497,"-M",$U497,"-A20")</f>
        <v>N1-M53-A20</v>
      </c>
      <c r="DI497" s="19" t="s">
        <v>142</v>
      </c>
      <c r="DJ497" s="19" t="s">
        <v>143</v>
      </c>
      <c r="DK497" s="19">
        <v>11</v>
      </c>
      <c r="DL497" s="19">
        <v>14</v>
      </c>
      <c r="DM497" s="19">
        <v>12</v>
      </c>
      <c r="DN497" s="19" t="s">
        <v>144</v>
      </c>
      <c r="DO497" s="19" t="s">
        <v>145</v>
      </c>
      <c r="DP497" s="19">
        <v>1</v>
      </c>
      <c r="DQ497" s="19">
        <v>2</v>
      </c>
      <c r="DR497" s="19">
        <v>3</v>
      </c>
      <c r="DS497" s="19">
        <v>4</v>
      </c>
      <c r="DT497" s="19">
        <v>5</v>
      </c>
      <c r="DU497" s="19">
        <v>6</v>
      </c>
      <c r="DV497" s="19">
        <v>7</v>
      </c>
      <c r="DW497" s="19">
        <v>8</v>
      </c>
      <c r="DX497" s="19">
        <v>9</v>
      </c>
      <c r="DY497" s="19">
        <v>10</v>
      </c>
      <c r="DZ497" s="19">
        <v>11</v>
      </c>
      <c r="EA497" s="19">
        <v>12</v>
      </c>
      <c r="EB497" s="19">
        <v>13</v>
      </c>
      <c r="EC497" s="19">
        <v>14</v>
      </c>
      <c r="ED497" s="19">
        <v>1</v>
      </c>
      <c r="EE497" s="19">
        <v>3</v>
      </c>
      <c r="EF497" s="19">
        <v>4</v>
      </c>
      <c r="EG497" s="19">
        <v>7</v>
      </c>
      <c r="EH497" s="19">
        <v>8</v>
      </c>
      <c r="EI497" s="19">
        <v>9</v>
      </c>
      <c r="EJ497" s="19">
        <v>10</v>
      </c>
      <c r="EK497" s="19">
        <v>13</v>
      </c>
      <c r="EL497" s="19">
        <v>14</v>
      </c>
      <c r="EM497" s="19">
        <v>15</v>
      </c>
      <c r="EN497" s="19">
        <v>16</v>
      </c>
      <c r="EO497" s="19">
        <v>22</v>
      </c>
      <c r="EP497" s="19">
        <v>23</v>
      </c>
      <c r="EQ497" s="20">
        <v>24</v>
      </c>
    </row>
    <row r="498" spans="1:356" ht="15.75" thickBot="1" x14ac:dyDescent="0.3">
      <c r="A498" s="67" t="s">
        <v>2667</v>
      </c>
      <c r="B498" t="s">
        <v>2666</v>
      </c>
      <c r="C498" s="3"/>
      <c r="O498" s="2"/>
      <c r="P498" t="s">
        <v>129</v>
      </c>
      <c r="Q498" s="1"/>
      <c r="S498" s="1" t="s">
        <v>130</v>
      </c>
      <c r="T498" s="14" t="s">
        <v>2185</v>
      </c>
      <c r="U498" s="60">
        <f t="shared" si="2485"/>
        <v>54</v>
      </c>
      <c r="V498" s="15" t="s">
        <v>2668</v>
      </c>
      <c r="W498" s="15"/>
      <c r="AC498" t="str">
        <f t="shared" ref="AC498:AC499" si="2607">IF(AD497+AE497&gt;25,REPLACE(AC497,LEN(AC497),1,VALUE(RIGHT(AC497,1))+1),AC497)</f>
        <v>A5.10</v>
      </c>
      <c r="AD498" s="43" cm="1">
        <f t="array" ref="AD498">IF(COUNTIFS(AC$379:AC498,AC498)=1,"1",VALUE(SUBSTITUTE(INDEX(AD:AD,_xlfn.XMATCH(AC498,AC$1:AC497,0,-1)),"A",""))+INDEX(AE:AE,_xlfn.XMATCH(AC498,AC$1:AC497,0,-1))+1)</f>
        <v>19</v>
      </c>
      <c r="AE498" s="43" cm="1">
        <f t="array" ref="AE498">SUM(IF(ISNUMBER(FIND("TmDi",$BE$1:$AAL$1)),IF(IFERROR(ISNUMBER(VALUE(SUBSTITUTE($BE498:$AAL498,"B",""))),FALSE),IF(ISNUMBER(VALUE(SUBSTITUTE($BE498:$AAL498,"B",""))),1,0),0)))</f>
        <v>5</v>
      </c>
      <c r="AF498" t="str">
        <f t="shared" si="2178"/>
        <v>C19</v>
      </c>
      <c r="AG498" t="str">
        <f t="shared" si="2179"/>
        <v>B19</v>
      </c>
      <c r="AH498" t="str">
        <f t="shared" ref="AH498:AH499" si="2608">IF(AI497+AJ497&gt;25,REPLACE(AH497,LEN(AH497),1,VALUE(RIGHT(AH497,1))+1),AH497)</f>
        <v>A6.6</v>
      </c>
      <c r="AI498" s="73" cm="1">
        <f t="array" ref="AI498">IF(COUNTIFS(AH$379:AH498,AH498)=1,"1",VALUE(SUBSTITUTE(INDEX(AI:AI,_xlfn.XMATCH(AH498,AH$1:AH497,0,-1)),"A",""))+INDEX(AJ:AJ,_xlfn.XMATCH(AH498,AH$1:AH497,0,-1))+1)</f>
        <v>6</v>
      </c>
      <c r="AJ498" s="64" cm="1">
        <f t="array" ref="AJ498">SUM(IF(ISNUMBER(FIND("TmDo",$BE$1:$AAL$1)),IF(IFERROR(ISNUMBER(VALUE(SUBSTITUTE($BE498:$AAL498,"B",""))),FALSE),IF(ISNUMBER(VALUE(SUBSTITUTE($BE498:$AAL498,"B",""))),1,0),0)))</f>
        <v>2</v>
      </c>
      <c r="AK498" t="str">
        <f t="shared" si="2451"/>
        <v>6A</v>
      </c>
      <c r="AL498" t="str">
        <f t="shared" si="2452"/>
        <v>6B</v>
      </c>
      <c r="AM498" t="s">
        <v>2669</v>
      </c>
      <c r="AP498" t="s">
        <v>2187</v>
      </c>
      <c r="AQ498" t="s">
        <v>2515</v>
      </c>
      <c r="AT498" t="s">
        <v>139</v>
      </c>
      <c r="AU498" t="s">
        <v>140</v>
      </c>
      <c r="BD498" s="16"/>
      <c r="BE498" s="28" t="str">
        <f t="shared" ref="BE498" si="2609">CONCATENATE("XT",U498)</f>
        <v>XT54</v>
      </c>
      <c r="BF498" s="19" t="str">
        <f t="shared" ref="BF498" si="2610">CONCATENATE("C",REPLACE(AF498,1,1,"")+1)</f>
        <v>C20</v>
      </c>
      <c r="BG498" s="19" t="str">
        <f t="shared" ref="BG498" si="2611">CONCATENATE("B",REPLACE(AG498,1,1,"")+1)</f>
        <v>B20</v>
      </c>
      <c r="BH498" s="19" t="str">
        <f t="shared" ref="BH498" si="2612">CONCATENATE("C",REPLACE(BF498,1,1,"")+1)</f>
        <v>C21</v>
      </c>
      <c r="BI498" s="19" t="str">
        <f t="shared" ref="BI498" si="2613">CONCATENATE("B",REPLACE(BG498,1,1,"")+1)</f>
        <v>B21</v>
      </c>
      <c r="BJ498" s="19" t="str">
        <f t="shared" ref="BJ498" si="2614">CONCATENATE("C",REPLACE(BH498,1,1,"")+1)</f>
        <v>C22</v>
      </c>
      <c r="BK498" s="19" t="str">
        <f t="shared" ref="BK498" si="2615">CONCATENATE("B",REPLACE(BI498,1,1,"")+1)</f>
        <v>B22</v>
      </c>
      <c r="BL498" s="19" t="str">
        <f t="shared" ref="BL498" si="2616">CONCATENATE("C",REPLACE(BJ498,1,1,"")+1)</f>
        <v>C23</v>
      </c>
      <c r="BM498" s="19" t="str">
        <f t="shared" ref="BM498" si="2617">CONCATENATE("B",REPLACE(BK498,1,1,"")+1)</f>
        <v>B23</v>
      </c>
      <c r="BN498" s="19" t="str">
        <f t="shared" ref="BN498" si="2618">CONCATENATE("C",REPLACE(BL498,1,1,"")+1)</f>
        <v>C24</v>
      </c>
      <c r="BO498" s="19" t="str">
        <f t="shared" ref="BO498" si="2619">CONCATENATE("B",REPLACE(BM498,1,1,"")+1)</f>
        <v>B24</v>
      </c>
      <c r="BP498" s="19" t="str">
        <f>CONCATENATE(REPLACE(AK498,LEN(AK498),1,"")+1,"A")</f>
        <v>7A</v>
      </c>
      <c r="BQ498" s="19" t="str">
        <f>CONCATENATE(REPLACE(AL498,LEN(AL498),1,"")+1,"B")</f>
        <v>7B</v>
      </c>
      <c r="BR498" s="19" t="str">
        <f>CONCATENATE(REPLACE(BP498,LEN(BP498),1,"")+1,"A")</f>
        <v>8A</v>
      </c>
      <c r="BS498" s="19" t="str">
        <f>CONCATENATE(REPLACE(BQ498,LEN(BQ498),1,"")+1,"B")</f>
        <v>8B</v>
      </c>
      <c r="BT498" s="19" t="str">
        <f t="shared" ref="BT498" si="2620">CONCATENATE("DI",REPLACE($AC498,1,3,""),"-",AF498)</f>
        <v>DI10-C19</v>
      </c>
      <c r="BU498" s="19" t="str">
        <f t="shared" ref="BU498" si="2621">CONCATENATE("DI",REPLACE($AC498,1,3,""),"-",AG498)</f>
        <v>DI10-B19</v>
      </c>
      <c r="BV498" s="19" t="str">
        <f t="shared" ref="BV498" si="2622">CONCATENATE("DI",REPLACE($AC498,1,3,""),"-",BF498)</f>
        <v>DI10-C20</v>
      </c>
      <c r="BW498" s="19" t="str">
        <f t="shared" ref="BW498" si="2623">CONCATENATE("DI",REPLACE($AC498,1,3,""),"-",BG498)</f>
        <v>DI10-B20</v>
      </c>
      <c r="BX498" s="19" t="str">
        <f t="shared" ref="BX498" si="2624">CONCATENATE("DI",REPLACE($AC498,1,3,""),"-",BH498)</f>
        <v>DI10-C21</v>
      </c>
      <c r="BY498" s="19" t="str">
        <f t="shared" ref="BY498" si="2625">CONCATENATE("DI",REPLACE($AC498,1,3,""),"-",BI498)</f>
        <v>DI10-B21</v>
      </c>
      <c r="BZ498" s="19" t="str">
        <f t="shared" ref="BZ498" si="2626">CONCATENATE("DI",REPLACE($AC498,1,3,""),"-",BJ498)</f>
        <v>DI10-C22</v>
      </c>
      <c r="CA498" s="19" t="str">
        <f t="shared" ref="CA498" si="2627">CONCATENATE("DI",REPLACE($AC498,1,3,""),"-",BK498)</f>
        <v>DI10-B22</v>
      </c>
      <c r="CB498" s="19" t="str">
        <f t="shared" ref="CB498" si="2628">CONCATENATE("DI",REPLACE($AC498,1,3,""),"-",BL498)</f>
        <v>DI10-C23</v>
      </c>
      <c r="CC498" s="19" t="str">
        <f t="shared" ref="CC498" si="2629">CONCATENATE("DI",REPLACE($AC498,1,3,""),"-",BM498)</f>
        <v>DI10-B23</v>
      </c>
      <c r="CD498" s="19" t="str">
        <f t="shared" ref="CD498" si="2630">CONCATENATE("DI",REPLACE($AC498,1,3,""),"-",BN498)</f>
        <v>DI10-C24</v>
      </c>
      <c r="CE498" s="19" t="str">
        <f t="shared" ref="CE498" si="2631">CONCATENATE("DI",REPLACE($AC498,1,3,""),"-",BO498)</f>
        <v>DI10-B24</v>
      </c>
      <c r="CF498" s="19" t="str">
        <f t="shared" ref="CF498" si="2632">CONCATENATE("DO",REPLACE($AH498,1,3,""),"-",AK498)</f>
        <v>DO6-6A</v>
      </c>
      <c r="CG498" s="19" t="str">
        <f t="shared" ref="CG498" si="2633">CONCATENATE("DO",REPLACE($AH498,1,3,""),"-",AL498)</f>
        <v>DO6-6B</v>
      </c>
      <c r="CH498" s="19" t="str">
        <f t="shared" ref="CH498" si="2634">CONCATENATE("DO",REPLACE($AH498,1,3,""),"-",BP498)</f>
        <v>DO6-7A</v>
      </c>
      <c r="CI498" s="19" t="str">
        <f t="shared" ref="CI498" si="2635">CONCATENATE("DO",REPLACE($AH498,1,3,""),"-",BQ498)</f>
        <v>DO6-7B</v>
      </c>
      <c r="CJ498" s="19" t="str">
        <f t="shared" ref="CJ498" si="2636">CONCATENATE("DO",REPLACE($AH498,1,3,""),"-",BR498)</f>
        <v>DO6-8A</v>
      </c>
      <c r="CK498" s="19" t="str">
        <f t="shared" ref="CK498" si="2637">CONCATENATE("DO",REPLACE($AH498,1,3,""),"-",BS498)</f>
        <v>DO6-8B</v>
      </c>
      <c r="CL498" s="19" t="str">
        <f t="shared" si="2584"/>
        <v>K54-10</v>
      </c>
      <c r="CM498" s="19" t="str">
        <f t="shared" si="2585"/>
        <v>K54-03</v>
      </c>
      <c r="CN498" s="19" t="str">
        <f t="shared" si="2586"/>
        <v>K54-04</v>
      </c>
      <c r="CO498" s="19" t="str">
        <f t="shared" si="2587"/>
        <v>K54-01</v>
      </c>
      <c r="CP498" s="19" t="str">
        <f t="shared" si="2588"/>
        <v>K54-08</v>
      </c>
      <c r="CQ498" s="19" t="str">
        <f t="shared" si="2589"/>
        <v>K54-02</v>
      </c>
      <c r="CR498" s="19" t="str">
        <f t="shared" si="2590"/>
        <v>K54-09</v>
      </c>
      <c r="CS498" s="19" t="str">
        <f t="shared" si="2591"/>
        <v>K54-05</v>
      </c>
      <c r="CT498" s="19" t="str">
        <f t="shared" si="2592"/>
        <v>K54-11</v>
      </c>
      <c r="CU498" s="19" t="str">
        <f t="shared" si="2593"/>
        <v>N1-M54-A9</v>
      </c>
      <c r="CV498" s="19" t="str">
        <f t="shared" si="2594"/>
        <v>N1-M54-A7</v>
      </c>
      <c r="CW498" s="19" t="str">
        <f t="shared" si="2595"/>
        <v>N1-M54-A8</v>
      </c>
      <c r="CX498" s="19" t="str">
        <f t="shared" si="2596"/>
        <v>N1-M54-A6</v>
      </c>
      <c r="CY498" s="19" t="str">
        <f t="shared" si="2597"/>
        <v>N1-M54-A30</v>
      </c>
      <c r="CZ498" s="19" t="str">
        <f t="shared" si="2598"/>
        <v>N1-M54-N</v>
      </c>
      <c r="DA498" s="19" t="str">
        <f t="shared" ref="DA498" si="2638">CONCATENATE($T498,"-A220-M",U498)</f>
        <v>N1-A220-M54</v>
      </c>
      <c r="DB498" s="19" t="str">
        <f t="shared" si="2600"/>
        <v>N1-M54-XM01</v>
      </c>
      <c r="DC498" s="19" t="str">
        <f t="shared" si="2601"/>
        <v>N1-M54-A1</v>
      </c>
      <c r="DD498" s="19" t="str">
        <f t="shared" si="2602"/>
        <v>N1-M54-A5</v>
      </c>
      <c r="DE498" s="19" t="str">
        <f t="shared" si="2603"/>
        <v>N1-M54-A11</v>
      </c>
      <c r="DF498" s="19" t="str">
        <f t="shared" si="2604"/>
        <v>N1-M54-A12</v>
      </c>
      <c r="DG498" s="19" t="str">
        <f t="shared" si="2605"/>
        <v>N1-M54-A19</v>
      </c>
      <c r="DH498" s="19" t="str">
        <f t="shared" si="2606"/>
        <v>N1-M54-A20</v>
      </c>
      <c r="DI498" s="19" t="s">
        <v>142</v>
      </c>
      <c r="DJ498" s="19" t="s">
        <v>143</v>
      </c>
      <c r="DK498" s="19">
        <v>11</v>
      </c>
      <c r="DL498" s="19">
        <v>14</v>
      </c>
      <c r="DM498" s="19">
        <v>12</v>
      </c>
      <c r="DN498" s="19" t="s">
        <v>144</v>
      </c>
      <c r="DO498" s="19" t="s">
        <v>145</v>
      </c>
      <c r="DP498" s="19">
        <v>1</v>
      </c>
      <c r="DQ498" s="19">
        <v>2</v>
      </c>
      <c r="DR498" s="19">
        <v>3</v>
      </c>
      <c r="DS498" s="19">
        <v>4</v>
      </c>
      <c r="DT498" s="19">
        <v>5</v>
      </c>
      <c r="DU498" s="19">
        <v>6</v>
      </c>
      <c r="DV498" s="19">
        <v>7</v>
      </c>
      <c r="DW498" s="19">
        <v>8</v>
      </c>
      <c r="DX498" s="19">
        <v>9</v>
      </c>
      <c r="DY498" s="19">
        <v>10</v>
      </c>
      <c r="DZ498" s="19">
        <v>11</v>
      </c>
      <c r="EA498" s="19">
        <v>12</v>
      </c>
      <c r="EB498" s="19">
        <v>13</v>
      </c>
      <c r="EC498" s="19">
        <v>14</v>
      </c>
      <c r="ED498" s="19">
        <v>1</v>
      </c>
      <c r="EE498" s="19">
        <v>3</v>
      </c>
      <c r="EF498" s="19">
        <v>4</v>
      </c>
      <c r="EG498" s="19">
        <v>7</v>
      </c>
      <c r="EH498" s="19">
        <v>8</v>
      </c>
      <c r="EI498" s="19">
        <v>9</v>
      </c>
      <c r="EJ498" s="19">
        <v>10</v>
      </c>
      <c r="EK498" s="19">
        <v>13</v>
      </c>
      <c r="EL498" s="19">
        <v>14</v>
      </c>
      <c r="EM498" s="19">
        <v>15</v>
      </c>
      <c r="EN498" s="19">
        <v>16</v>
      </c>
      <c r="EO498" s="19">
        <v>22</v>
      </c>
      <c r="EP498" s="19">
        <v>23</v>
      </c>
      <c r="EQ498" s="20">
        <v>24</v>
      </c>
    </row>
    <row r="499" spans="1:356" x14ac:dyDescent="0.25">
      <c r="A499" t="s">
        <v>2671</v>
      </c>
      <c r="B499" t="s">
        <v>2670</v>
      </c>
      <c r="P499" t="s">
        <v>391</v>
      </c>
      <c r="T499" s="14" t="s">
        <v>2185</v>
      </c>
      <c r="U499" s="60">
        <f t="shared" si="2485"/>
        <v>55</v>
      </c>
      <c r="V499" s="15" t="s">
        <v>2672</v>
      </c>
      <c r="W499" s="15" t="s">
        <v>2673</v>
      </c>
      <c r="X499" t="s">
        <v>1055</v>
      </c>
      <c r="Y499" s="43" cm="1">
        <f t="array" ref="Y499">IF(COUNTIFS($X$379:$X499,$X499)=1,"1",VALUE(SUBSTITUTE(INDEX(Y:Y,_xlfn.XMATCH($X499,$X$1:$X498,0,-1)),"A",""))+INDEX(Z:Z,_xlfn.XMATCH($X499,$X$1:$X498,0,-1))+1)</f>
        <v>8</v>
      </c>
      <c r="Z499" s="43" cm="1">
        <f t="array" ref="Z499">SUM(IF(ISNUMBER(FIND("TmAi",$BE$1:$AAL$1)),IF(IFERROR(ISODD(SUBSTITUTE($BE499:$AAL499,"A","")),FALSE),IF(ISODD(SUBSTITUTE($BE499:$AAL499,"A","")),1,0),0)))</f>
        <v>0</v>
      </c>
      <c r="AA499" t="str">
        <f t="shared" ref="AA499" si="2639">CONCATENATE($Y499*2-1,"A")</f>
        <v>15A</v>
      </c>
      <c r="AB499" t="str">
        <f t="shared" ref="AB499" si="2640">CONCATENATE($Y499*2-1,"B")</f>
        <v>15B</v>
      </c>
      <c r="AC499" t="str">
        <f t="shared" si="2607"/>
        <v>A5.10</v>
      </c>
      <c r="AD499" s="43" cm="1">
        <f t="array" ref="AD499">IF(COUNTIFS(AC$379:AC499,AC499)=1,"1",VALUE(SUBSTITUTE(INDEX(AD:AD,_xlfn.XMATCH(AC499,AC$1:AC498,0,-1)),"A",""))+INDEX(AE:AE,_xlfn.XMATCH(AC499,AC$1:AC498,0,-1))+1)</f>
        <v>25</v>
      </c>
      <c r="AE499" s="43" cm="1">
        <f t="array" ref="AE499">SUM(IF(ISNUMBER(FIND("TmDi",$BE$1:$AAL$1)),IF(IFERROR(ISNUMBER(VALUE(SUBSTITUTE($BE499:$AAL499,"B",""))),FALSE),IF(ISNUMBER(VALUE(SUBSTITUTE($BE499:$AAL499,"B",""))),1,0),0)))</f>
        <v>5</v>
      </c>
      <c r="AF499" t="str">
        <f t="shared" si="2178"/>
        <v>C25</v>
      </c>
      <c r="AG499" t="str">
        <f t="shared" si="2179"/>
        <v>B25</v>
      </c>
      <c r="AH499" t="str">
        <f t="shared" si="2608"/>
        <v>A6.6</v>
      </c>
      <c r="AI499" s="73" cm="1">
        <f t="array" ref="AI499">IF(COUNTIFS(AH$379:AH499,AH499)=1,"1",VALUE(SUBSTITUTE(INDEX(AI:AI,_xlfn.XMATCH(AH499,AH$1:AH498,0,-1)),"A",""))+INDEX(AJ:AJ,_xlfn.XMATCH(AH499,AH$1:AH498,0,-1))+1)</f>
        <v>9</v>
      </c>
      <c r="AJ499" s="64" cm="1">
        <f t="array" ref="AJ499">SUM(IF(ISNUMBER(FIND("TmDo",$BE$1:$AAL$1)),IF(IFERROR(ISNUMBER(VALUE(SUBSTITUTE($BE499:$AAL499,"B",""))),FALSE),IF(ISNUMBER(VALUE(SUBSTITUTE($BE499:$AAL499,"B",""))),1,0),0)))</f>
        <v>1</v>
      </c>
      <c r="AK499" t="str">
        <f t="shared" si="2451"/>
        <v>9A</v>
      </c>
      <c r="AL499" t="str">
        <f t="shared" si="2452"/>
        <v>9B</v>
      </c>
      <c r="AM499" t="s">
        <v>2674</v>
      </c>
      <c r="AP499" t="s">
        <v>2187</v>
      </c>
      <c r="AQ499" t="s">
        <v>2515</v>
      </c>
      <c r="AS499" t="s">
        <v>396</v>
      </c>
      <c r="AT499" t="s">
        <v>139</v>
      </c>
      <c r="AU499" t="s">
        <v>140</v>
      </c>
      <c r="BD499" s="16"/>
      <c r="GT499" s="27" t="str">
        <f t="shared" ref="GT499" si="2641">CONCATENATE("XT",U499)</f>
        <v>XT55</v>
      </c>
      <c r="GU499" t="str">
        <f t="shared" ref="GU499" si="2642">CONCATENATE("C",REPLACE(AF499,1,1,"")+1)</f>
        <v>C26</v>
      </c>
      <c r="GV499" t="str">
        <f>CONCATENATE("B",REPLACE(AG499,1,1,"")+1)</f>
        <v>B26</v>
      </c>
      <c r="GW499" t="str">
        <f>CONCATENATE("C",REPLACE(GU499,1,1,"")+1)</f>
        <v>C27</v>
      </c>
      <c r="GX499" t="str">
        <f>CONCATENATE("B",REPLACE(GV499,1,1,"")+1)</f>
        <v>B27</v>
      </c>
      <c r="GY499" t="str">
        <f>CONCATENATE("C",REPLACE(GW499,1,1,"")+1)</f>
        <v>C28</v>
      </c>
      <c r="GZ499" t="str">
        <f>CONCATENATE("B",REPLACE(GX499,1,1,"")+1)</f>
        <v>B28</v>
      </c>
      <c r="HA499" t="str">
        <f>CONCATENATE("C",REPLACE(GY499,1,1,"")+1)</f>
        <v>C29</v>
      </c>
      <c r="HB499" t="str">
        <f>CONCATENATE("B",REPLACE(GZ499,1,1,"")+1)</f>
        <v>B29</v>
      </c>
      <c r="HC499" t="str">
        <f>CONCATENATE("C",REPLACE(HA499,1,1,"")+1)</f>
        <v>C30</v>
      </c>
      <c r="HD499" t="str">
        <f>CONCATENATE("B",REPLACE(HB499,1,1,"")+1)</f>
        <v>B30</v>
      </c>
      <c r="HE499" t="str">
        <f>CONCATENATE(REPLACE(AK499,LEN(AK499),1,"")+1,"A")</f>
        <v>10A</v>
      </c>
      <c r="HF499" t="str">
        <f>CONCATENATE(REPLACE(AL499,LEN(AL499),1,"")+1,"B")</f>
        <v>10B</v>
      </c>
      <c r="HG499" t="str">
        <f t="shared" ref="HG499" si="2643">CONCATENATE("AI",REPLACE($X499,1,3,""),"-",AA499)</f>
        <v>AI18-15A</v>
      </c>
      <c r="HH499" t="str">
        <f t="shared" ref="HH499" si="2644">CONCATENATE("AI",REPLACE($X499,1,3,""),"-",AB499)</f>
        <v>AI18-15B</v>
      </c>
      <c r="HI499" t="str">
        <f>CONCATENATE("DI",REPLACE($AC499,1,3,""),"-",AF499)</f>
        <v>DI10-C25</v>
      </c>
      <c r="HJ499" t="str">
        <f>CONCATENATE("DI",REPLACE($AC499,1,3,""),"-",AG499)</f>
        <v>DI10-B25</v>
      </c>
      <c r="HK499" t="str">
        <f t="shared" ref="HK499" si="2645">CONCATENATE("DI",REPLACE($AC499,1,3,""),"-",GU499)</f>
        <v>DI10-C26</v>
      </c>
      <c r="HL499" t="str">
        <f t="shared" ref="HL499" si="2646">CONCATENATE("DI",REPLACE($AC499,1,3,""),"-",GV499)</f>
        <v>DI10-B26</v>
      </c>
      <c r="HM499" t="str">
        <f t="shared" ref="HM499" si="2647">CONCATENATE("DI",REPLACE($AC499,1,3,""),"-",GW499)</f>
        <v>DI10-C27</v>
      </c>
      <c r="HN499" t="str">
        <f t="shared" ref="HN499" si="2648">CONCATENATE("DI",REPLACE($AC499,1,3,""),"-",GX499)</f>
        <v>DI10-B27</v>
      </c>
      <c r="HO499" t="str">
        <f t="shared" ref="HO499" si="2649">CONCATENATE("DI",REPLACE($AC499,1,3,""),"-",GY499)</f>
        <v>DI10-C28</v>
      </c>
      <c r="HP499" t="str">
        <f t="shared" ref="HP499" si="2650">CONCATENATE("DI",REPLACE($AC499,1,3,""),"-",GZ499)</f>
        <v>DI10-B28</v>
      </c>
      <c r="HQ499" t="str">
        <f t="shared" ref="HQ499" si="2651">CONCATENATE("DI",REPLACE($AC499,1,3,""),"-",HA499)</f>
        <v>DI10-C29</v>
      </c>
      <c r="HR499" t="str">
        <f t="shared" ref="HR499" si="2652">CONCATENATE("DI",REPLACE($AC499,1,3,""),"-",HB499)</f>
        <v>DI10-B29</v>
      </c>
      <c r="HS499" t="str">
        <f t="shared" ref="HS499" si="2653">CONCATENATE("DI",REPLACE($AC499,1,3,""),"-",HC499)</f>
        <v>DI10-C30</v>
      </c>
      <c r="HT499" t="str">
        <f t="shared" ref="HT499" si="2654">CONCATENATE("DI",REPLACE($AC499,1,3,""),"-",HD499)</f>
        <v>DI10-B30</v>
      </c>
      <c r="HU499" t="str">
        <f>CONCATENATE("DO",REPLACE($AH499,1,3,""),"-",AK499)</f>
        <v>DO6-9A</v>
      </c>
      <c r="HV499" t="str">
        <f>CONCATENATE("DO",REPLACE($AH499,1,3,""),"-",AL499)</f>
        <v>DO6-9B</v>
      </c>
      <c r="HW499" t="str">
        <f>CONCATENATE("DO",REPLACE($AH499,1,3,""),"-",HE499)</f>
        <v>DO6-10A</v>
      </c>
      <c r="HX499" t="str">
        <f>CONCATENATE("DO",REPLACE($AH499,1,3,""),"-",HF499)</f>
        <v>DO6-10B</v>
      </c>
      <c r="HY499" t="str">
        <f>CONCATENATE("K",$U499,"-01")</f>
        <v>K55-01</v>
      </c>
      <c r="HZ499" t="str">
        <f>CONCATENATE("K",$U499,"-02")</f>
        <v>K55-02</v>
      </c>
      <c r="IA499" t="str">
        <f>CONCATENATE("K",$U499,"-03")</f>
        <v>K55-03</v>
      </c>
      <c r="IB499" t="str">
        <f>CONCATENATE("K",$U499,"-04")</f>
        <v>K55-04</v>
      </c>
      <c r="IC499" t="str">
        <f>CONCATENATE("K",$U499,"-05")</f>
        <v>K55-05</v>
      </c>
      <c r="ID499" t="str">
        <f>CONCATENATE("K",$U499,"-06")</f>
        <v>K55-06</v>
      </c>
      <c r="IE499" t="str">
        <f>CONCATENATE("K",$U499,"-07")</f>
        <v>K55-07</v>
      </c>
      <c r="IF499" t="str">
        <f>CONCATENATE("K",$U499,"-08")</f>
        <v>K55-08</v>
      </c>
      <c r="IG499" t="str">
        <f>CONCATENATE($T499,"-M",$U499,"-AMS-12")</f>
        <v>N1-M55-AMS-12</v>
      </c>
      <c r="IH499" t="str">
        <f>CONCATENATE($T499,"-M",$U499,"-AMS-10")</f>
        <v>N1-M55-AMS-10</v>
      </c>
      <c r="II499" t="str">
        <f>CONCATENATE($T499,"-M",$U499,"-AMS-11")</f>
        <v>N1-M55-AMS-11</v>
      </c>
      <c r="IJ499" t="str">
        <f>CONCATENATE($T499,"-M",$U499,"-AMS-13")</f>
        <v>N1-M55-AMS-13</v>
      </c>
      <c r="IK499" t="str">
        <f>CONCATENATE($T499,"-M",$U499,"-AMS-9")</f>
        <v>N1-M55-AMS-9</v>
      </c>
      <c r="IL499" t="str">
        <f>CONCATENATE($T499,"-M",$U499,"-AMS-7")</f>
        <v>N1-M55-AMS-7</v>
      </c>
      <c r="IM499" t="str">
        <f>CONCATENATE($T499,"-M",$U499,"-AMS-18")</f>
        <v>N1-M55-AMS-18</v>
      </c>
      <c r="IN499" t="str">
        <f>CONCATENATE($T499,"-M",$U499,"-AMS-20")</f>
        <v>N1-M55-AMS-20</v>
      </c>
      <c r="IO499" t="str">
        <f>CONCATENATE($T499,"-M",$U499,"-AMS-17")</f>
        <v>N1-M55-AMS-17</v>
      </c>
      <c r="IP499" t="str">
        <f>CONCATENATE($T499,"-+24-M",$U499,)</f>
        <v>N1-+24-M55</v>
      </c>
      <c r="IQ499" t="str">
        <f>CONCATENATE($T499,"-M",$U499,"-XM01")</f>
        <v>N1-M55-XM01</v>
      </c>
      <c r="IR499" t="s">
        <v>142</v>
      </c>
      <c r="IS499" t="s">
        <v>143</v>
      </c>
      <c r="IT499">
        <v>11</v>
      </c>
      <c r="IU499">
        <v>14</v>
      </c>
      <c r="IV499" t="s">
        <v>413</v>
      </c>
      <c r="IW499" t="s">
        <v>414</v>
      </c>
      <c r="IX499">
        <v>1</v>
      </c>
      <c r="IY499">
        <v>2</v>
      </c>
      <c r="IZ499">
        <v>3</v>
      </c>
      <c r="JA499">
        <v>4</v>
      </c>
      <c r="JB499">
        <v>5</v>
      </c>
      <c r="JC499">
        <v>6</v>
      </c>
      <c r="JD499">
        <v>7</v>
      </c>
      <c r="JE499">
        <v>8</v>
      </c>
      <c r="JF499">
        <v>9</v>
      </c>
      <c r="JG499">
        <v>10</v>
      </c>
      <c r="JH499">
        <v>11</v>
      </c>
      <c r="JI499">
        <v>12</v>
      </c>
      <c r="JJ499">
        <v>13</v>
      </c>
      <c r="JK499">
        <v>14</v>
      </c>
      <c r="JL499">
        <v>17</v>
      </c>
      <c r="JM499">
        <v>15</v>
      </c>
      <c r="JN499">
        <v>18</v>
      </c>
      <c r="JO499">
        <v>11</v>
      </c>
      <c r="JP499">
        <v>9</v>
      </c>
      <c r="JQ499">
        <v>6</v>
      </c>
      <c r="JR499">
        <v>20</v>
      </c>
      <c r="JS499">
        <v>7</v>
      </c>
      <c r="JT499">
        <v>10</v>
      </c>
      <c r="JU499">
        <v>22</v>
      </c>
      <c r="JV499">
        <v>23</v>
      </c>
      <c r="JW499">
        <v>26</v>
      </c>
      <c r="JX499">
        <v>27</v>
      </c>
      <c r="JY499" s="16">
        <v>30</v>
      </c>
    </row>
    <row r="500" spans="1:356" ht="15.75" thickBot="1" x14ac:dyDescent="0.3">
      <c r="A500" s="67" t="s">
        <v>2678</v>
      </c>
      <c r="B500" t="s">
        <v>2677</v>
      </c>
      <c r="C500" s="3"/>
      <c r="O500" s="2"/>
      <c r="P500" t="s">
        <v>129</v>
      </c>
      <c r="Q500" s="1"/>
      <c r="S500" s="1" t="s">
        <v>130</v>
      </c>
      <c r="T500" s="14" t="s">
        <v>2185</v>
      </c>
      <c r="U500" s="60">
        <f t="shared" si="2485"/>
        <v>56</v>
      </c>
      <c r="V500" s="15" t="s">
        <v>2675</v>
      </c>
      <c r="W500" s="15"/>
      <c r="AC500" t="str">
        <f t="shared" ref="AC500" si="2655">IF(AD499+AE499&gt;25,REPLACE(AC499,LEN(AC499),1,VALUE(RIGHT(AC499,1))+1),AC499)</f>
        <v>A5.11</v>
      </c>
      <c r="AD500" s="43" t="str" cm="1">
        <f t="array" ref="AD500">IF(COUNTIFS(AC$379:AC500,AC500)=1,"1",VALUE(SUBSTITUTE(INDEX(AD:AD,_xlfn.XMATCH(AC500,AC$1:AC499,0,-1)),"A",""))+INDEX(AE:AE,_xlfn.XMATCH(AC500,AC$1:AC499,0,-1))+1)</f>
        <v>1</v>
      </c>
      <c r="AE500" s="43" cm="1">
        <f t="array" ref="AE500">SUM(IF(ISNUMBER(FIND("TmDi",$BE$1:$AAL$1)),IF(IFERROR(ISNUMBER(VALUE(SUBSTITUTE($BE500:$AAL500,"B",""))),FALSE),IF(ISNUMBER(VALUE(SUBSTITUTE($BE500:$AAL500,"B",""))),1,0),0)))</f>
        <v>5</v>
      </c>
      <c r="AF500" t="str">
        <f t="shared" si="2178"/>
        <v>C1</v>
      </c>
      <c r="AG500" t="str">
        <f t="shared" si="2179"/>
        <v>B1</v>
      </c>
      <c r="AH500" t="str">
        <f t="shared" ref="AH500" si="2656">IF(AI499+AJ499&gt;25,REPLACE(AH499,LEN(AH499),1,VALUE(RIGHT(AH499,1))+1),AH499)</f>
        <v>A6.6</v>
      </c>
      <c r="AI500" s="73" cm="1">
        <f t="array" ref="AI500">IF(COUNTIFS(AH$379:AH500,AH500)=1,"1",VALUE(SUBSTITUTE(INDEX(AI:AI,_xlfn.XMATCH(AH500,AH$1:AH499,0,-1)),"A",""))+INDEX(AJ:AJ,_xlfn.XMATCH(AH500,AH$1:AH499,0,-1))+1)</f>
        <v>11</v>
      </c>
      <c r="AJ500" s="64" cm="1">
        <f t="array" ref="AJ500">SUM(IF(ISNUMBER(FIND("TmDo",$BE$1:$AAL$1)),IF(IFERROR(ISNUMBER(VALUE(SUBSTITUTE($BE500:$AAL500,"B",""))),FALSE),IF(ISNUMBER(VALUE(SUBSTITUTE($BE500:$AAL500,"B",""))),1,0),0)))</f>
        <v>2</v>
      </c>
      <c r="AK500" t="str">
        <f t="shared" si="2451"/>
        <v>11A</v>
      </c>
      <c r="AL500" t="str">
        <f t="shared" si="2452"/>
        <v>11B</v>
      </c>
      <c r="AM500" t="s">
        <v>2676</v>
      </c>
      <c r="AP500" t="s">
        <v>2187</v>
      </c>
      <c r="AQ500" t="s">
        <v>2515</v>
      </c>
      <c r="AT500" t="s">
        <v>139</v>
      </c>
      <c r="AU500" t="s">
        <v>140</v>
      </c>
      <c r="BD500" s="16"/>
      <c r="BE500" s="28" t="str">
        <f t="shared" ref="BE500" si="2657">CONCATENATE("XT",U500)</f>
        <v>XT56</v>
      </c>
      <c r="BF500" s="19" t="str">
        <f t="shared" ref="BF500" si="2658">CONCATENATE("C",REPLACE(AF500,1,1,"")+1)</f>
        <v>C2</v>
      </c>
      <c r="BG500" s="19" t="str">
        <f t="shared" ref="BG500" si="2659">CONCATENATE("B",REPLACE(AG500,1,1,"")+1)</f>
        <v>B2</v>
      </c>
      <c r="BH500" s="19" t="str">
        <f t="shared" ref="BH500" si="2660">CONCATENATE("C",REPLACE(BF500,1,1,"")+1)</f>
        <v>C3</v>
      </c>
      <c r="BI500" s="19" t="str">
        <f t="shared" ref="BI500" si="2661">CONCATENATE("B",REPLACE(BG500,1,1,"")+1)</f>
        <v>B3</v>
      </c>
      <c r="BJ500" s="19" t="str">
        <f t="shared" ref="BJ500" si="2662">CONCATENATE("C",REPLACE(BH500,1,1,"")+1)</f>
        <v>C4</v>
      </c>
      <c r="BK500" s="19" t="str">
        <f t="shared" ref="BK500" si="2663">CONCATENATE("B",REPLACE(BI500,1,1,"")+1)</f>
        <v>B4</v>
      </c>
      <c r="BL500" s="19" t="str">
        <f t="shared" ref="BL500" si="2664">CONCATENATE("C",REPLACE(BJ500,1,1,"")+1)</f>
        <v>C5</v>
      </c>
      <c r="BM500" s="19" t="str">
        <f t="shared" ref="BM500" si="2665">CONCATENATE("B",REPLACE(BK500,1,1,"")+1)</f>
        <v>B5</v>
      </c>
      <c r="BN500" s="19" t="str">
        <f t="shared" ref="BN500" si="2666">CONCATENATE("C",REPLACE(BL500,1,1,"")+1)</f>
        <v>C6</v>
      </c>
      <c r="BO500" s="19" t="str">
        <f t="shared" ref="BO500" si="2667">CONCATENATE("B",REPLACE(BM500,1,1,"")+1)</f>
        <v>B6</v>
      </c>
      <c r="BP500" s="19" t="str">
        <f>CONCATENATE(REPLACE(AK500,LEN(AK500),1,"")+1,"A")</f>
        <v>12A</v>
      </c>
      <c r="BQ500" s="19" t="str">
        <f>CONCATENATE(REPLACE(AL500,LEN(AL500),1,"")+1,"B")</f>
        <v>12B</v>
      </c>
      <c r="BR500" s="19" t="str">
        <f>CONCATENATE(REPLACE(BP500,LEN(BP500),1,"")+1,"A")</f>
        <v>13A</v>
      </c>
      <c r="BS500" s="19" t="str">
        <f>CONCATENATE(REPLACE(BQ500,LEN(BQ500),1,"")+1,"B")</f>
        <v>13B</v>
      </c>
      <c r="BT500" s="19" t="str">
        <f t="shared" ref="BT500" si="2668">CONCATENATE("DI",REPLACE($AC500,1,3,""),"-",AF500)</f>
        <v>DI11-C1</v>
      </c>
      <c r="BU500" s="19" t="str">
        <f t="shared" ref="BU500" si="2669">CONCATENATE("DI",REPLACE($AC500,1,3,""),"-",AG500)</f>
        <v>DI11-B1</v>
      </c>
      <c r="BV500" s="19" t="str">
        <f t="shared" ref="BV500" si="2670">CONCATENATE("DI",REPLACE($AC500,1,3,""),"-",BF500)</f>
        <v>DI11-C2</v>
      </c>
      <c r="BW500" s="19" t="str">
        <f t="shared" ref="BW500" si="2671">CONCATENATE("DI",REPLACE($AC500,1,3,""),"-",BG500)</f>
        <v>DI11-B2</v>
      </c>
      <c r="BX500" s="19" t="str">
        <f t="shared" ref="BX500" si="2672">CONCATENATE("DI",REPLACE($AC500,1,3,""),"-",BH500)</f>
        <v>DI11-C3</v>
      </c>
      <c r="BY500" s="19" t="str">
        <f t="shared" ref="BY500" si="2673">CONCATENATE("DI",REPLACE($AC500,1,3,""),"-",BI500)</f>
        <v>DI11-B3</v>
      </c>
      <c r="BZ500" s="19" t="str">
        <f t="shared" ref="BZ500" si="2674">CONCATENATE("DI",REPLACE($AC500,1,3,""),"-",BJ500)</f>
        <v>DI11-C4</v>
      </c>
      <c r="CA500" s="19" t="str">
        <f t="shared" ref="CA500" si="2675">CONCATENATE("DI",REPLACE($AC500,1,3,""),"-",BK500)</f>
        <v>DI11-B4</v>
      </c>
      <c r="CB500" s="19" t="str">
        <f t="shared" ref="CB500" si="2676">CONCATENATE("DI",REPLACE($AC500,1,3,""),"-",BL500)</f>
        <v>DI11-C5</v>
      </c>
      <c r="CC500" s="19" t="str">
        <f t="shared" ref="CC500" si="2677">CONCATENATE("DI",REPLACE($AC500,1,3,""),"-",BM500)</f>
        <v>DI11-B5</v>
      </c>
      <c r="CD500" s="19" t="str">
        <f t="shared" ref="CD500" si="2678">CONCATENATE("DI",REPLACE($AC500,1,3,""),"-",BN500)</f>
        <v>DI11-C6</v>
      </c>
      <c r="CE500" s="19" t="str">
        <f t="shared" ref="CE500" si="2679">CONCATENATE("DI",REPLACE($AC500,1,3,""),"-",BO500)</f>
        <v>DI11-B6</v>
      </c>
      <c r="CF500" s="19" t="str">
        <f t="shared" ref="CF500" si="2680">CONCATENATE("DO",REPLACE($AH500,1,3,""),"-",AK500)</f>
        <v>DO6-11A</v>
      </c>
      <c r="CG500" s="19" t="str">
        <f t="shared" ref="CG500" si="2681">CONCATENATE("DO",REPLACE($AH500,1,3,""),"-",AL500)</f>
        <v>DO6-11B</v>
      </c>
      <c r="CH500" s="19" t="str">
        <f t="shared" ref="CH500" si="2682">CONCATENATE("DO",REPLACE($AH500,1,3,""),"-",BP500)</f>
        <v>DO6-12A</v>
      </c>
      <c r="CI500" s="19" t="str">
        <f t="shared" ref="CI500" si="2683">CONCATENATE("DO",REPLACE($AH500,1,3,""),"-",BQ500)</f>
        <v>DO6-12B</v>
      </c>
      <c r="CJ500" s="19" t="str">
        <f t="shared" ref="CJ500" si="2684">CONCATENATE("DO",REPLACE($AH500,1,3,""),"-",BR500)</f>
        <v>DO6-13A</v>
      </c>
      <c r="CK500" s="19" t="str">
        <f t="shared" ref="CK500" si="2685">CONCATENATE("DO",REPLACE($AH500,1,3,""),"-",BS500)</f>
        <v>DO6-13B</v>
      </c>
      <c r="CL500" s="19" t="str">
        <f t="shared" si="2584"/>
        <v>K56-10</v>
      </c>
      <c r="CM500" s="19" t="str">
        <f t="shared" si="2585"/>
        <v>K56-03</v>
      </c>
      <c r="CN500" s="19" t="str">
        <f t="shared" si="2586"/>
        <v>K56-04</v>
      </c>
      <c r="CO500" s="19" t="str">
        <f t="shared" si="2587"/>
        <v>K56-01</v>
      </c>
      <c r="CP500" s="19" t="str">
        <f t="shared" si="2588"/>
        <v>K56-08</v>
      </c>
      <c r="CQ500" s="19" t="str">
        <f t="shared" si="2589"/>
        <v>K56-02</v>
      </c>
      <c r="CR500" s="19" t="str">
        <f t="shared" si="2590"/>
        <v>K56-09</v>
      </c>
      <c r="CS500" s="19" t="str">
        <f t="shared" si="2591"/>
        <v>K56-05</v>
      </c>
      <c r="CT500" s="19" t="str">
        <f t="shared" si="2592"/>
        <v>K56-11</v>
      </c>
      <c r="CU500" s="19" t="str">
        <f t="shared" si="2593"/>
        <v>N1-M56-A9</v>
      </c>
      <c r="CV500" s="19" t="str">
        <f t="shared" si="2594"/>
        <v>N1-M56-A7</v>
      </c>
      <c r="CW500" s="19" t="str">
        <f t="shared" si="2595"/>
        <v>N1-M56-A8</v>
      </c>
      <c r="CX500" s="19" t="str">
        <f t="shared" si="2596"/>
        <v>N1-M56-A6</v>
      </c>
      <c r="CY500" s="19" t="str">
        <f t="shared" si="2597"/>
        <v>N1-M56-A30</v>
      </c>
      <c r="CZ500" s="19" t="str">
        <f t="shared" si="2598"/>
        <v>N1-M56-N</v>
      </c>
      <c r="DA500" s="19" t="str">
        <f t="shared" ref="DA500" si="2686">CONCATENATE($T500,"-A220-M",U500)</f>
        <v>N1-A220-M56</v>
      </c>
      <c r="DB500" s="19" t="str">
        <f t="shared" si="2600"/>
        <v>N1-M56-XM01</v>
      </c>
      <c r="DC500" s="19" t="str">
        <f t="shared" si="2601"/>
        <v>N1-M56-A1</v>
      </c>
      <c r="DD500" s="19" t="str">
        <f t="shared" si="2602"/>
        <v>N1-M56-A5</v>
      </c>
      <c r="DE500" s="19" t="str">
        <f t="shared" si="2603"/>
        <v>N1-M56-A11</v>
      </c>
      <c r="DF500" s="19" t="str">
        <f t="shared" si="2604"/>
        <v>N1-M56-A12</v>
      </c>
      <c r="DG500" s="19" t="str">
        <f t="shared" si="2605"/>
        <v>N1-M56-A19</v>
      </c>
      <c r="DH500" s="19" t="str">
        <f t="shared" si="2606"/>
        <v>N1-M56-A20</v>
      </c>
      <c r="DI500" s="19" t="s">
        <v>142</v>
      </c>
      <c r="DJ500" s="19" t="s">
        <v>143</v>
      </c>
      <c r="DK500" s="19">
        <v>11</v>
      </c>
      <c r="DL500" s="19">
        <v>14</v>
      </c>
      <c r="DM500" s="19">
        <v>12</v>
      </c>
      <c r="DN500" s="19" t="s">
        <v>144</v>
      </c>
      <c r="DO500" s="19" t="s">
        <v>145</v>
      </c>
      <c r="DP500" s="19">
        <v>1</v>
      </c>
      <c r="DQ500" s="19">
        <v>2</v>
      </c>
      <c r="DR500" s="19">
        <v>3</v>
      </c>
      <c r="DS500" s="19">
        <v>4</v>
      </c>
      <c r="DT500" s="19">
        <v>5</v>
      </c>
      <c r="DU500" s="19">
        <v>6</v>
      </c>
      <c r="DV500" s="19">
        <v>7</v>
      </c>
      <c r="DW500" s="19">
        <v>8</v>
      </c>
      <c r="DX500" s="19">
        <v>9</v>
      </c>
      <c r="DY500" s="19">
        <v>10</v>
      </c>
      <c r="DZ500" s="19">
        <v>11</v>
      </c>
      <c r="EA500" s="19">
        <v>12</v>
      </c>
      <c r="EB500" s="19">
        <v>13</v>
      </c>
      <c r="EC500" s="19">
        <v>14</v>
      </c>
      <c r="ED500" s="19">
        <v>1</v>
      </c>
      <c r="EE500" s="19">
        <v>3</v>
      </c>
      <c r="EF500" s="19">
        <v>4</v>
      </c>
      <c r="EG500" s="19">
        <v>7</v>
      </c>
      <c r="EH500" s="19">
        <v>8</v>
      </c>
      <c r="EI500" s="19">
        <v>9</v>
      </c>
      <c r="EJ500" s="19">
        <v>10</v>
      </c>
      <c r="EK500" s="19">
        <v>13</v>
      </c>
      <c r="EL500" s="19">
        <v>14</v>
      </c>
      <c r="EM500" s="19">
        <v>15</v>
      </c>
      <c r="EN500" s="19">
        <v>16</v>
      </c>
      <c r="EO500" s="19">
        <v>22</v>
      </c>
      <c r="EP500" s="19">
        <v>23</v>
      </c>
      <c r="EQ500" s="20">
        <v>24</v>
      </c>
    </row>
    <row r="501" spans="1:356" ht="15.75" thickBot="1" x14ac:dyDescent="0.3">
      <c r="A501" s="67" t="s">
        <v>2681</v>
      </c>
      <c r="B501" t="s">
        <v>2682</v>
      </c>
      <c r="C501" s="3"/>
      <c r="O501" s="2"/>
      <c r="P501" t="s">
        <v>129</v>
      </c>
      <c r="Q501" s="1"/>
      <c r="S501" s="1" t="s">
        <v>130</v>
      </c>
      <c r="T501" s="14" t="s">
        <v>2185</v>
      </c>
      <c r="U501" s="60">
        <f t="shared" si="2485"/>
        <v>57</v>
      </c>
      <c r="V501" s="15" t="s">
        <v>2679</v>
      </c>
      <c r="W501" s="15"/>
      <c r="AC501" t="str">
        <f t="shared" ref="AC501" si="2687">IF(AD500+AE500&gt;25,REPLACE(AC500,LEN(AC500),1,VALUE(RIGHT(AC500,1))+1),AC500)</f>
        <v>A5.11</v>
      </c>
      <c r="AD501" s="43" cm="1">
        <f t="array" ref="AD501">IF(COUNTIFS(AC$379:AC501,AC501)=1,"1",VALUE(SUBSTITUTE(INDEX(AD:AD,_xlfn.XMATCH(AC501,AC$1:AC500,0,-1)),"A",""))+INDEX(AE:AE,_xlfn.XMATCH(AC501,AC$1:AC500,0,-1))+1)</f>
        <v>7</v>
      </c>
      <c r="AE501" s="43" cm="1">
        <f t="array" ref="AE501">SUM(IF(ISNUMBER(FIND("TmDi",$BE$1:$AAL$1)),IF(IFERROR(ISNUMBER(VALUE(SUBSTITUTE($BE501:$AAL501,"B",""))),FALSE),IF(ISNUMBER(VALUE(SUBSTITUTE($BE501:$AAL501,"B",""))),1,0),0)))</f>
        <v>5</v>
      </c>
      <c r="AF501" t="str">
        <f t="shared" si="2178"/>
        <v>C7</v>
      </c>
      <c r="AG501" t="str">
        <f t="shared" si="2179"/>
        <v>B7</v>
      </c>
      <c r="AH501" t="str">
        <f t="shared" ref="AH501" si="2688">IF(AI500+AJ500&gt;25,REPLACE(AH500,LEN(AH500),1,VALUE(RIGHT(AH500,1))+1),AH500)</f>
        <v>A6.6</v>
      </c>
      <c r="AI501" s="73" cm="1">
        <f t="array" ref="AI501">IF(COUNTIFS(AH$379:AH501,AH501)=1,"1",VALUE(SUBSTITUTE(INDEX(AI:AI,_xlfn.XMATCH(AH501,AH$1:AH500,0,-1)),"A",""))+INDEX(AJ:AJ,_xlfn.XMATCH(AH501,AH$1:AH500,0,-1))+1)</f>
        <v>14</v>
      </c>
      <c r="AJ501" s="64" cm="1">
        <f t="array" ref="AJ501">SUM(IF(ISNUMBER(FIND("TmDo",$BE$1:$AAL$1)),IF(IFERROR(ISNUMBER(VALUE(SUBSTITUTE($BE501:$AAL501,"B",""))),FALSE),IF(ISNUMBER(VALUE(SUBSTITUTE($BE501:$AAL501,"B",""))),1,0),0)))</f>
        <v>2</v>
      </c>
      <c r="AK501" t="str">
        <f t="shared" si="2451"/>
        <v>14A</v>
      </c>
      <c r="AL501" t="str">
        <f t="shared" si="2452"/>
        <v>14B</v>
      </c>
      <c r="AM501" t="s">
        <v>2680</v>
      </c>
      <c r="AP501" t="s">
        <v>2187</v>
      </c>
      <c r="AQ501" t="s">
        <v>2515</v>
      </c>
      <c r="AT501" t="s">
        <v>139</v>
      </c>
      <c r="AU501" t="s">
        <v>140</v>
      </c>
      <c r="BD501" s="16"/>
      <c r="BE501" s="28" t="str">
        <f t="shared" ref="BE501" si="2689">CONCATENATE("XT",U501)</f>
        <v>XT57</v>
      </c>
      <c r="BF501" s="19" t="str">
        <f t="shared" ref="BF501" si="2690">CONCATENATE("C",REPLACE(AF501,1,1,"")+1)</f>
        <v>C8</v>
      </c>
      <c r="BG501" s="19" t="str">
        <f t="shared" ref="BG501" si="2691">CONCATENATE("B",REPLACE(AG501,1,1,"")+1)</f>
        <v>B8</v>
      </c>
      <c r="BH501" s="19" t="str">
        <f t="shared" ref="BH501" si="2692">CONCATENATE("C",REPLACE(BF501,1,1,"")+1)</f>
        <v>C9</v>
      </c>
      <c r="BI501" s="19" t="str">
        <f t="shared" ref="BI501" si="2693">CONCATENATE("B",REPLACE(BG501,1,1,"")+1)</f>
        <v>B9</v>
      </c>
      <c r="BJ501" s="19" t="str">
        <f t="shared" ref="BJ501" si="2694">CONCATENATE("C",REPLACE(BH501,1,1,"")+1)</f>
        <v>C10</v>
      </c>
      <c r="BK501" s="19" t="str">
        <f t="shared" ref="BK501" si="2695">CONCATENATE("B",REPLACE(BI501,1,1,"")+1)</f>
        <v>B10</v>
      </c>
      <c r="BL501" s="19" t="str">
        <f t="shared" ref="BL501" si="2696">CONCATENATE("C",REPLACE(BJ501,1,1,"")+1)</f>
        <v>C11</v>
      </c>
      <c r="BM501" s="19" t="str">
        <f t="shared" ref="BM501" si="2697">CONCATENATE("B",REPLACE(BK501,1,1,"")+1)</f>
        <v>B11</v>
      </c>
      <c r="BN501" s="19" t="str">
        <f t="shared" ref="BN501" si="2698">CONCATENATE("C",REPLACE(BL501,1,1,"")+1)</f>
        <v>C12</v>
      </c>
      <c r="BO501" s="19" t="str">
        <f t="shared" ref="BO501" si="2699">CONCATENATE("B",REPLACE(BM501,1,1,"")+1)</f>
        <v>B12</v>
      </c>
      <c r="BP501" s="19" t="str">
        <f>CONCATENATE(REPLACE(AK501,LEN(AK501),1,"")+1,"A")</f>
        <v>15A</v>
      </c>
      <c r="BQ501" s="19" t="str">
        <f>CONCATENATE(REPLACE(AL501,LEN(AL501),1,"")+1,"B")</f>
        <v>15B</v>
      </c>
      <c r="BR501" s="19" t="str">
        <f>CONCATENATE(REPLACE(BP501,LEN(BP501),1,"")+1,"A")</f>
        <v>16A</v>
      </c>
      <c r="BS501" s="19" t="str">
        <f>CONCATENATE(REPLACE(BQ501,LEN(BQ501),1,"")+1,"B")</f>
        <v>16B</v>
      </c>
      <c r="BT501" s="19" t="str">
        <f t="shared" ref="BT501" si="2700">CONCATENATE("DI",REPLACE($AC501,1,3,""),"-",AF501)</f>
        <v>DI11-C7</v>
      </c>
      <c r="BU501" s="19" t="str">
        <f t="shared" ref="BU501" si="2701">CONCATENATE("DI",REPLACE($AC501,1,3,""),"-",AG501)</f>
        <v>DI11-B7</v>
      </c>
      <c r="BV501" s="19" t="str">
        <f t="shared" ref="BV501" si="2702">CONCATENATE("DI",REPLACE($AC501,1,3,""),"-",BF501)</f>
        <v>DI11-C8</v>
      </c>
      <c r="BW501" s="19" t="str">
        <f t="shared" ref="BW501" si="2703">CONCATENATE("DI",REPLACE($AC501,1,3,""),"-",BG501)</f>
        <v>DI11-B8</v>
      </c>
      <c r="BX501" s="19" t="str">
        <f t="shared" ref="BX501" si="2704">CONCATENATE("DI",REPLACE($AC501,1,3,""),"-",BH501)</f>
        <v>DI11-C9</v>
      </c>
      <c r="BY501" s="19" t="str">
        <f t="shared" ref="BY501" si="2705">CONCATENATE("DI",REPLACE($AC501,1,3,""),"-",BI501)</f>
        <v>DI11-B9</v>
      </c>
      <c r="BZ501" s="19" t="str">
        <f t="shared" ref="BZ501" si="2706">CONCATENATE("DI",REPLACE($AC501,1,3,""),"-",BJ501)</f>
        <v>DI11-C10</v>
      </c>
      <c r="CA501" s="19" t="str">
        <f t="shared" ref="CA501" si="2707">CONCATENATE("DI",REPLACE($AC501,1,3,""),"-",BK501)</f>
        <v>DI11-B10</v>
      </c>
      <c r="CB501" s="19" t="str">
        <f t="shared" ref="CB501" si="2708">CONCATENATE("DI",REPLACE($AC501,1,3,""),"-",BL501)</f>
        <v>DI11-C11</v>
      </c>
      <c r="CC501" s="19" t="str">
        <f t="shared" ref="CC501" si="2709">CONCATENATE("DI",REPLACE($AC501,1,3,""),"-",BM501)</f>
        <v>DI11-B11</v>
      </c>
      <c r="CD501" s="19" t="str">
        <f t="shared" ref="CD501" si="2710">CONCATENATE("DI",REPLACE($AC501,1,3,""),"-",BN501)</f>
        <v>DI11-C12</v>
      </c>
      <c r="CE501" s="19" t="str">
        <f t="shared" ref="CE501" si="2711">CONCATENATE("DI",REPLACE($AC501,1,3,""),"-",BO501)</f>
        <v>DI11-B12</v>
      </c>
      <c r="CF501" s="19" t="str">
        <f t="shared" ref="CF501" si="2712">CONCATENATE("DO",REPLACE($AH501,1,3,""),"-",AK501)</f>
        <v>DO6-14A</v>
      </c>
      <c r="CG501" s="19" t="str">
        <f t="shared" ref="CG501" si="2713">CONCATENATE("DO",REPLACE($AH501,1,3,""),"-",AL501)</f>
        <v>DO6-14B</v>
      </c>
      <c r="CH501" s="19" t="str">
        <f t="shared" ref="CH501" si="2714">CONCATENATE("DO",REPLACE($AH501,1,3,""),"-",BP501)</f>
        <v>DO6-15A</v>
      </c>
      <c r="CI501" s="19" t="str">
        <f t="shared" ref="CI501" si="2715">CONCATENATE("DO",REPLACE($AH501,1,3,""),"-",BQ501)</f>
        <v>DO6-15B</v>
      </c>
      <c r="CJ501" s="19" t="str">
        <f t="shared" ref="CJ501" si="2716">CONCATENATE("DO",REPLACE($AH501,1,3,""),"-",BR501)</f>
        <v>DO6-16A</v>
      </c>
      <c r="CK501" s="19" t="str">
        <f t="shared" ref="CK501" si="2717">CONCATENATE("DO",REPLACE($AH501,1,3,""),"-",BS501)</f>
        <v>DO6-16B</v>
      </c>
      <c r="CL501" s="19" t="str">
        <f t="shared" si="2584"/>
        <v>K57-10</v>
      </c>
      <c r="CM501" s="19" t="str">
        <f t="shared" si="2585"/>
        <v>K57-03</v>
      </c>
      <c r="CN501" s="19" t="str">
        <f t="shared" si="2586"/>
        <v>K57-04</v>
      </c>
      <c r="CO501" s="19" t="str">
        <f t="shared" si="2587"/>
        <v>K57-01</v>
      </c>
      <c r="CP501" s="19" t="str">
        <f t="shared" si="2588"/>
        <v>K57-08</v>
      </c>
      <c r="CQ501" s="19" t="str">
        <f t="shared" si="2589"/>
        <v>K57-02</v>
      </c>
      <c r="CR501" s="19" t="str">
        <f t="shared" si="2590"/>
        <v>K57-09</v>
      </c>
      <c r="CS501" s="19" t="str">
        <f t="shared" si="2591"/>
        <v>K57-05</v>
      </c>
      <c r="CT501" s="19" t="str">
        <f t="shared" si="2592"/>
        <v>K57-11</v>
      </c>
      <c r="CU501" s="19" t="str">
        <f t="shared" si="2593"/>
        <v>N1-M57-A9</v>
      </c>
      <c r="CV501" s="19" t="str">
        <f t="shared" si="2594"/>
        <v>N1-M57-A7</v>
      </c>
      <c r="CW501" s="19" t="str">
        <f t="shared" si="2595"/>
        <v>N1-M57-A8</v>
      </c>
      <c r="CX501" s="19" t="str">
        <f t="shared" si="2596"/>
        <v>N1-M57-A6</v>
      </c>
      <c r="CY501" s="19" t="str">
        <f t="shared" si="2597"/>
        <v>N1-M57-A30</v>
      </c>
      <c r="CZ501" s="19" t="str">
        <f t="shared" si="2598"/>
        <v>N1-M57-N</v>
      </c>
      <c r="DA501" s="19" t="str">
        <f t="shared" ref="DA501" si="2718">CONCATENATE($T501,"-A220-M",U501)</f>
        <v>N1-A220-M57</v>
      </c>
      <c r="DB501" s="19" t="str">
        <f t="shared" si="2600"/>
        <v>N1-M57-XM01</v>
      </c>
      <c r="DC501" s="19" t="str">
        <f t="shared" si="2601"/>
        <v>N1-M57-A1</v>
      </c>
      <c r="DD501" s="19" t="str">
        <f t="shared" si="2602"/>
        <v>N1-M57-A5</v>
      </c>
      <c r="DE501" s="19" t="str">
        <f t="shared" si="2603"/>
        <v>N1-M57-A11</v>
      </c>
      <c r="DF501" s="19" t="str">
        <f t="shared" si="2604"/>
        <v>N1-M57-A12</v>
      </c>
      <c r="DG501" s="19" t="str">
        <f t="shared" si="2605"/>
        <v>N1-M57-A19</v>
      </c>
      <c r="DH501" s="19" t="str">
        <f t="shared" si="2606"/>
        <v>N1-M57-A20</v>
      </c>
      <c r="DI501" s="19" t="s">
        <v>142</v>
      </c>
      <c r="DJ501" s="19" t="s">
        <v>143</v>
      </c>
      <c r="DK501" s="19">
        <v>11</v>
      </c>
      <c r="DL501" s="19">
        <v>14</v>
      </c>
      <c r="DM501" s="19">
        <v>12</v>
      </c>
      <c r="DN501" s="19" t="s">
        <v>144</v>
      </c>
      <c r="DO501" s="19" t="s">
        <v>145</v>
      </c>
      <c r="DP501" s="19">
        <v>1</v>
      </c>
      <c r="DQ501" s="19">
        <v>2</v>
      </c>
      <c r="DR501" s="19">
        <v>3</v>
      </c>
      <c r="DS501" s="19">
        <v>4</v>
      </c>
      <c r="DT501" s="19">
        <v>5</v>
      </c>
      <c r="DU501" s="19">
        <v>6</v>
      </c>
      <c r="DV501" s="19">
        <v>7</v>
      </c>
      <c r="DW501" s="19">
        <v>8</v>
      </c>
      <c r="DX501" s="19">
        <v>9</v>
      </c>
      <c r="DY501" s="19">
        <v>10</v>
      </c>
      <c r="DZ501" s="19">
        <v>11</v>
      </c>
      <c r="EA501" s="19">
        <v>12</v>
      </c>
      <c r="EB501" s="19">
        <v>13</v>
      </c>
      <c r="EC501" s="19">
        <v>14</v>
      </c>
      <c r="ED501" s="19">
        <v>1</v>
      </c>
      <c r="EE501" s="19">
        <v>3</v>
      </c>
      <c r="EF501" s="19">
        <v>4</v>
      </c>
      <c r="EG501" s="19">
        <v>7</v>
      </c>
      <c r="EH501" s="19">
        <v>8</v>
      </c>
      <c r="EI501" s="19">
        <v>9</v>
      </c>
      <c r="EJ501" s="19">
        <v>10</v>
      </c>
      <c r="EK501" s="19">
        <v>13</v>
      </c>
      <c r="EL501" s="19">
        <v>14</v>
      </c>
      <c r="EM501" s="19">
        <v>15</v>
      </c>
      <c r="EN501" s="19">
        <v>16</v>
      </c>
      <c r="EO501" s="19">
        <v>22</v>
      </c>
      <c r="EP501" s="19">
        <v>23</v>
      </c>
      <c r="EQ501" s="20">
        <v>24</v>
      </c>
    </row>
    <row r="502" spans="1:356" x14ac:dyDescent="0.25">
      <c r="A502" s="67" t="s">
        <v>2686</v>
      </c>
      <c r="B502" s="65" t="s">
        <v>2050</v>
      </c>
      <c r="P502" t="s">
        <v>1378</v>
      </c>
      <c r="T502" s="14" t="s">
        <v>2185</v>
      </c>
      <c r="U502">
        <v>58</v>
      </c>
      <c r="V502" s="15" t="s">
        <v>2683</v>
      </c>
      <c r="AC502" t="str">
        <f t="shared" ref="AC502:AC509" si="2719">IF(AD501+AE501&gt;31,REPLACE(AC501,LEN(AC501),1,VALUE(RIGHT(AC501,1))+1),AC501)</f>
        <v>A5.11</v>
      </c>
      <c r="AD502" s="46" cm="1">
        <f t="array" ref="AD502">IF(COUNTIFS(AC$341:AC502,AC502)=1,"1",VALUE(SUBSTITUTE(INDEX(AD:AD,_xlfn.XMATCH(AC502,AC$1:AC501,0,-1)),"A",""))+INDEX(AE:AE,_xlfn.XMATCH(AC502,AC$1:AC501,0,-1))+1)</f>
        <v>13</v>
      </c>
      <c r="AE502" s="46" cm="1">
        <f t="array" ref="AE502">SUM(IF(ISNUMBER(FIND("TmDi",$BE$1:$AAL$1)),IF(IFERROR(ISNUMBER(VALUE(SUBSTITUTE($BE502:$AAL502,"B",""))),FALSE),IF(ISNUMBER(VALUE(SUBSTITUTE($BE502:$AAL502,"B",""))),1,0),0)))</f>
        <v>0</v>
      </c>
      <c r="AF502" t="str">
        <f t="shared" si="2178"/>
        <v>C13</v>
      </c>
      <c r="AG502" t="str">
        <f t="shared" si="2179"/>
        <v>B13</v>
      </c>
      <c r="AP502" t="s">
        <v>2187</v>
      </c>
      <c r="AQ502" t="s">
        <v>2515</v>
      </c>
      <c r="AT502" t="s">
        <v>139</v>
      </c>
      <c r="AU502" t="s">
        <v>140</v>
      </c>
    </row>
    <row r="503" spans="1:356" x14ac:dyDescent="0.25">
      <c r="A503" t="s">
        <v>2687</v>
      </c>
      <c r="B503" t="s">
        <v>3140</v>
      </c>
      <c r="P503" t="s">
        <v>1873</v>
      </c>
      <c r="T503" s="14" t="s">
        <v>2185</v>
      </c>
      <c r="AC503" t="s">
        <v>853</v>
      </c>
      <c r="AD503" s="46" t="str" cm="1">
        <f t="array" ref="AD503">IF(COUNTIFS(AC$341:AC503,AC503)=1,"1",VALUE(SUBSTITUTE(INDEX(AD:AD,_xlfn.XMATCH(AC503,AC$1:AC502,0,-1)),"A",""))+INDEX(AE:AE,_xlfn.XMATCH(AC503,AC$1:AC502,0,-1))+1)</f>
        <v>1</v>
      </c>
      <c r="AE503" s="46" cm="1">
        <f t="array" ref="AE503">SUM(IF(ISNUMBER(FIND("TmDi",$BE$1:$AAL$1)),IF(IFERROR(ISNUMBER(VALUE(SUBSTITUTE($BE503:$AAL503,"B",""))),FALSE),IF(ISNUMBER(VALUE(SUBSTITUTE($BE503:$AAL503,"B",""))),1,0),0)))</f>
        <v>0</v>
      </c>
      <c r="AF503" t="str">
        <f t="shared" si="2178"/>
        <v>C1</v>
      </c>
      <c r="AG503" t="str">
        <f t="shared" si="2179"/>
        <v>B1</v>
      </c>
      <c r="AP503" t="s">
        <v>2187</v>
      </c>
      <c r="AT503" t="s">
        <v>854</v>
      </c>
      <c r="AU503" t="s">
        <v>1399</v>
      </c>
      <c r="LY503" t="str">
        <f>CONCATENATE("DI",REPLACE($AC503,1,3,""),"-",$AF503)</f>
        <v>DI12-C1</v>
      </c>
      <c r="MA503" t="s">
        <v>1884</v>
      </c>
      <c r="MB503" t="s">
        <v>1883</v>
      </c>
      <c r="MC503">
        <v>11</v>
      </c>
      <c r="MD503">
        <v>14</v>
      </c>
      <c r="ME503" t="s">
        <v>142</v>
      </c>
      <c r="MF503" t="s">
        <v>143</v>
      </c>
      <c r="MG503" t="s">
        <v>488</v>
      </c>
      <c r="MH503" t="s">
        <v>487</v>
      </c>
      <c r="MI503" t="s">
        <v>414</v>
      </c>
      <c r="MJ503" t="s">
        <v>413</v>
      </c>
      <c r="MQ503">
        <v>1</v>
      </c>
      <c r="MR503">
        <v>2</v>
      </c>
    </row>
    <row r="504" spans="1:356" x14ac:dyDescent="0.25">
      <c r="A504" t="s">
        <v>2688</v>
      </c>
      <c r="B504" t="s">
        <v>3139</v>
      </c>
      <c r="P504" t="s">
        <v>1873</v>
      </c>
      <c r="T504" s="14" t="s">
        <v>2185</v>
      </c>
      <c r="AC504" t="str">
        <f t="shared" si="2719"/>
        <v>A5.12</v>
      </c>
      <c r="AD504" s="46" cm="1">
        <f t="array" ref="AD504">IF(COUNTIFS(AC$341:AC504,AC504)=1,"1",VALUE(SUBSTITUTE(INDEX(AD:AD,_xlfn.XMATCH(AC504,AC$1:AC503,0,-1)),"A",""))+INDEX(AE:AE,_xlfn.XMATCH(AC504,AC$1:AC503,0,-1))+1)</f>
        <v>2</v>
      </c>
      <c r="AE504" s="46" cm="1">
        <f t="array" ref="AE504">SUM(IF(ISNUMBER(FIND("TmDi",$BE$1:$AAL$1)),IF(IFERROR(ISNUMBER(VALUE(SUBSTITUTE($BE504:$AAL504,"B",""))),FALSE),IF(ISNUMBER(VALUE(SUBSTITUTE($BE504:$AAL504,"B",""))),1,0),0)))</f>
        <v>0</v>
      </c>
      <c r="AF504" t="str">
        <f t="shared" si="2178"/>
        <v>C2</v>
      </c>
      <c r="AG504" t="str">
        <f t="shared" si="2179"/>
        <v>B2</v>
      </c>
      <c r="AP504" t="s">
        <v>2187</v>
      </c>
      <c r="AT504" t="s">
        <v>854</v>
      </c>
      <c r="AU504" t="s">
        <v>1399</v>
      </c>
      <c r="LY504" t="str">
        <f t="shared" ref="LY504:LY509" si="2720">CONCATENATE("DI",REPLACE($AC504,1,3,""),"-",$AF504)</f>
        <v>DI12-C2</v>
      </c>
      <c r="MA504" t="s">
        <v>1887</v>
      </c>
      <c r="MB504" t="s">
        <v>1888</v>
      </c>
      <c r="MC504">
        <f>MC503</f>
        <v>11</v>
      </c>
      <c r="MD504">
        <f t="shared" ref="MD504:MJ504" si="2721">MD503</f>
        <v>14</v>
      </c>
      <c r="ME504" t="str">
        <f t="shared" si="2721"/>
        <v>A1</v>
      </c>
      <c r="MF504" t="str">
        <f t="shared" si="2721"/>
        <v>A2</v>
      </c>
      <c r="MG504" t="str">
        <f t="shared" si="2721"/>
        <v>0v3</v>
      </c>
      <c r="MH504" t="str">
        <f t="shared" si="2721"/>
        <v>24v3</v>
      </c>
      <c r="MI504" t="str">
        <f t="shared" si="2721"/>
        <v>0v6</v>
      </c>
      <c r="MJ504" t="str">
        <f t="shared" si="2721"/>
        <v>24v6</v>
      </c>
      <c r="MQ504">
        <f>MQ503</f>
        <v>1</v>
      </c>
      <c r="MR504">
        <f>MR503</f>
        <v>2</v>
      </c>
    </row>
    <row r="505" spans="1:356" x14ac:dyDescent="0.25">
      <c r="A505" t="s">
        <v>2689</v>
      </c>
      <c r="B505" t="s">
        <v>3138</v>
      </c>
      <c r="P505" t="s">
        <v>1873</v>
      </c>
      <c r="T505" s="14" t="s">
        <v>2185</v>
      </c>
      <c r="AC505" t="str">
        <f t="shared" si="2719"/>
        <v>A5.12</v>
      </c>
      <c r="AD505" s="46" cm="1">
        <f t="array" ref="AD505">IF(COUNTIFS(AC$341:AC505,AC505)=1,"1",VALUE(SUBSTITUTE(INDEX(AD:AD,_xlfn.XMATCH(AC505,AC$1:AC504,0,-1)),"A",""))+INDEX(AE:AE,_xlfn.XMATCH(AC505,AC$1:AC504,0,-1))+1)</f>
        <v>3</v>
      </c>
      <c r="AE505" s="46" cm="1">
        <f t="array" ref="AE505">SUM(IF(ISNUMBER(FIND("TmDi",$BE$1:$AAL$1)),IF(IFERROR(ISNUMBER(VALUE(SUBSTITUTE($BE505:$AAL505,"B",""))),FALSE),IF(ISNUMBER(VALUE(SUBSTITUTE($BE505:$AAL505,"B",""))),1,0),0)))</f>
        <v>0</v>
      </c>
      <c r="AF505" t="str">
        <f t="shared" si="2178"/>
        <v>C3</v>
      </c>
      <c r="AG505" t="str">
        <f t="shared" si="2179"/>
        <v>B3</v>
      </c>
      <c r="AP505" t="s">
        <v>2187</v>
      </c>
      <c r="AT505" t="s">
        <v>854</v>
      </c>
      <c r="AU505" t="s">
        <v>1399</v>
      </c>
      <c r="LY505" t="str">
        <f t="shared" si="2720"/>
        <v>DI12-C3</v>
      </c>
      <c r="MA505" t="s">
        <v>1891</v>
      </c>
      <c r="MB505" t="s">
        <v>1892</v>
      </c>
      <c r="MC505">
        <f t="shared" ref="MC505:MC509" si="2722">MC504</f>
        <v>11</v>
      </c>
      <c r="MD505">
        <f t="shared" ref="MD505:MD509" si="2723">MD504</f>
        <v>14</v>
      </c>
      <c r="ME505" t="str">
        <f t="shared" ref="ME505:ME509" si="2724">ME504</f>
        <v>A1</v>
      </c>
      <c r="MF505" t="str">
        <f t="shared" ref="MF505:MF509" si="2725">MF504</f>
        <v>A2</v>
      </c>
      <c r="MG505" t="str">
        <f t="shared" ref="MG505:MG509" si="2726">MG504</f>
        <v>0v3</v>
      </c>
      <c r="MH505" t="str">
        <f t="shared" ref="MH505:MH509" si="2727">MH504</f>
        <v>24v3</v>
      </c>
      <c r="MI505" t="str">
        <f t="shared" ref="MI505:MI509" si="2728">MI504</f>
        <v>0v6</v>
      </c>
      <c r="MJ505" t="str">
        <f t="shared" ref="MJ505:MJ509" si="2729">MJ504</f>
        <v>24v6</v>
      </c>
      <c r="MQ505">
        <f t="shared" ref="MQ505:MQ509" si="2730">MQ504</f>
        <v>1</v>
      </c>
      <c r="MR505">
        <f t="shared" ref="MR505:MR509" si="2731">MR504</f>
        <v>2</v>
      </c>
    </row>
    <row r="506" spans="1:356" x14ac:dyDescent="0.25">
      <c r="A506" t="s">
        <v>2690</v>
      </c>
      <c r="B506" t="s">
        <v>3137</v>
      </c>
      <c r="P506" t="s">
        <v>1873</v>
      </c>
      <c r="T506" s="14" t="s">
        <v>2185</v>
      </c>
      <c r="AC506" t="str">
        <f t="shared" si="2719"/>
        <v>A5.12</v>
      </c>
      <c r="AD506" s="46" cm="1">
        <f t="array" ref="AD506">IF(COUNTIFS(AC$341:AC506,AC506)=1,"1",VALUE(SUBSTITUTE(INDEX(AD:AD,_xlfn.XMATCH(AC506,AC$1:AC505,0,-1)),"A",""))+INDEX(AE:AE,_xlfn.XMATCH(AC506,AC$1:AC505,0,-1))+1)</f>
        <v>4</v>
      </c>
      <c r="AE506" s="46" cm="1">
        <f t="array" ref="AE506">SUM(IF(ISNUMBER(FIND("TmDi",$BE$1:$AAL$1)),IF(IFERROR(ISNUMBER(VALUE(SUBSTITUTE($BE506:$AAL506,"B",""))),FALSE),IF(ISNUMBER(VALUE(SUBSTITUTE($BE506:$AAL506,"B",""))),1,0),0)))</f>
        <v>0</v>
      </c>
      <c r="AF506" t="str">
        <f t="shared" si="2178"/>
        <v>C4</v>
      </c>
      <c r="AG506" t="str">
        <f t="shared" si="2179"/>
        <v>B4</v>
      </c>
      <c r="AP506" t="s">
        <v>2187</v>
      </c>
      <c r="AT506" t="s">
        <v>854</v>
      </c>
      <c r="AU506" t="s">
        <v>1399</v>
      </c>
      <c r="LY506" t="str">
        <f t="shared" si="2720"/>
        <v>DI12-C4</v>
      </c>
      <c r="MA506" t="s">
        <v>1893</v>
      </c>
      <c r="MB506" t="s">
        <v>1894</v>
      </c>
      <c r="MC506">
        <f t="shared" si="2722"/>
        <v>11</v>
      </c>
      <c r="MD506">
        <f t="shared" si="2723"/>
        <v>14</v>
      </c>
      <c r="ME506" t="str">
        <f t="shared" si="2724"/>
        <v>A1</v>
      </c>
      <c r="MF506" t="str">
        <f t="shared" si="2725"/>
        <v>A2</v>
      </c>
      <c r="MG506" t="str">
        <f t="shared" si="2726"/>
        <v>0v3</v>
      </c>
      <c r="MH506" t="str">
        <f t="shared" si="2727"/>
        <v>24v3</v>
      </c>
      <c r="MI506" t="str">
        <f t="shared" si="2728"/>
        <v>0v6</v>
      </c>
      <c r="MJ506" t="str">
        <f t="shared" si="2729"/>
        <v>24v6</v>
      </c>
      <c r="MQ506">
        <f t="shared" si="2730"/>
        <v>1</v>
      </c>
      <c r="MR506">
        <f t="shared" si="2731"/>
        <v>2</v>
      </c>
    </row>
    <row r="507" spans="1:356" x14ac:dyDescent="0.25">
      <c r="A507" t="s">
        <v>2691</v>
      </c>
      <c r="B507" t="s">
        <v>3136</v>
      </c>
      <c r="P507" t="s">
        <v>1873</v>
      </c>
      <c r="T507" s="14" t="s">
        <v>2185</v>
      </c>
      <c r="AC507" t="str">
        <f t="shared" si="2719"/>
        <v>A5.12</v>
      </c>
      <c r="AD507" s="46" cm="1">
        <f t="array" ref="AD507">IF(COUNTIFS(AC$341:AC507,AC507)=1,"1",VALUE(SUBSTITUTE(INDEX(AD:AD,_xlfn.XMATCH(AC507,AC$1:AC506,0,-1)),"A",""))+INDEX(AE:AE,_xlfn.XMATCH(AC507,AC$1:AC506,0,-1))+1)</f>
        <v>5</v>
      </c>
      <c r="AE507" s="46" cm="1">
        <f t="array" ref="AE507">SUM(IF(ISNUMBER(FIND("TmDi",$BE$1:$AAL$1)),IF(IFERROR(ISNUMBER(VALUE(SUBSTITUTE($BE507:$AAL507,"B",""))),FALSE),IF(ISNUMBER(VALUE(SUBSTITUTE($BE507:$AAL507,"B",""))),1,0),0)))</f>
        <v>0</v>
      </c>
      <c r="AF507" t="str">
        <f t="shared" si="2178"/>
        <v>C5</v>
      </c>
      <c r="AG507" t="str">
        <f t="shared" si="2179"/>
        <v>B5</v>
      </c>
      <c r="AP507" t="s">
        <v>2187</v>
      </c>
      <c r="AT507" t="s">
        <v>854</v>
      </c>
      <c r="AU507" t="s">
        <v>1399</v>
      </c>
      <c r="LY507" t="str">
        <f t="shared" si="2720"/>
        <v>DI12-C5</v>
      </c>
      <c r="MA507" t="s">
        <v>1895</v>
      </c>
      <c r="MB507" t="s">
        <v>1896</v>
      </c>
      <c r="MC507">
        <f t="shared" si="2722"/>
        <v>11</v>
      </c>
      <c r="MD507">
        <f t="shared" si="2723"/>
        <v>14</v>
      </c>
      <c r="ME507" t="str">
        <f t="shared" si="2724"/>
        <v>A1</v>
      </c>
      <c r="MF507" t="str">
        <f t="shared" si="2725"/>
        <v>A2</v>
      </c>
      <c r="MG507" t="str">
        <f t="shared" si="2726"/>
        <v>0v3</v>
      </c>
      <c r="MH507" t="str">
        <f t="shared" si="2727"/>
        <v>24v3</v>
      </c>
      <c r="MI507" t="str">
        <f t="shared" si="2728"/>
        <v>0v6</v>
      </c>
      <c r="MJ507" t="str">
        <f t="shared" si="2729"/>
        <v>24v6</v>
      </c>
      <c r="MQ507">
        <f t="shared" si="2730"/>
        <v>1</v>
      </c>
      <c r="MR507">
        <f t="shared" si="2731"/>
        <v>2</v>
      </c>
    </row>
    <row r="508" spans="1:356" x14ac:dyDescent="0.25">
      <c r="A508" t="s">
        <v>2692</v>
      </c>
      <c r="B508" t="s">
        <v>3135</v>
      </c>
      <c r="P508" t="s">
        <v>1873</v>
      </c>
      <c r="T508" s="14" t="s">
        <v>2185</v>
      </c>
      <c r="AC508" t="str">
        <f t="shared" si="2719"/>
        <v>A5.12</v>
      </c>
      <c r="AD508" s="46" cm="1">
        <f t="array" ref="AD508">IF(COUNTIFS(AC$341:AC508,AC508)=1,"1",VALUE(SUBSTITUTE(INDEX(AD:AD,_xlfn.XMATCH(AC508,AC$1:AC507,0,-1)),"A",""))+INDEX(AE:AE,_xlfn.XMATCH(AC508,AC$1:AC507,0,-1))+1)</f>
        <v>6</v>
      </c>
      <c r="AE508" s="46" cm="1">
        <f t="array" ref="AE508">SUM(IF(ISNUMBER(FIND("TmDi",$BE$1:$AAL$1)),IF(IFERROR(ISNUMBER(VALUE(SUBSTITUTE($BE508:$AAL508,"B",""))),FALSE),IF(ISNUMBER(VALUE(SUBSTITUTE($BE508:$AAL508,"B",""))),1,0),0)))</f>
        <v>0</v>
      </c>
      <c r="AF508" t="str">
        <f t="shared" si="2178"/>
        <v>C6</v>
      </c>
      <c r="AG508" t="str">
        <f t="shared" si="2179"/>
        <v>B6</v>
      </c>
      <c r="AP508" t="s">
        <v>2187</v>
      </c>
      <c r="AT508" t="s">
        <v>854</v>
      </c>
      <c r="AU508" t="s">
        <v>1399</v>
      </c>
      <c r="LY508" t="str">
        <f t="shared" si="2720"/>
        <v>DI12-C6</v>
      </c>
      <c r="MA508" t="s">
        <v>1897</v>
      </c>
      <c r="MB508" t="s">
        <v>1898</v>
      </c>
      <c r="MC508">
        <f t="shared" si="2722"/>
        <v>11</v>
      </c>
      <c r="MD508">
        <f t="shared" si="2723"/>
        <v>14</v>
      </c>
      <c r="ME508" t="str">
        <f t="shared" si="2724"/>
        <v>A1</v>
      </c>
      <c r="MF508" t="str">
        <f t="shared" si="2725"/>
        <v>A2</v>
      </c>
      <c r="MG508" t="str">
        <f t="shared" si="2726"/>
        <v>0v3</v>
      </c>
      <c r="MH508" t="str">
        <f t="shared" si="2727"/>
        <v>24v3</v>
      </c>
      <c r="MI508" t="str">
        <f t="shared" si="2728"/>
        <v>0v6</v>
      </c>
      <c r="MJ508" t="str">
        <f t="shared" si="2729"/>
        <v>24v6</v>
      </c>
      <c r="MQ508">
        <f t="shared" si="2730"/>
        <v>1</v>
      </c>
      <c r="MR508">
        <f t="shared" si="2731"/>
        <v>2</v>
      </c>
    </row>
    <row r="509" spans="1:356" s="19" customFormat="1" ht="15.75" thickBot="1" x14ac:dyDescent="0.3">
      <c r="A509" s="19" t="s">
        <v>2693</v>
      </c>
      <c r="B509" s="19" t="s">
        <v>3134</v>
      </c>
      <c r="P509" s="19" t="s">
        <v>1873</v>
      </c>
      <c r="T509" s="17" t="s">
        <v>2185</v>
      </c>
      <c r="AC509" s="19" t="str">
        <f t="shared" si="2719"/>
        <v>A5.12</v>
      </c>
      <c r="AD509" s="68" cm="1">
        <f t="array" ref="AD509">IF(COUNTIFS(AC$341:AC509,AC509)=1,"1",VALUE(SUBSTITUTE(INDEX(AD:AD,_xlfn.XMATCH(AC509,AC$1:AC508,0,-1)),"A",""))+INDEX(AE:AE,_xlfn.XMATCH(AC509,AC$1:AC508,0,-1))+1)</f>
        <v>7</v>
      </c>
      <c r="AE509" s="68" cm="1">
        <f t="array" ref="AE509">SUM(IF(ISNUMBER(FIND("TmDi",$BE$1:$AAL$1)),IF(IFERROR(ISNUMBER(VALUE(SUBSTITUTE($BE509:$AAL509,"B",""))),FALSE),IF(ISNUMBER(VALUE(SUBSTITUTE($BE509:$AAL509,"B",""))),1,0),0)))</f>
        <v>0</v>
      </c>
      <c r="AF509" s="19" t="str">
        <f t="shared" si="2178"/>
        <v>C7</v>
      </c>
      <c r="AG509" s="19" t="str">
        <f t="shared" si="2179"/>
        <v>B7</v>
      </c>
      <c r="AI509" s="74"/>
      <c r="AJ509" s="74"/>
      <c r="AP509" s="19" t="s">
        <v>2187</v>
      </c>
      <c r="AT509" s="19" t="s">
        <v>854</v>
      </c>
      <c r="AU509" s="19" t="s">
        <v>1399</v>
      </c>
      <c r="LY509" s="19" t="str">
        <f t="shared" si="2720"/>
        <v>DI12-C7</v>
      </c>
      <c r="MA509" s="19" t="s">
        <v>1899</v>
      </c>
      <c r="MB509" s="19" t="s">
        <v>1900</v>
      </c>
      <c r="MC509" s="19">
        <f t="shared" si="2722"/>
        <v>11</v>
      </c>
      <c r="MD509" s="19">
        <f t="shared" si="2723"/>
        <v>14</v>
      </c>
      <c r="ME509" s="19" t="str">
        <f t="shared" si="2724"/>
        <v>A1</v>
      </c>
      <c r="MF509" s="19" t="str">
        <f t="shared" si="2725"/>
        <v>A2</v>
      </c>
      <c r="MG509" s="19" t="str">
        <f t="shared" si="2726"/>
        <v>0v3</v>
      </c>
      <c r="MH509" s="19" t="str">
        <f t="shared" si="2727"/>
        <v>24v3</v>
      </c>
      <c r="MI509" s="19" t="str">
        <f t="shared" si="2728"/>
        <v>0v6</v>
      </c>
      <c r="MJ509" s="19" t="str">
        <f t="shared" si="2729"/>
        <v>24v6</v>
      </c>
      <c r="MQ509" s="19">
        <f t="shared" si="2730"/>
        <v>1</v>
      </c>
      <c r="MR509" s="19">
        <f t="shared" si="2731"/>
        <v>2</v>
      </c>
    </row>
    <row r="510" spans="1:356" x14ac:dyDescent="0.25">
      <c r="A510" s="67" t="s">
        <v>2726</v>
      </c>
      <c r="B510" t="s">
        <v>2725</v>
      </c>
      <c r="C510" s="3"/>
      <c r="O510" s="2"/>
      <c r="P510" t="s">
        <v>2722</v>
      </c>
      <c r="Q510" s="1"/>
      <c r="S510" s="1" t="s">
        <v>130</v>
      </c>
      <c r="T510" s="14" t="s">
        <v>2724</v>
      </c>
      <c r="U510" s="60">
        <v>1</v>
      </c>
      <c r="V510" s="15" t="s">
        <v>2723</v>
      </c>
      <c r="W510" s="15"/>
      <c r="AC510" t="s">
        <v>131</v>
      </c>
      <c r="AD510" s="43" t="str" cm="1">
        <f t="array" ref="AD510">IF(COUNTIFS(AC$510:AC510,AC510)=1,"1",VALUE(SUBSTITUTE(INDEX(AD:AD,_xlfn.XMATCH(AC510,AC$1:AC509,0,-1)),"A",""))+INDEX(AE:AE,_xlfn.XMATCH(AC510,AC$1:AC509,0,-1))+1)</f>
        <v>1</v>
      </c>
      <c r="AE510" s="43" cm="1">
        <f t="array" ref="AE510">SUM(IF(ISNUMBER(FIND("TmDi",$BE$1:$AAL$1)),IF(IFERROR(ISNUMBER(VALUE(SUBSTITUTE($BE510:$AAL510,"B",""))),FALSE),IF(ISNUMBER(VALUE(SUBSTITUTE($BE510:$AAL510,"B",""))),1,0),0)))</f>
        <v>5</v>
      </c>
      <c r="AF510" t="str">
        <f t="shared" si="2178"/>
        <v>C1</v>
      </c>
      <c r="AG510" t="str">
        <f t="shared" si="2179"/>
        <v>B1</v>
      </c>
      <c r="AH510" t="s">
        <v>132</v>
      </c>
      <c r="AI510" s="73" t="str" cm="1">
        <f t="array" ref="AI510">IF(COUNTIFS(AH$510:AH510,AH510)=1,"1",VALUE(SUBSTITUTE(INDEX(AI:AI,_xlfn.XMATCH(AH510,AH$1:AH509,0,-1)),"A",""))+INDEX(AJ:AJ,_xlfn.XMATCH(AH510,AH$1:AH509,0,-1))+1)</f>
        <v>1</v>
      </c>
      <c r="AJ510" s="64" cm="1">
        <f t="array" ref="AJ510">SUM(IF(ISNUMBER(FIND("TmDo",$BE$1:$AAL$1)),IF(IFERROR(ISNUMBER(VALUE(SUBSTITUTE($BE510:$AAL510,"B",""))),FALSE),IF(ISNUMBER(VALUE(SUBSTITUTE($BE510:$AAL510,"B",""))),1,0),0)))</f>
        <v>2</v>
      </c>
      <c r="AK510" t="str">
        <f t="shared" ref="AK510:AK526" si="2732">CONCATENATE($AI510,"A")</f>
        <v>1A</v>
      </c>
      <c r="AL510" t="str">
        <f t="shared" ref="AL510:AL526" si="2733">CONCATENATE($AI510,"B")</f>
        <v>1B</v>
      </c>
      <c r="AM510" t="s">
        <v>141</v>
      </c>
      <c r="AP510" t="s">
        <v>2727</v>
      </c>
      <c r="AQ510" t="s">
        <v>2728</v>
      </c>
      <c r="AT510" t="s">
        <v>139</v>
      </c>
      <c r="AU510" t="s">
        <v>140</v>
      </c>
      <c r="BD510" s="16"/>
      <c r="BE510" s="27" t="str">
        <f t="shared" ref="BE510" si="2734">CONCATENATE("XT",U510)</f>
        <v>XT1</v>
      </c>
      <c r="BF510" t="str">
        <f t="shared" ref="BF510" si="2735">CONCATENATE("C",REPLACE(AF510,1,1,"")+1)</f>
        <v>C2</v>
      </c>
      <c r="BG510" t="str">
        <f t="shared" ref="BG510" si="2736">CONCATENATE("B",REPLACE(AG510,1,1,"")+1)</f>
        <v>B2</v>
      </c>
      <c r="BH510" t="str">
        <f t="shared" ref="BH510" si="2737">CONCATENATE("C",REPLACE(BF510,1,1,"")+1)</f>
        <v>C3</v>
      </c>
      <c r="BI510" t="str">
        <f t="shared" ref="BI510" si="2738">CONCATENATE("B",REPLACE(BG510,1,1,"")+1)</f>
        <v>B3</v>
      </c>
      <c r="BJ510" t="str">
        <f t="shared" ref="BJ510" si="2739">CONCATENATE("C",REPLACE(BH510,1,1,"")+1)</f>
        <v>C4</v>
      </c>
      <c r="BK510" t="str">
        <f t="shared" ref="BK510" si="2740">CONCATENATE("B",REPLACE(BI510,1,1,"")+1)</f>
        <v>B4</v>
      </c>
      <c r="BL510" t="str">
        <f t="shared" ref="BL510" si="2741">CONCATENATE("C",REPLACE(BJ510,1,1,"")+1)</f>
        <v>C5</v>
      </c>
      <c r="BM510" t="str">
        <f t="shared" ref="BM510" si="2742">CONCATENATE("B",REPLACE(BK510,1,1,"")+1)</f>
        <v>B5</v>
      </c>
      <c r="BN510" t="str">
        <f t="shared" ref="BN510" si="2743">CONCATENATE("C",REPLACE(BL510,1,1,"")+1)</f>
        <v>C6</v>
      </c>
      <c r="BO510" t="str">
        <f t="shared" ref="BO510" si="2744">CONCATENATE("B",REPLACE(BM510,1,1,"")+1)</f>
        <v>B6</v>
      </c>
      <c r="BP510" t="str">
        <f t="shared" ref="BP510:BP516" si="2745">CONCATENATE(REPLACE(AK510,LEN(AK510),1,"")+1,"A")</f>
        <v>2A</v>
      </c>
      <c r="BQ510" t="str">
        <f t="shared" ref="BQ510:BQ516" si="2746">CONCATENATE(REPLACE(AL510,LEN(AL510),1,"")+1,"B")</f>
        <v>2B</v>
      </c>
      <c r="BR510" t="str">
        <f t="shared" ref="BR510:BR516" si="2747">CONCATENATE(REPLACE(BP510,LEN(BP510),1,"")+1,"A")</f>
        <v>3A</v>
      </c>
      <c r="BS510" t="str">
        <f t="shared" ref="BS510:BS516" si="2748">CONCATENATE(REPLACE(BQ510,LEN(BQ510),1,"")+1,"B")</f>
        <v>3B</v>
      </c>
      <c r="BT510" t="str">
        <f t="shared" ref="BT510" si="2749">CONCATENATE("DI",REPLACE($AC510,1,3,""),"-",AF510)</f>
        <v>DI1-C1</v>
      </c>
      <c r="BU510" t="str">
        <f t="shared" ref="BU510" si="2750">CONCATENATE("DI",REPLACE($AC510,1,3,""),"-",AG510)</f>
        <v>DI1-B1</v>
      </c>
      <c r="BV510" t="str">
        <f t="shared" ref="BV510" si="2751">CONCATENATE("DI",REPLACE($AC510,1,3,""),"-",BF510)</f>
        <v>DI1-C2</v>
      </c>
      <c r="BW510" t="str">
        <f t="shared" ref="BW510" si="2752">CONCATENATE("DI",REPLACE($AC510,1,3,""),"-",BG510)</f>
        <v>DI1-B2</v>
      </c>
      <c r="BX510" t="str">
        <f t="shared" ref="BX510" si="2753">CONCATENATE("DI",REPLACE($AC510,1,3,""),"-",BH510)</f>
        <v>DI1-C3</v>
      </c>
      <c r="BY510" t="str">
        <f t="shared" ref="BY510" si="2754">CONCATENATE("DI",REPLACE($AC510,1,3,""),"-",BI510)</f>
        <v>DI1-B3</v>
      </c>
      <c r="BZ510" t="str">
        <f t="shared" ref="BZ510" si="2755">CONCATENATE("DI",REPLACE($AC510,1,3,""),"-",BJ510)</f>
        <v>DI1-C4</v>
      </c>
      <c r="CA510" t="str">
        <f t="shared" ref="CA510" si="2756">CONCATENATE("DI",REPLACE($AC510,1,3,""),"-",BK510)</f>
        <v>DI1-B4</v>
      </c>
      <c r="CB510" t="str">
        <f t="shared" ref="CB510" si="2757">CONCATENATE("DI",REPLACE($AC510,1,3,""),"-",BL510)</f>
        <v>DI1-C5</v>
      </c>
      <c r="CC510" t="str">
        <f t="shared" ref="CC510" si="2758">CONCATENATE("DI",REPLACE($AC510,1,3,""),"-",BM510)</f>
        <v>DI1-B5</v>
      </c>
      <c r="CD510" t="str">
        <f t="shared" ref="CD510" si="2759">CONCATENATE("DI",REPLACE($AC510,1,3,""),"-",BN510)</f>
        <v>DI1-C6</v>
      </c>
      <c r="CE510" t="str">
        <f t="shared" ref="CE510" si="2760">CONCATENATE("DI",REPLACE($AC510,1,3,""),"-",BO510)</f>
        <v>DI1-B6</v>
      </c>
      <c r="CF510" t="str">
        <f t="shared" ref="CF510" si="2761">CONCATENATE("DO",REPLACE($AH510,1,3,""),"-",AK510)</f>
        <v>DO1-1A</v>
      </c>
      <c r="CG510" t="str">
        <f t="shared" ref="CG510" si="2762">CONCATENATE("DO",REPLACE($AH510,1,3,""),"-",AL510)</f>
        <v>DO1-1B</v>
      </c>
      <c r="CH510" t="str">
        <f t="shared" ref="CH510" si="2763">CONCATENATE("DO",REPLACE($AH510,1,3,""),"-",BP510)</f>
        <v>DO1-2A</v>
      </c>
      <c r="CI510" t="str">
        <f t="shared" ref="CI510" si="2764">CONCATENATE("DO",REPLACE($AH510,1,3,""),"-",BQ510)</f>
        <v>DO1-2B</v>
      </c>
      <c r="CJ510" t="str">
        <f t="shared" ref="CJ510" si="2765">CONCATENATE("DO",REPLACE($AH510,1,3,""),"-",BR510)</f>
        <v>DO1-3A</v>
      </c>
      <c r="CK510" t="str">
        <f t="shared" ref="CK510" si="2766">CONCATENATE("DO",REPLACE($AH510,1,3,""),"-",BS510)</f>
        <v>DO1-3B</v>
      </c>
      <c r="CL510" t="str">
        <f t="shared" ref="CL510:CL516" si="2767">CONCATENATE("K",$U510,"-10")</f>
        <v>K1-10</v>
      </c>
      <c r="CM510" t="str">
        <f t="shared" ref="CM510:CM516" si="2768">CONCATENATE("K",$U510,"-03")</f>
        <v>K1-03</v>
      </c>
      <c r="CN510" t="str">
        <f t="shared" ref="CN510:CN516" si="2769">CONCATENATE("K",$U510,"-04")</f>
        <v>K1-04</v>
      </c>
      <c r="CO510" t="str">
        <f t="shared" ref="CO510:CO516" si="2770">CONCATENATE("K",$U510,"-01")</f>
        <v>K1-01</v>
      </c>
      <c r="CP510" t="str">
        <f t="shared" ref="CP510:CP516" si="2771">CONCATENATE("K",$U510,"-08")</f>
        <v>K1-08</v>
      </c>
      <c r="CQ510" t="str">
        <f t="shared" ref="CQ510:CQ516" si="2772">CONCATENATE("K",$U510,"-02")</f>
        <v>K1-02</v>
      </c>
      <c r="CR510" t="str">
        <f t="shared" ref="CR510:CR516" si="2773">CONCATENATE("K",$U510,"-09")</f>
        <v>K1-09</v>
      </c>
      <c r="CS510" t="str">
        <f t="shared" ref="CS510:CS516" si="2774">CONCATENATE("K",$U510,"-05")</f>
        <v>K1-05</v>
      </c>
      <c r="CT510" t="str">
        <f t="shared" ref="CT510:CT516" si="2775">CONCATENATE("K",$U510,"-11")</f>
        <v>K1-11</v>
      </c>
      <c r="CU510" t="str">
        <f t="shared" ref="CU510:CU516" si="2776">CONCATENATE($T510,"-M",$U510,"-A9")</f>
        <v>N2-M1-A9</v>
      </c>
      <c r="CV510" t="str">
        <f t="shared" ref="CV510:CV516" si="2777">CONCATENATE($T510,"-M",$U510,"-A7")</f>
        <v>N2-M1-A7</v>
      </c>
      <c r="CW510" t="str">
        <f t="shared" ref="CW510:CW516" si="2778">CONCATENATE($T510,"-M",$U510,"-A8")</f>
        <v>N2-M1-A8</v>
      </c>
      <c r="CX510" t="str">
        <f t="shared" ref="CX510:CX516" si="2779">CONCATENATE($T510,"-M",$U510,"-A6")</f>
        <v>N2-M1-A6</v>
      </c>
      <c r="CY510" t="str">
        <f t="shared" ref="CY510:CY516" si="2780">CONCATENATE($T510,"-M",$U510,"-A30")</f>
        <v>N2-M1-A30</v>
      </c>
      <c r="CZ510" t="str">
        <f t="shared" ref="CZ510:CZ516" si="2781">CONCATENATE($T510,"-M",$U510,"-N")</f>
        <v>N2-M1-N</v>
      </c>
      <c r="DA510" t="str">
        <f t="shared" ref="DA510" si="2782">CONCATENATE($T510,"-A220-M",U510)</f>
        <v>N2-A220-M1</v>
      </c>
      <c r="DB510" t="str">
        <f t="shared" ref="DB510:DB516" si="2783">CONCATENATE($T510,"-M",$U510,"-XM01")</f>
        <v>N2-M1-XM01</v>
      </c>
      <c r="DC510" t="str">
        <f t="shared" ref="DC510:DC516" si="2784">CONCATENATE($T510,"-M",$U510,"-A1")</f>
        <v>N2-M1-A1</v>
      </c>
      <c r="DD510" t="str">
        <f t="shared" ref="DD510:DD516" si="2785">CONCATENATE($T510,"-M",$U510,"-A5")</f>
        <v>N2-M1-A5</v>
      </c>
      <c r="DE510" t="str">
        <f t="shared" ref="DE510:DE516" si="2786">CONCATENATE($T510,"-M",$U510,"-A11")</f>
        <v>N2-M1-A11</v>
      </c>
      <c r="DF510" t="str">
        <f t="shared" ref="DF510:DF516" si="2787">CONCATENATE($T510,"-M",$U510,"-A12")</f>
        <v>N2-M1-A12</v>
      </c>
      <c r="DG510" t="str">
        <f>CONCATENATE($T510,"-M",$U510,"-A20")</f>
        <v>N2-M1-A20</v>
      </c>
      <c r="DH510" t="str">
        <f>CONCATENATE($T510,"-M",$U510,"-A19")</f>
        <v>N2-M1-A19</v>
      </c>
      <c r="DI510" t="s">
        <v>142</v>
      </c>
      <c r="DJ510" t="s">
        <v>143</v>
      </c>
      <c r="DK510">
        <v>11</v>
      </c>
      <c r="DL510">
        <v>14</v>
      </c>
      <c r="DM510">
        <v>12</v>
      </c>
      <c r="DN510" t="s">
        <v>144</v>
      </c>
      <c r="DO510" t="s">
        <v>145</v>
      </c>
      <c r="DP510">
        <v>1</v>
      </c>
      <c r="DQ510">
        <v>2</v>
      </c>
      <c r="DR510">
        <v>3</v>
      </c>
      <c r="DS510">
        <v>4</v>
      </c>
      <c r="DT510">
        <v>5</v>
      </c>
      <c r="DU510">
        <v>6</v>
      </c>
      <c r="DV510">
        <v>7</v>
      </c>
      <c r="DW510">
        <v>8</v>
      </c>
      <c r="DX510">
        <v>9</v>
      </c>
      <c r="DY510">
        <v>10</v>
      </c>
      <c r="DZ510">
        <v>11</v>
      </c>
      <c r="EA510">
        <v>12</v>
      </c>
      <c r="EB510">
        <v>13</v>
      </c>
      <c r="EC510">
        <v>14</v>
      </c>
      <c r="ED510">
        <v>1</v>
      </c>
      <c r="EE510">
        <v>3</v>
      </c>
      <c r="EF510">
        <v>4</v>
      </c>
      <c r="EG510">
        <v>7</v>
      </c>
      <c r="EH510">
        <v>8</v>
      </c>
      <c r="EI510">
        <v>9</v>
      </c>
      <c r="EJ510">
        <v>10</v>
      </c>
      <c r="EK510">
        <v>13</v>
      </c>
      <c r="EL510">
        <v>15</v>
      </c>
      <c r="EM510">
        <v>16</v>
      </c>
      <c r="EN510">
        <v>22</v>
      </c>
      <c r="EO510">
        <v>23</v>
      </c>
      <c r="EP510">
        <v>24</v>
      </c>
      <c r="EQ510" s="16"/>
    </row>
    <row r="511" spans="1:356" x14ac:dyDescent="0.25">
      <c r="A511" s="67" t="s">
        <v>2731</v>
      </c>
      <c r="B511" t="s">
        <v>2730</v>
      </c>
      <c r="C511" s="3"/>
      <c r="O511" s="2"/>
      <c r="P511" t="s">
        <v>2722</v>
      </c>
      <c r="Q511" s="1"/>
      <c r="S511" s="1" t="s">
        <v>130</v>
      </c>
      <c r="T511" s="14" t="s">
        <v>2724</v>
      </c>
      <c r="U511" s="60">
        <v>2</v>
      </c>
      <c r="V511" s="15" t="s">
        <v>2729</v>
      </c>
      <c r="W511" s="15"/>
      <c r="AC511" t="str">
        <f>IF(AD510+AE510&gt;29,REPLACE(AC510,LEN(AC510),1,VALUE(RIGHT(AC510,1))+1),AC510)</f>
        <v>A5.1</v>
      </c>
      <c r="AD511" s="43" cm="1">
        <f t="array" ref="AD511">IF(COUNTIFS(AC$510:AC511,AC511)=1,"1",VALUE(SUBSTITUTE(INDEX(AD:AD,_xlfn.XMATCH(AC511,AC$1:AC510,0,-1)),"A",""))+INDEX(AE:AE,_xlfn.XMATCH(AC511,AC$1:AC510,0,-1))+1)</f>
        <v>7</v>
      </c>
      <c r="AE511" s="43" cm="1">
        <f t="array" ref="AE511">SUM(IF(ISNUMBER(FIND("TmDi",$BE$1:$AAL$1)),IF(IFERROR(ISNUMBER(VALUE(SUBSTITUTE($BE511:$AAL511,"B",""))),FALSE),IF(ISNUMBER(VALUE(SUBSTITUTE($BE511:$AAL511,"B",""))),1,0),0)))</f>
        <v>5</v>
      </c>
      <c r="AF511" t="str">
        <f t="shared" si="2178"/>
        <v>C7</v>
      </c>
      <c r="AG511" t="str">
        <f t="shared" si="2179"/>
        <v>B7</v>
      </c>
      <c r="AH511" t="str">
        <f t="shared" ref="AH511:AH513" si="2788">IF(AI510+AJ510&gt;27,REPLACE(AH510,LEN(AH510),1,VALUE(RIGHT(AH510,1))+1),AH510)</f>
        <v>A6.1</v>
      </c>
      <c r="AI511" s="73" cm="1">
        <f t="array" ref="AI511">IF(COUNTIFS(AH$510:AH511,AH511)=1,"1",VALUE(SUBSTITUTE(INDEX(AI:AI,_xlfn.XMATCH(AH511,AH$1:AH510,0,-1)),"A",""))+INDEX(AJ:AJ,_xlfn.XMATCH(AH511,AH$1:AH510,0,-1))+1)</f>
        <v>4</v>
      </c>
      <c r="AJ511" s="64" cm="1">
        <f t="array" ref="AJ511">SUM(IF(ISNUMBER(FIND("TmDo",$BE$1:$AAL$1)),IF(IFERROR(ISNUMBER(VALUE(SUBSTITUTE($BE511:$AAL511,"B",""))),FALSE),IF(ISNUMBER(VALUE(SUBSTITUTE($BE511:$AAL511,"B",""))),1,0),0)))</f>
        <v>2</v>
      </c>
      <c r="AK511" t="str">
        <f t="shared" si="2732"/>
        <v>4A</v>
      </c>
      <c r="AL511" t="str">
        <f t="shared" si="2733"/>
        <v>4B</v>
      </c>
      <c r="AM511" t="s">
        <v>150</v>
      </c>
      <c r="AP511" t="s">
        <v>2727</v>
      </c>
      <c r="AQ511" t="s">
        <v>2728</v>
      </c>
      <c r="AT511" t="s">
        <v>139</v>
      </c>
      <c r="AU511" t="s">
        <v>140</v>
      </c>
      <c r="BD511" s="16"/>
      <c r="BE511" s="27" t="str">
        <f t="shared" ref="BE511" si="2789">CONCATENATE("XT",U511)</f>
        <v>XT2</v>
      </c>
      <c r="BF511" t="str">
        <f t="shared" ref="BF511" si="2790">CONCATENATE("C",REPLACE(AF511,1,1,"")+1)</f>
        <v>C8</v>
      </c>
      <c r="BG511" t="str">
        <f t="shared" ref="BG511" si="2791">CONCATENATE("B",REPLACE(AG511,1,1,"")+1)</f>
        <v>B8</v>
      </c>
      <c r="BH511" t="str">
        <f t="shared" ref="BH511" si="2792">CONCATENATE("C",REPLACE(BF511,1,1,"")+1)</f>
        <v>C9</v>
      </c>
      <c r="BI511" t="str">
        <f t="shared" ref="BI511" si="2793">CONCATENATE("B",REPLACE(BG511,1,1,"")+1)</f>
        <v>B9</v>
      </c>
      <c r="BJ511" t="str">
        <f t="shared" ref="BJ511" si="2794">CONCATENATE("C",REPLACE(BH511,1,1,"")+1)</f>
        <v>C10</v>
      </c>
      <c r="BK511" t="str">
        <f t="shared" ref="BK511" si="2795">CONCATENATE("B",REPLACE(BI511,1,1,"")+1)</f>
        <v>B10</v>
      </c>
      <c r="BL511" t="str">
        <f t="shared" ref="BL511" si="2796">CONCATENATE("C",REPLACE(BJ511,1,1,"")+1)</f>
        <v>C11</v>
      </c>
      <c r="BM511" t="str">
        <f t="shared" ref="BM511" si="2797">CONCATENATE("B",REPLACE(BK511,1,1,"")+1)</f>
        <v>B11</v>
      </c>
      <c r="BN511" t="str">
        <f t="shared" ref="BN511" si="2798">CONCATENATE("C",REPLACE(BL511,1,1,"")+1)</f>
        <v>C12</v>
      </c>
      <c r="BO511" t="str">
        <f t="shared" ref="BO511" si="2799">CONCATENATE("B",REPLACE(BM511,1,1,"")+1)</f>
        <v>B12</v>
      </c>
      <c r="BP511" t="str">
        <f t="shared" si="2745"/>
        <v>5A</v>
      </c>
      <c r="BQ511" t="str">
        <f t="shared" si="2746"/>
        <v>5B</v>
      </c>
      <c r="BR511" t="str">
        <f t="shared" si="2747"/>
        <v>6A</v>
      </c>
      <c r="BS511" t="str">
        <f t="shared" si="2748"/>
        <v>6B</v>
      </c>
      <c r="BT511" t="str">
        <f t="shared" ref="BT511" si="2800">CONCATENATE("DI",REPLACE($AC511,1,3,""),"-",AF511)</f>
        <v>DI1-C7</v>
      </c>
      <c r="BU511" t="str">
        <f t="shared" ref="BU511" si="2801">CONCATENATE("DI",REPLACE($AC511,1,3,""),"-",AG511)</f>
        <v>DI1-B7</v>
      </c>
      <c r="BV511" t="str">
        <f t="shared" ref="BV511" si="2802">CONCATENATE("DI",REPLACE($AC511,1,3,""),"-",BF511)</f>
        <v>DI1-C8</v>
      </c>
      <c r="BW511" t="str">
        <f t="shared" ref="BW511" si="2803">CONCATENATE("DI",REPLACE($AC511,1,3,""),"-",BG511)</f>
        <v>DI1-B8</v>
      </c>
      <c r="BX511" t="str">
        <f t="shared" ref="BX511" si="2804">CONCATENATE("DI",REPLACE($AC511,1,3,""),"-",BH511)</f>
        <v>DI1-C9</v>
      </c>
      <c r="BY511" t="str">
        <f t="shared" ref="BY511" si="2805">CONCATENATE("DI",REPLACE($AC511,1,3,""),"-",BI511)</f>
        <v>DI1-B9</v>
      </c>
      <c r="BZ511" t="str">
        <f t="shared" ref="BZ511" si="2806">CONCATENATE("DI",REPLACE($AC511,1,3,""),"-",BJ511)</f>
        <v>DI1-C10</v>
      </c>
      <c r="CA511" t="str">
        <f t="shared" ref="CA511" si="2807">CONCATENATE("DI",REPLACE($AC511,1,3,""),"-",BK511)</f>
        <v>DI1-B10</v>
      </c>
      <c r="CB511" t="str">
        <f t="shared" ref="CB511" si="2808">CONCATENATE("DI",REPLACE($AC511,1,3,""),"-",BL511)</f>
        <v>DI1-C11</v>
      </c>
      <c r="CC511" t="str">
        <f t="shared" ref="CC511" si="2809">CONCATENATE("DI",REPLACE($AC511,1,3,""),"-",BM511)</f>
        <v>DI1-B11</v>
      </c>
      <c r="CD511" t="str">
        <f t="shared" ref="CD511" si="2810">CONCATENATE("DI",REPLACE($AC511,1,3,""),"-",BN511)</f>
        <v>DI1-C12</v>
      </c>
      <c r="CE511" t="str">
        <f t="shared" ref="CE511" si="2811">CONCATENATE("DI",REPLACE($AC511,1,3,""),"-",BO511)</f>
        <v>DI1-B12</v>
      </c>
      <c r="CF511" t="str">
        <f t="shared" ref="CF511" si="2812">CONCATENATE("DO",REPLACE($AH511,1,3,""),"-",AK511)</f>
        <v>DO1-4A</v>
      </c>
      <c r="CG511" t="str">
        <f t="shared" ref="CG511" si="2813">CONCATENATE("DO",REPLACE($AH511,1,3,""),"-",AL511)</f>
        <v>DO1-4B</v>
      </c>
      <c r="CH511" t="str">
        <f t="shared" ref="CH511" si="2814">CONCATENATE("DO",REPLACE($AH511,1,3,""),"-",BP511)</f>
        <v>DO1-5A</v>
      </c>
      <c r="CI511" t="str">
        <f t="shared" ref="CI511" si="2815">CONCATENATE("DO",REPLACE($AH511,1,3,""),"-",BQ511)</f>
        <v>DO1-5B</v>
      </c>
      <c r="CJ511" t="str">
        <f t="shared" ref="CJ511" si="2816">CONCATENATE("DO",REPLACE($AH511,1,3,""),"-",BR511)</f>
        <v>DO1-6A</v>
      </c>
      <c r="CK511" t="str">
        <f t="shared" ref="CK511" si="2817">CONCATENATE("DO",REPLACE($AH511,1,3,""),"-",BS511)</f>
        <v>DO1-6B</v>
      </c>
      <c r="CL511" t="str">
        <f t="shared" si="2767"/>
        <v>K2-10</v>
      </c>
      <c r="CM511" t="str">
        <f t="shared" si="2768"/>
        <v>K2-03</v>
      </c>
      <c r="CN511" t="str">
        <f t="shared" si="2769"/>
        <v>K2-04</v>
      </c>
      <c r="CO511" t="str">
        <f t="shared" si="2770"/>
        <v>K2-01</v>
      </c>
      <c r="CP511" t="str">
        <f t="shared" si="2771"/>
        <v>K2-08</v>
      </c>
      <c r="CQ511" t="str">
        <f t="shared" si="2772"/>
        <v>K2-02</v>
      </c>
      <c r="CR511" t="str">
        <f t="shared" si="2773"/>
        <v>K2-09</v>
      </c>
      <c r="CS511" t="str">
        <f t="shared" si="2774"/>
        <v>K2-05</v>
      </c>
      <c r="CT511" t="str">
        <f t="shared" si="2775"/>
        <v>K2-11</v>
      </c>
      <c r="CU511" t="str">
        <f t="shared" si="2776"/>
        <v>N2-M2-A9</v>
      </c>
      <c r="CV511" t="str">
        <f t="shared" si="2777"/>
        <v>N2-M2-A7</v>
      </c>
      <c r="CW511" t="str">
        <f t="shared" si="2778"/>
        <v>N2-M2-A8</v>
      </c>
      <c r="CX511" t="str">
        <f t="shared" si="2779"/>
        <v>N2-M2-A6</v>
      </c>
      <c r="CY511" t="str">
        <f t="shared" si="2780"/>
        <v>N2-M2-A30</v>
      </c>
      <c r="CZ511" t="str">
        <f t="shared" si="2781"/>
        <v>N2-M2-N</v>
      </c>
      <c r="DA511" t="str">
        <f t="shared" ref="DA511" si="2818">CONCATENATE($T511,"-A220-M",U511)</f>
        <v>N2-A220-M2</v>
      </c>
      <c r="DB511" t="str">
        <f t="shared" si="2783"/>
        <v>N2-M2-XM01</v>
      </c>
      <c r="DC511" t="str">
        <f t="shared" si="2784"/>
        <v>N2-M2-A1</v>
      </c>
      <c r="DD511" t="str">
        <f t="shared" si="2785"/>
        <v>N2-M2-A5</v>
      </c>
      <c r="DE511" t="str">
        <f t="shared" si="2786"/>
        <v>N2-M2-A11</v>
      </c>
      <c r="DF511" t="str">
        <f t="shared" si="2787"/>
        <v>N2-M2-A12</v>
      </c>
      <c r="DG511" t="str">
        <f>CONCATENATE($T511,"-M",$U511,"-A20")</f>
        <v>N2-M2-A20</v>
      </c>
      <c r="DH511" t="str">
        <f>CONCATENATE($T511,"-M",$U511,"-A19")</f>
        <v>N2-M2-A19</v>
      </c>
      <c r="DI511" t="s">
        <v>142</v>
      </c>
      <c r="DJ511" t="s">
        <v>143</v>
      </c>
      <c r="DK511">
        <v>11</v>
      </c>
      <c r="DL511">
        <v>14</v>
      </c>
      <c r="DM511">
        <v>12</v>
      </c>
      <c r="DN511" t="s">
        <v>144</v>
      </c>
      <c r="DO511" t="s">
        <v>145</v>
      </c>
      <c r="DP511">
        <v>1</v>
      </c>
      <c r="DQ511">
        <v>2</v>
      </c>
      <c r="DR511">
        <v>3</v>
      </c>
      <c r="DS511">
        <v>4</v>
      </c>
      <c r="DT511">
        <v>5</v>
      </c>
      <c r="DU511">
        <v>6</v>
      </c>
      <c r="DV511">
        <v>7</v>
      </c>
      <c r="DW511">
        <v>8</v>
      </c>
      <c r="DX511">
        <v>9</v>
      </c>
      <c r="DY511">
        <v>10</v>
      </c>
      <c r="DZ511">
        <v>11</v>
      </c>
      <c r="EA511">
        <v>12</v>
      </c>
      <c r="EB511">
        <v>13</v>
      </c>
      <c r="EC511">
        <v>14</v>
      </c>
      <c r="ED511">
        <v>1</v>
      </c>
      <c r="EE511">
        <v>3</v>
      </c>
      <c r="EF511">
        <v>4</v>
      </c>
      <c r="EG511">
        <v>7</v>
      </c>
      <c r="EH511">
        <v>8</v>
      </c>
      <c r="EI511">
        <v>9</v>
      </c>
      <c r="EJ511">
        <v>10</v>
      </c>
      <c r="EK511">
        <v>13</v>
      </c>
      <c r="EL511">
        <v>15</v>
      </c>
      <c r="EM511">
        <v>16</v>
      </c>
      <c r="EN511">
        <v>22</v>
      </c>
      <c r="EO511">
        <v>23</v>
      </c>
      <c r="EP511">
        <v>24</v>
      </c>
      <c r="EQ511" s="16"/>
    </row>
    <row r="512" spans="1:356" x14ac:dyDescent="0.25">
      <c r="A512" s="67" t="s">
        <v>2733</v>
      </c>
      <c r="B512" t="s">
        <v>2732</v>
      </c>
      <c r="C512" s="3"/>
      <c r="O512" s="2"/>
      <c r="P512" t="s">
        <v>2722</v>
      </c>
      <c r="Q512" s="1"/>
      <c r="S512" s="1" t="s">
        <v>130</v>
      </c>
      <c r="T512" s="14" t="s">
        <v>2724</v>
      </c>
      <c r="U512" s="60">
        <v>3</v>
      </c>
      <c r="V512" s="15" t="s">
        <v>2734</v>
      </c>
      <c r="W512" s="15"/>
      <c r="AC512" t="str">
        <f t="shared" ref="AC512:AC516" si="2819">IF(AD511+AE511&gt;29,REPLACE(AC511,LEN(AC511),1,VALUE(RIGHT(AC511,1))+1),AC511)</f>
        <v>A5.1</v>
      </c>
      <c r="AD512" s="43" cm="1">
        <f t="array" ref="AD512">IF(COUNTIFS(AC$510:AC512,AC512)=1,"1",VALUE(SUBSTITUTE(INDEX(AD:AD,_xlfn.XMATCH(AC512,AC$1:AC511,0,-1)),"A",""))+INDEX(AE:AE,_xlfn.XMATCH(AC512,AC$1:AC511,0,-1))+1)</f>
        <v>13</v>
      </c>
      <c r="AE512" s="43" cm="1">
        <f t="array" ref="AE512">SUM(IF(ISNUMBER(FIND("TmDi",$BE$1:$AAL$1)),IF(IFERROR(ISNUMBER(VALUE(SUBSTITUTE($BE512:$AAL512,"B",""))),FALSE),IF(ISNUMBER(VALUE(SUBSTITUTE($BE512:$AAL512,"B",""))),1,0),0)))</f>
        <v>5</v>
      </c>
      <c r="AF512" t="str">
        <f t="shared" si="2178"/>
        <v>C13</v>
      </c>
      <c r="AG512" t="str">
        <f t="shared" si="2179"/>
        <v>B13</v>
      </c>
      <c r="AH512" t="str">
        <f t="shared" si="2788"/>
        <v>A6.1</v>
      </c>
      <c r="AI512" s="73" cm="1">
        <f t="array" ref="AI512">IF(COUNTIFS(AH$510:AH512,AH512)=1,"1",VALUE(SUBSTITUTE(INDEX(AI:AI,_xlfn.XMATCH(AH512,AH$1:AH511,0,-1)),"A",""))+INDEX(AJ:AJ,_xlfn.XMATCH(AH512,AH$1:AH511,0,-1))+1)</f>
        <v>7</v>
      </c>
      <c r="AJ512" s="64" cm="1">
        <f t="array" ref="AJ512">SUM(IF(ISNUMBER(FIND("TmDo",$BE$1:$AAL$1)),IF(IFERROR(ISNUMBER(VALUE(SUBSTITUTE($BE512:$AAL512,"B",""))),FALSE),IF(ISNUMBER(VALUE(SUBSTITUTE($BE512:$AAL512,"B",""))),1,0),0)))</f>
        <v>2</v>
      </c>
      <c r="AK512" t="str">
        <f t="shared" si="2732"/>
        <v>7A</v>
      </c>
      <c r="AL512" t="str">
        <f t="shared" si="2733"/>
        <v>7B</v>
      </c>
      <c r="AM512" t="s">
        <v>155</v>
      </c>
      <c r="AP512" t="s">
        <v>2727</v>
      </c>
      <c r="AQ512" t="s">
        <v>2728</v>
      </c>
      <c r="AT512" t="s">
        <v>139</v>
      </c>
      <c r="AU512" t="s">
        <v>140</v>
      </c>
      <c r="BD512" s="16"/>
      <c r="BE512" s="27" t="str">
        <f t="shared" ref="BE512" si="2820">CONCATENATE("XT",U512)</f>
        <v>XT3</v>
      </c>
      <c r="BF512" t="str">
        <f t="shared" ref="BF512" si="2821">CONCATENATE("C",REPLACE(AF512,1,1,"")+1)</f>
        <v>C14</v>
      </c>
      <c r="BG512" t="str">
        <f t="shared" ref="BG512" si="2822">CONCATENATE("B",REPLACE(AG512,1,1,"")+1)</f>
        <v>B14</v>
      </c>
      <c r="BH512" t="str">
        <f t="shared" ref="BH512" si="2823">CONCATENATE("C",REPLACE(BF512,1,1,"")+1)</f>
        <v>C15</v>
      </c>
      <c r="BI512" t="str">
        <f t="shared" ref="BI512" si="2824">CONCATENATE("B",REPLACE(BG512,1,1,"")+1)</f>
        <v>B15</v>
      </c>
      <c r="BJ512" t="str">
        <f t="shared" ref="BJ512:BJ513" si="2825">CONCATENATE("C",REPLACE(BH512,1,1,"")+1)</f>
        <v>C16</v>
      </c>
      <c r="BK512" t="str">
        <f t="shared" ref="BK512:BK513" si="2826">CONCATENATE("B",REPLACE(BI512,1,1,"")+1)</f>
        <v>B16</v>
      </c>
      <c r="BL512" t="str">
        <f t="shared" ref="BL512" si="2827">CONCATENATE("C",REPLACE(BJ512,1,1,"")+1)</f>
        <v>C17</v>
      </c>
      <c r="BM512" t="str">
        <f t="shared" ref="BM512" si="2828">CONCATENATE("B",REPLACE(BK512,1,1,"")+1)</f>
        <v>B17</v>
      </c>
      <c r="BN512" t="str">
        <f t="shared" ref="BN512" si="2829">CONCATENATE("C",REPLACE(BL512,1,1,"")+1)</f>
        <v>C18</v>
      </c>
      <c r="BO512" t="str">
        <f t="shared" ref="BO512" si="2830">CONCATENATE("B",REPLACE(BM512,1,1,"")+1)</f>
        <v>B18</v>
      </c>
      <c r="BP512" t="str">
        <f t="shared" si="2745"/>
        <v>8A</v>
      </c>
      <c r="BQ512" t="str">
        <f t="shared" si="2746"/>
        <v>8B</v>
      </c>
      <c r="BR512" t="str">
        <f t="shared" si="2747"/>
        <v>9A</v>
      </c>
      <c r="BS512" t="str">
        <f t="shared" si="2748"/>
        <v>9B</v>
      </c>
      <c r="BT512" t="str">
        <f t="shared" ref="BT512" si="2831">CONCATENATE("DI",REPLACE($AC512,1,3,""),"-",AF512)</f>
        <v>DI1-C13</v>
      </c>
      <c r="BU512" t="str">
        <f t="shared" ref="BU512" si="2832">CONCATENATE("DI",REPLACE($AC512,1,3,""),"-",AG512)</f>
        <v>DI1-B13</v>
      </c>
      <c r="BV512" t="str">
        <f t="shared" ref="BV512" si="2833">CONCATENATE("DI",REPLACE($AC512,1,3,""),"-",BF512)</f>
        <v>DI1-C14</v>
      </c>
      <c r="BW512" t="str">
        <f t="shared" ref="BW512" si="2834">CONCATENATE("DI",REPLACE($AC512,1,3,""),"-",BG512)</f>
        <v>DI1-B14</v>
      </c>
      <c r="BX512" t="str">
        <f t="shared" ref="BX512" si="2835">CONCATENATE("DI",REPLACE($AC512,1,3,""),"-",BH512)</f>
        <v>DI1-C15</v>
      </c>
      <c r="BY512" t="str">
        <f t="shared" ref="BY512" si="2836">CONCATENATE("DI",REPLACE($AC512,1,3,""),"-",BI512)</f>
        <v>DI1-B15</v>
      </c>
      <c r="BZ512" t="str">
        <f t="shared" ref="BZ512" si="2837">CONCATENATE("DI",REPLACE($AC512,1,3,""),"-",BJ512)</f>
        <v>DI1-C16</v>
      </c>
      <c r="CA512" t="str">
        <f t="shared" ref="CA512" si="2838">CONCATENATE("DI",REPLACE($AC512,1,3,""),"-",BK512)</f>
        <v>DI1-B16</v>
      </c>
      <c r="CB512" t="str">
        <f t="shared" ref="CB512" si="2839">CONCATENATE("DI",REPLACE($AC512,1,3,""),"-",BL512)</f>
        <v>DI1-C17</v>
      </c>
      <c r="CC512" t="str">
        <f t="shared" ref="CC512" si="2840">CONCATENATE("DI",REPLACE($AC512,1,3,""),"-",BM512)</f>
        <v>DI1-B17</v>
      </c>
      <c r="CD512" t="str">
        <f t="shared" ref="CD512" si="2841">CONCATENATE("DI",REPLACE($AC512,1,3,""),"-",BN512)</f>
        <v>DI1-C18</v>
      </c>
      <c r="CE512" t="str">
        <f t="shared" ref="CE512" si="2842">CONCATENATE("DI",REPLACE($AC512,1,3,""),"-",BO512)</f>
        <v>DI1-B18</v>
      </c>
      <c r="CF512" t="str">
        <f t="shared" ref="CF512" si="2843">CONCATENATE("DO",REPLACE($AH512,1,3,""),"-",AK512)</f>
        <v>DO1-7A</v>
      </c>
      <c r="CG512" t="str">
        <f t="shared" ref="CG512" si="2844">CONCATENATE("DO",REPLACE($AH512,1,3,""),"-",AL512)</f>
        <v>DO1-7B</v>
      </c>
      <c r="CH512" t="str">
        <f t="shared" ref="CH512" si="2845">CONCATENATE("DO",REPLACE($AH512,1,3,""),"-",BP512)</f>
        <v>DO1-8A</v>
      </c>
      <c r="CI512" t="str">
        <f t="shared" ref="CI512" si="2846">CONCATENATE("DO",REPLACE($AH512,1,3,""),"-",BQ512)</f>
        <v>DO1-8B</v>
      </c>
      <c r="CJ512" t="str">
        <f t="shared" ref="CJ512" si="2847">CONCATENATE("DO",REPLACE($AH512,1,3,""),"-",BR512)</f>
        <v>DO1-9A</v>
      </c>
      <c r="CK512" t="str">
        <f t="shared" ref="CK512" si="2848">CONCATENATE("DO",REPLACE($AH512,1,3,""),"-",BS512)</f>
        <v>DO1-9B</v>
      </c>
      <c r="CL512" t="str">
        <f t="shared" si="2767"/>
        <v>K3-10</v>
      </c>
      <c r="CM512" t="str">
        <f t="shared" si="2768"/>
        <v>K3-03</v>
      </c>
      <c r="CN512" t="str">
        <f t="shared" si="2769"/>
        <v>K3-04</v>
      </c>
      <c r="CO512" t="str">
        <f t="shared" si="2770"/>
        <v>K3-01</v>
      </c>
      <c r="CP512" t="str">
        <f t="shared" si="2771"/>
        <v>K3-08</v>
      </c>
      <c r="CQ512" t="str">
        <f t="shared" si="2772"/>
        <v>K3-02</v>
      </c>
      <c r="CR512" t="str">
        <f t="shared" si="2773"/>
        <v>K3-09</v>
      </c>
      <c r="CS512" t="str">
        <f t="shared" si="2774"/>
        <v>K3-05</v>
      </c>
      <c r="CT512" t="str">
        <f t="shared" si="2775"/>
        <v>K3-11</v>
      </c>
      <c r="CU512" t="str">
        <f t="shared" si="2776"/>
        <v>N2-M3-A9</v>
      </c>
      <c r="CV512" t="str">
        <f t="shared" si="2777"/>
        <v>N2-M3-A7</v>
      </c>
      <c r="CW512" t="str">
        <f t="shared" si="2778"/>
        <v>N2-M3-A8</v>
      </c>
      <c r="CX512" t="str">
        <f t="shared" si="2779"/>
        <v>N2-M3-A6</v>
      </c>
      <c r="CY512" t="str">
        <f t="shared" si="2780"/>
        <v>N2-M3-A30</v>
      </c>
      <c r="CZ512" t="str">
        <f t="shared" si="2781"/>
        <v>N2-M3-N</v>
      </c>
      <c r="DA512" t="str">
        <f t="shared" ref="DA512" si="2849">CONCATENATE($T512,"-A220-M",U512)</f>
        <v>N2-A220-M3</v>
      </c>
      <c r="DB512" t="str">
        <f t="shared" si="2783"/>
        <v>N2-M3-XM01</v>
      </c>
      <c r="DC512" t="str">
        <f t="shared" si="2784"/>
        <v>N2-M3-A1</v>
      </c>
      <c r="DD512" t="str">
        <f t="shared" si="2785"/>
        <v>N2-M3-A5</v>
      </c>
      <c r="DE512" t="str">
        <f t="shared" si="2786"/>
        <v>N2-M3-A11</v>
      </c>
      <c r="DF512" t="str">
        <f t="shared" si="2787"/>
        <v>N2-M3-A12</v>
      </c>
      <c r="DG512" t="str">
        <f>CONCATENATE($T512,"-M",$U512,"-A20")</f>
        <v>N2-M3-A20</v>
      </c>
      <c r="DH512" t="str">
        <f>CONCATENATE($T512,"-M",$U512,"-A19")</f>
        <v>N2-M3-A19</v>
      </c>
      <c r="DI512" t="s">
        <v>142</v>
      </c>
      <c r="DJ512" t="s">
        <v>143</v>
      </c>
      <c r="DK512">
        <v>11</v>
      </c>
      <c r="DL512">
        <v>14</v>
      </c>
      <c r="DM512">
        <v>12</v>
      </c>
      <c r="DN512" t="s">
        <v>144</v>
      </c>
      <c r="DO512" t="s">
        <v>145</v>
      </c>
      <c r="DP512">
        <v>1</v>
      </c>
      <c r="DQ512">
        <v>2</v>
      </c>
      <c r="DR512">
        <v>3</v>
      </c>
      <c r="DS512">
        <v>4</v>
      </c>
      <c r="DT512">
        <v>5</v>
      </c>
      <c r="DU512">
        <v>6</v>
      </c>
      <c r="DV512">
        <v>7</v>
      </c>
      <c r="DW512">
        <v>8</v>
      </c>
      <c r="DX512">
        <v>9</v>
      </c>
      <c r="DY512">
        <v>10</v>
      </c>
      <c r="DZ512">
        <v>11</v>
      </c>
      <c r="EA512">
        <v>12</v>
      </c>
      <c r="EB512">
        <v>13</v>
      </c>
      <c r="EC512">
        <v>14</v>
      </c>
      <c r="ED512">
        <v>1</v>
      </c>
      <c r="EE512">
        <v>3</v>
      </c>
      <c r="EF512">
        <v>4</v>
      </c>
      <c r="EG512">
        <v>7</v>
      </c>
      <c r="EH512">
        <v>8</v>
      </c>
      <c r="EI512">
        <v>9</v>
      </c>
      <c r="EJ512">
        <v>10</v>
      </c>
      <c r="EK512">
        <v>13</v>
      </c>
      <c r="EL512">
        <v>15</v>
      </c>
      <c r="EM512">
        <v>16</v>
      </c>
      <c r="EN512">
        <v>22</v>
      </c>
      <c r="EO512">
        <v>23</v>
      </c>
      <c r="EP512">
        <v>24</v>
      </c>
      <c r="EQ512" s="16"/>
    </row>
    <row r="513" spans="1:305" x14ac:dyDescent="0.25">
      <c r="A513" s="67" t="s">
        <v>2737</v>
      </c>
      <c r="B513" t="s">
        <v>2736</v>
      </c>
      <c r="C513" s="3"/>
      <c r="O513" s="2"/>
      <c r="P513" t="s">
        <v>2738</v>
      </c>
      <c r="Q513" s="1"/>
      <c r="S513" s="1" t="s">
        <v>130</v>
      </c>
      <c r="T513" s="14" t="s">
        <v>2724</v>
      </c>
      <c r="U513" s="60">
        <v>4</v>
      </c>
      <c r="V513" s="15" t="s">
        <v>2735</v>
      </c>
      <c r="W513" s="15"/>
      <c r="AC513" t="str">
        <f t="shared" si="2819"/>
        <v>A5.1</v>
      </c>
      <c r="AD513" s="43" cm="1">
        <f t="array" ref="AD513">IF(COUNTIFS(AC$510:AC513,AC513)=1,"1",VALUE(SUBSTITUTE(INDEX(AD:AD,_xlfn.XMATCH(AC513,AC$1:AC512,0,-1)),"A",""))+INDEX(AE:AE,_xlfn.XMATCH(AC513,AC$1:AC512,0,-1))+1)</f>
        <v>19</v>
      </c>
      <c r="AE513" s="43" cm="1">
        <f t="array" ref="AE513">SUM(IF(ISNUMBER(FIND("TmDi",$BE$1:$AAL$1)),IF(IFERROR(ISNUMBER(VALUE(SUBSTITUTE($BE513:$AAL513,"B",""))),FALSE),IF(ISNUMBER(VALUE(SUBSTITUTE($BE513:$AAL513,"B",""))),1,0),0)))</f>
        <v>3</v>
      </c>
      <c r="AF513" t="str">
        <f t="shared" si="2178"/>
        <v>C19</v>
      </c>
      <c r="AG513" t="str">
        <f t="shared" si="2179"/>
        <v>B19</v>
      </c>
      <c r="AH513" t="str">
        <f t="shared" si="2788"/>
        <v>A6.1</v>
      </c>
      <c r="AI513" s="73" cm="1">
        <f t="array" ref="AI513">IF(COUNTIFS(AH$510:AH513,AH513)=1,"1",VALUE(SUBSTITUTE(INDEX(AI:AI,_xlfn.XMATCH(AH513,AH$1:AH512,0,-1)),"A",""))+INDEX(AJ:AJ,_xlfn.XMATCH(AH513,AH$1:AH512,0,-1))+1)</f>
        <v>10</v>
      </c>
      <c r="AJ513" s="64" cm="1">
        <f t="array" ref="AJ513">SUM(IF(ISNUMBER(FIND("TmDo",$BE$1:$AAL$1)),IF(IFERROR(ISNUMBER(VALUE(SUBSTITUTE($BE513:$AAL513,"B",""))),FALSE),IF(ISNUMBER(VALUE(SUBSTITUTE($BE513:$AAL513,"B",""))),1,0),0)))</f>
        <v>2</v>
      </c>
      <c r="AK513" t="str">
        <f t="shared" si="2732"/>
        <v>10A</v>
      </c>
      <c r="AL513" t="str">
        <f t="shared" si="2733"/>
        <v>10B</v>
      </c>
      <c r="AM513" t="s">
        <v>158</v>
      </c>
      <c r="AP513" t="s">
        <v>2727</v>
      </c>
      <c r="AQ513" t="s">
        <v>2728</v>
      </c>
      <c r="AT513" t="s">
        <v>139</v>
      </c>
      <c r="AU513" t="s">
        <v>140</v>
      </c>
      <c r="BD513" s="16"/>
      <c r="BE513" s="27" t="str">
        <f t="shared" ref="BE513" si="2850">CONCATENATE("XT",U513)</f>
        <v>XT4</v>
      </c>
      <c r="BF513" t="str">
        <f t="shared" ref="BF513" si="2851">CONCATENATE("C",REPLACE(AF513,1,1,"")+1)</f>
        <v>C20</v>
      </c>
      <c r="BG513" t="str">
        <f t="shared" ref="BG513" si="2852">CONCATENATE("B",REPLACE(AG513,1,1,"")+1)</f>
        <v>B20</v>
      </c>
      <c r="BH513" t="str">
        <f t="shared" ref="BH513" si="2853">CONCATENATE("C",REPLACE(BF513,1,1,"")+1)</f>
        <v>C21</v>
      </c>
      <c r="BI513" t="str">
        <f t="shared" ref="BI513" si="2854">CONCATENATE("B",REPLACE(BG513,1,1,"")+1)</f>
        <v>B21</v>
      </c>
      <c r="BJ513" t="str">
        <f t="shared" si="2825"/>
        <v>C22</v>
      </c>
      <c r="BK513" t="str">
        <f t="shared" si="2826"/>
        <v>B22</v>
      </c>
      <c r="BP513" t="str">
        <f t="shared" si="2745"/>
        <v>11A</v>
      </c>
      <c r="BQ513" t="str">
        <f t="shared" si="2746"/>
        <v>11B</v>
      </c>
      <c r="BR513" t="str">
        <f t="shared" si="2747"/>
        <v>12A</v>
      </c>
      <c r="BS513" t="str">
        <f t="shared" si="2748"/>
        <v>12B</v>
      </c>
      <c r="BT513" t="str">
        <f t="shared" ref="BT513" si="2855">CONCATENATE("DI",REPLACE($AC513,1,3,""),"-",AF513)</f>
        <v>DI1-C19</v>
      </c>
      <c r="BU513" t="str">
        <f t="shared" ref="BU513" si="2856">CONCATENATE("DI",REPLACE($AC513,1,3,""),"-",AG513)</f>
        <v>DI1-B19</v>
      </c>
      <c r="BV513" t="str">
        <f t="shared" ref="BV513" si="2857">CONCATENATE("DI",REPLACE($AC513,1,3,""),"-",BF513)</f>
        <v>DI1-C20</v>
      </c>
      <c r="BW513" t="str">
        <f t="shared" ref="BW513" si="2858">CONCATENATE("DI",REPLACE($AC513,1,3,""),"-",BG513)</f>
        <v>DI1-B20</v>
      </c>
      <c r="BX513" t="str">
        <f t="shared" ref="BX513" si="2859">CONCATENATE("DI",REPLACE($AC513,1,3,""),"-",BH513)</f>
        <v>DI1-C21</v>
      </c>
      <c r="BY513" t="str">
        <f t="shared" ref="BY513" si="2860">CONCATENATE("DI",REPLACE($AC513,1,3,""),"-",BI513)</f>
        <v>DI1-B21</v>
      </c>
      <c r="BZ513" t="str">
        <f t="shared" ref="BZ513" si="2861">CONCATENATE("DI",REPLACE($AC513,1,3,""),"-",BJ513)</f>
        <v>DI1-C22</v>
      </c>
      <c r="CA513" t="str">
        <f t="shared" ref="CA513" si="2862">CONCATENATE("DI",REPLACE($AC513,1,3,""),"-",BK513)</f>
        <v>DI1-B22</v>
      </c>
      <c r="CB513" t="str">
        <f t="shared" ref="CB513" si="2863">CONCATENATE("DI",REPLACE($AC513,1,3,""),"-",BL513)</f>
        <v>DI1-</v>
      </c>
      <c r="CC513" t="str">
        <f t="shared" ref="CC513" si="2864">CONCATENATE("DI",REPLACE($AC513,1,3,""),"-",BM513)</f>
        <v>DI1-</v>
      </c>
      <c r="CD513" t="str">
        <f t="shared" ref="CD513" si="2865">CONCATENATE("DI",REPLACE($AC513,1,3,""),"-",BN513)</f>
        <v>DI1-</v>
      </c>
      <c r="CE513" t="str">
        <f t="shared" ref="CE513" si="2866">CONCATENATE("DI",REPLACE($AC513,1,3,""),"-",BO513)</f>
        <v>DI1-</v>
      </c>
      <c r="CF513" t="str">
        <f t="shared" ref="CF513" si="2867">CONCATENATE("DO",REPLACE($AH513,1,3,""),"-",AK513)</f>
        <v>DO1-10A</v>
      </c>
      <c r="CG513" t="str">
        <f t="shared" ref="CG513" si="2868">CONCATENATE("DO",REPLACE($AH513,1,3,""),"-",AL513)</f>
        <v>DO1-10B</v>
      </c>
      <c r="CH513" t="str">
        <f t="shared" ref="CH513" si="2869">CONCATENATE("DO",REPLACE($AH513,1,3,""),"-",BP513)</f>
        <v>DO1-11A</v>
      </c>
      <c r="CI513" t="str">
        <f t="shared" ref="CI513" si="2870">CONCATENATE("DO",REPLACE($AH513,1,3,""),"-",BQ513)</f>
        <v>DO1-11B</v>
      </c>
      <c r="CJ513" t="str">
        <f t="shared" ref="CJ513" si="2871">CONCATENATE("DO",REPLACE($AH513,1,3,""),"-",BR513)</f>
        <v>DO1-12A</v>
      </c>
      <c r="CK513" t="str">
        <f t="shared" ref="CK513" si="2872">CONCATENATE("DO",REPLACE($AH513,1,3,""),"-",BS513)</f>
        <v>DO1-12B</v>
      </c>
      <c r="CL513" t="str">
        <f t="shared" si="2767"/>
        <v>K4-10</v>
      </c>
      <c r="CM513" t="str">
        <f t="shared" si="2768"/>
        <v>K4-03</v>
      </c>
      <c r="CN513" t="str">
        <f t="shared" si="2769"/>
        <v>K4-04</v>
      </c>
      <c r="CO513" t="str">
        <f t="shared" si="2770"/>
        <v>K4-01</v>
      </c>
      <c r="CP513" t="str">
        <f t="shared" si="2771"/>
        <v>K4-08</v>
      </c>
      <c r="CQ513" t="str">
        <f t="shared" si="2772"/>
        <v>K4-02</v>
      </c>
      <c r="CR513" t="str">
        <f t="shared" si="2773"/>
        <v>K4-09</v>
      </c>
      <c r="CS513" t="str">
        <f t="shared" si="2774"/>
        <v>K4-05</v>
      </c>
      <c r="CT513" t="str">
        <f t="shared" si="2775"/>
        <v>K4-11</v>
      </c>
      <c r="CU513" t="str">
        <f t="shared" si="2776"/>
        <v>N2-M4-A9</v>
      </c>
      <c r="CV513" t="str">
        <f t="shared" si="2777"/>
        <v>N2-M4-A7</v>
      </c>
      <c r="CW513" t="str">
        <f t="shared" si="2778"/>
        <v>N2-M4-A8</v>
      </c>
      <c r="CX513" t="str">
        <f t="shared" si="2779"/>
        <v>N2-M4-A6</v>
      </c>
      <c r="CY513" t="str">
        <f t="shared" si="2780"/>
        <v>N2-M4-A30</v>
      </c>
      <c r="CZ513" t="str">
        <f t="shared" si="2781"/>
        <v>N2-M4-N</v>
      </c>
      <c r="DA513" t="str">
        <f t="shared" ref="DA513" si="2873">CONCATENATE($T513,"-A220-M",U513)</f>
        <v>N2-A220-M4</v>
      </c>
      <c r="DB513" t="str">
        <f t="shared" si="2783"/>
        <v>N2-M4-XM01</v>
      </c>
      <c r="DC513" t="str">
        <f t="shared" si="2784"/>
        <v>N2-M4-A1</v>
      </c>
      <c r="DD513" t="str">
        <f t="shared" si="2785"/>
        <v>N2-M4-A5</v>
      </c>
      <c r="DE513" t="str">
        <f t="shared" si="2786"/>
        <v>N2-M4-A11</v>
      </c>
      <c r="DF513" t="str">
        <f t="shared" si="2787"/>
        <v>N2-M4-A12</v>
      </c>
      <c r="DG513" t="str">
        <f>CONCATENATE($T513,"-M",$U513,"-A19")</f>
        <v>N2-M4-A19</v>
      </c>
      <c r="DH513" t="str">
        <f>CONCATENATE($T513,"-M",$U513,"-A20")</f>
        <v>N2-M4-A20</v>
      </c>
      <c r="DI513" t="s">
        <v>142</v>
      </c>
      <c r="DJ513" t="s">
        <v>143</v>
      </c>
      <c r="DK513">
        <v>11</v>
      </c>
      <c r="DL513">
        <v>14</v>
      </c>
      <c r="DM513">
        <v>12</v>
      </c>
      <c r="DN513" t="s">
        <v>144</v>
      </c>
      <c r="DO513" t="s">
        <v>145</v>
      </c>
      <c r="DP513">
        <v>1</v>
      </c>
      <c r="DQ513">
        <v>2</v>
      </c>
      <c r="DR513">
        <v>3</v>
      </c>
      <c r="DS513">
        <v>4</v>
      </c>
      <c r="DT513">
        <v>5</v>
      </c>
      <c r="DU513">
        <v>6</v>
      </c>
      <c r="DV513">
        <v>7</v>
      </c>
      <c r="DW513">
        <v>8</v>
      </c>
      <c r="DX513">
        <v>9</v>
      </c>
      <c r="DY513">
        <v>10</v>
      </c>
      <c r="DZ513">
        <v>11</v>
      </c>
      <c r="EA513">
        <v>12</v>
      </c>
      <c r="EB513">
        <v>13</v>
      </c>
      <c r="EC513">
        <v>14</v>
      </c>
      <c r="ED513">
        <v>1</v>
      </c>
      <c r="EE513">
        <v>3</v>
      </c>
      <c r="EF513">
        <v>4</v>
      </c>
      <c r="EG513">
        <v>7</v>
      </c>
      <c r="EH513">
        <v>8</v>
      </c>
      <c r="EI513">
        <v>9</v>
      </c>
      <c r="EJ513">
        <v>10</v>
      </c>
      <c r="EK513">
        <v>13</v>
      </c>
      <c r="EL513">
        <v>15</v>
      </c>
      <c r="EM513">
        <v>16</v>
      </c>
      <c r="EN513">
        <v>16</v>
      </c>
      <c r="EO513">
        <v>22</v>
      </c>
      <c r="EP513">
        <v>23</v>
      </c>
      <c r="EQ513" s="16">
        <v>24</v>
      </c>
    </row>
    <row r="514" spans="1:305" x14ac:dyDescent="0.25">
      <c r="A514" s="67" t="s">
        <v>2740</v>
      </c>
      <c r="B514" t="s">
        <v>2739</v>
      </c>
      <c r="C514" s="3"/>
      <c r="O514" s="2"/>
      <c r="P514" t="s">
        <v>2738</v>
      </c>
      <c r="Q514" s="1"/>
      <c r="S514" s="1" t="s">
        <v>130</v>
      </c>
      <c r="T514" s="14" t="s">
        <v>2724</v>
      </c>
      <c r="U514" s="60">
        <v>5</v>
      </c>
      <c r="V514" s="15" t="s">
        <v>2741</v>
      </c>
      <c r="W514" s="15"/>
      <c r="AC514" t="str">
        <f t="shared" si="2819"/>
        <v>A5.1</v>
      </c>
      <c r="AD514" s="43" cm="1">
        <f t="array" ref="AD514">IF(COUNTIFS(AC$510:AC514,AC514)=1,"1",VALUE(SUBSTITUTE(INDEX(AD:AD,_xlfn.XMATCH(AC514,AC$1:AC513,0,-1)),"A",""))+INDEX(AE:AE,_xlfn.XMATCH(AC514,AC$1:AC513,0,-1))+1)</f>
        <v>23</v>
      </c>
      <c r="AE514" s="43" cm="1">
        <f t="array" ref="AE514">SUM(IF(ISNUMBER(FIND("TmDi",$BE$1:$AAL$1)),IF(IFERROR(ISNUMBER(VALUE(SUBSTITUTE($BE514:$AAL514,"B",""))),FALSE),IF(ISNUMBER(VALUE(SUBSTITUTE($BE514:$AAL514,"B",""))),1,0),0)))</f>
        <v>3</v>
      </c>
      <c r="AF514" t="str">
        <f t="shared" si="2178"/>
        <v>C23</v>
      </c>
      <c r="AG514" t="str">
        <f t="shared" si="2179"/>
        <v>B23</v>
      </c>
      <c r="AH514" t="str">
        <f>IF(AI513+AJ513&gt;27,REPLACE(AH513,LEN(AH513),1,VALUE(RIGHT(AH513,1))+1),AH513)</f>
        <v>A6.1</v>
      </c>
      <c r="AI514" s="73" cm="1">
        <f t="array" ref="AI514">IF(COUNTIFS(AH$510:AH514,AH514)=1,"1",VALUE(SUBSTITUTE(INDEX(AI:AI,_xlfn.XMATCH(AH514,AH$1:AH513,0,-1)),"A",""))+INDEX(AJ:AJ,_xlfn.XMATCH(AH514,AH$1:AH513,0,-1))+1)</f>
        <v>13</v>
      </c>
      <c r="AJ514" s="64" cm="1">
        <f t="array" ref="AJ514">SUM(IF(ISNUMBER(FIND("TmDo",$BE$1:$AAL$1)),IF(IFERROR(ISNUMBER(VALUE(SUBSTITUTE($BE514:$AAL514,"B",""))),FALSE),IF(ISNUMBER(VALUE(SUBSTITUTE($BE514:$AAL514,"B",""))),1,0),0)))</f>
        <v>2</v>
      </c>
      <c r="AK514" t="str">
        <f t="shared" si="2732"/>
        <v>13A</v>
      </c>
      <c r="AL514" t="str">
        <f t="shared" si="2733"/>
        <v>13B</v>
      </c>
      <c r="AM514" t="s">
        <v>161</v>
      </c>
      <c r="AP514" t="s">
        <v>2727</v>
      </c>
      <c r="AQ514" t="s">
        <v>2728</v>
      </c>
      <c r="AT514" t="s">
        <v>139</v>
      </c>
      <c r="AU514" t="s">
        <v>140</v>
      </c>
      <c r="BD514" s="16"/>
      <c r="BE514" s="27" t="str">
        <f t="shared" ref="BE514:BE516" si="2874">CONCATENATE("XT",U514)</f>
        <v>XT5</v>
      </c>
      <c r="BF514" t="str">
        <f t="shared" ref="BF514:BF516" si="2875">CONCATENATE("C",REPLACE(AF514,1,1,"")+1)</f>
        <v>C24</v>
      </c>
      <c r="BG514" t="str">
        <f t="shared" ref="BG514:BG516" si="2876">CONCATENATE("B",REPLACE(AG514,1,1,"")+1)</f>
        <v>B24</v>
      </c>
      <c r="BH514" t="str">
        <f t="shared" ref="BH514:BH516" si="2877">CONCATENATE("C",REPLACE(BF514,1,1,"")+1)</f>
        <v>C25</v>
      </c>
      <c r="BI514" t="str">
        <f t="shared" ref="BI514:BI516" si="2878">CONCATENATE("B",REPLACE(BG514,1,1,"")+1)</f>
        <v>B25</v>
      </c>
      <c r="BJ514" t="str">
        <f t="shared" ref="BJ514:BJ516" si="2879">CONCATENATE("C",REPLACE(BH514,1,1,"")+1)</f>
        <v>C26</v>
      </c>
      <c r="BK514" t="str">
        <f t="shared" ref="BK514:BK516" si="2880">CONCATENATE("B",REPLACE(BI514,1,1,"")+1)</f>
        <v>B26</v>
      </c>
      <c r="BP514" t="str">
        <f t="shared" si="2745"/>
        <v>14A</v>
      </c>
      <c r="BQ514" t="str">
        <f t="shared" si="2746"/>
        <v>14B</v>
      </c>
      <c r="BR514" t="str">
        <f t="shared" si="2747"/>
        <v>15A</v>
      </c>
      <c r="BS514" t="str">
        <f t="shared" si="2748"/>
        <v>15B</v>
      </c>
      <c r="BT514" t="str">
        <f t="shared" ref="BT514:BT516" si="2881">CONCATENATE("DI",REPLACE($AC514,1,3,""),"-",AF514)</f>
        <v>DI1-C23</v>
      </c>
      <c r="BU514" t="str">
        <f t="shared" ref="BU514:BU516" si="2882">CONCATENATE("DI",REPLACE($AC514,1,3,""),"-",AG514)</f>
        <v>DI1-B23</v>
      </c>
      <c r="BV514" t="str">
        <f t="shared" ref="BV514:BV516" si="2883">CONCATENATE("DI",REPLACE($AC514,1,3,""),"-",BF514)</f>
        <v>DI1-C24</v>
      </c>
      <c r="BW514" t="str">
        <f t="shared" ref="BW514:BW516" si="2884">CONCATENATE("DI",REPLACE($AC514,1,3,""),"-",BG514)</f>
        <v>DI1-B24</v>
      </c>
      <c r="BX514" t="str">
        <f t="shared" ref="BX514:BX516" si="2885">CONCATENATE("DI",REPLACE($AC514,1,3,""),"-",BH514)</f>
        <v>DI1-C25</v>
      </c>
      <c r="BY514" t="str">
        <f t="shared" ref="BY514:BY516" si="2886">CONCATENATE("DI",REPLACE($AC514,1,3,""),"-",BI514)</f>
        <v>DI1-B25</v>
      </c>
      <c r="BZ514" t="str">
        <f t="shared" ref="BZ514:BZ516" si="2887">CONCATENATE("DI",REPLACE($AC514,1,3,""),"-",BJ514)</f>
        <v>DI1-C26</v>
      </c>
      <c r="CA514" t="str">
        <f t="shared" ref="CA514:CA516" si="2888">CONCATENATE("DI",REPLACE($AC514,1,3,""),"-",BK514)</f>
        <v>DI1-B26</v>
      </c>
      <c r="CB514" t="str">
        <f t="shared" ref="CB514:CB516" si="2889">CONCATENATE("DI",REPLACE($AC514,1,3,""),"-",BL514)</f>
        <v>DI1-</v>
      </c>
      <c r="CC514" t="str">
        <f t="shared" ref="CC514:CC516" si="2890">CONCATENATE("DI",REPLACE($AC514,1,3,""),"-",BM514)</f>
        <v>DI1-</v>
      </c>
      <c r="CD514" t="str">
        <f t="shared" ref="CD514:CD516" si="2891">CONCATENATE("DI",REPLACE($AC514,1,3,""),"-",BN514)</f>
        <v>DI1-</v>
      </c>
      <c r="CE514" t="str">
        <f t="shared" ref="CE514:CE516" si="2892">CONCATENATE("DI",REPLACE($AC514,1,3,""),"-",BO514)</f>
        <v>DI1-</v>
      </c>
      <c r="CF514" t="str">
        <f t="shared" ref="CF514:CF516" si="2893">CONCATENATE("DO",REPLACE($AH514,1,3,""),"-",AK514)</f>
        <v>DO1-13A</v>
      </c>
      <c r="CG514" t="str">
        <f t="shared" ref="CG514:CG516" si="2894">CONCATENATE("DO",REPLACE($AH514,1,3,""),"-",AL514)</f>
        <v>DO1-13B</v>
      </c>
      <c r="CH514" t="str">
        <f t="shared" ref="CH514:CH516" si="2895">CONCATENATE("DO",REPLACE($AH514,1,3,""),"-",BP514)</f>
        <v>DO1-14A</v>
      </c>
      <c r="CI514" t="str">
        <f t="shared" ref="CI514:CI516" si="2896">CONCATENATE("DO",REPLACE($AH514,1,3,""),"-",BQ514)</f>
        <v>DO1-14B</v>
      </c>
      <c r="CJ514" t="str">
        <f t="shared" ref="CJ514:CJ516" si="2897">CONCATENATE("DO",REPLACE($AH514,1,3,""),"-",BR514)</f>
        <v>DO1-15A</v>
      </c>
      <c r="CK514" t="str">
        <f t="shared" ref="CK514:CK516" si="2898">CONCATENATE("DO",REPLACE($AH514,1,3,""),"-",BS514)</f>
        <v>DO1-15B</v>
      </c>
      <c r="CL514" t="str">
        <f t="shared" si="2767"/>
        <v>K5-10</v>
      </c>
      <c r="CM514" t="str">
        <f t="shared" si="2768"/>
        <v>K5-03</v>
      </c>
      <c r="CN514" t="str">
        <f t="shared" si="2769"/>
        <v>K5-04</v>
      </c>
      <c r="CO514" t="str">
        <f t="shared" si="2770"/>
        <v>K5-01</v>
      </c>
      <c r="CP514" t="str">
        <f t="shared" si="2771"/>
        <v>K5-08</v>
      </c>
      <c r="CQ514" t="str">
        <f t="shared" si="2772"/>
        <v>K5-02</v>
      </c>
      <c r="CR514" t="str">
        <f t="shared" si="2773"/>
        <v>K5-09</v>
      </c>
      <c r="CS514" t="str">
        <f t="shared" si="2774"/>
        <v>K5-05</v>
      </c>
      <c r="CT514" t="str">
        <f t="shared" si="2775"/>
        <v>K5-11</v>
      </c>
      <c r="CU514" t="str">
        <f t="shared" si="2776"/>
        <v>N2-M5-A9</v>
      </c>
      <c r="CV514" t="str">
        <f t="shared" si="2777"/>
        <v>N2-M5-A7</v>
      </c>
      <c r="CW514" t="str">
        <f t="shared" si="2778"/>
        <v>N2-M5-A8</v>
      </c>
      <c r="CX514" t="str">
        <f t="shared" si="2779"/>
        <v>N2-M5-A6</v>
      </c>
      <c r="CY514" t="str">
        <f t="shared" si="2780"/>
        <v>N2-M5-A30</v>
      </c>
      <c r="CZ514" t="str">
        <f t="shared" si="2781"/>
        <v>N2-M5-N</v>
      </c>
      <c r="DA514" t="str">
        <f t="shared" ref="DA514:DA516" si="2899">CONCATENATE($T514,"-A220-M",U514)</f>
        <v>N2-A220-M5</v>
      </c>
      <c r="DB514" t="str">
        <f t="shared" si="2783"/>
        <v>N2-M5-XM01</v>
      </c>
      <c r="DC514" t="str">
        <f t="shared" si="2784"/>
        <v>N2-M5-A1</v>
      </c>
      <c r="DD514" t="str">
        <f t="shared" si="2785"/>
        <v>N2-M5-A5</v>
      </c>
      <c r="DE514" t="str">
        <f t="shared" si="2786"/>
        <v>N2-M5-A11</v>
      </c>
      <c r="DF514" t="str">
        <f t="shared" si="2787"/>
        <v>N2-M5-A12</v>
      </c>
      <c r="DG514" t="str">
        <f>CONCATENATE($T514,"-M",$U514,"-A19")</f>
        <v>N2-M5-A19</v>
      </c>
      <c r="DH514" t="str">
        <f>CONCATENATE($T514,"-M",$U514,"-A20")</f>
        <v>N2-M5-A20</v>
      </c>
      <c r="DI514" t="s">
        <v>142</v>
      </c>
      <c r="DJ514" t="s">
        <v>143</v>
      </c>
      <c r="DK514">
        <v>11</v>
      </c>
      <c r="DL514">
        <v>14</v>
      </c>
      <c r="DM514">
        <v>12</v>
      </c>
      <c r="DN514" t="s">
        <v>144</v>
      </c>
      <c r="DO514" t="s">
        <v>145</v>
      </c>
      <c r="DP514">
        <v>1</v>
      </c>
      <c r="DQ514">
        <v>2</v>
      </c>
      <c r="DR514">
        <v>3</v>
      </c>
      <c r="DS514">
        <v>4</v>
      </c>
      <c r="DT514">
        <v>5</v>
      </c>
      <c r="DU514">
        <v>6</v>
      </c>
      <c r="DV514">
        <v>7</v>
      </c>
      <c r="DW514">
        <v>8</v>
      </c>
      <c r="DX514">
        <v>9</v>
      </c>
      <c r="DY514">
        <v>10</v>
      </c>
      <c r="DZ514">
        <v>11</v>
      </c>
      <c r="EA514">
        <v>12</v>
      </c>
      <c r="EB514">
        <v>13</v>
      </c>
      <c r="EC514">
        <v>14</v>
      </c>
      <c r="ED514">
        <v>1</v>
      </c>
      <c r="EE514">
        <v>3</v>
      </c>
      <c r="EF514">
        <v>4</v>
      </c>
      <c r="EG514">
        <v>7</v>
      </c>
      <c r="EH514">
        <v>8</v>
      </c>
      <c r="EI514">
        <v>9</v>
      </c>
      <c r="EJ514">
        <v>10</v>
      </c>
      <c r="EK514">
        <v>13</v>
      </c>
      <c r="EL514">
        <v>15</v>
      </c>
      <c r="EM514">
        <v>16</v>
      </c>
      <c r="EN514">
        <v>16</v>
      </c>
      <c r="EO514">
        <v>22</v>
      </c>
      <c r="EP514">
        <v>23</v>
      </c>
      <c r="EQ514" s="16">
        <v>24</v>
      </c>
    </row>
    <row r="515" spans="1:305" x14ac:dyDescent="0.25">
      <c r="A515" s="67" t="s">
        <v>2743</v>
      </c>
      <c r="B515" t="s">
        <v>2742</v>
      </c>
      <c r="C515" s="3"/>
      <c r="O515" s="2"/>
      <c r="P515" t="s">
        <v>2738</v>
      </c>
      <c r="Q515" s="1"/>
      <c r="S515" s="1" t="s">
        <v>130</v>
      </c>
      <c r="T515" s="14" t="s">
        <v>2724</v>
      </c>
      <c r="U515" s="60">
        <v>6</v>
      </c>
      <c r="V515" s="15" t="s">
        <v>2744</v>
      </c>
      <c r="W515" s="15"/>
      <c r="AC515" t="str">
        <f t="shared" si="2819"/>
        <v>A5.1</v>
      </c>
      <c r="AD515" s="43" cm="1">
        <f t="array" ref="AD515">IF(COUNTIFS(AC$510:AC515,AC515)=1,"1",VALUE(SUBSTITUTE(INDEX(AD:AD,_xlfn.XMATCH(AC515,AC$1:AC514,0,-1)),"A",""))+INDEX(AE:AE,_xlfn.XMATCH(AC515,AC$1:AC514,0,-1))+1)</f>
        <v>27</v>
      </c>
      <c r="AE515" s="43" cm="1">
        <f t="array" ref="AE515">SUM(IF(ISNUMBER(FIND("TmDi",$BE$1:$AAL$1)),IF(IFERROR(ISNUMBER(VALUE(SUBSTITUTE($BE515:$AAL515,"B",""))),FALSE),IF(ISNUMBER(VALUE(SUBSTITUTE($BE515:$AAL515,"B",""))),1,0),0)))</f>
        <v>3</v>
      </c>
      <c r="AF515" t="str">
        <f t="shared" si="2178"/>
        <v>C27</v>
      </c>
      <c r="AG515" t="str">
        <f t="shared" si="2179"/>
        <v>B27</v>
      </c>
      <c r="AH515" t="str">
        <f t="shared" ref="AH515:AH516" si="2900">IF(AI514+AJ514&gt;27,REPLACE(AH514,LEN(AH514),1,VALUE(RIGHT(AH514,1))+1),AH514)</f>
        <v>A6.1</v>
      </c>
      <c r="AI515" s="73" cm="1">
        <f t="array" ref="AI515">IF(COUNTIFS(AH$510:AH515,AH515)=1,"1",VALUE(SUBSTITUTE(INDEX(AI:AI,_xlfn.XMATCH(AH515,AH$1:AH514,0,-1)),"A",""))+INDEX(AJ:AJ,_xlfn.XMATCH(AH515,AH$1:AH514,0,-1))+1)</f>
        <v>16</v>
      </c>
      <c r="AJ515" s="64" cm="1">
        <f t="array" ref="AJ515">SUM(IF(ISNUMBER(FIND("TmDo",$BE$1:$AAL$1)),IF(IFERROR(ISNUMBER(VALUE(SUBSTITUTE($BE515:$AAL515,"B",""))),FALSE),IF(ISNUMBER(VALUE(SUBSTITUTE($BE515:$AAL515,"B",""))),1,0),0)))</f>
        <v>2</v>
      </c>
      <c r="AK515" t="str">
        <f t="shared" si="2732"/>
        <v>16A</v>
      </c>
      <c r="AL515" t="str">
        <f t="shared" si="2733"/>
        <v>16B</v>
      </c>
      <c r="AM515" t="s">
        <v>163</v>
      </c>
      <c r="AP515" t="s">
        <v>2727</v>
      </c>
      <c r="AQ515" t="s">
        <v>2728</v>
      </c>
      <c r="AT515" t="s">
        <v>139</v>
      </c>
      <c r="AU515" t="s">
        <v>140</v>
      </c>
      <c r="BD515" s="16"/>
      <c r="BE515" s="27" t="str">
        <f t="shared" si="2874"/>
        <v>XT6</v>
      </c>
      <c r="BF515" t="str">
        <f t="shared" si="2875"/>
        <v>C28</v>
      </c>
      <c r="BG515" t="str">
        <f t="shared" si="2876"/>
        <v>B28</v>
      </c>
      <c r="BH515" t="str">
        <f t="shared" si="2877"/>
        <v>C29</v>
      </c>
      <c r="BI515" t="str">
        <f t="shared" si="2878"/>
        <v>B29</v>
      </c>
      <c r="BJ515" t="str">
        <f t="shared" si="2879"/>
        <v>C30</v>
      </c>
      <c r="BK515" t="str">
        <f t="shared" si="2880"/>
        <v>B30</v>
      </c>
      <c r="BP515" t="str">
        <f t="shared" si="2745"/>
        <v>17A</v>
      </c>
      <c r="BQ515" t="str">
        <f t="shared" si="2746"/>
        <v>17B</v>
      </c>
      <c r="BR515" t="str">
        <f t="shared" si="2747"/>
        <v>18A</v>
      </c>
      <c r="BS515" t="str">
        <f t="shared" si="2748"/>
        <v>18B</v>
      </c>
      <c r="BT515" t="str">
        <f t="shared" si="2881"/>
        <v>DI1-C27</v>
      </c>
      <c r="BU515" t="str">
        <f t="shared" si="2882"/>
        <v>DI1-B27</v>
      </c>
      <c r="BV515" t="str">
        <f t="shared" si="2883"/>
        <v>DI1-C28</v>
      </c>
      <c r="BW515" t="str">
        <f t="shared" si="2884"/>
        <v>DI1-B28</v>
      </c>
      <c r="BX515" t="str">
        <f t="shared" si="2885"/>
        <v>DI1-C29</v>
      </c>
      <c r="BY515" t="str">
        <f t="shared" si="2886"/>
        <v>DI1-B29</v>
      </c>
      <c r="BZ515" t="str">
        <f t="shared" si="2887"/>
        <v>DI1-C30</v>
      </c>
      <c r="CA515" t="str">
        <f t="shared" si="2888"/>
        <v>DI1-B30</v>
      </c>
      <c r="CB515" t="str">
        <f t="shared" si="2889"/>
        <v>DI1-</v>
      </c>
      <c r="CC515" t="str">
        <f t="shared" si="2890"/>
        <v>DI1-</v>
      </c>
      <c r="CD515" t="str">
        <f t="shared" si="2891"/>
        <v>DI1-</v>
      </c>
      <c r="CE515" t="str">
        <f t="shared" si="2892"/>
        <v>DI1-</v>
      </c>
      <c r="CF515" t="str">
        <f t="shared" si="2893"/>
        <v>DO1-16A</v>
      </c>
      <c r="CG515" t="str">
        <f t="shared" si="2894"/>
        <v>DO1-16B</v>
      </c>
      <c r="CH515" t="str">
        <f t="shared" si="2895"/>
        <v>DO1-17A</v>
      </c>
      <c r="CI515" t="str">
        <f t="shared" si="2896"/>
        <v>DO1-17B</v>
      </c>
      <c r="CJ515" t="str">
        <f t="shared" si="2897"/>
        <v>DO1-18A</v>
      </c>
      <c r="CK515" t="str">
        <f t="shared" si="2898"/>
        <v>DO1-18B</v>
      </c>
      <c r="CL515" t="str">
        <f t="shared" si="2767"/>
        <v>K6-10</v>
      </c>
      <c r="CM515" t="str">
        <f t="shared" si="2768"/>
        <v>K6-03</v>
      </c>
      <c r="CN515" t="str">
        <f t="shared" si="2769"/>
        <v>K6-04</v>
      </c>
      <c r="CO515" t="str">
        <f t="shared" si="2770"/>
        <v>K6-01</v>
      </c>
      <c r="CP515" t="str">
        <f t="shared" si="2771"/>
        <v>K6-08</v>
      </c>
      <c r="CQ515" t="str">
        <f t="shared" si="2772"/>
        <v>K6-02</v>
      </c>
      <c r="CR515" t="str">
        <f t="shared" si="2773"/>
        <v>K6-09</v>
      </c>
      <c r="CS515" t="str">
        <f t="shared" si="2774"/>
        <v>K6-05</v>
      </c>
      <c r="CT515" t="str">
        <f t="shared" si="2775"/>
        <v>K6-11</v>
      </c>
      <c r="CU515" t="str">
        <f t="shared" si="2776"/>
        <v>N2-M6-A9</v>
      </c>
      <c r="CV515" t="str">
        <f t="shared" si="2777"/>
        <v>N2-M6-A7</v>
      </c>
      <c r="CW515" t="str">
        <f t="shared" si="2778"/>
        <v>N2-M6-A8</v>
      </c>
      <c r="CX515" t="str">
        <f t="shared" si="2779"/>
        <v>N2-M6-A6</v>
      </c>
      <c r="CY515" t="str">
        <f t="shared" si="2780"/>
        <v>N2-M6-A30</v>
      </c>
      <c r="CZ515" t="str">
        <f t="shared" si="2781"/>
        <v>N2-M6-N</v>
      </c>
      <c r="DA515" t="str">
        <f t="shared" si="2899"/>
        <v>N2-A220-M6</v>
      </c>
      <c r="DB515" t="str">
        <f t="shared" si="2783"/>
        <v>N2-M6-XM01</v>
      </c>
      <c r="DC515" t="str">
        <f t="shared" si="2784"/>
        <v>N2-M6-A1</v>
      </c>
      <c r="DD515" t="str">
        <f t="shared" si="2785"/>
        <v>N2-M6-A5</v>
      </c>
      <c r="DE515" t="str">
        <f t="shared" si="2786"/>
        <v>N2-M6-A11</v>
      </c>
      <c r="DF515" t="str">
        <f t="shared" si="2787"/>
        <v>N2-M6-A12</v>
      </c>
      <c r="DG515" t="str">
        <f>CONCATENATE($T515,"-M",$U515,"-A19")</f>
        <v>N2-M6-A19</v>
      </c>
      <c r="DH515" t="str">
        <f>CONCATENATE($T515,"-M",$U515,"-A20")</f>
        <v>N2-M6-A20</v>
      </c>
      <c r="DI515" t="s">
        <v>142</v>
      </c>
      <c r="DJ515" t="s">
        <v>143</v>
      </c>
      <c r="DK515">
        <v>11</v>
      </c>
      <c r="DL515">
        <v>14</v>
      </c>
      <c r="DM515">
        <v>12</v>
      </c>
      <c r="DN515" t="s">
        <v>144</v>
      </c>
      <c r="DO515" t="s">
        <v>145</v>
      </c>
      <c r="DP515">
        <v>1</v>
      </c>
      <c r="DQ515">
        <v>2</v>
      </c>
      <c r="DR515">
        <v>3</v>
      </c>
      <c r="DS515">
        <v>4</v>
      </c>
      <c r="DT515">
        <v>5</v>
      </c>
      <c r="DU515">
        <v>6</v>
      </c>
      <c r="DV515">
        <v>7</v>
      </c>
      <c r="DW515">
        <v>8</v>
      </c>
      <c r="DX515">
        <v>9</v>
      </c>
      <c r="DY515">
        <v>10</v>
      </c>
      <c r="DZ515">
        <v>11</v>
      </c>
      <c r="EA515">
        <v>12</v>
      </c>
      <c r="EB515">
        <v>13</v>
      </c>
      <c r="EC515">
        <v>14</v>
      </c>
      <c r="ED515">
        <v>1</v>
      </c>
      <c r="EE515">
        <v>3</v>
      </c>
      <c r="EF515">
        <v>4</v>
      </c>
      <c r="EG515">
        <v>7</v>
      </c>
      <c r="EH515">
        <v>8</v>
      </c>
      <c r="EI515">
        <v>9</v>
      </c>
      <c r="EJ515">
        <v>10</v>
      </c>
      <c r="EK515">
        <v>13</v>
      </c>
      <c r="EL515">
        <v>15</v>
      </c>
      <c r="EM515">
        <v>16</v>
      </c>
      <c r="EN515">
        <v>16</v>
      </c>
      <c r="EO515">
        <v>22</v>
      </c>
      <c r="EP515">
        <v>23</v>
      </c>
      <c r="EQ515" s="16">
        <v>24</v>
      </c>
    </row>
    <row r="516" spans="1:305" x14ac:dyDescent="0.25">
      <c r="A516" s="67" t="s">
        <v>2747</v>
      </c>
      <c r="B516" t="s">
        <v>2746</v>
      </c>
      <c r="C516" s="3"/>
      <c r="O516" s="2"/>
      <c r="P516" t="s">
        <v>2738</v>
      </c>
      <c r="Q516" s="1"/>
      <c r="S516" s="1" t="s">
        <v>130</v>
      </c>
      <c r="T516" s="14" t="s">
        <v>2724</v>
      </c>
      <c r="U516" s="60">
        <v>7</v>
      </c>
      <c r="V516" s="15" t="s">
        <v>2745</v>
      </c>
      <c r="W516" s="15"/>
      <c r="AC516" t="str">
        <f t="shared" si="2819"/>
        <v>A5.2</v>
      </c>
      <c r="AD516" s="43" t="str" cm="1">
        <f t="array" ref="AD516">IF(COUNTIFS(AC$510:AC516,AC516)=1,"1",VALUE(SUBSTITUTE(INDEX(AD:AD,_xlfn.XMATCH(AC516,AC$1:AC515,0,-1)),"A",""))+INDEX(AE:AE,_xlfn.XMATCH(AC516,AC$1:AC515,0,-1))+1)</f>
        <v>1</v>
      </c>
      <c r="AE516" s="43" cm="1">
        <f t="array" ref="AE516">SUM(IF(ISNUMBER(FIND("TmDi",$BE$1:$AAL$1)),IF(IFERROR(ISNUMBER(VALUE(SUBSTITUTE($BE516:$AAL516,"B",""))),FALSE),IF(ISNUMBER(VALUE(SUBSTITUTE($BE516:$AAL516,"B",""))),1,0),0)))</f>
        <v>3</v>
      </c>
      <c r="AF516" t="str">
        <f t="shared" si="2178"/>
        <v>C1</v>
      </c>
      <c r="AG516" t="str">
        <f t="shared" si="2179"/>
        <v>B1</v>
      </c>
      <c r="AH516" t="str">
        <f t="shared" si="2900"/>
        <v>A6.1</v>
      </c>
      <c r="AI516" s="73" cm="1">
        <f t="array" ref="AI516">IF(COUNTIFS(AH$510:AH516,AH516)=1,"1",VALUE(SUBSTITUTE(INDEX(AI:AI,_xlfn.XMATCH(AH516,AH$1:AH515,0,-1)),"A",""))+INDEX(AJ:AJ,_xlfn.XMATCH(AH516,AH$1:AH515,0,-1))+1)</f>
        <v>19</v>
      </c>
      <c r="AJ516" s="64" cm="1">
        <f t="array" ref="AJ516">SUM(IF(ISNUMBER(FIND("TmDo",$BE$1:$AAL$1)),IF(IFERROR(ISNUMBER(VALUE(SUBSTITUTE($BE516:$AAL516,"B",""))),FALSE),IF(ISNUMBER(VALUE(SUBSTITUTE($BE516:$AAL516,"B",""))),1,0),0)))</f>
        <v>2</v>
      </c>
      <c r="AK516" t="str">
        <f t="shared" si="2732"/>
        <v>19A</v>
      </c>
      <c r="AL516" t="str">
        <f t="shared" si="2733"/>
        <v>19B</v>
      </c>
      <c r="AM516" t="s">
        <v>166</v>
      </c>
      <c r="AP516" t="s">
        <v>2727</v>
      </c>
      <c r="AQ516" t="s">
        <v>2728</v>
      </c>
      <c r="AT516" t="s">
        <v>139</v>
      </c>
      <c r="AU516" t="s">
        <v>140</v>
      </c>
      <c r="BD516" s="16"/>
      <c r="BE516" s="27" t="str">
        <f t="shared" si="2874"/>
        <v>XT7</v>
      </c>
      <c r="BF516" t="str">
        <f t="shared" si="2875"/>
        <v>C2</v>
      </c>
      <c r="BG516" t="str">
        <f t="shared" si="2876"/>
        <v>B2</v>
      </c>
      <c r="BH516" t="str">
        <f t="shared" si="2877"/>
        <v>C3</v>
      </c>
      <c r="BI516" t="str">
        <f t="shared" si="2878"/>
        <v>B3</v>
      </c>
      <c r="BJ516" t="str">
        <f t="shared" si="2879"/>
        <v>C4</v>
      </c>
      <c r="BK516" t="str">
        <f t="shared" si="2880"/>
        <v>B4</v>
      </c>
      <c r="BP516" t="str">
        <f t="shared" si="2745"/>
        <v>20A</v>
      </c>
      <c r="BQ516" t="str">
        <f t="shared" si="2746"/>
        <v>20B</v>
      </c>
      <c r="BR516" t="str">
        <f t="shared" si="2747"/>
        <v>21A</v>
      </c>
      <c r="BS516" t="str">
        <f t="shared" si="2748"/>
        <v>21B</v>
      </c>
      <c r="BT516" t="str">
        <f t="shared" si="2881"/>
        <v>DI2-C1</v>
      </c>
      <c r="BU516" t="str">
        <f t="shared" si="2882"/>
        <v>DI2-B1</v>
      </c>
      <c r="BV516" t="str">
        <f t="shared" si="2883"/>
        <v>DI2-C2</v>
      </c>
      <c r="BW516" t="str">
        <f t="shared" si="2884"/>
        <v>DI2-B2</v>
      </c>
      <c r="BX516" t="str">
        <f t="shared" si="2885"/>
        <v>DI2-C3</v>
      </c>
      <c r="BY516" t="str">
        <f t="shared" si="2886"/>
        <v>DI2-B3</v>
      </c>
      <c r="BZ516" t="str">
        <f t="shared" si="2887"/>
        <v>DI2-C4</v>
      </c>
      <c r="CA516" t="str">
        <f t="shared" si="2888"/>
        <v>DI2-B4</v>
      </c>
      <c r="CB516" t="str">
        <f t="shared" si="2889"/>
        <v>DI2-</v>
      </c>
      <c r="CC516" t="str">
        <f t="shared" si="2890"/>
        <v>DI2-</v>
      </c>
      <c r="CD516" t="str">
        <f t="shared" si="2891"/>
        <v>DI2-</v>
      </c>
      <c r="CE516" t="str">
        <f t="shared" si="2892"/>
        <v>DI2-</v>
      </c>
      <c r="CF516" t="str">
        <f t="shared" si="2893"/>
        <v>DO1-19A</v>
      </c>
      <c r="CG516" t="str">
        <f t="shared" si="2894"/>
        <v>DO1-19B</v>
      </c>
      <c r="CH516" t="str">
        <f t="shared" si="2895"/>
        <v>DO1-20A</v>
      </c>
      <c r="CI516" t="str">
        <f t="shared" si="2896"/>
        <v>DO1-20B</v>
      </c>
      <c r="CJ516" t="str">
        <f t="shared" si="2897"/>
        <v>DO1-21A</v>
      </c>
      <c r="CK516" t="str">
        <f t="shared" si="2898"/>
        <v>DO1-21B</v>
      </c>
      <c r="CL516" t="str">
        <f t="shared" si="2767"/>
        <v>K7-10</v>
      </c>
      <c r="CM516" t="str">
        <f t="shared" si="2768"/>
        <v>K7-03</v>
      </c>
      <c r="CN516" t="str">
        <f t="shared" si="2769"/>
        <v>K7-04</v>
      </c>
      <c r="CO516" t="str">
        <f t="shared" si="2770"/>
        <v>K7-01</v>
      </c>
      <c r="CP516" t="str">
        <f t="shared" si="2771"/>
        <v>K7-08</v>
      </c>
      <c r="CQ516" t="str">
        <f t="shared" si="2772"/>
        <v>K7-02</v>
      </c>
      <c r="CR516" t="str">
        <f t="shared" si="2773"/>
        <v>K7-09</v>
      </c>
      <c r="CS516" t="str">
        <f t="shared" si="2774"/>
        <v>K7-05</v>
      </c>
      <c r="CT516" t="str">
        <f t="shared" si="2775"/>
        <v>K7-11</v>
      </c>
      <c r="CU516" t="str">
        <f t="shared" si="2776"/>
        <v>N2-M7-A9</v>
      </c>
      <c r="CV516" t="str">
        <f t="shared" si="2777"/>
        <v>N2-M7-A7</v>
      </c>
      <c r="CW516" t="str">
        <f t="shared" si="2778"/>
        <v>N2-M7-A8</v>
      </c>
      <c r="CX516" t="str">
        <f t="shared" si="2779"/>
        <v>N2-M7-A6</v>
      </c>
      <c r="CY516" t="str">
        <f t="shared" si="2780"/>
        <v>N2-M7-A30</v>
      </c>
      <c r="CZ516" t="str">
        <f t="shared" si="2781"/>
        <v>N2-M7-N</v>
      </c>
      <c r="DA516" t="str">
        <f t="shared" si="2899"/>
        <v>N2-A220-M7</v>
      </c>
      <c r="DB516" t="str">
        <f t="shared" si="2783"/>
        <v>N2-M7-XM01</v>
      </c>
      <c r="DC516" t="str">
        <f t="shared" si="2784"/>
        <v>N2-M7-A1</v>
      </c>
      <c r="DD516" t="str">
        <f t="shared" si="2785"/>
        <v>N2-M7-A5</v>
      </c>
      <c r="DE516" t="str">
        <f t="shared" si="2786"/>
        <v>N2-M7-A11</v>
      </c>
      <c r="DF516" t="str">
        <f t="shared" si="2787"/>
        <v>N2-M7-A12</v>
      </c>
      <c r="DG516" t="str">
        <f>CONCATENATE($T516,"-M",$U516,"-A19")</f>
        <v>N2-M7-A19</v>
      </c>
      <c r="DH516" t="str">
        <f>CONCATENATE($T516,"-M",$U516,"-A20")</f>
        <v>N2-M7-A20</v>
      </c>
      <c r="DI516" t="s">
        <v>142</v>
      </c>
      <c r="DJ516" t="s">
        <v>143</v>
      </c>
      <c r="DK516">
        <v>11</v>
      </c>
      <c r="DL516">
        <v>14</v>
      </c>
      <c r="DM516">
        <v>12</v>
      </c>
      <c r="DN516" t="s">
        <v>144</v>
      </c>
      <c r="DO516" t="s">
        <v>145</v>
      </c>
      <c r="DP516">
        <v>1</v>
      </c>
      <c r="DQ516">
        <v>2</v>
      </c>
      <c r="DR516">
        <v>3</v>
      </c>
      <c r="DS516">
        <v>4</v>
      </c>
      <c r="DT516">
        <v>5</v>
      </c>
      <c r="DU516">
        <v>6</v>
      </c>
      <c r="DV516">
        <v>7</v>
      </c>
      <c r="DW516">
        <v>8</v>
      </c>
      <c r="DX516">
        <v>9</v>
      </c>
      <c r="DY516">
        <v>10</v>
      </c>
      <c r="DZ516">
        <v>11</v>
      </c>
      <c r="EA516">
        <v>12</v>
      </c>
      <c r="EB516">
        <v>13</v>
      </c>
      <c r="EC516">
        <v>14</v>
      </c>
      <c r="ED516">
        <v>1</v>
      </c>
      <c r="EE516">
        <v>3</v>
      </c>
      <c r="EF516">
        <v>4</v>
      </c>
      <c r="EG516">
        <v>7</v>
      </c>
      <c r="EH516">
        <v>8</v>
      </c>
      <c r="EI516">
        <v>9</v>
      </c>
      <c r="EJ516">
        <v>10</v>
      </c>
      <c r="EK516">
        <v>13</v>
      </c>
      <c r="EL516">
        <v>15</v>
      </c>
      <c r="EM516">
        <v>16</v>
      </c>
      <c r="EN516">
        <v>16</v>
      </c>
      <c r="EO516">
        <v>22</v>
      </c>
      <c r="EP516">
        <v>23</v>
      </c>
      <c r="EQ516" s="16">
        <v>24</v>
      </c>
    </row>
    <row r="517" spans="1:305" x14ac:dyDescent="0.25">
      <c r="A517" t="s">
        <v>2751</v>
      </c>
      <c r="B517" t="s">
        <v>2750</v>
      </c>
      <c r="P517" t="s">
        <v>391</v>
      </c>
      <c r="T517" s="14" t="s">
        <v>2724</v>
      </c>
      <c r="U517" s="60">
        <f t="shared" ref="U517" si="2901">U516+1</f>
        <v>8</v>
      </c>
      <c r="V517" s="15" t="s">
        <v>2749</v>
      </c>
      <c r="W517" s="15" t="s">
        <v>2748</v>
      </c>
      <c r="X517" t="s">
        <v>400</v>
      </c>
      <c r="Y517" s="43" t="str" cm="1">
        <f t="array" ref="Y517">IF(COUNTIFS($X$510:$X517,$X517)=1,"1",VALUE(SUBSTITUTE(INDEX(Y:Y,_xlfn.XMATCH($X517,$X$1:$X516,0,-1)),"A",""))+INDEX(Z:Z,_xlfn.XMATCH($X517,$X$1:$X516,0,-1))+1)</f>
        <v>1</v>
      </c>
      <c r="Z517" s="43" cm="1">
        <f t="array" ref="Z517">SUM(IF(ISNUMBER(FIND("TmAi",$BE$1:$AAL$1)),IF(IFERROR(ISODD(SUBSTITUTE($BE517:$AAL517,"A","")),FALSE),IF(ISODD(SUBSTITUTE($BE517:$AAL517,"A","")),1,0),0)))</f>
        <v>0</v>
      </c>
      <c r="AA517" t="str">
        <f t="shared" ref="AA517:AA518" si="2902">CONCATENATE($Y517*2-1,"A")</f>
        <v>1A</v>
      </c>
      <c r="AB517" t="str">
        <f t="shared" ref="AB517:AB518" si="2903">CONCATENATE($Y517*2-1,"B")</f>
        <v>1B</v>
      </c>
      <c r="AC517" t="str">
        <f t="shared" ref="AC517" si="2904">IF(AD516+AE516&gt;25,REPLACE(AC516,LEN(AC516),1,VALUE(RIGHT(AC516,1))+1),AC516)</f>
        <v>A5.2</v>
      </c>
      <c r="AD517" s="43" cm="1">
        <f t="array" ref="AD517">IF(COUNTIFS(AC$510:AC517,AC517)=1,"1",VALUE(SUBSTITUTE(INDEX(AD:AD,_xlfn.XMATCH(AC517,AC$1:AC516,0,-1)),"A",""))+INDEX(AE:AE,_xlfn.XMATCH(AC517,AC$1:AC516,0,-1))+1)</f>
        <v>5</v>
      </c>
      <c r="AE517" s="43" cm="1">
        <f t="array" ref="AE517">SUM(IF(ISNUMBER(FIND("TmDi",$BE$1:$AAL$1)),IF(IFERROR(ISNUMBER(VALUE(SUBSTITUTE($BE517:$AAL517,"B",""))),FALSE),IF(ISNUMBER(VALUE(SUBSTITUTE($BE517:$AAL517,"B",""))),1,0),0)))</f>
        <v>5</v>
      </c>
      <c r="AF517" t="str">
        <f t="shared" si="2178"/>
        <v>C5</v>
      </c>
      <c r="AG517" t="str">
        <f t="shared" si="2179"/>
        <v>B5</v>
      </c>
      <c r="AH517" t="str">
        <f t="shared" ref="AH517" si="2905">IF(AI516+AJ516&gt;25,REPLACE(AH516,LEN(AH516),1,VALUE(RIGHT(AH516,1))+1),AH516)</f>
        <v>A6.1</v>
      </c>
      <c r="AI517" s="73" cm="1">
        <f t="array" ref="AI517">IF(COUNTIFS(AH$510:AH517,AH517)=1,"1",VALUE(SUBSTITUTE(INDEX(AI:AI,_xlfn.XMATCH(AH517,AH$1:AH516,0,-1)),"A",""))+INDEX(AJ:AJ,_xlfn.XMATCH(AH517,AH$1:AH516,0,-1))+1)</f>
        <v>22</v>
      </c>
      <c r="AJ517" s="64" cm="1">
        <f t="array" ref="AJ517">SUM(IF(ISNUMBER(FIND("TmDo",$BE$1:$AAL$1)),IF(IFERROR(ISNUMBER(VALUE(SUBSTITUTE($BE517:$AAL517,"B",""))),FALSE),IF(ISNUMBER(VALUE(SUBSTITUTE($BE517:$AAL517,"B",""))),1,0),0)))</f>
        <v>1</v>
      </c>
      <c r="AK517" t="str">
        <f t="shared" si="2732"/>
        <v>22A</v>
      </c>
      <c r="AL517" t="str">
        <f t="shared" si="2733"/>
        <v>22B</v>
      </c>
      <c r="AM517" t="s">
        <v>169</v>
      </c>
      <c r="AP517" t="s">
        <v>2727</v>
      </c>
      <c r="AQ517" t="s">
        <v>2728</v>
      </c>
      <c r="AS517" t="s">
        <v>396</v>
      </c>
      <c r="AT517" t="s">
        <v>139</v>
      </c>
      <c r="AU517" t="s">
        <v>140</v>
      </c>
      <c r="BD517" s="16"/>
      <c r="GT517" s="27" t="str">
        <f t="shared" ref="GT517" si="2906">CONCATENATE("XT",U517)</f>
        <v>XT8</v>
      </c>
      <c r="GU517" t="str">
        <f t="shared" ref="GU517" si="2907">CONCATENATE("C",REPLACE(AF517,1,1,"")+1)</f>
        <v>C6</v>
      </c>
      <c r="GV517" t="str">
        <f>CONCATENATE("B",REPLACE(AG517,1,1,"")+1)</f>
        <v>B6</v>
      </c>
      <c r="GW517" t="str">
        <f>CONCATENATE("C",REPLACE(GU517,1,1,"")+1)</f>
        <v>C7</v>
      </c>
      <c r="GX517" t="str">
        <f>CONCATENATE("B",REPLACE(GV517,1,1,"")+1)</f>
        <v>B7</v>
      </c>
      <c r="GY517" t="str">
        <f>CONCATENATE("C",REPLACE(GW517,1,1,"")+1)</f>
        <v>C8</v>
      </c>
      <c r="GZ517" t="str">
        <f>CONCATENATE("B",REPLACE(GX517,1,1,"")+1)</f>
        <v>B8</v>
      </c>
      <c r="HA517" t="str">
        <f>CONCATENATE("C",REPLACE(GY517,1,1,"")+1)</f>
        <v>C9</v>
      </c>
      <c r="HB517" t="str">
        <f>CONCATENATE("B",REPLACE(GZ517,1,1,"")+1)</f>
        <v>B9</v>
      </c>
      <c r="HC517" t="str">
        <f>CONCATENATE("C",REPLACE(HA517,1,1,"")+1)</f>
        <v>C10</v>
      </c>
      <c r="HD517" t="str">
        <f>CONCATENATE("B",REPLACE(HB517,1,1,"")+1)</f>
        <v>B10</v>
      </c>
      <c r="HE517" t="str">
        <f>CONCATENATE(REPLACE($AK517,LEN($AK517),1,"")+1,"A")</f>
        <v>23A</v>
      </c>
      <c r="HF517" t="str">
        <f>CONCATENATE(REPLACE($AL517,LEN($AL517),1,"")+1,"B")</f>
        <v>23B</v>
      </c>
      <c r="HG517" t="str">
        <f t="shared" ref="HG517" si="2908">CONCATENATE("AI",REPLACE($X517,1,3,""),"-",AA517)</f>
        <v>AI1-1A</v>
      </c>
      <c r="HH517" t="str">
        <f t="shared" ref="HH517" si="2909">CONCATENATE("AI",REPLACE($X517,1,3,""),"-",AB517)</f>
        <v>AI1-1B</v>
      </c>
      <c r="HI517" t="str">
        <f t="shared" ref="HI517" si="2910">CONCATENATE("DI",REPLACE($AC517,1,3,""),"-",AF517)</f>
        <v>DI2-C5</v>
      </c>
      <c r="HJ517" t="str">
        <f t="shared" ref="HJ517" si="2911">CONCATENATE("DI",REPLACE($AC517,1,3,""),"-",AG517)</f>
        <v>DI2-B5</v>
      </c>
      <c r="HK517" t="str">
        <f t="shared" ref="HK517" si="2912">CONCATENATE("DI",REPLACE($AC517,1,3,""),"-",GU517)</f>
        <v>DI2-C6</v>
      </c>
      <c r="HL517" t="str">
        <f t="shared" ref="HL517" si="2913">CONCATENATE("DI",REPLACE($AC517,1,3,""),"-",GV517)</f>
        <v>DI2-B6</v>
      </c>
      <c r="HM517" t="str">
        <f t="shared" ref="HM517" si="2914">CONCATENATE("DI",REPLACE($AC517,1,3,""),"-",GW517)</f>
        <v>DI2-C7</v>
      </c>
      <c r="HN517" t="str">
        <f t="shared" ref="HN517" si="2915">CONCATENATE("DI",REPLACE($AC517,1,3,""),"-",GX517)</f>
        <v>DI2-B7</v>
      </c>
      <c r="HO517" t="str">
        <f t="shared" ref="HO517" si="2916">CONCATENATE("DI",REPLACE($AC517,1,3,""),"-",GY517)</f>
        <v>DI2-C8</v>
      </c>
      <c r="HP517" t="str">
        <f t="shared" ref="HP517" si="2917">CONCATENATE("DI",REPLACE($AC517,1,3,""),"-",GZ517)</f>
        <v>DI2-B8</v>
      </c>
      <c r="HQ517" t="str">
        <f t="shared" ref="HQ517" si="2918">CONCATENATE("DI",REPLACE($AC517,1,3,""),"-",HA517)</f>
        <v>DI2-C9</v>
      </c>
      <c r="HR517" t="str">
        <f t="shared" ref="HR517" si="2919">CONCATENATE("DI",REPLACE($AC517,1,3,""),"-",HB517)</f>
        <v>DI2-B9</v>
      </c>
      <c r="HS517" t="str">
        <f t="shared" ref="HS517" si="2920">CONCATENATE("DI",REPLACE($AC517,1,3,""),"-",HC517)</f>
        <v>DI2-C10</v>
      </c>
      <c r="HT517" t="str">
        <f t="shared" ref="HT517" si="2921">CONCATENATE("DI",REPLACE($AC517,1,3,""),"-",HD517)</f>
        <v>DI2-B10</v>
      </c>
      <c r="HU517" t="str">
        <f t="shared" ref="HU517" si="2922">CONCATENATE("DO",REPLACE($AH517,1,3,""),"-",AK517)</f>
        <v>DO1-22A</v>
      </c>
      <c r="HV517" t="str">
        <f t="shared" ref="HV517" si="2923">CONCATENATE("DO",REPLACE($AH517,1,3,""),"-",AL517)</f>
        <v>DO1-22B</v>
      </c>
      <c r="HW517" t="str">
        <f t="shared" ref="HW517" si="2924">CONCATENATE("DO",REPLACE($AH517,1,3,""),"-",HE517)</f>
        <v>DO1-23A</v>
      </c>
      <c r="HX517" t="str">
        <f t="shared" ref="HX517" si="2925">CONCATENATE("DO",REPLACE($AH517,1,3,""),"-",HF517)</f>
        <v>DO1-23B</v>
      </c>
      <c r="HY517" t="str">
        <f>CONCATENATE("K",$U517,"-01")</f>
        <v>K8-01</v>
      </c>
      <c r="HZ517" t="str">
        <f>CONCATENATE("K",$U517,"-02")</f>
        <v>K8-02</v>
      </c>
      <c r="IA517" t="str">
        <f>CONCATENATE("K",$U517,"-03")</f>
        <v>K8-03</v>
      </c>
      <c r="IB517" t="str">
        <f>CONCATENATE("K",$U517,"-04")</f>
        <v>K8-04</v>
      </c>
      <c r="IC517" t="str">
        <f>CONCATENATE("K",$U517,"-05")</f>
        <v>K8-05</v>
      </c>
      <c r="ID517" t="str">
        <f>CONCATENATE("K",$U517,"-06")</f>
        <v>K8-06</v>
      </c>
      <c r="IE517" t="str">
        <f>CONCATENATE("K",$U517,"-07")</f>
        <v>K8-07</v>
      </c>
      <c r="IF517" t="str">
        <f>CONCATENATE("K",$U517,"-08")</f>
        <v>K8-08</v>
      </c>
      <c r="IG517" t="str">
        <f>CONCATENATE($T517,"-M",$U517,"-AMS-12")</f>
        <v>N2-M8-AMS-12</v>
      </c>
      <c r="IH517" t="str">
        <f>CONCATENATE($T517,"-M",$U517,"-AMS-10")</f>
        <v>N2-M8-AMS-10</v>
      </c>
      <c r="II517" t="str">
        <f>CONCATENATE($T517,"-M",$U517,"-AMS-11")</f>
        <v>N2-M8-AMS-11</v>
      </c>
      <c r="IJ517" t="str">
        <f>CONCATENATE($T517,"-M",$U517,"-AMS-13")</f>
        <v>N2-M8-AMS-13</v>
      </c>
      <c r="IK517" t="str">
        <f>CONCATENATE($T517,"-M",$U517,"-AMS-9")</f>
        <v>N2-M8-AMS-9</v>
      </c>
      <c r="IL517" t="str">
        <f>CONCATENATE($T517,"-M",$U517,"-AMS-7")</f>
        <v>N2-M8-AMS-7</v>
      </c>
      <c r="IM517" t="str">
        <f>CONCATENATE($T517,"-M",$U517,"-AMS-18")</f>
        <v>N2-M8-AMS-18</v>
      </c>
      <c r="IN517" t="str">
        <f>CONCATENATE($T517,"-M",$U517,"-AMS-20")</f>
        <v>N2-M8-AMS-20</v>
      </c>
      <c r="IO517" t="str">
        <f>CONCATENATE($T517,"-M",$U517,"-AMS-17")</f>
        <v>N2-M8-AMS-17</v>
      </c>
      <c r="IP517" t="str">
        <f>CONCATENATE($T517,"-+24-M",$U517,)</f>
        <v>N2-+24-M8</v>
      </c>
      <c r="IQ517" t="str">
        <f>CONCATENATE($T517,"-M",$U517,"-XM01")</f>
        <v>N2-M8-XM01</v>
      </c>
      <c r="IR517" t="s">
        <v>142</v>
      </c>
      <c r="IS517" t="s">
        <v>143</v>
      </c>
      <c r="IT517">
        <v>11</v>
      </c>
      <c r="IU517">
        <v>14</v>
      </c>
      <c r="IV517" t="s">
        <v>413</v>
      </c>
      <c r="IW517" t="s">
        <v>414</v>
      </c>
      <c r="IX517">
        <v>1</v>
      </c>
      <c r="IY517">
        <v>2</v>
      </c>
      <c r="IZ517">
        <v>3</v>
      </c>
      <c r="JA517">
        <v>4</v>
      </c>
      <c r="JB517">
        <v>5</v>
      </c>
      <c r="JC517">
        <v>6</v>
      </c>
      <c r="JD517">
        <v>7</v>
      </c>
      <c r="JE517">
        <v>8</v>
      </c>
      <c r="JF517">
        <v>9</v>
      </c>
      <c r="JG517">
        <v>10</v>
      </c>
      <c r="JH517">
        <v>11</v>
      </c>
      <c r="JI517">
        <v>12</v>
      </c>
      <c r="JJ517">
        <v>13</v>
      </c>
      <c r="JK517">
        <v>14</v>
      </c>
      <c r="JL517">
        <v>17</v>
      </c>
      <c r="JM517">
        <v>15</v>
      </c>
      <c r="JN517">
        <v>18</v>
      </c>
      <c r="JO517">
        <v>11</v>
      </c>
      <c r="JP517">
        <v>9</v>
      </c>
      <c r="JQ517">
        <v>6</v>
      </c>
      <c r="JR517">
        <v>20</v>
      </c>
      <c r="JS517">
        <v>7</v>
      </c>
      <c r="JT517">
        <v>10</v>
      </c>
      <c r="JU517">
        <v>22</v>
      </c>
      <c r="JV517">
        <v>23</v>
      </c>
      <c r="JW517">
        <v>26</v>
      </c>
      <c r="JX517">
        <v>27</v>
      </c>
      <c r="JY517" s="16">
        <v>30</v>
      </c>
    </row>
    <row r="518" spans="1:305" x14ac:dyDescent="0.25">
      <c r="A518" t="s">
        <v>2753</v>
      </c>
      <c r="B518" t="s">
        <v>2752</v>
      </c>
      <c r="P518" t="s">
        <v>391</v>
      </c>
      <c r="T518" s="14" t="s">
        <v>2724</v>
      </c>
      <c r="U518" s="60">
        <f t="shared" ref="U518" si="2926">U517+1</f>
        <v>9</v>
      </c>
      <c r="V518" s="15" t="s">
        <v>2754</v>
      </c>
      <c r="W518" s="15" t="s">
        <v>2755</v>
      </c>
      <c r="X518" t="str">
        <f>IF(COUNTIF(X$510:X517,X517)&gt;7,REPLACE(X517,LEN(X517),1,VALUE(RIGHT(X517,1))+1),X517)</f>
        <v>A3.1</v>
      </c>
      <c r="Y518" s="43" cm="1">
        <f t="array" ref="Y518">IF(COUNTIFS($X$510:$X518,$X518)=1,"1",VALUE(SUBSTITUTE(INDEX(Y:Y,_xlfn.XMATCH($X518,$X$1:$X517,0,-1)),"A",""))+INDEX(Z:Z,_xlfn.XMATCH($X518,$X$1:$X517,0,-1))+1)</f>
        <v>2</v>
      </c>
      <c r="Z518" s="43" cm="1">
        <f t="array" ref="Z518">SUM(IF(ISNUMBER(FIND("TmAi",$BE$1:$AAL$1)),IF(IFERROR(ISODD(SUBSTITUTE($BE518:$AAL518,"A","")),FALSE),IF(ISODD(SUBSTITUTE($BE518:$AAL518,"A","")),1,0),0)))</f>
        <v>0</v>
      </c>
      <c r="AA518" t="str">
        <f t="shared" si="2902"/>
        <v>3A</v>
      </c>
      <c r="AB518" t="str">
        <f t="shared" si="2903"/>
        <v>3B</v>
      </c>
      <c r="AC518" t="str">
        <f t="shared" ref="AC518" si="2927">IF(AD517+AE517&gt;25,REPLACE(AC517,LEN(AC517),1,VALUE(RIGHT(AC517,1))+1),AC517)</f>
        <v>A5.2</v>
      </c>
      <c r="AD518" s="43" cm="1">
        <f t="array" ref="AD518">IF(COUNTIFS(AC$510:AC518,AC518)=1,"1",VALUE(SUBSTITUTE(INDEX(AD:AD,_xlfn.XMATCH(AC518,AC$1:AC517,0,-1)),"A",""))+INDEX(AE:AE,_xlfn.XMATCH(AC518,AC$1:AC517,0,-1))+1)</f>
        <v>11</v>
      </c>
      <c r="AE518" s="43" cm="1">
        <f t="array" ref="AE518">SUM(IF(ISNUMBER(FIND("TmDi",$BE$1:$AAL$1)),IF(IFERROR(ISNUMBER(VALUE(SUBSTITUTE($BE518:$AAL518,"B",""))),FALSE),IF(ISNUMBER(VALUE(SUBSTITUTE($BE518:$AAL518,"B",""))),1,0),0)))</f>
        <v>5</v>
      </c>
      <c r="AF518" t="str">
        <f t="shared" si="2178"/>
        <v>C11</v>
      </c>
      <c r="AG518" t="str">
        <f t="shared" si="2179"/>
        <v>B11</v>
      </c>
      <c r="AH518" t="str">
        <f t="shared" ref="AH518" si="2928">IF(AI517+AJ517&gt;25,REPLACE(AH517,LEN(AH517),1,VALUE(RIGHT(AH517,1))+1),AH517)</f>
        <v>A6.1</v>
      </c>
      <c r="AI518" s="73" cm="1">
        <f t="array" ref="AI518">IF(COUNTIFS(AH$510:AH518,AH518)=1,"1",VALUE(SUBSTITUTE(INDEX(AI:AI,_xlfn.XMATCH(AH518,AH$1:AH517,0,-1)),"A",""))+INDEX(AJ:AJ,_xlfn.XMATCH(AH518,AH$1:AH517,0,-1))+1)</f>
        <v>24</v>
      </c>
      <c r="AJ518" s="64" cm="1">
        <f t="array" ref="AJ518">SUM(IF(ISNUMBER(FIND("TmDo",$BE$1:$AAL$1)),IF(IFERROR(ISNUMBER(VALUE(SUBSTITUTE($BE518:$AAL518,"B",""))),FALSE),IF(ISNUMBER(VALUE(SUBSTITUTE($BE518:$AAL518,"B",""))),1,0),0)))</f>
        <v>1</v>
      </c>
      <c r="AK518" t="str">
        <f t="shared" si="2732"/>
        <v>24A</v>
      </c>
      <c r="AL518" t="str">
        <f t="shared" si="2733"/>
        <v>24B</v>
      </c>
      <c r="AM518" t="s">
        <v>172</v>
      </c>
      <c r="AP518" t="s">
        <v>2727</v>
      </c>
      <c r="AQ518" t="s">
        <v>2728</v>
      </c>
      <c r="AS518" t="s">
        <v>396</v>
      </c>
      <c r="AT518" t="s">
        <v>139</v>
      </c>
      <c r="AU518" t="s">
        <v>140</v>
      </c>
      <c r="BD518" s="16"/>
      <c r="GT518" s="27" t="str">
        <f t="shared" ref="GT518" si="2929">CONCATENATE("XT",U518)</f>
        <v>XT9</v>
      </c>
      <c r="GU518" t="str">
        <f t="shared" ref="GU518" si="2930">CONCATENATE("C",REPLACE(AF518,1,1,"")+1)</f>
        <v>C12</v>
      </c>
      <c r="GV518" t="str">
        <f>CONCATENATE("B",REPLACE(AG518,1,1,"")+1)</f>
        <v>B12</v>
      </c>
      <c r="GW518" t="str">
        <f>CONCATENATE("C",REPLACE(GU518,1,1,"")+1)</f>
        <v>C13</v>
      </c>
      <c r="GX518" t="str">
        <f>CONCATENATE("B",REPLACE(GV518,1,1,"")+1)</f>
        <v>B13</v>
      </c>
      <c r="GY518" t="str">
        <f>CONCATENATE("C",REPLACE(GW518,1,1,"")+1)</f>
        <v>C14</v>
      </c>
      <c r="GZ518" t="str">
        <f>CONCATENATE("B",REPLACE(GX518,1,1,"")+1)</f>
        <v>B14</v>
      </c>
      <c r="HA518" t="str">
        <f>CONCATENATE("C",REPLACE(GY518,1,1,"")+1)</f>
        <v>C15</v>
      </c>
      <c r="HB518" t="str">
        <f>CONCATENATE("B",REPLACE(GZ518,1,1,"")+1)</f>
        <v>B15</v>
      </c>
      <c r="HC518" t="str">
        <f>CONCATENATE("C",REPLACE(HA518,1,1,"")+1)</f>
        <v>C16</v>
      </c>
      <c r="HD518" t="str">
        <f>CONCATENATE("B",REPLACE(HB518,1,1,"")+1)</f>
        <v>B16</v>
      </c>
      <c r="HE518" t="str">
        <f>CONCATENATE(REPLACE(AK518,LEN(AK518),1,"")+1,"A")</f>
        <v>25A</v>
      </c>
      <c r="HF518" t="str">
        <f>CONCATENATE(REPLACE(AL518,LEN(AL518),1,"")+1,"B")</f>
        <v>25B</v>
      </c>
      <c r="HG518" t="str">
        <f t="shared" ref="HG518" si="2931">CONCATENATE("AI",REPLACE($X518,1,3,""),"-",AA518)</f>
        <v>AI1-3A</v>
      </c>
      <c r="HH518" t="str">
        <f t="shared" ref="HH518" si="2932">CONCATENATE("AI",REPLACE($X518,1,3,""),"-",AB518)</f>
        <v>AI1-3B</v>
      </c>
      <c r="HI518" t="str">
        <f t="shared" ref="HI518" si="2933">CONCATENATE("DI",REPLACE($AC518,1,3,""),"-",AF518)</f>
        <v>DI2-C11</v>
      </c>
      <c r="HJ518" t="str">
        <f t="shared" ref="HJ518" si="2934">CONCATENATE("DI",REPLACE($AC518,1,3,""),"-",AG518)</f>
        <v>DI2-B11</v>
      </c>
      <c r="HK518" t="str">
        <f t="shared" ref="HK518" si="2935">CONCATENATE("DI",REPLACE($AC518,1,3,""),"-",GU518)</f>
        <v>DI2-C12</v>
      </c>
      <c r="HL518" t="str">
        <f t="shared" ref="HL518" si="2936">CONCATENATE("DI",REPLACE($AC518,1,3,""),"-",GV518)</f>
        <v>DI2-B12</v>
      </c>
      <c r="HM518" t="str">
        <f t="shared" ref="HM518" si="2937">CONCATENATE("DI",REPLACE($AC518,1,3,""),"-",GW518)</f>
        <v>DI2-C13</v>
      </c>
      <c r="HN518" t="str">
        <f t="shared" ref="HN518" si="2938">CONCATENATE("DI",REPLACE($AC518,1,3,""),"-",GX518)</f>
        <v>DI2-B13</v>
      </c>
      <c r="HO518" t="str">
        <f t="shared" ref="HO518" si="2939">CONCATENATE("DI",REPLACE($AC518,1,3,""),"-",GY518)</f>
        <v>DI2-C14</v>
      </c>
      <c r="HP518" t="str">
        <f t="shared" ref="HP518" si="2940">CONCATENATE("DI",REPLACE($AC518,1,3,""),"-",GZ518)</f>
        <v>DI2-B14</v>
      </c>
      <c r="HQ518" t="str">
        <f t="shared" ref="HQ518" si="2941">CONCATENATE("DI",REPLACE($AC518,1,3,""),"-",HA518)</f>
        <v>DI2-C15</v>
      </c>
      <c r="HR518" t="str">
        <f t="shared" ref="HR518" si="2942">CONCATENATE("DI",REPLACE($AC518,1,3,""),"-",HB518)</f>
        <v>DI2-B15</v>
      </c>
      <c r="HS518" t="str">
        <f t="shared" ref="HS518" si="2943">CONCATENATE("DI",REPLACE($AC518,1,3,""),"-",HC518)</f>
        <v>DI2-C16</v>
      </c>
      <c r="HT518" t="str">
        <f t="shared" ref="HT518" si="2944">CONCATENATE("DI",REPLACE($AC518,1,3,""),"-",HD518)</f>
        <v>DI2-B16</v>
      </c>
      <c r="HU518" t="str">
        <f t="shared" ref="HU518" si="2945">CONCATENATE("DO",REPLACE($AH518,1,3,""),"-",AK518)</f>
        <v>DO1-24A</v>
      </c>
      <c r="HV518" t="str">
        <f t="shared" ref="HV518" si="2946">CONCATENATE("DO",REPLACE($AH518,1,3,""),"-",AL518)</f>
        <v>DO1-24B</v>
      </c>
      <c r="HW518" t="str">
        <f t="shared" ref="HW518" si="2947">CONCATENATE("DO",REPLACE($AH518,1,3,""),"-",HE518)</f>
        <v>DO1-25A</v>
      </c>
      <c r="HX518" t="str">
        <f t="shared" ref="HX518" si="2948">CONCATENATE("DO",REPLACE($AH518,1,3,""),"-",HF518)</f>
        <v>DO1-25B</v>
      </c>
      <c r="HY518" t="str">
        <f>CONCATENATE("K",$U518,"-01")</f>
        <v>K9-01</v>
      </c>
      <c r="HZ518" t="str">
        <f>CONCATENATE("K",$U518,"-02")</f>
        <v>K9-02</v>
      </c>
      <c r="IA518" t="str">
        <f>CONCATENATE("K",$U518,"-03")</f>
        <v>K9-03</v>
      </c>
      <c r="IB518" t="str">
        <f>CONCATENATE("K",$U518,"-04")</f>
        <v>K9-04</v>
      </c>
      <c r="IC518" t="str">
        <f>CONCATENATE("K",$U518,"-05")</f>
        <v>K9-05</v>
      </c>
      <c r="ID518" t="str">
        <f>CONCATENATE("K",$U518,"-06")</f>
        <v>K9-06</v>
      </c>
      <c r="IE518" t="str">
        <f>CONCATENATE("K",$U518,"-07")</f>
        <v>K9-07</v>
      </c>
      <c r="IF518" t="str">
        <f>CONCATENATE("K",$U518,"-08")</f>
        <v>K9-08</v>
      </c>
      <c r="IG518" t="str">
        <f>CONCATENATE($T518,"-M",$U518,"-AMS-12")</f>
        <v>N2-M9-AMS-12</v>
      </c>
      <c r="IH518" t="str">
        <f>CONCATENATE($T518,"-M",$U518,"-AMS-10")</f>
        <v>N2-M9-AMS-10</v>
      </c>
      <c r="II518" t="str">
        <f>CONCATENATE($T518,"-M",$U518,"-AMS-11")</f>
        <v>N2-M9-AMS-11</v>
      </c>
      <c r="IJ518" t="str">
        <f>CONCATENATE($T518,"-M",$U518,"-AMS-13")</f>
        <v>N2-M9-AMS-13</v>
      </c>
      <c r="IK518" t="str">
        <f>CONCATENATE($T518,"-M",$U518,"-AMS-9")</f>
        <v>N2-M9-AMS-9</v>
      </c>
      <c r="IL518" t="str">
        <f>CONCATENATE($T518,"-M",$U518,"-AMS-7")</f>
        <v>N2-M9-AMS-7</v>
      </c>
      <c r="IM518" t="str">
        <f>CONCATENATE($T518,"-M",$U518,"-AMS-18")</f>
        <v>N2-M9-AMS-18</v>
      </c>
      <c r="IN518" t="str">
        <f>CONCATENATE($T518,"-M",$U518,"-AMS-20")</f>
        <v>N2-M9-AMS-20</v>
      </c>
      <c r="IO518" t="str">
        <f>CONCATENATE($T518,"-M",$U518,"-AMS-17")</f>
        <v>N2-M9-AMS-17</v>
      </c>
      <c r="IP518" t="str">
        <f>CONCATENATE($T518,"-+24-M",$U518,)</f>
        <v>N2-+24-M9</v>
      </c>
      <c r="IQ518" t="str">
        <f>CONCATENATE($T518,"-M",$U518,"-XM01")</f>
        <v>N2-M9-XM01</v>
      </c>
      <c r="IR518" t="s">
        <v>142</v>
      </c>
      <c r="IS518" t="s">
        <v>143</v>
      </c>
      <c r="IT518">
        <v>11</v>
      </c>
      <c r="IU518">
        <v>14</v>
      </c>
      <c r="IV518" t="s">
        <v>413</v>
      </c>
      <c r="IW518" t="s">
        <v>414</v>
      </c>
      <c r="IX518">
        <v>1</v>
      </c>
      <c r="IY518">
        <v>2</v>
      </c>
      <c r="IZ518">
        <v>3</v>
      </c>
      <c r="JA518">
        <v>4</v>
      </c>
      <c r="JB518">
        <v>5</v>
      </c>
      <c r="JC518">
        <v>6</v>
      </c>
      <c r="JD518">
        <v>7</v>
      </c>
      <c r="JE518">
        <v>8</v>
      </c>
      <c r="JF518">
        <v>9</v>
      </c>
      <c r="JG518">
        <v>10</v>
      </c>
      <c r="JH518">
        <v>11</v>
      </c>
      <c r="JI518">
        <v>12</v>
      </c>
      <c r="JJ518">
        <v>13</v>
      </c>
      <c r="JK518">
        <v>14</v>
      </c>
      <c r="JL518">
        <v>17</v>
      </c>
      <c r="JM518">
        <v>15</v>
      </c>
      <c r="JN518">
        <v>18</v>
      </c>
      <c r="JO518">
        <v>11</v>
      </c>
      <c r="JP518">
        <v>9</v>
      </c>
      <c r="JQ518">
        <v>6</v>
      </c>
      <c r="JR518">
        <v>20</v>
      </c>
      <c r="JS518">
        <v>7</v>
      </c>
      <c r="JT518">
        <v>10</v>
      </c>
      <c r="JU518">
        <v>22</v>
      </c>
      <c r="JV518">
        <v>23</v>
      </c>
      <c r="JW518">
        <v>26</v>
      </c>
      <c r="JX518">
        <v>27</v>
      </c>
      <c r="JY518" s="16">
        <v>30</v>
      </c>
    </row>
    <row r="519" spans="1:305" x14ac:dyDescent="0.25">
      <c r="A519" s="67" t="s">
        <v>2759</v>
      </c>
      <c r="B519" t="s">
        <v>2757</v>
      </c>
      <c r="C519" s="3"/>
      <c r="O519" s="2"/>
      <c r="P519" t="s">
        <v>2722</v>
      </c>
      <c r="Q519" s="1"/>
      <c r="S519" s="1" t="s">
        <v>130</v>
      </c>
      <c r="T519" s="14" t="s">
        <v>2724</v>
      </c>
      <c r="U519" s="60">
        <v>10</v>
      </c>
      <c r="V519" s="15" t="s">
        <v>2758</v>
      </c>
      <c r="W519" s="15"/>
      <c r="AC519" t="str">
        <f>IF(AD518+AE518&gt;29,REPLACE(AC518,LEN(AC518),1,VALUE(RIGHT(AC518,1))+1),AC518)</f>
        <v>A5.2</v>
      </c>
      <c r="AD519" s="43" cm="1">
        <f t="array" ref="AD519">IF(COUNTIFS(AC$510:AC519,AC519)=1,"1",VALUE(SUBSTITUTE(INDEX(AD:AD,_xlfn.XMATCH(AC519,AC$1:AC518,0,-1)),"A",""))+INDEX(AE:AE,_xlfn.XMATCH(AC519,AC$1:AC518,0,-1))+1)</f>
        <v>17</v>
      </c>
      <c r="AE519" s="43" cm="1">
        <f t="array" ref="AE519">SUM(IF(ISNUMBER(FIND("TmDi",$BE$1:$AAL$1)),IF(IFERROR(ISNUMBER(VALUE(SUBSTITUTE($BE519:$AAL519,"B",""))),FALSE),IF(ISNUMBER(VALUE(SUBSTITUTE($BE519:$AAL519,"B",""))),1,0),0)))</f>
        <v>5</v>
      </c>
      <c r="AF519" t="str">
        <f t="shared" si="2178"/>
        <v>C17</v>
      </c>
      <c r="AG519" t="str">
        <f t="shared" si="2179"/>
        <v>B17</v>
      </c>
      <c r="AH519" t="str">
        <f t="shared" ref="AH519" si="2949">IF(AI518+AJ518&gt;27,REPLACE(AH518,LEN(AH518),1,VALUE(RIGHT(AH518,1))+1),AH518)</f>
        <v>A6.1</v>
      </c>
      <c r="AI519" s="73" cm="1">
        <f t="array" ref="AI519">IF(COUNTIFS(AH$510:AH519,AH519)=1,"1",VALUE(SUBSTITUTE(INDEX(AI:AI,_xlfn.XMATCH(AH519,AH$1:AH518,0,-1)),"A",""))+INDEX(AJ:AJ,_xlfn.XMATCH(AH519,AH$1:AH518,0,-1))+1)</f>
        <v>26</v>
      </c>
      <c r="AJ519" s="64" cm="1">
        <f t="array" ref="AJ519">SUM(IF(ISNUMBER(FIND("TmDo",$BE$1:$AAL$1)),IF(IFERROR(ISNUMBER(VALUE(SUBSTITUTE($BE519:$AAL519,"B",""))),FALSE),IF(ISNUMBER(VALUE(SUBSTITUTE($BE519:$AAL519,"B",""))),1,0),0)))</f>
        <v>2</v>
      </c>
      <c r="AK519" t="str">
        <f t="shared" si="2732"/>
        <v>26A</v>
      </c>
      <c r="AL519" t="str">
        <f t="shared" si="2733"/>
        <v>26B</v>
      </c>
      <c r="AM519" t="s">
        <v>141</v>
      </c>
      <c r="AP519" t="s">
        <v>2727</v>
      </c>
      <c r="AQ519" t="s">
        <v>2756</v>
      </c>
      <c r="AT519" t="s">
        <v>139</v>
      </c>
      <c r="AU519" t="s">
        <v>140</v>
      </c>
      <c r="BD519" s="16"/>
      <c r="BE519" s="27" t="str">
        <f t="shared" ref="BE519" si="2950">CONCATENATE("XT",U519)</f>
        <v>XT10</v>
      </c>
      <c r="BF519" t="str">
        <f t="shared" ref="BF519" si="2951">CONCATENATE("C",REPLACE(AF519,1,1,"")+1)</f>
        <v>C18</v>
      </c>
      <c r="BG519" t="str">
        <f t="shared" ref="BG519" si="2952">CONCATENATE("B",REPLACE(AG519,1,1,"")+1)</f>
        <v>B18</v>
      </c>
      <c r="BH519" t="str">
        <f t="shared" ref="BH519" si="2953">CONCATENATE("C",REPLACE(BF519,1,1,"")+1)</f>
        <v>C19</v>
      </c>
      <c r="BI519" t="str">
        <f t="shared" ref="BI519" si="2954">CONCATENATE("B",REPLACE(BG519,1,1,"")+1)</f>
        <v>B19</v>
      </c>
      <c r="BJ519" t="str">
        <f t="shared" ref="BJ519" si="2955">CONCATENATE("C",REPLACE(BH519,1,1,"")+1)</f>
        <v>C20</v>
      </c>
      <c r="BK519" t="str">
        <f t="shared" ref="BK519" si="2956">CONCATENATE("B",REPLACE(BI519,1,1,"")+1)</f>
        <v>B20</v>
      </c>
      <c r="BL519" t="str">
        <f t="shared" ref="BL519" si="2957">CONCATENATE("C",REPLACE(BJ519,1,1,"")+1)</f>
        <v>C21</v>
      </c>
      <c r="BM519" t="str">
        <f t="shared" ref="BM519" si="2958">CONCATENATE("B",REPLACE(BK519,1,1,"")+1)</f>
        <v>B21</v>
      </c>
      <c r="BN519" t="str">
        <f t="shared" ref="BN519" si="2959">CONCATENATE("C",REPLACE(BL519,1,1,"")+1)</f>
        <v>C22</v>
      </c>
      <c r="BO519" t="str">
        <f t="shared" ref="BO519" si="2960">CONCATENATE("B",REPLACE(BM519,1,1,"")+1)</f>
        <v>B22</v>
      </c>
      <c r="BP519" t="str">
        <f t="shared" ref="BP519:BP525" si="2961">CONCATENATE(REPLACE(AK519,LEN(AK519),1,"")+1,"A")</f>
        <v>27A</v>
      </c>
      <c r="BQ519" t="str">
        <f t="shared" ref="BQ519:BQ525" si="2962">CONCATENATE(REPLACE(AL519,LEN(AL519),1,"")+1,"B")</f>
        <v>27B</v>
      </c>
      <c r="BR519" t="str">
        <f t="shared" ref="BR519:BR526" si="2963">CONCATENATE(REPLACE(BP519,LEN(BP519),1,"")+1,"A")</f>
        <v>28A</v>
      </c>
      <c r="BS519" t="str">
        <f t="shared" ref="BS519:BS526" si="2964">CONCATENATE(REPLACE(BQ519,LEN(BQ519),1,"")+1,"B")</f>
        <v>28B</v>
      </c>
      <c r="BT519" t="str">
        <f t="shared" ref="BT519" si="2965">CONCATENATE("DI",REPLACE($AC519,1,3,""),"-",AF519)</f>
        <v>DI2-C17</v>
      </c>
      <c r="BU519" t="str">
        <f t="shared" ref="BU519" si="2966">CONCATENATE("DI",REPLACE($AC519,1,3,""),"-",AG519)</f>
        <v>DI2-B17</v>
      </c>
      <c r="BV519" t="str">
        <f t="shared" ref="BV519" si="2967">CONCATENATE("DI",REPLACE($AC519,1,3,""),"-",BF519)</f>
        <v>DI2-C18</v>
      </c>
      <c r="BW519" t="str">
        <f t="shared" ref="BW519" si="2968">CONCATENATE("DI",REPLACE($AC519,1,3,""),"-",BG519)</f>
        <v>DI2-B18</v>
      </c>
      <c r="BX519" t="str">
        <f t="shared" ref="BX519" si="2969">CONCATENATE("DI",REPLACE($AC519,1,3,""),"-",BH519)</f>
        <v>DI2-C19</v>
      </c>
      <c r="BY519" t="str">
        <f t="shared" ref="BY519" si="2970">CONCATENATE("DI",REPLACE($AC519,1,3,""),"-",BI519)</f>
        <v>DI2-B19</v>
      </c>
      <c r="BZ519" t="str">
        <f t="shared" ref="BZ519" si="2971">CONCATENATE("DI",REPLACE($AC519,1,3,""),"-",BJ519)</f>
        <v>DI2-C20</v>
      </c>
      <c r="CA519" t="str">
        <f t="shared" ref="CA519" si="2972">CONCATENATE("DI",REPLACE($AC519,1,3,""),"-",BK519)</f>
        <v>DI2-B20</v>
      </c>
      <c r="CB519" t="str">
        <f t="shared" ref="CB519" si="2973">CONCATENATE("DI",REPLACE($AC519,1,3,""),"-",BL519)</f>
        <v>DI2-C21</v>
      </c>
      <c r="CC519" t="str">
        <f t="shared" ref="CC519" si="2974">CONCATENATE("DI",REPLACE($AC519,1,3,""),"-",BM519)</f>
        <v>DI2-B21</v>
      </c>
      <c r="CD519" t="str">
        <f t="shared" ref="CD519" si="2975">CONCATENATE("DI",REPLACE($AC519,1,3,""),"-",BN519)</f>
        <v>DI2-C22</v>
      </c>
      <c r="CE519" t="str">
        <f t="shared" ref="CE519" si="2976">CONCATENATE("DI",REPLACE($AC519,1,3,""),"-",BO519)</f>
        <v>DI2-B22</v>
      </c>
      <c r="CF519" t="str">
        <f t="shared" ref="CF519" si="2977">CONCATENATE("DO",REPLACE($AH519,1,3,""),"-",AK519)</f>
        <v>DO1-26A</v>
      </c>
      <c r="CG519" t="str">
        <f t="shared" ref="CG519" si="2978">CONCATENATE("DO",REPLACE($AH519,1,3,""),"-",AL519)</f>
        <v>DO1-26B</v>
      </c>
      <c r="CH519" t="str">
        <f t="shared" ref="CH519" si="2979">CONCATENATE("DO",REPLACE($AH519,1,3,""),"-",BP519)</f>
        <v>DO1-27A</v>
      </c>
      <c r="CI519" t="str">
        <f t="shared" ref="CI519" si="2980">CONCATENATE("DO",REPLACE($AH519,1,3,""),"-",BQ519)</f>
        <v>DO1-27B</v>
      </c>
      <c r="CJ519" t="str">
        <f t="shared" ref="CJ519" si="2981">CONCATENATE("DO",REPLACE($AH519,1,3,""),"-",BR519)</f>
        <v>DO1-28A</v>
      </c>
      <c r="CK519" t="str">
        <f t="shared" ref="CK519" si="2982">CONCATENATE("DO",REPLACE($AH519,1,3,""),"-",BS519)</f>
        <v>DO1-28B</v>
      </c>
      <c r="CL519" t="str">
        <f t="shared" ref="CL519:CL526" si="2983">CONCATENATE("K",$U519,"-10")</f>
        <v>K10-10</v>
      </c>
      <c r="CM519" t="str">
        <f t="shared" ref="CM519:CM526" si="2984">CONCATENATE("K",$U519,"-03")</f>
        <v>K10-03</v>
      </c>
      <c r="CN519" t="str">
        <f t="shared" ref="CN519:CN526" si="2985">CONCATENATE("K",$U519,"-04")</f>
        <v>K10-04</v>
      </c>
      <c r="CO519" t="str">
        <f t="shared" ref="CO519:CO526" si="2986">CONCATENATE("K",$U519,"-01")</f>
        <v>K10-01</v>
      </c>
      <c r="CP519" t="str">
        <f t="shared" ref="CP519:CP526" si="2987">CONCATENATE("K",$U519,"-08")</f>
        <v>K10-08</v>
      </c>
      <c r="CQ519" t="str">
        <f t="shared" ref="CQ519:CQ526" si="2988">CONCATENATE("K",$U519,"-02")</f>
        <v>K10-02</v>
      </c>
      <c r="CR519" t="str">
        <f t="shared" ref="CR519:CR526" si="2989">CONCATENATE("K",$U519,"-09")</f>
        <v>K10-09</v>
      </c>
      <c r="CS519" t="str">
        <f t="shared" ref="CS519:CS526" si="2990">CONCATENATE("K",$U519,"-05")</f>
        <v>K10-05</v>
      </c>
      <c r="CT519" t="str">
        <f t="shared" ref="CT519:CT526" si="2991">CONCATENATE("K",$U519,"-11")</f>
        <v>K10-11</v>
      </c>
      <c r="CU519" t="str">
        <f t="shared" ref="CU519:CU526" si="2992">CONCATENATE($T519,"-M",$U519,"-A9")</f>
        <v>N2-M10-A9</v>
      </c>
      <c r="CV519" t="str">
        <f t="shared" ref="CV519:CV526" si="2993">CONCATENATE($T519,"-M",$U519,"-A7")</f>
        <v>N2-M10-A7</v>
      </c>
      <c r="CW519" t="str">
        <f t="shared" ref="CW519:CW526" si="2994">CONCATENATE($T519,"-M",$U519,"-A8")</f>
        <v>N2-M10-A8</v>
      </c>
      <c r="CX519" t="str">
        <f t="shared" ref="CX519:CX526" si="2995">CONCATENATE($T519,"-M",$U519,"-A6")</f>
        <v>N2-M10-A6</v>
      </c>
      <c r="CY519" t="str">
        <f t="shared" ref="CY519:CY526" si="2996">CONCATENATE($T519,"-M",$U519,"-A30")</f>
        <v>N2-M10-A30</v>
      </c>
      <c r="CZ519" t="str">
        <f t="shared" ref="CZ519:CZ526" si="2997">CONCATENATE($T519,"-M",$U519,"-N")</f>
        <v>N2-M10-N</v>
      </c>
      <c r="DA519" t="str">
        <f t="shared" ref="DA519" si="2998">CONCATENATE($T519,"-A220-M",U519)</f>
        <v>N2-A220-M10</v>
      </c>
      <c r="DB519" t="str">
        <f t="shared" ref="DB519:DB526" si="2999">CONCATENATE($T519,"-M",$U519,"-XM01")</f>
        <v>N2-M10-XM01</v>
      </c>
      <c r="DC519" t="str">
        <f t="shared" ref="DC519:DC526" si="3000">CONCATENATE($T519,"-M",$U519,"-A1")</f>
        <v>N2-M10-A1</v>
      </c>
      <c r="DD519" t="str">
        <f t="shared" ref="DD519:DD526" si="3001">CONCATENATE($T519,"-M",$U519,"-A5")</f>
        <v>N2-M10-A5</v>
      </c>
      <c r="DE519" t="str">
        <f t="shared" ref="DE519:DE526" si="3002">CONCATENATE($T519,"-M",$U519,"-A11")</f>
        <v>N2-M10-A11</v>
      </c>
      <c r="DF519" t="str">
        <f t="shared" ref="DF519:DF526" si="3003">CONCATENATE($T519,"-M",$U519,"-A12")</f>
        <v>N2-M10-A12</v>
      </c>
      <c r="DG519" t="str">
        <f>CONCATENATE($T519,"-M",$U519,"-A20")</f>
        <v>N2-M10-A20</v>
      </c>
      <c r="DH519" t="str">
        <f>CONCATENATE($T519,"-M",$U519,"-A19")</f>
        <v>N2-M10-A19</v>
      </c>
      <c r="DI519" t="s">
        <v>142</v>
      </c>
      <c r="DJ519" t="s">
        <v>143</v>
      </c>
      <c r="DK519">
        <v>11</v>
      </c>
      <c r="DL519">
        <v>14</v>
      </c>
      <c r="DM519">
        <v>12</v>
      </c>
      <c r="DN519" t="s">
        <v>144</v>
      </c>
      <c r="DO519" t="s">
        <v>145</v>
      </c>
      <c r="DP519">
        <v>1</v>
      </c>
      <c r="DQ519">
        <v>2</v>
      </c>
      <c r="DR519">
        <v>3</v>
      </c>
      <c r="DS519">
        <v>4</v>
      </c>
      <c r="DT519">
        <v>5</v>
      </c>
      <c r="DU519">
        <v>6</v>
      </c>
      <c r="DV519">
        <v>7</v>
      </c>
      <c r="DW519">
        <v>8</v>
      </c>
      <c r="DX519">
        <v>9</v>
      </c>
      <c r="DY519">
        <v>10</v>
      </c>
      <c r="DZ519">
        <v>11</v>
      </c>
      <c r="EA519">
        <v>12</v>
      </c>
      <c r="EB519">
        <v>13</v>
      </c>
      <c r="EC519">
        <v>14</v>
      </c>
      <c r="ED519">
        <v>1</v>
      </c>
      <c r="EE519">
        <v>3</v>
      </c>
      <c r="EF519">
        <v>4</v>
      </c>
      <c r="EG519">
        <v>7</v>
      </c>
      <c r="EH519">
        <v>8</v>
      </c>
      <c r="EI519">
        <v>9</v>
      </c>
      <c r="EJ519">
        <v>10</v>
      </c>
      <c r="EK519">
        <v>13</v>
      </c>
      <c r="EL519">
        <v>15</v>
      </c>
      <c r="EM519">
        <v>16</v>
      </c>
      <c r="EN519">
        <v>22</v>
      </c>
      <c r="EO519">
        <v>23</v>
      </c>
      <c r="EP519">
        <v>24</v>
      </c>
      <c r="EQ519" s="16"/>
    </row>
    <row r="520" spans="1:305" x14ac:dyDescent="0.25">
      <c r="A520" s="67" t="s">
        <v>2761</v>
      </c>
      <c r="B520" t="s">
        <v>2760</v>
      </c>
      <c r="C520" s="3"/>
      <c r="O520" s="2"/>
      <c r="P520" t="s">
        <v>2722</v>
      </c>
      <c r="Q520" s="1"/>
      <c r="S520" s="1" t="s">
        <v>130</v>
      </c>
      <c r="T520" s="14" t="s">
        <v>2724</v>
      </c>
      <c r="U520" s="60">
        <v>11</v>
      </c>
      <c r="V520" s="15" t="s">
        <v>2762</v>
      </c>
      <c r="W520" s="15"/>
      <c r="AC520" t="str">
        <f>IF(AD519+AE519&gt;29,REPLACE(AC519,LEN(AC519),1,VALUE(RIGHT(AC519,1))+1),AC519)</f>
        <v>A5.2</v>
      </c>
      <c r="AD520" s="43" cm="1">
        <f t="array" ref="AD520">IF(COUNTIFS(AC$510:AC520,AC520)=1,"1",VALUE(SUBSTITUTE(INDEX(AD:AD,_xlfn.XMATCH(AC520,AC$1:AC519,0,-1)),"A",""))+INDEX(AE:AE,_xlfn.XMATCH(AC520,AC$1:AC519,0,-1))+1)</f>
        <v>23</v>
      </c>
      <c r="AE520" s="43" cm="1">
        <f t="array" ref="AE520">SUM(IF(ISNUMBER(FIND("TmDi",$BE$1:$AAL$1)),IF(IFERROR(ISNUMBER(VALUE(SUBSTITUTE($BE520:$AAL520,"B",""))),FALSE),IF(ISNUMBER(VALUE(SUBSTITUTE($BE520:$AAL520,"B",""))),1,0),0)))</f>
        <v>5</v>
      </c>
      <c r="AF520" t="str">
        <f t="shared" si="2178"/>
        <v>C23</v>
      </c>
      <c r="AG520" t="str">
        <f t="shared" si="2179"/>
        <v>B23</v>
      </c>
      <c r="AH520" t="str">
        <f t="shared" ref="AH520" si="3004">IF(AI519+AJ519&gt;27,REPLACE(AH519,LEN(AH519),1,VALUE(RIGHT(AH519,1))+1),AH519)</f>
        <v>A6.2</v>
      </c>
      <c r="AI520" s="73" t="str" cm="1">
        <f t="array" ref="AI520">IF(COUNTIFS(AH$510:AH520,AH520)=1,"1",VALUE(SUBSTITUTE(INDEX(AI:AI,_xlfn.XMATCH(AH520,AH$1:AH519,0,-1)),"A",""))+INDEX(AJ:AJ,_xlfn.XMATCH(AH520,AH$1:AH519,0,-1))+1)</f>
        <v>1</v>
      </c>
      <c r="AJ520" s="64" cm="1">
        <f t="array" ref="AJ520">SUM(IF(ISNUMBER(FIND("TmDo",$BE$1:$AAL$1)),IF(IFERROR(ISNUMBER(VALUE(SUBSTITUTE($BE520:$AAL520,"B",""))),FALSE),IF(ISNUMBER(VALUE(SUBSTITUTE($BE520:$AAL520,"B",""))),1,0),0)))</f>
        <v>2</v>
      </c>
      <c r="AK520" t="str">
        <f t="shared" si="2732"/>
        <v>1A</v>
      </c>
      <c r="AL520" t="str">
        <f t="shared" si="2733"/>
        <v>1B</v>
      </c>
      <c r="AM520" t="s">
        <v>150</v>
      </c>
      <c r="AP520" t="s">
        <v>2727</v>
      </c>
      <c r="AQ520" t="s">
        <v>2756</v>
      </c>
      <c r="AT520" t="s">
        <v>139</v>
      </c>
      <c r="AU520" t="s">
        <v>140</v>
      </c>
      <c r="BD520" s="16"/>
      <c r="BE520" s="27" t="str">
        <f t="shared" ref="BE520:BE521" si="3005">CONCATENATE("XT",U520)</f>
        <v>XT11</v>
      </c>
      <c r="BF520" t="str">
        <f t="shared" ref="BF520:BF521" si="3006">CONCATENATE("C",REPLACE(AF520,1,1,"")+1)</f>
        <v>C24</v>
      </c>
      <c r="BG520" t="str">
        <f t="shared" ref="BG520:BG521" si="3007">CONCATENATE("B",REPLACE(AG520,1,1,"")+1)</f>
        <v>B24</v>
      </c>
      <c r="BH520" t="str">
        <f t="shared" ref="BH520:BH521" si="3008">CONCATENATE("C",REPLACE(BF520,1,1,"")+1)</f>
        <v>C25</v>
      </c>
      <c r="BI520" t="str">
        <f t="shared" ref="BI520:BI521" si="3009">CONCATENATE("B",REPLACE(BG520,1,1,"")+1)</f>
        <v>B25</v>
      </c>
      <c r="BJ520" t="str">
        <f t="shared" ref="BJ520:BJ521" si="3010">CONCATENATE("C",REPLACE(BH520,1,1,"")+1)</f>
        <v>C26</v>
      </c>
      <c r="BK520" t="str">
        <f t="shared" ref="BK520:BK521" si="3011">CONCATENATE("B",REPLACE(BI520,1,1,"")+1)</f>
        <v>B26</v>
      </c>
      <c r="BL520" t="str">
        <f t="shared" ref="BL520:BL521" si="3012">CONCATENATE("C",REPLACE(BJ520,1,1,"")+1)</f>
        <v>C27</v>
      </c>
      <c r="BM520" t="str">
        <f t="shared" ref="BM520:BM521" si="3013">CONCATENATE("B",REPLACE(BK520,1,1,"")+1)</f>
        <v>B27</v>
      </c>
      <c r="BN520" t="str">
        <f t="shared" ref="BN520:BN521" si="3014">CONCATENATE("C",REPLACE(BL520,1,1,"")+1)</f>
        <v>C28</v>
      </c>
      <c r="BO520" t="str">
        <f t="shared" ref="BO520:BO521" si="3015">CONCATENATE("B",REPLACE(BM520,1,1,"")+1)</f>
        <v>B28</v>
      </c>
      <c r="BP520" t="str">
        <f t="shared" si="2961"/>
        <v>2A</v>
      </c>
      <c r="BQ520" t="str">
        <f t="shared" si="2962"/>
        <v>2B</v>
      </c>
      <c r="BR520" t="str">
        <f t="shared" si="2963"/>
        <v>3A</v>
      </c>
      <c r="BS520" t="str">
        <f t="shared" si="2964"/>
        <v>3B</v>
      </c>
      <c r="BT520" t="str">
        <f t="shared" ref="BT520:BT521" si="3016">CONCATENATE("DI",REPLACE($AC520,1,3,""),"-",AF520)</f>
        <v>DI2-C23</v>
      </c>
      <c r="BU520" t="str">
        <f t="shared" ref="BU520:BU521" si="3017">CONCATENATE("DI",REPLACE($AC520,1,3,""),"-",AG520)</f>
        <v>DI2-B23</v>
      </c>
      <c r="BV520" t="str">
        <f t="shared" ref="BV520:BV521" si="3018">CONCATENATE("DI",REPLACE($AC520,1,3,""),"-",BF520)</f>
        <v>DI2-C24</v>
      </c>
      <c r="BW520" t="str">
        <f t="shared" ref="BW520:BW521" si="3019">CONCATENATE("DI",REPLACE($AC520,1,3,""),"-",BG520)</f>
        <v>DI2-B24</v>
      </c>
      <c r="BX520" t="str">
        <f t="shared" ref="BX520:BX521" si="3020">CONCATENATE("DI",REPLACE($AC520,1,3,""),"-",BH520)</f>
        <v>DI2-C25</v>
      </c>
      <c r="BY520" t="str">
        <f t="shared" ref="BY520:BY521" si="3021">CONCATENATE("DI",REPLACE($AC520,1,3,""),"-",BI520)</f>
        <v>DI2-B25</v>
      </c>
      <c r="BZ520" t="str">
        <f t="shared" ref="BZ520:BZ521" si="3022">CONCATENATE("DI",REPLACE($AC520,1,3,""),"-",BJ520)</f>
        <v>DI2-C26</v>
      </c>
      <c r="CA520" t="str">
        <f t="shared" ref="CA520:CA521" si="3023">CONCATENATE("DI",REPLACE($AC520,1,3,""),"-",BK520)</f>
        <v>DI2-B26</v>
      </c>
      <c r="CB520" t="str">
        <f t="shared" ref="CB520:CB521" si="3024">CONCATENATE("DI",REPLACE($AC520,1,3,""),"-",BL520)</f>
        <v>DI2-C27</v>
      </c>
      <c r="CC520" t="str">
        <f t="shared" ref="CC520:CC521" si="3025">CONCATENATE("DI",REPLACE($AC520,1,3,""),"-",BM520)</f>
        <v>DI2-B27</v>
      </c>
      <c r="CD520" t="str">
        <f t="shared" ref="CD520:CD521" si="3026">CONCATENATE("DI",REPLACE($AC520,1,3,""),"-",BN520)</f>
        <v>DI2-C28</v>
      </c>
      <c r="CE520" t="str">
        <f t="shared" ref="CE520:CE521" si="3027">CONCATENATE("DI",REPLACE($AC520,1,3,""),"-",BO520)</f>
        <v>DI2-B28</v>
      </c>
      <c r="CF520" t="str">
        <f t="shared" ref="CF520:CF521" si="3028">CONCATENATE("DO",REPLACE($AH520,1,3,""),"-",AK520)</f>
        <v>DO2-1A</v>
      </c>
      <c r="CG520" t="str">
        <f t="shared" ref="CG520:CG521" si="3029">CONCATENATE("DO",REPLACE($AH520,1,3,""),"-",AL520)</f>
        <v>DO2-1B</v>
      </c>
      <c r="CH520" t="str">
        <f t="shared" ref="CH520:CH521" si="3030">CONCATENATE("DO",REPLACE($AH520,1,3,""),"-",BP520)</f>
        <v>DO2-2A</v>
      </c>
      <c r="CI520" t="str">
        <f t="shared" ref="CI520:CI521" si="3031">CONCATENATE("DO",REPLACE($AH520,1,3,""),"-",BQ520)</f>
        <v>DO2-2B</v>
      </c>
      <c r="CJ520" t="str">
        <f t="shared" ref="CJ520:CJ521" si="3032">CONCATENATE("DO",REPLACE($AH520,1,3,""),"-",BR520)</f>
        <v>DO2-3A</v>
      </c>
      <c r="CK520" t="str">
        <f t="shared" ref="CK520:CK521" si="3033">CONCATENATE("DO",REPLACE($AH520,1,3,""),"-",BS520)</f>
        <v>DO2-3B</v>
      </c>
      <c r="CL520" t="str">
        <f t="shared" si="2983"/>
        <v>K11-10</v>
      </c>
      <c r="CM520" t="str">
        <f t="shared" si="2984"/>
        <v>K11-03</v>
      </c>
      <c r="CN520" t="str">
        <f t="shared" si="2985"/>
        <v>K11-04</v>
      </c>
      <c r="CO520" t="str">
        <f t="shared" si="2986"/>
        <v>K11-01</v>
      </c>
      <c r="CP520" t="str">
        <f t="shared" si="2987"/>
        <v>K11-08</v>
      </c>
      <c r="CQ520" t="str">
        <f t="shared" si="2988"/>
        <v>K11-02</v>
      </c>
      <c r="CR520" t="str">
        <f t="shared" si="2989"/>
        <v>K11-09</v>
      </c>
      <c r="CS520" t="str">
        <f t="shared" si="2990"/>
        <v>K11-05</v>
      </c>
      <c r="CT520" t="str">
        <f t="shared" si="2991"/>
        <v>K11-11</v>
      </c>
      <c r="CU520" t="str">
        <f t="shared" si="2992"/>
        <v>N2-M11-A9</v>
      </c>
      <c r="CV520" t="str">
        <f t="shared" si="2993"/>
        <v>N2-M11-A7</v>
      </c>
      <c r="CW520" t="str">
        <f t="shared" si="2994"/>
        <v>N2-M11-A8</v>
      </c>
      <c r="CX520" t="str">
        <f t="shared" si="2995"/>
        <v>N2-M11-A6</v>
      </c>
      <c r="CY520" t="str">
        <f t="shared" si="2996"/>
        <v>N2-M11-A30</v>
      </c>
      <c r="CZ520" t="str">
        <f t="shared" si="2997"/>
        <v>N2-M11-N</v>
      </c>
      <c r="DA520" t="str">
        <f t="shared" ref="DA520:DA521" si="3034">CONCATENATE($T520,"-A220-M",U520)</f>
        <v>N2-A220-M11</v>
      </c>
      <c r="DB520" t="str">
        <f t="shared" si="2999"/>
        <v>N2-M11-XM01</v>
      </c>
      <c r="DC520" t="str">
        <f t="shared" si="3000"/>
        <v>N2-M11-A1</v>
      </c>
      <c r="DD520" t="str">
        <f t="shared" si="3001"/>
        <v>N2-M11-A5</v>
      </c>
      <c r="DE520" t="str">
        <f t="shared" si="3002"/>
        <v>N2-M11-A11</v>
      </c>
      <c r="DF520" t="str">
        <f t="shared" si="3003"/>
        <v>N2-M11-A12</v>
      </c>
      <c r="DG520" t="str">
        <f>CONCATENATE($T520,"-M",$U520,"-A20")</f>
        <v>N2-M11-A20</v>
      </c>
      <c r="DH520" t="str">
        <f>CONCATENATE($T520,"-M",$U520,"-A19")</f>
        <v>N2-M11-A19</v>
      </c>
      <c r="DI520" t="s">
        <v>142</v>
      </c>
      <c r="DJ520" t="s">
        <v>143</v>
      </c>
      <c r="DK520">
        <v>11</v>
      </c>
      <c r="DL520">
        <v>14</v>
      </c>
      <c r="DM520">
        <v>12</v>
      </c>
      <c r="DN520" t="s">
        <v>144</v>
      </c>
      <c r="DO520" t="s">
        <v>145</v>
      </c>
      <c r="DP520">
        <v>1</v>
      </c>
      <c r="DQ520">
        <v>2</v>
      </c>
      <c r="DR520">
        <v>3</v>
      </c>
      <c r="DS520">
        <v>4</v>
      </c>
      <c r="DT520">
        <v>5</v>
      </c>
      <c r="DU520">
        <v>6</v>
      </c>
      <c r="DV520">
        <v>7</v>
      </c>
      <c r="DW520">
        <v>8</v>
      </c>
      <c r="DX520">
        <v>9</v>
      </c>
      <c r="DY520">
        <v>10</v>
      </c>
      <c r="DZ520">
        <v>11</v>
      </c>
      <c r="EA520">
        <v>12</v>
      </c>
      <c r="EB520">
        <v>13</v>
      </c>
      <c r="EC520">
        <v>14</v>
      </c>
      <c r="ED520">
        <v>1</v>
      </c>
      <c r="EE520">
        <v>3</v>
      </c>
      <c r="EF520">
        <v>4</v>
      </c>
      <c r="EG520">
        <v>7</v>
      </c>
      <c r="EH520">
        <v>8</v>
      </c>
      <c r="EI520">
        <v>9</v>
      </c>
      <c r="EJ520">
        <v>10</v>
      </c>
      <c r="EK520">
        <v>13</v>
      </c>
      <c r="EL520">
        <v>15</v>
      </c>
      <c r="EM520">
        <v>16</v>
      </c>
      <c r="EN520">
        <v>22</v>
      </c>
      <c r="EO520">
        <v>23</v>
      </c>
      <c r="EP520">
        <v>24</v>
      </c>
      <c r="EQ520" s="16"/>
    </row>
    <row r="521" spans="1:305" ht="15.75" thickBot="1" x14ac:dyDescent="0.3">
      <c r="A521" s="67" t="s">
        <v>2765</v>
      </c>
      <c r="B521" t="s">
        <v>2764</v>
      </c>
      <c r="C521" s="3"/>
      <c r="O521" s="2"/>
      <c r="P521" t="s">
        <v>129</v>
      </c>
      <c r="Q521" s="1"/>
      <c r="S521" s="1" t="s">
        <v>130</v>
      </c>
      <c r="T521" s="14" t="s">
        <v>2724</v>
      </c>
      <c r="U521" s="60">
        <f t="shared" ref="U521" si="3035">U520+1</f>
        <v>12</v>
      </c>
      <c r="V521" s="15" t="s">
        <v>2763</v>
      </c>
      <c r="W521" s="15"/>
      <c r="AC521" t="str">
        <f t="shared" ref="AC521" si="3036">IF(AD520+AE520&gt;25,REPLACE(AC520,LEN(AC520),1,VALUE(RIGHT(AC520,1))+1),AC520)</f>
        <v>A5.3</v>
      </c>
      <c r="AD521" s="43" t="str" cm="1">
        <f t="array" ref="AD521">IF(COUNTIFS(AC$510:AC521,AC521)=1,"1",VALUE(SUBSTITUTE(INDEX(AD:AD,_xlfn.XMATCH(AC521,AC$1:AC520,0,-1)),"A",""))+INDEX(AE:AE,_xlfn.XMATCH(AC521,AC$1:AC520,0,-1))+1)</f>
        <v>1</v>
      </c>
      <c r="AE521" s="43" cm="1">
        <f t="array" ref="AE521">SUM(IF(ISNUMBER(FIND("TmDi",$BE$1:$AAL$1)),IF(IFERROR(ISNUMBER(VALUE(SUBSTITUTE($BE521:$AAL521,"B",""))),FALSE),IF(ISNUMBER(VALUE(SUBSTITUTE($BE521:$AAL521,"B",""))),1,0),0)))</f>
        <v>5</v>
      </c>
      <c r="AF521" t="str">
        <f t="shared" si="2178"/>
        <v>C1</v>
      </c>
      <c r="AG521" t="str">
        <f t="shared" si="2179"/>
        <v>B1</v>
      </c>
      <c r="AH521" t="str">
        <f t="shared" ref="AH521" si="3037">IF(AI520+AJ520&gt;25,REPLACE(AH520,LEN(AH520),1,VALUE(RIGHT(AH520,1))+1),AH520)</f>
        <v>A6.2</v>
      </c>
      <c r="AI521" s="73" cm="1">
        <f t="array" ref="AI521">IF(COUNTIFS(AH$510:AH521,AH521)=1,"1",VALUE(SUBSTITUTE(INDEX(AI:AI,_xlfn.XMATCH(AH521,AH$1:AH520,0,-1)),"A",""))+INDEX(AJ:AJ,_xlfn.XMATCH(AH521,AH$1:AH520,0,-1))+1)</f>
        <v>4</v>
      </c>
      <c r="AJ521" s="64" cm="1">
        <f t="array" ref="AJ521">SUM(IF(ISNUMBER(FIND("TmDo",$BE$1:$AAL$1)),IF(IFERROR(ISNUMBER(VALUE(SUBSTITUTE($BE521:$AAL521,"B",""))),FALSE),IF(ISNUMBER(VALUE(SUBSTITUTE($BE521:$AAL521,"B",""))),1,0),0)))</f>
        <v>2</v>
      </c>
      <c r="AK521" t="str">
        <f t="shared" si="2732"/>
        <v>4A</v>
      </c>
      <c r="AL521" t="str">
        <f t="shared" si="2733"/>
        <v>4B</v>
      </c>
      <c r="AM521" t="s">
        <v>155</v>
      </c>
      <c r="AP521" t="s">
        <v>2727</v>
      </c>
      <c r="AQ521" t="s">
        <v>2756</v>
      </c>
      <c r="AT521" t="s">
        <v>139</v>
      </c>
      <c r="AU521" t="s">
        <v>140</v>
      </c>
      <c r="BD521" s="16"/>
      <c r="BE521" s="28" t="str">
        <f t="shared" si="3005"/>
        <v>XT12</v>
      </c>
      <c r="BF521" s="19" t="str">
        <f t="shared" si="3006"/>
        <v>C2</v>
      </c>
      <c r="BG521" s="19" t="str">
        <f t="shared" si="3007"/>
        <v>B2</v>
      </c>
      <c r="BH521" s="19" t="str">
        <f t="shared" si="3008"/>
        <v>C3</v>
      </c>
      <c r="BI521" s="19" t="str">
        <f t="shared" si="3009"/>
        <v>B3</v>
      </c>
      <c r="BJ521" s="19" t="str">
        <f t="shared" si="3010"/>
        <v>C4</v>
      </c>
      <c r="BK521" s="19" t="str">
        <f t="shared" si="3011"/>
        <v>B4</v>
      </c>
      <c r="BL521" s="19" t="str">
        <f t="shared" si="3012"/>
        <v>C5</v>
      </c>
      <c r="BM521" s="19" t="str">
        <f t="shared" si="3013"/>
        <v>B5</v>
      </c>
      <c r="BN521" s="19" t="str">
        <f t="shared" si="3014"/>
        <v>C6</v>
      </c>
      <c r="BO521" s="19" t="str">
        <f t="shared" si="3015"/>
        <v>B6</v>
      </c>
      <c r="BP521" s="19" t="str">
        <f t="shared" si="2961"/>
        <v>5A</v>
      </c>
      <c r="BQ521" s="19" t="str">
        <f t="shared" si="2962"/>
        <v>5B</v>
      </c>
      <c r="BR521" s="19" t="str">
        <f t="shared" si="2963"/>
        <v>6A</v>
      </c>
      <c r="BS521" s="19" t="str">
        <f t="shared" si="2964"/>
        <v>6B</v>
      </c>
      <c r="BT521" s="19" t="str">
        <f t="shared" si="3016"/>
        <v>DI3-C1</v>
      </c>
      <c r="BU521" s="19" t="str">
        <f t="shared" si="3017"/>
        <v>DI3-B1</v>
      </c>
      <c r="BV521" s="19" t="str">
        <f t="shared" si="3018"/>
        <v>DI3-C2</v>
      </c>
      <c r="BW521" s="19" t="str">
        <f t="shared" si="3019"/>
        <v>DI3-B2</v>
      </c>
      <c r="BX521" s="19" t="str">
        <f t="shared" si="3020"/>
        <v>DI3-C3</v>
      </c>
      <c r="BY521" s="19" t="str">
        <f t="shared" si="3021"/>
        <v>DI3-B3</v>
      </c>
      <c r="BZ521" s="19" t="str">
        <f t="shared" si="3022"/>
        <v>DI3-C4</v>
      </c>
      <c r="CA521" s="19" t="str">
        <f t="shared" si="3023"/>
        <v>DI3-B4</v>
      </c>
      <c r="CB521" s="19" t="str">
        <f t="shared" si="3024"/>
        <v>DI3-C5</v>
      </c>
      <c r="CC521" s="19" t="str">
        <f t="shared" si="3025"/>
        <v>DI3-B5</v>
      </c>
      <c r="CD521" s="19" t="str">
        <f t="shared" si="3026"/>
        <v>DI3-C6</v>
      </c>
      <c r="CE521" s="19" t="str">
        <f t="shared" si="3027"/>
        <v>DI3-B6</v>
      </c>
      <c r="CF521" s="19" t="str">
        <f t="shared" si="3028"/>
        <v>DO2-4A</v>
      </c>
      <c r="CG521" s="19" t="str">
        <f t="shared" si="3029"/>
        <v>DO2-4B</v>
      </c>
      <c r="CH521" s="19" t="str">
        <f t="shared" si="3030"/>
        <v>DO2-5A</v>
      </c>
      <c r="CI521" s="19" t="str">
        <f t="shared" si="3031"/>
        <v>DO2-5B</v>
      </c>
      <c r="CJ521" s="19" t="str">
        <f t="shared" si="3032"/>
        <v>DO2-6A</v>
      </c>
      <c r="CK521" s="19" t="str">
        <f t="shared" si="3033"/>
        <v>DO2-6B</v>
      </c>
      <c r="CL521" s="19" t="str">
        <f t="shared" si="2983"/>
        <v>K12-10</v>
      </c>
      <c r="CM521" s="19" t="str">
        <f t="shared" si="2984"/>
        <v>K12-03</v>
      </c>
      <c r="CN521" s="19" t="str">
        <f t="shared" si="2985"/>
        <v>K12-04</v>
      </c>
      <c r="CO521" s="19" t="str">
        <f t="shared" si="2986"/>
        <v>K12-01</v>
      </c>
      <c r="CP521" s="19" t="str">
        <f t="shared" si="2987"/>
        <v>K12-08</v>
      </c>
      <c r="CQ521" s="19" t="str">
        <f t="shared" si="2988"/>
        <v>K12-02</v>
      </c>
      <c r="CR521" s="19" t="str">
        <f t="shared" si="2989"/>
        <v>K12-09</v>
      </c>
      <c r="CS521" s="19" t="str">
        <f t="shared" si="2990"/>
        <v>K12-05</v>
      </c>
      <c r="CT521" s="19" t="str">
        <f t="shared" si="2991"/>
        <v>K12-11</v>
      </c>
      <c r="CU521" s="19" t="str">
        <f t="shared" si="2992"/>
        <v>N2-M12-A9</v>
      </c>
      <c r="CV521" s="19" t="str">
        <f t="shared" si="2993"/>
        <v>N2-M12-A7</v>
      </c>
      <c r="CW521" s="19" t="str">
        <f t="shared" si="2994"/>
        <v>N2-M12-A8</v>
      </c>
      <c r="CX521" s="19" t="str">
        <f t="shared" si="2995"/>
        <v>N2-M12-A6</v>
      </c>
      <c r="CY521" s="19" t="str">
        <f t="shared" si="2996"/>
        <v>N2-M12-A30</v>
      </c>
      <c r="CZ521" s="19" t="str">
        <f t="shared" si="2997"/>
        <v>N2-M12-N</v>
      </c>
      <c r="DA521" s="19" t="str">
        <f t="shared" si="3034"/>
        <v>N2-A220-M12</v>
      </c>
      <c r="DB521" s="19" t="str">
        <f t="shared" si="2999"/>
        <v>N2-M12-XM01</v>
      </c>
      <c r="DC521" s="19" t="str">
        <f t="shared" si="3000"/>
        <v>N2-M12-A1</v>
      </c>
      <c r="DD521" s="19" t="str">
        <f t="shared" si="3001"/>
        <v>N2-M12-A5</v>
      </c>
      <c r="DE521" s="19" t="str">
        <f t="shared" si="3002"/>
        <v>N2-M12-A11</v>
      </c>
      <c r="DF521" s="19" t="str">
        <f t="shared" si="3003"/>
        <v>N2-M12-A12</v>
      </c>
      <c r="DG521" s="19" t="str">
        <f t="shared" ref="DG521:DG522" si="3038">CONCATENATE($T521,"-M",$U521,"-A19")</f>
        <v>N2-M12-A19</v>
      </c>
      <c r="DH521" s="19" t="str">
        <f t="shared" ref="DH521:DH522" si="3039">CONCATENATE($T521,"-M",$U521,"-A20")</f>
        <v>N2-M12-A20</v>
      </c>
      <c r="DI521" s="19" t="s">
        <v>142</v>
      </c>
      <c r="DJ521" s="19" t="s">
        <v>143</v>
      </c>
      <c r="DK521" s="19">
        <v>11</v>
      </c>
      <c r="DL521" s="19">
        <v>14</v>
      </c>
      <c r="DM521" s="19">
        <v>12</v>
      </c>
      <c r="DN521" s="19" t="s">
        <v>144</v>
      </c>
      <c r="DO521" s="19" t="s">
        <v>145</v>
      </c>
      <c r="DP521" s="19">
        <v>1</v>
      </c>
      <c r="DQ521" s="19">
        <v>2</v>
      </c>
      <c r="DR521" s="19">
        <v>3</v>
      </c>
      <c r="DS521" s="19">
        <v>4</v>
      </c>
      <c r="DT521" s="19">
        <v>5</v>
      </c>
      <c r="DU521" s="19">
        <v>6</v>
      </c>
      <c r="DV521" s="19">
        <v>7</v>
      </c>
      <c r="DW521" s="19">
        <v>8</v>
      </c>
      <c r="DX521" s="19">
        <v>9</v>
      </c>
      <c r="DY521" s="19">
        <v>10</v>
      </c>
      <c r="DZ521" s="19">
        <v>11</v>
      </c>
      <c r="EA521" s="19">
        <v>12</v>
      </c>
      <c r="EB521" s="19">
        <v>13</v>
      </c>
      <c r="EC521" s="19">
        <v>14</v>
      </c>
      <c r="ED521" s="19">
        <v>1</v>
      </c>
      <c r="EE521" s="19">
        <v>3</v>
      </c>
      <c r="EF521" s="19">
        <v>4</v>
      </c>
      <c r="EG521" s="19">
        <v>7</v>
      </c>
      <c r="EH521" s="19">
        <v>8</v>
      </c>
      <c r="EI521" s="19">
        <v>9</v>
      </c>
      <c r="EJ521" s="19">
        <v>10</v>
      </c>
      <c r="EK521" s="19">
        <v>13</v>
      </c>
      <c r="EL521" s="19">
        <v>14</v>
      </c>
      <c r="EM521" s="19">
        <v>15</v>
      </c>
      <c r="EN521" s="19">
        <v>16</v>
      </c>
      <c r="EO521" s="19">
        <v>22</v>
      </c>
      <c r="EP521" s="19">
        <v>23</v>
      </c>
      <c r="EQ521" s="20">
        <v>24</v>
      </c>
    </row>
    <row r="522" spans="1:305" ht="15.75" thickBot="1" x14ac:dyDescent="0.3">
      <c r="A522" s="67" t="s">
        <v>2768</v>
      </c>
      <c r="B522" t="s">
        <v>2767</v>
      </c>
      <c r="C522" s="3"/>
      <c r="O522" s="2"/>
      <c r="P522" t="s">
        <v>129</v>
      </c>
      <c r="Q522" s="1"/>
      <c r="S522" s="1" t="s">
        <v>130</v>
      </c>
      <c r="T522" s="14" t="s">
        <v>2724</v>
      </c>
      <c r="U522" s="60">
        <f t="shared" ref="U522:U526" si="3040">U521+1</f>
        <v>13</v>
      </c>
      <c r="V522" s="15" t="s">
        <v>2766</v>
      </c>
      <c r="W522" s="15"/>
      <c r="AC522" t="str">
        <f t="shared" ref="AC522" si="3041">IF(AD521+AE521&gt;25,REPLACE(AC521,LEN(AC521),1,VALUE(RIGHT(AC521,1))+1),AC521)</f>
        <v>A5.3</v>
      </c>
      <c r="AD522" s="43" cm="1">
        <f t="array" ref="AD522">IF(COUNTIFS(AC$510:AC522,AC522)=1,"1",VALUE(SUBSTITUTE(INDEX(AD:AD,_xlfn.XMATCH(AC522,AC$1:AC521,0,-1)),"A",""))+INDEX(AE:AE,_xlfn.XMATCH(AC522,AC$1:AC521,0,-1))+1)</f>
        <v>7</v>
      </c>
      <c r="AE522" s="43" cm="1">
        <f t="array" ref="AE522">SUM(IF(ISNUMBER(FIND("TmDi",$BE$1:$AAL$1)),IF(IFERROR(ISNUMBER(VALUE(SUBSTITUTE($BE522:$AAL522,"B",""))),FALSE),IF(ISNUMBER(VALUE(SUBSTITUTE($BE522:$AAL522,"B",""))),1,0),0)))</f>
        <v>5</v>
      </c>
      <c r="AF522" t="str">
        <f t="shared" si="2178"/>
        <v>C7</v>
      </c>
      <c r="AG522" t="str">
        <f t="shared" si="2179"/>
        <v>B7</v>
      </c>
      <c r="AH522" t="str">
        <f t="shared" ref="AH522" si="3042">IF(AI521+AJ521&gt;25,REPLACE(AH521,LEN(AH521),1,VALUE(RIGHT(AH521,1))+1),AH521)</f>
        <v>A6.2</v>
      </c>
      <c r="AI522" s="73" cm="1">
        <f t="array" ref="AI522">IF(COUNTIFS(AH$510:AH522,AH522)=1,"1",VALUE(SUBSTITUTE(INDEX(AI:AI,_xlfn.XMATCH(AH522,AH$1:AH521,0,-1)),"A",""))+INDEX(AJ:AJ,_xlfn.XMATCH(AH522,AH$1:AH521,0,-1))+1)</f>
        <v>7</v>
      </c>
      <c r="AJ522" s="64" cm="1">
        <f t="array" ref="AJ522">SUM(IF(ISNUMBER(FIND("TmDo",$BE$1:$AAL$1)),IF(IFERROR(ISNUMBER(VALUE(SUBSTITUTE($BE522:$AAL522,"B",""))),FALSE),IF(ISNUMBER(VALUE(SUBSTITUTE($BE522:$AAL522,"B",""))),1,0),0)))</f>
        <v>2</v>
      </c>
      <c r="AK522" t="str">
        <f t="shared" si="2732"/>
        <v>7A</v>
      </c>
      <c r="AL522" t="str">
        <f t="shared" si="2733"/>
        <v>7B</v>
      </c>
      <c r="AM522" t="s">
        <v>158</v>
      </c>
      <c r="AP522" t="s">
        <v>2727</v>
      </c>
      <c r="AQ522" t="s">
        <v>2756</v>
      </c>
      <c r="AT522" t="s">
        <v>139</v>
      </c>
      <c r="AU522" t="s">
        <v>140</v>
      </c>
      <c r="BD522" s="16"/>
      <c r="BE522" s="28" t="str">
        <f t="shared" ref="BE522:BE526" si="3043">CONCATENATE("XT",U522)</f>
        <v>XT13</v>
      </c>
      <c r="BF522" s="19" t="str">
        <f t="shared" ref="BF522:BF525" si="3044">CONCATENATE("C",REPLACE(AF522,1,1,"")+1)</f>
        <v>C8</v>
      </c>
      <c r="BG522" s="19" t="str">
        <f t="shared" ref="BG522:BG525" si="3045">CONCATENATE("B",REPLACE(AG522,1,1,"")+1)</f>
        <v>B8</v>
      </c>
      <c r="BH522" s="19" t="str">
        <f t="shared" ref="BH522:BH526" si="3046">CONCATENATE("C",REPLACE(BF522,1,1,"")+1)</f>
        <v>C9</v>
      </c>
      <c r="BI522" s="19" t="str">
        <f t="shared" ref="BI522:BI526" si="3047">CONCATENATE("B",REPLACE(BG522,1,1,"")+1)</f>
        <v>B9</v>
      </c>
      <c r="BJ522" s="19" t="str">
        <f t="shared" ref="BJ522:BJ526" si="3048">CONCATENATE("C",REPLACE(BH522,1,1,"")+1)</f>
        <v>C10</v>
      </c>
      <c r="BK522" s="19" t="str">
        <f t="shared" ref="BK522:BK526" si="3049">CONCATENATE("B",REPLACE(BI522,1,1,"")+1)</f>
        <v>B10</v>
      </c>
      <c r="BL522" s="19" t="str">
        <f t="shared" ref="BL522" si="3050">CONCATENATE("C",REPLACE(BJ522,1,1,"")+1)</f>
        <v>C11</v>
      </c>
      <c r="BM522" s="19" t="str">
        <f t="shared" ref="BM522" si="3051">CONCATENATE("B",REPLACE(BK522,1,1,"")+1)</f>
        <v>B11</v>
      </c>
      <c r="BN522" s="19" t="str">
        <f t="shared" ref="BN522" si="3052">CONCATENATE("C",REPLACE(BL522,1,1,"")+1)</f>
        <v>C12</v>
      </c>
      <c r="BO522" s="19" t="str">
        <f t="shared" ref="BO522" si="3053">CONCATENATE("B",REPLACE(BM522,1,1,"")+1)</f>
        <v>B12</v>
      </c>
      <c r="BP522" s="19" t="str">
        <f t="shared" si="2961"/>
        <v>8A</v>
      </c>
      <c r="BQ522" s="19" t="str">
        <f t="shared" si="2962"/>
        <v>8B</v>
      </c>
      <c r="BR522" s="19" t="str">
        <f t="shared" si="2963"/>
        <v>9A</v>
      </c>
      <c r="BS522" s="19" t="str">
        <f t="shared" si="2964"/>
        <v>9B</v>
      </c>
      <c r="BT522" s="19" t="str">
        <f t="shared" ref="BT522:BT525" si="3054">CONCATENATE("DI",REPLACE($AC522,1,3,""),"-",AF522)</f>
        <v>DI3-C7</v>
      </c>
      <c r="BU522" s="19" t="str">
        <f t="shared" ref="BU522:BU525" si="3055">CONCATENATE("DI",REPLACE($AC522,1,3,""),"-",AG522)</f>
        <v>DI3-B7</v>
      </c>
      <c r="BV522" s="19" t="str">
        <f t="shared" ref="BV522:BV526" si="3056">CONCATENATE("DI",REPLACE($AC522,1,3,""),"-",BF522)</f>
        <v>DI3-C8</v>
      </c>
      <c r="BW522" s="19" t="str">
        <f t="shared" ref="BW522:BW526" si="3057">CONCATENATE("DI",REPLACE($AC522,1,3,""),"-",BG522)</f>
        <v>DI3-B8</v>
      </c>
      <c r="BX522" s="19" t="str">
        <f t="shared" ref="BX522:BX526" si="3058">CONCATENATE("DI",REPLACE($AC522,1,3,""),"-",BH522)</f>
        <v>DI3-C9</v>
      </c>
      <c r="BY522" s="19" t="str">
        <f t="shared" ref="BY522:BY526" si="3059">CONCATENATE("DI",REPLACE($AC522,1,3,""),"-",BI522)</f>
        <v>DI3-B9</v>
      </c>
      <c r="BZ522" s="19" t="str">
        <f t="shared" ref="BZ522:BZ526" si="3060">CONCATENATE("DI",REPLACE($AC522,1,3,""),"-",BJ522)</f>
        <v>DI3-C10</v>
      </c>
      <c r="CA522" s="19" t="str">
        <f t="shared" ref="CA522:CA526" si="3061">CONCATENATE("DI",REPLACE($AC522,1,3,""),"-",BK522)</f>
        <v>DI3-B10</v>
      </c>
      <c r="CB522" s="19" t="str">
        <f t="shared" ref="CB522:CB526" si="3062">CONCATENATE("DI",REPLACE($AC522,1,3,""),"-",BL522)</f>
        <v>DI3-C11</v>
      </c>
      <c r="CC522" s="19" t="str">
        <f t="shared" ref="CC522:CC526" si="3063">CONCATENATE("DI",REPLACE($AC522,1,3,""),"-",BM522)</f>
        <v>DI3-B11</v>
      </c>
      <c r="CD522" s="19" t="str">
        <f t="shared" ref="CD522:CD526" si="3064">CONCATENATE("DI",REPLACE($AC522,1,3,""),"-",BN522)</f>
        <v>DI3-C12</v>
      </c>
      <c r="CE522" s="19" t="str">
        <f t="shared" ref="CE522:CE526" si="3065">CONCATENATE("DI",REPLACE($AC522,1,3,""),"-",BO522)</f>
        <v>DI3-B12</v>
      </c>
      <c r="CF522" s="19" t="str">
        <f t="shared" ref="CF522:CF526" si="3066">CONCATENATE("DO",REPLACE($AH522,1,3,""),"-",AK522)</f>
        <v>DO2-7A</v>
      </c>
      <c r="CG522" s="19" t="str">
        <f t="shared" ref="CG522:CG526" si="3067">CONCATENATE("DO",REPLACE($AH522,1,3,""),"-",AL522)</f>
        <v>DO2-7B</v>
      </c>
      <c r="CH522" s="19" t="str">
        <f t="shared" ref="CH522:CH526" si="3068">CONCATENATE("DO",REPLACE($AH522,1,3,""),"-",BP522)</f>
        <v>DO2-8A</v>
      </c>
      <c r="CI522" s="19" t="str">
        <f t="shared" ref="CI522:CI526" si="3069">CONCATENATE("DO",REPLACE($AH522,1,3,""),"-",BQ522)</f>
        <v>DO2-8B</v>
      </c>
      <c r="CJ522" s="19" t="str">
        <f t="shared" ref="CJ522:CJ526" si="3070">CONCATENATE("DO",REPLACE($AH522,1,3,""),"-",BR522)</f>
        <v>DO2-9A</v>
      </c>
      <c r="CK522" s="19" t="str">
        <f t="shared" ref="CK522:CK526" si="3071">CONCATENATE("DO",REPLACE($AH522,1,3,""),"-",BS522)</f>
        <v>DO2-9B</v>
      </c>
      <c r="CL522" s="19" t="str">
        <f t="shared" si="2983"/>
        <v>K13-10</v>
      </c>
      <c r="CM522" s="19" t="str">
        <f t="shared" si="2984"/>
        <v>K13-03</v>
      </c>
      <c r="CN522" s="19" t="str">
        <f t="shared" si="2985"/>
        <v>K13-04</v>
      </c>
      <c r="CO522" s="19" t="str">
        <f t="shared" si="2986"/>
        <v>K13-01</v>
      </c>
      <c r="CP522" s="19" t="str">
        <f t="shared" si="2987"/>
        <v>K13-08</v>
      </c>
      <c r="CQ522" s="19" t="str">
        <f t="shared" si="2988"/>
        <v>K13-02</v>
      </c>
      <c r="CR522" s="19" t="str">
        <f t="shared" si="2989"/>
        <v>K13-09</v>
      </c>
      <c r="CS522" s="19" t="str">
        <f t="shared" si="2990"/>
        <v>K13-05</v>
      </c>
      <c r="CT522" s="19" t="str">
        <f t="shared" si="2991"/>
        <v>K13-11</v>
      </c>
      <c r="CU522" s="19" t="str">
        <f t="shared" si="2992"/>
        <v>N2-M13-A9</v>
      </c>
      <c r="CV522" s="19" t="str">
        <f t="shared" si="2993"/>
        <v>N2-M13-A7</v>
      </c>
      <c r="CW522" s="19" t="str">
        <f t="shared" si="2994"/>
        <v>N2-M13-A8</v>
      </c>
      <c r="CX522" s="19" t="str">
        <f t="shared" si="2995"/>
        <v>N2-M13-A6</v>
      </c>
      <c r="CY522" s="19" t="str">
        <f t="shared" si="2996"/>
        <v>N2-M13-A30</v>
      </c>
      <c r="CZ522" s="19" t="str">
        <f t="shared" si="2997"/>
        <v>N2-M13-N</v>
      </c>
      <c r="DA522" s="19" t="str">
        <f t="shared" ref="DA522:DA526" si="3072">CONCATENATE($T522,"-A220-M",U522)</f>
        <v>N2-A220-M13</v>
      </c>
      <c r="DB522" s="19" t="str">
        <f t="shared" si="2999"/>
        <v>N2-M13-XM01</v>
      </c>
      <c r="DC522" s="19" t="str">
        <f t="shared" si="3000"/>
        <v>N2-M13-A1</v>
      </c>
      <c r="DD522" s="19" t="str">
        <f t="shared" si="3001"/>
        <v>N2-M13-A5</v>
      </c>
      <c r="DE522" s="19" t="str">
        <f t="shared" si="3002"/>
        <v>N2-M13-A11</v>
      </c>
      <c r="DF522" s="19" t="str">
        <f t="shared" si="3003"/>
        <v>N2-M13-A12</v>
      </c>
      <c r="DG522" s="19" t="str">
        <f t="shared" si="3038"/>
        <v>N2-M13-A19</v>
      </c>
      <c r="DH522" s="19" t="str">
        <f t="shared" si="3039"/>
        <v>N2-M13-A20</v>
      </c>
      <c r="DI522" s="19" t="s">
        <v>142</v>
      </c>
      <c r="DJ522" s="19" t="s">
        <v>143</v>
      </c>
      <c r="DK522" s="19">
        <v>11</v>
      </c>
      <c r="DL522" s="19">
        <v>14</v>
      </c>
      <c r="DM522" s="19">
        <v>12</v>
      </c>
      <c r="DN522" s="19" t="s">
        <v>144</v>
      </c>
      <c r="DO522" s="19" t="s">
        <v>145</v>
      </c>
      <c r="DP522" s="19">
        <v>1</v>
      </c>
      <c r="DQ522" s="19">
        <v>2</v>
      </c>
      <c r="DR522" s="19">
        <v>3</v>
      </c>
      <c r="DS522" s="19">
        <v>4</v>
      </c>
      <c r="DT522" s="19">
        <v>5</v>
      </c>
      <c r="DU522" s="19">
        <v>6</v>
      </c>
      <c r="DV522" s="19">
        <v>7</v>
      </c>
      <c r="DW522" s="19">
        <v>8</v>
      </c>
      <c r="DX522" s="19">
        <v>9</v>
      </c>
      <c r="DY522" s="19">
        <v>10</v>
      </c>
      <c r="DZ522" s="19">
        <v>11</v>
      </c>
      <c r="EA522" s="19">
        <v>12</v>
      </c>
      <c r="EB522" s="19">
        <v>13</v>
      </c>
      <c r="EC522" s="19">
        <v>14</v>
      </c>
      <c r="ED522" s="19">
        <v>1</v>
      </c>
      <c r="EE522" s="19">
        <v>3</v>
      </c>
      <c r="EF522" s="19">
        <v>4</v>
      </c>
      <c r="EG522" s="19">
        <v>7</v>
      </c>
      <c r="EH522" s="19">
        <v>8</v>
      </c>
      <c r="EI522" s="19">
        <v>9</v>
      </c>
      <c r="EJ522" s="19">
        <v>10</v>
      </c>
      <c r="EK522" s="19">
        <v>13</v>
      </c>
      <c r="EL522" s="19">
        <v>14</v>
      </c>
      <c r="EM522" s="19">
        <v>15</v>
      </c>
      <c r="EN522" s="19">
        <v>16</v>
      </c>
      <c r="EO522" s="19">
        <v>22</v>
      </c>
      <c r="EP522" s="19">
        <v>23</v>
      </c>
      <c r="EQ522" s="20">
        <v>24</v>
      </c>
    </row>
    <row r="523" spans="1:305" x14ac:dyDescent="0.25">
      <c r="A523" s="67" t="s">
        <v>2774</v>
      </c>
      <c r="B523" t="s">
        <v>2773</v>
      </c>
      <c r="C523" s="3"/>
      <c r="O523" s="2"/>
      <c r="P523" t="s">
        <v>2738</v>
      </c>
      <c r="Q523" s="1"/>
      <c r="S523" s="1" t="s">
        <v>130</v>
      </c>
      <c r="T523" s="14" t="s">
        <v>2724</v>
      </c>
      <c r="U523" s="60">
        <f t="shared" si="3040"/>
        <v>14</v>
      </c>
      <c r="V523" s="15" t="s">
        <v>2769</v>
      </c>
      <c r="W523" s="15"/>
      <c r="AC523" t="str">
        <f t="shared" ref="AC523:AC526" si="3073">IF(AD522+AE522&gt;29,REPLACE(AC522,LEN(AC522),1,VALUE(RIGHT(AC522,1))+1),AC522)</f>
        <v>A5.3</v>
      </c>
      <c r="AD523" s="43" cm="1">
        <f t="array" ref="AD523">IF(COUNTIFS(AC$510:AC523,AC523)=1,"1",VALUE(SUBSTITUTE(INDEX(AD:AD,_xlfn.XMATCH(AC523,AC$1:AC522,0,-1)),"A",""))+INDEX(AE:AE,_xlfn.XMATCH(AC523,AC$1:AC522,0,-1))+1)</f>
        <v>13</v>
      </c>
      <c r="AE523" s="43" cm="1">
        <f t="array" ref="AE523">SUM(IF(ISNUMBER(FIND("TmDi",$BE$1:$AAL$1)),IF(IFERROR(ISNUMBER(VALUE(SUBSTITUTE($BE523:$AAL523,"B",""))),FALSE),IF(ISNUMBER(VALUE(SUBSTITUTE($BE523:$AAL523,"B",""))),1,0),0)))</f>
        <v>3</v>
      </c>
      <c r="AF523" t="str">
        <f t="shared" si="2178"/>
        <v>C13</v>
      </c>
      <c r="AG523" t="str">
        <f t="shared" si="2179"/>
        <v>B13</v>
      </c>
      <c r="AH523" t="str">
        <f t="shared" ref="AH523" si="3074">IF(AI522+AJ522&gt;27,REPLACE(AH522,LEN(AH522),1,VALUE(RIGHT(AH522,1))+1),AH522)</f>
        <v>A6.2</v>
      </c>
      <c r="AI523" s="73" cm="1">
        <f t="array" ref="AI523">IF(COUNTIFS(AH$510:AH523,AH523)=1,"1",VALUE(SUBSTITUTE(INDEX(AI:AI,_xlfn.XMATCH(AH523,AH$1:AH522,0,-1)),"A",""))+INDEX(AJ:AJ,_xlfn.XMATCH(AH523,AH$1:AH522,0,-1))+1)</f>
        <v>10</v>
      </c>
      <c r="AJ523" s="64" cm="1">
        <f t="array" ref="AJ523">SUM(IF(ISNUMBER(FIND("TmDo",$BE$1:$AAL$1)),IF(IFERROR(ISNUMBER(VALUE(SUBSTITUTE($BE523:$AAL523,"B",""))),FALSE),IF(ISNUMBER(VALUE(SUBSTITUTE($BE523:$AAL523,"B",""))),1,0),0)))</f>
        <v>2</v>
      </c>
      <c r="AK523" t="str">
        <f t="shared" si="2732"/>
        <v>10A</v>
      </c>
      <c r="AL523" t="str">
        <f t="shared" si="2733"/>
        <v>10B</v>
      </c>
      <c r="AM523" t="s">
        <v>161</v>
      </c>
      <c r="AP523" t="s">
        <v>2727</v>
      </c>
      <c r="AQ523" t="s">
        <v>2756</v>
      </c>
      <c r="AT523" t="s">
        <v>139</v>
      </c>
      <c r="AU523" t="s">
        <v>140</v>
      </c>
      <c r="BD523" s="16"/>
      <c r="BE523" s="27" t="str">
        <f t="shared" si="3043"/>
        <v>XT14</v>
      </c>
      <c r="BF523" t="str">
        <f t="shared" si="3044"/>
        <v>C14</v>
      </c>
      <c r="BG523" t="str">
        <f t="shared" si="3045"/>
        <v>B14</v>
      </c>
      <c r="BH523" t="str">
        <f t="shared" si="3046"/>
        <v>C15</v>
      </c>
      <c r="BI523" t="str">
        <f t="shared" si="3047"/>
        <v>B15</v>
      </c>
      <c r="BJ523" t="str">
        <f t="shared" si="3048"/>
        <v>C16</v>
      </c>
      <c r="BK523" t="str">
        <f t="shared" si="3049"/>
        <v>B16</v>
      </c>
      <c r="BP523" t="str">
        <f t="shared" si="2961"/>
        <v>11A</v>
      </c>
      <c r="BQ523" t="str">
        <f t="shared" si="2962"/>
        <v>11B</v>
      </c>
      <c r="BR523" t="str">
        <f t="shared" si="2963"/>
        <v>12A</v>
      </c>
      <c r="BS523" t="str">
        <f t="shared" si="2964"/>
        <v>12B</v>
      </c>
      <c r="BT523" t="str">
        <f t="shared" si="3054"/>
        <v>DI3-C13</v>
      </c>
      <c r="BU523" t="str">
        <f t="shared" si="3055"/>
        <v>DI3-B13</v>
      </c>
      <c r="BV523" t="str">
        <f t="shared" si="3056"/>
        <v>DI3-C14</v>
      </c>
      <c r="BW523" t="str">
        <f t="shared" si="3057"/>
        <v>DI3-B14</v>
      </c>
      <c r="BX523" t="str">
        <f t="shared" si="3058"/>
        <v>DI3-C15</v>
      </c>
      <c r="BY523" t="str">
        <f t="shared" si="3059"/>
        <v>DI3-B15</v>
      </c>
      <c r="BZ523" t="str">
        <f t="shared" si="3060"/>
        <v>DI3-C16</v>
      </c>
      <c r="CA523" t="str">
        <f t="shared" si="3061"/>
        <v>DI3-B16</v>
      </c>
      <c r="CB523" t="str">
        <f t="shared" si="3062"/>
        <v>DI3-</v>
      </c>
      <c r="CC523" t="str">
        <f t="shared" si="3063"/>
        <v>DI3-</v>
      </c>
      <c r="CD523" t="str">
        <f t="shared" si="3064"/>
        <v>DI3-</v>
      </c>
      <c r="CE523" t="str">
        <f t="shared" si="3065"/>
        <v>DI3-</v>
      </c>
      <c r="CF523" t="str">
        <f>CONCATENATE("DO",REPLACE($AH523,1,3,""),"-",$AK523)</f>
        <v>DO2-10A</v>
      </c>
      <c r="CG523" t="str">
        <f>CONCATENATE("DO",REPLACE($AH523,1,3,""),"-",$AL523)</f>
        <v>DO2-10B</v>
      </c>
      <c r="CH523" t="str">
        <f t="shared" si="3068"/>
        <v>DO2-11A</v>
      </c>
      <c r="CI523" t="str">
        <f t="shared" si="3069"/>
        <v>DO2-11B</v>
      </c>
      <c r="CJ523" t="str">
        <f t="shared" si="3070"/>
        <v>DO2-12A</v>
      </c>
      <c r="CK523" t="str">
        <f t="shared" si="3071"/>
        <v>DO2-12B</v>
      </c>
      <c r="CL523" t="str">
        <f t="shared" si="2983"/>
        <v>K14-10</v>
      </c>
      <c r="CM523" t="str">
        <f t="shared" si="2984"/>
        <v>K14-03</v>
      </c>
      <c r="CN523" t="str">
        <f t="shared" si="2985"/>
        <v>K14-04</v>
      </c>
      <c r="CO523" t="str">
        <f t="shared" si="2986"/>
        <v>K14-01</v>
      </c>
      <c r="CP523" t="str">
        <f t="shared" si="2987"/>
        <v>K14-08</v>
      </c>
      <c r="CQ523" t="str">
        <f t="shared" si="2988"/>
        <v>K14-02</v>
      </c>
      <c r="CR523" t="str">
        <f t="shared" si="2989"/>
        <v>K14-09</v>
      </c>
      <c r="CS523" t="str">
        <f t="shared" si="2990"/>
        <v>K14-05</v>
      </c>
      <c r="CT523" t="str">
        <f t="shared" si="2991"/>
        <v>K14-11</v>
      </c>
      <c r="CU523" t="str">
        <f t="shared" si="2992"/>
        <v>N2-M14-A9</v>
      </c>
      <c r="CV523" t="str">
        <f t="shared" si="2993"/>
        <v>N2-M14-A7</v>
      </c>
      <c r="CW523" t="str">
        <f t="shared" si="2994"/>
        <v>N2-M14-A8</v>
      </c>
      <c r="CX523" t="str">
        <f t="shared" si="2995"/>
        <v>N2-M14-A6</v>
      </c>
      <c r="CY523" t="str">
        <f t="shared" si="2996"/>
        <v>N2-M14-A30</v>
      </c>
      <c r="CZ523" t="str">
        <f t="shared" si="2997"/>
        <v>N2-M14-N</v>
      </c>
      <c r="DA523" t="str">
        <f t="shared" si="3072"/>
        <v>N2-A220-M14</v>
      </c>
      <c r="DB523" t="str">
        <f t="shared" si="2999"/>
        <v>N2-M14-XM01</v>
      </c>
      <c r="DC523" t="str">
        <f t="shared" si="3000"/>
        <v>N2-M14-A1</v>
      </c>
      <c r="DD523" t="str">
        <f t="shared" si="3001"/>
        <v>N2-M14-A5</v>
      </c>
      <c r="DE523" t="str">
        <f t="shared" si="3002"/>
        <v>N2-M14-A11</v>
      </c>
      <c r="DF523" t="str">
        <f t="shared" si="3003"/>
        <v>N2-M14-A12</v>
      </c>
      <c r="DG523" t="str">
        <f>CONCATENATE($T523,"-M",$U523,"-A19")</f>
        <v>N2-M14-A19</v>
      </c>
      <c r="DH523" t="str">
        <f>CONCATENATE($T523,"-M",$U523,"-A20")</f>
        <v>N2-M14-A20</v>
      </c>
      <c r="DI523" t="s">
        <v>142</v>
      </c>
      <c r="DJ523" t="s">
        <v>143</v>
      </c>
      <c r="DK523">
        <v>11</v>
      </c>
      <c r="DL523">
        <v>14</v>
      </c>
      <c r="DM523">
        <v>12</v>
      </c>
      <c r="DN523" t="s">
        <v>144</v>
      </c>
      <c r="DO523" t="s">
        <v>145</v>
      </c>
      <c r="DP523">
        <v>1</v>
      </c>
      <c r="DQ523">
        <v>2</v>
      </c>
      <c r="DR523">
        <v>3</v>
      </c>
      <c r="DS523">
        <v>4</v>
      </c>
      <c r="DT523">
        <v>5</v>
      </c>
      <c r="DU523">
        <v>6</v>
      </c>
      <c r="DV523">
        <v>7</v>
      </c>
      <c r="DW523">
        <v>8</v>
      </c>
      <c r="DX523">
        <v>9</v>
      </c>
      <c r="DY523">
        <v>10</v>
      </c>
      <c r="DZ523">
        <v>11</v>
      </c>
      <c r="EA523">
        <v>12</v>
      </c>
      <c r="EB523">
        <v>13</v>
      </c>
      <c r="EC523">
        <v>14</v>
      </c>
      <c r="ED523">
        <v>1</v>
      </c>
      <c r="EE523">
        <v>3</v>
      </c>
      <c r="EF523">
        <v>4</v>
      </c>
      <c r="EG523">
        <v>7</v>
      </c>
      <c r="EH523">
        <v>8</v>
      </c>
      <c r="EI523">
        <v>9</v>
      </c>
      <c r="EJ523">
        <v>10</v>
      </c>
      <c r="EK523">
        <v>13</v>
      </c>
      <c r="EL523">
        <v>15</v>
      </c>
      <c r="EM523">
        <v>16</v>
      </c>
      <c r="EN523">
        <v>16</v>
      </c>
      <c r="EO523">
        <v>22</v>
      </c>
      <c r="EP523">
        <v>23</v>
      </c>
      <c r="EQ523" s="16">
        <v>24</v>
      </c>
    </row>
    <row r="524" spans="1:305" x14ac:dyDescent="0.25">
      <c r="A524" s="67" t="s">
        <v>2775</v>
      </c>
      <c r="B524" t="s">
        <v>2776</v>
      </c>
      <c r="C524" s="3"/>
      <c r="O524" s="2"/>
      <c r="P524" t="s">
        <v>2738</v>
      </c>
      <c r="Q524" s="1"/>
      <c r="S524" s="1" t="s">
        <v>130</v>
      </c>
      <c r="T524" s="14" t="s">
        <v>2724</v>
      </c>
      <c r="U524" s="60">
        <f t="shared" si="3040"/>
        <v>15</v>
      </c>
      <c r="V524" s="15" t="s">
        <v>2770</v>
      </c>
      <c r="W524" s="15"/>
      <c r="AC524" t="str">
        <f t="shared" si="3073"/>
        <v>A5.3</v>
      </c>
      <c r="AD524" s="43" cm="1">
        <f t="array" ref="AD524">IF(COUNTIFS(AC$510:AC524,AC524)=1,"1",VALUE(SUBSTITUTE(INDEX(AD:AD,_xlfn.XMATCH(AC524,AC$1:AC523,0,-1)),"A",""))+INDEX(AE:AE,_xlfn.XMATCH(AC524,AC$1:AC523,0,-1))+1)</f>
        <v>17</v>
      </c>
      <c r="AE524" s="43" cm="1">
        <f t="array" ref="AE524">SUM(IF(ISNUMBER(FIND("TmDi",$BE$1:$AAL$1)),IF(IFERROR(ISNUMBER(VALUE(SUBSTITUTE($BE524:$AAL524,"B",""))),FALSE),IF(ISNUMBER(VALUE(SUBSTITUTE($BE524:$AAL524,"B",""))),1,0),0)))</f>
        <v>3</v>
      </c>
      <c r="AF524" t="str">
        <f t="shared" si="2178"/>
        <v>C17</v>
      </c>
      <c r="AG524" t="str">
        <f t="shared" si="2179"/>
        <v>B17</v>
      </c>
      <c r="AH524" t="str">
        <f>IF(AI523+AJ523&gt;27,REPLACE(AH523,LEN(AH523),1,VALUE(RIGHT(AH523,1))+1),AH523)</f>
        <v>A6.2</v>
      </c>
      <c r="AI524" s="73" cm="1">
        <f t="array" ref="AI524">IF(COUNTIFS(AH$510:AH524,AH524)=1,"1",VALUE(SUBSTITUTE(INDEX(AI:AI,_xlfn.XMATCH(AH524,AH$1:AH523,0,-1)),"A",""))+INDEX(AJ:AJ,_xlfn.XMATCH(AH524,AH$1:AH523,0,-1))+1)</f>
        <v>13</v>
      </c>
      <c r="AJ524" s="64" cm="1">
        <f t="array" ref="AJ524">SUM(IF(ISNUMBER(FIND("TmDo",$BE$1:$AAL$1)),IF(IFERROR(ISNUMBER(VALUE(SUBSTITUTE($BE524:$AAL524,"B",""))),FALSE),IF(ISNUMBER(VALUE(SUBSTITUTE($BE524:$AAL524,"B",""))),1,0),0)))</f>
        <v>2</v>
      </c>
      <c r="AK524" t="str">
        <f t="shared" si="2732"/>
        <v>13A</v>
      </c>
      <c r="AL524" t="str">
        <f t="shared" si="2733"/>
        <v>13B</v>
      </c>
      <c r="AM524" t="s">
        <v>163</v>
      </c>
      <c r="AP524" t="s">
        <v>2727</v>
      </c>
      <c r="AQ524" t="s">
        <v>2756</v>
      </c>
      <c r="AT524" t="s">
        <v>139</v>
      </c>
      <c r="AU524" t="s">
        <v>140</v>
      </c>
      <c r="BD524" s="16"/>
      <c r="BE524" s="27" t="str">
        <f t="shared" si="3043"/>
        <v>XT15</v>
      </c>
      <c r="BF524" t="str">
        <f t="shared" si="3044"/>
        <v>C18</v>
      </c>
      <c r="BG524" t="str">
        <f t="shared" si="3045"/>
        <v>B18</v>
      </c>
      <c r="BH524" t="str">
        <f t="shared" si="3046"/>
        <v>C19</v>
      </c>
      <c r="BI524" t="str">
        <f t="shared" si="3047"/>
        <v>B19</v>
      </c>
      <c r="BJ524" t="str">
        <f t="shared" si="3048"/>
        <v>C20</v>
      </c>
      <c r="BK524" t="str">
        <f t="shared" si="3049"/>
        <v>B20</v>
      </c>
      <c r="BP524" t="str">
        <f t="shared" si="2961"/>
        <v>14A</v>
      </c>
      <c r="BQ524" t="str">
        <f t="shared" si="2962"/>
        <v>14B</v>
      </c>
      <c r="BR524" t="str">
        <f t="shared" si="2963"/>
        <v>15A</v>
      </c>
      <c r="BS524" t="str">
        <f t="shared" si="2964"/>
        <v>15B</v>
      </c>
      <c r="BT524" t="str">
        <f t="shared" si="3054"/>
        <v>DI3-C17</v>
      </c>
      <c r="BU524" t="str">
        <f t="shared" si="3055"/>
        <v>DI3-B17</v>
      </c>
      <c r="BV524" t="str">
        <f t="shared" si="3056"/>
        <v>DI3-C18</v>
      </c>
      <c r="BW524" t="str">
        <f t="shared" si="3057"/>
        <v>DI3-B18</v>
      </c>
      <c r="BX524" t="str">
        <f t="shared" si="3058"/>
        <v>DI3-C19</v>
      </c>
      <c r="BY524" t="str">
        <f t="shared" si="3059"/>
        <v>DI3-B19</v>
      </c>
      <c r="BZ524" t="str">
        <f t="shared" si="3060"/>
        <v>DI3-C20</v>
      </c>
      <c r="CA524" t="str">
        <f t="shared" si="3061"/>
        <v>DI3-B20</v>
      </c>
      <c r="CB524" t="str">
        <f t="shared" si="3062"/>
        <v>DI3-</v>
      </c>
      <c r="CC524" t="str">
        <f t="shared" si="3063"/>
        <v>DI3-</v>
      </c>
      <c r="CD524" t="str">
        <f t="shared" si="3064"/>
        <v>DI3-</v>
      </c>
      <c r="CE524" t="str">
        <f t="shared" si="3065"/>
        <v>DI3-</v>
      </c>
      <c r="CF524" t="str">
        <f t="shared" si="3066"/>
        <v>DO2-13A</v>
      </c>
      <c r="CG524" t="str">
        <f t="shared" si="3067"/>
        <v>DO2-13B</v>
      </c>
      <c r="CH524" t="str">
        <f t="shared" si="3068"/>
        <v>DO2-14A</v>
      </c>
      <c r="CI524" t="str">
        <f t="shared" si="3069"/>
        <v>DO2-14B</v>
      </c>
      <c r="CJ524" t="str">
        <f t="shared" si="3070"/>
        <v>DO2-15A</v>
      </c>
      <c r="CK524" t="str">
        <f t="shared" si="3071"/>
        <v>DO2-15B</v>
      </c>
      <c r="CL524" t="str">
        <f t="shared" si="2983"/>
        <v>K15-10</v>
      </c>
      <c r="CM524" t="str">
        <f t="shared" si="2984"/>
        <v>K15-03</v>
      </c>
      <c r="CN524" t="str">
        <f t="shared" si="2985"/>
        <v>K15-04</v>
      </c>
      <c r="CO524" t="str">
        <f t="shared" si="2986"/>
        <v>K15-01</v>
      </c>
      <c r="CP524" t="str">
        <f t="shared" si="2987"/>
        <v>K15-08</v>
      </c>
      <c r="CQ524" t="str">
        <f t="shared" si="2988"/>
        <v>K15-02</v>
      </c>
      <c r="CR524" t="str">
        <f t="shared" si="2989"/>
        <v>K15-09</v>
      </c>
      <c r="CS524" t="str">
        <f t="shared" si="2990"/>
        <v>K15-05</v>
      </c>
      <c r="CT524" t="str">
        <f t="shared" si="2991"/>
        <v>K15-11</v>
      </c>
      <c r="CU524" t="str">
        <f t="shared" si="2992"/>
        <v>N2-M15-A9</v>
      </c>
      <c r="CV524" t="str">
        <f t="shared" si="2993"/>
        <v>N2-M15-A7</v>
      </c>
      <c r="CW524" t="str">
        <f t="shared" si="2994"/>
        <v>N2-M15-A8</v>
      </c>
      <c r="CX524" t="str">
        <f t="shared" si="2995"/>
        <v>N2-M15-A6</v>
      </c>
      <c r="CY524" t="str">
        <f t="shared" si="2996"/>
        <v>N2-M15-A30</v>
      </c>
      <c r="CZ524" t="str">
        <f t="shared" si="2997"/>
        <v>N2-M15-N</v>
      </c>
      <c r="DA524" t="str">
        <f t="shared" si="3072"/>
        <v>N2-A220-M15</v>
      </c>
      <c r="DB524" t="str">
        <f t="shared" si="2999"/>
        <v>N2-M15-XM01</v>
      </c>
      <c r="DC524" t="str">
        <f t="shared" si="3000"/>
        <v>N2-M15-A1</v>
      </c>
      <c r="DD524" t="str">
        <f t="shared" si="3001"/>
        <v>N2-M15-A5</v>
      </c>
      <c r="DE524" t="str">
        <f t="shared" si="3002"/>
        <v>N2-M15-A11</v>
      </c>
      <c r="DF524" t="str">
        <f t="shared" si="3003"/>
        <v>N2-M15-A12</v>
      </c>
      <c r="DG524" t="str">
        <f>CONCATENATE($T524,"-M",$U524,"-A19")</f>
        <v>N2-M15-A19</v>
      </c>
      <c r="DH524" t="str">
        <f>CONCATENATE($T524,"-M",$U524,"-A20")</f>
        <v>N2-M15-A20</v>
      </c>
      <c r="DI524" t="s">
        <v>142</v>
      </c>
      <c r="DJ524" t="s">
        <v>143</v>
      </c>
      <c r="DK524">
        <v>11</v>
      </c>
      <c r="DL524">
        <v>14</v>
      </c>
      <c r="DM524">
        <v>12</v>
      </c>
      <c r="DN524" t="s">
        <v>144</v>
      </c>
      <c r="DO524" t="s">
        <v>145</v>
      </c>
      <c r="DP524">
        <v>1</v>
      </c>
      <c r="DQ524">
        <v>2</v>
      </c>
      <c r="DR524">
        <v>3</v>
      </c>
      <c r="DS524">
        <v>4</v>
      </c>
      <c r="DT524">
        <v>5</v>
      </c>
      <c r="DU524">
        <v>6</v>
      </c>
      <c r="DV524">
        <v>7</v>
      </c>
      <c r="DW524">
        <v>8</v>
      </c>
      <c r="DX524">
        <v>9</v>
      </c>
      <c r="DY524">
        <v>10</v>
      </c>
      <c r="DZ524">
        <v>11</v>
      </c>
      <c r="EA524">
        <v>12</v>
      </c>
      <c r="EB524">
        <v>13</v>
      </c>
      <c r="EC524">
        <v>14</v>
      </c>
      <c r="ED524">
        <v>1</v>
      </c>
      <c r="EE524">
        <v>3</v>
      </c>
      <c r="EF524">
        <v>4</v>
      </c>
      <c r="EG524">
        <v>7</v>
      </c>
      <c r="EH524">
        <v>8</v>
      </c>
      <c r="EI524">
        <v>9</v>
      </c>
      <c r="EJ524">
        <v>10</v>
      </c>
      <c r="EK524">
        <v>13</v>
      </c>
      <c r="EL524">
        <v>15</v>
      </c>
      <c r="EM524">
        <v>16</v>
      </c>
      <c r="EN524">
        <v>16</v>
      </c>
      <c r="EO524">
        <v>22</v>
      </c>
      <c r="EP524">
        <v>23</v>
      </c>
      <c r="EQ524" s="16">
        <v>24</v>
      </c>
    </row>
    <row r="525" spans="1:305" x14ac:dyDescent="0.25">
      <c r="A525" s="67" t="s">
        <v>2779</v>
      </c>
      <c r="B525" t="s">
        <v>2777</v>
      </c>
      <c r="C525" s="3"/>
      <c r="O525" s="2"/>
      <c r="P525" t="s">
        <v>2738</v>
      </c>
      <c r="Q525" s="1"/>
      <c r="S525" s="1" t="s">
        <v>130</v>
      </c>
      <c r="T525" s="14" t="s">
        <v>2724</v>
      </c>
      <c r="U525" s="60">
        <f t="shared" si="3040"/>
        <v>16</v>
      </c>
      <c r="V525" s="15" t="s">
        <v>2771</v>
      </c>
      <c r="W525" s="15"/>
      <c r="AC525" t="str">
        <f t="shared" si="3073"/>
        <v>A5.3</v>
      </c>
      <c r="AD525" s="43" cm="1">
        <f t="array" ref="AD525">IF(COUNTIFS(AC$510:AC525,AC525)=1,"1",VALUE(SUBSTITUTE(INDEX(AD:AD,_xlfn.XMATCH(AC525,AC$1:AC524,0,-1)),"A",""))+INDEX(AE:AE,_xlfn.XMATCH(AC525,AC$1:AC524,0,-1))+1)</f>
        <v>21</v>
      </c>
      <c r="AE525" s="43" cm="1">
        <f t="array" ref="AE525">SUM(IF(ISNUMBER(FIND("TmDi",$BE$1:$AAL$1)),IF(IFERROR(ISNUMBER(VALUE(SUBSTITUTE($BE525:$AAL525,"B",""))),FALSE),IF(ISNUMBER(VALUE(SUBSTITUTE($BE525:$AAL525,"B",""))),1,0),0)))</f>
        <v>3</v>
      </c>
      <c r="AF525" t="str">
        <f t="shared" si="2178"/>
        <v>C21</v>
      </c>
      <c r="AG525" t="str">
        <f t="shared" si="2179"/>
        <v>B21</v>
      </c>
      <c r="AH525" t="str">
        <f t="shared" ref="AH525:AH526" si="3075">IF(AI524+AJ524&gt;27,REPLACE(AH524,LEN(AH524),1,VALUE(RIGHT(AH524,1))+1),AH524)</f>
        <v>A6.2</v>
      </c>
      <c r="AI525" s="73" cm="1">
        <f t="array" ref="AI525">IF(COUNTIFS(AH$510:AH525,AH525)=1,"1",VALUE(SUBSTITUTE(INDEX(AI:AI,_xlfn.XMATCH(AH525,AH$1:AH524,0,-1)),"A",""))+INDEX(AJ:AJ,_xlfn.XMATCH(AH525,AH$1:AH524,0,-1))+1)</f>
        <v>16</v>
      </c>
      <c r="AJ525" s="64" cm="1">
        <f t="array" ref="AJ525">SUM(IF(ISNUMBER(FIND("TmDo",$BE$1:$AAL$1)),IF(IFERROR(ISNUMBER(VALUE(SUBSTITUTE($BE525:$AAL525,"B",""))),FALSE),IF(ISNUMBER(VALUE(SUBSTITUTE($BE525:$AAL525,"B",""))),1,0),0)))</f>
        <v>2</v>
      </c>
      <c r="AK525" t="str">
        <f t="shared" si="2732"/>
        <v>16A</v>
      </c>
      <c r="AL525" t="str">
        <f t="shared" si="2733"/>
        <v>16B</v>
      </c>
      <c r="AM525" t="s">
        <v>166</v>
      </c>
      <c r="AP525" t="s">
        <v>2727</v>
      </c>
      <c r="AQ525" t="s">
        <v>2756</v>
      </c>
      <c r="AT525" t="s">
        <v>139</v>
      </c>
      <c r="AU525" t="s">
        <v>140</v>
      </c>
      <c r="BD525" s="16"/>
      <c r="BE525" s="27" t="str">
        <f t="shared" si="3043"/>
        <v>XT16</v>
      </c>
      <c r="BF525" t="str">
        <f t="shared" si="3044"/>
        <v>C22</v>
      </c>
      <c r="BG525" t="str">
        <f t="shared" si="3045"/>
        <v>B22</v>
      </c>
      <c r="BH525" t="str">
        <f t="shared" si="3046"/>
        <v>C23</v>
      </c>
      <c r="BI525" t="str">
        <f t="shared" si="3047"/>
        <v>B23</v>
      </c>
      <c r="BJ525" t="str">
        <f t="shared" si="3048"/>
        <v>C24</v>
      </c>
      <c r="BK525" t="str">
        <f t="shared" si="3049"/>
        <v>B24</v>
      </c>
      <c r="BP525" t="str">
        <f t="shared" si="2961"/>
        <v>17A</v>
      </c>
      <c r="BQ525" t="str">
        <f t="shared" si="2962"/>
        <v>17B</v>
      </c>
      <c r="BR525" t="str">
        <f t="shared" si="2963"/>
        <v>18A</v>
      </c>
      <c r="BS525" t="str">
        <f t="shared" si="2964"/>
        <v>18B</v>
      </c>
      <c r="BT525" t="str">
        <f t="shared" si="3054"/>
        <v>DI3-C21</v>
      </c>
      <c r="BU525" t="str">
        <f t="shared" si="3055"/>
        <v>DI3-B21</v>
      </c>
      <c r="BV525" t="str">
        <f t="shared" si="3056"/>
        <v>DI3-C22</v>
      </c>
      <c r="BW525" t="str">
        <f t="shared" si="3057"/>
        <v>DI3-B22</v>
      </c>
      <c r="BX525" t="str">
        <f t="shared" si="3058"/>
        <v>DI3-C23</v>
      </c>
      <c r="BY525" t="str">
        <f t="shared" si="3059"/>
        <v>DI3-B23</v>
      </c>
      <c r="BZ525" t="str">
        <f t="shared" si="3060"/>
        <v>DI3-C24</v>
      </c>
      <c r="CA525" t="str">
        <f t="shared" si="3061"/>
        <v>DI3-B24</v>
      </c>
      <c r="CB525" t="str">
        <f t="shared" si="3062"/>
        <v>DI3-</v>
      </c>
      <c r="CC525" t="str">
        <f t="shared" si="3063"/>
        <v>DI3-</v>
      </c>
      <c r="CD525" t="str">
        <f t="shared" si="3064"/>
        <v>DI3-</v>
      </c>
      <c r="CE525" t="str">
        <f t="shared" si="3065"/>
        <v>DI3-</v>
      </c>
      <c r="CF525" t="str">
        <f t="shared" si="3066"/>
        <v>DO2-16A</v>
      </c>
      <c r="CG525" t="str">
        <f t="shared" si="3067"/>
        <v>DO2-16B</v>
      </c>
      <c r="CH525" t="str">
        <f t="shared" si="3068"/>
        <v>DO2-17A</v>
      </c>
      <c r="CI525" t="str">
        <f t="shared" si="3069"/>
        <v>DO2-17B</v>
      </c>
      <c r="CJ525" t="str">
        <f t="shared" si="3070"/>
        <v>DO2-18A</v>
      </c>
      <c r="CK525" t="str">
        <f t="shared" si="3071"/>
        <v>DO2-18B</v>
      </c>
      <c r="CL525" t="str">
        <f t="shared" si="2983"/>
        <v>K16-10</v>
      </c>
      <c r="CM525" t="str">
        <f t="shared" si="2984"/>
        <v>K16-03</v>
      </c>
      <c r="CN525" t="str">
        <f t="shared" si="2985"/>
        <v>K16-04</v>
      </c>
      <c r="CO525" t="str">
        <f t="shared" si="2986"/>
        <v>K16-01</v>
      </c>
      <c r="CP525" t="str">
        <f t="shared" si="2987"/>
        <v>K16-08</v>
      </c>
      <c r="CQ525" t="str">
        <f t="shared" si="2988"/>
        <v>K16-02</v>
      </c>
      <c r="CR525" t="str">
        <f t="shared" si="2989"/>
        <v>K16-09</v>
      </c>
      <c r="CS525" t="str">
        <f t="shared" si="2990"/>
        <v>K16-05</v>
      </c>
      <c r="CT525" t="str">
        <f t="shared" si="2991"/>
        <v>K16-11</v>
      </c>
      <c r="CU525" t="str">
        <f t="shared" si="2992"/>
        <v>N2-M16-A9</v>
      </c>
      <c r="CV525" t="str">
        <f t="shared" si="2993"/>
        <v>N2-M16-A7</v>
      </c>
      <c r="CW525" t="str">
        <f t="shared" si="2994"/>
        <v>N2-M16-A8</v>
      </c>
      <c r="CX525" t="str">
        <f t="shared" si="2995"/>
        <v>N2-M16-A6</v>
      </c>
      <c r="CY525" t="str">
        <f t="shared" si="2996"/>
        <v>N2-M16-A30</v>
      </c>
      <c r="CZ525" t="str">
        <f t="shared" si="2997"/>
        <v>N2-M16-N</v>
      </c>
      <c r="DA525" t="str">
        <f t="shared" si="3072"/>
        <v>N2-A220-M16</v>
      </c>
      <c r="DB525" t="str">
        <f t="shared" si="2999"/>
        <v>N2-M16-XM01</v>
      </c>
      <c r="DC525" t="str">
        <f t="shared" si="3000"/>
        <v>N2-M16-A1</v>
      </c>
      <c r="DD525" t="str">
        <f t="shared" si="3001"/>
        <v>N2-M16-A5</v>
      </c>
      <c r="DE525" t="str">
        <f t="shared" si="3002"/>
        <v>N2-M16-A11</v>
      </c>
      <c r="DF525" t="str">
        <f t="shared" si="3003"/>
        <v>N2-M16-A12</v>
      </c>
      <c r="DG525" t="str">
        <f>CONCATENATE($T525,"-M",$U525,"-A19")</f>
        <v>N2-M16-A19</v>
      </c>
      <c r="DH525" t="str">
        <f>CONCATENATE($T525,"-M",$U525,"-A20")</f>
        <v>N2-M16-A20</v>
      </c>
      <c r="DI525" t="s">
        <v>142</v>
      </c>
      <c r="DJ525" t="s">
        <v>143</v>
      </c>
      <c r="DK525">
        <v>11</v>
      </c>
      <c r="DL525">
        <v>14</v>
      </c>
      <c r="DM525">
        <v>12</v>
      </c>
      <c r="DN525" t="s">
        <v>144</v>
      </c>
      <c r="DO525" t="s">
        <v>145</v>
      </c>
      <c r="DP525">
        <v>1</v>
      </c>
      <c r="DQ525">
        <v>2</v>
      </c>
      <c r="DR525">
        <v>3</v>
      </c>
      <c r="DS525">
        <v>4</v>
      </c>
      <c r="DT525">
        <v>5</v>
      </c>
      <c r="DU525">
        <v>6</v>
      </c>
      <c r="DV525">
        <v>7</v>
      </c>
      <c r="DW525">
        <v>8</v>
      </c>
      <c r="DX525">
        <v>9</v>
      </c>
      <c r="DY525">
        <v>10</v>
      </c>
      <c r="DZ525">
        <v>11</v>
      </c>
      <c r="EA525">
        <v>12</v>
      </c>
      <c r="EB525">
        <v>13</v>
      </c>
      <c r="EC525">
        <v>14</v>
      </c>
      <c r="ED525">
        <v>1</v>
      </c>
      <c r="EE525">
        <v>3</v>
      </c>
      <c r="EF525">
        <v>4</v>
      </c>
      <c r="EG525">
        <v>7</v>
      </c>
      <c r="EH525">
        <v>8</v>
      </c>
      <c r="EI525">
        <v>9</v>
      </c>
      <c r="EJ525">
        <v>10</v>
      </c>
      <c r="EK525">
        <v>13</v>
      </c>
      <c r="EL525">
        <v>15</v>
      </c>
      <c r="EM525">
        <v>16</v>
      </c>
      <c r="EN525">
        <v>16</v>
      </c>
      <c r="EO525">
        <v>22</v>
      </c>
      <c r="EP525">
        <v>23</v>
      </c>
      <c r="EQ525" s="16">
        <v>24</v>
      </c>
    </row>
    <row r="526" spans="1:305" ht="15.75" thickBot="1" x14ac:dyDescent="0.3">
      <c r="A526" s="67" t="s">
        <v>2780</v>
      </c>
      <c r="B526" t="s">
        <v>2778</v>
      </c>
      <c r="C526" s="3"/>
      <c r="O526" s="2"/>
      <c r="P526" t="s">
        <v>2738</v>
      </c>
      <c r="Q526" s="1"/>
      <c r="S526" s="1" t="s">
        <v>130</v>
      </c>
      <c r="T526" s="14" t="s">
        <v>2724</v>
      </c>
      <c r="U526" s="60">
        <f t="shared" si="3040"/>
        <v>17</v>
      </c>
      <c r="V526" s="15" t="s">
        <v>2772</v>
      </c>
      <c r="W526" s="15"/>
      <c r="AC526" t="str">
        <f t="shared" si="3073"/>
        <v>A5.3</v>
      </c>
      <c r="AD526" s="43" cm="1">
        <f t="array" ref="AD526">IF(COUNTIFS(AC$510:AC526,AC526)=1,"1",VALUE(SUBSTITUTE(INDEX(AD:AD,_xlfn.XMATCH(AC526,AC$1:AC525,0,-1)),"A",""))+INDEX(AE:AE,_xlfn.XMATCH(AC526,AC$1:AC525,0,-1))+1)</f>
        <v>25</v>
      </c>
      <c r="AE526" s="43" cm="1">
        <f t="array" ref="AE526">SUM(IF(ISNUMBER(FIND("TmDi",$BE$1:$AAL$1)),IF(IFERROR(ISNUMBER(VALUE(SUBSTITUTE($BE526:$AAL526,"B",""))),FALSE),IF(ISNUMBER(VALUE(SUBSTITUTE($BE526:$AAL526,"B",""))),1,0),0)))</f>
        <v>3</v>
      </c>
      <c r="AF526" t="str">
        <f t="shared" si="2178"/>
        <v>C25</v>
      </c>
      <c r="AG526" t="str">
        <f t="shared" si="2179"/>
        <v>B25</v>
      </c>
      <c r="AH526" t="str">
        <f t="shared" si="3075"/>
        <v>A6.2</v>
      </c>
      <c r="AI526" s="73" cm="1">
        <f t="array" ref="AI526">IF(COUNTIFS(AH$510:AH526,AH526)=1,"1",VALUE(SUBSTITUTE(INDEX(AI:AI,_xlfn.XMATCH(AH526,AH$1:AH525,0,-1)),"A",""))+INDEX(AJ:AJ,_xlfn.XMATCH(AH526,AH$1:AH525,0,-1))+1)</f>
        <v>19</v>
      </c>
      <c r="AJ526" s="64" cm="1">
        <f t="array" ref="AJ526">SUM(IF(ISNUMBER(FIND("TmDo",$BE$1:$AAL$1)),IF(IFERROR(ISNUMBER(VALUE(SUBSTITUTE($BE526:$AAL526,"B",""))),FALSE),IF(ISNUMBER(VALUE(SUBSTITUTE($BE526:$AAL526,"B",""))),1,0),0)))</f>
        <v>2</v>
      </c>
      <c r="AK526" t="str">
        <f t="shared" si="2732"/>
        <v>19A</v>
      </c>
      <c r="AL526" t="str">
        <f t="shared" si="2733"/>
        <v>19B</v>
      </c>
      <c r="AM526" t="s">
        <v>169</v>
      </c>
      <c r="AP526" t="s">
        <v>2727</v>
      </c>
      <c r="AQ526" t="s">
        <v>2756</v>
      </c>
      <c r="AT526" t="s">
        <v>139</v>
      </c>
      <c r="AU526" t="s">
        <v>140</v>
      </c>
      <c r="BD526" s="16"/>
      <c r="BE526" s="27" t="str">
        <f t="shared" si="3043"/>
        <v>XT17</v>
      </c>
      <c r="BF526" t="str">
        <f>CONCATENATE("C",REPLACE($AF526,1,1,"")+1)</f>
        <v>C26</v>
      </c>
      <c r="BG526" t="str">
        <f>CONCATENATE("B",REPLACE($AG526,1,1,"")+1)</f>
        <v>B26</v>
      </c>
      <c r="BH526" t="str">
        <f t="shared" si="3046"/>
        <v>C27</v>
      </c>
      <c r="BI526" t="str">
        <f t="shared" si="3047"/>
        <v>B27</v>
      </c>
      <c r="BJ526" t="str">
        <f t="shared" si="3048"/>
        <v>C28</v>
      </c>
      <c r="BK526" t="str">
        <f t="shared" si="3049"/>
        <v>B28</v>
      </c>
      <c r="BP526" t="str">
        <f>CONCATENATE(REPLACE($AK526,LEN($AK526),1,"")+1,"A")</f>
        <v>20A</v>
      </c>
      <c r="BQ526" t="str">
        <f>CONCATENATE(REPLACE($AL526,LEN($AL526),1,"")+1,"B")</f>
        <v>20B</v>
      </c>
      <c r="BR526" t="str">
        <f t="shared" si="2963"/>
        <v>21A</v>
      </c>
      <c r="BS526" t="str">
        <f t="shared" si="2964"/>
        <v>21B</v>
      </c>
      <c r="BT526" t="str">
        <f>CONCATENATE("DI",REPLACE($AC526,1,3,""),"-",$AF526)</f>
        <v>DI3-C25</v>
      </c>
      <c r="BU526" t="str">
        <f>CONCATENATE("DI",REPLACE($AC526,1,3,""),"-",$AG526)</f>
        <v>DI3-B25</v>
      </c>
      <c r="BV526" t="str">
        <f t="shared" si="3056"/>
        <v>DI3-C26</v>
      </c>
      <c r="BW526" t="str">
        <f t="shared" si="3057"/>
        <v>DI3-B26</v>
      </c>
      <c r="BX526" t="str">
        <f t="shared" si="3058"/>
        <v>DI3-C27</v>
      </c>
      <c r="BY526" t="str">
        <f t="shared" si="3059"/>
        <v>DI3-B27</v>
      </c>
      <c r="BZ526" t="str">
        <f t="shared" si="3060"/>
        <v>DI3-C28</v>
      </c>
      <c r="CA526" t="str">
        <f t="shared" si="3061"/>
        <v>DI3-B28</v>
      </c>
      <c r="CB526" t="str">
        <f t="shared" si="3062"/>
        <v>DI3-</v>
      </c>
      <c r="CC526" t="str">
        <f t="shared" si="3063"/>
        <v>DI3-</v>
      </c>
      <c r="CD526" t="str">
        <f t="shared" si="3064"/>
        <v>DI3-</v>
      </c>
      <c r="CE526" t="str">
        <f t="shared" si="3065"/>
        <v>DI3-</v>
      </c>
      <c r="CF526" t="str">
        <f t="shared" si="3066"/>
        <v>DO2-19A</v>
      </c>
      <c r="CG526" t="str">
        <f t="shared" si="3067"/>
        <v>DO2-19B</v>
      </c>
      <c r="CH526" t="str">
        <f t="shared" si="3068"/>
        <v>DO2-20A</v>
      </c>
      <c r="CI526" t="str">
        <f t="shared" si="3069"/>
        <v>DO2-20B</v>
      </c>
      <c r="CJ526" t="str">
        <f t="shared" si="3070"/>
        <v>DO2-21A</v>
      </c>
      <c r="CK526" t="str">
        <f t="shared" si="3071"/>
        <v>DO2-21B</v>
      </c>
      <c r="CL526" t="str">
        <f t="shared" si="2983"/>
        <v>K17-10</v>
      </c>
      <c r="CM526" t="str">
        <f t="shared" si="2984"/>
        <v>K17-03</v>
      </c>
      <c r="CN526" t="str">
        <f t="shared" si="2985"/>
        <v>K17-04</v>
      </c>
      <c r="CO526" t="str">
        <f t="shared" si="2986"/>
        <v>K17-01</v>
      </c>
      <c r="CP526" t="str">
        <f t="shared" si="2987"/>
        <v>K17-08</v>
      </c>
      <c r="CQ526" t="str">
        <f t="shared" si="2988"/>
        <v>K17-02</v>
      </c>
      <c r="CR526" t="str">
        <f t="shared" si="2989"/>
        <v>K17-09</v>
      </c>
      <c r="CS526" t="str">
        <f t="shared" si="2990"/>
        <v>K17-05</v>
      </c>
      <c r="CT526" t="str">
        <f t="shared" si="2991"/>
        <v>K17-11</v>
      </c>
      <c r="CU526" t="str">
        <f t="shared" si="2992"/>
        <v>N2-M17-A9</v>
      </c>
      <c r="CV526" t="str">
        <f t="shared" si="2993"/>
        <v>N2-M17-A7</v>
      </c>
      <c r="CW526" t="str">
        <f t="shared" si="2994"/>
        <v>N2-M17-A8</v>
      </c>
      <c r="CX526" t="str">
        <f t="shared" si="2995"/>
        <v>N2-M17-A6</v>
      </c>
      <c r="CY526" t="str">
        <f t="shared" si="2996"/>
        <v>N2-M17-A30</v>
      </c>
      <c r="CZ526" t="str">
        <f t="shared" si="2997"/>
        <v>N2-M17-N</v>
      </c>
      <c r="DA526" t="str">
        <f t="shared" si="3072"/>
        <v>N2-A220-M17</v>
      </c>
      <c r="DB526" t="str">
        <f t="shared" si="2999"/>
        <v>N2-M17-XM01</v>
      </c>
      <c r="DC526" t="str">
        <f t="shared" si="3000"/>
        <v>N2-M17-A1</v>
      </c>
      <c r="DD526" t="str">
        <f t="shared" si="3001"/>
        <v>N2-M17-A5</v>
      </c>
      <c r="DE526" t="str">
        <f t="shared" si="3002"/>
        <v>N2-M17-A11</v>
      </c>
      <c r="DF526" t="str">
        <f t="shared" si="3003"/>
        <v>N2-M17-A12</v>
      </c>
      <c r="DG526" t="str">
        <f>CONCATENATE($T526,"-M",$U526,"-A19")</f>
        <v>N2-M17-A19</v>
      </c>
      <c r="DH526" t="str">
        <f>CONCATENATE($T526,"-M",$U526,"-A20")</f>
        <v>N2-M17-A20</v>
      </c>
      <c r="DI526" t="s">
        <v>142</v>
      </c>
      <c r="DJ526" t="s">
        <v>143</v>
      </c>
      <c r="DK526">
        <v>11</v>
      </c>
      <c r="DL526">
        <v>14</v>
      </c>
      <c r="DM526">
        <v>12</v>
      </c>
      <c r="DN526" t="s">
        <v>144</v>
      </c>
      <c r="DO526" t="s">
        <v>145</v>
      </c>
      <c r="DP526">
        <v>1</v>
      </c>
      <c r="DQ526">
        <v>2</v>
      </c>
      <c r="DR526">
        <v>3</v>
      </c>
      <c r="DS526">
        <v>4</v>
      </c>
      <c r="DT526">
        <v>5</v>
      </c>
      <c r="DU526">
        <v>6</v>
      </c>
      <c r="DV526">
        <v>7</v>
      </c>
      <c r="DW526">
        <v>8</v>
      </c>
      <c r="DX526">
        <v>9</v>
      </c>
      <c r="DY526">
        <v>10</v>
      </c>
      <c r="DZ526">
        <v>11</v>
      </c>
      <c r="EA526">
        <v>12</v>
      </c>
      <c r="EB526">
        <v>13</v>
      </c>
      <c r="EC526">
        <v>14</v>
      </c>
      <c r="ED526">
        <v>1</v>
      </c>
      <c r="EE526">
        <v>3</v>
      </c>
      <c r="EF526">
        <v>4</v>
      </c>
      <c r="EG526">
        <v>7</v>
      </c>
      <c r="EH526">
        <v>8</v>
      </c>
      <c r="EI526">
        <v>9</v>
      </c>
      <c r="EJ526">
        <v>10</v>
      </c>
      <c r="EK526">
        <v>13</v>
      </c>
      <c r="EL526">
        <v>15</v>
      </c>
      <c r="EM526">
        <v>16</v>
      </c>
      <c r="EN526">
        <v>16</v>
      </c>
      <c r="EO526">
        <v>22</v>
      </c>
      <c r="EP526">
        <v>23</v>
      </c>
      <c r="EQ526" s="16">
        <v>24</v>
      </c>
    </row>
    <row r="527" spans="1:305" x14ac:dyDescent="0.25">
      <c r="A527" t="s">
        <v>2783</v>
      </c>
      <c r="B527" t="s">
        <v>2782</v>
      </c>
      <c r="C527" t="s">
        <v>498</v>
      </c>
      <c r="P527" t="s">
        <v>482</v>
      </c>
      <c r="T527" s="14" t="s">
        <v>2724</v>
      </c>
      <c r="U527">
        <v>18</v>
      </c>
      <c r="V527" s="15" t="s">
        <v>2781</v>
      </c>
      <c r="X527" t="s">
        <v>2018</v>
      </c>
      <c r="Y527" s="43" t="str" cm="1">
        <f t="array" ref="Y527">IF(COUNTIFS($X$510:$X527,$X527)=1,"1",VALUE(SUBSTITUTE(INDEX(Y:Y,_xlfn.XMATCH($X527,$X$1:$X526,0,-1)),"A",""))+INDEX(Z:Z,_xlfn.XMATCH($X527,$X$1:$X526,0,-1))+1)</f>
        <v>1</v>
      </c>
      <c r="Z527" s="43" cm="1">
        <f t="array" ref="Z527">SUM(IF(ISNUMBER(FIND("TmAi",$BE$1:$AAL$1)),IF(IFERROR(ISODD(SUBSTITUTE($BE527:$AAL527,"A","")),FALSE),IF(ISODD(SUBSTITUTE($BE527:$AAL527,"A","")),1,0),0)))</f>
        <v>0</v>
      </c>
      <c r="AA527" t="str">
        <f t="shared" ref="AA527:AA539" si="3076">CONCATENATE($Y527*2-1,"B")</f>
        <v>1B</v>
      </c>
      <c r="AB527" t="str">
        <f t="shared" ref="AB527:AB539" si="3077">CONCATENATE($Y527*2,"B")</f>
        <v>2B</v>
      </c>
      <c r="AP527" t="s">
        <v>2727</v>
      </c>
      <c r="AS527" t="s">
        <v>396</v>
      </c>
      <c r="JZ527" s="25" t="str">
        <f t="shared" ref="JZ527" si="3078">CONCATENATE("XT",U527)</f>
        <v>XT18</v>
      </c>
      <c r="KA527" s="12"/>
      <c r="KB527" s="12"/>
      <c r="KC527" s="12" t="str">
        <f t="shared" ref="KC527" si="3079">CONCATENATE(T527,"-AI",REPLACE($X527,1,3,""),"-",AA527)</f>
        <v>N2-AI2-1B</v>
      </c>
      <c r="KD527" s="12" t="str">
        <f t="shared" ref="KD527" si="3080">CONCATENATE(T527,"-AI",REPLACE($X527,1,3,""),"-",AB527)</f>
        <v>N2-AI2-2B</v>
      </c>
      <c r="KE527" s="12"/>
      <c r="KF527" s="12"/>
      <c r="KG527" s="12"/>
      <c r="KH527" s="12"/>
      <c r="KI527" s="12" cm="1">
        <f t="array" ref="KI527">IF(COUNTIFS($U$510:$U527,$U527)=1,1,INDEX(KI:KI,_xlfn.XMATCH(U527,U$1:U526,0,-1))+COUNT(KI526:KM526))</f>
        <v>1</v>
      </c>
      <c r="KJ527" s="12">
        <f t="shared" ref="KJ527" si="3081">KI527+1</f>
        <v>2</v>
      </c>
      <c r="KK527" s="12">
        <f t="shared" ref="KK527" si="3082">KJ527+1</f>
        <v>3</v>
      </c>
      <c r="KL527" s="12"/>
      <c r="KM527" s="12"/>
      <c r="KN527" s="12">
        <v>1</v>
      </c>
      <c r="KO527" s="12">
        <v>2</v>
      </c>
      <c r="KP527" s="12"/>
      <c r="KQ527" s="12"/>
      <c r="KR527" s="12"/>
      <c r="KS527" s="13"/>
    </row>
    <row r="528" spans="1:305" x14ac:dyDescent="0.25">
      <c r="A528" t="s">
        <v>2785</v>
      </c>
      <c r="B528" t="s">
        <v>2784</v>
      </c>
      <c r="C528" t="s">
        <v>498</v>
      </c>
      <c r="P528" t="s">
        <v>482</v>
      </c>
      <c r="T528" s="14" t="s">
        <v>2724</v>
      </c>
      <c r="U528">
        <v>18</v>
      </c>
      <c r="V528" s="15" t="s">
        <v>2786</v>
      </c>
      <c r="X528" t="str">
        <f>IF(COUNTIF(X$510:X527,X527)&gt;7,REPLACE(X527,LEN(X527),1,VALUE(RIGHT(X527,1))+1),X527)</f>
        <v>A3.2</v>
      </c>
      <c r="Y528" s="43" cm="1">
        <f t="array" ref="Y528">IF(COUNTIFS($X$510:$X528,$X528)=1,"1",VALUE(SUBSTITUTE(INDEX(Y:Y,_xlfn.XMATCH($X528,$X$1:$X527,0,-1)),"A",""))+INDEX(Z:Z,_xlfn.XMATCH($X528,$X$1:$X527,0,-1))+1)</f>
        <v>2</v>
      </c>
      <c r="Z528" s="43" cm="1">
        <f t="array" ref="Z528">SUM(IF(ISNUMBER(FIND("TmAi",$BE$1:$AAL$1)),IF(IFERROR(ISODD(SUBSTITUTE($BE528:$AAL528,"A","")),FALSE),IF(ISODD(SUBSTITUTE($BE528:$AAL528,"A","")),1,0),0)))</f>
        <v>0</v>
      </c>
      <c r="AA528" t="str">
        <f t="shared" si="3076"/>
        <v>3B</v>
      </c>
      <c r="AB528" t="str">
        <f t="shared" si="3077"/>
        <v>4B</v>
      </c>
      <c r="AP528" t="s">
        <v>2727</v>
      </c>
      <c r="AS528" t="s">
        <v>396</v>
      </c>
      <c r="JZ528" s="27" t="str">
        <f t="shared" ref="JZ528:JZ537" si="3083">CONCATENATE("XT",U528)</f>
        <v>XT18</v>
      </c>
      <c r="KC528" t="str">
        <f t="shared" ref="KC528:KC537" si="3084">CONCATENATE(T528,"-AI",REPLACE($X528,1,3,""),"-",AA528)</f>
        <v>N2-AI2-3B</v>
      </c>
      <c r="KD528" t="str">
        <f t="shared" ref="KD528:KD537" si="3085">CONCATENATE(T528,"-AI",REPLACE($X528,1,3,""),"-",AB528)</f>
        <v>N2-AI2-4B</v>
      </c>
      <c r="KI528" cm="1">
        <f t="array" ref="KI528">IF(COUNTIFS($U$510:$U528,$U528)=1,1,INDEX(KI:KI,_xlfn.XMATCH(U528,U$1:U527,0,-1))+COUNT(KI527:KM527))</f>
        <v>4</v>
      </c>
      <c r="KJ528">
        <f t="shared" ref="KJ528:KJ537" si="3086">KI528+1</f>
        <v>5</v>
      </c>
      <c r="KK528">
        <f t="shared" ref="KK528:KK537" si="3087">KJ528+1</f>
        <v>6</v>
      </c>
      <c r="KN528">
        <v>1</v>
      </c>
      <c r="KO528">
        <v>2</v>
      </c>
      <c r="KS528" s="16"/>
    </row>
    <row r="529" spans="1:784" x14ac:dyDescent="0.25">
      <c r="A529" t="s">
        <v>2788</v>
      </c>
      <c r="B529" t="s">
        <v>2787</v>
      </c>
      <c r="C529" t="s">
        <v>498</v>
      </c>
      <c r="P529" t="s">
        <v>482</v>
      </c>
      <c r="T529" s="14" t="s">
        <v>2724</v>
      </c>
      <c r="U529">
        <v>18</v>
      </c>
      <c r="V529" s="15" t="s">
        <v>2791</v>
      </c>
      <c r="X529" t="str">
        <f>IF(COUNTIF(X$510:X528,X528)&gt;7,REPLACE(X528,LEN(X528),1,VALUE(RIGHT(X528,1))+1),X528)</f>
        <v>A3.2</v>
      </c>
      <c r="Y529" s="43" cm="1">
        <f t="array" ref="Y529">IF(COUNTIFS($X$510:$X529,$X529)=1,"1",VALUE(SUBSTITUTE(INDEX(Y:Y,_xlfn.XMATCH($X529,$X$1:$X528,0,-1)),"A",""))+INDEX(Z:Z,_xlfn.XMATCH($X529,$X$1:$X528,0,-1))+1)</f>
        <v>3</v>
      </c>
      <c r="Z529" s="43" cm="1">
        <f t="array" ref="Z529">SUM(IF(ISNUMBER(FIND("TmAi",$BE$1:$AAL$1)),IF(IFERROR(ISODD(SUBSTITUTE($BE529:$AAL529,"A","")),FALSE),IF(ISODD(SUBSTITUTE($BE529:$AAL529,"A","")),1,0),0)))</f>
        <v>0</v>
      </c>
      <c r="AA529" t="str">
        <f t="shared" si="3076"/>
        <v>5B</v>
      </c>
      <c r="AB529" t="str">
        <f t="shared" si="3077"/>
        <v>6B</v>
      </c>
      <c r="AP529" t="s">
        <v>2727</v>
      </c>
      <c r="AS529" t="s">
        <v>396</v>
      </c>
      <c r="JZ529" s="27" t="str">
        <f t="shared" si="3083"/>
        <v>XT18</v>
      </c>
      <c r="KC529" t="str">
        <f t="shared" si="3084"/>
        <v>N2-AI2-5B</v>
      </c>
      <c r="KD529" t="str">
        <f t="shared" si="3085"/>
        <v>N2-AI2-6B</v>
      </c>
      <c r="KI529" cm="1">
        <f t="array" ref="KI529">IF(COUNTIFS($U$510:$U529,$U529)=1,1,INDEX(KI:KI,_xlfn.XMATCH(U529,U$1:U528,0,-1))+COUNT(KI528:KM528))</f>
        <v>7</v>
      </c>
      <c r="KJ529">
        <f t="shared" si="3086"/>
        <v>8</v>
      </c>
      <c r="KK529">
        <f t="shared" si="3087"/>
        <v>9</v>
      </c>
      <c r="KN529">
        <v>1</v>
      </c>
      <c r="KO529">
        <v>2</v>
      </c>
      <c r="KS529" s="16"/>
    </row>
    <row r="530" spans="1:784" x14ac:dyDescent="0.25">
      <c r="A530" t="s">
        <v>2790</v>
      </c>
      <c r="B530" t="s">
        <v>2789</v>
      </c>
      <c r="C530" t="s">
        <v>498</v>
      </c>
      <c r="P530" t="s">
        <v>482</v>
      </c>
      <c r="T530" s="14" t="s">
        <v>2724</v>
      </c>
      <c r="U530">
        <v>18</v>
      </c>
      <c r="V530" s="15" t="s">
        <v>2792</v>
      </c>
      <c r="X530" t="str">
        <f>IF(COUNTIF(X$510:X529,X529)&gt;7,REPLACE(X529,LEN(X529),1,VALUE(RIGHT(X529,1))+1),X529)</f>
        <v>A3.2</v>
      </c>
      <c r="Y530" s="43" cm="1">
        <f t="array" ref="Y530">IF(COUNTIFS($X$510:$X530,$X530)=1,"1",VALUE(SUBSTITUTE(INDEX(Y:Y,_xlfn.XMATCH($X530,$X$1:$X529,0,-1)),"A",""))+INDEX(Z:Z,_xlfn.XMATCH($X530,$X$1:$X529,0,-1))+1)</f>
        <v>4</v>
      </c>
      <c r="Z530" s="43" cm="1">
        <f t="array" ref="Z530">SUM(IF(ISNUMBER(FIND("TmAi",$BE$1:$AAL$1)),IF(IFERROR(ISODD(SUBSTITUTE($BE530:$AAL530,"A","")),FALSE),IF(ISODD(SUBSTITUTE($BE530:$AAL530,"A","")),1,0),0)))</f>
        <v>0</v>
      </c>
      <c r="AA530" t="str">
        <f t="shared" si="3076"/>
        <v>7B</v>
      </c>
      <c r="AB530" t="str">
        <f t="shared" si="3077"/>
        <v>8B</v>
      </c>
      <c r="AP530" t="s">
        <v>2727</v>
      </c>
      <c r="AS530" t="s">
        <v>396</v>
      </c>
      <c r="JZ530" s="27" t="str">
        <f t="shared" si="3083"/>
        <v>XT18</v>
      </c>
      <c r="KC530" t="str">
        <f t="shared" si="3084"/>
        <v>N2-AI2-7B</v>
      </c>
      <c r="KD530" t="str">
        <f t="shared" si="3085"/>
        <v>N2-AI2-8B</v>
      </c>
      <c r="KI530" cm="1">
        <f t="array" ref="KI530">IF(COUNTIFS($U$510:$U530,$U530)=1,1,INDEX(KI:KI,_xlfn.XMATCH(U530,U$1:U529,0,-1))+COUNT(KI529:KM529))</f>
        <v>10</v>
      </c>
      <c r="KJ530">
        <f t="shared" si="3086"/>
        <v>11</v>
      </c>
      <c r="KK530">
        <f t="shared" si="3087"/>
        <v>12</v>
      </c>
      <c r="KN530">
        <v>1</v>
      </c>
      <c r="KO530">
        <v>2</v>
      </c>
      <c r="KS530" s="16"/>
    </row>
    <row r="531" spans="1:784" x14ac:dyDescent="0.25">
      <c r="A531" t="s">
        <v>2797</v>
      </c>
      <c r="B531" t="s">
        <v>2795</v>
      </c>
      <c r="C531" t="s">
        <v>498</v>
      </c>
      <c r="P531" t="s">
        <v>482</v>
      </c>
      <c r="T531" s="14" t="s">
        <v>2724</v>
      </c>
      <c r="U531">
        <v>18</v>
      </c>
      <c r="V531" s="15" t="s">
        <v>2793</v>
      </c>
      <c r="X531" t="str">
        <f>IF(COUNTIF(X$510:X530,X530)&gt;7,REPLACE(X530,LEN(X530),1,VALUE(RIGHT(X530,1))+1),X530)</f>
        <v>A3.2</v>
      </c>
      <c r="Y531" s="43" cm="1">
        <f t="array" ref="Y531">IF(COUNTIFS($X$510:$X531,$X531)=1,"1",VALUE(SUBSTITUTE(INDEX(Y:Y,_xlfn.XMATCH($X531,$X$1:$X530,0,-1)),"A",""))+INDEX(Z:Z,_xlfn.XMATCH($X531,$X$1:$X530,0,-1))+1)</f>
        <v>5</v>
      </c>
      <c r="Z531" s="43" cm="1">
        <f t="array" ref="Z531">SUM(IF(ISNUMBER(FIND("TmAi",$BE$1:$AAL$1)),IF(IFERROR(ISODD(SUBSTITUTE($BE531:$AAL531,"A","")),FALSE),IF(ISODD(SUBSTITUTE($BE531:$AAL531,"A","")),1,0),0)))</f>
        <v>0</v>
      </c>
      <c r="AA531" t="str">
        <f t="shared" si="3076"/>
        <v>9B</v>
      </c>
      <c r="AB531" t="str">
        <f t="shared" si="3077"/>
        <v>10B</v>
      </c>
      <c r="AP531" t="s">
        <v>2727</v>
      </c>
      <c r="AS531" t="s">
        <v>396</v>
      </c>
      <c r="JZ531" s="27" t="str">
        <f t="shared" si="3083"/>
        <v>XT18</v>
      </c>
      <c r="KC531" t="str">
        <f t="shared" si="3084"/>
        <v>N2-AI2-9B</v>
      </c>
      <c r="KD531" t="str">
        <f t="shared" si="3085"/>
        <v>N2-AI2-10B</v>
      </c>
      <c r="KI531" cm="1">
        <f t="array" ref="KI531">IF(COUNTIFS($U$510:$U531,$U531)=1,1,INDEX(KI:KI,_xlfn.XMATCH(U531,U$1:U530,0,-1))+COUNT(KI530:KM530))</f>
        <v>13</v>
      </c>
      <c r="KJ531">
        <f t="shared" si="3086"/>
        <v>14</v>
      </c>
      <c r="KK531">
        <f t="shared" si="3087"/>
        <v>15</v>
      </c>
      <c r="KN531">
        <v>1</v>
      </c>
      <c r="KO531">
        <v>2</v>
      </c>
      <c r="KS531" s="16"/>
    </row>
    <row r="532" spans="1:784" x14ac:dyDescent="0.25">
      <c r="A532" t="s">
        <v>2798</v>
      </c>
      <c r="B532" t="s">
        <v>2796</v>
      </c>
      <c r="C532" t="s">
        <v>498</v>
      </c>
      <c r="P532" t="s">
        <v>482</v>
      </c>
      <c r="T532" s="14" t="s">
        <v>2724</v>
      </c>
      <c r="U532">
        <v>18</v>
      </c>
      <c r="V532" s="15" t="s">
        <v>2794</v>
      </c>
      <c r="X532" t="str">
        <f>IF(COUNTIF(X$510:X531,X531)&gt;7,REPLACE(X531,LEN(X531),1,VALUE(RIGHT(X531,1))+1),X531)</f>
        <v>A3.2</v>
      </c>
      <c r="Y532" s="43" cm="1">
        <f t="array" ref="Y532">IF(COUNTIFS($X$510:$X532,$X532)=1,"1",VALUE(SUBSTITUTE(INDEX(Y:Y,_xlfn.XMATCH($X532,$X$1:$X531,0,-1)),"A",""))+INDEX(Z:Z,_xlfn.XMATCH($X532,$X$1:$X531,0,-1))+1)</f>
        <v>6</v>
      </c>
      <c r="Z532" s="43" cm="1">
        <f t="array" ref="Z532">SUM(IF(ISNUMBER(FIND("TmAi",$BE$1:$AAL$1)),IF(IFERROR(ISODD(SUBSTITUTE($BE532:$AAL532,"A","")),FALSE),IF(ISODD(SUBSTITUTE($BE532:$AAL532,"A","")),1,0),0)))</f>
        <v>0</v>
      </c>
      <c r="AA532" t="str">
        <f t="shared" si="3076"/>
        <v>11B</v>
      </c>
      <c r="AB532" t="str">
        <f t="shared" si="3077"/>
        <v>12B</v>
      </c>
      <c r="AP532" t="s">
        <v>2727</v>
      </c>
      <c r="AS532" t="s">
        <v>396</v>
      </c>
      <c r="JZ532" s="27" t="str">
        <f t="shared" si="3083"/>
        <v>XT18</v>
      </c>
      <c r="KC532" t="str">
        <f t="shared" si="3084"/>
        <v>N2-AI2-11B</v>
      </c>
      <c r="KD532" t="str">
        <f t="shared" si="3085"/>
        <v>N2-AI2-12B</v>
      </c>
      <c r="KI532" cm="1">
        <f t="array" ref="KI532">IF(COUNTIFS($U$510:$U532,$U532)=1,1,INDEX(KI:KI,_xlfn.XMATCH(U532,U$1:U531,0,-1))+COUNT(KI531:KM531))</f>
        <v>16</v>
      </c>
      <c r="KJ532">
        <f t="shared" si="3086"/>
        <v>17</v>
      </c>
      <c r="KK532">
        <f t="shared" si="3087"/>
        <v>18</v>
      </c>
      <c r="KN532">
        <v>1</v>
      </c>
      <c r="KO532">
        <v>2</v>
      </c>
      <c r="KS532" s="16"/>
    </row>
    <row r="533" spans="1:784" x14ac:dyDescent="0.25">
      <c r="A533" t="s">
        <v>2807</v>
      </c>
      <c r="B533" t="s">
        <v>2799</v>
      </c>
      <c r="C533" t="s">
        <v>498</v>
      </c>
      <c r="P533" t="s">
        <v>482</v>
      </c>
      <c r="T533" s="14" t="s">
        <v>2724</v>
      </c>
      <c r="U533">
        <v>18</v>
      </c>
      <c r="V533" s="15" t="s">
        <v>2803</v>
      </c>
      <c r="X533" t="str">
        <f>IF(COUNTIF(X$510:X532,X532)&gt;7,REPLACE(X532,LEN(X532),1,VALUE(RIGHT(X532,1))+1),X532)</f>
        <v>A3.2</v>
      </c>
      <c r="Y533" s="43" cm="1">
        <f t="array" ref="Y533">IF(COUNTIFS($X$510:$X533,$X533)=1,"1",VALUE(SUBSTITUTE(INDEX(Y:Y,_xlfn.XMATCH($X533,$X$1:$X532,0,-1)),"A",""))+INDEX(Z:Z,_xlfn.XMATCH($X533,$X$1:$X532,0,-1))+1)</f>
        <v>7</v>
      </c>
      <c r="Z533" s="43" cm="1">
        <f t="array" ref="Z533">SUM(IF(ISNUMBER(FIND("TmAi",$BE$1:$AAL$1)),IF(IFERROR(ISODD(SUBSTITUTE($BE533:$AAL533,"A","")),FALSE),IF(ISODD(SUBSTITUTE($BE533:$AAL533,"A","")),1,0),0)))</f>
        <v>0</v>
      </c>
      <c r="AA533" t="str">
        <f t="shared" si="3076"/>
        <v>13B</v>
      </c>
      <c r="AB533" t="str">
        <f t="shared" si="3077"/>
        <v>14B</v>
      </c>
      <c r="AP533" t="s">
        <v>2727</v>
      </c>
      <c r="AS533" t="s">
        <v>396</v>
      </c>
      <c r="JZ533" s="27" t="str">
        <f t="shared" si="3083"/>
        <v>XT18</v>
      </c>
      <c r="KC533" t="str">
        <f t="shared" si="3084"/>
        <v>N2-AI2-13B</v>
      </c>
      <c r="KD533" t="str">
        <f t="shared" si="3085"/>
        <v>N2-AI2-14B</v>
      </c>
      <c r="KI533" cm="1">
        <f t="array" ref="KI533">IF(COUNTIFS($U$510:$U533,$U533)=1,1,INDEX(KI:KI,_xlfn.XMATCH(U533,U$1:U532,0,-1))+COUNT(KI532:KM532))</f>
        <v>19</v>
      </c>
      <c r="KJ533">
        <f t="shared" si="3086"/>
        <v>20</v>
      </c>
      <c r="KK533">
        <f t="shared" si="3087"/>
        <v>21</v>
      </c>
      <c r="KN533">
        <v>1</v>
      </c>
      <c r="KO533">
        <v>2</v>
      </c>
      <c r="KS533" s="16"/>
    </row>
    <row r="534" spans="1:784" x14ac:dyDescent="0.25">
      <c r="A534" t="s">
        <v>2808</v>
      </c>
      <c r="B534" t="s">
        <v>2800</v>
      </c>
      <c r="C534" t="s">
        <v>498</v>
      </c>
      <c r="P534" t="s">
        <v>482</v>
      </c>
      <c r="T534" s="14" t="s">
        <v>2724</v>
      </c>
      <c r="U534">
        <v>18</v>
      </c>
      <c r="V534" s="15" t="s">
        <v>2804</v>
      </c>
      <c r="X534" t="str">
        <f>IF(COUNTIF(X$510:X533,X533)&gt;7,REPLACE(X533,LEN(X533),1,VALUE(RIGHT(X533,1))+1),X533)</f>
        <v>A3.2</v>
      </c>
      <c r="Y534" s="43" cm="1">
        <f t="array" ref="Y534">IF(COUNTIFS($X$510:$X534,$X534)=1,"1",VALUE(SUBSTITUTE(INDEX(Y:Y,_xlfn.XMATCH($X534,$X$1:$X533,0,-1)),"A",""))+INDEX(Z:Z,_xlfn.XMATCH($X534,$X$1:$X533,0,-1))+1)</f>
        <v>8</v>
      </c>
      <c r="Z534" s="43" cm="1">
        <f t="array" ref="Z534">SUM(IF(ISNUMBER(FIND("TmAi",$BE$1:$AAL$1)),IF(IFERROR(ISODD(SUBSTITUTE($BE534:$AAL534,"A","")),FALSE),IF(ISODD(SUBSTITUTE($BE534:$AAL534,"A","")),1,0),0)))</f>
        <v>0</v>
      </c>
      <c r="AA534" t="str">
        <f t="shared" si="3076"/>
        <v>15B</v>
      </c>
      <c r="AB534" t="str">
        <f t="shared" si="3077"/>
        <v>16B</v>
      </c>
      <c r="AP534" t="s">
        <v>2727</v>
      </c>
      <c r="AS534" t="s">
        <v>396</v>
      </c>
      <c r="JZ534" s="27" t="str">
        <f t="shared" si="3083"/>
        <v>XT18</v>
      </c>
      <c r="KC534" t="str">
        <f t="shared" si="3084"/>
        <v>N2-AI2-15B</v>
      </c>
      <c r="KD534" t="str">
        <f t="shared" si="3085"/>
        <v>N2-AI2-16B</v>
      </c>
      <c r="KI534" cm="1">
        <f t="array" ref="KI534">IF(COUNTIFS($U$510:$U534,$U534)=1,1,INDEX(KI:KI,_xlfn.XMATCH(U534,U$1:U533,0,-1))+COUNT(KI533:KM533))</f>
        <v>22</v>
      </c>
      <c r="KJ534">
        <f t="shared" si="3086"/>
        <v>23</v>
      </c>
      <c r="KK534">
        <f t="shared" si="3087"/>
        <v>24</v>
      </c>
      <c r="KN534">
        <v>1</v>
      </c>
      <c r="KO534">
        <v>2</v>
      </c>
      <c r="KS534" s="16"/>
    </row>
    <row r="535" spans="1:784" x14ac:dyDescent="0.25">
      <c r="A535" t="s">
        <v>2809</v>
      </c>
      <c r="B535" t="s">
        <v>2801</v>
      </c>
      <c r="C535" t="s">
        <v>498</v>
      </c>
      <c r="P535" t="s">
        <v>482</v>
      </c>
      <c r="T535" s="14" t="s">
        <v>2724</v>
      </c>
      <c r="U535">
        <v>18</v>
      </c>
      <c r="V535" s="15" t="s">
        <v>2805</v>
      </c>
      <c r="X535" t="str">
        <f>IF(COUNTIF(X$510:X534,X534)&gt;7,REPLACE(X534,LEN(X534),1,VALUE(RIGHT(X534,1))+1),X534)</f>
        <v>A3.3</v>
      </c>
      <c r="Y535" s="43" t="str" cm="1">
        <f t="array" ref="Y535">IF(COUNTIFS($X$510:$X535,$X535)=1,"1",VALUE(SUBSTITUTE(INDEX(Y:Y,_xlfn.XMATCH($X535,$X$1:$X534,0,-1)),"A",""))+INDEX(Z:Z,_xlfn.XMATCH($X535,$X$1:$X534,0,-1))+1)</f>
        <v>1</v>
      </c>
      <c r="Z535" s="43" cm="1">
        <f t="array" ref="Z535">SUM(IF(ISNUMBER(FIND("TmAi",$BE$1:$AAL$1)),IF(IFERROR(ISODD(SUBSTITUTE($BE535:$AAL535,"A","")),FALSE),IF(ISODD(SUBSTITUTE($BE535:$AAL535,"A","")),1,0),0)))</f>
        <v>0</v>
      </c>
      <c r="AA535" t="str">
        <f t="shared" si="3076"/>
        <v>1B</v>
      </c>
      <c r="AB535" t="str">
        <f t="shared" si="3077"/>
        <v>2B</v>
      </c>
      <c r="AP535" t="s">
        <v>2727</v>
      </c>
      <c r="AS535" t="s">
        <v>396</v>
      </c>
      <c r="JZ535" s="27" t="str">
        <f t="shared" si="3083"/>
        <v>XT18</v>
      </c>
      <c r="KC535" t="str">
        <f t="shared" si="3084"/>
        <v>N2-AI3-1B</v>
      </c>
      <c r="KD535" t="str">
        <f t="shared" si="3085"/>
        <v>N2-AI3-2B</v>
      </c>
      <c r="KI535" cm="1">
        <f t="array" ref="KI535">IF(COUNTIFS($U$510:$U535,$U535)=1,1,INDEX(KI:KI,_xlfn.XMATCH(U535,U$1:U534,0,-1))+COUNT(KI534:KM534))</f>
        <v>25</v>
      </c>
      <c r="KJ535">
        <f t="shared" si="3086"/>
        <v>26</v>
      </c>
      <c r="KK535">
        <f t="shared" si="3087"/>
        <v>27</v>
      </c>
      <c r="KN535">
        <v>1</v>
      </c>
      <c r="KO535">
        <v>2</v>
      </c>
      <c r="KS535" s="16"/>
    </row>
    <row r="536" spans="1:784" x14ac:dyDescent="0.25">
      <c r="A536" t="s">
        <v>2810</v>
      </c>
      <c r="B536" t="s">
        <v>2802</v>
      </c>
      <c r="C536" t="s">
        <v>498</v>
      </c>
      <c r="P536" t="s">
        <v>482</v>
      </c>
      <c r="T536" s="14" t="s">
        <v>2724</v>
      </c>
      <c r="U536">
        <v>18</v>
      </c>
      <c r="V536" s="15" t="s">
        <v>2806</v>
      </c>
      <c r="X536" t="str">
        <f>IF(COUNTIF(X$510:X535,X535)&gt;7,REPLACE(X535,LEN(X535),1,VALUE(RIGHT(X535,1))+1),X535)</f>
        <v>A3.3</v>
      </c>
      <c r="Y536" s="43" cm="1">
        <f t="array" ref="Y536">IF(COUNTIFS($X$510:$X536,$X536)=1,"1",VALUE(SUBSTITUTE(INDEX(Y:Y,_xlfn.XMATCH($X536,$X$1:$X535,0,-1)),"A",""))+INDEX(Z:Z,_xlfn.XMATCH($X536,$X$1:$X535,0,-1))+1)</f>
        <v>2</v>
      </c>
      <c r="Z536" s="43" cm="1">
        <f t="array" ref="Z536">SUM(IF(ISNUMBER(FIND("TmAi",$BE$1:$AAL$1)),IF(IFERROR(ISODD(SUBSTITUTE($BE536:$AAL536,"A","")),FALSE),IF(ISODD(SUBSTITUTE($BE536:$AAL536,"A","")),1,0),0)))</f>
        <v>0</v>
      </c>
      <c r="AA536" t="str">
        <f t="shared" si="3076"/>
        <v>3B</v>
      </c>
      <c r="AB536" t="str">
        <f t="shared" si="3077"/>
        <v>4B</v>
      </c>
      <c r="AP536" t="s">
        <v>2727</v>
      </c>
      <c r="AS536" t="s">
        <v>396</v>
      </c>
      <c r="JZ536" s="27" t="str">
        <f t="shared" si="3083"/>
        <v>XT18</v>
      </c>
      <c r="KC536" t="str">
        <f t="shared" si="3084"/>
        <v>N2-AI3-3B</v>
      </c>
      <c r="KD536" t="str">
        <f t="shared" si="3085"/>
        <v>N2-AI3-4B</v>
      </c>
      <c r="KI536" cm="1">
        <f t="array" ref="KI536">IF(COUNTIFS($U$510:$U536,$U536)=1,1,INDEX(KI:KI,_xlfn.XMATCH(U536,U$1:U535,0,-1))+COUNT(KI535:KM535))</f>
        <v>28</v>
      </c>
      <c r="KJ536">
        <f t="shared" si="3086"/>
        <v>29</v>
      </c>
      <c r="KK536">
        <f t="shared" si="3087"/>
        <v>30</v>
      </c>
      <c r="KN536">
        <v>1</v>
      </c>
      <c r="KO536">
        <v>2</v>
      </c>
      <c r="KS536" s="16"/>
    </row>
    <row r="537" spans="1:784" x14ac:dyDescent="0.25">
      <c r="A537" t="s">
        <v>2815</v>
      </c>
      <c r="B537" t="s">
        <v>2814</v>
      </c>
      <c r="C537" t="s">
        <v>492</v>
      </c>
      <c r="P537" t="s">
        <v>482</v>
      </c>
      <c r="T537" s="14" t="s">
        <v>2724</v>
      </c>
      <c r="U537">
        <v>18</v>
      </c>
      <c r="V537" s="15" t="s">
        <v>2811</v>
      </c>
      <c r="X537" t="str">
        <f>IF(COUNTIF(X$510:X536,X536)&gt;7,REPLACE(X536,LEN(X536),1,VALUE(RIGHT(X536,1))+1),X536)</f>
        <v>A3.3</v>
      </c>
      <c r="Y537" s="43" cm="1">
        <f t="array" ref="Y537">IF(COUNTIFS($X$510:$X537,$X537)=1,"1",VALUE(SUBSTITUTE(INDEX(Y:Y,_xlfn.XMATCH($X537,$X$1:$X536,0,-1)),"A",""))+INDEX(Z:Z,_xlfn.XMATCH($X537,$X$1:$X536,0,-1))+1)</f>
        <v>3</v>
      </c>
      <c r="Z537" s="43" cm="1">
        <f t="array" ref="Z537">SUM(IF(ISNUMBER(FIND("TmAi",$BE$1:$AAL$1)),IF(IFERROR(ISODD(SUBSTITUTE($BE537:$AAL537,"A","")),FALSE),IF(ISODD(SUBSTITUTE($BE537:$AAL537,"A","")),1,0),0)))</f>
        <v>0</v>
      </c>
      <c r="AA537" t="str">
        <f t="shared" si="3076"/>
        <v>5B</v>
      </c>
      <c r="AB537" t="str">
        <f t="shared" si="3077"/>
        <v>6B</v>
      </c>
      <c r="AP537" t="s">
        <v>2727</v>
      </c>
      <c r="AS537" t="s">
        <v>396</v>
      </c>
      <c r="JZ537" s="27" t="str">
        <f t="shared" si="3083"/>
        <v>XT18</v>
      </c>
      <c r="KC537" t="str">
        <f t="shared" si="3084"/>
        <v>N2-AI3-5B</v>
      </c>
      <c r="KD537" t="str">
        <f t="shared" si="3085"/>
        <v>N2-AI3-6B</v>
      </c>
      <c r="KI537" cm="1">
        <f t="array" ref="KI537">IF(COUNTIFS($U$510:$U537,$U537)=1,1,INDEX(KI:KI,_xlfn.XMATCH(U537,U$1:U536,0,-1))+COUNT(KI536:KM536))</f>
        <v>31</v>
      </c>
      <c r="KJ537">
        <f t="shared" si="3086"/>
        <v>32</v>
      </c>
      <c r="KK537">
        <f t="shared" si="3087"/>
        <v>33</v>
      </c>
      <c r="KN537">
        <v>1</v>
      </c>
      <c r="KO537">
        <v>2</v>
      </c>
      <c r="KS537" s="16"/>
    </row>
    <row r="538" spans="1:784" x14ac:dyDescent="0.25">
      <c r="A538" t="s">
        <v>2817</v>
      </c>
      <c r="B538" t="s">
        <v>2816</v>
      </c>
      <c r="C538" t="s">
        <v>492</v>
      </c>
      <c r="P538" t="s">
        <v>482</v>
      </c>
      <c r="T538" s="14" t="s">
        <v>2724</v>
      </c>
      <c r="U538">
        <v>18</v>
      </c>
      <c r="V538" s="15" t="s">
        <v>2812</v>
      </c>
      <c r="X538" t="str">
        <f>IF(COUNTIF(X$510:X537,X537)&gt;7,REPLACE(X537,LEN(X537),1,VALUE(RIGHT(X537,1))+1),X537)</f>
        <v>A3.3</v>
      </c>
      <c r="Y538" s="43" cm="1">
        <f t="array" ref="Y538">IF(COUNTIFS($X$510:$X538,$X538)=1,"1",VALUE(SUBSTITUTE(INDEX(Y:Y,_xlfn.XMATCH($X538,$X$1:$X537,0,-1)),"A",""))+INDEX(Z:Z,_xlfn.XMATCH($X538,$X$1:$X537,0,-1))+1)</f>
        <v>4</v>
      </c>
      <c r="Z538" s="43" cm="1">
        <f t="array" ref="Z538">SUM(IF(ISNUMBER(FIND("TmAi",$BE$1:$AAL$1)),IF(IFERROR(ISODD(SUBSTITUTE($BE538:$AAL538,"A","")),FALSE),IF(ISODD(SUBSTITUTE($BE538:$AAL538,"A","")),1,0),0)))</f>
        <v>0</v>
      </c>
      <c r="AA538" t="str">
        <f t="shared" si="3076"/>
        <v>7B</v>
      </c>
      <c r="AB538" t="str">
        <f t="shared" si="3077"/>
        <v>8B</v>
      </c>
      <c r="AP538" t="s">
        <v>2727</v>
      </c>
      <c r="AS538" t="s">
        <v>396</v>
      </c>
      <c r="JZ538" s="27" t="str">
        <f t="shared" ref="JZ538" si="3088">CONCATENATE("XT",U538)</f>
        <v>XT18</v>
      </c>
      <c r="KC538" t="str">
        <f t="shared" ref="KC538" si="3089">CONCATENATE(T538,"-AI",REPLACE($X538,1,3,""),"-",AA538)</f>
        <v>N2-AI3-7B</v>
      </c>
      <c r="KD538" t="str">
        <f t="shared" ref="KD538" si="3090">CONCATENATE(T538,"-AI",REPLACE($X538,1,3,""),"-",AB538)</f>
        <v>N2-AI3-8B</v>
      </c>
      <c r="KI538" cm="1">
        <f t="array" ref="KI538">IF(COUNTIFS($U$510:$U538,$U538)=1,1,INDEX(KI:KI,_xlfn.XMATCH(U538,U$1:U537,0,-1))+COUNT(KI537:KM537))</f>
        <v>34</v>
      </c>
      <c r="KJ538">
        <f t="shared" ref="KJ538:KJ539" si="3091">KI538+1</f>
        <v>35</v>
      </c>
      <c r="KK538">
        <f t="shared" ref="KK538:KK539" si="3092">KJ538+1</f>
        <v>36</v>
      </c>
      <c r="KN538">
        <v>1</v>
      </c>
      <c r="KO538">
        <v>2</v>
      </c>
      <c r="KS538" s="16"/>
    </row>
    <row r="539" spans="1:784" ht="15.75" thickBot="1" x14ac:dyDescent="0.3">
      <c r="A539" t="s">
        <v>2819</v>
      </c>
      <c r="B539" t="s">
        <v>2818</v>
      </c>
      <c r="C539" t="s">
        <v>492</v>
      </c>
      <c r="P539" t="s">
        <v>482</v>
      </c>
      <c r="T539" s="14" t="s">
        <v>2724</v>
      </c>
      <c r="U539">
        <v>18</v>
      </c>
      <c r="V539" s="15" t="s">
        <v>2813</v>
      </c>
      <c r="X539" t="str">
        <f>IF(COUNTIF(X$510:X538,X538)&gt;7,REPLACE(X538,LEN(X538),1,VALUE(RIGHT(X538,1))+1),X538)</f>
        <v>A3.3</v>
      </c>
      <c r="Y539" s="43" cm="1">
        <f t="array" ref="Y539">IF(COUNTIFS($X$510:$X539,$X539)=1,"1",VALUE(SUBSTITUTE(INDEX(Y:Y,_xlfn.XMATCH($X539,$X$1:$X538,0,-1)),"A",""))+INDEX(Z:Z,_xlfn.XMATCH($X539,$X$1:$X538,0,-1))+1)</f>
        <v>5</v>
      </c>
      <c r="Z539" s="43" cm="1">
        <f t="array" ref="Z539">SUM(IF(ISNUMBER(FIND("TmAi",$BE$1:$AAL$1)),IF(IFERROR(ISODD(SUBSTITUTE($BE539:$AAL539,"A","")),FALSE),IF(ISODD(SUBSTITUTE($BE539:$AAL539,"A","")),1,0),0)))</f>
        <v>0</v>
      </c>
      <c r="AA539" t="str">
        <f t="shared" si="3076"/>
        <v>9B</v>
      </c>
      <c r="AB539" t="str">
        <f t="shared" si="3077"/>
        <v>10B</v>
      </c>
      <c r="AP539" t="s">
        <v>2727</v>
      </c>
      <c r="AS539" t="s">
        <v>396</v>
      </c>
      <c r="JZ539" s="27" t="str">
        <f>CONCATENATE("XT",$U539)</f>
        <v>XT18</v>
      </c>
      <c r="KC539" t="str">
        <f>CONCATENATE($T539,"-AI",REPLACE($X539,1,3,""),"-",$AA539)</f>
        <v>N2-AI3-9B</v>
      </c>
      <c r="KD539" t="str">
        <f>CONCATENATE($T539,"-AI",REPLACE($X539,1,3,""),"-",$AB539)</f>
        <v>N2-AI3-10B</v>
      </c>
      <c r="KI539" cm="1">
        <f t="array" ref="KI539">IF(COUNTIFS($U$510:$U539,$U539)=1,1,INDEX(KI:KI,_xlfn.XMATCH(U539,U$1:U538,0,-1))+COUNT(KI538:KM538))</f>
        <v>37</v>
      </c>
      <c r="KJ539">
        <f t="shared" si="3091"/>
        <v>38</v>
      </c>
      <c r="KK539">
        <f t="shared" si="3092"/>
        <v>39</v>
      </c>
      <c r="KN539">
        <v>1</v>
      </c>
      <c r="KO539">
        <v>2</v>
      </c>
      <c r="KS539" s="16"/>
    </row>
    <row r="540" spans="1:784" ht="15.75" thickBot="1" x14ac:dyDescent="0.3">
      <c r="A540" t="s">
        <v>2820</v>
      </c>
      <c r="B540" t="s">
        <v>2821</v>
      </c>
      <c r="P540" t="s">
        <v>2822</v>
      </c>
      <c r="T540" s="14" t="s">
        <v>2724</v>
      </c>
      <c r="U540">
        <v>19</v>
      </c>
      <c r="V540" s="15" t="s">
        <v>2823</v>
      </c>
      <c r="AH540" t="s">
        <v>268</v>
      </c>
      <c r="AI540" s="73" t="str" cm="1">
        <f t="array" ref="AI540">IF(COUNTIFS(AH$510:AH540,AH540)=1,"1",VALUE(SUBSTITUTE(INDEX(AI:AI,_xlfn.XMATCH(AH540,AH$1:AH539,0,-1)),"A",""))+INDEX(AJ:AJ,_xlfn.XMATCH(AH540,AH$1:AH539,0,-1))+1)</f>
        <v>1</v>
      </c>
      <c r="AJ540" s="64" cm="1">
        <f t="array" ref="AJ540">SUM(IF(ISNUMBER(FIND("TmDo",$BE$1:$AAL$1)),IF(IFERROR(ISNUMBER(VALUE(SUBSTITUTE($BE540:$AAL540,"B",""))),FALSE),IF(ISNUMBER(VALUE(SUBSTITUTE($BE540:$AAL540,"B",""))),1,0),0)))</f>
        <v>9</v>
      </c>
      <c r="AK540" t="str">
        <f>CONCATENATE($AI540,"A")</f>
        <v>1A</v>
      </c>
      <c r="AL540" t="str">
        <f>CONCATENATE($AI540,"B")</f>
        <v>1B</v>
      </c>
      <c r="AM540" t="s">
        <v>2007</v>
      </c>
      <c r="AP540" t="s">
        <v>2727</v>
      </c>
      <c r="AQ540" t="s">
        <v>2824</v>
      </c>
      <c r="AU540" t="s">
        <v>140</v>
      </c>
      <c r="JZ540" s="27"/>
      <c r="KS540" s="16"/>
      <c r="WM540" s="25" t="str">
        <f>CONCATENATE("XT",$U540)</f>
        <v>XT19</v>
      </c>
      <c r="WN540" s="12">
        <v>1</v>
      </c>
      <c r="WO540" s="12">
        <f>WN540+1</f>
        <v>2</v>
      </c>
      <c r="WP540" s="12">
        <f t="shared" ref="WP540:XG540" si="3093">WO540+1</f>
        <v>3</v>
      </c>
      <c r="WQ540" s="12">
        <f t="shared" si="3093"/>
        <v>4</v>
      </c>
      <c r="WR540" s="12">
        <f t="shared" si="3093"/>
        <v>5</v>
      </c>
      <c r="WS540" s="12">
        <f t="shared" si="3093"/>
        <v>6</v>
      </c>
      <c r="WT540" s="12">
        <f t="shared" si="3093"/>
        <v>7</v>
      </c>
      <c r="WU540" s="12">
        <f t="shared" si="3093"/>
        <v>8</v>
      </c>
      <c r="WV540" s="12">
        <f t="shared" si="3093"/>
        <v>9</v>
      </c>
      <c r="WW540" s="12">
        <f t="shared" si="3093"/>
        <v>10</v>
      </c>
      <c r="WX540" s="12">
        <f t="shared" si="3093"/>
        <v>11</v>
      </c>
      <c r="WY540" s="12">
        <f t="shared" si="3093"/>
        <v>12</v>
      </c>
      <c r="WZ540" s="12">
        <f t="shared" si="3093"/>
        <v>13</v>
      </c>
      <c r="XA540" s="12">
        <f t="shared" si="3093"/>
        <v>14</v>
      </c>
      <c r="XB540" s="12">
        <f t="shared" si="3093"/>
        <v>15</v>
      </c>
      <c r="XC540" s="12">
        <f t="shared" si="3093"/>
        <v>16</v>
      </c>
      <c r="XD540" s="12">
        <f t="shared" si="3093"/>
        <v>17</v>
      </c>
      <c r="XE540" s="12">
        <f t="shared" si="3093"/>
        <v>18</v>
      </c>
      <c r="XF540" s="12">
        <f t="shared" si="3093"/>
        <v>19</v>
      </c>
      <c r="XG540" s="12">
        <f t="shared" si="3093"/>
        <v>20</v>
      </c>
      <c r="XH540" s="12" t="str">
        <f>CONCATENATE(REPLACE($AK540,LEN($AK540),1,"")+1,"A")</f>
        <v>2A</v>
      </c>
      <c r="XI540" s="12" t="str">
        <f>CONCATENATE(REPLACE($AL540,LEN($AL540),1,"")+1,"B")</f>
        <v>2B</v>
      </c>
      <c r="XJ540" s="12" t="str">
        <f>CONCATENATE(REPLACE(XH540,LEN(XH540),1,"")+1,"A")</f>
        <v>3A</v>
      </c>
      <c r="XK540" s="12" t="str">
        <f>CONCATENATE(REPLACE(XI540,LEN(XI540),1,"")+1,"B")</f>
        <v>3B</v>
      </c>
      <c r="XL540" s="12" t="str">
        <f>CONCATENATE(REPLACE(XJ540,LEN(XJ540),1,"")+1,"A")</f>
        <v>4A</v>
      </c>
      <c r="XM540" s="12" t="str">
        <f>CONCATENATE(REPLACE(XK540,LEN(XK540),1,"")+1,"B")</f>
        <v>4B</v>
      </c>
      <c r="XN540" s="12" t="str">
        <f>CONCATENATE(REPLACE(XL540,LEN(XL540),1,"")+1,"A")</f>
        <v>5A</v>
      </c>
      <c r="XO540" s="12" t="str">
        <f>CONCATENATE(REPLACE(XM540,LEN(XM540),1,"")+1,"B")</f>
        <v>5B</v>
      </c>
      <c r="XP540" s="12" t="str">
        <f>CONCATENATE(REPLACE(XN540,LEN(XN540),1,"")+1,"A")</f>
        <v>6A</v>
      </c>
      <c r="XQ540" s="12" t="str">
        <f>CONCATENATE(REPLACE(XO540,LEN(XO540),1,"")+1,"B")</f>
        <v>6B</v>
      </c>
      <c r="XR540" s="12" t="str">
        <f>CONCATENATE(REPLACE(XP540,LEN(XP540),1,"")+1,"A")</f>
        <v>7A</v>
      </c>
      <c r="XS540" s="12" t="str">
        <f>CONCATENATE(REPLACE(XQ540,LEN(XQ540),1,"")+1,"B")</f>
        <v>7B</v>
      </c>
      <c r="XT540" s="12" t="str">
        <f>CONCATENATE(REPLACE(XR540,LEN(XR540),1,"")+1,"A")</f>
        <v>8A</v>
      </c>
      <c r="XU540" s="12" t="str">
        <f>CONCATENATE(REPLACE(XS540,LEN(XS540),1,"")+1,"B")</f>
        <v>8B</v>
      </c>
      <c r="XV540" s="12" t="str">
        <f>CONCATENATE(REPLACE(XT540,LEN(XT540),1,"")+1,"A")</f>
        <v>9A</v>
      </c>
      <c r="XW540" s="12" t="str">
        <f>CONCATENATE(REPLACE(XU540,LEN(XU540),1,"")+1,"B")</f>
        <v>9B</v>
      </c>
      <c r="XX540" s="12" t="str">
        <f>CONCATENATE(REPLACE(XV540,LEN(XV540),1,"")+1,"A")</f>
        <v>10A</v>
      </c>
      <c r="XY540" s="12" t="str">
        <f>CONCATENATE(REPLACE(XW540,LEN(XW540),1,"")+1,"B")</f>
        <v>10B</v>
      </c>
      <c r="XZ540" s="12" t="str">
        <f>CONCATENATE("DO",REPLACE($AH540,1,3,""),"-",$AK540)</f>
        <v>DO3-1A</v>
      </c>
      <c r="YA540" s="12" t="str">
        <f>CONCATENATE("DO",REPLACE($AH540,1,3,""),"-",$AL540)</f>
        <v>DO3-1B</v>
      </c>
      <c r="YB540" s="12" t="str">
        <f>CONCATENATE("DO",REPLACE($AH540,1,3,""),"-",XH540)</f>
        <v>DO3-2A</v>
      </c>
      <c r="YC540" s="12" t="str">
        <f>CONCATENATE("DO",REPLACE($AH540,1,3,""),"-",XI540)</f>
        <v>DO3-2B</v>
      </c>
      <c r="YD540" s="12" t="str">
        <f t="shared" ref="YD540:YS540" si="3094">CONCATENATE("DO",REPLACE($AH540,1,3,""),"-",XJ540)</f>
        <v>DO3-3A</v>
      </c>
      <c r="YE540" s="12" t="str">
        <f t="shared" si="3094"/>
        <v>DO3-3B</v>
      </c>
      <c r="YF540" s="12" t="str">
        <f t="shared" si="3094"/>
        <v>DO3-4A</v>
      </c>
      <c r="YG540" s="12" t="str">
        <f t="shared" si="3094"/>
        <v>DO3-4B</v>
      </c>
      <c r="YH540" s="12" t="str">
        <f t="shared" si="3094"/>
        <v>DO3-5A</v>
      </c>
      <c r="YI540" s="12" t="str">
        <f t="shared" si="3094"/>
        <v>DO3-5B</v>
      </c>
      <c r="YJ540" s="12" t="str">
        <f t="shared" si="3094"/>
        <v>DO3-6A</v>
      </c>
      <c r="YK540" s="12" t="str">
        <f t="shared" si="3094"/>
        <v>DO3-6B</v>
      </c>
      <c r="YL540" s="12" t="str">
        <f t="shared" si="3094"/>
        <v>DO3-7A</v>
      </c>
      <c r="YM540" s="12" t="str">
        <f t="shared" si="3094"/>
        <v>DO3-7B</v>
      </c>
      <c r="YN540" s="12" t="str">
        <f t="shared" si="3094"/>
        <v>DO3-8A</v>
      </c>
      <c r="YO540" s="12" t="str">
        <f t="shared" si="3094"/>
        <v>DO3-8B</v>
      </c>
      <c r="YP540" s="12" t="str">
        <f t="shared" si="3094"/>
        <v>DO3-9A</v>
      </c>
      <c r="YQ540" s="12" t="str">
        <f t="shared" si="3094"/>
        <v>DO3-9B</v>
      </c>
      <c r="YR540" s="12" t="str">
        <f t="shared" si="3094"/>
        <v>DO3-10A</v>
      </c>
      <c r="YS540" s="12" t="str">
        <f t="shared" si="3094"/>
        <v>DO3-10B</v>
      </c>
      <c r="YT540" s="12" t="str">
        <f>CONCATENATE("K",$U540,"-01")</f>
        <v>K19-01</v>
      </c>
      <c r="YU540" s="12" t="str">
        <f>CONCATENATE("K",$U540,"-02")</f>
        <v>K19-02</v>
      </c>
      <c r="YV540" s="12" t="str">
        <f>CONCATENATE("K",$U540,"-03")</f>
        <v>K19-03</v>
      </c>
      <c r="YW540" s="12" t="str">
        <f>CONCATENATE("K",$U540,"-04")</f>
        <v>K19-04</v>
      </c>
      <c r="YX540" s="12" t="str">
        <f>CONCATENATE("K",$U540,"-05")</f>
        <v>K19-05</v>
      </c>
      <c r="YY540" s="12" t="str">
        <f>CONCATENATE("K",$U540,"-06")</f>
        <v>K19-06</v>
      </c>
      <c r="YZ540" s="12" t="str">
        <f>CONCATENATE("K",$U540,"-07")</f>
        <v>K19-07</v>
      </c>
      <c r="ZA540" s="12" t="str">
        <f>CONCATENATE("K",$U540,"-08")</f>
        <v>K19-08</v>
      </c>
      <c r="ZB540" s="12" t="str">
        <f>CONCATENATE("K",$U540,"-09")</f>
        <v>K19-09</v>
      </c>
      <c r="ZC540" s="12" t="str">
        <f>CONCATENATE("K",$U540,"-10")</f>
        <v>K19-10</v>
      </c>
      <c r="ZD540" s="69" t="s">
        <v>2860</v>
      </c>
      <c r="ZE540" s="69" t="s">
        <v>2861</v>
      </c>
      <c r="ZF540" s="69" t="s">
        <v>2862</v>
      </c>
      <c r="ZG540" s="69" t="s">
        <v>2863</v>
      </c>
      <c r="ZH540" s="69" t="s">
        <v>2864</v>
      </c>
      <c r="ZI540" s="69" t="s">
        <v>2865</v>
      </c>
      <c r="ZJ540" s="69" t="s">
        <v>2866</v>
      </c>
      <c r="ZK540" s="69" t="s">
        <v>2867</v>
      </c>
      <c r="ZL540" s="69" t="s">
        <v>2868</v>
      </c>
      <c r="ZM540" s="69" t="s">
        <v>2869</v>
      </c>
      <c r="ZN540" s="69" t="s">
        <v>2870</v>
      </c>
      <c r="ZO540" s="69" t="s">
        <v>2871</v>
      </c>
      <c r="ZP540" s="69" t="s">
        <v>2872</v>
      </c>
      <c r="ZQ540" s="69" t="s">
        <v>2873</v>
      </c>
      <c r="ZR540" s="69" t="s">
        <v>2874</v>
      </c>
      <c r="ZS540" s="69" t="s">
        <v>2875</v>
      </c>
      <c r="ZT540" s="69" t="s">
        <v>2876</v>
      </c>
      <c r="ZU540" s="69" t="s">
        <v>2877</v>
      </c>
      <c r="ZV540" s="69" t="s">
        <v>2878</v>
      </c>
      <c r="ZW540" s="69" t="s">
        <v>2879</v>
      </c>
      <c r="ZX540" s="12" t="s">
        <v>2888</v>
      </c>
      <c r="ZY540" s="12" t="s">
        <v>2889</v>
      </c>
      <c r="ZZ540" s="12" t="s">
        <v>2890</v>
      </c>
      <c r="AAA540" s="12" t="s">
        <v>2891</v>
      </c>
      <c r="AAB540" s="12" t="s">
        <v>2892</v>
      </c>
      <c r="AAC540" s="12" t="s">
        <v>2893</v>
      </c>
      <c r="AAD540" s="12" t="s">
        <v>2894</v>
      </c>
      <c r="AAE540" s="12" t="s">
        <v>2895</v>
      </c>
      <c r="AAF540" s="12" t="s">
        <v>2896</v>
      </c>
      <c r="AAG540" s="12" t="s">
        <v>2897</v>
      </c>
      <c r="AAH540" s="12" t="s">
        <v>2007</v>
      </c>
      <c r="AAI540" s="12">
        <v>1</v>
      </c>
      <c r="AAJ540" s="12">
        <f>AAI540+1</f>
        <v>2</v>
      </c>
      <c r="AAK540" s="12">
        <f t="shared" ref="AAK540:ABB540" si="3095">AAJ540+1</f>
        <v>3</v>
      </c>
      <c r="AAL540" s="12">
        <f t="shared" si="3095"/>
        <v>4</v>
      </c>
      <c r="AAM540" s="12">
        <f t="shared" si="3095"/>
        <v>5</v>
      </c>
      <c r="AAN540" s="12">
        <f t="shared" si="3095"/>
        <v>6</v>
      </c>
      <c r="AAO540" s="12">
        <f t="shared" si="3095"/>
        <v>7</v>
      </c>
      <c r="AAP540" s="12">
        <f t="shared" si="3095"/>
        <v>8</v>
      </c>
      <c r="AAQ540" s="12">
        <f t="shared" si="3095"/>
        <v>9</v>
      </c>
      <c r="AAR540" s="12">
        <f t="shared" si="3095"/>
        <v>10</v>
      </c>
      <c r="AAS540" s="12">
        <f t="shared" si="3095"/>
        <v>11</v>
      </c>
      <c r="AAT540" s="12">
        <f t="shared" si="3095"/>
        <v>12</v>
      </c>
      <c r="AAU540" s="12">
        <f t="shared" si="3095"/>
        <v>13</v>
      </c>
      <c r="AAV540" s="12">
        <f t="shared" si="3095"/>
        <v>14</v>
      </c>
      <c r="AAW540" s="12">
        <f t="shared" si="3095"/>
        <v>15</v>
      </c>
      <c r="AAX540" s="12">
        <f t="shared" si="3095"/>
        <v>16</v>
      </c>
      <c r="AAY540" s="12">
        <f t="shared" si="3095"/>
        <v>17</v>
      </c>
      <c r="AAZ540" s="12">
        <f t="shared" si="3095"/>
        <v>18</v>
      </c>
      <c r="ABA540" s="12">
        <f t="shared" si="3095"/>
        <v>19</v>
      </c>
      <c r="ABB540" s="13">
        <f t="shared" si="3095"/>
        <v>20</v>
      </c>
      <c r="ACP540" s="39" t="s">
        <v>142</v>
      </c>
      <c r="ACQ540" s="23" t="s">
        <v>143</v>
      </c>
      <c r="ACR540" s="23">
        <v>11</v>
      </c>
      <c r="ACS540" s="24">
        <v>14</v>
      </c>
    </row>
    <row r="541" spans="1:784" ht="15.75" thickBot="1" x14ac:dyDescent="0.3">
      <c r="A541" t="s">
        <v>2904</v>
      </c>
      <c r="B541" t="s">
        <v>2905</v>
      </c>
      <c r="P541" t="s">
        <v>2906</v>
      </c>
      <c r="T541" s="14" t="s">
        <v>2724</v>
      </c>
      <c r="U541">
        <v>19</v>
      </c>
      <c r="V541" s="15" t="s">
        <v>2907</v>
      </c>
      <c r="AC541" t="s">
        <v>263</v>
      </c>
      <c r="AD541" s="43" t="str" cm="1">
        <f t="array" ref="AD541">IF(COUNTIFS(AC$510:AC541,AC541)=1,"1",VALUE(SUBSTITUTE(INDEX(AD:AD,_xlfn.XMATCH(AC541,AC$1:AC540,0,-1)),"A",""))+INDEX(AE:AE,_xlfn.XMATCH(AC541,AC$1:AC540,0,-1))+1)</f>
        <v>1</v>
      </c>
      <c r="AE541" s="43" cm="1">
        <f t="array" ref="AE541">SUM(IF(ISNUMBER(FIND("TmDi",$BE$1:$ADD$1)),IF(IFERROR(ISNUMBER(VALUE(SUBSTITUTE($BE541:$ADD541,"B",""))),FALSE),IF(ISNUMBER(VALUE(SUBSTITUTE($BE541:$ADD541,"B",""))),1,0),0)))</f>
        <v>3</v>
      </c>
      <c r="AF541" t="str">
        <f t="shared" ref="AF541" si="3096">CONCATENATE("C",$AD541)</f>
        <v>C1</v>
      </c>
      <c r="AG541" t="str">
        <f t="shared" ref="AG541" si="3097">CONCATENATE("B",$AD541)</f>
        <v>B1</v>
      </c>
      <c r="AP541" t="s">
        <v>2727</v>
      </c>
      <c r="AQ541" t="s">
        <v>2824</v>
      </c>
      <c r="AT541" t="s">
        <v>139</v>
      </c>
      <c r="JZ541" s="27"/>
      <c r="KS541" s="16"/>
      <c r="ABC541" s="39" t="s">
        <v>2908</v>
      </c>
      <c r="ABD541" s="23" t="s">
        <v>2910</v>
      </c>
      <c r="ABE541" s="23" t="s">
        <v>2909</v>
      </c>
      <c r="ABF541" s="23" t="s">
        <v>2911</v>
      </c>
      <c r="ABG541" s="23" t="str">
        <f>CONCATENATE("XT",$U541)</f>
        <v>XT19</v>
      </c>
      <c r="ABH541" s="23">
        <v>21</v>
      </c>
      <c r="ABI541" s="23">
        <f t="shared" ref="ABI541" si="3098">ABH541+1</f>
        <v>22</v>
      </c>
      <c r="ABJ541" s="23">
        <f t="shared" ref="ABJ541" si="3099">ABI541+1</f>
        <v>23</v>
      </c>
      <c r="ABK541" s="23">
        <f t="shared" ref="ABK541" si="3100">ABJ541+1</f>
        <v>24</v>
      </c>
      <c r="ABL541" s="23">
        <f t="shared" ref="ABL541" si="3101">ABK541+1</f>
        <v>25</v>
      </c>
      <c r="ABM541" s="23">
        <f t="shared" ref="ABM541" si="3102">ABL541+1</f>
        <v>26</v>
      </c>
      <c r="ABN541" s="23">
        <f t="shared" ref="ABN541" si="3103">ABM541+1</f>
        <v>27</v>
      </c>
      <c r="ABO541" s="23">
        <f t="shared" ref="ABO541" si="3104">ABN541+1</f>
        <v>28</v>
      </c>
      <c r="ABP541" s="23" t="str">
        <f>CONCATENATE("C",REPLACE($AF541,1,1,"")+1)</f>
        <v>C2</v>
      </c>
      <c r="ABQ541" s="23" t="str">
        <f>CONCATENATE("B",REPLACE($AG541,1,1,"")+1)</f>
        <v>B2</v>
      </c>
      <c r="ABR541" s="23" t="str">
        <f t="shared" ref="ABR541" si="3105">CONCATENATE("C",REPLACE(ABP541,1,1,"")+1)</f>
        <v>C3</v>
      </c>
      <c r="ABS541" s="23" t="str">
        <f t="shared" ref="ABS541" si="3106">CONCATENATE("B",REPLACE(ABQ541,1,1,"")+1)</f>
        <v>B3</v>
      </c>
      <c r="ABT541" s="23" t="str">
        <f t="shared" ref="ABT541" si="3107">CONCATENATE("C",REPLACE(ABR541,1,1,"")+1)</f>
        <v>C4</v>
      </c>
      <c r="ABU541" s="23" t="str">
        <f t="shared" ref="ABU541" si="3108">CONCATENATE("B",REPLACE(ABS541,1,1,"")+1)</f>
        <v>B4</v>
      </c>
      <c r="ABV541" s="23" t="str">
        <f>CONCATENATE("DI",REPLACE($AC541,1,3,""),"-",$AF541)</f>
        <v>DI4-C1</v>
      </c>
      <c r="ABW541" s="23" t="str">
        <f>CONCATENATE("DI",REPLACE($AC541,1,3,""),"-",$AG541)</f>
        <v>DI4-B1</v>
      </c>
      <c r="ABX541" s="23" t="str">
        <f>CONCATENATE("DI",REPLACE($AC541,1,3,""),"-",ABP541)</f>
        <v>DI4-C2</v>
      </c>
      <c r="ABY541" s="23" t="str">
        <f>CONCATENATE("DI",REPLACE($AC541,1,3,""),"-",ABQ541)</f>
        <v>DI4-B2</v>
      </c>
      <c r="ABZ541" s="23" t="str">
        <f t="shared" ref="ABZ541:ACC541" si="3109">CONCATENATE("DI",REPLACE($AC541,1,3,""),"-",ABR541)</f>
        <v>DI4-C3</v>
      </c>
      <c r="ACA541" s="23" t="str">
        <f t="shared" si="3109"/>
        <v>DI4-B3</v>
      </c>
      <c r="ACB541" s="23" t="str">
        <f t="shared" si="3109"/>
        <v>DI4-C4</v>
      </c>
      <c r="ACC541" s="23" t="str">
        <f t="shared" si="3109"/>
        <v>DI4-B4</v>
      </c>
      <c r="ACD541" s="70" t="s">
        <v>2912</v>
      </c>
      <c r="ACE541" s="70" t="s">
        <v>2913</v>
      </c>
      <c r="ACF541" s="70" t="s">
        <v>2914</v>
      </c>
      <c r="ACG541" s="70" t="s">
        <v>2915</v>
      </c>
      <c r="ACH541" s="70" t="s">
        <v>2917</v>
      </c>
      <c r="ACI541" s="70" t="s">
        <v>2918</v>
      </c>
      <c r="ACJ541" s="70" t="s">
        <v>2919</v>
      </c>
      <c r="ACK541" s="70" t="s">
        <v>2920</v>
      </c>
      <c r="ACL541" s="23" t="str">
        <f>CONCATENATE("K",$U541,"-11")</f>
        <v>K19-11</v>
      </c>
      <c r="ACM541" s="23" t="str">
        <f>CONCATENATE("K",$U541,"-12")</f>
        <v>K19-12</v>
      </c>
      <c r="ACN541" s="23" t="str">
        <f>CONCATENATE("K",$U541,"-13")</f>
        <v>K19-13</v>
      </c>
      <c r="ACO541" s="23" t="str">
        <f>CONCATENATE("K",$U541,"-14")</f>
        <v>K19-14</v>
      </c>
      <c r="ACP541" s="23" t="s">
        <v>142</v>
      </c>
      <c r="ACQ541" s="23" t="s">
        <v>143</v>
      </c>
      <c r="ACR541" s="23">
        <v>11</v>
      </c>
      <c r="ACS541" s="23">
        <v>14</v>
      </c>
      <c r="ACT541" s="23" t="s">
        <v>414</v>
      </c>
      <c r="ACU541" s="23" t="s">
        <v>413</v>
      </c>
      <c r="ACV541" s="23" t="s">
        <v>2007</v>
      </c>
      <c r="ACW541" s="23">
        <v>21</v>
      </c>
      <c r="ACX541" s="23">
        <v>22</v>
      </c>
      <c r="ACY541" s="23">
        <v>23</v>
      </c>
      <c r="ACZ541" s="23">
        <v>24</v>
      </c>
      <c r="ADA541" s="23">
        <v>25</v>
      </c>
      <c r="ADB541" s="23">
        <v>26</v>
      </c>
      <c r="ADC541" s="23">
        <v>27</v>
      </c>
      <c r="ADD541" s="24">
        <v>28</v>
      </c>
    </row>
    <row r="542" spans="1:784" ht="30.75" thickBot="1" x14ac:dyDescent="0.3">
      <c r="A542" t="s">
        <v>2922</v>
      </c>
      <c r="B542" t="s">
        <v>2921</v>
      </c>
      <c r="P542" t="s">
        <v>1942</v>
      </c>
      <c r="T542" s="14" t="s">
        <v>2724</v>
      </c>
      <c r="U542">
        <v>19</v>
      </c>
      <c r="V542" t="s">
        <v>2939</v>
      </c>
      <c r="AP542" t="s">
        <v>2727</v>
      </c>
      <c r="AQ542" t="s">
        <v>2824</v>
      </c>
      <c r="JZ542" s="27"/>
      <c r="KS542" s="16"/>
      <c r="TS542" s="66" t="s">
        <v>1950</v>
      </c>
      <c r="TT542" s="23" t="s">
        <v>1951</v>
      </c>
      <c r="TU542" s="23" t="s">
        <v>1952</v>
      </c>
      <c r="TV542" s="23" t="s">
        <v>1953</v>
      </c>
      <c r="TW542" s="23" t="s">
        <v>1954</v>
      </c>
      <c r="TX542" s="23" t="s">
        <v>2923</v>
      </c>
      <c r="TY542" s="23" t="s">
        <v>2924</v>
      </c>
      <c r="TZ542" s="23" t="s">
        <v>2925</v>
      </c>
      <c r="UA542" s="23" t="str">
        <f>CONCATENATE("XT",$U542)</f>
        <v>XT19</v>
      </c>
      <c r="UB542" s="23">
        <v>29</v>
      </c>
      <c r="UC542" s="23">
        <f>UB542+1</f>
        <v>30</v>
      </c>
      <c r="UD542" s="23">
        <f>UC542+1</f>
        <v>31</v>
      </c>
      <c r="UE542" s="23" t="s">
        <v>2926</v>
      </c>
      <c r="UF542" s="23" t="s">
        <v>2927</v>
      </c>
      <c r="UG542" s="23" t="s">
        <v>2928</v>
      </c>
      <c r="UH542" s="24" t="s">
        <v>2929</v>
      </c>
    </row>
    <row r="543" spans="1:784" ht="15.75" thickBot="1" x14ac:dyDescent="0.3">
      <c r="A543" t="s">
        <v>2933</v>
      </c>
      <c r="B543" t="s">
        <v>2930</v>
      </c>
      <c r="P543" t="s">
        <v>2822</v>
      </c>
      <c r="T543" s="14" t="s">
        <v>2724</v>
      </c>
      <c r="U543">
        <v>20</v>
      </c>
      <c r="V543" s="15" t="s">
        <v>2936</v>
      </c>
      <c r="AH543" t="s">
        <v>268</v>
      </c>
      <c r="AI543" s="73" cm="1">
        <f t="array" ref="AI543">IF(COUNTIFS(AH$510:AH543,AH543)=1,"1",VALUE(SUBSTITUTE(INDEX(AI:AI,_xlfn.XMATCH(AH543,AH$1:AH542,0,-1)),"A",""))+INDEX(AJ:AJ,_xlfn.XMATCH(AH543,AH$1:AH542,0,-1))+1)</f>
        <v>11</v>
      </c>
      <c r="AJ543" s="64" cm="1">
        <f t="array" ref="AJ543">SUM(IF(ISNUMBER(FIND("TmDo",$BE$1:$AAL$1)),IF(IFERROR(ISNUMBER(VALUE(SUBSTITUTE($BE543:$AAL543,"B",""))),FALSE),IF(ISNUMBER(VALUE(SUBSTITUTE($BE543:$AAL543,"B",""))),1,0),0)))</f>
        <v>9</v>
      </c>
      <c r="AK543" t="str">
        <f>CONCATENATE($AI543,"A")</f>
        <v>11A</v>
      </c>
      <c r="AL543" t="str">
        <f>CONCATENATE($AI543,"B")</f>
        <v>11B</v>
      </c>
      <c r="AM543" t="s">
        <v>2007</v>
      </c>
      <c r="AP543" t="s">
        <v>2727</v>
      </c>
      <c r="AQ543" t="s">
        <v>2942</v>
      </c>
      <c r="AU543" t="s">
        <v>140</v>
      </c>
      <c r="JZ543" s="27"/>
      <c r="KS543" s="16"/>
      <c r="WM543" s="25" t="str">
        <f>CONCATENATE("XT",$U543)</f>
        <v>XT20</v>
      </c>
      <c r="WN543" s="12">
        <v>1</v>
      </c>
      <c r="WO543" s="12">
        <f>WN543+1</f>
        <v>2</v>
      </c>
      <c r="WP543" s="12">
        <f t="shared" ref="WP543:XG543" si="3110">WO543+1</f>
        <v>3</v>
      </c>
      <c r="WQ543" s="12">
        <f t="shared" si="3110"/>
        <v>4</v>
      </c>
      <c r="WR543" s="12">
        <f t="shared" si="3110"/>
        <v>5</v>
      </c>
      <c r="WS543" s="12">
        <f t="shared" si="3110"/>
        <v>6</v>
      </c>
      <c r="WT543" s="12">
        <f t="shared" si="3110"/>
        <v>7</v>
      </c>
      <c r="WU543" s="12">
        <f t="shared" si="3110"/>
        <v>8</v>
      </c>
      <c r="WV543" s="12">
        <f t="shared" si="3110"/>
        <v>9</v>
      </c>
      <c r="WW543" s="12">
        <f t="shared" si="3110"/>
        <v>10</v>
      </c>
      <c r="WX543" s="12">
        <f t="shared" si="3110"/>
        <v>11</v>
      </c>
      <c r="WY543" s="12">
        <f t="shared" si="3110"/>
        <v>12</v>
      </c>
      <c r="WZ543" s="12">
        <f t="shared" si="3110"/>
        <v>13</v>
      </c>
      <c r="XA543" s="12">
        <f t="shared" si="3110"/>
        <v>14</v>
      </c>
      <c r="XB543" s="12">
        <f t="shared" si="3110"/>
        <v>15</v>
      </c>
      <c r="XC543" s="12">
        <f t="shared" si="3110"/>
        <v>16</v>
      </c>
      <c r="XD543" s="12">
        <f t="shared" si="3110"/>
        <v>17</v>
      </c>
      <c r="XE543" s="12">
        <f t="shared" si="3110"/>
        <v>18</v>
      </c>
      <c r="XF543" s="12">
        <f t="shared" si="3110"/>
        <v>19</v>
      </c>
      <c r="XG543" s="12">
        <f t="shared" si="3110"/>
        <v>20</v>
      </c>
      <c r="XH543" s="12" t="str">
        <f>CONCATENATE(REPLACE($AK543,LEN($AK543),1,"")+1,"A")</f>
        <v>12A</v>
      </c>
      <c r="XI543" s="12" t="str">
        <f>CONCATENATE(REPLACE($AL543,LEN($AL543),1,"")+1,"B")</f>
        <v>12B</v>
      </c>
      <c r="XJ543" s="12" t="str">
        <f>CONCATENATE(REPLACE(XH543,LEN(XH543),1,"")+1,"A")</f>
        <v>13A</v>
      </c>
      <c r="XK543" s="12" t="str">
        <f>CONCATENATE(REPLACE(XI543,LEN(XI543),1,"")+1,"B")</f>
        <v>13B</v>
      </c>
      <c r="XL543" s="12" t="str">
        <f>CONCATENATE(REPLACE(XJ543,LEN(XJ543),1,"")+1,"A")</f>
        <v>14A</v>
      </c>
      <c r="XM543" s="12" t="str">
        <f>CONCATENATE(REPLACE(XK543,LEN(XK543),1,"")+1,"B")</f>
        <v>14B</v>
      </c>
      <c r="XN543" s="12" t="str">
        <f>CONCATENATE(REPLACE(XL543,LEN(XL543),1,"")+1,"A")</f>
        <v>15A</v>
      </c>
      <c r="XO543" s="12" t="str">
        <f>CONCATENATE(REPLACE(XM543,LEN(XM543),1,"")+1,"B")</f>
        <v>15B</v>
      </c>
      <c r="XP543" s="12" t="str">
        <f>CONCATENATE(REPLACE(XN543,LEN(XN543),1,"")+1,"A")</f>
        <v>16A</v>
      </c>
      <c r="XQ543" s="12" t="str">
        <f>CONCATENATE(REPLACE(XO543,LEN(XO543),1,"")+1,"B")</f>
        <v>16B</v>
      </c>
      <c r="XR543" s="12" t="str">
        <f>CONCATENATE(REPLACE(XP543,LEN(XP543),1,"")+1,"A")</f>
        <v>17A</v>
      </c>
      <c r="XS543" s="12" t="str">
        <f>CONCATENATE(REPLACE(XQ543,LEN(XQ543),1,"")+1,"B")</f>
        <v>17B</v>
      </c>
      <c r="XT543" s="12" t="str">
        <f>CONCATENATE(REPLACE(XR543,LEN(XR543),1,"")+1,"A")</f>
        <v>18A</v>
      </c>
      <c r="XU543" s="12" t="str">
        <f>CONCATENATE(REPLACE(XS543,LEN(XS543),1,"")+1,"B")</f>
        <v>18B</v>
      </c>
      <c r="XV543" s="12" t="str">
        <f>CONCATENATE(REPLACE(XT543,LEN(XT543),1,"")+1,"A")</f>
        <v>19A</v>
      </c>
      <c r="XW543" s="12" t="str">
        <f>CONCATENATE(REPLACE(XU543,LEN(XU543),1,"")+1,"B")</f>
        <v>19B</v>
      </c>
      <c r="XX543" s="12" t="str">
        <f>CONCATENATE(REPLACE(XV543,LEN(XV543),1,"")+1,"A")</f>
        <v>20A</v>
      </c>
      <c r="XY543" s="12" t="str">
        <f>CONCATENATE(REPLACE(XW543,LEN(XW543),1,"")+1,"B")</f>
        <v>20B</v>
      </c>
      <c r="XZ543" s="12" t="str">
        <f>CONCATENATE("DO",REPLACE($AH543,1,3,""),"-",$AK543)</f>
        <v>DO3-11A</v>
      </c>
      <c r="YA543" s="12" t="str">
        <f>CONCATENATE("DO",REPLACE($AH543,1,3,""),"-",$AL543)</f>
        <v>DO3-11B</v>
      </c>
      <c r="YB543" s="12" t="str">
        <f>CONCATENATE("DO",REPLACE($AH543,1,3,""),"-",XH543)</f>
        <v>DO3-12A</v>
      </c>
      <c r="YC543" s="12" t="str">
        <f>CONCATENATE("DO",REPLACE($AH543,1,3,""),"-",XI543)</f>
        <v>DO3-12B</v>
      </c>
      <c r="YD543" s="12" t="str">
        <f t="shared" ref="YD543" si="3111">CONCATENATE("DO",REPLACE($AH543,1,3,""),"-",XJ543)</f>
        <v>DO3-13A</v>
      </c>
      <c r="YE543" s="12" t="str">
        <f t="shared" ref="YE543" si="3112">CONCATENATE("DO",REPLACE($AH543,1,3,""),"-",XK543)</f>
        <v>DO3-13B</v>
      </c>
      <c r="YF543" s="12" t="str">
        <f t="shared" ref="YF543" si="3113">CONCATENATE("DO",REPLACE($AH543,1,3,""),"-",XL543)</f>
        <v>DO3-14A</v>
      </c>
      <c r="YG543" s="12" t="str">
        <f t="shared" ref="YG543" si="3114">CONCATENATE("DO",REPLACE($AH543,1,3,""),"-",XM543)</f>
        <v>DO3-14B</v>
      </c>
      <c r="YH543" s="12" t="str">
        <f t="shared" ref="YH543" si="3115">CONCATENATE("DO",REPLACE($AH543,1,3,""),"-",XN543)</f>
        <v>DO3-15A</v>
      </c>
      <c r="YI543" s="12" t="str">
        <f t="shared" ref="YI543" si="3116">CONCATENATE("DO",REPLACE($AH543,1,3,""),"-",XO543)</f>
        <v>DO3-15B</v>
      </c>
      <c r="YJ543" s="12" t="str">
        <f t="shared" ref="YJ543" si="3117">CONCATENATE("DO",REPLACE($AH543,1,3,""),"-",XP543)</f>
        <v>DO3-16A</v>
      </c>
      <c r="YK543" s="12" t="str">
        <f t="shared" ref="YK543" si="3118">CONCATENATE("DO",REPLACE($AH543,1,3,""),"-",XQ543)</f>
        <v>DO3-16B</v>
      </c>
      <c r="YL543" s="12" t="str">
        <f t="shared" ref="YL543" si="3119">CONCATENATE("DO",REPLACE($AH543,1,3,""),"-",XR543)</f>
        <v>DO3-17A</v>
      </c>
      <c r="YM543" s="12" t="str">
        <f t="shared" ref="YM543" si="3120">CONCATENATE("DO",REPLACE($AH543,1,3,""),"-",XS543)</f>
        <v>DO3-17B</v>
      </c>
      <c r="YN543" s="12" t="str">
        <f t="shared" ref="YN543" si="3121">CONCATENATE("DO",REPLACE($AH543,1,3,""),"-",XT543)</f>
        <v>DO3-18A</v>
      </c>
      <c r="YO543" s="12" t="str">
        <f t="shared" ref="YO543" si="3122">CONCATENATE("DO",REPLACE($AH543,1,3,""),"-",XU543)</f>
        <v>DO3-18B</v>
      </c>
      <c r="YP543" s="12" t="str">
        <f t="shared" ref="YP543" si="3123">CONCATENATE("DO",REPLACE($AH543,1,3,""),"-",XV543)</f>
        <v>DO3-19A</v>
      </c>
      <c r="YQ543" s="12" t="str">
        <f t="shared" ref="YQ543" si="3124">CONCATENATE("DO",REPLACE($AH543,1,3,""),"-",XW543)</f>
        <v>DO3-19B</v>
      </c>
      <c r="YR543" s="12" t="str">
        <f t="shared" ref="YR543" si="3125">CONCATENATE("DO",REPLACE($AH543,1,3,""),"-",XX543)</f>
        <v>DO3-20A</v>
      </c>
      <c r="YS543" s="12" t="str">
        <f t="shared" ref="YS543" si="3126">CONCATENATE("DO",REPLACE($AH543,1,3,""),"-",XY543)</f>
        <v>DO3-20B</v>
      </c>
      <c r="YT543" s="12" t="str">
        <f>CONCATENATE("K",$U543,"-01")</f>
        <v>K20-01</v>
      </c>
      <c r="YU543" s="12" t="str">
        <f>CONCATENATE("K",$U543,"-02")</f>
        <v>K20-02</v>
      </c>
      <c r="YV543" s="12" t="str">
        <f>CONCATENATE("K",$U543,"-03")</f>
        <v>K20-03</v>
      </c>
      <c r="YW543" s="12" t="str">
        <f>CONCATENATE("K",$U543,"-04")</f>
        <v>K20-04</v>
      </c>
      <c r="YX543" s="12" t="str">
        <f>CONCATENATE("K",$U543,"-05")</f>
        <v>K20-05</v>
      </c>
      <c r="YY543" s="12" t="str">
        <f>CONCATENATE("K",$U543,"-06")</f>
        <v>K20-06</v>
      </c>
      <c r="YZ543" s="12" t="str">
        <f>CONCATENATE("K",$U543,"-07")</f>
        <v>K20-07</v>
      </c>
      <c r="ZA543" s="12" t="str">
        <f>CONCATENATE("K",$U543,"-08")</f>
        <v>K20-08</v>
      </c>
      <c r="ZB543" s="12" t="str">
        <f>CONCATENATE("K",$U543,"-09")</f>
        <v>K20-09</v>
      </c>
      <c r="ZC543" s="12" t="str">
        <f>CONCATENATE("K",$U543,"-10")</f>
        <v>K20-10</v>
      </c>
      <c r="ZD543" s="69" t="s">
        <v>2860</v>
      </c>
      <c r="ZE543" s="69" t="s">
        <v>2861</v>
      </c>
      <c r="ZF543" s="69" t="s">
        <v>2862</v>
      </c>
      <c r="ZG543" s="69" t="s">
        <v>2863</v>
      </c>
      <c r="ZH543" s="69" t="s">
        <v>2864</v>
      </c>
      <c r="ZI543" s="69" t="s">
        <v>2865</v>
      </c>
      <c r="ZJ543" s="69" t="s">
        <v>2866</v>
      </c>
      <c r="ZK543" s="69" t="s">
        <v>2867</v>
      </c>
      <c r="ZL543" s="69" t="s">
        <v>2868</v>
      </c>
      <c r="ZM543" s="69" t="s">
        <v>2869</v>
      </c>
      <c r="ZN543" s="69" t="s">
        <v>2870</v>
      </c>
      <c r="ZO543" s="69" t="s">
        <v>2871</v>
      </c>
      <c r="ZP543" s="69" t="s">
        <v>2872</v>
      </c>
      <c r="ZQ543" s="69" t="s">
        <v>2873</v>
      </c>
      <c r="ZR543" s="69" t="s">
        <v>2874</v>
      </c>
      <c r="ZS543" s="69" t="s">
        <v>2875</v>
      </c>
      <c r="ZT543" s="69" t="s">
        <v>2876</v>
      </c>
      <c r="ZU543" s="69" t="s">
        <v>2877</v>
      </c>
      <c r="ZV543" s="69" t="s">
        <v>2878</v>
      </c>
      <c r="ZW543" s="69" t="s">
        <v>2879</v>
      </c>
      <c r="ZX543" s="12" t="s">
        <v>2948</v>
      </c>
      <c r="ZY543" s="12" t="s">
        <v>2949</v>
      </c>
      <c r="ZZ543" s="12" t="s">
        <v>2950</v>
      </c>
      <c r="AAA543" s="12" t="s">
        <v>2951</v>
      </c>
      <c r="AAB543" s="12" t="s">
        <v>2945</v>
      </c>
      <c r="AAC543" s="12" t="s">
        <v>2946</v>
      </c>
      <c r="AAD543" s="12" t="s">
        <v>2894</v>
      </c>
      <c r="AAE543" s="12" t="s">
        <v>2895</v>
      </c>
      <c r="AAF543" s="12" t="s">
        <v>2952</v>
      </c>
      <c r="AAG543" s="12" t="s">
        <v>2947</v>
      </c>
      <c r="AAH543" s="12" t="s">
        <v>2007</v>
      </c>
      <c r="AAI543" s="12">
        <v>1</v>
      </c>
      <c r="AAJ543" s="12">
        <f>AAI543+1</f>
        <v>2</v>
      </c>
      <c r="AAK543" s="12">
        <f t="shared" ref="AAK543:ABB543" si="3127">AAJ543+1</f>
        <v>3</v>
      </c>
      <c r="AAL543" s="12">
        <f t="shared" si="3127"/>
        <v>4</v>
      </c>
      <c r="AAM543" s="12">
        <f t="shared" si="3127"/>
        <v>5</v>
      </c>
      <c r="AAN543" s="12">
        <f t="shared" si="3127"/>
        <v>6</v>
      </c>
      <c r="AAO543" s="12">
        <f t="shared" si="3127"/>
        <v>7</v>
      </c>
      <c r="AAP543" s="12">
        <f t="shared" si="3127"/>
        <v>8</v>
      </c>
      <c r="AAQ543" s="12">
        <f t="shared" si="3127"/>
        <v>9</v>
      </c>
      <c r="AAR543" s="12">
        <f t="shared" si="3127"/>
        <v>10</v>
      </c>
      <c r="AAS543" s="12">
        <f t="shared" si="3127"/>
        <v>11</v>
      </c>
      <c r="AAT543" s="12">
        <f t="shared" si="3127"/>
        <v>12</v>
      </c>
      <c r="AAU543" s="12">
        <f t="shared" si="3127"/>
        <v>13</v>
      </c>
      <c r="AAV543" s="12">
        <f t="shared" si="3127"/>
        <v>14</v>
      </c>
      <c r="AAW543" s="12">
        <f t="shared" si="3127"/>
        <v>15</v>
      </c>
      <c r="AAX543" s="12">
        <f t="shared" si="3127"/>
        <v>16</v>
      </c>
      <c r="AAY543" s="12">
        <f t="shared" si="3127"/>
        <v>17</v>
      </c>
      <c r="AAZ543" s="12">
        <f t="shared" si="3127"/>
        <v>18</v>
      </c>
      <c r="ABA543" s="12">
        <f t="shared" si="3127"/>
        <v>19</v>
      </c>
      <c r="ABB543" s="13">
        <f t="shared" si="3127"/>
        <v>20</v>
      </c>
      <c r="ACP543" s="39" t="s">
        <v>142</v>
      </c>
      <c r="ACQ543" s="23" t="s">
        <v>143</v>
      </c>
      <c r="ACR543" s="23">
        <v>11</v>
      </c>
      <c r="ACS543" s="24">
        <v>14</v>
      </c>
    </row>
    <row r="544" spans="1:784" ht="15.75" thickBot="1" x14ac:dyDescent="0.3">
      <c r="A544" t="s">
        <v>2934</v>
      </c>
      <c r="B544" t="s">
        <v>2931</v>
      </c>
      <c r="P544" t="s">
        <v>2906</v>
      </c>
      <c r="T544" s="14" t="s">
        <v>2724</v>
      </c>
      <c r="U544">
        <v>20</v>
      </c>
      <c r="V544" s="15" t="s">
        <v>2937</v>
      </c>
      <c r="AC544" t="s">
        <v>263</v>
      </c>
      <c r="AD544" s="43" cm="1">
        <f t="array" ref="AD544">IF(COUNTIFS(AC$510:AC544,AC544)=1,"1",VALUE(SUBSTITUTE(INDEX(AD:AD,_xlfn.XMATCH(AC544,AC$1:AC543,0,-1)),"A",""))+INDEX(AE:AE,_xlfn.XMATCH(AC544,AC$1:AC543,0,-1))+1)</f>
        <v>5</v>
      </c>
      <c r="AE544" s="43" cm="1">
        <f t="array" ref="AE544">SUM(IF(ISNUMBER(FIND("TmDi",$BE$1:$ADD$1)),IF(IFERROR(ISNUMBER(VALUE(SUBSTITUTE($BE544:$ADD544,"B",""))),FALSE),IF(ISNUMBER(VALUE(SUBSTITUTE($BE544:$ADD544,"B",""))),1,0),0)))</f>
        <v>3</v>
      </c>
      <c r="AF544" t="str">
        <f t="shared" ref="AF544" si="3128">CONCATENATE("C",$AD544)</f>
        <v>C5</v>
      </c>
      <c r="AG544" t="str">
        <f t="shared" ref="AG544" si="3129">CONCATENATE("B",$AD544)</f>
        <v>B5</v>
      </c>
      <c r="AP544" t="s">
        <v>2727</v>
      </c>
      <c r="AQ544" t="s">
        <v>2942</v>
      </c>
      <c r="AT544" t="s">
        <v>139</v>
      </c>
      <c r="JZ544" s="27"/>
      <c r="KS544" s="16"/>
      <c r="ABC544" s="39" t="s">
        <v>2940</v>
      </c>
      <c r="ABD544" s="23" t="s">
        <v>2941</v>
      </c>
      <c r="ABE544" s="23" t="s">
        <v>2943</v>
      </c>
      <c r="ABF544" s="23" t="s">
        <v>2944</v>
      </c>
      <c r="ABG544" s="23" t="str">
        <f>CONCATENATE("XT",$U544)</f>
        <v>XT20</v>
      </c>
      <c r="ABH544" s="23">
        <v>21</v>
      </c>
      <c r="ABI544" s="23">
        <f t="shared" ref="ABI544" si="3130">ABH544+1</f>
        <v>22</v>
      </c>
      <c r="ABJ544" s="23">
        <f t="shared" ref="ABJ544" si="3131">ABI544+1</f>
        <v>23</v>
      </c>
      <c r="ABK544" s="23">
        <f t="shared" ref="ABK544" si="3132">ABJ544+1</f>
        <v>24</v>
      </c>
      <c r="ABL544" s="23">
        <f t="shared" ref="ABL544" si="3133">ABK544+1</f>
        <v>25</v>
      </c>
      <c r="ABM544" s="23">
        <f t="shared" ref="ABM544" si="3134">ABL544+1</f>
        <v>26</v>
      </c>
      <c r="ABN544" s="23">
        <f t="shared" ref="ABN544" si="3135">ABM544+1</f>
        <v>27</v>
      </c>
      <c r="ABO544" s="23">
        <f t="shared" ref="ABO544" si="3136">ABN544+1</f>
        <v>28</v>
      </c>
      <c r="ABP544" s="23" t="str">
        <f>CONCATENATE("C",REPLACE($AF544,1,1,"")+1)</f>
        <v>C6</v>
      </c>
      <c r="ABQ544" s="23" t="str">
        <f>CONCATENATE("B",REPLACE($AG544,1,1,"")+1)</f>
        <v>B6</v>
      </c>
      <c r="ABR544" s="23" t="str">
        <f t="shared" ref="ABR544" si="3137">CONCATENATE("C",REPLACE(ABP544,1,1,"")+1)</f>
        <v>C7</v>
      </c>
      <c r="ABS544" s="23" t="str">
        <f t="shared" ref="ABS544" si="3138">CONCATENATE("B",REPLACE(ABQ544,1,1,"")+1)</f>
        <v>B7</v>
      </c>
      <c r="ABT544" s="23" t="str">
        <f t="shared" ref="ABT544" si="3139">CONCATENATE("C",REPLACE(ABR544,1,1,"")+1)</f>
        <v>C8</v>
      </c>
      <c r="ABU544" s="23" t="str">
        <f t="shared" ref="ABU544" si="3140">CONCATENATE("B",REPLACE(ABS544,1,1,"")+1)</f>
        <v>B8</v>
      </c>
      <c r="ABV544" s="23" t="str">
        <f>CONCATENATE("DI",REPLACE($AC544,1,3,""),"-",$AF544)</f>
        <v>DI4-C5</v>
      </c>
      <c r="ABW544" s="23" t="str">
        <f>CONCATENATE("DI",REPLACE($AC544,1,3,""),"-",$AG544)</f>
        <v>DI4-B5</v>
      </c>
      <c r="ABX544" s="23" t="str">
        <f>CONCATENATE("DI",REPLACE($AC544,1,3,""),"-",ABP544)</f>
        <v>DI4-C6</v>
      </c>
      <c r="ABY544" s="23" t="str">
        <f>CONCATENATE("DI",REPLACE($AC544,1,3,""),"-",ABQ544)</f>
        <v>DI4-B6</v>
      </c>
      <c r="ABZ544" s="23" t="str">
        <f t="shared" ref="ABZ544" si="3141">CONCATENATE("DI",REPLACE($AC544,1,3,""),"-",ABR544)</f>
        <v>DI4-C7</v>
      </c>
      <c r="ACA544" s="23" t="str">
        <f t="shared" ref="ACA544" si="3142">CONCATENATE("DI",REPLACE($AC544,1,3,""),"-",ABS544)</f>
        <v>DI4-B7</v>
      </c>
      <c r="ACB544" s="23" t="str">
        <f t="shared" ref="ACB544" si="3143">CONCATENATE("DI",REPLACE($AC544,1,3,""),"-",ABT544)</f>
        <v>DI4-C8</v>
      </c>
      <c r="ACC544" s="23" t="str">
        <f t="shared" ref="ACC544" si="3144">CONCATENATE("DI",REPLACE($AC544,1,3,""),"-",ABU544)</f>
        <v>DI4-B8</v>
      </c>
      <c r="ACD544" s="70" t="s">
        <v>2912</v>
      </c>
      <c r="ACE544" s="70" t="s">
        <v>2913</v>
      </c>
      <c r="ACF544" s="70" t="s">
        <v>2914</v>
      </c>
      <c r="ACG544" s="70" t="s">
        <v>2915</v>
      </c>
      <c r="ACH544" s="70" t="s">
        <v>2917</v>
      </c>
      <c r="ACI544" s="70" t="s">
        <v>2918</v>
      </c>
      <c r="ACJ544" s="70" t="s">
        <v>2919</v>
      </c>
      <c r="ACK544" s="70" t="s">
        <v>2920</v>
      </c>
      <c r="ACL544" s="23" t="str">
        <f>CONCATENATE("K",$U544,"-11")</f>
        <v>K20-11</v>
      </c>
      <c r="ACM544" s="23" t="str">
        <f>CONCATENATE("K",$U544,"-12")</f>
        <v>K20-12</v>
      </c>
      <c r="ACN544" s="23" t="str">
        <f>CONCATENATE("K",$U544,"-13")</f>
        <v>K20-13</v>
      </c>
      <c r="ACO544" s="23" t="str">
        <f>CONCATENATE("K",$U544,"-14")</f>
        <v>K20-14</v>
      </c>
      <c r="ACP544" s="23" t="s">
        <v>142</v>
      </c>
      <c r="ACQ544" s="23" t="s">
        <v>143</v>
      </c>
      <c r="ACR544" s="23">
        <v>11</v>
      </c>
      <c r="ACS544" s="23">
        <v>14</v>
      </c>
      <c r="ACT544" s="23" t="s">
        <v>414</v>
      </c>
      <c r="ACU544" s="23" t="s">
        <v>413</v>
      </c>
      <c r="ACV544" s="23" t="s">
        <v>2007</v>
      </c>
      <c r="ACW544" s="23">
        <v>21</v>
      </c>
      <c r="ACX544" s="23">
        <v>22</v>
      </c>
      <c r="ACY544" s="23">
        <v>23</v>
      </c>
      <c r="ACZ544" s="23">
        <v>24</v>
      </c>
      <c r="ADA544" s="23">
        <v>25</v>
      </c>
      <c r="ADB544" s="23">
        <v>26</v>
      </c>
      <c r="ADC544" s="23">
        <v>27</v>
      </c>
      <c r="ADD544" s="24">
        <v>28</v>
      </c>
    </row>
    <row r="545" spans="1:802" ht="30.75" thickBot="1" x14ac:dyDescent="0.3">
      <c r="A545" t="s">
        <v>2935</v>
      </c>
      <c r="B545" t="s">
        <v>2932</v>
      </c>
      <c r="P545" t="s">
        <v>1942</v>
      </c>
      <c r="T545" s="14" t="s">
        <v>2724</v>
      </c>
      <c r="U545">
        <v>20</v>
      </c>
      <c r="V545" t="s">
        <v>2938</v>
      </c>
      <c r="AP545" t="s">
        <v>2727</v>
      </c>
      <c r="AQ545" t="s">
        <v>2824</v>
      </c>
      <c r="JZ545" s="27"/>
      <c r="KS545" s="16"/>
      <c r="TS545" s="66" t="s">
        <v>1961</v>
      </c>
      <c r="TT545" s="23" t="s">
        <v>1951</v>
      </c>
      <c r="TU545" s="23" t="s">
        <v>1952</v>
      </c>
      <c r="TV545" s="23" t="s">
        <v>1953</v>
      </c>
      <c r="TW545" s="23" t="s">
        <v>1954</v>
      </c>
      <c r="TX545" s="23" t="s">
        <v>2923</v>
      </c>
      <c r="TY545" s="23" t="s">
        <v>2924</v>
      </c>
      <c r="TZ545" s="23" t="s">
        <v>2925</v>
      </c>
      <c r="UA545" s="23" t="str">
        <f>CONCATENATE("XT",$U545)</f>
        <v>XT20</v>
      </c>
      <c r="UB545" s="23">
        <v>29</v>
      </c>
      <c r="UC545" s="23">
        <f>UB545+1</f>
        <v>30</v>
      </c>
      <c r="UD545" s="23">
        <f>UC545+1</f>
        <v>31</v>
      </c>
      <c r="UE545" s="23" t="s">
        <v>2926</v>
      </c>
      <c r="UF545" s="23" t="s">
        <v>2927</v>
      </c>
      <c r="UG545" s="23" t="s">
        <v>2928</v>
      </c>
      <c r="UH545" s="24" t="s">
        <v>2929</v>
      </c>
    </row>
    <row r="546" spans="1:802" x14ac:dyDescent="0.25">
      <c r="A546" t="s">
        <v>2954</v>
      </c>
      <c r="B546" t="s">
        <v>2953</v>
      </c>
      <c r="C546" t="s">
        <v>498</v>
      </c>
      <c r="P546" t="s">
        <v>482</v>
      </c>
      <c r="T546" s="14" t="s">
        <v>2724</v>
      </c>
      <c r="U546">
        <v>18</v>
      </c>
      <c r="V546" s="15" t="s">
        <v>2955</v>
      </c>
      <c r="X546" t="s">
        <v>509</v>
      </c>
      <c r="Y546" s="43" t="str" cm="1">
        <f t="array" ref="Y546">IF(COUNTIFS($X$510:$X546,$X546)=1,"1",VALUE(SUBSTITUTE(INDEX(Y:Y,_xlfn.XMATCH($X546,$X$1:$X545,0,-1)),"A",""))+INDEX(Z:Z,_xlfn.XMATCH($X546,$X$1:$X545,0,-1))+1)</f>
        <v>1</v>
      </c>
      <c r="Z546" s="43" cm="1">
        <f t="array" ref="Z546">SUM(IF(ISNUMBER(FIND("TmAi",$BE$1:$AAL$1)),IF(IFERROR(ISODD(SUBSTITUTE($BE546:$AAL546,"A","")),FALSE),IF(ISODD(SUBSTITUTE($BE546:$AAL546,"A","")),1,0),0)))</f>
        <v>0</v>
      </c>
      <c r="AA546" t="str">
        <f t="shared" ref="AA546:AA547" si="3145">CONCATENATE($Y546*2-1,"B")</f>
        <v>1B</v>
      </c>
      <c r="AB546" t="str">
        <f t="shared" ref="AB546:AB547" si="3146">CONCATENATE($Y546*2,"B")</f>
        <v>2B</v>
      </c>
      <c r="AP546" t="s">
        <v>2727</v>
      </c>
      <c r="AS546" t="s">
        <v>396</v>
      </c>
      <c r="JZ546" s="27" t="str">
        <f t="shared" ref="JZ546:JZ547" si="3147">CONCATENATE("XT",U546)</f>
        <v>XT18</v>
      </c>
      <c r="KC546" t="str">
        <f>CONCATENATE($A546,"-1")</f>
        <v>N2NDE11CL001-1</v>
      </c>
      <c r="KD546" t="str">
        <f>CONCATENATE($A546,"-2")</f>
        <v>N2NDE11CL001-2</v>
      </c>
      <c r="KI546" cm="1">
        <f t="array" ref="KI546">IF(COUNTIFS($U$510:$U546,$U546)=1,1,INDEX(KI:KI,_xlfn.XMATCH(U546,U$1:U545,0,-1))+COUNT(KI539:KM539))</f>
        <v>40</v>
      </c>
      <c r="KJ546">
        <f t="shared" ref="KJ546:KJ548" si="3148">KI546+1</f>
        <v>41</v>
      </c>
      <c r="KK546">
        <f t="shared" ref="KK546:KK548" si="3149">KJ546+1</f>
        <v>42</v>
      </c>
      <c r="KN546">
        <v>1</v>
      </c>
      <c r="KO546">
        <v>2</v>
      </c>
      <c r="KS546" s="16"/>
    </row>
    <row r="547" spans="1:802" x14ac:dyDescent="0.25">
      <c r="A547" t="s">
        <v>2957</v>
      </c>
      <c r="B547" t="s">
        <v>2956</v>
      </c>
      <c r="C547" t="s">
        <v>498</v>
      </c>
      <c r="P547" t="s">
        <v>482</v>
      </c>
      <c r="T547" s="14" t="s">
        <v>2724</v>
      </c>
      <c r="U547">
        <v>18</v>
      </c>
      <c r="V547" s="15" t="s">
        <v>2958</v>
      </c>
      <c r="X547" t="str">
        <f>IF(COUNTIF(X$510:X546,X546)&gt;7,REPLACE(X546,LEN(X546),1,VALUE(RIGHT(X546,1))+1),X546)</f>
        <v>A3.4</v>
      </c>
      <c r="Y547" s="43" cm="1">
        <f t="array" ref="Y547">IF(COUNTIFS($X$510:$X547,$X547)=1,"1",VALUE(SUBSTITUTE(INDEX(Y:Y,_xlfn.XMATCH($X547,$X$1:$X546,0,-1)),"A",""))+INDEX(Z:Z,_xlfn.XMATCH($X547,$X$1:$X546,0,-1))+1)</f>
        <v>2</v>
      </c>
      <c r="Z547" s="43" cm="1">
        <f t="array" ref="Z547">SUM(IF(ISNUMBER(FIND("TmAi",$BE$1:$AAL$1)),IF(IFERROR(ISODD(SUBSTITUTE($BE547:$AAL547,"A","")),FALSE),IF(ISODD(SUBSTITUTE($BE547:$AAL547,"A","")),1,0),0)))</f>
        <v>0</v>
      </c>
      <c r="AA547" t="str">
        <f t="shared" si="3145"/>
        <v>3B</v>
      </c>
      <c r="AB547" t="str">
        <f t="shared" si="3146"/>
        <v>4B</v>
      </c>
      <c r="AP547" t="s">
        <v>2727</v>
      </c>
      <c r="AS547" t="s">
        <v>396</v>
      </c>
      <c r="JZ547" s="27" t="str">
        <f t="shared" si="3147"/>
        <v>XT18</v>
      </c>
      <c r="KC547" t="str">
        <f>CONCATENATE($A547,"-1")</f>
        <v>N2NDE12CL001-1</v>
      </c>
      <c r="KD547" t="str">
        <f>CONCATENATE($A547,"-2")</f>
        <v>N2NDE12CL001-2</v>
      </c>
      <c r="KI547" cm="1">
        <f t="array" ref="KI547">IF(COUNTIFS($U$510:$U547,$U547)=1,1,INDEX(KI:KI,_xlfn.XMATCH(U547,U$1:U546,0,-1))+COUNT(KI546:KM546))</f>
        <v>43</v>
      </c>
      <c r="KJ547">
        <f t="shared" si="3148"/>
        <v>44</v>
      </c>
      <c r="KK547">
        <f t="shared" si="3149"/>
        <v>45</v>
      </c>
      <c r="KN547">
        <v>1</v>
      </c>
      <c r="KO547">
        <v>2</v>
      </c>
      <c r="KS547" s="16"/>
    </row>
    <row r="548" spans="1:802" ht="15.75" thickBot="1" x14ac:dyDescent="0.3">
      <c r="A548" t="s">
        <v>2960</v>
      </c>
      <c r="B548" t="s">
        <v>2959</v>
      </c>
      <c r="C548" t="s">
        <v>531</v>
      </c>
      <c r="P548" t="s">
        <v>503</v>
      </c>
      <c r="T548" s="14" t="s">
        <v>2724</v>
      </c>
      <c r="U548">
        <v>18</v>
      </c>
      <c r="V548" t="s">
        <v>2961</v>
      </c>
      <c r="X548" t="str">
        <f>IF(COUNTIF(X$510:X547,X547)&gt;7,REPLACE(X547,LEN(X547),1,VALUE(RIGHT(X547,1))+1),X547)</f>
        <v>A3.4</v>
      </c>
      <c r="Y548" s="43" cm="1">
        <f t="array" ref="Y548">IF(COUNTIFS($X$2:$X548,$X548)=1,"1",VALUE(SUBSTITUTE(INDEX(Y:Y,_xlfn.XMATCH($X548,$X$1:$X547,0,-1)),"A",""))+INDEX(Z:Z,_xlfn.XMATCH($X548,$X$1:$X547,0,-1))+1)</f>
        <v>3</v>
      </c>
      <c r="Z548" s="46" cm="1">
        <f t="array" ref="Z548">SUM(IF(ISNUMBER(FIND("TmAi",$BE$1:$AAL$1)),IF(IFERROR(ISODD(SUBSTITUTE($BE548:$AAL548,"A","")),FALSE),IF(ISODD(SUBSTITUTE($BE548:$AAL548,"A","")),1,0),0)))</f>
        <v>0</v>
      </c>
      <c r="AA548" t="str">
        <f t="shared" ref="AA548:AA549" si="3150">CONCATENATE($Y548*2-1,"A")</f>
        <v>5A</v>
      </c>
      <c r="AB548" t="str">
        <f t="shared" ref="AB548:AB549" si="3151">CONCATENATE($Y548*2-1,"B")</f>
        <v>5B</v>
      </c>
      <c r="AP548" t="s">
        <v>2727</v>
      </c>
      <c r="AS548" t="s">
        <v>396</v>
      </c>
      <c r="JZ548" s="28" t="str">
        <f>CONCATENATE("XT",U548)</f>
        <v>XT18</v>
      </c>
      <c r="KA548" s="19"/>
      <c r="KB548" s="19"/>
      <c r="KC548" s="19" t="str">
        <f>CONCATENATE($A548,"-1")</f>
        <v>N2NDV10CL001-1</v>
      </c>
      <c r="KD548" s="19" t="str">
        <f>CONCATENATE($A548,"-2")</f>
        <v>N2NDV10CL001-2</v>
      </c>
      <c r="KE548" s="19"/>
      <c r="KF548" s="19"/>
      <c r="KG548" s="19" t="s">
        <v>488</v>
      </c>
      <c r="KH548" s="19" t="s">
        <v>487</v>
      </c>
      <c r="KI548" s="19" cm="1">
        <f t="array" ref="KI548">IF(COUNTIFS($U$2:$U548,$U548)=1,1,INDEX(KI:KI,_xlfn.XMATCH(U548,U$1:U547,0,-1))+COUNT(KI535:KM535))</f>
        <v>46</v>
      </c>
      <c r="KJ548" s="19">
        <f t="shared" si="3148"/>
        <v>47</v>
      </c>
      <c r="KK548" s="19">
        <f t="shared" si="3149"/>
        <v>48</v>
      </c>
      <c r="KL548" s="19">
        <f t="shared" ref="KL548" si="3152">KK548+1</f>
        <v>49</v>
      </c>
      <c r="KM548" s="19">
        <f t="shared" ref="KM548" si="3153">KL548+1</f>
        <v>50</v>
      </c>
      <c r="KN548" s="19" t="s">
        <v>547</v>
      </c>
      <c r="KO548" s="19" t="s">
        <v>548</v>
      </c>
      <c r="KP548" s="19" t="s">
        <v>547</v>
      </c>
      <c r="KQ548" s="19" t="s">
        <v>548</v>
      </c>
      <c r="KR548" s="19" t="s">
        <v>551</v>
      </c>
      <c r="KS548" s="20" t="s">
        <v>552</v>
      </c>
    </row>
    <row r="549" spans="1:802" ht="15.75" thickBot="1" x14ac:dyDescent="0.3">
      <c r="A549" t="s">
        <v>2963</v>
      </c>
      <c r="B549" t="s">
        <v>2962</v>
      </c>
      <c r="C549" t="s">
        <v>2964</v>
      </c>
      <c r="P549" t="s">
        <v>2965</v>
      </c>
      <c r="T549" s="14" t="s">
        <v>2724</v>
      </c>
      <c r="U549">
        <v>18</v>
      </c>
      <c r="V549" t="s">
        <v>2966</v>
      </c>
      <c r="X549" t="str">
        <f>IF(COUNTIF(X$510:X548,X548)&gt;7,REPLACE(X548,LEN(X548),1,VALUE(RIGHT(X548,1))+1),X548)</f>
        <v>A3.4</v>
      </c>
      <c r="Y549" s="43" cm="1">
        <f t="array" ref="Y549">IF(COUNTIFS($X$2:$X549,$X549)=1,"1",VALUE(SUBSTITUTE(INDEX(Y:Y,_xlfn.XMATCH($X549,$X$1:$X548,0,-1)),"A",""))+INDEX(Z:Z,_xlfn.XMATCH($X549,$X$1:$X548,0,-1))+1)</f>
        <v>4</v>
      </c>
      <c r="Z549" s="46" cm="1">
        <f t="array" ref="Z549">SUM(IF(ISNUMBER(FIND("TmAi",$BE$1:$AAL$1)),IF(IFERROR(ISODD(SUBSTITUTE($BE549:$AAL549,"A","")),FALSE),IF(ISODD(SUBSTITUTE($BE549:$AAL549,"A","")),1,0),0)))</f>
        <v>0</v>
      </c>
      <c r="AA549" t="str">
        <f t="shared" si="3150"/>
        <v>7A</v>
      </c>
      <c r="AB549" t="str">
        <f t="shared" si="3151"/>
        <v>7B</v>
      </c>
      <c r="AM549" t="s">
        <v>2968</v>
      </c>
      <c r="AP549" t="s">
        <v>2727</v>
      </c>
      <c r="AQ549" t="s">
        <v>2967</v>
      </c>
      <c r="AS549" t="s">
        <v>396</v>
      </c>
      <c r="JZ549" s="12"/>
      <c r="KA549" s="12"/>
      <c r="KB549" s="12"/>
      <c r="KC549" s="12"/>
      <c r="KD549" s="12"/>
      <c r="KE549" s="12"/>
      <c r="KF549" s="12"/>
      <c r="KG549" s="12"/>
      <c r="KH549" s="12"/>
      <c r="KI549" s="12"/>
      <c r="KJ549" s="12"/>
      <c r="KK549" s="12"/>
      <c r="KL549" s="12"/>
      <c r="KM549" s="12"/>
      <c r="KN549" s="12"/>
      <c r="KO549" s="12"/>
      <c r="KP549" s="12"/>
      <c r="KQ549" s="12"/>
      <c r="KR549" s="12"/>
      <c r="KS549" s="12"/>
      <c r="ADE549" s="25" t="str">
        <f>CONCATENATE("XT",$U549)</f>
        <v>XT18</v>
      </c>
      <c r="ADF549" s="12">
        <f>KM548+1</f>
        <v>51</v>
      </c>
      <c r="ADG549" s="12">
        <f>ADF549+1</f>
        <v>52</v>
      </c>
      <c r="ADH549" s="12">
        <f t="shared" ref="ADH549:ADI549" si="3154">ADG549+1</f>
        <v>53</v>
      </c>
      <c r="ADI549" s="12">
        <f t="shared" si="3154"/>
        <v>54</v>
      </c>
      <c r="ADJ549" s="12" t="str">
        <f>REPLACE($AA549,1,1,LEFT($AA549,1)+1)</f>
        <v>8A</v>
      </c>
      <c r="ADK549" s="12" t="str">
        <f>REPLACE($AB549,1,1,LEFT($AB549,1)+1)</f>
        <v>8B</v>
      </c>
      <c r="ADL549" s="12" t="str">
        <f>CONCATENATE($T549,"-AI",REPLACE($X549,1,3,""),"-",$AB549)</f>
        <v>N2-AI4-7B</v>
      </c>
      <c r="ADM549" s="12" t="str">
        <f>CONCATENATE($T549,"-AI",REPLACE($X549,1,3,""),"-",ADK549)</f>
        <v>N2-AI4-8B</v>
      </c>
      <c r="ADN549" s="12" t="str">
        <f>CONCATENATE($T549,"-AI",REPLACE($X549,1,3,""),"-",$AA549)</f>
        <v>N2-AI4-7A</v>
      </c>
      <c r="ADO549" s="12">
        <v>8</v>
      </c>
      <c r="ADP549" s="12">
        <v>9</v>
      </c>
      <c r="ADQ549" s="12">
        <v>10</v>
      </c>
      <c r="ADR549" s="12" t="str">
        <f>"+канал 1"</f>
        <v>+канал 1</v>
      </c>
      <c r="ADS549" s="12" t="str">
        <f>"-общий"</f>
        <v>-общий</v>
      </c>
      <c r="ADT549" s="12" t="str">
        <f>"+канал 2"</f>
        <v>+канал 2</v>
      </c>
      <c r="ADU549" s="12" t="s">
        <v>2972</v>
      </c>
      <c r="ADV549" s="13" t="s">
        <v>2973</v>
      </c>
    </row>
    <row r="550" spans="1:802" x14ac:dyDescent="0.25">
      <c r="A550" t="s">
        <v>2975</v>
      </c>
      <c r="B550" s="58" t="s">
        <v>2974</v>
      </c>
      <c r="P550" t="s">
        <v>1378</v>
      </c>
      <c r="T550" s="14" t="s">
        <v>2724</v>
      </c>
      <c r="U550">
        <v>21</v>
      </c>
      <c r="V550" t="s">
        <v>2976</v>
      </c>
      <c r="AC550" t="s">
        <v>263</v>
      </c>
      <c r="AD550" s="43">
        <v>17</v>
      </c>
      <c r="AE550" s="43" cm="1">
        <f t="array" ref="AE550">SUM(IF(ISNUMBER(FIND("TmDi",$BE$1:$AAL$1)),IF(IFERROR(ISNUMBER(VALUE(SUBSTITUTE($BE550:$AAL550,"B",""))),FALSE),IF(ISNUMBER(VALUE(SUBSTITUTE($BE550:$AAL550,"B",""))),1,0),0)))</f>
        <v>0</v>
      </c>
      <c r="AF550" t="str">
        <f t="shared" ref="AF550:AF557" si="3155">CONCATENATE("C",$AD550)</f>
        <v>C17</v>
      </c>
      <c r="AG550" t="str">
        <f t="shared" ref="AG550:AG557" si="3156">CONCATENATE("B",$AD550)</f>
        <v>B17</v>
      </c>
      <c r="AP550" t="s">
        <v>2727</v>
      </c>
      <c r="AQ550" t="s">
        <v>2977</v>
      </c>
      <c r="AT550" t="s">
        <v>854</v>
      </c>
      <c r="LT550" s="25" t="s">
        <v>2054</v>
      </c>
      <c r="LU550" s="12">
        <v>5</v>
      </c>
      <c r="LV550" s="12">
        <v>11</v>
      </c>
      <c r="LW550" s="12"/>
      <c r="LX550" s="12" t="str">
        <f>CONCATENATE("XT",U550)</f>
        <v>XT21</v>
      </c>
      <c r="LY550" s="12" t="str">
        <f>CONCATENATE("DI",REPLACE($AC550,1,3,""),"-",$AG550)</f>
        <v>DI4-B17</v>
      </c>
      <c r="LZ550" s="12" t="str">
        <f>CONCATENATE("DI",REPLACE($AC550,1,3,""),"-",$AF550)</f>
        <v>DI4-C17</v>
      </c>
      <c r="MA550" s="12" t="s">
        <v>2056</v>
      </c>
      <c r="MB550" s="12" t="s">
        <v>2055</v>
      </c>
      <c r="MC550" s="12">
        <v>11</v>
      </c>
      <c r="MD550" s="12">
        <v>14</v>
      </c>
      <c r="ME550" s="12" t="s">
        <v>142</v>
      </c>
      <c r="MF550" s="12" t="s">
        <v>143</v>
      </c>
      <c r="MG550" s="12" t="s">
        <v>488</v>
      </c>
      <c r="MH550" s="12" t="s">
        <v>487</v>
      </c>
      <c r="MI550" s="12" t="s">
        <v>414</v>
      </c>
      <c r="MJ550" s="12" t="s">
        <v>413</v>
      </c>
      <c r="MK550" s="12">
        <v>1</v>
      </c>
      <c r="ML550" s="12">
        <f>MK550+1</f>
        <v>2</v>
      </c>
      <c r="MM550" s="12"/>
      <c r="MN550" s="12"/>
      <c r="MO550" s="12"/>
      <c r="MP550" s="12"/>
      <c r="MQ550" s="12">
        <v>3</v>
      </c>
      <c r="MR550" s="12">
        <v>7</v>
      </c>
      <c r="MS550" s="13"/>
    </row>
    <row r="551" spans="1:802" x14ac:dyDescent="0.25">
      <c r="A551" t="s">
        <v>3120</v>
      </c>
      <c r="B551" t="s">
        <v>3127</v>
      </c>
      <c r="P551" t="s">
        <v>1873</v>
      </c>
      <c r="T551" s="14" t="s">
        <v>2724</v>
      </c>
      <c r="U551">
        <v>21</v>
      </c>
      <c r="AC551" t="str">
        <f t="shared" ref="AC551:AC557" si="3157">IF(AD550+AE550&gt;31,REPLACE(AC550,LEN(AC550),1,VALUE(RIGHT(AC550,1))+1),AC550)</f>
        <v>A5.4</v>
      </c>
      <c r="AD551" s="46" cm="1">
        <f t="array" ref="AD551">IF(COUNTIFS(AC$341:AC551,AC551)=1,"1",VALUE(SUBSTITUTE(INDEX(AD:AD,_xlfn.XMATCH(AC551,AC$1:AC550,0,-1)),"A",""))+INDEX(AE:AE,_xlfn.XMATCH(AC551,AC$1:AC550,0,-1))+1)</f>
        <v>18</v>
      </c>
      <c r="AE551" s="46" cm="1">
        <f t="array" ref="AE551">SUM(IF(ISNUMBER(FIND("TmDi",$BE$1:$AAL$1)),IF(IFERROR(ISNUMBER(VALUE(SUBSTITUTE($BE551:$AAL551,"B",""))),FALSE),IF(ISNUMBER(VALUE(SUBSTITUTE($BE551:$AAL551,"B",""))),1,0),0)))</f>
        <v>0</v>
      </c>
      <c r="AF551" t="str">
        <f t="shared" si="3155"/>
        <v>C18</v>
      </c>
      <c r="AG551" t="str">
        <f t="shared" si="3156"/>
        <v>B18</v>
      </c>
      <c r="AP551" t="s">
        <v>2727</v>
      </c>
      <c r="AT551" t="s">
        <v>854</v>
      </c>
      <c r="AU551" t="s">
        <v>1399</v>
      </c>
      <c r="LT551" s="27"/>
      <c r="LY551" t="str">
        <f>CONCATENATE("DI",REPLACE($AC551,1,3,""),"-",$AF551)</f>
        <v>DI4-C18</v>
      </c>
      <c r="MA551" t="s">
        <v>1884</v>
      </c>
      <c r="MB551" t="s">
        <v>1883</v>
      </c>
      <c r="MC551">
        <v>11</v>
      </c>
      <c r="MD551">
        <v>14</v>
      </c>
      <c r="ME551" t="s">
        <v>142</v>
      </c>
      <c r="MF551" t="s">
        <v>143</v>
      </c>
      <c r="MG551" t="s">
        <v>488</v>
      </c>
      <c r="MH551" t="s">
        <v>487</v>
      </c>
      <c r="MI551" t="s">
        <v>414</v>
      </c>
      <c r="MJ551" t="s">
        <v>413</v>
      </c>
      <c r="MQ551">
        <v>1</v>
      </c>
      <c r="MR551">
        <v>2</v>
      </c>
      <c r="MS551" s="16"/>
    </row>
    <row r="552" spans="1:802" x14ac:dyDescent="0.25">
      <c r="A552" t="s">
        <v>3121</v>
      </c>
      <c r="B552" t="s">
        <v>3128</v>
      </c>
      <c r="P552" t="s">
        <v>1873</v>
      </c>
      <c r="T552" s="14" t="s">
        <v>2724</v>
      </c>
      <c r="U552">
        <v>21</v>
      </c>
      <c r="AC552" t="str">
        <f t="shared" si="3157"/>
        <v>A5.4</v>
      </c>
      <c r="AD552" s="46" cm="1">
        <f t="array" ref="AD552">IF(COUNTIFS(AC$341:AC552,AC552)=1,"1",VALUE(SUBSTITUTE(INDEX(AD:AD,_xlfn.XMATCH(AC552,AC$1:AC551,0,-1)),"A",""))+INDEX(AE:AE,_xlfn.XMATCH(AC552,AC$1:AC551,0,-1))+1)</f>
        <v>19</v>
      </c>
      <c r="AE552" s="46" cm="1">
        <f t="array" ref="AE552">SUM(IF(ISNUMBER(FIND("TmDi",$BE$1:$AAL$1)),IF(IFERROR(ISNUMBER(VALUE(SUBSTITUTE($BE552:$AAL552,"B",""))),FALSE),IF(ISNUMBER(VALUE(SUBSTITUTE($BE552:$AAL552,"B",""))),1,0),0)))</f>
        <v>0</v>
      </c>
      <c r="AF552" t="str">
        <f t="shared" si="3155"/>
        <v>C19</v>
      </c>
      <c r="AG552" t="str">
        <f t="shared" si="3156"/>
        <v>B19</v>
      </c>
      <c r="AP552" t="s">
        <v>2727</v>
      </c>
      <c r="AT552" t="s">
        <v>854</v>
      </c>
      <c r="AU552" t="s">
        <v>1399</v>
      </c>
      <c r="LT552" s="27"/>
      <c r="LY552" t="str">
        <f t="shared" ref="LY552:LY557" si="3158">CONCATENATE("DI",REPLACE($AC552,1,3,""),"-",$AF552)</f>
        <v>DI4-C19</v>
      </c>
      <c r="MA552" t="s">
        <v>1887</v>
      </c>
      <c r="MB552" t="s">
        <v>1888</v>
      </c>
      <c r="MC552">
        <f>MC551</f>
        <v>11</v>
      </c>
      <c r="MD552">
        <f t="shared" ref="MD552:MJ557" si="3159">MD551</f>
        <v>14</v>
      </c>
      <c r="ME552" t="str">
        <f t="shared" si="3159"/>
        <v>A1</v>
      </c>
      <c r="MF552" t="str">
        <f t="shared" si="3159"/>
        <v>A2</v>
      </c>
      <c r="MG552" t="str">
        <f t="shared" si="3159"/>
        <v>0v3</v>
      </c>
      <c r="MH552" t="str">
        <f t="shared" si="3159"/>
        <v>24v3</v>
      </c>
      <c r="MI552" t="str">
        <f t="shared" si="3159"/>
        <v>0v6</v>
      </c>
      <c r="MJ552" t="str">
        <f t="shared" si="3159"/>
        <v>24v6</v>
      </c>
      <c r="MQ552">
        <f>MQ551</f>
        <v>1</v>
      </c>
      <c r="MR552">
        <f>MR551</f>
        <v>2</v>
      </c>
      <c r="MS552" s="16"/>
    </row>
    <row r="553" spans="1:802" x14ac:dyDescent="0.25">
      <c r="A553" t="s">
        <v>3122</v>
      </c>
      <c r="B553" t="s">
        <v>3129</v>
      </c>
      <c r="P553" t="s">
        <v>1873</v>
      </c>
      <c r="T553" s="14" t="s">
        <v>2724</v>
      </c>
      <c r="U553">
        <v>21</v>
      </c>
      <c r="AC553" t="str">
        <f t="shared" si="3157"/>
        <v>A5.4</v>
      </c>
      <c r="AD553" s="46" cm="1">
        <f t="array" ref="AD553">IF(COUNTIFS(AC$341:AC553,AC553)=1,"1",VALUE(SUBSTITUTE(INDEX(AD:AD,_xlfn.XMATCH(AC553,AC$1:AC552,0,-1)),"A",""))+INDEX(AE:AE,_xlfn.XMATCH(AC553,AC$1:AC552,0,-1))+1)</f>
        <v>20</v>
      </c>
      <c r="AE553" s="46" cm="1">
        <f t="array" ref="AE553">SUM(IF(ISNUMBER(FIND("TmDi",$BE$1:$AAL$1)),IF(IFERROR(ISNUMBER(VALUE(SUBSTITUTE($BE553:$AAL553,"B",""))),FALSE),IF(ISNUMBER(VALUE(SUBSTITUTE($BE553:$AAL553,"B",""))),1,0),0)))</f>
        <v>0</v>
      </c>
      <c r="AF553" t="str">
        <f t="shared" si="3155"/>
        <v>C20</v>
      </c>
      <c r="AG553" t="str">
        <f t="shared" si="3156"/>
        <v>B20</v>
      </c>
      <c r="AP553" t="s">
        <v>2727</v>
      </c>
      <c r="AT553" t="s">
        <v>854</v>
      </c>
      <c r="AU553" t="s">
        <v>1399</v>
      </c>
      <c r="LT553" s="27"/>
      <c r="LY553" t="str">
        <f t="shared" si="3158"/>
        <v>DI4-C20</v>
      </c>
      <c r="MA553" t="s">
        <v>1891</v>
      </c>
      <c r="MB553" t="s">
        <v>1892</v>
      </c>
      <c r="MC553">
        <f t="shared" ref="MC553:MC557" si="3160">MC552</f>
        <v>11</v>
      </c>
      <c r="MD553">
        <f t="shared" si="3159"/>
        <v>14</v>
      </c>
      <c r="ME553" t="str">
        <f t="shared" si="3159"/>
        <v>A1</v>
      </c>
      <c r="MF553" t="str">
        <f t="shared" si="3159"/>
        <v>A2</v>
      </c>
      <c r="MG553" t="str">
        <f t="shared" si="3159"/>
        <v>0v3</v>
      </c>
      <c r="MH553" t="str">
        <f t="shared" si="3159"/>
        <v>24v3</v>
      </c>
      <c r="MI553" t="str">
        <f t="shared" si="3159"/>
        <v>0v6</v>
      </c>
      <c r="MJ553" t="str">
        <f t="shared" si="3159"/>
        <v>24v6</v>
      </c>
      <c r="MQ553">
        <f t="shared" ref="MQ553:MR557" si="3161">MQ552</f>
        <v>1</v>
      </c>
      <c r="MR553">
        <f t="shared" si="3161"/>
        <v>2</v>
      </c>
      <c r="MS553" s="16"/>
    </row>
    <row r="554" spans="1:802" x14ac:dyDescent="0.25">
      <c r="A554" t="s">
        <v>3123</v>
      </c>
      <c r="B554" t="s">
        <v>3130</v>
      </c>
      <c r="P554" t="s">
        <v>1873</v>
      </c>
      <c r="T554" s="14" t="s">
        <v>2724</v>
      </c>
      <c r="U554">
        <v>21</v>
      </c>
      <c r="AC554" t="str">
        <f t="shared" si="3157"/>
        <v>A5.4</v>
      </c>
      <c r="AD554" s="46" cm="1">
        <f t="array" ref="AD554">IF(COUNTIFS(AC$341:AC554,AC554)=1,"1",VALUE(SUBSTITUTE(INDEX(AD:AD,_xlfn.XMATCH(AC554,AC$1:AC553,0,-1)),"A",""))+INDEX(AE:AE,_xlfn.XMATCH(AC554,AC$1:AC553,0,-1))+1)</f>
        <v>21</v>
      </c>
      <c r="AE554" s="46" cm="1">
        <f t="array" ref="AE554">SUM(IF(ISNUMBER(FIND("TmDi",$BE$1:$AAL$1)),IF(IFERROR(ISNUMBER(VALUE(SUBSTITUTE($BE554:$AAL554,"B",""))),FALSE),IF(ISNUMBER(VALUE(SUBSTITUTE($BE554:$AAL554,"B",""))),1,0),0)))</f>
        <v>0</v>
      </c>
      <c r="AF554" t="str">
        <f t="shared" si="3155"/>
        <v>C21</v>
      </c>
      <c r="AG554" t="str">
        <f t="shared" si="3156"/>
        <v>B21</v>
      </c>
      <c r="AP554" t="s">
        <v>2727</v>
      </c>
      <c r="AT554" t="s">
        <v>854</v>
      </c>
      <c r="AU554" t="s">
        <v>1399</v>
      </c>
      <c r="LT554" s="27"/>
      <c r="LY554" t="str">
        <f t="shared" si="3158"/>
        <v>DI4-C21</v>
      </c>
      <c r="MA554" t="s">
        <v>1893</v>
      </c>
      <c r="MB554" t="s">
        <v>1894</v>
      </c>
      <c r="MC554">
        <f t="shared" si="3160"/>
        <v>11</v>
      </c>
      <c r="MD554">
        <f t="shared" si="3159"/>
        <v>14</v>
      </c>
      <c r="ME554" t="str">
        <f t="shared" si="3159"/>
        <v>A1</v>
      </c>
      <c r="MF554" t="str">
        <f t="shared" si="3159"/>
        <v>A2</v>
      </c>
      <c r="MG554" t="str">
        <f t="shared" si="3159"/>
        <v>0v3</v>
      </c>
      <c r="MH554" t="str">
        <f t="shared" si="3159"/>
        <v>24v3</v>
      </c>
      <c r="MI554" t="str">
        <f t="shared" si="3159"/>
        <v>0v6</v>
      </c>
      <c r="MJ554" t="str">
        <f t="shared" si="3159"/>
        <v>24v6</v>
      </c>
      <c r="MQ554">
        <f t="shared" si="3161"/>
        <v>1</v>
      </c>
      <c r="MR554">
        <f t="shared" si="3161"/>
        <v>2</v>
      </c>
      <c r="MS554" s="16"/>
    </row>
    <row r="555" spans="1:802" x14ac:dyDescent="0.25">
      <c r="A555" t="s">
        <v>3124</v>
      </c>
      <c r="B555" t="s">
        <v>3131</v>
      </c>
      <c r="P555" t="s">
        <v>1873</v>
      </c>
      <c r="T555" s="14" t="s">
        <v>2724</v>
      </c>
      <c r="U555">
        <v>21</v>
      </c>
      <c r="AC555" t="str">
        <f t="shared" si="3157"/>
        <v>A5.4</v>
      </c>
      <c r="AD555" s="46" cm="1">
        <f t="array" ref="AD555">IF(COUNTIFS(AC$341:AC555,AC555)=1,"1",VALUE(SUBSTITUTE(INDEX(AD:AD,_xlfn.XMATCH(AC555,AC$1:AC554,0,-1)),"A",""))+INDEX(AE:AE,_xlfn.XMATCH(AC555,AC$1:AC554,0,-1))+1)</f>
        <v>22</v>
      </c>
      <c r="AE555" s="46" cm="1">
        <f t="array" ref="AE555">SUM(IF(ISNUMBER(FIND("TmDi",$BE$1:$AAL$1)),IF(IFERROR(ISNUMBER(VALUE(SUBSTITUTE($BE555:$AAL555,"B",""))),FALSE),IF(ISNUMBER(VALUE(SUBSTITUTE($BE555:$AAL555,"B",""))),1,0),0)))</f>
        <v>0</v>
      </c>
      <c r="AF555" t="str">
        <f t="shared" si="3155"/>
        <v>C22</v>
      </c>
      <c r="AG555" t="str">
        <f t="shared" si="3156"/>
        <v>B22</v>
      </c>
      <c r="AP555" t="s">
        <v>2727</v>
      </c>
      <c r="AT555" t="s">
        <v>854</v>
      </c>
      <c r="AU555" t="s">
        <v>1399</v>
      </c>
      <c r="LT555" s="27"/>
      <c r="LY555" t="str">
        <f t="shared" si="3158"/>
        <v>DI4-C22</v>
      </c>
      <c r="MA555" t="s">
        <v>1895</v>
      </c>
      <c r="MB555" t="s">
        <v>1896</v>
      </c>
      <c r="MC555">
        <f t="shared" si="3160"/>
        <v>11</v>
      </c>
      <c r="MD555">
        <f t="shared" si="3159"/>
        <v>14</v>
      </c>
      <c r="ME555" t="str">
        <f t="shared" si="3159"/>
        <v>A1</v>
      </c>
      <c r="MF555" t="str">
        <f t="shared" si="3159"/>
        <v>A2</v>
      </c>
      <c r="MG555" t="str">
        <f t="shared" si="3159"/>
        <v>0v3</v>
      </c>
      <c r="MH555" t="str">
        <f t="shared" si="3159"/>
        <v>24v3</v>
      </c>
      <c r="MI555" t="str">
        <f t="shared" si="3159"/>
        <v>0v6</v>
      </c>
      <c r="MJ555" t="str">
        <f t="shared" si="3159"/>
        <v>24v6</v>
      </c>
      <c r="MQ555">
        <f t="shared" si="3161"/>
        <v>1</v>
      </c>
      <c r="MR555">
        <f t="shared" si="3161"/>
        <v>2</v>
      </c>
      <c r="MS555" s="16"/>
    </row>
    <row r="556" spans="1:802" x14ac:dyDescent="0.25">
      <c r="A556" t="s">
        <v>3125</v>
      </c>
      <c r="B556" t="s">
        <v>3132</v>
      </c>
      <c r="P556" t="s">
        <v>1873</v>
      </c>
      <c r="T556" s="14" t="s">
        <v>2724</v>
      </c>
      <c r="U556">
        <v>21</v>
      </c>
      <c r="AC556" t="str">
        <f t="shared" si="3157"/>
        <v>A5.4</v>
      </c>
      <c r="AD556" s="46" cm="1">
        <f t="array" ref="AD556">IF(COUNTIFS(AC$341:AC556,AC556)=1,"1",VALUE(SUBSTITUTE(INDEX(AD:AD,_xlfn.XMATCH(AC556,AC$1:AC555,0,-1)),"A",""))+INDEX(AE:AE,_xlfn.XMATCH(AC556,AC$1:AC555,0,-1))+1)</f>
        <v>23</v>
      </c>
      <c r="AE556" s="46" cm="1">
        <f t="array" ref="AE556">SUM(IF(ISNUMBER(FIND("TmDi",$BE$1:$AAL$1)),IF(IFERROR(ISNUMBER(VALUE(SUBSTITUTE($BE556:$AAL556,"B",""))),FALSE),IF(ISNUMBER(VALUE(SUBSTITUTE($BE556:$AAL556,"B",""))),1,0),0)))</f>
        <v>0</v>
      </c>
      <c r="AF556" t="str">
        <f t="shared" si="3155"/>
        <v>C23</v>
      </c>
      <c r="AG556" t="str">
        <f t="shared" si="3156"/>
        <v>B23</v>
      </c>
      <c r="AP556" t="s">
        <v>2727</v>
      </c>
      <c r="AT556" t="s">
        <v>854</v>
      </c>
      <c r="AU556" t="s">
        <v>1399</v>
      </c>
      <c r="LT556" s="27"/>
      <c r="LY556" t="str">
        <f t="shared" si="3158"/>
        <v>DI4-C23</v>
      </c>
      <c r="MA556" t="s">
        <v>1897</v>
      </c>
      <c r="MB556" t="s">
        <v>1898</v>
      </c>
      <c r="MC556">
        <f t="shared" si="3160"/>
        <v>11</v>
      </c>
      <c r="MD556">
        <f t="shared" si="3159"/>
        <v>14</v>
      </c>
      <c r="ME556" t="str">
        <f t="shared" si="3159"/>
        <v>A1</v>
      </c>
      <c r="MF556" t="str">
        <f t="shared" si="3159"/>
        <v>A2</v>
      </c>
      <c r="MG556" t="str">
        <f t="shared" si="3159"/>
        <v>0v3</v>
      </c>
      <c r="MH556" t="str">
        <f t="shared" si="3159"/>
        <v>24v3</v>
      </c>
      <c r="MI556" t="str">
        <f t="shared" si="3159"/>
        <v>0v6</v>
      </c>
      <c r="MJ556" t="str">
        <f t="shared" si="3159"/>
        <v>24v6</v>
      </c>
      <c r="MQ556">
        <f t="shared" si="3161"/>
        <v>1</v>
      </c>
      <c r="MR556">
        <f t="shared" si="3161"/>
        <v>2</v>
      </c>
      <c r="MS556" s="16"/>
    </row>
    <row r="557" spans="1:802" s="19" customFormat="1" ht="15.75" thickBot="1" x14ac:dyDescent="0.3">
      <c r="A557" s="19" t="s">
        <v>3126</v>
      </c>
      <c r="B557" s="19" t="s">
        <v>3133</v>
      </c>
      <c r="P557" s="19" t="s">
        <v>1873</v>
      </c>
      <c r="T557" s="17" t="s">
        <v>2724</v>
      </c>
      <c r="U557" s="19">
        <v>21</v>
      </c>
      <c r="AC557" s="19" t="str">
        <f t="shared" si="3157"/>
        <v>A5.4</v>
      </c>
      <c r="AD557" s="68" cm="1">
        <f t="array" ref="AD557">IF(COUNTIFS(AC$341:AC557,AC557)=1,"1",VALUE(SUBSTITUTE(INDEX(AD:AD,_xlfn.XMATCH(AC557,AC$1:AC556,0,-1)),"A",""))+INDEX(AE:AE,_xlfn.XMATCH(AC557,AC$1:AC556,0,-1))+1)</f>
        <v>24</v>
      </c>
      <c r="AE557" s="68" cm="1">
        <f t="array" ref="AE557">SUM(IF(ISNUMBER(FIND("TmDi",$BE$1:$AAL$1)),IF(IFERROR(ISNUMBER(VALUE(SUBSTITUTE($BE557:$AAL557,"B",""))),FALSE),IF(ISNUMBER(VALUE(SUBSTITUTE($BE557:$AAL557,"B",""))),1,0),0)))</f>
        <v>0</v>
      </c>
      <c r="AF557" s="19" t="str">
        <f t="shared" si="3155"/>
        <v>C24</v>
      </c>
      <c r="AG557" s="19" t="str">
        <f t="shared" si="3156"/>
        <v>B24</v>
      </c>
      <c r="AI557" s="74"/>
      <c r="AJ557" s="74"/>
      <c r="AP557" s="19" t="s">
        <v>2727</v>
      </c>
      <c r="AT557" s="19" t="s">
        <v>854</v>
      </c>
      <c r="AU557" s="19" t="s">
        <v>1399</v>
      </c>
      <c r="LT557" s="28"/>
      <c r="LY557" s="19" t="str">
        <f t="shared" si="3158"/>
        <v>DI4-C24</v>
      </c>
      <c r="MA557" s="19" t="s">
        <v>1899</v>
      </c>
      <c r="MB557" s="19" t="s">
        <v>1900</v>
      </c>
      <c r="MC557" s="19">
        <f t="shared" si="3160"/>
        <v>11</v>
      </c>
      <c r="MD557" s="19">
        <f t="shared" si="3159"/>
        <v>14</v>
      </c>
      <c r="ME557" s="19" t="str">
        <f t="shared" si="3159"/>
        <v>A1</v>
      </c>
      <c r="MF557" s="19" t="str">
        <f t="shared" si="3159"/>
        <v>A2</v>
      </c>
      <c r="MG557" s="19" t="str">
        <f t="shared" si="3159"/>
        <v>0v3</v>
      </c>
      <c r="MH557" s="19" t="str">
        <f t="shared" si="3159"/>
        <v>24v3</v>
      </c>
      <c r="MI557" s="19" t="str">
        <f t="shared" si="3159"/>
        <v>0v6</v>
      </c>
      <c r="MJ557" s="19" t="str">
        <f t="shared" si="3159"/>
        <v>24v6</v>
      </c>
      <c r="MQ557" s="19">
        <f t="shared" si="3161"/>
        <v>1</v>
      </c>
      <c r="MR557" s="19">
        <f t="shared" si="3161"/>
        <v>2</v>
      </c>
      <c r="MS557" s="20"/>
    </row>
  </sheetData>
  <autoFilter ref="P1:P326" xr:uid="{00000000-0001-0000-0000-000000000000}"/>
  <customSheetViews>
    <customSheetView guid="{FF0A9AC6-3E8C-4AE0-B1AB-88458BDDC2AD}" scale="70" filter="1" showAutoFilter="1" hiddenColumns="1">
      <pane ySplit="1" topLeftCell="A43" activePane="bottomLeft" state="frozen"/>
      <selection pane="bottomLeft" activeCell="P45" sqref="P45"/>
      <pageMargins left="0.7" right="0.7" top="0.75" bottom="0.75" header="0.3" footer="0.3"/>
      <autoFilter ref="P1:P44" xr:uid="{80923097-3496-4E31-B6A2-84CCEF64FDAC}">
        <filterColumn colId="0">
          <filters>
            <filter val="se0004"/>
          </filters>
        </filterColumn>
      </autoFilter>
    </customSheetView>
    <customSheetView guid="{C835B057-266C-4AD9-BD8A-E692A165D221}" scale="70" filter="1" showAutoFilter="1" hiddenColumns="1">
      <selection activeCell="B7" sqref="B7"/>
      <pageMargins left="0.7" right="0.7" top="0.75" bottom="0.75" header="0.3" footer="0.3"/>
      <autoFilter ref="P1:P42" xr:uid="{4BB07F96-05B7-4351-AEE6-3EECA0ABEC33}">
        <filterColumn colId="0">
          <filters>
            <filter val="se0001"/>
            <filter val="se0002"/>
          </filters>
        </filterColumn>
      </autoFilter>
    </customSheetView>
    <customSheetView guid="{A7A1A132-6B40-4748-B234-5C4C7FE3C00A}" scale="70" filter="1" showAutoFilter="1" hiddenColumns="1">
      <selection activeCell="Z38" sqref="Z38"/>
      <pageMargins left="0.7" right="0.7" top="0.75" bottom="0.75" header="0.3" footer="0.3"/>
      <autoFilter ref="P1:P42" xr:uid="{52085A8B-CB54-4790-9285-9A652DBC7BA7}">
        <filterColumn colId="0">
          <filters>
            <filter val="se0003"/>
          </filters>
        </filterColumn>
      </autoFilter>
    </customSheetView>
    <customSheetView guid="{2AA7760F-427D-46EA-9E7F-EB5415B3542C}" scale="70" filter="1" showAutoFilter="1" hiddenColumns="1" topLeftCell="A105">
      <selection activeCell="V58" sqref="V58"/>
      <pageMargins left="0.7" right="0.7" top="0.75" bottom="0.75" header="0.3" footer="0.3"/>
      <autoFilter ref="P1:P152" xr:uid="{B271B3CB-E237-417F-A2C8-2266566E790E}">
        <filterColumn colId="0">
          <filters>
            <filter val="se0005"/>
            <filter val="se0006"/>
            <filter val="se0007"/>
          </filters>
        </filterColumn>
      </autoFilter>
    </customSheetView>
    <customSheetView guid="{6000112E-A5E6-4231-BD98-47DC722AA734}" scale="70" filter="1" showAutoFilter="1" hiddenColumns="1">
      <pane ySplit="1" topLeftCell="A169" activePane="bottomLeft" state="frozen"/>
      <selection pane="bottomLeft" activeCell="P169" sqref="P169"/>
      <pageMargins left="0.7" right="0.7" top="0.75" bottom="0.75" header="0.3" footer="0.3"/>
      <autoFilter ref="P1:P186" xr:uid="{FE69C64A-5DE1-493E-A9D5-2ACAF1C05917}">
        <filterColumn colId="0">
          <filters>
            <filter val="se0008"/>
          </filters>
        </filterColumn>
      </autoFilter>
    </customSheetView>
    <customSheetView guid="{7FEA431A-A608-4A51-A317-26884A517696}" scale="85" filter="1" showAutoFilter="1" hiddenColumns="1">
      <pane ySplit="54" topLeftCell="A170" activePane="bottomLeft" state="frozen"/>
      <selection pane="bottomLeft" activeCell="Y178" sqref="Y178"/>
      <pageMargins left="0.7" right="0.7" top="0.75" bottom="0.75" header="0.3" footer="0.3"/>
      <autoFilter ref="P1:P186" xr:uid="{A7A7620C-89EA-4EA4-8053-8650607597A6}">
        <filterColumn colId="0">
          <filters>
            <filter val="se0009"/>
          </filters>
        </filterColumn>
      </autoFilter>
    </customSheetView>
    <customSheetView guid="{9CAC7FA4-7183-4976-BDEB-B1D0832FBE64}" scale="70" showAutoFilter="1" hiddenColumns="1">
      <selection activeCell="P17" sqref="P17"/>
      <pageMargins left="0.7" right="0.7" top="0.75" bottom="0.75" header="0.3" footer="0.3"/>
      <autoFilter ref="P1:P186" xr:uid="{0D40AB07-DE55-4FD9-AAD2-35951A157879}"/>
    </customSheetView>
  </customSheetViews>
  <phoneticPr fontId="5" type="noConversion"/>
  <conditionalFormatting sqref="A1:A32">
    <cfRule type="duplicateValues" dxfId="42" priority="41"/>
  </conditionalFormatting>
  <conditionalFormatting sqref="A320:A322 A221:A224 A1:A32 A226:A227 A324:A326 A332:A351 A368:A378 A380 A382:A425 A446:A448 A503:A509 A527:A547 A550:A1048576 A283:A317">
    <cfRule type="duplicateValues" dxfId="41" priority="40"/>
  </conditionalFormatting>
  <conditionalFormatting sqref="A283:A285">
    <cfRule type="duplicateValues" dxfId="40" priority="31"/>
  </conditionalFormatting>
  <conditionalFormatting sqref="A449">
    <cfRule type="duplicateValues" dxfId="39" priority="13"/>
    <cfRule type="duplicateValues" dxfId="38" priority="14"/>
  </conditionalFormatting>
  <conditionalFormatting sqref="B327:B345 B1:B56 B221:B229 B347:B348 B352:B365 B367 B370:B378 B446 B449:B501 B503:B526 B540:B545 B551:B1048576 B267:B315">
    <cfRule type="duplicateValues" dxfId="37" priority="50"/>
  </conditionalFormatting>
  <conditionalFormatting sqref="V316:W1048576 V1:W220">
    <cfRule type="duplicateValues" dxfId="36" priority="36"/>
  </conditionalFormatting>
  <conditionalFormatting sqref="V493:W496 V187 V192 V197 V202 W34 W43:W55 V316:V326 V327:W328 V329:V425 V430 V435 V440 W426:W445 V497:V498 V499:W499 V445:V492 V500:V516 V517:W518 V519:V1048576 V1:V182 W183:W220">
    <cfRule type="duplicateValues" dxfId="35" priority="38"/>
  </conditionalFormatting>
  <conditionalFormatting sqref="Y1:Y1048576">
    <cfRule type="cellIs" dxfId="34" priority="5" operator="greaterThan">
      <formula>8</formula>
    </cfRule>
    <cfRule type="cellIs" dxfId="33" priority="37" operator="equal">
      <formula>"Y:Y+Z:Z&gt;8"</formula>
    </cfRule>
  </conditionalFormatting>
  <conditionalFormatting sqref="AD1 AD267:AD306">
    <cfRule type="cellIs" dxfId="32" priority="35" operator="equal">
      <formula>"Y:Y+Z:Z&gt;8"</formula>
    </cfRule>
  </conditionalFormatting>
  <conditionalFormatting sqref="AD318:AD319">
    <cfRule type="cellIs" dxfId="31" priority="30" operator="equal">
      <formula>"Y:Y+Z:Z&gt;8"</formula>
    </cfRule>
  </conditionalFormatting>
  <conditionalFormatting sqref="AD325:AD340">
    <cfRule type="cellIs" dxfId="30" priority="24" operator="equal">
      <formula>"Y:Y+Z:Z&gt;8"</formula>
    </cfRule>
  </conditionalFormatting>
  <conditionalFormatting sqref="AD370:AD378">
    <cfRule type="cellIs" dxfId="29" priority="23" operator="equal">
      <formula>"Y:Y+Z:Z&gt;8"</formula>
    </cfRule>
  </conditionalFormatting>
  <conditionalFormatting sqref="AD450:AD501">
    <cfRule type="cellIs" dxfId="28" priority="18" operator="equal">
      <formula>"Y:Y+Z:Z&gt;8"</formula>
    </cfRule>
  </conditionalFormatting>
  <conditionalFormatting sqref="AD510:AD526">
    <cfRule type="cellIs" dxfId="27" priority="12" operator="equal">
      <formula>"Y:Y+Z:Z&gt;8"</formula>
    </cfRule>
  </conditionalFormatting>
  <conditionalFormatting sqref="AD541">
    <cfRule type="cellIs" dxfId="26" priority="9" operator="equal">
      <formula>"Y:Y+Z:Z&gt;8"</formula>
    </cfRule>
  </conditionalFormatting>
  <conditionalFormatting sqref="AD544">
    <cfRule type="cellIs" dxfId="25" priority="8" operator="equal">
      <formula>"Y:Y+Z:Z&gt;8"</formula>
    </cfRule>
  </conditionalFormatting>
  <conditionalFormatting sqref="AD550">
    <cfRule type="cellIs" dxfId="24" priority="7" operator="equal">
      <formula>"Y:Y+Z:Z&gt;8"</formula>
    </cfRule>
  </conditionalFormatting>
  <conditionalFormatting sqref="AI1">
    <cfRule type="cellIs" dxfId="23" priority="32" operator="equal">
      <formula>"Y:Y+Z:Z&gt;8"</formula>
    </cfRule>
  </conditionalFormatting>
  <conditionalFormatting sqref="AI267:AI285">
    <cfRule type="cellIs" dxfId="22" priority="33" operator="equal">
      <formula>"Y:Y+Z:Z&gt;8"</formula>
    </cfRule>
  </conditionalFormatting>
  <conditionalFormatting sqref="AI327:AI331">
    <cfRule type="cellIs" dxfId="21" priority="25" operator="equal">
      <formula>"Y:Y+Z:Z&gt;8"</formula>
    </cfRule>
  </conditionalFormatting>
  <conditionalFormatting sqref="AI450">
    <cfRule type="cellIs" dxfId="20" priority="19" operator="equal">
      <formula>"Y:Y+Z:Z&gt;8"</formula>
    </cfRule>
  </conditionalFormatting>
  <conditionalFormatting sqref="V221:V222 W223:W224">
    <cfRule type="duplicateValues" dxfId="19" priority="4"/>
  </conditionalFormatting>
  <conditionalFormatting sqref="V221:W224">
    <cfRule type="duplicateValues" dxfId="18" priority="3"/>
  </conditionalFormatting>
  <conditionalFormatting sqref="W225:W229 V267:W267 V268 V269:W269 V271:W271 V273:W273 V275:W275 V277:W277 V279:W279 V281:W281 V270 V272 V274 V276 V278 V280 V225:V266 V282:V315">
    <cfRule type="duplicateValues" dxfId="17" priority="108"/>
  </conditionalFormatting>
  <conditionalFormatting sqref="V231 V225:W230 V232:W315">
    <cfRule type="duplicateValues" dxfId="16" priority="127"/>
  </conditionalFormatting>
  <pageMargins left="0.7" right="0.7" top="0.75" bottom="0.75" header="0.3" footer="0.3"/>
  <pageSetup paperSize="9" orientation="portrait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4B05E-3736-4B5D-8254-5BA2EB9AB999}">
  <dimension ref="A1:UF306"/>
  <sheetViews>
    <sheetView zoomScale="70" zoomScaleNormal="70" workbookViewId="0">
      <pane ySplit="1" topLeftCell="A284" activePane="bottomLeft" state="frozen"/>
      <selection pane="bottomLeft" activeCell="V309" sqref="V309"/>
    </sheetView>
  </sheetViews>
  <sheetFormatPr defaultRowHeight="15" x14ac:dyDescent="0.25"/>
  <cols>
    <col min="1" max="1" width="19.140625" bestFit="1" customWidth="1"/>
    <col min="2" max="2" width="90.28515625" bestFit="1" customWidth="1"/>
    <col min="3" max="3" width="29.140625" bestFit="1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2" width="13.140625" bestFit="1" customWidth="1"/>
    <col min="23" max="23" width="14.85546875" bestFit="1" customWidth="1"/>
    <col min="24" max="24" width="7.7109375" bestFit="1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6.28515625" customWidth="1"/>
    <col min="30" max="30" width="9.140625" bestFit="1" customWidth="1"/>
    <col min="31" max="31" width="8.140625" bestFit="1" customWidth="1"/>
    <col min="32" max="32" width="7.28515625" customWidth="1"/>
    <col min="33" max="33" width="7.7109375" customWidth="1"/>
    <col min="34" max="34" width="6.42578125" customWidth="1"/>
    <col min="35" max="35" width="9.7109375" bestFit="1" customWidth="1"/>
    <col min="36" max="36" width="8.7109375" bestFit="1" customWidth="1"/>
    <col min="37" max="37" width="7.85546875" customWidth="1"/>
    <col min="38" max="38" width="8.28515625" customWidth="1"/>
    <col min="39" max="39" width="5.42578125" customWidth="1"/>
    <col min="40" max="41" width="6.42578125" customWidth="1"/>
    <col min="42" max="42" width="24.5703125" customWidth="1"/>
    <col min="43" max="43" width="52.28515625" customWidth="1"/>
    <col min="44" max="44" width="40.42578125" customWidth="1"/>
    <col min="45" max="45" width="12.140625" customWidth="1"/>
    <col min="46" max="46" width="26.42578125" customWidth="1"/>
    <col min="47" max="47" width="26.5703125" customWidth="1"/>
    <col min="48" max="48" width="3.140625" customWidth="1"/>
    <col min="49" max="49" width="4.28515625" customWidth="1"/>
    <col min="50" max="50" width="3.85546875" customWidth="1"/>
    <col min="51" max="51" width="5" customWidth="1"/>
    <col min="52" max="52" width="6" customWidth="1"/>
    <col min="53" max="53" width="5.7109375" customWidth="1"/>
    <col min="54" max="54" width="5.28515625" customWidth="1"/>
    <col min="55" max="55" width="6.28515625" customWidth="1"/>
    <col min="56" max="56" width="7.7109375" bestFit="1" customWidth="1"/>
    <col min="57" max="57" width="6.42578125" bestFit="1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28515625" customWidth="1"/>
    <col min="65" max="65" width="7.7109375" customWidth="1"/>
    <col min="66" max="66" width="7.28515625" customWidth="1"/>
    <col min="67" max="67" width="7.7109375" customWidth="1"/>
    <col min="68" max="68" width="7.85546875" customWidth="1"/>
    <col min="69" max="69" width="8.28515625" customWidth="1"/>
    <col min="70" max="70" width="7.85546875" customWidth="1"/>
    <col min="71" max="71" width="8.2851562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8.42578125" customWidth="1"/>
    <col min="81" max="81" width="8.7109375" customWidth="1"/>
    <col min="82" max="82" width="8.42578125" customWidth="1"/>
    <col min="83" max="83" width="8.7109375" customWidth="1"/>
    <col min="84" max="84" width="9" customWidth="1"/>
    <col min="85" max="85" width="9.28515625" customWidth="1"/>
    <col min="86" max="86" width="9" customWidth="1"/>
    <col min="87" max="87" width="9.28515625" customWidth="1"/>
    <col min="88" max="88" width="9" customWidth="1"/>
    <col min="89" max="89" width="9.28515625" customWidth="1"/>
    <col min="90" max="98" width="7.140625" customWidth="1"/>
    <col min="99" max="102" width="9.7109375" customWidth="1"/>
    <col min="103" max="103" width="10.7109375" customWidth="1"/>
    <col min="104" max="104" width="8.7109375" customWidth="1"/>
    <col min="105" max="105" width="11.7109375" customWidth="1"/>
    <col min="106" max="106" width="12.42578125" customWidth="1"/>
    <col min="107" max="108" width="9.7109375" customWidth="1"/>
    <col min="109" max="112" width="10.7109375" customWidth="1"/>
    <col min="113" max="114" width="3.5703125" customWidth="1"/>
    <col min="115" max="117" width="3.42578125" customWidth="1"/>
    <col min="118" max="118" width="4.42578125" customWidth="1"/>
    <col min="119" max="119" width="4.7109375" customWidth="1"/>
    <col min="120" max="128" width="5.28515625" customWidth="1"/>
    <col min="129" max="133" width="6.28515625" customWidth="1"/>
    <col min="134" max="142" width="5.42578125" customWidth="1"/>
    <col min="143" max="147" width="6.42578125" customWidth="1"/>
    <col min="148" max="169" width="9.140625" customWidth="1"/>
    <col min="170" max="171" width="10.7109375" bestFit="1" customWidth="1"/>
    <col min="172" max="173" width="9.5703125" bestFit="1" customWidth="1"/>
    <col min="174" max="175" width="10.5703125" bestFit="1" customWidth="1"/>
    <col min="176" max="176" width="12.85546875" bestFit="1" customWidth="1"/>
    <col min="177" max="177" width="13.42578125" bestFit="1" customWidth="1"/>
    <col min="178" max="179" width="3.5703125" bestFit="1" customWidth="1"/>
    <col min="180" max="181" width="3.42578125" bestFit="1" customWidth="1"/>
    <col min="182" max="182" width="4" bestFit="1" customWidth="1"/>
    <col min="183" max="183" width="4.42578125" bestFit="1" customWidth="1"/>
    <col min="184" max="197" width="5.28515625" bestFit="1" customWidth="1"/>
    <col min="198" max="201" width="6.42578125" bestFit="1" customWidth="1"/>
    <col min="202" max="240" width="9.140625" customWidth="1"/>
    <col min="241" max="249" width="14.42578125" customWidth="1"/>
    <col min="250" max="250" width="11.7109375" customWidth="1"/>
    <col min="251" max="251" width="12.42578125" customWidth="1"/>
    <col min="252" max="288" width="9.140625" customWidth="1"/>
    <col min="289" max="289" width="11.7109375" bestFit="1" customWidth="1"/>
    <col min="290" max="290" width="11.5703125" bestFit="1" customWidth="1"/>
    <col min="291" max="291" width="11.7109375" bestFit="1" customWidth="1"/>
    <col min="292" max="292" width="11.5703125" bestFit="1" customWidth="1"/>
    <col min="293" max="294" width="11.5703125" customWidth="1"/>
    <col min="295" max="299" width="5.140625" customWidth="1"/>
    <col min="300" max="306" width="9.140625" customWidth="1"/>
    <col min="307" max="308" width="10.5703125" customWidth="1"/>
    <col min="309" max="325" width="9.140625" customWidth="1"/>
    <col min="327" max="328" width="10.5703125" bestFit="1" customWidth="1"/>
    <col min="356" max="356" width="9.5703125" customWidth="1"/>
    <col min="376" max="376" width="14.5703125" bestFit="1" customWidth="1"/>
    <col min="380" max="380" width="12" bestFit="1" customWidth="1"/>
    <col min="395" max="395" width="5.42578125" bestFit="1" customWidth="1"/>
    <col min="396" max="399" width="5.42578125" customWidth="1"/>
    <col min="400" max="400" width="7.28515625" bestFit="1" customWidth="1"/>
    <col min="401" max="401" width="7.7109375" bestFit="1" customWidth="1"/>
    <col min="402" max="409" width="7.7109375" customWidth="1"/>
    <col min="410" max="410" width="11.7109375" bestFit="1" customWidth="1"/>
    <col min="411" max="411" width="11.5703125" bestFit="1" customWidth="1"/>
    <col min="412" max="412" width="11.7109375" bestFit="1" customWidth="1"/>
    <col min="413" max="413" width="11.5703125" bestFit="1" customWidth="1"/>
    <col min="414" max="421" width="11.5703125" customWidth="1"/>
    <col min="422" max="422" width="7.7109375" bestFit="1" customWidth="1"/>
    <col min="423" max="426" width="5.28515625" bestFit="1" customWidth="1"/>
    <col min="427" max="430" width="5.28515625" customWidth="1"/>
    <col min="431" max="431" width="4.42578125" bestFit="1" customWidth="1"/>
    <col min="432" max="432" width="4" bestFit="1" customWidth="1"/>
    <col min="433" max="433" width="4.42578125" bestFit="1" customWidth="1"/>
    <col min="434" max="434" width="4" bestFit="1" customWidth="1"/>
    <col min="435" max="436" width="4.85546875" bestFit="1" customWidth="1"/>
    <col min="437" max="439" width="5.28515625" bestFit="1" customWidth="1"/>
    <col min="463" max="463" width="10.5703125" bestFit="1" customWidth="1"/>
    <col min="464" max="464" width="10.7109375" bestFit="1" customWidth="1"/>
    <col min="465" max="465" width="10.5703125" bestFit="1" customWidth="1"/>
    <col min="466" max="466" width="10.7109375" bestFit="1" customWidth="1"/>
    <col min="467" max="467" width="10.5703125" bestFit="1" customWidth="1"/>
    <col min="468" max="468" width="10.7109375" bestFit="1" customWidth="1"/>
    <col min="469" max="469" width="11.5703125" bestFit="1" customWidth="1"/>
    <col min="470" max="470" width="11.7109375" bestFit="1" customWidth="1"/>
    <col min="471" max="471" width="11.5703125" bestFit="1" customWidth="1"/>
    <col min="472" max="472" width="11.7109375" bestFit="1" customWidth="1"/>
    <col min="473" max="473" width="11.5703125" bestFit="1" customWidth="1"/>
    <col min="474" max="474" width="11.7109375" customWidth="1"/>
    <col min="475" max="475" width="10.5703125" bestFit="1" customWidth="1"/>
    <col min="476" max="476" width="10.7109375" customWidth="1"/>
    <col min="477" max="477" width="10.5703125" bestFit="1" customWidth="1"/>
    <col min="478" max="478" width="10.7109375" bestFit="1" customWidth="1"/>
    <col min="479" max="479" width="10.5703125" bestFit="1" customWidth="1"/>
    <col min="480" max="480" width="10.7109375" bestFit="1" customWidth="1"/>
    <col min="481" max="481" width="10.5703125" bestFit="1" customWidth="1"/>
    <col min="482" max="482" width="10.7109375" bestFit="1" customWidth="1"/>
    <col min="483" max="483" width="10.5703125" bestFit="1" customWidth="1"/>
    <col min="484" max="484" width="10.7109375" bestFit="1" customWidth="1"/>
    <col min="485" max="485" width="11.5703125" bestFit="1" customWidth="1"/>
    <col min="486" max="486" width="11.7109375" bestFit="1" customWidth="1"/>
    <col min="537" max="537" width="8" bestFit="1" customWidth="1"/>
    <col min="538" max="538" width="9" bestFit="1" customWidth="1"/>
    <col min="539" max="539" width="8.85546875" bestFit="1" customWidth="1"/>
    <col min="540" max="540" width="10" bestFit="1" customWidth="1"/>
    <col min="541" max="541" width="14.42578125" bestFit="1" customWidth="1"/>
    <col min="542" max="542" width="9.7109375" bestFit="1" customWidth="1"/>
    <col min="543" max="543" width="9.5703125" bestFit="1" customWidth="1"/>
    <col min="544" max="544" width="10.7109375" bestFit="1" customWidth="1"/>
    <col min="545" max="545" width="6.42578125" bestFit="1" customWidth="1"/>
  </cols>
  <sheetData>
    <row r="1" spans="1:552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5" t="s">
        <v>1789</v>
      </c>
      <c r="AE1" s="5" t="s">
        <v>1790</v>
      </c>
      <c r="AF1" s="5" t="s">
        <v>23</v>
      </c>
      <c r="AG1" s="5" t="s">
        <v>24</v>
      </c>
      <c r="AH1" s="8" t="s">
        <v>22</v>
      </c>
      <c r="AI1" s="5" t="s">
        <v>1791</v>
      </c>
      <c r="AJ1" s="5" t="s">
        <v>1792</v>
      </c>
      <c r="AK1" s="5" t="s">
        <v>25</v>
      </c>
      <c r="AL1" s="5" t="s">
        <v>26</v>
      </c>
      <c r="AM1" s="8" t="s">
        <v>31</v>
      </c>
      <c r="AN1" s="8" t="s">
        <v>283</v>
      </c>
      <c r="AO1" s="8" t="s">
        <v>284</v>
      </c>
      <c r="AP1" s="8" t="s">
        <v>27</v>
      </c>
      <c r="AQ1" s="8" t="s">
        <v>28</v>
      </c>
      <c r="AR1" s="8" t="s">
        <v>301</v>
      </c>
      <c r="AS1" s="8" t="s">
        <v>395</v>
      </c>
      <c r="AT1" s="8" t="s">
        <v>29</v>
      </c>
      <c r="AU1" s="8" t="s">
        <v>30</v>
      </c>
      <c r="AV1" s="26" t="s">
        <v>32</v>
      </c>
      <c r="AW1" s="26" t="s">
        <v>33</v>
      </c>
      <c r="AX1" s="26" t="s">
        <v>34</v>
      </c>
      <c r="AY1" s="26" t="s">
        <v>303</v>
      </c>
      <c r="AZ1" s="26" t="s">
        <v>304</v>
      </c>
      <c r="BA1" s="26" t="s">
        <v>305</v>
      </c>
      <c r="BB1" s="26" t="s">
        <v>306</v>
      </c>
      <c r="BC1" s="26" t="s">
        <v>307</v>
      </c>
      <c r="BD1" s="26" t="s">
        <v>308</v>
      </c>
      <c r="BE1" s="5" t="s">
        <v>35</v>
      </c>
      <c r="BF1" s="5" t="s">
        <v>36</v>
      </c>
      <c r="BG1" s="5" t="s">
        <v>37</v>
      </c>
      <c r="BH1" s="5" t="s">
        <v>38</v>
      </c>
      <c r="BI1" s="5" t="s">
        <v>39</v>
      </c>
      <c r="BJ1" s="5" t="s">
        <v>40</v>
      </c>
      <c r="BK1" s="5" t="s">
        <v>41</v>
      </c>
      <c r="BL1" s="5" t="s">
        <v>42</v>
      </c>
      <c r="BM1" s="5" t="s">
        <v>43</v>
      </c>
      <c r="BN1" s="5" t="s">
        <v>44</v>
      </c>
      <c r="BO1" s="5" t="s">
        <v>45</v>
      </c>
      <c r="BP1" s="5" t="s">
        <v>46</v>
      </c>
      <c r="BQ1" s="5" t="s">
        <v>47</v>
      </c>
      <c r="BR1" s="5" t="s">
        <v>48</v>
      </c>
      <c r="BS1" s="5" t="s">
        <v>49</v>
      </c>
      <c r="BT1" s="5" t="s">
        <v>50</v>
      </c>
      <c r="BU1" s="5" t="s">
        <v>51</v>
      </c>
      <c r="BV1" s="5" t="s">
        <v>52</v>
      </c>
      <c r="BW1" s="5" t="s">
        <v>53</v>
      </c>
      <c r="BX1" s="5" t="s">
        <v>54</v>
      </c>
      <c r="BY1" s="5" t="s">
        <v>55</v>
      </c>
      <c r="BZ1" s="5" t="s">
        <v>56</v>
      </c>
      <c r="CA1" s="5" t="s">
        <v>57</v>
      </c>
      <c r="CB1" s="5" t="s">
        <v>58</v>
      </c>
      <c r="CC1" s="5" t="s">
        <v>59</v>
      </c>
      <c r="CD1" s="5" t="s">
        <v>60</v>
      </c>
      <c r="CE1" s="5" t="s">
        <v>61</v>
      </c>
      <c r="CF1" s="5" t="s">
        <v>62</v>
      </c>
      <c r="CG1" s="5" t="s">
        <v>63</v>
      </c>
      <c r="CH1" s="5" t="s">
        <v>64</v>
      </c>
      <c r="CI1" s="5" t="s">
        <v>65</v>
      </c>
      <c r="CJ1" s="5" t="s">
        <v>66</v>
      </c>
      <c r="CK1" s="5" t="s">
        <v>67</v>
      </c>
      <c r="CL1" s="5" t="s">
        <v>73</v>
      </c>
      <c r="CM1" s="5" t="s">
        <v>74</v>
      </c>
      <c r="CN1" s="5" t="s">
        <v>75</v>
      </c>
      <c r="CO1" s="5" t="s">
        <v>76</v>
      </c>
      <c r="CP1" s="5" t="s">
        <v>77</v>
      </c>
      <c r="CQ1" s="5" t="s">
        <v>78</v>
      </c>
      <c r="CR1" s="5" t="s">
        <v>79</v>
      </c>
      <c r="CS1" s="5" t="s">
        <v>80</v>
      </c>
      <c r="CT1" s="5" t="s">
        <v>81</v>
      </c>
      <c r="CU1" s="5" t="s">
        <v>82</v>
      </c>
      <c r="CV1" s="5" t="s">
        <v>83</v>
      </c>
      <c r="CW1" s="5" t="s">
        <v>84</v>
      </c>
      <c r="CX1" s="5" t="s">
        <v>85</v>
      </c>
      <c r="CY1" s="5" t="s">
        <v>86</v>
      </c>
      <c r="CZ1" s="5" t="s">
        <v>87</v>
      </c>
      <c r="DA1" s="5" t="s">
        <v>88</v>
      </c>
      <c r="DB1" s="5" t="s">
        <v>89</v>
      </c>
      <c r="DC1" s="5" t="s">
        <v>90</v>
      </c>
      <c r="DD1" s="5" t="s">
        <v>91</v>
      </c>
      <c r="DE1" s="5" t="s">
        <v>92</v>
      </c>
      <c r="DF1" s="5" t="s">
        <v>93</v>
      </c>
      <c r="DG1" s="5" t="s">
        <v>94</v>
      </c>
      <c r="DH1" s="5" t="s">
        <v>95</v>
      </c>
      <c r="DI1" s="5" t="s">
        <v>68</v>
      </c>
      <c r="DJ1" s="5" t="s">
        <v>69</v>
      </c>
      <c r="DK1" s="5" t="s">
        <v>70</v>
      </c>
      <c r="DL1" s="5" t="s">
        <v>71</v>
      </c>
      <c r="DM1" s="5" t="s">
        <v>72</v>
      </c>
      <c r="DN1" s="5" t="s">
        <v>96</v>
      </c>
      <c r="DO1" s="5" t="s">
        <v>97</v>
      </c>
      <c r="DP1" s="5" t="s">
        <v>98</v>
      </c>
      <c r="DQ1" s="5" t="s">
        <v>99</v>
      </c>
      <c r="DR1" s="5" t="s">
        <v>100</v>
      </c>
      <c r="DS1" s="5" t="s">
        <v>101</v>
      </c>
      <c r="DT1" s="5" t="s">
        <v>102</v>
      </c>
      <c r="DU1" s="5" t="s">
        <v>103</v>
      </c>
      <c r="DV1" s="5" t="s">
        <v>104</v>
      </c>
      <c r="DW1" s="5" t="s">
        <v>105</v>
      </c>
      <c r="DX1" s="5" t="s">
        <v>106</v>
      </c>
      <c r="DY1" s="5" t="s">
        <v>107</v>
      </c>
      <c r="DZ1" s="5" t="s">
        <v>108</v>
      </c>
      <c r="EA1" s="5" t="s">
        <v>109</v>
      </c>
      <c r="EB1" s="5" t="s">
        <v>110</v>
      </c>
      <c r="EC1" s="5" t="s">
        <v>111</v>
      </c>
      <c r="ED1" s="5" t="s">
        <v>112</v>
      </c>
      <c r="EE1" s="5" t="s">
        <v>113</v>
      </c>
      <c r="EF1" s="5" t="s">
        <v>114</v>
      </c>
      <c r="EG1" s="5" t="s">
        <v>115</v>
      </c>
      <c r="EH1" s="5" t="s">
        <v>116</v>
      </c>
      <c r="EI1" s="5" t="s">
        <v>117</v>
      </c>
      <c r="EJ1" s="5" t="s">
        <v>118</v>
      </c>
      <c r="EK1" s="5" t="s">
        <v>119</v>
      </c>
      <c r="EL1" s="5" t="s">
        <v>120</v>
      </c>
      <c r="EM1" s="5" t="s">
        <v>121</v>
      </c>
      <c r="EN1" s="5" t="s">
        <v>122</v>
      </c>
      <c r="EO1" s="5" t="s">
        <v>123</v>
      </c>
      <c r="EP1" s="5" t="s">
        <v>124</v>
      </c>
      <c r="EQ1" s="9" t="s">
        <v>125</v>
      </c>
      <c r="ER1" s="5" t="s">
        <v>35</v>
      </c>
      <c r="ES1" s="5" t="s">
        <v>36</v>
      </c>
      <c r="ET1" s="5" t="s">
        <v>37</v>
      </c>
      <c r="EU1" s="5" t="s">
        <v>38</v>
      </c>
      <c r="EV1" s="5" t="s">
        <v>39</v>
      </c>
      <c r="EW1" s="5" t="s">
        <v>46</v>
      </c>
      <c r="EX1" s="5" t="s">
        <v>47</v>
      </c>
      <c r="EY1" s="5" t="s">
        <v>50</v>
      </c>
      <c r="EZ1" s="5" t="s">
        <v>51</v>
      </c>
      <c r="FA1" s="5" t="s">
        <v>52</v>
      </c>
      <c r="FB1" s="5" t="s">
        <v>53</v>
      </c>
      <c r="FC1" s="5" t="s">
        <v>54</v>
      </c>
      <c r="FD1" s="5" t="s">
        <v>55</v>
      </c>
      <c r="FE1" s="5" t="s">
        <v>62</v>
      </c>
      <c r="FF1" s="5" t="s">
        <v>63</v>
      </c>
      <c r="FG1" s="5" t="s">
        <v>64</v>
      </c>
      <c r="FH1" s="5" t="s">
        <v>65</v>
      </c>
      <c r="FI1" s="5" t="s">
        <v>73</v>
      </c>
      <c r="FJ1" s="5" t="s">
        <v>74</v>
      </c>
      <c r="FK1" s="5" t="s">
        <v>75</v>
      </c>
      <c r="FL1" s="5" t="s">
        <v>76</v>
      </c>
      <c r="FM1" s="5" t="s">
        <v>77</v>
      </c>
      <c r="FN1" s="5" t="s">
        <v>293</v>
      </c>
      <c r="FO1" s="5" t="s">
        <v>302</v>
      </c>
      <c r="FP1" s="5" t="s">
        <v>82</v>
      </c>
      <c r="FQ1" s="5" t="s">
        <v>83</v>
      </c>
      <c r="FR1" s="5" t="s">
        <v>84</v>
      </c>
      <c r="FS1" s="5" t="s">
        <v>85</v>
      </c>
      <c r="FT1" s="5" t="s">
        <v>86</v>
      </c>
      <c r="FU1" s="5" t="s">
        <v>87</v>
      </c>
      <c r="FV1" s="5" t="s">
        <v>68</v>
      </c>
      <c r="FW1" s="5" t="s">
        <v>69</v>
      </c>
      <c r="FX1" s="5" t="s">
        <v>70</v>
      </c>
      <c r="FY1" s="5" t="s">
        <v>71</v>
      </c>
      <c r="FZ1" s="5" t="s">
        <v>97</v>
      </c>
      <c r="GA1" s="5" t="s">
        <v>96</v>
      </c>
      <c r="GB1" s="5" t="s">
        <v>98</v>
      </c>
      <c r="GC1" s="5" t="s">
        <v>99</v>
      </c>
      <c r="GD1" s="5" t="s">
        <v>100</v>
      </c>
      <c r="GE1" s="5" t="s">
        <v>101</v>
      </c>
      <c r="GF1" s="5" t="s">
        <v>102</v>
      </c>
      <c r="GG1" s="5" t="s">
        <v>103</v>
      </c>
      <c r="GH1" s="5" t="s">
        <v>104</v>
      </c>
      <c r="GI1" s="5" t="s">
        <v>105</v>
      </c>
      <c r="GJ1" s="5" t="s">
        <v>106</v>
      </c>
      <c r="GK1" s="5" t="s">
        <v>294</v>
      </c>
      <c r="GL1" s="5" t="s">
        <v>295</v>
      </c>
      <c r="GM1" s="5" t="s">
        <v>296</v>
      </c>
      <c r="GN1" s="5" t="s">
        <v>297</v>
      </c>
      <c r="GO1" s="5" t="s">
        <v>298</v>
      </c>
      <c r="GP1" s="5" t="s">
        <v>122</v>
      </c>
      <c r="GQ1" s="5" t="s">
        <v>123</v>
      </c>
      <c r="GR1" s="5" t="s">
        <v>299</v>
      </c>
      <c r="GS1" s="31" t="s">
        <v>300</v>
      </c>
      <c r="GT1" s="4" t="s">
        <v>35</v>
      </c>
      <c r="GU1" s="5" t="s">
        <v>36</v>
      </c>
      <c r="GV1" s="5" t="s">
        <v>37</v>
      </c>
      <c r="GW1" s="5" t="s">
        <v>38</v>
      </c>
      <c r="GX1" s="5" t="s">
        <v>39</v>
      </c>
      <c r="GY1" s="5" t="s">
        <v>40</v>
      </c>
      <c r="GZ1" s="5" t="s">
        <v>41</v>
      </c>
      <c r="HA1" s="5" t="s">
        <v>42</v>
      </c>
      <c r="HB1" s="5" t="s">
        <v>43</v>
      </c>
      <c r="HC1" s="5" t="s">
        <v>44</v>
      </c>
      <c r="HD1" s="5" t="s">
        <v>45</v>
      </c>
      <c r="HE1" s="5" t="s">
        <v>46</v>
      </c>
      <c r="HF1" s="5" t="s">
        <v>47</v>
      </c>
      <c r="HG1" s="5" t="s">
        <v>401</v>
      </c>
      <c r="HH1" s="5" t="s">
        <v>402</v>
      </c>
      <c r="HI1" s="5" t="s">
        <v>50</v>
      </c>
      <c r="HJ1" s="5" t="s">
        <v>51</v>
      </c>
      <c r="HK1" s="5" t="s">
        <v>52</v>
      </c>
      <c r="HL1" s="5" t="s">
        <v>53</v>
      </c>
      <c r="HM1" s="5" t="s">
        <v>54</v>
      </c>
      <c r="HN1" s="5" t="s">
        <v>55</v>
      </c>
      <c r="HO1" s="5" t="s">
        <v>56</v>
      </c>
      <c r="HP1" s="5" t="s">
        <v>57</v>
      </c>
      <c r="HQ1" s="5" t="s">
        <v>58</v>
      </c>
      <c r="HR1" s="5" t="s">
        <v>59</v>
      </c>
      <c r="HS1" s="5" t="s">
        <v>60</v>
      </c>
      <c r="HT1" s="5" t="s">
        <v>61</v>
      </c>
      <c r="HU1" s="5" t="s">
        <v>62</v>
      </c>
      <c r="HV1" s="5" t="s">
        <v>63</v>
      </c>
      <c r="HW1" s="5" t="s">
        <v>64</v>
      </c>
      <c r="HX1" s="5" t="s">
        <v>65</v>
      </c>
      <c r="HY1" s="5" t="s">
        <v>73</v>
      </c>
      <c r="HZ1" s="5" t="s">
        <v>74</v>
      </c>
      <c r="IA1" s="5" t="s">
        <v>75</v>
      </c>
      <c r="IB1" s="5" t="s">
        <v>76</v>
      </c>
      <c r="IC1" s="5" t="s">
        <v>77</v>
      </c>
      <c r="ID1" s="5" t="s">
        <v>78</v>
      </c>
      <c r="IE1" s="5" t="s">
        <v>79</v>
      </c>
      <c r="IF1" s="5" t="s">
        <v>80</v>
      </c>
      <c r="IG1" s="5" t="s">
        <v>403</v>
      </c>
      <c r="IH1" s="5" t="s">
        <v>420</v>
      </c>
      <c r="II1" s="5" t="s">
        <v>404</v>
      </c>
      <c r="IJ1" s="5" t="s">
        <v>405</v>
      </c>
      <c r="IK1" s="5" t="s">
        <v>406</v>
      </c>
      <c r="IL1" s="5" t="s">
        <v>407</v>
      </c>
      <c r="IM1" s="5" t="s">
        <v>408</v>
      </c>
      <c r="IN1" s="5" t="s">
        <v>409</v>
      </c>
      <c r="IO1" s="5" t="s">
        <v>410</v>
      </c>
      <c r="IP1" s="5" t="s">
        <v>92</v>
      </c>
      <c r="IQ1" s="5" t="s">
        <v>93</v>
      </c>
      <c r="IR1" s="5" t="s">
        <v>68</v>
      </c>
      <c r="IS1" s="5" t="s">
        <v>69</v>
      </c>
      <c r="IT1" s="5" t="s">
        <v>70</v>
      </c>
      <c r="IU1" s="5" t="s">
        <v>71</v>
      </c>
      <c r="IV1" s="5" t="s">
        <v>411</v>
      </c>
      <c r="IW1" s="5" t="s">
        <v>412</v>
      </c>
      <c r="IX1" s="5" t="s">
        <v>98</v>
      </c>
      <c r="IY1" s="5" t="s">
        <v>99</v>
      </c>
      <c r="IZ1" s="5" t="s">
        <v>100</v>
      </c>
      <c r="JA1" s="5" t="s">
        <v>101</v>
      </c>
      <c r="JB1" s="5" t="s">
        <v>102</v>
      </c>
      <c r="JC1" s="5" t="s">
        <v>103</v>
      </c>
      <c r="JD1" s="5" t="s">
        <v>104</v>
      </c>
      <c r="JE1" s="5" t="s">
        <v>105</v>
      </c>
      <c r="JF1" s="5" t="s">
        <v>106</v>
      </c>
      <c r="JG1" s="5" t="s">
        <v>107</v>
      </c>
      <c r="JH1" s="5" t="s">
        <v>108</v>
      </c>
      <c r="JI1" s="5" t="s">
        <v>109</v>
      </c>
      <c r="JJ1" s="5" t="s">
        <v>110</v>
      </c>
      <c r="JK1" s="5" t="s">
        <v>111</v>
      </c>
      <c r="JL1" s="5" t="s">
        <v>112</v>
      </c>
      <c r="JM1" s="5" t="s">
        <v>113</v>
      </c>
      <c r="JN1" s="5" t="s">
        <v>114</v>
      </c>
      <c r="JO1" s="5" t="s">
        <v>115</v>
      </c>
      <c r="JP1" s="5" t="s">
        <v>116</v>
      </c>
      <c r="JQ1" s="5" t="s">
        <v>117</v>
      </c>
      <c r="JR1" s="5" t="s">
        <v>118</v>
      </c>
      <c r="JS1" s="5" t="s">
        <v>119</v>
      </c>
      <c r="JT1" s="5" t="s">
        <v>120</v>
      </c>
      <c r="JU1" s="5" t="s">
        <v>121</v>
      </c>
      <c r="JV1" s="5" t="s">
        <v>122</v>
      </c>
      <c r="JW1" s="5" t="s">
        <v>123</v>
      </c>
      <c r="JX1" s="5" t="s">
        <v>124</v>
      </c>
      <c r="JY1" s="9" t="s">
        <v>125</v>
      </c>
      <c r="JZ1" s="23" t="s">
        <v>35</v>
      </c>
      <c r="KA1" s="23" t="s">
        <v>557</v>
      </c>
      <c r="KB1" s="23" t="s">
        <v>558</v>
      </c>
      <c r="KC1" s="32" t="s">
        <v>401</v>
      </c>
      <c r="KD1" s="5" t="s">
        <v>402</v>
      </c>
      <c r="KE1" s="32" t="s">
        <v>555</v>
      </c>
      <c r="KF1" s="5" t="s">
        <v>556</v>
      </c>
      <c r="KG1" s="5" t="s">
        <v>412</v>
      </c>
      <c r="KH1" s="5" t="s">
        <v>411</v>
      </c>
      <c r="KI1" s="5" t="s">
        <v>98</v>
      </c>
      <c r="KJ1" s="5" t="s">
        <v>99</v>
      </c>
      <c r="KK1" s="5" t="s">
        <v>100</v>
      </c>
      <c r="KL1" s="5" t="s">
        <v>101</v>
      </c>
      <c r="KM1" s="5" t="s">
        <v>102</v>
      </c>
      <c r="KN1" s="30" t="s">
        <v>489</v>
      </c>
      <c r="KO1" s="35" t="s">
        <v>491</v>
      </c>
      <c r="KP1" s="30" t="s">
        <v>490</v>
      </c>
      <c r="KQ1" s="35" t="s">
        <v>553</v>
      </c>
      <c r="KR1" s="19" t="s">
        <v>549</v>
      </c>
      <c r="KS1" s="19" t="s">
        <v>550</v>
      </c>
      <c r="KT1" s="4" t="s">
        <v>35</v>
      </c>
      <c r="KU1" s="5" t="s">
        <v>855</v>
      </c>
      <c r="KV1" s="5" t="s">
        <v>404</v>
      </c>
      <c r="KW1" s="5" t="s">
        <v>73</v>
      </c>
      <c r="KX1" s="5" t="s">
        <v>70</v>
      </c>
      <c r="KY1" s="5" t="s">
        <v>71</v>
      </c>
      <c r="KZ1" s="5" t="s">
        <v>68</v>
      </c>
      <c r="LA1" s="5" t="s">
        <v>69</v>
      </c>
      <c r="LB1" s="5" t="s">
        <v>856</v>
      </c>
      <c r="LC1" s="5" t="s">
        <v>857</v>
      </c>
      <c r="LD1" s="5" t="s">
        <v>858</v>
      </c>
      <c r="LE1" s="5" t="s">
        <v>859</v>
      </c>
      <c r="LF1" s="5" t="s">
        <v>98</v>
      </c>
      <c r="LG1" s="5" t="s">
        <v>99</v>
      </c>
      <c r="LH1" s="5" t="s">
        <v>100</v>
      </c>
      <c r="LI1" s="5" t="s">
        <v>860</v>
      </c>
      <c r="LJ1" s="5" t="s">
        <v>861</v>
      </c>
      <c r="LK1" s="5" t="s">
        <v>862</v>
      </c>
      <c r="LL1" s="5" t="s">
        <v>863</v>
      </c>
      <c r="LM1" s="9" t="s">
        <v>864</v>
      </c>
      <c r="LN1" s="39" t="s">
        <v>35</v>
      </c>
      <c r="LO1" s="32" t="s">
        <v>401</v>
      </c>
      <c r="LP1" s="5" t="s">
        <v>402</v>
      </c>
      <c r="LQ1" s="5" t="s">
        <v>98</v>
      </c>
      <c r="LR1" s="5" t="s">
        <v>99</v>
      </c>
      <c r="LS1" s="5" t="s">
        <v>100</v>
      </c>
      <c r="LT1" s="37" t="s">
        <v>31</v>
      </c>
      <c r="LU1" s="30" t="s">
        <v>112</v>
      </c>
      <c r="LV1" s="38" t="s">
        <v>113</v>
      </c>
      <c r="LW1" s="4" t="s">
        <v>35</v>
      </c>
      <c r="LX1" s="5" t="s">
        <v>855</v>
      </c>
      <c r="LY1" s="5" t="s">
        <v>404</v>
      </c>
      <c r="LZ1" s="5" t="s">
        <v>73</v>
      </c>
      <c r="MA1" s="5" t="s">
        <v>70</v>
      </c>
      <c r="MB1" s="5" t="s">
        <v>71</v>
      </c>
      <c r="MC1" s="5" t="s">
        <v>68</v>
      </c>
      <c r="MD1" s="5" t="s">
        <v>69</v>
      </c>
      <c r="ME1" s="5" t="s">
        <v>856</v>
      </c>
      <c r="MF1" s="5" t="s">
        <v>857</v>
      </c>
      <c r="MG1" s="5" t="s">
        <v>858</v>
      </c>
      <c r="MH1" s="5" t="s">
        <v>859</v>
      </c>
      <c r="MI1" s="5" t="s">
        <v>98</v>
      </c>
      <c r="MJ1" s="5" t="s">
        <v>99</v>
      </c>
      <c r="MK1" s="5" t="s">
        <v>100</v>
      </c>
      <c r="ML1" s="5" t="s">
        <v>101</v>
      </c>
      <c r="MM1" s="5" t="s">
        <v>860</v>
      </c>
      <c r="MN1" s="5" t="s">
        <v>861</v>
      </c>
      <c r="MO1" s="5" t="s">
        <v>862</v>
      </c>
      <c r="MP1" s="5" t="s">
        <v>863</v>
      </c>
      <c r="MQ1" s="9" t="s">
        <v>864</v>
      </c>
      <c r="MR1" s="40" t="s">
        <v>924</v>
      </c>
      <c r="MS1" s="37" t="s">
        <v>925</v>
      </c>
      <c r="MT1" s="41" t="s">
        <v>928</v>
      </c>
      <c r="MU1" s="41" t="s">
        <v>929</v>
      </c>
      <c r="MV1" s="41" t="s">
        <v>930</v>
      </c>
      <c r="MW1" s="41" t="s">
        <v>35</v>
      </c>
      <c r="MX1" s="41" t="s">
        <v>37</v>
      </c>
      <c r="MY1" s="41" t="s">
        <v>36</v>
      </c>
      <c r="MZ1" s="41" t="s">
        <v>39</v>
      </c>
      <c r="NA1" s="41" t="s">
        <v>38</v>
      </c>
      <c r="NB1" s="41" t="s">
        <v>41</v>
      </c>
      <c r="NC1" s="41" t="s">
        <v>40</v>
      </c>
      <c r="ND1" s="41" t="s">
        <v>557</v>
      </c>
      <c r="NE1" s="41" t="s">
        <v>558</v>
      </c>
      <c r="NF1" s="5" t="s">
        <v>855</v>
      </c>
      <c r="NG1" s="5" t="s">
        <v>918</v>
      </c>
      <c r="NH1" s="5" t="s">
        <v>919</v>
      </c>
      <c r="NI1" s="5" t="s">
        <v>920</v>
      </c>
      <c r="NJ1" s="5" t="s">
        <v>921</v>
      </c>
      <c r="NK1" s="5" t="s">
        <v>922</v>
      </c>
      <c r="NL1" s="5" t="s">
        <v>923</v>
      </c>
      <c r="NM1" s="5" t="s">
        <v>404</v>
      </c>
      <c r="NN1" s="5" t="s">
        <v>405</v>
      </c>
      <c r="NO1" s="5" t="s">
        <v>406</v>
      </c>
      <c r="NP1" s="5" t="s">
        <v>407</v>
      </c>
      <c r="NQ1" s="5" t="s">
        <v>73</v>
      </c>
      <c r="NR1" s="5" t="s">
        <v>74</v>
      </c>
      <c r="NS1" s="5" t="s">
        <v>75</v>
      </c>
      <c r="NT1" s="5" t="s">
        <v>76</v>
      </c>
      <c r="NU1" s="5" t="s">
        <v>70</v>
      </c>
      <c r="NV1" s="5" t="s">
        <v>71</v>
      </c>
      <c r="NW1" s="5" t="s">
        <v>68</v>
      </c>
      <c r="NX1" s="5" t="s">
        <v>69</v>
      </c>
      <c r="NY1" s="5" t="s">
        <v>856</v>
      </c>
      <c r="NZ1" s="5" t="s">
        <v>857</v>
      </c>
      <c r="OA1" s="5" t="s">
        <v>858</v>
      </c>
      <c r="OB1" s="9" t="s">
        <v>859</v>
      </c>
      <c r="OC1" s="5" t="s">
        <v>953</v>
      </c>
      <c r="OD1" s="9" t="s">
        <v>954</v>
      </c>
      <c r="OE1" s="23" t="s">
        <v>35</v>
      </c>
      <c r="OF1" s="23" t="s">
        <v>924</v>
      </c>
      <c r="OG1" s="23" t="s">
        <v>925</v>
      </c>
      <c r="OH1" s="23" t="s">
        <v>1032</v>
      </c>
      <c r="OI1" s="23" t="s">
        <v>1033</v>
      </c>
      <c r="OJ1" s="23" t="s">
        <v>557</v>
      </c>
      <c r="OK1" s="23" t="s">
        <v>558</v>
      </c>
      <c r="OL1" s="23" t="s">
        <v>1015</v>
      </c>
      <c r="OM1" s="23" t="s">
        <v>1016</v>
      </c>
      <c r="ON1" s="23" t="s">
        <v>1017</v>
      </c>
      <c r="OO1" s="23" t="s">
        <v>1018</v>
      </c>
      <c r="OP1" s="23" t="s">
        <v>1036</v>
      </c>
      <c r="OQ1" s="23" t="s">
        <v>1037</v>
      </c>
      <c r="OR1" s="23" t="s">
        <v>1038</v>
      </c>
      <c r="OS1" s="23" t="s">
        <v>1039</v>
      </c>
      <c r="OT1" s="32" t="s">
        <v>401</v>
      </c>
      <c r="OU1" s="5" t="s">
        <v>402</v>
      </c>
      <c r="OV1" s="32" t="s">
        <v>555</v>
      </c>
      <c r="OW1" s="5" t="s">
        <v>556</v>
      </c>
      <c r="OX1" s="32" t="s">
        <v>1019</v>
      </c>
      <c r="OY1" s="5" t="s">
        <v>1020</v>
      </c>
      <c r="OZ1" s="32" t="s">
        <v>1021</v>
      </c>
      <c r="PA1" s="5" t="s">
        <v>1022</v>
      </c>
      <c r="PB1" s="32" t="s">
        <v>1040</v>
      </c>
      <c r="PC1" s="5" t="s">
        <v>1041</v>
      </c>
      <c r="PD1" s="32" t="s">
        <v>1042</v>
      </c>
      <c r="PE1" s="5" t="s">
        <v>1043</v>
      </c>
      <c r="PF1" s="5" t="s">
        <v>98</v>
      </c>
      <c r="PG1" s="5" t="s">
        <v>99</v>
      </c>
      <c r="PH1" s="5" t="s">
        <v>100</v>
      </c>
      <c r="PI1" s="5" t="s">
        <v>101</v>
      </c>
      <c r="PJ1" s="5" t="s">
        <v>102</v>
      </c>
      <c r="PK1" s="5" t="s">
        <v>103</v>
      </c>
      <c r="PL1" s="5" t="s">
        <v>104</v>
      </c>
      <c r="PM1" s="5" t="s">
        <v>105</v>
      </c>
      <c r="PN1" s="5" t="s">
        <v>106</v>
      </c>
      <c r="PO1" s="30" t="s">
        <v>294</v>
      </c>
      <c r="PP1" s="30" t="s">
        <v>295</v>
      </c>
      <c r="PQ1" s="30" t="s">
        <v>296</v>
      </c>
      <c r="PR1" s="30" t="s">
        <v>297</v>
      </c>
      <c r="PS1" s="30" t="s">
        <v>298</v>
      </c>
      <c r="PT1" s="30" t="s">
        <v>1014</v>
      </c>
      <c r="PU1" s="30" t="s">
        <v>1044</v>
      </c>
      <c r="PV1" s="30" t="s">
        <v>1045</v>
      </c>
      <c r="PW1" s="30" t="s">
        <v>1046</v>
      </c>
      <c r="PX1" s="42" t="s">
        <v>1062</v>
      </c>
      <c r="PY1" s="42" t="s">
        <v>558</v>
      </c>
      <c r="PZ1" s="42" t="s">
        <v>557</v>
      </c>
      <c r="QA1" s="42" t="s">
        <v>1016</v>
      </c>
      <c r="QB1" s="42" t="s">
        <v>1015</v>
      </c>
      <c r="QC1" s="42" t="s">
        <v>1018</v>
      </c>
      <c r="QD1" s="42" t="s">
        <v>1017</v>
      </c>
      <c r="QE1" s="42" t="s">
        <v>1037</v>
      </c>
      <c r="QF1" s="42" t="s">
        <v>1036</v>
      </c>
      <c r="QG1" s="42" t="s">
        <v>1039</v>
      </c>
      <c r="QH1" s="42" t="s">
        <v>1038</v>
      </c>
      <c r="QI1" s="42" t="s">
        <v>1063</v>
      </c>
      <c r="QJ1" s="42" t="s">
        <v>1064</v>
      </c>
      <c r="QK1" s="42" t="s">
        <v>1065</v>
      </c>
      <c r="QL1" s="42" t="s">
        <v>1066</v>
      </c>
      <c r="QM1" s="42" t="s">
        <v>1067</v>
      </c>
      <c r="QN1" s="42" t="s">
        <v>1068</v>
      </c>
      <c r="QO1" s="42" t="s">
        <v>1069</v>
      </c>
      <c r="QP1" s="42" t="s">
        <v>1070</v>
      </c>
      <c r="QQ1" s="42" t="s">
        <v>1071</v>
      </c>
      <c r="QR1" s="42" t="s">
        <v>1072</v>
      </c>
      <c r="QS1" s="42" t="s">
        <v>1073</v>
      </c>
      <c r="QT1" s="42" t="s">
        <v>1074</v>
      </c>
      <c r="QU1" s="42" t="s">
        <v>402</v>
      </c>
      <c r="QV1" s="42" t="s">
        <v>401</v>
      </c>
      <c r="QW1" s="42" t="s">
        <v>556</v>
      </c>
      <c r="QX1" s="42" t="s">
        <v>555</v>
      </c>
      <c r="QY1" s="42" t="s">
        <v>1020</v>
      </c>
      <c r="QZ1" s="42" t="s">
        <v>1019</v>
      </c>
      <c r="RA1" s="42" t="s">
        <v>1022</v>
      </c>
      <c r="RB1" s="42" t="s">
        <v>1021</v>
      </c>
      <c r="RC1" s="42" t="s">
        <v>1041</v>
      </c>
      <c r="RD1" s="42" t="s">
        <v>1040</v>
      </c>
      <c r="RE1" s="42" t="s">
        <v>1043</v>
      </c>
      <c r="RF1" s="42" t="s">
        <v>1042</v>
      </c>
      <c r="RG1" s="42" t="s">
        <v>1075</v>
      </c>
      <c r="RH1" s="42" t="s">
        <v>1076</v>
      </c>
      <c r="RI1" s="42" t="s">
        <v>1077</v>
      </c>
      <c r="RJ1" s="42" t="s">
        <v>1078</v>
      </c>
      <c r="RK1" s="42" t="s">
        <v>1079</v>
      </c>
      <c r="RL1" s="42" t="s">
        <v>1080</v>
      </c>
      <c r="RM1" s="42" t="s">
        <v>1081</v>
      </c>
      <c r="RN1" s="42" t="s">
        <v>1082</v>
      </c>
      <c r="RO1" s="42" t="s">
        <v>1083</v>
      </c>
      <c r="RP1" s="42" t="s">
        <v>1084</v>
      </c>
      <c r="RQ1" s="42" t="s">
        <v>1085</v>
      </c>
      <c r="RR1" s="42" t="s">
        <v>1086</v>
      </c>
      <c r="RS1" s="42" t="s">
        <v>35</v>
      </c>
      <c r="RT1" s="42" t="s">
        <v>98</v>
      </c>
      <c r="RU1" s="42" t="s">
        <v>99</v>
      </c>
      <c r="RV1" s="42" t="s">
        <v>100</v>
      </c>
      <c r="RW1" s="42" t="s">
        <v>101</v>
      </c>
      <c r="RX1" s="42" t="s">
        <v>102</v>
      </c>
      <c r="RY1" s="42" t="s">
        <v>103</v>
      </c>
      <c r="RZ1" s="42" t="s">
        <v>104</v>
      </c>
      <c r="SA1" s="42" t="s">
        <v>105</v>
      </c>
      <c r="SB1" s="42" t="s">
        <v>106</v>
      </c>
      <c r="SC1" s="42" t="s">
        <v>107</v>
      </c>
      <c r="SD1" s="42" t="s">
        <v>108</v>
      </c>
      <c r="SE1" s="42" t="s">
        <v>109</v>
      </c>
      <c r="SF1" s="42" t="s">
        <v>110</v>
      </c>
      <c r="SG1" s="42" t="s">
        <v>111</v>
      </c>
      <c r="SH1" s="42" t="s">
        <v>1087</v>
      </c>
      <c r="SI1" s="42" t="s">
        <v>1088</v>
      </c>
      <c r="SJ1" s="42" t="s">
        <v>1089</v>
      </c>
      <c r="SK1" s="42" t="s">
        <v>1090</v>
      </c>
      <c r="SL1" s="42" t="s">
        <v>1091</v>
      </c>
      <c r="SM1" s="42" t="s">
        <v>1092</v>
      </c>
      <c r="SN1" s="42" t="s">
        <v>1093</v>
      </c>
      <c r="SO1" s="42" t="s">
        <v>1094</v>
      </c>
      <c r="SP1" s="42" t="s">
        <v>1095</v>
      </c>
      <c r="SQ1" s="42" t="s">
        <v>1096</v>
      </c>
      <c r="SR1" s="42" t="s">
        <v>1097</v>
      </c>
      <c r="SS1" s="42" t="s">
        <v>1139</v>
      </c>
      <c r="ST1" s="42" t="s">
        <v>924</v>
      </c>
      <c r="SU1" s="42" t="s">
        <v>1032</v>
      </c>
      <c r="SV1" s="42" t="s">
        <v>1098</v>
      </c>
      <c r="SW1" s="42" t="s">
        <v>1099</v>
      </c>
      <c r="SX1" s="42" t="s">
        <v>1100</v>
      </c>
      <c r="SY1" s="42" t="s">
        <v>1101</v>
      </c>
      <c r="SZ1" s="42" t="s">
        <v>1102</v>
      </c>
      <c r="TA1" s="42" t="s">
        <v>1103</v>
      </c>
      <c r="TB1" s="42" t="s">
        <v>1104</v>
      </c>
      <c r="TC1" s="42" t="s">
        <v>1105</v>
      </c>
      <c r="TD1" s="42" t="s">
        <v>1106</v>
      </c>
      <c r="TE1" s="42" t="s">
        <v>1140</v>
      </c>
      <c r="TF1" s="42" t="s">
        <v>925</v>
      </c>
      <c r="TG1" s="42" t="s">
        <v>1033</v>
      </c>
      <c r="TH1" s="42" t="s">
        <v>1107</v>
      </c>
      <c r="TI1" s="42" t="s">
        <v>1108</v>
      </c>
      <c r="TJ1" s="42" t="s">
        <v>1109</v>
      </c>
      <c r="TK1" s="42" t="s">
        <v>1110</v>
      </c>
      <c r="TL1" s="42" t="s">
        <v>1111</v>
      </c>
      <c r="TM1" s="42" t="s">
        <v>1112</v>
      </c>
      <c r="TN1" s="42" t="s">
        <v>1113</v>
      </c>
      <c r="TO1" s="42" t="s">
        <v>1114</v>
      </c>
      <c r="TP1" s="52" t="s">
        <v>1115</v>
      </c>
      <c r="TQ1" s="53" t="s">
        <v>1943</v>
      </c>
      <c r="TR1" s="42" t="s">
        <v>1944</v>
      </c>
      <c r="TS1" s="42" t="s">
        <v>1945</v>
      </c>
      <c r="TT1" s="42" t="s">
        <v>1978</v>
      </c>
      <c r="TU1" s="42" t="s">
        <v>1946</v>
      </c>
      <c r="TV1" s="42" t="s">
        <v>1947</v>
      </c>
      <c r="TW1" s="42" t="s">
        <v>1948</v>
      </c>
      <c r="TX1" s="42" t="s">
        <v>1949</v>
      </c>
      <c r="TY1" s="42" t="s">
        <v>35</v>
      </c>
      <c r="TZ1" s="42" t="s">
        <v>98</v>
      </c>
      <c r="UA1" s="42" t="s">
        <v>99</v>
      </c>
      <c r="UB1" s="42" t="s">
        <v>100</v>
      </c>
      <c r="UC1" s="42" t="s">
        <v>31</v>
      </c>
      <c r="UD1" s="42" t="s">
        <v>112</v>
      </c>
      <c r="UE1" s="42" t="s">
        <v>113</v>
      </c>
      <c r="UF1" s="54" t="s">
        <v>114</v>
      </c>
    </row>
    <row r="2" spans="1:552" x14ac:dyDescent="0.25">
      <c r="A2" t="s">
        <v>271</v>
      </c>
      <c r="B2" t="s">
        <v>270</v>
      </c>
      <c r="C2" s="3" t="s">
        <v>127</v>
      </c>
      <c r="D2" t="s">
        <v>128</v>
      </c>
      <c r="G2" t="str">
        <f>IF(F2="","",F2)</f>
        <v/>
      </c>
      <c r="J2">
        <v>0.7</v>
      </c>
      <c r="M2">
        <v>0.4</v>
      </c>
      <c r="N2">
        <v>59675</v>
      </c>
      <c r="O2" s="2">
        <v>45427</v>
      </c>
      <c r="P2" t="s">
        <v>129</v>
      </c>
      <c r="Q2" s="1"/>
      <c r="S2" s="1" t="s">
        <v>130</v>
      </c>
      <c r="T2" s="10" t="s">
        <v>554</v>
      </c>
      <c r="U2" s="11">
        <v>1</v>
      </c>
      <c r="V2" s="11" t="s">
        <v>1563</v>
      </c>
      <c r="W2" s="11"/>
      <c r="X2" s="12"/>
      <c r="Y2" s="12"/>
      <c r="Z2" s="12"/>
      <c r="AA2" s="12"/>
      <c r="AB2" s="12"/>
      <c r="AC2" s="12" t="s">
        <v>131</v>
      </c>
      <c r="AD2" s="12"/>
      <c r="AE2" s="12"/>
      <c r="AF2" s="12" t="s">
        <v>133</v>
      </c>
      <c r="AG2" s="12" t="s">
        <v>134</v>
      </c>
      <c r="AH2" s="12" t="s">
        <v>132</v>
      </c>
      <c r="AI2" s="12"/>
      <c r="AJ2" s="12"/>
      <c r="AK2" s="12" t="s">
        <v>135</v>
      </c>
      <c r="AL2" s="12" t="s">
        <v>136</v>
      </c>
      <c r="AM2" s="12" t="s">
        <v>141</v>
      </c>
      <c r="AN2" s="12"/>
      <c r="AO2" s="12"/>
      <c r="AP2" s="12" t="s">
        <v>137</v>
      </c>
      <c r="AQ2" s="12" t="s">
        <v>138</v>
      </c>
      <c r="AR2" s="12"/>
      <c r="AS2" s="12"/>
      <c r="AT2" s="12" t="s">
        <v>139</v>
      </c>
      <c r="AU2" s="12" t="s">
        <v>140</v>
      </c>
      <c r="AV2" s="12"/>
      <c r="AW2" s="12"/>
      <c r="AX2" s="12"/>
      <c r="AY2" s="12"/>
      <c r="AZ2" s="12"/>
      <c r="BA2" s="12"/>
      <c r="BB2" s="12"/>
      <c r="BC2" s="12"/>
      <c r="BD2" s="13"/>
      <c r="BE2" s="12" t="str">
        <f t="shared" ref="BE2:BE33" si="0">CONCATENATE("XT",U2)</f>
        <v>XT1</v>
      </c>
      <c r="BF2" s="12" t="str">
        <f t="shared" ref="BF2:BF33" si="1">CONCATENATE("C",REPLACE(AF2,1,1,"")+1)</f>
        <v>C2</v>
      </c>
      <c r="BG2" s="12" t="str">
        <f t="shared" ref="BG2:BG33" si="2">CONCATENATE("B",REPLACE(AG2,1,1,"")+1)</f>
        <v>B2</v>
      </c>
      <c r="BH2" s="12" t="str">
        <f t="shared" ref="BH2:BH33" si="3">CONCATENATE("C",REPLACE(BF2,1,1,"")+1)</f>
        <v>C3</v>
      </c>
      <c r="BI2" s="12" t="str">
        <f t="shared" ref="BI2:BI33" si="4">CONCATENATE("B",REPLACE(BG2,1,1,"")+1)</f>
        <v>B3</v>
      </c>
      <c r="BJ2" s="12" t="str">
        <f t="shared" ref="BJ2:BJ33" si="5">CONCATENATE("C",REPLACE(BH2,1,1,"")+1)</f>
        <v>C4</v>
      </c>
      <c r="BK2" s="12" t="str">
        <f t="shared" ref="BK2:BK33" si="6">CONCATENATE("B",REPLACE(BI2,1,1,"")+1)</f>
        <v>B4</v>
      </c>
      <c r="BL2" s="12" t="str">
        <f t="shared" ref="BL2:BL33" si="7">CONCATENATE("C",REPLACE(BJ2,1,1,"")+1)</f>
        <v>C5</v>
      </c>
      <c r="BM2" s="12" t="str">
        <f t="shared" ref="BM2:BM33" si="8">CONCATENATE("B",REPLACE(BK2,1,1,"")+1)</f>
        <v>B5</v>
      </c>
      <c r="BN2" s="12" t="str">
        <f t="shared" ref="BN2:BN33" si="9">CONCATENATE("C",REPLACE(BL2,1,1,"")+1)</f>
        <v>C6</v>
      </c>
      <c r="BO2" s="12" t="str">
        <f t="shared" ref="BO2:BO33" si="10">CONCATENATE("B",REPLACE(BM2,1,1,"")+1)</f>
        <v>B6</v>
      </c>
      <c r="BP2" s="12" t="str">
        <f t="shared" ref="BP2:BP33" si="11">CONCATENATE(REPLACE(AK2,LEN(AK2),1,"")+1,"B")</f>
        <v>2B</v>
      </c>
      <c r="BQ2" s="12" t="str">
        <f t="shared" ref="BQ2:BQ33" si="12">CONCATENATE(REPLACE(AL2,LEN(AL2),1,"")+1,"A")</f>
        <v>2A</v>
      </c>
      <c r="BR2" s="12" t="str">
        <f>CONCATENATE(REPLACE(BP2,LEN(BP2),1,"")+1,"B")</f>
        <v>3B</v>
      </c>
      <c r="BS2" s="12" t="str">
        <f>CONCATENATE(REPLACE(BQ2,LEN(BQ2),1,"")+1,"A")</f>
        <v>3A</v>
      </c>
      <c r="BT2" s="12" t="str">
        <f t="shared" ref="BT2:BU33" si="13">CONCATENATE("DI",REPLACE($AC2,1,3,""),"-",AF2)</f>
        <v>DI1-C1</v>
      </c>
      <c r="BU2" s="12" t="str">
        <f t="shared" si="13"/>
        <v>DI1-B1</v>
      </c>
      <c r="BV2" s="12" t="str">
        <f t="shared" ref="BV2:CE17" si="14">CONCATENATE("DI",REPLACE($AC2,1,3,""),"-",BF2)</f>
        <v>DI1-C2</v>
      </c>
      <c r="BW2" s="12" t="str">
        <f t="shared" si="14"/>
        <v>DI1-B2</v>
      </c>
      <c r="BX2" s="12" t="str">
        <f t="shared" si="14"/>
        <v>DI1-C3</v>
      </c>
      <c r="BY2" s="12" t="str">
        <f t="shared" si="14"/>
        <v>DI1-B3</v>
      </c>
      <c r="BZ2" s="12" t="str">
        <f t="shared" si="14"/>
        <v>DI1-C4</v>
      </c>
      <c r="CA2" s="12" t="str">
        <f t="shared" si="14"/>
        <v>DI1-B4</v>
      </c>
      <c r="CB2" s="12" t="str">
        <f t="shared" si="14"/>
        <v>DI1-C5</v>
      </c>
      <c r="CC2" s="12" t="str">
        <f t="shared" si="14"/>
        <v>DI1-B5</v>
      </c>
      <c r="CD2" s="12" t="str">
        <f t="shared" si="14"/>
        <v>DI1-C6</v>
      </c>
      <c r="CE2" s="12" t="str">
        <f t="shared" si="14"/>
        <v>DI1-B6</v>
      </c>
      <c r="CF2" s="12" t="str">
        <f t="shared" ref="CF2:CG33" si="15">CONCATENATE("DO",REPLACE($AH2,1,3,""),"-",AK2)</f>
        <v>DO1-1B</v>
      </c>
      <c r="CG2" s="12" t="str">
        <f t="shared" si="15"/>
        <v>DO1-1A</v>
      </c>
      <c r="CH2" s="12" t="str">
        <f t="shared" ref="CH2:CK33" si="16">CONCATENATE("DO",REPLACE($AH2,1,3,""),"-",BP2)</f>
        <v>DO1-2B</v>
      </c>
      <c r="CI2" s="12" t="str">
        <f t="shared" si="16"/>
        <v>DO1-2A</v>
      </c>
      <c r="CJ2" s="12" t="str">
        <f t="shared" si="16"/>
        <v>DO1-3B</v>
      </c>
      <c r="CK2" s="12" t="str">
        <f t="shared" si="16"/>
        <v>DO1-3A</v>
      </c>
      <c r="CL2" s="12" t="str">
        <f>CONCATENATE("K",$U2,"-10")</f>
        <v>K1-10</v>
      </c>
      <c r="CM2" s="12" t="str">
        <f>CONCATENATE("K",$U2,"-03")</f>
        <v>K1-03</v>
      </c>
      <c r="CN2" s="12" t="str">
        <f>CONCATENATE("K",$U2,"-04")</f>
        <v>K1-04</v>
      </c>
      <c r="CO2" s="12" t="str">
        <f>CONCATENATE("K",$U2,"-01")</f>
        <v>K1-01</v>
      </c>
      <c r="CP2" s="12" t="str">
        <f>CONCATENATE("K",$U2,"-08")</f>
        <v>K1-08</v>
      </c>
      <c r="CQ2" s="12" t="str">
        <f>CONCATENATE("K",$U2,"-02")</f>
        <v>K1-02</v>
      </c>
      <c r="CR2" s="12" t="str">
        <f>CONCATENATE("K",$U2,"-09")</f>
        <v>K1-09</v>
      </c>
      <c r="CS2" s="12" t="str">
        <f>CONCATENATE("K",$U2,"-05")</f>
        <v>K1-05</v>
      </c>
      <c r="CT2" s="12" t="str">
        <f>CONCATENATE("K",$U2,"-11")</f>
        <v>K1-11</v>
      </c>
      <c r="CU2" s="12" t="str">
        <f>CONCATENATE($T2,"-M",$U2,"-A9")</f>
        <v>F0-M1-A9</v>
      </c>
      <c r="CV2" s="12" t="str">
        <f>CONCATENATE($T2,"-M",$U2,"-A7")</f>
        <v>F0-M1-A7</v>
      </c>
      <c r="CW2" s="12" t="str">
        <f>CONCATENATE($T2,"-M",$U2,"-A8")</f>
        <v>F0-M1-A8</v>
      </c>
      <c r="CX2" s="12" t="str">
        <f>CONCATENATE($T2,"-M",$U2,"-A6")</f>
        <v>F0-M1-A6</v>
      </c>
      <c r="CY2" s="12" t="str">
        <f>CONCATENATE($T2,"-M",$U2,"-A30")</f>
        <v>F0-M1-A30</v>
      </c>
      <c r="CZ2" s="12" t="str">
        <f>CONCATENATE($T2,"-M",$U2,"-N")</f>
        <v>F0-M1-N</v>
      </c>
      <c r="DA2" s="12" t="str">
        <f t="shared" ref="DA2:DA33" si="17">CONCATENATE($T2,"-A220-M",U2)</f>
        <v>F0-A220-M1</v>
      </c>
      <c r="DB2" s="12" t="str">
        <f>CONCATENATE($T2,"-M",$U2,"-XM01")</f>
        <v>F0-M1-XM01</v>
      </c>
      <c r="DC2" s="12" t="str">
        <f>CONCATENATE($T2,"-M",$U2,"-A1")</f>
        <v>F0-M1-A1</v>
      </c>
      <c r="DD2" s="12" t="str">
        <f>CONCATENATE($T2,"-M",$U2,"-A5")</f>
        <v>F0-M1-A5</v>
      </c>
      <c r="DE2" s="12" t="str">
        <f>CONCATENATE($T2,"-M",$U2,"-A11")</f>
        <v>F0-M1-A11</v>
      </c>
      <c r="DF2" s="12" t="str">
        <f>CONCATENATE($T2,"-M",$U2,"-A12")</f>
        <v>F0-M1-A12</v>
      </c>
      <c r="DG2" s="12" t="str">
        <f>CONCATENATE($T2,"-M",$U2,"-A19")</f>
        <v>F0-M1-A19</v>
      </c>
      <c r="DH2" s="12" t="str">
        <f>CONCATENATE($T2,"-M",$U2,"-A20")</f>
        <v>F0-M1-A20</v>
      </c>
      <c r="DI2" s="12" t="s">
        <v>142</v>
      </c>
      <c r="DJ2" s="12" t="s">
        <v>143</v>
      </c>
      <c r="DK2" s="12">
        <v>11</v>
      </c>
      <c r="DL2" s="12">
        <v>14</v>
      </c>
      <c r="DM2" s="12">
        <v>12</v>
      </c>
      <c r="DN2" s="12" t="s">
        <v>144</v>
      </c>
      <c r="DO2" s="12" t="s">
        <v>145</v>
      </c>
      <c r="DP2" s="12">
        <v>1</v>
      </c>
      <c r="DQ2" s="12">
        <v>2</v>
      </c>
      <c r="DR2" s="12">
        <v>3</v>
      </c>
      <c r="DS2" s="12">
        <v>4</v>
      </c>
      <c r="DT2" s="12">
        <v>5</v>
      </c>
      <c r="DU2" s="12">
        <v>6</v>
      </c>
      <c r="DV2" s="12">
        <v>7</v>
      </c>
      <c r="DW2" s="12">
        <v>8</v>
      </c>
      <c r="DX2" s="12">
        <v>9</v>
      </c>
      <c r="DY2" s="12">
        <v>10</v>
      </c>
      <c r="DZ2" s="12">
        <v>11</v>
      </c>
      <c r="EA2" s="12">
        <v>12</v>
      </c>
      <c r="EB2" s="12">
        <v>13</v>
      </c>
      <c r="EC2" s="12">
        <v>14</v>
      </c>
      <c r="ED2" s="12">
        <v>1</v>
      </c>
      <c r="EE2" s="12">
        <v>3</v>
      </c>
      <c r="EF2" s="12">
        <v>4</v>
      </c>
      <c r="EG2" s="12">
        <v>7</v>
      </c>
      <c r="EH2" s="12">
        <v>8</v>
      </c>
      <c r="EI2" s="12">
        <v>9</v>
      </c>
      <c r="EJ2" s="12">
        <v>10</v>
      </c>
      <c r="EK2" s="12">
        <v>13</v>
      </c>
      <c r="EL2" s="12">
        <v>14</v>
      </c>
      <c r="EM2" s="12">
        <v>15</v>
      </c>
      <c r="EN2" s="12">
        <v>16</v>
      </c>
      <c r="EO2" s="12">
        <v>22</v>
      </c>
      <c r="EP2" s="12">
        <v>23</v>
      </c>
      <c r="EQ2" s="13">
        <v>24</v>
      </c>
    </row>
    <row r="3" spans="1:552" x14ac:dyDescent="0.25">
      <c r="A3" t="s">
        <v>146</v>
      </c>
      <c r="B3" t="s">
        <v>147</v>
      </c>
      <c r="C3" s="3" t="s">
        <v>127</v>
      </c>
      <c r="O3" s="2"/>
      <c r="P3" t="s">
        <v>129</v>
      </c>
      <c r="Q3" s="1"/>
      <c r="S3" s="1" t="s">
        <v>130</v>
      </c>
      <c r="T3" s="14" t="s">
        <v>554</v>
      </c>
      <c r="U3" s="15">
        <v>2</v>
      </c>
      <c r="V3" s="15" t="s">
        <v>1564</v>
      </c>
      <c r="W3" s="15"/>
      <c r="AC3" t="s">
        <v>131</v>
      </c>
      <c r="AF3" t="s">
        <v>148</v>
      </c>
      <c r="AG3" t="s">
        <v>149</v>
      </c>
      <c r="AH3" t="s">
        <v>132</v>
      </c>
      <c r="AK3" t="s">
        <v>243</v>
      </c>
      <c r="AL3" t="s">
        <v>244</v>
      </c>
      <c r="AM3" t="s">
        <v>150</v>
      </c>
      <c r="AP3" t="s">
        <v>137</v>
      </c>
      <c r="AQ3" t="s">
        <v>138</v>
      </c>
      <c r="AT3" t="s">
        <v>139</v>
      </c>
      <c r="AU3" t="s">
        <v>140</v>
      </c>
      <c r="BD3" s="16"/>
      <c r="BE3" t="str">
        <f t="shared" si="0"/>
        <v>XT2</v>
      </c>
      <c r="BF3" t="str">
        <f t="shared" si="1"/>
        <v>C8</v>
      </c>
      <c r="BG3" t="str">
        <f t="shared" si="2"/>
        <v>B8</v>
      </c>
      <c r="BH3" t="str">
        <f t="shared" si="3"/>
        <v>C9</v>
      </c>
      <c r="BI3" t="str">
        <f t="shared" si="4"/>
        <v>B9</v>
      </c>
      <c r="BJ3" t="str">
        <f t="shared" si="5"/>
        <v>C10</v>
      </c>
      <c r="BK3" t="str">
        <f t="shared" si="6"/>
        <v>B10</v>
      </c>
      <c r="BL3" t="str">
        <f t="shared" si="7"/>
        <v>C11</v>
      </c>
      <c r="BM3" t="str">
        <f t="shared" si="8"/>
        <v>B11</v>
      </c>
      <c r="BN3" t="str">
        <f t="shared" si="9"/>
        <v>C12</v>
      </c>
      <c r="BO3" t="str">
        <f t="shared" si="10"/>
        <v>B12</v>
      </c>
      <c r="BP3" t="str">
        <f t="shared" si="11"/>
        <v>5B</v>
      </c>
      <c r="BQ3" t="str">
        <f t="shared" si="12"/>
        <v>5A</v>
      </c>
      <c r="BR3" t="str">
        <f t="shared" ref="BR3:BR33" si="18">CONCATENATE(REPLACE(BP3,LEN(BP3),1,"")+1,"B")</f>
        <v>6B</v>
      </c>
      <c r="BS3" t="str">
        <f t="shared" ref="BS3:BS33" si="19">CONCATENATE(REPLACE(BQ3,LEN(BQ3),1,"")+1,"A")</f>
        <v>6A</v>
      </c>
      <c r="BT3" t="str">
        <f t="shared" si="13"/>
        <v>DI1-C7</v>
      </c>
      <c r="BU3" t="str">
        <f t="shared" si="13"/>
        <v>DI1-B7</v>
      </c>
      <c r="BV3" t="str">
        <f t="shared" si="14"/>
        <v>DI1-C8</v>
      </c>
      <c r="BW3" t="str">
        <f t="shared" si="14"/>
        <v>DI1-B8</v>
      </c>
      <c r="BX3" t="str">
        <f t="shared" si="14"/>
        <v>DI1-C9</v>
      </c>
      <c r="BY3" t="str">
        <f t="shared" si="14"/>
        <v>DI1-B9</v>
      </c>
      <c r="BZ3" t="str">
        <f t="shared" si="14"/>
        <v>DI1-C10</v>
      </c>
      <c r="CA3" t="str">
        <f t="shared" si="14"/>
        <v>DI1-B10</v>
      </c>
      <c r="CB3" t="str">
        <f t="shared" si="14"/>
        <v>DI1-C11</v>
      </c>
      <c r="CC3" t="str">
        <f t="shared" si="14"/>
        <v>DI1-B11</v>
      </c>
      <c r="CD3" t="str">
        <f t="shared" si="14"/>
        <v>DI1-C12</v>
      </c>
      <c r="CE3" t="str">
        <f t="shared" si="14"/>
        <v>DI1-B12</v>
      </c>
      <c r="CF3" t="str">
        <f t="shared" si="15"/>
        <v>DO1-4B</v>
      </c>
      <c r="CG3" t="str">
        <f t="shared" si="15"/>
        <v>DO1-4A</v>
      </c>
      <c r="CH3" t="str">
        <f t="shared" si="16"/>
        <v>DO1-5B</v>
      </c>
      <c r="CI3" t="str">
        <f t="shared" si="16"/>
        <v>DO1-5A</v>
      </c>
      <c r="CJ3" t="str">
        <f t="shared" si="16"/>
        <v>DO1-6B</v>
      </c>
      <c r="CK3" t="str">
        <f t="shared" si="16"/>
        <v>DO1-6A</v>
      </c>
      <c r="CL3" t="str">
        <f t="shared" ref="CL3:CL33" si="20">CONCATENATE("K",$U3,"-10")</f>
        <v>K2-10</v>
      </c>
      <c r="CM3" t="str">
        <f t="shared" ref="CM3:CM33" si="21">CONCATENATE("K",$U3,"-03")</f>
        <v>K2-03</v>
      </c>
      <c r="CN3" t="str">
        <f t="shared" ref="CN3:CN33" si="22">CONCATENATE("K",$U3,"-04")</f>
        <v>K2-04</v>
      </c>
      <c r="CO3" t="str">
        <f t="shared" ref="CO3:CO33" si="23">CONCATENATE("K",$U3,"-01")</f>
        <v>K2-01</v>
      </c>
      <c r="CP3" t="str">
        <f t="shared" ref="CP3:CP33" si="24">CONCATENATE("K",$U3,"-08")</f>
        <v>K2-08</v>
      </c>
      <c r="CQ3" t="str">
        <f t="shared" ref="CQ3:CQ33" si="25">CONCATENATE("K",$U3,"-02")</f>
        <v>K2-02</v>
      </c>
      <c r="CR3" t="str">
        <f t="shared" ref="CR3:CR33" si="26">CONCATENATE("K",$U3,"-09")</f>
        <v>K2-09</v>
      </c>
      <c r="CS3" t="str">
        <f t="shared" ref="CS3:CS33" si="27">CONCATENATE("K",$U3,"-05")</f>
        <v>K2-05</v>
      </c>
      <c r="CT3" t="str">
        <f t="shared" ref="CT3:CT33" si="28">CONCATENATE("K",$U3,"-11")</f>
        <v>K2-11</v>
      </c>
      <c r="CU3" t="str">
        <f t="shared" ref="CU3:CU33" si="29">CONCATENATE($T3,"-M",$U3,"-A9")</f>
        <v>F0-M2-A9</v>
      </c>
      <c r="CV3" t="str">
        <f t="shared" ref="CV3:CV33" si="30">CONCATENATE($T3,"-M",$U3,"-A7")</f>
        <v>F0-M2-A7</v>
      </c>
      <c r="CW3" t="str">
        <f t="shared" ref="CW3:CW33" si="31">CONCATENATE($T3,"-M",$U3,"-A8")</f>
        <v>F0-M2-A8</v>
      </c>
      <c r="CX3" t="str">
        <f t="shared" ref="CX3:CX33" si="32">CONCATENATE($T3,"-M",$U3,"-A6")</f>
        <v>F0-M2-A6</v>
      </c>
      <c r="CY3" t="str">
        <f t="shared" ref="CY3:CY33" si="33">CONCATENATE($T3,"-M",$U3,"-A30")</f>
        <v>F0-M2-A30</v>
      </c>
      <c r="CZ3" t="str">
        <f t="shared" ref="CZ3:CZ33" si="34">CONCATENATE($T3,"-M",$U3,"-N")</f>
        <v>F0-M2-N</v>
      </c>
      <c r="DA3" t="str">
        <f t="shared" si="17"/>
        <v>F0-A220-M2</v>
      </c>
      <c r="DB3" t="str">
        <f t="shared" ref="DB3:DB33" si="35">CONCATENATE($T3,"-M",$U3,"-XM01")</f>
        <v>F0-M2-XM01</v>
      </c>
      <c r="DC3" t="str">
        <f t="shared" ref="DC3:DC33" si="36">CONCATENATE($T3,"-M",$U3,"-A1")</f>
        <v>F0-M2-A1</v>
      </c>
      <c r="DD3" t="str">
        <f t="shared" ref="DD3:DD33" si="37">CONCATENATE($T3,"-M",$U3,"-A5")</f>
        <v>F0-M2-A5</v>
      </c>
      <c r="DE3" t="str">
        <f t="shared" ref="DE3:DE33" si="38">CONCATENATE($T3,"-M",$U3,"-A11")</f>
        <v>F0-M2-A11</v>
      </c>
      <c r="DF3" t="str">
        <f t="shared" ref="DF3:DF33" si="39">CONCATENATE($T3,"-M",$U3,"-A12")</f>
        <v>F0-M2-A12</v>
      </c>
      <c r="DG3" t="str">
        <f t="shared" ref="DG3:DG33" si="40">CONCATENATE($T3,"-M",$U3,"-A19")</f>
        <v>F0-M2-A19</v>
      </c>
      <c r="DH3" t="str">
        <f t="shared" ref="DH3:DH33" si="41">CONCATENATE($T3,"-M",$U3,"-A20")</f>
        <v>F0-M2-A20</v>
      </c>
      <c r="DI3" t="s">
        <v>142</v>
      </c>
      <c r="DJ3" t="s">
        <v>143</v>
      </c>
      <c r="DK3">
        <v>11</v>
      </c>
      <c r="DL3">
        <v>14</v>
      </c>
      <c r="DM3">
        <v>12</v>
      </c>
      <c r="DN3" t="s">
        <v>144</v>
      </c>
      <c r="DO3" t="s">
        <v>145</v>
      </c>
      <c r="DP3">
        <v>1</v>
      </c>
      <c r="DQ3">
        <v>2</v>
      </c>
      <c r="DR3">
        <v>3</v>
      </c>
      <c r="DS3">
        <v>4</v>
      </c>
      <c r="DT3">
        <v>5</v>
      </c>
      <c r="DU3">
        <v>6</v>
      </c>
      <c r="DV3">
        <v>7</v>
      </c>
      <c r="DW3">
        <v>8</v>
      </c>
      <c r="DX3">
        <v>9</v>
      </c>
      <c r="DY3">
        <v>10</v>
      </c>
      <c r="DZ3">
        <v>11</v>
      </c>
      <c r="EA3">
        <v>12</v>
      </c>
      <c r="EB3">
        <v>13</v>
      </c>
      <c r="EC3">
        <v>14</v>
      </c>
      <c r="ED3">
        <v>1</v>
      </c>
      <c r="EE3">
        <v>3</v>
      </c>
      <c r="EF3">
        <v>4</v>
      </c>
      <c r="EG3">
        <v>7</v>
      </c>
      <c r="EH3">
        <v>8</v>
      </c>
      <c r="EI3">
        <v>9</v>
      </c>
      <c r="EJ3">
        <v>10</v>
      </c>
      <c r="EK3">
        <v>13</v>
      </c>
      <c r="EL3">
        <v>14</v>
      </c>
      <c r="EM3">
        <v>15</v>
      </c>
      <c r="EN3">
        <v>16</v>
      </c>
      <c r="EO3">
        <v>22</v>
      </c>
      <c r="EP3">
        <v>23</v>
      </c>
      <c r="EQ3" s="16">
        <v>24</v>
      </c>
    </row>
    <row r="4" spans="1:552" x14ac:dyDescent="0.25">
      <c r="A4" t="s">
        <v>151</v>
      </c>
      <c r="B4" t="s">
        <v>152</v>
      </c>
      <c r="C4" s="3" t="s">
        <v>127</v>
      </c>
      <c r="O4" s="2"/>
      <c r="P4" t="s">
        <v>129</v>
      </c>
      <c r="Q4" s="1"/>
      <c r="S4" s="1" t="s">
        <v>130</v>
      </c>
      <c r="T4" s="14" t="s">
        <v>554</v>
      </c>
      <c r="U4" s="15">
        <v>3</v>
      </c>
      <c r="V4" s="15" t="s">
        <v>1565</v>
      </c>
      <c r="W4" s="15"/>
      <c r="AC4" t="s">
        <v>131</v>
      </c>
      <c r="AF4" t="s">
        <v>153</v>
      </c>
      <c r="AG4" t="s">
        <v>154</v>
      </c>
      <c r="AH4" t="s">
        <v>132</v>
      </c>
      <c r="AK4" t="s">
        <v>245</v>
      </c>
      <c r="AL4" t="s">
        <v>246</v>
      </c>
      <c r="AM4" t="s">
        <v>155</v>
      </c>
      <c r="AP4" t="s">
        <v>137</v>
      </c>
      <c r="AQ4" t="s">
        <v>138</v>
      </c>
      <c r="AT4" t="s">
        <v>139</v>
      </c>
      <c r="AU4" t="s">
        <v>140</v>
      </c>
      <c r="BD4" s="16"/>
      <c r="BE4" t="str">
        <f t="shared" si="0"/>
        <v>XT3</v>
      </c>
      <c r="BF4" t="str">
        <f t="shared" si="1"/>
        <v>C14</v>
      </c>
      <c r="BG4" t="str">
        <f t="shared" si="2"/>
        <v>B14</v>
      </c>
      <c r="BH4" t="str">
        <f t="shared" si="3"/>
        <v>C15</v>
      </c>
      <c r="BI4" t="str">
        <f t="shared" si="4"/>
        <v>B15</v>
      </c>
      <c r="BJ4" t="str">
        <f t="shared" si="5"/>
        <v>C16</v>
      </c>
      <c r="BK4" t="str">
        <f t="shared" si="6"/>
        <v>B16</v>
      </c>
      <c r="BL4" t="str">
        <f t="shared" si="7"/>
        <v>C17</v>
      </c>
      <c r="BM4" t="str">
        <f t="shared" si="8"/>
        <v>B17</v>
      </c>
      <c r="BN4" t="str">
        <f t="shared" si="9"/>
        <v>C18</v>
      </c>
      <c r="BO4" t="str">
        <f t="shared" si="10"/>
        <v>B18</v>
      </c>
      <c r="BP4" t="str">
        <f t="shared" si="11"/>
        <v>8B</v>
      </c>
      <c r="BQ4" t="str">
        <f t="shared" si="12"/>
        <v>8A</v>
      </c>
      <c r="BR4" t="str">
        <f t="shared" si="18"/>
        <v>9B</v>
      </c>
      <c r="BS4" t="str">
        <f t="shared" si="19"/>
        <v>9A</v>
      </c>
      <c r="BT4" t="str">
        <f t="shared" si="13"/>
        <v>DI1-C13</v>
      </c>
      <c r="BU4" t="str">
        <f t="shared" si="13"/>
        <v>DI1-B13</v>
      </c>
      <c r="BV4" t="str">
        <f t="shared" si="14"/>
        <v>DI1-C14</v>
      </c>
      <c r="BW4" t="str">
        <f t="shared" si="14"/>
        <v>DI1-B14</v>
      </c>
      <c r="BX4" t="str">
        <f t="shared" si="14"/>
        <v>DI1-C15</v>
      </c>
      <c r="BY4" t="str">
        <f t="shared" si="14"/>
        <v>DI1-B15</v>
      </c>
      <c r="BZ4" t="str">
        <f t="shared" si="14"/>
        <v>DI1-C16</v>
      </c>
      <c r="CA4" t="str">
        <f t="shared" si="14"/>
        <v>DI1-B16</v>
      </c>
      <c r="CB4" t="str">
        <f t="shared" si="14"/>
        <v>DI1-C17</v>
      </c>
      <c r="CC4" t="str">
        <f t="shared" si="14"/>
        <v>DI1-B17</v>
      </c>
      <c r="CD4" t="str">
        <f t="shared" si="14"/>
        <v>DI1-C18</v>
      </c>
      <c r="CE4" t="str">
        <f t="shared" si="14"/>
        <v>DI1-B18</v>
      </c>
      <c r="CF4" t="str">
        <f t="shared" si="15"/>
        <v>DO1-7B</v>
      </c>
      <c r="CG4" t="str">
        <f t="shared" si="15"/>
        <v>DO1-7A</v>
      </c>
      <c r="CH4" t="str">
        <f t="shared" si="16"/>
        <v>DO1-8B</v>
      </c>
      <c r="CI4" t="str">
        <f t="shared" si="16"/>
        <v>DO1-8A</v>
      </c>
      <c r="CJ4" t="str">
        <f t="shared" si="16"/>
        <v>DO1-9B</v>
      </c>
      <c r="CK4" t="str">
        <f t="shared" si="16"/>
        <v>DO1-9A</v>
      </c>
      <c r="CL4" t="str">
        <f t="shared" si="20"/>
        <v>K3-10</v>
      </c>
      <c r="CM4" t="str">
        <f t="shared" si="21"/>
        <v>K3-03</v>
      </c>
      <c r="CN4" t="str">
        <f t="shared" si="22"/>
        <v>K3-04</v>
      </c>
      <c r="CO4" t="str">
        <f t="shared" si="23"/>
        <v>K3-01</v>
      </c>
      <c r="CP4" t="str">
        <f t="shared" si="24"/>
        <v>K3-08</v>
      </c>
      <c r="CQ4" t="str">
        <f t="shared" si="25"/>
        <v>K3-02</v>
      </c>
      <c r="CR4" t="str">
        <f t="shared" si="26"/>
        <v>K3-09</v>
      </c>
      <c r="CS4" t="str">
        <f t="shared" si="27"/>
        <v>K3-05</v>
      </c>
      <c r="CT4" t="str">
        <f t="shared" si="28"/>
        <v>K3-11</v>
      </c>
      <c r="CU4" t="str">
        <f t="shared" si="29"/>
        <v>F0-M3-A9</v>
      </c>
      <c r="CV4" t="str">
        <f t="shared" si="30"/>
        <v>F0-M3-A7</v>
      </c>
      <c r="CW4" t="str">
        <f t="shared" si="31"/>
        <v>F0-M3-A8</v>
      </c>
      <c r="CX4" t="str">
        <f t="shared" si="32"/>
        <v>F0-M3-A6</v>
      </c>
      <c r="CY4" t="str">
        <f t="shared" si="33"/>
        <v>F0-M3-A30</v>
      </c>
      <c r="CZ4" t="str">
        <f t="shared" si="34"/>
        <v>F0-M3-N</v>
      </c>
      <c r="DA4" t="str">
        <f t="shared" si="17"/>
        <v>F0-A220-M3</v>
      </c>
      <c r="DB4" t="str">
        <f t="shared" si="35"/>
        <v>F0-M3-XM01</v>
      </c>
      <c r="DC4" t="str">
        <f t="shared" si="36"/>
        <v>F0-M3-A1</v>
      </c>
      <c r="DD4" t="str">
        <f t="shared" si="37"/>
        <v>F0-M3-A5</v>
      </c>
      <c r="DE4" t="str">
        <f t="shared" si="38"/>
        <v>F0-M3-A11</v>
      </c>
      <c r="DF4" t="str">
        <f t="shared" si="39"/>
        <v>F0-M3-A12</v>
      </c>
      <c r="DG4" t="str">
        <f t="shared" si="40"/>
        <v>F0-M3-A19</v>
      </c>
      <c r="DH4" t="str">
        <f t="shared" si="41"/>
        <v>F0-M3-A20</v>
      </c>
      <c r="DI4" t="s">
        <v>142</v>
      </c>
      <c r="DJ4" t="s">
        <v>143</v>
      </c>
      <c r="DK4">
        <v>11</v>
      </c>
      <c r="DL4">
        <v>14</v>
      </c>
      <c r="DM4">
        <v>12</v>
      </c>
      <c r="DN4" t="s">
        <v>144</v>
      </c>
      <c r="DO4" t="s">
        <v>145</v>
      </c>
      <c r="DP4">
        <v>1</v>
      </c>
      <c r="DQ4">
        <v>2</v>
      </c>
      <c r="DR4">
        <v>3</v>
      </c>
      <c r="DS4">
        <v>4</v>
      </c>
      <c r="DT4">
        <v>5</v>
      </c>
      <c r="DU4">
        <v>6</v>
      </c>
      <c r="DV4">
        <v>7</v>
      </c>
      <c r="DW4">
        <v>8</v>
      </c>
      <c r="DX4">
        <v>9</v>
      </c>
      <c r="DY4">
        <v>10</v>
      </c>
      <c r="DZ4">
        <v>11</v>
      </c>
      <c r="EA4">
        <v>12</v>
      </c>
      <c r="EB4">
        <v>13</v>
      </c>
      <c r="EC4">
        <v>14</v>
      </c>
      <c r="ED4">
        <v>1</v>
      </c>
      <c r="EE4">
        <v>3</v>
      </c>
      <c r="EF4">
        <v>4</v>
      </c>
      <c r="EG4">
        <v>7</v>
      </c>
      <c r="EH4">
        <v>8</v>
      </c>
      <c r="EI4">
        <v>9</v>
      </c>
      <c r="EJ4">
        <v>10</v>
      </c>
      <c r="EK4">
        <v>13</v>
      </c>
      <c r="EL4">
        <v>14</v>
      </c>
      <c r="EM4">
        <v>15</v>
      </c>
      <c r="EN4">
        <v>16</v>
      </c>
      <c r="EO4">
        <v>22</v>
      </c>
      <c r="EP4">
        <v>23</v>
      </c>
      <c r="EQ4" s="16">
        <v>24</v>
      </c>
    </row>
    <row r="5" spans="1:552" x14ac:dyDescent="0.25">
      <c r="A5" t="s">
        <v>156</v>
      </c>
      <c r="B5" t="s">
        <v>157</v>
      </c>
      <c r="C5" s="3" t="s">
        <v>127</v>
      </c>
      <c r="O5" s="2"/>
      <c r="P5" t="s">
        <v>129</v>
      </c>
      <c r="Q5" s="1"/>
      <c r="S5" s="1" t="s">
        <v>130</v>
      </c>
      <c r="T5" s="14" t="s">
        <v>554</v>
      </c>
      <c r="U5" s="15">
        <v>4</v>
      </c>
      <c r="V5" s="15" t="s">
        <v>1566</v>
      </c>
      <c r="W5" s="15"/>
      <c r="AC5" t="s">
        <v>131</v>
      </c>
      <c r="AF5" t="s">
        <v>239</v>
      </c>
      <c r="AG5" t="s">
        <v>241</v>
      </c>
      <c r="AH5" t="s">
        <v>132</v>
      </c>
      <c r="AK5" t="s">
        <v>247</v>
      </c>
      <c r="AL5" t="s">
        <v>254</v>
      </c>
      <c r="AM5" t="s">
        <v>158</v>
      </c>
      <c r="AP5" t="s">
        <v>137</v>
      </c>
      <c r="AQ5" t="s">
        <v>138</v>
      </c>
      <c r="AT5" t="s">
        <v>139</v>
      </c>
      <c r="AU5" t="s">
        <v>140</v>
      </c>
      <c r="BD5" s="16"/>
      <c r="BE5" t="str">
        <f t="shared" si="0"/>
        <v>XT4</v>
      </c>
      <c r="BF5" t="str">
        <f t="shared" si="1"/>
        <v>C20</v>
      </c>
      <c r="BG5" t="str">
        <f t="shared" si="2"/>
        <v>B20</v>
      </c>
      <c r="BH5" t="str">
        <f t="shared" si="3"/>
        <v>C21</v>
      </c>
      <c r="BI5" t="str">
        <f t="shared" si="4"/>
        <v>B21</v>
      </c>
      <c r="BJ5" t="str">
        <f t="shared" si="5"/>
        <v>C22</v>
      </c>
      <c r="BK5" t="str">
        <f t="shared" si="6"/>
        <v>B22</v>
      </c>
      <c r="BL5" t="str">
        <f t="shared" si="7"/>
        <v>C23</v>
      </c>
      <c r="BM5" t="str">
        <f t="shared" si="8"/>
        <v>B23</v>
      </c>
      <c r="BN5" t="str">
        <f t="shared" si="9"/>
        <v>C24</v>
      </c>
      <c r="BO5" t="str">
        <f t="shared" si="10"/>
        <v>B24</v>
      </c>
      <c r="BP5" t="str">
        <f t="shared" si="11"/>
        <v>11B</v>
      </c>
      <c r="BQ5" t="str">
        <f t="shared" si="12"/>
        <v>11A</v>
      </c>
      <c r="BR5" t="str">
        <f t="shared" si="18"/>
        <v>12B</v>
      </c>
      <c r="BS5" t="str">
        <f t="shared" si="19"/>
        <v>12A</v>
      </c>
      <c r="BT5" t="str">
        <f t="shared" si="13"/>
        <v>DI1-C19</v>
      </c>
      <c r="BU5" t="str">
        <f t="shared" si="13"/>
        <v>DI1-B19</v>
      </c>
      <c r="BV5" t="str">
        <f t="shared" si="14"/>
        <v>DI1-C20</v>
      </c>
      <c r="BW5" t="str">
        <f t="shared" si="14"/>
        <v>DI1-B20</v>
      </c>
      <c r="BX5" t="str">
        <f t="shared" si="14"/>
        <v>DI1-C21</v>
      </c>
      <c r="BY5" t="str">
        <f t="shared" si="14"/>
        <v>DI1-B21</v>
      </c>
      <c r="BZ5" t="str">
        <f t="shared" si="14"/>
        <v>DI1-C22</v>
      </c>
      <c r="CA5" t="str">
        <f t="shared" si="14"/>
        <v>DI1-B22</v>
      </c>
      <c r="CB5" t="str">
        <f t="shared" si="14"/>
        <v>DI1-C23</v>
      </c>
      <c r="CC5" t="str">
        <f t="shared" si="14"/>
        <v>DI1-B23</v>
      </c>
      <c r="CD5" t="str">
        <f t="shared" si="14"/>
        <v>DI1-C24</v>
      </c>
      <c r="CE5" t="str">
        <f t="shared" si="14"/>
        <v>DI1-B24</v>
      </c>
      <c r="CF5" t="str">
        <f t="shared" si="15"/>
        <v>DO1-10B</v>
      </c>
      <c r="CG5" t="str">
        <f t="shared" si="15"/>
        <v>DO1-10A</v>
      </c>
      <c r="CH5" t="str">
        <f t="shared" si="16"/>
        <v>DO1-11B</v>
      </c>
      <c r="CI5" t="str">
        <f t="shared" si="16"/>
        <v>DO1-11A</v>
      </c>
      <c r="CJ5" t="str">
        <f t="shared" si="16"/>
        <v>DO1-12B</v>
      </c>
      <c r="CK5" t="str">
        <f t="shared" si="16"/>
        <v>DO1-12A</v>
      </c>
      <c r="CL5" t="str">
        <f t="shared" si="20"/>
        <v>K4-10</v>
      </c>
      <c r="CM5" t="str">
        <f t="shared" si="21"/>
        <v>K4-03</v>
      </c>
      <c r="CN5" t="str">
        <f t="shared" si="22"/>
        <v>K4-04</v>
      </c>
      <c r="CO5" t="str">
        <f t="shared" si="23"/>
        <v>K4-01</v>
      </c>
      <c r="CP5" t="str">
        <f t="shared" si="24"/>
        <v>K4-08</v>
      </c>
      <c r="CQ5" t="str">
        <f t="shared" si="25"/>
        <v>K4-02</v>
      </c>
      <c r="CR5" t="str">
        <f t="shared" si="26"/>
        <v>K4-09</v>
      </c>
      <c r="CS5" t="str">
        <f t="shared" si="27"/>
        <v>K4-05</v>
      </c>
      <c r="CT5" t="str">
        <f t="shared" si="28"/>
        <v>K4-11</v>
      </c>
      <c r="CU5" t="str">
        <f t="shared" si="29"/>
        <v>F0-M4-A9</v>
      </c>
      <c r="CV5" t="str">
        <f t="shared" si="30"/>
        <v>F0-M4-A7</v>
      </c>
      <c r="CW5" t="str">
        <f t="shared" si="31"/>
        <v>F0-M4-A8</v>
      </c>
      <c r="CX5" t="str">
        <f t="shared" si="32"/>
        <v>F0-M4-A6</v>
      </c>
      <c r="CY5" t="str">
        <f t="shared" si="33"/>
        <v>F0-M4-A30</v>
      </c>
      <c r="CZ5" t="str">
        <f t="shared" si="34"/>
        <v>F0-M4-N</v>
      </c>
      <c r="DA5" t="str">
        <f t="shared" si="17"/>
        <v>F0-A220-M4</v>
      </c>
      <c r="DB5" t="str">
        <f t="shared" si="35"/>
        <v>F0-M4-XM01</v>
      </c>
      <c r="DC5" t="str">
        <f t="shared" si="36"/>
        <v>F0-M4-A1</v>
      </c>
      <c r="DD5" t="str">
        <f t="shared" si="37"/>
        <v>F0-M4-A5</v>
      </c>
      <c r="DE5" t="str">
        <f t="shared" si="38"/>
        <v>F0-M4-A11</v>
      </c>
      <c r="DF5" t="str">
        <f t="shared" si="39"/>
        <v>F0-M4-A12</v>
      </c>
      <c r="DG5" t="str">
        <f t="shared" si="40"/>
        <v>F0-M4-A19</v>
      </c>
      <c r="DH5" t="str">
        <f t="shared" si="41"/>
        <v>F0-M4-A20</v>
      </c>
      <c r="DI5" t="s">
        <v>142</v>
      </c>
      <c r="DJ5" t="s">
        <v>143</v>
      </c>
      <c r="DK5">
        <v>11</v>
      </c>
      <c r="DL5">
        <v>14</v>
      </c>
      <c r="DM5">
        <v>12</v>
      </c>
      <c r="DN5" t="s">
        <v>144</v>
      </c>
      <c r="DO5" t="s">
        <v>145</v>
      </c>
      <c r="DP5">
        <v>1</v>
      </c>
      <c r="DQ5">
        <v>2</v>
      </c>
      <c r="DR5">
        <v>3</v>
      </c>
      <c r="DS5">
        <v>4</v>
      </c>
      <c r="DT5">
        <v>5</v>
      </c>
      <c r="DU5">
        <v>6</v>
      </c>
      <c r="DV5">
        <v>7</v>
      </c>
      <c r="DW5">
        <v>8</v>
      </c>
      <c r="DX5">
        <v>9</v>
      </c>
      <c r="DY5">
        <v>10</v>
      </c>
      <c r="DZ5">
        <v>11</v>
      </c>
      <c r="EA5">
        <v>12</v>
      </c>
      <c r="EB5">
        <v>13</v>
      </c>
      <c r="EC5">
        <v>14</v>
      </c>
      <c r="ED5">
        <v>1</v>
      </c>
      <c r="EE5">
        <v>3</v>
      </c>
      <c r="EF5">
        <v>4</v>
      </c>
      <c r="EG5">
        <v>7</v>
      </c>
      <c r="EH5">
        <v>8</v>
      </c>
      <c r="EI5">
        <v>9</v>
      </c>
      <c r="EJ5">
        <v>10</v>
      </c>
      <c r="EK5">
        <v>13</v>
      </c>
      <c r="EL5">
        <v>14</v>
      </c>
      <c r="EM5">
        <v>15</v>
      </c>
      <c r="EN5">
        <v>16</v>
      </c>
      <c r="EO5">
        <v>22</v>
      </c>
      <c r="EP5">
        <v>23</v>
      </c>
      <c r="EQ5" s="16">
        <v>24</v>
      </c>
    </row>
    <row r="6" spans="1:552" x14ac:dyDescent="0.25">
      <c r="A6" t="s">
        <v>159</v>
      </c>
      <c r="B6" t="s">
        <v>160</v>
      </c>
      <c r="C6" s="3" t="s">
        <v>127</v>
      </c>
      <c r="O6" s="2"/>
      <c r="P6" t="s">
        <v>129</v>
      </c>
      <c r="Q6" s="1"/>
      <c r="S6" s="1" t="s">
        <v>130</v>
      </c>
      <c r="T6" s="14" t="s">
        <v>554</v>
      </c>
      <c r="U6" s="15">
        <v>5</v>
      </c>
      <c r="V6" s="15" t="s">
        <v>1567</v>
      </c>
      <c r="W6" s="15"/>
      <c r="AC6" t="s">
        <v>131</v>
      </c>
      <c r="AF6" t="s">
        <v>240</v>
      </c>
      <c r="AG6" t="s">
        <v>242</v>
      </c>
      <c r="AH6" t="s">
        <v>132</v>
      </c>
      <c r="AK6" t="s">
        <v>248</v>
      </c>
      <c r="AL6" t="s">
        <v>255</v>
      </c>
      <c r="AM6" t="s">
        <v>161</v>
      </c>
      <c r="AP6" t="s">
        <v>137</v>
      </c>
      <c r="AQ6" t="s">
        <v>138</v>
      </c>
      <c r="AT6" t="s">
        <v>139</v>
      </c>
      <c r="AU6" t="s">
        <v>140</v>
      </c>
      <c r="BD6" s="16"/>
      <c r="BE6" t="str">
        <f t="shared" si="0"/>
        <v>XT5</v>
      </c>
      <c r="BF6" t="str">
        <f t="shared" si="1"/>
        <v>C26</v>
      </c>
      <c r="BG6" t="str">
        <f t="shared" si="2"/>
        <v>B26</v>
      </c>
      <c r="BH6" t="str">
        <f t="shared" si="3"/>
        <v>C27</v>
      </c>
      <c r="BI6" t="str">
        <f t="shared" si="4"/>
        <v>B27</v>
      </c>
      <c r="BJ6" t="str">
        <f t="shared" si="5"/>
        <v>C28</v>
      </c>
      <c r="BK6" t="str">
        <f t="shared" si="6"/>
        <v>B28</v>
      </c>
      <c r="BL6" t="str">
        <f t="shared" si="7"/>
        <v>C29</v>
      </c>
      <c r="BM6" t="str">
        <f t="shared" si="8"/>
        <v>B29</v>
      </c>
      <c r="BN6" t="str">
        <f t="shared" si="9"/>
        <v>C30</v>
      </c>
      <c r="BO6" t="str">
        <f t="shared" si="10"/>
        <v>B30</v>
      </c>
      <c r="BP6" t="str">
        <f t="shared" si="11"/>
        <v>14B</v>
      </c>
      <c r="BQ6" t="str">
        <f t="shared" si="12"/>
        <v>14A</v>
      </c>
      <c r="BR6" t="str">
        <f t="shared" si="18"/>
        <v>15B</v>
      </c>
      <c r="BS6" t="str">
        <f t="shared" si="19"/>
        <v>15A</v>
      </c>
      <c r="BT6" t="str">
        <f t="shared" si="13"/>
        <v>DI1-C25</v>
      </c>
      <c r="BU6" t="str">
        <f t="shared" si="13"/>
        <v>DI1-B25</v>
      </c>
      <c r="BV6" t="str">
        <f t="shared" si="14"/>
        <v>DI1-C26</v>
      </c>
      <c r="BW6" t="str">
        <f t="shared" si="14"/>
        <v>DI1-B26</v>
      </c>
      <c r="BX6" t="str">
        <f t="shared" si="14"/>
        <v>DI1-C27</v>
      </c>
      <c r="BY6" t="str">
        <f t="shared" si="14"/>
        <v>DI1-B27</v>
      </c>
      <c r="BZ6" t="str">
        <f t="shared" si="14"/>
        <v>DI1-C28</v>
      </c>
      <c r="CA6" t="str">
        <f t="shared" si="14"/>
        <v>DI1-B28</v>
      </c>
      <c r="CB6" t="str">
        <f t="shared" si="14"/>
        <v>DI1-C29</v>
      </c>
      <c r="CC6" t="str">
        <f t="shared" si="14"/>
        <v>DI1-B29</v>
      </c>
      <c r="CD6" t="str">
        <f t="shared" si="14"/>
        <v>DI1-C30</v>
      </c>
      <c r="CE6" t="str">
        <f t="shared" si="14"/>
        <v>DI1-B30</v>
      </c>
      <c r="CF6" t="str">
        <f t="shared" si="15"/>
        <v>DO1-13B</v>
      </c>
      <c r="CG6" t="str">
        <f t="shared" si="15"/>
        <v>DO1-13A</v>
      </c>
      <c r="CH6" t="str">
        <f t="shared" si="16"/>
        <v>DO1-14B</v>
      </c>
      <c r="CI6" t="str">
        <f t="shared" si="16"/>
        <v>DO1-14A</v>
      </c>
      <c r="CJ6" t="str">
        <f t="shared" si="16"/>
        <v>DO1-15B</v>
      </c>
      <c r="CK6" t="str">
        <f t="shared" si="16"/>
        <v>DO1-15A</v>
      </c>
      <c r="CL6" t="str">
        <f t="shared" si="20"/>
        <v>K5-10</v>
      </c>
      <c r="CM6" t="str">
        <f t="shared" si="21"/>
        <v>K5-03</v>
      </c>
      <c r="CN6" t="str">
        <f t="shared" si="22"/>
        <v>K5-04</v>
      </c>
      <c r="CO6" t="str">
        <f t="shared" si="23"/>
        <v>K5-01</v>
      </c>
      <c r="CP6" t="str">
        <f t="shared" si="24"/>
        <v>K5-08</v>
      </c>
      <c r="CQ6" t="str">
        <f t="shared" si="25"/>
        <v>K5-02</v>
      </c>
      <c r="CR6" t="str">
        <f t="shared" si="26"/>
        <v>K5-09</v>
      </c>
      <c r="CS6" t="str">
        <f t="shared" si="27"/>
        <v>K5-05</v>
      </c>
      <c r="CT6" t="str">
        <f t="shared" si="28"/>
        <v>K5-11</v>
      </c>
      <c r="CU6" t="str">
        <f t="shared" si="29"/>
        <v>F0-M5-A9</v>
      </c>
      <c r="CV6" t="str">
        <f t="shared" si="30"/>
        <v>F0-M5-A7</v>
      </c>
      <c r="CW6" t="str">
        <f t="shared" si="31"/>
        <v>F0-M5-A8</v>
      </c>
      <c r="CX6" t="str">
        <f t="shared" si="32"/>
        <v>F0-M5-A6</v>
      </c>
      <c r="CY6" t="str">
        <f t="shared" si="33"/>
        <v>F0-M5-A30</v>
      </c>
      <c r="CZ6" t="str">
        <f t="shared" si="34"/>
        <v>F0-M5-N</v>
      </c>
      <c r="DA6" t="str">
        <f t="shared" si="17"/>
        <v>F0-A220-M5</v>
      </c>
      <c r="DB6" t="str">
        <f t="shared" si="35"/>
        <v>F0-M5-XM01</v>
      </c>
      <c r="DC6" t="str">
        <f t="shared" si="36"/>
        <v>F0-M5-A1</v>
      </c>
      <c r="DD6" t="str">
        <f t="shared" si="37"/>
        <v>F0-M5-A5</v>
      </c>
      <c r="DE6" t="str">
        <f t="shared" si="38"/>
        <v>F0-M5-A11</v>
      </c>
      <c r="DF6" t="str">
        <f t="shared" si="39"/>
        <v>F0-M5-A12</v>
      </c>
      <c r="DG6" t="str">
        <f t="shared" si="40"/>
        <v>F0-M5-A19</v>
      </c>
      <c r="DH6" t="str">
        <f t="shared" si="41"/>
        <v>F0-M5-A20</v>
      </c>
      <c r="DI6" t="s">
        <v>142</v>
      </c>
      <c r="DJ6" t="s">
        <v>143</v>
      </c>
      <c r="DK6">
        <v>11</v>
      </c>
      <c r="DL6">
        <v>14</v>
      </c>
      <c r="DM6">
        <v>12</v>
      </c>
      <c r="DN6" t="s">
        <v>144</v>
      </c>
      <c r="DO6" t="s">
        <v>145</v>
      </c>
      <c r="DP6">
        <v>1</v>
      </c>
      <c r="DQ6">
        <v>2</v>
      </c>
      <c r="DR6">
        <v>3</v>
      </c>
      <c r="DS6">
        <v>4</v>
      </c>
      <c r="DT6">
        <v>5</v>
      </c>
      <c r="DU6">
        <v>6</v>
      </c>
      <c r="DV6">
        <v>7</v>
      </c>
      <c r="DW6">
        <v>8</v>
      </c>
      <c r="DX6">
        <v>9</v>
      </c>
      <c r="DY6">
        <v>10</v>
      </c>
      <c r="DZ6">
        <v>11</v>
      </c>
      <c r="EA6">
        <v>12</v>
      </c>
      <c r="EB6">
        <v>13</v>
      </c>
      <c r="EC6">
        <v>14</v>
      </c>
      <c r="ED6">
        <v>1</v>
      </c>
      <c r="EE6">
        <v>3</v>
      </c>
      <c r="EF6">
        <v>4</v>
      </c>
      <c r="EG6">
        <v>7</v>
      </c>
      <c r="EH6">
        <v>8</v>
      </c>
      <c r="EI6">
        <v>9</v>
      </c>
      <c r="EJ6">
        <v>10</v>
      </c>
      <c r="EK6">
        <v>13</v>
      </c>
      <c r="EL6">
        <v>14</v>
      </c>
      <c r="EM6">
        <v>15</v>
      </c>
      <c r="EN6">
        <v>16</v>
      </c>
      <c r="EO6">
        <v>22</v>
      </c>
      <c r="EP6">
        <v>23</v>
      </c>
      <c r="EQ6" s="16">
        <v>24</v>
      </c>
    </row>
    <row r="7" spans="1:552" x14ac:dyDescent="0.25">
      <c r="A7" t="s">
        <v>162</v>
      </c>
      <c r="B7" t="s">
        <v>126</v>
      </c>
      <c r="C7" s="3" t="s">
        <v>127</v>
      </c>
      <c r="O7" s="2"/>
      <c r="P7" t="s">
        <v>129</v>
      </c>
      <c r="Q7" s="1"/>
      <c r="S7" s="1" t="s">
        <v>130</v>
      </c>
      <c r="T7" s="14" t="s">
        <v>554</v>
      </c>
      <c r="U7" s="15">
        <v>6</v>
      </c>
      <c r="V7" s="15" t="s">
        <v>1568</v>
      </c>
      <c r="W7" s="15"/>
      <c r="AC7" t="s">
        <v>261</v>
      </c>
      <c r="AF7" t="s">
        <v>133</v>
      </c>
      <c r="AG7" t="s">
        <v>134</v>
      </c>
      <c r="AH7" t="s">
        <v>132</v>
      </c>
      <c r="AK7" t="s">
        <v>249</v>
      </c>
      <c r="AL7" t="s">
        <v>256</v>
      </c>
      <c r="AM7" t="s">
        <v>163</v>
      </c>
      <c r="AP7" t="s">
        <v>137</v>
      </c>
      <c r="AQ7" t="s">
        <v>138</v>
      </c>
      <c r="AT7" t="s">
        <v>139</v>
      </c>
      <c r="AU7" t="s">
        <v>140</v>
      </c>
      <c r="BD7" s="16"/>
      <c r="BE7" t="str">
        <f t="shared" si="0"/>
        <v>XT6</v>
      </c>
      <c r="BF7" t="str">
        <f t="shared" si="1"/>
        <v>C2</v>
      </c>
      <c r="BG7" t="str">
        <f t="shared" si="2"/>
        <v>B2</v>
      </c>
      <c r="BH7" t="str">
        <f t="shared" si="3"/>
        <v>C3</v>
      </c>
      <c r="BI7" t="str">
        <f t="shared" si="4"/>
        <v>B3</v>
      </c>
      <c r="BJ7" t="str">
        <f t="shared" si="5"/>
        <v>C4</v>
      </c>
      <c r="BK7" t="str">
        <f t="shared" si="6"/>
        <v>B4</v>
      </c>
      <c r="BL7" t="str">
        <f t="shared" si="7"/>
        <v>C5</v>
      </c>
      <c r="BM7" t="str">
        <f t="shared" si="8"/>
        <v>B5</v>
      </c>
      <c r="BN7" t="str">
        <f t="shared" si="9"/>
        <v>C6</v>
      </c>
      <c r="BO7" t="str">
        <f t="shared" si="10"/>
        <v>B6</v>
      </c>
      <c r="BP7" t="str">
        <f t="shared" si="11"/>
        <v>17B</v>
      </c>
      <c r="BQ7" t="str">
        <f t="shared" si="12"/>
        <v>17A</v>
      </c>
      <c r="BR7" t="str">
        <f t="shared" si="18"/>
        <v>18B</v>
      </c>
      <c r="BS7" t="str">
        <f t="shared" si="19"/>
        <v>18A</v>
      </c>
      <c r="BT7" t="str">
        <f t="shared" si="13"/>
        <v>DI2-C1</v>
      </c>
      <c r="BU7" t="str">
        <f t="shared" si="13"/>
        <v>DI2-B1</v>
      </c>
      <c r="BV7" t="str">
        <f t="shared" si="14"/>
        <v>DI2-C2</v>
      </c>
      <c r="BW7" t="str">
        <f t="shared" si="14"/>
        <v>DI2-B2</v>
      </c>
      <c r="BX7" t="str">
        <f t="shared" si="14"/>
        <v>DI2-C3</v>
      </c>
      <c r="BY7" t="str">
        <f t="shared" si="14"/>
        <v>DI2-B3</v>
      </c>
      <c r="BZ7" t="str">
        <f t="shared" si="14"/>
        <v>DI2-C4</v>
      </c>
      <c r="CA7" t="str">
        <f t="shared" si="14"/>
        <v>DI2-B4</v>
      </c>
      <c r="CB7" t="str">
        <f t="shared" si="14"/>
        <v>DI2-C5</v>
      </c>
      <c r="CC7" t="str">
        <f t="shared" si="14"/>
        <v>DI2-B5</v>
      </c>
      <c r="CD7" t="str">
        <f t="shared" si="14"/>
        <v>DI2-C6</v>
      </c>
      <c r="CE7" t="str">
        <f t="shared" si="14"/>
        <v>DI2-B6</v>
      </c>
      <c r="CF7" t="str">
        <f t="shared" si="15"/>
        <v>DO1-16B</v>
      </c>
      <c r="CG7" t="str">
        <f t="shared" si="15"/>
        <v>DO1-16A</v>
      </c>
      <c r="CH7" t="str">
        <f t="shared" si="16"/>
        <v>DO1-17B</v>
      </c>
      <c r="CI7" t="str">
        <f t="shared" si="16"/>
        <v>DO1-17A</v>
      </c>
      <c r="CJ7" t="str">
        <f t="shared" si="16"/>
        <v>DO1-18B</v>
      </c>
      <c r="CK7" t="str">
        <f t="shared" si="16"/>
        <v>DO1-18A</v>
      </c>
      <c r="CL7" t="str">
        <f t="shared" si="20"/>
        <v>K6-10</v>
      </c>
      <c r="CM7" t="str">
        <f t="shared" si="21"/>
        <v>K6-03</v>
      </c>
      <c r="CN7" t="str">
        <f t="shared" si="22"/>
        <v>K6-04</v>
      </c>
      <c r="CO7" t="str">
        <f t="shared" si="23"/>
        <v>K6-01</v>
      </c>
      <c r="CP7" t="str">
        <f t="shared" si="24"/>
        <v>K6-08</v>
      </c>
      <c r="CQ7" t="str">
        <f t="shared" si="25"/>
        <v>K6-02</v>
      </c>
      <c r="CR7" t="str">
        <f t="shared" si="26"/>
        <v>K6-09</v>
      </c>
      <c r="CS7" t="str">
        <f t="shared" si="27"/>
        <v>K6-05</v>
      </c>
      <c r="CT7" t="str">
        <f t="shared" si="28"/>
        <v>K6-11</v>
      </c>
      <c r="CU7" t="str">
        <f t="shared" si="29"/>
        <v>F0-M6-A9</v>
      </c>
      <c r="CV7" t="str">
        <f t="shared" si="30"/>
        <v>F0-M6-A7</v>
      </c>
      <c r="CW7" t="str">
        <f t="shared" si="31"/>
        <v>F0-M6-A8</v>
      </c>
      <c r="CX7" t="str">
        <f t="shared" si="32"/>
        <v>F0-M6-A6</v>
      </c>
      <c r="CY7" t="str">
        <f t="shared" si="33"/>
        <v>F0-M6-A30</v>
      </c>
      <c r="CZ7" t="str">
        <f t="shared" si="34"/>
        <v>F0-M6-N</v>
      </c>
      <c r="DA7" t="str">
        <f t="shared" si="17"/>
        <v>F0-A220-M6</v>
      </c>
      <c r="DB7" t="str">
        <f t="shared" si="35"/>
        <v>F0-M6-XM01</v>
      </c>
      <c r="DC7" t="str">
        <f t="shared" si="36"/>
        <v>F0-M6-A1</v>
      </c>
      <c r="DD7" t="str">
        <f t="shared" si="37"/>
        <v>F0-M6-A5</v>
      </c>
      <c r="DE7" t="str">
        <f t="shared" si="38"/>
        <v>F0-M6-A11</v>
      </c>
      <c r="DF7" t="str">
        <f t="shared" si="39"/>
        <v>F0-M6-A12</v>
      </c>
      <c r="DG7" t="str">
        <f t="shared" si="40"/>
        <v>F0-M6-A19</v>
      </c>
      <c r="DH7" t="str">
        <f t="shared" si="41"/>
        <v>F0-M6-A20</v>
      </c>
      <c r="DI7" t="s">
        <v>142</v>
      </c>
      <c r="DJ7" t="s">
        <v>143</v>
      </c>
      <c r="DK7">
        <v>11</v>
      </c>
      <c r="DL7">
        <v>14</v>
      </c>
      <c r="DM7">
        <v>12</v>
      </c>
      <c r="DN7" t="s">
        <v>144</v>
      </c>
      <c r="DO7" t="s">
        <v>145</v>
      </c>
      <c r="DP7">
        <v>1</v>
      </c>
      <c r="DQ7">
        <v>2</v>
      </c>
      <c r="DR7">
        <v>3</v>
      </c>
      <c r="DS7">
        <v>4</v>
      </c>
      <c r="DT7">
        <v>5</v>
      </c>
      <c r="DU7">
        <v>6</v>
      </c>
      <c r="DV7">
        <v>7</v>
      </c>
      <c r="DW7">
        <v>8</v>
      </c>
      <c r="DX7">
        <v>9</v>
      </c>
      <c r="DY7">
        <v>10</v>
      </c>
      <c r="DZ7">
        <v>11</v>
      </c>
      <c r="EA7">
        <v>12</v>
      </c>
      <c r="EB7">
        <v>13</v>
      </c>
      <c r="EC7">
        <v>14</v>
      </c>
      <c r="ED7">
        <v>1</v>
      </c>
      <c r="EE7">
        <v>3</v>
      </c>
      <c r="EF7">
        <v>4</v>
      </c>
      <c r="EG7">
        <v>7</v>
      </c>
      <c r="EH7">
        <v>8</v>
      </c>
      <c r="EI7">
        <v>9</v>
      </c>
      <c r="EJ7">
        <v>10</v>
      </c>
      <c r="EK7">
        <v>13</v>
      </c>
      <c r="EL7">
        <v>14</v>
      </c>
      <c r="EM7">
        <v>15</v>
      </c>
      <c r="EN7">
        <v>16</v>
      </c>
      <c r="EO7">
        <v>22</v>
      </c>
      <c r="EP7">
        <v>23</v>
      </c>
      <c r="EQ7" s="16">
        <v>24</v>
      </c>
    </row>
    <row r="8" spans="1:552" x14ac:dyDescent="0.25">
      <c r="A8" t="s">
        <v>164</v>
      </c>
      <c r="B8" t="s">
        <v>165</v>
      </c>
      <c r="C8" s="3" t="s">
        <v>127</v>
      </c>
      <c r="O8" s="2"/>
      <c r="P8" t="s">
        <v>129</v>
      </c>
      <c r="Q8" s="1"/>
      <c r="S8" s="1" t="s">
        <v>130</v>
      </c>
      <c r="T8" s="14" t="s">
        <v>554</v>
      </c>
      <c r="U8" s="15">
        <v>7</v>
      </c>
      <c r="V8" s="15" t="s">
        <v>1569</v>
      </c>
      <c r="W8" s="15"/>
      <c r="AC8" t="s">
        <v>261</v>
      </c>
      <c r="AF8" t="s">
        <v>148</v>
      </c>
      <c r="AG8" t="s">
        <v>149</v>
      </c>
      <c r="AH8" t="s">
        <v>132</v>
      </c>
      <c r="AK8" t="s">
        <v>250</v>
      </c>
      <c r="AL8" t="s">
        <v>257</v>
      </c>
      <c r="AM8" t="s">
        <v>166</v>
      </c>
      <c r="AP8" t="s">
        <v>137</v>
      </c>
      <c r="AQ8" t="s">
        <v>138</v>
      </c>
      <c r="AT8" t="s">
        <v>139</v>
      </c>
      <c r="AU8" t="s">
        <v>140</v>
      </c>
      <c r="BD8" s="16"/>
      <c r="BE8" t="str">
        <f t="shared" si="0"/>
        <v>XT7</v>
      </c>
      <c r="BF8" t="str">
        <f t="shared" si="1"/>
        <v>C8</v>
      </c>
      <c r="BG8" t="str">
        <f t="shared" si="2"/>
        <v>B8</v>
      </c>
      <c r="BH8" t="str">
        <f t="shared" si="3"/>
        <v>C9</v>
      </c>
      <c r="BI8" t="str">
        <f t="shared" si="4"/>
        <v>B9</v>
      </c>
      <c r="BJ8" t="str">
        <f t="shared" si="5"/>
        <v>C10</v>
      </c>
      <c r="BK8" t="str">
        <f t="shared" si="6"/>
        <v>B10</v>
      </c>
      <c r="BL8" t="str">
        <f t="shared" si="7"/>
        <v>C11</v>
      </c>
      <c r="BM8" t="str">
        <f t="shared" si="8"/>
        <v>B11</v>
      </c>
      <c r="BN8" t="str">
        <f t="shared" si="9"/>
        <v>C12</v>
      </c>
      <c r="BO8" t="str">
        <f t="shared" si="10"/>
        <v>B12</v>
      </c>
      <c r="BP8" t="str">
        <f t="shared" si="11"/>
        <v>20B</v>
      </c>
      <c r="BQ8" t="str">
        <f t="shared" si="12"/>
        <v>20A</v>
      </c>
      <c r="BR8" t="str">
        <f t="shared" si="18"/>
        <v>21B</v>
      </c>
      <c r="BS8" t="str">
        <f t="shared" si="19"/>
        <v>21A</v>
      </c>
      <c r="BT8" t="str">
        <f t="shared" si="13"/>
        <v>DI2-C7</v>
      </c>
      <c r="BU8" t="str">
        <f t="shared" si="13"/>
        <v>DI2-B7</v>
      </c>
      <c r="BV8" t="str">
        <f t="shared" si="14"/>
        <v>DI2-C8</v>
      </c>
      <c r="BW8" t="str">
        <f t="shared" si="14"/>
        <v>DI2-B8</v>
      </c>
      <c r="BX8" t="str">
        <f t="shared" si="14"/>
        <v>DI2-C9</v>
      </c>
      <c r="BY8" t="str">
        <f t="shared" si="14"/>
        <v>DI2-B9</v>
      </c>
      <c r="BZ8" t="str">
        <f t="shared" si="14"/>
        <v>DI2-C10</v>
      </c>
      <c r="CA8" t="str">
        <f t="shared" si="14"/>
        <v>DI2-B10</v>
      </c>
      <c r="CB8" t="str">
        <f t="shared" si="14"/>
        <v>DI2-C11</v>
      </c>
      <c r="CC8" t="str">
        <f t="shared" si="14"/>
        <v>DI2-B11</v>
      </c>
      <c r="CD8" t="str">
        <f t="shared" si="14"/>
        <v>DI2-C12</v>
      </c>
      <c r="CE8" t="str">
        <f t="shared" si="14"/>
        <v>DI2-B12</v>
      </c>
      <c r="CF8" t="str">
        <f t="shared" si="15"/>
        <v>DO1-19B</v>
      </c>
      <c r="CG8" t="str">
        <f t="shared" si="15"/>
        <v>DO1-19A</v>
      </c>
      <c r="CH8" t="str">
        <f t="shared" si="16"/>
        <v>DO1-20B</v>
      </c>
      <c r="CI8" t="str">
        <f t="shared" si="16"/>
        <v>DO1-20A</v>
      </c>
      <c r="CJ8" t="str">
        <f t="shared" si="16"/>
        <v>DO1-21B</v>
      </c>
      <c r="CK8" t="str">
        <f t="shared" si="16"/>
        <v>DO1-21A</v>
      </c>
      <c r="CL8" t="str">
        <f t="shared" si="20"/>
        <v>K7-10</v>
      </c>
      <c r="CM8" t="str">
        <f t="shared" si="21"/>
        <v>K7-03</v>
      </c>
      <c r="CN8" t="str">
        <f t="shared" si="22"/>
        <v>K7-04</v>
      </c>
      <c r="CO8" t="str">
        <f t="shared" si="23"/>
        <v>K7-01</v>
      </c>
      <c r="CP8" t="str">
        <f t="shared" si="24"/>
        <v>K7-08</v>
      </c>
      <c r="CQ8" t="str">
        <f t="shared" si="25"/>
        <v>K7-02</v>
      </c>
      <c r="CR8" t="str">
        <f t="shared" si="26"/>
        <v>K7-09</v>
      </c>
      <c r="CS8" t="str">
        <f t="shared" si="27"/>
        <v>K7-05</v>
      </c>
      <c r="CT8" t="str">
        <f t="shared" si="28"/>
        <v>K7-11</v>
      </c>
      <c r="CU8" t="str">
        <f t="shared" si="29"/>
        <v>F0-M7-A9</v>
      </c>
      <c r="CV8" t="str">
        <f t="shared" si="30"/>
        <v>F0-M7-A7</v>
      </c>
      <c r="CW8" t="str">
        <f t="shared" si="31"/>
        <v>F0-M7-A8</v>
      </c>
      <c r="CX8" t="str">
        <f t="shared" si="32"/>
        <v>F0-M7-A6</v>
      </c>
      <c r="CY8" t="str">
        <f t="shared" si="33"/>
        <v>F0-M7-A30</v>
      </c>
      <c r="CZ8" t="str">
        <f t="shared" si="34"/>
        <v>F0-M7-N</v>
      </c>
      <c r="DA8" t="str">
        <f t="shared" si="17"/>
        <v>F0-A220-M7</v>
      </c>
      <c r="DB8" t="str">
        <f t="shared" si="35"/>
        <v>F0-M7-XM01</v>
      </c>
      <c r="DC8" t="str">
        <f t="shared" si="36"/>
        <v>F0-M7-A1</v>
      </c>
      <c r="DD8" t="str">
        <f t="shared" si="37"/>
        <v>F0-M7-A5</v>
      </c>
      <c r="DE8" t="str">
        <f t="shared" si="38"/>
        <v>F0-M7-A11</v>
      </c>
      <c r="DF8" t="str">
        <f t="shared" si="39"/>
        <v>F0-M7-A12</v>
      </c>
      <c r="DG8" t="str">
        <f t="shared" si="40"/>
        <v>F0-M7-A19</v>
      </c>
      <c r="DH8" t="str">
        <f t="shared" si="41"/>
        <v>F0-M7-A20</v>
      </c>
      <c r="DI8" t="s">
        <v>142</v>
      </c>
      <c r="DJ8" t="s">
        <v>143</v>
      </c>
      <c r="DK8">
        <v>11</v>
      </c>
      <c r="DL8">
        <v>14</v>
      </c>
      <c r="DM8">
        <v>12</v>
      </c>
      <c r="DN8" t="s">
        <v>144</v>
      </c>
      <c r="DO8" t="s">
        <v>145</v>
      </c>
      <c r="DP8">
        <v>1</v>
      </c>
      <c r="DQ8">
        <v>2</v>
      </c>
      <c r="DR8">
        <v>3</v>
      </c>
      <c r="DS8">
        <v>4</v>
      </c>
      <c r="DT8">
        <v>5</v>
      </c>
      <c r="DU8">
        <v>6</v>
      </c>
      <c r="DV8">
        <v>7</v>
      </c>
      <c r="DW8">
        <v>8</v>
      </c>
      <c r="DX8">
        <v>9</v>
      </c>
      <c r="DY8">
        <v>10</v>
      </c>
      <c r="DZ8">
        <v>11</v>
      </c>
      <c r="EA8">
        <v>12</v>
      </c>
      <c r="EB8">
        <v>13</v>
      </c>
      <c r="EC8">
        <v>14</v>
      </c>
      <c r="ED8">
        <v>1</v>
      </c>
      <c r="EE8">
        <v>3</v>
      </c>
      <c r="EF8">
        <v>4</v>
      </c>
      <c r="EG8">
        <v>7</v>
      </c>
      <c r="EH8">
        <v>8</v>
      </c>
      <c r="EI8">
        <v>9</v>
      </c>
      <c r="EJ8">
        <v>10</v>
      </c>
      <c r="EK8">
        <v>13</v>
      </c>
      <c r="EL8">
        <v>14</v>
      </c>
      <c r="EM8">
        <v>15</v>
      </c>
      <c r="EN8">
        <v>16</v>
      </c>
      <c r="EO8">
        <v>22</v>
      </c>
      <c r="EP8">
        <v>23</v>
      </c>
      <c r="EQ8" s="16">
        <v>24</v>
      </c>
    </row>
    <row r="9" spans="1:552" x14ac:dyDescent="0.25">
      <c r="A9" t="s">
        <v>167</v>
      </c>
      <c r="B9" t="s">
        <v>168</v>
      </c>
      <c r="C9" s="3" t="s">
        <v>127</v>
      </c>
      <c r="O9" s="2"/>
      <c r="P9" t="s">
        <v>129</v>
      </c>
      <c r="Q9" s="1"/>
      <c r="S9" s="1" t="s">
        <v>130</v>
      </c>
      <c r="T9" s="14" t="s">
        <v>554</v>
      </c>
      <c r="U9" s="15">
        <v>8</v>
      </c>
      <c r="V9" s="15" t="s">
        <v>1570</v>
      </c>
      <c r="W9" s="15"/>
      <c r="AC9" t="s">
        <v>261</v>
      </c>
      <c r="AF9" t="s">
        <v>153</v>
      </c>
      <c r="AG9" t="s">
        <v>154</v>
      </c>
      <c r="AH9" t="s">
        <v>132</v>
      </c>
      <c r="AK9" t="s">
        <v>251</v>
      </c>
      <c r="AL9" t="s">
        <v>258</v>
      </c>
      <c r="AM9" t="s">
        <v>169</v>
      </c>
      <c r="AP9" t="s">
        <v>137</v>
      </c>
      <c r="AQ9" t="s">
        <v>138</v>
      </c>
      <c r="AT9" t="s">
        <v>139</v>
      </c>
      <c r="AU9" t="s">
        <v>140</v>
      </c>
      <c r="BD9" s="16"/>
      <c r="BE9" t="str">
        <f t="shared" si="0"/>
        <v>XT8</v>
      </c>
      <c r="BF9" t="str">
        <f t="shared" si="1"/>
        <v>C14</v>
      </c>
      <c r="BG9" t="str">
        <f t="shared" si="2"/>
        <v>B14</v>
      </c>
      <c r="BH9" t="str">
        <f t="shared" si="3"/>
        <v>C15</v>
      </c>
      <c r="BI9" t="str">
        <f t="shared" si="4"/>
        <v>B15</v>
      </c>
      <c r="BJ9" t="str">
        <f t="shared" si="5"/>
        <v>C16</v>
      </c>
      <c r="BK9" t="str">
        <f t="shared" si="6"/>
        <v>B16</v>
      </c>
      <c r="BL9" t="str">
        <f t="shared" si="7"/>
        <v>C17</v>
      </c>
      <c r="BM9" t="str">
        <f t="shared" si="8"/>
        <v>B17</v>
      </c>
      <c r="BN9" t="str">
        <f t="shared" si="9"/>
        <v>C18</v>
      </c>
      <c r="BO9" t="str">
        <f t="shared" si="10"/>
        <v>B18</v>
      </c>
      <c r="BP9" t="str">
        <f t="shared" si="11"/>
        <v>23B</v>
      </c>
      <c r="BQ9" t="str">
        <f t="shared" si="12"/>
        <v>23A</v>
      </c>
      <c r="BR9" t="str">
        <f t="shared" si="18"/>
        <v>24B</v>
      </c>
      <c r="BS9" t="str">
        <f t="shared" si="19"/>
        <v>24A</v>
      </c>
      <c r="BT9" t="str">
        <f t="shared" si="13"/>
        <v>DI2-C13</v>
      </c>
      <c r="BU9" t="str">
        <f t="shared" si="13"/>
        <v>DI2-B13</v>
      </c>
      <c r="BV9" t="str">
        <f t="shared" si="14"/>
        <v>DI2-C14</v>
      </c>
      <c r="BW9" t="str">
        <f t="shared" si="14"/>
        <v>DI2-B14</v>
      </c>
      <c r="BX9" t="str">
        <f t="shared" si="14"/>
        <v>DI2-C15</v>
      </c>
      <c r="BY9" t="str">
        <f t="shared" si="14"/>
        <v>DI2-B15</v>
      </c>
      <c r="BZ9" t="str">
        <f t="shared" si="14"/>
        <v>DI2-C16</v>
      </c>
      <c r="CA9" t="str">
        <f t="shared" si="14"/>
        <v>DI2-B16</v>
      </c>
      <c r="CB9" t="str">
        <f t="shared" si="14"/>
        <v>DI2-C17</v>
      </c>
      <c r="CC9" t="str">
        <f t="shared" si="14"/>
        <v>DI2-B17</v>
      </c>
      <c r="CD9" t="str">
        <f t="shared" si="14"/>
        <v>DI2-C18</v>
      </c>
      <c r="CE9" t="str">
        <f t="shared" si="14"/>
        <v>DI2-B18</v>
      </c>
      <c r="CF9" t="str">
        <f t="shared" si="15"/>
        <v>DO1-22B</v>
      </c>
      <c r="CG9" t="str">
        <f t="shared" si="15"/>
        <v>DO1-22A</v>
      </c>
      <c r="CH9" t="str">
        <f t="shared" si="16"/>
        <v>DO1-23B</v>
      </c>
      <c r="CI9" t="str">
        <f t="shared" si="16"/>
        <v>DO1-23A</v>
      </c>
      <c r="CJ9" t="str">
        <f t="shared" si="16"/>
        <v>DO1-24B</v>
      </c>
      <c r="CK9" t="str">
        <f t="shared" si="16"/>
        <v>DO1-24A</v>
      </c>
      <c r="CL9" t="str">
        <f t="shared" si="20"/>
        <v>K8-10</v>
      </c>
      <c r="CM9" t="str">
        <f t="shared" si="21"/>
        <v>K8-03</v>
      </c>
      <c r="CN9" t="str">
        <f t="shared" si="22"/>
        <v>K8-04</v>
      </c>
      <c r="CO9" t="str">
        <f t="shared" si="23"/>
        <v>K8-01</v>
      </c>
      <c r="CP9" t="str">
        <f t="shared" si="24"/>
        <v>K8-08</v>
      </c>
      <c r="CQ9" t="str">
        <f t="shared" si="25"/>
        <v>K8-02</v>
      </c>
      <c r="CR9" t="str">
        <f t="shared" si="26"/>
        <v>K8-09</v>
      </c>
      <c r="CS9" t="str">
        <f t="shared" si="27"/>
        <v>K8-05</v>
      </c>
      <c r="CT9" t="str">
        <f t="shared" si="28"/>
        <v>K8-11</v>
      </c>
      <c r="CU9" t="str">
        <f t="shared" si="29"/>
        <v>F0-M8-A9</v>
      </c>
      <c r="CV9" t="str">
        <f t="shared" si="30"/>
        <v>F0-M8-A7</v>
      </c>
      <c r="CW9" t="str">
        <f t="shared" si="31"/>
        <v>F0-M8-A8</v>
      </c>
      <c r="CX9" t="str">
        <f t="shared" si="32"/>
        <v>F0-M8-A6</v>
      </c>
      <c r="CY9" t="str">
        <f t="shared" si="33"/>
        <v>F0-M8-A30</v>
      </c>
      <c r="CZ9" t="str">
        <f t="shared" si="34"/>
        <v>F0-M8-N</v>
      </c>
      <c r="DA9" t="str">
        <f t="shared" si="17"/>
        <v>F0-A220-M8</v>
      </c>
      <c r="DB9" t="str">
        <f t="shared" si="35"/>
        <v>F0-M8-XM01</v>
      </c>
      <c r="DC9" t="str">
        <f t="shared" si="36"/>
        <v>F0-M8-A1</v>
      </c>
      <c r="DD9" t="str">
        <f t="shared" si="37"/>
        <v>F0-M8-A5</v>
      </c>
      <c r="DE9" t="str">
        <f t="shared" si="38"/>
        <v>F0-M8-A11</v>
      </c>
      <c r="DF9" t="str">
        <f t="shared" si="39"/>
        <v>F0-M8-A12</v>
      </c>
      <c r="DG9" t="str">
        <f t="shared" si="40"/>
        <v>F0-M8-A19</v>
      </c>
      <c r="DH9" t="str">
        <f t="shared" si="41"/>
        <v>F0-M8-A20</v>
      </c>
      <c r="DI9" t="s">
        <v>142</v>
      </c>
      <c r="DJ9" t="s">
        <v>143</v>
      </c>
      <c r="DK9">
        <v>11</v>
      </c>
      <c r="DL9">
        <v>14</v>
      </c>
      <c r="DM9">
        <v>12</v>
      </c>
      <c r="DN9" t="s">
        <v>144</v>
      </c>
      <c r="DO9" t="s">
        <v>145</v>
      </c>
      <c r="DP9">
        <v>1</v>
      </c>
      <c r="DQ9">
        <v>2</v>
      </c>
      <c r="DR9">
        <v>3</v>
      </c>
      <c r="DS9">
        <v>4</v>
      </c>
      <c r="DT9">
        <v>5</v>
      </c>
      <c r="DU9">
        <v>6</v>
      </c>
      <c r="DV9">
        <v>7</v>
      </c>
      <c r="DW9">
        <v>8</v>
      </c>
      <c r="DX9">
        <v>9</v>
      </c>
      <c r="DY9">
        <v>10</v>
      </c>
      <c r="DZ9">
        <v>11</v>
      </c>
      <c r="EA9">
        <v>12</v>
      </c>
      <c r="EB9">
        <v>13</v>
      </c>
      <c r="EC9">
        <v>14</v>
      </c>
      <c r="ED9">
        <v>1</v>
      </c>
      <c r="EE9">
        <v>3</v>
      </c>
      <c r="EF9">
        <v>4</v>
      </c>
      <c r="EG9">
        <v>7</v>
      </c>
      <c r="EH9">
        <v>8</v>
      </c>
      <c r="EI9">
        <v>9</v>
      </c>
      <c r="EJ9">
        <v>10</v>
      </c>
      <c r="EK9">
        <v>13</v>
      </c>
      <c r="EL9">
        <v>14</v>
      </c>
      <c r="EM9">
        <v>15</v>
      </c>
      <c r="EN9">
        <v>16</v>
      </c>
      <c r="EO9">
        <v>22</v>
      </c>
      <c r="EP9">
        <v>23</v>
      </c>
      <c r="EQ9" s="16">
        <v>24</v>
      </c>
    </row>
    <row r="10" spans="1:552" x14ac:dyDescent="0.25">
      <c r="A10" t="s">
        <v>170</v>
      </c>
      <c r="B10" t="s">
        <v>171</v>
      </c>
      <c r="C10" s="3" t="s">
        <v>127</v>
      </c>
      <c r="O10" s="2"/>
      <c r="P10" t="s">
        <v>129</v>
      </c>
      <c r="Q10" s="1"/>
      <c r="S10" s="1" t="s">
        <v>130</v>
      </c>
      <c r="T10" s="14" t="s">
        <v>554</v>
      </c>
      <c r="U10" s="15">
        <v>9</v>
      </c>
      <c r="V10" s="15" t="s">
        <v>1571</v>
      </c>
      <c r="W10" s="15"/>
      <c r="AC10" t="s">
        <v>261</v>
      </c>
      <c r="AF10" t="s">
        <v>239</v>
      </c>
      <c r="AG10" t="s">
        <v>241</v>
      </c>
      <c r="AH10" t="s">
        <v>132</v>
      </c>
      <c r="AK10" t="s">
        <v>252</v>
      </c>
      <c r="AL10" t="s">
        <v>259</v>
      </c>
      <c r="AM10" t="s">
        <v>172</v>
      </c>
      <c r="AP10" t="s">
        <v>137</v>
      </c>
      <c r="AQ10" t="s">
        <v>138</v>
      </c>
      <c r="AT10" t="s">
        <v>139</v>
      </c>
      <c r="AU10" t="s">
        <v>140</v>
      </c>
      <c r="BD10" s="16"/>
      <c r="BE10" t="str">
        <f t="shared" si="0"/>
        <v>XT9</v>
      </c>
      <c r="BF10" t="str">
        <f t="shared" si="1"/>
        <v>C20</v>
      </c>
      <c r="BG10" t="str">
        <f t="shared" si="2"/>
        <v>B20</v>
      </c>
      <c r="BH10" t="str">
        <f t="shared" si="3"/>
        <v>C21</v>
      </c>
      <c r="BI10" t="str">
        <f t="shared" si="4"/>
        <v>B21</v>
      </c>
      <c r="BJ10" t="str">
        <f t="shared" si="5"/>
        <v>C22</v>
      </c>
      <c r="BK10" t="str">
        <f t="shared" si="6"/>
        <v>B22</v>
      </c>
      <c r="BL10" t="str">
        <f t="shared" si="7"/>
        <v>C23</v>
      </c>
      <c r="BM10" t="str">
        <f t="shared" si="8"/>
        <v>B23</v>
      </c>
      <c r="BN10" t="str">
        <f t="shared" si="9"/>
        <v>C24</v>
      </c>
      <c r="BO10" t="str">
        <f t="shared" si="10"/>
        <v>B24</v>
      </c>
      <c r="BP10" t="str">
        <f t="shared" si="11"/>
        <v>26B</v>
      </c>
      <c r="BQ10" t="str">
        <f t="shared" si="12"/>
        <v>26A</v>
      </c>
      <c r="BR10" t="str">
        <f t="shared" si="18"/>
        <v>27B</v>
      </c>
      <c r="BS10" t="str">
        <f t="shared" si="19"/>
        <v>27A</v>
      </c>
      <c r="BT10" t="str">
        <f t="shared" si="13"/>
        <v>DI2-C19</v>
      </c>
      <c r="BU10" t="str">
        <f t="shared" si="13"/>
        <v>DI2-B19</v>
      </c>
      <c r="BV10" t="str">
        <f t="shared" si="14"/>
        <v>DI2-C20</v>
      </c>
      <c r="BW10" t="str">
        <f t="shared" si="14"/>
        <v>DI2-B20</v>
      </c>
      <c r="BX10" t="str">
        <f t="shared" si="14"/>
        <v>DI2-C21</v>
      </c>
      <c r="BY10" t="str">
        <f t="shared" si="14"/>
        <v>DI2-B21</v>
      </c>
      <c r="BZ10" t="str">
        <f t="shared" si="14"/>
        <v>DI2-C22</v>
      </c>
      <c r="CA10" t="str">
        <f t="shared" si="14"/>
        <v>DI2-B22</v>
      </c>
      <c r="CB10" t="str">
        <f t="shared" si="14"/>
        <v>DI2-C23</v>
      </c>
      <c r="CC10" t="str">
        <f t="shared" si="14"/>
        <v>DI2-B23</v>
      </c>
      <c r="CD10" t="str">
        <f t="shared" si="14"/>
        <v>DI2-C24</v>
      </c>
      <c r="CE10" t="str">
        <f t="shared" si="14"/>
        <v>DI2-B24</v>
      </c>
      <c r="CF10" t="str">
        <f t="shared" si="15"/>
        <v>DO1-25B</v>
      </c>
      <c r="CG10" t="str">
        <f t="shared" si="15"/>
        <v>DO1-25A</v>
      </c>
      <c r="CH10" t="str">
        <f t="shared" si="16"/>
        <v>DO1-26B</v>
      </c>
      <c r="CI10" t="str">
        <f t="shared" si="16"/>
        <v>DO1-26A</v>
      </c>
      <c r="CJ10" t="str">
        <f t="shared" si="16"/>
        <v>DO1-27B</v>
      </c>
      <c r="CK10" t="str">
        <f t="shared" si="16"/>
        <v>DO1-27A</v>
      </c>
      <c r="CL10" t="str">
        <f t="shared" si="20"/>
        <v>K9-10</v>
      </c>
      <c r="CM10" t="str">
        <f t="shared" si="21"/>
        <v>K9-03</v>
      </c>
      <c r="CN10" t="str">
        <f t="shared" si="22"/>
        <v>K9-04</v>
      </c>
      <c r="CO10" t="str">
        <f t="shared" si="23"/>
        <v>K9-01</v>
      </c>
      <c r="CP10" t="str">
        <f t="shared" si="24"/>
        <v>K9-08</v>
      </c>
      <c r="CQ10" t="str">
        <f t="shared" si="25"/>
        <v>K9-02</v>
      </c>
      <c r="CR10" t="str">
        <f t="shared" si="26"/>
        <v>K9-09</v>
      </c>
      <c r="CS10" t="str">
        <f t="shared" si="27"/>
        <v>K9-05</v>
      </c>
      <c r="CT10" t="str">
        <f t="shared" si="28"/>
        <v>K9-11</v>
      </c>
      <c r="CU10" t="str">
        <f t="shared" si="29"/>
        <v>F0-M9-A9</v>
      </c>
      <c r="CV10" t="str">
        <f t="shared" si="30"/>
        <v>F0-M9-A7</v>
      </c>
      <c r="CW10" t="str">
        <f t="shared" si="31"/>
        <v>F0-M9-A8</v>
      </c>
      <c r="CX10" t="str">
        <f t="shared" si="32"/>
        <v>F0-M9-A6</v>
      </c>
      <c r="CY10" t="str">
        <f t="shared" si="33"/>
        <v>F0-M9-A30</v>
      </c>
      <c r="CZ10" t="str">
        <f t="shared" si="34"/>
        <v>F0-M9-N</v>
      </c>
      <c r="DA10" t="str">
        <f t="shared" si="17"/>
        <v>F0-A220-M9</v>
      </c>
      <c r="DB10" t="str">
        <f t="shared" si="35"/>
        <v>F0-M9-XM01</v>
      </c>
      <c r="DC10" t="str">
        <f t="shared" si="36"/>
        <v>F0-M9-A1</v>
      </c>
      <c r="DD10" t="str">
        <f t="shared" si="37"/>
        <v>F0-M9-A5</v>
      </c>
      <c r="DE10" t="str">
        <f t="shared" si="38"/>
        <v>F0-M9-A11</v>
      </c>
      <c r="DF10" t="str">
        <f t="shared" si="39"/>
        <v>F0-M9-A12</v>
      </c>
      <c r="DG10" t="str">
        <f t="shared" si="40"/>
        <v>F0-M9-A19</v>
      </c>
      <c r="DH10" t="str">
        <f t="shared" si="41"/>
        <v>F0-M9-A20</v>
      </c>
      <c r="DI10" t="s">
        <v>142</v>
      </c>
      <c r="DJ10" t="s">
        <v>143</v>
      </c>
      <c r="DK10">
        <v>11</v>
      </c>
      <c r="DL10">
        <v>14</v>
      </c>
      <c r="DM10">
        <v>12</v>
      </c>
      <c r="DN10" t="s">
        <v>144</v>
      </c>
      <c r="DO10" t="s">
        <v>145</v>
      </c>
      <c r="DP10">
        <v>1</v>
      </c>
      <c r="DQ10">
        <v>2</v>
      </c>
      <c r="DR10">
        <v>3</v>
      </c>
      <c r="DS10">
        <v>4</v>
      </c>
      <c r="DT10">
        <v>5</v>
      </c>
      <c r="DU10">
        <v>6</v>
      </c>
      <c r="DV10">
        <v>7</v>
      </c>
      <c r="DW10">
        <v>8</v>
      </c>
      <c r="DX10">
        <v>9</v>
      </c>
      <c r="DY10">
        <v>10</v>
      </c>
      <c r="DZ10">
        <v>11</v>
      </c>
      <c r="EA10">
        <v>12</v>
      </c>
      <c r="EB10">
        <v>13</v>
      </c>
      <c r="EC10">
        <v>14</v>
      </c>
      <c r="ED10">
        <v>1</v>
      </c>
      <c r="EE10">
        <v>3</v>
      </c>
      <c r="EF10">
        <v>4</v>
      </c>
      <c r="EG10">
        <v>7</v>
      </c>
      <c r="EH10">
        <v>8</v>
      </c>
      <c r="EI10">
        <v>9</v>
      </c>
      <c r="EJ10">
        <v>10</v>
      </c>
      <c r="EK10">
        <v>13</v>
      </c>
      <c r="EL10">
        <v>14</v>
      </c>
      <c r="EM10">
        <v>15</v>
      </c>
      <c r="EN10">
        <v>16</v>
      </c>
      <c r="EO10">
        <v>22</v>
      </c>
      <c r="EP10">
        <v>23</v>
      </c>
      <c r="EQ10" s="16">
        <v>24</v>
      </c>
    </row>
    <row r="11" spans="1:552" x14ac:dyDescent="0.25">
      <c r="A11" t="s">
        <v>173</v>
      </c>
      <c r="B11" t="s">
        <v>174</v>
      </c>
      <c r="C11" s="3" t="s">
        <v>127</v>
      </c>
      <c r="O11" s="2"/>
      <c r="P11" t="s">
        <v>129</v>
      </c>
      <c r="Q11" s="1"/>
      <c r="S11" s="1" t="s">
        <v>130</v>
      </c>
      <c r="T11" s="14" t="s">
        <v>554</v>
      </c>
      <c r="U11" s="15">
        <v>10</v>
      </c>
      <c r="V11" s="15" t="s">
        <v>1572</v>
      </c>
      <c r="W11" s="15"/>
      <c r="AC11" t="s">
        <v>261</v>
      </c>
      <c r="AF11" t="s">
        <v>240</v>
      </c>
      <c r="AG11" t="s">
        <v>242</v>
      </c>
      <c r="AH11" t="s">
        <v>132</v>
      </c>
      <c r="AK11" t="s">
        <v>253</v>
      </c>
      <c r="AL11" t="s">
        <v>260</v>
      </c>
      <c r="AM11" t="s">
        <v>175</v>
      </c>
      <c r="AP11" t="s">
        <v>137</v>
      </c>
      <c r="AQ11" t="s">
        <v>138</v>
      </c>
      <c r="AT11" t="s">
        <v>139</v>
      </c>
      <c r="AU11" t="s">
        <v>140</v>
      </c>
      <c r="BD11" s="16"/>
      <c r="BE11" t="str">
        <f t="shared" si="0"/>
        <v>XT10</v>
      </c>
      <c r="BF11" t="str">
        <f t="shared" si="1"/>
        <v>C26</v>
      </c>
      <c r="BG11" t="str">
        <f t="shared" si="2"/>
        <v>B26</v>
      </c>
      <c r="BH11" t="str">
        <f t="shared" si="3"/>
        <v>C27</v>
      </c>
      <c r="BI11" t="str">
        <f t="shared" si="4"/>
        <v>B27</v>
      </c>
      <c r="BJ11" t="str">
        <f t="shared" si="5"/>
        <v>C28</v>
      </c>
      <c r="BK11" t="str">
        <f t="shared" si="6"/>
        <v>B28</v>
      </c>
      <c r="BL11" t="str">
        <f t="shared" si="7"/>
        <v>C29</v>
      </c>
      <c r="BM11" t="str">
        <f t="shared" si="8"/>
        <v>B29</v>
      </c>
      <c r="BN11" t="str">
        <f t="shared" si="9"/>
        <v>C30</v>
      </c>
      <c r="BO11" t="str">
        <f t="shared" si="10"/>
        <v>B30</v>
      </c>
      <c r="BP11" t="str">
        <f t="shared" si="11"/>
        <v>29B</v>
      </c>
      <c r="BQ11" t="str">
        <f t="shared" si="12"/>
        <v>29A</v>
      </c>
      <c r="BR11" t="str">
        <f t="shared" si="18"/>
        <v>30B</v>
      </c>
      <c r="BS11" t="str">
        <f t="shared" si="19"/>
        <v>30A</v>
      </c>
      <c r="BT11" t="str">
        <f t="shared" si="13"/>
        <v>DI2-C25</v>
      </c>
      <c r="BU11" t="str">
        <f t="shared" si="13"/>
        <v>DI2-B25</v>
      </c>
      <c r="BV11" t="str">
        <f t="shared" si="14"/>
        <v>DI2-C26</v>
      </c>
      <c r="BW11" t="str">
        <f t="shared" si="14"/>
        <v>DI2-B26</v>
      </c>
      <c r="BX11" t="str">
        <f t="shared" si="14"/>
        <v>DI2-C27</v>
      </c>
      <c r="BY11" t="str">
        <f t="shared" si="14"/>
        <v>DI2-B27</v>
      </c>
      <c r="BZ11" t="str">
        <f t="shared" si="14"/>
        <v>DI2-C28</v>
      </c>
      <c r="CA11" t="str">
        <f t="shared" si="14"/>
        <v>DI2-B28</v>
      </c>
      <c r="CB11" t="str">
        <f t="shared" si="14"/>
        <v>DI2-C29</v>
      </c>
      <c r="CC11" t="str">
        <f t="shared" si="14"/>
        <v>DI2-B29</v>
      </c>
      <c r="CD11" t="str">
        <f t="shared" si="14"/>
        <v>DI2-C30</v>
      </c>
      <c r="CE11" t="str">
        <f t="shared" si="14"/>
        <v>DI2-B30</v>
      </c>
      <c r="CF11" t="str">
        <f t="shared" si="15"/>
        <v>DO1-28B</v>
      </c>
      <c r="CG11" t="str">
        <f t="shared" si="15"/>
        <v>DO1-28A</v>
      </c>
      <c r="CH11" t="str">
        <f t="shared" si="16"/>
        <v>DO1-29B</v>
      </c>
      <c r="CI11" t="str">
        <f t="shared" si="16"/>
        <v>DO1-29A</v>
      </c>
      <c r="CJ11" t="str">
        <f t="shared" si="16"/>
        <v>DO1-30B</v>
      </c>
      <c r="CK11" t="str">
        <f t="shared" si="16"/>
        <v>DO1-30A</v>
      </c>
      <c r="CL11" t="str">
        <f t="shared" si="20"/>
        <v>K10-10</v>
      </c>
      <c r="CM11" t="str">
        <f t="shared" si="21"/>
        <v>K10-03</v>
      </c>
      <c r="CN11" t="str">
        <f t="shared" si="22"/>
        <v>K10-04</v>
      </c>
      <c r="CO11" t="str">
        <f t="shared" si="23"/>
        <v>K10-01</v>
      </c>
      <c r="CP11" t="str">
        <f t="shared" si="24"/>
        <v>K10-08</v>
      </c>
      <c r="CQ11" t="str">
        <f t="shared" si="25"/>
        <v>K10-02</v>
      </c>
      <c r="CR11" t="str">
        <f t="shared" si="26"/>
        <v>K10-09</v>
      </c>
      <c r="CS11" t="str">
        <f t="shared" si="27"/>
        <v>K10-05</v>
      </c>
      <c r="CT11" t="str">
        <f t="shared" si="28"/>
        <v>K10-11</v>
      </c>
      <c r="CU11" t="str">
        <f t="shared" si="29"/>
        <v>F0-M10-A9</v>
      </c>
      <c r="CV11" t="str">
        <f t="shared" si="30"/>
        <v>F0-M10-A7</v>
      </c>
      <c r="CW11" t="str">
        <f t="shared" si="31"/>
        <v>F0-M10-A8</v>
      </c>
      <c r="CX11" t="str">
        <f t="shared" si="32"/>
        <v>F0-M10-A6</v>
      </c>
      <c r="CY11" t="str">
        <f t="shared" si="33"/>
        <v>F0-M10-A30</v>
      </c>
      <c r="CZ11" t="str">
        <f t="shared" si="34"/>
        <v>F0-M10-N</v>
      </c>
      <c r="DA11" t="str">
        <f t="shared" si="17"/>
        <v>F0-A220-M10</v>
      </c>
      <c r="DB11" t="str">
        <f t="shared" si="35"/>
        <v>F0-M10-XM01</v>
      </c>
      <c r="DC11" t="str">
        <f t="shared" si="36"/>
        <v>F0-M10-A1</v>
      </c>
      <c r="DD11" t="str">
        <f t="shared" si="37"/>
        <v>F0-M10-A5</v>
      </c>
      <c r="DE11" t="str">
        <f t="shared" si="38"/>
        <v>F0-M10-A11</v>
      </c>
      <c r="DF11" t="str">
        <f t="shared" si="39"/>
        <v>F0-M10-A12</v>
      </c>
      <c r="DG11" t="str">
        <f t="shared" si="40"/>
        <v>F0-M10-A19</v>
      </c>
      <c r="DH11" t="str">
        <f t="shared" si="41"/>
        <v>F0-M10-A20</v>
      </c>
      <c r="DI11" t="s">
        <v>142</v>
      </c>
      <c r="DJ11" t="s">
        <v>143</v>
      </c>
      <c r="DK11">
        <v>11</v>
      </c>
      <c r="DL11">
        <v>14</v>
      </c>
      <c r="DM11">
        <v>12</v>
      </c>
      <c r="DN11" t="s">
        <v>144</v>
      </c>
      <c r="DO11" t="s">
        <v>145</v>
      </c>
      <c r="DP11">
        <v>1</v>
      </c>
      <c r="DQ11">
        <v>2</v>
      </c>
      <c r="DR11">
        <v>3</v>
      </c>
      <c r="DS11">
        <v>4</v>
      </c>
      <c r="DT11">
        <v>5</v>
      </c>
      <c r="DU11">
        <v>6</v>
      </c>
      <c r="DV11">
        <v>7</v>
      </c>
      <c r="DW11">
        <v>8</v>
      </c>
      <c r="DX11">
        <v>9</v>
      </c>
      <c r="DY11">
        <v>10</v>
      </c>
      <c r="DZ11">
        <v>11</v>
      </c>
      <c r="EA11">
        <v>12</v>
      </c>
      <c r="EB11">
        <v>13</v>
      </c>
      <c r="EC11">
        <v>14</v>
      </c>
      <c r="ED11">
        <v>1</v>
      </c>
      <c r="EE11">
        <v>3</v>
      </c>
      <c r="EF11">
        <v>4</v>
      </c>
      <c r="EG11">
        <v>7</v>
      </c>
      <c r="EH11">
        <v>8</v>
      </c>
      <c r="EI11">
        <v>9</v>
      </c>
      <c r="EJ11">
        <v>10</v>
      </c>
      <c r="EK11">
        <v>13</v>
      </c>
      <c r="EL11">
        <v>14</v>
      </c>
      <c r="EM11">
        <v>15</v>
      </c>
      <c r="EN11">
        <v>16</v>
      </c>
      <c r="EO11">
        <v>22</v>
      </c>
      <c r="EP11">
        <v>23</v>
      </c>
      <c r="EQ11" s="16">
        <v>24</v>
      </c>
    </row>
    <row r="12" spans="1:552" x14ac:dyDescent="0.25">
      <c r="A12" t="s">
        <v>176</v>
      </c>
      <c r="B12" t="s">
        <v>177</v>
      </c>
      <c r="C12" s="3" t="s">
        <v>127</v>
      </c>
      <c r="O12" s="2"/>
      <c r="P12" t="s">
        <v>129</v>
      </c>
      <c r="Q12" s="1"/>
      <c r="S12" s="1" t="s">
        <v>130</v>
      </c>
      <c r="T12" s="14" t="s">
        <v>554</v>
      </c>
      <c r="U12" s="15">
        <v>11</v>
      </c>
      <c r="V12" s="15" t="s">
        <v>1573</v>
      </c>
      <c r="W12" s="15"/>
      <c r="AC12" t="s">
        <v>262</v>
      </c>
      <c r="AF12" t="s">
        <v>133</v>
      </c>
      <c r="AG12" t="s">
        <v>134</v>
      </c>
      <c r="AH12" t="s">
        <v>267</v>
      </c>
      <c r="AK12" t="s">
        <v>135</v>
      </c>
      <c r="AL12" t="s">
        <v>136</v>
      </c>
      <c r="AM12" t="s">
        <v>178</v>
      </c>
      <c r="AP12" t="s">
        <v>137</v>
      </c>
      <c r="AQ12" t="s">
        <v>138</v>
      </c>
      <c r="AT12" t="s">
        <v>139</v>
      </c>
      <c r="AU12" t="s">
        <v>140</v>
      </c>
      <c r="BD12" s="16"/>
      <c r="BE12" t="str">
        <f t="shared" si="0"/>
        <v>XT11</v>
      </c>
      <c r="BF12" t="str">
        <f t="shared" si="1"/>
        <v>C2</v>
      </c>
      <c r="BG12" t="str">
        <f t="shared" si="2"/>
        <v>B2</v>
      </c>
      <c r="BH12" t="str">
        <f t="shared" si="3"/>
        <v>C3</v>
      </c>
      <c r="BI12" t="str">
        <f t="shared" si="4"/>
        <v>B3</v>
      </c>
      <c r="BJ12" t="str">
        <f t="shared" si="5"/>
        <v>C4</v>
      </c>
      <c r="BK12" t="str">
        <f t="shared" si="6"/>
        <v>B4</v>
      </c>
      <c r="BL12" t="str">
        <f t="shared" si="7"/>
        <v>C5</v>
      </c>
      <c r="BM12" t="str">
        <f t="shared" si="8"/>
        <v>B5</v>
      </c>
      <c r="BN12" t="str">
        <f t="shared" si="9"/>
        <v>C6</v>
      </c>
      <c r="BO12" t="str">
        <f t="shared" si="10"/>
        <v>B6</v>
      </c>
      <c r="BP12" t="str">
        <f t="shared" si="11"/>
        <v>2B</v>
      </c>
      <c r="BQ12" t="str">
        <f t="shared" si="12"/>
        <v>2A</v>
      </c>
      <c r="BR12" t="str">
        <f t="shared" si="18"/>
        <v>3B</v>
      </c>
      <c r="BS12" t="str">
        <f t="shared" si="19"/>
        <v>3A</v>
      </c>
      <c r="BT12" t="str">
        <f t="shared" si="13"/>
        <v>DI3-C1</v>
      </c>
      <c r="BU12" t="str">
        <f t="shared" si="13"/>
        <v>DI3-B1</v>
      </c>
      <c r="BV12" t="str">
        <f t="shared" si="14"/>
        <v>DI3-C2</v>
      </c>
      <c r="BW12" t="str">
        <f t="shared" si="14"/>
        <v>DI3-B2</v>
      </c>
      <c r="BX12" t="str">
        <f t="shared" si="14"/>
        <v>DI3-C3</v>
      </c>
      <c r="BY12" t="str">
        <f t="shared" si="14"/>
        <v>DI3-B3</v>
      </c>
      <c r="BZ12" t="str">
        <f t="shared" si="14"/>
        <v>DI3-C4</v>
      </c>
      <c r="CA12" t="str">
        <f t="shared" si="14"/>
        <v>DI3-B4</v>
      </c>
      <c r="CB12" t="str">
        <f t="shared" si="14"/>
        <v>DI3-C5</v>
      </c>
      <c r="CC12" t="str">
        <f t="shared" si="14"/>
        <v>DI3-B5</v>
      </c>
      <c r="CD12" t="str">
        <f t="shared" si="14"/>
        <v>DI3-C6</v>
      </c>
      <c r="CE12" t="str">
        <f t="shared" si="14"/>
        <v>DI3-B6</v>
      </c>
      <c r="CF12" t="str">
        <f t="shared" si="15"/>
        <v>DO2-1B</v>
      </c>
      <c r="CG12" t="str">
        <f t="shared" si="15"/>
        <v>DO2-1A</v>
      </c>
      <c r="CH12" t="str">
        <f t="shared" si="16"/>
        <v>DO2-2B</v>
      </c>
      <c r="CI12" t="str">
        <f t="shared" si="16"/>
        <v>DO2-2A</v>
      </c>
      <c r="CJ12" t="str">
        <f t="shared" si="16"/>
        <v>DO2-3B</v>
      </c>
      <c r="CK12" t="str">
        <f t="shared" si="16"/>
        <v>DO2-3A</v>
      </c>
      <c r="CL12" t="str">
        <f t="shared" si="20"/>
        <v>K11-10</v>
      </c>
      <c r="CM12" t="str">
        <f t="shared" si="21"/>
        <v>K11-03</v>
      </c>
      <c r="CN12" t="str">
        <f t="shared" si="22"/>
        <v>K11-04</v>
      </c>
      <c r="CO12" t="str">
        <f t="shared" si="23"/>
        <v>K11-01</v>
      </c>
      <c r="CP12" t="str">
        <f t="shared" si="24"/>
        <v>K11-08</v>
      </c>
      <c r="CQ12" t="str">
        <f t="shared" si="25"/>
        <v>K11-02</v>
      </c>
      <c r="CR12" t="str">
        <f t="shared" si="26"/>
        <v>K11-09</v>
      </c>
      <c r="CS12" t="str">
        <f t="shared" si="27"/>
        <v>K11-05</v>
      </c>
      <c r="CT12" t="str">
        <f t="shared" si="28"/>
        <v>K11-11</v>
      </c>
      <c r="CU12" t="str">
        <f t="shared" si="29"/>
        <v>F0-M11-A9</v>
      </c>
      <c r="CV12" t="str">
        <f t="shared" si="30"/>
        <v>F0-M11-A7</v>
      </c>
      <c r="CW12" t="str">
        <f t="shared" si="31"/>
        <v>F0-M11-A8</v>
      </c>
      <c r="CX12" t="str">
        <f t="shared" si="32"/>
        <v>F0-M11-A6</v>
      </c>
      <c r="CY12" t="str">
        <f t="shared" si="33"/>
        <v>F0-M11-A30</v>
      </c>
      <c r="CZ12" t="str">
        <f t="shared" si="34"/>
        <v>F0-M11-N</v>
      </c>
      <c r="DA12" t="str">
        <f t="shared" si="17"/>
        <v>F0-A220-M11</v>
      </c>
      <c r="DB12" t="str">
        <f t="shared" si="35"/>
        <v>F0-M11-XM01</v>
      </c>
      <c r="DC12" t="str">
        <f t="shared" si="36"/>
        <v>F0-M11-A1</v>
      </c>
      <c r="DD12" t="str">
        <f t="shared" si="37"/>
        <v>F0-M11-A5</v>
      </c>
      <c r="DE12" t="str">
        <f t="shared" si="38"/>
        <v>F0-M11-A11</v>
      </c>
      <c r="DF12" t="str">
        <f t="shared" si="39"/>
        <v>F0-M11-A12</v>
      </c>
      <c r="DG12" t="str">
        <f t="shared" si="40"/>
        <v>F0-M11-A19</v>
      </c>
      <c r="DH12" t="str">
        <f t="shared" si="41"/>
        <v>F0-M11-A20</v>
      </c>
      <c r="DI12" t="s">
        <v>142</v>
      </c>
      <c r="DJ12" t="s">
        <v>143</v>
      </c>
      <c r="DK12">
        <v>11</v>
      </c>
      <c r="DL12">
        <v>14</v>
      </c>
      <c r="DM12">
        <v>12</v>
      </c>
      <c r="DN12" t="s">
        <v>144</v>
      </c>
      <c r="DO12" t="s">
        <v>145</v>
      </c>
      <c r="DP12">
        <v>1</v>
      </c>
      <c r="DQ12">
        <v>2</v>
      </c>
      <c r="DR12">
        <v>3</v>
      </c>
      <c r="DS12">
        <v>4</v>
      </c>
      <c r="DT12">
        <v>5</v>
      </c>
      <c r="DU12">
        <v>6</v>
      </c>
      <c r="DV12">
        <v>7</v>
      </c>
      <c r="DW12">
        <v>8</v>
      </c>
      <c r="DX12">
        <v>9</v>
      </c>
      <c r="DY12">
        <v>10</v>
      </c>
      <c r="DZ12">
        <v>11</v>
      </c>
      <c r="EA12">
        <v>12</v>
      </c>
      <c r="EB12">
        <v>13</v>
      </c>
      <c r="EC12">
        <v>14</v>
      </c>
      <c r="ED12">
        <v>1</v>
      </c>
      <c r="EE12">
        <v>3</v>
      </c>
      <c r="EF12">
        <v>4</v>
      </c>
      <c r="EG12">
        <v>7</v>
      </c>
      <c r="EH12">
        <v>8</v>
      </c>
      <c r="EI12">
        <v>9</v>
      </c>
      <c r="EJ12">
        <v>10</v>
      </c>
      <c r="EK12">
        <v>13</v>
      </c>
      <c r="EL12">
        <v>14</v>
      </c>
      <c r="EM12">
        <v>15</v>
      </c>
      <c r="EN12">
        <v>16</v>
      </c>
      <c r="EO12">
        <v>22</v>
      </c>
      <c r="EP12">
        <v>23</v>
      </c>
      <c r="EQ12" s="16">
        <v>24</v>
      </c>
    </row>
    <row r="13" spans="1:552" x14ac:dyDescent="0.25">
      <c r="A13" t="s">
        <v>179</v>
      </c>
      <c r="B13" t="s">
        <v>180</v>
      </c>
      <c r="C13" s="3" t="s">
        <v>127</v>
      </c>
      <c r="O13" s="2"/>
      <c r="P13" t="s">
        <v>129</v>
      </c>
      <c r="Q13" s="1"/>
      <c r="S13" s="1" t="s">
        <v>130</v>
      </c>
      <c r="T13" s="14" t="s">
        <v>554</v>
      </c>
      <c r="U13" s="15">
        <v>12</v>
      </c>
      <c r="V13" s="15" t="s">
        <v>1574</v>
      </c>
      <c r="W13" s="15"/>
      <c r="AC13" t="s">
        <v>262</v>
      </c>
      <c r="AF13" t="s">
        <v>148</v>
      </c>
      <c r="AG13" t="s">
        <v>149</v>
      </c>
      <c r="AH13" t="s">
        <v>267</v>
      </c>
      <c r="AK13" t="s">
        <v>243</v>
      </c>
      <c r="AL13" t="s">
        <v>244</v>
      </c>
      <c r="AM13" t="s">
        <v>181</v>
      </c>
      <c r="AP13" t="s">
        <v>137</v>
      </c>
      <c r="AQ13" t="s">
        <v>138</v>
      </c>
      <c r="AT13" t="s">
        <v>139</v>
      </c>
      <c r="AU13" t="s">
        <v>140</v>
      </c>
      <c r="BD13" s="16"/>
      <c r="BE13" t="str">
        <f t="shared" si="0"/>
        <v>XT12</v>
      </c>
      <c r="BF13" t="str">
        <f t="shared" si="1"/>
        <v>C8</v>
      </c>
      <c r="BG13" t="str">
        <f t="shared" si="2"/>
        <v>B8</v>
      </c>
      <c r="BH13" t="str">
        <f t="shared" si="3"/>
        <v>C9</v>
      </c>
      <c r="BI13" t="str">
        <f t="shared" si="4"/>
        <v>B9</v>
      </c>
      <c r="BJ13" t="str">
        <f t="shared" si="5"/>
        <v>C10</v>
      </c>
      <c r="BK13" t="str">
        <f t="shared" si="6"/>
        <v>B10</v>
      </c>
      <c r="BL13" t="str">
        <f t="shared" si="7"/>
        <v>C11</v>
      </c>
      <c r="BM13" t="str">
        <f t="shared" si="8"/>
        <v>B11</v>
      </c>
      <c r="BN13" t="str">
        <f t="shared" si="9"/>
        <v>C12</v>
      </c>
      <c r="BO13" t="str">
        <f t="shared" si="10"/>
        <v>B12</v>
      </c>
      <c r="BP13" t="str">
        <f t="shared" si="11"/>
        <v>5B</v>
      </c>
      <c r="BQ13" t="str">
        <f t="shared" si="12"/>
        <v>5A</v>
      </c>
      <c r="BR13" t="str">
        <f t="shared" si="18"/>
        <v>6B</v>
      </c>
      <c r="BS13" t="str">
        <f t="shared" si="19"/>
        <v>6A</v>
      </c>
      <c r="BT13" t="str">
        <f t="shared" si="13"/>
        <v>DI3-C7</v>
      </c>
      <c r="BU13" t="str">
        <f t="shared" si="13"/>
        <v>DI3-B7</v>
      </c>
      <c r="BV13" t="str">
        <f t="shared" si="14"/>
        <v>DI3-C8</v>
      </c>
      <c r="BW13" t="str">
        <f t="shared" si="14"/>
        <v>DI3-B8</v>
      </c>
      <c r="BX13" t="str">
        <f t="shared" si="14"/>
        <v>DI3-C9</v>
      </c>
      <c r="BY13" t="str">
        <f t="shared" si="14"/>
        <v>DI3-B9</v>
      </c>
      <c r="BZ13" t="str">
        <f t="shared" si="14"/>
        <v>DI3-C10</v>
      </c>
      <c r="CA13" t="str">
        <f t="shared" si="14"/>
        <v>DI3-B10</v>
      </c>
      <c r="CB13" t="str">
        <f t="shared" si="14"/>
        <v>DI3-C11</v>
      </c>
      <c r="CC13" t="str">
        <f t="shared" si="14"/>
        <v>DI3-B11</v>
      </c>
      <c r="CD13" t="str">
        <f t="shared" si="14"/>
        <v>DI3-C12</v>
      </c>
      <c r="CE13" t="str">
        <f t="shared" si="14"/>
        <v>DI3-B12</v>
      </c>
      <c r="CF13" t="str">
        <f t="shared" si="15"/>
        <v>DO2-4B</v>
      </c>
      <c r="CG13" t="str">
        <f t="shared" si="15"/>
        <v>DO2-4A</v>
      </c>
      <c r="CH13" t="str">
        <f t="shared" si="16"/>
        <v>DO2-5B</v>
      </c>
      <c r="CI13" t="str">
        <f t="shared" si="16"/>
        <v>DO2-5A</v>
      </c>
      <c r="CJ13" t="str">
        <f t="shared" si="16"/>
        <v>DO2-6B</v>
      </c>
      <c r="CK13" t="str">
        <f t="shared" si="16"/>
        <v>DO2-6A</v>
      </c>
      <c r="CL13" t="str">
        <f t="shared" si="20"/>
        <v>K12-10</v>
      </c>
      <c r="CM13" t="str">
        <f t="shared" si="21"/>
        <v>K12-03</v>
      </c>
      <c r="CN13" t="str">
        <f t="shared" si="22"/>
        <v>K12-04</v>
      </c>
      <c r="CO13" t="str">
        <f t="shared" si="23"/>
        <v>K12-01</v>
      </c>
      <c r="CP13" t="str">
        <f t="shared" si="24"/>
        <v>K12-08</v>
      </c>
      <c r="CQ13" t="str">
        <f t="shared" si="25"/>
        <v>K12-02</v>
      </c>
      <c r="CR13" t="str">
        <f t="shared" si="26"/>
        <v>K12-09</v>
      </c>
      <c r="CS13" t="str">
        <f t="shared" si="27"/>
        <v>K12-05</v>
      </c>
      <c r="CT13" t="str">
        <f t="shared" si="28"/>
        <v>K12-11</v>
      </c>
      <c r="CU13" t="str">
        <f t="shared" si="29"/>
        <v>F0-M12-A9</v>
      </c>
      <c r="CV13" t="str">
        <f t="shared" si="30"/>
        <v>F0-M12-A7</v>
      </c>
      <c r="CW13" t="str">
        <f t="shared" si="31"/>
        <v>F0-M12-A8</v>
      </c>
      <c r="CX13" t="str">
        <f t="shared" si="32"/>
        <v>F0-M12-A6</v>
      </c>
      <c r="CY13" t="str">
        <f t="shared" si="33"/>
        <v>F0-M12-A30</v>
      </c>
      <c r="CZ13" t="str">
        <f t="shared" si="34"/>
        <v>F0-M12-N</v>
      </c>
      <c r="DA13" t="str">
        <f t="shared" si="17"/>
        <v>F0-A220-M12</v>
      </c>
      <c r="DB13" t="str">
        <f t="shared" si="35"/>
        <v>F0-M12-XM01</v>
      </c>
      <c r="DC13" t="str">
        <f t="shared" si="36"/>
        <v>F0-M12-A1</v>
      </c>
      <c r="DD13" t="str">
        <f t="shared" si="37"/>
        <v>F0-M12-A5</v>
      </c>
      <c r="DE13" t="str">
        <f t="shared" si="38"/>
        <v>F0-M12-A11</v>
      </c>
      <c r="DF13" t="str">
        <f t="shared" si="39"/>
        <v>F0-M12-A12</v>
      </c>
      <c r="DG13" t="str">
        <f t="shared" si="40"/>
        <v>F0-M12-A19</v>
      </c>
      <c r="DH13" t="str">
        <f t="shared" si="41"/>
        <v>F0-M12-A20</v>
      </c>
      <c r="DI13" t="s">
        <v>142</v>
      </c>
      <c r="DJ13" t="s">
        <v>143</v>
      </c>
      <c r="DK13">
        <v>11</v>
      </c>
      <c r="DL13">
        <v>14</v>
      </c>
      <c r="DM13">
        <v>12</v>
      </c>
      <c r="DN13" t="s">
        <v>144</v>
      </c>
      <c r="DO13" t="s">
        <v>145</v>
      </c>
      <c r="DP13">
        <v>1</v>
      </c>
      <c r="DQ13">
        <v>2</v>
      </c>
      <c r="DR13">
        <v>3</v>
      </c>
      <c r="DS13">
        <v>4</v>
      </c>
      <c r="DT13">
        <v>5</v>
      </c>
      <c r="DU13">
        <v>6</v>
      </c>
      <c r="DV13">
        <v>7</v>
      </c>
      <c r="DW13">
        <v>8</v>
      </c>
      <c r="DX13">
        <v>9</v>
      </c>
      <c r="DY13">
        <v>10</v>
      </c>
      <c r="DZ13">
        <v>11</v>
      </c>
      <c r="EA13">
        <v>12</v>
      </c>
      <c r="EB13">
        <v>13</v>
      </c>
      <c r="EC13">
        <v>14</v>
      </c>
      <c r="ED13">
        <v>1</v>
      </c>
      <c r="EE13">
        <v>3</v>
      </c>
      <c r="EF13">
        <v>4</v>
      </c>
      <c r="EG13">
        <v>7</v>
      </c>
      <c r="EH13">
        <v>8</v>
      </c>
      <c r="EI13">
        <v>9</v>
      </c>
      <c r="EJ13">
        <v>10</v>
      </c>
      <c r="EK13">
        <v>13</v>
      </c>
      <c r="EL13">
        <v>14</v>
      </c>
      <c r="EM13">
        <v>15</v>
      </c>
      <c r="EN13">
        <v>16</v>
      </c>
      <c r="EO13">
        <v>22</v>
      </c>
      <c r="EP13">
        <v>23</v>
      </c>
      <c r="EQ13" s="16">
        <v>24</v>
      </c>
    </row>
    <row r="14" spans="1:552" x14ac:dyDescent="0.25">
      <c r="A14" t="s">
        <v>182</v>
      </c>
      <c r="B14" t="s">
        <v>183</v>
      </c>
      <c r="C14" s="3" t="s">
        <v>127</v>
      </c>
      <c r="O14" s="2"/>
      <c r="P14" t="s">
        <v>129</v>
      </c>
      <c r="Q14" s="1"/>
      <c r="S14" s="1" t="s">
        <v>130</v>
      </c>
      <c r="T14" s="14" t="s">
        <v>554</v>
      </c>
      <c r="U14" s="15">
        <v>13</v>
      </c>
      <c r="V14" s="15" t="s">
        <v>1575</v>
      </c>
      <c r="W14" s="15"/>
      <c r="AC14" t="s">
        <v>262</v>
      </c>
      <c r="AF14" t="s">
        <v>153</v>
      </c>
      <c r="AG14" t="s">
        <v>154</v>
      </c>
      <c r="AH14" t="s">
        <v>267</v>
      </c>
      <c r="AK14" t="s">
        <v>245</v>
      </c>
      <c r="AL14" t="s">
        <v>246</v>
      </c>
      <c r="AM14" t="s">
        <v>184</v>
      </c>
      <c r="AP14" t="s">
        <v>137</v>
      </c>
      <c r="AQ14" t="s">
        <v>138</v>
      </c>
      <c r="AT14" t="s">
        <v>139</v>
      </c>
      <c r="AU14" t="s">
        <v>140</v>
      </c>
      <c r="BD14" s="16"/>
      <c r="BE14" t="str">
        <f t="shared" si="0"/>
        <v>XT13</v>
      </c>
      <c r="BF14" t="str">
        <f t="shared" si="1"/>
        <v>C14</v>
      </c>
      <c r="BG14" t="str">
        <f t="shared" si="2"/>
        <v>B14</v>
      </c>
      <c r="BH14" t="str">
        <f t="shared" si="3"/>
        <v>C15</v>
      </c>
      <c r="BI14" t="str">
        <f t="shared" si="4"/>
        <v>B15</v>
      </c>
      <c r="BJ14" t="str">
        <f t="shared" si="5"/>
        <v>C16</v>
      </c>
      <c r="BK14" t="str">
        <f t="shared" si="6"/>
        <v>B16</v>
      </c>
      <c r="BL14" t="str">
        <f t="shared" si="7"/>
        <v>C17</v>
      </c>
      <c r="BM14" t="str">
        <f t="shared" si="8"/>
        <v>B17</v>
      </c>
      <c r="BN14" t="str">
        <f t="shared" si="9"/>
        <v>C18</v>
      </c>
      <c r="BO14" t="str">
        <f t="shared" si="10"/>
        <v>B18</v>
      </c>
      <c r="BP14" t="str">
        <f t="shared" si="11"/>
        <v>8B</v>
      </c>
      <c r="BQ14" t="str">
        <f t="shared" si="12"/>
        <v>8A</v>
      </c>
      <c r="BR14" t="str">
        <f t="shared" si="18"/>
        <v>9B</v>
      </c>
      <c r="BS14" t="str">
        <f t="shared" si="19"/>
        <v>9A</v>
      </c>
      <c r="BT14" t="str">
        <f t="shared" si="13"/>
        <v>DI3-C13</v>
      </c>
      <c r="BU14" t="str">
        <f t="shared" si="13"/>
        <v>DI3-B13</v>
      </c>
      <c r="BV14" t="str">
        <f t="shared" si="14"/>
        <v>DI3-C14</v>
      </c>
      <c r="BW14" t="str">
        <f t="shared" si="14"/>
        <v>DI3-B14</v>
      </c>
      <c r="BX14" t="str">
        <f t="shared" si="14"/>
        <v>DI3-C15</v>
      </c>
      <c r="BY14" t="str">
        <f t="shared" si="14"/>
        <v>DI3-B15</v>
      </c>
      <c r="BZ14" t="str">
        <f t="shared" si="14"/>
        <v>DI3-C16</v>
      </c>
      <c r="CA14" t="str">
        <f t="shared" si="14"/>
        <v>DI3-B16</v>
      </c>
      <c r="CB14" t="str">
        <f t="shared" si="14"/>
        <v>DI3-C17</v>
      </c>
      <c r="CC14" t="str">
        <f t="shared" si="14"/>
        <v>DI3-B17</v>
      </c>
      <c r="CD14" t="str">
        <f t="shared" si="14"/>
        <v>DI3-C18</v>
      </c>
      <c r="CE14" t="str">
        <f t="shared" si="14"/>
        <v>DI3-B18</v>
      </c>
      <c r="CF14" t="str">
        <f t="shared" si="15"/>
        <v>DO2-7B</v>
      </c>
      <c r="CG14" t="str">
        <f t="shared" si="15"/>
        <v>DO2-7A</v>
      </c>
      <c r="CH14" t="str">
        <f t="shared" si="16"/>
        <v>DO2-8B</v>
      </c>
      <c r="CI14" t="str">
        <f t="shared" si="16"/>
        <v>DO2-8A</v>
      </c>
      <c r="CJ14" t="str">
        <f t="shared" si="16"/>
        <v>DO2-9B</v>
      </c>
      <c r="CK14" t="str">
        <f t="shared" si="16"/>
        <v>DO2-9A</v>
      </c>
      <c r="CL14" t="str">
        <f t="shared" si="20"/>
        <v>K13-10</v>
      </c>
      <c r="CM14" t="str">
        <f t="shared" si="21"/>
        <v>K13-03</v>
      </c>
      <c r="CN14" t="str">
        <f t="shared" si="22"/>
        <v>K13-04</v>
      </c>
      <c r="CO14" t="str">
        <f t="shared" si="23"/>
        <v>K13-01</v>
      </c>
      <c r="CP14" t="str">
        <f t="shared" si="24"/>
        <v>K13-08</v>
      </c>
      <c r="CQ14" t="str">
        <f t="shared" si="25"/>
        <v>K13-02</v>
      </c>
      <c r="CR14" t="str">
        <f t="shared" si="26"/>
        <v>K13-09</v>
      </c>
      <c r="CS14" t="str">
        <f t="shared" si="27"/>
        <v>K13-05</v>
      </c>
      <c r="CT14" t="str">
        <f t="shared" si="28"/>
        <v>K13-11</v>
      </c>
      <c r="CU14" t="str">
        <f t="shared" si="29"/>
        <v>F0-M13-A9</v>
      </c>
      <c r="CV14" t="str">
        <f t="shared" si="30"/>
        <v>F0-M13-A7</v>
      </c>
      <c r="CW14" t="str">
        <f t="shared" si="31"/>
        <v>F0-M13-A8</v>
      </c>
      <c r="CX14" t="str">
        <f t="shared" si="32"/>
        <v>F0-M13-A6</v>
      </c>
      <c r="CY14" t="str">
        <f t="shared" si="33"/>
        <v>F0-M13-A30</v>
      </c>
      <c r="CZ14" t="str">
        <f t="shared" si="34"/>
        <v>F0-M13-N</v>
      </c>
      <c r="DA14" t="str">
        <f t="shared" si="17"/>
        <v>F0-A220-M13</v>
      </c>
      <c r="DB14" t="str">
        <f t="shared" si="35"/>
        <v>F0-M13-XM01</v>
      </c>
      <c r="DC14" t="str">
        <f t="shared" si="36"/>
        <v>F0-M13-A1</v>
      </c>
      <c r="DD14" t="str">
        <f t="shared" si="37"/>
        <v>F0-M13-A5</v>
      </c>
      <c r="DE14" t="str">
        <f t="shared" si="38"/>
        <v>F0-M13-A11</v>
      </c>
      <c r="DF14" t="str">
        <f t="shared" si="39"/>
        <v>F0-M13-A12</v>
      </c>
      <c r="DG14" t="str">
        <f t="shared" si="40"/>
        <v>F0-M13-A19</v>
      </c>
      <c r="DH14" t="str">
        <f t="shared" si="41"/>
        <v>F0-M13-A20</v>
      </c>
      <c r="DI14" t="s">
        <v>142</v>
      </c>
      <c r="DJ14" t="s">
        <v>143</v>
      </c>
      <c r="DK14">
        <v>11</v>
      </c>
      <c r="DL14">
        <v>14</v>
      </c>
      <c r="DM14">
        <v>12</v>
      </c>
      <c r="DN14" t="s">
        <v>144</v>
      </c>
      <c r="DO14" t="s">
        <v>145</v>
      </c>
      <c r="DP14">
        <v>1</v>
      </c>
      <c r="DQ14">
        <v>2</v>
      </c>
      <c r="DR14">
        <v>3</v>
      </c>
      <c r="DS14">
        <v>4</v>
      </c>
      <c r="DT14">
        <v>5</v>
      </c>
      <c r="DU14">
        <v>6</v>
      </c>
      <c r="DV14">
        <v>7</v>
      </c>
      <c r="DW14">
        <v>8</v>
      </c>
      <c r="DX14">
        <v>9</v>
      </c>
      <c r="DY14">
        <v>10</v>
      </c>
      <c r="DZ14">
        <v>11</v>
      </c>
      <c r="EA14">
        <v>12</v>
      </c>
      <c r="EB14">
        <v>13</v>
      </c>
      <c r="EC14">
        <v>14</v>
      </c>
      <c r="ED14">
        <v>1</v>
      </c>
      <c r="EE14">
        <v>3</v>
      </c>
      <c r="EF14">
        <v>4</v>
      </c>
      <c r="EG14">
        <v>7</v>
      </c>
      <c r="EH14">
        <v>8</v>
      </c>
      <c r="EI14">
        <v>9</v>
      </c>
      <c r="EJ14">
        <v>10</v>
      </c>
      <c r="EK14">
        <v>13</v>
      </c>
      <c r="EL14">
        <v>14</v>
      </c>
      <c r="EM14">
        <v>15</v>
      </c>
      <c r="EN14">
        <v>16</v>
      </c>
      <c r="EO14">
        <v>22</v>
      </c>
      <c r="EP14">
        <v>23</v>
      </c>
      <c r="EQ14" s="16">
        <v>24</v>
      </c>
    </row>
    <row r="15" spans="1:552" x14ac:dyDescent="0.25">
      <c r="A15" t="s">
        <v>185</v>
      </c>
      <c r="B15" t="s">
        <v>186</v>
      </c>
      <c r="C15" s="3" t="s">
        <v>127</v>
      </c>
      <c r="O15" s="2"/>
      <c r="P15" t="s">
        <v>129</v>
      </c>
      <c r="Q15" s="1"/>
      <c r="S15" s="1" t="s">
        <v>130</v>
      </c>
      <c r="T15" s="14" t="s">
        <v>554</v>
      </c>
      <c r="U15" s="15">
        <v>14</v>
      </c>
      <c r="V15" s="15" t="s">
        <v>1576</v>
      </c>
      <c r="W15" s="15"/>
      <c r="AC15" t="s">
        <v>262</v>
      </c>
      <c r="AF15" t="s">
        <v>239</v>
      </c>
      <c r="AG15" t="s">
        <v>241</v>
      </c>
      <c r="AH15" t="s">
        <v>267</v>
      </c>
      <c r="AK15" t="s">
        <v>247</v>
      </c>
      <c r="AL15" t="s">
        <v>254</v>
      </c>
      <c r="AM15" t="s">
        <v>187</v>
      </c>
      <c r="AP15" t="s">
        <v>137</v>
      </c>
      <c r="AQ15" t="s">
        <v>138</v>
      </c>
      <c r="AT15" t="s">
        <v>139</v>
      </c>
      <c r="AU15" t="s">
        <v>140</v>
      </c>
      <c r="BD15" s="16"/>
      <c r="BE15" t="str">
        <f t="shared" si="0"/>
        <v>XT14</v>
      </c>
      <c r="BF15" t="str">
        <f t="shared" si="1"/>
        <v>C20</v>
      </c>
      <c r="BG15" t="str">
        <f t="shared" si="2"/>
        <v>B20</v>
      </c>
      <c r="BH15" t="str">
        <f t="shared" si="3"/>
        <v>C21</v>
      </c>
      <c r="BI15" t="str">
        <f t="shared" si="4"/>
        <v>B21</v>
      </c>
      <c r="BJ15" t="str">
        <f t="shared" si="5"/>
        <v>C22</v>
      </c>
      <c r="BK15" t="str">
        <f t="shared" si="6"/>
        <v>B22</v>
      </c>
      <c r="BL15" t="str">
        <f t="shared" si="7"/>
        <v>C23</v>
      </c>
      <c r="BM15" t="str">
        <f t="shared" si="8"/>
        <v>B23</v>
      </c>
      <c r="BN15" t="str">
        <f t="shared" si="9"/>
        <v>C24</v>
      </c>
      <c r="BO15" t="str">
        <f t="shared" si="10"/>
        <v>B24</v>
      </c>
      <c r="BP15" t="str">
        <f t="shared" si="11"/>
        <v>11B</v>
      </c>
      <c r="BQ15" t="str">
        <f t="shared" si="12"/>
        <v>11A</v>
      </c>
      <c r="BR15" t="str">
        <f t="shared" si="18"/>
        <v>12B</v>
      </c>
      <c r="BS15" t="str">
        <f t="shared" si="19"/>
        <v>12A</v>
      </c>
      <c r="BT15" t="str">
        <f t="shared" si="13"/>
        <v>DI3-C19</v>
      </c>
      <c r="BU15" t="str">
        <f t="shared" si="13"/>
        <v>DI3-B19</v>
      </c>
      <c r="BV15" t="str">
        <f t="shared" si="14"/>
        <v>DI3-C20</v>
      </c>
      <c r="BW15" t="str">
        <f t="shared" si="14"/>
        <v>DI3-B20</v>
      </c>
      <c r="BX15" t="str">
        <f t="shared" si="14"/>
        <v>DI3-C21</v>
      </c>
      <c r="BY15" t="str">
        <f t="shared" si="14"/>
        <v>DI3-B21</v>
      </c>
      <c r="BZ15" t="str">
        <f t="shared" si="14"/>
        <v>DI3-C22</v>
      </c>
      <c r="CA15" t="str">
        <f t="shared" si="14"/>
        <v>DI3-B22</v>
      </c>
      <c r="CB15" t="str">
        <f t="shared" si="14"/>
        <v>DI3-C23</v>
      </c>
      <c r="CC15" t="str">
        <f t="shared" si="14"/>
        <v>DI3-B23</v>
      </c>
      <c r="CD15" t="str">
        <f t="shared" si="14"/>
        <v>DI3-C24</v>
      </c>
      <c r="CE15" t="str">
        <f t="shared" si="14"/>
        <v>DI3-B24</v>
      </c>
      <c r="CF15" t="str">
        <f t="shared" si="15"/>
        <v>DO2-10B</v>
      </c>
      <c r="CG15" t="str">
        <f t="shared" si="15"/>
        <v>DO2-10A</v>
      </c>
      <c r="CH15" t="str">
        <f t="shared" si="16"/>
        <v>DO2-11B</v>
      </c>
      <c r="CI15" t="str">
        <f t="shared" si="16"/>
        <v>DO2-11A</v>
      </c>
      <c r="CJ15" t="str">
        <f t="shared" si="16"/>
        <v>DO2-12B</v>
      </c>
      <c r="CK15" t="str">
        <f t="shared" si="16"/>
        <v>DO2-12A</v>
      </c>
      <c r="CL15" t="str">
        <f t="shared" si="20"/>
        <v>K14-10</v>
      </c>
      <c r="CM15" t="str">
        <f t="shared" si="21"/>
        <v>K14-03</v>
      </c>
      <c r="CN15" t="str">
        <f t="shared" si="22"/>
        <v>K14-04</v>
      </c>
      <c r="CO15" t="str">
        <f t="shared" si="23"/>
        <v>K14-01</v>
      </c>
      <c r="CP15" t="str">
        <f t="shared" si="24"/>
        <v>K14-08</v>
      </c>
      <c r="CQ15" t="str">
        <f t="shared" si="25"/>
        <v>K14-02</v>
      </c>
      <c r="CR15" t="str">
        <f t="shared" si="26"/>
        <v>K14-09</v>
      </c>
      <c r="CS15" t="str">
        <f t="shared" si="27"/>
        <v>K14-05</v>
      </c>
      <c r="CT15" t="str">
        <f t="shared" si="28"/>
        <v>K14-11</v>
      </c>
      <c r="CU15" t="str">
        <f t="shared" si="29"/>
        <v>F0-M14-A9</v>
      </c>
      <c r="CV15" t="str">
        <f t="shared" si="30"/>
        <v>F0-M14-A7</v>
      </c>
      <c r="CW15" t="str">
        <f t="shared" si="31"/>
        <v>F0-M14-A8</v>
      </c>
      <c r="CX15" t="str">
        <f t="shared" si="32"/>
        <v>F0-M14-A6</v>
      </c>
      <c r="CY15" t="str">
        <f t="shared" si="33"/>
        <v>F0-M14-A30</v>
      </c>
      <c r="CZ15" t="str">
        <f t="shared" si="34"/>
        <v>F0-M14-N</v>
      </c>
      <c r="DA15" t="str">
        <f t="shared" si="17"/>
        <v>F0-A220-M14</v>
      </c>
      <c r="DB15" t="str">
        <f t="shared" si="35"/>
        <v>F0-M14-XM01</v>
      </c>
      <c r="DC15" t="str">
        <f t="shared" si="36"/>
        <v>F0-M14-A1</v>
      </c>
      <c r="DD15" t="str">
        <f t="shared" si="37"/>
        <v>F0-M14-A5</v>
      </c>
      <c r="DE15" t="str">
        <f t="shared" si="38"/>
        <v>F0-M14-A11</v>
      </c>
      <c r="DF15" t="str">
        <f t="shared" si="39"/>
        <v>F0-M14-A12</v>
      </c>
      <c r="DG15" t="str">
        <f t="shared" si="40"/>
        <v>F0-M14-A19</v>
      </c>
      <c r="DH15" t="str">
        <f t="shared" si="41"/>
        <v>F0-M14-A20</v>
      </c>
      <c r="DI15" t="s">
        <v>142</v>
      </c>
      <c r="DJ15" t="s">
        <v>143</v>
      </c>
      <c r="DK15">
        <v>11</v>
      </c>
      <c r="DL15">
        <v>14</v>
      </c>
      <c r="DM15">
        <v>12</v>
      </c>
      <c r="DN15" t="s">
        <v>144</v>
      </c>
      <c r="DO15" t="s">
        <v>145</v>
      </c>
      <c r="DP15">
        <v>1</v>
      </c>
      <c r="DQ15">
        <v>2</v>
      </c>
      <c r="DR15">
        <v>3</v>
      </c>
      <c r="DS15">
        <v>4</v>
      </c>
      <c r="DT15">
        <v>5</v>
      </c>
      <c r="DU15">
        <v>6</v>
      </c>
      <c r="DV15">
        <v>7</v>
      </c>
      <c r="DW15">
        <v>8</v>
      </c>
      <c r="DX15">
        <v>9</v>
      </c>
      <c r="DY15">
        <v>10</v>
      </c>
      <c r="DZ15">
        <v>11</v>
      </c>
      <c r="EA15">
        <v>12</v>
      </c>
      <c r="EB15">
        <v>13</v>
      </c>
      <c r="EC15">
        <v>14</v>
      </c>
      <c r="ED15">
        <v>1</v>
      </c>
      <c r="EE15">
        <v>3</v>
      </c>
      <c r="EF15">
        <v>4</v>
      </c>
      <c r="EG15">
        <v>7</v>
      </c>
      <c r="EH15">
        <v>8</v>
      </c>
      <c r="EI15">
        <v>9</v>
      </c>
      <c r="EJ15">
        <v>10</v>
      </c>
      <c r="EK15">
        <v>13</v>
      </c>
      <c r="EL15">
        <v>14</v>
      </c>
      <c r="EM15">
        <v>15</v>
      </c>
      <c r="EN15">
        <v>16</v>
      </c>
      <c r="EO15">
        <v>22</v>
      </c>
      <c r="EP15">
        <v>23</v>
      </c>
      <c r="EQ15" s="16">
        <v>24</v>
      </c>
    </row>
    <row r="16" spans="1:552" x14ac:dyDescent="0.25">
      <c r="A16" t="s">
        <v>188</v>
      </c>
      <c r="B16" t="s">
        <v>189</v>
      </c>
      <c r="C16" s="3" t="s">
        <v>127</v>
      </c>
      <c r="O16" s="2"/>
      <c r="P16" t="s">
        <v>129</v>
      </c>
      <c r="Q16" s="1"/>
      <c r="S16" s="1" t="s">
        <v>130</v>
      </c>
      <c r="T16" s="14" t="s">
        <v>554</v>
      </c>
      <c r="U16" s="15">
        <v>15</v>
      </c>
      <c r="V16" s="15" t="s">
        <v>1577</v>
      </c>
      <c r="W16" s="15"/>
      <c r="AC16" t="s">
        <v>262</v>
      </c>
      <c r="AF16" t="s">
        <v>240</v>
      </c>
      <c r="AG16" t="s">
        <v>242</v>
      </c>
      <c r="AH16" t="s">
        <v>267</v>
      </c>
      <c r="AK16" t="s">
        <v>248</v>
      </c>
      <c r="AL16" t="s">
        <v>255</v>
      </c>
      <c r="AM16" t="s">
        <v>190</v>
      </c>
      <c r="AP16" t="s">
        <v>137</v>
      </c>
      <c r="AQ16" t="s">
        <v>138</v>
      </c>
      <c r="AT16" t="s">
        <v>139</v>
      </c>
      <c r="AU16" t="s">
        <v>140</v>
      </c>
      <c r="BD16" s="16"/>
      <c r="BE16" t="str">
        <f t="shared" si="0"/>
        <v>XT15</v>
      </c>
      <c r="BF16" t="str">
        <f t="shared" si="1"/>
        <v>C26</v>
      </c>
      <c r="BG16" t="str">
        <f t="shared" si="2"/>
        <v>B26</v>
      </c>
      <c r="BH16" t="str">
        <f t="shared" si="3"/>
        <v>C27</v>
      </c>
      <c r="BI16" t="str">
        <f t="shared" si="4"/>
        <v>B27</v>
      </c>
      <c r="BJ16" t="str">
        <f t="shared" si="5"/>
        <v>C28</v>
      </c>
      <c r="BK16" t="str">
        <f t="shared" si="6"/>
        <v>B28</v>
      </c>
      <c r="BL16" t="str">
        <f t="shared" si="7"/>
        <v>C29</v>
      </c>
      <c r="BM16" t="str">
        <f t="shared" si="8"/>
        <v>B29</v>
      </c>
      <c r="BN16" t="str">
        <f t="shared" si="9"/>
        <v>C30</v>
      </c>
      <c r="BO16" t="str">
        <f t="shared" si="10"/>
        <v>B30</v>
      </c>
      <c r="BP16" t="str">
        <f t="shared" si="11"/>
        <v>14B</v>
      </c>
      <c r="BQ16" t="str">
        <f t="shared" si="12"/>
        <v>14A</v>
      </c>
      <c r="BR16" t="str">
        <f t="shared" si="18"/>
        <v>15B</v>
      </c>
      <c r="BS16" t="str">
        <f t="shared" si="19"/>
        <v>15A</v>
      </c>
      <c r="BT16" t="str">
        <f t="shared" si="13"/>
        <v>DI3-C25</v>
      </c>
      <c r="BU16" t="str">
        <f t="shared" si="13"/>
        <v>DI3-B25</v>
      </c>
      <c r="BV16" t="str">
        <f t="shared" si="14"/>
        <v>DI3-C26</v>
      </c>
      <c r="BW16" t="str">
        <f t="shared" si="14"/>
        <v>DI3-B26</v>
      </c>
      <c r="BX16" t="str">
        <f t="shared" si="14"/>
        <v>DI3-C27</v>
      </c>
      <c r="BY16" t="str">
        <f t="shared" si="14"/>
        <v>DI3-B27</v>
      </c>
      <c r="BZ16" t="str">
        <f t="shared" si="14"/>
        <v>DI3-C28</v>
      </c>
      <c r="CA16" t="str">
        <f t="shared" si="14"/>
        <v>DI3-B28</v>
      </c>
      <c r="CB16" t="str">
        <f t="shared" si="14"/>
        <v>DI3-C29</v>
      </c>
      <c r="CC16" t="str">
        <f t="shared" si="14"/>
        <v>DI3-B29</v>
      </c>
      <c r="CD16" t="str">
        <f t="shared" si="14"/>
        <v>DI3-C30</v>
      </c>
      <c r="CE16" t="str">
        <f t="shared" si="14"/>
        <v>DI3-B30</v>
      </c>
      <c r="CF16" t="str">
        <f t="shared" si="15"/>
        <v>DO2-13B</v>
      </c>
      <c r="CG16" t="str">
        <f t="shared" si="15"/>
        <v>DO2-13A</v>
      </c>
      <c r="CH16" t="str">
        <f t="shared" si="16"/>
        <v>DO2-14B</v>
      </c>
      <c r="CI16" t="str">
        <f t="shared" si="16"/>
        <v>DO2-14A</v>
      </c>
      <c r="CJ16" t="str">
        <f t="shared" si="16"/>
        <v>DO2-15B</v>
      </c>
      <c r="CK16" t="str">
        <f t="shared" si="16"/>
        <v>DO2-15A</v>
      </c>
      <c r="CL16" t="str">
        <f t="shared" si="20"/>
        <v>K15-10</v>
      </c>
      <c r="CM16" t="str">
        <f t="shared" si="21"/>
        <v>K15-03</v>
      </c>
      <c r="CN16" t="str">
        <f t="shared" si="22"/>
        <v>K15-04</v>
      </c>
      <c r="CO16" t="str">
        <f t="shared" si="23"/>
        <v>K15-01</v>
      </c>
      <c r="CP16" t="str">
        <f t="shared" si="24"/>
        <v>K15-08</v>
      </c>
      <c r="CQ16" t="str">
        <f t="shared" si="25"/>
        <v>K15-02</v>
      </c>
      <c r="CR16" t="str">
        <f t="shared" si="26"/>
        <v>K15-09</v>
      </c>
      <c r="CS16" t="str">
        <f t="shared" si="27"/>
        <v>K15-05</v>
      </c>
      <c r="CT16" t="str">
        <f t="shared" si="28"/>
        <v>K15-11</v>
      </c>
      <c r="CU16" t="str">
        <f t="shared" si="29"/>
        <v>F0-M15-A9</v>
      </c>
      <c r="CV16" t="str">
        <f t="shared" si="30"/>
        <v>F0-M15-A7</v>
      </c>
      <c r="CW16" t="str">
        <f t="shared" si="31"/>
        <v>F0-M15-A8</v>
      </c>
      <c r="CX16" t="str">
        <f t="shared" si="32"/>
        <v>F0-M15-A6</v>
      </c>
      <c r="CY16" t="str">
        <f t="shared" si="33"/>
        <v>F0-M15-A30</v>
      </c>
      <c r="CZ16" t="str">
        <f t="shared" si="34"/>
        <v>F0-M15-N</v>
      </c>
      <c r="DA16" t="str">
        <f t="shared" si="17"/>
        <v>F0-A220-M15</v>
      </c>
      <c r="DB16" t="str">
        <f t="shared" si="35"/>
        <v>F0-M15-XM01</v>
      </c>
      <c r="DC16" t="str">
        <f t="shared" si="36"/>
        <v>F0-M15-A1</v>
      </c>
      <c r="DD16" t="str">
        <f t="shared" si="37"/>
        <v>F0-M15-A5</v>
      </c>
      <c r="DE16" t="str">
        <f t="shared" si="38"/>
        <v>F0-M15-A11</v>
      </c>
      <c r="DF16" t="str">
        <f t="shared" si="39"/>
        <v>F0-M15-A12</v>
      </c>
      <c r="DG16" t="str">
        <f t="shared" si="40"/>
        <v>F0-M15-A19</v>
      </c>
      <c r="DH16" t="str">
        <f t="shared" si="41"/>
        <v>F0-M15-A20</v>
      </c>
      <c r="DI16" t="s">
        <v>142</v>
      </c>
      <c r="DJ16" t="s">
        <v>143</v>
      </c>
      <c r="DK16">
        <v>11</v>
      </c>
      <c r="DL16">
        <v>14</v>
      </c>
      <c r="DM16">
        <v>12</v>
      </c>
      <c r="DN16" t="s">
        <v>144</v>
      </c>
      <c r="DO16" t="s">
        <v>145</v>
      </c>
      <c r="DP16">
        <v>1</v>
      </c>
      <c r="DQ16">
        <v>2</v>
      </c>
      <c r="DR16">
        <v>3</v>
      </c>
      <c r="DS16">
        <v>4</v>
      </c>
      <c r="DT16">
        <v>5</v>
      </c>
      <c r="DU16">
        <v>6</v>
      </c>
      <c r="DV16">
        <v>7</v>
      </c>
      <c r="DW16">
        <v>8</v>
      </c>
      <c r="DX16">
        <v>9</v>
      </c>
      <c r="DY16">
        <v>10</v>
      </c>
      <c r="DZ16">
        <v>11</v>
      </c>
      <c r="EA16">
        <v>12</v>
      </c>
      <c r="EB16">
        <v>13</v>
      </c>
      <c r="EC16">
        <v>14</v>
      </c>
      <c r="ED16">
        <v>1</v>
      </c>
      <c r="EE16">
        <v>3</v>
      </c>
      <c r="EF16">
        <v>4</v>
      </c>
      <c r="EG16">
        <v>7</v>
      </c>
      <c r="EH16">
        <v>8</v>
      </c>
      <c r="EI16">
        <v>9</v>
      </c>
      <c r="EJ16">
        <v>10</v>
      </c>
      <c r="EK16">
        <v>13</v>
      </c>
      <c r="EL16">
        <v>14</v>
      </c>
      <c r="EM16">
        <v>15</v>
      </c>
      <c r="EN16">
        <v>16</v>
      </c>
      <c r="EO16">
        <v>22</v>
      </c>
      <c r="EP16">
        <v>23</v>
      </c>
      <c r="EQ16" s="16">
        <v>24</v>
      </c>
    </row>
    <row r="17" spans="1:147" x14ac:dyDescent="0.25">
      <c r="A17" t="s">
        <v>191</v>
      </c>
      <c r="B17" t="s">
        <v>192</v>
      </c>
      <c r="C17" s="3" t="s">
        <v>127</v>
      </c>
      <c r="O17" s="2"/>
      <c r="P17" t="s">
        <v>129</v>
      </c>
      <c r="Q17" s="1"/>
      <c r="S17" s="1" t="s">
        <v>130</v>
      </c>
      <c r="T17" s="14" t="s">
        <v>554</v>
      </c>
      <c r="U17" s="15">
        <v>16</v>
      </c>
      <c r="V17" s="15" t="s">
        <v>1578</v>
      </c>
      <c r="W17" s="15"/>
      <c r="AC17" t="s">
        <v>263</v>
      </c>
      <c r="AF17" t="s">
        <v>133</v>
      </c>
      <c r="AG17" t="s">
        <v>134</v>
      </c>
      <c r="AH17" t="s">
        <v>267</v>
      </c>
      <c r="AK17" t="s">
        <v>249</v>
      </c>
      <c r="AL17" t="s">
        <v>256</v>
      </c>
      <c r="AM17" t="s">
        <v>193</v>
      </c>
      <c r="AP17" t="s">
        <v>137</v>
      </c>
      <c r="AQ17" t="s">
        <v>138</v>
      </c>
      <c r="AT17" t="s">
        <v>139</v>
      </c>
      <c r="AU17" t="s">
        <v>140</v>
      </c>
      <c r="BD17" s="16"/>
      <c r="BE17" t="str">
        <f t="shared" si="0"/>
        <v>XT16</v>
      </c>
      <c r="BF17" t="str">
        <f t="shared" si="1"/>
        <v>C2</v>
      </c>
      <c r="BG17" t="str">
        <f t="shared" si="2"/>
        <v>B2</v>
      </c>
      <c r="BH17" t="str">
        <f t="shared" si="3"/>
        <v>C3</v>
      </c>
      <c r="BI17" t="str">
        <f t="shared" si="4"/>
        <v>B3</v>
      </c>
      <c r="BJ17" t="str">
        <f t="shared" si="5"/>
        <v>C4</v>
      </c>
      <c r="BK17" t="str">
        <f t="shared" si="6"/>
        <v>B4</v>
      </c>
      <c r="BL17" t="str">
        <f t="shared" si="7"/>
        <v>C5</v>
      </c>
      <c r="BM17" t="str">
        <f t="shared" si="8"/>
        <v>B5</v>
      </c>
      <c r="BN17" t="str">
        <f t="shared" si="9"/>
        <v>C6</v>
      </c>
      <c r="BO17" t="str">
        <f t="shared" si="10"/>
        <v>B6</v>
      </c>
      <c r="BP17" t="str">
        <f t="shared" si="11"/>
        <v>17B</v>
      </c>
      <c r="BQ17" t="str">
        <f t="shared" si="12"/>
        <v>17A</v>
      </c>
      <c r="BR17" t="str">
        <f t="shared" si="18"/>
        <v>18B</v>
      </c>
      <c r="BS17" t="str">
        <f t="shared" si="19"/>
        <v>18A</v>
      </c>
      <c r="BT17" t="str">
        <f t="shared" si="13"/>
        <v>DI4-C1</v>
      </c>
      <c r="BU17" t="str">
        <f t="shared" si="13"/>
        <v>DI4-B1</v>
      </c>
      <c r="BV17" t="str">
        <f t="shared" si="14"/>
        <v>DI4-C2</v>
      </c>
      <c r="BW17" t="str">
        <f t="shared" si="14"/>
        <v>DI4-B2</v>
      </c>
      <c r="BX17" t="str">
        <f t="shared" si="14"/>
        <v>DI4-C3</v>
      </c>
      <c r="BY17" t="str">
        <f t="shared" si="14"/>
        <v>DI4-B3</v>
      </c>
      <c r="BZ17" t="str">
        <f t="shared" si="14"/>
        <v>DI4-C4</v>
      </c>
      <c r="CA17" t="str">
        <f t="shared" si="14"/>
        <v>DI4-B4</v>
      </c>
      <c r="CB17" t="str">
        <f t="shared" si="14"/>
        <v>DI4-C5</v>
      </c>
      <c r="CC17" t="str">
        <f t="shared" si="14"/>
        <v>DI4-B5</v>
      </c>
      <c r="CD17" t="str">
        <f t="shared" si="14"/>
        <v>DI4-C6</v>
      </c>
      <c r="CE17" t="str">
        <f t="shared" si="14"/>
        <v>DI4-B6</v>
      </c>
      <c r="CF17" t="str">
        <f t="shared" si="15"/>
        <v>DO2-16B</v>
      </c>
      <c r="CG17" t="str">
        <f t="shared" si="15"/>
        <v>DO2-16A</v>
      </c>
      <c r="CH17" t="str">
        <f t="shared" si="16"/>
        <v>DO2-17B</v>
      </c>
      <c r="CI17" t="str">
        <f t="shared" si="16"/>
        <v>DO2-17A</v>
      </c>
      <c r="CJ17" t="str">
        <f t="shared" si="16"/>
        <v>DO2-18B</v>
      </c>
      <c r="CK17" t="str">
        <f t="shared" si="16"/>
        <v>DO2-18A</v>
      </c>
      <c r="CL17" t="str">
        <f t="shared" si="20"/>
        <v>K16-10</v>
      </c>
      <c r="CM17" t="str">
        <f t="shared" si="21"/>
        <v>K16-03</v>
      </c>
      <c r="CN17" t="str">
        <f t="shared" si="22"/>
        <v>K16-04</v>
      </c>
      <c r="CO17" t="str">
        <f t="shared" si="23"/>
        <v>K16-01</v>
      </c>
      <c r="CP17" t="str">
        <f t="shared" si="24"/>
        <v>K16-08</v>
      </c>
      <c r="CQ17" t="str">
        <f t="shared" si="25"/>
        <v>K16-02</v>
      </c>
      <c r="CR17" t="str">
        <f t="shared" si="26"/>
        <v>K16-09</v>
      </c>
      <c r="CS17" t="str">
        <f t="shared" si="27"/>
        <v>K16-05</v>
      </c>
      <c r="CT17" t="str">
        <f t="shared" si="28"/>
        <v>K16-11</v>
      </c>
      <c r="CU17" t="str">
        <f t="shared" si="29"/>
        <v>F0-M16-A9</v>
      </c>
      <c r="CV17" t="str">
        <f t="shared" si="30"/>
        <v>F0-M16-A7</v>
      </c>
      <c r="CW17" t="str">
        <f t="shared" si="31"/>
        <v>F0-M16-A8</v>
      </c>
      <c r="CX17" t="str">
        <f t="shared" si="32"/>
        <v>F0-M16-A6</v>
      </c>
      <c r="CY17" t="str">
        <f t="shared" si="33"/>
        <v>F0-M16-A30</v>
      </c>
      <c r="CZ17" t="str">
        <f t="shared" si="34"/>
        <v>F0-M16-N</v>
      </c>
      <c r="DA17" t="str">
        <f t="shared" si="17"/>
        <v>F0-A220-M16</v>
      </c>
      <c r="DB17" t="str">
        <f t="shared" si="35"/>
        <v>F0-M16-XM01</v>
      </c>
      <c r="DC17" t="str">
        <f t="shared" si="36"/>
        <v>F0-M16-A1</v>
      </c>
      <c r="DD17" t="str">
        <f t="shared" si="37"/>
        <v>F0-M16-A5</v>
      </c>
      <c r="DE17" t="str">
        <f t="shared" si="38"/>
        <v>F0-M16-A11</v>
      </c>
      <c r="DF17" t="str">
        <f t="shared" si="39"/>
        <v>F0-M16-A12</v>
      </c>
      <c r="DG17" t="str">
        <f t="shared" si="40"/>
        <v>F0-M16-A19</v>
      </c>
      <c r="DH17" t="str">
        <f t="shared" si="41"/>
        <v>F0-M16-A20</v>
      </c>
      <c r="DI17" t="s">
        <v>142</v>
      </c>
      <c r="DJ17" t="s">
        <v>143</v>
      </c>
      <c r="DK17">
        <v>11</v>
      </c>
      <c r="DL17">
        <v>14</v>
      </c>
      <c r="DM17">
        <v>12</v>
      </c>
      <c r="DN17" t="s">
        <v>144</v>
      </c>
      <c r="DO17" t="s">
        <v>145</v>
      </c>
      <c r="DP17">
        <v>1</v>
      </c>
      <c r="DQ17">
        <v>2</v>
      </c>
      <c r="DR17">
        <v>3</v>
      </c>
      <c r="DS17">
        <v>4</v>
      </c>
      <c r="DT17">
        <v>5</v>
      </c>
      <c r="DU17">
        <v>6</v>
      </c>
      <c r="DV17">
        <v>7</v>
      </c>
      <c r="DW17">
        <v>8</v>
      </c>
      <c r="DX17">
        <v>9</v>
      </c>
      <c r="DY17">
        <v>10</v>
      </c>
      <c r="DZ17">
        <v>11</v>
      </c>
      <c r="EA17">
        <v>12</v>
      </c>
      <c r="EB17">
        <v>13</v>
      </c>
      <c r="EC17">
        <v>14</v>
      </c>
      <c r="ED17">
        <v>1</v>
      </c>
      <c r="EE17">
        <v>3</v>
      </c>
      <c r="EF17">
        <v>4</v>
      </c>
      <c r="EG17">
        <v>7</v>
      </c>
      <c r="EH17">
        <v>8</v>
      </c>
      <c r="EI17">
        <v>9</v>
      </c>
      <c r="EJ17">
        <v>10</v>
      </c>
      <c r="EK17">
        <v>13</v>
      </c>
      <c r="EL17">
        <v>14</v>
      </c>
      <c r="EM17">
        <v>15</v>
      </c>
      <c r="EN17">
        <v>16</v>
      </c>
      <c r="EO17">
        <v>22</v>
      </c>
      <c r="EP17">
        <v>23</v>
      </c>
      <c r="EQ17" s="16">
        <v>24</v>
      </c>
    </row>
    <row r="18" spans="1:147" x14ac:dyDescent="0.25">
      <c r="A18" t="s">
        <v>194</v>
      </c>
      <c r="B18" t="s">
        <v>195</v>
      </c>
      <c r="C18" s="3" t="s">
        <v>127</v>
      </c>
      <c r="O18" s="2"/>
      <c r="P18" t="s">
        <v>129</v>
      </c>
      <c r="Q18" s="1"/>
      <c r="S18" s="1" t="s">
        <v>130</v>
      </c>
      <c r="T18" s="14" t="s">
        <v>554</v>
      </c>
      <c r="U18" s="15">
        <v>17</v>
      </c>
      <c r="V18" s="15" t="s">
        <v>1579</v>
      </c>
      <c r="W18" s="15"/>
      <c r="AC18" t="s">
        <v>263</v>
      </c>
      <c r="AF18" t="s">
        <v>148</v>
      </c>
      <c r="AG18" t="s">
        <v>149</v>
      </c>
      <c r="AH18" t="s">
        <v>267</v>
      </c>
      <c r="AK18" t="s">
        <v>250</v>
      </c>
      <c r="AL18" t="s">
        <v>257</v>
      </c>
      <c r="AM18" t="s">
        <v>196</v>
      </c>
      <c r="AP18" t="s">
        <v>137</v>
      </c>
      <c r="AQ18" t="s">
        <v>138</v>
      </c>
      <c r="AT18" t="s">
        <v>139</v>
      </c>
      <c r="AU18" t="s">
        <v>140</v>
      </c>
      <c r="BD18" s="16"/>
      <c r="BE18" t="str">
        <f t="shared" si="0"/>
        <v>XT17</v>
      </c>
      <c r="BF18" t="str">
        <f t="shared" si="1"/>
        <v>C8</v>
      </c>
      <c r="BG18" t="str">
        <f t="shared" si="2"/>
        <v>B8</v>
      </c>
      <c r="BH18" t="str">
        <f t="shared" si="3"/>
        <v>C9</v>
      </c>
      <c r="BI18" t="str">
        <f t="shared" si="4"/>
        <v>B9</v>
      </c>
      <c r="BJ18" t="str">
        <f t="shared" si="5"/>
        <v>C10</v>
      </c>
      <c r="BK18" t="str">
        <f t="shared" si="6"/>
        <v>B10</v>
      </c>
      <c r="BL18" t="str">
        <f t="shared" si="7"/>
        <v>C11</v>
      </c>
      <c r="BM18" t="str">
        <f t="shared" si="8"/>
        <v>B11</v>
      </c>
      <c r="BN18" t="str">
        <f t="shared" si="9"/>
        <v>C12</v>
      </c>
      <c r="BO18" t="str">
        <f t="shared" si="10"/>
        <v>B12</v>
      </c>
      <c r="BP18" t="str">
        <f t="shared" si="11"/>
        <v>20B</v>
      </c>
      <c r="BQ18" t="str">
        <f t="shared" si="12"/>
        <v>20A</v>
      </c>
      <c r="BR18" t="str">
        <f t="shared" si="18"/>
        <v>21B</v>
      </c>
      <c r="BS18" t="str">
        <f t="shared" si="19"/>
        <v>21A</v>
      </c>
      <c r="BT18" t="str">
        <f t="shared" si="13"/>
        <v>DI4-C7</v>
      </c>
      <c r="BU18" t="str">
        <f t="shared" si="13"/>
        <v>DI4-B7</v>
      </c>
      <c r="BV18" t="str">
        <f t="shared" ref="BV18:CE33" si="42">CONCATENATE("DI",REPLACE($AC18,1,3,""),"-",BF18)</f>
        <v>DI4-C8</v>
      </c>
      <c r="BW18" t="str">
        <f t="shared" si="42"/>
        <v>DI4-B8</v>
      </c>
      <c r="BX18" t="str">
        <f t="shared" si="42"/>
        <v>DI4-C9</v>
      </c>
      <c r="BY18" t="str">
        <f t="shared" si="42"/>
        <v>DI4-B9</v>
      </c>
      <c r="BZ18" t="str">
        <f t="shared" si="42"/>
        <v>DI4-C10</v>
      </c>
      <c r="CA18" t="str">
        <f t="shared" si="42"/>
        <v>DI4-B10</v>
      </c>
      <c r="CB18" t="str">
        <f t="shared" si="42"/>
        <v>DI4-C11</v>
      </c>
      <c r="CC18" t="str">
        <f t="shared" si="42"/>
        <v>DI4-B11</v>
      </c>
      <c r="CD18" t="str">
        <f t="shared" si="42"/>
        <v>DI4-C12</v>
      </c>
      <c r="CE18" t="str">
        <f t="shared" si="42"/>
        <v>DI4-B12</v>
      </c>
      <c r="CF18" t="str">
        <f t="shared" si="15"/>
        <v>DO2-19B</v>
      </c>
      <c r="CG18" t="str">
        <f t="shared" si="15"/>
        <v>DO2-19A</v>
      </c>
      <c r="CH18" t="str">
        <f t="shared" si="16"/>
        <v>DO2-20B</v>
      </c>
      <c r="CI18" t="str">
        <f t="shared" si="16"/>
        <v>DO2-20A</v>
      </c>
      <c r="CJ18" t="str">
        <f t="shared" si="16"/>
        <v>DO2-21B</v>
      </c>
      <c r="CK18" t="str">
        <f t="shared" si="16"/>
        <v>DO2-21A</v>
      </c>
      <c r="CL18" t="str">
        <f t="shared" si="20"/>
        <v>K17-10</v>
      </c>
      <c r="CM18" t="str">
        <f t="shared" si="21"/>
        <v>K17-03</v>
      </c>
      <c r="CN18" t="str">
        <f t="shared" si="22"/>
        <v>K17-04</v>
      </c>
      <c r="CO18" t="str">
        <f t="shared" si="23"/>
        <v>K17-01</v>
      </c>
      <c r="CP18" t="str">
        <f t="shared" si="24"/>
        <v>K17-08</v>
      </c>
      <c r="CQ18" t="str">
        <f t="shared" si="25"/>
        <v>K17-02</v>
      </c>
      <c r="CR18" t="str">
        <f t="shared" si="26"/>
        <v>K17-09</v>
      </c>
      <c r="CS18" t="str">
        <f t="shared" si="27"/>
        <v>K17-05</v>
      </c>
      <c r="CT18" t="str">
        <f t="shared" si="28"/>
        <v>K17-11</v>
      </c>
      <c r="CU18" t="str">
        <f t="shared" si="29"/>
        <v>F0-M17-A9</v>
      </c>
      <c r="CV18" t="str">
        <f t="shared" si="30"/>
        <v>F0-M17-A7</v>
      </c>
      <c r="CW18" t="str">
        <f t="shared" si="31"/>
        <v>F0-M17-A8</v>
      </c>
      <c r="CX18" t="str">
        <f t="shared" si="32"/>
        <v>F0-M17-A6</v>
      </c>
      <c r="CY18" t="str">
        <f t="shared" si="33"/>
        <v>F0-M17-A30</v>
      </c>
      <c r="CZ18" t="str">
        <f t="shared" si="34"/>
        <v>F0-M17-N</v>
      </c>
      <c r="DA18" t="str">
        <f t="shared" si="17"/>
        <v>F0-A220-M17</v>
      </c>
      <c r="DB18" t="str">
        <f t="shared" si="35"/>
        <v>F0-M17-XM01</v>
      </c>
      <c r="DC18" t="str">
        <f t="shared" si="36"/>
        <v>F0-M17-A1</v>
      </c>
      <c r="DD18" t="str">
        <f t="shared" si="37"/>
        <v>F0-M17-A5</v>
      </c>
      <c r="DE18" t="str">
        <f t="shared" si="38"/>
        <v>F0-M17-A11</v>
      </c>
      <c r="DF18" t="str">
        <f t="shared" si="39"/>
        <v>F0-M17-A12</v>
      </c>
      <c r="DG18" t="str">
        <f t="shared" si="40"/>
        <v>F0-M17-A19</v>
      </c>
      <c r="DH18" t="str">
        <f t="shared" si="41"/>
        <v>F0-M17-A20</v>
      </c>
      <c r="DI18" t="s">
        <v>142</v>
      </c>
      <c r="DJ18" t="s">
        <v>143</v>
      </c>
      <c r="DK18">
        <v>11</v>
      </c>
      <c r="DL18">
        <v>14</v>
      </c>
      <c r="DM18">
        <v>12</v>
      </c>
      <c r="DN18" t="s">
        <v>144</v>
      </c>
      <c r="DO18" t="s">
        <v>145</v>
      </c>
      <c r="DP18">
        <v>1</v>
      </c>
      <c r="DQ18">
        <v>2</v>
      </c>
      <c r="DR18">
        <v>3</v>
      </c>
      <c r="DS18">
        <v>4</v>
      </c>
      <c r="DT18">
        <v>5</v>
      </c>
      <c r="DU18">
        <v>6</v>
      </c>
      <c r="DV18">
        <v>7</v>
      </c>
      <c r="DW18">
        <v>8</v>
      </c>
      <c r="DX18">
        <v>9</v>
      </c>
      <c r="DY18">
        <v>10</v>
      </c>
      <c r="DZ18">
        <v>11</v>
      </c>
      <c r="EA18">
        <v>12</v>
      </c>
      <c r="EB18">
        <v>13</v>
      </c>
      <c r="EC18">
        <v>14</v>
      </c>
      <c r="ED18">
        <v>1</v>
      </c>
      <c r="EE18">
        <v>3</v>
      </c>
      <c r="EF18">
        <v>4</v>
      </c>
      <c r="EG18">
        <v>7</v>
      </c>
      <c r="EH18">
        <v>8</v>
      </c>
      <c r="EI18">
        <v>9</v>
      </c>
      <c r="EJ18">
        <v>10</v>
      </c>
      <c r="EK18">
        <v>13</v>
      </c>
      <c r="EL18">
        <v>14</v>
      </c>
      <c r="EM18">
        <v>15</v>
      </c>
      <c r="EN18">
        <v>16</v>
      </c>
      <c r="EO18">
        <v>22</v>
      </c>
      <c r="EP18">
        <v>23</v>
      </c>
      <c r="EQ18" s="16">
        <v>24</v>
      </c>
    </row>
    <row r="19" spans="1:147" x14ac:dyDescent="0.25">
      <c r="A19" t="s">
        <v>197</v>
      </c>
      <c r="B19" t="s">
        <v>198</v>
      </c>
      <c r="C19" s="3" t="s">
        <v>127</v>
      </c>
      <c r="O19" s="2"/>
      <c r="P19" t="s">
        <v>129</v>
      </c>
      <c r="Q19" s="1"/>
      <c r="S19" s="1" t="s">
        <v>130</v>
      </c>
      <c r="T19" s="14" t="s">
        <v>554</v>
      </c>
      <c r="U19" s="15">
        <v>18</v>
      </c>
      <c r="V19" s="15" t="s">
        <v>1580</v>
      </c>
      <c r="W19" s="15"/>
      <c r="AC19" t="s">
        <v>263</v>
      </c>
      <c r="AF19" t="s">
        <v>153</v>
      </c>
      <c r="AG19" t="s">
        <v>154</v>
      </c>
      <c r="AH19" t="s">
        <v>267</v>
      </c>
      <c r="AK19" t="s">
        <v>251</v>
      </c>
      <c r="AL19" t="s">
        <v>258</v>
      </c>
      <c r="AM19" t="s">
        <v>199</v>
      </c>
      <c r="AP19" t="s">
        <v>137</v>
      </c>
      <c r="AQ19" t="s">
        <v>138</v>
      </c>
      <c r="AT19" t="s">
        <v>139</v>
      </c>
      <c r="AU19" t="s">
        <v>140</v>
      </c>
      <c r="BD19" s="16"/>
      <c r="BE19" t="str">
        <f t="shared" si="0"/>
        <v>XT18</v>
      </c>
      <c r="BF19" t="str">
        <f t="shared" si="1"/>
        <v>C14</v>
      </c>
      <c r="BG19" t="str">
        <f t="shared" si="2"/>
        <v>B14</v>
      </c>
      <c r="BH19" t="str">
        <f t="shared" si="3"/>
        <v>C15</v>
      </c>
      <c r="BI19" t="str">
        <f t="shared" si="4"/>
        <v>B15</v>
      </c>
      <c r="BJ19" t="str">
        <f t="shared" si="5"/>
        <v>C16</v>
      </c>
      <c r="BK19" t="str">
        <f t="shared" si="6"/>
        <v>B16</v>
      </c>
      <c r="BL19" t="str">
        <f t="shared" si="7"/>
        <v>C17</v>
      </c>
      <c r="BM19" t="str">
        <f t="shared" si="8"/>
        <v>B17</v>
      </c>
      <c r="BN19" t="str">
        <f t="shared" si="9"/>
        <v>C18</v>
      </c>
      <c r="BO19" t="str">
        <f t="shared" si="10"/>
        <v>B18</v>
      </c>
      <c r="BP19" t="str">
        <f t="shared" si="11"/>
        <v>23B</v>
      </c>
      <c r="BQ19" t="str">
        <f t="shared" si="12"/>
        <v>23A</v>
      </c>
      <c r="BR19" t="str">
        <f t="shared" si="18"/>
        <v>24B</v>
      </c>
      <c r="BS19" t="str">
        <f t="shared" si="19"/>
        <v>24A</v>
      </c>
      <c r="BT19" t="str">
        <f t="shared" si="13"/>
        <v>DI4-C13</v>
      </c>
      <c r="BU19" t="str">
        <f t="shared" si="13"/>
        <v>DI4-B13</v>
      </c>
      <c r="BV19" t="str">
        <f t="shared" si="42"/>
        <v>DI4-C14</v>
      </c>
      <c r="BW19" t="str">
        <f t="shared" si="42"/>
        <v>DI4-B14</v>
      </c>
      <c r="BX19" t="str">
        <f t="shared" si="42"/>
        <v>DI4-C15</v>
      </c>
      <c r="BY19" t="str">
        <f t="shared" si="42"/>
        <v>DI4-B15</v>
      </c>
      <c r="BZ19" t="str">
        <f t="shared" si="42"/>
        <v>DI4-C16</v>
      </c>
      <c r="CA19" t="str">
        <f t="shared" si="42"/>
        <v>DI4-B16</v>
      </c>
      <c r="CB19" t="str">
        <f t="shared" si="42"/>
        <v>DI4-C17</v>
      </c>
      <c r="CC19" t="str">
        <f t="shared" si="42"/>
        <v>DI4-B17</v>
      </c>
      <c r="CD19" t="str">
        <f t="shared" si="42"/>
        <v>DI4-C18</v>
      </c>
      <c r="CE19" t="str">
        <f t="shared" si="42"/>
        <v>DI4-B18</v>
      </c>
      <c r="CF19" t="str">
        <f t="shared" si="15"/>
        <v>DO2-22B</v>
      </c>
      <c r="CG19" t="str">
        <f t="shared" si="15"/>
        <v>DO2-22A</v>
      </c>
      <c r="CH19" t="str">
        <f t="shared" si="16"/>
        <v>DO2-23B</v>
      </c>
      <c r="CI19" t="str">
        <f t="shared" si="16"/>
        <v>DO2-23A</v>
      </c>
      <c r="CJ19" t="str">
        <f t="shared" si="16"/>
        <v>DO2-24B</v>
      </c>
      <c r="CK19" t="str">
        <f t="shared" si="16"/>
        <v>DO2-24A</v>
      </c>
      <c r="CL19" t="str">
        <f t="shared" si="20"/>
        <v>K18-10</v>
      </c>
      <c r="CM19" t="str">
        <f t="shared" si="21"/>
        <v>K18-03</v>
      </c>
      <c r="CN19" t="str">
        <f t="shared" si="22"/>
        <v>K18-04</v>
      </c>
      <c r="CO19" t="str">
        <f t="shared" si="23"/>
        <v>K18-01</v>
      </c>
      <c r="CP19" t="str">
        <f t="shared" si="24"/>
        <v>K18-08</v>
      </c>
      <c r="CQ19" t="str">
        <f t="shared" si="25"/>
        <v>K18-02</v>
      </c>
      <c r="CR19" t="str">
        <f t="shared" si="26"/>
        <v>K18-09</v>
      </c>
      <c r="CS19" t="str">
        <f t="shared" si="27"/>
        <v>K18-05</v>
      </c>
      <c r="CT19" t="str">
        <f t="shared" si="28"/>
        <v>K18-11</v>
      </c>
      <c r="CU19" t="str">
        <f t="shared" si="29"/>
        <v>F0-M18-A9</v>
      </c>
      <c r="CV19" t="str">
        <f t="shared" si="30"/>
        <v>F0-M18-A7</v>
      </c>
      <c r="CW19" t="str">
        <f t="shared" si="31"/>
        <v>F0-M18-A8</v>
      </c>
      <c r="CX19" t="str">
        <f t="shared" si="32"/>
        <v>F0-M18-A6</v>
      </c>
      <c r="CY19" t="str">
        <f t="shared" si="33"/>
        <v>F0-M18-A30</v>
      </c>
      <c r="CZ19" t="str">
        <f t="shared" si="34"/>
        <v>F0-M18-N</v>
      </c>
      <c r="DA19" t="str">
        <f t="shared" si="17"/>
        <v>F0-A220-M18</v>
      </c>
      <c r="DB19" t="str">
        <f t="shared" si="35"/>
        <v>F0-M18-XM01</v>
      </c>
      <c r="DC19" t="str">
        <f t="shared" si="36"/>
        <v>F0-M18-A1</v>
      </c>
      <c r="DD19" t="str">
        <f t="shared" si="37"/>
        <v>F0-M18-A5</v>
      </c>
      <c r="DE19" t="str">
        <f t="shared" si="38"/>
        <v>F0-M18-A11</v>
      </c>
      <c r="DF19" t="str">
        <f t="shared" si="39"/>
        <v>F0-M18-A12</v>
      </c>
      <c r="DG19" t="str">
        <f t="shared" si="40"/>
        <v>F0-M18-A19</v>
      </c>
      <c r="DH19" t="str">
        <f t="shared" si="41"/>
        <v>F0-M18-A20</v>
      </c>
      <c r="DI19" t="s">
        <v>142</v>
      </c>
      <c r="DJ19" t="s">
        <v>143</v>
      </c>
      <c r="DK19">
        <v>11</v>
      </c>
      <c r="DL19">
        <v>14</v>
      </c>
      <c r="DM19">
        <v>12</v>
      </c>
      <c r="DN19" t="s">
        <v>144</v>
      </c>
      <c r="DO19" t="s">
        <v>145</v>
      </c>
      <c r="DP19">
        <v>1</v>
      </c>
      <c r="DQ19">
        <v>2</v>
      </c>
      <c r="DR19">
        <v>3</v>
      </c>
      <c r="DS19">
        <v>4</v>
      </c>
      <c r="DT19">
        <v>5</v>
      </c>
      <c r="DU19">
        <v>6</v>
      </c>
      <c r="DV19">
        <v>7</v>
      </c>
      <c r="DW19">
        <v>8</v>
      </c>
      <c r="DX19">
        <v>9</v>
      </c>
      <c r="DY19">
        <v>10</v>
      </c>
      <c r="DZ19">
        <v>11</v>
      </c>
      <c r="EA19">
        <v>12</v>
      </c>
      <c r="EB19">
        <v>13</v>
      </c>
      <c r="EC19">
        <v>14</v>
      </c>
      <c r="ED19">
        <v>1</v>
      </c>
      <c r="EE19">
        <v>3</v>
      </c>
      <c r="EF19">
        <v>4</v>
      </c>
      <c r="EG19">
        <v>7</v>
      </c>
      <c r="EH19">
        <v>8</v>
      </c>
      <c r="EI19">
        <v>9</v>
      </c>
      <c r="EJ19">
        <v>10</v>
      </c>
      <c r="EK19">
        <v>13</v>
      </c>
      <c r="EL19">
        <v>14</v>
      </c>
      <c r="EM19">
        <v>15</v>
      </c>
      <c r="EN19">
        <v>16</v>
      </c>
      <c r="EO19">
        <v>22</v>
      </c>
      <c r="EP19">
        <v>23</v>
      </c>
      <c r="EQ19" s="16">
        <v>24</v>
      </c>
    </row>
    <row r="20" spans="1:147" x14ac:dyDescent="0.25">
      <c r="A20" t="s">
        <v>200</v>
      </c>
      <c r="B20" t="s">
        <v>201</v>
      </c>
      <c r="C20" s="3" t="s">
        <v>127</v>
      </c>
      <c r="O20" s="2"/>
      <c r="P20" t="s">
        <v>129</v>
      </c>
      <c r="Q20" s="1"/>
      <c r="S20" s="1" t="s">
        <v>130</v>
      </c>
      <c r="T20" s="14" t="s">
        <v>554</v>
      </c>
      <c r="U20" s="15">
        <v>19</v>
      </c>
      <c r="V20" s="15" t="s">
        <v>1581</v>
      </c>
      <c r="W20" s="15"/>
      <c r="AC20" t="s">
        <v>263</v>
      </c>
      <c r="AF20" t="s">
        <v>239</v>
      </c>
      <c r="AG20" t="s">
        <v>241</v>
      </c>
      <c r="AH20" t="s">
        <v>267</v>
      </c>
      <c r="AK20" t="s">
        <v>252</v>
      </c>
      <c r="AL20" t="s">
        <v>259</v>
      </c>
      <c r="AM20" t="s">
        <v>202</v>
      </c>
      <c r="AP20" t="s">
        <v>137</v>
      </c>
      <c r="AQ20" t="s">
        <v>138</v>
      </c>
      <c r="AT20" t="s">
        <v>139</v>
      </c>
      <c r="AU20" t="s">
        <v>140</v>
      </c>
      <c r="BD20" s="16"/>
      <c r="BE20" t="str">
        <f t="shared" si="0"/>
        <v>XT19</v>
      </c>
      <c r="BF20" t="str">
        <f t="shared" si="1"/>
        <v>C20</v>
      </c>
      <c r="BG20" t="str">
        <f t="shared" si="2"/>
        <v>B20</v>
      </c>
      <c r="BH20" t="str">
        <f t="shared" si="3"/>
        <v>C21</v>
      </c>
      <c r="BI20" t="str">
        <f t="shared" si="4"/>
        <v>B21</v>
      </c>
      <c r="BJ20" t="str">
        <f t="shared" si="5"/>
        <v>C22</v>
      </c>
      <c r="BK20" t="str">
        <f t="shared" si="6"/>
        <v>B22</v>
      </c>
      <c r="BL20" t="str">
        <f t="shared" si="7"/>
        <v>C23</v>
      </c>
      <c r="BM20" t="str">
        <f t="shared" si="8"/>
        <v>B23</v>
      </c>
      <c r="BN20" t="str">
        <f t="shared" si="9"/>
        <v>C24</v>
      </c>
      <c r="BO20" t="str">
        <f t="shared" si="10"/>
        <v>B24</v>
      </c>
      <c r="BP20" t="str">
        <f t="shared" si="11"/>
        <v>26B</v>
      </c>
      <c r="BQ20" t="str">
        <f t="shared" si="12"/>
        <v>26A</v>
      </c>
      <c r="BR20" t="str">
        <f t="shared" si="18"/>
        <v>27B</v>
      </c>
      <c r="BS20" t="str">
        <f t="shared" si="19"/>
        <v>27A</v>
      </c>
      <c r="BT20" t="str">
        <f t="shared" si="13"/>
        <v>DI4-C19</v>
      </c>
      <c r="BU20" t="str">
        <f t="shared" si="13"/>
        <v>DI4-B19</v>
      </c>
      <c r="BV20" t="str">
        <f t="shared" si="42"/>
        <v>DI4-C20</v>
      </c>
      <c r="BW20" t="str">
        <f t="shared" si="42"/>
        <v>DI4-B20</v>
      </c>
      <c r="BX20" t="str">
        <f t="shared" si="42"/>
        <v>DI4-C21</v>
      </c>
      <c r="BY20" t="str">
        <f t="shared" si="42"/>
        <v>DI4-B21</v>
      </c>
      <c r="BZ20" t="str">
        <f t="shared" si="42"/>
        <v>DI4-C22</v>
      </c>
      <c r="CA20" t="str">
        <f t="shared" si="42"/>
        <v>DI4-B22</v>
      </c>
      <c r="CB20" t="str">
        <f t="shared" si="42"/>
        <v>DI4-C23</v>
      </c>
      <c r="CC20" t="str">
        <f t="shared" si="42"/>
        <v>DI4-B23</v>
      </c>
      <c r="CD20" t="str">
        <f t="shared" si="42"/>
        <v>DI4-C24</v>
      </c>
      <c r="CE20" t="str">
        <f t="shared" si="42"/>
        <v>DI4-B24</v>
      </c>
      <c r="CF20" t="str">
        <f t="shared" si="15"/>
        <v>DO2-25B</v>
      </c>
      <c r="CG20" t="str">
        <f t="shared" si="15"/>
        <v>DO2-25A</v>
      </c>
      <c r="CH20" t="str">
        <f t="shared" si="16"/>
        <v>DO2-26B</v>
      </c>
      <c r="CI20" t="str">
        <f t="shared" si="16"/>
        <v>DO2-26A</v>
      </c>
      <c r="CJ20" t="str">
        <f t="shared" si="16"/>
        <v>DO2-27B</v>
      </c>
      <c r="CK20" t="str">
        <f t="shared" si="16"/>
        <v>DO2-27A</v>
      </c>
      <c r="CL20" t="str">
        <f t="shared" si="20"/>
        <v>K19-10</v>
      </c>
      <c r="CM20" t="str">
        <f t="shared" si="21"/>
        <v>K19-03</v>
      </c>
      <c r="CN20" t="str">
        <f t="shared" si="22"/>
        <v>K19-04</v>
      </c>
      <c r="CO20" t="str">
        <f t="shared" si="23"/>
        <v>K19-01</v>
      </c>
      <c r="CP20" t="str">
        <f t="shared" si="24"/>
        <v>K19-08</v>
      </c>
      <c r="CQ20" t="str">
        <f t="shared" si="25"/>
        <v>K19-02</v>
      </c>
      <c r="CR20" t="str">
        <f t="shared" si="26"/>
        <v>K19-09</v>
      </c>
      <c r="CS20" t="str">
        <f t="shared" si="27"/>
        <v>K19-05</v>
      </c>
      <c r="CT20" t="str">
        <f t="shared" si="28"/>
        <v>K19-11</v>
      </c>
      <c r="CU20" t="str">
        <f t="shared" si="29"/>
        <v>F0-M19-A9</v>
      </c>
      <c r="CV20" t="str">
        <f t="shared" si="30"/>
        <v>F0-M19-A7</v>
      </c>
      <c r="CW20" t="str">
        <f t="shared" si="31"/>
        <v>F0-M19-A8</v>
      </c>
      <c r="CX20" t="str">
        <f t="shared" si="32"/>
        <v>F0-M19-A6</v>
      </c>
      <c r="CY20" t="str">
        <f t="shared" si="33"/>
        <v>F0-M19-A30</v>
      </c>
      <c r="CZ20" t="str">
        <f t="shared" si="34"/>
        <v>F0-M19-N</v>
      </c>
      <c r="DA20" t="str">
        <f t="shared" si="17"/>
        <v>F0-A220-M19</v>
      </c>
      <c r="DB20" t="str">
        <f t="shared" si="35"/>
        <v>F0-M19-XM01</v>
      </c>
      <c r="DC20" t="str">
        <f t="shared" si="36"/>
        <v>F0-M19-A1</v>
      </c>
      <c r="DD20" t="str">
        <f t="shared" si="37"/>
        <v>F0-M19-A5</v>
      </c>
      <c r="DE20" t="str">
        <f t="shared" si="38"/>
        <v>F0-M19-A11</v>
      </c>
      <c r="DF20" t="str">
        <f t="shared" si="39"/>
        <v>F0-M19-A12</v>
      </c>
      <c r="DG20" t="str">
        <f t="shared" si="40"/>
        <v>F0-M19-A19</v>
      </c>
      <c r="DH20" t="str">
        <f t="shared" si="41"/>
        <v>F0-M19-A20</v>
      </c>
      <c r="DI20" t="s">
        <v>142</v>
      </c>
      <c r="DJ20" t="s">
        <v>143</v>
      </c>
      <c r="DK20">
        <v>11</v>
      </c>
      <c r="DL20">
        <v>14</v>
      </c>
      <c r="DM20">
        <v>12</v>
      </c>
      <c r="DN20" t="s">
        <v>144</v>
      </c>
      <c r="DO20" t="s">
        <v>145</v>
      </c>
      <c r="DP20">
        <v>1</v>
      </c>
      <c r="DQ20">
        <v>2</v>
      </c>
      <c r="DR20">
        <v>3</v>
      </c>
      <c r="DS20">
        <v>4</v>
      </c>
      <c r="DT20">
        <v>5</v>
      </c>
      <c r="DU20">
        <v>6</v>
      </c>
      <c r="DV20">
        <v>7</v>
      </c>
      <c r="DW20">
        <v>8</v>
      </c>
      <c r="DX20">
        <v>9</v>
      </c>
      <c r="DY20">
        <v>10</v>
      </c>
      <c r="DZ20">
        <v>11</v>
      </c>
      <c r="EA20">
        <v>12</v>
      </c>
      <c r="EB20">
        <v>13</v>
      </c>
      <c r="EC20">
        <v>14</v>
      </c>
      <c r="ED20">
        <v>1</v>
      </c>
      <c r="EE20">
        <v>3</v>
      </c>
      <c r="EF20">
        <v>4</v>
      </c>
      <c r="EG20">
        <v>7</v>
      </c>
      <c r="EH20">
        <v>8</v>
      </c>
      <c r="EI20">
        <v>9</v>
      </c>
      <c r="EJ20">
        <v>10</v>
      </c>
      <c r="EK20">
        <v>13</v>
      </c>
      <c r="EL20">
        <v>14</v>
      </c>
      <c r="EM20">
        <v>15</v>
      </c>
      <c r="EN20">
        <v>16</v>
      </c>
      <c r="EO20">
        <v>22</v>
      </c>
      <c r="EP20">
        <v>23</v>
      </c>
      <c r="EQ20" s="16">
        <v>24</v>
      </c>
    </row>
    <row r="21" spans="1:147" x14ac:dyDescent="0.25">
      <c r="A21" t="s">
        <v>203</v>
      </c>
      <c r="B21" t="s">
        <v>204</v>
      </c>
      <c r="C21" s="3" t="s">
        <v>127</v>
      </c>
      <c r="O21" s="2"/>
      <c r="P21" t="s">
        <v>129</v>
      </c>
      <c r="Q21" s="1"/>
      <c r="S21" s="1" t="s">
        <v>130</v>
      </c>
      <c r="T21" s="14" t="s">
        <v>554</v>
      </c>
      <c r="U21" s="15">
        <v>20</v>
      </c>
      <c r="V21" s="15" t="s">
        <v>1582</v>
      </c>
      <c r="W21" s="15"/>
      <c r="AC21" t="s">
        <v>263</v>
      </c>
      <c r="AF21" t="s">
        <v>240</v>
      </c>
      <c r="AG21" t="s">
        <v>242</v>
      </c>
      <c r="AH21" t="s">
        <v>267</v>
      </c>
      <c r="AK21" t="s">
        <v>253</v>
      </c>
      <c r="AL21" t="s">
        <v>260</v>
      </c>
      <c r="AM21" t="s">
        <v>205</v>
      </c>
      <c r="AP21" t="s">
        <v>137</v>
      </c>
      <c r="AQ21" t="s">
        <v>138</v>
      </c>
      <c r="AT21" t="s">
        <v>139</v>
      </c>
      <c r="AU21" t="s">
        <v>140</v>
      </c>
      <c r="BD21" s="16"/>
      <c r="BE21" t="str">
        <f t="shared" si="0"/>
        <v>XT20</v>
      </c>
      <c r="BF21" t="str">
        <f t="shared" si="1"/>
        <v>C26</v>
      </c>
      <c r="BG21" t="str">
        <f t="shared" si="2"/>
        <v>B26</v>
      </c>
      <c r="BH21" t="str">
        <f t="shared" si="3"/>
        <v>C27</v>
      </c>
      <c r="BI21" t="str">
        <f t="shared" si="4"/>
        <v>B27</v>
      </c>
      <c r="BJ21" t="str">
        <f t="shared" si="5"/>
        <v>C28</v>
      </c>
      <c r="BK21" t="str">
        <f t="shared" si="6"/>
        <v>B28</v>
      </c>
      <c r="BL21" t="str">
        <f t="shared" si="7"/>
        <v>C29</v>
      </c>
      <c r="BM21" t="str">
        <f t="shared" si="8"/>
        <v>B29</v>
      </c>
      <c r="BN21" t="str">
        <f t="shared" si="9"/>
        <v>C30</v>
      </c>
      <c r="BO21" t="str">
        <f t="shared" si="10"/>
        <v>B30</v>
      </c>
      <c r="BP21" t="str">
        <f t="shared" si="11"/>
        <v>29B</v>
      </c>
      <c r="BQ21" t="str">
        <f t="shared" si="12"/>
        <v>29A</v>
      </c>
      <c r="BR21" t="str">
        <f t="shared" si="18"/>
        <v>30B</v>
      </c>
      <c r="BS21" t="str">
        <f t="shared" si="19"/>
        <v>30A</v>
      </c>
      <c r="BT21" t="str">
        <f t="shared" si="13"/>
        <v>DI4-C25</v>
      </c>
      <c r="BU21" t="str">
        <f t="shared" si="13"/>
        <v>DI4-B25</v>
      </c>
      <c r="BV21" t="str">
        <f t="shared" si="42"/>
        <v>DI4-C26</v>
      </c>
      <c r="BW21" t="str">
        <f t="shared" si="42"/>
        <v>DI4-B26</v>
      </c>
      <c r="BX21" t="str">
        <f t="shared" si="42"/>
        <v>DI4-C27</v>
      </c>
      <c r="BY21" t="str">
        <f t="shared" si="42"/>
        <v>DI4-B27</v>
      </c>
      <c r="BZ21" t="str">
        <f t="shared" si="42"/>
        <v>DI4-C28</v>
      </c>
      <c r="CA21" t="str">
        <f t="shared" si="42"/>
        <v>DI4-B28</v>
      </c>
      <c r="CB21" t="str">
        <f t="shared" si="42"/>
        <v>DI4-C29</v>
      </c>
      <c r="CC21" t="str">
        <f t="shared" si="42"/>
        <v>DI4-B29</v>
      </c>
      <c r="CD21" t="str">
        <f t="shared" si="42"/>
        <v>DI4-C30</v>
      </c>
      <c r="CE21" t="str">
        <f t="shared" si="42"/>
        <v>DI4-B30</v>
      </c>
      <c r="CF21" t="str">
        <f t="shared" si="15"/>
        <v>DO2-28B</v>
      </c>
      <c r="CG21" t="str">
        <f t="shared" si="15"/>
        <v>DO2-28A</v>
      </c>
      <c r="CH21" t="str">
        <f t="shared" si="16"/>
        <v>DO2-29B</v>
      </c>
      <c r="CI21" t="str">
        <f t="shared" si="16"/>
        <v>DO2-29A</v>
      </c>
      <c r="CJ21" t="str">
        <f t="shared" si="16"/>
        <v>DO2-30B</v>
      </c>
      <c r="CK21" t="str">
        <f t="shared" si="16"/>
        <v>DO2-30A</v>
      </c>
      <c r="CL21" t="str">
        <f t="shared" si="20"/>
        <v>K20-10</v>
      </c>
      <c r="CM21" t="str">
        <f t="shared" si="21"/>
        <v>K20-03</v>
      </c>
      <c r="CN21" t="str">
        <f t="shared" si="22"/>
        <v>K20-04</v>
      </c>
      <c r="CO21" t="str">
        <f t="shared" si="23"/>
        <v>K20-01</v>
      </c>
      <c r="CP21" t="str">
        <f t="shared" si="24"/>
        <v>K20-08</v>
      </c>
      <c r="CQ21" t="str">
        <f t="shared" si="25"/>
        <v>K20-02</v>
      </c>
      <c r="CR21" t="str">
        <f t="shared" si="26"/>
        <v>K20-09</v>
      </c>
      <c r="CS21" t="str">
        <f t="shared" si="27"/>
        <v>K20-05</v>
      </c>
      <c r="CT21" t="str">
        <f t="shared" si="28"/>
        <v>K20-11</v>
      </c>
      <c r="CU21" t="str">
        <f t="shared" si="29"/>
        <v>F0-M20-A9</v>
      </c>
      <c r="CV21" t="str">
        <f t="shared" si="30"/>
        <v>F0-M20-A7</v>
      </c>
      <c r="CW21" t="str">
        <f t="shared" si="31"/>
        <v>F0-M20-A8</v>
      </c>
      <c r="CX21" t="str">
        <f t="shared" si="32"/>
        <v>F0-M20-A6</v>
      </c>
      <c r="CY21" t="str">
        <f t="shared" si="33"/>
        <v>F0-M20-A30</v>
      </c>
      <c r="CZ21" t="str">
        <f t="shared" si="34"/>
        <v>F0-M20-N</v>
      </c>
      <c r="DA21" t="str">
        <f t="shared" si="17"/>
        <v>F0-A220-M20</v>
      </c>
      <c r="DB21" t="str">
        <f t="shared" si="35"/>
        <v>F0-M20-XM01</v>
      </c>
      <c r="DC21" t="str">
        <f t="shared" si="36"/>
        <v>F0-M20-A1</v>
      </c>
      <c r="DD21" t="str">
        <f t="shared" si="37"/>
        <v>F0-M20-A5</v>
      </c>
      <c r="DE21" t="str">
        <f t="shared" si="38"/>
        <v>F0-M20-A11</v>
      </c>
      <c r="DF21" t="str">
        <f t="shared" si="39"/>
        <v>F0-M20-A12</v>
      </c>
      <c r="DG21" t="str">
        <f t="shared" si="40"/>
        <v>F0-M20-A19</v>
      </c>
      <c r="DH21" t="str">
        <f t="shared" si="41"/>
        <v>F0-M20-A20</v>
      </c>
      <c r="DI21" t="s">
        <v>142</v>
      </c>
      <c r="DJ21" t="s">
        <v>143</v>
      </c>
      <c r="DK21">
        <v>11</v>
      </c>
      <c r="DL21">
        <v>14</v>
      </c>
      <c r="DM21">
        <v>12</v>
      </c>
      <c r="DN21" t="s">
        <v>144</v>
      </c>
      <c r="DO21" t="s">
        <v>145</v>
      </c>
      <c r="DP21">
        <v>1</v>
      </c>
      <c r="DQ21">
        <v>2</v>
      </c>
      <c r="DR21">
        <v>3</v>
      </c>
      <c r="DS21">
        <v>4</v>
      </c>
      <c r="DT21">
        <v>5</v>
      </c>
      <c r="DU21">
        <v>6</v>
      </c>
      <c r="DV21">
        <v>7</v>
      </c>
      <c r="DW21">
        <v>8</v>
      </c>
      <c r="DX21">
        <v>9</v>
      </c>
      <c r="DY21">
        <v>10</v>
      </c>
      <c r="DZ21">
        <v>11</v>
      </c>
      <c r="EA21">
        <v>12</v>
      </c>
      <c r="EB21">
        <v>13</v>
      </c>
      <c r="EC21">
        <v>14</v>
      </c>
      <c r="ED21">
        <v>1</v>
      </c>
      <c r="EE21">
        <v>3</v>
      </c>
      <c r="EF21">
        <v>4</v>
      </c>
      <c r="EG21">
        <v>7</v>
      </c>
      <c r="EH21">
        <v>8</v>
      </c>
      <c r="EI21">
        <v>9</v>
      </c>
      <c r="EJ21">
        <v>10</v>
      </c>
      <c r="EK21">
        <v>13</v>
      </c>
      <c r="EL21">
        <v>14</v>
      </c>
      <c r="EM21">
        <v>15</v>
      </c>
      <c r="EN21">
        <v>16</v>
      </c>
      <c r="EO21">
        <v>22</v>
      </c>
      <c r="EP21">
        <v>23</v>
      </c>
      <c r="EQ21" s="16">
        <v>24</v>
      </c>
    </row>
    <row r="22" spans="1:147" x14ac:dyDescent="0.25">
      <c r="A22" t="s">
        <v>206</v>
      </c>
      <c r="B22" t="s">
        <v>207</v>
      </c>
      <c r="C22" s="3" t="s">
        <v>127</v>
      </c>
      <c r="O22" s="2"/>
      <c r="P22" t="s">
        <v>129</v>
      </c>
      <c r="Q22" s="1"/>
      <c r="S22" s="1" t="s">
        <v>130</v>
      </c>
      <c r="T22" s="14" t="s">
        <v>554</v>
      </c>
      <c r="U22" s="15">
        <v>21</v>
      </c>
      <c r="V22" s="15" t="s">
        <v>1583</v>
      </c>
      <c r="W22" s="15"/>
      <c r="AC22" t="s">
        <v>264</v>
      </c>
      <c r="AF22" t="s">
        <v>133</v>
      </c>
      <c r="AG22" t="s">
        <v>134</v>
      </c>
      <c r="AH22" t="s">
        <v>268</v>
      </c>
      <c r="AK22" t="s">
        <v>135</v>
      </c>
      <c r="AL22" t="s">
        <v>136</v>
      </c>
      <c r="AM22" t="s">
        <v>208</v>
      </c>
      <c r="AP22" t="s">
        <v>137</v>
      </c>
      <c r="AQ22" t="s">
        <v>138</v>
      </c>
      <c r="AT22" t="s">
        <v>139</v>
      </c>
      <c r="AU22" t="s">
        <v>140</v>
      </c>
      <c r="BD22" s="16"/>
      <c r="BE22" t="str">
        <f t="shared" si="0"/>
        <v>XT21</v>
      </c>
      <c r="BF22" t="str">
        <f t="shared" si="1"/>
        <v>C2</v>
      </c>
      <c r="BG22" t="str">
        <f t="shared" si="2"/>
        <v>B2</v>
      </c>
      <c r="BH22" t="str">
        <f t="shared" si="3"/>
        <v>C3</v>
      </c>
      <c r="BI22" t="str">
        <f t="shared" si="4"/>
        <v>B3</v>
      </c>
      <c r="BJ22" t="str">
        <f t="shared" si="5"/>
        <v>C4</v>
      </c>
      <c r="BK22" t="str">
        <f t="shared" si="6"/>
        <v>B4</v>
      </c>
      <c r="BL22" t="str">
        <f t="shared" si="7"/>
        <v>C5</v>
      </c>
      <c r="BM22" t="str">
        <f t="shared" si="8"/>
        <v>B5</v>
      </c>
      <c r="BN22" t="str">
        <f t="shared" si="9"/>
        <v>C6</v>
      </c>
      <c r="BO22" t="str">
        <f t="shared" si="10"/>
        <v>B6</v>
      </c>
      <c r="BP22" t="str">
        <f t="shared" si="11"/>
        <v>2B</v>
      </c>
      <c r="BQ22" t="str">
        <f t="shared" si="12"/>
        <v>2A</v>
      </c>
      <c r="BR22" t="str">
        <f t="shared" si="18"/>
        <v>3B</v>
      </c>
      <c r="BS22" t="str">
        <f t="shared" si="19"/>
        <v>3A</v>
      </c>
      <c r="BT22" t="str">
        <f t="shared" si="13"/>
        <v>DI5-C1</v>
      </c>
      <c r="BU22" t="str">
        <f t="shared" si="13"/>
        <v>DI5-B1</v>
      </c>
      <c r="BV22" t="str">
        <f t="shared" si="42"/>
        <v>DI5-C2</v>
      </c>
      <c r="BW22" t="str">
        <f t="shared" si="42"/>
        <v>DI5-B2</v>
      </c>
      <c r="BX22" t="str">
        <f t="shared" si="42"/>
        <v>DI5-C3</v>
      </c>
      <c r="BY22" t="str">
        <f t="shared" si="42"/>
        <v>DI5-B3</v>
      </c>
      <c r="BZ22" t="str">
        <f t="shared" si="42"/>
        <v>DI5-C4</v>
      </c>
      <c r="CA22" t="str">
        <f t="shared" si="42"/>
        <v>DI5-B4</v>
      </c>
      <c r="CB22" t="str">
        <f t="shared" si="42"/>
        <v>DI5-C5</v>
      </c>
      <c r="CC22" t="str">
        <f t="shared" si="42"/>
        <v>DI5-B5</v>
      </c>
      <c r="CD22" t="str">
        <f t="shared" si="42"/>
        <v>DI5-C6</v>
      </c>
      <c r="CE22" t="str">
        <f t="shared" si="42"/>
        <v>DI5-B6</v>
      </c>
      <c r="CF22" t="str">
        <f t="shared" si="15"/>
        <v>DO3-1B</v>
      </c>
      <c r="CG22" t="str">
        <f t="shared" si="15"/>
        <v>DO3-1A</v>
      </c>
      <c r="CH22" t="str">
        <f t="shared" si="16"/>
        <v>DO3-2B</v>
      </c>
      <c r="CI22" t="str">
        <f t="shared" si="16"/>
        <v>DO3-2A</v>
      </c>
      <c r="CJ22" t="str">
        <f t="shared" si="16"/>
        <v>DO3-3B</v>
      </c>
      <c r="CK22" t="str">
        <f t="shared" si="16"/>
        <v>DO3-3A</v>
      </c>
      <c r="CL22" t="str">
        <f t="shared" si="20"/>
        <v>K21-10</v>
      </c>
      <c r="CM22" t="str">
        <f t="shared" si="21"/>
        <v>K21-03</v>
      </c>
      <c r="CN22" t="str">
        <f t="shared" si="22"/>
        <v>K21-04</v>
      </c>
      <c r="CO22" t="str">
        <f t="shared" si="23"/>
        <v>K21-01</v>
      </c>
      <c r="CP22" t="str">
        <f t="shared" si="24"/>
        <v>K21-08</v>
      </c>
      <c r="CQ22" t="str">
        <f t="shared" si="25"/>
        <v>K21-02</v>
      </c>
      <c r="CR22" t="str">
        <f t="shared" si="26"/>
        <v>K21-09</v>
      </c>
      <c r="CS22" t="str">
        <f t="shared" si="27"/>
        <v>K21-05</v>
      </c>
      <c r="CT22" t="str">
        <f t="shared" si="28"/>
        <v>K21-11</v>
      </c>
      <c r="CU22" t="str">
        <f t="shared" si="29"/>
        <v>F0-M21-A9</v>
      </c>
      <c r="CV22" t="str">
        <f t="shared" si="30"/>
        <v>F0-M21-A7</v>
      </c>
      <c r="CW22" t="str">
        <f t="shared" si="31"/>
        <v>F0-M21-A8</v>
      </c>
      <c r="CX22" t="str">
        <f t="shared" si="32"/>
        <v>F0-M21-A6</v>
      </c>
      <c r="CY22" t="str">
        <f t="shared" si="33"/>
        <v>F0-M21-A30</v>
      </c>
      <c r="CZ22" t="str">
        <f t="shared" si="34"/>
        <v>F0-M21-N</v>
      </c>
      <c r="DA22" t="str">
        <f t="shared" si="17"/>
        <v>F0-A220-M21</v>
      </c>
      <c r="DB22" t="str">
        <f t="shared" si="35"/>
        <v>F0-M21-XM01</v>
      </c>
      <c r="DC22" t="str">
        <f t="shared" si="36"/>
        <v>F0-M21-A1</v>
      </c>
      <c r="DD22" t="str">
        <f t="shared" si="37"/>
        <v>F0-M21-A5</v>
      </c>
      <c r="DE22" t="str">
        <f t="shared" si="38"/>
        <v>F0-M21-A11</v>
      </c>
      <c r="DF22" t="str">
        <f t="shared" si="39"/>
        <v>F0-M21-A12</v>
      </c>
      <c r="DG22" t="str">
        <f t="shared" si="40"/>
        <v>F0-M21-A19</v>
      </c>
      <c r="DH22" t="str">
        <f t="shared" si="41"/>
        <v>F0-M21-A20</v>
      </c>
      <c r="DI22" t="s">
        <v>142</v>
      </c>
      <c r="DJ22" t="s">
        <v>143</v>
      </c>
      <c r="DK22">
        <v>11</v>
      </c>
      <c r="DL22">
        <v>14</v>
      </c>
      <c r="DM22">
        <v>12</v>
      </c>
      <c r="DN22" t="s">
        <v>144</v>
      </c>
      <c r="DO22" t="s">
        <v>145</v>
      </c>
      <c r="DP22">
        <v>1</v>
      </c>
      <c r="DQ22">
        <v>2</v>
      </c>
      <c r="DR22">
        <v>3</v>
      </c>
      <c r="DS22">
        <v>4</v>
      </c>
      <c r="DT22">
        <v>5</v>
      </c>
      <c r="DU22">
        <v>6</v>
      </c>
      <c r="DV22">
        <v>7</v>
      </c>
      <c r="DW22">
        <v>8</v>
      </c>
      <c r="DX22">
        <v>9</v>
      </c>
      <c r="DY22">
        <v>10</v>
      </c>
      <c r="DZ22">
        <v>11</v>
      </c>
      <c r="EA22">
        <v>12</v>
      </c>
      <c r="EB22">
        <v>13</v>
      </c>
      <c r="EC22">
        <v>14</v>
      </c>
      <c r="ED22">
        <v>1</v>
      </c>
      <c r="EE22">
        <v>3</v>
      </c>
      <c r="EF22">
        <v>4</v>
      </c>
      <c r="EG22">
        <v>7</v>
      </c>
      <c r="EH22">
        <v>8</v>
      </c>
      <c r="EI22">
        <v>9</v>
      </c>
      <c r="EJ22">
        <v>10</v>
      </c>
      <c r="EK22">
        <v>13</v>
      </c>
      <c r="EL22">
        <v>14</v>
      </c>
      <c r="EM22">
        <v>15</v>
      </c>
      <c r="EN22">
        <v>16</v>
      </c>
      <c r="EO22">
        <v>22</v>
      </c>
      <c r="EP22">
        <v>23</v>
      </c>
      <c r="EQ22" s="16">
        <v>24</v>
      </c>
    </row>
    <row r="23" spans="1:147" x14ac:dyDescent="0.25">
      <c r="A23" t="s">
        <v>209</v>
      </c>
      <c r="B23" t="s">
        <v>210</v>
      </c>
      <c r="C23" s="3" t="s">
        <v>127</v>
      </c>
      <c r="O23" s="2"/>
      <c r="P23" t="s">
        <v>129</v>
      </c>
      <c r="Q23" s="1"/>
      <c r="S23" s="1" t="s">
        <v>130</v>
      </c>
      <c r="T23" s="14" t="s">
        <v>554</v>
      </c>
      <c r="U23" s="15">
        <v>22</v>
      </c>
      <c r="V23" s="15" t="s">
        <v>1584</v>
      </c>
      <c r="W23" s="15"/>
      <c r="AC23" t="s">
        <v>264</v>
      </c>
      <c r="AF23" t="s">
        <v>148</v>
      </c>
      <c r="AG23" t="s">
        <v>149</v>
      </c>
      <c r="AH23" t="s">
        <v>268</v>
      </c>
      <c r="AK23" t="s">
        <v>243</v>
      </c>
      <c r="AL23" t="s">
        <v>244</v>
      </c>
      <c r="AM23" t="s">
        <v>211</v>
      </c>
      <c r="AP23" t="s">
        <v>137</v>
      </c>
      <c r="AQ23" t="s">
        <v>138</v>
      </c>
      <c r="AT23" t="s">
        <v>139</v>
      </c>
      <c r="AU23" t="s">
        <v>140</v>
      </c>
      <c r="BD23" s="16"/>
      <c r="BE23" t="str">
        <f t="shared" si="0"/>
        <v>XT22</v>
      </c>
      <c r="BF23" t="str">
        <f t="shared" si="1"/>
        <v>C8</v>
      </c>
      <c r="BG23" t="str">
        <f t="shared" si="2"/>
        <v>B8</v>
      </c>
      <c r="BH23" t="str">
        <f t="shared" si="3"/>
        <v>C9</v>
      </c>
      <c r="BI23" t="str">
        <f t="shared" si="4"/>
        <v>B9</v>
      </c>
      <c r="BJ23" t="str">
        <f t="shared" si="5"/>
        <v>C10</v>
      </c>
      <c r="BK23" t="str">
        <f t="shared" si="6"/>
        <v>B10</v>
      </c>
      <c r="BL23" t="str">
        <f t="shared" si="7"/>
        <v>C11</v>
      </c>
      <c r="BM23" t="str">
        <f t="shared" si="8"/>
        <v>B11</v>
      </c>
      <c r="BN23" t="str">
        <f t="shared" si="9"/>
        <v>C12</v>
      </c>
      <c r="BO23" t="str">
        <f t="shared" si="10"/>
        <v>B12</v>
      </c>
      <c r="BP23" t="str">
        <f t="shared" si="11"/>
        <v>5B</v>
      </c>
      <c r="BQ23" t="str">
        <f t="shared" si="12"/>
        <v>5A</v>
      </c>
      <c r="BR23" t="str">
        <f t="shared" si="18"/>
        <v>6B</v>
      </c>
      <c r="BS23" t="str">
        <f t="shared" si="19"/>
        <v>6A</v>
      </c>
      <c r="BT23" t="str">
        <f t="shared" si="13"/>
        <v>DI5-C7</v>
      </c>
      <c r="BU23" t="str">
        <f t="shared" si="13"/>
        <v>DI5-B7</v>
      </c>
      <c r="BV23" t="str">
        <f t="shared" si="42"/>
        <v>DI5-C8</v>
      </c>
      <c r="BW23" t="str">
        <f t="shared" si="42"/>
        <v>DI5-B8</v>
      </c>
      <c r="BX23" t="str">
        <f t="shared" si="42"/>
        <v>DI5-C9</v>
      </c>
      <c r="BY23" t="str">
        <f t="shared" si="42"/>
        <v>DI5-B9</v>
      </c>
      <c r="BZ23" t="str">
        <f t="shared" si="42"/>
        <v>DI5-C10</v>
      </c>
      <c r="CA23" t="str">
        <f t="shared" si="42"/>
        <v>DI5-B10</v>
      </c>
      <c r="CB23" t="str">
        <f t="shared" si="42"/>
        <v>DI5-C11</v>
      </c>
      <c r="CC23" t="str">
        <f t="shared" si="42"/>
        <v>DI5-B11</v>
      </c>
      <c r="CD23" t="str">
        <f t="shared" si="42"/>
        <v>DI5-C12</v>
      </c>
      <c r="CE23" t="str">
        <f t="shared" si="42"/>
        <v>DI5-B12</v>
      </c>
      <c r="CF23" t="str">
        <f t="shared" si="15"/>
        <v>DO3-4B</v>
      </c>
      <c r="CG23" t="str">
        <f t="shared" si="15"/>
        <v>DO3-4A</v>
      </c>
      <c r="CH23" t="str">
        <f t="shared" si="16"/>
        <v>DO3-5B</v>
      </c>
      <c r="CI23" t="str">
        <f t="shared" si="16"/>
        <v>DO3-5A</v>
      </c>
      <c r="CJ23" t="str">
        <f t="shared" si="16"/>
        <v>DO3-6B</v>
      </c>
      <c r="CK23" t="str">
        <f t="shared" si="16"/>
        <v>DO3-6A</v>
      </c>
      <c r="CL23" t="str">
        <f t="shared" si="20"/>
        <v>K22-10</v>
      </c>
      <c r="CM23" t="str">
        <f t="shared" si="21"/>
        <v>K22-03</v>
      </c>
      <c r="CN23" t="str">
        <f t="shared" si="22"/>
        <v>K22-04</v>
      </c>
      <c r="CO23" t="str">
        <f t="shared" si="23"/>
        <v>K22-01</v>
      </c>
      <c r="CP23" t="str">
        <f t="shared" si="24"/>
        <v>K22-08</v>
      </c>
      <c r="CQ23" t="str">
        <f t="shared" si="25"/>
        <v>K22-02</v>
      </c>
      <c r="CR23" t="str">
        <f t="shared" si="26"/>
        <v>K22-09</v>
      </c>
      <c r="CS23" t="str">
        <f t="shared" si="27"/>
        <v>K22-05</v>
      </c>
      <c r="CT23" t="str">
        <f t="shared" si="28"/>
        <v>K22-11</v>
      </c>
      <c r="CU23" t="str">
        <f t="shared" si="29"/>
        <v>F0-M22-A9</v>
      </c>
      <c r="CV23" t="str">
        <f t="shared" si="30"/>
        <v>F0-M22-A7</v>
      </c>
      <c r="CW23" t="str">
        <f t="shared" si="31"/>
        <v>F0-M22-A8</v>
      </c>
      <c r="CX23" t="str">
        <f t="shared" si="32"/>
        <v>F0-M22-A6</v>
      </c>
      <c r="CY23" t="str">
        <f t="shared" si="33"/>
        <v>F0-M22-A30</v>
      </c>
      <c r="CZ23" t="str">
        <f t="shared" si="34"/>
        <v>F0-M22-N</v>
      </c>
      <c r="DA23" t="str">
        <f t="shared" si="17"/>
        <v>F0-A220-M22</v>
      </c>
      <c r="DB23" t="str">
        <f t="shared" si="35"/>
        <v>F0-M22-XM01</v>
      </c>
      <c r="DC23" t="str">
        <f t="shared" si="36"/>
        <v>F0-M22-A1</v>
      </c>
      <c r="DD23" t="str">
        <f t="shared" si="37"/>
        <v>F0-M22-A5</v>
      </c>
      <c r="DE23" t="str">
        <f t="shared" si="38"/>
        <v>F0-M22-A11</v>
      </c>
      <c r="DF23" t="str">
        <f t="shared" si="39"/>
        <v>F0-M22-A12</v>
      </c>
      <c r="DG23" t="str">
        <f t="shared" si="40"/>
        <v>F0-M22-A19</v>
      </c>
      <c r="DH23" t="str">
        <f t="shared" si="41"/>
        <v>F0-M22-A20</v>
      </c>
      <c r="DI23" t="s">
        <v>142</v>
      </c>
      <c r="DJ23" t="s">
        <v>143</v>
      </c>
      <c r="DK23">
        <v>11</v>
      </c>
      <c r="DL23">
        <v>14</v>
      </c>
      <c r="DM23">
        <v>12</v>
      </c>
      <c r="DN23" t="s">
        <v>144</v>
      </c>
      <c r="DO23" t="s">
        <v>145</v>
      </c>
      <c r="DP23">
        <v>1</v>
      </c>
      <c r="DQ23">
        <v>2</v>
      </c>
      <c r="DR23">
        <v>3</v>
      </c>
      <c r="DS23">
        <v>4</v>
      </c>
      <c r="DT23">
        <v>5</v>
      </c>
      <c r="DU23">
        <v>6</v>
      </c>
      <c r="DV23">
        <v>7</v>
      </c>
      <c r="DW23">
        <v>8</v>
      </c>
      <c r="DX23">
        <v>9</v>
      </c>
      <c r="DY23">
        <v>10</v>
      </c>
      <c r="DZ23">
        <v>11</v>
      </c>
      <c r="EA23">
        <v>12</v>
      </c>
      <c r="EB23">
        <v>13</v>
      </c>
      <c r="EC23">
        <v>14</v>
      </c>
      <c r="ED23">
        <v>1</v>
      </c>
      <c r="EE23">
        <v>3</v>
      </c>
      <c r="EF23">
        <v>4</v>
      </c>
      <c r="EG23">
        <v>7</v>
      </c>
      <c r="EH23">
        <v>8</v>
      </c>
      <c r="EI23">
        <v>9</v>
      </c>
      <c r="EJ23">
        <v>10</v>
      </c>
      <c r="EK23">
        <v>13</v>
      </c>
      <c r="EL23">
        <v>14</v>
      </c>
      <c r="EM23">
        <v>15</v>
      </c>
      <c r="EN23">
        <v>16</v>
      </c>
      <c r="EO23">
        <v>22</v>
      </c>
      <c r="EP23">
        <v>23</v>
      </c>
      <c r="EQ23" s="16">
        <v>24</v>
      </c>
    </row>
    <row r="24" spans="1:147" x14ac:dyDescent="0.25">
      <c r="A24" t="s">
        <v>212</v>
      </c>
      <c r="B24" t="s">
        <v>213</v>
      </c>
      <c r="C24" s="3" t="s">
        <v>127</v>
      </c>
      <c r="O24" s="2"/>
      <c r="P24" t="s">
        <v>129</v>
      </c>
      <c r="Q24" s="1"/>
      <c r="S24" s="1" t="s">
        <v>130</v>
      </c>
      <c r="T24" s="14" t="s">
        <v>554</v>
      </c>
      <c r="U24" s="15">
        <v>23</v>
      </c>
      <c r="V24" s="15" t="s">
        <v>1585</v>
      </c>
      <c r="W24" s="15"/>
      <c r="AC24" t="s">
        <v>264</v>
      </c>
      <c r="AF24" t="s">
        <v>153</v>
      </c>
      <c r="AG24" t="s">
        <v>154</v>
      </c>
      <c r="AH24" t="s">
        <v>268</v>
      </c>
      <c r="AK24" t="s">
        <v>245</v>
      </c>
      <c r="AL24" t="s">
        <v>246</v>
      </c>
      <c r="AM24" t="s">
        <v>214</v>
      </c>
      <c r="AP24" t="s">
        <v>137</v>
      </c>
      <c r="AQ24" t="s">
        <v>138</v>
      </c>
      <c r="AT24" t="s">
        <v>139</v>
      </c>
      <c r="AU24" t="s">
        <v>140</v>
      </c>
      <c r="BD24" s="16"/>
      <c r="BE24" t="str">
        <f t="shared" si="0"/>
        <v>XT23</v>
      </c>
      <c r="BF24" t="str">
        <f t="shared" si="1"/>
        <v>C14</v>
      </c>
      <c r="BG24" t="str">
        <f t="shared" si="2"/>
        <v>B14</v>
      </c>
      <c r="BH24" t="str">
        <f t="shared" si="3"/>
        <v>C15</v>
      </c>
      <c r="BI24" t="str">
        <f t="shared" si="4"/>
        <v>B15</v>
      </c>
      <c r="BJ24" t="str">
        <f t="shared" si="5"/>
        <v>C16</v>
      </c>
      <c r="BK24" t="str">
        <f t="shared" si="6"/>
        <v>B16</v>
      </c>
      <c r="BL24" t="str">
        <f t="shared" si="7"/>
        <v>C17</v>
      </c>
      <c r="BM24" t="str">
        <f t="shared" si="8"/>
        <v>B17</v>
      </c>
      <c r="BN24" t="str">
        <f t="shared" si="9"/>
        <v>C18</v>
      </c>
      <c r="BO24" t="str">
        <f t="shared" si="10"/>
        <v>B18</v>
      </c>
      <c r="BP24" t="str">
        <f t="shared" si="11"/>
        <v>8B</v>
      </c>
      <c r="BQ24" t="str">
        <f t="shared" si="12"/>
        <v>8A</v>
      </c>
      <c r="BR24" t="str">
        <f t="shared" si="18"/>
        <v>9B</v>
      </c>
      <c r="BS24" t="str">
        <f t="shared" si="19"/>
        <v>9A</v>
      </c>
      <c r="BT24" t="str">
        <f t="shared" si="13"/>
        <v>DI5-C13</v>
      </c>
      <c r="BU24" t="str">
        <f t="shared" si="13"/>
        <v>DI5-B13</v>
      </c>
      <c r="BV24" t="str">
        <f t="shared" si="42"/>
        <v>DI5-C14</v>
      </c>
      <c r="BW24" t="str">
        <f t="shared" si="42"/>
        <v>DI5-B14</v>
      </c>
      <c r="BX24" t="str">
        <f t="shared" si="42"/>
        <v>DI5-C15</v>
      </c>
      <c r="BY24" t="str">
        <f t="shared" si="42"/>
        <v>DI5-B15</v>
      </c>
      <c r="BZ24" t="str">
        <f t="shared" si="42"/>
        <v>DI5-C16</v>
      </c>
      <c r="CA24" t="str">
        <f t="shared" si="42"/>
        <v>DI5-B16</v>
      </c>
      <c r="CB24" t="str">
        <f t="shared" si="42"/>
        <v>DI5-C17</v>
      </c>
      <c r="CC24" t="str">
        <f t="shared" si="42"/>
        <v>DI5-B17</v>
      </c>
      <c r="CD24" t="str">
        <f t="shared" si="42"/>
        <v>DI5-C18</v>
      </c>
      <c r="CE24" t="str">
        <f t="shared" si="42"/>
        <v>DI5-B18</v>
      </c>
      <c r="CF24" t="str">
        <f t="shared" si="15"/>
        <v>DO3-7B</v>
      </c>
      <c r="CG24" t="str">
        <f t="shared" si="15"/>
        <v>DO3-7A</v>
      </c>
      <c r="CH24" t="str">
        <f t="shared" si="16"/>
        <v>DO3-8B</v>
      </c>
      <c r="CI24" t="str">
        <f t="shared" si="16"/>
        <v>DO3-8A</v>
      </c>
      <c r="CJ24" t="str">
        <f t="shared" si="16"/>
        <v>DO3-9B</v>
      </c>
      <c r="CK24" t="str">
        <f t="shared" si="16"/>
        <v>DO3-9A</v>
      </c>
      <c r="CL24" t="str">
        <f t="shared" si="20"/>
        <v>K23-10</v>
      </c>
      <c r="CM24" t="str">
        <f t="shared" si="21"/>
        <v>K23-03</v>
      </c>
      <c r="CN24" t="str">
        <f t="shared" si="22"/>
        <v>K23-04</v>
      </c>
      <c r="CO24" t="str">
        <f t="shared" si="23"/>
        <v>K23-01</v>
      </c>
      <c r="CP24" t="str">
        <f t="shared" si="24"/>
        <v>K23-08</v>
      </c>
      <c r="CQ24" t="str">
        <f t="shared" si="25"/>
        <v>K23-02</v>
      </c>
      <c r="CR24" t="str">
        <f t="shared" si="26"/>
        <v>K23-09</v>
      </c>
      <c r="CS24" t="str">
        <f t="shared" si="27"/>
        <v>K23-05</v>
      </c>
      <c r="CT24" t="str">
        <f t="shared" si="28"/>
        <v>K23-11</v>
      </c>
      <c r="CU24" t="str">
        <f t="shared" si="29"/>
        <v>F0-M23-A9</v>
      </c>
      <c r="CV24" t="str">
        <f t="shared" si="30"/>
        <v>F0-M23-A7</v>
      </c>
      <c r="CW24" t="str">
        <f t="shared" si="31"/>
        <v>F0-M23-A8</v>
      </c>
      <c r="CX24" t="str">
        <f t="shared" si="32"/>
        <v>F0-M23-A6</v>
      </c>
      <c r="CY24" t="str">
        <f t="shared" si="33"/>
        <v>F0-M23-A30</v>
      </c>
      <c r="CZ24" t="str">
        <f t="shared" si="34"/>
        <v>F0-M23-N</v>
      </c>
      <c r="DA24" t="str">
        <f t="shared" si="17"/>
        <v>F0-A220-M23</v>
      </c>
      <c r="DB24" t="str">
        <f t="shared" si="35"/>
        <v>F0-M23-XM01</v>
      </c>
      <c r="DC24" t="str">
        <f t="shared" si="36"/>
        <v>F0-M23-A1</v>
      </c>
      <c r="DD24" t="str">
        <f t="shared" si="37"/>
        <v>F0-M23-A5</v>
      </c>
      <c r="DE24" t="str">
        <f t="shared" si="38"/>
        <v>F0-M23-A11</v>
      </c>
      <c r="DF24" t="str">
        <f t="shared" si="39"/>
        <v>F0-M23-A12</v>
      </c>
      <c r="DG24" t="str">
        <f t="shared" si="40"/>
        <v>F0-M23-A19</v>
      </c>
      <c r="DH24" t="str">
        <f t="shared" si="41"/>
        <v>F0-M23-A20</v>
      </c>
      <c r="DI24" t="s">
        <v>142</v>
      </c>
      <c r="DJ24" t="s">
        <v>143</v>
      </c>
      <c r="DK24">
        <v>11</v>
      </c>
      <c r="DL24">
        <v>14</v>
      </c>
      <c r="DM24">
        <v>12</v>
      </c>
      <c r="DN24" t="s">
        <v>144</v>
      </c>
      <c r="DO24" t="s">
        <v>145</v>
      </c>
      <c r="DP24">
        <v>1</v>
      </c>
      <c r="DQ24">
        <v>2</v>
      </c>
      <c r="DR24">
        <v>3</v>
      </c>
      <c r="DS24">
        <v>4</v>
      </c>
      <c r="DT24">
        <v>5</v>
      </c>
      <c r="DU24">
        <v>6</v>
      </c>
      <c r="DV24">
        <v>7</v>
      </c>
      <c r="DW24">
        <v>8</v>
      </c>
      <c r="DX24">
        <v>9</v>
      </c>
      <c r="DY24">
        <v>10</v>
      </c>
      <c r="DZ24">
        <v>11</v>
      </c>
      <c r="EA24">
        <v>12</v>
      </c>
      <c r="EB24">
        <v>13</v>
      </c>
      <c r="EC24">
        <v>14</v>
      </c>
      <c r="ED24">
        <v>1</v>
      </c>
      <c r="EE24">
        <v>3</v>
      </c>
      <c r="EF24">
        <v>4</v>
      </c>
      <c r="EG24">
        <v>7</v>
      </c>
      <c r="EH24">
        <v>8</v>
      </c>
      <c r="EI24">
        <v>9</v>
      </c>
      <c r="EJ24">
        <v>10</v>
      </c>
      <c r="EK24">
        <v>13</v>
      </c>
      <c r="EL24">
        <v>14</v>
      </c>
      <c r="EM24">
        <v>15</v>
      </c>
      <c r="EN24">
        <v>16</v>
      </c>
      <c r="EO24">
        <v>22</v>
      </c>
      <c r="EP24">
        <v>23</v>
      </c>
      <c r="EQ24" s="16">
        <v>24</v>
      </c>
    </row>
    <row r="25" spans="1:147" x14ac:dyDescent="0.25">
      <c r="A25" t="s">
        <v>215</v>
      </c>
      <c r="B25" t="s">
        <v>216</v>
      </c>
      <c r="C25" s="3" t="s">
        <v>127</v>
      </c>
      <c r="O25" s="2"/>
      <c r="P25" t="s">
        <v>129</v>
      </c>
      <c r="Q25" s="1"/>
      <c r="S25" s="1" t="s">
        <v>130</v>
      </c>
      <c r="T25" s="14" t="s">
        <v>554</v>
      </c>
      <c r="U25" s="15">
        <v>24</v>
      </c>
      <c r="V25" s="15" t="s">
        <v>1586</v>
      </c>
      <c r="W25" s="15"/>
      <c r="AC25" t="s">
        <v>264</v>
      </c>
      <c r="AF25" t="s">
        <v>239</v>
      </c>
      <c r="AG25" t="s">
        <v>241</v>
      </c>
      <c r="AH25" t="s">
        <v>268</v>
      </c>
      <c r="AK25" t="s">
        <v>247</v>
      </c>
      <c r="AL25" t="s">
        <v>254</v>
      </c>
      <c r="AM25" t="s">
        <v>217</v>
      </c>
      <c r="AP25" t="s">
        <v>137</v>
      </c>
      <c r="AQ25" t="s">
        <v>138</v>
      </c>
      <c r="AT25" t="s">
        <v>139</v>
      </c>
      <c r="AU25" t="s">
        <v>140</v>
      </c>
      <c r="BD25" s="16"/>
      <c r="BE25" t="str">
        <f t="shared" si="0"/>
        <v>XT24</v>
      </c>
      <c r="BF25" t="str">
        <f t="shared" si="1"/>
        <v>C20</v>
      </c>
      <c r="BG25" t="str">
        <f t="shared" si="2"/>
        <v>B20</v>
      </c>
      <c r="BH25" t="str">
        <f t="shared" si="3"/>
        <v>C21</v>
      </c>
      <c r="BI25" t="str">
        <f t="shared" si="4"/>
        <v>B21</v>
      </c>
      <c r="BJ25" t="str">
        <f t="shared" si="5"/>
        <v>C22</v>
      </c>
      <c r="BK25" t="str">
        <f t="shared" si="6"/>
        <v>B22</v>
      </c>
      <c r="BL25" t="str">
        <f t="shared" si="7"/>
        <v>C23</v>
      </c>
      <c r="BM25" t="str">
        <f t="shared" si="8"/>
        <v>B23</v>
      </c>
      <c r="BN25" t="str">
        <f t="shared" si="9"/>
        <v>C24</v>
      </c>
      <c r="BO25" t="str">
        <f t="shared" si="10"/>
        <v>B24</v>
      </c>
      <c r="BP25" t="str">
        <f t="shared" si="11"/>
        <v>11B</v>
      </c>
      <c r="BQ25" t="str">
        <f t="shared" si="12"/>
        <v>11A</v>
      </c>
      <c r="BR25" t="str">
        <f t="shared" si="18"/>
        <v>12B</v>
      </c>
      <c r="BS25" t="str">
        <f t="shared" si="19"/>
        <v>12A</v>
      </c>
      <c r="BT25" t="str">
        <f t="shared" si="13"/>
        <v>DI5-C19</v>
      </c>
      <c r="BU25" t="str">
        <f t="shared" si="13"/>
        <v>DI5-B19</v>
      </c>
      <c r="BV25" t="str">
        <f t="shared" si="42"/>
        <v>DI5-C20</v>
      </c>
      <c r="BW25" t="str">
        <f t="shared" si="42"/>
        <v>DI5-B20</v>
      </c>
      <c r="BX25" t="str">
        <f t="shared" si="42"/>
        <v>DI5-C21</v>
      </c>
      <c r="BY25" t="str">
        <f t="shared" si="42"/>
        <v>DI5-B21</v>
      </c>
      <c r="BZ25" t="str">
        <f t="shared" si="42"/>
        <v>DI5-C22</v>
      </c>
      <c r="CA25" t="str">
        <f t="shared" si="42"/>
        <v>DI5-B22</v>
      </c>
      <c r="CB25" t="str">
        <f t="shared" si="42"/>
        <v>DI5-C23</v>
      </c>
      <c r="CC25" t="str">
        <f t="shared" si="42"/>
        <v>DI5-B23</v>
      </c>
      <c r="CD25" t="str">
        <f t="shared" si="42"/>
        <v>DI5-C24</v>
      </c>
      <c r="CE25" t="str">
        <f t="shared" si="42"/>
        <v>DI5-B24</v>
      </c>
      <c r="CF25" t="str">
        <f t="shared" si="15"/>
        <v>DO3-10B</v>
      </c>
      <c r="CG25" t="str">
        <f t="shared" si="15"/>
        <v>DO3-10A</v>
      </c>
      <c r="CH25" t="str">
        <f t="shared" si="16"/>
        <v>DO3-11B</v>
      </c>
      <c r="CI25" t="str">
        <f t="shared" si="16"/>
        <v>DO3-11A</v>
      </c>
      <c r="CJ25" t="str">
        <f t="shared" si="16"/>
        <v>DO3-12B</v>
      </c>
      <c r="CK25" t="str">
        <f t="shared" si="16"/>
        <v>DO3-12A</v>
      </c>
      <c r="CL25" t="str">
        <f t="shared" si="20"/>
        <v>K24-10</v>
      </c>
      <c r="CM25" t="str">
        <f t="shared" si="21"/>
        <v>K24-03</v>
      </c>
      <c r="CN25" t="str">
        <f t="shared" si="22"/>
        <v>K24-04</v>
      </c>
      <c r="CO25" t="str">
        <f t="shared" si="23"/>
        <v>K24-01</v>
      </c>
      <c r="CP25" t="str">
        <f t="shared" si="24"/>
        <v>K24-08</v>
      </c>
      <c r="CQ25" t="str">
        <f t="shared" si="25"/>
        <v>K24-02</v>
      </c>
      <c r="CR25" t="str">
        <f t="shared" si="26"/>
        <v>K24-09</v>
      </c>
      <c r="CS25" t="str">
        <f t="shared" si="27"/>
        <v>K24-05</v>
      </c>
      <c r="CT25" t="str">
        <f t="shared" si="28"/>
        <v>K24-11</v>
      </c>
      <c r="CU25" t="str">
        <f t="shared" si="29"/>
        <v>F0-M24-A9</v>
      </c>
      <c r="CV25" t="str">
        <f t="shared" si="30"/>
        <v>F0-M24-A7</v>
      </c>
      <c r="CW25" t="str">
        <f t="shared" si="31"/>
        <v>F0-M24-A8</v>
      </c>
      <c r="CX25" t="str">
        <f t="shared" si="32"/>
        <v>F0-M24-A6</v>
      </c>
      <c r="CY25" t="str">
        <f t="shared" si="33"/>
        <v>F0-M24-A30</v>
      </c>
      <c r="CZ25" t="str">
        <f t="shared" si="34"/>
        <v>F0-M24-N</v>
      </c>
      <c r="DA25" t="str">
        <f t="shared" si="17"/>
        <v>F0-A220-M24</v>
      </c>
      <c r="DB25" t="str">
        <f t="shared" si="35"/>
        <v>F0-M24-XM01</v>
      </c>
      <c r="DC25" t="str">
        <f t="shared" si="36"/>
        <v>F0-M24-A1</v>
      </c>
      <c r="DD25" t="str">
        <f t="shared" si="37"/>
        <v>F0-M24-A5</v>
      </c>
      <c r="DE25" t="str">
        <f t="shared" si="38"/>
        <v>F0-M24-A11</v>
      </c>
      <c r="DF25" t="str">
        <f t="shared" si="39"/>
        <v>F0-M24-A12</v>
      </c>
      <c r="DG25" t="str">
        <f t="shared" si="40"/>
        <v>F0-M24-A19</v>
      </c>
      <c r="DH25" t="str">
        <f t="shared" si="41"/>
        <v>F0-M24-A20</v>
      </c>
      <c r="DI25" t="s">
        <v>142</v>
      </c>
      <c r="DJ25" t="s">
        <v>143</v>
      </c>
      <c r="DK25">
        <v>11</v>
      </c>
      <c r="DL25">
        <v>14</v>
      </c>
      <c r="DM25">
        <v>12</v>
      </c>
      <c r="DN25" t="s">
        <v>144</v>
      </c>
      <c r="DO25" t="s">
        <v>145</v>
      </c>
      <c r="DP25">
        <v>1</v>
      </c>
      <c r="DQ25">
        <v>2</v>
      </c>
      <c r="DR25">
        <v>3</v>
      </c>
      <c r="DS25">
        <v>4</v>
      </c>
      <c r="DT25">
        <v>5</v>
      </c>
      <c r="DU25">
        <v>6</v>
      </c>
      <c r="DV25">
        <v>7</v>
      </c>
      <c r="DW25">
        <v>8</v>
      </c>
      <c r="DX25">
        <v>9</v>
      </c>
      <c r="DY25">
        <v>10</v>
      </c>
      <c r="DZ25">
        <v>11</v>
      </c>
      <c r="EA25">
        <v>12</v>
      </c>
      <c r="EB25">
        <v>13</v>
      </c>
      <c r="EC25">
        <v>14</v>
      </c>
      <c r="ED25">
        <v>1</v>
      </c>
      <c r="EE25">
        <v>3</v>
      </c>
      <c r="EF25">
        <v>4</v>
      </c>
      <c r="EG25">
        <v>7</v>
      </c>
      <c r="EH25">
        <v>8</v>
      </c>
      <c r="EI25">
        <v>9</v>
      </c>
      <c r="EJ25">
        <v>10</v>
      </c>
      <c r="EK25">
        <v>13</v>
      </c>
      <c r="EL25">
        <v>14</v>
      </c>
      <c r="EM25">
        <v>15</v>
      </c>
      <c r="EN25">
        <v>16</v>
      </c>
      <c r="EO25">
        <v>22</v>
      </c>
      <c r="EP25">
        <v>23</v>
      </c>
      <c r="EQ25" s="16">
        <v>24</v>
      </c>
    </row>
    <row r="26" spans="1:147" x14ac:dyDescent="0.25">
      <c r="A26" t="s">
        <v>218</v>
      </c>
      <c r="B26" t="s">
        <v>219</v>
      </c>
      <c r="C26" s="3" t="s">
        <v>127</v>
      </c>
      <c r="O26" s="2"/>
      <c r="P26" t="s">
        <v>129</v>
      </c>
      <c r="Q26" s="1"/>
      <c r="S26" s="1" t="s">
        <v>130</v>
      </c>
      <c r="T26" s="14" t="s">
        <v>554</v>
      </c>
      <c r="U26" s="15">
        <v>25</v>
      </c>
      <c r="V26" s="15" t="s">
        <v>1587</v>
      </c>
      <c r="W26" s="15"/>
      <c r="AC26" t="s">
        <v>264</v>
      </c>
      <c r="AF26" t="s">
        <v>240</v>
      </c>
      <c r="AG26" t="s">
        <v>242</v>
      </c>
      <c r="AH26" t="s">
        <v>268</v>
      </c>
      <c r="AK26" t="s">
        <v>248</v>
      </c>
      <c r="AL26" t="s">
        <v>255</v>
      </c>
      <c r="AM26" t="s">
        <v>220</v>
      </c>
      <c r="AP26" t="s">
        <v>137</v>
      </c>
      <c r="AQ26" t="s">
        <v>138</v>
      </c>
      <c r="AT26" t="s">
        <v>139</v>
      </c>
      <c r="AU26" t="s">
        <v>140</v>
      </c>
      <c r="BD26" s="16"/>
      <c r="BE26" t="str">
        <f t="shared" si="0"/>
        <v>XT25</v>
      </c>
      <c r="BF26" t="str">
        <f t="shared" si="1"/>
        <v>C26</v>
      </c>
      <c r="BG26" t="str">
        <f t="shared" si="2"/>
        <v>B26</v>
      </c>
      <c r="BH26" t="str">
        <f t="shared" si="3"/>
        <v>C27</v>
      </c>
      <c r="BI26" t="str">
        <f t="shared" si="4"/>
        <v>B27</v>
      </c>
      <c r="BJ26" t="str">
        <f t="shared" si="5"/>
        <v>C28</v>
      </c>
      <c r="BK26" t="str">
        <f t="shared" si="6"/>
        <v>B28</v>
      </c>
      <c r="BL26" t="str">
        <f t="shared" si="7"/>
        <v>C29</v>
      </c>
      <c r="BM26" t="str">
        <f t="shared" si="8"/>
        <v>B29</v>
      </c>
      <c r="BN26" t="str">
        <f t="shared" si="9"/>
        <v>C30</v>
      </c>
      <c r="BO26" t="str">
        <f t="shared" si="10"/>
        <v>B30</v>
      </c>
      <c r="BP26" t="str">
        <f t="shared" si="11"/>
        <v>14B</v>
      </c>
      <c r="BQ26" t="str">
        <f t="shared" si="12"/>
        <v>14A</v>
      </c>
      <c r="BR26" t="str">
        <f t="shared" si="18"/>
        <v>15B</v>
      </c>
      <c r="BS26" t="str">
        <f t="shared" si="19"/>
        <v>15A</v>
      </c>
      <c r="BT26" t="str">
        <f t="shared" si="13"/>
        <v>DI5-C25</v>
      </c>
      <c r="BU26" t="str">
        <f t="shared" si="13"/>
        <v>DI5-B25</v>
      </c>
      <c r="BV26" t="str">
        <f t="shared" si="42"/>
        <v>DI5-C26</v>
      </c>
      <c r="BW26" t="str">
        <f t="shared" si="42"/>
        <v>DI5-B26</v>
      </c>
      <c r="BX26" t="str">
        <f t="shared" si="42"/>
        <v>DI5-C27</v>
      </c>
      <c r="BY26" t="str">
        <f t="shared" si="42"/>
        <v>DI5-B27</v>
      </c>
      <c r="BZ26" t="str">
        <f t="shared" si="42"/>
        <v>DI5-C28</v>
      </c>
      <c r="CA26" t="str">
        <f t="shared" si="42"/>
        <v>DI5-B28</v>
      </c>
      <c r="CB26" t="str">
        <f t="shared" si="42"/>
        <v>DI5-C29</v>
      </c>
      <c r="CC26" t="str">
        <f t="shared" si="42"/>
        <v>DI5-B29</v>
      </c>
      <c r="CD26" t="str">
        <f t="shared" si="42"/>
        <v>DI5-C30</v>
      </c>
      <c r="CE26" t="str">
        <f t="shared" si="42"/>
        <v>DI5-B30</v>
      </c>
      <c r="CF26" t="str">
        <f t="shared" si="15"/>
        <v>DO3-13B</v>
      </c>
      <c r="CG26" t="str">
        <f t="shared" si="15"/>
        <v>DO3-13A</v>
      </c>
      <c r="CH26" t="str">
        <f t="shared" si="16"/>
        <v>DO3-14B</v>
      </c>
      <c r="CI26" t="str">
        <f t="shared" si="16"/>
        <v>DO3-14A</v>
      </c>
      <c r="CJ26" t="str">
        <f t="shared" si="16"/>
        <v>DO3-15B</v>
      </c>
      <c r="CK26" t="str">
        <f t="shared" si="16"/>
        <v>DO3-15A</v>
      </c>
      <c r="CL26" t="str">
        <f t="shared" si="20"/>
        <v>K25-10</v>
      </c>
      <c r="CM26" t="str">
        <f t="shared" si="21"/>
        <v>K25-03</v>
      </c>
      <c r="CN26" t="str">
        <f t="shared" si="22"/>
        <v>K25-04</v>
      </c>
      <c r="CO26" t="str">
        <f t="shared" si="23"/>
        <v>K25-01</v>
      </c>
      <c r="CP26" t="str">
        <f t="shared" si="24"/>
        <v>K25-08</v>
      </c>
      <c r="CQ26" t="str">
        <f t="shared" si="25"/>
        <v>K25-02</v>
      </c>
      <c r="CR26" t="str">
        <f t="shared" si="26"/>
        <v>K25-09</v>
      </c>
      <c r="CS26" t="str">
        <f t="shared" si="27"/>
        <v>K25-05</v>
      </c>
      <c r="CT26" t="str">
        <f t="shared" si="28"/>
        <v>K25-11</v>
      </c>
      <c r="CU26" t="str">
        <f t="shared" si="29"/>
        <v>F0-M25-A9</v>
      </c>
      <c r="CV26" t="str">
        <f t="shared" si="30"/>
        <v>F0-M25-A7</v>
      </c>
      <c r="CW26" t="str">
        <f t="shared" si="31"/>
        <v>F0-M25-A8</v>
      </c>
      <c r="CX26" t="str">
        <f t="shared" si="32"/>
        <v>F0-M25-A6</v>
      </c>
      <c r="CY26" t="str">
        <f t="shared" si="33"/>
        <v>F0-M25-A30</v>
      </c>
      <c r="CZ26" t="str">
        <f t="shared" si="34"/>
        <v>F0-M25-N</v>
      </c>
      <c r="DA26" t="str">
        <f t="shared" si="17"/>
        <v>F0-A220-M25</v>
      </c>
      <c r="DB26" t="str">
        <f t="shared" si="35"/>
        <v>F0-M25-XM01</v>
      </c>
      <c r="DC26" t="str">
        <f t="shared" si="36"/>
        <v>F0-M25-A1</v>
      </c>
      <c r="DD26" t="str">
        <f t="shared" si="37"/>
        <v>F0-M25-A5</v>
      </c>
      <c r="DE26" t="str">
        <f t="shared" si="38"/>
        <v>F0-M25-A11</v>
      </c>
      <c r="DF26" t="str">
        <f t="shared" si="39"/>
        <v>F0-M25-A12</v>
      </c>
      <c r="DG26" t="str">
        <f t="shared" si="40"/>
        <v>F0-M25-A19</v>
      </c>
      <c r="DH26" t="str">
        <f t="shared" si="41"/>
        <v>F0-M25-A20</v>
      </c>
      <c r="DI26" t="s">
        <v>142</v>
      </c>
      <c r="DJ26" t="s">
        <v>143</v>
      </c>
      <c r="DK26">
        <v>11</v>
      </c>
      <c r="DL26">
        <v>14</v>
      </c>
      <c r="DM26">
        <v>12</v>
      </c>
      <c r="DN26" t="s">
        <v>144</v>
      </c>
      <c r="DO26" t="s">
        <v>145</v>
      </c>
      <c r="DP26">
        <v>1</v>
      </c>
      <c r="DQ26">
        <v>2</v>
      </c>
      <c r="DR26">
        <v>3</v>
      </c>
      <c r="DS26">
        <v>4</v>
      </c>
      <c r="DT26">
        <v>5</v>
      </c>
      <c r="DU26">
        <v>6</v>
      </c>
      <c r="DV26">
        <v>7</v>
      </c>
      <c r="DW26">
        <v>8</v>
      </c>
      <c r="DX26">
        <v>9</v>
      </c>
      <c r="DY26">
        <v>10</v>
      </c>
      <c r="DZ26">
        <v>11</v>
      </c>
      <c r="EA26">
        <v>12</v>
      </c>
      <c r="EB26">
        <v>13</v>
      </c>
      <c r="EC26">
        <v>14</v>
      </c>
      <c r="ED26">
        <v>1</v>
      </c>
      <c r="EE26">
        <v>3</v>
      </c>
      <c r="EF26">
        <v>4</v>
      </c>
      <c r="EG26">
        <v>7</v>
      </c>
      <c r="EH26">
        <v>8</v>
      </c>
      <c r="EI26">
        <v>9</v>
      </c>
      <c r="EJ26">
        <v>10</v>
      </c>
      <c r="EK26">
        <v>13</v>
      </c>
      <c r="EL26">
        <v>14</v>
      </c>
      <c r="EM26">
        <v>15</v>
      </c>
      <c r="EN26">
        <v>16</v>
      </c>
      <c r="EO26">
        <v>22</v>
      </c>
      <c r="EP26">
        <v>23</v>
      </c>
      <c r="EQ26" s="16">
        <v>24</v>
      </c>
    </row>
    <row r="27" spans="1:147" x14ac:dyDescent="0.25">
      <c r="A27" t="s">
        <v>221</v>
      </c>
      <c r="B27" t="s">
        <v>222</v>
      </c>
      <c r="C27" s="3" t="s">
        <v>127</v>
      </c>
      <c r="O27" s="2"/>
      <c r="P27" t="s">
        <v>129</v>
      </c>
      <c r="Q27" s="1"/>
      <c r="S27" s="1" t="s">
        <v>130</v>
      </c>
      <c r="T27" s="14" t="s">
        <v>554</v>
      </c>
      <c r="U27" s="15">
        <v>26</v>
      </c>
      <c r="V27" s="15" t="s">
        <v>1588</v>
      </c>
      <c r="W27" s="15"/>
      <c r="AC27" t="s">
        <v>265</v>
      </c>
      <c r="AF27" t="s">
        <v>133</v>
      </c>
      <c r="AG27" t="s">
        <v>134</v>
      </c>
      <c r="AH27" t="s">
        <v>268</v>
      </c>
      <c r="AK27" t="s">
        <v>249</v>
      </c>
      <c r="AL27" t="s">
        <v>256</v>
      </c>
      <c r="AM27" t="s">
        <v>223</v>
      </c>
      <c r="AP27" t="s">
        <v>137</v>
      </c>
      <c r="AQ27" t="s">
        <v>138</v>
      </c>
      <c r="AT27" t="s">
        <v>139</v>
      </c>
      <c r="AU27" t="s">
        <v>140</v>
      </c>
      <c r="BD27" s="16"/>
      <c r="BE27" t="str">
        <f t="shared" si="0"/>
        <v>XT26</v>
      </c>
      <c r="BF27" t="str">
        <f t="shared" si="1"/>
        <v>C2</v>
      </c>
      <c r="BG27" t="str">
        <f t="shared" si="2"/>
        <v>B2</v>
      </c>
      <c r="BH27" t="str">
        <f t="shared" si="3"/>
        <v>C3</v>
      </c>
      <c r="BI27" t="str">
        <f t="shared" si="4"/>
        <v>B3</v>
      </c>
      <c r="BJ27" t="str">
        <f t="shared" si="5"/>
        <v>C4</v>
      </c>
      <c r="BK27" t="str">
        <f t="shared" si="6"/>
        <v>B4</v>
      </c>
      <c r="BL27" t="str">
        <f t="shared" si="7"/>
        <v>C5</v>
      </c>
      <c r="BM27" t="str">
        <f t="shared" si="8"/>
        <v>B5</v>
      </c>
      <c r="BN27" t="str">
        <f t="shared" si="9"/>
        <v>C6</v>
      </c>
      <c r="BO27" t="str">
        <f t="shared" si="10"/>
        <v>B6</v>
      </c>
      <c r="BP27" t="str">
        <f t="shared" si="11"/>
        <v>17B</v>
      </c>
      <c r="BQ27" t="str">
        <f t="shared" si="12"/>
        <v>17A</v>
      </c>
      <c r="BR27" t="str">
        <f t="shared" si="18"/>
        <v>18B</v>
      </c>
      <c r="BS27" t="str">
        <f t="shared" si="19"/>
        <v>18A</v>
      </c>
      <c r="BT27" t="str">
        <f t="shared" si="13"/>
        <v>DI6-C1</v>
      </c>
      <c r="BU27" t="str">
        <f t="shared" si="13"/>
        <v>DI6-B1</v>
      </c>
      <c r="BV27" t="str">
        <f t="shared" si="42"/>
        <v>DI6-C2</v>
      </c>
      <c r="BW27" t="str">
        <f t="shared" si="42"/>
        <v>DI6-B2</v>
      </c>
      <c r="BX27" t="str">
        <f t="shared" si="42"/>
        <v>DI6-C3</v>
      </c>
      <c r="BY27" t="str">
        <f t="shared" si="42"/>
        <v>DI6-B3</v>
      </c>
      <c r="BZ27" t="str">
        <f t="shared" si="42"/>
        <v>DI6-C4</v>
      </c>
      <c r="CA27" t="str">
        <f t="shared" si="42"/>
        <v>DI6-B4</v>
      </c>
      <c r="CB27" t="str">
        <f t="shared" si="42"/>
        <v>DI6-C5</v>
      </c>
      <c r="CC27" t="str">
        <f t="shared" si="42"/>
        <v>DI6-B5</v>
      </c>
      <c r="CD27" t="str">
        <f t="shared" si="42"/>
        <v>DI6-C6</v>
      </c>
      <c r="CE27" t="str">
        <f t="shared" si="42"/>
        <v>DI6-B6</v>
      </c>
      <c r="CF27" t="str">
        <f t="shared" si="15"/>
        <v>DO3-16B</v>
      </c>
      <c r="CG27" t="str">
        <f t="shared" si="15"/>
        <v>DO3-16A</v>
      </c>
      <c r="CH27" t="str">
        <f t="shared" si="16"/>
        <v>DO3-17B</v>
      </c>
      <c r="CI27" t="str">
        <f t="shared" si="16"/>
        <v>DO3-17A</v>
      </c>
      <c r="CJ27" t="str">
        <f t="shared" si="16"/>
        <v>DO3-18B</v>
      </c>
      <c r="CK27" t="str">
        <f t="shared" si="16"/>
        <v>DO3-18A</v>
      </c>
      <c r="CL27" t="str">
        <f t="shared" si="20"/>
        <v>K26-10</v>
      </c>
      <c r="CM27" t="str">
        <f t="shared" si="21"/>
        <v>K26-03</v>
      </c>
      <c r="CN27" t="str">
        <f t="shared" si="22"/>
        <v>K26-04</v>
      </c>
      <c r="CO27" t="str">
        <f t="shared" si="23"/>
        <v>K26-01</v>
      </c>
      <c r="CP27" t="str">
        <f t="shared" si="24"/>
        <v>K26-08</v>
      </c>
      <c r="CQ27" t="str">
        <f t="shared" si="25"/>
        <v>K26-02</v>
      </c>
      <c r="CR27" t="str">
        <f t="shared" si="26"/>
        <v>K26-09</v>
      </c>
      <c r="CS27" t="str">
        <f t="shared" si="27"/>
        <v>K26-05</v>
      </c>
      <c r="CT27" t="str">
        <f t="shared" si="28"/>
        <v>K26-11</v>
      </c>
      <c r="CU27" t="str">
        <f t="shared" si="29"/>
        <v>F0-M26-A9</v>
      </c>
      <c r="CV27" t="str">
        <f t="shared" si="30"/>
        <v>F0-M26-A7</v>
      </c>
      <c r="CW27" t="str">
        <f t="shared" si="31"/>
        <v>F0-M26-A8</v>
      </c>
      <c r="CX27" t="str">
        <f t="shared" si="32"/>
        <v>F0-M26-A6</v>
      </c>
      <c r="CY27" t="str">
        <f t="shared" si="33"/>
        <v>F0-M26-A30</v>
      </c>
      <c r="CZ27" t="str">
        <f t="shared" si="34"/>
        <v>F0-M26-N</v>
      </c>
      <c r="DA27" t="str">
        <f t="shared" si="17"/>
        <v>F0-A220-M26</v>
      </c>
      <c r="DB27" t="str">
        <f t="shared" si="35"/>
        <v>F0-M26-XM01</v>
      </c>
      <c r="DC27" t="str">
        <f t="shared" si="36"/>
        <v>F0-M26-A1</v>
      </c>
      <c r="DD27" t="str">
        <f t="shared" si="37"/>
        <v>F0-M26-A5</v>
      </c>
      <c r="DE27" t="str">
        <f t="shared" si="38"/>
        <v>F0-M26-A11</v>
      </c>
      <c r="DF27" t="str">
        <f t="shared" si="39"/>
        <v>F0-M26-A12</v>
      </c>
      <c r="DG27" t="str">
        <f t="shared" si="40"/>
        <v>F0-M26-A19</v>
      </c>
      <c r="DH27" t="str">
        <f t="shared" si="41"/>
        <v>F0-M26-A20</v>
      </c>
      <c r="DI27" t="s">
        <v>142</v>
      </c>
      <c r="DJ27" t="s">
        <v>143</v>
      </c>
      <c r="DK27">
        <v>11</v>
      </c>
      <c r="DL27">
        <v>14</v>
      </c>
      <c r="DM27">
        <v>12</v>
      </c>
      <c r="DN27" t="s">
        <v>144</v>
      </c>
      <c r="DO27" t="s">
        <v>145</v>
      </c>
      <c r="DP27">
        <v>1</v>
      </c>
      <c r="DQ27">
        <v>2</v>
      </c>
      <c r="DR27">
        <v>3</v>
      </c>
      <c r="DS27">
        <v>4</v>
      </c>
      <c r="DT27">
        <v>5</v>
      </c>
      <c r="DU27">
        <v>6</v>
      </c>
      <c r="DV27">
        <v>7</v>
      </c>
      <c r="DW27">
        <v>8</v>
      </c>
      <c r="DX27">
        <v>9</v>
      </c>
      <c r="DY27">
        <v>10</v>
      </c>
      <c r="DZ27">
        <v>11</v>
      </c>
      <c r="EA27">
        <v>12</v>
      </c>
      <c r="EB27">
        <v>13</v>
      </c>
      <c r="EC27">
        <v>14</v>
      </c>
      <c r="ED27">
        <v>1</v>
      </c>
      <c r="EE27">
        <v>3</v>
      </c>
      <c r="EF27">
        <v>4</v>
      </c>
      <c r="EG27">
        <v>7</v>
      </c>
      <c r="EH27">
        <v>8</v>
      </c>
      <c r="EI27">
        <v>9</v>
      </c>
      <c r="EJ27">
        <v>10</v>
      </c>
      <c r="EK27">
        <v>13</v>
      </c>
      <c r="EL27">
        <v>14</v>
      </c>
      <c r="EM27">
        <v>15</v>
      </c>
      <c r="EN27">
        <v>16</v>
      </c>
      <c r="EO27">
        <v>22</v>
      </c>
      <c r="EP27">
        <v>23</v>
      </c>
      <c r="EQ27" s="16">
        <v>24</v>
      </c>
    </row>
    <row r="28" spans="1:147" x14ac:dyDescent="0.25">
      <c r="A28" t="s">
        <v>224</v>
      </c>
      <c r="B28" t="s">
        <v>225</v>
      </c>
      <c r="C28" s="3" t="s">
        <v>127</v>
      </c>
      <c r="O28" s="2"/>
      <c r="P28" t="s">
        <v>129</v>
      </c>
      <c r="Q28" s="1"/>
      <c r="S28" s="1" t="s">
        <v>130</v>
      </c>
      <c r="T28" s="14" t="s">
        <v>554</v>
      </c>
      <c r="U28" s="15">
        <v>27</v>
      </c>
      <c r="V28" s="15" t="s">
        <v>1589</v>
      </c>
      <c r="W28" s="15"/>
      <c r="AC28" t="s">
        <v>265</v>
      </c>
      <c r="AF28" t="s">
        <v>148</v>
      </c>
      <c r="AG28" t="s">
        <v>149</v>
      </c>
      <c r="AH28" t="s">
        <v>268</v>
      </c>
      <c r="AK28" t="s">
        <v>250</v>
      </c>
      <c r="AL28" t="s">
        <v>257</v>
      </c>
      <c r="AM28" t="s">
        <v>226</v>
      </c>
      <c r="AP28" t="s">
        <v>137</v>
      </c>
      <c r="AQ28" t="s">
        <v>138</v>
      </c>
      <c r="AT28" t="s">
        <v>139</v>
      </c>
      <c r="AU28" t="s">
        <v>140</v>
      </c>
      <c r="BD28" s="16"/>
      <c r="BE28" t="str">
        <f t="shared" si="0"/>
        <v>XT27</v>
      </c>
      <c r="BF28" t="str">
        <f t="shared" si="1"/>
        <v>C8</v>
      </c>
      <c r="BG28" t="str">
        <f t="shared" si="2"/>
        <v>B8</v>
      </c>
      <c r="BH28" t="str">
        <f t="shared" si="3"/>
        <v>C9</v>
      </c>
      <c r="BI28" t="str">
        <f t="shared" si="4"/>
        <v>B9</v>
      </c>
      <c r="BJ28" t="str">
        <f t="shared" si="5"/>
        <v>C10</v>
      </c>
      <c r="BK28" t="str">
        <f t="shared" si="6"/>
        <v>B10</v>
      </c>
      <c r="BL28" t="str">
        <f t="shared" si="7"/>
        <v>C11</v>
      </c>
      <c r="BM28" t="str">
        <f t="shared" si="8"/>
        <v>B11</v>
      </c>
      <c r="BN28" t="str">
        <f t="shared" si="9"/>
        <v>C12</v>
      </c>
      <c r="BO28" t="str">
        <f t="shared" si="10"/>
        <v>B12</v>
      </c>
      <c r="BP28" t="str">
        <f t="shared" si="11"/>
        <v>20B</v>
      </c>
      <c r="BQ28" t="str">
        <f t="shared" si="12"/>
        <v>20A</v>
      </c>
      <c r="BR28" t="str">
        <f t="shared" si="18"/>
        <v>21B</v>
      </c>
      <c r="BS28" t="str">
        <f t="shared" si="19"/>
        <v>21A</v>
      </c>
      <c r="BT28" t="str">
        <f t="shared" si="13"/>
        <v>DI6-C7</v>
      </c>
      <c r="BU28" t="str">
        <f t="shared" si="13"/>
        <v>DI6-B7</v>
      </c>
      <c r="BV28" t="str">
        <f t="shared" si="42"/>
        <v>DI6-C8</v>
      </c>
      <c r="BW28" t="str">
        <f t="shared" si="42"/>
        <v>DI6-B8</v>
      </c>
      <c r="BX28" t="str">
        <f t="shared" si="42"/>
        <v>DI6-C9</v>
      </c>
      <c r="BY28" t="str">
        <f t="shared" si="42"/>
        <v>DI6-B9</v>
      </c>
      <c r="BZ28" t="str">
        <f t="shared" si="42"/>
        <v>DI6-C10</v>
      </c>
      <c r="CA28" t="str">
        <f t="shared" si="42"/>
        <v>DI6-B10</v>
      </c>
      <c r="CB28" t="str">
        <f t="shared" si="42"/>
        <v>DI6-C11</v>
      </c>
      <c r="CC28" t="str">
        <f t="shared" si="42"/>
        <v>DI6-B11</v>
      </c>
      <c r="CD28" t="str">
        <f t="shared" si="42"/>
        <v>DI6-C12</v>
      </c>
      <c r="CE28" t="str">
        <f t="shared" si="42"/>
        <v>DI6-B12</v>
      </c>
      <c r="CF28" t="str">
        <f t="shared" si="15"/>
        <v>DO3-19B</v>
      </c>
      <c r="CG28" t="str">
        <f t="shared" si="15"/>
        <v>DO3-19A</v>
      </c>
      <c r="CH28" t="str">
        <f t="shared" si="16"/>
        <v>DO3-20B</v>
      </c>
      <c r="CI28" t="str">
        <f t="shared" si="16"/>
        <v>DO3-20A</v>
      </c>
      <c r="CJ28" t="str">
        <f t="shared" si="16"/>
        <v>DO3-21B</v>
      </c>
      <c r="CK28" t="str">
        <f t="shared" si="16"/>
        <v>DO3-21A</v>
      </c>
      <c r="CL28" t="str">
        <f t="shared" si="20"/>
        <v>K27-10</v>
      </c>
      <c r="CM28" t="str">
        <f t="shared" si="21"/>
        <v>K27-03</v>
      </c>
      <c r="CN28" t="str">
        <f t="shared" si="22"/>
        <v>K27-04</v>
      </c>
      <c r="CO28" t="str">
        <f t="shared" si="23"/>
        <v>K27-01</v>
      </c>
      <c r="CP28" t="str">
        <f t="shared" si="24"/>
        <v>K27-08</v>
      </c>
      <c r="CQ28" t="str">
        <f t="shared" si="25"/>
        <v>K27-02</v>
      </c>
      <c r="CR28" t="str">
        <f t="shared" si="26"/>
        <v>K27-09</v>
      </c>
      <c r="CS28" t="str">
        <f t="shared" si="27"/>
        <v>K27-05</v>
      </c>
      <c r="CT28" t="str">
        <f t="shared" si="28"/>
        <v>K27-11</v>
      </c>
      <c r="CU28" t="str">
        <f t="shared" si="29"/>
        <v>F0-M27-A9</v>
      </c>
      <c r="CV28" t="str">
        <f t="shared" si="30"/>
        <v>F0-M27-A7</v>
      </c>
      <c r="CW28" t="str">
        <f t="shared" si="31"/>
        <v>F0-M27-A8</v>
      </c>
      <c r="CX28" t="str">
        <f t="shared" si="32"/>
        <v>F0-M27-A6</v>
      </c>
      <c r="CY28" t="str">
        <f t="shared" si="33"/>
        <v>F0-M27-A30</v>
      </c>
      <c r="CZ28" t="str">
        <f t="shared" si="34"/>
        <v>F0-M27-N</v>
      </c>
      <c r="DA28" t="str">
        <f t="shared" si="17"/>
        <v>F0-A220-M27</v>
      </c>
      <c r="DB28" t="str">
        <f t="shared" si="35"/>
        <v>F0-M27-XM01</v>
      </c>
      <c r="DC28" t="str">
        <f t="shared" si="36"/>
        <v>F0-M27-A1</v>
      </c>
      <c r="DD28" t="str">
        <f t="shared" si="37"/>
        <v>F0-M27-A5</v>
      </c>
      <c r="DE28" t="str">
        <f t="shared" si="38"/>
        <v>F0-M27-A11</v>
      </c>
      <c r="DF28" t="str">
        <f t="shared" si="39"/>
        <v>F0-M27-A12</v>
      </c>
      <c r="DG28" t="str">
        <f t="shared" si="40"/>
        <v>F0-M27-A19</v>
      </c>
      <c r="DH28" t="str">
        <f t="shared" si="41"/>
        <v>F0-M27-A20</v>
      </c>
      <c r="DI28" t="s">
        <v>142</v>
      </c>
      <c r="DJ28" t="s">
        <v>143</v>
      </c>
      <c r="DK28">
        <v>11</v>
      </c>
      <c r="DL28">
        <v>14</v>
      </c>
      <c r="DM28">
        <v>12</v>
      </c>
      <c r="DN28" t="s">
        <v>144</v>
      </c>
      <c r="DO28" t="s">
        <v>145</v>
      </c>
      <c r="DP28">
        <v>1</v>
      </c>
      <c r="DQ28">
        <v>2</v>
      </c>
      <c r="DR28">
        <v>3</v>
      </c>
      <c r="DS28">
        <v>4</v>
      </c>
      <c r="DT28">
        <v>5</v>
      </c>
      <c r="DU28">
        <v>6</v>
      </c>
      <c r="DV28">
        <v>7</v>
      </c>
      <c r="DW28">
        <v>8</v>
      </c>
      <c r="DX28">
        <v>9</v>
      </c>
      <c r="DY28">
        <v>10</v>
      </c>
      <c r="DZ28">
        <v>11</v>
      </c>
      <c r="EA28">
        <v>12</v>
      </c>
      <c r="EB28">
        <v>13</v>
      </c>
      <c r="EC28">
        <v>14</v>
      </c>
      <c r="ED28">
        <v>1</v>
      </c>
      <c r="EE28">
        <v>3</v>
      </c>
      <c r="EF28">
        <v>4</v>
      </c>
      <c r="EG28">
        <v>7</v>
      </c>
      <c r="EH28">
        <v>8</v>
      </c>
      <c r="EI28">
        <v>9</v>
      </c>
      <c r="EJ28">
        <v>10</v>
      </c>
      <c r="EK28">
        <v>13</v>
      </c>
      <c r="EL28">
        <v>14</v>
      </c>
      <c r="EM28">
        <v>15</v>
      </c>
      <c r="EN28">
        <v>16</v>
      </c>
      <c r="EO28">
        <v>22</v>
      </c>
      <c r="EP28">
        <v>23</v>
      </c>
      <c r="EQ28" s="16">
        <v>24</v>
      </c>
    </row>
    <row r="29" spans="1:147" x14ac:dyDescent="0.25">
      <c r="A29" t="s">
        <v>227</v>
      </c>
      <c r="B29" t="s">
        <v>228</v>
      </c>
      <c r="C29" s="3" t="s">
        <v>127</v>
      </c>
      <c r="O29" s="2"/>
      <c r="P29" t="s">
        <v>129</v>
      </c>
      <c r="Q29" s="1"/>
      <c r="S29" s="1" t="s">
        <v>130</v>
      </c>
      <c r="T29" s="14" t="s">
        <v>554</v>
      </c>
      <c r="U29" s="15">
        <v>28</v>
      </c>
      <c r="V29" s="15" t="s">
        <v>1590</v>
      </c>
      <c r="W29" s="15"/>
      <c r="AC29" t="s">
        <v>265</v>
      </c>
      <c r="AF29" t="s">
        <v>153</v>
      </c>
      <c r="AG29" t="s">
        <v>154</v>
      </c>
      <c r="AH29" t="s">
        <v>268</v>
      </c>
      <c r="AK29" t="s">
        <v>251</v>
      </c>
      <c r="AL29" t="s">
        <v>258</v>
      </c>
      <c r="AM29" t="s">
        <v>229</v>
      </c>
      <c r="AP29" t="s">
        <v>137</v>
      </c>
      <c r="AQ29" t="s">
        <v>138</v>
      </c>
      <c r="AT29" t="s">
        <v>139</v>
      </c>
      <c r="AU29" t="s">
        <v>140</v>
      </c>
      <c r="BD29" s="16"/>
      <c r="BE29" t="str">
        <f t="shared" si="0"/>
        <v>XT28</v>
      </c>
      <c r="BF29" t="str">
        <f t="shared" si="1"/>
        <v>C14</v>
      </c>
      <c r="BG29" t="str">
        <f t="shared" si="2"/>
        <v>B14</v>
      </c>
      <c r="BH29" t="str">
        <f t="shared" si="3"/>
        <v>C15</v>
      </c>
      <c r="BI29" t="str">
        <f t="shared" si="4"/>
        <v>B15</v>
      </c>
      <c r="BJ29" t="str">
        <f t="shared" si="5"/>
        <v>C16</v>
      </c>
      <c r="BK29" t="str">
        <f t="shared" si="6"/>
        <v>B16</v>
      </c>
      <c r="BL29" t="str">
        <f t="shared" si="7"/>
        <v>C17</v>
      </c>
      <c r="BM29" t="str">
        <f t="shared" si="8"/>
        <v>B17</v>
      </c>
      <c r="BN29" t="str">
        <f t="shared" si="9"/>
        <v>C18</v>
      </c>
      <c r="BO29" t="str">
        <f t="shared" si="10"/>
        <v>B18</v>
      </c>
      <c r="BP29" t="str">
        <f t="shared" si="11"/>
        <v>23B</v>
      </c>
      <c r="BQ29" t="str">
        <f t="shared" si="12"/>
        <v>23A</v>
      </c>
      <c r="BR29" t="str">
        <f t="shared" si="18"/>
        <v>24B</v>
      </c>
      <c r="BS29" t="str">
        <f t="shared" si="19"/>
        <v>24A</v>
      </c>
      <c r="BT29" t="str">
        <f t="shared" si="13"/>
        <v>DI6-C13</v>
      </c>
      <c r="BU29" t="str">
        <f t="shared" si="13"/>
        <v>DI6-B13</v>
      </c>
      <c r="BV29" t="str">
        <f t="shared" si="42"/>
        <v>DI6-C14</v>
      </c>
      <c r="BW29" t="str">
        <f t="shared" si="42"/>
        <v>DI6-B14</v>
      </c>
      <c r="BX29" t="str">
        <f t="shared" si="42"/>
        <v>DI6-C15</v>
      </c>
      <c r="BY29" t="str">
        <f t="shared" si="42"/>
        <v>DI6-B15</v>
      </c>
      <c r="BZ29" t="str">
        <f t="shared" si="42"/>
        <v>DI6-C16</v>
      </c>
      <c r="CA29" t="str">
        <f t="shared" si="42"/>
        <v>DI6-B16</v>
      </c>
      <c r="CB29" t="str">
        <f t="shared" si="42"/>
        <v>DI6-C17</v>
      </c>
      <c r="CC29" t="str">
        <f t="shared" si="42"/>
        <v>DI6-B17</v>
      </c>
      <c r="CD29" t="str">
        <f t="shared" si="42"/>
        <v>DI6-C18</v>
      </c>
      <c r="CE29" t="str">
        <f t="shared" si="42"/>
        <v>DI6-B18</v>
      </c>
      <c r="CF29" t="str">
        <f t="shared" si="15"/>
        <v>DO3-22B</v>
      </c>
      <c r="CG29" t="str">
        <f t="shared" si="15"/>
        <v>DO3-22A</v>
      </c>
      <c r="CH29" t="str">
        <f t="shared" si="16"/>
        <v>DO3-23B</v>
      </c>
      <c r="CI29" t="str">
        <f t="shared" si="16"/>
        <v>DO3-23A</v>
      </c>
      <c r="CJ29" t="str">
        <f t="shared" si="16"/>
        <v>DO3-24B</v>
      </c>
      <c r="CK29" t="str">
        <f t="shared" si="16"/>
        <v>DO3-24A</v>
      </c>
      <c r="CL29" t="str">
        <f t="shared" si="20"/>
        <v>K28-10</v>
      </c>
      <c r="CM29" t="str">
        <f t="shared" si="21"/>
        <v>K28-03</v>
      </c>
      <c r="CN29" t="str">
        <f t="shared" si="22"/>
        <v>K28-04</v>
      </c>
      <c r="CO29" t="str">
        <f t="shared" si="23"/>
        <v>K28-01</v>
      </c>
      <c r="CP29" t="str">
        <f t="shared" si="24"/>
        <v>K28-08</v>
      </c>
      <c r="CQ29" t="str">
        <f t="shared" si="25"/>
        <v>K28-02</v>
      </c>
      <c r="CR29" t="str">
        <f t="shared" si="26"/>
        <v>K28-09</v>
      </c>
      <c r="CS29" t="str">
        <f t="shared" si="27"/>
        <v>K28-05</v>
      </c>
      <c r="CT29" t="str">
        <f t="shared" si="28"/>
        <v>K28-11</v>
      </c>
      <c r="CU29" t="str">
        <f t="shared" si="29"/>
        <v>F0-M28-A9</v>
      </c>
      <c r="CV29" t="str">
        <f t="shared" si="30"/>
        <v>F0-M28-A7</v>
      </c>
      <c r="CW29" t="str">
        <f t="shared" si="31"/>
        <v>F0-M28-A8</v>
      </c>
      <c r="CX29" t="str">
        <f t="shared" si="32"/>
        <v>F0-M28-A6</v>
      </c>
      <c r="CY29" t="str">
        <f t="shared" si="33"/>
        <v>F0-M28-A30</v>
      </c>
      <c r="CZ29" t="str">
        <f t="shared" si="34"/>
        <v>F0-M28-N</v>
      </c>
      <c r="DA29" t="str">
        <f t="shared" si="17"/>
        <v>F0-A220-M28</v>
      </c>
      <c r="DB29" t="str">
        <f t="shared" si="35"/>
        <v>F0-M28-XM01</v>
      </c>
      <c r="DC29" t="str">
        <f t="shared" si="36"/>
        <v>F0-M28-A1</v>
      </c>
      <c r="DD29" t="str">
        <f t="shared" si="37"/>
        <v>F0-M28-A5</v>
      </c>
      <c r="DE29" t="str">
        <f t="shared" si="38"/>
        <v>F0-M28-A11</v>
      </c>
      <c r="DF29" t="str">
        <f t="shared" si="39"/>
        <v>F0-M28-A12</v>
      </c>
      <c r="DG29" t="str">
        <f t="shared" si="40"/>
        <v>F0-M28-A19</v>
      </c>
      <c r="DH29" t="str">
        <f t="shared" si="41"/>
        <v>F0-M28-A20</v>
      </c>
      <c r="DI29" t="s">
        <v>142</v>
      </c>
      <c r="DJ29" t="s">
        <v>143</v>
      </c>
      <c r="DK29">
        <v>11</v>
      </c>
      <c r="DL29">
        <v>14</v>
      </c>
      <c r="DM29">
        <v>12</v>
      </c>
      <c r="DN29" t="s">
        <v>144</v>
      </c>
      <c r="DO29" t="s">
        <v>145</v>
      </c>
      <c r="DP29">
        <v>1</v>
      </c>
      <c r="DQ29">
        <v>2</v>
      </c>
      <c r="DR29">
        <v>3</v>
      </c>
      <c r="DS29">
        <v>4</v>
      </c>
      <c r="DT29">
        <v>5</v>
      </c>
      <c r="DU29">
        <v>6</v>
      </c>
      <c r="DV29">
        <v>7</v>
      </c>
      <c r="DW29">
        <v>8</v>
      </c>
      <c r="DX29">
        <v>9</v>
      </c>
      <c r="DY29">
        <v>10</v>
      </c>
      <c r="DZ29">
        <v>11</v>
      </c>
      <c r="EA29">
        <v>12</v>
      </c>
      <c r="EB29">
        <v>13</v>
      </c>
      <c r="EC29">
        <v>14</v>
      </c>
      <c r="ED29">
        <v>1</v>
      </c>
      <c r="EE29">
        <v>3</v>
      </c>
      <c r="EF29">
        <v>4</v>
      </c>
      <c r="EG29">
        <v>7</v>
      </c>
      <c r="EH29">
        <v>8</v>
      </c>
      <c r="EI29">
        <v>9</v>
      </c>
      <c r="EJ29">
        <v>10</v>
      </c>
      <c r="EK29">
        <v>13</v>
      </c>
      <c r="EL29">
        <v>14</v>
      </c>
      <c r="EM29">
        <v>15</v>
      </c>
      <c r="EN29">
        <v>16</v>
      </c>
      <c r="EO29">
        <v>22</v>
      </c>
      <c r="EP29">
        <v>23</v>
      </c>
      <c r="EQ29" s="16">
        <v>24</v>
      </c>
    </row>
    <row r="30" spans="1:147" x14ac:dyDescent="0.25">
      <c r="A30" t="s">
        <v>230</v>
      </c>
      <c r="B30" t="s">
        <v>231</v>
      </c>
      <c r="C30" s="3" t="s">
        <v>127</v>
      </c>
      <c r="O30" s="2"/>
      <c r="P30" t="s">
        <v>129</v>
      </c>
      <c r="Q30" s="1"/>
      <c r="S30" s="1" t="s">
        <v>130</v>
      </c>
      <c r="T30" s="14" t="s">
        <v>554</v>
      </c>
      <c r="U30" s="15">
        <v>29</v>
      </c>
      <c r="V30" s="15" t="s">
        <v>1591</v>
      </c>
      <c r="W30" s="15"/>
      <c r="AC30" t="s">
        <v>265</v>
      </c>
      <c r="AF30" t="s">
        <v>239</v>
      </c>
      <c r="AG30" t="s">
        <v>241</v>
      </c>
      <c r="AH30" t="s">
        <v>268</v>
      </c>
      <c r="AK30" t="s">
        <v>252</v>
      </c>
      <c r="AL30" t="s">
        <v>259</v>
      </c>
      <c r="AM30" t="s">
        <v>232</v>
      </c>
      <c r="AP30" t="s">
        <v>137</v>
      </c>
      <c r="AQ30" t="s">
        <v>138</v>
      </c>
      <c r="AT30" t="s">
        <v>139</v>
      </c>
      <c r="AU30" t="s">
        <v>140</v>
      </c>
      <c r="BD30" s="16"/>
      <c r="BE30" t="str">
        <f t="shared" si="0"/>
        <v>XT29</v>
      </c>
      <c r="BF30" t="str">
        <f t="shared" si="1"/>
        <v>C20</v>
      </c>
      <c r="BG30" t="str">
        <f t="shared" si="2"/>
        <v>B20</v>
      </c>
      <c r="BH30" t="str">
        <f t="shared" si="3"/>
        <v>C21</v>
      </c>
      <c r="BI30" t="str">
        <f t="shared" si="4"/>
        <v>B21</v>
      </c>
      <c r="BJ30" t="str">
        <f t="shared" si="5"/>
        <v>C22</v>
      </c>
      <c r="BK30" t="str">
        <f t="shared" si="6"/>
        <v>B22</v>
      </c>
      <c r="BL30" t="str">
        <f t="shared" si="7"/>
        <v>C23</v>
      </c>
      <c r="BM30" t="str">
        <f t="shared" si="8"/>
        <v>B23</v>
      </c>
      <c r="BN30" t="str">
        <f t="shared" si="9"/>
        <v>C24</v>
      </c>
      <c r="BO30" t="str">
        <f t="shared" si="10"/>
        <v>B24</v>
      </c>
      <c r="BP30" t="str">
        <f t="shared" si="11"/>
        <v>26B</v>
      </c>
      <c r="BQ30" t="str">
        <f t="shared" si="12"/>
        <v>26A</v>
      </c>
      <c r="BR30" t="str">
        <f t="shared" si="18"/>
        <v>27B</v>
      </c>
      <c r="BS30" t="str">
        <f t="shared" si="19"/>
        <v>27A</v>
      </c>
      <c r="BT30" t="str">
        <f t="shared" si="13"/>
        <v>DI6-C19</v>
      </c>
      <c r="BU30" t="str">
        <f t="shared" si="13"/>
        <v>DI6-B19</v>
      </c>
      <c r="BV30" t="str">
        <f t="shared" si="42"/>
        <v>DI6-C20</v>
      </c>
      <c r="BW30" t="str">
        <f t="shared" si="42"/>
        <v>DI6-B20</v>
      </c>
      <c r="BX30" t="str">
        <f t="shared" si="42"/>
        <v>DI6-C21</v>
      </c>
      <c r="BY30" t="str">
        <f t="shared" si="42"/>
        <v>DI6-B21</v>
      </c>
      <c r="BZ30" t="str">
        <f t="shared" si="42"/>
        <v>DI6-C22</v>
      </c>
      <c r="CA30" t="str">
        <f t="shared" si="42"/>
        <v>DI6-B22</v>
      </c>
      <c r="CB30" t="str">
        <f t="shared" si="42"/>
        <v>DI6-C23</v>
      </c>
      <c r="CC30" t="str">
        <f t="shared" si="42"/>
        <v>DI6-B23</v>
      </c>
      <c r="CD30" t="str">
        <f t="shared" si="42"/>
        <v>DI6-C24</v>
      </c>
      <c r="CE30" t="str">
        <f t="shared" si="42"/>
        <v>DI6-B24</v>
      </c>
      <c r="CF30" t="str">
        <f t="shared" si="15"/>
        <v>DO3-25B</v>
      </c>
      <c r="CG30" t="str">
        <f t="shared" si="15"/>
        <v>DO3-25A</v>
      </c>
      <c r="CH30" t="str">
        <f t="shared" si="16"/>
        <v>DO3-26B</v>
      </c>
      <c r="CI30" t="str">
        <f t="shared" si="16"/>
        <v>DO3-26A</v>
      </c>
      <c r="CJ30" t="str">
        <f t="shared" si="16"/>
        <v>DO3-27B</v>
      </c>
      <c r="CK30" t="str">
        <f t="shared" si="16"/>
        <v>DO3-27A</v>
      </c>
      <c r="CL30" t="str">
        <f t="shared" si="20"/>
        <v>K29-10</v>
      </c>
      <c r="CM30" t="str">
        <f t="shared" si="21"/>
        <v>K29-03</v>
      </c>
      <c r="CN30" t="str">
        <f t="shared" si="22"/>
        <v>K29-04</v>
      </c>
      <c r="CO30" t="str">
        <f t="shared" si="23"/>
        <v>K29-01</v>
      </c>
      <c r="CP30" t="str">
        <f t="shared" si="24"/>
        <v>K29-08</v>
      </c>
      <c r="CQ30" t="str">
        <f t="shared" si="25"/>
        <v>K29-02</v>
      </c>
      <c r="CR30" t="str">
        <f t="shared" si="26"/>
        <v>K29-09</v>
      </c>
      <c r="CS30" t="str">
        <f t="shared" si="27"/>
        <v>K29-05</v>
      </c>
      <c r="CT30" t="str">
        <f t="shared" si="28"/>
        <v>K29-11</v>
      </c>
      <c r="CU30" t="str">
        <f t="shared" si="29"/>
        <v>F0-M29-A9</v>
      </c>
      <c r="CV30" t="str">
        <f t="shared" si="30"/>
        <v>F0-M29-A7</v>
      </c>
      <c r="CW30" t="str">
        <f t="shared" si="31"/>
        <v>F0-M29-A8</v>
      </c>
      <c r="CX30" t="str">
        <f t="shared" si="32"/>
        <v>F0-M29-A6</v>
      </c>
      <c r="CY30" t="str">
        <f t="shared" si="33"/>
        <v>F0-M29-A30</v>
      </c>
      <c r="CZ30" t="str">
        <f t="shared" si="34"/>
        <v>F0-M29-N</v>
      </c>
      <c r="DA30" t="str">
        <f t="shared" si="17"/>
        <v>F0-A220-M29</v>
      </c>
      <c r="DB30" t="str">
        <f t="shared" si="35"/>
        <v>F0-M29-XM01</v>
      </c>
      <c r="DC30" t="str">
        <f t="shared" si="36"/>
        <v>F0-M29-A1</v>
      </c>
      <c r="DD30" t="str">
        <f t="shared" si="37"/>
        <v>F0-M29-A5</v>
      </c>
      <c r="DE30" t="str">
        <f t="shared" si="38"/>
        <v>F0-M29-A11</v>
      </c>
      <c r="DF30" t="str">
        <f t="shared" si="39"/>
        <v>F0-M29-A12</v>
      </c>
      <c r="DG30" t="str">
        <f t="shared" si="40"/>
        <v>F0-M29-A19</v>
      </c>
      <c r="DH30" t="str">
        <f t="shared" si="41"/>
        <v>F0-M29-A20</v>
      </c>
      <c r="DI30" t="s">
        <v>142</v>
      </c>
      <c r="DJ30" t="s">
        <v>143</v>
      </c>
      <c r="DK30">
        <v>11</v>
      </c>
      <c r="DL30">
        <v>14</v>
      </c>
      <c r="DM30">
        <v>12</v>
      </c>
      <c r="DN30" t="s">
        <v>144</v>
      </c>
      <c r="DO30" t="s">
        <v>145</v>
      </c>
      <c r="DP30">
        <v>1</v>
      </c>
      <c r="DQ30">
        <v>2</v>
      </c>
      <c r="DR30">
        <v>3</v>
      </c>
      <c r="DS30">
        <v>4</v>
      </c>
      <c r="DT30">
        <v>5</v>
      </c>
      <c r="DU30">
        <v>6</v>
      </c>
      <c r="DV30">
        <v>7</v>
      </c>
      <c r="DW30">
        <v>8</v>
      </c>
      <c r="DX30">
        <v>9</v>
      </c>
      <c r="DY30">
        <v>10</v>
      </c>
      <c r="DZ30">
        <v>11</v>
      </c>
      <c r="EA30">
        <v>12</v>
      </c>
      <c r="EB30">
        <v>13</v>
      </c>
      <c r="EC30">
        <v>14</v>
      </c>
      <c r="ED30">
        <v>1</v>
      </c>
      <c r="EE30">
        <v>3</v>
      </c>
      <c r="EF30">
        <v>4</v>
      </c>
      <c r="EG30">
        <v>7</v>
      </c>
      <c r="EH30">
        <v>8</v>
      </c>
      <c r="EI30">
        <v>9</v>
      </c>
      <c r="EJ30">
        <v>10</v>
      </c>
      <c r="EK30">
        <v>13</v>
      </c>
      <c r="EL30">
        <v>14</v>
      </c>
      <c r="EM30">
        <v>15</v>
      </c>
      <c r="EN30">
        <v>16</v>
      </c>
      <c r="EO30">
        <v>22</v>
      </c>
      <c r="EP30">
        <v>23</v>
      </c>
      <c r="EQ30" s="16">
        <v>24</v>
      </c>
    </row>
    <row r="31" spans="1:147" x14ac:dyDescent="0.25">
      <c r="A31" t="s">
        <v>233</v>
      </c>
      <c r="B31" t="s">
        <v>234</v>
      </c>
      <c r="C31" s="3" t="s">
        <v>127</v>
      </c>
      <c r="O31" s="2"/>
      <c r="P31" t="s">
        <v>129</v>
      </c>
      <c r="Q31" s="1"/>
      <c r="S31" s="1" t="s">
        <v>130</v>
      </c>
      <c r="T31" s="14" t="s">
        <v>554</v>
      </c>
      <c r="U31" s="15">
        <v>30</v>
      </c>
      <c r="V31" s="15" t="s">
        <v>1592</v>
      </c>
      <c r="W31" s="15"/>
      <c r="AC31" t="s">
        <v>265</v>
      </c>
      <c r="AF31" t="s">
        <v>240</v>
      </c>
      <c r="AG31" t="s">
        <v>242</v>
      </c>
      <c r="AH31" t="s">
        <v>268</v>
      </c>
      <c r="AK31" t="s">
        <v>253</v>
      </c>
      <c r="AL31" t="s">
        <v>260</v>
      </c>
      <c r="AM31" t="s">
        <v>235</v>
      </c>
      <c r="AP31" t="s">
        <v>137</v>
      </c>
      <c r="AQ31" t="s">
        <v>138</v>
      </c>
      <c r="AT31" t="s">
        <v>139</v>
      </c>
      <c r="AU31" t="s">
        <v>140</v>
      </c>
      <c r="BD31" s="16"/>
      <c r="BE31" t="str">
        <f t="shared" si="0"/>
        <v>XT30</v>
      </c>
      <c r="BF31" t="str">
        <f t="shared" si="1"/>
        <v>C26</v>
      </c>
      <c r="BG31" t="str">
        <f t="shared" si="2"/>
        <v>B26</v>
      </c>
      <c r="BH31" t="str">
        <f t="shared" si="3"/>
        <v>C27</v>
      </c>
      <c r="BI31" t="str">
        <f t="shared" si="4"/>
        <v>B27</v>
      </c>
      <c r="BJ31" t="str">
        <f t="shared" si="5"/>
        <v>C28</v>
      </c>
      <c r="BK31" t="str">
        <f t="shared" si="6"/>
        <v>B28</v>
      </c>
      <c r="BL31" t="str">
        <f t="shared" si="7"/>
        <v>C29</v>
      </c>
      <c r="BM31" t="str">
        <f t="shared" si="8"/>
        <v>B29</v>
      </c>
      <c r="BN31" t="str">
        <f t="shared" si="9"/>
        <v>C30</v>
      </c>
      <c r="BO31" t="str">
        <f t="shared" si="10"/>
        <v>B30</v>
      </c>
      <c r="BP31" t="str">
        <f t="shared" si="11"/>
        <v>29B</v>
      </c>
      <c r="BQ31" t="str">
        <f t="shared" si="12"/>
        <v>29A</v>
      </c>
      <c r="BR31" t="str">
        <f t="shared" si="18"/>
        <v>30B</v>
      </c>
      <c r="BS31" t="str">
        <f t="shared" si="19"/>
        <v>30A</v>
      </c>
      <c r="BT31" t="str">
        <f t="shared" si="13"/>
        <v>DI6-C25</v>
      </c>
      <c r="BU31" t="str">
        <f t="shared" si="13"/>
        <v>DI6-B25</v>
      </c>
      <c r="BV31" t="str">
        <f t="shared" si="42"/>
        <v>DI6-C26</v>
      </c>
      <c r="BW31" t="str">
        <f t="shared" si="42"/>
        <v>DI6-B26</v>
      </c>
      <c r="BX31" t="str">
        <f t="shared" si="42"/>
        <v>DI6-C27</v>
      </c>
      <c r="BY31" t="str">
        <f t="shared" si="42"/>
        <v>DI6-B27</v>
      </c>
      <c r="BZ31" t="str">
        <f t="shared" si="42"/>
        <v>DI6-C28</v>
      </c>
      <c r="CA31" t="str">
        <f t="shared" si="42"/>
        <v>DI6-B28</v>
      </c>
      <c r="CB31" t="str">
        <f t="shared" si="42"/>
        <v>DI6-C29</v>
      </c>
      <c r="CC31" t="str">
        <f t="shared" si="42"/>
        <v>DI6-B29</v>
      </c>
      <c r="CD31" t="str">
        <f t="shared" si="42"/>
        <v>DI6-C30</v>
      </c>
      <c r="CE31" t="str">
        <f t="shared" si="42"/>
        <v>DI6-B30</v>
      </c>
      <c r="CF31" t="str">
        <f t="shared" si="15"/>
        <v>DO3-28B</v>
      </c>
      <c r="CG31" t="str">
        <f t="shared" si="15"/>
        <v>DO3-28A</v>
      </c>
      <c r="CH31" t="str">
        <f t="shared" si="16"/>
        <v>DO3-29B</v>
      </c>
      <c r="CI31" t="str">
        <f t="shared" si="16"/>
        <v>DO3-29A</v>
      </c>
      <c r="CJ31" t="str">
        <f t="shared" si="16"/>
        <v>DO3-30B</v>
      </c>
      <c r="CK31" t="str">
        <f t="shared" si="16"/>
        <v>DO3-30A</v>
      </c>
      <c r="CL31" t="str">
        <f t="shared" si="20"/>
        <v>K30-10</v>
      </c>
      <c r="CM31" t="str">
        <f t="shared" si="21"/>
        <v>K30-03</v>
      </c>
      <c r="CN31" t="str">
        <f t="shared" si="22"/>
        <v>K30-04</v>
      </c>
      <c r="CO31" t="str">
        <f t="shared" si="23"/>
        <v>K30-01</v>
      </c>
      <c r="CP31" t="str">
        <f t="shared" si="24"/>
        <v>K30-08</v>
      </c>
      <c r="CQ31" t="str">
        <f t="shared" si="25"/>
        <v>K30-02</v>
      </c>
      <c r="CR31" t="str">
        <f t="shared" si="26"/>
        <v>K30-09</v>
      </c>
      <c r="CS31" t="str">
        <f t="shared" si="27"/>
        <v>K30-05</v>
      </c>
      <c r="CT31" t="str">
        <f t="shared" si="28"/>
        <v>K30-11</v>
      </c>
      <c r="CU31" t="str">
        <f t="shared" si="29"/>
        <v>F0-M30-A9</v>
      </c>
      <c r="CV31" t="str">
        <f t="shared" si="30"/>
        <v>F0-M30-A7</v>
      </c>
      <c r="CW31" t="str">
        <f t="shared" si="31"/>
        <v>F0-M30-A8</v>
      </c>
      <c r="CX31" t="str">
        <f t="shared" si="32"/>
        <v>F0-M30-A6</v>
      </c>
      <c r="CY31" t="str">
        <f t="shared" si="33"/>
        <v>F0-M30-A30</v>
      </c>
      <c r="CZ31" t="str">
        <f t="shared" si="34"/>
        <v>F0-M30-N</v>
      </c>
      <c r="DA31" t="str">
        <f t="shared" si="17"/>
        <v>F0-A220-M30</v>
      </c>
      <c r="DB31" t="str">
        <f t="shared" si="35"/>
        <v>F0-M30-XM01</v>
      </c>
      <c r="DC31" t="str">
        <f t="shared" si="36"/>
        <v>F0-M30-A1</v>
      </c>
      <c r="DD31" t="str">
        <f t="shared" si="37"/>
        <v>F0-M30-A5</v>
      </c>
      <c r="DE31" t="str">
        <f t="shared" si="38"/>
        <v>F0-M30-A11</v>
      </c>
      <c r="DF31" t="str">
        <f t="shared" si="39"/>
        <v>F0-M30-A12</v>
      </c>
      <c r="DG31" t="str">
        <f t="shared" si="40"/>
        <v>F0-M30-A19</v>
      </c>
      <c r="DH31" t="str">
        <f t="shared" si="41"/>
        <v>F0-M30-A20</v>
      </c>
      <c r="DI31" t="s">
        <v>142</v>
      </c>
      <c r="DJ31" t="s">
        <v>143</v>
      </c>
      <c r="DK31">
        <v>11</v>
      </c>
      <c r="DL31">
        <v>14</v>
      </c>
      <c r="DM31">
        <v>12</v>
      </c>
      <c r="DN31" t="s">
        <v>144</v>
      </c>
      <c r="DO31" t="s">
        <v>145</v>
      </c>
      <c r="DP31">
        <v>1</v>
      </c>
      <c r="DQ31">
        <v>2</v>
      </c>
      <c r="DR31">
        <v>3</v>
      </c>
      <c r="DS31">
        <v>4</v>
      </c>
      <c r="DT31">
        <v>5</v>
      </c>
      <c r="DU31">
        <v>6</v>
      </c>
      <c r="DV31">
        <v>7</v>
      </c>
      <c r="DW31">
        <v>8</v>
      </c>
      <c r="DX31">
        <v>9</v>
      </c>
      <c r="DY31">
        <v>10</v>
      </c>
      <c r="DZ31">
        <v>11</v>
      </c>
      <c r="EA31">
        <v>12</v>
      </c>
      <c r="EB31">
        <v>13</v>
      </c>
      <c r="EC31">
        <v>14</v>
      </c>
      <c r="ED31">
        <v>1</v>
      </c>
      <c r="EE31">
        <v>3</v>
      </c>
      <c r="EF31">
        <v>4</v>
      </c>
      <c r="EG31">
        <v>7</v>
      </c>
      <c r="EH31">
        <v>8</v>
      </c>
      <c r="EI31">
        <v>9</v>
      </c>
      <c r="EJ31">
        <v>10</v>
      </c>
      <c r="EK31">
        <v>13</v>
      </c>
      <c r="EL31">
        <v>14</v>
      </c>
      <c r="EM31">
        <v>15</v>
      </c>
      <c r="EN31">
        <v>16</v>
      </c>
      <c r="EO31">
        <v>22</v>
      </c>
      <c r="EP31">
        <v>23</v>
      </c>
      <c r="EQ31" s="16">
        <v>24</v>
      </c>
    </row>
    <row r="32" spans="1:147" ht="15.75" thickBot="1" x14ac:dyDescent="0.3">
      <c r="A32" t="s">
        <v>236</v>
      </c>
      <c r="B32" t="s">
        <v>237</v>
      </c>
      <c r="C32" s="3" t="s">
        <v>127</v>
      </c>
      <c r="O32" s="2"/>
      <c r="P32" t="s">
        <v>129</v>
      </c>
      <c r="Q32" s="1"/>
      <c r="S32" s="1" t="s">
        <v>130</v>
      </c>
      <c r="T32" s="17" t="s">
        <v>554</v>
      </c>
      <c r="U32" s="18">
        <v>31</v>
      </c>
      <c r="V32" s="18" t="s">
        <v>1593</v>
      </c>
      <c r="W32" s="18"/>
      <c r="X32" s="19"/>
      <c r="Y32" s="19"/>
      <c r="Z32" s="19"/>
      <c r="AA32" s="19"/>
      <c r="AB32" s="19"/>
      <c r="AC32" s="19" t="s">
        <v>266</v>
      </c>
      <c r="AD32" s="19"/>
      <c r="AE32" s="19"/>
      <c r="AF32" s="19" t="s">
        <v>133</v>
      </c>
      <c r="AG32" s="19" t="s">
        <v>134</v>
      </c>
      <c r="AH32" s="19" t="s">
        <v>269</v>
      </c>
      <c r="AI32" s="19"/>
      <c r="AJ32" s="19"/>
      <c r="AK32" s="19" t="s">
        <v>135</v>
      </c>
      <c r="AL32" s="19" t="s">
        <v>136</v>
      </c>
      <c r="AM32" s="19" t="s">
        <v>238</v>
      </c>
      <c r="AN32" s="19"/>
      <c r="AO32" s="19"/>
      <c r="AP32" s="19" t="s">
        <v>137</v>
      </c>
      <c r="AQ32" s="19" t="s">
        <v>138</v>
      </c>
      <c r="AR32" s="19"/>
      <c r="AS32" s="19"/>
      <c r="AT32" s="19" t="s">
        <v>139</v>
      </c>
      <c r="AU32" s="19" t="s">
        <v>140</v>
      </c>
      <c r="AX32" s="19"/>
      <c r="BD32" s="16"/>
      <c r="BE32" s="19" t="str">
        <f t="shared" si="0"/>
        <v>XT31</v>
      </c>
      <c r="BF32" s="19" t="str">
        <f t="shared" si="1"/>
        <v>C2</v>
      </c>
      <c r="BG32" s="19" t="str">
        <f t="shared" si="2"/>
        <v>B2</v>
      </c>
      <c r="BH32" s="19" t="str">
        <f t="shared" si="3"/>
        <v>C3</v>
      </c>
      <c r="BI32" s="19" t="str">
        <f t="shared" si="4"/>
        <v>B3</v>
      </c>
      <c r="BJ32" s="19" t="str">
        <f t="shared" si="5"/>
        <v>C4</v>
      </c>
      <c r="BK32" s="19" t="str">
        <f t="shared" si="6"/>
        <v>B4</v>
      </c>
      <c r="BL32" s="19" t="str">
        <f t="shared" si="7"/>
        <v>C5</v>
      </c>
      <c r="BM32" s="19" t="str">
        <f t="shared" si="8"/>
        <v>B5</v>
      </c>
      <c r="BN32" s="19" t="str">
        <f t="shared" si="9"/>
        <v>C6</v>
      </c>
      <c r="BO32" s="19" t="str">
        <f t="shared" si="10"/>
        <v>B6</v>
      </c>
      <c r="BP32" s="19" t="str">
        <f t="shared" si="11"/>
        <v>2B</v>
      </c>
      <c r="BQ32" s="19" t="str">
        <f t="shared" si="12"/>
        <v>2A</v>
      </c>
      <c r="BR32" s="19" t="str">
        <f t="shared" si="18"/>
        <v>3B</v>
      </c>
      <c r="BS32" s="19" t="str">
        <f t="shared" si="19"/>
        <v>3A</v>
      </c>
      <c r="BT32" s="19" t="str">
        <f t="shared" si="13"/>
        <v>DI7-C1</v>
      </c>
      <c r="BU32" s="19" t="str">
        <f t="shared" si="13"/>
        <v>DI7-B1</v>
      </c>
      <c r="BV32" s="19" t="str">
        <f t="shared" si="42"/>
        <v>DI7-C2</v>
      </c>
      <c r="BW32" s="19" t="str">
        <f t="shared" si="42"/>
        <v>DI7-B2</v>
      </c>
      <c r="BX32" s="19" t="str">
        <f t="shared" si="42"/>
        <v>DI7-C3</v>
      </c>
      <c r="BY32" s="19" t="str">
        <f t="shared" si="42"/>
        <v>DI7-B3</v>
      </c>
      <c r="BZ32" s="19" t="str">
        <f t="shared" si="42"/>
        <v>DI7-C4</v>
      </c>
      <c r="CA32" s="19" t="str">
        <f t="shared" si="42"/>
        <v>DI7-B4</v>
      </c>
      <c r="CB32" s="19" t="str">
        <f t="shared" si="42"/>
        <v>DI7-C5</v>
      </c>
      <c r="CC32" s="19" t="str">
        <f t="shared" si="42"/>
        <v>DI7-B5</v>
      </c>
      <c r="CD32" s="19" t="str">
        <f t="shared" si="42"/>
        <v>DI7-C6</v>
      </c>
      <c r="CE32" s="19" t="str">
        <f t="shared" si="42"/>
        <v>DI7-B6</v>
      </c>
      <c r="CF32" s="19" t="str">
        <f t="shared" si="15"/>
        <v>DO4-1B</v>
      </c>
      <c r="CG32" s="19" t="str">
        <f t="shared" si="15"/>
        <v>DO4-1A</v>
      </c>
      <c r="CH32" s="19" t="str">
        <f t="shared" si="16"/>
        <v>DO4-2B</v>
      </c>
      <c r="CI32" s="19" t="str">
        <f t="shared" si="16"/>
        <v>DO4-2A</v>
      </c>
      <c r="CJ32" s="19" t="str">
        <f t="shared" si="16"/>
        <v>DO4-3B</v>
      </c>
      <c r="CK32" s="19" t="str">
        <f t="shared" si="16"/>
        <v>DO4-3A</v>
      </c>
      <c r="CL32" s="19" t="str">
        <f t="shared" si="20"/>
        <v>K31-10</v>
      </c>
      <c r="CM32" s="19" t="str">
        <f t="shared" si="21"/>
        <v>K31-03</v>
      </c>
      <c r="CN32" s="19" t="str">
        <f t="shared" si="22"/>
        <v>K31-04</v>
      </c>
      <c r="CO32" s="19" t="str">
        <f t="shared" si="23"/>
        <v>K31-01</v>
      </c>
      <c r="CP32" s="19" t="str">
        <f t="shared" si="24"/>
        <v>K31-08</v>
      </c>
      <c r="CQ32" s="19" t="str">
        <f t="shared" si="25"/>
        <v>K31-02</v>
      </c>
      <c r="CR32" s="19" t="str">
        <f t="shared" si="26"/>
        <v>K31-09</v>
      </c>
      <c r="CS32" s="19" t="str">
        <f t="shared" si="27"/>
        <v>K31-05</v>
      </c>
      <c r="CT32" s="19" t="str">
        <f t="shared" si="28"/>
        <v>K31-11</v>
      </c>
      <c r="CU32" s="19" t="str">
        <f t="shared" si="29"/>
        <v>F0-M31-A9</v>
      </c>
      <c r="CV32" s="19" t="str">
        <f t="shared" si="30"/>
        <v>F0-M31-A7</v>
      </c>
      <c r="CW32" s="19" t="str">
        <f t="shared" si="31"/>
        <v>F0-M31-A8</v>
      </c>
      <c r="CX32" s="19" t="str">
        <f t="shared" si="32"/>
        <v>F0-M31-A6</v>
      </c>
      <c r="CY32" s="19" t="str">
        <f t="shared" si="33"/>
        <v>F0-M31-A30</v>
      </c>
      <c r="CZ32" s="19" t="str">
        <f t="shared" si="34"/>
        <v>F0-M31-N</v>
      </c>
      <c r="DA32" s="19" t="str">
        <f t="shared" si="17"/>
        <v>F0-A220-M31</v>
      </c>
      <c r="DB32" s="19" t="str">
        <f t="shared" si="35"/>
        <v>F0-M31-XM01</v>
      </c>
      <c r="DC32" s="19" t="str">
        <f t="shared" si="36"/>
        <v>F0-M31-A1</v>
      </c>
      <c r="DD32" s="19" t="str">
        <f t="shared" si="37"/>
        <v>F0-M31-A5</v>
      </c>
      <c r="DE32" s="19" t="str">
        <f t="shared" si="38"/>
        <v>F0-M31-A11</v>
      </c>
      <c r="DF32" s="19" t="str">
        <f t="shared" si="39"/>
        <v>F0-M31-A12</v>
      </c>
      <c r="DG32" s="19" t="str">
        <f t="shared" si="40"/>
        <v>F0-M31-A19</v>
      </c>
      <c r="DH32" s="19" t="str">
        <f t="shared" si="41"/>
        <v>F0-M31-A20</v>
      </c>
      <c r="DI32" s="19" t="s">
        <v>142</v>
      </c>
      <c r="DJ32" s="19" t="s">
        <v>143</v>
      </c>
      <c r="DK32" s="19">
        <v>11</v>
      </c>
      <c r="DL32" s="19">
        <v>14</v>
      </c>
      <c r="DM32" s="19">
        <v>12</v>
      </c>
      <c r="DN32" s="19" t="s">
        <v>144</v>
      </c>
      <c r="DO32" s="19" t="s">
        <v>145</v>
      </c>
      <c r="DP32" s="19">
        <v>1</v>
      </c>
      <c r="DQ32" s="19">
        <v>2</v>
      </c>
      <c r="DR32" s="19">
        <v>3</v>
      </c>
      <c r="DS32" s="19">
        <v>4</v>
      </c>
      <c r="DT32" s="19">
        <v>5</v>
      </c>
      <c r="DU32" s="19">
        <v>6</v>
      </c>
      <c r="DV32" s="19">
        <v>7</v>
      </c>
      <c r="DW32" s="19">
        <v>8</v>
      </c>
      <c r="DX32" s="19">
        <v>9</v>
      </c>
      <c r="DY32" s="19">
        <v>10</v>
      </c>
      <c r="DZ32" s="19">
        <v>11</v>
      </c>
      <c r="EA32" s="19">
        <v>12</v>
      </c>
      <c r="EB32" s="19">
        <v>13</v>
      </c>
      <c r="EC32" s="19">
        <v>14</v>
      </c>
      <c r="ED32" s="19">
        <v>1</v>
      </c>
      <c r="EE32" s="19">
        <v>3</v>
      </c>
      <c r="EF32" s="19">
        <v>4</v>
      </c>
      <c r="EG32" s="19">
        <v>7</v>
      </c>
      <c r="EH32" s="19">
        <v>8</v>
      </c>
      <c r="EI32" s="19">
        <v>9</v>
      </c>
      <c r="EJ32" s="19">
        <v>10</v>
      </c>
      <c r="EK32" s="19">
        <v>13</v>
      </c>
      <c r="EL32" s="19">
        <v>14</v>
      </c>
      <c r="EM32" s="19">
        <v>15</v>
      </c>
      <c r="EN32" s="19">
        <v>16</v>
      </c>
      <c r="EO32" s="19">
        <v>22</v>
      </c>
      <c r="EP32" s="19">
        <v>23</v>
      </c>
      <c r="EQ32" s="20">
        <v>24</v>
      </c>
    </row>
    <row r="33" spans="1:285" ht="15.75" thickBot="1" x14ac:dyDescent="0.3">
      <c r="A33" t="s">
        <v>280</v>
      </c>
      <c r="B33" t="s">
        <v>279</v>
      </c>
      <c r="C33" s="3"/>
      <c r="O33" s="2"/>
      <c r="P33" t="s">
        <v>276</v>
      </c>
      <c r="Q33" s="1"/>
      <c r="S33" s="1"/>
      <c r="T33" s="21" t="s">
        <v>554</v>
      </c>
      <c r="U33" s="22">
        <v>32</v>
      </c>
      <c r="V33" s="18" t="s">
        <v>1422</v>
      </c>
      <c r="W33" s="22"/>
      <c r="X33" s="23"/>
      <c r="Y33" s="23"/>
      <c r="Z33" s="23"/>
      <c r="AA33" s="23"/>
      <c r="AB33" s="23"/>
      <c r="AC33" s="23" t="s">
        <v>266</v>
      </c>
      <c r="AD33" s="23"/>
      <c r="AE33" s="23"/>
      <c r="AF33" s="23" t="s">
        <v>148</v>
      </c>
      <c r="AG33" s="23" t="s">
        <v>149</v>
      </c>
      <c r="AH33" s="23" t="s">
        <v>269</v>
      </c>
      <c r="AI33" s="23"/>
      <c r="AJ33" s="23"/>
      <c r="AK33" s="23" t="s">
        <v>243</v>
      </c>
      <c r="AL33" s="23" t="s">
        <v>244</v>
      </c>
      <c r="AM33" s="23" t="s">
        <v>282</v>
      </c>
      <c r="AN33" s="23"/>
      <c r="AO33" s="23"/>
      <c r="AP33" s="23" t="s">
        <v>137</v>
      </c>
      <c r="AQ33" s="23" t="s">
        <v>138</v>
      </c>
      <c r="AR33" s="23"/>
      <c r="AS33" s="23"/>
      <c r="AT33" s="23" t="s">
        <v>139</v>
      </c>
      <c r="AU33" s="23" t="s">
        <v>140</v>
      </c>
      <c r="AV33" s="23"/>
      <c r="AW33" s="23"/>
      <c r="AX33" s="23"/>
      <c r="AY33" s="12"/>
      <c r="AZ33" s="12"/>
      <c r="BA33" s="12"/>
      <c r="BB33" s="12"/>
      <c r="BC33" s="12"/>
      <c r="BD33" s="13"/>
      <c r="BE33" s="23" t="str">
        <f t="shared" si="0"/>
        <v>XT32</v>
      </c>
      <c r="BF33" s="23" t="str">
        <f t="shared" si="1"/>
        <v>C8</v>
      </c>
      <c r="BG33" s="23" t="str">
        <f t="shared" si="2"/>
        <v>B8</v>
      </c>
      <c r="BH33" s="23" t="str">
        <f t="shared" si="3"/>
        <v>C9</v>
      </c>
      <c r="BI33" s="23" t="str">
        <f t="shared" si="4"/>
        <v>B9</v>
      </c>
      <c r="BJ33" s="23" t="str">
        <f t="shared" si="5"/>
        <v>C10</v>
      </c>
      <c r="BK33" s="23" t="str">
        <f t="shared" si="6"/>
        <v>B10</v>
      </c>
      <c r="BL33" s="23" t="str">
        <f t="shared" si="7"/>
        <v>C11</v>
      </c>
      <c r="BM33" s="23" t="str">
        <f t="shared" si="8"/>
        <v>B11</v>
      </c>
      <c r="BN33" s="23" t="str">
        <f t="shared" si="9"/>
        <v>C12</v>
      </c>
      <c r="BO33" s="23" t="str">
        <f t="shared" si="10"/>
        <v>B12</v>
      </c>
      <c r="BP33" s="23" t="str">
        <f t="shared" si="11"/>
        <v>5B</v>
      </c>
      <c r="BQ33" s="23" t="str">
        <f t="shared" si="12"/>
        <v>5A</v>
      </c>
      <c r="BR33" s="23" t="str">
        <f t="shared" si="18"/>
        <v>6B</v>
      </c>
      <c r="BS33" s="23" t="str">
        <f t="shared" si="19"/>
        <v>6A</v>
      </c>
      <c r="BT33" s="23" t="str">
        <f t="shared" si="13"/>
        <v>DI7-C7</v>
      </c>
      <c r="BU33" s="23" t="str">
        <f t="shared" si="13"/>
        <v>DI7-B7</v>
      </c>
      <c r="BV33" s="23" t="str">
        <f t="shared" si="42"/>
        <v>DI7-C8</v>
      </c>
      <c r="BW33" s="23" t="str">
        <f t="shared" si="42"/>
        <v>DI7-B8</v>
      </c>
      <c r="BX33" s="23" t="str">
        <f t="shared" si="42"/>
        <v>DI7-C9</v>
      </c>
      <c r="BY33" s="23" t="str">
        <f t="shared" si="42"/>
        <v>DI7-B9</v>
      </c>
      <c r="BZ33" s="23" t="str">
        <f t="shared" si="42"/>
        <v>DI7-C10</v>
      </c>
      <c r="CA33" s="23" t="str">
        <f t="shared" si="42"/>
        <v>DI7-B10</v>
      </c>
      <c r="CB33" s="23" t="str">
        <f t="shared" si="42"/>
        <v>DI7-C11</v>
      </c>
      <c r="CC33" s="23" t="str">
        <f t="shared" si="42"/>
        <v>DI7-B11</v>
      </c>
      <c r="CD33" s="23" t="str">
        <f t="shared" si="42"/>
        <v>DI7-C12</v>
      </c>
      <c r="CE33" s="23" t="str">
        <f t="shared" si="42"/>
        <v>DI7-B12</v>
      </c>
      <c r="CF33" s="23" t="str">
        <f t="shared" si="15"/>
        <v>DO4-4B</v>
      </c>
      <c r="CG33" s="23" t="str">
        <f t="shared" si="15"/>
        <v>DO4-4A</v>
      </c>
      <c r="CH33" s="23" t="str">
        <f t="shared" si="16"/>
        <v>DO4-5B</v>
      </c>
      <c r="CI33" s="23" t="str">
        <f t="shared" si="16"/>
        <v>DO4-5A</v>
      </c>
      <c r="CJ33" s="23" t="str">
        <f t="shared" si="16"/>
        <v>DO4-6B</v>
      </c>
      <c r="CK33" s="23" t="str">
        <f t="shared" si="16"/>
        <v>DO4-6A</v>
      </c>
      <c r="CL33" s="23" t="str">
        <f t="shared" si="20"/>
        <v>K32-10</v>
      </c>
      <c r="CM33" s="23" t="str">
        <f t="shared" si="21"/>
        <v>K32-03</v>
      </c>
      <c r="CN33" s="23" t="str">
        <f t="shared" si="22"/>
        <v>K32-04</v>
      </c>
      <c r="CO33" s="23" t="str">
        <f t="shared" si="23"/>
        <v>K32-01</v>
      </c>
      <c r="CP33" s="23" t="str">
        <f t="shared" si="24"/>
        <v>K32-08</v>
      </c>
      <c r="CQ33" s="23" t="str">
        <f t="shared" si="25"/>
        <v>K32-02</v>
      </c>
      <c r="CR33" s="23" t="str">
        <f t="shared" si="26"/>
        <v>K32-09</v>
      </c>
      <c r="CS33" s="23" t="str">
        <f t="shared" si="27"/>
        <v>K32-05</v>
      </c>
      <c r="CT33" s="23" t="str">
        <f t="shared" si="28"/>
        <v>K32-11</v>
      </c>
      <c r="CU33" s="23" t="str">
        <f t="shared" si="29"/>
        <v>F0-M32-A9</v>
      </c>
      <c r="CV33" s="23" t="str">
        <f t="shared" si="30"/>
        <v>F0-M32-A7</v>
      </c>
      <c r="CW33" s="23" t="str">
        <f t="shared" si="31"/>
        <v>F0-M32-A8</v>
      </c>
      <c r="CX33" s="23" t="str">
        <f t="shared" si="32"/>
        <v>F0-M32-A6</v>
      </c>
      <c r="CY33" s="23" t="str">
        <f t="shared" si="33"/>
        <v>F0-M32-A30</v>
      </c>
      <c r="CZ33" s="23" t="str">
        <f t="shared" si="34"/>
        <v>F0-M32-N</v>
      </c>
      <c r="DA33" s="23" t="str">
        <f t="shared" si="17"/>
        <v>F0-A220-M32</v>
      </c>
      <c r="DB33" s="23" t="str">
        <f t="shared" si="35"/>
        <v>F0-M32-XM01</v>
      </c>
      <c r="DC33" s="23" t="str">
        <f t="shared" si="36"/>
        <v>F0-M32-A1</v>
      </c>
      <c r="DD33" s="23" t="str">
        <f t="shared" si="37"/>
        <v>F0-M32-A5</v>
      </c>
      <c r="DE33" s="23" t="str">
        <f t="shared" si="38"/>
        <v>F0-M32-A11</v>
      </c>
      <c r="DF33" s="23" t="str">
        <f t="shared" si="39"/>
        <v>F0-M32-A12</v>
      </c>
      <c r="DG33" s="23" t="str">
        <f t="shared" si="40"/>
        <v>F0-M32-A19</v>
      </c>
      <c r="DH33" s="23" t="str">
        <f t="shared" si="41"/>
        <v>F0-M32-A20</v>
      </c>
      <c r="DI33" s="23" t="s">
        <v>142</v>
      </c>
      <c r="DJ33" s="23" t="s">
        <v>143</v>
      </c>
      <c r="DK33" s="23">
        <v>11</v>
      </c>
      <c r="DL33" s="23">
        <v>14</v>
      </c>
      <c r="DM33" s="23">
        <v>12</v>
      </c>
      <c r="DN33" s="23" t="s">
        <v>144</v>
      </c>
      <c r="DO33" s="23" t="s">
        <v>145</v>
      </c>
      <c r="DP33" s="23">
        <v>1</v>
      </c>
      <c r="DQ33" s="23">
        <v>2</v>
      </c>
      <c r="DR33" s="23">
        <v>3</v>
      </c>
      <c r="DS33" s="23">
        <v>4</v>
      </c>
      <c r="DT33" s="23">
        <v>5</v>
      </c>
      <c r="DU33" s="23">
        <v>6</v>
      </c>
      <c r="DV33" s="23">
        <v>7</v>
      </c>
      <c r="DW33" s="23">
        <v>8</v>
      </c>
      <c r="DX33" s="23">
        <v>9</v>
      </c>
      <c r="DY33" s="23">
        <v>10</v>
      </c>
      <c r="DZ33" s="23">
        <v>11</v>
      </c>
      <c r="EA33" s="23">
        <v>12</v>
      </c>
      <c r="EB33" s="23">
        <v>13</v>
      </c>
      <c r="EC33" s="23">
        <v>14</v>
      </c>
      <c r="ED33" s="23">
        <v>1</v>
      </c>
      <c r="EE33" s="23">
        <v>3</v>
      </c>
      <c r="EF33" s="23">
        <v>4</v>
      </c>
      <c r="EG33" s="23">
        <v>7</v>
      </c>
      <c r="EH33" s="23">
        <v>8</v>
      </c>
      <c r="EI33" s="23">
        <v>9</v>
      </c>
      <c r="EJ33" s="23">
        <v>10</v>
      </c>
      <c r="EK33" s="23">
        <v>13</v>
      </c>
      <c r="EL33" s="23">
        <v>14</v>
      </c>
      <c r="EM33" s="23">
        <v>15</v>
      </c>
      <c r="EN33" s="23">
        <v>16</v>
      </c>
      <c r="EO33" s="23">
        <v>22</v>
      </c>
      <c r="EP33" s="23">
        <v>23</v>
      </c>
      <c r="EQ33" s="24">
        <v>24</v>
      </c>
    </row>
    <row r="34" spans="1:285" x14ac:dyDescent="0.25">
      <c r="A34" t="s">
        <v>273</v>
      </c>
      <c r="B34" t="s">
        <v>272</v>
      </c>
      <c r="P34" t="s">
        <v>281</v>
      </c>
      <c r="T34" s="10" t="s">
        <v>554</v>
      </c>
      <c r="U34" s="11">
        <v>33</v>
      </c>
      <c r="V34" s="11" t="s">
        <v>1594</v>
      </c>
      <c r="W34" s="11" t="s">
        <v>1595</v>
      </c>
      <c r="X34" s="12"/>
      <c r="Y34" s="12"/>
      <c r="Z34" s="12"/>
      <c r="AA34" s="12"/>
      <c r="AB34" s="12"/>
      <c r="AC34" s="12" t="s">
        <v>277</v>
      </c>
      <c r="AD34" s="12"/>
      <c r="AE34" s="12"/>
      <c r="AF34" s="12" t="s">
        <v>133</v>
      </c>
      <c r="AG34" s="12" t="s">
        <v>134</v>
      </c>
      <c r="AH34" s="12" t="s">
        <v>383</v>
      </c>
      <c r="AI34" s="12"/>
      <c r="AJ34" s="12"/>
      <c r="AK34" s="12" t="s">
        <v>135</v>
      </c>
      <c r="AL34" s="12" t="s">
        <v>136</v>
      </c>
      <c r="AM34" s="12">
        <v>31</v>
      </c>
      <c r="AN34" s="12" t="str">
        <f>CONCATENATE(AM34,"XT")</f>
        <v>31XT</v>
      </c>
      <c r="AO34" s="12" t="str">
        <f t="shared" ref="AO34:AO42" si="43">CONCATENATE(AM34,"X")</f>
        <v>31X</v>
      </c>
      <c r="AP34" s="12" t="s">
        <v>137</v>
      </c>
      <c r="AQ34" s="12" t="s">
        <v>138</v>
      </c>
      <c r="AR34" s="12" t="str">
        <f t="shared" ref="AR34:AR42" si="44">CONCATENATE("Соединительная коробка (",REPLACE(A34,SEARCH("AA",A34),2,"GB"),")")</f>
        <v>Соединительная коробка (F0GAD12GB801)</v>
      </c>
      <c r="AS34" s="12"/>
      <c r="AT34" s="12" t="s">
        <v>139</v>
      </c>
      <c r="AU34" s="12" t="s">
        <v>140</v>
      </c>
      <c r="AV34" s="12"/>
      <c r="AW34" s="12"/>
      <c r="AX34" s="12"/>
      <c r="AY34" s="12"/>
      <c r="AZ34" s="12"/>
      <c r="BA34" s="12"/>
      <c r="BB34" s="12"/>
      <c r="BC34" s="12"/>
      <c r="BD34" s="13"/>
      <c r="ER34" s="25" t="str">
        <f t="shared" ref="ER34:ER42" si="45">CONCATENATE("XT",U34)</f>
        <v>XT33</v>
      </c>
      <c r="ES34" s="12" t="str">
        <f t="shared" ref="ES34:ES42" si="46">CONCATENATE("C",REPLACE(AF34,1,1,"")+1)</f>
        <v>C2</v>
      </c>
      <c r="ET34" s="12" t="str">
        <f>CONCATENATE("B",REPLACE(AG34,1,1,"")+1)</f>
        <v>B2</v>
      </c>
      <c r="EU34" s="12" t="str">
        <f>CONCATENATE("C",REPLACE(ES34,1,1,"")+1)</f>
        <v>C3</v>
      </c>
      <c r="EV34" s="12" t="str">
        <f>CONCATENATE("B",REPLACE(ET34,1,1,"")+1)</f>
        <v>B3</v>
      </c>
      <c r="EW34" s="12" t="str">
        <f>CONCATENATE(REPLACE(AK34,LEN(AK34),1,"")+1,"B")</f>
        <v>2B</v>
      </c>
      <c r="EX34" s="12" t="str">
        <f>CONCATENATE(REPLACE(AL34,LEN(AL34),1,"")+1,"A")</f>
        <v>2A</v>
      </c>
      <c r="EY34" s="12" t="str">
        <f>CONCATENATE("DI",REPLACE($AC34,1,3,""),"-",AF34)</f>
        <v>DI8-C1</v>
      </c>
      <c r="EZ34" s="12" t="str">
        <f>CONCATENATE("DI",REPLACE($AC34,1,3,""),"-",AG34)</f>
        <v>DI8-B1</v>
      </c>
      <c r="FA34" s="12" t="str">
        <f t="shared" ref="FA34:FD42" si="47">CONCATENATE("DI",REPLACE($AC34,1,3,""),"-",ES34)</f>
        <v>DI8-C2</v>
      </c>
      <c r="FB34" s="12" t="str">
        <f t="shared" si="47"/>
        <v>DI8-B2</v>
      </c>
      <c r="FC34" s="12" t="str">
        <f t="shared" si="47"/>
        <v>DI8-C3</v>
      </c>
      <c r="FD34" s="12" t="str">
        <f t="shared" si="47"/>
        <v>DI8-B3</v>
      </c>
      <c r="FE34" s="12" t="str">
        <f>CONCATENATE("DO",REPLACE($AH34,1,3,""),"-",AK34)</f>
        <v>DO5-1B</v>
      </c>
      <c r="FF34" s="12" t="str">
        <f>CONCATENATE("DO",REPLACE($AH34,1,3,""),"-",AL34)</f>
        <v>DO5-1A</v>
      </c>
      <c r="FG34" s="12" t="str">
        <f>CONCATENATE("DO",REPLACE($AH34,1,3,""),"-",EW34)</f>
        <v>DO5-2B</v>
      </c>
      <c r="FH34" s="12" t="str">
        <f>CONCATENATE("DO",REPLACE($AH34,1,3,""),"-",EX34)</f>
        <v>DO5-2A</v>
      </c>
      <c r="FI34" s="12" t="str">
        <f>CONCATENATE("K",$U34,"-03")</f>
        <v>K33-03</v>
      </c>
      <c r="FJ34" s="12" t="str">
        <f>CONCATENATE("K",$U34,"-04")</f>
        <v>K33-04</v>
      </c>
      <c r="FK34" s="12" t="str">
        <f>CONCATENATE("K",$U34,"-01")</f>
        <v>K33-01</v>
      </c>
      <c r="FL34" s="12" t="str">
        <f>CONCATENATE("K",$U34,"-02")</f>
        <v>K33-02</v>
      </c>
      <c r="FM34" s="12" t="str">
        <f t="shared" ref="FM34:FM42" si="48">CONCATENATE("K",$U34,"-05")</f>
        <v>K33-05</v>
      </c>
      <c r="FN34" s="12" t="str">
        <f>CONCATENATE($T34,"-M",$U34,"-H1")</f>
        <v>F0-M33-H1</v>
      </c>
      <c r="FO34" s="12" t="str">
        <f>CONCATENATE($T34,"-M",$U34,"-A1")</f>
        <v>F0-M33-A1</v>
      </c>
      <c r="FP34" s="12" t="str">
        <f>CONCATENATE($T34,"-M",$U34,"-3")</f>
        <v>F0-M33-3</v>
      </c>
      <c r="FQ34" s="12" t="str">
        <f>CONCATENATE($T34,"-M",$U34,"-2")</f>
        <v>F0-M33-2</v>
      </c>
      <c r="FR34" s="12" t="str">
        <f>CONCATENATE($T34,"-M",$U34,"-16")</f>
        <v>F0-M33-16</v>
      </c>
      <c r="FS34" s="12" t="str">
        <f>CONCATENATE($T34,"-M",$U34,"-15")</f>
        <v>F0-M33-15</v>
      </c>
      <c r="FT34" s="12" t="str">
        <f>CONCATENATE($T34,"-A220-M",$U34,)</f>
        <v>F0-A220-M33</v>
      </c>
      <c r="FU34" s="12" t="str">
        <f t="shared" ref="FU34:FU42" si="49">CONCATENATE($T34,"-M",$U34,"-XM01")</f>
        <v>F0-M33-XM01</v>
      </c>
      <c r="FV34" s="12" t="s">
        <v>142</v>
      </c>
      <c r="FW34" s="12" t="s">
        <v>143</v>
      </c>
      <c r="FX34" s="12">
        <v>11</v>
      </c>
      <c r="FY34" s="12">
        <v>14</v>
      </c>
      <c r="FZ34" s="12" t="s">
        <v>145</v>
      </c>
      <c r="GA34" s="12" t="s">
        <v>144</v>
      </c>
      <c r="GB34" s="12">
        <v>1</v>
      </c>
      <c r="GC34" s="12">
        <v>2</v>
      </c>
      <c r="GD34" s="12">
        <v>3</v>
      </c>
      <c r="GE34" s="12">
        <v>4</v>
      </c>
      <c r="GF34" s="12">
        <v>5</v>
      </c>
      <c r="GG34" s="12">
        <v>6</v>
      </c>
      <c r="GH34" s="12">
        <v>7</v>
      </c>
      <c r="GI34" s="12">
        <v>8</v>
      </c>
      <c r="GJ34" s="12">
        <v>9</v>
      </c>
      <c r="GK34" s="12">
        <v>1</v>
      </c>
      <c r="GL34" s="12">
        <v>2</v>
      </c>
      <c r="GM34" s="12">
        <v>3</v>
      </c>
      <c r="GN34" s="12">
        <v>4</v>
      </c>
      <c r="GO34" s="12">
        <v>5</v>
      </c>
      <c r="GP34" s="12">
        <v>1</v>
      </c>
      <c r="GQ34" s="12">
        <v>2</v>
      </c>
      <c r="GR34" s="12">
        <v>4</v>
      </c>
      <c r="GS34" s="13">
        <v>5</v>
      </c>
    </row>
    <row r="35" spans="1:285" x14ac:dyDescent="0.25">
      <c r="A35" t="s">
        <v>275</v>
      </c>
      <c r="B35" t="s">
        <v>274</v>
      </c>
      <c r="P35" t="s">
        <v>281</v>
      </c>
      <c r="T35" s="14" t="s">
        <v>554</v>
      </c>
      <c r="U35" s="15">
        <v>34</v>
      </c>
      <c r="V35" s="15" t="s">
        <v>1910</v>
      </c>
      <c r="W35" s="15" t="s">
        <v>1911</v>
      </c>
      <c r="AC35" t="s">
        <v>277</v>
      </c>
      <c r="AF35" t="s">
        <v>369</v>
      </c>
      <c r="AG35" t="s">
        <v>370</v>
      </c>
      <c r="AH35" t="s">
        <v>383</v>
      </c>
      <c r="AK35" t="s">
        <v>384</v>
      </c>
      <c r="AL35" t="s">
        <v>386</v>
      </c>
      <c r="AM35">
        <v>45</v>
      </c>
      <c r="AN35" t="str">
        <f t="shared" ref="AN35:AN42" si="50">CONCATENATE(AM35,"XT")</f>
        <v>45XT</v>
      </c>
      <c r="AO35" t="str">
        <f t="shared" si="43"/>
        <v>45X</v>
      </c>
      <c r="AP35" t="s">
        <v>137</v>
      </c>
      <c r="AQ35" t="s">
        <v>138</v>
      </c>
      <c r="AR35" t="str">
        <f t="shared" si="44"/>
        <v>Соединительная коробка (F0GAD16GB801)</v>
      </c>
      <c r="AT35" t="s">
        <v>139</v>
      </c>
      <c r="AU35" t="s">
        <v>140</v>
      </c>
      <c r="BD35" s="16"/>
      <c r="ER35" s="27" t="str">
        <f t="shared" si="45"/>
        <v>XT34</v>
      </c>
      <c r="ES35" t="str">
        <f t="shared" si="46"/>
        <v>C5</v>
      </c>
      <c r="ET35" t="str">
        <f>CONCATENATE("B",REPLACE(AG35,1,1,"")+1)</f>
        <v>B5</v>
      </c>
      <c r="EU35" t="str">
        <f>CONCATENATE("C",REPLACE(ES35,1,1,"")+1)</f>
        <v>C6</v>
      </c>
      <c r="EV35" t="str">
        <f>CONCATENATE("B",REPLACE(ET35,1,1,"")+1)</f>
        <v>B6</v>
      </c>
      <c r="EW35" t="str">
        <f>CONCATENATE(REPLACE(AK35,LEN(AK35),1,"")+1,"B")</f>
        <v>4B</v>
      </c>
      <c r="EX35" t="str">
        <f>CONCATENATE(REPLACE(AL35,LEN(AL35),1,"")+1,"A")</f>
        <v>4A</v>
      </c>
      <c r="EY35" t="str">
        <f>CONCATENATE("DI",REPLACE($AC35,1,3,""),"-",AF35)</f>
        <v>DI8-C4</v>
      </c>
      <c r="EZ35" t="str">
        <f>CONCATENATE("DI",REPLACE($AC35,1,3,""),"-",AG35)</f>
        <v>DI8-B4</v>
      </c>
      <c r="FA35" t="str">
        <f t="shared" si="47"/>
        <v>DI8-C5</v>
      </c>
      <c r="FB35" t="str">
        <f t="shared" si="47"/>
        <v>DI8-B5</v>
      </c>
      <c r="FC35" t="str">
        <f t="shared" si="47"/>
        <v>DI8-C6</v>
      </c>
      <c r="FD35" t="str">
        <f t="shared" si="47"/>
        <v>DI8-B6</v>
      </c>
      <c r="FE35" t="str">
        <f>CONCATENATE("DO",REPLACE($AH35,1,3,""),"-",AK35)</f>
        <v>DO5-3B</v>
      </c>
      <c r="FF35" t="str">
        <f>CONCATENATE("DO",REPLACE($AH35,1,3,""),"-",AL35)</f>
        <v>DO5-3A</v>
      </c>
      <c r="FG35" t="str">
        <f>CONCATENATE("DO",REPLACE($AH35,1,3,""),"-",EW35)</f>
        <v>DO5-4B</v>
      </c>
      <c r="FH35" t="str">
        <f>CONCATENATE("DO",REPLACE($AH35,1,3,""),"-",EX35)</f>
        <v>DO5-4A</v>
      </c>
      <c r="FI35" t="str">
        <f>CONCATENATE("K",$U35,"-03")</f>
        <v>K34-03</v>
      </c>
      <c r="FJ35" t="str">
        <f>CONCATENATE("K",$U35,"-04")</f>
        <v>K34-04</v>
      </c>
      <c r="FK35" t="str">
        <f>CONCATENATE("K",$U35,"-01")</f>
        <v>K34-01</v>
      </c>
      <c r="FL35" t="str">
        <f>CONCATENATE("K",$U35,"-02")</f>
        <v>K34-02</v>
      </c>
      <c r="FM35" t="str">
        <f t="shared" si="48"/>
        <v>K34-05</v>
      </c>
      <c r="FN35" t="str">
        <f>CONCATENATE($T35,"-M",$U35,"-H1")</f>
        <v>F0-M34-H1</v>
      </c>
      <c r="FO35" t="str">
        <f>CONCATENATE($T35,"-M",$U35,"-A1")</f>
        <v>F0-M34-A1</v>
      </c>
      <c r="FP35" t="str">
        <f>CONCATENATE($T35,"-M",$U35,"-3")</f>
        <v>F0-M34-3</v>
      </c>
      <c r="FQ35" t="str">
        <f>CONCATENATE($T35,"-M",$U35,"-2")</f>
        <v>F0-M34-2</v>
      </c>
      <c r="FR35" t="str">
        <f>CONCATENATE($T35,"-M",$U35,"-16")</f>
        <v>F0-M34-16</v>
      </c>
      <c r="FS35" t="str">
        <f>CONCATENATE($T35,"-M",$U35,"-15")</f>
        <v>F0-M34-15</v>
      </c>
      <c r="FT35" t="str">
        <f>CONCATENATE($T35,"-A220-M",$U35,)</f>
        <v>F0-A220-M34</v>
      </c>
      <c r="FU35" t="str">
        <f t="shared" si="49"/>
        <v>F0-M34-XM01</v>
      </c>
      <c r="FV35" t="s">
        <v>142</v>
      </c>
      <c r="FW35" t="s">
        <v>143</v>
      </c>
      <c r="FX35">
        <v>11</v>
      </c>
      <c r="FY35">
        <v>14</v>
      </c>
      <c r="FZ35" t="s">
        <v>145</v>
      </c>
      <c r="GA35" t="s">
        <v>144</v>
      </c>
      <c r="GB35">
        <v>1</v>
      </c>
      <c r="GC35">
        <v>2</v>
      </c>
      <c r="GD35">
        <v>3</v>
      </c>
      <c r="GE35">
        <v>4</v>
      </c>
      <c r="GF35">
        <v>5</v>
      </c>
      <c r="GG35">
        <v>6</v>
      </c>
      <c r="GH35">
        <v>7</v>
      </c>
      <c r="GI35">
        <v>8</v>
      </c>
      <c r="GJ35">
        <v>9</v>
      </c>
      <c r="GK35">
        <v>1</v>
      </c>
      <c r="GL35">
        <v>2</v>
      </c>
      <c r="GM35">
        <v>3</v>
      </c>
      <c r="GN35">
        <v>4</v>
      </c>
      <c r="GO35">
        <v>5</v>
      </c>
      <c r="GP35">
        <v>1</v>
      </c>
      <c r="GQ35">
        <v>2</v>
      </c>
      <c r="GR35">
        <v>4</v>
      </c>
      <c r="GS35" s="16">
        <v>5</v>
      </c>
    </row>
    <row r="36" spans="1:285" x14ac:dyDescent="0.25">
      <c r="A36" t="s">
        <v>342</v>
      </c>
      <c r="B36" t="s">
        <v>341</v>
      </c>
      <c r="P36" t="s">
        <v>281</v>
      </c>
      <c r="T36" s="14" t="s">
        <v>554</v>
      </c>
      <c r="U36" s="15">
        <v>35</v>
      </c>
      <c r="V36" t="s">
        <v>1912</v>
      </c>
      <c r="W36" t="s">
        <v>1913</v>
      </c>
      <c r="AC36" t="s">
        <v>277</v>
      </c>
      <c r="AF36" t="s">
        <v>148</v>
      </c>
      <c r="AG36" t="s">
        <v>149</v>
      </c>
      <c r="AH36" t="s">
        <v>383</v>
      </c>
      <c r="AK36" t="s">
        <v>385</v>
      </c>
      <c r="AL36" t="s">
        <v>387</v>
      </c>
      <c r="AM36">
        <v>44</v>
      </c>
      <c r="AN36" t="str">
        <f t="shared" si="50"/>
        <v>44XT</v>
      </c>
      <c r="AO36" t="str">
        <f t="shared" si="43"/>
        <v>44X</v>
      </c>
      <c r="AP36" t="s">
        <v>137</v>
      </c>
      <c r="AQ36" t="s">
        <v>138</v>
      </c>
      <c r="AR36" t="str">
        <f t="shared" si="44"/>
        <v>Соединительная коробка (F0GHJ20GB801)</v>
      </c>
      <c r="AT36" t="s">
        <v>139</v>
      </c>
      <c r="AU36" t="s">
        <v>140</v>
      </c>
      <c r="BD36" s="16"/>
      <c r="ER36" s="27" t="str">
        <f t="shared" si="45"/>
        <v>XT35</v>
      </c>
      <c r="ES36" t="str">
        <f t="shared" si="46"/>
        <v>C8</v>
      </c>
      <c r="ET36" t="str">
        <f t="shared" ref="ET36:ET42" si="51">CONCATENATE("B",REPLACE(AG36,1,1,"")+1)</f>
        <v>B8</v>
      </c>
      <c r="EU36" t="str">
        <f t="shared" ref="EU36:EU42" si="52">CONCATENATE("C",REPLACE(ES36,1,1,"")+1)</f>
        <v>C9</v>
      </c>
      <c r="EV36" t="str">
        <f t="shared" ref="EV36:EV42" si="53">CONCATENATE("B",REPLACE(ET36,1,1,"")+1)</f>
        <v>B9</v>
      </c>
      <c r="EW36" t="str">
        <f t="shared" ref="EW36:EW42" si="54">CONCATENATE(REPLACE(AK36,LEN(AK36),1,"")+1,"B")</f>
        <v>6B</v>
      </c>
      <c r="EX36" t="str">
        <f t="shared" ref="EX36:EX42" si="55">CONCATENATE(REPLACE(AL36,LEN(AL36),1,"")+1,"A")</f>
        <v>6A</v>
      </c>
      <c r="EY36" t="str">
        <f t="shared" ref="EY36:EZ42" si="56">CONCATENATE("DI",REPLACE($AC36,1,3,""),"-",AF36)</f>
        <v>DI8-C7</v>
      </c>
      <c r="EZ36" t="str">
        <f t="shared" si="56"/>
        <v>DI8-B7</v>
      </c>
      <c r="FA36" t="str">
        <f t="shared" si="47"/>
        <v>DI8-C8</v>
      </c>
      <c r="FB36" t="str">
        <f t="shared" si="47"/>
        <v>DI8-B8</v>
      </c>
      <c r="FC36" t="str">
        <f t="shared" si="47"/>
        <v>DI8-C9</v>
      </c>
      <c r="FD36" t="str">
        <f t="shared" si="47"/>
        <v>DI8-B9</v>
      </c>
      <c r="FE36" t="str">
        <f t="shared" ref="FE36:FF42" si="57">CONCATENATE("DO",REPLACE($AH36,1,3,""),"-",AK36)</f>
        <v>DO5-5B</v>
      </c>
      <c r="FF36" t="str">
        <f t="shared" si="57"/>
        <v>DO5-5A</v>
      </c>
      <c r="FG36" t="str">
        <f t="shared" ref="FG36:FH42" si="58">CONCATENATE("DO",REPLACE($AH36,1,3,""),"-",EW36)</f>
        <v>DO5-6B</v>
      </c>
      <c r="FH36" t="str">
        <f t="shared" si="58"/>
        <v>DO5-6A</v>
      </c>
      <c r="FI36" t="str">
        <f t="shared" ref="FI36:FI42" si="59">CONCATENATE("K",$U36,"-03")</f>
        <v>K35-03</v>
      </c>
      <c r="FJ36" t="str">
        <f t="shared" ref="FJ36:FJ42" si="60">CONCATENATE("K",$U36,"-04")</f>
        <v>K35-04</v>
      </c>
      <c r="FK36" t="str">
        <f t="shared" ref="FK36:FK42" si="61">CONCATENATE("K",$U36,"-01")</f>
        <v>K35-01</v>
      </c>
      <c r="FL36" t="str">
        <f t="shared" ref="FL36:FL42" si="62">CONCATENATE("K",$U36,"-02")</f>
        <v>K35-02</v>
      </c>
      <c r="FM36" t="str">
        <f t="shared" si="48"/>
        <v>K35-05</v>
      </c>
      <c r="FN36" t="str">
        <f t="shared" ref="FN36:FN42" si="63">CONCATENATE($T36,"-M",$U36,"-H1")</f>
        <v>F0-M35-H1</v>
      </c>
      <c r="FO36" t="str">
        <f t="shared" ref="FO36:FO42" si="64">CONCATENATE($T36,"-M",$U36,"-A1")</f>
        <v>F0-M35-A1</v>
      </c>
      <c r="FP36" t="str">
        <f t="shared" ref="FP36:FP42" si="65">CONCATENATE($T36,"-M",$U36,"-3")</f>
        <v>F0-M35-3</v>
      </c>
      <c r="FQ36" t="str">
        <f t="shared" ref="FQ36:FQ42" si="66">CONCATENATE($T36,"-M",$U36,"-2")</f>
        <v>F0-M35-2</v>
      </c>
      <c r="FR36" t="str">
        <f t="shared" ref="FR36:FR42" si="67">CONCATENATE($T36,"-M",$U36,"-16")</f>
        <v>F0-M35-16</v>
      </c>
      <c r="FS36" t="str">
        <f t="shared" ref="FS36:FS42" si="68">CONCATENATE($T36,"-M",$U36,"-15")</f>
        <v>F0-M35-15</v>
      </c>
      <c r="FT36" t="str">
        <f t="shared" ref="FT36:FT42" si="69">CONCATENATE($T36,"-A220-M",$U36,)</f>
        <v>F0-A220-M35</v>
      </c>
      <c r="FU36" t="str">
        <f t="shared" si="49"/>
        <v>F0-M35-XM01</v>
      </c>
      <c r="FV36" t="s">
        <v>142</v>
      </c>
      <c r="FW36" t="s">
        <v>143</v>
      </c>
      <c r="FX36">
        <v>11</v>
      </c>
      <c r="FY36">
        <v>14</v>
      </c>
      <c r="FZ36" t="s">
        <v>145</v>
      </c>
      <c r="GA36" t="s">
        <v>144</v>
      </c>
      <c r="GB36">
        <v>1</v>
      </c>
      <c r="GC36">
        <v>2</v>
      </c>
      <c r="GD36">
        <v>3</v>
      </c>
      <c r="GE36">
        <v>4</v>
      </c>
      <c r="GF36">
        <v>5</v>
      </c>
      <c r="GG36">
        <v>6</v>
      </c>
      <c r="GH36">
        <v>7</v>
      </c>
      <c r="GI36">
        <v>8</v>
      </c>
      <c r="GJ36">
        <v>9</v>
      </c>
      <c r="GK36">
        <v>1</v>
      </c>
      <c r="GL36">
        <v>2</v>
      </c>
      <c r="GM36">
        <v>3</v>
      </c>
      <c r="GN36">
        <v>4</v>
      </c>
      <c r="GO36">
        <v>5</v>
      </c>
      <c r="GP36">
        <v>1</v>
      </c>
      <c r="GQ36">
        <v>2</v>
      </c>
      <c r="GR36">
        <v>4</v>
      </c>
      <c r="GS36" s="16">
        <v>5</v>
      </c>
    </row>
    <row r="37" spans="1:285" x14ac:dyDescent="0.25">
      <c r="A37" t="s">
        <v>344</v>
      </c>
      <c r="B37" t="s">
        <v>343</v>
      </c>
      <c r="P37" t="s">
        <v>281</v>
      </c>
      <c r="T37" s="14" t="s">
        <v>554</v>
      </c>
      <c r="U37" s="15">
        <v>36</v>
      </c>
      <c r="V37" s="15" t="s">
        <v>1596</v>
      </c>
      <c r="W37" s="15" t="s">
        <v>1597</v>
      </c>
      <c r="AC37" t="s">
        <v>277</v>
      </c>
      <c r="AF37" t="s">
        <v>377</v>
      </c>
      <c r="AG37" t="s">
        <v>378</v>
      </c>
      <c r="AH37" t="s">
        <v>383</v>
      </c>
      <c r="AK37" t="s">
        <v>245</v>
      </c>
      <c r="AL37" t="s">
        <v>246</v>
      </c>
      <c r="AM37">
        <v>42</v>
      </c>
      <c r="AN37" t="str">
        <f t="shared" si="50"/>
        <v>42XT</v>
      </c>
      <c r="AO37" t="str">
        <f t="shared" si="43"/>
        <v>42X</v>
      </c>
      <c r="AP37" t="s">
        <v>137</v>
      </c>
      <c r="AQ37" t="s">
        <v>138</v>
      </c>
      <c r="AR37" t="str">
        <f t="shared" si="44"/>
        <v>Соединительная коробка (F0GAD17GB801)</v>
      </c>
      <c r="AT37" t="s">
        <v>139</v>
      </c>
      <c r="AU37" t="s">
        <v>140</v>
      </c>
      <c r="BD37" s="16"/>
      <c r="ER37" s="27" t="str">
        <f t="shared" si="45"/>
        <v>XT36</v>
      </c>
      <c r="ES37" t="str">
        <f t="shared" si="46"/>
        <v>C11</v>
      </c>
      <c r="ET37" t="str">
        <f t="shared" si="51"/>
        <v>B11</v>
      </c>
      <c r="EU37" t="str">
        <f t="shared" si="52"/>
        <v>C12</v>
      </c>
      <c r="EV37" t="str">
        <f t="shared" si="53"/>
        <v>B12</v>
      </c>
      <c r="EW37" t="str">
        <f t="shared" si="54"/>
        <v>8B</v>
      </c>
      <c r="EX37" t="str">
        <f t="shared" si="55"/>
        <v>8A</v>
      </c>
      <c r="EY37" t="str">
        <f t="shared" si="56"/>
        <v>DI8-C10</v>
      </c>
      <c r="EZ37" t="str">
        <f t="shared" si="56"/>
        <v>DI8-B10</v>
      </c>
      <c r="FA37" t="str">
        <f t="shared" si="47"/>
        <v>DI8-C11</v>
      </c>
      <c r="FB37" t="str">
        <f t="shared" si="47"/>
        <v>DI8-B11</v>
      </c>
      <c r="FC37" t="str">
        <f t="shared" si="47"/>
        <v>DI8-C12</v>
      </c>
      <c r="FD37" t="str">
        <f t="shared" si="47"/>
        <v>DI8-B12</v>
      </c>
      <c r="FE37" t="str">
        <f t="shared" si="57"/>
        <v>DO5-7B</v>
      </c>
      <c r="FF37" t="str">
        <f t="shared" si="57"/>
        <v>DO5-7A</v>
      </c>
      <c r="FG37" t="str">
        <f t="shared" si="58"/>
        <v>DO5-8B</v>
      </c>
      <c r="FH37" t="str">
        <f t="shared" si="58"/>
        <v>DO5-8A</v>
      </c>
      <c r="FI37" t="str">
        <f t="shared" si="59"/>
        <v>K36-03</v>
      </c>
      <c r="FJ37" t="str">
        <f t="shared" si="60"/>
        <v>K36-04</v>
      </c>
      <c r="FK37" t="str">
        <f t="shared" si="61"/>
        <v>K36-01</v>
      </c>
      <c r="FL37" t="str">
        <f t="shared" si="62"/>
        <v>K36-02</v>
      </c>
      <c r="FM37" t="str">
        <f t="shared" si="48"/>
        <v>K36-05</v>
      </c>
      <c r="FN37" t="str">
        <f t="shared" si="63"/>
        <v>F0-M36-H1</v>
      </c>
      <c r="FO37" t="str">
        <f t="shared" si="64"/>
        <v>F0-M36-A1</v>
      </c>
      <c r="FP37" t="str">
        <f t="shared" si="65"/>
        <v>F0-M36-3</v>
      </c>
      <c r="FQ37" t="str">
        <f t="shared" si="66"/>
        <v>F0-M36-2</v>
      </c>
      <c r="FR37" t="str">
        <f t="shared" si="67"/>
        <v>F0-M36-16</v>
      </c>
      <c r="FS37" t="str">
        <f t="shared" si="68"/>
        <v>F0-M36-15</v>
      </c>
      <c r="FT37" t="str">
        <f t="shared" si="69"/>
        <v>F0-A220-M36</v>
      </c>
      <c r="FU37" t="str">
        <f t="shared" si="49"/>
        <v>F0-M36-XM01</v>
      </c>
      <c r="FV37" t="s">
        <v>142</v>
      </c>
      <c r="FW37" t="s">
        <v>143</v>
      </c>
      <c r="FX37">
        <v>11</v>
      </c>
      <c r="FY37">
        <v>14</v>
      </c>
      <c r="FZ37" t="s">
        <v>145</v>
      </c>
      <c r="GA37" t="s">
        <v>144</v>
      </c>
      <c r="GB37">
        <v>1</v>
      </c>
      <c r="GC37">
        <v>2</v>
      </c>
      <c r="GD37">
        <v>3</v>
      </c>
      <c r="GE37">
        <v>4</v>
      </c>
      <c r="GF37">
        <v>5</v>
      </c>
      <c r="GG37">
        <v>6</v>
      </c>
      <c r="GH37">
        <v>7</v>
      </c>
      <c r="GI37">
        <v>8</v>
      </c>
      <c r="GJ37">
        <v>9</v>
      </c>
      <c r="GK37">
        <v>1</v>
      </c>
      <c r="GL37">
        <v>2</v>
      </c>
      <c r="GM37">
        <v>3</v>
      </c>
      <c r="GN37">
        <v>4</v>
      </c>
      <c r="GO37">
        <v>5</v>
      </c>
      <c r="GP37">
        <v>1</v>
      </c>
      <c r="GQ37">
        <v>2</v>
      </c>
      <c r="GR37">
        <v>4</v>
      </c>
      <c r="GS37" s="16">
        <v>5</v>
      </c>
    </row>
    <row r="38" spans="1:285" x14ac:dyDescent="0.25">
      <c r="A38" t="s">
        <v>350</v>
      </c>
      <c r="B38" t="s">
        <v>349</v>
      </c>
      <c r="P38" t="s">
        <v>281</v>
      </c>
      <c r="T38" s="14" t="s">
        <v>554</v>
      </c>
      <c r="U38" s="15">
        <v>37</v>
      </c>
      <c r="V38" t="s">
        <v>1598</v>
      </c>
      <c r="W38" t="s">
        <v>1599</v>
      </c>
      <c r="AC38" t="s">
        <v>277</v>
      </c>
      <c r="AF38" t="s">
        <v>153</v>
      </c>
      <c r="AG38" t="s">
        <v>154</v>
      </c>
      <c r="AH38" t="s">
        <v>383</v>
      </c>
      <c r="AK38" t="s">
        <v>285</v>
      </c>
      <c r="AL38" t="s">
        <v>286</v>
      </c>
      <c r="AM38">
        <v>46</v>
      </c>
      <c r="AN38" t="str">
        <f t="shared" si="50"/>
        <v>46XT</v>
      </c>
      <c r="AO38" t="str">
        <f t="shared" si="43"/>
        <v>46X</v>
      </c>
      <c r="AP38" t="s">
        <v>137</v>
      </c>
      <c r="AQ38" t="s">
        <v>138</v>
      </c>
      <c r="AR38" t="str">
        <f t="shared" si="44"/>
        <v>Соединительная коробка (F0NDG24GB801)</v>
      </c>
      <c r="AT38" t="s">
        <v>139</v>
      </c>
      <c r="AU38" t="s">
        <v>140</v>
      </c>
      <c r="BD38" s="16"/>
      <c r="ER38" s="27" t="str">
        <f t="shared" si="45"/>
        <v>XT37</v>
      </c>
      <c r="ES38" t="str">
        <f t="shared" si="46"/>
        <v>C14</v>
      </c>
      <c r="ET38" t="str">
        <f t="shared" si="51"/>
        <v>B14</v>
      </c>
      <c r="EU38" t="str">
        <f t="shared" si="52"/>
        <v>C15</v>
      </c>
      <c r="EV38" t="str">
        <f t="shared" si="53"/>
        <v>B15</v>
      </c>
      <c r="EW38" t="str">
        <f t="shared" si="54"/>
        <v>10B</v>
      </c>
      <c r="EX38" t="str">
        <f t="shared" si="55"/>
        <v>10A</v>
      </c>
      <c r="EY38" t="str">
        <f t="shared" si="56"/>
        <v>DI8-C13</v>
      </c>
      <c r="EZ38" t="str">
        <f t="shared" si="56"/>
        <v>DI8-B13</v>
      </c>
      <c r="FA38" t="str">
        <f t="shared" si="47"/>
        <v>DI8-C14</v>
      </c>
      <c r="FB38" t="str">
        <f t="shared" si="47"/>
        <v>DI8-B14</v>
      </c>
      <c r="FC38" t="str">
        <f t="shared" si="47"/>
        <v>DI8-C15</v>
      </c>
      <c r="FD38" t="str">
        <f t="shared" si="47"/>
        <v>DI8-B15</v>
      </c>
      <c r="FE38" t="str">
        <f t="shared" si="57"/>
        <v>DO5-9B</v>
      </c>
      <c r="FF38" t="str">
        <f t="shared" si="57"/>
        <v>DO5-9A</v>
      </c>
      <c r="FG38" t="str">
        <f t="shared" si="58"/>
        <v>DO5-10B</v>
      </c>
      <c r="FH38" t="str">
        <f t="shared" si="58"/>
        <v>DO5-10A</v>
      </c>
      <c r="FI38" t="str">
        <f t="shared" si="59"/>
        <v>K37-03</v>
      </c>
      <c r="FJ38" t="str">
        <f t="shared" si="60"/>
        <v>K37-04</v>
      </c>
      <c r="FK38" t="str">
        <f t="shared" si="61"/>
        <v>K37-01</v>
      </c>
      <c r="FL38" t="str">
        <f t="shared" si="62"/>
        <v>K37-02</v>
      </c>
      <c r="FM38" t="str">
        <f t="shared" si="48"/>
        <v>K37-05</v>
      </c>
      <c r="FN38" t="str">
        <f t="shared" si="63"/>
        <v>F0-M37-H1</v>
      </c>
      <c r="FO38" t="str">
        <f t="shared" si="64"/>
        <v>F0-M37-A1</v>
      </c>
      <c r="FP38" t="str">
        <f t="shared" si="65"/>
        <v>F0-M37-3</v>
      </c>
      <c r="FQ38" t="str">
        <f t="shared" si="66"/>
        <v>F0-M37-2</v>
      </c>
      <c r="FR38" t="str">
        <f t="shared" si="67"/>
        <v>F0-M37-16</v>
      </c>
      <c r="FS38" t="str">
        <f t="shared" si="68"/>
        <v>F0-M37-15</v>
      </c>
      <c r="FT38" t="str">
        <f t="shared" si="69"/>
        <v>F0-A220-M37</v>
      </c>
      <c r="FU38" t="str">
        <f t="shared" si="49"/>
        <v>F0-M37-XM01</v>
      </c>
      <c r="FV38" t="s">
        <v>142</v>
      </c>
      <c r="FW38" t="s">
        <v>143</v>
      </c>
      <c r="FX38">
        <v>11</v>
      </c>
      <c r="FY38">
        <v>14</v>
      </c>
      <c r="FZ38" t="s">
        <v>145</v>
      </c>
      <c r="GA38" t="s">
        <v>144</v>
      </c>
      <c r="GB38">
        <v>1</v>
      </c>
      <c r="GC38">
        <v>2</v>
      </c>
      <c r="GD38">
        <v>3</v>
      </c>
      <c r="GE38">
        <v>4</v>
      </c>
      <c r="GF38">
        <v>5</v>
      </c>
      <c r="GG38">
        <v>6</v>
      </c>
      <c r="GH38">
        <v>7</v>
      </c>
      <c r="GI38">
        <v>8</v>
      </c>
      <c r="GJ38">
        <v>9</v>
      </c>
      <c r="GK38">
        <v>1</v>
      </c>
      <c r="GL38">
        <v>2</v>
      </c>
      <c r="GM38">
        <v>3</v>
      </c>
      <c r="GN38">
        <v>4</v>
      </c>
      <c r="GO38">
        <v>5</v>
      </c>
      <c r="GP38">
        <v>1</v>
      </c>
      <c r="GQ38">
        <v>2</v>
      </c>
      <c r="GR38">
        <v>4</v>
      </c>
      <c r="GS38" s="16">
        <v>5</v>
      </c>
    </row>
    <row r="39" spans="1:285" x14ac:dyDescent="0.25">
      <c r="A39" t="s">
        <v>356</v>
      </c>
      <c r="B39" t="s">
        <v>355</v>
      </c>
      <c r="P39" t="s">
        <v>281</v>
      </c>
      <c r="T39" s="14" t="s">
        <v>554</v>
      </c>
      <c r="U39" s="15">
        <v>38</v>
      </c>
      <c r="V39" s="15" t="s">
        <v>1600</v>
      </c>
      <c r="W39" s="15" t="s">
        <v>1601</v>
      </c>
      <c r="AC39" t="s">
        <v>277</v>
      </c>
      <c r="AF39" t="s">
        <v>379</v>
      </c>
      <c r="AG39" t="s">
        <v>380</v>
      </c>
      <c r="AH39" t="s">
        <v>383</v>
      </c>
      <c r="AK39" t="s">
        <v>371</v>
      </c>
      <c r="AL39" t="s">
        <v>374</v>
      </c>
      <c r="AM39">
        <v>55</v>
      </c>
      <c r="AN39" t="str">
        <f t="shared" si="50"/>
        <v>55XT</v>
      </c>
      <c r="AO39" t="str">
        <f t="shared" si="43"/>
        <v>55X</v>
      </c>
      <c r="AP39" t="s">
        <v>137</v>
      </c>
      <c r="AQ39" t="s">
        <v>138</v>
      </c>
      <c r="AR39" t="str">
        <f t="shared" si="44"/>
        <v>Соединительная коробка (F0NDG20GB803)</v>
      </c>
      <c r="AT39" t="s">
        <v>139</v>
      </c>
      <c r="AU39" t="s">
        <v>140</v>
      </c>
      <c r="BD39" s="16"/>
      <c r="ER39" s="27" t="str">
        <f t="shared" si="45"/>
        <v>XT38</v>
      </c>
      <c r="ES39" t="str">
        <f t="shared" si="46"/>
        <v>C17</v>
      </c>
      <c r="ET39" t="str">
        <f t="shared" si="51"/>
        <v>B17</v>
      </c>
      <c r="EU39" t="str">
        <f t="shared" si="52"/>
        <v>C18</v>
      </c>
      <c r="EV39" t="str">
        <f t="shared" si="53"/>
        <v>B18</v>
      </c>
      <c r="EW39" t="str">
        <f t="shared" si="54"/>
        <v>12B</v>
      </c>
      <c r="EX39" t="str">
        <f t="shared" si="55"/>
        <v>12A</v>
      </c>
      <c r="EY39" t="str">
        <f t="shared" si="56"/>
        <v>DI8-C16</v>
      </c>
      <c r="EZ39" t="str">
        <f t="shared" si="56"/>
        <v>DI8-B16</v>
      </c>
      <c r="FA39" t="str">
        <f t="shared" si="47"/>
        <v>DI8-C17</v>
      </c>
      <c r="FB39" t="str">
        <f t="shared" si="47"/>
        <v>DI8-B17</v>
      </c>
      <c r="FC39" t="str">
        <f t="shared" si="47"/>
        <v>DI8-C18</v>
      </c>
      <c r="FD39" t="str">
        <f t="shared" si="47"/>
        <v>DI8-B18</v>
      </c>
      <c r="FE39" t="str">
        <f t="shared" si="57"/>
        <v>DO5-11B</v>
      </c>
      <c r="FF39" t="str">
        <f t="shared" si="57"/>
        <v>DO5-11A</v>
      </c>
      <c r="FG39" t="str">
        <f t="shared" si="58"/>
        <v>DO5-12B</v>
      </c>
      <c r="FH39" t="str">
        <f t="shared" si="58"/>
        <v>DO5-12A</v>
      </c>
      <c r="FI39" t="str">
        <f t="shared" si="59"/>
        <v>K38-03</v>
      </c>
      <c r="FJ39" t="str">
        <f t="shared" si="60"/>
        <v>K38-04</v>
      </c>
      <c r="FK39" t="str">
        <f t="shared" si="61"/>
        <v>K38-01</v>
      </c>
      <c r="FL39" t="str">
        <f t="shared" si="62"/>
        <v>K38-02</v>
      </c>
      <c r="FM39" t="str">
        <f t="shared" si="48"/>
        <v>K38-05</v>
      </c>
      <c r="FN39" t="str">
        <f t="shared" si="63"/>
        <v>F0-M38-H1</v>
      </c>
      <c r="FO39" t="str">
        <f t="shared" si="64"/>
        <v>F0-M38-A1</v>
      </c>
      <c r="FP39" t="str">
        <f t="shared" si="65"/>
        <v>F0-M38-3</v>
      </c>
      <c r="FQ39" t="str">
        <f t="shared" si="66"/>
        <v>F0-M38-2</v>
      </c>
      <c r="FR39" t="str">
        <f t="shared" si="67"/>
        <v>F0-M38-16</v>
      </c>
      <c r="FS39" t="str">
        <f t="shared" si="68"/>
        <v>F0-M38-15</v>
      </c>
      <c r="FT39" t="str">
        <f t="shared" si="69"/>
        <v>F0-A220-M38</v>
      </c>
      <c r="FU39" t="str">
        <f t="shared" si="49"/>
        <v>F0-M38-XM01</v>
      </c>
      <c r="FV39" t="s">
        <v>142</v>
      </c>
      <c r="FW39" t="s">
        <v>143</v>
      </c>
      <c r="FX39">
        <v>11</v>
      </c>
      <c r="FY39">
        <v>14</v>
      </c>
      <c r="FZ39" t="s">
        <v>145</v>
      </c>
      <c r="GA39" t="s">
        <v>144</v>
      </c>
      <c r="GB39">
        <v>1</v>
      </c>
      <c r="GC39">
        <v>2</v>
      </c>
      <c r="GD39">
        <v>3</v>
      </c>
      <c r="GE39">
        <v>4</v>
      </c>
      <c r="GF39">
        <v>5</v>
      </c>
      <c r="GG39">
        <v>6</v>
      </c>
      <c r="GH39">
        <v>7</v>
      </c>
      <c r="GI39">
        <v>8</v>
      </c>
      <c r="GJ39">
        <v>9</v>
      </c>
      <c r="GK39">
        <v>1</v>
      </c>
      <c r="GL39">
        <v>2</v>
      </c>
      <c r="GM39">
        <v>3</v>
      </c>
      <c r="GN39">
        <v>4</v>
      </c>
      <c r="GO39">
        <v>5</v>
      </c>
      <c r="GP39">
        <v>1</v>
      </c>
      <c r="GQ39">
        <v>2</v>
      </c>
      <c r="GR39">
        <v>4</v>
      </c>
      <c r="GS39" s="16">
        <v>5</v>
      </c>
    </row>
    <row r="40" spans="1:285" x14ac:dyDescent="0.25">
      <c r="A40" t="s">
        <v>358</v>
      </c>
      <c r="B40" s="29" t="s">
        <v>357</v>
      </c>
      <c r="P40" t="s">
        <v>281</v>
      </c>
      <c r="T40" s="14" t="s">
        <v>554</v>
      </c>
      <c r="U40" s="15">
        <v>39</v>
      </c>
      <c r="V40" t="s">
        <v>1602</v>
      </c>
      <c r="W40" t="s">
        <v>1603</v>
      </c>
      <c r="AC40" t="s">
        <v>277</v>
      </c>
      <c r="AF40" t="s">
        <v>239</v>
      </c>
      <c r="AG40" t="s">
        <v>241</v>
      </c>
      <c r="AH40" t="s">
        <v>383</v>
      </c>
      <c r="AK40" t="s">
        <v>248</v>
      </c>
      <c r="AL40" t="s">
        <v>255</v>
      </c>
      <c r="AM40">
        <v>56</v>
      </c>
      <c r="AN40" t="str">
        <f t="shared" si="50"/>
        <v>56XT</v>
      </c>
      <c r="AO40" t="str">
        <f t="shared" si="43"/>
        <v>56X</v>
      </c>
      <c r="AP40" t="s">
        <v>137</v>
      </c>
      <c r="AQ40" t="s">
        <v>138</v>
      </c>
      <c r="AR40" t="str">
        <f t="shared" si="44"/>
        <v>Соединительная коробка (F0GAC01GB801)</v>
      </c>
      <c r="AT40" t="s">
        <v>139</v>
      </c>
      <c r="AU40" t="s">
        <v>140</v>
      </c>
      <c r="BD40" s="16"/>
      <c r="ER40" s="27" t="str">
        <f t="shared" si="45"/>
        <v>XT39</v>
      </c>
      <c r="ES40" t="str">
        <f t="shared" si="46"/>
        <v>C20</v>
      </c>
      <c r="ET40" t="str">
        <f t="shared" si="51"/>
        <v>B20</v>
      </c>
      <c r="EU40" t="str">
        <f t="shared" si="52"/>
        <v>C21</v>
      </c>
      <c r="EV40" t="str">
        <f t="shared" si="53"/>
        <v>B21</v>
      </c>
      <c r="EW40" t="str">
        <f t="shared" si="54"/>
        <v>14B</v>
      </c>
      <c r="EX40" t="str">
        <f t="shared" si="55"/>
        <v>14A</v>
      </c>
      <c r="EY40" t="str">
        <f t="shared" si="56"/>
        <v>DI8-C19</v>
      </c>
      <c r="EZ40" t="str">
        <f t="shared" si="56"/>
        <v>DI8-B19</v>
      </c>
      <c r="FA40" t="str">
        <f t="shared" si="47"/>
        <v>DI8-C20</v>
      </c>
      <c r="FB40" t="str">
        <f t="shared" si="47"/>
        <v>DI8-B20</v>
      </c>
      <c r="FC40" t="str">
        <f t="shared" si="47"/>
        <v>DI8-C21</v>
      </c>
      <c r="FD40" t="str">
        <f t="shared" si="47"/>
        <v>DI8-B21</v>
      </c>
      <c r="FE40" t="str">
        <f t="shared" si="57"/>
        <v>DO5-13B</v>
      </c>
      <c r="FF40" t="str">
        <f t="shared" si="57"/>
        <v>DO5-13A</v>
      </c>
      <c r="FG40" t="str">
        <f t="shared" si="58"/>
        <v>DO5-14B</v>
      </c>
      <c r="FH40" t="str">
        <f t="shared" si="58"/>
        <v>DO5-14A</v>
      </c>
      <c r="FI40" t="str">
        <f t="shared" si="59"/>
        <v>K39-03</v>
      </c>
      <c r="FJ40" t="str">
        <f t="shared" si="60"/>
        <v>K39-04</v>
      </c>
      <c r="FK40" t="str">
        <f t="shared" si="61"/>
        <v>K39-01</v>
      </c>
      <c r="FL40" t="str">
        <f t="shared" si="62"/>
        <v>K39-02</v>
      </c>
      <c r="FM40" t="str">
        <f t="shared" si="48"/>
        <v>K39-05</v>
      </c>
      <c r="FN40" t="str">
        <f t="shared" si="63"/>
        <v>F0-M39-H1</v>
      </c>
      <c r="FO40" t="str">
        <f t="shared" si="64"/>
        <v>F0-M39-A1</v>
      </c>
      <c r="FP40" t="str">
        <f t="shared" si="65"/>
        <v>F0-M39-3</v>
      </c>
      <c r="FQ40" t="str">
        <f t="shared" si="66"/>
        <v>F0-M39-2</v>
      </c>
      <c r="FR40" t="str">
        <f t="shared" si="67"/>
        <v>F0-M39-16</v>
      </c>
      <c r="FS40" t="str">
        <f t="shared" si="68"/>
        <v>F0-M39-15</v>
      </c>
      <c r="FT40" t="str">
        <f t="shared" si="69"/>
        <v>F0-A220-M39</v>
      </c>
      <c r="FU40" t="str">
        <f t="shared" si="49"/>
        <v>F0-M39-XM01</v>
      </c>
      <c r="FV40" t="s">
        <v>142</v>
      </c>
      <c r="FW40" t="s">
        <v>143</v>
      </c>
      <c r="FX40">
        <v>11</v>
      </c>
      <c r="FY40">
        <v>14</v>
      </c>
      <c r="FZ40" t="s">
        <v>145</v>
      </c>
      <c r="GA40" t="s">
        <v>144</v>
      </c>
      <c r="GB40">
        <v>1</v>
      </c>
      <c r="GC40">
        <v>2</v>
      </c>
      <c r="GD40">
        <v>3</v>
      </c>
      <c r="GE40">
        <v>4</v>
      </c>
      <c r="GF40">
        <v>5</v>
      </c>
      <c r="GG40">
        <v>6</v>
      </c>
      <c r="GH40">
        <v>7</v>
      </c>
      <c r="GI40">
        <v>8</v>
      </c>
      <c r="GJ40">
        <v>9</v>
      </c>
      <c r="GK40">
        <v>1</v>
      </c>
      <c r="GL40">
        <v>2</v>
      </c>
      <c r="GM40">
        <v>3</v>
      </c>
      <c r="GN40">
        <v>4</v>
      </c>
      <c r="GO40">
        <v>5</v>
      </c>
      <c r="GP40">
        <v>1</v>
      </c>
      <c r="GQ40">
        <v>2</v>
      </c>
      <c r="GR40">
        <v>4</v>
      </c>
      <c r="GS40" s="16">
        <v>5</v>
      </c>
    </row>
    <row r="41" spans="1:285" x14ac:dyDescent="0.25">
      <c r="A41" t="s">
        <v>364</v>
      </c>
      <c r="B41" s="29" t="s">
        <v>363</v>
      </c>
      <c r="P41" t="s">
        <v>281</v>
      </c>
      <c r="T41" s="14" t="s">
        <v>554</v>
      </c>
      <c r="U41" s="15">
        <v>40</v>
      </c>
      <c r="V41" s="15" t="s">
        <v>1604</v>
      </c>
      <c r="W41" s="15" t="s">
        <v>1605</v>
      </c>
      <c r="AC41" t="s">
        <v>277</v>
      </c>
      <c r="AF41" t="s">
        <v>381</v>
      </c>
      <c r="AG41" t="s">
        <v>382</v>
      </c>
      <c r="AH41" t="s">
        <v>383</v>
      </c>
      <c r="AK41" t="s">
        <v>372</v>
      </c>
      <c r="AL41" t="s">
        <v>375</v>
      </c>
      <c r="AM41">
        <v>57</v>
      </c>
      <c r="AN41" t="str">
        <f t="shared" si="50"/>
        <v>57XT</v>
      </c>
      <c r="AO41" t="str">
        <f t="shared" si="43"/>
        <v>57X</v>
      </c>
      <c r="AP41" t="s">
        <v>137</v>
      </c>
      <c r="AQ41" t="s">
        <v>138</v>
      </c>
      <c r="AR41" t="str">
        <f t="shared" si="44"/>
        <v>Соединительная коробка (F0GAC01GB802)</v>
      </c>
      <c r="AT41" t="s">
        <v>139</v>
      </c>
      <c r="AU41" t="s">
        <v>140</v>
      </c>
      <c r="BD41" s="16"/>
      <c r="ER41" s="27" t="str">
        <f t="shared" si="45"/>
        <v>XT40</v>
      </c>
      <c r="ES41" t="str">
        <f t="shared" si="46"/>
        <v>C23</v>
      </c>
      <c r="ET41" t="str">
        <f t="shared" si="51"/>
        <v>B23</v>
      </c>
      <c r="EU41" t="str">
        <f t="shared" si="52"/>
        <v>C24</v>
      </c>
      <c r="EV41" t="str">
        <f t="shared" si="53"/>
        <v>B24</v>
      </c>
      <c r="EW41" t="str">
        <f t="shared" si="54"/>
        <v>16B</v>
      </c>
      <c r="EX41" t="str">
        <f t="shared" si="55"/>
        <v>16A</v>
      </c>
      <c r="EY41" t="str">
        <f t="shared" si="56"/>
        <v>DI8-C22</v>
      </c>
      <c r="EZ41" t="str">
        <f t="shared" si="56"/>
        <v>DI8-B22</v>
      </c>
      <c r="FA41" t="str">
        <f t="shared" si="47"/>
        <v>DI8-C23</v>
      </c>
      <c r="FB41" t="str">
        <f t="shared" si="47"/>
        <v>DI8-B23</v>
      </c>
      <c r="FC41" t="str">
        <f t="shared" si="47"/>
        <v>DI8-C24</v>
      </c>
      <c r="FD41" t="str">
        <f t="shared" si="47"/>
        <v>DI8-B24</v>
      </c>
      <c r="FE41" t="str">
        <f t="shared" si="57"/>
        <v>DO5-15B</v>
      </c>
      <c r="FF41" t="str">
        <f t="shared" si="57"/>
        <v>DO5-15A</v>
      </c>
      <c r="FG41" t="str">
        <f t="shared" si="58"/>
        <v>DO5-16B</v>
      </c>
      <c r="FH41" t="str">
        <f t="shared" si="58"/>
        <v>DO5-16A</v>
      </c>
      <c r="FI41" t="str">
        <f t="shared" si="59"/>
        <v>K40-03</v>
      </c>
      <c r="FJ41" t="str">
        <f t="shared" si="60"/>
        <v>K40-04</v>
      </c>
      <c r="FK41" t="str">
        <f t="shared" si="61"/>
        <v>K40-01</v>
      </c>
      <c r="FL41" t="str">
        <f t="shared" si="62"/>
        <v>K40-02</v>
      </c>
      <c r="FM41" t="str">
        <f t="shared" si="48"/>
        <v>K40-05</v>
      </c>
      <c r="FN41" t="str">
        <f t="shared" si="63"/>
        <v>F0-M40-H1</v>
      </c>
      <c r="FO41" t="str">
        <f t="shared" si="64"/>
        <v>F0-M40-A1</v>
      </c>
      <c r="FP41" t="str">
        <f t="shared" si="65"/>
        <v>F0-M40-3</v>
      </c>
      <c r="FQ41" t="str">
        <f t="shared" si="66"/>
        <v>F0-M40-2</v>
      </c>
      <c r="FR41" t="str">
        <f t="shared" si="67"/>
        <v>F0-M40-16</v>
      </c>
      <c r="FS41" t="str">
        <f t="shared" si="68"/>
        <v>F0-M40-15</v>
      </c>
      <c r="FT41" t="str">
        <f t="shared" si="69"/>
        <v>F0-A220-M40</v>
      </c>
      <c r="FU41" t="str">
        <f t="shared" si="49"/>
        <v>F0-M40-XM01</v>
      </c>
      <c r="FV41" t="s">
        <v>142</v>
      </c>
      <c r="FW41" t="s">
        <v>143</v>
      </c>
      <c r="FX41">
        <v>11</v>
      </c>
      <c r="FY41">
        <v>14</v>
      </c>
      <c r="FZ41" t="s">
        <v>145</v>
      </c>
      <c r="GA41" t="s">
        <v>144</v>
      </c>
      <c r="GB41">
        <v>1</v>
      </c>
      <c r="GC41">
        <v>2</v>
      </c>
      <c r="GD41">
        <v>3</v>
      </c>
      <c r="GE41">
        <v>4</v>
      </c>
      <c r="GF41">
        <v>5</v>
      </c>
      <c r="GG41">
        <v>6</v>
      </c>
      <c r="GH41">
        <v>7</v>
      </c>
      <c r="GI41">
        <v>8</v>
      </c>
      <c r="GJ41">
        <v>9</v>
      </c>
      <c r="GK41">
        <v>1</v>
      </c>
      <c r="GL41">
        <v>2</v>
      </c>
      <c r="GM41">
        <v>3</v>
      </c>
      <c r="GN41">
        <v>4</v>
      </c>
      <c r="GO41">
        <v>5</v>
      </c>
      <c r="GP41">
        <v>1</v>
      </c>
      <c r="GQ41">
        <v>2</v>
      </c>
      <c r="GR41">
        <v>4</v>
      </c>
      <c r="GS41" s="16">
        <v>5</v>
      </c>
    </row>
    <row r="42" spans="1:285" ht="15.75" thickBot="1" x14ac:dyDescent="0.3">
      <c r="A42" t="s">
        <v>366</v>
      </c>
      <c r="B42" s="29" t="s">
        <v>365</v>
      </c>
      <c r="P42" t="s">
        <v>281</v>
      </c>
      <c r="T42" s="17" t="s">
        <v>554</v>
      </c>
      <c r="U42" s="18">
        <v>41</v>
      </c>
      <c r="V42" s="19" t="s">
        <v>1606</v>
      </c>
      <c r="W42" s="19" t="s">
        <v>1607</v>
      </c>
      <c r="X42" s="19"/>
      <c r="Y42" s="19"/>
      <c r="Z42" s="19"/>
      <c r="AA42" s="19"/>
      <c r="AB42" s="19"/>
      <c r="AC42" s="19" t="s">
        <v>277</v>
      </c>
      <c r="AD42" s="19"/>
      <c r="AE42" s="19"/>
      <c r="AF42" s="19" t="s">
        <v>240</v>
      </c>
      <c r="AG42" s="19" t="s">
        <v>242</v>
      </c>
      <c r="AH42" s="19" t="s">
        <v>383</v>
      </c>
      <c r="AI42" s="19"/>
      <c r="AJ42" s="19"/>
      <c r="AK42" s="19" t="s">
        <v>373</v>
      </c>
      <c r="AL42" s="19" t="s">
        <v>376</v>
      </c>
      <c r="AM42" s="19">
        <v>58</v>
      </c>
      <c r="AN42" s="19" t="str">
        <f t="shared" si="50"/>
        <v>58XT</v>
      </c>
      <c r="AO42" s="19" t="str">
        <f t="shared" si="43"/>
        <v>58X</v>
      </c>
      <c r="AP42" s="19" t="s">
        <v>137</v>
      </c>
      <c r="AQ42" s="19" t="s">
        <v>138</v>
      </c>
      <c r="AR42" s="19" t="str">
        <f t="shared" si="44"/>
        <v>Соединительная коробка (F0GBJ01GB801)</v>
      </c>
      <c r="AS42" s="19"/>
      <c r="AT42" s="19" t="s">
        <v>139</v>
      </c>
      <c r="AU42" s="19" t="s">
        <v>140</v>
      </c>
      <c r="AV42" s="19"/>
      <c r="AW42" s="19"/>
      <c r="AX42" s="19"/>
      <c r="AY42" s="19"/>
      <c r="AZ42" s="19"/>
      <c r="BA42" s="19"/>
      <c r="BB42" s="19"/>
      <c r="BC42" s="19"/>
      <c r="BD42" s="20"/>
      <c r="ER42" s="28" t="str">
        <f t="shared" si="45"/>
        <v>XT41</v>
      </c>
      <c r="ES42" s="19" t="str">
        <f t="shared" si="46"/>
        <v>C26</v>
      </c>
      <c r="ET42" s="19" t="str">
        <f t="shared" si="51"/>
        <v>B26</v>
      </c>
      <c r="EU42" s="19" t="str">
        <f t="shared" si="52"/>
        <v>C27</v>
      </c>
      <c r="EV42" s="19" t="str">
        <f t="shared" si="53"/>
        <v>B27</v>
      </c>
      <c r="EW42" s="19" t="str">
        <f t="shared" si="54"/>
        <v>18B</v>
      </c>
      <c r="EX42" s="19" t="str">
        <f t="shared" si="55"/>
        <v>18A</v>
      </c>
      <c r="EY42" s="19" t="str">
        <f t="shared" si="56"/>
        <v>DI8-C25</v>
      </c>
      <c r="EZ42" s="19" t="str">
        <f t="shared" si="56"/>
        <v>DI8-B25</v>
      </c>
      <c r="FA42" s="19" t="str">
        <f t="shared" si="47"/>
        <v>DI8-C26</v>
      </c>
      <c r="FB42" s="19" t="str">
        <f t="shared" si="47"/>
        <v>DI8-B26</v>
      </c>
      <c r="FC42" s="19" t="str">
        <f t="shared" si="47"/>
        <v>DI8-C27</v>
      </c>
      <c r="FD42" s="19" t="str">
        <f t="shared" si="47"/>
        <v>DI8-B27</v>
      </c>
      <c r="FE42" s="19" t="str">
        <f t="shared" si="57"/>
        <v>DO5-17B</v>
      </c>
      <c r="FF42" s="19" t="str">
        <f t="shared" si="57"/>
        <v>DO5-17A</v>
      </c>
      <c r="FG42" s="19" t="str">
        <f t="shared" si="58"/>
        <v>DO5-18B</v>
      </c>
      <c r="FH42" s="19" t="str">
        <f t="shared" si="58"/>
        <v>DO5-18A</v>
      </c>
      <c r="FI42" s="19" t="str">
        <f t="shared" si="59"/>
        <v>K41-03</v>
      </c>
      <c r="FJ42" s="19" t="str">
        <f t="shared" si="60"/>
        <v>K41-04</v>
      </c>
      <c r="FK42" s="19" t="str">
        <f t="shared" si="61"/>
        <v>K41-01</v>
      </c>
      <c r="FL42" s="19" t="str">
        <f t="shared" si="62"/>
        <v>K41-02</v>
      </c>
      <c r="FM42" s="19" t="str">
        <f t="shared" si="48"/>
        <v>K41-05</v>
      </c>
      <c r="FN42" s="19" t="str">
        <f t="shared" si="63"/>
        <v>F0-M41-H1</v>
      </c>
      <c r="FO42" s="19" t="str">
        <f t="shared" si="64"/>
        <v>F0-M41-A1</v>
      </c>
      <c r="FP42" s="19" t="str">
        <f t="shared" si="65"/>
        <v>F0-M41-3</v>
      </c>
      <c r="FQ42" s="19" t="str">
        <f t="shared" si="66"/>
        <v>F0-M41-2</v>
      </c>
      <c r="FR42" s="19" t="str">
        <f t="shared" si="67"/>
        <v>F0-M41-16</v>
      </c>
      <c r="FS42" s="19" t="str">
        <f t="shared" si="68"/>
        <v>F0-M41-15</v>
      </c>
      <c r="FT42" s="19" t="str">
        <f t="shared" si="69"/>
        <v>F0-A220-M41</v>
      </c>
      <c r="FU42" s="19" t="str">
        <f t="shared" si="49"/>
        <v>F0-M41-XM01</v>
      </c>
      <c r="FV42" s="19" t="s">
        <v>142</v>
      </c>
      <c r="FW42" s="19" t="s">
        <v>143</v>
      </c>
      <c r="FX42" s="19">
        <v>11</v>
      </c>
      <c r="FY42" s="19">
        <v>14</v>
      </c>
      <c r="FZ42" s="19" t="s">
        <v>145</v>
      </c>
      <c r="GA42" s="19" t="s">
        <v>144</v>
      </c>
      <c r="GB42" s="19">
        <v>1</v>
      </c>
      <c r="GC42" s="19">
        <v>2</v>
      </c>
      <c r="GD42" s="19">
        <v>3</v>
      </c>
      <c r="GE42" s="19">
        <v>4</v>
      </c>
      <c r="GF42" s="19">
        <v>5</v>
      </c>
      <c r="GG42" s="19">
        <v>6</v>
      </c>
      <c r="GH42" s="19">
        <v>7</v>
      </c>
      <c r="GI42" s="19">
        <v>8</v>
      </c>
      <c r="GJ42" s="19">
        <v>9</v>
      </c>
      <c r="GK42" s="19">
        <v>1</v>
      </c>
      <c r="GL42" s="19">
        <v>2</v>
      </c>
      <c r="GM42" s="19">
        <v>3</v>
      </c>
      <c r="GN42" s="19">
        <v>4</v>
      </c>
      <c r="GO42" s="19">
        <v>5</v>
      </c>
      <c r="GP42" s="19">
        <v>1</v>
      </c>
      <c r="GQ42" s="19">
        <v>2</v>
      </c>
      <c r="GR42" s="19">
        <v>4</v>
      </c>
      <c r="GS42" s="20">
        <v>5</v>
      </c>
    </row>
    <row r="43" spans="1:285" x14ac:dyDescent="0.25">
      <c r="A43" t="s">
        <v>390</v>
      </c>
      <c r="B43" t="s">
        <v>389</v>
      </c>
      <c r="P43" t="s">
        <v>391</v>
      </c>
      <c r="T43" s="10" t="s">
        <v>554</v>
      </c>
      <c r="U43" s="11">
        <v>42</v>
      </c>
      <c r="V43" s="11" t="s">
        <v>1608</v>
      </c>
      <c r="W43" s="11" t="s">
        <v>1616</v>
      </c>
      <c r="X43" s="12" t="s">
        <v>400</v>
      </c>
      <c r="Y43" s="43" t="str" cm="1">
        <f t="array" ref="Y43">IF(COUNTIFS($X$2:$X43,$X43)=1,"1",VALUE(SUBSTITUTE(INDEX(Y:Y,_xlfn.XMATCH($X43,$X$1:$X42,0,-1)),"A",""))+INDEX(Z:Z,_xlfn.XMATCH($X43,$X$1:$X42,0,-1))+1)</f>
        <v>1</v>
      </c>
      <c r="Z43" s="43" cm="1">
        <f t="array" ref="Z43">SUM(IF(ISNUMBER(FIND("TmAi",$BE$1:$AAD$1)),IF(IFERROR(ISODD(SUBSTITUTE($BE43:$AAD43,"A","")),FALSE),IF(ISODD(SUBSTITUTE($BE43:$AAD43,"A","")),1,0),0)))</f>
        <v>0</v>
      </c>
      <c r="AA43" t="str">
        <f>CONCATENATE($Y43*2-1,"A")</f>
        <v>1A</v>
      </c>
      <c r="AB43" t="str">
        <f>CONCATENATE($Y43*2-1,"B")</f>
        <v>1B</v>
      </c>
      <c r="AC43" s="12" t="s">
        <v>278</v>
      </c>
      <c r="AD43" s="12"/>
      <c r="AE43" s="12"/>
      <c r="AF43" s="11" t="s">
        <v>133</v>
      </c>
      <c r="AG43" s="11" t="s">
        <v>134</v>
      </c>
      <c r="AH43" s="11" t="s">
        <v>388</v>
      </c>
      <c r="AI43" s="11"/>
      <c r="AJ43" s="11"/>
      <c r="AK43" s="11" t="s">
        <v>135</v>
      </c>
      <c r="AL43" s="11" t="s">
        <v>136</v>
      </c>
      <c r="AM43" s="12" t="s">
        <v>394</v>
      </c>
      <c r="AN43" s="12"/>
      <c r="AO43" s="12"/>
      <c r="AP43" s="12" t="s">
        <v>137</v>
      </c>
      <c r="AQ43" s="12" t="s">
        <v>138</v>
      </c>
      <c r="AR43" s="12"/>
      <c r="AS43" s="12" t="s">
        <v>396</v>
      </c>
      <c r="AT43" s="12" t="s">
        <v>139</v>
      </c>
      <c r="AU43" s="12" t="s">
        <v>140</v>
      </c>
      <c r="AV43" s="12"/>
      <c r="AW43" s="12"/>
      <c r="AX43" s="12"/>
      <c r="AY43" s="12"/>
      <c r="AZ43" s="12"/>
      <c r="BA43" s="12"/>
      <c r="BB43" s="12"/>
      <c r="BC43" s="12"/>
      <c r="BD43" s="13"/>
      <c r="GT43" s="25" t="str">
        <f t="shared" ref="GT43:GT55" si="70">CONCATENATE("XT",U43)</f>
        <v>XT42</v>
      </c>
      <c r="GU43" s="12" t="str">
        <f t="shared" ref="GU43:GU55" si="71">CONCATENATE("C",REPLACE(AF43,1,1,"")+1)</f>
        <v>C2</v>
      </c>
      <c r="GV43" s="12" t="str">
        <f>CONCATENATE("B",REPLACE(AG43,1,1,"")+1)</f>
        <v>B2</v>
      </c>
      <c r="GW43" s="12" t="str">
        <f>CONCATENATE("C",REPLACE(GU43,1,1,"")+1)</f>
        <v>C3</v>
      </c>
      <c r="GX43" s="12" t="str">
        <f>CONCATENATE("B",REPLACE(GV43,1,1,"")+1)</f>
        <v>B3</v>
      </c>
      <c r="GY43" s="12" t="str">
        <f>CONCATENATE("C",REPLACE(GW43,1,1,"")+1)</f>
        <v>C4</v>
      </c>
      <c r="GZ43" s="12" t="str">
        <f>CONCATENATE("B",REPLACE(GX43,1,1,"")+1)</f>
        <v>B4</v>
      </c>
      <c r="HA43" s="12" t="str">
        <f>CONCATENATE("C",REPLACE(GY43,1,1,"")+1)</f>
        <v>C5</v>
      </c>
      <c r="HB43" s="12" t="str">
        <f>CONCATENATE("B",REPLACE(GZ43,1,1,"")+1)</f>
        <v>B5</v>
      </c>
      <c r="HC43" s="12" t="str">
        <f>CONCATENATE("C",REPLACE(HA43,1,1,"")+1)</f>
        <v>C6</v>
      </c>
      <c r="HD43" s="12" t="str">
        <f>CONCATENATE("B",REPLACE(HB43,1,1,"")+1)</f>
        <v>B6</v>
      </c>
      <c r="HE43" s="12" t="str">
        <f>CONCATENATE(REPLACE(AK43,LEN(AK43),1,"")+1,"B")</f>
        <v>2B</v>
      </c>
      <c r="HF43" s="12" t="str">
        <f>CONCATENATE(REPLACE(AL43,LEN(AL43),1,"")+1,"A")</f>
        <v>2A</v>
      </c>
      <c r="HG43" s="12" t="str">
        <f t="shared" ref="HG43:HH55" si="72">CONCATENATE("AI",REPLACE($X43,1,3,""),"-",AA43)</f>
        <v>AI1-1A</v>
      </c>
      <c r="HH43" s="12" t="str">
        <f t="shared" si="72"/>
        <v>AI1-1B</v>
      </c>
      <c r="HI43" s="12" t="str">
        <f>CONCATENATE("DI",REPLACE($AC43,1,3,""),"-",AF43)</f>
        <v>DI9-C1</v>
      </c>
      <c r="HJ43" s="12" t="str">
        <f>CONCATENATE("DI",REPLACE($AC43,1,3,""),"-",AG43)</f>
        <v>DI9-B1</v>
      </c>
      <c r="HK43" s="12" t="str">
        <f t="shared" ref="HK43:HT55" si="73">CONCATENATE("DI",REPLACE($AC43,1,3,""),"-",GU43)</f>
        <v>DI9-C2</v>
      </c>
      <c r="HL43" s="12" t="str">
        <f t="shared" si="73"/>
        <v>DI9-B2</v>
      </c>
      <c r="HM43" s="12" t="str">
        <f t="shared" si="73"/>
        <v>DI9-C3</v>
      </c>
      <c r="HN43" s="12" t="str">
        <f t="shared" si="73"/>
        <v>DI9-B3</v>
      </c>
      <c r="HO43" s="12" t="str">
        <f t="shared" si="73"/>
        <v>DI9-C4</v>
      </c>
      <c r="HP43" s="12" t="str">
        <f t="shared" si="73"/>
        <v>DI9-B4</v>
      </c>
      <c r="HQ43" s="12" t="str">
        <f t="shared" si="73"/>
        <v>DI9-C5</v>
      </c>
      <c r="HR43" s="12" t="str">
        <f t="shared" si="73"/>
        <v>DI9-B5</v>
      </c>
      <c r="HS43" s="12" t="str">
        <f t="shared" si="73"/>
        <v>DI9-C6</v>
      </c>
      <c r="HT43" s="12" t="str">
        <f t="shared" si="73"/>
        <v>DI9-B6</v>
      </c>
      <c r="HU43" s="12" t="str">
        <f>CONCATENATE("DO",REPLACE($AH43,1,3,""),"-",AK43)</f>
        <v>DO6-1B</v>
      </c>
      <c r="HV43" s="12" t="str">
        <f>CONCATENATE("DO",REPLACE($AH43,1,3,""),"-",AL43)</f>
        <v>DO6-1A</v>
      </c>
      <c r="HW43" s="12" t="str">
        <f>CONCATENATE("DO",REPLACE($AH43,1,3,""),"-",HE43)</f>
        <v>DO6-2B</v>
      </c>
      <c r="HX43" s="12" t="str">
        <f>CONCATENATE("DO",REPLACE($AH43,1,3,""),"-",HF43)</f>
        <v>DO6-2A</v>
      </c>
      <c r="HY43" s="12" t="str">
        <f>CONCATENATE("K",$U43,"-01")</f>
        <v>K42-01</v>
      </c>
      <c r="HZ43" s="12" t="str">
        <f>CONCATENATE("K",$U43,"-02")</f>
        <v>K42-02</v>
      </c>
      <c r="IA43" s="12" t="str">
        <f>CONCATENATE("K",$U43,"-03")</f>
        <v>K42-03</v>
      </c>
      <c r="IB43" s="12" t="str">
        <f>CONCATENATE("K",$U43,"-04")</f>
        <v>K42-04</v>
      </c>
      <c r="IC43" s="12" t="str">
        <f>CONCATENATE("K",$U43,"-05")</f>
        <v>K42-05</v>
      </c>
      <c r="ID43" s="12" t="str">
        <f>CONCATENATE("K",$U43,"-06")</f>
        <v>K42-06</v>
      </c>
      <c r="IE43" s="12" t="str">
        <f>CONCATENATE("K",$U43,"-07")</f>
        <v>K42-07</v>
      </c>
      <c r="IF43" s="12" t="str">
        <f>CONCATENATE("K",$U43,"-08")</f>
        <v>K42-08</v>
      </c>
      <c r="IG43" s="12" t="str">
        <f>CONCATENATE($T43,"-M",$U43,"-AMS-12")</f>
        <v>F0-M42-AMS-12</v>
      </c>
      <c r="IH43" s="12" t="str">
        <f>CONCATENATE($T43,"-M",$U43,"-AMS-10")</f>
        <v>F0-M42-AMS-10</v>
      </c>
      <c r="II43" s="12" t="str">
        <f>CONCATENATE($T43,"-M",$U43,"-AMS-11")</f>
        <v>F0-M42-AMS-11</v>
      </c>
      <c r="IJ43" s="12" t="str">
        <f>CONCATENATE($T43,"-M",$U43,"-AMS-13")</f>
        <v>F0-M42-AMS-13</v>
      </c>
      <c r="IK43" s="12" t="str">
        <f>CONCATENATE($T43,"-M",$U43,"-AMS-9")</f>
        <v>F0-M42-AMS-9</v>
      </c>
      <c r="IL43" s="12" t="str">
        <f>CONCATENATE($T43,"-M",$U43,"-AMS-7")</f>
        <v>F0-M42-AMS-7</v>
      </c>
      <c r="IM43" s="12" t="str">
        <f>CONCATENATE($T43,"-M",$U43,"-AMS-18")</f>
        <v>F0-M42-AMS-18</v>
      </c>
      <c r="IN43" s="12" t="str">
        <f>CONCATENATE($T43,"-M",$U43,"-AMS-20")</f>
        <v>F0-M42-AMS-20</v>
      </c>
      <c r="IO43" s="12" t="str">
        <f>CONCATENATE($T43,"-M",$U43,"-AMS-17")</f>
        <v>F0-M42-AMS-17</v>
      </c>
      <c r="IP43" s="12" t="str">
        <f>CONCATENATE($T43,"-+24-M",$U43,)</f>
        <v>F0-+24-M42</v>
      </c>
      <c r="IQ43" s="12" t="str">
        <f>CONCATENATE($T43,"-M",$U43,"-XM01")</f>
        <v>F0-M42-XM01</v>
      </c>
      <c r="IR43" s="12" t="s">
        <v>142</v>
      </c>
      <c r="IS43" s="12" t="s">
        <v>143</v>
      </c>
      <c r="IT43" s="12">
        <v>11</v>
      </c>
      <c r="IU43" s="12">
        <v>14</v>
      </c>
      <c r="IV43" s="12" t="s">
        <v>413</v>
      </c>
      <c r="IW43" s="12" t="s">
        <v>414</v>
      </c>
      <c r="IX43" s="12">
        <v>1</v>
      </c>
      <c r="IY43" s="12">
        <v>2</v>
      </c>
      <c r="IZ43" s="12">
        <v>3</v>
      </c>
      <c r="JA43" s="12">
        <v>4</v>
      </c>
      <c r="JB43" s="12">
        <v>5</v>
      </c>
      <c r="JC43" s="12">
        <v>6</v>
      </c>
      <c r="JD43" s="12">
        <v>7</v>
      </c>
      <c r="JE43" s="12">
        <v>8</v>
      </c>
      <c r="JF43" s="12">
        <v>9</v>
      </c>
      <c r="JG43" s="12">
        <v>10</v>
      </c>
      <c r="JH43" s="12">
        <v>11</v>
      </c>
      <c r="JI43" s="12">
        <v>12</v>
      </c>
      <c r="JJ43" s="12">
        <v>13</v>
      </c>
      <c r="JK43" s="12">
        <v>14</v>
      </c>
      <c r="JL43" s="12">
        <v>17</v>
      </c>
      <c r="JM43" s="12">
        <v>15</v>
      </c>
      <c r="JN43" s="12">
        <v>18</v>
      </c>
      <c r="JO43" s="12">
        <v>11</v>
      </c>
      <c r="JP43" s="12">
        <v>9</v>
      </c>
      <c r="JQ43" s="12">
        <v>6</v>
      </c>
      <c r="JR43" s="12">
        <v>20</v>
      </c>
      <c r="JS43" s="12">
        <v>7</v>
      </c>
      <c r="JT43" s="12">
        <v>10</v>
      </c>
      <c r="JU43" s="12">
        <v>22</v>
      </c>
      <c r="JV43" s="12">
        <v>23</v>
      </c>
      <c r="JW43" s="12">
        <v>26</v>
      </c>
      <c r="JX43" s="12">
        <v>27</v>
      </c>
      <c r="JY43" s="13">
        <v>30</v>
      </c>
    </row>
    <row r="44" spans="1:285" x14ac:dyDescent="0.25">
      <c r="A44" t="s">
        <v>415</v>
      </c>
      <c r="B44" t="s">
        <v>416</v>
      </c>
      <c r="P44" t="s">
        <v>391</v>
      </c>
      <c r="T44" s="14" t="s">
        <v>554</v>
      </c>
      <c r="U44" s="15">
        <f>U43+1</f>
        <v>43</v>
      </c>
      <c r="V44" t="s">
        <v>1609</v>
      </c>
      <c r="W44" t="s">
        <v>1617</v>
      </c>
      <c r="X44" t="str">
        <f>IF(COUNTIF(X$1:X43,X43)&gt;7,REPLACE(X43,LEN(X43),1,VALUE(RIGHT(X43,1))+1),X43)</f>
        <v>A3.1</v>
      </c>
      <c r="Y44" s="43" cm="1">
        <f t="array" ref="Y44">IF(COUNTIFS($X$2:$X44,$X44)=1,"1",VALUE(SUBSTITUTE(INDEX(Y:Y,_xlfn.XMATCH($X44,$X$1:$X43,0,-1)),"A",""))+INDEX(Z:Z,_xlfn.XMATCH($X44,$X$1:$X43,0,-1))+1)</f>
        <v>2</v>
      </c>
      <c r="Z44" s="43" cm="1">
        <f t="array" ref="Z44">SUM(IF(ISNUMBER(FIND("TmAi",$BE$1:$AAD$1)),IF(IFERROR(ISODD(SUBSTITUTE($BE44:$AAD44,"A","")),FALSE),IF(ISODD(SUBSTITUTE($BE44:$AAD44,"A","")),1,0),0)))</f>
        <v>0</v>
      </c>
      <c r="AA44" t="str">
        <f t="shared" ref="AA44:AA55" si="74">CONCATENATE($Y44*2-1,"A")</f>
        <v>3A</v>
      </c>
      <c r="AB44" t="str">
        <f t="shared" ref="AB44:AB55" si="75">CONCATENATE($Y44*2-1,"B")</f>
        <v>3B</v>
      </c>
      <c r="AC44" t="s">
        <v>278</v>
      </c>
      <c r="AF44" t="s">
        <v>148</v>
      </c>
      <c r="AG44" t="s">
        <v>149</v>
      </c>
      <c r="AH44" t="s">
        <v>388</v>
      </c>
      <c r="AK44" t="s">
        <v>384</v>
      </c>
      <c r="AL44" t="s">
        <v>386</v>
      </c>
      <c r="AM44" t="s">
        <v>419</v>
      </c>
      <c r="AP44" t="s">
        <v>137</v>
      </c>
      <c r="AQ44" t="s">
        <v>138</v>
      </c>
      <c r="AS44" t="s">
        <v>396</v>
      </c>
      <c r="AT44" t="s">
        <v>139</v>
      </c>
      <c r="AU44" t="s">
        <v>140</v>
      </c>
      <c r="BD44" s="16"/>
      <c r="GT44" s="27" t="str">
        <f t="shared" si="70"/>
        <v>XT43</v>
      </c>
      <c r="GU44" t="str">
        <f t="shared" si="71"/>
        <v>C8</v>
      </c>
      <c r="GV44" t="str">
        <f>CONCATENATE("B",REPLACE(AG44,1,1,"")+1)</f>
        <v>B8</v>
      </c>
      <c r="GW44" t="str">
        <f>CONCATENATE("C",REPLACE(GU44,1,1,"")+1)</f>
        <v>C9</v>
      </c>
      <c r="GX44" t="str">
        <f>CONCATENATE("B",REPLACE(GV44,1,1,"")+1)</f>
        <v>B9</v>
      </c>
      <c r="GY44" t="str">
        <f>CONCATENATE("C",REPLACE(GW44,1,1,"")+1)</f>
        <v>C10</v>
      </c>
      <c r="GZ44" t="str">
        <f>CONCATENATE("B",REPLACE(GX44,1,1,"")+1)</f>
        <v>B10</v>
      </c>
      <c r="HA44" t="str">
        <f>CONCATENATE("C",REPLACE(GY44,1,1,"")+1)</f>
        <v>C11</v>
      </c>
      <c r="HB44" t="str">
        <f>CONCATENATE("B",REPLACE(GZ44,1,1,"")+1)</f>
        <v>B11</v>
      </c>
      <c r="HC44" t="str">
        <f>CONCATENATE("C",REPLACE(HA44,1,1,"")+1)</f>
        <v>C12</v>
      </c>
      <c r="HD44" t="str">
        <f>CONCATENATE("B",REPLACE(HB44,1,1,"")+1)</f>
        <v>B12</v>
      </c>
      <c r="HE44" t="str">
        <f>CONCATENATE(REPLACE(AK44,LEN(AK44),1,"")+1,"B")</f>
        <v>4B</v>
      </c>
      <c r="HF44" t="str">
        <f>CONCATENATE(REPLACE(AL44,LEN(AL44),1,"")+1,"A")</f>
        <v>4A</v>
      </c>
      <c r="HG44" t="str">
        <f t="shared" si="72"/>
        <v>AI1-3A</v>
      </c>
      <c r="HH44" t="str">
        <f t="shared" si="72"/>
        <v>AI1-3B</v>
      </c>
      <c r="HI44" t="str">
        <f>CONCATENATE("DI",REPLACE($AC44,1,3,""),"-",AF44)</f>
        <v>DI9-C7</v>
      </c>
      <c r="HJ44" t="str">
        <f>CONCATENATE("DI",REPLACE($AC44,1,3,""),"-",AG44)</f>
        <v>DI9-B7</v>
      </c>
      <c r="HK44" t="str">
        <f t="shared" si="73"/>
        <v>DI9-C8</v>
      </c>
      <c r="HL44" t="str">
        <f t="shared" si="73"/>
        <v>DI9-B8</v>
      </c>
      <c r="HM44" t="str">
        <f t="shared" si="73"/>
        <v>DI9-C9</v>
      </c>
      <c r="HN44" t="str">
        <f t="shared" si="73"/>
        <v>DI9-B9</v>
      </c>
      <c r="HO44" t="str">
        <f t="shared" si="73"/>
        <v>DI9-C10</v>
      </c>
      <c r="HP44" t="str">
        <f t="shared" si="73"/>
        <v>DI9-B10</v>
      </c>
      <c r="HQ44" t="str">
        <f t="shared" si="73"/>
        <v>DI9-C11</v>
      </c>
      <c r="HR44" t="str">
        <f t="shared" si="73"/>
        <v>DI9-B11</v>
      </c>
      <c r="HS44" t="str">
        <f t="shared" si="73"/>
        <v>DI9-C12</v>
      </c>
      <c r="HT44" t="str">
        <f t="shared" si="73"/>
        <v>DI9-B12</v>
      </c>
      <c r="HU44" t="str">
        <f>CONCATENATE("DO",REPLACE($AH44,1,3,""),"-",AK44)</f>
        <v>DO6-3B</v>
      </c>
      <c r="HV44" t="str">
        <f>CONCATENATE("DO",REPLACE($AH44,1,3,""),"-",AL44)</f>
        <v>DO6-3A</v>
      </c>
      <c r="HW44" t="str">
        <f>CONCATENATE("DO",REPLACE($AH44,1,3,""),"-",HE44)</f>
        <v>DO6-4B</v>
      </c>
      <c r="HX44" t="str">
        <f>CONCATENATE("DO",REPLACE($AH44,1,3,""),"-",HF44)</f>
        <v>DO6-4A</v>
      </c>
      <c r="HY44" t="str">
        <f>CONCATENATE("K",$U44,"-01")</f>
        <v>K43-01</v>
      </c>
      <c r="HZ44" t="str">
        <f>CONCATENATE("K",$U44,"-02")</f>
        <v>K43-02</v>
      </c>
      <c r="IA44" t="str">
        <f>CONCATENATE("K",$U44,"-03")</f>
        <v>K43-03</v>
      </c>
      <c r="IB44" t="str">
        <f>CONCATENATE("K",$U44,"-04")</f>
        <v>K43-04</v>
      </c>
      <c r="IC44" t="str">
        <f>CONCATENATE("K",$U44,"-05")</f>
        <v>K43-05</v>
      </c>
      <c r="ID44" t="str">
        <f>CONCATENATE("K",$U44,"-06")</f>
        <v>K43-06</v>
      </c>
      <c r="IE44" t="str">
        <f>CONCATENATE("K",$U44,"-07")</f>
        <v>K43-07</v>
      </c>
      <c r="IF44" t="str">
        <f>CONCATENATE("K",$U44,"-08")</f>
        <v>K43-08</v>
      </c>
      <c r="IG44" t="str">
        <f>CONCATENATE($T44,"-M",$U44,"-AMS-12")</f>
        <v>F0-M43-AMS-12</v>
      </c>
      <c r="IH44" t="str">
        <f>CONCATENATE($T44,"-M",$U44,"-AMS-10")</f>
        <v>F0-M43-AMS-10</v>
      </c>
      <c r="II44" t="str">
        <f>CONCATENATE($T44,"-M",$U44,"-AMS-11")</f>
        <v>F0-M43-AMS-11</v>
      </c>
      <c r="IJ44" t="str">
        <f>CONCATENATE($T44,"-M",$U44,"-AMS-13")</f>
        <v>F0-M43-AMS-13</v>
      </c>
      <c r="IK44" t="str">
        <f>CONCATENATE($T44,"-M",$U44,"-AMS-9")</f>
        <v>F0-M43-AMS-9</v>
      </c>
      <c r="IL44" t="str">
        <f>CONCATENATE($T44,"-M",$U44,"-AMS-7")</f>
        <v>F0-M43-AMS-7</v>
      </c>
      <c r="IM44" t="str">
        <f>CONCATENATE($T44,"-M",$U44,"-AMS-18")</f>
        <v>F0-M43-AMS-18</v>
      </c>
      <c r="IN44" t="str">
        <f>CONCATENATE($T44,"-M",$U44,"-AMS-20")</f>
        <v>F0-M43-AMS-20</v>
      </c>
      <c r="IO44" t="str">
        <f>CONCATENATE($T44,"-M",$U44,"-AMS-17")</f>
        <v>F0-M43-AMS-17</v>
      </c>
      <c r="IP44" t="str">
        <f>CONCATENATE($T44,"-+24-M",$U44,)</f>
        <v>F0-+24-M43</v>
      </c>
      <c r="IQ44" t="str">
        <f>CONCATENATE($T44,"-M",$U44,"-XM01")</f>
        <v>F0-M43-XM01</v>
      </c>
      <c r="IR44" t="str">
        <f t="shared" ref="IR44:JY51" si="76">IR43</f>
        <v>A1</v>
      </c>
      <c r="IS44" t="str">
        <f t="shared" si="76"/>
        <v>A2</v>
      </c>
      <c r="IT44">
        <f t="shared" si="76"/>
        <v>11</v>
      </c>
      <c r="IU44">
        <f t="shared" si="76"/>
        <v>14</v>
      </c>
      <c r="IV44" t="str">
        <f t="shared" si="76"/>
        <v>24v6</v>
      </c>
      <c r="IW44" t="str">
        <f t="shared" si="76"/>
        <v>0v6</v>
      </c>
      <c r="IX44">
        <f t="shared" si="76"/>
        <v>1</v>
      </c>
      <c r="IY44">
        <f t="shared" si="76"/>
        <v>2</v>
      </c>
      <c r="IZ44">
        <f t="shared" si="76"/>
        <v>3</v>
      </c>
      <c r="JA44">
        <f t="shared" si="76"/>
        <v>4</v>
      </c>
      <c r="JB44">
        <f t="shared" si="76"/>
        <v>5</v>
      </c>
      <c r="JC44">
        <f t="shared" si="76"/>
        <v>6</v>
      </c>
      <c r="JD44">
        <f t="shared" si="76"/>
        <v>7</v>
      </c>
      <c r="JE44">
        <f t="shared" si="76"/>
        <v>8</v>
      </c>
      <c r="JF44">
        <f t="shared" si="76"/>
        <v>9</v>
      </c>
      <c r="JG44">
        <f t="shared" si="76"/>
        <v>10</v>
      </c>
      <c r="JH44">
        <f t="shared" si="76"/>
        <v>11</v>
      </c>
      <c r="JI44">
        <f t="shared" si="76"/>
        <v>12</v>
      </c>
      <c r="JJ44">
        <f t="shared" si="76"/>
        <v>13</v>
      </c>
      <c r="JK44">
        <f t="shared" si="76"/>
        <v>14</v>
      </c>
      <c r="JL44">
        <f t="shared" si="76"/>
        <v>17</v>
      </c>
      <c r="JM44">
        <f t="shared" si="76"/>
        <v>15</v>
      </c>
      <c r="JN44">
        <f t="shared" si="76"/>
        <v>18</v>
      </c>
      <c r="JO44">
        <f t="shared" si="76"/>
        <v>11</v>
      </c>
      <c r="JP44">
        <f t="shared" si="76"/>
        <v>9</v>
      </c>
      <c r="JQ44">
        <f t="shared" si="76"/>
        <v>6</v>
      </c>
      <c r="JR44">
        <f t="shared" si="76"/>
        <v>20</v>
      </c>
      <c r="JS44">
        <f t="shared" si="76"/>
        <v>7</v>
      </c>
      <c r="JT44">
        <f t="shared" si="76"/>
        <v>10</v>
      </c>
      <c r="JU44">
        <f t="shared" si="76"/>
        <v>22</v>
      </c>
      <c r="JV44">
        <f t="shared" si="76"/>
        <v>23</v>
      </c>
      <c r="JW44">
        <f t="shared" si="76"/>
        <v>26</v>
      </c>
      <c r="JX44">
        <f t="shared" si="76"/>
        <v>27</v>
      </c>
      <c r="JY44" s="16">
        <f t="shared" si="76"/>
        <v>30</v>
      </c>
    </row>
    <row r="45" spans="1:285" x14ac:dyDescent="0.25">
      <c r="A45" t="s">
        <v>421</v>
      </c>
      <c r="B45" t="s">
        <v>423</v>
      </c>
      <c r="P45" t="s">
        <v>391</v>
      </c>
      <c r="T45" s="14" t="s">
        <v>554</v>
      </c>
      <c r="U45" s="15">
        <f t="shared" ref="U45:U55" si="77">U44+1</f>
        <v>44</v>
      </c>
      <c r="V45" s="15" t="s">
        <v>1610</v>
      </c>
      <c r="W45" s="15" t="s">
        <v>1618</v>
      </c>
      <c r="X45" t="str">
        <f>IF(COUNTIF(X$1:X44,X44)&gt;7,REPLACE(X44,LEN(X44),1,VALUE(RIGHT(X44,1))+1),X44)</f>
        <v>A3.1</v>
      </c>
      <c r="Y45" s="43" cm="1">
        <f t="array" ref="Y45">IF(COUNTIFS($X$2:$X45,$X45)=1,"1",VALUE(SUBSTITUTE(INDEX(Y:Y,_xlfn.XMATCH($X45,$X$1:$X44,0,-1)),"A",""))+INDEX(Z:Z,_xlfn.XMATCH($X45,$X$1:$X44,0,-1))+1)</f>
        <v>3</v>
      </c>
      <c r="Z45" s="43" cm="1">
        <f t="array" ref="Z45">SUM(IF(ISNUMBER(FIND("TmAi",$BE$1:$AAD$1)),IF(IFERROR(ISODD(SUBSTITUTE($BE45:$AAD45,"A","")),FALSE),IF(ISODD(SUBSTITUTE($BE45:$AAD45,"A","")),1,0),0)))</f>
        <v>0</v>
      </c>
      <c r="AA45" t="str">
        <f t="shared" si="74"/>
        <v>5A</v>
      </c>
      <c r="AB45" t="str">
        <f t="shared" si="75"/>
        <v>5B</v>
      </c>
      <c r="AC45" s="15" t="s">
        <v>278</v>
      </c>
      <c r="AD45" s="15"/>
      <c r="AE45" s="15"/>
      <c r="AF45" s="15" t="s">
        <v>153</v>
      </c>
      <c r="AG45" s="15" t="s">
        <v>154</v>
      </c>
      <c r="AH45" s="15" t="s">
        <v>388</v>
      </c>
      <c r="AI45" s="15"/>
      <c r="AJ45" s="15"/>
      <c r="AK45" s="15" t="s">
        <v>385</v>
      </c>
      <c r="AL45" s="15" t="s">
        <v>387</v>
      </c>
      <c r="AM45" s="15" t="s">
        <v>424</v>
      </c>
      <c r="AP45" t="s">
        <v>137</v>
      </c>
      <c r="AQ45" t="s">
        <v>138</v>
      </c>
      <c r="AS45" t="s">
        <v>396</v>
      </c>
      <c r="AT45" t="s">
        <v>139</v>
      </c>
      <c r="AU45" t="s">
        <v>140</v>
      </c>
      <c r="BD45" s="16"/>
      <c r="GT45" s="27" t="str">
        <f t="shared" si="70"/>
        <v>XT44</v>
      </c>
      <c r="GU45" t="str">
        <f t="shared" si="71"/>
        <v>C14</v>
      </c>
      <c r="GV45" t="str">
        <f t="shared" ref="GV45:GV55" si="78">CONCATENATE("B",REPLACE(AG45,1,1,"")+1)</f>
        <v>B14</v>
      </c>
      <c r="GW45" t="str">
        <f t="shared" ref="GW45:GW55" si="79">CONCATENATE("C",REPLACE(GU45,1,1,"")+1)</f>
        <v>C15</v>
      </c>
      <c r="GX45" t="str">
        <f t="shared" ref="GX45:GX55" si="80">CONCATENATE("B",REPLACE(GV45,1,1,"")+1)</f>
        <v>B15</v>
      </c>
      <c r="GY45" t="str">
        <f t="shared" ref="GY45:GY55" si="81">CONCATENATE("C",REPLACE(GW45,1,1,"")+1)</f>
        <v>C16</v>
      </c>
      <c r="GZ45" t="str">
        <f t="shared" ref="GZ45:GZ55" si="82">CONCATENATE("B",REPLACE(GX45,1,1,"")+1)</f>
        <v>B16</v>
      </c>
      <c r="HA45" t="str">
        <f t="shared" ref="HA45:HA55" si="83">CONCATENATE("C",REPLACE(GY45,1,1,"")+1)</f>
        <v>C17</v>
      </c>
      <c r="HB45" t="str">
        <f t="shared" ref="HB45:HB55" si="84">CONCATENATE("B",REPLACE(GZ45,1,1,"")+1)</f>
        <v>B17</v>
      </c>
      <c r="HC45" t="str">
        <f t="shared" ref="HC45:HC55" si="85">CONCATENATE("C",REPLACE(HA45,1,1,"")+1)</f>
        <v>C18</v>
      </c>
      <c r="HD45" t="str">
        <f t="shared" ref="HD45:HD55" si="86">CONCATENATE("B",REPLACE(HB45,1,1,"")+1)</f>
        <v>B18</v>
      </c>
      <c r="HE45" t="str">
        <f t="shared" ref="HE45:HE55" si="87">CONCATENATE(REPLACE(AK45,LEN(AK45),1,"")+1,"B")</f>
        <v>6B</v>
      </c>
      <c r="HF45" t="str">
        <f t="shared" ref="HF45:HF55" si="88">CONCATENATE(REPLACE(AL45,LEN(AL45),1,"")+1,"A")</f>
        <v>6A</v>
      </c>
      <c r="HG45" t="str">
        <f t="shared" si="72"/>
        <v>AI1-5A</v>
      </c>
      <c r="HH45" t="str">
        <f t="shared" si="72"/>
        <v>AI1-5B</v>
      </c>
      <c r="HI45" t="str">
        <f t="shared" ref="HI45:HJ55" si="89">CONCATENATE("DI",REPLACE($AC45,1,3,""),"-",AF45)</f>
        <v>DI9-C13</v>
      </c>
      <c r="HJ45" t="str">
        <f t="shared" si="89"/>
        <v>DI9-B13</v>
      </c>
      <c r="HK45" t="str">
        <f t="shared" si="73"/>
        <v>DI9-C14</v>
      </c>
      <c r="HL45" t="str">
        <f t="shared" si="73"/>
        <v>DI9-B14</v>
      </c>
      <c r="HM45" t="str">
        <f t="shared" si="73"/>
        <v>DI9-C15</v>
      </c>
      <c r="HN45" t="str">
        <f t="shared" si="73"/>
        <v>DI9-B15</v>
      </c>
      <c r="HO45" t="str">
        <f t="shared" si="73"/>
        <v>DI9-C16</v>
      </c>
      <c r="HP45" t="str">
        <f t="shared" si="73"/>
        <v>DI9-B16</v>
      </c>
      <c r="HQ45" t="str">
        <f t="shared" si="73"/>
        <v>DI9-C17</v>
      </c>
      <c r="HR45" t="str">
        <f t="shared" si="73"/>
        <v>DI9-B17</v>
      </c>
      <c r="HS45" t="str">
        <f t="shared" si="73"/>
        <v>DI9-C18</v>
      </c>
      <c r="HT45" t="str">
        <f t="shared" si="73"/>
        <v>DI9-B18</v>
      </c>
      <c r="HU45" t="str">
        <f t="shared" ref="HU45:HV55" si="90">CONCATENATE("DO",REPLACE($AH45,1,3,""),"-",AK45)</f>
        <v>DO6-5B</v>
      </c>
      <c r="HV45" t="str">
        <f t="shared" si="90"/>
        <v>DO6-5A</v>
      </c>
      <c r="HW45" t="str">
        <f t="shared" ref="HW45:HX55" si="91">CONCATENATE("DO",REPLACE($AH45,1,3,""),"-",HE45)</f>
        <v>DO6-6B</v>
      </c>
      <c r="HX45" t="str">
        <f t="shared" si="91"/>
        <v>DO6-6A</v>
      </c>
      <c r="HY45" t="str">
        <f t="shared" ref="HY45:HY55" si="92">CONCATENATE("K",$U45,"-01")</f>
        <v>K44-01</v>
      </c>
      <c r="HZ45" t="str">
        <f t="shared" ref="HZ45:HZ55" si="93">CONCATENATE("K",$U45,"-02")</f>
        <v>K44-02</v>
      </c>
      <c r="IA45" t="str">
        <f t="shared" ref="IA45:IA55" si="94">CONCATENATE("K",$U45,"-03")</f>
        <v>K44-03</v>
      </c>
      <c r="IB45" t="str">
        <f t="shared" ref="IB45:IB55" si="95">CONCATENATE("K",$U45,"-04")</f>
        <v>K44-04</v>
      </c>
      <c r="IC45" t="str">
        <f t="shared" ref="IC45:IC55" si="96">CONCATENATE("K",$U45,"-05")</f>
        <v>K44-05</v>
      </c>
      <c r="ID45" t="str">
        <f t="shared" ref="ID45:ID55" si="97">CONCATENATE("K",$U45,"-06")</f>
        <v>K44-06</v>
      </c>
      <c r="IE45" t="str">
        <f t="shared" ref="IE45:IE55" si="98">CONCATENATE("K",$U45,"-07")</f>
        <v>K44-07</v>
      </c>
      <c r="IF45" t="str">
        <f t="shared" ref="IF45:IF55" si="99">CONCATENATE("K",$U45,"-08")</f>
        <v>K44-08</v>
      </c>
      <c r="IG45" t="str">
        <f t="shared" ref="IG45:IG55" si="100">CONCATENATE($T45,"-M",$U45,"-AMS-12")</f>
        <v>F0-M44-AMS-12</v>
      </c>
      <c r="IH45" t="str">
        <f t="shared" ref="IH45:IH55" si="101">CONCATENATE($T45,"-M",$U45,"-AMS-10")</f>
        <v>F0-M44-AMS-10</v>
      </c>
      <c r="II45" t="str">
        <f t="shared" ref="II45:II55" si="102">CONCATENATE($T45,"-M",$U45,"-AMS-11")</f>
        <v>F0-M44-AMS-11</v>
      </c>
      <c r="IJ45" t="str">
        <f t="shared" ref="IJ45:IJ55" si="103">CONCATENATE($T45,"-M",$U45,"-AMS-13")</f>
        <v>F0-M44-AMS-13</v>
      </c>
      <c r="IK45" t="str">
        <f t="shared" ref="IK45:IK55" si="104">CONCATENATE($T45,"-M",$U45,"-AMS-9")</f>
        <v>F0-M44-AMS-9</v>
      </c>
      <c r="IL45" t="str">
        <f t="shared" ref="IL45:IL55" si="105">CONCATENATE($T45,"-M",$U45,"-AMS-7")</f>
        <v>F0-M44-AMS-7</v>
      </c>
      <c r="IM45" t="str">
        <f t="shared" ref="IM45:IM55" si="106">CONCATENATE($T45,"-M",$U45,"-AMS-18")</f>
        <v>F0-M44-AMS-18</v>
      </c>
      <c r="IN45" t="str">
        <f t="shared" ref="IN45:IN55" si="107">CONCATENATE($T45,"-M",$U45,"-AMS-20")</f>
        <v>F0-M44-AMS-20</v>
      </c>
      <c r="IO45" t="str">
        <f t="shared" ref="IO45:IO55" si="108">CONCATENATE($T45,"-M",$U45,"-AMS-17")</f>
        <v>F0-M44-AMS-17</v>
      </c>
      <c r="IP45" t="str">
        <f t="shared" ref="IP45:IP55" si="109">CONCATENATE($T45,"-+24-M",$U45,)</f>
        <v>F0-+24-M44</v>
      </c>
      <c r="IQ45" t="str">
        <f t="shared" ref="IQ45:IQ55" si="110">CONCATENATE($T45,"-M",$U45,"-XM01")</f>
        <v>F0-M44-XM01</v>
      </c>
      <c r="IR45" t="str">
        <f t="shared" si="76"/>
        <v>A1</v>
      </c>
      <c r="IS45" t="str">
        <f t="shared" si="76"/>
        <v>A2</v>
      </c>
      <c r="IT45">
        <f t="shared" si="76"/>
        <v>11</v>
      </c>
      <c r="IU45">
        <f t="shared" si="76"/>
        <v>14</v>
      </c>
      <c r="IV45" t="str">
        <f t="shared" si="76"/>
        <v>24v6</v>
      </c>
      <c r="IW45" t="str">
        <f t="shared" si="76"/>
        <v>0v6</v>
      </c>
      <c r="IX45">
        <f t="shared" si="76"/>
        <v>1</v>
      </c>
      <c r="IY45">
        <f t="shared" si="76"/>
        <v>2</v>
      </c>
      <c r="IZ45">
        <f t="shared" si="76"/>
        <v>3</v>
      </c>
      <c r="JA45">
        <f t="shared" si="76"/>
        <v>4</v>
      </c>
      <c r="JB45">
        <f t="shared" si="76"/>
        <v>5</v>
      </c>
      <c r="JC45">
        <f t="shared" si="76"/>
        <v>6</v>
      </c>
      <c r="JD45">
        <f t="shared" si="76"/>
        <v>7</v>
      </c>
      <c r="JE45">
        <f t="shared" si="76"/>
        <v>8</v>
      </c>
      <c r="JF45">
        <f t="shared" si="76"/>
        <v>9</v>
      </c>
      <c r="JG45">
        <f t="shared" si="76"/>
        <v>10</v>
      </c>
      <c r="JH45">
        <f t="shared" si="76"/>
        <v>11</v>
      </c>
      <c r="JI45">
        <f t="shared" si="76"/>
        <v>12</v>
      </c>
      <c r="JJ45">
        <f t="shared" si="76"/>
        <v>13</v>
      </c>
      <c r="JK45">
        <f t="shared" si="76"/>
        <v>14</v>
      </c>
      <c r="JL45">
        <f t="shared" si="76"/>
        <v>17</v>
      </c>
      <c r="JM45">
        <f t="shared" si="76"/>
        <v>15</v>
      </c>
      <c r="JN45">
        <f t="shared" si="76"/>
        <v>18</v>
      </c>
      <c r="JO45">
        <f t="shared" si="76"/>
        <v>11</v>
      </c>
      <c r="JP45">
        <f t="shared" si="76"/>
        <v>9</v>
      </c>
      <c r="JQ45">
        <f t="shared" si="76"/>
        <v>6</v>
      </c>
      <c r="JR45">
        <f t="shared" si="76"/>
        <v>20</v>
      </c>
      <c r="JS45">
        <f t="shared" si="76"/>
        <v>7</v>
      </c>
      <c r="JT45">
        <f t="shared" si="76"/>
        <v>10</v>
      </c>
      <c r="JU45">
        <f t="shared" si="76"/>
        <v>22</v>
      </c>
      <c r="JV45">
        <f t="shared" si="76"/>
        <v>23</v>
      </c>
      <c r="JW45">
        <f t="shared" si="76"/>
        <v>26</v>
      </c>
      <c r="JX45">
        <f t="shared" si="76"/>
        <v>27</v>
      </c>
      <c r="JY45" s="16">
        <f t="shared" si="76"/>
        <v>30</v>
      </c>
    </row>
    <row r="46" spans="1:285" x14ac:dyDescent="0.25">
      <c r="A46" t="s">
        <v>427</v>
      </c>
      <c r="B46" t="s">
        <v>426</v>
      </c>
      <c r="P46" t="s">
        <v>391</v>
      </c>
      <c r="T46" s="14" t="s">
        <v>554</v>
      </c>
      <c r="U46" s="15">
        <f t="shared" si="77"/>
        <v>45</v>
      </c>
      <c r="V46" t="s">
        <v>1611</v>
      </c>
      <c r="W46" t="s">
        <v>1619</v>
      </c>
      <c r="X46" t="str">
        <f>IF(COUNTIF(X$1:X45,X45)&gt;7,REPLACE(X45,LEN(X45),1,VALUE(RIGHT(X45,1))+1),X45)</f>
        <v>A3.1</v>
      </c>
      <c r="Y46" s="43" cm="1">
        <f t="array" ref="Y46">IF(COUNTIFS($X$2:$X46,$X46)=1,"1",VALUE(SUBSTITUTE(INDEX(Y:Y,_xlfn.XMATCH($X46,$X$1:$X45,0,-1)),"A",""))+INDEX(Z:Z,_xlfn.XMATCH($X46,$X$1:$X45,0,-1))+1)</f>
        <v>4</v>
      </c>
      <c r="Z46" s="43" cm="1">
        <f t="array" ref="Z46">SUM(IF(ISNUMBER(FIND("TmAi",$BE$1:$AAD$1)),IF(IFERROR(ISODD(SUBSTITUTE($BE46:$AAD46,"A","")),FALSE),IF(ISODD(SUBSTITUTE($BE46:$AAD46,"A","")),1,0),0)))</f>
        <v>0</v>
      </c>
      <c r="AA46" t="str">
        <f t="shared" si="74"/>
        <v>7A</v>
      </c>
      <c r="AB46" t="str">
        <f t="shared" si="75"/>
        <v>7B</v>
      </c>
      <c r="AC46" s="15" t="s">
        <v>278</v>
      </c>
      <c r="AD46" s="15"/>
      <c r="AE46" s="15"/>
      <c r="AF46" t="s">
        <v>239</v>
      </c>
      <c r="AG46" t="s">
        <v>241</v>
      </c>
      <c r="AH46" s="15" t="s">
        <v>388</v>
      </c>
      <c r="AI46" s="15"/>
      <c r="AJ46" s="15"/>
      <c r="AK46" t="s">
        <v>245</v>
      </c>
      <c r="AL46" t="s">
        <v>246</v>
      </c>
      <c r="AM46" t="s">
        <v>425</v>
      </c>
      <c r="AP46" t="s">
        <v>137</v>
      </c>
      <c r="AQ46" t="s">
        <v>138</v>
      </c>
      <c r="AS46" t="s">
        <v>396</v>
      </c>
      <c r="AT46" t="s">
        <v>139</v>
      </c>
      <c r="AU46" t="s">
        <v>140</v>
      </c>
      <c r="BD46" s="16"/>
      <c r="GT46" s="27" t="str">
        <f t="shared" si="70"/>
        <v>XT45</v>
      </c>
      <c r="GU46" t="str">
        <f t="shared" si="71"/>
        <v>C20</v>
      </c>
      <c r="GV46" t="str">
        <f t="shared" si="78"/>
        <v>B20</v>
      </c>
      <c r="GW46" t="str">
        <f t="shared" si="79"/>
        <v>C21</v>
      </c>
      <c r="GX46" t="str">
        <f t="shared" si="80"/>
        <v>B21</v>
      </c>
      <c r="GY46" t="str">
        <f t="shared" si="81"/>
        <v>C22</v>
      </c>
      <c r="GZ46" t="str">
        <f t="shared" si="82"/>
        <v>B22</v>
      </c>
      <c r="HA46" t="str">
        <f t="shared" si="83"/>
        <v>C23</v>
      </c>
      <c r="HB46" t="str">
        <f t="shared" si="84"/>
        <v>B23</v>
      </c>
      <c r="HC46" t="str">
        <f t="shared" si="85"/>
        <v>C24</v>
      </c>
      <c r="HD46" t="str">
        <f t="shared" si="86"/>
        <v>B24</v>
      </c>
      <c r="HE46" t="str">
        <f t="shared" si="87"/>
        <v>8B</v>
      </c>
      <c r="HF46" t="str">
        <f t="shared" si="88"/>
        <v>8A</v>
      </c>
      <c r="HG46" t="str">
        <f t="shared" si="72"/>
        <v>AI1-7A</v>
      </c>
      <c r="HH46" t="str">
        <f t="shared" si="72"/>
        <v>AI1-7B</v>
      </c>
      <c r="HI46" t="str">
        <f t="shared" si="89"/>
        <v>DI9-C19</v>
      </c>
      <c r="HJ46" t="str">
        <f t="shared" si="89"/>
        <v>DI9-B19</v>
      </c>
      <c r="HK46" t="str">
        <f t="shared" si="73"/>
        <v>DI9-C20</v>
      </c>
      <c r="HL46" t="str">
        <f t="shared" si="73"/>
        <v>DI9-B20</v>
      </c>
      <c r="HM46" t="str">
        <f t="shared" si="73"/>
        <v>DI9-C21</v>
      </c>
      <c r="HN46" t="str">
        <f t="shared" si="73"/>
        <v>DI9-B21</v>
      </c>
      <c r="HO46" t="str">
        <f t="shared" si="73"/>
        <v>DI9-C22</v>
      </c>
      <c r="HP46" t="str">
        <f t="shared" si="73"/>
        <v>DI9-B22</v>
      </c>
      <c r="HQ46" t="str">
        <f t="shared" si="73"/>
        <v>DI9-C23</v>
      </c>
      <c r="HR46" t="str">
        <f t="shared" si="73"/>
        <v>DI9-B23</v>
      </c>
      <c r="HS46" t="str">
        <f t="shared" si="73"/>
        <v>DI9-C24</v>
      </c>
      <c r="HT46" t="str">
        <f t="shared" si="73"/>
        <v>DI9-B24</v>
      </c>
      <c r="HU46" t="str">
        <f t="shared" si="90"/>
        <v>DO6-7B</v>
      </c>
      <c r="HV46" t="str">
        <f t="shared" si="90"/>
        <v>DO6-7A</v>
      </c>
      <c r="HW46" t="str">
        <f t="shared" si="91"/>
        <v>DO6-8B</v>
      </c>
      <c r="HX46" t="str">
        <f t="shared" si="91"/>
        <v>DO6-8A</v>
      </c>
      <c r="HY46" t="str">
        <f t="shared" si="92"/>
        <v>K45-01</v>
      </c>
      <c r="HZ46" t="str">
        <f t="shared" si="93"/>
        <v>K45-02</v>
      </c>
      <c r="IA46" t="str">
        <f t="shared" si="94"/>
        <v>K45-03</v>
      </c>
      <c r="IB46" t="str">
        <f t="shared" si="95"/>
        <v>K45-04</v>
      </c>
      <c r="IC46" t="str">
        <f t="shared" si="96"/>
        <v>K45-05</v>
      </c>
      <c r="ID46" t="str">
        <f t="shared" si="97"/>
        <v>K45-06</v>
      </c>
      <c r="IE46" t="str">
        <f t="shared" si="98"/>
        <v>K45-07</v>
      </c>
      <c r="IF46" t="str">
        <f t="shared" si="99"/>
        <v>K45-08</v>
      </c>
      <c r="IG46" t="str">
        <f t="shared" si="100"/>
        <v>F0-M45-AMS-12</v>
      </c>
      <c r="IH46" t="str">
        <f t="shared" si="101"/>
        <v>F0-M45-AMS-10</v>
      </c>
      <c r="II46" t="str">
        <f t="shared" si="102"/>
        <v>F0-M45-AMS-11</v>
      </c>
      <c r="IJ46" t="str">
        <f t="shared" si="103"/>
        <v>F0-M45-AMS-13</v>
      </c>
      <c r="IK46" t="str">
        <f t="shared" si="104"/>
        <v>F0-M45-AMS-9</v>
      </c>
      <c r="IL46" t="str">
        <f t="shared" si="105"/>
        <v>F0-M45-AMS-7</v>
      </c>
      <c r="IM46" t="str">
        <f t="shared" si="106"/>
        <v>F0-M45-AMS-18</v>
      </c>
      <c r="IN46" t="str">
        <f t="shared" si="107"/>
        <v>F0-M45-AMS-20</v>
      </c>
      <c r="IO46" t="str">
        <f t="shared" si="108"/>
        <v>F0-M45-AMS-17</v>
      </c>
      <c r="IP46" t="str">
        <f t="shared" si="109"/>
        <v>F0-+24-M45</v>
      </c>
      <c r="IQ46" t="str">
        <f t="shared" si="110"/>
        <v>F0-M45-XM01</v>
      </c>
      <c r="IR46" t="str">
        <f t="shared" si="76"/>
        <v>A1</v>
      </c>
      <c r="IS46" t="str">
        <f t="shared" si="76"/>
        <v>A2</v>
      </c>
      <c r="IT46">
        <f t="shared" si="76"/>
        <v>11</v>
      </c>
      <c r="IU46">
        <f t="shared" si="76"/>
        <v>14</v>
      </c>
      <c r="IV46" t="str">
        <f t="shared" si="76"/>
        <v>24v6</v>
      </c>
      <c r="IW46" t="str">
        <f t="shared" si="76"/>
        <v>0v6</v>
      </c>
      <c r="IX46">
        <f t="shared" si="76"/>
        <v>1</v>
      </c>
      <c r="IY46">
        <f t="shared" si="76"/>
        <v>2</v>
      </c>
      <c r="IZ46">
        <f t="shared" si="76"/>
        <v>3</v>
      </c>
      <c r="JA46">
        <f t="shared" si="76"/>
        <v>4</v>
      </c>
      <c r="JB46">
        <f t="shared" si="76"/>
        <v>5</v>
      </c>
      <c r="JC46">
        <f t="shared" si="76"/>
        <v>6</v>
      </c>
      <c r="JD46">
        <f t="shared" si="76"/>
        <v>7</v>
      </c>
      <c r="JE46">
        <f t="shared" si="76"/>
        <v>8</v>
      </c>
      <c r="JF46">
        <f t="shared" si="76"/>
        <v>9</v>
      </c>
      <c r="JG46">
        <f t="shared" si="76"/>
        <v>10</v>
      </c>
      <c r="JH46">
        <f t="shared" si="76"/>
        <v>11</v>
      </c>
      <c r="JI46">
        <f t="shared" si="76"/>
        <v>12</v>
      </c>
      <c r="JJ46">
        <f t="shared" si="76"/>
        <v>13</v>
      </c>
      <c r="JK46">
        <f t="shared" si="76"/>
        <v>14</v>
      </c>
      <c r="JL46">
        <f t="shared" si="76"/>
        <v>17</v>
      </c>
      <c r="JM46">
        <f t="shared" si="76"/>
        <v>15</v>
      </c>
      <c r="JN46">
        <f t="shared" si="76"/>
        <v>18</v>
      </c>
      <c r="JO46">
        <f t="shared" si="76"/>
        <v>11</v>
      </c>
      <c r="JP46">
        <f t="shared" si="76"/>
        <v>9</v>
      </c>
      <c r="JQ46">
        <f t="shared" si="76"/>
        <v>6</v>
      </c>
      <c r="JR46">
        <f t="shared" si="76"/>
        <v>20</v>
      </c>
      <c r="JS46">
        <f t="shared" si="76"/>
        <v>7</v>
      </c>
      <c r="JT46">
        <f t="shared" si="76"/>
        <v>10</v>
      </c>
      <c r="JU46">
        <f t="shared" si="76"/>
        <v>22</v>
      </c>
      <c r="JV46">
        <f t="shared" si="76"/>
        <v>23</v>
      </c>
      <c r="JW46">
        <f t="shared" si="76"/>
        <v>26</v>
      </c>
      <c r="JX46">
        <f t="shared" si="76"/>
        <v>27</v>
      </c>
      <c r="JY46" s="16">
        <f t="shared" si="76"/>
        <v>30</v>
      </c>
    </row>
    <row r="47" spans="1:285" x14ac:dyDescent="0.25">
      <c r="A47" t="s">
        <v>463</v>
      </c>
      <c r="B47" t="s">
        <v>462</v>
      </c>
      <c r="P47" t="s">
        <v>391</v>
      </c>
      <c r="T47" s="14" t="s">
        <v>554</v>
      </c>
      <c r="U47" s="15">
        <f t="shared" si="77"/>
        <v>46</v>
      </c>
      <c r="V47" t="s">
        <v>1612</v>
      </c>
      <c r="W47" t="s">
        <v>1620</v>
      </c>
      <c r="X47" t="str">
        <f>IF(COUNTIF(X$1:X46,X46)&gt;7,REPLACE(X46,LEN(X46),1,VALUE(RIGHT(X46,1))+1),X46)</f>
        <v>A3.1</v>
      </c>
      <c r="Y47" s="43" cm="1">
        <f t="array" ref="Y47">IF(COUNTIFS($X$2:$X47,$X47)=1,"1",VALUE(SUBSTITUTE(INDEX(Y:Y,_xlfn.XMATCH($X47,$X$1:$X46,0,-1)),"A",""))+INDEX(Z:Z,_xlfn.XMATCH($X47,$X$1:$X46,0,-1))+1)</f>
        <v>5</v>
      </c>
      <c r="Z47" s="43" cm="1">
        <f t="array" ref="Z47">SUM(IF(ISNUMBER(FIND("TmAi",$BE$1:$AAD$1)),IF(IFERROR(ISODD(SUBSTITUTE($BE47:$AAD47,"A","")),FALSE),IF(ISODD(SUBSTITUTE($BE47:$AAD47,"A","")),1,0),0)))</f>
        <v>0</v>
      </c>
      <c r="AA47" t="str">
        <f t="shared" si="74"/>
        <v>9A</v>
      </c>
      <c r="AB47" t="str">
        <f t="shared" si="75"/>
        <v>9B</v>
      </c>
      <c r="AC47" s="15" t="s">
        <v>278</v>
      </c>
      <c r="AD47" s="15"/>
      <c r="AE47" s="15"/>
      <c r="AF47" t="s">
        <v>240</v>
      </c>
      <c r="AG47" t="s">
        <v>242</v>
      </c>
      <c r="AH47" s="15" t="s">
        <v>388</v>
      </c>
      <c r="AI47" s="15"/>
      <c r="AJ47" s="15"/>
      <c r="AK47" s="15" t="s">
        <v>285</v>
      </c>
      <c r="AL47" s="15" t="s">
        <v>286</v>
      </c>
      <c r="AM47" s="15" t="s">
        <v>447</v>
      </c>
      <c r="AP47" t="s">
        <v>137</v>
      </c>
      <c r="AQ47" t="s">
        <v>138</v>
      </c>
      <c r="AS47" t="s">
        <v>396</v>
      </c>
      <c r="AT47" t="s">
        <v>139</v>
      </c>
      <c r="AU47" t="s">
        <v>140</v>
      </c>
      <c r="BD47" s="16"/>
      <c r="GT47" s="27" t="str">
        <f t="shared" si="70"/>
        <v>XT46</v>
      </c>
      <c r="GU47" t="str">
        <f t="shared" si="71"/>
        <v>C26</v>
      </c>
      <c r="GV47" t="str">
        <f t="shared" si="78"/>
        <v>B26</v>
      </c>
      <c r="GW47" t="str">
        <f t="shared" si="79"/>
        <v>C27</v>
      </c>
      <c r="GX47" t="str">
        <f t="shared" si="80"/>
        <v>B27</v>
      </c>
      <c r="GY47" t="str">
        <f t="shared" si="81"/>
        <v>C28</v>
      </c>
      <c r="GZ47" t="str">
        <f t="shared" si="82"/>
        <v>B28</v>
      </c>
      <c r="HA47" t="str">
        <f t="shared" si="83"/>
        <v>C29</v>
      </c>
      <c r="HB47" t="str">
        <f t="shared" si="84"/>
        <v>B29</v>
      </c>
      <c r="HC47" t="str">
        <f t="shared" si="85"/>
        <v>C30</v>
      </c>
      <c r="HD47" t="str">
        <f t="shared" si="86"/>
        <v>B30</v>
      </c>
      <c r="HE47" t="str">
        <f t="shared" si="87"/>
        <v>10B</v>
      </c>
      <c r="HF47" t="str">
        <f t="shared" si="88"/>
        <v>10A</v>
      </c>
      <c r="HG47" t="str">
        <f t="shared" si="72"/>
        <v>AI1-9A</v>
      </c>
      <c r="HH47" t="str">
        <f t="shared" si="72"/>
        <v>AI1-9B</v>
      </c>
      <c r="HI47" t="str">
        <f t="shared" si="89"/>
        <v>DI9-C25</v>
      </c>
      <c r="HJ47" t="str">
        <f t="shared" si="89"/>
        <v>DI9-B25</v>
      </c>
      <c r="HK47" t="str">
        <f t="shared" si="73"/>
        <v>DI9-C26</v>
      </c>
      <c r="HL47" t="str">
        <f t="shared" si="73"/>
        <v>DI9-B26</v>
      </c>
      <c r="HM47" t="str">
        <f t="shared" si="73"/>
        <v>DI9-C27</v>
      </c>
      <c r="HN47" t="str">
        <f t="shared" si="73"/>
        <v>DI9-B27</v>
      </c>
      <c r="HO47" t="str">
        <f t="shared" si="73"/>
        <v>DI9-C28</v>
      </c>
      <c r="HP47" t="str">
        <f t="shared" si="73"/>
        <v>DI9-B28</v>
      </c>
      <c r="HQ47" t="str">
        <f t="shared" si="73"/>
        <v>DI9-C29</v>
      </c>
      <c r="HR47" t="str">
        <f t="shared" si="73"/>
        <v>DI9-B29</v>
      </c>
      <c r="HS47" t="str">
        <f t="shared" si="73"/>
        <v>DI9-C30</v>
      </c>
      <c r="HT47" t="str">
        <f t="shared" si="73"/>
        <v>DI9-B30</v>
      </c>
      <c r="HU47" t="str">
        <f t="shared" si="90"/>
        <v>DO6-9B</v>
      </c>
      <c r="HV47" t="str">
        <f t="shared" si="90"/>
        <v>DO6-9A</v>
      </c>
      <c r="HW47" t="str">
        <f t="shared" si="91"/>
        <v>DO6-10B</v>
      </c>
      <c r="HX47" t="str">
        <f t="shared" si="91"/>
        <v>DO6-10A</v>
      </c>
      <c r="HY47" t="str">
        <f t="shared" si="92"/>
        <v>K46-01</v>
      </c>
      <c r="HZ47" t="str">
        <f t="shared" si="93"/>
        <v>K46-02</v>
      </c>
      <c r="IA47" t="str">
        <f t="shared" si="94"/>
        <v>K46-03</v>
      </c>
      <c r="IB47" t="str">
        <f t="shared" si="95"/>
        <v>K46-04</v>
      </c>
      <c r="IC47" t="str">
        <f t="shared" si="96"/>
        <v>K46-05</v>
      </c>
      <c r="ID47" t="str">
        <f t="shared" si="97"/>
        <v>K46-06</v>
      </c>
      <c r="IE47" t="str">
        <f t="shared" si="98"/>
        <v>K46-07</v>
      </c>
      <c r="IF47" t="str">
        <f t="shared" si="99"/>
        <v>K46-08</v>
      </c>
      <c r="IG47" t="str">
        <f t="shared" si="100"/>
        <v>F0-M46-AMS-12</v>
      </c>
      <c r="IH47" t="str">
        <f t="shared" si="101"/>
        <v>F0-M46-AMS-10</v>
      </c>
      <c r="II47" t="str">
        <f t="shared" si="102"/>
        <v>F0-M46-AMS-11</v>
      </c>
      <c r="IJ47" t="str">
        <f t="shared" si="103"/>
        <v>F0-M46-AMS-13</v>
      </c>
      <c r="IK47" t="str">
        <f t="shared" si="104"/>
        <v>F0-M46-AMS-9</v>
      </c>
      <c r="IL47" t="str">
        <f t="shared" si="105"/>
        <v>F0-M46-AMS-7</v>
      </c>
      <c r="IM47" t="str">
        <f t="shared" si="106"/>
        <v>F0-M46-AMS-18</v>
      </c>
      <c r="IN47" t="str">
        <f t="shared" si="107"/>
        <v>F0-M46-AMS-20</v>
      </c>
      <c r="IO47" t="str">
        <f t="shared" si="108"/>
        <v>F0-M46-AMS-17</v>
      </c>
      <c r="IP47" t="str">
        <f t="shared" si="109"/>
        <v>F0-+24-M46</v>
      </c>
      <c r="IQ47" t="str">
        <f t="shared" si="110"/>
        <v>F0-M46-XM01</v>
      </c>
      <c r="IR47" t="str">
        <f t="shared" si="76"/>
        <v>A1</v>
      </c>
      <c r="IS47" t="str">
        <f t="shared" si="76"/>
        <v>A2</v>
      </c>
      <c r="IT47">
        <f t="shared" si="76"/>
        <v>11</v>
      </c>
      <c r="IU47">
        <f t="shared" si="76"/>
        <v>14</v>
      </c>
      <c r="IV47" t="str">
        <f t="shared" si="76"/>
        <v>24v6</v>
      </c>
      <c r="IW47" t="str">
        <f t="shared" si="76"/>
        <v>0v6</v>
      </c>
      <c r="IX47">
        <f t="shared" si="76"/>
        <v>1</v>
      </c>
      <c r="IY47">
        <f t="shared" si="76"/>
        <v>2</v>
      </c>
      <c r="IZ47">
        <f t="shared" si="76"/>
        <v>3</v>
      </c>
      <c r="JA47">
        <f t="shared" si="76"/>
        <v>4</v>
      </c>
      <c r="JB47">
        <f t="shared" si="76"/>
        <v>5</v>
      </c>
      <c r="JC47">
        <f t="shared" si="76"/>
        <v>6</v>
      </c>
      <c r="JD47">
        <f t="shared" si="76"/>
        <v>7</v>
      </c>
      <c r="JE47">
        <f t="shared" si="76"/>
        <v>8</v>
      </c>
      <c r="JF47">
        <f t="shared" si="76"/>
        <v>9</v>
      </c>
      <c r="JG47">
        <f t="shared" si="76"/>
        <v>10</v>
      </c>
      <c r="JH47">
        <f t="shared" si="76"/>
        <v>11</v>
      </c>
      <c r="JI47">
        <f t="shared" si="76"/>
        <v>12</v>
      </c>
      <c r="JJ47">
        <f t="shared" si="76"/>
        <v>13</v>
      </c>
      <c r="JK47">
        <f t="shared" si="76"/>
        <v>14</v>
      </c>
      <c r="JL47">
        <f t="shared" si="76"/>
        <v>17</v>
      </c>
      <c r="JM47">
        <f t="shared" si="76"/>
        <v>15</v>
      </c>
      <c r="JN47">
        <f t="shared" si="76"/>
        <v>18</v>
      </c>
      <c r="JO47">
        <f t="shared" si="76"/>
        <v>11</v>
      </c>
      <c r="JP47">
        <f t="shared" si="76"/>
        <v>9</v>
      </c>
      <c r="JQ47">
        <f t="shared" si="76"/>
        <v>6</v>
      </c>
      <c r="JR47">
        <f t="shared" si="76"/>
        <v>20</v>
      </c>
      <c r="JS47">
        <f t="shared" si="76"/>
        <v>7</v>
      </c>
      <c r="JT47">
        <f t="shared" si="76"/>
        <v>10</v>
      </c>
      <c r="JU47">
        <f t="shared" si="76"/>
        <v>22</v>
      </c>
      <c r="JV47">
        <f t="shared" si="76"/>
        <v>23</v>
      </c>
      <c r="JW47">
        <f t="shared" si="76"/>
        <v>26</v>
      </c>
      <c r="JX47">
        <f t="shared" si="76"/>
        <v>27</v>
      </c>
      <c r="JY47" s="16">
        <f t="shared" si="76"/>
        <v>30</v>
      </c>
    </row>
    <row r="48" spans="1:285" x14ac:dyDescent="0.25">
      <c r="A48" t="s">
        <v>465</v>
      </c>
      <c r="B48" t="s">
        <v>464</v>
      </c>
      <c r="P48" t="s">
        <v>391</v>
      </c>
      <c r="T48" s="14" t="s">
        <v>554</v>
      </c>
      <c r="U48" s="15">
        <f t="shared" si="77"/>
        <v>47</v>
      </c>
      <c r="V48" t="s">
        <v>1613</v>
      </c>
      <c r="W48" t="s">
        <v>1621</v>
      </c>
      <c r="X48" t="str">
        <f>IF(COUNTIF(X$1:X47,X47)&gt;7,REPLACE(X47,LEN(X47),1,VALUE(RIGHT(X47,1))+1),X47)</f>
        <v>A3.1</v>
      </c>
      <c r="Y48" s="43" cm="1">
        <f t="array" ref="Y48">IF(COUNTIFS($X$2:$X48,$X48)=1,"1",VALUE(SUBSTITUTE(INDEX(Y:Y,_xlfn.XMATCH($X48,$X$1:$X47,0,-1)),"A",""))+INDEX(Z:Z,_xlfn.XMATCH($X48,$X$1:$X47,0,-1))+1)</f>
        <v>6</v>
      </c>
      <c r="Z48" s="43" cm="1">
        <f t="array" ref="Z48">SUM(IF(ISNUMBER(FIND("TmAi",$BE$1:$AAD$1)),IF(IFERROR(ISODD(SUBSTITUTE($BE48:$AAD48,"A","")),FALSE),IF(ISODD(SUBSTITUTE($BE48:$AAD48,"A","")),1,0),0)))</f>
        <v>0</v>
      </c>
      <c r="AA48" t="str">
        <f t="shared" si="74"/>
        <v>11A</v>
      </c>
      <c r="AB48" t="str">
        <f t="shared" si="75"/>
        <v>11B</v>
      </c>
      <c r="AC48" s="15" t="s">
        <v>441</v>
      </c>
      <c r="AD48" s="15"/>
      <c r="AE48" s="15"/>
      <c r="AF48" t="s">
        <v>133</v>
      </c>
      <c r="AG48" t="s">
        <v>134</v>
      </c>
      <c r="AH48" s="15" t="s">
        <v>388</v>
      </c>
      <c r="AI48" s="15"/>
      <c r="AJ48" s="15"/>
      <c r="AK48" t="s">
        <v>371</v>
      </c>
      <c r="AL48" t="s">
        <v>374</v>
      </c>
      <c r="AM48" t="s">
        <v>448</v>
      </c>
      <c r="AP48" t="s">
        <v>137</v>
      </c>
      <c r="AQ48" t="s">
        <v>138</v>
      </c>
      <c r="AS48" t="s">
        <v>396</v>
      </c>
      <c r="AT48" t="s">
        <v>139</v>
      </c>
      <c r="AU48" t="s">
        <v>140</v>
      </c>
      <c r="BD48" s="16"/>
      <c r="GT48" s="27" t="str">
        <f t="shared" si="70"/>
        <v>XT47</v>
      </c>
      <c r="GU48" t="str">
        <f t="shared" si="71"/>
        <v>C2</v>
      </c>
      <c r="GV48" t="str">
        <f t="shared" si="78"/>
        <v>B2</v>
      </c>
      <c r="GW48" t="str">
        <f t="shared" si="79"/>
        <v>C3</v>
      </c>
      <c r="GX48" t="str">
        <f t="shared" si="80"/>
        <v>B3</v>
      </c>
      <c r="GY48" t="str">
        <f t="shared" si="81"/>
        <v>C4</v>
      </c>
      <c r="GZ48" t="str">
        <f t="shared" si="82"/>
        <v>B4</v>
      </c>
      <c r="HA48" t="str">
        <f t="shared" si="83"/>
        <v>C5</v>
      </c>
      <c r="HB48" t="str">
        <f t="shared" si="84"/>
        <v>B5</v>
      </c>
      <c r="HC48" t="str">
        <f t="shared" si="85"/>
        <v>C6</v>
      </c>
      <c r="HD48" t="str">
        <f t="shared" si="86"/>
        <v>B6</v>
      </c>
      <c r="HE48" t="str">
        <f t="shared" si="87"/>
        <v>12B</v>
      </c>
      <c r="HF48" t="str">
        <f t="shared" si="88"/>
        <v>12A</v>
      </c>
      <c r="HG48" t="str">
        <f t="shared" si="72"/>
        <v>AI1-11A</v>
      </c>
      <c r="HH48" t="str">
        <f t="shared" si="72"/>
        <v>AI1-11B</v>
      </c>
      <c r="HI48" t="str">
        <f t="shared" si="89"/>
        <v>DI10-C1</v>
      </c>
      <c r="HJ48" t="str">
        <f t="shared" si="89"/>
        <v>DI10-B1</v>
      </c>
      <c r="HK48" t="str">
        <f t="shared" si="73"/>
        <v>DI10-C2</v>
      </c>
      <c r="HL48" t="str">
        <f t="shared" si="73"/>
        <v>DI10-B2</v>
      </c>
      <c r="HM48" t="str">
        <f t="shared" si="73"/>
        <v>DI10-C3</v>
      </c>
      <c r="HN48" t="str">
        <f t="shared" si="73"/>
        <v>DI10-B3</v>
      </c>
      <c r="HO48" t="str">
        <f t="shared" si="73"/>
        <v>DI10-C4</v>
      </c>
      <c r="HP48" t="str">
        <f t="shared" si="73"/>
        <v>DI10-B4</v>
      </c>
      <c r="HQ48" t="str">
        <f t="shared" si="73"/>
        <v>DI10-C5</v>
      </c>
      <c r="HR48" t="str">
        <f t="shared" si="73"/>
        <v>DI10-B5</v>
      </c>
      <c r="HS48" t="str">
        <f t="shared" si="73"/>
        <v>DI10-C6</v>
      </c>
      <c r="HT48" t="str">
        <f t="shared" si="73"/>
        <v>DI10-B6</v>
      </c>
      <c r="HU48" t="str">
        <f t="shared" si="90"/>
        <v>DO6-11B</v>
      </c>
      <c r="HV48" t="str">
        <f t="shared" si="90"/>
        <v>DO6-11A</v>
      </c>
      <c r="HW48" t="str">
        <f t="shared" si="91"/>
        <v>DO6-12B</v>
      </c>
      <c r="HX48" t="str">
        <f t="shared" si="91"/>
        <v>DO6-12A</v>
      </c>
      <c r="HY48" t="str">
        <f t="shared" si="92"/>
        <v>K47-01</v>
      </c>
      <c r="HZ48" t="str">
        <f t="shared" si="93"/>
        <v>K47-02</v>
      </c>
      <c r="IA48" t="str">
        <f t="shared" si="94"/>
        <v>K47-03</v>
      </c>
      <c r="IB48" t="str">
        <f t="shared" si="95"/>
        <v>K47-04</v>
      </c>
      <c r="IC48" t="str">
        <f t="shared" si="96"/>
        <v>K47-05</v>
      </c>
      <c r="ID48" t="str">
        <f t="shared" si="97"/>
        <v>K47-06</v>
      </c>
      <c r="IE48" t="str">
        <f t="shared" si="98"/>
        <v>K47-07</v>
      </c>
      <c r="IF48" t="str">
        <f t="shared" si="99"/>
        <v>K47-08</v>
      </c>
      <c r="IG48" t="str">
        <f t="shared" si="100"/>
        <v>F0-M47-AMS-12</v>
      </c>
      <c r="IH48" t="str">
        <f t="shared" si="101"/>
        <v>F0-M47-AMS-10</v>
      </c>
      <c r="II48" t="str">
        <f t="shared" si="102"/>
        <v>F0-M47-AMS-11</v>
      </c>
      <c r="IJ48" t="str">
        <f t="shared" si="103"/>
        <v>F0-M47-AMS-13</v>
      </c>
      <c r="IK48" t="str">
        <f t="shared" si="104"/>
        <v>F0-M47-AMS-9</v>
      </c>
      <c r="IL48" t="str">
        <f t="shared" si="105"/>
        <v>F0-M47-AMS-7</v>
      </c>
      <c r="IM48" t="str">
        <f t="shared" si="106"/>
        <v>F0-M47-AMS-18</v>
      </c>
      <c r="IN48" t="str">
        <f t="shared" si="107"/>
        <v>F0-M47-AMS-20</v>
      </c>
      <c r="IO48" t="str">
        <f t="shared" si="108"/>
        <v>F0-M47-AMS-17</v>
      </c>
      <c r="IP48" t="str">
        <f t="shared" si="109"/>
        <v>F0-+24-M47</v>
      </c>
      <c r="IQ48" t="str">
        <f t="shared" si="110"/>
        <v>F0-M47-XM01</v>
      </c>
      <c r="IR48" t="str">
        <f t="shared" si="76"/>
        <v>A1</v>
      </c>
      <c r="IS48" t="str">
        <f t="shared" si="76"/>
        <v>A2</v>
      </c>
      <c r="IT48">
        <f t="shared" si="76"/>
        <v>11</v>
      </c>
      <c r="IU48">
        <f t="shared" si="76"/>
        <v>14</v>
      </c>
      <c r="IV48" t="str">
        <f t="shared" si="76"/>
        <v>24v6</v>
      </c>
      <c r="IW48" t="str">
        <f t="shared" si="76"/>
        <v>0v6</v>
      </c>
      <c r="IX48">
        <f t="shared" si="76"/>
        <v>1</v>
      </c>
      <c r="IY48">
        <f t="shared" si="76"/>
        <v>2</v>
      </c>
      <c r="IZ48">
        <f t="shared" si="76"/>
        <v>3</v>
      </c>
      <c r="JA48">
        <f t="shared" si="76"/>
        <v>4</v>
      </c>
      <c r="JB48">
        <f t="shared" si="76"/>
        <v>5</v>
      </c>
      <c r="JC48">
        <f t="shared" si="76"/>
        <v>6</v>
      </c>
      <c r="JD48">
        <f t="shared" si="76"/>
        <v>7</v>
      </c>
      <c r="JE48">
        <f t="shared" si="76"/>
        <v>8</v>
      </c>
      <c r="JF48">
        <f t="shared" si="76"/>
        <v>9</v>
      </c>
      <c r="JG48">
        <f t="shared" si="76"/>
        <v>10</v>
      </c>
      <c r="JH48">
        <f t="shared" si="76"/>
        <v>11</v>
      </c>
      <c r="JI48">
        <f t="shared" si="76"/>
        <v>12</v>
      </c>
      <c r="JJ48">
        <f t="shared" si="76"/>
        <v>13</v>
      </c>
      <c r="JK48">
        <f t="shared" si="76"/>
        <v>14</v>
      </c>
      <c r="JL48">
        <f t="shared" si="76"/>
        <v>17</v>
      </c>
      <c r="JM48">
        <f t="shared" si="76"/>
        <v>15</v>
      </c>
      <c r="JN48">
        <f t="shared" si="76"/>
        <v>18</v>
      </c>
      <c r="JO48">
        <f t="shared" si="76"/>
        <v>11</v>
      </c>
      <c r="JP48">
        <f t="shared" si="76"/>
        <v>9</v>
      </c>
      <c r="JQ48">
        <f t="shared" si="76"/>
        <v>6</v>
      </c>
      <c r="JR48">
        <f t="shared" si="76"/>
        <v>20</v>
      </c>
      <c r="JS48">
        <f t="shared" si="76"/>
        <v>7</v>
      </c>
      <c r="JT48">
        <f t="shared" si="76"/>
        <v>10</v>
      </c>
      <c r="JU48">
        <f t="shared" si="76"/>
        <v>22</v>
      </c>
      <c r="JV48">
        <f t="shared" si="76"/>
        <v>23</v>
      </c>
      <c r="JW48">
        <f t="shared" si="76"/>
        <v>26</v>
      </c>
      <c r="JX48">
        <f t="shared" si="76"/>
        <v>27</v>
      </c>
      <c r="JY48" s="16">
        <f t="shared" si="76"/>
        <v>30</v>
      </c>
    </row>
    <row r="49" spans="1:305" x14ac:dyDescent="0.25">
      <c r="A49" t="s">
        <v>467</v>
      </c>
      <c r="B49" t="s">
        <v>466</v>
      </c>
      <c r="P49" t="s">
        <v>391</v>
      </c>
      <c r="T49" s="14" t="s">
        <v>554</v>
      </c>
      <c r="U49" s="15">
        <f t="shared" si="77"/>
        <v>48</v>
      </c>
      <c r="V49" t="s">
        <v>1614</v>
      </c>
      <c r="W49" t="s">
        <v>1622</v>
      </c>
      <c r="X49" t="str">
        <f>IF(COUNTIF(X$1:X48,X48)&gt;7,REPLACE(X48,LEN(X48),1,VALUE(RIGHT(X48,1))+1),X48)</f>
        <v>A3.1</v>
      </c>
      <c r="Y49" s="43" cm="1">
        <f t="array" ref="Y49">IF(COUNTIFS($X$2:$X49,$X49)=1,"1",VALUE(SUBSTITUTE(INDEX(Y:Y,_xlfn.XMATCH($X49,$X$1:$X48,0,-1)),"A",""))+INDEX(Z:Z,_xlfn.XMATCH($X49,$X$1:$X48,0,-1))+1)</f>
        <v>7</v>
      </c>
      <c r="Z49" s="43" cm="1">
        <f t="array" ref="Z49">SUM(IF(ISNUMBER(FIND("TmAi",$BE$1:$AAD$1)),IF(IFERROR(ISODD(SUBSTITUTE($BE49:$AAD49,"A","")),FALSE),IF(ISODD(SUBSTITUTE($BE49:$AAD49,"A","")),1,0),0)))</f>
        <v>0</v>
      </c>
      <c r="AA49" t="str">
        <f t="shared" si="74"/>
        <v>13A</v>
      </c>
      <c r="AB49" t="str">
        <f t="shared" si="75"/>
        <v>13B</v>
      </c>
      <c r="AC49" s="15" t="s">
        <v>441</v>
      </c>
      <c r="AD49" s="15"/>
      <c r="AE49" s="15"/>
      <c r="AF49" t="s">
        <v>148</v>
      </c>
      <c r="AG49" t="s">
        <v>149</v>
      </c>
      <c r="AH49" s="15" t="s">
        <v>388</v>
      </c>
      <c r="AI49" s="15"/>
      <c r="AJ49" s="15"/>
      <c r="AK49" s="15" t="s">
        <v>248</v>
      </c>
      <c r="AL49" s="15" t="s">
        <v>255</v>
      </c>
      <c r="AM49" s="15" t="s">
        <v>449</v>
      </c>
      <c r="AP49" t="s">
        <v>137</v>
      </c>
      <c r="AQ49" t="s">
        <v>138</v>
      </c>
      <c r="AS49" t="s">
        <v>396</v>
      </c>
      <c r="AT49" t="s">
        <v>139</v>
      </c>
      <c r="AU49" t="s">
        <v>140</v>
      </c>
      <c r="BD49" s="16"/>
      <c r="GT49" s="27" t="str">
        <f t="shared" si="70"/>
        <v>XT48</v>
      </c>
      <c r="GU49" t="str">
        <f t="shared" si="71"/>
        <v>C8</v>
      </c>
      <c r="GV49" t="str">
        <f t="shared" si="78"/>
        <v>B8</v>
      </c>
      <c r="GW49" t="str">
        <f t="shared" si="79"/>
        <v>C9</v>
      </c>
      <c r="GX49" t="str">
        <f t="shared" si="80"/>
        <v>B9</v>
      </c>
      <c r="GY49" t="str">
        <f t="shared" si="81"/>
        <v>C10</v>
      </c>
      <c r="GZ49" t="str">
        <f t="shared" si="82"/>
        <v>B10</v>
      </c>
      <c r="HA49" t="str">
        <f t="shared" si="83"/>
        <v>C11</v>
      </c>
      <c r="HB49" t="str">
        <f t="shared" si="84"/>
        <v>B11</v>
      </c>
      <c r="HC49" t="str">
        <f t="shared" si="85"/>
        <v>C12</v>
      </c>
      <c r="HD49" t="str">
        <f t="shared" si="86"/>
        <v>B12</v>
      </c>
      <c r="HE49" t="str">
        <f t="shared" si="87"/>
        <v>14B</v>
      </c>
      <c r="HF49" t="str">
        <f t="shared" si="88"/>
        <v>14A</v>
      </c>
      <c r="HG49" t="str">
        <f t="shared" si="72"/>
        <v>AI1-13A</v>
      </c>
      <c r="HH49" t="str">
        <f t="shared" si="72"/>
        <v>AI1-13B</v>
      </c>
      <c r="HI49" t="str">
        <f t="shared" si="89"/>
        <v>DI10-C7</v>
      </c>
      <c r="HJ49" t="str">
        <f t="shared" si="89"/>
        <v>DI10-B7</v>
      </c>
      <c r="HK49" t="str">
        <f t="shared" si="73"/>
        <v>DI10-C8</v>
      </c>
      <c r="HL49" t="str">
        <f t="shared" si="73"/>
        <v>DI10-B8</v>
      </c>
      <c r="HM49" t="str">
        <f t="shared" si="73"/>
        <v>DI10-C9</v>
      </c>
      <c r="HN49" t="str">
        <f t="shared" si="73"/>
        <v>DI10-B9</v>
      </c>
      <c r="HO49" t="str">
        <f t="shared" si="73"/>
        <v>DI10-C10</v>
      </c>
      <c r="HP49" t="str">
        <f t="shared" si="73"/>
        <v>DI10-B10</v>
      </c>
      <c r="HQ49" t="str">
        <f t="shared" si="73"/>
        <v>DI10-C11</v>
      </c>
      <c r="HR49" t="str">
        <f t="shared" si="73"/>
        <v>DI10-B11</v>
      </c>
      <c r="HS49" t="str">
        <f t="shared" si="73"/>
        <v>DI10-C12</v>
      </c>
      <c r="HT49" t="str">
        <f t="shared" si="73"/>
        <v>DI10-B12</v>
      </c>
      <c r="HU49" t="str">
        <f t="shared" si="90"/>
        <v>DO6-13B</v>
      </c>
      <c r="HV49" t="str">
        <f t="shared" si="90"/>
        <v>DO6-13A</v>
      </c>
      <c r="HW49" t="str">
        <f t="shared" si="91"/>
        <v>DO6-14B</v>
      </c>
      <c r="HX49" t="str">
        <f t="shared" si="91"/>
        <v>DO6-14A</v>
      </c>
      <c r="HY49" t="str">
        <f t="shared" si="92"/>
        <v>K48-01</v>
      </c>
      <c r="HZ49" t="str">
        <f t="shared" si="93"/>
        <v>K48-02</v>
      </c>
      <c r="IA49" t="str">
        <f t="shared" si="94"/>
        <v>K48-03</v>
      </c>
      <c r="IB49" t="str">
        <f t="shared" si="95"/>
        <v>K48-04</v>
      </c>
      <c r="IC49" t="str">
        <f t="shared" si="96"/>
        <v>K48-05</v>
      </c>
      <c r="ID49" t="str">
        <f t="shared" si="97"/>
        <v>K48-06</v>
      </c>
      <c r="IE49" t="str">
        <f t="shared" si="98"/>
        <v>K48-07</v>
      </c>
      <c r="IF49" t="str">
        <f t="shared" si="99"/>
        <v>K48-08</v>
      </c>
      <c r="IG49" t="str">
        <f t="shared" si="100"/>
        <v>F0-M48-AMS-12</v>
      </c>
      <c r="IH49" t="str">
        <f t="shared" si="101"/>
        <v>F0-M48-AMS-10</v>
      </c>
      <c r="II49" t="str">
        <f t="shared" si="102"/>
        <v>F0-M48-AMS-11</v>
      </c>
      <c r="IJ49" t="str">
        <f t="shared" si="103"/>
        <v>F0-M48-AMS-13</v>
      </c>
      <c r="IK49" t="str">
        <f t="shared" si="104"/>
        <v>F0-M48-AMS-9</v>
      </c>
      <c r="IL49" t="str">
        <f t="shared" si="105"/>
        <v>F0-M48-AMS-7</v>
      </c>
      <c r="IM49" t="str">
        <f t="shared" si="106"/>
        <v>F0-M48-AMS-18</v>
      </c>
      <c r="IN49" t="str">
        <f t="shared" si="107"/>
        <v>F0-M48-AMS-20</v>
      </c>
      <c r="IO49" t="str">
        <f t="shared" si="108"/>
        <v>F0-M48-AMS-17</v>
      </c>
      <c r="IP49" t="str">
        <f t="shared" si="109"/>
        <v>F0-+24-M48</v>
      </c>
      <c r="IQ49" t="str">
        <f t="shared" si="110"/>
        <v>F0-M48-XM01</v>
      </c>
      <c r="IR49" t="str">
        <f t="shared" si="76"/>
        <v>A1</v>
      </c>
      <c r="IS49" t="str">
        <f t="shared" si="76"/>
        <v>A2</v>
      </c>
      <c r="IT49">
        <f t="shared" si="76"/>
        <v>11</v>
      </c>
      <c r="IU49">
        <f t="shared" si="76"/>
        <v>14</v>
      </c>
      <c r="IV49" t="str">
        <f t="shared" si="76"/>
        <v>24v6</v>
      </c>
      <c r="IW49" t="str">
        <f t="shared" si="76"/>
        <v>0v6</v>
      </c>
      <c r="IX49">
        <f t="shared" si="76"/>
        <v>1</v>
      </c>
      <c r="IY49">
        <f t="shared" si="76"/>
        <v>2</v>
      </c>
      <c r="IZ49">
        <f t="shared" si="76"/>
        <v>3</v>
      </c>
      <c r="JA49">
        <f t="shared" si="76"/>
        <v>4</v>
      </c>
      <c r="JB49">
        <f t="shared" si="76"/>
        <v>5</v>
      </c>
      <c r="JC49">
        <f t="shared" si="76"/>
        <v>6</v>
      </c>
      <c r="JD49">
        <f t="shared" si="76"/>
        <v>7</v>
      </c>
      <c r="JE49">
        <f t="shared" si="76"/>
        <v>8</v>
      </c>
      <c r="JF49">
        <f t="shared" si="76"/>
        <v>9</v>
      </c>
      <c r="JG49">
        <f t="shared" si="76"/>
        <v>10</v>
      </c>
      <c r="JH49">
        <f t="shared" si="76"/>
        <v>11</v>
      </c>
      <c r="JI49">
        <f t="shared" si="76"/>
        <v>12</v>
      </c>
      <c r="JJ49">
        <f t="shared" si="76"/>
        <v>13</v>
      </c>
      <c r="JK49">
        <f t="shared" si="76"/>
        <v>14</v>
      </c>
      <c r="JL49">
        <f t="shared" si="76"/>
        <v>17</v>
      </c>
      <c r="JM49">
        <f t="shared" si="76"/>
        <v>15</v>
      </c>
      <c r="JN49">
        <f t="shared" si="76"/>
        <v>18</v>
      </c>
      <c r="JO49">
        <f t="shared" si="76"/>
        <v>11</v>
      </c>
      <c r="JP49">
        <f t="shared" si="76"/>
        <v>9</v>
      </c>
      <c r="JQ49">
        <f t="shared" si="76"/>
        <v>6</v>
      </c>
      <c r="JR49">
        <f t="shared" si="76"/>
        <v>20</v>
      </c>
      <c r="JS49">
        <f t="shared" si="76"/>
        <v>7</v>
      </c>
      <c r="JT49">
        <f t="shared" si="76"/>
        <v>10</v>
      </c>
      <c r="JU49">
        <f t="shared" si="76"/>
        <v>22</v>
      </c>
      <c r="JV49">
        <f t="shared" si="76"/>
        <v>23</v>
      </c>
      <c r="JW49">
        <f t="shared" si="76"/>
        <v>26</v>
      </c>
      <c r="JX49">
        <f t="shared" si="76"/>
        <v>27</v>
      </c>
      <c r="JY49" s="16">
        <f t="shared" si="76"/>
        <v>30</v>
      </c>
    </row>
    <row r="50" spans="1:305" x14ac:dyDescent="0.25">
      <c r="A50" t="s">
        <v>469</v>
      </c>
      <c r="B50" t="s">
        <v>468</v>
      </c>
      <c r="P50" t="s">
        <v>391</v>
      </c>
      <c r="T50" s="14" t="s">
        <v>554</v>
      </c>
      <c r="U50" s="15">
        <f t="shared" si="77"/>
        <v>49</v>
      </c>
      <c r="V50" t="s">
        <v>1615</v>
      </c>
      <c r="W50" t="s">
        <v>1623</v>
      </c>
      <c r="X50" s="33" t="str">
        <f>IF(COUNTIF(X$1:X49,X49)&gt;7,REPLACE(X49,LEN(X49),1,VALUE(RIGHT(X49,1))+1),X49)</f>
        <v>A3.1</v>
      </c>
      <c r="Y50" s="45" cm="1">
        <f t="array" ref="Y50">IF(COUNTIFS($X$2:$X50,$X50)=1,"1",VALUE(SUBSTITUTE(INDEX(Y:Y,_xlfn.XMATCH($X50,$X$1:$X49,0,-1)),"A",""))+INDEX(Z:Z,_xlfn.XMATCH($X50,$X$1:$X49,0,-1))+1)</f>
        <v>8</v>
      </c>
      <c r="Z50" s="43" cm="1">
        <f t="array" ref="Z50">SUM(IF(ISNUMBER(FIND("TmAi",$BE$1:$AAD$1)),IF(IFERROR(ISODD(SUBSTITUTE($BE50:$AAD50,"A","")),FALSE),IF(ISODD(SUBSTITUTE($BE50:$AAD50,"A","")),1,0),0)))</f>
        <v>0</v>
      </c>
      <c r="AA50" t="str">
        <f t="shared" si="74"/>
        <v>15A</v>
      </c>
      <c r="AB50" t="str">
        <f t="shared" si="75"/>
        <v>15B</v>
      </c>
      <c r="AC50" s="15" t="s">
        <v>441</v>
      </c>
      <c r="AD50" s="15"/>
      <c r="AE50" s="15"/>
      <c r="AF50" t="s">
        <v>153</v>
      </c>
      <c r="AG50" t="s">
        <v>154</v>
      </c>
      <c r="AH50" s="15" t="s">
        <v>388</v>
      </c>
      <c r="AI50" s="15"/>
      <c r="AJ50" s="15"/>
      <c r="AK50" t="s">
        <v>372</v>
      </c>
      <c r="AL50" t="s">
        <v>375</v>
      </c>
      <c r="AM50" t="s">
        <v>450</v>
      </c>
      <c r="AP50" t="s">
        <v>137</v>
      </c>
      <c r="AQ50" t="s">
        <v>138</v>
      </c>
      <c r="AS50" t="s">
        <v>396</v>
      </c>
      <c r="AT50" t="s">
        <v>139</v>
      </c>
      <c r="AU50" t="s">
        <v>140</v>
      </c>
      <c r="BD50" s="16"/>
      <c r="GT50" s="27" t="str">
        <f t="shared" si="70"/>
        <v>XT49</v>
      </c>
      <c r="GU50" t="str">
        <f t="shared" si="71"/>
        <v>C14</v>
      </c>
      <c r="GV50" t="str">
        <f t="shared" si="78"/>
        <v>B14</v>
      </c>
      <c r="GW50" t="str">
        <f t="shared" si="79"/>
        <v>C15</v>
      </c>
      <c r="GX50" t="str">
        <f t="shared" si="80"/>
        <v>B15</v>
      </c>
      <c r="GY50" t="str">
        <f t="shared" si="81"/>
        <v>C16</v>
      </c>
      <c r="GZ50" t="str">
        <f t="shared" si="82"/>
        <v>B16</v>
      </c>
      <c r="HA50" t="str">
        <f t="shared" si="83"/>
        <v>C17</v>
      </c>
      <c r="HB50" t="str">
        <f t="shared" si="84"/>
        <v>B17</v>
      </c>
      <c r="HC50" t="str">
        <f t="shared" si="85"/>
        <v>C18</v>
      </c>
      <c r="HD50" t="str">
        <f t="shared" si="86"/>
        <v>B18</v>
      </c>
      <c r="HE50" t="str">
        <f t="shared" si="87"/>
        <v>16B</v>
      </c>
      <c r="HF50" t="str">
        <f t="shared" si="88"/>
        <v>16A</v>
      </c>
      <c r="HG50" t="str">
        <f t="shared" si="72"/>
        <v>AI1-15A</v>
      </c>
      <c r="HH50" t="str">
        <f t="shared" si="72"/>
        <v>AI1-15B</v>
      </c>
      <c r="HI50" t="str">
        <f t="shared" si="89"/>
        <v>DI10-C13</v>
      </c>
      <c r="HJ50" t="str">
        <f t="shared" si="89"/>
        <v>DI10-B13</v>
      </c>
      <c r="HK50" t="str">
        <f t="shared" si="73"/>
        <v>DI10-C14</v>
      </c>
      <c r="HL50" t="str">
        <f t="shared" si="73"/>
        <v>DI10-B14</v>
      </c>
      <c r="HM50" t="str">
        <f t="shared" si="73"/>
        <v>DI10-C15</v>
      </c>
      <c r="HN50" t="str">
        <f t="shared" si="73"/>
        <v>DI10-B15</v>
      </c>
      <c r="HO50" t="str">
        <f t="shared" si="73"/>
        <v>DI10-C16</v>
      </c>
      <c r="HP50" t="str">
        <f t="shared" si="73"/>
        <v>DI10-B16</v>
      </c>
      <c r="HQ50" t="str">
        <f t="shared" si="73"/>
        <v>DI10-C17</v>
      </c>
      <c r="HR50" t="str">
        <f t="shared" si="73"/>
        <v>DI10-B17</v>
      </c>
      <c r="HS50" t="str">
        <f t="shared" si="73"/>
        <v>DI10-C18</v>
      </c>
      <c r="HT50" t="str">
        <f t="shared" si="73"/>
        <v>DI10-B18</v>
      </c>
      <c r="HU50" t="str">
        <f t="shared" si="90"/>
        <v>DO6-15B</v>
      </c>
      <c r="HV50" t="str">
        <f t="shared" si="90"/>
        <v>DO6-15A</v>
      </c>
      <c r="HW50" t="str">
        <f t="shared" si="91"/>
        <v>DO6-16B</v>
      </c>
      <c r="HX50" t="str">
        <f t="shared" si="91"/>
        <v>DO6-16A</v>
      </c>
      <c r="HY50" t="str">
        <f t="shared" si="92"/>
        <v>K49-01</v>
      </c>
      <c r="HZ50" t="str">
        <f t="shared" si="93"/>
        <v>K49-02</v>
      </c>
      <c r="IA50" t="str">
        <f t="shared" si="94"/>
        <v>K49-03</v>
      </c>
      <c r="IB50" t="str">
        <f t="shared" si="95"/>
        <v>K49-04</v>
      </c>
      <c r="IC50" t="str">
        <f t="shared" si="96"/>
        <v>K49-05</v>
      </c>
      <c r="ID50" t="str">
        <f t="shared" si="97"/>
        <v>K49-06</v>
      </c>
      <c r="IE50" t="str">
        <f t="shared" si="98"/>
        <v>K49-07</v>
      </c>
      <c r="IF50" t="str">
        <f t="shared" si="99"/>
        <v>K49-08</v>
      </c>
      <c r="IG50" t="str">
        <f t="shared" si="100"/>
        <v>F0-M49-AMS-12</v>
      </c>
      <c r="IH50" t="str">
        <f t="shared" si="101"/>
        <v>F0-M49-AMS-10</v>
      </c>
      <c r="II50" t="str">
        <f t="shared" si="102"/>
        <v>F0-M49-AMS-11</v>
      </c>
      <c r="IJ50" t="str">
        <f t="shared" si="103"/>
        <v>F0-M49-AMS-13</v>
      </c>
      <c r="IK50" t="str">
        <f t="shared" si="104"/>
        <v>F0-M49-AMS-9</v>
      </c>
      <c r="IL50" t="str">
        <f t="shared" si="105"/>
        <v>F0-M49-AMS-7</v>
      </c>
      <c r="IM50" t="str">
        <f t="shared" si="106"/>
        <v>F0-M49-AMS-18</v>
      </c>
      <c r="IN50" t="str">
        <f t="shared" si="107"/>
        <v>F0-M49-AMS-20</v>
      </c>
      <c r="IO50" t="str">
        <f t="shared" si="108"/>
        <v>F0-M49-AMS-17</v>
      </c>
      <c r="IP50" t="str">
        <f t="shared" si="109"/>
        <v>F0-+24-M49</v>
      </c>
      <c r="IQ50" t="str">
        <f t="shared" si="110"/>
        <v>F0-M49-XM01</v>
      </c>
      <c r="IR50" t="str">
        <f t="shared" si="76"/>
        <v>A1</v>
      </c>
      <c r="IS50" t="str">
        <f t="shared" si="76"/>
        <v>A2</v>
      </c>
      <c r="IT50">
        <f t="shared" si="76"/>
        <v>11</v>
      </c>
      <c r="IU50">
        <f t="shared" si="76"/>
        <v>14</v>
      </c>
      <c r="IV50" t="str">
        <f t="shared" si="76"/>
        <v>24v6</v>
      </c>
      <c r="IW50" t="str">
        <f t="shared" si="76"/>
        <v>0v6</v>
      </c>
      <c r="IX50">
        <f t="shared" si="76"/>
        <v>1</v>
      </c>
      <c r="IY50">
        <f t="shared" si="76"/>
        <v>2</v>
      </c>
      <c r="IZ50">
        <f t="shared" si="76"/>
        <v>3</v>
      </c>
      <c r="JA50">
        <f t="shared" si="76"/>
        <v>4</v>
      </c>
      <c r="JB50">
        <f t="shared" si="76"/>
        <v>5</v>
      </c>
      <c r="JC50">
        <f t="shared" si="76"/>
        <v>6</v>
      </c>
      <c r="JD50">
        <f t="shared" si="76"/>
        <v>7</v>
      </c>
      <c r="JE50">
        <f t="shared" si="76"/>
        <v>8</v>
      </c>
      <c r="JF50">
        <f t="shared" si="76"/>
        <v>9</v>
      </c>
      <c r="JG50">
        <f t="shared" si="76"/>
        <v>10</v>
      </c>
      <c r="JH50">
        <f t="shared" si="76"/>
        <v>11</v>
      </c>
      <c r="JI50">
        <f t="shared" si="76"/>
        <v>12</v>
      </c>
      <c r="JJ50">
        <f t="shared" si="76"/>
        <v>13</v>
      </c>
      <c r="JK50">
        <f t="shared" si="76"/>
        <v>14</v>
      </c>
      <c r="JL50">
        <f t="shared" si="76"/>
        <v>17</v>
      </c>
      <c r="JM50">
        <f t="shared" si="76"/>
        <v>15</v>
      </c>
      <c r="JN50">
        <f t="shared" si="76"/>
        <v>18</v>
      </c>
      <c r="JO50">
        <f t="shared" si="76"/>
        <v>11</v>
      </c>
      <c r="JP50">
        <f t="shared" si="76"/>
        <v>9</v>
      </c>
      <c r="JQ50">
        <f t="shared" si="76"/>
        <v>6</v>
      </c>
      <c r="JR50">
        <f t="shared" si="76"/>
        <v>20</v>
      </c>
      <c r="JS50">
        <f t="shared" si="76"/>
        <v>7</v>
      </c>
      <c r="JT50">
        <f t="shared" si="76"/>
        <v>10</v>
      </c>
      <c r="JU50">
        <f t="shared" si="76"/>
        <v>22</v>
      </c>
      <c r="JV50">
        <f t="shared" si="76"/>
        <v>23</v>
      </c>
      <c r="JW50">
        <f t="shared" si="76"/>
        <v>26</v>
      </c>
      <c r="JX50">
        <f t="shared" si="76"/>
        <v>27</v>
      </c>
      <c r="JY50" s="16">
        <f t="shared" si="76"/>
        <v>30</v>
      </c>
    </row>
    <row r="51" spans="1:305" x14ac:dyDescent="0.25">
      <c r="A51" t="s">
        <v>471</v>
      </c>
      <c r="B51" s="29" t="s">
        <v>470</v>
      </c>
      <c r="P51" t="s">
        <v>391</v>
      </c>
      <c r="T51" s="14" t="s">
        <v>554</v>
      </c>
      <c r="U51" s="15">
        <f t="shared" si="77"/>
        <v>50</v>
      </c>
      <c r="V51" t="s">
        <v>1625</v>
      </c>
      <c r="W51" t="s">
        <v>1624</v>
      </c>
      <c r="X51" t="str">
        <f>IF(COUNTIF(X$1:X50,X50)&gt;7,REPLACE(X50,LEN(X50),1,VALUE(RIGHT(X50,1))+1),X50)</f>
        <v>A3.2</v>
      </c>
      <c r="Y51" s="43" t="str" cm="1">
        <f t="array" ref="Y51">IF(COUNTIFS($X$2:$X51,$X51)=1,"1",VALUE(SUBSTITUTE(INDEX(Y:Y,_xlfn.XMATCH($X51,$X$1:$X50,0,-1)),"A",""))+INDEX(Z:Z,_xlfn.XMATCH($X51,$X$1:$X50,0,-1))+1)</f>
        <v>1</v>
      </c>
      <c r="Z51" s="43" cm="1">
        <f t="array" ref="Z51">SUM(IF(ISNUMBER(FIND("TmAi",$BE$1:$AAD$1)),IF(IFERROR(ISODD(SUBSTITUTE($BE51:$AAD51,"A","")),FALSE),IF(ISODD(SUBSTITUTE($BE51:$AAD51,"A","")),1,0),0)))</f>
        <v>0</v>
      </c>
      <c r="AA51" t="str">
        <f t="shared" si="74"/>
        <v>1A</v>
      </c>
      <c r="AB51" t="str">
        <f t="shared" si="75"/>
        <v>1B</v>
      </c>
      <c r="AC51" s="15" t="s">
        <v>441</v>
      </c>
      <c r="AD51" s="15"/>
      <c r="AE51" s="15"/>
      <c r="AF51" t="s">
        <v>239</v>
      </c>
      <c r="AG51" t="s">
        <v>241</v>
      </c>
      <c r="AH51" s="15" t="s">
        <v>388</v>
      </c>
      <c r="AI51" s="15"/>
      <c r="AJ51" s="15"/>
      <c r="AK51" s="15" t="s">
        <v>373</v>
      </c>
      <c r="AL51" s="15" t="s">
        <v>376</v>
      </c>
      <c r="AM51" s="15" t="s">
        <v>451</v>
      </c>
      <c r="AP51" t="s">
        <v>137</v>
      </c>
      <c r="AQ51" t="s">
        <v>138</v>
      </c>
      <c r="AS51" t="s">
        <v>396</v>
      </c>
      <c r="AT51" t="s">
        <v>139</v>
      </c>
      <c r="AU51" t="s">
        <v>140</v>
      </c>
      <c r="BD51" s="16"/>
      <c r="GT51" s="27" t="str">
        <f t="shared" si="70"/>
        <v>XT50</v>
      </c>
      <c r="GU51" t="str">
        <f t="shared" si="71"/>
        <v>C20</v>
      </c>
      <c r="GV51" t="str">
        <f t="shared" si="78"/>
        <v>B20</v>
      </c>
      <c r="GW51" t="str">
        <f t="shared" si="79"/>
        <v>C21</v>
      </c>
      <c r="GX51" t="str">
        <f t="shared" si="80"/>
        <v>B21</v>
      </c>
      <c r="GY51" t="str">
        <f t="shared" si="81"/>
        <v>C22</v>
      </c>
      <c r="GZ51" t="str">
        <f t="shared" si="82"/>
        <v>B22</v>
      </c>
      <c r="HA51" t="str">
        <f t="shared" si="83"/>
        <v>C23</v>
      </c>
      <c r="HB51" t="str">
        <f t="shared" si="84"/>
        <v>B23</v>
      </c>
      <c r="HC51" t="str">
        <f t="shared" si="85"/>
        <v>C24</v>
      </c>
      <c r="HD51" t="str">
        <f t="shared" si="86"/>
        <v>B24</v>
      </c>
      <c r="HE51" t="str">
        <f t="shared" si="87"/>
        <v>18B</v>
      </c>
      <c r="HF51" t="str">
        <f t="shared" si="88"/>
        <v>18A</v>
      </c>
      <c r="HG51" t="str">
        <f t="shared" si="72"/>
        <v>AI2-1A</v>
      </c>
      <c r="HH51" t="str">
        <f t="shared" si="72"/>
        <v>AI2-1B</v>
      </c>
      <c r="HI51" t="str">
        <f t="shared" si="89"/>
        <v>DI10-C19</v>
      </c>
      <c r="HJ51" t="str">
        <f t="shared" si="89"/>
        <v>DI10-B19</v>
      </c>
      <c r="HK51" t="str">
        <f t="shared" si="73"/>
        <v>DI10-C20</v>
      </c>
      <c r="HL51" t="str">
        <f t="shared" si="73"/>
        <v>DI10-B20</v>
      </c>
      <c r="HM51" t="str">
        <f t="shared" si="73"/>
        <v>DI10-C21</v>
      </c>
      <c r="HN51" t="str">
        <f t="shared" si="73"/>
        <v>DI10-B21</v>
      </c>
      <c r="HO51" t="str">
        <f t="shared" si="73"/>
        <v>DI10-C22</v>
      </c>
      <c r="HP51" t="str">
        <f t="shared" si="73"/>
        <v>DI10-B22</v>
      </c>
      <c r="HQ51" t="str">
        <f t="shared" si="73"/>
        <v>DI10-C23</v>
      </c>
      <c r="HR51" t="str">
        <f t="shared" si="73"/>
        <v>DI10-B23</v>
      </c>
      <c r="HS51" t="str">
        <f t="shared" si="73"/>
        <v>DI10-C24</v>
      </c>
      <c r="HT51" t="str">
        <f t="shared" si="73"/>
        <v>DI10-B24</v>
      </c>
      <c r="HU51" t="str">
        <f t="shared" si="90"/>
        <v>DO6-17B</v>
      </c>
      <c r="HV51" t="str">
        <f t="shared" si="90"/>
        <v>DO6-17A</v>
      </c>
      <c r="HW51" t="str">
        <f t="shared" si="91"/>
        <v>DO6-18B</v>
      </c>
      <c r="HX51" t="str">
        <f t="shared" si="91"/>
        <v>DO6-18A</v>
      </c>
      <c r="HY51" t="str">
        <f t="shared" si="92"/>
        <v>K50-01</v>
      </c>
      <c r="HZ51" t="str">
        <f t="shared" si="93"/>
        <v>K50-02</v>
      </c>
      <c r="IA51" t="str">
        <f t="shared" si="94"/>
        <v>K50-03</v>
      </c>
      <c r="IB51" t="str">
        <f t="shared" si="95"/>
        <v>K50-04</v>
      </c>
      <c r="IC51" t="str">
        <f t="shared" si="96"/>
        <v>K50-05</v>
      </c>
      <c r="ID51" t="str">
        <f t="shared" si="97"/>
        <v>K50-06</v>
      </c>
      <c r="IE51" t="str">
        <f t="shared" si="98"/>
        <v>K50-07</v>
      </c>
      <c r="IF51" t="str">
        <f t="shared" si="99"/>
        <v>K50-08</v>
      </c>
      <c r="IG51" t="str">
        <f t="shared" si="100"/>
        <v>F0-M50-AMS-12</v>
      </c>
      <c r="IH51" t="str">
        <f t="shared" si="101"/>
        <v>F0-M50-AMS-10</v>
      </c>
      <c r="II51" t="str">
        <f t="shared" si="102"/>
        <v>F0-M50-AMS-11</v>
      </c>
      <c r="IJ51" t="str">
        <f t="shared" si="103"/>
        <v>F0-M50-AMS-13</v>
      </c>
      <c r="IK51" t="str">
        <f t="shared" si="104"/>
        <v>F0-M50-AMS-9</v>
      </c>
      <c r="IL51" t="str">
        <f t="shared" si="105"/>
        <v>F0-M50-AMS-7</v>
      </c>
      <c r="IM51" t="str">
        <f t="shared" si="106"/>
        <v>F0-M50-AMS-18</v>
      </c>
      <c r="IN51" t="str">
        <f t="shared" si="107"/>
        <v>F0-M50-AMS-20</v>
      </c>
      <c r="IO51" t="str">
        <f t="shared" si="108"/>
        <v>F0-M50-AMS-17</v>
      </c>
      <c r="IP51" t="str">
        <f t="shared" si="109"/>
        <v>F0-+24-M50</v>
      </c>
      <c r="IQ51" t="str">
        <f t="shared" si="110"/>
        <v>F0-M50-XM01</v>
      </c>
      <c r="IR51" t="str">
        <f t="shared" si="76"/>
        <v>A1</v>
      </c>
      <c r="IS51" t="str">
        <f t="shared" si="76"/>
        <v>A2</v>
      </c>
      <c r="IT51">
        <f t="shared" si="76"/>
        <v>11</v>
      </c>
      <c r="IU51">
        <f t="shared" si="76"/>
        <v>14</v>
      </c>
      <c r="IV51" t="str">
        <f t="shared" si="76"/>
        <v>24v6</v>
      </c>
      <c r="IW51" t="str">
        <f t="shared" si="76"/>
        <v>0v6</v>
      </c>
      <c r="IX51">
        <f t="shared" si="76"/>
        <v>1</v>
      </c>
      <c r="IY51">
        <f t="shared" si="76"/>
        <v>2</v>
      </c>
      <c r="IZ51">
        <f t="shared" si="76"/>
        <v>3</v>
      </c>
      <c r="JA51">
        <f t="shared" si="76"/>
        <v>4</v>
      </c>
      <c r="JB51">
        <f t="shared" si="76"/>
        <v>5</v>
      </c>
      <c r="JC51">
        <f t="shared" si="76"/>
        <v>6</v>
      </c>
      <c r="JD51">
        <f t="shared" si="76"/>
        <v>7</v>
      </c>
      <c r="JE51">
        <f t="shared" si="76"/>
        <v>8</v>
      </c>
      <c r="JF51">
        <f t="shared" si="76"/>
        <v>9</v>
      </c>
      <c r="JG51">
        <f t="shared" si="76"/>
        <v>10</v>
      </c>
      <c r="JH51">
        <f t="shared" si="76"/>
        <v>11</v>
      </c>
      <c r="JI51">
        <f t="shared" ref="JI51:JY51" si="111">JI50</f>
        <v>12</v>
      </c>
      <c r="JJ51">
        <f t="shared" si="111"/>
        <v>13</v>
      </c>
      <c r="JK51">
        <f t="shared" si="111"/>
        <v>14</v>
      </c>
      <c r="JL51">
        <f t="shared" si="111"/>
        <v>17</v>
      </c>
      <c r="JM51">
        <f t="shared" si="111"/>
        <v>15</v>
      </c>
      <c r="JN51">
        <f t="shared" si="111"/>
        <v>18</v>
      </c>
      <c r="JO51">
        <f t="shared" si="111"/>
        <v>11</v>
      </c>
      <c r="JP51">
        <f t="shared" si="111"/>
        <v>9</v>
      </c>
      <c r="JQ51">
        <f t="shared" si="111"/>
        <v>6</v>
      </c>
      <c r="JR51">
        <f t="shared" si="111"/>
        <v>20</v>
      </c>
      <c r="JS51">
        <f t="shared" si="111"/>
        <v>7</v>
      </c>
      <c r="JT51">
        <f t="shared" si="111"/>
        <v>10</v>
      </c>
      <c r="JU51">
        <f t="shared" si="111"/>
        <v>22</v>
      </c>
      <c r="JV51">
        <f t="shared" si="111"/>
        <v>23</v>
      </c>
      <c r="JW51">
        <f t="shared" si="111"/>
        <v>26</v>
      </c>
      <c r="JX51">
        <f t="shared" si="111"/>
        <v>27</v>
      </c>
      <c r="JY51" s="16">
        <f t="shared" si="111"/>
        <v>30</v>
      </c>
    </row>
    <row r="52" spans="1:305" x14ac:dyDescent="0.25">
      <c r="A52" t="s">
        <v>473</v>
      </c>
      <c r="B52" t="s">
        <v>472</v>
      </c>
      <c r="P52" t="s">
        <v>391</v>
      </c>
      <c r="T52" s="14" t="s">
        <v>554</v>
      </c>
      <c r="U52" s="15">
        <f t="shared" si="77"/>
        <v>51</v>
      </c>
      <c r="V52" t="s">
        <v>1626</v>
      </c>
      <c r="W52" t="s">
        <v>1627</v>
      </c>
      <c r="X52" t="str">
        <f>IF(COUNTIF(X$1:X51,X51)&gt;7,REPLACE(X51,LEN(X51),1,VALUE(RIGHT(X51,1))+1),X51)</f>
        <v>A3.2</v>
      </c>
      <c r="Y52" s="43" cm="1">
        <f t="array" ref="Y52">IF(COUNTIFS($X$2:$X52,$X52)=1,"1",VALUE(SUBSTITUTE(INDEX(Y:Y,_xlfn.XMATCH($X52,$X$1:$X51,0,-1)),"A",""))+INDEX(Z:Z,_xlfn.XMATCH($X52,$X$1:$X51,0,-1))+1)</f>
        <v>2</v>
      </c>
      <c r="Z52" s="43" cm="1">
        <f t="array" ref="Z52">SUM(IF(ISNUMBER(FIND("TmAi",$BE$1:$AAD$1)),IF(IFERROR(ISODD(SUBSTITUTE($BE52:$AAD52,"A","")),FALSE),IF(ISODD(SUBSTITUTE($BE52:$AAD52,"A","")),1,0),0)))</f>
        <v>0</v>
      </c>
      <c r="AA52" t="str">
        <f t="shared" si="74"/>
        <v>3A</v>
      </c>
      <c r="AB52" t="str">
        <f t="shared" si="75"/>
        <v>3B</v>
      </c>
      <c r="AC52" s="15" t="s">
        <v>441</v>
      </c>
      <c r="AD52" s="15"/>
      <c r="AE52" s="15"/>
      <c r="AF52" t="s">
        <v>240</v>
      </c>
      <c r="AG52" t="s">
        <v>242</v>
      </c>
      <c r="AH52" s="15" t="s">
        <v>388</v>
      </c>
      <c r="AI52" s="15"/>
      <c r="AJ52" s="15"/>
      <c r="AK52" t="s">
        <v>250</v>
      </c>
      <c r="AL52" t="s">
        <v>257</v>
      </c>
      <c r="AM52" t="s">
        <v>453</v>
      </c>
      <c r="AP52" t="s">
        <v>137</v>
      </c>
      <c r="AQ52" t="s">
        <v>138</v>
      </c>
      <c r="AS52" t="s">
        <v>396</v>
      </c>
      <c r="AT52" t="s">
        <v>139</v>
      </c>
      <c r="AU52" t="s">
        <v>140</v>
      </c>
      <c r="BD52" s="16"/>
      <c r="GT52" s="27" t="str">
        <f t="shared" si="70"/>
        <v>XT51</v>
      </c>
      <c r="GU52" t="str">
        <f t="shared" si="71"/>
        <v>C26</v>
      </c>
      <c r="GV52" t="str">
        <f t="shared" si="78"/>
        <v>B26</v>
      </c>
      <c r="GW52" t="str">
        <f t="shared" si="79"/>
        <v>C27</v>
      </c>
      <c r="GX52" t="str">
        <f t="shared" si="80"/>
        <v>B27</v>
      </c>
      <c r="GY52" t="str">
        <f t="shared" si="81"/>
        <v>C28</v>
      </c>
      <c r="GZ52" t="str">
        <f t="shared" si="82"/>
        <v>B28</v>
      </c>
      <c r="HA52" t="str">
        <f t="shared" si="83"/>
        <v>C29</v>
      </c>
      <c r="HB52" t="str">
        <f t="shared" si="84"/>
        <v>B29</v>
      </c>
      <c r="HC52" t="str">
        <f t="shared" si="85"/>
        <v>C30</v>
      </c>
      <c r="HD52" t="str">
        <f t="shared" si="86"/>
        <v>B30</v>
      </c>
      <c r="HE52" t="str">
        <f t="shared" si="87"/>
        <v>20B</v>
      </c>
      <c r="HF52" t="str">
        <f t="shared" si="88"/>
        <v>20A</v>
      </c>
      <c r="HG52" t="str">
        <f t="shared" si="72"/>
        <v>AI2-3A</v>
      </c>
      <c r="HH52" t="str">
        <f t="shared" si="72"/>
        <v>AI2-3B</v>
      </c>
      <c r="HI52" t="str">
        <f t="shared" si="89"/>
        <v>DI10-C25</v>
      </c>
      <c r="HJ52" t="str">
        <f t="shared" si="89"/>
        <v>DI10-B25</v>
      </c>
      <c r="HK52" t="str">
        <f t="shared" si="73"/>
        <v>DI10-C26</v>
      </c>
      <c r="HL52" t="str">
        <f t="shared" si="73"/>
        <v>DI10-B26</v>
      </c>
      <c r="HM52" t="str">
        <f t="shared" si="73"/>
        <v>DI10-C27</v>
      </c>
      <c r="HN52" t="str">
        <f t="shared" si="73"/>
        <v>DI10-B27</v>
      </c>
      <c r="HO52" t="str">
        <f t="shared" si="73"/>
        <v>DI10-C28</v>
      </c>
      <c r="HP52" t="str">
        <f t="shared" si="73"/>
        <v>DI10-B28</v>
      </c>
      <c r="HQ52" t="str">
        <f t="shared" si="73"/>
        <v>DI10-C29</v>
      </c>
      <c r="HR52" t="str">
        <f t="shared" si="73"/>
        <v>DI10-B29</v>
      </c>
      <c r="HS52" t="str">
        <f t="shared" si="73"/>
        <v>DI10-C30</v>
      </c>
      <c r="HT52" t="str">
        <f t="shared" si="73"/>
        <v>DI10-B30</v>
      </c>
      <c r="HU52" t="str">
        <f t="shared" si="90"/>
        <v>DO6-19B</v>
      </c>
      <c r="HV52" t="str">
        <f t="shared" si="90"/>
        <v>DO6-19A</v>
      </c>
      <c r="HW52" t="str">
        <f t="shared" si="91"/>
        <v>DO6-20B</v>
      </c>
      <c r="HX52" t="str">
        <f t="shared" si="91"/>
        <v>DO6-20A</v>
      </c>
      <c r="HY52" t="str">
        <f t="shared" si="92"/>
        <v>K51-01</v>
      </c>
      <c r="HZ52" t="str">
        <f t="shared" si="93"/>
        <v>K51-02</v>
      </c>
      <c r="IA52" t="str">
        <f t="shared" si="94"/>
        <v>K51-03</v>
      </c>
      <c r="IB52" t="str">
        <f t="shared" si="95"/>
        <v>K51-04</v>
      </c>
      <c r="IC52" t="str">
        <f t="shared" si="96"/>
        <v>K51-05</v>
      </c>
      <c r="ID52" t="str">
        <f t="shared" si="97"/>
        <v>K51-06</v>
      </c>
      <c r="IE52" t="str">
        <f t="shared" si="98"/>
        <v>K51-07</v>
      </c>
      <c r="IF52" t="str">
        <f t="shared" si="99"/>
        <v>K51-08</v>
      </c>
      <c r="IG52" t="str">
        <f t="shared" si="100"/>
        <v>F0-M51-AMS-12</v>
      </c>
      <c r="IH52" t="str">
        <f t="shared" si="101"/>
        <v>F0-M51-AMS-10</v>
      </c>
      <c r="II52" t="str">
        <f t="shared" si="102"/>
        <v>F0-M51-AMS-11</v>
      </c>
      <c r="IJ52" t="str">
        <f t="shared" si="103"/>
        <v>F0-M51-AMS-13</v>
      </c>
      <c r="IK52" t="str">
        <f t="shared" si="104"/>
        <v>F0-M51-AMS-9</v>
      </c>
      <c r="IL52" t="str">
        <f t="shared" si="105"/>
        <v>F0-M51-AMS-7</v>
      </c>
      <c r="IM52" t="str">
        <f t="shared" si="106"/>
        <v>F0-M51-AMS-18</v>
      </c>
      <c r="IN52" t="str">
        <f t="shared" si="107"/>
        <v>F0-M51-AMS-20</v>
      </c>
      <c r="IO52" t="str">
        <f t="shared" si="108"/>
        <v>F0-M51-AMS-17</v>
      </c>
      <c r="IP52" t="str">
        <f t="shared" si="109"/>
        <v>F0-+24-M51</v>
      </c>
      <c r="IQ52" t="str">
        <f t="shared" si="110"/>
        <v>F0-M51-XM01</v>
      </c>
      <c r="IR52" t="str">
        <f t="shared" ref="IR52:JY55" si="112">IR51</f>
        <v>A1</v>
      </c>
      <c r="IS52" t="str">
        <f t="shared" si="112"/>
        <v>A2</v>
      </c>
      <c r="IT52">
        <f t="shared" si="112"/>
        <v>11</v>
      </c>
      <c r="IU52">
        <f t="shared" si="112"/>
        <v>14</v>
      </c>
      <c r="IV52" t="str">
        <f t="shared" si="112"/>
        <v>24v6</v>
      </c>
      <c r="IW52" t="str">
        <f t="shared" si="112"/>
        <v>0v6</v>
      </c>
      <c r="IX52">
        <f t="shared" si="112"/>
        <v>1</v>
      </c>
      <c r="IY52">
        <f t="shared" si="112"/>
        <v>2</v>
      </c>
      <c r="IZ52">
        <f t="shared" si="112"/>
        <v>3</v>
      </c>
      <c r="JA52">
        <f t="shared" si="112"/>
        <v>4</v>
      </c>
      <c r="JB52">
        <f t="shared" si="112"/>
        <v>5</v>
      </c>
      <c r="JC52">
        <f t="shared" si="112"/>
        <v>6</v>
      </c>
      <c r="JD52">
        <f t="shared" si="112"/>
        <v>7</v>
      </c>
      <c r="JE52">
        <f t="shared" si="112"/>
        <v>8</v>
      </c>
      <c r="JF52">
        <f t="shared" si="112"/>
        <v>9</v>
      </c>
      <c r="JG52">
        <f t="shared" si="112"/>
        <v>10</v>
      </c>
      <c r="JH52">
        <f t="shared" si="112"/>
        <v>11</v>
      </c>
      <c r="JI52">
        <f t="shared" si="112"/>
        <v>12</v>
      </c>
      <c r="JJ52">
        <f t="shared" si="112"/>
        <v>13</v>
      </c>
      <c r="JK52">
        <f t="shared" si="112"/>
        <v>14</v>
      </c>
      <c r="JL52">
        <f t="shared" si="112"/>
        <v>17</v>
      </c>
      <c r="JM52">
        <f t="shared" si="112"/>
        <v>15</v>
      </c>
      <c r="JN52">
        <f t="shared" si="112"/>
        <v>18</v>
      </c>
      <c r="JO52">
        <f t="shared" si="112"/>
        <v>11</v>
      </c>
      <c r="JP52">
        <f t="shared" si="112"/>
        <v>9</v>
      </c>
      <c r="JQ52">
        <f t="shared" si="112"/>
        <v>6</v>
      </c>
      <c r="JR52">
        <f t="shared" si="112"/>
        <v>20</v>
      </c>
      <c r="JS52">
        <f t="shared" si="112"/>
        <v>7</v>
      </c>
      <c r="JT52">
        <f t="shared" si="112"/>
        <v>10</v>
      </c>
      <c r="JU52">
        <f t="shared" si="112"/>
        <v>22</v>
      </c>
      <c r="JV52">
        <f t="shared" si="112"/>
        <v>23</v>
      </c>
      <c r="JW52">
        <f t="shared" si="112"/>
        <v>26</v>
      </c>
      <c r="JX52">
        <f t="shared" si="112"/>
        <v>27</v>
      </c>
      <c r="JY52" s="16">
        <f t="shared" si="112"/>
        <v>30</v>
      </c>
    </row>
    <row r="53" spans="1:305" x14ac:dyDescent="0.25">
      <c r="A53" t="s">
        <v>477</v>
      </c>
      <c r="B53" t="s">
        <v>476</v>
      </c>
      <c r="P53" t="s">
        <v>391</v>
      </c>
      <c r="T53" s="14" t="s">
        <v>554</v>
      </c>
      <c r="U53" s="15">
        <f t="shared" si="77"/>
        <v>52</v>
      </c>
      <c r="V53" t="s">
        <v>1628</v>
      </c>
      <c r="W53" t="s">
        <v>1629</v>
      </c>
      <c r="X53" t="str">
        <f>IF(COUNTIF(X$1:X52,X52)&gt;7,REPLACE(X52,LEN(X52),1,VALUE(RIGHT(X52,1))+1),X52)</f>
        <v>A3.2</v>
      </c>
      <c r="Y53" s="43" cm="1">
        <f t="array" ref="Y53">IF(COUNTIFS($X$2:$X53,$X53)=1,"1",VALUE(SUBSTITUTE(INDEX(Y:Y,_xlfn.XMATCH($X53,$X$1:$X52,0,-1)),"A",""))+INDEX(Z:Z,_xlfn.XMATCH($X53,$X$1:$X52,0,-1))+1)</f>
        <v>3</v>
      </c>
      <c r="Z53" s="43" cm="1">
        <f t="array" ref="Z53">SUM(IF(ISNUMBER(FIND("TmAi",$BE$1:$AAD$1)),IF(IFERROR(ISODD(SUBSTITUTE($BE53:$AAD53,"A","")),FALSE),IF(ISODD(SUBSTITUTE($BE53:$AAD53,"A","")),1,0),0)))</f>
        <v>0</v>
      </c>
      <c r="AA53" t="str">
        <f t="shared" si="74"/>
        <v>5A</v>
      </c>
      <c r="AB53" t="str">
        <f t="shared" si="75"/>
        <v>5B</v>
      </c>
      <c r="AC53" s="15" t="s">
        <v>442</v>
      </c>
      <c r="AD53" s="15"/>
      <c r="AE53" s="15"/>
      <c r="AF53" t="s">
        <v>133</v>
      </c>
      <c r="AG53" t="s">
        <v>134</v>
      </c>
      <c r="AH53" s="15" t="s">
        <v>388</v>
      </c>
      <c r="AI53" s="15"/>
      <c r="AJ53" s="15"/>
      <c r="AK53" s="15" t="s">
        <v>443</v>
      </c>
      <c r="AL53" s="15" t="s">
        <v>445</v>
      </c>
      <c r="AM53" s="15" t="s">
        <v>474</v>
      </c>
      <c r="AP53" t="s">
        <v>137</v>
      </c>
      <c r="AQ53" t="s">
        <v>138</v>
      </c>
      <c r="AS53" t="s">
        <v>396</v>
      </c>
      <c r="AT53" t="s">
        <v>139</v>
      </c>
      <c r="AU53" t="s">
        <v>140</v>
      </c>
      <c r="BD53" s="16"/>
      <c r="GT53" s="27" t="str">
        <f t="shared" si="70"/>
        <v>XT52</v>
      </c>
      <c r="GU53" t="str">
        <f t="shared" si="71"/>
        <v>C2</v>
      </c>
      <c r="GV53" t="str">
        <f t="shared" si="78"/>
        <v>B2</v>
      </c>
      <c r="GW53" t="str">
        <f t="shared" si="79"/>
        <v>C3</v>
      </c>
      <c r="GX53" t="str">
        <f t="shared" si="80"/>
        <v>B3</v>
      </c>
      <c r="GY53" t="str">
        <f t="shared" si="81"/>
        <v>C4</v>
      </c>
      <c r="GZ53" t="str">
        <f t="shared" si="82"/>
        <v>B4</v>
      </c>
      <c r="HA53" t="str">
        <f t="shared" si="83"/>
        <v>C5</v>
      </c>
      <c r="HB53" t="str">
        <f t="shared" si="84"/>
        <v>B5</v>
      </c>
      <c r="HC53" t="str">
        <f t="shared" si="85"/>
        <v>C6</v>
      </c>
      <c r="HD53" t="str">
        <f t="shared" si="86"/>
        <v>B6</v>
      </c>
      <c r="HE53" t="str">
        <f t="shared" si="87"/>
        <v>22B</v>
      </c>
      <c r="HF53" t="str">
        <f t="shared" si="88"/>
        <v>22A</v>
      </c>
      <c r="HG53" t="str">
        <f t="shared" si="72"/>
        <v>AI2-5A</v>
      </c>
      <c r="HH53" t="str">
        <f t="shared" si="72"/>
        <v>AI2-5B</v>
      </c>
      <c r="HI53" t="str">
        <f t="shared" si="89"/>
        <v>DI11-C1</v>
      </c>
      <c r="HJ53" t="str">
        <f t="shared" si="89"/>
        <v>DI11-B1</v>
      </c>
      <c r="HK53" t="str">
        <f t="shared" si="73"/>
        <v>DI11-C2</v>
      </c>
      <c r="HL53" t="str">
        <f t="shared" si="73"/>
        <v>DI11-B2</v>
      </c>
      <c r="HM53" t="str">
        <f t="shared" si="73"/>
        <v>DI11-C3</v>
      </c>
      <c r="HN53" t="str">
        <f t="shared" si="73"/>
        <v>DI11-B3</v>
      </c>
      <c r="HO53" t="str">
        <f t="shared" si="73"/>
        <v>DI11-C4</v>
      </c>
      <c r="HP53" t="str">
        <f t="shared" si="73"/>
        <v>DI11-B4</v>
      </c>
      <c r="HQ53" t="str">
        <f t="shared" si="73"/>
        <v>DI11-C5</v>
      </c>
      <c r="HR53" t="str">
        <f t="shared" si="73"/>
        <v>DI11-B5</v>
      </c>
      <c r="HS53" t="str">
        <f t="shared" si="73"/>
        <v>DI11-C6</v>
      </c>
      <c r="HT53" t="str">
        <f t="shared" si="73"/>
        <v>DI11-B6</v>
      </c>
      <c r="HU53" t="str">
        <f t="shared" si="90"/>
        <v>DO6-21B</v>
      </c>
      <c r="HV53" t="str">
        <f t="shared" si="90"/>
        <v>DO6-21A</v>
      </c>
      <c r="HW53" t="str">
        <f t="shared" si="91"/>
        <v>DO6-22B</v>
      </c>
      <c r="HX53" t="str">
        <f t="shared" si="91"/>
        <v>DO6-22A</v>
      </c>
      <c r="HY53" t="str">
        <f t="shared" si="92"/>
        <v>K52-01</v>
      </c>
      <c r="HZ53" t="str">
        <f t="shared" si="93"/>
        <v>K52-02</v>
      </c>
      <c r="IA53" t="str">
        <f t="shared" si="94"/>
        <v>K52-03</v>
      </c>
      <c r="IB53" t="str">
        <f t="shared" si="95"/>
        <v>K52-04</v>
      </c>
      <c r="IC53" t="str">
        <f t="shared" si="96"/>
        <v>K52-05</v>
      </c>
      <c r="ID53" t="str">
        <f t="shared" si="97"/>
        <v>K52-06</v>
      </c>
      <c r="IE53" t="str">
        <f t="shared" si="98"/>
        <v>K52-07</v>
      </c>
      <c r="IF53" t="str">
        <f t="shared" si="99"/>
        <v>K52-08</v>
      </c>
      <c r="IG53" t="str">
        <f t="shared" si="100"/>
        <v>F0-M52-AMS-12</v>
      </c>
      <c r="IH53" t="str">
        <f t="shared" si="101"/>
        <v>F0-M52-AMS-10</v>
      </c>
      <c r="II53" t="str">
        <f t="shared" si="102"/>
        <v>F0-M52-AMS-11</v>
      </c>
      <c r="IJ53" t="str">
        <f t="shared" si="103"/>
        <v>F0-M52-AMS-13</v>
      </c>
      <c r="IK53" t="str">
        <f t="shared" si="104"/>
        <v>F0-M52-AMS-9</v>
      </c>
      <c r="IL53" t="str">
        <f t="shared" si="105"/>
        <v>F0-M52-AMS-7</v>
      </c>
      <c r="IM53" t="str">
        <f t="shared" si="106"/>
        <v>F0-M52-AMS-18</v>
      </c>
      <c r="IN53" t="str">
        <f t="shared" si="107"/>
        <v>F0-M52-AMS-20</v>
      </c>
      <c r="IO53" t="str">
        <f t="shared" si="108"/>
        <v>F0-M52-AMS-17</v>
      </c>
      <c r="IP53" t="str">
        <f t="shared" si="109"/>
        <v>F0-+24-M52</v>
      </c>
      <c r="IQ53" t="str">
        <f t="shared" si="110"/>
        <v>F0-M52-XM01</v>
      </c>
      <c r="IR53" t="str">
        <f t="shared" si="112"/>
        <v>A1</v>
      </c>
      <c r="IS53" t="str">
        <f t="shared" si="112"/>
        <v>A2</v>
      </c>
      <c r="IT53">
        <f t="shared" si="112"/>
        <v>11</v>
      </c>
      <c r="IU53">
        <f t="shared" si="112"/>
        <v>14</v>
      </c>
      <c r="IV53" t="str">
        <f t="shared" si="112"/>
        <v>24v6</v>
      </c>
      <c r="IW53" t="str">
        <f t="shared" si="112"/>
        <v>0v6</v>
      </c>
      <c r="IX53">
        <f t="shared" si="112"/>
        <v>1</v>
      </c>
      <c r="IY53">
        <f t="shared" si="112"/>
        <v>2</v>
      </c>
      <c r="IZ53">
        <f t="shared" si="112"/>
        <v>3</v>
      </c>
      <c r="JA53">
        <f t="shared" si="112"/>
        <v>4</v>
      </c>
      <c r="JB53">
        <f t="shared" si="112"/>
        <v>5</v>
      </c>
      <c r="JC53">
        <f t="shared" si="112"/>
        <v>6</v>
      </c>
      <c r="JD53">
        <f t="shared" si="112"/>
        <v>7</v>
      </c>
      <c r="JE53">
        <f t="shared" si="112"/>
        <v>8</v>
      </c>
      <c r="JF53">
        <f t="shared" si="112"/>
        <v>9</v>
      </c>
      <c r="JG53">
        <f t="shared" si="112"/>
        <v>10</v>
      </c>
      <c r="JH53">
        <f t="shared" si="112"/>
        <v>11</v>
      </c>
      <c r="JI53">
        <f t="shared" si="112"/>
        <v>12</v>
      </c>
      <c r="JJ53">
        <f t="shared" si="112"/>
        <v>13</v>
      </c>
      <c r="JK53">
        <f t="shared" si="112"/>
        <v>14</v>
      </c>
      <c r="JL53">
        <f t="shared" si="112"/>
        <v>17</v>
      </c>
      <c r="JM53">
        <f t="shared" si="112"/>
        <v>15</v>
      </c>
      <c r="JN53">
        <f t="shared" si="112"/>
        <v>18</v>
      </c>
      <c r="JO53">
        <f t="shared" si="112"/>
        <v>11</v>
      </c>
      <c r="JP53">
        <f t="shared" si="112"/>
        <v>9</v>
      </c>
      <c r="JQ53">
        <f t="shared" si="112"/>
        <v>6</v>
      </c>
      <c r="JR53">
        <f t="shared" si="112"/>
        <v>20</v>
      </c>
      <c r="JS53">
        <f t="shared" si="112"/>
        <v>7</v>
      </c>
      <c r="JT53">
        <f t="shared" si="112"/>
        <v>10</v>
      </c>
      <c r="JU53">
        <f t="shared" si="112"/>
        <v>22</v>
      </c>
      <c r="JV53">
        <f t="shared" si="112"/>
        <v>23</v>
      </c>
      <c r="JW53">
        <f t="shared" si="112"/>
        <v>26</v>
      </c>
      <c r="JX53">
        <f t="shared" si="112"/>
        <v>27</v>
      </c>
      <c r="JY53" s="16">
        <f t="shared" si="112"/>
        <v>30</v>
      </c>
    </row>
    <row r="54" spans="1:305" x14ac:dyDescent="0.25">
      <c r="A54" t="s">
        <v>479</v>
      </c>
      <c r="B54" t="s">
        <v>478</v>
      </c>
      <c r="P54" t="s">
        <v>391</v>
      </c>
      <c r="T54" s="14" t="s">
        <v>554</v>
      </c>
      <c r="U54" s="15">
        <f t="shared" si="77"/>
        <v>53</v>
      </c>
      <c r="V54" t="s">
        <v>1630</v>
      </c>
      <c r="W54" t="s">
        <v>1631</v>
      </c>
      <c r="X54" t="str">
        <f>IF(COUNTIF(X$1:X53,X53)&gt;7,REPLACE(X53,LEN(X53),1,VALUE(RIGHT(X53,1))+1),X53)</f>
        <v>A3.2</v>
      </c>
      <c r="Y54" s="43" cm="1">
        <f t="array" ref="Y54">IF(COUNTIFS($X$2:$X54,$X54)=1,"1",VALUE(SUBSTITUTE(INDEX(Y:Y,_xlfn.XMATCH($X54,$X$1:$X53,0,-1)),"A",""))+INDEX(Z:Z,_xlfn.XMATCH($X54,$X$1:$X53,0,-1))+1)</f>
        <v>4</v>
      </c>
      <c r="Z54" s="43" cm="1">
        <f t="array" ref="Z54">SUM(IF(ISNUMBER(FIND("TmAi",$BE$1:$AAD$1)),IF(IFERROR(ISODD(SUBSTITUTE($BE54:$AAD54,"A","")),FALSE),IF(ISODD(SUBSTITUTE($BE54:$AAD54,"A","")),1,0),0)))</f>
        <v>0</v>
      </c>
      <c r="AA54" t="str">
        <f t="shared" si="74"/>
        <v>7A</v>
      </c>
      <c r="AB54" t="str">
        <f t="shared" si="75"/>
        <v>7B</v>
      </c>
      <c r="AC54" s="15" t="s">
        <v>442</v>
      </c>
      <c r="AD54" s="15"/>
      <c r="AE54" s="15"/>
      <c r="AF54" t="s">
        <v>148</v>
      </c>
      <c r="AG54" t="s">
        <v>149</v>
      </c>
      <c r="AH54" s="15" t="s">
        <v>388</v>
      </c>
      <c r="AI54" s="15"/>
      <c r="AJ54" s="15"/>
      <c r="AK54" t="s">
        <v>444</v>
      </c>
      <c r="AL54" t="s">
        <v>446</v>
      </c>
      <c r="AM54" t="s">
        <v>475</v>
      </c>
      <c r="AP54" t="s">
        <v>137</v>
      </c>
      <c r="AQ54" t="s">
        <v>138</v>
      </c>
      <c r="AS54" t="s">
        <v>396</v>
      </c>
      <c r="AT54" t="s">
        <v>139</v>
      </c>
      <c r="AU54" t="s">
        <v>140</v>
      </c>
      <c r="BD54" s="16"/>
      <c r="GT54" s="27" t="str">
        <f t="shared" si="70"/>
        <v>XT53</v>
      </c>
      <c r="GU54" t="str">
        <f t="shared" si="71"/>
        <v>C8</v>
      </c>
      <c r="GV54" t="str">
        <f t="shared" si="78"/>
        <v>B8</v>
      </c>
      <c r="GW54" t="str">
        <f t="shared" si="79"/>
        <v>C9</v>
      </c>
      <c r="GX54" t="str">
        <f t="shared" si="80"/>
        <v>B9</v>
      </c>
      <c r="GY54" t="str">
        <f t="shared" si="81"/>
        <v>C10</v>
      </c>
      <c r="GZ54" t="str">
        <f t="shared" si="82"/>
        <v>B10</v>
      </c>
      <c r="HA54" t="str">
        <f t="shared" si="83"/>
        <v>C11</v>
      </c>
      <c r="HB54" t="str">
        <f t="shared" si="84"/>
        <v>B11</v>
      </c>
      <c r="HC54" t="str">
        <f t="shared" si="85"/>
        <v>C12</v>
      </c>
      <c r="HD54" t="str">
        <f t="shared" si="86"/>
        <v>B12</v>
      </c>
      <c r="HE54" t="str">
        <f t="shared" si="87"/>
        <v>24B</v>
      </c>
      <c r="HF54" t="str">
        <f t="shared" si="88"/>
        <v>24A</v>
      </c>
      <c r="HG54" t="str">
        <f t="shared" si="72"/>
        <v>AI2-7A</v>
      </c>
      <c r="HH54" t="str">
        <f t="shared" si="72"/>
        <v>AI2-7B</v>
      </c>
      <c r="HI54" t="str">
        <f t="shared" si="89"/>
        <v>DI11-C7</v>
      </c>
      <c r="HJ54" t="str">
        <f t="shared" si="89"/>
        <v>DI11-B7</v>
      </c>
      <c r="HK54" t="str">
        <f t="shared" si="73"/>
        <v>DI11-C8</v>
      </c>
      <c r="HL54" t="str">
        <f t="shared" si="73"/>
        <v>DI11-B8</v>
      </c>
      <c r="HM54" t="str">
        <f t="shared" si="73"/>
        <v>DI11-C9</v>
      </c>
      <c r="HN54" t="str">
        <f t="shared" si="73"/>
        <v>DI11-B9</v>
      </c>
      <c r="HO54" t="str">
        <f t="shared" si="73"/>
        <v>DI11-C10</v>
      </c>
      <c r="HP54" t="str">
        <f t="shared" si="73"/>
        <v>DI11-B10</v>
      </c>
      <c r="HQ54" t="str">
        <f t="shared" si="73"/>
        <v>DI11-C11</v>
      </c>
      <c r="HR54" t="str">
        <f t="shared" si="73"/>
        <v>DI11-B11</v>
      </c>
      <c r="HS54" t="str">
        <f t="shared" si="73"/>
        <v>DI11-C12</v>
      </c>
      <c r="HT54" t="str">
        <f t="shared" si="73"/>
        <v>DI11-B12</v>
      </c>
      <c r="HU54" t="str">
        <f t="shared" si="90"/>
        <v>DO6-23B</v>
      </c>
      <c r="HV54" t="str">
        <f t="shared" si="90"/>
        <v>DO6-23A</v>
      </c>
      <c r="HW54" t="str">
        <f t="shared" si="91"/>
        <v>DO6-24B</v>
      </c>
      <c r="HX54" t="str">
        <f t="shared" si="91"/>
        <v>DO6-24A</v>
      </c>
      <c r="HY54" t="str">
        <f t="shared" si="92"/>
        <v>K53-01</v>
      </c>
      <c r="HZ54" t="str">
        <f t="shared" si="93"/>
        <v>K53-02</v>
      </c>
      <c r="IA54" t="str">
        <f t="shared" si="94"/>
        <v>K53-03</v>
      </c>
      <c r="IB54" t="str">
        <f t="shared" si="95"/>
        <v>K53-04</v>
      </c>
      <c r="IC54" t="str">
        <f t="shared" si="96"/>
        <v>K53-05</v>
      </c>
      <c r="ID54" t="str">
        <f t="shared" si="97"/>
        <v>K53-06</v>
      </c>
      <c r="IE54" t="str">
        <f t="shared" si="98"/>
        <v>K53-07</v>
      </c>
      <c r="IF54" t="str">
        <f t="shared" si="99"/>
        <v>K53-08</v>
      </c>
      <c r="IG54" t="str">
        <f t="shared" si="100"/>
        <v>F0-M53-AMS-12</v>
      </c>
      <c r="IH54" t="str">
        <f t="shared" si="101"/>
        <v>F0-M53-AMS-10</v>
      </c>
      <c r="II54" t="str">
        <f t="shared" si="102"/>
        <v>F0-M53-AMS-11</v>
      </c>
      <c r="IJ54" t="str">
        <f t="shared" si="103"/>
        <v>F0-M53-AMS-13</v>
      </c>
      <c r="IK54" t="str">
        <f t="shared" si="104"/>
        <v>F0-M53-AMS-9</v>
      </c>
      <c r="IL54" t="str">
        <f t="shared" si="105"/>
        <v>F0-M53-AMS-7</v>
      </c>
      <c r="IM54" t="str">
        <f t="shared" si="106"/>
        <v>F0-M53-AMS-18</v>
      </c>
      <c r="IN54" t="str">
        <f t="shared" si="107"/>
        <v>F0-M53-AMS-20</v>
      </c>
      <c r="IO54" t="str">
        <f t="shared" si="108"/>
        <v>F0-M53-AMS-17</v>
      </c>
      <c r="IP54" t="str">
        <f t="shared" si="109"/>
        <v>F0-+24-M53</v>
      </c>
      <c r="IQ54" t="str">
        <f t="shared" si="110"/>
        <v>F0-M53-XM01</v>
      </c>
      <c r="IR54" t="str">
        <f t="shared" si="112"/>
        <v>A1</v>
      </c>
      <c r="IS54" t="str">
        <f t="shared" si="112"/>
        <v>A2</v>
      </c>
      <c r="IT54">
        <f t="shared" si="112"/>
        <v>11</v>
      </c>
      <c r="IU54">
        <f t="shared" si="112"/>
        <v>14</v>
      </c>
      <c r="IV54" t="str">
        <f t="shared" si="112"/>
        <v>24v6</v>
      </c>
      <c r="IW54" t="str">
        <f t="shared" si="112"/>
        <v>0v6</v>
      </c>
      <c r="IX54">
        <f t="shared" si="112"/>
        <v>1</v>
      </c>
      <c r="IY54">
        <f t="shared" si="112"/>
        <v>2</v>
      </c>
      <c r="IZ54">
        <f t="shared" si="112"/>
        <v>3</v>
      </c>
      <c r="JA54">
        <f t="shared" si="112"/>
        <v>4</v>
      </c>
      <c r="JB54">
        <f t="shared" si="112"/>
        <v>5</v>
      </c>
      <c r="JC54">
        <f t="shared" si="112"/>
        <v>6</v>
      </c>
      <c r="JD54">
        <f t="shared" si="112"/>
        <v>7</v>
      </c>
      <c r="JE54">
        <f t="shared" si="112"/>
        <v>8</v>
      </c>
      <c r="JF54">
        <f t="shared" si="112"/>
        <v>9</v>
      </c>
      <c r="JG54">
        <f t="shared" si="112"/>
        <v>10</v>
      </c>
      <c r="JH54">
        <f t="shared" si="112"/>
        <v>11</v>
      </c>
      <c r="JI54">
        <f t="shared" si="112"/>
        <v>12</v>
      </c>
      <c r="JJ54">
        <f t="shared" si="112"/>
        <v>13</v>
      </c>
      <c r="JK54">
        <f t="shared" si="112"/>
        <v>14</v>
      </c>
      <c r="JL54">
        <f t="shared" si="112"/>
        <v>17</v>
      </c>
      <c r="JM54">
        <f t="shared" si="112"/>
        <v>15</v>
      </c>
      <c r="JN54">
        <f t="shared" si="112"/>
        <v>18</v>
      </c>
      <c r="JO54">
        <f t="shared" si="112"/>
        <v>11</v>
      </c>
      <c r="JP54">
        <f t="shared" si="112"/>
        <v>9</v>
      </c>
      <c r="JQ54">
        <f t="shared" si="112"/>
        <v>6</v>
      </c>
      <c r="JR54">
        <f t="shared" si="112"/>
        <v>20</v>
      </c>
      <c r="JS54">
        <f t="shared" si="112"/>
        <v>7</v>
      </c>
      <c r="JT54">
        <f t="shared" si="112"/>
        <v>10</v>
      </c>
      <c r="JU54">
        <f t="shared" si="112"/>
        <v>22</v>
      </c>
      <c r="JV54">
        <f t="shared" si="112"/>
        <v>23</v>
      </c>
      <c r="JW54">
        <f t="shared" si="112"/>
        <v>26</v>
      </c>
      <c r="JX54">
        <f t="shared" si="112"/>
        <v>27</v>
      </c>
      <c r="JY54" s="16">
        <f t="shared" si="112"/>
        <v>30</v>
      </c>
    </row>
    <row r="55" spans="1:305" ht="15.75" thickBot="1" x14ac:dyDescent="0.3">
      <c r="A55" t="s">
        <v>481</v>
      </c>
      <c r="B55" t="s">
        <v>480</v>
      </c>
      <c r="P55" t="s">
        <v>391</v>
      </c>
      <c r="T55" s="17" t="s">
        <v>554</v>
      </c>
      <c r="U55" s="18">
        <f t="shared" si="77"/>
        <v>54</v>
      </c>
      <c r="V55" s="19" t="s">
        <v>1632</v>
      </c>
      <c r="W55" s="19" t="s">
        <v>1633</v>
      </c>
      <c r="X55" s="19" t="str">
        <f>IF(COUNTIF(X$1:X54,X54)&gt;7,REPLACE(X54,LEN(X54),1,VALUE(RIGHT(X54,1))+1),X54)</f>
        <v>A3.2</v>
      </c>
      <c r="Y55" s="44" cm="1">
        <f t="array" ref="Y55">IF(COUNTIFS($X$2:$X55,$X55)=1,"1",VALUE(SUBSTITUTE(INDEX(Y:Y,_xlfn.XMATCH($X55,$X$1:$X54,0,-1)),"A",""))+INDEX(Z:Z,_xlfn.XMATCH($X55,$X$1:$X54,0,-1))+1)</f>
        <v>5</v>
      </c>
      <c r="Z55" s="44" cm="1">
        <f t="array" ref="Z55">SUM(IF(ISNUMBER(FIND("TmAi",$BE$1:$AAD$1)),IF(IFERROR(ISODD(SUBSTITUTE($BE55:$AAD55,"A","")),FALSE),IF(ISODD(SUBSTITUTE($BE55:$AAD55,"A","")),1,0),0)))</f>
        <v>0</v>
      </c>
      <c r="AA55" s="19" t="str">
        <f t="shared" si="74"/>
        <v>9A</v>
      </c>
      <c r="AB55" s="19" t="str">
        <f t="shared" si="75"/>
        <v>9B</v>
      </c>
      <c r="AC55" s="18" t="s">
        <v>442</v>
      </c>
      <c r="AD55" s="18"/>
      <c r="AE55" s="18"/>
      <c r="AF55" s="19" t="s">
        <v>153</v>
      </c>
      <c r="AG55" s="19" t="s">
        <v>154</v>
      </c>
      <c r="AH55" s="18" t="s">
        <v>388</v>
      </c>
      <c r="AI55" s="18"/>
      <c r="AJ55" s="18"/>
      <c r="AK55" s="18" t="s">
        <v>252</v>
      </c>
      <c r="AL55" s="18" t="s">
        <v>259</v>
      </c>
      <c r="AM55" s="18" t="s">
        <v>452</v>
      </c>
      <c r="AN55" s="19"/>
      <c r="AO55" s="19"/>
      <c r="AP55" s="19" t="s">
        <v>137</v>
      </c>
      <c r="AQ55" s="19" t="s">
        <v>138</v>
      </c>
      <c r="AR55" s="19"/>
      <c r="AS55" s="19" t="s">
        <v>396</v>
      </c>
      <c r="AT55" s="19" t="s">
        <v>139</v>
      </c>
      <c r="AU55" s="19" t="s">
        <v>140</v>
      </c>
      <c r="AV55" s="19"/>
      <c r="AW55" s="19"/>
      <c r="AX55" s="19"/>
      <c r="AY55" s="19"/>
      <c r="AZ55" s="19"/>
      <c r="BA55" s="19"/>
      <c r="BB55" s="19"/>
      <c r="BC55" s="19"/>
      <c r="BD55" s="20"/>
      <c r="GT55" s="28" t="str">
        <f t="shared" si="70"/>
        <v>XT54</v>
      </c>
      <c r="GU55" s="19" t="str">
        <f t="shared" si="71"/>
        <v>C14</v>
      </c>
      <c r="GV55" s="19" t="str">
        <f t="shared" si="78"/>
        <v>B14</v>
      </c>
      <c r="GW55" s="19" t="str">
        <f t="shared" si="79"/>
        <v>C15</v>
      </c>
      <c r="GX55" s="19" t="str">
        <f t="shared" si="80"/>
        <v>B15</v>
      </c>
      <c r="GY55" s="19" t="str">
        <f t="shared" si="81"/>
        <v>C16</v>
      </c>
      <c r="GZ55" s="19" t="str">
        <f t="shared" si="82"/>
        <v>B16</v>
      </c>
      <c r="HA55" s="19" t="str">
        <f t="shared" si="83"/>
        <v>C17</v>
      </c>
      <c r="HB55" s="19" t="str">
        <f t="shared" si="84"/>
        <v>B17</v>
      </c>
      <c r="HC55" s="19" t="str">
        <f t="shared" si="85"/>
        <v>C18</v>
      </c>
      <c r="HD55" s="19" t="str">
        <f t="shared" si="86"/>
        <v>B18</v>
      </c>
      <c r="HE55" s="19" t="str">
        <f t="shared" si="87"/>
        <v>26B</v>
      </c>
      <c r="HF55" s="19" t="str">
        <f t="shared" si="88"/>
        <v>26A</v>
      </c>
      <c r="HG55" s="19" t="str">
        <f t="shared" si="72"/>
        <v>AI2-9A</v>
      </c>
      <c r="HH55" s="19" t="str">
        <f t="shared" si="72"/>
        <v>AI2-9B</v>
      </c>
      <c r="HI55" s="19" t="str">
        <f t="shared" si="89"/>
        <v>DI11-C13</v>
      </c>
      <c r="HJ55" s="19" t="str">
        <f t="shared" si="89"/>
        <v>DI11-B13</v>
      </c>
      <c r="HK55" s="19" t="str">
        <f t="shared" si="73"/>
        <v>DI11-C14</v>
      </c>
      <c r="HL55" s="19" t="str">
        <f t="shared" si="73"/>
        <v>DI11-B14</v>
      </c>
      <c r="HM55" s="19" t="str">
        <f t="shared" si="73"/>
        <v>DI11-C15</v>
      </c>
      <c r="HN55" s="19" t="str">
        <f t="shared" si="73"/>
        <v>DI11-B15</v>
      </c>
      <c r="HO55" s="19" t="str">
        <f t="shared" si="73"/>
        <v>DI11-C16</v>
      </c>
      <c r="HP55" s="19" t="str">
        <f t="shared" si="73"/>
        <v>DI11-B16</v>
      </c>
      <c r="HQ55" s="19" t="str">
        <f t="shared" si="73"/>
        <v>DI11-C17</v>
      </c>
      <c r="HR55" s="19" t="str">
        <f t="shared" si="73"/>
        <v>DI11-B17</v>
      </c>
      <c r="HS55" s="19" t="str">
        <f t="shared" si="73"/>
        <v>DI11-C18</v>
      </c>
      <c r="HT55" s="19" t="str">
        <f t="shared" si="73"/>
        <v>DI11-B18</v>
      </c>
      <c r="HU55" s="19" t="str">
        <f t="shared" si="90"/>
        <v>DO6-25B</v>
      </c>
      <c r="HV55" s="19" t="str">
        <f t="shared" si="90"/>
        <v>DO6-25A</v>
      </c>
      <c r="HW55" s="19" t="str">
        <f t="shared" si="91"/>
        <v>DO6-26B</v>
      </c>
      <c r="HX55" s="19" t="str">
        <f t="shared" si="91"/>
        <v>DO6-26A</v>
      </c>
      <c r="HY55" s="19" t="str">
        <f t="shared" si="92"/>
        <v>K54-01</v>
      </c>
      <c r="HZ55" s="19" t="str">
        <f t="shared" si="93"/>
        <v>K54-02</v>
      </c>
      <c r="IA55" s="19" t="str">
        <f t="shared" si="94"/>
        <v>K54-03</v>
      </c>
      <c r="IB55" s="19" t="str">
        <f t="shared" si="95"/>
        <v>K54-04</v>
      </c>
      <c r="IC55" s="19" t="str">
        <f t="shared" si="96"/>
        <v>K54-05</v>
      </c>
      <c r="ID55" s="19" t="str">
        <f t="shared" si="97"/>
        <v>K54-06</v>
      </c>
      <c r="IE55" s="19" t="str">
        <f t="shared" si="98"/>
        <v>K54-07</v>
      </c>
      <c r="IF55" s="19" t="str">
        <f t="shared" si="99"/>
        <v>K54-08</v>
      </c>
      <c r="IG55" s="19" t="str">
        <f t="shared" si="100"/>
        <v>F0-M54-AMS-12</v>
      </c>
      <c r="IH55" s="19" t="str">
        <f t="shared" si="101"/>
        <v>F0-M54-AMS-10</v>
      </c>
      <c r="II55" s="19" t="str">
        <f t="shared" si="102"/>
        <v>F0-M54-AMS-11</v>
      </c>
      <c r="IJ55" s="19" t="str">
        <f t="shared" si="103"/>
        <v>F0-M54-AMS-13</v>
      </c>
      <c r="IK55" s="19" t="str">
        <f t="shared" si="104"/>
        <v>F0-M54-AMS-9</v>
      </c>
      <c r="IL55" s="19" t="str">
        <f t="shared" si="105"/>
        <v>F0-M54-AMS-7</v>
      </c>
      <c r="IM55" s="19" t="str">
        <f t="shared" si="106"/>
        <v>F0-M54-AMS-18</v>
      </c>
      <c r="IN55" s="19" t="str">
        <f t="shared" si="107"/>
        <v>F0-M54-AMS-20</v>
      </c>
      <c r="IO55" s="19" t="str">
        <f t="shared" si="108"/>
        <v>F0-M54-AMS-17</v>
      </c>
      <c r="IP55" s="19" t="str">
        <f t="shared" si="109"/>
        <v>F0-+24-M54</v>
      </c>
      <c r="IQ55" s="19" t="str">
        <f t="shared" si="110"/>
        <v>F0-M54-XM01</v>
      </c>
      <c r="IR55" s="19" t="str">
        <f t="shared" si="112"/>
        <v>A1</v>
      </c>
      <c r="IS55" s="19" t="str">
        <f t="shared" si="112"/>
        <v>A2</v>
      </c>
      <c r="IT55" s="19">
        <f t="shared" si="112"/>
        <v>11</v>
      </c>
      <c r="IU55" s="19">
        <f t="shared" si="112"/>
        <v>14</v>
      </c>
      <c r="IV55" s="19" t="str">
        <f t="shared" si="112"/>
        <v>24v6</v>
      </c>
      <c r="IW55" s="19" t="str">
        <f t="shared" si="112"/>
        <v>0v6</v>
      </c>
      <c r="IX55" s="19">
        <f t="shared" si="112"/>
        <v>1</v>
      </c>
      <c r="IY55" s="19">
        <f t="shared" si="112"/>
        <v>2</v>
      </c>
      <c r="IZ55" s="19">
        <f t="shared" si="112"/>
        <v>3</v>
      </c>
      <c r="JA55" s="19">
        <f t="shared" si="112"/>
        <v>4</v>
      </c>
      <c r="JB55" s="19">
        <f t="shared" si="112"/>
        <v>5</v>
      </c>
      <c r="JC55" s="19">
        <f t="shared" si="112"/>
        <v>6</v>
      </c>
      <c r="JD55" s="19">
        <f t="shared" si="112"/>
        <v>7</v>
      </c>
      <c r="JE55" s="19">
        <f t="shared" si="112"/>
        <v>8</v>
      </c>
      <c r="JF55" s="19">
        <f t="shared" si="112"/>
        <v>9</v>
      </c>
      <c r="JG55" s="19">
        <f t="shared" si="112"/>
        <v>10</v>
      </c>
      <c r="JH55" s="19">
        <f t="shared" si="112"/>
        <v>11</v>
      </c>
      <c r="JI55" s="19">
        <f t="shared" si="112"/>
        <v>12</v>
      </c>
      <c r="JJ55" s="19">
        <f t="shared" si="112"/>
        <v>13</v>
      </c>
      <c r="JK55" s="19">
        <f t="shared" si="112"/>
        <v>14</v>
      </c>
      <c r="JL55" s="19">
        <f t="shared" si="112"/>
        <v>17</v>
      </c>
      <c r="JM55" s="19">
        <f t="shared" si="112"/>
        <v>15</v>
      </c>
      <c r="JN55" s="19">
        <f t="shared" si="112"/>
        <v>18</v>
      </c>
      <c r="JO55" s="19">
        <f t="shared" si="112"/>
        <v>11</v>
      </c>
      <c r="JP55" s="19">
        <f t="shared" si="112"/>
        <v>9</v>
      </c>
      <c r="JQ55" s="19">
        <f t="shared" si="112"/>
        <v>6</v>
      </c>
      <c r="JR55" s="19">
        <f t="shared" si="112"/>
        <v>20</v>
      </c>
      <c r="JS55" s="19">
        <f t="shared" si="112"/>
        <v>7</v>
      </c>
      <c r="JT55" s="19">
        <f t="shared" si="112"/>
        <v>10</v>
      </c>
      <c r="JU55" s="19">
        <f t="shared" si="112"/>
        <v>22</v>
      </c>
      <c r="JV55" s="19">
        <f t="shared" si="112"/>
        <v>23</v>
      </c>
      <c r="JW55" s="19">
        <f t="shared" si="112"/>
        <v>26</v>
      </c>
      <c r="JX55" s="19">
        <f t="shared" si="112"/>
        <v>27</v>
      </c>
      <c r="JY55" s="20">
        <f t="shared" si="112"/>
        <v>30</v>
      </c>
    </row>
    <row r="56" spans="1:305" x14ac:dyDescent="0.25">
      <c r="A56" t="s">
        <v>486</v>
      </c>
      <c r="B56" t="s">
        <v>485</v>
      </c>
      <c r="C56" t="s">
        <v>492</v>
      </c>
      <c r="P56" t="s">
        <v>482</v>
      </c>
      <c r="T56" s="14" t="s">
        <v>554</v>
      </c>
      <c r="U56">
        <v>55</v>
      </c>
      <c r="V56" t="s">
        <v>1423</v>
      </c>
      <c r="X56" t="s">
        <v>484</v>
      </c>
      <c r="Y56" s="43" t="str" cm="1">
        <f t="array" ref="Y56">IF(COUNTIFS($X$2:$X56,$X56)=1,"1",VALUE(SUBSTITUTE(INDEX(Y:Y,_xlfn.XMATCH($X56,$X$1:$X55,0,-1)),"A",""))+INDEX(Z:Z,_xlfn.XMATCH($X56,$X$1:$X55,0,-1))+1)</f>
        <v>1</v>
      </c>
      <c r="Z56" s="43" cm="1">
        <f t="array" ref="Z56">SUM(IF(ISNUMBER(FIND("TmAi",$BE$1:$AAD$1)),IF(IFERROR(ISODD(SUBSTITUTE($BE56:$AAD56,"A","")),FALSE),IF(ISODD(SUBSTITUTE($BE56:$AAD56,"A","")),1,0),0)))</f>
        <v>0</v>
      </c>
      <c r="AA56" t="str">
        <f>CONCATENATE($Y56*2-1,"B")</f>
        <v>1B</v>
      </c>
      <c r="AB56" t="str">
        <f>CONCATENATE($Y56*2,"B")</f>
        <v>2B</v>
      </c>
      <c r="AP56" t="s">
        <v>137</v>
      </c>
      <c r="AS56" t="s">
        <v>396</v>
      </c>
      <c r="JZ56" s="25" t="str">
        <f t="shared" ref="JZ56:JZ119" si="113">CONCATENATE("XT",U56)</f>
        <v>XT55</v>
      </c>
      <c r="KA56" s="12"/>
      <c r="KB56" s="12"/>
      <c r="KC56" s="12" t="str">
        <f t="shared" ref="KC56:KC119" si="114">CONCATENATE(T56,"-AI",REPLACE($X56,1,3,""),"-",AA56)</f>
        <v>F0-AI3-1B</v>
      </c>
      <c r="KD56" s="12" t="str">
        <f t="shared" ref="KD56:KD119" si="115">CONCATENATE(T56,"-AI",REPLACE($X56,1,3,""),"-",AB56)</f>
        <v>F0-AI3-2B</v>
      </c>
      <c r="KE56" s="12"/>
      <c r="KF56" s="12"/>
      <c r="KG56" s="12"/>
      <c r="KH56" s="12"/>
      <c r="KI56" s="12" cm="1">
        <f t="array" ref="KI56">IF(COUNTIFS($U$2:$U56,$U56)=1,1,INDEX(KI:KI,_xlfn.XMATCH(U56,U$1:U55,0,-1))+COUNT(KI55:KM55))</f>
        <v>1</v>
      </c>
      <c r="KJ56" s="12">
        <f>KI56+1</f>
        <v>2</v>
      </c>
      <c r="KK56" s="12">
        <f>KJ56+1</f>
        <v>3</v>
      </c>
      <c r="KL56" s="12"/>
      <c r="KM56" s="12"/>
      <c r="KN56" s="12">
        <v>1</v>
      </c>
      <c r="KO56" s="13">
        <v>2</v>
      </c>
      <c r="KP56" s="12"/>
      <c r="KQ56" s="12"/>
      <c r="KR56" s="12"/>
      <c r="KS56" s="13"/>
    </row>
    <row r="57" spans="1:305" x14ac:dyDescent="0.25">
      <c r="A57" t="s">
        <v>494</v>
      </c>
      <c r="B57" t="s">
        <v>493</v>
      </c>
      <c r="C57" t="s">
        <v>498</v>
      </c>
      <c r="P57" t="s">
        <v>482</v>
      </c>
      <c r="T57" s="14" t="s">
        <v>554</v>
      </c>
      <c r="U57">
        <v>55</v>
      </c>
      <c r="V57" t="s">
        <v>1427</v>
      </c>
      <c r="X57" t="str">
        <f>IF(COUNTIF(X$1:X56,X56)&gt;7,REPLACE(X56,LEN(X56),1,VALUE(RIGHT(X56,1))+1),X56)</f>
        <v>A3.3</v>
      </c>
      <c r="Y57" s="43" cm="1">
        <f t="array" ref="Y57">IF(COUNTIFS($X$2:$X57,$X57)=1,"1",VALUE(SUBSTITUTE(INDEX(Y:Y,_xlfn.XMATCH($X57,$X$1:$X56,0,-1)),"A",""))+INDEX(Z:Z,_xlfn.XMATCH($X57,$X$1:$X56,0,-1))+1)</f>
        <v>2</v>
      </c>
      <c r="Z57" s="43" cm="1">
        <f t="array" ref="Z57">SUM(IF(ISNUMBER(FIND("TmAi",$BE$1:$AAD$1)),IF(IFERROR(ISODD(SUBSTITUTE($BE57:$AAD57,"A","")),FALSE),IF(ISODD(SUBSTITUTE($BE57:$AAD57,"A","")),1,0),0)))</f>
        <v>0</v>
      </c>
      <c r="AA57" t="str">
        <f t="shared" ref="AA57:AA67" si="116">CONCATENATE($Y57*2-1,"B")</f>
        <v>3B</v>
      </c>
      <c r="AB57" t="str">
        <f t="shared" ref="AB57:AB67" si="117">CONCATENATE($Y57*2,"B")</f>
        <v>4B</v>
      </c>
      <c r="AP57" t="s">
        <v>137</v>
      </c>
      <c r="AS57" t="s">
        <v>396</v>
      </c>
      <c r="JZ57" s="27" t="str">
        <f t="shared" si="113"/>
        <v>XT55</v>
      </c>
      <c r="KC57" t="str">
        <f t="shared" si="114"/>
        <v>F0-AI3-3B</v>
      </c>
      <c r="KD57" t="str">
        <f t="shared" si="115"/>
        <v>F0-AI3-4B</v>
      </c>
      <c r="KI57" cm="1">
        <f t="array" ref="KI57">IF(COUNTIFS($U$2:$U57,$U57)=1,1,INDEX(KI:KI,_xlfn.XMATCH(U57,U$1:U56,0,-1))+COUNT(KI56:KM56))</f>
        <v>4</v>
      </c>
      <c r="KJ57">
        <f>KI57+1</f>
        <v>5</v>
      </c>
      <c r="KK57">
        <f>KJ57+1</f>
        <v>6</v>
      </c>
      <c r="KN57">
        <v>1</v>
      </c>
      <c r="KO57" s="16">
        <v>2</v>
      </c>
      <c r="KS57" s="16"/>
    </row>
    <row r="58" spans="1:305" x14ac:dyDescent="0.25">
      <c r="A58" t="s">
        <v>500</v>
      </c>
      <c r="B58" t="s">
        <v>499</v>
      </c>
      <c r="C58" t="s">
        <v>498</v>
      </c>
      <c r="P58" t="s">
        <v>482</v>
      </c>
      <c r="T58" s="14" t="s">
        <v>554</v>
      </c>
      <c r="U58">
        <v>55</v>
      </c>
      <c r="V58" t="s">
        <v>1428</v>
      </c>
      <c r="X58" t="str">
        <f>IF(COUNTIF(X$1:X57,X57)&gt;7,REPLACE(X57,LEN(X57),1,VALUE(RIGHT(X57,1))+1),X57)</f>
        <v>A3.3</v>
      </c>
      <c r="Y58" s="43" cm="1">
        <f t="array" ref="Y58">IF(COUNTIFS($X$2:$X58,$X58)=1,"1",VALUE(SUBSTITUTE(INDEX(Y:Y,_xlfn.XMATCH($X58,$X$1:$X57,0,-1)),"A",""))+INDEX(Z:Z,_xlfn.XMATCH($X58,$X$1:$X57,0,-1))+1)</f>
        <v>3</v>
      </c>
      <c r="Z58" s="43" cm="1">
        <f t="array" ref="Z58">SUM(IF(ISNUMBER(FIND("TmAi",$BE$1:$AAD$1)),IF(IFERROR(ISODD(SUBSTITUTE($BE58:$AAD58,"A","")),FALSE),IF(ISODD(SUBSTITUTE($BE58:$AAD58,"A","")),1,0),0)))</f>
        <v>0</v>
      </c>
      <c r="AA58" t="str">
        <f t="shared" si="116"/>
        <v>5B</v>
      </c>
      <c r="AB58" t="str">
        <f t="shared" si="117"/>
        <v>6B</v>
      </c>
      <c r="AP58" t="s">
        <v>137</v>
      </c>
      <c r="AS58" t="s">
        <v>396</v>
      </c>
      <c r="JZ58" s="27" t="str">
        <f t="shared" si="113"/>
        <v>XT55</v>
      </c>
      <c r="KC58" t="str">
        <f t="shared" si="114"/>
        <v>F0-AI3-5B</v>
      </c>
      <c r="KD58" t="str">
        <f t="shared" si="115"/>
        <v>F0-AI3-6B</v>
      </c>
      <c r="KI58" cm="1">
        <f t="array" ref="KI58">IF(COUNTIFS($U$2:$U58,$U58)=1,1,INDEX(KI:KI,_xlfn.XMATCH(U58,U$1:U57,0,-1))+COUNT(KI57:KM57))</f>
        <v>7</v>
      </c>
      <c r="KJ58">
        <f t="shared" ref="KJ58:KM68" si="118">KI58+1</f>
        <v>8</v>
      </c>
      <c r="KK58">
        <f t="shared" si="118"/>
        <v>9</v>
      </c>
      <c r="KN58">
        <v>1</v>
      </c>
      <c r="KO58" s="16">
        <v>2</v>
      </c>
      <c r="KS58" s="16"/>
    </row>
    <row r="59" spans="1:305" x14ac:dyDescent="0.25">
      <c r="A59" t="s">
        <v>502</v>
      </c>
      <c r="B59" s="33" t="s">
        <v>501</v>
      </c>
      <c r="C59" t="s">
        <v>498</v>
      </c>
      <c r="P59" t="s">
        <v>482</v>
      </c>
      <c r="T59" s="14" t="s">
        <v>554</v>
      </c>
      <c r="U59">
        <v>55</v>
      </c>
      <c r="V59" t="s">
        <v>1429</v>
      </c>
      <c r="X59" t="str">
        <f>IF(COUNTIF(X$1:X58,X58)&gt;7,REPLACE(X58,LEN(X58),1,VALUE(RIGHT(X58,1))+1),X58)</f>
        <v>A3.3</v>
      </c>
      <c r="Y59" s="43" cm="1">
        <f t="array" ref="Y59">IF(COUNTIFS($X$2:$X59,$X59)=1,"1",VALUE(SUBSTITUTE(INDEX(Y:Y,_xlfn.XMATCH($X59,$X$1:$X58,0,-1)),"A",""))+INDEX(Z:Z,_xlfn.XMATCH($X59,$X$1:$X58,0,-1))+1)</f>
        <v>4</v>
      </c>
      <c r="Z59" s="43" cm="1">
        <f t="array" ref="Z59">SUM(IF(ISNUMBER(FIND("TmAi",$BE$1:$AAD$1)),IF(IFERROR(ISODD(SUBSTITUTE($BE59:$AAD59,"A","")),FALSE),IF(ISODD(SUBSTITUTE($BE59:$AAD59,"A","")),1,0),0)))</f>
        <v>0</v>
      </c>
      <c r="AA59" t="str">
        <f t="shared" si="116"/>
        <v>7B</v>
      </c>
      <c r="AB59" t="str">
        <f t="shared" si="117"/>
        <v>8B</v>
      </c>
      <c r="AP59" t="s">
        <v>137</v>
      </c>
      <c r="AS59" t="s">
        <v>396</v>
      </c>
      <c r="JZ59" s="27" t="str">
        <f t="shared" si="113"/>
        <v>XT55</v>
      </c>
      <c r="KC59" t="str">
        <f t="shared" si="114"/>
        <v>F0-AI3-7B</v>
      </c>
      <c r="KD59" t="str">
        <f t="shared" si="115"/>
        <v>F0-AI3-8B</v>
      </c>
      <c r="KI59" cm="1">
        <f t="array" ref="KI59">IF(COUNTIFS($U$2:$U59,$U59)=1,1,INDEX(KI:KI,_xlfn.XMATCH(U59,U$1:U58,0,-1))+COUNT(KI58:KM58))</f>
        <v>10</v>
      </c>
      <c r="KJ59">
        <f t="shared" si="118"/>
        <v>11</v>
      </c>
      <c r="KK59">
        <f t="shared" si="118"/>
        <v>12</v>
      </c>
      <c r="KN59">
        <v>1</v>
      </c>
      <c r="KO59" s="16">
        <v>2</v>
      </c>
      <c r="KS59" s="16"/>
    </row>
    <row r="60" spans="1:305" x14ac:dyDescent="0.25">
      <c r="A60" t="s">
        <v>511</v>
      </c>
      <c r="B60" s="34" t="s">
        <v>510</v>
      </c>
      <c r="C60" t="s">
        <v>498</v>
      </c>
      <c r="P60" t="s">
        <v>482</v>
      </c>
      <c r="T60" s="14" t="s">
        <v>554</v>
      </c>
      <c r="U60">
        <v>55</v>
      </c>
      <c r="V60" t="s">
        <v>1430</v>
      </c>
      <c r="X60" t="str">
        <f>IF(COUNTIF(X$1:X59,X59)&gt;7,REPLACE(X59,LEN(X59),1,VALUE(RIGHT(X59,1))+1),X59)</f>
        <v>A3.3</v>
      </c>
      <c r="Y60" s="43" cm="1">
        <f t="array" ref="Y60">IF(COUNTIFS($X$2:$X60,$X60)=1,"1",VALUE(SUBSTITUTE(INDEX(Y:Y,_xlfn.XMATCH($X60,$X$1:$X59,0,-1)),"A",""))+INDEX(Z:Z,_xlfn.XMATCH($X60,$X$1:$X59,0,-1))+1)</f>
        <v>5</v>
      </c>
      <c r="Z60" s="43" cm="1">
        <f t="array" ref="Z60">SUM(IF(ISNUMBER(FIND("TmAi",$BE$1:$AAD$1)),IF(IFERROR(ISODD(SUBSTITUTE($BE60:$AAD60,"A","")),FALSE),IF(ISODD(SUBSTITUTE($BE60:$AAD60,"A","")),1,0),0)))</f>
        <v>0</v>
      </c>
      <c r="AA60" t="str">
        <f t="shared" si="116"/>
        <v>9B</v>
      </c>
      <c r="AB60" t="str">
        <f t="shared" si="117"/>
        <v>10B</v>
      </c>
      <c r="AP60" t="s">
        <v>137</v>
      </c>
      <c r="AS60" t="s">
        <v>396</v>
      </c>
      <c r="JZ60" s="27" t="str">
        <f t="shared" si="113"/>
        <v>XT55</v>
      </c>
      <c r="KC60" t="str">
        <f t="shared" si="114"/>
        <v>F0-AI3-9B</v>
      </c>
      <c r="KD60" t="str">
        <f t="shared" si="115"/>
        <v>F0-AI3-10B</v>
      </c>
      <c r="KI60" cm="1">
        <f t="array" ref="KI60">IF(COUNTIFS($U$2:$U60,$U60)=1,1,INDEX(KI:KI,_xlfn.XMATCH(U60,U$1:U59,0,-1))+COUNT(KI59:KM59))</f>
        <v>13</v>
      </c>
      <c r="KJ60">
        <f t="shared" si="118"/>
        <v>14</v>
      </c>
      <c r="KK60">
        <f t="shared" si="118"/>
        <v>15</v>
      </c>
      <c r="KN60">
        <v>1</v>
      </c>
      <c r="KO60" s="16">
        <v>2</v>
      </c>
      <c r="KS60" s="16"/>
    </row>
    <row r="61" spans="1:305" x14ac:dyDescent="0.25">
      <c r="A61" t="s">
        <v>513</v>
      </c>
      <c r="B61" t="s">
        <v>512</v>
      </c>
      <c r="C61" t="s">
        <v>498</v>
      </c>
      <c r="P61" t="s">
        <v>482</v>
      </c>
      <c r="T61" s="14" t="s">
        <v>554</v>
      </c>
      <c r="U61">
        <v>55</v>
      </c>
      <c r="V61" t="s">
        <v>1431</v>
      </c>
      <c r="X61" t="str">
        <f>IF(COUNTIF(X$1:X60,X60)&gt;7,REPLACE(X60,LEN(X60),1,VALUE(RIGHT(X60,1))+1),X60)</f>
        <v>A3.3</v>
      </c>
      <c r="Y61" s="43" cm="1">
        <f t="array" ref="Y61">IF(COUNTIFS($X$2:$X61,$X61)=1,"1",VALUE(SUBSTITUTE(INDEX(Y:Y,_xlfn.XMATCH($X61,$X$1:$X60,0,-1)),"A",""))+INDEX(Z:Z,_xlfn.XMATCH($X61,$X$1:$X60,0,-1))+1)</f>
        <v>6</v>
      </c>
      <c r="Z61" s="43" cm="1">
        <f t="array" ref="Z61">SUM(IF(ISNUMBER(FIND("TmAi",$BE$1:$AAD$1)),IF(IFERROR(ISODD(SUBSTITUTE($BE61:$AAD61,"A","")),FALSE),IF(ISODD(SUBSTITUTE($BE61:$AAD61,"A","")),1,0),0)))</f>
        <v>0</v>
      </c>
      <c r="AA61" t="str">
        <f t="shared" si="116"/>
        <v>11B</v>
      </c>
      <c r="AB61" t="str">
        <f t="shared" si="117"/>
        <v>12B</v>
      </c>
      <c r="AP61" t="s">
        <v>137</v>
      </c>
      <c r="AS61" t="s">
        <v>396</v>
      </c>
      <c r="JZ61" s="27" t="str">
        <f t="shared" si="113"/>
        <v>XT55</v>
      </c>
      <c r="KC61" t="str">
        <f t="shared" si="114"/>
        <v>F0-AI3-11B</v>
      </c>
      <c r="KD61" t="str">
        <f t="shared" si="115"/>
        <v>F0-AI3-12B</v>
      </c>
      <c r="KI61" cm="1">
        <f t="array" ref="KI61">IF(COUNTIFS($U$2:$U61,$U61)=1,1,INDEX(KI:KI,_xlfn.XMATCH(U61,U$1:U60,0,-1))+COUNT(KI60:KM60))</f>
        <v>16</v>
      </c>
      <c r="KJ61">
        <f t="shared" si="118"/>
        <v>17</v>
      </c>
      <c r="KK61">
        <f t="shared" si="118"/>
        <v>18</v>
      </c>
      <c r="KN61">
        <v>1</v>
      </c>
      <c r="KO61" s="16">
        <v>2</v>
      </c>
      <c r="KS61" s="16"/>
    </row>
    <row r="62" spans="1:305" x14ac:dyDescent="0.25">
      <c r="A62" t="s">
        <v>517</v>
      </c>
      <c r="B62" t="s">
        <v>514</v>
      </c>
      <c r="C62" t="s">
        <v>498</v>
      </c>
      <c r="P62" t="s">
        <v>482</v>
      </c>
      <c r="T62" s="14" t="s">
        <v>554</v>
      </c>
      <c r="U62">
        <v>55</v>
      </c>
      <c r="V62" t="s">
        <v>1432</v>
      </c>
      <c r="X62" t="str">
        <f>IF(COUNTIF(X$1:X61,X61)&gt;7,REPLACE(X61,LEN(X61),1,VALUE(RIGHT(X61,1))+1),X61)</f>
        <v>A3.3</v>
      </c>
      <c r="Y62" s="43" cm="1">
        <f t="array" ref="Y62">IF(COUNTIFS($X$2:$X62,$X62)=1,"1",VALUE(SUBSTITUTE(INDEX(Y:Y,_xlfn.XMATCH($X62,$X$1:$X61,0,-1)),"A",""))+INDEX(Z:Z,_xlfn.XMATCH($X62,$X$1:$X61,0,-1))+1)</f>
        <v>7</v>
      </c>
      <c r="Z62" s="43" cm="1">
        <f t="array" ref="Z62">SUM(IF(ISNUMBER(FIND("TmAi",$BE$1:$AAD$1)),IF(IFERROR(ISODD(SUBSTITUTE($BE62:$AAD62,"A","")),FALSE),IF(ISODD(SUBSTITUTE($BE62:$AAD62,"A","")),1,0),0)))</f>
        <v>0</v>
      </c>
      <c r="AA62" t="str">
        <f t="shared" si="116"/>
        <v>13B</v>
      </c>
      <c r="AB62" t="str">
        <f t="shared" si="117"/>
        <v>14B</v>
      </c>
      <c r="AP62" t="s">
        <v>137</v>
      </c>
      <c r="AS62" t="s">
        <v>396</v>
      </c>
      <c r="JZ62" s="27" t="str">
        <f t="shared" si="113"/>
        <v>XT55</v>
      </c>
      <c r="KC62" t="str">
        <f t="shared" si="114"/>
        <v>F0-AI3-13B</v>
      </c>
      <c r="KD62" t="str">
        <f t="shared" si="115"/>
        <v>F0-AI3-14B</v>
      </c>
      <c r="KI62" cm="1">
        <f t="array" ref="KI62">IF(COUNTIFS($U$2:$U62,$U62)=1,1,INDEX(KI:KI,_xlfn.XMATCH(U62,U$1:U61,0,-1))+COUNT(KI61:KM61))</f>
        <v>19</v>
      </c>
      <c r="KJ62">
        <f t="shared" si="118"/>
        <v>20</v>
      </c>
      <c r="KK62">
        <f t="shared" si="118"/>
        <v>21</v>
      </c>
      <c r="KN62">
        <v>1</v>
      </c>
      <c r="KO62" s="16">
        <v>2</v>
      </c>
      <c r="KS62" s="16"/>
    </row>
    <row r="63" spans="1:305" x14ac:dyDescent="0.25">
      <c r="A63" t="s">
        <v>516</v>
      </c>
      <c r="B63" t="s">
        <v>515</v>
      </c>
      <c r="C63" t="s">
        <v>498</v>
      </c>
      <c r="P63" t="s">
        <v>482</v>
      </c>
      <c r="T63" s="14" t="s">
        <v>554</v>
      </c>
      <c r="U63">
        <v>55</v>
      </c>
      <c r="V63" t="s">
        <v>1433</v>
      </c>
      <c r="X63" s="33" t="str">
        <f>IF(COUNTIF(X$1:X62,X62)&gt;7,REPLACE(X62,LEN(X62),1,VALUE(RIGHT(X62,1))+1),X62)</f>
        <v>A3.3</v>
      </c>
      <c r="Y63" s="45" cm="1">
        <f t="array" ref="Y63">IF(COUNTIFS($X$2:$X63,$X63)=1,"1",VALUE(SUBSTITUTE(INDEX(Y:Y,_xlfn.XMATCH($X63,$X$1:$X62,0,-1)),"A",""))+INDEX(Z:Z,_xlfn.XMATCH($X63,$X$1:$X62,0,-1))+1)</f>
        <v>8</v>
      </c>
      <c r="Z63" s="43" cm="1">
        <f t="array" ref="Z63">SUM(IF(ISNUMBER(FIND("TmAi",$BE$1:$AAD$1)),IF(IFERROR(ISODD(SUBSTITUTE($BE63:$AAD63,"A","")),FALSE),IF(ISODD(SUBSTITUTE($BE63:$AAD63,"A","")),1,0),0)))</f>
        <v>0</v>
      </c>
      <c r="AA63" t="str">
        <f t="shared" si="116"/>
        <v>15B</v>
      </c>
      <c r="AB63" t="str">
        <f t="shared" si="117"/>
        <v>16B</v>
      </c>
      <c r="AP63" t="s">
        <v>137</v>
      </c>
      <c r="AS63" t="s">
        <v>396</v>
      </c>
      <c r="JZ63" s="27" t="str">
        <f t="shared" si="113"/>
        <v>XT55</v>
      </c>
      <c r="KC63" t="str">
        <f t="shared" si="114"/>
        <v>F0-AI3-15B</v>
      </c>
      <c r="KD63" t="str">
        <f t="shared" si="115"/>
        <v>F0-AI3-16B</v>
      </c>
      <c r="KI63" cm="1">
        <f t="array" ref="KI63">IF(COUNTIFS($U$2:$U63,$U63)=1,1,INDEX(KI:KI,_xlfn.XMATCH(U63,U$1:U62,0,-1))+COUNT(KI62:KM62))</f>
        <v>22</v>
      </c>
      <c r="KJ63">
        <f t="shared" si="118"/>
        <v>23</v>
      </c>
      <c r="KK63">
        <f t="shared" si="118"/>
        <v>24</v>
      </c>
      <c r="KN63">
        <v>1</v>
      </c>
      <c r="KO63" s="16">
        <v>2</v>
      </c>
      <c r="KS63" s="16"/>
    </row>
    <row r="64" spans="1:305" x14ac:dyDescent="0.25">
      <c r="A64" t="s">
        <v>519</v>
      </c>
      <c r="B64" t="s">
        <v>518</v>
      </c>
      <c r="C64" t="s">
        <v>498</v>
      </c>
      <c r="P64" t="s">
        <v>482</v>
      </c>
      <c r="T64" s="14" t="s">
        <v>554</v>
      </c>
      <c r="U64">
        <v>55</v>
      </c>
      <c r="V64" t="s">
        <v>1434</v>
      </c>
      <c r="X64" t="str">
        <f>IF(COUNTIF(X$1:X63,X63)&gt;7,REPLACE(X63,LEN(X63),1,VALUE(RIGHT(X63,1))+1),X63)</f>
        <v>A3.4</v>
      </c>
      <c r="Y64" s="43" t="str" cm="1">
        <f t="array" ref="Y64">IF(COUNTIFS($X$2:$X64,$X64)=1,"1",VALUE(SUBSTITUTE(INDEX(Y:Y,_xlfn.XMATCH($X64,$X$1:$X63,0,-1)),"A",""))+INDEX(Z:Z,_xlfn.XMATCH($X64,$X$1:$X63,0,-1))+1)</f>
        <v>1</v>
      </c>
      <c r="Z64" s="43" cm="1">
        <f t="array" ref="Z64">SUM(IF(ISNUMBER(FIND("TmAi",$BE$1:$AAD$1)),IF(IFERROR(ISODD(SUBSTITUTE($BE64:$AAD64,"A","")),FALSE),IF(ISODD(SUBSTITUTE($BE64:$AAD64,"A","")),1,0),0)))</f>
        <v>0</v>
      </c>
      <c r="AA64" t="str">
        <f t="shared" si="116"/>
        <v>1B</v>
      </c>
      <c r="AB64" t="str">
        <f t="shared" si="117"/>
        <v>2B</v>
      </c>
      <c r="AP64" t="s">
        <v>137</v>
      </c>
      <c r="AS64" t="s">
        <v>396</v>
      </c>
      <c r="JZ64" s="27" t="str">
        <f t="shared" si="113"/>
        <v>XT55</v>
      </c>
      <c r="KC64" t="str">
        <f t="shared" si="114"/>
        <v>F0-AI4-1B</v>
      </c>
      <c r="KD64" t="str">
        <f t="shared" si="115"/>
        <v>F0-AI4-2B</v>
      </c>
      <c r="KI64" cm="1">
        <f t="array" ref="KI64">IF(COUNTIFS($U$2:$U64,$U64)=1,1,INDEX(KI:KI,_xlfn.XMATCH(U64,U$1:U63,0,-1))+COUNT(KI63:KM63))</f>
        <v>25</v>
      </c>
      <c r="KJ64">
        <f t="shared" si="118"/>
        <v>26</v>
      </c>
      <c r="KK64">
        <f t="shared" si="118"/>
        <v>27</v>
      </c>
      <c r="KN64">
        <v>1</v>
      </c>
      <c r="KO64" s="16">
        <v>2</v>
      </c>
      <c r="KS64" s="16"/>
    </row>
    <row r="65" spans="1:305" x14ac:dyDescent="0.25">
      <c r="A65" t="s">
        <v>521</v>
      </c>
      <c r="B65" s="33" t="s">
        <v>520</v>
      </c>
      <c r="C65" t="s">
        <v>498</v>
      </c>
      <c r="P65" t="s">
        <v>482</v>
      </c>
      <c r="T65" s="14" t="s">
        <v>554</v>
      </c>
      <c r="U65">
        <v>55</v>
      </c>
      <c r="V65" t="s">
        <v>1435</v>
      </c>
      <c r="X65" t="str">
        <f>IF(COUNTIF(X$1:X64,X64)&gt;7,REPLACE(X64,LEN(X64),1,VALUE(RIGHT(X64,1))+1),X64)</f>
        <v>A3.4</v>
      </c>
      <c r="Y65" s="43" cm="1">
        <f t="array" ref="Y65">IF(COUNTIFS($X$2:$X65,$X65)=1,"1",VALUE(SUBSTITUTE(INDEX(Y:Y,_xlfn.XMATCH($X65,$X$1:$X64,0,-1)),"A",""))+INDEX(Z:Z,_xlfn.XMATCH($X65,$X$1:$X64,0,-1))+1)</f>
        <v>2</v>
      </c>
      <c r="Z65" s="43" cm="1">
        <f t="array" ref="Z65">SUM(IF(ISNUMBER(FIND("TmAi",$BE$1:$AAD$1)),IF(IFERROR(ISODD(SUBSTITUTE($BE65:$AAD65,"A","")),FALSE),IF(ISODD(SUBSTITUTE($BE65:$AAD65,"A","")),1,0),0)))</f>
        <v>0</v>
      </c>
      <c r="AA65" t="str">
        <f t="shared" si="116"/>
        <v>3B</v>
      </c>
      <c r="AB65" t="str">
        <f t="shared" si="117"/>
        <v>4B</v>
      </c>
      <c r="AP65" t="s">
        <v>137</v>
      </c>
      <c r="AS65" t="s">
        <v>396</v>
      </c>
      <c r="JZ65" s="27" t="str">
        <f t="shared" si="113"/>
        <v>XT55</v>
      </c>
      <c r="KC65" t="str">
        <f t="shared" si="114"/>
        <v>F0-AI4-3B</v>
      </c>
      <c r="KD65" t="str">
        <f t="shared" si="115"/>
        <v>F0-AI4-4B</v>
      </c>
      <c r="KI65" cm="1">
        <f t="array" ref="KI65">IF(COUNTIFS($U$2:$U65,$U65)=1,1,INDEX(KI:KI,_xlfn.XMATCH(U65,U$1:U64,0,-1))+COUNT(KI64:KM64))</f>
        <v>28</v>
      </c>
      <c r="KJ65">
        <f t="shared" si="118"/>
        <v>29</v>
      </c>
      <c r="KK65">
        <f t="shared" si="118"/>
        <v>30</v>
      </c>
      <c r="KN65">
        <v>1</v>
      </c>
      <c r="KO65" s="16">
        <v>2</v>
      </c>
      <c r="KS65" s="16"/>
    </row>
    <row r="66" spans="1:305" x14ac:dyDescent="0.25">
      <c r="A66" t="s">
        <v>525</v>
      </c>
      <c r="B66" s="34" t="s">
        <v>523</v>
      </c>
      <c r="C66" t="s">
        <v>492</v>
      </c>
      <c r="P66" t="s">
        <v>482</v>
      </c>
      <c r="T66" s="14" t="s">
        <v>554</v>
      </c>
      <c r="U66">
        <v>55</v>
      </c>
      <c r="V66" t="s">
        <v>1436</v>
      </c>
      <c r="X66" t="str">
        <f>IF(COUNTIF(X$1:X65,X65)&gt;7,REPLACE(X65,LEN(X65),1,VALUE(RIGHT(X65,1))+1),X65)</f>
        <v>A3.4</v>
      </c>
      <c r="Y66" s="43" cm="1">
        <f t="array" ref="Y66">IF(COUNTIFS($X$2:$X66,$X66)=1,"1",VALUE(SUBSTITUTE(INDEX(Y:Y,_xlfn.XMATCH($X66,$X$1:$X65,0,-1)),"A",""))+INDEX(Z:Z,_xlfn.XMATCH($X66,$X$1:$X65,0,-1))+1)</f>
        <v>3</v>
      </c>
      <c r="Z66" s="43" cm="1">
        <f t="array" ref="Z66">SUM(IF(ISNUMBER(FIND("TmAi",$BE$1:$AAD$1)),IF(IFERROR(ISODD(SUBSTITUTE($BE66:$AAD66,"A","")),FALSE),IF(ISODD(SUBSTITUTE($BE66:$AAD66,"A","")),1,0),0)))</f>
        <v>0</v>
      </c>
      <c r="AA66" t="str">
        <f t="shared" si="116"/>
        <v>5B</v>
      </c>
      <c r="AB66" t="str">
        <f t="shared" si="117"/>
        <v>6B</v>
      </c>
      <c r="AP66" t="s">
        <v>137</v>
      </c>
      <c r="AS66" t="s">
        <v>396</v>
      </c>
      <c r="JZ66" s="27" t="str">
        <f t="shared" si="113"/>
        <v>XT55</v>
      </c>
      <c r="KC66" t="str">
        <f t="shared" si="114"/>
        <v>F0-AI4-5B</v>
      </c>
      <c r="KD66" t="str">
        <f t="shared" si="115"/>
        <v>F0-AI4-6B</v>
      </c>
      <c r="KI66" cm="1">
        <f t="array" ref="KI66">IF(COUNTIFS($U$2:$U66,$U66)=1,1,INDEX(KI:KI,_xlfn.XMATCH(U66,U$1:U65,0,-1))+COUNT(KI65:KM65))</f>
        <v>31</v>
      </c>
      <c r="KJ66">
        <f t="shared" si="118"/>
        <v>32</v>
      </c>
      <c r="KK66">
        <f t="shared" si="118"/>
        <v>33</v>
      </c>
      <c r="KN66">
        <v>1</v>
      </c>
      <c r="KO66" s="16">
        <v>2</v>
      </c>
      <c r="KS66" s="16"/>
    </row>
    <row r="67" spans="1:305" x14ac:dyDescent="0.25">
      <c r="A67" t="s">
        <v>527</v>
      </c>
      <c r="B67" s="33" t="s">
        <v>526</v>
      </c>
      <c r="C67" t="s">
        <v>498</v>
      </c>
      <c r="P67" t="s">
        <v>482</v>
      </c>
      <c r="T67" s="14" t="s">
        <v>554</v>
      </c>
      <c r="U67">
        <v>55</v>
      </c>
      <c r="V67" t="s">
        <v>1437</v>
      </c>
      <c r="X67" t="str">
        <f>IF(COUNTIF(X$1:X66,X66)&gt;7,REPLACE(X66,LEN(X66),1,VALUE(RIGHT(X66,1))+1),X66)</f>
        <v>A3.4</v>
      </c>
      <c r="Y67" s="43" cm="1">
        <f t="array" ref="Y67">IF(COUNTIFS($X$2:$X67,$X67)=1,"1",VALUE(SUBSTITUTE(INDEX(Y:Y,_xlfn.XMATCH($X67,$X$1:$X66,0,-1)),"A",""))+INDEX(Z:Z,_xlfn.XMATCH($X67,$X$1:$X66,0,-1))+1)</f>
        <v>4</v>
      </c>
      <c r="Z67" s="43" cm="1">
        <f t="array" ref="Z67">SUM(IF(ISNUMBER(FIND("TmAi",$BE$1:$AAD$1)),IF(IFERROR(ISODD(SUBSTITUTE($BE67:$AAD67,"A","")),FALSE),IF(ISODD(SUBSTITUTE($BE67:$AAD67,"A","")),1,0),0)))</f>
        <v>0</v>
      </c>
      <c r="AA67" t="str">
        <f t="shared" si="116"/>
        <v>7B</v>
      </c>
      <c r="AB67" t="str">
        <f t="shared" si="117"/>
        <v>8B</v>
      </c>
      <c r="AP67" t="s">
        <v>137</v>
      </c>
      <c r="AS67" t="s">
        <v>396</v>
      </c>
      <c r="JZ67" s="27" t="str">
        <f t="shared" si="113"/>
        <v>XT55</v>
      </c>
      <c r="KC67" t="str">
        <f t="shared" si="114"/>
        <v>F0-AI4-7B</v>
      </c>
      <c r="KD67" t="str">
        <f t="shared" si="115"/>
        <v>F0-AI4-8B</v>
      </c>
      <c r="KI67" cm="1">
        <f t="array" ref="KI67">IF(COUNTIFS($U$2:$U67,$U67)=1,1,INDEX(KI:KI,_xlfn.XMATCH(U67,U$1:U66,0,-1))+COUNT(KI66:KM66))</f>
        <v>34</v>
      </c>
      <c r="KJ67">
        <f t="shared" si="118"/>
        <v>35</v>
      </c>
      <c r="KK67">
        <f t="shared" si="118"/>
        <v>36</v>
      </c>
      <c r="KN67">
        <v>1</v>
      </c>
      <c r="KO67" s="16">
        <v>2</v>
      </c>
      <c r="KS67" s="16"/>
    </row>
    <row r="68" spans="1:305" x14ac:dyDescent="0.25">
      <c r="A68" t="s">
        <v>530</v>
      </c>
      <c r="B68" t="s">
        <v>529</v>
      </c>
      <c r="C68" t="s">
        <v>531</v>
      </c>
      <c r="P68" t="s">
        <v>503</v>
      </c>
      <c r="T68" s="14" t="s">
        <v>554</v>
      </c>
      <c r="U68">
        <v>55</v>
      </c>
      <c r="V68" t="s">
        <v>1438</v>
      </c>
      <c r="X68" s="33" t="str">
        <f>IF(COUNTIF(X$1:X67,X67)&gt;7,REPLACE(X67,LEN(X67),1,VALUE(RIGHT(X67,1))+1),X67)</f>
        <v>A3.4</v>
      </c>
      <c r="Y68" s="45" cm="1">
        <f t="array" ref="Y68">IF(COUNTIFS($X$2:$X68,$X68)=1,"1",VALUE(SUBSTITUTE(INDEX(Y:Y,_xlfn.XMATCH($X68,$X$1:$X67,0,-1)),"A",""))+INDEX(Z:Z,_xlfn.XMATCH($X68,$X$1:$X67,0,-1))+1)</f>
        <v>5</v>
      </c>
      <c r="Z68" s="43" cm="1">
        <f t="array" ref="Z68">SUM(IF(ISNUMBER(FIND("TmAi",$BE$1:$AAD$1)),IF(IFERROR(ISODD(SUBSTITUTE($BE68:$AAD68,"A","")),FALSE),IF(ISODD(SUBSTITUTE($BE68:$AAD68,"A","")),1,0),0)))</f>
        <v>0</v>
      </c>
      <c r="AA68" t="str">
        <f>CONCATENATE($Y68*2-1,"A")</f>
        <v>9A</v>
      </c>
      <c r="AB68" t="str">
        <f>CONCATENATE($Y68*2-1,"B")</f>
        <v>9B</v>
      </c>
      <c r="AP68" t="s">
        <v>137</v>
      </c>
      <c r="AS68" t="s">
        <v>396</v>
      </c>
      <c r="JZ68" s="27" t="str">
        <f t="shared" si="113"/>
        <v>XT55</v>
      </c>
      <c r="KC68" t="str">
        <f t="shared" si="114"/>
        <v>F0-AI4-9A</v>
      </c>
      <c r="KD68" t="str">
        <f t="shared" si="115"/>
        <v>F0-AI4-9B</v>
      </c>
      <c r="KG68" t="s">
        <v>488</v>
      </c>
      <c r="KH68" t="s">
        <v>487</v>
      </c>
      <c r="KI68" cm="1">
        <f t="array" ref="KI68">IF(COUNTIFS($U$2:$U68,$U68)=1,1,INDEX(KI:KI,_xlfn.XMATCH(U68,U$1:U67,0,-1))+COUNT(KI67:KM67))</f>
        <v>37</v>
      </c>
      <c r="KJ68">
        <f t="shared" si="118"/>
        <v>38</v>
      </c>
      <c r="KK68">
        <f t="shared" si="118"/>
        <v>39</v>
      </c>
      <c r="KL68">
        <f t="shared" si="118"/>
        <v>40</v>
      </c>
      <c r="KM68">
        <f t="shared" si="118"/>
        <v>41</v>
      </c>
      <c r="KN68" t="s">
        <v>547</v>
      </c>
      <c r="KO68" s="16" t="s">
        <v>548</v>
      </c>
      <c r="KP68" t="s">
        <v>547</v>
      </c>
      <c r="KQ68" t="s">
        <v>548</v>
      </c>
      <c r="KR68" t="s">
        <v>551</v>
      </c>
      <c r="KS68" s="16" t="s">
        <v>552</v>
      </c>
    </row>
    <row r="69" spans="1:305" x14ac:dyDescent="0.25">
      <c r="A69" t="s">
        <v>534</v>
      </c>
      <c r="B69" t="s">
        <v>533</v>
      </c>
      <c r="C69" t="s">
        <v>537</v>
      </c>
      <c r="P69" t="s">
        <v>542</v>
      </c>
      <c r="T69" s="14" t="s">
        <v>554</v>
      </c>
      <c r="U69">
        <v>55</v>
      </c>
      <c r="V69" t="s">
        <v>1439</v>
      </c>
      <c r="X69" t="s">
        <v>1281</v>
      </c>
      <c r="Y69" s="43" t="str" cm="1">
        <f t="array" ref="Y69">IF(COUNTIFS($X$2:$X69,$X69)=1,"1",VALUE(SUBSTITUTE(INDEX(Y:Y,_xlfn.XMATCH($X69,$X$1:$X68,0,-1)),"A",""))+INDEX(Z:Z,_xlfn.XMATCH($X69,$X$1:$X68,0,-1))+1)</f>
        <v>1</v>
      </c>
      <c r="Z69" s="43" cm="1">
        <f t="array" ref="Z69">SUM(IF(ISNUMBER(FIND("TmAi",$BE$1:$AAD$1)),IF(IFERROR(ISODD(SUBSTITUTE($BE69:$AAD69,"A","")),FALSE),IF(ISODD(SUBSTITUTE($BE69:$AAD69,"A","")),1,0),0)))</f>
        <v>0</v>
      </c>
      <c r="AA69" t="str">
        <f>CONCATENATE($Y69*2-1,"A")</f>
        <v>1A</v>
      </c>
      <c r="AB69" t="str">
        <f>CONCATENATE($Y69*2-1,"B")</f>
        <v>1B</v>
      </c>
      <c r="AP69" t="s">
        <v>137</v>
      </c>
      <c r="AS69" t="s">
        <v>396</v>
      </c>
      <c r="JZ69" s="27" t="str">
        <f t="shared" si="113"/>
        <v>XT55</v>
      </c>
      <c r="KA69" t="str">
        <f>REPLACE(AA69,1,1,LEFT(AA69,1)+1)</f>
        <v>2A</v>
      </c>
      <c r="KB69" t="str">
        <f>REPLACE(AB69,1,1,LEFT(AB69,1)+1)</f>
        <v>2B</v>
      </c>
      <c r="KC69" t="str">
        <f t="shared" si="114"/>
        <v>F0-AI34-1A</v>
      </c>
      <c r="KD69" t="str">
        <f t="shared" si="115"/>
        <v>F0-AI34-1B</v>
      </c>
      <c r="KE69" t="str">
        <f>CONCATENATE($T69,"-AI",REPLACE($X69,1,3,""),"-",KA69)</f>
        <v>F0-AI34-2A</v>
      </c>
      <c r="KF69" t="str">
        <f>CONCATENATE($T69,"-AI",REPLACE($X69,1,3,""),"-",KB69)</f>
        <v>F0-AI34-2B</v>
      </c>
      <c r="KI69" cm="1">
        <f t="array" ref="KI69">IF(COUNTIFS($U$2:$U69,$U69)=1,1,INDEX(KI:KI,_xlfn.XMATCH(U69,U$1:U68,0,-1))+COUNT(KI68:KM68))</f>
        <v>42</v>
      </c>
      <c r="KJ69">
        <f>KI69+1</f>
        <v>43</v>
      </c>
      <c r="KK69">
        <f>KJ69+1</f>
        <v>44</v>
      </c>
      <c r="KL69">
        <f>KK69+1</f>
        <v>45</v>
      </c>
      <c r="KN69">
        <v>1</v>
      </c>
      <c r="KO69" s="16">
        <v>2</v>
      </c>
      <c r="KP69">
        <v>3</v>
      </c>
      <c r="KQ69">
        <v>4</v>
      </c>
      <c r="KS69" s="16"/>
    </row>
    <row r="70" spans="1:305" x14ac:dyDescent="0.25">
      <c r="A70" t="s">
        <v>535</v>
      </c>
      <c r="B70" t="s">
        <v>536</v>
      </c>
      <c r="C70" t="s">
        <v>537</v>
      </c>
      <c r="P70" t="s">
        <v>542</v>
      </c>
      <c r="T70" s="14" t="s">
        <v>554</v>
      </c>
      <c r="U70">
        <v>55</v>
      </c>
      <c r="V70" t="s">
        <v>1440</v>
      </c>
      <c r="X70" s="33" t="str">
        <f>IF(COUNTIF(X$1:X69,X69)&gt;3,REPLACE(X69,LEN(X69),1,VALUE(RIGHT(X69,1))+1),X69)</f>
        <v>A3.34</v>
      </c>
      <c r="Y70" s="45" cm="1">
        <f t="array" ref="Y70">IF(COUNTIFS($X$2:$X70,$X70)=1,"1",VALUE(SUBSTITUTE(INDEX(Y:Y,_xlfn.XMATCH($X70,$X$1:$X69,0,-1)),"A",""))+INDEX(Z:Z,_xlfn.XMATCH($X70,$X$1:$X69,0,-1))+1)</f>
        <v>2</v>
      </c>
      <c r="Z70" s="43" cm="1">
        <f t="array" ref="Z70">SUM(IF(ISNUMBER(FIND("TmAi",$BE$1:$AAD$1)),IF(IFERROR(ISODD(SUBSTITUTE($BE70:$AAD70,"A","")),FALSE),IF(ISODD(SUBSTITUTE($BE70:$AAD70,"A","")),1,0),0)))</f>
        <v>0</v>
      </c>
      <c r="AA70" t="str">
        <f>CONCATENATE($Y70*2-1,"A")</f>
        <v>3A</v>
      </c>
      <c r="AB70" t="str">
        <f>CONCATENATE($Y70*2-1,"B")</f>
        <v>3B</v>
      </c>
      <c r="AP70" t="s">
        <v>137</v>
      </c>
      <c r="AS70" t="s">
        <v>396</v>
      </c>
      <c r="JZ70" s="27" t="str">
        <f t="shared" si="113"/>
        <v>XT55</v>
      </c>
      <c r="KA70" t="str">
        <f>REPLACE(AA70,1,1,LEFT(AA70,1)+1)</f>
        <v>4A</v>
      </c>
      <c r="KB70" t="str">
        <f>REPLACE(AB70,1,1,LEFT(AB70,1)+1)</f>
        <v>4B</v>
      </c>
      <c r="KC70" t="str">
        <f t="shared" si="114"/>
        <v>F0-AI34-3A</v>
      </c>
      <c r="KD70" t="str">
        <f t="shared" si="115"/>
        <v>F0-AI34-3B</v>
      </c>
      <c r="KE70" t="str">
        <f>CONCATENATE($T70,"-AI",REPLACE($X70,1,3,""),"-",KA70)</f>
        <v>F0-AI34-4A</v>
      </c>
      <c r="KF70" t="str">
        <f>CONCATENATE($T70,"-AI",REPLACE($X70,1,3,""),"-",KB70)</f>
        <v>F0-AI34-4B</v>
      </c>
      <c r="KI70" cm="1">
        <f t="array" ref="KI70">IF(COUNTIFS($U$2:$U70,$U70)=1,1,INDEX(KI:KI,_xlfn.XMATCH(U70,U$1:U69,0,-1))+COUNT(KI69:KM69))</f>
        <v>46</v>
      </c>
      <c r="KJ70">
        <f t="shared" ref="KJ70:KM85" si="119">KI70+1</f>
        <v>47</v>
      </c>
      <c r="KK70">
        <f t="shared" si="119"/>
        <v>48</v>
      </c>
      <c r="KL70">
        <f t="shared" si="119"/>
        <v>49</v>
      </c>
      <c r="KN70">
        <v>1</v>
      </c>
      <c r="KO70" s="16">
        <v>2</v>
      </c>
      <c r="KP70">
        <v>3</v>
      </c>
      <c r="KQ70">
        <v>4</v>
      </c>
      <c r="KS70" s="16"/>
    </row>
    <row r="71" spans="1:305" x14ac:dyDescent="0.25">
      <c r="A71" t="s">
        <v>539</v>
      </c>
      <c r="B71" s="34" t="s">
        <v>538</v>
      </c>
      <c r="C71" t="s">
        <v>492</v>
      </c>
      <c r="P71" t="s">
        <v>482</v>
      </c>
      <c r="T71" s="14" t="s">
        <v>554</v>
      </c>
      <c r="U71">
        <v>55</v>
      </c>
      <c r="V71" t="s">
        <v>1441</v>
      </c>
      <c r="X71" t="s">
        <v>509</v>
      </c>
      <c r="Y71" s="43" cm="1">
        <f t="array" ref="Y71">IF(COUNTIFS($X$2:$X71,$X71)=1,"1",VALUE(SUBSTITUTE(INDEX(Y:Y,_xlfn.XMATCH($X71,$X$1:$X70,0,-1)),"A",""))+INDEX(Z:Z,_xlfn.XMATCH($X71,$X$1:$X70,0,-1))+1)</f>
        <v>6</v>
      </c>
      <c r="Z71" s="43" cm="1">
        <f t="array" ref="Z71">SUM(IF(ISNUMBER(FIND("TmAi",$BE$1:$AAD$1)),IF(IFERROR(ISODD(SUBSTITUTE($BE71:$AAD71,"A","")),FALSE),IF(ISODD(SUBSTITUTE($BE71:$AAD71,"A","")),1,0),0)))</f>
        <v>0</v>
      </c>
      <c r="AA71" t="str">
        <f t="shared" ref="AA71:AA75" si="120">CONCATENATE($Y71*2-1,"B")</f>
        <v>11B</v>
      </c>
      <c r="AB71" t="str">
        <f t="shared" ref="AB71:AB75" si="121">CONCATENATE($Y71*2,"B")</f>
        <v>12B</v>
      </c>
      <c r="AP71" t="s">
        <v>137</v>
      </c>
      <c r="AS71" t="s">
        <v>396</v>
      </c>
      <c r="JZ71" s="27" t="str">
        <f t="shared" si="113"/>
        <v>XT55</v>
      </c>
      <c r="KC71" t="str">
        <f t="shared" si="114"/>
        <v>F0-AI4-11B</v>
      </c>
      <c r="KD71" t="str">
        <f t="shared" si="115"/>
        <v>F0-AI4-12B</v>
      </c>
      <c r="KI71" cm="1">
        <f t="array" ref="KI71">IF(COUNTIFS($U$2:$U71,$U71)=1,1,INDEX(KI:KI,_xlfn.XMATCH(U71,U$1:U70,0,-1))+COUNT(KI70:KM70))</f>
        <v>50</v>
      </c>
      <c r="KJ71">
        <f t="shared" si="119"/>
        <v>51</v>
      </c>
      <c r="KK71">
        <f t="shared" si="119"/>
        <v>52</v>
      </c>
      <c r="KN71">
        <v>1</v>
      </c>
      <c r="KO71" s="16">
        <v>2</v>
      </c>
      <c r="KS71" s="16"/>
    </row>
    <row r="72" spans="1:305" x14ac:dyDescent="0.25">
      <c r="A72" t="s">
        <v>541</v>
      </c>
      <c r="B72" t="s">
        <v>540</v>
      </c>
      <c r="C72" t="s">
        <v>498</v>
      </c>
      <c r="P72" t="s">
        <v>482</v>
      </c>
      <c r="T72" s="14" t="s">
        <v>554</v>
      </c>
      <c r="U72">
        <v>55</v>
      </c>
      <c r="V72" t="s">
        <v>1442</v>
      </c>
      <c r="X72" t="str">
        <f>IF(COUNTIF(X$1:X71,X71)&gt;7,REPLACE(X71,LEN(X71),1,VALUE(RIGHT(X71,1))+1),X71)</f>
        <v>A3.4</v>
      </c>
      <c r="Y72" s="43" cm="1">
        <f t="array" ref="Y72">IF(COUNTIFS($X$2:$X72,$X72)=1,"1",VALUE(SUBSTITUTE(INDEX(Y:Y,_xlfn.XMATCH($X72,$X$1:$X71,0,-1)),"A",""))+INDEX(Z:Z,_xlfn.XMATCH($X72,$X$1:$X71,0,-1))+1)</f>
        <v>7</v>
      </c>
      <c r="Z72" s="43" cm="1">
        <f t="array" ref="Z72">SUM(IF(ISNUMBER(FIND("TmAi",$BE$1:$AAD$1)),IF(IFERROR(ISODD(SUBSTITUTE($BE72:$AAD72,"A","")),FALSE),IF(ISODD(SUBSTITUTE($BE72:$AAD72,"A","")),1,0),0)))</f>
        <v>0</v>
      </c>
      <c r="AA72" t="str">
        <f t="shared" si="120"/>
        <v>13B</v>
      </c>
      <c r="AB72" t="str">
        <f t="shared" si="121"/>
        <v>14B</v>
      </c>
      <c r="AP72" t="s">
        <v>137</v>
      </c>
      <c r="AS72" t="s">
        <v>396</v>
      </c>
      <c r="JZ72" s="27" t="str">
        <f t="shared" si="113"/>
        <v>XT55</v>
      </c>
      <c r="KC72" t="str">
        <f t="shared" si="114"/>
        <v>F0-AI4-13B</v>
      </c>
      <c r="KD72" t="str">
        <f t="shared" si="115"/>
        <v>F0-AI4-14B</v>
      </c>
      <c r="KI72" cm="1">
        <f t="array" ref="KI72">IF(COUNTIFS($U$2:$U72,$U72)=1,1,INDEX(KI:KI,_xlfn.XMATCH(U72,U$1:U71,0,-1))+COUNT(KI71:KM71))</f>
        <v>53</v>
      </c>
      <c r="KJ72">
        <f t="shared" si="119"/>
        <v>54</v>
      </c>
      <c r="KK72">
        <f t="shared" si="119"/>
        <v>55</v>
      </c>
      <c r="KN72">
        <v>1</v>
      </c>
      <c r="KO72" s="16">
        <v>2</v>
      </c>
      <c r="KS72" s="16"/>
    </row>
    <row r="73" spans="1:305" x14ac:dyDescent="0.25">
      <c r="A73" t="s">
        <v>560</v>
      </c>
      <c r="B73" t="s">
        <v>559</v>
      </c>
      <c r="C73" t="s">
        <v>498</v>
      </c>
      <c r="P73" t="s">
        <v>482</v>
      </c>
      <c r="T73" s="14" t="s">
        <v>554</v>
      </c>
      <c r="U73">
        <v>55</v>
      </c>
      <c r="V73" t="s">
        <v>1443</v>
      </c>
      <c r="X73" s="33" t="str">
        <f>IF(COUNTIF(X$1:X72,X72)&gt;7,REPLACE(X72,LEN(X72),1,VALUE(RIGHT(X72,1))+1),X72)</f>
        <v>A3.4</v>
      </c>
      <c r="Y73" s="45" cm="1">
        <f t="array" ref="Y73">IF(COUNTIFS($X$2:$X73,$X73)=1,"1",VALUE(SUBSTITUTE(INDEX(Y:Y,_xlfn.XMATCH($X73,$X$1:$X72,0,-1)),"A",""))+INDEX(Z:Z,_xlfn.XMATCH($X73,$X$1:$X72,0,-1))+1)</f>
        <v>8</v>
      </c>
      <c r="Z73" s="43" cm="1">
        <f t="array" ref="Z73">SUM(IF(ISNUMBER(FIND("TmAi",$BE$1:$AAD$1)),IF(IFERROR(ISODD(SUBSTITUTE($BE73:$AAD73,"A","")),FALSE),IF(ISODD(SUBSTITUTE($BE73:$AAD73,"A","")),1,0),0)))</f>
        <v>0</v>
      </c>
      <c r="AA73" t="str">
        <f t="shared" si="120"/>
        <v>15B</v>
      </c>
      <c r="AB73" t="str">
        <f t="shared" si="121"/>
        <v>16B</v>
      </c>
      <c r="AP73" t="s">
        <v>137</v>
      </c>
      <c r="AS73" t="s">
        <v>396</v>
      </c>
      <c r="JZ73" s="27" t="str">
        <f t="shared" si="113"/>
        <v>XT55</v>
      </c>
      <c r="KC73" t="str">
        <f t="shared" si="114"/>
        <v>F0-AI4-15B</v>
      </c>
      <c r="KD73" t="str">
        <f t="shared" si="115"/>
        <v>F0-AI4-16B</v>
      </c>
      <c r="KI73" cm="1">
        <f t="array" ref="KI73">IF(COUNTIFS($U$2:$U73,$U73)=1,1,INDEX(KI:KI,_xlfn.XMATCH(U73,U$1:U72,0,-1))+COUNT(KI72:KM72))</f>
        <v>56</v>
      </c>
      <c r="KJ73">
        <f t="shared" si="119"/>
        <v>57</v>
      </c>
      <c r="KK73">
        <f t="shared" si="119"/>
        <v>58</v>
      </c>
      <c r="KN73">
        <v>1</v>
      </c>
      <c r="KO73" s="16">
        <v>2</v>
      </c>
      <c r="KS73" s="16"/>
    </row>
    <row r="74" spans="1:305" x14ac:dyDescent="0.25">
      <c r="A74" t="s">
        <v>562</v>
      </c>
      <c r="B74" t="s">
        <v>561</v>
      </c>
      <c r="C74" t="s">
        <v>498</v>
      </c>
      <c r="P74" t="s">
        <v>482</v>
      </c>
      <c r="T74" s="14" t="s">
        <v>554</v>
      </c>
      <c r="U74">
        <v>55</v>
      </c>
      <c r="V74" t="s">
        <v>1444</v>
      </c>
      <c r="X74" t="str">
        <f>IF(COUNTIF(X$1:X73,X73)&gt;7,REPLACE(X73,LEN(X73),1,VALUE(RIGHT(X73,1))+1),X73)</f>
        <v>A3.5</v>
      </c>
      <c r="Y74" s="43" t="str" cm="1">
        <f t="array" ref="Y74">IF(COUNTIFS($X$2:$X74,$X74)=1,"1",VALUE(SUBSTITUTE(INDEX(Y:Y,_xlfn.XMATCH($X74,$X$1:$X73,0,-1)),"A",""))+INDEX(Z:Z,_xlfn.XMATCH($X74,$X$1:$X73,0,-1))+1)</f>
        <v>1</v>
      </c>
      <c r="Z74" s="43" cm="1">
        <f t="array" ref="Z74">SUM(IF(ISNUMBER(FIND("TmAi",$BE$1:$AAD$1)),IF(IFERROR(ISODD(SUBSTITUTE($BE74:$AAD74,"A","")),FALSE),IF(ISODD(SUBSTITUTE($BE74:$AAD74,"A","")),1,0),0)))</f>
        <v>0</v>
      </c>
      <c r="AA74" t="str">
        <f t="shared" si="120"/>
        <v>1B</v>
      </c>
      <c r="AB74" t="str">
        <f t="shared" si="121"/>
        <v>2B</v>
      </c>
      <c r="AP74" t="s">
        <v>137</v>
      </c>
      <c r="AS74" t="s">
        <v>396</v>
      </c>
      <c r="JZ74" s="27" t="str">
        <f t="shared" si="113"/>
        <v>XT55</v>
      </c>
      <c r="KC74" t="str">
        <f t="shared" si="114"/>
        <v>F0-AI5-1B</v>
      </c>
      <c r="KD74" t="str">
        <f t="shared" si="115"/>
        <v>F0-AI5-2B</v>
      </c>
      <c r="KI74" cm="1">
        <f t="array" ref="KI74">IF(COUNTIFS($U$2:$U74,$U74)=1,1,INDEX(KI:KI,_xlfn.XMATCH(U74,U$1:U73,0,-1))+COUNT(KI73:KM73))</f>
        <v>59</v>
      </c>
      <c r="KJ74">
        <f t="shared" si="119"/>
        <v>60</v>
      </c>
      <c r="KK74">
        <f t="shared" si="119"/>
        <v>61</v>
      </c>
      <c r="KN74">
        <v>1</v>
      </c>
      <c r="KO74" s="16">
        <v>2</v>
      </c>
      <c r="KS74" s="16"/>
    </row>
    <row r="75" spans="1:305" x14ac:dyDescent="0.25">
      <c r="A75" t="s">
        <v>564</v>
      </c>
      <c r="B75" t="s">
        <v>563</v>
      </c>
      <c r="C75" t="s">
        <v>498</v>
      </c>
      <c r="P75" t="s">
        <v>482</v>
      </c>
      <c r="T75" s="14" t="s">
        <v>554</v>
      </c>
      <c r="U75">
        <v>55</v>
      </c>
      <c r="V75" t="s">
        <v>1445</v>
      </c>
      <c r="X75" t="str">
        <f>IF(COUNTIF(X$1:X74,X74)&gt;7,REPLACE(X74,LEN(X74),1,VALUE(RIGHT(X74,1))+1),X74)</f>
        <v>A3.5</v>
      </c>
      <c r="Y75" s="43" cm="1">
        <f t="array" ref="Y75">IF(COUNTIFS($X$2:$X75,$X75)=1,"1",VALUE(SUBSTITUTE(INDEX(Y:Y,_xlfn.XMATCH($X75,$X$1:$X74,0,-1)),"A",""))+INDEX(Z:Z,_xlfn.XMATCH($X75,$X$1:$X74,0,-1))+1)</f>
        <v>2</v>
      </c>
      <c r="Z75" s="43" cm="1">
        <f t="array" ref="Z75">SUM(IF(ISNUMBER(FIND("TmAi",$BE$1:$AAD$1)),IF(IFERROR(ISODD(SUBSTITUTE($BE75:$AAD75,"A","")),FALSE),IF(ISODD(SUBSTITUTE($BE75:$AAD75,"A","")),1,0),0)))</f>
        <v>0</v>
      </c>
      <c r="AA75" t="str">
        <f t="shared" si="120"/>
        <v>3B</v>
      </c>
      <c r="AB75" t="str">
        <f t="shared" si="121"/>
        <v>4B</v>
      </c>
      <c r="AP75" t="s">
        <v>137</v>
      </c>
      <c r="AS75" t="s">
        <v>396</v>
      </c>
      <c r="JZ75" s="27" t="str">
        <f t="shared" si="113"/>
        <v>XT55</v>
      </c>
      <c r="KC75" t="str">
        <f t="shared" si="114"/>
        <v>F0-AI5-3B</v>
      </c>
      <c r="KD75" t="str">
        <f t="shared" si="115"/>
        <v>F0-AI5-4B</v>
      </c>
      <c r="KI75" cm="1">
        <f t="array" ref="KI75">IF(COUNTIFS($U$2:$U75,$U75)=1,1,INDEX(KI:KI,_xlfn.XMATCH(U75,U$1:U74,0,-1))+COUNT(KI74:KM74))</f>
        <v>62</v>
      </c>
      <c r="KJ75">
        <f t="shared" si="119"/>
        <v>63</v>
      </c>
      <c r="KK75">
        <f t="shared" si="119"/>
        <v>64</v>
      </c>
      <c r="KN75">
        <v>1</v>
      </c>
      <c r="KO75" s="16">
        <v>2</v>
      </c>
      <c r="KS75" s="16"/>
    </row>
    <row r="76" spans="1:305" x14ac:dyDescent="0.25">
      <c r="A76" t="s">
        <v>566</v>
      </c>
      <c r="B76" t="s">
        <v>565</v>
      </c>
      <c r="C76" t="s">
        <v>531</v>
      </c>
      <c r="P76" t="s">
        <v>503</v>
      </c>
      <c r="T76" s="14" t="s">
        <v>554</v>
      </c>
      <c r="U76">
        <v>55</v>
      </c>
      <c r="V76" t="s">
        <v>1446</v>
      </c>
      <c r="X76" t="str">
        <f>IF(COUNTIF(X$1:X75,X75)&gt;7,REPLACE(X75,LEN(X75),1,VALUE(RIGHT(X75,1))+1),X75)</f>
        <v>A3.5</v>
      </c>
      <c r="Y76" s="43" cm="1">
        <f t="array" ref="Y76">IF(COUNTIFS($X$2:$X76,$X76)=1,"1",VALUE(SUBSTITUTE(INDEX(Y:Y,_xlfn.XMATCH($X76,$X$1:$X75,0,-1)),"A",""))+INDEX(Z:Z,_xlfn.XMATCH($X76,$X$1:$X75,0,-1))+1)</f>
        <v>3</v>
      </c>
      <c r="Z76" s="43" cm="1">
        <f t="array" ref="Z76">SUM(IF(ISNUMBER(FIND("TmAi",$BE$1:$AAD$1)),IF(IFERROR(ISODD(SUBSTITUTE($BE76:$AAD76,"A","")),FALSE),IF(ISODD(SUBSTITUTE($BE76:$AAD76,"A","")),1,0),0)))</f>
        <v>0</v>
      </c>
      <c r="AA76" t="str">
        <f>CONCATENATE($Y76*2-1,"A")</f>
        <v>5A</v>
      </c>
      <c r="AB76" t="str">
        <f>CONCATENATE($Y76*2-1,"B")</f>
        <v>5B</v>
      </c>
      <c r="AP76" t="s">
        <v>137</v>
      </c>
      <c r="AS76" t="s">
        <v>396</v>
      </c>
      <c r="JZ76" s="27" t="str">
        <f t="shared" si="113"/>
        <v>XT55</v>
      </c>
      <c r="KC76" t="str">
        <f t="shared" si="114"/>
        <v>F0-AI5-5A</v>
      </c>
      <c r="KD76" t="str">
        <f t="shared" si="115"/>
        <v>F0-AI5-5B</v>
      </c>
      <c r="KG76" t="s">
        <v>488</v>
      </c>
      <c r="KH76" t="s">
        <v>487</v>
      </c>
      <c r="KI76" cm="1">
        <f t="array" ref="KI76">IF(COUNTIFS($U$2:$U76,$U76)=1,1,INDEX(KI:KI,_xlfn.XMATCH(U76,U$1:U75,0,-1))+COUNT(KI75:KM75))</f>
        <v>65</v>
      </c>
      <c r="KJ76">
        <f t="shared" si="119"/>
        <v>66</v>
      </c>
      <c r="KK76">
        <f t="shared" si="119"/>
        <v>67</v>
      </c>
      <c r="KL76">
        <f t="shared" si="119"/>
        <v>68</v>
      </c>
      <c r="KM76">
        <f t="shared" si="119"/>
        <v>69</v>
      </c>
      <c r="KN76" t="s">
        <v>547</v>
      </c>
      <c r="KO76" s="16" t="s">
        <v>548</v>
      </c>
      <c r="KP76" t="s">
        <v>547</v>
      </c>
      <c r="KQ76" t="s">
        <v>548</v>
      </c>
      <c r="KR76" t="s">
        <v>551</v>
      </c>
      <c r="KS76" s="16" t="s">
        <v>552</v>
      </c>
    </row>
    <row r="77" spans="1:305" x14ac:dyDescent="0.25">
      <c r="A77" t="s">
        <v>568</v>
      </c>
      <c r="B77" t="s">
        <v>567</v>
      </c>
      <c r="C77" t="s">
        <v>498</v>
      </c>
      <c r="P77" t="s">
        <v>482</v>
      </c>
      <c r="T77" s="14" t="s">
        <v>554</v>
      </c>
      <c r="U77">
        <v>55</v>
      </c>
      <c r="V77" t="s">
        <v>1447</v>
      </c>
      <c r="X77" t="str">
        <f>IF(COUNTIF(X$1:X76,X76)&gt;7,REPLACE(X76,LEN(X76),1,VALUE(RIGHT(X76,1))+1),X76)</f>
        <v>A3.5</v>
      </c>
      <c r="Y77" s="43" cm="1">
        <f t="array" ref="Y77">IF(COUNTIFS($X$2:$X77,$X77)=1,"1",VALUE(SUBSTITUTE(INDEX(Y:Y,_xlfn.XMATCH($X77,$X$1:$X76,0,-1)),"A",""))+INDEX(Z:Z,_xlfn.XMATCH($X77,$X$1:$X76,0,-1))+1)</f>
        <v>4</v>
      </c>
      <c r="Z77" s="43" cm="1">
        <f t="array" ref="Z77">SUM(IF(ISNUMBER(FIND("TmAi",$BE$1:$AAD$1)),IF(IFERROR(ISODD(SUBSTITUTE($BE77:$AAD77,"A","")),FALSE),IF(ISODD(SUBSTITUTE($BE77:$AAD77,"A","")),1,0),0)))</f>
        <v>0</v>
      </c>
      <c r="AA77" t="str">
        <f t="shared" ref="AA77:AA88" si="122">CONCATENATE($Y77*2-1,"B")</f>
        <v>7B</v>
      </c>
      <c r="AB77" t="str">
        <f t="shared" ref="AB77:AB88" si="123">CONCATENATE($Y77*2,"B")</f>
        <v>8B</v>
      </c>
      <c r="AP77" t="s">
        <v>137</v>
      </c>
      <c r="AS77" t="s">
        <v>396</v>
      </c>
      <c r="JZ77" s="27" t="str">
        <f t="shared" si="113"/>
        <v>XT55</v>
      </c>
      <c r="KC77" t="str">
        <f t="shared" si="114"/>
        <v>F0-AI5-7B</v>
      </c>
      <c r="KD77" t="str">
        <f t="shared" si="115"/>
        <v>F0-AI5-8B</v>
      </c>
      <c r="KI77" cm="1">
        <f t="array" ref="KI77">IF(COUNTIFS($U$2:$U77,$U77)=1,1,INDEX(KI:KI,_xlfn.XMATCH(U77,U$1:U76,0,-1))+COUNT(KI76:KM76))</f>
        <v>70</v>
      </c>
      <c r="KJ77">
        <f t="shared" si="119"/>
        <v>71</v>
      </c>
      <c r="KK77">
        <f t="shared" si="119"/>
        <v>72</v>
      </c>
      <c r="KN77">
        <v>1</v>
      </c>
      <c r="KO77" s="16">
        <v>2</v>
      </c>
      <c r="KS77" s="16"/>
    </row>
    <row r="78" spans="1:305" x14ac:dyDescent="0.25">
      <c r="A78" t="s">
        <v>570</v>
      </c>
      <c r="B78" s="33" t="s">
        <v>569</v>
      </c>
      <c r="C78" t="s">
        <v>492</v>
      </c>
      <c r="P78" t="s">
        <v>482</v>
      </c>
      <c r="T78" s="14" t="s">
        <v>554</v>
      </c>
      <c r="U78">
        <v>55</v>
      </c>
      <c r="V78" t="s">
        <v>1448</v>
      </c>
      <c r="X78" t="str">
        <f>IF(COUNTIF(X$1:X77,X77)&gt;7,REPLACE(X77,LEN(X77),1,VALUE(RIGHT(X77,1))+1),X77)</f>
        <v>A3.5</v>
      </c>
      <c r="Y78" s="43" cm="1">
        <f t="array" ref="Y78">IF(COUNTIFS($X$2:$X78,$X78)=1,"1",VALUE(SUBSTITUTE(INDEX(Y:Y,_xlfn.XMATCH($X78,$X$1:$X77,0,-1)),"A",""))+INDEX(Z:Z,_xlfn.XMATCH($X78,$X$1:$X77,0,-1))+1)</f>
        <v>5</v>
      </c>
      <c r="Z78" s="43" cm="1">
        <f t="array" ref="Z78">SUM(IF(ISNUMBER(FIND("TmAi",$BE$1:$AAD$1)),IF(IFERROR(ISODD(SUBSTITUTE($BE78:$AAD78,"A","")),FALSE),IF(ISODD(SUBSTITUTE($BE78:$AAD78,"A","")),1,0),0)))</f>
        <v>0</v>
      </c>
      <c r="AA78" t="str">
        <f t="shared" si="122"/>
        <v>9B</v>
      </c>
      <c r="AB78" t="str">
        <f t="shared" si="123"/>
        <v>10B</v>
      </c>
      <c r="AP78" t="s">
        <v>137</v>
      </c>
      <c r="AS78" t="s">
        <v>396</v>
      </c>
      <c r="JZ78" s="27" t="str">
        <f t="shared" si="113"/>
        <v>XT55</v>
      </c>
      <c r="KC78" t="str">
        <f t="shared" si="114"/>
        <v>F0-AI5-9B</v>
      </c>
      <c r="KD78" t="str">
        <f t="shared" si="115"/>
        <v>F0-AI5-10B</v>
      </c>
      <c r="KI78" cm="1">
        <f t="array" ref="KI78">IF(COUNTIFS($U$2:$U78,$U78)=1,1,INDEX(KI:KI,_xlfn.XMATCH(U78,U$1:U77,0,-1))+COUNT(KI77:KM77))</f>
        <v>73</v>
      </c>
      <c r="KJ78">
        <f t="shared" si="119"/>
        <v>74</v>
      </c>
      <c r="KK78">
        <f t="shared" si="119"/>
        <v>75</v>
      </c>
      <c r="KN78">
        <v>1</v>
      </c>
      <c r="KO78" s="16">
        <v>2</v>
      </c>
      <c r="KS78" s="16"/>
    </row>
    <row r="79" spans="1:305" x14ac:dyDescent="0.25">
      <c r="A79" t="s">
        <v>572</v>
      </c>
      <c r="B79" t="s">
        <v>571</v>
      </c>
      <c r="C79" t="s">
        <v>492</v>
      </c>
      <c r="P79" t="s">
        <v>482</v>
      </c>
      <c r="T79" s="14" t="s">
        <v>554</v>
      </c>
      <c r="U79">
        <v>55</v>
      </c>
      <c r="V79" t="s">
        <v>1449</v>
      </c>
      <c r="X79" t="str">
        <f>IF(COUNTIF(X$1:X78,X78)&gt;7,REPLACE(X78,LEN(X78),1,VALUE(RIGHT(X78,1))+1),X78)</f>
        <v>A3.5</v>
      </c>
      <c r="Y79" s="43" cm="1">
        <f t="array" ref="Y79">IF(COUNTIFS($X$2:$X79,$X79)=1,"1",VALUE(SUBSTITUTE(INDEX(Y:Y,_xlfn.XMATCH($X79,$X$1:$X78,0,-1)),"A",""))+INDEX(Z:Z,_xlfn.XMATCH($X79,$X$1:$X78,0,-1))+1)</f>
        <v>6</v>
      </c>
      <c r="Z79" s="43" cm="1">
        <f t="array" ref="Z79">SUM(IF(ISNUMBER(FIND("TmAi",$BE$1:$AAD$1)),IF(IFERROR(ISODD(SUBSTITUTE($BE79:$AAD79,"A","")),FALSE),IF(ISODD(SUBSTITUTE($BE79:$AAD79,"A","")),1,0),0)))</f>
        <v>0</v>
      </c>
      <c r="AA79" t="str">
        <f t="shared" si="122"/>
        <v>11B</v>
      </c>
      <c r="AB79" t="str">
        <f t="shared" si="123"/>
        <v>12B</v>
      </c>
      <c r="AP79" t="s">
        <v>137</v>
      </c>
      <c r="AS79" t="s">
        <v>396</v>
      </c>
      <c r="JZ79" s="27" t="str">
        <f t="shared" si="113"/>
        <v>XT55</v>
      </c>
      <c r="KC79" t="str">
        <f t="shared" si="114"/>
        <v>F0-AI5-11B</v>
      </c>
      <c r="KD79" t="str">
        <f t="shared" si="115"/>
        <v>F0-AI5-12B</v>
      </c>
      <c r="KI79" cm="1">
        <f t="array" ref="KI79">IF(COUNTIFS($U$2:$U79,$U79)=1,1,INDEX(KI:KI,_xlfn.XMATCH(U79,U$1:U78,0,-1))+COUNT(KI78:KM78))</f>
        <v>76</v>
      </c>
      <c r="KJ79">
        <f t="shared" si="119"/>
        <v>77</v>
      </c>
      <c r="KK79">
        <f t="shared" si="119"/>
        <v>78</v>
      </c>
      <c r="KN79">
        <v>1</v>
      </c>
      <c r="KO79" s="16">
        <v>2</v>
      </c>
      <c r="KS79" s="16"/>
    </row>
    <row r="80" spans="1:305" x14ac:dyDescent="0.25">
      <c r="A80" t="s">
        <v>574</v>
      </c>
      <c r="B80" t="s">
        <v>573</v>
      </c>
      <c r="C80" t="s">
        <v>498</v>
      </c>
      <c r="P80" t="s">
        <v>482</v>
      </c>
      <c r="T80" s="14" t="s">
        <v>554</v>
      </c>
      <c r="U80">
        <v>55</v>
      </c>
      <c r="V80" t="s">
        <v>1450</v>
      </c>
      <c r="X80" t="str">
        <f>IF(COUNTIF(X$1:X79,X79)&gt;7,REPLACE(X79,LEN(X79),1,VALUE(RIGHT(X79,1))+1),X79)</f>
        <v>A3.5</v>
      </c>
      <c r="Y80" s="43" cm="1">
        <f t="array" ref="Y80">IF(COUNTIFS($X$2:$X80,$X80)=1,"1",VALUE(SUBSTITUTE(INDEX(Y:Y,_xlfn.XMATCH($X80,$X$1:$X79,0,-1)),"A",""))+INDEX(Z:Z,_xlfn.XMATCH($X80,$X$1:$X79,0,-1))+1)</f>
        <v>7</v>
      </c>
      <c r="Z80" s="43" cm="1">
        <f t="array" ref="Z80">SUM(IF(ISNUMBER(FIND("TmAi",$BE$1:$AAD$1)),IF(IFERROR(ISODD(SUBSTITUTE($BE80:$AAD80,"A","")),FALSE),IF(ISODD(SUBSTITUTE($BE80:$AAD80,"A","")),1,0),0)))</f>
        <v>0</v>
      </c>
      <c r="AA80" t="str">
        <f t="shared" si="122"/>
        <v>13B</v>
      </c>
      <c r="AB80" t="str">
        <f t="shared" si="123"/>
        <v>14B</v>
      </c>
      <c r="AP80" t="s">
        <v>137</v>
      </c>
      <c r="AS80" t="s">
        <v>396</v>
      </c>
      <c r="JZ80" s="27" t="str">
        <f t="shared" si="113"/>
        <v>XT55</v>
      </c>
      <c r="KC80" t="str">
        <f t="shared" si="114"/>
        <v>F0-AI5-13B</v>
      </c>
      <c r="KD80" t="str">
        <f t="shared" si="115"/>
        <v>F0-AI5-14B</v>
      </c>
      <c r="KI80" cm="1">
        <f t="array" ref="KI80">IF(COUNTIFS($U$2:$U80,$U80)=1,1,INDEX(KI:KI,_xlfn.XMATCH(U80,U$1:U79,0,-1))+COUNT(KI79:KM79))</f>
        <v>79</v>
      </c>
      <c r="KJ80">
        <f t="shared" si="119"/>
        <v>80</v>
      </c>
      <c r="KK80">
        <f t="shared" si="119"/>
        <v>81</v>
      </c>
      <c r="KN80">
        <v>1</v>
      </c>
      <c r="KO80" s="16">
        <v>2</v>
      </c>
      <c r="KS80" s="16"/>
    </row>
    <row r="81" spans="1:305" x14ac:dyDescent="0.25">
      <c r="A81" t="s">
        <v>576</v>
      </c>
      <c r="B81" t="s">
        <v>575</v>
      </c>
      <c r="C81" t="s">
        <v>492</v>
      </c>
      <c r="P81" t="s">
        <v>482</v>
      </c>
      <c r="T81" s="14" t="s">
        <v>554</v>
      </c>
      <c r="U81">
        <v>55</v>
      </c>
      <c r="V81" t="s">
        <v>1451</v>
      </c>
      <c r="X81" s="33" t="str">
        <f>IF(COUNTIF(X$1:X80,X80)&gt;7,REPLACE(X80,LEN(X80),1,VALUE(RIGHT(X80,1))+1),X80)</f>
        <v>A3.5</v>
      </c>
      <c r="Y81" s="45" cm="1">
        <f t="array" ref="Y81">IF(COUNTIFS($X$2:$X81,$X81)=1,"1",VALUE(SUBSTITUTE(INDEX(Y:Y,_xlfn.XMATCH($X81,$X$1:$X80,0,-1)),"A",""))+INDEX(Z:Z,_xlfn.XMATCH($X81,$X$1:$X80,0,-1))+1)</f>
        <v>8</v>
      </c>
      <c r="Z81" s="43" cm="1">
        <f t="array" ref="Z81">SUM(IF(ISNUMBER(FIND("TmAi",$BE$1:$AAD$1)),IF(IFERROR(ISODD(SUBSTITUTE($BE81:$AAD81,"A","")),FALSE),IF(ISODD(SUBSTITUTE($BE81:$AAD81,"A","")),1,0),0)))</f>
        <v>0</v>
      </c>
      <c r="AA81" t="str">
        <f t="shared" si="122"/>
        <v>15B</v>
      </c>
      <c r="AB81" t="str">
        <f t="shared" si="123"/>
        <v>16B</v>
      </c>
      <c r="AP81" t="s">
        <v>137</v>
      </c>
      <c r="AS81" t="s">
        <v>396</v>
      </c>
      <c r="JZ81" s="27" t="str">
        <f t="shared" si="113"/>
        <v>XT55</v>
      </c>
      <c r="KC81" t="str">
        <f t="shared" si="114"/>
        <v>F0-AI5-15B</v>
      </c>
      <c r="KD81" t="str">
        <f t="shared" si="115"/>
        <v>F0-AI5-16B</v>
      </c>
      <c r="KI81" cm="1">
        <f t="array" ref="KI81">IF(COUNTIFS($U$2:$U81,$U81)=1,1,INDEX(KI:KI,_xlfn.XMATCH(U81,U$1:U80,0,-1))+COUNT(KI80:KM80))</f>
        <v>82</v>
      </c>
      <c r="KJ81">
        <f t="shared" si="119"/>
        <v>83</v>
      </c>
      <c r="KK81">
        <f t="shared" si="119"/>
        <v>84</v>
      </c>
      <c r="KN81">
        <v>1</v>
      </c>
      <c r="KO81" s="16">
        <v>2</v>
      </c>
      <c r="KS81" s="16"/>
    </row>
    <row r="82" spans="1:305" x14ac:dyDescent="0.25">
      <c r="A82" t="s">
        <v>587</v>
      </c>
      <c r="B82" t="s">
        <v>586</v>
      </c>
      <c r="C82" t="s">
        <v>498</v>
      </c>
      <c r="P82" t="s">
        <v>482</v>
      </c>
      <c r="T82" s="14" t="s">
        <v>554</v>
      </c>
      <c r="U82">
        <v>55</v>
      </c>
      <c r="V82" t="s">
        <v>1452</v>
      </c>
      <c r="X82" t="str">
        <f>IF(COUNTIF(X$1:X81,X81)&gt;7,REPLACE(X81,LEN(X81),1,VALUE(RIGHT(X81,1))+1),X81)</f>
        <v>A3.6</v>
      </c>
      <c r="Y82" s="43" t="str" cm="1">
        <f t="array" ref="Y82">IF(COUNTIFS($X$2:$X82,$X82)=1,"1",VALUE(SUBSTITUTE(INDEX(Y:Y,_xlfn.XMATCH($X82,$X$1:$X81,0,-1)),"A",""))+INDEX(Z:Z,_xlfn.XMATCH($X82,$X$1:$X81,0,-1))+1)</f>
        <v>1</v>
      </c>
      <c r="Z82" s="43" cm="1">
        <f t="array" ref="Z82">SUM(IF(ISNUMBER(FIND("TmAi",$BE$1:$AAD$1)),IF(IFERROR(ISODD(SUBSTITUTE($BE82:$AAD82,"A","")),FALSE),IF(ISODD(SUBSTITUTE($BE82:$AAD82,"A","")),1,0),0)))</f>
        <v>0</v>
      </c>
      <c r="AA82" t="str">
        <f t="shared" si="122"/>
        <v>1B</v>
      </c>
      <c r="AB82" t="str">
        <f t="shared" si="123"/>
        <v>2B</v>
      </c>
      <c r="AP82" t="s">
        <v>137</v>
      </c>
      <c r="AS82" t="s">
        <v>396</v>
      </c>
      <c r="JZ82" s="27" t="str">
        <f t="shared" si="113"/>
        <v>XT55</v>
      </c>
      <c r="KC82" t="str">
        <f t="shared" si="114"/>
        <v>F0-AI6-1B</v>
      </c>
      <c r="KD82" t="str">
        <f t="shared" si="115"/>
        <v>F0-AI6-2B</v>
      </c>
      <c r="KI82" cm="1">
        <f t="array" ref="KI82">IF(COUNTIFS($U$2:$U82,$U82)=1,1,INDEX(KI:KI,_xlfn.XMATCH(U82,U$1:U81,0,-1))+COUNT(KI81:KM81))</f>
        <v>85</v>
      </c>
      <c r="KJ82">
        <f t="shared" si="119"/>
        <v>86</v>
      </c>
      <c r="KK82">
        <f t="shared" si="119"/>
        <v>87</v>
      </c>
      <c r="KN82">
        <v>1</v>
      </c>
      <c r="KO82" s="16">
        <v>2</v>
      </c>
      <c r="KS82" s="16"/>
    </row>
    <row r="83" spans="1:305" x14ac:dyDescent="0.25">
      <c r="A83" t="s">
        <v>590</v>
      </c>
      <c r="B83" t="s">
        <v>589</v>
      </c>
      <c r="C83" t="s">
        <v>498</v>
      </c>
      <c r="P83" t="s">
        <v>482</v>
      </c>
      <c r="T83" s="14" t="s">
        <v>554</v>
      </c>
      <c r="U83">
        <v>55</v>
      </c>
      <c r="V83" t="s">
        <v>1453</v>
      </c>
      <c r="X83" t="str">
        <f>IF(COUNTIF(X$1:X82,X82)&gt;7,REPLACE(X82,LEN(X82),1,VALUE(RIGHT(X82,1))+1),X82)</f>
        <v>A3.6</v>
      </c>
      <c r="Y83" s="43" cm="1">
        <f t="array" ref="Y83">IF(COUNTIFS($X$2:$X83,$X83)=1,"1",VALUE(SUBSTITUTE(INDEX(Y:Y,_xlfn.XMATCH($X83,$X$1:$X82,0,-1)),"A",""))+INDEX(Z:Z,_xlfn.XMATCH($X83,$X$1:$X82,0,-1))+1)</f>
        <v>2</v>
      </c>
      <c r="Z83" s="43" cm="1">
        <f t="array" ref="Z83">SUM(IF(ISNUMBER(FIND("TmAi",$BE$1:$AAD$1)),IF(IFERROR(ISODD(SUBSTITUTE($BE83:$AAD83,"A","")),FALSE),IF(ISODD(SUBSTITUTE($BE83:$AAD83,"A","")),1,0),0)))</f>
        <v>0</v>
      </c>
      <c r="AA83" t="str">
        <f t="shared" si="122"/>
        <v>3B</v>
      </c>
      <c r="AB83" t="str">
        <f t="shared" si="123"/>
        <v>4B</v>
      </c>
      <c r="AP83" t="s">
        <v>137</v>
      </c>
      <c r="AS83" t="s">
        <v>396</v>
      </c>
      <c r="JZ83" s="27" t="str">
        <f t="shared" si="113"/>
        <v>XT55</v>
      </c>
      <c r="KC83" t="str">
        <f t="shared" si="114"/>
        <v>F0-AI6-3B</v>
      </c>
      <c r="KD83" t="str">
        <f t="shared" si="115"/>
        <v>F0-AI6-4B</v>
      </c>
      <c r="KI83" cm="1">
        <f t="array" ref="KI83">IF(COUNTIFS($U$2:$U83,$U83)=1,1,INDEX(KI:KI,_xlfn.XMATCH(U83,U$1:U82,0,-1))+COUNT(KI82:KM82))</f>
        <v>88</v>
      </c>
      <c r="KJ83">
        <f t="shared" si="119"/>
        <v>89</v>
      </c>
      <c r="KK83">
        <f t="shared" si="119"/>
        <v>90</v>
      </c>
      <c r="KN83">
        <v>1</v>
      </c>
      <c r="KO83" s="16">
        <v>2</v>
      </c>
      <c r="KS83" s="16"/>
    </row>
    <row r="84" spans="1:305" x14ac:dyDescent="0.25">
      <c r="A84" t="s">
        <v>592</v>
      </c>
      <c r="B84" t="s">
        <v>591</v>
      </c>
      <c r="C84" t="s">
        <v>498</v>
      </c>
      <c r="P84" t="s">
        <v>482</v>
      </c>
      <c r="T84" s="14" t="s">
        <v>554</v>
      </c>
      <c r="U84">
        <v>55</v>
      </c>
      <c r="V84" t="s">
        <v>1454</v>
      </c>
      <c r="X84" t="str">
        <f>IF(COUNTIF(X$1:X83,X83)&gt;7,REPLACE(X83,LEN(X83),1,VALUE(RIGHT(X83,1))+1),X83)</f>
        <v>A3.6</v>
      </c>
      <c r="Y84" s="43" cm="1">
        <f t="array" ref="Y84">IF(COUNTIFS($X$2:$X84,$X84)=1,"1",VALUE(SUBSTITUTE(INDEX(Y:Y,_xlfn.XMATCH($X84,$X$1:$X83,0,-1)),"A",""))+INDEX(Z:Z,_xlfn.XMATCH($X84,$X$1:$X83,0,-1))+1)</f>
        <v>3</v>
      </c>
      <c r="Z84" s="43" cm="1">
        <f t="array" ref="Z84">SUM(IF(ISNUMBER(FIND("TmAi",$BE$1:$AAD$1)),IF(IFERROR(ISODD(SUBSTITUTE($BE84:$AAD84,"A","")),FALSE),IF(ISODD(SUBSTITUTE($BE84:$AAD84,"A","")),1,0),0)))</f>
        <v>0</v>
      </c>
      <c r="AA84" t="str">
        <f t="shared" si="122"/>
        <v>5B</v>
      </c>
      <c r="AB84" t="str">
        <f t="shared" si="123"/>
        <v>6B</v>
      </c>
      <c r="AP84" t="s">
        <v>137</v>
      </c>
      <c r="AS84" t="s">
        <v>396</v>
      </c>
      <c r="JZ84" s="27" t="str">
        <f t="shared" si="113"/>
        <v>XT55</v>
      </c>
      <c r="KC84" t="str">
        <f t="shared" si="114"/>
        <v>F0-AI6-5B</v>
      </c>
      <c r="KD84" t="str">
        <f t="shared" si="115"/>
        <v>F0-AI6-6B</v>
      </c>
      <c r="KI84" cm="1">
        <f t="array" ref="KI84">IF(COUNTIFS($U$2:$U84,$U84)=1,1,INDEX(KI:KI,_xlfn.XMATCH(U84,U$1:U83,0,-1))+COUNT(KI83:KM83))</f>
        <v>91</v>
      </c>
      <c r="KJ84">
        <f t="shared" si="119"/>
        <v>92</v>
      </c>
      <c r="KK84">
        <f t="shared" si="119"/>
        <v>93</v>
      </c>
      <c r="KN84">
        <v>1</v>
      </c>
      <c r="KO84" s="16">
        <v>2</v>
      </c>
      <c r="KS84" s="16"/>
    </row>
    <row r="85" spans="1:305" x14ac:dyDescent="0.25">
      <c r="A85" t="s">
        <v>597</v>
      </c>
      <c r="B85" t="s">
        <v>593</v>
      </c>
      <c r="C85" t="s">
        <v>498</v>
      </c>
      <c r="P85" t="s">
        <v>482</v>
      </c>
      <c r="T85" s="14" t="s">
        <v>554</v>
      </c>
      <c r="U85">
        <v>55</v>
      </c>
      <c r="V85" t="s">
        <v>1455</v>
      </c>
      <c r="X85" t="str">
        <f>IF(COUNTIF(X$1:X84,X84)&gt;7,REPLACE(X84,LEN(X84),1,VALUE(RIGHT(X84,1))+1),X84)</f>
        <v>A3.6</v>
      </c>
      <c r="Y85" s="43" cm="1">
        <f t="array" ref="Y85">IF(COUNTIFS($X$2:$X85,$X85)=1,"1",VALUE(SUBSTITUTE(INDEX(Y:Y,_xlfn.XMATCH($X85,$X$1:$X84,0,-1)),"A",""))+INDEX(Z:Z,_xlfn.XMATCH($X85,$X$1:$X84,0,-1))+1)</f>
        <v>4</v>
      </c>
      <c r="Z85" s="43" cm="1">
        <f t="array" ref="Z85">SUM(IF(ISNUMBER(FIND("TmAi",$BE$1:$AAD$1)),IF(IFERROR(ISODD(SUBSTITUTE($BE85:$AAD85,"A","")),FALSE),IF(ISODD(SUBSTITUTE($BE85:$AAD85,"A","")),1,0),0)))</f>
        <v>0</v>
      </c>
      <c r="AA85" t="str">
        <f t="shared" si="122"/>
        <v>7B</v>
      </c>
      <c r="AB85" t="str">
        <f t="shared" si="123"/>
        <v>8B</v>
      </c>
      <c r="AP85" t="s">
        <v>137</v>
      </c>
      <c r="AS85" t="s">
        <v>396</v>
      </c>
      <c r="JZ85" s="27" t="str">
        <f t="shared" si="113"/>
        <v>XT55</v>
      </c>
      <c r="KC85" t="str">
        <f t="shared" si="114"/>
        <v>F0-AI6-7B</v>
      </c>
      <c r="KD85" t="str">
        <f t="shared" si="115"/>
        <v>F0-AI6-8B</v>
      </c>
      <c r="KI85" cm="1">
        <f t="array" ref="KI85">IF(COUNTIFS($U$2:$U85,$U85)=1,1,INDEX(KI:KI,_xlfn.XMATCH(U85,U$1:U84,0,-1))+COUNT(KI84:KM84))</f>
        <v>94</v>
      </c>
      <c r="KJ85">
        <f t="shared" si="119"/>
        <v>95</v>
      </c>
      <c r="KK85">
        <f t="shared" si="119"/>
        <v>96</v>
      </c>
      <c r="KN85">
        <v>1</v>
      </c>
      <c r="KO85" s="16">
        <v>2</v>
      </c>
      <c r="KS85" s="16"/>
    </row>
    <row r="86" spans="1:305" x14ac:dyDescent="0.25">
      <c r="A86" t="s">
        <v>598</v>
      </c>
      <c r="B86" t="s">
        <v>594</v>
      </c>
      <c r="C86" t="s">
        <v>498</v>
      </c>
      <c r="P86" t="s">
        <v>482</v>
      </c>
      <c r="T86" s="14" t="s">
        <v>554</v>
      </c>
      <c r="U86">
        <v>55</v>
      </c>
      <c r="V86" t="s">
        <v>1456</v>
      </c>
      <c r="X86" t="str">
        <f>IF(COUNTIF(X$1:X85,X85)&gt;7,REPLACE(X85,LEN(X85),1,VALUE(RIGHT(X85,1))+1),X85)</f>
        <v>A3.6</v>
      </c>
      <c r="Y86" s="43" cm="1">
        <f t="array" ref="Y86">IF(COUNTIFS($X$2:$X86,$X86)=1,"1",VALUE(SUBSTITUTE(INDEX(Y:Y,_xlfn.XMATCH($X86,$X$1:$X85,0,-1)),"A",""))+INDEX(Z:Z,_xlfn.XMATCH($X86,$X$1:$X85,0,-1))+1)</f>
        <v>5</v>
      </c>
      <c r="Z86" s="43" cm="1">
        <f t="array" ref="Z86">SUM(IF(ISNUMBER(FIND("TmAi",$BE$1:$AAD$1)),IF(IFERROR(ISODD(SUBSTITUTE($BE86:$AAD86,"A","")),FALSE),IF(ISODD(SUBSTITUTE($BE86:$AAD86,"A","")),1,0),0)))</f>
        <v>0</v>
      </c>
      <c r="AA86" t="str">
        <f t="shared" si="122"/>
        <v>9B</v>
      </c>
      <c r="AB86" t="str">
        <f t="shared" si="123"/>
        <v>10B</v>
      </c>
      <c r="AP86" t="s">
        <v>137</v>
      </c>
      <c r="AS86" t="s">
        <v>396</v>
      </c>
      <c r="JZ86" s="27" t="str">
        <f t="shared" si="113"/>
        <v>XT55</v>
      </c>
      <c r="KC86" t="str">
        <f t="shared" si="114"/>
        <v>F0-AI6-9B</v>
      </c>
      <c r="KD86" t="str">
        <f t="shared" si="115"/>
        <v>F0-AI6-10B</v>
      </c>
      <c r="KI86" cm="1">
        <f t="array" ref="KI86">IF(COUNTIFS($U$2:$U86,$U86)=1,1,INDEX(KI:KI,_xlfn.XMATCH(U86,U$1:U85,0,-1))+COUNT(KI85:KM85))</f>
        <v>97</v>
      </c>
      <c r="KJ86">
        <f t="shared" ref="KJ86:KM101" si="124">KI86+1</f>
        <v>98</v>
      </c>
      <c r="KK86">
        <f t="shared" si="124"/>
        <v>99</v>
      </c>
      <c r="KN86">
        <v>1</v>
      </c>
      <c r="KO86" s="16">
        <v>2</v>
      </c>
      <c r="KS86" s="16"/>
    </row>
    <row r="87" spans="1:305" x14ac:dyDescent="0.25">
      <c r="A87" t="s">
        <v>599</v>
      </c>
      <c r="B87" t="s">
        <v>595</v>
      </c>
      <c r="C87" t="s">
        <v>498</v>
      </c>
      <c r="P87" t="s">
        <v>482</v>
      </c>
      <c r="T87" s="14" t="s">
        <v>554</v>
      </c>
      <c r="U87">
        <v>55</v>
      </c>
      <c r="V87" t="s">
        <v>1457</v>
      </c>
      <c r="X87" t="str">
        <f>IF(COUNTIF(X$1:X86,X86)&gt;7,REPLACE(X86,LEN(X86),1,VALUE(RIGHT(X86,1))+1),X86)</f>
        <v>A3.6</v>
      </c>
      <c r="Y87" s="43" cm="1">
        <f t="array" ref="Y87">IF(COUNTIFS($X$2:$X87,$X87)=1,"1",VALUE(SUBSTITUTE(INDEX(Y:Y,_xlfn.XMATCH($X87,$X$1:$X86,0,-1)),"A",""))+INDEX(Z:Z,_xlfn.XMATCH($X87,$X$1:$X86,0,-1))+1)</f>
        <v>6</v>
      </c>
      <c r="Z87" s="43" cm="1">
        <f t="array" ref="Z87">SUM(IF(ISNUMBER(FIND("TmAi",$BE$1:$AAD$1)),IF(IFERROR(ISODD(SUBSTITUTE($BE87:$AAD87,"A","")),FALSE),IF(ISODD(SUBSTITUTE($BE87:$AAD87,"A","")),1,0),0)))</f>
        <v>0</v>
      </c>
      <c r="AA87" t="str">
        <f t="shared" si="122"/>
        <v>11B</v>
      </c>
      <c r="AB87" t="str">
        <f t="shared" si="123"/>
        <v>12B</v>
      </c>
      <c r="AP87" t="s">
        <v>137</v>
      </c>
      <c r="AS87" t="s">
        <v>396</v>
      </c>
      <c r="JZ87" s="27" t="str">
        <f t="shared" si="113"/>
        <v>XT55</v>
      </c>
      <c r="KC87" t="str">
        <f t="shared" si="114"/>
        <v>F0-AI6-11B</v>
      </c>
      <c r="KD87" t="str">
        <f t="shared" si="115"/>
        <v>F0-AI6-12B</v>
      </c>
      <c r="KI87" cm="1">
        <f t="array" ref="KI87">IF(COUNTIFS($U$2:$U87,$U87)=1,1,INDEX(KI:KI,_xlfn.XMATCH(U87,U$1:U86,0,-1))+COUNT(KI86:KM86))</f>
        <v>100</v>
      </c>
      <c r="KJ87">
        <f t="shared" si="124"/>
        <v>101</v>
      </c>
      <c r="KK87">
        <f t="shared" si="124"/>
        <v>102</v>
      </c>
      <c r="KN87">
        <v>1</v>
      </c>
      <c r="KO87" s="16">
        <v>2</v>
      </c>
      <c r="KS87" s="16"/>
    </row>
    <row r="88" spans="1:305" x14ac:dyDescent="0.25">
      <c r="A88" t="s">
        <v>600</v>
      </c>
      <c r="B88" t="s">
        <v>596</v>
      </c>
      <c r="C88" t="s">
        <v>498</v>
      </c>
      <c r="P88" t="s">
        <v>482</v>
      </c>
      <c r="T88" s="14" t="s">
        <v>554</v>
      </c>
      <c r="U88">
        <v>55</v>
      </c>
      <c r="V88" t="s">
        <v>1458</v>
      </c>
      <c r="X88" t="str">
        <f>IF(COUNTIF(X$1:X87,X87)&gt;7,REPLACE(X87,LEN(X87),1,VALUE(RIGHT(X87,1))+1),X87)</f>
        <v>A3.6</v>
      </c>
      <c r="Y88" s="43" cm="1">
        <f t="array" ref="Y88">IF(COUNTIFS($X$2:$X88,$X88)=1,"1",VALUE(SUBSTITUTE(INDEX(Y:Y,_xlfn.XMATCH($X88,$X$1:$X87,0,-1)),"A",""))+INDEX(Z:Z,_xlfn.XMATCH($X88,$X$1:$X87,0,-1))+1)</f>
        <v>7</v>
      </c>
      <c r="Z88" s="43" cm="1">
        <f t="array" ref="Z88">SUM(IF(ISNUMBER(FIND("TmAi",$BE$1:$AAD$1)),IF(IFERROR(ISODD(SUBSTITUTE($BE88:$AAD88,"A","")),FALSE),IF(ISODD(SUBSTITUTE($BE88:$AAD88,"A","")),1,0),0)))</f>
        <v>0</v>
      </c>
      <c r="AA88" t="str">
        <f t="shared" si="122"/>
        <v>13B</v>
      </c>
      <c r="AB88" t="str">
        <f t="shared" si="123"/>
        <v>14B</v>
      </c>
      <c r="AP88" t="s">
        <v>137</v>
      </c>
      <c r="AS88" t="s">
        <v>396</v>
      </c>
      <c r="JZ88" s="27" t="str">
        <f t="shared" si="113"/>
        <v>XT55</v>
      </c>
      <c r="KC88" t="str">
        <f t="shared" si="114"/>
        <v>F0-AI6-13B</v>
      </c>
      <c r="KD88" t="str">
        <f t="shared" si="115"/>
        <v>F0-AI6-14B</v>
      </c>
      <c r="KI88" cm="1">
        <f t="array" ref="KI88">IF(COUNTIFS($U$2:$U88,$U88)=1,1,INDEX(KI:KI,_xlfn.XMATCH(U88,U$1:U87,0,-1))+COUNT(KI87:KM87))</f>
        <v>103</v>
      </c>
      <c r="KJ88">
        <f t="shared" si="124"/>
        <v>104</v>
      </c>
      <c r="KK88">
        <f t="shared" si="124"/>
        <v>105</v>
      </c>
      <c r="KN88">
        <v>1</v>
      </c>
      <c r="KO88" s="16">
        <v>2</v>
      </c>
      <c r="KS88" s="16"/>
    </row>
    <row r="89" spans="1:305" x14ac:dyDescent="0.25">
      <c r="A89" t="s">
        <v>608</v>
      </c>
      <c r="B89" t="s">
        <v>607</v>
      </c>
      <c r="C89" t="s">
        <v>531</v>
      </c>
      <c r="P89" t="s">
        <v>503</v>
      </c>
      <c r="T89" s="14" t="s">
        <v>554</v>
      </c>
      <c r="U89">
        <v>55</v>
      </c>
      <c r="V89" t="s">
        <v>1459</v>
      </c>
      <c r="X89" s="33" t="str">
        <f>IF(COUNTIF(X$1:X88,X88)&gt;7,REPLACE(X88,LEN(X88),1,VALUE(RIGHT(X88,1))+1),X88)</f>
        <v>A3.6</v>
      </c>
      <c r="Y89" s="45" cm="1">
        <f t="array" ref="Y89">IF(COUNTIFS($X$2:$X89,$X89)=1,"1",VALUE(SUBSTITUTE(INDEX(Y:Y,_xlfn.XMATCH($X89,$X$1:$X88,0,-1)),"A",""))+INDEX(Z:Z,_xlfn.XMATCH($X89,$X$1:$X88,0,-1))+1)</f>
        <v>8</v>
      </c>
      <c r="Z89" s="43" cm="1">
        <f t="array" ref="Z89">SUM(IF(ISNUMBER(FIND("TmAi",$BE$1:$AAD$1)),IF(IFERROR(ISODD(SUBSTITUTE($BE89:$AAD89,"A","")),FALSE),IF(ISODD(SUBSTITUTE($BE89:$AAD89,"A","")),1,0),0)))</f>
        <v>0</v>
      </c>
      <c r="AA89" t="str">
        <f>CONCATENATE($Y89*2-1,"A")</f>
        <v>15A</v>
      </c>
      <c r="AB89" t="str">
        <f>CONCATENATE($Y89*2-1,"B")</f>
        <v>15B</v>
      </c>
      <c r="AP89" t="s">
        <v>137</v>
      </c>
      <c r="AS89" t="s">
        <v>396</v>
      </c>
      <c r="JZ89" s="27" t="str">
        <f t="shared" si="113"/>
        <v>XT55</v>
      </c>
      <c r="KC89" t="str">
        <f t="shared" si="114"/>
        <v>F0-AI6-15A</v>
      </c>
      <c r="KD89" t="str">
        <f t="shared" si="115"/>
        <v>F0-AI6-15B</v>
      </c>
      <c r="KG89" t="s">
        <v>488</v>
      </c>
      <c r="KH89" t="s">
        <v>487</v>
      </c>
      <c r="KI89" cm="1">
        <f t="array" ref="KI89">IF(COUNTIFS($U$2:$U89,$U89)=1,1,INDEX(KI:KI,_xlfn.XMATCH(U89,U$1:U88,0,-1))+COUNT(KI88:KM88))</f>
        <v>106</v>
      </c>
      <c r="KJ89">
        <f t="shared" si="124"/>
        <v>107</v>
      </c>
      <c r="KK89">
        <f t="shared" si="124"/>
        <v>108</v>
      </c>
      <c r="KL89">
        <f t="shared" si="124"/>
        <v>109</v>
      </c>
      <c r="KM89">
        <f t="shared" si="124"/>
        <v>110</v>
      </c>
      <c r="KN89" t="s">
        <v>547</v>
      </c>
      <c r="KO89" s="16" t="s">
        <v>548</v>
      </c>
      <c r="KP89" t="s">
        <v>547</v>
      </c>
      <c r="KQ89" t="s">
        <v>548</v>
      </c>
      <c r="KR89" t="s">
        <v>551</v>
      </c>
      <c r="KS89" s="16" t="s">
        <v>552</v>
      </c>
    </row>
    <row r="90" spans="1:305" x14ac:dyDescent="0.25">
      <c r="A90" t="s">
        <v>611</v>
      </c>
      <c r="B90" t="s">
        <v>610</v>
      </c>
      <c r="C90" t="s">
        <v>498</v>
      </c>
      <c r="P90" t="s">
        <v>482</v>
      </c>
      <c r="T90" s="14" t="s">
        <v>554</v>
      </c>
      <c r="U90">
        <v>55</v>
      </c>
      <c r="V90" t="s">
        <v>1460</v>
      </c>
      <c r="X90" t="str">
        <f>IF(COUNTIF(X$1:X89,X89)&gt;7,REPLACE(X89,LEN(X89),1,VALUE(RIGHT(X89,1))+1),X89)</f>
        <v>A3.7</v>
      </c>
      <c r="Y90" s="43" t="str" cm="1">
        <f t="array" ref="Y90">IF(COUNTIFS($X$2:$X90,$X90)=1,"1",VALUE(SUBSTITUTE(INDEX(Y:Y,_xlfn.XMATCH($X90,$X$1:$X89,0,-1)),"A",""))+INDEX(Z:Z,_xlfn.XMATCH($X90,$X$1:$X89,0,-1))+1)</f>
        <v>1</v>
      </c>
      <c r="Z90" s="43" cm="1">
        <f t="array" ref="Z90">SUM(IF(ISNUMBER(FIND("TmAi",$BE$1:$AAD$1)),IF(IFERROR(ISODD(SUBSTITUTE($BE90:$AAD90,"A","")),FALSE),IF(ISODD(SUBSTITUTE($BE90:$AAD90,"A","")),1,0),0)))</f>
        <v>0</v>
      </c>
      <c r="AA90" t="str">
        <f t="shared" ref="AA90:AA153" si="125">CONCATENATE($Y90*2-1,"B")</f>
        <v>1B</v>
      </c>
      <c r="AB90" t="str">
        <f t="shared" ref="AB90:AB153" si="126">CONCATENATE($Y90*2,"B")</f>
        <v>2B</v>
      </c>
      <c r="AP90" t="s">
        <v>137</v>
      </c>
      <c r="AS90" t="s">
        <v>396</v>
      </c>
      <c r="JZ90" s="27" t="str">
        <f t="shared" si="113"/>
        <v>XT55</v>
      </c>
      <c r="KC90" t="str">
        <f t="shared" si="114"/>
        <v>F0-AI7-1B</v>
      </c>
      <c r="KD90" t="str">
        <f t="shared" si="115"/>
        <v>F0-AI7-2B</v>
      </c>
      <c r="KI90" cm="1">
        <f t="array" ref="KI90">IF(COUNTIFS($U$2:$U90,$U90)=1,1,INDEX(KI:KI,_xlfn.XMATCH(U90,U$1:U89,0,-1))+COUNT(KI89:KM89))</f>
        <v>111</v>
      </c>
      <c r="KJ90">
        <f t="shared" si="124"/>
        <v>112</v>
      </c>
      <c r="KK90">
        <f t="shared" si="124"/>
        <v>113</v>
      </c>
      <c r="KN90">
        <v>1</v>
      </c>
      <c r="KO90" s="16">
        <v>2</v>
      </c>
      <c r="KS90" s="16"/>
    </row>
    <row r="91" spans="1:305" x14ac:dyDescent="0.25">
      <c r="A91" t="s">
        <v>614</v>
      </c>
      <c r="B91" t="s">
        <v>613</v>
      </c>
      <c r="C91" t="s">
        <v>492</v>
      </c>
      <c r="P91" t="s">
        <v>482</v>
      </c>
      <c r="T91" s="14" t="s">
        <v>554</v>
      </c>
      <c r="U91">
        <v>55</v>
      </c>
      <c r="V91" t="s">
        <v>1461</v>
      </c>
      <c r="X91" t="str">
        <f>IF(COUNTIF(X$1:X90,X90)&gt;7,REPLACE(X90,LEN(X90),1,VALUE(RIGHT(X90,1))+1),X90)</f>
        <v>A3.7</v>
      </c>
      <c r="Y91" s="43" cm="1">
        <f t="array" ref="Y91">IF(COUNTIFS($X$2:$X91,$X91)=1,"1",VALUE(SUBSTITUTE(INDEX(Y:Y,_xlfn.XMATCH($X91,$X$1:$X90,0,-1)),"A",""))+INDEX(Z:Z,_xlfn.XMATCH($X91,$X$1:$X90,0,-1))+1)</f>
        <v>2</v>
      </c>
      <c r="Z91" s="43" cm="1">
        <f t="array" ref="Z91">SUM(IF(ISNUMBER(FIND("TmAi",$BE$1:$AAD$1)),IF(IFERROR(ISODD(SUBSTITUTE($BE91:$AAD91,"A","")),FALSE),IF(ISODD(SUBSTITUTE($BE91:$AAD91,"A","")),1,0),0)))</f>
        <v>0</v>
      </c>
      <c r="AA91" t="str">
        <f t="shared" si="125"/>
        <v>3B</v>
      </c>
      <c r="AB91" t="str">
        <f t="shared" si="126"/>
        <v>4B</v>
      </c>
      <c r="AP91" t="s">
        <v>137</v>
      </c>
      <c r="AS91" t="s">
        <v>396</v>
      </c>
      <c r="JZ91" s="27" t="str">
        <f t="shared" si="113"/>
        <v>XT55</v>
      </c>
      <c r="KC91" t="str">
        <f t="shared" si="114"/>
        <v>F0-AI7-3B</v>
      </c>
      <c r="KD91" t="str">
        <f t="shared" si="115"/>
        <v>F0-AI7-4B</v>
      </c>
      <c r="KI91" cm="1">
        <f t="array" ref="KI91">IF(COUNTIFS($U$2:$U91,$U91)=1,1,INDEX(KI:KI,_xlfn.XMATCH(U91,U$1:U90,0,-1))+COUNT(KI90:KM90))</f>
        <v>114</v>
      </c>
      <c r="KJ91">
        <f t="shared" si="124"/>
        <v>115</v>
      </c>
      <c r="KK91">
        <f t="shared" si="124"/>
        <v>116</v>
      </c>
      <c r="KN91">
        <v>1</v>
      </c>
      <c r="KO91" s="16">
        <v>2</v>
      </c>
      <c r="KS91" s="16"/>
    </row>
    <row r="92" spans="1:305" x14ac:dyDescent="0.25">
      <c r="A92" t="s">
        <v>616</v>
      </c>
      <c r="B92" t="s">
        <v>615</v>
      </c>
      <c r="C92" t="s">
        <v>498</v>
      </c>
      <c r="P92" t="s">
        <v>482</v>
      </c>
      <c r="T92" s="14" t="s">
        <v>554</v>
      </c>
      <c r="U92">
        <v>55</v>
      </c>
      <c r="V92" t="s">
        <v>1462</v>
      </c>
      <c r="X92" t="str">
        <f>IF(COUNTIF(X$1:X91,X91)&gt;7,REPLACE(X91,LEN(X91),1,VALUE(RIGHT(X91,1))+1),X91)</f>
        <v>A3.7</v>
      </c>
      <c r="Y92" s="43" cm="1">
        <f t="array" ref="Y92">IF(COUNTIFS($X$2:$X92,$X92)=1,"1",VALUE(SUBSTITUTE(INDEX(Y:Y,_xlfn.XMATCH($X92,$X$1:$X91,0,-1)),"A",""))+INDEX(Z:Z,_xlfn.XMATCH($X92,$X$1:$X91,0,-1))+1)</f>
        <v>3</v>
      </c>
      <c r="Z92" s="43" cm="1">
        <f t="array" ref="Z92">SUM(IF(ISNUMBER(FIND("TmAi",$BE$1:$AAD$1)),IF(IFERROR(ISODD(SUBSTITUTE($BE92:$AAD92,"A","")),FALSE),IF(ISODD(SUBSTITUTE($BE92:$AAD92,"A","")),1,0),0)))</f>
        <v>0</v>
      </c>
      <c r="AA92" t="str">
        <f t="shared" si="125"/>
        <v>5B</v>
      </c>
      <c r="AB92" t="str">
        <f t="shared" si="126"/>
        <v>6B</v>
      </c>
      <c r="AP92" t="s">
        <v>137</v>
      </c>
      <c r="AS92" t="s">
        <v>396</v>
      </c>
      <c r="JZ92" s="27" t="str">
        <f t="shared" si="113"/>
        <v>XT55</v>
      </c>
      <c r="KC92" t="str">
        <f t="shared" si="114"/>
        <v>F0-AI7-5B</v>
      </c>
      <c r="KD92" t="str">
        <f t="shared" si="115"/>
        <v>F0-AI7-6B</v>
      </c>
      <c r="KI92" cm="1">
        <f t="array" ref="KI92">IF(COUNTIFS($U$2:$U92,$U92)=1,1,INDEX(KI:KI,_xlfn.XMATCH(U92,U$1:U91,0,-1))+COUNT(KI91:KM91))</f>
        <v>117</v>
      </c>
      <c r="KJ92">
        <f t="shared" si="124"/>
        <v>118</v>
      </c>
      <c r="KK92">
        <f t="shared" si="124"/>
        <v>119</v>
      </c>
      <c r="KN92">
        <v>1</v>
      </c>
      <c r="KO92" s="16">
        <v>2</v>
      </c>
      <c r="KS92" s="16"/>
    </row>
    <row r="93" spans="1:305" x14ac:dyDescent="0.25">
      <c r="A93" t="s">
        <v>618</v>
      </c>
      <c r="B93" t="s">
        <v>617</v>
      </c>
      <c r="C93" t="s">
        <v>492</v>
      </c>
      <c r="P93" t="s">
        <v>482</v>
      </c>
      <c r="T93" s="14" t="s">
        <v>554</v>
      </c>
      <c r="U93">
        <v>55</v>
      </c>
      <c r="V93" t="s">
        <v>1463</v>
      </c>
      <c r="X93" t="str">
        <f>IF(COUNTIF(X$1:X92,X92)&gt;7,REPLACE(X92,LEN(X92),1,VALUE(RIGHT(X92,1))+1),X92)</f>
        <v>A3.7</v>
      </c>
      <c r="Y93" s="43" cm="1">
        <f t="array" ref="Y93">IF(COUNTIFS($X$2:$X93,$X93)=1,"1",VALUE(SUBSTITUTE(INDEX(Y:Y,_xlfn.XMATCH($X93,$X$1:$X92,0,-1)),"A",""))+INDEX(Z:Z,_xlfn.XMATCH($X93,$X$1:$X92,0,-1))+1)</f>
        <v>4</v>
      </c>
      <c r="Z93" s="43" cm="1">
        <f t="array" ref="Z93">SUM(IF(ISNUMBER(FIND("TmAi",$BE$1:$AAD$1)),IF(IFERROR(ISODD(SUBSTITUTE($BE93:$AAD93,"A","")),FALSE),IF(ISODD(SUBSTITUTE($BE93:$AAD93,"A","")),1,0),0)))</f>
        <v>0</v>
      </c>
      <c r="AA93" t="str">
        <f t="shared" si="125"/>
        <v>7B</v>
      </c>
      <c r="AB93" t="str">
        <f t="shared" si="126"/>
        <v>8B</v>
      </c>
      <c r="AP93" t="s">
        <v>137</v>
      </c>
      <c r="AS93" t="s">
        <v>396</v>
      </c>
      <c r="JZ93" s="27" t="str">
        <f t="shared" si="113"/>
        <v>XT55</v>
      </c>
      <c r="KC93" t="str">
        <f t="shared" si="114"/>
        <v>F0-AI7-7B</v>
      </c>
      <c r="KD93" t="str">
        <f t="shared" si="115"/>
        <v>F0-AI7-8B</v>
      </c>
      <c r="KI93" cm="1">
        <f t="array" ref="KI93">IF(COUNTIFS($U$2:$U93,$U93)=1,1,INDEX(KI:KI,_xlfn.XMATCH(U93,U$1:U92,0,-1))+COUNT(KI92:KM92))</f>
        <v>120</v>
      </c>
      <c r="KJ93">
        <f t="shared" si="124"/>
        <v>121</v>
      </c>
      <c r="KK93">
        <f t="shared" si="124"/>
        <v>122</v>
      </c>
      <c r="KN93">
        <v>1</v>
      </c>
      <c r="KO93" s="16">
        <v>2</v>
      </c>
      <c r="KS93" s="16"/>
    </row>
    <row r="94" spans="1:305" x14ac:dyDescent="0.25">
      <c r="A94" t="s">
        <v>620</v>
      </c>
      <c r="B94" t="s">
        <v>619</v>
      </c>
      <c r="C94" t="s">
        <v>498</v>
      </c>
      <c r="P94" t="s">
        <v>482</v>
      </c>
      <c r="T94" s="14" t="s">
        <v>554</v>
      </c>
      <c r="U94">
        <v>55</v>
      </c>
      <c r="V94" t="s">
        <v>1464</v>
      </c>
      <c r="X94" t="str">
        <f>IF(COUNTIF(X$1:X93,X93)&gt;7,REPLACE(X93,LEN(X93),1,VALUE(RIGHT(X93,1))+1),X93)</f>
        <v>A3.7</v>
      </c>
      <c r="Y94" s="43" cm="1">
        <f t="array" ref="Y94">IF(COUNTIFS($X$2:$X94,$X94)=1,"1",VALUE(SUBSTITUTE(INDEX(Y:Y,_xlfn.XMATCH($X94,$X$1:$X93,0,-1)),"A",""))+INDEX(Z:Z,_xlfn.XMATCH($X94,$X$1:$X93,0,-1))+1)</f>
        <v>5</v>
      </c>
      <c r="Z94" s="43" cm="1">
        <f t="array" ref="Z94">SUM(IF(ISNUMBER(FIND("TmAi",$BE$1:$AAD$1)),IF(IFERROR(ISODD(SUBSTITUTE($BE94:$AAD94,"A","")),FALSE),IF(ISODD(SUBSTITUTE($BE94:$AAD94,"A","")),1,0),0)))</f>
        <v>0</v>
      </c>
      <c r="AA94" t="str">
        <f t="shared" si="125"/>
        <v>9B</v>
      </c>
      <c r="AB94" t="str">
        <f t="shared" si="126"/>
        <v>10B</v>
      </c>
      <c r="AP94" t="s">
        <v>137</v>
      </c>
      <c r="AS94" t="s">
        <v>396</v>
      </c>
      <c r="JZ94" s="27" t="str">
        <f t="shared" si="113"/>
        <v>XT55</v>
      </c>
      <c r="KC94" t="str">
        <f t="shared" si="114"/>
        <v>F0-AI7-9B</v>
      </c>
      <c r="KD94" t="str">
        <f t="shared" si="115"/>
        <v>F0-AI7-10B</v>
      </c>
      <c r="KI94" cm="1">
        <f t="array" ref="KI94">IF(COUNTIFS($U$2:$U94,$U94)=1,1,INDEX(KI:KI,_xlfn.XMATCH(U94,U$1:U93,0,-1))+COUNT(KI93:KM93))</f>
        <v>123</v>
      </c>
      <c r="KJ94">
        <f t="shared" si="124"/>
        <v>124</v>
      </c>
      <c r="KK94">
        <f t="shared" si="124"/>
        <v>125</v>
      </c>
      <c r="KN94">
        <v>1</v>
      </c>
      <c r="KO94" s="16">
        <v>2</v>
      </c>
      <c r="KS94" s="16"/>
    </row>
    <row r="95" spans="1:305" x14ac:dyDescent="0.25">
      <c r="A95" t="s">
        <v>622</v>
      </c>
      <c r="B95" t="s">
        <v>621</v>
      </c>
      <c r="C95" t="s">
        <v>492</v>
      </c>
      <c r="P95" t="s">
        <v>482</v>
      </c>
      <c r="T95" s="14" t="s">
        <v>554</v>
      </c>
      <c r="U95">
        <v>55</v>
      </c>
      <c r="V95" t="s">
        <v>1465</v>
      </c>
      <c r="X95" t="str">
        <f>IF(COUNTIF(X$1:X94,X94)&gt;7,REPLACE(X94,LEN(X94),1,VALUE(RIGHT(X94,1))+1),X94)</f>
        <v>A3.7</v>
      </c>
      <c r="Y95" s="43" cm="1">
        <f t="array" ref="Y95">IF(COUNTIFS($X$2:$X95,$X95)=1,"1",VALUE(SUBSTITUTE(INDEX(Y:Y,_xlfn.XMATCH($X95,$X$1:$X94,0,-1)),"A",""))+INDEX(Z:Z,_xlfn.XMATCH($X95,$X$1:$X94,0,-1))+1)</f>
        <v>6</v>
      </c>
      <c r="Z95" s="43" cm="1">
        <f t="array" ref="Z95">SUM(IF(ISNUMBER(FIND("TmAi",$BE$1:$AAD$1)),IF(IFERROR(ISODD(SUBSTITUTE($BE95:$AAD95,"A","")),FALSE),IF(ISODD(SUBSTITUTE($BE95:$AAD95,"A","")),1,0),0)))</f>
        <v>0</v>
      </c>
      <c r="AA95" t="str">
        <f t="shared" si="125"/>
        <v>11B</v>
      </c>
      <c r="AB95" t="str">
        <f t="shared" si="126"/>
        <v>12B</v>
      </c>
      <c r="AP95" t="s">
        <v>137</v>
      </c>
      <c r="AS95" t="s">
        <v>396</v>
      </c>
      <c r="JZ95" s="27" t="str">
        <f t="shared" si="113"/>
        <v>XT55</v>
      </c>
      <c r="KC95" t="str">
        <f t="shared" si="114"/>
        <v>F0-AI7-11B</v>
      </c>
      <c r="KD95" t="str">
        <f t="shared" si="115"/>
        <v>F0-AI7-12B</v>
      </c>
      <c r="KI95" cm="1">
        <f t="array" ref="KI95">IF(COUNTIFS($U$2:$U95,$U95)=1,1,INDEX(KI:KI,_xlfn.XMATCH(U95,U$1:U94,0,-1))+COUNT(KI94:KM94))</f>
        <v>126</v>
      </c>
      <c r="KJ95">
        <f t="shared" si="124"/>
        <v>127</v>
      </c>
      <c r="KK95">
        <f t="shared" si="124"/>
        <v>128</v>
      </c>
      <c r="KN95">
        <v>1</v>
      </c>
      <c r="KO95" s="16">
        <v>2</v>
      </c>
      <c r="KS95" s="16"/>
    </row>
    <row r="96" spans="1:305" x14ac:dyDescent="0.25">
      <c r="A96" t="s">
        <v>624</v>
      </c>
      <c r="B96" t="s">
        <v>623</v>
      </c>
      <c r="C96" t="s">
        <v>498</v>
      </c>
      <c r="P96" t="s">
        <v>482</v>
      </c>
      <c r="T96" s="14" t="s">
        <v>554</v>
      </c>
      <c r="U96">
        <v>55</v>
      </c>
      <c r="V96" t="s">
        <v>1466</v>
      </c>
      <c r="X96" t="str">
        <f>IF(COUNTIF(X$1:X95,X95)&gt;7,REPLACE(X95,LEN(X95),1,VALUE(RIGHT(X95,1))+1),X95)</f>
        <v>A3.7</v>
      </c>
      <c r="Y96" s="43" cm="1">
        <f t="array" ref="Y96">IF(COUNTIFS($X$2:$X96,$X96)=1,"1",VALUE(SUBSTITUTE(INDEX(Y:Y,_xlfn.XMATCH($X96,$X$1:$X95,0,-1)),"A",""))+INDEX(Z:Z,_xlfn.XMATCH($X96,$X$1:$X95,0,-1))+1)</f>
        <v>7</v>
      </c>
      <c r="Z96" s="43" cm="1">
        <f t="array" ref="Z96">SUM(IF(ISNUMBER(FIND("TmAi",$BE$1:$AAD$1)),IF(IFERROR(ISODD(SUBSTITUTE($BE96:$AAD96,"A","")),FALSE),IF(ISODD(SUBSTITUTE($BE96:$AAD96,"A","")),1,0),0)))</f>
        <v>0</v>
      </c>
      <c r="AA96" t="str">
        <f t="shared" si="125"/>
        <v>13B</v>
      </c>
      <c r="AB96" t="str">
        <f t="shared" si="126"/>
        <v>14B</v>
      </c>
      <c r="AP96" t="s">
        <v>137</v>
      </c>
      <c r="AS96" t="s">
        <v>396</v>
      </c>
      <c r="JZ96" s="27" t="str">
        <f t="shared" si="113"/>
        <v>XT55</v>
      </c>
      <c r="KC96" t="str">
        <f t="shared" si="114"/>
        <v>F0-AI7-13B</v>
      </c>
      <c r="KD96" t="str">
        <f t="shared" si="115"/>
        <v>F0-AI7-14B</v>
      </c>
      <c r="KI96" cm="1">
        <f t="array" ref="KI96">IF(COUNTIFS($U$2:$U96,$U96)=1,1,INDEX(KI:KI,_xlfn.XMATCH(U96,U$1:U95,0,-1))+COUNT(KI95:KM95))</f>
        <v>129</v>
      </c>
      <c r="KJ96">
        <f t="shared" si="124"/>
        <v>130</v>
      </c>
      <c r="KK96">
        <f t="shared" si="124"/>
        <v>131</v>
      </c>
      <c r="KN96">
        <v>1</v>
      </c>
      <c r="KO96" s="16">
        <v>2</v>
      </c>
      <c r="KS96" s="16"/>
    </row>
    <row r="97" spans="1:305" x14ac:dyDescent="0.25">
      <c r="A97" t="s">
        <v>626</v>
      </c>
      <c r="B97" t="s">
        <v>625</v>
      </c>
      <c r="C97" t="s">
        <v>492</v>
      </c>
      <c r="P97" t="s">
        <v>482</v>
      </c>
      <c r="T97" s="14" t="s">
        <v>554</v>
      </c>
      <c r="U97">
        <v>55</v>
      </c>
      <c r="V97" t="s">
        <v>1467</v>
      </c>
      <c r="X97" s="33" t="str">
        <f>IF(COUNTIF(X$1:X96,X96)&gt;7,REPLACE(X96,LEN(X96),1,VALUE(RIGHT(X96,1))+1),X96)</f>
        <v>A3.7</v>
      </c>
      <c r="Y97" s="45" cm="1">
        <f t="array" ref="Y97">IF(COUNTIFS($X$2:$X97,$X97)=1,"1",VALUE(SUBSTITUTE(INDEX(Y:Y,_xlfn.XMATCH($X97,$X$1:$X96,0,-1)),"A",""))+INDEX(Z:Z,_xlfn.XMATCH($X97,$X$1:$X96,0,-1))+1)</f>
        <v>8</v>
      </c>
      <c r="Z97" s="43" cm="1">
        <f t="array" ref="Z97">SUM(IF(ISNUMBER(FIND("TmAi",$BE$1:$AAD$1)),IF(IFERROR(ISODD(SUBSTITUTE($BE97:$AAD97,"A","")),FALSE),IF(ISODD(SUBSTITUTE($BE97:$AAD97,"A","")),1,0),0)))</f>
        <v>0</v>
      </c>
      <c r="AA97" t="str">
        <f t="shared" si="125"/>
        <v>15B</v>
      </c>
      <c r="AB97" t="str">
        <f t="shared" si="126"/>
        <v>16B</v>
      </c>
      <c r="AP97" t="s">
        <v>137</v>
      </c>
      <c r="AS97" t="s">
        <v>396</v>
      </c>
      <c r="JZ97" s="27" t="str">
        <f t="shared" si="113"/>
        <v>XT55</v>
      </c>
      <c r="KC97" t="str">
        <f t="shared" si="114"/>
        <v>F0-AI7-15B</v>
      </c>
      <c r="KD97" t="str">
        <f t="shared" si="115"/>
        <v>F0-AI7-16B</v>
      </c>
      <c r="KI97" cm="1">
        <f t="array" ref="KI97">IF(COUNTIFS($U$2:$U97,$U97)=1,1,INDEX(KI:KI,_xlfn.XMATCH(U97,U$1:U96,0,-1))+COUNT(KI96:KM96))</f>
        <v>132</v>
      </c>
      <c r="KJ97">
        <f t="shared" si="124"/>
        <v>133</v>
      </c>
      <c r="KK97">
        <f t="shared" si="124"/>
        <v>134</v>
      </c>
      <c r="KN97">
        <v>1</v>
      </c>
      <c r="KO97" s="16">
        <v>2</v>
      </c>
      <c r="KS97" s="16"/>
    </row>
    <row r="98" spans="1:305" x14ac:dyDescent="0.25">
      <c r="A98" t="s">
        <v>628</v>
      </c>
      <c r="B98" t="s">
        <v>627</v>
      </c>
      <c r="C98" t="s">
        <v>498</v>
      </c>
      <c r="P98" t="s">
        <v>482</v>
      </c>
      <c r="T98" s="14" t="s">
        <v>554</v>
      </c>
      <c r="U98">
        <v>55</v>
      </c>
      <c r="V98" t="s">
        <v>1468</v>
      </c>
      <c r="X98" t="str">
        <f>IF(COUNTIF(X$1:X97,X97)&gt;7,REPLACE(X97,LEN(X97),1,VALUE(RIGHT(X97,1))+1),X97)</f>
        <v>A3.8</v>
      </c>
      <c r="Y98" s="43" t="str" cm="1">
        <f t="array" ref="Y98">IF(COUNTIFS($X$2:$X98,$X98)=1,"1",VALUE(SUBSTITUTE(INDEX(Y:Y,_xlfn.XMATCH($X98,$X$1:$X97,0,-1)),"A",""))+INDEX(Z:Z,_xlfn.XMATCH($X98,$X$1:$X97,0,-1))+1)</f>
        <v>1</v>
      </c>
      <c r="Z98" s="43" cm="1">
        <f t="array" ref="Z98">SUM(IF(ISNUMBER(FIND("TmAi",$BE$1:$AAD$1)),IF(IFERROR(ISODD(SUBSTITUTE($BE98:$AAD98,"A","")),FALSE),IF(ISODD(SUBSTITUTE($BE98:$AAD98,"A","")),1,0),0)))</f>
        <v>0</v>
      </c>
      <c r="AA98" t="str">
        <f t="shared" si="125"/>
        <v>1B</v>
      </c>
      <c r="AB98" t="str">
        <f t="shared" si="126"/>
        <v>2B</v>
      </c>
      <c r="AP98" t="s">
        <v>137</v>
      </c>
      <c r="AS98" t="s">
        <v>396</v>
      </c>
      <c r="JZ98" s="27" t="str">
        <f t="shared" si="113"/>
        <v>XT55</v>
      </c>
      <c r="KC98" t="str">
        <f t="shared" si="114"/>
        <v>F0-AI8-1B</v>
      </c>
      <c r="KD98" t="str">
        <f t="shared" si="115"/>
        <v>F0-AI8-2B</v>
      </c>
      <c r="KI98" cm="1">
        <f t="array" ref="KI98">IF(COUNTIFS($U$2:$U98,$U98)=1,1,INDEX(KI:KI,_xlfn.XMATCH(U98,U$1:U97,0,-1))+COUNT(KI97:KM97))</f>
        <v>135</v>
      </c>
      <c r="KJ98">
        <f t="shared" si="124"/>
        <v>136</v>
      </c>
      <c r="KK98">
        <f t="shared" si="124"/>
        <v>137</v>
      </c>
      <c r="KN98">
        <v>1</v>
      </c>
      <c r="KO98" s="16">
        <v>2</v>
      </c>
      <c r="KS98" s="16"/>
    </row>
    <row r="99" spans="1:305" x14ac:dyDescent="0.25">
      <c r="A99" t="s">
        <v>638</v>
      </c>
      <c r="B99" t="s">
        <v>637</v>
      </c>
      <c r="C99" t="s">
        <v>492</v>
      </c>
      <c r="P99" t="s">
        <v>482</v>
      </c>
      <c r="T99" s="14" t="s">
        <v>554</v>
      </c>
      <c r="U99">
        <v>55</v>
      </c>
      <c r="V99" t="s">
        <v>1469</v>
      </c>
      <c r="X99" t="str">
        <f>IF(COUNTIF(X$1:X98,X98)&gt;7,REPLACE(X98,LEN(X98),1,VALUE(RIGHT(X98,1))+1),X98)</f>
        <v>A3.8</v>
      </c>
      <c r="Y99" s="43" cm="1">
        <f t="array" ref="Y99">IF(COUNTIFS($X$2:$X99,$X99)=1,"1",VALUE(SUBSTITUTE(INDEX(Y:Y,_xlfn.XMATCH($X99,$X$1:$X98,0,-1)),"A",""))+INDEX(Z:Z,_xlfn.XMATCH($X99,$X$1:$X98,0,-1))+1)</f>
        <v>2</v>
      </c>
      <c r="Z99" s="43" cm="1">
        <f t="array" ref="Z99">SUM(IF(ISNUMBER(FIND("TmAi",$BE$1:$AAD$1)),IF(IFERROR(ISODD(SUBSTITUTE($BE99:$AAD99,"A","")),FALSE),IF(ISODD(SUBSTITUTE($BE99:$AAD99,"A","")),1,0),0)))</f>
        <v>0</v>
      </c>
      <c r="AA99" t="str">
        <f t="shared" si="125"/>
        <v>3B</v>
      </c>
      <c r="AB99" t="str">
        <f t="shared" si="126"/>
        <v>4B</v>
      </c>
      <c r="AP99" t="s">
        <v>137</v>
      </c>
      <c r="AS99" t="s">
        <v>396</v>
      </c>
      <c r="JZ99" s="27" t="str">
        <f t="shared" si="113"/>
        <v>XT55</v>
      </c>
      <c r="KC99" t="str">
        <f t="shared" si="114"/>
        <v>F0-AI8-3B</v>
      </c>
      <c r="KD99" t="str">
        <f t="shared" si="115"/>
        <v>F0-AI8-4B</v>
      </c>
      <c r="KI99" cm="1">
        <f t="array" ref="KI99">IF(COUNTIFS($U$2:$U99,$U99)=1,1,INDEX(KI:KI,_xlfn.XMATCH(U99,U$1:U98,0,-1))+COUNT(KI98:KM98))</f>
        <v>138</v>
      </c>
      <c r="KJ99">
        <f t="shared" si="124"/>
        <v>139</v>
      </c>
      <c r="KK99">
        <f t="shared" si="124"/>
        <v>140</v>
      </c>
      <c r="KN99">
        <v>1</v>
      </c>
      <c r="KO99" s="16">
        <v>2</v>
      </c>
      <c r="KS99" s="16"/>
    </row>
    <row r="100" spans="1:305" x14ac:dyDescent="0.25">
      <c r="A100" t="s">
        <v>640</v>
      </c>
      <c r="B100" t="s">
        <v>639</v>
      </c>
      <c r="C100" t="s">
        <v>498</v>
      </c>
      <c r="P100" t="s">
        <v>482</v>
      </c>
      <c r="T100" s="14" t="s">
        <v>554</v>
      </c>
      <c r="U100">
        <v>55</v>
      </c>
      <c r="V100" t="s">
        <v>1470</v>
      </c>
      <c r="X100" t="str">
        <f>IF(COUNTIF(X$1:X99,X99)&gt;7,REPLACE(X99,LEN(X99),1,VALUE(RIGHT(X99,1))+1),X99)</f>
        <v>A3.8</v>
      </c>
      <c r="Y100" s="43" cm="1">
        <f t="array" ref="Y100">IF(COUNTIFS($X$2:$X100,$X100)=1,"1",VALUE(SUBSTITUTE(INDEX(Y:Y,_xlfn.XMATCH($X100,$X$1:$X99,0,-1)),"A",""))+INDEX(Z:Z,_xlfn.XMATCH($X100,$X$1:$X99,0,-1))+1)</f>
        <v>3</v>
      </c>
      <c r="Z100" s="43" cm="1">
        <f t="array" ref="Z100">SUM(IF(ISNUMBER(FIND("TmAi",$BE$1:$AAD$1)),IF(IFERROR(ISODD(SUBSTITUTE($BE100:$AAD100,"A","")),FALSE),IF(ISODD(SUBSTITUTE($BE100:$AAD100,"A","")),1,0),0)))</f>
        <v>0</v>
      </c>
      <c r="AA100" t="str">
        <f t="shared" si="125"/>
        <v>5B</v>
      </c>
      <c r="AB100" t="str">
        <f t="shared" si="126"/>
        <v>6B</v>
      </c>
      <c r="AP100" t="s">
        <v>137</v>
      </c>
      <c r="AS100" t="s">
        <v>396</v>
      </c>
      <c r="JZ100" s="27" t="str">
        <f t="shared" si="113"/>
        <v>XT55</v>
      </c>
      <c r="KC100" t="str">
        <f t="shared" si="114"/>
        <v>F0-AI8-5B</v>
      </c>
      <c r="KD100" t="str">
        <f t="shared" si="115"/>
        <v>F0-AI8-6B</v>
      </c>
      <c r="KI100" cm="1">
        <f t="array" ref="KI100">IF(COUNTIFS($U$2:$U100,$U100)=1,1,INDEX(KI:KI,_xlfn.XMATCH(U100,U$1:U99,0,-1))+COUNT(KI99:KM99))</f>
        <v>141</v>
      </c>
      <c r="KJ100">
        <f t="shared" si="124"/>
        <v>142</v>
      </c>
      <c r="KK100">
        <f t="shared" si="124"/>
        <v>143</v>
      </c>
      <c r="KN100">
        <v>1</v>
      </c>
      <c r="KO100" s="16">
        <v>2</v>
      </c>
      <c r="KS100" s="16"/>
    </row>
    <row r="101" spans="1:305" x14ac:dyDescent="0.25">
      <c r="A101" t="s">
        <v>642</v>
      </c>
      <c r="B101" t="s">
        <v>641</v>
      </c>
      <c r="C101" t="s">
        <v>492</v>
      </c>
      <c r="P101" t="s">
        <v>482</v>
      </c>
      <c r="T101" s="14" t="s">
        <v>554</v>
      </c>
      <c r="U101">
        <v>55</v>
      </c>
      <c r="V101" t="s">
        <v>1471</v>
      </c>
      <c r="X101" t="str">
        <f>IF(COUNTIF(X$1:X100,X100)&gt;7,REPLACE(X100,LEN(X100),1,VALUE(RIGHT(X100,1))+1),X100)</f>
        <v>A3.8</v>
      </c>
      <c r="Y101" s="43" cm="1">
        <f t="array" ref="Y101">IF(COUNTIFS($X$2:$X101,$X101)=1,"1",VALUE(SUBSTITUTE(INDEX(Y:Y,_xlfn.XMATCH($X101,$X$1:$X100,0,-1)),"A",""))+INDEX(Z:Z,_xlfn.XMATCH($X101,$X$1:$X100,0,-1))+1)</f>
        <v>4</v>
      </c>
      <c r="Z101" s="43" cm="1">
        <f t="array" ref="Z101">SUM(IF(ISNUMBER(FIND("TmAi",$BE$1:$AAD$1)),IF(IFERROR(ISODD(SUBSTITUTE($BE101:$AAD101,"A","")),FALSE),IF(ISODD(SUBSTITUTE($BE101:$AAD101,"A","")),1,0),0)))</f>
        <v>0</v>
      </c>
      <c r="AA101" t="str">
        <f t="shared" si="125"/>
        <v>7B</v>
      </c>
      <c r="AB101" t="str">
        <f t="shared" si="126"/>
        <v>8B</v>
      </c>
      <c r="AP101" t="s">
        <v>137</v>
      </c>
      <c r="AS101" t="s">
        <v>396</v>
      </c>
      <c r="JZ101" s="27" t="str">
        <f t="shared" si="113"/>
        <v>XT55</v>
      </c>
      <c r="KC101" t="str">
        <f t="shared" si="114"/>
        <v>F0-AI8-7B</v>
      </c>
      <c r="KD101" t="str">
        <f t="shared" si="115"/>
        <v>F0-AI8-8B</v>
      </c>
      <c r="KI101" cm="1">
        <f t="array" ref="KI101">IF(COUNTIFS($U$2:$U101,$U101)=1,1,INDEX(KI:KI,_xlfn.XMATCH(U101,U$1:U100,0,-1))+COUNT(KI100:KM100))</f>
        <v>144</v>
      </c>
      <c r="KJ101">
        <f t="shared" si="124"/>
        <v>145</v>
      </c>
      <c r="KK101">
        <f t="shared" si="124"/>
        <v>146</v>
      </c>
      <c r="KN101">
        <v>1</v>
      </c>
      <c r="KO101" s="16">
        <v>2</v>
      </c>
      <c r="KS101" s="16"/>
    </row>
    <row r="102" spans="1:305" x14ac:dyDescent="0.25">
      <c r="A102" t="s">
        <v>644</v>
      </c>
      <c r="B102" t="s">
        <v>643</v>
      </c>
      <c r="C102" t="s">
        <v>498</v>
      </c>
      <c r="P102" t="s">
        <v>482</v>
      </c>
      <c r="T102" s="14" t="s">
        <v>554</v>
      </c>
      <c r="U102">
        <v>55</v>
      </c>
      <c r="V102" t="s">
        <v>1472</v>
      </c>
      <c r="X102" t="str">
        <f>IF(COUNTIF(X$1:X101,X101)&gt;7,REPLACE(X101,LEN(X101),1,VALUE(RIGHT(X101,1))+1),X101)</f>
        <v>A3.8</v>
      </c>
      <c r="Y102" s="43" cm="1">
        <f t="array" ref="Y102">IF(COUNTIFS($X$2:$X102,$X102)=1,"1",VALUE(SUBSTITUTE(INDEX(Y:Y,_xlfn.XMATCH($X102,$X$1:$X101,0,-1)),"A",""))+INDEX(Z:Z,_xlfn.XMATCH($X102,$X$1:$X101,0,-1))+1)</f>
        <v>5</v>
      </c>
      <c r="Z102" s="43" cm="1">
        <f t="array" ref="Z102">SUM(IF(ISNUMBER(FIND("TmAi",$BE$1:$AAD$1)),IF(IFERROR(ISODD(SUBSTITUTE($BE102:$AAD102,"A","")),FALSE),IF(ISODD(SUBSTITUTE($BE102:$AAD102,"A","")),1,0),0)))</f>
        <v>0</v>
      </c>
      <c r="AA102" t="str">
        <f t="shared" si="125"/>
        <v>9B</v>
      </c>
      <c r="AB102" t="str">
        <f t="shared" si="126"/>
        <v>10B</v>
      </c>
      <c r="AP102" t="s">
        <v>137</v>
      </c>
      <c r="AS102" t="s">
        <v>396</v>
      </c>
      <c r="JZ102" s="27" t="str">
        <f t="shared" si="113"/>
        <v>XT55</v>
      </c>
      <c r="KC102" t="str">
        <f t="shared" si="114"/>
        <v>F0-AI8-9B</v>
      </c>
      <c r="KD102" t="str">
        <f t="shared" si="115"/>
        <v>F0-AI8-10B</v>
      </c>
      <c r="KI102" cm="1">
        <f t="array" ref="KI102">IF(COUNTIFS($U$2:$U102,$U102)=1,1,INDEX(KI:KI,_xlfn.XMATCH(U102,U$1:U101,0,-1))+COUNT(KI101:KM101))</f>
        <v>147</v>
      </c>
      <c r="KJ102">
        <f t="shared" ref="KJ102:KK122" si="127">KI102+1</f>
        <v>148</v>
      </c>
      <c r="KK102">
        <f t="shared" si="127"/>
        <v>149</v>
      </c>
      <c r="KN102">
        <v>1</v>
      </c>
      <c r="KO102" s="16">
        <v>2</v>
      </c>
      <c r="KS102" s="16"/>
    </row>
    <row r="103" spans="1:305" x14ac:dyDescent="0.25">
      <c r="A103" t="s">
        <v>646</v>
      </c>
      <c r="B103" t="s">
        <v>645</v>
      </c>
      <c r="C103" t="s">
        <v>492</v>
      </c>
      <c r="P103" t="s">
        <v>482</v>
      </c>
      <c r="T103" s="14" t="s">
        <v>554</v>
      </c>
      <c r="U103">
        <v>55</v>
      </c>
      <c r="V103" t="s">
        <v>1473</v>
      </c>
      <c r="X103" t="str">
        <f>IF(COUNTIF(X$1:X102,X102)&gt;7,REPLACE(X102,LEN(X102),1,VALUE(RIGHT(X102,1))+1),X102)</f>
        <v>A3.8</v>
      </c>
      <c r="Y103" s="43" cm="1">
        <f t="array" ref="Y103">IF(COUNTIFS($X$2:$X103,$X103)=1,"1",VALUE(SUBSTITUTE(INDEX(Y:Y,_xlfn.XMATCH($X103,$X$1:$X102,0,-1)),"A",""))+INDEX(Z:Z,_xlfn.XMATCH($X103,$X$1:$X102,0,-1))+1)</f>
        <v>6</v>
      </c>
      <c r="Z103" s="43" cm="1">
        <f t="array" ref="Z103">SUM(IF(ISNUMBER(FIND("TmAi",$BE$1:$AAD$1)),IF(IFERROR(ISODD(SUBSTITUTE($BE103:$AAD103,"A","")),FALSE),IF(ISODD(SUBSTITUTE($BE103:$AAD103,"A","")),1,0),0)))</f>
        <v>0</v>
      </c>
      <c r="AA103" t="str">
        <f t="shared" si="125"/>
        <v>11B</v>
      </c>
      <c r="AB103" t="str">
        <f t="shared" si="126"/>
        <v>12B</v>
      </c>
      <c r="AP103" t="s">
        <v>137</v>
      </c>
      <c r="AS103" t="s">
        <v>396</v>
      </c>
      <c r="JZ103" s="27" t="str">
        <f t="shared" si="113"/>
        <v>XT55</v>
      </c>
      <c r="KC103" t="str">
        <f t="shared" si="114"/>
        <v>F0-AI8-11B</v>
      </c>
      <c r="KD103" t="str">
        <f t="shared" si="115"/>
        <v>F0-AI8-12B</v>
      </c>
      <c r="KI103" cm="1">
        <f t="array" ref="KI103">IF(COUNTIFS($U$2:$U103,$U103)=1,1,INDEX(KI:KI,_xlfn.XMATCH(U103,U$1:U102,0,-1))+COUNT(KI102:KM102))</f>
        <v>150</v>
      </c>
      <c r="KJ103">
        <f t="shared" si="127"/>
        <v>151</v>
      </c>
      <c r="KK103">
        <f t="shared" si="127"/>
        <v>152</v>
      </c>
      <c r="KN103">
        <v>1</v>
      </c>
      <c r="KO103" s="16">
        <v>2</v>
      </c>
      <c r="KS103" s="16"/>
    </row>
    <row r="104" spans="1:305" x14ac:dyDescent="0.25">
      <c r="A104" t="s">
        <v>648</v>
      </c>
      <c r="B104" t="s">
        <v>647</v>
      </c>
      <c r="C104" t="s">
        <v>498</v>
      </c>
      <c r="P104" t="s">
        <v>482</v>
      </c>
      <c r="T104" s="14" t="s">
        <v>554</v>
      </c>
      <c r="U104">
        <v>55</v>
      </c>
      <c r="V104" t="s">
        <v>1474</v>
      </c>
      <c r="X104" t="str">
        <f>IF(COUNTIF(X$1:X103,X103)&gt;7,REPLACE(X103,LEN(X103),1,VALUE(RIGHT(X103,1))+1),X103)</f>
        <v>A3.8</v>
      </c>
      <c r="Y104" s="43" cm="1">
        <f t="array" ref="Y104">IF(COUNTIFS($X$2:$X104,$X104)=1,"1",VALUE(SUBSTITUTE(INDEX(Y:Y,_xlfn.XMATCH($X104,$X$1:$X103,0,-1)),"A",""))+INDEX(Z:Z,_xlfn.XMATCH($X104,$X$1:$X103,0,-1))+1)</f>
        <v>7</v>
      </c>
      <c r="Z104" s="43" cm="1">
        <f t="array" ref="Z104">SUM(IF(ISNUMBER(FIND("TmAi",$BE$1:$AAD$1)),IF(IFERROR(ISODD(SUBSTITUTE($BE104:$AAD104,"A","")),FALSE),IF(ISODD(SUBSTITUTE($BE104:$AAD104,"A","")),1,0),0)))</f>
        <v>0</v>
      </c>
      <c r="AA104" t="str">
        <f t="shared" si="125"/>
        <v>13B</v>
      </c>
      <c r="AB104" t="str">
        <f t="shared" si="126"/>
        <v>14B</v>
      </c>
      <c r="AP104" t="s">
        <v>137</v>
      </c>
      <c r="AS104" t="s">
        <v>396</v>
      </c>
      <c r="JZ104" s="27" t="str">
        <f t="shared" si="113"/>
        <v>XT55</v>
      </c>
      <c r="KC104" t="str">
        <f t="shared" si="114"/>
        <v>F0-AI8-13B</v>
      </c>
      <c r="KD104" t="str">
        <f t="shared" si="115"/>
        <v>F0-AI8-14B</v>
      </c>
      <c r="KI104" cm="1">
        <f t="array" ref="KI104">IF(COUNTIFS($U$2:$U104,$U104)=1,1,INDEX(KI:KI,_xlfn.XMATCH(U104,U$1:U103,0,-1))+COUNT(KI103:KM103))</f>
        <v>153</v>
      </c>
      <c r="KJ104">
        <f t="shared" si="127"/>
        <v>154</v>
      </c>
      <c r="KK104">
        <f t="shared" si="127"/>
        <v>155</v>
      </c>
      <c r="KN104">
        <v>1</v>
      </c>
      <c r="KO104" s="16">
        <v>2</v>
      </c>
      <c r="KS104" s="16"/>
    </row>
    <row r="105" spans="1:305" x14ac:dyDescent="0.25">
      <c r="A105" t="s">
        <v>650</v>
      </c>
      <c r="B105" t="s">
        <v>649</v>
      </c>
      <c r="C105" t="s">
        <v>492</v>
      </c>
      <c r="P105" t="s">
        <v>482</v>
      </c>
      <c r="T105" s="14" t="s">
        <v>554</v>
      </c>
      <c r="U105">
        <v>55</v>
      </c>
      <c r="V105" t="s">
        <v>1475</v>
      </c>
      <c r="X105" s="33" t="str">
        <f>IF(COUNTIF(X$1:X104,X104)&gt;7,REPLACE(X104,LEN(X104),1,VALUE(RIGHT(X104,1))+1),X104)</f>
        <v>A3.8</v>
      </c>
      <c r="Y105" s="45" cm="1">
        <f t="array" ref="Y105">IF(COUNTIFS($X$2:$X105,$X105)=1,"1",VALUE(SUBSTITUTE(INDEX(Y:Y,_xlfn.XMATCH($X105,$X$1:$X104,0,-1)),"A",""))+INDEX(Z:Z,_xlfn.XMATCH($X105,$X$1:$X104,0,-1))+1)</f>
        <v>8</v>
      </c>
      <c r="Z105" s="43" cm="1">
        <f t="array" ref="Z105">SUM(IF(ISNUMBER(FIND("TmAi",$BE$1:$AAD$1)),IF(IFERROR(ISODD(SUBSTITUTE($BE105:$AAD105,"A","")),FALSE),IF(ISODD(SUBSTITUTE($BE105:$AAD105,"A","")),1,0),0)))</f>
        <v>0</v>
      </c>
      <c r="AA105" t="str">
        <f t="shared" si="125"/>
        <v>15B</v>
      </c>
      <c r="AB105" t="str">
        <f t="shared" si="126"/>
        <v>16B</v>
      </c>
      <c r="AP105" t="s">
        <v>137</v>
      </c>
      <c r="AS105" t="s">
        <v>396</v>
      </c>
      <c r="JZ105" s="27" t="str">
        <f t="shared" si="113"/>
        <v>XT55</v>
      </c>
      <c r="KC105" t="str">
        <f t="shared" si="114"/>
        <v>F0-AI8-15B</v>
      </c>
      <c r="KD105" t="str">
        <f t="shared" si="115"/>
        <v>F0-AI8-16B</v>
      </c>
      <c r="KI105" cm="1">
        <f t="array" ref="KI105">IF(COUNTIFS($U$2:$U105,$U105)=1,1,INDEX(KI:KI,_xlfn.XMATCH(U105,U$1:U104,0,-1))+COUNT(KI104:KM104))</f>
        <v>156</v>
      </c>
      <c r="KJ105">
        <f t="shared" si="127"/>
        <v>157</v>
      </c>
      <c r="KK105">
        <f t="shared" si="127"/>
        <v>158</v>
      </c>
      <c r="KN105">
        <v>1</v>
      </c>
      <c r="KO105" s="16">
        <v>2</v>
      </c>
      <c r="KS105" s="16"/>
    </row>
    <row r="106" spans="1:305" x14ac:dyDescent="0.25">
      <c r="A106" t="s">
        <v>652</v>
      </c>
      <c r="B106" t="s">
        <v>651</v>
      </c>
      <c r="C106" t="s">
        <v>498</v>
      </c>
      <c r="P106" t="s">
        <v>482</v>
      </c>
      <c r="T106" s="14" t="s">
        <v>554</v>
      </c>
      <c r="U106">
        <v>55</v>
      </c>
      <c r="V106" t="s">
        <v>1476</v>
      </c>
      <c r="X106" t="str">
        <f>IF(COUNTIF(X$1:X105,X105)&gt;7,REPLACE(X105,LEN(X105),1,VALUE(RIGHT(X105,1))+1),X105)</f>
        <v>A3.9</v>
      </c>
      <c r="Y106" s="43" t="str" cm="1">
        <f t="array" ref="Y106">IF(COUNTIFS($X$2:$X106,$X106)=1,"1",VALUE(SUBSTITUTE(INDEX(Y:Y,_xlfn.XMATCH($X106,$X$1:$X105,0,-1)),"A",""))+INDEX(Z:Z,_xlfn.XMATCH($X106,$X$1:$X105,0,-1))+1)</f>
        <v>1</v>
      </c>
      <c r="Z106" s="43" cm="1">
        <f t="array" ref="Z106">SUM(IF(ISNUMBER(FIND("TmAi",$BE$1:$AAD$1)),IF(IFERROR(ISODD(SUBSTITUTE($BE106:$AAD106,"A","")),FALSE),IF(ISODD(SUBSTITUTE($BE106:$AAD106,"A","")),1,0),0)))</f>
        <v>0</v>
      </c>
      <c r="AA106" t="str">
        <f t="shared" si="125"/>
        <v>1B</v>
      </c>
      <c r="AB106" t="str">
        <f t="shared" si="126"/>
        <v>2B</v>
      </c>
      <c r="AP106" t="s">
        <v>137</v>
      </c>
      <c r="AS106" t="s">
        <v>396</v>
      </c>
      <c r="JZ106" s="27" t="str">
        <f t="shared" si="113"/>
        <v>XT55</v>
      </c>
      <c r="KC106" t="str">
        <f t="shared" si="114"/>
        <v>F0-AI9-1B</v>
      </c>
      <c r="KD106" t="str">
        <f t="shared" si="115"/>
        <v>F0-AI9-2B</v>
      </c>
      <c r="KI106" cm="1">
        <f t="array" ref="KI106">IF(COUNTIFS($U$2:$U106,$U106)=1,1,INDEX(KI:KI,_xlfn.XMATCH(U106,U$1:U105,0,-1))+COUNT(KI105:KM105))</f>
        <v>159</v>
      </c>
      <c r="KJ106">
        <f t="shared" si="127"/>
        <v>160</v>
      </c>
      <c r="KK106">
        <f t="shared" si="127"/>
        <v>161</v>
      </c>
      <c r="KN106">
        <v>1</v>
      </c>
      <c r="KO106" s="16">
        <v>2</v>
      </c>
      <c r="KS106" s="16"/>
    </row>
    <row r="107" spans="1:305" x14ac:dyDescent="0.25">
      <c r="A107" t="s">
        <v>654</v>
      </c>
      <c r="B107" t="s">
        <v>653</v>
      </c>
      <c r="C107" t="s">
        <v>492</v>
      </c>
      <c r="P107" t="s">
        <v>482</v>
      </c>
      <c r="T107" s="14" t="s">
        <v>554</v>
      </c>
      <c r="U107">
        <v>55</v>
      </c>
      <c r="V107" t="s">
        <v>1477</v>
      </c>
      <c r="X107" t="str">
        <f>IF(COUNTIF(X$1:X106,X106)&gt;7,REPLACE(X106,LEN(X106),1,VALUE(RIGHT(X106,1))+1),X106)</f>
        <v>A3.9</v>
      </c>
      <c r="Y107" s="43" cm="1">
        <f t="array" ref="Y107">IF(COUNTIFS($X$2:$X107,$X107)=1,"1",VALUE(SUBSTITUTE(INDEX(Y:Y,_xlfn.XMATCH($X107,$X$1:$X106,0,-1)),"A",""))+INDEX(Z:Z,_xlfn.XMATCH($X107,$X$1:$X106,0,-1))+1)</f>
        <v>2</v>
      </c>
      <c r="Z107" s="43" cm="1">
        <f t="array" ref="Z107">SUM(IF(ISNUMBER(FIND("TmAi",$BE$1:$AAD$1)),IF(IFERROR(ISODD(SUBSTITUTE($BE107:$AAD107,"A","")),FALSE),IF(ISODD(SUBSTITUTE($BE107:$AAD107,"A","")),1,0),0)))</f>
        <v>0</v>
      </c>
      <c r="AA107" t="str">
        <f t="shared" si="125"/>
        <v>3B</v>
      </c>
      <c r="AB107" t="str">
        <f t="shared" si="126"/>
        <v>4B</v>
      </c>
      <c r="AP107" t="s">
        <v>137</v>
      </c>
      <c r="AS107" t="s">
        <v>396</v>
      </c>
      <c r="JZ107" s="27" t="str">
        <f t="shared" si="113"/>
        <v>XT55</v>
      </c>
      <c r="KC107" t="str">
        <f t="shared" si="114"/>
        <v>F0-AI9-3B</v>
      </c>
      <c r="KD107" t="str">
        <f t="shared" si="115"/>
        <v>F0-AI9-4B</v>
      </c>
      <c r="KI107" cm="1">
        <f t="array" ref="KI107">IF(COUNTIFS($U$2:$U107,$U107)=1,1,INDEX(KI:KI,_xlfn.XMATCH(U107,U$1:U106,0,-1))+COUNT(KI106:KM106))</f>
        <v>162</v>
      </c>
      <c r="KJ107">
        <f t="shared" si="127"/>
        <v>163</v>
      </c>
      <c r="KK107">
        <f t="shared" si="127"/>
        <v>164</v>
      </c>
      <c r="KN107">
        <v>1</v>
      </c>
      <c r="KO107" s="16">
        <v>2</v>
      </c>
      <c r="KS107" s="16"/>
    </row>
    <row r="108" spans="1:305" x14ac:dyDescent="0.25">
      <c r="A108" t="s">
        <v>665</v>
      </c>
      <c r="B108" s="33" t="s">
        <v>664</v>
      </c>
      <c r="C108" t="s">
        <v>492</v>
      </c>
      <c r="P108" t="s">
        <v>482</v>
      </c>
      <c r="T108" s="14" t="s">
        <v>554</v>
      </c>
      <c r="U108">
        <v>55</v>
      </c>
      <c r="V108" t="s">
        <v>1478</v>
      </c>
      <c r="X108" t="str">
        <f>IF(COUNTIF(X$1:X107,X107)&gt;7,REPLACE(X107,LEN(X107),1,VALUE(RIGHT(X107,1))+1),X107)</f>
        <v>A3.9</v>
      </c>
      <c r="Y108" s="43" cm="1">
        <f t="array" ref="Y108">IF(COUNTIFS($X$2:$X108,$X108)=1,"1",VALUE(SUBSTITUTE(INDEX(Y:Y,_xlfn.XMATCH($X108,$X$1:$X107,0,-1)),"A",""))+INDEX(Z:Z,_xlfn.XMATCH($X108,$X$1:$X107,0,-1))+1)</f>
        <v>3</v>
      </c>
      <c r="Z108" s="43" cm="1">
        <f t="array" ref="Z108">SUM(IF(ISNUMBER(FIND("TmAi",$BE$1:$AAD$1)),IF(IFERROR(ISODD(SUBSTITUTE($BE108:$AAD108,"A","")),FALSE),IF(ISODD(SUBSTITUTE($BE108:$AAD108,"A","")),1,0),0)))</f>
        <v>0</v>
      </c>
      <c r="AA108" t="str">
        <f t="shared" si="125"/>
        <v>5B</v>
      </c>
      <c r="AB108" t="str">
        <f t="shared" si="126"/>
        <v>6B</v>
      </c>
      <c r="AP108" t="s">
        <v>137</v>
      </c>
      <c r="AS108" t="s">
        <v>396</v>
      </c>
      <c r="JZ108" s="27" t="str">
        <f t="shared" si="113"/>
        <v>XT55</v>
      </c>
      <c r="KC108" t="str">
        <f t="shared" si="114"/>
        <v>F0-AI9-5B</v>
      </c>
      <c r="KD108" t="str">
        <f t="shared" si="115"/>
        <v>F0-AI9-6B</v>
      </c>
      <c r="KI108" cm="1">
        <f t="array" ref="KI108">IF(COUNTIFS($U$2:$U108,$U108)=1,1,INDEX(KI:KI,_xlfn.XMATCH(U108,U$1:U107,0,-1))+COUNT(KI107:KM107))</f>
        <v>165</v>
      </c>
      <c r="KJ108">
        <f t="shared" si="127"/>
        <v>166</v>
      </c>
      <c r="KK108">
        <f t="shared" si="127"/>
        <v>167</v>
      </c>
      <c r="KN108">
        <v>1</v>
      </c>
      <c r="KO108" s="16">
        <v>2</v>
      </c>
      <c r="KS108" s="16"/>
    </row>
    <row r="109" spans="1:305" x14ac:dyDescent="0.25">
      <c r="A109" t="s">
        <v>667</v>
      </c>
      <c r="B109" t="s">
        <v>666</v>
      </c>
      <c r="C109" t="s">
        <v>492</v>
      </c>
      <c r="P109" t="s">
        <v>482</v>
      </c>
      <c r="T109" s="14" t="s">
        <v>554</v>
      </c>
      <c r="U109">
        <v>55</v>
      </c>
      <c r="V109" t="s">
        <v>1479</v>
      </c>
      <c r="X109" t="str">
        <f>IF(COUNTIF(X$1:X108,X108)&gt;7,REPLACE(X108,LEN(X108),1,VALUE(RIGHT(X108,1))+1),X108)</f>
        <v>A3.9</v>
      </c>
      <c r="Y109" s="43" cm="1">
        <f t="array" ref="Y109">IF(COUNTIFS($X$2:$X109,$X109)=1,"1",VALUE(SUBSTITUTE(INDEX(Y:Y,_xlfn.XMATCH($X109,$X$1:$X108,0,-1)),"A",""))+INDEX(Z:Z,_xlfn.XMATCH($X109,$X$1:$X108,0,-1))+1)</f>
        <v>4</v>
      </c>
      <c r="Z109" s="43" cm="1">
        <f t="array" ref="Z109">SUM(IF(ISNUMBER(FIND("TmAi",$BE$1:$AAD$1)),IF(IFERROR(ISODD(SUBSTITUTE($BE109:$AAD109,"A","")),FALSE),IF(ISODD(SUBSTITUTE($BE109:$AAD109,"A","")),1,0),0)))</f>
        <v>0</v>
      </c>
      <c r="AA109" t="str">
        <f t="shared" si="125"/>
        <v>7B</v>
      </c>
      <c r="AB109" t="str">
        <f t="shared" si="126"/>
        <v>8B</v>
      </c>
      <c r="AP109" t="s">
        <v>137</v>
      </c>
      <c r="AS109" t="s">
        <v>396</v>
      </c>
      <c r="JZ109" s="27" t="str">
        <f t="shared" si="113"/>
        <v>XT55</v>
      </c>
      <c r="KC109" t="str">
        <f t="shared" si="114"/>
        <v>F0-AI9-7B</v>
      </c>
      <c r="KD109" t="str">
        <f t="shared" si="115"/>
        <v>F0-AI9-8B</v>
      </c>
      <c r="KI109" cm="1">
        <f t="array" ref="KI109">IF(COUNTIFS($U$2:$U109,$U109)=1,1,INDEX(KI:KI,_xlfn.XMATCH(U109,U$1:U108,0,-1))+COUNT(KI108:KM108))</f>
        <v>168</v>
      </c>
      <c r="KJ109">
        <f t="shared" si="127"/>
        <v>169</v>
      </c>
      <c r="KK109">
        <f t="shared" si="127"/>
        <v>170</v>
      </c>
      <c r="KN109">
        <v>1</v>
      </c>
      <c r="KO109" s="16">
        <v>2</v>
      </c>
      <c r="KS109" s="16"/>
    </row>
    <row r="110" spans="1:305" x14ac:dyDescent="0.25">
      <c r="A110" t="s">
        <v>669</v>
      </c>
      <c r="B110" t="s">
        <v>668</v>
      </c>
      <c r="C110" t="s">
        <v>498</v>
      </c>
      <c r="P110" t="s">
        <v>482</v>
      </c>
      <c r="T110" s="14" t="s">
        <v>554</v>
      </c>
      <c r="U110">
        <v>55</v>
      </c>
      <c r="V110" t="s">
        <v>1480</v>
      </c>
      <c r="X110" t="str">
        <f>IF(COUNTIF(X$1:X109,X109)&gt;7,REPLACE(X109,LEN(X109),1,VALUE(RIGHT(X109,1))+1),X109)</f>
        <v>A3.9</v>
      </c>
      <c r="Y110" s="43" cm="1">
        <f t="array" ref="Y110">IF(COUNTIFS($X$2:$X110,$X110)=1,"1",VALUE(SUBSTITUTE(INDEX(Y:Y,_xlfn.XMATCH($X110,$X$1:$X109,0,-1)),"A",""))+INDEX(Z:Z,_xlfn.XMATCH($X110,$X$1:$X109,0,-1))+1)</f>
        <v>5</v>
      </c>
      <c r="Z110" s="43" cm="1">
        <f t="array" ref="Z110">SUM(IF(ISNUMBER(FIND("TmAi",$BE$1:$AAD$1)),IF(IFERROR(ISODD(SUBSTITUTE($BE110:$AAD110,"A","")),FALSE),IF(ISODD(SUBSTITUTE($BE110:$AAD110,"A","")),1,0),0)))</f>
        <v>0</v>
      </c>
      <c r="AA110" t="str">
        <f t="shared" si="125"/>
        <v>9B</v>
      </c>
      <c r="AB110" t="str">
        <f t="shared" si="126"/>
        <v>10B</v>
      </c>
      <c r="AP110" t="s">
        <v>137</v>
      </c>
      <c r="AS110" t="s">
        <v>396</v>
      </c>
      <c r="JZ110" s="27" t="str">
        <f t="shared" si="113"/>
        <v>XT55</v>
      </c>
      <c r="KC110" t="str">
        <f t="shared" si="114"/>
        <v>F0-AI9-9B</v>
      </c>
      <c r="KD110" t="str">
        <f t="shared" si="115"/>
        <v>F0-AI9-10B</v>
      </c>
      <c r="KI110" cm="1">
        <f t="array" ref="KI110">IF(COUNTIFS($U$2:$U110,$U110)=1,1,INDEX(KI:KI,_xlfn.XMATCH(U110,U$1:U109,0,-1))+COUNT(KI109:KM109))</f>
        <v>171</v>
      </c>
      <c r="KJ110">
        <f t="shared" si="127"/>
        <v>172</v>
      </c>
      <c r="KK110">
        <f t="shared" si="127"/>
        <v>173</v>
      </c>
      <c r="KN110">
        <v>1</v>
      </c>
      <c r="KO110" s="16">
        <v>2</v>
      </c>
      <c r="KS110" s="16"/>
    </row>
    <row r="111" spans="1:305" x14ac:dyDescent="0.25">
      <c r="A111" t="s">
        <v>671</v>
      </c>
      <c r="B111" t="s">
        <v>670</v>
      </c>
      <c r="C111" t="s">
        <v>498</v>
      </c>
      <c r="P111" t="s">
        <v>482</v>
      </c>
      <c r="T111" s="14" t="s">
        <v>554</v>
      </c>
      <c r="U111">
        <v>55</v>
      </c>
      <c r="V111" t="s">
        <v>1481</v>
      </c>
      <c r="X111" t="str">
        <f>IF(COUNTIF(X$1:X110,X110)&gt;7,REPLACE(X110,LEN(X110),1,VALUE(RIGHT(X110,1))+1),X110)</f>
        <v>A3.9</v>
      </c>
      <c r="Y111" s="43" cm="1">
        <f t="array" ref="Y111">IF(COUNTIFS($X$2:$X111,$X111)=1,"1",VALUE(SUBSTITUTE(INDEX(Y:Y,_xlfn.XMATCH($X111,$X$1:$X110,0,-1)),"A",""))+INDEX(Z:Z,_xlfn.XMATCH($X111,$X$1:$X110,0,-1))+1)</f>
        <v>6</v>
      </c>
      <c r="Z111" s="43" cm="1">
        <f t="array" ref="Z111">SUM(IF(ISNUMBER(FIND("TmAi",$BE$1:$AAD$1)),IF(IFERROR(ISODD(SUBSTITUTE($BE111:$AAD111,"A","")),FALSE),IF(ISODD(SUBSTITUTE($BE111:$AAD111,"A","")),1,0),0)))</f>
        <v>0</v>
      </c>
      <c r="AA111" t="str">
        <f t="shared" si="125"/>
        <v>11B</v>
      </c>
      <c r="AB111" t="str">
        <f t="shared" si="126"/>
        <v>12B</v>
      </c>
      <c r="AP111" t="s">
        <v>137</v>
      </c>
      <c r="AS111" t="s">
        <v>396</v>
      </c>
      <c r="JZ111" s="27" t="str">
        <f t="shared" si="113"/>
        <v>XT55</v>
      </c>
      <c r="KC111" t="str">
        <f t="shared" si="114"/>
        <v>F0-AI9-11B</v>
      </c>
      <c r="KD111" t="str">
        <f t="shared" si="115"/>
        <v>F0-AI9-12B</v>
      </c>
      <c r="KI111" cm="1">
        <f t="array" ref="KI111">IF(COUNTIFS($U$2:$U111,$U111)=1,1,INDEX(KI:KI,_xlfn.XMATCH(U111,U$1:U110,0,-1))+COUNT(KI110:KM110))</f>
        <v>174</v>
      </c>
      <c r="KJ111">
        <f t="shared" si="127"/>
        <v>175</v>
      </c>
      <c r="KK111">
        <f t="shared" si="127"/>
        <v>176</v>
      </c>
      <c r="KN111">
        <v>1</v>
      </c>
      <c r="KO111" s="16">
        <v>2</v>
      </c>
      <c r="KS111" s="16"/>
    </row>
    <row r="112" spans="1:305" x14ac:dyDescent="0.25">
      <c r="A112" t="s">
        <v>673</v>
      </c>
      <c r="B112" t="s">
        <v>672</v>
      </c>
      <c r="C112" t="s">
        <v>498</v>
      </c>
      <c r="P112" t="s">
        <v>482</v>
      </c>
      <c r="T112" s="14" t="s">
        <v>554</v>
      </c>
      <c r="U112">
        <v>55</v>
      </c>
      <c r="V112" t="s">
        <v>1482</v>
      </c>
      <c r="X112" t="str">
        <f>IF(COUNTIF(X$1:X111,X111)&gt;7,REPLACE(X111,LEN(X111),1,VALUE(RIGHT(X111,1))+1),X111)</f>
        <v>A3.9</v>
      </c>
      <c r="Y112" s="43" cm="1">
        <f t="array" ref="Y112">IF(COUNTIFS($X$2:$X112,$X112)=1,"1",VALUE(SUBSTITUTE(INDEX(Y:Y,_xlfn.XMATCH($X112,$X$1:$X111,0,-1)),"A",""))+INDEX(Z:Z,_xlfn.XMATCH($X112,$X$1:$X111,0,-1))+1)</f>
        <v>7</v>
      </c>
      <c r="Z112" s="43" cm="1">
        <f t="array" ref="Z112">SUM(IF(ISNUMBER(FIND("TmAi",$BE$1:$AAD$1)),IF(IFERROR(ISODD(SUBSTITUTE($BE112:$AAD112,"A","")),FALSE),IF(ISODD(SUBSTITUTE($BE112:$AAD112,"A","")),1,0),0)))</f>
        <v>0</v>
      </c>
      <c r="AA112" t="str">
        <f t="shared" si="125"/>
        <v>13B</v>
      </c>
      <c r="AB112" t="str">
        <f t="shared" si="126"/>
        <v>14B</v>
      </c>
      <c r="AP112" t="s">
        <v>137</v>
      </c>
      <c r="AS112" t="s">
        <v>396</v>
      </c>
      <c r="JZ112" s="27" t="str">
        <f t="shared" si="113"/>
        <v>XT55</v>
      </c>
      <c r="KC112" t="str">
        <f t="shared" si="114"/>
        <v>F0-AI9-13B</v>
      </c>
      <c r="KD112" t="str">
        <f t="shared" si="115"/>
        <v>F0-AI9-14B</v>
      </c>
      <c r="KI112" cm="1">
        <f t="array" ref="KI112">IF(COUNTIFS($U$2:$U112,$U112)=1,1,INDEX(KI:KI,_xlfn.XMATCH(U112,U$1:U111,0,-1))+COUNT(KI111:KM111))</f>
        <v>177</v>
      </c>
      <c r="KJ112">
        <f t="shared" si="127"/>
        <v>178</v>
      </c>
      <c r="KK112">
        <f t="shared" si="127"/>
        <v>179</v>
      </c>
      <c r="KN112">
        <v>1</v>
      </c>
      <c r="KO112" s="16">
        <v>2</v>
      </c>
      <c r="KS112" s="16"/>
    </row>
    <row r="113" spans="1:305" x14ac:dyDescent="0.25">
      <c r="A113" t="s">
        <v>675</v>
      </c>
      <c r="B113" t="s">
        <v>674</v>
      </c>
      <c r="C113" t="s">
        <v>498</v>
      </c>
      <c r="P113" t="s">
        <v>482</v>
      </c>
      <c r="T113" s="14" t="s">
        <v>554</v>
      </c>
      <c r="U113">
        <v>55</v>
      </c>
      <c r="V113" t="s">
        <v>1483</v>
      </c>
      <c r="X113" s="33" t="str">
        <f>IF(COUNTIF(X$1:X112,X112)&gt;7,REPLACE(X112,LEN(X112),1,VALUE(RIGHT(X112,1))+1),X112)</f>
        <v>A3.9</v>
      </c>
      <c r="Y113" s="45" cm="1">
        <f t="array" ref="Y113">IF(COUNTIFS($X$2:$X113,$X113)=1,"1",VALUE(SUBSTITUTE(INDEX(Y:Y,_xlfn.XMATCH($X113,$X$1:$X112,0,-1)),"A",""))+INDEX(Z:Z,_xlfn.XMATCH($X113,$X$1:$X112,0,-1))+1)</f>
        <v>8</v>
      </c>
      <c r="Z113" s="43" cm="1">
        <f t="array" ref="Z113">SUM(IF(ISNUMBER(FIND("TmAi",$BE$1:$AAD$1)),IF(IFERROR(ISODD(SUBSTITUTE($BE113:$AAD113,"A","")),FALSE),IF(ISODD(SUBSTITUTE($BE113:$AAD113,"A","")),1,0),0)))</f>
        <v>0</v>
      </c>
      <c r="AA113" t="str">
        <f t="shared" si="125"/>
        <v>15B</v>
      </c>
      <c r="AB113" t="str">
        <f t="shared" si="126"/>
        <v>16B</v>
      </c>
      <c r="AP113" t="s">
        <v>137</v>
      </c>
      <c r="AS113" t="s">
        <v>396</v>
      </c>
      <c r="JZ113" s="27" t="str">
        <f t="shared" si="113"/>
        <v>XT55</v>
      </c>
      <c r="KC113" t="str">
        <f t="shared" si="114"/>
        <v>F0-AI9-15B</v>
      </c>
      <c r="KD113" t="str">
        <f t="shared" si="115"/>
        <v>F0-AI9-16B</v>
      </c>
      <c r="KI113" cm="1">
        <f t="array" ref="KI113">IF(COUNTIFS($U$2:$U113,$U113)=1,1,INDEX(KI:KI,_xlfn.XMATCH(U113,U$1:U112,0,-1))+COUNT(KI112:KM112))</f>
        <v>180</v>
      </c>
      <c r="KJ113">
        <f t="shared" si="127"/>
        <v>181</v>
      </c>
      <c r="KK113">
        <f t="shared" si="127"/>
        <v>182</v>
      </c>
      <c r="KN113">
        <v>1</v>
      </c>
      <c r="KO113" s="16">
        <v>2</v>
      </c>
      <c r="KS113" s="16"/>
    </row>
    <row r="114" spans="1:305" x14ac:dyDescent="0.25">
      <c r="A114" t="s">
        <v>677</v>
      </c>
      <c r="B114" t="s">
        <v>676</v>
      </c>
      <c r="C114" t="s">
        <v>498</v>
      </c>
      <c r="P114" t="s">
        <v>482</v>
      </c>
      <c r="T114" s="14" t="s">
        <v>554</v>
      </c>
      <c r="U114">
        <v>55</v>
      </c>
      <c r="V114" t="s">
        <v>1484</v>
      </c>
      <c r="X114" t="str">
        <f>IF(COUNTIF(X$1:X113,X113)&gt;7,REPLACE(X113,LEN(X113),1,VALUE(RIGHT(X113,1))+1),X113)</f>
        <v>A3.10</v>
      </c>
      <c r="Y114" s="43" t="str" cm="1">
        <f t="array" ref="Y114">IF(COUNTIFS($X$2:$X114,$X114)=1,"1",VALUE(SUBSTITUTE(INDEX(Y:Y,_xlfn.XMATCH($X114,$X$1:$X113,0,-1)),"A",""))+INDEX(Z:Z,_xlfn.XMATCH($X114,$X$1:$X113,0,-1))+1)</f>
        <v>1</v>
      </c>
      <c r="Z114" s="43" cm="1">
        <f t="array" ref="Z114">SUM(IF(ISNUMBER(FIND("TmAi",$BE$1:$AAD$1)),IF(IFERROR(ISODD(SUBSTITUTE($BE114:$AAD114,"A","")),FALSE),IF(ISODD(SUBSTITUTE($BE114:$AAD114,"A","")),1,0),0)))</f>
        <v>0</v>
      </c>
      <c r="AA114" t="str">
        <f t="shared" si="125"/>
        <v>1B</v>
      </c>
      <c r="AB114" t="str">
        <f t="shared" si="126"/>
        <v>2B</v>
      </c>
      <c r="AP114" t="s">
        <v>137</v>
      </c>
      <c r="AS114" t="s">
        <v>396</v>
      </c>
      <c r="JZ114" s="27" t="str">
        <f t="shared" si="113"/>
        <v>XT55</v>
      </c>
      <c r="KC114" t="str">
        <f t="shared" si="114"/>
        <v>F0-AI10-1B</v>
      </c>
      <c r="KD114" t="str">
        <f t="shared" si="115"/>
        <v>F0-AI10-2B</v>
      </c>
      <c r="KI114" cm="1">
        <f t="array" ref="KI114">IF(COUNTIFS($U$2:$U114,$U114)=1,1,INDEX(KI:KI,_xlfn.XMATCH(U114,U$1:U113,0,-1))+COUNT(KI113:KM113))</f>
        <v>183</v>
      </c>
      <c r="KJ114">
        <f t="shared" si="127"/>
        <v>184</v>
      </c>
      <c r="KK114">
        <f t="shared" si="127"/>
        <v>185</v>
      </c>
      <c r="KN114">
        <v>1</v>
      </c>
      <c r="KO114" s="16">
        <v>2</v>
      </c>
      <c r="KS114" s="16"/>
    </row>
    <row r="115" spans="1:305" x14ac:dyDescent="0.25">
      <c r="A115" t="s">
        <v>679</v>
      </c>
      <c r="B115" t="s">
        <v>678</v>
      </c>
      <c r="C115" t="s">
        <v>498</v>
      </c>
      <c r="P115" t="s">
        <v>482</v>
      </c>
      <c r="T115" s="14" t="s">
        <v>554</v>
      </c>
      <c r="U115">
        <v>55</v>
      </c>
      <c r="V115" t="s">
        <v>1485</v>
      </c>
      <c r="X115" t="str">
        <f>IF(COUNTIF(X$1:X114,X114)&gt;7,REPLACE(X114,LEN(X114),1,VALUE(RIGHT(X114,1))+1),X114)</f>
        <v>A3.10</v>
      </c>
      <c r="Y115" s="43" cm="1">
        <f t="array" ref="Y115">IF(COUNTIFS($X$2:$X115,$X115)=1,"1",VALUE(SUBSTITUTE(INDEX(Y:Y,_xlfn.XMATCH($X115,$X$1:$X114,0,-1)),"A",""))+INDEX(Z:Z,_xlfn.XMATCH($X115,$X$1:$X114,0,-1))+1)</f>
        <v>2</v>
      </c>
      <c r="Z115" s="43" cm="1">
        <f t="array" ref="Z115">SUM(IF(ISNUMBER(FIND("TmAi",$BE$1:$AAD$1)),IF(IFERROR(ISODD(SUBSTITUTE($BE115:$AAD115,"A","")),FALSE),IF(ISODD(SUBSTITUTE($BE115:$AAD115,"A","")),1,0),0)))</f>
        <v>0</v>
      </c>
      <c r="AA115" t="str">
        <f t="shared" si="125"/>
        <v>3B</v>
      </c>
      <c r="AB115" t="str">
        <f t="shared" si="126"/>
        <v>4B</v>
      </c>
      <c r="AP115" t="s">
        <v>137</v>
      </c>
      <c r="AS115" t="s">
        <v>396</v>
      </c>
      <c r="JZ115" s="27" t="str">
        <f t="shared" si="113"/>
        <v>XT55</v>
      </c>
      <c r="KC115" t="str">
        <f t="shared" si="114"/>
        <v>F0-AI10-3B</v>
      </c>
      <c r="KD115" t="str">
        <f t="shared" si="115"/>
        <v>F0-AI10-4B</v>
      </c>
      <c r="KI115" cm="1">
        <f t="array" ref="KI115">IF(COUNTIFS($U$2:$U115,$U115)=1,1,INDEX(KI:KI,_xlfn.XMATCH(U115,U$1:U114,0,-1))+COUNT(KI114:KM114))</f>
        <v>186</v>
      </c>
      <c r="KJ115">
        <f t="shared" si="127"/>
        <v>187</v>
      </c>
      <c r="KK115">
        <f t="shared" si="127"/>
        <v>188</v>
      </c>
      <c r="KN115">
        <v>1</v>
      </c>
      <c r="KO115" s="16">
        <v>2</v>
      </c>
      <c r="KS115" s="16"/>
    </row>
    <row r="116" spans="1:305" x14ac:dyDescent="0.25">
      <c r="A116" t="s">
        <v>681</v>
      </c>
      <c r="B116" s="33" t="s">
        <v>680</v>
      </c>
      <c r="C116" t="s">
        <v>492</v>
      </c>
      <c r="P116" t="s">
        <v>482</v>
      </c>
      <c r="T116" s="14" t="s">
        <v>554</v>
      </c>
      <c r="U116">
        <v>55</v>
      </c>
      <c r="V116" t="s">
        <v>1486</v>
      </c>
      <c r="X116" t="str">
        <f>IF(COUNTIF(X$1:X115,X115)&gt;7,REPLACE(X115,LEN(X115),1,VALUE(RIGHT(X115,1))+1),X115)</f>
        <v>A3.10</v>
      </c>
      <c r="Y116" s="43" cm="1">
        <f t="array" ref="Y116">IF(COUNTIFS($X$2:$X116,$X116)=1,"1",VALUE(SUBSTITUTE(INDEX(Y:Y,_xlfn.XMATCH($X116,$X$1:$X115,0,-1)),"A",""))+INDEX(Z:Z,_xlfn.XMATCH($X116,$X$1:$X115,0,-1))+1)</f>
        <v>3</v>
      </c>
      <c r="Z116" s="43" cm="1">
        <f t="array" ref="Z116">SUM(IF(ISNUMBER(FIND("TmAi",$BE$1:$AAD$1)),IF(IFERROR(ISODD(SUBSTITUTE($BE116:$AAD116,"A","")),FALSE),IF(ISODD(SUBSTITUTE($BE116:$AAD116,"A","")),1,0),0)))</f>
        <v>0</v>
      </c>
      <c r="AA116" t="str">
        <f t="shared" si="125"/>
        <v>5B</v>
      </c>
      <c r="AB116" t="str">
        <f t="shared" si="126"/>
        <v>6B</v>
      </c>
      <c r="AP116" t="s">
        <v>137</v>
      </c>
      <c r="AS116" t="s">
        <v>396</v>
      </c>
      <c r="JZ116" s="27" t="str">
        <f t="shared" si="113"/>
        <v>XT55</v>
      </c>
      <c r="KC116" t="str">
        <f t="shared" si="114"/>
        <v>F0-AI10-5B</v>
      </c>
      <c r="KD116" t="str">
        <f t="shared" si="115"/>
        <v>F0-AI10-6B</v>
      </c>
      <c r="KI116" cm="1">
        <f t="array" ref="KI116">IF(COUNTIFS($U$2:$U116,$U116)=1,1,INDEX(KI:KI,_xlfn.XMATCH(U116,U$1:U115,0,-1))+COUNT(KI115:KM115))</f>
        <v>189</v>
      </c>
      <c r="KJ116">
        <f t="shared" si="127"/>
        <v>190</v>
      </c>
      <c r="KK116">
        <f t="shared" si="127"/>
        <v>191</v>
      </c>
      <c r="KN116">
        <v>1</v>
      </c>
      <c r="KO116" s="16">
        <v>2</v>
      </c>
      <c r="KS116" s="16"/>
    </row>
    <row r="117" spans="1:305" x14ac:dyDescent="0.25">
      <c r="A117" t="s">
        <v>692</v>
      </c>
      <c r="B117" t="s">
        <v>691</v>
      </c>
      <c r="C117" t="s">
        <v>492</v>
      </c>
      <c r="P117" t="s">
        <v>482</v>
      </c>
      <c r="T117" s="14" t="s">
        <v>554</v>
      </c>
      <c r="U117">
        <v>55</v>
      </c>
      <c r="V117" t="s">
        <v>1487</v>
      </c>
      <c r="X117" t="str">
        <f>IF(COUNTIF(X$1:X116,X116)&gt;7,REPLACE(X116,LEN(X116),1,VALUE(RIGHT(X116,1))+1),X116)</f>
        <v>A3.10</v>
      </c>
      <c r="Y117" s="43" cm="1">
        <f t="array" ref="Y117">IF(COUNTIFS($X$2:$X117,$X117)=1,"1",VALUE(SUBSTITUTE(INDEX(Y:Y,_xlfn.XMATCH($X117,$X$1:$X116,0,-1)),"A",""))+INDEX(Z:Z,_xlfn.XMATCH($X117,$X$1:$X116,0,-1))+1)</f>
        <v>4</v>
      </c>
      <c r="Z117" s="43" cm="1">
        <f t="array" ref="Z117">SUM(IF(ISNUMBER(FIND("TmAi",$BE$1:$AAD$1)),IF(IFERROR(ISODD(SUBSTITUTE($BE117:$AAD117,"A","")),FALSE),IF(ISODD(SUBSTITUTE($BE117:$AAD117,"A","")),1,0),0)))</f>
        <v>0</v>
      </c>
      <c r="AA117" t="str">
        <f t="shared" si="125"/>
        <v>7B</v>
      </c>
      <c r="AB117" t="str">
        <f t="shared" si="126"/>
        <v>8B</v>
      </c>
      <c r="AP117" t="s">
        <v>137</v>
      </c>
      <c r="AS117" t="s">
        <v>396</v>
      </c>
      <c r="JZ117" s="27" t="str">
        <f t="shared" si="113"/>
        <v>XT55</v>
      </c>
      <c r="KC117" t="str">
        <f t="shared" si="114"/>
        <v>F0-AI10-7B</v>
      </c>
      <c r="KD117" t="str">
        <f t="shared" si="115"/>
        <v>F0-AI10-8B</v>
      </c>
      <c r="KI117" cm="1">
        <f t="array" ref="KI117">IF(COUNTIFS($U$2:$U117,$U117)=1,1,INDEX(KI:KI,_xlfn.XMATCH(U117,U$1:U116,0,-1))+COUNT(KI116:KM116))</f>
        <v>192</v>
      </c>
      <c r="KJ117">
        <f t="shared" si="127"/>
        <v>193</v>
      </c>
      <c r="KK117">
        <f t="shared" si="127"/>
        <v>194</v>
      </c>
      <c r="KN117">
        <v>1</v>
      </c>
      <c r="KO117" s="16">
        <v>2</v>
      </c>
      <c r="KS117" s="16"/>
    </row>
    <row r="118" spans="1:305" x14ac:dyDescent="0.25">
      <c r="A118" t="s">
        <v>694</v>
      </c>
      <c r="B118" t="s">
        <v>693</v>
      </c>
      <c r="C118" t="s">
        <v>498</v>
      </c>
      <c r="P118" t="s">
        <v>482</v>
      </c>
      <c r="T118" s="14" t="s">
        <v>554</v>
      </c>
      <c r="U118">
        <v>55</v>
      </c>
      <c r="V118" t="s">
        <v>1488</v>
      </c>
      <c r="X118" t="str">
        <f>IF(COUNTIF(X$1:X117,X117)&gt;7,REPLACE(X117,LEN(X117),1,VALUE(RIGHT(X117,1))+1),X117)</f>
        <v>A3.10</v>
      </c>
      <c r="Y118" s="43" cm="1">
        <f t="array" ref="Y118">IF(COUNTIFS($X$2:$X118,$X118)=1,"1",VALUE(SUBSTITUTE(INDEX(Y:Y,_xlfn.XMATCH($X118,$X$1:$X117,0,-1)),"A",""))+INDEX(Z:Z,_xlfn.XMATCH($X118,$X$1:$X117,0,-1))+1)</f>
        <v>5</v>
      </c>
      <c r="Z118" s="43" cm="1">
        <f t="array" ref="Z118">SUM(IF(ISNUMBER(FIND("TmAi",$BE$1:$AAD$1)),IF(IFERROR(ISODD(SUBSTITUTE($BE118:$AAD118,"A","")),FALSE),IF(ISODD(SUBSTITUTE($BE118:$AAD118,"A","")),1,0),0)))</f>
        <v>0</v>
      </c>
      <c r="AA118" t="str">
        <f t="shared" si="125"/>
        <v>9B</v>
      </c>
      <c r="AB118" t="str">
        <f t="shared" si="126"/>
        <v>10B</v>
      </c>
      <c r="AP118" t="s">
        <v>137</v>
      </c>
      <c r="AS118" t="s">
        <v>396</v>
      </c>
      <c r="JZ118" s="27" t="str">
        <f t="shared" si="113"/>
        <v>XT55</v>
      </c>
      <c r="KC118" t="str">
        <f t="shared" si="114"/>
        <v>F0-AI10-9B</v>
      </c>
      <c r="KD118" t="str">
        <f t="shared" si="115"/>
        <v>F0-AI10-10B</v>
      </c>
      <c r="KI118" cm="1">
        <f t="array" ref="KI118">IF(COUNTIFS($U$2:$U118,$U118)=1,1,INDEX(KI:KI,_xlfn.XMATCH(U118,U$1:U117,0,-1))+COUNT(KI117:KM117))</f>
        <v>195</v>
      </c>
      <c r="KJ118">
        <f t="shared" si="127"/>
        <v>196</v>
      </c>
      <c r="KK118">
        <f t="shared" si="127"/>
        <v>197</v>
      </c>
      <c r="KN118">
        <v>1</v>
      </c>
      <c r="KO118" s="16">
        <v>2</v>
      </c>
      <c r="KS118" s="16"/>
    </row>
    <row r="119" spans="1:305" x14ac:dyDescent="0.25">
      <c r="A119" t="s">
        <v>696</v>
      </c>
      <c r="B119" s="33" t="s">
        <v>695</v>
      </c>
      <c r="C119" t="s">
        <v>492</v>
      </c>
      <c r="P119" t="s">
        <v>482</v>
      </c>
      <c r="T119" s="14" t="s">
        <v>554</v>
      </c>
      <c r="U119">
        <v>55</v>
      </c>
      <c r="V119" t="s">
        <v>1489</v>
      </c>
      <c r="X119" t="str">
        <f>IF(COUNTIF(X$1:X118,X118)&gt;7,REPLACE(X118,LEN(X118),1,VALUE(RIGHT(X118,1))+1),X118)</f>
        <v>A3.10</v>
      </c>
      <c r="Y119" s="43" cm="1">
        <f t="array" ref="Y119">IF(COUNTIFS($X$2:$X119,$X119)=1,"1",VALUE(SUBSTITUTE(INDEX(Y:Y,_xlfn.XMATCH($X119,$X$1:$X118,0,-1)),"A",""))+INDEX(Z:Z,_xlfn.XMATCH($X119,$X$1:$X118,0,-1))+1)</f>
        <v>6</v>
      </c>
      <c r="Z119" s="43" cm="1">
        <f t="array" ref="Z119">SUM(IF(ISNUMBER(FIND("TmAi",$BE$1:$AAD$1)),IF(IFERROR(ISODD(SUBSTITUTE($BE119:$AAD119,"A","")),FALSE),IF(ISODD(SUBSTITUTE($BE119:$AAD119,"A","")),1,0),0)))</f>
        <v>0</v>
      </c>
      <c r="AA119" t="str">
        <f t="shared" si="125"/>
        <v>11B</v>
      </c>
      <c r="AB119" t="str">
        <f t="shared" si="126"/>
        <v>12B</v>
      </c>
      <c r="AP119" t="s">
        <v>137</v>
      </c>
      <c r="AS119" t="s">
        <v>396</v>
      </c>
      <c r="JZ119" s="27" t="str">
        <f t="shared" si="113"/>
        <v>XT55</v>
      </c>
      <c r="KC119" t="str">
        <f t="shared" si="114"/>
        <v>F0-AI10-11B</v>
      </c>
      <c r="KD119" t="str">
        <f t="shared" si="115"/>
        <v>F0-AI10-12B</v>
      </c>
      <c r="KI119" cm="1">
        <f t="array" ref="KI119">IF(COUNTIFS($U$2:$U119,$U119)=1,1,INDEX(KI:KI,_xlfn.XMATCH(U119,U$1:U118,0,-1))+COUNT(KI118:KM118))</f>
        <v>198</v>
      </c>
      <c r="KJ119">
        <f t="shared" si="127"/>
        <v>199</v>
      </c>
      <c r="KK119">
        <f t="shared" si="127"/>
        <v>200</v>
      </c>
      <c r="KN119">
        <v>1</v>
      </c>
      <c r="KO119" s="16">
        <v>2</v>
      </c>
      <c r="KS119" s="16"/>
    </row>
    <row r="120" spans="1:305" x14ac:dyDescent="0.25">
      <c r="A120" t="s">
        <v>697</v>
      </c>
      <c r="B120" t="s">
        <v>718</v>
      </c>
      <c r="C120" t="s">
        <v>492</v>
      </c>
      <c r="P120" t="s">
        <v>482</v>
      </c>
      <c r="T120" s="14" t="s">
        <v>554</v>
      </c>
      <c r="U120">
        <v>55</v>
      </c>
      <c r="V120" t="s">
        <v>1490</v>
      </c>
      <c r="X120" t="str">
        <f>IF(COUNTIF(X$1:X119,X119)&gt;7,REPLACE(X119,LEN(X119),1,VALUE(RIGHT(X119,1))+1),X119)</f>
        <v>A3.10</v>
      </c>
      <c r="Y120" s="43" cm="1">
        <f t="array" ref="Y120">IF(COUNTIFS($X$2:$X120,$X120)=1,"1",VALUE(SUBSTITUTE(INDEX(Y:Y,_xlfn.XMATCH($X120,$X$1:$X119,0,-1)),"A",""))+INDEX(Z:Z,_xlfn.XMATCH($X120,$X$1:$X119,0,-1))+1)</f>
        <v>7</v>
      </c>
      <c r="Z120" s="43" cm="1">
        <f t="array" ref="Z120">SUM(IF(ISNUMBER(FIND("TmAi",$BE$1:$AAD$1)),IF(IFERROR(ISODD(SUBSTITUTE($BE120:$AAD120,"A","")),FALSE),IF(ISODD(SUBSTITUTE($BE120:$AAD120,"A","")),1,0),0)))</f>
        <v>0</v>
      </c>
      <c r="AA120" t="str">
        <f t="shared" si="125"/>
        <v>13B</v>
      </c>
      <c r="AB120" t="str">
        <f t="shared" si="126"/>
        <v>14B</v>
      </c>
      <c r="AP120" t="s">
        <v>137</v>
      </c>
      <c r="AS120" t="s">
        <v>396</v>
      </c>
      <c r="JZ120" s="27" t="str">
        <f t="shared" ref="JZ120:JZ168" si="128">CONCATENATE("XT",U120)</f>
        <v>XT55</v>
      </c>
      <c r="KC120" t="str">
        <f t="shared" ref="KC120:KC168" si="129">CONCATENATE(T120,"-AI",REPLACE($X120,1,3,""),"-",AA120)</f>
        <v>F0-AI10-13B</v>
      </c>
      <c r="KD120" t="str">
        <f t="shared" ref="KD120:KD168" si="130">CONCATENATE(T120,"-AI",REPLACE($X120,1,3,""),"-",AB120)</f>
        <v>F0-AI10-14B</v>
      </c>
      <c r="KI120" cm="1">
        <f t="array" ref="KI120">IF(COUNTIFS($U$2:$U120,$U120)=1,1,INDEX(KI:KI,_xlfn.XMATCH(U120,U$1:U119,0,-1))+COUNT(KI119:KM119))</f>
        <v>201</v>
      </c>
      <c r="KJ120">
        <f t="shared" si="127"/>
        <v>202</v>
      </c>
      <c r="KK120">
        <f t="shared" si="127"/>
        <v>203</v>
      </c>
      <c r="KN120">
        <v>1</v>
      </c>
      <c r="KO120" s="16">
        <v>2</v>
      </c>
      <c r="KS120" s="16"/>
    </row>
    <row r="121" spans="1:305" x14ac:dyDescent="0.25">
      <c r="A121" t="s">
        <v>698</v>
      </c>
      <c r="B121" t="s">
        <v>719</v>
      </c>
      <c r="C121" t="s">
        <v>498</v>
      </c>
      <c r="P121" t="s">
        <v>482</v>
      </c>
      <c r="T121" s="14" t="s">
        <v>554</v>
      </c>
      <c r="U121">
        <v>55</v>
      </c>
      <c r="V121" t="s">
        <v>1491</v>
      </c>
      <c r="X121" s="33" t="str">
        <f>IF(COUNTIF(X$1:X120,X120)&gt;7,REPLACE(X120,LEN(X120),1,VALUE(RIGHT(X120,1))+1),X120)</f>
        <v>A3.10</v>
      </c>
      <c r="Y121" s="45" cm="1">
        <f t="array" ref="Y121">IF(COUNTIFS($X$2:$X121,$X121)=1,"1",VALUE(SUBSTITUTE(INDEX(Y:Y,_xlfn.XMATCH($X121,$X$1:$X120,0,-1)),"A",""))+INDEX(Z:Z,_xlfn.XMATCH($X121,$X$1:$X120,0,-1))+1)</f>
        <v>8</v>
      </c>
      <c r="Z121" s="43" cm="1">
        <f t="array" ref="Z121">SUM(IF(ISNUMBER(FIND("TmAi",$BE$1:$AAD$1)),IF(IFERROR(ISODD(SUBSTITUTE($BE121:$AAD121,"A","")),FALSE),IF(ISODD(SUBSTITUTE($BE121:$AAD121,"A","")),1,0),0)))</f>
        <v>0</v>
      </c>
      <c r="AA121" t="str">
        <f t="shared" si="125"/>
        <v>15B</v>
      </c>
      <c r="AB121" t="str">
        <f t="shared" si="126"/>
        <v>16B</v>
      </c>
      <c r="AP121" t="s">
        <v>137</v>
      </c>
      <c r="AS121" t="s">
        <v>396</v>
      </c>
      <c r="JZ121" s="27" t="str">
        <f t="shared" si="128"/>
        <v>XT55</v>
      </c>
      <c r="KC121" t="str">
        <f t="shared" si="129"/>
        <v>F0-AI10-15B</v>
      </c>
      <c r="KD121" t="str">
        <f t="shared" si="130"/>
        <v>F0-AI10-16B</v>
      </c>
      <c r="KI121" cm="1">
        <f t="array" ref="KI121">IF(COUNTIFS($U$2:$U121,$U121)=1,1,INDEX(KI:KI,_xlfn.XMATCH(U121,U$1:U120,0,-1))+COUNT(KI120:KM120))</f>
        <v>204</v>
      </c>
      <c r="KJ121">
        <f t="shared" si="127"/>
        <v>205</v>
      </c>
      <c r="KK121">
        <f t="shared" si="127"/>
        <v>206</v>
      </c>
      <c r="KN121">
        <v>1</v>
      </c>
      <c r="KO121" s="16">
        <v>2</v>
      </c>
      <c r="KS121" s="16"/>
    </row>
    <row r="122" spans="1:305" x14ac:dyDescent="0.25">
      <c r="A122" t="s">
        <v>699</v>
      </c>
      <c r="B122" s="33" t="s">
        <v>720</v>
      </c>
      <c r="C122" t="s">
        <v>492</v>
      </c>
      <c r="P122" t="s">
        <v>482</v>
      </c>
      <c r="T122" s="14" t="s">
        <v>554</v>
      </c>
      <c r="U122">
        <v>55</v>
      </c>
      <c r="V122" t="s">
        <v>1492</v>
      </c>
      <c r="X122" t="str">
        <f>IF(COUNTIF(X$1:X121,X121)&gt;7,REPLACE(X121,LEN(X121),1,VALUE(RIGHT(X121,1))+1),X121)</f>
        <v>A3.11</v>
      </c>
      <c r="Y122" s="43" t="str" cm="1">
        <f t="array" ref="Y122">IF(COUNTIFS($X$2:$X122,$X122)=1,"1",VALUE(SUBSTITUTE(INDEX(Y:Y,_xlfn.XMATCH($X122,$X$1:$X121,0,-1)),"A",""))+INDEX(Z:Z,_xlfn.XMATCH($X122,$X$1:$X121,0,-1))+1)</f>
        <v>1</v>
      </c>
      <c r="Z122" s="43" cm="1">
        <f t="array" ref="Z122">SUM(IF(ISNUMBER(FIND("TmAi",$BE$1:$AAD$1)),IF(IFERROR(ISODD(SUBSTITUTE($BE122:$AAD122,"A","")),FALSE),IF(ISODD(SUBSTITUTE($BE122:$AAD122,"A","")),1,0),0)))</f>
        <v>0</v>
      </c>
      <c r="AA122" t="str">
        <f t="shared" si="125"/>
        <v>1B</v>
      </c>
      <c r="AB122" t="str">
        <f t="shared" si="126"/>
        <v>2B</v>
      </c>
      <c r="AP122" t="s">
        <v>137</v>
      </c>
      <c r="AS122" t="s">
        <v>396</v>
      </c>
      <c r="JZ122" s="27" t="str">
        <f t="shared" si="128"/>
        <v>XT55</v>
      </c>
      <c r="KC122" t="str">
        <f t="shared" si="129"/>
        <v>F0-AI11-1B</v>
      </c>
      <c r="KD122" t="str">
        <f t="shared" si="130"/>
        <v>F0-AI11-2B</v>
      </c>
      <c r="KI122" cm="1">
        <f t="array" ref="KI122">IF(COUNTIFS($U$2:$U122,$U122)=1,1,INDEX(KI:KI,_xlfn.XMATCH(U122,U$1:U121,0,-1))+COUNT(KI121:KM121))</f>
        <v>207</v>
      </c>
      <c r="KJ122">
        <f t="shared" si="127"/>
        <v>208</v>
      </c>
      <c r="KK122">
        <f t="shared" si="127"/>
        <v>209</v>
      </c>
      <c r="KN122">
        <v>1</v>
      </c>
      <c r="KO122" s="16">
        <v>2</v>
      </c>
      <c r="KS122" s="16"/>
    </row>
    <row r="123" spans="1:305" x14ac:dyDescent="0.25">
      <c r="A123" t="s">
        <v>700</v>
      </c>
      <c r="B123" t="s">
        <v>721</v>
      </c>
      <c r="C123" t="s">
        <v>492</v>
      </c>
      <c r="P123" t="s">
        <v>482</v>
      </c>
      <c r="T123" s="14" t="s">
        <v>554</v>
      </c>
      <c r="U123">
        <v>55</v>
      </c>
      <c r="V123" t="s">
        <v>1493</v>
      </c>
      <c r="X123" t="str">
        <f>IF(COUNTIF(X$1:X122,X122)&gt;7,REPLACE(X122,LEN(X122),1,VALUE(RIGHT(X122,1))+1),X122)</f>
        <v>A3.11</v>
      </c>
      <c r="Y123" s="43" cm="1">
        <f t="array" ref="Y123">IF(COUNTIFS($X$2:$X123,$X123)=1,"1",VALUE(SUBSTITUTE(INDEX(Y:Y,_xlfn.XMATCH($X123,$X$1:$X122,0,-1)),"A",""))+INDEX(Z:Z,_xlfn.XMATCH($X123,$X$1:$X122,0,-1))+1)</f>
        <v>2</v>
      </c>
      <c r="Z123" s="43" cm="1">
        <f t="array" ref="Z123">SUM(IF(ISNUMBER(FIND("TmAi",$BE$1:$AAD$1)),IF(IFERROR(ISODD(SUBSTITUTE($BE123:$AAD123,"A","")),FALSE),IF(ISODD(SUBSTITUTE($BE123:$AAD123,"A","")),1,0),0)))</f>
        <v>0</v>
      </c>
      <c r="AA123" t="str">
        <f t="shared" si="125"/>
        <v>3B</v>
      </c>
      <c r="AB123" t="str">
        <f t="shared" si="126"/>
        <v>4B</v>
      </c>
      <c r="AP123" t="s">
        <v>137</v>
      </c>
      <c r="AS123" t="s">
        <v>396</v>
      </c>
      <c r="JZ123" s="27" t="str">
        <f t="shared" si="128"/>
        <v>XT55</v>
      </c>
      <c r="KC123" t="str">
        <f t="shared" si="129"/>
        <v>F0-AI11-3B</v>
      </c>
      <c r="KD123" t="str">
        <f t="shared" si="130"/>
        <v>F0-AI11-4B</v>
      </c>
      <c r="KI123" cm="1">
        <f t="array" ref="KI123">IF(COUNTIFS($U$2:$U123,$U123)=1,1,INDEX(KI:KI,_xlfn.XMATCH(U123,U$1:U122,0,-1))+COUNT(KI122:KM122))</f>
        <v>210</v>
      </c>
      <c r="KJ123">
        <f t="shared" ref="KJ123:KK161" si="131">KI123+1</f>
        <v>211</v>
      </c>
      <c r="KK123">
        <f t="shared" si="131"/>
        <v>212</v>
      </c>
      <c r="KN123">
        <v>1</v>
      </c>
      <c r="KO123" s="16">
        <v>2</v>
      </c>
      <c r="KS123" s="16"/>
    </row>
    <row r="124" spans="1:305" x14ac:dyDescent="0.25">
      <c r="A124" t="s">
        <v>701</v>
      </c>
      <c r="B124" t="s">
        <v>722</v>
      </c>
      <c r="C124" t="s">
        <v>498</v>
      </c>
      <c r="P124" t="s">
        <v>482</v>
      </c>
      <c r="T124" s="14" t="s">
        <v>554</v>
      </c>
      <c r="U124">
        <v>55</v>
      </c>
      <c r="V124" t="s">
        <v>1494</v>
      </c>
      <c r="X124" t="str">
        <f>IF(COUNTIF(X$1:X123,X123)&gt;7,REPLACE(X123,LEN(X123),1,VALUE(RIGHT(X123,1))+1),X123)</f>
        <v>A3.11</v>
      </c>
      <c r="Y124" s="43" cm="1">
        <f t="array" ref="Y124">IF(COUNTIFS($X$2:$X124,$X124)=1,"1",VALUE(SUBSTITUTE(INDEX(Y:Y,_xlfn.XMATCH($X124,$X$1:$X123,0,-1)),"A",""))+INDEX(Z:Z,_xlfn.XMATCH($X124,$X$1:$X123,0,-1))+1)</f>
        <v>3</v>
      </c>
      <c r="Z124" s="43" cm="1">
        <f t="array" ref="Z124">SUM(IF(ISNUMBER(FIND("TmAi",$BE$1:$AAD$1)),IF(IFERROR(ISODD(SUBSTITUTE($BE124:$AAD124,"A","")),FALSE),IF(ISODD(SUBSTITUTE($BE124:$AAD124,"A","")),1,0),0)))</f>
        <v>0</v>
      </c>
      <c r="AA124" t="str">
        <f t="shared" si="125"/>
        <v>5B</v>
      </c>
      <c r="AB124" t="str">
        <f t="shared" si="126"/>
        <v>6B</v>
      </c>
      <c r="AP124" t="s">
        <v>137</v>
      </c>
      <c r="AS124" t="s">
        <v>396</v>
      </c>
      <c r="JZ124" s="27" t="str">
        <f t="shared" si="128"/>
        <v>XT55</v>
      </c>
      <c r="KC124" t="str">
        <f t="shared" si="129"/>
        <v>F0-AI11-5B</v>
      </c>
      <c r="KD124" t="str">
        <f t="shared" si="130"/>
        <v>F0-AI11-6B</v>
      </c>
      <c r="KI124" cm="1">
        <f t="array" ref="KI124">IF(COUNTIFS($U$2:$U124,$U124)=1,1,INDEX(KI:KI,_xlfn.XMATCH(U124,U$1:U123,0,-1))+COUNT(KI123:KM123))</f>
        <v>213</v>
      </c>
      <c r="KJ124">
        <f t="shared" si="131"/>
        <v>214</v>
      </c>
      <c r="KK124">
        <f t="shared" si="131"/>
        <v>215</v>
      </c>
      <c r="KN124">
        <v>1</v>
      </c>
      <c r="KO124" s="16">
        <v>2</v>
      </c>
      <c r="KS124" s="16"/>
    </row>
    <row r="125" spans="1:305" x14ac:dyDescent="0.25">
      <c r="A125" t="s">
        <v>702</v>
      </c>
      <c r="B125" s="33" t="s">
        <v>723</v>
      </c>
      <c r="C125" t="s">
        <v>492</v>
      </c>
      <c r="P125" t="s">
        <v>482</v>
      </c>
      <c r="T125" s="14" t="s">
        <v>554</v>
      </c>
      <c r="U125">
        <v>55</v>
      </c>
      <c r="V125" t="s">
        <v>1495</v>
      </c>
      <c r="X125" t="str">
        <f>IF(COUNTIF(X$1:X124,X124)&gt;7,REPLACE(X124,LEN(X124),1,VALUE(RIGHT(X124,1))+1),X124)</f>
        <v>A3.11</v>
      </c>
      <c r="Y125" s="43" cm="1">
        <f t="array" ref="Y125">IF(COUNTIFS($X$2:$X125,$X125)=1,"1",VALUE(SUBSTITUTE(INDEX(Y:Y,_xlfn.XMATCH($X125,$X$1:$X124,0,-1)),"A",""))+INDEX(Z:Z,_xlfn.XMATCH($X125,$X$1:$X124,0,-1))+1)</f>
        <v>4</v>
      </c>
      <c r="Z125" s="43" cm="1">
        <f t="array" ref="Z125">SUM(IF(ISNUMBER(FIND("TmAi",$BE$1:$AAD$1)),IF(IFERROR(ISODD(SUBSTITUTE($BE125:$AAD125,"A","")),FALSE),IF(ISODD(SUBSTITUTE($BE125:$AAD125,"A","")),1,0),0)))</f>
        <v>0</v>
      </c>
      <c r="AA125" t="str">
        <f t="shared" si="125"/>
        <v>7B</v>
      </c>
      <c r="AB125" t="str">
        <f t="shared" si="126"/>
        <v>8B</v>
      </c>
      <c r="AP125" t="s">
        <v>137</v>
      </c>
      <c r="AS125" t="s">
        <v>396</v>
      </c>
      <c r="JZ125" s="27" t="str">
        <f t="shared" si="128"/>
        <v>XT55</v>
      </c>
      <c r="KC125" t="str">
        <f t="shared" si="129"/>
        <v>F0-AI11-7B</v>
      </c>
      <c r="KD125" t="str">
        <f t="shared" si="130"/>
        <v>F0-AI11-8B</v>
      </c>
      <c r="KI125" cm="1">
        <f t="array" ref="KI125">IF(COUNTIFS($U$2:$U125,$U125)=1,1,INDEX(KI:KI,_xlfn.XMATCH(U125,U$1:U124,0,-1))+COUNT(KI124:KM124))</f>
        <v>216</v>
      </c>
      <c r="KJ125">
        <f t="shared" si="131"/>
        <v>217</v>
      </c>
      <c r="KK125">
        <f t="shared" si="131"/>
        <v>218</v>
      </c>
      <c r="KN125">
        <v>1</v>
      </c>
      <c r="KO125" s="16">
        <v>2</v>
      </c>
      <c r="KS125" s="16"/>
    </row>
    <row r="126" spans="1:305" x14ac:dyDescent="0.25">
      <c r="A126" t="s">
        <v>703</v>
      </c>
      <c r="B126" t="s">
        <v>724</v>
      </c>
      <c r="C126" t="s">
        <v>492</v>
      </c>
      <c r="P126" t="s">
        <v>482</v>
      </c>
      <c r="T126" s="14" t="s">
        <v>554</v>
      </c>
      <c r="U126">
        <v>55</v>
      </c>
      <c r="V126" t="s">
        <v>1496</v>
      </c>
      <c r="X126" t="str">
        <f>IF(COUNTIF(X$1:X125,X125)&gt;7,REPLACE(X125,LEN(X125),1,VALUE(RIGHT(X125,1))+1),X125)</f>
        <v>A3.11</v>
      </c>
      <c r="Y126" s="43" cm="1">
        <f t="array" ref="Y126">IF(COUNTIFS($X$2:$X126,$X126)=1,"1",VALUE(SUBSTITUTE(INDEX(Y:Y,_xlfn.XMATCH($X126,$X$1:$X125,0,-1)),"A",""))+INDEX(Z:Z,_xlfn.XMATCH($X126,$X$1:$X125,0,-1))+1)</f>
        <v>5</v>
      </c>
      <c r="Z126" s="43" cm="1">
        <f t="array" ref="Z126">SUM(IF(ISNUMBER(FIND("TmAi",$BE$1:$AAD$1)),IF(IFERROR(ISODD(SUBSTITUTE($BE126:$AAD126,"A","")),FALSE),IF(ISODD(SUBSTITUTE($BE126:$AAD126,"A","")),1,0),0)))</f>
        <v>0</v>
      </c>
      <c r="AA126" t="str">
        <f t="shared" si="125"/>
        <v>9B</v>
      </c>
      <c r="AB126" t="str">
        <f t="shared" si="126"/>
        <v>10B</v>
      </c>
      <c r="AP126" t="s">
        <v>137</v>
      </c>
      <c r="AS126" t="s">
        <v>396</v>
      </c>
      <c r="JZ126" s="27" t="str">
        <f t="shared" si="128"/>
        <v>XT55</v>
      </c>
      <c r="KC126" t="str">
        <f t="shared" si="129"/>
        <v>F0-AI11-9B</v>
      </c>
      <c r="KD126" t="str">
        <f t="shared" si="130"/>
        <v>F0-AI11-10B</v>
      </c>
      <c r="KI126" cm="1">
        <f t="array" ref="KI126">IF(COUNTIFS($U$2:$U126,$U126)=1,1,INDEX(KI:KI,_xlfn.XMATCH(U126,U$1:U125,0,-1))+COUNT(KI125:KM125))</f>
        <v>219</v>
      </c>
      <c r="KJ126">
        <f t="shared" si="131"/>
        <v>220</v>
      </c>
      <c r="KK126">
        <f t="shared" si="131"/>
        <v>221</v>
      </c>
      <c r="KN126">
        <v>1</v>
      </c>
      <c r="KO126" s="16">
        <v>2</v>
      </c>
      <c r="KS126" s="16"/>
    </row>
    <row r="127" spans="1:305" x14ac:dyDescent="0.25">
      <c r="A127" t="s">
        <v>704</v>
      </c>
      <c r="B127" t="s">
        <v>725</v>
      </c>
      <c r="C127" t="s">
        <v>498</v>
      </c>
      <c r="P127" t="s">
        <v>482</v>
      </c>
      <c r="T127" s="14" t="s">
        <v>554</v>
      </c>
      <c r="U127">
        <v>55</v>
      </c>
      <c r="V127" t="s">
        <v>1497</v>
      </c>
      <c r="X127" t="str">
        <f>IF(COUNTIF(X$1:X126,X126)&gt;7,REPLACE(X126,LEN(X126),1,VALUE(RIGHT(X126,1))+1),X126)</f>
        <v>A3.11</v>
      </c>
      <c r="Y127" s="43" cm="1">
        <f t="array" ref="Y127">IF(COUNTIFS($X$2:$X127,$X127)=1,"1",VALUE(SUBSTITUTE(INDEX(Y:Y,_xlfn.XMATCH($X127,$X$1:$X126,0,-1)),"A",""))+INDEX(Z:Z,_xlfn.XMATCH($X127,$X$1:$X126,0,-1))+1)</f>
        <v>6</v>
      </c>
      <c r="Z127" s="43" cm="1">
        <f t="array" ref="Z127">SUM(IF(ISNUMBER(FIND("TmAi",$BE$1:$AAD$1)),IF(IFERROR(ISODD(SUBSTITUTE($BE127:$AAD127,"A","")),FALSE),IF(ISODD(SUBSTITUTE($BE127:$AAD127,"A","")),1,0),0)))</f>
        <v>0</v>
      </c>
      <c r="AA127" t="str">
        <f t="shared" si="125"/>
        <v>11B</v>
      </c>
      <c r="AB127" t="str">
        <f t="shared" si="126"/>
        <v>12B</v>
      </c>
      <c r="AP127" t="s">
        <v>137</v>
      </c>
      <c r="AS127" t="s">
        <v>396</v>
      </c>
      <c r="JZ127" s="27" t="str">
        <f t="shared" si="128"/>
        <v>XT55</v>
      </c>
      <c r="KC127" t="str">
        <f t="shared" si="129"/>
        <v>F0-AI11-11B</v>
      </c>
      <c r="KD127" t="str">
        <f t="shared" si="130"/>
        <v>F0-AI11-12B</v>
      </c>
      <c r="KI127" cm="1">
        <f t="array" ref="KI127">IF(COUNTIFS($U$2:$U127,$U127)=1,1,INDEX(KI:KI,_xlfn.XMATCH(U127,U$1:U126,0,-1))+COUNT(KI126:KM126))</f>
        <v>222</v>
      </c>
      <c r="KJ127">
        <f t="shared" si="131"/>
        <v>223</v>
      </c>
      <c r="KK127">
        <f t="shared" si="131"/>
        <v>224</v>
      </c>
      <c r="KN127">
        <v>1</v>
      </c>
      <c r="KO127" s="16">
        <v>2</v>
      </c>
      <c r="KS127" s="16"/>
    </row>
    <row r="128" spans="1:305" x14ac:dyDescent="0.25">
      <c r="A128" t="s">
        <v>705</v>
      </c>
      <c r="B128" s="33" t="s">
        <v>726</v>
      </c>
      <c r="C128" t="s">
        <v>492</v>
      </c>
      <c r="P128" t="s">
        <v>482</v>
      </c>
      <c r="T128" s="14" t="s">
        <v>554</v>
      </c>
      <c r="U128">
        <v>55</v>
      </c>
      <c r="V128" t="s">
        <v>1498</v>
      </c>
      <c r="X128" t="str">
        <f>IF(COUNTIF(X$1:X127,X127)&gt;7,REPLACE(X127,LEN(X127),1,VALUE(RIGHT(X127,1))+1),X127)</f>
        <v>A3.11</v>
      </c>
      <c r="Y128" s="43" cm="1">
        <f t="array" ref="Y128">IF(COUNTIFS($X$2:$X128,$X128)=1,"1",VALUE(SUBSTITUTE(INDEX(Y:Y,_xlfn.XMATCH($X128,$X$1:$X127,0,-1)),"A",""))+INDEX(Z:Z,_xlfn.XMATCH($X128,$X$1:$X127,0,-1))+1)</f>
        <v>7</v>
      </c>
      <c r="Z128" s="43" cm="1">
        <f t="array" ref="Z128">SUM(IF(ISNUMBER(FIND("TmAi",$BE$1:$AAD$1)),IF(IFERROR(ISODD(SUBSTITUTE($BE128:$AAD128,"A","")),FALSE),IF(ISODD(SUBSTITUTE($BE128:$AAD128,"A","")),1,0),0)))</f>
        <v>0</v>
      </c>
      <c r="AA128" t="str">
        <f t="shared" si="125"/>
        <v>13B</v>
      </c>
      <c r="AB128" t="str">
        <f t="shared" si="126"/>
        <v>14B</v>
      </c>
      <c r="AP128" t="s">
        <v>137</v>
      </c>
      <c r="AS128" t="s">
        <v>396</v>
      </c>
      <c r="JZ128" s="27" t="str">
        <f t="shared" si="128"/>
        <v>XT55</v>
      </c>
      <c r="KC128" t="str">
        <f t="shared" si="129"/>
        <v>F0-AI11-13B</v>
      </c>
      <c r="KD128" t="str">
        <f t="shared" si="130"/>
        <v>F0-AI11-14B</v>
      </c>
      <c r="KI128" cm="1">
        <f t="array" ref="KI128">IF(COUNTIFS($U$2:$U128,$U128)=1,1,INDEX(KI:KI,_xlfn.XMATCH(U128,U$1:U127,0,-1))+COUNT(KI127:KM127))</f>
        <v>225</v>
      </c>
      <c r="KJ128">
        <f t="shared" si="131"/>
        <v>226</v>
      </c>
      <c r="KK128">
        <f t="shared" si="131"/>
        <v>227</v>
      </c>
      <c r="KN128">
        <v>1</v>
      </c>
      <c r="KO128" s="16">
        <v>2</v>
      </c>
      <c r="KS128" s="16"/>
    </row>
    <row r="129" spans="1:305" x14ac:dyDescent="0.25">
      <c r="A129" t="s">
        <v>706</v>
      </c>
      <c r="B129" t="s">
        <v>727</v>
      </c>
      <c r="C129" t="s">
        <v>492</v>
      </c>
      <c r="P129" t="s">
        <v>482</v>
      </c>
      <c r="T129" s="14" t="s">
        <v>554</v>
      </c>
      <c r="U129">
        <v>55</v>
      </c>
      <c r="V129" t="s">
        <v>1499</v>
      </c>
      <c r="X129" s="33" t="str">
        <f>IF(COUNTIF(X$1:X128,X128)&gt;7,REPLACE(X128,LEN(X128),1,VALUE(RIGHT(X128,1))+1),X128)</f>
        <v>A3.11</v>
      </c>
      <c r="Y129" s="45" cm="1">
        <f t="array" ref="Y129">IF(COUNTIFS($X$2:$X129,$X129)=1,"1",VALUE(SUBSTITUTE(INDEX(Y:Y,_xlfn.XMATCH($X129,$X$1:$X128,0,-1)),"A",""))+INDEX(Z:Z,_xlfn.XMATCH($X129,$X$1:$X128,0,-1))+1)</f>
        <v>8</v>
      </c>
      <c r="Z129" s="43" cm="1">
        <f t="array" ref="Z129">SUM(IF(ISNUMBER(FIND("TmAi",$BE$1:$AAD$1)),IF(IFERROR(ISODD(SUBSTITUTE($BE129:$AAD129,"A","")),FALSE),IF(ISODD(SUBSTITUTE($BE129:$AAD129,"A","")),1,0),0)))</f>
        <v>0</v>
      </c>
      <c r="AA129" t="str">
        <f t="shared" si="125"/>
        <v>15B</v>
      </c>
      <c r="AB129" t="str">
        <f t="shared" si="126"/>
        <v>16B</v>
      </c>
      <c r="AP129" t="s">
        <v>137</v>
      </c>
      <c r="AS129" t="s">
        <v>396</v>
      </c>
      <c r="JZ129" s="27" t="str">
        <f t="shared" si="128"/>
        <v>XT55</v>
      </c>
      <c r="KC129" t="str">
        <f t="shared" si="129"/>
        <v>F0-AI11-15B</v>
      </c>
      <c r="KD129" t="str">
        <f t="shared" si="130"/>
        <v>F0-AI11-16B</v>
      </c>
      <c r="KI129" cm="1">
        <f t="array" ref="KI129">IF(COUNTIFS($U$2:$U129,$U129)=1,1,INDEX(KI:KI,_xlfn.XMATCH(U129,U$1:U128,0,-1))+COUNT(KI128:KM128))</f>
        <v>228</v>
      </c>
      <c r="KJ129">
        <f t="shared" si="131"/>
        <v>229</v>
      </c>
      <c r="KK129">
        <f t="shared" si="131"/>
        <v>230</v>
      </c>
      <c r="KN129">
        <v>1</v>
      </c>
      <c r="KO129" s="16">
        <v>2</v>
      </c>
      <c r="KS129" s="16"/>
    </row>
    <row r="130" spans="1:305" x14ac:dyDescent="0.25">
      <c r="A130" t="s">
        <v>707</v>
      </c>
      <c r="B130" t="s">
        <v>728</v>
      </c>
      <c r="C130" t="s">
        <v>498</v>
      </c>
      <c r="P130" t="s">
        <v>482</v>
      </c>
      <c r="T130" s="14" t="s">
        <v>554</v>
      </c>
      <c r="U130">
        <v>55</v>
      </c>
      <c r="V130" t="s">
        <v>1500</v>
      </c>
      <c r="X130" t="str">
        <f>IF(COUNTIF(X$1:X129,X129)&gt;7,REPLACE(X129,LEN(X129),1,VALUE(RIGHT(X129,1))+1),X129)</f>
        <v>A3.12</v>
      </c>
      <c r="Y130" s="43" t="str" cm="1">
        <f t="array" ref="Y130">IF(COUNTIFS($X$2:$X130,$X130)=1,"1",VALUE(SUBSTITUTE(INDEX(Y:Y,_xlfn.XMATCH($X130,$X$1:$X129,0,-1)),"A",""))+INDEX(Z:Z,_xlfn.XMATCH($X130,$X$1:$X129,0,-1))+1)</f>
        <v>1</v>
      </c>
      <c r="Z130" s="43" cm="1">
        <f t="array" ref="Z130">SUM(IF(ISNUMBER(FIND("TmAi",$BE$1:$AAD$1)),IF(IFERROR(ISODD(SUBSTITUTE($BE130:$AAD130,"A","")),FALSE),IF(ISODD(SUBSTITUTE($BE130:$AAD130,"A","")),1,0),0)))</f>
        <v>0</v>
      </c>
      <c r="AA130" t="str">
        <f t="shared" si="125"/>
        <v>1B</v>
      </c>
      <c r="AB130" t="str">
        <f t="shared" si="126"/>
        <v>2B</v>
      </c>
      <c r="AP130" t="s">
        <v>137</v>
      </c>
      <c r="AS130" t="s">
        <v>396</v>
      </c>
      <c r="JZ130" s="27" t="str">
        <f t="shared" si="128"/>
        <v>XT55</v>
      </c>
      <c r="KC130" t="str">
        <f t="shared" si="129"/>
        <v>F0-AI12-1B</v>
      </c>
      <c r="KD130" t="str">
        <f t="shared" si="130"/>
        <v>F0-AI12-2B</v>
      </c>
      <c r="KI130" cm="1">
        <f t="array" ref="KI130">IF(COUNTIFS($U$2:$U130,$U130)=1,1,INDEX(KI:KI,_xlfn.XMATCH(U130,U$1:U129,0,-1))+COUNT(KI129:KM129))</f>
        <v>231</v>
      </c>
      <c r="KJ130">
        <f t="shared" si="131"/>
        <v>232</v>
      </c>
      <c r="KK130">
        <f t="shared" si="131"/>
        <v>233</v>
      </c>
      <c r="KN130">
        <v>1</v>
      </c>
      <c r="KO130" s="16">
        <v>2</v>
      </c>
      <c r="KS130" s="16"/>
    </row>
    <row r="131" spans="1:305" x14ac:dyDescent="0.25">
      <c r="A131" t="s">
        <v>708</v>
      </c>
      <c r="B131" s="33" t="s">
        <v>729</v>
      </c>
      <c r="C131" t="s">
        <v>492</v>
      </c>
      <c r="P131" t="s">
        <v>482</v>
      </c>
      <c r="T131" s="14" t="s">
        <v>554</v>
      </c>
      <c r="U131">
        <v>55</v>
      </c>
      <c r="V131" t="s">
        <v>1501</v>
      </c>
      <c r="X131" t="str">
        <f>IF(COUNTIF(X$1:X130,X130)&gt;7,REPLACE(X130,LEN(X130),1,VALUE(RIGHT(X130,1))+1),X130)</f>
        <v>A3.12</v>
      </c>
      <c r="Y131" s="43" cm="1">
        <f t="array" ref="Y131">IF(COUNTIFS($X$2:$X131,$X131)=1,"1",VALUE(SUBSTITUTE(INDEX(Y:Y,_xlfn.XMATCH($X131,$X$1:$X130,0,-1)),"A",""))+INDEX(Z:Z,_xlfn.XMATCH($X131,$X$1:$X130,0,-1))+1)</f>
        <v>2</v>
      </c>
      <c r="Z131" s="43" cm="1">
        <f t="array" ref="Z131">SUM(IF(ISNUMBER(FIND("TmAi",$BE$1:$AAD$1)),IF(IFERROR(ISODD(SUBSTITUTE($BE131:$AAD131,"A","")),FALSE),IF(ISODD(SUBSTITUTE($BE131:$AAD131,"A","")),1,0),0)))</f>
        <v>0</v>
      </c>
      <c r="AA131" t="str">
        <f t="shared" si="125"/>
        <v>3B</v>
      </c>
      <c r="AB131" t="str">
        <f t="shared" si="126"/>
        <v>4B</v>
      </c>
      <c r="AP131" t="s">
        <v>137</v>
      </c>
      <c r="AS131" t="s">
        <v>396</v>
      </c>
      <c r="JZ131" s="27" t="str">
        <f t="shared" si="128"/>
        <v>XT55</v>
      </c>
      <c r="KC131" t="str">
        <f t="shared" si="129"/>
        <v>F0-AI12-3B</v>
      </c>
      <c r="KD131" t="str">
        <f t="shared" si="130"/>
        <v>F0-AI12-4B</v>
      </c>
      <c r="KI131" cm="1">
        <f t="array" ref="KI131">IF(COUNTIFS($U$2:$U131,$U131)=1,1,INDEX(KI:KI,_xlfn.XMATCH(U131,U$1:U130,0,-1))+COUNT(KI130:KM130))</f>
        <v>234</v>
      </c>
      <c r="KJ131">
        <f t="shared" si="131"/>
        <v>235</v>
      </c>
      <c r="KK131">
        <f t="shared" si="131"/>
        <v>236</v>
      </c>
      <c r="KN131">
        <v>1</v>
      </c>
      <c r="KO131" s="16">
        <v>2</v>
      </c>
      <c r="KS131" s="16"/>
    </row>
    <row r="132" spans="1:305" x14ac:dyDescent="0.25">
      <c r="A132" t="s">
        <v>709</v>
      </c>
      <c r="B132" t="s">
        <v>730</v>
      </c>
      <c r="C132" t="s">
        <v>492</v>
      </c>
      <c r="P132" t="s">
        <v>482</v>
      </c>
      <c r="T132" s="14" t="s">
        <v>554</v>
      </c>
      <c r="U132">
        <v>55</v>
      </c>
      <c r="V132" t="s">
        <v>1502</v>
      </c>
      <c r="X132" t="str">
        <f>IF(COUNTIF(X$1:X131,X131)&gt;7,REPLACE(X131,LEN(X131),1,VALUE(RIGHT(X131,1))+1),X131)</f>
        <v>A3.12</v>
      </c>
      <c r="Y132" s="43" cm="1">
        <f t="array" ref="Y132">IF(COUNTIFS($X$2:$X132,$X132)=1,"1",VALUE(SUBSTITUTE(INDEX(Y:Y,_xlfn.XMATCH($X132,$X$1:$X131,0,-1)),"A",""))+INDEX(Z:Z,_xlfn.XMATCH($X132,$X$1:$X131,0,-1))+1)</f>
        <v>3</v>
      </c>
      <c r="Z132" s="43" cm="1">
        <f t="array" ref="Z132">SUM(IF(ISNUMBER(FIND("TmAi",$BE$1:$AAD$1)),IF(IFERROR(ISODD(SUBSTITUTE($BE132:$AAD132,"A","")),FALSE),IF(ISODD(SUBSTITUTE($BE132:$AAD132,"A","")),1,0),0)))</f>
        <v>0</v>
      </c>
      <c r="AA132" t="str">
        <f t="shared" si="125"/>
        <v>5B</v>
      </c>
      <c r="AB132" t="str">
        <f t="shared" si="126"/>
        <v>6B</v>
      </c>
      <c r="AP132" t="s">
        <v>137</v>
      </c>
      <c r="AS132" t="s">
        <v>396</v>
      </c>
      <c r="JZ132" s="27" t="str">
        <f t="shared" si="128"/>
        <v>XT55</v>
      </c>
      <c r="KC132" t="str">
        <f t="shared" si="129"/>
        <v>F0-AI12-5B</v>
      </c>
      <c r="KD132" t="str">
        <f t="shared" si="130"/>
        <v>F0-AI12-6B</v>
      </c>
      <c r="KI132" cm="1">
        <f t="array" ref="KI132">IF(COUNTIFS($U$2:$U132,$U132)=1,1,INDEX(KI:KI,_xlfn.XMATCH(U132,U$1:U131,0,-1))+COUNT(KI131:KM131))</f>
        <v>237</v>
      </c>
      <c r="KJ132">
        <f t="shared" si="131"/>
        <v>238</v>
      </c>
      <c r="KK132">
        <f t="shared" si="131"/>
        <v>239</v>
      </c>
      <c r="KN132">
        <v>1</v>
      </c>
      <c r="KO132" s="16">
        <v>2</v>
      </c>
      <c r="KS132" s="16"/>
    </row>
    <row r="133" spans="1:305" x14ac:dyDescent="0.25">
      <c r="A133" t="s">
        <v>710</v>
      </c>
      <c r="B133" t="s">
        <v>731</v>
      </c>
      <c r="C133" t="s">
        <v>498</v>
      </c>
      <c r="P133" t="s">
        <v>482</v>
      </c>
      <c r="T133" s="14" t="s">
        <v>554</v>
      </c>
      <c r="U133">
        <v>55</v>
      </c>
      <c r="V133" t="s">
        <v>1503</v>
      </c>
      <c r="X133" t="str">
        <f>IF(COUNTIF(X$1:X132,X132)&gt;7,REPLACE(X132,LEN(X132),1,VALUE(RIGHT(X132,1))+1),X132)</f>
        <v>A3.12</v>
      </c>
      <c r="Y133" s="43" cm="1">
        <f t="array" ref="Y133">IF(COUNTIFS($X$2:$X133,$X133)=1,"1",VALUE(SUBSTITUTE(INDEX(Y:Y,_xlfn.XMATCH($X133,$X$1:$X132,0,-1)),"A",""))+INDEX(Z:Z,_xlfn.XMATCH($X133,$X$1:$X132,0,-1))+1)</f>
        <v>4</v>
      </c>
      <c r="Z133" s="43" cm="1">
        <f t="array" ref="Z133">SUM(IF(ISNUMBER(FIND("TmAi",$BE$1:$AAD$1)),IF(IFERROR(ISODD(SUBSTITUTE($BE133:$AAD133,"A","")),FALSE),IF(ISODD(SUBSTITUTE($BE133:$AAD133,"A","")),1,0),0)))</f>
        <v>0</v>
      </c>
      <c r="AA133" t="str">
        <f t="shared" si="125"/>
        <v>7B</v>
      </c>
      <c r="AB133" t="str">
        <f t="shared" si="126"/>
        <v>8B</v>
      </c>
      <c r="AP133" t="s">
        <v>137</v>
      </c>
      <c r="AS133" t="s">
        <v>396</v>
      </c>
      <c r="JZ133" s="27" t="str">
        <f t="shared" si="128"/>
        <v>XT55</v>
      </c>
      <c r="KC133" t="str">
        <f t="shared" si="129"/>
        <v>F0-AI12-7B</v>
      </c>
      <c r="KD133" t="str">
        <f t="shared" si="130"/>
        <v>F0-AI12-8B</v>
      </c>
      <c r="KI133" cm="1">
        <f t="array" ref="KI133">IF(COUNTIFS($U$2:$U133,$U133)=1,1,INDEX(KI:KI,_xlfn.XMATCH(U133,U$1:U132,0,-1))+COUNT(KI132:KM132))</f>
        <v>240</v>
      </c>
      <c r="KJ133">
        <f t="shared" si="131"/>
        <v>241</v>
      </c>
      <c r="KK133">
        <f t="shared" si="131"/>
        <v>242</v>
      </c>
      <c r="KN133">
        <v>1</v>
      </c>
      <c r="KO133" s="16">
        <v>2</v>
      </c>
      <c r="KS133" s="16"/>
    </row>
    <row r="134" spans="1:305" x14ac:dyDescent="0.25">
      <c r="A134" t="s">
        <v>711</v>
      </c>
      <c r="B134" s="33" t="s">
        <v>732</v>
      </c>
      <c r="C134" t="s">
        <v>492</v>
      </c>
      <c r="P134" t="s">
        <v>482</v>
      </c>
      <c r="T134" s="14" t="s">
        <v>554</v>
      </c>
      <c r="U134">
        <v>55</v>
      </c>
      <c r="V134" t="s">
        <v>1504</v>
      </c>
      <c r="X134" t="str">
        <f>IF(COUNTIF(X$1:X133,X133)&gt;7,REPLACE(X133,LEN(X133),1,VALUE(RIGHT(X133,1))+1),X133)</f>
        <v>A3.12</v>
      </c>
      <c r="Y134" s="43" cm="1">
        <f t="array" ref="Y134">IF(COUNTIFS($X$2:$X134,$X134)=1,"1",VALUE(SUBSTITUTE(INDEX(Y:Y,_xlfn.XMATCH($X134,$X$1:$X133,0,-1)),"A",""))+INDEX(Z:Z,_xlfn.XMATCH($X134,$X$1:$X133,0,-1))+1)</f>
        <v>5</v>
      </c>
      <c r="Z134" s="43" cm="1">
        <f t="array" ref="Z134">SUM(IF(ISNUMBER(FIND("TmAi",$BE$1:$AAD$1)),IF(IFERROR(ISODD(SUBSTITUTE($BE134:$AAD134,"A","")),FALSE),IF(ISODD(SUBSTITUTE($BE134:$AAD134,"A","")),1,0),0)))</f>
        <v>0</v>
      </c>
      <c r="AA134" t="str">
        <f t="shared" si="125"/>
        <v>9B</v>
      </c>
      <c r="AB134" t="str">
        <f t="shared" si="126"/>
        <v>10B</v>
      </c>
      <c r="AP134" t="s">
        <v>137</v>
      </c>
      <c r="AS134" t="s">
        <v>396</v>
      </c>
      <c r="JZ134" s="27" t="str">
        <f t="shared" si="128"/>
        <v>XT55</v>
      </c>
      <c r="KC134" t="str">
        <f t="shared" si="129"/>
        <v>F0-AI12-9B</v>
      </c>
      <c r="KD134" t="str">
        <f t="shared" si="130"/>
        <v>F0-AI12-10B</v>
      </c>
      <c r="KI134" cm="1">
        <f t="array" ref="KI134">IF(COUNTIFS($U$2:$U134,$U134)=1,1,INDEX(KI:KI,_xlfn.XMATCH(U134,U$1:U133,0,-1))+COUNT(KI133:KM133))</f>
        <v>243</v>
      </c>
      <c r="KJ134">
        <f t="shared" si="131"/>
        <v>244</v>
      </c>
      <c r="KK134">
        <f t="shared" si="131"/>
        <v>245</v>
      </c>
      <c r="KN134">
        <v>1</v>
      </c>
      <c r="KO134" s="16">
        <v>2</v>
      </c>
      <c r="KS134" s="16"/>
    </row>
    <row r="135" spans="1:305" x14ac:dyDescent="0.25">
      <c r="A135" t="s">
        <v>712</v>
      </c>
      <c r="B135" t="s">
        <v>733</v>
      </c>
      <c r="C135" t="s">
        <v>492</v>
      </c>
      <c r="P135" t="s">
        <v>482</v>
      </c>
      <c r="T135" s="14" t="s">
        <v>554</v>
      </c>
      <c r="U135">
        <v>55</v>
      </c>
      <c r="V135" t="s">
        <v>1505</v>
      </c>
      <c r="X135" t="str">
        <f>IF(COUNTIF(X$1:X134,X134)&gt;7,REPLACE(X134,LEN(X134),1,VALUE(RIGHT(X134,1))+1),X134)</f>
        <v>A3.12</v>
      </c>
      <c r="Y135" s="43" cm="1">
        <f t="array" ref="Y135">IF(COUNTIFS($X$2:$X135,$X135)=1,"1",VALUE(SUBSTITUTE(INDEX(Y:Y,_xlfn.XMATCH($X135,$X$1:$X134,0,-1)),"A",""))+INDEX(Z:Z,_xlfn.XMATCH($X135,$X$1:$X134,0,-1))+1)</f>
        <v>6</v>
      </c>
      <c r="Z135" s="43" cm="1">
        <f t="array" ref="Z135">SUM(IF(ISNUMBER(FIND("TmAi",$BE$1:$AAD$1)),IF(IFERROR(ISODD(SUBSTITUTE($BE135:$AAD135,"A","")),FALSE),IF(ISODD(SUBSTITUTE($BE135:$AAD135,"A","")),1,0),0)))</f>
        <v>0</v>
      </c>
      <c r="AA135" t="str">
        <f t="shared" si="125"/>
        <v>11B</v>
      </c>
      <c r="AB135" t="str">
        <f t="shared" si="126"/>
        <v>12B</v>
      </c>
      <c r="AP135" t="s">
        <v>137</v>
      </c>
      <c r="AS135" t="s">
        <v>396</v>
      </c>
      <c r="JZ135" s="27" t="str">
        <f t="shared" si="128"/>
        <v>XT55</v>
      </c>
      <c r="KC135" t="str">
        <f t="shared" si="129"/>
        <v>F0-AI12-11B</v>
      </c>
      <c r="KD135" t="str">
        <f t="shared" si="130"/>
        <v>F0-AI12-12B</v>
      </c>
      <c r="KI135" cm="1">
        <f t="array" ref="KI135">IF(COUNTIFS($U$2:$U135,$U135)=1,1,INDEX(KI:KI,_xlfn.XMATCH(U135,U$1:U134,0,-1))+COUNT(KI134:KM134))</f>
        <v>246</v>
      </c>
      <c r="KJ135">
        <f t="shared" si="131"/>
        <v>247</v>
      </c>
      <c r="KK135">
        <f t="shared" si="131"/>
        <v>248</v>
      </c>
      <c r="KN135">
        <v>1</v>
      </c>
      <c r="KO135" s="16">
        <v>2</v>
      </c>
      <c r="KS135" s="16"/>
    </row>
    <row r="136" spans="1:305" x14ac:dyDescent="0.25">
      <c r="A136" t="s">
        <v>713</v>
      </c>
      <c r="B136" t="s">
        <v>734</v>
      </c>
      <c r="C136" t="s">
        <v>498</v>
      </c>
      <c r="P136" t="s">
        <v>482</v>
      </c>
      <c r="T136" s="14" t="s">
        <v>554</v>
      </c>
      <c r="U136">
        <v>55</v>
      </c>
      <c r="V136" t="s">
        <v>1506</v>
      </c>
      <c r="X136" t="str">
        <f>IF(COUNTIF(X$1:X135,X135)&gt;7,REPLACE(X135,LEN(X135),1,VALUE(RIGHT(X135,1))+1),X135)</f>
        <v>A3.12</v>
      </c>
      <c r="Y136" s="43" cm="1">
        <f t="array" ref="Y136">IF(COUNTIFS($X$2:$X136,$X136)=1,"1",VALUE(SUBSTITUTE(INDEX(Y:Y,_xlfn.XMATCH($X136,$X$1:$X135,0,-1)),"A",""))+INDEX(Z:Z,_xlfn.XMATCH($X136,$X$1:$X135,0,-1))+1)</f>
        <v>7</v>
      </c>
      <c r="Z136" s="43" cm="1">
        <f t="array" ref="Z136">SUM(IF(ISNUMBER(FIND("TmAi",$BE$1:$AAD$1)),IF(IFERROR(ISODD(SUBSTITUTE($BE136:$AAD136,"A","")),FALSE),IF(ISODD(SUBSTITUTE($BE136:$AAD136,"A","")),1,0),0)))</f>
        <v>0</v>
      </c>
      <c r="AA136" t="str">
        <f t="shared" si="125"/>
        <v>13B</v>
      </c>
      <c r="AB136" t="str">
        <f t="shared" si="126"/>
        <v>14B</v>
      </c>
      <c r="AP136" t="s">
        <v>137</v>
      </c>
      <c r="AS136" t="s">
        <v>396</v>
      </c>
      <c r="JZ136" s="27" t="str">
        <f t="shared" si="128"/>
        <v>XT55</v>
      </c>
      <c r="KC136" t="str">
        <f t="shared" si="129"/>
        <v>F0-AI12-13B</v>
      </c>
      <c r="KD136" t="str">
        <f t="shared" si="130"/>
        <v>F0-AI12-14B</v>
      </c>
      <c r="KI136" cm="1">
        <f t="array" ref="KI136">IF(COUNTIFS($U$2:$U136,$U136)=1,1,INDEX(KI:KI,_xlfn.XMATCH(U136,U$1:U135,0,-1))+COUNT(KI135:KM135))</f>
        <v>249</v>
      </c>
      <c r="KJ136">
        <f t="shared" si="131"/>
        <v>250</v>
      </c>
      <c r="KK136">
        <f t="shared" si="131"/>
        <v>251</v>
      </c>
      <c r="KN136">
        <v>1</v>
      </c>
      <c r="KO136" s="16">
        <v>2</v>
      </c>
      <c r="KS136" s="16"/>
    </row>
    <row r="137" spans="1:305" x14ac:dyDescent="0.25">
      <c r="A137" t="s">
        <v>714</v>
      </c>
      <c r="B137" s="33" t="s">
        <v>735</v>
      </c>
      <c r="C137" t="s">
        <v>492</v>
      </c>
      <c r="P137" t="s">
        <v>482</v>
      </c>
      <c r="T137" s="14" t="s">
        <v>554</v>
      </c>
      <c r="U137">
        <v>55</v>
      </c>
      <c r="V137" t="s">
        <v>1507</v>
      </c>
      <c r="X137" s="33" t="str">
        <f>IF(COUNTIF(X$1:X136,X136)&gt;7,REPLACE(X136,LEN(X136),1,VALUE(RIGHT(X136,1))+1),X136)</f>
        <v>A3.12</v>
      </c>
      <c r="Y137" s="45" cm="1">
        <f t="array" ref="Y137">IF(COUNTIFS($X$2:$X137,$X137)=1,"1",VALUE(SUBSTITUTE(INDEX(Y:Y,_xlfn.XMATCH($X137,$X$1:$X136,0,-1)),"A",""))+INDEX(Z:Z,_xlfn.XMATCH($X137,$X$1:$X136,0,-1))+1)</f>
        <v>8</v>
      </c>
      <c r="Z137" s="43" cm="1">
        <f t="array" ref="Z137">SUM(IF(ISNUMBER(FIND("TmAi",$BE$1:$AAD$1)),IF(IFERROR(ISODD(SUBSTITUTE($BE137:$AAD137,"A","")),FALSE),IF(ISODD(SUBSTITUTE($BE137:$AAD137,"A","")),1,0),0)))</f>
        <v>0</v>
      </c>
      <c r="AA137" t="str">
        <f t="shared" si="125"/>
        <v>15B</v>
      </c>
      <c r="AB137" t="str">
        <f t="shared" si="126"/>
        <v>16B</v>
      </c>
      <c r="AP137" t="s">
        <v>137</v>
      </c>
      <c r="AS137" t="s">
        <v>396</v>
      </c>
      <c r="JZ137" s="27" t="str">
        <f t="shared" si="128"/>
        <v>XT55</v>
      </c>
      <c r="KC137" t="str">
        <f t="shared" si="129"/>
        <v>F0-AI12-15B</v>
      </c>
      <c r="KD137" t="str">
        <f t="shared" si="130"/>
        <v>F0-AI12-16B</v>
      </c>
      <c r="KI137" cm="1">
        <f t="array" ref="KI137">IF(COUNTIFS($U$2:$U137,$U137)=1,1,INDEX(KI:KI,_xlfn.XMATCH(U137,U$1:U136,0,-1))+COUNT(KI136:KM136))</f>
        <v>252</v>
      </c>
      <c r="KJ137">
        <f t="shared" si="131"/>
        <v>253</v>
      </c>
      <c r="KK137">
        <f t="shared" si="131"/>
        <v>254</v>
      </c>
      <c r="KN137">
        <v>1</v>
      </c>
      <c r="KO137" s="16">
        <v>2</v>
      </c>
      <c r="KS137" s="16"/>
    </row>
    <row r="138" spans="1:305" x14ac:dyDescent="0.25">
      <c r="A138" t="s">
        <v>715</v>
      </c>
      <c r="B138" t="s">
        <v>736</v>
      </c>
      <c r="C138" t="s">
        <v>492</v>
      </c>
      <c r="P138" t="s">
        <v>482</v>
      </c>
      <c r="T138" s="14" t="s">
        <v>554</v>
      </c>
      <c r="U138">
        <v>55</v>
      </c>
      <c r="V138" t="s">
        <v>1508</v>
      </c>
      <c r="X138" t="str">
        <f>IF(COUNTIF(X$1:X137,X137)&gt;7,REPLACE(X137,LEN(X137),1,VALUE(RIGHT(X137,1))+1),X137)</f>
        <v>A3.13</v>
      </c>
      <c r="Y138" s="43" t="str" cm="1">
        <f t="array" ref="Y138">IF(COUNTIFS($X$2:$X138,$X138)=1,"1",VALUE(SUBSTITUTE(INDEX(Y:Y,_xlfn.XMATCH($X138,$X$1:$X137,0,-1)),"A",""))+INDEX(Z:Z,_xlfn.XMATCH($X138,$X$1:$X137,0,-1))+1)</f>
        <v>1</v>
      </c>
      <c r="Z138" s="43" cm="1">
        <f t="array" ref="Z138">SUM(IF(ISNUMBER(FIND("TmAi",$BE$1:$AAD$1)),IF(IFERROR(ISODD(SUBSTITUTE($BE138:$AAD138,"A","")),FALSE),IF(ISODD(SUBSTITUTE($BE138:$AAD138,"A","")),1,0),0)))</f>
        <v>0</v>
      </c>
      <c r="AA138" t="str">
        <f t="shared" si="125"/>
        <v>1B</v>
      </c>
      <c r="AB138" t="str">
        <f t="shared" si="126"/>
        <v>2B</v>
      </c>
      <c r="AP138" t="s">
        <v>137</v>
      </c>
      <c r="AS138" t="s">
        <v>396</v>
      </c>
      <c r="JZ138" s="27" t="str">
        <f t="shared" si="128"/>
        <v>XT55</v>
      </c>
      <c r="KC138" t="str">
        <f t="shared" si="129"/>
        <v>F0-AI13-1B</v>
      </c>
      <c r="KD138" t="str">
        <f t="shared" si="130"/>
        <v>F0-AI13-2B</v>
      </c>
      <c r="KI138" cm="1">
        <f t="array" ref="KI138">IF(COUNTIFS($U$2:$U138,$U138)=1,1,INDEX(KI:KI,_xlfn.XMATCH(U138,U$1:U137,0,-1))+COUNT(KI137:KM137))</f>
        <v>255</v>
      </c>
      <c r="KJ138">
        <f t="shared" si="131"/>
        <v>256</v>
      </c>
      <c r="KK138">
        <f t="shared" si="131"/>
        <v>257</v>
      </c>
      <c r="KN138">
        <v>1</v>
      </c>
      <c r="KO138" s="16">
        <v>2</v>
      </c>
      <c r="KS138" s="16"/>
    </row>
    <row r="139" spans="1:305" x14ac:dyDescent="0.25">
      <c r="A139" t="s">
        <v>716</v>
      </c>
      <c r="B139" t="s">
        <v>737</v>
      </c>
      <c r="C139" t="s">
        <v>498</v>
      </c>
      <c r="P139" t="s">
        <v>482</v>
      </c>
      <c r="T139" s="14" t="s">
        <v>554</v>
      </c>
      <c r="U139">
        <v>55</v>
      </c>
      <c r="V139" t="s">
        <v>1509</v>
      </c>
      <c r="X139" t="str">
        <f>IF(COUNTIF(X$1:X138,X138)&gt;7,REPLACE(X138,LEN(X138),1,VALUE(RIGHT(X138,1))+1),X138)</f>
        <v>A3.13</v>
      </c>
      <c r="Y139" s="43" cm="1">
        <f t="array" ref="Y139">IF(COUNTIFS($X$2:$X139,$X139)=1,"1",VALUE(SUBSTITUTE(INDEX(Y:Y,_xlfn.XMATCH($X139,$X$1:$X138,0,-1)),"A",""))+INDEX(Z:Z,_xlfn.XMATCH($X139,$X$1:$X138,0,-1))+1)</f>
        <v>2</v>
      </c>
      <c r="Z139" s="43" cm="1">
        <f t="array" ref="Z139">SUM(IF(ISNUMBER(FIND("TmAi",$BE$1:$AAD$1)),IF(IFERROR(ISODD(SUBSTITUTE($BE139:$AAD139,"A","")),FALSE),IF(ISODD(SUBSTITUTE($BE139:$AAD139,"A","")),1,0),0)))</f>
        <v>0</v>
      </c>
      <c r="AA139" t="str">
        <f t="shared" si="125"/>
        <v>3B</v>
      </c>
      <c r="AB139" t="str">
        <f t="shared" si="126"/>
        <v>4B</v>
      </c>
      <c r="AP139" t="s">
        <v>137</v>
      </c>
      <c r="AS139" t="s">
        <v>396</v>
      </c>
      <c r="JZ139" s="27" t="str">
        <f t="shared" si="128"/>
        <v>XT55</v>
      </c>
      <c r="KC139" t="str">
        <f t="shared" si="129"/>
        <v>F0-AI13-3B</v>
      </c>
      <c r="KD139" t="str">
        <f t="shared" si="130"/>
        <v>F0-AI13-4B</v>
      </c>
      <c r="KI139" cm="1">
        <f t="array" ref="KI139">IF(COUNTIFS($U$2:$U139,$U139)=1,1,INDEX(KI:KI,_xlfn.XMATCH(U139,U$1:U138,0,-1))+COUNT(KI138:KM138))</f>
        <v>258</v>
      </c>
      <c r="KJ139">
        <f t="shared" si="131"/>
        <v>259</v>
      </c>
      <c r="KK139">
        <f t="shared" si="131"/>
        <v>260</v>
      </c>
      <c r="KN139">
        <v>1</v>
      </c>
      <c r="KO139" s="16">
        <v>2</v>
      </c>
      <c r="KS139" s="16"/>
    </row>
    <row r="140" spans="1:305" x14ac:dyDescent="0.25">
      <c r="A140" t="s">
        <v>717</v>
      </c>
      <c r="B140" s="33" t="s">
        <v>738</v>
      </c>
      <c r="C140" t="s">
        <v>492</v>
      </c>
      <c r="P140" t="s">
        <v>482</v>
      </c>
      <c r="T140" s="14" t="s">
        <v>554</v>
      </c>
      <c r="U140">
        <v>55</v>
      </c>
      <c r="V140" t="s">
        <v>1510</v>
      </c>
      <c r="X140" t="str">
        <f>IF(COUNTIF(X$1:X139,X139)&gt;7,REPLACE(X139,LEN(X139),1,VALUE(RIGHT(X139,1))+1),X139)</f>
        <v>A3.13</v>
      </c>
      <c r="Y140" s="43" cm="1">
        <f t="array" ref="Y140">IF(COUNTIFS($X$2:$X140,$X140)=1,"1",VALUE(SUBSTITUTE(INDEX(Y:Y,_xlfn.XMATCH($X140,$X$1:$X139,0,-1)),"A",""))+INDEX(Z:Z,_xlfn.XMATCH($X140,$X$1:$X139,0,-1))+1)</f>
        <v>3</v>
      </c>
      <c r="Z140" s="43" cm="1">
        <f t="array" ref="Z140">SUM(IF(ISNUMBER(FIND("TmAi",$BE$1:$AAD$1)),IF(IFERROR(ISODD(SUBSTITUTE($BE140:$AAD140,"A","")),FALSE),IF(ISODD(SUBSTITUTE($BE140:$AAD140,"A","")),1,0),0)))</f>
        <v>0</v>
      </c>
      <c r="AA140" t="str">
        <f t="shared" si="125"/>
        <v>5B</v>
      </c>
      <c r="AB140" t="str">
        <f t="shared" si="126"/>
        <v>6B</v>
      </c>
      <c r="AP140" t="s">
        <v>137</v>
      </c>
      <c r="AS140" t="s">
        <v>396</v>
      </c>
      <c r="JZ140" s="27" t="str">
        <f t="shared" si="128"/>
        <v>XT55</v>
      </c>
      <c r="KC140" t="str">
        <f t="shared" si="129"/>
        <v>F0-AI13-5B</v>
      </c>
      <c r="KD140" t="str">
        <f t="shared" si="130"/>
        <v>F0-AI13-6B</v>
      </c>
      <c r="KI140" cm="1">
        <f t="array" ref="KI140">IF(COUNTIFS($U$2:$U140,$U140)=1,1,INDEX(KI:KI,_xlfn.XMATCH(U140,U$1:U139,0,-1))+COUNT(KI139:KM139))</f>
        <v>261</v>
      </c>
      <c r="KJ140">
        <f t="shared" si="131"/>
        <v>262</v>
      </c>
      <c r="KK140">
        <f t="shared" si="131"/>
        <v>263</v>
      </c>
      <c r="KN140">
        <v>1</v>
      </c>
      <c r="KO140" s="16">
        <v>2</v>
      </c>
      <c r="KS140" s="16"/>
    </row>
    <row r="141" spans="1:305" x14ac:dyDescent="0.25">
      <c r="A141" t="s">
        <v>764</v>
      </c>
      <c r="B141" t="s">
        <v>763</v>
      </c>
      <c r="C141" t="s">
        <v>498</v>
      </c>
      <c r="P141" t="s">
        <v>482</v>
      </c>
      <c r="T141" s="14" t="s">
        <v>554</v>
      </c>
      <c r="U141">
        <v>55</v>
      </c>
      <c r="V141" t="s">
        <v>1511</v>
      </c>
      <c r="X141" t="str">
        <f>IF(COUNTIF(X$1:X140,X140)&gt;7,REPLACE(X140,LEN(X140),1,VALUE(RIGHT(X140,1))+1),X140)</f>
        <v>A3.13</v>
      </c>
      <c r="Y141" s="43" cm="1">
        <f t="array" ref="Y141">IF(COUNTIFS($X$2:$X141,$X141)=1,"1",VALUE(SUBSTITUTE(INDEX(Y:Y,_xlfn.XMATCH($X141,$X$1:$X140,0,-1)),"A",""))+INDEX(Z:Z,_xlfn.XMATCH($X141,$X$1:$X140,0,-1))+1)</f>
        <v>4</v>
      </c>
      <c r="Z141" s="43" cm="1">
        <f t="array" ref="Z141">SUM(IF(ISNUMBER(FIND("TmAi",$BE$1:$AAD$1)),IF(IFERROR(ISODD(SUBSTITUTE($BE141:$AAD141,"A","")),FALSE),IF(ISODD(SUBSTITUTE($BE141:$AAD141,"A","")),1,0),0)))</f>
        <v>0</v>
      </c>
      <c r="AA141" t="str">
        <f t="shared" si="125"/>
        <v>7B</v>
      </c>
      <c r="AB141" t="str">
        <f t="shared" si="126"/>
        <v>8B</v>
      </c>
      <c r="AP141" t="s">
        <v>137</v>
      </c>
      <c r="AS141" t="s">
        <v>396</v>
      </c>
      <c r="JZ141" s="27" t="str">
        <f t="shared" si="128"/>
        <v>XT55</v>
      </c>
      <c r="KC141" t="str">
        <f t="shared" si="129"/>
        <v>F0-AI13-7B</v>
      </c>
      <c r="KD141" t="str">
        <f t="shared" si="130"/>
        <v>F0-AI13-8B</v>
      </c>
      <c r="KI141" cm="1">
        <f t="array" ref="KI141">IF(COUNTIFS($U$2:$U141,$U141)=1,1,INDEX(KI:KI,_xlfn.XMATCH(U141,U$1:U140,0,-1))+COUNT(KI140:KM140))</f>
        <v>264</v>
      </c>
      <c r="KJ141">
        <f t="shared" si="131"/>
        <v>265</v>
      </c>
      <c r="KK141">
        <f t="shared" si="131"/>
        <v>266</v>
      </c>
      <c r="KN141">
        <v>1</v>
      </c>
      <c r="KO141" s="16">
        <v>2</v>
      </c>
      <c r="KS141" s="16"/>
    </row>
    <row r="142" spans="1:305" x14ac:dyDescent="0.25">
      <c r="A142" t="s">
        <v>766</v>
      </c>
      <c r="B142" s="33" t="s">
        <v>765</v>
      </c>
      <c r="C142" t="s">
        <v>492</v>
      </c>
      <c r="P142" t="s">
        <v>482</v>
      </c>
      <c r="T142" s="14" t="s">
        <v>554</v>
      </c>
      <c r="U142">
        <v>55</v>
      </c>
      <c r="V142" t="s">
        <v>1512</v>
      </c>
      <c r="X142" t="str">
        <f>IF(COUNTIF(X$1:X141,X141)&gt;7,REPLACE(X141,LEN(X141),1,VALUE(RIGHT(X141,1))+1),X141)</f>
        <v>A3.13</v>
      </c>
      <c r="Y142" s="43" cm="1">
        <f t="array" ref="Y142">IF(COUNTIFS($X$2:$X142,$X142)=1,"1",VALUE(SUBSTITUTE(INDEX(Y:Y,_xlfn.XMATCH($X142,$X$1:$X141,0,-1)),"A",""))+INDEX(Z:Z,_xlfn.XMATCH($X142,$X$1:$X141,0,-1))+1)</f>
        <v>5</v>
      </c>
      <c r="Z142" s="43" cm="1">
        <f t="array" ref="Z142">SUM(IF(ISNUMBER(FIND("TmAi",$BE$1:$AAD$1)),IF(IFERROR(ISODD(SUBSTITUTE($BE142:$AAD142,"A","")),FALSE),IF(ISODD(SUBSTITUTE($BE142:$AAD142,"A","")),1,0),0)))</f>
        <v>0</v>
      </c>
      <c r="AA142" t="str">
        <f t="shared" si="125"/>
        <v>9B</v>
      </c>
      <c r="AB142" t="str">
        <f t="shared" si="126"/>
        <v>10B</v>
      </c>
      <c r="AP142" t="s">
        <v>137</v>
      </c>
      <c r="AS142" t="s">
        <v>396</v>
      </c>
      <c r="JZ142" s="27" t="str">
        <f t="shared" si="128"/>
        <v>XT55</v>
      </c>
      <c r="KC142" t="str">
        <f t="shared" si="129"/>
        <v>F0-AI13-9B</v>
      </c>
      <c r="KD142" t="str">
        <f t="shared" si="130"/>
        <v>F0-AI13-10B</v>
      </c>
      <c r="KI142" cm="1">
        <f t="array" ref="KI142">IF(COUNTIFS($U$2:$U142,$U142)=1,1,INDEX(KI:KI,_xlfn.XMATCH(U142,U$1:U141,0,-1))+COUNT(KI141:KM141))</f>
        <v>267</v>
      </c>
      <c r="KJ142">
        <f t="shared" si="131"/>
        <v>268</v>
      </c>
      <c r="KK142">
        <f t="shared" si="131"/>
        <v>269</v>
      </c>
      <c r="KN142">
        <v>1</v>
      </c>
      <c r="KO142" s="16">
        <v>2</v>
      </c>
      <c r="KS142" s="16"/>
    </row>
    <row r="143" spans="1:305" x14ac:dyDescent="0.25">
      <c r="A143" t="s">
        <v>768</v>
      </c>
      <c r="B143" t="s">
        <v>771</v>
      </c>
      <c r="C143" t="s">
        <v>498</v>
      </c>
      <c r="P143" t="s">
        <v>482</v>
      </c>
      <c r="T143" s="14" t="s">
        <v>554</v>
      </c>
      <c r="U143">
        <v>55</v>
      </c>
      <c r="V143" t="s">
        <v>1513</v>
      </c>
      <c r="X143" t="str">
        <f>IF(COUNTIF(X$1:X142,X142)&gt;7,REPLACE(X142,LEN(X142),1,VALUE(RIGHT(X142,1))+1),X142)</f>
        <v>A3.13</v>
      </c>
      <c r="Y143" s="43" cm="1">
        <f t="array" ref="Y143">IF(COUNTIFS($X$2:$X143,$X143)=1,"1",VALUE(SUBSTITUTE(INDEX(Y:Y,_xlfn.XMATCH($X143,$X$1:$X142,0,-1)),"A",""))+INDEX(Z:Z,_xlfn.XMATCH($X143,$X$1:$X142,0,-1))+1)</f>
        <v>6</v>
      </c>
      <c r="Z143" s="43" cm="1">
        <f t="array" ref="Z143">SUM(IF(ISNUMBER(FIND("TmAi",$BE$1:$AAD$1)),IF(IFERROR(ISODD(SUBSTITUTE($BE143:$AAD143,"A","")),FALSE),IF(ISODD(SUBSTITUTE($BE143:$AAD143,"A","")),1,0),0)))</f>
        <v>0</v>
      </c>
      <c r="AA143" t="str">
        <f t="shared" si="125"/>
        <v>11B</v>
      </c>
      <c r="AB143" t="str">
        <f t="shared" si="126"/>
        <v>12B</v>
      </c>
      <c r="AP143" t="s">
        <v>137</v>
      </c>
      <c r="AS143" t="s">
        <v>396</v>
      </c>
      <c r="JZ143" s="27" t="str">
        <f t="shared" si="128"/>
        <v>XT55</v>
      </c>
      <c r="KC143" t="str">
        <f t="shared" si="129"/>
        <v>F0-AI13-11B</v>
      </c>
      <c r="KD143" t="str">
        <f t="shared" si="130"/>
        <v>F0-AI13-12B</v>
      </c>
      <c r="KI143" cm="1">
        <f t="array" ref="KI143">IF(COUNTIFS($U$2:$U143,$U143)=1,1,INDEX(KI:KI,_xlfn.XMATCH(U143,U$1:U142,0,-1))+COUNT(KI142:KM142))</f>
        <v>270</v>
      </c>
      <c r="KJ143">
        <f t="shared" si="131"/>
        <v>271</v>
      </c>
      <c r="KK143">
        <f t="shared" si="131"/>
        <v>272</v>
      </c>
      <c r="KN143">
        <v>1</v>
      </c>
      <c r="KO143" s="16">
        <v>2</v>
      </c>
      <c r="KS143" s="16"/>
    </row>
    <row r="144" spans="1:305" x14ac:dyDescent="0.25">
      <c r="A144" t="s">
        <v>774</v>
      </c>
      <c r="B144" s="33" t="s">
        <v>772</v>
      </c>
      <c r="C144" t="s">
        <v>492</v>
      </c>
      <c r="P144" t="s">
        <v>482</v>
      </c>
      <c r="T144" s="14" t="s">
        <v>554</v>
      </c>
      <c r="U144">
        <v>55</v>
      </c>
      <c r="V144" t="s">
        <v>1514</v>
      </c>
      <c r="X144" t="str">
        <f>IF(COUNTIF(X$1:X143,X143)&gt;7,REPLACE(X143,LEN(X143),1,VALUE(RIGHT(X143,1))+1),X143)</f>
        <v>A3.13</v>
      </c>
      <c r="Y144" s="43" cm="1">
        <f t="array" ref="Y144">IF(COUNTIFS($X$2:$X144,$X144)=1,"1",VALUE(SUBSTITUTE(INDEX(Y:Y,_xlfn.XMATCH($X144,$X$1:$X143,0,-1)),"A",""))+INDEX(Z:Z,_xlfn.XMATCH($X144,$X$1:$X143,0,-1))+1)</f>
        <v>7</v>
      </c>
      <c r="Z144" s="43" cm="1">
        <f t="array" ref="Z144">SUM(IF(ISNUMBER(FIND("TmAi",$BE$1:$AAD$1)),IF(IFERROR(ISODD(SUBSTITUTE($BE144:$AAD144,"A","")),FALSE),IF(ISODD(SUBSTITUTE($BE144:$AAD144,"A","")),1,0),0)))</f>
        <v>0</v>
      </c>
      <c r="AA144" t="str">
        <f t="shared" si="125"/>
        <v>13B</v>
      </c>
      <c r="AB144" t="str">
        <f t="shared" si="126"/>
        <v>14B</v>
      </c>
      <c r="AP144" t="s">
        <v>137</v>
      </c>
      <c r="AS144" t="s">
        <v>396</v>
      </c>
      <c r="JZ144" s="27" t="str">
        <f t="shared" si="128"/>
        <v>XT55</v>
      </c>
      <c r="KC144" t="str">
        <f t="shared" si="129"/>
        <v>F0-AI13-13B</v>
      </c>
      <c r="KD144" t="str">
        <f t="shared" si="130"/>
        <v>F0-AI13-14B</v>
      </c>
      <c r="KI144" cm="1">
        <f t="array" ref="KI144">IF(COUNTIFS($U$2:$U144,$U144)=1,1,INDEX(KI:KI,_xlfn.XMATCH(U144,U$1:U143,0,-1))+COUNT(KI143:KM143))</f>
        <v>273</v>
      </c>
      <c r="KJ144">
        <f t="shared" si="131"/>
        <v>274</v>
      </c>
      <c r="KK144">
        <f t="shared" si="131"/>
        <v>275</v>
      </c>
      <c r="KN144">
        <v>1</v>
      </c>
      <c r="KO144" s="16">
        <v>2</v>
      </c>
      <c r="KS144" s="16"/>
    </row>
    <row r="145" spans="1:305" x14ac:dyDescent="0.25">
      <c r="A145" t="s">
        <v>775</v>
      </c>
      <c r="B145" t="s">
        <v>789</v>
      </c>
      <c r="C145" t="s">
        <v>498</v>
      </c>
      <c r="P145" t="s">
        <v>482</v>
      </c>
      <c r="T145" s="14" t="s">
        <v>554</v>
      </c>
      <c r="U145">
        <v>55</v>
      </c>
      <c r="V145" t="s">
        <v>1515</v>
      </c>
      <c r="X145" s="33" t="str">
        <f>IF(COUNTIF(X$1:X144,X144)&gt;7,REPLACE(X144,LEN(X144),1,VALUE(RIGHT(X144,1))+1),X144)</f>
        <v>A3.13</v>
      </c>
      <c r="Y145" s="45" cm="1">
        <f t="array" ref="Y145">IF(COUNTIFS($X$2:$X145,$X145)=1,"1",VALUE(SUBSTITUTE(INDEX(Y:Y,_xlfn.XMATCH($X145,$X$1:$X144,0,-1)),"A",""))+INDEX(Z:Z,_xlfn.XMATCH($X145,$X$1:$X144,0,-1))+1)</f>
        <v>8</v>
      </c>
      <c r="Z145" s="43" cm="1">
        <f t="array" ref="Z145">SUM(IF(ISNUMBER(FIND("TmAi",$BE$1:$AAD$1)),IF(IFERROR(ISODD(SUBSTITUTE($BE145:$AAD145,"A","")),FALSE),IF(ISODD(SUBSTITUTE($BE145:$AAD145,"A","")),1,0),0)))</f>
        <v>0</v>
      </c>
      <c r="AA145" t="str">
        <f t="shared" si="125"/>
        <v>15B</v>
      </c>
      <c r="AB145" t="str">
        <f t="shared" si="126"/>
        <v>16B</v>
      </c>
      <c r="AP145" t="s">
        <v>137</v>
      </c>
      <c r="AS145" t="s">
        <v>396</v>
      </c>
      <c r="JZ145" s="27" t="str">
        <f t="shared" si="128"/>
        <v>XT55</v>
      </c>
      <c r="KC145" t="str">
        <f t="shared" si="129"/>
        <v>F0-AI13-15B</v>
      </c>
      <c r="KD145" t="str">
        <f t="shared" si="130"/>
        <v>F0-AI13-16B</v>
      </c>
      <c r="KI145" cm="1">
        <f t="array" ref="KI145">IF(COUNTIFS($U$2:$U145,$U145)=1,1,INDEX(KI:KI,_xlfn.XMATCH(U145,U$1:U144,0,-1))+COUNT(KI144:KM144))</f>
        <v>276</v>
      </c>
      <c r="KJ145">
        <f t="shared" si="131"/>
        <v>277</v>
      </c>
      <c r="KK145">
        <f t="shared" si="131"/>
        <v>278</v>
      </c>
      <c r="KN145">
        <v>1</v>
      </c>
      <c r="KO145" s="16">
        <v>2</v>
      </c>
      <c r="KS145" s="16"/>
    </row>
    <row r="146" spans="1:305" x14ac:dyDescent="0.25">
      <c r="A146" t="s">
        <v>776</v>
      </c>
      <c r="B146" s="33" t="s">
        <v>790</v>
      </c>
      <c r="C146" t="s">
        <v>492</v>
      </c>
      <c r="P146" t="s">
        <v>482</v>
      </c>
      <c r="T146" s="14" t="s">
        <v>554</v>
      </c>
      <c r="U146">
        <v>55</v>
      </c>
      <c r="V146" t="s">
        <v>1516</v>
      </c>
      <c r="X146" t="str">
        <f>IF(COUNTIF(X$1:X145,X145)&gt;7,REPLACE(X145,LEN(X145),1,VALUE(RIGHT(X145,1))+1),X145)</f>
        <v>A3.14</v>
      </c>
      <c r="Y146" s="43" t="str" cm="1">
        <f t="array" ref="Y146">IF(COUNTIFS($X$2:$X146,$X146)=1,"1",VALUE(SUBSTITUTE(INDEX(Y:Y,_xlfn.XMATCH($X146,$X$1:$X145,0,-1)),"A",""))+INDEX(Z:Z,_xlfn.XMATCH($X146,$X$1:$X145,0,-1))+1)</f>
        <v>1</v>
      </c>
      <c r="Z146" s="43" cm="1">
        <f t="array" ref="Z146">SUM(IF(ISNUMBER(FIND("TmAi",$BE$1:$AAD$1)),IF(IFERROR(ISODD(SUBSTITUTE($BE146:$AAD146,"A","")),FALSE),IF(ISODD(SUBSTITUTE($BE146:$AAD146,"A","")),1,0),0)))</f>
        <v>0</v>
      </c>
      <c r="AA146" t="str">
        <f t="shared" si="125"/>
        <v>1B</v>
      </c>
      <c r="AB146" t="str">
        <f t="shared" si="126"/>
        <v>2B</v>
      </c>
      <c r="AP146" t="s">
        <v>137</v>
      </c>
      <c r="AS146" t="s">
        <v>396</v>
      </c>
      <c r="JZ146" s="27" t="str">
        <f t="shared" si="128"/>
        <v>XT55</v>
      </c>
      <c r="KC146" t="str">
        <f t="shared" si="129"/>
        <v>F0-AI14-1B</v>
      </c>
      <c r="KD146" t="str">
        <f t="shared" si="130"/>
        <v>F0-AI14-2B</v>
      </c>
      <c r="KI146" cm="1">
        <f t="array" ref="KI146">IF(COUNTIFS($U$2:$U146,$U146)=1,1,INDEX(KI:KI,_xlfn.XMATCH(U146,U$1:U145,0,-1))+COUNT(KI145:KM145))</f>
        <v>279</v>
      </c>
      <c r="KJ146">
        <f t="shared" si="131"/>
        <v>280</v>
      </c>
      <c r="KK146">
        <f t="shared" si="131"/>
        <v>281</v>
      </c>
      <c r="KN146">
        <v>1</v>
      </c>
      <c r="KO146" s="16">
        <v>2</v>
      </c>
      <c r="KS146" s="16"/>
    </row>
    <row r="147" spans="1:305" x14ac:dyDescent="0.25">
      <c r="A147" t="s">
        <v>777</v>
      </c>
      <c r="B147" t="s">
        <v>791</v>
      </c>
      <c r="C147" t="s">
        <v>498</v>
      </c>
      <c r="P147" t="s">
        <v>482</v>
      </c>
      <c r="T147" s="14" t="s">
        <v>554</v>
      </c>
      <c r="U147">
        <v>55</v>
      </c>
      <c r="V147" t="s">
        <v>1517</v>
      </c>
      <c r="X147" t="str">
        <f>IF(COUNTIF(X$1:X146,X146)&gt;7,REPLACE(X146,LEN(X146),1,VALUE(RIGHT(X146,1))+1),X146)</f>
        <v>A3.14</v>
      </c>
      <c r="Y147" s="43" cm="1">
        <f t="array" ref="Y147">IF(COUNTIFS($X$2:$X147,$X147)=1,"1",VALUE(SUBSTITUTE(INDEX(Y:Y,_xlfn.XMATCH($X147,$X$1:$X146,0,-1)),"A",""))+INDEX(Z:Z,_xlfn.XMATCH($X147,$X$1:$X146,0,-1))+1)</f>
        <v>2</v>
      </c>
      <c r="Z147" s="43" cm="1">
        <f t="array" ref="Z147">SUM(IF(ISNUMBER(FIND("TmAi",$BE$1:$AAD$1)),IF(IFERROR(ISODD(SUBSTITUTE($BE147:$AAD147,"A","")),FALSE),IF(ISODD(SUBSTITUTE($BE147:$AAD147,"A","")),1,0),0)))</f>
        <v>0</v>
      </c>
      <c r="AA147" t="str">
        <f t="shared" si="125"/>
        <v>3B</v>
      </c>
      <c r="AB147" t="str">
        <f t="shared" si="126"/>
        <v>4B</v>
      </c>
      <c r="AP147" t="s">
        <v>137</v>
      </c>
      <c r="AS147" t="s">
        <v>396</v>
      </c>
      <c r="JZ147" s="27" t="str">
        <f t="shared" si="128"/>
        <v>XT55</v>
      </c>
      <c r="KC147" t="str">
        <f t="shared" si="129"/>
        <v>F0-AI14-3B</v>
      </c>
      <c r="KD147" t="str">
        <f t="shared" si="130"/>
        <v>F0-AI14-4B</v>
      </c>
      <c r="KI147" cm="1">
        <f t="array" ref="KI147">IF(COUNTIFS($U$2:$U147,$U147)=1,1,INDEX(KI:KI,_xlfn.XMATCH(U147,U$1:U146,0,-1))+COUNT(KI146:KM146))</f>
        <v>282</v>
      </c>
      <c r="KJ147">
        <f t="shared" si="131"/>
        <v>283</v>
      </c>
      <c r="KK147">
        <f t="shared" si="131"/>
        <v>284</v>
      </c>
      <c r="KN147">
        <v>1</v>
      </c>
      <c r="KO147" s="16">
        <v>2</v>
      </c>
      <c r="KS147" s="16"/>
    </row>
    <row r="148" spans="1:305" x14ac:dyDescent="0.25">
      <c r="A148" t="s">
        <v>778</v>
      </c>
      <c r="B148" s="33" t="s">
        <v>792</v>
      </c>
      <c r="C148" t="s">
        <v>492</v>
      </c>
      <c r="P148" t="s">
        <v>482</v>
      </c>
      <c r="T148" s="14" t="s">
        <v>554</v>
      </c>
      <c r="U148">
        <v>55</v>
      </c>
      <c r="V148" t="s">
        <v>1518</v>
      </c>
      <c r="X148" t="str">
        <f>IF(COUNTIF(X$1:X147,X147)&gt;7,REPLACE(X147,LEN(X147),1,VALUE(RIGHT(X147,1))+1),X147)</f>
        <v>A3.14</v>
      </c>
      <c r="Y148" s="43" cm="1">
        <f t="array" ref="Y148">IF(COUNTIFS($X$2:$X148,$X148)=1,"1",VALUE(SUBSTITUTE(INDEX(Y:Y,_xlfn.XMATCH($X148,$X$1:$X147,0,-1)),"A",""))+INDEX(Z:Z,_xlfn.XMATCH($X148,$X$1:$X147,0,-1))+1)</f>
        <v>3</v>
      </c>
      <c r="Z148" s="43" cm="1">
        <f t="array" ref="Z148">SUM(IF(ISNUMBER(FIND("TmAi",$BE$1:$AAD$1)),IF(IFERROR(ISODD(SUBSTITUTE($BE148:$AAD148,"A","")),FALSE),IF(ISODD(SUBSTITUTE($BE148:$AAD148,"A","")),1,0),0)))</f>
        <v>0</v>
      </c>
      <c r="AA148" t="str">
        <f t="shared" si="125"/>
        <v>5B</v>
      </c>
      <c r="AB148" t="str">
        <f t="shared" si="126"/>
        <v>6B</v>
      </c>
      <c r="AP148" t="s">
        <v>137</v>
      </c>
      <c r="AS148" t="s">
        <v>396</v>
      </c>
      <c r="JZ148" s="27" t="str">
        <f t="shared" si="128"/>
        <v>XT55</v>
      </c>
      <c r="KC148" t="str">
        <f t="shared" si="129"/>
        <v>F0-AI14-5B</v>
      </c>
      <c r="KD148" t="str">
        <f t="shared" si="130"/>
        <v>F0-AI14-6B</v>
      </c>
      <c r="KI148" cm="1">
        <f t="array" ref="KI148">IF(COUNTIFS($U$2:$U148,$U148)=1,1,INDEX(KI:KI,_xlfn.XMATCH(U148,U$1:U147,0,-1))+COUNT(KI147:KM147))</f>
        <v>285</v>
      </c>
      <c r="KJ148">
        <f t="shared" si="131"/>
        <v>286</v>
      </c>
      <c r="KK148">
        <f t="shared" si="131"/>
        <v>287</v>
      </c>
      <c r="KN148">
        <v>1</v>
      </c>
      <c r="KO148" s="16">
        <v>2</v>
      </c>
      <c r="KS148" s="16"/>
    </row>
    <row r="149" spans="1:305" x14ac:dyDescent="0.25">
      <c r="A149" t="s">
        <v>779</v>
      </c>
      <c r="B149" t="s">
        <v>793</v>
      </c>
      <c r="C149" t="s">
        <v>498</v>
      </c>
      <c r="P149" t="s">
        <v>482</v>
      </c>
      <c r="T149" s="14" t="s">
        <v>554</v>
      </c>
      <c r="U149">
        <v>55</v>
      </c>
      <c r="V149" t="s">
        <v>1519</v>
      </c>
      <c r="X149" t="str">
        <f>IF(COUNTIF(X$1:X148,X148)&gt;7,REPLACE(X148,LEN(X148),1,VALUE(RIGHT(X148,1))+1),X148)</f>
        <v>A3.14</v>
      </c>
      <c r="Y149" s="43" cm="1">
        <f t="array" ref="Y149">IF(COUNTIFS($X$2:$X149,$X149)=1,"1",VALUE(SUBSTITUTE(INDEX(Y:Y,_xlfn.XMATCH($X149,$X$1:$X148,0,-1)),"A",""))+INDEX(Z:Z,_xlfn.XMATCH($X149,$X$1:$X148,0,-1))+1)</f>
        <v>4</v>
      </c>
      <c r="Z149" s="43" cm="1">
        <f t="array" ref="Z149">SUM(IF(ISNUMBER(FIND("TmAi",$BE$1:$AAD$1)),IF(IFERROR(ISODD(SUBSTITUTE($BE149:$AAD149,"A","")),FALSE),IF(ISODD(SUBSTITUTE($BE149:$AAD149,"A","")),1,0),0)))</f>
        <v>0</v>
      </c>
      <c r="AA149" t="str">
        <f t="shared" si="125"/>
        <v>7B</v>
      </c>
      <c r="AB149" t="str">
        <f t="shared" si="126"/>
        <v>8B</v>
      </c>
      <c r="AP149" t="s">
        <v>137</v>
      </c>
      <c r="AS149" t="s">
        <v>396</v>
      </c>
      <c r="JZ149" s="27" t="str">
        <f t="shared" si="128"/>
        <v>XT55</v>
      </c>
      <c r="KC149" t="str">
        <f t="shared" si="129"/>
        <v>F0-AI14-7B</v>
      </c>
      <c r="KD149" t="str">
        <f t="shared" si="130"/>
        <v>F0-AI14-8B</v>
      </c>
      <c r="KI149" cm="1">
        <f t="array" ref="KI149">IF(COUNTIFS($U$2:$U149,$U149)=1,1,INDEX(KI:KI,_xlfn.XMATCH(U149,U$1:U148,0,-1))+COUNT(KI148:KM148))</f>
        <v>288</v>
      </c>
      <c r="KJ149">
        <f t="shared" si="131"/>
        <v>289</v>
      </c>
      <c r="KK149">
        <f t="shared" si="131"/>
        <v>290</v>
      </c>
      <c r="KN149">
        <v>1</v>
      </c>
      <c r="KO149" s="16">
        <v>2</v>
      </c>
      <c r="KS149" s="16"/>
    </row>
    <row r="150" spans="1:305" x14ac:dyDescent="0.25">
      <c r="A150" t="s">
        <v>780</v>
      </c>
      <c r="B150" s="33" t="s">
        <v>794</v>
      </c>
      <c r="C150" t="s">
        <v>492</v>
      </c>
      <c r="P150" t="s">
        <v>482</v>
      </c>
      <c r="T150" s="14" t="s">
        <v>554</v>
      </c>
      <c r="U150">
        <v>55</v>
      </c>
      <c r="V150" t="s">
        <v>1520</v>
      </c>
      <c r="X150" t="str">
        <f>IF(COUNTIF(X$1:X149,X149)&gt;7,REPLACE(X149,LEN(X149),1,VALUE(RIGHT(X149,1))+1),X149)</f>
        <v>A3.14</v>
      </c>
      <c r="Y150" s="43" cm="1">
        <f t="array" ref="Y150">IF(COUNTIFS($X$2:$X150,$X150)=1,"1",VALUE(SUBSTITUTE(INDEX(Y:Y,_xlfn.XMATCH($X150,$X$1:$X149,0,-1)),"A",""))+INDEX(Z:Z,_xlfn.XMATCH($X150,$X$1:$X149,0,-1))+1)</f>
        <v>5</v>
      </c>
      <c r="Z150" s="43" cm="1">
        <f t="array" ref="Z150">SUM(IF(ISNUMBER(FIND("TmAi",$BE$1:$AAD$1)),IF(IFERROR(ISODD(SUBSTITUTE($BE150:$AAD150,"A","")),FALSE),IF(ISODD(SUBSTITUTE($BE150:$AAD150,"A","")),1,0),0)))</f>
        <v>0</v>
      </c>
      <c r="AA150" t="str">
        <f t="shared" si="125"/>
        <v>9B</v>
      </c>
      <c r="AB150" t="str">
        <f t="shared" si="126"/>
        <v>10B</v>
      </c>
      <c r="AP150" t="s">
        <v>137</v>
      </c>
      <c r="AS150" t="s">
        <v>396</v>
      </c>
      <c r="JZ150" s="27" t="str">
        <f t="shared" si="128"/>
        <v>XT55</v>
      </c>
      <c r="KC150" t="str">
        <f t="shared" si="129"/>
        <v>F0-AI14-9B</v>
      </c>
      <c r="KD150" t="str">
        <f t="shared" si="130"/>
        <v>F0-AI14-10B</v>
      </c>
      <c r="KI150" cm="1">
        <f t="array" ref="KI150">IF(COUNTIFS($U$2:$U150,$U150)=1,1,INDEX(KI:KI,_xlfn.XMATCH(U150,U$1:U149,0,-1))+COUNT(KI149:KM149))</f>
        <v>291</v>
      </c>
      <c r="KJ150">
        <f t="shared" si="131"/>
        <v>292</v>
      </c>
      <c r="KK150">
        <f t="shared" si="131"/>
        <v>293</v>
      </c>
      <c r="KN150">
        <v>1</v>
      </c>
      <c r="KO150" s="16">
        <v>2</v>
      </c>
      <c r="KS150" s="16"/>
    </row>
    <row r="151" spans="1:305" x14ac:dyDescent="0.25">
      <c r="A151" t="s">
        <v>781</v>
      </c>
      <c r="B151" t="s">
        <v>795</v>
      </c>
      <c r="C151" t="s">
        <v>498</v>
      </c>
      <c r="P151" t="s">
        <v>482</v>
      </c>
      <c r="T151" s="14" t="s">
        <v>554</v>
      </c>
      <c r="U151">
        <v>55</v>
      </c>
      <c r="V151" t="s">
        <v>1521</v>
      </c>
      <c r="X151" t="str">
        <f>IF(COUNTIF(X$1:X150,X150)&gt;7,REPLACE(X150,LEN(X150),1,VALUE(RIGHT(X150,1))+1),X150)</f>
        <v>A3.14</v>
      </c>
      <c r="Y151" s="43" cm="1">
        <f t="array" ref="Y151">IF(COUNTIFS($X$2:$X151,$X151)=1,"1",VALUE(SUBSTITUTE(INDEX(Y:Y,_xlfn.XMATCH($X151,$X$1:$X150,0,-1)),"A",""))+INDEX(Z:Z,_xlfn.XMATCH($X151,$X$1:$X150,0,-1))+1)</f>
        <v>6</v>
      </c>
      <c r="Z151" s="43" cm="1">
        <f t="array" ref="Z151">SUM(IF(ISNUMBER(FIND("TmAi",$BE$1:$AAD$1)),IF(IFERROR(ISODD(SUBSTITUTE($BE151:$AAD151,"A","")),FALSE),IF(ISODD(SUBSTITUTE($BE151:$AAD151,"A","")),1,0),0)))</f>
        <v>0</v>
      </c>
      <c r="AA151" t="str">
        <f t="shared" si="125"/>
        <v>11B</v>
      </c>
      <c r="AB151" t="str">
        <f t="shared" si="126"/>
        <v>12B</v>
      </c>
      <c r="AP151" t="s">
        <v>137</v>
      </c>
      <c r="AS151" t="s">
        <v>396</v>
      </c>
      <c r="JZ151" s="27" t="str">
        <f t="shared" si="128"/>
        <v>XT55</v>
      </c>
      <c r="KC151" t="str">
        <f t="shared" si="129"/>
        <v>F0-AI14-11B</v>
      </c>
      <c r="KD151" t="str">
        <f t="shared" si="130"/>
        <v>F0-AI14-12B</v>
      </c>
      <c r="KI151" cm="1">
        <f t="array" ref="KI151">IF(COUNTIFS($U$2:$U151,$U151)=1,1,INDEX(KI:KI,_xlfn.XMATCH(U151,U$1:U150,0,-1))+COUNT(KI150:KM150))</f>
        <v>294</v>
      </c>
      <c r="KJ151">
        <f t="shared" si="131"/>
        <v>295</v>
      </c>
      <c r="KK151">
        <f t="shared" si="131"/>
        <v>296</v>
      </c>
      <c r="KN151">
        <v>1</v>
      </c>
      <c r="KO151" s="16">
        <v>2</v>
      </c>
      <c r="KS151" s="16"/>
    </row>
    <row r="152" spans="1:305" x14ac:dyDescent="0.25">
      <c r="A152" t="s">
        <v>782</v>
      </c>
      <c r="B152" s="33" t="s">
        <v>796</v>
      </c>
      <c r="C152" t="s">
        <v>492</v>
      </c>
      <c r="P152" t="s">
        <v>482</v>
      </c>
      <c r="T152" s="14" t="s">
        <v>554</v>
      </c>
      <c r="U152">
        <v>55</v>
      </c>
      <c r="V152" t="s">
        <v>1522</v>
      </c>
      <c r="X152" t="str">
        <f>IF(COUNTIF(X$1:X151,X151)&gt;7,REPLACE(X151,LEN(X151),1,VALUE(RIGHT(X151,1))+1),X151)</f>
        <v>A3.14</v>
      </c>
      <c r="Y152" s="43" cm="1">
        <f t="array" ref="Y152">IF(COUNTIFS($X$2:$X152,$X152)=1,"1",VALUE(SUBSTITUTE(INDEX(Y:Y,_xlfn.XMATCH($X152,$X$1:$X151,0,-1)),"A",""))+INDEX(Z:Z,_xlfn.XMATCH($X152,$X$1:$X151,0,-1))+1)</f>
        <v>7</v>
      </c>
      <c r="Z152" s="43" cm="1">
        <f t="array" ref="Z152">SUM(IF(ISNUMBER(FIND("TmAi",$BE$1:$AAD$1)),IF(IFERROR(ISODD(SUBSTITUTE($BE152:$AAD152,"A","")),FALSE),IF(ISODD(SUBSTITUTE($BE152:$AAD152,"A","")),1,0),0)))</f>
        <v>0</v>
      </c>
      <c r="AA152" t="str">
        <f t="shared" si="125"/>
        <v>13B</v>
      </c>
      <c r="AB152" t="str">
        <f t="shared" si="126"/>
        <v>14B</v>
      </c>
      <c r="AP152" t="s">
        <v>137</v>
      </c>
      <c r="AS152" t="s">
        <v>396</v>
      </c>
      <c r="JZ152" s="27" t="str">
        <f t="shared" si="128"/>
        <v>XT55</v>
      </c>
      <c r="KC152" t="str">
        <f t="shared" si="129"/>
        <v>F0-AI14-13B</v>
      </c>
      <c r="KD152" t="str">
        <f t="shared" si="130"/>
        <v>F0-AI14-14B</v>
      </c>
      <c r="KI152" cm="1">
        <f t="array" ref="KI152">IF(COUNTIFS($U$2:$U152,$U152)=1,1,INDEX(KI:KI,_xlfn.XMATCH(U152,U$1:U151,0,-1))+COUNT(KI151:KM151))</f>
        <v>297</v>
      </c>
      <c r="KJ152">
        <f t="shared" si="131"/>
        <v>298</v>
      </c>
      <c r="KK152">
        <f t="shared" si="131"/>
        <v>299</v>
      </c>
      <c r="KN152">
        <v>1</v>
      </c>
      <c r="KO152" s="16">
        <v>2</v>
      </c>
      <c r="KS152" s="16"/>
    </row>
    <row r="153" spans="1:305" x14ac:dyDescent="0.25">
      <c r="A153" t="s">
        <v>783</v>
      </c>
      <c r="B153" t="s">
        <v>797</v>
      </c>
      <c r="C153" t="s">
        <v>498</v>
      </c>
      <c r="P153" t="s">
        <v>482</v>
      </c>
      <c r="T153" s="14" t="s">
        <v>554</v>
      </c>
      <c r="U153">
        <v>55</v>
      </c>
      <c r="V153" t="s">
        <v>1523</v>
      </c>
      <c r="X153" s="33" t="str">
        <f>IF(COUNTIF(X$1:X152,X152)&gt;7,REPLACE(X152,LEN(X152),1,VALUE(RIGHT(X152,1))+1),X152)</f>
        <v>A3.14</v>
      </c>
      <c r="Y153" s="45" cm="1">
        <f t="array" ref="Y153">IF(COUNTIFS($X$2:$X153,$X153)=1,"1",VALUE(SUBSTITUTE(INDEX(Y:Y,_xlfn.XMATCH($X153,$X$1:$X152,0,-1)),"A",""))+INDEX(Z:Z,_xlfn.XMATCH($X153,$X$1:$X152,0,-1))+1)</f>
        <v>8</v>
      </c>
      <c r="Z153" s="43" cm="1">
        <f t="array" ref="Z153">SUM(IF(ISNUMBER(FIND("TmAi",$BE$1:$AAD$1)),IF(IFERROR(ISODD(SUBSTITUTE($BE153:$AAD153,"A","")),FALSE),IF(ISODD(SUBSTITUTE($BE153:$AAD153,"A","")),1,0),0)))</f>
        <v>0</v>
      </c>
      <c r="AA153" t="str">
        <f t="shared" si="125"/>
        <v>15B</v>
      </c>
      <c r="AB153" t="str">
        <f t="shared" si="126"/>
        <v>16B</v>
      </c>
      <c r="AP153" t="s">
        <v>137</v>
      </c>
      <c r="AS153" t="s">
        <v>396</v>
      </c>
      <c r="JZ153" s="27" t="str">
        <f t="shared" si="128"/>
        <v>XT55</v>
      </c>
      <c r="KC153" t="str">
        <f t="shared" si="129"/>
        <v>F0-AI14-15B</v>
      </c>
      <c r="KD153" t="str">
        <f t="shared" si="130"/>
        <v>F0-AI14-16B</v>
      </c>
      <c r="KI153" cm="1">
        <f t="array" ref="KI153">IF(COUNTIFS($U$2:$U153,$U153)=1,1,INDEX(KI:KI,_xlfn.XMATCH(U153,U$1:U152,0,-1))+COUNT(KI152:KM152))</f>
        <v>300</v>
      </c>
      <c r="KJ153">
        <f t="shared" si="131"/>
        <v>301</v>
      </c>
      <c r="KK153">
        <f t="shared" si="131"/>
        <v>302</v>
      </c>
      <c r="KN153">
        <v>1</v>
      </c>
      <c r="KO153" s="16">
        <v>2</v>
      </c>
      <c r="KS153" s="16"/>
    </row>
    <row r="154" spans="1:305" x14ac:dyDescent="0.25">
      <c r="A154" t="s">
        <v>784</v>
      </c>
      <c r="B154" s="33" t="s">
        <v>798</v>
      </c>
      <c r="C154" t="s">
        <v>492</v>
      </c>
      <c r="P154" t="s">
        <v>482</v>
      </c>
      <c r="T154" s="14" t="s">
        <v>554</v>
      </c>
      <c r="U154">
        <v>55</v>
      </c>
      <c r="V154" t="s">
        <v>1524</v>
      </c>
      <c r="X154" t="str">
        <f>IF(COUNTIF(X$1:X153,X153)&gt;7,REPLACE(X153,LEN(X153),1,VALUE(RIGHT(X153,1))+1),X153)</f>
        <v>A3.15</v>
      </c>
      <c r="Y154" s="43" t="str" cm="1">
        <f t="array" ref="Y154">IF(COUNTIFS($X$2:$X154,$X154)=1,"1",VALUE(SUBSTITUTE(INDEX(Y:Y,_xlfn.XMATCH($X154,$X$1:$X153,0,-1)),"A",""))+INDEX(Z:Z,_xlfn.XMATCH($X154,$X$1:$X153,0,-1))+1)</f>
        <v>1</v>
      </c>
      <c r="Z154" s="43" cm="1">
        <f t="array" ref="Z154">SUM(IF(ISNUMBER(FIND("TmAi",$BE$1:$AAD$1)),IF(IFERROR(ISODD(SUBSTITUTE($BE154:$AAD154,"A","")),FALSE),IF(ISODD(SUBSTITUTE($BE154:$AAD154,"A","")),1,0),0)))</f>
        <v>0</v>
      </c>
      <c r="AA154" t="str">
        <f t="shared" ref="AA154:AA165" si="132">CONCATENATE($Y154*2-1,"B")</f>
        <v>1B</v>
      </c>
      <c r="AB154" t="str">
        <f t="shared" ref="AB154:AB165" si="133">CONCATENATE($Y154*2,"B")</f>
        <v>2B</v>
      </c>
      <c r="AP154" t="s">
        <v>137</v>
      </c>
      <c r="AS154" t="s">
        <v>396</v>
      </c>
      <c r="JZ154" s="27" t="str">
        <f t="shared" si="128"/>
        <v>XT55</v>
      </c>
      <c r="KC154" t="str">
        <f t="shared" si="129"/>
        <v>F0-AI15-1B</v>
      </c>
      <c r="KD154" t="str">
        <f t="shared" si="130"/>
        <v>F0-AI15-2B</v>
      </c>
      <c r="KI154" cm="1">
        <f t="array" ref="KI154">IF(COUNTIFS($U$2:$U154,$U154)=1,1,INDEX(KI:KI,_xlfn.XMATCH(U154,U$1:U153,0,-1))+COUNT(KI153:KM153))</f>
        <v>303</v>
      </c>
      <c r="KJ154">
        <f t="shared" si="131"/>
        <v>304</v>
      </c>
      <c r="KK154">
        <f t="shared" si="131"/>
        <v>305</v>
      </c>
      <c r="KN154">
        <v>1</v>
      </c>
      <c r="KO154" s="16">
        <v>2</v>
      </c>
      <c r="KS154" s="16"/>
    </row>
    <row r="155" spans="1:305" x14ac:dyDescent="0.25">
      <c r="A155" t="s">
        <v>785</v>
      </c>
      <c r="B155" t="s">
        <v>799</v>
      </c>
      <c r="C155" t="s">
        <v>498</v>
      </c>
      <c r="P155" t="s">
        <v>482</v>
      </c>
      <c r="T155" s="14" t="s">
        <v>554</v>
      </c>
      <c r="U155">
        <v>55</v>
      </c>
      <c r="V155" t="s">
        <v>1525</v>
      </c>
      <c r="X155" t="str">
        <f>IF(COUNTIF(X$1:X154,X154)&gt;7,REPLACE(X154,LEN(X154),1,VALUE(RIGHT(X154,1))+1),X154)</f>
        <v>A3.15</v>
      </c>
      <c r="Y155" s="43" cm="1">
        <f t="array" ref="Y155">IF(COUNTIFS($X$2:$X155,$X155)=1,"1",VALUE(SUBSTITUTE(INDEX(Y:Y,_xlfn.XMATCH($X155,$X$1:$X154,0,-1)),"A",""))+INDEX(Z:Z,_xlfn.XMATCH($X155,$X$1:$X154,0,-1))+1)</f>
        <v>2</v>
      </c>
      <c r="Z155" s="43" cm="1">
        <f t="array" ref="Z155">SUM(IF(ISNUMBER(FIND("TmAi",$BE$1:$AAD$1)),IF(IFERROR(ISODD(SUBSTITUTE($BE155:$AAD155,"A","")),FALSE),IF(ISODD(SUBSTITUTE($BE155:$AAD155,"A","")),1,0),0)))</f>
        <v>0</v>
      </c>
      <c r="AA155" t="str">
        <f t="shared" si="132"/>
        <v>3B</v>
      </c>
      <c r="AB155" t="str">
        <f t="shared" si="133"/>
        <v>4B</v>
      </c>
      <c r="AP155" t="s">
        <v>137</v>
      </c>
      <c r="AS155" t="s">
        <v>396</v>
      </c>
      <c r="JZ155" s="27" t="str">
        <f t="shared" si="128"/>
        <v>XT55</v>
      </c>
      <c r="KC155" t="str">
        <f t="shared" si="129"/>
        <v>F0-AI15-3B</v>
      </c>
      <c r="KD155" t="str">
        <f t="shared" si="130"/>
        <v>F0-AI15-4B</v>
      </c>
      <c r="KI155" cm="1">
        <f t="array" ref="KI155">IF(COUNTIFS($U$2:$U155,$U155)=1,1,INDEX(KI:KI,_xlfn.XMATCH(U155,U$1:U154,0,-1))+COUNT(KI154:KM154))</f>
        <v>306</v>
      </c>
      <c r="KJ155">
        <f t="shared" si="131"/>
        <v>307</v>
      </c>
      <c r="KK155">
        <f t="shared" si="131"/>
        <v>308</v>
      </c>
      <c r="KN155">
        <v>1</v>
      </c>
      <c r="KO155" s="16">
        <v>2</v>
      </c>
      <c r="KS155" s="16"/>
    </row>
    <row r="156" spans="1:305" x14ac:dyDescent="0.25">
      <c r="A156" t="s">
        <v>786</v>
      </c>
      <c r="B156" s="33" t="s">
        <v>800</v>
      </c>
      <c r="C156" t="s">
        <v>492</v>
      </c>
      <c r="P156" t="s">
        <v>482</v>
      </c>
      <c r="T156" s="14" t="s">
        <v>554</v>
      </c>
      <c r="U156">
        <v>55</v>
      </c>
      <c r="V156" t="s">
        <v>1526</v>
      </c>
      <c r="X156" t="str">
        <f>IF(COUNTIF(X$1:X155,X155)&gt;7,REPLACE(X155,LEN(X155),1,VALUE(RIGHT(X155,1))+1),X155)</f>
        <v>A3.15</v>
      </c>
      <c r="Y156" s="43" cm="1">
        <f t="array" ref="Y156">IF(COUNTIFS($X$2:$X156,$X156)=1,"1",VALUE(SUBSTITUTE(INDEX(Y:Y,_xlfn.XMATCH($X156,$X$1:$X155,0,-1)),"A",""))+INDEX(Z:Z,_xlfn.XMATCH($X156,$X$1:$X155,0,-1))+1)</f>
        <v>3</v>
      </c>
      <c r="Z156" s="43" cm="1">
        <f t="array" ref="Z156">SUM(IF(ISNUMBER(FIND("TmAi",$BE$1:$AAD$1)),IF(IFERROR(ISODD(SUBSTITUTE($BE156:$AAD156,"A","")),FALSE),IF(ISODD(SUBSTITUTE($BE156:$AAD156,"A","")),1,0),0)))</f>
        <v>0</v>
      </c>
      <c r="AA156" t="str">
        <f t="shared" si="132"/>
        <v>5B</v>
      </c>
      <c r="AB156" t="str">
        <f t="shared" si="133"/>
        <v>6B</v>
      </c>
      <c r="AP156" t="s">
        <v>137</v>
      </c>
      <c r="AS156" t="s">
        <v>396</v>
      </c>
      <c r="JZ156" s="27" t="str">
        <f t="shared" si="128"/>
        <v>XT55</v>
      </c>
      <c r="KC156" t="str">
        <f t="shared" si="129"/>
        <v>F0-AI15-5B</v>
      </c>
      <c r="KD156" t="str">
        <f t="shared" si="130"/>
        <v>F0-AI15-6B</v>
      </c>
      <c r="KI156" cm="1">
        <f t="array" ref="KI156">IF(COUNTIFS($U$2:$U156,$U156)=1,1,INDEX(KI:KI,_xlfn.XMATCH(U156,U$1:U155,0,-1))+COUNT(KI155:KM155))</f>
        <v>309</v>
      </c>
      <c r="KJ156">
        <f t="shared" si="131"/>
        <v>310</v>
      </c>
      <c r="KK156">
        <f t="shared" si="131"/>
        <v>311</v>
      </c>
      <c r="KN156">
        <v>1</v>
      </c>
      <c r="KO156" s="16">
        <v>2</v>
      </c>
      <c r="KS156" s="16"/>
    </row>
    <row r="157" spans="1:305" x14ac:dyDescent="0.25">
      <c r="A157" t="s">
        <v>787</v>
      </c>
      <c r="B157" t="s">
        <v>801</v>
      </c>
      <c r="C157" t="s">
        <v>498</v>
      </c>
      <c r="P157" t="s">
        <v>482</v>
      </c>
      <c r="T157" s="14" t="s">
        <v>554</v>
      </c>
      <c r="U157">
        <v>55</v>
      </c>
      <c r="V157" t="s">
        <v>1527</v>
      </c>
      <c r="X157" t="str">
        <f>IF(COUNTIF(X$1:X156,X156)&gt;7,REPLACE(X156,LEN(X156),1,VALUE(RIGHT(X156,1))+1),X156)</f>
        <v>A3.15</v>
      </c>
      <c r="Y157" s="43" cm="1">
        <f t="array" ref="Y157">IF(COUNTIFS($X$2:$X157,$X157)=1,"1",VALUE(SUBSTITUTE(INDEX(Y:Y,_xlfn.XMATCH($X157,$X$1:$X156,0,-1)),"A",""))+INDEX(Z:Z,_xlfn.XMATCH($X157,$X$1:$X156,0,-1))+1)</f>
        <v>4</v>
      </c>
      <c r="Z157" s="43" cm="1">
        <f t="array" ref="Z157">SUM(IF(ISNUMBER(FIND("TmAi",$BE$1:$AAD$1)),IF(IFERROR(ISODD(SUBSTITUTE($BE157:$AAD157,"A","")),FALSE),IF(ISODD(SUBSTITUTE($BE157:$AAD157,"A","")),1,0),0)))</f>
        <v>0</v>
      </c>
      <c r="AA157" t="str">
        <f t="shared" si="132"/>
        <v>7B</v>
      </c>
      <c r="AB157" t="str">
        <f t="shared" si="133"/>
        <v>8B</v>
      </c>
      <c r="AP157" t="s">
        <v>137</v>
      </c>
      <c r="AS157" t="s">
        <v>396</v>
      </c>
      <c r="JZ157" s="27" t="str">
        <f t="shared" si="128"/>
        <v>XT55</v>
      </c>
      <c r="KC157" t="str">
        <f t="shared" si="129"/>
        <v>F0-AI15-7B</v>
      </c>
      <c r="KD157" t="str">
        <f t="shared" si="130"/>
        <v>F0-AI15-8B</v>
      </c>
      <c r="KI157" cm="1">
        <f t="array" ref="KI157">IF(COUNTIFS($U$2:$U157,$U157)=1,1,INDEX(KI:KI,_xlfn.XMATCH(U157,U$1:U156,0,-1))+COUNT(KI156:KM156))</f>
        <v>312</v>
      </c>
      <c r="KJ157">
        <f t="shared" si="131"/>
        <v>313</v>
      </c>
      <c r="KK157">
        <f t="shared" si="131"/>
        <v>314</v>
      </c>
      <c r="KN157">
        <v>1</v>
      </c>
      <c r="KO157" s="16">
        <v>2</v>
      </c>
      <c r="KS157" s="16"/>
    </row>
    <row r="158" spans="1:305" x14ac:dyDescent="0.25">
      <c r="A158" t="s">
        <v>788</v>
      </c>
      <c r="B158" s="33" t="s">
        <v>802</v>
      </c>
      <c r="C158" t="s">
        <v>492</v>
      </c>
      <c r="P158" t="s">
        <v>482</v>
      </c>
      <c r="T158" s="14" t="s">
        <v>554</v>
      </c>
      <c r="U158">
        <v>55</v>
      </c>
      <c r="V158" t="s">
        <v>1528</v>
      </c>
      <c r="X158" t="str">
        <f>IF(COUNTIF(X$1:X157,X157)&gt;7,REPLACE(X157,LEN(X157),1,VALUE(RIGHT(X157,1))+1),X157)</f>
        <v>A3.15</v>
      </c>
      <c r="Y158" s="43" cm="1">
        <f t="array" ref="Y158">IF(COUNTIFS($X$2:$X158,$X158)=1,"1",VALUE(SUBSTITUTE(INDEX(Y:Y,_xlfn.XMATCH($X158,$X$1:$X157,0,-1)),"A",""))+INDEX(Z:Z,_xlfn.XMATCH($X158,$X$1:$X157,0,-1))+1)</f>
        <v>5</v>
      </c>
      <c r="Z158" s="43" cm="1">
        <f t="array" ref="Z158">SUM(IF(ISNUMBER(FIND("TmAi",$BE$1:$AAD$1)),IF(IFERROR(ISODD(SUBSTITUTE($BE158:$AAD158,"A","")),FALSE),IF(ISODD(SUBSTITUTE($BE158:$AAD158,"A","")),1,0),0)))</f>
        <v>0</v>
      </c>
      <c r="AA158" t="str">
        <f t="shared" si="132"/>
        <v>9B</v>
      </c>
      <c r="AB158" t="str">
        <f t="shared" si="133"/>
        <v>10B</v>
      </c>
      <c r="AP158" t="s">
        <v>137</v>
      </c>
      <c r="AS158" t="s">
        <v>396</v>
      </c>
      <c r="JZ158" s="27" t="str">
        <f t="shared" si="128"/>
        <v>XT55</v>
      </c>
      <c r="KC158" t="str">
        <f t="shared" si="129"/>
        <v>F0-AI15-9B</v>
      </c>
      <c r="KD158" t="str">
        <f t="shared" si="130"/>
        <v>F0-AI15-10B</v>
      </c>
      <c r="KI158" cm="1">
        <f t="array" ref="KI158">IF(COUNTIFS($U$2:$U158,$U158)=1,1,INDEX(KI:KI,_xlfn.XMATCH(U158,U$1:U157,0,-1))+COUNT(KI157:KM157))</f>
        <v>315</v>
      </c>
      <c r="KJ158">
        <f t="shared" si="131"/>
        <v>316</v>
      </c>
      <c r="KK158">
        <f t="shared" si="131"/>
        <v>317</v>
      </c>
      <c r="KN158">
        <v>1</v>
      </c>
      <c r="KO158" s="16">
        <v>2</v>
      </c>
      <c r="KS158" s="16"/>
    </row>
    <row r="159" spans="1:305" x14ac:dyDescent="0.25">
      <c r="A159" t="s">
        <v>818</v>
      </c>
      <c r="B159" s="36" t="s">
        <v>817</v>
      </c>
      <c r="C159" t="s">
        <v>492</v>
      </c>
      <c r="P159" t="s">
        <v>482</v>
      </c>
      <c r="T159" s="14" t="s">
        <v>554</v>
      </c>
      <c r="U159">
        <v>55</v>
      </c>
      <c r="V159" t="s">
        <v>1529</v>
      </c>
      <c r="X159" t="str">
        <f>IF(COUNTIF(X$1:X158,X158)&gt;7,REPLACE(X158,LEN(X158),1,VALUE(RIGHT(X158,1))+1),X158)</f>
        <v>A3.15</v>
      </c>
      <c r="Y159" s="43" cm="1">
        <f t="array" ref="Y159">IF(COUNTIFS($X$2:$X159,$X159)=1,"1",VALUE(SUBSTITUTE(INDEX(Y:Y,_xlfn.XMATCH($X159,$X$1:$X158,0,-1)),"A",""))+INDEX(Z:Z,_xlfn.XMATCH($X159,$X$1:$X158,0,-1))+1)</f>
        <v>6</v>
      </c>
      <c r="Z159" s="43" cm="1">
        <f t="array" ref="Z159">SUM(IF(ISNUMBER(FIND("TmAi",$BE$1:$AAD$1)),IF(IFERROR(ISODD(SUBSTITUTE($BE159:$AAD159,"A","")),FALSE),IF(ISODD(SUBSTITUTE($BE159:$AAD159,"A","")),1,0),0)))</f>
        <v>0</v>
      </c>
      <c r="AA159" t="str">
        <f t="shared" si="132"/>
        <v>11B</v>
      </c>
      <c r="AB159" t="str">
        <f t="shared" si="133"/>
        <v>12B</v>
      </c>
      <c r="AP159" t="s">
        <v>137</v>
      </c>
      <c r="AS159" t="s">
        <v>396</v>
      </c>
      <c r="JZ159" s="27" t="str">
        <f t="shared" si="128"/>
        <v>XT55</v>
      </c>
      <c r="KC159" t="str">
        <f t="shared" si="129"/>
        <v>F0-AI15-11B</v>
      </c>
      <c r="KD159" t="str">
        <f t="shared" si="130"/>
        <v>F0-AI15-12B</v>
      </c>
      <c r="KI159" cm="1">
        <f t="array" ref="KI159">IF(COUNTIFS($U$2:$U159,$U159)=1,1,INDEX(KI:KI,_xlfn.XMATCH(U159,U$1:U158,0,-1))+COUNT(KI158:KM158))</f>
        <v>318</v>
      </c>
      <c r="KJ159">
        <f t="shared" si="131"/>
        <v>319</v>
      </c>
      <c r="KK159">
        <f t="shared" si="131"/>
        <v>320</v>
      </c>
      <c r="KN159">
        <v>1</v>
      </c>
      <c r="KO159" s="16">
        <v>2</v>
      </c>
      <c r="KS159" s="16"/>
    </row>
    <row r="160" spans="1:305" x14ac:dyDescent="0.25">
      <c r="A160" t="s">
        <v>820</v>
      </c>
      <c r="B160" s="36" t="s">
        <v>819</v>
      </c>
      <c r="C160" t="s">
        <v>492</v>
      </c>
      <c r="P160" t="s">
        <v>482</v>
      </c>
      <c r="T160" s="14" t="s">
        <v>554</v>
      </c>
      <c r="U160">
        <v>55</v>
      </c>
      <c r="V160" t="s">
        <v>1530</v>
      </c>
      <c r="X160" t="str">
        <f>IF(COUNTIF(X$1:X159,X159)&gt;7,REPLACE(X159,LEN(X159),1,VALUE(RIGHT(X159,1))+1),X159)</f>
        <v>A3.15</v>
      </c>
      <c r="Y160" s="43" cm="1">
        <f t="array" ref="Y160">IF(COUNTIFS($X$2:$X160,$X160)=1,"1",VALUE(SUBSTITUTE(INDEX(Y:Y,_xlfn.XMATCH($X160,$X$1:$X159,0,-1)),"A",""))+INDEX(Z:Z,_xlfn.XMATCH($X160,$X$1:$X159,0,-1))+1)</f>
        <v>7</v>
      </c>
      <c r="Z160" s="43" cm="1">
        <f t="array" ref="Z160">SUM(IF(ISNUMBER(FIND("TmAi",$BE$1:$AAD$1)),IF(IFERROR(ISODD(SUBSTITUTE($BE160:$AAD160,"A","")),FALSE),IF(ISODD(SUBSTITUTE($BE160:$AAD160,"A","")),1,0),0)))</f>
        <v>0</v>
      </c>
      <c r="AA160" t="str">
        <f t="shared" si="132"/>
        <v>13B</v>
      </c>
      <c r="AB160" t="str">
        <f t="shared" si="133"/>
        <v>14B</v>
      </c>
      <c r="AP160" t="s">
        <v>137</v>
      </c>
      <c r="AS160" t="s">
        <v>396</v>
      </c>
      <c r="JZ160" s="27" t="str">
        <f t="shared" si="128"/>
        <v>XT55</v>
      </c>
      <c r="KC160" t="str">
        <f t="shared" si="129"/>
        <v>F0-AI15-13B</v>
      </c>
      <c r="KD160" t="str">
        <f t="shared" si="130"/>
        <v>F0-AI15-14B</v>
      </c>
      <c r="KI160" cm="1">
        <f t="array" ref="KI160">IF(COUNTIFS($U$2:$U160,$U160)=1,1,INDEX(KI:KI,_xlfn.XMATCH(U160,U$1:U159,0,-1))+COUNT(KI159:KM159))</f>
        <v>321</v>
      </c>
      <c r="KJ160">
        <f t="shared" si="131"/>
        <v>322</v>
      </c>
      <c r="KK160">
        <f t="shared" si="131"/>
        <v>323</v>
      </c>
      <c r="KN160">
        <v>1</v>
      </c>
      <c r="KO160" s="16">
        <v>2</v>
      </c>
      <c r="KS160" s="16"/>
    </row>
    <row r="161" spans="1:334" x14ac:dyDescent="0.25">
      <c r="A161" t="s">
        <v>822</v>
      </c>
      <c r="B161" t="s">
        <v>821</v>
      </c>
      <c r="C161" t="s">
        <v>498</v>
      </c>
      <c r="P161" t="s">
        <v>482</v>
      </c>
      <c r="T161" s="14" t="s">
        <v>554</v>
      </c>
      <c r="U161">
        <v>55</v>
      </c>
      <c r="V161" t="s">
        <v>1531</v>
      </c>
      <c r="X161" s="33" t="str">
        <f>IF(COUNTIF(X$1:X160,X160)&gt;7,REPLACE(X160,LEN(X160),1,VALUE(RIGHT(X160,1))+1),X160)</f>
        <v>A3.15</v>
      </c>
      <c r="Y161" s="45" cm="1">
        <f t="array" ref="Y161">IF(COUNTIFS($X$2:$X161,$X161)=1,"1",VALUE(SUBSTITUTE(INDEX(Y:Y,_xlfn.XMATCH($X161,$X$1:$X160,0,-1)),"A",""))+INDEX(Z:Z,_xlfn.XMATCH($X161,$X$1:$X160,0,-1))+1)</f>
        <v>8</v>
      </c>
      <c r="Z161" s="43" cm="1">
        <f t="array" ref="Z161">SUM(IF(ISNUMBER(FIND("TmAi",$BE$1:$AAD$1)),IF(IFERROR(ISODD(SUBSTITUTE($BE161:$AAD161,"A","")),FALSE),IF(ISODD(SUBSTITUTE($BE161:$AAD161,"A","")),1,0),0)))</f>
        <v>0</v>
      </c>
      <c r="AA161" t="str">
        <f t="shared" si="132"/>
        <v>15B</v>
      </c>
      <c r="AB161" t="str">
        <f t="shared" si="133"/>
        <v>16B</v>
      </c>
      <c r="AP161" t="s">
        <v>137</v>
      </c>
      <c r="AS161" t="s">
        <v>396</v>
      </c>
      <c r="JZ161" s="27" t="str">
        <f t="shared" si="128"/>
        <v>XT55</v>
      </c>
      <c r="KC161" t="str">
        <f t="shared" si="129"/>
        <v>F0-AI15-15B</v>
      </c>
      <c r="KD161" t="str">
        <f t="shared" si="130"/>
        <v>F0-AI15-16B</v>
      </c>
      <c r="KI161" cm="1">
        <f t="array" ref="KI161">IF(COUNTIFS($U$2:$U161,$U161)=1,1,INDEX(KI:KI,_xlfn.XMATCH(U161,U$1:U160,0,-1))+COUNT(KI160:KM160))</f>
        <v>324</v>
      </c>
      <c r="KJ161">
        <f t="shared" si="131"/>
        <v>325</v>
      </c>
      <c r="KK161">
        <f t="shared" si="131"/>
        <v>326</v>
      </c>
      <c r="KN161">
        <v>1</v>
      </c>
      <c r="KO161" s="16">
        <v>2</v>
      </c>
      <c r="KS161" s="16"/>
    </row>
    <row r="162" spans="1:334" x14ac:dyDescent="0.25">
      <c r="A162" t="s">
        <v>824</v>
      </c>
      <c r="B162" t="s">
        <v>823</v>
      </c>
      <c r="C162" t="s">
        <v>498</v>
      </c>
      <c r="P162" t="s">
        <v>482</v>
      </c>
      <c r="T162" s="14" t="s">
        <v>554</v>
      </c>
      <c r="U162">
        <v>55</v>
      </c>
      <c r="V162" t="s">
        <v>1532</v>
      </c>
      <c r="X162" t="str">
        <f>IF(COUNTIF(X$1:X161,X161)&gt;7,REPLACE(X161,LEN(X161),1,VALUE(RIGHT(X161,1))+1),X161)</f>
        <v>A3.16</v>
      </c>
      <c r="Y162" s="43" t="str" cm="1">
        <f t="array" ref="Y162">IF(COUNTIFS($X$2:$X162,$X162)=1,"1",VALUE(SUBSTITUTE(INDEX(Y:Y,_xlfn.XMATCH($X162,$X$1:$X161,0,-1)),"A",""))+INDEX(Z:Z,_xlfn.XMATCH($X162,$X$1:$X161,0,-1))+1)</f>
        <v>1</v>
      </c>
      <c r="Z162" s="46" cm="1">
        <f t="array" ref="Z162">SUM(IF(ISNUMBER(FIND("TmAi",$BE$1:$AAD$1)),IF(IFERROR(ISODD(SUBSTITUTE($BE162:$AAD162,"A","")),FALSE),IF(ISODD(SUBSTITUTE($BE162:$AAD162,"A","")),1,0),0)))</f>
        <v>0</v>
      </c>
      <c r="AA162" t="str">
        <f t="shared" si="132"/>
        <v>1B</v>
      </c>
      <c r="AB162" t="str">
        <f t="shared" si="133"/>
        <v>2B</v>
      </c>
      <c r="AP162" t="s">
        <v>137</v>
      </c>
      <c r="AS162" t="s">
        <v>396</v>
      </c>
      <c r="JZ162" s="27" t="str">
        <f t="shared" si="128"/>
        <v>XT55</v>
      </c>
      <c r="KC162" t="str">
        <f t="shared" si="129"/>
        <v>F0-AI16-1B</v>
      </c>
      <c r="KD162" t="str">
        <f t="shared" si="130"/>
        <v>F0-AI16-2B</v>
      </c>
      <c r="KI162" cm="1">
        <f t="array" ref="KI162">IF(COUNTIFS($U$2:$U162,$U162)=1,1,INDEX(KI:KI,_xlfn.XMATCH(U162,U$1:U161,0,-1))+COUNT(KI161:KM161))</f>
        <v>327</v>
      </c>
      <c r="KJ162">
        <f t="shared" ref="KJ162:KL168" si="134">KI162+1</f>
        <v>328</v>
      </c>
      <c r="KK162">
        <f t="shared" si="134"/>
        <v>329</v>
      </c>
      <c r="KN162">
        <v>1</v>
      </c>
      <c r="KO162" s="16">
        <v>2</v>
      </c>
      <c r="KS162" s="16"/>
    </row>
    <row r="163" spans="1:334" x14ac:dyDescent="0.25">
      <c r="A163" t="s">
        <v>826</v>
      </c>
      <c r="B163" t="s">
        <v>825</v>
      </c>
      <c r="C163" t="s">
        <v>498</v>
      </c>
      <c r="P163" t="s">
        <v>482</v>
      </c>
      <c r="T163" s="14" t="s">
        <v>554</v>
      </c>
      <c r="U163">
        <v>55</v>
      </c>
      <c r="V163" t="s">
        <v>1533</v>
      </c>
      <c r="X163" t="str">
        <f>IF(COUNTIF(X$1:X162,X162)&gt;7,REPLACE(X162,LEN(X162),1,VALUE(RIGHT(X162,1))+1),X162)</f>
        <v>A3.16</v>
      </c>
      <c r="Y163" s="43" cm="1">
        <f t="array" ref="Y163">IF(COUNTIFS($X$2:$X163,$X163)=1,"1",VALUE(SUBSTITUTE(INDEX(Y:Y,_xlfn.XMATCH($X163,$X$1:$X162,0,-1)),"A",""))+INDEX(Z:Z,_xlfn.XMATCH($X163,$X$1:$X162,0,-1))+1)</f>
        <v>2</v>
      </c>
      <c r="Z163" s="46" cm="1">
        <f t="array" ref="Z163">SUM(IF(ISNUMBER(FIND("TmAi",$BE$1:$AAD$1)),IF(IFERROR(ISODD(SUBSTITUTE($BE163:$AAD163,"A","")),FALSE),IF(ISODD(SUBSTITUTE($BE163:$AAD163,"A","")),1,0),0)))</f>
        <v>0</v>
      </c>
      <c r="AA163" t="str">
        <f t="shared" si="132"/>
        <v>3B</v>
      </c>
      <c r="AB163" t="str">
        <f t="shared" si="133"/>
        <v>4B</v>
      </c>
      <c r="AP163" t="s">
        <v>137</v>
      </c>
      <c r="AS163" t="s">
        <v>396</v>
      </c>
      <c r="JZ163" s="27" t="str">
        <f t="shared" si="128"/>
        <v>XT55</v>
      </c>
      <c r="KC163" t="str">
        <f t="shared" si="129"/>
        <v>F0-AI16-3B</v>
      </c>
      <c r="KD163" t="str">
        <f t="shared" si="130"/>
        <v>F0-AI16-4B</v>
      </c>
      <c r="KI163" cm="1">
        <f t="array" ref="KI163">IF(COUNTIFS($U$2:$U163,$U163)=1,1,INDEX(KI:KI,_xlfn.XMATCH(U163,U$1:U162,0,-1))+COUNT(KI162:KM162))</f>
        <v>330</v>
      </c>
      <c r="KJ163">
        <f t="shared" si="134"/>
        <v>331</v>
      </c>
      <c r="KK163">
        <f t="shared" si="134"/>
        <v>332</v>
      </c>
      <c r="KN163">
        <v>1</v>
      </c>
      <c r="KO163" s="16">
        <v>2</v>
      </c>
      <c r="KS163" s="16"/>
    </row>
    <row r="164" spans="1:334" x14ac:dyDescent="0.25">
      <c r="A164" t="s">
        <v>828</v>
      </c>
      <c r="B164" s="33" t="s">
        <v>827</v>
      </c>
      <c r="C164" t="s">
        <v>498</v>
      </c>
      <c r="P164" t="s">
        <v>482</v>
      </c>
      <c r="T164" s="14" t="s">
        <v>554</v>
      </c>
      <c r="U164">
        <v>55</v>
      </c>
      <c r="V164" t="s">
        <v>1534</v>
      </c>
      <c r="X164" t="str">
        <f>IF(COUNTIF(X$1:X163,X163)&gt;7,REPLACE(X163,LEN(X163),1,VALUE(RIGHT(X163,1))+1),X163)</f>
        <v>A3.16</v>
      </c>
      <c r="Y164" s="43" cm="1">
        <f t="array" ref="Y164">IF(COUNTIFS($X$2:$X164,$X164)=1,"1",VALUE(SUBSTITUTE(INDEX(Y:Y,_xlfn.XMATCH($X164,$X$1:$X163,0,-1)),"A",""))+INDEX(Z:Z,_xlfn.XMATCH($X164,$X$1:$X163,0,-1))+1)</f>
        <v>3</v>
      </c>
      <c r="Z164" s="46" cm="1">
        <f t="array" ref="Z164">SUM(IF(ISNUMBER(FIND("TmAi",$BE$1:$AAD$1)),IF(IFERROR(ISODD(SUBSTITUTE($BE164:$AAD164,"A","")),FALSE),IF(ISODD(SUBSTITUTE($BE164:$AAD164,"A","")),1,0),0)))</f>
        <v>0</v>
      </c>
      <c r="AA164" t="str">
        <f t="shared" si="132"/>
        <v>5B</v>
      </c>
      <c r="AB164" t="str">
        <f t="shared" si="133"/>
        <v>6B</v>
      </c>
      <c r="AP164" t="s">
        <v>137</v>
      </c>
      <c r="AS164" t="s">
        <v>396</v>
      </c>
      <c r="JZ164" s="27" t="str">
        <f t="shared" si="128"/>
        <v>XT55</v>
      </c>
      <c r="KC164" t="str">
        <f t="shared" si="129"/>
        <v>F0-AI16-5B</v>
      </c>
      <c r="KD164" t="str">
        <f t="shared" si="130"/>
        <v>F0-AI16-6B</v>
      </c>
      <c r="KI164" cm="1">
        <f t="array" ref="KI164">IF(COUNTIFS($U$2:$U164,$U164)=1,1,INDEX(KI:KI,_xlfn.XMATCH(U164,U$1:U163,0,-1))+COUNT(KI163:KM163))</f>
        <v>333</v>
      </c>
      <c r="KJ164">
        <f t="shared" si="134"/>
        <v>334</v>
      </c>
      <c r="KK164">
        <f t="shared" si="134"/>
        <v>335</v>
      </c>
      <c r="KN164">
        <v>1</v>
      </c>
      <c r="KO164" s="16">
        <v>2</v>
      </c>
      <c r="KS164" s="16"/>
    </row>
    <row r="165" spans="1:334" x14ac:dyDescent="0.25">
      <c r="A165" t="s">
        <v>830</v>
      </c>
      <c r="B165" t="s">
        <v>829</v>
      </c>
      <c r="C165" t="s">
        <v>498</v>
      </c>
      <c r="P165" t="s">
        <v>482</v>
      </c>
      <c r="T165" s="14" t="s">
        <v>554</v>
      </c>
      <c r="U165">
        <v>55</v>
      </c>
      <c r="V165" t="s">
        <v>1535</v>
      </c>
      <c r="X165" s="33" t="str">
        <f>IF(COUNTIF(X$1:X164,X164)&gt;7,REPLACE(X164,LEN(X164),1,VALUE(RIGHT(X164,1))+1),X164)</f>
        <v>A3.16</v>
      </c>
      <c r="Y165" s="45" cm="1">
        <f t="array" ref="Y165">IF(COUNTIFS($X$2:$X165,$X165)=1,"1",VALUE(SUBSTITUTE(INDEX(Y:Y,_xlfn.XMATCH($X165,$X$1:$X164,0,-1)),"A",""))+INDEX(Z:Z,_xlfn.XMATCH($X165,$X$1:$X164,0,-1))+1)</f>
        <v>4</v>
      </c>
      <c r="Z165" s="46" cm="1">
        <f t="array" ref="Z165">SUM(IF(ISNUMBER(FIND("TmAi",$BE$1:$AAD$1)),IF(IFERROR(ISODD(SUBSTITUTE($BE165:$AAD165,"A","")),FALSE),IF(ISODD(SUBSTITUTE($BE165:$AAD165,"A","")),1,0),0)))</f>
        <v>0</v>
      </c>
      <c r="AA165" t="str">
        <f t="shared" si="132"/>
        <v>7B</v>
      </c>
      <c r="AB165" t="str">
        <f t="shared" si="133"/>
        <v>8B</v>
      </c>
      <c r="AP165" t="s">
        <v>137</v>
      </c>
      <c r="AS165" t="s">
        <v>396</v>
      </c>
      <c r="JZ165" s="27" t="str">
        <f t="shared" si="128"/>
        <v>XT55</v>
      </c>
      <c r="KC165" t="str">
        <f t="shared" si="129"/>
        <v>F0-AI16-7B</v>
      </c>
      <c r="KD165" t="str">
        <f t="shared" si="130"/>
        <v>F0-AI16-8B</v>
      </c>
      <c r="KI165" cm="1">
        <f t="array" ref="KI165">IF(COUNTIFS($U$2:$U165,$U165)=1,1,INDEX(KI:KI,_xlfn.XMATCH(U165,U$1:U164,0,-1))+COUNT(KI164:KM164))</f>
        <v>336</v>
      </c>
      <c r="KJ165">
        <f t="shared" si="134"/>
        <v>337</v>
      </c>
      <c r="KK165">
        <f t="shared" si="134"/>
        <v>338</v>
      </c>
      <c r="KN165">
        <v>1</v>
      </c>
      <c r="KO165" s="16">
        <v>2</v>
      </c>
      <c r="KS165" s="16"/>
    </row>
    <row r="166" spans="1:334" x14ac:dyDescent="0.25">
      <c r="A166" t="s">
        <v>832</v>
      </c>
      <c r="B166" t="s">
        <v>831</v>
      </c>
      <c r="C166" t="s">
        <v>537</v>
      </c>
      <c r="P166" t="s">
        <v>542</v>
      </c>
      <c r="T166" s="14" t="s">
        <v>554</v>
      </c>
      <c r="U166">
        <v>55</v>
      </c>
      <c r="V166" t="s">
        <v>1536</v>
      </c>
      <c r="X166" t="s">
        <v>1281</v>
      </c>
      <c r="Y166" s="43" cm="1">
        <f t="array" ref="Y166">IF(COUNTIFS($X$2:$X166,$X166)=1,"1",VALUE(SUBSTITUTE(INDEX(Y:Y,_xlfn.XMATCH($X166,$X$1:$X165,0,-1)),"A",""))+INDEX(Z:Z,_xlfn.XMATCH($X166,$X$1:$X165,0,-1))+1)</f>
        <v>3</v>
      </c>
      <c r="Z166" s="46" cm="1">
        <f t="array" ref="Z166">SUM(IF(ISNUMBER(FIND("TmAi",$BE$1:$AAD$1)),IF(IFERROR(ISODD(SUBSTITUTE($BE166:$AAD166,"A","")),FALSE),IF(ISODD(SUBSTITUTE($BE166:$AAD166,"A","")),1,0),0)))</f>
        <v>0</v>
      </c>
      <c r="AA166" t="str">
        <f t="shared" ref="AA166:AA168" si="135">CONCATENATE($Y166*2-1,"A")</f>
        <v>5A</v>
      </c>
      <c r="AB166" t="str">
        <f t="shared" ref="AB166:AB168" si="136">CONCATENATE($Y166*2-1,"B")</f>
        <v>5B</v>
      </c>
      <c r="AP166" t="s">
        <v>137</v>
      </c>
      <c r="AS166" t="s">
        <v>396</v>
      </c>
      <c r="JZ166" s="27" t="str">
        <f t="shared" si="128"/>
        <v>XT55</v>
      </c>
      <c r="KA166" t="str">
        <f>REPLACE($AA166,1,1,LEFT($AA166,1)+1)</f>
        <v>6A</v>
      </c>
      <c r="KB166" t="str">
        <f>REPLACE(AB166,1,1,LEFT(AB166,1)+1)</f>
        <v>6B</v>
      </c>
      <c r="KC166" t="str">
        <f t="shared" si="129"/>
        <v>F0-AI34-5A</v>
      </c>
      <c r="KD166" t="str">
        <f t="shared" si="130"/>
        <v>F0-AI34-5B</v>
      </c>
      <c r="KE166" t="str">
        <f>CONCATENATE($T166,"-AI",REPLACE($X166,1,3,""),"-",KA166)</f>
        <v>F0-AI34-6A</v>
      </c>
      <c r="KF166" t="str">
        <f>CONCATENATE($T166,"-AI",REPLACE($X166,1,3,""),"-",KB166)</f>
        <v>F0-AI34-6B</v>
      </c>
      <c r="KI166" cm="1">
        <f t="array" ref="KI166">IF(COUNTIFS($U$2:$U166,$U166)=1,1,INDEX(KI:KI,_xlfn.XMATCH(U166,U$1:U165,0,-1))+COUNT(KI165:KM165))</f>
        <v>339</v>
      </c>
      <c r="KJ166">
        <f t="shared" si="134"/>
        <v>340</v>
      </c>
      <c r="KK166">
        <f t="shared" si="134"/>
        <v>341</v>
      </c>
      <c r="KL166">
        <f>KK166+1</f>
        <v>342</v>
      </c>
      <c r="KN166">
        <v>1</v>
      </c>
      <c r="KO166" s="16">
        <v>2</v>
      </c>
      <c r="KP166">
        <v>3</v>
      </c>
      <c r="KQ166">
        <v>4</v>
      </c>
      <c r="KS166" s="16"/>
    </row>
    <row r="167" spans="1:334" x14ac:dyDescent="0.25">
      <c r="A167" t="s">
        <v>835</v>
      </c>
      <c r="B167" t="s">
        <v>834</v>
      </c>
      <c r="C167" t="s">
        <v>537</v>
      </c>
      <c r="P167" t="s">
        <v>542</v>
      </c>
      <c r="T167" s="14" t="s">
        <v>554</v>
      </c>
      <c r="U167">
        <v>55</v>
      </c>
      <c r="V167" t="s">
        <v>1537</v>
      </c>
      <c r="X167" t="str">
        <f>IF(COUNTIF(X$1:X166,X166)&gt;7,REPLACE(X166,LEN(X166),1,VALUE(RIGHT(X166,1))+1),X166)</f>
        <v>A3.34</v>
      </c>
      <c r="Y167" s="43" cm="1">
        <f t="array" ref="Y167">IF(COUNTIFS($X$2:$X167,$X167)=1,"1",VALUE(SUBSTITUTE(INDEX(Y:Y,_xlfn.XMATCH($X167,$X$1:$X166,0,-1)),"A",""))+INDEX(Z:Z,_xlfn.XMATCH($X167,$X$1:$X166,0,-1))+1)</f>
        <v>4</v>
      </c>
      <c r="Z167" s="46" cm="1">
        <f t="array" ref="Z167">SUM(IF(ISNUMBER(FIND("TmAi",$BE$1:$AAD$1)),IF(IFERROR(ISODD(SUBSTITUTE($BE167:$AAD167,"A","")),FALSE),IF(ISODD(SUBSTITUTE($BE167:$AAD167,"A","")),1,0),0)))</f>
        <v>0</v>
      </c>
      <c r="AA167" t="str">
        <f t="shared" si="135"/>
        <v>7A</v>
      </c>
      <c r="AB167" t="str">
        <f t="shared" si="136"/>
        <v>7B</v>
      </c>
      <c r="AP167" t="s">
        <v>137</v>
      </c>
      <c r="AS167" t="s">
        <v>396</v>
      </c>
      <c r="JZ167" s="27" t="str">
        <f t="shared" si="128"/>
        <v>XT55</v>
      </c>
      <c r="KA167" t="str">
        <f>REPLACE(AA167,1,1,LEFT(AA167,1)+1)</f>
        <v>8A</v>
      </c>
      <c r="KB167" t="str">
        <f>REPLACE(AB167,1,1,LEFT(AB167,1)+1)</f>
        <v>8B</v>
      </c>
      <c r="KC167" t="str">
        <f t="shared" si="129"/>
        <v>F0-AI34-7A</v>
      </c>
      <c r="KD167" t="str">
        <f t="shared" si="130"/>
        <v>F0-AI34-7B</v>
      </c>
      <c r="KE167" t="str">
        <f t="shared" ref="KE167:KF168" si="137">CONCATENATE($T167,"-AI",REPLACE($X167,1,3,""),"-",KA167)</f>
        <v>F0-AI34-8A</v>
      </c>
      <c r="KF167" t="str">
        <f t="shared" si="137"/>
        <v>F0-AI34-8B</v>
      </c>
      <c r="KI167" cm="1">
        <f t="array" ref="KI167">IF(COUNTIFS($U$2:$U167,$U167)=1,1,INDEX(KI:KI,_xlfn.XMATCH(U167,U$1:U166,0,-1))+COUNT(KI166:KM166))</f>
        <v>343</v>
      </c>
      <c r="KJ167">
        <f t="shared" si="134"/>
        <v>344</v>
      </c>
      <c r="KK167">
        <f t="shared" si="134"/>
        <v>345</v>
      </c>
      <c r="KL167">
        <f t="shared" si="134"/>
        <v>346</v>
      </c>
      <c r="KN167">
        <v>1</v>
      </c>
      <c r="KO167" s="16">
        <v>2</v>
      </c>
      <c r="KP167">
        <v>3</v>
      </c>
      <c r="KQ167">
        <v>4</v>
      </c>
      <c r="KS167" s="16"/>
    </row>
    <row r="168" spans="1:334" ht="15.75" thickBot="1" x14ac:dyDescent="0.3">
      <c r="A168" t="s">
        <v>837</v>
      </c>
      <c r="B168" s="33" t="s">
        <v>836</v>
      </c>
      <c r="C168" t="s">
        <v>537</v>
      </c>
      <c r="P168" t="s">
        <v>542</v>
      </c>
      <c r="T168" s="14" t="s">
        <v>554</v>
      </c>
      <c r="U168">
        <v>55</v>
      </c>
      <c r="V168" t="s">
        <v>1538</v>
      </c>
      <c r="X168" s="33" t="str">
        <f>IF(COUNTIF(X$1:X167,X167)&gt;7,REPLACE(X167,LEN(X167),1,VALUE(RIGHT(X167,1))+1),X167)</f>
        <v>A3.34</v>
      </c>
      <c r="Y168" s="45" cm="1">
        <f t="array" ref="Y168">IF(COUNTIFS($X$2:$X168,$X168)=1,"1",VALUE(SUBSTITUTE(INDEX(Y:Y,_xlfn.XMATCH($X168,$X$1:$X167,0,-1)),"A",""))+INDEX(Z:Z,_xlfn.XMATCH($X168,$X$1:$X167,0,-1))+1)</f>
        <v>5</v>
      </c>
      <c r="Z168" s="46" cm="1">
        <f t="array" ref="Z168">SUM(IF(ISNUMBER(FIND("TmAi",$BE$1:$AAD$1)),IF(IFERROR(ISODD(SUBSTITUTE($BE168:$AAD168,"A","")),FALSE),IF(ISODD(SUBSTITUTE($BE168:$AAD168,"A","")),1,0),0)))</f>
        <v>0</v>
      </c>
      <c r="AA168" t="str">
        <f t="shared" si="135"/>
        <v>9A</v>
      </c>
      <c r="AB168" t="str">
        <f t="shared" si="136"/>
        <v>9B</v>
      </c>
      <c r="AP168" t="s">
        <v>137</v>
      </c>
      <c r="AS168" t="s">
        <v>396</v>
      </c>
      <c r="JZ168" s="28" t="str">
        <f t="shared" si="128"/>
        <v>XT55</v>
      </c>
      <c r="KA168" s="19" t="str">
        <f>REPLACE($AA168,1,1,LEFT($AA168,1)+1)</f>
        <v>10A</v>
      </c>
      <c r="KB168" s="19" t="str">
        <f>REPLACE($AB168,1,1,LEFT($AB168,1)+1)</f>
        <v>10B</v>
      </c>
      <c r="KC168" s="19" t="str">
        <f t="shared" si="129"/>
        <v>F0-AI34-9A</v>
      </c>
      <c r="KD168" s="19" t="str">
        <f t="shared" si="130"/>
        <v>F0-AI34-9B</v>
      </c>
      <c r="KE168" s="19" t="str">
        <f t="shared" si="137"/>
        <v>F0-AI34-10A</v>
      </c>
      <c r="KF168" s="19" t="str">
        <f t="shared" si="137"/>
        <v>F0-AI34-10B</v>
      </c>
      <c r="KG168" s="19"/>
      <c r="KH168" s="19"/>
      <c r="KI168" s="19" cm="1">
        <f t="array" ref="KI168">IF(COUNTIFS($U$2:$U168,$U168)=1,1,INDEX(KI:KI,_xlfn.XMATCH(U168,U$1:U167,0,-1))+COUNT(KI167:KM167))</f>
        <v>347</v>
      </c>
      <c r="KJ168" s="19">
        <f t="shared" si="134"/>
        <v>348</v>
      </c>
      <c r="KK168" s="19">
        <f t="shared" si="134"/>
        <v>349</v>
      </c>
      <c r="KL168" s="19">
        <f t="shared" si="134"/>
        <v>350</v>
      </c>
      <c r="KM168" s="19"/>
      <c r="KN168" s="19">
        <v>1</v>
      </c>
      <c r="KO168" s="20">
        <v>2</v>
      </c>
      <c r="KP168" s="19">
        <v>3</v>
      </c>
      <c r="KQ168" s="19">
        <v>4</v>
      </c>
      <c r="KR168" s="19"/>
      <c r="KS168" s="20"/>
    </row>
    <row r="169" spans="1:334" ht="15.75" thickBot="1" x14ac:dyDescent="0.3">
      <c r="A169" t="s">
        <v>852</v>
      </c>
      <c r="B169" t="s">
        <v>851</v>
      </c>
      <c r="C169" t="s">
        <v>850</v>
      </c>
      <c r="P169" t="s">
        <v>849</v>
      </c>
      <c r="T169" s="14" t="s">
        <v>554</v>
      </c>
      <c r="U169">
        <v>56</v>
      </c>
      <c r="V169" t="s">
        <v>1539</v>
      </c>
      <c r="Y169" s="43"/>
      <c r="Z169" s="46"/>
      <c r="AC169" t="s">
        <v>853</v>
      </c>
      <c r="AF169" t="s">
        <v>133</v>
      </c>
      <c r="AG169" t="s">
        <v>134</v>
      </c>
      <c r="AP169" t="s">
        <v>137</v>
      </c>
      <c r="AT169" t="s">
        <v>854</v>
      </c>
      <c r="KT169" s="25" t="str">
        <f>CONCATENATE("XT",U169)</f>
        <v>XT56</v>
      </c>
      <c r="KU169" s="12" t="str">
        <f>CONCATENATE("DI",REPLACE($AC169,1,3,""),"-",$AF169)</f>
        <v>DI12-C1</v>
      </c>
      <c r="KV169" s="12" t="s">
        <v>865</v>
      </c>
      <c r="KW169" s="12" t="str">
        <f>CONCATENATE("K",$U169,"-01")</f>
        <v>K56-01</v>
      </c>
      <c r="KX169" s="12">
        <v>11</v>
      </c>
      <c r="KY169" s="12">
        <v>14</v>
      </c>
      <c r="KZ169" s="12" t="s">
        <v>142</v>
      </c>
      <c r="LA169" s="12" t="s">
        <v>143</v>
      </c>
      <c r="LB169" s="12" t="s">
        <v>488</v>
      </c>
      <c r="LC169" s="12" t="s">
        <v>487</v>
      </c>
      <c r="LD169" s="12" t="s">
        <v>414</v>
      </c>
      <c r="LE169" s="12" t="s">
        <v>413</v>
      </c>
      <c r="LF169" s="12" cm="1">
        <f t="array" ref="LF169">IF(COUNTIFS($U$2:$U169,$U169)=1,1,INDEX(LF:LF,_xlfn.XMATCH(AW169,AW$1:AW168,0,-1))+COUNT(LF168:LJ168))</f>
        <v>1</v>
      </c>
      <c r="LG169" s="12">
        <f>LF169+1</f>
        <v>2</v>
      </c>
      <c r="LH169" s="12">
        <f>LG169+1</f>
        <v>3</v>
      </c>
      <c r="LI169" s="12" t="s">
        <v>547</v>
      </c>
      <c r="LJ169" s="12" t="s">
        <v>548</v>
      </c>
      <c r="LK169" s="12">
        <v>1</v>
      </c>
      <c r="LL169" s="12">
        <v>2</v>
      </c>
      <c r="LM169" s="13">
        <v>3</v>
      </c>
    </row>
    <row r="170" spans="1:334" x14ac:dyDescent="0.25">
      <c r="A170" t="s">
        <v>868</v>
      </c>
      <c r="B170" t="s">
        <v>867</v>
      </c>
      <c r="P170" t="s">
        <v>869</v>
      </c>
      <c r="T170" s="14" t="s">
        <v>554</v>
      </c>
      <c r="U170">
        <v>57</v>
      </c>
      <c r="V170" t="s">
        <v>1540</v>
      </c>
      <c r="X170" t="s">
        <v>833</v>
      </c>
      <c r="Y170" s="43" cm="1">
        <f t="array" ref="Y170">IF(COUNTIFS($X$2:$X170,$X170)=1,"1",VALUE(SUBSTITUTE(INDEX(Y:Y,_xlfn.XMATCH($X170,$X$1:$X169,0,-1)),"A",""))+INDEX(Z:Z,_xlfn.XMATCH($X170,$X$1:$X169,0,-1))+1)</f>
        <v>5</v>
      </c>
      <c r="Z170" s="46" cm="1">
        <f t="array" ref="Z170">SUM(IF(ISNUMBER(FIND("TmAi",$BE$1:$AAD$1)),IF(IFERROR(ISODD(SUBSTITUTE($BE170:$AAD170,"A","")),FALSE),IF(ISODD(SUBSTITUTE($BE170:$AAD170,"A","")),1,0),0)))</f>
        <v>0</v>
      </c>
      <c r="AA170" t="str">
        <f t="shared" ref="AA170:AA176" si="138">CONCATENATE($Y170*2-1,"A")</f>
        <v>9A</v>
      </c>
      <c r="AB170" t="str">
        <f t="shared" ref="AB170:AB176" si="139">CONCATENATE($Y170*2-1,"B")</f>
        <v>9B</v>
      </c>
      <c r="AP170" t="s">
        <v>137</v>
      </c>
      <c r="AQ170" t="s">
        <v>873</v>
      </c>
      <c r="AS170" t="s">
        <v>396</v>
      </c>
      <c r="KS170" s="16"/>
      <c r="LN170" s="25" t="str">
        <f t="shared" ref="LN170:LN176" si="140">CONCATENATE("XT",U170)</f>
        <v>XT57</v>
      </c>
      <c r="LO170" s="12" t="str">
        <f t="shared" ref="LO170:LO176" si="141">CONCATENATE(T170,"-AI",REPLACE($X170,1,3,""),"-",AA170)</f>
        <v>F0-AI16-9A</v>
      </c>
      <c r="LP170" s="12" t="str">
        <f t="shared" ref="LP170:LP176" si="142">CONCATENATE(T170,"-AI",REPLACE($X170,1,3,""),"-",AB170)</f>
        <v>F0-AI16-9B</v>
      </c>
      <c r="LQ170" s="12">
        <v>1</v>
      </c>
      <c r="LR170" s="12">
        <f t="shared" ref="LR170:LS176" si="143">LQ170+1</f>
        <v>2</v>
      </c>
      <c r="LS170" s="12">
        <f t="shared" si="143"/>
        <v>3</v>
      </c>
      <c r="LT170" s="12" t="s">
        <v>870</v>
      </c>
      <c r="LU170" s="12" t="s">
        <v>871</v>
      </c>
      <c r="LV170" s="13" t="s">
        <v>872</v>
      </c>
    </row>
    <row r="171" spans="1:334" x14ac:dyDescent="0.25">
      <c r="A171" t="s">
        <v>879</v>
      </c>
      <c r="B171" t="s">
        <v>878</v>
      </c>
      <c r="P171" t="s">
        <v>869</v>
      </c>
      <c r="T171" s="14" t="s">
        <v>554</v>
      </c>
      <c r="U171">
        <v>57</v>
      </c>
      <c r="V171" t="s">
        <v>1541</v>
      </c>
      <c r="X171" t="str">
        <f>IF(COUNTIF(X$1:X170,X170)&gt;7,REPLACE(X170,LEN(X170),1,VALUE(RIGHT(X170,1))+1),X170)</f>
        <v>A3.16</v>
      </c>
      <c r="Y171" s="43" cm="1">
        <f t="array" ref="Y171">IF(COUNTIFS($X$2:$X171,$X171)=1,"1",VALUE(SUBSTITUTE(INDEX(Y:Y,_xlfn.XMATCH($X171,$X$1:$X170,0,-1)),"A",""))+INDEX(Z:Z,_xlfn.XMATCH($X171,$X$1:$X170,0,-1))+1)</f>
        <v>6</v>
      </c>
      <c r="Z171" s="46" cm="1">
        <f t="array" ref="Z171">SUM(IF(ISNUMBER(FIND("TmAi",$BE$1:$AAD$1)),IF(IFERROR(ISODD(SUBSTITUTE($BE171:$AAD171,"A","")),FALSE),IF(ISODD(SUBSTITUTE($BE171:$AAD171,"A","")),1,0),0)))</f>
        <v>0</v>
      </c>
      <c r="AA171" t="str">
        <f t="shared" si="138"/>
        <v>11A</v>
      </c>
      <c r="AB171" t="str">
        <f t="shared" si="139"/>
        <v>11B</v>
      </c>
      <c r="AP171" t="s">
        <v>137</v>
      </c>
      <c r="AQ171" t="s">
        <v>873</v>
      </c>
      <c r="AS171" t="s">
        <v>396</v>
      </c>
      <c r="LN171" s="27" t="str">
        <f t="shared" si="140"/>
        <v>XT57</v>
      </c>
      <c r="LO171" t="str">
        <f t="shared" si="141"/>
        <v>F0-AI16-11A</v>
      </c>
      <c r="LP171" t="str">
        <f t="shared" si="142"/>
        <v>F0-AI16-11B</v>
      </c>
      <c r="LQ171">
        <f>LQ170+3</f>
        <v>4</v>
      </c>
      <c r="LR171">
        <f t="shared" si="143"/>
        <v>5</v>
      </c>
      <c r="LS171">
        <f t="shared" si="143"/>
        <v>6</v>
      </c>
      <c r="LT171" t="s">
        <v>892</v>
      </c>
      <c r="LU171" t="s">
        <v>871</v>
      </c>
      <c r="LV171" s="16" t="s">
        <v>872</v>
      </c>
    </row>
    <row r="172" spans="1:334" x14ac:dyDescent="0.25">
      <c r="A172" t="s">
        <v>881</v>
      </c>
      <c r="B172" t="s">
        <v>880</v>
      </c>
      <c r="P172" t="s">
        <v>869</v>
      </c>
      <c r="T172" s="14" t="s">
        <v>554</v>
      </c>
      <c r="U172">
        <v>57</v>
      </c>
      <c r="V172" t="s">
        <v>1542</v>
      </c>
      <c r="X172" t="str">
        <f>IF(COUNTIF(X$1:X171,X171)&gt;7,REPLACE(X171,LEN(X171),1,VALUE(RIGHT(X171,1))+1),X171)</f>
        <v>A3.16</v>
      </c>
      <c r="Y172" s="43" cm="1">
        <f t="array" ref="Y172">IF(COUNTIFS($X$2:$X172,$X172)=1,"1",VALUE(SUBSTITUTE(INDEX(Y:Y,_xlfn.XMATCH($X172,$X$1:$X171,0,-1)),"A",""))+INDEX(Z:Z,_xlfn.XMATCH($X172,$X$1:$X171,0,-1))+1)</f>
        <v>7</v>
      </c>
      <c r="Z172" s="46" cm="1">
        <f t="array" ref="Z172">SUM(IF(ISNUMBER(FIND("TmAi",$BE$1:$AAD$1)),IF(IFERROR(ISODD(SUBSTITUTE($BE172:$AAD172,"A","")),FALSE),IF(ISODD(SUBSTITUTE($BE172:$AAD172,"A","")),1,0),0)))</f>
        <v>0</v>
      </c>
      <c r="AA172" t="str">
        <f t="shared" si="138"/>
        <v>13A</v>
      </c>
      <c r="AB172" t="str">
        <f t="shared" si="139"/>
        <v>13B</v>
      </c>
      <c r="AP172" t="s">
        <v>137</v>
      </c>
      <c r="AQ172" t="s">
        <v>873</v>
      </c>
      <c r="AS172" t="s">
        <v>396</v>
      </c>
      <c r="LN172" s="27" t="str">
        <f t="shared" si="140"/>
        <v>XT57</v>
      </c>
      <c r="LO172" t="str">
        <f t="shared" si="141"/>
        <v>F0-AI16-13A</v>
      </c>
      <c r="LP172" t="str">
        <f t="shared" si="142"/>
        <v>F0-AI16-13B</v>
      </c>
      <c r="LQ172">
        <f t="shared" ref="LQ172:LQ176" si="144">LQ171+3</f>
        <v>7</v>
      </c>
      <c r="LR172">
        <f t="shared" si="143"/>
        <v>8</v>
      </c>
      <c r="LS172">
        <f t="shared" si="143"/>
        <v>9</v>
      </c>
      <c r="LT172" t="s">
        <v>893</v>
      </c>
      <c r="LU172" t="s">
        <v>871</v>
      </c>
      <c r="LV172" s="16" t="s">
        <v>872</v>
      </c>
    </row>
    <row r="173" spans="1:334" x14ac:dyDescent="0.25">
      <c r="A173" t="s">
        <v>883</v>
      </c>
      <c r="B173" t="s">
        <v>882</v>
      </c>
      <c r="P173" t="s">
        <v>869</v>
      </c>
      <c r="T173" s="14" t="s">
        <v>554</v>
      </c>
      <c r="U173">
        <v>57</v>
      </c>
      <c r="V173" t="s">
        <v>1543</v>
      </c>
      <c r="X173" s="33" t="str">
        <f>IF(COUNTIF(X$1:X172,X172)&gt;7,REPLACE(X172,LEN(X172),1,VALUE(RIGHT(X172,1))+1),X172)</f>
        <v>A3.16</v>
      </c>
      <c r="Y173" s="45" cm="1">
        <f t="array" ref="Y173">IF(COUNTIFS($X$2:$X173,$X173)=1,"1",VALUE(SUBSTITUTE(INDEX(Y:Y,_xlfn.XMATCH($X173,$X$1:$X172,0,-1)),"A",""))+INDEX(Z:Z,_xlfn.XMATCH($X173,$X$1:$X172,0,-1))+1)</f>
        <v>8</v>
      </c>
      <c r="Z173" s="46" cm="1">
        <f t="array" ref="Z173">SUM(IF(ISNUMBER(FIND("TmAi",$BE$1:$AAD$1)),IF(IFERROR(ISODD(SUBSTITUTE($BE173:$AAD173,"A","")),FALSE),IF(ISODD(SUBSTITUTE($BE173:$AAD173,"A","")),1,0),0)))</f>
        <v>0</v>
      </c>
      <c r="AA173" t="str">
        <f t="shared" si="138"/>
        <v>15A</v>
      </c>
      <c r="AB173" t="str">
        <f t="shared" si="139"/>
        <v>15B</v>
      </c>
      <c r="AP173" t="s">
        <v>137</v>
      </c>
      <c r="AQ173" t="s">
        <v>873</v>
      </c>
      <c r="AS173" t="s">
        <v>396</v>
      </c>
      <c r="LN173" s="27" t="str">
        <f t="shared" si="140"/>
        <v>XT57</v>
      </c>
      <c r="LO173" t="str">
        <f t="shared" si="141"/>
        <v>F0-AI16-15A</v>
      </c>
      <c r="LP173" t="str">
        <f t="shared" si="142"/>
        <v>F0-AI16-15B</v>
      </c>
      <c r="LQ173">
        <f t="shared" si="144"/>
        <v>10</v>
      </c>
      <c r="LR173">
        <f t="shared" si="143"/>
        <v>11</v>
      </c>
      <c r="LS173">
        <f t="shared" si="143"/>
        <v>12</v>
      </c>
      <c r="LT173" t="s">
        <v>894</v>
      </c>
      <c r="LU173" t="s">
        <v>871</v>
      </c>
      <c r="LV173" s="16" t="s">
        <v>872</v>
      </c>
    </row>
    <row r="174" spans="1:334" x14ac:dyDescent="0.25">
      <c r="A174" t="s">
        <v>885</v>
      </c>
      <c r="B174" t="s">
        <v>884</v>
      </c>
      <c r="P174" t="s">
        <v>869</v>
      </c>
      <c r="T174" s="14" t="s">
        <v>554</v>
      </c>
      <c r="U174">
        <v>57</v>
      </c>
      <c r="V174" t="s">
        <v>1544</v>
      </c>
      <c r="X174" t="str">
        <f>IF(COUNTIF(X$1:X173,X173)&gt;7,REPLACE(X173,LEN(X173),1,VALUE(RIGHT(X173,1))+1),X173)</f>
        <v>A3.17</v>
      </c>
      <c r="Y174" s="43" t="str" cm="1">
        <f t="array" ref="Y174">IF(COUNTIFS($X$2:$X174,$X174)=1,"1",VALUE(SUBSTITUTE(INDEX(Y:Y,_xlfn.XMATCH($X174,$X$1:$X173,0,-1)),"A",""))+INDEX(Z:Z,_xlfn.XMATCH($X174,$X$1:$X173,0,-1))+1)</f>
        <v>1</v>
      </c>
      <c r="Z174" s="46" cm="1">
        <f t="array" ref="Z174">SUM(IF(ISNUMBER(FIND("TmAi",$BE$1:$AAD$1)),IF(IFERROR(ISODD(SUBSTITUTE($BE174:$AAD174,"A","")),FALSE),IF(ISODD(SUBSTITUTE($BE174:$AAD174,"A","")),1,0),0)))</f>
        <v>0</v>
      </c>
      <c r="AA174" t="str">
        <f t="shared" si="138"/>
        <v>1A</v>
      </c>
      <c r="AB174" t="str">
        <f t="shared" si="139"/>
        <v>1B</v>
      </c>
      <c r="AP174" t="s">
        <v>137</v>
      </c>
      <c r="AQ174" t="s">
        <v>873</v>
      </c>
      <c r="AS174" t="s">
        <v>396</v>
      </c>
      <c r="LN174" s="27" t="str">
        <f t="shared" si="140"/>
        <v>XT57</v>
      </c>
      <c r="LO174" t="str">
        <f t="shared" si="141"/>
        <v>F0-AI17-1A</v>
      </c>
      <c r="LP174" t="str">
        <f t="shared" si="142"/>
        <v>F0-AI17-1B</v>
      </c>
      <c r="LQ174">
        <f t="shared" si="144"/>
        <v>13</v>
      </c>
      <c r="LR174">
        <f t="shared" si="143"/>
        <v>14</v>
      </c>
      <c r="LS174">
        <f t="shared" si="143"/>
        <v>15</v>
      </c>
      <c r="LT174" t="s">
        <v>895</v>
      </c>
      <c r="LU174" t="s">
        <v>871</v>
      </c>
      <c r="LV174" s="16" t="s">
        <v>872</v>
      </c>
    </row>
    <row r="175" spans="1:334" x14ac:dyDescent="0.25">
      <c r="A175" t="s">
        <v>889</v>
      </c>
      <c r="B175" t="s">
        <v>888</v>
      </c>
      <c r="P175" t="s">
        <v>869</v>
      </c>
      <c r="T175" s="14" t="s">
        <v>554</v>
      </c>
      <c r="U175">
        <v>57</v>
      </c>
      <c r="V175" t="s">
        <v>1545</v>
      </c>
      <c r="X175" t="str">
        <f>IF(COUNTIF(X$1:X174,X174)&gt;7,REPLACE(X174,LEN(X174),1,VALUE(RIGHT(X174,1))+1),X174)</f>
        <v>A3.17</v>
      </c>
      <c r="Y175" s="43" cm="1">
        <f t="array" ref="Y175">IF(COUNTIFS($X$2:$X175,$X175)=1,"1",VALUE(SUBSTITUTE(INDEX(Y:Y,_xlfn.XMATCH($X175,$X$1:$X174,0,-1)),"A",""))+INDEX(Z:Z,_xlfn.XMATCH($X175,$X$1:$X174,0,-1))+1)</f>
        <v>2</v>
      </c>
      <c r="Z175" s="46" cm="1">
        <f t="array" ref="Z175">SUM(IF(ISNUMBER(FIND("TmAi",$BE$1:$AAD$1)),IF(IFERROR(ISODD(SUBSTITUTE($BE175:$AAD175,"A","")),FALSE),IF(ISODD(SUBSTITUTE($BE175:$AAD175,"A","")),1,0),0)))</f>
        <v>0</v>
      </c>
      <c r="AA175" t="str">
        <f t="shared" si="138"/>
        <v>3A</v>
      </c>
      <c r="AB175" t="str">
        <f t="shared" si="139"/>
        <v>3B</v>
      </c>
      <c r="AP175" t="s">
        <v>137</v>
      </c>
      <c r="AQ175" t="s">
        <v>873</v>
      </c>
      <c r="AS175" t="s">
        <v>396</v>
      </c>
      <c r="LN175" s="27" t="str">
        <f t="shared" si="140"/>
        <v>XT57</v>
      </c>
      <c r="LO175" t="str">
        <f t="shared" si="141"/>
        <v>F0-AI17-3A</v>
      </c>
      <c r="LP175" t="str">
        <f t="shared" si="142"/>
        <v>F0-AI17-3B</v>
      </c>
      <c r="LQ175">
        <f t="shared" si="144"/>
        <v>16</v>
      </c>
      <c r="LR175">
        <f t="shared" si="143"/>
        <v>17</v>
      </c>
      <c r="LS175">
        <f t="shared" si="143"/>
        <v>18</v>
      </c>
      <c r="LT175" t="s">
        <v>896</v>
      </c>
      <c r="LU175" t="s">
        <v>871</v>
      </c>
      <c r="LV175" s="16" t="s">
        <v>872</v>
      </c>
    </row>
    <row r="176" spans="1:334" ht="15.75" thickBot="1" x14ac:dyDescent="0.3">
      <c r="A176" t="s">
        <v>891</v>
      </c>
      <c r="B176" s="33" t="s">
        <v>890</v>
      </c>
      <c r="P176" t="s">
        <v>869</v>
      </c>
      <c r="T176" s="14" t="s">
        <v>554</v>
      </c>
      <c r="U176">
        <v>57</v>
      </c>
      <c r="V176" t="s">
        <v>1546</v>
      </c>
      <c r="X176" t="str">
        <f>IF(COUNTIF(X$1:X175,X175)&gt;7,REPLACE(X175,LEN(X175),1,VALUE(RIGHT(X175,1))+1),X175)</f>
        <v>A3.17</v>
      </c>
      <c r="Y176" s="43" cm="1">
        <f t="array" ref="Y176">IF(COUNTIFS($X$2:$X176,$X176)=1,"1",VALUE(SUBSTITUTE(INDEX(Y:Y,_xlfn.XMATCH($X176,$X$1:$X175,0,-1)),"A",""))+INDEX(Z:Z,_xlfn.XMATCH($X176,$X$1:$X175,0,-1))+1)</f>
        <v>3</v>
      </c>
      <c r="Z176" s="46" cm="1">
        <f t="array" ref="Z176">SUM(IF(ISNUMBER(FIND("TmAi",$BE$1:$AAD$1)),IF(IFERROR(ISODD(SUBSTITUTE($BE176:$AAD176,"A","")),FALSE),IF(ISODD(SUBSTITUTE($BE176:$AAD176,"A","")),1,0),0)))</f>
        <v>0</v>
      </c>
      <c r="AA176" t="str">
        <f t="shared" si="138"/>
        <v>5A</v>
      </c>
      <c r="AB176" t="str">
        <f t="shared" si="139"/>
        <v>5B</v>
      </c>
      <c r="AP176" t="s">
        <v>137</v>
      </c>
      <c r="AQ176" t="s">
        <v>873</v>
      </c>
      <c r="AS176" t="s">
        <v>396</v>
      </c>
      <c r="LN176" s="27" t="str">
        <f t="shared" si="140"/>
        <v>XT57</v>
      </c>
      <c r="LO176" t="str">
        <f t="shared" si="141"/>
        <v>F0-AI17-5A</v>
      </c>
      <c r="LP176" t="str">
        <f t="shared" si="142"/>
        <v>F0-AI17-5B</v>
      </c>
      <c r="LQ176">
        <f t="shared" si="144"/>
        <v>19</v>
      </c>
      <c r="LR176">
        <f t="shared" si="143"/>
        <v>20</v>
      </c>
      <c r="LS176">
        <f t="shared" si="143"/>
        <v>21</v>
      </c>
      <c r="LT176" t="s">
        <v>897</v>
      </c>
      <c r="LU176" t="s">
        <v>871</v>
      </c>
      <c r="LV176" s="16" t="s">
        <v>872</v>
      </c>
    </row>
    <row r="177" spans="1:536" x14ac:dyDescent="0.25">
      <c r="A177" t="s">
        <v>901</v>
      </c>
      <c r="B177" t="s">
        <v>900</v>
      </c>
      <c r="C177" t="s">
        <v>899</v>
      </c>
      <c r="P177" t="s">
        <v>898</v>
      </c>
      <c r="T177" s="14" t="s">
        <v>554</v>
      </c>
      <c r="U177">
        <v>56</v>
      </c>
      <c r="V177" t="s">
        <v>1547</v>
      </c>
      <c r="Y177" s="43"/>
      <c r="Z177" s="46"/>
      <c r="AC177" t="s">
        <v>853</v>
      </c>
      <c r="AF177" t="s">
        <v>906</v>
      </c>
      <c r="AG177" t="s">
        <v>907</v>
      </c>
      <c r="AP177" t="s">
        <v>137</v>
      </c>
      <c r="AS177" t="s">
        <v>396</v>
      </c>
      <c r="AT177" t="s">
        <v>854</v>
      </c>
      <c r="LW177" s="25" t="str">
        <f>CONCATENATE("XT",U177)</f>
        <v>XT56</v>
      </c>
      <c r="LX177" s="12" t="str">
        <f>CONCATENATE("DI",REPLACE($AC177,1,3,""),"-",$AF177)</f>
        <v>DI12-C2</v>
      </c>
      <c r="LY177" s="12" t="s">
        <v>910</v>
      </c>
      <c r="LZ177" s="12" t="str">
        <f>CONCATENATE("K",$U177,"-02")</f>
        <v>K56-02</v>
      </c>
      <c r="MA177" s="12">
        <v>11</v>
      </c>
      <c r="MB177" s="12">
        <v>14</v>
      </c>
      <c r="MC177" s="12" t="s">
        <v>142</v>
      </c>
      <c r="MD177" s="12" t="s">
        <v>143</v>
      </c>
      <c r="ME177" s="12" t="s">
        <v>488</v>
      </c>
      <c r="MF177" s="12" t="s">
        <v>487</v>
      </c>
      <c r="MG177" s="12" t="s">
        <v>414</v>
      </c>
      <c r="MH177" s="12" t="s">
        <v>413</v>
      </c>
      <c r="MI177" s="12">
        <v>4</v>
      </c>
      <c r="MJ177" s="12">
        <f t="shared" ref="MJ177:ML178" si="145">MI177+1</f>
        <v>5</v>
      </c>
      <c r="MK177" s="12">
        <f t="shared" si="145"/>
        <v>6</v>
      </c>
      <c r="ML177" s="12">
        <f t="shared" si="145"/>
        <v>7</v>
      </c>
      <c r="MM177" s="12">
        <v>1</v>
      </c>
      <c r="MN177" s="12">
        <v>2</v>
      </c>
      <c r="MO177" s="12">
        <v>3</v>
      </c>
      <c r="MP177" s="12">
        <v>4</v>
      </c>
      <c r="MQ177" s="13">
        <v>5</v>
      </c>
    </row>
    <row r="178" spans="1:536" ht="15.75" thickBot="1" x14ac:dyDescent="0.3">
      <c r="A178" t="s">
        <v>903</v>
      </c>
      <c r="B178" s="33" t="s">
        <v>902</v>
      </c>
      <c r="C178" t="s">
        <v>899</v>
      </c>
      <c r="P178" t="s">
        <v>898</v>
      </c>
      <c r="T178" s="14" t="s">
        <v>554</v>
      </c>
      <c r="U178">
        <v>56</v>
      </c>
      <c r="V178" t="s">
        <v>1548</v>
      </c>
      <c r="Y178" s="43"/>
      <c r="Z178" s="46"/>
      <c r="AC178" t="s">
        <v>853</v>
      </c>
      <c r="AF178" t="s">
        <v>908</v>
      </c>
      <c r="AG178" t="s">
        <v>909</v>
      </c>
      <c r="AP178" t="s">
        <v>137</v>
      </c>
      <c r="AS178" t="s">
        <v>396</v>
      </c>
      <c r="AT178" t="s">
        <v>854</v>
      </c>
      <c r="LW178" s="27" t="str">
        <f>CONCATENATE("XT",$U178)</f>
        <v>XT56</v>
      </c>
      <c r="LX178" t="str">
        <f>CONCATENATE("DI",REPLACE($AC178,1,3,""),"-",$AF178)</f>
        <v>DI12-C3</v>
      </c>
      <c r="LY178" t="s">
        <v>911</v>
      </c>
      <c r="LZ178" t="str">
        <f>CONCATENATE("K",$U178,"-03")</f>
        <v>K56-03</v>
      </c>
      <c r="MA178">
        <v>11</v>
      </c>
      <c r="MB178">
        <v>14</v>
      </c>
      <c r="MC178" t="s">
        <v>142</v>
      </c>
      <c r="MD178" t="s">
        <v>143</v>
      </c>
      <c r="ME178" t="s">
        <v>488</v>
      </c>
      <c r="MF178" t="s">
        <v>487</v>
      </c>
      <c r="MG178" t="s">
        <v>414</v>
      </c>
      <c r="MH178" t="s">
        <v>413</v>
      </c>
      <c r="MI178">
        <f>MI177+4</f>
        <v>8</v>
      </c>
      <c r="MJ178">
        <f t="shared" si="145"/>
        <v>9</v>
      </c>
      <c r="MK178">
        <f t="shared" si="145"/>
        <v>10</v>
      </c>
      <c r="ML178">
        <f t="shared" si="145"/>
        <v>11</v>
      </c>
      <c r="MM178">
        <v>1</v>
      </c>
      <c r="MN178">
        <v>2</v>
      </c>
      <c r="MO178">
        <v>3</v>
      </c>
      <c r="MP178">
        <v>4</v>
      </c>
      <c r="MQ178" s="16">
        <v>5</v>
      </c>
    </row>
    <row r="179" spans="1:536" ht="15.75" thickBot="1" x14ac:dyDescent="0.3">
      <c r="A179" t="s">
        <v>914</v>
      </c>
      <c r="B179" t="s">
        <v>913</v>
      </c>
      <c r="C179" t="s">
        <v>915</v>
      </c>
      <c r="P179" t="s">
        <v>916</v>
      </c>
      <c r="T179" s="14" t="s">
        <v>554</v>
      </c>
      <c r="U179">
        <v>58</v>
      </c>
      <c r="X179" t="s">
        <v>917</v>
      </c>
      <c r="Y179" s="43" cm="1">
        <f t="array" ref="Y179">IF(COUNTIFS($X$2:$X179,$X179)=1,"1",VALUE(SUBSTITUTE(INDEX(Y:Y,_xlfn.XMATCH($X179,$X$1:$X178,0,-1)),"A",""))+INDEX(Z:Z,_xlfn.XMATCH($X179,$X$1:$X178,0,-1))+1)</f>
        <v>4</v>
      </c>
      <c r="Z179" s="46" cm="1">
        <f t="array" ref="Z179">SUM(IF(ISNUMBER(FIND("TmAi",$BE$1:$AAD$1)),IF(IFERROR(ISODD(SUBSTITUTE($BE179:$AAD179,"A","")),FALSE),IF(ISODD(SUBSTITUTE($BE179:$AAD179,"A","")),1,0),0)))</f>
        <v>1</v>
      </c>
      <c r="AA179" t="str">
        <f t="shared" ref="AA179:AA185" si="146">CONCATENATE($Y179*2-1,"A")</f>
        <v>7A</v>
      </c>
      <c r="AB179" t="str">
        <f t="shared" ref="AB179:AB185" si="147">CONCATENATE($Y179*2-1,"B")</f>
        <v>7B</v>
      </c>
      <c r="AC179" t="s">
        <v>853</v>
      </c>
      <c r="AF179" t="s">
        <v>369</v>
      </c>
      <c r="AG179" t="s">
        <v>370</v>
      </c>
      <c r="AP179" t="s">
        <v>137</v>
      </c>
      <c r="AQ179" t="s">
        <v>873</v>
      </c>
      <c r="AS179" t="s">
        <v>396</v>
      </c>
      <c r="AT179" t="s">
        <v>139</v>
      </c>
      <c r="MR179" s="25" t="s">
        <v>926</v>
      </c>
      <c r="MS179" s="12" t="s">
        <v>927</v>
      </c>
      <c r="MT179" s="12" t="s">
        <v>931</v>
      </c>
      <c r="MU179" s="12" t="s">
        <v>932</v>
      </c>
      <c r="MV179" s="12" t="s">
        <v>912</v>
      </c>
      <c r="MW179" s="12" t="str">
        <f>CONCATENATE("XT",$U179)</f>
        <v>XT58</v>
      </c>
      <c r="MX179" s="12" t="str">
        <f>CONCATENATE("B",REPLACE(AF179,1,1,"")+1)</f>
        <v>B5</v>
      </c>
      <c r="MY179" s="12" t="str">
        <f>CONCATENATE("C",REPLACE(AG179,1,1,"")+1)</f>
        <v>C5</v>
      </c>
      <c r="MZ179" s="12" t="str">
        <f>CONCATENATE("B",REPLACE(MX179,1,1,"")+1)</f>
        <v>B6</v>
      </c>
      <c r="NA179" s="12" t="str">
        <f>CONCATENATE("C",REPLACE(MY179,1,1,"")+1)</f>
        <v>C6</v>
      </c>
      <c r="NB179" s="12" t="str">
        <f>CONCATENATE("B",REPLACE(MZ179,1,1,"")+1)</f>
        <v>B7</v>
      </c>
      <c r="NC179" s="12" t="str">
        <f>CONCATENATE("C",REPLACE(NA179,1,1,"")+1)</f>
        <v>C7</v>
      </c>
      <c r="ND179" s="12" t="str">
        <f>REPLACE($AA179,1,1,LEFT($AA179,1)+2)</f>
        <v>9A</v>
      </c>
      <c r="NE179" s="12" t="str">
        <f>REPLACE($AB179,1,1,LEFT($AB179,1)+2)</f>
        <v>9B</v>
      </c>
      <c r="NF179" s="12" t="str">
        <f>CONCATENATE("DI",REPLACE($AC179,1,3,""),"-",$AF179)</f>
        <v>DI12-C4</v>
      </c>
      <c r="NG179" s="12" t="str">
        <f>CONCATENATE("DI",REPLACE($AC179,1,3,""),"-",$MY179)</f>
        <v>DI12-C5</v>
      </c>
      <c r="NH179" s="12" t="str">
        <f>CONCATENATE("DI",REPLACE($AC179,1,3,""),"-",$NA179)</f>
        <v>DI12-C6</v>
      </c>
      <c r="NI179" s="12" t="str">
        <f>CONCATENATE("DI",REPLACE($AC179,1,3,""),"-",$NC179)</f>
        <v>DI12-C7</v>
      </c>
      <c r="NJ179" s="12" t="s">
        <v>933</v>
      </c>
      <c r="NK179" s="12" t="s">
        <v>934</v>
      </c>
      <c r="NL179" s="12" t="s">
        <v>947</v>
      </c>
      <c r="NM179" s="12" t="s">
        <v>935</v>
      </c>
      <c r="NN179" s="12" t="s">
        <v>936</v>
      </c>
      <c r="NO179" s="12" t="s">
        <v>937</v>
      </c>
      <c r="NP179" s="12" t="s">
        <v>938</v>
      </c>
      <c r="NQ179" s="12" t="s">
        <v>939</v>
      </c>
      <c r="NR179" s="12" t="s">
        <v>940</v>
      </c>
      <c r="NS179" s="12" t="s">
        <v>941</v>
      </c>
      <c r="NT179" s="12" t="s">
        <v>942</v>
      </c>
      <c r="NU179" s="12">
        <v>11</v>
      </c>
      <c r="NV179" s="12">
        <v>14</v>
      </c>
      <c r="NW179" s="12" t="s">
        <v>142</v>
      </c>
      <c r="NX179" s="12" t="s">
        <v>143</v>
      </c>
      <c r="NY179" s="12" t="s">
        <v>488</v>
      </c>
      <c r="NZ179" s="12" t="s">
        <v>487</v>
      </c>
      <c r="OA179" s="12" t="s">
        <v>414</v>
      </c>
      <c r="OB179" s="13" t="s">
        <v>413</v>
      </c>
    </row>
    <row r="180" spans="1:536" x14ac:dyDescent="0.25">
      <c r="A180" t="s">
        <v>949</v>
      </c>
      <c r="B180" t="s">
        <v>948</v>
      </c>
      <c r="C180" t="s">
        <v>945</v>
      </c>
      <c r="P180" t="s">
        <v>946</v>
      </c>
      <c r="T180" s="14" t="s">
        <v>554</v>
      </c>
      <c r="U180">
        <v>58</v>
      </c>
      <c r="V180" t="s">
        <v>1424</v>
      </c>
      <c r="X180" t="str">
        <f>IF(COUNTIF(X$1:X179,X179)&gt;7,REPLACE(X179,LEN(X179),1,VALUE(RIGHT(X179,1))+1),X179)</f>
        <v>A3.17</v>
      </c>
      <c r="Y180" s="43" cm="1">
        <f t="array" ref="Y180">IF(COUNTIFS($X$2:$X180,$X180)=1,"1",VALUE(SUBSTITUTE(INDEX(Y:Y,_xlfn.XMATCH($X180,$X$1:$X179,0,-1)),"A",""))+INDEX(Z:Z,_xlfn.XMATCH($X180,$X$1:$X179,0,-1))+1)</f>
        <v>6</v>
      </c>
      <c r="Z180" s="46" cm="1">
        <f t="array" ref="Z180">SUM(IF(ISNUMBER(FIND("TmAi",$BE$1:$AAD$1)),IF(IFERROR(ISODD(SUBSTITUTE($BE180:$AAD180,"A","")),FALSE),IF(ISODD(SUBSTITUTE($BE180:$AAD180,"A","")),1,0),0)))</f>
        <v>0</v>
      </c>
      <c r="AA180" t="str">
        <f t="shared" si="146"/>
        <v>11A</v>
      </c>
      <c r="AB180" t="str">
        <f t="shared" si="147"/>
        <v>11B</v>
      </c>
      <c r="AC180" t="s">
        <v>853</v>
      </c>
      <c r="AF180" t="s">
        <v>943</v>
      </c>
      <c r="AG180" t="s">
        <v>944</v>
      </c>
      <c r="AP180" t="s">
        <v>137</v>
      </c>
      <c r="AQ180" t="s">
        <v>873</v>
      </c>
      <c r="AS180" t="s">
        <v>396</v>
      </c>
      <c r="AT180" t="s">
        <v>139</v>
      </c>
      <c r="MR180" s="25"/>
      <c r="MS180" s="12"/>
      <c r="MT180" s="12" t="s">
        <v>960</v>
      </c>
      <c r="MU180" s="12"/>
      <c r="MV180" s="12" t="s">
        <v>959</v>
      </c>
      <c r="MW180" s="12" t="str">
        <f>CONCATENATE("XT",$U180)</f>
        <v>XT58</v>
      </c>
      <c r="MX180" s="12" t="str">
        <f>CONCATENATE("B",REPLACE(AF180,1,1,"")+1)</f>
        <v>B9</v>
      </c>
      <c r="MY180" s="12" t="str">
        <f>CONCATENATE("C",REPLACE(AG180,1,1,"")+1)</f>
        <v>C9</v>
      </c>
      <c r="MZ180" s="12" t="str">
        <f>CONCATENATE("B",REPLACE(MX180,1,1,"")+1)</f>
        <v>B10</v>
      </c>
      <c r="NA180" s="12" t="str">
        <f>CONCATENATE("C",REPLACE(MY180,1,1,"")+1)</f>
        <v>C10</v>
      </c>
      <c r="NB180" s="12" t="str">
        <f>CONCATENATE("B",REPLACE(MZ180,1,1,"")+1)</f>
        <v>B11</v>
      </c>
      <c r="NC180" s="12" t="str">
        <f>CONCATENATE("C",REPLACE(NA180,1,1,"")+1)</f>
        <v>C11</v>
      </c>
      <c r="ND180" s="12"/>
      <c r="NE180" s="12"/>
      <c r="NF180" s="12" t="str">
        <f>CONCATENATE("DI",REPLACE($AC180,1,3,""),"-",$AF180)</f>
        <v>DI12-C8</v>
      </c>
      <c r="NG180" s="12" t="str">
        <f>CONCATENATE("DI",REPLACE($AC180,1,3,""),"-",$MY180)</f>
        <v>DI12-C9</v>
      </c>
      <c r="NH180" s="12" t="str">
        <f>CONCATENATE("DI",REPLACE($AC180,1,3,""),"-",$NA180)</f>
        <v>DI12-C10</v>
      </c>
      <c r="NI180" s="12" t="str">
        <f>CONCATENATE("DI",REPLACE($AC180,1,3,""),"-",$NC180)</f>
        <v>DI12-C11</v>
      </c>
      <c r="NJ180" s="12" t="s">
        <v>952</v>
      </c>
      <c r="NK180" s="12"/>
      <c r="NL180" s="12" t="s">
        <v>957</v>
      </c>
      <c r="NM180" s="12" t="s">
        <v>956</v>
      </c>
      <c r="NN180" s="12" t="s">
        <v>955</v>
      </c>
      <c r="NO180" s="12"/>
      <c r="NP180" s="12"/>
      <c r="NQ180" s="12" t="s">
        <v>950</v>
      </c>
      <c r="NR180" s="12" t="s">
        <v>951</v>
      </c>
      <c r="NS180" s="12"/>
      <c r="NT180" s="12"/>
      <c r="NU180" s="12">
        <v>11</v>
      </c>
      <c r="NV180" s="12">
        <v>14</v>
      </c>
      <c r="NW180" s="12" t="s">
        <v>142</v>
      </c>
      <c r="NX180" s="12" t="s">
        <v>143</v>
      </c>
      <c r="NY180" s="12" t="s">
        <v>488</v>
      </c>
      <c r="NZ180" s="12" t="s">
        <v>487</v>
      </c>
      <c r="OA180" s="12" t="s">
        <v>414</v>
      </c>
      <c r="OB180" s="12" t="s">
        <v>413</v>
      </c>
      <c r="OC180" s="12" t="s">
        <v>144</v>
      </c>
      <c r="OD180" s="13" t="s">
        <v>961</v>
      </c>
    </row>
    <row r="181" spans="1:536" x14ac:dyDescent="0.25">
      <c r="A181" t="s">
        <v>963</v>
      </c>
      <c r="B181" t="s">
        <v>962</v>
      </c>
      <c r="C181" t="s">
        <v>531</v>
      </c>
      <c r="P181" t="s">
        <v>503</v>
      </c>
      <c r="T181" s="14" t="s">
        <v>554</v>
      </c>
      <c r="U181">
        <v>55</v>
      </c>
      <c r="V181" t="s">
        <v>1425</v>
      </c>
      <c r="X181" t="str">
        <f>IF(COUNTIF(X$1:X180,X180)&gt;7,REPLACE(X180,LEN(X180),1,VALUE(RIGHT(X180,1))+1),X180)</f>
        <v>A3.17</v>
      </c>
      <c r="Y181" s="43" cm="1">
        <f t="array" ref="Y181">IF(COUNTIFS($X$2:$X181,$X181)=1,"1",VALUE(SUBSTITUTE(INDEX(Y:Y,_xlfn.XMATCH($X181,$X$1:$X180,0,-1)),"A",""))+INDEX(Z:Z,_xlfn.XMATCH($X181,$X$1:$X180,0,-1))+1)</f>
        <v>7</v>
      </c>
      <c r="Z181" s="46" cm="1">
        <f t="array" ref="Z181">SUM(IF(ISNUMBER(FIND("TmAi",$BE$1:$AAD$1)),IF(IFERROR(ISODD(SUBSTITUTE($BE181:$AAD181,"A","")),FALSE),IF(ISODD(SUBSTITUTE($BE181:$AAD181,"A","")),1,0),0)))</f>
        <v>0</v>
      </c>
      <c r="AA181" t="str">
        <f t="shared" si="146"/>
        <v>13A</v>
      </c>
      <c r="AB181" t="str">
        <f t="shared" si="147"/>
        <v>13B</v>
      </c>
      <c r="AP181" t="s">
        <v>137</v>
      </c>
      <c r="AQ181" t="s">
        <v>873</v>
      </c>
      <c r="AS181" t="s">
        <v>396</v>
      </c>
      <c r="JZ181" s="27" t="str">
        <f>CONCATENATE("XT",U181)</f>
        <v>XT55</v>
      </c>
      <c r="KC181" t="str">
        <f>CONCATENATE(T181,"-AI",REPLACE($X181,1,3,""),"-",AA181)</f>
        <v>F0-AI17-13A</v>
      </c>
      <c r="KD181" t="str">
        <f>CONCATENATE(T181,"-AI",REPLACE($X181,1,3,""),"-",AB181)</f>
        <v>F0-AI17-13B</v>
      </c>
      <c r="KG181" t="s">
        <v>488</v>
      </c>
      <c r="KH181" t="s">
        <v>487</v>
      </c>
      <c r="KI181" cm="1">
        <f t="array" ref="KI181">IF(COUNTIFS($U$2:$U181,$U181)=1,1,INDEX(KI:KI,_xlfn.XMATCH(U181,U$1:U180,0,-1))+COUNT(KI168:KM168))</f>
        <v>351</v>
      </c>
      <c r="KJ181">
        <f t="shared" ref="KJ181:KM182" si="148">KI181+1</f>
        <v>352</v>
      </c>
      <c r="KK181">
        <f t="shared" si="148"/>
        <v>353</v>
      </c>
      <c r="KL181">
        <f t="shared" si="148"/>
        <v>354</v>
      </c>
      <c r="KM181">
        <f t="shared" si="148"/>
        <v>355</v>
      </c>
      <c r="KN181" t="s">
        <v>547</v>
      </c>
      <c r="KO181" s="16" t="s">
        <v>548</v>
      </c>
      <c r="KP181" t="s">
        <v>547</v>
      </c>
      <c r="KQ181" t="s">
        <v>548</v>
      </c>
      <c r="KR181" t="s">
        <v>551</v>
      </c>
      <c r="KS181" s="16" t="s">
        <v>552</v>
      </c>
    </row>
    <row r="182" spans="1:536" ht="15.75" thickBot="1" x14ac:dyDescent="0.3">
      <c r="A182" t="s">
        <v>964</v>
      </c>
      <c r="B182" t="s">
        <v>962</v>
      </c>
      <c r="C182" t="s">
        <v>531</v>
      </c>
      <c r="P182" t="s">
        <v>503</v>
      </c>
      <c r="T182" s="14" t="s">
        <v>554</v>
      </c>
      <c r="U182">
        <v>55</v>
      </c>
      <c r="V182" t="s">
        <v>1426</v>
      </c>
      <c r="X182" s="33" t="str">
        <f>IF(COUNTIF(X$1:X181,X181)&gt;7,REPLACE(X181,LEN(X181),1,VALUE(RIGHT(X181,1))+1),X181)</f>
        <v>A3.17</v>
      </c>
      <c r="Y182" s="45" cm="1">
        <f t="array" ref="Y182">IF(COUNTIFS($X$2:$X182,$X182)=1,"1",VALUE(SUBSTITUTE(INDEX(Y:Y,_xlfn.XMATCH($X182,$X$1:$X181,0,-1)),"A",""))+INDEX(Z:Z,_xlfn.XMATCH($X182,$X$1:$X181,0,-1))+1)</f>
        <v>8</v>
      </c>
      <c r="Z182" s="46" cm="1">
        <f t="array" ref="Z182">SUM(IF(ISNUMBER(FIND("TmAi",$BE$1:$AAD$1)),IF(IFERROR(ISODD(SUBSTITUTE($BE182:$AAD182,"A","")),FALSE),IF(ISODD(SUBSTITUTE($BE182:$AAD182,"A","")),1,0),0)))</f>
        <v>0</v>
      </c>
      <c r="AA182" t="str">
        <f t="shared" si="146"/>
        <v>15A</v>
      </c>
      <c r="AB182" t="str">
        <f t="shared" si="147"/>
        <v>15B</v>
      </c>
      <c r="AP182" t="s">
        <v>137</v>
      </c>
      <c r="AQ182" t="s">
        <v>873</v>
      </c>
      <c r="AS182" t="s">
        <v>396</v>
      </c>
      <c r="JZ182" s="27" t="str">
        <f>CONCATENATE("XT",U182)</f>
        <v>XT55</v>
      </c>
      <c r="KC182" t="str">
        <f>CONCATENATE(T182,"-AI",REPLACE($X182,1,3,""),"-",AA182)</f>
        <v>F0-AI17-15A</v>
      </c>
      <c r="KD182" t="str">
        <f>CONCATENATE(T182,"-AI",REPLACE($X182,1,3,""),"-",AB182)</f>
        <v>F0-AI17-15B</v>
      </c>
      <c r="KG182" t="s">
        <v>488</v>
      </c>
      <c r="KH182" t="s">
        <v>487</v>
      </c>
      <c r="KI182" cm="1">
        <f t="array" ref="KI182">IF(COUNTIFS($U$2:$U182,$U182)=1,1,INDEX(KI:KI,_xlfn.XMATCH(U182,U$1:U181,0,-1))+COUNT(KI181:KM181))</f>
        <v>356</v>
      </c>
      <c r="KJ182">
        <f t="shared" si="148"/>
        <v>357</v>
      </c>
      <c r="KK182">
        <f t="shared" si="148"/>
        <v>358</v>
      </c>
      <c r="KL182">
        <f t="shared" si="148"/>
        <v>359</v>
      </c>
      <c r="KM182">
        <f t="shared" si="148"/>
        <v>360</v>
      </c>
      <c r="KN182" t="s">
        <v>547</v>
      </c>
      <c r="KO182" s="16" t="s">
        <v>548</v>
      </c>
      <c r="KP182" t="s">
        <v>547</v>
      </c>
      <c r="KQ182" t="s">
        <v>548</v>
      </c>
      <c r="KR182" t="s">
        <v>551</v>
      </c>
      <c r="KS182" s="16" t="s">
        <v>552</v>
      </c>
    </row>
    <row r="183" spans="1:536" x14ac:dyDescent="0.25">
      <c r="A183" t="s">
        <v>1027</v>
      </c>
      <c r="B183" s="34" t="s">
        <v>1013</v>
      </c>
      <c r="C183" t="s">
        <v>1012</v>
      </c>
      <c r="P183" t="s">
        <v>1011</v>
      </c>
      <c r="T183" s="14" t="s">
        <v>554</v>
      </c>
      <c r="U183">
        <v>59</v>
      </c>
      <c r="W183" t="s">
        <v>1634</v>
      </c>
      <c r="X183" t="s">
        <v>1357</v>
      </c>
      <c r="Y183" s="43" t="str" cm="1">
        <f t="array" ref="Y183">IF(COUNTIFS($X$2:$X183,$X183)=1,"1",VALUE(SUBSTITUTE(INDEX(Y:Y,_xlfn.XMATCH($X183,$X$1:$X182,0,-1)),"A",""))+INDEX(Z:Z,_xlfn.XMATCH($X183,$X$1:$X182,0,-1))+1)</f>
        <v>1</v>
      </c>
      <c r="Z183" s="46" cm="1">
        <f t="array" ref="Z183">SUM(IF(ISNUMBER(FIND("TmAi",$BE$1:$AAD$1)),IF(IFERROR(ISODD(SUBSTITUTE($BE183:$AAD183,"A","")),FALSE),IF(ISODD(SUBSTITUTE($BE183:$AAD183,"A","")),1,0),0)))</f>
        <v>1</v>
      </c>
      <c r="AA183" t="str">
        <f t="shared" si="146"/>
        <v>1A</v>
      </c>
      <c r="AB183" t="str">
        <f t="shared" si="147"/>
        <v>1B</v>
      </c>
      <c r="AP183" t="s">
        <v>137</v>
      </c>
      <c r="AR183" t="s">
        <v>1023</v>
      </c>
      <c r="AS183" t="s">
        <v>396</v>
      </c>
      <c r="OE183" s="25" t="str">
        <f>CONCATENATE("XT",$U183)</f>
        <v>XT59</v>
      </c>
      <c r="OF183" s="12" t="s">
        <v>1028</v>
      </c>
      <c r="OG183" s="12" t="s">
        <v>1024</v>
      </c>
      <c r="OH183" s="12"/>
      <c r="OI183" s="12"/>
      <c r="OJ183" s="12" t="str">
        <f>CONCATENATE(REPLACE($AA183,LEN($AA183),1,"")+1,RIGHT($AA183))</f>
        <v>2A</v>
      </c>
      <c r="OK183" s="12" t="str">
        <f>CONCATENATE(REPLACE($AB183,LEN($AB183),1,"")+1,RIGHT($AB183))</f>
        <v>2B</v>
      </c>
      <c r="OL183" s="12" t="str">
        <f>CONCATENATE(REPLACE(OJ183,LEN(OJ183),1,"")+1,RIGHT(OJ183))</f>
        <v>3A</v>
      </c>
      <c r="OM183" s="12" t="str">
        <f t="shared" ref="OM183:OS185" si="149">CONCATENATE(REPLACE(OK183,LEN(OK183),1,"")+1,RIGHT(OK183))</f>
        <v>3B</v>
      </c>
      <c r="ON183" s="12" t="str">
        <f t="shared" si="149"/>
        <v>4A</v>
      </c>
      <c r="OO183" s="12" t="str">
        <f t="shared" si="149"/>
        <v>4B</v>
      </c>
      <c r="OP183" s="12"/>
      <c r="OQ183" s="12"/>
      <c r="OR183" s="12"/>
      <c r="OS183" s="12"/>
      <c r="OT183" s="12" t="str">
        <f>CONCATENATE($T183,"-AI",REPLACE($X183,1,3,""),"-",$AA183)</f>
        <v>F0-AI35-1A</v>
      </c>
      <c r="OU183" s="12" t="str">
        <f>CONCATENATE($T183,"-AI",REPLACE($X183,1,3,""),"-",$AB183)</f>
        <v>F0-AI35-1B</v>
      </c>
      <c r="OV183" s="12" t="str">
        <f t="shared" ref="OV183:PE185" si="150">CONCATENATE($T183,"-AI",REPLACE($X183,1,3,""),"-",OJ183)</f>
        <v>F0-AI35-2A</v>
      </c>
      <c r="OW183" s="12" t="str">
        <f t="shared" si="150"/>
        <v>F0-AI35-2B</v>
      </c>
      <c r="OX183" s="12" t="str">
        <f t="shared" si="150"/>
        <v>F0-AI35-3A</v>
      </c>
      <c r="OY183" s="12" t="str">
        <f t="shared" si="150"/>
        <v>F0-AI35-3B</v>
      </c>
      <c r="OZ183" s="12" t="str">
        <f t="shared" si="150"/>
        <v>F0-AI35-4A</v>
      </c>
      <c r="PA183" s="12" t="str">
        <f t="shared" si="150"/>
        <v>F0-AI35-4B</v>
      </c>
      <c r="PB183" s="12"/>
      <c r="PC183" s="12"/>
      <c r="PD183" s="12"/>
      <c r="PE183" s="12"/>
      <c r="PF183" s="12" cm="1">
        <f t="array" ref="PF183">IF(COUNTIFS($U$2:$U183,$U183)=1,1,INDEX(PF:PF,_xlfn.XMATCH($U183,$U$1:EF182,0,-1))+COUNT(PF182:PK182))</f>
        <v>1</v>
      </c>
      <c r="PG183" s="12">
        <f t="shared" ref="PG183:PN185" si="151">PF183+1</f>
        <v>2</v>
      </c>
      <c r="PH183" s="12">
        <f t="shared" si="151"/>
        <v>3</v>
      </c>
      <c r="PI183" s="12">
        <f>PH183+1</f>
        <v>4</v>
      </c>
      <c r="PJ183" s="12">
        <f t="shared" ref="PJ183:PK183" si="152">PI183+1</f>
        <v>5</v>
      </c>
      <c r="PK183" s="12">
        <f t="shared" si="152"/>
        <v>6</v>
      </c>
      <c r="PL183" s="12"/>
      <c r="PM183" s="12"/>
      <c r="PN183" s="12"/>
      <c r="PO183" s="12">
        <v>1</v>
      </c>
      <c r="PP183" s="12">
        <v>2</v>
      </c>
      <c r="PQ183" s="12">
        <v>3</v>
      </c>
      <c r="PR183" s="12">
        <v>4</v>
      </c>
      <c r="PS183" s="12">
        <v>5</v>
      </c>
      <c r="PT183" s="13">
        <v>6</v>
      </c>
    </row>
    <row r="184" spans="1:536" ht="15.75" thickBot="1" x14ac:dyDescent="0.3">
      <c r="A184" t="s">
        <v>1029</v>
      </c>
      <c r="B184" t="s">
        <v>1025</v>
      </c>
      <c r="C184" t="s">
        <v>1012</v>
      </c>
      <c r="P184" t="s">
        <v>1011</v>
      </c>
      <c r="T184" s="14" t="s">
        <v>554</v>
      </c>
      <c r="U184">
        <v>59</v>
      </c>
      <c r="W184" t="s">
        <v>1636</v>
      </c>
      <c r="X184" t="str">
        <f>IF(COUNTIF(X$1:X183,X183)&gt;7,REPLACE(X183,LEN(X183),1,VALUE(RIGHT(X183,1))+1),X183)</f>
        <v>A3.35</v>
      </c>
      <c r="Y184" s="43" cm="1">
        <f t="array" ref="Y184">IF(COUNTIFS($X$2:$X184,$X184)=1,"1",VALUE(SUBSTITUTE(INDEX(Y:Y,_xlfn.XMATCH($X184,$X$1:$X183,0,-1)),"A",""))+INDEX(Z:Z,_xlfn.XMATCH($X184,$X$1:$X183,0,-1))+1)</f>
        <v>3</v>
      </c>
      <c r="Z184" s="46" cm="1">
        <f t="array" ref="Z184">SUM(IF(ISNUMBER(FIND("TmAi",$BE$1:$AAD$1)),IF(IFERROR(ISODD(SUBSTITUTE($BE184:$AAD184,"A","")),FALSE),IF(ISODD(SUBSTITUTE($BE184:$AAD184,"A","")),1,0),0)))</f>
        <v>1</v>
      </c>
      <c r="AA184" t="str">
        <f t="shared" si="146"/>
        <v>5A</v>
      </c>
      <c r="AB184" t="str">
        <f t="shared" si="147"/>
        <v>5B</v>
      </c>
      <c r="AP184" t="s">
        <v>137</v>
      </c>
      <c r="AR184" t="s">
        <v>1023</v>
      </c>
      <c r="AS184" t="s">
        <v>396</v>
      </c>
      <c r="OE184" s="27" t="str">
        <f t="shared" ref="OE184:OE185" si="153">CONCATENATE("XT",$U184)</f>
        <v>XT59</v>
      </c>
      <c r="OF184" t="s">
        <v>1030</v>
      </c>
      <c r="OG184" t="s">
        <v>1026</v>
      </c>
      <c r="OJ184" t="str">
        <f t="shared" ref="OJ184:OJ185" si="154">CONCATENATE(REPLACE($AA184,LEN($AA184),1,"")+1,RIGHT($AA184))</f>
        <v>6A</v>
      </c>
      <c r="OK184" t="str">
        <f t="shared" ref="OK184:OK185" si="155">CONCATENATE(REPLACE($AB184,LEN($AB184),1,"")+1,RIGHT($AB184))</f>
        <v>6B</v>
      </c>
      <c r="OL184" t="str">
        <f t="shared" ref="OL184:OL185" si="156">CONCATENATE(REPLACE(OJ184,LEN(OJ184),1,"")+1,RIGHT(OJ184))</f>
        <v>7A</v>
      </c>
      <c r="OM184" t="str">
        <f t="shared" si="149"/>
        <v>7B</v>
      </c>
      <c r="ON184" t="str">
        <f t="shared" si="149"/>
        <v>8A</v>
      </c>
      <c r="OO184" t="str">
        <f t="shared" si="149"/>
        <v>8B</v>
      </c>
      <c r="OT184" t="str">
        <f>CONCATENATE($T184,"-AI",REPLACE($X184,1,3,""),"-",$AA184)</f>
        <v>F0-AI35-5A</v>
      </c>
      <c r="OU184" t="str">
        <f>CONCATENATE($T184,"-AI",REPLACE($X184,1,3,""),"-",$AB184)</f>
        <v>F0-AI35-5B</v>
      </c>
      <c r="OV184" t="str">
        <f t="shared" si="150"/>
        <v>F0-AI35-6A</v>
      </c>
      <c r="OW184" t="str">
        <f t="shared" si="150"/>
        <v>F0-AI35-6B</v>
      </c>
      <c r="OX184" t="str">
        <f t="shared" si="150"/>
        <v>F0-AI35-7A</v>
      </c>
      <c r="OY184" t="str">
        <f t="shared" si="150"/>
        <v>F0-AI35-7B</v>
      </c>
      <c r="OZ184" t="str">
        <f t="shared" si="150"/>
        <v>F0-AI35-8A</v>
      </c>
      <c r="PA184" t="str">
        <f t="shared" si="150"/>
        <v>F0-AI35-8B</v>
      </c>
      <c r="PF184" cm="1">
        <f t="array" ref="PF184">IF(COUNTIFS($U$2:$U184,$U184)=1,1,INDEX(PF:PF,_xlfn.XMATCH($U184,$U$1:$U183,0,-1))+COUNT(PF183:PK183))</f>
        <v>7</v>
      </c>
      <c r="PG184">
        <f t="shared" si="151"/>
        <v>8</v>
      </c>
      <c r="PH184">
        <f t="shared" si="151"/>
        <v>9</v>
      </c>
      <c r="PI184">
        <f t="shared" si="151"/>
        <v>10</v>
      </c>
      <c r="PJ184">
        <f t="shared" si="151"/>
        <v>11</v>
      </c>
      <c r="PK184">
        <f t="shared" si="151"/>
        <v>12</v>
      </c>
      <c r="PO184">
        <v>7</v>
      </c>
      <c r="PP184">
        <v>8</v>
      </c>
      <c r="PQ184">
        <v>9</v>
      </c>
      <c r="PR184">
        <v>10</v>
      </c>
      <c r="PS184">
        <v>11</v>
      </c>
      <c r="PT184" s="16">
        <v>12</v>
      </c>
    </row>
    <row r="185" spans="1:536" ht="15.75" thickBot="1" x14ac:dyDescent="0.3">
      <c r="A185" t="s">
        <v>1031</v>
      </c>
      <c r="B185" t="s">
        <v>1051</v>
      </c>
      <c r="C185" t="s">
        <v>1012</v>
      </c>
      <c r="P185" t="s">
        <v>1047</v>
      </c>
      <c r="T185" s="14" t="s">
        <v>554</v>
      </c>
      <c r="U185">
        <v>59</v>
      </c>
      <c r="W185" t="s">
        <v>1635</v>
      </c>
      <c r="X185" s="33" t="str">
        <f>IF(COUNTIF(X$1:X184,X184)&gt;7,REPLACE(X184,LEN(X184),1,VALUE(RIGHT(X184,1))+1),X184)</f>
        <v>A3.35</v>
      </c>
      <c r="Y185" s="45" cm="1">
        <f t="array" ref="Y185">IF(COUNTIFS($X$2:$X185,$X185)=1,"1",VALUE(SUBSTITUTE(INDEX(Y:Y,_xlfn.XMATCH($X185,$X$1:$X184,0,-1)),"A",""))+INDEX(Z:Z,_xlfn.XMATCH($X185,$X$1:$X184,0,-1))+1)</f>
        <v>5</v>
      </c>
      <c r="Z185" s="46" cm="1">
        <f t="array" ref="Z185">SUM(IF(ISNUMBER(FIND("TmAi",$BE$1:$AAD$1)),IF(IFERROR(ISODD(SUBSTITUTE($BE185:$AAD185,"A","")),FALSE),IF(ISODD(SUBSTITUTE($BE185:$AAD185,"A","")),1,0),0)))</f>
        <v>2</v>
      </c>
      <c r="AA185" t="str">
        <f t="shared" si="146"/>
        <v>9A</v>
      </c>
      <c r="AB185" t="str">
        <f t="shared" si="147"/>
        <v>9B</v>
      </c>
      <c r="AP185" t="s">
        <v>137</v>
      </c>
      <c r="AR185" t="s">
        <v>1048</v>
      </c>
      <c r="AS185" t="s">
        <v>396</v>
      </c>
      <c r="OE185" s="27" t="str">
        <f t="shared" si="153"/>
        <v>XT59</v>
      </c>
      <c r="OF185" t="s">
        <v>1034</v>
      </c>
      <c r="OG185" t="s">
        <v>1050</v>
      </c>
      <c r="OH185" t="s">
        <v>1035</v>
      </c>
      <c r="OI185" t="s">
        <v>1049</v>
      </c>
      <c r="OJ185" t="str">
        <f t="shared" si="154"/>
        <v>10A</v>
      </c>
      <c r="OK185" t="str">
        <f t="shared" si="155"/>
        <v>10B</v>
      </c>
      <c r="OL185" t="str">
        <f t="shared" si="156"/>
        <v>11A</v>
      </c>
      <c r="OM185" t="str">
        <f t="shared" si="149"/>
        <v>11B</v>
      </c>
      <c r="ON185" t="str">
        <f t="shared" si="149"/>
        <v>12A</v>
      </c>
      <c r="OO185" t="str">
        <f t="shared" si="149"/>
        <v>12B</v>
      </c>
      <c r="OP185" t="str">
        <f t="shared" si="149"/>
        <v>13A</v>
      </c>
      <c r="OQ185" t="str">
        <f t="shared" si="149"/>
        <v>13B</v>
      </c>
      <c r="OR185" t="str">
        <f t="shared" si="149"/>
        <v>14A</v>
      </c>
      <c r="OS185" t="str">
        <f t="shared" si="149"/>
        <v>14B</v>
      </c>
      <c r="OT185" t="str">
        <f>CONCATENATE($T185,"-AI",REPLACE($X185,1,3,""),"-",$AA185)</f>
        <v>F0-AI35-9A</v>
      </c>
      <c r="OU185" t="str">
        <f>CONCATENATE($T185,"-AI",REPLACE($X185,1,3,""),"-",$AB185)</f>
        <v>F0-AI35-9B</v>
      </c>
      <c r="OV185" t="str">
        <f t="shared" si="150"/>
        <v>F0-AI35-10A</v>
      </c>
      <c r="OW185" t="str">
        <f t="shared" si="150"/>
        <v>F0-AI35-10B</v>
      </c>
      <c r="OX185" t="str">
        <f t="shared" si="150"/>
        <v>F0-AI35-11A</v>
      </c>
      <c r="OY185" t="str">
        <f t="shared" si="150"/>
        <v>F0-AI35-11B</v>
      </c>
      <c r="OZ185" t="str">
        <f t="shared" si="150"/>
        <v>F0-AI35-12A</v>
      </c>
      <c r="PA185" t="str">
        <f t="shared" si="150"/>
        <v>F0-AI35-12B</v>
      </c>
      <c r="PB185" t="str">
        <f t="shared" si="150"/>
        <v>F0-AI35-13A</v>
      </c>
      <c r="PC185" t="str">
        <f t="shared" si="150"/>
        <v>F0-AI35-13B</v>
      </c>
      <c r="PD185" t="str">
        <f t="shared" si="150"/>
        <v>F0-AI35-14A</v>
      </c>
      <c r="PE185" t="str">
        <f t="shared" si="150"/>
        <v>F0-AI35-14B</v>
      </c>
      <c r="PF185" cm="1">
        <f t="array" ref="PF185">IF(COUNTIFS($U$2:$U185,$U185)=1,1,INDEX(PF:PF,_xlfn.XMATCH($U185,$U$1:$U184,0,-1))+COUNT(PF184:PK184))</f>
        <v>13</v>
      </c>
      <c r="PG185">
        <f t="shared" si="151"/>
        <v>14</v>
      </c>
      <c r="PH185">
        <f t="shared" si="151"/>
        <v>15</v>
      </c>
      <c r="PI185">
        <f t="shared" si="151"/>
        <v>16</v>
      </c>
      <c r="PJ185">
        <f t="shared" si="151"/>
        <v>17</v>
      </c>
      <c r="PK185">
        <f t="shared" si="151"/>
        <v>18</v>
      </c>
      <c r="PL185">
        <f t="shared" si="151"/>
        <v>19</v>
      </c>
      <c r="PM185">
        <f t="shared" si="151"/>
        <v>20</v>
      </c>
      <c r="PN185">
        <f t="shared" si="151"/>
        <v>21</v>
      </c>
      <c r="PO185">
        <v>1</v>
      </c>
      <c r="PP185">
        <v>2</v>
      </c>
      <c r="PQ185">
        <v>3</v>
      </c>
      <c r="PR185">
        <v>4</v>
      </c>
      <c r="PS185">
        <v>5</v>
      </c>
      <c r="PT185">
        <v>6</v>
      </c>
      <c r="PU185" s="23">
        <v>7</v>
      </c>
      <c r="PV185" s="23">
        <v>8</v>
      </c>
      <c r="PW185" s="24">
        <v>9</v>
      </c>
    </row>
    <row r="186" spans="1:536" ht="15.75" thickBot="1" x14ac:dyDescent="0.3">
      <c r="A186" t="s">
        <v>1054</v>
      </c>
      <c r="B186" t="s">
        <v>1053</v>
      </c>
      <c r="P186" t="s">
        <v>482</v>
      </c>
      <c r="T186" s="14" t="s">
        <v>554</v>
      </c>
      <c r="U186">
        <v>59</v>
      </c>
      <c r="W186" t="s">
        <v>1637</v>
      </c>
      <c r="X186" t="s">
        <v>1055</v>
      </c>
      <c r="Y186" s="43" t="str" cm="1">
        <f t="array" ref="Y186">IF(COUNTIFS($X$2:$X186,$X186)=1,"1",VALUE(SUBSTITUTE(INDEX(Y:Y,_xlfn.XMATCH($X186,$X$1:$X185,0,-1)),"A",""))+INDEX(Z:Z,_xlfn.XMATCH($X186,$X$1:$X185,0,-1))+1)</f>
        <v>1</v>
      </c>
      <c r="Z186" s="46" cm="1">
        <f t="array" ref="Z186">SUM(IF(ISNUMBER(FIND("TmAi",$BE$1:$AAD$1)),IF(IFERROR(ISODD(SUBSTITUTE($BE186:$AAD186,"A","")),FALSE),IF(ISODD(SUBSTITUTE($BE186:$AAD186,"A","")),1,0),0)))</f>
        <v>0</v>
      </c>
      <c r="AA186" t="str">
        <f t="shared" ref="AA186" si="157">CONCATENATE($Y186*2-1,"B")</f>
        <v>1B</v>
      </c>
      <c r="AB186" t="str">
        <f t="shared" ref="AB186" si="158">CONCATENATE($Y186*2,"B")</f>
        <v>2B</v>
      </c>
      <c r="AP186" t="s">
        <v>137</v>
      </c>
      <c r="AQ186" t="s">
        <v>1142</v>
      </c>
      <c r="AS186" t="s">
        <v>396</v>
      </c>
      <c r="JZ186" s="27" t="str">
        <f>CONCATENATE("XT",U186)</f>
        <v>XT59</v>
      </c>
      <c r="KC186" t="str">
        <f>CONCATENATE(T186,"-AI",REPLACE($X186,1,3,""),"-",AA186)</f>
        <v>F0-AI18-1B</v>
      </c>
      <c r="KD186" t="str">
        <f>CONCATENATE(T186,"-AI",REPLACE($X186,1,3,""),"-",AB186)</f>
        <v>F0-AI18-2B</v>
      </c>
      <c r="KI186">
        <v>22</v>
      </c>
      <c r="KJ186">
        <f t="shared" ref="KJ186:KK186" si="159">KI186+1</f>
        <v>23</v>
      </c>
      <c r="KK186">
        <f t="shared" si="159"/>
        <v>24</v>
      </c>
      <c r="KN186" t="s">
        <v>548</v>
      </c>
      <c r="KO186" s="16" t="s">
        <v>548</v>
      </c>
      <c r="KS186" s="16"/>
      <c r="OE186" s="27"/>
      <c r="PT186" s="16"/>
    </row>
    <row r="187" spans="1:536" ht="15.75" thickBot="1" x14ac:dyDescent="0.3">
      <c r="A187" t="s">
        <v>1141</v>
      </c>
      <c r="B187" s="33" t="s">
        <v>1127</v>
      </c>
      <c r="P187" t="s">
        <v>1061</v>
      </c>
      <c r="T187" s="14" t="s">
        <v>554</v>
      </c>
      <c r="U187">
        <v>59</v>
      </c>
      <c r="W187" t="s">
        <v>1638</v>
      </c>
      <c r="X187" s="33" t="str">
        <f>IF(COUNTIF(X$1:X186,X186)&gt;3,REPLACE(X186,LEN(X186),1,VALUE(RIGHT(X186,1))+1),X186)</f>
        <v>A3.18</v>
      </c>
      <c r="Y187" s="45" cm="1">
        <f t="array" ref="Y187">IF(COUNTIFS($X$2:$X187,$X187)=1,"1",VALUE(SUBSTITUTE(INDEX(Y:Y,_xlfn.XMATCH($X187,$X$1:$X186,0,-1)),"A",""))+INDEX(Z:Z,_xlfn.XMATCH($X187,$X$1:$X186,0,-1))+1)</f>
        <v>2</v>
      </c>
      <c r="Z187" s="46" cm="1">
        <f t="array" ref="Z187">SUM(IF(ISNUMBER(FIND("TmAi",$BE$1:$AAD$1)),IF(IFERROR(ISODD(SUBSTITUTE($BE187:$AAD187,"A","")),FALSE),IF(ISODD(SUBSTITUTE($BE187:$AAD187,"A","")),1,0),0)))</f>
        <v>11</v>
      </c>
      <c r="AA187" t="str">
        <f t="shared" ref="AA187:AA190" si="160">CONCATENATE($Y187*2-1,"A")</f>
        <v>3A</v>
      </c>
      <c r="AB187" t="str">
        <f t="shared" ref="AB187:AB190" si="161">CONCATENATE($Y187*2-1,"B")</f>
        <v>3B</v>
      </c>
      <c r="AP187" t="s">
        <v>137</v>
      </c>
      <c r="AR187" t="s">
        <v>1058</v>
      </c>
      <c r="AS187" t="s">
        <v>396</v>
      </c>
      <c r="JZ187" s="27"/>
      <c r="KI187" cm="1">
        <f t="array" ref="KI187">IF(COUNTIFS($U$2:$U187,$U187)=1,1,INDEX(KI:KI,_xlfn.XMATCH(U187,U$1:U186,0,-1))+COUNT(KI186:KM186))</f>
        <v>25</v>
      </c>
      <c r="KO187" s="16"/>
      <c r="KS187" s="16"/>
      <c r="PX187" s="25" t="str">
        <f>REPLACE(X187,FIND(".",X187)+1,3,MID(X187,FIND(".",X187)+1,3)+1)</f>
        <v>A3.19</v>
      </c>
      <c r="PY187" s="12" t="str">
        <f>CONCATENATE(VALUE(SUBSTITUTE($AB187,"B",""))+2,"B")</f>
        <v>5B</v>
      </c>
      <c r="PZ187" s="12" t="str">
        <f>CONCATENATE(VALUE(SUBSTITUTE($AA187,"A",""))+2,"A")</f>
        <v>5A</v>
      </c>
      <c r="QA187" s="12" t="str">
        <f>CONCATENATE(VALUE(SUBSTITUTE(PY187,"B",""))+2,"B")</f>
        <v>7B</v>
      </c>
      <c r="QB187" s="12" t="str">
        <f>CONCATENATE(VALUE(SUBSTITUTE(PZ187,"A",""))+2,"A")</f>
        <v>7A</v>
      </c>
      <c r="QC187" s="12" t="str">
        <f t="shared" ref="QC187" si="162">CONCATENATE(VALUE(SUBSTITUTE(QA187,"B",""))+2,"B")</f>
        <v>9B</v>
      </c>
      <c r="QD187" s="12" t="str">
        <f t="shared" ref="QD187" si="163">CONCATENATE(VALUE(SUBSTITUTE(QB187,"A",""))+2,"A")</f>
        <v>9A</v>
      </c>
      <c r="QE187" s="12" t="str">
        <f t="shared" ref="QE187" si="164">CONCATENATE(VALUE(SUBSTITUTE(QC187,"B",""))+2,"B")</f>
        <v>11B</v>
      </c>
      <c r="QF187" s="12" t="str">
        <f t="shared" ref="QF187" si="165">CONCATENATE(VALUE(SUBSTITUTE(QD187,"A",""))+2,"A")</f>
        <v>11A</v>
      </c>
      <c r="QG187" s="12" t="str">
        <f t="shared" ref="QG187" si="166">CONCATENATE(VALUE(SUBSTITUTE(QE187,"B",""))+2,"B")</f>
        <v>13B</v>
      </c>
      <c r="QH187" s="12" t="str">
        <f t="shared" ref="QH187" si="167">CONCATENATE(VALUE(SUBSTITUTE(QF187,"A",""))+2,"A")</f>
        <v>13A</v>
      </c>
      <c r="QI187" s="12" t="s">
        <v>135</v>
      </c>
      <c r="QJ187" s="12" t="s">
        <v>136</v>
      </c>
      <c r="QK187" s="12" t="str">
        <f t="shared" ref="QK187" si="168">CONCATENATE(VALUE(SUBSTITUTE(QI187,"B",""))+2,"B")</f>
        <v>3B</v>
      </c>
      <c r="QL187" s="12" t="str">
        <f t="shared" ref="QL187" si="169">CONCATENATE(VALUE(SUBSTITUTE(QJ187,"A",""))+2,"A")</f>
        <v>3A</v>
      </c>
      <c r="QM187" s="12" t="str">
        <f t="shared" ref="QM187" si="170">CONCATENATE(VALUE(SUBSTITUTE(QK187,"B",""))+2,"B")</f>
        <v>5B</v>
      </c>
      <c r="QN187" s="12" t="str">
        <f t="shared" ref="QN187" si="171">CONCATENATE(VALUE(SUBSTITUTE(QL187,"A",""))+2,"A")</f>
        <v>5A</v>
      </c>
      <c r="QO187" s="12" t="str">
        <f t="shared" ref="QO187" si="172">CONCATENATE(VALUE(SUBSTITUTE(QM187,"B",""))+2,"B")</f>
        <v>7B</v>
      </c>
      <c r="QP187" s="12" t="str">
        <f t="shared" ref="QP187" si="173">CONCATENATE(VALUE(SUBSTITUTE(QN187,"A",""))+2,"A")</f>
        <v>7A</v>
      </c>
      <c r="QQ187" s="12" t="str">
        <f t="shared" ref="QQ187" si="174">CONCATENATE(VALUE(SUBSTITUTE(QO187,"B",""))+2,"B")</f>
        <v>9B</v>
      </c>
      <c r="QR187" s="12" t="str">
        <f t="shared" ref="QR187" si="175">CONCATENATE(VALUE(SUBSTITUTE(QP187,"A",""))+2,"A")</f>
        <v>9A</v>
      </c>
      <c r="QS187" s="12" t="str">
        <f t="shared" ref="QS187" si="176">CONCATENATE(VALUE(SUBSTITUTE(QQ187,"B",""))+2,"B")</f>
        <v>11B</v>
      </c>
      <c r="QT187" s="12" t="str">
        <f t="shared" ref="QT187" si="177">CONCATENATE(VALUE(SUBSTITUTE(QR187,"A",""))+2,"A")</f>
        <v>11A</v>
      </c>
      <c r="QU187" s="12" t="str">
        <f>CONCATENATE($T187,"-AI",REPLACE($X187,1,3,""),"-",AB187)</f>
        <v>F0-AI18-3B</v>
      </c>
      <c r="QV187" s="12" t="str">
        <f>CONCATENATE($T187,"-AI",REPLACE($X187,1,3,""),"-",AA187)</f>
        <v>F0-AI18-3A</v>
      </c>
      <c r="QW187" s="12" t="str">
        <f>CONCATENATE($T187,"-AI",REPLACE($X187,1,3,""),"-",PY187)</f>
        <v>F0-AI18-5B</v>
      </c>
      <c r="QX187" s="12" t="str">
        <f>CONCATENATE($T187,"-AI",REPLACE($X187,1,3,""),"-",PZ187)</f>
        <v>F0-AI18-5A</v>
      </c>
      <c r="QY187" s="12" t="str">
        <f t="shared" ref="QY187:RF187" si="178">CONCATENATE($T187,"-AI",REPLACE($X187,1,3,""),"-",QA187)</f>
        <v>F0-AI18-7B</v>
      </c>
      <c r="QZ187" s="12" t="str">
        <f t="shared" si="178"/>
        <v>F0-AI18-7A</v>
      </c>
      <c r="RA187" s="12" t="str">
        <f t="shared" si="178"/>
        <v>F0-AI18-9B</v>
      </c>
      <c r="RB187" s="12" t="str">
        <f t="shared" si="178"/>
        <v>F0-AI18-9A</v>
      </c>
      <c r="RC187" s="12" t="str">
        <f t="shared" si="178"/>
        <v>F0-AI18-11B</v>
      </c>
      <c r="RD187" s="12" t="str">
        <f t="shared" si="178"/>
        <v>F0-AI18-11A</v>
      </c>
      <c r="RE187" s="12" t="str">
        <f t="shared" si="178"/>
        <v>F0-AI18-13B</v>
      </c>
      <c r="RF187" s="12" t="str">
        <f t="shared" si="178"/>
        <v>F0-AI18-13A</v>
      </c>
      <c r="RG187" s="12" t="str">
        <f t="shared" ref="RG187:RR187" si="179">CONCATENATE($T187,"-AI",REPLACE($PX187,1,3,""),"-",QI187)</f>
        <v>F0-AI19-1B</v>
      </c>
      <c r="RH187" s="12" t="str">
        <f t="shared" si="179"/>
        <v>F0-AI19-1A</v>
      </c>
      <c r="RI187" s="12" t="str">
        <f t="shared" si="179"/>
        <v>F0-AI19-3B</v>
      </c>
      <c r="RJ187" s="12" t="str">
        <f t="shared" si="179"/>
        <v>F0-AI19-3A</v>
      </c>
      <c r="RK187" s="12" t="str">
        <f t="shared" si="179"/>
        <v>F0-AI19-5B</v>
      </c>
      <c r="RL187" s="12" t="str">
        <f t="shared" si="179"/>
        <v>F0-AI19-5A</v>
      </c>
      <c r="RM187" s="12" t="str">
        <f t="shared" si="179"/>
        <v>F0-AI19-7B</v>
      </c>
      <c r="RN187" s="12" t="str">
        <f t="shared" si="179"/>
        <v>F0-AI19-7A</v>
      </c>
      <c r="RO187" s="12" t="str">
        <f t="shared" si="179"/>
        <v>F0-AI19-9B</v>
      </c>
      <c r="RP187" s="12" t="str">
        <f t="shared" si="179"/>
        <v>F0-AI19-9A</v>
      </c>
      <c r="RQ187" s="12" t="str">
        <f t="shared" si="179"/>
        <v>F0-AI19-11B</v>
      </c>
      <c r="RR187" s="12" t="str">
        <f t="shared" si="179"/>
        <v>F0-AI19-11A</v>
      </c>
      <c r="RS187" s="12" t="str">
        <f t="shared" ref="RS187" si="180">CONCATENATE("XT",$U187)</f>
        <v>XT59</v>
      </c>
      <c r="RT187" s="12">
        <v>22</v>
      </c>
      <c r="RU187" s="12">
        <v>23</v>
      </c>
      <c r="RV187" s="12">
        <v>24</v>
      </c>
      <c r="RW187" s="12">
        <v>25</v>
      </c>
      <c r="RX187" s="12">
        <v>26</v>
      </c>
      <c r="RY187" s="12">
        <v>27</v>
      </c>
      <c r="RZ187" s="12">
        <v>28</v>
      </c>
      <c r="SA187" s="12">
        <v>29</v>
      </c>
      <c r="SB187" s="12">
        <v>30</v>
      </c>
      <c r="SC187" s="12">
        <v>31</v>
      </c>
      <c r="SD187" s="12">
        <v>32</v>
      </c>
      <c r="SE187" s="12">
        <v>33</v>
      </c>
      <c r="SF187" s="12">
        <v>34</v>
      </c>
      <c r="SG187" s="12">
        <v>35</v>
      </c>
      <c r="SH187" s="12">
        <v>36</v>
      </c>
      <c r="SI187" s="12">
        <v>37</v>
      </c>
      <c r="SJ187" s="12">
        <v>38</v>
      </c>
      <c r="SK187" s="12">
        <v>39</v>
      </c>
      <c r="SL187" s="12">
        <v>40</v>
      </c>
      <c r="SM187" s="12">
        <v>41</v>
      </c>
      <c r="SN187" s="12">
        <v>42</v>
      </c>
      <c r="SO187" s="12">
        <v>43</v>
      </c>
      <c r="SP187" s="12">
        <v>44</v>
      </c>
      <c r="SQ187" s="12">
        <v>45</v>
      </c>
      <c r="SR187" s="12">
        <v>46</v>
      </c>
      <c r="SS187" s="12" t="s">
        <v>1060</v>
      </c>
      <c r="ST187" s="12" t="s">
        <v>1116</v>
      </c>
      <c r="SU187" s="12" t="s">
        <v>1117</v>
      </c>
      <c r="SV187" s="12" t="s">
        <v>1118</v>
      </c>
      <c r="SW187" s="12" t="s">
        <v>1119</v>
      </c>
      <c r="SX187" s="12" t="s">
        <v>1120</v>
      </c>
      <c r="SY187" s="12" t="s">
        <v>1121</v>
      </c>
      <c r="SZ187" s="12" t="s">
        <v>1122</v>
      </c>
      <c r="TA187" s="12" t="s">
        <v>1123</v>
      </c>
      <c r="TB187" s="12" t="s">
        <v>1124</v>
      </c>
      <c r="TC187" s="12" t="s">
        <v>1125</v>
      </c>
      <c r="TD187" s="12" t="s">
        <v>1126</v>
      </c>
      <c r="TE187" s="12" t="s">
        <v>1059</v>
      </c>
      <c r="TF187" s="12" t="s">
        <v>1128</v>
      </c>
      <c r="TG187" s="12" t="s">
        <v>1129</v>
      </c>
      <c r="TH187" s="12" t="s">
        <v>1130</v>
      </c>
      <c r="TI187" s="12" t="s">
        <v>1132</v>
      </c>
      <c r="TJ187" s="12" t="s">
        <v>1131</v>
      </c>
      <c r="TK187" s="12" t="s">
        <v>1133</v>
      </c>
      <c r="TL187" s="12" t="s">
        <v>1134</v>
      </c>
      <c r="TM187" s="12" t="s">
        <v>1135</v>
      </c>
      <c r="TN187" s="12" t="s">
        <v>1136</v>
      </c>
      <c r="TO187" s="12" t="s">
        <v>1137</v>
      </c>
      <c r="TP187" s="13" t="s">
        <v>1138</v>
      </c>
    </row>
    <row r="188" spans="1:536" x14ac:dyDescent="0.25">
      <c r="A188" t="s">
        <v>1169</v>
      </c>
      <c r="B188" s="34" t="s">
        <v>1166</v>
      </c>
      <c r="C188" t="s">
        <v>1012</v>
      </c>
      <c r="P188" t="s">
        <v>1011</v>
      </c>
      <c r="T188" s="14" t="s">
        <v>554</v>
      </c>
      <c r="U188">
        <v>60</v>
      </c>
      <c r="W188" t="s">
        <v>1639</v>
      </c>
      <c r="X188" t="s">
        <v>1358</v>
      </c>
      <c r="Y188" s="43" t="str" cm="1">
        <f t="array" ref="Y188">IF(COUNTIFS($X$2:$X188,$X188)=1,"1",VALUE(SUBSTITUTE(INDEX(Y:Y,_xlfn.XMATCH($X188,$X$1:$X187,0,-1)),"A",""))+INDEX(Z:Z,_xlfn.XMATCH($X188,$X$1:$X187,0,-1))+1)</f>
        <v>1</v>
      </c>
      <c r="Z188" s="46" cm="1">
        <f t="array" ref="Z188">SUM(IF(ISNUMBER(FIND("TmAi",$BE$1:$AAD$1)),IF(IFERROR(ISODD(SUBSTITUTE($BE188:$AAD188,"A","")),FALSE),IF(ISODD(SUBSTITUTE($BE188:$AAD188,"A","")),1,0),0)))</f>
        <v>1</v>
      </c>
      <c r="AA188" t="str">
        <f t="shared" si="160"/>
        <v>1A</v>
      </c>
      <c r="AB188" t="str">
        <f t="shared" si="161"/>
        <v>1B</v>
      </c>
      <c r="AP188" t="s">
        <v>137</v>
      </c>
      <c r="AR188" t="s">
        <v>1152</v>
      </c>
      <c r="AS188" t="s">
        <v>396</v>
      </c>
      <c r="OE188" s="25" t="str">
        <f>CONCATENATE("XT",$U188)</f>
        <v>XT60</v>
      </c>
      <c r="OF188" s="12" t="s">
        <v>1174</v>
      </c>
      <c r="OG188" s="12" t="s">
        <v>1179</v>
      </c>
      <c r="OH188" s="12"/>
      <c r="OI188" s="12"/>
      <c r="OJ188" s="12" t="str">
        <f>CONCATENATE(REPLACE($AA188,LEN($AA188),1,"")+1,RIGHT($AA188))</f>
        <v>2A</v>
      </c>
      <c r="OK188" s="12" t="str">
        <f>CONCATENATE(REPLACE($AB188,LEN($AB188),1,"")+1,RIGHT($AB188))</f>
        <v>2B</v>
      </c>
      <c r="OL188" s="12" t="str">
        <f>CONCATENATE(REPLACE(OJ188,LEN(OJ188),1,"")+1,RIGHT(OJ188))</f>
        <v>3A</v>
      </c>
      <c r="OM188" s="12" t="str">
        <f t="shared" ref="OM188:OS190" si="181">CONCATENATE(REPLACE(OK188,LEN(OK188),1,"")+1,RIGHT(OK188))</f>
        <v>3B</v>
      </c>
      <c r="ON188" s="12" t="str">
        <f t="shared" si="181"/>
        <v>4A</v>
      </c>
      <c r="OO188" s="12" t="str">
        <f t="shared" si="181"/>
        <v>4B</v>
      </c>
      <c r="OP188" s="12"/>
      <c r="OQ188" s="12"/>
      <c r="OR188" s="12"/>
      <c r="OS188" s="12"/>
      <c r="OT188" s="12" t="str">
        <f>CONCATENATE($T188,"-AI",REPLACE($X188,1,3,""),"-",$AA188)</f>
        <v>F0-AI36-1A</v>
      </c>
      <c r="OU188" s="12" t="str">
        <f>CONCATENATE($T188,"-AI",REPLACE($X188,1,3,""),"-",$AB188)</f>
        <v>F0-AI36-1B</v>
      </c>
      <c r="OV188" s="12" t="str">
        <f t="shared" ref="OV188:PE190" si="182">CONCATENATE($T188,"-AI",REPLACE($X188,1,3,""),"-",OJ188)</f>
        <v>F0-AI36-2A</v>
      </c>
      <c r="OW188" s="12" t="str">
        <f t="shared" si="182"/>
        <v>F0-AI36-2B</v>
      </c>
      <c r="OX188" s="12" t="str">
        <f t="shared" si="182"/>
        <v>F0-AI36-3A</v>
      </c>
      <c r="OY188" s="12" t="str">
        <f t="shared" si="182"/>
        <v>F0-AI36-3B</v>
      </c>
      <c r="OZ188" s="12" t="str">
        <f t="shared" si="182"/>
        <v>F0-AI36-4A</v>
      </c>
      <c r="PA188" s="12" t="str">
        <f t="shared" si="182"/>
        <v>F0-AI36-4B</v>
      </c>
      <c r="PB188" s="12"/>
      <c r="PC188" s="12"/>
      <c r="PD188" s="12"/>
      <c r="PE188" s="12"/>
      <c r="PF188" s="12" cm="1">
        <f t="array" ref="PF188">IF(COUNTIFS($U$2:$U188,$U188)=1,1,INDEX(PF:PF,_xlfn.XMATCH($U188,$U$1:EF187,0,-1))+COUNT(PF187:PK187))</f>
        <v>1</v>
      </c>
      <c r="PG188" s="12">
        <f t="shared" ref="PG188:PI190" si="183">PF188+1</f>
        <v>2</v>
      </c>
      <c r="PH188" s="12">
        <f t="shared" si="183"/>
        <v>3</v>
      </c>
      <c r="PI188" s="12">
        <f>PH188+1</f>
        <v>4</v>
      </c>
      <c r="PJ188" s="12">
        <f t="shared" ref="PJ188:PN190" si="184">PI188+1</f>
        <v>5</v>
      </c>
      <c r="PK188" s="12">
        <f t="shared" si="184"/>
        <v>6</v>
      </c>
      <c r="PL188" s="12"/>
      <c r="PM188" s="12"/>
      <c r="PN188" s="12"/>
      <c r="PO188" s="12">
        <v>1</v>
      </c>
      <c r="PP188" s="12">
        <v>2</v>
      </c>
      <c r="PQ188" s="12">
        <v>3</v>
      </c>
      <c r="PR188" s="12">
        <v>4</v>
      </c>
      <c r="PS188" s="12">
        <v>5</v>
      </c>
      <c r="PT188" s="13">
        <v>6</v>
      </c>
    </row>
    <row r="189" spans="1:536" ht="15.75" thickBot="1" x14ac:dyDescent="0.3">
      <c r="A189" t="s">
        <v>1170</v>
      </c>
      <c r="B189" t="s">
        <v>1167</v>
      </c>
      <c r="C189" t="s">
        <v>1012</v>
      </c>
      <c r="P189" t="s">
        <v>1011</v>
      </c>
      <c r="T189" s="14" t="s">
        <v>554</v>
      </c>
      <c r="U189">
        <v>60</v>
      </c>
      <c r="W189" t="s">
        <v>1640</v>
      </c>
      <c r="X189" t="str">
        <f>IF(COUNTIF(X$1:X188,X188)&gt;7,REPLACE(X188,LEN(X188),1,VALUE(RIGHT(X188,1))+1),X188)</f>
        <v>A3.36</v>
      </c>
      <c r="Y189" s="43" cm="1">
        <f t="array" ref="Y189">IF(COUNTIFS($X$2:$X189,$X189)=1,"1",VALUE(SUBSTITUTE(INDEX(Y:Y,_xlfn.XMATCH($X189,$X$1:$X188,0,-1)),"A",""))+INDEX(Z:Z,_xlfn.XMATCH($X189,$X$1:$X188,0,-1))+1)</f>
        <v>3</v>
      </c>
      <c r="Z189" s="46" cm="1">
        <f t="array" ref="Z189">SUM(IF(ISNUMBER(FIND("TmAi",$BE$1:$AAD$1)),IF(IFERROR(ISODD(SUBSTITUTE($BE189:$AAD189,"A","")),FALSE),IF(ISODD(SUBSTITUTE($BE189:$AAD189,"A","")),1,0),0)))</f>
        <v>1</v>
      </c>
      <c r="AA189" t="str">
        <f t="shared" si="160"/>
        <v>5A</v>
      </c>
      <c r="AB189" t="str">
        <f t="shared" si="161"/>
        <v>5B</v>
      </c>
      <c r="AP189" t="s">
        <v>137</v>
      </c>
      <c r="AR189" t="s">
        <v>1152</v>
      </c>
      <c r="AS189" t="s">
        <v>396</v>
      </c>
      <c r="OE189" s="27" t="str">
        <f t="shared" ref="OE189:OE190" si="185">CONCATENATE("XT",$U189)</f>
        <v>XT60</v>
      </c>
      <c r="OF189" t="s">
        <v>1175</v>
      </c>
      <c r="OG189" t="s">
        <v>1181</v>
      </c>
      <c r="OJ189" t="str">
        <f t="shared" ref="OJ189:OJ190" si="186">CONCATENATE(REPLACE($AA189,LEN($AA189),1,"")+1,RIGHT($AA189))</f>
        <v>6A</v>
      </c>
      <c r="OK189" t="str">
        <f t="shared" ref="OK189:OK190" si="187">CONCATENATE(REPLACE($AB189,LEN($AB189),1,"")+1,RIGHT($AB189))</f>
        <v>6B</v>
      </c>
      <c r="OL189" t="str">
        <f t="shared" ref="OL189:OL190" si="188">CONCATENATE(REPLACE(OJ189,LEN(OJ189),1,"")+1,RIGHT(OJ189))</f>
        <v>7A</v>
      </c>
      <c r="OM189" t="str">
        <f t="shared" si="181"/>
        <v>7B</v>
      </c>
      <c r="ON189" t="str">
        <f t="shared" si="181"/>
        <v>8A</v>
      </c>
      <c r="OO189" t="str">
        <f t="shared" si="181"/>
        <v>8B</v>
      </c>
      <c r="OT189" t="str">
        <f>CONCATENATE($T189,"-AI",REPLACE($X189,1,3,""),"-",$AA189)</f>
        <v>F0-AI36-5A</v>
      </c>
      <c r="OU189" t="str">
        <f>CONCATENATE($T189,"-AI",REPLACE($X189,1,3,""),"-",$AB189)</f>
        <v>F0-AI36-5B</v>
      </c>
      <c r="OV189" t="str">
        <f t="shared" si="182"/>
        <v>F0-AI36-6A</v>
      </c>
      <c r="OW189" t="str">
        <f t="shared" si="182"/>
        <v>F0-AI36-6B</v>
      </c>
      <c r="OX189" t="str">
        <f t="shared" si="182"/>
        <v>F0-AI36-7A</v>
      </c>
      <c r="OY189" t="str">
        <f t="shared" si="182"/>
        <v>F0-AI36-7B</v>
      </c>
      <c r="OZ189" t="str">
        <f t="shared" si="182"/>
        <v>F0-AI36-8A</v>
      </c>
      <c r="PA189" t="str">
        <f t="shared" si="182"/>
        <v>F0-AI36-8B</v>
      </c>
      <c r="PF189" cm="1">
        <f t="array" ref="PF189">IF(COUNTIFS($U$2:$U189,$U189)=1,1,INDEX(PF:PF,_xlfn.XMATCH($U189,$U$1:$U188,0,-1))+COUNT(PF188:PK188))</f>
        <v>7</v>
      </c>
      <c r="PG189">
        <f t="shared" si="183"/>
        <v>8</v>
      </c>
      <c r="PH189">
        <f t="shared" si="183"/>
        <v>9</v>
      </c>
      <c r="PI189">
        <f t="shared" si="183"/>
        <v>10</v>
      </c>
      <c r="PJ189">
        <f t="shared" si="184"/>
        <v>11</v>
      </c>
      <c r="PK189">
        <f t="shared" si="184"/>
        <v>12</v>
      </c>
      <c r="PO189">
        <v>7</v>
      </c>
      <c r="PP189">
        <v>8</v>
      </c>
      <c r="PQ189">
        <v>9</v>
      </c>
      <c r="PR189">
        <v>10</v>
      </c>
      <c r="PS189">
        <v>11</v>
      </c>
      <c r="PT189" s="16">
        <v>12</v>
      </c>
    </row>
    <row r="190" spans="1:536" ht="15.75" thickBot="1" x14ac:dyDescent="0.3">
      <c r="A190" t="s">
        <v>1171</v>
      </c>
      <c r="B190" t="s">
        <v>1168</v>
      </c>
      <c r="C190" t="s">
        <v>1012</v>
      </c>
      <c r="P190" t="s">
        <v>1047</v>
      </c>
      <c r="T190" s="14" t="s">
        <v>554</v>
      </c>
      <c r="U190">
        <v>60</v>
      </c>
      <c r="W190" t="s">
        <v>1641</v>
      </c>
      <c r="X190" s="33" t="str">
        <f>IF(COUNTIF(X$1:X189,X189)&gt;7,REPLACE(X189,LEN(X189),1,VALUE(RIGHT(X189,1))+1),X189)</f>
        <v>A3.36</v>
      </c>
      <c r="Y190" s="45" cm="1">
        <f t="array" ref="Y190">IF(COUNTIFS($X$2:$X190,$X190)=1,"1",VALUE(SUBSTITUTE(INDEX(Y:Y,_xlfn.XMATCH($X190,$X$1:$X189,0,-1)),"A",""))+INDEX(Z:Z,_xlfn.XMATCH($X190,$X$1:$X189,0,-1))+1)</f>
        <v>5</v>
      </c>
      <c r="Z190" s="46" cm="1">
        <f t="array" ref="Z190">SUM(IF(ISNUMBER(FIND("TmAi",$BE$1:$AAD$1)),IF(IFERROR(ISODD(SUBSTITUTE($BE190:$AAD190,"A","")),FALSE),IF(ISODD(SUBSTITUTE($BE190:$AAD190,"A","")),1,0),0)))</f>
        <v>2</v>
      </c>
      <c r="AA190" t="str">
        <f t="shared" si="160"/>
        <v>9A</v>
      </c>
      <c r="AB190" t="str">
        <f t="shared" si="161"/>
        <v>9B</v>
      </c>
      <c r="AP190" t="s">
        <v>137</v>
      </c>
      <c r="AR190" t="s">
        <v>1153</v>
      </c>
      <c r="AS190" t="s">
        <v>396</v>
      </c>
      <c r="OE190" s="27" t="str">
        <f t="shared" si="185"/>
        <v>XT60</v>
      </c>
      <c r="OF190" t="s">
        <v>1176</v>
      </c>
      <c r="OG190" t="s">
        <v>1183</v>
      </c>
      <c r="OH190" t="s">
        <v>1320</v>
      </c>
      <c r="OI190" t="s">
        <v>1319</v>
      </c>
      <c r="OJ190" t="str">
        <f t="shared" si="186"/>
        <v>10A</v>
      </c>
      <c r="OK190" t="str">
        <f t="shared" si="187"/>
        <v>10B</v>
      </c>
      <c r="OL190" t="str">
        <f t="shared" si="188"/>
        <v>11A</v>
      </c>
      <c r="OM190" t="str">
        <f t="shared" si="181"/>
        <v>11B</v>
      </c>
      <c r="ON190" t="str">
        <f t="shared" si="181"/>
        <v>12A</v>
      </c>
      <c r="OO190" t="str">
        <f t="shared" si="181"/>
        <v>12B</v>
      </c>
      <c r="OP190" t="str">
        <f t="shared" si="181"/>
        <v>13A</v>
      </c>
      <c r="OQ190" t="str">
        <f t="shared" si="181"/>
        <v>13B</v>
      </c>
      <c r="OR190" t="str">
        <f t="shared" si="181"/>
        <v>14A</v>
      </c>
      <c r="OS190" t="str">
        <f t="shared" si="181"/>
        <v>14B</v>
      </c>
      <c r="OT190" t="str">
        <f>CONCATENATE($T190,"-AI",REPLACE($X190,1,3,""),"-",$AA190)</f>
        <v>F0-AI36-9A</v>
      </c>
      <c r="OU190" t="str">
        <f>CONCATENATE($T190,"-AI",REPLACE($X190,1,3,""),"-",$AB190)</f>
        <v>F0-AI36-9B</v>
      </c>
      <c r="OV190" t="str">
        <f t="shared" si="182"/>
        <v>F0-AI36-10A</v>
      </c>
      <c r="OW190" t="str">
        <f t="shared" si="182"/>
        <v>F0-AI36-10B</v>
      </c>
      <c r="OX190" t="str">
        <f t="shared" si="182"/>
        <v>F0-AI36-11A</v>
      </c>
      <c r="OY190" t="str">
        <f t="shared" si="182"/>
        <v>F0-AI36-11B</v>
      </c>
      <c r="OZ190" t="str">
        <f t="shared" si="182"/>
        <v>F0-AI36-12A</v>
      </c>
      <c r="PA190" t="str">
        <f t="shared" si="182"/>
        <v>F0-AI36-12B</v>
      </c>
      <c r="PB190" t="str">
        <f t="shared" si="182"/>
        <v>F0-AI36-13A</v>
      </c>
      <c r="PC190" t="str">
        <f t="shared" si="182"/>
        <v>F0-AI36-13B</v>
      </c>
      <c r="PD190" t="str">
        <f t="shared" si="182"/>
        <v>F0-AI36-14A</v>
      </c>
      <c r="PE190" t="str">
        <f t="shared" si="182"/>
        <v>F0-AI36-14B</v>
      </c>
      <c r="PF190" cm="1">
        <f t="array" ref="PF190">IF(COUNTIFS($U$2:$U190,$U190)=1,1,INDEX(PF:PF,_xlfn.XMATCH($U190,$U$1:$U189,0,-1))+COUNT(PF189:PK189))</f>
        <v>13</v>
      </c>
      <c r="PG190">
        <f t="shared" si="183"/>
        <v>14</v>
      </c>
      <c r="PH190">
        <f t="shared" si="183"/>
        <v>15</v>
      </c>
      <c r="PI190">
        <f t="shared" si="183"/>
        <v>16</v>
      </c>
      <c r="PJ190">
        <f t="shared" si="184"/>
        <v>17</v>
      </c>
      <c r="PK190">
        <f t="shared" si="184"/>
        <v>18</v>
      </c>
      <c r="PL190">
        <f t="shared" si="184"/>
        <v>19</v>
      </c>
      <c r="PM190">
        <f t="shared" si="184"/>
        <v>20</v>
      </c>
      <c r="PN190">
        <f t="shared" si="184"/>
        <v>21</v>
      </c>
      <c r="PO190">
        <v>1</v>
      </c>
      <c r="PP190">
        <v>2</v>
      </c>
      <c r="PQ190">
        <v>3</v>
      </c>
      <c r="PR190">
        <v>4</v>
      </c>
      <c r="PS190">
        <v>5</v>
      </c>
      <c r="PT190">
        <v>6</v>
      </c>
      <c r="PU190" s="23">
        <v>7</v>
      </c>
      <c r="PV190" s="23">
        <v>8</v>
      </c>
      <c r="PW190" s="24">
        <v>9</v>
      </c>
    </row>
    <row r="191" spans="1:536" ht="15.75" thickBot="1" x14ac:dyDescent="0.3">
      <c r="A191" t="s">
        <v>1172</v>
      </c>
      <c r="B191" t="s">
        <v>1143</v>
      </c>
      <c r="P191" t="s">
        <v>482</v>
      </c>
      <c r="T191" s="14" t="s">
        <v>554</v>
      </c>
      <c r="U191">
        <v>60</v>
      </c>
      <c r="W191" t="s">
        <v>1642</v>
      </c>
      <c r="X191" t="s">
        <v>1148</v>
      </c>
      <c r="Y191" s="43" t="str" cm="1">
        <f t="array" ref="Y191">IF(COUNTIFS($X$2:$X191,$X191)=1,"1",VALUE(SUBSTITUTE(INDEX(Y:Y,_xlfn.XMATCH($X191,$X$1:$X190,0,-1)),"A",""))+INDEX(Z:Z,_xlfn.XMATCH($X191,$X$1:$X190,0,-1))+1)</f>
        <v>1</v>
      </c>
      <c r="Z191" s="46" cm="1">
        <f t="array" ref="Z191">SUM(IF(ISNUMBER(FIND("TmAi",$BE$1:$AAD$1)),IF(IFERROR(ISODD(SUBSTITUTE($BE191:$AAD191,"A","")),FALSE),IF(ISODD(SUBSTITUTE($BE191:$AAD191,"A","")),1,0),0)))</f>
        <v>0</v>
      </c>
      <c r="AA191" t="str">
        <f t="shared" ref="AA191" si="189">CONCATENATE($Y191*2-1,"B")</f>
        <v>1B</v>
      </c>
      <c r="AB191" t="str">
        <f t="shared" ref="AB191" si="190">CONCATENATE($Y191*2,"B")</f>
        <v>2B</v>
      </c>
      <c r="AP191" t="s">
        <v>137</v>
      </c>
      <c r="AQ191" t="s">
        <v>1142</v>
      </c>
      <c r="AS191" t="s">
        <v>396</v>
      </c>
      <c r="JZ191" s="27" t="str">
        <f>CONCATENATE("XT",U191)</f>
        <v>XT60</v>
      </c>
      <c r="KC191" t="str">
        <f>CONCATENATE(T191,"-AI",REPLACE($X191,1,3,""),"-",AA191)</f>
        <v>F0-AI20-1B</v>
      </c>
      <c r="KD191" t="str">
        <f>CONCATENATE(T191,"-AI",REPLACE($X191,1,3,""),"-",AB191)</f>
        <v>F0-AI20-2B</v>
      </c>
      <c r="KI191">
        <v>22</v>
      </c>
      <c r="KJ191">
        <f t="shared" ref="KJ191:KK191" si="191">KI191+1</f>
        <v>23</v>
      </c>
      <c r="KK191">
        <f t="shared" si="191"/>
        <v>24</v>
      </c>
      <c r="KN191" t="s">
        <v>548</v>
      </c>
      <c r="KO191" s="16" t="s">
        <v>548</v>
      </c>
      <c r="KS191" s="16"/>
      <c r="OE191" s="27"/>
      <c r="PT191" s="16"/>
    </row>
    <row r="192" spans="1:536" ht="15.75" thickBot="1" x14ac:dyDescent="0.3">
      <c r="A192" t="s">
        <v>1173</v>
      </c>
      <c r="B192" s="33" t="s">
        <v>1145</v>
      </c>
      <c r="P192" t="s">
        <v>1061</v>
      </c>
      <c r="T192" s="14" t="s">
        <v>554</v>
      </c>
      <c r="U192">
        <v>60</v>
      </c>
      <c r="W192" t="s">
        <v>1643</v>
      </c>
      <c r="X192" s="33" t="str">
        <f>IF(COUNTIF(X$1:X191,X191)&gt;3,REPLACE(X191,LEN(X191),1,VALUE(RIGHT(X191,1))+1),X191)</f>
        <v>A3.20</v>
      </c>
      <c r="Y192" s="45" cm="1">
        <f t="array" ref="Y192">IF(COUNTIFS($X$2:$X192,$X192)=1,"1",VALUE(SUBSTITUTE(INDEX(Y:Y,_xlfn.XMATCH($X192,$X$1:$X191,0,-1)),"A",""))+INDEX(Z:Z,_xlfn.XMATCH($X192,$X$1:$X191,0,-1))+1)</f>
        <v>2</v>
      </c>
      <c r="Z192" s="46" cm="1">
        <f t="array" ref="Z192">SUM(IF(ISNUMBER(FIND("TmAi",$BE$1:$AAD$1)),IF(IFERROR(ISODD(SUBSTITUTE($BE192:$AAD192,"A","")),FALSE),IF(ISODD(SUBSTITUTE($BE192:$AAD192,"A","")),1,0),0)))</f>
        <v>11</v>
      </c>
      <c r="AA192" t="str">
        <f t="shared" ref="AA192:AA195" si="192">CONCATENATE($Y192*2-1,"A")</f>
        <v>3A</v>
      </c>
      <c r="AB192" t="str">
        <f t="shared" ref="AB192:AB195" si="193">CONCATENATE($Y192*2-1,"B")</f>
        <v>3B</v>
      </c>
      <c r="AP192" t="s">
        <v>137</v>
      </c>
      <c r="AR192" t="s">
        <v>1147</v>
      </c>
      <c r="AS192" t="s">
        <v>396</v>
      </c>
      <c r="JZ192" s="27"/>
      <c r="KI192" cm="1">
        <f t="array" ref="KI192">IF(COUNTIFS($U$2:$U192,$U192)=1,1,INDEX(KI:KI,_xlfn.XMATCH(U192,U$1:U191,0,-1))+COUNT(KI191:KM191))</f>
        <v>25</v>
      </c>
      <c r="KO192" s="16"/>
      <c r="KS192" s="16"/>
      <c r="PX192" s="25" t="str">
        <f>REPLACE(X192,FIND(".",X192)+1,3,MID(X192,FIND(".",X192)+1,3)+1)</f>
        <v>A3.21</v>
      </c>
      <c r="PY192" s="12" t="str">
        <f>CONCATENATE(VALUE(SUBSTITUTE($AB192,"B",""))+2,"B")</f>
        <v>5B</v>
      </c>
      <c r="PZ192" s="12" t="str">
        <f>CONCATENATE(VALUE(SUBSTITUTE($AA192,"A",""))+2,"A")</f>
        <v>5A</v>
      </c>
      <c r="QA192" s="12" t="str">
        <f>CONCATENATE(VALUE(SUBSTITUTE(PY192,"B",""))+2,"B")</f>
        <v>7B</v>
      </c>
      <c r="QB192" s="12" t="str">
        <f>CONCATENATE(VALUE(SUBSTITUTE(PZ192,"A",""))+2,"A")</f>
        <v>7A</v>
      </c>
      <c r="QC192" s="12" t="str">
        <f t="shared" ref="QC192" si="194">CONCATENATE(VALUE(SUBSTITUTE(QA192,"B",""))+2,"B")</f>
        <v>9B</v>
      </c>
      <c r="QD192" s="12" t="str">
        <f t="shared" ref="QD192" si="195">CONCATENATE(VALUE(SUBSTITUTE(QB192,"A",""))+2,"A")</f>
        <v>9A</v>
      </c>
      <c r="QE192" s="12" t="str">
        <f t="shared" ref="QE192" si="196">CONCATENATE(VALUE(SUBSTITUTE(QC192,"B",""))+2,"B")</f>
        <v>11B</v>
      </c>
      <c r="QF192" s="12" t="str">
        <f t="shared" ref="QF192" si="197">CONCATENATE(VALUE(SUBSTITUTE(QD192,"A",""))+2,"A")</f>
        <v>11A</v>
      </c>
      <c r="QG192" s="12" t="str">
        <f t="shared" ref="QG192" si="198">CONCATENATE(VALUE(SUBSTITUTE(QE192,"B",""))+2,"B")</f>
        <v>13B</v>
      </c>
      <c r="QH192" s="12" t="str">
        <f t="shared" ref="QH192" si="199">CONCATENATE(VALUE(SUBSTITUTE(QF192,"A",""))+2,"A")</f>
        <v>13A</v>
      </c>
      <c r="QI192" s="12" t="s">
        <v>135</v>
      </c>
      <c r="QJ192" s="12" t="s">
        <v>136</v>
      </c>
      <c r="QK192" s="12" t="str">
        <f t="shared" ref="QK192" si="200">CONCATENATE(VALUE(SUBSTITUTE(QI192,"B",""))+2,"B")</f>
        <v>3B</v>
      </c>
      <c r="QL192" s="12" t="str">
        <f t="shared" ref="QL192" si="201">CONCATENATE(VALUE(SUBSTITUTE(QJ192,"A",""))+2,"A")</f>
        <v>3A</v>
      </c>
      <c r="QM192" s="12" t="str">
        <f t="shared" ref="QM192" si="202">CONCATENATE(VALUE(SUBSTITUTE(QK192,"B",""))+2,"B")</f>
        <v>5B</v>
      </c>
      <c r="QN192" s="12" t="str">
        <f t="shared" ref="QN192" si="203">CONCATENATE(VALUE(SUBSTITUTE(QL192,"A",""))+2,"A")</f>
        <v>5A</v>
      </c>
      <c r="QO192" s="12" t="str">
        <f t="shared" ref="QO192" si="204">CONCATENATE(VALUE(SUBSTITUTE(QM192,"B",""))+2,"B")</f>
        <v>7B</v>
      </c>
      <c r="QP192" s="12" t="str">
        <f t="shared" ref="QP192" si="205">CONCATENATE(VALUE(SUBSTITUTE(QN192,"A",""))+2,"A")</f>
        <v>7A</v>
      </c>
      <c r="QQ192" s="12" t="str">
        <f t="shared" ref="QQ192" si="206">CONCATENATE(VALUE(SUBSTITUTE(QO192,"B",""))+2,"B")</f>
        <v>9B</v>
      </c>
      <c r="QR192" s="12" t="str">
        <f t="shared" ref="QR192" si="207">CONCATENATE(VALUE(SUBSTITUTE(QP192,"A",""))+2,"A")</f>
        <v>9A</v>
      </c>
      <c r="QS192" s="12" t="str">
        <f t="shared" ref="QS192" si="208">CONCATENATE(VALUE(SUBSTITUTE(QQ192,"B",""))+2,"B")</f>
        <v>11B</v>
      </c>
      <c r="QT192" s="12" t="str">
        <f t="shared" ref="QT192" si="209">CONCATENATE(VALUE(SUBSTITUTE(QR192,"A",""))+2,"A")</f>
        <v>11A</v>
      </c>
      <c r="QU192" s="12" t="str">
        <f>CONCATENATE($T192,"-AI",REPLACE($X192,1,3,""),"-",AB192)</f>
        <v>F0-AI20-3B</v>
      </c>
      <c r="QV192" s="12" t="str">
        <f>CONCATENATE($T192,"-AI",REPLACE($X192,1,3,""),"-",AA192)</f>
        <v>F0-AI20-3A</v>
      </c>
      <c r="QW192" s="12" t="str">
        <f>CONCATENATE($T192,"-AI",REPLACE($X192,1,3,""),"-",PY192)</f>
        <v>F0-AI20-5B</v>
      </c>
      <c r="QX192" s="12" t="str">
        <f>CONCATENATE($T192,"-AI",REPLACE($X192,1,3,""),"-",PZ192)</f>
        <v>F0-AI20-5A</v>
      </c>
      <c r="QY192" s="12" t="str">
        <f t="shared" ref="QY192:RF192" si="210">CONCATENATE($T192,"-AI",REPLACE($X192,1,3,""),"-",QA192)</f>
        <v>F0-AI20-7B</v>
      </c>
      <c r="QZ192" s="12" t="str">
        <f t="shared" si="210"/>
        <v>F0-AI20-7A</v>
      </c>
      <c r="RA192" s="12" t="str">
        <f t="shared" si="210"/>
        <v>F0-AI20-9B</v>
      </c>
      <c r="RB192" s="12" t="str">
        <f t="shared" si="210"/>
        <v>F0-AI20-9A</v>
      </c>
      <c r="RC192" s="12" t="str">
        <f t="shared" si="210"/>
        <v>F0-AI20-11B</v>
      </c>
      <c r="RD192" s="12" t="str">
        <f t="shared" si="210"/>
        <v>F0-AI20-11A</v>
      </c>
      <c r="RE192" s="12" t="str">
        <f t="shared" si="210"/>
        <v>F0-AI20-13B</v>
      </c>
      <c r="RF192" s="12" t="str">
        <f t="shared" si="210"/>
        <v>F0-AI20-13A</v>
      </c>
      <c r="RG192" s="12" t="str">
        <f t="shared" ref="RG192:RR192" si="211">CONCATENATE($T192,"-AI",REPLACE($PX192,1,3,""),"-",QI192)</f>
        <v>F0-AI21-1B</v>
      </c>
      <c r="RH192" s="12" t="str">
        <f t="shared" si="211"/>
        <v>F0-AI21-1A</v>
      </c>
      <c r="RI192" s="12" t="str">
        <f t="shared" si="211"/>
        <v>F0-AI21-3B</v>
      </c>
      <c r="RJ192" s="12" t="str">
        <f t="shared" si="211"/>
        <v>F0-AI21-3A</v>
      </c>
      <c r="RK192" s="12" t="str">
        <f t="shared" si="211"/>
        <v>F0-AI21-5B</v>
      </c>
      <c r="RL192" s="12" t="str">
        <f t="shared" si="211"/>
        <v>F0-AI21-5A</v>
      </c>
      <c r="RM192" s="12" t="str">
        <f t="shared" si="211"/>
        <v>F0-AI21-7B</v>
      </c>
      <c r="RN192" s="12" t="str">
        <f t="shared" si="211"/>
        <v>F0-AI21-7A</v>
      </c>
      <c r="RO192" s="12" t="str">
        <f t="shared" si="211"/>
        <v>F0-AI21-9B</v>
      </c>
      <c r="RP192" s="12" t="str">
        <f t="shared" si="211"/>
        <v>F0-AI21-9A</v>
      </c>
      <c r="RQ192" s="12" t="str">
        <f t="shared" si="211"/>
        <v>F0-AI21-11B</v>
      </c>
      <c r="RR192" s="12" t="str">
        <f t="shared" si="211"/>
        <v>F0-AI21-11A</v>
      </c>
      <c r="RS192" s="12" t="str">
        <f t="shared" ref="RS192" si="212">CONCATENATE("XT",$U192)</f>
        <v>XT60</v>
      </c>
      <c r="RT192" s="12">
        <v>22</v>
      </c>
      <c r="RU192" s="12">
        <v>23</v>
      </c>
      <c r="RV192" s="12">
        <v>24</v>
      </c>
      <c r="RW192" s="12">
        <v>25</v>
      </c>
      <c r="RX192" s="12">
        <v>26</v>
      </c>
      <c r="RY192" s="12">
        <v>27</v>
      </c>
      <c r="RZ192" s="12">
        <v>28</v>
      </c>
      <c r="SA192" s="12">
        <v>29</v>
      </c>
      <c r="SB192" s="12">
        <v>30</v>
      </c>
      <c r="SC192" s="12">
        <v>31</v>
      </c>
      <c r="SD192" s="12">
        <v>32</v>
      </c>
      <c r="SE192" s="12">
        <v>33</v>
      </c>
      <c r="SF192" s="12">
        <v>34</v>
      </c>
      <c r="SG192" s="12">
        <v>35</v>
      </c>
      <c r="SH192" s="12">
        <v>36</v>
      </c>
      <c r="SI192" s="12">
        <v>37</v>
      </c>
      <c r="SJ192" s="12">
        <v>38</v>
      </c>
      <c r="SK192" s="12">
        <v>39</v>
      </c>
      <c r="SL192" s="12">
        <v>40</v>
      </c>
      <c r="SM192" s="12">
        <v>41</v>
      </c>
      <c r="SN192" s="12">
        <v>42</v>
      </c>
      <c r="SO192" s="12">
        <v>43</v>
      </c>
      <c r="SP192" s="12">
        <v>44</v>
      </c>
      <c r="SQ192" s="12">
        <v>45</v>
      </c>
      <c r="SR192" s="12">
        <v>46</v>
      </c>
      <c r="SS192" s="12" t="s">
        <v>1154</v>
      </c>
      <c r="ST192" s="12" t="s">
        <v>1155</v>
      </c>
      <c r="SU192" s="12" t="s">
        <v>1156</v>
      </c>
      <c r="SV192" s="12" t="s">
        <v>1157</v>
      </c>
      <c r="SW192" s="12" t="s">
        <v>1158</v>
      </c>
      <c r="SX192" s="12" t="s">
        <v>1159</v>
      </c>
      <c r="SY192" s="12" t="s">
        <v>1160</v>
      </c>
      <c r="SZ192" s="12" t="s">
        <v>1161</v>
      </c>
      <c r="TA192" s="12" t="s">
        <v>1162</v>
      </c>
      <c r="TB192" s="12" t="s">
        <v>1163</v>
      </c>
      <c r="TC192" s="12" t="s">
        <v>1164</v>
      </c>
      <c r="TD192" s="12" t="s">
        <v>1165</v>
      </c>
      <c r="TE192" s="12" t="s">
        <v>1059</v>
      </c>
      <c r="TF192" s="12" t="s">
        <v>1128</v>
      </c>
      <c r="TG192" s="12" t="s">
        <v>1129</v>
      </c>
      <c r="TH192" s="12" t="s">
        <v>1130</v>
      </c>
      <c r="TI192" s="12" t="s">
        <v>1132</v>
      </c>
      <c r="TJ192" s="12" t="s">
        <v>1131</v>
      </c>
      <c r="TK192" s="12" t="s">
        <v>1133</v>
      </c>
      <c r="TL192" s="12" t="s">
        <v>1134</v>
      </c>
      <c r="TM192" s="12" t="s">
        <v>1135</v>
      </c>
      <c r="TN192" s="12" t="s">
        <v>1136</v>
      </c>
      <c r="TO192" s="12" t="s">
        <v>1137</v>
      </c>
      <c r="TP192" s="13" t="s">
        <v>1138</v>
      </c>
    </row>
    <row r="193" spans="1:536" x14ac:dyDescent="0.25">
      <c r="A193" t="s">
        <v>1186</v>
      </c>
      <c r="B193" s="34" t="s">
        <v>1206</v>
      </c>
      <c r="C193" t="s">
        <v>1012</v>
      </c>
      <c r="P193" t="s">
        <v>1011</v>
      </c>
      <c r="T193" s="14" t="s">
        <v>554</v>
      </c>
      <c r="U193">
        <v>61</v>
      </c>
      <c r="W193" t="s">
        <v>1644</v>
      </c>
      <c r="X193" t="s">
        <v>1359</v>
      </c>
      <c r="Y193" s="43" t="str" cm="1">
        <f t="array" ref="Y193">IF(COUNTIFS($X$2:$X193,$X193)=1,"1",VALUE(SUBSTITUTE(INDEX(Y:Y,_xlfn.XMATCH($X193,$X$1:$X192,0,-1)),"A",""))+INDEX(Z:Z,_xlfn.XMATCH($X193,$X$1:$X192,0,-1))+1)</f>
        <v>1</v>
      </c>
      <c r="Z193" s="46" cm="1">
        <f t="array" ref="Z193">SUM(IF(ISNUMBER(FIND("TmAi",$BE$1:$AAD$1)),IF(IFERROR(ISODD(SUBSTITUTE($BE193:$AAD193,"A","")),FALSE),IF(ISODD(SUBSTITUTE($BE193:$AAD193,"A","")),1,0),0)))</f>
        <v>1</v>
      </c>
      <c r="AA193" t="str">
        <f t="shared" si="192"/>
        <v>1A</v>
      </c>
      <c r="AB193" t="str">
        <f t="shared" si="193"/>
        <v>1B</v>
      </c>
      <c r="AP193" t="s">
        <v>137</v>
      </c>
      <c r="AR193" t="s">
        <v>1207</v>
      </c>
      <c r="AS193" t="s">
        <v>396</v>
      </c>
      <c r="OE193" s="25" t="str">
        <f>CONCATENATE("XT",$U193)</f>
        <v>XT61</v>
      </c>
      <c r="OF193" s="12" t="s">
        <v>1187</v>
      </c>
      <c r="OG193" s="12" t="s">
        <v>1323</v>
      </c>
      <c r="OH193" s="12"/>
      <c r="OI193" s="12"/>
      <c r="OJ193" s="12" t="str">
        <f>CONCATENATE(REPLACE($AA193,LEN($AA193),1,"")+1,RIGHT($AA193))</f>
        <v>2A</v>
      </c>
      <c r="OK193" s="12" t="str">
        <f>CONCATENATE(REPLACE($AB193,LEN($AB193),1,"")+1,RIGHT($AB193))</f>
        <v>2B</v>
      </c>
      <c r="OL193" s="12" t="str">
        <f>CONCATENATE(REPLACE(OJ193,LEN(OJ193),1,"")+1,RIGHT(OJ193))</f>
        <v>3A</v>
      </c>
      <c r="OM193" s="12" t="str">
        <f t="shared" ref="OM193:OS195" si="213">CONCATENATE(REPLACE(OK193,LEN(OK193),1,"")+1,RIGHT(OK193))</f>
        <v>3B</v>
      </c>
      <c r="ON193" s="12" t="str">
        <f t="shared" si="213"/>
        <v>4A</v>
      </c>
      <c r="OO193" s="12" t="str">
        <f t="shared" si="213"/>
        <v>4B</v>
      </c>
      <c r="OP193" s="12"/>
      <c r="OQ193" s="12"/>
      <c r="OR193" s="12"/>
      <c r="OS193" s="12"/>
      <c r="OT193" s="12" t="str">
        <f>CONCATENATE($T193,"-AI",REPLACE($X193,1,3,""),"-",$AA193)</f>
        <v>F0-AI37-1A</v>
      </c>
      <c r="OU193" s="12" t="str">
        <f>CONCATENATE($T193,"-AI",REPLACE($X193,1,3,""),"-",$AB193)</f>
        <v>F0-AI37-1B</v>
      </c>
      <c r="OV193" s="12" t="str">
        <f t="shared" ref="OV193:PE195" si="214">CONCATENATE($T193,"-AI",REPLACE($X193,1,3,""),"-",OJ193)</f>
        <v>F0-AI37-2A</v>
      </c>
      <c r="OW193" s="12" t="str">
        <f t="shared" si="214"/>
        <v>F0-AI37-2B</v>
      </c>
      <c r="OX193" s="12" t="str">
        <f t="shared" si="214"/>
        <v>F0-AI37-3A</v>
      </c>
      <c r="OY193" s="12" t="str">
        <f t="shared" si="214"/>
        <v>F0-AI37-3B</v>
      </c>
      <c r="OZ193" s="12" t="str">
        <f t="shared" si="214"/>
        <v>F0-AI37-4A</v>
      </c>
      <c r="PA193" s="12" t="str">
        <f t="shared" si="214"/>
        <v>F0-AI37-4B</v>
      </c>
      <c r="PB193" s="12"/>
      <c r="PC193" s="12"/>
      <c r="PD193" s="12"/>
      <c r="PE193" s="12"/>
      <c r="PF193" s="12" cm="1">
        <f t="array" ref="PF193">IF(COUNTIFS($U$2:$U193,$U193)=1,1,INDEX(PF:PF,_xlfn.XMATCH($U193,$U$1:EF192,0,-1))+COUNT(PF192:PK192))</f>
        <v>1</v>
      </c>
      <c r="PG193" s="12">
        <f t="shared" ref="PG193:PI195" si="215">PF193+1</f>
        <v>2</v>
      </c>
      <c r="PH193" s="12">
        <f t="shared" si="215"/>
        <v>3</v>
      </c>
      <c r="PI193" s="12">
        <f>PH193+1</f>
        <v>4</v>
      </c>
      <c r="PJ193" s="12">
        <f t="shared" ref="PJ193:PN195" si="216">PI193+1</f>
        <v>5</v>
      </c>
      <c r="PK193" s="12">
        <f t="shared" si="216"/>
        <v>6</v>
      </c>
      <c r="PL193" s="12"/>
      <c r="PM193" s="12"/>
      <c r="PN193" s="12"/>
      <c r="PO193" s="12">
        <v>1</v>
      </c>
      <c r="PP193" s="12">
        <v>2</v>
      </c>
      <c r="PQ193" s="12">
        <v>3</v>
      </c>
      <c r="PR193" s="12">
        <v>4</v>
      </c>
      <c r="PS193" s="12">
        <v>5</v>
      </c>
      <c r="PT193" s="13">
        <v>6</v>
      </c>
    </row>
    <row r="194" spans="1:536" ht="15.75" thickBot="1" x14ac:dyDescent="0.3">
      <c r="A194" t="s">
        <v>1188</v>
      </c>
      <c r="B194" t="s">
        <v>1208</v>
      </c>
      <c r="C194" t="s">
        <v>1012</v>
      </c>
      <c r="P194" t="s">
        <v>1011</v>
      </c>
      <c r="T194" s="14" t="s">
        <v>554</v>
      </c>
      <c r="U194">
        <v>61</v>
      </c>
      <c r="W194" t="s">
        <v>1645</v>
      </c>
      <c r="X194" t="str">
        <f>IF(COUNTIF(X$1:X193,X193)&gt;7,REPLACE(X193,LEN(X193),1,VALUE(RIGHT(X193,1))+1),X193)</f>
        <v>A3.37</v>
      </c>
      <c r="Y194" s="43" cm="1">
        <f t="array" ref="Y194">IF(COUNTIFS($X$2:$X194,$X194)=1,"1",VALUE(SUBSTITUTE(INDEX(Y:Y,_xlfn.XMATCH($X194,$X$1:$X193,0,-1)),"A",""))+INDEX(Z:Z,_xlfn.XMATCH($X194,$X$1:$X193,0,-1))+1)</f>
        <v>3</v>
      </c>
      <c r="Z194" s="46" cm="1">
        <f t="array" ref="Z194">SUM(IF(ISNUMBER(FIND("TmAi",$BE$1:$AAD$1)),IF(IFERROR(ISODD(SUBSTITUTE($BE194:$AAD194,"A","")),FALSE),IF(ISODD(SUBSTITUTE($BE194:$AAD194,"A","")),1,0),0)))</f>
        <v>1</v>
      </c>
      <c r="AA194" t="str">
        <f t="shared" si="192"/>
        <v>5A</v>
      </c>
      <c r="AB194" t="str">
        <f t="shared" si="193"/>
        <v>5B</v>
      </c>
      <c r="AP194" t="s">
        <v>137</v>
      </c>
      <c r="AR194" t="s">
        <v>1207</v>
      </c>
      <c r="AS194" t="s">
        <v>396</v>
      </c>
      <c r="OE194" s="27" t="str">
        <f t="shared" ref="OE194:OE195" si="217">CONCATENATE("XT",$U194)</f>
        <v>XT61</v>
      </c>
      <c r="OF194" t="s">
        <v>1189</v>
      </c>
      <c r="OG194" t="s">
        <v>1324</v>
      </c>
      <c r="OJ194" t="str">
        <f t="shared" ref="OJ194:OJ195" si="218">CONCATENATE(REPLACE($AA194,LEN($AA194),1,"")+1,RIGHT($AA194))</f>
        <v>6A</v>
      </c>
      <c r="OK194" t="str">
        <f t="shared" ref="OK194:OK195" si="219">CONCATENATE(REPLACE($AB194,LEN($AB194),1,"")+1,RIGHT($AB194))</f>
        <v>6B</v>
      </c>
      <c r="OL194" t="str">
        <f t="shared" ref="OL194:OL195" si="220">CONCATENATE(REPLACE(OJ194,LEN(OJ194),1,"")+1,RIGHT(OJ194))</f>
        <v>7A</v>
      </c>
      <c r="OM194" t="str">
        <f t="shared" si="213"/>
        <v>7B</v>
      </c>
      <c r="ON194" t="str">
        <f t="shared" si="213"/>
        <v>8A</v>
      </c>
      <c r="OO194" t="str">
        <f t="shared" si="213"/>
        <v>8B</v>
      </c>
      <c r="OT194" t="str">
        <f>CONCATENATE($T194,"-AI",REPLACE($X194,1,3,""),"-",$AA194)</f>
        <v>F0-AI37-5A</v>
      </c>
      <c r="OU194" t="str">
        <f>CONCATENATE($T194,"-AI",REPLACE($X194,1,3,""),"-",$AB194)</f>
        <v>F0-AI37-5B</v>
      </c>
      <c r="OV194" t="str">
        <f t="shared" si="214"/>
        <v>F0-AI37-6A</v>
      </c>
      <c r="OW194" t="str">
        <f t="shared" si="214"/>
        <v>F0-AI37-6B</v>
      </c>
      <c r="OX194" t="str">
        <f t="shared" si="214"/>
        <v>F0-AI37-7A</v>
      </c>
      <c r="OY194" t="str">
        <f t="shared" si="214"/>
        <v>F0-AI37-7B</v>
      </c>
      <c r="OZ194" t="str">
        <f t="shared" si="214"/>
        <v>F0-AI37-8A</v>
      </c>
      <c r="PA194" t="str">
        <f t="shared" si="214"/>
        <v>F0-AI37-8B</v>
      </c>
      <c r="PF194" cm="1">
        <f t="array" ref="PF194">IF(COUNTIFS($U$2:$U194,$U194)=1,1,INDEX(PF:PF,_xlfn.XMATCH($U194,$U$1:$U193,0,-1))+COUNT(PF193:PK193))</f>
        <v>7</v>
      </c>
      <c r="PG194">
        <f t="shared" si="215"/>
        <v>8</v>
      </c>
      <c r="PH194">
        <f t="shared" si="215"/>
        <v>9</v>
      </c>
      <c r="PI194">
        <f t="shared" si="215"/>
        <v>10</v>
      </c>
      <c r="PJ194">
        <f t="shared" si="216"/>
        <v>11</v>
      </c>
      <c r="PK194">
        <f t="shared" si="216"/>
        <v>12</v>
      </c>
      <c r="PO194">
        <v>7</v>
      </c>
      <c r="PP194">
        <v>8</v>
      </c>
      <c r="PQ194">
        <v>9</v>
      </c>
      <c r="PR194">
        <v>10</v>
      </c>
      <c r="PS194">
        <v>11</v>
      </c>
      <c r="PT194" s="16">
        <v>12</v>
      </c>
    </row>
    <row r="195" spans="1:536" ht="15.75" thickBot="1" x14ac:dyDescent="0.3">
      <c r="A195" t="s">
        <v>1190</v>
      </c>
      <c r="B195" t="s">
        <v>1209</v>
      </c>
      <c r="C195" t="s">
        <v>1012</v>
      </c>
      <c r="P195" t="s">
        <v>1047</v>
      </c>
      <c r="T195" s="14" t="s">
        <v>554</v>
      </c>
      <c r="U195">
        <v>61</v>
      </c>
      <c r="W195" t="s">
        <v>1646</v>
      </c>
      <c r="X195" s="33" t="str">
        <f>IF(COUNTIF(X$1:X194,X194)&gt;7,REPLACE(X194,LEN(X194),1,VALUE(RIGHT(X194,1))+1),X194)</f>
        <v>A3.37</v>
      </c>
      <c r="Y195" s="45" cm="1">
        <f t="array" ref="Y195">IF(COUNTIFS($X$2:$X195,$X195)=1,"1",VALUE(SUBSTITUTE(INDEX(Y:Y,_xlfn.XMATCH($X195,$X$1:$X194,0,-1)),"A",""))+INDEX(Z:Z,_xlfn.XMATCH($X195,$X$1:$X194,0,-1))+1)</f>
        <v>5</v>
      </c>
      <c r="Z195" s="46" cm="1">
        <f t="array" ref="Z195">SUM(IF(ISNUMBER(FIND("TmAi",$BE$1:$AAD$1)),IF(IFERROR(ISODD(SUBSTITUTE($BE195:$AAD195,"A","")),FALSE),IF(ISODD(SUBSTITUTE($BE195:$AAD195,"A","")),1,0),0)))</f>
        <v>2</v>
      </c>
      <c r="AA195" t="str">
        <f t="shared" si="192"/>
        <v>9A</v>
      </c>
      <c r="AB195" t="str">
        <f t="shared" si="193"/>
        <v>9B</v>
      </c>
      <c r="AP195" t="s">
        <v>137</v>
      </c>
      <c r="AR195" t="s">
        <v>1210</v>
      </c>
      <c r="AS195" t="s">
        <v>396</v>
      </c>
      <c r="OE195" s="27" t="str">
        <f t="shared" si="217"/>
        <v>XT61</v>
      </c>
      <c r="OF195" t="s">
        <v>1191</v>
      </c>
      <c r="OG195" t="s">
        <v>1325</v>
      </c>
      <c r="OH195" t="s">
        <v>1321</v>
      </c>
      <c r="OI195" t="s">
        <v>1326</v>
      </c>
      <c r="OJ195" t="str">
        <f t="shared" si="218"/>
        <v>10A</v>
      </c>
      <c r="OK195" t="str">
        <f t="shared" si="219"/>
        <v>10B</v>
      </c>
      <c r="OL195" t="str">
        <f t="shared" si="220"/>
        <v>11A</v>
      </c>
      <c r="OM195" t="str">
        <f t="shared" si="213"/>
        <v>11B</v>
      </c>
      <c r="ON195" t="str">
        <f t="shared" si="213"/>
        <v>12A</v>
      </c>
      <c r="OO195" t="str">
        <f t="shared" si="213"/>
        <v>12B</v>
      </c>
      <c r="OP195" t="str">
        <f t="shared" si="213"/>
        <v>13A</v>
      </c>
      <c r="OQ195" t="str">
        <f t="shared" si="213"/>
        <v>13B</v>
      </c>
      <c r="OR195" t="str">
        <f t="shared" si="213"/>
        <v>14A</v>
      </c>
      <c r="OS195" t="str">
        <f t="shared" si="213"/>
        <v>14B</v>
      </c>
      <c r="OT195" t="str">
        <f>CONCATENATE($T195,"-AI",REPLACE($X195,1,3,""),"-",$AA195)</f>
        <v>F0-AI37-9A</v>
      </c>
      <c r="OU195" t="str">
        <f>CONCATENATE($T195,"-AI",REPLACE($X195,1,3,""),"-",$AB195)</f>
        <v>F0-AI37-9B</v>
      </c>
      <c r="OV195" t="str">
        <f t="shared" si="214"/>
        <v>F0-AI37-10A</v>
      </c>
      <c r="OW195" t="str">
        <f t="shared" si="214"/>
        <v>F0-AI37-10B</v>
      </c>
      <c r="OX195" t="str">
        <f t="shared" si="214"/>
        <v>F0-AI37-11A</v>
      </c>
      <c r="OY195" t="str">
        <f t="shared" si="214"/>
        <v>F0-AI37-11B</v>
      </c>
      <c r="OZ195" t="str">
        <f t="shared" si="214"/>
        <v>F0-AI37-12A</v>
      </c>
      <c r="PA195" t="str">
        <f t="shared" si="214"/>
        <v>F0-AI37-12B</v>
      </c>
      <c r="PB195" t="str">
        <f t="shared" si="214"/>
        <v>F0-AI37-13A</v>
      </c>
      <c r="PC195" t="str">
        <f t="shared" si="214"/>
        <v>F0-AI37-13B</v>
      </c>
      <c r="PD195" t="str">
        <f t="shared" si="214"/>
        <v>F0-AI37-14A</v>
      </c>
      <c r="PE195" t="str">
        <f t="shared" si="214"/>
        <v>F0-AI37-14B</v>
      </c>
      <c r="PF195" cm="1">
        <f t="array" ref="PF195">IF(COUNTIFS($U$2:$U195,$U195)=1,1,INDEX(PF:PF,_xlfn.XMATCH($U195,$U$1:$U194,0,-1))+COUNT(PF194:PK194))</f>
        <v>13</v>
      </c>
      <c r="PG195">
        <f t="shared" si="215"/>
        <v>14</v>
      </c>
      <c r="PH195">
        <f t="shared" si="215"/>
        <v>15</v>
      </c>
      <c r="PI195">
        <f t="shared" si="215"/>
        <v>16</v>
      </c>
      <c r="PJ195">
        <f t="shared" si="216"/>
        <v>17</v>
      </c>
      <c r="PK195">
        <f t="shared" si="216"/>
        <v>18</v>
      </c>
      <c r="PL195">
        <f t="shared" si="216"/>
        <v>19</v>
      </c>
      <c r="PM195">
        <f t="shared" si="216"/>
        <v>20</v>
      </c>
      <c r="PN195">
        <f t="shared" si="216"/>
        <v>21</v>
      </c>
      <c r="PO195">
        <v>1</v>
      </c>
      <c r="PP195">
        <v>2</v>
      </c>
      <c r="PQ195">
        <v>3</v>
      </c>
      <c r="PR195">
        <v>4</v>
      </c>
      <c r="PS195">
        <v>5</v>
      </c>
      <c r="PT195">
        <v>6</v>
      </c>
      <c r="PU195" s="23">
        <v>7</v>
      </c>
      <c r="PV195" s="23">
        <v>8</v>
      </c>
      <c r="PW195" s="24">
        <v>9</v>
      </c>
    </row>
    <row r="196" spans="1:536" ht="15.75" thickBot="1" x14ac:dyDescent="0.3">
      <c r="A196" t="s">
        <v>1192</v>
      </c>
      <c r="B196" t="s">
        <v>1211</v>
      </c>
      <c r="P196" t="s">
        <v>482</v>
      </c>
      <c r="T196" s="14" t="s">
        <v>554</v>
      </c>
      <c r="U196">
        <v>61</v>
      </c>
      <c r="W196" t="s">
        <v>1647</v>
      </c>
      <c r="X196" t="s">
        <v>1214</v>
      </c>
      <c r="Y196" s="43" t="str" cm="1">
        <f t="array" ref="Y196">IF(COUNTIFS($X$2:$X196,$X196)=1,"1",VALUE(SUBSTITUTE(INDEX(Y:Y,_xlfn.XMATCH($X196,$X$1:$X195,0,-1)),"A",""))+INDEX(Z:Z,_xlfn.XMATCH($X196,$X$1:$X195,0,-1))+1)</f>
        <v>1</v>
      </c>
      <c r="Z196" s="46" cm="1">
        <f t="array" ref="Z196">SUM(IF(ISNUMBER(FIND("TmAi",$BE$1:$AAD$1)),IF(IFERROR(ISODD(SUBSTITUTE($BE196:$AAD196,"A","")),FALSE),IF(ISODD(SUBSTITUTE($BE196:$AAD196,"A","")),1,0),0)))</f>
        <v>0</v>
      </c>
      <c r="AA196" t="str">
        <f t="shared" ref="AA196" si="221">CONCATENATE($Y196*2-1,"B")</f>
        <v>1B</v>
      </c>
      <c r="AB196" t="str">
        <f t="shared" ref="AB196" si="222">CONCATENATE($Y196*2,"B")</f>
        <v>2B</v>
      </c>
      <c r="AP196" t="s">
        <v>137</v>
      </c>
      <c r="AQ196" t="s">
        <v>1142</v>
      </c>
      <c r="AS196" t="s">
        <v>396</v>
      </c>
      <c r="JZ196" s="27" t="str">
        <f>CONCATENATE("XT",U196)</f>
        <v>XT61</v>
      </c>
      <c r="KC196" t="str">
        <f>CONCATENATE(T196,"-AI",REPLACE($X196,1,3,""),"-",AA196)</f>
        <v>F0-AI22-1B</v>
      </c>
      <c r="KD196" t="str">
        <f>CONCATENATE(T196,"-AI",REPLACE($X196,1,3,""),"-",AB196)</f>
        <v>F0-AI22-2B</v>
      </c>
      <c r="KI196">
        <v>22</v>
      </c>
      <c r="KJ196">
        <f t="shared" ref="KJ196:KK196" si="223">KI196+1</f>
        <v>23</v>
      </c>
      <c r="KK196">
        <f t="shared" si="223"/>
        <v>24</v>
      </c>
      <c r="KN196" t="s">
        <v>548</v>
      </c>
      <c r="KO196" s="16" t="s">
        <v>548</v>
      </c>
      <c r="KS196" s="16"/>
      <c r="OE196" s="27"/>
      <c r="PT196" s="16"/>
    </row>
    <row r="197" spans="1:536" ht="15.75" thickBot="1" x14ac:dyDescent="0.3">
      <c r="A197" t="s">
        <v>1193</v>
      </c>
      <c r="B197" s="33" t="s">
        <v>1212</v>
      </c>
      <c r="P197" t="s">
        <v>1061</v>
      </c>
      <c r="T197" s="14" t="s">
        <v>554</v>
      </c>
      <c r="U197">
        <v>61</v>
      </c>
      <c r="W197" t="s">
        <v>1648</v>
      </c>
      <c r="X197" s="33" t="str">
        <f>IF(COUNTIF(X$1:X196,X196)&gt;3,REPLACE(X196,LEN(X196),1,VALUE(RIGHT(X196,1))+1),X196)</f>
        <v>A3.22</v>
      </c>
      <c r="Y197" s="45" cm="1">
        <f t="array" ref="Y197">IF(COUNTIFS($X$2:$X197,$X197)=1,"1",VALUE(SUBSTITUTE(INDEX(Y:Y,_xlfn.XMATCH($X197,$X$1:$X196,0,-1)),"A",""))+INDEX(Z:Z,_xlfn.XMATCH($X197,$X$1:$X196,0,-1))+1)</f>
        <v>2</v>
      </c>
      <c r="Z197" s="46" cm="1">
        <f t="array" ref="Z197">SUM(IF(ISNUMBER(FIND("TmAi",$BE$1:$AAD$1)),IF(IFERROR(ISODD(SUBSTITUTE($BE197:$AAD197,"A","")),FALSE),IF(ISODD(SUBSTITUTE($BE197:$AAD197,"A","")),1,0),0)))</f>
        <v>11</v>
      </c>
      <c r="AA197" t="str">
        <f t="shared" ref="AA197:AA200" si="224">CONCATENATE($Y197*2-1,"A")</f>
        <v>3A</v>
      </c>
      <c r="AB197" t="str">
        <f t="shared" ref="AB197:AB200" si="225">CONCATENATE($Y197*2-1,"B")</f>
        <v>3B</v>
      </c>
      <c r="AP197" t="s">
        <v>137</v>
      </c>
      <c r="AR197" t="s">
        <v>1213</v>
      </c>
      <c r="AS197" t="s">
        <v>396</v>
      </c>
      <c r="JZ197" s="27"/>
      <c r="KI197" cm="1">
        <f t="array" ref="KI197">IF(COUNTIFS($U$2:$U197,$U197)=1,1,INDEX(KI:KI,_xlfn.XMATCH(U197,U$1:U196,0,-1))+COUNT(KI196:KM196))</f>
        <v>25</v>
      </c>
      <c r="KO197" s="16"/>
      <c r="KS197" s="16"/>
      <c r="PX197" s="25" t="str">
        <f>REPLACE(X197,FIND(".",X197)+1,3,MID(X197,FIND(".",X197)+1,3)+1)</f>
        <v>A3.23</v>
      </c>
      <c r="PY197" s="12" t="str">
        <f>CONCATENATE(VALUE(SUBSTITUTE($AB197,"B",""))+2,"B")</f>
        <v>5B</v>
      </c>
      <c r="PZ197" s="12" t="str">
        <f>CONCATENATE(VALUE(SUBSTITUTE($AA197,"A",""))+2,"A")</f>
        <v>5A</v>
      </c>
      <c r="QA197" s="12" t="str">
        <f>CONCATENATE(VALUE(SUBSTITUTE(PY197,"B",""))+2,"B")</f>
        <v>7B</v>
      </c>
      <c r="QB197" s="12" t="str">
        <f>CONCATENATE(VALUE(SUBSTITUTE(PZ197,"A",""))+2,"A")</f>
        <v>7A</v>
      </c>
      <c r="QC197" s="12" t="str">
        <f t="shared" ref="QC197" si="226">CONCATENATE(VALUE(SUBSTITUTE(QA197,"B",""))+2,"B")</f>
        <v>9B</v>
      </c>
      <c r="QD197" s="12" t="str">
        <f t="shared" ref="QD197" si="227">CONCATENATE(VALUE(SUBSTITUTE(QB197,"A",""))+2,"A")</f>
        <v>9A</v>
      </c>
      <c r="QE197" s="12" t="str">
        <f t="shared" ref="QE197" si="228">CONCATENATE(VALUE(SUBSTITUTE(QC197,"B",""))+2,"B")</f>
        <v>11B</v>
      </c>
      <c r="QF197" s="12" t="str">
        <f t="shared" ref="QF197" si="229">CONCATENATE(VALUE(SUBSTITUTE(QD197,"A",""))+2,"A")</f>
        <v>11A</v>
      </c>
      <c r="QG197" s="12" t="str">
        <f t="shared" ref="QG197" si="230">CONCATENATE(VALUE(SUBSTITUTE(QE197,"B",""))+2,"B")</f>
        <v>13B</v>
      </c>
      <c r="QH197" s="12" t="str">
        <f t="shared" ref="QH197" si="231">CONCATENATE(VALUE(SUBSTITUTE(QF197,"A",""))+2,"A")</f>
        <v>13A</v>
      </c>
      <c r="QI197" s="12" t="s">
        <v>135</v>
      </c>
      <c r="QJ197" s="12" t="s">
        <v>136</v>
      </c>
      <c r="QK197" s="12" t="str">
        <f t="shared" ref="QK197" si="232">CONCATENATE(VALUE(SUBSTITUTE(QI197,"B",""))+2,"B")</f>
        <v>3B</v>
      </c>
      <c r="QL197" s="12" t="str">
        <f t="shared" ref="QL197" si="233">CONCATENATE(VALUE(SUBSTITUTE(QJ197,"A",""))+2,"A")</f>
        <v>3A</v>
      </c>
      <c r="QM197" s="12" t="str">
        <f t="shared" ref="QM197" si="234">CONCATENATE(VALUE(SUBSTITUTE(QK197,"B",""))+2,"B")</f>
        <v>5B</v>
      </c>
      <c r="QN197" s="12" t="str">
        <f t="shared" ref="QN197" si="235">CONCATENATE(VALUE(SUBSTITUTE(QL197,"A",""))+2,"A")</f>
        <v>5A</v>
      </c>
      <c r="QO197" s="12" t="str">
        <f t="shared" ref="QO197" si="236">CONCATENATE(VALUE(SUBSTITUTE(QM197,"B",""))+2,"B")</f>
        <v>7B</v>
      </c>
      <c r="QP197" s="12" t="str">
        <f t="shared" ref="QP197" si="237">CONCATENATE(VALUE(SUBSTITUTE(QN197,"A",""))+2,"A")</f>
        <v>7A</v>
      </c>
      <c r="QQ197" s="12" t="str">
        <f t="shared" ref="QQ197" si="238">CONCATENATE(VALUE(SUBSTITUTE(QO197,"B",""))+2,"B")</f>
        <v>9B</v>
      </c>
      <c r="QR197" s="12" t="str">
        <f t="shared" ref="QR197" si="239">CONCATENATE(VALUE(SUBSTITUTE(QP197,"A",""))+2,"A")</f>
        <v>9A</v>
      </c>
      <c r="QS197" s="12" t="str">
        <f t="shared" ref="QS197" si="240">CONCATENATE(VALUE(SUBSTITUTE(QQ197,"B",""))+2,"B")</f>
        <v>11B</v>
      </c>
      <c r="QT197" s="12" t="str">
        <f t="shared" ref="QT197" si="241">CONCATENATE(VALUE(SUBSTITUTE(QR197,"A",""))+2,"A")</f>
        <v>11A</v>
      </c>
      <c r="QU197" s="12" t="str">
        <f>CONCATENATE($T197,"-AI",REPLACE($X197,1,3,""),"-",AB197)</f>
        <v>F0-AI22-3B</v>
      </c>
      <c r="QV197" s="12" t="str">
        <f>CONCATENATE($T197,"-AI",REPLACE($X197,1,3,""),"-",AA197)</f>
        <v>F0-AI22-3A</v>
      </c>
      <c r="QW197" s="12" t="str">
        <f>CONCATENATE($T197,"-AI",REPLACE($X197,1,3,""),"-",PY197)</f>
        <v>F0-AI22-5B</v>
      </c>
      <c r="QX197" s="12" t="str">
        <f>CONCATENATE($T197,"-AI",REPLACE($X197,1,3,""),"-",PZ197)</f>
        <v>F0-AI22-5A</v>
      </c>
      <c r="QY197" s="12" t="str">
        <f t="shared" ref="QY197:RF197" si="242">CONCATENATE($T197,"-AI",REPLACE($X197,1,3,""),"-",QA197)</f>
        <v>F0-AI22-7B</v>
      </c>
      <c r="QZ197" s="12" t="str">
        <f t="shared" si="242"/>
        <v>F0-AI22-7A</v>
      </c>
      <c r="RA197" s="12" t="str">
        <f t="shared" si="242"/>
        <v>F0-AI22-9B</v>
      </c>
      <c r="RB197" s="12" t="str">
        <f t="shared" si="242"/>
        <v>F0-AI22-9A</v>
      </c>
      <c r="RC197" s="12" t="str">
        <f t="shared" si="242"/>
        <v>F0-AI22-11B</v>
      </c>
      <c r="RD197" s="12" t="str">
        <f t="shared" si="242"/>
        <v>F0-AI22-11A</v>
      </c>
      <c r="RE197" s="12" t="str">
        <f t="shared" si="242"/>
        <v>F0-AI22-13B</v>
      </c>
      <c r="RF197" s="12" t="str">
        <f t="shared" si="242"/>
        <v>F0-AI22-13A</v>
      </c>
      <c r="RG197" s="12" t="str">
        <f t="shared" ref="RG197:RR197" si="243">CONCATENATE($T197,"-AI",REPLACE($PX197,1,3,""),"-",QI197)</f>
        <v>F0-AI23-1B</v>
      </c>
      <c r="RH197" s="12" t="str">
        <f t="shared" si="243"/>
        <v>F0-AI23-1A</v>
      </c>
      <c r="RI197" s="12" t="str">
        <f t="shared" si="243"/>
        <v>F0-AI23-3B</v>
      </c>
      <c r="RJ197" s="12" t="str">
        <f t="shared" si="243"/>
        <v>F0-AI23-3A</v>
      </c>
      <c r="RK197" s="12" t="str">
        <f t="shared" si="243"/>
        <v>F0-AI23-5B</v>
      </c>
      <c r="RL197" s="12" t="str">
        <f t="shared" si="243"/>
        <v>F0-AI23-5A</v>
      </c>
      <c r="RM197" s="12" t="str">
        <f t="shared" si="243"/>
        <v>F0-AI23-7B</v>
      </c>
      <c r="RN197" s="12" t="str">
        <f t="shared" si="243"/>
        <v>F0-AI23-7A</v>
      </c>
      <c r="RO197" s="12" t="str">
        <f t="shared" si="243"/>
        <v>F0-AI23-9B</v>
      </c>
      <c r="RP197" s="12" t="str">
        <f t="shared" si="243"/>
        <v>F0-AI23-9A</v>
      </c>
      <c r="RQ197" s="12" t="str">
        <f t="shared" si="243"/>
        <v>F0-AI23-11B</v>
      </c>
      <c r="RR197" s="12" t="str">
        <f t="shared" si="243"/>
        <v>F0-AI23-11A</v>
      </c>
      <c r="RS197" s="12" t="str">
        <f t="shared" ref="RS197" si="244">CONCATENATE("XT",$U197)</f>
        <v>XT61</v>
      </c>
      <c r="RT197" s="12">
        <v>22</v>
      </c>
      <c r="RU197" s="12">
        <v>23</v>
      </c>
      <c r="RV197" s="12">
        <v>24</v>
      </c>
      <c r="RW197" s="12">
        <v>25</v>
      </c>
      <c r="RX197" s="12">
        <v>26</v>
      </c>
      <c r="RY197" s="12">
        <v>27</v>
      </c>
      <c r="RZ197" s="12">
        <v>28</v>
      </c>
      <c r="SA197" s="12">
        <v>29</v>
      </c>
      <c r="SB197" s="12">
        <v>30</v>
      </c>
      <c r="SC197" s="12">
        <v>31</v>
      </c>
      <c r="SD197" s="12">
        <v>32</v>
      </c>
      <c r="SE197" s="12">
        <v>33</v>
      </c>
      <c r="SF197" s="12">
        <v>34</v>
      </c>
      <c r="SG197" s="12">
        <v>35</v>
      </c>
      <c r="SH197" s="12">
        <v>36</v>
      </c>
      <c r="SI197" s="12">
        <v>37</v>
      </c>
      <c r="SJ197" s="12">
        <v>38</v>
      </c>
      <c r="SK197" s="12">
        <v>39</v>
      </c>
      <c r="SL197" s="12">
        <v>40</v>
      </c>
      <c r="SM197" s="12">
        <v>41</v>
      </c>
      <c r="SN197" s="12">
        <v>42</v>
      </c>
      <c r="SO197" s="12">
        <v>43</v>
      </c>
      <c r="SP197" s="12">
        <v>44</v>
      </c>
      <c r="SQ197" s="12">
        <v>45</v>
      </c>
      <c r="SR197" s="12">
        <v>46</v>
      </c>
      <c r="SS197" s="12" t="s">
        <v>1194</v>
      </c>
      <c r="ST197" s="12" t="s">
        <v>1195</v>
      </c>
      <c r="SU197" s="12" t="s">
        <v>1196</v>
      </c>
      <c r="SV197" s="12" t="s">
        <v>1197</v>
      </c>
      <c r="SW197" s="12" t="s">
        <v>1198</v>
      </c>
      <c r="SX197" s="12" t="s">
        <v>1199</v>
      </c>
      <c r="SY197" s="12" t="s">
        <v>1200</v>
      </c>
      <c r="SZ197" s="12" t="s">
        <v>1201</v>
      </c>
      <c r="TA197" s="12" t="s">
        <v>1202</v>
      </c>
      <c r="TB197" s="12" t="s">
        <v>1203</v>
      </c>
      <c r="TC197" s="12" t="s">
        <v>1204</v>
      </c>
      <c r="TD197" s="12" t="s">
        <v>1205</v>
      </c>
      <c r="TE197" s="12" t="s">
        <v>1059</v>
      </c>
      <c r="TF197" s="12" t="s">
        <v>1128</v>
      </c>
      <c r="TG197" s="12" t="s">
        <v>1129</v>
      </c>
      <c r="TH197" s="12" t="s">
        <v>1130</v>
      </c>
      <c r="TI197" s="12" t="s">
        <v>1132</v>
      </c>
      <c r="TJ197" s="12" t="s">
        <v>1131</v>
      </c>
      <c r="TK197" s="12" t="s">
        <v>1133</v>
      </c>
      <c r="TL197" s="12" t="s">
        <v>1134</v>
      </c>
      <c r="TM197" s="12" t="s">
        <v>1135</v>
      </c>
      <c r="TN197" s="12" t="s">
        <v>1136</v>
      </c>
      <c r="TO197" s="12" t="s">
        <v>1137</v>
      </c>
      <c r="TP197" s="13" t="s">
        <v>1138</v>
      </c>
    </row>
    <row r="198" spans="1:536" x14ac:dyDescent="0.25">
      <c r="A198" t="s">
        <v>1223</v>
      </c>
      <c r="B198" s="34" t="s">
        <v>1215</v>
      </c>
      <c r="C198" t="s">
        <v>1012</v>
      </c>
      <c r="P198" t="s">
        <v>1011</v>
      </c>
      <c r="T198" s="14" t="s">
        <v>554</v>
      </c>
      <c r="U198">
        <v>62</v>
      </c>
      <c r="W198" t="s">
        <v>1649</v>
      </c>
      <c r="X198" t="s">
        <v>1362</v>
      </c>
      <c r="Y198" s="43" t="str" cm="1">
        <f t="array" ref="Y198">IF(COUNTIFS($X$2:$X198,$X198)=1,"1",VALUE(SUBSTITUTE(INDEX(Y:Y,_xlfn.XMATCH($X198,$X$1:$X197,0,-1)),"A",""))+INDEX(Z:Z,_xlfn.XMATCH($X198,$X$1:$X197,0,-1))+1)</f>
        <v>1</v>
      </c>
      <c r="Z198" s="46" cm="1">
        <f t="array" ref="Z198">SUM(IF(ISNUMBER(FIND("TmAi",$BE$1:$AAD$1)),IF(IFERROR(ISODD(SUBSTITUTE($BE198:$AAD198,"A","")),FALSE),IF(ISODD(SUBSTITUTE($BE198:$AAD198,"A","")),1,0),0)))</f>
        <v>1</v>
      </c>
      <c r="AA198" t="str">
        <f t="shared" si="224"/>
        <v>1A</v>
      </c>
      <c r="AB198" t="str">
        <f t="shared" si="225"/>
        <v>1B</v>
      </c>
      <c r="AP198" t="s">
        <v>137</v>
      </c>
      <c r="AR198" t="s">
        <v>1216</v>
      </c>
      <c r="AS198" t="s">
        <v>396</v>
      </c>
      <c r="OE198" s="25" t="str">
        <f>CONCATENATE("XT",$U198)</f>
        <v>XT62</v>
      </c>
      <c r="OF198" s="12" t="s">
        <v>1224</v>
      </c>
      <c r="OG198" s="12" t="s">
        <v>1327</v>
      </c>
      <c r="OH198" s="12"/>
      <c r="OI198" s="12"/>
      <c r="OJ198" s="12" t="str">
        <f>CONCATENATE(REPLACE($AA198,LEN($AA198),1,"")+1,RIGHT($AA198))</f>
        <v>2A</v>
      </c>
      <c r="OK198" s="12" t="str">
        <f>CONCATENATE(REPLACE($AB198,LEN($AB198),1,"")+1,RIGHT($AB198))</f>
        <v>2B</v>
      </c>
      <c r="OL198" s="12" t="str">
        <f>CONCATENATE(REPLACE(OJ198,LEN(OJ198),1,"")+1,RIGHT(OJ198))</f>
        <v>3A</v>
      </c>
      <c r="OM198" s="12" t="str">
        <f t="shared" ref="OM198:OS200" si="245">CONCATENATE(REPLACE(OK198,LEN(OK198),1,"")+1,RIGHT(OK198))</f>
        <v>3B</v>
      </c>
      <c r="ON198" s="12" t="str">
        <f t="shared" si="245"/>
        <v>4A</v>
      </c>
      <c r="OO198" s="12" t="str">
        <f t="shared" si="245"/>
        <v>4B</v>
      </c>
      <c r="OP198" s="12"/>
      <c r="OQ198" s="12"/>
      <c r="OR198" s="12"/>
      <c r="OS198" s="12"/>
      <c r="OT198" s="12" t="str">
        <f>CONCATENATE($T198,"-AI",REPLACE($X198,1,3,""),"-",$AA198)</f>
        <v>F0-AI38-1A</v>
      </c>
      <c r="OU198" s="12" t="str">
        <f>CONCATENATE($T198,"-AI",REPLACE($X198,1,3,""),"-",$AB198)</f>
        <v>F0-AI38-1B</v>
      </c>
      <c r="OV198" s="12" t="str">
        <f t="shared" ref="OV198:PE200" si="246">CONCATENATE($T198,"-AI",REPLACE($X198,1,3,""),"-",OJ198)</f>
        <v>F0-AI38-2A</v>
      </c>
      <c r="OW198" s="12" t="str">
        <f t="shared" si="246"/>
        <v>F0-AI38-2B</v>
      </c>
      <c r="OX198" s="12" t="str">
        <f t="shared" si="246"/>
        <v>F0-AI38-3A</v>
      </c>
      <c r="OY198" s="12" t="str">
        <f t="shared" si="246"/>
        <v>F0-AI38-3B</v>
      </c>
      <c r="OZ198" s="12" t="str">
        <f t="shared" si="246"/>
        <v>F0-AI38-4A</v>
      </c>
      <c r="PA198" s="12" t="str">
        <f t="shared" si="246"/>
        <v>F0-AI38-4B</v>
      </c>
      <c r="PB198" s="12"/>
      <c r="PC198" s="12"/>
      <c r="PD198" s="12"/>
      <c r="PE198" s="12"/>
      <c r="PF198" s="12" cm="1">
        <f t="array" ref="PF198">IF(COUNTIFS($U$2:$U198,$U198)=1,1,INDEX(PF:PF,_xlfn.XMATCH($U198,$U$1:EF197,0,-1))+COUNT(PF197:PK197))</f>
        <v>1</v>
      </c>
      <c r="PG198" s="12">
        <f t="shared" ref="PG198:PI200" si="247">PF198+1</f>
        <v>2</v>
      </c>
      <c r="PH198" s="12">
        <f t="shared" si="247"/>
        <v>3</v>
      </c>
      <c r="PI198" s="12">
        <f>PH198+1</f>
        <v>4</v>
      </c>
      <c r="PJ198" s="12">
        <f t="shared" ref="PJ198:PN200" si="248">PI198+1</f>
        <v>5</v>
      </c>
      <c r="PK198" s="12">
        <f t="shared" si="248"/>
        <v>6</v>
      </c>
      <c r="PL198" s="12"/>
      <c r="PM198" s="12"/>
      <c r="PN198" s="12"/>
      <c r="PO198" s="12">
        <v>1</v>
      </c>
      <c r="PP198" s="12">
        <v>2</v>
      </c>
      <c r="PQ198" s="12">
        <v>3</v>
      </c>
      <c r="PR198" s="12">
        <v>4</v>
      </c>
      <c r="PS198" s="12">
        <v>5</v>
      </c>
      <c r="PT198" s="13">
        <v>6</v>
      </c>
    </row>
    <row r="199" spans="1:536" ht="15.75" thickBot="1" x14ac:dyDescent="0.3">
      <c r="A199" t="s">
        <v>1225</v>
      </c>
      <c r="B199" t="s">
        <v>1217</v>
      </c>
      <c r="C199" t="s">
        <v>1012</v>
      </c>
      <c r="P199" t="s">
        <v>1011</v>
      </c>
      <c r="T199" s="14" t="s">
        <v>554</v>
      </c>
      <c r="U199">
        <v>62</v>
      </c>
      <c r="W199" t="s">
        <v>1650</v>
      </c>
      <c r="X199" t="str">
        <f>IF(COUNTIF(X$1:X198,X198)&gt;7,REPLACE(X198,LEN(X198),1,VALUE(RIGHT(X198,1))+1),X198)</f>
        <v>A3.38</v>
      </c>
      <c r="Y199" s="43" cm="1">
        <f t="array" ref="Y199">IF(COUNTIFS($X$2:$X199,$X199)=1,"1",VALUE(SUBSTITUTE(INDEX(Y:Y,_xlfn.XMATCH($X199,$X$1:$X198,0,-1)),"A",""))+INDEX(Z:Z,_xlfn.XMATCH($X199,$X$1:$X198,0,-1))+1)</f>
        <v>3</v>
      </c>
      <c r="Z199" s="46" cm="1">
        <f t="array" ref="Z199">SUM(IF(ISNUMBER(FIND("TmAi",$BE$1:$AAD$1)),IF(IFERROR(ISODD(SUBSTITUTE($BE199:$AAD199,"A","")),FALSE),IF(ISODD(SUBSTITUTE($BE199:$AAD199,"A","")),1,0),0)))</f>
        <v>1</v>
      </c>
      <c r="AA199" t="str">
        <f t="shared" si="224"/>
        <v>5A</v>
      </c>
      <c r="AB199" t="str">
        <f t="shared" si="225"/>
        <v>5B</v>
      </c>
      <c r="AP199" t="s">
        <v>137</v>
      </c>
      <c r="AR199" t="s">
        <v>1216</v>
      </c>
      <c r="AS199" t="s">
        <v>396</v>
      </c>
      <c r="OE199" s="27" t="str">
        <f t="shared" ref="OE199:OE200" si="249">CONCATENATE("XT",$U199)</f>
        <v>XT62</v>
      </c>
      <c r="OF199" t="s">
        <v>1226</v>
      </c>
      <c r="OG199" t="s">
        <v>1328</v>
      </c>
      <c r="OJ199" t="str">
        <f t="shared" ref="OJ199:OJ200" si="250">CONCATENATE(REPLACE($AA199,LEN($AA199),1,"")+1,RIGHT($AA199))</f>
        <v>6A</v>
      </c>
      <c r="OK199" t="str">
        <f t="shared" ref="OK199:OK200" si="251">CONCATENATE(REPLACE($AB199,LEN($AB199),1,"")+1,RIGHT($AB199))</f>
        <v>6B</v>
      </c>
      <c r="OL199" t="str">
        <f t="shared" ref="OL199:OL200" si="252">CONCATENATE(REPLACE(OJ199,LEN(OJ199),1,"")+1,RIGHT(OJ199))</f>
        <v>7A</v>
      </c>
      <c r="OM199" t="str">
        <f t="shared" si="245"/>
        <v>7B</v>
      </c>
      <c r="ON199" t="str">
        <f t="shared" si="245"/>
        <v>8A</v>
      </c>
      <c r="OO199" t="str">
        <f t="shared" si="245"/>
        <v>8B</v>
      </c>
      <c r="OT199" t="str">
        <f>CONCATENATE($T199,"-AI",REPLACE($X199,1,3,""),"-",$AA199)</f>
        <v>F0-AI38-5A</v>
      </c>
      <c r="OU199" t="str">
        <f>CONCATENATE($T199,"-AI",REPLACE($X199,1,3,""),"-",$AB199)</f>
        <v>F0-AI38-5B</v>
      </c>
      <c r="OV199" t="str">
        <f t="shared" si="246"/>
        <v>F0-AI38-6A</v>
      </c>
      <c r="OW199" t="str">
        <f t="shared" si="246"/>
        <v>F0-AI38-6B</v>
      </c>
      <c r="OX199" t="str">
        <f t="shared" si="246"/>
        <v>F0-AI38-7A</v>
      </c>
      <c r="OY199" t="str">
        <f t="shared" si="246"/>
        <v>F0-AI38-7B</v>
      </c>
      <c r="OZ199" t="str">
        <f t="shared" si="246"/>
        <v>F0-AI38-8A</v>
      </c>
      <c r="PA199" t="str">
        <f t="shared" si="246"/>
        <v>F0-AI38-8B</v>
      </c>
      <c r="PF199" cm="1">
        <f t="array" ref="PF199">IF(COUNTIFS($U$2:$U199,$U199)=1,1,INDEX(PF:PF,_xlfn.XMATCH($U199,$U$1:$U198,0,-1))+COUNT(PF198:PK198))</f>
        <v>7</v>
      </c>
      <c r="PG199">
        <f t="shared" si="247"/>
        <v>8</v>
      </c>
      <c r="PH199">
        <f t="shared" si="247"/>
        <v>9</v>
      </c>
      <c r="PI199">
        <f t="shared" si="247"/>
        <v>10</v>
      </c>
      <c r="PJ199">
        <f t="shared" si="248"/>
        <v>11</v>
      </c>
      <c r="PK199">
        <f t="shared" si="248"/>
        <v>12</v>
      </c>
      <c r="PO199">
        <v>7</v>
      </c>
      <c r="PP199">
        <v>8</v>
      </c>
      <c r="PQ199">
        <v>9</v>
      </c>
      <c r="PR199">
        <v>10</v>
      </c>
      <c r="PS199">
        <v>11</v>
      </c>
      <c r="PT199" s="16">
        <v>12</v>
      </c>
    </row>
    <row r="200" spans="1:536" ht="15.75" thickBot="1" x14ac:dyDescent="0.3">
      <c r="A200" t="s">
        <v>1227</v>
      </c>
      <c r="B200" t="s">
        <v>1218</v>
      </c>
      <c r="C200" t="s">
        <v>1012</v>
      </c>
      <c r="P200" t="s">
        <v>1047</v>
      </c>
      <c r="T200" s="14" t="s">
        <v>554</v>
      </c>
      <c r="U200">
        <v>62</v>
      </c>
      <c r="W200" t="s">
        <v>1651</v>
      </c>
      <c r="X200" s="33" t="str">
        <f>IF(COUNTIF(X$1:X199,X199)&gt;7,REPLACE(X199,LEN(X199),1,VALUE(RIGHT(X199,1))+1),X199)</f>
        <v>A3.38</v>
      </c>
      <c r="Y200" s="45" cm="1">
        <f t="array" ref="Y200">IF(COUNTIFS($X$2:$X200,$X200)=1,"1",VALUE(SUBSTITUTE(INDEX(Y:Y,_xlfn.XMATCH($X200,$X$1:$X199,0,-1)),"A",""))+INDEX(Z:Z,_xlfn.XMATCH($X200,$X$1:$X199,0,-1))+1)</f>
        <v>5</v>
      </c>
      <c r="Z200" s="46" cm="1">
        <f t="array" ref="Z200">SUM(IF(ISNUMBER(FIND("TmAi",$BE$1:$AAD$1)),IF(IFERROR(ISODD(SUBSTITUTE($BE200:$AAD200,"A","")),FALSE),IF(ISODD(SUBSTITUTE($BE200:$AAD200,"A","")),1,0),0)))</f>
        <v>2</v>
      </c>
      <c r="AA200" t="str">
        <f t="shared" si="224"/>
        <v>9A</v>
      </c>
      <c r="AB200" t="str">
        <f t="shared" si="225"/>
        <v>9B</v>
      </c>
      <c r="AP200" t="s">
        <v>137</v>
      </c>
      <c r="AR200" t="s">
        <v>1219</v>
      </c>
      <c r="AS200" t="s">
        <v>396</v>
      </c>
      <c r="OE200" s="27" t="str">
        <f t="shared" si="249"/>
        <v>XT62</v>
      </c>
      <c r="OF200" t="s">
        <v>1228</v>
      </c>
      <c r="OG200" t="s">
        <v>1329</v>
      </c>
      <c r="OH200" t="s">
        <v>1322</v>
      </c>
      <c r="OI200" t="s">
        <v>1330</v>
      </c>
      <c r="OJ200" t="str">
        <f t="shared" si="250"/>
        <v>10A</v>
      </c>
      <c r="OK200" t="str">
        <f t="shared" si="251"/>
        <v>10B</v>
      </c>
      <c r="OL200" t="str">
        <f t="shared" si="252"/>
        <v>11A</v>
      </c>
      <c r="OM200" t="str">
        <f t="shared" si="245"/>
        <v>11B</v>
      </c>
      <c r="ON200" t="str">
        <f t="shared" si="245"/>
        <v>12A</v>
      </c>
      <c r="OO200" t="str">
        <f t="shared" si="245"/>
        <v>12B</v>
      </c>
      <c r="OP200" t="str">
        <f t="shared" si="245"/>
        <v>13A</v>
      </c>
      <c r="OQ200" t="str">
        <f t="shared" si="245"/>
        <v>13B</v>
      </c>
      <c r="OR200" t="str">
        <f t="shared" si="245"/>
        <v>14A</v>
      </c>
      <c r="OS200" t="str">
        <f t="shared" si="245"/>
        <v>14B</v>
      </c>
      <c r="OT200" t="str">
        <f>CONCATENATE($T200,"-AI",REPLACE($X200,1,3,""),"-",$AA200)</f>
        <v>F0-AI38-9A</v>
      </c>
      <c r="OU200" t="str">
        <f>CONCATENATE($T200,"-AI",REPLACE($X200,1,3,""),"-",$AB200)</f>
        <v>F0-AI38-9B</v>
      </c>
      <c r="OV200" t="str">
        <f t="shared" si="246"/>
        <v>F0-AI38-10A</v>
      </c>
      <c r="OW200" t="str">
        <f t="shared" si="246"/>
        <v>F0-AI38-10B</v>
      </c>
      <c r="OX200" t="str">
        <f t="shared" si="246"/>
        <v>F0-AI38-11A</v>
      </c>
      <c r="OY200" t="str">
        <f t="shared" si="246"/>
        <v>F0-AI38-11B</v>
      </c>
      <c r="OZ200" t="str">
        <f t="shared" si="246"/>
        <v>F0-AI38-12A</v>
      </c>
      <c r="PA200" t="str">
        <f t="shared" si="246"/>
        <v>F0-AI38-12B</v>
      </c>
      <c r="PB200" t="str">
        <f t="shared" si="246"/>
        <v>F0-AI38-13A</v>
      </c>
      <c r="PC200" t="str">
        <f t="shared" si="246"/>
        <v>F0-AI38-13B</v>
      </c>
      <c r="PD200" t="str">
        <f t="shared" si="246"/>
        <v>F0-AI38-14A</v>
      </c>
      <c r="PE200" t="str">
        <f t="shared" si="246"/>
        <v>F0-AI38-14B</v>
      </c>
      <c r="PF200" cm="1">
        <f t="array" ref="PF200">IF(COUNTIFS($U$2:$U200,$U200)=1,1,INDEX(PF:PF,_xlfn.XMATCH($U200,$U$1:$U199,0,-1))+COUNT(PF199:PK199))</f>
        <v>13</v>
      </c>
      <c r="PG200">
        <f t="shared" si="247"/>
        <v>14</v>
      </c>
      <c r="PH200">
        <f t="shared" si="247"/>
        <v>15</v>
      </c>
      <c r="PI200">
        <f t="shared" si="247"/>
        <v>16</v>
      </c>
      <c r="PJ200">
        <f t="shared" si="248"/>
        <v>17</v>
      </c>
      <c r="PK200">
        <f t="shared" si="248"/>
        <v>18</v>
      </c>
      <c r="PL200">
        <f t="shared" si="248"/>
        <v>19</v>
      </c>
      <c r="PM200">
        <f t="shared" si="248"/>
        <v>20</v>
      </c>
      <c r="PN200">
        <f t="shared" si="248"/>
        <v>21</v>
      </c>
      <c r="PO200">
        <v>1</v>
      </c>
      <c r="PP200">
        <v>2</v>
      </c>
      <c r="PQ200">
        <v>3</v>
      </c>
      <c r="PR200">
        <v>4</v>
      </c>
      <c r="PS200">
        <v>5</v>
      </c>
      <c r="PT200">
        <v>6</v>
      </c>
      <c r="PU200" s="23">
        <v>7</v>
      </c>
      <c r="PV200" s="23">
        <v>8</v>
      </c>
      <c r="PW200" s="24">
        <v>9</v>
      </c>
    </row>
    <row r="201" spans="1:536" ht="15.75" thickBot="1" x14ac:dyDescent="0.3">
      <c r="A201" t="s">
        <v>1229</v>
      </c>
      <c r="B201" t="s">
        <v>1220</v>
      </c>
      <c r="P201" t="s">
        <v>482</v>
      </c>
      <c r="T201" s="14" t="s">
        <v>554</v>
      </c>
      <c r="U201">
        <v>62</v>
      </c>
      <c r="W201" t="s">
        <v>1652</v>
      </c>
      <c r="X201" s="36" t="s">
        <v>1247</v>
      </c>
      <c r="Y201" s="47" t="str" cm="1">
        <f t="array" ref="Y201">IF(COUNTIFS($X$2:$X201,$X201)=1,"1",VALUE(SUBSTITUTE(INDEX(Y:Y,_xlfn.XMATCH($X201,$X$1:$X200,0,-1)),"A",""))+INDEX(Z:Z,_xlfn.XMATCH($X201,$X$1:$X200,0,-1))+1)</f>
        <v>1</v>
      </c>
      <c r="Z201" s="46" cm="1">
        <f t="array" ref="Z201">SUM(IF(ISNUMBER(FIND("TmAi",$BE$1:$AAD$1)),IF(IFERROR(ISODD(SUBSTITUTE($BE201:$AAD201,"A","")),FALSE),IF(ISODD(SUBSTITUTE($BE201:$AAD201,"A","")),1,0),0)))</f>
        <v>0</v>
      </c>
      <c r="AA201" t="str">
        <f t="shared" ref="AA201" si="253">CONCATENATE($Y201*2-1,"B")</f>
        <v>1B</v>
      </c>
      <c r="AB201" t="str">
        <f t="shared" ref="AB201" si="254">CONCATENATE($Y201*2,"B")</f>
        <v>2B</v>
      </c>
      <c r="AP201" t="s">
        <v>137</v>
      </c>
      <c r="AQ201" t="s">
        <v>1142</v>
      </c>
      <c r="AS201" t="s">
        <v>396</v>
      </c>
      <c r="JZ201" s="27" t="str">
        <f>CONCATENATE("XT",U201)</f>
        <v>XT62</v>
      </c>
      <c r="KC201" t="str">
        <f>CONCATENATE(T201,"-AI",REPLACE($X201,1,3,""),"-",AA201)</f>
        <v>F0-AI24-1B</v>
      </c>
      <c r="KD201" t="str">
        <f>CONCATENATE(T201,"-AI",REPLACE($X201,1,3,""),"-",AB201)</f>
        <v>F0-AI24-2B</v>
      </c>
      <c r="KI201">
        <v>22</v>
      </c>
      <c r="KJ201">
        <f t="shared" ref="KJ201:KK201" si="255">KI201+1</f>
        <v>23</v>
      </c>
      <c r="KK201">
        <f t="shared" si="255"/>
        <v>24</v>
      </c>
      <c r="KN201" t="s">
        <v>548</v>
      </c>
      <c r="KO201" s="16" t="s">
        <v>548</v>
      </c>
      <c r="KS201" s="16"/>
      <c r="OE201" s="27"/>
      <c r="PT201" s="16"/>
    </row>
    <row r="202" spans="1:536" ht="15.75" thickBot="1" x14ac:dyDescent="0.3">
      <c r="A202" t="s">
        <v>1230</v>
      </c>
      <c r="B202" s="33" t="s">
        <v>1221</v>
      </c>
      <c r="P202" t="s">
        <v>1061</v>
      </c>
      <c r="T202" s="14" t="s">
        <v>554</v>
      </c>
      <c r="U202">
        <v>62</v>
      </c>
      <c r="W202" t="s">
        <v>1653</v>
      </c>
      <c r="X202" s="33" t="str">
        <f>IF(COUNTIF(X$1:X201,X201)&gt;3,REPLACE(X201,LEN(X201),1,VALUE(RIGHT(X201,1))+1),X201)</f>
        <v>A3.24</v>
      </c>
      <c r="Y202" s="45" cm="1">
        <f t="array" ref="Y202">IF(COUNTIFS($X$2:$X202,$X202)=1,"1",VALUE(SUBSTITUTE(INDEX(Y:Y,_xlfn.XMATCH($X202,$X$1:$X201,0,-1)),"A",""))+INDEX(Z:Z,_xlfn.XMATCH($X202,$X$1:$X201,0,-1))+1)</f>
        <v>2</v>
      </c>
      <c r="Z202" s="46" cm="1">
        <f t="array" ref="Z202">SUM(IF(ISNUMBER(FIND("TmAi",$BE$1:$AAD$1)),IF(IFERROR(ISODD(SUBSTITUTE($BE202:$AAD202,"A","")),FALSE),IF(ISODD(SUBSTITUTE($BE202:$AAD202,"A","")),1,0),0)))</f>
        <v>11</v>
      </c>
      <c r="AA202" t="str">
        <f t="shared" ref="AA202:AA203" si="256">CONCATENATE($Y202*2-1,"A")</f>
        <v>3A</v>
      </c>
      <c r="AB202" t="str">
        <f t="shared" ref="AB202:AB203" si="257">CONCATENATE($Y202*2-1,"B")</f>
        <v>3B</v>
      </c>
      <c r="AP202" t="s">
        <v>137</v>
      </c>
      <c r="AR202" t="s">
        <v>1222</v>
      </c>
      <c r="AS202" t="s">
        <v>396</v>
      </c>
      <c r="JZ202" s="27"/>
      <c r="KI202" cm="1">
        <f t="array" ref="KI202">IF(COUNTIFS($U$2:$U202,$U202)=1,1,INDEX(KI:KI,_xlfn.XMATCH(U202,U$1:U201,0,-1))+COUNT(KI201:KM201))</f>
        <v>25</v>
      </c>
      <c r="KO202" s="16"/>
      <c r="KS202" s="16"/>
      <c r="PX202" s="25" t="str">
        <f>REPLACE(X202,FIND(".",X202)+1,3,MID(X202,FIND(".",X202)+1,3)+1)</f>
        <v>A3.25</v>
      </c>
      <c r="PY202" s="12" t="str">
        <f>CONCATENATE(VALUE(SUBSTITUTE($AB202,"B",""))+2,"B")</f>
        <v>5B</v>
      </c>
      <c r="PZ202" s="12" t="str">
        <f>CONCATENATE(VALUE(SUBSTITUTE($AA202,"A",""))+2,"A")</f>
        <v>5A</v>
      </c>
      <c r="QA202" s="12" t="str">
        <f>CONCATENATE(VALUE(SUBSTITUTE(PY202,"B",""))+2,"B")</f>
        <v>7B</v>
      </c>
      <c r="QB202" s="12" t="str">
        <f>CONCATENATE(VALUE(SUBSTITUTE(PZ202,"A",""))+2,"A")</f>
        <v>7A</v>
      </c>
      <c r="QC202" s="12" t="str">
        <f t="shared" ref="QC202" si="258">CONCATENATE(VALUE(SUBSTITUTE(QA202,"B",""))+2,"B")</f>
        <v>9B</v>
      </c>
      <c r="QD202" s="12" t="str">
        <f t="shared" ref="QD202" si="259">CONCATENATE(VALUE(SUBSTITUTE(QB202,"A",""))+2,"A")</f>
        <v>9A</v>
      </c>
      <c r="QE202" s="12" t="str">
        <f t="shared" ref="QE202" si="260">CONCATENATE(VALUE(SUBSTITUTE(QC202,"B",""))+2,"B")</f>
        <v>11B</v>
      </c>
      <c r="QF202" s="12" t="str">
        <f t="shared" ref="QF202" si="261">CONCATENATE(VALUE(SUBSTITUTE(QD202,"A",""))+2,"A")</f>
        <v>11A</v>
      </c>
      <c r="QG202" s="12" t="str">
        <f t="shared" ref="QG202" si="262">CONCATENATE(VALUE(SUBSTITUTE(QE202,"B",""))+2,"B")</f>
        <v>13B</v>
      </c>
      <c r="QH202" s="12" t="str">
        <f t="shared" ref="QH202" si="263">CONCATENATE(VALUE(SUBSTITUTE(QF202,"A",""))+2,"A")</f>
        <v>13A</v>
      </c>
      <c r="QI202" s="12" t="s">
        <v>135</v>
      </c>
      <c r="QJ202" s="12" t="s">
        <v>136</v>
      </c>
      <c r="QK202" s="12" t="str">
        <f t="shared" ref="QK202" si="264">CONCATENATE(VALUE(SUBSTITUTE(QI202,"B",""))+2,"B")</f>
        <v>3B</v>
      </c>
      <c r="QL202" s="12" t="str">
        <f t="shared" ref="QL202" si="265">CONCATENATE(VALUE(SUBSTITUTE(QJ202,"A",""))+2,"A")</f>
        <v>3A</v>
      </c>
      <c r="QM202" s="12" t="str">
        <f t="shared" ref="QM202" si="266">CONCATENATE(VALUE(SUBSTITUTE(QK202,"B",""))+2,"B")</f>
        <v>5B</v>
      </c>
      <c r="QN202" s="12" t="str">
        <f t="shared" ref="QN202" si="267">CONCATENATE(VALUE(SUBSTITUTE(QL202,"A",""))+2,"A")</f>
        <v>5A</v>
      </c>
      <c r="QO202" s="12" t="str">
        <f t="shared" ref="QO202" si="268">CONCATENATE(VALUE(SUBSTITUTE(QM202,"B",""))+2,"B")</f>
        <v>7B</v>
      </c>
      <c r="QP202" s="12" t="str">
        <f t="shared" ref="QP202" si="269">CONCATENATE(VALUE(SUBSTITUTE(QN202,"A",""))+2,"A")</f>
        <v>7A</v>
      </c>
      <c r="QQ202" s="12" t="str">
        <f t="shared" ref="QQ202" si="270">CONCATENATE(VALUE(SUBSTITUTE(QO202,"B",""))+2,"B")</f>
        <v>9B</v>
      </c>
      <c r="QR202" s="12" t="str">
        <f t="shared" ref="QR202" si="271">CONCATENATE(VALUE(SUBSTITUTE(QP202,"A",""))+2,"A")</f>
        <v>9A</v>
      </c>
      <c r="QS202" s="12" t="str">
        <f t="shared" ref="QS202" si="272">CONCATENATE(VALUE(SUBSTITUTE(QQ202,"B",""))+2,"B")</f>
        <v>11B</v>
      </c>
      <c r="QT202" s="12" t="str">
        <f t="shared" ref="QT202" si="273">CONCATENATE(VALUE(SUBSTITUTE(QR202,"A",""))+2,"A")</f>
        <v>11A</v>
      </c>
      <c r="QU202" s="12" t="str">
        <f>CONCATENATE($T202,"-AI",REPLACE($X202,1,3,""),"-",AB202)</f>
        <v>F0-AI24-3B</v>
      </c>
      <c r="QV202" s="12" t="str">
        <f>CONCATENATE($T202,"-AI",REPLACE($X202,1,3,""),"-",AA202)</f>
        <v>F0-AI24-3A</v>
      </c>
      <c r="QW202" s="12" t="str">
        <f>CONCATENATE($T202,"-AI",REPLACE($X202,1,3,""),"-",PY202)</f>
        <v>F0-AI24-5B</v>
      </c>
      <c r="QX202" s="12" t="str">
        <f>CONCATENATE($T202,"-AI",REPLACE($X202,1,3,""),"-",PZ202)</f>
        <v>F0-AI24-5A</v>
      </c>
      <c r="QY202" s="12" t="str">
        <f t="shared" ref="QY202:RF202" si="274">CONCATENATE($T202,"-AI",REPLACE($X202,1,3,""),"-",QA202)</f>
        <v>F0-AI24-7B</v>
      </c>
      <c r="QZ202" s="12" t="str">
        <f t="shared" si="274"/>
        <v>F0-AI24-7A</v>
      </c>
      <c r="RA202" s="12" t="str">
        <f t="shared" si="274"/>
        <v>F0-AI24-9B</v>
      </c>
      <c r="RB202" s="12" t="str">
        <f t="shared" si="274"/>
        <v>F0-AI24-9A</v>
      </c>
      <c r="RC202" s="12" t="str">
        <f t="shared" si="274"/>
        <v>F0-AI24-11B</v>
      </c>
      <c r="RD202" s="12" t="str">
        <f t="shared" si="274"/>
        <v>F0-AI24-11A</v>
      </c>
      <c r="RE202" s="12" t="str">
        <f t="shared" si="274"/>
        <v>F0-AI24-13B</v>
      </c>
      <c r="RF202" s="12" t="str">
        <f t="shared" si="274"/>
        <v>F0-AI24-13A</v>
      </c>
      <c r="RG202" s="12" t="str">
        <f t="shared" ref="RG202:RR202" si="275">CONCATENATE($T202,"-AI",REPLACE($PX202,1,3,""),"-",QI202)</f>
        <v>F0-AI25-1B</v>
      </c>
      <c r="RH202" s="12" t="str">
        <f t="shared" si="275"/>
        <v>F0-AI25-1A</v>
      </c>
      <c r="RI202" s="12" t="str">
        <f t="shared" si="275"/>
        <v>F0-AI25-3B</v>
      </c>
      <c r="RJ202" s="12" t="str">
        <f t="shared" si="275"/>
        <v>F0-AI25-3A</v>
      </c>
      <c r="RK202" s="12" t="str">
        <f t="shared" si="275"/>
        <v>F0-AI25-5B</v>
      </c>
      <c r="RL202" s="12" t="str">
        <f t="shared" si="275"/>
        <v>F0-AI25-5A</v>
      </c>
      <c r="RM202" s="12" t="str">
        <f t="shared" si="275"/>
        <v>F0-AI25-7B</v>
      </c>
      <c r="RN202" s="12" t="str">
        <f t="shared" si="275"/>
        <v>F0-AI25-7A</v>
      </c>
      <c r="RO202" s="12" t="str">
        <f t="shared" si="275"/>
        <v>F0-AI25-9B</v>
      </c>
      <c r="RP202" s="12" t="str">
        <f t="shared" si="275"/>
        <v>F0-AI25-9A</v>
      </c>
      <c r="RQ202" s="12" t="str">
        <f t="shared" si="275"/>
        <v>F0-AI25-11B</v>
      </c>
      <c r="RR202" s="12" t="str">
        <f t="shared" si="275"/>
        <v>F0-AI25-11A</v>
      </c>
      <c r="RS202" s="12" t="str">
        <f t="shared" ref="RS202" si="276">CONCATENATE("XT",$U202)</f>
        <v>XT62</v>
      </c>
      <c r="RT202" s="12">
        <v>22</v>
      </c>
      <c r="RU202" s="12">
        <v>23</v>
      </c>
      <c r="RV202" s="12">
        <v>24</v>
      </c>
      <c r="RW202" s="12">
        <v>25</v>
      </c>
      <c r="RX202" s="12">
        <v>26</v>
      </c>
      <c r="RY202" s="12">
        <v>27</v>
      </c>
      <c r="RZ202" s="12">
        <v>28</v>
      </c>
      <c r="SA202" s="12">
        <v>29</v>
      </c>
      <c r="SB202" s="12">
        <v>30</v>
      </c>
      <c r="SC202" s="12">
        <v>31</v>
      </c>
      <c r="SD202" s="12">
        <v>32</v>
      </c>
      <c r="SE202" s="12">
        <v>33</v>
      </c>
      <c r="SF202" s="12">
        <v>34</v>
      </c>
      <c r="SG202" s="12">
        <v>35</v>
      </c>
      <c r="SH202" s="12">
        <v>36</v>
      </c>
      <c r="SI202" s="12">
        <v>37</v>
      </c>
      <c r="SJ202" s="12">
        <v>38</v>
      </c>
      <c r="SK202" s="12">
        <v>39</v>
      </c>
      <c r="SL202" s="12">
        <v>40</v>
      </c>
      <c r="SM202" s="12">
        <v>41</v>
      </c>
      <c r="SN202" s="12">
        <v>42</v>
      </c>
      <c r="SO202" s="12">
        <v>43</v>
      </c>
      <c r="SP202" s="12">
        <v>44</v>
      </c>
      <c r="SQ202" s="12">
        <v>45</v>
      </c>
      <c r="SR202" s="12">
        <v>46</v>
      </c>
      <c r="SS202" s="12" t="s">
        <v>1231</v>
      </c>
      <c r="ST202" s="12" t="s">
        <v>1232</v>
      </c>
      <c r="SU202" s="12" t="s">
        <v>1233</v>
      </c>
      <c r="SV202" s="12" t="s">
        <v>1234</v>
      </c>
      <c r="SW202" s="12" t="s">
        <v>1235</v>
      </c>
      <c r="SX202" s="12" t="s">
        <v>1236</v>
      </c>
      <c r="SY202" s="12" t="s">
        <v>1237</v>
      </c>
      <c r="SZ202" s="12" t="s">
        <v>1238</v>
      </c>
      <c r="TA202" s="12" t="s">
        <v>1239</v>
      </c>
      <c r="TB202" s="12" t="s">
        <v>1240</v>
      </c>
      <c r="TC202" s="12" t="s">
        <v>1241</v>
      </c>
      <c r="TD202" s="12" t="s">
        <v>1242</v>
      </c>
      <c r="TE202" s="12" t="s">
        <v>1059</v>
      </c>
      <c r="TF202" s="12" t="s">
        <v>1128</v>
      </c>
      <c r="TG202" s="12" t="s">
        <v>1129</v>
      </c>
      <c r="TH202" s="12" t="s">
        <v>1130</v>
      </c>
      <c r="TI202" s="12" t="s">
        <v>1132</v>
      </c>
      <c r="TJ202" s="12" t="s">
        <v>1131</v>
      </c>
      <c r="TK202" s="12" t="s">
        <v>1133</v>
      </c>
      <c r="TL202" s="12" t="s">
        <v>1134</v>
      </c>
      <c r="TM202" s="12" t="s">
        <v>1135</v>
      </c>
      <c r="TN202" s="12" t="s">
        <v>1136</v>
      </c>
      <c r="TO202" s="12" t="s">
        <v>1137</v>
      </c>
      <c r="TP202" s="13" t="s">
        <v>1138</v>
      </c>
    </row>
    <row r="203" spans="1:536" x14ac:dyDescent="0.25">
      <c r="A203" t="s">
        <v>1251</v>
      </c>
      <c r="B203" s="34" t="s">
        <v>1310</v>
      </c>
      <c r="C203" t="s">
        <v>1012</v>
      </c>
      <c r="P203" t="s">
        <v>1011</v>
      </c>
      <c r="T203" s="14" t="s">
        <v>554</v>
      </c>
      <c r="U203">
        <v>63</v>
      </c>
      <c r="W203" t="s">
        <v>1654</v>
      </c>
      <c r="X203" s="36" t="s">
        <v>1979</v>
      </c>
      <c r="Y203" s="45" t="str" cm="1">
        <f t="array" ref="Y203">IF(COUNTIFS($X$2:$X203,$X203)=1,"1",VALUE(SUBSTITUTE(INDEX(Y:Y,_xlfn.XMATCH($X203,$X$1:$X202,0,-1)),"A",""))+INDEX(Z:Z,_xlfn.XMATCH($X203,$X$1:$X202,0,-1))+1)</f>
        <v>1</v>
      </c>
      <c r="Z203" s="46" cm="1">
        <f t="array" ref="Z203">SUM(IF(ISNUMBER(FIND("TmAi",$BE$1:$AAD$1)),IF(IFERROR(ISODD(SUBSTITUTE($BE203:$AAD203,"A","")),FALSE),IF(ISODD(SUBSTITUTE($BE203:$AAD203,"A","")),1,0),0)))</f>
        <v>1</v>
      </c>
      <c r="AA203" t="str">
        <f t="shared" si="256"/>
        <v>1A</v>
      </c>
      <c r="AB203" t="str">
        <f t="shared" si="257"/>
        <v>1B</v>
      </c>
      <c r="AP203" t="s">
        <v>137</v>
      </c>
      <c r="AR203" t="s">
        <v>1253</v>
      </c>
      <c r="AS203" t="s">
        <v>396</v>
      </c>
      <c r="OE203" s="25" t="str">
        <f>CONCATENATE("XT",$U203)</f>
        <v>XT63</v>
      </c>
      <c r="OF203" s="12" t="s">
        <v>1259</v>
      </c>
      <c r="OG203" s="12" t="s">
        <v>1312</v>
      </c>
      <c r="OH203" s="12"/>
      <c r="OI203" s="12"/>
      <c r="OJ203" s="12" t="str">
        <f>CONCATENATE(REPLACE($AA203,LEN($AA203),1,"")+1,RIGHT($AA203))</f>
        <v>2A</v>
      </c>
      <c r="OK203" s="12" t="str">
        <f>CONCATENATE(REPLACE($AB203,LEN($AB203),1,"")+1,RIGHT($AB203))</f>
        <v>2B</v>
      </c>
      <c r="OL203" s="12" t="str">
        <f>CONCATENATE(REPLACE(OJ203,LEN(OJ203),1,"")+1,RIGHT(OJ203))</f>
        <v>3A</v>
      </c>
      <c r="OM203" s="12" t="str">
        <f t="shared" ref="OM203:OO203" si="277">CONCATENATE(REPLACE(OK203,LEN(OK203),1,"")+1,RIGHT(OK203))</f>
        <v>3B</v>
      </c>
      <c r="ON203" s="12" t="str">
        <f t="shared" si="277"/>
        <v>4A</v>
      </c>
      <c r="OO203" s="12" t="str">
        <f t="shared" si="277"/>
        <v>4B</v>
      </c>
      <c r="OP203" s="12"/>
      <c r="OQ203" s="12"/>
      <c r="OR203" s="12"/>
      <c r="OS203" s="12"/>
      <c r="OT203" s="12" t="str">
        <f>CONCATENATE($T203,"-AI",REPLACE($X203,1,3,""),"-",$AA203)</f>
        <v>F0-AI39-1A</v>
      </c>
      <c r="OU203" s="12" t="str">
        <f>CONCATENATE($T203,"-AI",REPLACE($X203,1,3,""),"-",$AB203)</f>
        <v>F0-AI39-1B</v>
      </c>
      <c r="OV203" s="12" t="str">
        <f t="shared" ref="OV203:PA203" si="278">CONCATENATE($T203,"-AI",REPLACE($X203,1,3,""),"-",OJ203)</f>
        <v>F0-AI39-2A</v>
      </c>
      <c r="OW203" s="12" t="str">
        <f t="shared" si="278"/>
        <v>F0-AI39-2B</v>
      </c>
      <c r="OX203" s="12" t="str">
        <f t="shared" si="278"/>
        <v>F0-AI39-3A</v>
      </c>
      <c r="OY203" s="12" t="str">
        <f t="shared" si="278"/>
        <v>F0-AI39-3B</v>
      </c>
      <c r="OZ203" s="12" t="str">
        <f t="shared" si="278"/>
        <v>F0-AI39-4A</v>
      </c>
      <c r="PA203" s="12" t="str">
        <f t="shared" si="278"/>
        <v>F0-AI39-4B</v>
      </c>
      <c r="PB203" s="12"/>
      <c r="PC203" s="12"/>
      <c r="PD203" s="12"/>
      <c r="PE203" s="12"/>
      <c r="PF203" s="12" cm="1">
        <f t="array" ref="PF203">IF(COUNTIFS($U$2:$U203,$U203)=1,1,INDEX(PF:PF,_xlfn.XMATCH($U203,$U$1:EF202,0,-1))+COUNT(PF202:PK202))</f>
        <v>1</v>
      </c>
      <c r="PG203" s="12">
        <f t="shared" ref="PG203:PH203" si="279">PF203+1</f>
        <v>2</v>
      </c>
      <c r="PH203" s="12">
        <f t="shared" si="279"/>
        <v>3</v>
      </c>
      <c r="PI203" s="12">
        <f>PH203+1</f>
        <v>4</v>
      </c>
      <c r="PJ203" s="12">
        <f t="shared" ref="PJ203:PK203" si="280">PI203+1</f>
        <v>5</v>
      </c>
      <c r="PK203" s="12">
        <f t="shared" si="280"/>
        <v>6</v>
      </c>
      <c r="PL203" s="12"/>
      <c r="PM203" s="12"/>
      <c r="PN203" s="12"/>
      <c r="PO203" s="12">
        <v>1</v>
      </c>
      <c r="PP203" s="12">
        <v>2</v>
      </c>
      <c r="PQ203" s="12">
        <v>3</v>
      </c>
      <c r="PR203" s="12">
        <v>4</v>
      </c>
      <c r="PS203" s="12">
        <v>5</v>
      </c>
      <c r="PT203" s="13">
        <v>6</v>
      </c>
    </row>
    <row r="204" spans="1:536" ht="15.75" thickBot="1" x14ac:dyDescent="0.3">
      <c r="A204" t="s">
        <v>1255</v>
      </c>
      <c r="B204" s="33" t="s">
        <v>1341</v>
      </c>
      <c r="P204" t="s">
        <v>482</v>
      </c>
      <c r="T204" s="14" t="s">
        <v>554</v>
      </c>
      <c r="U204">
        <v>63</v>
      </c>
      <c r="W204" t="s">
        <v>1655</v>
      </c>
      <c r="X204" s="36" t="s">
        <v>1257</v>
      </c>
      <c r="Y204" s="45" t="str" cm="1">
        <f t="array" ref="Y204">IF(COUNTIFS($X$2:$X204,$X204)=1,"1",VALUE(SUBSTITUTE(INDEX(Y:Y,_xlfn.XMATCH($X204,$X$1:$X203,0,-1)),"A",""))+INDEX(Z:Z,_xlfn.XMATCH($X204,$X$1:$X203,0,-1))+1)</f>
        <v>1</v>
      </c>
      <c r="Z204" s="46" cm="1">
        <f t="array" ref="Z204">SUM(IF(ISNUMBER(FIND("TmAi",$BE$1:$AAD$1)),IF(IFERROR(ISODD(SUBSTITUTE($BE204:$AAD204,"A","")),FALSE),IF(ISODD(SUBSTITUTE($BE204:$AAD204,"A","")),1,0),0)))</f>
        <v>0</v>
      </c>
      <c r="AA204" t="str">
        <f t="shared" ref="AA204" si="281">CONCATENATE($Y204*2-1,"B")</f>
        <v>1B</v>
      </c>
      <c r="AB204" t="str">
        <f t="shared" ref="AB204" si="282">CONCATENATE($Y204*2,"B")</f>
        <v>2B</v>
      </c>
      <c r="AP204" t="s">
        <v>137</v>
      </c>
      <c r="AQ204" t="s">
        <v>1258</v>
      </c>
      <c r="AS204" t="s">
        <v>396</v>
      </c>
      <c r="JZ204" s="27" t="str">
        <f>CONCATENATE("XT",U204)</f>
        <v>XT63</v>
      </c>
      <c r="KC204" t="str">
        <f>CONCATENATE(T204,"-AI",REPLACE($X204,1,3,""),"-",AA204)</f>
        <v>F0-AI25-1B</v>
      </c>
      <c r="KD204" t="str">
        <f>CONCATENATE(T204,"-AI",REPLACE($X204,1,3,""),"-",AB204)</f>
        <v>F0-AI25-2B</v>
      </c>
      <c r="KI204">
        <v>7</v>
      </c>
      <c r="KJ204">
        <f t="shared" ref="KJ204:KK204" si="283">KI204+1</f>
        <v>8</v>
      </c>
      <c r="KK204">
        <f t="shared" si="283"/>
        <v>9</v>
      </c>
      <c r="KN204" t="s">
        <v>548</v>
      </c>
      <c r="KO204" s="16" t="s">
        <v>548</v>
      </c>
      <c r="KS204" s="16"/>
      <c r="OE204" s="27"/>
      <c r="PT204" s="16"/>
    </row>
    <row r="205" spans="1:536" x14ac:dyDescent="0.25">
      <c r="A205" t="s">
        <v>1263</v>
      </c>
      <c r="B205" s="34" t="s">
        <v>1311</v>
      </c>
      <c r="C205" t="s">
        <v>1012</v>
      </c>
      <c r="P205" t="s">
        <v>1011</v>
      </c>
      <c r="T205" s="14" t="s">
        <v>554</v>
      </c>
      <c r="U205">
        <v>64</v>
      </c>
      <c r="W205" t="s">
        <v>1656</v>
      </c>
      <c r="X205" s="36" t="s">
        <v>1979</v>
      </c>
      <c r="Y205" s="45" cm="1">
        <f t="array" ref="Y205">IF(COUNTIFS($X$2:$X205,$X205)=1,"1",VALUE(SUBSTITUTE(INDEX(Y:Y,_xlfn.XMATCH($X205,$X$1:$X204,0,-1)),"A",""))+INDEX(Z:Z,_xlfn.XMATCH($X205,$X$1:$X204,0,-1))+1)</f>
        <v>3</v>
      </c>
      <c r="Z205" s="46" cm="1">
        <f t="array" ref="Z205">SUM(IF(ISNUMBER(FIND("TmAi",$BE$1:$AAD$1)),IF(IFERROR(ISODD(SUBSTITUTE($BE205:$AAD205,"A","")),FALSE),IF(ISODD(SUBSTITUTE($BE205:$AAD205,"A","")),1,0),0)))</f>
        <v>1</v>
      </c>
      <c r="AA205" t="str">
        <f t="shared" ref="AA205" si="284">CONCATENATE($Y205*2-1,"A")</f>
        <v>5A</v>
      </c>
      <c r="AB205" t="str">
        <f t="shared" ref="AB205" si="285">CONCATENATE($Y205*2-1,"B")</f>
        <v>5B</v>
      </c>
      <c r="AP205" t="s">
        <v>137</v>
      </c>
      <c r="AR205" t="s">
        <v>1261</v>
      </c>
      <c r="AS205" t="s">
        <v>396</v>
      </c>
      <c r="OE205" s="25" t="str">
        <f>CONCATENATE("XT",$U205)</f>
        <v>XT64</v>
      </c>
      <c r="OF205" s="12" t="s">
        <v>1254</v>
      </c>
      <c r="OG205" s="12" t="s">
        <v>1313</v>
      </c>
      <c r="OH205" s="12"/>
      <c r="OI205" s="12"/>
      <c r="OJ205" s="12" t="str">
        <f>CONCATENATE(REPLACE($AA205,LEN($AA205),1,"")+1,RIGHT($AA205))</f>
        <v>6A</v>
      </c>
      <c r="OK205" s="12" t="str">
        <f>CONCATENATE(REPLACE($AB205,LEN($AB205),1,"")+1,RIGHT($AB205))</f>
        <v>6B</v>
      </c>
      <c r="OL205" s="12" t="str">
        <f>CONCATENATE(REPLACE(OJ205,LEN(OJ205),1,"")+1,RIGHT(OJ205))</f>
        <v>7A</v>
      </c>
      <c r="OM205" s="12" t="str">
        <f t="shared" ref="OM205:OO205" si="286">CONCATENATE(REPLACE(OK205,LEN(OK205),1,"")+1,RIGHT(OK205))</f>
        <v>7B</v>
      </c>
      <c r="ON205" s="12" t="str">
        <f t="shared" si="286"/>
        <v>8A</v>
      </c>
      <c r="OO205" s="12" t="str">
        <f t="shared" si="286"/>
        <v>8B</v>
      </c>
      <c r="OP205" s="12"/>
      <c r="OQ205" s="12"/>
      <c r="OR205" s="12"/>
      <c r="OS205" s="12"/>
      <c r="OT205" s="12" t="str">
        <f>CONCATENATE($T205,"-AI",REPLACE($X205,1,3,""),"-",$AA205)</f>
        <v>F0-AI39-5A</v>
      </c>
      <c r="OU205" s="12" t="str">
        <f>CONCATENATE($T205,"-AI",REPLACE($X205,1,3,""),"-",$AB205)</f>
        <v>F0-AI39-5B</v>
      </c>
      <c r="OV205" s="12" t="str">
        <f t="shared" ref="OV205:PA205" si="287">CONCATENATE($T205,"-AI",REPLACE($X205,1,3,""),"-",OJ205)</f>
        <v>F0-AI39-6A</v>
      </c>
      <c r="OW205" s="12" t="str">
        <f t="shared" si="287"/>
        <v>F0-AI39-6B</v>
      </c>
      <c r="OX205" s="12" t="str">
        <f t="shared" si="287"/>
        <v>F0-AI39-7A</v>
      </c>
      <c r="OY205" s="12" t="str">
        <f t="shared" si="287"/>
        <v>F0-AI39-7B</v>
      </c>
      <c r="OZ205" s="12" t="str">
        <f t="shared" si="287"/>
        <v>F0-AI39-8A</v>
      </c>
      <c r="PA205" s="12" t="str">
        <f t="shared" si="287"/>
        <v>F0-AI39-8B</v>
      </c>
      <c r="PB205" s="12"/>
      <c r="PC205" s="12"/>
      <c r="PD205" s="12"/>
      <c r="PE205" s="12"/>
      <c r="PF205" s="12" cm="1">
        <f t="array" ref="PF205">IF(COUNTIFS($U$2:$U205,$U205)=1,1,INDEX(PF:PF,_xlfn.XMATCH($U205,$U$1:EF204,0,-1))+COUNT(PF204:PK204))</f>
        <v>1</v>
      </c>
      <c r="PG205" s="12">
        <f t="shared" ref="PG205:PH205" si="288">PF205+1</f>
        <v>2</v>
      </c>
      <c r="PH205" s="12">
        <f t="shared" si="288"/>
        <v>3</v>
      </c>
      <c r="PI205" s="12">
        <f>PH205+1</f>
        <v>4</v>
      </c>
      <c r="PJ205" s="12">
        <f t="shared" ref="PJ205:PK205" si="289">PI205+1</f>
        <v>5</v>
      </c>
      <c r="PK205" s="12">
        <f t="shared" si="289"/>
        <v>6</v>
      </c>
      <c r="PL205" s="12"/>
      <c r="PM205" s="12"/>
      <c r="PN205" s="12"/>
      <c r="PO205" s="12">
        <v>1</v>
      </c>
      <c r="PP205" s="12">
        <v>2</v>
      </c>
      <c r="PQ205" s="12">
        <v>3</v>
      </c>
      <c r="PR205" s="12">
        <v>4</v>
      </c>
      <c r="PS205" s="12">
        <v>5</v>
      </c>
      <c r="PT205" s="13">
        <v>6</v>
      </c>
    </row>
    <row r="206" spans="1:536" ht="15.75" thickBot="1" x14ac:dyDescent="0.3">
      <c r="A206" t="s">
        <v>1264</v>
      </c>
      <c r="B206" s="33" t="s">
        <v>1342</v>
      </c>
      <c r="P206" t="s">
        <v>482</v>
      </c>
      <c r="T206" s="14" t="s">
        <v>554</v>
      </c>
      <c r="U206">
        <v>64</v>
      </c>
      <c r="W206" t="s">
        <v>1657</v>
      </c>
      <c r="X206" s="33" t="s">
        <v>1257</v>
      </c>
      <c r="Y206" s="45" cm="1">
        <f t="array" ref="Y206">IF(COUNTIFS($X$2:$X206,$X206)=1,"1",VALUE(SUBSTITUTE(INDEX(Y:Y,_xlfn.XMATCH($X206,$X$1:$X205,0,-1)),"A",""))+INDEX(Z:Z,_xlfn.XMATCH($X206,$X$1:$X205,0,-1))+1)</f>
        <v>2</v>
      </c>
      <c r="Z206" s="46" cm="1">
        <f t="array" ref="Z206">SUM(IF(ISNUMBER(FIND("TmAi",$BE$1:$AAD$1)),IF(IFERROR(ISODD(SUBSTITUTE($BE206:$AAD206,"A","")),FALSE),IF(ISODD(SUBSTITUTE($BE206:$AAD206,"A","")),1,0),0)))</f>
        <v>0</v>
      </c>
      <c r="AA206" t="str">
        <f t="shared" ref="AA206" si="290">CONCATENATE($Y206*2-1,"B")</f>
        <v>3B</v>
      </c>
      <c r="AB206" t="str">
        <f t="shared" ref="AB206" si="291">CONCATENATE($Y206*2,"B")</f>
        <v>4B</v>
      </c>
      <c r="AP206" t="s">
        <v>137</v>
      </c>
      <c r="AQ206" t="s">
        <v>1258</v>
      </c>
      <c r="AS206" t="s">
        <v>396</v>
      </c>
      <c r="JZ206" s="27" t="str">
        <f>CONCATENATE("XT",U206)</f>
        <v>XT64</v>
      </c>
      <c r="KC206" t="str">
        <f>CONCATENATE(T206,"-AI",REPLACE($X206,1,3,""),"-",AA206)</f>
        <v>F0-AI25-3B</v>
      </c>
      <c r="KD206" t="str">
        <f>CONCATENATE(T206,"-AI",REPLACE($X206,1,3,""),"-",AB206)</f>
        <v>F0-AI25-4B</v>
      </c>
      <c r="KI206">
        <v>7</v>
      </c>
      <c r="KJ206">
        <f t="shared" ref="KJ206:KK206" si="292">KI206+1</f>
        <v>8</v>
      </c>
      <c r="KK206">
        <f t="shared" si="292"/>
        <v>9</v>
      </c>
      <c r="KN206" t="s">
        <v>548</v>
      </c>
      <c r="KO206" s="16" t="s">
        <v>548</v>
      </c>
      <c r="KS206" s="16"/>
      <c r="OE206" s="27"/>
      <c r="PT206" s="16"/>
    </row>
    <row r="207" spans="1:536" x14ac:dyDescent="0.25">
      <c r="A207" t="s">
        <v>1276</v>
      </c>
      <c r="B207" s="34" t="s">
        <v>1331</v>
      </c>
      <c r="C207" t="s">
        <v>1012</v>
      </c>
      <c r="P207" t="s">
        <v>1011</v>
      </c>
      <c r="T207" s="14" t="s">
        <v>554</v>
      </c>
      <c r="U207">
        <v>65</v>
      </c>
      <c r="W207" t="s">
        <v>1658</v>
      </c>
      <c r="X207" s="36" t="s">
        <v>1980</v>
      </c>
      <c r="Y207" s="45" t="str" cm="1">
        <f t="array" ref="Y207">IF(COUNTIFS($X$2:$X207,$X207)=1,"1",VALUE(SUBSTITUTE(INDEX(Y:Y,_xlfn.XMATCH($X207,$X$1:$X206,0,-1)),"A",""))+INDEX(Z:Z,_xlfn.XMATCH($X207,$X$1:$X206,0,-1))+1)</f>
        <v>1</v>
      </c>
      <c r="Z207" s="46" cm="1">
        <f t="array" ref="Z207">SUM(IF(ISNUMBER(FIND("TmAi",$BE$1:$AAD$1)),IF(IFERROR(ISODD(SUBSTITUTE($BE207:$AAD207,"A","")),FALSE),IF(ISODD(SUBSTITUTE($BE207:$AAD207,"A","")),1,0),0)))</f>
        <v>1</v>
      </c>
      <c r="AA207" t="str">
        <f t="shared" ref="AA207" si="293">CONCATENATE($Y207*2-1,"A")</f>
        <v>1A</v>
      </c>
      <c r="AB207" t="str">
        <f t="shared" ref="AB207" si="294">CONCATENATE($Y207*2-1,"B")</f>
        <v>1B</v>
      </c>
      <c r="AP207" t="s">
        <v>137</v>
      </c>
      <c r="AR207" t="s">
        <v>1270</v>
      </c>
      <c r="AS207" t="s">
        <v>396</v>
      </c>
      <c r="OE207" s="25" t="str">
        <f>CONCATENATE("XT",$U207)</f>
        <v>XT65</v>
      </c>
      <c r="OF207" s="12" t="s">
        <v>1275</v>
      </c>
      <c r="OG207" s="12" t="s">
        <v>1316</v>
      </c>
      <c r="OH207" s="12"/>
      <c r="OI207" s="12"/>
      <c r="OJ207" s="12" t="str">
        <f>CONCATENATE(REPLACE($AA207,LEN($AA207),1,"")+1,RIGHT($AA207))</f>
        <v>2A</v>
      </c>
      <c r="OK207" s="12" t="str">
        <f>CONCATENATE(REPLACE($AB207,LEN($AB207),1,"")+1,RIGHT($AB207))</f>
        <v>2B</v>
      </c>
      <c r="OL207" s="12" t="str">
        <f>CONCATENATE(REPLACE(OJ207,LEN(OJ207),1,"")+1,RIGHT(OJ207))</f>
        <v>3A</v>
      </c>
      <c r="OM207" s="12" t="str">
        <f t="shared" ref="OM207:OO207" si="295">CONCATENATE(REPLACE(OK207,LEN(OK207),1,"")+1,RIGHT(OK207))</f>
        <v>3B</v>
      </c>
      <c r="ON207" s="12" t="str">
        <f t="shared" si="295"/>
        <v>4A</v>
      </c>
      <c r="OO207" s="12" t="str">
        <f t="shared" si="295"/>
        <v>4B</v>
      </c>
      <c r="OP207" s="12"/>
      <c r="OQ207" s="12"/>
      <c r="OR207" s="12"/>
      <c r="OS207" s="12"/>
      <c r="OT207" s="12" t="str">
        <f>CONCATENATE($T207,"-AI",REPLACE($X207,1,3,""),"-",$AA207)</f>
        <v>F0-AI40-1A</v>
      </c>
      <c r="OU207" s="12" t="str">
        <f>CONCATENATE($T207,"-AI",REPLACE($X207,1,3,""),"-",$AB207)</f>
        <v>F0-AI40-1B</v>
      </c>
      <c r="OV207" s="12" t="str">
        <f t="shared" ref="OV207:PA207" si="296">CONCATENATE($T207,"-AI",REPLACE($X207,1,3,""),"-",OJ207)</f>
        <v>F0-AI40-2A</v>
      </c>
      <c r="OW207" s="12" t="str">
        <f t="shared" si="296"/>
        <v>F0-AI40-2B</v>
      </c>
      <c r="OX207" s="12" t="str">
        <f t="shared" si="296"/>
        <v>F0-AI40-3A</v>
      </c>
      <c r="OY207" s="12" t="str">
        <f t="shared" si="296"/>
        <v>F0-AI40-3B</v>
      </c>
      <c r="OZ207" s="12" t="str">
        <f t="shared" si="296"/>
        <v>F0-AI40-4A</v>
      </c>
      <c r="PA207" s="12" t="str">
        <f t="shared" si="296"/>
        <v>F0-AI40-4B</v>
      </c>
      <c r="PB207" s="12"/>
      <c r="PC207" s="12"/>
      <c r="PD207" s="12"/>
      <c r="PE207" s="12"/>
      <c r="PF207" s="12" cm="1">
        <f t="array" ref="PF207">IF(COUNTIFS($U$2:$U207,$U207)=1,1,INDEX(PF:PF,_xlfn.XMATCH($U207,$U$1:EF206,0,-1))+COUNT(PF206:PK206))</f>
        <v>1</v>
      </c>
      <c r="PG207" s="12">
        <f t="shared" ref="PG207:PH207" si="297">PF207+1</f>
        <v>2</v>
      </c>
      <c r="PH207" s="12">
        <f t="shared" si="297"/>
        <v>3</v>
      </c>
      <c r="PI207" s="12">
        <f>PH207+1</f>
        <v>4</v>
      </c>
      <c r="PJ207" s="12">
        <f t="shared" ref="PJ207:PK207" si="298">PI207+1</f>
        <v>5</v>
      </c>
      <c r="PK207" s="12">
        <f t="shared" si="298"/>
        <v>6</v>
      </c>
      <c r="PL207" s="12"/>
      <c r="PM207" s="12"/>
      <c r="PN207" s="12"/>
      <c r="PO207" s="12">
        <v>1</v>
      </c>
      <c r="PP207" s="12">
        <v>2</v>
      </c>
      <c r="PQ207" s="12">
        <v>3</v>
      </c>
      <c r="PR207" s="12">
        <v>4</v>
      </c>
      <c r="PS207" s="12">
        <v>5</v>
      </c>
      <c r="PT207" s="13">
        <v>6</v>
      </c>
    </row>
    <row r="208" spans="1:536" ht="15.75" thickBot="1" x14ac:dyDescent="0.3">
      <c r="A208" t="s">
        <v>1272</v>
      </c>
      <c r="B208" s="33" t="s">
        <v>1339</v>
      </c>
      <c r="P208" t="s">
        <v>482</v>
      </c>
      <c r="T208" s="14" t="s">
        <v>554</v>
      </c>
      <c r="U208">
        <v>65</v>
      </c>
      <c r="W208" t="s">
        <v>1659</v>
      </c>
      <c r="X208" s="36" t="s">
        <v>1257</v>
      </c>
      <c r="Y208" s="45" cm="1">
        <f t="array" ref="Y208">IF(COUNTIFS($X$2:$X208,$X208)=1,"1",VALUE(SUBSTITUTE(INDEX(Y:Y,_xlfn.XMATCH($X208,$X$1:$X207,0,-1)),"A",""))+INDEX(Z:Z,_xlfn.XMATCH($X208,$X$1:$X207,0,-1))+1)</f>
        <v>3</v>
      </c>
      <c r="Z208" s="46" cm="1">
        <f t="array" ref="Z208">SUM(IF(ISNUMBER(FIND("TmAi",$BE$1:$AAD$1)),IF(IFERROR(ISODD(SUBSTITUTE($BE208:$AAD208,"A","")),FALSE),IF(ISODD(SUBSTITUTE($BE208:$AAD208,"A","")),1,0),0)))</f>
        <v>0</v>
      </c>
      <c r="AA208" t="str">
        <f t="shared" ref="AA208" si="299">CONCATENATE($Y208*2-1,"B")</f>
        <v>5B</v>
      </c>
      <c r="AB208" t="str">
        <f t="shared" ref="AB208" si="300">CONCATENATE($Y208*2,"B")</f>
        <v>6B</v>
      </c>
      <c r="AP208" t="s">
        <v>137</v>
      </c>
      <c r="AQ208" t="s">
        <v>1269</v>
      </c>
      <c r="AS208" t="s">
        <v>396</v>
      </c>
      <c r="JZ208" s="27" t="str">
        <f>CONCATENATE("XT",U208)</f>
        <v>XT65</v>
      </c>
      <c r="KC208" t="str">
        <f>CONCATENATE(T208,"-AI",REPLACE($X208,1,3,""),"-",AA208)</f>
        <v>F0-AI25-5B</v>
      </c>
      <c r="KD208" t="str">
        <f>CONCATENATE(T208,"-AI",REPLACE($X208,1,3,""),"-",AB208)</f>
        <v>F0-AI25-6B</v>
      </c>
      <c r="KI208">
        <v>7</v>
      </c>
      <c r="KJ208">
        <f t="shared" ref="KJ208:KK208" si="301">KI208+1</f>
        <v>8</v>
      </c>
      <c r="KK208">
        <f t="shared" si="301"/>
        <v>9</v>
      </c>
      <c r="KN208" t="s">
        <v>548</v>
      </c>
      <c r="KO208" s="16" t="s">
        <v>548</v>
      </c>
      <c r="KS208" s="16"/>
      <c r="OE208" s="27"/>
      <c r="PT208" s="16"/>
    </row>
    <row r="209" spans="1:436" x14ac:dyDescent="0.25">
      <c r="A209" t="s">
        <v>1277</v>
      </c>
      <c r="B209" s="34" t="s">
        <v>1332</v>
      </c>
      <c r="C209" t="s">
        <v>1012</v>
      </c>
      <c r="P209" t="s">
        <v>1011</v>
      </c>
      <c r="T209" s="14" t="s">
        <v>554</v>
      </c>
      <c r="U209">
        <v>66</v>
      </c>
      <c r="W209" t="s">
        <v>1660</v>
      </c>
      <c r="X209" s="36" t="s">
        <v>1980</v>
      </c>
      <c r="Y209" s="45" cm="1">
        <f t="array" ref="Y209">IF(COUNTIFS($X$2:$X209,$X209)=1,"1",VALUE(SUBSTITUTE(INDEX(Y:Y,_xlfn.XMATCH($X209,$X$1:$X208,0,-1)),"A",""))+INDEX(Z:Z,_xlfn.XMATCH($X209,$X$1:$X208,0,-1))+1)</f>
        <v>3</v>
      </c>
      <c r="Z209" s="46" cm="1">
        <f t="array" ref="Z209">SUM(IF(ISNUMBER(FIND("TmAi",$BE$1:$AAD$1)),IF(IFERROR(ISODD(SUBSTITUTE($BE209:$AAD209,"A","")),FALSE),IF(ISODD(SUBSTITUTE($BE209:$AAD209,"A","")),1,0),0)))</f>
        <v>1</v>
      </c>
      <c r="AA209" t="str">
        <f t="shared" ref="AA209" si="302">CONCATENATE($Y209*2-1,"A")</f>
        <v>5A</v>
      </c>
      <c r="AB209" t="str">
        <f t="shared" ref="AB209" si="303">CONCATENATE($Y209*2-1,"B")</f>
        <v>5B</v>
      </c>
      <c r="AP209" t="s">
        <v>137</v>
      </c>
      <c r="AR209" t="s">
        <v>1271</v>
      </c>
      <c r="AS209" t="s">
        <v>396</v>
      </c>
      <c r="OE209" s="25" t="str">
        <f>CONCATENATE("XT",$U209)</f>
        <v>XT66</v>
      </c>
      <c r="OF209" s="12" t="s">
        <v>1274</v>
      </c>
      <c r="OG209" s="12" t="s">
        <v>1317</v>
      </c>
      <c r="OH209" s="12"/>
      <c r="OI209" s="12"/>
      <c r="OJ209" s="12" t="str">
        <f>CONCATENATE(REPLACE($AA209,LEN($AA209),1,"")+1,RIGHT($AA209))</f>
        <v>6A</v>
      </c>
      <c r="OK209" s="12" t="str">
        <f>CONCATENATE(REPLACE($AB209,LEN($AB209),1,"")+1,RIGHT($AB209))</f>
        <v>6B</v>
      </c>
      <c r="OL209" s="12" t="str">
        <f>CONCATENATE(REPLACE(OJ209,LEN(OJ209),1,"")+1,RIGHT(OJ209))</f>
        <v>7A</v>
      </c>
      <c r="OM209" s="12" t="str">
        <f t="shared" ref="OM209:OO209" si="304">CONCATENATE(REPLACE(OK209,LEN(OK209),1,"")+1,RIGHT(OK209))</f>
        <v>7B</v>
      </c>
      <c r="ON209" s="12" t="str">
        <f t="shared" si="304"/>
        <v>8A</v>
      </c>
      <c r="OO209" s="12" t="str">
        <f t="shared" si="304"/>
        <v>8B</v>
      </c>
      <c r="OP209" s="12"/>
      <c r="OQ209" s="12"/>
      <c r="OR209" s="12"/>
      <c r="OS209" s="12"/>
      <c r="OT209" s="12" t="str">
        <f>CONCATENATE($T209,"-AI",REPLACE($X209,1,3,""),"-",$AA209)</f>
        <v>F0-AI40-5A</v>
      </c>
      <c r="OU209" s="12" t="str">
        <f>CONCATENATE($T209,"-AI",REPLACE($X209,1,3,""),"-",$AB209)</f>
        <v>F0-AI40-5B</v>
      </c>
      <c r="OV209" s="12" t="str">
        <f t="shared" ref="OV209:PA209" si="305">CONCATENATE($T209,"-AI",REPLACE($X209,1,3,""),"-",OJ209)</f>
        <v>F0-AI40-6A</v>
      </c>
      <c r="OW209" s="12" t="str">
        <f t="shared" si="305"/>
        <v>F0-AI40-6B</v>
      </c>
      <c r="OX209" s="12" t="str">
        <f t="shared" si="305"/>
        <v>F0-AI40-7A</v>
      </c>
      <c r="OY209" s="12" t="str">
        <f t="shared" si="305"/>
        <v>F0-AI40-7B</v>
      </c>
      <c r="OZ209" s="12" t="str">
        <f t="shared" si="305"/>
        <v>F0-AI40-8A</v>
      </c>
      <c r="PA209" s="12" t="str">
        <f t="shared" si="305"/>
        <v>F0-AI40-8B</v>
      </c>
      <c r="PB209" s="12"/>
      <c r="PC209" s="12"/>
      <c r="PD209" s="12"/>
      <c r="PE209" s="12"/>
      <c r="PF209" s="12" cm="1">
        <f t="array" ref="PF209">IF(COUNTIFS($U$2:$U209,$U209)=1,1,INDEX(PF:PF,_xlfn.XMATCH($U209,$U$1:EF208,0,-1))+COUNT(PF208:PK208))</f>
        <v>1</v>
      </c>
      <c r="PG209" s="12">
        <f t="shared" ref="PG209:PH209" si="306">PF209+1</f>
        <v>2</v>
      </c>
      <c r="PH209" s="12">
        <f t="shared" si="306"/>
        <v>3</v>
      </c>
      <c r="PI209" s="12">
        <f>PH209+1</f>
        <v>4</v>
      </c>
      <c r="PJ209" s="12">
        <f t="shared" ref="PJ209:PK209" si="307">PI209+1</f>
        <v>5</v>
      </c>
      <c r="PK209" s="12">
        <f t="shared" si="307"/>
        <v>6</v>
      </c>
      <c r="PL209" s="12"/>
      <c r="PM209" s="12"/>
      <c r="PN209" s="12"/>
      <c r="PO209" s="12">
        <v>1</v>
      </c>
      <c r="PP209" s="12">
        <v>2</v>
      </c>
      <c r="PQ209" s="12">
        <v>3</v>
      </c>
      <c r="PR209" s="12">
        <v>4</v>
      </c>
      <c r="PS209" s="12">
        <v>5</v>
      </c>
      <c r="PT209" s="13">
        <v>6</v>
      </c>
    </row>
    <row r="210" spans="1:436" ht="15.75" thickBot="1" x14ac:dyDescent="0.3">
      <c r="A210" t="s">
        <v>1273</v>
      </c>
      <c r="B210" s="33" t="s">
        <v>1340</v>
      </c>
      <c r="P210" t="s">
        <v>482</v>
      </c>
      <c r="T210" s="14" t="s">
        <v>554</v>
      </c>
      <c r="U210">
        <v>66</v>
      </c>
      <c r="W210" t="s">
        <v>1661</v>
      </c>
      <c r="X210" s="36" t="s">
        <v>1257</v>
      </c>
      <c r="Y210" s="45" cm="1">
        <f t="array" ref="Y210">IF(COUNTIFS($X$2:$X210,$X210)=1,"1",VALUE(SUBSTITUTE(INDEX(Y:Y,_xlfn.XMATCH($X210,$X$1:$X209,0,-1)),"A",""))+INDEX(Z:Z,_xlfn.XMATCH($X210,$X$1:$X209,0,-1))+1)</f>
        <v>4</v>
      </c>
      <c r="Z210" s="46" cm="1">
        <f t="array" ref="Z210">SUM(IF(ISNUMBER(FIND("TmAi",$BE$1:$AAD$1)),IF(IFERROR(ISODD(SUBSTITUTE($BE210:$AAD210,"A","")),FALSE),IF(ISODD(SUBSTITUTE($BE210:$AAD210,"A","")),1,0),0)))</f>
        <v>0</v>
      </c>
      <c r="AA210" t="str">
        <f t="shared" ref="AA210" si="308">CONCATENATE($Y210*2-1,"B")</f>
        <v>7B</v>
      </c>
      <c r="AB210" t="str">
        <f t="shared" ref="AB210" si="309">CONCATENATE($Y210*2,"B")</f>
        <v>8B</v>
      </c>
      <c r="AP210" t="s">
        <v>137</v>
      </c>
      <c r="AQ210" t="s">
        <v>1269</v>
      </c>
      <c r="AS210" t="s">
        <v>396</v>
      </c>
      <c r="JZ210" s="27" t="str">
        <f>CONCATENATE("XT",U210)</f>
        <v>XT66</v>
      </c>
      <c r="KC210" t="str">
        <f>CONCATENATE(T210,"-AI",REPLACE($X210,1,3,""),"-",AA210)</f>
        <v>F0-AI25-7B</v>
      </c>
      <c r="KD210" t="str">
        <f>CONCATENATE(T210,"-AI",REPLACE($X210,1,3,""),"-",AB210)</f>
        <v>F0-AI25-8B</v>
      </c>
      <c r="KI210">
        <v>7</v>
      </c>
      <c r="KJ210">
        <f t="shared" ref="KJ210:KK210" si="310">KI210+1</f>
        <v>8</v>
      </c>
      <c r="KK210">
        <f t="shared" si="310"/>
        <v>9</v>
      </c>
      <c r="KN210" t="s">
        <v>548</v>
      </c>
      <c r="KO210" s="16" t="s">
        <v>548</v>
      </c>
      <c r="KS210" s="16"/>
      <c r="OE210" s="27"/>
      <c r="PT210" s="16"/>
    </row>
    <row r="211" spans="1:436" x14ac:dyDescent="0.25">
      <c r="A211" t="s">
        <v>1282</v>
      </c>
      <c r="B211" s="34" t="s">
        <v>1333</v>
      </c>
      <c r="C211" t="s">
        <v>1012</v>
      </c>
      <c r="P211" t="s">
        <v>1011</v>
      </c>
      <c r="T211" s="14" t="s">
        <v>554</v>
      </c>
      <c r="U211">
        <v>67</v>
      </c>
      <c r="W211" t="s">
        <v>1662</v>
      </c>
      <c r="X211" s="36" t="s">
        <v>1980</v>
      </c>
      <c r="Y211" s="45" cm="1">
        <f t="array" ref="Y211">IF(COUNTIFS($X$2:$X211,$X211)=1,"1",VALUE(SUBSTITUTE(INDEX(Y:Y,_xlfn.XMATCH($X211,$X$1:$X210,0,-1)),"A",""))+INDEX(Z:Z,_xlfn.XMATCH($X211,$X$1:$X210,0,-1))+1)</f>
        <v>5</v>
      </c>
      <c r="Z211" s="46" cm="1">
        <f t="array" ref="Z211">SUM(IF(ISNUMBER(FIND("TmAi",$BE$1:$AAD$1)),IF(IFERROR(ISODD(SUBSTITUTE($BE211:$AAD211,"A","")),FALSE),IF(ISODD(SUBSTITUTE($BE211:$AAD211,"A","")),1,0),0)))</f>
        <v>1</v>
      </c>
      <c r="AA211" t="str">
        <f t="shared" ref="AA211" si="311">CONCATENATE($Y211*2-1,"A")</f>
        <v>9A</v>
      </c>
      <c r="AB211" t="str">
        <f t="shared" ref="AB211" si="312">CONCATENATE($Y211*2-1,"B")</f>
        <v>9B</v>
      </c>
      <c r="AP211" t="s">
        <v>137</v>
      </c>
      <c r="AR211" t="s">
        <v>1278</v>
      </c>
      <c r="AS211" t="s">
        <v>396</v>
      </c>
      <c r="OE211" s="25" t="str">
        <f>CONCATENATE("XT",$U211)</f>
        <v>XT67</v>
      </c>
      <c r="OF211" s="12" t="s">
        <v>1284</v>
      </c>
      <c r="OG211" s="12" t="s">
        <v>1318</v>
      </c>
      <c r="OH211" s="12"/>
      <c r="OI211" s="12"/>
      <c r="OJ211" s="12" t="str">
        <f>CONCATENATE(REPLACE($AA211,LEN($AA211),1,"")+1,RIGHT($AA211))</f>
        <v>10A</v>
      </c>
      <c r="OK211" s="12" t="str">
        <f>CONCATENATE(REPLACE($AB211,LEN($AB211),1,"")+1,RIGHT($AB211))</f>
        <v>10B</v>
      </c>
      <c r="OL211" s="12" t="str">
        <f>CONCATENATE(REPLACE(OJ211,LEN(OJ211),1,"")+1,RIGHT(OJ211))</f>
        <v>11A</v>
      </c>
      <c r="OM211" s="12" t="str">
        <f t="shared" ref="OM211:OO211" si="313">CONCATENATE(REPLACE(OK211,LEN(OK211),1,"")+1,RIGHT(OK211))</f>
        <v>11B</v>
      </c>
      <c r="ON211" s="12" t="str">
        <f t="shared" si="313"/>
        <v>12A</v>
      </c>
      <c r="OO211" s="12" t="str">
        <f t="shared" si="313"/>
        <v>12B</v>
      </c>
      <c r="OP211" s="12"/>
      <c r="OQ211" s="12"/>
      <c r="OR211" s="12"/>
      <c r="OS211" s="12"/>
      <c r="OT211" s="12" t="str">
        <f>CONCATENATE($T211,"-AI",REPLACE($X211,1,3,""),"-",$AA211)</f>
        <v>F0-AI40-9A</v>
      </c>
      <c r="OU211" s="12" t="str">
        <f>CONCATENATE($T211,"-AI",REPLACE($X211,1,3,""),"-",$AB211)</f>
        <v>F0-AI40-9B</v>
      </c>
      <c r="OV211" s="12" t="str">
        <f t="shared" ref="OV211:PA211" si="314">CONCATENATE($T211,"-AI",REPLACE($X211,1,3,""),"-",OJ211)</f>
        <v>F0-AI40-10A</v>
      </c>
      <c r="OW211" s="12" t="str">
        <f t="shared" si="314"/>
        <v>F0-AI40-10B</v>
      </c>
      <c r="OX211" s="12" t="str">
        <f t="shared" si="314"/>
        <v>F0-AI40-11A</v>
      </c>
      <c r="OY211" s="12" t="str">
        <f t="shared" si="314"/>
        <v>F0-AI40-11B</v>
      </c>
      <c r="OZ211" s="12" t="str">
        <f t="shared" si="314"/>
        <v>F0-AI40-12A</v>
      </c>
      <c r="PA211" s="12" t="str">
        <f t="shared" si="314"/>
        <v>F0-AI40-12B</v>
      </c>
      <c r="PB211" s="12"/>
      <c r="PC211" s="12"/>
      <c r="PD211" s="12"/>
      <c r="PE211" s="12"/>
      <c r="PF211" s="12" cm="1">
        <f t="array" ref="PF211">IF(COUNTIFS($U$2:$U211,$U211)=1,1,INDEX(PF:PF,_xlfn.XMATCH($U211,$U$1:EF210,0,-1))+COUNT(PF210:PK210))</f>
        <v>1</v>
      </c>
      <c r="PG211" s="12">
        <f t="shared" ref="PG211:PH211" si="315">PF211+1</f>
        <v>2</v>
      </c>
      <c r="PH211" s="12">
        <f t="shared" si="315"/>
        <v>3</v>
      </c>
      <c r="PI211" s="12">
        <f>PH211+1</f>
        <v>4</v>
      </c>
      <c r="PJ211" s="12">
        <f t="shared" ref="PJ211:PK211" si="316">PI211+1</f>
        <v>5</v>
      </c>
      <c r="PK211" s="12">
        <f t="shared" si="316"/>
        <v>6</v>
      </c>
      <c r="PL211" s="12"/>
      <c r="PM211" s="12"/>
      <c r="PN211" s="12"/>
      <c r="PO211" s="12">
        <v>1</v>
      </c>
      <c r="PP211" s="12">
        <v>2</v>
      </c>
      <c r="PQ211" s="12">
        <v>3</v>
      </c>
      <c r="PR211" s="12">
        <v>4</v>
      </c>
      <c r="PS211" s="12">
        <v>5</v>
      </c>
      <c r="PT211" s="13">
        <v>6</v>
      </c>
    </row>
    <row r="212" spans="1:436" ht="15.75" thickBot="1" x14ac:dyDescent="0.3">
      <c r="A212" t="s">
        <v>1283</v>
      </c>
      <c r="B212" s="33" t="s">
        <v>1338</v>
      </c>
      <c r="P212" t="s">
        <v>482</v>
      </c>
      <c r="T212" s="14" t="s">
        <v>554</v>
      </c>
      <c r="U212">
        <v>67</v>
      </c>
      <c r="W212" t="s">
        <v>1663</v>
      </c>
      <c r="X212" s="36" t="s">
        <v>1257</v>
      </c>
      <c r="Y212" s="45" cm="1">
        <f t="array" ref="Y212">IF(COUNTIFS($X$2:$X212,$X212)=1,"1",VALUE(SUBSTITUTE(INDEX(Y:Y,_xlfn.XMATCH($X212,$X$1:$X211,0,-1)),"A",""))+INDEX(Z:Z,_xlfn.XMATCH($X212,$X$1:$X211,0,-1))+1)</f>
        <v>5</v>
      </c>
      <c r="Z212" s="46" cm="1">
        <f t="array" ref="Z212">SUM(IF(ISNUMBER(FIND("TmAi",$BE$1:$AAD$1)),IF(IFERROR(ISODD(SUBSTITUTE($BE212:$AAD212,"A","")),FALSE),IF(ISODD(SUBSTITUTE($BE212:$AAD212,"A","")),1,0),0)))</f>
        <v>0</v>
      </c>
      <c r="AA212" t="str">
        <f t="shared" ref="AA212" si="317">CONCATENATE($Y212*2-1,"B")</f>
        <v>9B</v>
      </c>
      <c r="AB212" t="str">
        <f t="shared" ref="AB212" si="318">CONCATENATE($Y212*2,"B")</f>
        <v>10B</v>
      </c>
      <c r="AP212" t="s">
        <v>137</v>
      </c>
      <c r="AQ212" t="s">
        <v>1269</v>
      </c>
      <c r="AS212" t="s">
        <v>396</v>
      </c>
      <c r="JZ212" s="27" t="str">
        <f>CONCATENATE("XT",U212)</f>
        <v>XT67</v>
      </c>
      <c r="KC212" t="str">
        <f>CONCATENATE(T212,"-AI",REPLACE($X212,1,3,""),"-",AA212)</f>
        <v>F0-AI25-9B</v>
      </c>
      <c r="KD212" t="str">
        <f>CONCATENATE(T212,"-AI",REPLACE($X212,1,3,""),"-",AB212)</f>
        <v>F0-AI25-10B</v>
      </c>
      <c r="KI212">
        <v>7</v>
      </c>
      <c r="KJ212">
        <f t="shared" ref="KJ212:KK212" si="319">KI212+1</f>
        <v>8</v>
      </c>
      <c r="KK212">
        <f t="shared" si="319"/>
        <v>9</v>
      </c>
      <c r="KN212" t="s">
        <v>548</v>
      </c>
      <c r="KO212" s="16" t="s">
        <v>548</v>
      </c>
      <c r="KS212" s="16"/>
      <c r="OE212" s="27"/>
      <c r="PT212" s="16"/>
    </row>
    <row r="213" spans="1:436" x14ac:dyDescent="0.25">
      <c r="A213" t="s">
        <v>1293</v>
      </c>
      <c r="B213" s="34" t="s">
        <v>1334</v>
      </c>
      <c r="C213" t="s">
        <v>1012</v>
      </c>
      <c r="P213" t="s">
        <v>1011</v>
      </c>
      <c r="T213" s="14" t="s">
        <v>554</v>
      </c>
      <c r="U213">
        <v>68</v>
      </c>
      <c r="W213" t="s">
        <v>1664</v>
      </c>
      <c r="X213" s="36" t="s">
        <v>1981</v>
      </c>
      <c r="Y213" s="45" t="str" cm="1">
        <f t="array" ref="Y213">IF(COUNTIFS($X$2:$X213,$X213)=1,"1",VALUE(SUBSTITUTE(INDEX(Y:Y,_xlfn.XMATCH($X213,$X$1:$X212,0,-1)),"A",""))+INDEX(Z:Z,_xlfn.XMATCH($X213,$X$1:$X212,0,-1))+1)</f>
        <v>1</v>
      </c>
      <c r="Z213" s="46" cm="1">
        <f t="array" ref="Z213">SUM(IF(ISNUMBER(FIND("TmAi",$BE$1:$AAD$1)),IF(IFERROR(ISODD(SUBSTITUTE($BE213:$AAD213,"A","")),FALSE),IF(ISODD(SUBSTITUTE($BE213:$AAD213,"A","")),1,0),0)))</f>
        <v>1</v>
      </c>
      <c r="AA213" t="str">
        <f t="shared" ref="AA213" si="320">CONCATENATE($Y213*2-1,"A")</f>
        <v>1A</v>
      </c>
      <c r="AB213" t="str">
        <f t="shared" ref="AB213" si="321">CONCATENATE($Y213*2-1,"B")</f>
        <v>1B</v>
      </c>
      <c r="AP213" t="s">
        <v>137</v>
      </c>
      <c r="AR213" t="s">
        <v>1290</v>
      </c>
      <c r="AS213" t="s">
        <v>396</v>
      </c>
      <c r="OE213" s="25" t="str">
        <f>CONCATENATE("XT",$U213)</f>
        <v>XT68</v>
      </c>
      <c r="OF213" s="12" t="s">
        <v>1297</v>
      </c>
      <c r="OG213" s="12" t="s">
        <v>1314</v>
      </c>
      <c r="OH213" s="12"/>
      <c r="OI213" s="12"/>
      <c r="OJ213" s="12" t="str">
        <f>CONCATENATE(REPLACE($AA213,LEN($AA213),1,"")+1,RIGHT($AA213))</f>
        <v>2A</v>
      </c>
      <c r="OK213" s="12" t="str">
        <f>CONCATENATE(REPLACE($AB213,LEN($AB213),1,"")+1,RIGHT($AB213))</f>
        <v>2B</v>
      </c>
      <c r="OL213" s="12" t="str">
        <f>CONCATENATE(REPLACE(OJ213,LEN(OJ213),1,"")+1,RIGHT(OJ213))</f>
        <v>3A</v>
      </c>
      <c r="OM213" s="12" t="str">
        <f t="shared" ref="OM213:OO213" si="322">CONCATENATE(REPLACE(OK213,LEN(OK213),1,"")+1,RIGHT(OK213))</f>
        <v>3B</v>
      </c>
      <c r="ON213" s="12" t="str">
        <f t="shared" si="322"/>
        <v>4A</v>
      </c>
      <c r="OO213" s="12" t="str">
        <f t="shared" si="322"/>
        <v>4B</v>
      </c>
      <c r="OP213" s="12"/>
      <c r="OQ213" s="12"/>
      <c r="OR213" s="12"/>
      <c r="OS213" s="12"/>
      <c r="OT213" s="12" t="str">
        <f>CONCATENATE($T213,"-AI",REPLACE($X213,1,3,""),"-",$AA213)</f>
        <v>F0-AI41-1A</v>
      </c>
      <c r="OU213" s="12" t="str">
        <f>CONCATENATE($T213,"-AI",REPLACE($X213,1,3,""),"-",$AB213)</f>
        <v>F0-AI41-1B</v>
      </c>
      <c r="OV213" s="12" t="str">
        <f t="shared" ref="OV213:PA213" si="323">CONCATENATE($T213,"-AI",REPLACE($X213,1,3,""),"-",OJ213)</f>
        <v>F0-AI41-2A</v>
      </c>
      <c r="OW213" s="12" t="str">
        <f t="shared" si="323"/>
        <v>F0-AI41-2B</v>
      </c>
      <c r="OX213" s="12" t="str">
        <f t="shared" si="323"/>
        <v>F0-AI41-3A</v>
      </c>
      <c r="OY213" s="12" t="str">
        <f t="shared" si="323"/>
        <v>F0-AI41-3B</v>
      </c>
      <c r="OZ213" s="12" t="str">
        <f t="shared" si="323"/>
        <v>F0-AI41-4A</v>
      </c>
      <c r="PA213" s="12" t="str">
        <f t="shared" si="323"/>
        <v>F0-AI41-4B</v>
      </c>
      <c r="PB213" s="12"/>
      <c r="PC213" s="12"/>
      <c r="PD213" s="12"/>
      <c r="PE213" s="12"/>
      <c r="PF213" s="12" cm="1">
        <f t="array" ref="PF213">IF(COUNTIFS($U$2:$U213,$U213)=1,1,INDEX(PF:PF,_xlfn.XMATCH($U213,$U$1:EF212,0,-1))+COUNT(PF212:PK212))</f>
        <v>1</v>
      </c>
      <c r="PG213" s="12">
        <f t="shared" ref="PG213:PH213" si="324">PF213+1</f>
        <v>2</v>
      </c>
      <c r="PH213" s="12">
        <f t="shared" si="324"/>
        <v>3</v>
      </c>
      <c r="PI213" s="12">
        <f>PH213+1</f>
        <v>4</v>
      </c>
      <c r="PJ213" s="12">
        <f t="shared" ref="PJ213:PK213" si="325">PI213+1</f>
        <v>5</v>
      </c>
      <c r="PK213" s="12">
        <f t="shared" si="325"/>
        <v>6</v>
      </c>
      <c r="PL213" s="12"/>
      <c r="PM213" s="12"/>
      <c r="PN213" s="12"/>
      <c r="PO213" s="12">
        <v>1</v>
      </c>
      <c r="PP213" s="12">
        <v>2</v>
      </c>
      <c r="PQ213" s="12">
        <v>3</v>
      </c>
      <c r="PR213" s="12">
        <v>4</v>
      </c>
      <c r="PS213" s="12">
        <v>5</v>
      </c>
      <c r="PT213" s="13">
        <v>6</v>
      </c>
    </row>
    <row r="214" spans="1:436" ht="15.75" thickBot="1" x14ac:dyDescent="0.3">
      <c r="A214" t="s">
        <v>1294</v>
      </c>
      <c r="B214" s="33" t="s">
        <v>1336</v>
      </c>
      <c r="P214" t="s">
        <v>482</v>
      </c>
      <c r="T214" s="14" t="s">
        <v>554</v>
      </c>
      <c r="U214">
        <v>68</v>
      </c>
      <c r="W214" t="s">
        <v>1665</v>
      </c>
      <c r="X214" s="36" t="s">
        <v>1257</v>
      </c>
      <c r="Y214" s="45" cm="1">
        <f t="array" ref="Y214">IF(COUNTIFS($X$2:$X214,$X214)=1,"1",VALUE(SUBSTITUTE(INDEX(Y:Y,_xlfn.XMATCH($X214,$X$1:$X213,0,-1)),"A",""))+INDEX(Z:Z,_xlfn.XMATCH($X214,$X$1:$X213,0,-1))+1)</f>
        <v>6</v>
      </c>
      <c r="Z214" s="46" cm="1">
        <f t="array" ref="Z214">SUM(IF(ISNUMBER(FIND("TmAi",$BE$1:$AAD$1)),IF(IFERROR(ISODD(SUBSTITUTE($BE214:$AAD214,"A","")),FALSE),IF(ISODD(SUBSTITUTE($BE214:$AAD214,"A","")),1,0),0)))</f>
        <v>0</v>
      </c>
      <c r="AA214" t="str">
        <f t="shared" ref="AA214" si="326">CONCATENATE($Y214*2-1,"B")</f>
        <v>11B</v>
      </c>
      <c r="AB214" t="str">
        <f t="shared" ref="AB214" si="327">CONCATENATE($Y214*2,"B")</f>
        <v>12B</v>
      </c>
      <c r="AP214" t="s">
        <v>137</v>
      </c>
      <c r="AQ214" t="s">
        <v>1292</v>
      </c>
      <c r="AS214" t="s">
        <v>396</v>
      </c>
      <c r="JZ214" s="27" t="str">
        <f>CONCATENATE("XT",U214)</f>
        <v>XT68</v>
      </c>
      <c r="KC214" t="str">
        <f>CONCATENATE(T214,"-AI",REPLACE($X214,1,3,""),"-",AA214)</f>
        <v>F0-AI25-11B</v>
      </c>
      <c r="KD214" t="str">
        <f>CONCATENATE(T214,"-AI",REPLACE($X214,1,3,""),"-",AB214)</f>
        <v>F0-AI25-12B</v>
      </c>
      <c r="KI214">
        <v>7</v>
      </c>
      <c r="KJ214">
        <f t="shared" ref="KJ214:KK214" si="328">KI214+1</f>
        <v>8</v>
      </c>
      <c r="KK214">
        <f t="shared" si="328"/>
        <v>9</v>
      </c>
      <c r="KN214" t="s">
        <v>548</v>
      </c>
      <c r="KO214" s="16" t="s">
        <v>548</v>
      </c>
      <c r="KS214" s="16"/>
      <c r="OE214" s="27"/>
      <c r="PT214" s="16"/>
    </row>
    <row r="215" spans="1:436" x14ac:dyDescent="0.25">
      <c r="A215" t="s">
        <v>1295</v>
      </c>
      <c r="B215" s="34" t="s">
        <v>1335</v>
      </c>
      <c r="C215" t="s">
        <v>1012</v>
      </c>
      <c r="P215" t="s">
        <v>1011</v>
      </c>
      <c r="T215" s="14" t="s">
        <v>554</v>
      </c>
      <c r="U215">
        <v>69</v>
      </c>
      <c r="W215" t="s">
        <v>1666</v>
      </c>
      <c r="X215" s="36" t="s">
        <v>1981</v>
      </c>
      <c r="Y215" s="45" cm="1">
        <f t="array" ref="Y215">IF(COUNTIFS($X$2:$X215,$X215)=1,"1",VALUE(SUBSTITUTE(INDEX(Y:Y,_xlfn.XMATCH($X215,$X$1:$X214,0,-1)),"A",""))+INDEX(Z:Z,_xlfn.XMATCH($X215,$X$1:$X214,0,-1))+1)</f>
        <v>3</v>
      </c>
      <c r="Z215" s="46" cm="1">
        <f t="array" ref="Z215">SUM(IF(ISNUMBER(FIND("TmAi",$BE$1:$AAD$1)),IF(IFERROR(ISODD(SUBSTITUTE($BE215:$AAD215,"A","")),FALSE),IF(ISODD(SUBSTITUTE($BE215:$AAD215,"A","")),1,0),0)))</f>
        <v>1</v>
      </c>
      <c r="AA215" t="str">
        <f t="shared" ref="AA215" si="329">CONCATENATE($Y215*2-1,"A")</f>
        <v>5A</v>
      </c>
      <c r="AB215" t="str">
        <f t="shared" ref="AB215" si="330">CONCATENATE($Y215*2-1,"B")</f>
        <v>5B</v>
      </c>
      <c r="AP215" t="s">
        <v>137</v>
      </c>
      <c r="AR215" t="s">
        <v>1291</v>
      </c>
      <c r="AS215" t="s">
        <v>396</v>
      </c>
      <c r="OE215" s="25" t="str">
        <f>CONCATENATE("XT",$U215)</f>
        <v>XT69</v>
      </c>
      <c r="OF215" s="12" t="s">
        <v>1298</v>
      </c>
      <c r="OG215" s="12" t="s">
        <v>1315</v>
      </c>
      <c r="OH215" s="12"/>
      <c r="OI215" s="12"/>
      <c r="OJ215" s="12" t="str">
        <f>CONCATENATE(REPLACE($AA215,LEN($AA215),1,"")+1,RIGHT($AA215))</f>
        <v>6A</v>
      </c>
      <c r="OK215" s="12" t="str">
        <f>CONCATENATE(REPLACE($AB215,LEN($AB215),1,"")+1,RIGHT($AB215))</f>
        <v>6B</v>
      </c>
      <c r="OL215" s="12" t="str">
        <f>CONCATENATE(REPLACE(OJ215,LEN(OJ215),1,"")+1,RIGHT(OJ215))</f>
        <v>7A</v>
      </c>
      <c r="OM215" s="12" t="str">
        <f t="shared" ref="OM215:OO215" si="331">CONCATENATE(REPLACE(OK215,LEN(OK215),1,"")+1,RIGHT(OK215))</f>
        <v>7B</v>
      </c>
      <c r="ON215" s="12" t="str">
        <f t="shared" si="331"/>
        <v>8A</v>
      </c>
      <c r="OO215" s="12" t="str">
        <f t="shared" si="331"/>
        <v>8B</v>
      </c>
      <c r="OP215" s="12"/>
      <c r="OQ215" s="12"/>
      <c r="OR215" s="12"/>
      <c r="OS215" s="12"/>
      <c r="OT215" s="12" t="str">
        <f>CONCATENATE($T215,"-AI",REPLACE($X215,1,3,""),"-",$AA215)</f>
        <v>F0-AI41-5A</v>
      </c>
      <c r="OU215" s="12" t="str">
        <f>CONCATENATE($T215,"-AI",REPLACE($X215,1,3,""),"-",$AB215)</f>
        <v>F0-AI41-5B</v>
      </c>
      <c r="OV215" s="12" t="str">
        <f t="shared" ref="OV215:PA215" si="332">CONCATENATE($T215,"-AI",REPLACE($X215,1,3,""),"-",OJ215)</f>
        <v>F0-AI41-6A</v>
      </c>
      <c r="OW215" s="12" t="str">
        <f t="shared" si="332"/>
        <v>F0-AI41-6B</v>
      </c>
      <c r="OX215" s="12" t="str">
        <f t="shared" si="332"/>
        <v>F0-AI41-7A</v>
      </c>
      <c r="OY215" s="12" t="str">
        <f t="shared" si="332"/>
        <v>F0-AI41-7B</v>
      </c>
      <c r="OZ215" s="12" t="str">
        <f t="shared" si="332"/>
        <v>F0-AI41-8A</v>
      </c>
      <c r="PA215" s="12" t="str">
        <f t="shared" si="332"/>
        <v>F0-AI41-8B</v>
      </c>
      <c r="PB215" s="12"/>
      <c r="PC215" s="12"/>
      <c r="PD215" s="12"/>
      <c r="PE215" s="12"/>
      <c r="PF215" s="12" cm="1">
        <f t="array" ref="PF215">IF(COUNTIFS($U$2:$U215,$U215)=1,1,INDEX(PF:PF,_xlfn.XMATCH($U215,$U$1:EF214,0,-1))+COUNT(PF214:PK214))</f>
        <v>1</v>
      </c>
      <c r="PG215" s="12">
        <f t="shared" ref="PG215:PH215" si="333">PF215+1</f>
        <v>2</v>
      </c>
      <c r="PH215" s="12">
        <f t="shared" si="333"/>
        <v>3</v>
      </c>
      <c r="PI215" s="12">
        <f>PH215+1</f>
        <v>4</v>
      </c>
      <c r="PJ215" s="12">
        <f t="shared" ref="PJ215:PK215" si="334">PI215+1</f>
        <v>5</v>
      </c>
      <c r="PK215" s="12">
        <f t="shared" si="334"/>
        <v>6</v>
      </c>
      <c r="PL215" s="12"/>
      <c r="PM215" s="12"/>
      <c r="PN215" s="12"/>
      <c r="PO215" s="12">
        <v>1</v>
      </c>
      <c r="PP215" s="12">
        <v>2</v>
      </c>
      <c r="PQ215" s="12">
        <v>3</v>
      </c>
      <c r="PR215" s="12">
        <v>4</v>
      </c>
      <c r="PS215" s="12">
        <v>5</v>
      </c>
      <c r="PT215" s="13">
        <v>6</v>
      </c>
    </row>
    <row r="216" spans="1:436" x14ac:dyDescent="0.25">
      <c r="A216" t="s">
        <v>1296</v>
      </c>
      <c r="B216" s="33" t="s">
        <v>1337</v>
      </c>
      <c r="P216" t="s">
        <v>482</v>
      </c>
      <c r="T216" s="14" t="s">
        <v>554</v>
      </c>
      <c r="U216">
        <v>69</v>
      </c>
      <c r="W216" t="s">
        <v>1667</v>
      </c>
      <c r="X216" s="36" t="s">
        <v>1257</v>
      </c>
      <c r="Y216" s="45" cm="1">
        <f t="array" ref="Y216">IF(COUNTIFS($X$2:$X216,$X216)=1,"1",VALUE(SUBSTITUTE(INDEX(Y:Y,_xlfn.XMATCH($X216,$X$1:$X215,0,-1)),"A",""))+INDEX(Z:Z,_xlfn.XMATCH($X216,$X$1:$X215,0,-1))+1)</f>
        <v>7</v>
      </c>
      <c r="Z216" s="46" cm="1">
        <f t="array" ref="Z216">SUM(IF(ISNUMBER(FIND("TmAi",$BE$1:$AAD$1)),IF(IFERROR(ISODD(SUBSTITUTE($BE216:$AAD216,"A","")),FALSE),IF(ISODD(SUBSTITUTE($BE216:$AAD216,"A","")),1,0),0)))</f>
        <v>0</v>
      </c>
      <c r="AA216" t="str">
        <f t="shared" ref="AA216:AA220" si="335">CONCATENATE($Y216*2-1,"B")</f>
        <v>13B</v>
      </c>
      <c r="AB216" t="str">
        <f t="shared" ref="AB216:AB220" si="336">CONCATENATE($Y216*2,"B")</f>
        <v>14B</v>
      </c>
      <c r="AP216" t="s">
        <v>137</v>
      </c>
      <c r="AQ216" t="s">
        <v>1292</v>
      </c>
      <c r="AS216" t="s">
        <v>396</v>
      </c>
      <c r="JZ216" s="27" t="str">
        <f t="shared" ref="JZ216:JZ224" si="337">CONCATENATE("XT",U216)</f>
        <v>XT69</v>
      </c>
      <c r="KC216" t="str">
        <f t="shared" ref="KC216:KC224" si="338">CONCATENATE(T216,"-AI",REPLACE($X216,1,3,""),"-",AA216)</f>
        <v>F0-AI25-13B</v>
      </c>
      <c r="KD216" t="str">
        <f t="shared" ref="KD216:KD224" si="339">CONCATENATE(T216,"-AI",REPLACE($X216,1,3,""),"-",AB216)</f>
        <v>F0-AI25-14B</v>
      </c>
      <c r="KI216">
        <v>7</v>
      </c>
      <c r="KJ216">
        <f t="shared" ref="KJ216:KL224" si="340">KI216+1</f>
        <v>8</v>
      </c>
      <c r="KK216">
        <f t="shared" si="340"/>
        <v>9</v>
      </c>
      <c r="KN216" t="s">
        <v>548</v>
      </c>
      <c r="KO216" s="16" t="s">
        <v>548</v>
      </c>
      <c r="KS216" s="16"/>
      <c r="OE216" s="27"/>
      <c r="PT216" s="16"/>
    </row>
    <row r="217" spans="1:436" x14ac:dyDescent="0.25">
      <c r="A217" t="s">
        <v>1303</v>
      </c>
      <c r="B217" s="33" t="s">
        <v>1343</v>
      </c>
      <c r="P217" t="s">
        <v>482</v>
      </c>
      <c r="T217" s="14" t="s">
        <v>554</v>
      </c>
      <c r="U217">
        <v>70</v>
      </c>
      <c r="W217" t="s">
        <v>1668</v>
      </c>
      <c r="X217" t="str">
        <f>IF(COUNTIF(X$1:X216,X216)&gt;3,REPLACE(X216,LEN(X216),1,VALUE(RIGHT(X216,1))+1),X216)</f>
        <v>A3.26</v>
      </c>
      <c r="Y217" s="43" t="str" cm="1">
        <f t="array" ref="Y217">IF(COUNTIFS($X$2:$X217,$X217)=1,"1",VALUE(SUBSTITUTE(INDEX(Y:Y,_xlfn.XMATCH($X217,$X$1:$X216,0,-1)),"A",""))+INDEX(Z:Z,_xlfn.XMATCH($X217,$X$1:$X216,0,-1))+1)</f>
        <v>1</v>
      </c>
      <c r="Z217" s="46" cm="1">
        <f t="array" ref="Z217">SUM(IF(ISNUMBER(FIND("TmAi",$BE$1:$AAD$1)),IF(IFERROR(ISODD(SUBSTITUTE($BE217:$AAD217,"A","")),FALSE),IF(ISODD(SUBSTITUTE($BE217:$AAD217,"A","")),1,0),0)))</f>
        <v>0</v>
      </c>
      <c r="AA217" t="str">
        <f t="shared" si="335"/>
        <v>1B</v>
      </c>
      <c r="AB217" t="str">
        <f t="shared" si="336"/>
        <v>2B</v>
      </c>
      <c r="AP217" t="s">
        <v>137</v>
      </c>
      <c r="AQ217" t="s">
        <v>1307</v>
      </c>
      <c r="AS217" t="s">
        <v>396</v>
      </c>
      <c r="JZ217" s="27" t="str">
        <f t="shared" si="337"/>
        <v>XT70</v>
      </c>
      <c r="KC217" t="str">
        <f t="shared" si="338"/>
        <v>F0-AI26-1B</v>
      </c>
      <c r="KD217" t="str">
        <f t="shared" si="339"/>
        <v>F0-AI26-2B</v>
      </c>
      <c r="KI217">
        <v>1</v>
      </c>
      <c r="KJ217">
        <f t="shared" si="340"/>
        <v>2</v>
      </c>
      <c r="KK217">
        <f t="shared" si="340"/>
        <v>3</v>
      </c>
      <c r="KN217" t="s">
        <v>548</v>
      </c>
      <c r="KO217" s="16" t="s">
        <v>548</v>
      </c>
      <c r="KS217" s="16"/>
      <c r="OE217" s="27"/>
      <c r="PT217" s="16"/>
    </row>
    <row r="218" spans="1:436" x14ac:dyDescent="0.25">
      <c r="A218" t="s">
        <v>1304</v>
      </c>
      <c r="B218" s="33" t="s">
        <v>1344</v>
      </c>
      <c r="P218" t="s">
        <v>482</v>
      </c>
      <c r="T218" s="14" t="s">
        <v>554</v>
      </c>
      <c r="U218">
        <v>70</v>
      </c>
      <c r="W218" t="s">
        <v>1669</v>
      </c>
      <c r="X218" t="str">
        <f>IF(COUNTIF(X$1:X217,X217)&gt;3,REPLACE(X217,LEN(X217),1,VALUE(RIGHT(X217,1))+1),X217)</f>
        <v>A3.26</v>
      </c>
      <c r="Y218" s="43" cm="1">
        <f t="array" ref="Y218">IF(COUNTIFS($X$2:$X218,$X218)=1,"1",VALUE(SUBSTITUTE(INDEX(Y:Y,_xlfn.XMATCH($X218,$X$1:$X217,0,-1)),"A",""))+INDEX(Z:Z,_xlfn.XMATCH($X218,$X$1:$X217,0,-1))+1)</f>
        <v>2</v>
      </c>
      <c r="Z218" s="46" cm="1">
        <f t="array" ref="Z218">SUM(IF(ISNUMBER(FIND("TmAi",$BE$1:$AAD$1)),IF(IFERROR(ISODD(SUBSTITUTE($BE218:$AAD218,"A","")),FALSE),IF(ISODD(SUBSTITUTE($BE218:$AAD218,"A","")),1,0),0)))</f>
        <v>0</v>
      </c>
      <c r="AA218" t="str">
        <f t="shared" si="335"/>
        <v>3B</v>
      </c>
      <c r="AB218" t="str">
        <f t="shared" si="336"/>
        <v>4B</v>
      </c>
      <c r="AP218" t="s">
        <v>137</v>
      </c>
      <c r="AQ218" t="s">
        <v>1307</v>
      </c>
      <c r="AS218" t="s">
        <v>396</v>
      </c>
      <c r="JZ218" s="27" t="str">
        <f t="shared" si="337"/>
        <v>XT70</v>
      </c>
      <c r="KC218" t="str">
        <f t="shared" si="338"/>
        <v>F0-AI26-3B</v>
      </c>
      <c r="KD218" t="str">
        <f t="shared" si="339"/>
        <v>F0-AI26-4B</v>
      </c>
      <c r="KI218" cm="1">
        <f t="array" ref="KI218">IF(COUNTIFS($U$2:$U218,$U218)=1,1,INDEX(KI:KI,_xlfn.XMATCH(U218,U$1:U217,0,-1))+COUNT(KI217:KM217))</f>
        <v>4</v>
      </c>
      <c r="KJ218">
        <f t="shared" si="340"/>
        <v>5</v>
      </c>
      <c r="KK218">
        <f t="shared" si="340"/>
        <v>6</v>
      </c>
      <c r="KN218" t="s">
        <v>548</v>
      </c>
      <c r="KO218" s="16" t="s">
        <v>548</v>
      </c>
      <c r="KS218" s="16"/>
      <c r="OE218" s="27"/>
      <c r="PT218" s="16"/>
    </row>
    <row r="219" spans="1:436" x14ac:dyDescent="0.25">
      <c r="A219" t="s">
        <v>1308</v>
      </c>
      <c r="B219" s="36" t="s">
        <v>1345</v>
      </c>
      <c r="P219" t="s">
        <v>482</v>
      </c>
      <c r="T219" s="14" t="s">
        <v>554</v>
      </c>
      <c r="U219">
        <v>70</v>
      </c>
      <c r="W219" t="s">
        <v>1670</v>
      </c>
      <c r="X219" t="str">
        <f>IF(COUNTIF(X$1:X218,X218)&gt;3,REPLACE(X218,LEN(X218),1,VALUE(RIGHT(X218,1))+1),X218)</f>
        <v>A3.26</v>
      </c>
      <c r="Y219" s="43" cm="1">
        <f t="array" ref="Y219">IF(COUNTIFS($X$2:$X219,$X219)=1,"1",VALUE(SUBSTITUTE(INDEX(Y:Y,_xlfn.XMATCH($X219,$X$1:$X218,0,-1)),"A",""))+INDEX(Z:Z,_xlfn.XMATCH($X219,$X$1:$X218,0,-1))+1)</f>
        <v>3</v>
      </c>
      <c r="Z219" s="46" cm="1">
        <f t="array" ref="Z219">SUM(IF(ISNUMBER(FIND("TmAi",$BE$1:$AAD$1)),IF(IFERROR(ISODD(SUBSTITUTE($BE219:$AAD219,"A","")),FALSE),IF(ISODD(SUBSTITUTE($BE219:$AAD219,"A","")),1,0),0)))</f>
        <v>0</v>
      </c>
      <c r="AA219" t="str">
        <f t="shared" si="335"/>
        <v>5B</v>
      </c>
      <c r="AB219" t="str">
        <f t="shared" si="336"/>
        <v>6B</v>
      </c>
      <c r="AP219" t="s">
        <v>137</v>
      </c>
      <c r="AQ219" t="s">
        <v>1302</v>
      </c>
      <c r="AS219" t="s">
        <v>396</v>
      </c>
      <c r="JZ219" s="27" t="str">
        <f t="shared" si="337"/>
        <v>XT70</v>
      </c>
      <c r="KC219" t="str">
        <f t="shared" si="338"/>
        <v>F0-AI26-5B</v>
      </c>
      <c r="KD219" t="str">
        <f t="shared" si="339"/>
        <v>F0-AI26-6B</v>
      </c>
      <c r="KI219" cm="1">
        <f t="array" ref="KI219">IF(COUNTIFS($U$2:$U219,$U219)=1,1,INDEX(KI:KI,_xlfn.XMATCH(U219,U$1:U218,0,-1))+COUNT(KI218:KM218))</f>
        <v>7</v>
      </c>
      <c r="KJ219">
        <f t="shared" si="340"/>
        <v>8</v>
      </c>
      <c r="KK219">
        <f t="shared" si="340"/>
        <v>9</v>
      </c>
      <c r="KN219" t="s">
        <v>548</v>
      </c>
      <c r="KO219" s="16" t="s">
        <v>548</v>
      </c>
      <c r="KS219" s="16"/>
      <c r="OE219" s="27"/>
      <c r="PT219" s="16"/>
    </row>
    <row r="220" spans="1:436" x14ac:dyDescent="0.25">
      <c r="A220" t="s">
        <v>1309</v>
      </c>
      <c r="B220" s="36" t="s">
        <v>1346</v>
      </c>
      <c r="P220" t="s">
        <v>482</v>
      </c>
      <c r="T220" s="14" t="s">
        <v>554</v>
      </c>
      <c r="U220">
        <v>70</v>
      </c>
      <c r="W220" t="s">
        <v>1671</v>
      </c>
      <c r="X220" s="33" t="str">
        <f>IF(COUNTIF(X$1:X219,X219)&gt;3,REPLACE(X219,LEN(X219),1,VALUE(RIGHT(X219,1))+1),X219)</f>
        <v>A3.26</v>
      </c>
      <c r="Y220" s="45" cm="1">
        <f t="array" ref="Y220">IF(COUNTIFS($X$2:$X220,$X220)=1,"1",VALUE(SUBSTITUTE(INDEX(Y:Y,_xlfn.XMATCH($X220,$X$1:$X219,0,-1)),"A",""))+INDEX(Z:Z,_xlfn.XMATCH($X220,$X$1:$X219,0,-1))+1)</f>
        <v>4</v>
      </c>
      <c r="Z220" s="46" cm="1">
        <f t="array" ref="Z220">SUM(IF(ISNUMBER(FIND("TmAi",$BE$1:$AAD$1)),IF(IFERROR(ISODD(SUBSTITUTE($BE220:$AAD220,"A","")),FALSE),IF(ISODD(SUBSTITUTE($BE220:$AAD220,"A","")),1,0),0)))</f>
        <v>0</v>
      </c>
      <c r="AA220" t="str">
        <f t="shared" si="335"/>
        <v>7B</v>
      </c>
      <c r="AB220" t="str">
        <f t="shared" si="336"/>
        <v>8B</v>
      </c>
      <c r="AP220" t="s">
        <v>137</v>
      </c>
      <c r="AQ220" t="s">
        <v>1302</v>
      </c>
      <c r="AS220" t="s">
        <v>396</v>
      </c>
      <c r="JZ220" s="27" t="str">
        <f t="shared" si="337"/>
        <v>XT70</v>
      </c>
      <c r="KC220" t="str">
        <f t="shared" si="338"/>
        <v>F0-AI26-7B</v>
      </c>
      <c r="KD220" t="str">
        <f t="shared" si="339"/>
        <v>F0-AI26-8B</v>
      </c>
      <c r="KI220" cm="1">
        <f t="array" ref="KI220">IF(COUNTIFS($U$2:$U220,$U220)=1,1,INDEX(KI:KI,_xlfn.XMATCH(U220,U$1:U219,0,-1))+COUNT(KI219:KM219))</f>
        <v>10</v>
      </c>
      <c r="KJ220">
        <f t="shared" si="340"/>
        <v>11</v>
      </c>
      <c r="KK220">
        <f t="shared" si="340"/>
        <v>12</v>
      </c>
      <c r="KN220" t="s">
        <v>548</v>
      </c>
      <c r="KO220" s="16" t="s">
        <v>548</v>
      </c>
      <c r="KS220" s="16"/>
      <c r="OE220" s="27"/>
      <c r="PT220" s="16"/>
    </row>
    <row r="221" spans="1:436" x14ac:dyDescent="0.25">
      <c r="A221" t="s">
        <v>1351</v>
      </c>
      <c r="B221" t="s">
        <v>1347</v>
      </c>
      <c r="C221" t="s">
        <v>1355</v>
      </c>
      <c r="P221" t="s">
        <v>1356</v>
      </c>
      <c r="T221" s="14" t="s">
        <v>554</v>
      </c>
      <c r="U221">
        <v>71</v>
      </c>
      <c r="V221" t="s">
        <v>1549</v>
      </c>
      <c r="X221" t="s">
        <v>1982</v>
      </c>
      <c r="Y221" s="43" t="str" cm="1">
        <f t="array" ref="Y221">IF(COUNTIFS($X$2:$X221,$X221)=1,"1",VALUE(SUBSTITUTE(INDEX(Y:Y,_xlfn.XMATCH($X221,$X$1:$X220,0,-1)),"A",""))+INDEX(Z:Z,_xlfn.XMATCH($X221,$X$1:$X220,0,-1))+1)</f>
        <v>1</v>
      </c>
      <c r="Z221" s="46" cm="1">
        <f t="array" ref="Z221">SUM(IF(ISNUMBER(FIND("TmAi",$BE$1:$AAD$1)),IF(IFERROR(ISODD(SUBSTITUTE($BE221:$AAD221,"A","")),FALSE),IF(ISODD(SUBSTITUTE($BE221:$AAD221,"A","")),1,0),0)))</f>
        <v>0</v>
      </c>
      <c r="AA221" t="str">
        <f>CONCATENATE($Y221*2-1,"A")</f>
        <v>1A</v>
      </c>
      <c r="AB221" t="str">
        <f>CONCATENATE($Y221*2-1,"B")</f>
        <v>1B</v>
      </c>
      <c r="AP221" t="s">
        <v>137</v>
      </c>
      <c r="AS221" t="s">
        <v>396</v>
      </c>
      <c r="JZ221" s="27" t="str">
        <f t="shared" si="337"/>
        <v>XT71</v>
      </c>
      <c r="KA221" t="str">
        <f>REPLACE(AA221,1,1,LEFT(AA221,1)+1)</f>
        <v>2A</v>
      </c>
      <c r="KC221" t="str">
        <f t="shared" si="338"/>
        <v>F0-AI42-1A</v>
      </c>
      <c r="KD221" t="str">
        <f t="shared" si="339"/>
        <v>F0-AI42-1B</v>
      </c>
      <c r="KE221" t="str">
        <f t="shared" ref="KE221:KF222" si="341">CONCATENATE($T221,"-AI",REPLACE($X221,1,3,""),"-",KA221)</f>
        <v>F0-AI42-2A</v>
      </c>
      <c r="KF221" t="str">
        <f t="shared" si="341"/>
        <v>F0-AI42-</v>
      </c>
      <c r="KI221" cm="1">
        <f t="array" ref="KI221">IF(COUNTIFS($U$2:$U221,$U221)=1,1,INDEX(KI:KI,_xlfn.XMATCH(U221,U$1:U220,0,-1))+COUNT(KI220:KM220))</f>
        <v>1</v>
      </c>
      <c r="KJ221">
        <f t="shared" si="340"/>
        <v>2</v>
      </c>
      <c r="KK221">
        <f t="shared" si="340"/>
        <v>3</v>
      </c>
      <c r="KL221">
        <f t="shared" si="340"/>
        <v>4</v>
      </c>
      <c r="KN221">
        <v>2</v>
      </c>
      <c r="KO221" s="16">
        <v>1</v>
      </c>
      <c r="KP221">
        <v>4</v>
      </c>
      <c r="KQ221">
        <v>3</v>
      </c>
      <c r="KS221" s="16"/>
    </row>
    <row r="222" spans="1:436" x14ac:dyDescent="0.25">
      <c r="A222" t="s">
        <v>1352</v>
      </c>
      <c r="B222" t="s">
        <v>1348</v>
      </c>
      <c r="C222" t="s">
        <v>1355</v>
      </c>
      <c r="P222" t="s">
        <v>1356</v>
      </c>
      <c r="T222" s="14" t="s">
        <v>554</v>
      </c>
      <c r="U222">
        <v>71</v>
      </c>
      <c r="V222" t="s">
        <v>1550</v>
      </c>
      <c r="X222" s="33" t="str">
        <f>IF(COUNTIF(X$1:X221,X221)&gt;7,REPLACE(X221,LEN(X221),1,VALUE(RIGHT(X221,1))+1),X221)</f>
        <v>A3.42</v>
      </c>
      <c r="Y222" s="45" cm="1">
        <f t="array" ref="Y222">IF(COUNTIFS($X$2:$X222,$X222)=1,"1",VALUE(SUBSTITUTE(INDEX(Y:Y,_xlfn.XMATCH($X222,$X$1:$X221,0,-1)),"A",""))+INDEX(Z:Z,_xlfn.XMATCH($X222,$X$1:$X221,0,-1))+1)</f>
        <v>2</v>
      </c>
      <c r="Z222" s="46" cm="1">
        <f t="array" ref="Z222">SUM(IF(ISNUMBER(FIND("TmAi",$BE$1:$AAD$1)),IF(IFERROR(ISODD(SUBSTITUTE($BE222:$AAD222,"A","")),FALSE),IF(ISODD(SUBSTITUTE($BE222:$AAD222,"A","")),1,0),0)))</f>
        <v>0</v>
      </c>
      <c r="AA222" t="str">
        <f>CONCATENATE($Y222*2-1,"A")</f>
        <v>3A</v>
      </c>
      <c r="AB222" t="str">
        <f>CONCATENATE($Y222*2-1,"B")</f>
        <v>3B</v>
      </c>
      <c r="AP222" t="s">
        <v>137</v>
      </c>
      <c r="AS222" t="s">
        <v>396</v>
      </c>
      <c r="JZ222" s="27" t="str">
        <f t="shared" si="337"/>
        <v>XT71</v>
      </c>
      <c r="KA222" t="str">
        <f>REPLACE(AA222,1,1,LEFT(AA222,1)+1)</f>
        <v>4A</v>
      </c>
      <c r="KC222" t="str">
        <f t="shared" si="338"/>
        <v>F0-AI42-3A</v>
      </c>
      <c r="KD222" t="str">
        <f t="shared" si="339"/>
        <v>F0-AI42-3B</v>
      </c>
      <c r="KE222" t="str">
        <f t="shared" si="341"/>
        <v>F0-AI42-4A</v>
      </c>
      <c r="KF222" t="str">
        <f t="shared" si="341"/>
        <v>F0-AI42-</v>
      </c>
      <c r="KI222" cm="1">
        <f t="array" ref="KI222">IF(COUNTIFS($U$2:$U222,$U222)=1,1,INDEX(KI:KI,_xlfn.XMATCH(U222,U$1:U221,0,-1))+COUNT(KI221:KM221))</f>
        <v>5</v>
      </c>
      <c r="KJ222">
        <f t="shared" si="340"/>
        <v>6</v>
      </c>
      <c r="KK222">
        <f t="shared" si="340"/>
        <v>7</v>
      </c>
      <c r="KL222">
        <f t="shared" si="340"/>
        <v>8</v>
      </c>
      <c r="KN222">
        <v>2</v>
      </c>
      <c r="KO222" s="16">
        <v>1</v>
      </c>
      <c r="KP222">
        <v>4</v>
      </c>
      <c r="KQ222">
        <v>3</v>
      </c>
      <c r="KS222" s="16"/>
    </row>
    <row r="223" spans="1:436" x14ac:dyDescent="0.25">
      <c r="A223" t="s">
        <v>1353</v>
      </c>
      <c r="B223" t="s">
        <v>1349</v>
      </c>
      <c r="C223" t="s">
        <v>1363</v>
      </c>
      <c r="P223" t="s">
        <v>482</v>
      </c>
      <c r="T223" s="14" t="s">
        <v>554</v>
      </c>
      <c r="U223">
        <v>71</v>
      </c>
      <c r="W223" t="s">
        <v>1551</v>
      </c>
      <c r="X223" s="34" t="s">
        <v>1367</v>
      </c>
      <c r="Y223" s="48" t="str" cm="1">
        <f t="array" ref="Y223">IF(COUNTIFS($X$2:$X223,$X223)=1,"1",VALUE(SUBSTITUTE(INDEX(Y:Y,_xlfn.XMATCH($X223,$X$1:$X222,0,-1)),"A",""))+INDEX(Z:Z,_xlfn.XMATCH($X223,$X$1:$X222,0,-1))+1)</f>
        <v>1</v>
      </c>
      <c r="Z223" s="46" cm="1">
        <f t="array" ref="Z223">SUM(IF(ISNUMBER(FIND("TmAi",$BE$1:$AAD$1)),IF(IFERROR(ISODD(SUBSTITUTE($BE223:$AAD223,"A","")),FALSE),IF(ISODD(SUBSTITUTE($BE223:$AAD223,"A","")),1,0),0)))</f>
        <v>0</v>
      </c>
      <c r="AA223" t="str">
        <f t="shared" ref="AA223:AA224" si="342">CONCATENATE($Y223*2-1,"B")</f>
        <v>1B</v>
      </c>
      <c r="AB223" t="str">
        <f t="shared" ref="AB223:AB224" si="343">CONCATENATE($Y223*2,"B")</f>
        <v>2B</v>
      </c>
      <c r="AP223" t="s">
        <v>137</v>
      </c>
      <c r="AS223" t="s">
        <v>396</v>
      </c>
      <c r="JZ223" s="27" t="str">
        <f t="shared" si="337"/>
        <v>XT71</v>
      </c>
      <c r="KC223" t="str">
        <f t="shared" si="338"/>
        <v>F0-AI27-1B</v>
      </c>
      <c r="KD223" t="str">
        <f t="shared" si="339"/>
        <v>F0-AI27-2B</v>
      </c>
      <c r="KI223" cm="1">
        <f t="array" ref="KI223">IF(COUNTIFS($U$2:$U223,$U223)=1,1,INDEX(KI:KI,_xlfn.XMATCH(U223,U$1:U222,0,-1))+COUNT(KI222:KM222))</f>
        <v>9</v>
      </c>
      <c r="KJ223">
        <f t="shared" si="340"/>
        <v>10</v>
      </c>
      <c r="KK223">
        <f t="shared" si="340"/>
        <v>11</v>
      </c>
      <c r="KN223">
        <v>1</v>
      </c>
      <c r="KO223" s="16">
        <v>2</v>
      </c>
      <c r="KS223" s="16"/>
    </row>
    <row r="224" spans="1:436" ht="15.75" thickBot="1" x14ac:dyDescent="0.3">
      <c r="A224" t="s">
        <v>1354</v>
      </c>
      <c r="B224" t="s">
        <v>1350</v>
      </c>
      <c r="C224" t="s">
        <v>1363</v>
      </c>
      <c r="P224" t="s">
        <v>482</v>
      </c>
      <c r="T224" s="14" t="s">
        <v>554</v>
      </c>
      <c r="U224">
        <v>71</v>
      </c>
      <c r="W224" t="s">
        <v>1552</v>
      </c>
      <c r="X224" s="33" t="str">
        <f>IF(COUNTIF(X$1:X223,X223)&gt;3,REPLACE(X223,LEN(X223),1,VALUE(RIGHT(X223,1))+1),X223)</f>
        <v>A3.27</v>
      </c>
      <c r="Y224" s="45" cm="1">
        <f t="array" ref="Y224">IF(COUNTIFS($X$2:$X224,$X224)=1,"1",VALUE(SUBSTITUTE(INDEX(Y:Y,_xlfn.XMATCH($X224,$X$1:$X223,0,-1)),"A",""))+INDEX(Z:Z,_xlfn.XMATCH($X224,$X$1:$X223,0,-1))+1)</f>
        <v>2</v>
      </c>
      <c r="Z224" s="46" cm="1">
        <f t="array" ref="Z224">SUM(IF(ISNUMBER(FIND("TmAi",$BE$1:$AAD$1)),IF(IFERROR(ISODD(SUBSTITUTE($BE224:$AAD224,"A","")),FALSE),IF(ISODD(SUBSTITUTE($BE224:$AAD224,"A","")),1,0),0)))</f>
        <v>0</v>
      </c>
      <c r="AA224" t="str">
        <f t="shared" si="342"/>
        <v>3B</v>
      </c>
      <c r="AB224" t="str">
        <f t="shared" si="343"/>
        <v>4B</v>
      </c>
      <c r="AP224" t="s">
        <v>137</v>
      </c>
      <c r="AS224" t="s">
        <v>396</v>
      </c>
      <c r="JZ224" s="27" t="str">
        <f t="shared" si="337"/>
        <v>XT71</v>
      </c>
      <c r="KC224" t="str">
        <f t="shared" si="338"/>
        <v>F0-AI27-3B</v>
      </c>
      <c r="KD224" t="str">
        <f t="shared" si="339"/>
        <v>F0-AI27-4B</v>
      </c>
      <c r="KI224" cm="1">
        <f t="array" ref="KI224">IF(COUNTIFS($U$2:$U224,$U224)=1,1,INDEX(KI:KI,_xlfn.XMATCH(U224,U$1:U223,0,-1))+COUNT(KI223:KM223))</f>
        <v>12</v>
      </c>
      <c r="KJ224">
        <f t="shared" si="340"/>
        <v>13</v>
      </c>
      <c r="KK224">
        <f t="shared" si="340"/>
        <v>14</v>
      </c>
      <c r="KN224">
        <v>1</v>
      </c>
      <c r="KO224" s="16">
        <v>2</v>
      </c>
      <c r="KS224" s="16"/>
    </row>
    <row r="225" spans="1:355" x14ac:dyDescent="0.25">
      <c r="A225" t="s">
        <v>1372</v>
      </c>
      <c r="B225" t="s">
        <v>1371</v>
      </c>
      <c r="P225" t="s">
        <v>1370</v>
      </c>
      <c r="T225" s="10" t="s">
        <v>554</v>
      </c>
      <c r="U225" s="49">
        <v>72</v>
      </c>
      <c r="V225" s="11" t="s">
        <v>1553</v>
      </c>
      <c r="W225" s="11" t="s">
        <v>1555</v>
      </c>
      <c r="X225" s="12"/>
      <c r="Y225" s="12"/>
      <c r="Z225" s="12"/>
      <c r="AA225" s="12"/>
      <c r="AB225" s="12"/>
      <c r="AC225" s="12" t="s">
        <v>1375</v>
      </c>
      <c r="AD225" s="12"/>
      <c r="AE225" s="12"/>
      <c r="AF225" s="12" t="s">
        <v>133</v>
      </c>
      <c r="AG225" s="12" t="s">
        <v>134</v>
      </c>
      <c r="AH225" s="12" t="s">
        <v>1376</v>
      </c>
      <c r="AI225" s="12"/>
      <c r="AJ225" s="12"/>
      <c r="AK225" s="12" t="s">
        <v>135</v>
      </c>
      <c r="AL225" s="12" t="s">
        <v>136</v>
      </c>
      <c r="AM225" s="12">
        <v>1</v>
      </c>
      <c r="AN225" s="12" t="str">
        <f>CONCATENATE(AM225,"XT")</f>
        <v>1XT</v>
      </c>
      <c r="AO225" s="12" t="str">
        <f t="shared" ref="AO225:AO229" si="344">CONCATENATE(AM225,"X")</f>
        <v>1X</v>
      </c>
      <c r="AP225" s="12" t="s">
        <v>137</v>
      </c>
      <c r="AQ225" s="12" t="s">
        <v>138</v>
      </c>
      <c r="AR225" s="12"/>
      <c r="AS225" s="12"/>
      <c r="AT225" s="12" t="s">
        <v>139</v>
      </c>
      <c r="AU225" s="12" t="s">
        <v>140</v>
      </c>
      <c r="AV225" s="12"/>
      <c r="AW225" s="12"/>
      <c r="AX225" s="12"/>
      <c r="AY225" s="12"/>
      <c r="AZ225" s="12"/>
      <c r="BA225" s="12"/>
      <c r="BB225" s="12"/>
      <c r="BC225" s="12"/>
      <c r="BD225" s="13"/>
      <c r="ER225" s="25" t="str">
        <f>CONCATENATE("XT",U225)</f>
        <v>XT72</v>
      </c>
      <c r="ES225" s="12" t="str">
        <f>CONCATENATE("C",REPLACE(AF225,1,1,"")+1)</f>
        <v>C2</v>
      </c>
      <c r="ET225" s="12" t="str">
        <f>CONCATENATE("B",REPLACE(AG225,1,1,"")+1)</f>
        <v>B2</v>
      </c>
      <c r="EU225" s="12" t="str">
        <f>CONCATENATE("C",REPLACE(ES225,1,1,"")+1)</f>
        <v>C3</v>
      </c>
      <c r="EV225" s="12" t="str">
        <f>CONCATENATE("B",REPLACE(ET225,1,1,"")+1)</f>
        <v>B3</v>
      </c>
      <c r="EW225" s="12" t="str">
        <f>CONCATENATE(REPLACE(AK225,LEN(AK225),1,"")+1,"B")</f>
        <v>2B</v>
      </c>
      <c r="EX225" s="12" t="str">
        <f>CONCATENATE(REPLACE(AL225,LEN(AL225),1,"")+1,"A")</f>
        <v>2A</v>
      </c>
      <c r="EY225" s="12" t="str">
        <f>CONCATENATE("DI",REPLACE($AC225,1,3,""),"-",AF225)</f>
        <v>DI13-C1</v>
      </c>
      <c r="EZ225" s="12" t="str">
        <f>CONCATENATE("DI",REPLACE($AC225,1,3,""),"-",AG225)</f>
        <v>DI13-B1</v>
      </c>
      <c r="FA225" s="12" t="str">
        <f t="shared" ref="FA225:FD227" si="345">CONCATENATE("DI",REPLACE($AC225,1,3,""),"-",ES225)</f>
        <v>DI13-C2</v>
      </c>
      <c r="FB225" s="12" t="str">
        <f t="shared" si="345"/>
        <v>DI13-B2</v>
      </c>
      <c r="FC225" s="12" t="str">
        <f t="shared" si="345"/>
        <v>DI13-C3</v>
      </c>
      <c r="FD225" s="12" t="str">
        <f t="shared" si="345"/>
        <v>DI13-B3</v>
      </c>
      <c r="FE225" s="12" t="str">
        <f>CONCATENATE("DO",REPLACE($AH225,1,3,""),"-",AK225)</f>
        <v>DO7-1B</v>
      </c>
      <c r="FF225" s="12" t="str">
        <f>CONCATENATE("DO",REPLACE($AH225,1,3,""),"-",AL225)</f>
        <v>DO7-1A</v>
      </c>
      <c r="FG225" s="12" t="str">
        <f>CONCATENATE("DO",REPLACE($AH225,1,3,""),"-",EW225)</f>
        <v>DO7-2B</v>
      </c>
      <c r="FH225" s="12" t="str">
        <f>CONCATENATE("DO",REPLACE($AH225,1,3,""),"-",EX225)</f>
        <v>DO7-2A</v>
      </c>
      <c r="FI225" s="12" t="str">
        <f>CONCATENATE("K",$U225,"-03")</f>
        <v>K72-03</v>
      </c>
      <c r="FJ225" s="12" t="str">
        <f>CONCATENATE("K",$U225,"-04")</f>
        <v>K72-04</v>
      </c>
      <c r="FK225" s="12" t="str">
        <f>CONCATENATE("K",$U225,"-01")</f>
        <v>K72-01</v>
      </c>
      <c r="FL225" s="12" t="str">
        <f>CONCATENATE("K",$U225,"-02")</f>
        <v>K72-02</v>
      </c>
      <c r="FM225" s="12" t="str">
        <f t="shared" ref="FM225:FM229" si="346">CONCATENATE("K",$U225,"-05")</f>
        <v>K72-05</v>
      </c>
      <c r="FN225" s="12" t="str">
        <f>CONCATENATE($T225,"-M",$U225,"-H1")</f>
        <v>F0-M72-H1</v>
      </c>
      <c r="FO225" s="12" t="str">
        <f>CONCATENATE($T225,"-M",$U225,"-A1")</f>
        <v>F0-M72-A1</v>
      </c>
      <c r="FP225" s="12" t="str">
        <f>CONCATENATE($T225,"-M",$U225,"-3")</f>
        <v>F0-M72-3</v>
      </c>
      <c r="FQ225" s="12" t="str">
        <f>CONCATENATE($T225,"-M",$U225,"-2")</f>
        <v>F0-M72-2</v>
      </c>
      <c r="FR225" s="12" t="str">
        <f>CONCATENATE($T225,"-M",$U225,"-16")</f>
        <v>F0-M72-16</v>
      </c>
      <c r="FS225" s="12" t="str">
        <f>CONCATENATE($T225,"-M",$U225,"-15")</f>
        <v>F0-M72-15</v>
      </c>
      <c r="FT225" s="12" t="str">
        <f>CONCATENATE($T225,"-A220-M",$U225,)</f>
        <v>F0-A220-M72</v>
      </c>
      <c r="FU225" s="12" t="str">
        <f t="shared" ref="FU225:FU229" si="347">CONCATENATE($T225,"-M",$U225,"-XM01")</f>
        <v>F0-M72-XM01</v>
      </c>
      <c r="FV225" s="12" t="s">
        <v>142</v>
      </c>
      <c r="FW225" s="12" t="s">
        <v>143</v>
      </c>
      <c r="FX225" s="12">
        <v>11</v>
      </c>
      <c r="FY225" s="12">
        <v>14</v>
      </c>
      <c r="FZ225" s="12" t="s">
        <v>145</v>
      </c>
      <c r="GA225" s="12" t="s">
        <v>144</v>
      </c>
      <c r="GB225" s="12">
        <v>1</v>
      </c>
      <c r="GC225" s="12">
        <v>2</v>
      </c>
      <c r="GD225" s="12">
        <v>3</v>
      </c>
      <c r="GE225" s="12">
        <v>4</v>
      </c>
      <c r="GF225" s="12">
        <v>5</v>
      </c>
      <c r="GG225" s="12">
        <v>6</v>
      </c>
      <c r="GH225" s="12">
        <v>7</v>
      </c>
      <c r="GI225" s="12">
        <v>8</v>
      </c>
      <c r="GJ225" s="12">
        <v>9</v>
      </c>
      <c r="GK225" s="12">
        <v>1</v>
      </c>
      <c r="GL225" s="12">
        <v>2</v>
      </c>
      <c r="GM225" s="12">
        <v>3</v>
      </c>
      <c r="GN225" s="12">
        <v>15</v>
      </c>
      <c r="GO225" s="12">
        <v>16</v>
      </c>
      <c r="GP225" s="12">
        <v>1</v>
      </c>
      <c r="GQ225" s="12">
        <v>2</v>
      </c>
      <c r="GR225" s="12">
        <v>4</v>
      </c>
      <c r="GS225" s="13">
        <v>5</v>
      </c>
    </row>
    <row r="226" spans="1:355" x14ac:dyDescent="0.25">
      <c r="A226" t="s">
        <v>1377</v>
      </c>
      <c r="B226" t="s">
        <v>1384</v>
      </c>
      <c r="P226" t="s">
        <v>1370</v>
      </c>
      <c r="T226" s="27" t="s">
        <v>554</v>
      </c>
      <c r="U226">
        <v>73</v>
      </c>
      <c r="V226" t="s">
        <v>1556</v>
      </c>
      <c r="W226" t="s">
        <v>1559</v>
      </c>
      <c r="AC226" t="s">
        <v>1375</v>
      </c>
      <c r="AF226" t="s">
        <v>369</v>
      </c>
      <c r="AG226" t="s">
        <v>370</v>
      </c>
      <c r="AH226" t="s">
        <v>1376</v>
      </c>
      <c r="AK226" t="s">
        <v>384</v>
      </c>
      <c r="AL226" t="s">
        <v>386</v>
      </c>
      <c r="AM226">
        <v>2</v>
      </c>
      <c r="AN226" t="str">
        <f t="shared" ref="AN226:AN229" si="348">CONCATENATE(AM226,"XT")</f>
        <v>2XT</v>
      </c>
      <c r="AO226" t="str">
        <f t="shared" si="344"/>
        <v>2X</v>
      </c>
      <c r="AP226" t="s">
        <v>137</v>
      </c>
      <c r="AQ226" t="s">
        <v>138</v>
      </c>
      <c r="AT226" t="s">
        <v>139</v>
      </c>
      <c r="AU226" t="s">
        <v>140</v>
      </c>
      <c r="ER226" t="str">
        <f>CONCATENATE("XT",U226)</f>
        <v>XT73</v>
      </c>
      <c r="ES226" t="str">
        <f>CONCATENATE("C",REPLACE(AF226,1,1,"")+1)</f>
        <v>C5</v>
      </c>
      <c r="ET226" t="str">
        <f t="shared" ref="ET226:ET227" si="349">CONCATENATE("B",REPLACE(AG226,1,1,"")+1)</f>
        <v>B5</v>
      </c>
      <c r="EU226" t="str">
        <f t="shared" ref="EU226:EU227" si="350">CONCATENATE("C",REPLACE(ES226,1,1,"")+1)</f>
        <v>C6</v>
      </c>
      <c r="EV226" t="str">
        <f t="shared" ref="EV226:EV227" si="351">CONCATENATE("B",REPLACE(ET226,1,1,"")+1)</f>
        <v>B6</v>
      </c>
      <c r="EW226" t="str">
        <f t="shared" ref="EW226:EW227" si="352">CONCATENATE(REPLACE(AK226,LEN(AK226),1,"")+1,"B")</f>
        <v>4B</v>
      </c>
      <c r="EX226" t="str">
        <f t="shared" ref="EX226:EX227" si="353">CONCATENATE(REPLACE(AL226,LEN(AL226),1,"")+1,"A")</f>
        <v>4A</v>
      </c>
      <c r="EY226" t="str">
        <f>CONCATENATE("DI",REPLACE($AC226,1,3,""),"-",AF226)</f>
        <v>DI13-C4</v>
      </c>
      <c r="EZ226" t="str">
        <f t="shared" ref="EZ226:EZ229" si="354">CONCATENATE("DI",REPLACE($AC226,1,3,""),"-",AG226)</f>
        <v>DI13-B4</v>
      </c>
      <c r="FA226" t="str">
        <f t="shared" si="345"/>
        <v>DI13-C5</v>
      </c>
      <c r="FB226" t="str">
        <f t="shared" si="345"/>
        <v>DI13-B5</v>
      </c>
      <c r="FC226" t="str">
        <f t="shared" si="345"/>
        <v>DI13-C6</v>
      </c>
      <c r="FD226" t="str">
        <f t="shared" si="345"/>
        <v>DI13-B6</v>
      </c>
      <c r="FE226" t="str">
        <f t="shared" ref="FE226:FF229" si="355">CONCATENATE("DO",REPLACE($AH226,1,3,""),"-",AK226)</f>
        <v>DO7-3B</v>
      </c>
      <c r="FF226" t="str">
        <f t="shared" si="355"/>
        <v>DO7-3A</v>
      </c>
      <c r="FG226" t="str">
        <f t="shared" ref="FG226:FH227" si="356">CONCATENATE("DO",REPLACE($AH226,1,3,""),"-",EW226)</f>
        <v>DO7-4B</v>
      </c>
      <c r="FH226" t="str">
        <f t="shared" si="356"/>
        <v>DO7-4A</v>
      </c>
      <c r="FI226" t="str">
        <f t="shared" ref="FI226:FI229" si="357">CONCATENATE("K",$U226,"-03")</f>
        <v>K73-03</v>
      </c>
      <c r="FJ226" t="str">
        <f t="shared" ref="FJ226:FJ227" si="358">CONCATENATE("K",$U226,"-04")</f>
        <v>K73-04</v>
      </c>
      <c r="FK226" t="str">
        <f t="shared" ref="FK226:FK227" si="359">CONCATENATE("K",$U226,"-01")</f>
        <v>K73-01</v>
      </c>
      <c r="FL226" t="str">
        <f t="shared" ref="FL226:FL227" si="360">CONCATENATE("K",$U226,"-02")</f>
        <v>K73-02</v>
      </c>
      <c r="FM226" t="str">
        <f t="shared" si="346"/>
        <v>K73-05</v>
      </c>
      <c r="FN226" t="str">
        <f t="shared" ref="FN226:FN229" si="361">CONCATENATE($T226,"-M",$U226,"-H1")</f>
        <v>F0-M73-H1</v>
      </c>
      <c r="FO226" t="str">
        <f t="shared" ref="FO226:FO229" si="362">CONCATENATE($T226,"-M",$U226,"-A1")</f>
        <v>F0-M73-A1</v>
      </c>
      <c r="FP226" t="str">
        <f t="shared" ref="FP226:FP229" si="363">CONCATENATE($T226,"-M",$U226,"-3")</f>
        <v>F0-M73-3</v>
      </c>
      <c r="FQ226" t="str">
        <f t="shared" ref="FQ226:FQ227" si="364">CONCATENATE($T226,"-M",$U226,"-2")</f>
        <v>F0-M73-2</v>
      </c>
      <c r="FR226" t="str">
        <f t="shared" ref="FR226:FR227" si="365">CONCATENATE($T226,"-M",$U226,"-16")</f>
        <v>F0-M73-16</v>
      </c>
      <c r="FS226" t="str">
        <f t="shared" ref="FS226:FS227" si="366">CONCATENATE($T226,"-M",$U226,"-15")</f>
        <v>F0-M73-15</v>
      </c>
      <c r="FT226" t="str">
        <f t="shared" ref="FT226:FT229" si="367">CONCATENATE($T226,"-A220-M",$U226,)</f>
        <v>F0-A220-M73</v>
      </c>
      <c r="FU226" t="str">
        <f t="shared" si="347"/>
        <v>F0-M73-XM01</v>
      </c>
      <c r="FV226" t="s">
        <v>142</v>
      </c>
      <c r="FW226" t="s">
        <v>143</v>
      </c>
      <c r="FX226">
        <v>11</v>
      </c>
      <c r="FY226">
        <v>14</v>
      </c>
      <c r="FZ226" t="s">
        <v>145</v>
      </c>
      <c r="GA226" t="s">
        <v>144</v>
      </c>
      <c r="GB226">
        <v>1</v>
      </c>
      <c r="GC226">
        <v>2</v>
      </c>
      <c r="GD226">
        <v>3</v>
      </c>
      <c r="GE226">
        <v>4</v>
      </c>
      <c r="GF226">
        <v>5</v>
      </c>
      <c r="GG226">
        <v>6</v>
      </c>
      <c r="GH226">
        <v>7</v>
      </c>
      <c r="GI226">
        <v>8</v>
      </c>
      <c r="GJ226">
        <v>9</v>
      </c>
      <c r="GK226">
        <v>1</v>
      </c>
      <c r="GL226">
        <v>2</v>
      </c>
      <c r="GM226">
        <v>3</v>
      </c>
      <c r="GN226">
        <v>15</v>
      </c>
      <c r="GO226">
        <v>16</v>
      </c>
      <c r="GP226">
        <v>1</v>
      </c>
      <c r="GQ226">
        <v>2</v>
      </c>
      <c r="GR226">
        <v>4</v>
      </c>
      <c r="GS226">
        <v>5</v>
      </c>
    </row>
    <row r="227" spans="1:355" x14ac:dyDescent="0.25">
      <c r="A227" t="s">
        <v>1381</v>
      </c>
      <c r="B227" t="s">
        <v>1385</v>
      </c>
      <c r="P227" t="s">
        <v>1370</v>
      </c>
      <c r="T227" s="27" t="s">
        <v>554</v>
      </c>
      <c r="U227">
        <v>74</v>
      </c>
      <c r="V227" t="s">
        <v>1554</v>
      </c>
      <c r="W227" t="s">
        <v>1561</v>
      </c>
      <c r="AC227" t="s">
        <v>1375</v>
      </c>
      <c r="AF227" t="s">
        <v>148</v>
      </c>
      <c r="AG227" t="s">
        <v>149</v>
      </c>
      <c r="AH227" t="s">
        <v>1376</v>
      </c>
      <c r="AK227" t="s">
        <v>385</v>
      </c>
      <c r="AL227" t="s">
        <v>387</v>
      </c>
      <c r="AM227">
        <v>3</v>
      </c>
      <c r="AN227" t="str">
        <f t="shared" si="348"/>
        <v>3XT</v>
      </c>
      <c r="AO227" t="str">
        <f t="shared" si="344"/>
        <v>3X</v>
      </c>
      <c r="AP227" t="s">
        <v>137</v>
      </c>
      <c r="AQ227" t="s">
        <v>138</v>
      </c>
      <c r="AT227" t="s">
        <v>139</v>
      </c>
      <c r="AU227" t="s">
        <v>140</v>
      </c>
      <c r="ER227" t="str">
        <f>CONCATENATE("XT",U227)</f>
        <v>XT74</v>
      </c>
      <c r="ES227" t="str">
        <f>CONCATENATE("C",REPLACE(AF227,1,1,"")+1)</f>
        <v>C8</v>
      </c>
      <c r="ET227" t="str">
        <f t="shared" si="349"/>
        <v>B8</v>
      </c>
      <c r="EU227" t="str">
        <f t="shared" si="350"/>
        <v>C9</v>
      </c>
      <c r="EV227" t="str">
        <f t="shared" si="351"/>
        <v>B9</v>
      </c>
      <c r="EW227" t="str">
        <f t="shared" si="352"/>
        <v>6B</v>
      </c>
      <c r="EX227" t="str">
        <f t="shared" si="353"/>
        <v>6A</v>
      </c>
      <c r="EY227" t="str">
        <f>CONCATENATE("DI",REPLACE($AC227,1,3,""),"-",AF227)</f>
        <v>DI13-C7</v>
      </c>
      <c r="EZ227" t="str">
        <f t="shared" si="354"/>
        <v>DI13-B7</v>
      </c>
      <c r="FA227" t="str">
        <f t="shared" si="345"/>
        <v>DI13-C8</v>
      </c>
      <c r="FB227" t="str">
        <f t="shared" si="345"/>
        <v>DI13-B8</v>
      </c>
      <c r="FC227" t="str">
        <f t="shared" si="345"/>
        <v>DI13-C9</v>
      </c>
      <c r="FD227" t="str">
        <f t="shared" si="345"/>
        <v>DI13-B9</v>
      </c>
      <c r="FE227" t="str">
        <f t="shared" si="355"/>
        <v>DO7-5B</v>
      </c>
      <c r="FF227" t="str">
        <f t="shared" si="355"/>
        <v>DO7-5A</v>
      </c>
      <c r="FG227" t="str">
        <f t="shared" si="356"/>
        <v>DO7-6B</v>
      </c>
      <c r="FH227" t="str">
        <f t="shared" si="356"/>
        <v>DO7-6A</v>
      </c>
      <c r="FI227" t="str">
        <f t="shared" si="357"/>
        <v>K74-03</v>
      </c>
      <c r="FJ227" t="str">
        <f t="shared" si="358"/>
        <v>K74-04</v>
      </c>
      <c r="FK227" t="str">
        <f t="shared" si="359"/>
        <v>K74-01</v>
      </c>
      <c r="FL227" t="str">
        <f t="shared" si="360"/>
        <v>K74-02</v>
      </c>
      <c r="FM227" t="str">
        <f t="shared" si="346"/>
        <v>K74-05</v>
      </c>
      <c r="FN227" t="str">
        <f t="shared" si="361"/>
        <v>F0-M74-H1</v>
      </c>
      <c r="FO227" t="str">
        <f t="shared" si="362"/>
        <v>F0-M74-A1</v>
      </c>
      <c r="FP227" t="str">
        <f t="shared" si="363"/>
        <v>F0-M74-3</v>
      </c>
      <c r="FQ227" t="str">
        <f t="shared" si="364"/>
        <v>F0-M74-2</v>
      </c>
      <c r="FR227" t="str">
        <f t="shared" si="365"/>
        <v>F0-M74-16</v>
      </c>
      <c r="FS227" t="str">
        <f t="shared" si="366"/>
        <v>F0-M74-15</v>
      </c>
      <c r="FT227" t="str">
        <f t="shared" si="367"/>
        <v>F0-A220-M74</v>
      </c>
      <c r="FU227" t="str">
        <f t="shared" si="347"/>
        <v>F0-M74-XM01</v>
      </c>
      <c r="FV227" t="s">
        <v>142</v>
      </c>
      <c r="FW227" t="s">
        <v>143</v>
      </c>
      <c r="FX227">
        <v>11</v>
      </c>
      <c r="FY227">
        <v>14</v>
      </c>
      <c r="FZ227" t="s">
        <v>145</v>
      </c>
      <c r="GA227" t="s">
        <v>144</v>
      </c>
      <c r="GB227">
        <v>1</v>
      </c>
      <c r="GC227">
        <v>2</v>
      </c>
      <c r="GD227">
        <v>3</v>
      </c>
      <c r="GE227">
        <v>4</v>
      </c>
      <c r="GF227">
        <v>5</v>
      </c>
      <c r="GG227">
        <v>6</v>
      </c>
      <c r="GH227">
        <v>7</v>
      </c>
      <c r="GI227">
        <v>8</v>
      </c>
      <c r="GJ227">
        <v>9</v>
      </c>
      <c r="GK227">
        <v>1</v>
      </c>
      <c r="GL227">
        <v>2</v>
      </c>
      <c r="GM227">
        <v>3</v>
      </c>
      <c r="GN227">
        <v>15</v>
      </c>
      <c r="GO227">
        <v>16</v>
      </c>
      <c r="GP227">
        <v>1</v>
      </c>
      <c r="GQ227">
        <v>2</v>
      </c>
      <c r="GR227">
        <v>4</v>
      </c>
      <c r="GS227">
        <v>5</v>
      </c>
    </row>
    <row r="228" spans="1:355" x14ac:dyDescent="0.25">
      <c r="A228" t="s">
        <v>1391</v>
      </c>
      <c r="B228" t="s">
        <v>1389</v>
      </c>
      <c r="P228" t="s">
        <v>1393</v>
      </c>
      <c r="T228" s="27" t="s">
        <v>554</v>
      </c>
      <c r="U228">
        <v>75</v>
      </c>
      <c r="V228" t="s">
        <v>1557</v>
      </c>
      <c r="W228" t="s">
        <v>1560</v>
      </c>
      <c r="AC228" t="s">
        <v>1375</v>
      </c>
      <c r="AF228" t="s">
        <v>377</v>
      </c>
      <c r="AG228" t="s">
        <v>378</v>
      </c>
      <c r="AH228" t="s">
        <v>1376</v>
      </c>
      <c r="AK228" t="s">
        <v>245</v>
      </c>
      <c r="AL228" t="s">
        <v>246</v>
      </c>
      <c r="AM228">
        <v>4</v>
      </c>
      <c r="AN228" t="str">
        <f t="shared" si="348"/>
        <v>4XT</v>
      </c>
      <c r="AO228" t="str">
        <f t="shared" si="344"/>
        <v>4X</v>
      </c>
      <c r="AP228" t="s">
        <v>137</v>
      </c>
      <c r="AQ228" t="s">
        <v>138</v>
      </c>
      <c r="AT228" t="s">
        <v>854</v>
      </c>
      <c r="AU228" t="s">
        <v>1399</v>
      </c>
      <c r="ER228" t="str">
        <f>CONCATENATE("XT",U228)</f>
        <v>XT75</v>
      </c>
      <c r="EY228" t="str">
        <f>CONCATENATE("DI",REPLACE($AC228,1,3,""),"-",AF228)</f>
        <v>DI13-C10</v>
      </c>
      <c r="EZ228" t="str">
        <f t="shared" si="354"/>
        <v>DI13-B10</v>
      </c>
      <c r="FE228" t="str">
        <f t="shared" si="355"/>
        <v>DO7-7B</v>
      </c>
      <c r="FF228" t="str">
        <f t="shared" si="355"/>
        <v>DO7-7A</v>
      </c>
      <c r="FI228" t="str">
        <f t="shared" si="357"/>
        <v>K75-03</v>
      </c>
      <c r="FM228" t="str">
        <f t="shared" si="346"/>
        <v>K75-05</v>
      </c>
      <c r="FN228" t="str">
        <f t="shared" si="361"/>
        <v>F0-M75-H1</v>
      </c>
      <c r="FO228" t="str">
        <f t="shared" si="362"/>
        <v>F0-M75-A1</v>
      </c>
      <c r="FP228" t="str">
        <f t="shared" si="363"/>
        <v>F0-M75-3</v>
      </c>
      <c r="FT228" t="str">
        <f t="shared" si="367"/>
        <v>F0-A220-M75</v>
      </c>
      <c r="FU228" t="str">
        <f t="shared" si="347"/>
        <v>F0-M75-XM01</v>
      </c>
      <c r="FV228" t="s">
        <v>142</v>
      </c>
      <c r="FW228" t="s">
        <v>143</v>
      </c>
      <c r="FX228">
        <v>11</v>
      </c>
      <c r="FY228">
        <v>14</v>
      </c>
      <c r="FZ228" t="s">
        <v>145</v>
      </c>
      <c r="GA228" t="s">
        <v>144</v>
      </c>
      <c r="GB228">
        <v>1</v>
      </c>
      <c r="GC228">
        <v>2</v>
      </c>
      <c r="GD228">
        <v>3</v>
      </c>
      <c r="GE228">
        <v>4</v>
      </c>
      <c r="GF228">
        <v>5</v>
      </c>
      <c r="GG228">
        <v>6</v>
      </c>
      <c r="GH228">
        <v>7</v>
      </c>
      <c r="GI228">
        <v>8</v>
      </c>
      <c r="GJ228">
        <v>9</v>
      </c>
      <c r="GK228">
        <v>1</v>
      </c>
      <c r="GL228">
        <v>2</v>
      </c>
      <c r="GM228">
        <v>3</v>
      </c>
      <c r="GN228">
        <v>15</v>
      </c>
      <c r="GO228">
        <v>16</v>
      </c>
      <c r="GP228">
        <v>1</v>
      </c>
      <c r="GQ228">
        <v>2</v>
      </c>
      <c r="GR228">
        <v>4</v>
      </c>
      <c r="GS228">
        <v>5</v>
      </c>
    </row>
    <row r="229" spans="1:355" ht="15.75" customHeight="1" thickBot="1" x14ac:dyDescent="0.3">
      <c r="A229" t="s">
        <v>1392</v>
      </c>
      <c r="B229" t="s">
        <v>1390</v>
      </c>
      <c r="P229" t="s">
        <v>1393</v>
      </c>
      <c r="T229" s="27" t="s">
        <v>554</v>
      </c>
      <c r="U229">
        <v>76</v>
      </c>
      <c r="V229" t="s">
        <v>1558</v>
      </c>
      <c r="W229" t="s">
        <v>1562</v>
      </c>
      <c r="AC229" t="s">
        <v>1375</v>
      </c>
      <c r="AF229" t="s">
        <v>1394</v>
      </c>
      <c r="AG229" t="s">
        <v>1395</v>
      </c>
      <c r="AH229" t="s">
        <v>1376</v>
      </c>
      <c r="AK229" t="s">
        <v>1396</v>
      </c>
      <c r="AL229" t="s">
        <v>1397</v>
      </c>
      <c r="AM229">
        <v>5</v>
      </c>
      <c r="AN229" t="str">
        <f t="shared" si="348"/>
        <v>5XT</v>
      </c>
      <c r="AO229" t="str">
        <f t="shared" si="344"/>
        <v>5X</v>
      </c>
      <c r="AP229" t="s">
        <v>137</v>
      </c>
      <c r="AQ229" t="s">
        <v>138</v>
      </c>
      <c r="AT229" t="s">
        <v>854</v>
      </c>
      <c r="AU229" t="s">
        <v>1399</v>
      </c>
      <c r="ER229" t="str">
        <f>CONCATENATE("XT",U229)</f>
        <v>XT76</v>
      </c>
      <c r="EY229" t="str">
        <f>CONCATENATE("DI",REPLACE($AC229,1,3,""),"-",AF229)</f>
        <v>DI13-C11</v>
      </c>
      <c r="EZ229" t="str">
        <f t="shared" si="354"/>
        <v>DI13-B11</v>
      </c>
      <c r="FE229" t="str">
        <f t="shared" si="355"/>
        <v>DO7-8B</v>
      </c>
      <c r="FF229" t="str">
        <f t="shared" si="355"/>
        <v>DO7-8A</v>
      </c>
      <c r="FI229" t="str">
        <f t="shared" si="357"/>
        <v>K76-03</v>
      </c>
      <c r="FM229" t="str">
        <f t="shared" si="346"/>
        <v>K76-05</v>
      </c>
      <c r="FN229" t="str">
        <f t="shared" si="361"/>
        <v>F0-M76-H1</v>
      </c>
      <c r="FO229" t="str">
        <f t="shared" si="362"/>
        <v>F0-M76-A1</v>
      </c>
      <c r="FP229" t="str">
        <f t="shared" si="363"/>
        <v>F0-M76-3</v>
      </c>
      <c r="FT229" t="str">
        <f t="shared" si="367"/>
        <v>F0-A220-M76</v>
      </c>
      <c r="FU229" t="str">
        <f t="shared" si="347"/>
        <v>F0-M76-XM01</v>
      </c>
      <c r="FV229" t="s">
        <v>142</v>
      </c>
      <c r="FW229" t="s">
        <v>143</v>
      </c>
      <c r="FX229">
        <v>11</v>
      </c>
      <c r="FY229">
        <v>14</v>
      </c>
      <c r="FZ229" t="s">
        <v>145</v>
      </c>
      <c r="GA229" t="s">
        <v>144</v>
      </c>
      <c r="GB229">
        <v>1</v>
      </c>
      <c r="GC229">
        <v>2</v>
      </c>
      <c r="GD229">
        <v>3</v>
      </c>
      <c r="GE229">
        <v>4</v>
      </c>
      <c r="GF229">
        <v>5</v>
      </c>
      <c r="GG229">
        <v>6</v>
      </c>
      <c r="GH229">
        <v>7</v>
      </c>
      <c r="GI229">
        <v>8</v>
      </c>
      <c r="GJ229">
        <v>9</v>
      </c>
      <c r="GK229">
        <v>1</v>
      </c>
      <c r="GL229">
        <v>2</v>
      </c>
      <c r="GM229">
        <v>3</v>
      </c>
      <c r="GN229">
        <v>15</v>
      </c>
      <c r="GO229">
        <v>16</v>
      </c>
      <c r="GP229">
        <v>1</v>
      </c>
      <c r="GQ229">
        <v>2</v>
      </c>
      <c r="GR229">
        <v>4</v>
      </c>
      <c r="GS229">
        <v>5</v>
      </c>
    </row>
    <row r="230" spans="1:355" ht="15.75" thickBot="1" x14ac:dyDescent="0.3">
      <c r="A230" t="s">
        <v>1914</v>
      </c>
      <c r="B230" t="s">
        <v>1402</v>
      </c>
      <c r="P230" t="s">
        <v>1378</v>
      </c>
      <c r="T230" s="14" t="s">
        <v>554</v>
      </c>
      <c r="U230">
        <v>77</v>
      </c>
      <c r="V230" t="s">
        <v>1672</v>
      </c>
      <c r="Y230" s="43"/>
      <c r="Z230" s="46"/>
      <c r="AC230" t="s">
        <v>1375</v>
      </c>
      <c r="AF230" t="s">
        <v>153</v>
      </c>
      <c r="AG230" t="s">
        <v>154</v>
      </c>
      <c r="AP230" t="s">
        <v>137</v>
      </c>
      <c r="AQ230" t="s">
        <v>1404</v>
      </c>
      <c r="AT230" t="s">
        <v>854</v>
      </c>
      <c r="LT230" t="s">
        <v>1405</v>
      </c>
      <c r="LW230" s="25" t="str">
        <f>CONCATENATE("XT",U230)</f>
        <v>XT77</v>
      </c>
      <c r="LX230" s="12" t="str">
        <f>CONCATENATE("DI",REPLACE($AC230,1,3,""),"-",$AF230)</f>
        <v>DI13-C13</v>
      </c>
      <c r="LY230" s="12" t="s">
        <v>910</v>
      </c>
      <c r="LZ230" s="12" t="s">
        <v>1417</v>
      </c>
      <c r="MA230" s="12">
        <v>11</v>
      </c>
      <c r="MB230" s="12">
        <v>14</v>
      </c>
      <c r="MC230" s="12" t="s">
        <v>142</v>
      </c>
      <c r="MD230" s="12" t="s">
        <v>143</v>
      </c>
      <c r="ME230" s="12" t="s">
        <v>488</v>
      </c>
      <c r="MF230" s="12" t="s">
        <v>487</v>
      </c>
      <c r="MG230" s="12" t="s">
        <v>414</v>
      </c>
      <c r="MH230" s="12" t="s">
        <v>413</v>
      </c>
      <c r="MI230" s="12">
        <v>1</v>
      </c>
      <c r="MJ230" s="12">
        <f t="shared" ref="MJ230" si="368">MI230+1</f>
        <v>2</v>
      </c>
      <c r="MK230" s="12"/>
      <c r="ML230" s="12"/>
      <c r="MM230" s="12"/>
      <c r="MN230" s="12"/>
      <c r="MO230" s="12">
        <v>1</v>
      </c>
      <c r="MP230" s="12">
        <v>2</v>
      </c>
      <c r="MQ230" s="13"/>
    </row>
    <row r="231" spans="1:355" ht="15.75" thickBot="1" x14ac:dyDescent="0.3">
      <c r="A231" t="s">
        <v>1915</v>
      </c>
      <c r="B231" t="s">
        <v>1411</v>
      </c>
      <c r="P231" t="s">
        <v>1378</v>
      </c>
      <c r="T231" s="14" t="s">
        <v>554</v>
      </c>
      <c r="U231">
        <v>77</v>
      </c>
      <c r="V231" t="s">
        <v>1673</v>
      </c>
      <c r="Y231" s="43"/>
      <c r="Z231" s="46"/>
      <c r="AC231" t="s">
        <v>1375</v>
      </c>
      <c r="AF231" t="s">
        <v>1406</v>
      </c>
      <c r="AG231" t="s">
        <v>1407</v>
      </c>
      <c r="AP231" t="s">
        <v>137</v>
      </c>
      <c r="AQ231" t="s">
        <v>1408</v>
      </c>
      <c r="AT231" t="s">
        <v>854</v>
      </c>
      <c r="LT231" t="s">
        <v>1405</v>
      </c>
      <c r="LW231" s="25" t="str">
        <f>CONCATENATE("XT",U231)</f>
        <v>XT77</v>
      </c>
      <c r="LX231" s="12" t="str">
        <f>CONCATENATE("DI",REPLACE($AC231,1,3,""),"-",$AF231)</f>
        <v>DI13-C14</v>
      </c>
      <c r="LY231" s="12" t="s">
        <v>911</v>
      </c>
      <c r="LZ231" s="12" t="s">
        <v>1418</v>
      </c>
      <c r="MA231" s="12">
        <v>11</v>
      </c>
      <c r="MB231" s="12">
        <v>14</v>
      </c>
      <c r="MC231" s="12" t="s">
        <v>142</v>
      </c>
      <c r="MD231" s="12" t="s">
        <v>143</v>
      </c>
      <c r="ME231" s="12" t="s">
        <v>488</v>
      </c>
      <c r="MF231" s="12" t="s">
        <v>487</v>
      </c>
      <c r="MG231" s="12" t="s">
        <v>414</v>
      </c>
      <c r="MH231" s="12" t="s">
        <v>413</v>
      </c>
      <c r="MI231" s="12">
        <v>3</v>
      </c>
      <c r="MJ231" s="12">
        <v>4</v>
      </c>
      <c r="MK231" s="12"/>
      <c r="ML231" s="12"/>
      <c r="MM231" s="12"/>
      <c r="MN231" s="12"/>
      <c r="MO231" s="12">
        <v>1</v>
      </c>
      <c r="MP231" s="12">
        <v>2</v>
      </c>
      <c r="MQ231" s="13"/>
    </row>
    <row r="232" spans="1:355" x14ac:dyDescent="0.25">
      <c r="A232" t="s">
        <v>1916</v>
      </c>
      <c r="B232" t="s">
        <v>1412</v>
      </c>
      <c r="P232" t="s">
        <v>1378</v>
      </c>
      <c r="T232" s="14" t="s">
        <v>554</v>
      </c>
      <c r="U232">
        <v>77</v>
      </c>
      <c r="V232" t="s">
        <v>1674</v>
      </c>
      <c r="Y232" s="43"/>
      <c r="Z232" s="46"/>
      <c r="AC232" t="s">
        <v>1375</v>
      </c>
      <c r="AF232" t="s">
        <v>1409</v>
      </c>
      <c r="AG232" t="s">
        <v>1410</v>
      </c>
      <c r="AP232" t="s">
        <v>137</v>
      </c>
      <c r="AQ232" t="s">
        <v>1415</v>
      </c>
      <c r="AT232" t="s">
        <v>854</v>
      </c>
      <c r="LT232" t="s">
        <v>1405</v>
      </c>
      <c r="LW232" s="25" t="str">
        <f>CONCATENATE("XT",U232)</f>
        <v>XT77</v>
      </c>
      <c r="LX232" s="12" t="str">
        <f>CONCATENATE("DI",REPLACE($AC232,1,3,""),"-",$AF232)</f>
        <v>DI13-C15</v>
      </c>
      <c r="LY232" s="12" t="s">
        <v>1416</v>
      </c>
      <c r="LZ232" s="12" t="s">
        <v>1419</v>
      </c>
      <c r="MA232" s="12">
        <v>11</v>
      </c>
      <c r="MB232" s="12">
        <v>14</v>
      </c>
      <c r="MC232" s="12" t="s">
        <v>142</v>
      </c>
      <c r="MD232" s="12" t="s">
        <v>143</v>
      </c>
      <c r="ME232" s="12" t="s">
        <v>488</v>
      </c>
      <c r="MF232" s="12" t="s">
        <v>487</v>
      </c>
      <c r="MG232" s="12" t="s">
        <v>414</v>
      </c>
      <c r="MH232" s="12" t="s">
        <v>413</v>
      </c>
      <c r="MI232" s="12">
        <v>5</v>
      </c>
      <c r="MJ232" s="12">
        <v>6</v>
      </c>
      <c r="MK232" s="12"/>
      <c r="ML232" s="12"/>
      <c r="MM232" s="12"/>
      <c r="MN232" s="12"/>
      <c r="MO232" s="12">
        <v>1</v>
      </c>
      <c r="MP232" s="12">
        <v>2</v>
      </c>
      <c r="MQ232" s="13"/>
    </row>
    <row r="233" spans="1:355" x14ac:dyDescent="0.25">
      <c r="A233" t="s">
        <v>1677</v>
      </c>
      <c r="B233" t="s">
        <v>1679</v>
      </c>
      <c r="C233" t="s">
        <v>498</v>
      </c>
      <c r="P233" t="s">
        <v>482</v>
      </c>
      <c r="T233" s="14" t="s">
        <v>554</v>
      </c>
      <c r="U233">
        <v>78</v>
      </c>
      <c r="V233" t="s">
        <v>1675</v>
      </c>
      <c r="X233" t="s">
        <v>1366</v>
      </c>
      <c r="Y233" s="43" t="str" cm="1">
        <f t="array" ref="Y233">IF(COUNTIFS($X$2:$X233,$X233)=1,"1",VALUE(SUBSTITUTE(INDEX(Y:Y,_xlfn.XMATCH($X233,$X$1:$X232,0,-1)),"A",""))+INDEX(Z:Z,_xlfn.XMATCH($X233,$X$1:$X232,0,-1))+1)</f>
        <v>1</v>
      </c>
      <c r="Z233" s="43" cm="1">
        <f t="array" ref="Z233">SUM(IF(ISNUMBER(FIND("TmAi",$BE$1:$AAD$1)),IF(IFERROR(ISODD(SUBSTITUTE($BE233:$AAD233,"A","")),FALSE),IF(ISODD(SUBSTITUTE($BE233:$AAD233,"A","")),1,0),0)))</f>
        <v>0</v>
      </c>
      <c r="AA233" t="str">
        <f t="shared" ref="AA233:AA266" si="369">CONCATENATE($Y233*2-1,"B")</f>
        <v>1B</v>
      </c>
      <c r="AB233" t="str">
        <f t="shared" ref="AB233:AB266" si="370">CONCATENATE($Y233*2,"B")</f>
        <v>2B</v>
      </c>
      <c r="AP233" t="s">
        <v>137</v>
      </c>
      <c r="AS233" t="s">
        <v>396</v>
      </c>
      <c r="JZ233" s="27" t="str">
        <f t="shared" ref="JZ233:JZ266" si="371">CONCATENATE("XT",U233)</f>
        <v>XT78</v>
      </c>
      <c r="KC233" t="str">
        <f t="shared" ref="KC233:KC266" si="372">CONCATENATE(T233,"-AI",REPLACE($X233,1,3,""),"-",AA233)</f>
        <v>F0-AI28-1B</v>
      </c>
      <c r="KD233" t="str">
        <f t="shared" ref="KD233:KD266" si="373">CONCATENATE(T233,"-AI",REPLACE($X233,1,3,""),"-",AB233)</f>
        <v>F0-AI28-2B</v>
      </c>
      <c r="KI233" cm="1">
        <f t="array" ref="KI233">IF(COUNTIFS($U$2:$U233,$U233)=1,1,INDEX(KI:KI,_xlfn.XMATCH(U233,U$1:U232,0,-1))+COUNT(KI232:KM232))</f>
        <v>1</v>
      </c>
      <c r="KJ233">
        <f>KI233+1</f>
        <v>2</v>
      </c>
      <c r="KK233">
        <f>KJ233+1</f>
        <v>3</v>
      </c>
      <c r="KN233">
        <v>1</v>
      </c>
      <c r="KO233" s="16">
        <v>2</v>
      </c>
      <c r="KS233" s="16"/>
    </row>
    <row r="234" spans="1:355" x14ac:dyDescent="0.25">
      <c r="A234" t="s">
        <v>1678</v>
      </c>
      <c r="B234" s="33" t="s">
        <v>1680</v>
      </c>
      <c r="C234" t="s">
        <v>492</v>
      </c>
      <c r="P234" t="s">
        <v>482</v>
      </c>
      <c r="T234" s="14" t="s">
        <v>554</v>
      </c>
      <c r="U234">
        <v>78</v>
      </c>
      <c r="V234" t="s">
        <v>1676</v>
      </c>
      <c r="X234" t="str">
        <f>IF(COUNTIF(X$1:X233,X233)&gt;7,REPLACE(X233,LEN(X233),1,VALUE(RIGHT(X233,1))+1),X233)</f>
        <v>A3.28</v>
      </c>
      <c r="Y234" s="43" cm="1">
        <f t="array" ref="Y234">IF(COUNTIFS($X$2:$X234,$X234)=1,"1",VALUE(SUBSTITUTE(INDEX(Y:Y,_xlfn.XMATCH($X234,$X$1:$X233,0,-1)),"A",""))+INDEX(Z:Z,_xlfn.XMATCH($X234,$X$1:$X233,0,-1))+1)</f>
        <v>2</v>
      </c>
      <c r="Z234" s="43" cm="1">
        <f t="array" ref="Z234">SUM(IF(ISNUMBER(FIND("TmAi",$BE$1:$AAD$1)),IF(IFERROR(ISODD(SUBSTITUTE($BE234:$AAD234,"A","")),FALSE),IF(ISODD(SUBSTITUTE($BE234:$AAD234,"A","")),1,0),0)))</f>
        <v>0</v>
      </c>
      <c r="AA234" t="str">
        <f t="shared" si="369"/>
        <v>3B</v>
      </c>
      <c r="AB234" t="str">
        <f t="shared" si="370"/>
        <v>4B</v>
      </c>
      <c r="AP234" t="s">
        <v>137</v>
      </c>
      <c r="AS234" t="s">
        <v>396</v>
      </c>
      <c r="JZ234" s="27" t="str">
        <f t="shared" si="371"/>
        <v>XT78</v>
      </c>
      <c r="KC234" t="str">
        <f t="shared" si="372"/>
        <v>F0-AI28-3B</v>
      </c>
      <c r="KD234" t="str">
        <f t="shared" si="373"/>
        <v>F0-AI28-4B</v>
      </c>
      <c r="KI234" cm="1">
        <f t="array" ref="KI234">IF(COUNTIFS($U$2:$U234,$U234)=1,1,INDEX(KI:KI,_xlfn.XMATCH(U234,U$1:U233,0,-1))+COUNT(KI233:KM233))</f>
        <v>4</v>
      </c>
      <c r="KJ234">
        <f t="shared" ref="KJ234:KK249" si="374">KI234+1</f>
        <v>5</v>
      </c>
      <c r="KK234">
        <f t="shared" si="374"/>
        <v>6</v>
      </c>
      <c r="KN234">
        <v>1</v>
      </c>
      <c r="KO234" s="16">
        <v>2</v>
      </c>
      <c r="KS234" s="16"/>
    </row>
    <row r="235" spans="1:355" x14ac:dyDescent="0.25">
      <c r="A235" t="s">
        <v>1685</v>
      </c>
      <c r="B235" t="s">
        <v>1689</v>
      </c>
      <c r="C235" t="s">
        <v>498</v>
      </c>
      <c r="P235" t="s">
        <v>482</v>
      </c>
      <c r="T235" s="14" t="s">
        <v>554</v>
      </c>
      <c r="U235">
        <v>79</v>
      </c>
      <c r="V235" t="s">
        <v>1681</v>
      </c>
      <c r="X235" t="s">
        <v>1693</v>
      </c>
      <c r="Y235" s="43" t="str" cm="1">
        <f t="array" ref="Y235">IF(COUNTIFS($X$2:$X235,$X235)=1,"1",VALUE(SUBSTITUTE(INDEX(Y:Y,_xlfn.XMATCH($X235,$X$1:$X234,0,-1)),"A",""))+INDEX(Z:Z,_xlfn.XMATCH($X235,$X$1:$X234,0,-1))+1)</f>
        <v>1</v>
      </c>
      <c r="Z235" s="43" cm="1">
        <f t="array" ref="Z235">SUM(IF(ISNUMBER(FIND("TmAi",$BE$1:$AAD$1)),IF(IFERROR(ISODD(SUBSTITUTE($BE235:$AAD235,"A","")),FALSE),IF(ISODD(SUBSTITUTE($BE235:$AAD235,"A","")),1,0),0)))</f>
        <v>0</v>
      </c>
      <c r="AA235" t="str">
        <f t="shared" si="369"/>
        <v>1B</v>
      </c>
      <c r="AB235" t="str">
        <f t="shared" si="370"/>
        <v>2B</v>
      </c>
      <c r="AP235" t="s">
        <v>137</v>
      </c>
      <c r="AS235" t="s">
        <v>396</v>
      </c>
      <c r="JZ235" s="27" t="str">
        <f t="shared" si="371"/>
        <v>XT79</v>
      </c>
      <c r="KC235" t="str">
        <f t="shared" si="372"/>
        <v>F0-AI29-1B</v>
      </c>
      <c r="KD235" t="str">
        <f t="shared" si="373"/>
        <v>F0-AI29-2B</v>
      </c>
      <c r="KI235" cm="1">
        <f t="array" ref="KI235">IF(COUNTIFS($U$2:$U235,$U235)=1,1,INDEX(KI:KI,_xlfn.XMATCH(U235,U$1:U234,0,-1))+COUNT(KI234:KM234))</f>
        <v>1</v>
      </c>
      <c r="KJ235">
        <f t="shared" si="374"/>
        <v>2</v>
      </c>
      <c r="KK235">
        <f t="shared" si="374"/>
        <v>3</v>
      </c>
      <c r="KN235">
        <v>1</v>
      </c>
      <c r="KO235" s="16">
        <v>2</v>
      </c>
      <c r="KS235" s="16"/>
    </row>
    <row r="236" spans="1:355" x14ac:dyDescent="0.25">
      <c r="A236" t="s">
        <v>1686</v>
      </c>
      <c r="B236" t="s">
        <v>1690</v>
      </c>
      <c r="C236" t="s">
        <v>498</v>
      </c>
      <c r="P236" t="s">
        <v>482</v>
      </c>
      <c r="T236" s="14" t="s">
        <v>554</v>
      </c>
      <c r="U236">
        <v>79</v>
      </c>
      <c r="V236" t="s">
        <v>1682</v>
      </c>
      <c r="X236" t="str">
        <f>IF(COUNTIF(X$1:X235,X235)&gt;7,REPLACE(X235,LEN(X235),1,VALUE(RIGHT(X235,1))+1),X235)</f>
        <v>А3.29</v>
      </c>
      <c r="Y236" s="43" cm="1">
        <f t="array" ref="Y236">IF(COUNTIFS($X$2:$X236,$X236)=1,"1",VALUE(SUBSTITUTE(INDEX(Y:Y,_xlfn.XMATCH($X236,$X$1:$X235,0,-1)),"A",""))+INDEX(Z:Z,_xlfn.XMATCH($X236,$X$1:$X235,0,-1))+1)</f>
        <v>2</v>
      </c>
      <c r="Z236" s="43" cm="1">
        <f t="array" ref="Z236">SUM(IF(ISNUMBER(FIND("TmAi",$BE$1:$AAD$1)),IF(IFERROR(ISODD(SUBSTITUTE($BE236:$AAD236,"A","")),FALSE),IF(ISODD(SUBSTITUTE($BE236:$AAD236,"A","")),1,0),0)))</f>
        <v>0</v>
      </c>
      <c r="AA236" t="str">
        <f t="shared" si="369"/>
        <v>3B</v>
      </c>
      <c r="AB236" t="str">
        <f t="shared" si="370"/>
        <v>4B</v>
      </c>
      <c r="AP236" t="s">
        <v>137</v>
      </c>
      <c r="AS236" t="s">
        <v>396</v>
      </c>
      <c r="JZ236" s="27" t="str">
        <f t="shared" si="371"/>
        <v>XT79</v>
      </c>
      <c r="KC236" t="str">
        <f t="shared" si="372"/>
        <v>F0-AI29-3B</v>
      </c>
      <c r="KD236" t="str">
        <f t="shared" si="373"/>
        <v>F0-AI29-4B</v>
      </c>
      <c r="KI236" cm="1">
        <f t="array" ref="KI236">IF(COUNTIFS($U$2:$U236,$U236)=1,1,INDEX(KI:KI,_xlfn.XMATCH(U236,U$1:U235,0,-1))+COUNT(KI235:KM235))</f>
        <v>4</v>
      </c>
      <c r="KJ236">
        <f t="shared" si="374"/>
        <v>5</v>
      </c>
      <c r="KK236">
        <f t="shared" si="374"/>
        <v>6</v>
      </c>
      <c r="KN236">
        <v>1</v>
      </c>
      <c r="KO236" s="16">
        <v>2</v>
      </c>
      <c r="KS236" s="16"/>
    </row>
    <row r="237" spans="1:355" x14ac:dyDescent="0.25">
      <c r="A237" t="s">
        <v>1687</v>
      </c>
      <c r="B237" t="s">
        <v>1691</v>
      </c>
      <c r="C237" t="s">
        <v>498</v>
      </c>
      <c r="P237" t="s">
        <v>482</v>
      </c>
      <c r="T237" s="14" t="s">
        <v>554</v>
      </c>
      <c r="U237">
        <v>79</v>
      </c>
      <c r="V237" t="s">
        <v>1683</v>
      </c>
      <c r="X237" t="str">
        <f>IF(COUNTIF(X$1:X236,X236)&gt;7,REPLACE(X236,LEN(X236),1,VALUE(RIGHT(X236,1))+1),X236)</f>
        <v>А3.29</v>
      </c>
      <c r="Y237" s="43" cm="1">
        <f t="array" ref="Y237">IF(COUNTIFS($X$2:$X237,$X237)=1,"1",VALUE(SUBSTITUTE(INDEX(Y:Y,_xlfn.XMATCH($X237,$X$1:$X236,0,-1)),"A",""))+INDEX(Z:Z,_xlfn.XMATCH($X237,$X$1:$X236,0,-1))+1)</f>
        <v>3</v>
      </c>
      <c r="Z237" s="43" cm="1">
        <f t="array" ref="Z237">SUM(IF(ISNUMBER(FIND("TmAi",$BE$1:$AAD$1)),IF(IFERROR(ISODD(SUBSTITUTE($BE237:$AAD237,"A","")),FALSE),IF(ISODD(SUBSTITUTE($BE237:$AAD237,"A","")),1,0),0)))</f>
        <v>0</v>
      </c>
      <c r="AA237" t="str">
        <f t="shared" si="369"/>
        <v>5B</v>
      </c>
      <c r="AB237" t="str">
        <f t="shared" si="370"/>
        <v>6B</v>
      </c>
      <c r="AP237" t="s">
        <v>137</v>
      </c>
      <c r="AS237" t="s">
        <v>396</v>
      </c>
      <c r="JZ237" s="27" t="str">
        <f t="shared" si="371"/>
        <v>XT79</v>
      </c>
      <c r="KC237" t="str">
        <f t="shared" si="372"/>
        <v>F0-AI29-5B</v>
      </c>
      <c r="KD237" t="str">
        <f t="shared" si="373"/>
        <v>F0-AI29-6B</v>
      </c>
      <c r="KI237" cm="1">
        <f t="array" ref="KI237">IF(COUNTIFS($U$2:$U237,$U237)=1,1,INDEX(KI:KI,_xlfn.XMATCH(U237,U$1:U236,0,-1))+COUNT(KI236:KM236))</f>
        <v>7</v>
      </c>
      <c r="KJ237">
        <f t="shared" si="374"/>
        <v>8</v>
      </c>
      <c r="KK237">
        <f t="shared" si="374"/>
        <v>9</v>
      </c>
      <c r="KN237">
        <v>1</v>
      </c>
      <c r="KO237" s="16">
        <v>2</v>
      </c>
      <c r="KS237" s="16"/>
    </row>
    <row r="238" spans="1:355" x14ac:dyDescent="0.25">
      <c r="A238" t="s">
        <v>1688</v>
      </c>
      <c r="B238" s="33" t="s">
        <v>1692</v>
      </c>
      <c r="C238" t="s">
        <v>498</v>
      </c>
      <c r="P238" t="s">
        <v>482</v>
      </c>
      <c r="T238" s="14" t="s">
        <v>554</v>
      </c>
      <c r="U238">
        <v>79</v>
      </c>
      <c r="V238" t="s">
        <v>1684</v>
      </c>
      <c r="X238" t="str">
        <f>IF(COUNTIF(X$1:X237,X237)&gt;7,REPLACE(X237,LEN(X237),1,VALUE(RIGHT(X237,1))+1),X237)</f>
        <v>А3.29</v>
      </c>
      <c r="Y238" s="43" cm="1">
        <f t="array" ref="Y238">IF(COUNTIFS($X$2:$X238,$X238)=1,"1",VALUE(SUBSTITUTE(INDEX(Y:Y,_xlfn.XMATCH($X238,$X$1:$X237,0,-1)),"A",""))+INDEX(Z:Z,_xlfn.XMATCH($X238,$X$1:$X237,0,-1))+1)</f>
        <v>4</v>
      </c>
      <c r="Z238" s="43" cm="1">
        <f t="array" ref="Z238">SUM(IF(ISNUMBER(FIND("TmAi",$BE$1:$AAD$1)),IF(IFERROR(ISODD(SUBSTITUTE($BE238:$AAD238,"A","")),FALSE),IF(ISODD(SUBSTITUTE($BE238:$AAD238,"A","")),1,0),0)))</f>
        <v>0</v>
      </c>
      <c r="AA238" t="str">
        <f t="shared" si="369"/>
        <v>7B</v>
      </c>
      <c r="AB238" t="str">
        <f t="shared" si="370"/>
        <v>8B</v>
      </c>
      <c r="AP238" t="s">
        <v>137</v>
      </c>
      <c r="AS238" t="s">
        <v>396</v>
      </c>
      <c r="JZ238" s="27" t="str">
        <f t="shared" si="371"/>
        <v>XT79</v>
      </c>
      <c r="KC238" t="str">
        <f t="shared" si="372"/>
        <v>F0-AI29-7B</v>
      </c>
      <c r="KD238" t="str">
        <f t="shared" si="373"/>
        <v>F0-AI29-8B</v>
      </c>
      <c r="KI238" cm="1">
        <f t="array" ref="KI238">IF(COUNTIFS($U$2:$U238,$U238)=1,1,INDEX(KI:KI,_xlfn.XMATCH(U238,U$1:U237,0,-1))+COUNT(KI237:KM237))</f>
        <v>10</v>
      </c>
      <c r="KJ238">
        <f t="shared" si="374"/>
        <v>11</v>
      </c>
      <c r="KK238">
        <f t="shared" si="374"/>
        <v>12</v>
      </c>
      <c r="KN238">
        <v>1</v>
      </c>
      <c r="KO238" s="16">
        <v>2</v>
      </c>
      <c r="KS238" s="16"/>
    </row>
    <row r="239" spans="1:355" x14ac:dyDescent="0.25">
      <c r="A239" t="s">
        <v>1702</v>
      </c>
      <c r="B239" t="s">
        <v>1694</v>
      </c>
      <c r="C239" t="s">
        <v>498</v>
      </c>
      <c r="P239" t="s">
        <v>482</v>
      </c>
      <c r="T239" s="14" t="s">
        <v>554</v>
      </c>
      <c r="U239">
        <v>80</v>
      </c>
      <c r="V239" t="s">
        <v>1695</v>
      </c>
      <c r="X239" t="str">
        <f>IF(COUNTIF(X$1:X238,X238)&gt;7,REPLACE(X238,LEN(X238),1,VALUE(RIGHT(X238,1))+1),X238)</f>
        <v>А3.29</v>
      </c>
      <c r="Y239" s="43" cm="1">
        <f t="array" ref="Y239">IF(COUNTIFS($X$2:$X239,$X239)=1,"1",VALUE(SUBSTITUTE(INDEX(Y:Y,_xlfn.XMATCH($X239,$X$1:$X238,0,-1)),"A",""))+INDEX(Z:Z,_xlfn.XMATCH($X239,$X$1:$X238,0,-1))+1)</f>
        <v>5</v>
      </c>
      <c r="Z239" s="43" cm="1">
        <f t="array" ref="Z239">SUM(IF(ISNUMBER(FIND("TmAi",$BE$1:$AAD$1)),IF(IFERROR(ISODD(SUBSTITUTE($BE239:$AAD239,"A","")),FALSE),IF(ISODD(SUBSTITUTE($BE239:$AAD239,"A","")),1,0),0)))</f>
        <v>0</v>
      </c>
      <c r="AA239" t="str">
        <f t="shared" si="369"/>
        <v>9B</v>
      </c>
      <c r="AB239" t="str">
        <f t="shared" si="370"/>
        <v>10B</v>
      </c>
      <c r="AP239" t="s">
        <v>137</v>
      </c>
      <c r="AS239" t="s">
        <v>396</v>
      </c>
      <c r="JZ239" s="27" t="str">
        <f t="shared" si="371"/>
        <v>XT80</v>
      </c>
      <c r="KC239" t="str">
        <f t="shared" si="372"/>
        <v>F0-AI29-9B</v>
      </c>
      <c r="KD239" t="str">
        <f t="shared" si="373"/>
        <v>F0-AI29-10B</v>
      </c>
      <c r="KI239" cm="1">
        <f t="array" ref="KI239">IF(COUNTIFS($U$2:$U239,$U239)=1,1,INDEX(KI:KI,_xlfn.XMATCH(U239,U$1:U238,0,-1))+COUNT(KI238:KM238))</f>
        <v>1</v>
      </c>
      <c r="KJ239">
        <f t="shared" si="374"/>
        <v>2</v>
      </c>
      <c r="KK239">
        <f t="shared" si="374"/>
        <v>3</v>
      </c>
      <c r="KN239">
        <v>1</v>
      </c>
      <c r="KO239" s="16">
        <v>2</v>
      </c>
      <c r="KS239" s="16"/>
    </row>
    <row r="240" spans="1:355" x14ac:dyDescent="0.25">
      <c r="A240" t="s">
        <v>1703</v>
      </c>
      <c r="B240" t="s">
        <v>1696</v>
      </c>
      <c r="C240" t="s">
        <v>498</v>
      </c>
      <c r="P240" t="s">
        <v>482</v>
      </c>
      <c r="T240" s="14" t="s">
        <v>554</v>
      </c>
      <c r="U240">
        <v>80</v>
      </c>
      <c r="V240" t="s">
        <v>1697</v>
      </c>
      <c r="X240" t="str">
        <f>IF(COUNTIF(X$1:X239,X239)&gt;7,REPLACE(X239,LEN(X239),1,VALUE(RIGHT(X239,1))+1),X239)</f>
        <v>А3.29</v>
      </c>
      <c r="Y240" s="43" cm="1">
        <f t="array" ref="Y240">IF(COUNTIFS($X$2:$X240,$X240)=1,"1",VALUE(SUBSTITUTE(INDEX(Y:Y,_xlfn.XMATCH($X240,$X$1:$X239,0,-1)),"A",""))+INDEX(Z:Z,_xlfn.XMATCH($X240,$X$1:$X239,0,-1))+1)</f>
        <v>6</v>
      </c>
      <c r="Z240" s="43" cm="1">
        <f t="array" ref="Z240">SUM(IF(ISNUMBER(FIND("TmAi",$BE$1:$AAD$1)),IF(IFERROR(ISODD(SUBSTITUTE($BE240:$AAD240,"A","")),FALSE),IF(ISODD(SUBSTITUTE($BE240:$AAD240,"A","")),1,0),0)))</f>
        <v>0</v>
      </c>
      <c r="AA240" t="str">
        <f t="shared" si="369"/>
        <v>11B</v>
      </c>
      <c r="AB240" t="str">
        <f t="shared" si="370"/>
        <v>12B</v>
      </c>
      <c r="AP240" t="s">
        <v>137</v>
      </c>
      <c r="AS240" t="s">
        <v>396</v>
      </c>
      <c r="JZ240" s="27" t="str">
        <f t="shared" si="371"/>
        <v>XT80</v>
      </c>
      <c r="KC240" t="str">
        <f t="shared" si="372"/>
        <v>F0-AI29-11B</v>
      </c>
      <c r="KD240" t="str">
        <f t="shared" si="373"/>
        <v>F0-AI29-12B</v>
      </c>
      <c r="KI240" cm="1">
        <f t="array" ref="KI240">IF(COUNTIFS($U$2:$U240,$U240)=1,1,INDEX(KI:KI,_xlfn.XMATCH(U240,U$1:U239,0,-1))+COUNT(KI239:KM239))</f>
        <v>4</v>
      </c>
      <c r="KJ240">
        <f t="shared" si="374"/>
        <v>5</v>
      </c>
      <c r="KK240">
        <f t="shared" si="374"/>
        <v>6</v>
      </c>
      <c r="KN240">
        <v>1</v>
      </c>
      <c r="KO240" s="16">
        <v>2</v>
      </c>
      <c r="KS240" s="16"/>
    </row>
    <row r="241" spans="1:305" x14ac:dyDescent="0.25">
      <c r="A241" t="s">
        <v>1704</v>
      </c>
      <c r="B241" t="s">
        <v>1698</v>
      </c>
      <c r="C241" t="s">
        <v>498</v>
      </c>
      <c r="P241" t="s">
        <v>482</v>
      </c>
      <c r="T241" s="14" t="s">
        <v>554</v>
      </c>
      <c r="U241">
        <v>80</v>
      </c>
      <c r="V241" t="s">
        <v>1699</v>
      </c>
      <c r="X241" t="str">
        <f>IF(COUNTIF(X$1:X240,X240)&gt;7,REPLACE(X240,LEN(X240),1,VALUE(RIGHT(X240,1))+1),X240)</f>
        <v>А3.29</v>
      </c>
      <c r="Y241" s="43" cm="1">
        <f t="array" ref="Y241">IF(COUNTIFS($X$2:$X241,$X241)=1,"1",VALUE(SUBSTITUTE(INDEX(Y:Y,_xlfn.XMATCH($X241,$X$1:$X240,0,-1)),"A",""))+INDEX(Z:Z,_xlfn.XMATCH($X241,$X$1:$X240,0,-1))+1)</f>
        <v>7</v>
      </c>
      <c r="Z241" s="43" cm="1">
        <f t="array" ref="Z241">SUM(IF(ISNUMBER(FIND("TmAi",$BE$1:$AAD$1)),IF(IFERROR(ISODD(SUBSTITUTE($BE241:$AAD241,"A","")),FALSE),IF(ISODD(SUBSTITUTE($BE241:$AAD241,"A","")),1,0),0)))</f>
        <v>0</v>
      </c>
      <c r="AA241" t="str">
        <f t="shared" si="369"/>
        <v>13B</v>
      </c>
      <c r="AB241" t="str">
        <f t="shared" si="370"/>
        <v>14B</v>
      </c>
      <c r="AP241" t="s">
        <v>137</v>
      </c>
      <c r="AS241" t="s">
        <v>396</v>
      </c>
      <c r="JZ241" s="27" t="str">
        <f t="shared" si="371"/>
        <v>XT80</v>
      </c>
      <c r="KC241" t="str">
        <f t="shared" si="372"/>
        <v>F0-AI29-13B</v>
      </c>
      <c r="KD241" t="str">
        <f t="shared" si="373"/>
        <v>F0-AI29-14B</v>
      </c>
      <c r="KI241" cm="1">
        <f t="array" ref="KI241">IF(COUNTIFS($U$2:$U241,$U241)=1,1,INDEX(KI:KI,_xlfn.XMATCH(U241,U$1:U240,0,-1))+COUNT(KI240:KM240))</f>
        <v>7</v>
      </c>
      <c r="KJ241">
        <f t="shared" si="374"/>
        <v>8</v>
      </c>
      <c r="KK241">
        <f t="shared" si="374"/>
        <v>9</v>
      </c>
      <c r="KN241">
        <v>1</v>
      </c>
      <c r="KO241" s="16">
        <v>2</v>
      </c>
      <c r="KS241" s="16"/>
    </row>
    <row r="242" spans="1:305" x14ac:dyDescent="0.25">
      <c r="A242" t="s">
        <v>1705</v>
      </c>
      <c r="B242" s="33" t="s">
        <v>1700</v>
      </c>
      <c r="C242" t="s">
        <v>498</v>
      </c>
      <c r="P242" t="s">
        <v>482</v>
      </c>
      <c r="T242" s="14" t="s">
        <v>554</v>
      </c>
      <c r="U242">
        <v>80</v>
      </c>
      <c r="V242" t="s">
        <v>1701</v>
      </c>
      <c r="X242" t="str">
        <f>IF(COUNTIF(X$1:X241,X241)&gt;7,REPLACE(X241,LEN(X241),1,VALUE(RIGHT(X241,1))+1),X241)</f>
        <v>А3.29</v>
      </c>
      <c r="Y242" s="43" cm="1">
        <f t="array" ref="Y242">IF(COUNTIFS($X$2:$X242,$X242)=1,"1",VALUE(SUBSTITUTE(INDEX(Y:Y,_xlfn.XMATCH($X242,$X$1:$X241,0,-1)),"A",""))+INDEX(Z:Z,_xlfn.XMATCH($X242,$X$1:$X241,0,-1))+1)</f>
        <v>8</v>
      </c>
      <c r="Z242" s="43" cm="1">
        <f t="array" ref="Z242">SUM(IF(ISNUMBER(FIND("TmAi",$BE$1:$AAD$1)),IF(IFERROR(ISODD(SUBSTITUTE($BE242:$AAD242,"A","")),FALSE),IF(ISODD(SUBSTITUTE($BE242:$AAD242,"A","")),1,0),0)))</f>
        <v>0</v>
      </c>
      <c r="AA242" t="str">
        <f t="shared" si="369"/>
        <v>15B</v>
      </c>
      <c r="AB242" t="str">
        <f t="shared" si="370"/>
        <v>16B</v>
      </c>
      <c r="AP242" t="s">
        <v>137</v>
      </c>
      <c r="AS242" t="s">
        <v>396</v>
      </c>
      <c r="JZ242" s="27" t="str">
        <f t="shared" si="371"/>
        <v>XT80</v>
      </c>
      <c r="KC242" t="str">
        <f t="shared" si="372"/>
        <v>F0-AI29-15B</v>
      </c>
      <c r="KD242" t="str">
        <f t="shared" si="373"/>
        <v>F0-AI29-16B</v>
      </c>
      <c r="KI242" cm="1">
        <f t="array" ref="KI242">IF(COUNTIFS($U$2:$U242,$U242)=1,1,INDEX(KI:KI,_xlfn.XMATCH(U242,U$1:U241,0,-1))+COUNT(KI241:KM241))</f>
        <v>10</v>
      </c>
      <c r="KJ242">
        <f t="shared" si="374"/>
        <v>11</v>
      </c>
      <c r="KK242">
        <f t="shared" si="374"/>
        <v>12</v>
      </c>
      <c r="KN242">
        <v>1</v>
      </c>
      <c r="KO242" s="16">
        <v>2</v>
      </c>
      <c r="KS242" s="16"/>
    </row>
    <row r="243" spans="1:305" x14ac:dyDescent="0.25">
      <c r="A243" t="s">
        <v>1716</v>
      </c>
      <c r="B243" t="s">
        <v>1706</v>
      </c>
      <c r="C243" t="s">
        <v>498</v>
      </c>
      <c r="P243" t="s">
        <v>482</v>
      </c>
      <c r="T243" s="14" t="s">
        <v>554</v>
      </c>
      <c r="U243">
        <v>81</v>
      </c>
      <c r="V243" t="s">
        <v>1707</v>
      </c>
      <c r="X243" t="s">
        <v>1056</v>
      </c>
      <c r="Y243" s="43" t="str" cm="1">
        <f t="array" ref="Y243">IF(COUNTIFS($X$2:$X243,$X243)=1,"1",VALUE(SUBSTITUTE(INDEX(Y:Y,_xlfn.XMATCH($X243,$X$1:$X242,0,-1)),"A",""))+INDEX(Z:Z,_xlfn.XMATCH($X243,$X$1:$X242,0,-1))+1)</f>
        <v>1</v>
      </c>
      <c r="Z243" s="43" cm="1">
        <f t="array" ref="Z243">SUM(IF(ISNUMBER(FIND("TmAi",$BE$1:$AAD$1)),IF(IFERROR(ISODD(SUBSTITUTE($BE243:$AAD243,"A","")),FALSE),IF(ISODD(SUBSTITUTE($BE243:$AAD243,"A","")),1,0),0)))</f>
        <v>0</v>
      </c>
      <c r="AA243" t="str">
        <f t="shared" si="369"/>
        <v>1B</v>
      </c>
      <c r="AB243" t="str">
        <f t="shared" si="370"/>
        <v>2B</v>
      </c>
      <c r="AP243" t="s">
        <v>137</v>
      </c>
      <c r="AS243" t="s">
        <v>396</v>
      </c>
      <c r="JZ243" s="27" t="str">
        <f t="shared" si="371"/>
        <v>XT81</v>
      </c>
      <c r="KC243" t="str">
        <f t="shared" si="372"/>
        <v>F0-AI30-1B</v>
      </c>
      <c r="KD243" t="str">
        <f t="shared" si="373"/>
        <v>F0-AI30-2B</v>
      </c>
      <c r="KI243" cm="1">
        <f t="array" ref="KI243">IF(COUNTIFS($U$2:$U243,$U243)=1,1,INDEX(KI:KI,_xlfn.XMATCH(U243,U$1:U242,0,-1))+COUNT(KI242:KM242))</f>
        <v>1</v>
      </c>
      <c r="KJ243">
        <f t="shared" si="374"/>
        <v>2</v>
      </c>
      <c r="KK243">
        <f t="shared" si="374"/>
        <v>3</v>
      </c>
      <c r="KN243">
        <v>1</v>
      </c>
      <c r="KO243" s="16">
        <v>2</v>
      </c>
      <c r="KS243" s="16"/>
    </row>
    <row r="244" spans="1:305" x14ac:dyDescent="0.25">
      <c r="A244" t="s">
        <v>1717</v>
      </c>
      <c r="B244" t="s">
        <v>1708</v>
      </c>
      <c r="C244" t="s">
        <v>498</v>
      </c>
      <c r="P244" t="s">
        <v>482</v>
      </c>
      <c r="T244" s="14" t="s">
        <v>554</v>
      </c>
      <c r="U244">
        <v>81</v>
      </c>
      <c r="V244" t="s">
        <v>1709</v>
      </c>
      <c r="X244" t="str">
        <f>IF(COUNTIF(X$1:X243,X243)&gt;7,REPLACE(X243,LEN(X243),1,VALUE(RIGHT(X243,1))+1),X243)</f>
        <v>A3.30</v>
      </c>
      <c r="Y244" s="43" cm="1">
        <f t="array" ref="Y244">IF(COUNTIFS($X$2:$X244,$X244)=1,"1",VALUE(SUBSTITUTE(INDEX(Y:Y,_xlfn.XMATCH($X244,$X$1:$X243,0,-1)),"A",""))+INDEX(Z:Z,_xlfn.XMATCH($X244,$X$1:$X243,0,-1))+1)</f>
        <v>2</v>
      </c>
      <c r="Z244" s="43" cm="1">
        <f t="array" ref="Z244">SUM(IF(ISNUMBER(FIND("TmAi",$BE$1:$AAD$1)),IF(IFERROR(ISODD(SUBSTITUTE($BE244:$AAD244,"A","")),FALSE),IF(ISODD(SUBSTITUTE($BE244:$AAD244,"A","")),1,0),0)))</f>
        <v>0</v>
      </c>
      <c r="AA244" t="str">
        <f t="shared" si="369"/>
        <v>3B</v>
      </c>
      <c r="AB244" t="str">
        <f t="shared" si="370"/>
        <v>4B</v>
      </c>
      <c r="AP244" t="s">
        <v>137</v>
      </c>
      <c r="AS244" t="s">
        <v>396</v>
      </c>
      <c r="JZ244" s="27" t="str">
        <f t="shared" si="371"/>
        <v>XT81</v>
      </c>
      <c r="KC244" t="str">
        <f t="shared" si="372"/>
        <v>F0-AI30-3B</v>
      </c>
      <c r="KD244" t="str">
        <f t="shared" si="373"/>
        <v>F0-AI30-4B</v>
      </c>
      <c r="KI244" cm="1">
        <f t="array" ref="KI244">IF(COUNTIFS($U$2:$U244,$U244)=1,1,INDEX(KI:KI,_xlfn.XMATCH(U244,U$1:U243,0,-1))+COUNT(KI243:KM243))</f>
        <v>4</v>
      </c>
      <c r="KJ244">
        <f t="shared" si="374"/>
        <v>5</v>
      </c>
      <c r="KK244">
        <f t="shared" si="374"/>
        <v>6</v>
      </c>
      <c r="KN244">
        <v>1</v>
      </c>
      <c r="KO244" s="16">
        <v>2</v>
      </c>
      <c r="KS244" s="16"/>
    </row>
    <row r="245" spans="1:305" x14ac:dyDescent="0.25">
      <c r="A245" t="s">
        <v>1718</v>
      </c>
      <c r="B245" t="s">
        <v>1710</v>
      </c>
      <c r="C245" t="s">
        <v>498</v>
      </c>
      <c r="P245" t="s">
        <v>482</v>
      </c>
      <c r="T245" s="14" t="s">
        <v>554</v>
      </c>
      <c r="U245">
        <v>81</v>
      </c>
      <c r="V245" t="s">
        <v>1711</v>
      </c>
      <c r="X245" t="str">
        <f>IF(COUNTIF(X$1:X244,X244)&gt;7,REPLACE(X244,LEN(X244),1,VALUE(RIGHT(X244,1))+1),X244)</f>
        <v>A3.30</v>
      </c>
      <c r="Y245" s="43" cm="1">
        <f t="array" ref="Y245">IF(COUNTIFS($X$2:$X245,$X245)=1,"1",VALUE(SUBSTITUTE(INDEX(Y:Y,_xlfn.XMATCH($X245,$X$1:$X244,0,-1)),"A",""))+INDEX(Z:Z,_xlfn.XMATCH($X245,$X$1:$X244,0,-1))+1)</f>
        <v>3</v>
      </c>
      <c r="Z245" s="43" cm="1">
        <f t="array" ref="Z245">SUM(IF(ISNUMBER(FIND("TmAi",$BE$1:$AAD$1)),IF(IFERROR(ISODD(SUBSTITUTE($BE245:$AAD245,"A","")),FALSE),IF(ISODD(SUBSTITUTE($BE245:$AAD245,"A","")),1,0),0)))</f>
        <v>0</v>
      </c>
      <c r="AA245" t="str">
        <f t="shared" si="369"/>
        <v>5B</v>
      </c>
      <c r="AB245" t="str">
        <f t="shared" si="370"/>
        <v>6B</v>
      </c>
      <c r="AP245" t="s">
        <v>137</v>
      </c>
      <c r="AS245" t="s">
        <v>396</v>
      </c>
      <c r="JZ245" s="27" t="str">
        <f t="shared" si="371"/>
        <v>XT81</v>
      </c>
      <c r="KC245" t="str">
        <f t="shared" si="372"/>
        <v>F0-AI30-5B</v>
      </c>
      <c r="KD245" t="str">
        <f t="shared" si="373"/>
        <v>F0-AI30-6B</v>
      </c>
      <c r="KI245" cm="1">
        <f t="array" ref="KI245">IF(COUNTIFS($U$2:$U245,$U245)=1,1,INDEX(KI:KI,_xlfn.XMATCH(U245,U$1:U244,0,-1))+COUNT(KI244:KM244))</f>
        <v>7</v>
      </c>
      <c r="KJ245">
        <f t="shared" si="374"/>
        <v>8</v>
      </c>
      <c r="KK245">
        <f t="shared" si="374"/>
        <v>9</v>
      </c>
      <c r="KN245">
        <v>1</v>
      </c>
      <c r="KO245" s="16">
        <v>2</v>
      </c>
      <c r="KS245" s="16"/>
    </row>
    <row r="246" spans="1:305" x14ac:dyDescent="0.25">
      <c r="A246" t="s">
        <v>1719</v>
      </c>
      <c r="B246" s="33" t="s">
        <v>1712</v>
      </c>
      <c r="C246" t="s">
        <v>498</v>
      </c>
      <c r="P246" t="s">
        <v>482</v>
      </c>
      <c r="T246" s="14" t="s">
        <v>554</v>
      </c>
      <c r="U246">
        <v>81</v>
      </c>
      <c r="V246" t="s">
        <v>1713</v>
      </c>
      <c r="X246" t="str">
        <f>IF(COUNTIF(X$1:X245,X245)&gt;7,REPLACE(X245,LEN(X245),1,VALUE(RIGHT(X245,1))+1),X245)</f>
        <v>A3.30</v>
      </c>
      <c r="Y246" s="43" cm="1">
        <f t="array" ref="Y246">IF(COUNTIFS($X$2:$X246,$X246)=1,"1",VALUE(SUBSTITUTE(INDEX(Y:Y,_xlfn.XMATCH($X246,$X$1:$X245,0,-1)),"A",""))+INDEX(Z:Z,_xlfn.XMATCH($X246,$X$1:$X245,0,-1))+1)</f>
        <v>4</v>
      </c>
      <c r="Z246" s="43" cm="1">
        <f t="array" ref="Z246">SUM(IF(ISNUMBER(FIND("TmAi",$BE$1:$AAD$1)),IF(IFERROR(ISODD(SUBSTITUTE($BE246:$AAD246,"A","")),FALSE),IF(ISODD(SUBSTITUTE($BE246:$AAD246,"A","")),1,0),0)))</f>
        <v>0</v>
      </c>
      <c r="AA246" t="str">
        <f t="shared" si="369"/>
        <v>7B</v>
      </c>
      <c r="AB246" t="str">
        <f t="shared" si="370"/>
        <v>8B</v>
      </c>
      <c r="AP246" t="s">
        <v>137</v>
      </c>
      <c r="AS246" t="s">
        <v>396</v>
      </c>
      <c r="JZ246" s="27" t="str">
        <f t="shared" si="371"/>
        <v>XT81</v>
      </c>
      <c r="KC246" t="str">
        <f t="shared" si="372"/>
        <v>F0-AI30-7B</v>
      </c>
      <c r="KD246" t="str">
        <f t="shared" si="373"/>
        <v>F0-AI30-8B</v>
      </c>
      <c r="KI246" cm="1">
        <f t="array" ref="KI246">IF(COUNTIFS($U$2:$U246,$U246)=1,1,INDEX(KI:KI,_xlfn.XMATCH(U246,U$1:U245,0,-1))+COUNT(KI245:KM245))</f>
        <v>10</v>
      </c>
      <c r="KJ246">
        <f t="shared" si="374"/>
        <v>11</v>
      </c>
      <c r="KK246">
        <f t="shared" si="374"/>
        <v>12</v>
      </c>
      <c r="KN246">
        <v>1</v>
      </c>
      <c r="KO246" s="16">
        <v>2</v>
      </c>
      <c r="KS246" s="16"/>
    </row>
    <row r="247" spans="1:305" x14ac:dyDescent="0.25">
      <c r="A247" t="s">
        <v>1758</v>
      </c>
      <c r="B247" t="s">
        <v>1714</v>
      </c>
      <c r="C247" t="s">
        <v>498</v>
      </c>
      <c r="P247" t="s">
        <v>482</v>
      </c>
      <c r="T247" s="14" t="s">
        <v>554</v>
      </c>
      <c r="U247">
        <v>82</v>
      </c>
      <c r="V247" t="s">
        <v>1715</v>
      </c>
      <c r="X247" t="str">
        <f>IF(COUNTIF(X$1:X246,X246)&gt;7,REPLACE(X246,LEN(X246),1,VALUE(RIGHT(X246,1))+1),X246)</f>
        <v>A3.30</v>
      </c>
      <c r="Y247" s="43" cm="1">
        <f t="array" ref="Y247">IF(COUNTIFS($X$2:$X247,$X247)=1,"1",VALUE(SUBSTITUTE(INDEX(Y:Y,_xlfn.XMATCH($X247,$X$1:$X246,0,-1)),"A",""))+INDEX(Z:Z,_xlfn.XMATCH($X247,$X$1:$X246,0,-1))+1)</f>
        <v>5</v>
      </c>
      <c r="Z247" s="43" cm="1">
        <f t="array" ref="Z247">SUM(IF(ISNUMBER(FIND("TmAi",$BE$1:$AAD$1)),IF(IFERROR(ISODD(SUBSTITUTE($BE247:$AAD247,"A","")),FALSE),IF(ISODD(SUBSTITUTE($BE247:$AAD247,"A","")),1,0),0)))</f>
        <v>0</v>
      </c>
      <c r="AA247" t="str">
        <f t="shared" si="369"/>
        <v>9B</v>
      </c>
      <c r="AB247" t="str">
        <f t="shared" si="370"/>
        <v>10B</v>
      </c>
      <c r="AP247" t="s">
        <v>137</v>
      </c>
      <c r="AS247" t="s">
        <v>396</v>
      </c>
      <c r="JZ247" s="27" t="str">
        <f t="shared" si="371"/>
        <v>XT82</v>
      </c>
      <c r="KC247" t="str">
        <f t="shared" si="372"/>
        <v>F0-AI30-9B</v>
      </c>
      <c r="KD247" t="str">
        <f t="shared" si="373"/>
        <v>F0-AI30-10B</v>
      </c>
      <c r="KI247" cm="1">
        <f t="array" ref="KI247">IF(COUNTIFS($U$2:$U247,$U247)=1,1,INDEX(KI:KI,_xlfn.XMATCH(U247,U$1:U246,0,-1))+COUNT(KI246:KM246))</f>
        <v>1</v>
      </c>
      <c r="KJ247">
        <f t="shared" si="374"/>
        <v>2</v>
      </c>
      <c r="KK247">
        <f t="shared" si="374"/>
        <v>3</v>
      </c>
      <c r="KN247">
        <v>1</v>
      </c>
      <c r="KO247" s="16">
        <v>2</v>
      </c>
      <c r="KS247" s="16"/>
    </row>
    <row r="248" spans="1:305" x14ac:dyDescent="0.25">
      <c r="A248" t="s">
        <v>1759</v>
      </c>
      <c r="B248" t="s">
        <v>1728</v>
      </c>
      <c r="C248" t="s">
        <v>498</v>
      </c>
      <c r="P248" t="s">
        <v>482</v>
      </c>
      <c r="T248" s="14" t="s">
        <v>554</v>
      </c>
      <c r="U248">
        <v>82</v>
      </c>
      <c r="V248" t="s">
        <v>1720</v>
      </c>
      <c r="X248" t="str">
        <f>IF(COUNTIF(X$1:X247,X247)&gt;7,REPLACE(X247,LEN(X247),1,VALUE(RIGHT(X247,1))+1),X247)</f>
        <v>A3.30</v>
      </c>
      <c r="Y248" s="43" cm="1">
        <f t="array" ref="Y248">IF(COUNTIFS($X$2:$X248,$X248)=1,"1",VALUE(SUBSTITUTE(INDEX(Y:Y,_xlfn.XMATCH($X248,$X$1:$X247,0,-1)),"A",""))+INDEX(Z:Z,_xlfn.XMATCH($X248,$X$1:$X247,0,-1))+1)</f>
        <v>6</v>
      </c>
      <c r="Z248" s="43" cm="1">
        <f t="array" ref="Z248">SUM(IF(ISNUMBER(FIND("TmAi",$BE$1:$AAD$1)),IF(IFERROR(ISODD(SUBSTITUTE($BE248:$AAD248,"A","")),FALSE),IF(ISODD(SUBSTITUTE($BE248:$AAD248,"A","")),1,0),0)))</f>
        <v>0</v>
      </c>
      <c r="AA248" t="str">
        <f t="shared" si="369"/>
        <v>11B</v>
      </c>
      <c r="AB248" t="str">
        <f t="shared" si="370"/>
        <v>12B</v>
      </c>
      <c r="AP248" t="s">
        <v>137</v>
      </c>
      <c r="AS248" t="s">
        <v>396</v>
      </c>
      <c r="JZ248" s="27" t="str">
        <f t="shared" si="371"/>
        <v>XT82</v>
      </c>
      <c r="KC248" t="str">
        <f t="shared" si="372"/>
        <v>F0-AI30-11B</v>
      </c>
      <c r="KD248" t="str">
        <f t="shared" si="373"/>
        <v>F0-AI30-12B</v>
      </c>
      <c r="KI248" cm="1">
        <f t="array" ref="KI248">IF(COUNTIFS($U$2:$U248,$U248)=1,1,INDEX(KI:KI,_xlfn.XMATCH(U248,U$1:U247,0,-1))+COUNT(KI247:KM247))</f>
        <v>4</v>
      </c>
      <c r="KJ248">
        <f t="shared" si="374"/>
        <v>5</v>
      </c>
      <c r="KK248">
        <f t="shared" si="374"/>
        <v>6</v>
      </c>
      <c r="KN248">
        <v>1</v>
      </c>
      <c r="KO248" s="16">
        <v>2</v>
      </c>
      <c r="KS248" s="16"/>
    </row>
    <row r="249" spans="1:305" x14ac:dyDescent="0.25">
      <c r="A249" t="s">
        <v>1760</v>
      </c>
      <c r="B249" t="s">
        <v>1730</v>
      </c>
      <c r="C249" t="s">
        <v>498</v>
      </c>
      <c r="P249" t="s">
        <v>482</v>
      </c>
      <c r="T249" s="14" t="s">
        <v>554</v>
      </c>
      <c r="U249">
        <v>82</v>
      </c>
      <c r="V249" t="s">
        <v>1721</v>
      </c>
      <c r="X249" t="str">
        <f>IF(COUNTIF(X$1:X248,X248)&gt;7,REPLACE(X248,LEN(X248),1,VALUE(RIGHT(X248,1))+1),X248)</f>
        <v>A3.30</v>
      </c>
      <c r="Y249" s="43" cm="1">
        <f t="array" ref="Y249">IF(COUNTIFS($X$2:$X249,$X249)=1,"1",VALUE(SUBSTITUTE(INDEX(Y:Y,_xlfn.XMATCH($X249,$X$1:$X248,0,-1)),"A",""))+INDEX(Z:Z,_xlfn.XMATCH($X249,$X$1:$X248,0,-1))+1)</f>
        <v>7</v>
      </c>
      <c r="Z249" s="43" cm="1">
        <f t="array" ref="Z249">SUM(IF(ISNUMBER(FIND("TmAi",$BE$1:$AAD$1)),IF(IFERROR(ISODD(SUBSTITUTE($BE249:$AAD249,"A","")),FALSE),IF(ISODD(SUBSTITUTE($BE249:$AAD249,"A","")),1,0),0)))</f>
        <v>0</v>
      </c>
      <c r="AA249" t="str">
        <f t="shared" si="369"/>
        <v>13B</v>
      </c>
      <c r="AB249" t="str">
        <f t="shared" si="370"/>
        <v>14B</v>
      </c>
      <c r="AP249" t="s">
        <v>137</v>
      </c>
      <c r="AS249" t="s">
        <v>396</v>
      </c>
      <c r="JZ249" s="27" t="str">
        <f t="shared" si="371"/>
        <v>XT82</v>
      </c>
      <c r="KC249" t="str">
        <f t="shared" si="372"/>
        <v>F0-AI30-13B</v>
      </c>
      <c r="KD249" t="str">
        <f t="shared" si="373"/>
        <v>F0-AI30-14B</v>
      </c>
      <c r="KI249" cm="1">
        <f t="array" ref="KI249">IF(COUNTIFS($U$2:$U249,$U249)=1,1,INDEX(KI:KI,_xlfn.XMATCH(U249,U$1:U248,0,-1))+COUNT(KI248:KM248))</f>
        <v>7</v>
      </c>
      <c r="KJ249">
        <f t="shared" si="374"/>
        <v>8</v>
      </c>
      <c r="KK249">
        <f t="shared" si="374"/>
        <v>9</v>
      </c>
      <c r="KN249">
        <v>1</v>
      </c>
      <c r="KO249" s="16">
        <v>2</v>
      </c>
      <c r="KS249" s="16"/>
    </row>
    <row r="250" spans="1:305" x14ac:dyDescent="0.25">
      <c r="A250" t="s">
        <v>1761</v>
      </c>
      <c r="B250" s="33" t="s">
        <v>1732</v>
      </c>
      <c r="C250" t="s">
        <v>498</v>
      </c>
      <c r="P250" t="s">
        <v>482</v>
      </c>
      <c r="T250" s="14" t="s">
        <v>554</v>
      </c>
      <c r="U250">
        <v>82</v>
      </c>
      <c r="V250" t="s">
        <v>1722</v>
      </c>
      <c r="X250" t="str">
        <f>IF(COUNTIF(X$1:X249,X249)&gt;7,REPLACE(X249,LEN(X249),1,VALUE(RIGHT(X249,1))+1),X249)</f>
        <v>A3.30</v>
      </c>
      <c r="Y250" s="43" cm="1">
        <f t="array" ref="Y250">IF(COUNTIFS($X$2:$X250,$X250)=1,"1",VALUE(SUBSTITUTE(INDEX(Y:Y,_xlfn.XMATCH($X250,$X$1:$X249,0,-1)),"A",""))+INDEX(Z:Z,_xlfn.XMATCH($X250,$X$1:$X249,0,-1))+1)</f>
        <v>8</v>
      </c>
      <c r="Z250" s="43" cm="1">
        <f t="array" ref="Z250">SUM(IF(ISNUMBER(FIND("TmAi",$BE$1:$AAD$1)),IF(IFERROR(ISODD(SUBSTITUTE($BE250:$AAD250,"A","")),FALSE),IF(ISODD(SUBSTITUTE($BE250:$AAD250,"A","")),1,0),0)))</f>
        <v>0</v>
      </c>
      <c r="AA250" t="str">
        <f t="shared" si="369"/>
        <v>15B</v>
      </c>
      <c r="AB250" t="str">
        <f t="shared" si="370"/>
        <v>16B</v>
      </c>
      <c r="AP250" t="s">
        <v>137</v>
      </c>
      <c r="AS250" t="s">
        <v>396</v>
      </c>
      <c r="JZ250" s="27" t="str">
        <f t="shared" si="371"/>
        <v>XT82</v>
      </c>
      <c r="KC250" t="str">
        <f t="shared" si="372"/>
        <v>F0-AI30-15B</v>
      </c>
      <c r="KD250" t="str">
        <f t="shared" si="373"/>
        <v>F0-AI30-16B</v>
      </c>
      <c r="KI250" cm="1">
        <f t="array" ref="KI250">IF(COUNTIFS($U$2:$U250,$U250)=1,1,INDEX(KI:KI,_xlfn.XMATCH(U250,U$1:U249,0,-1))+COUNT(KI249:KM249))</f>
        <v>10</v>
      </c>
      <c r="KJ250">
        <f t="shared" ref="KJ250:KK266" si="375">KI250+1</f>
        <v>11</v>
      </c>
      <c r="KK250">
        <f t="shared" si="375"/>
        <v>12</v>
      </c>
      <c r="KN250">
        <v>1</v>
      </c>
      <c r="KO250" s="16">
        <v>2</v>
      </c>
      <c r="KS250" s="16"/>
    </row>
    <row r="251" spans="1:305" x14ac:dyDescent="0.25">
      <c r="A251" t="s">
        <v>1762</v>
      </c>
      <c r="B251" t="s">
        <v>1738</v>
      </c>
      <c r="C251" t="s">
        <v>498</v>
      </c>
      <c r="P251" t="s">
        <v>482</v>
      </c>
      <c r="T251" s="14" t="s">
        <v>554</v>
      </c>
      <c r="U251">
        <v>83</v>
      </c>
      <c r="V251" t="s">
        <v>1723</v>
      </c>
      <c r="X251" t="str">
        <f>IF(COUNTIF(X$1:X250,X250)&gt;7,REPLACE(X250,LEN(X250),1,VALUE(RIGHT(X250,1))+1),X250)</f>
        <v>A3.31</v>
      </c>
      <c r="Y251" s="43" t="str" cm="1">
        <f t="array" ref="Y251">IF(COUNTIFS($X$2:$X251,$X251)=1,"1",VALUE(SUBSTITUTE(INDEX(Y:Y,_xlfn.XMATCH($X251,$X$1:$X250,0,-1)),"A",""))+INDEX(Z:Z,_xlfn.XMATCH($X251,$X$1:$X250,0,-1))+1)</f>
        <v>1</v>
      </c>
      <c r="Z251" s="43" cm="1">
        <f t="array" ref="Z251">SUM(IF(ISNUMBER(FIND("TmAi",$BE$1:$AAD$1)),IF(IFERROR(ISODD(SUBSTITUTE($BE251:$AAD251,"A","")),FALSE),IF(ISODD(SUBSTITUTE($BE251:$AAD251,"A","")),1,0),0)))</f>
        <v>0</v>
      </c>
      <c r="AA251" t="str">
        <f t="shared" si="369"/>
        <v>1B</v>
      </c>
      <c r="AB251" t="str">
        <f t="shared" si="370"/>
        <v>2B</v>
      </c>
      <c r="AP251" t="s">
        <v>137</v>
      </c>
      <c r="AS251" t="s">
        <v>396</v>
      </c>
      <c r="JZ251" s="27" t="str">
        <f t="shared" si="371"/>
        <v>XT83</v>
      </c>
      <c r="KC251" t="str">
        <f t="shared" si="372"/>
        <v>F0-AI31-1B</v>
      </c>
      <c r="KD251" t="str">
        <f t="shared" si="373"/>
        <v>F0-AI31-2B</v>
      </c>
      <c r="KI251" cm="1">
        <f t="array" ref="KI251">IF(COUNTIFS($U$2:$U251,$U251)=1,1,INDEX(KI:KI,_xlfn.XMATCH(U251,U$1:U250,0,-1))+COUNT(KI250:KM250))</f>
        <v>1</v>
      </c>
      <c r="KJ251">
        <f t="shared" si="375"/>
        <v>2</v>
      </c>
      <c r="KK251">
        <f t="shared" si="375"/>
        <v>3</v>
      </c>
      <c r="KN251">
        <v>1</v>
      </c>
      <c r="KO251" s="16">
        <v>2</v>
      </c>
      <c r="KS251" s="16"/>
    </row>
    <row r="252" spans="1:305" x14ac:dyDescent="0.25">
      <c r="A252" t="s">
        <v>1763</v>
      </c>
      <c r="B252" t="s">
        <v>1739</v>
      </c>
      <c r="C252" t="s">
        <v>498</v>
      </c>
      <c r="P252" t="s">
        <v>482</v>
      </c>
      <c r="T252" s="14" t="s">
        <v>554</v>
      </c>
      <c r="U252">
        <v>83</v>
      </c>
      <c r="V252" t="s">
        <v>1724</v>
      </c>
      <c r="X252" t="str">
        <f>IF(COUNTIF(X$1:X251,X251)&gt;7,REPLACE(X251,LEN(X251),1,VALUE(RIGHT(X251,1))+1),X251)</f>
        <v>A3.31</v>
      </c>
      <c r="Y252" s="43" cm="1">
        <f t="array" ref="Y252">IF(COUNTIFS($X$2:$X252,$X252)=1,"1",VALUE(SUBSTITUTE(INDEX(Y:Y,_xlfn.XMATCH($X252,$X$1:$X251,0,-1)),"A",""))+INDEX(Z:Z,_xlfn.XMATCH($X252,$X$1:$X251,0,-1))+1)</f>
        <v>2</v>
      </c>
      <c r="Z252" s="43" cm="1">
        <f t="array" ref="Z252">SUM(IF(ISNUMBER(FIND("TmAi",$BE$1:$AAD$1)),IF(IFERROR(ISODD(SUBSTITUTE($BE252:$AAD252,"A","")),FALSE),IF(ISODD(SUBSTITUTE($BE252:$AAD252,"A","")),1,0),0)))</f>
        <v>0</v>
      </c>
      <c r="AA252" t="str">
        <f t="shared" si="369"/>
        <v>3B</v>
      </c>
      <c r="AB252" t="str">
        <f t="shared" si="370"/>
        <v>4B</v>
      </c>
      <c r="AP252" t="s">
        <v>137</v>
      </c>
      <c r="AS252" t="s">
        <v>396</v>
      </c>
      <c r="JZ252" s="27" t="str">
        <f t="shared" si="371"/>
        <v>XT83</v>
      </c>
      <c r="KC252" t="str">
        <f t="shared" si="372"/>
        <v>F0-AI31-3B</v>
      </c>
      <c r="KD252" t="str">
        <f t="shared" si="373"/>
        <v>F0-AI31-4B</v>
      </c>
      <c r="KI252" cm="1">
        <f t="array" ref="KI252">IF(COUNTIFS($U$2:$U252,$U252)=1,1,INDEX(KI:KI,_xlfn.XMATCH(U252,U$1:U251,0,-1))+COUNT(KI251:KM251))</f>
        <v>4</v>
      </c>
      <c r="KJ252">
        <f t="shared" si="375"/>
        <v>5</v>
      </c>
      <c r="KK252">
        <f t="shared" si="375"/>
        <v>6</v>
      </c>
      <c r="KN252">
        <v>1</v>
      </c>
      <c r="KO252" s="16">
        <v>2</v>
      </c>
      <c r="KS252" s="16"/>
    </row>
    <row r="253" spans="1:305" x14ac:dyDescent="0.25">
      <c r="A253" t="s">
        <v>1764</v>
      </c>
      <c r="B253" t="s">
        <v>1740</v>
      </c>
      <c r="C253" t="s">
        <v>498</v>
      </c>
      <c r="P253" t="s">
        <v>482</v>
      </c>
      <c r="T253" s="14" t="s">
        <v>554</v>
      </c>
      <c r="U253">
        <v>83</v>
      </c>
      <c r="V253" t="s">
        <v>1725</v>
      </c>
      <c r="X253" t="str">
        <f>IF(COUNTIF(X$1:X252,X252)&gt;7,REPLACE(X252,LEN(X252),1,VALUE(RIGHT(X252,1))+1),X252)</f>
        <v>A3.31</v>
      </c>
      <c r="Y253" s="43" cm="1">
        <f t="array" ref="Y253">IF(COUNTIFS($X$2:$X253,$X253)=1,"1",VALUE(SUBSTITUTE(INDEX(Y:Y,_xlfn.XMATCH($X253,$X$1:$X252,0,-1)),"A",""))+INDEX(Z:Z,_xlfn.XMATCH($X253,$X$1:$X252,0,-1))+1)</f>
        <v>3</v>
      </c>
      <c r="Z253" s="43" cm="1">
        <f t="array" ref="Z253">SUM(IF(ISNUMBER(FIND("TmAi",$BE$1:$AAD$1)),IF(IFERROR(ISODD(SUBSTITUTE($BE253:$AAD253,"A","")),FALSE),IF(ISODD(SUBSTITUTE($BE253:$AAD253,"A","")),1,0),0)))</f>
        <v>0</v>
      </c>
      <c r="AA253" t="str">
        <f t="shared" si="369"/>
        <v>5B</v>
      </c>
      <c r="AB253" t="str">
        <f t="shared" si="370"/>
        <v>6B</v>
      </c>
      <c r="AP253" t="s">
        <v>137</v>
      </c>
      <c r="AS253" t="s">
        <v>396</v>
      </c>
      <c r="JZ253" s="27" t="str">
        <f t="shared" si="371"/>
        <v>XT83</v>
      </c>
      <c r="KC253" t="str">
        <f t="shared" si="372"/>
        <v>F0-AI31-5B</v>
      </c>
      <c r="KD253" t="str">
        <f t="shared" si="373"/>
        <v>F0-AI31-6B</v>
      </c>
      <c r="KI253" cm="1">
        <f t="array" ref="KI253">IF(COUNTIFS($U$2:$U253,$U253)=1,1,INDEX(KI:KI,_xlfn.XMATCH(U253,U$1:U252,0,-1))+COUNT(KI252:KM252))</f>
        <v>7</v>
      </c>
      <c r="KJ253">
        <f t="shared" si="375"/>
        <v>8</v>
      </c>
      <c r="KK253">
        <f t="shared" si="375"/>
        <v>9</v>
      </c>
      <c r="KN253">
        <v>1</v>
      </c>
      <c r="KO253" s="16">
        <v>2</v>
      </c>
      <c r="KS253" s="16"/>
    </row>
    <row r="254" spans="1:305" x14ac:dyDescent="0.25">
      <c r="A254" t="s">
        <v>1765</v>
      </c>
      <c r="B254" s="33" t="s">
        <v>1741</v>
      </c>
      <c r="C254" t="s">
        <v>498</v>
      </c>
      <c r="P254" t="s">
        <v>482</v>
      </c>
      <c r="T254" s="14" t="s">
        <v>554</v>
      </c>
      <c r="U254">
        <v>83</v>
      </c>
      <c r="V254" t="s">
        <v>1726</v>
      </c>
      <c r="X254" t="str">
        <f>IF(COUNTIF(X$1:X253,X253)&gt;7,REPLACE(X253,LEN(X253),1,VALUE(RIGHT(X253,1))+1),X253)</f>
        <v>A3.31</v>
      </c>
      <c r="Y254" s="43" cm="1">
        <f t="array" ref="Y254">IF(COUNTIFS($X$2:$X254,$X254)=1,"1",VALUE(SUBSTITUTE(INDEX(Y:Y,_xlfn.XMATCH($X254,$X$1:$X253,0,-1)),"A",""))+INDEX(Z:Z,_xlfn.XMATCH($X254,$X$1:$X253,0,-1))+1)</f>
        <v>4</v>
      </c>
      <c r="Z254" s="43" cm="1">
        <f t="array" ref="Z254">SUM(IF(ISNUMBER(FIND("TmAi",$BE$1:$AAD$1)),IF(IFERROR(ISODD(SUBSTITUTE($BE254:$AAD254,"A","")),FALSE),IF(ISODD(SUBSTITUTE($BE254:$AAD254,"A","")),1,0),0)))</f>
        <v>0</v>
      </c>
      <c r="AA254" t="str">
        <f t="shared" si="369"/>
        <v>7B</v>
      </c>
      <c r="AB254" t="str">
        <f t="shared" si="370"/>
        <v>8B</v>
      </c>
      <c r="AP254" t="s">
        <v>137</v>
      </c>
      <c r="AS254" t="s">
        <v>396</v>
      </c>
      <c r="JZ254" s="27" t="str">
        <f t="shared" si="371"/>
        <v>XT83</v>
      </c>
      <c r="KC254" t="str">
        <f t="shared" si="372"/>
        <v>F0-AI31-7B</v>
      </c>
      <c r="KD254" t="str">
        <f t="shared" si="373"/>
        <v>F0-AI31-8B</v>
      </c>
      <c r="KI254" cm="1">
        <f t="array" ref="KI254">IF(COUNTIFS($U$2:$U254,$U254)=1,1,INDEX(KI:KI,_xlfn.XMATCH(U254,U$1:U253,0,-1))+COUNT(KI253:KM253))</f>
        <v>10</v>
      </c>
      <c r="KJ254">
        <f t="shared" si="375"/>
        <v>11</v>
      </c>
      <c r="KK254">
        <f t="shared" si="375"/>
        <v>12</v>
      </c>
      <c r="KN254">
        <v>1</v>
      </c>
      <c r="KO254" s="16">
        <v>2</v>
      </c>
      <c r="KS254" s="16"/>
    </row>
    <row r="255" spans="1:305" x14ac:dyDescent="0.25">
      <c r="A255" t="s">
        <v>1766</v>
      </c>
      <c r="B255" t="s">
        <v>1742</v>
      </c>
      <c r="C255" t="s">
        <v>498</v>
      </c>
      <c r="P255" t="s">
        <v>482</v>
      </c>
      <c r="T255" s="14" t="s">
        <v>554</v>
      </c>
      <c r="U255">
        <v>84</v>
      </c>
      <c r="V255" t="s">
        <v>1727</v>
      </c>
      <c r="X255" t="str">
        <f>IF(COUNTIF(X$1:X254,X254)&gt;7,REPLACE(X254,LEN(X254),1,VALUE(RIGHT(X254,1))+1),X254)</f>
        <v>A3.31</v>
      </c>
      <c r="Y255" s="43" cm="1">
        <f t="array" ref="Y255">IF(COUNTIFS($X$2:$X255,$X255)=1,"1",VALUE(SUBSTITUTE(INDEX(Y:Y,_xlfn.XMATCH($X255,$X$1:$X254,0,-1)),"A",""))+INDEX(Z:Z,_xlfn.XMATCH($X255,$X$1:$X254,0,-1))+1)</f>
        <v>5</v>
      </c>
      <c r="Z255" s="43" cm="1">
        <f t="array" ref="Z255">SUM(IF(ISNUMBER(FIND("TmAi",$BE$1:$AAD$1)),IF(IFERROR(ISODD(SUBSTITUTE($BE255:$AAD255,"A","")),FALSE),IF(ISODD(SUBSTITUTE($BE255:$AAD255,"A","")),1,0),0)))</f>
        <v>0</v>
      </c>
      <c r="AA255" t="str">
        <f t="shared" si="369"/>
        <v>9B</v>
      </c>
      <c r="AB255" t="str">
        <f t="shared" si="370"/>
        <v>10B</v>
      </c>
      <c r="AP255" t="s">
        <v>137</v>
      </c>
      <c r="AS255" t="s">
        <v>396</v>
      </c>
      <c r="JZ255" s="27" t="str">
        <f t="shared" si="371"/>
        <v>XT84</v>
      </c>
      <c r="KC255" t="str">
        <f t="shared" si="372"/>
        <v>F0-AI31-9B</v>
      </c>
      <c r="KD255" t="str">
        <f t="shared" si="373"/>
        <v>F0-AI31-10B</v>
      </c>
      <c r="KI255" cm="1">
        <f t="array" ref="KI255">IF(COUNTIFS($U$2:$U255,$U255)=1,1,INDEX(KI:KI,_xlfn.XMATCH(U255,U$1:U254,0,-1))+COUNT(KI254:KM254))</f>
        <v>1</v>
      </c>
      <c r="KJ255">
        <f t="shared" si="375"/>
        <v>2</v>
      </c>
      <c r="KK255">
        <f t="shared" si="375"/>
        <v>3</v>
      </c>
      <c r="KN255">
        <v>1</v>
      </c>
      <c r="KO255" s="16">
        <v>2</v>
      </c>
      <c r="KS255" s="16"/>
    </row>
    <row r="256" spans="1:305" x14ac:dyDescent="0.25">
      <c r="A256" t="s">
        <v>1767</v>
      </c>
      <c r="B256" t="s">
        <v>1743</v>
      </c>
      <c r="C256" t="s">
        <v>498</v>
      </c>
      <c r="P256" t="s">
        <v>482</v>
      </c>
      <c r="T256" s="14" t="s">
        <v>554</v>
      </c>
      <c r="U256">
        <v>84</v>
      </c>
      <c r="V256" t="s">
        <v>1729</v>
      </c>
      <c r="X256" t="str">
        <f>IF(COUNTIF(X$1:X255,X255)&gt;7,REPLACE(X255,LEN(X255),1,VALUE(RIGHT(X255,1))+1),X255)</f>
        <v>A3.31</v>
      </c>
      <c r="Y256" s="43" cm="1">
        <f t="array" ref="Y256">IF(COUNTIFS($X$2:$X256,$X256)=1,"1",VALUE(SUBSTITUTE(INDEX(Y:Y,_xlfn.XMATCH($X256,$X$1:$X255,0,-1)),"A",""))+INDEX(Z:Z,_xlfn.XMATCH($X256,$X$1:$X255,0,-1))+1)</f>
        <v>6</v>
      </c>
      <c r="Z256" s="43" cm="1">
        <f t="array" ref="Z256">SUM(IF(ISNUMBER(FIND("TmAi",$BE$1:$AAD$1)),IF(IFERROR(ISODD(SUBSTITUTE($BE256:$AAD256,"A","")),FALSE),IF(ISODD(SUBSTITUTE($BE256:$AAD256,"A","")),1,0),0)))</f>
        <v>0</v>
      </c>
      <c r="AA256" t="str">
        <f t="shared" si="369"/>
        <v>11B</v>
      </c>
      <c r="AB256" t="str">
        <f t="shared" si="370"/>
        <v>12B</v>
      </c>
      <c r="AP256" t="s">
        <v>137</v>
      </c>
      <c r="AS256" t="s">
        <v>396</v>
      </c>
      <c r="JZ256" s="27" t="str">
        <f t="shared" si="371"/>
        <v>XT84</v>
      </c>
      <c r="KC256" t="str">
        <f t="shared" si="372"/>
        <v>F0-AI31-11B</v>
      </c>
      <c r="KD256" t="str">
        <f t="shared" si="373"/>
        <v>F0-AI31-12B</v>
      </c>
      <c r="KI256" cm="1">
        <f t="array" ref="KI256">IF(COUNTIFS($U$2:$U256,$U256)=1,1,INDEX(KI:KI,_xlfn.XMATCH(U256,U$1:U255,0,-1))+COUNT(KI255:KM255))</f>
        <v>4</v>
      </c>
      <c r="KJ256">
        <f t="shared" si="375"/>
        <v>5</v>
      </c>
      <c r="KK256">
        <f t="shared" si="375"/>
        <v>6</v>
      </c>
      <c r="KN256">
        <v>1</v>
      </c>
      <c r="KO256" s="16">
        <v>2</v>
      </c>
      <c r="KS256" s="16"/>
    </row>
    <row r="257" spans="1:305" x14ac:dyDescent="0.25">
      <c r="A257" t="s">
        <v>1768</v>
      </c>
      <c r="B257" t="s">
        <v>1744</v>
      </c>
      <c r="C257" t="s">
        <v>498</v>
      </c>
      <c r="P257" t="s">
        <v>482</v>
      </c>
      <c r="T257" s="14" t="s">
        <v>554</v>
      </c>
      <c r="U257">
        <v>84</v>
      </c>
      <c r="V257" t="s">
        <v>1731</v>
      </c>
      <c r="X257" t="str">
        <f>IF(COUNTIF(X$1:X256,X256)&gt;7,REPLACE(X256,LEN(X256),1,VALUE(RIGHT(X256,1))+1),X256)</f>
        <v>A3.31</v>
      </c>
      <c r="Y257" s="43" cm="1">
        <f t="array" ref="Y257">IF(COUNTIFS($X$2:$X257,$X257)=1,"1",VALUE(SUBSTITUTE(INDEX(Y:Y,_xlfn.XMATCH($X257,$X$1:$X256,0,-1)),"A",""))+INDEX(Z:Z,_xlfn.XMATCH($X257,$X$1:$X256,0,-1))+1)</f>
        <v>7</v>
      </c>
      <c r="Z257" s="43" cm="1">
        <f t="array" ref="Z257">SUM(IF(ISNUMBER(FIND("TmAi",$BE$1:$AAD$1)),IF(IFERROR(ISODD(SUBSTITUTE($BE257:$AAD257,"A","")),FALSE),IF(ISODD(SUBSTITUTE($BE257:$AAD257,"A","")),1,0),0)))</f>
        <v>0</v>
      </c>
      <c r="AA257" t="str">
        <f t="shared" si="369"/>
        <v>13B</v>
      </c>
      <c r="AB257" t="str">
        <f t="shared" si="370"/>
        <v>14B</v>
      </c>
      <c r="AP257" t="s">
        <v>137</v>
      </c>
      <c r="AS257" t="s">
        <v>396</v>
      </c>
      <c r="JZ257" s="27" t="str">
        <f t="shared" si="371"/>
        <v>XT84</v>
      </c>
      <c r="KC257" t="str">
        <f t="shared" si="372"/>
        <v>F0-AI31-13B</v>
      </c>
      <c r="KD257" t="str">
        <f t="shared" si="373"/>
        <v>F0-AI31-14B</v>
      </c>
      <c r="KI257" cm="1">
        <f t="array" ref="KI257">IF(COUNTIFS($U$2:$U257,$U257)=1,1,INDEX(KI:KI,_xlfn.XMATCH(U257,U$1:U256,0,-1))+COUNT(KI256:KM256))</f>
        <v>7</v>
      </c>
      <c r="KJ257">
        <f t="shared" si="375"/>
        <v>8</v>
      </c>
      <c r="KK257">
        <f t="shared" si="375"/>
        <v>9</v>
      </c>
      <c r="KN257">
        <v>1</v>
      </c>
      <c r="KO257" s="16">
        <v>2</v>
      </c>
      <c r="KS257" s="16"/>
    </row>
    <row r="258" spans="1:305" x14ac:dyDescent="0.25">
      <c r="A258" t="s">
        <v>1769</v>
      </c>
      <c r="B258" s="33" t="s">
        <v>1745</v>
      </c>
      <c r="C258" t="s">
        <v>498</v>
      </c>
      <c r="P258" t="s">
        <v>482</v>
      </c>
      <c r="T258" s="14" t="s">
        <v>554</v>
      </c>
      <c r="U258">
        <v>84</v>
      </c>
      <c r="V258" t="s">
        <v>1733</v>
      </c>
      <c r="X258" t="str">
        <f>IF(COUNTIF(X$1:X257,X257)&gt;7,REPLACE(X257,LEN(X257),1,VALUE(RIGHT(X257,1))+1),X257)</f>
        <v>A3.31</v>
      </c>
      <c r="Y258" s="43" cm="1">
        <f t="array" ref="Y258">IF(COUNTIFS($X$2:$X258,$X258)=1,"1",VALUE(SUBSTITUTE(INDEX(Y:Y,_xlfn.XMATCH($X258,$X$1:$X257,0,-1)),"A",""))+INDEX(Z:Z,_xlfn.XMATCH($X258,$X$1:$X257,0,-1))+1)</f>
        <v>8</v>
      </c>
      <c r="Z258" s="43" cm="1">
        <f t="array" ref="Z258">SUM(IF(ISNUMBER(FIND("TmAi",$BE$1:$AAD$1)),IF(IFERROR(ISODD(SUBSTITUTE($BE258:$AAD258,"A","")),FALSE),IF(ISODD(SUBSTITUTE($BE258:$AAD258,"A","")),1,0),0)))</f>
        <v>0</v>
      </c>
      <c r="AA258" t="str">
        <f t="shared" si="369"/>
        <v>15B</v>
      </c>
      <c r="AB258" t="str">
        <f t="shared" si="370"/>
        <v>16B</v>
      </c>
      <c r="AP258" t="s">
        <v>137</v>
      </c>
      <c r="AS258" t="s">
        <v>396</v>
      </c>
      <c r="JZ258" s="27" t="str">
        <f t="shared" si="371"/>
        <v>XT84</v>
      </c>
      <c r="KC258" t="str">
        <f t="shared" si="372"/>
        <v>F0-AI31-15B</v>
      </c>
      <c r="KD258" t="str">
        <f t="shared" si="373"/>
        <v>F0-AI31-16B</v>
      </c>
      <c r="KI258" cm="1">
        <f t="array" ref="KI258">IF(COUNTIFS($U$2:$U258,$U258)=1,1,INDEX(KI:KI,_xlfn.XMATCH(U258,U$1:U257,0,-1))+COUNT(KI257:KM257))</f>
        <v>10</v>
      </c>
      <c r="KJ258">
        <f t="shared" si="375"/>
        <v>11</v>
      </c>
      <c r="KK258">
        <f t="shared" si="375"/>
        <v>12</v>
      </c>
      <c r="KN258">
        <v>1</v>
      </c>
      <c r="KO258" s="16">
        <v>2</v>
      </c>
      <c r="KS258" s="16"/>
    </row>
    <row r="259" spans="1:305" x14ac:dyDescent="0.25">
      <c r="A259" t="s">
        <v>1770</v>
      </c>
      <c r="B259" t="s">
        <v>1746</v>
      </c>
      <c r="C259" t="s">
        <v>498</v>
      </c>
      <c r="P259" t="s">
        <v>482</v>
      </c>
      <c r="T259" s="14" t="s">
        <v>554</v>
      </c>
      <c r="U259">
        <v>85</v>
      </c>
      <c r="V259" t="s">
        <v>1734</v>
      </c>
      <c r="X259" t="str">
        <f>IF(COUNTIF(X$1:X258,X258)&gt;7,REPLACE(X258,LEN(X258),1,VALUE(RIGHT(X258,1))+1),X258)</f>
        <v>A3.32</v>
      </c>
      <c r="Y259" s="43" t="str" cm="1">
        <f t="array" ref="Y259">IF(COUNTIFS($X$2:$X259,$X259)=1,"1",VALUE(SUBSTITUTE(INDEX(Y:Y,_xlfn.XMATCH($X259,$X$1:$X258,0,-1)),"A",""))+INDEX(Z:Z,_xlfn.XMATCH($X259,$X$1:$X258,0,-1))+1)</f>
        <v>1</v>
      </c>
      <c r="Z259" s="43" cm="1">
        <f t="array" ref="Z259">SUM(IF(ISNUMBER(FIND("TmAi",$BE$1:$AAD$1)),IF(IFERROR(ISODD(SUBSTITUTE($BE259:$AAD259,"A","")),FALSE),IF(ISODD(SUBSTITUTE($BE259:$AAD259,"A","")),1,0),0)))</f>
        <v>0</v>
      </c>
      <c r="AA259" t="str">
        <f t="shared" si="369"/>
        <v>1B</v>
      </c>
      <c r="AB259" t="str">
        <f t="shared" si="370"/>
        <v>2B</v>
      </c>
      <c r="AP259" t="s">
        <v>137</v>
      </c>
      <c r="AS259" t="s">
        <v>396</v>
      </c>
      <c r="JZ259" s="27" t="str">
        <f t="shared" si="371"/>
        <v>XT85</v>
      </c>
      <c r="KC259" t="str">
        <f t="shared" si="372"/>
        <v>F0-AI32-1B</v>
      </c>
      <c r="KD259" t="str">
        <f t="shared" si="373"/>
        <v>F0-AI32-2B</v>
      </c>
      <c r="KI259" cm="1">
        <f t="array" ref="KI259">IF(COUNTIFS($U$2:$U259,$U259)=1,1,INDEX(KI:KI,_xlfn.XMATCH(U259,U$1:U258,0,-1))+COUNT(KI258:KM258))</f>
        <v>1</v>
      </c>
      <c r="KJ259">
        <f t="shared" si="375"/>
        <v>2</v>
      </c>
      <c r="KK259">
        <f t="shared" si="375"/>
        <v>3</v>
      </c>
      <c r="KN259">
        <v>1</v>
      </c>
      <c r="KO259" s="16">
        <v>2</v>
      </c>
      <c r="KS259" s="16"/>
    </row>
    <row r="260" spans="1:305" x14ac:dyDescent="0.25">
      <c r="A260" t="s">
        <v>1771</v>
      </c>
      <c r="B260" t="s">
        <v>1747</v>
      </c>
      <c r="C260" t="s">
        <v>498</v>
      </c>
      <c r="P260" t="s">
        <v>482</v>
      </c>
      <c r="T260" s="14" t="s">
        <v>554</v>
      </c>
      <c r="U260">
        <v>85</v>
      </c>
      <c r="V260" t="s">
        <v>1735</v>
      </c>
      <c r="X260" t="str">
        <f>IF(COUNTIF(X$1:X259,X259)&gt;7,REPLACE(X259,LEN(X259),1,VALUE(RIGHT(X259,1))+1),X259)</f>
        <v>A3.32</v>
      </c>
      <c r="Y260" s="43" cm="1">
        <f t="array" ref="Y260">IF(COUNTIFS($X$2:$X260,$X260)=1,"1",VALUE(SUBSTITUTE(INDEX(Y:Y,_xlfn.XMATCH($X260,$X$1:$X259,0,-1)),"A",""))+INDEX(Z:Z,_xlfn.XMATCH($X260,$X$1:$X259,0,-1))+1)</f>
        <v>2</v>
      </c>
      <c r="Z260" s="43" cm="1">
        <f t="array" ref="Z260">SUM(IF(ISNUMBER(FIND("TmAi",$BE$1:$AAD$1)),IF(IFERROR(ISODD(SUBSTITUTE($BE260:$AAD260,"A","")),FALSE),IF(ISODD(SUBSTITUTE($BE260:$AAD260,"A","")),1,0),0)))</f>
        <v>0</v>
      </c>
      <c r="AA260" t="str">
        <f t="shared" si="369"/>
        <v>3B</v>
      </c>
      <c r="AB260" t="str">
        <f t="shared" si="370"/>
        <v>4B</v>
      </c>
      <c r="AP260" t="s">
        <v>137</v>
      </c>
      <c r="AS260" t="s">
        <v>396</v>
      </c>
      <c r="JZ260" s="27" t="str">
        <f t="shared" si="371"/>
        <v>XT85</v>
      </c>
      <c r="KC260" t="str">
        <f t="shared" si="372"/>
        <v>F0-AI32-3B</v>
      </c>
      <c r="KD260" t="str">
        <f t="shared" si="373"/>
        <v>F0-AI32-4B</v>
      </c>
      <c r="KI260" cm="1">
        <f t="array" ref="KI260">IF(COUNTIFS($U$2:$U260,$U260)=1,1,INDEX(KI:KI,_xlfn.XMATCH(U260,U$1:U259,0,-1))+COUNT(KI259:KM259))</f>
        <v>4</v>
      </c>
      <c r="KJ260">
        <f t="shared" si="375"/>
        <v>5</v>
      </c>
      <c r="KK260">
        <f t="shared" si="375"/>
        <v>6</v>
      </c>
      <c r="KN260">
        <v>1</v>
      </c>
      <c r="KO260" s="16">
        <v>2</v>
      </c>
      <c r="KS260" s="16"/>
    </row>
    <row r="261" spans="1:305" x14ac:dyDescent="0.25">
      <c r="A261" t="s">
        <v>1772</v>
      </c>
      <c r="B261" t="s">
        <v>1748</v>
      </c>
      <c r="C261" t="s">
        <v>498</v>
      </c>
      <c r="P261" t="s">
        <v>482</v>
      </c>
      <c r="T261" s="14" t="s">
        <v>554</v>
      </c>
      <c r="U261">
        <v>85</v>
      </c>
      <c r="V261" t="s">
        <v>1736</v>
      </c>
      <c r="X261" t="str">
        <f>IF(COUNTIF(X$1:X260,X260)&gt;7,REPLACE(X260,LEN(X260),1,VALUE(RIGHT(X260,1))+1),X260)</f>
        <v>A3.32</v>
      </c>
      <c r="Y261" s="43" cm="1">
        <f t="array" ref="Y261">IF(COUNTIFS($X$2:$X261,$X261)=1,"1",VALUE(SUBSTITUTE(INDEX(Y:Y,_xlfn.XMATCH($X261,$X$1:$X260,0,-1)),"A",""))+INDEX(Z:Z,_xlfn.XMATCH($X261,$X$1:$X260,0,-1))+1)</f>
        <v>3</v>
      </c>
      <c r="Z261" s="43" cm="1">
        <f t="array" ref="Z261">SUM(IF(ISNUMBER(FIND("TmAi",$BE$1:$AAD$1)),IF(IFERROR(ISODD(SUBSTITUTE($BE261:$AAD261,"A","")),FALSE),IF(ISODD(SUBSTITUTE($BE261:$AAD261,"A","")),1,0),0)))</f>
        <v>0</v>
      </c>
      <c r="AA261" t="str">
        <f t="shared" si="369"/>
        <v>5B</v>
      </c>
      <c r="AB261" t="str">
        <f t="shared" si="370"/>
        <v>6B</v>
      </c>
      <c r="AP261" t="s">
        <v>137</v>
      </c>
      <c r="AS261" t="s">
        <v>396</v>
      </c>
      <c r="JZ261" s="27" t="str">
        <f t="shared" si="371"/>
        <v>XT85</v>
      </c>
      <c r="KC261" t="str">
        <f t="shared" si="372"/>
        <v>F0-AI32-5B</v>
      </c>
      <c r="KD261" t="str">
        <f t="shared" si="373"/>
        <v>F0-AI32-6B</v>
      </c>
      <c r="KI261" cm="1">
        <f t="array" ref="KI261">IF(COUNTIFS($U$2:$U261,$U261)=1,1,INDEX(KI:KI,_xlfn.XMATCH(U261,U$1:U260,0,-1))+COUNT(KI260:KM260))</f>
        <v>7</v>
      </c>
      <c r="KJ261">
        <f t="shared" si="375"/>
        <v>8</v>
      </c>
      <c r="KK261">
        <f t="shared" si="375"/>
        <v>9</v>
      </c>
      <c r="KN261">
        <v>1</v>
      </c>
      <c r="KO261" s="16">
        <v>2</v>
      </c>
      <c r="KS261" s="16"/>
    </row>
    <row r="262" spans="1:305" x14ac:dyDescent="0.25">
      <c r="A262" t="s">
        <v>1773</v>
      </c>
      <c r="B262" s="33" t="s">
        <v>1749</v>
      </c>
      <c r="C262" t="s">
        <v>498</v>
      </c>
      <c r="P262" t="s">
        <v>482</v>
      </c>
      <c r="T262" s="14" t="s">
        <v>554</v>
      </c>
      <c r="U262">
        <v>85</v>
      </c>
      <c r="V262" t="s">
        <v>1737</v>
      </c>
      <c r="X262" t="str">
        <f>IF(COUNTIF(X$1:X261,X261)&gt;7,REPLACE(X261,LEN(X261),1,VALUE(RIGHT(X261,1))+1),X261)</f>
        <v>A3.32</v>
      </c>
      <c r="Y262" s="43" cm="1">
        <f t="array" ref="Y262">IF(COUNTIFS($X$2:$X262,$X262)=1,"1",VALUE(SUBSTITUTE(INDEX(Y:Y,_xlfn.XMATCH($X262,$X$1:$X261,0,-1)),"A",""))+INDEX(Z:Z,_xlfn.XMATCH($X262,$X$1:$X261,0,-1))+1)</f>
        <v>4</v>
      </c>
      <c r="Z262" s="43" cm="1">
        <f t="array" ref="Z262">SUM(IF(ISNUMBER(FIND("TmAi",$BE$1:$AAD$1)),IF(IFERROR(ISODD(SUBSTITUTE($BE262:$AAD262,"A","")),FALSE),IF(ISODD(SUBSTITUTE($BE262:$AAD262,"A","")),1,0),0)))</f>
        <v>0</v>
      </c>
      <c r="AA262" t="str">
        <f t="shared" si="369"/>
        <v>7B</v>
      </c>
      <c r="AB262" t="str">
        <f t="shared" si="370"/>
        <v>8B</v>
      </c>
      <c r="AP262" t="s">
        <v>137</v>
      </c>
      <c r="AS262" t="s">
        <v>396</v>
      </c>
      <c r="JZ262" s="27" t="str">
        <f t="shared" si="371"/>
        <v>XT85</v>
      </c>
      <c r="KC262" t="str">
        <f t="shared" si="372"/>
        <v>F0-AI32-7B</v>
      </c>
      <c r="KD262" t="str">
        <f t="shared" si="373"/>
        <v>F0-AI32-8B</v>
      </c>
      <c r="KI262" cm="1">
        <f t="array" ref="KI262">IF(COUNTIFS($U$2:$U262,$U262)=1,1,INDEX(KI:KI,_xlfn.XMATCH(U262,U$1:U261,0,-1))+COUNT(KI261:KM261))</f>
        <v>10</v>
      </c>
      <c r="KJ262">
        <f t="shared" si="375"/>
        <v>11</v>
      </c>
      <c r="KK262">
        <f t="shared" si="375"/>
        <v>12</v>
      </c>
      <c r="KN262">
        <v>1</v>
      </c>
      <c r="KO262" s="16">
        <v>2</v>
      </c>
      <c r="KS262" s="16"/>
    </row>
    <row r="263" spans="1:305" x14ac:dyDescent="0.25">
      <c r="A263" t="s">
        <v>1774</v>
      </c>
      <c r="B263" t="s">
        <v>1750</v>
      </c>
      <c r="C263" t="s">
        <v>498</v>
      </c>
      <c r="P263" t="s">
        <v>482</v>
      </c>
      <c r="T263" s="14" t="s">
        <v>554</v>
      </c>
      <c r="U263">
        <v>86</v>
      </c>
      <c r="V263" t="s">
        <v>1751</v>
      </c>
      <c r="X263" t="str">
        <f>IF(COUNTIF(X$1:X262,X262)&gt;7,REPLACE(X262,LEN(X262),1,VALUE(RIGHT(X262,1))+1),X262)</f>
        <v>A3.32</v>
      </c>
      <c r="Y263" s="43" cm="1">
        <f t="array" ref="Y263">IF(COUNTIFS($X$2:$X263,$X263)=1,"1",VALUE(SUBSTITUTE(INDEX(Y:Y,_xlfn.XMATCH($X263,$X$1:$X262,0,-1)),"A",""))+INDEX(Z:Z,_xlfn.XMATCH($X263,$X$1:$X262,0,-1))+1)</f>
        <v>5</v>
      </c>
      <c r="Z263" s="43" cm="1">
        <f t="array" ref="Z263">SUM(IF(ISNUMBER(FIND("TmAi",$BE$1:$AAD$1)),IF(IFERROR(ISODD(SUBSTITUTE($BE263:$AAD263,"A","")),FALSE),IF(ISODD(SUBSTITUTE($BE263:$AAD263,"A","")),1,0),0)))</f>
        <v>0</v>
      </c>
      <c r="AA263" t="str">
        <f t="shared" si="369"/>
        <v>9B</v>
      </c>
      <c r="AB263" t="str">
        <f t="shared" si="370"/>
        <v>10B</v>
      </c>
      <c r="AP263" t="s">
        <v>137</v>
      </c>
      <c r="AS263" t="s">
        <v>396</v>
      </c>
      <c r="JZ263" s="27" t="str">
        <f t="shared" si="371"/>
        <v>XT86</v>
      </c>
      <c r="KC263" t="str">
        <f t="shared" si="372"/>
        <v>F0-AI32-9B</v>
      </c>
      <c r="KD263" t="str">
        <f t="shared" si="373"/>
        <v>F0-AI32-10B</v>
      </c>
      <c r="KI263" cm="1">
        <f t="array" ref="KI263">IF(COUNTIFS($U$2:$U263,$U263)=1,1,INDEX(KI:KI,_xlfn.XMATCH(U263,U$1:U262,0,-1))+COUNT(KI262:KM262))</f>
        <v>1</v>
      </c>
      <c r="KJ263">
        <f t="shared" si="375"/>
        <v>2</v>
      </c>
      <c r="KK263">
        <f t="shared" si="375"/>
        <v>3</v>
      </c>
      <c r="KN263">
        <v>1</v>
      </c>
      <c r="KO263" s="16">
        <v>2</v>
      </c>
      <c r="KS263" s="16"/>
    </row>
    <row r="264" spans="1:305" x14ac:dyDescent="0.25">
      <c r="A264" t="s">
        <v>1775</v>
      </c>
      <c r="B264" t="s">
        <v>1752</v>
      </c>
      <c r="C264" t="s">
        <v>498</v>
      </c>
      <c r="P264" t="s">
        <v>482</v>
      </c>
      <c r="T264" s="14" t="s">
        <v>554</v>
      </c>
      <c r="U264">
        <v>86</v>
      </c>
      <c r="V264" t="s">
        <v>1753</v>
      </c>
      <c r="X264" t="str">
        <f>IF(COUNTIF(X$1:X263,X263)&gt;7,REPLACE(X263,LEN(X263),1,VALUE(RIGHT(X263,1))+1),X263)</f>
        <v>A3.32</v>
      </c>
      <c r="Y264" s="43" cm="1">
        <f t="array" ref="Y264">IF(COUNTIFS($X$2:$X264,$X264)=1,"1",VALUE(SUBSTITUTE(INDEX(Y:Y,_xlfn.XMATCH($X264,$X$1:$X263,0,-1)),"A",""))+INDEX(Z:Z,_xlfn.XMATCH($X264,$X$1:$X263,0,-1))+1)</f>
        <v>6</v>
      </c>
      <c r="Z264" s="43" cm="1">
        <f t="array" ref="Z264">SUM(IF(ISNUMBER(FIND("TmAi",$BE$1:$AAD$1)),IF(IFERROR(ISODD(SUBSTITUTE($BE264:$AAD264,"A","")),FALSE),IF(ISODD(SUBSTITUTE($BE264:$AAD264,"A","")),1,0),0)))</f>
        <v>0</v>
      </c>
      <c r="AA264" t="str">
        <f t="shared" si="369"/>
        <v>11B</v>
      </c>
      <c r="AB264" t="str">
        <f t="shared" si="370"/>
        <v>12B</v>
      </c>
      <c r="AP264" t="s">
        <v>137</v>
      </c>
      <c r="AS264" t="s">
        <v>396</v>
      </c>
      <c r="JZ264" s="27" t="str">
        <f t="shared" si="371"/>
        <v>XT86</v>
      </c>
      <c r="KC264" t="str">
        <f t="shared" si="372"/>
        <v>F0-AI32-11B</v>
      </c>
      <c r="KD264" t="str">
        <f t="shared" si="373"/>
        <v>F0-AI32-12B</v>
      </c>
      <c r="KI264" cm="1">
        <f t="array" ref="KI264">IF(COUNTIFS($U$2:$U264,$U264)=1,1,INDEX(KI:KI,_xlfn.XMATCH(U264,U$1:U263,0,-1))+COUNT(KI263:KM263))</f>
        <v>4</v>
      </c>
      <c r="KJ264">
        <f t="shared" si="375"/>
        <v>5</v>
      </c>
      <c r="KK264">
        <f t="shared" si="375"/>
        <v>6</v>
      </c>
      <c r="KN264">
        <v>1</v>
      </c>
      <c r="KO264" s="16">
        <v>2</v>
      </c>
      <c r="KS264" s="16"/>
    </row>
    <row r="265" spans="1:305" x14ac:dyDescent="0.25">
      <c r="A265" t="s">
        <v>1776</v>
      </c>
      <c r="B265" t="s">
        <v>1754</v>
      </c>
      <c r="C265" t="s">
        <v>498</v>
      </c>
      <c r="P265" t="s">
        <v>482</v>
      </c>
      <c r="T265" s="14" t="s">
        <v>554</v>
      </c>
      <c r="U265">
        <v>86</v>
      </c>
      <c r="V265" t="s">
        <v>1755</v>
      </c>
      <c r="X265" t="str">
        <f>IF(COUNTIF(X$1:X264,X264)&gt;7,REPLACE(X264,LEN(X264),1,VALUE(RIGHT(X264,1))+1),X264)</f>
        <v>A3.32</v>
      </c>
      <c r="Y265" s="43" cm="1">
        <f t="array" ref="Y265">IF(COUNTIFS($X$2:$X265,$X265)=1,"1",VALUE(SUBSTITUTE(INDEX(Y:Y,_xlfn.XMATCH($X265,$X$1:$X264,0,-1)),"A",""))+INDEX(Z:Z,_xlfn.XMATCH($X265,$X$1:$X264,0,-1))+1)</f>
        <v>7</v>
      </c>
      <c r="Z265" s="43" cm="1">
        <f t="array" ref="Z265">SUM(IF(ISNUMBER(FIND("TmAi",$BE$1:$AAD$1)),IF(IFERROR(ISODD(SUBSTITUTE($BE265:$AAD265,"A","")),FALSE),IF(ISODD(SUBSTITUTE($BE265:$AAD265,"A","")),1,0),0)))</f>
        <v>0</v>
      </c>
      <c r="AA265" t="str">
        <f t="shared" si="369"/>
        <v>13B</v>
      </c>
      <c r="AB265" t="str">
        <f t="shared" si="370"/>
        <v>14B</v>
      </c>
      <c r="AP265" t="s">
        <v>137</v>
      </c>
      <c r="AS265" t="s">
        <v>396</v>
      </c>
      <c r="JZ265" s="27" t="str">
        <f t="shared" si="371"/>
        <v>XT86</v>
      </c>
      <c r="KC265" t="str">
        <f t="shared" si="372"/>
        <v>F0-AI32-13B</v>
      </c>
      <c r="KD265" t="str">
        <f t="shared" si="373"/>
        <v>F0-AI32-14B</v>
      </c>
      <c r="KI265" cm="1">
        <f t="array" ref="KI265">IF(COUNTIFS($U$2:$U265,$U265)=1,1,INDEX(KI:KI,_xlfn.XMATCH(U265,U$1:U264,0,-1))+COUNT(KI264:KM264))</f>
        <v>7</v>
      </c>
      <c r="KJ265">
        <f t="shared" si="375"/>
        <v>8</v>
      </c>
      <c r="KK265">
        <f t="shared" si="375"/>
        <v>9</v>
      </c>
      <c r="KN265">
        <v>1</v>
      </c>
      <c r="KO265" s="16">
        <v>2</v>
      </c>
      <c r="KS265" s="16"/>
    </row>
    <row r="266" spans="1:305" ht="15.75" thickBot="1" x14ac:dyDescent="0.3">
      <c r="A266" t="s">
        <v>1777</v>
      </c>
      <c r="B266" s="33" t="s">
        <v>1756</v>
      </c>
      <c r="C266" t="s">
        <v>498</v>
      </c>
      <c r="P266" t="s">
        <v>482</v>
      </c>
      <c r="T266" s="14" t="s">
        <v>554</v>
      </c>
      <c r="U266">
        <v>86</v>
      </c>
      <c r="V266" t="s">
        <v>1757</v>
      </c>
      <c r="X266" t="str">
        <f>IF(COUNTIF(X$1:X265,X265)&gt;7,REPLACE(X265,LEN(X265),1,VALUE(RIGHT(X265,1))+1),X265)</f>
        <v>A3.32</v>
      </c>
      <c r="Y266" s="43" cm="1">
        <f t="array" ref="Y266">IF(COUNTIFS($X$2:$X266,$X266)=1,"1",VALUE(SUBSTITUTE(INDEX(Y:Y,_xlfn.XMATCH($X266,$X$1:$X265,0,-1)),"A",""))+INDEX(Z:Z,_xlfn.XMATCH($X266,$X$1:$X265,0,-1))+1)</f>
        <v>8</v>
      </c>
      <c r="Z266" s="43" cm="1">
        <f t="array" ref="Z266">SUM(IF(ISNUMBER(FIND("TmAi",$BE$1:$AAD$1)),IF(IFERROR(ISODD(SUBSTITUTE($BE266:$AAD266,"A","")),FALSE),IF(ISODD(SUBSTITUTE($BE266:$AAD266,"A","")),1,0),0)))</f>
        <v>0</v>
      </c>
      <c r="AA266" t="str">
        <f t="shared" si="369"/>
        <v>15B</v>
      </c>
      <c r="AB266" t="str">
        <f t="shared" si="370"/>
        <v>16B</v>
      </c>
      <c r="AP266" t="s">
        <v>137</v>
      </c>
      <c r="AS266" t="s">
        <v>396</v>
      </c>
      <c r="JZ266" s="27" t="str">
        <f t="shared" si="371"/>
        <v>XT86</v>
      </c>
      <c r="KC266" t="str">
        <f t="shared" si="372"/>
        <v>F0-AI32-15B</v>
      </c>
      <c r="KD266" t="str">
        <f t="shared" si="373"/>
        <v>F0-AI32-16B</v>
      </c>
      <c r="KI266" cm="1">
        <f t="array" ref="KI266">IF(COUNTIFS($U$2:$U266,$U266)=1,1,INDEX(KI:KI,_xlfn.XMATCH(U266,U$1:U265,0,-1))+COUNT(KI265:KM265))</f>
        <v>10</v>
      </c>
      <c r="KJ266">
        <f t="shared" si="375"/>
        <v>11</v>
      </c>
      <c r="KK266">
        <f t="shared" si="375"/>
        <v>12</v>
      </c>
      <c r="KN266">
        <v>1</v>
      </c>
      <c r="KO266" s="16">
        <v>2</v>
      </c>
      <c r="KS266" s="16"/>
    </row>
    <row r="267" spans="1:305" ht="15.75" thickBot="1" x14ac:dyDescent="0.3">
      <c r="A267" t="s">
        <v>1782</v>
      </c>
      <c r="B267" t="s">
        <v>1786</v>
      </c>
      <c r="C267" t="s">
        <v>1871</v>
      </c>
      <c r="P267" t="s">
        <v>1785</v>
      </c>
      <c r="T267" s="10" t="s">
        <v>554</v>
      </c>
      <c r="U267" s="49">
        <v>87</v>
      </c>
      <c r="V267" s="11" t="s">
        <v>1795</v>
      </c>
      <c r="W267" s="11" t="s">
        <v>1796</v>
      </c>
      <c r="X267" t="str">
        <f>IF(COUNTIF(X$1:X266,X266)&gt;7,REPLACE(X266,LEN(X266),1,VALUE(RIGHT(X266,1))+1),X266)</f>
        <v>A3.33</v>
      </c>
      <c r="Y267" s="43" t="str" cm="1">
        <f t="array" ref="Y267">IF(COUNTIFS(X$2:X267,X267)=1,"1",VALUE(SUBSTITUTE(INDEX(Y:Y,_xlfn.XMATCH(X267,X$1:X266,0,-1)),"A",""))+INDEX(Z:Z,_xlfn.XMATCH(X267,X$1:X266,0,-1))+1)</f>
        <v>1</v>
      </c>
      <c r="Z267" s="43" cm="1">
        <f t="array" ref="Z267">SUM(IF(ISNUMBER(FIND("TmAi",$BE$1:$AAD$1)),IF(IFERROR(ISODD(SUBSTITUTE($BE267:$AAD267,"A","")),FALSE),IF(ISODD(SUBSTITUTE($BE267:$AAD267,"A","")),1,0),0)))</f>
        <v>0</v>
      </c>
      <c r="AA267" t="str">
        <f>CONCATENATE($Y267*2-1,"A")</f>
        <v>1A</v>
      </c>
      <c r="AB267" t="str">
        <f>CONCATENATE($Y267*2-1,"B")</f>
        <v>1B</v>
      </c>
      <c r="AC267" t="s">
        <v>1788</v>
      </c>
      <c r="AD267" s="43" t="str" cm="1">
        <f t="array" ref="AD267">IF(COUNTIFS(AC$2:AC267,AC267)=1,"1",VALUE(SUBSTITUTE(INDEX(AD:AD,_xlfn.XMATCH(AC267,AC$1:AC266,0,-1)),"A",""))+INDEX(AE:AE,_xlfn.XMATCH(AC267,AC$1:AC266,0,-1))+1)</f>
        <v>1</v>
      </c>
      <c r="AE267" s="43" cm="1">
        <f t="array" ref="AE267">SUM(IF(ISNUMBER(FIND("TmDi",$BE$1:$AAD$1)),IF(IFERROR(ISNUMBER(VALUE(SUBSTITUTE($BE267:$AAD267,"B",""))),FALSE),IF(ISNUMBER(VALUE(SUBSTITUTE($BE267:$AAD267,"B",""))),1,0),0)))</f>
        <v>4</v>
      </c>
      <c r="AF267" t="str">
        <f>CONCATENATE("C",$AD267)</f>
        <v>C1</v>
      </c>
      <c r="AG267" t="str">
        <f>CONCATENATE("B",$AD267)</f>
        <v>B1</v>
      </c>
      <c r="AH267" s="11" t="s">
        <v>1793</v>
      </c>
      <c r="AI267" s="43" t="str" cm="1">
        <f t="array" ref="AI267">IF(COUNTIFS(AH$2:AH267,AH267)=1,"1",VALUE(SUBSTITUTE(INDEX(AI:AI,_xlfn.XMATCH(AH267,AH$1:AH266,0,-1)),"A",""))+INDEX(AJ:AJ,_xlfn.XMATCH(AH267,AH$1:AH266,0,-1))+1)</f>
        <v>1</v>
      </c>
      <c r="AJ267" s="43" cm="1">
        <f t="array" ref="AJ267">SUM(IF(ISNUMBER(FIND("TmDo",$BE$1:$AAD$1)),IF(IFERROR(ISNUMBER(VALUE(SUBSTITUTE($BE267:$AAD267,"B",""))),FALSE),IF(ISNUMBER(VALUE(SUBSTITUTE($BE267:$AAD267,"B",""))),1,0),0)))</f>
        <v>1</v>
      </c>
      <c r="AK267" s="11" t="str">
        <f>CONCATENATE($AI267,"B")</f>
        <v>1B</v>
      </c>
      <c r="AL267" s="11" t="str">
        <f>CONCATENATE($AI267,"A")</f>
        <v>1A</v>
      </c>
      <c r="AM267" s="12" t="s">
        <v>161</v>
      </c>
      <c r="AN267" s="12"/>
      <c r="AO267" s="12"/>
      <c r="AP267" s="12" t="s">
        <v>137</v>
      </c>
      <c r="AQ267" s="12" t="s">
        <v>1794</v>
      </c>
      <c r="AR267" s="12"/>
      <c r="AS267" s="12" t="s">
        <v>396</v>
      </c>
      <c r="AT267" s="12" t="s">
        <v>139</v>
      </c>
      <c r="AU267" s="12" t="s">
        <v>140</v>
      </c>
      <c r="AV267" s="12"/>
      <c r="AW267" s="12"/>
      <c r="AX267" s="12"/>
      <c r="AY267" s="12"/>
      <c r="AZ267" s="12"/>
      <c r="BA267" s="12"/>
      <c r="BB267" s="12"/>
      <c r="BC267" s="12"/>
      <c r="BD267" s="13"/>
      <c r="GT267" s="25" t="str">
        <f>CONCATENATE("XT",U267)</f>
        <v>XT87</v>
      </c>
      <c r="GU267" s="12" t="str">
        <f>CONCATENATE("C",REPLACE(AF267,1,1,"")+1)</f>
        <v>C2</v>
      </c>
      <c r="GV267" s="12" t="str">
        <f>CONCATENATE("B",REPLACE(AG267,1,1,"")+1)</f>
        <v>B2</v>
      </c>
      <c r="GW267" s="12" t="str">
        <f>CONCATENATE("C",REPLACE(GU267,1,1,"")+1)</f>
        <v>C3</v>
      </c>
      <c r="GX267" s="12" t="str">
        <f>CONCATENATE("B",REPLACE(GV267,1,1,"")+1)</f>
        <v>B3</v>
      </c>
      <c r="GY267" s="12" t="str">
        <f>CONCATENATE("C",REPLACE(GW267,1,1,"")+1)</f>
        <v>C4</v>
      </c>
      <c r="GZ267" s="12" t="str">
        <f>CONCATENATE("B",REPLACE(GX267,1,1,"")+1)</f>
        <v>B4</v>
      </c>
      <c r="HA267" s="12" t="str">
        <f>CONCATENATE("C",REPLACE(GY267,1,1,"")+1)</f>
        <v>C5</v>
      </c>
      <c r="HB267" s="12" t="str">
        <f>CONCATENATE("B",REPLACE(GZ267,1,1,"")+1)</f>
        <v>B5</v>
      </c>
      <c r="HC267" s="12"/>
      <c r="HD267" s="12"/>
      <c r="HE267" s="12" t="str">
        <f>CONCATENATE(REPLACE(AK267,LEN(AK267),1,"")+1,"B")</f>
        <v>2B</v>
      </c>
      <c r="HF267" s="12" t="str">
        <f>CONCATENATE(REPLACE(AL267,LEN(AL267),1,"")+1,"A")</f>
        <v>2A</v>
      </c>
      <c r="HG267" s="12" t="str">
        <f>CONCATENATE("AI",REPLACE($X267,1,3,""),"-",AA267)</f>
        <v>AI33-1A</v>
      </c>
      <c r="HH267" s="12" t="str">
        <f>CONCATENATE("AI",REPLACE($X267,1,3,""),"-",AB267)</f>
        <v>AI33-1B</v>
      </c>
      <c r="HI267" s="12" t="str">
        <f>CONCATENATE("DI",REPLACE($AC267,1,3,""),"-",AF267)</f>
        <v>DI14-C1</v>
      </c>
      <c r="HJ267" s="12" t="str">
        <f>CONCATENATE("DI",REPLACE($AC267,1,3,""),"-",AG267)</f>
        <v>DI14-B1</v>
      </c>
      <c r="HK267" s="12" t="str">
        <f t="shared" ref="HK267:HT267" si="376">CONCATENATE("DI",REPLACE($AC267,1,3,""),"-",GU267)</f>
        <v>DI14-C2</v>
      </c>
      <c r="HL267" s="12" t="str">
        <f t="shared" si="376"/>
        <v>DI14-B2</v>
      </c>
      <c r="HM267" s="12" t="str">
        <f t="shared" si="376"/>
        <v>DI14-C3</v>
      </c>
      <c r="HN267" s="12" t="str">
        <f t="shared" si="376"/>
        <v>DI14-B3</v>
      </c>
      <c r="HO267" s="12" t="str">
        <f t="shared" si="376"/>
        <v>DI14-C4</v>
      </c>
      <c r="HP267" s="12" t="str">
        <f t="shared" si="376"/>
        <v>DI14-B4</v>
      </c>
      <c r="HQ267" s="12" t="str">
        <f t="shared" si="376"/>
        <v>DI14-C5</v>
      </c>
      <c r="HR267" s="12" t="str">
        <f t="shared" si="376"/>
        <v>DI14-B5</v>
      </c>
      <c r="HS267" s="12" t="str">
        <f t="shared" si="376"/>
        <v>DI14-</v>
      </c>
      <c r="HT267" s="12" t="str">
        <f t="shared" si="376"/>
        <v>DI14-</v>
      </c>
      <c r="HU267" s="12" t="str">
        <f>CONCATENATE("DO",REPLACE($AH267,1,3,""),"-",AK267)</f>
        <v>DO8-1B</v>
      </c>
      <c r="HV267" s="12" t="str">
        <f>CONCATENATE("DO",REPLACE($AH267,1,3,""),"-",AL267)</f>
        <v>DO8-1A</v>
      </c>
      <c r="HW267" s="12" t="str">
        <f>CONCATENATE("DO",REPLACE($AH267,1,3,""),"-",HE267)</f>
        <v>DO8-2B</v>
      </c>
      <c r="HX267" s="12" t="str">
        <f>CONCATENATE("DO",REPLACE($AH267,1,3,""),"-",HF267)</f>
        <v>DO8-2A</v>
      </c>
      <c r="HY267" s="12" t="str">
        <f>CONCATENATE("K",$U267,"-01")</f>
        <v>K87-01</v>
      </c>
      <c r="HZ267" s="12" t="str">
        <f>CONCATENATE("K",$U267,"-02")</f>
        <v>K87-02</v>
      </c>
      <c r="IA267" s="12" t="str">
        <f>CONCATENATE("K",$U267,"-03")</f>
        <v>K87-03</v>
      </c>
      <c r="IB267" s="12" t="str">
        <f>CONCATENATE("K",$U267,"-04")</f>
        <v>K87-04</v>
      </c>
      <c r="IC267" s="12" t="str">
        <f>CONCATENATE("K",$U267,"-05")</f>
        <v>K87-05</v>
      </c>
      <c r="ID267" s="12" t="str">
        <f>CONCATENATE("K",$U267,"-06")</f>
        <v>K87-06</v>
      </c>
      <c r="IE267" s="12" t="str">
        <f>CONCATENATE("K",$U267,"-07")</f>
        <v>K87-07</v>
      </c>
      <c r="IF267" s="12" t="str">
        <f>CONCATENATE("K",$U267,"-08")</f>
        <v>K87-08</v>
      </c>
      <c r="IG267" s="12" t="str">
        <f>CONCATENATE($T267,"-M",$U267,"-AMS-12")</f>
        <v>F0-M87-AMS-12</v>
      </c>
      <c r="IH267" s="12" t="str">
        <f>CONCATENATE($T267,"-M",$U267,"-AMS-10")</f>
        <v>F0-M87-AMS-10</v>
      </c>
      <c r="II267" s="12" t="str">
        <f>CONCATENATE($T267,"-M",$U267,"-AMS-11")</f>
        <v>F0-M87-AMS-11</v>
      </c>
      <c r="IJ267" s="12" t="str">
        <f>CONCATENATE($T267,"-M",$U267,"-AMS-13")</f>
        <v>F0-M87-AMS-13</v>
      </c>
      <c r="IK267" s="12" t="str">
        <f>CONCATENATE($T267,"-M",$U267,"-AMS-9")</f>
        <v>F0-M87-AMS-9</v>
      </c>
      <c r="IL267" s="12" t="str">
        <f>CONCATENATE($T267,"-M",$U267,"-AMS-7")</f>
        <v>F0-M87-AMS-7</v>
      </c>
      <c r="IM267" s="12" t="str">
        <f>CONCATENATE($T267,"-M",$U267,"-AMS-18")</f>
        <v>F0-M87-AMS-18</v>
      </c>
      <c r="IN267" s="12" t="str">
        <f>CONCATENATE($T267,"-M",$U267,"-AMS-20")</f>
        <v>F0-M87-AMS-20</v>
      </c>
      <c r="IO267" s="12" t="str">
        <f>CONCATENATE($T267,"-M",$U267,"-AMS-17")</f>
        <v>F0-M87-AMS-17</v>
      </c>
      <c r="IP267" s="12" t="str">
        <f>CONCATENATE($T267,"-+24-M",$U267,)</f>
        <v>F0-+24-M87</v>
      </c>
      <c r="IQ267" s="12" t="str">
        <f>CONCATENATE($T267,"-M",$U267,"-XM01")</f>
        <v>F0-M87-XM01</v>
      </c>
      <c r="IR267" s="12" t="s">
        <v>142</v>
      </c>
      <c r="IS267" s="12" t="s">
        <v>143</v>
      </c>
      <c r="IT267" s="12">
        <v>11</v>
      </c>
      <c r="IU267" s="12">
        <v>14</v>
      </c>
      <c r="IV267" s="12" t="s">
        <v>413</v>
      </c>
      <c r="IW267" s="12" t="s">
        <v>414</v>
      </c>
      <c r="IX267" s="12">
        <v>1</v>
      </c>
      <c r="IY267" s="12">
        <v>2</v>
      </c>
      <c r="IZ267" s="12">
        <v>3</v>
      </c>
      <c r="JA267" s="12">
        <v>4</v>
      </c>
      <c r="JB267" s="12">
        <v>5</v>
      </c>
      <c r="JC267" s="12">
        <v>6</v>
      </c>
      <c r="JD267" s="12">
        <v>7</v>
      </c>
      <c r="JE267" s="12">
        <v>8</v>
      </c>
      <c r="JF267" s="12">
        <v>9</v>
      </c>
      <c r="JG267" s="12">
        <v>10</v>
      </c>
      <c r="JH267" s="12">
        <v>11</v>
      </c>
      <c r="JI267" s="12">
        <v>12</v>
      </c>
      <c r="JJ267" s="12">
        <v>13</v>
      </c>
      <c r="JK267" s="12">
        <v>14</v>
      </c>
      <c r="JL267" s="12">
        <v>17</v>
      </c>
      <c r="JM267" s="12">
        <v>15</v>
      </c>
      <c r="JN267" s="12">
        <v>18</v>
      </c>
      <c r="JO267" s="12">
        <v>11</v>
      </c>
      <c r="JP267" s="12">
        <v>9</v>
      </c>
      <c r="JQ267" s="12">
        <v>6</v>
      </c>
      <c r="JR267" s="12">
        <v>20</v>
      </c>
      <c r="JS267" s="12">
        <v>7</v>
      </c>
      <c r="JT267" s="12">
        <v>10</v>
      </c>
      <c r="JU267" s="12">
        <v>22</v>
      </c>
      <c r="JV267" s="12">
        <v>23</v>
      </c>
      <c r="JW267" s="12">
        <v>26</v>
      </c>
      <c r="JX267" s="12">
        <v>27</v>
      </c>
      <c r="JY267" s="13">
        <v>30</v>
      </c>
    </row>
    <row r="268" spans="1:305" ht="15.75" thickBot="1" x14ac:dyDescent="0.3">
      <c r="A268" t="s">
        <v>1783</v>
      </c>
      <c r="B268" t="s">
        <v>1787</v>
      </c>
      <c r="C268" s="3" t="s">
        <v>1872</v>
      </c>
      <c r="O268" s="2"/>
      <c r="P268" t="s">
        <v>1784</v>
      </c>
      <c r="Q268" s="1"/>
      <c r="S268" s="1"/>
      <c r="T268" s="21" t="s">
        <v>554</v>
      </c>
      <c r="U268" s="50">
        <v>88</v>
      </c>
      <c r="V268" s="18" t="s">
        <v>1797</v>
      </c>
      <c r="W268" s="22"/>
      <c r="X268" s="23"/>
      <c r="Y268" s="23"/>
      <c r="Z268" s="23"/>
      <c r="AA268" s="23"/>
      <c r="AB268" s="23"/>
      <c r="AC268" t="str">
        <f>IF(COUNTIF(AC$1:AC267,AC267)&gt;31,REPLACE(AC267,LEN(AC267),1,VALUE(RIGHT(AC267,1))+1),AC267)</f>
        <v>A5.14</v>
      </c>
      <c r="AD268" s="43" cm="1">
        <f t="array" ref="AD268">IF(COUNTIFS(AC$2:AC268,AC268)=1,"1",VALUE(SUBSTITUTE(INDEX(AD:AD,_xlfn.XMATCH(AC268,AC$1:AC267,0,-1)),"A",""))+INDEX(AE:AE,_xlfn.XMATCH(AC268,AC$1:AC267,0,-1))+1)</f>
        <v>6</v>
      </c>
      <c r="AE268" s="43" cm="1">
        <f t="array" ref="AE268">SUM(IF(ISNUMBER(FIND("TmDi",$BE$1:$AAD$1)),IF(IFERROR(ISNUMBER(VALUE(SUBSTITUTE($BE268:$AAD268,"B",""))),FALSE),IF(ISNUMBER(VALUE(SUBSTITUTE($BE268:$AAD268,"B",""))),1,0),0)))</f>
        <v>4</v>
      </c>
      <c r="AF268" t="str">
        <f>CONCATENATE("C",$AD268)</f>
        <v>C6</v>
      </c>
      <c r="AG268" t="str">
        <f>CONCATENATE("B",$AD268)</f>
        <v>B6</v>
      </c>
      <c r="AH268" t="str">
        <f>IF(AI267+AJ267&gt;31,REPLACE(AH267,LEN(AH267),1,VALUE(RIGHT(AH267,1))+1),AH267)</f>
        <v>A6.8</v>
      </c>
      <c r="AI268" s="43" cm="1">
        <f t="array" ref="AI268">IF(COUNTIFS(AH$2:AH268,AH268)=1,"1",VALUE(SUBSTITUTE(INDEX(AI:AI,_xlfn.XMATCH(AH268,AH$1:AH267,0,-1)),"A",""))+INDEX(AJ:AJ,_xlfn.XMATCH(AH268,AH$1:AH267,0,-1))+1)</f>
        <v>3</v>
      </c>
      <c r="AJ268" s="43" cm="1">
        <f t="array" ref="AJ268">SUM(IF(ISNUMBER(FIND("TmDo",$BE$1:$AAD$1)),IF(IFERROR(ISNUMBER(VALUE(SUBSTITUTE($BE268:$AAD268,"B",""))),FALSE),IF(ISNUMBER(VALUE(SUBSTITUTE($BE268:$AAD268,"B",""))),1,0),0)))</f>
        <v>2</v>
      </c>
      <c r="AK268" s="11" t="str">
        <f>CONCATENATE($AI268,"B")</f>
        <v>3B</v>
      </c>
      <c r="AL268" s="11" t="str">
        <f>CONCATENATE($AI268,"A")</f>
        <v>3A</v>
      </c>
      <c r="AM268" s="23" t="s">
        <v>150</v>
      </c>
      <c r="AN268" s="23"/>
      <c r="AO268" s="23"/>
      <c r="AP268" s="23" t="s">
        <v>137</v>
      </c>
      <c r="AQ268" s="23" t="s">
        <v>1794</v>
      </c>
      <c r="AR268" s="23"/>
      <c r="AS268" s="23"/>
      <c r="AT268" s="23" t="s">
        <v>139</v>
      </c>
      <c r="AU268" s="23" t="s">
        <v>140</v>
      </c>
      <c r="AV268" s="23"/>
      <c r="AW268" s="23"/>
      <c r="AX268" s="23"/>
      <c r="AY268" s="12"/>
      <c r="AZ268" s="12"/>
      <c r="BA268" s="12"/>
      <c r="BB268" s="12"/>
      <c r="BC268" s="12"/>
      <c r="BD268" s="13"/>
      <c r="BE268" s="23" t="str">
        <f>CONCATENATE("XT",U268)</f>
        <v>XT88</v>
      </c>
      <c r="BF268" s="23" t="str">
        <f>CONCATENATE("C",REPLACE(AF268,1,1,"")+1)</f>
        <v>C7</v>
      </c>
      <c r="BG268" s="23" t="str">
        <f t="shared" ref="BG268" si="377">CONCATENATE("B",REPLACE(AG268,1,1,"")+1)</f>
        <v>B7</v>
      </c>
      <c r="BH268" s="23" t="str">
        <f t="shared" ref="BH268" si="378">CONCATENATE("C",REPLACE(BF268,1,1,"")+1)</f>
        <v>C8</v>
      </c>
      <c r="BI268" s="23" t="str">
        <f t="shared" ref="BI268" si="379">CONCATENATE("B",REPLACE(BG268,1,1,"")+1)</f>
        <v>B8</v>
      </c>
      <c r="BJ268" s="23" t="str">
        <f t="shared" ref="BJ268" si="380">CONCATENATE("C",REPLACE(BH268,1,1,"")+1)</f>
        <v>C9</v>
      </c>
      <c r="BK268" s="23" t="str">
        <f t="shared" ref="BK268" si="381">CONCATENATE("B",REPLACE(BI268,1,1,"")+1)</f>
        <v>B9</v>
      </c>
      <c r="BL268" s="23" t="str">
        <f t="shared" ref="BL268" si="382">CONCATENATE("C",REPLACE(BJ268,1,1,"")+1)</f>
        <v>C10</v>
      </c>
      <c r="BM268" s="23" t="str">
        <f t="shared" ref="BM268" si="383">CONCATENATE("B",REPLACE(BK268,1,1,"")+1)</f>
        <v>B10</v>
      </c>
      <c r="BN268" s="23"/>
      <c r="BO268" s="23"/>
      <c r="BP268" s="23" t="str">
        <f t="shared" ref="BP268" si="384">CONCATENATE(REPLACE(AK268,LEN(AK268),1,"")+1,"B")</f>
        <v>4B</v>
      </c>
      <c r="BQ268" s="23" t="str">
        <f t="shared" ref="BQ268" si="385">CONCATENATE(REPLACE(AL268,LEN(AL268),1,"")+1,"A")</f>
        <v>4A</v>
      </c>
      <c r="BR268" s="23" t="str">
        <f t="shared" ref="BR268" si="386">CONCATENATE(REPLACE(BP268,LEN(BP268),1,"")+1,"B")</f>
        <v>5B</v>
      </c>
      <c r="BS268" s="23" t="str">
        <f t="shared" ref="BS268" si="387">CONCATENATE(REPLACE(BQ268,LEN(BQ268),1,"")+1,"A")</f>
        <v>5A</v>
      </c>
      <c r="BT268" s="23" t="str">
        <f>CONCATENATE("DI",REPLACE($AC268,1,3,""),"-",AF268)</f>
        <v>DI14-C6</v>
      </c>
      <c r="BU268" s="23" t="str">
        <f t="shared" ref="BU268" si="388">CONCATENATE("DI",REPLACE($AC268,1,3,""),"-",AG268)</f>
        <v>DI14-B6</v>
      </c>
      <c r="BV268" s="23" t="str">
        <f t="shared" ref="BV268:CE268" si="389">CONCATENATE("DI",REPLACE($AC268,1,3,""),"-",BF268)</f>
        <v>DI14-C7</v>
      </c>
      <c r="BW268" s="23" t="str">
        <f t="shared" si="389"/>
        <v>DI14-B7</v>
      </c>
      <c r="BX268" s="23" t="str">
        <f t="shared" si="389"/>
        <v>DI14-C8</v>
      </c>
      <c r="BY268" s="23" t="str">
        <f t="shared" si="389"/>
        <v>DI14-B8</v>
      </c>
      <c r="BZ268" s="23" t="str">
        <f t="shared" si="389"/>
        <v>DI14-C9</v>
      </c>
      <c r="CA268" s="23" t="str">
        <f t="shared" si="389"/>
        <v>DI14-B9</v>
      </c>
      <c r="CB268" s="23" t="str">
        <f t="shared" si="389"/>
        <v>DI14-C10</v>
      </c>
      <c r="CC268" s="23" t="str">
        <f t="shared" si="389"/>
        <v>DI14-B10</v>
      </c>
      <c r="CD268" s="23" t="str">
        <f t="shared" si="389"/>
        <v>DI14-</v>
      </c>
      <c r="CE268" s="23" t="str">
        <f t="shared" si="389"/>
        <v>DI14-</v>
      </c>
      <c r="CF268" s="23" t="str">
        <f t="shared" ref="CF268:CG268" si="390">CONCATENATE("DO",REPLACE($AH268,1,3,""),"-",AK268)</f>
        <v>DO8-3B</v>
      </c>
      <c r="CG268" s="23" t="str">
        <f t="shared" si="390"/>
        <v>DO8-3A</v>
      </c>
      <c r="CH268" s="23" t="str">
        <f t="shared" ref="CH268:CK268" si="391">CONCATENATE("DO",REPLACE($AH268,1,3,""),"-",BP268)</f>
        <v>DO8-4B</v>
      </c>
      <c r="CI268" s="23" t="str">
        <f t="shared" si="391"/>
        <v>DO8-4A</v>
      </c>
      <c r="CJ268" s="23" t="str">
        <f t="shared" si="391"/>
        <v>DO8-5B</v>
      </c>
      <c r="CK268" s="23" t="str">
        <f t="shared" si="391"/>
        <v>DO8-5A</v>
      </c>
      <c r="CL268" s="23" t="str">
        <f t="shared" ref="CL268" si="392">CONCATENATE("K",$U268,"-10")</f>
        <v>K88-10</v>
      </c>
      <c r="CM268" s="23" t="str">
        <f t="shared" ref="CM268" si="393">CONCATENATE("K",$U268,"-03")</f>
        <v>K88-03</v>
      </c>
      <c r="CN268" s="23" t="str">
        <f t="shared" ref="CN268" si="394">CONCATENATE("K",$U268,"-04")</f>
        <v>K88-04</v>
      </c>
      <c r="CO268" s="23" t="str">
        <f t="shared" ref="CO268" si="395">CONCATENATE("K",$U268,"-01")</f>
        <v>K88-01</v>
      </c>
      <c r="CP268" s="23" t="str">
        <f t="shared" ref="CP268" si="396">CONCATENATE("K",$U268,"-08")</f>
        <v>K88-08</v>
      </c>
      <c r="CQ268" s="23" t="str">
        <f t="shared" ref="CQ268" si="397">CONCATENATE("K",$U268,"-02")</f>
        <v>K88-02</v>
      </c>
      <c r="CR268" s="23" t="str">
        <f t="shared" ref="CR268" si="398">CONCATENATE("K",$U268,"-09")</f>
        <v>K88-09</v>
      </c>
      <c r="CS268" s="23" t="str">
        <f t="shared" ref="CS268" si="399">CONCATENATE("K",$U268,"-05")</f>
        <v>K88-05</v>
      </c>
      <c r="CT268" s="23" t="str">
        <f t="shared" ref="CT268" si="400">CONCATENATE("K",$U268,"-11")</f>
        <v>K88-11</v>
      </c>
      <c r="CU268" s="23" t="str">
        <f t="shared" ref="CU268" si="401">CONCATENATE($T268,"-M",$U268,"-A9")</f>
        <v>F0-M88-A9</v>
      </c>
      <c r="CV268" s="23" t="str">
        <f t="shared" ref="CV268" si="402">CONCATENATE($T268,"-M",$U268,"-A7")</f>
        <v>F0-M88-A7</v>
      </c>
      <c r="CW268" s="23" t="str">
        <f t="shared" ref="CW268" si="403">CONCATENATE($T268,"-M",$U268,"-A8")</f>
        <v>F0-M88-A8</v>
      </c>
      <c r="CX268" s="23" t="str">
        <f t="shared" ref="CX268" si="404">CONCATENATE($T268,"-M",$U268,"-A6")</f>
        <v>F0-M88-A6</v>
      </c>
      <c r="CY268" s="23" t="str">
        <f t="shared" ref="CY268" si="405">CONCATENATE($T268,"-M",$U268,"-A30")</f>
        <v>F0-M88-A30</v>
      </c>
      <c r="CZ268" s="23" t="str">
        <f t="shared" ref="CZ268" si="406">CONCATENATE($T268,"-M",$U268,"-N")</f>
        <v>F0-M88-N</v>
      </c>
      <c r="DA268" s="23" t="str">
        <f>CONCATENATE($T268,"-A220-M",U268)</f>
        <v>F0-A220-M88</v>
      </c>
      <c r="DB268" s="23" t="str">
        <f t="shared" ref="DB268" si="407">CONCATENATE($T268,"-M",$U268,"-XM01")</f>
        <v>F0-M88-XM01</v>
      </c>
      <c r="DC268" s="23" t="str">
        <f t="shared" ref="DC268" si="408">CONCATENATE($T268,"-M",$U268,"-A1")</f>
        <v>F0-M88-A1</v>
      </c>
      <c r="DD268" s="23" t="str">
        <f t="shared" ref="DD268" si="409">CONCATENATE($T268,"-M",$U268,"-A5")</f>
        <v>F0-M88-A5</v>
      </c>
      <c r="DE268" s="23" t="str">
        <f t="shared" ref="DE268" si="410">CONCATENATE($T268,"-M",$U268,"-A11")</f>
        <v>F0-M88-A11</v>
      </c>
      <c r="DF268" s="23" t="str">
        <f t="shared" ref="DF268" si="411">CONCATENATE($T268,"-M",$U268,"-A12")</f>
        <v>F0-M88-A12</v>
      </c>
      <c r="DG268" s="23" t="str">
        <f t="shared" ref="DG268" si="412">CONCATENATE($T268,"-M",$U268,"-A19")</f>
        <v>F0-M88-A19</v>
      </c>
      <c r="DH268" s="23" t="str">
        <f t="shared" ref="DH268" si="413">CONCATENATE($T268,"-M",$U268,"-A20")</f>
        <v>F0-M88-A20</v>
      </c>
      <c r="DI268" s="23" t="s">
        <v>142</v>
      </c>
      <c r="DJ268" s="23" t="s">
        <v>143</v>
      </c>
      <c r="DK268" s="23">
        <v>11</v>
      </c>
      <c r="DL268" s="23">
        <v>14</v>
      </c>
      <c r="DM268" s="23">
        <v>12</v>
      </c>
      <c r="DN268" s="23" t="s">
        <v>144</v>
      </c>
      <c r="DO268" s="23" t="s">
        <v>145</v>
      </c>
      <c r="DP268" s="23">
        <v>1</v>
      </c>
      <c r="DQ268" s="23">
        <v>2</v>
      </c>
      <c r="DR268" s="23">
        <v>3</v>
      </c>
      <c r="DS268" s="23">
        <v>4</v>
      </c>
      <c r="DT268" s="23">
        <v>5</v>
      </c>
      <c r="DU268" s="23">
        <v>6</v>
      </c>
      <c r="DV268" s="23">
        <v>7</v>
      </c>
      <c r="DW268" s="23">
        <v>8</v>
      </c>
      <c r="DX268" s="23">
        <v>9</v>
      </c>
      <c r="DY268" s="23">
        <v>10</v>
      </c>
      <c r="DZ268" s="23">
        <v>11</v>
      </c>
      <c r="EA268" s="23">
        <v>12</v>
      </c>
      <c r="EB268" s="23">
        <v>13</v>
      </c>
      <c r="EC268" s="23">
        <v>14</v>
      </c>
      <c r="ED268" s="23">
        <v>1</v>
      </c>
      <c r="EE268" s="23">
        <v>3</v>
      </c>
      <c r="EF268" s="23">
        <v>4</v>
      </c>
      <c r="EG268" s="23">
        <v>7</v>
      </c>
      <c r="EH268" s="23">
        <v>8</v>
      </c>
      <c r="EI268" s="23">
        <v>9</v>
      </c>
      <c r="EJ268" s="23">
        <v>10</v>
      </c>
      <c r="EK268" s="23">
        <v>13</v>
      </c>
      <c r="EL268" s="23">
        <v>14</v>
      </c>
      <c r="EM268" s="23">
        <v>15</v>
      </c>
      <c r="EN268" s="23">
        <v>16</v>
      </c>
      <c r="EO268" s="23">
        <v>22</v>
      </c>
      <c r="EP268" s="23">
        <v>23</v>
      </c>
      <c r="EQ268" s="24">
        <v>24</v>
      </c>
    </row>
    <row r="269" spans="1:305" ht="15.75" thickBot="1" x14ac:dyDescent="0.3">
      <c r="A269" t="s">
        <v>1844</v>
      </c>
      <c r="B269" t="s">
        <v>1798</v>
      </c>
      <c r="C269" t="s">
        <v>1871</v>
      </c>
      <c r="P269" t="s">
        <v>1785</v>
      </c>
      <c r="T269" s="10" t="s">
        <v>554</v>
      </c>
      <c r="U269" s="49">
        <v>89</v>
      </c>
      <c r="V269" s="11" t="s">
        <v>1799</v>
      </c>
      <c r="W269" s="11" t="s">
        <v>1800</v>
      </c>
      <c r="X269" t="str" cm="1">
        <f t="array" ref="X269">IF(COUNTIF(X$1:X268,INDEX(X$1:X268,MAX(IF(X$1:X268&lt;&gt;"",ROW(X$1:X268)))))&gt;7,REPLACE(INDEX(X$1:X268,MAX(IF(X$1:X268&lt;&gt;"",ROW(X$1:X268)))),LEN(INDEX(X$1:X268,MAX(IF(X$1:X268&lt;&gt;"",ROW(X$1:X268))))),1,VALUE(RIGHT(INDEX(X$1:X268,MAX(IF(X$1:X268&lt;&gt;"",ROW(X$1:X268)))),1))+1),INDEX(X$1:X268,MAX(IF(X$1:X268&lt;&gt;"",ROW(X$1:X268)))))</f>
        <v>A3.33</v>
      </c>
      <c r="Y269" s="43" cm="1">
        <f t="array" ref="Y269">IF(COUNTIFS(X$2:X269,X269)=1,"1",VALUE(SUBSTITUTE(INDEX(Y:Y,_xlfn.XMATCH(X269,X$1:X268,0,-1)),"A",""))+INDEX(Z:Z,_xlfn.XMATCH(X269,X$1:X268,0,-1))+1)</f>
        <v>2</v>
      </c>
      <c r="Z269" s="43" cm="1">
        <f t="array" ref="Z269">SUM(IF(ISNUMBER(FIND("TmAi",$BE$1:$AAD$1)),IF(IFERROR(ISODD(SUBSTITUTE($BE269:$AAD269,"A","")),FALSE),IF(ISODD(SUBSTITUTE($BE269:$AAD269,"A","")),1,0),0)))</f>
        <v>0</v>
      </c>
      <c r="AA269" t="str">
        <f t="shared" ref="AA269" si="414">CONCATENATE($Y269*2-1,"A")</f>
        <v>3A</v>
      </c>
      <c r="AB269" t="str">
        <f t="shared" ref="AB269" si="415">CONCATENATE($Y269*2-1,"B")</f>
        <v>3B</v>
      </c>
      <c r="AC269" t="str">
        <f>IF(COUNTIF(AC$1:AC268,AC268)&gt;31,REPLACE(AC268,LEN(AC268),1,VALUE(RIGHT(AC268,1))+1),AC268)</f>
        <v>A5.14</v>
      </c>
      <c r="AD269" s="43" cm="1">
        <f t="array" ref="AD269">IF(COUNTIFS(AC$2:AC269,AC269)=1,"1",VALUE(SUBSTITUTE(INDEX(AD:AD,_xlfn.XMATCH(AC269,AC$1:AC268,0,-1)),"A",""))+INDEX(AE:AE,_xlfn.XMATCH(AC269,AC$1:AC268,0,-1))+1)</f>
        <v>11</v>
      </c>
      <c r="AE269" s="43" cm="1">
        <f t="array" ref="AE269">SUM(IF(ISNUMBER(FIND("TmDi",$BE$1:$AAD$1)),IF(IFERROR(ISNUMBER(VALUE(SUBSTITUTE($BE269:$AAD269,"B",""))),FALSE),IF(ISNUMBER(VALUE(SUBSTITUTE($BE269:$AAD269,"B",""))),1,0),0)))</f>
        <v>4</v>
      </c>
      <c r="AF269" t="str">
        <f t="shared" ref="AF269:AF294" si="416">CONCATENATE("C",$AD269)</f>
        <v>C11</v>
      </c>
      <c r="AG269" t="str">
        <f t="shared" ref="AG269:AG294" si="417">CONCATENATE("B",$AD269)</f>
        <v>B11</v>
      </c>
      <c r="AH269" t="str">
        <f t="shared" ref="AH269:AH274" si="418">IF(AI268+AJ268&gt;31,REPLACE(AH268,LEN(AH268),1,VALUE(RIGHT(AH268,1))+1),AH268)</f>
        <v>A6.8</v>
      </c>
      <c r="AI269" s="43" cm="1">
        <f t="array" ref="AI269">IF(COUNTIFS(AH$2:AH269,AH269)=1,"1",VALUE(SUBSTITUTE(INDEX(AI:AI,_xlfn.XMATCH(AH269,AH$1:AH268,0,-1)),"A",""))+INDEX(AJ:AJ,_xlfn.XMATCH(AH269,AH$1:AH268,0,-1))+1)</f>
        <v>6</v>
      </c>
      <c r="AJ269" s="43" cm="1">
        <f t="array" ref="AJ269">SUM(IF(ISNUMBER(FIND("TmDo",$BE$1:$AAD$1)),IF(IFERROR(ISNUMBER(VALUE(SUBSTITUTE($BE269:$AAD269,"B",""))),FALSE),IF(ISNUMBER(VALUE(SUBSTITUTE($BE269:$AAD269,"B",""))),1,0),0)))</f>
        <v>1</v>
      </c>
      <c r="AK269" s="11" t="str">
        <f t="shared" ref="AK269:AK282" si="419">CONCATENATE($AI269,"B")</f>
        <v>6B</v>
      </c>
      <c r="AL269" s="11" t="str">
        <f t="shared" ref="AL269:AL282" si="420">CONCATENATE($AI269,"A")</f>
        <v>6A</v>
      </c>
      <c r="AM269" s="12" t="s">
        <v>161</v>
      </c>
      <c r="AN269" s="12"/>
      <c r="AO269" s="12"/>
      <c r="AP269" s="12" t="s">
        <v>137</v>
      </c>
      <c r="AQ269" s="12" t="s">
        <v>1794</v>
      </c>
      <c r="AR269" s="12"/>
      <c r="AS269" s="12" t="s">
        <v>396</v>
      </c>
      <c r="AT269" s="12" t="s">
        <v>139</v>
      </c>
      <c r="AU269" s="12" t="s">
        <v>140</v>
      </c>
      <c r="AV269" s="12"/>
      <c r="AW269" s="12"/>
      <c r="AX269" s="12"/>
      <c r="AY269" s="12"/>
      <c r="AZ269" s="12"/>
      <c r="BA269" s="12"/>
      <c r="BB269" s="12"/>
      <c r="BC269" s="12"/>
      <c r="BD269" s="13"/>
      <c r="GT269" s="25" t="str">
        <f t="shared" ref="GT269" si="421">CONCATENATE("XT",U269)</f>
        <v>XT89</v>
      </c>
      <c r="GU269" s="12" t="str">
        <f t="shared" ref="GU269" si="422">CONCATENATE("C",REPLACE(AF269,1,1,"")+1)</f>
        <v>C12</v>
      </c>
      <c r="GV269" s="12" t="str">
        <f t="shared" ref="GV269" si="423">CONCATENATE("B",REPLACE(AG269,1,1,"")+1)</f>
        <v>B12</v>
      </c>
      <c r="GW269" s="12" t="str">
        <f t="shared" ref="GW269" si="424">CONCATENATE("C",REPLACE(GU269,1,1,"")+1)</f>
        <v>C13</v>
      </c>
      <c r="GX269" s="12" t="str">
        <f t="shared" ref="GX269" si="425">CONCATENATE("B",REPLACE(GV269,1,1,"")+1)</f>
        <v>B13</v>
      </c>
      <c r="GY269" s="12" t="str">
        <f t="shared" ref="GY269" si="426">CONCATENATE("C",REPLACE(GW269,1,1,"")+1)</f>
        <v>C14</v>
      </c>
      <c r="GZ269" s="12" t="str">
        <f t="shared" ref="GZ269" si="427">CONCATENATE("B",REPLACE(GX269,1,1,"")+1)</f>
        <v>B14</v>
      </c>
      <c r="HA269" s="12" t="str">
        <f t="shared" ref="HA269" si="428">CONCATENATE("C",REPLACE(GY269,1,1,"")+1)</f>
        <v>C15</v>
      </c>
      <c r="HB269" s="12" t="str">
        <f t="shared" ref="HB269" si="429">CONCATENATE("B",REPLACE(GZ269,1,1,"")+1)</f>
        <v>B15</v>
      </c>
      <c r="HC269" s="12"/>
      <c r="HD269" s="12"/>
      <c r="HE269" s="12" t="str">
        <f t="shared" ref="HE269" si="430">CONCATENATE(REPLACE(AK269,LEN(AK269),1,"")+1,"B")</f>
        <v>7B</v>
      </c>
      <c r="HF269" s="12" t="str">
        <f t="shared" ref="HF269" si="431">CONCATENATE(REPLACE(AL269,LEN(AL269),1,"")+1,"A")</f>
        <v>7A</v>
      </c>
      <c r="HG269" s="12" t="str">
        <f t="shared" ref="HG269:HH269" si="432">CONCATENATE("AI",REPLACE($X269,1,3,""),"-",AA269)</f>
        <v>AI33-3A</v>
      </c>
      <c r="HH269" s="12" t="str">
        <f t="shared" si="432"/>
        <v>AI33-3B</v>
      </c>
      <c r="HI269" s="12" t="str">
        <f t="shared" ref="HI269:HJ269" si="433">CONCATENATE("DI",REPLACE($AC269,1,3,""),"-",AF269)</f>
        <v>DI14-C11</v>
      </c>
      <c r="HJ269" s="12" t="str">
        <f t="shared" si="433"/>
        <v>DI14-B11</v>
      </c>
      <c r="HK269" s="12" t="str">
        <f t="shared" ref="HK269:HT269" si="434">CONCATENATE("DI",REPLACE($AC269,1,3,""),"-",GU269)</f>
        <v>DI14-C12</v>
      </c>
      <c r="HL269" s="12" t="str">
        <f t="shared" si="434"/>
        <v>DI14-B12</v>
      </c>
      <c r="HM269" s="12" t="str">
        <f t="shared" si="434"/>
        <v>DI14-C13</v>
      </c>
      <c r="HN269" s="12" t="str">
        <f t="shared" si="434"/>
        <v>DI14-B13</v>
      </c>
      <c r="HO269" s="12" t="str">
        <f t="shared" si="434"/>
        <v>DI14-C14</v>
      </c>
      <c r="HP269" s="12" t="str">
        <f t="shared" si="434"/>
        <v>DI14-B14</v>
      </c>
      <c r="HQ269" s="12" t="str">
        <f t="shared" si="434"/>
        <v>DI14-C15</v>
      </c>
      <c r="HR269" s="12" t="str">
        <f t="shared" si="434"/>
        <v>DI14-B15</v>
      </c>
      <c r="HS269" s="12" t="str">
        <f t="shared" si="434"/>
        <v>DI14-</v>
      </c>
      <c r="HT269" s="12" t="str">
        <f t="shared" si="434"/>
        <v>DI14-</v>
      </c>
      <c r="HU269" s="12" t="str">
        <f t="shared" ref="HU269:HV269" si="435">CONCATENATE("DO",REPLACE($AH269,1,3,""),"-",AK269)</f>
        <v>DO8-6B</v>
      </c>
      <c r="HV269" s="12" t="str">
        <f t="shared" si="435"/>
        <v>DO8-6A</v>
      </c>
      <c r="HW269" s="12" t="str">
        <f t="shared" ref="HW269:HX269" si="436">CONCATENATE("DO",REPLACE($AH269,1,3,""),"-",HE269)</f>
        <v>DO8-7B</v>
      </c>
      <c r="HX269" s="12" t="str">
        <f t="shared" si="436"/>
        <v>DO8-7A</v>
      </c>
      <c r="HY269" s="12" t="str">
        <f t="shared" ref="HY269" si="437">CONCATENATE("K",$U269,"-01")</f>
        <v>K89-01</v>
      </c>
      <c r="HZ269" s="12" t="str">
        <f t="shared" ref="HZ269" si="438">CONCATENATE("K",$U269,"-02")</f>
        <v>K89-02</v>
      </c>
      <c r="IA269" s="12" t="str">
        <f t="shared" ref="IA269" si="439">CONCATENATE("K",$U269,"-03")</f>
        <v>K89-03</v>
      </c>
      <c r="IB269" s="12" t="str">
        <f t="shared" ref="IB269" si="440">CONCATENATE("K",$U269,"-04")</f>
        <v>K89-04</v>
      </c>
      <c r="IC269" s="12" t="str">
        <f t="shared" ref="IC269" si="441">CONCATENATE("K",$U269,"-05")</f>
        <v>K89-05</v>
      </c>
      <c r="ID269" s="12" t="str">
        <f t="shared" ref="ID269" si="442">CONCATENATE("K",$U269,"-06")</f>
        <v>K89-06</v>
      </c>
      <c r="IE269" s="12" t="str">
        <f t="shared" ref="IE269" si="443">CONCATENATE("K",$U269,"-07")</f>
        <v>K89-07</v>
      </c>
      <c r="IF269" s="12" t="str">
        <f t="shared" ref="IF269" si="444">CONCATENATE("K",$U269,"-08")</f>
        <v>K89-08</v>
      </c>
      <c r="IG269" s="12" t="str">
        <f t="shared" ref="IG269" si="445">CONCATENATE($T269,"-M",$U269,"-AMS-12")</f>
        <v>F0-M89-AMS-12</v>
      </c>
      <c r="IH269" s="12" t="str">
        <f t="shared" ref="IH269" si="446">CONCATENATE($T269,"-M",$U269,"-AMS-10")</f>
        <v>F0-M89-AMS-10</v>
      </c>
      <c r="II269" s="12" t="str">
        <f t="shared" ref="II269" si="447">CONCATENATE($T269,"-M",$U269,"-AMS-11")</f>
        <v>F0-M89-AMS-11</v>
      </c>
      <c r="IJ269" s="12" t="str">
        <f t="shared" ref="IJ269" si="448">CONCATENATE($T269,"-M",$U269,"-AMS-13")</f>
        <v>F0-M89-AMS-13</v>
      </c>
      <c r="IK269" s="12" t="str">
        <f t="shared" ref="IK269" si="449">CONCATENATE($T269,"-M",$U269,"-AMS-9")</f>
        <v>F0-M89-AMS-9</v>
      </c>
      <c r="IL269" s="12" t="str">
        <f t="shared" ref="IL269" si="450">CONCATENATE($T269,"-M",$U269,"-AMS-7")</f>
        <v>F0-M89-AMS-7</v>
      </c>
      <c r="IM269" s="12" t="str">
        <f t="shared" ref="IM269" si="451">CONCATENATE($T269,"-M",$U269,"-AMS-18")</f>
        <v>F0-M89-AMS-18</v>
      </c>
      <c r="IN269" s="12" t="str">
        <f t="shared" ref="IN269" si="452">CONCATENATE($T269,"-M",$U269,"-AMS-20")</f>
        <v>F0-M89-AMS-20</v>
      </c>
      <c r="IO269" s="12" t="str">
        <f t="shared" ref="IO269" si="453">CONCATENATE($T269,"-M",$U269,"-AMS-17")</f>
        <v>F0-M89-AMS-17</v>
      </c>
      <c r="IP269" s="12" t="str">
        <f t="shared" ref="IP269" si="454">CONCATENATE($T269,"-+24-M",$U269,)</f>
        <v>F0-+24-M89</v>
      </c>
      <c r="IQ269" s="12" t="str">
        <f t="shared" ref="IQ269" si="455">CONCATENATE($T269,"-M",$U269,"-XM01")</f>
        <v>F0-M89-XM01</v>
      </c>
      <c r="IR269" s="12" t="s">
        <v>142</v>
      </c>
      <c r="IS269" s="12" t="s">
        <v>143</v>
      </c>
      <c r="IT269" s="12">
        <v>11</v>
      </c>
      <c r="IU269" s="12">
        <v>14</v>
      </c>
      <c r="IV269" s="12" t="s">
        <v>413</v>
      </c>
      <c r="IW269" s="12" t="s">
        <v>414</v>
      </c>
      <c r="IX269" s="12">
        <v>1</v>
      </c>
      <c r="IY269" s="12">
        <v>2</v>
      </c>
      <c r="IZ269" s="12">
        <v>3</v>
      </c>
      <c r="JA269" s="12">
        <v>4</v>
      </c>
      <c r="JB269" s="12">
        <v>5</v>
      </c>
      <c r="JC269" s="12">
        <v>6</v>
      </c>
      <c r="JD269" s="12">
        <v>7</v>
      </c>
      <c r="JE269" s="12">
        <v>8</v>
      </c>
      <c r="JF269" s="12">
        <v>9</v>
      </c>
      <c r="JG269" s="12">
        <v>10</v>
      </c>
      <c r="JH269" s="12">
        <v>11</v>
      </c>
      <c r="JI269" s="12">
        <v>12</v>
      </c>
      <c r="JJ269" s="12">
        <v>13</v>
      </c>
      <c r="JK269" s="12">
        <v>14</v>
      </c>
      <c r="JL269" s="12">
        <v>17</v>
      </c>
      <c r="JM269" s="12">
        <v>15</v>
      </c>
      <c r="JN269" s="12">
        <v>18</v>
      </c>
      <c r="JO269" s="12">
        <v>11</v>
      </c>
      <c r="JP269" s="12">
        <v>9</v>
      </c>
      <c r="JQ269" s="12">
        <v>6</v>
      </c>
      <c r="JR269" s="12">
        <v>20</v>
      </c>
      <c r="JS269" s="12">
        <v>7</v>
      </c>
      <c r="JT269" s="12">
        <v>10</v>
      </c>
      <c r="JU269" s="12">
        <v>22</v>
      </c>
      <c r="JV269" s="12">
        <v>23</v>
      </c>
      <c r="JW269" s="12">
        <v>26</v>
      </c>
      <c r="JX269" s="12">
        <v>27</v>
      </c>
      <c r="JY269" s="13">
        <v>30</v>
      </c>
    </row>
    <row r="270" spans="1:305" ht="15.75" thickBot="1" x14ac:dyDescent="0.3">
      <c r="A270" t="s">
        <v>1845</v>
      </c>
      <c r="B270" t="s">
        <v>1803</v>
      </c>
      <c r="C270" s="3" t="s">
        <v>1872</v>
      </c>
      <c r="O270" s="2"/>
      <c r="P270" t="s">
        <v>1784</v>
      </c>
      <c r="Q270" s="1"/>
      <c r="S270" s="1"/>
      <c r="T270" s="21" t="s">
        <v>554</v>
      </c>
      <c r="U270" s="50">
        <v>90</v>
      </c>
      <c r="V270" s="18" t="s">
        <v>1804</v>
      </c>
      <c r="W270" s="22"/>
      <c r="X270" s="23"/>
      <c r="Y270" s="23"/>
      <c r="Z270" s="23"/>
      <c r="AA270" s="23"/>
      <c r="AB270" s="23"/>
      <c r="AC270" t="str">
        <f>IF(COUNTIF(AC$1:AC269,AC269)&gt;31,REPLACE(AC269,LEN(AC269),1,VALUE(RIGHT(AC269,1))+1),AC269)</f>
        <v>A5.14</v>
      </c>
      <c r="AD270" s="43" cm="1">
        <f t="array" ref="AD270">IF(COUNTIFS(AC$2:AC270,AC270)=1,"1",VALUE(SUBSTITUTE(INDEX(AD:AD,_xlfn.XMATCH(AC270,AC$1:AC269,0,-1)),"A",""))+INDEX(AE:AE,_xlfn.XMATCH(AC270,AC$1:AC269,0,-1))+1)</f>
        <v>16</v>
      </c>
      <c r="AE270" s="43" cm="1">
        <f t="array" ref="AE270">SUM(IF(ISNUMBER(FIND("TmDi",$BE$1:$AAD$1)),IF(IFERROR(ISNUMBER(VALUE(SUBSTITUTE($BE270:$AAD270,"B",""))),FALSE),IF(ISNUMBER(VALUE(SUBSTITUTE($BE270:$AAD270,"B",""))),1,0),0)))</f>
        <v>4</v>
      </c>
      <c r="AF270" t="str">
        <f t="shared" si="416"/>
        <v>C16</v>
      </c>
      <c r="AG270" t="str">
        <f t="shared" si="417"/>
        <v>B16</v>
      </c>
      <c r="AH270" t="str">
        <f t="shared" si="418"/>
        <v>A6.8</v>
      </c>
      <c r="AI270" s="43" cm="1">
        <f t="array" ref="AI270">IF(COUNTIFS(AH$2:AH270,AH270)=1,"1",VALUE(SUBSTITUTE(INDEX(AI:AI,_xlfn.XMATCH(AH270,AH$1:AH269,0,-1)),"A",""))+INDEX(AJ:AJ,_xlfn.XMATCH(AH270,AH$1:AH269,0,-1))+1)</f>
        <v>8</v>
      </c>
      <c r="AJ270" s="43" cm="1">
        <f t="array" ref="AJ270">SUM(IF(ISNUMBER(FIND("TmDo",$BE$1:$AAD$1)),IF(IFERROR(ISNUMBER(VALUE(SUBSTITUTE($BE270:$AAD270,"B",""))),FALSE),IF(ISNUMBER(VALUE(SUBSTITUTE($BE270:$AAD270,"B",""))),1,0),0)))</f>
        <v>2</v>
      </c>
      <c r="AK270" s="11" t="str">
        <f t="shared" si="419"/>
        <v>8B</v>
      </c>
      <c r="AL270" s="11" t="str">
        <f t="shared" si="420"/>
        <v>8A</v>
      </c>
      <c r="AM270" s="23" t="s">
        <v>150</v>
      </c>
      <c r="AN270" s="23"/>
      <c r="AO270" s="23"/>
      <c r="AP270" s="23" t="s">
        <v>137</v>
      </c>
      <c r="AQ270" s="23" t="s">
        <v>1794</v>
      </c>
      <c r="AR270" s="23"/>
      <c r="AS270" s="23"/>
      <c r="AT270" s="23" t="s">
        <v>139</v>
      </c>
      <c r="AU270" s="23" t="s">
        <v>140</v>
      </c>
      <c r="AV270" s="23"/>
      <c r="AW270" s="23"/>
      <c r="AX270" s="23"/>
      <c r="AY270" s="12"/>
      <c r="AZ270" s="12"/>
      <c r="BA270" s="12"/>
      <c r="BB270" s="12"/>
      <c r="BC270" s="12"/>
      <c r="BD270" s="13"/>
      <c r="BE270" s="23" t="str">
        <f t="shared" ref="BE270" si="456">CONCATENATE("XT",U270)</f>
        <v>XT90</v>
      </c>
      <c r="BF270" s="23" t="str">
        <f t="shared" ref="BF270" si="457">CONCATENATE("C",REPLACE(AF270,1,1,"")+1)</f>
        <v>C17</v>
      </c>
      <c r="BG270" s="23" t="str">
        <f t="shared" ref="BG270" si="458">CONCATENATE("B",REPLACE(AG270,1,1,"")+1)</f>
        <v>B17</v>
      </c>
      <c r="BH270" s="23" t="str">
        <f t="shared" ref="BH270" si="459">CONCATENATE("C",REPLACE(BF270,1,1,"")+1)</f>
        <v>C18</v>
      </c>
      <c r="BI270" s="23" t="str">
        <f t="shared" ref="BI270" si="460">CONCATENATE("B",REPLACE(BG270,1,1,"")+1)</f>
        <v>B18</v>
      </c>
      <c r="BJ270" s="23" t="str">
        <f t="shared" ref="BJ270" si="461">CONCATENATE("C",REPLACE(BH270,1,1,"")+1)</f>
        <v>C19</v>
      </c>
      <c r="BK270" s="23" t="str">
        <f t="shared" ref="BK270" si="462">CONCATENATE("B",REPLACE(BI270,1,1,"")+1)</f>
        <v>B19</v>
      </c>
      <c r="BL270" s="23" t="str">
        <f t="shared" ref="BL270" si="463">CONCATENATE("C",REPLACE(BJ270,1,1,"")+1)</f>
        <v>C20</v>
      </c>
      <c r="BM270" s="23" t="str">
        <f t="shared" ref="BM270" si="464">CONCATENATE("B",REPLACE(BK270,1,1,"")+1)</f>
        <v>B20</v>
      </c>
      <c r="BN270" s="23"/>
      <c r="BO270" s="23"/>
      <c r="BP270" s="23" t="str">
        <f t="shared" ref="BP270" si="465">CONCATENATE(REPLACE(AK270,LEN(AK270),1,"")+1,"B")</f>
        <v>9B</v>
      </c>
      <c r="BQ270" s="23" t="str">
        <f t="shared" ref="BQ270" si="466">CONCATENATE(REPLACE(AL270,LEN(AL270),1,"")+1,"A")</f>
        <v>9A</v>
      </c>
      <c r="BR270" s="23" t="str">
        <f t="shared" ref="BR270" si="467">CONCATENATE(REPLACE(BP270,LEN(BP270),1,"")+1,"B")</f>
        <v>10B</v>
      </c>
      <c r="BS270" s="23" t="str">
        <f t="shared" ref="BS270" si="468">CONCATENATE(REPLACE(BQ270,LEN(BQ270),1,"")+1,"A")</f>
        <v>10A</v>
      </c>
      <c r="BT270" s="23" t="str">
        <f t="shared" ref="BT270:BU270" si="469">CONCATENATE("DI",REPLACE($AC270,1,3,""),"-",AF270)</f>
        <v>DI14-C16</v>
      </c>
      <c r="BU270" s="23" t="str">
        <f t="shared" si="469"/>
        <v>DI14-B16</v>
      </c>
      <c r="BV270" s="23" t="str">
        <f t="shared" ref="BV270:CE270" si="470">CONCATENATE("DI",REPLACE($AC270,1,3,""),"-",BF270)</f>
        <v>DI14-C17</v>
      </c>
      <c r="BW270" s="23" t="str">
        <f t="shared" si="470"/>
        <v>DI14-B17</v>
      </c>
      <c r="BX270" s="23" t="str">
        <f t="shared" si="470"/>
        <v>DI14-C18</v>
      </c>
      <c r="BY270" s="23" t="str">
        <f t="shared" si="470"/>
        <v>DI14-B18</v>
      </c>
      <c r="BZ270" s="23" t="str">
        <f t="shared" si="470"/>
        <v>DI14-C19</v>
      </c>
      <c r="CA270" s="23" t="str">
        <f t="shared" si="470"/>
        <v>DI14-B19</v>
      </c>
      <c r="CB270" s="23" t="str">
        <f t="shared" si="470"/>
        <v>DI14-C20</v>
      </c>
      <c r="CC270" s="23" t="str">
        <f t="shared" si="470"/>
        <v>DI14-B20</v>
      </c>
      <c r="CD270" s="23" t="str">
        <f t="shared" si="470"/>
        <v>DI14-</v>
      </c>
      <c r="CE270" s="23" t="str">
        <f t="shared" si="470"/>
        <v>DI14-</v>
      </c>
      <c r="CF270" s="23" t="str">
        <f t="shared" ref="CF270:CG270" si="471">CONCATENATE("DO",REPLACE($AH270,1,3,""),"-",AK270)</f>
        <v>DO8-8B</v>
      </c>
      <c r="CG270" s="23" t="str">
        <f t="shared" si="471"/>
        <v>DO8-8A</v>
      </c>
      <c r="CH270" s="23" t="str">
        <f t="shared" ref="CH270:CK270" si="472">CONCATENATE("DO",REPLACE($AH270,1,3,""),"-",BP270)</f>
        <v>DO8-9B</v>
      </c>
      <c r="CI270" s="23" t="str">
        <f t="shared" si="472"/>
        <v>DO8-9A</v>
      </c>
      <c r="CJ270" s="23" t="str">
        <f t="shared" si="472"/>
        <v>DO8-10B</v>
      </c>
      <c r="CK270" s="23" t="str">
        <f t="shared" si="472"/>
        <v>DO8-10A</v>
      </c>
      <c r="CL270" s="23" t="str">
        <f t="shared" ref="CL270" si="473">CONCATENATE("K",$U270,"-10")</f>
        <v>K90-10</v>
      </c>
      <c r="CM270" s="23" t="str">
        <f t="shared" ref="CM270" si="474">CONCATENATE("K",$U270,"-03")</f>
        <v>K90-03</v>
      </c>
      <c r="CN270" s="23" t="str">
        <f t="shared" ref="CN270" si="475">CONCATENATE("K",$U270,"-04")</f>
        <v>K90-04</v>
      </c>
      <c r="CO270" s="23" t="str">
        <f t="shared" ref="CO270" si="476">CONCATENATE("K",$U270,"-01")</f>
        <v>K90-01</v>
      </c>
      <c r="CP270" s="23" t="str">
        <f t="shared" ref="CP270" si="477">CONCATENATE("K",$U270,"-08")</f>
        <v>K90-08</v>
      </c>
      <c r="CQ270" s="23" t="str">
        <f t="shared" ref="CQ270" si="478">CONCATENATE("K",$U270,"-02")</f>
        <v>K90-02</v>
      </c>
      <c r="CR270" s="23" t="str">
        <f t="shared" ref="CR270" si="479">CONCATENATE("K",$U270,"-09")</f>
        <v>K90-09</v>
      </c>
      <c r="CS270" s="23" t="str">
        <f t="shared" ref="CS270" si="480">CONCATENATE("K",$U270,"-05")</f>
        <v>K90-05</v>
      </c>
      <c r="CT270" s="23" t="str">
        <f t="shared" ref="CT270" si="481">CONCATENATE("K",$U270,"-11")</f>
        <v>K90-11</v>
      </c>
      <c r="CU270" s="23" t="str">
        <f t="shared" ref="CU270" si="482">CONCATENATE($T270,"-M",$U270,"-A9")</f>
        <v>F0-M90-A9</v>
      </c>
      <c r="CV270" s="23" t="str">
        <f t="shared" ref="CV270" si="483">CONCATENATE($T270,"-M",$U270,"-A7")</f>
        <v>F0-M90-A7</v>
      </c>
      <c r="CW270" s="23" t="str">
        <f t="shared" ref="CW270" si="484">CONCATENATE($T270,"-M",$U270,"-A8")</f>
        <v>F0-M90-A8</v>
      </c>
      <c r="CX270" s="23" t="str">
        <f t="shared" ref="CX270" si="485">CONCATENATE($T270,"-M",$U270,"-A6")</f>
        <v>F0-M90-A6</v>
      </c>
      <c r="CY270" s="23" t="str">
        <f t="shared" ref="CY270" si="486">CONCATENATE($T270,"-M",$U270,"-A30")</f>
        <v>F0-M90-A30</v>
      </c>
      <c r="CZ270" s="23" t="str">
        <f t="shared" ref="CZ270" si="487">CONCATENATE($T270,"-M",$U270,"-N")</f>
        <v>F0-M90-N</v>
      </c>
      <c r="DA270" s="23" t="str">
        <f t="shared" ref="DA270" si="488">CONCATENATE($T270,"-A220-M",U270)</f>
        <v>F0-A220-M90</v>
      </c>
      <c r="DB270" s="23" t="str">
        <f t="shared" ref="DB270" si="489">CONCATENATE($T270,"-M",$U270,"-XM01")</f>
        <v>F0-M90-XM01</v>
      </c>
      <c r="DC270" s="23" t="str">
        <f t="shared" ref="DC270" si="490">CONCATENATE($T270,"-M",$U270,"-A1")</f>
        <v>F0-M90-A1</v>
      </c>
      <c r="DD270" s="23" t="str">
        <f t="shared" ref="DD270" si="491">CONCATENATE($T270,"-M",$U270,"-A5")</f>
        <v>F0-M90-A5</v>
      </c>
      <c r="DE270" s="23" t="str">
        <f t="shared" ref="DE270" si="492">CONCATENATE($T270,"-M",$U270,"-A11")</f>
        <v>F0-M90-A11</v>
      </c>
      <c r="DF270" s="23" t="str">
        <f t="shared" ref="DF270" si="493">CONCATENATE($T270,"-M",$U270,"-A12")</f>
        <v>F0-M90-A12</v>
      </c>
      <c r="DG270" s="23" t="str">
        <f t="shared" ref="DG270" si="494">CONCATENATE($T270,"-M",$U270,"-A19")</f>
        <v>F0-M90-A19</v>
      </c>
      <c r="DH270" s="23" t="str">
        <f t="shared" ref="DH270" si="495">CONCATENATE($T270,"-M",$U270,"-A20")</f>
        <v>F0-M90-A20</v>
      </c>
      <c r="DI270" s="23" t="s">
        <v>142</v>
      </c>
      <c r="DJ270" s="23" t="s">
        <v>143</v>
      </c>
      <c r="DK270" s="23">
        <v>11</v>
      </c>
      <c r="DL270" s="23">
        <v>14</v>
      </c>
      <c r="DM270" s="23">
        <v>12</v>
      </c>
      <c r="DN270" s="23" t="s">
        <v>144</v>
      </c>
      <c r="DO270" s="23" t="s">
        <v>1805</v>
      </c>
      <c r="DP270" s="23">
        <v>1</v>
      </c>
      <c r="DQ270" s="23">
        <v>2</v>
      </c>
      <c r="DR270" s="23">
        <v>3</v>
      </c>
      <c r="DS270" s="23">
        <v>4</v>
      </c>
      <c r="DT270" s="23">
        <v>5</v>
      </c>
      <c r="DU270" s="23">
        <v>6</v>
      </c>
      <c r="DV270" s="23">
        <v>7</v>
      </c>
      <c r="DW270" s="23">
        <v>8</v>
      </c>
      <c r="DX270" s="23">
        <v>9</v>
      </c>
      <c r="DY270" s="23">
        <v>10</v>
      </c>
      <c r="DZ270" s="23">
        <v>11</v>
      </c>
      <c r="EA270" s="23">
        <v>12</v>
      </c>
      <c r="EB270" s="23">
        <v>13</v>
      </c>
      <c r="EC270" s="23">
        <v>14</v>
      </c>
      <c r="ED270" s="23">
        <v>1</v>
      </c>
      <c r="EE270" s="23">
        <v>3</v>
      </c>
      <c r="EF270" s="23">
        <v>4</v>
      </c>
      <c r="EG270" s="23">
        <v>7</v>
      </c>
      <c r="EH270" s="23">
        <v>8</v>
      </c>
      <c r="EI270" s="23">
        <v>9</v>
      </c>
      <c r="EJ270" s="23">
        <v>10</v>
      </c>
      <c r="EK270" s="23">
        <v>13</v>
      </c>
      <c r="EL270" s="23">
        <v>14</v>
      </c>
      <c r="EM270" s="23">
        <v>15</v>
      </c>
      <c r="EN270" s="23">
        <v>16</v>
      </c>
      <c r="EO270" s="23">
        <v>22</v>
      </c>
      <c r="EP270" s="23">
        <v>23</v>
      </c>
      <c r="EQ270" s="24">
        <v>24</v>
      </c>
    </row>
    <row r="271" spans="1:305" ht="15.75" thickBot="1" x14ac:dyDescent="0.3">
      <c r="A271" t="s">
        <v>1846</v>
      </c>
      <c r="B271" t="s">
        <v>1806</v>
      </c>
      <c r="C271" t="s">
        <v>1871</v>
      </c>
      <c r="P271" t="s">
        <v>1785</v>
      </c>
      <c r="T271" s="10" t="s">
        <v>554</v>
      </c>
      <c r="U271" s="49">
        <v>91</v>
      </c>
      <c r="V271" s="11" t="s">
        <v>1807</v>
      </c>
      <c r="W271" s="11" t="s">
        <v>1808</v>
      </c>
      <c r="X271" t="str" cm="1">
        <f t="array" ref="X271">IF(COUNTIF(X$1:X270,INDEX(X$1:X270,MAX(IF(X$1:X270&lt;&gt;"",ROW(X$1:X270)))))&gt;7,REPLACE(INDEX(X$1:X270,MAX(IF(X$1:X270&lt;&gt;"",ROW(X$1:X270)))),LEN(INDEX(X$1:X270,MAX(IF(X$1:X270&lt;&gt;"",ROW(X$1:X270))))),1,VALUE(RIGHT(INDEX(X$1:X270,MAX(IF(X$1:X270&lt;&gt;"",ROW(X$1:X270)))),1))+1),INDEX(X$1:X270,MAX(IF(X$1:X270&lt;&gt;"",ROW(X$1:X270)))))</f>
        <v>A3.33</v>
      </c>
      <c r="Y271" s="43" cm="1">
        <f t="array" ref="Y271">IF(COUNTIFS(X$2:X271,X271)=1,"1",VALUE(SUBSTITUTE(INDEX(Y:Y,_xlfn.XMATCH(X271,X$1:X270,0,-1)),"A",""))+INDEX(Z:Z,_xlfn.XMATCH(X271,X$1:X270,0,-1))+1)</f>
        <v>3</v>
      </c>
      <c r="Z271" s="43" cm="1">
        <f t="array" ref="Z271">SUM(IF(ISNUMBER(FIND("TmAi",$BE$1:$AAD$1)),IF(IFERROR(ISODD(SUBSTITUTE($BE271:$AAD271,"A","")),FALSE),IF(ISODD(SUBSTITUTE($BE271:$AAD271,"A","")),1,0),0)))</f>
        <v>0</v>
      </c>
      <c r="AA271" t="str">
        <f t="shared" ref="AA271" si="496">CONCATENATE($Y271*2-1,"A")</f>
        <v>5A</v>
      </c>
      <c r="AB271" t="str">
        <f t="shared" ref="AB271" si="497">CONCATENATE($Y271*2-1,"B")</f>
        <v>5B</v>
      </c>
      <c r="AC271" t="s">
        <v>1801</v>
      </c>
      <c r="AD271" s="43" t="str" cm="1">
        <f t="array" ref="AD271">IF(COUNTIFS(AC$2:AC271,AC271)=1,"1",VALUE(SUBSTITUTE(INDEX(AD$1:AD270,_xlfn.XMATCH(AC271,AC$1:AC270,0,-1)),"A",""))+INDEX(AE$1:AE$270,_xlfn.XMATCH(AC271,AC$1:AC270,0,-1))+1)</f>
        <v>1</v>
      </c>
      <c r="AE271" s="43" cm="1">
        <f t="array" ref="AE271">SUM(IF(ISNUMBER(FIND("TmDi",$BE$1:$AAD$1)),IF(IFERROR(ISNUMBER(VALUE(SUBSTITUTE($BE271:$AAD271,"B",""))),FALSE),IF(ISNUMBER(VALUE(SUBSTITUTE($BE271:$AAD271,"B",""))),1,0),0)))</f>
        <v>4</v>
      </c>
      <c r="AF271" t="str">
        <f t="shared" si="416"/>
        <v>C1</v>
      </c>
      <c r="AG271" t="str">
        <f t="shared" si="417"/>
        <v>B1</v>
      </c>
      <c r="AH271" t="str">
        <f t="shared" si="418"/>
        <v>A6.8</v>
      </c>
      <c r="AI271" s="43" cm="1">
        <f t="array" ref="AI271">IF(COUNTIFS(AH$2:AH271,AH271)=1,"1",VALUE(SUBSTITUTE(INDEX(AI:AI,_xlfn.XMATCH(AH271,AH$1:AH270,0,-1)),"A",""))+INDEX(AJ:AJ,_xlfn.XMATCH(AH271,AH$1:AH270,0,-1))+1)</f>
        <v>11</v>
      </c>
      <c r="AJ271" s="43" cm="1">
        <f t="array" ref="AJ271">SUM(IF(ISNUMBER(FIND("TmDo",$BE$1:$AAD$1)),IF(IFERROR(ISNUMBER(VALUE(SUBSTITUTE($BE271:$AAD271,"B",""))),FALSE),IF(ISNUMBER(VALUE(SUBSTITUTE($BE271:$AAD271,"B",""))),1,0),0)))</f>
        <v>1</v>
      </c>
      <c r="AK271" s="11" t="str">
        <f t="shared" si="419"/>
        <v>11B</v>
      </c>
      <c r="AL271" s="11" t="str">
        <f t="shared" si="420"/>
        <v>11A</v>
      </c>
      <c r="AM271" s="12" t="s">
        <v>161</v>
      </c>
      <c r="AN271" s="12"/>
      <c r="AO271" s="12"/>
      <c r="AP271" s="12" t="s">
        <v>137</v>
      </c>
      <c r="AQ271" s="12" t="s">
        <v>1794</v>
      </c>
      <c r="AR271" s="12"/>
      <c r="AS271" s="12" t="s">
        <v>396</v>
      </c>
      <c r="AT271" s="12" t="s">
        <v>139</v>
      </c>
      <c r="AU271" s="12" t="s">
        <v>140</v>
      </c>
      <c r="AV271" s="12"/>
      <c r="AW271" s="12"/>
      <c r="AX271" s="12"/>
      <c r="AY271" s="12"/>
      <c r="AZ271" s="12"/>
      <c r="BA271" s="12"/>
      <c r="BB271" s="12"/>
      <c r="BC271" s="12"/>
      <c r="BD271" s="13"/>
      <c r="GT271" s="25" t="str">
        <f t="shared" ref="GT271" si="498">CONCATENATE("XT",U271)</f>
        <v>XT91</v>
      </c>
      <c r="GU271" s="12" t="str">
        <f t="shared" ref="GU271" si="499">CONCATENATE("C",REPLACE(AF271,1,1,"")+1)</f>
        <v>C2</v>
      </c>
      <c r="GV271" s="12" t="str">
        <f t="shared" ref="GV271" si="500">CONCATENATE("B",REPLACE(AG271,1,1,"")+1)</f>
        <v>B2</v>
      </c>
      <c r="GW271" s="12" t="str">
        <f t="shared" ref="GW271" si="501">CONCATENATE("C",REPLACE(GU271,1,1,"")+1)</f>
        <v>C3</v>
      </c>
      <c r="GX271" s="12" t="str">
        <f t="shared" ref="GX271" si="502">CONCATENATE("B",REPLACE(GV271,1,1,"")+1)</f>
        <v>B3</v>
      </c>
      <c r="GY271" s="12" t="str">
        <f t="shared" ref="GY271" si="503">CONCATENATE("C",REPLACE(GW271,1,1,"")+1)</f>
        <v>C4</v>
      </c>
      <c r="GZ271" s="12" t="str">
        <f t="shared" ref="GZ271" si="504">CONCATENATE("B",REPLACE(GX271,1,1,"")+1)</f>
        <v>B4</v>
      </c>
      <c r="HA271" s="12" t="str">
        <f t="shared" ref="HA271" si="505">CONCATENATE("C",REPLACE(GY271,1,1,"")+1)</f>
        <v>C5</v>
      </c>
      <c r="HB271" s="12" t="str">
        <f t="shared" ref="HB271" si="506">CONCATENATE("B",REPLACE(GZ271,1,1,"")+1)</f>
        <v>B5</v>
      </c>
      <c r="HC271" s="12"/>
      <c r="HD271" s="12"/>
      <c r="HE271" s="12" t="str">
        <f t="shared" ref="HE271" si="507">CONCATENATE(REPLACE(AK271,LEN(AK271),1,"")+1,"B")</f>
        <v>12B</v>
      </c>
      <c r="HF271" s="12" t="str">
        <f t="shared" ref="HF271" si="508">CONCATENATE(REPLACE(AL271,LEN(AL271),1,"")+1,"A")</f>
        <v>12A</v>
      </c>
      <c r="HG271" s="12" t="str">
        <f t="shared" ref="HG271:HH271" si="509">CONCATENATE("AI",REPLACE($X271,1,3,""),"-",AA271)</f>
        <v>AI33-5A</v>
      </c>
      <c r="HH271" s="12" t="str">
        <f t="shared" si="509"/>
        <v>AI33-5B</v>
      </c>
      <c r="HI271" s="12" t="str">
        <f t="shared" ref="HI271:HJ271" si="510">CONCATENATE("DI",REPLACE($AC271,1,3,""),"-",AF271)</f>
        <v>DI15-C1</v>
      </c>
      <c r="HJ271" s="12" t="str">
        <f t="shared" si="510"/>
        <v>DI15-B1</v>
      </c>
      <c r="HK271" s="12" t="str">
        <f t="shared" ref="HK271:HT271" si="511">CONCATENATE("DI",REPLACE($AC271,1,3,""),"-",GU271)</f>
        <v>DI15-C2</v>
      </c>
      <c r="HL271" s="12" t="str">
        <f t="shared" si="511"/>
        <v>DI15-B2</v>
      </c>
      <c r="HM271" s="12" t="str">
        <f t="shared" si="511"/>
        <v>DI15-C3</v>
      </c>
      <c r="HN271" s="12" t="str">
        <f t="shared" si="511"/>
        <v>DI15-B3</v>
      </c>
      <c r="HO271" s="12" t="str">
        <f t="shared" si="511"/>
        <v>DI15-C4</v>
      </c>
      <c r="HP271" s="12" t="str">
        <f t="shared" si="511"/>
        <v>DI15-B4</v>
      </c>
      <c r="HQ271" s="12" t="str">
        <f t="shared" si="511"/>
        <v>DI15-C5</v>
      </c>
      <c r="HR271" s="12" t="str">
        <f t="shared" si="511"/>
        <v>DI15-B5</v>
      </c>
      <c r="HS271" s="12" t="str">
        <f t="shared" si="511"/>
        <v>DI15-</v>
      </c>
      <c r="HT271" s="12" t="str">
        <f t="shared" si="511"/>
        <v>DI15-</v>
      </c>
      <c r="HU271" s="12" t="str">
        <f t="shared" ref="HU271:HV271" si="512">CONCATENATE("DO",REPLACE($AH271,1,3,""),"-",AK271)</f>
        <v>DO8-11B</v>
      </c>
      <c r="HV271" s="12" t="str">
        <f t="shared" si="512"/>
        <v>DO8-11A</v>
      </c>
      <c r="HW271" s="12" t="str">
        <f t="shared" ref="HW271:HX271" si="513">CONCATENATE("DO",REPLACE($AH271,1,3,""),"-",HE271)</f>
        <v>DO8-12B</v>
      </c>
      <c r="HX271" s="12" t="str">
        <f t="shared" si="513"/>
        <v>DO8-12A</v>
      </c>
      <c r="HY271" s="12" t="str">
        <f t="shared" ref="HY271" si="514">CONCATENATE("K",$U271,"-01")</f>
        <v>K91-01</v>
      </c>
      <c r="HZ271" s="12" t="str">
        <f t="shared" ref="HZ271" si="515">CONCATENATE("K",$U271,"-02")</f>
        <v>K91-02</v>
      </c>
      <c r="IA271" s="12" t="str">
        <f t="shared" ref="IA271" si="516">CONCATENATE("K",$U271,"-03")</f>
        <v>K91-03</v>
      </c>
      <c r="IB271" s="12" t="str">
        <f t="shared" ref="IB271" si="517">CONCATENATE("K",$U271,"-04")</f>
        <v>K91-04</v>
      </c>
      <c r="IC271" s="12" t="str">
        <f t="shared" ref="IC271" si="518">CONCATENATE("K",$U271,"-05")</f>
        <v>K91-05</v>
      </c>
      <c r="ID271" s="12" t="str">
        <f t="shared" ref="ID271" si="519">CONCATENATE("K",$U271,"-06")</f>
        <v>K91-06</v>
      </c>
      <c r="IE271" s="12" t="str">
        <f t="shared" ref="IE271" si="520">CONCATENATE("K",$U271,"-07")</f>
        <v>K91-07</v>
      </c>
      <c r="IF271" s="12" t="str">
        <f t="shared" ref="IF271" si="521">CONCATENATE("K",$U271,"-08")</f>
        <v>K91-08</v>
      </c>
      <c r="IG271" s="12" t="str">
        <f t="shared" ref="IG271" si="522">CONCATENATE($T271,"-M",$U271,"-AMS-12")</f>
        <v>F0-M91-AMS-12</v>
      </c>
      <c r="IH271" s="12" t="str">
        <f t="shared" ref="IH271" si="523">CONCATENATE($T271,"-M",$U271,"-AMS-10")</f>
        <v>F0-M91-AMS-10</v>
      </c>
      <c r="II271" s="12" t="str">
        <f t="shared" ref="II271" si="524">CONCATENATE($T271,"-M",$U271,"-AMS-11")</f>
        <v>F0-M91-AMS-11</v>
      </c>
      <c r="IJ271" s="12" t="str">
        <f t="shared" ref="IJ271" si="525">CONCATENATE($T271,"-M",$U271,"-AMS-13")</f>
        <v>F0-M91-AMS-13</v>
      </c>
      <c r="IK271" s="12" t="str">
        <f t="shared" ref="IK271" si="526">CONCATENATE($T271,"-M",$U271,"-AMS-9")</f>
        <v>F0-M91-AMS-9</v>
      </c>
      <c r="IL271" s="12" t="str">
        <f t="shared" ref="IL271" si="527">CONCATENATE($T271,"-M",$U271,"-AMS-7")</f>
        <v>F0-M91-AMS-7</v>
      </c>
      <c r="IM271" s="12" t="str">
        <f t="shared" ref="IM271" si="528">CONCATENATE($T271,"-M",$U271,"-AMS-18")</f>
        <v>F0-M91-AMS-18</v>
      </c>
      <c r="IN271" s="12" t="str">
        <f t="shared" ref="IN271" si="529">CONCATENATE($T271,"-M",$U271,"-AMS-20")</f>
        <v>F0-M91-AMS-20</v>
      </c>
      <c r="IO271" s="12" t="str">
        <f t="shared" ref="IO271" si="530">CONCATENATE($T271,"-M",$U271,"-AMS-17")</f>
        <v>F0-M91-AMS-17</v>
      </c>
      <c r="IP271" s="12" t="str">
        <f t="shared" ref="IP271" si="531">CONCATENATE($T271,"-+24-M",$U271,)</f>
        <v>F0-+24-M91</v>
      </c>
      <c r="IQ271" s="12" t="str">
        <f t="shared" ref="IQ271" si="532">CONCATENATE($T271,"-M",$U271,"-XM01")</f>
        <v>F0-M91-XM01</v>
      </c>
      <c r="IR271" s="12" t="s">
        <v>142</v>
      </c>
      <c r="IS271" s="12" t="s">
        <v>143</v>
      </c>
      <c r="IT271" s="12">
        <v>11</v>
      </c>
      <c r="IU271" s="12">
        <v>14</v>
      </c>
      <c r="IV271" s="12" t="s">
        <v>413</v>
      </c>
      <c r="IW271" s="12" t="s">
        <v>414</v>
      </c>
      <c r="IX271" s="12">
        <v>1</v>
      </c>
      <c r="IY271" s="12">
        <v>2</v>
      </c>
      <c r="IZ271" s="12">
        <v>3</v>
      </c>
      <c r="JA271" s="12">
        <v>4</v>
      </c>
      <c r="JB271" s="12">
        <v>5</v>
      </c>
      <c r="JC271" s="12">
        <v>6</v>
      </c>
      <c r="JD271" s="12">
        <v>7</v>
      </c>
      <c r="JE271" s="12">
        <v>8</v>
      </c>
      <c r="JF271" s="12">
        <v>9</v>
      </c>
      <c r="JG271" s="12">
        <v>10</v>
      </c>
      <c r="JH271" s="12">
        <v>11</v>
      </c>
      <c r="JI271" s="12">
        <v>12</v>
      </c>
      <c r="JJ271" s="12">
        <v>13</v>
      </c>
      <c r="JK271" s="12">
        <v>14</v>
      </c>
      <c r="JL271" s="12">
        <v>17</v>
      </c>
      <c r="JM271" s="12">
        <v>15</v>
      </c>
      <c r="JN271" s="12">
        <v>18</v>
      </c>
      <c r="JO271" s="12">
        <v>11</v>
      </c>
      <c r="JP271" s="12">
        <v>9</v>
      </c>
      <c r="JQ271" s="12">
        <v>6</v>
      </c>
      <c r="JR271" s="12">
        <v>20</v>
      </c>
      <c r="JS271" s="12">
        <v>7</v>
      </c>
      <c r="JT271" s="12">
        <v>10</v>
      </c>
      <c r="JU271" s="12">
        <v>22</v>
      </c>
      <c r="JV271" s="12">
        <v>23</v>
      </c>
      <c r="JW271" s="12">
        <v>26</v>
      </c>
      <c r="JX271" s="12">
        <v>27</v>
      </c>
      <c r="JY271" s="13">
        <v>30</v>
      </c>
    </row>
    <row r="272" spans="1:305" ht="15.75" thickBot="1" x14ac:dyDescent="0.3">
      <c r="A272" t="s">
        <v>1847</v>
      </c>
      <c r="B272" t="s">
        <v>1810</v>
      </c>
      <c r="C272" s="3" t="s">
        <v>1872</v>
      </c>
      <c r="O272" s="2"/>
      <c r="P272" t="s">
        <v>1784</v>
      </c>
      <c r="Q272" s="1"/>
      <c r="S272" s="1"/>
      <c r="T272" s="21" t="s">
        <v>554</v>
      </c>
      <c r="U272" s="50">
        <v>92</v>
      </c>
      <c r="V272" s="18" t="s">
        <v>1811</v>
      </c>
      <c r="W272" s="22"/>
      <c r="X272" s="23"/>
      <c r="Y272" s="23"/>
      <c r="Z272" s="23"/>
      <c r="AA272" s="23"/>
      <c r="AB272" s="23"/>
      <c r="AC272" t="str">
        <f t="shared" ref="AC272:AC274" si="533">IF(AD271+AE271&gt;31,REPLACE(AC271,LEN(AC271),1,VALUE(RIGHT(AC271,1))+1),AC271)</f>
        <v>A5.15</v>
      </c>
      <c r="AD272" s="43" cm="1">
        <f t="array" ref="AD272">IF(COUNTIFS(AC$2:AC272,AC272)=1,"1",VALUE(SUBSTITUTE(INDEX(AD:AD,_xlfn.XMATCH(AC272,AC$1:AC271,0,-1)),"A",""))+INDEX(AE:AE,_xlfn.XMATCH(AC272,AC$1:AC271,0,-1))+1)</f>
        <v>6</v>
      </c>
      <c r="AE272" s="43" cm="1">
        <f t="array" ref="AE272">SUM(IF(ISNUMBER(FIND("TmDi",$BE$1:$AAD$1)),IF(IFERROR(ISNUMBER(VALUE(SUBSTITUTE($BE272:$AAD272,"B",""))),FALSE),IF(ISNUMBER(VALUE(SUBSTITUTE($BE272:$AAD272,"B",""))),1,0),0)))</f>
        <v>4</v>
      </c>
      <c r="AF272" t="str">
        <f t="shared" si="416"/>
        <v>C6</v>
      </c>
      <c r="AG272" t="str">
        <f t="shared" si="417"/>
        <v>B6</v>
      </c>
      <c r="AH272" t="str">
        <f t="shared" si="418"/>
        <v>A6.8</v>
      </c>
      <c r="AI272" s="43" cm="1">
        <f t="array" ref="AI272">IF(COUNTIFS(AH$2:AH272,AH272)=1,"1",VALUE(SUBSTITUTE(INDEX(AI:AI,_xlfn.XMATCH(AH272,AH$1:AH271,0,-1)),"A",""))+INDEX(AJ:AJ,_xlfn.XMATCH(AH272,AH$1:AH271,0,-1))+1)</f>
        <v>13</v>
      </c>
      <c r="AJ272" s="43" cm="1">
        <f t="array" ref="AJ272">SUM(IF(ISNUMBER(FIND("TmDo",$BE$1:$AAD$1)),IF(IFERROR(ISNUMBER(VALUE(SUBSTITUTE($BE272:$AAD272,"B",""))),FALSE),IF(ISNUMBER(VALUE(SUBSTITUTE($BE272:$AAD272,"B",""))),1,0),0)))</f>
        <v>2</v>
      </c>
      <c r="AK272" s="11" t="str">
        <f t="shared" si="419"/>
        <v>13B</v>
      </c>
      <c r="AL272" s="11" t="str">
        <f t="shared" si="420"/>
        <v>13A</v>
      </c>
      <c r="AM272" s="23" t="s">
        <v>150</v>
      </c>
      <c r="AN272" s="23"/>
      <c r="AO272" s="23"/>
      <c r="AP272" s="23" t="s">
        <v>137</v>
      </c>
      <c r="AQ272" s="23" t="s">
        <v>1794</v>
      </c>
      <c r="AR272" s="23"/>
      <c r="AS272" s="23"/>
      <c r="AT272" s="23" t="s">
        <v>139</v>
      </c>
      <c r="AU272" s="23" t="s">
        <v>140</v>
      </c>
      <c r="AV272" s="23"/>
      <c r="AW272" s="23"/>
      <c r="AX272" s="23"/>
      <c r="AY272" s="12"/>
      <c r="AZ272" s="12"/>
      <c r="BA272" s="12"/>
      <c r="BB272" s="12"/>
      <c r="BC272" s="12"/>
      <c r="BD272" s="13"/>
      <c r="BE272" s="23" t="str">
        <f t="shared" ref="BE272" si="534">CONCATENATE("XT",U272)</f>
        <v>XT92</v>
      </c>
      <c r="BF272" s="23" t="str">
        <f t="shared" ref="BF272" si="535">CONCATENATE("C",REPLACE(AF272,1,1,"")+1)</f>
        <v>C7</v>
      </c>
      <c r="BG272" s="23" t="str">
        <f t="shared" ref="BG272" si="536">CONCATENATE("B",REPLACE(AG272,1,1,"")+1)</f>
        <v>B7</v>
      </c>
      <c r="BH272" s="23" t="str">
        <f t="shared" ref="BH272" si="537">CONCATENATE("C",REPLACE(BF272,1,1,"")+1)</f>
        <v>C8</v>
      </c>
      <c r="BI272" s="23" t="str">
        <f t="shared" ref="BI272" si="538">CONCATENATE("B",REPLACE(BG272,1,1,"")+1)</f>
        <v>B8</v>
      </c>
      <c r="BJ272" s="23" t="str">
        <f t="shared" ref="BJ272" si="539">CONCATENATE("C",REPLACE(BH272,1,1,"")+1)</f>
        <v>C9</v>
      </c>
      <c r="BK272" s="23" t="str">
        <f t="shared" ref="BK272" si="540">CONCATENATE("B",REPLACE(BI272,1,1,"")+1)</f>
        <v>B9</v>
      </c>
      <c r="BL272" s="23" t="str">
        <f t="shared" ref="BL272" si="541">CONCATENATE("C",REPLACE(BJ272,1,1,"")+1)</f>
        <v>C10</v>
      </c>
      <c r="BM272" s="23" t="str">
        <f t="shared" ref="BM272" si="542">CONCATENATE("B",REPLACE(BK272,1,1,"")+1)</f>
        <v>B10</v>
      </c>
      <c r="BN272" s="23"/>
      <c r="BO272" s="23"/>
      <c r="BP272" s="23" t="str">
        <f t="shared" ref="BP272" si="543">CONCATENATE(REPLACE(AK272,LEN(AK272),1,"")+1,"B")</f>
        <v>14B</v>
      </c>
      <c r="BQ272" s="23" t="str">
        <f t="shared" ref="BQ272" si="544">CONCATENATE(REPLACE(AL272,LEN(AL272),1,"")+1,"A")</f>
        <v>14A</v>
      </c>
      <c r="BR272" s="23" t="str">
        <f t="shared" ref="BR272" si="545">CONCATENATE(REPLACE(BP272,LEN(BP272),1,"")+1,"B")</f>
        <v>15B</v>
      </c>
      <c r="BS272" s="23" t="str">
        <f t="shared" ref="BS272" si="546">CONCATENATE(REPLACE(BQ272,LEN(BQ272),1,"")+1,"A")</f>
        <v>15A</v>
      </c>
      <c r="BT272" s="23" t="str">
        <f t="shared" ref="BT272:BU272" si="547">CONCATENATE("DI",REPLACE($AC272,1,3,""),"-",AF272)</f>
        <v>DI15-C6</v>
      </c>
      <c r="BU272" s="23" t="str">
        <f t="shared" si="547"/>
        <v>DI15-B6</v>
      </c>
      <c r="BV272" s="23" t="str">
        <f t="shared" ref="BV272:CE272" si="548">CONCATENATE("DI",REPLACE($AC272,1,3,""),"-",BF272)</f>
        <v>DI15-C7</v>
      </c>
      <c r="BW272" s="23" t="str">
        <f t="shared" si="548"/>
        <v>DI15-B7</v>
      </c>
      <c r="BX272" s="23" t="str">
        <f t="shared" si="548"/>
        <v>DI15-C8</v>
      </c>
      <c r="BY272" s="23" t="str">
        <f t="shared" si="548"/>
        <v>DI15-B8</v>
      </c>
      <c r="BZ272" s="23" t="str">
        <f t="shared" si="548"/>
        <v>DI15-C9</v>
      </c>
      <c r="CA272" s="23" t="str">
        <f t="shared" si="548"/>
        <v>DI15-B9</v>
      </c>
      <c r="CB272" s="23" t="str">
        <f t="shared" si="548"/>
        <v>DI15-C10</v>
      </c>
      <c r="CC272" s="23" t="str">
        <f t="shared" si="548"/>
        <v>DI15-B10</v>
      </c>
      <c r="CD272" s="23" t="str">
        <f t="shared" si="548"/>
        <v>DI15-</v>
      </c>
      <c r="CE272" s="23" t="str">
        <f t="shared" si="548"/>
        <v>DI15-</v>
      </c>
      <c r="CF272" s="23" t="str">
        <f t="shared" ref="CF272:CG272" si="549">CONCATENATE("DO",REPLACE($AH272,1,3,""),"-",AK272)</f>
        <v>DO8-13B</v>
      </c>
      <c r="CG272" s="23" t="str">
        <f t="shared" si="549"/>
        <v>DO8-13A</v>
      </c>
      <c r="CH272" s="23" t="str">
        <f t="shared" ref="CH272:CK272" si="550">CONCATENATE("DO",REPLACE($AH272,1,3,""),"-",BP272)</f>
        <v>DO8-14B</v>
      </c>
      <c r="CI272" s="23" t="str">
        <f t="shared" si="550"/>
        <v>DO8-14A</v>
      </c>
      <c r="CJ272" s="23" t="str">
        <f t="shared" si="550"/>
        <v>DO8-15B</v>
      </c>
      <c r="CK272" s="23" t="str">
        <f t="shared" si="550"/>
        <v>DO8-15A</v>
      </c>
      <c r="CL272" s="23" t="str">
        <f t="shared" ref="CL272" si="551">CONCATENATE("K",$U272,"-10")</f>
        <v>K92-10</v>
      </c>
      <c r="CM272" s="23" t="str">
        <f t="shared" ref="CM272" si="552">CONCATENATE("K",$U272,"-03")</f>
        <v>K92-03</v>
      </c>
      <c r="CN272" s="23" t="str">
        <f t="shared" ref="CN272" si="553">CONCATENATE("K",$U272,"-04")</f>
        <v>K92-04</v>
      </c>
      <c r="CO272" s="23" t="str">
        <f t="shared" ref="CO272" si="554">CONCATENATE("K",$U272,"-01")</f>
        <v>K92-01</v>
      </c>
      <c r="CP272" s="23" t="str">
        <f t="shared" ref="CP272" si="555">CONCATENATE("K",$U272,"-08")</f>
        <v>K92-08</v>
      </c>
      <c r="CQ272" s="23" t="str">
        <f t="shared" ref="CQ272" si="556">CONCATENATE("K",$U272,"-02")</f>
        <v>K92-02</v>
      </c>
      <c r="CR272" s="23" t="str">
        <f t="shared" ref="CR272" si="557">CONCATENATE("K",$U272,"-09")</f>
        <v>K92-09</v>
      </c>
      <c r="CS272" s="23" t="str">
        <f t="shared" ref="CS272" si="558">CONCATENATE("K",$U272,"-05")</f>
        <v>K92-05</v>
      </c>
      <c r="CT272" s="23" t="str">
        <f t="shared" ref="CT272" si="559">CONCATENATE("K",$U272,"-11")</f>
        <v>K92-11</v>
      </c>
      <c r="CU272" s="23" t="str">
        <f t="shared" ref="CU272" si="560">CONCATENATE($T272,"-M",$U272,"-A9")</f>
        <v>F0-M92-A9</v>
      </c>
      <c r="CV272" s="23" t="str">
        <f t="shared" ref="CV272" si="561">CONCATENATE($T272,"-M",$U272,"-A7")</f>
        <v>F0-M92-A7</v>
      </c>
      <c r="CW272" s="23" t="str">
        <f t="shared" ref="CW272" si="562">CONCATENATE($T272,"-M",$U272,"-A8")</f>
        <v>F0-M92-A8</v>
      </c>
      <c r="CX272" s="23" t="str">
        <f t="shared" ref="CX272" si="563">CONCATENATE($T272,"-M",$U272,"-A6")</f>
        <v>F0-M92-A6</v>
      </c>
      <c r="CY272" s="23" t="str">
        <f t="shared" ref="CY272" si="564">CONCATENATE($T272,"-M",$U272,"-A30")</f>
        <v>F0-M92-A30</v>
      </c>
      <c r="CZ272" s="23" t="str">
        <f t="shared" ref="CZ272" si="565">CONCATENATE($T272,"-M",$U272,"-N")</f>
        <v>F0-M92-N</v>
      </c>
      <c r="DA272" s="23" t="str">
        <f t="shared" ref="DA272" si="566">CONCATENATE($T272,"-A220-M",U272)</f>
        <v>F0-A220-M92</v>
      </c>
      <c r="DB272" s="23" t="str">
        <f t="shared" ref="DB272" si="567">CONCATENATE($T272,"-M",$U272,"-XM01")</f>
        <v>F0-M92-XM01</v>
      </c>
      <c r="DC272" s="23" t="str">
        <f t="shared" ref="DC272" si="568">CONCATENATE($T272,"-M",$U272,"-A1")</f>
        <v>F0-M92-A1</v>
      </c>
      <c r="DD272" s="23" t="str">
        <f t="shared" ref="DD272" si="569">CONCATENATE($T272,"-M",$U272,"-A5")</f>
        <v>F0-M92-A5</v>
      </c>
      <c r="DE272" s="23" t="str">
        <f t="shared" ref="DE272" si="570">CONCATENATE($T272,"-M",$U272,"-A11")</f>
        <v>F0-M92-A11</v>
      </c>
      <c r="DF272" s="23" t="str">
        <f t="shared" ref="DF272" si="571">CONCATENATE($T272,"-M",$U272,"-A12")</f>
        <v>F0-M92-A12</v>
      </c>
      <c r="DG272" s="23" t="str">
        <f t="shared" ref="DG272" si="572">CONCATENATE($T272,"-M",$U272,"-A19")</f>
        <v>F0-M92-A19</v>
      </c>
      <c r="DH272" s="23" t="str">
        <f t="shared" ref="DH272" si="573">CONCATENATE($T272,"-M",$U272,"-A20")</f>
        <v>F0-M92-A20</v>
      </c>
      <c r="DI272" s="23" t="s">
        <v>142</v>
      </c>
      <c r="DJ272" s="23" t="s">
        <v>143</v>
      </c>
      <c r="DK272" s="23">
        <v>11</v>
      </c>
      <c r="DL272" s="23">
        <v>14</v>
      </c>
      <c r="DM272" s="23">
        <v>12</v>
      </c>
      <c r="DN272" s="23" t="s">
        <v>144</v>
      </c>
      <c r="DO272" s="23" t="s">
        <v>1812</v>
      </c>
      <c r="DP272" s="23">
        <v>1</v>
      </c>
      <c r="DQ272" s="23">
        <v>2</v>
      </c>
      <c r="DR272" s="23">
        <v>3</v>
      </c>
      <c r="DS272" s="23">
        <v>4</v>
      </c>
      <c r="DT272" s="23">
        <v>5</v>
      </c>
      <c r="DU272" s="23">
        <v>6</v>
      </c>
      <c r="DV272" s="23">
        <v>7</v>
      </c>
      <c r="DW272" s="23">
        <v>8</v>
      </c>
      <c r="DX272" s="23">
        <v>9</v>
      </c>
      <c r="DY272" s="23">
        <v>10</v>
      </c>
      <c r="DZ272" s="23">
        <v>11</v>
      </c>
      <c r="EA272" s="23">
        <v>12</v>
      </c>
      <c r="EB272" s="23">
        <v>13</v>
      </c>
      <c r="EC272" s="23">
        <v>14</v>
      </c>
      <c r="ED272" s="23">
        <v>1</v>
      </c>
      <c r="EE272" s="23">
        <v>3</v>
      </c>
      <c r="EF272" s="23">
        <v>4</v>
      </c>
      <c r="EG272" s="23">
        <v>7</v>
      </c>
      <c r="EH272" s="23">
        <v>8</v>
      </c>
      <c r="EI272" s="23">
        <v>9</v>
      </c>
      <c r="EJ272" s="23">
        <v>10</v>
      </c>
      <c r="EK272" s="23">
        <v>13</v>
      </c>
      <c r="EL272" s="23">
        <v>14</v>
      </c>
      <c r="EM272" s="23">
        <v>15</v>
      </c>
      <c r="EN272" s="23">
        <v>16</v>
      </c>
      <c r="EO272" s="23">
        <v>22</v>
      </c>
      <c r="EP272" s="23">
        <v>23</v>
      </c>
      <c r="EQ272" s="24">
        <v>24</v>
      </c>
    </row>
    <row r="273" spans="1:355" ht="15.75" thickBot="1" x14ac:dyDescent="0.3">
      <c r="A273" t="s">
        <v>1848</v>
      </c>
      <c r="B273" t="s">
        <v>1813</v>
      </c>
      <c r="C273" t="s">
        <v>1871</v>
      </c>
      <c r="P273" t="s">
        <v>1785</v>
      </c>
      <c r="T273" s="10" t="s">
        <v>554</v>
      </c>
      <c r="U273" s="49">
        <v>93</v>
      </c>
      <c r="V273" s="11" t="s">
        <v>1814</v>
      </c>
      <c r="W273" s="11" t="s">
        <v>1815</v>
      </c>
      <c r="X273" t="str" cm="1">
        <f t="array" ref="X273">IF(COUNTIF(X$1:X272,INDEX(X$1:X272,MAX(IF(X$1:X272&lt;&gt;"",ROW(X$1:X272)))))&gt;7,REPLACE(INDEX(X$1:X272,MAX(IF(X$1:X272&lt;&gt;"",ROW(X$1:X272)))),LEN(INDEX(X$1:X272,MAX(IF(X$1:X272&lt;&gt;"",ROW(X$1:X272))))),1,VALUE(RIGHT(INDEX(X$1:X272,MAX(IF(X$1:X272&lt;&gt;"",ROW(X$1:X272)))),1))+1),INDEX(X$1:X272,MAX(IF(X$1:X272&lt;&gt;"",ROW(X$1:X272)))))</f>
        <v>A3.33</v>
      </c>
      <c r="Y273" s="43" cm="1">
        <f t="array" ref="Y273">IF(COUNTIFS(X$2:X273,X273)=1,"1",VALUE(SUBSTITUTE(INDEX(Y:Y,_xlfn.XMATCH(X273,X$1:X272,0,-1)),"A",""))+INDEX(Z:Z,_xlfn.XMATCH(X273,X$1:X272,0,-1))+1)</f>
        <v>4</v>
      </c>
      <c r="Z273" s="43" cm="1">
        <f t="array" ref="Z273">SUM(IF(ISNUMBER(FIND("TmAi",$BE$1:$AAD$1)),IF(IFERROR(ISODD(SUBSTITUTE($BE273:$AAD273,"A","")),FALSE),IF(ISODD(SUBSTITUTE($BE273:$AAD273,"A","")),1,0),0)))</f>
        <v>0</v>
      </c>
      <c r="AA273" t="str">
        <f t="shared" ref="AA273" si="574">CONCATENATE($Y273*2-1,"A")</f>
        <v>7A</v>
      </c>
      <c r="AB273" t="str">
        <f t="shared" ref="AB273" si="575">CONCATENATE($Y273*2-1,"B")</f>
        <v>7B</v>
      </c>
      <c r="AC273" t="str">
        <f t="shared" si="533"/>
        <v>A5.15</v>
      </c>
      <c r="AD273" s="43" cm="1">
        <f t="array" ref="AD273">IF(COUNTIFS(AC$2:AC273,AC273)=1,"1",VALUE(SUBSTITUTE(INDEX(AD:AD,_xlfn.XMATCH(AC273,AC$1:AC272,0,-1)),"A",""))+INDEX(AE:AE,_xlfn.XMATCH(AC273,AC$1:AC272,0,-1))+1)</f>
        <v>11</v>
      </c>
      <c r="AE273" s="43" cm="1">
        <f t="array" ref="AE273">SUM(IF(ISNUMBER(FIND("TmDi",$BE$1:$AAD$1)),IF(IFERROR(ISNUMBER(VALUE(SUBSTITUTE($BE273:$AAD273,"B",""))),FALSE),IF(ISNUMBER(VALUE(SUBSTITUTE($BE273:$AAD273,"B",""))),1,0),0)))</f>
        <v>4</v>
      </c>
      <c r="AF273" t="str">
        <f t="shared" si="416"/>
        <v>C11</v>
      </c>
      <c r="AG273" t="str">
        <f t="shared" si="417"/>
        <v>B11</v>
      </c>
      <c r="AH273" t="str">
        <f t="shared" si="418"/>
        <v>A6.8</v>
      </c>
      <c r="AI273" s="43" cm="1">
        <f t="array" ref="AI273">IF(COUNTIFS(AH$2:AH273,AH273)=1,"1",VALUE(SUBSTITUTE(INDEX(AI:AI,_xlfn.XMATCH(AH273,AH$1:AH272,0,-1)),"A",""))+INDEX(AJ:AJ,_xlfn.XMATCH(AH273,AH$1:AH272,0,-1))+1)</f>
        <v>16</v>
      </c>
      <c r="AJ273" s="43" cm="1">
        <f t="array" ref="AJ273">SUM(IF(ISNUMBER(FIND("TmDo",$BE$1:$AAD$1)),IF(IFERROR(ISNUMBER(VALUE(SUBSTITUTE($BE273:$AAD273,"B",""))),FALSE),IF(ISNUMBER(VALUE(SUBSTITUTE($BE273:$AAD273,"B",""))),1,0),0)))</f>
        <v>1</v>
      </c>
      <c r="AK273" s="11" t="str">
        <f t="shared" si="419"/>
        <v>16B</v>
      </c>
      <c r="AL273" s="11" t="str">
        <f t="shared" si="420"/>
        <v>16A</v>
      </c>
      <c r="AM273" s="12" t="s">
        <v>161</v>
      </c>
      <c r="AN273" s="12"/>
      <c r="AO273" s="12"/>
      <c r="AP273" s="12" t="s">
        <v>137</v>
      </c>
      <c r="AQ273" s="12" t="s">
        <v>1794</v>
      </c>
      <c r="AR273" s="12"/>
      <c r="AS273" s="12" t="s">
        <v>396</v>
      </c>
      <c r="AT273" s="12" t="s">
        <v>139</v>
      </c>
      <c r="AU273" s="12" t="s">
        <v>140</v>
      </c>
      <c r="AV273" s="12"/>
      <c r="AW273" s="12"/>
      <c r="AX273" s="12"/>
      <c r="AY273" s="12"/>
      <c r="AZ273" s="12"/>
      <c r="BA273" s="12"/>
      <c r="BB273" s="12"/>
      <c r="BC273" s="12"/>
      <c r="BD273" s="13"/>
      <c r="GT273" s="25" t="str">
        <f t="shared" ref="GT273" si="576">CONCATENATE("XT",U273)</f>
        <v>XT93</v>
      </c>
      <c r="GU273" s="12" t="str">
        <f t="shared" ref="GU273" si="577">CONCATENATE("C",REPLACE(AF273,1,1,"")+1)</f>
        <v>C12</v>
      </c>
      <c r="GV273" s="12" t="str">
        <f t="shared" ref="GV273" si="578">CONCATENATE("B",REPLACE(AG273,1,1,"")+1)</f>
        <v>B12</v>
      </c>
      <c r="GW273" s="12" t="str">
        <f t="shared" ref="GW273" si="579">CONCATENATE("C",REPLACE(GU273,1,1,"")+1)</f>
        <v>C13</v>
      </c>
      <c r="GX273" s="12" t="str">
        <f t="shared" ref="GX273" si="580">CONCATENATE("B",REPLACE(GV273,1,1,"")+1)</f>
        <v>B13</v>
      </c>
      <c r="GY273" s="12" t="str">
        <f t="shared" ref="GY273" si="581">CONCATENATE("C",REPLACE(GW273,1,1,"")+1)</f>
        <v>C14</v>
      </c>
      <c r="GZ273" s="12" t="str">
        <f t="shared" ref="GZ273" si="582">CONCATENATE("B",REPLACE(GX273,1,1,"")+1)</f>
        <v>B14</v>
      </c>
      <c r="HA273" s="12" t="str">
        <f t="shared" ref="HA273" si="583">CONCATENATE("C",REPLACE(GY273,1,1,"")+1)</f>
        <v>C15</v>
      </c>
      <c r="HB273" s="12" t="str">
        <f t="shared" ref="HB273" si="584">CONCATENATE("B",REPLACE(GZ273,1,1,"")+1)</f>
        <v>B15</v>
      </c>
      <c r="HC273" s="12"/>
      <c r="HD273" s="12"/>
      <c r="HE273" s="12" t="str">
        <f t="shared" ref="HE273" si="585">CONCATENATE(REPLACE(AK273,LEN(AK273),1,"")+1,"B")</f>
        <v>17B</v>
      </c>
      <c r="HF273" s="12" t="str">
        <f t="shared" ref="HF273" si="586">CONCATENATE(REPLACE(AL273,LEN(AL273),1,"")+1,"A")</f>
        <v>17A</v>
      </c>
      <c r="HG273" s="12" t="str">
        <f t="shared" ref="HG273:HH273" si="587">CONCATENATE("AI",REPLACE($X273,1,3,""),"-",AA273)</f>
        <v>AI33-7A</v>
      </c>
      <c r="HH273" s="12" t="str">
        <f t="shared" si="587"/>
        <v>AI33-7B</v>
      </c>
      <c r="HI273" s="12" t="str">
        <f t="shared" ref="HI273:HJ273" si="588">CONCATENATE("DI",REPLACE($AC273,1,3,""),"-",AF273)</f>
        <v>DI15-C11</v>
      </c>
      <c r="HJ273" s="12" t="str">
        <f t="shared" si="588"/>
        <v>DI15-B11</v>
      </c>
      <c r="HK273" s="12" t="str">
        <f t="shared" ref="HK273:HT273" si="589">CONCATENATE("DI",REPLACE($AC273,1,3,""),"-",GU273)</f>
        <v>DI15-C12</v>
      </c>
      <c r="HL273" s="12" t="str">
        <f t="shared" si="589"/>
        <v>DI15-B12</v>
      </c>
      <c r="HM273" s="12" t="str">
        <f t="shared" si="589"/>
        <v>DI15-C13</v>
      </c>
      <c r="HN273" s="12" t="str">
        <f t="shared" si="589"/>
        <v>DI15-B13</v>
      </c>
      <c r="HO273" s="12" t="str">
        <f t="shared" si="589"/>
        <v>DI15-C14</v>
      </c>
      <c r="HP273" s="12" t="str">
        <f t="shared" si="589"/>
        <v>DI15-B14</v>
      </c>
      <c r="HQ273" s="12" t="str">
        <f t="shared" si="589"/>
        <v>DI15-C15</v>
      </c>
      <c r="HR273" s="12" t="str">
        <f t="shared" si="589"/>
        <v>DI15-B15</v>
      </c>
      <c r="HS273" s="12" t="str">
        <f t="shared" si="589"/>
        <v>DI15-</v>
      </c>
      <c r="HT273" s="12" t="str">
        <f t="shared" si="589"/>
        <v>DI15-</v>
      </c>
      <c r="HU273" s="12" t="str">
        <f t="shared" ref="HU273:HV273" si="590">CONCATENATE("DO",REPLACE($AH273,1,3,""),"-",AK273)</f>
        <v>DO8-16B</v>
      </c>
      <c r="HV273" s="12" t="str">
        <f t="shared" si="590"/>
        <v>DO8-16A</v>
      </c>
      <c r="HW273" s="12" t="str">
        <f t="shared" ref="HW273:HX273" si="591">CONCATENATE("DO",REPLACE($AH273,1,3,""),"-",HE273)</f>
        <v>DO8-17B</v>
      </c>
      <c r="HX273" s="12" t="str">
        <f t="shared" si="591"/>
        <v>DO8-17A</v>
      </c>
      <c r="HY273" s="12" t="str">
        <f t="shared" ref="HY273" si="592">CONCATENATE("K",$U273,"-01")</f>
        <v>K93-01</v>
      </c>
      <c r="HZ273" s="12" t="str">
        <f t="shared" ref="HZ273" si="593">CONCATENATE("K",$U273,"-02")</f>
        <v>K93-02</v>
      </c>
      <c r="IA273" s="12" t="str">
        <f t="shared" ref="IA273" si="594">CONCATENATE("K",$U273,"-03")</f>
        <v>K93-03</v>
      </c>
      <c r="IB273" s="12" t="str">
        <f t="shared" ref="IB273" si="595">CONCATENATE("K",$U273,"-04")</f>
        <v>K93-04</v>
      </c>
      <c r="IC273" s="12" t="str">
        <f t="shared" ref="IC273" si="596">CONCATENATE("K",$U273,"-05")</f>
        <v>K93-05</v>
      </c>
      <c r="ID273" s="12" t="str">
        <f t="shared" ref="ID273" si="597">CONCATENATE("K",$U273,"-06")</f>
        <v>K93-06</v>
      </c>
      <c r="IE273" s="12" t="str">
        <f t="shared" ref="IE273" si="598">CONCATENATE("K",$U273,"-07")</f>
        <v>K93-07</v>
      </c>
      <c r="IF273" s="12" t="str">
        <f t="shared" ref="IF273" si="599">CONCATENATE("K",$U273,"-08")</f>
        <v>K93-08</v>
      </c>
      <c r="IG273" s="12" t="str">
        <f t="shared" ref="IG273" si="600">CONCATENATE($T273,"-M",$U273,"-AMS-12")</f>
        <v>F0-M93-AMS-12</v>
      </c>
      <c r="IH273" s="12" t="str">
        <f t="shared" ref="IH273" si="601">CONCATENATE($T273,"-M",$U273,"-AMS-10")</f>
        <v>F0-M93-AMS-10</v>
      </c>
      <c r="II273" s="12" t="str">
        <f t="shared" ref="II273" si="602">CONCATENATE($T273,"-M",$U273,"-AMS-11")</f>
        <v>F0-M93-AMS-11</v>
      </c>
      <c r="IJ273" s="12" t="str">
        <f t="shared" ref="IJ273" si="603">CONCATENATE($T273,"-M",$U273,"-AMS-13")</f>
        <v>F0-M93-AMS-13</v>
      </c>
      <c r="IK273" s="12" t="str">
        <f t="shared" ref="IK273" si="604">CONCATENATE($T273,"-M",$U273,"-AMS-9")</f>
        <v>F0-M93-AMS-9</v>
      </c>
      <c r="IL273" s="12" t="str">
        <f t="shared" ref="IL273" si="605">CONCATENATE($T273,"-M",$U273,"-AMS-7")</f>
        <v>F0-M93-AMS-7</v>
      </c>
      <c r="IM273" s="12" t="str">
        <f t="shared" ref="IM273" si="606">CONCATENATE($T273,"-M",$U273,"-AMS-18")</f>
        <v>F0-M93-AMS-18</v>
      </c>
      <c r="IN273" s="12" t="str">
        <f t="shared" ref="IN273" si="607">CONCATENATE($T273,"-M",$U273,"-AMS-20")</f>
        <v>F0-M93-AMS-20</v>
      </c>
      <c r="IO273" s="12" t="str">
        <f t="shared" ref="IO273" si="608">CONCATENATE($T273,"-M",$U273,"-AMS-17")</f>
        <v>F0-M93-AMS-17</v>
      </c>
      <c r="IP273" s="12" t="str">
        <f t="shared" ref="IP273" si="609">CONCATENATE($T273,"-+24-M",$U273,)</f>
        <v>F0-+24-M93</v>
      </c>
      <c r="IQ273" s="12" t="str">
        <f t="shared" ref="IQ273" si="610">CONCATENATE($T273,"-M",$U273,"-XM01")</f>
        <v>F0-M93-XM01</v>
      </c>
      <c r="IR273" s="12" t="s">
        <v>142</v>
      </c>
      <c r="IS273" s="12" t="s">
        <v>143</v>
      </c>
      <c r="IT273" s="12">
        <v>11</v>
      </c>
      <c r="IU273" s="12">
        <v>14</v>
      </c>
      <c r="IV273" s="12" t="s">
        <v>413</v>
      </c>
      <c r="IW273" s="12" t="s">
        <v>414</v>
      </c>
      <c r="IX273" s="12">
        <v>1</v>
      </c>
      <c r="IY273" s="12">
        <v>2</v>
      </c>
      <c r="IZ273" s="12">
        <v>3</v>
      </c>
      <c r="JA273" s="12">
        <v>4</v>
      </c>
      <c r="JB273" s="12">
        <v>5</v>
      </c>
      <c r="JC273" s="12">
        <v>6</v>
      </c>
      <c r="JD273" s="12">
        <v>7</v>
      </c>
      <c r="JE273" s="12">
        <v>8</v>
      </c>
      <c r="JF273" s="12">
        <v>9</v>
      </c>
      <c r="JG273" s="12">
        <v>10</v>
      </c>
      <c r="JH273" s="12">
        <v>11</v>
      </c>
      <c r="JI273" s="12">
        <v>12</v>
      </c>
      <c r="JJ273" s="12">
        <v>13</v>
      </c>
      <c r="JK273" s="12">
        <v>14</v>
      </c>
      <c r="JL273" s="12">
        <v>17</v>
      </c>
      <c r="JM273" s="12">
        <v>15</v>
      </c>
      <c r="JN273" s="12">
        <v>18</v>
      </c>
      <c r="JO273" s="12">
        <v>11</v>
      </c>
      <c r="JP273" s="12">
        <v>9</v>
      </c>
      <c r="JQ273" s="12">
        <v>6</v>
      </c>
      <c r="JR273" s="12">
        <v>20</v>
      </c>
      <c r="JS273" s="12">
        <v>7</v>
      </c>
      <c r="JT273" s="12">
        <v>10</v>
      </c>
      <c r="JU273" s="12">
        <v>22</v>
      </c>
      <c r="JV273" s="12">
        <v>23</v>
      </c>
      <c r="JW273" s="12">
        <v>26</v>
      </c>
      <c r="JX273" s="12">
        <v>27</v>
      </c>
      <c r="JY273" s="13">
        <v>30</v>
      </c>
    </row>
    <row r="274" spans="1:355" ht="15.75" thickBot="1" x14ac:dyDescent="0.3">
      <c r="A274" t="s">
        <v>1849</v>
      </c>
      <c r="B274" t="s">
        <v>1817</v>
      </c>
      <c r="C274" s="3" t="s">
        <v>1872</v>
      </c>
      <c r="O274" s="2"/>
      <c r="P274" t="s">
        <v>1784</v>
      </c>
      <c r="Q274" s="1"/>
      <c r="S274" s="1"/>
      <c r="T274" s="21" t="s">
        <v>554</v>
      </c>
      <c r="U274" s="50">
        <v>94</v>
      </c>
      <c r="V274" s="18" t="s">
        <v>1818</v>
      </c>
      <c r="W274" s="22"/>
      <c r="X274" s="23"/>
      <c r="Y274" s="23"/>
      <c r="Z274" s="23"/>
      <c r="AA274" s="23"/>
      <c r="AB274" s="23"/>
      <c r="AC274" t="str">
        <f t="shared" si="533"/>
        <v>A5.15</v>
      </c>
      <c r="AD274" s="43" cm="1">
        <f t="array" ref="AD274">IF(COUNTIFS(AC$2:AC274,AC274)=1,"1",VALUE(SUBSTITUTE(INDEX(AD:AD,_xlfn.XMATCH(AC274,AC$1:AC273,0,-1)),"A",""))+INDEX(AE:AE,_xlfn.XMATCH(AC274,AC$1:AC273,0,-1))+1)</f>
        <v>16</v>
      </c>
      <c r="AE274" s="43" cm="1">
        <f t="array" ref="AE274">SUM(IF(ISNUMBER(FIND("TmDi",$BE$1:$AAD$1)),IF(IFERROR(ISNUMBER(VALUE(SUBSTITUTE($BE274:$AAD274,"B",""))),FALSE),IF(ISNUMBER(VALUE(SUBSTITUTE($BE274:$AAD274,"B",""))),1,0),0)))</f>
        <v>4</v>
      </c>
      <c r="AF274" t="str">
        <f t="shared" si="416"/>
        <v>C16</v>
      </c>
      <c r="AG274" t="str">
        <f t="shared" si="417"/>
        <v>B16</v>
      </c>
      <c r="AH274" t="str">
        <f t="shared" si="418"/>
        <v>A6.8</v>
      </c>
      <c r="AI274" s="43" cm="1">
        <f t="array" ref="AI274">IF(COUNTIFS(AH$2:AH274,AH274)=1,"1",VALUE(SUBSTITUTE(INDEX(AI:AI,_xlfn.XMATCH(AH274,AH$1:AH273,0,-1)),"A",""))+INDEX(AJ:AJ,_xlfn.XMATCH(AH274,AH$1:AH273,0,-1))+1)</f>
        <v>18</v>
      </c>
      <c r="AJ274" s="43" cm="1">
        <f t="array" ref="AJ274">SUM(IF(ISNUMBER(FIND("TmDo",$BE$1:$AAD$1)),IF(IFERROR(ISNUMBER(VALUE(SUBSTITUTE($BE274:$AAD274,"B",""))),FALSE),IF(ISNUMBER(VALUE(SUBSTITUTE($BE274:$AAD274,"B",""))),1,0),0)))</f>
        <v>2</v>
      </c>
      <c r="AK274" s="11" t="str">
        <f t="shared" si="419"/>
        <v>18B</v>
      </c>
      <c r="AL274" s="11" t="str">
        <f t="shared" si="420"/>
        <v>18A</v>
      </c>
      <c r="AM274" s="23" t="s">
        <v>150</v>
      </c>
      <c r="AN274" s="23"/>
      <c r="AO274" s="23"/>
      <c r="AP274" s="23" t="s">
        <v>137</v>
      </c>
      <c r="AQ274" s="23" t="s">
        <v>1794</v>
      </c>
      <c r="AR274" s="23"/>
      <c r="AS274" s="23"/>
      <c r="AT274" s="23" t="s">
        <v>139</v>
      </c>
      <c r="AU274" s="23" t="s">
        <v>140</v>
      </c>
      <c r="AV274" s="23"/>
      <c r="AW274" s="23"/>
      <c r="AX274" s="23"/>
      <c r="AY274" s="12"/>
      <c r="AZ274" s="12"/>
      <c r="BA274" s="12"/>
      <c r="BB274" s="12"/>
      <c r="BC274" s="12"/>
      <c r="BD274" s="13"/>
      <c r="BE274" s="23" t="str">
        <f t="shared" ref="BE274" si="611">CONCATENATE("XT",U274)</f>
        <v>XT94</v>
      </c>
      <c r="BF274" s="23" t="str">
        <f t="shared" ref="BF274" si="612">CONCATENATE("C",REPLACE(AF274,1,1,"")+1)</f>
        <v>C17</v>
      </c>
      <c r="BG274" s="23" t="str">
        <f t="shared" ref="BG274" si="613">CONCATENATE("B",REPLACE(AG274,1,1,"")+1)</f>
        <v>B17</v>
      </c>
      <c r="BH274" s="23" t="str">
        <f t="shared" ref="BH274" si="614">CONCATENATE("C",REPLACE(BF274,1,1,"")+1)</f>
        <v>C18</v>
      </c>
      <c r="BI274" s="23" t="str">
        <f t="shared" ref="BI274" si="615">CONCATENATE("B",REPLACE(BG274,1,1,"")+1)</f>
        <v>B18</v>
      </c>
      <c r="BJ274" s="23" t="str">
        <f t="shared" ref="BJ274" si="616">CONCATENATE("C",REPLACE(BH274,1,1,"")+1)</f>
        <v>C19</v>
      </c>
      <c r="BK274" s="23" t="str">
        <f t="shared" ref="BK274" si="617">CONCATENATE("B",REPLACE(BI274,1,1,"")+1)</f>
        <v>B19</v>
      </c>
      <c r="BL274" s="23" t="str">
        <f t="shared" ref="BL274" si="618">CONCATENATE("C",REPLACE(BJ274,1,1,"")+1)</f>
        <v>C20</v>
      </c>
      <c r="BM274" s="23" t="str">
        <f t="shared" ref="BM274" si="619">CONCATENATE("B",REPLACE(BK274,1,1,"")+1)</f>
        <v>B20</v>
      </c>
      <c r="BN274" s="23"/>
      <c r="BO274" s="23"/>
      <c r="BP274" s="23" t="str">
        <f t="shared" ref="BP274" si="620">CONCATENATE(REPLACE(AK274,LEN(AK274),1,"")+1,"B")</f>
        <v>19B</v>
      </c>
      <c r="BQ274" s="23" t="str">
        <f t="shared" ref="BQ274" si="621">CONCATENATE(REPLACE(AL274,LEN(AL274),1,"")+1,"A")</f>
        <v>19A</v>
      </c>
      <c r="BR274" s="23" t="str">
        <f t="shared" ref="BR274" si="622">CONCATENATE(REPLACE(BP274,LEN(BP274),1,"")+1,"B")</f>
        <v>20B</v>
      </c>
      <c r="BS274" s="23" t="str">
        <f t="shared" ref="BS274" si="623">CONCATENATE(REPLACE(BQ274,LEN(BQ274),1,"")+1,"A")</f>
        <v>20A</v>
      </c>
      <c r="BT274" s="23" t="str">
        <f t="shared" ref="BT274:BU274" si="624">CONCATENATE("DI",REPLACE($AC274,1,3,""),"-",AF274)</f>
        <v>DI15-C16</v>
      </c>
      <c r="BU274" s="23" t="str">
        <f t="shared" si="624"/>
        <v>DI15-B16</v>
      </c>
      <c r="BV274" s="23" t="str">
        <f t="shared" ref="BV274:CE274" si="625">CONCATENATE("DI",REPLACE($AC274,1,3,""),"-",BF274)</f>
        <v>DI15-C17</v>
      </c>
      <c r="BW274" s="23" t="str">
        <f t="shared" si="625"/>
        <v>DI15-B17</v>
      </c>
      <c r="BX274" s="23" t="str">
        <f t="shared" si="625"/>
        <v>DI15-C18</v>
      </c>
      <c r="BY274" s="23" t="str">
        <f t="shared" si="625"/>
        <v>DI15-B18</v>
      </c>
      <c r="BZ274" s="23" t="str">
        <f t="shared" si="625"/>
        <v>DI15-C19</v>
      </c>
      <c r="CA274" s="23" t="str">
        <f t="shared" si="625"/>
        <v>DI15-B19</v>
      </c>
      <c r="CB274" s="23" t="str">
        <f t="shared" si="625"/>
        <v>DI15-C20</v>
      </c>
      <c r="CC274" s="23" t="str">
        <f t="shared" si="625"/>
        <v>DI15-B20</v>
      </c>
      <c r="CD274" s="23" t="str">
        <f t="shared" si="625"/>
        <v>DI15-</v>
      </c>
      <c r="CE274" s="23" t="str">
        <f t="shared" si="625"/>
        <v>DI15-</v>
      </c>
      <c r="CF274" s="23" t="str">
        <f t="shared" ref="CF274:CG274" si="626">CONCATENATE("DO",REPLACE($AH274,1,3,""),"-",AK274)</f>
        <v>DO8-18B</v>
      </c>
      <c r="CG274" s="23" t="str">
        <f t="shared" si="626"/>
        <v>DO8-18A</v>
      </c>
      <c r="CH274" s="23" t="str">
        <f t="shared" ref="CH274:CK274" si="627">CONCATENATE("DO",REPLACE($AH274,1,3,""),"-",BP274)</f>
        <v>DO8-19B</v>
      </c>
      <c r="CI274" s="23" t="str">
        <f t="shared" si="627"/>
        <v>DO8-19A</v>
      </c>
      <c r="CJ274" s="23" t="str">
        <f t="shared" si="627"/>
        <v>DO8-20B</v>
      </c>
      <c r="CK274" s="23" t="str">
        <f t="shared" si="627"/>
        <v>DO8-20A</v>
      </c>
      <c r="CL274" s="23" t="str">
        <f t="shared" ref="CL274" si="628">CONCATENATE("K",$U274,"-10")</f>
        <v>K94-10</v>
      </c>
      <c r="CM274" s="23" t="str">
        <f t="shared" ref="CM274" si="629">CONCATENATE("K",$U274,"-03")</f>
        <v>K94-03</v>
      </c>
      <c r="CN274" s="23" t="str">
        <f t="shared" ref="CN274" si="630">CONCATENATE("K",$U274,"-04")</f>
        <v>K94-04</v>
      </c>
      <c r="CO274" s="23" t="str">
        <f t="shared" ref="CO274" si="631">CONCATENATE("K",$U274,"-01")</f>
        <v>K94-01</v>
      </c>
      <c r="CP274" s="23" t="str">
        <f t="shared" ref="CP274" si="632">CONCATENATE("K",$U274,"-08")</f>
        <v>K94-08</v>
      </c>
      <c r="CQ274" s="23" t="str">
        <f t="shared" ref="CQ274" si="633">CONCATENATE("K",$U274,"-02")</f>
        <v>K94-02</v>
      </c>
      <c r="CR274" s="23" t="str">
        <f t="shared" ref="CR274" si="634">CONCATENATE("K",$U274,"-09")</f>
        <v>K94-09</v>
      </c>
      <c r="CS274" s="23" t="str">
        <f t="shared" ref="CS274" si="635">CONCATENATE("K",$U274,"-05")</f>
        <v>K94-05</v>
      </c>
      <c r="CT274" s="23" t="str">
        <f t="shared" ref="CT274" si="636">CONCATENATE("K",$U274,"-11")</f>
        <v>K94-11</v>
      </c>
      <c r="CU274" s="23" t="str">
        <f t="shared" ref="CU274" si="637">CONCATENATE($T274,"-M",$U274,"-A9")</f>
        <v>F0-M94-A9</v>
      </c>
      <c r="CV274" s="23" t="str">
        <f t="shared" ref="CV274" si="638">CONCATENATE($T274,"-M",$U274,"-A7")</f>
        <v>F0-M94-A7</v>
      </c>
      <c r="CW274" s="23" t="str">
        <f t="shared" ref="CW274" si="639">CONCATENATE($T274,"-M",$U274,"-A8")</f>
        <v>F0-M94-A8</v>
      </c>
      <c r="CX274" s="23" t="str">
        <f t="shared" ref="CX274" si="640">CONCATENATE($T274,"-M",$U274,"-A6")</f>
        <v>F0-M94-A6</v>
      </c>
      <c r="CY274" s="23" t="str">
        <f t="shared" ref="CY274" si="641">CONCATENATE($T274,"-M",$U274,"-A30")</f>
        <v>F0-M94-A30</v>
      </c>
      <c r="CZ274" s="23" t="str">
        <f t="shared" ref="CZ274" si="642">CONCATENATE($T274,"-M",$U274,"-N")</f>
        <v>F0-M94-N</v>
      </c>
      <c r="DA274" s="23" t="str">
        <f t="shared" ref="DA274" si="643">CONCATENATE($T274,"-A220-M",U274)</f>
        <v>F0-A220-M94</v>
      </c>
      <c r="DB274" s="23" t="str">
        <f t="shared" ref="DB274" si="644">CONCATENATE($T274,"-M",$U274,"-XM01")</f>
        <v>F0-M94-XM01</v>
      </c>
      <c r="DC274" s="23" t="str">
        <f t="shared" ref="DC274" si="645">CONCATENATE($T274,"-M",$U274,"-A1")</f>
        <v>F0-M94-A1</v>
      </c>
      <c r="DD274" s="23" t="str">
        <f t="shared" ref="DD274" si="646">CONCATENATE($T274,"-M",$U274,"-A5")</f>
        <v>F0-M94-A5</v>
      </c>
      <c r="DE274" s="23" t="str">
        <f t="shared" ref="DE274" si="647">CONCATENATE($T274,"-M",$U274,"-A11")</f>
        <v>F0-M94-A11</v>
      </c>
      <c r="DF274" s="23" t="str">
        <f t="shared" ref="DF274" si="648">CONCATENATE($T274,"-M",$U274,"-A12")</f>
        <v>F0-M94-A12</v>
      </c>
      <c r="DG274" s="23" t="str">
        <f t="shared" ref="DG274" si="649">CONCATENATE($T274,"-M",$U274,"-A19")</f>
        <v>F0-M94-A19</v>
      </c>
      <c r="DH274" s="23" t="str">
        <f t="shared" ref="DH274" si="650">CONCATENATE($T274,"-M",$U274,"-A20")</f>
        <v>F0-M94-A20</v>
      </c>
      <c r="DI274" s="23" t="s">
        <v>142</v>
      </c>
      <c r="DJ274" s="23" t="s">
        <v>143</v>
      </c>
      <c r="DK274" s="23">
        <v>11</v>
      </c>
      <c r="DL274" s="23">
        <v>14</v>
      </c>
      <c r="DM274" s="23">
        <v>12</v>
      </c>
      <c r="DN274" s="23" t="s">
        <v>144</v>
      </c>
      <c r="DO274" s="23" t="s">
        <v>1819</v>
      </c>
      <c r="DP274" s="23">
        <v>1</v>
      </c>
      <c r="DQ274" s="23">
        <v>2</v>
      </c>
      <c r="DR274" s="23">
        <v>3</v>
      </c>
      <c r="DS274" s="23">
        <v>4</v>
      </c>
      <c r="DT274" s="23">
        <v>5</v>
      </c>
      <c r="DU274" s="23">
        <v>6</v>
      </c>
      <c r="DV274" s="23">
        <v>7</v>
      </c>
      <c r="DW274" s="23">
        <v>8</v>
      </c>
      <c r="DX274" s="23">
        <v>9</v>
      </c>
      <c r="DY274" s="23">
        <v>10</v>
      </c>
      <c r="DZ274" s="23">
        <v>11</v>
      </c>
      <c r="EA274" s="23">
        <v>12</v>
      </c>
      <c r="EB274" s="23">
        <v>13</v>
      </c>
      <c r="EC274" s="23">
        <v>14</v>
      </c>
      <c r="ED274" s="23">
        <v>1</v>
      </c>
      <c r="EE274" s="23">
        <v>3</v>
      </c>
      <c r="EF274" s="23">
        <v>4</v>
      </c>
      <c r="EG274" s="23">
        <v>7</v>
      </c>
      <c r="EH274" s="23">
        <v>8</v>
      </c>
      <c r="EI274" s="23">
        <v>9</v>
      </c>
      <c r="EJ274" s="23">
        <v>10</v>
      </c>
      <c r="EK274" s="23">
        <v>13</v>
      </c>
      <c r="EL274" s="23">
        <v>14</v>
      </c>
      <c r="EM274" s="23">
        <v>15</v>
      </c>
      <c r="EN274" s="23">
        <v>16</v>
      </c>
      <c r="EO274" s="23">
        <v>22</v>
      </c>
      <c r="EP274" s="23">
        <v>23</v>
      </c>
      <c r="EQ274" s="24">
        <v>24</v>
      </c>
    </row>
    <row r="275" spans="1:355" ht="15.75" thickBot="1" x14ac:dyDescent="0.3">
      <c r="A275" t="s">
        <v>1850</v>
      </c>
      <c r="B275" t="s">
        <v>1820</v>
      </c>
      <c r="C275" t="s">
        <v>1871</v>
      </c>
      <c r="P275" t="s">
        <v>1785</v>
      </c>
      <c r="T275" s="10" t="s">
        <v>554</v>
      </c>
      <c r="U275" s="49">
        <v>95</v>
      </c>
      <c r="V275" s="11" t="s">
        <v>1821</v>
      </c>
      <c r="W275" s="11" t="s">
        <v>1822</v>
      </c>
      <c r="X275" t="str" cm="1">
        <f t="array" ref="X275">IF(COUNTIF(X$1:X274,INDEX(X$1:X274,MAX(IF(X$1:X274&lt;&gt;"",ROW(X$1:X274)))))&gt;7,REPLACE(INDEX(X$1:X274,MAX(IF(X$1:X274&lt;&gt;"",ROW(X$1:X274)))),LEN(INDEX(X$1:X274,MAX(IF(X$1:X274&lt;&gt;"",ROW(X$1:X274))))),1,VALUE(RIGHT(INDEX(X$1:X274,MAX(IF(X$1:X274&lt;&gt;"",ROW(X$1:X274)))),1))+1),INDEX(X$1:X274,MAX(IF(X$1:X274&lt;&gt;"",ROW(X$1:X274)))))</f>
        <v>A3.33</v>
      </c>
      <c r="Y275" s="43" cm="1">
        <f t="array" ref="Y275">IF(COUNTIFS(X$2:X275,X275)=1,"1",VALUE(SUBSTITUTE(INDEX(Y:Y,_xlfn.XMATCH(X275,X$1:X274,0,-1)),"A",""))+INDEX(Z:Z,_xlfn.XMATCH(X275,X$1:X274,0,-1))+1)</f>
        <v>5</v>
      </c>
      <c r="Z275" s="43" cm="1">
        <f t="array" ref="Z275">SUM(IF(ISNUMBER(FIND("TmAi",$BE$1:$AAD$1)),IF(IFERROR(ISODD(SUBSTITUTE($BE275:$AAD275,"A","")),FALSE),IF(ISODD(SUBSTITUTE($BE275:$AAD275,"A","")),1,0),0)))</f>
        <v>0</v>
      </c>
      <c r="AA275" t="str">
        <f t="shared" ref="AA275" si="651">CONCATENATE($Y275*2-1,"A")</f>
        <v>9A</v>
      </c>
      <c r="AB275" t="str">
        <f t="shared" ref="AB275" si="652">CONCATENATE($Y275*2-1,"B")</f>
        <v>9B</v>
      </c>
      <c r="AC275" t="s">
        <v>1809</v>
      </c>
      <c r="AD275" s="43" t="str" cm="1">
        <f t="array" ref="AD275">IF(COUNTIFS(AC$2:AC275,AC275)=1,"1",VALUE(SUBSTITUTE(INDEX(AD:AD,_xlfn.XMATCH(AC275,AC$1:AC274,0,-1)),"A",""))+INDEX(AE:AE,_xlfn.XMATCH(AC275,AC$1:AC274,0,-1))+1)</f>
        <v>1</v>
      </c>
      <c r="AE275" s="43" cm="1">
        <f t="array" ref="AE275">SUM(IF(ISNUMBER(FIND("TmDi",$BE$1:$AAD$1)),IF(IFERROR(ISNUMBER(VALUE(SUBSTITUTE($BE275:$AAD275,"B",""))),FALSE),IF(ISNUMBER(VALUE(SUBSTITUTE($BE275:$AAD275,"B",""))),1,0),0)))</f>
        <v>4</v>
      </c>
      <c r="AF275" t="str">
        <f t="shared" si="416"/>
        <v>C1</v>
      </c>
      <c r="AG275" t="str">
        <f t="shared" si="417"/>
        <v>B1</v>
      </c>
      <c r="AH275" t="s">
        <v>1802</v>
      </c>
      <c r="AI275" s="43" t="str" cm="1">
        <f t="array" ref="AI275">IF(COUNTIFS(AH$2:AH275,AH275)=1,"1",VALUE(SUBSTITUTE(INDEX(AI:AI,_xlfn.XMATCH(AH275,AH$1:AH274,0,-1)),"A",""))+INDEX(AJ:AJ,_xlfn.XMATCH(AH275,AH$1:AH274,0,-1))+1)</f>
        <v>1</v>
      </c>
      <c r="AJ275" s="43" cm="1">
        <f t="array" ref="AJ275">SUM(IF(ISNUMBER(FIND("TmDo",$BE$1:$AAD$1)),IF(IFERROR(ISNUMBER(VALUE(SUBSTITUTE($BE275:$AAD275,"B",""))),FALSE),IF(ISNUMBER(VALUE(SUBSTITUTE($BE275:$AAD275,"B",""))),1,0),0)))</f>
        <v>1</v>
      </c>
      <c r="AK275" s="11" t="str">
        <f t="shared" si="419"/>
        <v>1B</v>
      </c>
      <c r="AL275" s="11" t="str">
        <f t="shared" si="420"/>
        <v>1A</v>
      </c>
      <c r="AM275" s="12" t="s">
        <v>161</v>
      </c>
      <c r="AN275" s="12"/>
      <c r="AO275" s="12"/>
      <c r="AP275" s="12" t="s">
        <v>137</v>
      </c>
      <c r="AQ275" s="12" t="s">
        <v>1794</v>
      </c>
      <c r="AR275" s="12"/>
      <c r="AS275" s="12" t="s">
        <v>396</v>
      </c>
      <c r="AT275" s="12" t="s">
        <v>139</v>
      </c>
      <c r="AU275" s="12" t="s">
        <v>140</v>
      </c>
      <c r="AV275" s="12"/>
      <c r="AW275" s="12"/>
      <c r="AX275" s="12"/>
      <c r="AY275" s="12"/>
      <c r="AZ275" s="12"/>
      <c r="BA275" s="12"/>
      <c r="BB275" s="12"/>
      <c r="BC275" s="12"/>
      <c r="BD275" s="13"/>
      <c r="GT275" s="25" t="str">
        <f t="shared" ref="GT275" si="653">CONCATENATE("XT",U275)</f>
        <v>XT95</v>
      </c>
      <c r="GU275" s="12" t="str">
        <f t="shared" ref="GU275" si="654">CONCATENATE("C",REPLACE(AF275,1,1,"")+1)</f>
        <v>C2</v>
      </c>
      <c r="GV275" s="12" t="str">
        <f t="shared" ref="GV275" si="655">CONCATENATE("B",REPLACE(AG275,1,1,"")+1)</f>
        <v>B2</v>
      </c>
      <c r="GW275" s="12" t="str">
        <f t="shared" ref="GW275" si="656">CONCATENATE("C",REPLACE(GU275,1,1,"")+1)</f>
        <v>C3</v>
      </c>
      <c r="GX275" s="12" t="str">
        <f t="shared" ref="GX275" si="657">CONCATENATE("B",REPLACE(GV275,1,1,"")+1)</f>
        <v>B3</v>
      </c>
      <c r="GY275" s="12" t="str">
        <f t="shared" ref="GY275" si="658">CONCATENATE("C",REPLACE(GW275,1,1,"")+1)</f>
        <v>C4</v>
      </c>
      <c r="GZ275" s="12" t="str">
        <f t="shared" ref="GZ275" si="659">CONCATENATE("B",REPLACE(GX275,1,1,"")+1)</f>
        <v>B4</v>
      </c>
      <c r="HA275" s="12" t="str">
        <f t="shared" ref="HA275" si="660">CONCATENATE("C",REPLACE(GY275,1,1,"")+1)</f>
        <v>C5</v>
      </c>
      <c r="HB275" s="12" t="str">
        <f t="shared" ref="HB275" si="661">CONCATENATE("B",REPLACE(GZ275,1,1,"")+1)</f>
        <v>B5</v>
      </c>
      <c r="HC275" s="12"/>
      <c r="HD275" s="12"/>
      <c r="HE275" s="12" t="str">
        <f t="shared" ref="HE275" si="662">CONCATENATE(REPLACE(AK275,LEN(AK275),1,"")+1,"B")</f>
        <v>2B</v>
      </c>
      <c r="HF275" s="12" t="str">
        <f t="shared" ref="HF275" si="663">CONCATENATE(REPLACE(AL275,LEN(AL275),1,"")+1,"A")</f>
        <v>2A</v>
      </c>
      <c r="HG275" s="12" t="str">
        <f t="shared" ref="HG275:HH275" si="664">CONCATENATE("AI",REPLACE($X275,1,3,""),"-",AA275)</f>
        <v>AI33-9A</v>
      </c>
      <c r="HH275" s="12" t="str">
        <f t="shared" si="664"/>
        <v>AI33-9B</v>
      </c>
      <c r="HI275" s="12" t="str">
        <f t="shared" ref="HI275:HJ275" si="665">CONCATENATE("DI",REPLACE($AC275,1,3,""),"-",AF275)</f>
        <v>DI16-C1</v>
      </c>
      <c r="HJ275" s="12" t="str">
        <f t="shared" si="665"/>
        <v>DI16-B1</v>
      </c>
      <c r="HK275" s="12" t="str">
        <f t="shared" ref="HK275:HT275" si="666">CONCATENATE("DI",REPLACE($AC275,1,3,""),"-",GU275)</f>
        <v>DI16-C2</v>
      </c>
      <c r="HL275" s="12" t="str">
        <f t="shared" si="666"/>
        <v>DI16-B2</v>
      </c>
      <c r="HM275" s="12" t="str">
        <f t="shared" si="666"/>
        <v>DI16-C3</v>
      </c>
      <c r="HN275" s="12" t="str">
        <f t="shared" si="666"/>
        <v>DI16-B3</v>
      </c>
      <c r="HO275" s="12" t="str">
        <f t="shared" si="666"/>
        <v>DI16-C4</v>
      </c>
      <c r="HP275" s="12" t="str">
        <f t="shared" si="666"/>
        <v>DI16-B4</v>
      </c>
      <c r="HQ275" s="12" t="str">
        <f t="shared" si="666"/>
        <v>DI16-C5</v>
      </c>
      <c r="HR275" s="12" t="str">
        <f t="shared" si="666"/>
        <v>DI16-B5</v>
      </c>
      <c r="HS275" s="12" t="str">
        <f t="shared" si="666"/>
        <v>DI16-</v>
      </c>
      <c r="HT275" s="12" t="str">
        <f t="shared" si="666"/>
        <v>DI16-</v>
      </c>
      <c r="HU275" s="12" t="str">
        <f t="shared" ref="HU275:HV275" si="667">CONCATENATE("DO",REPLACE($AH275,1,3,""),"-",AK275)</f>
        <v>DO9-1B</v>
      </c>
      <c r="HV275" s="12" t="str">
        <f t="shared" si="667"/>
        <v>DO9-1A</v>
      </c>
      <c r="HW275" s="12" t="str">
        <f t="shared" ref="HW275:HX275" si="668">CONCATENATE("DO",REPLACE($AH275,1,3,""),"-",HE275)</f>
        <v>DO9-2B</v>
      </c>
      <c r="HX275" s="12" t="str">
        <f t="shared" si="668"/>
        <v>DO9-2A</v>
      </c>
      <c r="HY275" s="12" t="str">
        <f t="shared" ref="HY275" si="669">CONCATENATE("K",$U275,"-01")</f>
        <v>K95-01</v>
      </c>
      <c r="HZ275" s="12" t="str">
        <f t="shared" ref="HZ275" si="670">CONCATENATE("K",$U275,"-02")</f>
        <v>K95-02</v>
      </c>
      <c r="IA275" s="12" t="str">
        <f t="shared" ref="IA275" si="671">CONCATENATE("K",$U275,"-03")</f>
        <v>K95-03</v>
      </c>
      <c r="IB275" s="12" t="str">
        <f t="shared" ref="IB275" si="672">CONCATENATE("K",$U275,"-04")</f>
        <v>K95-04</v>
      </c>
      <c r="IC275" s="12" t="str">
        <f t="shared" ref="IC275" si="673">CONCATENATE("K",$U275,"-05")</f>
        <v>K95-05</v>
      </c>
      <c r="ID275" s="12" t="str">
        <f t="shared" ref="ID275" si="674">CONCATENATE("K",$U275,"-06")</f>
        <v>K95-06</v>
      </c>
      <c r="IE275" s="12" t="str">
        <f t="shared" ref="IE275" si="675">CONCATENATE("K",$U275,"-07")</f>
        <v>K95-07</v>
      </c>
      <c r="IF275" s="12" t="str">
        <f t="shared" ref="IF275" si="676">CONCATENATE("K",$U275,"-08")</f>
        <v>K95-08</v>
      </c>
      <c r="IG275" s="12" t="str">
        <f t="shared" ref="IG275" si="677">CONCATENATE($T275,"-M",$U275,"-AMS-12")</f>
        <v>F0-M95-AMS-12</v>
      </c>
      <c r="IH275" s="12" t="str">
        <f t="shared" ref="IH275" si="678">CONCATENATE($T275,"-M",$U275,"-AMS-10")</f>
        <v>F0-M95-AMS-10</v>
      </c>
      <c r="II275" s="12" t="str">
        <f t="shared" ref="II275" si="679">CONCATENATE($T275,"-M",$U275,"-AMS-11")</f>
        <v>F0-M95-AMS-11</v>
      </c>
      <c r="IJ275" s="12" t="str">
        <f t="shared" ref="IJ275" si="680">CONCATENATE($T275,"-M",$U275,"-AMS-13")</f>
        <v>F0-M95-AMS-13</v>
      </c>
      <c r="IK275" s="12" t="str">
        <f t="shared" ref="IK275" si="681">CONCATENATE($T275,"-M",$U275,"-AMS-9")</f>
        <v>F0-M95-AMS-9</v>
      </c>
      <c r="IL275" s="12" t="str">
        <f t="shared" ref="IL275" si="682">CONCATENATE($T275,"-M",$U275,"-AMS-7")</f>
        <v>F0-M95-AMS-7</v>
      </c>
      <c r="IM275" s="12" t="str">
        <f t="shared" ref="IM275" si="683">CONCATENATE($T275,"-M",$U275,"-AMS-18")</f>
        <v>F0-M95-AMS-18</v>
      </c>
      <c r="IN275" s="12" t="str">
        <f t="shared" ref="IN275" si="684">CONCATENATE($T275,"-M",$U275,"-AMS-20")</f>
        <v>F0-M95-AMS-20</v>
      </c>
      <c r="IO275" s="12" t="str">
        <f t="shared" ref="IO275" si="685">CONCATENATE($T275,"-M",$U275,"-AMS-17")</f>
        <v>F0-M95-AMS-17</v>
      </c>
      <c r="IP275" s="12" t="str">
        <f t="shared" ref="IP275" si="686">CONCATENATE($T275,"-+24-M",$U275,)</f>
        <v>F0-+24-M95</v>
      </c>
      <c r="IQ275" s="12" t="str">
        <f t="shared" ref="IQ275" si="687">CONCATENATE($T275,"-M",$U275,"-XM01")</f>
        <v>F0-M95-XM01</v>
      </c>
      <c r="IR275" s="12" t="s">
        <v>142</v>
      </c>
      <c r="IS275" s="12" t="s">
        <v>143</v>
      </c>
      <c r="IT275" s="12">
        <v>11</v>
      </c>
      <c r="IU275" s="12">
        <v>14</v>
      </c>
      <c r="IV275" s="12" t="s">
        <v>413</v>
      </c>
      <c r="IW275" s="12" t="s">
        <v>414</v>
      </c>
      <c r="IX275" s="12">
        <v>1</v>
      </c>
      <c r="IY275" s="12">
        <v>2</v>
      </c>
      <c r="IZ275" s="12">
        <v>3</v>
      </c>
      <c r="JA275" s="12">
        <v>4</v>
      </c>
      <c r="JB275" s="12">
        <v>5</v>
      </c>
      <c r="JC275" s="12">
        <v>6</v>
      </c>
      <c r="JD275" s="12">
        <v>7</v>
      </c>
      <c r="JE275" s="12">
        <v>8</v>
      </c>
      <c r="JF275" s="12">
        <v>9</v>
      </c>
      <c r="JG275" s="12">
        <v>10</v>
      </c>
      <c r="JH275" s="12">
        <v>11</v>
      </c>
      <c r="JI275" s="12">
        <v>12</v>
      </c>
      <c r="JJ275" s="12">
        <v>13</v>
      </c>
      <c r="JK275" s="12">
        <v>14</v>
      </c>
      <c r="JL275" s="12">
        <v>17</v>
      </c>
      <c r="JM275" s="12">
        <v>15</v>
      </c>
      <c r="JN275" s="12">
        <v>18</v>
      </c>
      <c r="JO275" s="12">
        <v>11</v>
      </c>
      <c r="JP275" s="12">
        <v>9</v>
      </c>
      <c r="JQ275" s="12">
        <v>6</v>
      </c>
      <c r="JR275" s="12">
        <v>20</v>
      </c>
      <c r="JS275" s="12">
        <v>7</v>
      </c>
      <c r="JT275" s="12">
        <v>10</v>
      </c>
      <c r="JU275" s="12">
        <v>22</v>
      </c>
      <c r="JV275" s="12">
        <v>23</v>
      </c>
      <c r="JW275" s="12">
        <v>26</v>
      </c>
      <c r="JX275" s="12">
        <v>27</v>
      </c>
      <c r="JY275" s="13">
        <v>30</v>
      </c>
    </row>
    <row r="276" spans="1:355" ht="15.75" thickBot="1" x14ac:dyDescent="0.3">
      <c r="A276" t="s">
        <v>1851</v>
      </c>
      <c r="B276" t="s">
        <v>1823</v>
      </c>
      <c r="C276" s="3" t="s">
        <v>1872</v>
      </c>
      <c r="O276" s="2"/>
      <c r="P276" t="s">
        <v>1784</v>
      </c>
      <c r="Q276" s="1"/>
      <c r="S276" s="1"/>
      <c r="T276" s="21" t="s">
        <v>554</v>
      </c>
      <c r="U276" s="50">
        <v>96</v>
      </c>
      <c r="V276" s="18" t="s">
        <v>1824</v>
      </c>
      <c r="W276" s="22"/>
      <c r="X276" s="23"/>
      <c r="Y276" s="23"/>
      <c r="Z276" s="23"/>
      <c r="AA276" s="23"/>
      <c r="AB276" s="23"/>
      <c r="AC276" t="str">
        <f t="shared" ref="AC276:AC278" si="688">IF(AD275+AE275&gt;31,REPLACE(AC275,LEN(AC275),1,VALUE(RIGHT(AC275,1))+1),AC275)</f>
        <v>A5.16</v>
      </c>
      <c r="AD276" s="43" cm="1">
        <f t="array" ref="AD276">IF(COUNTIFS(AC$2:AC276,AC276)=1,"1",VALUE(SUBSTITUTE(INDEX(AD:AD,_xlfn.XMATCH(AC276,AC$1:AC275,0,-1)),"A",""))+INDEX(AE:AE,_xlfn.XMATCH(AC276,AC$1:AC275,0,-1))+1)</f>
        <v>6</v>
      </c>
      <c r="AE276" s="43" cm="1">
        <f t="array" ref="AE276">SUM(IF(ISNUMBER(FIND("TmDi",$BE$1:$AAD$1)),IF(IFERROR(ISNUMBER(VALUE(SUBSTITUTE($BE276:$AAD276,"B",""))),FALSE),IF(ISNUMBER(VALUE(SUBSTITUTE($BE276:$AAD276,"B",""))),1,0),0)))</f>
        <v>4</v>
      </c>
      <c r="AF276" t="str">
        <f t="shared" si="416"/>
        <v>C6</v>
      </c>
      <c r="AG276" t="str">
        <f t="shared" si="417"/>
        <v>B6</v>
      </c>
      <c r="AH276" t="str">
        <f t="shared" ref="AH276:AH282" si="689">IF(AI275+AJ275&gt;31,REPLACE(AH275,LEN(AH275),1,VALUE(RIGHT(AH275,1))+1),AH275)</f>
        <v>A6.9</v>
      </c>
      <c r="AI276" s="43" cm="1">
        <f t="array" ref="AI276">IF(COUNTIFS(AH$2:AH276,AH276)=1,"1",VALUE(SUBSTITUTE(INDEX(AI:AI,_xlfn.XMATCH(AH276,AH$1:AH275,0,-1)),"A",""))+INDEX(AJ:AJ,_xlfn.XMATCH(AH276,AH$1:AH275,0,-1))+1)</f>
        <v>3</v>
      </c>
      <c r="AJ276" s="43" cm="1">
        <f t="array" ref="AJ276">SUM(IF(ISNUMBER(FIND("TmDo",$BE$1:$AAD$1)),IF(IFERROR(ISNUMBER(VALUE(SUBSTITUTE($BE276:$AAD276,"B",""))),FALSE),IF(ISNUMBER(VALUE(SUBSTITUTE($BE276:$AAD276,"B",""))),1,0),0)))</f>
        <v>2</v>
      </c>
      <c r="AK276" s="11" t="str">
        <f t="shared" si="419"/>
        <v>3B</v>
      </c>
      <c r="AL276" s="11" t="str">
        <f t="shared" si="420"/>
        <v>3A</v>
      </c>
      <c r="AM276" s="23" t="s">
        <v>150</v>
      </c>
      <c r="AN276" s="23"/>
      <c r="AO276" s="23"/>
      <c r="AP276" s="23" t="s">
        <v>137</v>
      </c>
      <c r="AQ276" s="23" t="s">
        <v>1794</v>
      </c>
      <c r="AR276" s="23"/>
      <c r="AS276" s="23"/>
      <c r="AT276" s="23" t="s">
        <v>139</v>
      </c>
      <c r="AU276" s="23" t="s">
        <v>140</v>
      </c>
      <c r="AV276" s="23"/>
      <c r="AW276" s="23"/>
      <c r="AX276" s="23"/>
      <c r="AY276" s="12"/>
      <c r="AZ276" s="12"/>
      <c r="BA276" s="12"/>
      <c r="BB276" s="12"/>
      <c r="BC276" s="12"/>
      <c r="BD276" s="13"/>
      <c r="BE276" s="23" t="str">
        <f t="shared" ref="BE276" si="690">CONCATENATE("XT",U276)</f>
        <v>XT96</v>
      </c>
      <c r="BF276" s="23" t="str">
        <f t="shared" ref="BF276" si="691">CONCATENATE("C",REPLACE(AF276,1,1,"")+1)</f>
        <v>C7</v>
      </c>
      <c r="BG276" s="23" t="str">
        <f t="shared" ref="BG276" si="692">CONCATENATE("B",REPLACE(AG276,1,1,"")+1)</f>
        <v>B7</v>
      </c>
      <c r="BH276" s="23" t="str">
        <f t="shared" ref="BH276" si="693">CONCATENATE("C",REPLACE(BF276,1,1,"")+1)</f>
        <v>C8</v>
      </c>
      <c r="BI276" s="23" t="str">
        <f t="shared" ref="BI276" si="694">CONCATENATE("B",REPLACE(BG276,1,1,"")+1)</f>
        <v>B8</v>
      </c>
      <c r="BJ276" s="23" t="str">
        <f t="shared" ref="BJ276" si="695">CONCATENATE("C",REPLACE(BH276,1,1,"")+1)</f>
        <v>C9</v>
      </c>
      <c r="BK276" s="23" t="str">
        <f t="shared" ref="BK276" si="696">CONCATENATE("B",REPLACE(BI276,1,1,"")+1)</f>
        <v>B9</v>
      </c>
      <c r="BL276" s="23" t="str">
        <f t="shared" ref="BL276" si="697">CONCATENATE("C",REPLACE(BJ276,1,1,"")+1)</f>
        <v>C10</v>
      </c>
      <c r="BM276" s="23" t="str">
        <f t="shared" ref="BM276" si="698">CONCATENATE("B",REPLACE(BK276,1,1,"")+1)</f>
        <v>B10</v>
      </c>
      <c r="BN276" s="23"/>
      <c r="BO276" s="23"/>
      <c r="BP276" s="23" t="str">
        <f t="shared" ref="BP276" si="699">CONCATENATE(REPLACE(AK276,LEN(AK276),1,"")+1,"B")</f>
        <v>4B</v>
      </c>
      <c r="BQ276" s="23" t="str">
        <f t="shared" ref="BQ276" si="700">CONCATENATE(REPLACE(AL276,LEN(AL276),1,"")+1,"A")</f>
        <v>4A</v>
      </c>
      <c r="BR276" s="23" t="str">
        <f t="shared" ref="BR276" si="701">CONCATENATE(REPLACE(BP276,LEN(BP276),1,"")+1,"B")</f>
        <v>5B</v>
      </c>
      <c r="BS276" s="23" t="str">
        <f t="shared" ref="BS276" si="702">CONCATENATE(REPLACE(BQ276,LEN(BQ276),1,"")+1,"A")</f>
        <v>5A</v>
      </c>
      <c r="BT276" s="23" t="str">
        <f t="shared" ref="BT276:BU276" si="703">CONCATENATE("DI",REPLACE($AC276,1,3,""),"-",AF276)</f>
        <v>DI16-C6</v>
      </c>
      <c r="BU276" s="23" t="str">
        <f t="shared" si="703"/>
        <v>DI16-B6</v>
      </c>
      <c r="BV276" s="23" t="str">
        <f t="shared" ref="BV276:CE276" si="704">CONCATENATE("DI",REPLACE($AC276,1,3,""),"-",BF276)</f>
        <v>DI16-C7</v>
      </c>
      <c r="BW276" s="23" t="str">
        <f t="shared" si="704"/>
        <v>DI16-B7</v>
      </c>
      <c r="BX276" s="23" t="str">
        <f t="shared" si="704"/>
        <v>DI16-C8</v>
      </c>
      <c r="BY276" s="23" t="str">
        <f t="shared" si="704"/>
        <v>DI16-B8</v>
      </c>
      <c r="BZ276" s="23" t="str">
        <f t="shared" si="704"/>
        <v>DI16-C9</v>
      </c>
      <c r="CA276" s="23" t="str">
        <f t="shared" si="704"/>
        <v>DI16-B9</v>
      </c>
      <c r="CB276" s="23" t="str">
        <f t="shared" si="704"/>
        <v>DI16-C10</v>
      </c>
      <c r="CC276" s="23" t="str">
        <f t="shared" si="704"/>
        <v>DI16-B10</v>
      </c>
      <c r="CD276" s="23" t="str">
        <f t="shared" si="704"/>
        <v>DI16-</v>
      </c>
      <c r="CE276" s="23" t="str">
        <f t="shared" si="704"/>
        <v>DI16-</v>
      </c>
      <c r="CF276" s="23" t="str">
        <f t="shared" ref="CF276:CG276" si="705">CONCATENATE("DO",REPLACE($AH276,1,3,""),"-",AK276)</f>
        <v>DO9-3B</v>
      </c>
      <c r="CG276" s="23" t="str">
        <f t="shared" si="705"/>
        <v>DO9-3A</v>
      </c>
      <c r="CH276" s="23" t="str">
        <f t="shared" ref="CH276:CK276" si="706">CONCATENATE("DO",REPLACE($AH276,1,3,""),"-",BP276)</f>
        <v>DO9-4B</v>
      </c>
      <c r="CI276" s="23" t="str">
        <f t="shared" si="706"/>
        <v>DO9-4A</v>
      </c>
      <c r="CJ276" s="23" t="str">
        <f t="shared" si="706"/>
        <v>DO9-5B</v>
      </c>
      <c r="CK276" s="23" t="str">
        <f t="shared" si="706"/>
        <v>DO9-5A</v>
      </c>
      <c r="CL276" s="23" t="str">
        <f t="shared" ref="CL276" si="707">CONCATENATE("K",$U276,"-10")</f>
        <v>K96-10</v>
      </c>
      <c r="CM276" s="23" t="str">
        <f t="shared" ref="CM276" si="708">CONCATENATE("K",$U276,"-03")</f>
        <v>K96-03</v>
      </c>
      <c r="CN276" s="23" t="str">
        <f t="shared" ref="CN276" si="709">CONCATENATE("K",$U276,"-04")</f>
        <v>K96-04</v>
      </c>
      <c r="CO276" s="23" t="str">
        <f t="shared" ref="CO276" si="710">CONCATENATE("K",$U276,"-01")</f>
        <v>K96-01</v>
      </c>
      <c r="CP276" s="23" t="str">
        <f t="shared" ref="CP276" si="711">CONCATENATE("K",$U276,"-08")</f>
        <v>K96-08</v>
      </c>
      <c r="CQ276" s="23" t="str">
        <f t="shared" ref="CQ276" si="712">CONCATENATE("K",$U276,"-02")</f>
        <v>K96-02</v>
      </c>
      <c r="CR276" s="23" t="str">
        <f t="shared" ref="CR276" si="713">CONCATENATE("K",$U276,"-09")</f>
        <v>K96-09</v>
      </c>
      <c r="CS276" s="23" t="str">
        <f t="shared" ref="CS276" si="714">CONCATENATE("K",$U276,"-05")</f>
        <v>K96-05</v>
      </c>
      <c r="CT276" s="23" t="str">
        <f t="shared" ref="CT276" si="715">CONCATENATE("K",$U276,"-11")</f>
        <v>K96-11</v>
      </c>
      <c r="CU276" s="23" t="str">
        <f t="shared" ref="CU276" si="716">CONCATENATE($T276,"-M",$U276,"-A9")</f>
        <v>F0-M96-A9</v>
      </c>
      <c r="CV276" s="23" t="str">
        <f t="shared" ref="CV276" si="717">CONCATENATE($T276,"-M",$U276,"-A7")</f>
        <v>F0-M96-A7</v>
      </c>
      <c r="CW276" s="23" t="str">
        <f t="shared" ref="CW276" si="718">CONCATENATE($T276,"-M",$U276,"-A8")</f>
        <v>F0-M96-A8</v>
      </c>
      <c r="CX276" s="23" t="str">
        <f t="shared" ref="CX276" si="719">CONCATENATE($T276,"-M",$U276,"-A6")</f>
        <v>F0-M96-A6</v>
      </c>
      <c r="CY276" s="23" t="str">
        <f t="shared" ref="CY276" si="720">CONCATENATE($T276,"-M",$U276,"-A30")</f>
        <v>F0-M96-A30</v>
      </c>
      <c r="CZ276" s="23" t="str">
        <f t="shared" ref="CZ276" si="721">CONCATENATE($T276,"-M",$U276,"-N")</f>
        <v>F0-M96-N</v>
      </c>
      <c r="DA276" s="23" t="str">
        <f t="shared" ref="DA276" si="722">CONCATENATE($T276,"-A220-M",U276)</f>
        <v>F0-A220-M96</v>
      </c>
      <c r="DB276" s="23" t="str">
        <f t="shared" ref="DB276" si="723">CONCATENATE($T276,"-M",$U276,"-XM01")</f>
        <v>F0-M96-XM01</v>
      </c>
      <c r="DC276" s="23" t="str">
        <f t="shared" ref="DC276" si="724">CONCATENATE($T276,"-M",$U276,"-A1")</f>
        <v>F0-M96-A1</v>
      </c>
      <c r="DD276" s="23" t="str">
        <f t="shared" ref="DD276" si="725">CONCATENATE($T276,"-M",$U276,"-A5")</f>
        <v>F0-M96-A5</v>
      </c>
      <c r="DE276" s="23" t="str">
        <f t="shared" ref="DE276" si="726">CONCATENATE($T276,"-M",$U276,"-A11")</f>
        <v>F0-M96-A11</v>
      </c>
      <c r="DF276" s="23" t="str">
        <f t="shared" ref="DF276" si="727">CONCATENATE($T276,"-M",$U276,"-A12")</f>
        <v>F0-M96-A12</v>
      </c>
      <c r="DG276" s="23" t="str">
        <f t="shared" ref="DG276" si="728">CONCATENATE($T276,"-M",$U276,"-A19")</f>
        <v>F0-M96-A19</v>
      </c>
      <c r="DH276" s="23" t="str">
        <f t="shared" ref="DH276" si="729">CONCATENATE($T276,"-M",$U276,"-A20")</f>
        <v>F0-M96-A20</v>
      </c>
      <c r="DI276" s="23" t="s">
        <v>142</v>
      </c>
      <c r="DJ276" s="23" t="s">
        <v>143</v>
      </c>
      <c r="DK276" s="23">
        <v>11</v>
      </c>
      <c r="DL276" s="23">
        <v>14</v>
      </c>
      <c r="DM276" s="23">
        <v>12</v>
      </c>
      <c r="DN276" s="23" t="s">
        <v>144</v>
      </c>
      <c r="DO276" s="23" t="s">
        <v>1825</v>
      </c>
      <c r="DP276" s="23">
        <v>1</v>
      </c>
      <c r="DQ276" s="23">
        <v>2</v>
      </c>
      <c r="DR276" s="23">
        <v>3</v>
      </c>
      <c r="DS276" s="23">
        <v>4</v>
      </c>
      <c r="DT276" s="23">
        <v>5</v>
      </c>
      <c r="DU276" s="23">
        <v>6</v>
      </c>
      <c r="DV276" s="23">
        <v>7</v>
      </c>
      <c r="DW276" s="23">
        <v>8</v>
      </c>
      <c r="DX276" s="23">
        <v>9</v>
      </c>
      <c r="DY276" s="23">
        <v>10</v>
      </c>
      <c r="DZ276" s="23">
        <v>11</v>
      </c>
      <c r="EA276" s="23">
        <v>12</v>
      </c>
      <c r="EB276" s="23">
        <v>13</v>
      </c>
      <c r="EC276" s="23">
        <v>14</v>
      </c>
      <c r="ED276" s="23">
        <v>1</v>
      </c>
      <c r="EE276" s="23">
        <v>3</v>
      </c>
      <c r="EF276" s="23">
        <v>4</v>
      </c>
      <c r="EG276" s="23">
        <v>7</v>
      </c>
      <c r="EH276" s="23">
        <v>8</v>
      </c>
      <c r="EI276" s="23">
        <v>9</v>
      </c>
      <c r="EJ276" s="23">
        <v>10</v>
      </c>
      <c r="EK276" s="23">
        <v>13</v>
      </c>
      <c r="EL276" s="23">
        <v>14</v>
      </c>
      <c r="EM276" s="23">
        <v>15</v>
      </c>
      <c r="EN276" s="23">
        <v>16</v>
      </c>
      <c r="EO276" s="23">
        <v>22</v>
      </c>
      <c r="EP276" s="23">
        <v>23</v>
      </c>
      <c r="EQ276" s="24">
        <v>24</v>
      </c>
    </row>
    <row r="277" spans="1:355" ht="15.75" thickBot="1" x14ac:dyDescent="0.3">
      <c r="A277" t="s">
        <v>1852</v>
      </c>
      <c r="B277" t="s">
        <v>1826</v>
      </c>
      <c r="C277" t="s">
        <v>1871</v>
      </c>
      <c r="P277" t="s">
        <v>1785</v>
      </c>
      <c r="T277" s="10" t="s">
        <v>554</v>
      </c>
      <c r="U277" s="49">
        <v>97</v>
      </c>
      <c r="V277" s="11" t="s">
        <v>1827</v>
      </c>
      <c r="W277" s="11" t="s">
        <v>1828</v>
      </c>
      <c r="X277" t="str" cm="1">
        <f t="array" ref="X277">IF(COUNTIF(X$1:X276,INDEX(X$1:X276,MAX(IF(X$1:X276&lt;&gt;"",ROW(X$1:X276)))))&gt;7,REPLACE(INDEX(X$1:X276,MAX(IF(X$1:X276&lt;&gt;"",ROW(X$1:X276)))),LEN(INDEX(X$1:X276,MAX(IF(X$1:X276&lt;&gt;"",ROW(X$1:X276))))),1,VALUE(RIGHT(INDEX(X$1:X276,MAX(IF(X$1:X276&lt;&gt;"",ROW(X$1:X276)))),1))+1),INDEX(X$1:X276,MAX(IF(X$1:X276&lt;&gt;"",ROW(X$1:X276)))))</f>
        <v>A3.33</v>
      </c>
      <c r="Y277" s="43" cm="1">
        <f t="array" ref="Y277">IF(COUNTIFS(X$2:X277,X277)=1,"1",VALUE(SUBSTITUTE(INDEX(Y:Y,_xlfn.XMATCH(X277,X$1:X276,0,-1)),"A",""))+INDEX(Z:Z,_xlfn.XMATCH(X277,X$1:X276,0,-1))+1)</f>
        <v>6</v>
      </c>
      <c r="Z277" s="43" cm="1">
        <f t="array" ref="Z277">SUM(IF(ISNUMBER(FIND("TmAi",$BE$1:$AAD$1)),IF(IFERROR(ISODD(SUBSTITUTE($BE277:$AAD277,"A","")),FALSE),IF(ISODD(SUBSTITUTE($BE277:$AAD277,"A","")),1,0),0)))</f>
        <v>0</v>
      </c>
      <c r="AA277" t="str">
        <f t="shared" ref="AA277" si="730">CONCATENATE($Y277*2-1,"A")</f>
        <v>11A</v>
      </c>
      <c r="AB277" t="str">
        <f t="shared" ref="AB277" si="731">CONCATENATE($Y277*2-1,"B")</f>
        <v>11B</v>
      </c>
      <c r="AC277" t="str">
        <f t="shared" si="688"/>
        <v>A5.16</v>
      </c>
      <c r="AD277" s="43" cm="1">
        <f t="array" ref="AD277">IF(COUNTIFS(AC$2:AC277,AC277)=1,"1",VALUE(SUBSTITUTE(INDEX(AD:AD,_xlfn.XMATCH(AC277,AC$1:AC276,0,-1)),"A",""))+INDEX(AE:AE,_xlfn.XMATCH(AC277,AC$1:AC276,0,-1))+1)</f>
        <v>11</v>
      </c>
      <c r="AE277" s="43" cm="1">
        <f t="array" ref="AE277">SUM(IF(ISNUMBER(FIND("TmDi",$BE$1:$AAD$1)),IF(IFERROR(ISNUMBER(VALUE(SUBSTITUTE($BE277:$AAD277,"B",""))),FALSE),IF(ISNUMBER(VALUE(SUBSTITUTE($BE277:$AAD277,"B",""))),1,0),0)))</f>
        <v>4</v>
      </c>
      <c r="AF277" t="str">
        <f t="shared" si="416"/>
        <v>C11</v>
      </c>
      <c r="AG277" t="str">
        <f t="shared" si="417"/>
        <v>B11</v>
      </c>
      <c r="AH277" t="str">
        <f t="shared" si="689"/>
        <v>A6.9</v>
      </c>
      <c r="AI277" s="43" cm="1">
        <f t="array" ref="AI277">IF(COUNTIFS(AH$2:AH277,AH277)=1,"1",VALUE(SUBSTITUTE(INDEX(AI:AI,_xlfn.XMATCH(AH277,AH$1:AH276,0,-1)),"A",""))+INDEX(AJ:AJ,_xlfn.XMATCH(AH277,AH$1:AH276,0,-1))+1)</f>
        <v>6</v>
      </c>
      <c r="AJ277" s="43" cm="1">
        <f t="array" ref="AJ277">SUM(IF(ISNUMBER(FIND("TmDo",$BE$1:$AAD$1)),IF(IFERROR(ISNUMBER(VALUE(SUBSTITUTE($BE277:$AAD277,"B",""))),FALSE),IF(ISNUMBER(VALUE(SUBSTITUTE($BE277:$AAD277,"B",""))),1,0),0)))</f>
        <v>1</v>
      </c>
      <c r="AK277" s="11" t="str">
        <f t="shared" si="419"/>
        <v>6B</v>
      </c>
      <c r="AL277" s="11" t="str">
        <f t="shared" si="420"/>
        <v>6A</v>
      </c>
      <c r="AM277" s="12" t="s">
        <v>161</v>
      </c>
      <c r="AN277" s="12"/>
      <c r="AO277" s="12"/>
      <c r="AP277" s="12" t="s">
        <v>137</v>
      </c>
      <c r="AQ277" s="12" t="s">
        <v>1794</v>
      </c>
      <c r="AR277" s="12"/>
      <c r="AS277" s="12" t="s">
        <v>396</v>
      </c>
      <c r="AT277" s="12" t="s">
        <v>139</v>
      </c>
      <c r="AU277" s="12" t="s">
        <v>140</v>
      </c>
      <c r="AV277" s="12"/>
      <c r="AW277" s="12"/>
      <c r="AX277" s="12"/>
      <c r="AY277" s="12"/>
      <c r="AZ277" s="12"/>
      <c r="BA277" s="12"/>
      <c r="BB277" s="12"/>
      <c r="BC277" s="12"/>
      <c r="BD277" s="13"/>
      <c r="GT277" s="25" t="str">
        <f t="shared" ref="GT277" si="732">CONCATENATE("XT",U277)</f>
        <v>XT97</v>
      </c>
      <c r="GU277" s="12" t="str">
        <f t="shared" ref="GU277" si="733">CONCATENATE("C",REPLACE(AF277,1,1,"")+1)</f>
        <v>C12</v>
      </c>
      <c r="GV277" s="12" t="str">
        <f t="shared" ref="GV277" si="734">CONCATENATE("B",REPLACE(AG277,1,1,"")+1)</f>
        <v>B12</v>
      </c>
      <c r="GW277" s="12" t="str">
        <f t="shared" ref="GW277" si="735">CONCATENATE("C",REPLACE(GU277,1,1,"")+1)</f>
        <v>C13</v>
      </c>
      <c r="GX277" s="12" t="str">
        <f t="shared" ref="GX277" si="736">CONCATENATE("B",REPLACE(GV277,1,1,"")+1)</f>
        <v>B13</v>
      </c>
      <c r="GY277" s="12" t="str">
        <f t="shared" ref="GY277" si="737">CONCATENATE("C",REPLACE(GW277,1,1,"")+1)</f>
        <v>C14</v>
      </c>
      <c r="GZ277" s="12" t="str">
        <f t="shared" ref="GZ277" si="738">CONCATENATE("B",REPLACE(GX277,1,1,"")+1)</f>
        <v>B14</v>
      </c>
      <c r="HA277" s="12" t="str">
        <f t="shared" ref="HA277" si="739">CONCATENATE("C",REPLACE(GY277,1,1,"")+1)</f>
        <v>C15</v>
      </c>
      <c r="HB277" s="12" t="str">
        <f t="shared" ref="HB277" si="740">CONCATENATE("B",REPLACE(GZ277,1,1,"")+1)</f>
        <v>B15</v>
      </c>
      <c r="HC277" s="12"/>
      <c r="HD277" s="12"/>
      <c r="HE277" s="12" t="str">
        <f t="shared" ref="HE277" si="741">CONCATENATE(REPLACE(AK277,LEN(AK277),1,"")+1,"B")</f>
        <v>7B</v>
      </c>
      <c r="HF277" s="12" t="str">
        <f t="shared" ref="HF277" si="742">CONCATENATE(REPLACE(AL277,LEN(AL277),1,"")+1,"A")</f>
        <v>7A</v>
      </c>
      <c r="HG277" s="12" t="str">
        <f t="shared" ref="HG277:HH277" si="743">CONCATENATE("AI",REPLACE($X277,1,3,""),"-",AA277)</f>
        <v>AI33-11A</v>
      </c>
      <c r="HH277" s="12" t="str">
        <f t="shared" si="743"/>
        <v>AI33-11B</v>
      </c>
      <c r="HI277" s="12" t="str">
        <f t="shared" ref="HI277:HJ277" si="744">CONCATENATE("DI",REPLACE($AC277,1,3,""),"-",AF277)</f>
        <v>DI16-C11</v>
      </c>
      <c r="HJ277" s="12" t="str">
        <f t="shared" si="744"/>
        <v>DI16-B11</v>
      </c>
      <c r="HK277" s="12" t="str">
        <f t="shared" ref="HK277:HT277" si="745">CONCATENATE("DI",REPLACE($AC277,1,3,""),"-",GU277)</f>
        <v>DI16-C12</v>
      </c>
      <c r="HL277" s="12" t="str">
        <f t="shared" si="745"/>
        <v>DI16-B12</v>
      </c>
      <c r="HM277" s="12" t="str">
        <f t="shared" si="745"/>
        <v>DI16-C13</v>
      </c>
      <c r="HN277" s="12" t="str">
        <f t="shared" si="745"/>
        <v>DI16-B13</v>
      </c>
      <c r="HO277" s="12" t="str">
        <f t="shared" si="745"/>
        <v>DI16-C14</v>
      </c>
      <c r="HP277" s="12" t="str">
        <f t="shared" si="745"/>
        <v>DI16-B14</v>
      </c>
      <c r="HQ277" s="12" t="str">
        <f t="shared" si="745"/>
        <v>DI16-C15</v>
      </c>
      <c r="HR277" s="12" t="str">
        <f t="shared" si="745"/>
        <v>DI16-B15</v>
      </c>
      <c r="HS277" s="12" t="str">
        <f t="shared" si="745"/>
        <v>DI16-</v>
      </c>
      <c r="HT277" s="12" t="str">
        <f t="shared" si="745"/>
        <v>DI16-</v>
      </c>
      <c r="HU277" s="12" t="str">
        <f t="shared" ref="HU277:HV277" si="746">CONCATENATE("DO",REPLACE($AH277,1,3,""),"-",AK277)</f>
        <v>DO9-6B</v>
      </c>
      <c r="HV277" s="12" t="str">
        <f t="shared" si="746"/>
        <v>DO9-6A</v>
      </c>
      <c r="HW277" s="12" t="str">
        <f t="shared" ref="HW277:HX277" si="747">CONCATENATE("DO",REPLACE($AH277,1,3,""),"-",HE277)</f>
        <v>DO9-7B</v>
      </c>
      <c r="HX277" s="12" t="str">
        <f t="shared" si="747"/>
        <v>DO9-7A</v>
      </c>
      <c r="HY277" s="12" t="str">
        <f t="shared" ref="HY277" si="748">CONCATENATE("K",$U277,"-01")</f>
        <v>K97-01</v>
      </c>
      <c r="HZ277" s="12" t="str">
        <f t="shared" ref="HZ277" si="749">CONCATENATE("K",$U277,"-02")</f>
        <v>K97-02</v>
      </c>
      <c r="IA277" s="12" t="str">
        <f t="shared" ref="IA277" si="750">CONCATENATE("K",$U277,"-03")</f>
        <v>K97-03</v>
      </c>
      <c r="IB277" s="12" t="str">
        <f t="shared" ref="IB277" si="751">CONCATENATE("K",$U277,"-04")</f>
        <v>K97-04</v>
      </c>
      <c r="IC277" s="12" t="str">
        <f t="shared" ref="IC277" si="752">CONCATENATE("K",$U277,"-05")</f>
        <v>K97-05</v>
      </c>
      <c r="ID277" s="12" t="str">
        <f t="shared" ref="ID277" si="753">CONCATENATE("K",$U277,"-06")</f>
        <v>K97-06</v>
      </c>
      <c r="IE277" s="12" t="str">
        <f t="shared" ref="IE277" si="754">CONCATENATE("K",$U277,"-07")</f>
        <v>K97-07</v>
      </c>
      <c r="IF277" s="12" t="str">
        <f t="shared" ref="IF277" si="755">CONCATENATE("K",$U277,"-08")</f>
        <v>K97-08</v>
      </c>
      <c r="IG277" s="12" t="str">
        <f t="shared" ref="IG277" si="756">CONCATENATE($T277,"-M",$U277,"-AMS-12")</f>
        <v>F0-M97-AMS-12</v>
      </c>
      <c r="IH277" s="12" t="str">
        <f t="shared" ref="IH277" si="757">CONCATENATE($T277,"-M",$U277,"-AMS-10")</f>
        <v>F0-M97-AMS-10</v>
      </c>
      <c r="II277" s="12" t="str">
        <f t="shared" ref="II277" si="758">CONCATENATE($T277,"-M",$U277,"-AMS-11")</f>
        <v>F0-M97-AMS-11</v>
      </c>
      <c r="IJ277" s="12" t="str">
        <f t="shared" ref="IJ277" si="759">CONCATENATE($T277,"-M",$U277,"-AMS-13")</f>
        <v>F0-M97-AMS-13</v>
      </c>
      <c r="IK277" s="12" t="str">
        <f t="shared" ref="IK277" si="760">CONCATENATE($T277,"-M",$U277,"-AMS-9")</f>
        <v>F0-M97-AMS-9</v>
      </c>
      <c r="IL277" s="12" t="str">
        <f t="shared" ref="IL277" si="761">CONCATENATE($T277,"-M",$U277,"-AMS-7")</f>
        <v>F0-M97-AMS-7</v>
      </c>
      <c r="IM277" s="12" t="str">
        <f t="shared" ref="IM277" si="762">CONCATENATE($T277,"-M",$U277,"-AMS-18")</f>
        <v>F0-M97-AMS-18</v>
      </c>
      <c r="IN277" s="12" t="str">
        <f t="shared" ref="IN277" si="763">CONCATENATE($T277,"-M",$U277,"-AMS-20")</f>
        <v>F0-M97-AMS-20</v>
      </c>
      <c r="IO277" s="12" t="str">
        <f t="shared" ref="IO277" si="764">CONCATENATE($T277,"-M",$U277,"-AMS-17")</f>
        <v>F0-M97-AMS-17</v>
      </c>
      <c r="IP277" s="12" t="str">
        <f t="shared" ref="IP277" si="765">CONCATENATE($T277,"-+24-M",$U277,)</f>
        <v>F0-+24-M97</v>
      </c>
      <c r="IQ277" s="12" t="str">
        <f t="shared" ref="IQ277" si="766">CONCATENATE($T277,"-M",$U277,"-XM01")</f>
        <v>F0-M97-XM01</v>
      </c>
      <c r="IR277" s="12" t="s">
        <v>142</v>
      </c>
      <c r="IS277" s="12" t="s">
        <v>143</v>
      </c>
      <c r="IT277" s="12">
        <v>11</v>
      </c>
      <c r="IU277" s="12">
        <v>14</v>
      </c>
      <c r="IV277" s="12" t="s">
        <v>413</v>
      </c>
      <c r="IW277" s="12" t="s">
        <v>414</v>
      </c>
      <c r="IX277" s="12">
        <v>1</v>
      </c>
      <c r="IY277" s="12">
        <v>2</v>
      </c>
      <c r="IZ277" s="12">
        <v>3</v>
      </c>
      <c r="JA277" s="12">
        <v>4</v>
      </c>
      <c r="JB277" s="12">
        <v>5</v>
      </c>
      <c r="JC277" s="12">
        <v>6</v>
      </c>
      <c r="JD277" s="12">
        <v>7</v>
      </c>
      <c r="JE277" s="12">
        <v>8</v>
      </c>
      <c r="JF277" s="12">
        <v>9</v>
      </c>
      <c r="JG277" s="12">
        <v>10</v>
      </c>
      <c r="JH277" s="12">
        <v>11</v>
      </c>
      <c r="JI277" s="12">
        <v>12</v>
      </c>
      <c r="JJ277" s="12">
        <v>13</v>
      </c>
      <c r="JK277" s="12">
        <v>14</v>
      </c>
      <c r="JL277" s="12">
        <v>17</v>
      </c>
      <c r="JM277" s="12">
        <v>15</v>
      </c>
      <c r="JN277" s="12">
        <v>18</v>
      </c>
      <c r="JO277" s="12">
        <v>11</v>
      </c>
      <c r="JP277" s="12">
        <v>9</v>
      </c>
      <c r="JQ277" s="12">
        <v>6</v>
      </c>
      <c r="JR277" s="12">
        <v>20</v>
      </c>
      <c r="JS277" s="12">
        <v>7</v>
      </c>
      <c r="JT277" s="12">
        <v>10</v>
      </c>
      <c r="JU277" s="12">
        <v>22</v>
      </c>
      <c r="JV277" s="12">
        <v>23</v>
      </c>
      <c r="JW277" s="12">
        <v>26</v>
      </c>
      <c r="JX277" s="12">
        <v>27</v>
      </c>
      <c r="JY277" s="13">
        <v>30</v>
      </c>
    </row>
    <row r="278" spans="1:355" ht="15.75" thickBot="1" x14ac:dyDescent="0.3">
      <c r="A278" t="s">
        <v>1853</v>
      </c>
      <c r="B278" t="s">
        <v>1829</v>
      </c>
      <c r="C278" s="3" t="s">
        <v>1872</v>
      </c>
      <c r="O278" s="2"/>
      <c r="P278" t="s">
        <v>1784</v>
      </c>
      <c r="Q278" s="1"/>
      <c r="S278" s="1"/>
      <c r="T278" s="21" t="s">
        <v>554</v>
      </c>
      <c r="U278" s="50">
        <v>98</v>
      </c>
      <c r="V278" s="18" t="s">
        <v>1830</v>
      </c>
      <c r="W278" s="22"/>
      <c r="X278" s="23"/>
      <c r="Y278" s="23"/>
      <c r="Z278" s="23"/>
      <c r="AA278" s="23"/>
      <c r="AB278" s="23"/>
      <c r="AC278" t="str">
        <f t="shared" si="688"/>
        <v>A5.16</v>
      </c>
      <c r="AD278" s="43" cm="1">
        <f t="array" ref="AD278">IF(COUNTIFS(AC$2:AC278,AC278)=1,"1",VALUE(SUBSTITUTE(INDEX(AD:AD,_xlfn.XMATCH(AC278,AC$1:AC277,0,-1)),"A",""))+INDEX(AE:AE,_xlfn.XMATCH(AC278,AC$1:AC277,0,-1))+1)</f>
        <v>16</v>
      </c>
      <c r="AE278" s="43" cm="1">
        <f t="array" ref="AE278">SUM(IF(ISNUMBER(FIND("TmDi",$BE$1:$AAD$1)),IF(IFERROR(ISNUMBER(VALUE(SUBSTITUTE($BE278:$AAD278,"B",""))),FALSE),IF(ISNUMBER(VALUE(SUBSTITUTE($BE278:$AAD278,"B",""))),1,0),0)))</f>
        <v>4</v>
      </c>
      <c r="AF278" t="str">
        <f t="shared" si="416"/>
        <v>C16</v>
      </c>
      <c r="AG278" t="str">
        <f t="shared" si="417"/>
        <v>B16</v>
      </c>
      <c r="AH278" t="str">
        <f t="shared" si="689"/>
        <v>A6.9</v>
      </c>
      <c r="AI278" s="43" cm="1">
        <f t="array" ref="AI278">IF(COUNTIFS(AH$2:AH278,AH278)=1,"1",VALUE(SUBSTITUTE(INDEX(AI:AI,_xlfn.XMATCH(AH278,AH$1:AH277,0,-1)),"A",""))+INDEX(AJ:AJ,_xlfn.XMATCH(AH278,AH$1:AH277,0,-1))+1)</f>
        <v>8</v>
      </c>
      <c r="AJ278" s="43" cm="1">
        <f t="array" ref="AJ278">SUM(IF(ISNUMBER(FIND("TmDo",$BE$1:$AAD$1)),IF(IFERROR(ISNUMBER(VALUE(SUBSTITUTE($BE278:$AAD278,"B",""))),FALSE),IF(ISNUMBER(VALUE(SUBSTITUTE($BE278:$AAD278,"B",""))),1,0),0)))</f>
        <v>2</v>
      </c>
      <c r="AK278" s="11" t="str">
        <f t="shared" si="419"/>
        <v>8B</v>
      </c>
      <c r="AL278" s="11" t="str">
        <f t="shared" si="420"/>
        <v>8A</v>
      </c>
      <c r="AM278" s="23" t="s">
        <v>150</v>
      </c>
      <c r="AN278" s="23"/>
      <c r="AO278" s="23"/>
      <c r="AP278" s="23" t="s">
        <v>137</v>
      </c>
      <c r="AQ278" s="23" t="s">
        <v>1794</v>
      </c>
      <c r="AR278" s="23"/>
      <c r="AS278" s="23"/>
      <c r="AT278" s="23" t="s">
        <v>139</v>
      </c>
      <c r="AU278" s="23" t="s">
        <v>140</v>
      </c>
      <c r="AV278" s="23"/>
      <c r="AW278" s="23"/>
      <c r="AX278" s="23"/>
      <c r="AY278" s="12"/>
      <c r="AZ278" s="12"/>
      <c r="BA278" s="12"/>
      <c r="BB278" s="12"/>
      <c r="BC278" s="12"/>
      <c r="BD278" s="13"/>
      <c r="BE278" s="23" t="str">
        <f t="shared" ref="BE278" si="767">CONCATENATE("XT",U278)</f>
        <v>XT98</v>
      </c>
      <c r="BF278" s="23" t="str">
        <f t="shared" ref="BF278" si="768">CONCATENATE("C",REPLACE(AF278,1,1,"")+1)</f>
        <v>C17</v>
      </c>
      <c r="BG278" s="23" t="str">
        <f t="shared" ref="BG278" si="769">CONCATENATE("B",REPLACE(AG278,1,1,"")+1)</f>
        <v>B17</v>
      </c>
      <c r="BH278" s="23" t="str">
        <f t="shared" ref="BH278" si="770">CONCATENATE("C",REPLACE(BF278,1,1,"")+1)</f>
        <v>C18</v>
      </c>
      <c r="BI278" s="23" t="str">
        <f t="shared" ref="BI278" si="771">CONCATENATE("B",REPLACE(BG278,1,1,"")+1)</f>
        <v>B18</v>
      </c>
      <c r="BJ278" s="23" t="str">
        <f t="shared" ref="BJ278" si="772">CONCATENATE("C",REPLACE(BH278,1,1,"")+1)</f>
        <v>C19</v>
      </c>
      <c r="BK278" s="23" t="str">
        <f t="shared" ref="BK278" si="773">CONCATENATE("B",REPLACE(BI278,1,1,"")+1)</f>
        <v>B19</v>
      </c>
      <c r="BL278" s="23" t="str">
        <f t="shared" ref="BL278" si="774">CONCATENATE("C",REPLACE(BJ278,1,1,"")+1)</f>
        <v>C20</v>
      </c>
      <c r="BM278" s="23" t="str">
        <f t="shared" ref="BM278" si="775">CONCATENATE("B",REPLACE(BK278,1,1,"")+1)</f>
        <v>B20</v>
      </c>
      <c r="BN278" s="23"/>
      <c r="BO278" s="23"/>
      <c r="BP278" s="23" t="str">
        <f t="shared" ref="BP278" si="776">CONCATENATE(REPLACE(AK278,LEN(AK278),1,"")+1,"B")</f>
        <v>9B</v>
      </c>
      <c r="BQ278" s="23" t="str">
        <f t="shared" ref="BQ278" si="777">CONCATENATE(REPLACE(AL278,LEN(AL278),1,"")+1,"A")</f>
        <v>9A</v>
      </c>
      <c r="BR278" s="23" t="str">
        <f t="shared" ref="BR278" si="778">CONCATENATE(REPLACE(BP278,LEN(BP278),1,"")+1,"B")</f>
        <v>10B</v>
      </c>
      <c r="BS278" s="23" t="str">
        <f t="shared" ref="BS278" si="779">CONCATENATE(REPLACE(BQ278,LEN(BQ278),1,"")+1,"A")</f>
        <v>10A</v>
      </c>
      <c r="BT278" s="23" t="str">
        <f t="shared" ref="BT278:BU278" si="780">CONCATENATE("DI",REPLACE($AC278,1,3,""),"-",AF278)</f>
        <v>DI16-C16</v>
      </c>
      <c r="BU278" s="23" t="str">
        <f t="shared" si="780"/>
        <v>DI16-B16</v>
      </c>
      <c r="BV278" s="23" t="str">
        <f t="shared" ref="BV278:CE278" si="781">CONCATENATE("DI",REPLACE($AC278,1,3,""),"-",BF278)</f>
        <v>DI16-C17</v>
      </c>
      <c r="BW278" s="23" t="str">
        <f t="shared" si="781"/>
        <v>DI16-B17</v>
      </c>
      <c r="BX278" s="23" t="str">
        <f t="shared" si="781"/>
        <v>DI16-C18</v>
      </c>
      <c r="BY278" s="23" t="str">
        <f t="shared" si="781"/>
        <v>DI16-B18</v>
      </c>
      <c r="BZ278" s="23" t="str">
        <f t="shared" si="781"/>
        <v>DI16-C19</v>
      </c>
      <c r="CA278" s="23" t="str">
        <f t="shared" si="781"/>
        <v>DI16-B19</v>
      </c>
      <c r="CB278" s="23" t="str">
        <f t="shared" si="781"/>
        <v>DI16-C20</v>
      </c>
      <c r="CC278" s="23" t="str">
        <f t="shared" si="781"/>
        <v>DI16-B20</v>
      </c>
      <c r="CD278" s="23" t="str">
        <f t="shared" si="781"/>
        <v>DI16-</v>
      </c>
      <c r="CE278" s="23" t="str">
        <f t="shared" si="781"/>
        <v>DI16-</v>
      </c>
      <c r="CF278" s="23" t="str">
        <f t="shared" ref="CF278:CG278" si="782">CONCATENATE("DO",REPLACE($AH278,1,3,""),"-",AK278)</f>
        <v>DO9-8B</v>
      </c>
      <c r="CG278" s="23" t="str">
        <f t="shared" si="782"/>
        <v>DO9-8A</v>
      </c>
      <c r="CH278" s="23" t="str">
        <f t="shared" ref="CH278:CK278" si="783">CONCATENATE("DO",REPLACE($AH278,1,3,""),"-",BP278)</f>
        <v>DO9-9B</v>
      </c>
      <c r="CI278" s="23" t="str">
        <f t="shared" si="783"/>
        <v>DO9-9A</v>
      </c>
      <c r="CJ278" s="23" t="str">
        <f t="shared" si="783"/>
        <v>DO9-10B</v>
      </c>
      <c r="CK278" s="23" t="str">
        <f t="shared" si="783"/>
        <v>DO9-10A</v>
      </c>
      <c r="CL278" s="23" t="str">
        <f t="shared" ref="CL278" si="784">CONCATENATE("K",$U278,"-10")</f>
        <v>K98-10</v>
      </c>
      <c r="CM278" s="23" t="str">
        <f t="shared" ref="CM278" si="785">CONCATENATE("K",$U278,"-03")</f>
        <v>K98-03</v>
      </c>
      <c r="CN278" s="23" t="str">
        <f t="shared" ref="CN278" si="786">CONCATENATE("K",$U278,"-04")</f>
        <v>K98-04</v>
      </c>
      <c r="CO278" s="23" t="str">
        <f t="shared" ref="CO278" si="787">CONCATENATE("K",$U278,"-01")</f>
        <v>K98-01</v>
      </c>
      <c r="CP278" s="23" t="str">
        <f t="shared" ref="CP278" si="788">CONCATENATE("K",$U278,"-08")</f>
        <v>K98-08</v>
      </c>
      <c r="CQ278" s="23" t="str">
        <f t="shared" ref="CQ278" si="789">CONCATENATE("K",$U278,"-02")</f>
        <v>K98-02</v>
      </c>
      <c r="CR278" s="23" t="str">
        <f t="shared" ref="CR278" si="790">CONCATENATE("K",$U278,"-09")</f>
        <v>K98-09</v>
      </c>
      <c r="CS278" s="23" t="str">
        <f t="shared" ref="CS278" si="791">CONCATENATE("K",$U278,"-05")</f>
        <v>K98-05</v>
      </c>
      <c r="CT278" s="23" t="str">
        <f t="shared" ref="CT278" si="792">CONCATENATE("K",$U278,"-11")</f>
        <v>K98-11</v>
      </c>
      <c r="CU278" s="23" t="str">
        <f t="shared" ref="CU278" si="793">CONCATENATE($T278,"-M",$U278,"-A9")</f>
        <v>F0-M98-A9</v>
      </c>
      <c r="CV278" s="23" t="str">
        <f t="shared" ref="CV278" si="794">CONCATENATE($T278,"-M",$U278,"-A7")</f>
        <v>F0-M98-A7</v>
      </c>
      <c r="CW278" s="23" t="str">
        <f t="shared" ref="CW278" si="795">CONCATENATE($T278,"-M",$U278,"-A8")</f>
        <v>F0-M98-A8</v>
      </c>
      <c r="CX278" s="23" t="str">
        <f t="shared" ref="CX278" si="796">CONCATENATE($T278,"-M",$U278,"-A6")</f>
        <v>F0-M98-A6</v>
      </c>
      <c r="CY278" s="23" t="str">
        <f t="shared" ref="CY278" si="797">CONCATENATE($T278,"-M",$U278,"-A30")</f>
        <v>F0-M98-A30</v>
      </c>
      <c r="CZ278" s="23" t="str">
        <f t="shared" ref="CZ278" si="798">CONCATENATE($T278,"-M",$U278,"-N")</f>
        <v>F0-M98-N</v>
      </c>
      <c r="DA278" s="23" t="str">
        <f t="shared" ref="DA278" si="799">CONCATENATE($T278,"-A220-M",U278)</f>
        <v>F0-A220-M98</v>
      </c>
      <c r="DB278" s="23" t="str">
        <f t="shared" ref="DB278" si="800">CONCATENATE($T278,"-M",$U278,"-XM01")</f>
        <v>F0-M98-XM01</v>
      </c>
      <c r="DC278" s="23" t="str">
        <f t="shared" ref="DC278" si="801">CONCATENATE($T278,"-M",$U278,"-A1")</f>
        <v>F0-M98-A1</v>
      </c>
      <c r="DD278" s="23" t="str">
        <f t="shared" ref="DD278" si="802">CONCATENATE($T278,"-M",$U278,"-A5")</f>
        <v>F0-M98-A5</v>
      </c>
      <c r="DE278" s="23" t="str">
        <f t="shared" ref="DE278" si="803">CONCATENATE($T278,"-M",$U278,"-A11")</f>
        <v>F0-M98-A11</v>
      </c>
      <c r="DF278" s="23" t="str">
        <f t="shared" ref="DF278" si="804">CONCATENATE($T278,"-M",$U278,"-A12")</f>
        <v>F0-M98-A12</v>
      </c>
      <c r="DG278" s="23" t="str">
        <f t="shared" ref="DG278" si="805">CONCATENATE($T278,"-M",$U278,"-A19")</f>
        <v>F0-M98-A19</v>
      </c>
      <c r="DH278" s="23" t="str">
        <f t="shared" ref="DH278" si="806">CONCATENATE($T278,"-M",$U278,"-A20")</f>
        <v>F0-M98-A20</v>
      </c>
      <c r="DI278" s="23" t="s">
        <v>142</v>
      </c>
      <c r="DJ278" s="23" t="s">
        <v>143</v>
      </c>
      <c r="DK278" s="23">
        <v>11</v>
      </c>
      <c r="DL278" s="23">
        <v>14</v>
      </c>
      <c r="DM278" s="23">
        <v>12</v>
      </c>
      <c r="DN278" s="23" t="s">
        <v>144</v>
      </c>
      <c r="DO278" s="23" t="s">
        <v>1831</v>
      </c>
      <c r="DP278" s="23">
        <v>1</v>
      </c>
      <c r="DQ278" s="23">
        <v>2</v>
      </c>
      <c r="DR278" s="23">
        <v>3</v>
      </c>
      <c r="DS278" s="23">
        <v>4</v>
      </c>
      <c r="DT278" s="23">
        <v>5</v>
      </c>
      <c r="DU278" s="23">
        <v>6</v>
      </c>
      <c r="DV278" s="23">
        <v>7</v>
      </c>
      <c r="DW278" s="23">
        <v>8</v>
      </c>
      <c r="DX278" s="23">
        <v>9</v>
      </c>
      <c r="DY278" s="23">
        <v>10</v>
      </c>
      <c r="DZ278" s="23">
        <v>11</v>
      </c>
      <c r="EA278" s="23">
        <v>12</v>
      </c>
      <c r="EB278" s="23">
        <v>13</v>
      </c>
      <c r="EC278" s="23">
        <v>14</v>
      </c>
      <c r="ED278" s="23">
        <v>1</v>
      </c>
      <c r="EE278" s="23">
        <v>3</v>
      </c>
      <c r="EF278" s="23">
        <v>4</v>
      </c>
      <c r="EG278" s="23">
        <v>7</v>
      </c>
      <c r="EH278" s="23">
        <v>8</v>
      </c>
      <c r="EI278" s="23">
        <v>9</v>
      </c>
      <c r="EJ278" s="23">
        <v>10</v>
      </c>
      <c r="EK278" s="23">
        <v>13</v>
      </c>
      <c r="EL278" s="23">
        <v>14</v>
      </c>
      <c r="EM278" s="23">
        <v>15</v>
      </c>
      <c r="EN278" s="23">
        <v>16</v>
      </c>
      <c r="EO278" s="23">
        <v>22</v>
      </c>
      <c r="EP278" s="23">
        <v>23</v>
      </c>
      <c r="EQ278" s="24">
        <v>24</v>
      </c>
    </row>
    <row r="279" spans="1:355" ht="15.75" thickBot="1" x14ac:dyDescent="0.3">
      <c r="A279" t="s">
        <v>1854</v>
      </c>
      <c r="B279" t="s">
        <v>1832</v>
      </c>
      <c r="C279" t="s">
        <v>1871</v>
      </c>
      <c r="P279" t="s">
        <v>1785</v>
      </c>
      <c r="T279" s="10" t="s">
        <v>554</v>
      </c>
      <c r="U279" s="49">
        <v>99</v>
      </c>
      <c r="V279" s="11" t="s">
        <v>1833</v>
      </c>
      <c r="W279" s="11" t="s">
        <v>1834</v>
      </c>
      <c r="X279" t="str" cm="1">
        <f t="array" ref="X279">IF(COUNTIF(X$1:X278,INDEX(X$1:X278,MAX(IF(X$1:X278&lt;&gt;"",ROW(X$1:X278)))))&gt;7,REPLACE(INDEX(X$1:X278,MAX(IF(X$1:X278&lt;&gt;"",ROW(X$1:X278)))),LEN(INDEX(X$1:X278,MAX(IF(X$1:X278&lt;&gt;"",ROW(X$1:X278))))),1,VALUE(RIGHT(INDEX(X$1:X278,MAX(IF(X$1:X278&lt;&gt;"",ROW(X$1:X278)))),1))+1),INDEX(X$1:X278,MAX(IF(X$1:X278&lt;&gt;"",ROW(X$1:X278)))))</f>
        <v>A3.33</v>
      </c>
      <c r="Y279" s="43" cm="1">
        <f t="array" ref="Y279">IF(COUNTIFS(X$2:X279,X279)=1,"1",VALUE(SUBSTITUTE(INDEX(Y:Y,_xlfn.XMATCH(X279,X$1:X278,0,-1)),"A",""))+INDEX(Z:Z,_xlfn.XMATCH(X279,X$1:X278,0,-1))+1)</f>
        <v>7</v>
      </c>
      <c r="Z279" s="43" cm="1">
        <f t="array" ref="Z279">SUM(IF(ISNUMBER(FIND("TmAi",$BE$1:$AAD$1)),IF(IFERROR(ISODD(SUBSTITUTE($BE279:$AAD279,"A","")),FALSE),IF(ISODD(SUBSTITUTE($BE279:$AAD279,"A","")),1,0),0)))</f>
        <v>0</v>
      </c>
      <c r="AA279" t="str">
        <f t="shared" ref="AA279" si="807">CONCATENATE($Y279*2-1,"A")</f>
        <v>13A</v>
      </c>
      <c r="AB279" t="str">
        <f t="shared" ref="AB279" si="808">CONCATENATE($Y279*2-1,"B")</f>
        <v>13B</v>
      </c>
      <c r="AC279" t="s">
        <v>1816</v>
      </c>
      <c r="AD279" s="43" t="str" cm="1">
        <f t="array" ref="AD279">IF(COUNTIFS(AC$2:AC279,AC279)=1,"1",VALUE(SUBSTITUTE(INDEX(AD:AD,_xlfn.XMATCH(AC279,AC$1:AC278,0,-1)),"A",""))+INDEX(AE:AE,_xlfn.XMATCH(AC279,AC$1:AC278,0,-1))+1)</f>
        <v>1</v>
      </c>
      <c r="AE279" s="43" cm="1">
        <f t="array" ref="AE279">SUM(IF(ISNUMBER(FIND("TmDi",$BE$1:$AAD$1)),IF(IFERROR(ISNUMBER(VALUE(SUBSTITUTE($BE279:$AAD279,"B",""))),FALSE),IF(ISNUMBER(VALUE(SUBSTITUTE($BE279:$AAD279,"B",""))),1,0),0)))</f>
        <v>4</v>
      </c>
      <c r="AF279" t="str">
        <f t="shared" si="416"/>
        <v>C1</v>
      </c>
      <c r="AG279" t="str">
        <f t="shared" si="417"/>
        <v>B1</v>
      </c>
      <c r="AH279" t="str">
        <f t="shared" si="689"/>
        <v>A6.9</v>
      </c>
      <c r="AI279" s="43" cm="1">
        <f t="array" ref="AI279">IF(COUNTIFS(AH$2:AH279,AH279)=1,"1",VALUE(SUBSTITUTE(INDEX(AI:AI,_xlfn.XMATCH(AH279,AH$1:AH278,0,-1)),"A",""))+INDEX(AJ:AJ,_xlfn.XMATCH(AH279,AH$1:AH278,0,-1))+1)</f>
        <v>11</v>
      </c>
      <c r="AJ279" s="43" cm="1">
        <f t="array" ref="AJ279">SUM(IF(ISNUMBER(FIND("TmDo",$BE$1:$AAD$1)),IF(IFERROR(ISNUMBER(VALUE(SUBSTITUTE($BE279:$AAD279,"B",""))),FALSE),IF(ISNUMBER(VALUE(SUBSTITUTE($BE279:$AAD279,"B",""))),1,0),0)))</f>
        <v>1</v>
      </c>
      <c r="AK279" s="11" t="str">
        <f t="shared" si="419"/>
        <v>11B</v>
      </c>
      <c r="AL279" s="11" t="str">
        <f t="shared" si="420"/>
        <v>11A</v>
      </c>
      <c r="AM279" s="12" t="s">
        <v>161</v>
      </c>
      <c r="AN279" s="12"/>
      <c r="AO279" s="12"/>
      <c r="AP279" s="12" t="s">
        <v>137</v>
      </c>
      <c r="AQ279" s="12" t="s">
        <v>1794</v>
      </c>
      <c r="AR279" s="12"/>
      <c r="AS279" s="12" t="s">
        <v>396</v>
      </c>
      <c r="AT279" s="12" t="s">
        <v>139</v>
      </c>
      <c r="AU279" s="12" t="s">
        <v>140</v>
      </c>
      <c r="AV279" s="12"/>
      <c r="AW279" s="12"/>
      <c r="AX279" s="12"/>
      <c r="AY279" s="12"/>
      <c r="AZ279" s="12"/>
      <c r="BA279" s="12"/>
      <c r="BB279" s="12"/>
      <c r="BC279" s="12"/>
      <c r="BD279" s="13"/>
      <c r="GT279" s="25" t="str">
        <f t="shared" ref="GT279" si="809">CONCATENATE("XT",U279)</f>
        <v>XT99</v>
      </c>
      <c r="GU279" s="12" t="str">
        <f t="shared" ref="GU279" si="810">CONCATENATE("C",REPLACE(AF279,1,1,"")+1)</f>
        <v>C2</v>
      </c>
      <c r="GV279" s="12" t="str">
        <f t="shared" ref="GV279" si="811">CONCATENATE("B",REPLACE(AG279,1,1,"")+1)</f>
        <v>B2</v>
      </c>
      <c r="GW279" s="12" t="str">
        <f t="shared" ref="GW279" si="812">CONCATENATE("C",REPLACE(GU279,1,1,"")+1)</f>
        <v>C3</v>
      </c>
      <c r="GX279" s="12" t="str">
        <f t="shared" ref="GX279" si="813">CONCATENATE("B",REPLACE(GV279,1,1,"")+1)</f>
        <v>B3</v>
      </c>
      <c r="GY279" s="12" t="str">
        <f t="shared" ref="GY279" si="814">CONCATENATE("C",REPLACE(GW279,1,1,"")+1)</f>
        <v>C4</v>
      </c>
      <c r="GZ279" s="12" t="str">
        <f t="shared" ref="GZ279" si="815">CONCATENATE("B",REPLACE(GX279,1,1,"")+1)</f>
        <v>B4</v>
      </c>
      <c r="HA279" s="12" t="str">
        <f t="shared" ref="HA279" si="816">CONCATENATE("C",REPLACE(GY279,1,1,"")+1)</f>
        <v>C5</v>
      </c>
      <c r="HB279" s="12" t="str">
        <f t="shared" ref="HB279" si="817">CONCATENATE("B",REPLACE(GZ279,1,1,"")+1)</f>
        <v>B5</v>
      </c>
      <c r="HC279" s="12"/>
      <c r="HD279" s="12"/>
      <c r="HE279" s="12" t="str">
        <f t="shared" ref="HE279" si="818">CONCATENATE(REPLACE(AK279,LEN(AK279),1,"")+1,"B")</f>
        <v>12B</v>
      </c>
      <c r="HF279" s="12" t="str">
        <f t="shared" ref="HF279" si="819">CONCATENATE(REPLACE(AL279,LEN(AL279),1,"")+1,"A")</f>
        <v>12A</v>
      </c>
      <c r="HG279" s="12" t="str">
        <f t="shared" ref="HG279:HH279" si="820">CONCATENATE("AI",REPLACE($X279,1,3,""),"-",AA279)</f>
        <v>AI33-13A</v>
      </c>
      <c r="HH279" s="12" t="str">
        <f t="shared" si="820"/>
        <v>AI33-13B</v>
      </c>
      <c r="HI279" s="12" t="str">
        <f t="shared" ref="HI279:HJ279" si="821">CONCATENATE("DI",REPLACE($AC279,1,3,""),"-",AF279)</f>
        <v>DI17-C1</v>
      </c>
      <c r="HJ279" s="12" t="str">
        <f t="shared" si="821"/>
        <v>DI17-B1</v>
      </c>
      <c r="HK279" s="12" t="str">
        <f t="shared" ref="HK279:HT279" si="822">CONCATENATE("DI",REPLACE($AC279,1,3,""),"-",GU279)</f>
        <v>DI17-C2</v>
      </c>
      <c r="HL279" s="12" t="str">
        <f t="shared" si="822"/>
        <v>DI17-B2</v>
      </c>
      <c r="HM279" s="12" t="str">
        <f t="shared" si="822"/>
        <v>DI17-C3</v>
      </c>
      <c r="HN279" s="12" t="str">
        <f t="shared" si="822"/>
        <v>DI17-B3</v>
      </c>
      <c r="HO279" s="12" t="str">
        <f t="shared" si="822"/>
        <v>DI17-C4</v>
      </c>
      <c r="HP279" s="12" t="str">
        <f t="shared" si="822"/>
        <v>DI17-B4</v>
      </c>
      <c r="HQ279" s="12" t="str">
        <f t="shared" si="822"/>
        <v>DI17-C5</v>
      </c>
      <c r="HR279" s="12" t="str">
        <f t="shared" si="822"/>
        <v>DI17-B5</v>
      </c>
      <c r="HS279" s="12" t="str">
        <f t="shared" si="822"/>
        <v>DI17-</v>
      </c>
      <c r="HT279" s="12" t="str">
        <f t="shared" si="822"/>
        <v>DI17-</v>
      </c>
      <c r="HU279" s="12" t="str">
        <f t="shared" ref="HU279:HV279" si="823">CONCATENATE("DO",REPLACE($AH279,1,3,""),"-",AK279)</f>
        <v>DO9-11B</v>
      </c>
      <c r="HV279" s="12" t="str">
        <f t="shared" si="823"/>
        <v>DO9-11A</v>
      </c>
      <c r="HW279" s="12" t="str">
        <f t="shared" ref="HW279:HX279" si="824">CONCATENATE("DO",REPLACE($AH279,1,3,""),"-",HE279)</f>
        <v>DO9-12B</v>
      </c>
      <c r="HX279" s="12" t="str">
        <f t="shared" si="824"/>
        <v>DO9-12A</v>
      </c>
      <c r="HY279" s="12" t="str">
        <f t="shared" ref="HY279" si="825">CONCATENATE("K",$U279,"-01")</f>
        <v>K99-01</v>
      </c>
      <c r="HZ279" s="12" t="str">
        <f t="shared" ref="HZ279" si="826">CONCATENATE("K",$U279,"-02")</f>
        <v>K99-02</v>
      </c>
      <c r="IA279" s="12" t="str">
        <f t="shared" ref="IA279" si="827">CONCATENATE("K",$U279,"-03")</f>
        <v>K99-03</v>
      </c>
      <c r="IB279" s="12" t="str">
        <f t="shared" ref="IB279" si="828">CONCATENATE("K",$U279,"-04")</f>
        <v>K99-04</v>
      </c>
      <c r="IC279" s="12" t="str">
        <f t="shared" ref="IC279" si="829">CONCATENATE("K",$U279,"-05")</f>
        <v>K99-05</v>
      </c>
      <c r="ID279" s="12" t="str">
        <f t="shared" ref="ID279" si="830">CONCATENATE("K",$U279,"-06")</f>
        <v>K99-06</v>
      </c>
      <c r="IE279" s="12" t="str">
        <f t="shared" ref="IE279" si="831">CONCATENATE("K",$U279,"-07")</f>
        <v>K99-07</v>
      </c>
      <c r="IF279" s="12" t="str">
        <f t="shared" ref="IF279" si="832">CONCATENATE("K",$U279,"-08")</f>
        <v>K99-08</v>
      </c>
      <c r="IG279" s="12" t="str">
        <f t="shared" ref="IG279" si="833">CONCATENATE($T279,"-M",$U279,"-AMS-12")</f>
        <v>F0-M99-AMS-12</v>
      </c>
      <c r="IH279" s="12" t="str">
        <f t="shared" ref="IH279" si="834">CONCATENATE($T279,"-M",$U279,"-AMS-10")</f>
        <v>F0-M99-AMS-10</v>
      </c>
      <c r="II279" s="12" t="str">
        <f t="shared" ref="II279" si="835">CONCATENATE($T279,"-M",$U279,"-AMS-11")</f>
        <v>F0-M99-AMS-11</v>
      </c>
      <c r="IJ279" s="12" t="str">
        <f t="shared" ref="IJ279" si="836">CONCATENATE($T279,"-M",$U279,"-AMS-13")</f>
        <v>F0-M99-AMS-13</v>
      </c>
      <c r="IK279" s="12" t="str">
        <f t="shared" ref="IK279" si="837">CONCATENATE($T279,"-M",$U279,"-AMS-9")</f>
        <v>F0-M99-AMS-9</v>
      </c>
      <c r="IL279" s="12" t="str">
        <f t="shared" ref="IL279" si="838">CONCATENATE($T279,"-M",$U279,"-AMS-7")</f>
        <v>F0-M99-AMS-7</v>
      </c>
      <c r="IM279" s="12" t="str">
        <f t="shared" ref="IM279" si="839">CONCATENATE($T279,"-M",$U279,"-AMS-18")</f>
        <v>F0-M99-AMS-18</v>
      </c>
      <c r="IN279" s="12" t="str">
        <f t="shared" ref="IN279" si="840">CONCATENATE($T279,"-M",$U279,"-AMS-20")</f>
        <v>F0-M99-AMS-20</v>
      </c>
      <c r="IO279" s="12" t="str">
        <f t="shared" ref="IO279" si="841">CONCATENATE($T279,"-M",$U279,"-AMS-17")</f>
        <v>F0-M99-AMS-17</v>
      </c>
      <c r="IP279" s="12" t="str">
        <f t="shared" ref="IP279" si="842">CONCATENATE($T279,"-+24-M",$U279,)</f>
        <v>F0-+24-M99</v>
      </c>
      <c r="IQ279" s="12" t="str">
        <f t="shared" ref="IQ279" si="843">CONCATENATE($T279,"-M",$U279,"-XM01")</f>
        <v>F0-M99-XM01</v>
      </c>
      <c r="IR279" s="12" t="s">
        <v>142</v>
      </c>
      <c r="IS279" s="12" t="s">
        <v>143</v>
      </c>
      <c r="IT279" s="12">
        <v>11</v>
      </c>
      <c r="IU279" s="12">
        <v>14</v>
      </c>
      <c r="IV279" s="12" t="s">
        <v>413</v>
      </c>
      <c r="IW279" s="12" t="s">
        <v>414</v>
      </c>
      <c r="IX279" s="12">
        <v>1</v>
      </c>
      <c r="IY279" s="12">
        <v>2</v>
      </c>
      <c r="IZ279" s="12">
        <v>3</v>
      </c>
      <c r="JA279" s="12">
        <v>4</v>
      </c>
      <c r="JB279" s="12">
        <v>5</v>
      </c>
      <c r="JC279" s="12">
        <v>6</v>
      </c>
      <c r="JD279" s="12">
        <v>7</v>
      </c>
      <c r="JE279" s="12">
        <v>8</v>
      </c>
      <c r="JF279" s="12">
        <v>9</v>
      </c>
      <c r="JG279" s="12">
        <v>10</v>
      </c>
      <c r="JH279" s="12">
        <v>11</v>
      </c>
      <c r="JI279" s="12">
        <v>12</v>
      </c>
      <c r="JJ279" s="12">
        <v>13</v>
      </c>
      <c r="JK279" s="12">
        <v>14</v>
      </c>
      <c r="JL279" s="12">
        <v>17</v>
      </c>
      <c r="JM279" s="12">
        <v>15</v>
      </c>
      <c r="JN279" s="12">
        <v>18</v>
      </c>
      <c r="JO279" s="12">
        <v>11</v>
      </c>
      <c r="JP279" s="12">
        <v>9</v>
      </c>
      <c r="JQ279" s="12">
        <v>6</v>
      </c>
      <c r="JR279" s="12">
        <v>20</v>
      </c>
      <c r="JS279" s="12">
        <v>7</v>
      </c>
      <c r="JT279" s="12">
        <v>10</v>
      </c>
      <c r="JU279" s="12">
        <v>22</v>
      </c>
      <c r="JV279" s="12">
        <v>23</v>
      </c>
      <c r="JW279" s="12">
        <v>26</v>
      </c>
      <c r="JX279" s="12">
        <v>27</v>
      </c>
      <c r="JY279" s="13">
        <v>30</v>
      </c>
    </row>
    <row r="280" spans="1:355" ht="15.75" thickBot="1" x14ac:dyDescent="0.3">
      <c r="A280" t="s">
        <v>1855</v>
      </c>
      <c r="B280" t="s">
        <v>1835</v>
      </c>
      <c r="C280" s="3" t="s">
        <v>1872</v>
      </c>
      <c r="O280" s="2"/>
      <c r="P280" t="s">
        <v>1784</v>
      </c>
      <c r="Q280" s="1"/>
      <c r="S280" s="1"/>
      <c r="T280" s="21" t="s">
        <v>554</v>
      </c>
      <c r="U280" s="50">
        <v>100</v>
      </c>
      <c r="V280" s="18" t="s">
        <v>1836</v>
      </c>
      <c r="W280" s="22"/>
      <c r="X280" s="23"/>
      <c r="Y280" s="23"/>
      <c r="Z280" s="23"/>
      <c r="AA280" s="23"/>
      <c r="AB280" s="23"/>
      <c r="AC280" t="str">
        <f t="shared" ref="AC280:AC282" si="844">IF(AD279+AE279&gt;31,REPLACE(AC279,LEN(AC279),1,VALUE(RIGHT(AC279,1))+1),AC279)</f>
        <v>A5.17</v>
      </c>
      <c r="AD280" s="43" cm="1">
        <f t="array" ref="AD280">IF(COUNTIFS(AC$2:AC280,AC280)=1,"1",VALUE(SUBSTITUTE(INDEX(AD:AD,_xlfn.XMATCH(AC280,AC$1:AC279,0,-1)),"A",""))+INDEX(AE:AE,_xlfn.XMATCH(AC280,AC$1:AC279,0,-1))+1)</f>
        <v>6</v>
      </c>
      <c r="AE280" s="43" cm="1">
        <f t="array" ref="AE280">SUM(IF(ISNUMBER(FIND("TmDi",$BE$1:$AAD$1)),IF(IFERROR(ISNUMBER(VALUE(SUBSTITUTE($BE280:$AAD280,"B",""))),FALSE),IF(ISNUMBER(VALUE(SUBSTITUTE($BE280:$AAD280,"B",""))),1,0),0)))</f>
        <v>4</v>
      </c>
      <c r="AF280" t="str">
        <f t="shared" si="416"/>
        <v>C6</v>
      </c>
      <c r="AG280" t="str">
        <f t="shared" si="417"/>
        <v>B6</v>
      </c>
      <c r="AH280" t="str">
        <f t="shared" si="689"/>
        <v>A6.9</v>
      </c>
      <c r="AI280" s="43" cm="1">
        <f t="array" ref="AI280">IF(COUNTIFS(AH$2:AH280,AH280)=1,"1",VALUE(SUBSTITUTE(INDEX(AI:AI,_xlfn.XMATCH(AH280,AH$1:AH279,0,-1)),"A",""))+INDEX(AJ:AJ,_xlfn.XMATCH(AH280,AH$1:AH279,0,-1))+1)</f>
        <v>13</v>
      </c>
      <c r="AJ280" s="43" cm="1">
        <f t="array" ref="AJ280">SUM(IF(ISNUMBER(FIND("TmDo",$BE$1:$AAD$1)),IF(IFERROR(ISNUMBER(VALUE(SUBSTITUTE($BE280:$AAD280,"B",""))),FALSE),IF(ISNUMBER(VALUE(SUBSTITUTE($BE280:$AAD280,"B",""))),1,0),0)))</f>
        <v>2</v>
      </c>
      <c r="AK280" s="11" t="str">
        <f t="shared" si="419"/>
        <v>13B</v>
      </c>
      <c r="AL280" s="11" t="str">
        <f t="shared" si="420"/>
        <v>13A</v>
      </c>
      <c r="AM280" s="23" t="s">
        <v>150</v>
      </c>
      <c r="AN280" s="23"/>
      <c r="AO280" s="23"/>
      <c r="AP280" s="23" t="s">
        <v>137</v>
      </c>
      <c r="AQ280" s="23" t="s">
        <v>1794</v>
      </c>
      <c r="AR280" s="23"/>
      <c r="AS280" s="23"/>
      <c r="AT280" s="23" t="s">
        <v>139</v>
      </c>
      <c r="AU280" s="23" t="s">
        <v>140</v>
      </c>
      <c r="AV280" s="23"/>
      <c r="AW280" s="23"/>
      <c r="AX280" s="23"/>
      <c r="AY280" s="12"/>
      <c r="AZ280" s="12"/>
      <c r="BA280" s="12"/>
      <c r="BB280" s="12"/>
      <c r="BC280" s="12"/>
      <c r="BD280" s="13"/>
      <c r="BE280" s="23" t="str">
        <f t="shared" ref="BE280" si="845">CONCATENATE("XT",U280)</f>
        <v>XT100</v>
      </c>
      <c r="BF280" s="23" t="str">
        <f t="shared" ref="BF280" si="846">CONCATENATE("C",REPLACE(AF280,1,1,"")+1)</f>
        <v>C7</v>
      </c>
      <c r="BG280" s="23" t="str">
        <f t="shared" ref="BG280" si="847">CONCATENATE("B",REPLACE(AG280,1,1,"")+1)</f>
        <v>B7</v>
      </c>
      <c r="BH280" s="23" t="str">
        <f t="shared" ref="BH280" si="848">CONCATENATE("C",REPLACE(BF280,1,1,"")+1)</f>
        <v>C8</v>
      </c>
      <c r="BI280" s="23" t="str">
        <f t="shared" ref="BI280" si="849">CONCATENATE("B",REPLACE(BG280,1,1,"")+1)</f>
        <v>B8</v>
      </c>
      <c r="BJ280" s="23" t="str">
        <f t="shared" ref="BJ280" si="850">CONCATENATE("C",REPLACE(BH280,1,1,"")+1)</f>
        <v>C9</v>
      </c>
      <c r="BK280" s="23" t="str">
        <f t="shared" ref="BK280" si="851">CONCATENATE("B",REPLACE(BI280,1,1,"")+1)</f>
        <v>B9</v>
      </c>
      <c r="BL280" s="23" t="str">
        <f t="shared" ref="BL280" si="852">CONCATENATE("C",REPLACE(BJ280,1,1,"")+1)</f>
        <v>C10</v>
      </c>
      <c r="BM280" s="23" t="str">
        <f t="shared" ref="BM280" si="853">CONCATENATE("B",REPLACE(BK280,1,1,"")+1)</f>
        <v>B10</v>
      </c>
      <c r="BN280" s="23"/>
      <c r="BO280" s="23"/>
      <c r="BP280" s="23" t="str">
        <f t="shared" ref="BP280" si="854">CONCATENATE(REPLACE(AK280,LEN(AK280),1,"")+1,"B")</f>
        <v>14B</v>
      </c>
      <c r="BQ280" s="23" t="str">
        <f t="shared" ref="BQ280" si="855">CONCATENATE(REPLACE(AL280,LEN(AL280),1,"")+1,"A")</f>
        <v>14A</v>
      </c>
      <c r="BR280" s="23" t="str">
        <f t="shared" ref="BR280" si="856">CONCATENATE(REPLACE(BP280,LEN(BP280),1,"")+1,"B")</f>
        <v>15B</v>
      </c>
      <c r="BS280" s="23" t="str">
        <f t="shared" ref="BS280" si="857">CONCATENATE(REPLACE(BQ280,LEN(BQ280),1,"")+1,"A")</f>
        <v>15A</v>
      </c>
      <c r="BT280" s="23" t="str">
        <f t="shared" ref="BT280:BU280" si="858">CONCATENATE("DI",REPLACE($AC280,1,3,""),"-",AF280)</f>
        <v>DI17-C6</v>
      </c>
      <c r="BU280" s="23" t="str">
        <f t="shared" si="858"/>
        <v>DI17-B6</v>
      </c>
      <c r="BV280" s="23" t="str">
        <f t="shared" ref="BV280:CE280" si="859">CONCATENATE("DI",REPLACE($AC280,1,3,""),"-",BF280)</f>
        <v>DI17-C7</v>
      </c>
      <c r="BW280" s="23" t="str">
        <f t="shared" si="859"/>
        <v>DI17-B7</v>
      </c>
      <c r="BX280" s="23" t="str">
        <f t="shared" si="859"/>
        <v>DI17-C8</v>
      </c>
      <c r="BY280" s="23" t="str">
        <f t="shared" si="859"/>
        <v>DI17-B8</v>
      </c>
      <c r="BZ280" s="23" t="str">
        <f t="shared" si="859"/>
        <v>DI17-C9</v>
      </c>
      <c r="CA280" s="23" t="str">
        <f t="shared" si="859"/>
        <v>DI17-B9</v>
      </c>
      <c r="CB280" s="23" t="str">
        <f t="shared" si="859"/>
        <v>DI17-C10</v>
      </c>
      <c r="CC280" s="23" t="str">
        <f t="shared" si="859"/>
        <v>DI17-B10</v>
      </c>
      <c r="CD280" s="23" t="str">
        <f t="shared" si="859"/>
        <v>DI17-</v>
      </c>
      <c r="CE280" s="23" t="str">
        <f t="shared" si="859"/>
        <v>DI17-</v>
      </c>
      <c r="CF280" s="23" t="str">
        <f t="shared" ref="CF280:CG280" si="860">CONCATENATE("DO",REPLACE($AH280,1,3,""),"-",AK280)</f>
        <v>DO9-13B</v>
      </c>
      <c r="CG280" s="23" t="str">
        <f t="shared" si="860"/>
        <v>DO9-13A</v>
      </c>
      <c r="CH280" s="23" t="str">
        <f t="shared" ref="CH280:CK280" si="861">CONCATENATE("DO",REPLACE($AH280,1,3,""),"-",BP280)</f>
        <v>DO9-14B</v>
      </c>
      <c r="CI280" s="23" t="str">
        <f t="shared" si="861"/>
        <v>DO9-14A</v>
      </c>
      <c r="CJ280" s="23" t="str">
        <f t="shared" si="861"/>
        <v>DO9-15B</v>
      </c>
      <c r="CK280" s="23" t="str">
        <f t="shared" si="861"/>
        <v>DO9-15A</v>
      </c>
      <c r="CL280" s="23" t="str">
        <f t="shared" ref="CL280" si="862">CONCATENATE("K",$U280,"-10")</f>
        <v>K100-10</v>
      </c>
      <c r="CM280" s="23" t="str">
        <f t="shared" ref="CM280" si="863">CONCATENATE("K",$U280,"-03")</f>
        <v>K100-03</v>
      </c>
      <c r="CN280" s="23" t="str">
        <f t="shared" ref="CN280" si="864">CONCATENATE("K",$U280,"-04")</f>
        <v>K100-04</v>
      </c>
      <c r="CO280" s="23" t="str">
        <f t="shared" ref="CO280" si="865">CONCATENATE("K",$U280,"-01")</f>
        <v>K100-01</v>
      </c>
      <c r="CP280" s="23" t="str">
        <f t="shared" ref="CP280" si="866">CONCATENATE("K",$U280,"-08")</f>
        <v>K100-08</v>
      </c>
      <c r="CQ280" s="23" t="str">
        <f t="shared" ref="CQ280" si="867">CONCATENATE("K",$U280,"-02")</f>
        <v>K100-02</v>
      </c>
      <c r="CR280" s="23" t="str">
        <f t="shared" ref="CR280" si="868">CONCATENATE("K",$U280,"-09")</f>
        <v>K100-09</v>
      </c>
      <c r="CS280" s="23" t="str">
        <f t="shared" ref="CS280" si="869">CONCATENATE("K",$U280,"-05")</f>
        <v>K100-05</v>
      </c>
      <c r="CT280" s="23" t="str">
        <f t="shared" ref="CT280" si="870">CONCATENATE("K",$U280,"-11")</f>
        <v>K100-11</v>
      </c>
      <c r="CU280" s="23" t="str">
        <f t="shared" ref="CU280" si="871">CONCATENATE($T280,"-M",$U280,"-A9")</f>
        <v>F0-M100-A9</v>
      </c>
      <c r="CV280" s="23" t="str">
        <f t="shared" ref="CV280" si="872">CONCATENATE($T280,"-M",$U280,"-A7")</f>
        <v>F0-M100-A7</v>
      </c>
      <c r="CW280" s="23" t="str">
        <f t="shared" ref="CW280" si="873">CONCATENATE($T280,"-M",$U280,"-A8")</f>
        <v>F0-M100-A8</v>
      </c>
      <c r="CX280" s="23" t="str">
        <f t="shared" ref="CX280" si="874">CONCATENATE($T280,"-M",$U280,"-A6")</f>
        <v>F0-M100-A6</v>
      </c>
      <c r="CY280" s="23" t="str">
        <f t="shared" ref="CY280" si="875">CONCATENATE($T280,"-M",$U280,"-A30")</f>
        <v>F0-M100-A30</v>
      </c>
      <c r="CZ280" s="23" t="str">
        <f t="shared" ref="CZ280" si="876">CONCATENATE($T280,"-M",$U280,"-N")</f>
        <v>F0-M100-N</v>
      </c>
      <c r="DA280" s="23" t="str">
        <f t="shared" ref="DA280" si="877">CONCATENATE($T280,"-A220-M",U280)</f>
        <v>F0-A220-M100</v>
      </c>
      <c r="DB280" s="23" t="str">
        <f t="shared" ref="DB280" si="878">CONCATENATE($T280,"-M",$U280,"-XM01")</f>
        <v>F0-M100-XM01</v>
      </c>
      <c r="DC280" s="23" t="str">
        <f t="shared" ref="DC280" si="879">CONCATENATE($T280,"-M",$U280,"-A1")</f>
        <v>F0-M100-A1</v>
      </c>
      <c r="DD280" s="23" t="str">
        <f t="shared" ref="DD280" si="880">CONCATENATE($T280,"-M",$U280,"-A5")</f>
        <v>F0-M100-A5</v>
      </c>
      <c r="DE280" s="23" t="str">
        <f t="shared" ref="DE280" si="881">CONCATENATE($T280,"-M",$U280,"-A11")</f>
        <v>F0-M100-A11</v>
      </c>
      <c r="DF280" s="23" t="str">
        <f t="shared" ref="DF280" si="882">CONCATENATE($T280,"-M",$U280,"-A12")</f>
        <v>F0-M100-A12</v>
      </c>
      <c r="DG280" s="23" t="str">
        <f t="shared" ref="DG280" si="883">CONCATENATE($T280,"-M",$U280,"-A19")</f>
        <v>F0-M100-A19</v>
      </c>
      <c r="DH280" s="23" t="str">
        <f t="shared" ref="DH280" si="884">CONCATENATE($T280,"-M",$U280,"-A20")</f>
        <v>F0-M100-A20</v>
      </c>
      <c r="DI280" s="23" t="s">
        <v>142</v>
      </c>
      <c r="DJ280" s="23" t="s">
        <v>143</v>
      </c>
      <c r="DK280" s="23">
        <v>11</v>
      </c>
      <c r="DL280" s="23">
        <v>14</v>
      </c>
      <c r="DM280" s="23">
        <v>12</v>
      </c>
      <c r="DN280" s="23" t="s">
        <v>144</v>
      </c>
      <c r="DO280" s="23" t="s">
        <v>1837</v>
      </c>
      <c r="DP280" s="23">
        <v>1</v>
      </c>
      <c r="DQ280" s="23">
        <v>2</v>
      </c>
      <c r="DR280" s="23">
        <v>3</v>
      </c>
      <c r="DS280" s="23">
        <v>4</v>
      </c>
      <c r="DT280" s="23">
        <v>5</v>
      </c>
      <c r="DU280" s="23">
        <v>6</v>
      </c>
      <c r="DV280" s="23">
        <v>7</v>
      </c>
      <c r="DW280" s="23">
        <v>8</v>
      </c>
      <c r="DX280" s="23">
        <v>9</v>
      </c>
      <c r="DY280" s="23">
        <v>10</v>
      </c>
      <c r="DZ280" s="23">
        <v>11</v>
      </c>
      <c r="EA280" s="23">
        <v>12</v>
      </c>
      <c r="EB280" s="23">
        <v>13</v>
      </c>
      <c r="EC280" s="23">
        <v>14</v>
      </c>
      <c r="ED280" s="23">
        <v>1</v>
      </c>
      <c r="EE280" s="23">
        <v>3</v>
      </c>
      <c r="EF280" s="23">
        <v>4</v>
      </c>
      <c r="EG280" s="23">
        <v>7</v>
      </c>
      <c r="EH280" s="23">
        <v>8</v>
      </c>
      <c r="EI280" s="23">
        <v>9</v>
      </c>
      <c r="EJ280" s="23">
        <v>10</v>
      </c>
      <c r="EK280" s="23">
        <v>13</v>
      </c>
      <c r="EL280" s="23">
        <v>14</v>
      </c>
      <c r="EM280" s="23">
        <v>15</v>
      </c>
      <c r="EN280" s="23">
        <v>16</v>
      </c>
      <c r="EO280" s="23">
        <v>22</v>
      </c>
      <c r="EP280" s="23">
        <v>23</v>
      </c>
      <c r="EQ280" s="24">
        <v>24</v>
      </c>
    </row>
    <row r="281" spans="1:355" ht="15.75" thickBot="1" x14ac:dyDescent="0.3">
      <c r="A281" t="s">
        <v>1856</v>
      </c>
      <c r="B281" t="s">
        <v>1838</v>
      </c>
      <c r="C281" t="s">
        <v>1871</v>
      </c>
      <c r="P281" t="s">
        <v>1785</v>
      </c>
      <c r="T281" s="10" t="s">
        <v>554</v>
      </c>
      <c r="U281" s="49">
        <v>101</v>
      </c>
      <c r="V281" s="11" t="s">
        <v>1839</v>
      </c>
      <c r="W281" s="11" t="s">
        <v>1840</v>
      </c>
      <c r="X281" t="str" cm="1">
        <f t="array" ref="X281">IF(COUNTIF(X$1:X280,INDEX(X$1:X280,MAX(IF(X$1:X280&lt;&gt;"",ROW(X$1:X280)))))&gt;7,REPLACE(INDEX(X$1:X280,MAX(IF(X$1:X280&lt;&gt;"",ROW(X$1:X280)))),LEN(INDEX(X$1:X280,MAX(IF(X$1:X280&lt;&gt;"",ROW(X$1:X280))))),1,VALUE(RIGHT(INDEX(X$1:X280,MAX(IF(X$1:X280&lt;&gt;"",ROW(X$1:X280)))),1))+1),INDEX(X$1:X280,MAX(IF(X$1:X280&lt;&gt;"",ROW(X$1:X280)))))</f>
        <v>A3.33</v>
      </c>
      <c r="Y281" s="43" cm="1">
        <f t="array" ref="Y281">IF(COUNTIFS(X$2:X281,X281)=1,"1",VALUE(SUBSTITUTE(INDEX(Y:Y,_xlfn.XMATCH(X281,X$1:X280,0,-1)),"A",""))+INDEX(Z:Z,_xlfn.XMATCH(X281,X$1:X280,0,-1))+1)</f>
        <v>8</v>
      </c>
      <c r="Z281" s="43" cm="1">
        <f t="array" ref="Z281">SUM(IF(ISNUMBER(FIND("TmAi",$BE$1:$AAD$1)),IF(IFERROR(ISODD(SUBSTITUTE($BE281:$AAD281,"A","")),FALSE),IF(ISODD(SUBSTITUTE($BE281:$AAD281,"A","")),1,0),0)))</f>
        <v>0</v>
      </c>
      <c r="AA281" t="str">
        <f t="shared" ref="AA281" si="885">CONCATENATE($Y281*2-1,"A")</f>
        <v>15A</v>
      </c>
      <c r="AB281" t="str">
        <f t="shared" ref="AB281" si="886">CONCATENATE($Y281*2-1,"B")</f>
        <v>15B</v>
      </c>
      <c r="AC281" t="str">
        <f t="shared" si="844"/>
        <v>A5.17</v>
      </c>
      <c r="AD281" s="43" cm="1">
        <f t="array" ref="AD281">IF(COUNTIFS(AC$2:AC281,AC281)=1,"1",VALUE(SUBSTITUTE(INDEX(AD:AD,_xlfn.XMATCH(AC281,AC$1:AC280,0,-1)),"A",""))+INDEX(AE:AE,_xlfn.XMATCH(AC281,AC$1:AC280,0,-1))+1)</f>
        <v>11</v>
      </c>
      <c r="AE281" s="43" cm="1">
        <f t="array" ref="AE281">SUM(IF(ISNUMBER(FIND("TmDi",$BE$1:$AAD$1)),IF(IFERROR(ISNUMBER(VALUE(SUBSTITUTE($BE281:$AAD281,"B",""))),FALSE),IF(ISNUMBER(VALUE(SUBSTITUTE($BE281:$AAD281,"B",""))),1,0),0)))</f>
        <v>4</v>
      </c>
      <c r="AF281" t="str">
        <f t="shared" si="416"/>
        <v>C11</v>
      </c>
      <c r="AG281" t="str">
        <f t="shared" si="417"/>
        <v>B11</v>
      </c>
      <c r="AH281" t="str">
        <f t="shared" si="689"/>
        <v>A6.9</v>
      </c>
      <c r="AI281" s="43" cm="1">
        <f t="array" ref="AI281">IF(COUNTIFS(AH$2:AH281,AH281)=1,"1",VALUE(SUBSTITUTE(INDEX(AI:AI,_xlfn.XMATCH(AH281,AH$1:AH280,0,-1)),"A",""))+INDEX(AJ:AJ,_xlfn.XMATCH(AH281,AH$1:AH280,0,-1))+1)</f>
        <v>16</v>
      </c>
      <c r="AJ281" s="43" cm="1">
        <f t="array" ref="AJ281">SUM(IF(ISNUMBER(FIND("TmDo",$BE$1:$AAD$1)),IF(IFERROR(ISNUMBER(VALUE(SUBSTITUTE($BE281:$AAD281,"B",""))),FALSE),IF(ISNUMBER(VALUE(SUBSTITUTE($BE281:$AAD281,"B",""))),1,0),0)))</f>
        <v>1</v>
      </c>
      <c r="AK281" s="11" t="str">
        <f t="shared" si="419"/>
        <v>16B</v>
      </c>
      <c r="AL281" s="11" t="str">
        <f t="shared" si="420"/>
        <v>16A</v>
      </c>
      <c r="AM281" s="12" t="s">
        <v>161</v>
      </c>
      <c r="AN281" s="12"/>
      <c r="AO281" s="12"/>
      <c r="AP281" s="12" t="s">
        <v>137</v>
      </c>
      <c r="AQ281" s="12" t="s">
        <v>1794</v>
      </c>
      <c r="AR281" s="12"/>
      <c r="AS281" s="12" t="s">
        <v>396</v>
      </c>
      <c r="AT281" s="12" t="s">
        <v>139</v>
      </c>
      <c r="AU281" s="12" t="s">
        <v>140</v>
      </c>
      <c r="AV281" s="12"/>
      <c r="AW281" s="12"/>
      <c r="AX281" s="12"/>
      <c r="AY281" s="12"/>
      <c r="AZ281" s="12"/>
      <c r="BA281" s="12"/>
      <c r="BB281" s="12"/>
      <c r="BC281" s="12"/>
      <c r="BD281" s="13"/>
      <c r="GT281" s="25" t="str">
        <f>CONCATENATE("XT",$U281)</f>
        <v>XT101</v>
      </c>
      <c r="GU281" s="12" t="str">
        <f t="shared" ref="GU281" si="887">CONCATENATE("C",REPLACE(AF281,1,1,"")+1)</f>
        <v>C12</v>
      </c>
      <c r="GV281" s="12" t="str">
        <f t="shared" ref="GV281" si="888">CONCATENATE("B",REPLACE(AG281,1,1,"")+1)</f>
        <v>B12</v>
      </c>
      <c r="GW281" s="12" t="str">
        <f t="shared" ref="GW281" si="889">CONCATENATE("C",REPLACE(GU281,1,1,"")+1)</f>
        <v>C13</v>
      </c>
      <c r="GX281" s="12" t="str">
        <f t="shared" ref="GX281" si="890">CONCATENATE("B",REPLACE(GV281,1,1,"")+1)</f>
        <v>B13</v>
      </c>
      <c r="GY281" s="12" t="str">
        <f t="shared" ref="GY281" si="891">CONCATENATE("C",REPLACE(GW281,1,1,"")+1)</f>
        <v>C14</v>
      </c>
      <c r="GZ281" s="12" t="str">
        <f t="shared" ref="GZ281" si="892">CONCATENATE("B",REPLACE(GX281,1,1,"")+1)</f>
        <v>B14</v>
      </c>
      <c r="HA281" s="12" t="str">
        <f t="shared" ref="HA281" si="893">CONCATENATE("C",REPLACE(GY281,1,1,"")+1)</f>
        <v>C15</v>
      </c>
      <c r="HB281" s="12" t="str">
        <f t="shared" ref="HB281" si="894">CONCATENATE("B",REPLACE(GZ281,1,1,"")+1)</f>
        <v>B15</v>
      </c>
      <c r="HC281" s="12"/>
      <c r="HD281" s="12"/>
      <c r="HE281" s="12" t="str">
        <f t="shared" ref="HE281" si="895">CONCATENATE(REPLACE(AK281,LEN(AK281),1,"")+1,"B")</f>
        <v>17B</v>
      </c>
      <c r="HF281" s="12" t="str">
        <f t="shared" ref="HF281" si="896">CONCATENATE(REPLACE(AL281,LEN(AL281),1,"")+1,"A")</f>
        <v>17A</v>
      </c>
      <c r="HG281" s="12" t="str">
        <f t="shared" ref="HG281:HH281" si="897">CONCATENATE("AI",REPLACE($X281,1,3,""),"-",AA281)</f>
        <v>AI33-15A</v>
      </c>
      <c r="HH281" s="12" t="str">
        <f t="shared" si="897"/>
        <v>AI33-15B</v>
      </c>
      <c r="HI281" s="12" t="str">
        <f t="shared" ref="HI281:HJ281" si="898">CONCATENATE("DI",REPLACE($AC281,1,3,""),"-",AF281)</f>
        <v>DI17-C11</v>
      </c>
      <c r="HJ281" s="12" t="str">
        <f t="shared" si="898"/>
        <v>DI17-B11</v>
      </c>
      <c r="HK281" s="12" t="str">
        <f t="shared" ref="HK281:HT281" si="899">CONCATENATE("DI",REPLACE($AC281,1,3,""),"-",GU281)</f>
        <v>DI17-C12</v>
      </c>
      <c r="HL281" s="12" t="str">
        <f t="shared" si="899"/>
        <v>DI17-B12</v>
      </c>
      <c r="HM281" s="12" t="str">
        <f t="shared" si="899"/>
        <v>DI17-C13</v>
      </c>
      <c r="HN281" s="12" t="str">
        <f t="shared" si="899"/>
        <v>DI17-B13</v>
      </c>
      <c r="HO281" s="12" t="str">
        <f t="shared" si="899"/>
        <v>DI17-C14</v>
      </c>
      <c r="HP281" s="12" t="str">
        <f t="shared" si="899"/>
        <v>DI17-B14</v>
      </c>
      <c r="HQ281" s="12" t="str">
        <f t="shared" si="899"/>
        <v>DI17-C15</v>
      </c>
      <c r="HR281" s="12" t="str">
        <f t="shared" si="899"/>
        <v>DI17-B15</v>
      </c>
      <c r="HS281" s="12" t="str">
        <f t="shared" si="899"/>
        <v>DI17-</v>
      </c>
      <c r="HT281" s="12" t="str">
        <f t="shared" si="899"/>
        <v>DI17-</v>
      </c>
      <c r="HU281" s="12" t="str">
        <f t="shared" ref="HU281:HV281" si="900">CONCATENATE("DO",REPLACE($AH281,1,3,""),"-",AK281)</f>
        <v>DO9-16B</v>
      </c>
      <c r="HV281" s="12" t="str">
        <f t="shared" si="900"/>
        <v>DO9-16A</v>
      </c>
      <c r="HW281" s="12" t="str">
        <f t="shared" ref="HW281:HX281" si="901">CONCATENATE("DO",REPLACE($AH281,1,3,""),"-",HE281)</f>
        <v>DO9-17B</v>
      </c>
      <c r="HX281" s="12" t="str">
        <f t="shared" si="901"/>
        <v>DO9-17A</v>
      </c>
      <c r="HY281" s="12" t="str">
        <f t="shared" ref="HY281" si="902">CONCATENATE("K",$U281,"-01")</f>
        <v>K101-01</v>
      </c>
      <c r="HZ281" s="12" t="str">
        <f t="shared" ref="HZ281" si="903">CONCATENATE("K",$U281,"-02")</f>
        <v>K101-02</v>
      </c>
      <c r="IA281" s="12" t="str">
        <f t="shared" ref="IA281" si="904">CONCATENATE("K",$U281,"-03")</f>
        <v>K101-03</v>
      </c>
      <c r="IB281" s="12" t="str">
        <f t="shared" ref="IB281" si="905">CONCATENATE("K",$U281,"-04")</f>
        <v>K101-04</v>
      </c>
      <c r="IC281" s="12" t="str">
        <f t="shared" ref="IC281" si="906">CONCATENATE("K",$U281,"-05")</f>
        <v>K101-05</v>
      </c>
      <c r="ID281" s="12" t="str">
        <f t="shared" ref="ID281" si="907">CONCATENATE("K",$U281,"-06")</f>
        <v>K101-06</v>
      </c>
      <c r="IE281" s="12" t="str">
        <f t="shared" ref="IE281" si="908">CONCATENATE("K",$U281,"-07")</f>
        <v>K101-07</v>
      </c>
      <c r="IF281" s="12" t="str">
        <f t="shared" ref="IF281" si="909">CONCATENATE("K",$U281,"-08")</f>
        <v>K101-08</v>
      </c>
      <c r="IG281" s="12" t="str">
        <f t="shared" ref="IG281" si="910">CONCATENATE($T281,"-M",$U281,"-AMS-12")</f>
        <v>F0-M101-AMS-12</v>
      </c>
      <c r="IH281" s="12" t="str">
        <f t="shared" ref="IH281" si="911">CONCATENATE($T281,"-M",$U281,"-AMS-10")</f>
        <v>F0-M101-AMS-10</v>
      </c>
      <c r="II281" s="12" t="str">
        <f t="shared" ref="II281" si="912">CONCATENATE($T281,"-M",$U281,"-AMS-11")</f>
        <v>F0-M101-AMS-11</v>
      </c>
      <c r="IJ281" s="12" t="str">
        <f t="shared" ref="IJ281" si="913">CONCATENATE($T281,"-M",$U281,"-AMS-13")</f>
        <v>F0-M101-AMS-13</v>
      </c>
      <c r="IK281" s="12" t="str">
        <f t="shared" ref="IK281" si="914">CONCATENATE($T281,"-M",$U281,"-AMS-9")</f>
        <v>F0-M101-AMS-9</v>
      </c>
      <c r="IL281" s="12" t="str">
        <f t="shared" ref="IL281" si="915">CONCATENATE($T281,"-M",$U281,"-AMS-7")</f>
        <v>F0-M101-AMS-7</v>
      </c>
      <c r="IM281" s="12" t="str">
        <f t="shared" ref="IM281" si="916">CONCATENATE($T281,"-M",$U281,"-AMS-18")</f>
        <v>F0-M101-AMS-18</v>
      </c>
      <c r="IN281" s="12" t="str">
        <f t="shared" ref="IN281" si="917">CONCATENATE($T281,"-M",$U281,"-AMS-20")</f>
        <v>F0-M101-AMS-20</v>
      </c>
      <c r="IO281" s="12" t="str">
        <f t="shared" ref="IO281" si="918">CONCATENATE($T281,"-M",$U281,"-AMS-17")</f>
        <v>F0-M101-AMS-17</v>
      </c>
      <c r="IP281" s="12" t="str">
        <f t="shared" ref="IP281" si="919">CONCATENATE($T281,"-+24-M",$U281,)</f>
        <v>F0-+24-M101</v>
      </c>
      <c r="IQ281" s="12" t="str">
        <f t="shared" ref="IQ281" si="920">CONCATENATE($T281,"-M",$U281,"-XM01")</f>
        <v>F0-M101-XM01</v>
      </c>
      <c r="IR281" s="12" t="s">
        <v>142</v>
      </c>
      <c r="IS281" s="12" t="s">
        <v>143</v>
      </c>
      <c r="IT281" s="12">
        <v>11</v>
      </c>
      <c r="IU281" s="12">
        <v>14</v>
      </c>
      <c r="IV281" s="12" t="s">
        <v>413</v>
      </c>
      <c r="IW281" s="12" t="s">
        <v>414</v>
      </c>
      <c r="IX281" s="12">
        <v>1</v>
      </c>
      <c r="IY281" s="12">
        <v>2</v>
      </c>
      <c r="IZ281" s="12">
        <v>3</v>
      </c>
      <c r="JA281" s="12">
        <v>4</v>
      </c>
      <c r="JB281" s="12">
        <v>5</v>
      </c>
      <c r="JC281" s="12">
        <v>6</v>
      </c>
      <c r="JD281" s="12">
        <v>7</v>
      </c>
      <c r="JE281" s="12">
        <v>8</v>
      </c>
      <c r="JF281" s="12">
        <v>9</v>
      </c>
      <c r="JG281" s="12">
        <v>10</v>
      </c>
      <c r="JH281" s="12">
        <v>11</v>
      </c>
      <c r="JI281" s="12">
        <v>12</v>
      </c>
      <c r="JJ281" s="12">
        <v>13</v>
      </c>
      <c r="JK281" s="12">
        <v>14</v>
      </c>
      <c r="JL281" s="12">
        <v>17</v>
      </c>
      <c r="JM281" s="12">
        <v>15</v>
      </c>
      <c r="JN281" s="12">
        <v>18</v>
      </c>
      <c r="JO281" s="12">
        <v>11</v>
      </c>
      <c r="JP281" s="12">
        <v>9</v>
      </c>
      <c r="JQ281" s="12">
        <v>6</v>
      </c>
      <c r="JR281" s="12">
        <v>20</v>
      </c>
      <c r="JS281" s="12">
        <v>7</v>
      </c>
      <c r="JT281" s="12">
        <v>10</v>
      </c>
      <c r="JU281" s="12">
        <v>22</v>
      </c>
      <c r="JV281" s="12">
        <v>23</v>
      </c>
      <c r="JW281" s="12">
        <v>26</v>
      </c>
      <c r="JX281" s="12">
        <v>27</v>
      </c>
      <c r="JY281" s="13">
        <v>30</v>
      </c>
    </row>
    <row r="282" spans="1:355" ht="15.75" thickBot="1" x14ac:dyDescent="0.3">
      <c r="A282" t="s">
        <v>1857</v>
      </c>
      <c r="B282" t="s">
        <v>1841</v>
      </c>
      <c r="C282" s="3" t="s">
        <v>1872</v>
      </c>
      <c r="O282" s="2"/>
      <c r="P282" t="s">
        <v>1784</v>
      </c>
      <c r="Q282" s="1"/>
      <c r="S282" s="1"/>
      <c r="T282" s="21" t="s">
        <v>554</v>
      </c>
      <c r="U282" s="50">
        <v>102</v>
      </c>
      <c r="V282" s="18" t="s">
        <v>1842</v>
      </c>
      <c r="W282" s="22"/>
      <c r="X282" s="23"/>
      <c r="Y282" s="23"/>
      <c r="Z282" s="23"/>
      <c r="AA282" s="23"/>
      <c r="AB282" s="23"/>
      <c r="AC282" t="str">
        <f t="shared" si="844"/>
        <v>A5.17</v>
      </c>
      <c r="AD282" s="43" cm="1">
        <f t="array" ref="AD282">IF(COUNTIFS(AC$2:AC282,AC282)=1,"1",VALUE(SUBSTITUTE(INDEX(AD:AD,_xlfn.XMATCH(AC282,AC$1:AC281,0,-1)),"A",""))+INDEX(AE:AE,_xlfn.XMATCH(AC282,AC$1:AC281,0,-1))+1)</f>
        <v>16</v>
      </c>
      <c r="AE282" s="43" cm="1">
        <f t="array" ref="AE282">SUM(IF(ISNUMBER(FIND("TmDi",$BE$1:$AAD$1)),IF(IFERROR(ISNUMBER(VALUE(SUBSTITUTE($BE282:$AAD282,"B",""))),FALSE),IF(ISNUMBER(VALUE(SUBSTITUTE($BE282:$AAD282,"B",""))),1,0),0)))</f>
        <v>4</v>
      </c>
      <c r="AF282" t="str">
        <f t="shared" si="416"/>
        <v>C16</v>
      </c>
      <c r="AG282" t="str">
        <f t="shared" si="417"/>
        <v>B16</v>
      </c>
      <c r="AH282" t="str">
        <f t="shared" si="689"/>
        <v>A6.9</v>
      </c>
      <c r="AI282" s="43" cm="1">
        <f t="array" ref="AI282">IF(COUNTIFS(AH$2:AH282,AH282)=1,"1",VALUE(SUBSTITUTE(INDEX(AI:AI,_xlfn.XMATCH(AH282,AH$1:AH281,0,-1)),"A",""))+INDEX(AJ:AJ,_xlfn.XMATCH(AH282,AH$1:AH281,0,-1))+1)</f>
        <v>18</v>
      </c>
      <c r="AJ282" s="43" cm="1">
        <f t="array" ref="AJ282">SUM(IF(ISNUMBER(FIND("TmDo",$BE$1:$AAD$1)),IF(IFERROR(ISNUMBER(VALUE(SUBSTITUTE($BE282:$AAD282,"B",""))),FALSE),IF(ISNUMBER(VALUE(SUBSTITUTE($BE282:$AAD282,"B",""))),1,0),0)))</f>
        <v>2</v>
      </c>
      <c r="AK282" s="11" t="str">
        <f t="shared" si="419"/>
        <v>18B</v>
      </c>
      <c r="AL282" s="11" t="str">
        <f t="shared" si="420"/>
        <v>18A</v>
      </c>
      <c r="AM282" s="23" t="s">
        <v>150</v>
      </c>
      <c r="AN282" s="23"/>
      <c r="AO282" s="23"/>
      <c r="AP282" s="23" t="s">
        <v>137</v>
      </c>
      <c r="AQ282" s="23" t="s">
        <v>1794</v>
      </c>
      <c r="AR282" s="23"/>
      <c r="AS282" s="23"/>
      <c r="AT282" s="23" t="s">
        <v>139</v>
      </c>
      <c r="AU282" s="23" t="s">
        <v>140</v>
      </c>
      <c r="AV282" s="23"/>
      <c r="AW282" s="23"/>
      <c r="AX282" s="23"/>
      <c r="AY282" s="12"/>
      <c r="AZ282" s="12"/>
      <c r="BA282" s="12"/>
      <c r="BB282" s="12"/>
      <c r="BC282" s="12"/>
      <c r="BD282" s="13"/>
      <c r="BE282" s="23" t="str">
        <f t="shared" ref="BE282:BE285" si="921">CONCATENATE("XT",U282)</f>
        <v>XT102</v>
      </c>
      <c r="BF282" s="23" t="str">
        <f t="shared" ref="BF282:BF285" si="922">CONCATENATE("C",REPLACE(AF282,1,1,"")+1)</f>
        <v>C17</v>
      </c>
      <c r="BG282" s="23" t="str">
        <f t="shared" ref="BG282:BG285" si="923">CONCATENATE("B",REPLACE(AG282,1,1,"")+1)</f>
        <v>B17</v>
      </c>
      <c r="BH282" s="23" t="str">
        <f t="shared" ref="BH282:BH285" si="924">CONCATENATE("C",REPLACE(BF282,1,1,"")+1)</f>
        <v>C18</v>
      </c>
      <c r="BI282" s="23" t="str">
        <f t="shared" ref="BI282:BI285" si="925">CONCATENATE("B",REPLACE(BG282,1,1,"")+1)</f>
        <v>B18</v>
      </c>
      <c r="BJ282" s="23" t="str">
        <f t="shared" ref="BJ282:BJ285" si="926">CONCATENATE("C",REPLACE(BH282,1,1,"")+1)</f>
        <v>C19</v>
      </c>
      <c r="BK282" s="23" t="str">
        <f t="shared" ref="BK282:BK285" si="927">CONCATENATE("B",REPLACE(BI282,1,1,"")+1)</f>
        <v>B19</v>
      </c>
      <c r="BL282" s="23" t="str">
        <f t="shared" ref="BL282:BL285" si="928">CONCATENATE("C",REPLACE(BJ282,1,1,"")+1)</f>
        <v>C20</v>
      </c>
      <c r="BM282" s="23" t="str">
        <f t="shared" ref="BM282:BM285" si="929">CONCATENATE("B",REPLACE(BK282,1,1,"")+1)</f>
        <v>B20</v>
      </c>
      <c r="BN282" s="23"/>
      <c r="BO282" s="23"/>
      <c r="BP282" s="23" t="str">
        <f t="shared" ref="BP282:BP285" si="930">CONCATENATE(REPLACE(AK282,LEN(AK282),1,"")+1,"B")</f>
        <v>19B</v>
      </c>
      <c r="BQ282" s="23" t="str">
        <f t="shared" ref="BQ282:BQ285" si="931">CONCATENATE(REPLACE(AL282,LEN(AL282),1,"")+1,"A")</f>
        <v>19A</v>
      </c>
      <c r="BR282" s="23" t="str">
        <f t="shared" ref="BR282:BR285" si="932">CONCATENATE(REPLACE(BP282,LEN(BP282),1,"")+1,"B")</f>
        <v>20B</v>
      </c>
      <c r="BS282" s="23" t="str">
        <f t="shared" ref="BS282:BS285" si="933">CONCATENATE(REPLACE(BQ282,LEN(BQ282),1,"")+1,"A")</f>
        <v>20A</v>
      </c>
      <c r="BT282" s="23" t="str">
        <f t="shared" ref="BT282:BU285" si="934">CONCATENATE("DI",REPLACE($AC282,1,3,""),"-",AF282)</f>
        <v>DI17-C16</v>
      </c>
      <c r="BU282" s="23" t="str">
        <f t="shared" si="934"/>
        <v>DI17-B16</v>
      </c>
      <c r="BV282" s="23" t="str">
        <f t="shared" ref="BV282:CE285" si="935">CONCATENATE("DI",REPLACE($AC282,1,3,""),"-",BF282)</f>
        <v>DI17-C17</v>
      </c>
      <c r="BW282" s="23" t="str">
        <f t="shared" si="935"/>
        <v>DI17-B17</v>
      </c>
      <c r="BX282" s="23" t="str">
        <f t="shared" si="935"/>
        <v>DI17-C18</v>
      </c>
      <c r="BY282" s="23" t="str">
        <f t="shared" si="935"/>
        <v>DI17-B18</v>
      </c>
      <c r="BZ282" s="23" t="str">
        <f t="shared" si="935"/>
        <v>DI17-C19</v>
      </c>
      <c r="CA282" s="23" t="str">
        <f t="shared" si="935"/>
        <v>DI17-B19</v>
      </c>
      <c r="CB282" s="23" t="str">
        <f t="shared" si="935"/>
        <v>DI17-C20</v>
      </c>
      <c r="CC282" s="23" t="str">
        <f t="shared" si="935"/>
        <v>DI17-B20</v>
      </c>
      <c r="CD282" s="23" t="str">
        <f t="shared" si="935"/>
        <v>DI17-</v>
      </c>
      <c r="CE282" s="23" t="str">
        <f t="shared" si="935"/>
        <v>DI17-</v>
      </c>
      <c r="CF282" s="23" t="str">
        <f t="shared" ref="CF282:CG285" si="936">CONCATENATE("DO",REPLACE($AH282,1,3,""),"-",AK282)</f>
        <v>DO9-18B</v>
      </c>
      <c r="CG282" s="23" t="str">
        <f t="shared" si="936"/>
        <v>DO9-18A</v>
      </c>
      <c r="CH282" s="23" t="str">
        <f t="shared" ref="CH282:CK285" si="937">CONCATENATE("DO",REPLACE($AH282,1,3,""),"-",BP282)</f>
        <v>DO9-19B</v>
      </c>
      <c r="CI282" s="23" t="str">
        <f t="shared" si="937"/>
        <v>DO9-19A</v>
      </c>
      <c r="CJ282" s="23" t="str">
        <f t="shared" si="937"/>
        <v>DO9-20B</v>
      </c>
      <c r="CK282" s="23" t="str">
        <f t="shared" si="937"/>
        <v>DO9-20A</v>
      </c>
      <c r="CL282" s="23" t="str">
        <f t="shared" ref="CL282:CL285" si="938">CONCATENATE("K",$U282,"-10")</f>
        <v>K102-10</v>
      </c>
      <c r="CM282" s="23" t="str">
        <f t="shared" ref="CM282:CM285" si="939">CONCATENATE("K",$U282,"-03")</f>
        <v>K102-03</v>
      </c>
      <c r="CN282" s="23" t="str">
        <f t="shared" ref="CN282:CN285" si="940">CONCATENATE("K",$U282,"-04")</f>
        <v>K102-04</v>
      </c>
      <c r="CO282" s="23" t="str">
        <f t="shared" ref="CO282:CO285" si="941">CONCATENATE("K",$U282,"-01")</f>
        <v>K102-01</v>
      </c>
      <c r="CP282" s="23" t="str">
        <f t="shared" ref="CP282:CP285" si="942">CONCATENATE("K",$U282,"-08")</f>
        <v>K102-08</v>
      </c>
      <c r="CQ282" s="23" t="str">
        <f t="shared" ref="CQ282:CQ285" si="943">CONCATENATE("K",$U282,"-02")</f>
        <v>K102-02</v>
      </c>
      <c r="CR282" s="23" t="str">
        <f t="shared" ref="CR282:CR285" si="944">CONCATENATE("K",$U282,"-09")</f>
        <v>K102-09</v>
      </c>
      <c r="CS282" s="23" t="str">
        <f t="shared" ref="CS282:CS285" si="945">CONCATENATE("K",$U282,"-05")</f>
        <v>K102-05</v>
      </c>
      <c r="CT282" s="23" t="str">
        <f t="shared" ref="CT282:CT285" si="946">CONCATENATE("K",$U282,"-11")</f>
        <v>K102-11</v>
      </c>
      <c r="CU282" s="23" t="str">
        <f t="shared" ref="CU282:CU285" si="947">CONCATENATE($T282,"-M",$U282,"-A9")</f>
        <v>F0-M102-A9</v>
      </c>
      <c r="CV282" s="23" t="str">
        <f t="shared" ref="CV282:CV285" si="948">CONCATENATE($T282,"-M",$U282,"-A7")</f>
        <v>F0-M102-A7</v>
      </c>
      <c r="CW282" s="23" t="str">
        <f t="shared" ref="CW282:CW285" si="949">CONCATENATE($T282,"-M",$U282,"-A8")</f>
        <v>F0-M102-A8</v>
      </c>
      <c r="CX282" s="23" t="str">
        <f t="shared" ref="CX282:CX285" si="950">CONCATENATE($T282,"-M",$U282,"-A6")</f>
        <v>F0-M102-A6</v>
      </c>
      <c r="CY282" s="23" t="str">
        <f t="shared" ref="CY282:CY285" si="951">CONCATENATE($T282,"-M",$U282,"-A30")</f>
        <v>F0-M102-A30</v>
      </c>
      <c r="CZ282" s="23" t="str">
        <f t="shared" ref="CZ282:CZ285" si="952">CONCATENATE($T282,"-M",$U282,"-N")</f>
        <v>F0-M102-N</v>
      </c>
      <c r="DA282" s="23" t="str">
        <f t="shared" ref="DA282:DA285" si="953">CONCATENATE($T282,"-A220-M",U282)</f>
        <v>F0-A220-M102</v>
      </c>
      <c r="DB282" s="23" t="str">
        <f t="shared" ref="DB282:DB285" si="954">CONCATENATE($T282,"-M",$U282,"-XM01")</f>
        <v>F0-M102-XM01</v>
      </c>
      <c r="DC282" s="23" t="str">
        <f t="shared" ref="DC282:DC285" si="955">CONCATENATE($T282,"-M",$U282,"-A1")</f>
        <v>F0-M102-A1</v>
      </c>
      <c r="DD282" s="23" t="str">
        <f t="shared" ref="DD282:DD285" si="956">CONCATENATE($T282,"-M",$U282,"-A5")</f>
        <v>F0-M102-A5</v>
      </c>
      <c r="DE282" s="23" t="str">
        <f t="shared" ref="DE282:DE285" si="957">CONCATENATE($T282,"-M",$U282,"-A11")</f>
        <v>F0-M102-A11</v>
      </c>
      <c r="DF282" s="23" t="str">
        <f t="shared" ref="DF282:DF285" si="958">CONCATENATE($T282,"-M",$U282,"-A12")</f>
        <v>F0-M102-A12</v>
      </c>
      <c r="DG282" s="23" t="str">
        <f t="shared" ref="DG282:DG285" si="959">CONCATENATE($T282,"-M",$U282,"-A19")</f>
        <v>F0-M102-A19</v>
      </c>
      <c r="DH282" s="23" t="str">
        <f t="shared" ref="DH282:DH285" si="960">CONCATENATE($T282,"-M",$U282,"-A20")</f>
        <v>F0-M102-A20</v>
      </c>
      <c r="DI282" s="23" t="s">
        <v>142</v>
      </c>
      <c r="DJ282" s="23" t="s">
        <v>143</v>
      </c>
      <c r="DK282" s="23">
        <v>11</v>
      </c>
      <c r="DL282" s="23">
        <v>14</v>
      </c>
      <c r="DM282" s="23">
        <v>12</v>
      </c>
      <c r="DN282" s="23" t="s">
        <v>144</v>
      </c>
      <c r="DO282" s="23" t="s">
        <v>1843</v>
      </c>
      <c r="DP282" s="23">
        <v>1</v>
      </c>
      <c r="DQ282" s="23">
        <v>2</v>
      </c>
      <c r="DR282" s="23">
        <v>3</v>
      </c>
      <c r="DS282" s="23">
        <v>4</v>
      </c>
      <c r="DT282" s="23">
        <v>5</v>
      </c>
      <c r="DU282" s="23">
        <v>6</v>
      </c>
      <c r="DV282" s="23">
        <v>7</v>
      </c>
      <c r="DW282" s="23">
        <v>8</v>
      </c>
      <c r="DX282" s="23">
        <v>9</v>
      </c>
      <c r="DY282" s="23">
        <v>10</v>
      </c>
      <c r="DZ282" s="23">
        <v>11</v>
      </c>
      <c r="EA282" s="23">
        <v>12</v>
      </c>
      <c r="EB282" s="23">
        <v>13</v>
      </c>
      <c r="EC282" s="23">
        <v>14</v>
      </c>
      <c r="ED282" s="23">
        <v>1</v>
      </c>
      <c r="EE282" s="23">
        <v>3</v>
      </c>
      <c r="EF282" s="23">
        <v>4</v>
      </c>
      <c r="EG282" s="23">
        <v>7</v>
      </c>
      <c r="EH282" s="23">
        <v>8</v>
      </c>
      <c r="EI282" s="23">
        <v>9</v>
      </c>
      <c r="EJ282" s="23">
        <v>10</v>
      </c>
      <c r="EK282" s="23">
        <v>13</v>
      </c>
      <c r="EL282" s="23">
        <v>14</v>
      </c>
      <c r="EM282" s="23">
        <v>15</v>
      </c>
      <c r="EN282" s="23">
        <v>16</v>
      </c>
      <c r="EO282" s="23">
        <v>22</v>
      </c>
      <c r="EP282" s="23">
        <v>23</v>
      </c>
      <c r="EQ282" s="24">
        <v>24</v>
      </c>
    </row>
    <row r="283" spans="1:355" ht="15.75" thickBot="1" x14ac:dyDescent="0.3">
      <c r="A283" t="s">
        <v>1859</v>
      </c>
      <c r="B283" t="s">
        <v>1858</v>
      </c>
      <c r="C283" s="3" t="s">
        <v>1870</v>
      </c>
      <c r="O283" s="2"/>
      <c r="P283" t="s">
        <v>129</v>
      </c>
      <c r="Q283" s="1"/>
      <c r="S283" s="1" t="s">
        <v>130</v>
      </c>
      <c r="T283" s="17" t="s">
        <v>554</v>
      </c>
      <c r="U283" s="51">
        <v>103</v>
      </c>
      <c r="V283" s="18" t="s">
        <v>1860</v>
      </c>
      <c r="W283" s="18"/>
      <c r="X283" s="19"/>
      <c r="Y283" s="19"/>
      <c r="Z283" s="19"/>
      <c r="AA283" s="19"/>
      <c r="AB283" s="19"/>
      <c r="AC283" t="s">
        <v>1861</v>
      </c>
      <c r="AD283" s="43" t="str" cm="1">
        <f t="array" ref="AD283">IF(COUNTIFS(AC$2:AC283,AC283)=1,"1",VALUE(SUBSTITUTE(INDEX(AD:AD,_xlfn.XMATCH(AC283,AC$1:AC282,0,-1)),"A",""))+INDEX(AE:AE,_xlfn.XMATCH(AC283,AC$1:AC282,0,-1))+1)</f>
        <v>1</v>
      </c>
      <c r="AE283" s="43" cm="1">
        <f t="array" ref="AE283">SUM(IF(ISNUMBER(FIND("TmDi",$BE$1:$AAD$1)),IF(IFERROR(ISNUMBER(VALUE(SUBSTITUTE($BE283:$AAD283,"B",""))),FALSE),IF(ISNUMBER(VALUE(SUBSTITUTE($BE283:$AAD283,"B",""))),1,0),0)))</f>
        <v>5</v>
      </c>
      <c r="AF283" t="str">
        <f t="shared" si="416"/>
        <v>C1</v>
      </c>
      <c r="AG283" t="str">
        <f t="shared" si="417"/>
        <v>B1</v>
      </c>
      <c r="AH283" s="19" t="s">
        <v>1862</v>
      </c>
      <c r="AI283" s="43" t="str" cm="1">
        <f t="array" ref="AI283">IF(COUNTIFS(AH$2:AH283,AH283)=1,"1",VALUE(SUBSTITUTE(INDEX(AI:AI,_xlfn.XMATCH(AH283,AH$1:AH282,0,-1)),"A",""))+INDEX(AJ:AJ,_xlfn.XMATCH(AH283,AH$1:AH282,0,-1))+1)</f>
        <v>1</v>
      </c>
      <c r="AJ283" s="43" cm="1">
        <f t="array" ref="AJ283">SUM(IF(ISNUMBER(FIND("TmDo",$BE$1:$AAD$1)),IF(IFERROR(ISNUMBER(VALUE(SUBSTITUTE($BE283:$AAD283,"B",""))),FALSE),IF(ISNUMBER(VALUE(SUBSTITUTE($BE283:$AAD283,"B",""))),1,0),0)))</f>
        <v>2</v>
      </c>
      <c r="AK283" s="19" t="s">
        <v>135</v>
      </c>
      <c r="AL283" s="19" t="s">
        <v>136</v>
      </c>
      <c r="AM283" s="19" t="s">
        <v>141</v>
      </c>
      <c r="AN283" s="19"/>
      <c r="AO283" s="19"/>
      <c r="AP283" s="19" t="s">
        <v>137</v>
      </c>
      <c r="AQ283" s="23" t="s">
        <v>1794</v>
      </c>
      <c r="AR283" s="19"/>
      <c r="AS283" s="19"/>
      <c r="AT283" s="19" t="s">
        <v>139</v>
      </c>
      <c r="AU283" s="19" t="s">
        <v>140</v>
      </c>
      <c r="AX283" s="19"/>
      <c r="BD283" s="16"/>
      <c r="BE283" s="19" t="str">
        <f t="shared" si="921"/>
        <v>XT103</v>
      </c>
      <c r="BF283" s="19" t="str">
        <f t="shared" si="922"/>
        <v>C2</v>
      </c>
      <c r="BG283" s="19" t="str">
        <f t="shared" si="923"/>
        <v>B2</v>
      </c>
      <c r="BH283" s="19" t="str">
        <f t="shared" si="924"/>
        <v>C3</v>
      </c>
      <c r="BI283" s="19" t="str">
        <f t="shared" si="925"/>
        <v>B3</v>
      </c>
      <c r="BJ283" s="19" t="str">
        <f t="shared" si="926"/>
        <v>C4</v>
      </c>
      <c r="BK283" s="19" t="str">
        <f t="shared" si="927"/>
        <v>B4</v>
      </c>
      <c r="BL283" s="19" t="str">
        <f t="shared" si="928"/>
        <v>C5</v>
      </c>
      <c r="BM283" s="19" t="str">
        <f t="shared" si="929"/>
        <v>B5</v>
      </c>
      <c r="BN283" s="19" t="str">
        <f t="shared" ref="BN283:BN285" si="961">CONCATENATE("C",REPLACE(BL283,1,1,"")+1)</f>
        <v>C6</v>
      </c>
      <c r="BO283" s="19" t="str">
        <f t="shared" ref="BO283:BO285" si="962">CONCATENATE("B",REPLACE(BM283,1,1,"")+1)</f>
        <v>B6</v>
      </c>
      <c r="BP283" s="19" t="str">
        <f t="shared" si="930"/>
        <v>2B</v>
      </c>
      <c r="BQ283" s="19" t="str">
        <f t="shared" si="931"/>
        <v>2A</v>
      </c>
      <c r="BR283" s="19" t="str">
        <f t="shared" si="932"/>
        <v>3B</v>
      </c>
      <c r="BS283" s="19" t="str">
        <f t="shared" si="933"/>
        <v>3A</v>
      </c>
      <c r="BT283" s="19" t="str">
        <f t="shared" si="934"/>
        <v>DI18-C1</v>
      </c>
      <c r="BU283" s="19" t="str">
        <f t="shared" si="934"/>
        <v>DI18-B1</v>
      </c>
      <c r="BV283" s="19" t="str">
        <f t="shared" si="935"/>
        <v>DI18-C2</v>
      </c>
      <c r="BW283" s="19" t="str">
        <f t="shared" si="935"/>
        <v>DI18-B2</v>
      </c>
      <c r="BX283" s="19" t="str">
        <f t="shared" si="935"/>
        <v>DI18-C3</v>
      </c>
      <c r="BY283" s="19" t="str">
        <f t="shared" si="935"/>
        <v>DI18-B3</v>
      </c>
      <c r="BZ283" s="19" t="str">
        <f t="shared" si="935"/>
        <v>DI18-C4</v>
      </c>
      <c r="CA283" s="19" t="str">
        <f t="shared" si="935"/>
        <v>DI18-B4</v>
      </c>
      <c r="CB283" s="19" t="str">
        <f t="shared" si="935"/>
        <v>DI18-C5</v>
      </c>
      <c r="CC283" s="19" t="str">
        <f t="shared" si="935"/>
        <v>DI18-B5</v>
      </c>
      <c r="CD283" s="19" t="str">
        <f t="shared" si="935"/>
        <v>DI18-C6</v>
      </c>
      <c r="CE283" s="19" t="str">
        <f t="shared" si="935"/>
        <v>DI18-B6</v>
      </c>
      <c r="CF283" s="19" t="str">
        <f t="shared" si="936"/>
        <v>DO10-1B</v>
      </c>
      <c r="CG283" s="19" t="str">
        <f t="shared" si="936"/>
        <v>DO10-1A</v>
      </c>
      <c r="CH283" s="19" t="str">
        <f t="shared" si="937"/>
        <v>DO10-2B</v>
      </c>
      <c r="CI283" s="19" t="str">
        <f t="shared" si="937"/>
        <v>DO10-2A</v>
      </c>
      <c r="CJ283" s="19" t="str">
        <f t="shared" si="937"/>
        <v>DO10-3B</v>
      </c>
      <c r="CK283" s="19" t="str">
        <f t="shared" si="937"/>
        <v>DO10-3A</v>
      </c>
      <c r="CL283" s="19" t="str">
        <f t="shared" si="938"/>
        <v>K103-10</v>
      </c>
      <c r="CM283" s="19" t="str">
        <f t="shared" si="939"/>
        <v>K103-03</v>
      </c>
      <c r="CN283" s="19" t="str">
        <f t="shared" si="940"/>
        <v>K103-04</v>
      </c>
      <c r="CO283" s="19" t="str">
        <f t="shared" si="941"/>
        <v>K103-01</v>
      </c>
      <c r="CP283" s="19" t="str">
        <f t="shared" si="942"/>
        <v>K103-08</v>
      </c>
      <c r="CQ283" s="19" t="str">
        <f t="shared" si="943"/>
        <v>K103-02</v>
      </c>
      <c r="CR283" s="19" t="str">
        <f t="shared" si="944"/>
        <v>K103-09</v>
      </c>
      <c r="CS283" s="19" t="str">
        <f t="shared" si="945"/>
        <v>K103-05</v>
      </c>
      <c r="CT283" s="19" t="str">
        <f t="shared" si="946"/>
        <v>K103-11</v>
      </c>
      <c r="CU283" s="19" t="str">
        <f t="shared" si="947"/>
        <v>F0-M103-A9</v>
      </c>
      <c r="CV283" s="19" t="str">
        <f t="shared" si="948"/>
        <v>F0-M103-A7</v>
      </c>
      <c r="CW283" s="19" t="str">
        <f t="shared" si="949"/>
        <v>F0-M103-A8</v>
      </c>
      <c r="CX283" s="19" t="str">
        <f t="shared" si="950"/>
        <v>F0-M103-A6</v>
      </c>
      <c r="CY283" s="19" t="str">
        <f t="shared" si="951"/>
        <v>F0-M103-A30</v>
      </c>
      <c r="CZ283" s="19" t="str">
        <f t="shared" si="952"/>
        <v>F0-M103-N</v>
      </c>
      <c r="DA283" s="19" t="str">
        <f t="shared" si="953"/>
        <v>F0-A220-M103</v>
      </c>
      <c r="DB283" s="19" t="str">
        <f t="shared" si="954"/>
        <v>F0-M103-XM01</v>
      </c>
      <c r="DC283" s="19" t="str">
        <f t="shared" si="955"/>
        <v>F0-M103-A1</v>
      </c>
      <c r="DD283" s="19" t="str">
        <f t="shared" si="956"/>
        <v>F0-M103-A5</v>
      </c>
      <c r="DE283" s="19" t="str">
        <f t="shared" si="957"/>
        <v>F0-M103-A11</v>
      </c>
      <c r="DF283" s="19" t="str">
        <f t="shared" si="958"/>
        <v>F0-M103-A12</v>
      </c>
      <c r="DG283" s="19" t="str">
        <f t="shared" si="959"/>
        <v>F0-M103-A19</v>
      </c>
      <c r="DH283" s="19" t="str">
        <f t="shared" si="960"/>
        <v>F0-M103-A20</v>
      </c>
      <c r="DI283" s="19" t="s">
        <v>142</v>
      </c>
      <c r="DJ283" s="19" t="s">
        <v>143</v>
      </c>
      <c r="DK283" s="19">
        <v>11</v>
      </c>
      <c r="DL283" s="19">
        <v>14</v>
      </c>
      <c r="DM283" s="19">
        <v>12</v>
      </c>
      <c r="DN283" s="19" t="s">
        <v>144</v>
      </c>
      <c r="DO283" s="19" t="s">
        <v>145</v>
      </c>
      <c r="DP283" s="19">
        <v>1</v>
      </c>
      <c r="DQ283" s="19">
        <v>2</v>
      </c>
      <c r="DR283" s="19">
        <v>3</v>
      </c>
      <c r="DS283" s="19">
        <v>4</v>
      </c>
      <c r="DT283" s="19">
        <v>5</v>
      </c>
      <c r="DU283" s="19">
        <v>6</v>
      </c>
      <c r="DV283" s="19">
        <v>7</v>
      </c>
      <c r="DW283" s="19">
        <v>8</v>
      </c>
      <c r="DX283" s="19">
        <v>9</v>
      </c>
      <c r="DY283" s="19">
        <v>10</v>
      </c>
      <c r="DZ283" s="19">
        <v>11</v>
      </c>
      <c r="EA283" s="19">
        <v>12</v>
      </c>
      <c r="EB283" s="19">
        <v>13</v>
      </c>
      <c r="EC283" s="19">
        <v>14</v>
      </c>
      <c r="ED283" s="19">
        <v>1</v>
      </c>
      <c r="EE283" s="19">
        <v>3</v>
      </c>
      <c r="EF283" s="19">
        <v>4</v>
      </c>
      <c r="EG283" s="19">
        <v>7</v>
      </c>
      <c r="EH283" s="19">
        <v>8</v>
      </c>
      <c r="EI283" s="19">
        <v>9</v>
      </c>
      <c r="EJ283" s="19">
        <v>10</v>
      </c>
      <c r="EK283" s="19">
        <v>13</v>
      </c>
      <c r="EL283" s="19">
        <v>14</v>
      </c>
      <c r="EM283" s="19">
        <v>15</v>
      </c>
      <c r="EN283" s="19">
        <v>16</v>
      </c>
      <c r="EO283" s="19">
        <v>22</v>
      </c>
      <c r="EP283" s="19">
        <v>23</v>
      </c>
      <c r="EQ283" s="20">
        <v>24</v>
      </c>
    </row>
    <row r="284" spans="1:355" ht="15.75" thickBot="1" x14ac:dyDescent="0.3">
      <c r="A284" t="s">
        <v>1863</v>
      </c>
      <c r="B284" t="s">
        <v>1866</v>
      </c>
      <c r="C284" s="3" t="s">
        <v>1870</v>
      </c>
      <c r="O284" s="2"/>
      <c r="P284" t="s">
        <v>129</v>
      </c>
      <c r="Q284" s="1"/>
      <c r="S284" s="1" t="s">
        <v>130</v>
      </c>
      <c r="T284" s="17" t="s">
        <v>554</v>
      </c>
      <c r="U284" s="51">
        <v>104</v>
      </c>
      <c r="V284" s="18" t="s">
        <v>1864</v>
      </c>
      <c r="W284" s="18"/>
      <c r="X284" s="19"/>
      <c r="Y284" s="19"/>
      <c r="Z284" s="19"/>
      <c r="AA284" s="19"/>
      <c r="AB284" s="19"/>
      <c r="AC284" t="str">
        <f t="shared" ref="AC284:AC285" si="963">IF(AD283+AE283&gt;31,REPLACE(AC283,LEN(AC283),1,VALUE(RIGHT(AC283,1))+1),AC283)</f>
        <v>A5.18</v>
      </c>
      <c r="AD284" s="43" cm="1">
        <f t="array" ref="AD284">IF(COUNTIFS(AC$2:AC284,AC284)=1,"1",VALUE(SUBSTITUTE(INDEX(AD:AD,_xlfn.XMATCH(AC284,AC$1:AC283,0,-1)),"A",""))+INDEX(AE:AE,_xlfn.XMATCH(AC284,AC$1:AC283,0,-1))+1)</f>
        <v>7</v>
      </c>
      <c r="AE284" s="43" cm="1">
        <f t="array" ref="AE284">SUM(IF(ISNUMBER(FIND("TmDi",$BE$1:$AAD$1)),IF(IFERROR(ISNUMBER(VALUE(SUBSTITUTE($BE284:$AAD284,"B",""))),FALSE),IF(ISNUMBER(VALUE(SUBSTITUTE($BE284:$AAD284,"B",""))),1,0),0)))</f>
        <v>5</v>
      </c>
      <c r="AF284" t="str">
        <f t="shared" si="416"/>
        <v>C7</v>
      </c>
      <c r="AG284" t="str">
        <f t="shared" si="417"/>
        <v>B7</v>
      </c>
      <c r="AH284" t="str">
        <f t="shared" ref="AH284:AH285" si="964">IF(AI283+AJ283&gt;31,REPLACE(AH283,LEN(AH283),1,VALUE(RIGHT(AH283,1))+1),AH283)</f>
        <v>A6.10</v>
      </c>
      <c r="AI284" s="43" cm="1">
        <f t="array" ref="AI284">IF(COUNTIFS(AH$2:AH284,AH284)=1,"1",VALUE(SUBSTITUTE(INDEX(AI:AI,_xlfn.XMATCH(AH284,AH$1:AH283,0,-1)),"A",""))+INDEX(AJ:AJ,_xlfn.XMATCH(AH284,AH$1:AH283,0,-1))+1)</f>
        <v>4</v>
      </c>
      <c r="AJ284" s="43" cm="1">
        <f t="array" ref="AJ284">SUM(IF(ISNUMBER(FIND("TmDo",$BE$1:$AAD$1)),IF(IFERROR(ISNUMBER(VALUE(SUBSTITUTE($BE284:$AAD284,"B",""))),FALSE),IF(ISNUMBER(VALUE(SUBSTITUTE($BE284:$AAD284,"B",""))),1,0),0)))</f>
        <v>2</v>
      </c>
      <c r="AK284" s="19" t="s">
        <v>135</v>
      </c>
      <c r="AL284" s="19" t="s">
        <v>136</v>
      </c>
      <c r="AM284" s="19" t="s">
        <v>150</v>
      </c>
      <c r="AN284" s="19"/>
      <c r="AO284" s="19"/>
      <c r="AP284" s="19" t="s">
        <v>137</v>
      </c>
      <c r="AQ284" s="23" t="s">
        <v>1794</v>
      </c>
      <c r="AR284" s="19"/>
      <c r="AS284" s="19"/>
      <c r="AT284" s="19" t="s">
        <v>139</v>
      </c>
      <c r="AU284" s="19" t="s">
        <v>140</v>
      </c>
      <c r="AX284" s="19"/>
      <c r="BD284" s="16"/>
      <c r="BE284" s="19" t="str">
        <f t="shared" si="921"/>
        <v>XT104</v>
      </c>
      <c r="BF284" s="19" t="str">
        <f t="shared" si="922"/>
        <v>C8</v>
      </c>
      <c r="BG284" s="19" t="str">
        <f t="shared" si="923"/>
        <v>B8</v>
      </c>
      <c r="BH284" s="19" t="str">
        <f t="shared" si="924"/>
        <v>C9</v>
      </c>
      <c r="BI284" s="19" t="str">
        <f t="shared" si="925"/>
        <v>B9</v>
      </c>
      <c r="BJ284" s="19" t="str">
        <f t="shared" si="926"/>
        <v>C10</v>
      </c>
      <c r="BK284" s="19" t="str">
        <f t="shared" si="927"/>
        <v>B10</v>
      </c>
      <c r="BL284" s="19" t="str">
        <f t="shared" si="928"/>
        <v>C11</v>
      </c>
      <c r="BM284" s="19" t="str">
        <f t="shared" si="929"/>
        <v>B11</v>
      </c>
      <c r="BN284" s="19" t="str">
        <f t="shared" si="961"/>
        <v>C12</v>
      </c>
      <c r="BO284" s="19" t="str">
        <f t="shared" si="962"/>
        <v>B12</v>
      </c>
      <c r="BP284" s="19" t="str">
        <f t="shared" si="930"/>
        <v>2B</v>
      </c>
      <c r="BQ284" s="19" t="str">
        <f t="shared" si="931"/>
        <v>2A</v>
      </c>
      <c r="BR284" s="19" t="str">
        <f t="shared" si="932"/>
        <v>3B</v>
      </c>
      <c r="BS284" s="19" t="str">
        <f t="shared" si="933"/>
        <v>3A</v>
      </c>
      <c r="BT284" s="19" t="str">
        <f t="shared" si="934"/>
        <v>DI18-C7</v>
      </c>
      <c r="BU284" s="19" t="str">
        <f t="shared" si="934"/>
        <v>DI18-B7</v>
      </c>
      <c r="BV284" s="19" t="str">
        <f t="shared" si="935"/>
        <v>DI18-C8</v>
      </c>
      <c r="BW284" s="19" t="str">
        <f t="shared" si="935"/>
        <v>DI18-B8</v>
      </c>
      <c r="BX284" s="19" t="str">
        <f t="shared" si="935"/>
        <v>DI18-C9</v>
      </c>
      <c r="BY284" s="19" t="str">
        <f t="shared" si="935"/>
        <v>DI18-B9</v>
      </c>
      <c r="BZ284" s="19" t="str">
        <f t="shared" si="935"/>
        <v>DI18-C10</v>
      </c>
      <c r="CA284" s="19" t="str">
        <f t="shared" si="935"/>
        <v>DI18-B10</v>
      </c>
      <c r="CB284" s="19" t="str">
        <f t="shared" si="935"/>
        <v>DI18-C11</v>
      </c>
      <c r="CC284" s="19" t="str">
        <f t="shared" si="935"/>
        <v>DI18-B11</v>
      </c>
      <c r="CD284" s="19" t="str">
        <f t="shared" si="935"/>
        <v>DI18-C12</v>
      </c>
      <c r="CE284" s="19" t="str">
        <f t="shared" si="935"/>
        <v>DI18-B12</v>
      </c>
      <c r="CF284" s="19" t="str">
        <f t="shared" si="936"/>
        <v>DO10-1B</v>
      </c>
      <c r="CG284" s="19" t="str">
        <f t="shared" si="936"/>
        <v>DO10-1A</v>
      </c>
      <c r="CH284" s="19" t="str">
        <f t="shared" si="937"/>
        <v>DO10-2B</v>
      </c>
      <c r="CI284" s="19" t="str">
        <f t="shared" si="937"/>
        <v>DO10-2A</v>
      </c>
      <c r="CJ284" s="19" t="str">
        <f t="shared" si="937"/>
        <v>DO10-3B</v>
      </c>
      <c r="CK284" s="19" t="str">
        <f t="shared" si="937"/>
        <v>DO10-3A</v>
      </c>
      <c r="CL284" s="19" t="str">
        <f t="shared" si="938"/>
        <v>K104-10</v>
      </c>
      <c r="CM284" s="19" t="str">
        <f t="shared" si="939"/>
        <v>K104-03</v>
      </c>
      <c r="CN284" s="19" t="str">
        <f t="shared" si="940"/>
        <v>K104-04</v>
      </c>
      <c r="CO284" s="19" t="str">
        <f t="shared" si="941"/>
        <v>K104-01</v>
      </c>
      <c r="CP284" s="19" t="str">
        <f t="shared" si="942"/>
        <v>K104-08</v>
      </c>
      <c r="CQ284" s="19" t="str">
        <f t="shared" si="943"/>
        <v>K104-02</v>
      </c>
      <c r="CR284" s="19" t="str">
        <f t="shared" si="944"/>
        <v>K104-09</v>
      </c>
      <c r="CS284" s="19" t="str">
        <f t="shared" si="945"/>
        <v>K104-05</v>
      </c>
      <c r="CT284" s="19" t="str">
        <f t="shared" si="946"/>
        <v>K104-11</v>
      </c>
      <c r="CU284" s="19" t="str">
        <f t="shared" si="947"/>
        <v>F0-M104-A9</v>
      </c>
      <c r="CV284" s="19" t="str">
        <f t="shared" si="948"/>
        <v>F0-M104-A7</v>
      </c>
      <c r="CW284" s="19" t="str">
        <f t="shared" si="949"/>
        <v>F0-M104-A8</v>
      </c>
      <c r="CX284" s="19" t="str">
        <f t="shared" si="950"/>
        <v>F0-M104-A6</v>
      </c>
      <c r="CY284" s="19" t="str">
        <f t="shared" si="951"/>
        <v>F0-M104-A30</v>
      </c>
      <c r="CZ284" s="19" t="str">
        <f t="shared" si="952"/>
        <v>F0-M104-N</v>
      </c>
      <c r="DA284" s="19" t="str">
        <f t="shared" si="953"/>
        <v>F0-A220-M104</v>
      </c>
      <c r="DB284" s="19" t="str">
        <f t="shared" si="954"/>
        <v>F0-M104-XM01</v>
      </c>
      <c r="DC284" s="19" t="str">
        <f t="shared" si="955"/>
        <v>F0-M104-A1</v>
      </c>
      <c r="DD284" s="19" t="str">
        <f t="shared" si="956"/>
        <v>F0-M104-A5</v>
      </c>
      <c r="DE284" s="19" t="str">
        <f t="shared" si="957"/>
        <v>F0-M104-A11</v>
      </c>
      <c r="DF284" s="19" t="str">
        <f t="shared" si="958"/>
        <v>F0-M104-A12</v>
      </c>
      <c r="DG284" s="19" t="str">
        <f t="shared" si="959"/>
        <v>F0-M104-A19</v>
      </c>
      <c r="DH284" s="19" t="str">
        <f t="shared" si="960"/>
        <v>F0-M104-A20</v>
      </c>
      <c r="DI284" s="19" t="s">
        <v>142</v>
      </c>
      <c r="DJ284" s="19" t="s">
        <v>143</v>
      </c>
      <c r="DK284" s="19">
        <v>11</v>
      </c>
      <c r="DL284" s="19">
        <v>14</v>
      </c>
      <c r="DM284" s="19">
        <v>12</v>
      </c>
      <c r="DN284" s="19" t="s">
        <v>144</v>
      </c>
      <c r="DO284" s="19" t="s">
        <v>1805</v>
      </c>
      <c r="DP284" s="19">
        <v>1</v>
      </c>
      <c r="DQ284" s="19">
        <v>2</v>
      </c>
      <c r="DR284" s="19">
        <v>3</v>
      </c>
      <c r="DS284" s="19">
        <v>4</v>
      </c>
      <c r="DT284" s="19">
        <v>5</v>
      </c>
      <c r="DU284" s="19">
        <v>6</v>
      </c>
      <c r="DV284" s="19">
        <v>7</v>
      </c>
      <c r="DW284" s="19">
        <v>8</v>
      </c>
      <c r="DX284" s="19">
        <v>9</v>
      </c>
      <c r="DY284" s="19">
        <v>10</v>
      </c>
      <c r="DZ284" s="19">
        <v>11</v>
      </c>
      <c r="EA284" s="19">
        <v>12</v>
      </c>
      <c r="EB284" s="19">
        <v>13</v>
      </c>
      <c r="EC284" s="19">
        <v>14</v>
      </c>
      <c r="ED284" s="19">
        <v>1</v>
      </c>
      <c r="EE284" s="19">
        <v>3</v>
      </c>
      <c r="EF284" s="19">
        <v>4</v>
      </c>
      <c r="EG284" s="19">
        <v>7</v>
      </c>
      <c r="EH284" s="19">
        <v>8</v>
      </c>
      <c r="EI284" s="19">
        <v>9</v>
      </c>
      <c r="EJ284" s="19">
        <v>10</v>
      </c>
      <c r="EK284" s="19">
        <v>13</v>
      </c>
      <c r="EL284" s="19">
        <v>14</v>
      </c>
      <c r="EM284" s="19">
        <v>15</v>
      </c>
      <c r="EN284" s="19">
        <v>16</v>
      </c>
      <c r="EO284" s="19">
        <v>22</v>
      </c>
      <c r="EP284" s="19">
        <v>23</v>
      </c>
      <c r="EQ284" s="20">
        <v>24</v>
      </c>
    </row>
    <row r="285" spans="1:355" ht="15.75" thickBot="1" x14ac:dyDescent="0.3">
      <c r="A285" t="s">
        <v>1867</v>
      </c>
      <c r="B285" t="s">
        <v>1869</v>
      </c>
      <c r="C285" s="3" t="s">
        <v>1870</v>
      </c>
      <c r="O285" s="2"/>
      <c r="P285" t="s">
        <v>129</v>
      </c>
      <c r="Q285" s="1"/>
      <c r="S285" s="1" t="s">
        <v>130</v>
      </c>
      <c r="T285" s="17" t="s">
        <v>554</v>
      </c>
      <c r="U285" s="51">
        <v>105</v>
      </c>
      <c r="V285" s="18" t="s">
        <v>1868</v>
      </c>
      <c r="W285" s="18"/>
      <c r="X285" s="19"/>
      <c r="Y285" s="19"/>
      <c r="Z285" s="19"/>
      <c r="AA285" s="19"/>
      <c r="AB285" s="19"/>
      <c r="AC285" t="str">
        <f t="shared" si="963"/>
        <v>A5.18</v>
      </c>
      <c r="AD285" s="43" cm="1">
        <f t="array" ref="AD285">IF(COUNTIFS(AC$2:AC285,AC285)=1,"1",VALUE(SUBSTITUTE(INDEX(AD:AD,_xlfn.XMATCH(AC285,AC$1:AC284,0,-1)),"A",""))+INDEX(AE:AE,_xlfn.XMATCH(AC285,AC$1:AC284,0,-1))+1)</f>
        <v>13</v>
      </c>
      <c r="AE285" s="43" cm="1">
        <f t="array" ref="AE285">SUM(IF(ISNUMBER(FIND("TmDi",$BE$1:$AAD$1)),IF(IFERROR(ISNUMBER(VALUE(SUBSTITUTE($BE285:$AAD285,"B",""))),FALSE),IF(ISNUMBER(VALUE(SUBSTITUTE($BE285:$AAD285,"B",""))),1,0),0)))</f>
        <v>5</v>
      </c>
      <c r="AF285" t="str">
        <f t="shared" si="416"/>
        <v>C13</v>
      </c>
      <c r="AG285" t="str">
        <f t="shared" si="417"/>
        <v>B13</v>
      </c>
      <c r="AH285" t="str">
        <f t="shared" si="964"/>
        <v>A6.10</v>
      </c>
      <c r="AI285" s="43" cm="1">
        <f t="array" ref="AI285">IF(COUNTIFS(AH$2:AH285,AH285)=1,"1",VALUE(SUBSTITUTE(INDEX(AI:AI,_xlfn.XMATCH(AH285,AH$1:AH284,0,-1)),"A",""))+INDEX(AJ:AJ,_xlfn.XMATCH(AH285,AH$1:AH284,0,-1))+1)</f>
        <v>7</v>
      </c>
      <c r="AJ285" s="43" cm="1">
        <f t="array" ref="AJ285">SUM(IF(ISNUMBER(FIND("TmDo",$BE$1:$AAD$1)),IF(IFERROR(ISNUMBER(VALUE(SUBSTITUTE($BE285:$AAD285,"B",""))),FALSE),IF(ISNUMBER(VALUE(SUBSTITUTE($BE285:$AAD285,"B",""))),1,0),0)))</f>
        <v>2</v>
      </c>
      <c r="AK285" s="19" t="s">
        <v>135</v>
      </c>
      <c r="AL285" s="19" t="s">
        <v>136</v>
      </c>
      <c r="AM285" s="19" t="s">
        <v>150</v>
      </c>
      <c r="AN285" s="19"/>
      <c r="AO285" s="19"/>
      <c r="AP285" s="19" t="s">
        <v>137</v>
      </c>
      <c r="AQ285" s="23" t="s">
        <v>1794</v>
      </c>
      <c r="AR285" s="19"/>
      <c r="AS285" s="19"/>
      <c r="AT285" s="19" t="s">
        <v>139</v>
      </c>
      <c r="AU285" s="19" t="s">
        <v>140</v>
      </c>
      <c r="AX285" s="19"/>
      <c r="BD285" s="16"/>
      <c r="BE285" s="19" t="str">
        <f t="shared" si="921"/>
        <v>XT105</v>
      </c>
      <c r="BF285" s="19" t="str">
        <f t="shared" si="922"/>
        <v>C14</v>
      </c>
      <c r="BG285" s="19" t="str">
        <f t="shared" si="923"/>
        <v>B14</v>
      </c>
      <c r="BH285" s="19" t="str">
        <f t="shared" si="924"/>
        <v>C15</v>
      </c>
      <c r="BI285" s="19" t="str">
        <f t="shared" si="925"/>
        <v>B15</v>
      </c>
      <c r="BJ285" s="19" t="str">
        <f t="shared" si="926"/>
        <v>C16</v>
      </c>
      <c r="BK285" s="19" t="str">
        <f t="shared" si="927"/>
        <v>B16</v>
      </c>
      <c r="BL285" s="19" t="str">
        <f t="shared" si="928"/>
        <v>C17</v>
      </c>
      <c r="BM285" s="19" t="str">
        <f t="shared" si="929"/>
        <v>B17</v>
      </c>
      <c r="BN285" s="19" t="str">
        <f t="shared" si="961"/>
        <v>C18</v>
      </c>
      <c r="BO285" s="19" t="str">
        <f t="shared" si="962"/>
        <v>B18</v>
      </c>
      <c r="BP285" s="19" t="str">
        <f t="shared" si="930"/>
        <v>2B</v>
      </c>
      <c r="BQ285" s="19" t="str">
        <f t="shared" si="931"/>
        <v>2A</v>
      </c>
      <c r="BR285" s="19" t="str">
        <f t="shared" si="932"/>
        <v>3B</v>
      </c>
      <c r="BS285" s="19" t="str">
        <f t="shared" si="933"/>
        <v>3A</v>
      </c>
      <c r="BT285" s="19" t="str">
        <f t="shared" si="934"/>
        <v>DI18-C13</v>
      </c>
      <c r="BU285" s="19" t="str">
        <f t="shared" si="934"/>
        <v>DI18-B13</v>
      </c>
      <c r="BV285" s="19" t="str">
        <f t="shared" si="935"/>
        <v>DI18-C14</v>
      </c>
      <c r="BW285" s="19" t="str">
        <f t="shared" si="935"/>
        <v>DI18-B14</v>
      </c>
      <c r="BX285" s="19" t="str">
        <f t="shared" si="935"/>
        <v>DI18-C15</v>
      </c>
      <c r="BY285" s="19" t="str">
        <f t="shared" si="935"/>
        <v>DI18-B15</v>
      </c>
      <c r="BZ285" s="19" t="str">
        <f t="shared" si="935"/>
        <v>DI18-C16</v>
      </c>
      <c r="CA285" s="19" t="str">
        <f t="shared" si="935"/>
        <v>DI18-B16</v>
      </c>
      <c r="CB285" s="19" t="str">
        <f t="shared" si="935"/>
        <v>DI18-C17</v>
      </c>
      <c r="CC285" s="19" t="str">
        <f t="shared" si="935"/>
        <v>DI18-B17</v>
      </c>
      <c r="CD285" s="19" t="str">
        <f t="shared" si="935"/>
        <v>DI18-C18</v>
      </c>
      <c r="CE285" s="19" t="str">
        <f t="shared" si="935"/>
        <v>DI18-B18</v>
      </c>
      <c r="CF285" s="19" t="str">
        <f t="shared" si="936"/>
        <v>DO10-1B</v>
      </c>
      <c r="CG285" s="19" t="str">
        <f t="shared" si="936"/>
        <v>DO10-1A</v>
      </c>
      <c r="CH285" s="19" t="str">
        <f t="shared" si="937"/>
        <v>DO10-2B</v>
      </c>
      <c r="CI285" s="19" t="str">
        <f t="shared" si="937"/>
        <v>DO10-2A</v>
      </c>
      <c r="CJ285" s="19" t="str">
        <f t="shared" si="937"/>
        <v>DO10-3B</v>
      </c>
      <c r="CK285" s="19" t="str">
        <f t="shared" si="937"/>
        <v>DO10-3A</v>
      </c>
      <c r="CL285" s="19" t="str">
        <f t="shared" si="938"/>
        <v>K105-10</v>
      </c>
      <c r="CM285" s="19" t="str">
        <f t="shared" si="939"/>
        <v>K105-03</v>
      </c>
      <c r="CN285" s="19" t="str">
        <f t="shared" si="940"/>
        <v>K105-04</v>
      </c>
      <c r="CO285" s="19" t="str">
        <f t="shared" si="941"/>
        <v>K105-01</v>
      </c>
      <c r="CP285" s="19" t="str">
        <f t="shared" si="942"/>
        <v>K105-08</v>
      </c>
      <c r="CQ285" s="19" t="str">
        <f t="shared" si="943"/>
        <v>K105-02</v>
      </c>
      <c r="CR285" s="19" t="str">
        <f t="shared" si="944"/>
        <v>K105-09</v>
      </c>
      <c r="CS285" s="19" t="str">
        <f t="shared" si="945"/>
        <v>K105-05</v>
      </c>
      <c r="CT285" s="19" t="str">
        <f t="shared" si="946"/>
        <v>K105-11</v>
      </c>
      <c r="CU285" s="19" t="str">
        <f t="shared" si="947"/>
        <v>F0-M105-A9</v>
      </c>
      <c r="CV285" s="19" t="str">
        <f t="shared" si="948"/>
        <v>F0-M105-A7</v>
      </c>
      <c r="CW285" s="19" t="str">
        <f t="shared" si="949"/>
        <v>F0-M105-A8</v>
      </c>
      <c r="CX285" s="19" t="str">
        <f t="shared" si="950"/>
        <v>F0-M105-A6</v>
      </c>
      <c r="CY285" s="19" t="str">
        <f t="shared" si="951"/>
        <v>F0-M105-A30</v>
      </c>
      <c r="CZ285" s="19" t="str">
        <f t="shared" si="952"/>
        <v>F0-M105-N</v>
      </c>
      <c r="DA285" s="19" t="str">
        <f t="shared" si="953"/>
        <v>F0-A220-M105</v>
      </c>
      <c r="DB285" s="19" t="str">
        <f t="shared" si="954"/>
        <v>F0-M105-XM01</v>
      </c>
      <c r="DC285" s="19" t="str">
        <f t="shared" si="955"/>
        <v>F0-M105-A1</v>
      </c>
      <c r="DD285" s="19" t="str">
        <f t="shared" si="956"/>
        <v>F0-M105-A5</v>
      </c>
      <c r="DE285" s="19" t="str">
        <f t="shared" si="957"/>
        <v>F0-M105-A11</v>
      </c>
      <c r="DF285" s="19" t="str">
        <f t="shared" si="958"/>
        <v>F0-M105-A12</v>
      </c>
      <c r="DG285" s="19" t="str">
        <f t="shared" si="959"/>
        <v>F0-M105-A19</v>
      </c>
      <c r="DH285" s="19" t="str">
        <f t="shared" si="960"/>
        <v>F0-M105-A20</v>
      </c>
      <c r="DI285" s="19" t="s">
        <v>142</v>
      </c>
      <c r="DJ285" s="19" t="s">
        <v>143</v>
      </c>
      <c r="DK285" s="19">
        <v>11</v>
      </c>
      <c r="DL285" s="19">
        <v>14</v>
      </c>
      <c r="DM285" s="19">
        <v>12</v>
      </c>
      <c r="DN285" s="19" t="s">
        <v>144</v>
      </c>
      <c r="DO285" s="19" t="s">
        <v>1812</v>
      </c>
      <c r="DP285" s="19">
        <v>1</v>
      </c>
      <c r="DQ285" s="19">
        <v>2</v>
      </c>
      <c r="DR285" s="19">
        <v>3</v>
      </c>
      <c r="DS285" s="19">
        <v>4</v>
      </c>
      <c r="DT285" s="19">
        <v>5</v>
      </c>
      <c r="DU285" s="19">
        <v>6</v>
      </c>
      <c r="DV285" s="19">
        <v>7</v>
      </c>
      <c r="DW285" s="19">
        <v>8</v>
      </c>
      <c r="DX285" s="19">
        <v>9</v>
      </c>
      <c r="DY285" s="19">
        <v>10</v>
      </c>
      <c r="DZ285" s="19">
        <v>11</v>
      </c>
      <c r="EA285" s="19">
        <v>12</v>
      </c>
      <c r="EB285" s="19">
        <v>13</v>
      </c>
      <c r="EC285" s="19">
        <v>14</v>
      </c>
      <c r="ED285" s="19">
        <v>1</v>
      </c>
      <c r="EE285" s="19">
        <v>3</v>
      </c>
      <c r="EF285" s="19">
        <v>4</v>
      </c>
      <c r="EG285" s="19">
        <v>7</v>
      </c>
      <c r="EH285" s="19">
        <v>8</v>
      </c>
      <c r="EI285" s="19">
        <v>9</v>
      </c>
      <c r="EJ285" s="19">
        <v>10</v>
      </c>
      <c r="EK285" s="19">
        <v>13</v>
      </c>
      <c r="EL285" s="19">
        <v>14</v>
      </c>
      <c r="EM285" s="19">
        <v>15</v>
      </c>
      <c r="EN285" s="19">
        <v>16</v>
      </c>
      <c r="EO285" s="19">
        <v>22</v>
      </c>
      <c r="EP285" s="19">
        <v>23</v>
      </c>
      <c r="EQ285" s="20">
        <v>24</v>
      </c>
    </row>
    <row r="286" spans="1:355" x14ac:dyDescent="0.25">
      <c r="A286" t="s">
        <v>1901</v>
      </c>
      <c r="B286" t="s">
        <v>1874</v>
      </c>
      <c r="P286" t="s">
        <v>1873</v>
      </c>
      <c r="T286" t="s">
        <v>554</v>
      </c>
      <c r="AC286" t="s">
        <v>1865</v>
      </c>
      <c r="AD286" s="43" t="str" cm="1">
        <f t="array" ref="AD286">IF(COUNTIFS(AC$2:AC286,AC286)=1,"1",VALUE(SUBSTITUTE(INDEX(AD:AD,_xlfn.XMATCH(AC286,AC$1:AC285,0,-1)),"A",""))+INDEX(AE:AE,_xlfn.XMATCH(AC286,AC$1:AC285,0,-1))+1)</f>
        <v>1</v>
      </c>
      <c r="AE286" s="43" cm="1">
        <f t="array" ref="AE286">SUM(IF(ISNUMBER(FIND("TmDi",$BE$1:$AAD$1)),IF(IFERROR(ISNUMBER(VALUE(SUBSTITUTE($BE286:$AAD286,"B",""))),FALSE),IF(ISNUMBER(VALUE(SUBSTITUTE($BE286:$AAD286,"B",""))),1,0),0)))</f>
        <v>0</v>
      </c>
      <c r="AF286" t="str">
        <f t="shared" si="416"/>
        <v>C1</v>
      </c>
      <c r="AG286" t="str">
        <f t="shared" si="417"/>
        <v>B1</v>
      </c>
      <c r="AP286" t="s">
        <v>137</v>
      </c>
      <c r="AT286" t="s">
        <v>854</v>
      </c>
      <c r="AU286" t="s">
        <v>1399</v>
      </c>
      <c r="LX286" s="25" t="str">
        <f>CONCATENATE("DI",REPLACE($AC286,1,3,""),"-",$AF286)</f>
        <v>DI19-C1</v>
      </c>
      <c r="LY286" s="12" t="s">
        <v>1884</v>
      </c>
      <c r="LZ286" s="12" t="s">
        <v>1883</v>
      </c>
      <c r="MA286" s="12">
        <v>11</v>
      </c>
      <c r="MB286" s="12">
        <v>14</v>
      </c>
      <c r="MC286" s="12" t="s">
        <v>142</v>
      </c>
      <c r="MD286" s="12" t="s">
        <v>143</v>
      </c>
      <c r="ME286" s="12" t="s">
        <v>488</v>
      </c>
      <c r="MF286" s="12" t="s">
        <v>487</v>
      </c>
      <c r="MG286" s="12" t="s">
        <v>414</v>
      </c>
      <c r="MH286" s="12" t="s">
        <v>413</v>
      </c>
      <c r="MI286" s="12"/>
      <c r="MJ286" s="12"/>
      <c r="MK286" s="12"/>
      <c r="ML286" s="12"/>
      <c r="MM286" s="12"/>
      <c r="MN286" s="12"/>
      <c r="MO286" s="12">
        <v>1</v>
      </c>
      <c r="MP286" s="13">
        <v>2</v>
      </c>
      <c r="MQ286" s="27"/>
    </row>
    <row r="287" spans="1:355" x14ac:dyDescent="0.25">
      <c r="A287" t="s">
        <v>1902</v>
      </c>
      <c r="B287" t="s">
        <v>1875</v>
      </c>
      <c r="P287" t="s">
        <v>1873</v>
      </c>
      <c r="T287" t="s">
        <v>554</v>
      </c>
      <c r="AC287" t="str">
        <f t="shared" ref="AC287:AC294" si="965">IF(AD286+AE286&gt;31,REPLACE(AC286,LEN(AC286),1,VALUE(RIGHT(AC286,1))+1),AC286)</f>
        <v>A5.19</v>
      </c>
      <c r="AD287" s="43" cm="1">
        <f t="array" ref="AD287">IF(COUNTIFS(AC$2:AC287,AC287)=1,"1",VALUE(SUBSTITUTE(INDEX(AD:AD,_xlfn.XMATCH(AC287,AC$1:AC286,0,-1)),"A",""))+INDEX(AE:AE,_xlfn.XMATCH(AC287,AC$1:AC286,0,-1))+1)</f>
        <v>2</v>
      </c>
      <c r="AE287" s="43" cm="1">
        <f t="array" ref="AE287">SUM(IF(ISNUMBER(FIND("TmDi",$BE$1:$AAD$1)),IF(IFERROR(ISNUMBER(VALUE(SUBSTITUTE($BE287:$AAD287,"B",""))),FALSE),IF(ISNUMBER(VALUE(SUBSTITUTE($BE287:$AAD287,"B",""))),1,0),0)))</f>
        <v>0</v>
      </c>
      <c r="AF287" t="str">
        <f t="shared" si="416"/>
        <v>C2</v>
      </c>
      <c r="AG287" t="str">
        <f t="shared" si="417"/>
        <v>B2</v>
      </c>
      <c r="AP287" t="s">
        <v>137</v>
      </c>
      <c r="AT287" t="s">
        <v>854</v>
      </c>
      <c r="AU287" t="s">
        <v>1399</v>
      </c>
      <c r="LX287" s="27" t="str">
        <f>CONCATENATE("DI",REPLACE($AC287,1,3,""),"-",$AF287)</f>
        <v>DI19-C2</v>
      </c>
      <c r="LY287" t="s">
        <v>1885</v>
      </c>
      <c r="LZ287" t="s">
        <v>1886</v>
      </c>
      <c r="MA287">
        <f t="shared" ref="MA287:MH294" si="966">MA286</f>
        <v>11</v>
      </c>
      <c r="MB287">
        <f t="shared" si="966"/>
        <v>14</v>
      </c>
      <c r="MC287" t="str">
        <f t="shared" si="966"/>
        <v>A1</v>
      </c>
      <c r="MD287" t="str">
        <f t="shared" si="966"/>
        <v>A2</v>
      </c>
      <c r="ME287" t="str">
        <f t="shared" si="966"/>
        <v>0v3</v>
      </c>
      <c r="MF287" t="str">
        <f t="shared" si="966"/>
        <v>24v3</v>
      </c>
      <c r="MG287" t="str">
        <f t="shared" si="966"/>
        <v>0v6</v>
      </c>
      <c r="MH287" t="str">
        <f t="shared" si="966"/>
        <v>24v6</v>
      </c>
      <c r="MO287">
        <f>MO286</f>
        <v>1</v>
      </c>
      <c r="MP287" s="16">
        <f>MP286</f>
        <v>2</v>
      </c>
    </row>
    <row r="288" spans="1:355" x14ac:dyDescent="0.25">
      <c r="A288" t="s">
        <v>1903</v>
      </c>
      <c r="B288" t="s">
        <v>1876</v>
      </c>
      <c r="P288" t="s">
        <v>1873</v>
      </c>
      <c r="T288" t="s">
        <v>554</v>
      </c>
      <c r="AC288" t="str">
        <f t="shared" si="965"/>
        <v>A5.19</v>
      </c>
      <c r="AD288" s="43" cm="1">
        <f t="array" ref="AD288">IF(COUNTIFS(AC$2:AC288,AC288)=1,"1",VALUE(SUBSTITUTE(INDEX(AD:AD,_xlfn.XMATCH(AC288,AC$1:AC287,0,-1)),"A",""))+INDEX(AE:AE,_xlfn.XMATCH(AC288,AC$1:AC287,0,-1))+1)</f>
        <v>3</v>
      </c>
      <c r="AE288" s="43" cm="1">
        <f t="array" ref="AE288">SUM(IF(ISNUMBER(FIND("TmDi",$BE$1:$AAD$1)),IF(IFERROR(ISNUMBER(VALUE(SUBSTITUTE($BE288:$AAD288,"B",""))),FALSE),IF(ISNUMBER(VALUE(SUBSTITUTE($BE288:$AAD288,"B",""))),1,0),0)))</f>
        <v>0</v>
      </c>
      <c r="AF288" t="str">
        <f t="shared" si="416"/>
        <v>C3</v>
      </c>
      <c r="AG288" t="str">
        <f t="shared" si="417"/>
        <v>B3</v>
      </c>
      <c r="AP288" t="s">
        <v>137</v>
      </c>
      <c r="AT288" t="s">
        <v>854</v>
      </c>
      <c r="AU288" t="s">
        <v>1399</v>
      </c>
      <c r="LX288" s="27" t="str">
        <f t="shared" ref="LX288:LX294" si="967">CONCATENATE("DI",REPLACE($AC288,1,3,""),"-",$AF288)</f>
        <v>DI19-C3</v>
      </c>
      <c r="LY288" t="s">
        <v>1887</v>
      </c>
      <c r="LZ288" t="s">
        <v>1888</v>
      </c>
      <c r="MA288">
        <f t="shared" si="966"/>
        <v>11</v>
      </c>
      <c r="MB288">
        <f t="shared" si="966"/>
        <v>14</v>
      </c>
      <c r="MC288" t="str">
        <f t="shared" si="966"/>
        <v>A1</v>
      </c>
      <c r="MD288" t="str">
        <f t="shared" si="966"/>
        <v>A2</v>
      </c>
      <c r="ME288" t="str">
        <f t="shared" si="966"/>
        <v>0v3</v>
      </c>
      <c r="MF288" t="str">
        <f t="shared" si="966"/>
        <v>24v3</v>
      </c>
      <c r="MG288" t="str">
        <f t="shared" si="966"/>
        <v>0v6</v>
      </c>
      <c r="MH288" t="str">
        <f t="shared" si="966"/>
        <v>24v6</v>
      </c>
      <c r="MO288">
        <f t="shared" ref="MO288:MP294" si="968">MO287</f>
        <v>1</v>
      </c>
      <c r="MP288" s="16">
        <f t="shared" si="968"/>
        <v>2</v>
      </c>
    </row>
    <row r="289" spans="1:548" x14ac:dyDescent="0.25">
      <c r="A289" t="s">
        <v>1904</v>
      </c>
      <c r="B289" t="s">
        <v>1877</v>
      </c>
      <c r="P289" t="s">
        <v>1873</v>
      </c>
      <c r="T289" t="s">
        <v>554</v>
      </c>
      <c r="AC289" t="str">
        <f t="shared" si="965"/>
        <v>A5.19</v>
      </c>
      <c r="AD289" s="43" cm="1">
        <f t="array" ref="AD289">IF(COUNTIFS(AC$2:AC289,AC289)=1,"1",VALUE(SUBSTITUTE(INDEX(AD:AD,_xlfn.XMATCH(AC289,AC$1:AC288,0,-1)),"A",""))+INDEX(AE:AE,_xlfn.XMATCH(AC289,AC$1:AC288,0,-1))+1)</f>
        <v>4</v>
      </c>
      <c r="AE289" s="43" cm="1">
        <f t="array" ref="AE289">SUM(IF(ISNUMBER(FIND("TmDi",$BE$1:$AAD$1)),IF(IFERROR(ISNUMBER(VALUE(SUBSTITUTE($BE289:$AAD289,"B",""))),FALSE),IF(ISNUMBER(VALUE(SUBSTITUTE($BE289:$AAD289,"B",""))),1,0),0)))</f>
        <v>0</v>
      </c>
      <c r="AF289" t="str">
        <f t="shared" si="416"/>
        <v>C4</v>
      </c>
      <c r="AG289" t="str">
        <f t="shared" si="417"/>
        <v>B4</v>
      </c>
      <c r="AP289" t="s">
        <v>137</v>
      </c>
      <c r="AT289" t="s">
        <v>854</v>
      </c>
      <c r="AU289" t="s">
        <v>1399</v>
      </c>
      <c r="LX289" s="27" t="str">
        <f t="shared" si="967"/>
        <v>DI19-C4</v>
      </c>
      <c r="LY289" t="s">
        <v>1889</v>
      </c>
      <c r="LZ289" t="s">
        <v>1890</v>
      </c>
      <c r="MA289">
        <f t="shared" si="966"/>
        <v>11</v>
      </c>
      <c r="MB289">
        <f t="shared" si="966"/>
        <v>14</v>
      </c>
      <c r="MC289" t="str">
        <f t="shared" si="966"/>
        <v>A1</v>
      </c>
      <c r="MD289" t="str">
        <f t="shared" si="966"/>
        <v>A2</v>
      </c>
      <c r="ME289" t="str">
        <f t="shared" si="966"/>
        <v>0v3</v>
      </c>
      <c r="MF289" t="str">
        <f t="shared" si="966"/>
        <v>24v3</v>
      </c>
      <c r="MG289" t="str">
        <f t="shared" si="966"/>
        <v>0v6</v>
      </c>
      <c r="MH289" t="str">
        <f t="shared" si="966"/>
        <v>24v6</v>
      </c>
      <c r="MO289">
        <f t="shared" si="968"/>
        <v>1</v>
      </c>
      <c r="MP289" s="16">
        <f t="shared" si="968"/>
        <v>2</v>
      </c>
    </row>
    <row r="290" spans="1:548" x14ac:dyDescent="0.25">
      <c r="A290" t="s">
        <v>1905</v>
      </c>
      <c r="B290" t="s">
        <v>1878</v>
      </c>
      <c r="P290" t="s">
        <v>1873</v>
      </c>
      <c r="T290" t="s">
        <v>554</v>
      </c>
      <c r="AC290" t="str">
        <f t="shared" si="965"/>
        <v>A5.19</v>
      </c>
      <c r="AD290" s="43" cm="1">
        <f t="array" ref="AD290">IF(COUNTIFS(AC$2:AC290,AC290)=1,"1",VALUE(SUBSTITUTE(INDEX(AD:AD,_xlfn.XMATCH(AC290,AC$1:AC289,0,-1)),"A",""))+INDEX(AE:AE,_xlfn.XMATCH(AC290,AC$1:AC289,0,-1))+1)</f>
        <v>5</v>
      </c>
      <c r="AE290" s="43" cm="1">
        <f t="array" ref="AE290">SUM(IF(ISNUMBER(FIND("TmDi",$BE$1:$AAD$1)),IF(IFERROR(ISNUMBER(VALUE(SUBSTITUTE($BE290:$AAD290,"B",""))),FALSE),IF(ISNUMBER(VALUE(SUBSTITUTE($BE290:$AAD290,"B",""))),1,0),0)))</f>
        <v>0</v>
      </c>
      <c r="AF290" t="str">
        <f t="shared" si="416"/>
        <v>C5</v>
      </c>
      <c r="AG290" t="str">
        <f t="shared" si="417"/>
        <v>B5</v>
      </c>
      <c r="AP290" t="s">
        <v>137</v>
      </c>
      <c r="AT290" t="s">
        <v>854</v>
      </c>
      <c r="AU290" t="s">
        <v>1399</v>
      </c>
      <c r="LX290" s="27" t="str">
        <f t="shared" si="967"/>
        <v>DI19-C5</v>
      </c>
      <c r="LY290" t="s">
        <v>1891</v>
      </c>
      <c r="LZ290" t="s">
        <v>1892</v>
      </c>
      <c r="MA290">
        <f t="shared" si="966"/>
        <v>11</v>
      </c>
      <c r="MB290">
        <f t="shared" si="966"/>
        <v>14</v>
      </c>
      <c r="MC290" t="str">
        <f t="shared" si="966"/>
        <v>A1</v>
      </c>
      <c r="MD290" t="str">
        <f t="shared" si="966"/>
        <v>A2</v>
      </c>
      <c r="ME290" t="str">
        <f t="shared" si="966"/>
        <v>0v3</v>
      </c>
      <c r="MF290" t="str">
        <f t="shared" si="966"/>
        <v>24v3</v>
      </c>
      <c r="MG290" t="str">
        <f t="shared" si="966"/>
        <v>0v6</v>
      </c>
      <c r="MH290" t="str">
        <f t="shared" si="966"/>
        <v>24v6</v>
      </c>
      <c r="MO290">
        <f t="shared" si="968"/>
        <v>1</v>
      </c>
      <c r="MP290" s="16">
        <f t="shared" si="968"/>
        <v>2</v>
      </c>
    </row>
    <row r="291" spans="1:548" x14ac:dyDescent="0.25">
      <c r="A291" t="s">
        <v>1906</v>
      </c>
      <c r="B291" t="s">
        <v>1879</v>
      </c>
      <c r="P291" t="s">
        <v>1873</v>
      </c>
      <c r="T291" t="s">
        <v>554</v>
      </c>
      <c r="AC291" t="str">
        <f t="shared" si="965"/>
        <v>A5.19</v>
      </c>
      <c r="AD291" s="43" cm="1">
        <f t="array" ref="AD291">IF(COUNTIFS(AC$2:AC291,AC291)=1,"1",VALUE(SUBSTITUTE(INDEX(AD:AD,_xlfn.XMATCH(AC291,AC$1:AC290,0,-1)),"A",""))+INDEX(AE:AE,_xlfn.XMATCH(AC291,AC$1:AC290,0,-1))+1)</f>
        <v>6</v>
      </c>
      <c r="AE291" s="43" cm="1">
        <f t="array" ref="AE291">SUM(IF(ISNUMBER(FIND("TmDi",$BE$1:$AAD$1)),IF(IFERROR(ISNUMBER(VALUE(SUBSTITUTE($BE291:$AAD291,"B",""))),FALSE),IF(ISNUMBER(VALUE(SUBSTITUTE($BE291:$AAD291,"B",""))),1,0),0)))</f>
        <v>0</v>
      </c>
      <c r="AF291" t="str">
        <f t="shared" si="416"/>
        <v>C6</v>
      </c>
      <c r="AG291" t="str">
        <f t="shared" si="417"/>
        <v>B6</v>
      </c>
      <c r="AP291" t="s">
        <v>137</v>
      </c>
      <c r="AT291" t="s">
        <v>854</v>
      </c>
      <c r="AU291" t="s">
        <v>1399</v>
      </c>
      <c r="LX291" s="27" t="str">
        <f t="shared" si="967"/>
        <v>DI19-C6</v>
      </c>
      <c r="LY291" t="s">
        <v>1893</v>
      </c>
      <c r="LZ291" t="s">
        <v>1894</v>
      </c>
      <c r="MA291">
        <f t="shared" si="966"/>
        <v>11</v>
      </c>
      <c r="MB291">
        <f t="shared" si="966"/>
        <v>14</v>
      </c>
      <c r="MC291" t="str">
        <f t="shared" si="966"/>
        <v>A1</v>
      </c>
      <c r="MD291" t="str">
        <f t="shared" si="966"/>
        <v>A2</v>
      </c>
      <c r="ME291" t="str">
        <f t="shared" si="966"/>
        <v>0v3</v>
      </c>
      <c r="MF291" t="str">
        <f t="shared" si="966"/>
        <v>24v3</v>
      </c>
      <c r="MG291" t="str">
        <f t="shared" si="966"/>
        <v>0v6</v>
      </c>
      <c r="MH291" t="str">
        <f t="shared" si="966"/>
        <v>24v6</v>
      </c>
      <c r="MO291">
        <f t="shared" si="968"/>
        <v>1</v>
      </c>
      <c r="MP291" s="16">
        <f t="shared" si="968"/>
        <v>2</v>
      </c>
    </row>
    <row r="292" spans="1:548" x14ac:dyDescent="0.25">
      <c r="A292" t="s">
        <v>1907</v>
      </c>
      <c r="B292" t="s">
        <v>1880</v>
      </c>
      <c r="P292" t="s">
        <v>1873</v>
      </c>
      <c r="T292" t="s">
        <v>554</v>
      </c>
      <c r="AC292" t="str">
        <f t="shared" si="965"/>
        <v>A5.19</v>
      </c>
      <c r="AD292" s="43" cm="1">
        <f t="array" ref="AD292">IF(COUNTIFS(AC$2:AC292,AC292)=1,"1",VALUE(SUBSTITUTE(INDEX(AD:AD,_xlfn.XMATCH(AC292,AC$1:AC291,0,-1)),"A",""))+INDEX(AE:AE,_xlfn.XMATCH(AC292,AC$1:AC291,0,-1))+1)</f>
        <v>7</v>
      </c>
      <c r="AE292" s="43" cm="1">
        <f t="array" ref="AE292">SUM(IF(ISNUMBER(FIND("TmDi",$BE$1:$AAD$1)),IF(IFERROR(ISNUMBER(VALUE(SUBSTITUTE($BE292:$AAD292,"B",""))),FALSE),IF(ISNUMBER(VALUE(SUBSTITUTE($BE292:$AAD292,"B",""))),1,0),0)))</f>
        <v>0</v>
      </c>
      <c r="AF292" t="str">
        <f t="shared" si="416"/>
        <v>C7</v>
      </c>
      <c r="AG292" t="str">
        <f t="shared" si="417"/>
        <v>B7</v>
      </c>
      <c r="AP292" t="s">
        <v>137</v>
      </c>
      <c r="AT292" t="s">
        <v>854</v>
      </c>
      <c r="AU292" t="s">
        <v>1399</v>
      </c>
      <c r="LX292" s="27" t="str">
        <f t="shared" si="967"/>
        <v>DI19-C7</v>
      </c>
      <c r="LY292" t="s">
        <v>1895</v>
      </c>
      <c r="LZ292" t="s">
        <v>1896</v>
      </c>
      <c r="MA292">
        <f t="shared" si="966"/>
        <v>11</v>
      </c>
      <c r="MB292">
        <f t="shared" si="966"/>
        <v>14</v>
      </c>
      <c r="MC292" t="str">
        <f t="shared" si="966"/>
        <v>A1</v>
      </c>
      <c r="MD292" t="str">
        <f t="shared" si="966"/>
        <v>A2</v>
      </c>
      <c r="ME292" t="str">
        <f t="shared" si="966"/>
        <v>0v3</v>
      </c>
      <c r="MF292" t="str">
        <f t="shared" si="966"/>
        <v>24v3</v>
      </c>
      <c r="MG292" t="str">
        <f t="shared" si="966"/>
        <v>0v6</v>
      </c>
      <c r="MH292" t="str">
        <f t="shared" si="966"/>
        <v>24v6</v>
      </c>
      <c r="MO292">
        <f t="shared" si="968"/>
        <v>1</v>
      </c>
      <c r="MP292" s="16">
        <f t="shared" si="968"/>
        <v>2</v>
      </c>
    </row>
    <row r="293" spans="1:548" x14ac:dyDescent="0.25">
      <c r="A293" t="s">
        <v>1908</v>
      </c>
      <c r="B293" t="s">
        <v>1881</v>
      </c>
      <c r="P293" t="s">
        <v>1873</v>
      </c>
      <c r="T293" t="s">
        <v>554</v>
      </c>
      <c r="AC293" t="str">
        <f t="shared" si="965"/>
        <v>A5.19</v>
      </c>
      <c r="AD293" s="43" cm="1">
        <f t="array" ref="AD293">IF(COUNTIFS(AC$2:AC293,AC293)=1,"1",VALUE(SUBSTITUTE(INDEX(AD:AD,_xlfn.XMATCH(AC293,AC$1:AC292,0,-1)),"A",""))+INDEX(AE:AE,_xlfn.XMATCH(AC293,AC$1:AC292,0,-1))+1)</f>
        <v>8</v>
      </c>
      <c r="AE293" s="43" cm="1">
        <f t="array" ref="AE293">SUM(IF(ISNUMBER(FIND("TmDi",$BE$1:$AAD$1)),IF(IFERROR(ISNUMBER(VALUE(SUBSTITUTE($BE293:$AAD293,"B",""))),FALSE),IF(ISNUMBER(VALUE(SUBSTITUTE($BE293:$AAD293,"B",""))),1,0),0)))</f>
        <v>0</v>
      </c>
      <c r="AF293" t="str">
        <f t="shared" si="416"/>
        <v>C8</v>
      </c>
      <c r="AG293" t="str">
        <f t="shared" si="417"/>
        <v>B8</v>
      </c>
      <c r="AP293" t="s">
        <v>137</v>
      </c>
      <c r="AT293" t="s">
        <v>854</v>
      </c>
      <c r="AU293" t="s">
        <v>1399</v>
      </c>
      <c r="LX293" s="27" t="str">
        <f t="shared" si="967"/>
        <v>DI19-C8</v>
      </c>
      <c r="LY293" t="s">
        <v>1897</v>
      </c>
      <c r="LZ293" t="s">
        <v>1898</v>
      </c>
      <c r="MA293">
        <f t="shared" si="966"/>
        <v>11</v>
      </c>
      <c r="MB293">
        <f t="shared" si="966"/>
        <v>14</v>
      </c>
      <c r="MC293" t="str">
        <f t="shared" si="966"/>
        <v>A1</v>
      </c>
      <c r="MD293" t="str">
        <f t="shared" si="966"/>
        <v>A2</v>
      </c>
      <c r="ME293" t="str">
        <f t="shared" si="966"/>
        <v>0v3</v>
      </c>
      <c r="MF293" t="str">
        <f t="shared" si="966"/>
        <v>24v3</v>
      </c>
      <c r="MG293" t="str">
        <f t="shared" si="966"/>
        <v>0v6</v>
      </c>
      <c r="MH293" t="str">
        <f t="shared" si="966"/>
        <v>24v6</v>
      </c>
      <c r="MO293">
        <f t="shared" si="968"/>
        <v>1</v>
      </c>
      <c r="MP293" s="16">
        <f t="shared" si="968"/>
        <v>2</v>
      </c>
    </row>
    <row r="294" spans="1:548" x14ac:dyDescent="0.25">
      <c r="A294" t="s">
        <v>1909</v>
      </c>
      <c r="B294" t="s">
        <v>1882</v>
      </c>
      <c r="P294" t="s">
        <v>1873</v>
      </c>
      <c r="T294" t="s">
        <v>554</v>
      </c>
      <c r="AC294" t="str">
        <f t="shared" si="965"/>
        <v>A5.19</v>
      </c>
      <c r="AD294" s="43" cm="1">
        <f t="array" ref="AD294">IF(COUNTIFS(AC$2:AC294,AC294)=1,"1",VALUE(SUBSTITUTE(INDEX(AD:AD,_xlfn.XMATCH(AC294,AC$1:AC293,0,-1)),"A",""))+INDEX(AE:AE,_xlfn.XMATCH(AC294,AC$1:AC293,0,-1))+1)</f>
        <v>9</v>
      </c>
      <c r="AE294" s="43" cm="1">
        <f t="array" ref="AE294">SUM(IF(ISNUMBER(FIND("TmDi",$BE$1:$AAD$1)),IF(IFERROR(ISNUMBER(VALUE(SUBSTITUTE($BE294:$AAD294,"B",""))),FALSE),IF(ISNUMBER(VALUE(SUBSTITUTE($BE294:$AAD294,"B",""))),1,0),0)))</f>
        <v>0</v>
      </c>
      <c r="AF294" t="str">
        <f t="shared" si="416"/>
        <v>C9</v>
      </c>
      <c r="AG294" t="str">
        <f t="shared" si="417"/>
        <v>B9</v>
      </c>
      <c r="AP294" t="s">
        <v>137</v>
      </c>
      <c r="AT294" t="s">
        <v>854</v>
      </c>
      <c r="AU294" t="s">
        <v>1399</v>
      </c>
      <c r="LX294" s="27" t="str">
        <f t="shared" si="967"/>
        <v>DI19-C9</v>
      </c>
      <c r="LY294" t="s">
        <v>1899</v>
      </c>
      <c r="LZ294" t="s">
        <v>1900</v>
      </c>
      <c r="MA294">
        <f t="shared" si="966"/>
        <v>11</v>
      </c>
      <c r="MB294">
        <f t="shared" si="966"/>
        <v>14</v>
      </c>
      <c r="MC294" t="str">
        <f t="shared" si="966"/>
        <v>A1</v>
      </c>
      <c r="MD294" t="str">
        <f t="shared" si="966"/>
        <v>A2</v>
      </c>
      <c r="ME294" t="str">
        <f t="shared" si="966"/>
        <v>0v3</v>
      </c>
      <c r="MF294" t="str">
        <f t="shared" si="966"/>
        <v>24v3</v>
      </c>
      <c r="MG294" t="str">
        <f t="shared" si="966"/>
        <v>0v6</v>
      </c>
      <c r="MH294" t="str">
        <f t="shared" si="966"/>
        <v>24v6</v>
      </c>
      <c r="MO294">
        <f t="shared" si="968"/>
        <v>1</v>
      </c>
      <c r="MP294" s="16">
        <f t="shared" si="968"/>
        <v>2</v>
      </c>
    </row>
    <row r="295" spans="1:548" ht="30" x14ac:dyDescent="0.25">
      <c r="A295" t="s">
        <v>1925</v>
      </c>
      <c r="B295" t="s">
        <v>1933</v>
      </c>
      <c r="P295" t="s">
        <v>1942</v>
      </c>
      <c r="T295" t="s">
        <v>554</v>
      </c>
      <c r="U295">
        <v>107</v>
      </c>
      <c r="V295" t="str">
        <f>A295</f>
        <v>К-F0-БВД10</v>
      </c>
      <c r="AP295" t="s">
        <v>137</v>
      </c>
      <c r="AQ295" t="s">
        <v>1005</v>
      </c>
      <c r="TQ295" s="29" t="s">
        <v>1950</v>
      </c>
      <c r="TR295" t="s">
        <v>1951</v>
      </c>
      <c r="TS295" t="s">
        <v>1952</v>
      </c>
      <c r="TT295" t="s">
        <v>1953</v>
      </c>
      <c r="TU295" t="s">
        <v>1954</v>
      </c>
      <c r="TV295" t="s">
        <v>1955</v>
      </c>
      <c r="TW295" t="s">
        <v>1956</v>
      </c>
      <c r="TX295" t="s">
        <v>1957</v>
      </c>
      <c r="TY295" t="str">
        <f>CONCATENATE("XT",$U295)</f>
        <v>XT107</v>
      </c>
      <c r="TZ295">
        <v>1</v>
      </c>
      <c r="UA295">
        <f>TZ295+1</f>
        <v>2</v>
      </c>
      <c r="UB295">
        <f>UA295+1</f>
        <v>3</v>
      </c>
    </row>
    <row r="296" spans="1:548" ht="30" x14ac:dyDescent="0.25">
      <c r="A296" t="s">
        <v>1927</v>
      </c>
      <c r="B296" t="s">
        <v>1934</v>
      </c>
      <c r="P296" t="s">
        <v>1942</v>
      </c>
      <c r="T296" t="s">
        <v>554</v>
      </c>
      <c r="U296">
        <v>107</v>
      </c>
      <c r="V296" t="str">
        <f t="shared" ref="V296:V303" si="969">A296</f>
        <v>К-F0-K4.1</v>
      </c>
      <c r="AQ296" t="s">
        <v>1248</v>
      </c>
      <c r="TQ296" s="29" t="s">
        <v>1961</v>
      </c>
      <c r="TR296" t="s">
        <v>1951</v>
      </c>
      <c r="TS296" t="s">
        <v>1952</v>
      </c>
      <c r="TT296" t="s">
        <v>1953</v>
      </c>
      <c r="TU296" t="s">
        <v>1954</v>
      </c>
      <c r="TV296" t="s">
        <v>1958</v>
      </c>
      <c r="TW296" t="s">
        <v>1959</v>
      </c>
      <c r="TX296" t="s">
        <v>1960</v>
      </c>
      <c r="TY296" t="str">
        <f t="shared" ref="TY296:TY303" si="970">CONCATENATE("XT",$U296)</f>
        <v>XT107</v>
      </c>
      <c r="TZ296">
        <f>TZ295+3</f>
        <v>4</v>
      </c>
      <c r="UA296">
        <f>TZ296+1</f>
        <v>5</v>
      </c>
      <c r="UB296">
        <f>UA296+1</f>
        <v>6</v>
      </c>
    </row>
    <row r="297" spans="1:548" ht="30" x14ac:dyDescent="0.25">
      <c r="A297" t="s">
        <v>1928</v>
      </c>
      <c r="B297" t="s">
        <v>1935</v>
      </c>
      <c r="P297" t="s">
        <v>1942</v>
      </c>
      <c r="T297" t="s">
        <v>554</v>
      </c>
      <c r="U297">
        <v>107</v>
      </c>
      <c r="V297" t="str">
        <f t="shared" si="969"/>
        <v>К-F0-K5.1</v>
      </c>
      <c r="AQ297" t="s">
        <v>1258</v>
      </c>
      <c r="TQ297" s="29" t="s">
        <v>1962</v>
      </c>
      <c r="TR297" t="s">
        <v>1951</v>
      </c>
      <c r="TS297" t="s">
        <v>1952</v>
      </c>
      <c r="TT297" t="s">
        <v>1953</v>
      </c>
      <c r="TU297" t="s">
        <v>1954</v>
      </c>
      <c r="TV297" t="s">
        <v>1964</v>
      </c>
      <c r="TW297" t="s">
        <v>1966</v>
      </c>
      <c r="TX297" t="s">
        <v>1968</v>
      </c>
      <c r="TY297" t="str">
        <f t="shared" si="970"/>
        <v>XT107</v>
      </c>
      <c r="TZ297">
        <f t="shared" ref="TZ297:TZ299" si="971">TZ296+3</f>
        <v>7</v>
      </c>
      <c r="UA297">
        <f t="shared" ref="UA297:UB298" si="972">TZ297+1</f>
        <v>8</v>
      </c>
      <c r="UB297">
        <f t="shared" si="972"/>
        <v>9</v>
      </c>
    </row>
    <row r="298" spans="1:548" ht="30" x14ac:dyDescent="0.25">
      <c r="A298" t="s">
        <v>1929</v>
      </c>
      <c r="B298" t="s">
        <v>1936</v>
      </c>
      <c r="P298" t="s">
        <v>1942</v>
      </c>
      <c r="T298" t="s">
        <v>554</v>
      </c>
      <c r="U298">
        <v>107</v>
      </c>
      <c r="V298" t="str">
        <f t="shared" si="969"/>
        <v>К-F0-K6.1</v>
      </c>
      <c r="AQ298" t="s">
        <v>1269</v>
      </c>
      <c r="TQ298" s="29" t="s">
        <v>1963</v>
      </c>
      <c r="TR298" t="s">
        <v>1951</v>
      </c>
      <c r="TS298" t="s">
        <v>1952</v>
      </c>
      <c r="TT298" t="s">
        <v>1953</v>
      </c>
      <c r="TU298" t="s">
        <v>1954</v>
      </c>
      <c r="TV298" t="s">
        <v>1965</v>
      </c>
      <c r="TW298" t="s">
        <v>1967</v>
      </c>
      <c r="TX298" t="s">
        <v>1969</v>
      </c>
      <c r="TY298" t="str">
        <f t="shared" si="970"/>
        <v>XT107</v>
      </c>
      <c r="TZ298">
        <f t="shared" si="971"/>
        <v>10</v>
      </c>
      <c r="UA298">
        <f t="shared" si="972"/>
        <v>11</v>
      </c>
      <c r="UB298">
        <f t="shared" si="972"/>
        <v>12</v>
      </c>
    </row>
    <row r="299" spans="1:548" ht="30" x14ac:dyDescent="0.25">
      <c r="A299" t="s">
        <v>1930</v>
      </c>
      <c r="B299" t="s">
        <v>1937</v>
      </c>
      <c r="P299" t="s">
        <v>1942</v>
      </c>
      <c r="T299" t="s">
        <v>554</v>
      </c>
      <c r="U299">
        <v>107</v>
      </c>
      <c r="V299" t="str">
        <f t="shared" si="969"/>
        <v>К-F0-K10.5.1</v>
      </c>
      <c r="AQ299" t="s">
        <v>1289</v>
      </c>
      <c r="TQ299" s="29" t="s">
        <v>1970</v>
      </c>
      <c r="TR299" t="s">
        <v>1951</v>
      </c>
      <c r="TS299" t="s">
        <v>1952</v>
      </c>
      <c r="TT299" t="s">
        <v>1953</v>
      </c>
      <c r="TU299" t="s">
        <v>1954</v>
      </c>
      <c r="TV299" t="s">
        <v>1955</v>
      </c>
      <c r="TW299" t="s">
        <v>1956</v>
      </c>
      <c r="TX299" t="s">
        <v>1957</v>
      </c>
      <c r="TY299" t="str">
        <f>CONCATENATE("XT",$U299)</f>
        <v>XT107</v>
      </c>
      <c r="TZ299">
        <f t="shared" si="971"/>
        <v>13</v>
      </c>
      <c r="UA299">
        <f>TZ299+1</f>
        <v>14</v>
      </c>
      <c r="UB299">
        <f>UA299+1</f>
        <v>15</v>
      </c>
    </row>
    <row r="300" spans="1:548" ht="30" x14ac:dyDescent="0.25">
      <c r="A300" t="s">
        <v>1931</v>
      </c>
      <c r="B300" t="s">
        <v>1938</v>
      </c>
      <c r="P300" t="s">
        <v>1942</v>
      </c>
      <c r="T300" t="s">
        <v>554</v>
      </c>
      <c r="U300">
        <v>107</v>
      </c>
      <c r="V300" t="str">
        <f t="shared" si="969"/>
        <v>К-F0-К23.1</v>
      </c>
      <c r="AQ300" t="s">
        <v>1300</v>
      </c>
      <c r="TQ300" s="29" t="s">
        <v>1971</v>
      </c>
      <c r="TR300" t="s">
        <v>1951</v>
      </c>
      <c r="TS300" t="s">
        <v>1952</v>
      </c>
      <c r="TT300" t="s">
        <v>1953</v>
      </c>
      <c r="TU300" t="s">
        <v>1954</v>
      </c>
      <c r="TV300" t="s">
        <v>1958</v>
      </c>
      <c r="TW300" t="s">
        <v>1959</v>
      </c>
      <c r="TX300" t="s">
        <v>1960</v>
      </c>
      <c r="TY300" t="str">
        <f t="shared" si="970"/>
        <v>XT107</v>
      </c>
      <c r="TZ300">
        <f>TZ299+3</f>
        <v>16</v>
      </c>
      <c r="UA300">
        <f>TZ300+1</f>
        <v>17</v>
      </c>
      <c r="UB300">
        <f>UA300+1</f>
        <v>18</v>
      </c>
    </row>
    <row r="301" spans="1:548" ht="30" x14ac:dyDescent="0.25">
      <c r="A301" t="s">
        <v>1932</v>
      </c>
      <c r="B301" t="s">
        <v>1939</v>
      </c>
      <c r="P301" t="s">
        <v>1942</v>
      </c>
      <c r="T301" t="s">
        <v>554</v>
      </c>
      <c r="U301">
        <v>107</v>
      </c>
      <c r="V301" t="str">
        <f t="shared" si="969"/>
        <v>К-F0-НКП1</v>
      </c>
      <c r="AQ301" t="s">
        <v>1302</v>
      </c>
      <c r="TQ301" s="29" t="s">
        <v>1972</v>
      </c>
      <c r="TR301" t="s">
        <v>1951</v>
      </c>
      <c r="TS301" t="s">
        <v>1952</v>
      </c>
      <c r="TT301" t="s">
        <v>1953</v>
      </c>
      <c r="TU301" t="s">
        <v>1954</v>
      </c>
      <c r="TV301" t="s">
        <v>1964</v>
      </c>
      <c r="TW301" t="s">
        <v>1966</v>
      </c>
      <c r="TX301" t="s">
        <v>1968</v>
      </c>
      <c r="TY301" t="str">
        <f t="shared" si="970"/>
        <v>XT107</v>
      </c>
      <c r="TZ301">
        <f t="shared" ref="TZ301:TZ303" si="973">TZ300+3</f>
        <v>19</v>
      </c>
      <c r="UA301">
        <f t="shared" ref="UA301:UB303" si="974">TZ301+1</f>
        <v>20</v>
      </c>
      <c r="UB301">
        <f t="shared" si="974"/>
        <v>21</v>
      </c>
    </row>
    <row r="302" spans="1:548" ht="30" x14ac:dyDescent="0.25">
      <c r="A302" t="s">
        <v>1926</v>
      </c>
      <c r="B302" t="s">
        <v>1940</v>
      </c>
      <c r="P302" t="s">
        <v>1942</v>
      </c>
      <c r="T302" t="s">
        <v>554</v>
      </c>
      <c r="U302">
        <v>107</v>
      </c>
      <c r="V302" t="str">
        <f t="shared" si="969"/>
        <v>К-F0-К12</v>
      </c>
      <c r="AQ302" t="s">
        <v>1400</v>
      </c>
      <c r="TQ302" s="29" t="s">
        <v>1973</v>
      </c>
      <c r="TR302" t="s">
        <v>1951</v>
      </c>
      <c r="TS302" t="s">
        <v>1952</v>
      </c>
      <c r="TT302" t="s">
        <v>1953</v>
      </c>
      <c r="TU302" t="s">
        <v>1954</v>
      </c>
      <c r="TV302" t="s">
        <v>1965</v>
      </c>
      <c r="TW302" t="s">
        <v>1967</v>
      </c>
      <c r="TX302" t="s">
        <v>1969</v>
      </c>
      <c r="TY302" t="str">
        <f t="shared" si="970"/>
        <v>XT107</v>
      </c>
      <c r="TZ302">
        <f t="shared" si="973"/>
        <v>22</v>
      </c>
      <c r="UA302">
        <f t="shared" si="974"/>
        <v>23</v>
      </c>
      <c r="UB302">
        <f t="shared" si="974"/>
        <v>24</v>
      </c>
    </row>
    <row r="303" spans="1:548" s="19" customFormat="1" ht="30.75" thickBot="1" x14ac:dyDescent="0.3">
      <c r="A303" s="19" t="s">
        <v>1924</v>
      </c>
      <c r="B303" s="19" t="s">
        <v>1941</v>
      </c>
      <c r="P303" s="19" t="s">
        <v>1942</v>
      </c>
      <c r="T303" s="19" t="s">
        <v>554</v>
      </c>
      <c r="U303" s="19">
        <v>107</v>
      </c>
      <c r="V303" s="19" t="str">
        <f t="shared" si="969"/>
        <v>К-F0-УУГ1</v>
      </c>
      <c r="AQ303" s="19" t="s">
        <v>1778</v>
      </c>
      <c r="TQ303" s="56" t="s">
        <v>1974</v>
      </c>
      <c r="TR303" s="19" t="s">
        <v>1951</v>
      </c>
      <c r="TS303" s="19" t="s">
        <v>1952</v>
      </c>
      <c r="TT303" s="19" t="s">
        <v>1953</v>
      </c>
      <c r="TU303" s="19" t="s">
        <v>1954</v>
      </c>
      <c r="TV303" s="19" t="s">
        <v>1975</v>
      </c>
      <c r="TW303" s="19" t="s">
        <v>1976</v>
      </c>
      <c r="TX303" s="19" t="s">
        <v>1977</v>
      </c>
      <c r="TY303" s="19" t="str">
        <f t="shared" si="970"/>
        <v>XT107</v>
      </c>
      <c r="TZ303" s="19">
        <f t="shared" si="973"/>
        <v>25</v>
      </c>
      <c r="UA303" s="19">
        <f t="shared" si="974"/>
        <v>26</v>
      </c>
      <c r="UB303" s="19">
        <f t="shared" si="974"/>
        <v>27</v>
      </c>
    </row>
    <row r="304" spans="1:548" x14ac:dyDescent="0.25">
      <c r="A304" t="s">
        <v>1985</v>
      </c>
      <c r="B304" t="s">
        <v>1983</v>
      </c>
      <c r="C304" t="s">
        <v>498</v>
      </c>
      <c r="P304" t="s">
        <v>482</v>
      </c>
      <c r="T304" s="14" t="s">
        <v>1987</v>
      </c>
      <c r="U304">
        <v>1</v>
      </c>
      <c r="V304" t="s">
        <v>1988</v>
      </c>
      <c r="X304" t="s">
        <v>400</v>
      </c>
      <c r="Y304" s="43" t="str" cm="1">
        <f t="array" ref="Y304">IF(COUNTIFS($X$303:$X304,$X304)=1,"1",VALUE(SUBSTITUTE(INDEX(Y:Y,_xlfn.XMATCH($X304,$X$1:$X303,0,-1)),"A",""))+INDEX(Z:Z,_xlfn.XMATCH($X304,$X$1:$X303,0,-1))+1)</f>
        <v>1</v>
      </c>
      <c r="Z304" s="43" cm="1">
        <f t="array" ref="Z304">SUM(IF(ISNUMBER(FIND("TmAi",$BE$1:$AAD$1)),IF(IFERROR(ISODD(SUBSTITUTE($BE304:$AAD304,"A","")),FALSE),IF(ISODD(SUBSTITUTE($BE304:$AAD304,"A","")),1,0),0)))</f>
        <v>0</v>
      </c>
      <c r="AA304" t="str">
        <f t="shared" ref="AA304:AA305" si="975">CONCATENATE($Y304*2-1,"B")</f>
        <v>1B</v>
      </c>
      <c r="AB304" t="str">
        <f t="shared" ref="AB304:AB305" si="976">CONCATENATE($Y304*2,"B")</f>
        <v>2B</v>
      </c>
      <c r="AP304" t="s">
        <v>1990</v>
      </c>
      <c r="AS304" t="s">
        <v>396</v>
      </c>
      <c r="JZ304" s="27" t="str">
        <f t="shared" ref="JZ304:JZ305" si="977">CONCATENATE("XT",U304)</f>
        <v>XT1</v>
      </c>
      <c r="KC304" t="str">
        <f t="shared" ref="KC304:KC305" si="978">CONCATENATE(T304,"-AI",REPLACE($X304,1,3,""),"-",AA304)</f>
        <v>E1-AI1-1B</v>
      </c>
      <c r="KD304" t="str">
        <f t="shared" ref="KD304:KD305" si="979">CONCATENATE(T304,"-AI",REPLACE($X304,1,3,""),"-",AB304)</f>
        <v>E1-AI1-2B</v>
      </c>
      <c r="KI304">
        <v>1</v>
      </c>
      <c r="KJ304">
        <f t="shared" ref="KJ304:KK305" si="980">KI304+1</f>
        <v>2</v>
      </c>
      <c r="KK304">
        <f t="shared" si="980"/>
        <v>3</v>
      </c>
      <c r="KN304">
        <v>1</v>
      </c>
      <c r="KO304" s="16">
        <v>2</v>
      </c>
      <c r="KS304" s="16"/>
    </row>
    <row r="305" spans="1:305" x14ac:dyDescent="0.25">
      <c r="A305" t="s">
        <v>1986</v>
      </c>
      <c r="B305" t="s">
        <v>1984</v>
      </c>
      <c r="C305" t="s">
        <v>498</v>
      </c>
      <c r="P305" t="s">
        <v>482</v>
      </c>
      <c r="T305" s="14" t="s">
        <v>1987</v>
      </c>
      <c r="U305">
        <v>1</v>
      </c>
      <c r="V305" t="s">
        <v>1989</v>
      </c>
      <c r="X305" t="str">
        <f>IF(COUNTIF(X$304:X304,X304)&gt;7,REPLACE(X304,LEN(X304),1,VALUE(RIGHT(X304,1))+1),X304)</f>
        <v>A3.1</v>
      </c>
      <c r="Y305" s="43" cm="1">
        <f t="array" ref="Y305">IF(COUNTIFS($X$303:$X305,$X305)=1,"1",VALUE(SUBSTITUTE(INDEX(Y:Y,_xlfn.XMATCH($X305,$X$1:$X304,0,-1)),"A",""))+INDEX(Z:Z,_xlfn.XMATCH($X305,$X$1:$X304,0,-1))+1)</f>
        <v>2</v>
      </c>
      <c r="Z305" s="43" cm="1">
        <f t="array" ref="Z305">SUM(IF(ISNUMBER(FIND("TmAi",$BE$1:$AAD$1)),IF(IFERROR(ISODD(SUBSTITUTE($BE305:$AAD305,"A","")),FALSE),IF(ISODD(SUBSTITUTE($BE305:$AAD305,"A","")),1,0),0)))</f>
        <v>0</v>
      </c>
      <c r="AA305" t="str">
        <f t="shared" si="975"/>
        <v>3B</v>
      </c>
      <c r="AB305" t="str">
        <f t="shared" si="976"/>
        <v>4B</v>
      </c>
      <c r="AP305" t="s">
        <v>1990</v>
      </c>
      <c r="AS305" t="s">
        <v>396</v>
      </c>
      <c r="JZ305" s="27" t="str">
        <f t="shared" si="977"/>
        <v>XT1</v>
      </c>
      <c r="KC305" t="str">
        <f t="shared" si="978"/>
        <v>E1-AI1-3B</v>
      </c>
      <c r="KD305" t="str">
        <f t="shared" si="979"/>
        <v>E1-AI1-4B</v>
      </c>
      <c r="KI305" cm="1">
        <f t="array" ref="KI305">IF(COUNTIFS($U$2:$U305,$U305)=1,1,INDEX(KI:KI,_xlfn.XMATCH(U305,U$1:U304,0,-1))+COUNT(KI304:KM304))</f>
        <v>4</v>
      </c>
      <c r="KJ305">
        <f t="shared" si="980"/>
        <v>5</v>
      </c>
      <c r="KK305">
        <f t="shared" si="980"/>
        <v>6</v>
      </c>
      <c r="KN305">
        <v>1</v>
      </c>
      <c r="KO305" s="16">
        <v>2</v>
      </c>
      <c r="KS305" s="16"/>
    </row>
    <row r="306" spans="1:305" x14ac:dyDescent="0.25">
      <c r="A306" s="55" t="s">
        <v>1992</v>
      </c>
      <c r="B306" t="s">
        <v>1991</v>
      </c>
      <c r="C306" t="s">
        <v>1993</v>
      </c>
      <c r="P306" t="s">
        <v>1994</v>
      </c>
      <c r="T306" t="s">
        <v>1987</v>
      </c>
    </row>
  </sheetData>
  <autoFilter ref="P1:P294" xr:uid="{00000000-0001-0000-0000-000000000000}"/>
  <conditionalFormatting sqref="A1:A32">
    <cfRule type="duplicateValues" dxfId="15" priority="11"/>
  </conditionalFormatting>
  <conditionalFormatting sqref="A221:A224 A1:A32 A226:A227 A283:A305 A307:A1048576">
    <cfRule type="duplicateValues" dxfId="14" priority="10"/>
  </conditionalFormatting>
  <conditionalFormatting sqref="A283:A285">
    <cfRule type="duplicateValues" dxfId="13" priority="1"/>
  </conditionalFormatting>
  <conditionalFormatting sqref="B1:B56 B221:B229 B267:B303 B307:B1048576">
    <cfRule type="duplicateValues" dxfId="12" priority="9"/>
  </conditionalFormatting>
  <conditionalFormatting sqref="V187 V192 V197 V202 V221:V222 V1:V182 W34 W43:W55 W183:W220 W223:W229 V225:V266 V267:W267 V268 V269:W269 V271:W271 V273:W273 V275:W275 V277:W277 V279:W279 V281:W281 V270 V272 V274 V276 V278 V280 V282:V1048576">
    <cfRule type="duplicateValues" dxfId="11" priority="8"/>
  </conditionalFormatting>
  <conditionalFormatting sqref="V1:W230 V231 V232:W1048576">
    <cfRule type="duplicateValues" dxfId="10" priority="6"/>
  </conditionalFormatting>
  <conditionalFormatting sqref="Y1:Y1048576">
    <cfRule type="cellIs" dxfId="9" priority="7" operator="equal">
      <formula>"Y:Y+Z:Z&gt;8"</formula>
    </cfRule>
  </conditionalFormatting>
  <conditionalFormatting sqref="AD1">
    <cfRule type="cellIs" dxfId="8" priority="5" operator="equal">
      <formula>"Y:Y+Z:Z&gt;8"</formula>
    </cfRule>
  </conditionalFormatting>
  <conditionalFormatting sqref="AD267:AD294">
    <cfRule type="cellIs" dxfId="7" priority="4" operator="equal">
      <formula>"Y:Y+Z:Z&gt;8"</formula>
    </cfRule>
  </conditionalFormatting>
  <conditionalFormatting sqref="AI1">
    <cfRule type="cellIs" dxfId="6" priority="2" operator="equal">
      <formula>"Y:Y+Z:Z&gt;8"</formula>
    </cfRule>
  </conditionalFormatting>
  <conditionalFormatting sqref="AI267:AI285">
    <cfRule type="cellIs" dxfId="5" priority="3" operator="equal">
      <formula>"Y:Y+Z:Z&gt;8"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36D90-9282-4903-9EEE-89CA04971697}">
  <dimension ref="A1:TL234"/>
  <sheetViews>
    <sheetView zoomScale="70" zoomScaleNormal="70" workbookViewId="0">
      <pane ySplit="1" topLeftCell="A172" activePane="bottomLeft" state="frozen"/>
      <selection pane="bottomLeft" activeCell="A198" sqref="A198:XFD198"/>
    </sheetView>
  </sheetViews>
  <sheetFormatPr defaultRowHeight="15" x14ac:dyDescent="0.25"/>
  <cols>
    <col min="1" max="1" width="14.85546875" bestFit="1" customWidth="1"/>
    <col min="2" max="2" width="90.28515625" bestFit="1" customWidth="1"/>
    <col min="3" max="3" width="19.140625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3" width="10.140625" customWidth="1"/>
    <col min="24" max="24" width="5.85546875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6.28515625" customWidth="1"/>
    <col min="30" max="30" width="7.28515625" customWidth="1"/>
    <col min="31" max="31" width="7.7109375" customWidth="1"/>
    <col min="32" max="32" width="6.42578125" customWidth="1"/>
    <col min="33" max="33" width="7.85546875" customWidth="1"/>
    <col min="34" max="34" width="8.28515625" customWidth="1"/>
    <col min="35" max="35" width="5.42578125" customWidth="1"/>
    <col min="36" max="37" width="6.42578125" customWidth="1"/>
    <col min="38" max="38" width="24.5703125" customWidth="1"/>
    <col min="39" max="39" width="52.28515625" customWidth="1"/>
    <col min="40" max="40" width="40.42578125" customWidth="1"/>
    <col min="41" max="41" width="12.140625" customWidth="1"/>
    <col min="42" max="42" width="26.42578125" customWidth="1"/>
    <col min="43" max="43" width="26.5703125" customWidth="1"/>
    <col min="44" max="44" width="3.140625" customWidth="1"/>
    <col min="45" max="45" width="4.28515625" customWidth="1"/>
    <col min="46" max="46" width="3.85546875" customWidth="1"/>
    <col min="47" max="47" width="5" customWidth="1"/>
    <col min="48" max="48" width="6" customWidth="1"/>
    <col min="49" max="49" width="5.7109375" customWidth="1"/>
    <col min="50" max="50" width="5.28515625" customWidth="1"/>
    <col min="51" max="51" width="6.28515625" customWidth="1"/>
    <col min="52" max="52" width="7.7109375" bestFit="1" customWidth="1"/>
    <col min="53" max="53" width="5.28515625" customWidth="1"/>
    <col min="54" max="54" width="7.28515625" customWidth="1"/>
    <col min="55" max="55" width="7.7109375" customWidth="1"/>
    <col min="56" max="56" width="7.28515625" customWidth="1"/>
    <col min="57" max="57" width="7.7109375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85546875" customWidth="1"/>
    <col min="65" max="65" width="8.28515625" customWidth="1"/>
    <col min="66" max="66" width="7.85546875" customWidth="1"/>
    <col min="67" max="67" width="8.28515625" customWidth="1"/>
    <col min="68" max="68" width="8.42578125" customWidth="1"/>
    <col min="69" max="69" width="8.7109375" customWidth="1"/>
    <col min="70" max="70" width="8.42578125" customWidth="1"/>
    <col min="71" max="71" width="8.710937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9" customWidth="1"/>
    <col min="81" max="81" width="9.28515625" customWidth="1"/>
    <col min="82" max="82" width="9" customWidth="1"/>
    <col min="83" max="83" width="9.28515625" customWidth="1"/>
    <col min="84" max="84" width="9" customWidth="1"/>
    <col min="85" max="85" width="9.28515625" customWidth="1"/>
    <col min="86" max="94" width="7.140625" customWidth="1"/>
    <col min="95" max="98" width="9.7109375" customWidth="1"/>
    <col min="99" max="99" width="10.7109375" customWidth="1"/>
    <col min="100" max="100" width="8.7109375" customWidth="1"/>
    <col min="101" max="101" width="11.7109375" customWidth="1"/>
    <col min="102" max="102" width="12.42578125" customWidth="1"/>
    <col min="103" max="104" width="9.7109375" customWidth="1"/>
    <col min="105" max="108" width="10.7109375" customWidth="1"/>
    <col min="109" max="110" width="3.5703125" customWidth="1"/>
    <col min="111" max="113" width="3.42578125" customWidth="1"/>
    <col min="114" max="114" width="4.42578125" customWidth="1"/>
    <col min="115" max="115" width="4.7109375" customWidth="1"/>
    <col min="116" max="124" width="5.28515625" customWidth="1"/>
    <col min="125" max="129" width="6.28515625" customWidth="1"/>
    <col min="130" max="138" width="5.42578125" customWidth="1"/>
    <col min="139" max="143" width="6.42578125" customWidth="1"/>
    <col min="144" max="165" width="9.140625" customWidth="1"/>
    <col min="166" max="167" width="10.7109375" bestFit="1" customWidth="1"/>
    <col min="168" max="169" width="9.5703125" bestFit="1" customWidth="1"/>
    <col min="170" max="171" width="10.5703125" bestFit="1" customWidth="1"/>
    <col min="172" max="172" width="12.85546875" bestFit="1" customWidth="1"/>
    <col min="173" max="173" width="13.42578125" bestFit="1" customWidth="1"/>
    <col min="174" max="175" width="3.5703125" bestFit="1" customWidth="1"/>
    <col min="176" max="177" width="3.42578125" bestFit="1" customWidth="1"/>
    <col min="178" max="178" width="4" bestFit="1" customWidth="1"/>
    <col min="179" max="179" width="4.42578125" bestFit="1" customWidth="1"/>
    <col min="180" max="193" width="5.28515625" bestFit="1" customWidth="1"/>
    <col min="194" max="197" width="6.42578125" bestFit="1" customWidth="1"/>
    <col min="198" max="236" width="9.140625" customWidth="1"/>
    <col min="237" max="245" width="14.42578125" customWidth="1"/>
    <col min="246" max="246" width="11.7109375" customWidth="1"/>
    <col min="247" max="247" width="12.42578125" customWidth="1"/>
    <col min="248" max="284" width="9.140625" customWidth="1"/>
    <col min="285" max="285" width="11.7109375" bestFit="1" customWidth="1"/>
    <col min="286" max="286" width="11.5703125" bestFit="1" customWidth="1"/>
    <col min="287" max="287" width="11.7109375" bestFit="1" customWidth="1"/>
    <col min="288" max="288" width="11.5703125" bestFit="1" customWidth="1"/>
    <col min="289" max="290" width="11.5703125" customWidth="1"/>
    <col min="291" max="295" width="5.140625" customWidth="1"/>
    <col min="296" max="302" width="9.140625" customWidth="1"/>
    <col min="303" max="304" width="10.5703125" customWidth="1"/>
    <col min="305" max="321" width="9.140625" customWidth="1"/>
    <col min="323" max="324" width="10.5703125" bestFit="1" customWidth="1"/>
    <col min="352" max="352" width="9.5703125" customWidth="1"/>
    <col min="372" max="372" width="14.5703125" bestFit="1" customWidth="1"/>
    <col min="376" max="376" width="12" bestFit="1" customWidth="1"/>
    <col min="391" max="391" width="5.42578125" bestFit="1" customWidth="1"/>
    <col min="392" max="395" width="5.42578125" customWidth="1"/>
    <col min="396" max="396" width="7.28515625" bestFit="1" customWidth="1"/>
    <col min="397" max="397" width="7.7109375" bestFit="1" customWidth="1"/>
    <col min="398" max="405" width="7.7109375" customWidth="1"/>
    <col min="406" max="406" width="11.7109375" bestFit="1" customWidth="1"/>
    <col min="407" max="407" width="11.5703125" bestFit="1" customWidth="1"/>
    <col min="408" max="408" width="11.7109375" bestFit="1" customWidth="1"/>
    <col min="409" max="409" width="11.5703125" bestFit="1" customWidth="1"/>
    <col min="410" max="417" width="11.5703125" customWidth="1"/>
    <col min="418" max="418" width="7.7109375" bestFit="1" customWidth="1"/>
    <col min="419" max="422" width="5.28515625" bestFit="1" customWidth="1"/>
    <col min="423" max="426" width="5.28515625" customWidth="1"/>
    <col min="427" max="427" width="4.42578125" bestFit="1" customWidth="1"/>
    <col min="428" max="428" width="4" bestFit="1" customWidth="1"/>
    <col min="429" max="429" width="4.42578125" bestFit="1" customWidth="1"/>
    <col min="430" max="430" width="4" bestFit="1" customWidth="1"/>
    <col min="431" max="432" width="4.85546875" bestFit="1" customWidth="1"/>
    <col min="433" max="435" width="5.28515625" bestFit="1" customWidth="1"/>
    <col min="459" max="459" width="10.5703125" bestFit="1" customWidth="1"/>
    <col min="460" max="460" width="10.7109375" bestFit="1" customWidth="1"/>
    <col min="461" max="461" width="10.5703125" bestFit="1" customWidth="1"/>
    <col min="462" max="462" width="10.7109375" bestFit="1" customWidth="1"/>
    <col min="463" max="463" width="10.5703125" bestFit="1" customWidth="1"/>
    <col min="464" max="464" width="10.7109375" bestFit="1" customWidth="1"/>
    <col min="465" max="465" width="11.5703125" bestFit="1" customWidth="1"/>
    <col min="466" max="466" width="11.7109375" bestFit="1" customWidth="1"/>
    <col min="467" max="467" width="11.5703125" bestFit="1" customWidth="1"/>
    <col min="468" max="468" width="11.7109375" bestFit="1" customWidth="1"/>
    <col min="469" max="469" width="11.5703125" bestFit="1" customWidth="1"/>
    <col min="470" max="470" width="11.7109375" customWidth="1"/>
    <col min="471" max="471" width="10.5703125" bestFit="1" customWidth="1"/>
    <col min="472" max="472" width="10.7109375" customWidth="1"/>
    <col min="473" max="473" width="10.5703125" bestFit="1" customWidth="1"/>
    <col min="474" max="474" width="10.7109375" bestFit="1" customWidth="1"/>
    <col min="475" max="475" width="10.5703125" bestFit="1" customWidth="1"/>
    <col min="476" max="476" width="10.7109375" bestFit="1" customWidth="1"/>
    <col min="477" max="477" width="10.5703125" bestFit="1" customWidth="1"/>
    <col min="478" max="478" width="10.7109375" bestFit="1" customWidth="1"/>
    <col min="479" max="479" width="10.5703125" bestFit="1" customWidth="1"/>
    <col min="480" max="480" width="10.7109375" bestFit="1" customWidth="1"/>
    <col min="481" max="481" width="11.5703125" bestFit="1" customWidth="1"/>
    <col min="482" max="482" width="11.7109375" bestFit="1" customWidth="1"/>
  </cols>
  <sheetData>
    <row r="1" spans="1:532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8" t="s">
        <v>23</v>
      </c>
      <c r="AE1" s="8" t="s">
        <v>24</v>
      </c>
      <c r="AF1" s="8" t="s">
        <v>22</v>
      </c>
      <c r="AG1" s="8" t="s">
        <v>25</v>
      </c>
      <c r="AH1" s="8" t="s">
        <v>26</v>
      </c>
      <c r="AI1" s="8" t="s">
        <v>31</v>
      </c>
      <c r="AJ1" s="8" t="s">
        <v>283</v>
      </c>
      <c r="AK1" s="8" t="s">
        <v>284</v>
      </c>
      <c r="AL1" s="8" t="s">
        <v>27</v>
      </c>
      <c r="AM1" s="8" t="s">
        <v>28</v>
      </c>
      <c r="AN1" s="8" t="s">
        <v>301</v>
      </c>
      <c r="AO1" s="8" t="s">
        <v>395</v>
      </c>
      <c r="AP1" s="8" t="s">
        <v>29</v>
      </c>
      <c r="AQ1" s="8" t="s">
        <v>30</v>
      </c>
      <c r="AR1" s="26" t="s">
        <v>32</v>
      </c>
      <c r="AS1" s="26" t="s">
        <v>33</v>
      </c>
      <c r="AT1" s="26" t="s">
        <v>34</v>
      </c>
      <c r="AU1" s="26" t="s">
        <v>303</v>
      </c>
      <c r="AV1" s="26" t="s">
        <v>304</v>
      </c>
      <c r="AW1" s="26" t="s">
        <v>305</v>
      </c>
      <c r="AX1" s="26" t="s">
        <v>306</v>
      </c>
      <c r="AY1" s="26" t="s">
        <v>307</v>
      </c>
      <c r="AZ1" s="26" t="s">
        <v>308</v>
      </c>
      <c r="BA1" s="5" t="s">
        <v>35</v>
      </c>
      <c r="BB1" s="5" t="s">
        <v>36</v>
      </c>
      <c r="BC1" s="5" t="s">
        <v>37</v>
      </c>
      <c r="BD1" s="5" t="s">
        <v>38</v>
      </c>
      <c r="BE1" s="5" t="s">
        <v>39</v>
      </c>
      <c r="BF1" s="5" t="s">
        <v>40</v>
      </c>
      <c r="BG1" s="5" t="s">
        <v>41</v>
      </c>
      <c r="BH1" s="5" t="s">
        <v>42</v>
      </c>
      <c r="BI1" s="5" t="s">
        <v>43</v>
      </c>
      <c r="BJ1" s="5" t="s">
        <v>44</v>
      </c>
      <c r="BK1" s="5" t="s">
        <v>45</v>
      </c>
      <c r="BL1" s="5" t="s">
        <v>46</v>
      </c>
      <c r="BM1" s="5" t="s">
        <v>47</v>
      </c>
      <c r="BN1" s="5" t="s">
        <v>48</v>
      </c>
      <c r="BO1" s="5" t="s">
        <v>49</v>
      </c>
      <c r="BP1" s="5" t="s">
        <v>50</v>
      </c>
      <c r="BQ1" s="5" t="s">
        <v>51</v>
      </c>
      <c r="BR1" s="5" t="s">
        <v>52</v>
      </c>
      <c r="BS1" s="5" t="s">
        <v>53</v>
      </c>
      <c r="BT1" s="5" t="s">
        <v>54</v>
      </c>
      <c r="BU1" s="5" t="s">
        <v>55</v>
      </c>
      <c r="BV1" s="5" t="s">
        <v>56</v>
      </c>
      <c r="BW1" s="5" t="s">
        <v>57</v>
      </c>
      <c r="BX1" s="5" t="s">
        <v>58</v>
      </c>
      <c r="BY1" s="5" t="s">
        <v>59</v>
      </c>
      <c r="BZ1" s="5" t="s">
        <v>60</v>
      </c>
      <c r="CA1" s="5" t="s">
        <v>61</v>
      </c>
      <c r="CB1" s="5" t="s">
        <v>62</v>
      </c>
      <c r="CC1" s="5" t="s">
        <v>63</v>
      </c>
      <c r="CD1" s="5" t="s">
        <v>64</v>
      </c>
      <c r="CE1" s="5" t="s">
        <v>65</v>
      </c>
      <c r="CF1" s="5" t="s">
        <v>66</v>
      </c>
      <c r="CG1" s="5" t="s">
        <v>67</v>
      </c>
      <c r="CH1" s="5" t="s">
        <v>73</v>
      </c>
      <c r="CI1" s="5" t="s">
        <v>74</v>
      </c>
      <c r="CJ1" s="5" t="s">
        <v>75</v>
      </c>
      <c r="CK1" s="5" t="s">
        <v>76</v>
      </c>
      <c r="CL1" s="5" t="s">
        <v>77</v>
      </c>
      <c r="CM1" s="5" t="s">
        <v>78</v>
      </c>
      <c r="CN1" s="5" t="s">
        <v>79</v>
      </c>
      <c r="CO1" s="5" t="s">
        <v>80</v>
      </c>
      <c r="CP1" s="5" t="s">
        <v>81</v>
      </c>
      <c r="CQ1" s="5" t="s">
        <v>82</v>
      </c>
      <c r="CR1" s="5" t="s">
        <v>83</v>
      </c>
      <c r="CS1" s="5" t="s">
        <v>84</v>
      </c>
      <c r="CT1" s="5" t="s">
        <v>85</v>
      </c>
      <c r="CU1" s="5" t="s">
        <v>86</v>
      </c>
      <c r="CV1" s="5" t="s">
        <v>87</v>
      </c>
      <c r="CW1" s="5" t="s">
        <v>88</v>
      </c>
      <c r="CX1" s="5" t="s">
        <v>89</v>
      </c>
      <c r="CY1" s="5" t="s">
        <v>90</v>
      </c>
      <c r="CZ1" s="5" t="s">
        <v>91</v>
      </c>
      <c r="DA1" s="5" t="s">
        <v>92</v>
      </c>
      <c r="DB1" s="5" t="s">
        <v>93</v>
      </c>
      <c r="DC1" s="5" t="s">
        <v>94</v>
      </c>
      <c r="DD1" s="5" t="s">
        <v>95</v>
      </c>
      <c r="DE1" s="5" t="s">
        <v>68</v>
      </c>
      <c r="DF1" s="5" t="s">
        <v>69</v>
      </c>
      <c r="DG1" s="5" t="s">
        <v>70</v>
      </c>
      <c r="DH1" s="5" t="s">
        <v>71</v>
      </c>
      <c r="DI1" s="5" t="s">
        <v>72</v>
      </c>
      <c r="DJ1" s="5" t="s">
        <v>96</v>
      </c>
      <c r="DK1" s="5" t="s">
        <v>97</v>
      </c>
      <c r="DL1" s="5" t="s">
        <v>98</v>
      </c>
      <c r="DM1" s="5" t="s">
        <v>99</v>
      </c>
      <c r="DN1" s="5" t="s">
        <v>100</v>
      </c>
      <c r="DO1" s="5" t="s">
        <v>101</v>
      </c>
      <c r="DP1" s="5" t="s">
        <v>102</v>
      </c>
      <c r="DQ1" s="5" t="s">
        <v>103</v>
      </c>
      <c r="DR1" s="5" t="s">
        <v>104</v>
      </c>
      <c r="DS1" s="5" t="s">
        <v>105</v>
      </c>
      <c r="DT1" s="5" t="s">
        <v>106</v>
      </c>
      <c r="DU1" s="5" t="s">
        <v>107</v>
      </c>
      <c r="DV1" s="5" t="s">
        <v>108</v>
      </c>
      <c r="DW1" s="5" t="s">
        <v>109</v>
      </c>
      <c r="DX1" s="5" t="s">
        <v>110</v>
      </c>
      <c r="DY1" s="5" t="s">
        <v>111</v>
      </c>
      <c r="DZ1" s="5" t="s">
        <v>112</v>
      </c>
      <c r="EA1" s="5" t="s">
        <v>113</v>
      </c>
      <c r="EB1" s="5" t="s">
        <v>114</v>
      </c>
      <c r="EC1" s="5" t="s">
        <v>115</v>
      </c>
      <c r="ED1" s="5" t="s">
        <v>116</v>
      </c>
      <c r="EE1" s="5" t="s">
        <v>117</v>
      </c>
      <c r="EF1" s="5" t="s">
        <v>118</v>
      </c>
      <c r="EG1" s="5" t="s">
        <v>119</v>
      </c>
      <c r="EH1" s="5" t="s">
        <v>120</v>
      </c>
      <c r="EI1" s="5" t="s">
        <v>121</v>
      </c>
      <c r="EJ1" s="5" t="s">
        <v>122</v>
      </c>
      <c r="EK1" s="5" t="s">
        <v>123</v>
      </c>
      <c r="EL1" s="5" t="s">
        <v>124</v>
      </c>
      <c r="EM1" s="9" t="s">
        <v>125</v>
      </c>
      <c r="EN1" s="5" t="s">
        <v>35</v>
      </c>
      <c r="EO1" s="5" t="s">
        <v>36</v>
      </c>
      <c r="EP1" s="5" t="s">
        <v>37</v>
      </c>
      <c r="EQ1" s="5" t="s">
        <v>38</v>
      </c>
      <c r="ER1" s="5" t="s">
        <v>39</v>
      </c>
      <c r="ES1" s="5" t="s">
        <v>46</v>
      </c>
      <c r="ET1" s="5" t="s">
        <v>47</v>
      </c>
      <c r="EU1" s="5" t="s">
        <v>50</v>
      </c>
      <c r="EV1" s="5" t="s">
        <v>51</v>
      </c>
      <c r="EW1" s="5" t="s">
        <v>52</v>
      </c>
      <c r="EX1" s="5" t="s">
        <v>53</v>
      </c>
      <c r="EY1" s="5" t="s">
        <v>54</v>
      </c>
      <c r="EZ1" s="5" t="s">
        <v>55</v>
      </c>
      <c r="FA1" s="5" t="s">
        <v>62</v>
      </c>
      <c r="FB1" s="5" t="s">
        <v>63</v>
      </c>
      <c r="FC1" s="5" t="s">
        <v>64</v>
      </c>
      <c r="FD1" s="5" t="s">
        <v>65</v>
      </c>
      <c r="FE1" s="5" t="s">
        <v>73</v>
      </c>
      <c r="FF1" s="5" t="s">
        <v>74</v>
      </c>
      <c r="FG1" s="5" t="s">
        <v>75</v>
      </c>
      <c r="FH1" s="5" t="s">
        <v>76</v>
      </c>
      <c r="FI1" s="5" t="s">
        <v>77</v>
      </c>
      <c r="FJ1" s="5" t="s">
        <v>293</v>
      </c>
      <c r="FK1" s="5" t="s">
        <v>302</v>
      </c>
      <c r="FL1" s="5" t="s">
        <v>82</v>
      </c>
      <c r="FM1" s="5" t="s">
        <v>83</v>
      </c>
      <c r="FN1" s="5" t="s">
        <v>84</v>
      </c>
      <c r="FO1" s="5" t="s">
        <v>85</v>
      </c>
      <c r="FP1" s="5" t="s">
        <v>86</v>
      </c>
      <c r="FQ1" s="5" t="s">
        <v>87</v>
      </c>
      <c r="FR1" s="5" t="s">
        <v>68</v>
      </c>
      <c r="FS1" s="5" t="s">
        <v>69</v>
      </c>
      <c r="FT1" s="5" t="s">
        <v>70</v>
      </c>
      <c r="FU1" s="5" t="s">
        <v>71</v>
      </c>
      <c r="FV1" s="5" t="s">
        <v>97</v>
      </c>
      <c r="FW1" s="5" t="s">
        <v>96</v>
      </c>
      <c r="FX1" s="5" t="s">
        <v>98</v>
      </c>
      <c r="FY1" s="5" t="s">
        <v>99</v>
      </c>
      <c r="FZ1" s="5" t="s">
        <v>100</v>
      </c>
      <c r="GA1" s="5" t="s">
        <v>101</v>
      </c>
      <c r="GB1" s="5" t="s">
        <v>102</v>
      </c>
      <c r="GC1" s="5" t="s">
        <v>103</v>
      </c>
      <c r="GD1" s="5" t="s">
        <v>104</v>
      </c>
      <c r="GE1" s="5" t="s">
        <v>105</v>
      </c>
      <c r="GF1" s="5" t="s">
        <v>106</v>
      </c>
      <c r="GG1" s="5" t="s">
        <v>294</v>
      </c>
      <c r="GH1" s="5" t="s">
        <v>295</v>
      </c>
      <c r="GI1" s="5" t="s">
        <v>296</v>
      </c>
      <c r="GJ1" s="5" t="s">
        <v>297</v>
      </c>
      <c r="GK1" s="5" t="s">
        <v>298</v>
      </c>
      <c r="GL1" s="5" t="s">
        <v>122</v>
      </c>
      <c r="GM1" s="5" t="s">
        <v>123</v>
      </c>
      <c r="GN1" s="5" t="s">
        <v>299</v>
      </c>
      <c r="GO1" s="31" t="s">
        <v>300</v>
      </c>
      <c r="GP1" s="4" t="s">
        <v>35</v>
      </c>
      <c r="GQ1" s="5" t="s">
        <v>36</v>
      </c>
      <c r="GR1" s="5" t="s">
        <v>37</v>
      </c>
      <c r="GS1" s="5" t="s">
        <v>38</v>
      </c>
      <c r="GT1" s="5" t="s">
        <v>39</v>
      </c>
      <c r="GU1" s="5" t="s">
        <v>40</v>
      </c>
      <c r="GV1" s="5" t="s">
        <v>41</v>
      </c>
      <c r="GW1" s="5" t="s">
        <v>42</v>
      </c>
      <c r="GX1" s="5" t="s">
        <v>43</v>
      </c>
      <c r="GY1" s="5" t="s">
        <v>44</v>
      </c>
      <c r="GZ1" s="5" t="s">
        <v>45</v>
      </c>
      <c r="HA1" s="5" t="s">
        <v>46</v>
      </c>
      <c r="HB1" s="5" t="s">
        <v>47</v>
      </c>
      <c r="HC1" s="5" t="s">
        <v>401</v>
      </c>
      <c r="HD1" s="5" t="s">
        <v>402</v>
      </c>
      <c r="HE1" s="5" t="s">
        <v>50</v>
      </c>
      <c r="HF1" s="5" t="s">
        <v>51</v>
      </c>
      <c r="HG1" s="5" t="s">
        <v>52</v>
      </c>
      <c r="HH1" s="5" t="s">
        <v>53</v>
      </c>
      <c r="HI1" s="5" t="s">
        <v>54</v>
      </c>
      <c r="HJ1" s="5" t="s">
        <v>55</v>
      </c>
      <c r="HK1" s="5" t="s">
        <v>56</v>
      </c>
      <c r="HL1" s="5" t="s">
        <v>57</v>
      </c>
      <c r="HM1" s="5" t="s">
        <v>58</v>
      </c>
      <c r="HN1" s="5" t="s">
        <v>59</v>
      </c>
      <c r="HO1" s="5" t="s">
        <v>60</v>
      </c>
      <c r="HP1" s="5" t="s">
        <v>61</v>
      </c>
      <c r="HQ1" s="5" t="s">
        <v>62</v>
      </c>
      <c r="HR1" s="5" t="s">
        <v>63</v>
      </c>
      <c r="HS1" s="5" t="s">
        <v>64</v>
      </c>
      <c r="HT1" s="5" t="s">
        <v>65</v>
      </c>
      <c r="HU1" s="5" t="s">
        <v>73</v>
      </c>
      <c r="HV1" s="5" t="s">
        <v>74</v>
      </c>
      <c r="HW1" s="5" t="s">
        <v>75</v>
      </c>
      <c r="HX1" s="5" t="s">
        <v>76</v>
      </c>
      <c r="HY1" s="5" t="s">
        <v>77</v>
      </c>
      <c r="HZ1" s="5" t="s">
        <v>78</v>
      </c>
      <c r="IA1" s="5" t="s">
        <v>79</v>
      </c>
      <c r="IB1" s="5" t="s">
        <v>80</v>
      </c>
      <c r="IC1" s="5" t="s">
        <v>403</v>
      </c>
      <c r="ID1" s="5" t="s">
        <v>420</v>
      </c>
      <c r="IE1" s="5" t="s">
        <v>404</v>
      </c>
      <c r="IF1" s="5" t="s">
        <v>405</v>
      </c>
      <c r="IG1" s="5" t="s">
        <v>406</v>
      </c>
      <c r="IH1" s="5" t="s">
        <v>407</v>
      </c>
      <c r="II1" s="5" t="s">
        <v>408</v>
      </c>
      <c r="IJ1" s="5" t="s">
        <v>409</v>
      </c>
      <c r="IK1" s="5" t="s">
        <v>410</v>
      </c>
      <c r="IL1" s="5" t="s">
        <v>92</v>
      </c>
      <c r="IM1" s="5" t="s">
        <v>93</v>
      </c>
      <c r="IN1" s="5" t="s">
        <v>68</v>
      </c>
      <c r="IO1" s="5" t="s">
        <v>69</v>
      </c>
      <c r="IP1" s="5" t="s">
        <v>70</v>
      </c>
      <c r="IQ1" s="5" t="s">
        <v>71</v>
      </c>
      <c r="IR1" s="5" t="s">
        <v>411</v>
      </c>
      <c r="IS1" s="5" t="s">
        <v>412</v>
      </c>
      <c r="IT1" s="5" t="s">
        <v>98</v>
      </c>
      <c r="IU1" s="5" t="s">
        <v>99</v>
      </c>
      <c r="IV1" s="5" t="s">
        <v>100</v>
      </c>
      <c r="IW1" s="5" t="s">
        <v>101</v>
      </c>
      <c r="IX1" s="5" t="s">
        <v>102</v>
      </c>
      <c r="IY1" s="5" t="s">
        <v>103</v>
      </c>
      <c r="IZ1" s="5" t="s">
        <v>104</v>
      </c>
      <c r="JA1" s="5" t="s">
        <v>105</v>
      </c>
      <c r="JB1" s="5" t="s">
        <v>106</v>
      </c>
      <c r="JC1" s="5" t="s">
        <v>107</v>
      </c>
      <c r="JD1" s="5" t="s">
        <v>108</v>
      </c>
      <c r="JE1" s="5" t="s">
        <v>109</v>
      </c>
      <c r="JF1" s="5" t="s">
        <v>110</v>
      </c>
      <c r="JG1" s="5" t="s">
        <v>111</v>
      </c>
      <c r="JH1" s="5" t="s">
        <v>112</v>
      </c>
      <c r="JI1" s="5" t="s">
        <v>113</v>
      </c>
      <c r="JJ1" s="5" t="s">
        <v>114</v>
      </c>
      <c r="JK1" s="5" t="s">
        <v>115</v>
      </c>
      <c r="JL1" s="5" t="s">
        <v>116</v>
      </c>
      <c r="JM1" s="5" t="s">
        <v>117</v>
      </c>
      <c r="JN1" s="5" t="s">
        <v>118</v>
      </c>
      <c r="JO1" s="5" t="s">
        <v>119</v>
      </c>
      <c r="JP1" s="5" t="s">
        <v>120</v>
      </c>
      <c r="JQ1" s="5" t="s">
        <v>121</v>
      </c>
      <c r="JR1" s="5" t="s">
        <v>122</v>
      </c>
      <c r="JS1" s="5" t="s">
        <v>123</v>
      </c>
      <c r="JT1" s="5" t="s">
        <v>124</v>
      </c>
      <c r="JU1" s="9" t="s">
        <v>125</v>
      </c>
      <c r="JV1" s="23" t="s">
        <v>35</v>
      </c>
      <c r="JW1" s="23" t="s">
        <v>557</v>
      </c>
      <c r="JX1" s="23" t="s">
        <v>558</v>
      </c>
      <c r="JY1" s="32" t="s">
        <v>401</v>
      </c>
      <c r="JZ1" s="5" t="s">
        <v>402</v>
      </c>
      <c r="KA1" s="32" t="s">
        <v>555</v>
      </c>
      <c r="KB1" s="5" t="s">
        <v>556</v>
      </c>
      <c r="KC1" s="5" t="s">
        <v>412</v>
      </c>
      <c r="KD1" s="5" t="s">
        <v>411</v>
      </c>
      <c r="KE1" s="5" t="s">
        <v>98</v>
      </c>
      <c r="KF1" s="5" t="s">
        <v>99</v>
      </c>
      <c r="KG1" s="5" t="s">
        <v>100</v>
      </c>
      <c r="KH1" s="5" t="s">
        <v>101</v>
      </c>
      <c r="KI1" s="5" t="s">
        <v>102</v>
      </c>
      <c r="KJ1" s="30" t="s">
        <v>489</v>
      </c>
      <c r="KK1" s="35" t="s">
        <v>491</v>
      </c>
      <c r="KL1" s="30" t="s">
        <v>490</v>
      </c>
      <c r="KM1" s="35" t="s">
        <v>553</v>
      </c>
      <c r="KN1" s="19" t="s">
        <v>549</v>
      </c>
      <c r="KO1" s="19" t="s">
        <v>550</v>
      </c>
      <c r="KP1" s="4" t="s">
        <v>35</v>
      </c>
      <c r="KQ1" s="5" t="s">
        <v>855</v>
      </c>
      <c r="KR1" s="5" t="s">
        <v>404</v>
      </c>
      <c r="KS1" s="5" t="s">
        <v>73</v>
      </c>
      <c r="KT1" s="5" t="s">
        <v>70</v>
      </c>
      <c r="KU1" s="5" t="s">
        <v>71</v>
      </c>
      <c r="KV1" s="5" t="s">
        <v>68</v>
      </c>
      <c r="KW1" s="5" t="s">
        <v>69</v>
      </c>
      <c r="KX1" s="5" t="s">
        <v>856</v>
      </c>
      <c r="KY1" s="5" t="s">
        <v>857</v>
      </c>
      <c r="KZ1" s="5" t="s">
        <v>858</v>
      </c>
      <c r="LA1" s="5" t="s">
        <v>859</v>
      </c>
      <c r="LB1" s="5" t="s">
        <v>98</v>
      </c>
      <c r="LC1" s="5" t="s">
        <v>99</v>
      </c>
      <c r="LD1" s="5" t="s">
        <v>100</v>
      </c>
      <c r="LE1" s="5" t="s">
        <v>860</v>
      </c>
      <c r="LF1" s="5" t="s">
        <v>861</v>
      </c>
      <c r="LG1" s="5" t="s">
        <v>862</v>
      </c>
      <c r="LH1" s="5" t="s">
        <v>863</v>
      </c>
      <c r="LI1" s="9" t="s">
        <v>864</v>
      </c>
      <c r="LJ1" s="39" t="s">
        <v>35</v>
      </c>
      <c r="LK1" s="32" t="s">
        <v>401</v>
      </c>
      <c r="LL1" s="5" t="s">
        <v>402</v>
      </c>
      <c r="LM1" s="5" t="s">
        <v>98</v>
      </c>
      <c r="LN1" s="5" t="s">
        <v>99</v>
      </c>
      <c r="LO1" s="5" t="s">
        <v>100</v>
      </c>
      <c r="LP1" s="37" t="s">
        <v>31</v>
      </c>
      <c r="LQ1" s="30" t="s">
        <v>112</v>
      </c>
      <c r="LR1" s="38" t="s">
        <v>113</v>
      </c>
      <c r="LS1" s="4" t="s">
        <v>35</v>
      </c>
      <c r="LT1" s="5" t="s">
        <v>855</v>
      </c>
      <c r="LU1" s="5" t="s">
        <v>404</v>
      </c>
      <c r="LV1" s="5" t="s">
        <v>73</v>
      </c>
      <c r="LW1" s="5" t="s">
        <v>70</v>
      </c>
      <c r="LX1" s="5" t="s">
        <v>71</v>
      </c>
      <c r="LY1" s="5" t="s">
        <v>68</v>
      </c>
      <c r="LZ1" s="5" t="s">
        <v>69</v>
      </c>
      <c r="MA1" s="5" t="s">
        <v>856</v>
      </c>
      <c r="MB1" s="5" t="s">
        <v>857</v>
      </c>
      <c r="MC1" s="5" t="s">
        <v>858</v>
      </c>
      <c r="MD1" s="5" t="s">
        <v>859</v>
      </c>
      <c r="ME1" s="5" t="s">
        <v>98</v>
      </c>
      <c r="MF1" s="5" t="s">
        <v>99</v>
      </c>
      <c r="MG1" s="5" t="s">
        <v>100</v>
      </c>
      <c r="MH1" s="5" t="s">
        <v>101</v>
      </c>
      <c r="MI1" s="5" t="s">
        <v>860</v>
      </c>
      <c r="MJ1" s="5" t="s">
        <v>861</v>
      </c>
      <c r="MK1" s="5" t="s">
        <v>862</v>
      </c>
      <c r="ML1" s="5" t="s">
        <v>863</v>
      </c>
      <c r="MM1" s="9" t="s">
        <v>864</v>
      </c>
      <c r="MN1" s="40" t="s">
        <v>924</v>
      </c>
      <c r="MO1" s="37" t="s">
        <v>925</v>
      </c>
      <c r="MP1" s="41" t="s">
        <v>928</v>
      </c>
      <c r="MQ1" s="41" t="s">
        <v>929</v>
      </c>
      <c r="MR1" s="41" t="s">
        <v>930</v>
      </c>
      <c r="MS1" s="41" t="s">
        <v>35</v>
      </c>
      <c r="MT1" s="41" t="s">
        <v>37</v>
      </c>
      <c r="MU1" s="41" t="s">
        <v>36</v>
      </c>
      <c r="MV1" s="41" t="s">
        <v>39</v>
      </c>
      <c r="MW1" s="41" t="s">
        <v>38</v>
      </c>
      <c r="MX1" s="41" t="s">
        <v>41</v>
      </c>
      <c r="MY1" s="41" t="s">
        <v>40</v>
      </c>
      <c r="MZ1" s="41" t="s">
        <v>557</v>
      </c>
      <c r="NA1" s="41" t="s">
        <v>558</v>
      </c>
      <c r="NB1" s="5" t="s">
        <v>855</v>
      </c>
      <c r="NC1" s="5" t="s">
        <v>918</v>
      </c>
      <c r="ND1" s="5" t="s">
        <v>919</v>
      </c>
      <c r="NE1" s="5" t="s">
        <v>920</v>
      </c>
      <c r="NF1" s="5" t="s">
        <v>921</v>
      </c>
      <c r="NG1" s="5" t="s">
        <v>922</v>
      </c>
      <c r="NH1" s="5" t="s">
        <v>923</v>
      </c>
      <c r="NI1" s="5" t="s">
        <v>404</v>
      </c>
      <c r="NJ1" s="5" t="s">
        <v>405</v>
      </c>
      <c r="NK1" s="5" t="s">
        <v>406</v>
      </c>
      <c r="NL1" s="5" t="s">
        <v>407</v>
      </c>
      <c r="NM1" s="5" t="s">
        <v>73</v>
      </c>
      <c r="NN1" s="5" t="s">
        <v>74</v>
      </c>
      <c r="NO1" s="5" t="s">
        <v>75</v>
      </c>
      <c r="NP1" s="5" t="s">
        <v>76</v>
      </c>
      <c r="NQ1" s="5" t="s">
        <v>70</v>
      </c>
      <c r="NR1" s="5" t="s">
        <v>71</v>
      </c>
      <c r="NS1" s="5" t="s">
        <v>68</v>
      </c>
      <c r="NT1" s="5" t="s">
        <v>69</v>
      </c>
      <c r="NU1" s="5" t="s">
        <v>856</v>
      </c>
      <c r="NV1" s="5" t="s">
        <v>857</v>
      </c>
      <c r="NW1" s="5" t="s">
        <v>858</v>
      </c>
      <c r="NX1" s="9" t="s">
        <v>859</v>
      </c>
      <c r="NY1" s="5" t="s">
        <v>953</v>
      </c>
      <c r="NZ1" s="9" t="s">
        <v>954</v>
      </c>
      <c r="OA1" s="23" t="s">
        <v>35</v>
      </c>
      <c r="OB1" s="23" t="s">
        <v>924</v>
      </c>
      <c r="OC1" s="23" t="s">
        <v>925</v>
      </c>
      <c r="OD1" s="23" t="s">
        <v>1032</v>
      </c>
      <c r="OE1" s="23" t="s">
        <v>1033</v>
      </c>
      <c r="OF1" s="23" t="s">
        <v>557</v>
      </c>
      <c r="OG1" s="23" t="s">
        <v>558</v>
      </c>
      <c r="OH1" s="23" t="s">
        <v>1015</v>
      </c>
      <c r="OI1" s="23" t="s">
        <v>1016</v>
      </c>
      <c r="OJ1" s="23" t="s">
        <v>1017</v>
      </c>
      <c r="OK1" s="23" t="s">
        <v>1018</v>
      </c>
      <c r="OL1" s="23" t="s">
        <v>1036</v>
      </c>
      <c r="OM1" s="23" t="s">
        <v>1037</v>
      </c>
      <c r="ON1" s="23" t="s">
        <v>1038</v>
      </c>
      <c r="OO1" s="23" t="s">
        <v>1039</v>
      </c>
      <c r="OP1" s="32" t="s">
        <v>401</v>
      </c>
      <c r="OQ1" s="5" t="s">
        <v>402</v>
      </c>
      <c r="OR1" s="32" t="s">
        <v>555</v>
      </c>
      <c r="OS1" s="5" t="s">
        <v>556</v>
      </c>
      <c r="OT1" s="32" t="s">
        <v>1019</v>
      </c>
      <c r="OU1" s="5" t="s">
        <v>1020</v>
      </c>
      <c r="OV1" s="32" t="s">
        <v>1021</v>
      </c>
      <c r="OW1" s="5" t="s">
        <v>1022</v>
      </c>
      <c r="OX1" s="32" t="s">
        <v>1040</v>
      </c>
      <c r="OY1" s="5" t="s">
        <v>1041</v>
      </c>
      <c r="OZ1" s="32" t="s">
        <v>1042</v>
      </c>
      <c r="PA1" s="5" t="s">
        <v>1043</v>
      </c>
      <c r="PB1" s="5" t="s">
        <v>98</v>
      </c>
      <c r="PC1" s="5" t="s">
        <v>99</v>
      </c>
      <c r="PD1" s="5" t="s">
        <v>100</v>
      </c>
      <c r="PE1" s="5" t="s">
        <v>101</v>
      </c>
      <c r="PF1" s="5" t="s">
        <v>102</v>
      </c>
      <c r="PG1" s="5" t="s">
        <v>103</v>
      </c>
      <c r="PH1" s="5" t="s">
        <v>104</v>
      </c>
      <c r="PI1" s="5" t="s">
        <v>105</v>
      </c>
      <c r="PJ1" s="5" t="s">
        <v>106</v>
      </c>
      <c r="PK1" s="30" t="s">
        <v>294</v>
      </c>
      <c r="PL1" s="30" t="s">
        <v>295</v>
      </c>
      <c r="PM1" s="30" t="s">
        <v>296</v>
      </c>
      <c r="PN1" s="30" t="s">
        <v>297</v>
      </c>
      <c r="PO1" s="30" t="s">
        <v>298</v>
      </c>
      <c r="PP1" s="30" t="s">
        <v>1014</v>
      </c>
      <c r="PQ1" s="30" t="s">
        <v>1044</v>
      </c>
      <c r="PR1" s="30" t="s">
        <v>1045</v>
      </c>
      <c r="PS1" s="30" t="s">
        <v>1046</v>
      </c>
      <c r="PT1" s="42" t="s">
        <v>1062</v>
      </c>
      <c r="PU1" s="42" t="s">
        <v>558</v>
      </c>
      <c r="PV1" s="42" t="s">
        <v>557</v>
      </c>
      <c r="PW1" s="42" t="s">
        <v>1016</v>
      </c>
      <c r="PX1" s="42" t="s">
        <v>1015</v>
      </c>
      <c r="PY1" s="42" t="s">
        <v>1018</v>
      </c>
      <c r="PZ1" s="42" t="s">
        <v>1017</v>
      </c>
      <c r="QA1" s="42" t="s">
        <v>1037</v>
      </c>
      <c r="QB1" s="42" t="s">
        <v>1036</v>
      </c>
      <c r="QC1" s="42" t="s">
        <v>1039</v>
      </c>
      <c r="QD1" s="42" t="s">
        <v>1038</v>
      </c>
      <c r="QE1" s="42" t="s">
        <v>1063</v>
      </c>
      <c r="QF1" s="42" t="s">
        <v>1064</v>
      </c>
      <c r="QG1" s="42" t="s">
        <v>1065</v>
      </c>
      <c r="QH1" s="42" t="s">
        <v>1066</v>
      </c>
      <c r="QI1" s="42" t="s">
        <v>1067</v>
      </c>
      <c r="QJ1" s="42" t="s">
        <v>1068</v>
      </c>
      <c r="QK1" s="42" t="s">
        <v>1069</v>
      </c>
      <c r="QL1" s="42" t="s">
        <v>1070</v>
      </c>
      <c r="QM1" s="42" t="s">
        <v>1071</v>
      </c>
      <c r="QN1" s="42" t="s">
        <v>1072</v>
      </c>
      <c r="QO1" s="42" t="s">
        <v>1073</v>
      </c>
      <c r="QP1" s="42" t="s">
        <v>1074</v>
      </c>
      <c r="QQ1" s="42" t="s">
        <v>402</v>
      </c>
      <c r="QR1" s="42" t="s">
        <v>401</v>
      </c>
      <c r="QS1" s="42" t="s">
        <v>556</v>
      </c>
      <c r="QT1" s="42" t="s">
        <v>555</v>
      </c>
      <c r="QU1" s="42" t="s">
        <v>1020</v>
      </c>
      <c r="QV1" s="42" t="s">
        <v>1019</v>
      </c>
      <c r="QW1" s="42" t="s">
        <v>1022</v>
      </c>
      <c r="QX1" s="42" t="s">
        <v>1021</v>
      </c>
      <c r="QY1" s="42" t="s">
        <v>1041</v>
      </c>
      <c r="QZ1" s="42" t="s">
        <v>1040</v>
      </c>
      <c r="RA1" s="42" t="s">
        <v>1043</v>
      </c>
      <c r="RB1" s="42" t="s">
        <v>1042</v>
      </c>
      <c r="RC1" s="42" t="s">
        <v>1075</v>
      </c>
      <c r="RD1" s="42" t="s">
        <v>1076</v>
      </c>
      <c r="RE1" s="42" t="s">
        <v>1077</v>
      </c>
      <c r="RF1" s="42" t="s">
        <v>1078</v>
      </c>
      <c r="RG1" s="42" t="s">
        <v>1079</v>
      </c>
      <c r="RH1" s="42" t="s">
        <v>1080</v>
      </c>
      <c r="RI1" s="42" t="s">
        <v>1081</v>
      </c>
      <c r="RJ1" s="42" t="s">
        <v>1082</v>
      </c>
      <c r="RK1" s="42" t="s">
        <v>1083</v>
      </c>
      <c r="RL1" s="42" t="s">
        <v>1084</v>
      </c>
      <c r="RM1" s="42" t="s">
        <v>1085</v>
      </c>
      <c r="RN1" s="42" t="s">
        <v>1086</v>
      </c>
      <c r="RO1" s="42" t="s">
        <v>35</v>
      </c>
      <c r="RP1" s="42" t="s">
        <v>98</v>
      </c>
      <c r="RQ1" s="42" t="s">
        <v>99</v>
      </c>
      <c r="RR1" s="42" t="s">
        <v>100</v>
      </c>
      <c r="RS1" s="42" t="s">
        <v>101</v>
      </c>
      <c r="RT1" s="42" t="s">
        <v>102</v>
      </c>
      <c r="RU1" s="42" t="s">
        <v>103</v>
      </c>
      <c r="RV1" s="42" t="s">
        <v>104</v>
      </c>
      <c r="RW1" s="42" t="s">
        <v>105</v>
      </c>
      <c r="RX1" s="42" t="s">
        <v>106</v>
      </c>
      <c r="RY1" s="42" t="s">
        <v>107</v>
      </c>
      <c r="RZ1" s="42" t="s">
        <v>108</v>
      </c>
      <c r="SA1" s="42" t="s">
        <v>109</v>
      </c>
      <c r="SB1" s="42" t="s">
        <v>110</v>
      </c>
      <c r="SC1" s="42" t="s">
        <v>111</v>
      </c>
      <c r="SD1" s="42" t="s">
        <v>1087</v>
      </c>
      <c r="SE1" s="42" t="s">
        <v>1088</v>
      </c>
      <c r="SF1" s="42" t="s">
        <v>1089</v>
      </c>
      <c r="SG1" s="42" t="s">
        <v>1090</v>
      </c>
      <c r="SH1" s="42" t="s">
        <v>1091</v>
      </c>
      <c r="SI1" s="42" t="s">
        <v>1092</v>
      </c>
      <c r="SJ1" s="42" t="s">
        <v>1093</v>
      </c>
      <c r="SK1" s="42" t="s">
        <v>1094</v>
      </c>
      <c r="SL1" s="42" t="s">
        <v>1095</v>
      </c>
      <c r="SM1" s="42" t="s">
        <v>1096</v>
      </c>
      <c r="SN1" s="42" t="s">
        <v>1097</v>
      </c>
      <c r="SO1" s="42" t="s">
        <v>1139</v>
      </c>
      <c r="SP1" s="42" t="s">
        <v>924</v>
      </c>
      <c r="SQ1" s="42" t="s">
        <v>1032</v>
      </c>
      <c r="SR1" s="42" t="s">
        <v>1098</v>
      </c>
      <c r="SS1" s="42" t="s">
        <v>1099</v>
      </c>
      <c r="ST1" s="42" t="s">
        <v>1100</v>
      </c>
      <c r="SU1" s="42" t="s">
        <v>1101</v>
      </c>
      <c r="SV1" s="42" t="s">
        <v>1102</v>
      </c>
      <c r="SW1" s="42" t="s">
        <v>1103</v>
      </c>
      <c r="SX1" s="42" t="s">
        <v>1104</v>
      </c>
      <c r="SY1" s="42" t="s">
        <v>1105</v>
      </c>
      <c r="SZ1" s="42" t="s">
        <v>1106</v>
      </c>
      <c r="TA1" s="42" t="s">
        <v>1140</v>
      </c>
      <c r="TB1" s="42" t="s">
        <v>925</v>
      </c>
      <c r="TC1" s="42" t="s">
        <v>1033</v>
      </c>
      <c r="TD1" s="42" t="s">
        <v>1107</v>
      </c>
      <c r="TE1" s="42" t="s">
        <v>1108</v>
      </c>
      <c r="TF1" s="42" t="s">
        <v>1109</v>
      </c>
      <c r="TG1" s="42" t="s">
        <v>1110</v>
      </c>
      <c r="TH1" s="42" t="s">
        <v>1111</v>
      </c>
      <c r="TI1" s="42" t="s">
        <v>1112</v>
      </c>
      <c r="TJ1" s="42" t="s">
        <v>1113</v>
      </c>
      <c r="TK1" s="42" t="s">
        <v>1114</v>
      </c>
      <c r="TL1" s="42" t="s">
        <v>1115</v>
      </c>
    </row>
    <row r="2" spans="1:532" x14ac:dyDescent="0.25">
      <c r="A2" t="s">
        <v>271</v>
      </c>
      <c r="B2" t="s">
        <v>270</v>
      </c>
      <c r="C2" s="3" t="s">
        <v>127</v>
      </c>
      <c r="D2" t="s">
        <v>128</v>
      </c>
      <c r="G2" t="str">
        <f>IF(F2="","",F2)</f>
        <v/>
      </c>
      <c r="J2">
        <v>0.7</v>
      </c>
      <c r="M2">
        <v>0.4</v>
      </c>
      <c r="N2">
        <v>59675</v>
      </c>
      <c r="O2" s="2">
        <v>45427</v>
      </c>
      <c r="P2" t="s">
        <v>129</v>
      </c>
      <c r="Q2" s="1"/>
      <c r="S2" s="1" t="s">
        <v>130</v>
      </c>
      <c r="T2" s="10" t="s">
        <v>554</v>
      </c>
      <c r="U2" s="11">
        <v>1</v>
      </c>
      <c r="V2" s="11" t="s">
        <v>309</v>
      </c>
      <c r="W2" s="11"/>
      <c r="X2" s="12"/>
      <c r="Y2" s="12"/>
      <c r="Z2" s="12"/>
      <c r="AA2" s="12"/>
      <c r="AB2" s="12"/>
      <c r="AC2" s="12" t="s">
        <v>131</v>
      </c>
      <c r="AD2" s="12" t="s">
        <v>133</v>
      </c>
      <c r="AE2" s="12" t="s">
        <v>134</v>
      </c>
      <c r="AF2" s="12" t="s">
        <v>132</v>
      </c>
      <c r="AG2" s="12" t="s">
        <v>135</v>
      </c>
      <c r="AH2" s="12" t="s">
        <v>136</v>
      </c>
      <c r="AI2" s="12" t="s">
        <v>141</v>
      </c>
      <c r="AJ2" s="12"/>
      <c r="AK2" s="12"/>
      <c r="AL2" s="12" t="s">
        <v>137</v>
      </c>
      <c r="AM2" s="12" t="s">
        <v>138</v>
      </c>
      <c r="AN2" s="12"/>
      <c r="AO2" s="12"/>
      <c r="AP2" s="12" t="s">
        <v>139</v>
      </c>
      <c r="AQ2" s="12" t="s">
        <v>140</v>
      </c>
      <c r="AR2" s="12"/>
      <c r="AS2" s="12"/>
      <c r="AT2" s="12"/>
      <c r="AU2" s="12"/>
      <c r="AV2" s="12"/>
      <c r="AW2" s="12"/>
      <c r="AX2" s="12"/>
      <c r="AY2" s="12"/>
      <c r="AZ2" s="13"/>
      <c r="BA2" s="12" t="str">
        <f t="shared" ref="BA2:BA33" si="0">CONCATENATE("XT",U2)</f>
        <v>XT1</v>
      </c>
      <c r="BB2" s="12" t="str">
        <f t="shared" ref="BB2:BB33" si="1">CONCATENATE("C",REPLACE(AD2,1,1,"")+1)</f>
        <v>C2</v>
      </c>
      <c r="BC2" s="12" t="str">
        <f t="shared" ref="BC2:BC33" si="2">CONCATENATE("B",REPLACE(AE2,1,1,"")+1)</f>
        <v>B2</v>
      </c>
      <c r="BD2" s="12" t="str">
        <f t="shared" ref="BD2:BD33" si="3">CONCATENATE("C",REPLACE(BB2,1,1,"")+1)</f>
        <v>C3</v>
      </c>
      <c r="BE2" s="12" t="str">
        <f t="shared" ref="BE2:BE33" si="4">CONCATENATE("B",REPLACE(BC2,1,1,"")+1)</f>
        <v>B3</v>
      </c>
      <c r="BF2" s="12" t="str">
        <f t="shared" ref="BF2:BF33" si="5">CONCATENATE("C",REPLACE(BD2,1,1,"")+1)</f>
        <v>C4</v>
      </c>
      <c r="BG2" s="12" t="str">
        <f t="shared" ref="BG2:BG33" si="6">CONCATENATE("B",REPLACE(BE2,1,1,"")+1)</f>
        <v>B4</v>
      </c>
      <c r="BH2" s="12" t="str">
        <f t="shared" ref="BH2:BH33" si="7">CONCATENATE("C",REPLACE(BF2,1,1,"")+1)</f>
        <v>C5</v>
      </c>
      <c r="BI2" s="12" t="str">
        <f t="shared" ref="BI2:BI33" si="8">CONCATENATE("B",REPLACE(BG2,1,1,"")+1)</f>
        <v>B5</v>
      </c>
      <c r="BJ2" s="12" t="str">
        <f t="shared" ref="BJ2:BJ33" si="9">CONCATENATE("C",REPLACE(BH2,1,1,"")+1)</f>
        <v>C6</v>
      </c>
      <c r="BK2" s="12" t="str">
        <f t="shared" ref="BK2:BK33" si="10">CONCATENATE("B",REPLACE(BI2,1,1,"")+1)</f>
        <v>B6</v>
      </c>
      <c r="BL2" s="12" t="str">
        <f t="shared" ref="BL2:BL33" si="11">CONCATENATE(REPLACE(AG2,LEN(AG2),1,"")+1,"B")</f>
        <v>2B</v>
      </c>
      <c r="BM2" s="12" t="str">
        <f t="shared" ref="BM2:BM33" si="12">CONCATENATE(REPLACE(AH2,LEN(AH2),1,"")+1,"A")</f>
        <v>2A</v>
      </c>
      <c r="BN2" s="12" t="str">
        <f>CONCATENATE(REPLACE(BL2,LEN(BL2),1,"")+1,"B")</f>
        <v>3B</v>
      </c>
      <c r="BO2" s="12" t="str">
        <f>CONCATENATE(REPLACE(BM2,LEN(BM2),1,"")+1,"A")</f>
        <v>3A</v>
      </c>
      <c r="BP2" s="12" t="str">
        <f t="shared" ref="BP2:BQ33" si="13">CONCATENATE("DI",REPLACE($AC2,1,3,""),"-",AD2)</f>
        <v>DI1-C1</v>
      </c>
      <c r="BQ2" s="12" t="str">
        <f t="shared" si="13"/>
        <v>DI1-B1</v>
      </c>
      <c r="BR2" s="12" t="str">
        <f t="shared" ref="BR2:CA17" si="14">CONCATENATE("DI",REPLACE($AC2,1,3,""),"-",BB2)</f>
        <v>DI1-C2</v>
      </c>
      <c r="BS2" s="12" t="str">
        <f t="shared" si="14"/>
        <v>DI1-B2</v>
      </c>
      <c r="BT2" s="12" t="str">
        <f t="shared" si="14"/>
        <v>DI1-C3</v>
      </c>
      <c r="BU2" s="12" t="str">
        <f t="shared" si="14"/>
        <v>DI1-B3</v>
      </c>
      <c r="BV2" s="12" t="str">
        <f t="shared" si="14"/>
        <v>DI1-C4</v>
      </c>
      <c r="BW2" s="12" t="str">
        <f t="shared" si="14"/>
        <v>DI1-B4</v>
      </c>
      <c r="BX2" s="12" t="str">
        <f t="shared" si="14"/>
        <v>DI1-C5</v>
      </c>
      <c r="BY2" s="12" t="str">
        <f t="shared" si="14"/>
        <v>DI1-B5</v>
      </c>
      <c r="BZ2" s="12" t="str">
        <f t="shared" si="14"/>
        <v>DI1-C6</v>
      </c>
      <c r="CA2" s="12" t="str">
        <f t="shared" si="14"/>
        <v>DI1-B6</v>
      </c>
      <c r="CB2" s="12" t="str">
        <f t="shared" ref="CB2:CC33" si="15">CONCATENATE("DO",REPLACE($AF2,1,3,""),"-",AG2)</f>
        <v>DO1-1B</v>
      </c>
      <c r="CC2" s="12" t="str">
        <f t="shared" si="15"/>
        <v>DO1-1A</v>
      </c>
      <c r="CD2" s="12" t="str">
        <f t="shared" ref="CD2:CG33" si="16">CONCATENATE("DO",REPLACE($AF2,1,3,""),"-",BL2)</f>
        <v>DO1-2B</v>
      </c>
      <c r="CE2" s="12" t="str">
        <f t="shared" si="16"/>
        <v>DO1-2A</v>
      </c>
      <c r="CF2" s="12" t="str">
        <f t="shared" si="16"/>
        <v>DO1-3B</v>
      </c>
      <c r="CG2" s="12" t="str">
        <f t="shared" si="16"/>
        <v>DO1-3A</v>
      </c>
      <c r="CH2" s="12" t="str">
        <f>CONCATENATE("K",$U2,"-10")</f>
        <v>K1-10</v>
      </c>
      <c r="CI2" s="12" t="str">
        <f>CONCATENATE("K",$U2,"-03")</f>
        <v>K1-03</v>
      </c>
      <c r="CJ2" s="12" t="str">
        <f>CONCATENATE("K",$U2,"-04")</f>
        <v>K1-04</v>
      </c>
      <c r="CK2" s="12" t="str">
        <f>CONCATENATE("K",$U2,"-01")</f>
        <v>K1-01</v>
      </c>
      <c r="CL2" s="12" t="str">
        <f>CONCATENATE("K",$U2,"-08")</f>
        <v>K1-08</v>
      </c>
      <c r="CM2" s="12" t="str">
        <f>CONCATENATE("K",$U2,"-02")</f>
        <v>K1-02</v>
      </c>
      <c r="CN2" s="12" t="str">
        <f>CONCATENATE("K",$U2,"-09")</f>
        <v>K1-09</v>
      </c>
      <c r="CO2" s="12" t="str">
        <f>CONCATENATE("K",$U2,"-05")</f>
        <v>K1-05</v>
      </c>
      <c r="CP2" s="12" t="str">
        <f>CONCATENATE("K",$U2,"-11")</f>
        <v>K1-11</v>
      </c>
      <c r="CQ2" s="12" t="str">
        <f>CONCATENATE($T2,"-M",$U2,"-A9")</f>
        <v>F0-M1-A9</v>
      </c>
      <c r="CR2" s="12" t="str">
        <f>CONCATENATE($T2,"-M",$U2,"-A7")</f>
        <v>F0-M1-A7</v>
      </c>
      <c r="CS2" s="12" t="str">
        <f>CONCATENATE($T2,"-M",$U2,"-A8")</f>
        <v>F0-M1-A8</v>
      </c>
      <c r="CT2" s="12" t="str">
        <f>CONCATENATE($T2,"-M",$U2,"-A6")</f>
        <v>F0-M1-A6</v>
      </c>
      <c r="CU2" s="12" t="str">
        <f>CONCATENATE($T2,"-M",$U2,"-A30")</f>
        <v>F0-M1-A30</v>
      </c>
      <c r="CV2" s="12" t="str">
        <f>CONCATENATE($T2,"-M",$U2,"-N")</f>
        <v>F0-M1-N</v>
      </c>
      <c r="CW2" s="12" t="str">
        <f t="shared" ref="CW2:CW33" si="17">CONCATENATE($T2,"-A220-M",U2)</f>
        <v>F0-A220-M1</v>
      </c>
      <c r="CX2" s="12" t="str">
        <f>CONCATENATE($T2,"-M",$U2,"-XM01")</f>
        <v>F0-M1-XM01</v>
      </c>
      <c r="CY2" s="12" t="str">
        <f>CONCATENATE($T2,"-M",$U2,"-A1")</f>
        <v>F0-M1-A1</v>
      </c>
      <c r="CZ2" s="12" t="str">
        <f>CONCATENATE($T2,"-M",$U2,"-A5")</f>
        <v>F0-M1-A5</v>
      </c>
      <c r="DA2" s="12" t="str">
        <f>CONCATENATE($T2,"-M",$U2,"-A11")</f>
        <v>F0-M1-A11</v>
      </c>
      <c r="DB2" s="12" t="str">
        <f>CONCATENATE($T2,"-M",$U2,"-A12")</f>
        <v>F0-M1-A12</v>
      </c>
      <c r="DC2" s="12" t="str">
        <f>CONCATENATE($T2,"-M",$U2,"-A19")</f>
        <v>F0-M1-A19</v>
      </c>
      <c r="DD2" s="12" t="str">
        <f>CONCATENATE($T2,"-M",$U2,"-A20")</f>
        <v>F0-M1-A20</v>
      </c>
      <c r="DE2" s="12" t="s">
        <v>142</v>
      </c>
      <c r="DF2" s="12" t="s">
        <v>143</v>
      </c>
      <c r="DG2" s="12">
        <v>11</v>
      </c>
      <c r="DH2" s="12">
        <v>14</v>
      </c>
      <c r="DI2" s="12">
        <v>12</v>
      </c>
      <c r="DJ2" s="12" t="s">
        <v>144</v>
      </c>
      <c r="DK2" s="12" t="s">
        <v>145</v>
      </c>
      <c r="DL2" s="12">
        <v>1</v>
      </c>
      <c r="DM2" s="12">
        <v>2</v>
      </c>
      <c r="DN2" s="12">
        <v>3</v>
      </c>
      <c r="DO2" s="12">
        <v>4</v>
      </c>
      <c r="DP2" s="12">
        <v>5</v>
      </c>
      <c r="DQ2" s="12">
        <v>6</v>
      </c>
      <c r="DR2" s="12">
        <v>7</v>
      </c>
      <c r="DS2" s="12">
        <v>8</v>
      </c>
      <c r="DT2" s="12">
        <v>9</v>
      </c>
      <c r="DU2" s="12">
        <v>10</v>
      </c>
      <c r="DV2" s="12">
        <v>11</v>
      </c>
      <c r="DW2" s="12">
        <v>12</v>
      </c>
      <c r="DX2" s="12">
        <v>13</v>
      </c>
      <c r="DY2" s="12">
        <v>14</v>
      </c>
      <c r="DZ2" s="12">
        <v>1</v>
      </c>
      <c r="EA2" s="12">
        <v>3</v>
      </c>
      <c r="EB2" s="12">
        <v>4</v>
      </c>
      <c r="EC2" s="12">
        <v>7</v>
      </c>
      <c r="ED2" s="12">
        <v>8</v>
      </c>
      <c r="EE2" s="12">
        <v>9</v>
      </c>
      <c r="EF2" s="12">
        <v>10</v>
      </c>
      <c r="EG2" s="12">
        <v>13</v>
      </c>
      <c r="EH2" s="12">
        <v>14</v>
      </c>
      <c r="EI2" s="12">
        <v>15</v>
      </c>
      <c r="EJ2" s="12">
        <v>16</v>
      </c>
      <c r="EK2" s="12">
        <v>22</v>
      </c>
      <c r="EL2" s="12">
        <v>23</v>
      </c>
      <c r="EM2" s="13">
        <v>24</v>
      </c>
    </row>
    <row r="3" spans="1:532" x14ac:dyDescent="0.25">
      <c r="A3" t="s">
        <v>146</v>
      </c>
      <c r="B3" t="s">
        <v>147</v>
      </c>
      <c r="C3" s="3" t="s">
        <v>127</v>
      </c>
      <c r="O3" s="2"/>
      <c r="P3" t="s">
        <v>129</v>
      </c>
      <c r="Q3" s="1"/>
      <c r="S3" s="1" t="s">
        <v>130</v>
      </c>
      <c r="T3" s="14" t="s">
        <v>554</v>
      </c>
      <c r="U3" s="15">
        <v>2</v>
      </c>
      <c r="V3" s="15" t="s">
        <v>310</v>
      </c>
      <c r="W3" s="15"/>
      <c r="AC3" t="s">
        <v>131</v>
      </c>
      <c r="AD3" t="s">
        <v>148</v>
      </c>
      <c r="AE3" t="s">
        <v>149</v>
      </c>
      <c r="AF3" t="s">
        <v>132</v>
      </c>
      <c r="AG3" t="s">
        <v>243</v>
      </c>
      <c r="AH3" t="s">
        <v>244</v>
      </c>
      <c r="AI3" t="s">
        <v>150</v>
      </c>
      <c r="AL3" t="s">
        <v>137</v>
      </c>
      <c r="AM3" t="s">
        <v>138</v>
      </c>
      <c r="AP3" t="s">
        <v>139</v>
      </c>
      <c r="AQ3" t="s">
        <v>140</v>
      </c>
      <c r="AZ3" s="16"/>
      <c r="BA3" t="str">
        <f t="shared" si="0"/>
        <v>XT2</v>
      </c>
      <c r="BB3" t="str">
        <f t="shared" si="1"/>
        <v>C8</v>
      </c>
      <c r="BC3" t="str">
        <f t="shared" si="2"/>
        <v>B8</v>
      </c>
      <c r="BD3" t="str">
        <f t="shared" si="3"/>
        <v>C9</v>
      </c>
      <c r="BE3" t="str">
        <f t="shared" si="4"/>
        <v>B9</v>
      </c>
      <c r="BF3" t="str">
        <f t="shared" si="5"/>
        <v>C10</v>
      </c>
      <c r="BG3" t="str">
        <f t="shared" si="6"/>
        <v>B10</v>
      </c>
      <c r="BH3" t="str">
        <f t="shared" si="7"/>
        <v>C11</v>
      </c>
      <c r="BI3" t="str">
        <f t="shared" si="8"/>
        <v>B11</v>
      </c>
      <c r="BJ3" t="str">
        <f t="shared" si="9"/>
        <v>C12</v>
      </c>
      <c r="BK3" t="str">
        <f t="shared" si="10"/>
        <v>B12</v>
      </c>
      <c r="BL3" t="str">
        <f t="shared" si="11"/>
        <v>5B</v>
      </c>
      <c r="BM3" t="str">
        <f t="shared" si="12"/>
        <v>5A</v>
      </c>
      <c r="BN3" t="str">
        <f t="shared" ref="BN3:BN33" si="18">CONCATENATE(REPLACE(BL3,LEN(BL3),1,"")+1,"B")</f>
        <v>6B</v>
      </c>
      <c r="BO3" t="str">
        <f t="shared" ref="BO3:BO33" si="19">CONCATENATE(REPLACE(BM3,LEN(BM3),1,"")+1,"A")</f>
        <v>6A</v>
      </c>
      <c r="BP3" t="str">
        <f t="shared" si="13"/>
        <v>DI1-C7</v>
      </c>
      <c r="BQ3" t="str">
        <f t="shared" si="13"/>
        <v>DI1-B7</v>
      </c>
      <c r="BR3" t="str">
        <f t="shared" si="14"/>
        <v>DI1-C8</v>
      </c>
      <c r="BS3" t="str">
        <f t="shared" si="14"/>
        <v>DI1-B8</v>
      </c>
      <c r="BT3" t="str">
        <f t="shared" si="14"/>
        <v>DI1-C9</v>
      </c>
      <c r="BU3" t="str">
        <f t="shared" si="14"/>
        <v>DI1-B9</v>
      </c>
      <c r="BV3" t="str">
        <f t="shared" si="14"/>
        <v>DI1-C10</v>
      </c>
      <c r="BW3" t="str">
        <f t="shared" si="14"/>
        <v>DI1-B10</v>
      </c>
      <c r="BX3" t="str">
        <f t="shared" si="14"/>
        <v>DI1-C11</v>
      </c>
      <c r="BY3" t="str">
        <f t="shared" si="14"/>
        <v>DI1-B11</v>
      </c>
      <c r="BZ3" t="str">
        <f t="shared" si="14"/>
        <v>DI1-C12</v>
      </c>
      <c r="CA3" t="str">
        <f t="shared" si="14"/>
        <v>DI1-B12</v>
      </c>
      <c r="CB3" t="str">
        <f t="shared" si="15"/>
        <v>DO1-4B</v>
      </c>
      <c r="CC3" t="str">
        <f t="shared" si="15"/>
        <v>DO1-4A</v>
      </c>
      <c r="CD3" t="str">
        <f t="shared" si="16"/>
        <v>DO1-5B</v>
      </c>
      <c r="CE3" t="str">
        <f t="shared" si="16"/>
        <v>DO1-5A</v>
      </c>
      <c r="CF3" t="str">
        <f t="shared" si="16"/>
        <v>DO1-6B</v>
      </c>
      <c r="CG3" t="str">
        <f t="shared" si="16"/>
        <v>DO1-6A</v>
      </c>
      <c r="CH3" t="str">
        <f t="shared" ref="CH3:CH33" si="20">CONCATENATE("K",$U3,"-10")</f>
        <v>K2-10</v>
      </c>
      <c r="CI3" t="str">
        <f t="shared" ref="CI3:CI33" si="21">CONCATENATE("K",$U3,"-03")</f>
        <v>K2-03</v>
      </c>
      <c r="CJ3" t="str">
        <f t="shared" ref="CJ3:CJ33" si="22">CONCATENATE("K",$U3,"-04")</f>
        <v>K2-04</v>
      </c>
      <c r="CK3" t="str">
        <f t="shared" ref="CK3:CK33" si="23">CONCATENATE("K",$U3,"-01")</f>
        <v>K2-01</v>
      </c>
      <c r="CL3" t="str">
        <f t="shared" ref="CL3:CL33" si="24">CONCATENATE("K",$U3,"-08")</f>
        <v>K2-08</v>
      </c>
      <c r="CM3" t="str">
        <f t="shared" ref="CM3:CM33" si="25">CONCATENATE("K",$U3,"-02")</f>
        <v>K2-02</v>
      </c>
      <c r="CN3" t="str">
        <f t="shared" ref="CN3:CN33" si="26">CONCATENATE("K",$U3,"-09")</f>
        <v>K2-09</v>
      </c>
      <c r="CO3" t="str">
        <f t="shared" ref="CO3:CO33" si="27">CONCATENATE("K",$U3,"-05")</f>
        <v>K2-05</v>
      </c>
      <c r="CP3" t="str">
        <f t="shared" ref="CP3:CP33" si="28">CONCATENATE("K",$U3,"-11")</f>
        <v>K2-11</v>
      </c>
      <c r="CQ3" t="str">
        <f t="shared" ref="CQ3:CQ33" si="29">CONCATENATE($T3,"-M",$U3,"-A9")</f>
        <v>F0-M2-A9</v>
      </c>
      <c r="CR3" t="str">
        <f t="shared" ref="CR3:CR33" si="30">CONCATENATE($T3,"-M",$U3,"-A7")</f>
        <v>F0-M2-A7</v>
      </c>
      <c r="CS3" t="str">
        <f t="shared" ref="CS3:CS33" si="31">CONCATENATE($T3,"-M",$U3,"-A8")</f>
        <v>F0-M2-A8</v>
      </c>
      <c r="CT3" t="str">
        <f t="shared" ref="CT3:CT33" si="32">CONCATENATE($T3,"-M",$U3,"-A6")</f>
        <v>F0-M2-A6</v>
      </c>
      <c r="CU3" t="str">
        <f t="shared" ref="CU3:CU33" si="33">CONCATENATE($T3,"-M",$U3,"-A30")</f>
        <v>F0-M2-A30</v>
      </c>
      <c r="CV3" t="str">
        <f t="shared" ref="CV3:CV33" si="34">CONCATENATE($T3,"-M",$U3,"-N")</f>
        <v>F0-M2-N</v>
      </c>
      <c r="CW3" t="str">
        <f t="shared" si="17"/>
        <v>F0-A220-M2</v>
      </c>
      <c r="CX3" t="str">
        <f t="shared" ref="CX3:CX33" si="35">CONCATENATE($T3,"-M",$U3,"-XM01")</f>
        <v>F0-M2-XM01</v>
      </c>
      <c r="CY3" t="str">
        <f t="shared" ref="CY3:CY33" si="36">CONCATENATE($T3,"-M",$U3,"-A1")</f>
        <v>F0-M2-A1</v>
      </c>
      <c r="CZ3" t="str">
        <f t="shared" ref="CZ3:CZ33" si="37">CONCATENATE($T3,"-M",$U3,"-A5")</f>
        <v>F0-M2-A5</v>
      </c>
      <c r="DA3" t="str">
        <f t="shared" ref="DA3:DA33" si="38">CONCATENATE($T3,"-M",$U3,"-A11")</f>
        <v>F0-M2-A11</v>
      </c>
      <c r="DB3" t="str">
        <f t="shared" ref="DB3:DB33" si="39">CONCATENATE($T3,"-M",$U3,"-A12")</f>
        <v>F0-M2-A12</v>
      </c>
      <c r="DC3" t="str">
        <f t="shared" ref="DC3:DC33" si="40">CONCATENATE($T3,"-M",$U3,"-A19")</f>
        <v>F0-M2-A19</v>
      </c>
      <c r="DD3" t="str">
        <f t="shared" ref="DD3:DD33" si="41">CONCATENATE($T3,"-M",$U3,"-A20")</f>
        <v>F0-M2-A20</v>
      </c>
      <c r="DE3" t="s">
        <v>142</v>
      </c>
      <c r="DF3" t="s">
        <v>143</v>
      </c>
      <c r="DG3">
        <v>11</v>
      </c>
      <c r="DH3">
        <v>14</v>
      </c>
      <c r="DI3">
        <v>12</v>
      </c>
      <c r="DJ3" t="s">
        <v>144</v>
      </c>
      <c r="DK3" t="s">
        <v>145</v>
      </c>
      <c r="DL3">
        <v>1</v>
      </c>
      <c r="DM3">
        <v>2</v>
      </c>
      <c r="DN3">
        <v>3</v>
      </c>
      <c r="DO3">
        <v>4</v>
      </c>
      <c r="DP3">
        <v>5</v>
      </c>
      <c r="DQ3">
        <v>6</v>
      </c>
      <c r="DR3">
        <v>7</v>
      </c>
      <c r="DS3">
        <v>8</v>
      </c>
      <c r="DT3">
        <v>9</v>
      </c>
      <c r="DU3">
        <v>10</v>
      </c>
      <c r="DV3">
        <v>11</v>
      </c>
      <c r="DW3">
        <v>12</v>
      </c>
      <c r="DX3">
        <v>13</v>
      </c>
      <c r="DY3">
        <v>14</v>
      </c>
      <c r="DZ3">
        <v>1</v>
      </c>
      <c r="EA3">
        <v>3</v>
      </c>
      <c r="EB3">
        <v>4</v>
      </c>
      <c r="EC3">
        <v>7</v>
      </c>
      <c r="ED3">
        <v>8</v>
      </c>
      <c r="EE3">
        <v>9</v>
      </c>
      <c r="EF3">
        <v>10</v>
      </c>
      <c r="EG3">
        <v>13</v>
      </c>
      <c r="EH3">
        <v>14</v>
      </c>
      <c r="EI3">
        <v>15</v>
      </c>
      <c r="EJ3">
        <v>16</v>
      </c>
      <c r="EK3">
        <v>22</v>
      </c>
      <c r="EL3">
        <v>23</v>
      </c>
      <c r="EM3" s="16">
        <v>24</v>
      </c>
    </row>
    <row r="4" spans="1:532" x14ac:dyDescent="0.25">
      <c r="A4" t="s">
        <v>151</v>
      </c>
      <c r="B4" t="s">
        <v>152</v>
      </c>
      <c r="C4" s="3" t="s">
        <v>127</v>
      </c>
      <c r="O4" s="2"/>
      <c r="P4" t="s">
        <v>129</v>
      </c>
      <c r="Q4" s="1"/>
      <c r="S4" s="1" t="s">
        <v>130</v>
      </c>
      <c r="T4" s="14" t="s">
        <v>554</v>
      </c>
      <c r="U4" s="15">
        <v>3</v>
      </c>
      <c r="V4" s="15" t="s">
        <v>311</v>
      </c>
      <c r="W4" s="15"/>
      <c r="AC4" t="s">
        <v>131</v>
      </c>
      <c r="AD4" t="s">
        <v>153</v>
      </c>
      <c r="AE4" t="s">
        <v>154</v>
      </c>
      <c r="AF4" t="s">
        <v>132</v>
      </c>
      <c r="AG4" t="s">
        <v>245</v>
      </c>
      <c r="AH4" t="s">
        <v>246</v>
      </c>
      <c r="AI4" t="s">
        <v>155</v>
      </c>
      <c r="AL4" t="s">
        <v>137</v>
      </c>
      <c r="AM4" t="s">
        <v>138</v>
      </c>
      <c r="AP4" t="s">
        <v>139</v>
      </c>
      <c r="AQ4" t="s">
        <v>140</v>
      </c>
      <c r="AZ4" s="16"/>
      <c r="BA4" t="str">
        <f t="shared" si="0"/>
        <v>XT3</v>
      </c>
      <c r="BB4" t="str">
        <f t="shared" si="1"/>
        <v>C14</v>
      </c>
      <c r="BC4" t="str">
        <f t="shared" si="2"/>
        <v>B14</v>
      </c>
      <c r="BD4" t="str">
        <f t="shared" si="3"/>
        <v>C15</v>
      </c>
      <c r="BE4" t="str">
        <f t="shared" si="4"/>
        <v>B15</v>
      </c>
      <c r="BF4" t="str">
        <f t="shared" si="5"/>
        <v>C16</v>
      </c>
      <c r="BG4" t="str">
        <f t="shared" si="6"/>
        <v>B16</v>
      </c>
      <c r="BH4" t="str">
        <f t="shared" si="7"/>
        <v>C17</v>
      </c>
      <c r="BI4" t="str">
        <f t="shared" si="8"/>
        <v>B17</v>
      </c>
      <c r="BJ4" t="str">
        <f t="shared" si="9"/>
        <v>C18</v>
      </c>
      <c r="BK4" t="str">
        <f t="shared" si="10"/>
        <v>B18</v>
      </c>
      <c r="BL4" t="str">
        <f t="shared" si="11"/>
        <v>8B</v>
      </c>
      <c r="BM4" t="str">
        <f t="shared" si="12"/>
        <v>8A</v>
      </c>
      <c r="BN4" t="str">
        <f t="shared" si="18"/>
        <v>9B</v>
      </c>
      <c r="BO4" t="str">
        <f t="shared" si="19"/>
        <v>9A</v>
      </c>
      <c r="BP4" t="str">
        <f t="shared" si="13"/>
        <v>DI1-C13</v>
      </c>
      <c r="BQ4" t="str">
        <f t="shared" si="13"/>
        <v>DI1-B13</v>
      </c>
      <c r="BR4" t="str">
        <f t="shared" si="14"/>
        <v>DI1-C14</v>
      </c>
      <c r="BS4" t="str">
        <f t="shared" si="14"/>
        <v>DI1-B14</v>
      </c>
      <c r="BT4" t="str">
        <f t="shared" si="14"/>
        <v>DI1-C15</v>
      </c>
      <c r="BU4" t="str">
        <f t="shared" si="14"/>
        <v>DI1-B15</v>
      </c>
      <c r="BV4" t="str">
        <f t="shared" si="14"/>
        <v>DI1-C16</v>
      </c>
      <c r="BW4" t="str">
        <f t="shared" si="14"/>
        <v>DI1-B16</v>
      </c>
      <c r="BX4" t="str">
        <f t="shared" si="14"/>
        <v>DI1-C17</v>
      </c>
      <c r="BY4" t="str">
        <f t="shared" si="14"/>
        <v>DI1-B17</v>
      </c>
      <c r="BZ4" t="str">
        <f t="shared" si="14"/>
        <v>DI1-C18</v>
      </c>
      <c r="CA4" t="str">
        <f t="shared" si="14"/>
        <v>DI1-B18</v>
      </c>
      <c r="CB4" t="str">
        <f t="shared" si="15"/>
        <v>DO1-7B</v>
      </c>
      <c r="CC4" t="str">
        <f t="shared" si="15"/>
        <v>DO1-7A</v>
      </c>
      <c r="CD4" t="str">
        <f t="shared" si="16"/>
        <v>DO1-8B</v>
      </c>
      <c r="CE4" t="str">
        <f t="shared" si="16"/>
        <v>DO1-8A</v>
      </c>
      <c r="CF4" t="str">
        <f t="shared" si="16"/>
        <v>DO1-9B</v>
      </c>
      <c r="CG4" t="str">
        <f t="shared" si="16"/>
        <v>DO1-9A</v>
      </c>
      <c r="CH4" t="str">
        <f t="shared" si="20"/>
        <v>K3-10</v>
      </c>
      <c r="CI4" t="str">
        <f t="shared" si="21"/>
        <v>K3-03</v>
      </c>
      <c r="CJ4" t="str">
        <f t="shared" si="22"/>
        <v>K3-04</v>
      </c>
      <c r="CK4" t="str">
        <f t="shared" si="23"/>
        <v>K3-01</v>
      </c>
      <c r="CL4" t="str">
        <f t="shared" si="24"/>
        <v>K3-08</v>
      </c>
      <c r="CM4" t="str">
        <f t="shared" si="25"/>
        <v>K3-02</v>
      </c>
      <c r="CN4" t="str">
        <f t="shared" si="26"/>
        <v>K3-09</v>
      </c>
      <c r="CO4" t="str">
        <f t="shared" si="27"/>
        <v>K3-05</v>
      </c>
      <c r="CP4" t="str">
        <f t="shared" si="28"/>
        <v>K3-11</v>
      </c>
      <c r="CQ4" t="str">
        <f t="shared" si="29"/>
        <v>F0-M3-A9</v>
      </c>
      <c r="CR4" t="str">
        <f t="shared" si="30"/>
        <v>F0-M3-A7</v>
      </c>
      <c r="CS4" t="str">
        <f t="shared" si="31"/>
        <v>F0-M3-A8</v>
      </c>
      <c r="CT4" t="str">
        <f t="shared" si="32"/>
        <v>F0-M3-A6</v>
      </c>
      <c r="CU4" t="str">
        <f t="shared" si="33"/>
        <v>F0-M3-A30</v>
      </c>
      <c r="CV4" t="str">
        <f t="shared" si="34"/>
        <v>F0-M3-N</v>
      </c>
      <c r="CW4" t="str">
        <f t="shared" si="17"/>
        <v>F0-A220-M3</v>
      </c>
      <c r="CX4" t="str">
        <f t="shared" si="35"/>
        <v>F0-M3-XM01</v>
      </c>
      <c r="CY4" t="str">
        <f t="shared" si="36"/>
        <v>F0-M3-A1</v>
      </c>
      <c r="CZ4" t="str">
        <f t="shared" si="37"/>
        <v>F0-M3-A5</v>
      </c>
      <c r="DA4" t="str">
        <f t="shared" si="38"/>
        <v>F0-M3-A11</v>
      </c>
      <c r="DB4" t="str">
        <f t="shared" si="39"/>
        <v>F0-M3-A12</v>
      </c>
      <c r="DC4" t="str">
        <f t="shared" si="40"/>
        <v>F0-M3-A19</v>
      </c>
      <c r="DD4" t="str">
        <f t="shared" si="41"/>
        <v>F0-M3-A20</v>
      </c>
      <c r="DE4" t="s">
        <v>142</v>
      </c>
      <c r="DF4" t="s">
        <v>143</v>
      </c>
      <c r="DG4">
        <v>11</v>
      </c>
      <c r="DH4">
        <v>14</v>
      </c>
      <c r="DI4">
        <v>12</v>
      </c>
      <c r="DJ4" t="s">
        <v>144</v>
      </c>
      <c r="DK4" t="s">
        <v>145</v>
      </c>
      <c r="DL4">
        <v>1</v>
      </c>
      <c r="DM4">
        <v>2</v>
      </c>
      <c r="DN4">
        <v>3</v>
      </c>
      <c r="DO4">
        <v>4</v>
      </c>
      <c r="DP4">
        <v>5</v>
      </c>
      <c r="DQ4">
        <v>6</v>
      </c>
      <c r="DR4">
        <v>7</v>
      </c>
      <c r="DS4">
        <v>8</v>
      </c>
      <c r="DT4">
        <v>9</v>
      </c>
      <c r="DU4">
        <v>10</v>
      </c>
      <c r="DV4">
        <v>11</v>
      </c>
      <c r="DW4">
        <v>12</v>
      </c>
      <c r="DX4">
        <v>13</v>
      </c>
      <c r="DY4">
        <v>14</v>
      </c>
      <c r="DZ4">
        <v>1</v>
      </c>
      <c r="EA4">
        <v>3</v>
      </c>
      <c r="EB4">
        <v>4</v>
      </c>
      <c r="EC4">
        <v>7</v>
      </c>
      <c r="ED4">
        <v>8</v>
      </c>
      <c r="EE4">
        <v>9</v>
      </c>
      <c r="EF4">
        <v>10</v>
      </c>
      <c r="EG4">
        <v>13</v>
      </c>
      <c r="EH4">
        <v>14</v>
      </c>
      <c r="EI4">
        <v>15</v>
      </c>
      <c r="EJ4">
        <v>16</v>
      </c>
      <c r="EK4">
        <v>22</v>
      </c>
      <c r="EL4">
        <v>23</v>
      </c>
      <c r="EM4" s="16">
        <v>24</v>
      </c>
    </row>
    <row r="5" spans="1:532" x14ac:dyDescent="0.25">
      <c r="A5" t="s">
        <v>156</v>
      </c>
      <c r="B5" t="s">
        <v>157</v>
      </c>
      <c r="C5" s="3" t="s">
        <v>127</v>
      </c>
      <c r="O5" s="2"/>
      <c r="P5" t="s">
        <v>129</v>
      </c>
      <c r="Q5" s="1"/>
      <c r="S5" s="1" t="s">
        <v>130</v>
      </c>
      <c r="T5" s="14" t="s">
        <v>554</v>
      </c>
      <c r="U5" s="15">
        <v>4</v>
      </c>
      <c r="V5" s="15" t="s">
        <v>312</v>
      </c>
      <c r="W5" s="15"/>
      <c r="AC5" t="s">
        <v>131</v>
      </c>
      <c r="AD5" t="s">
        <v>239</v>
      </c>
      <c r="AE5" t="s">
        <v>241</v>
      </c>
      <c r="AF5" t="s">
        <v>132</v>
      </c>
      <c r="AG5" t="s">
        <v>247</v>
      </c>
      <c r="AH5" t="s">
        <v>254</v>
      </c>
      <c r="AI5" t="s">
        <v>158</v>
      </c>
      <c r="AL5" t="s">
        <v>137</v>
      </c>
      <c r="AM5" t="s">
        <v>138</v>
      </c>
      <c r="AP5" t="s">
        <v>139</v>
      </c>
      <c r="AQ5" t="s">
        <v>140</v>
      </c>
      <c r="AZ5" s="16"/>
      <c r="BA5" t="str">
        <f t="shared" si="0"/>
        <v>XT4</v>
      </c>
      <c r="BB5" t="str">
        <f t="shared" si="1"/>
        <v>C20</v>
      </c>
      <c r="BC5" t="str">
        <f t="shared" si="2"/>
        <v>B20</v>
      </c>
      <c r="BD5" t="str">
        <f t="shared" si="3"/>
        <v>C21</v>
      </c>
      <c r="BE5" t="str">
        <f t="shared" si="4"/>
        <v>B21</v>
      </c>
      <c r="BF5" t="str">
        <f t="shared" si="5"/>
        <v>C22</v>
      </c>
      <c r="BG5" t="str">
        <f t="shared" si="6"/>
        <v>B22</v>
      </c>
      <c r="BH5" t="str">
        <f t="shared" si="7"/>
        <v>C23</v>
      </c>
      <c r="BI5" t="str">
        <f t="shared" si="8"/>
        <v>B23</v>
      </c>
      <c r="BJ5" t="str">
        <f t="shared" si="9"/>
        <v>C24</v>
      </c>
      <c r="BK5" t="str">
        <f t="shared" si="10"/>
        <v>B24</v>
      </c>
      <c r="BL5" t="str">
        <f t="shared" si="11"/>
        <v>11B</v>
      </c>
      <c r="BM5" t="str">
        <f t="shared" si="12"/>
        <v>11A</v>
      </c>
      <c r="BN5" t="str">
        <f t="shared" si="18"/>
        <v>12B</v>
      </c>
      <c r="BO5" t="str">
        <f t="shared" si="19"/>
        <v>12A</v>
      </c>
      <c r="BP5" t="str">
        <f t="shared" si="13"/>
        <v>DI1-C19</v>
      </c>
      <c r="BQ5" t="str">
        <f t="shared" si="13"/>
        <v>DI1-B19</v>
      </c>
      <c r="BR5" t="str">
        <f t="shared" si="14"/>
        <v>DI1-C20</v>
      </c>
      <c r="BS5" t="str">
        <f t="shared" si="14"/>
        <v>DI1-B20</v>
      </c>
      <c r="BT5" t="str">
        <f t="shared" si="14"/>
        <v>DI1-C21</v>
      </c>
      <c r="BU5" t="str">
        <f t="shared" si="14"/>
        <v>DI1-B21</v>
      </c>
      <c r="BV5" t="str">
        <f t="shared" si="14"/>
        <v>DI1-C22</v>
      </c>
      <c r="BW5" t="str">
        <f t="shared" si="14"/>
        <v>DI1-B22</v>
      </c>
      <c r="BX5" t="str">
        <f t="shared" si="14"/>
        <v>DI1-C23</v>
      </c>
      <c r="BY5" t="str">
        <f t="shared" si="14"/>
        <v>DI1-B23</v>
      </c>
      <c r="BZ5" t="str">
        <f t="shared" si="14"/>
        <v>DI1-C24</v>
      </c>
      <c r="CA5" t="str">
        <f t="shared" si="14"/>
        <v>DI1-B24</v>
      </c>
      <c r="CB5" t="str">
        <f t="shared" si="15"/>
        <v>DO1-10B</v>
      </c>
      <c r="CC5" t="str">
        <f t="shared" si="15"/>
        <v>DO1-10A</v>
      </c>
      <c r="CD5" t="str">
        <f t="shared" si="16"/>
        <v>DO1-11B</v>
      </c>
      <c r="CE5" t="str">
        <f t="shared" si="16"/>
        <v>DO1-11A</v>
      </c>
      <c r="CF5" t="str">
        <f t="shared" si="16"/>
        <v>DO1-12B</v>
      </c>
      <c r="CG5" t="str">
        <f t="shared" si="16"/>
        <v>DO1-12A</v>
      </c>
      <c r="CH5" t="str">
        <f t="shared" si="20"/>
        <v>K4-10</v>
      </c>
      <c r="CI5" t="str">
        <f t="shared" si="21"/>
        <v>K4-03</v>
      </c>
      <c r="CJ5" t="str">
        <f t="shared" si="22"/>
        <v>K4-04</v>
      </c>
      <c r="CK5" t="str">
        <f t="shared" si="23"/>
        <v>K4-01</v>
      </c>
      <c r="CL5" t="str">
        <f t="shared" si="24"/>
        <v>K4-08</v>
      </c>
      <c r="CM5" t="str">
        <f t="shared" si="25"/>
        <v>K4-02</v>
      </c>
      <c r="CN5" t="str">
        <f t="shared" si="26"/>
        <v>K4-09</v>
      </c>
      <c r="CO5" t="str">
        <f t="shared" si="27"/>
        <v>K4-05</v>
      </c>
      <c r="CP5" t="str">
        <f t="shared" si="28"/>
        <v>K4-11</v>
      </c>
      <c r="CQ5" t="str">
        <f t="shared" si="29"/>
        <v>F0-M4-A9</v>
      </c>
      <c r="CR5" t="str">
        <f t="shared" si="30"/>
        <v>F0-M4-A7</v>
      </c>
      <c r="CS5" t="str">
        <f t="shared" si="31"/>
        <v>F0-M4-A8</v>
      </c>
      <c r="CT5" t="str">
        <f t="shared" si="32"/>
        <v>F0-M4-A6</v>
      </c>
      <c r="CU5" t="str">
        <f t="shared" si="33"/>
        <v>F0-M4-A30</v>
      </c>
      <c r="CV5" t="str">
        <f t="shared" si="34"/>
        <v>F0-M4-N</v>
      </c>
      <c r="CW5" t="str">
        <f t="shared" si="17"/>
        <v>F0-A220-M4</v>
      </c>
      <c r="CX5" t="str">
        <f t="shared" si="35"/>
        <v>F0-M4-XM01</v>
      </c>
      <c r="CY5" t="str">
        <f t="shared" si="36"/>
        <v>F0-M4-A1</v>
      </c>
      <c r="CZ5" t="str">
        <f t="shared" si="37"/>
        <v>F0-M4-A5</v>
      </c>
      <c r="DA5" t="str">
        <f t="shared" si="38"/>
        <v>F0-M4-A11</v>
      </c>
      <c r="DB5" t="str">
        <f t="shared" si="39"/>
        <v>F0-M4-A12</v>
      </c>
      <c r="DC5" t="str">
        <f t="shared" si="40"/>
        <v>F0-M4-A19</v>
      </c>
      <c r="DD5" t="str">
        <f t="shared" si="41"/>
        <v>F0-M4-A20</v>
      </c>
      <c r="DE5" t="s">
        <v>142</v>
      </c>
      <c r="DF5" t="s">
        <v>143</v>
      </c>
      <c r="DG5">
        <v>11</v>
      </c>
      <c r="DH5">
        <v>14</v>
      </c>
      <c r="DI5">
        <v>12</v>
      </c>
      <c r="DJ5" t="s">
        <v>144</v>
      </c>
      <c r="DK5" t="s">
        <v>145</v>
      </c>
      <c r="DL5">
        <v>1</v>
      </c>
      <c r="DM5">
        <v>2</v>
      </c>
      <c r="DN5">
        <v>3</v>
      </c>
      <c r="DO5">
        <v>4</v>
      </c>
      <c r="DP5">
        <v>5</v>
      </c>
      <c r="DQ5">
        <v>6</v>
      </c>
      <c r="DR5">
        <v>7</v>
      </c>
      <c r="DS5">
        <v>8</v>
      </c>
      <c r="DT5">
        <v>9</v>
      </c>
      <c r="DU5">
        <v>10</v>
      </c>
      <c r="DV5">
        <v>11</v>
      </c>
      <c r="DW5">
        <v>12</v>
      </c>
      <c r="DX5">
        <v>13</v>
      </c>
      <c r="DY5">
        <v>14</v>
      </c>
      <c r="DZ5">
        <v>1</v>
      </c>
      <c r="EA5">
        <v>3</v>
      </c>
      <c r="EB5">
        <v>4</v>
      </c>
      <c r="EC5">
        <v>7</v>
      </c>
      <c r="ED5">
        <v>8</v>
      </c>
      <c r="EE5">
        <v>9</v>
      </c>
      <c r="EF5">
        <v>10</v>
      </c>
      <c r="EG5">
        <v>13</v>
      </c>
      <c r="EH5">
        <v>14</v>
      </c>
      <c r="EI5">
        <v>15</v>
      </c>
      <c r="EJ5">
        <v>16</v>
      </c>
      <c r="EK5">
        <v>22</v>
      </c>
      <c r="EL5">
        <v>23</v>
      </c>
      <c r="EM5" s="16">
        <v>24</v>
      </c>
    </row>
    <row r="6" spans="1:532" x14ac:dyDescent="0.25">
      <c r="A6" t="s">
        <v>159</v>
      </c>
      <c r="B6" t="s">
        <v>160</v>
      </c>
      <c r="C6" s="3" t="s">
        <v>127</v>
      </c>
      <c r="O6" s="2"/>
      <c r="P6" t="s">
        <v>129</v>
      </c>
      <c r="Q6" s="1"/>
      <c r="S6" s="1" t="s">
        <v>130</v>
      </c>
      <c r="T6" s="14" t="s">
        <v>554</v>
      </c>
      <c r="U6" s="15">
        <v>5</v>
      </c>
      <c r="V6" s="15" t="s">
        <v>313</v>
      </c>
      <c r="W6" s="15"/>
      <c r="AC6" t="s">
        <v>131</v>
      </c>
      <c r="AD6" t="s">
        <v>240</v>
      </c>
      <c r="AE6" t="s">
        <v>242</v>
      </c>
      <c r="AF6" t="s">
        <v>132</v>
      </c>
      <c r="AG6" t="s">
        <v>248</v>
      </c>
      <c r="AH6" t="s">
        <v>255</v>
      </c>
      <c r="AI6" t="s">
        <v>161</v>
      </c>
      <c r="AL6" t="s">
        <v>137</v>
      </c>
      <c r="AM6" t="s">
        <v>138</v>
      </c>
      <c r="AP6" t="s">
        <v>139</v>
      </c>
      <c r="AQ6" t="s">
        <v>140</v>
      </c>
      <c r="AZ6" s="16"/>
      <c r="BA6" t="str">
        <f t="shared" si="0"/>
        <v>XT5</v>
      </c>
      <c r="BB6" t="str">
        <f t="shared" si="1"/>
        <v>C26</v>
      </c>
      <c r="BC6" t="str">
        <f t="shared" si="2"/>
        <v>B26</v>
      </c>
      <c r="BD6" t="str">
        <f t="shared" si="3"/>
        <v>C27</v>
      </c>
      <c r="BE6" t="str">
        <f t="shared" si="4"/>
        <v>B27</v>
      </c>
      <c r="BF6" t="str">
        <f t="shared" si="5"/>
        <v>C28</v>
      </c>
      <c r="BG6" t="str">
        <f t="shared" si="6"/>
        <v>B28</v>
      </c>
      <c r="BH6" t="str">
        <f t="shared" si="7"/>
        <v>C29</v>
      </c>
      <c r="BI6" t="str">
        <f t="shared" si="8"/>
        <v>B29</v>
      </c>
      <c r="BJ6" t="str">
        <f t="shared" si="9"/>
        <v>C30</v>
      </c>
      <c r="BK6" t="str">
        <f t="shared" si="10"/>
        <v>B30</v>
      </c>
      <c r="BL6" t="str">
        <f t="shared" si="11"/>
        <v>14B</v>
      </c>
      <c r="BM6" t="str">
        <f t="shared" si="12"/>
        <v>14A</v>
      </c>
      <c r="BN6" t="str">
        <f t="shared" si="18"/>
        <v>15B</v>
      </c>
      <c r="BO6" t="str">
        <f t="shared" si="19"/>
        <v>15A</v>
      </c>
      <c r="BP6" t="str">
        <f t="shared" si="13"/>
        <v>DI1-C25</v>
      </c>
      <c r="BQ6" t="str">
        <f t="shared" si="13"/>
        <v>DI1-B25</v>
      </c>
      <c r="BR6" t="str">
        <f t="shared" si="14"/>
        <v>DI1-C26</v>
      </c>
      <c r="BS6" t="str">
        <f t="shared" si="14"/>
        <v>DI1-B26</v>
      </c>
      <c r="BT6" t="str">
        <f t="shared" si="14"/>
        <v>DI1-C27</v>
      </c>
      <c r="BU6" t="str">
        <f t="shared" si="14"/>
        <v>DI1-B27</v>
      </c>
      <c r="BV6" t="str">
        <f t="shared" si="14"/>
        <v>DI1-C28</v>
      </c>
      <c r="BW6" t="str">
        <f t="shared" si="14"/>
        <v>DI1-B28</v>
      </c>
      <c r="BX6" t="str">
        <f t="shared" si="14"/>
        <v>DI1-C29</v>
      </c>
      <c r="BY6" t="str">
        <f t="shared" si="14"/>
        <v>DI1-B29</v>
      </c>
      <c r="BZ6" t="str">
        <f t="shared" si="14"/>
        <v>DI1-C30</v>
      </c>
      <c r="CA6" t="str">
        <f t="shared" si="14"/>
        <v>DI1-B30</v>
      </c>
      <c r="CB6" t="str">
        <f t="shared" si="15"/>
        <v>DO1-13B</v>
      </c>
      <c r="CC6" t="str">
        <f t="shared" si="15"/>
        <v>DO1-13A</v>
      </c>
      <c r="CD6" t="str">
        <f t="shared" si="16"/>
        <v>DO1-14B</v>
      </c>
      <c r="CE6" t="str">
        <f t="shared" si="16"/>
        <v>DO1-14A</v>
      </c>
      <c r="CF6" t="str">
        <f t="shared" si="16"/>
        <v>DO1-15B</v>
      </c>
      <c r="CG6" t="str">
        <f t="shared" si="16"/>
        <v>DO1-15A</v>
      </c>
      <c r="CH6" t="str">
        <f t="shared" si="20"/>
        <v>K5-10</v>
      </c>
      <c r="CI6" t="str">
        <f t="shared" si="21"/>
        <v>K5-03</v>
      </c>
      <c r="CJ6" t="str">
        <f t="shared" si="22"/>
        <v>K5-04</v>
      </c>
      <c r="CK6" t="str">
        <f t="shared" si="23"/>
        <v>K5-01</v>
      </c>
      <c r="CL6" t="str">
        <f t="shared" si="24"/>
        <v>K5-08</v>
      </c>
      <c r="CM6" t="str">
        <f t="shared" si="25"/>
        <v>K5-02</v>
      </c>
      <c r="CN6" t="str">
        <f t="shared" si="26"/>
        <v>K5-09</v>
      </c>
      <c r="CO6" t="str">
        <f t="shared" si="27"/>
        <v>K5-05</v>
      </c>
      <c r="CP6" t="str">
        <f t="shared" si="28"/>
        <v>K5-11</v>
      </c>
      <c r="CQ6" t="str">
        <f t="shared" si="29"/>
        <v>F0-M5-A9</v>
      </c>
      <c r="CR6" t="str">
        <f t="shared" si="30"/>
        <v>F0-M5-A7</v>
      </c>
      <c r="CS6" t="str">
        <f t="shared" si="31"/>
        <v>F0-M5-A8</v>
      </c>
      <c r="CT6" t="str">
        <f t="shared" si="32"/>
        <v>F0-M5-A6</v>
      </c>
      <c r="CU6" t="str">
        <f t="shared" si="33"/>
        <v>F0-M5-A30</v>
      </c>
      <c r="CV6" t="str">
        <f t="shared" si="34"/>
        <v>F0-M5-N</v>
      </c>
      <c r="CW6" t="str">
        <f t="shared" si="17"/>
        <v>F0-A220-M5</v>
      </c>
      <c r="CX6" t="str">
        <f t="shared" si="35"/>
        <v>F0-M5-XM01</v>
      </c>
      <c r="CY6" t="str">
        <f t="shared" si="36"/>
        <v>F0-M5-A1</v>
      </c>
      <c r="CZ6" t="str">
        <f t="shared" si="37"/>
        <v>F0-M5-A5</v>
      </c>
      <c r="DA6" t="str">
        <f t="shared" si="38"/>
        <v>F0-M5-A11</v>
      </c>
      <c r="DB6" t="str">
        <f t="shared" si="39"/>
        <v>F0-M5-A12</v>
      </c>
      <c r="DC6" t="str">
        <f t="shared" si="40"/>
        <v>F0-M5-A19</v>
      </c>
      <c r="DD6" t="str">
        <f t="shared" si="41"/>
        <v>F0-M5-A20</v>
      </c>
      <c r="DE6" t="s">
        <v>142</v>
      </c>
      <c r="DF6" t="s">
        <v>143</v>
      </c>
      <c r="DG6">
        <v>11</v>
      </c>
      <c r="DH6">
        <v>14</v>
      </c>
      <c r="DI6">
        <v>12</v>
      </c>
      <c r="DJ6" t="s">
        <v>144</v>
      </c>
      <c r="DK6" t="s">
        <v>145</v>
      </c>
      <c r="DL6">
        <v>1</v>
      </c>
      <c r="DM6">
        <v>2</v>
      </c>
      <c r="DN6">
        <v>3</v>
      </c>
      <c r="DO6">
        <v>4</v>
      </c>
      <c r="DP6">
        <v>5</v>
      </c>
      <c r="DQ6">
        <v>6</v>
      </c>
      <c r="DR6">
        <v>7</v>
      </c>
      <c r="DS6">
        <v>8</v>
      </c>
      <c r="DT6">
        <v>9</v>
      </c>
      <c r="DU6">
        <v>10</v>
      </c>
      <c r="DV6">
        <v>11</v>
      </c>
      <c r="DW6">
        <v>12</v>
      </c>
      <c r="DX6">
        <v>13</v>
      </c>
      <c r="DY6">
        <v>14</v>
      </c>
      <c r="DZ6">
        <v>1</v>
      </c>
      <c r="EA6">
        <v>3</v>
      </c>
      <c r="EB6">
        <v>4</v>
      </c>
      <c r="EC6">
        <v>7</v>
      </c>
      <c r="ED6">
        <v>8</v>
      </c>
      <c r="EE6">
        <v>9</v>
      </c>
      <c r="EF6">
        <v>10</v>
      </c>
      <c r="EG6">
        <v>13</v>
      </c>
      <c r="EH6">
        <v>14</v>
      </c>
      <c r="EI6">
        <v>15</v>
      </c>
      <c r="EJ6">
        <v>16</v>
      </c>
      <c r="EK6">
        <v>22</v>
      </c>
      <c r="EL6">
        <v>23</v>
      </c>
      <c r="EM6" s="16">
        <v>24</v>
      </c>
    </row>
    <row r="7" spans="1:532" x14ac:dyDescent="0.25">
      <c r="A7" t="s">
        <v>162</v>
      </c>
      <c r="B7" t="s">
        <v>126</v>
      </c>
      <c r="C7" s="3" t="s">
        <v>127</v>
      </c>
      <c r="O7" s="2"/>
      <c r="P7" t="s">
        <v>129</v>
      </c>
      <c r="Q7" s="1"/>
      <c r="S7" s="1" t="s">
        <v>130</v>
      </c>
      <c r="T7" s="14" t="s">
        <v>554</v>
      </c>
      <c r="U7" s="15">
        <v>6</v>
      </c>
      <c r="V7" s="15" t="s">
        <v>314</v>
      </c>
      <c r="W7" s="15"/>
      <c r="AC7" t="s">
        <v>261</v>
      </c>
      <c r="AD7" t="s">
        <v>133</v>
      </c>
      <c r="AE7" t="s">
        <v>134</v>
      </c>
      <c r="AF7" t="s">
        <v>132</v>
      </c>
      <c r="AG7" t="s">
        <v>249</v>
      </c>
      <c r="AH7" t="s">
        <v>256</v>
      </c>
      <c r="AI7" t="s">
        <v>163</v>
      </c>
      <c r="AL7" t="s">
        <v>137</v>
      </c>
      <c r="AM7" t="s">
        <v>138</v>
      </c>
      <c r="AP7" t="s">
        <v>139</v>
      </c>
      <c r="AQ7" t="s">
        <v>140</v>
      </c>
      <c r="AZ7" s="16"/>
      <c r="BA7" t="str">
        <f t="shared" si="0"/>
        <v>XT6</v>
      </c>
      <c r="BB7" t="str">
        <f t="shared" si="1"/>
        <v>C2</v>
      </c>
      <c r="BC7" t="str">
        <f t="shared" si="2"/>
        <v>B2</v>
      </c>
      <c r="BD7" t="str">
        <f t="shared" si="3"/>
        <v>C3</v>
      </c>
      <c r="BE7" t="str">
        <f t="shared" si="4"/>
        <v>B3</v>
      </c>
      <c r="BF7" t="str">
        <f t="shared" si="5"/>
        <v>C4</v>
      </c>
      <c r="BG7" t="str">
        <f t="shared" si="6"/>
        <v>B4</v>
      </c>
      <c r="BH7" t="str">
        <f t="shared" si="7"/>
        <v>C5</v>
      </c>
      <c r="BI7" t="str">
        <f t="shared" si="8"/>
        <v>B5</v>
      </c>
      <c r="BJ7" t="str">
        <f t="shared" si="9"/>
        <v>C6</v>
      </c>
      <c r="BK7" t="str">
        <f t="shared" si="10"/>
        <v>B6</v>
      </c>
      <c r="BL7" t="str">
        <f t="shared" si="11"/>
        <v>17B</v>
      </c>
      <c r="BM7" t="str">
        <f t="shared" si="12"/>
        <v>17A</v>
      </c>
      <c r="BN7" t="str">
        <f t="shared" si="18"/>
        <v>18B</v>
      </c>
      <c r="BO7" t="str">
        <f t="shared" si="19"/>
        <v>18A</v>
      </c>
      <c r="BP7" t="str">
        <f t="shared" si="13"/>
        <v>DI2-C1</v>
      </c>
      <c r="BQ7" t="str">
        <f t="shared" si="13"/>
        <v>DI2-B1</v>
      </c>
      <c r="BR7" t="str">
        <f t="shared" si="14"/>
        <v>DI2-C2</v>
      </c>
      <c r="BS7" t="str">
        <f t="shared" si="14"/>
        <v>DI2-B2</v>
      </c>
      <c r="BT7" t="str">
        <f t="shared" si="14"/>
        <v>DI2-C3</v>
      </c>
      <c r="BU7" t="str">
        <f t="shared" si="14"/>
        <v>DI2-B3</v>
      </c>
      <c r="BV7" t="str">
        <f t="shared" si="14"/>
        <v>DI2-C4</v>
      </c>
      <c r="BW7" t="str">
        <f t="shared" si="14"/>
        <v>DI2-B4</v>
      </c>
      <c r="BX7" t="str">
        <f t="shared" si="14"/>
        <v>DI2-C5</v>
      </c>
      <c r="BY7" t="str">
        <f t="shared" si="14"/>
        <v>DI2-B5</v>
      </c>
      <c r="BZ7" t="str">
        <f t="shared" si="14"/>
        <v>DI2-C6</v>
      </c>
      <c r="CA7" t="str">
        <f t="shared" si="14"/>
        <v>DI2-B6</v>
      </c>
      <c r="CB7" t="str">
        <f t="shared" si="15"/>
        <v>DO1-16B</v>
      </c>
      <c r="CC7" t="str">
        <f t="shared" si="15"/>
        <v>DO1-16A</v>
      </c>
      <c r="CD7" t="str">
        <f t="shared" si="16"/>
        <v>DO1-17B</v>
      </c>
      <c r="CE7" t="str">
        <f t="shared" si="16"/>
        <v>DO1-17A</v>
      </c>
      <c r="CF7" t="str">
        <f t="shared" si="16"/>
        <v>DO1-18B</v>
      </c>
      <c r="CG7" t="str">
        <f t="shared" si="16"/>
        <v>DO1-18A</v>
      </c>
      <c r="CH7" t="str">
        <f t="shared" si="20"/>
        <v>K6-10</v>
      </c>
      <c r="CI7" t="str">
        <f t="shared" si="21"/>
        <v>K6-03</v>
      </c>
      <c r="CJ7" t="str">
        <f t="shared" si="22"/>
        <v>K6-04</v>
      </c>
      <c r="CK7" t="str">
        <f t="shared" si="23"/>
        <v>K6-01</v>
      </c>
      <c r="CL7" t="str">
        <f t="shared" si="24"/>
        <v>K6-08</v>
      </c>
      <c r="CM7" t="str">
        <f t="shared" si="25"/>
        <v>K6-02</v>
      </c>
      <c r="CN7" t="str">
        <f t="shared" si="26"/>
        <v>K6-09</v>
      </c>
      <c r="CO7" t="str">
        <f t="shared" si="27"/>
        <v>K6-05</v>
      </c>
      <c r="CP7" t="str">
        <f t="shared" si="28"/>
        <v>K6-11</v>
      </c>
      <c r="CQ7" t="str">
        <f t="shared" si="29"/>
        <v>F0-M6-A9</v>
      </c>
      <c r="CR7" t="str">
        <f t="shared" si="30"/>
        <v>F0-M6-A7</v>
      </c>
      <c r="CS7" t="str">
        <f t="shared" si="31"/>
        <v>F0-M6-A8</v>
      </c>
      <c r="CT7" t="str">
        <f t="shared" si="32"/>
        <v>F0-M6-A6</v>
      </c>
      <c r="CU7" t="str">
        <f t="shared" si="33"/>
        <v>F0-M6-A30</v>
      </c>
      <c r="CV7" t="str">
        <f t="shared" si="34"/>
        <v>F0-M6-N</v>
      </c>
      <c r="CW7" t="str">
        <f t="shared" si="17"/>
        <v>F0-A220-M6</v>
      </c>
      <c r="CX7" t="str">
        <f t="shared" si="35"/>
        <v>F0-M6-XM01</v>
      </c>
      <c r="CY7" t="str">
        <f t="shared" si="36"/>
        <v>F0-M6-A1</v>
      </c>
      <c r="CZ7" t="str">
        <f t="shared" si="37"/>
        <v>F0-M6-A5</v>
      </c>
      <c r="DA7" t="str">
        <f t="shared" si="38"/>
        <v>F0-M6-A11</v>
      </c>
      <c r="DB7" t="str">
        <f t="shared" si="39"/>
        <v>F0-M6-A12</v>
      </c>
      <c r="DC7" t="str">
        <f t="shared" si="40"/>
        <v>F0-M6-A19</v>
      </c>
      <c r="DD7" t="str">
        <f t="shared" si="41"/>
        <v>F0-M6-A20</v>
      </c>
      <c r="DE7" t="s">
        <v>142</v>
      </c>
      <c r="DF7" t="s">
        <v>143</v>
      </c>
      <c r="DG7">
        <v>11</v>
      </c>
      <c r="DH7">
        <v>14</v>
      </c>
      <c r="DI7">
        <v>12</v>
      </c>
      <c r="DJ7" t="s">
        <v>144</v>
      </c>
      <c r="DK7" t="s">
        <v>145</v>
      </c>
      <c r="DL7">
        <v>1</v>
      </c>
      <c r="DM7">
        <v>2</v>
      </c>
      <c r="DN7">
        <v>3</v>
      </c>
      <c r="DO7">
        <v>4</v>
      </c>
      <c r="DP7">
        <v>5</v>
      </c>
      <c r="DQ7">
        <v>6</v>
      </c>
      <c r="DR7">
        <v>7</v>
      </c>
      <c r="DS7">
        <v>8</v>
      </c>
      <c r="DT7">
        <v>9</v>
      </c>
      <c r="DU7">
        <v>10</v>
      </c>
      <c r="DV7">
        <v>11</v>
      </c>
      <c r="DW7">
        <v>12</v>
      </c>
      <c r="DX7">
        <v>13</v>
      </c>
      <c r="DY7">
        <v>14</v>
      </c>
      <c r="DZ7">
        <v>1</v>
      </c>
      <c r="EA7">
        <v>3</v>
      </c>
      <c r="EB7">
        <v>4</v>
      </c>
      <c r="EC7">
        <v>7</v>
      </c>
      <c r="ED7">
        <v>8</v>
      </c>
      <c r="EE7">
        <v>9</v>
      </c>
      <c r="EF7">
        <v>10</v>
      </c>
      <c r="EG7">
        <v>13</v>
      </c>
      <c r="EH7">
        <v>14</v>
      </c>
      <c r="EI7">
        <v>15</v>
      </c>
      <c r="EJ7">
        <v>16</v>
      </c>
      <c r="EK7">
        <v>22</v>
      </c>
      <c r="EL7">
        <v>23</v>
      </c>
      <c r="EM7" s="16">
        <v>24</v>
      </c>
    </row>
    <row r="8" spans="1:532" x14ac:dyDescent="0.25">
      <c r="A8" t="s">
        <v>164</v>
      </c>
      <c r="B8" t="s">
        <v>165</v>
      </c>
      <c r="C8" s="3" t="s">
        <v>127</v>
      </c>
      <c r="O8" s="2"/>
      <c r="P8" t="s">
        <v>129</v>
      </c>
      <c r="Q8" s="1"/>
      <c r="S8" s="1" t="s">
        <v>130</v>
      </c>
      <c r="T8" s="14" t="s">
        <v>554</v>
      </c>
      <c r="U8" s="15">
        <v>7</v>
      </c>
      <c r="V8" s="15" t="s">
        <v>315</v>
      </c>
      <c r="W8" s="15"/>
      <c r="AC8" t="s">
        <v>261</v>
      </c>
      <c r="AD8" t="s">
        <v>148</v>
      </c>
      <c r="AE8" t="s">
        <v>149</v>
      </c>
      <c r="AF8" t="s">
        <v>132</v>
      </c>
      <c r="AG8" t="s">
        <v>250</v>
      </c>
      <c r="AH8" t="s">
        <v>257</v>
      </c>
      <c r="AI8" t="s">
        <v>166</v>
      </c>
      <c r="AL8" t="s">
        <v>137</v>
      </c>
      <c r="AM8" t="s">
        <v>138</v>
      </c>
      <c r="AP8" t="s">
        <v>139</v>
      </c>
      <c r="AQ8" t="s">
        <v>140</v>
      </c>
      <c r="AZ8" s="16"/>
      <c r="BA8" t="str">
        <f t="shared" si="0"/>
        <v>XT7</v>
      </c>
      <c r="BB8" t="str">
        <f t="shared" si="1"/>
        <v>C8</v>
      </c>
      <c r="BC8" t="str">
        <f t="shared" si="2"/>
        <v>B8</v>
      </c>
      <c r="BD8" t="str">
        <f t="shared" si="3"/>
        <v>C9</v>
      </c>
      <c r="BE8" t="str">
        <f t="shared" si="4"/>
        <v>B9</v>
      </c>
      <c r="BF8" t="str">
        <f t="shared" si="5"/>
        <v>C10</v>
      </c>
      <c r="BG8" t="str">
        <f t="shared" si="6"/>
        <v>B10</v>
      </c>
      <c r="BH8" t="str">
        <f t="shared" si="7"/>
        <v>C11</v>
      </c>
      <c r="BI8" t="str">
        <f t="shared" si="8"/>
        <v>B11</v>
      </c>
      <c r="BJ8" t="str">
        <f t="shared" si="9"/>
        <v>C12</v>
      </c>
      <c r="BK8" t="str">
        <f t="shared" si="10"/>
        <v>B12</v>
      </c>
      <c r="BL8" t="str">
        <f t="shared" si="11"/>
        <v>20B</v>
      </c>
      <c r="BM8" t="str">
        <f t="shared" si="12"/>
        <v>20A</v>
      </c>
      <c r="BN8" t="str">
        <f t="shared" si="18"/>
        <v>21B</v>
      </c>
      <c r="BO8" t="str">
        <f t="shared" si="19"/>
        <v>21A</v>
      </c>
      <c r="BP8" t="str">
        <f t="shared" si="13"/>
        <v>DI2-C7</v>
      </c>
      <c r="BQ8" t="str">
        <f t="shared" si="13"/>
        <v>DI2-B7</v>
      </c>
      <c r="BR8" t="str">
        <f t="shared" si="14"/>
        <v>DI2-C8</v>
      </c>
      <c r="BS8" t="str">
        <f t="shared" si="14"/>
        <v>DI2-B8</v>
      </c>
      <c r="BT8" t="str">
        <f t="shared" si="14"/>
        <v>DI2-C9</v>
      </c>
      <c r="BU8" t="str">
        <f t="shared" si="14"/>
        <v>DI2-B9</v>
      </c>
      <c r="BV8" t="str">
        <f t="shared" si="14"/>
        <v>DI2-C10</v>
      </c>
      <c r="BW8" t="str">
        <f t="shared" si="14"/>
        <v>DI2-B10</v>
      </c>
      <c r="BX8" t="str">
        <f t="shared" si="14"/>
        <v>DI2-C11</v>
      </c>
      <c r="BY8" t="str">
        <f t="shared" si="14"/>
        <v>DI2-B11</v>
      </c>
      <c r="BZ8" t="str">
        <f t="shared" si="14"/>
        <v>DI2-C12</v>
      </c>
      <c r="CA8" t="str">
        <f t="shared" si="14"/>
        <v>DI2-B12</v>
      </c>
      <c r="CB8" t="str">
        <f t="shared" si="15"/>
        <v>DO1-19B</v>
      </c>
      <c r="CC8" t="str">
        <f t="shared" si="15"/>
        <v>DO1-19A</v>
      </c>
      <c r="CD8" t="str">
        <f t="shared" si="16"/>
        <v>DO1-20B</v>
      </c>
      <c r="CE8" t="str">
        <f t="shared" si="16"/>
        <v>DO1-20A</v>
      </c>
      <c r="CF8" t="str">
        <f t="shared" si="16"/>
        <v>DO1-21B</v>
      </c>
      <c r="CG8" t="str">
        <f t="shared" si="16"/>
        <v>DO1-21A</v>
      </c>
      <c r="CH8" t="str">
        <f t="shared" si="20"/>
        <v>K7-10</v>
      </c>
      <c r="CI8" t="str">
        <f t="shared" si="21"/>
        <v>K7-03</v>
      </c>
      <c r="CJ8" t="str">
        <f t="shared" si="22"/>
        <v>K7-04</v>
      </c>
      <c r="CK8" t="str">
        <f t="shared" si="23"/>
        <v>K7-01</v>
      </c>
      <c r="CL8" t="str">
        <f t="shared" si="24"/>
        <v>K7-08</v>
      </c>
      <c r="CM8" t="str">
        <f t="shared" si="25"/>
        <v>K7-02</v>
      </c>
      <c r="CN8" t="str">
        <f t="shared" si="26"/>
        <v>K7-09</v>
      </c>
      <c r="CO8" t="str">
        <f t="shared" si="27"/>
        <v>K7-05</v>
      </c>
      <c r="CP8" t="str">
        <f t="shared" si="28"/>
        <v>K7-11</v>
      </c>
      <c r="CQ8" t="str">
        <f t="shared" si="29"/>
        <v>F0-M7-A9</v>
      </c>
      <c r="CR8" t="str">
        <f t="shared" si="30"/>
        <v>F0-M7-A7</v>
      </c>
      <c r="CS8" t="str">
        <f t="shared" si="31"/>
        <v>F0-M7-A8</v>
      </c>
      <c r="CT8" t="str">
        <f t="shared" si="32"/>
        <v>F0-M7-A6</v>
      </c>
      <c r="CU8" t="str">
        <f t="shared" si="33"/>
        <v>F0-M7-A30</v>
      </c>
      <c r="CV8" t="str">
        <f t="shared" si="34"/>
        <v>F0-M7-N</v>
      </c>
      <c r="CW8" t="str">
        <f t="shared" si="17"/>
        <v>F0-A220-M7</v>
      </c>
      <c r="CX8" t="str">
        <f t="shared" si="35"/>
        <v>F0-M7-XM01</v>
      </c>
      <c r="CY8" t="str">
        <f t="shared" si="36"/>
        <v>F0-M7-A1</v>
      </c>
      <c r="CZ8" t="str">
        <f t="shared" si="37"/>
        <v>F0-M7-A5</v>
      </c>
      <c r="DA8" t="str">
        <f t="shared" si="38"/>
        <v>F0-M7-A11</v>
      </c>
      <c r="DB8" t="str">
        <f t="shared" si="39"/>
        <v>F0-M7-A12</v>
      </c>
      <c r="DC8" t="str">
        <f t="shared" si="40"/>
        <v>F0-M7-A19</v>
      </c>
      <c r="DD8" t="str">
        <f t="shared" si="41"/>
        <v>F0-M7-A20</v>
      </c>
      <c r="DE8" t="s">
        <v>142</v>
      </c>
      <c r="DF8" t="s">
        <v>143</v>
      </c>
      <c r="DG8">
        <v>11</v>
      </c>
      <c r="DH8">
        <v>14</v>
      </c>
      <c r="DI8">
        <v>12</v>
      </c>
      <c r="DJ8" t="s">
        <v>144</v>
      </c>
      <c r="DK8" t="s">
        <v>145</v>
      </c>
      <c r="DL8">
        <v>1</v>
      </c>
      <c r="DM8">
        <v>2</v>
      </c>
      <c r="DN8">
        <v>3</v>
      </c>
      <c r="DO8">
        <v>4</v>
      </c>
      <c r="DP8">
        <v>5</v>
      </c>
      <c r="DQ8">
        <v>6</v>
      </c>
      <c r="DR8">
        <v>7</v>
      </c>
      <c r="DS8">
        <v>8</v>
      </c>
      <c r="DT8">
        <v>9</v>
      </c>
      <c r="DU8">
        <v>10</v>
      </c>
      <c r="DV8">
        <v>11</v>
      </c>
      <c r="DW8">
        <v>12</v>
      </c>
      <c r="DX8">
        <v>13</v>
      </c>
      <c r="DY8">
        <v>14</v>
      </c>
      <c r="DZ8">
        <v>1</v>
      </c>
      <c r="EA8">
        <v>3</v>
      </c>
      <c r="EB8">
        <v>4</v>
      </c>
      <c r="EC8">
        <v>7</v>
      </c>
      <c r="ED8">
        <v>8</v>
      </c>
      <c r="EE8">
        <v>9</v>
      </c>
      <c r="EF8">
        <v>10</v>
      </c>
      <c r="EG8">
        <v>13</v>
      </c>
      <c r="EH8">
        <v>14</v>
      </c>
      <c r="EI8">
        <v>15</v>
      </c>
      <c r="EJ8">
        <v>16</v>
      </c>
      <c r="EK8">
        <v>22</v>
      </c>
      <c r="EL8">
        <v>23</v>
      </c>
      <c r="EM8" s="16">
        <v>24</v>
      </c>
    </row>
    <row r="9" spans="1:532" x14ac:dyDescent="0.25">
      <c r="A9" t="s">
        <v>167</v>
      </c>
      <c r="B9" t="s">
        <v>168</v>
      </c>
      <c r="C9" s="3" t="s">
        <v>127</v>
      </c>
      <c r="O9" s="2"/>
      <c r="P9" t="s">
        <v>129</v>
      </c>
      <c r="Q9" s="1"/>
      <c r="S9" s="1" t="s">
        <v>130</v>
      </c>
      <c r="T9" s="14" t="s">
        <v>554</v>
      </c>
      <c r="U9" s="15">
        <v>8</v>
      </c>
      <c r="V9" s="15" t="s">
        <v>316</v>
      </c>
      <c r="W9" s="15"/>
      <c r="AC9" t="s">
        <v>261</v>
      </c>
      <c r="AD9" t="s">
        <v>153</v>
      </c>
      <c r="AE9" t="s">
        <v>154</v>
      </c>
      <c r="AF9" t="s">
        <v>132</v>
      </c>
      <c r="AG9" t="s">
        <v>251</v>
      </c>
      <c r="AH9" t="s">
        <v>258</v>
      </c>
      <c r="AI9" t="s">
        <v>169</v>
      </c>
      <c r="AL9" t="s">
        <v>137</v>
      </c>
      <c r="AM9" t="s">
        <v>138</v>
      </c>
      <c r="AP9" t="s">
        <v>139</v>
      </c>
      <c r="AQ9" t="s">
        <v>140</v>
      </c>
      <c r="AZ9" s="16"/>
      <c r="BA9" t="str">
        <f t="shared" si="0"/>
        <v>XT8</v>
      </c>
      <c r="BB9" t="str">
        <f t="shared" si="1"/>
        <v>C14</v>
      </c>
      <c r="BC9" t="str">
        <f t="shared" si="2"/>
        <v>B14</v>
      </c>
      <c r="BD9" t="str">
        <f t="shared" si="3"/>
        <v>C15</v>
      </c>
      <c r="BE9" t="str">
        <f t="shared" si="4"/>
        <v>B15</v>
      </c>
      <c r="BF9" t="str">
        <f t="shared" si="5"/>
        <v>C16</v>
      </c>
      <c r="BG9" t="str">
        <f t="shared" si="6"/>
        <v>B16</v>
      </c>
      <c r="BH9" t="str">
        <f t="shared" si="7"/>
        <v>C17</v>
      </c>
      <c r="BI9" t="str">
        <f t="shared" si="8"/>
        <v>B17</v>
      </c>
      <c r="BJ9" t="str">
        <f t="shared" si="9"/>
        <v>C18</v>
      </c>
      <c r="BK9" t="str">
        <f t="shared" si="10"/>
        <v>B18</v>
      </c>
      <c r="BL9" t="str">
        <f t="shared" si="11"/>
        <v>23B</v>
      </c>
      <c r="BM9" t="str">
        <f t="shared" si="12"/>
        <v>23A</v>
      </c>
      <c r="BN9" t="str">
        <f t="shared" si="18"/>
        <v>24B</v>
      </c>
      <c r="BO9" t="str">
        <f t="shared" si="19"/>
        <v>24A</v>
      </c>
      <c r="BP9" t="str">
        <f t="shared" si="13"/>
        <v>DI2-C13</v>
      </c>
      <c r="BQ9" t="str">
        <f t="shared" si="13"/>
        <v>DI2-B13</v>
      </c>
      <c r="BR9" t="str">
        <f t="shared" si="14"/>
        <v>DI2-C14</v>
      </c>
      <c r="BS9" t="str">
        <f t="shared" si="14"/>
        <v>DI2-B14</v>
      </c>
      <c r="BT9" t="str">
        <f t="shared" si="14"/>
        <v>DI2-C15</v>
      </c>
      <c r="BU9" t="str">
        <f t="shared" si="14"/>
        <v>DI2-B15</v>
      </c>
      <c r="BV9" t="str">
        <f t="shared" si="14"/>
        <v>DI2-C16</v>
      </c>
      <c r="BW9" t="str">
        <f t="shared" si="14"/>
        <v>DI2-B16</v>
      </c>
      <c r="BX9" t="str">
        <f t="shared" si="14"/>
        <v>DI2-C17</v>
      </c>
      <c r="BY9" t="str">
        <f t="shared" si="14"/>
        <v>DI2-B17</v>
      </c>
      <c r="BZ9" t="str">
        <f t="shared" si="14"/>
        <v>DI2-C18</v>
      </c>
      <c r="CA9" t="str">
        <f t="shared" si="14"/>
        <v>DI2-B18</v>
      </c>
      <c r="CB9" t="str">
        <f t="shared" si="15"/>
        <v>DO1-22B</v>
      </c>
      <c r="CC9" t="str">
        <f t="shared" si="15"/>
        <v>DO1-22A</v>
      </c>
      <c r="CD9" t="str">
        <f t="shared" si="16"/>
        <v>DO1-23B</v>
      </c>
      <c r="CE9" t="str">
        <f t="shared" si="16"/>
        <v>DO1-23A</v>
      </c>
      <c r="CF9" t="str">
        <f t="shared" si="16"/>
        <v>DO1-24B</v>
      </c>
      <c r="CG9" t="str">
        <f t="shared" si="16"/>
        <v>DO1-24A</v>
      </c>
      <c r="CH9" t="str">
        <f t="shared" si="20"/>
        <v>K8-10</v>
      </c>
      <c r="CI9" t="str">
        <f t="shared" si="21"/>
        <v>K8-03</v>
      </c>
      <c r="CJ9" t="str">
        <f t="shared" si="22"/>
        <v>K8-04</v>
      </c>
      <c r="CK9" t="str">
        <f t="shared" si="23"/>
        <v>K8-01</v>
      </c>
      <c r="CL9" t="str">
        <f t="shared" si="24"/>
        <v>K8-08</v>
      </c>
      <c r="CM9" t="str">
        <f t="shared" si="25"/>
        <v>K8-02</v>
      </c>
      <c r="CN9" t="str">
        <f t="shared" si="26"/>
        <v>K8-09</v>
      </c>
      <c r="CO9" t="str">
        <f t="shared" si="27"/>
        <v>K8-05</v>
      </c>
      <c r="CP9" t="str">
        <f t="shared" si="28"/>
        <v>K8-11</v>
      </c>
      <c r="CQ9" t="str">
        <f t="shared" si="29"/>
        <v>F0-M8-A9</v>
      </c>
      <c r="CR9" t="str">
        <f t="shared" si="30"/>
        <v>F0-M8-A7</v>
      </c>
      <c r="CS9" t="str">
        <f t="shared" si="31"/>
        <v>F0-M8-A8</v>
      </c>
      <c r="CT9" t="str">
        <f t="shared" si="32"/>
        <v>F0-M8-A6</v>
      </c>
      <c r="CU9" t="str">
        <f t="shared" si="33"/>
        <v>F0-M8-A30</v>
      </c>
      <c r="CV9" t="str">
        <f t="shared" si="34"/>
        <v>F0-M8-N</v>
      </c>
      <c r="CW9" t="str">
        <f t="shared" si="17"/>
        <v>F0-A220-M8</v>
      </c>
      <c r="CX9" t="str">
        <f t="shared" si="35"/>
        <v>F0-M8-XM01</v>
      </c>
      <c r="CY9" t="str">
        <f t="shared" si="36"/>
        <v>F0-M8-A1</v>
      </c>
      <c r="CZ9" t="str">
        <f t="shared" si="37"/>
        <v>F0-M8-A5</v>
      </c>
      <c r="DA9" t="str">
        <f t="shared" si="38"/>
        <v>F0-M8-A11</v>
      </c>
      <c r="DB9" t="str">
        <f t="shared" si="39"/>
        <v>F0-M8-A12</v>
      </c>
      <c r="DC9" t="str">
        <f t="shared" si="40"/>
        <v>F0-M8-A19</v>
      </c>
      <c r="DD9" t="str">
        <f t="shared" si="41"/>
        <v>F0-M8-A20</v>
      </c>
      <c r="DE9" t="s">
        <v>142</v>
      </c>
      <c r="DF9" t="s">
        <v>143</v>
      </c>
      <c r="DG9">
        <v>11</v>
      </c>
      <c r="DH9">
        <v>14</v>
      </c>
      <c r="DI9">
        <v>12</v>
      </c>
      <c r="DJ9" t="s">
        <v>144</v>
      </c>
      <c r="DK9" t="s">
        <v>145</v>
      </c>
      <c r="DL9">
        <v>1</v>
      </c>
      <c r="DM9">
        <v>2</v>
      </c>
      <c r="DN9">
        <v>3</v>
      </c>
      <c r="DO9">
        <v>4</v>
      </c>
      <c r="DP9">
        <v>5</v>
      </c>
      <c r="DQ9">
        <v>6</v>
      </c>
      <c r="DR9">
        <v>7</v>
      </c>
      <c r="DS9">
        <v>8</v>
      </c>
      <c r="DT9">
        <v>9</v>
      </c>
      <c r="DU9">
        <v>10</v>
      </c>
      <c r="DV9">
        <v>11</v>
      </c>
      <c r="DW9">
        <v>12</v>
      </c>
      <c r="DX9">
        <v>13</v>
      </c>
      <c r="DY9">
        <v>14</v>
      </c>
      <c r="DZ9">
        <v>1</v>
      </c>
      <c r="EA9">
        <v>3</v>
      </c>
      <c r="EB9">
        <v>4</v>
      </c>
      <c r="EC9">
        <v>7</v>
      </c>
      <c r="ED9">
        <v>8</v>
      </c>
      <c r="EE9">
        <v>9</v>
      </c>
      <c r="EF9">
        <v>10</v>
      </c>
      <c r="EG9">
        <v>13</v>
      </c>
      <c r="EH9">
        <v>14</v>
      </c>
      <c r="EI9">
        <v>15</v>
      </c>
      <c r="EJ9">
        <v>16</v>
      </c>
      <c r="EK9">
        <v>22</v>
      </c>
      <c r="EL9">
        <v>23</v>
      </c>
      <c r="EM9" s="16">
        <v>24</v>
      </c>
    </row>
    <row r="10" spans="1:532" x14ac:dyDescent="0.25">
      <c r="A10" t="s">
        <v>170</v>
      </c>
      <c r="B10" t="s">
        <v>171</v>
      </c>
      <c r="C10" s="3" t="s">
        <v>127</v>
      </c>
      <c r="O10" s="2"/>
      <c r="P10" t="s">
        <v>129</v>
      </c>
      <c r="Q10" s="1"/>
      <c r="S10" s="1" t="s">
        <v>130</v>
      </c>
      <c r="T10" s="14" t="s">
        <v>554</v>
      </c>
      <c r="U10" s="15">
        <v>9</v>
      </c>
      <c r="V10" s="15" t="s">
        <v>317</v>
      </c>
      <c r="W10" s="15"/>
      <c r="AC10" t="s">
        <v>261</v>
      </c>
      <c r="AD10" t="s">
        <v>239</v>
      </c>
      <c r="AE10" t="s">
        <v>241</v>
      </c>
      <c r="AF10" t="s">
        <v>132</v>
      </c>
      <c r="AG10" t="s">
        <v>252</v>
      </c>
      <c r="AH10" t="s">
        <v>259</v>
      </c>
      <c r="AI10" t="s">
        <v>172</v>
      </c>
      <c r="AL10" t="s">
        <v>137</v>
      </c>
      <c r="AM10" t="s">
        <v>138</v>
      </c>
      <c r="AP10" t="s">
        <v>139</v>
      </c>
      <c r="AQ10" t="s">
        <v>140</v>
      </c>
      <c r="AZ10" s="16"/>
      <c r="BA10" t="str">
        <f t="shared" si="0"/>
        <v>XT9</v>
      </c>
      <c r="BB10" t="str">
        <f t="shared" si="1"/>
        <v>C20</v>
      </c>
      <c r="BC10" t="str">
        <f t="shared" si="2"/>
        <v>B20</v>
      </c>
      <c r="BD10" t="str">
        <f t="shared" si="3"/>
        <v>C21</v>
      </c>
      <c r="BE10" t="str">
        <f t="shared" si="4"/>
        <v>B21</v>
      </c>
      <c r="BF10" t="str">
        <f t="shared" si="5"/>
        <v>C22</v>
      </c>
      <c r="BG10" t="str">
        <f t="shared" si="6"/>
        <v>B22</v>
      </c>
      <c r="BH10" t="str">
        <f t="shared" si="7"/>
        <v>C23</v>
      </c>
      <c r="BI10" t="str">
        <f t="shared" si="8"/>
        <v>B23</v>
      </c>
      <c r="BJ10" t="str">
        <f t="shared" si="9"/>
        <v>C24</v>
      </c>
      <c r="BK10" t="str">
        <f t="shared" si="10"/>
        <v>B24</v>
      </c>
      <c r="BL10" t="str">
        <f t="shared" si="11"/>
        <v>26B</v>
      </c>
      <c r="BM10" t="str">
        <f t="shared" si="12"/>
        <v>26A</v>
      </c>
      <c r="BN10" t="str">
        <f t="shared" si="18"/>
        <v>27B</v>
      </c>
      <c r="BO10" t="str">
        <f t="shared" si="19"/>
        <v>27A</v>
      </c>
      <c r="BP10" t="str">
        <f t="shared" si="13"/>
        <v>DI2-C19</v>
      </c>
      <c r="BQ10" t="str">
        <f t="shared" si="13"/>
        <v>DI2-B19</v>
      </c>
      <c r="BR10" t="str">
        <f t="shared" si="14"/>
        <v>DI2-C20</v>
      </c>
      <c r="BS10" t="str">
        <f t="shared" si="14"/>
        <v>DI2-B20</v>
      </c>
      <c r="BT10" t="str">
        <f t="shared" si="14"/>
        <v>DI2-C21</v>
      </c>
      <c r="BU10" t="str">
        <f t="shared" si="14"/>
        <v>DI2-B21</v>
      </c>
      <c r="BV10" t="str">
        <f t="shared" si="14"/>
        <v>DI2-C22</v>
      </c>
      <c r="BW10" t="str">
        <f t="shared" si="14"/>
        <v>DI2-B22</v>
      </c>
      <c r="BX10" t="str">
        <f t="shared" si="14"/>
        <v>DI2-C23</v>
      </c>
      <c r="BY10" t="str">
        <f t="shared" si="14"/>
        <v>DI2-B23</v>
      </c>
      <c r="BZ10" t="str">
        <f t="shared" si="14"/>
        <v>DI2-C24</v>
      </c>
      <c r="CA10" t="str">
        <f t="shared" si="14"/>
        <v>DI2-B24</v>
      </c>
      <c r="CB10" t="str">
        <f t="shared" si="15"/>
        <v>DO1-25B</v>
      </c>
      <c r="CC10" t="str">
        <f t="shared" si="15"/>
        <v>DO1-25A</v>
      </c>
      <c r="CD10" t="str">
        <f t="shared" si="16"/>
        <v>DO1-26B</v>
      </c>
      <c r="CE10" t="str">
        <f t="shared" si="16"/>
        <v>DO1-26A</v>
      </c>
      <c r="CF10" t="str">
        <f t="shared" si="16"/>
        <v>DO1-27B</v>
      </c>
      <c r="CG10" t="str">
        <f t="shared" si="16"/>
        <v>DO1-27A</v>
      </c>
      <c r="CH10" t="str">
        <f t="shared" si="20"/>
        <v>K9-10</v>
      </c>
      <c r="CI10" t="str">
        <f t="shared" si="21"/>
        <v>K9-03</v>
      </c>
      <c r="CJ10" t="str">
        <f t="shared" si="22"/>
        <v>K9-04</v>
      </c>
      <c r="CK10" t="str">
        <f t="shared" si="23"/>
        <v>K9-01</v>
      </c>
      <c r="CL10" t="str">
        <f t="shared" si="24"/>
        <v>K9-08</v>
      </c>
      <c r="CM10" t="str">
        <f t="shared" si="25"/>
        <v>K9-02</v>
      </c>
      <c r="CN10" t="str">
        <f t="shared" si="26"/>
        <v>K9-09</v>
      </c>
      <c r="CO10" t="str">
        <f t="shared" si="27"/>
        <v>K9-05</v>
      </c>
      <c r="CP10" t="str">
        <f t="shared" si="28"/>
        <v>K9-11</v>
      </c>
      <c r="CQ10" t="str">
        <f t="shared" si="29"/>
        <v>F0-M9-A9</v>
      </c>
      <c r="CR10" t="str">
        <f t="shared" si="30"/>
        <v>F0-M9-A7</v>
      </c>
      <c r="CS10" t="str">
        <f t="shared" si="31"/>
        <v>F0-M9-A8</v>
      </c>
      <c r="CT10" t="str">
        <f t="shared" si="32"/>
        <v>F0-M9-A6</v>
      </c>
      <c r="CU10" t="str">
        <f t="shared" si="33"/>
        <v>F0-M9-A30</v>
      </c>
      <c r="CV10" t="str">
        <f t="shared" si="34"/>
        <v>F0-M9-N</v>
      </c>
      <c r="CW10" t="str">
        <f t="shared" si="17"/>
        <v>F0-A220-M9</v>
      </c>
      <c r="CX10" t="str">
        <f t="shared" si="35"/>
        <v>F0-M9-XM01</v>
      </c>
      <c r="CY10" t="str">
        <f t="shared" si="36"/>
        <v>F0-M9-A1</v>
      </c>
      <c r="CZ10" t="str">
        <f t="shared" si="37"/>
        <v>F0-M9-A5</v>
      </c>
      <c r="DA10" t="str">
        <f t="shared" si="38"/>
        <v>F0-M9-A11</v>
      </c>
      <c r="DB10" t="str">
        <f t="shared" si="39"/>
        <v>F0-M9-A12</v>
      </c>
      <c r="DC10" t="str">
        <f t="shared" si="40"/>
        <v>F0-M9-A19</v>
      </c>
      <c r="DD10" t="str">
        <f t="shared" si="41"/>
        <v>F0-M9-A20</v>
      </c>
      <c r="DE10" t="s">
        <v>142</v>
      </c>
      <c r="DF10" t="s">
        <v>143</v>
      </c>
      <c r="DG10">
        <v>11</v>
      </c>
      <c r="DH10">
        <v>14</v>
      </c>
      <c r="DI10">
        <v>12</v>
      </c>
      <c r="DJ10" t="s">
        <v>144</v>
      </c>
      <c r="DK10" t="s">
        <v>145</v>
      </c>
      <c r="DL10">
        <v>1</v>
      </c>
      <c r="DM10">
        <v>2</v>
      </c>
      <c r="DN10">
        <v>3</v>
      </c>
      <c r="DO10">
        <v>4</v>
      </c>
      <c r="DP10">
        <v>5</v>
      </c>
      <c r="DQ10">
        <v>6</v>
      </c>
      <c r="DR10">
        <v>7</v>
      </c>
      <c r="DS10">
        <v>8</v>
      </c>
      <c r="DT10">
        <v>9</v>
      </c>
      <c r="DU10">
        <v>10</v>
      </c>
      <c r="DV10">
        <v>11</v>
      </c>
      <c r="DW10">
        <v>12</v>
      </c>
      <c r="DX10">
        <v>13</v>
      </c>
      <c r="DY10">
        <v>14</v>
      </c>
      <c r="DZ10">
        <v>1</v>
      </c>
      <c r="EA10">
        <v>3</v>
      </c>
      <c r="EB10">
        <v>4</v>
      </c>
      <c r="EC10">
        <v>7</v>
      </c>
      <c r="ED10">
        <v>8</v>
      </c>
      <c r="EE10">
        <v>9</v>
      </c>
      <c r="EF10">
        <v>10</v>
      </c>
      <c r="EG10">
        <v>13</v>
      </c>
      <c r="EH10">
        <v>14</v>
      </c>
      <c r="EI10">
        <v>15</v>
      </c>
      <c r="EJ10">
        <v>16</v>
      </c>
      <c r="EK10">
        <v>22</v>
      </c>
      <c r="EL10">
        <v>23</v>
      </c>
      <c r="EM10" s="16">
        <v>24</v>
      </c>
    </row>
    <row r="11" spans="1:532" x14ac:dyDescent="0.25">
      <c r="A11" t="s">
        <v>173</v>
      </c>
      <c r="B11" t="s">
        <v>174</v>
      </c>
      <c r="C11" s="3" t="s">
        <v>127</v>
      </c>
      <c r="O11" s="2"/>
      <c r="P11" t="s">
        <v>129</v>
      </c>
      <c r="Q11" s="1"/>
      <c r="S11" s="1" t="s">
        <v>130</v>
      </c>
      <c r="T11" s="14" t="s">
        <v>554</v>
      </c>
      <c r="U11" s="15">
        <v>10</v>
      </c>
      <c r="V11" s="15" t="s">
        <v>318</v>
      </c>
      <c r="W11" s="15"/>
      <c r="AC11" t="s">
        <v>261</v>
      </c>
      <c r="AD11" t="s">
        <v>240</v>
      </c>
      <c r="AE11" t="s">
        <v>242</v>
      </c>
      <c r="AF11" t="s">
        <v>132</v>
      </c>
      <c r="AG11" t="s">
        <v>253</v>
      </c>
      <c r="AH11" t="s">
        <v>260</v>
      </c>
      <c r="AI11" t="s">
        <v>175</v>
      </c>
      <c r="AL11" t="s">
        <v>137</v>
      </c>
      <c r="AM11" t="s">
        <v>138</v>
      </c>
      <c r="AP11" t="s">
        <v>139</v>
      </c>
      <c r="AQ11" t="s">
        <v>140</v>
      </c>
      <c r="AZ11" s="16"/>
      <c r="BA11" t="str">
        <f t="shared" si="0"/>
        <v>XT10</v>
      </c>
      <c r="BB11" t="str">
        <f t="shared" si="1"/>
        <v>C26</v>
      </c>
      <c r="BC11" t="str">
        <f t="shared" si="2"/>
        <v>B26</v>
      </c>
      <c r="BD11" t="str">
        <f t="shared" si="3"/>
        <v>C27</v>
      </c>
      <c r="BE11" t="str">
        <f t="shared" si="4"/>
        <v>B27</v>
      </c>
      <c r="BF11" t="str">
        <f t="shared" si="5"/>
        <v>C28</v>
      </c>
      <c r="BG11" t="str">
        <f t="shared" si="6"/>
        <v>B28</v>
      </c>
      <c r="BH11" t="str">
        <f t="shared" si="7"/>
        <v>C29</v>
      </c>
      <c r="BI11" t="str">
        <f t="shared" si="8"/>
        <v>B29</v>
      </c>
      <c r="BJ11" t="str">
        <f t="shared" si="9"/>
        <v>C30</v>
      </c>
      <c r="BK11" t="str">
        <f t="shared" si="10"/>
        <v>B30</v>
      </c>
      <c r="BL11" t="str">
        <f t="shared" si="11"/>
        <v>29B</v>
      </c>
      <c r="BM11" t="str">
        <f t="shared" si="12"/>
        <v>29A</v>
      </c>
      <c r="BN11" t="str">
        <f t="shared" si="18"/>
        <v>30B</v>
      </c>
      <c r="BO11" t="str">
        <f t="shared" si="19"/>
        <v>30A</v>
      </c>
      <c r="BP11" t="str">
        <f t="shared" si="13"/>
        <v>DI2-C25</v>
      </c>
      <c r="BQ11" t="str">
        <f t="shared" si="13"/>
        <v>DI2-B25</v>
      </c>
      <c r="BR11" t="str">
        <f t="shared" si="14"/>
        <v>DI2-C26</v>
      </c>
      <c r="BS11" t="str">
        <f t="shared" si="14"/>
        <v>DI2-B26</v>
      </c>
      <c r="BT11" t="str">
        <f t="shared" si="14"/>
        <v>DI2-C27</v>
      </c>
      <c r="BU11" t="str">
        <f t="shared" si="14"/>
        <v>DI2-B27</v>
      </c>
      <c r="BV11" t="str">
        <f t="shared" si="14"/>
        <v>DI2-C28</v>
      </c>
      <c r="BW11" t="str">
        <f t="shared" si="14"/>
        <v>DI2-B28</v>
      </c>
      <c r="BX11" t="str">
        <f t="shared" si="14"/>
        <v>DI2-C29</v>
      </c>
      <c r="BY11" t="str">
        <f t="shared" si="14"/>
        <v>DI2-B29</v>
      </c>
      <c r="BZ11" t="str">
        <f t="shared" si="14"/>
        <v>DI2-C30</v>
      </c>
      <c r="CA11" t="str">
        <f t="shared" si="14"/>
        <v>DI2-B30</v>
      </c>
      <c r="CB11" t="str">
        <f t="shared" si="15"/>
        <v>DO1-28B</v>
      </c>
      <c r="CC11" t="str">
        <f t="shared" si="15"/>
        <v>DO1-28A</v>
      </c>
      <c r="CD11" t="str">
        <f t="shared" si="16"/>
        <v>DO1-29B</v>
      </c>
      <c r="CE11" t="str">
        <f t="shared" si="16"/>
        <v>DO1-29A</v>
      </c>
      <c r="CF11" t="str">
        <f t="shared" si="16"/>
        <v>DO1-30B</v>
      </c>
      <c r="CG11" t="str">
        <f t="shared" si="16"/>
        <v>DO1-30A</v>
      </c>
      <c r="CH11" t="str">
        <f t="shared" si="20"/>
        <v>K10-10</v>
      </c>
      <c r="CI11" t="str">
        <f t="shared" si="21"/>
        <v>K10-03</v>
      </c>
      <c r="CJ11" t="str">
        <f t="shared" si="22"/>
        <v>K10-04</v>
      </c>
      <c r="CK11" t="str">
        <f t="shared" si="23"/>
        <v>K10-01</v>
      </c>
      <c r="CL11" t="str">
        <f t="shared" si="24"/>
        <v>K10-08</v>
      </c>
      <c r="CM11" t="str">
        <f t="shared" si="25"/>
        <v>K10-02</v>
      </c>
      <c r="CN11" t="str">
        <f t="shared" si="26"/>
        <v>K10-09</v>
      </c>
      <c r="CO11" t="str">
        <f t="shared" si="27"/>
        <v>K10-05</v>
      </c>
      <c r="CP11" t="str">
        <f t="shared" si="28"/>
        <v>K10-11</v>
      </c>
      <c r="CQ11" t="str">
        <f t="shared" si="29"/>
        <v>F0-M10-A9</v>
      </c>
      <c r="CR11" t="str">
        <f t="shared" si="30"/>
        <v>F0-M10-A7</v>
      </c>
      <c r="CS11" t="str">
        <f t="shared" si="31"/>
        <v>F0-M10-A8</v>
      </c>
      <c r="CT11" t="str">
        <f t="shared" si="32"/>
        <v>F0-M10-A6</v>
      </c>
      <c r="CU11" t="str">
        <f t="shared" si="33"/>
        <v>F0-M10-A30</v>
      </c>
      <c r="CV11" t="str">
        <f t="shared" si="34"/>
        <v>F0-M10-N</v>
      </c>
      <c r="CW11" t="str">
        <f t="shared" si="17"/>
        <v>F0-A220-M10</v>
      </c>
      <c r="CX11" t="str">
        <f t="shared" si="35"/>
        <v>F0-M10-XM01</v>
      </c>
      <c r="CY11" t="str">
        <f t="shared" si="36"/>
        <v>F0-M10-A1</v>
      </c>
      <c r="CZ11" t="str">
        <f t="shared" si="37"/>
        <v>F0-M10-A5</v>
      </c>
      <c r="DA11" t="str">
        <f t="shared" si="38"/>
        <v>F0-M10-A11</v>
      </c>
      <c r="DB11" t="str">
        <f t="shared" si="39"/>
        <v>F0-M10-A12</v>
      </c>
      <c r="DC11" t="str">
        <f t="shared" si="40"/>
        <v>F0-M10-A19</v>
      </c>
      <c r="DD11" t="str">
        <f t="shared" si="41"/>
        <v>F0-M10-A20</v>
      </c>
      <c r="DE11" t="s">
        <v>142</v>
      </c>
      <c r="DF11" t="s">
        <v>143</v>
      </c>
      <c r="DG11">
        <v>11</v>
      </c>
      <c r="DH11">
        <v>14</v>
      </c>
      <c r="DI11">
        <v>12</v>
      </c>
      <c r="DJ11" t="s">
        <v>144</v>
      </c>
      <c r="DK11" t="s">
        <v>145</v>
      </c>
      <c r="DL11">
        <v>1</v>
      </c>
      <c r="DM11">
        <v>2</v>
      </c>
      <c r="DN11">
        <v>3</v>
      </c>
      <c r="DO11">
        <v>4</v>
      </c>
      <c r="DP11">
        <v>5</v>
      </c>
      <c r="DQ11">
        <v>6</v>
      </c>
      <c r="DR11">
        <v>7</v>
      </c>
      <c r="DS11">
        <v>8</v>
      </c>
      <c r="DT11">
        <v>9</v>
      </c>
      <c r="DU11">
        <v>10</v>
      </c>
      <c r="DV11">
        <v>11</v>
      </c>
      <c r="DW11">
        <v>12</v>
      </c>
      <c r="DX11">
        <v>13</v>
      </c>
      <c r="DY11">
        <v>14</v>
      </c>
      <c r="DZ11">
        <v>1</v>
      </c>
      <c r="EA11">
        <v>3</v>
      </c>
      <c r="EB11">
        <v>4</v>
      </c>
      <c r="EC11">
        <v>7</v>
      </c>
      <c r="ED11">
        <v>8</v>
      </c>
      <c r="EE11">
        <v>9</v>
      </c>
      <c r="EF11">
        <v>10</v>
      </c>
      <c r="EG11">
        <v>13</v>
      </c>
      <c r="EH11">
        <v>14</v>
      </c>
      <c r="EI11">
        <v>15</v>
      </c>
      <c r="EJ11">
        <v>16</v>
      </c>
      <c r="EK11">
        <v>22</v>
      </c>
      <c r="EL11">
        <v>23</v>
      </c>
      <c r="EM11" s="16">
        <v>24</v>
      </c>
    </row>
    <row r="12" spans="1:532" x14ac:dyDescent="0.25">
      <c r="A12" t="s">
        <v>176</v>
      </c>
      <c r="B12" t="s">
        <v>177</v>
      </c>
      <c r="C12" s="3" t="s">
        <v>127</v>
      </c>
      <c r="O12" s="2"/>
      <c r="P12" t="s">
        <v>129</v>
      </c>
      <c r="Q12" s="1"/>
      <c r="S12" s="1" t="s">
        <v>130</v>
      </c>
      <c r="T12" s="14" t="s">
        <v>554</v>
      </c>
      <c r="U12" s="15">
        <v>11</v>
      </c>
      <c r="V12" s="15" t="s">
        <v>319</v>
      </c>
      <c r="W12" s="15"/>
      <c r="AC12" t="s">
        <v>262</v>
      </c>
      <c r="AD12" t="s">
        <v>133</v>
      </c>
      <c r="AE12" t="s">
        <v>134</v>
      </c>
      <c r="AF12" t="s">
        <v>267</v>
      </c>
      <c r="AG12" t="s">
        <v>135</v>
      </c>
      <c r="AH12" t="s">
        <v>136</v>
      </c>
      <c r="AI12" t="s">
        <v>178</v>
      </c>
      <c r="AL12" t="s">
        <v>137</v>
      </c>
      <c r="AM12" t="s">
        <v>138</v>
      </c>
      <c r="AP12" t="s">
        <v>139</v>
      </c>
      <c r="AQ12" t="s">
        <v>140</v>
      </c>
      <c r="AZ12" s="16"/>
      <c r="BA12" t="str">
        <f t="shared" si="0"/>
        <v>XT11</v>
      </c>
      <c r="BB12" t="str">
        <f t="shared" si="1"/>
        <v>C2</v>
      </c>
      <c r="BC12" t="str">
        <f t="shared" si="2"/>
        <v>B2</v>
      </c>
      <c r="BD12" t="str">
        <f t="shared" si="3"/>
        <v>C3</v>
      </c>
      <c r="BE12" t="str">
        <f t="shared" si="4"/>
        <v>B3</v>
      </c>
      <c r="BF12" t="str">
        <f t="shared" si="5"/>
        <v>C4</v>
      </c>
      <c r="BG12" t="str">
        <f t="shared" si="6"/>
        <v>B4</v>
      </c>
      <c r="BH12" t="str">
        <f t="shared" si="7"/>
        <v>C5</v>
      </c>
      <c r="BI12" t="str">
        <f t="shared" si="8"/>
        <v>B5</v>
      </c>
      <c r="BJ12" t="str">
        <f t="shared" si="9"/>
        <v>C6</v>
      </c>
      <c r="BK12" t="str">
        <f t="shared" si="10"/>
        <v>B6</v>
      </c>
      <c r="BL12" t="str">
        <f t="shared" si="11"/>
        <v>2B</v>
      </c>
      <c r="BM12" t="str">
        <f t="shared" si="12"/>
        <v>2A</v>
      </c>
      <c r="BN12" t="str">
        <f t="shared" si="18"/>
        <v>3B</v>
      </c>
      <c r="BO12" t="str">
        <f t="shared" si="19"/>
        <v>3A</v>
      </c>
      <c r="BP12" t="str">
        <f t="shared" si="13"/>
        <v>DI3-C1</v>
      </c>
      <c r="BQ12" t="str">
        <f t="shared" si="13"/>
        <v>DI3-B1</v>
      </c>
      <c r="BR12" t="str">
        <f t="shared" si="14"/>
        <v>DI3-C2</v>
      </c>
      <c r="BS12" t="str">
        <f t="shared" si="14"/>
        <v>DI3-B2</v>
      </c>
      <c r="BT12" t="str">
        <f t="shared" si="14"/>
        <v>DI3-C3</v>
      </c>
      <c r="BU12" t="str">
        <f t="shared" si="14"/>
        <v>DI3-B3</v>
      </c>
      <c r="BV12" t="str">
        <f t="shared" si="14"/>
        <v>DI3-C4</v>
      </c>
      <c r="BW12" t="str">
        <f t="shared" si="14"/>
        <v>DI3-B4</v>
      </c>
      <c r="BX12" t="str">
        <f t="shared" si="14"/>
        <v>DI3-C5</v>
      </c>
      <c r="BY12" t="str">
        <f t="shared" si="14"/>
        <v>DI3-B5</v>
      </c>
      <c r="BZ12" t="str">
        <f t="shared" si="14"/>
        <v>DI3-C6</v>
      </c>
      <c r="CA12" t="str">
        <f t="shared" si="14"/>
        <v>DI3-B6</v>
      </c>
      <c r="CB12" t="str">
        <f t="shared" si="15"/>
        <v>DO2-1B</v>
      </c>
      <c r="CC12" t="str">
        <f t="shared" si="15"/>
        <v>DO2-1A</v>
      </c>
      <c r="CD12" t="str">
        <f t="shared" si="16"/>
        <v>DO2-2B</v>
      </c>
      <c r="CE12" t="str">
        <f t="shared" si="16"/>
        <v>DO2-2A</v>
      </c>
      <c r="CF12" t="str">
        <f t="shared" si="16"/>
        <v>DO2-3B</v>
      </c>
      <c r="CG12" t="str">
        <f t="shared" si="16"/>
        <v>DO2-3A</v>
      </c>
      <c r="CH12" t="str">
        <f t="shared" si="20"/>
        <v>K11-10</v>
      </c>
      <c r="CI12" t="str">
        <f t="shared" si="21"/>
        <v>K11-03</v>
      </c>
      <c r="CJ12" t="str">
        <f t="shared" si="22"/>
        <v>K11-04</v>
      </c>
      <c r="CK12" t="str">
        <f t="shared" si="23"/>
        <v>K11-01</v>
      </c>
      <c r="CL12" t="str">
        <f t="shared" si="24"/>
        <v>K11-08</v>
      </c>
      <c r="CM12" t="str">
        <f t="shared" si="25"/>
        <v>K11-02</v>
      </c>
      <c r="CN12" t="str">
        <f t="shared" si="26"/>
        <v>K11-09</v>
      </c>
      <c r="CO12" t="str">
        <f t="shared" si="27"/>
        <v>K11-05</v>
      </c>
      <c r="CP12" t="str">
        <f t="shared" si="28"/>
        <v>K11-11</v>
      </c>
      <c r="CQ12" t="str">
        <f t="shared" si="29"/>
        <v>F0-M11-A9</v>
      </c>
      <c r="CR12" t="str">
        <f t="shared" si="30"/>
        <v>F0-M11-A7</v>
      </c>
      <c r="CS12" t="str">
        <f t="shared" si="31"/>
        <v>F0-M11-A8</v>
      </c>
      <c r="CT12" t="str">
        <f t="shared" si="32"/>
        <v>F0-M11-A6</v>
      </c>
      <c r="CU12" t="str">
        <f t="shared" si="33"/>
        <v>F0-M11-A30</v>
      </c>
      <c r="CV12" t="str">
        <f t="shared" si="34"/>
        <v>F0-M11-N</v>
      </c>
      <c r="CW12" t="str">
        <f t="shared" si="17"/>
        <v>F0-A220-M11</v>
      </c>
      <c r="CX12" t="str">
        <f t="shared" si="35"/>
        <v>F0-M11-XM01</v>
      </c>
      <c r="CY12" t="str">
        <f t="shared" si="36"/>
        <v>F0-M11-A1</v>
      </c>
      <c r="CZ12" t="str">
        <f t="shared" si="37"/>
        <v>F0-M11-A5</v>
      </c>
      <c r="DA12" t="str">
        <f t="shared" si="38"/>
        <v>F0-M11-A11</v>
      </c>
      <c r="DB12" t="str">
        <f t="shared" si="39"/>
        <v>F0-M11-A12</v>
      </c>
      <c r="DC12" t="str">
        <f t="shared" si="40"/>
        <v>F0-M11-A19</v>
      </c>
      <c r="DD12" t="str">
        <f t="shared" si="41"/>
        <v>F0-M11-A20</v>
      </c>
      <c r="DE12" t="s">
        <v>142</v>
      </c>
      <c r="DF12" t="s">
        <v>143</v>
      </c>
      <c r="DG12">
        <v>11</v>
      </c>
      <c r="DH12">
        <v>14</v>
      </c>
      <c r="DI12">
        <v>12</v>
      </c>
      <c r="DJ12" t="s">
        <v>144</v>
      </c>
      <c r="DK12" t="s">
        <v>145</v>
      </c>
      <c r="DL12">
        <v>1</v>
      </c>
      <c r="DM12">
        <v>2</v>
      </c>
      <c r="DN12">
        <v>3</v>
      </c>
      <c r="DO12">
        <v>4</v>
      </c>
      <c r="DP12">
        <v>5</v>
      </c>
      <c r="DQ12">
        <v>6</v>
      </c>
      <c r="DR12">
        <v>7</v>
      </c>
      <c r="DS12">
        <v>8</v>
      </c>
      <c r="DT12">
        <v>9</v>
      </c>
      <c r="DU12">
        <v>10</v>
      </c>
      <c r="DV12">
        <v>11</v>
      </c>
      <c r="DW12">
        <v>12</v>
      </c>
      <c r="DX12">
        <v>13</v>
      </c>
      <c r="DY12">
        <v>14</v>
      </c>
      <c r="DZ12">
        <v>1</v>
      </c>
      <c r="EA12">
        <v>3</v>
      </c>
      <c r="EB12">
        <v>4</v>
      </c>
      <c r="EC12">
        <v>7</v>
      </c>
      <c r="ED12">
        <v>8</v>
      </c>
      <c r="EE12">
        <v>9</v>
      </c>
      <c r="EF12">
        <v>10</v>
      </c>
      <c r="EG12">
        <v>13</v>
      </c>
      <c r="EH12">
        <v>14</v>
      </c>
      <c r="EI12">
        <v>15</v>
      </c>
      <c r="EJ12">
        <v>16</v>
      </c>
      <c r="EK12">
        <v>22</v>
      </c>
      <c r="EL12">
        <v>23</v>
      </c>
      <c r="EM12" s="16">
        <v>24</v>
      </c>
    </row>
    <row r="13" spans="1:532" x14ac:dyDescent="0.25">
      <c r="A13" t="s">
        <v>179</v>
      </c>
      <c r="B13" t="s">
        <v>180</v>
      </c>
      <c r="C13" s="3" t="s">
        <v>127</v>
      </c>
      <c r="O13" s="2"/>
      <c r="P13" t="s">
        <v>129</v>
      </c>
      <c r="Q13" s="1"/>
      <c r="S13" s="1" t="s">
        <v>130</v>
      </c>
      <c r="T13" s="14" t="s">
        <v>554</v>
      </c>
      <c r="U13" s="15">
        <v>12</v>
      </c>
      <c r="V13" s="15" t="s">
        <v>320</v>
      </c>
      <c r="W13" s="15"/>
      <c r="AC13" t="s">
        <v>262</v>
      </c>
      <c r="AD13" t="s">
        <v>148</v>
      </c>
      <c r="AE13" t="s">
        <v>149</v>
      </c>
      <c r="AF13" t="s">
        <v>267</v>
      </c>
      <c r="AG13" t="s">
        <v>243</v>
      </c>
      <c r="AH13" t="s">
        <v>244</v>
      </c>
      <c r="AI13" t="s">
        <v>181</v>
      </c>
      <c r="AL13" t="s">
        <v>137</v>
      </c>
      <c r="AM13" t="s">
        <v>138</v>
      </c>
      <c r="AP13" t="s">
        <v>139</v>
      </c>
      <c r="AQ13" t="s">
        <v>140</v>
      </c>
      <c r="AZ13" s="16"/>
      <c r="BA13" t="str">
        <f t="shared" si="0"/>
        <v>XT12</v>
      </c>
      <c r="BB13" t="str">
        <f t="shared" si="1"/>
        <v>C8</v>
      </c>
      <c r="BC13" t="str">
        <f t="shared" si="2"/>
        <v>B8</v>
      </c>
      <c r="BD13" t="str">
        <f t="shared" si="3"/>
        <v>C9</v>
      </c>
      <c r="BE13" t="str">
        <f t="shared" si="4"/>
        <v>B9</v>
      </c>
      <c r="BF13" t="str">
        <f t="shared" si="5"/>
        <v>C10</v>
      </c>
      <c r="BG13" t="str">
        <f t="shared" si="6"/>
        <v>B10</v>
      </c>
      <c r="BH13" t="str">
        <f t="shared" si="7"/>
        <v>C11</v>
      </c>
      <c r="BI13" t="str">
        <f t="shared" si="8"/>
        <v>B11</v>
      </c>
      <c r="BJ13" t="str">
        <f t="shared" si="9"/>
        <v>C12</v>
      </c>
      <c r="BK13" t="str">
        <f t="shared" si="10"/>
        <v>B12</v>
      </c>
      <c r="BL13" t="str">
        <f t="shared" si="11"/>
        <v>5B</v>
      </c>
      <c r="BM13" t="str">
        <f t="shared" si="12"/>
        <v>5A</v>
      </c>
      <c r="BN13" t="str">
        <f t="shared" si="18"/>
        <v>6B</v>
      </c>
      <c r="BO13" t="str">
        <f t="shared" si="19"/>
        <v>6A</v>
      </c>
      <c r="BP13" t="str">
        <f t="shared" si="13"/>
        <v>DI3-C7</v>
      </c>
      <c r="BQ13" t="str">
        <f t="shared" si="13"/>
        <v>DI3-B7</v>
      </c>
      <c r="BR13" t="str">
        <f t="shared" si="14"/>
        <v>DI3-C8</v>
      </c>
      <c r="BS13" t="str">
        <f t="shared" si="14"/>
        <v>DI3-B8</v>
      </c>
      <c r="BT13" t="str">
        <f t="shared" si="14"/>
        <v>DI3-C9</v>
      </c>
      <c r="BU13" t="str">
        <f t="shared" si="14"/>
        <v>DI3-B9</v>
      </c>
      <c r="BV13" t="str">
        <f t="shared" si="14"/>
        <v>DI3-C10</v>
      </c>
      <c r="BW13" t="str">
        <f t="shared" si="14"/>
        <v>DI3-B10</v>
      </c>
      <c r="BX13" t="str">
        <f t="shared" si="14"/>
        <v>DI3-C11</v>
      </c>
      <c r="BY13" t="str">
        <f t="shared" si="14"/>
        <v>DI3-B11</v>
      </c>
      <c r="BZ13" t="str">
        <f t="shared" si="14"/>
        <v>DI3-C12</v>
      </c>
      <c r="CA13" t="str">
        <f t="shared" si="14"/>
        <v>DI3-B12</v>
      </c>
      <c r="CB13" t="str">
        <f t="shared" si="15"/>
        <v>DO2-4B</v>
      </c>
      <c r="CC13" t="str">
        <f t="shared" si="15"/>
        <v>DO2-4A</v>
      </c>
      <c r="CD13" t="str">
        <f t="shared" si="16"/>
        <v>DO2-5B</v>
      </c>
      <c r="CE13" t="str">
        <f t="shared" si="16"/>
        <v>DO2-5A</v>
      </c>
      <c r="CF13" t="str">
        <f t="shared" si="16"/>
        <v>DO2-6B</v>
      </c>
      <c r="CG13" t="str">
        <f t="shared" si="16"/>
        <v>DO2-6A</v>
      </c>
      <c r="CH13" t="str">
        <f t="shared" si="20"/>
        <v>K12-10</v>
      </c>
      <c r="CI13" t="str">
        <f t="shared" si="21"/>
        <v>K12-03</v>
      </c>
      <c r="CJ13" t="str">
        <f t="shared" si="22"/>
        <v>K12-04</v>
      </c>
      <c r="CK13" t="str">
        <f t="shared" si="23"/>
        <v>K12-01</v>
      </c>
      <c r="CL13" t="str">
        <f t="shared" si="24"/>
        <v>K12-08</v>
      </c>
      <c r="CM13" t="str">
        <f t="shared" si="25"/>
        <v>K12-02</v>
      </c>
      <c r="CN13" t="str">
        <f t="shared" si="26"/>
        <v>K12-09</v>
      </c>
      <c r="CO13" t="str">
        <f t="shared" si="27"/>
        <v>K12-05</v>
      </c>
      <c r="CP13" t="str">
        <f t="shared" si="28"/>
        <v>K12-11</v>
      </c>
      <c r="CQ13" t="str">
        <f t="shared" si="29"/>
        <v>F0-M12-A9</v>
      </c>
      <c r="CR13" t="str">
        <f t="shared" si="30"/>
        <v>F0-M12-A7</v>
      </c>
      <c r="CS13" t="str">
        <f t="shared" si="31"/>
        <v>F0-M12-A8</v>
      </c>
      <c r="CT13" t="str">
        <f t="shared" si="32"/>
        <v>F0-M12-A6</v>
      </c>
      <c r="CU13" t="str">
        <f t="shared" si="33"/>
        <v>F0-M12-A30</v>
      </c>
      <c r="CV13" t="str">
        <f t="shared" si="34"/>
        <v>F0-M12-N</v>
      </c>
      <c r="CW13" t="str">
        <f t="shared" si="17"/>
        <v>F0-A220-M12</v>
      </c>
      <c r="CX13" t="str">
        <f t="shared" si="35"/>
        <v>F0-M12-XM01</v>
      </c>
      <c r="CY13" t="str">
        <f t="shared" si="36"/>
        <v>F0-M12-A1</v>
      </c>
      <c r="CZ13" t="str">
        <f t="shared" si="37"/>
        <v>F0-M12-A5</v>
      </c>
      <c r="DA13" t="str">
        <f t="shared" si="38"/>
        <v>F0-M12-A11</v>
      </c>
      <c r="DB13" t="str">
        <f t="shared" si="39"/>
        <v>F0-M12-A12</v>
      </c>
      <c r="DC13" t="str">
        <f t="shared" si="40"/>
        <v>F0-M12-A19</v>
      </c>
      <c r="DD13" t="str">
        <f t="shared" si="41"/>
        <v>F0-M12-A20</v>
      </c>
      <c r="DE13" t="s">
        <v>142</v>
      </c>
      <c r="DF13" t="s">
        <v>143</v>
      </c>
      <c r="DG13">
        <v>11</v>
      </c>
      <c r="DH13">
        <v>14</v>
      </c>
      <c r="DI13">
        <v>12</v>
      </c>
      <c r="DJ13" t="s">
        <v>144</v>
      </c>
      <c r="DK13" t="s">
        <v>145</v>
      </c>
      <c r="DL13">
        <v>1</v>
      </c>
      <c r="DM13">
        <v>2</v>
      </c>
      <c r="DN13">
        <v>3</v>
      </c>
      <c r="DO13">
        <v>4</v>
      </c>
      <c r="DP13">
        <v>5</v>
      </c>
      <c r="DQ13">
        <v>6</v>
      </c>
      <c r="DR13">
        <v>7</v>
      </c>
      <c r="DS13">
        <v>8</v>
      </c>
      <c r="DT13">
        <v>9</v>
      </c>
      <c r="DU13">
        <v>10</v>
      </c>
      <c r="DV13">
        <v>11</v>
      </c>
      <c r="DW13">
        <v>12</v>
      </c>
      <c r="DX13">
        <v>13</v>
      </c>
      <c r="DY13">
        <v>14</v>
      </c>
      <c r="DZ13">
        <v>1</v>
      </c>
      <c r="EA13">
        <v>3</v>
      </c>
      <c r="EB13">
        <v>4</v>
      </c>
      <c r="EC13">
        <v>7</v>
      </c>
      <c r="ED13">
        <v>8</v>
      </c>
      <c r="EE13">
        <v>9</v>
      </c>
      <c r="EF13">
        <v>10</v>
      </c>
      <c r="EG13">
        <v>13</v>
      </c>
      <c r="EH13">
        <v>14</v>
      </c>
      <c r="EI13">
        <v>15</v>
      </c>
      <c r="EJ13">
        <v>16</v>
      </c>
      <c r="EK13">
        <v>22</v>
      </c>
      <c r="EL13">
        <v>23</v>
      </c>
      <c r="EM13" s="16">
        <v>24</v>
      </c>
    </row>
    <row r="14" spans="1:532" x14ac:dyDescent="0.25">
      <c r="A14" t="s">
        <v>182</v>
      </c>
      <c r="B14" t="s">
        <v>183</v>
      </c>
      <c r="C14" s="3" t="s">
        <v>127</v>
      </c>
      <c r="O14" s="2"/>
      <c r="P14" t="s">
        <v>129</v>
      </c>
      <c r="Q14" s="1"/>
      <c r="S14" s="1" t="s">
        <v>130</v>
      </c>
      <c r="T14" s="14" t="s">
        <v>554</v>
      </c>
      <c r="U14" s="15">
        <v>13</v>
      </c>
      <c r="V14" s="15" t="s">
        <v>321</v>
      </c>
      <c r="W14" s="15"/>
      <c r="AC14" t="s">
        <v>262</v>
      </c>
      <c r="AD14" t="s">
        <v>153</v>
      </c>
      <c r="AE14" t="s">
        <v>154</v>
      </c>
      <c r="AF14" t="s">
        <v>267</v>
      </c>
      <c r="AG14" t="s">
        <v>245</v>
      </c>
      <c r="AH14" t="s">
        <v>246</v>
      </c>
      <c r="AI14" t="s">
        <v>184</v>
      </c>
      <c r="AL14" t="s">
        <v>137</v>
      </c>
      <c r="AM14" t="s">
        <v>138</v>
      </c>
      <c r="AP14" t="s">
        <v>139</v>
      </c>
      <c r="AQ14" t="s">
        <v>140</v>
      </c>
      <c r="AZ14" s="16"/>
      <c r="BA14" t="str">
        <f t="shared" si="0"/>
        <v>XT13</v>
      </c>
      <c r="BB14" t="str">
        <f t="shared" si="1"/>
        <v>C14</v>
      </c>
      <c r="BC14" t="str">
        <f t="shared" si="2"/>
        <v>B14</v>
      </c>
      <c r="BD14" t="str">
        <f t="shared" si="3"/>
        <v>C15</v>
      </c>
      <c r="BE14" t="str">
        <f t="shared" si="4"/>
        <v>B15</v>
      </c>
      <c r="BF14" t="str">
        <f t="shared" si="5"/>
        <v>C16</v>
      </c>
      <c r="BG14" t="str">
        <f t="shared" si="6"/>
        <v>B16</v>
      </c>
      <c r="BH14" t="str">
        <f t="shared" si="7"/>
        <v>C17</v>
      </c>
      <c r="BI14" t="str">
        <f t="shared" si="8"/>
        <v>B17</v>
      </c>
      <c r="BJ14" t="str">
        <f t="shared" si="9"/>
        <v>C18</v>
      </c>
      <c r="BK14" t="str">
        <f t="shared" si="10"/>
        <v>B18</v>
      </c>
      <c r="BL14" t="str">
        <f t="shared" si="11"/>
        <v>8B</v>
      </c>
      <c r="BM14" t="str">
        <f t="shared" si="12"/>
        <v>8A</v>
      </c>
      <c r="BN14" t="str">
        <f t="shared" si="18"/>
        <v>9B</v>
      </c>
      <c r="BO14" t="str">
        <f t="shared" si="19"/>
        <v>9A</v>
      </c>
      <c r="BP14" t="str">
        <f t="shared" si="13"/>
        <v>DI3-C13</v>
      </c>
      <c r="BQ14" t="str">
        <f t="shared" si="13"/>
        <v>DI3-B13</v>
      </c>
      <c r="BR14" t="str">
        <f t="shared" si="14"/>
        <v>DI3-C14</v>
      </c>
      <c r="BS14" t="str">
        <f t="shared" si="14"/>
        <v>DI3-B14</v>
      </c>
      <c r="BT14" t="str">
        <f t="shared" si="14"/>
        <v>DI3-C15</v>
      </c>
      <c r="BU14" t="str">
        <f t="shared" si="14"/>
        <v>DI3-B15</v>
      </c>
      <c r="BV14" t="str">
        <f t="shared" si="14"/>
        <v>DI3-C16</v>
      </c>
      <c r="BW14" t="str">
        <f t="shared" si="14"/>
        <v>DI3-B16</v>
      </c>
      <c r="BX14" t="str">
        <f t="shared" si="14"/>
        <v>DI3-C17</v>
      </c>
      <c r="BY14" t="str">
        <f t="shared" si="14"/>
        <v>DI3-B17</v>
      </c>
      <c r="BZ14" t="str">
        <f t="shared" si="14"/>
        <v>DI3-C18</v>
      </c>
      <c r="CA14" t="str">
        <f t="shared" si="14"/>
        <v>DI3-B18</v>
      </c>
      <c r="CB14" t="str">
        <f t="shared" si="15"/>
        <v>DO2-7B</v>
      </c>
      <c r="CC14" t="str">
        <f t="shared" si="15"/>
        <v>DO2-7A</v>
      </c>
      <c r="CD14" t="str">
        <f t="shared" si="16"/>
        <v>DO2-8B</v>
      </c>
      <c r="CE14" t="str">
        <f t="shared" si="16"/>
        <v>DO2-8A</v>
      </c>
      <c r="CF14" t="str">
        <f t="shared" si="16"/>
        <v>DO2-9B</v>
      </c>
      <c r="CG14" t="str">
        <f t="shared" si="16"/>
        <v>DO2-9A</v>
      </c>
      <c r="CH14" t="str">
        <f t="shared" si="20"/>
        <v>K13-10</v>
      </c>
      <c r="CI14" t="str">
        <f t="shared" si="21"/>
        <v>K13-03</v>
      </c>
      <c r="CJ14" t="str">
        <f t="shared" si="22"/>
        <v>K13-04</v>
      </c>
      <c r="CK14" t="str">
        <f t="shared" si="23"/>
        <v>K13-01</v>
      </c>
      <c r="CL14" t="str">
        <f t="shared" si="24"/>
        <v>K13-08</v>
      </c>
      <c r="CM14" t="str">
        <f t="shared" si="25"/>
        <v>K13-02</v>
      </c>
      <c r="CN14" t="str">
        <f t="shared" si="26"/>
        <v>K13-09</v>
      </c>
      <c r="CO14" t="str">
        <f t="shared" si="27"/>
        <v>K13-05</v>
      </c>
      <c r="CP14" t="str">
        <f t="shared" si="28"/>
        <v>K13-11</v>
      </c>
      <c r="CQ14" t="str">
        <f t="shared" si="29"/>
        <v>F0-M13-A9</v>
      </c>
      <c r="CR14" t="str">
        <f t="shared" si="30"/>
        <v>F0-M13-A7</v>
      </c>
      <c r="CS14" t="str">
        <f t="shared" si="31"/>
        <v>F0-M13-A8</v>
      </c>
      <c r="CT14" t="str">
        <f t="shared" si="32"/>
        <v>F0-M13-A6</v>
      </c>
      <c r="CU14" t="str">
        <f t="shared" si="33"/>
        <v>F0-M13-A30</v>
      </c>
      <c r="CV14" t="str">
        <f t="shared" si="34"/>
        <v>F0-M13-N</v>
      </c>
      <c r="CW14" t="str">
        <f t="shared" si="17"/>
        <v>F0-A220-M13</v>
      </c>
      <c r="CX14" t="str">
        <f t="shared" si="35"/>
        <v>F0-M13-XM01</v>
      </c>
      <c r="CY14" t="str">
        <f t="shared" si="36"/>
        <v>F0-M13-A1</v>
      </c>
      <c r="CZ14" t="str">
        <f t="shared" si="37"/>
        <v>F0-M13-A5</v>
      </c>
      <c r="DA14" t="str">
        <f t="shared" si="38"/>
        <v>F0-M13-A11</v>
      </c>
      <c r="DB14" t="str">
        <f t="shared" si="39"/>
        <v>F0-M13-A12</v>
      </c>
      <c r="DC14" t="str">
        <f t="shared" si="40"/>
        <v>F0-M13-A19</v>
      </c>
      <c r="DD14" t="str">
        <f t="shared" si="41"/>
        <v>F0-M13-A20</v>
      </c>
      <c r="DE14" t="s">
        <v>142</v>
      </c>
      <c r="DF14" t="s">
        <v>143</v>
      </c>
      <c r="DG14">
        <v>11</v>
      </c>
      <c r="DH14">
        <v>14</v>
      </c>
      <c r="DI14">
        <v>12</v>
      </c>
      <c r="DJ14" t="s">
        <v>144</v>
      </c>
      <c r="DK14" t="s">
        <v>145</v>
      </c>
      <c r="DL14">
        <v>1</v>
      </c>
      <c r="DM14">
        <v>2</v>
      </c>
      <c r="DN14">
        <v>3</v>
      </c>
      <c r="DO14">
        <v>4</v>
      </c>
      <c r="DP14">
        <v>5</v>
      </c>
      <c r="DQ14">
        <v>6</v>
      </c>
      <c r="DR14">
        <v>7</v>
      </c>
      <c r="DS14">
        <v>8</v>
      </c>
      <c r="DT14">
        <v>9</v>
      </c>
      <c r="DU14">
        <v>10</v>
      </c>
      <c r="DV14">
        <v>11</v>
      </c>
      <c r="DW14">
        <v>12</v>
      </c>
      <c r="DX14">
        <v>13</v>
      </c>
      <c r="DY14">
        <v>14</v>
      </c>
      <c r="DZ14">
        <v>1</v>
      </c>
      <c r="EA14">
        <v>3</v>
      </c>
      <c r="EB14">
        <v>4</v>
      </c>
      <c r="EC14">
        <v>7</v>
      </c>
      <c r="ED14">
        <v>8</v>
      </c>
      <c r="EE14">
        <v>9</v>
      </c>
      <c r="EF14">
        <v>10</v>
      </c>
      <c r="EG14">
        <v>13</v>
      </c>
      <c r="EH14">
        <v>14</v>
      </c>
      <c r="EI14">
        <v>15</v>
      </c>
      <c r="EJ14">
        <v>16</v>
      </c>
      <c r="EK14">
        <v>22</v>
      </c>
      <c r="EL14">
        <v>23</v>
      </c>
      <c r="EM14" s="16">
        <v>24</v>
      </c>
    </row>
    <row r="15" spans="1:532" x14ac:dyDescent="0.25">
      <c r="A15" t="s">
        <v>185</v>
      </c>
      <c r="B15" t="s">
        <v>186</v>
      </c>
      <c r="C15" s="3" t="s">
        <v>127</v>
      </c>
      <c r="O15" s="2"/>
      <c r="P15" t="s">
        <v>129</v>
      </c>
      <c r="Q15" s="1"/>
      <c r="S15" s="1" t="s">
        <v>130</v>
      </c>
      <c r="T15" s="14" t="s">
        <v>554</v>
      </c>
      <c r="U15" s="15">
        <v>14</v>
      </c>
      <c r="V15" s="15" t="s">
        <v>322</v>
      </c>
      <c r="W15" s="15"/>
      <c r="AC15" t="s">
        <v>262</v>
      </c>
      <c r="AD15" t="s">
        <v>239</v>
      </c>
      <c r="AE15" t="s">
        <v>241</v>
      </c>
      <c r="AF15" t="s">
        <v>267</v>
      </c>
      <c r="AG15" t="s">
        <v>247</v>
      </c>
      <c r="AH15" t="s">
        <v>254</v>
      </c>
      <c r="AI15" t="s">
        <v>187</v>
      </c>
      <c r="AL15" t="s">
        <v>137</v>
      </c>
      <c r="AM15" t="s">
        <v>138</v>
      </c>
      <c r="AP15" t="s">
        <v>139</v>
      </c>
      <c r="AQ15" t="s">
        <v>140</v>
      </c>
      <c r="AZ15" s="16"/>
      <c r="BA15" t="str">
        <f t="shared" si="0"/>
        <v>XT14</v>
      </c>
      <c r="BB15" t="str">
        <f t="shared" si="1"/>
        <v>C20</v>
      </c>
      <c r="BC15" t="str">
        <f t="shared" si="2"/>
        <v>B20</v>
      </c>
      <c r="BD15" t="str">
        <f t="shared" si="3"/>
        <v>C21</v>
      </c>
      <c r="BE15" t="str">
        <f t="shared" si="4"/>
        <v>B21</v>
      </c>
      <c r="BF15" t="str">
        <f t="shared" si="5"/>
        <v>C22</v>
      </c>
      <c r="BG15" t="str">
        <f t="shared" si="6"/>
        <v>B22</v>
      </c>
      <c r="BH15" t="str">
        <f t="shared" si="7"/>
        <v>C23</v>
      </c>
      <c r="BI15" t="str">
        <f t="shared" si="8"/>
        <v>B23</v>
      </c>
      <c r="BJ15" t="str">
        <f t="shared" si="9"/>
        <v>C24</v>
      </c>
      <c r="BK15" t="str">
        <f t="shared" si="10"/>
        <v>B24</v>
      </c>
      <c r="BL15" t="str">
        <f t="shared" si="11"/>
        <v>11B</v>
      </c>
      <c r="BM15" t="str">
        <f t="shared" si="12"/>
        <v>11A</v>
      </c>
      <c r="BN15" t="str">
        <f t="shared" si="18"/>
        <v>12B</v>
      </c>
      <c r="BO15" t="str">
        <f t="shared" si="19"/>
        <v>12A</v>
      </c>
      <c r="BP15" t="str">
        <f t="shared" si="13"/>
        <v>DI3-C19</v>
      </c>
      <c r="BQ15" t="str">
        <f t="shared" si="13"/>
        <v>DI3-B19</v>
      </c>
      <c r="BR15" t="str">
        <f t="shared" si="14"/>
        <v>DI3-C20</v>
      </c>
      <c r="BS15" t="str">
        <f t="shared" si="14"/>
        <v>DI3-B20</v>
      </c>
      <c r="BT15" t="str">
        <f t="shared" si="14"/>
        <v>DI3-C21</v>
      </c>
      <c r="BU15" t="str">
        <f t="shared" si="14"/>
        <v>DI3-B21</v>
      </c>
      <c r="BV15" t="str">
        <f t="shared" si="14"/>
        <v>DI3-C22</v>
      </c>
      <c r="BW15" t="str">
        <f t="shared" si="14"/>
        <v>DI3-B22</v>
      </c>
      <c r="BX15" t="str">
        <f t="shared" si="14"/>
        <v>DI3-C23</v>
      </c>
      <c r="BY15" t="str">
        <f t="shared" si="14"/>
        <v>DI3-B23</v>
      </c>
      <c r="BZ15" t="str">
        <f t="shared" si="14"/>
        <v>DI3-C24</v>
      </c>
      <c r="CA15" t="str">
        <f t="shared" si="14"/>
        <v>DI3-B24</v>
      </c>
      <c r="CB15" t="str">
        <f t="shared" si="15"/>
        <v>DO2-10B</v>
      </c>
      <c r="CC15" t="str">
        <f t="shared" si="15"/>
        <v>DO2-10A</v>
      </c>
      <c r="CD15" t="str">
        <f t="shared" si="16"/>
        <v>DO2-11B</v>
      </c>
      <c r="CE15" t="str">
        <f t="shared" si="16"/>
        <v>DO2-11A</v>
      </c>
      <c r="CF15" t="str">
        <f t="shared" si="16"/>
        <v>DO2-12B</v>
      </c>
      <c r="CG15" t="str">
        <f t="shared" si="16"/>
        <v>DO2-12A</v>
      </c>
      <c r="CH15" t="str">
        <f t="shared" si="20"/>
        <v>K14-10</v>
      </c>
      <c r="CI15" t="str">
        <f t="shared" si="21"/>
        <v>K14-03</v>
      </c>
      <c r="CJ15" t="str">
        <f t="shared" si="22"/>
        <v>K14-04</v>
      </c>
      <c r="CK15" t="str">
        <f t="shared" si="23"/>
        <v>K14-01</v>
      </c>
      <c r="CL15" t="str">
        <f t="shared" si="24"/>
        <v>K14-08</v>
      </c>
      <c r="CM15" t="str">
        <f t="shared" si="25"/>
        <v>K14-02</v>
      </c>
      <c r="CN15" t="str">
        <f t="shared" si="26"/>
        <v>K14-09</v>
      </c>
      <c r="CO15" t="str">
        <f t="shared" si="27"/>
        <v>K14-05</v>
      </c>
      <c r="CP15" t="str">
        <f t="shared" si="28"/>
        <v>K14-11</v>
      </c>
      <c r="CQ15" t="str">
        <f t="shared" si="29"/>
        <v>F0-M14-A9</v>
      </c>
      <c r="CR15" t="str">
        <f t="shared" si="30"/>
        <v>F0-M14-A7</v>
      </c>
      <c r="CS15" t="str">
        <f t="shared" si="31"/>
        <v>F0-M14-A8</v>
      </c>
      <c r="CT15" t="str">
        <f t="shared" si="32"/>
        <v>F0-M14-A6</v>
      </c>
      <c r="CU15" t="str">
        <f t="shared" si="33"/>
        <v>F0-M14-A30</v>
      </c>
      <c r="CV15" t="str">
        <f t="shared" si="34"/>
        <v>F0-M14-N</v>
      </c>
      <c r="CW15" t="str">
        <f t="shared" si="17"/>
        <v>F0-A220-M14</v>
      </c>
      <c r="CX15" t="str">
        <f t="shared" si="35"/>
        <v>F0-M14-XM01</v>
      </c>
      <c r="CY15" t="str">
        <f t="shared" si="36"/>
        <v>F0-M14-A1</v>
      </c>
      <c r="CZ15" t="str">
        <f t="shared" si="37"/>
        <v>F0-M14-A5</v>
      </c>
      <c r="DA15" t="str">
        <f t="shared" si="38"/>
        <v>F0-M14-A11</v>
      </c>
      <c r="DB15" t="str">
        <f t="shared" si="39"/>
        <v>F0-M14-A12</v>
      </c>
      <c r="DC15" t="str">
        <f t="shared" si="40"/>
        <v>F0-M14-A19</v>
      </c>
      <c r="DD15" t="str">
        <f t="shared" si="41"/>
        <v>F0-M14-A20</v>
      </c>
      <c r="DE15" t="s">
        <v>142</v>
      </c>
      <c r="DF15" t="s">
        <v>143</v>
      </c>
      <c r="DG15">
        <v>11</v>
      </c>
      <c r="DH15">
        <v>14</v>
      </c>
      <c r="DI15">
        <v>12</v>
      </c>
      <c r="DJ15" t="s">
        <v>144</v>
      </c>
      <c r="DK15" t="s">
        <v>145</v>
      </c>
      <c r="DL15">
        <v>1</v>
      </c>
      <c r="DM15">
        <v>2</v>
      </c>
      <c r="DN15">
        <v>3</v>
      </c>
      <c r="DO15">
        <v>4</v>
      </c>
      <c r="DP15">
        <v>5</v>
      </c>
      <c r="DQ15">
        <v>6</v>
      </c>
      <c r="DR15">
        <v>7</v>
      </c>
      <c r="DS15">
        <v>8</v>
      </c>
      <c r="DT15">
        <v>9</v>
      </c>
      <c r="DU15">
        <v>10</v>
      </c>
      <c r="DV15">
        <v>11</v>
      </c>
      <c r="DW15">
        <v>12</v>
      </c>
      <c r="DX15">
        <v>13</v>
      </c>
      <c r="DY15">
        <v>14</v>
      </c>
      <c r="DZ15">
        <v>1</v>
      </c>
      <c r="EA15">
        <v>3</v>
      </c>
      <c r="EB15">
        <v>4</v>
      </c>
      <c r="EC15">
        <v>7</v>
      </c>
      <c r="ED15">
        <v>8</v>
      </c>
      <c r="EE15">
        <v>9</v>
      </c>
      <c r="EF15">
        <v>10</v>
      </c>
      <c r="EG15">
        <v>13</v>
      </c>
      <c r="EH15">
        <v>14</v>
      </c>
      <c r="EI15">
        <v>15</v>
      </c>
      <c r="EJ15">
        <v>16</v>
      </c>
      <c r="EK15">
        <v>22</v>
      </c>
      <c r="EL15">
        <v>23</v>
      </c>
      <c r="EM15" s="16">
        <v>24</v>
      </c>
    </row>
    <row r="16" spans="1:532" x14ac:dyDescent="0.25">
      <c r="A16" t="s">
        <v>188</v>
      </c>
      <c r="B16" t="s">
        <v>189</v>
      </c>
      <c r="C16" s="3" t="s">
        <v>127</v>
      </c>
      <c r="O16" s="2"/>
      <c r="P16" t="s">
        <v>129</v>
      </c>
      <c r="Q16" s="1"/>
      <c r="S16" s="1" t="s">
        <v>130</v>
      </c>
      <c r="T16" s="14" t="s">
        <v>554</v>
      </c>
      <c r="U16" s="15">
        <v>15</v>
      </c>
      <c r="V16" s="15" t="s">
        <v>323</v>
      </c>
      <c r="W16" s="15"/>
      <c r="AC16" t="s">
        <v>262</v>
      </c>
      <c r="AD16" t="s">
        <v>240</v>
      </c>
      <c r="AE16" t="s">
        <v>242</v>
      </c>
      <c r="AF16" t="s">
        <v>267</v>
      </c>
      <c r="AG16" t="s">
        <v>248</v>
      </c>
      <c r="AH16" t="s">
        <v>255</v>
      </c>
      <c r="AI16" t="s">
        <v>190</v>
      </c>
      <c r="AL16" t="s">
        <v>137</v>
      </c>
      <c r="AM16" t="s">
        <v>138</v>
      </c>
      <c r="AP16" t="s">
        <v>139</v>
      </c>
      <c r="AQ16" t="s">
        <v>140</v>
      </c>
      <c r="AZ16" s="16"/>
      <c r="BA16" t="str">
        <f t="shared" si="0"/>
        <v>XT15</v>
      </c>
      <c r="BB16" t="str">
        <f t="shared" si="1"/>
        <v>C26</v>
      </c>
      <c r="BC16" t="str">
        <f t="shared" si="2"/>
        <v>B26</v>
      </c>
      <c r="BD16" t="str">
        <f t="shared" si="3"/>
        <v>C27</v>
      </c>
      <c r="BE16" t="str">
        <f t="shared" si="4"/>
        <v>B27</v>
      </c>
      <c r="BF16" t="str">
        <f t="shared" si="5"/>
        <v>C28</v>
      </c>
      <c r="BG16" t="str">
        <f t="shared" si="6"/>
        <v>B28</v>
      </c>
      <c r="BH16" t="str">
        <f t="shared" si="7"/>
        <v>C29</v>
      </c>
      <c r="BI16" t="str">
        <f t="shared" si="8"/>
        <v>B29</v>
      </c>
      <c r="BJ16" t="str">
        <f t="shared" si="9"/>
        <v>C30</v>
      </c>
      <c r="BK16" t="str">
        <f t="shared" si="10"/>
        <v>B30</v>
      </c>
      <c r="BL16" t="str">
        <f t="shared" si="11"/>
        <v>14B</v>
      </c>
      <c r="BM16" t="str">
        <f t="shared" si="12"/>
        <v>14A</v>
      </c>
      <c r="BN16" t="str">
        <f t="shared" si="18"/>
        <v>15B</v>
      </c>
      <c r="BO16" t="str">
        <f t="shared" si="19"/>
        <v>15A</v>
      </c>
      <c r="BP16" t="str">
        <f t="shared" si="13"/>
        <v>DI3-C25</v>
      </c>
      <c r="BQ16" t="str">
        <f t="shared" si="13"/>
        <v>DI3-B25</v>
      </c>
      <c r="BR16" t="str">
        <f t="shared" si="14"/>
        <v>DI3-C26</v>
      </c>
      <c r="BS16" t="str">
        <f t="shared" si="14"/>
        <v>DI3-B26</v>
      </c>
      <c r="BT16" t="str">
        <f t="shared" si="14"/>
        <v>DI3-C27</v>
      </c>
      <c r="BU16" t="str">
        <f t="shared" si="14"/>
        <v>DI3-B27</v>
      </c>
      <c r="BV16" t="str">
        <f t="shared" si="14"/>
        <v>DI3-C28</v>
      </c>
      <c r="BW16" t="str">
        <f t="shared" si="14"/>
        <v>DI3-B28</v>
      </c>
      <c r="BX16" t="str">
        <f t="shared" si="14"/>
        <v>DI3-C29</v>
      </c>
      <c r="BY16" t="str">
        <f t="shared" si="14"/>
        <v>DI3-B29</v>
      </c>
      <c r="BZ16" t="str">
        <f t="shared" si="14"/>
        <v>DI3-C30</v>
      </c>
      <c r="CA16" t="str">
        <f t="shared" si="14"/>
        <v>DI3-B30</v>
      </c>
      <c r="CB16" t="str">
        <f t="shared" si="15"/>
        <v>DO2-13B</v>
      </c>
      <c r="CC16" t="str">
        <f t="shared" si="15"/>
        <v>DO2-13A</v>
      </c>
      <c r="CD16" t="str">
        <f t="shared" si="16"/>
        <v>DO2-14B</v>
      </c>
      <c r="CE16" t="str">
        <f t="shared" si="16"/>
        <v>DO2-14A</v>
      </c>
      <c r="CF16" t="str">
        <f t="shared" si="16"/>
        <v>DO2-15B</v>
      </c>
      <c r="CG16" t="str">
        <f t="shared" si="16"/>
        <v>DO2-15A</v>
      </c>
      <c r="CH16" t="str">
        <f t="shared" si="20"/>
        <v>K15-10</v>
      </c>
      <c r="CI16" t="str">
        <f t="shared" si="21"/>
        <v>K15-03</v>
      </c>
      <c r="CJ16" t="str">
        <f t="shared" si="22"/>
        <v>K15-04</v>
      </c>
      <c r="CK16" t="str">
        <f t="shared" si="23"/>
        <v>K15-01</v>
      </c>
      <c r="CL16" t="str">
        <f t="shared" si="24"/>
        <v>K15-08</v>
      </c>
      <c r="CM16" t="str">
        <f t="shared" si="25"/>
        <v>K15-02</v>
      </c>
      <c r="CN16" t="str">
        <f t="shared" si="26"/>
        <v>K15-09</v>
      </c>
      <c r="CO16" t="str">
        <f t="shared" si="27"/>
        <v>K15-05</v>
      </c>
      <c r="CP16" t="str">
        <f t="shared" si="28"/>
        <v>K15-11</v>
      </c>
      <c r="CQ16" t="str">
        <f t="shared" si="29"/>
        <v>F0-M15-A9</v>
      </c>
      <c r="CR16" t="str">
        <f t="shared" si="30"/>
        <v>F0-M15-A7</v>
      </c>
      <c r="CS16" t="str">
        <f t="shared" si="31"/>
        <v>F0-M15-A8</v>
      </c>
      <c r="CT16" t="str">
        <f t="shared" si="32"/>
        <v>F0-M15-A6</v>
      </c>
      <c r="CU16" t="str">
        <f t="shared" si="33"/>
        <v>F0-M15-A30</v>
      </c>
      <c r="CV16" t="str">
        <f t="shared" si="34"/>
        <v>F0-M15-N</v>
      </c>
      <c r="CW16" t="str">
        <f t="shared" si="17"/>
        <v>F0-A220-M15</v>
      </c>
      <c r="CX16" t="str">
        <f t="shared" si="35"/>
        <v>F0-M15-XM01</v>
      </c>
      <c r="CY16" t="str">
        <f t="shared" si="36"/>
        <v>F0-M15-A1</v>
      </c>
      <c r="CZ16" t="str">
        <f t="shared" si="37"/>
        <v>F0-M15-A5</v>
      </c>
      <c r="DA16" t="str">
        <f t="shared" si="38"/>
        <v>F0-M15-A11</v>
      </c>
      <c r="DB16" t="str">
        <f t="shared" si="39"/>
        <v>F0-M15-A12</v>
      </c>
      <c r="DC16" t="str">
        <f t="shared" si="40"/>
        <v>F0-M15-A19</v>
      </c>
      <c r="DD16" t="str">
        <f t="shared" si="41"/>
        <v>F0-M15-A20</v>
      </c>
      <c r="DE16" t="s">
        <v>142</v>
      </c>
      <c r="DF16" t="s">
        <v>143</v>
      </c>
      <c r="DG16">
        <v>11</v>
      </c>
      <c r="DH16">
        <v>14</v>
      </c>
      <c r="DI16">
        <v>12</v>
      </c>
      <c r="DJ16" t="s">
        <v>144</v>
      </c>
      <c r="DK16" t="s">
        <v>145</v>
      </c>
      <c r="DL16">
        <v>1</v>
      </c>
      <c r="DM16">
        <v>2</v>
      </c>
      <c r="DN16">
        <v>3</v>
      </c>
      <c r="DO16">
        <v>4</v>
      </c>
      <c r="DP16">
        <v>5</v>
      </c>
      <c r="DQ16">
        <v>6</v>
      </c>
      <c r="DR16">
        <v>7</v>
      </c>
      <c r="DS16">
        <v>8</v>
      </c>
      <c r="DT16">
        <v>9</v>
      </c>
      <c r="DU16">
        <v>10</v>
      </c>
      <c r="DV16">
        <v>11</v>
      </c>
      <c r="DW16">
        <v>12</v>
      </c>
      <c r="DX16">
        <v>13</v>
      </c>
      <c r="DY16">
        <v>14</v>
      </c>
      <c r="DZ16">
        <v>1</v>
      </c>
      <c r="EA16">
        <v>3</v>
      </c>
      <c r="EB16">
        <v>4</v>
      </c>
      <c r="EC16">
        <v>7</v>
      </c>
      <c r="ED16">
        <v>8</v>
      </c>
      <c r="EE16">
        <v>9</v>
      </c>
      <c r="EF16">
        <v>10</v>
      </c>
      <c r="EG16">
        <v>13</v>
      </c>
      <c r="EH16">
        <v>14</v>
      </c>
      <c r="EI16">
        <v>15</v>
      </c>
      <c r="EJ16">
        <v>16</v>
      </c>
      <c r="EK16">
        <v>22</v>
      </c>
      <c r="EL16">
        <v>23</v>
      </c>
      <c r="EM16" s="16">
        <v>24</v>
      </c>
    </row>
    <row r="17" spans="1:143" x14ac:dyDescent="0.25">
      <c r="A17" t="s">
        <v>191</v>
      </c>
      <c r="B17" t="s">
        <v>192</v>
      </c>
      <c r="C17" s="3" t="s">
        <v>127</v>
      </c>
      <c r="O17" s="2"/>
      <c r="P17" t="s">
        <v>129</v>
      </c>
      <c r="Q17" s="1"/>
      <c r="S17" s="1" t="s">
        <v>130</v>
      </c>
      <c r="T17" s="14" t="s">
        <v>554</v>
      </c>
      <c r="U17" s="15">
        <v>16</v>
      </c>
      <c r="V17" s="15" t="s">
        <v>324</v>
      </c>
      <c r="W17" s="15"/>
      <c r="AC17" t="s">
        <v>263</v>
      </c>
      <c r="AD17" t="s">
        <v>133</v>
      </c>
      <c r="AE17" t="s">
        <v>134</v>
      </c>
      <c r="AF17" t="s">
        <v>267</v>
      </c>
      <c r="AG17" t="s">
        <v>249</v>
      </c>
      <c r="AH17" t="s">
        <v>256</v>
      </c>
      <c r="AI17" t="s">
        <v>193</v>
      </c>
      <c r="AL17" t="s">
        <v>137</v>
      </c>
      <c r="AM17" t="s">
        <v>138</v>
      </c>
      <c r="AP17" t="s">
        <v>139</v>
      </c>
      <c r="AQ17" t="s">
        <v>140</v>
      </c>
      <c r="AZ17" s="16"/>
      <c r="BA17" t="str">
        <f t="shared" si="0"/>
        <v>XT16</v>
      </c>
      <c r="BB17" t="str">
        <f t="shared" si="1"/>
        <v>C2</v>
      </c>
      <c r="BC17" t="str">
        <f t="shared" si="2"/>
        <v>B2</v>
      </c>
      <c r="BD17" t="str">
        <f t="shared" si="3"/>
        <v>C3</v>
      </c>
      <c r="BE17" t="str">
        <f t="shared" si="4"/>
        <v>B3</v>
      </c>
      <c r="BF17" t="str">
        <f t="shared" si="5"/>
        <v>C4</v>
      </c>
      <c r="BG17" t="str">
        <f t="shared" si="6"/>
        <v>B4</v>
      </c>
      <c r="BH17" t="str">
        <f t="shared" si="7"/>
        <v>C5</v>
      </c>
      <c r="BI17" t="str">
        <f t="shared" si="8"/>
        <v>B5</v>
      </c>
      <c r="BJ17" t="str">
        <f t="shared" si="9"/>
        <v>C6</v>
      </c>
      <c r="BK17" t="str">
        <f t="shared" si="10"/>
        <v>B6</v>
      </c>
      <c r="BL17" t="str">
        <f t="shared" si="11"/>
        <v>17B</v>
      </c>
      <c r="BM17" t="str">
        <f t="shared" si="12"/>
        <v>17A</v>
      </c>
      <c r="BN17" t="str">
        <f t="shared" si="18"/>
        <v>18B</v>
      </c>
      <c r="BO17" t="str">
        <f t="shared" si="19"/>
        <v>18A</v>
      </c>
      <c r="BP17" t="str">
        <f t="shared" si="13"/>
        <v>DI4-C1</v>
      </c>
      <c r="BQ17" t="str">
        <f t="shared" si="13"/>
        <v>DI4-B1</v>
      </c>
      <c r="BR17" t="str">
        <f t="shared" si="14"/>
        <v>DI4-C2</v>
      </c>
      <c r="BS17" t="str">
        <f t="shared" si="14"/>
        <v>DI4-B2</v>
      </c>
      <c r="BT17" t="str">
        <f t="shared" si="14"/>
        <v>DI4-C3</v>
      </c>
      <c r="BU17" t="str">
        <f t="shared" si="14"/>
        <v>DI4-B3</v>
      </c>
      <c r="BV17" t="str">
        <f t="shared" si="14"/>
        <v>DI4-C4</v>
      </c>
      <c r="BW17" t="str">
        <f t="shared" si="14"/>
        <v>DI4-B4</v>
      </c>
      <c r="BX17" t="str">
        <f t="shared" si="14"/>
        <v>DI4-C5</v>
      </c>
      <c r="BY17" t="str">
        <f t="shared" si="14"/>
        <v>DI4-B5</v>
      </c>
      <c r="BZ17" t="str">
        <f t="shared" si="14"/>
        <v>DI4-C6</v>
      </c>
      <c r="CA17" t="str">
        <f t="shared" si="14"/>
        <v>DI4-B6</v>
      </c>
      <c r="CB17" t="str">
        <f t="shared" si="15"/>
        <v>DO2-16B</v>
      </c>
      <c r="CC17" t="str">
        <f t="shared" si="15"/>
        <v>DO2-16A</v>
      </c>
      <c r="CD17" t="str">
        <f t="shared" si="16"/>
        <v>DO2-17B</v>
      </c>
      <c r="CE17" t="str">
        <f t="shared" si="16"/>
        <v>DO2-17A</v>
      </c>
      <c r="CF17" t="str">
        <f t="shared" si="16"/>
        <v>DO2-18B</v>
      </c>
      <c r="CG17" t="str">
        <f t="shared" si="16"/>
        <v>DO2-18A</v>
      </c>
      <c r="CH17" t="str">
        <f t="shared" si="20"/>
        <v>K16-10</v>
      </c>
      <c r="CI17" t="str">
        <f t="shared" si="21"/>
        <v>K16-03</v>
      </c>
      <c r="CJ17" t="str">
        <f t="shared" si="22"/>
        <v>K16-04</v>
      </c>
      <c r="CK17" t="str">
        <f t="shared" si="23"/>
        <v>K16-01</v>
      </c>
      <c r="CL17" t="str">
        <f t="shared" si="24"/>
        <v>K16-08</v>
      </c>
      <c r="CM17" t="str">
        <f t="shared" si="25"/>
        <v>K16-02</v>
      </c>
      <c r="CN17" t="str">
        <f t="shared" si="26"/>
        <v>K16-09</v>
      </c>
      <c r="CO17" t="str">
        <f t="shared" si="27"/>
        <v>K16-05</v>
      </c>
      <c r="CP17" t="str">
        <f t="shared" si="28"/>
        <v>K16-11</v>
      </c>
      <c r="CQ17" t="str">
        <f t="shared" si="29"/>
        <v>F0-M16-A9</v>
      </c>
      <c r="CR17" t="str">
        <f t="shared" si="30"/>
        <v>F0-M16-A7</v>
      </c>
      <c r="CS17" t="str">
        <f t="shared" si="31"/>
        <v>F0-M16-A8</v>
      </c>
      <c r="CT17" t="str">
        <f t="shared" si="32"/>
        <v>F0-M16-A6</v>
      </c>
      <c r="CU17" t="str">
        <f t="shared" si="33"/>
        <v>F0-M16-A30</v>
      </c>
      <c r="CV17" t="str">
        <f t="shared" si="34"/>
        <v>F0-M16-N</v>
      </c>
      <c r="CW17" t="str">
        <f t="shared" si="17"/>
        <v>F0-A220-M16</v>
      </c>
      <c r="CX17" t="str">
        <f t="shared" si="35"/>
        <v>F0-M16-XM01</v>
      </c>
      <c r="CY17" t="str">
        <f t="shared" si="36"/>
        <v>F0-M16-A1</v>
      </c>
      <c r="CZ17" t="str">
        <f t="shared" si="37"/>
        <v>F0-M16-A5</v>
      </c>
      <c r="DA17" t="str">
        <f t="shared" si="38"/>
        <v>F0-M16-A11</v>
      </c>
      <c r="DB17" t="str">
        <f t="shared" si="39"/>
        <v>F0-M16-A12</v>
      </c>
      <c r="DC17" t="str">
        <f t="shared" si="40"/>
        <v>F0-M16-A19</v>
      </c>
      <c r="DD17" t="str">
        <f t="shared" si="41"/>
        <v>F0-M16-A20</v>
      </c>
      <c r="DE17" t="s">
        <v>142</v>
      </c>
      <c r="DF17" t="s">
        <v>143</v>
      </c>
      <c r="DG17">
        <v>11</v>
      </c>
      <c r="DH17">
        <v>14</v>
      </c>
      <c r="DI17">
        <v>12</v>
      </c>
      <c r="DJ17" t="s">
        <v>144</v>
      </c>
      <c r="DK17" t="s">
        <v>145</v>
      </c>
      <c r="DL17">
        <v>1</v>
      </c>
      <c r="DM17">
        <v>2</v>
      </c>
      <c r="DN17">
        <v>3</v>
      </c>
      <c r="DO17">
        <v>4</v>
      </c>
      <c r="DP17">
        <v>5</v>
      </c>
      <c r="DQ17">
        <v>6</v>
      </c>
      <c r="DR17">
        <v>7</v>
      </c>
      <c r="DS17">
        <v>8</v>
      </c>
      <c r="DT17">
        <v>9</v>
      </c>
      <c r="DU17">
        <v>10</v>
      </c>
      <c r="DV17">
        <v>11</v>
      </c>
      <c r="DW17">
        <v>12</v>
      </c>
      <c r="DX17">
        <v>13</v>
      </c>
      <c r="DY17">
        <v>14</v>
      </c>
      <c r="DZ17">
        <v>1</v>
      </c>
      <c r="EA17">
        <v>3</v>
      </c>
      <c r="EB17">
        <v>4</v>
      </c>
      <c r="EC17">
        <v>7</v>
      </c>
      <c r="ED17">
        <v>8</v>
      </c>
      <c r="EE17">
        <v>9</v>
      </c>
      <c r="EF17">
        <v>10</v>
      </c>
      <c r="EG17">
        <v>13</v>
      </c>
      <c r="EH17">
        <v>14</v>
      </c>
      <c r="EI17">
        <v>15</v>
      </c>
      <c r="EJ17">
        <v>16</v>
      </c>
      <c r="EK17">
        <v>22</v>
      </c>
      <c r="EL17">
        <v>23</v>
      </c>
      <c r="EM17" s="16">
        <v>24</v>
      </c>
    </row>
    <row r="18" spans="1:143" x14ac:dyDescent="0.25">
      <c r="A18" t="s">
        <v>194</v>
      </c>
      <c r="B18" t="s">
        <v>195</v>
      </c>
      <c r="C18" s="3" t="s">
        <v>127</v>
      </c>
      <c r="O18" s="2"/>
      <c r="P18" t="s">
        <v>129</v>
      </c>
      <c r="Q18" s="1"/>
      <c r="S18" s="1" t="s">
        <v>130</v>
      </c>
      <c r="T18" s="14" t="s">
        <v>554</v>
      </c>
      <c r="U18" s="15">
        <v>17</v>
      </c>
      <c r="V18" s="15" t="s">
        <v>325</v>
      </c>
      <c r="W18" s="15"/>
      <c r="AC18" t="s">
        <v>263</v>
      </c>
      <c r="AD18" t="s">
        <v>148</v>
      </c>
      <c r="AE18" t="s">
        <v>149</v>
      </c>
      <c r="AF18" t="s">
        <v>267</v>
      </c>
      <c r="AG18" t="s">
        <v>250</v>
      </c>
      <c r="AH18" t="s">
        <v>257</v>
      </c>
      <c r="AI18" t="s">
        <v>196</v>
      </c>
      <c r="AL18" t="s">
        <v>137</v>
      </c>
      <c r="AM18" t="s">
        <v>138</v>
      </c>
      <c r="AP18" t="s">
        <v>139</v>
      </c>
      <c r="AQ18" t="s">
        <v>140</v>
      </c>
      <c r="AZ18" s="16"/>
      <c r="BA18" t="str">
        <f t="shared" si="0"/>
        <v>XT17</v>
      </c>
      <c r="BB18" t="str">
        <f t="shared" si="1"/>
        <v>C8</v>
      </c>
      <c r="BC18" t="str">
        <f t="shared" si="2"/>
        <v>B8</v>
      </c>
      <c r="BD18" t="str">
        <f t="shared" si="3"/>
        <v>C9</v>
      </c>
      <c r="BE18" t="str">
        <f t="shared" si="4"/>
        <v>B9</v>
      </c>
      <c r="BF18" t="str">
        <f t="shared" si="5"/>
        <v>C10</v>
      </c>
      <c r="BG18" t="str">
        <f t="shared" si="6"/>
        <v>B10</v>
      </c>
      <c r="BH18" t="str">
        <f t="shared" si="7"/>
        <v>C11</v>
      </c>
      <c r="BI18" t="str">
        <f t="shared" si="8"/>
        <v>B11</v>
      </c>
      <c r="BJ18" t="str">
        <f t="shared" si="9"/>
        <v>C12</v>
      </c>
      <c r="BK18" t="str">
        <f t="shared" si="10"/>
        <v>B12</v>
      </c>
      <c r="BL18" t="str">
        <f t="shared" si="11"/>
        <v>20B</v>
      </c>
      <c r="BM18" t="str">
        <f t="shared" si="12"/>
        <v>20A</v>
      </c>
      <c r="BN18" t="str">
        <f t="shared" si="18"/>
        <v>21B</v>
      </c>
      <c r="BO18" t="str">
        <f t="shared" si="19"/>
        <v>21A</v>
      </c>
      <c r="BP18" t="str">
        <f t="shared" si="13"/>
        <v>DI4-C7</v>
      </c>
      <c r="BQ18" t="str">
        <f t="shared" si="13"/>
        <v>DI4-B7</v>
      </c>
      <c r="BR18" t="str">
        <f t="shared" ref="BR18:CA33" si="42">CONCATENATE("DI",REPLACE($AC18,1,3,""),"-",BB18)</f>
        <v>DI4-C8</v>
      </c>
      <c r="BS18" t="str">
        <f t="shared" si="42"/>
        <v>DI4-B8</v>
      </c>
      <c r="BT18" t="str">
        <f t="shared" si="42"/>
        <v>DI4-C9</v>
      </c>
      <c r="BU18" t="str">
        <f t="shared" si="42"/>
        <v>DI4-B9</v>
      </c>
      <c r="BV18" t="str">
        <f t="shared" si="42"/>
        <v>DI4-C10</v>
      </c>
      <c r="BW18" t="str">
        <f t="shared" si="42"/>
        <v>DI4-B10</v>
      </c>
      <c r="BX18" t="str">
        <f t="shared" si="42"/>
        <v>DI4-C11</v>
      </c>
      <c r="BY18" t="str">
        <f t="shared" si="42"/>
        <v>DI4-B11</v>
      </c>
      <c r="BZ18" t="str">
        <f t="shared" si="42"/>
        <v>DI4-C12</v>
      </c>
      <c r="CA18" t="str">
        <f t="shared" si="42"/>
        <v>DI4-B12</v>
      </c>
      <c r="CB18" t="str">
        <f t="shared" si="15"/>
        <v>DO2-19B</v>
      </c>
      <c r="CC18" t="str">
        <f t="shared" si="15"/>
        <v>DO2-19A</v>
      </c>
      <c r="CD18" t="str">
        <f t="shared" si="16"/>
        <v>DO2-20B</v>
      </c>
      <c r="CE18" t="str">
        <f t="shared" si="16"/>
        <v>DO2-20A</v>
      </c>
      <c r="CF18" t="str">
        <f t="shared" si="16"/>
        <v>DO2-21B</v>
      </c>
      <c r="CG18" t="str">
        <f t="shared" si="16"/>
        <v>DO2-21A</v>
      </c>
      <c r="CH18" t="str">
        <f t="shared" si="20"/>
        <v>K17-10</v>
      </c>
      <c r="CI18" t="str">
        <f t="shared" si="21"/>
        <v>K17-03</v>
      </c>
      <c r="CJ18" t="str">
        <f t="shared" si="22"/>
        <v>K17-04</v>
      </c>
      <c r="CK18" t="str">
        <f t="shared" si="23"/>
        <v>K17-01</v>
      </c>
      <c r="CL18" t="str">
        <f t="shared" si="24"/>
        <v>K17-08</v>
      </c>
      <c r="CM18" t="str">
        <f t="shared" si="25"/>
        <v>K17-02</v>
      </c>
      <c r="CN18" t="str">
        <f t="shared" si="26"/>
        <v>K17-09</v>
      </c>
      <c r="CO18" t="str">
        <f t="shared" si="27"/>
        <v>K17-05</v>
      </c>
      <c r="CP18" t="str">
        <f t="shared" si="28"/>
        <v>K17-11</v>
      </c>
      <c r="CQ18" t="str">
        <f t="shared" si="29"/>
        <v>F0-M17-A9</v>
      </c>
      <c r="CR18" t="str">
        <f t="shared" si="30"/>
        <v>F0-M17-A7</v>
      </c>
      <c r="CS18" t="str">
        <f t="shared" si="31"/>
        <v>F0-M17-A8</v>
      </c>
      <c r="CT18" t="str">
        <f t="shared" si="32"/>
        <v>F0-M17-A6</v>
      </c>
      <c r="CU18" t="str">
        <f t="shared" si="33"/>
        <v>F0-M17-A30</v>
      </c>
      <c r="CV18" t="str">
        <f t="shared" si="34"/>
        <v>F0-M17-N</v>
      </c>
      <c r="CW18" t="str">
        <f t="shared" si="17"/>
        <v>F0-A220-M17</v>
      </c>
      <c r="CX18" t="str">
        <f t="shared" si="35"/>
        <v>F0-M17-XM01</v>
      </c>
      <c r="CY18" t="str">
        <f t="shared" si="36"/>
        <v>F0-M17-A1</v>
      </c>
      <c r="CZ18" t="str">
        <f t="shared" si="37"/>
        <v>F0-M17-A5</v>
      </c>
      <c r="DA18" t="str">
        <f t="shared" si="38"/>
        <v>F0-M17-A11</v>
      </c>
      <c r="DB18" t="str">
        <f t="shared" si="39"/>
        <v>F0-M17-A12</v>
      </c>
      <c r="DC18" t="str">
        <f t="shared" si="40"/>
        <v>F0-M17-A19</v>
      </c>
      <c r="DD18" t="str">
        <f t="shared" si="41"/>
        <v>F0-M17-A20</v>
      </c>
      <c r="DE18" t="s">
        <v>142</v>
      </c>
      <c r="DF18" t="s">
        <v>143</v>
      </c>
      <c r="DG18">
        <v>11</v>
      </c>
      <c r="DH18">
        <v>14</v>
      </c>
      <c r="DI18">
        <v>12</v>
      </c>
      <c r="DJ18" t="s">
        <v>144</v>
      </c>
      <c r="DK18" t="s">
        <v>145</v>
      </c>
      <c r="DL18">
        <v>1</v>
      </c>
      <c r="DM18">
        <v>2</v>
      </c>
      <c r="DN18">
        <v>3</v>
      </c>
      <c r="DO18">
        <v>4</v>
      </c>
      <c r="DP18">
        <v>5</v>
      </c>
      <c r="DQ18">
        <v>6</v>
      </c>
      <c r="DR18">
        <v>7</v>
      </c>
      <c r="DS18">
        <v>8</v>
      </c>
      <c r="DT18">
        <v>9</v>
      </c>
      <c r="DU18">
        <v>10</v>
      </c>
      <c r="DV18">
        <v>11</v>
      </c>
      <c r="DW18">
        <v>12</v>
      </c>
      <c r="DX18">
        <v>13</v>
      </c>
      <c r="DY18">
        <v>14</v>
      </c>
      <c r="DZ18">
        <v>1</v>
      </c>
      <c r="EA18">
        <v>3</v>
      </c>
      <c r="EB18">
        <v>4</v>
      </c>
      <c r="EC18">
        <v>7</v>
      </c>
      <c r="ED18">
        <v>8</v>
      </c>
      <c r="EE18">
        <v>9</v>
      </c>
      <c r="EF18">
        <v>10</v>
      </c>
      <c r="EG18">
        <v>13</v>
      </c>
      <c r="EH18">
        <v>14</v>
      </c>
      <c r="EI18">
        <v>15</v>
      </c>
      <c r="EJ18">
        <v>16</v>
      </c>
      <c r="EK18">
        <v>22</v>
      </c>
      <c r="EL18">
        <v>23</v>
      </c>
      <c r="EM18" s="16">
        <v>24</v>
      </c>
    </row>
    <row r="19" spans="1:143" x14ac:dyDescent="0.25">
      <c r="A19" t="s">
        <v>197</v>
      </c>
      <c r="B19" t="s">
        <v>198</v>
      </c>
      <c r="C19" s="3" t="s">
        <v>127</v>
      </c>
      <c r="O19" s="2"/>
      <c r="P19" t="s">
        <v>129</v>
      </c>
      <c r="Q19" s="1"/>
      <c r="S19" s="1" t="s">
        <v>130</v>
      </c>
      <c r="T19" s="14" t="s">
        <v>554</v>
      </c>
      <c r="U19" s="15">
        <v>18</v>
      </c>
      <c r="V19" s="15" t="s">
        <v>326</v>
      </c>
      <c r="W19" s="15"/>
      <c r="AC19" t="s">
        <v>263</v>
      </c>
      <c r="AD19" t="s">
        <v>153</v>
      </c>
      <c r="AE19" t="s">
        <v>154</v>
      </c>
      <c r="AF19" t="s">
        <v>267</v>
      </c>
      <c r="AG19" t="s">
        <v>251</v>
      </c>
      <c r="AH19" t="s">
        <v>258</v>
      </c>
      <c r="AI19" t="s">
        <v>199</v>
      </c>
      <c r="AL19" t="s">
        <v>137</v>
      </c>
      <c r="AM19" t="s">
        <v>138</v>
      </c>
      <c r="AP19" t="s">
        <v>139</v>
      </c>
      <c r="AQ19" t="s">
        <v>140</v>
      </c>
      <c r="AZ19" s="16"/>
      <c r="BA19" t="str">
        <f t="shared" si="0"/>
        <v>XT18</v>
      </c>
      <c r="BB19" t="str">
        <f t="shared" si="1"/>
        <v>C14</v>
      </c>
      <c r="BC19" t="str">
        <f t="shared" si="2"/>
        <v>B14</v>
      </c>
      <c r="BD19" t="str">
        <f t="shared" si="3"/>
        <v>C15</v>
      </c>
      <c r="BE19" t="str">
        <f t="shared" si="4"/>
        <v>B15</v>
      </c>
      <c r="BF19" t="str">
        <f t="shared" si="5"/>
        <v>C16</v>
      </c>
      <c r="BG19" t="str">
        <f t="shared" si="6"/>
        <v>B16</v>
      </c>
      <c r="BH19" t="str">
        <f t="shared" si="7"/>
        <v>C17</v>
      </c>
      <c r="BI19" t="str">
        <f t="shared" si="8"/>
        <v>B17</v>
      </c>
      <c r="BJ19" t="str">
        <f t="shared" si="9"/>
        <v>C18</v>
      </c>
      <c r="BK19" t="str">
        <f t="shared" si="10"/>
        <v>B18</v>
      </c>
      <c r="BL19" t="str">
        <f t="shared" si="11"/>
        <v>23B</v>
      </c>
      <c r="BM19" t="str">
        <f t="shared" si="12"/>
        <v>23A</v>
      </c>
      <c r="BN19" t="str">
        <f t="shared" si="18"/>
        <v>24B</v>
      </c>
      <c r="BO19" t="str">
        <f t="shared" si="19"/>
        <v>24A</v>
      </c>
      <c r="BP19" t="str">
        <f t="shared" si="13"/>
        <v>DI4-C13</v>
      </c>
      <c r="BQ19" t="str">
        <f t="shared" si="13"/>
        <v>DI4-B13</v>
      </c>
      <c r="BR19" t="str">
        <f t="shared" si="42"/>
        <v>DI4-C14</v>
      </c>
      <c r="BS19" t="str">
        <f t="shared" si="42"/>
        <v>DI4-B14</v>
      </c>
      <c r="BT19" t="str">
        <f t="shared" si="42"/>
        <v>DI4-C15</v>
      </c>
      <c r="BU19" t="str">
        <f t="shared" si="42"/>
        <v>DI4-B15</v>
      </c>
      <c r="BV19" t="str">
        <f t="shared" si="42"/>
        <v>DI4-C16</v>
      </c>
      <c r="BW19" t="str">
        <f t="shared" si="42"/>
        <v>DI4-B16</v>
      </c>
      <c r="BX19" t="str">
        <f t="shared" si="42"/>
        <v>DI4-C17</v>
      </c>
      <c r="BY19" t="str">
        <f t="shared" si="42"/>
        <v>DI4-B17</v>
      </c>
      <c r="BZ19" t="str">
        <f t="shared" si="42"/>
        <v>DI4-C18</v>
      </c>
      <c r="CA19" t="str">
        <f t="shared" si="42"/>
        <v>DI4-B18</v>
      </c>
      <c r="CB19" t="str">
        <f t="shared" si="15"/>
        <v>DO2-22B</v>
      </c>
      <c r="CC19" t="str">
        <f t="shared" si="15"/>
        <v>DO2-22A</v>
      </c>
      <c r="CD19" t="str">
        <f t="shared" si="16"/>
        <v>DO2-23B</v>
      </c>
      <c r="CE19" t="str">
        <f t="shared" si="16"/>
        <v>DO2-23A</v>
      </c>
      <c r="CF19" t="str">
        <f t="shared" si="16"/>
        <v>DO2-24B</v>
      </c>
      <c r="CG19" t="str">
        <f t="shared" si="16"/>
        <v>DO2-24A</v>
      </c>
      <c r="CH19" t="str">
        <f t="shared" si="20"/>
        <v>K18-10</v>
      </c>
      <c r="CI19" t="str">
        <f t="shared" si="21"/>
        <v>K18-03</v>
      </c>
      <c r="CJ19" t="str">
        <f t="shared" si="22"/>
        <v>K18-04</v>
      </c>
      <c r="CK19" t="str">
        <f t="shared" si="23"/>
        <v>K18-01</v>
      </c>
      <c r="CL19" t="str">
        <f t="shared" si="24"/>
        <v>K18-08</v>
      </c>
      <c r="CM19" t="str">
        <f t="shared" si="25"/>
        <v>K18-02</v>
      </c>
      <c r="CN19" t="str">
        <f t="shared" si="26"/>
        <v>K18-09</v>
      </c>
      <c r="CO19" t="str">
        <f t="shared" si="27"/>
        <v>K18-05</v>
      </c>
      <c r="CP19" t="str">
        <f t="shared" si="28"/>
        <v>K18-11</v>
      </c>
      <c r="CQ19" t="str">
        <f t="shared" si="29"/>
        <v>F0-M18-A9</v>
      </c>
      <c r="CR19" t="str">
        <f t="shared" si="30"/>
        <v>F0-M18-A7</v>
      </c>
      <c r="CS19" t="str">
        <f t="shared" si="31"/>
        <v>F0-M18-A8</v>
      </c>
      <c r="CT19" t="str">
        <f t="shared" si="32"/>
        <v>F0-M18-A6</v>
      </c>
      <c r="CU19" t="str">
        <f t="shared" si="33"/>
        <v>F0-M18-A30</v>
      </c>
      <c r="CV19" t="str">
        <f t="shared" si="34"/>
        <v>F0-M18-N</v>
      </c>
      <c r="CW19" t="str">
        <f t="shared" si="17"/>
        <v>F0-A220-M18</v>
      </c>
      <c r="CX19" t="str">
        <f t="shared" si="35"/>
        <v>F0-M18-XM01</v>
      </c>
      <c r="CY19" t="str">
        <f t="shared" si="36"/>
        <v>F0-M18-A1</v>
      </c>
      <c r="CZ19" t="str">
        <f t="shared" si="37"/>
        <v>F0-M18-A5</v>
      </c>
      <c r="DA19" t="str">
        <f t="shared" si="38"/>
        <v>F0-M18-A11</v>
      </c>
      <c r="DB19" t="str">
        <f t="shared" si="39"/>
        <v>F0-M18-A12</v>
      </c>
      <c r="DC19" t="str">
        <f t="shared" si="40"/>
        <v>F0-M18-A19</v>
      </c>
      <c r="DD19" t="str">
        <f t="shared" si="41"/>
        <v>F0-M18-A20</v>
      </c>
      <c r="DE19" t="s">
        <v>142</v>
      </c>
      <c r="DF19" t="s">
        <v>143</v>
      </c>
      <c r="DG19">
        <v>11</v>
      </c>
      <c r="DH19">
        <v>14</v>
      </c>
      <c r="DI19">
        <v>12</v>
      </c>
      <c r="DJ19" t="s">
        <v>144</v>
      </c>
      <c r="DK19" t="s">
        <v>145</v>
      </c>
      <c r="DL19">
        <v>1</v>
      </c>
      <c r="DM19">
        <v>2</v>
      </c>
      <c r="DN19">
        <v>3</v>
      </c>
      <c r="DO19">
        <v>4</v>
      </c>
      <c r="DP19">
        <v>5</v>
      </c>
      <c r="DQ19">
        <v>6</v>
      </c>
      <c r="DR19">
        <v>7</v>
      </c>
      <c r="DS19">
        <v>8</v>
      </c>
      <c r="DT19">
        <v>9</v>
      </c>
      <c r="DU19">
        <v>10</v>
      </c>
      <c r="DV19">
        <v>11</v>
      </c>
      <c r="DW19">
        <v>12</v>
      </c>
      <c r="DX19">
        <v>13</v>
      </c>
      <c r="DY19">
        <v>14</v>
      </c>
      <c r="DZ19">
        <v>1</v>
      </c>
      <c r="EA19">
        <v>3</v>
      </c>
      <c r="EB19">
        <v>4</v>
      </c>
      <c r="EC19">
        <v>7</v>
      </c>
      <c r="ED19">
        <v>8</v>
      </c>
      <c r="EE19">
        <v>9</v>
      </c>
      <c r="EF19">
        <v>10</v>
      </c>
      <c r="EG19">
        <v>13</v>
      </c>
      <c r="EH19">
        <v>14</v>
      </c>
      <c r="EI19">
        <v>15</v>
      </c>
      <c r="EJ19">
        <v>16</v>
      </c>
      <c r="EK19">
        <v>22</v>
      </c>
      <c r="EL19">
        <v>23</v>
      </c>
      <c r="EM19" s="16">
        <v>24</v>
      </c>
    </row>
    <row r="20" spans="1:143" x14ac:dyDescent="0.25">
      <c r="A20" t="s">
        <v>200</v>
      </c>
      <c r="B20" t="s">
        <v>201</v>
      </c>
      <c r="C20" s="3" t="s">
        <v>127</v>
      </c>
      <c r="O20" s="2"/>
      <c r="P20" t="s">
        <v>129</v>
      </c>
      <c r="Q20" s="1"/>
      <c r="S20" s="1" t="s">
        <v>130</v>
      </c>
      <c r="T20" s="14" t="s">
        <v>554</v>
      </c>
      <c r="U20" s="15">
        <v>19</v>
      </c>
      <c r="V20" s="15" t="s">
        <v>327</v>
      </c>
      <c r="W20" s="15"/>
      <c r="AC20" t="s">
        <v>263</v>
      </c>
      <c r="AD20" t="s">
        <v>239</v>
      </c>
      <c r="AE20" t="s">
        <v>241</v>
      </c>
      <c r="AF20" t="s">
        <v>267</v>
      </c>
      <c r="AG20" t="s">
        <v>252</v>
      </c>
      <c r="AH20" t="s">
        <v>259</v>
      </c>
      <c r="AI20" t="s">
        <v>202</v>
      </c>
      <c r="AL20" t="s">
        <v>137</v>
      </c>
      <c r="AM20" t="s">
        <v>138</v>
      </c>
      <c r="AP20" t="s">
        <v>139</v>
      </c>
      <c r="AQ20" t="s">
        <v>140</v>
      </c>
      <c r="AZ20" s="16"/>
      <c r="BA20" t="str">
        <f t="shared" si="0"/>
        <v>XT19</v>
      </c>
      <c r="BB20" t="str">
        <f t="shared" si="1"/>
        <v>C20</v>
      </c>
      <c r="BC20" t="str">
        <f t="shared" si="2"/>
        <v>B20</v>
      </c>
      <c r="BD20" t="str">
        <f t="shared" si="3"/>
        <v>C21</v>
      </c>
      <c r="BE20" t="str">
        <f t="shared" si="4"/>
        <v>B21</v>
      </c>
      <c r="BF20" t="str">
        <f t="shared" si="5"/>
        <v>C22</v>
      </c>
      <c r="BG20" t="str">
        <f t="shared" si="6"/>
        <v>B22</v>
      </c>
      <c r="BH20" t="str">
        <f t="shared" si="7"/>
        <v>C23</v>
      </c>
      <c r="BI20" t="str">
        <f t="shared" si="8"/>
        <v>B23</v>
      </c>
      <c r="BJ20" t="str">
        <f t="shared" si="9"/>
        <v>C24</v>
      </c>
      <c r="BK20" t="str">
        <f t="shared" si="10"/>
        <v>B24</v>
      </c>
      <c r="BL20" t="str">
        <f t="shared" si="11"/>
        <v>26B</v>
      </c>
      <c r="BM20" t="str">
        <f t="shared" si="12"/>
        <v>26A</v>
      </c>
      <c r="BN20" t="str">
        <f t="shared" si="18"/>
        <v>27B</v>
      </c>
      <c r="BO20" t="str">
        <f t="shared" si="19"/>
        <v>27A</v>
      </c>
      <c r="BP20" t="str">
        <f t="shared" si="13"/>
        <v>DI4-C19</v>
      </c>
      <c r="BQ20" t="str">
        <f t="shared" si="13"/>
        <v>DI4-B19</v>
      </c>
      <c r="BR20" t="str">
        <f t="shared" si="42"/>
        <v>DI4-C20</v>
      </c>
      <c r="BS20" t="str">
        <f t="shared" si="42"/>
        <v>DI4-B20</v>
      </c>
      <c r="BT20" t="str">
        <f t="shared" si="42"/>
        <v>DI4-C21</v>
      </c>
      <c r="BU20" t="str">
        <f t="shared" si="42"/>
        <v>DI4-B21</v>
      </c>
      <c r="BV20" t="str">
        <f t="shared" si="42"/>
        <v>DI4-C22</v>
      </c>
      <c r="BW20" t="str">
        <f t="shared" si="42"/>
        <v>DI4-B22</v>
      </c>
      <c r="BX20" t="str">
        <f t="shared" si="42"/>
        <v>DI4-C23</v>
      </c>
      <c r="BY20" t="str">
        <f t="shared" si="42"/>
        <v>DI4-B23</v>
      </c>
      <c r="BZ20" t="str">
        <f t="shared" si="42"/>
        <v>DI4-C24</v>
      </c>
      <c r="CA20" t="str">
        <f t="shared" si="42"/>
        <v>DI4-B24</v>
      </c>
      <c r="CB20" t="str">
        <f t="shared" si="15"/>
        <v>DO2-25B</v>
      </c>
      <c r="CC20" t="str">
        <f t="shared" si="15"/>
        <v>DO2-25A</v>
      </c>
      <c r="CD20" t="str">
        <f t="shared" si="16"/>
        <v>DO2-26B</v>
      </c>
      <c r="CE20" t="str">
        <f t="shared" si="16"/>
        <v>DO2-26A</v>
      </c>
      <c r="CF20" t="str">
        <f t="shared" si="16"/>
        <v>DO2-27B</v>
      </c>
      <c r="CG20" t="str">
        <f t="shared" si="16"/>
        <v>DO2-27A</v>
      </c>
      <c r="CH20" t="str">
        <f t="shared" si="20"/>
        <v>K19-10</v>
      </c>
      <c r="CI20" t="str">
        <f t="shared" si="21"/>
        <v>K19-03</v>
      </c>
      <c r="CJ20" t="str">
        <f t="shared" si="22"/>
        <v>K19-04</v>
      </c>
      <c r="CK20" t="str">
        <f t="shared" si="23"/>
        <v>K19-01</v>
      </c>
      <c r="CL20" t="str">
        <f t="shared" si="24"/>
        <v>K19-08</v>
      </c>
      <c r="CM20" t="str">
        <f t="shared" si="25"/>
        <v>K19-02</v>
      </c>
      <c r="CN20" t="str">
        <f t="shared" si="26"/>
        <v>K19-09</v>
      </c>
      <c r="CO20" t="str">
        <f t="shared" si="27"/>
        <v>K19-05</v>
      </c>
      <c r="CP20" t="str">
        <f t="shared" si="28"/>
        <v>K19-11</v>
      </c>
      <c r="CQ20" t="str">
        <f t="shared" si="29"/>
        <v>F0-M19-A9</v>
      </c>
      <c r="CR20" t="str">
        <f t="shared" si="30"/>
        <v>F0-M19-A7</v>
      </c>
      <c r="CS20" t="str">
        <f t="shared" si="31"/>
        <v>F0-M19-A8</v>
      </c>
      <c r="CT20" t="str">
        <f t="shared" si="32"/>
        <v>F0-M19-A6</v>
      </c>
      <c r="CU20" t="str">
        <f t="shared" si="33"/>
        <v>F0-M19-A30</v>
      </c>
      <c r="CV20" t="str">
        <f t="shared" si="34"/>
        <v>F0-M19-N</v>
      </c>
      <c r="CW20" t="str">
        <f t="shared" si="17"/>
        <v>F0-A220-M19</v>
      </c>
      <c r="CX20" t="str">
        <f t="shared" si="35"/>
        <v>F0-M19-XM01</v>
      </c>
      <c r="CY20" t="str">
        <f t="shared" si="36"/>
        <v>F0-M19-A1</v>
      </c>
      <c r="CZ20" t="str">
        <f t="shared" si="37"/>
        <v>F0-M19-A5</v>
      </c>
      <c r="DA20" t="str">
        <f t="shared" si="38"/>
        <v>F0-M19-A11</v>
      </c>
      <c r="DB20" t="str">
        <f t="shared" si="39"/>
        <v>F0-M19-A12</v>
      </c>
      <c r="DC20" t="str">
        <f t="shared" si="40"/>
        <v>F0-M19-A19</v>
      </c>
      <c r="DD20" t="str">
        <f t="shared" si="41"/>
        <v>F0-M19-A20</v>
      </c>
      <c r="DE20" t="s">
        <v>142</v>
      </c>
      <c r="DF20" t="s">
        <v>143</v>
      </c>
      <c r="DG20">
        <v>11</v>
      </c>
      <c r="DH20">
        <v>14</v>
      </c>
      <c r="DI20">
        <v>12</v>
      </c>
      <c r="DJ20" t="s">
        <v>144</v>
      </c>
      <c r="DK20" t="s">
        <v>145</v>
      </c>
      <c r="DL20">
        <v>1</v>
      </c>
      <c r="DM20">
        <v>2</v>
      </c>
      <c r="DN20">
        <v>3</v>
      </c>
      <c r="DO20">
        <v>4</v>
      </c>
      <c r="DP20">
        <v>5</v>
      </c>
      <c r="DQ20">
        <v>6</v>
      </c>
      <c r="DR20">
        <v>7</v>
      </c>
      <c r="DS20">
        <v>8</v>
      </c>
      <c r="DT20">
        <v>9</v>
      </c>
      <c r="DU20">
        <v>10</v>
      </c>
      <c r="DV20">
        <v>11</v>
      </c>
      <c r="DW20">
        <v>12</v>
      </c>
      <c r="DX20">
        <v>13</v>
      </c>
      <c r="DY20">
        <v>14</v>
      </c>
      <c r="DZ20">
        <v>1</v>
      </c>
      <c r="EA20">
        <v>3</v>
      </c>
      <c r="EB20">
        <v>4</v>
      </c>
      <c r="EC20">
        <v>7</v>
      </c>
      <c r="ED20">
        <v>8</v>
      </c>
      <c r="EE20">
        <v>9</v>
      </c>
      <c r="EF20">
        <v>10</v>
      </c>
      <c r="EG20">
        <v>13</v>
      </c>
      <c r="EH20">
        <v>14</v>
      </c>
      <c r="EI20">
        <v>15</v>
      </c>
      <c r="EJ20">
        <v>16</v>
      </c>
      <c r="EK20">
        <v>22</v>
      </c>
      <c r="EL20">
        <v>23</v>
      </c>
      <c r="EM20" s="16">
        <v>24</v>
      </c>
    </row>
    <row r="21" spans="1:143" x14ac:dyDescent="0.25">
      <c r="A21" t="s">
        <v>203</v>
      </c>
      <c r="B21" t="s">
        <v>204</v>
      </c>
      <c r="C21" s="3" t="s">
        <v>127</v>
      </c>
      <c r="O21" s="2"/>
      <c r="P21" t="s">
        <v>129</v>
      </c>
      <c r="Q21" s="1"/>
      <c r="S21" s="1" t="s">
        <v>130</v>
      </c>
      <c r="T21" s="14" t="s">
        <v>554</v>
      </c>
      <c r="U21" s="15">
        <v>20</v>
      </c>
      <c r="V21" s="15" t="s">
        <v>328</v>
      </c>
      <c r="W21" s="15"/>
      <c r="AC21" t="s">
        <v>263</v>
      </c>
      <c r="AD21" t="s">
        <v>240</v>
      </c>
      <c r="AE21" t="s">
        <v>242</v>
      </c>
      <c r="AF21" t="s">
        <v>267</v>
      </c>
      <c r="AG21" t="s">
        <v>253</v>
      </c>
      <c r="AH21" t="s">
        <v>260</v>
      </c>
      <c r="AI21" t="s">
        <v>205</v>
      </c>
      <c r="AL21" t="s">
        <v>137</v>
      </c>
      <c r="AM21" t="s">
        <v>138</v>
      </c>
      <c r="AP21" t="s">
        <v>139</v>
      </c>
      <c r="AQ21" t="s">
        <v>140</v>
      </c>
      <c r="AZ21" s="16"/>
      <c r="BA21" t="str">
        <f t="shared" si="0"/>
        <v>XT20</v>
      </c>
      <c r="BB21" t="str">
        <f t="shared" si="1"/>
        <v>C26</v>
      </c>
      <c r="BC21" t="str">
        <f t="shared" si="2"/>
        <v>B26</v>
      </c>
      <c r="BD21" t="str">
        <f t="shared" si="3"/>
        <v>C27</v>
      </c>
      <c r="BE21" t="str">
        <f t="shared" si="4"/>
        <v>B27</v>
      </c>
      <c r="BF21" t="str">
        <f t="shared" si="5"/>
        <v>C28</v>
      </c>
      <c r="BG21" t="str">
        <f t="shared" si="6"/>
        <v>B28</v>
      </c>
      <c r="BH21" t="str">
        <f t="shared" si="7"/>
        <v>C29</v>
      </c>
      <c r="BI21" t="str">
        <f t="shared" si="8"/>
        <v>B29</v>
      </c>
      <c r="BJ21" t="str">
        <f t="shared" si="9"/>
        <v>C30</v>
      </c>
      <c r="BK21" t="str">
        <f t="shared" si="10"/>
        <v>B30</v>
      </c>
      <c r="BL21" t="str">
        <f t="shared" si="11"/>
        <v>29B</v>
      </c>
      <c r="BM21" t="str">
        <f t="shared" si="12"/>
        <v>29A</v>
      </c>
      <c r="BN21" t="str">
        <f t="shared" si="18"/>
        <v>30B</v>
      </c>
      <c r="BO21" t="str">
        <f t="shared" si="19"/>
        <v>30A</v>
      </c>
      <c r="BP21" t="str">
        <f t="shared" si="13"/>
        <v>DI4-C25</v>
      </c>
      <c r="BQ21" t="str">
        <f t="shared" si="13"/>
        <v>DI4-B25</v>
      </c>
      <c r="BR21" t="str">
        <f t="shared" si="42"/>
        <v>DI4-C26</v>
      </c>
      <c r="BS21" t="str">
        <f t="shared" si="42"/>
        <v>DI4-B26</v>
      </c>
      <c r="BT21" t="str">
        <f t="shared" si="42"/>
        <v>DI4-C27</v>
      </c>
      <c r="BU21" t="str">
        <f t="shared" si="42"/>
        <v>DI4-B27</v>
      </c>
      <c r="BV21" t="str">
        <f t="shared" si="42"/>
        <v>DI4-C28</v>
      </c>
      <c r="BW21" t="str">
        <f t="shared" si="42"/>
        <v>DI4-B28</v>
      </c>
      <c r="BX21" t="str">
        <f t="shared" si="42"/>
        <v>DI4-C29</v>
      </c>
      <c r="BY21" t="str">
        <f t="shared" si="42"/>
        <v>DI4-B29</v>
      </c>
      <c r="BZ21" t="str">
        <f t="shared" si="42"/>
        <v>DI4-C30</v>
      </c>
      <c r="CA21" t="str">
        <f t="shared" si="42"/>
        <v>DI4-B30</v>
      </c>
      <c r="CB21" t="str">
        <f t="shared" si="15"/>
        <v>DO2-28B</v>
      </c>
      <c r="CC21" t="str">
        <f t="shared" si="15"/>
        <v>DO2-28A</v>
      </c>
      <c r="CD21" t="str">
        <f t="shared" si="16"/>
        <v>DO2-29B</v>
      </c>
      <c r="CE21" t="str">
        <f t="shared" si="16"/>
        <v>DO2-29A</v>
      </c>
      <c r="CF21" t="str">
        <f t="shared" si="16"/>
        <v>DO2-30B</v>
      </c>
      <c r="CG21" t="str">
        <f t="shared" si="16"/>
        <v>DO2-30A</v>
      </c>
      <c r="CH21" t="str">
        <f t="shared" si="20"/>
        <v>K20-10</v>
      </c>
      <c r="CI21" t="str">
        <f t="shared" si="21"/>
        <v>K20-03</v>
      </c>
      <c r="CJ21" t="str">
        <f t="shared" si="22"/>
        <v>K20-04</v>
      </c>
      <c r="CK21" t="str">
        <f t="shared" si="23"/>
        <v>K20-01</v>
      </c>
      <c r="CL21" t="str">
        <f t="shared" si="24"/>
        <v>K20-08</v>
      </c>
      <c r="CM21" t="str">
        <f t="shared" si="25"/>
        <v>K20-02</v>
      </c>
      <c r="CN21" t="str">
        <f t="shared" si="26"/>
        <v>K20-09</v>
      </c>
      <c r="CO21" t="str">
        <f t="shared" si="27"/>
        <v>K20-05</v>
      </c>
      <c r="CP21" t="str">
        <f t="shared" si="28"/>
        <v>K20-11</v>
      </c>
      <c r="CQ21" t="str">
        <f t="shared" si="29"/>
        <v>F0-M20-A9</v>
      </c>
      <c r="CR21" t="str">
        <f t="shared" si="30"/>
        <v>F0-M20-A7</v>
      </c>
      <c r="CS21" t="str">
        <f t="shared" si="31"/>
        <v>F0-M20-A8</v>
      </c>
      <c r="CT21" t="str">
        <f t="shared" si="32"/>
        <v>F0-M20-A6</v>
      </c>
      <c r="CU21" t="str">
        <f t="shared" si="33"/>
        <v>F0-M20-A30</v>
      </c>
      <c r="CV21" t="str">
        <f t="shared" si="34"/>
        <v>F0-M20-N</v>
      </c>
      <c r="CW21" t="str">
        <f t="shared" si="17"/>
        <v>F0-A220-M20</v>
      </c>
      <c r="CX21" t="str">
        <f t="shared" si="35"/>
        <v>F0-M20-XM01</v>
      </c>
      <c r="CY21" t="str">
        <f t="shared" si="36"/>
        <v>F0-M20-A1</v>
      </c>
      <c r="CZ21" t="str">
        <f t="shared" si="37"/>
        <v>F0-M20-A5</v>
      </c>
      <c r="DA21" t="str">
        <f t="shared" si="38"/>
        <v>F0-M20-A11</v>
      </c>
      <c r="DB21" t="str">
        <f t="shared" si="39"/>
        <v>F0-M20-A12</v>
      </c>
      <c r="DC21" t="str">
        <f t="shared" si="40"/>
        <v>F0-M20-A19</v>
      </c>
      <c r="DD21" t="str">
        <f t="shared" si="41"/>
        <v>F0-M20-A20</v>
      </c>
      <c r="DE21" t="s">
        <v>142</v>
      </c>
      <c r="DF21" t="s">
        <v>143</v>
      </c>
      <c r="DG21">
        <v>11</v>
      </c>
      <c r="DH21">
        <v>14</v>
      </c>
      <c r="DI21">
        <v>12</v>
      </c>
      <c r="DJ21" t="s">
        <v>144</v>
      </c>
      <c r="DK21" t="s">
        <v>145</v>
      </c>
      <c r="DL21">
        <v>1</v>
      </c>
      <c r="DM21">
        <v>2</v>
      </c>
      <c r="DN21">
        <v>3</v>
      </c>
      <c r="DO21">
        <v>4</v>
      </c>
      <c r="DP21">
        <v>5</v>
      </c>
      <c r="DQ21">
        <v>6</v>
      </c>
      <c r="DR21">
        <v>7</v>
      </c>
      <c r="DS21">
        <v>8</v>
      </c>
      <c r="DT21">
        <v>9</v>
      </c>
      <c r="DU21">
        <v>10</v>
      </c>
      <c r="DV21">
        <v>11</v>
      </c>
      <c r="DW21">
        <v>12</v>
      </c>
      <c r="DX21">
        <v>13</v>
      </c>
      <c r="DY21">
        <v>14</v>
      </c>
      <c r="DZ21">
        <v>1</v>
      </c>
      <c r="EA21">
        <v>3</v>
      </c>
      <c r="EB21">
        <v>4</v>
      </c>
      <c r="EC21">
        <v>7</v>
      </c>
      <c r="ED21">
        <v>8</v>
      </c>
      <c r="EE21">
        <v>9</v>
      </c>
      <c r="EF21">
        <v>10</v>
      </c>
      <c r="EG21">
        <v>13</v>
      </c>
      <c r="EH21">
        <v>14</v>
      </c>
      <c r="EI21">
        <v>15</v>
      </c>
      <c r="EJ21">
        <v>16</v>
      </c>
      <c r="EK21">
        <v>22</v>
      </c>
      <c r="EL21">
        <v>23</v>
      </c>
      <c r="EM21" s="16">
        <v>24</v>
      </c>
    </row>
    <row r="22" spans="1:143" x14ac:dyDescent="0.25">
      <c r="A22" t="s">
        <v>206</v>
      </c>
      <c r="B22" t="s">
        <v>207</v>
      </c>
      <c r="C22" s="3" t="s">
        <v>127</v>
      </c>
      <c r="O22" s="2"/>
      <c r="P22" t="s">
        <v>129</v>
      </c>
      <c r="Q22" s="1"/>
      <c r="S22" s="1" t="s">
        <v>130</v>
      </c>
      <c r="T22" s="14" t="s">
        <v>554</v>
      </c>
      <c r="U22" s="15">
        <v>21</v>
      </c>
      <c r="V22" s="15" t="s">
        <v>329</v>
      </c>
      <c r="W22" s="15"/>
      <c r="AC22" t="s">
        <v>264</v>
      </c>
      <c r="AD22" t="s">
        <v>133</v>
      </c>
      <c r="AE22" t="s">
        <v>134</v>
      </c>
      <c r="AF22" t="s">
        <v>268</v>
      </c>
      <c r="AG22" t="s">
        <v>135</v>
      </c>
      <c r="AH22" t="s">
        <v>136</v>
      </c>
      <c r="AI22" t="s">
        <v>208</v>
      </c>
      <c r="AL22" t="s">
        <v>137</v>
      </c>
      <c r="AM22" t="s">
        <v>138</v>
      </c>
      <c r="AP22" t="s">
        <v>139</v>
      </c>
      <c r="AQ22" t="s">
        <v>140</v>
      </c>
      <c r="AZ22" s="16"/>
      <c r="BA22" t="str">
        <f t="shared" si="0"/>
        <v>XT21</v>
      </c>
      <c r="BB22" t="str">
        <f t="shared" si="1"/>
        <v>C2</v>
      </c>
      <c r="BC22" t="str">
        <f t="shared" si="2"/>
        <v>B2</v>
      </c>
      <c r="BD22" t="str">
        <f t="shared" si="3"/>
        <v>C3</v>
      </c>
      <c r="BE22" t="str">
        <f t="shared" si="4"/>
        <v>B3</v>
      </c>
      <c r="BF22" t="str">
        <f t="shared" si="5"/>
        <v>C4</v>
      </c>
      <c r="BG22" t="str">
        <f t="shared" si="6"/>
        <v>B4</v>
      </c>
      <c r="BH22" t="str">
        <f t="shared" si="7"/>
        <v>C5</v>
      </c>
      <c r="BI22" t="str">
        <f t="shared" si="8"/>
        <v>B5</v>
      </c>
      <c r="BJ22" t="str">
        <f t="shared" si="9"/>
        <v>C6</v>
      </c>
      <c r="BK22" t="str">
        <f t="shared" si="10"/>
        <v>B6</v>
      </c>
      <c r="BL22" t="str">
        <f t="shared" si="11"/>
        <v>2B</v>
      </c>
      <c r="BM22" t="str">
        <f t="shared" si="12"/>
        <v>2A</v>
      </c>
      <c r="BN22" t="str">
        <f t="shared" si="18"/>
        <v>3B</v>
      </c>
      <c r="BO22" t="str">
        <f t="shared" si="19"/>
        <v>3A</v>
      </c>
      <c r="BP22" t="str">
        <f t="shared" si="13"/>
        <v>DI5-C1</v>
      </c>
      <c r="BQ22" t="str">
        <f t="shared" si="13"/>
        <v>DI5-B1</v>
      </c>
      <c r="BR22" t="str">
        <f t="shared" si="42"/>
        <v>DI5-C2</v>
      </c>
      <c r="BS22" t="str">
        <f t="shared" si="42"/>
        <v>DI5-B2</v>
      </c>
      <c r="BT22" t="str">
        <f t="shared" si="42"/>
        <v>DI5-C3</v>
      </c>
      <c r="BU22" t="str">
        <f t="shared" si="42"/>
        <v>DI5-B3</v>
      </c>
      <c r="BV22" t="str">
        <f t="shared" si="42"/>
        <v>DI5-C4</v>
      </c>
      <c r="BW22" t="str">
        <f t="shared" si="42"/>
        <v>DI5-B4</v>
      </c>
      <c r="BX22" t="str">
        <f t="shared" si="42"/>
        <v>DI5-C5</v>
      </c>
      <c r="BY22" t="str">
        <f t="shared" si="42"/>
        <v>DI5-B5</v>
      </c>
      <c r="BZ22" t="str">
        <f t="shared" si="42"/>
        <v>DI5-C6</v>
      </c>
      <c r="CA22" t="str">
        <f t="shared" si="42"/>
        <v>DI5-B6</v>
      </c>
      <c r="CB22" t="str">
        <f t="shared" si="15"/>
        <v>DO3-1B</v>
      </c>
      <c r="CC22" t="str">
        <f t="shared" si="15"/>
        <v>DO3-1A</v>
      </c>
      <c r="CD22" t="str">
        <f t="shared" si="16"/>
        <v>DO3-2B</v>
      </c>
      <c r="CE22" t="str">
        <f t="shared" si="16"/>
        <v>DO3-2A</v>
      </c>
      <c r="CF22" t="str">
        <f t="shared" si="16"/>
        <v>DO3-3B</v>
      </c>
      <c r="CG22" t="str">
        <f t="shared" si="16"/>
        <v>DO3-3A</v>
      </c>
      <c r="CH22" t="str">
        <f t="shared" si="20"/>
        <v>K21-10</v>
      </c>
      <c r="CI22" t="str">
        <f t="shared" si="21"/>
        <v>K21-03</v>
      </c>
      <c r="CJ22" t="str">
        <f t="shared" si="22"/>
        <v>K21-04</v>
      </c>
      <c r="CK22" t="str">
        <f t="shared" si="23"/>
        <v>K21-01</v>
      </c>
      <c r="CL22" t="str">
        <f t="shared" si="24"/>
        <v>K21-08</v>
      </c>
      <c r="CM22" t="str">
        <f t="shared" si="25"/>
        <v>K21-02</v>
      </c>
      <c r="CN22" t="str">
        <f t="shared" si="26"/>
        <v>K21-09</v>
      </c>
      <c r="CO22" t="str">
        <f t="shared" si="27"/>
        <v>K21-05</v>
      </c>
      <c r="CP22" t="str">
        <f t="shared" si="28"/>
        <v>K21-11</v>
      </c>
      <c r="CQ22" t="str">
        <f t="shared" si="29"/>
        <v>F0-M21-A9</v>
      </c>
      <c r="CR22" t="str">
        <f t="shared" si="30"/>
        <v>F0-M21-A7</v>
      </c>
      <c r="CS22" t="str">
        <f t="shared" si="31"/>
        <v>F0-M21-A8</v>
      </c>
      <c r="CT22" t="str">
        <f t="shared" si="32"/>
        <v>F0-M21-A6</v>
      </c>
      <c r="CU22" t="str">
        <f t="shared" si="33"/>
        <v>F0-M21-A30</v>
      </c>
      <c r="CV22" t="str">
        <f t="shared" si="34"/>
        <v>F0-M21-N</v>
      </c>
      <c r="CW22" t="str">
        <f t="shared" si="17"/>
        <v>F0-A220-M21</v>
      </c>
      <c r="CX22" t="str">
        <f t="shared" si="35"/>
        <v>F0-M21-XM01</v>
      </c>
      <c r="CY22" t="str">
        <f t="shared" si="36"/>
        <v>F0-M21-A1</v>
      </c>
      <c r="CZ22" t="str">
        <f t="shared" si="37"/>
        <v>F0-M21-A5</v>
      </c>
      <c r="DA22" t="str">
        <f t="shared" si="38"/>
        <v>F0-M21-A11</v>
      </c>
      <c r="DB22" t="str">
        <f t="shared" si="39"/>
        <v>F0-M21-A12</v>
      </c>
      <c r="DC22" t="str">
        <f t="shared" si="40"/>
        <v>F0-M21-A19</v>
      </c>
      <c r="DD22" t="str">
        <f t="shared" si="41"/>
        <v>F0-M21-A20</v>
      </c>
      <c r="DE22" t="s">
        <v>142</v>
      </c>
      <c r="DF22" t="s">
        <v>143</v>
      </c>
      <c r="DG22">
        <v>11</v>
      </c>
      <c r="DH22">
        <v>14</v>
      </c>
      <c r="DI22">
        <v>12</v>
      </c>
      <c r="DJ22" t="s">
        <v>144</v>
      </c>
      <c r="DK22" t="s">
        <v>145</v>
      </c>
      <c r="DL22">
        <v>1</v>
      </c>
      <c r="DM22">
        <v>2</v>
      </c>
      <c r="DN22">
        <v>3</v>
      </c>
      <c r="DO22">
        <v>4</v>
      </c>
      <c r="DP22">
        <v>5</v>
      </c>
      <c r="DQ22">
        <v>6</v>
      </c>
      <c r="DR22">
        <v>7</v>
      </c>
      <c r="DS22">
        <v>8</v>
      </c>
      <c r="DT22">
        <v>9</v>
      </c>
      <c r="DU22">
        <v>10</v>
      </c>
      <c r="DV22">
        <v>11</v>
      </c>
      <c r="DW22">
        <v>12</v>
      </c>
      <c r="DX22">
        <v>13</v>
      </c>
      <c r="DY22">
        <v>14</v>
      </c>
      <c r="DZ22">
        <v>1</v>
      </c>
      <c r="EA22">
        <v>3</v>
      </c>
      <c r="EB22">
        <v>4</v>
      </c>
      <c r="EC22">
        <v>7</v>
      </c>
      <c r="ED22">
        <v>8</v>
      </c>
      <c r="EE22">
        <v>9</v>
      </c>
      <c r="EF22">
        <v>10</v>
      </c>
      <c r="EG22">
        <v>13</v>
      </c>
      <c r="EH22">
        <v>14</v>
      </c>
      <c r="EI22">
        <v>15</v>
      </c>
      <c r="EJ22">
        <v>16</v>
      </c>
      <c r="EK22">
        <v>22</v>
      </c>
      <c r="EL22">
        <v>23</v>
      </c>
      <c r="EM22" s="16">
        <v>24</v>
      </c>
    </row>
    <row r="23" spans="1:143" x14ac:dyDescent="0.25">
      <c r="A23" t="s">
        <v>209</v>
      </c>
      <c r="B23" t="s">
        <v>210</v>
      </c>
      <c r="C23" s="3" t="s">
        <v>127</v>
      </c>
      <c r="O23" s="2"/>
      <c r="P23" t="s">
        <v>129</v>
      </c>
      <c r="Q23" s="1"/>
      <c r="S23" s="1" t="s">
        <v>130</v>
      </c>
      <c r="T23" s="14" t="s">
        <v>554</v>
      </c>
      <c r="U23" s="15">
        <v>22</v>
      </c>
      <c r="V23" s="15" t="s">
        <v>330</v>
      </c>
      <c r="W23" s="15"/>
      <c r="AC23" t="s">
        <v>264</v>
      </c>
      <c r="AD23" t="s">
        <v>148</v>
      </c>
      <c r="AE23" t="s">
        <v>149</v>
      </c>
      <c r="AF23" t="s">
        <v>268</v>
      </c>
      <c r="AG23" t="s">
        <v>243</v>
      </c>
      <c r="AH23" t="s">
        <v>244</v>
      </c>
      <c r="AI23" t="s">
        <v>211</v>
      </c>
      <c r="AL23" t="s">
        <v>137</v>
      </c>
      <c r="AM23" t="s">
        <v>138</v>
      </c>
      <c r="AP23" t="s">
        <v>139</v>
      </c>
      <c r="AQ23" t="s">
        <v>140</v>
      </c>
      <c r="AZ23" s="16"/>
      <c r="BA23" t="str">
        <f t="shared" si="0"/>
        <v>XT22</v>
      </c>
      <c r="BB23" t="str">
        <f t="shared" si="1"/>
        <v>C8</v>
      </c>
      <c r="BC23" t="str">
        <f t="shared" si="2"/>
        <v>B8</v>
      </c>
      <c r="BD23" t="str">
        <f t="shared" si="3"/>
        <v>C9</v>
      </c>
      <c r="BE23" t="str">
        <f t="shared" si="4"/>
        <v>B9</v>
      </c>
      <c r="BF23" t="str">
        <f t="shared" si="5"/>
        <v>C10</v>
      </c>
      <c r="BG23" t="str">
        <f t="shared" si="6"/>
        <v>B10</v>
      </c>
      <c r="BH23" t="str">
        <f t="shared" si="7"/>
        <v>C11</v>
      </c>
      <c r="BI23" t="str">
        <f t="shared" si="8"/>
        <v>B11</v>
      </c>
      <c r="BJ23" t="str">
        <f t="shared" si="9"/>
        <v>C12</v>
      </c>
      <c r="BK23" t="str">
        <f t="shared" si="10"/>
        <v>B12</v>
      </c>
      <c r="BL23" t="str">
        <f t="shared" si="11"/>
        <v>5B</v>
      </c>
      <c r="BM23" t="str">
        <f t="shared" si="12"/>
        <v>5A</v>
      </c>
      <c r="BN23" t="str">
        <f t="shared" si="18"/>
        <v>6B</v>
      </c>
      <c r="BO23" t="str">
        <f t="shared" si="19"/>
        <v>6A</v>
      </c>
      <c r="BP23" t="str">
        <f t="shared" si="13"/>
        <v>DI5-C7</v>
      </c>
      <c r="BQ23" t="str">
        <f t="shared" si="13"/>
        <v>DI5-B7</v>
      </c>
      <c r="BR23" t="str">
        <f t="shared" si="42"/>
        <v>DI5-C8</v>
      </c>
      <c r="BS23" t="str">
        <f t="shared" si="42"/>
        <v>DI5-B8</v>
      </c>
      <c r="BT23" t="str">
        <f t="shared" si="42"/>
        <v>DI5-C9</v>
      </c>
      <c r="BU23" t="str">
        <f t="shared" si="42"/>
        <v>DI5-B9</v>
      </c>
      <c r="BV23" t="str">
        <f t="shared" si="42"/>
        <v>DI5-C10</v>
      </c>
      <c r="BW23" t="str">
        <f t="shared" si="42"/>
        <v>DI5-B10</v>
      </c>
      <c r="BX23" t="str">
        <f t="shared" si="42"/>
        <v>DI5-C11</v>
      </c>
      <c r="BY23" t="str">
        <f t="shared" si="42"/>
        <v>DI5-B11</v>
      </c>
      <c r="BZ23" t="str">
        <f t="shared" si="42"/>
        <v>DI5-C12</v>
      </c>
      <c r="CA23" t="str">
        <f t="shared" si="42"/>
        <v>DI5-B12</v>
      </c>
      <c r="CB23" t="str">
        <f t="shared" si="15"/>
        <v>DO3-4B</v>
      </c>
      <c r="CC23" t="str">
        <f t="shared" si="15"/>
        <v>DO3-4A</v>
      </c>
      <c r="CD23" t="str">
        <f t="shared" si="16"/>
        <v>DO3-5B</v>
      </c>
      <c r="CE23" t="str">
        <f t="shared" si="16"/>
        <v>DO3-5A</v>
      </c>
      <c r="CF23" t="str">
        <f t="shared" si="16"/>
        <v>DO3-6B</v>
      </c>
      <c r="CG23" t="str">
        <f t="shared" si="16"/>
        <v>DO3-6A</v>
      </c>
      <c r="CH23" t="str">
        <f t="shared" si="20"/>
        <v>K22-10</v>
      </c>
      <c r="CI23" t="str">
        <f t="shared" si="21"/>
        <v>K22-03</v>
      </c>
      <c r="CJ23" t="str">
        <f t="shared" si="22"/>
        <v>K22-04</v>
      </c>
      <c r="CK23" t="str">
        <f t="shared" si="23"/>
        <v>K22-01</v>
      </c>
      <c r="CL23" t="str">
        <f t="shared" si="24"/>
        <v>K22-08</v>
      </c>
      <c r="CM23" t="str">
        <f t="shared" si="25"/>
        <v>K22-02</v>
      </c>
      <c r="CN23" t="str">
        <f t="shared" si="26"/>
        <v>K22-09</v>
      </c>
      <c r="CO23" t="str">
        <f t="shared" si="27"/>
        <v>K22-05</v>
      </c>
      <c r="CP23" t="str">
        <f t="shared" si="28"/>
        <v>K22-11</v>
      </c>
      <c r="CQ23" t="str">
        <f t="shared" si="29"/>
        <v>F0-M22-A9</v>
      </c>
      <c r="CR23" t="str">
        <f t="shared" si="30"/>
        <v>F0-M22-A7</v>
      </c>
      <c r="CS23" t="str">
        <f t="shared" si="31"/>
        <v>F0-M22-A8</v>
      </c>
      <c r="CT23" t="str">
        <f t="shared" si="32"/>
        <v>F0-M22-A6</v>
      </c>
      <c r="CU23" t="str">
        <f t="shared" si="33"/>
        <v>F0-M22-A30</v>
      </c>
      <c r="CV23" t="str">
        <f t="shared" si="34"/>
        <v>F0-M22-N</v>
      </c>
      <c r="CW23" t="str">
        <f t="shared" si="17"/>
        <v>F0-A220-M22</v>
      </c>
      <c r="CX23" t="str">
        <f t="shared" si="35"/>
        <v>F0-M22-XM01</v>
      </c>
      <c r="CY23" t="str">
        <f t="shared" si="36"/>
        <v>F0-M22-A1</v>
      </c>
      <c r="CZ23" t="str">
        <f t="shared" si="37"/>
        <v>F0-M22-A5</v>
      </c>
      <c r="DA23" t="str">
        <f t="shared" si="38"/>
        <v>F0-M22-A11</v>
      </c>
      <c r="DB23" t="str">
        <f t="shared" si="39"/>
        <v>F0-M22-A12</v>
      </c>
      <c r="DC23" t="str">
        <f t="shared" si="40"/>
        <v>F0-M22-A19</v>
      </c>
      <c r="DD23" t="str">
        <f t="shared" si="41"/>
        <v>F0-M22-A20</v>
      </c>
      <c r="DE23" t="s">
        <v>142</v>
      </c>
      <c r="DF23" t="s">
        <v>143</v>
      </c>
      <c r="DG23">
        <v>11</v>
      </c>
      <c r="DH23">
        <v>14</v>
      </c>
      <c r="DI23">
        <v>12</v>
      </c>
      <c r="DJ23" t="s">
        <v>144</v>
      </c>
      <c r="DK23" t="s">
        <v>145</v>
      </c>
      <c r="DL23">
        <v>1</v>
      </c>
      <c r="DM23">
        <v>2</v>
      </c>
      <c r="DN23">
        <v>3</v>
      </c>
      <c r="DO23">
        <v>4</v>
      </c>
      <c r="DP23">
        <v>5</v>
      </c>
      <c r="DQ23">
        <v>6</v>
      </c>
      <c r="DR23">
        <v>7</v>
      </c>
      <c r="DS23">
        <v>8</v>
      </c>
      <c r="DT23">
        <v>9</v>
      </c>
      <c r="DU23">
        <v>10</v>
      </c>
      <c r="DV23">
        <v>11</v>
      </c>
      <c r="DW23">
        <v>12</v>
      </c>
      <c r="DX23">
        <v>13</v>
      </c>
      <c r="DY23">
        <v>14</v>
      </c>
      <c r="DZ23">
        <v>1</v>
      </c>
      <c r="EA23">
        <v>3</v>
      </c>
      <c r="EB23">
        <v>4</v>
      </c>
      <c r="EC23">
        <v>7</v>
      </c>
      <c r="ED23">
        <v>8</v>
      </c>
      <c r="EE23">
        <v>9</v>
      </c>
      <c r="EF23">
        <v>10</v>
      </c>
      <c r="EG23">
        <v>13</v>
      </c>
      <c r="EH23">
        <v>14</v>
      </c>
      <c r="EI23">
        <v>15</v>
      </c>
      <c r="EJ23">
        <v>16</v>
      </c>
      <c r="EK23">
        <v>22</v>
      </c>
      <c r="EL23">
        <v>23</v>
      </c>
      <c r="EM23" s="16">
        <v>24</v>
      </c>
    </row>
    <row r="24" spans="1:143" x14ac:dyDescent="0.25">
      <c r="A24" t="s">
        <v>212</v>
      </c>
      <c r="B24" t="s">
        <v>213</v>
      </c>
      <c r="C24" s="3" t="s">
        <v>127</v>
      </c>
      <c r="O24" s="2"/>
      <c r="P24" t="s">
        <v>129</v>
      </c>
      <c r="Q24" s="1"/>
      <c r="S24" s="1" t="s">
        <v>130</v>
      </c>
      <c r="T24" s="14" t="s">
        <v>554</v>
      </c>
      <c r="U24" s="15">
        <v>23</v>
      </c>
      <c r="V24" s="15" t="s">
        <v>331</v>
      </c>
      <c r="W24" s="15"/>
      <c r="AC24" t="s">
        <v>264</v>
      </c>
      <c r="AD24" t="s">
        <v>153</v>
      </c>
      <c r="AE24" t="s">
        <v>154</v>
      </c>
      <c r="AF24" t="s">
        <v>268</v>
      </c>
      <c r="AG24" t="s">
        <v>245</v>
      </c>
      <c r="AH24" t="s">
        <v>246</v>
      </c>
      <c r="AI24" t="s">
        <v>214</v>
      </c>
      <c r="AL24" t="s">
        <v>137</v>
      </c>
      <c r="AM24" t="s">
        <v>138</v>
      </c>
      <c r="AP24" t="s">
        <v>139</v>
      </c>
      <c r="AQ24" t="s">
        <v>140</v>
      </c>
      <c r="AZ24" s="16"/>
      <c r="BA24" t="str">
        <f t="shared" si="0"/>
        <v>XT23</v>
      </c>
      <c r="BB24" t="str">
        <f t="shared" si="1"/>
        <v>C14</v>
      </c>
      <c r="BC24" t="str">
        <f t="shared" si="2"/>
        <v>B14</v>
      </c>
      <c r="BD24" t="str">
        <f t="shared" si="3"/>
        <v>C15</v>
      </c>
      <c r="BE24" t="str">
        <f t="shared" si="4"/>
        <v>B15</v>
      </c>
      <c r="BF24" t="str">
        <f t="shared" si="5"/>
        <v>C16</v>
      </c>
      <c r="BG24" t="str">
        <f t="shared" si="6"/>
        <v>B16</v>
      </c>
      <c r="BH24" t="str">
        <f t="shared" si="7"/>
        <v>C17</v>
      </c>
      <c r="BI24" t="str">
        <f t="shared" si="8"/>
        <v>B17</v>
      </c>
      <c r="BJ24" t="str">
        <f t="shared" si="9"/>
        <v>C18</v>
      </c>
      <c r="BK24" t="str">
        <f t="shared" si="10"/>
        <v>B18</v>
      </c>
      <c r="BL24" t="str">
        <f t="shared" si="11"/>
        <v>8B</v>
      </c>
      <c r="BM24" t="str">
        <f t="shared" si="12"/>
        <v>8A</v>
      </c>
      <c r="BN24" t="str">
        <f t="shared" si="18"/>
        <v>9B</v>
      </c>
      <c r="BO24" t="str">
        <f t="shared" si="19"/>
        <v>9A</v>
      </c>
      <c r="BP24" t="str">
        <f t="shared" si="13"/>
        <v>DI5-C13</v>
      </c>
      <c r="BQ24" t="str">
        <f t="shared" si="13"/>
        <v>DI5-B13</v>
      </c>
      <c r="BR24" t="str">
        <f t="shared" si="42"/>
        <v>DI5-C14</v>
      </c>
      <c r="BS24" t="str">
        <f t="shared" si="42"/>
        <v>DI5-B14</v>
      </c>
      <c r="BT24" t="str">
        <f t="shared" si="42"/>
        <v>DI5-C15</v>
      </c>
      <c r="BU24" t="str">
        <f t="shared" si="42"/>
        <v>DI5-B15</v>
      </c>
      <c r="BV24" t="str">
        <f t="shared" si="42"/>
        <v>DI5-C16</v>
      </c>
      <c r="BW24" t="str">
        <f t="shared" si="42"/>
        <v>DI5-B16</v>
      </c>
      <c r="BX24" t="str">
        <f t="shared" si="42"/>
        <v>DI5-C17</v>
      </c>
      <c r="BY24" t="str">
        <f t="shared" si="42"/>
        <v>DI5-B17</v>
      </c>
      <c r="BZ24" t="str">
        <f t="shared" si="42"/>
        <v>DI5-C18</v>
      </c>
      <c r="CA24" t="str">
        <f t="shared" si="42"/>
        <v>DI5-B18</v>
      </c>
      <c r="CB24" t="str">
        <f t="shared" si="15"/>
        <v>DO3-7B</v>
      </c>
      <c r="CC24" t="str">
        <f t="shared" si="15"/>
        <v>DO3-7A</v>
      </c>
      <c r="CD24" t="str">
        <f t="shared" si="16"/>
        <v>DO3-8B</v>
      </c>
      <c r="CE24" t="str">
        <f t="shared" si="16"/>
        <v>DO3-8A</v>
      </c>
      <c r="CF24" t="str">
        <f t="shared" si="16"/>
        <v>DO3-9B</v>
      </c>
      <c r="CG24" t="str">
        <f t="shared" si="16"/>
        <v>DO3-9A</v>
      </c>
      <c r="CH24" t="str">
        <f t="shared" si="20"/>
        <v>K23-10</v>
      </c>
      <c r="CI24" t="str">
        <f t="shared" si="21"/>
        <v>K23-03</v>
      </c>
      <c r="CJ24" t="str">
        <f t="shared" si="22"/>
        <v>K23-04</v>
      </c>
      <c r="CK24" t="str">
        <f t="shared" si="23"/>
        <v>K23-01</v>
      </c>
      <c r="CL24" t="str">
        <f t="shared" si="24"/>
        <v>K23-08</v>
      </c>
      <c r="CM24" t="str">
        <f t="shared" si="25"/>
        <v>K23-02</v>
      </c>
      <c r="CN24" t="str">
        <f t="shared" si="26"/>
        <v>K23-09</v>
      </c>
      <c r="CO24" t="str">
        <f t="shared" si="27"/>
        <v>K23-05</v>
      </c>
      <c r="CP24" t="str">
        <f t="shared" si="28"/>
        <v>K23-11</v>
      </c>
      <c r="CQ24" t="str">
        <f t="shared" si="29"/>
        <v>F0-M23-A9</v>
      </c>
      <c r="CR24" t="str">
        <f t="shared" si="30"/>
        <v>F0-M23-A7</v>
      </c>
      <c r="CS24" t="str">
        <f t="shared" si="31"/>
        <v>F0-M23-A8</v>
      </c>
      <c r="CT24" t="str">
        <f t="shared" si="32"/>
        <v>F0-M23-A6</v>
      </c>
      <c r="CU24" t="str">
        <f t="shared" si="33"/>
        <v>F0-M23-A30</v>
      </c>
      <c r="CV24" t="str">
        <f t="shared" si="34"/>
        <v>F0-M23-N</v>
      </c>
      <c r="CW24" t="str">
        <f t="shared" si="17"/>
        <v>F0-A220-M23</v>
      </c>
      <c r="CX24" t="str">
        <f t="shared" si="35"/>
        <v>F0-M23-XM01</v>
      </c>
      <c r="CY24" t="str">
        <f t="shared" si="36"/>
        <v>F0-M23-A1</v>
      </c>
      <c r="CZ24" t="str">
        <f t="shared" si="37"/>
        <v>F0-M23-A5</v>
      </c>
      <c r="DA24" t="str">
        <f t="shared" si="38"/>
        <v>F0-M23-A11</v>
      </c>
      <c r="DB24" t="str">
        <f t="shared" si="39"/>
        <v>F0-M23-A12</v>
      </c>
      <c r="DC24" t="str">
        <f t="shared" si="40"/>
        <v>F0-M23-A19</v>
      </c>
      <c r="DD24" t="str">
        <f t="shared" si="41"/>
        <v>F0-M23-A20</v>
      </c>
      <c r="DE24" t="s">
        <v>142</v>
      </c>
      <c r="DF24" t="s">
        <v>143</v>
      </c>
      <c r="DG24">
        <v>11</v>
      </c>
      <c r="DH24">
        <v>14</v>
      </c>
      <c r="DI24">
        <v>12</v>
      </c>
      <c r="DJ24" t="s">
        <v>144</v>
      </c>
      <c r="DK24" t="s">
        <v>145</v>
      </c>
      <c r="DL24">
        <v>1</v>
      </c>
      <c r="DM24">
        <v>2</v>
      </c>
      <c r="DN24">
        <v>3</v>
      </c>
      <c r="DO24">
        <v>4</v>
      </c>
      <c r="DP24">
        <v>5</v>
      </c>
      <c r="DQ24">
        <v>6</v>
      </c>
      <c r="DR24">
        <v>7</v>
      </c>
      <c r="DS24">
        <v>8</v>
      </c>
      <c r="DT24">
        <v>9</v>
      </c>
      <c r="DU24">
        <v>10</v>
      </c>
      <c r="DV24">
        <v>11</v>
      </c>
      <c r="DW24">
        <v>12</v>
      </c>
      <c r="DX24">
        <v>13</v>
      </c>
      <c r="DY24">
        <v>14</v>
      </c>
      <c r="DZ24">
        <v>1</v>
      </c>
      <c r="EA24">
        <v>3</v>
      </c>
      <c r="EB24">
        <v>4</v>
      </c>
      <c r="EC24">
        <v>7</v>
      </c>
      <c r="ED24">
        <v>8</v>
      </c>
      <c r="EE24">
        <v>9</v>
      </c>
      <c r="EF24">
        <v>10</v>
      </c>
      <c r="EG24">
        <v>13</v>
      </c>
      <c r="EH24">
        <v>14</v>
      </c>
      <c r="EI24">
        <v>15</v>
      </c>
      <c r="EJ24">
        <v>16</v>
      </c>
      <c r="EK24">
        <v>22</v>
      </c>
      <c r="EL24">
        <v>23</v>
      </c>
      <c r="EM24" s="16">
        <v>24</v>
      </c>
    </row>
    <row r="25" spans="1:143" x14ac:dyDescent="0.25">
      <c r="A25" t="s">
        <v>215</v>
      </c>
      <c r="B25" t="s">
        <v>216</v>
      </c>
      <c r="C25" s="3" t="s">
        <v>127</v>
      </c>
      <c r="O25" s="2"/>
      <c r="P25" t="s">
        <v>129</v>
      </c>
      <c r="Q25" s="1"/>
      <c r="S25" s="1" t="s">
        <v>130</v>
      </c>
      <c r="T25" s="14" t="s">
        <v>554</v>
      </c>
      <c r="U25" s="15">
        <v>24</v>
      </c>
      <c r="V25" s="15" t="s">
        <v>332</v>
      </c>
      <c r="W25" s="15"/>
      <c r="AC25" t="s">
        <v>264</v>
      </c>
      <c r="AD25" t="s">
        <v>239</v>
      </c>
      <c r="AE25" t="s">
        <v>241</v>
      </c>
      <c r="AF25" t="s">
        <v>268</v>
      </c>
      <c r="AG25" t="s">
        <v>247</v>
      </c>
      <c r="AH25" t="s">
        <v>254</v>
      </c>
      <c r="AI25" t="s">
        <v>217</v>
      </c>
      <c r="AL25" t="s">
        <v>137</v>
      </c>
      <c r="AM25" t="s">
        <v>138</v>
      </c>
      <c r="AP25" t="s">
        <v>139</v>
      </c>
      <c r="AQ25" t="s">
        <v>140</v>
      </c>
      <c r="AZ25" s="16"/>
      <c r="BA25" t="str">
        <f t="shared" si="0"/>
        <v>XT24</v>
      </c>
      <c r="BB25" t="str">
        <f t="shared" si="1"/>
        <v>C20</v>
      </c>
      <c r="BC25" t="str">
        <f t="shared" si="2"/>
        <v>B20</v>
      </c>
      <c r="BD25" t="str">
        <f t="shared" si="3"/>
        <v>C21</v>
      </c>
      <c r="BE25" t="str">
        <f t="shared" si="4"/>
        <v>B21</v>
      </c>
      <c r="BF25" t="str">
        <f t="shared" si="5"/>
        <v>C22</v>
      </c>
      <c r="BG25" t="str">
        <f t="shared" si="6"/>
        <v>B22</v>
      </c>
      <c r="BH25" t="str">
        <f t="shared" si="7"/>
        <v>C23</v>
      </c>
      <c r="BI25" t="str">
        <f t="shared" si="8"/>
        <v>B23</v>
      </c>
      <c r="BJ25" t="str">
        <f t="shared" si="9"/>
        <v>C24</v>
      </c>
      <c r="BK25" t="str">
        <f t="shared" si="10"/>
        <v>B24</v>
      </c>
      <c r="BL25" t="str">
        <f t="shared" si="11"/>
        <v>11B</v>
      </c>
      <c r="BM25" t="str">
        <f t="shared" si="12"/>
        <v>11A</v>
      </c>
      <c r="BN25" t="str">
        <f t="shared" si="18"/>
        <v>12B</v>
      </c>
      <c r="BO25" t="str">
        <f t="shared" si="19"/>
        <v>12A</v>
      </c>
      <c r="BP25" t="str">
        <f t="shared" si="13"/>
        <v>DI5-C19</v>
      </c>
      <c r="BQ25" t="str">
        <f t="shared" si="13"/>
        <v>DI5-B19</v>
      </c>
      <c r="BR25" t="str">
        <f t="shared" si="42"/>
        <v>DI5-C20</v>
      </c>
      <c r="BS25" t="str">
        <f t="shared" si="42"/>
        <v>DI5-B20</v>
      </c>
      <c r="BT25" t="str">
        <f t="shared" si="42"/>
        <v>DI5-C21</v>
      </c>
      <c r="BU25" t="str">
        <f t="shared" si="42"/>
        <v>DI5-B21</v>
      </c>
      <c r="BV25" t="str">
        <f t="shared" si="42"/>
        <v>DI5-C22</v>
      </c>
      <c r="BW25" t="str">
        <f t="shared" si="42"/>
        <v>DI5-B22</v>
      </c>
      <c r="BX25" t="str">
        <f t="shared" si="42"/>
        <v>DI5-C23</v>
      </c>
      <c r="BY25" t="str">
        <f t="shared" si="42"/>
        <v>DI5-B23</v>
      </c>
      <c r="BZ25" t="str">
        <f t="shared" si="42"/>
        <v>DI5-C24</v>
      </c>
      <c r="CA25" t="str">
        <f t="shared" si="42"/>
        <v>DI5-B24</v>
      </c>
      <c r="CB25" t="str">
        <f t="shared" si="15"/>
        <v>DO3-10B</v>
      </c>
      <c r="CC25" t="str">
        <f t="shared" si="15"/>
        <v>DO3-10A</v>
      </c>
      <c r="CD25" t="str">
        <f t="shared" si="16"/>
        <v>DO3-11B</v>
      </c>
      <c r="CE25" t="str">
        <f t="shared" si="16"/>
        <v>DO3-11A</v>
      </c>
      <c r="CF25" t="str">
        <f t="shared" si="16"/>
        <v>DO3-12B</v>
      </c>
      <c r="CG25" t="str">
        <f t="shared" si="16"/>
        <v>DO3-12A</v>
      </c>
      <c r="CH25" t="str">
        <f t="shared" si="20"/>
        <v>K24-10</v>
      </c>
      <c r="CI25" t="str">
        <f t="shared" si="21"/>
        <v>K24-03</v>
      </c>
      <c r="CJ25" t="str">
        <f t="shared" si="22"/>
        <v>K24-04</v>
      </c>
      <c r="CK25" t="str">
        <f t="shared" si="23"/>
        <v>K24-01</v>
      </c>
      <c r="CL25" t="str">
        <f t="shared" si="24"/>
        <v>K24-08</v>
      </c>
      <c r="CM25" t="str">
        <f t="shared" si="25"/>
        <v>K24-02</v>
      </c>
      <c r="CN25" t="str">
        <f t="shared" si="26"/>
        <v>K24-09</v>
      </c>
      <c r="CO25" t="str">
        <f t="shared" si="27"/>
        <v>K24-05</v>
      </c>
      <c r="CP25" t="str">
        <f t="shared" si="28"/>
        <v>K24-11</v>
      </c>
      <c r="CQ25" t="str">
        <f t="shared" si="29"/>
        <v>F0-M24-A9</v>
      </c>
      <c r="CR25" t="str">
        <f t="shared" si="30"/>
        <v>F0-M24-A7</v>
      </c>
      <c r="CS25" t="str">
        <f t="shared" si="31"/>
        <v>F0-M24-A8</v>
      </c>
      <c r="CT25" t="str">
        <f t="shared" si="32"/>
        <v>F0-M24-A6</v>
      </c>
      <c r="CU25" t="str">
        <f t="shared" si="33"/>
        <v>F0-M24-A30</v>
      </c>
      <c r="CV25" t="str">
        <f t="shared" si="34"/>
        <v>F0-M24-N</v>
      </c>
      <c r="CW25" t="str">
        <f t="shared" si="17"/>
        <v>F0-A220-M24</v>
      </c>
      <c r="CX25" t="str">
        <f t="shared" si="35"/>
        <v>F0-M24-XM01</v>
      </c>
      <c r="CY25" t="str">
        <f t="shared" si="36"/>
        <v>F0-M24-A1</v>
      </c>
      <c r="CZ25" t="str">
        <f t="shared" si="37"/>
        <v>F0-M24-A5</v>
      </c>
      <c r="DA25" t="str">
        <f t="shared" si="38"/>
        <v>F0-M24-A11</v>
      </c>
      <c r="DB25" t="str">
        <f t="shared" si="39"/>
        <v>F0-M24-A12</v>
      </c>
      <c r="DC25" t="str">
        <f t="shared" si="40"/>
        <v>F0-M24-A19</v>
      </c>
      <c r="DD25" t="str">
        <f t="shared" si="41"/>
        <v>F0-M24-A20</v>
      </c>
      <c r="DE25" t="s">
        <v>142</v>
      </c>
      <c r="DF25" t="s">
        <v>143</v>
      </c>
      <c r="DG25">
        <v>11</v>
      </c>
      <c r="DH25">
        <v>14</v>
      </c>
      <c r="DI25">
        <v>12</v>
      </c>
      <c r="DJ25" t="s">
        <v>144</v>
      </c>
      <c r="DK25" t="s">
        <v>145</v>
      </c>
      <c r="DL25">
        <v>1</v>
      </c>
      <c r="DM25">
        <v>2</v>
      </c>
      <c r="DN25">
        <v>3</v>
      </c>
      <c r="DO25">
        <v>4</v>
      </c>
      <c r="DP25">
        <v>5</v>
      </c>
      <c r="DQ25">
        <v>6</v>
      </c>
      <c r="DR25">
        <v>7</v>
      </c>
      <c r="DS25">
        <v>8</v>
      </c>
      <c r="DT25">
        <v>9</v>
      </c>
      <c r="DU25">
        <v>10</v>
      </c>
      <c r="DV25">
        <v>11</v>
      </c>
      <c r="DW25">
        <v>12</v>
      </c>
      <c r="DX25">
        <v>13</v>
      </c>
      <c r="DY25">
        <v>14</v>
      </c>
      <c r="DZ25">
        <v>1</v>
      </c>
      <c r="EA25">
        <v>3</v>
      </c>
      <c r="EB25">
        <v>4</v>
      </c>
      <c r="EC25">
        <v>7</v>
      </c>
      <c r="ED25">
        <v>8</v>
      </c>
      <c r="EE25">
        <v>9</v>
      </c>
      <c r="EF25">
        <v>10</v>
      </c>
      <c r="EG25">
        <v>13</v>
      </c>
      <c r="EH25">
        <v>14</v>
      </c>
      <c r="EI25">
        <v>15</v>
      </c>
      <c r="EJ25">
        <v>16</v>
      </c>
      <c r="EK25">
        <v>22</v>
      </c>
      <c r="EL25">
        <v>23</v>
      </c>
      <c r="EM25" s="16">
        <v>24</v>
      </c>
    </row>
    <row r="26" spans="1:143" x14ac:dyDescent="0.25">
      <c r="A26" t="s">
        <v>218</v>
      </c>
      <c r="B26" t="s">
        <v>219</v>
      </c>
      <c r="C26" s="3" t="s">
        <v>127</v>
      </c>
      <c r="O26" s="2"/>
      <c r="P26" t="s">
        <v>129</v>
      </c>
      <c r="Q26" s="1"/>
      <c r="S26" s="1" t="s">
        <v>130</v>
      </c>
      <c r="T26" s="14" t="s">
        <v>554</v>
      </c>
      <c r="U26" s="15">
        <v>25</v>
      </c>
      <c r="V26" s="15" t="s">
        <v>333</v>
      </c>
      <c r="W26" s="15"/>
      <c r="AC26" t="s">
        <v>264</v>
      </c>
      <c r="AD26" t="s">
        <v>240</v>
      </c>
      <c r="AE26" t="s">
        <v>242</v>
      </c>
      <c r="AF26" t="s">
        <v>268</v>
      </c>
      <c r="AG26" t="s">
        <v>248</v>
      </c>
      <c r="AH26" t="s">
        <v>255</v>
      </c>
      <c r="AI26" t="s">
        <v>220</v>
      </c>
      <c r="AL26" t="s">
        <v>137</v>
      </c>
      <c r="AM26" t="s">
        <v>138</v>
      </c>
      <c r="AP26" t="s">
        <v>139</v>
      </c>
      <c r="AQ26" t="s">
        <v>140</v>
      </c>
      <c r="AZ26" s="16"/>
      <c r="BA26" t="str">
        <f t="shared" si="0"/>
        <v>XT25</v>
      </c>
      <c r="BB26" t="str">
        <f t="shared" si="1"/>
        <v>C26</v>
      </c>
      <c r="BC26" t="str">
        <f t="shared" si="2"/>
        <v>B26</v>
      </c>
      <c r="BD26" t="str">
        <f t="shared" si="3"/>
        <v>C27</v>
      </c>
      <c r="BE26" t="str">
        <f t="shared" si="4"/>
        <v>B27</v>
      </c>
      <c r="BF26" t="str">
        <f t="shared" si="5"/>
        <v>C28</v>
      </c>
      <c r="BG26" t="str">
        <f t="shared" si="6"/>
        <v>B28</v>
      </c>
      <c r="BH26" t="str">
        <f t="shared" si="7"/>
        <v>C29</v>
      </c>
      <c r="BI26" t="str">
        <f t="shared" si="8"/>
        <v>B29</v>
      </c>
      <c r="BJ26" t="str">
        <f t="shared" si="9"/>
        <v>C30</v>
      </c>
      <c r="BK26" t="str">
        <f t="shared" si="10"/>
        <v>B30</v>
      </c>
      <c r="BL26" t="str">
        <f t="shared" si="11"/>
        <v>14B</v>
      </c>
      <c r="BM26" t="str">
        <f t="shared" si="12"/>
        <v>14A</v>
      </c>
      <c r="BN26" t="str">
        <f t="shared" si="18"/>
        <v>15B</v>
      </c>
      <c r="BO26" t="str">
        <f t="shared" si="19"/>
        <v>15A</v>
      </c>
      <c r="BP26" t="str">
        <f t="shared" si="13"/>
        <v>DI5-C25</v>
      </c>
      <c r="BQ26" t="str">
        <f t="shared" si="13"/>
        <v>DI5-B25</v>
      </c>
      <c r="BR26" t="str">
        <f t="shared" si="42"/>
        <v>DI5-C26</v>
      </c>
      <c r="BS26" t="str">
        <f t="shared" si="42"/>
        <v>DI5-B26</v>
      </c>
      <c r="BT26" t="str">
        <f t="shared" si="42"/>
        <v>DI5-C27</v>
      </c>
      <c r="BU26" t="str">
        <f t="shared" si="42"/>
        <v>DI5-B27</v>
      </c>
      <c r="BV26" t="str">
        <f t="shared" si="42"/>
        <v>DI5-C28</v>
      </c>
      <c r="BW26" t="str">
        <f t="shared" si="42"/>
        <v>DI5-B28</v>
      </c>
      <c r="BX26" t="str">
        <f t="shared" si="42"/>
        <v>DI5-C29</v>
      </c>
      <c r="BY26" t="str">
        <f t="shared" si="42"/>
        <v>DI5-B29</v>
      </c>
      <c r="BZ26" t="str">
        <f t="shared" si="42"/>
        <v>DI5-C30</v>
      </c>
      <c r="CA26" t="str">
        <f t="shared" si="42"/>
        <v>DI5-B30</v>
      </c>
      <c r="CB26" t="str">
        <f t="shared" si="15"/>
        <v>DO3-13B</v>
      </c>
      <c r="CC26" t="str">
        <f t="shared" si="15"/>
        <v>DO3-13A</v>
      </c>
      <c r="CD26" t="str">
        <f t="shared" si="16"/>
        <v>DO3-14B</v>
      </c>
      <c r="CE26" t="str">
        <f t="shared" si="16"/>
        <v>DO3-14A</v>
      </c>
      <c r="CF26" t="str">
        <f t="shared" si="16"/>
        <v>DO3-15B</v>
      </c>
      <c r="CG26" t="str">
        <f t="shared" si="16"/>
        <v>DO3-15A</v>
      </c>
      <c r="CH26" t="str">
        <f t="shared" si="20"/>
        <v>K25-10</v>
      </c>
      <c r="CI26" t="str">
        <f t="shared" si="21"/>
        <v>K25-03</v>
      </c>
      <c r="CJ26" t="str">
        <f t="shared" si="22"/>
        <v>K25-04</v>
      </c>
      <c r="CK26" t="str">
        <f t="shared" si="23"/>
        <v>K25-01</v>
      </c>
      <c r="CL26" t="str">
        <f t="shared" si="24"/>
        <v>K25-08</v>
      </c>
      <c r="CM26" t="str">
        <f t="shared" si="25"/>
        <v>K25-02</v>
      </c>
      <c r="CN26" t="str">
        <f t="shared" si="26"/>
        <v>K25-09</v>
      </c>
      <c r="CO26" t="str">
        <f t="shared" si="27"/>
        <v>K25-05</v>
      </c>
      <c r="CP26" t="str">
        <f t="shared" si="28"/>
        <v>K25-11</v>
      </c>
      <c r="CQ26" t="str">
        <f t="shared" si="29"/>
        <v>F0-M25-A9</v>
      </c>
      <c r="CR26" t="str">
        <f t="shared" si="30"/>
        <v>F0-M25-A7</v>
      </c>
      <c r="CS26" t="str">
        <f t="shared" si="31"/>
        <v>F0-M25-A8</v>
      </c>
      <c r="CT26" t="str">
        <f t="shared" si="32"/>
        <v>F0-M25-A6</v>
      </c>
      <c r="CU26" t="str">
        <f t="shared" si="33"/>
        <v>F0-M25-A30</v>
      </c>
      <c r="CV26" t="str">
        <f t="shared" si="34"/>
        <v>F0-M25-N</v>
      </c>
      <c r="CW26" t="str">
        <f t="shared" si="17"/>
        <v>F0-A220-M25</v>
      </c>
      <c r="CX26" t="str">
        <f t="shared" si="35"/>
        <v>F0-M25-XM01</v>
      </c>
      <c r="CY26" t="str">
        <f t="shared" si="36"/>
        <v>F0-M25-A1</v>
      </c>
      <c r="CZ26" t="str">
        <f t="shared" si="37"/>
        <v>F0-M25-A5</v>
      </c>
      <c r="DA26" t="str">
        <f t="shared" si="38"/>
        <v>F0-M25-A11</v>
      </c>
      <c r="DB26" t="str">
        <f t="shared" si="39"/>
        <v>F0-M25-A12</v>
      </c>
      <c r="DC26" t="str">
        <f t="shared" si="40"/>
        <v>F0-M25-A19</v>
      </c>
      <c r="DD26" t="str">
        <f t="shared" si="41"/>
        <v>F0-M25-A20</v>
      </c>
      <c r="DE26" t="s">
        <v>142</v>
      </c>
      <c r="DF26" t="s">
        <v>143</v>
      </c>
      <c r="DG26">
        <v>11</v>
      </c>
      <c r="DH26">
        <v>14</v>
      </c>
      <c r="DI26">
        <v>12</v>
      </c>
      <c r="DJ26" t="s">
        <v>144</v>
      </c>
      <c r="DK26" t="s">
        <v>145</v>
      </c>
      <c r="DL26">
        <v>1</v>
      </c>
      <c r="DM26">
        <v>2</v>
      </c>
      <c r="DN26">
        <v>3</v>
      </c>
      <c r="DO26">
        <v>4</v>
      </c>
      <c r="DP26">
        <v>5</v>
      </c>
      <c r="DQ26">
        <v>6</v>
      </c>
      <c r="DR26">
        <v>7</v>
      </c>
      <c r="DS26">
        <v>8</v>
      </c>
      <c r="DT26">
        <v>9</v>
      </c>
      <c r="DU26">
        <v>10</v>
      </c>
      <c r="DV26">
        <v>11</v>
      </c>
      <c r="DW26">
        <v>12</v>
      </c>
      <c r="DX26">
        <v>13</v>
      </c>
      <c r="DY26">
        <v>14</v>
      </c>
      <c r="DZ26">
        <v>1</v>
      </c>
      <c r="EA26">
        <v>3</v>
      </c>
      <c r="EB26">
        <v>4</v>
      </c>
      <c r="EC26">
        <v>7</v>
      </c>
      <c r="ED26">
        <v>8</v>
      </c>
      <c r="EE26">
        <v>9</v>
      </c>
      <c r="EF26">
        <v>10</v>
      </c>
      <c r="EG26">
        <v>13</v>
      </c>
      <c r="EH26">
        <v>14</v>
      </c>
      <c r="EI26">
        <v>15</v>
      </c>
      <c r="EJ26">
        <v>16</v>
      </c>
      <c r="EK26">
        <v>22</v>
      </c>
      <c r="EL26">
        <v>23</v>
      </c>
      <c r="EM26" s="16">
        <v>24</v>
      </c>
    </row>
    <row r="27" spans="1:143" x14ac:dyDescent="0.25">
      <c r="A27" t="s">
        <v>221</v>
      </c>
      <c r="B27" t="s">
        <v>222</v>
      </c>
      <c r="C27" s="3" t="s">
        <v>127</v>
      </c>
      <c r="O27" s="2"/>
      <c r="P27" t="s">
        <v>129</v>
      </c>
      <c r="Q27" s="1"/>
      <c r="S27" s="1" t="s">
        <v>130</v>
      </c>
      <c r="T27" s="14" t="s">
        <v>554</v>
      </c>
      <c r="U27" s="15">
        <v>26</v>
      </c>
      <c r="V27" s="15" t="s">
        <v>334</v>
      </c>
      <c r="W27" s="15"/>
      <c r="AC27" t="s">
        <v>265</v>
      </c>
      <c r="AD27" t="s">
        <v>133</v>
      </c>
      <c r="AE27" t="s">
        <v>134</v>
      </c>
      <c r="AF27" t="s">
        <v>268</v>
      </c>
      <c r="AG27" t="s">
        <v>249</v>
      </c>
      <c r="AH27" t="s">
        <v>256</v>
      </c>
      <c r="AI27" t="s">
        <v>223</v>
      </c>
      <c r="AL27" t="s">
        <v>137</v>
      </c>
      <c r="AM27" t="s">
        <v>138</v>
      </c>
      <c r="AP27" t="s">
        <v>139</v>
      </c>
      <c r="AQ27" t="s">
        <v>140</v>
      </c>
      <c r="AZ27" s="16"/>
      <c r="BA27" t="str">
        <f t="shared" si="0"/>
        <v>XT26</v>
      </c>
      <c r="BB27" t="str">
        <f t="shared" si="1"/>
        <v>C2</v>
      </c>
      <c r="BC27" t="str">
        <f t="shared" si="2"/>
        <v>B2</v>
      </c>
      <c r="BD27" t="str">
        <f t="shared" si="3"/>
        <v>C3</v>
      </c>
      <c r="BE27" t="str">
        <f t="shared" si="4"/>
        <v>B3</v>
      </c>
      <c r="BF27" t="str">
        <f t="shared" si="5"/>
        <v>C4</v>
      </c>
      <c r="BG27" t="str">
        <f t="shared" si="6"/>
        <v>B4</v>
      </c>
      <c r="BH27" t="str">
        <f t="shared" si="7"/>
        <v>C5</v>
      </c>
      <c r="BI27" t="str">
        <f t="shared" si="8"/>
        <v>B5</v>
      </c>
      <c r="BJ27" t="str">
        <f t="shared" si="9"/>
        <v>C6</v>
      </c>
      <c r="BK27" t="str">
        <f t="shared" si="10"/>
        <v>B6</v>
      </c>
      <c r="BL27" t="str">
        <f t="shared" si="11"/>
        <v>17B</v>
      </c>
      <c r="BM27" t="str">
        <f t="shared" si="12"/>
        <v>17A</v>
      </c>
      <c r="BN27" t="str">
        <f t="shared" si="18"/>
        <v>18B</v>
      </c>
      <c r="BO27" t="str">
        <f t="shared" si="19"/>
        <v>18A</v>
      </c>
      <c r="BP27" t="str">
        <f t="shared" si="13"/>
        <v>DI6-C1</v>
      </c>
      <c r="BQ27" t="str">
        <f t="shared" si="13"/>
        <v>DI6-B1</v>
      </c>
      <c r="BR27" t="str">
        <f t="shared" si="42"/>
        <v>DI6-C2</v>
      </c>
      <c r="BS27" t="str">
        <f t="shared" si="42"/>
        <v>DI6-B2</v>
      </c>
      <c r="BT27" t="str">
        <f t="shared" si="42"/>
        <v>DI6-C3</v>
      </c>
      <c r="BU27" t="str">
        <f t="shared" si="42"/>
        <v>DI6-B3</v>
      </c>
      <c r="BV27" t="str">
        <f t="shared" si="42"/>
        <v>DI6-C4</v>
      </c>
      <c r="BW27" t="str">
        <f t="shared" si="42"/>
        <v>DI6-B4</v>
      </c>
      <c r="BX27" t="str">
        <f t="shared" si="42"/>
        <v>DI6-C5</v>
      </c>
      <c r="BY27" t="str">
        <f t="shared" si="42"/>
        <v>DI6-B5</v>
      </c>
      <c r="BZ27" t="str">
        <f t="shared" si="42"/>
        <v>DI6-C6</v>
      </c>
      <c r="CA27" t="str">
        <f t="shared" si="42"/>
        <v>DI6-B6</v>
      </c>
      <c r="CB27" t="str">
        <f t="shared" si="15"/>
        <v>DO3-16B</v>
      </c>
      <c r="CC27" t="str">
        <f t="shared" si="15"/>
        <v>DO3-16A</v>
      </c>
      <c r="CD27" t="str">
        <f t="shared" si="16"/>
        <v>DO3-17B</v>
      </c>
      <c r="CE27" t="str">
        <f t="shared" si="16"/>
        <v>DO3-17A</v>
      </c>
      <c r="CF27" t="str">
        <f t="shared" si="16"/>
        <v>DO3-18B</v>
      </c>
      <c r="CG27" t="str">
        <f t="shared" si="16"/>
        <v>DO3-18A</v>
      </c>
      <c r="CH27" t="str">
        <f t="shared" si="20"/>
        <v>K26-10</v>
      </c>
      <c r="CI27" t="str">
        <f t="shared" si="21"/>
        <v>K26-03</v>
      </c>
      <c r="CJ27" t="str">
        <f t="shared" si="22"/>
        <v>K26-04</v>
      </c>
      <c r="CK27" t="str">
        <f t="shared" si="23"/>
        <v>K26-01</v>
      </c>
      <c r="CL27" t="str">
        <f t="shared" si="24"/>
        <v>K26-08</v>
      </c>
      <c r="CM27" t="str">
        <f t="shared" si="25"/>
        <v>K26-02</v>
      </c>
      <c r="CN27" t="str">
        <f t="shared" si="26"/>
        <v>K26-09</v>
      </c>
      <c r="CO27" t="str">
        <f t="shared" si="27"/>
        <v>K26-05</v>
      </c>
      <c r="CP27" t="str">
        <f t="shared" si="28"/>
        <v>K26-11</v>
      </c>
      <c r="CQ27" t="str">
        <f t="shared" si="29"/>
        <v>F0-M26-A9</v>
      </c>
      <c r="CR27" t="str">
        <f t="shared" si="30"/>
        <v>F0-M26-A7</v>
      </c>
      <c r="CS27" t="str">
        <f t="shared" si="31"/>
        <v>F0-M26-A8</v>
      </c>
      <c r="CT27" t="str">
        <f t="shared" si="32"/>
        <v>F0-M26-A6</v>
      </c>
      <c r="CU27" t="str">
        <f t="shared" si="33"/>
        <v>F0-M26-A30</v>
      </c>
      <c r="CV27" t="str">
        <f t="shared" si="34"/>
        <v>F0-M26-N</v>
      </c>
      <c r="CW27" t="str">
        <f t="shared" si="17"/>
        <v>F0-A220-M26</v>
      </c>
      <c r="CX27" t="str">
        <f t="shared" si="35"/>
        <v>F0-M26-XM01</v>
      </c>
      <c r="CY27" t="str">
        <f t="shared" si="36"/>
        <v>F0-M26-A1</v>
      </c>
      <c r="CZ27" t="str">
        <f t="shared" si="37"/>
        <v>F0-M26-A5</v>
      </c>
      <c r="DA27" t="str">
        <f t="shared" si="38"/>
        <v>F0-M26-A11</v>
      </c>
      <c r="DB27" t="str">
        <f t="shared" si="39"/>
        <v>F0-M26-A12</v>
      </c>
      <c r="DC27" t="str">
        <f t="shared" si="40"/>
        <v>F0-M26-A19</v>
      </c>
      <c r="DD27" t="str">
        <f t="shared" si="41"/>
        <v>F0-M26-A20</v>
      </c>
      <c r="DE27" t="s">
        <v>142</v>
      </c>
      <c r="DF27" t="s">
        <v>143</v>
      </c>
      <c r="DG27">
        <v>11</v>
      </c>
      <c r="DH27">
        <v>14</v>
      </c>
      <c r="DI27">
        <v>12</v>
      </c>
      <c r="DJ27" t="s">
        <v>144</v>
      </c>
      <c r="DK27" t="s">
        <v>145</v>
      </c>
      <c r="DL27">
        <v>1</v>
      </c>
      <c r="DM27">
        <v>2</v>
      </c>
      <c r="DN27">
        <v>3</v>
      </c>
      <c r="DO27">
        <v>4</v>
      </c>
      <c r="DP27">
        <v>5</v>
      </c>
      <c r="DQ27">
        <v>6</v>
      </c>
      <c r="DR27">
        <v>7</v>
      </c>
      <c r="DS27">
        <v>8</v>
      </c>
      <c r="DT27">
        <v>9</v>
      </c>
      <c r="DU27">
        <v>10</v>
      </c>
      <c r="DV27">
        <v>11</v>
      </c>
      <c r="DW27">
        <v>12</v>
      </c>
      <c r="DX27">
        <v>13</v>
      </c>
      <c r="DY27">
        <v>14</v>
      </c>
      <c r="DZ27">
        <v>1</v>
      </c>
      <c r="EA27">
        <v>3</v>
      </c>
      <c r="EB27">
        <v>4</v>
      </c>
      <c r="EC27">
        <v>7</v>
      </c>
      <c r="ED27">
        <v>8</v>
      </c>
      <c r="EE27">
        <v>9</v>
      </c>
      <c r="EF27">
        <v>10</v>
      </c>
      <c r="EG27">
        <v>13</v>
      </c>
      <c r="EH27">
        <v>14</v>
      </c>
      <c r="EI27">
        <v>15</v>
      </c>
      <c r="EJ27">
        <v>16</v>
      </c>
      <c r="EK27">
        <v>22</v>
      </c>
      <c r="EL27">
        <v>23</v>
      </c>
      <c r="EM27" s="16">
        <v>24</v>
      </c>
    </row>
    <row r="28" spans="1:143" x14ac:dyDescent="0.25">
      <c r="A28" t="s">
        <v>224</v>
      </c>
      <c r="B28" t="s">
        <v>225</v>
      </c>
      <c r="C28" s="3" t="s">
        <v>127</v>
      </c>
      <c r="O28" s="2"/>
      <c r="P28" t="s">
        <v>129</v>
      </c>
      <c r="Q28" s="1"/>
      <c r="S28" s="1" t="s">
        <v>130</v>
      </c>
      <c r="T28" s="14" t="s">
        <v>554</v>
      </c>
      <c r="U28" s="15">
        <v>27</v>
      </c>
      <c r="V28" s="15" t="s">
        <v>335</v>
      </c>
      <c r="W28" s="15"/>
      <c r="AC28" t="s">
        <v>265</v>
      </c>
      <c r="AD28" t="s">
        <v>148</v>
      </c>
      <c r="AE28" t="s">
        <v>149</v>
      </c>
      <c r="AF28" t="s">
        <v>268</v>
      </c>
      <c r="AG28" t="s">
        <v>250</v>
      </c>
      <c r="AH28" t="s">
        <v>257</v>
      </c>
      <c r="AI28" t="s">
        <v>226</v>
      </c>
      <c r="AL28" t="s">
        <v>137</v>
      </c>
      <c r="AM28" t="s">
        <v>138</v>
      </c>
      <c r="AP28" t="s">
        <v>139</v>
      </c>
      <c r="AQ28" t="s">
        <v>140</v>
      </c>
      <c r="AZ28" s="16"/>
      <c r="BA28" t="str">
        <f t="shared" si="0"/>
        <v>XT27</v>
      </c>
      <c r="BB28" t="str">
        <f t="shared" si="1"/>
        <v>C8</v>
      </c>
      <c r="BC28" t="str">
        <f t="shared" si="2"/>
        <v>B8</v>
      </c>
      <c r="BD28" t="str">
        <f t="shared" si="3"/>
        <v>C9</v>
      </c>
      <c r="BE28" t="str">
        <f t="shared" si="4"/>
        <v>B9</v>
      </c>
      <c r="BF28" t="str">
        <f t="shared" si="5"/>
        <v>C10</v>
      </c>
      <c r="BG28" t="str">
        <f t="shared" si="6"/>
        <v>B10</v>
      </c>
      <c r="BH28" t="str">
        <f t="shared" si="7"/>
        <v>C11</v>
      </c>
      <c r="BI28" t="str">
        <f t="shared" si="8"/>
        <v>B11</v>
      </c>
      <c r="BJ28" t="str">
        <f t="shared" si="9"/>
        <v>C12</v>
      </c>
      <c r="BK28" t="str">
        <f t="shared" si="10"/>
        <v>B12</v>
      </c>
      <c r="BL28" t="str">
        <f t="shared" si="11"/>
        <v>20B</v>
      </c>
      <c r="BM28" t="str">
        <f t="shared" si="12"/>
        <v>20A</v>
      </c>
      <c r="BN28" t="str">
        <f t="shared" si="18"/>
        <v>21B</v>
      </c>
      <c r="BO28" t="str">
        <f t="shared" si="19"/>
        <v>21A</v>
      </c>
      <c r="BP28" t="str">
        <f t="shared" si="13"/>
        <v>DI6-C7</v>
      </c>
      <c r="BQ28" t="str">
        <f t="shared" si="13"/>
        <v>DI6-B7</v>
      </c>
      <c r="BR28" t="str">
        <f t="shared" si="42"/>
        <v>DI6-C8</v>
      </c>
      <c r="BS28" t="str">
        <f t="shared" si="42"/>
        <v>DI6-B8</v>
      </c>
      <c r="BT28" t="str">
        <f t="shared" si="42"/>
        <v>DI6-C9</v>
      </c>
      <c r="BU28" t="str">
        <f t="shared" si="42"/>
        <v>DI6-B9</v>
      </c>
      <c r="BV28" t="str">
        <f t="shared" si="42"/>
        <v>DI6-C10</v>
      </c>
      <c r="BW28" t="str">
        <f t="shared" si="42"/>
        <v>DI6-B10</v>
      </c>
      <c r="BX28" t="str">
        <f t="shared" si="42"/>
        <v>DI6-C11</v>
      </c>
      <c r="BY28" t="str">
        <f t="shared" si="42"/>
        <v>DI6-B11</v>
      </c>
      <c r="BZ28" t="str">
        <f t="shared" si="42"/>
        <v>DI6-C12</v>
      </c>
      <c r="CA28" t="str">
        <f t="shared" si="42"/>
        <v>DI6-B12</v>
      </c>
      <c r="CB28" t="str">
        <f t="shared" si="15"/>
        <v>DO3-19B</v>
      </c>
      <c r="CC28" t="str">
        <f t="shared" si="15"/>
        <v>DO3-19A</v>
      </c>
      <c r="CD28" t="str">
        <f t="shared" si="16"/>
        <v>DO3-20B</v>
      </c>
      <c r="CE28" t="str">
        <f t="shared" si="16"/>
        <v>DO3-20A</v>
      </c>
      <c r="CF28" t="str">
        <f t="shared" si="16"/>
        <v>DO3-21B</v>
      </c>
      <c r="CG28" t="str">
        <f t="shared" si="16"/>
        <v>DO3-21A</v>
      </c>
      <c r="CH28" t="str">
        <f t="shared" si="20"/>
        <v>K27-10</v>
      </c>
      <c r="CI28" t="str">
        <f t="shared" si="21"/>
        <v>K27-03</v>
      </c>
      <c r="CJ28" t="str">
        <f t="shared" si="22"/>
        <v>K27-04</v>
      </c>
      <c r="CK28" t="str">
        <f t="shared" si="23"/>
        <v>K27-01</v>
      </c>
      <c r="CL28" t="str">
        <f t="shared" si="24"/>
        <v>K27-08</v>
      </c>
      <c r="CM28" t="str">
        <f t="shared" si="25"/>
        <v>K27-02</v>
      </c>
      <c r="CN28" t="str">
        <f t="shared" si="26"/>
        <v>K27-09</v>
      </c>
      <c r="CO28" t="str">
        <f t="shared" si="27"/>
        <v>K27-05</v>
      </c>
      <c r="CP28" t="str">
        <f t="shared" si="28"/>
        <v>K27-11</v>
      </c>
      <c r="CQ28" t="str">
        <f t="shared" si="29"/>
        <v>F0-M27-A9</v>
      </c>
      <c r="CR28" t="str">
        <f t="shared" si="30"/>
        <v>F0-M27-A7</v>
      </c>
      <c r="CS28" t="str">
        <f t="shared" si="31"/>
        <v>F0-M27-A8</v>
      </c>
      <c r="CT28" t="str">
        <f t="shared" si="32"/>
        <v>F0-M27-A6</v>
      </c>
      <c r="CU28" t="str">
        <f t="shared" si="33"/>
        <v>F0-M27-A30</v>
      </c>
      <c r="CV28" t="str">
        <f t="shared" si="34"/>
        <v>F0-M27-N</v>
      </c>
      <c r="CW28" t="str">
        <f t="shared" si="17"/>
        <v>F0-A220-M27</v>
      </c>
      <c r="CX28" t="str">
        <f t="shared" si="35"/>
        <v>F0-M27-XM01</v>
      </c>
      <c r="CY28" t="str">
        <f t="shared" si="36"/>
        <v>F0-M27-A1</v>
      </c>
      <c r="CZ28" t="str">
        <f t="shared" si="37"/>
        <v>F0-M27-A5</v>
      </c>
      <c r="DA28" t="str">
        <f t="shared" si="38"/>
        <v>F0-M27-A11</v>
      </c>
      <c r="DB28" t="str">
        <f t="shared" si="39"/>
        <v>F0-M27-A12</v>
      </c>
      <c r="DC28" t="str">
        <f t="shared" si="40"/>
        <v>F0-M27-A19</v>
      </c>
      <c r="DD28" t="str">
        <f t="shared" si="41"/>
        <v>F0-M27-A20</v>
      </c>
      <c r="DE28" t="s">
        <v>142</v>
      </c>
      <c r="DF28" t="s">
        <v>143</v>
      </c>
      <c r="DG28">
        <v>11</v>
      </c>
      <c r="DH28">
        <v>14</v>
      </c>
      <c r="DI28">
        <v>12</v>
      </c>
      <c r="DJ28" t="s">
        <v>144</v>
      </c>
      <c r="DK28" t="s">
        <v>145</v>
      </c>
      <c r="DL28">
        <v>1</v>
      </c>
      <c r="DM28">
        <v>2</v>
      </c>
      <c r="DN28">
        <v>3</v>
      </c>
      <c r="DO28">
        <v>4</v>
      </c>
      <c r="DP28">
        <v>5</v>
      </c>
      <c r="DQ28">
        <v>6</v>
      </c>
      <c r="DR28">
        <v>7</v>
      </c>
      <c r="DS28">
        <v>8</v>
      </c>
      <c r="DT28">
        <v>9</v>
      </c>
      <c r="DU28">
        <v>10</v>
      </c>
      <c r="DV28">
        <v>11</v>
      </c>
      <c r="DW28">
        <v>12</v>
      </c>
      <c r="DX28">
        <v>13</v>
      </c>
      <c r="DY28">
        <v>14</v>
      </c>
      <c r="DZ28">
        <v>1</v>
      </c>
      <c r="EA28">
        <v>3</v>
      </c>
      <c r="EB28">
        <v>4</v>
      </c>
      <c r="EC28">
        <v>7</v>
      </c>
      <c r="ED28">
        <v>8</v>
      </c>
      <c r="EE28">
        <v>9</v>
      </c>
      <c r="EF28">
        <v>10</v>
      </c>
      <c r="EG28">
        <v>13</v>
      </c>
      <c r="EH28">
        <v>14</v>
      </c>
      <c r="EI28">
        <v>15</v>
      </c>
      <c r="EJ28">
        <v>16</v>
      </c>
      <c r="EK28">
        <v>22</v>
      </c>
      <c r="EL28">
        <v>23</v>
      </c>
      <c r="EM28" s="16">
        <v>24</v>
      </c>
    </row>
    <row r="29" spans="1:143" x14ac:dyDescent="0.25">
      <c r="A29" t="s">
        <v>227</v>
      </c>
      <c r="B29" t="s">
        <v>228</v>
      </c>
      <c r="C29" s="3" t="s">
        <v>127</v>
      </c>
      <c r="O29" s="2"/>
      <c r="P29" t="s">
        <v>129</v>
      </c>
      <c r="Q29" s="1"/>
      <c r="S29" s="1" t="s">
        <v>130</v>
      </c>
      <c r="T29" s="14" t="s">
        <v>554</v>
      </c>
      <c r="U29" s="15">
        <v>28</v>
      </c>
      <c r="V29" s="15" t="s">
        <v>336</v>
      </c>
      <c r="W29" s="15"/>
      <c r="AC29" t="s">
        <v>265</v>
      </c>
      <c r="AD29" t="s">
        <v>153</v>
      </c>
      <c r="AE29" t="s">
        <v>154</v>
      </c>
      <c r="AF29" t="s">
        <v>268</v>
      </c>
      <c r="AG29" t="s">
        <v>251</v>
      </c>
      <c r="AH29" t="s">
        <v>258</v>
      </c>
      <c r="AI29" t="s">
        <v>229</v>
      </c>
      <c r="AL29" t="s">
        <v>137</v>
      </c>
      <c r="AM29" t="s">
        <v>138</v>
      </c>
      <c r="AP29" t="s">
        <v>139</v>
      </c>
      <c r="AQ29" t="s">
        <v>140</v>
      </c>
      <c r="AZ29" s="16"/>
      <c r="BA29" t="str">
        <f t="shared" si="0"/>
        <v>XT28</v>
      </c>
      <c r="BB29" t="str">
        <f t="shared" si="1"/>
        <v>C14</v>
      </c>
      <c r="BC29" t="str">
        <f t="shared" si="2"/>
        <v>B14</v>
      </c>
      <c r="BD29" t="str">
        <f t="shared" si="3"/>
        <v>C15</v>
      </c>
      <c r="BE29" t="str">
        <f t="shared" si="4"/>
        <v>B15</v>
      </c>
      <c r="BF29" t="str">
        <f t="shared" si="5"/>
        <v>C16</v>
      </c>
      <c r="BG29" t="str">
        <f t="shared" si="6"/>
        <v>B16</v>
      </c>
      <c r="BH29" t="str">
        <f t="shared" si="7"/>
        <v>C17</v>
      </c>
      <c r="BI29" t="str">
        <f t="shared" si="8"/>
        <v>B17</v>
      </c>
      <c r="BJ29" t="str">
        <f t="shared" si="9"/>
        <v>C18</v>
      </c>
      <c r="BK29" t="str">
        <f t="shared" si="10"/>
        <v>B18</v>
      </c>
      <c r="BL29" t="str">
        <f t="shared" si="11"/>
        <v>23B</v>
      </c>
      <c r="BM29" t="str">
        <f t="shared" si="12"/>
        <v>23A</v>
      </c>
      <c r="BN29" t="str">
        <f t="shared" si="18"/>
        <v>24B</v>
      </c>
      <c r="BO29" t="str">
        <f t="shared" si="19"/>
        <v>24A</v>
      </c>
      <c r="BP29" t="str">
        <f t="shared" si="13"/>
        <v>DI6-C13</v>
      </c>
      <c r="BQ29" t="str">
        <f t="shared" si="13"/>
        <v>DI6-B13</v>
      </c>
      <c r="BR29" t="str">
        <f t="shared" si="42"/>
        <v>DI6-C14</v>
      </c>
      <c r="BS29" t="str">
        <f t="shared" si="42"/>
        <v>DI6-B14</v>
      </c>
      <c r="BT29" t="str">
        <f t="shared" si="42"/>
        <v>DI6-C15</v>
      </c>
      <c r="BU29" t="str">
        <f t="shared" si="42"/>
        <v>DI6-B15</v>
      </c>
      <c r="BV29" t="str">
        <f t="shared" si="42"/>
        <v>DI6-C16</v>
      </c>
      <c r="BW29" t="str">
        <f t="shared" si="42"/>
        <v>DI6-B16</v>
      </c>
      <c r="BX29" t="str">
        <f t="shared" si="42"/>
        <v>DI6-C17</v>
      </c>
      <c r="BY29" t="str">
        <f t="shared" si="42"/>
        <v>DI6-B17</v>
      </c>
      <c r="BZ29" t="str">
        <f t="shared" si="42"/>
        <v>DI6-C18</v>
      </c>
      <c r="CA29" t="str">
        <f t="shared" si="42"/>
        <v>DI6-B18</v>
      </c>
      <c r="CB29" t="str">
        <f t="shared" si="15"/>
        <v>DO3-22B</v>
      </c>
      <c r="CC29" t="str">
        <f t="shared" si="15"/>
        <v>DO3-22A</v>
      </c>
      <c r="CD29" t="str">
        <f t="shared" si="16"/>
        <v>DO3-23B</v>
      </c>
      <c r="CE29" t="str">
        <f t="shared" si="16"/>
        <v>DO3-23A</v>
      </c>
      <c r="CF29" t="str">
        <f t="shared" si="16"/>
        <v>DO3-24B</v>
      </c>
      <c r="CG29" t="str">
        <f t="shared" si="16"/>
        <v>DO3-24A</v>
      </c>
      <c r="CH29" t="str">
        <f t="shared" si="20"/>
        <v>K28-10</v>
      </c>
      <c r="CI29" t="str">
        <f t="shared" si="21"/>
        <v>K28-03</v>
      </c>
      <c r="CJ29" t="str">
        <f t="shared" si="22"/>
        <v>K28-04</v>
      </c>
      <c r="CK29" t="str">
        <f t="shared" si="23"/>
        <v>K28-01</v>
      </c>
      <c r="CL29" t="str">
        <f t="shared" si="24"/>
        <v>K28-08</v>
      </c>
      <c r="CM29" t="str">
        <f t="shared" si="25"/>
        <v>K28-02</v>
      </c>
      <c r="CN29" t="str">
        <f t="shared" si="26"/>
        <v>K28-09</v>
      </c>
      <c r="CO29" t="str">
        <f t="shared" si="27"/>
        <v>K28-05</v>
      </c>
      <c r="CP29" t="str">
        <f t="shared" si="28"/>
        <v>K28-11</v>
      </c>
      <c r="CQ29" t="str">
        <f t="shared" si="29"/>
        <v>F0-M28-A9</v>
      </c>
      <c r="CR29" t="str">
        <f t="shared" si="30"/>
        <v>F0-M28-A7</v>
      </c>
      <c r="CS29" t="str">
        <f t="shared" si="31"/>
        <v>F0-M28-A8</v>
      </c>
      <c r="CT29" t="str">
        <f t="shared" si="32"/>
        <v>F0-M28-A6</v>
      </c>
      <c r="CU29" t="str">
        <f t="shared" si="33"/>
        <v>F0-M28-A30</v>
      </c>
      <c r="CV29" t="str">
        <f t="shared" si="34"/>
        <v>F0-M28-N</v>
      </c>
      <c r="CW29" t="str">
        <f t="shared" si="17"/>
        <v>F0-A220-M28</v>
      </c>
      <c r="CX29" t="str">
        <f t="shared" si="35"/>
        <v>F0-M28-XM01</v>
      </c>
      <c r="CY29" t="str">
        <f t="shared" si="36"/>
        <v>F0-M28-A1</v>
      </c>
      <c r="CZ29" t="str">
        <f t="shared" si="37"/>
        <v>F0-M28-A5</v>
      </c>
      <c r="DA29" t="str">
        <f t="shared" si="38"/>
        <v>F0-M28-A11</v>
      </c>
      <c r="DB29" t="str">
        <f t="shared" si="39"/>
        <v>F0-M28-A12</v>
      </c>
      <c r="DC29" t="str">
        <f t="shared" si="40"/>
        <v>F0-M28-A19</v>
      </c>
      <c r="DD29" t="str">
        <f t="shared" si="41"/>
        <v>F0-M28-A20</v>
      </c>
      <c r="DE29" t="s">
        <v>142</v>
      </c>
      <c r="DF29" t="s">
        <v>143</v>
      </c>
      <c r="DG29">
        <v>11</v>
      </c>
      <c r="DH29">
        <v>14</v>
      </c>
      <c r="DI29">
        <v>12</v>
      </c>
      <c r="DJ29" t="s">
        <v>144</v>
      </c>
      <c r="DK29" t="s">
        <v>145</v>
      </c>
      <c r="DL29">
        <v>1</v>
      </c>
      <c r="DM29">
        <v>2</v>
      </c>
      <c r="DN29">
        <v>3</v>
      </c>
      <c r="DO29">
        <v>4</v>
      </c>
      <c r="DP29">
        <v>5</v>
      </c>
      <c r="DQ29">
        <v>6</v>
      </c>
      <c r="DR29">
        <v>7</v>
      </c>
      <c r="DS29">
        <v>8</v>
      </c>
      <c r="DT29">
        <v>9</v>
      </c>
      <c r="DU29">
        <v>10</v>
      </c>
      <c r="DV29">
        <v>11</v>
      </c>
      <c r="DW29">
        <v>12</v>
      </c>
      <c r="DX29">
        <v>13</v>
      </c>
      <c r="DY29">
        <v>14</v>
      </c>
      <c r="DZ29">
        <v>1</v>
      </c>
      <c r="EA29">
        <v>3</v>
      </c>
      <c r="EB29">
        <v>4</v>
      </c>
      <c r="EC29">
        <v>7</v>
      </c>
      <c r="ED29">
        <v>8</v>
      </c>
      <c r="EE29">
        <v>9</v>
      </c>
      <c r="EF29">
        <v>10</v>
      </c>
      <c r="EG29">
        <v>13</v>
      </c>
      <c r="EH29">
        <v>14</v>
      </c>
      <c r="EI29">
        <v>15</v>
      </c>
      <c r="EJ29">
        <v>16</v>
      </c>
      <c r="EK29">
        <v>22</v>
      </c>
      <c r="EL29">
        <v>23</v>
      </c>
      <c r="EM29" s="16">
        <v>24</v>
      </c>
    </row>
    <row r="30" spans="1:143" x14ac:dyDescent="0.25">
      <c r="A30" t="s">
        <v>230</v>
      </c>
      <c r="B30" t="s">
        <v>231</v>
      </c>
      <c r="C30" s="3" t="s">
        <v>127</v>
      </c>
      <c r="O30" s="2"/>
      <c r="P30" t="s">
        <v>129</v>
      </c>
      <c r="Q30" s="1"/>
      <c r="S30" s="1" t="s">
        <v>130</v>
      </c>
      <c r="T30" s="14" t="s">
        <v>554</v>
      </c>
      <c r="U30" s="15">
        <v>29</v>
      </c>
      <c r="V30" s="15" t="s">
        <v>337</v>
      </c>
      <c r="W30" s="15"/>
      <c r="AC30" t="s">
        <v>265</v>
      </c>
      <c r="AD30" t="s">
        <v>239</v>
      </c>
      <c r="AE30" t="s">
        <v>241</v>
      </c>
      <c r="AF30" t="s">
        <v>268</v>
      </c>
      <c r="AG30" t="s">
        <v>252</v>
      </c>
      <c r="AH30" t="s">
        <v>259</v>
      </c>
      <c r="AI30" t="s">
        <v>232</v>
      </c>
      <c r="AL30" t="s">
        <v>137</v>
      </c>
      <c r="AM30" t="s">
        <v>138</v>
      </c>
      <c r="AP30" t="s">
        <v>139</v>
      </c>
      <c r="AQ30" t="s">
        <v>140</v>
      </c>
      <c r="AZ30" s="16"/>
      <c r="BA30" t="str">
        <f t="shared" si="0"/>
        <v>XT29</v>
      </c>
      <c r="BB30" t="str">
        <f t="shared" si="1"/>
        <v>C20</v>
      </c>
      <c r="BC30" t="str">
        <f t="shared" si="2"/>
        <v>B20</v>
      </c>
      <c r="BD30" t="str">
        <f t="shared" si="3"/>
        <v>C21</v>
      </c>
      <c r="BE30" t="str">
        <f t="shared" si="4"/>
        <v>B21</v>
      </c>
      <c r="BF30" t="str">
        <f t="shared" si="5"/>
        <v>C22</v>
      </c>
      <c r="BG30" t="str">
        <f t="shared" si="6"/>
        <v>B22</v>
      </c>
      <c r="BH30" t="str">
        <f t="shared" si="7"/>
        <v>C23</v>
      </c>
      <c r="BI30" t="str">
        <f t="shared" si="8"/>
        <v>B23</v>
      </c>
      <c r="BJ30" t="str">
        <f t="shared" si="9"/>
        <v>C24</v>
      </c>
      <c r="BK30" t="str">
        <f t="shared" si="10"/>
        <v>B24</v>
      </c>
      <c r="BL30" t="str">
        <f t="shared" si="11"/>
        <v>26B</v>
      </c>
      <c r="BM30" t="str">
        <f t="shared" si="12"/>
        <v>26A</v>
      </c>
      <c r="BN30" t="str">
        <f t="shared" si="18"/>
        <v>27B</v>
      </c>
      <c r="BO30" t="str">
        <f t="shared" si="19"/>
        <v>27A</v>
      </c>
      <c r="BP30" t="str">
        <f t="shared" si="13"/>
        <v>DI6-C19</v>
      </c>
      <c r="BQ30" t="str">
        <f t="shared" si="13"/>
        <v>DI6-B19</v>
      </c>
      <c r="BR30" t="str">
        <f t="shared" si="42"/>
        <v>DI6-C20</v>
      </c>
      <c r="BS30" t="str">
        <f t="shared" si="42"/>
        <v>DI6-B20</v>
      </c>
      <c r="BT30" t="str">
        <f t="shared" si="42"/>
        <v>DI6-C21</v>
      </c>
      <c r="BU30" t="str">
        <f t="shared" si="42"/>
        <v>DI6-B21</v>
      </c>
      <c r="BV30" t="str">
        <f t="shared" si="42"/>
        <v>DI6-C22</v>
      </c>
      <c r="BW30" t="str">
        <f t="shared" si="42"/>
        <v>DI6-B22</v>
      </c>
      <c r="BX30" t="str">
        <f t="shared" si="42"/>
        <v>DI6-C23</v>
      </c>
      <c r="BY30" t="str">
        <f t="shared" si="42"/>
        <v>DI6-B23</v>
      </c>
      <c r="BZ30" t="str">
        <f t="shared" si="42"/>
        <v>DI6-C24</v>
      </c>
      <c r="CA30" t="str">
        <f t="shared" si="42"/>
        <v>DI6-B24</v>
      </c>
      <c r="CB30" t="str">
        <f t="shared" si="15"/>
        <v>DO3-25B</v>
      </c>
      <c r="CC30" t="str">
        <f t="shared" si="15"/>
        <v>DO3-25A</v>
      </c>
      <c r="CD30" t="str">
        <f t="shared" si="16"/>
        <v>DO3-26B</v>
      </c>
      <c r="CE30" t="str">
        <f t="shared" si="16"/>
        <v>DO3-26A</v>
      </c>
      <c r="CF30" t="str">
        <f t="shared" si="16"/>
        <v>DO3-27B</v>
      </c>
      <c r="CG30" t="str">
        <f t="shared" si="16"/>
        <v>DO3-27A</v>
      </c>
      <c r="CH30" t="str">
        <f t="shared" si="20"/>
        <v>K29-10</v>
      </c>
      <c r="CI30" t="str">
        <f t="shared" si="21"/>
        <v>K29-03</v>
      </c>
      <c r="CJ30" t="str">
        <f t="shared" si="22"/>
        <v>K29-04</v>
      </c>
      <c r="CK30" t="str">
        <f t="shared" si="23"/>
        <v>K29-01</v>
      </c>
      <c r="CL30" t="str">
        <f t="shared" si="24"/>
        <v>K29-08</v>
      </c>
      <c r="CM30" t="str">
        <f t="shared" si="25"/>
        <v>K29-02</v>
      </c>
      <c r="CN30" t="str">
        <f t="shared" si="26"/>
        <v>K29-09</v>
      </c>
      <c r="CO30" t="str">
        <f t="shared" si="27"/>
        <v>K29-05</v>
      </c>
      <c r="CP30" t="str">
        <f t="shared" si="28"/>
        <v>K29-11</v>
      </c>
      <c r="CQ30" t="str">
        <f t="shared" si="29"/>
        <v>F0-M29-A9</v>
      </c>
      <c r="CR30" t="str">
        <f t="shared" si="30"/>
        <v>F0-M29-A7</v>
      </c>
      <c r="CS30" t="str">
        <f t="shared" si="31"/>
        <v>F0-M29-A8</v>
      </c>
      <c r="CT30" t="str">
        <f t="shared" si="32"/>
        <v>F0-M29-A6</v>
      </c>
      <c r="CU30" t="str">
        <f t="shared" si="33"/>
        <v>F0-M29-A30</v>
      </c>
      <c r="CV30" t="str">
        <f t="shared" si="34"/>
        <v>F0-M29-N</v>
      </c>
      <c r="CW30" t="str">
        <f t="shared" si="17"/>
        <v>F0-A220-M29</v>
      </c>
      <c r="CX30" t="str">
        <f t="shared" si="35"/>
        <v>F0-M29-XM01</v>
      </c>
      <c r="CY30" t="str">
        <f t="shared" si="36"/>
        <v>F0-M29-A1</v>
      </c>
      <c r="CZ30" t="str">
        <f t="shared" si="37"/>
        <v>F0-M29-A5</v>
      </c>
      <c r="DA30" t="str">
        <f t="shared" si="38"/>
        <v>F0-M29-A11</v>
      </c>
      <c r="DB30" t="str">
        <f t="shared" si="39"/>
        <v>F0-M29-A12</v>
      </c>
      <c r="DC30" t="str">
        <f t="shared" si="40"/>
        <v>F0-M29-A19</v>
      </c>
      <c r="DD30" t="str">
        <f t="shared" si="41"/>
        <v>F0-M29-A20</v>
      </c>
      <c r="DE30" t="s">
        <v>142</v>
      </c>
      <c r="DF30" t="s">
        <v>143</v>
      </c>
      <c r="DG30">
        <v>11</v>
      </c>
      <c r="DH30">
        <v>14</v>
      </c>
      <c r="DI30">
        <v>12</v>
      </c>
      <c r="DJ30" t="s">
        <v>144</v>
      </c>
      <c r="DK30" t="s">
        <v>145</v>
      </c>
      <c r="DL30">
        <v>1</v>
      </c>
      <c r="DM30">
        <v>2</v>
      </c>
      <c r="DN30">
        <v>3</v>
      </c>
      <c r="DO30">
        <v>4</v>
      </c>
      <c r="DP30">
        <v>5</v>
      </c>
      <c r="DQ30">
        <v>6</v>
      </c>
      <c r="DR30">
        <v>7</v>
      </c>
      <c r="DS30">
        <v>8</v>
      </c>
      <c r="DT30">
        <v>9</v>
      </c>
      <c r="DU30">
        <v>10</v>
      </c>
      <c r="DV30">
        <v>11</v>
      </c>
      <c r="DW30">
        <v>12</v>
      </c>
      <c r="DX30">
        <v>13</v>
      </c>
      <c r="DY30">
        <v>14</v>
      </c>
      <c r="DZ30">
        <v>1</v>
      </c>
      <c r="EA30">
        <v>3</v>
      </c>
      <c r="EB30">
        <v>4</v>
      </c>
      <c r="EC30">
        <v>7</v>
      </c>
      <c r="ED30">
        <v>8</v>
      </c>
      <c r="EE30">
        <v>9</v>
      </c>
      <c r="EF30">
        <v>10</v>
      </c>
      <c r="EG30">
        <v>13</v>
      </c>
      <c r="EH30">
        <v>14</v>
      </c>
      <c r="EI30">
        <v>15</v>
      </c>
      <c r="EJ30">
        <v>16</v>
      </c>
      <c r="EK30">
        <v>22</v>
      </c>
      <c r="EL30">
        <v>23</v>
      </c>
      <c r="EM30" s="16">
        <v>24</v>
      </c>
    </row>
    <row r="31" spans="1:143" x14ac:dyDescent="0.25">
      <c r="A31" t="s">
        <v>233</v>
      </c>
      <c r="B31" t="s">
        <v>234</v>
      </c>
      <c r="C31" s="3" t="s">
        <v>127</v>
      </c>
      <c r="O31" s="2"/>
      <c r="P31" t="s">
        <v>129</v>
      </c>
      <c r="Q31" s="1"/>
      <c r="S31" s="1" t="s">
        <v>130</v>
      </c>
      <c r="T31" s="14" t="s">
        <v>554</v>
      </c>
      <c r="U31" s="15">
        <v>30</v>
      </c>
      <c r="V31" s="15" t="s">
        <v>338</v>
      </c>
      <c r="W31" s="15"/>
      <c r="AC31" t="s">
        <v>265</v>
      </c>
      <c r="AD31" t="s">
        <v>240</v>
      </c>
      <c r="AE31" t="s">
        <v>242</v>
      </c>
      <c r="AF31" t="s">
        <v>268</v>
      </c>
      <c r="AG31" t="s">
        <v>253</v>
      </c>
      <c r="AH31" t="s">
        <v>260</v>
      </c>
      <c r="AI31" t="s">
        <v>235</v>
      </c>
      <c r="AL31" t="s">
        <v>137</v>
      </c>
      <c r="AM31" t="s">
        <v>138</v>
      </c>
      <c r="AP31" t="s">
        <v>139</v>
      </c>
      <c r="AQ31" t="s">
        <v>140</v>
      </c>
      <c r="AZ31" s="16"/>
      <c r="BA31" t="str">
        <f t="shared" si="0"/>
        <v>XT30</v>
      </c>
      <c r="BB31" t="str">
        <f t="shared" si="1"/>
        <v>C26</v>
      </c>
      <c r="BC31" t="str">
        <f t="shared" si="2"/>
        <v>B26</v>
      </c>
      <c r="BD31" t="str">
        <f t="shared" si="3"/>
        <v>C27</v>
      </c>
      <c r="BE31" t="str">
        <f t="shared" si="4"/>
        <v>B27</v>
      </c>
      <c r="BF31" t="str">
        <f t="shared" si="5"/>
        <v>C28</v>
      </c>
      <c r="BG31" t="str">
        <f t="shared" si="6"/>
        <v>B28</v>
      </c>
      <c r="BH31" t="str">
        <f t="shared" si="7"/>
        <v>C29</v>
      </c>
      <c r="BI31" t="str">
        <f t="shared" si="8"/>
        <v>B29</v>
      </c>
      <c r="BJ31" t="str">
        <f t="shared" si="9"/>
        <v>C30</v>
      </c>
      <c r="BK31" t="str">
        <f t="shared" si="10"/>
        <v>B30</v>
      </c>
      <c r="BL31" t="str">
        <f t="shared" si="11"/>
        <v>29B</v>
      </c>
      <c r="BM31" t="str">
        <f t="shared" si="12"/>
        <v>29A</v>
      </c>
      <c r="BN31" t="str">
        <f t="shared" si="18"/>
        <v>30B</v>
      </c>
      <c r="BO31" t="str">
        <f t="shared" si="19"/>
        <v>30A</v>
      </c>
      <c r="BP31" t="str">
        <f t="shared" si="13"/>
        <v>DI6-C25</v>
      </c>
      <c r="BQ31" t="str">
        <f t="shared" si="13"/>
        <v>DI6-B25</v>
      </c>
      <c r="BR31" t="str">
        <f t="shared" si="42"/>
        <v>DI6-C26</v>
      </c>
      <c r="BS31" t="str">
        <f t="shared" si="42"/>
        <v>DI6-B26</v>
      </c>
      <c r="BT31" t="str">
        <f t="shared" si="42"/>
        <v>DI6-C27</v>
      </c>
      <c r="BU31" t="str">
        <f t="shared" si="42"/>
        <v>DI6-B27</v>
      </c>
      <c r="BV31" t="str">
        <f t="shared" si="42"/>
        <v>DI6-C28</v>
      </c>
      <c r="BW31" t="str">
        <f t="shared" si="42"/>
        <v>DI6-B28</v>
      </c>
      <c r="BX31" t="str">
        <f t="shared" si="42"/>
        <v>DI6-C29</v>
      </c>
      <c r="BY31" t="str">
        <f t="shared" si="42"/>
        <v>DI6-B29</v>
      </c>
      <c r="BZ31" t="str">
        <f t="shared" si="42"/>
        <v>DI6-C30</v>
      </c>
      <c r="CA31" t="str">
        <f t="shared" si="42"/>
        <v>DI6-B30</v>
      </c>
      <c r="CB31" t="str">
        <f t="shared" si="15"/>
        <v>DO3-28B</v>
      </c>
      <c r="CC31" t="str">
        <f t="shared" si="15"/>
        <v>DO3-28A</v>
      </c>
      <c r="CD31" t="str">
        <f t="shared" si="16"/>
        <v>DO3-29B</v>
      </c>
      <c r="CE31" t="str">
        <f t="shared" si="16"/>
        <v>DO3-29A</v>
      </c>
      <c r="CF31" t="str">
        <f t="shared" si="16"/>
        <v>DO3-30B</v>
      </c>
      <c r="CG31" t="str">
        <f t="shared" si="16"/>
        <v>DO3-30A</v>
      </c>
      <c r="CH31" t="str">
        <f t="shared" si="20"/>
        <v>K30-10</v>
      </c>
      <c r="CI31" t="str">
        <f t="shared" si="21"/>
        <v>K30-03</v>
      </c>
      <c r="CJ31" t="str">
        <f t="shared" si="22"/>
        <v>K30-04</v>
      </c>
      <c r="CK31" t="str">
        <f t="shared" si="23"/>
        <v>K30-01</v>
      </c>
      <c r="CL31" t="str">
        <f t="shared" si="24"/>
        <v>K30-08</v>
      </c>
      <c r="CM31" t="str">
        <f t="shared" si="25"/>
        <v>K30-02</v>
      </c>
      <c r="CN31" t="str">
        <f t="shared" si="26"/>
        <v>K30-09</v>
      </c>
      <c r="CO31" t="str">
        <f t="shared" si="27"/>
        <v>K30-05</v>
      </c>
      <c r="CP31" t="str">
        <f t="shared" si="28"/>
        <v>K30-11</v>
      </c>
      <c r="CQ31" t="str">
        <f t="shared" si="29"/>
        <v>F0-M30-A9</v>
      </c>
      <c r="CR31" t="str">
        <f t="shared" si="30"/>
        <v>F0-M30-A7</v>
      </c>
      <c r="CS31" t="str">
        <f t="shared" si="31"/>
        <v>F0-M30-A8</v>
      </c>
      <c r="CT31" t="str">
        <f t="shared" si="32"/>
        <v>F0-M30-A6</v>
      </c>
      <c r="CU31" t="str">
        <f t="shared" si="33"/>
        <v>F0-M30-A30</v>
      </c>
      <c r="CV31" t="str">
        <f t="shared" si="34"/>
        <v>F0-M30-N</v>
      </c>
      <c r="CW31" t="str">
        <f t="shared" si="17"/>
        <v>F0-A220-M30</v>
      </c>
      <c r="CX31" t="str">
        <f t="shared" si="35"/>
        <v>F0-M30-XM01</v>
      </c>
      <c r="CY31" t="str">
        <f t="shared" si="36"/>
        <v>F0-M30-A1</v>
      </c>
      <c r="CZ31" t="str">
        <f t="shared" si="37"/>
        <v>F0-M30-A5</v>
      </c>
      <c r="DA31" t="str">
        <f t="shared" si="38"/>
        <v>F0-M30-A11</v>
      </c>
      <c r="DB31" t="str">
        <f t="shared" si="39"/>
        <v>F0-M30-A12</v>
      </c>
      <c r="DC31" t="str">
        <f t="shared" si="40"/>
        <v>F0-M30-A19</v>
      </c>
      <c r="DD31" t="str">
        <f t="shared" si="41"/>
        <v>F0-M30-A20</v>
      </c>
      <c r="DE31" t="s">
        <v>142</v>
      </c>
      <c r="DF31" t="s">
        <v>143</v>
      </c>
      <c r="DG31">
        <v>11</v>
      </c>
      <c r="DH31">
        <v>14</v>
      </c>
      <c r="DI31">
        <v>12</v>
      </c>
      <c r="DJ31" t="s">
        <v>144</v>
      </c>
      <c r="DK31" t="s">
        <v>145</v>
      </c>
      <c r="DL31">
        <v>1</v>
      </c>
      <c r="DM31">
        <v>2</v>
      </c>
      <c r="DN31">
        <v>3</v>
      </c>
      <c r="DO31">
        <v>4</v>
      </c>
      <c r="DP31">
        <v>5</v>
      </c>
      <c r="DQ31">
        <v>6</v>
      </c>
      <c r="DR31">
        <v>7</v>
      </c>
      <c r="DS31">
        <v>8</v>
      </c>
      <c r="DT31">
        <v>9</v>
      </c>
      <c r="DU31">
        <v>10</v>
      </c>
      <c r="DV31">
        <v>11</v>
      </c>
      <c r="DW31">
        <v>12</v>
      </c>
      <c r="DX31">
        <v>13</v>
      </c>
      <c r="DY31">
        <v>14</v>
      </c>
      <c r="DZ31">
        <v>1</v>
      </c>
      <c r="EA31">
        <v>3</v>
      </c>
      <c r="EB31">
        <v>4</v>
      </c>
      <c r="EC31">
        <v>7</v>
      </c>
      <c r="ED31">
        <v>8</v>
      </c>
      <c r="EE31">
        <v>9</v>
      </c>
      <c r="EF31">
        <v>10</v>
      </c>
      <c r="EG31">
        <v>13</v>
      </c>
      <c r="EH31">
        <v>14</v>
      </c>
      <c r="EI31">
        <v>15</v>
      </c>
      <c r="EJ31">
        <v>16</v>
      </c>
      <c r="EK31">
        <v>22</v>
      </c>
      <c r="EL31">
        <v>23</v>
      </c>
      <c r="EM31" s="16">
        <v>24</v>
      </c>
    </row>
    <row r="32" spans="1:143" ht="15.75" thickBot="1" x14ac:dyDescent="0.3">
      <c r="A32" t="s">
        <v>236</v>
      </c>
      <c r="B32" t="s">
        <v>237</v>
      </c>
      <c r="C32" s="3" t="s">
        <v>127</v>
      </c>
      <c r="O32" s="2"/>
      <c r="P32" t="s">
        <v>129</v>
      </c>
      <c r="Q32" s="1"/>
      <c r="S32" s="1" t="s">
        <v>130</v>
      </c>
      <c r="T32" s="17" t="s">
        <v>554</v>
      </c>
      <c r="U32" s="18">
        <v>31</v>
      </c>
      <c r="V32" s="18" t="s">
        <v>339</v>
      </c>
      <c r="W32" s="18"/>
      <c r="X32" s="19"/>
      <c r="Y32" s="19"/>
      <c r="Z32" s="19"/>
      <c r="AA32" s="19"/>
      <c r="AB32" s="19"/>
      <c r="AC32" s="19" t="s">
        <v>266</v>
      </c>
      <c r="AD32" s="19" t="s">
        <v>133</v>
      </c>
      <c r="AE32" s="19" t="s">
        <v>134</v>
      </c>
      <c r="AF32" s="19" t="s">
        <v>269</v>
      </c>
      <c r="AG32" s="19" t="s">
        <v>135</v>
      </c>
      <c r="AH32" s="19" t="s">
        <v>136</v>
      </c>
      <c r="AI32" s="19" t="s">
        <v>238</v>
      </c>
      <c r="AJ32" s="19"/>
      <c r="AK32" s="19"/>
      <c r="AL32" s="19" t="s">
        <v>137</v>
      </c>
      <c r="AM32" s="19" t="s">
        <v>138</v>
      </c>
      <c r="AN32" s="19"/>
      <c r="AO32" s="19"/>
      <c r="AP32" s="19" t="s">
        <v>139</v>
      </c>
      <c r="AQ32" s="19" t="s">
        <v>140</v>
      </c>
      <c r="AT32" s="19"/>
      <c r="AZ32" s="16"/>
      <c r="BA32" s="19" t="str">
        <f t="shared" si="0"/>
        <v>XT31</v>
      </c>
      <c r="BB32" s="19" t="str">
        <f t="shared" si="1"/>
        <v>C2</v>
      </c>
      <c r="BC32" s="19" t="str">
        <f t="shared" si="2"/>
        <v>B2</v>
      </c>
      <c r="BD32" s="19" t="str">
        <f t="shared" si="3"/>
        <v>C3</v>
      </c>
      <c r="BE32" s="19" t="str">
        <f t="shared" si="4"/>
        <v>B3</v>
      </c>
      <c r="BF32" s="19" t="str">
        <f t="shared" si="5"/>
        <v>C4</v>
      </c>
      <c r="BG32" s="19" t="str">
        <f t="shared" si="6"/>
        <v>B4</v>
      </c>
      <c r="BH32" s="19" t="str">
        <f t="shared" si="7"/>
        <v>C5</v>
      </c>
      <c r="BI32" s="19" t="str">
        <f t="shared" si="8"/>
        <v>B5</v>
      </c>
      <c r="BJ32" s="19" t="str">
        <f t="shared" si="9"/>
        <v>C6</v>
      </c>
      <c r="BK32" s="19" t="str">
        <f t="shared" si="10"/>
        <v>B6</v>
      </c>
      <c r="BL32" s="19" t="str">
        <f t="shared" si="11"/>
        <v>2B</v>
      </c>
      <c r="BM32" s="19" t="str">
        <f t="shared" si="12"/>
        <v>2A</v>
      </c>
      <c r="BN32" s="19" t="str">
        <f t="shared" si="18"/>
        <v>3B</v>
      </c>
      <c r="BO32" s="19" t="str">
        <f t="shared" si="19"/>
        <v>3A</v>
      </c>
      <c r="BP32" s="19" t="str">
        <f t="shared" si="13"/>
        <v>DI7-C1</v>
      </c>
      <c r="BQ32" s="19" t="str">
        <f t="shared" si="13"/>
        <v>DI7-B1</v>
      </c>
      <c r="BR32" s="19" t="str">
        <f t="shared" si="42"/>
        <v>DI7-C2</v>
      </c>
      <c r="BS32" s="19" t="str">
        <f t="shared" si="42"/>
        <v>DI7-B2</v>
      </c>
      <c r="BT32" s="19" t="str">
        <f t="shared" si="42"/>
        <v>DI7-C3</v>
      </c>
      <c r="BU32" s="19" t="str">
        <f t="shared" si="42"/>
        <v>DI7-B3</v>
      </c>
      <c r="BV32" s="19" t="str">
        <f t="shared" si="42"/>
        <v>DI7-C4</v>
      </c>
      <c r="BW32" s="19" t="str">
        <f t="shared" si="42"/>
        <v>DI7-B4</v>
      </c>
      <c r="BX32" s="19" t="str">
        <f t="shared" si="42"/>
        <v>DI7-C5</v>
      </c>
      <c r="BY32" s="19" t="str">
        <f t="shared" si="42"/>
        <v>DI7-B5</v>
      </c>
      <c r="BZ32" s="19" t="str">
        <f t="shared" si="42"/>
        <v>DI7-C6</v>
      </c>
      <c r="CA32" s="19" t="str">
        <f t="shared" si="42"/>
        <v>DI7-B6</v>
      </c>
      <c r="CB32" s="19" t="str">
        <f t="shared" si="15"/>
        <v>DO4-1B</v>
      </c>
      <c r="CC32" s="19" t="str">
        <f t="shared" si="15"/>
        <v>DO4-1A</v>
      </c>
      <c r="CD32" s="19" t="str">
        <f t="shared" si="16"/>
        <v>DO4-2B</v>
      </c>
      <c r="CE32" s="19" t="str">
        <f t="shared" si="16"/>
        <v>DO4-2A</v>
      </c>
      <c r="CF32" s="19" t="str">
        <f t="shared" si="16"/>
        <v>DO4-3B</v>
      </c>
      <c r="CG32" s="19" t="str">
        <f t="shared" si="16"/>
        <v>DO4-3A</v>
      </c>
      <c r="CH32" s="19" t="str">
        <f t="shared" si="20"/>
        <v>K31-10</v>
      </c>
      <c r="CI32" s="19" t="str">
        <f t="shared" si="21"/>
        <v>K31-03</v>
      </c>
      <c r="CJ32" s="19" t="str">
        <f t="shared" si="22"/>
        <v>K31-04</v>
      </c>
      <c r="CK32" s="19" t="str">
        <f t="shared" si="23"/>
        <v>K31-01</v>
      </c>
      <c r="CL32" s="19" t="str">
        <f t="shared" si="24"/>
        <v>K31-08</v>
      </c>
      <c r="CM32" s="19" t="str">
        <f t="shared" si="25"/>
        <v>K31-02</v>
      </c>
      <c r="CN32" s="19" t="str">
        <f t="shared" si="26"/>
        <v>K31-09</v>
      </c>
      <c r="CO32" s="19" t="str">
        <f t="shared" si="27"/>
        <v>K31-05</v>
      </c>
      <c r="CP32" s="19" t="str">
        <f t="shared" si="28"/>
        <v>K31-11</v>
      </c>
      <c r="CQ32" s="19" t="str">
        <f t="shared" si="29"/>
        <v>F0-M31-A9</v>
      </c>
      <c r="CR32" s="19" t="str">
        <f t="shared" si="30"/>
        <v>F0-M31-A7</v>
      </c>
      <c r="CS32" s="19" t="str">
        <f t="shared" si="31"/>
        <v>F0-M31-A8</v>
      </c>
      <c r="CT32" s="19" t="str">
        <f t="shared" si="32"/>
        <v>F0-M31-A6</v>
      </c>
      <c r="CU32" s="19" t="str">
        <f t="shared" si="33"/>
        <v>F0-M31-A30</v>
      </c>
      <c r="CV32" s="19" t="str">
        <f t="shared" si="34"/>
        <v>F0-M31-N</v>
      </c>
      <c r="CW32" s="19" t="str">
        <f t="shared" si="17"/>
        <v>F0-A220-M31</v>
      </c>
      <c r="CX32" s="19" t="str">
        <f t="shared" si="35"/>
        <v>F0-M31-XM01</v>
      </c>
      <c r="CY32" s="19" t="str">
        <f t="shared" si="36"/>
        <v>F0-M31-A1</v>
      </c>
      <c r="CZ32" s="19" t="str">
        <f t="shared" si="37"/>
        <v>F0-M31-A5</v>
      </c>
      <c r="DA32" s="19" t="str">
        <f t="shared" si="38"/>
        <v>F0-M31-A11</v>
      </c>
      <c r="DB32" s="19" t="str">
        <f t="shared" si="39"/>
        <v>F0-M31-A12</v>
      </c>
      <c r="DC32" s="19" t="str">
        <f t="shared" si="40"/>
        <v>F0-M31-A19</v>
      </c>
      <c r="DD32" s="19" t="str">
        <f t="shared" si="41"/>
        <v>F0-M31-A20</v>
      </c>
      <c r="DE32" s="19" t="s">
        <v>142</v>
      </c>
      <c r="DF32" s="19" t="s">
        <v>143</v>
      </c>
      <c r="DG32" s="19">
        <v>11</v>
      </c>
      <c r="DH32" s="19">
        <v>14</v>
      </c>
      <c r="DI32" s="19">
        <v>12</v>
      </c>
      <c r="DJ32" s="19" t="s">
        <v>144</v>
      </c>
      <c r="DK32" s="19" t="s">
        <v>145</v>
      </c>
      <c r="DL32" s="19">
        <v>1</v>
      </c>
      <c r="DM32" s="19">
        <v>2</v>
      </c>
      <c r="DN32" s="19">
        <v>3</v>
      </c>
      <c r="DO32" s="19">
        <v>4</v>
      </c>
      <c r="DP32" s="19">
        <v>5</v>
      </c>
      <c r="DQ32" s="19">
        <v>6</v>
      </c>
      <c r="DR32" s="19">
        <v>7</v>
      </c>
      <c r="DS32" s="19">
        <v>8</v>
      </c>
      <c r="DT32" s="19">
        <v>9</v>
      </c>
      <c r="DU32" s="19">
        <v>10</v>
      </c>
      <c r="DV32" s="19">
        <v>11</v>
      </c>
      <c r="DW32" s="19">
        <v>12</v>
      </c>
      <c r="DX32" s="19">
        <v>13</v>
      </c>
      <c r="DY32" s="19">
        <v>14</v>
      </c>
      <c r="DZ32" s="19">
        <v>1</v>
      </c>
      <c r="EA32" s="19">
        <v>3</v>
      </c>
      <c r="EB32" s="19">
        <v>4</v>
      </c>
      <c r="EC32" s="19">
        <v>7</v>
      </c>
      <c r="ED32" s="19">
        <v>8</v>
      </c>
      <c r="EE32" s="19">
        <v>9</v>
      </c>
      <c r="EF32" s="19">
        <v>10</v>
      </c>
      <c r="EG32" s="19">
        <v>13</v>
      </c>
      <c r="EH32" s="19">
        <v>14</v>
      </c>
      <c r="EI32" s="19">
        <v>15</v>
      </c>
      <c r="EJ32" s="19">
        <v>16</v>
      </c>
      <c r="EK32" s="19">
        <v>22</v>
      </c>
      <c r="EL32" s="19">
        <v>23</v>
      </c>
      <c r="EM32" s="20">
        <v>24</v>
      </c>
    </row>
    <row r="33" spans="1:281" ht="15.75" thickBot="1" x14ac:dyDescent="0.3">
      <c r="A33" t="s">
        <v>280</v>
      </c>
      <c r="B33" t="s">
        <v>279</v>
      </c>
      <c r="C33" s="3"/>
      <c r="O33" s="2"/>
      <c r="P33" t="s">
        <v>276</v>
      </c>
      <c r="Q33" s="1"/>
      <c r="S33" s="1"/>
      <c r="T33" s="21" t="s">
        <v>554</v>
      </c>
      <c r="U33" s="22">
        <v>32</v>
      </c>
      <c r="V33" s="22" t="s">
        <v>340</v>
      </c>
      <c r="W33" s="22"/>
      <c r="X33" s="23"/>
      <c r="Y33" s="23"/>
      <c r="Z33" s="23"/>
      <c r="AA33" s="23"/>
      <c r="AB33" s="23"/>
      <c r="AC33" s="23" t="s">
        <v>266</v>
      </c>
      <c r="AD33" s="23" t="s">
        <v>148</v>
      </c>
      <c r="AE33" s="23" t="s">
        <v>149</v>
      </c>
      <c r="AF33" s="23" t="s">
        <v>269</v>
      </c>
      <c r="AG33" s="23" t="s">
        <v>243</v>
      </c>
      <c r="AH33" s="23" t="s">
        <v>244</v>
      </c>
      <c r="AI33" s="23" t="s">
        <v>282</v>
      </c>
      <c r="AJ33" s="23"/>
      <c r="AK33" s="23"/>
      <c r="AL33" s="23" t="s">
        <v>137</v>
      </c>
      <c r="AM33" s="23" t="s">
        <v>138</v>
      </c>
      <c r="AN33" s="23"/>
      <c r="AO33" s="23"/>
      <c r="AP33" s="23" t="s">
        <v>139</v>
      </c>
      <c r="AQ33" s="23" t="s">
        <v>140</v>
      </c>
      <c r="AR33" s="23"/>
      <c r="AS33" s="23"/>
      <c r="AT33" s="23"/>
      <c r="AU33" s="12"/>
      <c r="AV33" s="12"/>
      <c r="AW33" s="12"/>
      <c r="AX33" s="12"/>
      <c r="AY33" s="12"/>
      <c r="AZ33" s="13"/>
      <c r="BA33" s="23" t="str">
        <f t="shared" si="0"/>
        <v>XT32</v>
      </c>
      <c r="BB33" s="23" t="str">
        <f t="shared" si="1"/>
        <v>C8</v>
      </c>
      <c r="BC33" s="23" t="str">
        <f t="shared" si="2"/>
        <v>B8</v>
      </c>
      <c r="BD33" s="23" t="str">
        <f t="shared" si="3"/>
        <v>C9</v>
      </c>
      <c r="BE33" s="23" t="str">
        <f t="shared" si="4"/>
        <v>B9</v>
      </c>
      <c r="BF33" s="23" t="str">
        <f t="shared" si="5"/>
        <v>C10</v>
      </c>
      <c r="BG33" s="23" t="str">
        <f t="shared" si="6"/>
        <v>B10</v>
      </c>
      <c r="BH33" s="23" t="str">
        <f t="shared" si="7"/>
        <v>C11</v>
      </c>
      <c r="BI33" s="23" t="str">
        <f t="shared" si="8"/>
        <v>B11</v>
      </c>
      <c r="BJ33" s="23" t="str">
        <f t="shared" si="9"/>
        <v>C12</v>
      </c>
      <c r="BK33" s="23" t="str">
        <f t="shared" si="10"/>
        <v>B12</v>
      </c>
      <c r="BL33" s="23" t="str">
        <f t="shared" si="11"/>
        <v>5B</v>
      </c>
      <c r="BM33" s="23" t="str">
        <f t="shared" si="12"/>
        <v>5A</v>
      </c>
      <c r="BN33" s="23" t="str">
        <f t="shared" si="18"/>
        <v>6B</v>
      </c>
      <c r="BO33" s="23" t="str">
        <f t="shared" si="19"/>
        <v>6A</v>
      </c>
      <c r="BP33" s="23" t="str">
        <f t="shared" si="13"/>
        <v>DI7-C7</v>
      </c>
      <c r="BQ33" s="23" t="str">
        <f t="shared" si="13"/>
        <v>DI7-B7</v>
      </c>
      <c r="BR33" s="23" t="str">
        <f t="shared" si="42"/>
        <v>DI7-C8</v>
      </c>
      <c r="BS33" s="23" t="str">
        <f t="shared" si="42"/>
        <v>DI7-B8</v>
      </c>
      <c r="BT33" s="23" t="str">
        <f t="shared" si="42"/>
        <v>DI7-C9</v>
      </c>
      <c r="BU33" s="23" t="str">
        <f t="shared" si="42"/>
        <v>DI7-B9</v>
      </c>
      <c r="BV33" s="23" t="str">
        <f t="shared" si="42"/>
        <v>DI7-C10</v>
      </c>
      <c r="BW33" s="23" t="str">
        <f t="shared" si="42"/>
        <v>DI7-B10</v>
      </c>
      <c r="BX33" s="23" t="str">
        <f t="shared" si="42"/>
        <v>DI7-C11</v>
      </c>
      <c r="BY33" s="23" t="str">
        <f t="shared" si="42"/>
        <v>DI7-B11</v>
      </c>
      <c r="BZ33" s="23" t="str">
        <f t="shared" si="42"/>
        <v>DI7-C12</v>
      </c>
      <c r="CA33" s="23" t="str">
        <f t="shared" si="42"/>
        <v>DI7-B12</v>
      </c>
      <c r="CB33" s="23" t="str">
        <f t="shared" si="15"/>
        <v>DO4-4B</v>
      </c>
      <c r="CC33" s="23" t="str">
        <f t="shared" si="15"/>
        <v>DO4-4A</v>
      </c>
      <c r="CD33" s="23" t="str">
        <f t="shared" si="16"/>
        <v>DO4-5B</v>
      </c>
      <c r="CE33" s="23" t="str">
        <f t="shared" si="16"/>
        <v>DO4-5A</v>
      </c>
      <c r="CF33" s="23" t="str">
        <f t="shared" si="16"/>
        <v>DO4-6B</v>
      </c>
      <c r="CG33" s="23" t="str">
        <f t="shared" si="16"/>
        <v>DO4-6A</v>
      </c>
      <c r="CH33" s="23" t="str">
        <f t="shared" si="20"/>
        <v>K32-10</v>
      </c>
      <c r="CI33" s="23" t="str">
        <f t="shared" si="21"/>
        <v>K32-03</v>
      </c>
      <c r="CJ33" s="23" t="str">
        <f t="shared" si="22"/>
        <v>K32-04</v>
      </c>
      <c r="CK33" s="23" t="str">
        <f t="shared" si="23"/>
        <v>K32-01</v>
      </c>
      <c r="CL33" s="23" t="str">
        <f t="shared" si="24"/>
        <v>K32-08</v>
      </c>
      <c r="CM33" s="23" t="str">
        <f t="shared" si="25"/>
        <v>K32-02</v>
      </c>
      <c r="CN33" s="23" t="str">
        <f t="shared" si="26"/>
        <v>K32-09</v>
      </c>
      <c r="CO33" s="23" t="str">
        <f t="shared" si="27"/>
        <v>K32-05</v>
      </c>
      <c r="CP33" s="23" t="str">
        <f t="shared" si="28"/>
        <v>K32-11</v>
      </c>
      <c r="CQ33" s="23" t="str">
        <f t="shared" si="29"/>
        <v>F0-M32-A9</v>
      </c>
      <c r="CR33" s="23" t="str">
        <f t="shared" si="30"/>
        <v>F0-M32-A7</v>
      </c>
      <c r="CS33" s="23" t="str">
        <f t="shared" si="31"/>
        <v>F0-M32-A8</v>
      </c>
      <c r="CT33" s="23" t="str">
        <f t="shared" si="32"/>
        <v>F0-M32-A6</v>
      </c>
      <c r="CU33" s="23" t="str">
        <f t="shared" si="33"/>
        <v>F0-M32-A30</v>
      </c>
      <c r="CV33" s="23" t="str">
        <f t="shared" si="34"/>
        <v>F0-M32-N</v>
      </c>
      <c r="CW33" s="23" t="str">
        <f t="shared" si="17"/>
        <v>F0-A220-M32</v>
      </c>
      <c r="CX33" s="23" t="str">
        <f t="shared" si="35"/>
        <v>F0-M32-XM01</v>
      </c>
      <c r="CY33" s="23" t="str">
        <f t="shared" si="36"/>
        <v>F0-M32-A1</v>
      </c>
      <c r="CZ33" s="23" t="str">
        <f t="shared" si="37"/>
        <v>F0-M32-A5</v>
      </c>
      <c r="DA33" s="23" t="str">
        <f t="shared" si="38"/>
        <v>F0-M32-A11</v>
      </c>
      <c r="DB33" s="23" t="str">
        <f t="shared" si="39"/>
        <v>F0-M32-A12</v>
      </c>
      <c r="DC33" s="23" t="str">
        <f t="shared" si="40"/>
        <v>F0-M32-A19</v>
      </c>
      <c r="DD33" s="23" t="str">
        <f t="shared" si="41"/>
        <v>F0-M32-A20</v>
      </c>
      <c r="DE33" s="23" t="s">
        <v>142</v>
      </c>
      <c r="DF33" s="23" t="s">
        <v>143</v>
      </c>
      <c r="DG33" s="23">
        <v>11</v>
      </c>
      <c r="DH33" s="23">
        <v>14</v>
      </c>
      <c r="DI33" s="23">
        <v>12</v>
      </c>
      <c r="DJ33" s="23" t="s">
        <v>144</v>
      </c>
      <c r="DK33" s="23" t="s">
        <v>145</v>
      </c>
      <c r="DL33" s="23">
        <v>1</v>
      </c>
      <c r="DM33" s="23">
        <v>2</v>
      </c>
      <c r="DN33" s="23">
        <v>3</v>
      </c>
      <c r="DO33" s="23">
        <v>4</v>
      </c>
      <c r="DP33" s="23">
        <v>5</v>
      </c>
      <c r="DQ33" s="23">
        <v>6</v>
      </c>
      <c r="DR33" s="23">
        <v>7</v>
      </c>
      <c r="DS33" s="23">
        <v>8</v>
      </c>
      <c r="DT33" s="23">
        <v>9</v>
      </c>
      <c r="DU33" s="23">
        <v>10</v>
      </c>
      <c r="DV33" s="23">
        <v>11</v>
      </c>
      <c r="DW33" s="23">
        <v>12</v>
      </c>
      <c r="DX33" s="23">
        <v>13</v>
      </c>
      <c r="DY33" s="23">
        <v>14</v>
      </c>
      <c r="DZ33" s="23">
        <v>1</v>
      </c>
      <c r="EA33" s="23">
        <v>3</v>
      </c>
      <c r="EB33" s="23">
        <v>4</v>
      </c>
      <c r="EC33" s="23">
        <v>7</v>
      </c>
      <c r="ED33" s="23">
        <v>8</v>
      </c>
      <c r="EE33" s="23">
        <v>9</v>
      </c>
      <c r="EF33" s="23">
        <v>10</v>
      </c>
      <c r="EG33" s="23">
        <v>13</v>
      </c>
      <c r="EH33" s="23">
        <v>14</v>
      </c>
      <c r="EI33" s="23">
        <v>15</v>
      </c>
      <c r="EJ33" s="23">
        <v>16</v>
      </c>
      <c r="EK33" s="23">
        <v>22</v>
      </c>
      <c r="EL33" s="23">
        <v>23</v>
      </c>
      <c r="EM33" s="24">
        <v>24</v>
      </c>
    </row>
    <row r="34" spans="1:281" x14ac:dyDescent="0.25">
      <c r="A34" t="s">
        <v>273</v>
      </c>
      <c r="B34" t="s">
        <v>272</v>
      </c>
      <c r="P34" t="s">
        <v>281</v>
      </c>
      <c r="T34" s="10" t="s">
        <v>554</v>
      </c>
      <c r="U34" s="11">
        <v>33</v>
      </c>
      <c r="V34" s="11" t="s">
        <v>290</v>
      </c>
      <c r="W34" s="11" t="s">
        <v>289</v>
      </c>
      <c r="X34" s="12"/>
      <c r="Y34" s="12"/>
      <c r="Z34" s="12"/>
      <c r="AA34" s="12"/>
      <c r="AB34" s="12"/>
      <c r="AC34" s="12" t="s">
        <v>277</v>
      </c>
      <c r="AD34" s="12" t="s">
        <v>133</v>
      </c>
      <c r="AE34" s="12" t="s">
        <v>134</v>
      </c>
      <c r="AF34" s="12" t="s">
        <v>383</v>
      </c>
      <c r="AG34" s="12" t="s">
        <v>135</v>
      </c>
      <c r="AH34" s="12" t="s">
        <v>136</v>
      </c>
      <c r="AI34" s="12">
        <v>31</v>
      </c>
      <c r="AJ34" s="12" t="str">
        <f>CONCATENATE(AI34,"XT")</f>
        <v>31XT</v>
      </c>
      <c r="AK34" s="12" t="str">
        <f t="shared" ref="AK34:AK42" si="43">CONCATENATE(AI34,"X")</f>
        <v>31X</v>
      </c>
      <c r="AL34" s="12" t="s">
        <v>137</v>
      </c>
      <c r="AM34" s="12" t="s">
        <v>138</v>
      </c>
      <c r="AN34" s="12" t="str">
        <f t="shared" ref="AN34:AN42" si="44">CONCATENATE("Соединительная коробка (",REPLACE(A34,SEARCH("AA",A34),2,"GB"),")")</f>
        <v>Соединительная коробка (F0GAD12GB801)</v>
      </c>
      <c r="AO34" s="12"/>
      <c r="AP34" s="12" t="s">
        <v>139</v>
      </c>
      <c r="AQ34" s="12" t="s">
        <v>140</v>
      </c>
      <c r="AR34" s="12"/>
      <c r="AS34" s="12"/>
      <c r="AT34" s="12"/>
      <c r="AU34" s="12"/>
      <c r="AV34" s="12"/>
      <c r="AW34" s="12"/>
      <c r="AX34" s="12"/>
      <c r="AY34" s="12"/>
      <c r="AZ34" s="13"/>
      <c r="EN34" s="25" t="str">
        <f t="shared" ref="EN34:EN42" si="45">CONCATENATE("XT",U34)</f>
        <v>XT33</v>
      </c>
      <c r="EO34" s="12" t="str">
        <f>CONCATENATE("C",REPLACE(AD34,1,1,"")+1)</f>
        <v>C2</v>
      </c>
      <c r="EP34" s="12" t="str">
        <f>CONCATENATE("B",REPLACE(AE34,1,1,"")+1)</f>
        <v>B2</v>
      </c>
      <c r="EQ34" s="12" t="str">
        <f>CONCATENATE("C",REPLACE(EO34,1,1,"")+1)</f>
        <v>C3</v>
      </c>
      <c r="ER34" s="12" t="str">
        <f>CONCATENATE("B",REPLACE(EP34,1,1,"")+1)</f>
        <v>B3</v>
      </c>
      <c r="ES34" s="12" t="str">
        <f>CONCATENATE(REPLACE(AG34,LEN(AG34),1,"")+1,"B")</f>
        <v>2B</v>
      </c>
      <c r="ET34" s="12" t="str">
        <f>CONCATENATE(REPLACE(AH34,LEN(AH34),1,"")+1,"A")</f>
        <v>2A</v>
      </c>
      <c r="EU34" s="12" t="str">
        <f>CONCATENATE("DI",REPLACE($AC34,1,3,""),"-",AD34)</f>
        <v>DI8-C1</v>
      </c>
      <c r="EV34" s="12" t="str">
        <f>CONCATENATE("DI",REPLACE($AC34,1,3,""),"-",AE34)</f>
        <v>DI8-B1</v>
      </c>
      <c r="EW34" s="12" t="str">
        <f t="shared" ref="EW34:EZ42" si="46">CONCATENATE("DI",REPLACE($AC34,1,3,""),"-",EO34)</f>
        <v>DI8-C2</v>
      </c>
      <c r="EX34" s="12" t="str">
        <f t="shared" si="46"/>
        <v>DI8-B2</v>
      </c>
      <c r="EY34" s="12" t="str">
        <f t="shared" si="46"/>
        <v>DI8-C3</v>
      </c>
      <c r="EZ34" s="12" t="str">
        <f t="shared" si="46"/>
        <v>DI8-B3</v>
      </c>
      <c r="FA34" s="12" t="str">
        <f>CONCATENATE("DO",REPLACE($AF34,1,3,""),"-",AG34)</f>
        <v>DO5-1B</v>
      </c>
      <c r="FB34" s="12" t="str">
        <f>CONCATENATE("DO",REPLACE($AF34,1,3,""),"-",AH34)</f>
        <v>DO5-1A</v>
      </c>
      <c r="FC34" s="12" t="str">
        <f>CONCATENATE("DO",REPLACE($AF34,1,3,""),"-",ES34)</f>
        <v>DO5-2B</v>
      </c>
      <c r="FD34" s="12" t="str">
        <f>CONCATENATE("DO",REPLACE($AF34,1,3,""),"-",ET34)</f>
        <v>DO5-2A</v>
      </c>
      <c r="FE34" s="12" t="str">
        <f>CONCATENATE("K",$U34,"-03")</f>
        <v>K33-03</v>
      </c>
      <c r="FF34" s="12" t="str">
        <f>CONCATENATE("K",$U34,"-04")</f>
        <v>K33-04</v>
      </c>
      <c r="FG34" s="12" t="str">
        <f>CONCATENATE("K",$U34,"-01")</f>
        <v>K33-01</v>
      </c>
      <c r="FH34" s="12" t="str">
        <f>CONCATENATE("K",$U34,"-02")</f>
        <v>K33-02</v>
      </c>
      <c r="FI34" s="12" t="str">
        <f t="shared" ref="FI34:FI42" si="47">CONCATENATE("K",$U34,"-05")</f>
        <v>K33-05</v>
      </c>
      <c r="FJ34" s="12" t="str">
        <f>CONCATENATE($T34,"-M",$U34,"-H1")</f>
        <v>F0-M33-H1</v>
      </c>
      <c r="FK34" s="12" t="str">
        <f>CONCATENATE($T34,"-M",$U34,"-A1")</f>
        <v>F0-M33-A1</v>
      </c>
      <c r="FL34" s="12" t="str">
        <f>CONCATENATE($T34,"-M",$U34,"-3")</f>
        <v>F0-M33-3</v>
      </c>
      <c r="FM34" s="12" t="str">
        <f>CONCATENATE($T34,"-M",$U34,"-2")</f>
        <v>F0-M33-2</v>
      </c>
      <c r="FN34" s="12" t="str">
        <f>CONCATENATE($T34,"-M",$U34,"-16")</f>
        <v>F0-M33-16</v>
      </c>
      <c r="FO34" s="12" t="str">
        <f>CONCATENATE($T34,"-M",$U34,"-15")</f>
        <v>F0-M33-15</v>
      </c>
      <c r="FP34" s="12" t="str">
        <f>CONCATENATE($T34,"-A220-M",$U34,)</f>
        <v>F0-A220-M33</v>
      </c>
      <c r="FQ34" s="12" t="str">
        <f t="shared" ref="FQ34:FQ42" si="48">CONCATENATE($T34,"-M",$U34,"-XM01")</f>
        <v>F0-M33-XM01</v>
      </c>
      <c r="FR34" s="12" t="s">
        <v>142</v>
      </c>
      <c r="FS34" s="12" t="s">
        <v>143</v>
      </c>
      <c r="FT34" s="12">
        <v>11</v>
      </c>
      <c r="FU34" s="12">
        <v>14</v>
      </c>
      <c r="FV34" s="12" t="s">
        <v>145</v>
      </c>
      <c r="FW34" s="12" t="s">
        <v>144</v>
      </c>
      <c r="FX34" s="12">
        <v>1</v>
      </c>
      <c r="FY34" s="12">
        <v>2</v>
      </c>
      <c r="FZ34" s="12">
        <v>3</v>
      </c>
      <c r="GA34" s="12">
        <v>4</v>
      </c>
      <c r="GB34" s="12">
        <v>5</v>
      </c>
      <c r="GC34" s="12">
        <v>6</v>
      </c>
      <c r="GD34" s="12">
        <v>7</v>
      </c>
      <c r="GE34" s="12">
        <v>8</v>
      </c>
      <c r="GF34" s="12">
        <v>9</v>
      </c>
      <c r="GG34" s="12">
        <v>1</v>
      </c>
      <c r="GH34" s="12">
        <v>2</v>
      </c>
      <c r="GI34" s="12">
        <v>3</v>
      </c>
      <c r="GJ34" s="12">
        <v>4</v>
      </c>
      <c r="GK34" s="12">
        <v>5</v>
      </c>
      <c r="GL34" s="12">
        <v>1</v>
      </c>
      <c r="GM34" s="12">
        <v>2</v>
      </c>
      <c r="GN34" s="12">
        <v>4</v>
      </c>
      <c r="GO34" s="13">
        <v>5</v>
      </c>
    </row>
    <row r="35" spans="1:281" x14ac:dyDescent="0.25">
      <c r="A35" t="s">
        <v>275</v>
      </c>
      <c r="B35" t="s">
        <v>274</v>
      </c>
      <c r="P35" t="s">
        <v>281</v>
      </c>
      <c r="T35" s="14" t="s">
        <v>554</v>
      </c>
      <c r="U35" s="15">
        <v>34</v>
      </c>
      <c r="V35" s="15" t="s">
        <v>292</v>
      </c>
      <c r="W35" s="15" t="s">
        <v>291</v>
      </c>
      <c r="AC35" t="s">
        <v>277</v>
      </c>
      <c r="AD35" t="s">
        <v>369</v>
      </c>
      <c r="AE35" t="s">
        <v>370</v>
      </c>
      <c r="AF35" t="s">
        <v>383</v>
      </c>
      <c r="AG35" t="s">
        <v>384</v>
      </c>
      <c r="AH35" t="s">
        <v>386</v>
      </c>
      <c r="AI35">
        <v>45</v>
      </c>
      <c r="AJ35" t="str">
        <f t="shared" ref="AJ35:AJ42" si="49">CONCATENATE(AI35,"XT")</f>
        <v>45XT</v>
      </c>
      <c r="AK35" t="str">
        <f t="shared" si="43"/>
        <v>45X</v>
      </c>
      <c r="AL35" t="s">
        <v>137</v>
      </c>
      <c r="AM35" t="s">
        <v>138</v>
      </c>
      <c r="AN35" t="str">
        <f t="shared" si="44"/>
        <v>Соединительная коробка (F0GAD16GB801)</v>
      </c>
      <c r="AP35" t="s">
        <v>139</v>
      </c>
      <c r="AQ35" t="s">
        <v>140</v>
      </c>
      <c r="AZ35" s="16"/>
      <c r="EN35" s="27" t="str">
        <f t="shared" si="45"/>
        <v>XT34</v>
      </c>
      <c r="EO35" t="str">
        <f>CONCATENATE("C",REPLACE(AD35,1,1,"")+1)</f>
        <v>C5</v>
      </c>
      <c r="EP35" t="str">
        <f>CONCATENATE("B",REPLACE(AE35,1,1,"")+1)</f>
        <v>B5</v>
      </c>
      <c r="EQ35" t="str">
        <f>CONCATENATE("C",REPLACE(EO35,1,1,"")+1)</f>
        <v>C6</v>
      </c>
      <c r="ER35" t="str">
        <f>CONCATENATE("B",REPLACE(EP35,1,1,"")+1)</f>
        <v>B6</v>
      </c>
      <c r="ES35" t="str">
        <f>CONCATENATE(REPLACE(AG35,LEN(AG35),1,"")+1,"B")</f>
        <v>4B</v>
      </c>
      <c r="ET35" t="str">
        <f>CONCATENATE(REPLACE(AH35,LEN(AH35),1,"")+1,"A")</f>
        <v>4A</v>
      </c>
      <c r="EU35" t="str">
        <f>CONCATENATE("DI",REPLACE($AC35,1,3,""),"-",AD35)</f>
        <v>DI8-C4</v>
      </c>
      <c r="EV35" t="str">
        <f>CONCATENATE("DI",REPLACE($AC35,1,3,""),"-",AE35)</f>
        <v>DI8-B4</v>
      </c>
      <c r="EW35" t="str">
        <f t="shared" si="46"/>
        <v>DI8-C5</v>
      </c>
      <c r="EX35" t="str">
        <f t="shared" si="46"/>
        <v>DI8-B5</v>
      </c>
      <c r="EY35" t="str">
        <f t="shared" si="46"/>
        <v>DI8-C6</v>
      </c>
      <c r="EZ35" t="str">
        <f t="shared" si="46"/>
        <v>DI8-B6</v>
      </c>
      <c r="FA35" t="str">
        <f>CONCATENATE("DO",REPLACE($AF35,1,3,""),"-",AG35)</f>
        <v>DO5-3B</v>
      </c>
      <c r="FB35" t="str">
        <f>CONCATENATE("DO",REPLACE($AF35,1,3,""),"-",AH35)</f>
        <v>DO5-3A</v>
      </c>
      <c r="FC35" t="str">
        <f>CONCATENATE("DO",REPLACE($AF35,1,3,""),"-",ES35)</f>
        <v>DO5-4B</v>
      </c>
      <c r="FD35" t="str">
        <f>CONCATENATE("DO",REPLACE($AF35,1,3,""),"-",ET35)</f>
        <v>DO5-4A</v>
      </c>
      <c r="FE35" t="str">
        <f>CONCATENATE("K",$U35,"-03")</f>
        <v>K34-03</v>
      </c>
      <c r="FF35" t="str">
        <f>CONCATENATE("K",$U35,"-04")</f>
        <v>K34-04</v>
      </c>
      <c r="FG35" t="str">
        <f>CONCATENATE("K",$U35,"-01")</f>
        <v>K34-01</v>
      </c>
      <c r="FH35" t="str">
        <f>CONCATENATE("K",$U35,"-02")</f>
        <v>K34-02</v>
      </c>
      <c r="FI35" t="str">
        <f t="shared" si="47"/>
        <v>K34-05</v>
      </c>
      <c r="FJ35" t="str">
        <f>CONCATENATE($T35,"-M",$U35,"-H1")</f>
        <v>F0-M34-H1</v>
      </c>
      <c r="FK35" t="str">
        <f>CONCATENATE($T35,"-M",$U35,"-A1")</f>
        <v>F0-M34-A1</v>
      </c>
      <c r="FL35" t="str">
        <f>CONCATENATE($T35,"-M",$U35,"-3")</f>
        <v>F0-M34-3</v>
      </c>
      <c r="FM35" t="str">
        <f>CONCATENATE($T35,"-M",$U35,"-2")</f>
        <v>F0-M34-2</v>
      </c>
      <c r="FN35" t="str">
        <f>CONCATENATE($T35,"-M",$U35,"-16")</f>
        <v>F0-M34-16</v>
      </c>
      <c r="FO35" t="str">
        <f>CONCATENATE($T35,"-M",$U35,"-15")</f>
        <v>F0-M34-15</v>
      </c>
      <c r="FP35" t="str">
        <f>CONCATENATE($T35,"-A220-M",$U35,)</f>
        <v>F0-A220-M34</v>
      </c>
      <c r="FQ35" t="str">
        <f t="shared" si="48"/>
        <v>F0-M34-XM01</v>
      </c>
      <c r="FR35" t="s">
        <v>142</v>
      </c>
      <c r="FS35" t="s">
        <v>143</v>
      </c>
      <c r="FT35">
        <v>11</v>
      </c>
      <c r="FU35">
        <v>14</v>
      </c>
      <c r="FV35" t="s">
        <v>145</v>
      </c>
      <c r="FW35" t="s">
        <v>144</v>
      </c>
      <c r="FX35">
        <v>1</v>
      </c>
      <c r="FY35">
        <v>2</v>
      </c>
      <c r="FZ35">
        <v>3</v>
      </c>
      <c r="GA35">
        <v>4</v>
      </c>
      <c r="GB35">
        <v>5</v>
      </c>
      <c r="GC35">
        <v>6</v>
      </c>
      <c r="GD35">
        <v>7</v>
      </c>
      <c r="GE35">
        <v>8</v>
      </c>
      <c r="GF35">
        <v>9</v>
      </c>
      <c r="GG35">
        <v>1</v>
      </c>
      <c r="GH35">
        <v>2</v>
      </c>
      <c r="GI35">
        <v>3</v>
      </c>
      <c r="GJ35">
        <v>4</v>
      </c>
      <c r="GK35">
        <v>5</v>
      </c>
      <c r="GL35">
        <v>1</v>
      </c>
      <c r="GM35">
        <v>2</v>
      </c>
      <c r="GN35">
        <v>4</v>
      </c>
      <c r="GO35" s="16">
        <v>5</v>
      </c>
    </row>
    <row r="36" spans="1:281" x14ac:dyDescent="0.25">
      <c r="A36" t="s">
        <v>342</v>
      </c>
      <c r="B36" t="s">
        <v>341</v>
      </c>
      <c r="P36" t="s">
        <v>281</v>
      </c>
      <c r="T36" s="14" t="s">
        <v>554</v>
      </c>
      <c r="U36" s="15">
        <v>35</v>
      </c>
      <c r="V36" t="s">
        <v>345</v>
      </c>
      <c r="W36" t="s">
        <v>346</v>
      </c>
      <c r="AC36" t="s">
        <v>277</v>
      </c>
      <c r="AD36" t="s">
        <v>148</v>
      </c>
      <c r="AE36" t="s">
        <v>149</v>
      </c>
      <c r="AF36" t="s">
        <v>383</v>
      </c>
      <c r="AG36" t="s">
        <v>385</v>
      </c>
      <c r="AH36" t="s">
        <v>387</v>
      </c>
      <c r="AI36">
        <v>44</v>
      </c>
      <c r="AJ36" t="str">
        <f t="shared" si="49"/>
        <v>44XT</v>
      </c>
      <c r="AK36" t="str">
        <f t="shared" si="43"/>
        <v>44X</v>
      </c>
      <c r="AL36" t="s">
        <v>137</v>
      </c>
      <c r="AM36" t="s">
        <v>138</v>
      </c>
      <c r="AN36" t="str">
        <f t="shared" si="44"/>
        <v>Соединительная коробка (F0GHJ20GB801)</v>
      </c>
      <c r="AP36" t="s">
        <v>139</v>
      </c>
      <c r="AQ36" t="s">
        <v>140</v>
      </c>
      <c r="AZ36" s="16"/>
      <c r="EN36" s="27" t="str">
        <f t="shared" si="45"/>
        <v>XT35</v>
      </c>
      <c r="EO36" t="str">
        <f t="shared" ref="EO36:EO42" si="50">CONCATENATE("C",REPLACE(AD36,1,1,"")+1)</f>
        <v>C8</v>
      </c>
      <c r="EP36" t="str">
        <f t="shared" ref="EP36:EP42" si="51">CONCATENATE("B",REPLACE(AE36,1,1,"")+1)</f>
        <v>B8</v>
      </c>
      <c r="EQ36" t="str">
        <f t="shared" ref="EQ36:EQ42" si="52">CONCATENATE("C",REPLACE(EO36,1,1,"")+1)</f>
        <v>C9</v>
      </c>
      <c r="ER36" t="str">
        <f t="shared" ref="ER36:ER42" si="53">CONCATENATE("B",REPLACE(EP36,1,1,"")+1)</f>
        <v>B9</v>
      </c>
      <c r="ES36" t="str">
        <f t="shared" ref="ES36:ES42" si="54">CONCATENATE(REPLACE(AG36,LEN(AG36),1,"")+1,"B")</f>
        <v>6B</v>
      </c>
      <c r="ET36" t="str">
        <f t="shared" ref="ET36:ET42" si="55">CONCATENATE(REPLACE(AH36,LEN(AH36),1,"")+1,"A")</f>
        <v>6A</v>
      </c>
      <c r="EU36" t="str">
        <f t="shared" ref="EU36:EV42" si="56">CONCATENATE("DI",REPLACE($AC36,1,3,""),"-",AD36)</f>
        <v>DI8-C7</v>
      </c>
      <c r="EV36" t="str">
        <f t="shared" si="56"/>
        <v>DI8-B7</v>
      </c>
      <c r="EW36" t="str">
        <f t="shared" si="46"/>
        <v>DI8-C8</v>
      </c>
      <c r="EX36" t="str">
        <f t="shared" si="46"/>
        <v>DI8-B8</v>
      </c>
      <c r="EY36" t="str">
        <f t="shared" si="46"/>
        <v>DI8-C9</v>
      </c>
      <c r="EZ36" t="str">
        <f t="shared" si="46"/>
        <v>DI8-B9</v>
      </c>
      <c r="FA36" t="str">
        <f t="shared" ref="FA36:FB42" si="57">CONCATENATE("DO",REPLACE($AF36,1,3,""),"-",AG36)</f>
        <v>DO5-5B</v>
      </c>
      <c r="FB36" t="str">
        <f t="shared" si="57"/>
        <v>DO5-5A</v>
      </c>
      <c r="FC36" t="str">
        <f t="shared" ref="FC36:FD42" si="58">CONCATENATE("DO",REPLACE($AF36,1,3,""),"-",ES36)</f>
        <v>DO5-6B</v>
      </c>
      <c r="FD36" t="str">
        <f t="shared" si="58"/>
        <v>DO5-6A</v>
      </c>
      <c r="FE36" t="str">
        <f t="shared" ref="FE36:FE42" si="59">CONCATENATE("K",$U36,"-03")</f>
        <v>K35-03</v>
      </c>
      <c r="FF36" t="str">
        <f t="shared" ref="FF36:FF42" si="60">CONCATENATE("K",$U36,"-04")</f>
        <v>K35-04</v>
      </c>
      <c r="FG36" t="str">
        <f t="shared" ref="FG36:FG42" si="61">CONCATENATE("K",$U36,"-01")</f>
        <v>K35-01</v>
      </c>
      <c r="FH36" t="str">
        <f t="shared" ref="FH36:FH42" si="62">CONCATENATE("K",$U36,"-02")</f>
        <v>K35-02</v>
      </c>
      <c r="FI36" t="str">
        <f t="shared" si="47"/>
        <v>K35-05</v>
      </c>
      <c r="FJ36" t="str">
        <f t="shared" ref="FJ36:FJ42" si="63">CONCATENATE($T36,"-M",$U36,"-H1")</f>
        <v>F0-M35-H1</v>
      </c>
      <c r="FK36" t="str">
        <f t="shared" ref="FK36:FK42" si="64">CONCATENATE($T36,"-M",$U36,"-A1")</f>
        <v>F0-M35-A1</v>
      </c>
      <c r="FL36" t="str">
        <f t="shared" ref="FL36:FL42" si="65">CONCATENATE($T36,"-M",$U36,"-3")</f>
        <v>F0-M35-3</v>
      </c>
      <c r="FM36" t="str">
        <f t="shared" ref="FM36:FM42" si="66">CONCATENATE($T36,"-M",$U36,"-2")</f>
        <v>F0-M35-2</v>
      </c>
      <c r="FN36" t="str">
        <f t="shared" ref="FN36:FN42" si="67">CONCATENATE($T36,"-M",$U36,"-16")</f>
        <v>F0-M35-16</v>
      </c>
      <c r="FO36" t="str">
        <f t="shared" ref="FO36:FO42" si="68">CONCATENATE($T36,"-M",$U36,"-15")</f>
        <v>F0-M35-15</v>
      </c>
      <c r="FP36" t="str">
        <f t="shared" ref="FP36:FP42" si="69">CONCATENATE($T36,"-A220-M",$U36,)</f>
        <v>F0-A220-M35</v>
      </c>
      <c r="FQ36" t="str">
        <f t="shared" si="48"/>
        <v>F0-M35-XM01</v>
      </c>
      <c r="FR36" t="s">
        <v>142</v>
      </c>
      <c r="FS36" t="s">
        <v>143</v>
      </c>
      <c r="FT36">
        <v>11</v>
      </c>
      <c r="FU36">
        <v>14</v>
      </c>
      <c r="FV36" t="s">
        <v>145</v>
      </c>
      <c r="FW36" t="s">
        <v>144</v>
      </c>
      <c r="FX36">
        <v>1</v>
      </c>
      <c r="FY36">
        <v>2</v>
      </c>
      <c r="FZ36">
        <v>3</v>
      </c>
      <c r="GA36">
        <v>4</v>
      </c>
      <c r="GB36">
        <v>5</v>
      </c>
      <c r="GC36">
        <v>6</v>
      </c>
      <c r="GD36">
        <v>7</v>
      </c>
      <c r="GE36">
        <v>8</v>
      </c>
      <c r="GF36">
        <v>9</v>
      </c>
      <c r="GG36">
        <v>1</v>
      </c>
      <c r="GH36">
        <v>2</v>
      </c>
      <c r="GI36">
        <v>3</v>
      </c>
      <c r="GJ36">
        <v>4</v>
      </c>
      <c r="GK36">
        <v>5</v>
      </c>
      <c r="GL36">
        <v>1</v>
      </c>
      <c r="GM36">
        <v>2</v>
      </c>
      <c r="GN36">
        <v>4</v>
      </c>
      <c r="GO36" s="16">
        <v>5</v>
      </c>
    </row>
    <row r="37" spans="1:281" x14ac:dyDescent="0.25">
      <c r="A37" t="s">
        <v>344</v>
      </c>
      <c r="B37" t="s">
        <v>343</v>
      </c>
      <c r="P37" t="s">
        <v>281</v>
      </c>
      <c r="T37" s="14" t="s">
        <v>554</v>
      </c>
      <c r="U37" s="15">
        <v>36</v>
      </c>
      <c r="V37" s="15" t="s">
        <v>347</v>
      </c>
      <c r="W37" s="15" t="s">
        <v>348</v>
      </c>
      <c r="AC37" t="s">
        <v>277</v>
      </c>
      <c r="AD37" t="s">
        <v>377</v>
      </c>
      <c r="AE37" t="s">
        <v>378</v>
      </c>
      <c r="AF37" t="s">
        <v>383</v>
      </c>
      <c r="AG37" t="s">
        <v>245</v>
      </c>
      <c r="AH37" t="s">
        <v>246</v>
      </c>
      <c r="AI37">
        <v>42</v>
      </c>
      <c r="AJ37" t="str">
        <f t="shared" si="49"/>
        <v>42XT</v>
      </c>
      <c r="AK37" t="str">
        <f t="shared" si="43"/>
        <v>42X</v>
      </c>
      <c r="AL37" t="s">
        <v>137</v>
      </c>
      <c r="AM37" t="s">
        <v>138</v>
      </c>
      <c r="AN37" t="str">
        <f t="shared" si="44"/>
        <v>Соединительная коробка (F0GAD17GB801)</v>
      </c>
      <c r="AP37" t="s">
        <v>139</v>
      </c>
      <c r="AQ37" t="s">
        <v>140</v>
      </c>
      <c r="AZ37" s="16"/>
      <c r="EN37" s="27" t="str">
        <f t="shared" si="45"/>
        <v>XT36</v>
      </c>
      <c r="EO37" t="str">
        <f t="shared" si="50"/>
        <v>C11</v>
      </c>
      <c r="EP37" t="str">
        <f t="shared" si="51"/>
        <v>B11</v>
      </c>
      <c r="EQ37" t="str">
        <f t="shared" si="52"/>
        <v>C12</v>
      </c>
      <c r="ER37" t="str">
        <f t="shared" si="53"/>
        <v>B12</v>
      </c>
      <c r="ES37" t="str">
        <f t="shared" si="54"/>
        <v>8B</v>
      </c>
      <c r="ET37" t="str">
        <f t="shared" si="55"/>
        <v>8A</v>
      </c>
      <c r="EU37" t="str">
        <f t="shared" si="56"/>
        <v>DI8-C10</v>
      </c>
      <c r="EV37" t="str">
        <f t="shared" si="56"/>
        <v>DI8-B10</v>
      </c>
      <c r="EW37" t="str">
        <f t="shared" si="46"/>
        <v>DI8-C11</v>
      </c>
      <c r="EX37" t="str">
        <f t="shared" si="46"/>
        <v>DI8-B11</v>
      </c>
      <c r="EY37" t="str">
        <f t="shared" si="46"/>
        <v>DI8-C12</v>
      </c>
      <c r="EZ37" t="str">
        <f t="shared" si="46"/>
        <v>DI8-B12</v>
      </c>
      <c r="FA37" t="str">
        <f t="shared" si="57"/>
        <v>DO5-7B</v>
      </c>
      <c r="FB37" t="str">
        <f t="shared" si="57"/>
        <v>DO5-7A</v>
      </c>
      <c r="FC37" t="str">
        <f t="shared" si="58"/>
        <v>DO5-8B</v>
      </c>
      <c r="FD37" t="str">
        <f t="shared" si="58"/>
        <v>DO5-8A</v>
      </c>
      <c r="FE37" t="str">
        <f t="shared" si="59"/>
        <v>K36-03</v>
      </c>
      <c r="FF37" t="str">
        <f t="shared" si="60"/>
        <v>K36-04</v>
      </c>
      <c r="FG37" t="str">
        <f t="shared" si="61"/>
        <v>K36-01</v>
      </c>
      <c r="FH37" t="str">
        <f t="shared" si="62"/>
        <v>K36-02</v>
      </c>
      <c r="FI37" t="str">
        <f t="shared" si="47"/>
        <v>K36-05</v>
      </c>
      <c r="FJ37" t="str">
        <f t="shared" si="63"/>
        <v>F0-M36-H1</v>
      </c>
      <c r="FK37" t="str">
        <f t="shared" si="64"/>
        <v>F0-M36-A1</v>
      </c>
      <c r="FL37" t="str">
        <f t="shared" si="65"/>
        <v>F0-M36-3</v>
      </c>
      <c r="FM37" t="str">
        <f t="shared" si="66"/>
        <v>F0-M36-2</v>
      </c>
      <c r="FN37" t="str">
        <f t="shared" si="67"/>
        <v>F0-M36-16</v>
      </c>
      <c r="FO37" t="str">
        <f t="shared" si="68"/>
        <v>F0-M36-15</v>
      </c>
      <c r="FP37" t="str">
        <f t="shared" si="69"/>
        <v>F0-A220-M36</v>
      </c>
      <c r="FQ37" t="str">
        <f t="shared" si="48"/>
        <v>F0-M36-XM01</v>
      </c>
      <c r="FR37" t="s">
        <v>142</v>
      </c>
      <c r="FS37" t="s">
        <v>143</v>
      </c>
      <c r="FT37">
        <v>11</v>
      </c>
      <c r="FU37">
        <v>14</v>
      </c>
      <c r="FV37" t="s">
        <v>145</v>
      </c>
      <c r="FW37" t="s">
        <v>144</v>
      </c>
      <c r="FX37">
        <v>1</v>
      </c>
      <c r="FY37">
        <v>2</v>
      </c>
      <c r="FZ37">
        <v>3</v>
      </c>
      <c r="GA37">
        <v>4</v>
      </c>
      <c r="GB37">
        <v>5</v>
      </c>
      <c r="GC37">
        <v>6</v>
      </c>
      <c r="GD37">
        <v>7</v>
      </c>
      <c r="GE37">
        <v>8</v>
      </c>
      <c r="GF37">
        <v>9</v>
      </c>
      <c r="GG37">
        <v>1</v>
      </c>
      <c r="GH37">
        <v>2</v>
      </c>
      <c r="GI37">
        <v>3</v>
      </c>
      <c r="GJ37">
        <v>4</v>
      </c>
      <c r="GK37">
        <v>5</v>
      </c>
      <c r="GL37">
        <v>1</v>
      </c>
      <c r="GM37">
        <v>2</v>
      </c>
      <c r="GN37">
        <v>4</v>
      </c>
      <c r="GO37" s="16">
        <v>5</v>
      </c>
    </row>
    <row r="38" spans="1:281" x14ac:dyDescent="0.25">
      <c r="A38" t="s">
        <v>350</v>
      </c>
      <c r="B38" t="s">
        <v>349</v>
      </c>
      <c r="P38" t="s">
        <v>281</v>
      </c>
      <c r="T38" s="14" t="s">
        <v>554</v>
      </c>
      <c r="U38" s="15">
        <v>37</v>
      </c>
      <c r="V38" t="s">
        <v>351</v>
      </c>
      <c r="W38" t="s">
        <v>352</v>
      </c>
      <c r="AC38" t="s">
        <v>277</v>
      </c>
      <c r="AD38" t="s">
        <v>153</v>
      </c>
      <c r="AE38" t="s">
        <v>154</v>
      </c>
      <c r="AF38" t="s">
        <v>383</v>
      </c>
      <c r="AG38" t="s">
        <v>285</v>
      </c>
      <c r="AH38" t="s">
        <v>286</v>
      </c>
      <c r="AI38">
        <v>46</v>
      </c>
      <c r="AJ38" t="str">
        <f t="shared" si="49"/>
        <v>46XT</v>
      </c>
      <c r="AK38" t="str">
        <f t="shared" si="43"/>
        <v>46X</v>
      </c>
      <c r="AL38" t="s">
        <v>137</v>
      </c>
      <c r="AM38" t="s">
        <v>138</v>
      </c>
      <c r="AN38" t="str">
        <f t="shared" si="44"/>
        <v>Соединительная коробка (F0NDG24GB801)</v>
      </c>
      <c r="AP38" t="s">
        <v>139</v>
      </c>
      <c r="AQ38" t="s">
        <v>140</v>
      </c>
      <c r="AZ38" s="16"/>
      <c r="EN38" s="27" t="str">
        <f t="shared" si="45"/>
        <v>XT37</v>
      </c>
      <c r="EO38" t="str">
        <f t="shared" si="50"/>
        <v>C14</v>
      </c>
      <c r="EP38" t="str">
        <f t="shared" si="51"/>
        <v>B14</v>
      </c>
      <c r="EQ38" t="str">
        <f t="shared" si="52"/>
        <v>C15</v>
      </c>
      <c r="ER38" t="str">
        <f t="shared" si="53"/>
        <v>B15</v>
      </c>
      <c r="ES38" t="str">
        <f t="shared" si="54"/>
        <v>10B</v>
      </c>
      <c r="ET38" t="str">
        <f t="shared" si="55"/>
        <v>10A</v>
      </c>
      <c r="EU38" t="str">
        <f t="shared" si="56"/>
        <v>DI8-C13</v>
      </c>
      <c r="EV38" t="str">
        <f t="shared" si="56"/>
        <v>DI8-B13</v>
      </c>
      <c r="EW38" t="str">
        <f t="shared" si="46"/>
        <v>DI8-C14</v>
      </c>
      <c r="EX38" t="str">
        <f t="shared" si="46"/>
        <v>DI8-B14</v>
      </c>
      <c r="EY38" t="str">
        <f t="shared" si="46"/>
        <v>DI8-C15</v>
      </c>
      <c r="EZ38" t="str">
        <f t="shared" si="46"/>
        <v>DI8-B15</v>
      </c>
      <c r="FA38" t="str">
        <f t="shared" si="57"/>
        <v>DO5-9B</v>
      </c>
      <c r="FB38" t="str">
        <f t="shared" si="57"/>
        <v>DO5-9A</v>
      </c>
      <c r="FC38" t="str">
        <f t="shared" si="58"/>
        <v>DO5-10B</v>
      </c>
      <c r="FD38" t="str">
        <f t="shared" si="58"/>
        <v>DO5-10A</v>
      </c>
      <c r="FE38" t="str">
        <f t="shared" si="59"/>
        <v>K37-03</v>
      </c>
      <c r="FF38" t="str">
        <f t="shared" si="60"/>
        <v>K37-04</v>
      </c>
      <c r="FG38" t="str">
        <f t="shared" si="61"/>
        <v>K37-01</v>
      </c>
      <c r="FH38" t="str">
        <f t="shared" si="62"/>
        <v>K37-02</v>
      </c>
      <c r="FI38" t="str">
        <f t="shared" si="47"/>
        <v>K37-05</v>
      </c>
      <c r="FJ38" t="str">
        <f t="shared" si="63"/>
        <v>F0-M37-H1</v>
      </c>
      <c r="FK38" t="str">
        <f t="shared" si="64"/>
        <v>F0-M37-A1</v>
      </c>
      <c r="FL38" t="str">
        <f t="shared" si="65"/>
        <v>F0-M37-3</v>
      </c>
      <c r="FM38" t="str">
        <f t="shared" si="66"/>
        <v>F0-M37-2</v>
      </c>
      <c r="FN38" t="str">
        <f t="shared" si="67"/>
        <v>F0-M37-16</v>
      </c>
      <c r="FO38" t="str">
        <f t="shared" si="68"/>
        <v>F0-M37-15</v>
      </c>
      <c r="FP38" t="str">
        <f t="shared" si="69"/>
        <v>F0-A220-M37</v>
      </c>
      <c r="FQ38" t="str">
        <f t="shared" si="48"/>
        <v>F0-M37-XM01</v>
      </c>
      <c r="FR38" t="s">
        <v>142</v>
      </c>
      <c r="FS38" t="s">
        <v>143</v>
      </c>
      <c r="FT38">
        <v>11</v>
      </c>
      <c r="FU38">
        <v>14</v>
      </c>
      <c r="FV38" t="s">
        <v>145</v>
      </c>
      <c r="FW38" t="s">
        <v>144</v>
      </c>
      <c r="FX38">
        <v>1</v>
      </c>
      <c r="FY38">
        <v>2</v>
      </c>
      <c r="FZ38">
        <v>3</v>
      </c>
      <c r="GA38">
        <v>4</v>
      </c>
      <c r="GB38">
        <v>5</v>
      </c>
      <c r="GC38">
        <v>6</v>
      </c>
      <c r="GD38">
        <v>7</v>
      </c>
      <c r="GE38">
        <v>8</v>
      </c>
      <c r="GF38">
        <v>9</v>
      </c>
      <c r="GG38">
        <v>1</v>
      </c>
      <c r="GH38">
        <v>2</v>
      </c>
      <c r="GI38">
        <v>3</v>
      </c>
      <c r="GJ38">
        <v>4</v>
      </c>
      <c r="GK38">
        <v>5</v>
      </c>
      <c r="GL38">
        <v>1</v>
      </c>
      <c r="GM38">
        <v>2</v>
      </c>
      <c r="GN38">
        <v>4</v>
      </c>
      <c r="GO38" s="16">
        <v>5</v>
      </c>
    </row>
    <row r="39" spans="1:281" x14ac:dyDescent="0.25">
      <c r="A39" t="s">
        <v>356</v>
      </c>
      <c r="B39" t="s">
        <v>355</v>
      </c>
      <c r="P39" t="s">
        <v>281</v>
      </c>
      <c r="T39" s="14" t="s">
        <v>554</v>
      </c>
      <c r="U39" s="15">
        <v>38</v>
      </c>
      <c r="V39" s="15" t="s">
        <v>353</v>
      </c>
      <c r="W39" s="15" t="s">
        <v>354</v>
      </c>
      <c r="AC39" t="s">
        <v>277</v>
      </c>
      <c r="AD39" t="s">
        <v>379</v>
      </c>
      <c r="AE39" t="s">
        <v>380</v>
      </c>
      <c r="AF39" t="s">
        <v>383</v>
      </c>
      <c r="AG39" t="s">
        <v>371</v>
      </c>
      <c r="AH39" t="s">
        <v>374</v>
      </c>
      <c r="AI39">
        <v>55</v>
      </c>
      <c r="AJ39" t="str">
        <f t="shared" si="49"/>
        <v>55XT</v>
      </c>
      <c r="AK39" t="str">
        <f t="shared" si="43"/>
        <v>55X</v>
      </c>
      <c r="AL39" t="s">
        <v>137</v>
      </c>
      <c r="AM39" t="s">
        <v>138</v>
      </c>
      <c r="AN39" t="str">
        <f t="shared" si="44"/>
        <v>Соединительная коробка (F0NDG20GB803)</v>
      </c>
      <c r="AP39" t="s">
        <v>139</v>
      </c>
      <c r="AQ39" t="s">
        <v>140</v>
      </c>
      <c r="AZ39" s="16"/>
      <c r="EN39" s="27" t="str">
        <f t="shared" si="45"/>
        <v>XT38</v>
      </c>
      <c r="EO39" t="str">
        <f t="shared" si="50"/>
        <v>C17</v>
      </c>
      <c r="EP39" t="str">
        <f t="shared" si="51"/>
        <v>B17</v>
      </c>
      <c r="EQ39" t="str">
        <f t="shared" si="52"/>
        <v>C18</v>
      </c>
      <c r="ER39" t="str">
        <f t="shared" si="53"/>
        <v>B18</v>
      </c>
      <c r="ES39" t="str">
        <f t="shared" si="54"/>
        <v>12B</v>
      </c>
      <c r="ET39" t="str">
        <f t="shared" si="55"/>
        <v>12A</v>
      </c>
      <c r="EU39" t="str">
        <f t="shared" si="56"/>
        <v>DI8-C16</v>
      </c>
      <c r="EV39" t="str">
        <f t="shared" si="56"/>
        <v>DI8-B16</v>
      </c>
      <c r="EW39" t="str">
        <f t="shared" si="46"/>
        <v>DI8-C17</v>
      </c>
      <c r="EX39" t="str">
        <f t="shared" si="46"/>
        <v>DI8-B17</v>
      </c>
      <c r="EY39" t="str">
        <f t="shared" si="46"/>
        <v>DI8-C18</v>
      </c>
      <c r="EZ39" t="str">
        <f t="shared" si="46"/>
        <v>DI8-B18</v>
      </c>
      <c r="FA39" t="str">
        <f t="shared" si="57"/>
        <v>DO5-11B</v>
      </c>
      <c r="FB39" t="str">
        <f t="shared" si="57"/>
        <v>DO5-11A</v>
      </c>
      <c r="FC39" t="str">
        <f t="shared" si="58"/>
        <v>DO5-12B</v>
      </c>
      <c r="FD39" t="str">
        <f t="shared" si="58"/>
        <v>DO5-12A</v>
      </c>
      <c r="FE39" t="str">
        <f t="shared" si="59"/>
        <v>K38-03</v>
      </c>
      <c r="FF39" t="str">
        <f t="shared" si="60"/>
        <v>K38-04</v>
      </c>
      <c r="FG39" t="str">
        <f t="shared" si="61"/>
        <v>K38-01</v>
      </c>
      <c r="FH39" t="str">
        <f t="shared" si="62"/>
        <v>K38-02</v>
      </c>
      <c r="FI39" t="str">
        <f t="shared" si="47"/>
        <v>K38-05</v>
      </c>
      <c r="FJ39" t="str">
        <f t="shared" si="63"/>
        <v>F0-M38-H1</v>
      </c>
      <c r="FK39" t="str">
        <f t="shared" si="64"/>
        <v>F0-M38-A1</v>
      </c>
      <c r="FL39" t="str">
        <f t="shared" si="65"/>
        <v>F0-M38-3</v>
      </c>
      <c r="FM39" t="str">
        <f t="shared" si="66"/>
        <v>F0-M38-2</v>
      </c>
      <c r="FN39" t="str">
        <f t="shared" si="67"/>
        <v>F0-M38-16</v>
      </c>
      <c r="FO39" t="str">
        <f t="shared" si="68"/>
        <v>F0-M38-15</v>
      </c>
      <c r="FP39" t="str">
        <f t="shared" si="69"/>
        <v>F0-A220-M38</v>
      </c>
      <c r="FQ39" t="str">
        <f t="shared" si="48"/>
        <v>F0-M38-XM01</v>
      </c>
      <c r="FR39" t="s">
        <v>142</v>
      </c>
      <c r="FS39" t="s">
        <v>143</v>
      </c>
      <c r="FT39">
        <v>11</v>
      </c>
      <c r="FU39">
        <v>14</v>
      </c>
      <c r="FV39" t="s">
        <v>145</v>
      </c>
      <c r="FW39" t="s">
        <v>144</v>
      </c>
      <c r="FX39">
        <v>1</v>
      </c>
      <c r="FY39">
        <v>2</v>
      </c>
      <c r="FZ39">
        <v>3</v>
      </c>
      <c r="GA39">
        <v>4</v>
      </c>
      <c r="GB39">
        <v>5</v>
      </c>
      <c r="GC39">
        <v>6</v>
      </c>
      <c r="GD39">
        <v>7</v>
      </c>
      <c r="GE39">
        <v>8</v>
      </c>
      <c r="GF39">
        <v>9</v>
      </c>
      <c r="GG39">
        <v>1</v>
      </c>
      <c r="GH39">
        <v>2</v>
      </c>
      <c r="GI39">
        <v>3</v>
      </c>
      <c r="GJ39">
        <v>4</v>
      </c>
      <c r="GK39">
        <v>5</v>
      </c>
      <c r="GL39">
        <v>1</v>
      </c>
      <c r="GM39">
        <v>2</v>
      </c>
      <c r="GN39">
        <v>4</v>
      </c>
      <c r="GO39" s="16">
        <v>5</v>
      </c>
    </row>
    <row r="40" spans="1:281" x14ac:dyDescent="0.25">
      <c r="A40" t="s">
        <v>358</v>
      </c>
      <c r="B40" s="29" t="s">
        <v>357</v>
      </c>
      <c r="P40" t="s">
        <v>281</v>
      </c>
      <c r="T40" s="14" t="s">
        <v>554</v>
      </c>
      <c r="U40" s="15">
        <v>39</v>
      </c>
      <c r="V40" t="s">
        <v>359</v>
      </c>
      <c r="W40" t="s">
        <v>360</v>
      </c>
      <c r="AC40" t="s">
        <v>277</v>
      </c>
      <c r="AD40" t="s">
        <v>239</v>
      </c>
      <c r="AE40" t="s">
        <v>241</v>
      </c>
      <c r="AF40" t="s">
        <v>383</v>
      </c>
      <c r="AG40" t="s">
        <v>248</v>
      </c>
      <c r="AH40" t="s">
        <v>255</v>
      </c>
      <c r="AI40">
        <v>56</v>
      </c>
      <c r="AJ40" t="str">
        <f t="shared" si="49"/>
        <v>56XT</v>
      </c>
      <c r="AK40" t="str">
        <f t="shared" si="43"/>
        <v>56X</v>
      </c>
      <c r="AL40" t="s">
        <v>137</v>
      </c>
      <c r="AM40" t="s">
        <v>138</v>
      </c>
      <c r="AN40" t="str">
        <f t="shared" si="44"/>
        <v>Соединительная коробка (F0GAC01GB801)</v>
      </c>
      <c r="AP40" t="s">
        <v>139</v>
      </c>
      <c r="AQ40" t="s">
        <v>140</v>
      </c>
      <c r="AZ40" s="16"/>
      <c r="EN40" s="27" t="str">
        <f t="shared" si="45"/>
        <v>XT39</v>
      </c>
      <c r="EO40" t="str">
        <f t="shared" si="50"/>
        <v>C20</v>
      </c>
      <c r="EP40" t="str">
        <f t="shared" si="51"/>
        <v>B20</v>
      </c>
      <c r="EQ40" t="str">
        <f t="shared" si="52"/>
        <v>C21</v>
      </c>
      <c r="ER40" t="str">
        <f t="shared" si="53"/>
        <v>B21</v>
      </c>
      <c r="ES40" t="str">
        <f t="shared" si="54"/>
        <v>14B</v>
      </c>
      <c r="ET40" t="str">
        <f t="shared" si="55"/>
        <v>14A</v>
      </c>
      <c r="EU40" t="str">
        <f t="shared" si="56"/>
        <v>DI8-C19</v>
      </c>
      <c r="EV40" t="str">
        <f t="shared" si="56"/>
        <v>DI8-B19</v>
      </c>
      <c r="EW40" t="str">
        <f t="shared" si="46"/>
        <v>DI8-C20</v>
      </c>
      <c r="EX40" t="str">
        <f t="shared" si="46"/>
        <v>DI8-B20</v>
      </c>
      <c r="EY40" t="str">
        <f t="shared" si="46"/>
        <v>DI8-C21</v>
      </c>
      <c r="EZ40" t="str">
        <f t="shared" si="46"/>
        <v>DI8-B21</v>
      </c>
      <c r="FA40" t="str">
        <f t="shared" si="57"/>
        <v>DO5-13B</v>
      </c>
      <c r="FB40" t="str">
        <f t="shared" si="57"/>
        <v>DO5-13A</v>
      </c>
      <c r="FC40" t="str">
        <f t="shared" si="58"/>
        <v>DO5-14B</v>
      </c>
      <c r="FD40" t="str">
        <f t="shared" si="58"/>
        <v>DO5-14A</v>
      </c>
      <c r="FE40" t="str">
        <f t="shared" si="59"/>
        <v>K39-03</v>
      </c>
      <c r="FF40" t="str">
        <f t="shared" si="60"/>
        <v>K39-04</v>
      </c>
      <c r="FG40" t="str">
        <f t="shared" si="61"/>
        <v>K39-01</v>
      </c>
      <c r="FH40" t="str">
        <f t="shared" si="62"/>
        <v>K39-02</v>
      </c>
      <c r="FI40" t="str">
        <f t="shared" si="47"/>
        <v>K39-05</v>
      </c>
      <c r="FJ40" t="str">
        <f t="shared" si="63"/>
        <v>F0-M39-H1</v>
      </c>
      <c r="FK40" t="str">
        <f t="shared" si="64"/>
        <v>F0-M39-A1</v>
      </c>
      <c r="FL40" t="str">
        <f t="shared" si="65"/>
        <v>F0-M39-3</v>
      </c>
      <c r="FM40" t="str">
        <f t="shared" si="66"/>
        <v>F0-M39-2</v>
      </c>
      <c r="FN40" t="str">
        <f t="shared" si="67"/>
        <v>F0-M39-16</v>
      </c>
      <c r="FO40" t="str">
        <f t="shared" si="68"/>
        <v>F0-M39-15</v>
      </c>
      <c r="FP40" t="str">
        <f t="shared" si="69"/>
        <v>F0-A220-M39</v>
      </c>
      <c r="FQ40" t="str">
        <f t="shared" si="48"/>
        <v>F0-M39-XM01</v>
      </c>
      <c r="FR40" t="s">
        <v>142</v>
      </c>
      <c r="FS40" t="s">
        <v>143</v>
      </c>
      <c r="FT40">
        <v>11</v>
      </c>
      <c r="FU40">
        <v>14</v>
      </c>
      <c r="FV40" t="s">
        <v>145</v>
      </c>
      <c r="FW40" t="s">
        <v>144</v>
      </c>
      <c r="FX40">
        <v>1</v>
      </c>
      <c r="FY40">
        <v>2</v>
      </c>
      <c r="FZ40">
        <v>3</v>
      </c>
      <c r="GA40">
        <v>4</v>
      </c>
      <c r="GB40">
        <v>5</v>
      </c>
      <c r="GC40">
        <v>6</v>
      </c>
      <c r="GD40">
        <v>7</v>
      </c>
      <c r="GE40">
        <v>8</v>
      </c>
      <c r="GF40">
        <v>9</v>
      </c>
      <c r="GG40">
        <v>1</v>
      </c>
      <c r="GH40">
        <v>2</v>
      </c>
      <c r="GI40">
        <v>3</v>
      </c>
      <c r="GJ40">
        <v>4</v>
      </c>
      <c r="GK40">
        <v>5</v>
      </c>
      <c r="GL40">
        <v>1</v>
      </c>
      <c r="GM40">
        <v>2</v>
      </c>
      <c r="GN40">
        <v>4</v>
      </c>
      <c r="GO40" s="16">
        <v>5</v>
      </c>
    </row>
    <row r="41" spans="1:281" x14ac:dyDescent="0.25">
      <c r="A41" t="s">
        <v>364</v>
      </c>
      <c r="B41" s="29" t="s">
        <v>363</v>
      </c>
      <c r="P41" t="s">
        <v>281</v>
      </c>
      <c r="T41" s="14" t="s">
        <v>554</v>
      </c>
      <c r="U41" s="15">
        <v>40</v>
      </c>
      <c r="V41" s="15" t="s">
        <v>361</v>
      </c>
      <c r="W41" s="15" t="s">
        <v>362</v>
      </c>
      <c r="AC41" t="s">
        <v>277</v>
      </c>
      <c r="AD41" t="s">
        <v>381</v>
      </c>
      <c r="AE41" t="s">
        <v>382</v>
      </c>
      <c r="AF41" t="s">
        <v>383</v>
      </c>
      <c r="AG41" t="s">
        <v>372</v>
      </c>
      <c r="AH41" t="s">
        <v>375</v>
      </c>
      <c r="AI41">
        <v>57</v>
      </c>
      <c r="AJ41" t="str">
        <f t="shared" si="49"/>
        <v>57XT</v>
      </c>
      <c r="AK41" t="str">
        <f t="shared" si="43"/>
        <v>57X</v>
      </c>
      <c r="AL41" t="s">
        <v>137</v>
      </c>
      <c r="AM41" t="s">
        <v>138</v>
      </c>
      <c r="AN41" t="str">
        <f t="shared" si="44"/>
        <v>Соединительная коробка (F0GAC01GB802)</v>
      </c>
      <c r="AP41" t="s">
        <v>139</v>
      </c>
      <c r="AQ41" t="s">
        <v>140</v>
      </c>
      <c r="AZ41" s="16"/>
      <c r="EN41" s="27" t="str">
        <f t="shared" si="45"/>
        <v>XT40</v>
      </c>
      <c r="EO41" t="str">
        <f t="shared" si="50"/>
        <v>C23</v>
      </c>
      <c r="EP41" t="str">
        <f t="shared" si="51"/>
        <v>B23</v>
      </c>
      <c r="EQ41" t="str">
        <f t="shared" si="52"/>
        <v>C24</v>
      </c>
      <c r="ER41" t="str">
        <f t="shared" si="53"/>
        <v>B24</v>
      </c>
      <c r="ES41" t="str">
        <f t="shared" si="54"/>
        <v>16B</v>
      </c>
      <c r="ET41" t="str">
        <f t="shared" si="55"/>
        <v>16A</v>
      </c>
      <c r="EU41" t="str">
        <f t="shared" si="56"/>
        <v>DI8-C22</v>
      </c>
      <c r="EV41" t="str">
        <f t="shared" si="56"/>
        <v>DI8-B22</v>
      </c>
      <c r="EW41" t="str">
        <f t="shared" si="46"/>
        <v>DI8-C23</v>
      </c>
      <c r="EX41" t="str">
        <f t="shared" si="46"/>
        <v>DI8-B23</v>
      </c>
      <c r="EY41" t="str">
        <f t="shared" si="46"/>
        <v>DI8-C24</v>
      </c>
      <c r="EZ41" t="str">
        <f t="shared" si="46"/>
        <v>DI8-B24</v>
      </c>
      <c r="FA41" t="str">
        <f t="shared" si="57"/>
        <v>DO5-15B</v>
      </c>
      <c r="FB41" t="str">
        <f t="shared" si="57"/>
        <v>DO5-15A</v>
      </c>
      <c r="FC41" t="str">
        <f t="shared" si="58"/>
        <v>DO5-16B</v>
      </c>
      <c r="FD41" t="str">
        <f t="shared" si="58"/>
        <v>DO5-16A</v>
      </c>
      <c r="FE41" t="str">
        <f t="shared" si="59"/>
        <v>K40-03</v>
      </c>
      <c r="FF41" t="str">
        <f t="shared" si="60"/>
        <v>K40-04</v>
      </c>
      <c r="FG41" t="str">
        <f t="shared" si="61"/>
        <v>K40-01</v>
      </c>
      <c r="FH41" t="str">
        <f t="shared" si="62"/>
        <v>K40-02</v>
      </c>
      <c r="FI41" t="str">
        <f t="shared" si="47"/>
        <v>K40-05</v>
      </c>
      <c r="FJ41" t="str">
        <f t="shared" si="63"/>
        <v>F0-M40-H1</v>
      </c>
      <c r="FK41" t="str">
        <f t="shared" si="64"/>
        <v>F0-M40-A1</v>
      </c>
      <c r="FL41" t="str">
        <f t="shared" si="65"/>
        <v>F0-M40-3</v>
      </c>
      <c r="FM41" t="str">
        <f t="shared" si="66"/>
        <v>F0-M40-2</v>
      </c>
      <c r="FN41" t="str">
        <f t="shared" si="67"/>
        <v>F0-M40-16</v>
      </c>
      <c r="FO41" t="str">
        <f t="shared" si="68"/>
        <v>F0-M40-15</v>
      </c>
      <c r="FP41" t="str">
        <f t="shared" si="69"/>
        <v>F0-A220-M40</v>
      </c>
      <c r="FQ41" t="str">
        <f t="shared" si="48"/>
        <v>F0-M40-XM01</v>
      </c>
      <c r="FR41" t="s">
        <v>142</v>
      </c>
      <c r="FS41" t="s">
        <v>143</v>
      </c>
      <c r="FT41">
        <v>11</v>
      </c>
      <c r="FU41">
        <v>14</v>
      </c>
      <c r="FV41" t="s">
        <v>145</v>
      </c>
      <c r="FW41" t="s">
        <v>144</v>
      </c>
      <c r="FX41">
        <v>1</v>
      </c>
      <c r="FY41">
        <v>2</v>
      </c>
      <c r="FZ41">
        <v>3</v>
      </c>
      <c r="GA41">
        <v>4</v>
      </c>
      <c r="GB41">
        <v>5</v>
      </c>
      <c r="GC41">
        <v>6</v>
      </c>
      <c r="GD41">
        <v>7</v>
      </c>
      <c r="GE41">
        <v>8</v>
      </c>
      <c r="GF41">
        <v>9</v>
      </c>
      <c r="GG41">
        <v>1</v>
      </c>
      <c r="GH41">
        <v>2</v>
      </c>
      <c r="GI41">
        <v>3</v>
      </c>
      <c r="GJ41">
        <v>4</v>
      </c>
      <c r="GK41">
        <v>5</v>
      </c>
      <c r="GL41">
        <v>1</v>
      </c>
      <c r="GM41">
        <v>2</v>
      </c>
      <c r="GN41">
        <v>4</v>
      </c>
      <c r="GO41" s="16">
        <v>5</v>
      </c>
    </row>
    <row r="42" spans="1:281" ht="15.75" thickBot="1" x14ac:dyDescent="0.3">
      <c r="A42" t="s">
        <v>366</v>
      </c>
      <c r="B42" s="29" t="s">
        <v>365</v>
      </c>
      <c r="P42" t="s">
        <v>281</v>
      </c>
      <c r="T42" s="17" t="s">
        <v>554</v>
      </c>
      <c r="U42" s="18">
        <v>41</v>
      </c>
      <c r="V42" s="19" t="s">
        <v>367</v>
      </c>
      <c r="W42" s="19" t="s">
        <v>368</v>
      </c>
      <c r="X42" s="19"/>
      <c r="Y42" s="19"/>
      <c r="Z42" s="19"/>
      <c r="AA42" s="19"/>
      <c r="AB42" s="19"/>
      <c r="AC42" s="19" t="s">
        <v>277</v>
      </c>
      <c r="AD42" s="19" t="s">
        <v>240</v>
      </c>
      <c r="AE42" s="19" t="s">
        <v>242</v>
      </c>
      <c r="AF42" s="19" t="s">
        <v>383</v>
      </c>
      <c r="AG42" s="19" t="s">
        <v>373</v>
      </c>
      <c r="AH42" s="19" t="s">
        <v>376</v>
      </c>
      <c r="AI42" s="19">
        <v>58</v>
      </c>
      <c r="AJ42" s="19" t="str">
        <f t="shared" si="49"/>
        <v>58XT</v>
      </c>
      <c r="AK42" s="19" t="str">
        <f t="shared" si="43"/>
        <v>58X</v>
      </c>
      <c r="AL42" s="19" t="s">
        <v>137</v>
      </c>
      <c r="AM42" s="19" t="s">
        <v>138</v>
      </c>
      <c r="AN42" s="19" t="str">
        <f t="shared" si="44"/>
        <v>Соединительная коробка (F0GBJ01GB801)</v>
      </c>
      <c r="AO42" s="19"/>
      <c r="AP42" s="19" t="s">
        <v>139</v>
      </c>
      <c r="AQ42" s="19" t="s">
        <v>140</v>
      </c>
      <c r="AR42" s="19"/>
      <c r="AS42" s="19"/>
      <c r="AT42" s="19"/>
      <c r="AU42" s="19"/>
      <c r="AV42" s="19"/>
      <c r="AW42" s="19"/>
      <c r="AX42" s="19"/>
      <c r="AY42" s="19"/>
      <c r="AZ42" s="20"/>
      <c r="EN42" s="28" t="str">
        <f t="shared" si="45"/>
        <v>XT41</v>
      </c>
      <c r="EO42" s="19" t="str">
        <f t="shared" si="50"/>
        <v>C26</v>
      </c>
      <c r="EP42" s="19" t="str">
        <f t="shared" si="51"/>
        <v>B26</v>
      </c>
      <c r="EQ42" s="19" t="str">
        <f t="shared" si="52"/>
        <v>C27</v>
      </c>
      <c r="ER42" s="19" t="str">
        <f t="shared" si="53"/>
        <v>B27</v>
      </c>
      <c r="ES42" s="19" t="str">
        <f t="shared" si="54"/>
        <v>18B</v>
      </c>
      <c r="ET42" s="19" t="str">
        <f t="shared" si="55"/>
        <v>18A</v>
      </c>
      <c r="EU42" s="19" t="str">
        <f t="shared" si="56"/>
        <v>DI8-C25</v>
      </c>
      <c r="EV42" s="19" t="str">
        <f t="shared" si="56"/>
        <v>DI8-B25</v>
      </c>
      <c r="EW42" s="19" t="str">
        <f t="shared" si="46"/>
        <v>DI8-C26</v>
      </c>
      <c r="EX42" s="19" t="str">
        <f t="shared" si="46"/>
        <v>DI8-B26</v>
      </c>
      <c r="EY42" s="19" t="str">
        <f t="shared" si="46"/>
        <v>DI8-C27</v>
      </c>
      <c r="EZ42" s="19" t="str">
        <f t="shared" si="46"/>
        <v>DI8-B27</v>
      </c>
      <c r="FA42" s="19" t="str">
        <f t="shared" si="57"/>
        <v>DO5-17B</v>
      </c>
      <c r="FB42" s="19" t="str">
        <f t="shared" si="57"/>
        <v>DO5-17A</v>
      </c>
      <c r="FC42" s="19" t="str">
        <f t="shared" si="58"/>
        <v>DO5-18B</v>
      </c>
      <c r="FD42" s="19" t="str">
        <f t="shared" si="58"/>
        <v>DO5-18A</v>
      </c>
      <c r="FE42" s="19" t="str">
        <f t="shared" si="59"/>
        <v>K41-03</v>
      </c>
      <c r="FF42" s="19" t="str">
        <f t="shared" si="60"/>
        <v>K41-04</v>
      </c>
      <c r="FG42" s="19" t="str">
        <f t="shared" si="61"/>
        <v>K41-01</v>
      </c>
      <c r="FH42" s="19" t="str">
        <f t="shared" si="62"/>
        <v>K41-02</v>
      </c>
      <c r="FI42" s="19" t="str">
        <f t="shared" si="47"/>
        <v>K41-05</v>
      </c>
      <c r="FJ42" s="19" t="str">
        <f t="shared" si="63"/>
        <v>F0-M41-H1</v>
      </c>
      <c r="FK42" s="19" t="str">
        <f t="shared" si="64"/>
        <v>F0-M41-A1</v>
      </c>
      <c r="FL42" s="19" t="str">
        <f t="shared" si="65"/>
        <v>F0-M41-3</v>
      </c>
      <c r="FM42" s="19" t="str">
        <f t="shared" si="66"/>
        <v>F0-M41-2</v>
      </c>
      <c r="FN42" s="19" t="str">
        <f t="shared" si="67"/>
        <v>F0-M41-16</v>
      </c>
      <c r="FO42" s="19" t="str">
        <f t="shared" si="68"/>
        <v>F0-M41-15</v>
      </c>
      <c r="FP42" s="19" t="str">
        <f t="shared" si="69"/>
        <v>F0-A220-M41</v>
      </c>
      <c r="FQ42" s="19" t="str">
        <f t="shared" si="48"/>
        <v>F0-M41-XM01</v>
      </c>
      <c r="FR42" s="19" t="s">
        <v>142</v>
      </c>
      <c r="FS42" s="19" t="s">
        <v>143</v>
      </c>
      <c r="FT42" s="19">
        <v>11</v>
      </c>
      <c r="FU42" s="19">
        <v>14</v>
      </c>
      <c r="FV42" s="19" t="s">
        <v>145</v>
      </c>
      <c r="FW42" s="19" t="s">
        <v>144</v>
      </c>
      <c r="FX42" s="19">
        <v>1</v>
      </c>
      <c r="FY42" s="19">
        <v>2</v>
      </c>
      <c r="FZ42" s="19">
        <v>3</v>
      </c>
      <c r="GA42" s="19">
        <v>4</v>
      </c>
      <c r="GB42" s="19">
        <v>5</v>
      </c>
      <c r="GC42" s="19">
        <v>6</v>
      </c>
      <c r="GD42" s="19">
        <v>7</v>
      </c>
      <c r="GE42" s="19">
        <v>8</v>
      </c>
      <c r="GF42" s="19">
        <v>9</v>
      </c>
      <c r="GG42" s="19">
        <v>1</v>
      </c>
      <c r="GH42" s="19">
        <v>2</v>
      </c>
      <c r="GI42" s="19">
        <v>3</v>
      </c>
      <c r="GJ42" s="19">
        <v>4</v>
      </c>
      <c r="GK42" s="19">
        <v>5</v>
      </c>
      <c r="GL42" s="19">
        <v>1</v>
      </c>
      <c r="GM42" s="19">
        <v>2</v>
      </c>
      <c r="GN42" s="19">
        <v>4</v>
      </c>
      <c r="GO42" s="20">
        <v>5</v>
      </c>
    </row>
    <row r="43" spans="1:281" x14ac:dyDescent="0.25">
      <c r="A43" t="s">
        <v>390</v>
      </c>
      <c r="B43" t="s">
        <v>389</v>
      </c>
      <c r="P43" t="s">
        <v>391</v>
      </c>
      <c r="T43" s="10" t="s">
        <v>554</v>
      </c>
      <c r="U43" s="11">
        <v>42</v>
      </c>
      <c r="V43" s="11" t="s">
        <v>392</v>
      </c>
      <c r="W43" s="11" t="s">
        <v>393</v>
      </c>
      <c r="X43" s="12" t="s">
        <v>400</v>
      </c>
      <c r="Y43" s="43" t="str" cm="1">
        <f t="array" ref="Y43">IF(COUNTIFS($X$2:$X43,$X43)=1,"1",VALUE(SUBSTITUTE(INDEX(Y:Y,_xlfn.XMATCH($X43,$X$1:$X42,0,-1)),"A",""))+INDEX(Z:Z,_xlfn.XMATCH($X43,$X$1:$X42,0,-1))+1)</f>
        <v>1</v>
      </c>
      <c r="Z43" s="43" cm="1">
        <f t="array" ref="Z43">SUM(IF(ISNUMBER(FIND("TmAi",$BA$1:$ZZ$1)),IF(IFERROR(ISODD(SUBSTITUTE($BA43:$ZZ43,"A","")),FALSE),IF(ISODD(SUBSTITUTE($BA43:$ZZ43,"A","")),1,0),0)))</f>
        <v>0</v>
      </c>
      <c r="AA43" t="str">
        <f>CONCATENATE($Y43*2-1,"A")</f>
        <v>1A</v>
      </c>
      <c r="AB43" t="str">
        <f>CONCATENATE($Y43*2-1,"B")</f>
        <v>1B</v>
      </c>
      <c r="AC43" s="12" t="s">
        <v>278</v>
      </c>
      <c r="AD43" s="11" t="s">
        <v>133</v>
      </c>
      <c r="AE43" s="11" t="s">
        <v>134</v>
      </c>
      <c r="AF43" s="11" t="s">
        <v>388</v>
      </c>
      <c r="AG43" s="11" t="s">
        <v>135</v>
      </c>
      <c r="AH43" s="11" t="s">
        <v>136</v>
      </c>
      <c r="AI43" s="12" t="s">
        <v>394</v>
      </c>
      <c r="AJ43" s="12"/>
      <c r="AK43" s="12"/>
      <c r="AL43" s="12" t="s">
        <v>137</v>
      </c>
      <c r="AM43" s="12" t="s">
        <v>138</v>
      </c>
      <c r="AN43" s="12"/>
      <c r="AO43" s="12" t="s">
        <v>396</v>
      </c>
      <c r="AP43" s="12" t="s">
        <v>139</v>
      </c>
      <c r="AQ43" s="12" t="s">
        <v>140</v>
      </c>
      <c r="AR43" s="12"/>
      <c r="AS43" s="12"/>
      <c r="AT43" s="12"/>
      <c r="AU43" s="12"/>
      <c r="AV43" s="12"/>
      <c r="AW43" s="12"/>
      <c r="AX43" s="12"/>
      <c r="AY43" s="12"/>
      <c r="AZ43" s="13"/>
      <c r="GP43" s="25" t="str">
        <f t="shared" ref="GP43:GP55" si="70">CONCATENATE("XT",U43)</f>
        <v>XT42</v>
      </c>
      <c r="GQ43" s="12" t="str">
        <f>CONCATENATE("C",REPLACE(AD43,1,1,"")+1)</f>
        <v>C2</v>
      </c>
      <c r="GR43" s="12" t="str">
        <f>CONCATENATE("B",REPLACE(AE43,1,1,"")+1)</f>
        <v>B2</v>
      </c>
      <c r="GS43" s="12" t="str">
        <f>CONCATENATE("C",REPLACE(GQ43,1,1,"")+1)</f>
        <v>C3</v>
      </c>
      <c r="GT43" s="12" t="str">
        <f>CONCATENATE("B",REPLACE(GR43,1,1,"")+1)</f>
        <v>B3</v>
      </c>
      <c r="GU43" s="12" t="str">
        <f>CONCATENATE("C",REPLACE(GS43,1,1,"")+1)</f>
        <v>C4</v>
      </c>
      <c r="GV43" s="12" t="str">
        <f>CONCATENATE("B",REPLACE(GT43,1,1,"")+1)</f>
        <v>B4</v>
      </c>
      <c r="GW43" s="12" t="str">
        <f>CONCATENATE("C",REPLACE(GU43,1,1,"")+1)</f>
        <v>C5</v>
      </c>
      <c r="GX43" s="12" t="str">
        <f>CONCATENATE("B",REPLACE(GV43,1,1,"")+1)</f>
        <v>B5</v>
      </c>
      <c r="GY43" s="12" t="str">
        <f>CONCATENATE("C",REPLACE(GW43,1,1,"")+1)</f>
        <v>C6</v>
      </c>
      <c r="GZ43" s="12" t="str">
        <f>CONCATENATE("B",REPLACE(GX43,1,1,"")+1)</f>
        <v>B6</v>
      </c>
      <c r="HA43" s="12" t="str">
        <f>CONCATENATE(REPLACE(AG43,LEN(AG43),1,"")+1,"B")</f>
        <v>2B</v>
      </c>
      <c r="HB43" s="12" t="str">
        <f>CONCATENATE(REPLACE(AH43,LEN(AH43),1,"")+1,"A")</f>
        <v>2A</v>
      </c>
      <c r="HC43" s="12" t="str">
        <f>CONCATENATE("AI",REPLACE($X43,1,3,""),"-",AA43)</f>
        <v>AI1-1A</v>
      </c>
      <c r="HD43" s="12" t="str">
        <f>CONCATENATE("AI",REPLACE($X43,1,3,""),"-",AB43)</f>
        <v>AI1-1B</v>
      </c>
      <c r="HE43" s="12" t="str">
        <f>CONCATENATE("DI",REPLACE($AC43,1,3,""),"-",AD43)</f>
        <v>DI9-C1</v>
      </c>
      <c r="HF43" s="12" t="str">
        <f>CONCATENATE("DI",REPLACE($AC43,1,3,""),"-",AE43)</f>
        <v>DI9-B1</v>
      </c>
      <c r="HG43" s="12" t="str">
        <f t="shared" ref="HG43:HP55" si="71">CONCATENATE("DI",REPLACE($AC43,1,3,""),"-",GQ43)</f>
        <v>DI9-C2</v>
      </c>
      <c r="HH43" s="12" t="str">
        <f t="shared" si="71"/>
        <v>DI9-B2</v>
      </c>
      <c r="HI43" s="12" t="str">
        <f t="shared" si="71"/>
        <v>DI9-C3</v>
      </c>
      <c r="HJ43" s="12" t="str">
        <f t="shared" si="71"/>
        <v>DI9-B3</v>
      </c>
      <c r="HK43" s="12" t="str">
        <f t="shared" si="71"/>
        <v>DI9-C4</v>
      </c>
      <c r="HL43" s="12" t="str">
        <f t="shared" si="71"/>
        <v>DI9-B4</v>
      </c>
      <c r="HM43" s="12" t="str">
        <f t="shared" si="71"/>
        <v>DI9-C5</v>
      </c>
      <c r="HN43" s="12" t="str">
        <f t="shared" si="71"/>
        <v>DI9-B5</v>
      </c>
      <c r="HO43" s="12" t="str">
        <f t="shared" si="71"/>
        <v>DI9-C6</v>
      </c>
      <c r="HP43" s="12" t="str">
        <f t="shared" si="71"/>
        <v>DI9-B6</v>
      </c>
      <c r="HQ43" s="12" t="str">
        <f>CONCATENATE("DO",REPLACE($AF43,1,3,""),"-",AG43)</f>
        <v>DO6-1B</v>
      </c>
      <c r="HR43" s="12" t="str">
        <f>CONCATENATE("DO",REPLACE($AF43,1,3,""),"-",AH43)</f>
        <v>DO6-1A</v>
      </c>
      <c r="HS43" s="12" t="str">
        <f>CONCATENATE("DO",REPLACE($AF43,1,3,""),"-",HA43)</f>
        <v>DO6-2B</v>
      </c>
      <c r="HT43" s="12" t="str">
        <f>CONCATENATE("DO",REPLACE($AF43,1,3,""),"-",HB43)</f>
        <v>DO6-2A</v>
      </c>
      <c r="HU43" s="12" t="str">
        <f>CONCATENATE("K",$U43,"-01")</f>
        <v>K42-01</v>
      </c>
      <c r="HV43" s="12" t="str">
        <f>CONCATENATE("K",$U43,"-02")</f>
        <v>K42-02</v>
      </c>
      <c r="HW43" s="12" t="str">
        <f>CONCATENATE("K",$U43,"-03")</f>
        <v>K42-03</v>
      </c>
      <c r="HX43" s="12" t="str">
        <f>CONCATENATE("K",$U43,"-04")</f>
        <v>K42-04</v>
      </c>
      <c r="HY43" s="12" t="str">
        <f>CONCATENATE("K",$U43,"-05")</f>
        <v>K42-05</v>
      </c>
      <c r="HZ43" s="12" t="str">
        <f>CONCATENATE("K",$U43,"-06")</f>
        <v>K42-06</v>
      </c>
      <c r="IA43" s="12" t="str">
        <f>CONCATENATE("K",$U43,"-07")</f>
        <v>K42-07</v>
      </c>
      <c r="IB43" s="12" t="str">
        <f>CONCATENATE("K",$U43,"-08")</f>
        <v>K42-08</v>
      </c>
      <c r="IC43" s="12" t="str">
        <f>CONCATENATE($T43,"-M",$U43,"-AMS-12")</f>
        <v>F0-M42-AMS-12</v>
      </c>
      <c r="ID43" s="12" t="str">
        <f>CONCATENATE($T43,"-M",$U43,"-AMS-10")</f>
        <v>F0-M42-AMS-10</v>
      </c>
      <c r="IE43" s="12" t="str">
        <f>CONCATENATE($T43,"-M",$U43,"-AMS-11")</f>
        <v>F0-M42-AMS-11</v>
      </c>
      <c r="IF43" s="12" t="str">
        <f>CONCATENATE($T43,"-M",$U43,"-AMS-13")</f>
        <v>F0-M42-AMS-13</v>
      </c>
      <c r="IG43" s="12" t="str">
        <f>CONCATENATE($T43,"-M",$U43,"-AMS-9")</f>
        <v>F0-M42-AMS-9</v>
      </c>
      <c r="IH43" s="12" t="str">
        <f>CONCATENATE($T43,"-M",$U43,"-AMS-7")</f>
        <v>F0-M42-AMS-7</v>
      </c>
      <c r="II43" s="12" t="str">
        <f>CONCATENATE($T43,"-M",$U43,"-AMS-18")</f>
        <v>F0-M42-AMS-18</v>
      </c>
      <c r="IJ43" s="12" t="str">
        <f>CONCATENATE($T43,"-M",$U43,"-AMS-20")</f>
        <v>F0-M42-AMS-20</v>
      </c>
      <c r="IK43" s="12" t="str">
        <f>CONCATENATE($T43,"-M",$U43,"-AMS-17")</f>
        <v>F0-M42-AMS-17</v>
      </c>
      <c r="IL43" s="12" t="str">
        <f>CONCATENATE($T43,"-+24-M",$U43,)</f>
        <v>F0-+24-M42</v>
      </c>
      <c r="IM43" s="12" t="str">
        <f>CONCATENATE($T43,"-M",$U43,"-XM01")</f>
        <v>F0-M42-XM01</v>
      </c>
      <c r="IN43" s="12" t="s">
        <v>142</v>
      </c>
      <c r="IO43" s="12" t="s">
        <v>143</v>
      </c>
      <c r="IP43" s="12">
        <v>11</v>
      </c>
      <c r="IQ43" s="12">
        <v>14</v>
      </c>
      <c r="IR43" s="12" t="s">
        <v>413</v>
      </c>
      <c r="IS43" s="12" t="s">
        <v>414</v>
      </c>
      <c r="IT43" s="12">
        <v>1</v>
      </c>
      <c r="IU43" s="12">
        <v>2</v>
      </c>
      <c r="IV43" s="12">
        <v>3</v>
      </c>
      <c r="IW43" s="12">
        <v>4</v>
      </c>
      <c r="IX43" s="12">
        <v>5</v>
      </c>
      <c r="IY43" s="12">
        <v>6</v>
      </c>
      <c r="IZ43" s="12">
        <v>7</v>
      </c>
      <c r="JA43" s="12">
        <v>8</v>
      </c>
      <c r="JB43" s="12">
        <v>9</v>
      </c>
      <c r="JC43" s="12">
        <v>10</v>
      </c>
      <c r="JD43" s="12">
        <v>11</v>
      </c>
      <c r="JE43" s="12">
        <v>12</v>
      </c>
      <c r="JF43" s="12">
        <v>13</v>
      </c>
      <c r="JG43" s="12">
        <v>14</v>
      </c>
      <c r="JH43" s="12">
        <v>17</v>
      </c>
      <c r="JI43" s="12">
        <v>15</v>
      </c>
      <c r="JJ43" s="12">
        <v>18</v>
      </c>
      <c r="JK43" s="12">
        <v>11</v>
      </c>
      <c r="JL43" s="12">
        <v>9</v>
      </c>
      <c r="JM43" s="12">
        <v>6</v>
      </c>
      <c r="JN43" s="12">
        <v>20</v>
      </c>
      <c r="JO43" s="12">
        <v>7</v>
      </c>
      <c r="JP43" s="12">
        <v>10</v>
      </c>
      <c r="JQ43" s="12">
        <v>22</v>
      </c>
      <c r="JR43" s="12">
        <v>23</v>
      </c>
      <c r="JS43" s="12">
        <v>26</v>
      </c>
      <c r="JT43" s="12">
        <v>27</v>
      </c>
      <c r="JU43" s="13">
        <v>30</v>
      </c>
    </row>
    <row r="44" spans="1:281" x14ac:dyDescent="0.25">
      <c r="A44" t="s">
        <v>415</v>
      </c>
      <c r="B44" t="s">
        <v>416</v>
      </c>
      <c r="P44" t="s">
        <v>391</v>
      </c>
      <c r="T44" s="14" t="s">
        <v>554</v>
      </c>
      <c r="U44" s="15">
        <f>U43+1</f>
        <v>43</v>
      </c>
      <c r="V44" t="s">
        <v>417</v>
      </c>
      <c r="W44" t="s">
        <v>418</v>
      </c>
      <c r="X44" t="str">
        <f>IF(COUNTIF(X$1:X43,X43)&gt;7,REPLACE(X43,LEN(X43),1,VALUE(RIGHT(X43,1))+1),X43)</f>
        <v>A3.1</v>
      </c>
      <c r="Y44" s="43" cm="1">
        <f t="array" ref="Y44">IF(COUNTIFS($X$2:$X44,$X44)=1,"1",VALUE(SUBSTITUTE(INDEX(Y:Y,_xlfn.XMATCH($X44,$X$1:$X43,0,-1)),"A",""))+INDEX(Z:Z,_xlfn.XMATCH($X44,$X$1:$X43,0,-1))+1)</f>
        <v>2</v>
      </c>
      <c r="Z44" s="43" cm="1">
        <f t="array" ref="Z44">SUM(IF(ISNUMBER(FIND("TmAi",$BA$1:$ZZ$1)),IF(IFERROR(ISODD(SUBSTITUTE($BA44:$ZZ44,"A","")),FALSE),IF(ISODD(SUBSTITUTE($BA44:$ZZ44,"A","")),1,0),0)))</f>
        <v>0</v>
      </c>
      <c r="AA44" t="str">
        <f t="shared" ref="AA44:AA55" si="72">CONCATENATE($Y44*2-1,"A")</f>
        <v>3A</v>
      </c>
      <c r="AB44" t="str">
        <f t="shared" ref="AB44:AB55" si="73">CONCATENATE($Y44*2-1,"B")</f>
        <v>3B</v>
      </c>
      <c r="AC44" t="s">
        <v>278</v>
      </c>
      <c r="AD44" t="s">
        <v>148</v>
      </c>
      <c r="AE44" t="s">
        <v>149</v>
      </c>
      <c r="AF44" t="s">
        <v>388</v>
      </c>
      <c r="AG44" t="s">
        <v>384</v>
      </c>
      <c r="AH44" t="s">
        <v>386</v>
      </c>
      <c r="AI44" t="s">
        <v>419</v>
      </c>
      <c r="AL44" t="s">
        <v>137</v>
      </c>
      <c r="AM44" t="s">
        <v>138</v>
      </c>
      <c r="AO44" t="s">
        <v>396</v>
      </c>
      <c r="AP44" t="s">
        <v>139</v>
      </c>
      <c r="AQ44" t="s">
        <v>140</v>
      </c>
      <c r="AZ44" s="16"/>
      <c r="GP44" s="27" t="str">
        <f t="shared" si="70"/>
        <v>XT43</v>
      </c>
      <c r="GQ44" t="str">
        <f>CONCATENATE("C",REPLACE(AD44,1,1,"")+1)</f>
        <v>C8</v>
      </c>
      <c r="GR44" t="str">
        <f>CONCATENATE("B",REPLACE(AE44,1,1,"")+1)</f>
        <v>B8</v>
      </c>
      <c r="GS44" t="str">
        <f>CONCATENATE("C",REPLACE(GQ44,1,1,"")+1)</f>
        <v>C9</v>
      </c>
      <c r="GT44" t="str">
        <f>CONCATENATE("B",REPLACE(GR44,1,1,"")+1)</f>
        <v>B9</v>
      </c>
      <c r="GU44" t="str">
        <f>CONCATENATE("C",REPLACE(GS44,1,1,"")+1)</f>
        <v>C10</v>
      </c>
      <c r="GV44" t="str">
        <f>CONCATENATE("B",REPLACE(GT44,1,1,"")+1)</f>
        <v>B10</v>
      </c>
      <c r="GW44" t="str">
        <f>CONCATENATE("C",REPLACE(GU44,1,1,"")+1)</f>
        <v>C11</v>
      </c>
      <c r="GX44" t="str">
        <f>CONCATENATE("B",REPLACE(GV44,1,1,"")+1)</f>
        <v>B11</v>
      </c>
      <c r="GY44" t="str">
        <f>CONCATENATE("C",REPLACE(GW44,1,1,"")+1)</f>
        <v>C12</v>
      </c>
      <c r="GZ44" t="str">
        <f>CONCATENATE("B",REPLACE(GX44,1,1,"")+1)</f>
        <v>B12</v>
      </c>
      <c r="HA44" t="str">
        <f>CONCATENATE(REPLACE(AG44,LEN(AG44),1,"")+1,"B")</f>
        <v>4B</v>
      </c>
      <c r="HB44" t="str">
        <f>CONCATENATE(REPLACE(AH44,LEN(AH44),1,"")+1,"A")</f>
        <v>4A</v>
      </c>
      <c r="HC44" t="str">
        <f>CONCATENATE("AI",REPLACE($X44,1,3,""),"-",AA44)</f>
        <v>AI1-3A</v>
      </c>
      <c r="HD44" t="str">
        <f>CONCATENATE("AI",REPLACE($X44,1,3,""),"-",AB44)</f>
        <v>AI1-3B</v>
      </c>
      <c r="HE44" t="str">
        <f>CONCATENATE("DI",REPLACE($AC44,1,3,""),"-",AD44)</f>
        <v>DI9-C7</v>
      </c>
      <c r="HF44" t="str">
        <f>CONCATENATE("DI",REPLACE($AC44,1,3,""),"-",AE44)</f>
        <v>DI9-B7</v>
      </c>
      <c r="HG44" t="str">
        <f t="shared" si="71"/>
        <v>DI9-C8</v>
      </c>
      <c r="HH44" t="str">
        <f t="shared" si="71"/>
        <v>DI9-B8</v>
      </c>
      <c r="HI44" t="str">
        <f t="shared" si="71"/>
        <v>DI9-C9</v>
      </c>
      <c r="HJ44" t="str">
        <f t="shared" si="71"/>
        <v>DI9-B9</v>
      </c>
      <c r="HK44" t="str">
        <f t="shared" si="71"/>
        <v>DI9-C10</v>
      </c>
      <c r="HL44" t="str">
        <f t="shared" si="71"/>
        <v>DI9-B10</v>
      </c>
      <c r="HM44" t="str">
        <f t="shared" si="71"/>
        <v>DI9-C11</v>
      </c>
      <c r="HN44" t="str">
        <f t="shared" si="71"/>
        <v>DI9-B11</v>
      </c>
      <c r="HO44" t="str">
        <f t="shared" si="71"/>
        <v>DI9-C12</v>
      </c>
      <c r="HP44" t="str">
        <f t="shared" si="71"/>
        <v>DI9-B12</v>
      </c>
      <c r="HQ44" t="str">
        <f>CONCATENATE("DO",REPLACE($AF44,1,3,""),"-",AG44)</f>
        <v>DO6-3B</v>
      </c>
      <c r="HR44" t="str">
        <f>CONCATENATE("DO",REPLACE($AF44,1,3,""),"-",AH44)</f>
        <v>DO6-3A</v>
      </c>
      <c r="HS44" t="str">
        <f>CONCATENATE("DO",REPLACE($AF44,1,3,""),"-",HA44)</f>
        <v>DO6-4B</v>
      </c>
      <c r="HT44" t="str">
        <f>CONCATENATE("DO",REPLACE($AF44,1,3,""),"-",HB44)</f>
        <v>DO6-4A</v>
      </c>
      <c r="HU44" t="str">
        <f>CONCATENATE("K",$U44,"-01")</f>
        <v>K43-01</v>
      </c>
      <c r="HV44" t="str">
        <f>CONCATENATE("K",$U44,"-02")</f>
        <v>K43-02</v>
      </c>
      <c r="HW44" t="str">
        <f>CONCATENATE("K",$U44,"-03")</f>
        <v>K43-03</v>
      </c>
      <c r="HX44" t="str">
        <f>CONCATENATE("K",$U44,"-04")</f>
        <v>K43-04</v>
      </c>
      <c r="HY44" t="str">
        <f>CONCATENATE("K",$U44,"-05")</f>
        <v>K43-05</v>
      </c>
      <c r="HZ44" t="str">
        <f>CONCATENATE("K",$U44,"-06")</f>
        <v>K43-06</v>
      </c>
      <c r="IA44" t="str">
        <f>CONCATENATE("K",$U44,"-07")</f>
        <v>K43-07</v>
      </c>
      <c r="IB44" t="str">
        <f>CONCATENATE("K",$U44,"-08")</f>
        <v>K43-08</v>
      </c>
      <c r="IC44" t="str">
        <f>CONCATENATE($T44,"-M",$U44,"-AMS-12")</f>
        <v>F0-M43-AMS-12</v>
      </c>
      <c r="ID44" t="str">
        <f>CONCATENATE($T44,"-M",$U44,"-AMS-10")</f>
        <v>F0-M43-AMS-10</v>
      </c>
      <c r="IE44" t="str">
        <f>CONCATENATE($T44,"-M",$U44,"-AMS-11")</f>
        <v>F0-M43-AMS-11</v>
      </c>
      <c r="IF44" t="str">
        <f>CONCATENATE($T44,"-M",$U44,"-AMS-13")</f>
        <v>F0-M43-AMS-13</v>
      </c>
      <c r="IG44" t="str">
        <f>CONCATENATE($T44,"-M",$U44,"-AMS-9")</f>
        <v>F0-M43-AMS-9</v>
      </c>
      <c r="IH44" t="str">
        <f>CONCATENATE($T44,"-M",$U44,"-AMS-7")</f>
        <v>F0-M43-AMS-7</v>
      </c>
      <c r="II44" t="str">
        <f>CONCATENATE($T44,"-M",$U44,"-AMS-18")</f>
        <v>F0-M43-AMS-18</v>
      </c>
      <c r="IJ44" t="str">
        <f>CONCATENATE($T44,"-M",$U44,"-AMS-20")</f>
        <v>F0-M43-AMS-20</v>
      </c>
      <c r="IK44" t="str">
        <f>CONCATENATE($T44,"-M",$U44,"-AMS-17")</f>
        <v>F0-M43-AMS-17</v>
      </c>
      <c r="IL44" t="str">
        <f>CONCATENATE($T44,"-+24-M",$U44,)</f>
        <v>F0-+24-M43</v>
      </c>
      <c r="IM44" t="str">
        <f>CONCATENATE($T44,"-M",$U44,"-XM01")</f>
        <v>F0-M43-XM01</v>
      </c>
      <c r="IN44" t="str">
        <f t="shared" ref="IN44:JU51" si="74">IN43</f>
        <v>A1</v>
      </c>
      <c r="IO44" t="str">
        <f t="shared" si="74"/>
        <v>A2</v>
      </c>
      <c r="IP44">
        <f t="shared" si="74"/>
        <v>11</v>
      </c>
      <c r="IQ44">
        <f t="shared" si="74"/>
        <v>14</v>
      </c>
      <c r="IR44" t="str">
        <f t="shared" si="74"/>
        <v>24v6</v>
      </c>
      <c r="IS44" t="str">
        <f t="shared" si="74"/>
        <v>0v6</v>
      </c>
      <c r="IT44">
        <f t="shared" si="74"/>
        <v>1</v>
      </c>
      <c r="IU44">
        <f t="shared" si="74"/>
        <v>2</v>
      </c>
      <c r="IV44">
        <f t="shared" si="74"/>
        <v>3</v>
      </c>
      <c r="IW44">
        <f t="shared" si="74"/>
        <v>4</v>
      </c>
      <c r="IX44">
        <f t="shared" si="74"/>
        <v>5</v>
      </c>
      <c r="IY44">
        <f t="shared" si="74"/>
        <v>6</v>
      </c>
      <c r="IZ44">
        <f t="shared" si="74"/>
        <v>7</v>
      </c>
      <c r="JA44">
        <f t="shared" si="74"/>
        <v>8</v>
      </c>
      <c r="JB44">
        <f t="shared" si="74"/>
        <v>9</v>
      </c>
      <c r="JC44">
        <f t="shared" si="74"/>
        <v>10</v>
      </c>
      <c r="JD44">
        <f t="shared" si="74"/>
        <v>11</v>
      </c>
      <c r="JE44">
        <f t="shared" si="74"/>
        <v>12</v>
      </c>
      <c r="JF44">
        <f t="shared" si="74"/>
        <v>13</v>
      </c>
      <c r="JG44">
        <f t="shared" si="74"/>
        <v>14</v>
      </c>
      <c r="JH44">
        <f t="shared" si="74"/>
        <v>17</v>
      </c>
      <c r="JI44">
        <f t="shared" si="74"/>
        <v>15</v>
      </c>
      <c r="JJ44">
        <f t="shared" si="74"/>
        <v>18</v>
      </c>
      <c r="JK44">
        <f t="shared" si="74"/>
        <v>11</v>
      </c>
      <c r="JL44">
        <f t="shared" si="74"/>
        <v>9</v>
      </c>
      <c r="JM44">
        <f t="shared" si="74"/>
        <v>6</v>
      </c>
      <c r="JN44">
        <f t="shared" si="74"/>
        <v>20</v>
      </c>
      <c r="JO44">
        <f t="shared" si="74"/>
        <v>7</v>
      </c>
      <c r="JP44">
        <f t="shared" si="74"/>
        <v>10</v>
      </c>
      <c r="JQ44">
        <f t="shared" si="74"/>
        <v>22</v>
      </c>
      <c r="JR44">
        <f t="shared" si="74"/>
        <v>23</v>
      </c>
      <c r="JS44">
        <f t="shared" si="74"/>
        <v>26</v>
      </c>
      <c r="JT44">
        <f t="shared" si="74"/>
        <v>27</v>
      </c>
      <c r="JU44" s="16">
        <f t="shared" si="74"/>
        <v>30</v>
      </c>
    </row>
    <row r="45" spans="1:281" x14ac:dyDescent="0.25">
      <c r="A45" t="s">
        <v>421</v>
      </c>
      <c r="B45" t="s">
        <v>423</v>
      </c>
      <c r="P45" t="s">
        <v>391</v>
      </c>
      <c r="T45" s="14" t="s">
        <v>554</v>
      </c>
      <c r="U45" s="15">
        <f t="shared" ref="U45:U55" si="75">U44+1</f>
        <v>44</v>
      </c>
      <c r="V45" s="15" t="s">
        <v>422</v>
      </c>
      <c r="W45" s="15" t="s">
        <v>454</v>
      </c>
      <c r="X45" t="str">
        <f>IF(COUNTIF(X$1:X44,X44)&gt;7,REPLACE(X44,LEN(X44),1,VALUE(RIGHT(X44,1))+1),X44)</f>
        <v>A3.1</v>
      </c>
      <c r="Y45" s="43" cm="1">
        <f t="array" ref="Y45">IF(COUNTIFS($X$2:$X45,$X45)=1,"1",VALUE(SUBSTITUTE(INDEX(Y:Y,_xlfn.XMATCH($X45,$X$1:$X44,0,-1)),"A",""))+INDEX(Z:Z,_xlfn.XMATCH($X45,$X$1:$X44,0,-1))+1)</f>
        <v>3</v>
      </c>
      <c r="Z45" s="43" cm="1">
        <f t="array" ref="Z45">SUM(IF(ISNUMBER(FIND("TmAi",$BA$1:$ZZ$1)),IF(IFERROR(ISODD(SUBSTITUTE($BA45:$ZZ45,"A","")),FALSE),IF(ISODD(SUBSTITUTE($BA45:$ZZ45,"A","")),1,0),0)))</f>
        <v>0</v>
      </c>
      <c r="AA45" t="str">
        <f t="shared" si="72"/>
        <v>5A</v>
      </c>
      <c r="AB45" t="str">
        <f t="shared" si="73"/>
        <v>5B</v>
      </c>
      <c r="AC45" s="15" t="s">
        <v>278</v>
      </c>
      <c r="AD45" s="15" t="s">
        <v>153</v>
      </c>
      <c r="AE45" s="15" t="s">
        <v>154</v>
      </c>
      <c r="AF45" s="15" t="s">
        <v>388</v>
      </c>
      <c r="AG45" s="15" t="s">
        <v>385</v>
      </c>
      <c r="AH45" s="15" t="s">
        <v>387</v>
      </c>
      <c r="AI45" s="15" t="s">
        <v>424</v>
      </c>
      <c r="AL45" t="s">
        <v>137</v>
      </c>
      <c r="AM45" t="s">
        <v>138</v>
      </c>
      <c r="AO45" t="s">
        <v>396</v>
      </c>
      <c r="AP45" t="s">
        <v>139</v>
      </c>
      <c r="AQ45" t="s">
        <v>140</v>
      </c>
      <c r="AZ45" s="16"/>
      <c r="GP45" s="27" t="str">
        <f t="shared" si="70"/>
        <v>XT44</v>
      </c>
      <c r="GQ45" t="str">
        <f t="shared" ref="GQ45:GQ55" si="76">CONCATENATE("C",REPLACE(AD45,1,1,"")+1)</f>
        <v>C14</v>
      </c>
      <c r="GR45" t="str">
        <f t="shared" ref="GR45:GR55" si="77">CONCATENATE("B",REPLACE(AE45,1,1,"")+1)</f>
        <v>B14</v>
      </c>
      <c r="GS45" t="str">
        <f t="shared" ref="GS45:GS55" si="78">CONCATENATE("C",REPLACE(GQ45,1,1,"")+1)</f>
        <v>C15</v>
      </c>
      <c r="GT45" t="str">
        <f t="shared" ref="GT45:GT55" si="79">CONCATENATE("B",REPLACE(GR45,1,1,"")+1)</f>
        <v>B15</v>
      </c>
      <c r="GU45" t="str">
        <f t="shared" ref="GU45:GU55" si="80">CONCATENATE("C",REPLACE(GS45,1,1,"")+1)</f>
        <v>C16</v>
      </c>
      <c r="GV45" t="str">
        <f t="shared" ref="GV45:GV55" si="81">CONCATENATE("B",REPLACE(GT45,1,1,"")+1)</f>
        <v>B16</v>
      </c>
      <c r="GW45" t="str">
        <f t="shared" ref="GW45:GW55" si="82">CONCATENATE("C",REPLACE(GU45,1,1,"")+1)</f>
        <v>C17</v>
      </c>
      <c r="GX45" t="str">
        <f t="shared" ref="GX45:GX55" si="83">CONCATENATE("B",REPLACE(GV45,1,1,"")+1)</f>
        <v>B17</v>
      </c>
      <c r="GY45" t="str">
        <f t="shared" ref="GY45:GY55" si="84">CONCATENATE("C",REPLACE(GW45,1,1,"")+1)</f>
        <v>C18</v>
      </c>
      <c r="GZ45" t="str">
        <f t="shared" ref="GZ45:GZ55" si="85">CONCATENATE("B",REPLACE(GX45,1,1,"")+1)</f>
        <v>B18</v>
      </c>
      <c r="HA45" t="str">
        <f t="shared" ref="HA45:HA55" si="86">CONCATENATE(REPLACE(AG45,LEN(AG45),1,"")+1,"B")</f>
        <v>6B</v>
      </c>
      <c r="HB45" t="str">
        <f t="shared" ref="HB45:HB55" si="87">CONCATENATE(REPLACE(AH45,LEN(AH45),1,"")+1,"A")</f>
        <v>6A</v>
      </c>
      <c r="HC45" t="str">
        <f t="shared" ref="HC45:HD55" si="88">CONCATENATE("AI",REPLACE($X45,1,3,""),"-",AA45)</f>
        <v>AI1-5A</v>
      </c>
      <c r="HD45" t="str">
        <f t="shared" si="88"/>
        <v>AI1-5B</v>
      </c>
      <c r="HE45" t="str">
        <f t="shared" ref="HE45:HF55" si="89">CONCATENATE("DI",REPLACE($AC45,1,3,""),"-",AD45)</f>
        <v>DI9-C13</v>
      </c>
      <c r="HF45" t="str">
        <f t="shared" si="89"/>
        <v>DI9-B13</v>
      </c>
      <c r="HG45" t="str">
        <f t="shared" si="71"/>
        <v>DI9-C14</v>
      </c>
      <c r="HH45" t="str">
        <f t="shared" si="71"/>
        <v>DI9-B14</v>
      </c>
      <c r="HI45" t="str">
        <f t="shared" si="71"/>
        <v>DI9-C15</v>
      </c>
      <c r="HJ45" t="str">
        <f t="shared" si="71"/>
        <v>DI9-B15</v>
      </c>
      <c r="HK45" t="str">
        <f t="shared" si="71"/>
        <v>DI9-C16</v>
      </c>
      <c r="HL45" t="str">
        <f t="shared" si="71"/>
        <v>DI9-B16</v>
      </c>
      <c r="HM45" t="str">
        <f t="shared" si="71"/>
        <v>DI9-C17</v>
      </c>
      <c r="HN45" t="str">
        <f t="shared" si="71"/>
        <v>DI9-B17</v>
      </c>
      <c r="HO45" t="str">
        <f t="shared" si="71"/>
        <v>DI9-C18</v>
      </c>
      <c r="HP45" t="str">
        <f t="shared" si="71"/>
        <v>DI9-B18</v>
      </c>
      <c r="HQ45" t="str">
        <f t="shared" ref="HQ45:HR55" si="90">CONCATENATE("DO",REPLACE($AF45,1,3,""),"-",AG45)</f>
        <v>DO6-5B</v>
      </c>
      <c r="HR45" t="str">
        <f t="shared" si="90"/>
        <v>DO6-5A</v>
      </c>
      <c r="HS45" t="str">
        <f t="shared" ref="HS45:HT55" si="91">CONCATENATE("DO",REPLACE($AF45,1,3,""),"-",HA45)</f>
        <v>DO6-6B</v>
      </c>
      <c r="HT45" t="str">
        <f t="shared" si="91"/>
        <v>DO6-6A</v>
      </c>
      <c r="HU45" t="str">
        <f t="shared" ref="HU45:HU55" si="92">CONCATENATE("K",$U45,"-01")</f>
        <v>K44-01</v>
      </c>
      <c r="HV45" t="str">
        <f t="shared" ref="HV45:HV55" si="93">CONCATENATE("K",$U45,"-02")</f>
        <v>K44-02</v>
      </c>
      <c r="HW45" t="str">
        <f t="shared" ref="HW45:HW55" si="94">CONCATENATE("K",$U45,"-03")</f>
        <v>K44-03</v>
      </c>
      <c r="HX45" t="str">
        <f t="shared" ref="HX45:HX55" si="95">CONCATENATE("K",$U45,"-04")</f>
        <v>K44-04</v>
      </c>
      <c r="HY45" t="str">
        <f t="shared" ref="HY45:HY55" si="96">CONCATENATE("K",$U45,"-05")</f>
        <v>K44-05</v>
      </c>
      <c r="HZ45" t="str">
        <f t="shared" ref="HZ45:HZ55" si="97">CONCATENATE("K",$U45,"-06")</f>
        <v>K44-06</v>
      </c>
      <c r="IA45" t="str">
        <f t="shared" ref="IA45:IA55" si="98">CONCATENATE("K",$U45,"-07")</f>
        <v>K44-07</v>
      </c>
      <c r="IB45" t="str">
        <f t="shared" ref="IB45:IB55" si="99">CONCATENATE("K",$U45,"-08")</f>
        <v>K44-08</v>
      </c>
      <c r="IC45" t="str">
        <f t="shared" ref="IC45:IC55" si="100">CONCATENATE($T45,"-M",$U45,"-AMS-12")</f>
        <v>F0-M44-AMS-12</v>
      </c>
      <c r="ID45" t="str">
        <f t="shared" ref="ID45:ID55" si="101">CONCATENATE($T45,"-M",$U45,"-AMS-10")</f>
        <v>F0-M44-AMS-10</v>
      </c>
      <c r="IE45" t="str">
        <f t="shared" ref="IE45:IE55" si="102">CONCATENATE($T45,"-M",$U45,"-AMS-11")</f>
        <v>F0-M44-AMS-11</v>
      </c>
      <c r="IF45" t="str">
        <f t="shared" ref="IF45:IF55" si="103">CONCATENATE($T45,"-M",$U45,"-AMS-13")</f>
        <v>F0-M44-AMS-13</v>
      </c>
      <c r="IG45" t="str">
        <f t="shared" ref="IG45:IG55" si="104">CONCATENATE($T45,"-M",$U45,"-AMS-9")</f>
        <v>F0-M44-AMS-9</v>
      </c>
      <c r="IH45" t="str">
        <f t="shared" ref="IH45:IH55" si="105">CONCATENATE($T45,"-M",$U45,"-AMS-7")</f>
        <v>F0-M44-AMS-7</v>
      </c>
      <c r="II45" t="str">
        <f t="shared" ref="II45:II55" si="106">CONCATENATE($T45,"-M",$U45,"-AMS-18")</f>
        <v>F0-M44-AMS-18</v>
      </c>
      <c r="IJ45" t="str">
        <f t="shared" ref="IJ45:IJ55" si="107">CONCATENATE($T45,"-M",$U45,"-AMS-20")</f>
        <v>F0-M44-AMS-20</v>
      </c>
      <c r="IK45" t="str">
        <f t="shared" ref="IK45:IK55" si="108">CONCATENATE($T45,"-M",$U45,"-AMS-17")</f>
        <v>F0-M44-AMS-17</v>
      </c>
      <c r="IL45" t="str">
        <f t="shared" ref="IL45:IL55" si="109">CONCATENATE($T45,"-+24-M",$U45,)</f>
        <v>F0-+24-M44</v>
      </c>
      <c r="IM45" t="str">
        <f t="shared" ref="IM45:IM55" si="110">CONCATENATE($T45,"-M",$U45,"-XM01")</f>
        <v>F0-M44-XM01</v>
      </c>
      <c r="IN45" t="str">
        <f t="shared" si="74"/>
        <v>A1</v>
      </c>
      <c r="IO45" t="str">
        <f t="shared" si="74"/>
        <v>A2</v>
      </c>
      <c r="IP45">
        <f t="shared" si="74"/>
        <v>11</v>
      </c>
      <c r="IQ45">
        <f t="shared" si="74"/>
        <v>14</v>
      </c>
      <c r="IR45" t="str">
        <f t="shared" si="74"/>
        <v>24v6</v>
      </c>
      <c r="IS45" t="str">
        <f t="shared" si="74"/>
        <v>0v6</v>
      </c>
      <c r="IT45">
        <f t="shared" si="74"/>
        <v>1</v>
      </c>
      <c r="IU45">
        <f t="shared" si="74"/>
        <v>2</v>
      </c>
      <c r="IV45">
        <f t="shared" si="74"/>
        <v>3</v>
      </c>
      <c r="IW45">
        <f t="shared" si="74"/>
        <v>4</v>
      </c>
      <c r="IX45">
        <f t="shared" si="74"/>
        <v>5</v>
      </c>
      <c r="IY45">
        <f t="shared" si="74"/>
        <v>6</v>
      </c>
      <c r="IZ45">
        <f t="shared" si="74"/>
        <v>7</v>
      </c>
      <c r="JA45">
        <f t="shared" si="74"/>
        <v>8</v>
      </c>
      <c r="JB45">
        <f t="shared" si="74"/>
        <v>9</v>
      </c>
      <c r="JC45">
        <f t="shared" si="74"/>
        <v>10</v>
      </c>
      <c r="JD45">
        <f t="shared" si="74"/>
        <v>11</v>
      </c>
      <c r="JE45">
        <f t="shared" si="74"/>
        <v>12</v>
      </c>
      <c r="JF45">
        <f t="shared" si="74"/>
        <v>13</v>
      </c>
      <c r="JG45">
        <f t="shared" si="74"/>
        <v>14</v>
      </c>
      <c r="JH45">
        <f t="shared" si="74"/>
        <v>17</v>
      </c>
      <c r="JI45">
        <f t="shared" si="74"/>
        <v>15</v>
      </c>
      <c r="JJ45">
        <f t="shared" si="74"/>
        <v>18</v>
      </c>
      <c r="JK45">
        <f t="shared" si="74"/>
        <v>11</v>
      </c>
      <c r="JL45">
        <f t="shared" si="74"/>
        <v>9</v>
      </c>
      <c r="JM45">
        <f t="shared" si="74"/>
        <v>6</v>
      </c>
      <c r="JN45">
        <f t="shared" si="74"/>
        <v>20</v>
      </c>
      <c r="JO45">
        <f t="shared" si="74"/>
        <v>7</v>
      </c>
      <c r="JP45">
        <f t="shared" si="74"/>
        <v>10</v>
      </c>
      <c r="JQ45">
        <f t="shared" si="74"/>
        <v>22</v>
      </c>
      <c r="JR45">
        <f t="shared" si="74"/>
        <v>23</v>
      </c>
      <c r="JS45">
        <f t="shared" si="74"/>
        <v>26</v>
      </c>
      <c r="JT45">
        <f t="shared" si="74"/>
        <v>27</v>
      </c>
      <c r="JU45" s="16">
        <f t="shared" si="74"/>
        <v>30</v>
      </c>
    </row>
    <row r="46" spans="1:281" x14ac:dyDescent="0.25">
      <c r="A46" t="s">
        <v>427</v>
      </c>
      <c r="B46" t="s">
        <v>426</v>
      </c>
      <c r="P46" t="s">
        <v>391</v>
      </c>
      <c r="T46" s="14" t="s">
        <v>554</v>
      </c>
      <c r="U46" s="15">
        <f t="shared" si="75"/>
        <v>45</v>
      </c>
      <c r="V46" t="s">
        <v>455</v>
      </c>
      <c r="W46" t="s">
        <v>428</v>
      </c>
      <c r="X46" t="str">
        <f>IF(COUNTIF(X$1:X45,X45)&gt;7,REPLACE(X45,LEN(X45),1,VALUE(RIGHT(X45,1))+1),X45)</f>
        <v>A3.1</v>
      </c>
      <c r="Y46" s="43" cm="1">
        <f t="array" ref="Y46">IF(COUNTIFS($X$2:$X46,$X46)=1,"1",VALUE(SUBSTITUTE(INDEX(Y:Y,_xlfn.XMATCH($X46,$X$1:$X45,0,-1)),"A",""))+INDEX(Z:Z,_xlfn.XMATCH($X46,$X$1:$X45,0,-1))+1)</f>
        <v>4</v>
      </c>
      <c r="Z46" s="43" cm="1">
        <f t="array" ref="Z46">SUM(IF(ISNUMBER(FIND("TmAi",$BA$1:$ZZ$1)),IF(IFERROR(ISODD(SUBSTITUTE($BA46:$ZZ46,"A","")),FALSE),IF(ISODD(SUBSTITUTE($BA46:$ZZ46,"A","")),1,0),0)))</f>
        <v>0</v>
      </c>
      <c r="AA46" t="str">
        <f t="shared" si="72"/>
        <v>7A</v>
      </c>
      <c r="AB46" t="str">
        <f t="shared" si="73"/>
        <v>7B</v>
      </c>
      <c r="AC46" s="15" t="s">
        <v>278</v>
      </c>
      <c r="AD46" t="s">
        <v>239</v>
      </c>
      <c r="AE46" t="s">
        <v>241</v>
      </c>
      <c r="AF46" s="15" t="s">
        <v>388</v>
      </c>
      <c r="AG46" t="s">
        <v>245</v>
      </c>
      <c r="AH46" t="s">
        <v>246</v>
      </c>
      <c r="AI46" t="s">
        <v>425</v>
      </c>
      <c r="AL46" t="s">
        <v>137</v>
      </c>
      <c r="AM46" t="s">
        <v>138</v>
      </c>
      <c r="AO46" t="s">
        <v>396</v>
      </c>
      <c r="AP46" t="s">
        <v>139</v>
      </c>
      <c r="AQ46" t="s">
        <v>140</v>
      </c>
      <c r="AZ46" s="16"/>
      <c r="GP46" s="27" t="str">
        <f t="shared" si="70"/>
        <v>XT45</v>
      </c>
      <c r="GQ46" t="str">
        <f t="shared" si="76"/>
        <v>C20</v>
      </c>
      <c r="GR46" t="str">
        <f t="shared" si="77"/>
        <v>B20</v>
      </c>
      <c r="GS46" t="str">
        <f t="shared" si="78"/>
        <v>C21</v>
      </c>
      <c r="GT46" t="str">
        <f t="shared" si="79"/>
        <v>B21</v>
      </c>
      <c r="GU46" t="str">
        <f t="shared" si="80"/>
        <v>C22</v>
      </c>
      <c r="GV46" t="str">
        <f t="shared" si="81"/>
        <v>B22</v>
      </c>
      <c r="GW46" t="str">
        <f t="shared" si="82"/>
        <v>C23</v>
      </c>
      <c r="GX46" t="str">
        <f t="shared" si="83"/>
        <v>B23</v>
      </c>
      <c r="GY46" t="str">
        <f t="shared" si="84"/>
        <v>C24</v>
      </c>
      <c r="GZ46" t="str">
        <f t="shared" si="85"/>
        <v>B24</v>
      </c>
      <c r="HA46" t="str">
        <f t="shared" si="86"/>
        <v>8B</v>
      </c>
      <c r="HB46" t="str">
        <f t="shared" si="87"/>
        <v>8A</v>
      </c>
      <c r="HC46" t="str">
        <f t="shared" si="88"/>
        <v>AI1-7A</v>
      </c>
      <c r="HD46" t="str">
        <f t="shared" si="88"/>
        <v>AI1-7B</v>
      </c>
      <c r="HE46" t="str">
        <f t="shared" si="89"/>
        <v>DI9-C19</v>
      </c>
      <c r="HF46" t="str">
        <f t="shared" si="89"/>
        <v>DI9-B19</v>
      </c>
      <c r="HG46" t="str">
        <f t="shared" si="71"/>
        <v>DI9-C20</v>
      </c>
      <c r="HH46" t="str">
        <f t="shared" si="71"/>
        <v>DI9-B20</v>
      </c>
      <c r="HI46" t="str">
        <f t="shared" si="71"/>
        <v>DI9-C21</v>
      </c>
      <c r="HJ46" t="str">
        <f t="shared" si="71"/>
        <v>DI9-B21</v>
      </c>
      <c r="HK46" t="str">
        <f t="shared" si="71"/>
        <v>DI9-C22</v>
      </c>
      <c r="HL46" t="str">
        <f t="shared" si="71"/>
        <v>DI9-B22</v>
      </c>
      <c r="HM46" t="str">
        <f t="shared" si="71"/>
        <v>DI9-C23</v>
      </c>
      <c r="HN46" t="str">
        <f t="shared" si="71"/>
        <v>DI9-B23</v>
      </c>
      <c r="HO46" t="str">
        <f t="shared" si="71"/>
        <v>DI9-C24</v>
      </c>
      <c r="HP46" t="str">
        <f t="shared" si="71"/>
        <v>DI9-B24</v>
      </c>
      <c r="HQ46" t="str">
        <f t="shared" si="90"/>
        <v>DO6-7B</v>
      </c>
      <c r="HR46" t="str">
        <f t="shared" si="90"/>
        <v>DO6-7A</v>
      </c>
      <c r="HS46" t="str">
        <f t="shared" si="91"/>
        <v>DO6-8B</v>
      </c>
      <c r="HT46" t="str">
        <f t="shared" si="91"/>
        <v>DO6-8A</v>
      </c>
      <c r="HU46" t="str">
        <f t="shared" si="92"/>
        <v>K45-01</v>
      </c>
      <c r="HV46" t="str">
        <f t="shared" si="93"/>
        <v>K45-02</v>
      </c>
      <c r="HW46" t="str">
        <f t="shared" si="94"/>
        <v>K45-03</v>
      </c>
      <c r="HX46" t="str">
        <f t="shared" si="95"/>
        <v>K45-04</v>
      </c>
      <c r="HY46" t="str">
        <f t="shared" si="96"/>
        <v>K45-05</v>
      </c>
      <c r="HZ46" t="str">
        <f t="shared" si="97"/>
        <v>K45-06</v>
      </c>
      <c r="IA46" t="str">
        <f t="shared" si="98"/>
        <v>K45-07</v>
      </c>
      <c r="IB46" t="str">
        <f t="shared" si="99"/>
        <v>K45-08</v>
      </c>
      <c r="IC46" t="str">
        <f t="shared" si="100"/>
        <v>F0-M45-AMS-12</v>
      </c>
      <c r="ID46" t="str">
        <f t="shared" si="101"/>
        <v>F0-M45-AMS-10</v>
      </c>
      <c r="IE46" t="str">
        <f t="shared" si="102"/>
        <v>F0-M45-AMS-11</v>
      </c>
      <c r="IF46" t="str">
        <f t="shared" si="103"/>
        <v>F0-M45-AMS-13</v>
      </c>
      <c r="IG46" t="str">
        <f t="shared" si="104"/>
        <v>F0-M45-AMS-9</v>
      </c>
      <c r="IH46" t="str">
        <f t="shared" si="105"/>
        <v>F0-M45-AMS-7</v>
      </c>
      <c r="II46" t="str">
        <f t="shared" si="106"/>
        <v>F0-M45-AMS-18</v>
      </c>
      <c r="IJ46" t="str">
        <f t="shared" si="107"/>
        <v>F0-M45-AMS-20</v>
      </c>
      <c r="IK46" t="str">
        <f t="shared" si="108"/>
        <v>F0-M45-AMS-17</v>
      </c>
      <c r="IL46" t="str">
        <f t="shared" si="109"/>
        <v>F0-+24-M45</v>
      </c>
      <c r="IM46" t="str">
        <f t="shared" si="110"/>
        <v>F0-M45-XM01</v>
      </c>
      <c r="IN46" t="str">
        <f t="shared" si="74"/>
        <v>A1</v>
      </c>
      <c r="IO46" t="str">
        <f t="shared" si="74"/>
        <v>A2</v>
      </c>
      <c r="IP46">
        <f t="shared" si="74"/>
        <v>11</v>
      </c>
      <c r="IQ46">
        <f t="shared" si="74"/>
        <v>14</v>
      </c>
      <c r="IR46" t="str">
        <f t="shared" si="74"/>
        <v>24v6</v>
      </c>
      <c r="IS46" t="str">
        <f t="shared" si="74"/>
        <v>0v6</v>
      </c>
      <c r="IT46">
        <f t="shared" si="74"/>
        <v>1</v>
      </c>
      <c r="IU46">
        <f t="shared" si="74"/>
        <v>2</v>
      </c>
      <c r="IV46">
        <f t="shared" si="74"/>
        <v>3</v>
      </c>
      <c r="IW46">
        <f t="shared" si="74"/>
        <v>4</v>
      </c>
      <c r="IX46">
        <f t="shared" si="74"/>
        <v>5</v>
      </c>
      <c r="IY46">
        <f t="shared" si="74"/>
        <v>6</v>
      </c>
      <c r="IZ46">
        <f t="shared" si="74"/>
        <v>7</v>
      </c>
      <c r="JA46">
        <f t="shared" si="74"/>
        <v>8</v>
      </c>
      <c r="JB46">
        <f t="shared" si="74"/>
        <v>9</v>
      </c>
      <c r="JC46">
        <f t="shared" si="74"/>
        <v>10</v>
      </c>
      <c r="JD46">
        <f t="shared" si="74"/>
        <v>11</v>
      </c>
      <c r="JE46">
        <f t="shared" si="74"/>
        <v>12</v>
      </c>
      <c r="JF46">
        <f t="shared" si="74"/>
        <v>13</v>
      </c>
      <c r="JG46">
        <f t="shared" si="74"/>
        <v>14</v>
      </c>
      <c r="JH46">
        <f t="shared" si="74"/>
        <v>17</v>
      </c>
      <c r="JI46">
        <f t="shared" si="74"/>
        <v>15</v>
      </c>
      <c r="JJ46">
        <f t="shared" si="74"/>
        <v>18</v>
      </c>
      <c r="JK46">
        <f t="shared" si="74"/>
        <v>11</v>
      </c>
      <c r="JL46">
        <f t="shared" si="74"/>
        <v>9</v>
      </c>
      <c r="JM46">
        <f t="shared" si="74"/>
        <v>6</v>
      </c>
      <c r="JN46">
        <f t="shared" si="74"/>
        <v>20</v>
      </c>
      <c r="JO46">
        <f t="shared" si="74"/>
        <v>7</v>
      </c>
      <c r="JP46">
        <f t="shared" si="74"/>
        <v>10</v>
      </c>
      <c r="JQ46">
        <f t="shared" si="74"/>
        <v>22</v>
      </c>
      <c r="JR46">
        <f t="shared" si="74"/>
        <v>23</v>
      </c>
      <c r="JS46">
        <f t="shared" si="74"/>
        <v>26</v>
      </c>
      <c r="JT46">
        <f t="shared" si="74"/>
        <v>27</v>
      </c>
      <c r="JU46" s="16">
        <f t="shared" si="74"/>
        <v>30</v>
      </c>
    </row>
    <row r="47" spans="1:281" x14ac:dyDescent="0.25">
      <c r="A47" t="s">
        <v>463</v>
      </c>
      <c r="B47" t="s">
        <v>462</v>
      </c>
      <c r="P47" t="s">
        <v>391</v>
      </c>
      <c r="T47" s="14" t="s">
        <v>554</v>
      </c>
      <c r="U47" s="15">
        <f t="shared" si="75"/>
        <v>46</v>
      </c>
      <c r="V47" t="s">
        <v>429</v>
      </c>
      <c r="W47" t="s">
        <v>430</v>
      </c>
      <c r="X47" t="str">
        <f>IF(COUNTIF(X$1:X46,X46)&gt;7,REPLACE(X46,LEN(X46),1,VALUE(RIGHT(X46,1))+1),X46)</f>
        <v>A3.1</v>
      </c>
      <c r="Y47" s="43" cm="1">
        <f t="array" ref="Y47">IF(COUNTIFS($X$2:$X47,$X47)=1,"1",VALUE(SUBSTITUTE(INDEX(Y:Y,_xlfn.XMATCH($X47,$X$1:$X46,0,-1)),"A",""))+INDEX(Z:Z,_xlfn.XMATCH($X47,$X$1:$X46,0,-1))+1)</f>
        <v>5</v>
      </c>
      <c r="Z47" s="43" cm="1">
        <f t="array" ref="Z47">SUM(IF(ISNUMBER(FIND("TmAi",$BA$1:$ZZ$1)),IF(IFERROR(ISODD(SUBSTITUTE($BA47:$ZZ47,"A","")),FALSE),IF(ISODD(SUBSTITUTE($BA47:$ZZ47,"A","")),1,0),0)))</f>
        <v>0</v>
      </c>
      <c r="AA47" t="str">
        <f t="shared" si="72"/>
        <v>9A</v>
      </c>
      <c r="AB47" t="str">
        <f t="shared" si="73"/>
        <v>9B</v>
      </c>
      <c r="AC47" s="15" t="s">
        <v>278</v>
      </c>
      <c r="AD47" t="s">
        <v>240</v>
      </c>
      <c r="AE47" t="s">
        <v>242</v>
      </c>
      <c r="AF47" s="15" t="s">
        <v>388</v>
      </c>
      <c r="AG47" s="15" t="s">
        <v>285</v>
      </c>
      <c r="AH47" s="15" t="s">
        <v>286</v>
      </c>
      <c r="AI47" s="15" t="s">
        <v>447</v>
      </c>
      <c r="AL47" t="s">
        <v>137</v>
      </c>
      <c r="AM47" t="s">
        <v>138</v>
      </c>
      <c r="AO47" t="s">
        <v>396</v>
      </c>
      <c r="AP47" t="s">
        <v>139</v>
      </c>
      <c r="AQ47" t="s">
        <v>140</v>
      </c>
      <c r="AZ47" s="16"/>
      <c r="GP47" s="27" t="str">
        <f t="shared" si="70"/>
        <v>XT46</v>
      </c>
      <c r="GQ47" t="str">
        <f t="shared" si="76"/>
        <v>C26</v>
      </c>
      <c r="GR47" t="str">
        <f t="shared" si="77"/>
        <v>B26</v>
      </c>
      <c r="GS47" t="str">
        <f t="shared" si="78"/>
        <v>C27</v>
      </c>
      <c r="GT47" t="str">
        <f t="shared" si="79"/>
        <v>B27</v>
      </c>
      <c r="GU47" t="str">
        <f t="shared" si="80"/>
        <v>C28</v>
      </c>
      <c r="GV47" t="str">
        <f t="shared" si="81"/>
        <v>B28</v>
      </c>
      <c r="GW47" t="str">
        <f t="shared" si="82"/>
        <v>C29</v>
      </c>
      <c r="GX47" t="str">
        <f t="shared" si="83"/>
        <v>B29</v>
      </c>
      <c r="GY47" t="str">
        <f t="shared" si="84"/>
        <v>C30</v>
      </c>
      <c r="GZ47" t="str">
        <f t="shared" si="85"/>
        <v>B30</v>
      </c>
      <c r="HA47" t="str">
        <f t="shared" si="86"/>
        <v>10B</v>
      </c>
      <c r="HB47" t="str">
        <f t="shared" si="87"/>
        <v>10A</v>
      </c>
      <c r="HC47" t="str">
        <f t="shared" si="88"/>
        <v>AI1-9A</v>
      </c>
      <c r="HD47" t="str">
        <f t="shared" si="88"/>
        <v>AI1-9B</v>
      </c>
      <c r="HE47" t="str">
        <f t="shared" si="89"/>
        <v>DI9-C25</v>
      </c>
      <c r="HF47" t="str">
        <f t="shared" si="89"/>
        <v>DI9-B25</v>
      </c>
      <c r="HG47" t="str">
        <f t="shared" si="71"/>
        <v>DI9-C26</v>
      </c>
      <c r="HH47" t="str">
        <f t="shared" si="71"/>
        <v>DI9-B26</v>
      </c>
      <c r="HI47" t="str">
        <f t="shared" si="71"/>
        <v>DI9-C27</v>
      </c>
      <c r="HJ47" t="str">
        <f t="shared" si="71"/>
        <v>DI9-B27</v>
      </c>
      <c r="HK47" t="str">
        <f t="shared" si="71"/>
        <v>DI9-C28</v>
      </c>
      <c r="HL47" t="str">
        <f t="shared" si="71"/>
        <v>DI9-B28</v>
      </c>
      <c r="HM47" t="str">
        <f t="shared" si="71"/>
        <v>DI9-C29</v>
      </c>
      <c r="HN47" t="str">
        <f t="shared" si="71"/>
        <v>DI9-B29</v>
      </c>
      <c r="HO47" t="str">
        <f t="shared" si="71"/>
        <v>DI9-C30</v>
      </c>
      <c r="HP47" t="str">
        <f t="shared" si="71"/>
        <v>DI9-B30</v>
      </c>
      <c r="HQ47" t="str">
        <f t="shared" si="90"/>
        <v>DO6-9B</v>
      </c>
      <c r="HR47" t="str">
        <f t="shared" si="90"/>
        <v>DO6-9A</v>
      </c>
      <c r="HS47" t="str">
        <f t="shared" si="91"/>
        <v>DO6-10B</v>
      </c>
      <c r="HT47" t="str">
        <f t="shared" si="91"/>
        <v>DO6-10A</v>
      </c>
      <c r="HU47" t="str">
        <f t="shared" si="92"/>
        <v>K46-01</v>
      </c>
      <c r="HV47" t="str">
        <f t="shared" si="93"/>
        <v>K46-02</v>
      </c>
      <c r="HW47" t="str">
        <f t="shared" si="94"/>
        <v>K46-03</v>
      </c>
      <c r="HX47" t="str">
        <f t="shared" si="95"/>
        <v>K46-04</v>
      </c>
      <c r="HY47" t="str">
        <f t="shared" si="96"/>
        <v>K46-05</v>
      </c>
      <c r="HZ47" t="str">
        <f t="shared" si="97"/>
        <v>K46-06</v>
      </c>
      <c r="IA47" t="str">
        <f t="shared" si="98"/>
        <v>K46-07</v>
      </c>
      <c r="IB47" t="str">
        <f t="shared" si="99"/>
        <v>K46-08</v>
      </c>
      <c r="IC47" t="str">
        <f t="shared" si="100"/>
        <v>F0-M46-AMS-12</v>
      </c>
      <c r="ID47" t="str">
        <f t="shared" si="101"/>
        <v>F0-M46-AMS-10</v>
      </c>
      <c r="IE47" t="str">
        <f t="shared" si="102"/>
        <v>F0-M46-AMS-11</v>
      </c>
      <c r="IF47" t="str">
        <f t="shared" si="103"/>
        <v>F0-M46-AMS-13</v>
      </c>
      <c r="IG47" t="str">
        <f t="shared" si="104"/>
        <v>F0-M46-AMS-9</v>
      </c>
      <c r="IH47" t="str">
        <f t="shared" si="105"/>
        <v>F0-M46-AMS-7</v>
      </c>
      <c r="II47" t="str">
        <f t="shared" si="106"/>
        <v>F0-M46-AMS-18</v>
      </c>
      <c r="IJ47" t="str">
        <f t="shared" si="107"/>
        <v>F0-M46-AMS-20</v>
      </c>
      <c r="IK47" t="str">
        <f t="shared" si="108"/>
        <v>F0-M46-AMS-17</v>
      </c>
      <c r="IL47" t="str">
        <f t="shared" si="109"/>
        <v>F0-+24-M46</v>
      </c>
      <c r="IM47" t="str">
        <f t="shared" si="110"/>
        <v>F0-M46-XM01</v>
      </c>
      <c r="IN47" t="str">
        <f t="shared" si="74"/>
        <v>A1</v>
      </c>
      <c r="IO47" t="str">
        <f t="shared" si="74"/>
        <v>A2</v>
      </c>
      <c r="IP47">
        <f t="shared" si="74"/>
        <v>11</v>
      </c>
      <c r="IQ47">
        <f t="shared" si="74"/>
        <v>14</v>
      </c>
      <c r="IR47" t="str">
        <f t="shared" si="74"/>
        <v>24v6</v>
      </c>
      <c r="IS47" t="str">
        <f t="shared" si="74"/>
        <v>0v6</v>
      </c>
      <c r="IT47">
        <f t="shared" si="74"/>
        <v>1</v>
      </c>
      <c r="IU47">
        <f t="shared" si="74"/>
        <v>2</v>
      </c>
      <c r="IV47">
        <f t="shared" si="74"/>
        <v>3</v>
      </c>
      <c r="IW47">
        <f t="shared" si="74"/>
        <v>4</v>
      </c>
      <c r="IX47">
        <f t="shared" si="74"/>
        <v>5</v>
      </c>
      <c r="IY47">
        <f t="shared" si="74"/>
        <v>6</v>
      </c>
      <c r="IZ47">
        <f t="shared" si="74"/>
        <v>7</v>
      </c>
      <c r="JA47">
        <f t="shared" si="74"/>
        <v>8</v>
      </c>
      <c r="JB47">
        <f t="shared" si="74"/>
        <v>9</v>
      </c>
      <c r="JC47">
        <f t="shared" si="74"/>
        <v>10</v>
      </c>
      <c r="JD47">
        <f t="shared" si="74"/>
        <v>11</v>
      </c>
      <c r="JE47">
        <f t="shared" si="74"/>
        <v>12</v>
      </c>
      <c r="JF47">
        <f t="shared" si="74"/>
        <v>13</v>
      </c>
      <c r="JG47">
        <f t="shared" si="74"/>
        <v>14</v>
      </c>
      <c r="JH47">
        <f t="shared" si="74"/>
        <v>17</v>
      </c>
      <c r="JI47">
        <f t="shared" si="74"/>
        <v>15</v>
      </c>
      <c r="JJ47">
        <f t="shared" si="74"/>
        <v>18</v>
      </c>
      <c r="JK47">
        <f t="shared" si="74"/>
        <v>11</v>
      </c>
      <c r="JL47">
        <f t="shared" si="74"/>
        <v>9</v>
      </c>
      <c r="JM47">
        <f t="shared" si="74"/>
        <v>6</v>
      </c>
      <c r="JN47">
        <f t="shared" si="74"/>
        <v>20</v>
      </c>
      <c r="JO47">
        <f t="shared" si="74"/>
        <v>7</v>
      </c>
      <c r="JP47">
        <f t="shared" si="74"/>
        <v>10</v>
      </c>
      <c r="JQ47">
        <f t="shared" si="74"/>
        <v>22</v>
      </c>
      <c r="JR47">
        <f t="shared" si="74"/>
        <v>23</v>
      </c>
      <c r="JS47">
        <f t="shared" si="74"/>
        <v>26</v>
      </c>
      <c r="JT47">
        <f t="shared" si="74"/>
        <v>27</v>
      </c>
      <c r="JU47" s="16">
        <f t="shared" si="74"/>
        <v>30</v>
      </c>
    </row>
    <row r="48" spans="1:281" x14ac:dyDescent="0.25">
      <c r="A48" t="s">
        <v>465</v>
      </c>
      <c r="B48" t="s">
        <v>464</v>
      </c>
      <c r="P48" t="s">
        <v>391</v>
      </c>
      <c r="T48" s="14" t="s">
        <v>554</v>
      </c>
      <c r="U48" s="15">
        <f t="shared" si="75"/>
        <v>47</v>
      </c>
      <c r="V48" t="s">
        <v>431</v>
      </c>
      <c r="W48" t="s">
        <v>456</v>
      </c>
      <c r="X48" t="str">
        <f>IF(COUNTIF(X$1:X47,X47)&gt;7,REPLACE(X47,LEN(X47),1,VALUE(RIGHT(X47,1))+1),X47)</f>
        <v>A3.1</v>
      </c>
      <c r="Y48" s="43" cm="1">
        <f t="array" ref="Y48">IF(COUNTIFS($X$2:$X48,$X48)=1,"1",VALUE(SUBSTITUTE(INDEX(Y:Y,_xlfn.XMATCH($X48,$X$1:$X47,0,-1)),"A",""))+INDEX(Z:Z,_xlfn.XMATCH($X48,$X$1:$X47,0,-1))+1)</f>
        <v>6</v>
      </c>
      <c r="Z48" s="43" cm="1">
        <f t="array" ref="Z48">SUM(IF(ISNUMBER(FIND("TmAi",$BA$1:$ZZ$1)),IF(IFERROR(ISODD(SUBSTITUTE($BA48:$ZZ48,"A","")),FALSE),IF(ISODD(SUBSTITUTE($BA48:$ZZ48,"A","")),1,0),0)))</f>
        <v>0</v>
      </c>
      <c r="AA48" t="str">
        <f t="shared" si="72"/>
        <v>11A</v>
      </c>
      <c r="AB48" t="str">
        <f t="shared" si="73"/>
        <v>11B</v>
      </c>
      <c r="AC48" s="15" t="s">
        <v>441</v>
      </c>
      <c r="AD48" t="s">
        <v>133</v>
      </c>
      <c r="AE48" t="s">
        <v>134</v>
      </c>
      <c r="AF48" s="15" t="s">
        <v>388</v>
      </c>
      <c r="AG48" t="s">
        <v>371</v>
      </c>
      <c r="AH48" t="s">
        <v>374</v>
      </c>
      <c r="AI48" t="s">
        <v>448</v>
      </c>
      <c r="AL48" t="s">
        <v>137</v>
      </c>
      <c r="AM48" t="s">
        <v>138</v>
      </c>
      <c r="AO48" t="s">
        <v>396</v>
      </c>
      <c r="AP48" t="s">
        <v>139</v>
      </c>
      <c r="AQ48" t="s">
        <v>140</v>
      </c>
      <c r="AZ48" s="16"/>
      <c r="GP48" s="27" t="str">
        <f t="shared" si="70"/>
        <v>XT47</v>
      </c>
      <c r="GQ48" t="str">
        <f t="shared" si="76"/>
        <v>C2</v>
      </c>
      <c r="GR48" t="str">
        <f t="shared" si="77"/>
        <v>B2</v>
      </c>
      <c r="GS48" t="str">
        <f t="shared" si="78"/>
        <v>C3</v>
      </c>
      <c r="GT48" t="str">
        <f t="shared" si="79"/>
        <v>B3</v>
      </c>
      <c r="GU48" t="str">
        <f t="shared" si="80"/>
        <v>C4</v>
      </c>
      <c r="GV48" t="str">
        <f t="shared" si="81"/>
        <v>B4</v>
      </c>
      <c r="GW48" t="str">
        <f t="shared" si="82"/>
        <v>C5</v>
      </c>
      <c r="GX48" t="str">
        <f t="shared" si="83"/>
        <v>B5</v>
      </c>
      <c r="GY48" t="str">
        <f t="shared" si="84"/>
        <v>C6</v>
      </c>
      <c r="GZ48" t="str">
        <f t="shared" si="85"/>
        <v>B6</v>
      </c>
      <c r="HA48" t="str">
        <f t="shared" si="86"/>
        <v>12B</v>
      </c>
      <c r="HB48" t="str">
        <f t="shared" si="87"/>
        <v>12A</v>
      </c>
      <c r="HC48" t="str">
        <f t="shared" si="88"/>
        <v>AI1-11A</v>
      </c>
      <c r="HD48" t="str">
        <f t="shared" si="88"/>
        <v>AI1-11B</v>
      </c>
      <c r="HE48" t="str">
        <f t="shared" si="89"/>
        <v>DI10-C1</v>
      </c>
      <c r="HF48" t="str">
        <f t="shared" si="89"/>
        <v>DI10-B1</v>
      </c>
      <c r="HG48" t="str">
        <f t="shared" si="71"/>
        <v>DI10-C2</v>
      </c>
      <c r="HH48" t="str">
        <f t="shared" si="71"/>
        <v>DI10-B2</v>
      </c>
      <c r="HI48" t="str">
        <f t="shared" si="71"/>
        <v>DI10-C3</v>
      </c>
      <c r="HJ48" t="str">
        <f t="shared" si="71"/>
        <v>DI10-B3</v>
      </c>
      <c r="HK48" t="str">
        <f t="shared" si="71"/>
        <v>DI10-C4</v>
      </c>
      <c r="HL48" t="str">
        <f t="shared" si="71"/>
        <v>DI10-B4</v>
      </c>
      <c r="HM48" t="str">
        <f t="shared" si="71"/>
        <v>DI10-C5</v>
      </c>
      <c r="HN48" t="str">
        <f t="shared" si="71"/>
        <v>DI10-B5</v>
      </c>
      <c r="HO48" t="str">
        <f t="shared" si="71"/>
        <v>DI10-C6</v>
      </c>
      <c r="HP48" t="str">
        <f t="shared" si="71"/>
        <v>DI10-B6</v>
      </c>
      <c r="HQ48" t="str">
        <f t="shared" si="90"/>
        <v>DO6-11B</v>
      </c>
      <c r="HR48" t="str">
        <f t="shared" si="90"/>
        <v>DO6-11A</v>
      </c>
      <c r="HS48" t="str">
        <f t="shared" si="91"/>
        <v>DO6-12B</v>
      </c>
      <c r="HT48" t="str">
        <f t="shared" si="91"/>
        <v>DO6-12A</v>
      </c>
      <c r="HU48" t="str">
        <f t="shared" si="92"/>
        <v>K47-01</v>
      </c>
      <c r="HV48" t="str">
        <f t="shared" si="93"/>
        <v>K47-02</v>
      </c>
      <c r="HW48" t="str">
        <f t="shared" si="94"/>
        <v>K47-03</v>
      </c>
      <c r="HX48" t="str">
        <f t="shared" si="95"/>
        <v>K47-04</v>
      </c>
      <c r="HY48" t="str">
        <f t="shared" si="96"/>
        <v>K47-05</v>
      </c>
      <c r="HZ48" t="str">
        <f t="shared" si="97"/>
        <v>K47-06</v>
      </c>
      <c r="IA48" t="str">
        <f t="shared" si="98"/>
        <v>K47-07</v>
      </c>
      <c r="IB48" t="str">
        <f t="shared" si="99"/>
        <v>K47-08</v>
      </c>
      <c r="IC48" t="str">
        <f t="shared" si="100"/>
        <v>F0-M47-AMS-12</v>
      </c>
      <c r="ID48" t="str">
        <f t="shared" si="101"/>
        <v>F0-M47-AMS-10</v>
      </c>
      <c r="IE48" t="str">
        <f t="shared" si="102"/>
        <v>F0-M47-AMS-11</v>
      </c>
      <c r="IF48" t="str">
        <f t="shared" si="103"/>
        <v>F0-M47-AMS-13</v>
      </c>
      <c r="IG48" t="str">
        <f t="shared" si="104"/>
        <v>F0-M47-AMS-9</v>
      </c>
      <c r="IH48" t="str">
        <f t="shared" si="105"/>
        <v>F0-M47-AMS-7</v>
      </c>
      <c r="II48" t="str">
        <f t="shared" si="106"/>
        <v>F0-M47-AMS-18</v>
      </c>
      <c r="IJ48" t="str">
        <f t="shared" si="107"/>
        <v>F0-M47-AMS-20</v>
      </c>
      <c r="IK48" t="str">
        <f t="shared" si="108"/>
        <v>F0-M47-AMS-17</v>
      </c>
      <c r="IL48" t="str">
        <f t="shared" si="109"/>
        <v>F0-+24-M47</v>
      </c>
      <c r="IM48" t="str">
        <f t="shared" si="110"/>
        <v>F0-M47-XM01</v>
      </c>
      <c r="IN48" t="str">
        <f t="shared" si="74"/>
        <v>A1</v>
      </c>
      <c r="IO48" t="str">
        <f t="shared" si="74"/>
        <v>A2</v>
      </c>
      <c r="IP48">
        <f t="shared" si="74"/>
        <v>11</v>
      </c>
      <c r="IQ48">
        <f t="shared" si="74"/>
        <v>14</v>
      </c>
      <c r="IR48" t="str">
        <f t="shared" si="74"/>
        <v>24v6</v>
      </c>
      <c r="IS48" t="str">
        <f t="shared" si="74"/>
        <v>0v6</v>
      </c>
      <c r="IT48">
        <f t="shared" si="74"/>
        <v>1</v>
      </c>
      <c r="IU48">
        <f t="shared" si="74"/>
        <v>2</v>
      </c>
      <c r="IV48">
        <f t="shared" si="74"/>
        <v>3</v>
      </c>
      <c r="IW48">
        <f t="shared" si="74"/>
        <v>4</v>
      </c>
      <c r="IX48">
        <f t="shared" si="74"/>
        <v>5</v>
      </c>
      <c r="IY48">
        <f t="shared" si="74"/>
        <v>6</v>
      </c>
      <c r="IZ48">
        <f t="shared" si="74"/>
        <v>7</v>
      </c>
      <c r="JA48">
        <f t="shared" si="74"/>
        <v>8</v>
      </c>
      <c r="JB48">
        <f t="shared" si="74"/>
        <v>9</v>
      </c>
      <c r="JC48">
        <f t="shared" si="74"/>
        <v>10</v>
      </c>
      <c r="JD48">
        <f t="shared" si="74"/>
        <v>11</v>
      </c>
      <c r="JE48">
        <f t="shared" si="74"/>
        <v>12</v>
      </c>
      <c r="JF48">
        <f t="shared" si="74"/>
        <v>13</v>
      </c>
      <c r="JG48">
        <f t="shared" si="74"/>
        <v>14</v>
      </c>
      <c r="JH48">
        <f t="shared" si="74"/>
        <v>17</v>
      </c>
      <c r="JI48">
        <f t="shared" si="74"/>
        <v>15</v>
      </c>
      <c r="JJ48">
        <f t="shared" si="74"/>
        <v>18</v>
      </c>
      <c r="JK48">
        <f t="shared" si="74"/>
        <v>11</v>
      </c>
      <c r="JL48">
        <f t="shared" si="74"/>
        <v>9</v>
      </c>
      <c r="JM48">
        <f t="shared" si="74"/>
        <v>6</v>
      </c>
      <c r="JN48">
        <f t="shared" si="74"/>
        <v>20</v>
      </c>
      <c r="JO48">
        <f t="shared" si="74"/>
        <v>7</v>
      </c>
      <c r="JP48">
        <f t="shared" si="74"/>
        <v>10</v>
      </c>
      <c r="JQ48">
        <f t="shared" si="74"/>
        <v>22</v>
      </c>
      <c r="JR48">
        <f t="shared" si="74"/>
        <v>23</v>
      </c>
      <c r="JS48">
        <f t="shared" si="74"/>
        <v>26</v>
      </c>
      <c r="JT48">
        <f t="shared" si="74"/>
        <v>27</v>
      </c>
      <c r="JU48" s="16">
        <f t="shared" si="74"/>
        <v>30</v>
      </c>
    </row>
    <row r="49" spans="1:301" x14ac:dyDescent="0.25">
      <c r="A49" t="s">
        <v>467</v>
      </c>
      <c r="B49" t="s">
        <v>466</v>
      </c>
      <c r="P49" t="s">
        <v>391</v>
      </c>
      <c r="T49" s="14" t="s">
        <v>554</v>
      </c>
      <c r="U49" s="15">
        <f t="shared" si="75"/>
        <v>48</v>
      </c>
      <c r="V49" t="s">
        <v>457</v>
      </c>
      <c r="W49" t="s">
        <v>432</v>
      </c>
      <c r="X49" t="str">
        <f>IF(COUNTIF(X$1:X48,X48)&gt;7,REPLACE(X48,LEN(X48),1,VALUE(RIGHT(X48,1))+1),X48)</f>
        <v>A3.1</v>
      </c>
      <c r="Y49" s="43" cm="1">
        <f t="array" ref="Y49">IF(COUNTIFS($X$2:$X49,$X49)=1,"1",VALUE(SUBSTITUTE(INDEX(Y:Y,_xlfn.XMATCH($X49,$X$1:$X48,0,-1)),"A",""))+INDEX(Z:Z,_xlfn.XMATCH($X49,$X$1:$X48,0,-1))+1)</f>
        <v>7</v>
      </c>
      <c r="Z49" s="43" cm="1">
        <f t="array" ref="Z49">SUM(IF(ISNUMBER(FIND("TmAi",$BA$1:$ZZ$1)),IF(IFERROR(ISODD(SUBSTITUTE($BA49:$ZZ49,"A","")),FALSE),IF(ISODD(SUBSTITUTE($BA49:$ZZ49,"A","")),1,0),0)))</f>
        <v>0</v>
      </c>
      <c r="AA49" t="str">
        <f t="shared" si="72"/>
        <v>13A</v>
      </c>
      <c r="AB49" t="str">
        <f t="shared" si="73"/>
        <v>13B</v>
      </c>
      <c r="AC49" s="15" t="s">
        <v>441</v>
      </c>
      <c r="AD49" t="s">
        <v>148</v>
      </c>
      <c r="AE49" t="s">
        <v>149</v>
      </c>
      <c r="AF49" s="15" t="s">
        <v>388</v>
      </c>
      <c r="AG49" s="15" t="s">
        <v>248</v>
      </c>
      <c r="AH49" s="15" t="s">
        <v>255</v>
      </c>
      <c r="AI49" s="15" t="s">
        <v>449</v>
      </c>
      <c r="AL49" t="s">
        <v>137</v>
      </c>
      <c r="AM49" t="s">
        <v>138</v>
      </c>
      <c r="AO49" t="s">
        <v>396</v>
      </c>
      <c r="AP49" t="s">
        <v>139</v>
      </c>
      <c r="AQ49" t="s">
        <v>140</v>
      </c>
      <c r="AZ49" s="16"/>
      <c r="GP49" s="27" t="str">
        <f t="shared" si="70"/>
        <v>XT48</v>
      </c>
      <c r="GQ49" t="str">
        <f t="shared" si="76"/>
        <v>C8</v>
      </c>
      <c r="GR49" t="str">
        <f t="shared" si="77"/>
        <v>B8</v>
      </c>
      <c r="GS49" t="str">
        <f t="shared" si="78"/>
        <v>C9</v>
      </c>
      <c r="GT49" t="str">
        <f t="shared" si="79"/>
        <v>B9</v>
      </c>
      <c r="GU49" t="str">
        <f t="shared" si="80"/>
        <v>C10</v>
      </c>
      <c r="GV49" t="str">
        <f t="shared" si="81"/>
        <v>B10</v>
      </c>
      <c r="GW49" t="str">
        <f t="shared" si="82"/>
        <v>C11</v>
      </c>
      <c r="GX49" t="str">
        <f t="shared" si="83"/>
        <v>B11</v>
      </c>
      <c r="GY49" t="str">
        <f t="shared" si="84"/>
        <v>C12</v>
      </c>
      <c r="GZ49" t="str">
        <f t="shared" si="85"/>
        <v>B12</v>
      </c>
      <c r="HA49" t="str">
        <f t="shared" si="86"/>
        <v>14B</v>
      </c>
      <c r="HB49" t="str">
        <f t="shared" si="87"/>
        <v>14A</v>
      </c>
      <c r="HC49" t="str">
        <f t="shared" si="88"/>
        <v>AI1-13A</v>
      </c>
      <c r="HD49" t="str">
        <f t="shared" si="88"/>
        <v>AI1-13B</v>
      </c>
      <c r="HE49" t="str">
        <f t="shared" si="89"/>
        <v>DI10-C7</v>
      </c>
      <c r="HF49" t="str">
        <f t="shared" si="89"/>
        <v>DI10-B7</v>
      </c>
      <c r="HG49" t="str">
        <f t="shared" si="71"/>
        <v>DI10-C8</v>
      </c>
      <c r="HH49" t="str">
        <f t="shared" si="71"/>
        <v>DI10-B8</v>
      </c>
      <c r="HI49" t="str">
        <f t="shared" si="71"/>
        <v>DI10-C9</v>
      </c>
      <c r="HJ49" t="str">
        <f t="shared" si="71"/>
        <v>DI10-B9</v>
      </c>
      <c r="HK49" t="str">
        <f t="shared" si="71"/>
        <v>DI10-C10</v>
      </c>
      <c r="HL49" t="str">
        <f t="shared" si="71"/>
        <v>DI10-B10</v>
      </c>
      <c r="HM49" t="str">
        <f t="shared" si="71"/>
        <v>DI10-C11</v>
      </c>
      <c r="HN49" t="str">
        <f t="shared" si="71"/>
        <v>DI10-B11</v>
      </c>
      <c r="HO49" t="str">
        <f t="shared" si="71"/>
        <v>DI10-C12</v>
      </c>
      <c r="HP49" t="str">
        <f t="shared" si="71"/>
        <v>DI10-B12</v>
      </c>
      <c r="HQ49" t="str">
        <f t="shared" si="90"/>
        <v>DO6-13B</v>
      </c>
      <c r="HR49" t="str">
        <f t="shared" si="90"/>
        <v>DO6-13A</v>
      </c>
      <c r="HS49" t="str">
        <f t="shared" si="91"/>
        <v>DO6-14B</v>
      </c>
      <c r="HT49" t="str">
        <f t="shared" si="91"/>
        <v>DO6-14A</v>
      </c>
      <c r="HU49" t="str">
        <f t="shared" si="92"/>
        <v>K48-01</v>
      </c>
      <c r="HV49" t="str">
        <f t="shared" si="93"/>
        <v>K48-02</v>
      </c>
      <c r="HW49" t="str">
        <f t="shared" si="94"/>
        <v>K48-03</v>
      </c>
      <c r="HX49" t="str">
        <f t="shared" si="95"/>
        <v>K48-04</v>
      </c>
      <c r="HY49" t="str">
        <f t="shared" si="96"/>
        <v>K48-05</v>
      </c>
      <c r="HZ49" t="str">
        <f t="shared" si="97"/>
        <v>K48-06</v>
      </c>
      <c r="IA49" t="str">
        <f t="shared" si="98"/>
        <v>K48-07</v>
      </c>
      <c r="IB49" t="str">
        <f t="shared" si="99"/>
        <v>K48-08</v>
      </c>
      <c r="IC49" t="str">
        <f t="shared" si="100"/>
        <v>F0-M48-AMS-12</v>
      </c>
      <c r="ID49" t="str">
        <f t="shared" si="101"/>
        <v>F0-M48-AMS-10</v>
      </c>
      <c r="IE49" t="str">
        <f t="shared" si="102"/>
        <v>F0-M48-AMS-11</v>
      </c>
      <c r="IF49" t="str">
        <f t="shared" si="103"/>
        <v>F0-M48-AMS-13</v>
      </c>
      <c r="IG49" t="str">
        <f t="shared" si="104"/>
        <v>F0-M48-AMS-9</v>
      </c>
      <c r="IH49" t="str">
        <f t="shared" si="105"/>
        <v>F0-M48-AMS-7</v>
      </c>
      <c r="II49" t="str">
        <f t="shared" si="106"/>
        <v>F0-M48-AMS-18</v>
      </c>
      <c r="IJ49" t="str">
        <f t="shared" si="107"/>
        <v>F0-M48-AMS-20</v>
      </c>
      <c r="IK49" t="str">
        <f t="shared" si="108"/>
        <v>F0-M48-AMS-17</v>
      </c>
      <c r="IL49" t="str">
        <f t="shared" si="109"/>
        <v>F0-+24-M48</v>
      </c>
      <c r="IM49" t="str">
        <f t="shared" si="110"/>
        <v>F0-M48-XM01</v>
      </c>
      <c r="IN49" t="str">
        <f t="shared" si="74"/>
        <v>A1</v>
      </c>
      <c r="IO49" t="str">
        <f t="shared" si="74"/>
        <v>A2</v>
      </c>
      <c r="IP49">
        <f t="shared" si="74"/>
        <v>11</v>
      </c>
      <c r="IQ49">
        <f t="shared" si="74"/>
        <v>14</v>
      </c>
      <c r="IR49" t="str">
        <f t="shared" si="74"/>
        <v>24v6</v>
      </c>
      <c r="IS49" t="str">
        <f t="shared" si="74"/>
        <v>0v6</v>
      </c>
      <c r="IT49">
        <f t="shared" si="74"/>
        <v>1</v>
      </c>
      <c r="IU49">
        <f t="shared" si="74"/>
        <v>2</v>
      </c>
      <c r="IV49">
        <f t="shared" si="74"/>
        <v>3</v>
      </c>
      <c r="IW49">
        <f t="shared" si="74"/>
        <v>4</v>
      </c>
      <c r="IX49">
        <f t="shared" si="74"/>
        <v>5</v>
      </c>
      <c r="IY49">
        <f t="shared" si="74"/>
        <v>6</v>
      </c>
      <c r="IZ49">
        <f t="shared" si="74"/>
        <v>7</v>
      </c>
      <c r="JA49">
        <f t="shared" si="74"/>
        <v>8</v>
      </c>
      <c r="JB49">
        <f t="shared" si="74"/>
        <v>9</v>
      </c>
      <c r="JC49">
        <f t="shared" si="74"/>
        <v>10</v>
      </c>
      <c r="JD49">
        <f t="shared" si="74"/>
        <v>11</v>
      </c>
      <c r="JE49">
        <f t="shared" si="74"/>
        <v>12</v>
      </c>
      <c r="JF49">
        <f t="shared" si="74"/>
        <v>13</v>
      </c>
      <c r="JG49">
        <f t="shared" si="74"/>
        <v>14</v>
      </c>
      <c r="JH49">
        <f t="shared" si="74"/>
        <v>17</v>
      </c>
      <c r="JI49">
        <f t="shared" si="74"/>
        <v>15</v>
      </c>
      <c r="JJ49">
        <f t="shared" si="74"/>
        <v>18</v>
      </c>
      <c r="JK49">
        <f t="shared" si="74"/>
        <v>11</v>
      </c>
      <c r="JL49">
        <f t="shared" si="74"/>
        <v>9</v>
      </c>
      <c r="JM49">
        <f t="shared" si="74"/>
        <v>6</v>
      </c>
      <c r="JN49">
        <f t="shared" si="74"/>
        <v>20</v>
      </c>
      <c r="JO49">
        <f t="shared" si="74"/>
        <v>7</v>
      </c>
      <c r="JP49">
        <f t="shared" si="74"/>
        <v>10</v>
      </c>
      <c r="JQ49">
        <f t="shared" si="74"/>
        <v>22</v>
      </c>
      <c r="JR49">
        <f t="shared" si="74"/>
        <v>23</v>
      </c>
      <c r="JS49">
        <f t="shared" si="74"/>
        <v>26</v>
      </c>
      <c r="JT49">
        <f t="shared" si="74"/>
        <v>27</v>
      </c>
      <c r="JU49" s="16">
        <f t="shared" si="74"/>
        <v>30</v>
      </c>
    </row>
    <row r="50" spans="1:301" x14ac:dyDescent="0.25">
      <c r="A50" t="s">
        <v>469</v>
      </c>
      <c r="B50" t="s">
        <v>468</v>
      </c>
      <c r="P50" t="s">
        <v>391</v>
      </c>
      <c r="T50" s="14" t="s">
        <v>554</v>
      </c>
      <c r="U50" s="15">
        <f t="shared" si="75"/>
        <v>49</v>
      </c>
      <c r="V50" t="s">
        <v>433</v>
      </c>
      <c r="W50" t="s">
        <v>434</v>
      </c>
      <c r="X50" s="33" t="str">
        <f>IF(COUNTIF(X$1:X49,X49)&gt;7,REPLACE(X49,LEN(X49),1,VALUE(RIGHT(X49,1))+1),X49)</f>
        <v>A3.1</v>
      </c>
      <c r="Y50" s="45" cm="1">
        <f t="array" ref="Y50">IF(COUNTIFS($X$2:$X50,$X50)=1,"1",VALUE(SUBSTITUTE(INDEX(Y:Y,_xlfn.XMATCH($X50,$X$1:$X49,0,-1)),"A",""))+INDEX(Z:Z,_xlfn.XMATCH($X50,$X$1:$X49,0,-1))+1)</f>
        <v>8</v>
      </c>
      <c r="Z50" s="43" cm="1">
        <f t="array" ref="Z50">SUM(IF(ISNUMBER(FIND("TmAi",$BA$1:$ZZ$1)),IF(IFERROR(ISODD(SUBSTITUTE($BA50:$ZZ50,"A","")),FALSE),IF(ISODD(SUBSTITUTE($BA50:$ZZ50,"A","")),1,0),0)))</f>
        <v>0</v>
      </c>
      <c r="AA50" t="str">
        <f t="shared" si="72"/>
        <v>15A</v>
      </c>
      <c r="AB50" t="str">
        <f t="shared" si="73"/>
        <v>15B</v>
      </c>
      <c r="AC50" s="15" t="s">
        <v>441</v>
      </c>
      <c r="AD50" t="s">
        <v>153</v>
      </c>
      <c r="AE50" t="s">
        <v>154</v>
      </c>
      <c r="AF50" s="15" t="s">
        <v>388</v>
      </c>
      <c r="AG50" t="s">
        <v>372</v>
      </c>
      <c r="AH50" t="s">
        <v>375</v>
      </c>
      <c r="AI50" t="s">
        <v>450</v>
      </c>
      <c r="AL50" t="s">
        <v>137</v>
      </c>
      <c r="AM50" t="s">
        <v>138</v>
      </c>
      <c r="AO50" t="s">
        <v>396</v>
      </c>
      <c r="AP50" t="s">
        <v>139</v>
      </c>
      <c r="AQ50" t="s">
        <v>140</v>
      </c>
      <c r="AZ50" s="16"/>
      <c r="GP50" s="27" t="str">
        <f t="shared" si="70"/>
        <v>XT49</v>
      </c>
      <c r="GQ50" t="str">
        <f t="shared" si="76"/>
        <v>C14</v>
      </c>
      <c r="GR50" t="str">
        <f t="shared" si="77"/>
        <v>B14</v>
      </c>
      <c r="GS50" t="str">
        <f t="shared" si="78"/>
        <v>C15</v>
      </c>
      <c r="GT50" t="str">
        <f t="shared" si="79"/>
        <v>B15</v>
      </c>
      <c r="GU50" t="str">
        <f t="shared" si="80"/>
        <v>C16</v>
      </c>
      <c r="GV50" t="str">
        <f t="shared" si="81"/>
        <v>B16</v>
      </c>
      <c r="GW50" t="str">
        <f t="shared" si="82"/>
        <v>C17</v>
      </c>
      <c r="GX50" t="str">
        <f t="shared" si="83"/>
        <v>B17</v>
      </c>
      <c r="GY50" t="str">
        <f t="shared" si="84"/>
        <v>C18</v>
      </c>
      <c r="GZ50" t="str">
        <f t="shared" si="85"/>
        <v>B18</v>
      </c>
      <c r="HA50" t="str">
        <f t="shared" si="86"/>
        <v>16B</v>
      </c>
      <c r="HB50" t="str">
        <f t="shared" si="87"/>
        <v>16A</v>
      </c>
      <c r="HC50" t="str">
        <f t="shared" si="88"/>
        <v>AI1-15A</v>
      </c>
      <c r="HD50" t="str">
        <f t="shared" si="88"/>
        <v>AI1-15B</v>
      </c>
      <c r="HE50" t="str">
        <f t="shared" si="89"/>
        <v>DI10-C13</v>
      </c>
      <c r="HF50" t="str">
        <f t="shared" si="89"/>
        <v>DI10-B13</v>
      </c>
      <c r="HG50" t="str">
        <f t="shared" si="71"/>
        <v>DI10-C14</v>
      </c>
      <c r="HH50" t="str">
        <f t="shared" si="71"/>
        <v>DI10-B14</v>
      </c>
      <c r="HI50" t="str">
        <f t="shared" si="71"/>
        <v>DI10-C15</v>
      </c>
      <c r="HJ50" t="str">
        <f t="shared" si="71"/>
        <v>DI10-B15</v>
      </c>
      <c r="HK50" t="str">
        <f t="shared" si="71"/>
        <v>DI10-C16</v>
      </c>
      <c r="HL50" t="str">
        <f t="shared" si="71"/>
        <v>DI10-B16</v>
      </c>
      <c r="HM50" t="str">
        <f t="shared" si="71"/>
        <v>DI10-C17</v>
      </c>
      <c r="HN50" t="str">
        <f t="shared" si="71"/>
        <v>DI10-B17</v>
      </c>
      <c r="HO50" t="str">
        <f t="shared" si="71"/>
        <v>DI10-C18</v>
      </c>
      <c r="HP50" t="str">
        <f t="shared" si="71"/>
        <v>DI10-B18</v>
      </c>
      <c r="HQ50" t="str">
        <f t="shared" si="90"/>
        <v>DO6-15B</v>
      </c>
      <c r="HR50" t="str">
        <f t="shared" si="90"/>
        <v>DO6-15A</v>
      </c>
      <c r="HS50" t="str">
        <f t="shared" si="91"/>
        <v>DO6-16B</v>
      </c>
      <c r="HT50" t="str">
        <f t="shared" si="91"/>
        <v>DO6-16A</v>
      </c>
      <c r="HU50" t="str">
        <f t="shared" si="92"/>
        <v>K49-01</v>
      </c>
      <c r="HV50" t="str">
        <f t="shared" si="93"/>
        <v>K49-02</v>
      </c>
      <c r="HW50" t="str">
        <f t="shared" si="94"/>
        <v>K49-03</v>
      </c>
      <c r="HX50" t="str">
        <f t="shared" si="95"/>
        <v>K49-04</v>
      </c>
      <c r="HY50" t="str">
        <f t="shared" si="96"/>
        <v>K49-05</v>
      </c>
      <c r="HZ50" t="str">
        <f t="shared" si="97"/>
        <v>K49-06</v>
      </c>
      <c r="IA50" t="str">
        <f t="shared" si="98"/>
        <v>K49-07</v>
      </c>
      <c r="IB50" t="str">
        <f t="shared" si="99"/>
        <v>K49-08</v>
      </c>
      <c r="IC50" t="str">
        <f t="shared" si="100"/>
        <v>F0-M49-AMS-12</v>
      </c>
      <c r="ID50" t="str">
        <f t="shared" si="101"/>
        <v>F0-M49-AMS-10</v>
      </c>
      <c r="IE50" t="str">
        <f t="shared" si="102"/>
        <v>F0-M49-AMS-11</v>
      </c>
      <c r="IF50" t="str">
        <f t="shared" si="103"/>
        <v>F0-M49-AMS-13</v>
      </c>
      <c r="IG50" t="str">
        <f t="shared" si="104"/>
        <v>F0-M49-AMS-9</v>
      </c>
      <c r="IH50" t="str">
        <f t="shared" si="105"/>
        <v>F0-M49-AMS-7</v>
      </c>
      <c r="II50" t="str">
        <f t="shared" si="106"/>
        <v>F0-M49-AMS-18</v>
      </c>
      <c r="IJ50" t="str">
        <f t="shared" si="107"/>
        <v>F0-M49-AMS-20</v>
      </c>
      <c r="IK50" t="str">
        <f t="shared" si="108"/>
        <v>F0-M49-AMS-17</v>
      </c>
      <c r="IL50" t="str">
        <f t="shared" si="109"/>
        <v>F0-+24-M49</v>
      </c>
      <c r="IM50" t="str">
        <f t="shared" si="110"/>
        <v>F0-M49-XM01</v>
      </c>
      <c r="IN50" t="str">
        <f t="shared" si="74"/>
        <v>A1</v>
      </c>
      <c r="IO50" t="str">
        <f t="shared" si="74"/>
        <v>A2</v>
      </c>
      <c r="IP50">
        <f t="shared" si="74"/>
        <v>11</v>
      </c>
      <c r="IQ50">
        <f t="shared" si="74"/>
        <v>14</v>
      </c>
      <c r="IR50" t="str">
        <f t="shared" si="74"/>
        <v>24v6</v>
      </c>
      <c r="IS50" t="str">
        <f t="shared" si="74"/>
        <v>0v6</v>
      </c>
      <c r="IT50">
        <f t="shared" si="74"/>
        <v>1</v>
      </c>
      <c r="IU50">
        <f t="shared" si="74"/>
        <v>2</v>
      </c>
      <c r="IV50">
        <f t="shared" si="74"/>
        <v>3</v>
      </c>
      <c r="IW50">
        <f t="shared" si="74"/>
        <v>4</v>
      </c>
      <c r="IX50">
        <f t="shared" si="74"/>
        <v>5</v>
      </c>
      <c r="IY50">
        <f t="shared" si="74"/>
        <v>6</v>
      </c>
      <c r="IZ50">
        <f t="shared" si="74"/>
        <v>7</v>
      </c>
      <c r="JA50">
        <f t="shared" si="74"/>
        <v>8</v>
      </c>
      <c r="JB50">
        <f t="shared" si="74"/>
        <v>9</v>
      </c>
      <c r="JC50">
        <f t="shared" si="74"/>
        <v>10</v>
      </c>
      <c r="JD50">
        <f t="shared" si="74"/>
        <v>11</v>
      </c>
      <c r="JE50">
        <f t="shared" si="74"/>
        <v>12</v>
      </c>
      <c r="JF50">
        <f t="shared" si="74"/>
        <v>13</v>
      </c>
      <c r="JG50">
        <f t="shared" si="74"/>
        <v>14</v>
      </c>
      <c r="JH50">
        <f t="shared" si="74"/>
        <v>17</v>
      </c>
      <c r="JI50">
        <f t="shared" si="74"/>
        <v>15</v>
      </c>
      <c r="JJ50">
        <f t="shared" si="74"/>
        <v>18</v>
      </c>
      <c r="JK50">
        <f t="shared" si="74"/>
        <v>11</v>
      </c>
      <c r="JL50">
        <f t="shared" si="74"/>
        <v>9</v>
      </c>
      <c r="JM50">
        <f t="shared" si="74"/>
        <v>6</v>
      </c>
      <c r="JN50">
        <f t="shared" si="74"/>
        <v>20</v>
      </c>
      <c r="JO50">
        <f t="shared" si="74"/>
        <v>7</v>
      </c>
      <c r="JP50">
        <f t="shared" si="74"/>
        <v>10</v>
      </c>
      <c r="JQ50">
        <f t="shared" si="74"/>
        <v>22</v>
      </c>
      <c r="JR50">
        <f t="shared" si="74"/>
        <v>23</v>
      </c>
      <c r="JS50">
        <f t="shared" si="74"/>
        <v>26</v>
      </c>
      <c r="JT50">
        <f t="shared" si="74"/>
        <v>27</v>
      </c>
      <c r="JU50" s="16">
        <f t="shared" si="74"/>
        <v>30</v>
      </c>
    </row>
    <row r="51" spans="1:301" x14ac:dyDescent="0.25">
      <c r="A51" t="s">
        <v>471</v>
      </c>
      <c r="B51" s="29" t="s">
        <v>470</v>
      </c>
      <c r="P51" t="s">
        <v>391</v>
      </c>
      <c r="T51" s="14" t="s">
        <v>554</v>
      </c>
      <c r="U51" s="15">
        <f t="shared" si="75"/>
        <v>50</v>
      </c>
      <c r="V51" t="s">
        <v>435</v>
      </c>
      <c r="W51" t="s">
        <v>458</v>
      </c>
      <c r="X51" t="str">
        <f>IF(COUNTIF(X$1:X50,X50)&gt;7,REPLACE(X50,LEN(X50),1,VALUE(RIGHT(X50,1))+1),X50)</f>
        <v>A3.2</v>
      </c>
      <c r="Y51" s="43" t="str" cm="1">
        <f t="array" ref="Y51">IF(COUNTIFS($X$2:$X51,$X51)=1,"1",VALUE(SUBSTITUTE(INDEX(Y:Y,_xlfn.XMATCH($X51,$X$1:$X50,0,-1)),"A",""))+INDEX(Z:Z,_xlfn.XMATCH($X51,$X$1:$X50,0,-1))+1)</f>
        <v>1</v>
      </c>
      <c r="Z51" s="43" cm="1">
        <f t="array" ref="Z51">SUM(IF(ISNUMBER(FIND("TmAi",$BA$1:$ZZ$1)),IF(IFERROR(ISODD(SUBSTITUTE($BA51:$ZZ51,"A","")),FALSE),IF(ISODD(SUBSTITUTE($BA51:$ZZ51,"A","")),1,0),0)))</f>
        <v>0</v>
      </c>
      <c r="AA51" t="str">
        <f t="shared" si="72"/>
        <v>1A</v>
      </c>
      <c r="AB51" t="str">
        <f t="shared" si="73"/>
        <v>1B</v>
      </c>
      <c r="AC51" s="15" t="s">
        <v>441</v>
      </c>
      <c r="AD51" t="s">
        <v>239</v>
      </c>
      <c r="AE51" t="s">
        <v>241</v>
      </c>
      <c r="AF51" s="15" t="s">
        <v>388</v>
      </c>
      <c r="AG51" s="15" t="s">
        <v>373</v>
      </c>
      <c r="AH51" s="15" t="s">
        <v>376</v>
      </c>
      <c r="AI51" s="15" t="s">
        <v>451</v>
      </c>
      <c r="AL51" t="s">
        <v>137</v>
      </c>
      <c r="AM51" t="s">
        <v>138</v>
      </c>
      <c r="AO51" t="s">
        <v>396</v>
      </c>
      <c r="AP51" t="s">
        <v>139</v>
      </c>
      <c r="AQ51" t="s">
        <v>140</v>
      </c>
      <c r="AZ51" s="16"/>
      <c r="GP51" s="27" t="str">
        <f t="shared" si="70"/>
        <v>XT50</v>
      </c>
      <c r="GQ51" t="str">
        <f t="shared" si="76"/>
        <v>C20</v>
      </c>
      <c r="GR51" t="str">
        <f t="shared" si="77"/>
        <v>B20</v>
      </c>
      <c r="GS51" t="str">
        <f t="shared" si="78"/>
        <v>C21</v>
      </c>
      <c r="GT51" t="str">
        <f t="shared" si="79"/>
        <v>B21</v>
      </c>
      <c r="GU51" t="str">
        <f t="shared" si="80"/>
        <v>C22</v>
      </c>
      <c r="GV51" t="str">
        <f t="shared" si="81"/>
        <v>B22</v>
      </c>
      <c r="GW51" t="str">
        <f t="shared" si="82"/>
        <v>C23</v>
      </c>
      <c r="GX51" t="str">
        <f t="shared" si="83"/>
        <v>B23</v>
      </c>
      <c r="GY51" t="str">
        <f t="shared" si="84"/>
        <v>C24</v>
      </c>
      <c r="GZ51" t="str">
        <f t="shared" si="85"/>
        <v>B24</v>
      </c>
      <c r="HA51" t="str">
        <f t="shared" si="86"/>
        <v>18B</v>
      </c>
      <c r="HB51" t="str">
        <f t="shared" si="87"/>
        <v>18A</v>
      </c>
      <c r="HC51" t="str">
        <f t="shared" si="88"/>
        <v>AI2-1A</v>
      </c>
      <c r="HD51" t="str">
        <f t="shared" si="88"/>
        <v>AI2-1B</v>
      </c>
      <c r="HE51" t="str">
        <f t="shared" si="89"/>
        <v>DI10-C19</v>
      </c>
      <c r="HF51" t="str">
        <f t="shared" si="89"/>
        <v>DI10-B19</v>
      </c>
      <c r="HG51" t="str">
        <f t="shared" si="71"/>
        <v>DI10-C20</v>
      </c>
      <c r="HH51" t="str">
        <f t="shared" si="71"/>
        <v>DI10-B20</v>
      </c>
      <c r="HI51" t="str">
        <f t="shared" si="71"/>
        <v>DI10-C21</v>
      </c>
      <c r="HJ51" t="str">
        <f t="shared" si="71"/>
        <v>DI10-B21</v>
      </c>
      <c r="HK51" t="str">
        <f t="shared" si="71"/>
        <v>DI10-C22</v>
      </c>
      <c r="HL51" t="str">
        <f t="shared" si="71"/>
        <v>DI10-B22</v>
      </c>
      <c r="HM51" t="str">
        <f t="shared" si="71"/>
        <v>DI10-C23</v>
      </c>
      <c r="HN51" t="str">
        <f t="shared" si="71"/>
        <v>DI10-B23</v>
      </c>
      <c r="HO51" t="str">
        <f t="shared" si="71"/>
        <v>DI10-C24</v>
      </c>
      <c r="HP51" t="str">
        <f t="shared" si="71"/>
        <v>DI10-B24</v>
      </c>
      <c r="HQ51" t="str">
        <f t="shared" si="90"/>
        <v>DO6-17B</v>
      </c>
      <c r="HR51" t="str">
        <f t="shared" si="90"/>
        <v>DO6-17A</v>
      </c>
      <c r="HS51" t="str">
        <f t="shared" si="91"/>
        <v>DO6-18B</v>
      </c>
      <c r="HT51" t="str">
        <f t="shared" si="91"/>
        <v>DO6-18A</v>
      </c>
      <c r="HU51" t="str">
        <f t="shared" si="92"/>
        <v>K50-01</v>
      </c>
      <c r="HV51" t="str">
        <f t="shared" si="93"/>
        <v>K50-02</v>
      </c>
      <c r="HW51" t="str">
        <f t="shared" si="94"/>
        <v>K50-03</v>
      </c>
      <c r="HX51" t="str">
        <f t="shared" si="95"/>
        <v>K50-04</v>
      </c>
      <c r="HY51" t="str">
        <f t="shared" si="96"/>
        <v>K50-05</v>
      </c>
      <c r="HZ51" t="str">
        <f t="shared" si="97"/>
        <v>K50-06</v>
      </c>
      <c r="IA51" t="str">
        <f t="shared" si="98"/>
        <v>K50-07</v>
      </c>
      <c r="IB51" t="str">
        <f t="shared" si="99"/>
        <v>K50-08</v>
      </c>
      <c r="IC51" t="str">
        <f t="shared" si="100"/>
        <v>F0-M50-AMS-12</v>
      </c>
      <c r="ID51" t="str">
        <f t="shared" si="101"/>
        <v>F0-M50-AMS-10</v>
      </c>
      <c r="IE51" t="str">
        <f t="shared" si="102"/>
        <v>F0-M50-AMS-11</v>
      </c>
      <c r="IF51" t="str">
        <f t="shared" si="103"/>
        <v>F0-M50-AMS-13</v>
      </c>
      <c r="IG51" t="str">
        <f t="shared" si="104"/>
        <v>F0-M50-AMS-9</v>
      </c>
      <c r="IH51" t="str">
        <f t="shared" si="105"/>
        <v>F0-M50-AMS-7</v>
      </c>
      <c r="II51" t="str">
        <f t="shared" si="106"/>
        <v>F0-M50-AMS-18</v>
      </c>
      <c r="IJ51" t="str">
        <f t="shared" si="107"/>
        <v>F0-M50-AMS-20</v>
      </c>
      <c r="IK51" t="str">
        <f t="shared" si="108"/>
        <v>F0-M50-AMS-17</v>
      </c>
      <c r="IL51" t="str">
        <f t="shared" si="109"/>
        <v>F0-+24-M50</v>
      </c>
      <c r="IM51" t="str">
        <f t="shared" si="110"/>
        <v>F0-M50-XM01</v>
      </c>
      <c r="IN51" t="str">
        <f t="shared" si="74"/>
        <v>A1</v>
      </c>
      <c r="IO51" t="str">
        <f t="shared" si="74"/>
        <v>A2</v>
      </c>
      <c r="IP51">
        <f t="shared" si="74"/>
        <v>11</v>
      </c>
      <c r="IQ51">
        <f t="shared" si="74"/>
        <v>14</v>
      </c>
      <c r="IR51" t="str">
        <f t="shared" si="74"/>
        <v>24v6</v>
      </c>
      <c r="IS51" t="str">
        <f t="shared" si="74"/>
        <v>0v6</v>
      </c>
      <c r="IT51">
        <f t="shared" si="74"/>
        <v>1</v>
      </c>
      <c r="IU51">
        <f t="shared" si="74"/>
        <v>2</v>
      </c>
      <c r="IV51">
        <f t="shared" si="74"/>
        <v>3</v>
      </c>
      <c r="IW51">
        <f t="shared" si="74"/>
        <v>4</v>
      </c>
      <c r="IX51">
        <f t="shared" si="74"/>
        <v>5</v>
      </c>
      <c r="IY51">
        <f t="shared" si="74"/>
        <v>6</v>
      </c>
      <c r="IZ51">
        <f t="shared" si="74"/>
        <v>7</v>
      </c>
      <c r="JA51">
        <f t="shared" si="74"/>
        <v>8</v>
      </c>
      <c r="JB51">
        <f t="shared" si="74"/>
        <v>9</v>
      </c>
      <c r="JC51">
        <f t="shared" si="74"/>
        <v>10</v>
      </c>
      <c r="JD51">
        <f t="shared" si="74"/>
        <v>11</v>
      </c>
      <c r="JE51">
        <f t="shared" ref="JE51:JU51" si="111">JE50</f>
        <v>12</v>
      </c>
      <c r="JF51">
        <f t="shared" si="111"/>
        <v>13</v>
      </c>
      <c r="JG51">
        <f t="shared" si="111"/>
        <v>14</v>
      </c>
      <c r="JH51">
        <f t="shared" si="111"/>
        <v>17</v>
      </c>
      <c r="JI51">
        <f t="shared" si="111"/>
        <v>15</v>
      </c>
      <c r="JJ51">
        <f t="shared" si="111"/>
        <v>18</v>
      </c>
      <c r="JK51">
        <f t="shared" si="111"/>
        <v>11</v>
      </c>
      <c r="JL51">
        <f t="shared" si="111"/>
        <v>9</v>
      </c>
      <c r="JM51">
        <f t="shared" si="111"/>
        <v>6</v>
      </c>
      <c r="JN51">
        <f t="shared" si="111"/>
        <v>20</v>
      </c>
      <c r="JO51">
        <f t="shared" si="111"/>
        <v>7</v>
      </c>
      <c r="JP51">
        <f t="shared" si="111"/>
        <v>10</v>
      </c>
      <c r="JQ51">
        <f t="shared" si="111"/>
        <v>22</v>
      </c>
      <c r="JR51">
        <f t="shared" si="111"/>
        <v>23</v>
      </c>
      <c r="JS51">
        <f t="shared" si="111"/>
        <v>26</v>
      </c>
      <c r="JT51">
        <f t="shared" si="111"/>
        <v>27</v>
      </c>
      <c r="JU51" s="16">
        <f t="shared" si="111"/>
        <v>30</v>
      </c>
    </row>
    <row r="52" spans="1:301" x14ac:dyDescent="0.25">
      <c r="A52" t="s">
        <v>473</v>
      </c>
      <c r="B52" t="s">
        <v>472</v>
      </c>
      <c r="P52" t="s">
        <v>391</v>
      </c>
      <c r="T52" s="14" t="s">
        <v>554</v>
      </c>
      <c r="U52" s="15">
        <f t="shared" si="75"/>
        <v>51</v>
      </c>
      <c r="V52" t="s">
        <v>459</v>
      </c>
      <c r="W52" t="s">
        <v>436</v>
      </c>
      <c r="X52" t="str">
        <f>IF(COUNTIF(X$1:X51,X51)&gt;7,REPLACE(X51,LEN(X51),1,VALUE(RIGHT(X51,1))+1),X51)</f>
        <v>A3.2</v>
      </c>
      <c r="Y52" s="43" cm="1">
        <f t="array" ref="Y52">IF(COUNTIFS($X$2:$X52,$X52)=1,"1",VALUE(SUBSTITUTE(INDEX(Y:Y,_xlfn.XMATCH($X52,$X$1:$X51,0,-1)),"A",""))+INDEX(Z:Z,_xlfn.XMATCH($X52,$X$1:$X51,0,-1))+1)</f>
        <v>2</v>
      </c>
      <c r="Z52" s="43" cm="1">
        <f t="array" ref="Z52">SUM(IF(ISNUMBER(FIND("TmAi",$BA$1:$ZZ$1)),IF(IFERROR(ISODD(SUBSTITUTE($BA52:$ZZ52,"A","")),FALSE),IF(ISODD(SUBSTITUTE($BA52:$ZZ52,"A","")),1,0),0)))</f>
        <v>0</v>
      </c>
      <c r="AA52" t="str">
        <f t="shared" si="72"/>
        <v>3A</v>
      </c>
      <c r="AB52" t="str">
        <f t="shared" si="73"/>
        <v>3B</v>
      </c>
      <c r="AC52" s="15" t="s">
        <v>441</v>
      </c>
      <c r="AD52" t="s">
        <v>240</v>
      </c>
      <c r="AE52" t="s">
        <v>242</v>
      </c>
      <c r="AF52" s="15" t="s">
        <v>388</v>
      </c>
      <c r="AG52" t="s">
        <v>250</v>
      </c>
      <c r="AH52" t="s">
        <v>257</v>
      </c>
      <c r="AI52" t="s">
        <v>453</v>
      </c>
      <c r="AL52" t="s">
        <v>137</v>
      </c>
      <c r="AM52" t="s">
        <v>138</v>
      </c>
      <c r="AO52" t="s">
        <v>396</v>
      </c>
      <c r="AP52" t="s">
        <v>139</v>
      </c>
      <c r="AQ52" t="s">
        <v>140</v>
      </c>
      <c r="AZ52" s="16"/>
      <c r="GP52" s="27" t="str">
        <f t="shared" si="70"/>
        <v>XT51</v>
      </c>
      <c r="GQ52" t="str">
        <f t="shared" si="76"/>
        <v>C26</v>
      </c>
      <c r="GR52" t="str">
        <f t="shared" si="77"/>
        <v>B26</v>
      </c>
      <c r="GS52" t="str">
        <f t="shared" si="78"/>
        <v>C27</v>
      </c>
      <c r="GT52" t="str">
        <f t="shared" si="79"/>
        <v>B27</v>
      </c>
      <c r="GU52" t="str">
        <f t="shared" si="80"/>
        <v>C28</v>
      </c>
      <c r="GV52" t="str">
        <f t="shared" si="81"/>
        <v>B28</v>
      </c>
      <c r="GW52" t="str">
        <f t="shared" si="82"/>
        <v>C29</v>
      </c>
      <c r="GX52" t="str">
        <f t="shared" si="83"/>
        <v>B29</v>
      </c>
      <c r="GY52" t="str">
        <f t="shared" si="84"/>
        <v>C30</v>
      </c>
      <c r="GZ52" t="str">
        <f t="shared" si="85"/>
        <v>B30</v>
      </c>
      <c r="HA52" t="str">
        <f t="shared" si="86"/>
        <v>20B</v>
      </c>
      <c r="HB52" t="str">
        <f t="shared" si="87"/>
        <v>20A</v>
      </c>
      <c r="HC52" t="str">
        <f t="shared" si="88"/>
        <v>AI2-3A</v>
      </c>
      <c r="HD52" t="str">
        <f t="shared" si="88"/>
        <v>AI2-3B</v>
      </c>
      <c r="HE52" t="str">
        <f t="shared" si="89"/>
        <v>DI10-C25</v>
      </c>
      <c r="HF52" t="str">
        <f t="shared" si="89"/>
        <v>DI10-B25</v>
      </c>
      <c r="HG52" t="str">
        <f t="shared" si="71"/>
        <v>DI10-C26</v>
      </c>
      <c r="HH52" t="str">
        <f t="shared" si="71"/>
        <v>DI10-B26</v>
      </c>
      <c r="HI52" t="str">
        <f t="shared" si="71"/>
        <v>DI10-C27</v>
      </c>
      <c r="HJ52" t="str">
        <f t="shared" si="71"/>
        <v>DI10-B27</v>
      </c>
      <c r="HK52" t="str">
        <f t="shared" si="71"/>
        <v>DI10-C28</v>
      </c>
      <c r="HL52" t="str">
        <f t="shared" si="71"/>
        <v>DI10-B28</v>
      </c>
      <c r="HM52" t="str">
        <f t="shared" si="71"/>
        <v>DI10-C29</v>
      </c>
      <c r="HN52" t="str">
        <f t="shared" si="71"/>
        <v>DI10-B29</v>
      </c>
      <c r="HO52" t="str">
        <f t="shared" si="71"/>
        <v>DI10-C30</v>
      </c>
      <c r="HP52" t="str">
        <f t="shared" si="71"/>
        <v>DI10-B30</v>
      </c>
      <c r="HQ52" t="str">
        <f t="shared" si="90"/>
        <v>DO6-19B</v>
      </c>
      <c r="HR52" t="str">
        <f t="shared" si="90"/>
        <v>DO6-19A</v>
      </c>
      <c r="HS52" t="str">
        <f t="shared" si="91"/>
        <v>DO6-20B</v>
      </c>
      <c r="HT52" t="str">
        <f t="shared" si="91"/>
        <v>DO6-20A</v>
      </c>
      <c r="HU52" t="str">
        <f t="shared" si="92"/>
        <v>K51-01</v>
      </c>
      <c r="HV52" t="str">
        <f t="shared" si="93"/>
        <v>K51-02</v>
      </c>
      <c r="HW52" t="str">
        <f t="shared" si="94"/>
        <v>K51-03</v>
      </c>
      <c r="HX52" t="str">
        <f t="shared" si="95"/>
        <v>K51-04</v>
      </c>
      <c r="HY52" t="str">
        <f t="shared" si="96"/>
        <v>K51-05</v>
      </c>
      <c r="HZ52" t="str">
        <f t="shared" si="97"/>
        <v>K51-06</v>
      </c>
      <c r="IA52" t="str">
        <f t="shared" si="98"/>
        <v>K51-07</v>
      </c>
      <c r="IB52" t="str">
        <f t="shared" si="99"/>
        <v>K51-08</v>
      </c>
      <c r="IC52" t="str">
        <f t="shared" si="100"/>
        <v>F0-M51-AMS-12</v>
      </c>
      <c r="ID52" t="str">
        <f t="shared" si="101"/>
        <v>F0-M51-AMS-10</v>
      </c>
      <c r="IE52" t="str">
        <f t="shared" si="102"/>
        <v>F0-M51-AMS-11</v>
      </c>
      <c r="IF52" t="str">
        <f t="shared" si="103"/>
        <v>F0-M51-AMS-13</v>
      </c>
      <c r="IG52" t="str">
        <f t="shared" si="104"/>
        <v>F0-M51-AMS-9</v>
      </c>
      <c r="IH52" t="str">
        <f t="shared" si="105"/>
        <v>F0-M51-AMS-7</v>
      </c>
      <c r="II52" t="str">
        <f t="shared" si="106"/>
        <v>F0-M51-AMS-18</v>
      </c>
      <c r="IJ52" t="str">
        <f t="shared" si="107"/>
        <v>F0-M51-AMS-20</v>
      </c>
      <c r="IK52" t="str">
        <f t="shared" si="108"/>
        <v>F0-M51-AMS-17</v>
      </c>
      <c r="IL52" t="str">
        <f t="shared" si="109"/>
        <v>F0-+24-M51</v>
      </c>
      <c r="IM52" t="str">
        <f t="shared" si="110"/>
        <v>F0-M51-XM01</v>
      </c>
      <c r="IN52" t="str">
        <f t="shared" ref="IN52:JU55" si="112">IN51</f>
        <v>A1</v>
      </c>
      <c r="IO52" t="str">
        <f t="shared" si="112"/>
        <v>A2</v>
      </c>
      <c r="IP52">
        <f t="shared" si="112"/>
        <v>11</v>
      </c>
      <c r="IQ52">
        <f t="shared" si="112"/>
        <v>14</v>
      </c>
      <c r="IR52" t="str">
        <f t="shared" si="112"/>
        <v>24v6</v>
      </c>
      <c r="IS52" t="str">
        <f t="shared" si="112"/>
        <v>0v6</v>
      </c>
      <c r="IT52">
        <f t="shared" si="112"/>
        <v>1</v>
      </c>
      <c r="IU52">
        <f t="shared" si="112"/>
        <v>2</v>
      </c>
      <c r="IV52">
        <f t="shared" si="112"/>
        <v>3</v>
      </c>
      <c r="IW52">
        <f t="shared" si="112"/>
        <v>4</v>
      </c>
      <c r="IX52">
        <f t="shared" si="112"/>
        <v>5</v>
      </c>
      <c r="IY52">
        <f t="shared" si="112"/>
        <v>6</v>
      </c>
      <c r="IZ52">
        <f t="shared" si="112"/>
        <v>7</v>
      </c>
      <c r="JA52">
        <f t="shared" si="112"/>
        <v>8</v>
      </c>
      <c r="JB52">
        <f t="shared" si="112"/>
        <v>9</v>
      </c>
      <c r="JC52">
        <f t="shared" si="112"/>
        <v>10</v>
      </c>
      <c r="JD52">
        <f t="shared" si="112"/>
        <v>11</v>
      </c>
      <c r="JE52">
        <f t="shared" si="112"/>
        <v>12</v>
      </c>
      <c r="JF52">
        <f t="shared" si="112"/>
        <v>13</v>
      </c>
      <c r="JG52">
        <f t="shared" si="112"/>
        <v>14</v>
      </c>
      <c r="JH52">
        <f t="shared" si="112"/>
        <v>17</v>
      </c>
      <c r="JI52">
        <f t="shared" si="112"/>
        <v>15</v>
      </c>
      <c r="JJ52">
        <f t="shared" si="112"/>
        <v>18</v>
      </c>
      <c r="JK52">
        <f t="shared" si="112"/>
        <v>11</v>
      </c>
      <c r="JL52">
        <f t="shared" si="112"/>
        <v>9</v>
      </c>
      <c r="JM52">
        <f t="shared" si="112"/>
        <v>6</v>
      </c>
      <c r="JN52">
        <f t="shared" si="112"/>
        <v>20</v>
      </c>
      <c r="JO52">
        <f t="shared" si="112"/>
        <v>7</v>
      </c>
      <c r="JP52">
        <f t="shared" si="112"/>
        <v>10</v>
      </c>
      <c r="JQ52">
        <f t="shared" si="112"/>
        <v>22</v>
      </c>
      <c r="JR52">
        <f t="shared" si="112"/>
        <v>23</v>
      </c>
      <c r="JS52">
        <f t="shared" si="112"/>
        <v>26</v>
      </c>
      <c r="JT52">
        <f t="shared" si="112"/>
        <v>27</v>
      </c>
      <c r="JU52" s="16">
        <f t="shared" si="112"/>
        <v>30</v>
      </c>
    </row>
    <row r="53" spans="1:301" x14ac:dyDescent="0.25">
      <c r="A53" t="s">
        <v>477</v>
      </c>
      <c r="B53" t="s">
        <v>476</v>
      </c>
      <c r="P53" t="s">
        <v>391</v>
      </c>
      <c r="T53" s="14" t="s">
        <v>554</v>
      </c>
      <c r="U53" s="15">
        <f t="shared" si="75"/>
        <v>52</v>
      </c>
      <c r="V53" t="s">
        <v>437</v>
      </c>
      <c r="W53" t="s">
        <v>438</v>
      </c>
      <c r="X53" t="str">
        <f>IF(COUNTIF(X$1:X52,X52)&gt;7,REPLACE(X52,LEN(X52),1,VALUE(RIGHT(X52,1))+1),X52)</f>
        <v>A3.2</v>
      </c>
      <c r="Y53" s="43" cm="1">
        <f t="array" ref="Y53">IF(COUNTIFS($X$2:$X53,$X53)=1,"1",VALUE(SUBSTITUTE(INDEX(Y:Y,_xlfn.XMATCH($X53,$X$1:$X52,0,-1)),"A",""))+INDEX(Z:Z,_xlfn.XMATCH($X53,$X$1:$X52,0,-1))+1)</f>
        <v>3</v>
      </c>
      <c r="Z53" s="43" cm="1">
        <f t="array" ref="Z53">SUM(IF(ISNUMBER(FIND("TmAi",$BA$1:$ZZ$1)),IF(IFERROR(ISODD(SUBSTITUTE($BA53:$ZZ53,"A","")),FALSE),IF(ISODD(SUBSTITUTE($BA53:$ZZ53,"A","")),1,0),0)))</f>
        <v>0</v>
      </c>
      <c r="AA53" t="str">
        <f t="shared" si="72"/>
        <v>5A</v>
      </c>
      <c r="AB53" t="str">
        <f t="shared" si="73"/>
        <v>5B</v>
      </c>
      <c r="AC53" s="15" t="s">
        <v>442</v>
      </c>
      <c r="AD53" t="s">
        <v>133</v>
      </c>
      <c r="AE53" t="s">
        <v>134</v>
      </c>
      <c r="AF53" s="15" t="s">
        <v>388</v>
      </c>
      <c r="AG53" s="15" t="s">
        <v>443</v>
      </c>
      <c r="AH53" s="15" t="s">
        <v>445</v>
      </c>
      <c r="AI53" s="15" t="s">
        <v>474</v>
      </c>
      <c r="AL53" t="s">
        <v>137</v>
      </c>
      <c r="AM53" t="s">
        <v>138</v>
      </c>
      <c r="AO53" t="s">
        <v>396</v>
      </c>
      <c r="AP53" t="s">
        <v>139</v>
      </c>
      <c r="AQ53" t="s">
        <v>140</v>
      </c>
      <c r="AZ53" s="16"/>
      <c r="GP53" s="27" t="str">
        <f t="shared" si="70"/>
        <v>XT52</v>
      </c>
      <c r="GQ53" t="str">
        <f t="shared" si="76"/>
        <v>C2</v>
      </c>
      <c r="GR53" t="str">
        <f t="shared" si="77"/>
        <v>B2</v>
      </c>
      <c r="GS53" t="str">
        <f t="shared" si="78"/>
        <v>C3</v>
      </c>
      <c r="GT53" t="str">
        <f t="shared" si="79"/>
        <v>B3</v>
      </c>
      <c r="GU53" t="str">
        <f t="shared" si="80"/>
        <v>C4</v>
      </c>
      <c r="GV53" t="str">
        <f t="shared" si="81"/>
        <v>B4</v>
      </c>
      <c r="GW53" t="str">
        <f t="shared" si="82"/>
        <v>C5</v>
      </c>
      <c r="GX53" t="str">
        <f t="shared" si="83"/>
        <v>B5</v>
      </c>
      <c r="GY53" t="str">
        <f t="shared" si="84"/>
        <v>C6</v>
      </c>
      <c r="GZ53" t="str">
        <f t="shared" si="85"/>
        <v>B6</v>
      </c>
      <c r="HA53" t="str">
        <f t="shared" si="86"/>
        <v>22B</v>
      </c>
      <c r="HB53" t="str">
        <f t="shared" si="87"/>
        <v>22A</v>
      </c>
      <c r="HC53" t="str">
        <f t="shared" si="88"/>
        <v>AI2-5A</v>
      </c>
      <c r="HD53" t="str">
        <f t="shared" si="88"/>
        <v>AI2-5B</v>
      </c>
      <c r="HE53" t="str">
        <f t="shared" si="89"/>
        <v>DI11-C1</v>
      </c>
      <c r="HF53" t="str">
        <f t="shared" si="89"/>
        <v>DI11-B1</v>
      </c>
      <c r="HG53" t="str">
        <f t="shared" si="71"/>
        <v>DI11-C2</v>
      </c>
      <c r="HH53" t="str">
        <f t="shared" si="71"/>
        <v>DI11-B2</v>
      </c>
      <c r="HI53" t="str">
        <f t="shared" si="71"/>
        <v>DI11-C3</v>
      </c>
      <c r="HJ53" t="str">
        <f t="shared" si="71"/>
        <v>DI11-B3</v>
      </c>
      <c r="HK53" t="str">
        <f t="shared" si="71"/>
        <v>DI11-C4</v>
      </c>
      <c r="HL53" t="str">
        <f t="shared" si="71"/>
        <v>DI11-B4</v>
      </c>
      <c r="HM53" t="str">
        <f t="shared" si="71"/>
        <v>DI11-C5</v>
      </c>
      <c r="HN53" t="str">
        <f t="shared" si="71"/>
        <v>DI11-B5</v>
      </c>
      <c r="HO53" t="str">
        <f t="shared" si="71"/>
        <v>DI11-C6</v>
      </c>
      <c r="HP53" t="str">
        <f t="shared" si="71"/>
        <v>DI11-B6</v>
      </c>
      <c r="HQ53" t="str">
        <f t="shared" si="90"/>
        <v>DO6-21B</v>
      </c>
      <c r="HR53" t="str">
        <f t="shared" si="90"/>
        <v>DO6-21A</v>
      </c>
      <c r="HS53" t="str">
        <f t="shared" si="91"/>
        <v>DO6-22B</v>
      </c>
      <c r="HT53" t="str">
        <f t="shared" si="91"/>
        <v>DO6-22A</v>
      </c>
      <c r="HU53" t="str">
        <f t="shared" si="92"/>
        <v>K52-01</v>
      </c>
      <c r="HV53" t="str">
        <f t="shared" si="93"/>
        <v>K52-02</v>
      </c>
      <c r="HW53" t="str">
        <f t="shared" si="94"/>
        <v>K52-03</v>
      </c>
      <c r="HX53" t="str">
        <f t="shared" si="95"/>
        <v>K52-04</v>
      </c>
      <c r="HY53" t="str">
        <f t="shared" si="96"/>
        <v>K52-05</v>
      </c>
      <c r="HZ53" t="str">
        <f t="shared" si="97"/>
        <v>K52-06</v>
      </c>
      <c r="IA53" t="str">
        <f t="shared" si="98"/>
        <v>K52-07</v>
      </c>
      <c r="IB53" t="str">
        <f t="shared" si="99"/>
        <v>K52-08</v>
      </c>
      <c r="IC53" t="str">
        <f t="shared" si="100"/>
        <v>F0-M52-AMS-12</v>
      </c>
      <c r="ID53" t="str">
        <f t="shared" si="101"/>
        <v>F0-M52-AMS-10</v>
      </c>
      <c r="IE53" t="str">
        <f t="shared" si="102"/>
        <v>F0-M52-AMS-11</v>
      </c>
      <c r="IF53" t="str">
        <f t="shared" si="103"/>
        <v>F0-M52-AMS-13</v>
      </c>
      <c r="IG53" t="str">
        <f t="shared" si="104"/>
        <v>F0-M52-AMS-9</v>
      </c>
      <c r="IH53" t="str">
        <f t="shared" si="105"/>
        <v>F0-M52-AMS-7</v>
      </c>
      <c r="II53" t="str">
        <f t="shared" si="106"/>
        <v>F0-M52-AMS-18</v>
      </c>
      <c r="IJ53" t="str">
        <f t="shared" si="107"/>
        <v>F0-M52-AMS-20</v>
      </c>
      <c r="IK53" t="str">
        <f t="shared" si="108"/>
        <v>F0-M52-AMS-17</v>
      </c>
      <c r="IL53" t="str">
        <f t="shared" si="109"/>
        <v>F0-+24-M52</v>
      </c>
      <c r="IM53" t="str">
        <f t="shared" si="110"/>
        <v>F0-M52-XM01</v>
      </c>
      <c r="IN53" t="str">
        <f t="shared" si="112"/>
        <v>A1</v>
      </c>
      <c r="IO53" t="str">
        <f t="shared" si="112"/>
        <v>A2</v>
      </c>
      <c r="IP53">
        <f t="shared" si="112"/>
        <v>11</v>
      </c>
      <c r="IQ53">
        <f t="shared" si="112"/>
        <v>14</v>
      </c>
      <c r="IR53" t="str">
        <f t="shared" si="112"/>
        <v>24v6</v>
      </c>
      <c r="IS53" t="str">
        <f t="shared" si="112"/>
        <v>0v6</v>
      </c>
      <c r="IT53">
        <f t="shared" si="112"/>
        <v>1</v>
      </c>
      <c r="IU53">
        <f t="shared" si="112"/>
        <v>2</v>
      </c>
      <c r="IV53">
        <f t="shared" si="112"/>
        <v>3</v>
      </c>
      <c r="IW53">
        <f t="shared" si="112"/>
        <v>4</v>
      </c>
      <c r="IX53">
        <f t="shared" si="112"/>
        <v>5</v>
      </c>
      <c r="IY53">
        <f t="shared" si="112"/>
        <v>6</v>
      </c>
      <c r="IZ53">
        <f t="shared" si="112"/>
        <v>7</v>
      </c>
      <c r="JA53">
        <f t="shared" si="112"/>
        <v>8</v>
      </c>
      <c r="JB53">
        <f t="shared" si="112"/>
        <v>9</v>
      </c>
      <c r="JC53">
        <f t="shared" si="112"/>
        <v>10</v>
      </c>
      <c r="JD53">
        <f t="shared" si="112"/>
        <v>11</v>
      </c>
      <c r="JE53">
        <f t="shared" si="112"/>
        <v>12</v>
      </c>
      <c r="JF53">
        <f t="shared" si="112"/>
        <v>13</v>
      </c>
      <c r="JG53">
        <f t="shared" si="112"/>
        <v>14</v>
      </c>
      <c r="JH53">
        <f t="shared" si="112"/>
        <v>17</v>
      </c>
      <c r="JI53">
        <f t="shared" si="112"/>
        <v>15</v>
      </c>
      <c r="JJ53">
        <f t="shared" si="112"/>
        <v>18</v>
      </c>
      <c r="JK53">
        <f t="shared" si="112"/>
        <v>11</v>
      </c>
      <c r="JL53">
        <f t="shared" si="112"/>
        <v>9</v>
      </c>
      <c r="JM53">
        <f t="shared" si="112"/>
        <v>6</v>
      </c>
      <c r="JN53">
        <f t="shared" si="112"/>
        <v>20</v>
      </c>
      <c r="JO53">
        <f t="shared" si="112"/>
        <v>7</v>
      </c>
      <c r="JP53">
        <f t="shared" si="112"/>
        <v>10</v>
      </c>
      <c r="JQ53">
        <f t="shared" si="112"/>
        <v>22</v>
      </c>
      <c r="JR53">
        <f t="shared" si="112"/>
        <v>23</v>
      </c>
      <c r="JS53">
        <f t="shared" si="112"/>
        <v>26</v>
      </c>
      <c r="JT53">
        <f t="shared" si="112"/>
        <v>27</v>
      </c>
      <c r="JU53" s="16">
        <f t="shared" si="112"/>
        <v>30</v>
      </c>
    </row>
    <row r="54" spans="1:301" x14ac:dyDescent="0.25">
      <c r="A54" t="s">
        <v>479</v>
      </c>
      <c r="B54" t="s">
        <v>478</v>
      </c>
      <c r="P54" t="s">
        <v>391</v>
      </c>
      <c r="T54" s="14" t="s">
        <v>554</v>
      </c>
      <c r="U54" s="15">
        <f t="shared" si="75"/>
        <v>53</v>
      </c>
      <c r="V54" t="s">
        <v>439</v>
      </c>
      <c r="W54" t="s">
        <v>460</v>
      </c>
      <c r="X54" t="str">
        <f>IF(COUNTIF(X$1:X53,X53)&gt;7,REPLACE(X53,LEN(X53),1,VALUE(RIGHT(X53,1))+1),X53)</f>
        <v>A3.2</v>
      </c>
      <c r="Y54" s="43" cm="1">
        <f t="array" ref="Y54">IF(COUNTIFS($X$2:$X54,$X54)=1,"1",VALUE(SUBSTITUTE(INDEX(Y:Y,_xlfn.XMATCH($X54,$X$1:$X53,0,-1)),"A",""))+INDEX(Z:Z,_xlfn.XMATCH($X54,$X$1:$X53,0,-1))+1)</f>
        <v>4</v>
      </c>
      <c r="Z54" s="43" cm="1">
        <f t="array" ref="Z54">SUM(IF(ISNUMBER(FIND("TmAi",$BA$1:$ZZ$1)),IF(IFERROR(ISODD(SUBSTITUTE($BA54:$ZZ54,"A","")),FALSE),IF(ISODD(SUBSTITUTE($BA54:$ZZ54,"A","")),1,0),0)))</f>
        <v>0</v>
      </c>
      <c r="AA54" t="str">
        <f t="shared" si="72"/>
        <v>7A</v>
      </c>
      <c r="AB54" t="str">
        <f t="shared" si="73"/>
        <v>7B</v>
      </c>
      <c r="AC54" s="15" t="s">
        <v>442</v>
      </c>
      <c r="AD54" t="s">
        <v>148</v>
      </c>
      <c r="AE54" t="s">
        <v>149</v>
      </c>
      <c r="AF54" s="15" t="s">
        <v>388</v>
      </c>
      <c r="AG54" t="s">
        <v>444</v>
      </c>
      <c r="AH54" t="s">
        <v>446</v>
      </c>
      <c r="AI54" t="s">
        <v>475</v>
      </c>
      <c r="AL54" t="s">
        <v>137</v>
      </c>
      <c r="AM54" t="s">
        <v>138</v>
      </c>
      <c r="AO54" t="s">
        <v>396</v>
      </c>
      <c r="AP54" t="s">
        <v>139</v>
      </c>
      <c r="AQ54" t="s">
        <v>140</v>
      </c>
      <c r="AZ54" s="16"/>
      <c r="GP54" s="27" t="str">
        <f t="shared" si="70"/>
        <v>XT53</v>
      </c>
      <c r="GQ54" t="str">
        <f t="shared" si="76"/>
        <v>C8</v>
      </c>
      <c r="GR54" t="str">
        <f t="shared" si="77"/>
        <v>B8</v>
      </c>
      <c r="GS54" t="str">
        <f t="shared" si="78"/>
        <v>C9</v>
      </c>
      <c r="GT54" t="str">
        <f t="shared" si="79"/>
        <v>B9</v>
      </c>
      <c r="GU54" t="str">
        <f t="shared" si="80"/>
        <v>C10</v>
      </c>
      <c r="GV54" t="str">
        <f t="shared" si="81"/>
        <v>B10</v>
      </c>
      <c r="GW54" t="str">
        <f t="shared" si="82"/>
        <v>C11</v>
      </c>
      <c r="GX54" t="str">
        <f t="shared" si="83"/>
        <v>B11</v>
      </c>
      <c r="GY54" t="str">
        <f t="shared" si="84"/>
        <v>C12</v>
      </c>
      <c r="GZ54" t="str">
        <f t="shared" si="85"/>
        <v>B12</v>
      </c>
      <c r="HA54" t="str">
        <f t="shared" si="86"/>
        <v>24B</v>
      </c>
      <c r="HB54" t="str">
        <f t="shared" si="87"/>
        <v>24A</v>
      </c>
      <c r="HC54" t="str">
        <f t="shared" si="88"/>
        <v>AI2-7A</v>
      </c>
      <c r="HD54" t="str">
        <f t="shared" si="88"/>
        <v>AI2-7B</v>
      </c>
      <c r="HE54" t="str">
        <f t="shared" si="89"/>
        <v>DI11-C7</v>
      </c>
      <c r="HF54" t="str">
        <f t="shared" si="89"/>
        <v>DI11-B7</v>
      </c>
      <c r="HG54" t="str">
        <f t="shared" si="71"/>
        <v>DI11-C8</v>
      </c>
      <c r="HH54" t="str">
        <f t="shared" si="71"/>
        <v>DI11-B8</v>
      </c>
      <c r="HI54" t="str">
        <f t="shared" si="71"/>
        <v>DI11-C9</v>
      </c>
      <c r="HJ54" t="str">
        <f t="shared" si="71"/>
        <v>DI11-B9</v>
      </c>
      <c r="HK54" t="str">
        <f t="shared" si="71"/>
        <v>DI11-C10</v>
      </c>
      <c r="HL54" t="str">
        <f t="shared" si="71"/>
        <v>DI11-B10</v>
      </c>
      <c r="HM54" t="str">
        <f t="shared" si="71"/>
        <v>DI11-C11</v>
      </c>
      <c r="HN54" t="str">
        <f t="shared" si="71"/>
        <v>DI11-B11</v>
      </c>
      <c r="HO54" t="str">
        <f t="shared" si="71"/>
        <v>DI11-C12</v>
      </c>
      <c r="HP54" t="str">
        <f t="shared" si="71"/>
        <v>DI11-B12</v>
      </c>
      <c r="HQ54" t="str">
        <f t="shared" si="90"/>
        <v>DO6-23B</v>
      </c>
      <c r="HR54" t="str">
        <f t="shared" si="90"/>
        <v>DO6-23A</v>
      </c>
      <c r="HS54" t="str">
        <f t="shared" si="91"/>
        <v>DO6-24B</v>
      </c>
      <c r="HT54" t="str">
        <f t="shared" si="91"/>
        <v>DO6-24A</v>
      </c>
      <c r="HU54" t="str">
        <f t="shared" si="92"/>
        <v>K53-01</v>
      </c>
      <c r="HV54" t="str">
        <f t="shared" si="93"/>
        <v>K53-02</v>
      </c>
      <c r="HW54" t="str">
        <f t="shared" si="94"/>
        <v>K53-03</v>
      </c>
      <c r="HX54" t="str">
        <f t="shared" si="95"/>
        <v>K53-04</v>
      </c>
      <c r="HY54" t="str">
        <f t="shared" si="96"/>
        <v>K53-05</v>
      </c>
      <c r="HZ54" t="str">
        <f t="shared" si="97"/>
        <v>K53-06</v>
      </c>
      <c r="IA54" t="str">
        <f t="shared" si="98"/>
        <v>K53-07</v>
      </c>
      <c r="IB54" t="str">
        <f t="shared" si="99"/>
        <v>K53-08</v>
      </c>
      <c r="IC54" t="str">
        <f t="shared" si="100"/>
        <v>F0-M53-AMS-12</v>
      </c>
      <c r="ID54" t="str">
        <f t="shared" si="101"/>
        <v>F0-M53-AMS-10</v>
      </c>
      <c r="IE54" t="str">
        <f t="shared" si="102"/>
        <v>F0-M53-AMS-11</v>
      </c>
      <c r="IF54" t="str">
        <f t="shared" si="103"/>
        <v>F0-M53-AMS-13</v>
      </c>
      <c r="IG54" t="str">
        <f t="shared" si="104"/>
        <v>F0-M53-AMS-9</v>
      </c>
      <c r="IH54" t="str">
        <f t="shared" si="105"/>
        <v>F0-M53-AMS-7</v>
      </c>
      <c r="II54" t="str">
        <f t="shared" si="106"/>
        <v>F0-M53-AMS-18</v>
      </c>
      <c r="IJ54" t="str">
        <f t="shared" si="107"/>
        <v>F0-M53-AMS-20</v>
      </c>
      <c r="IK54" t="str">
        <f t="shared" si="108"/>
        <v>F0-M53-AMS-17</v>
      </c>
      <c r="IL54" t="str">
        <f t="shared" si="109"/>
        <v>F0-+24-M53</v>
      </c>
      <c r="IM54" t="str">
        <f t="shared" si="110"/>
        <v>F0-M53-XM01</v>
      </c>
      <c r="IN54" t="str">
        <f t="shared" si="112"/>
        <v>A1</v>
      </c>
      <c r="IO54" t="str">
        <f t="shared" si="112"/>
        <v>A2</v>
      </c>
      <c r="IP54">
        <f t="shared" si="112"/>
        <v>11</v>
      </c>
      <c r="IQ54">
        <f t="shared" si="112"/>
        <v>14</v>
      </c>
      <c r="IR54" t="str">
        <f t="shared" si="112"/>
        <v>24v6</v>
      </c>
      <c r="IS54" t="str">
        <f t="shared" si="112"/>
        <v>0v6</v>
      </c>
      <c r="IT54">
        <f t="shared" si="112"/>
        <v>1</v>
      </c>
      <c r="IU54">
        <f t="shared" si="112"/>
        <v>2</v>
      </c>
      <c r="IV54">
        <f t="shared" si="112"/>
        <v>3</v>
      </c>
      <c r="IW54">
        <f t="shared" si="112"/>
        <v>4</v>
      </c>
      <c r="IX54">
        <f t="shared" si="112"/>
        <v>5</v>
      </c>
      <c r="IY54">
        <f t="shared" si="112"/>
        <v>6</v>
      </c>
      <c r="IZ54">
        <f t="shared" si="112"/>
        <v>7</v>
      </c>
      <c r="JA54">
        <f t="shared" si="112"/>
        <v>8</v>
      </c>
      <c r="JB54">
        <f t="shared" si="112"/>
        <v>9</v>
      </c>
      <c r="JC54">
        <f t="shared" si="112"/>
        <v>10</v>
      </c>
      <c r="JD54">
        <f t="shared" si="112"/>
        <v>11</v>
      </c>
      <c r="JE54">
        <f t="shared" si="112"/>
        <v>12</v>
      </c>
      <c r="JF54">
        <f t="shared" si="112"/>
        <v>13</v>
      </c>
      <c r="JG54">
        <f t="shared" si="112"/>
        <v>14</v>
      </c>
      <c r="JH54">
        <f t="shared" si="112"/>
        <v>17</v>
      </c>
      <c r="JI54">
        <f t="shared" si="112"/>
        <v>15</v>
      </c>
      <c r="JJ54">
        <f t="shared" si="112"/>
        <v>18</v>
      </c>
      <c r="JK54">
        <f t="shared" si="112"/>
        <v>11</v>
      </c>
      <c r="JL54">
        <f t="shared" si="112"/>
        <v>9</v>
      </c>
      <c r="JM54">
        <f t="shared" si="112"/>
        <v>6</v>
      </c>
      <c r="JN54">
        <f t="shared" si="112"/>
        <v>20</v>
      </c>
      <c r="JO54">
        <f t="shared" si="112"/>
        <v>7</v>
      </c>
      <c r="JP54">
        <f t="shared" si="112"/>
        <v>10</v>
      </c>
      <c r="JQ54">
        <f t="shared" si="112"/>
        <v>22</v>
      </c>
      <c r="JR54">
        <f t="shared" si="112"/>
        <v>23</v>
      </c>
      <c r="JS54">
        <f t="shared" si="112"/>
        <v>26</v>
      </c>
      <c r="JT54">
        <f t="shared" si="112"/>
        <v>27</v>
      </c>
      <c r="JU54" s="16">
        <f t="shared" si="112"/>
        <v>30</v>
      </c>
    </row>
    <row r="55" spans="1:301" ht="15.75" thickBot="1" x14ac:dyDescent="0.3">
      <c r="A55" t="s">
        <v>481</v>
      </c>
      <c r="B55" t="s">
        <v>480</v>
      </c>
      <c r="P55" t="s">
        <v>391</v>
      </c>
      <c r="T55" s="17" t="s">
        <v>554</v>
      </c>
      <c r="U55" s="18">
        <f t="shared" si="75"/>
        <v>54</v>
      </c>
      <c r="V55" s="19" t="s">
        <v>461</v>
      </c>
      <c r="W55" s="19" t="s">
        <v>440</v>
      </c>
      <c r="X55" s="19" t="str">
        <f>IF(COUNTIF(X$1:X54,X54)&gt;7,REPLACE(X54,LEN(X54),1,VALUE(RIGHT(X54,1))+1),X54)</f>
        <v>A3.2</v>
      </c>
      <c r="Y55" s="44" cm="1">
        <f t="array" ref="Y55">IF(COUNTIFS($X$2:$X55,$X55)=1,"1",VALUE(SUBSTITUTE(INDEX(Y:Y,_xlfn.XMATCH($X55,$X$1:$X54,0,-1)),"A",""))+INDEX(Z:Z,_xlfn.XMATCH($X55,$X$1:$X54,0,-1))+1)</f>
        <v>5</v>
      </c>
      <c r="Z55" s="44" cm="1">
        <f t="array" ref="Z55">SUM(IF(ISNUMBER(FIND("TmAi",$BA$1:$ZZ$1)),IF(IFERROR(ISODD(SUBSTITUTE($BA55:$ZZ55,"A","")),FALSE),IF(ISODD(SUBSTITUTE($BA55:$ZZ55,"A","")),1,0),0)))</f>
        <v>0</v>
      </c>
      <c r="AA55" s="19" t="str">
        <f t="shared" si="72"/>
        <v>9A</v>
      </c>
      <c r="AB55" s="19" t="str">
        <f t="shared" si="73"/>
        <v>9B</v>
      </c>
      <c r="AC55" s="18" t="s">
        <v>442</v>
      </c>
      <c r="AD55" s="19" t="s">
        <v>153</v>
      </c>
      <c r="AE55" s="19" t="s">
        <v>154</v>
      </c>
      <c r="AF55" s="18" t="s">
        <v>388</v>
      </c>
      <c r="AG55" s="18" t="s">
        <v>252</v>
      </c>
      <c r="AH55" s="18" t="s">
        <v>259</v>
      </c>
      <c r="AI55" s="18" t="s">
        <v>452</v>
      </c>
      <c r="AJ55" s="19"/>
      <c r="AK55" s="19"/>
      <c r="AL55" s="19" t="s">
        <v>137</v>
      </c>
      <c r="AM55" s="19" t="s">
        <v>138</v>
      </c>
      <c r="AN55" s="19"/>
      <c r="AO55" s="19" t="s">
        <v>396</v>
      </c>
      <c r="AP55" s="19" t="s">
        <v>139</v>
      </c>
      <c r="AQ55" s="19" t="s">
        <v>140</v>
      </c>
      <c r="AR55" s="19"/>
      <c r="AS55" s="19"/>
      <c r="AT55" s="19"/>
      <c r="AU55" s="19"/>
      <c r="AV55" s="19"/>
      <c r="AW55" s="19"/>
      <c r="AX55" s="19"/>
      <c r="AY55" s="19"/>
      <c r="AZ55" s="20"/>
      <c r="GP55" s="28" t="str">
        <f t="shared" si="70"/>
        <v>XT54</v>
      </c>
      <c r="GQ55" s="19" t="str">
        <f t="shared" si="76"/>
        <v>C14</v>
      </c>
      <c r="GR55" s="19" t="str">
        <f t="shared" si="77"/>
        <v>B14</v>
      </c>
      <c r="GS55" s="19" t="str">
        <f t="shared" si="78"/>
        <v>C15</v>
      </c>
      <c r="GT55" s="19" t="str">
        <f t="shared" si="79"/>
        <v>B15</v>
      </c>
      <c r="GU55" s="19" t="str">
        <f t="shared" si="80"/>
        <v>C16</v>
      </c>
      <c r="GV55" s="19" t="str">
        <f t="shared" si="81"/>
        <v>B16</v>
      </c>
      <c r="GW55" s="19" t="str">
        <f t="shared" si="82"/>
        <v>C17</v>
      </c>
      <c r="GX55" s="19" t="str">
        <f t="shared" si="83"/>
        <v>B17</v>
      </c>
      <c r="GY55" s="19" t="str">
        <f t="shared" si="84"/>
        <v>C18</v>
      </c>
      <c r="GZ55" s="19" t="str">
        <f t="shared" si="85"/>
        <v>B18</v>
      </c>
      <c r="HA55" s="19" t="str">
        <f t="shared" si="86"/>
        <v>26B</v>
      </c>
      <c r="HB55" s="19" t="str">
        <f t="shared" si="87"/>
        <v>26A</v>
      </c>
      <c r="HC55" s="19" t="str">
        <f t="shared" si="88"/>
        <v>AI2-9A</v>
      </c>
      <c r="HD55" s="19" t="str">
        <f t="shared" si="88"/>
        <v>AI2-9B</v>
      </c>
      <c r="HE55" s="19" t="str">
        <f t="shared" si="89"/>
        <v>DI11-C13</v>
      </c>
      <c r="HF55" s="19" t="str">
        <f t="shared" si="89"/>
        <v>DI11-B13</v>
      </c>
      <c r="HG55" s="19" t="str">
        <f t="shared" si="71"/>
        <v>DI11-C14</v>
      </c>
      <c r="HH55" s="19" t="str">
        <f t="shared" si="71"/>
        <v>DI11-B14</v>
      </c>
      <c r="HI55" s="19" t="str">
        <f t="shared" si="71"/>
        <v>DI11-C15</v>
      </c>
      <c r="HJ55" s="19" t="str">
        <f t="shared" si="71"/>
        <v>DI11-B15</v>
      </c>
      <c r="HK55" s="19" t="str">
        <f t="shared" si="71"/>
        <v>DI11-C16</v>
      </c>
      <c r="HL55" s="19" t="str">
        <f t="shared" si="71"/>
        <v>DI11-B16</v>
      </c>
      <c r="HM55" s="19" t="str">
        <f t="shared" si="71"/>
        <v>DI11-C17</v>
      </c>
      <c r="HN55" s="19" t="str">
        <f t="shared" si="71"/>
        <v>DI11-B17</v>
      </c>
      <c r="HO55" s="19" t="str">
        <f t="shared" si="71"/>
        <v>DI11-C18</v>
      </c>
      <c r="HP55" s="19" t="str">
        <f t="shared" si="71"/>
        <v>DI11-B18</v>
      </c>
      <c r="HQ55" s="19" t="str">
        <f t="shared" si="90"/>
        <v>DO6-25B</v>
      </c>
      <c r="HR55" s="19" t="str">
        <f t="shared" si="90"/>
        <v>DO6-25A</v>
      </c>
      <c r="HS55" s="19" t="str">
        <f t="shared" si="91"/>
        <v>DO6-26B</v>
      </c>
      <c r="HT55" s="19" t="str">
        <f t="shared" si="91"/>
        <v>DO6-26A</v>
      </c>
      <c r="HU55" s="19" t="str">
        <f t="shared" si="92"/>
        <v>K54-01</v>
      </c>
      <c r="HV55" s="19" t="str">
        <f t="shared" si="93"/>
        <v>K54-02</v>
      </c>
      <c r="HW55" s="19" t="str">
        <f t="shared" si="94"/>
        <v>K54-03</v>
      </c>
      <c r="HX55" s="19" t="str">
        <f t="shared" si="95"/>
        <v>K54-04</v>
      </c>
      <c r="HY55" s="19" t="str">
        <f t="shared" si="96"/>
        <v>K54-05</v>
      </c>
      <c r="HZ55" s="19" t="str">
        <f t="shared" si="97"/>
        <v>K54-06</v>
      </c>
      <c r="IA55" s="19" t="str">
        <f t="shared" si="98"/>
        <v>K54-07</v>
      </c>
      <c r="IB55" s="19" t="str">
        <f t="shared" si="99"/>
        <v>K54-08</v>
      </c>
      <c r="IC55" s="19" t="str">
        <f t="shared" si="100"/>
        <v>F0-M54-AMS-12</v>
      </c>
      <c r="ID55" s="19" t="str">
        <f t="shared" si="101"/>
        <v>F0-M54-AMS-10</v>
      </c>
      <c r="IE55" s="19" t="str">
        <f t="shared" si="102"/>
        <v>F0-M54-AMS-11</v>
      </c>
      <c r="IF55" s="19" t="str">
        <f t="shared" si="103"/>
        <v>F0-M54-AMS-13</v>
      </c>
      <c r="IG55" s="19" t="str">
        <f t="shared" si="104"/>
        <v>F0-M54-AMS-9</v>
      </c>
      <c r="IH55" s="19" t="str">
        <f t="shared" si="105"/>
        <v>F0-M54-AMS-7</v>
      </c>
      <c r="II55" s="19" t="str">
        <f t="shared" si="106"/>
        <v>F0-M54-AMS-18</v>
      </c>
      <c r="IJ55" s="19" t="str">
        <f t="shared" si="107"/>
        <v>F0-M54-AMS-20</v>
      </c>
      <c r="IK55" s="19" t="str">
        <f t="shared" si="108"/>
        <v>F0-M54-AMS-17</v>
      </c>
      <c r="IL55" s="19" t="str">
        <f t="shared" si="109"/>
        <v>F0-+24-M54</v>
      </c>
      <c r="IM55" s="19" t="str">
        <f t="shared" si="110"/>
        <v>F0-M54-XM01</v>
      </c>
      <c r="IN55" s="19" t="str">
        <f t="shared" si="112"/>
        <v>A1</v>
      </c>
      <c r="IO55" s="19" t="str">
        <f t="shared" si="112"/>
        <v>A2</v>
      </c>
      <c r="IP55" s="19">
        <f t="shared" si="112"/>
        <v>11</v>
      </c>
      <c r="IQ55" s="19">
        <f t="shared" si="112"/>
        <v>14</v>
      </c>
      <c r="IR55" s="19" t="str">
        <f t="shared" si="112"/>
        <v>24v6</v>
      </c>
      <c r="IS55" s="19" t="str">
        <f t="shared" si="112"/>
        <v>0v6</v>
      </c>
      <c r="IT55" s="19">
        <f t="shared" si="112"/>
        <v>1</v>
      </c>
      <c r="IU55" s="19">
        <f t="shared" si="112"/>
        <v>2</v>
      </c>
      <c r="IV55" s="19">
        <f t="shared" si="112"/>
        <v>3</v>
      </c>
      <c r="IW55" s="19">
        <f t="shared" si="112"/>
        <v>4</v>
      </c>
      <c r="IX55" s="19">
        <f t="shared" si="112"/>
        <v>5</v>
      </c>
      <c r="IY55" s="19">
        <f t="shared" si="112"/>
        <v>6</v>
      </c>
      <c r="IZ55" s="19">
        <f t="shared" si="112"/>
        <v>7</v>
      </c>
      <c r="JA55" s="19">
        <f t="shared" si="112"/>
        <v>8</v>
      </c>
      <c r="JB55" s="19">
        <f t="shared" si="112"/>
        <v>9</v>
      </c>
      <c r="JC55" s="19">
        <f t="shared" si="112"/>
        <v>10</v>
      </c>
      <c r="JD55" s="19">
        <f t="shared" si="112"/>
        <v>11</v>
      </c>
      <c r="JE55" s="19">
        <f t="shared" si="112"/>
        <v>12</v>
      </c>
      <c r="JF55" s="19">
        <f t="shared" si="112"/>
        <v>13</v>
      </c>
      <c r="JG55" s="19">
        <f t="shared" si="112"/>
        <v>14</v>
      </c>
      <c r="JH55" s="19">
        <f t="shared" si="112"/>
        <v>17</v>
      </c>
      <c r="JI55" s="19">
        <f t="shared" si="112"/>
        <v>15</v>
      </c>
      <c r="JJ55" s="19">
        <f t="shared" si="112"/>
        <v>18</v>
      </c>
      <c r="JK55" s="19">
        <f t="shared" si="112"/>
        <v>11</v>
      </c>
      <c r="JL55" s="19">
        <f t="shared" si="112"/>
        <v>9</v>
      </c>
      <c r="JM55" s="19">
        <f t="shared" si="112"/>
        <v>6</v>
      </c>
      <c r="JN55" s="19">
        <f t="shared" si="112"/>
        <v>20</v>
      </c>
      <c r="JO55" s="19">
        <f t="shared" si="112"/>
        <v>7</v>
      </c>
      <c r="JP55" s="19">
        <f t="shared" si="112"/>
        <v>10</v>
      </c>
      <c r="JQ55" s="19">
        <f t="shared" si="112"/>
        <v>22</v>
      </c>
      <c r="JR55" s="19">
        <f t="shared" si="112"/>
        <v>23</v>
      </c>
      <c r="JS55" s="19">
        <f t="shared" si="112"/>
        <v>26</v>
      </c>
      <c r="JT55" s="19">
        <f t="shared" si="112"/>
        <v>27</v>
      </c>
      <c r="JU55" s="20">
        <f t="shared" si="112"/>
        <v>30</v>
      </c>
    </row>
    <row r="56" spans="1:301" x14ac:dyDescent="0.25">
      <c r="A56" t="s">
        <v>486</v>
      </c>
      <c r="B56" t="s">
        <v>485</v>
      </c>
      <c r="C56" t="s">
        <v>492</v>
      </c>
      <c r="P56" t="s">
        <v>482</v>
      </c>
      <c r="T56" s="14" t="s">
        <v>554</v>
      </c>
      <c r="U56">
        <v>55</v>
      </c>
      <c r="V56" t="s">
        <v>483</v>
      </c>
      <c r="X56" t="s">
        <v>484</v>
      </c>
      <c r="Y56" s="43" t="str" cm="1">
        <f t="array" ref="Y56">IF(COUNTIFS($X$2:$X56,$X56)=1,"1",VALUE(SUBSTITUTE(INDEX(Y:Y,_xlfn.XMATCH($X56,$X$1:$X55,0,-1)),"A",""))+INDEX(Z:Z,_xlfn.XMATCH($X56,$X$1:$X55,0,-1))+1)</f>
        <v>1</v>
      </c>
      <c r="Z56" s="43" cm="1">
        <f t="array" ref="Z56">SUM(IF(ISNUMBER(FIND("TmAi",$BA$1:$ZZ$1)),IF(IFERROR(ISODD(SUBSTITUTE($BA56:$ZZ56,"A","")),FALSE),IF(ISODD(SUBSTITUTE($BA56:$ZZ56,"A","")),1,0),0)))</f>
        <v>0</v>
      </c>
      <c r="AA56" t="str">
        <f>CONCATENATE($Y56*2-1,"B")</f>
        <v>1B</v>
      </c>
      <c r="AB56" t="str">
        <f>CONCATENATE($Y56*2,"B")</f>
        <v>2B</v>
      </c>
      <c r="AL56" t="s">
        <v>137</v>
      </c>
      <c r="AO56" t="s">
        <v>396</v>
      </c>
      <c r="JV56" s="25" t="str">
        <f t="shared" ref="JV56:JV119" si="113">CONCATENATE("XT",U56)</f>
        <v>XT55</v>
      </c>
      <c r="JW56" s="12"/>
      <c r="JX56" s="12"/>
      <c r="JY56" s="12" t="str">
        <f t="shared" ref="JY56:JY119" si="114">CONCATENATE(T56,"-AI",REPLACE($X56,1,3,""),"-",AA56)</f>
        <v>F0-AI3-1B</v>
      </c>
      <c r="JZ56" s="12" t="str">
        <f t="shared" ref="JZ56:JZ119" si="115">CONCATENATE(T56,"-AI",REPLACE($X56,1,3,""),"-",AB56)</f>
        <v>F0-AI3-2B</v>
      </c>
      <c r="KA56" s="12"/>
      <c r="KB56" s="12"/>
      <c r="KC56" s="12"/>
      <c r="KD56" s="12"/>
      <c r="KE56" s="12" cm="1">
        <f t="array" ref="KE56">IF(COUNTIFS($U$2:$U56,$U56)=1,1,INDEX(KE:KE,_xlfn.XMATCH(U56,U$1:U55,0,-1))+COUNT(KE55:KI55))</f>
        <v>1</v>
      </c>
      <c r="KF56" s="12">
        <f>KE56+1</f>
        <v>2</v>
      </c>
      <c r="KG56" s="12">
        <f>KF56+1</f>
        <v>3</v>
      </c>
      <c r="KH56" s="12"/>
      <c r="KI56" s="12"/>
      <c r="KJ56" s="12">
        <v>1</v>
      </c>
      <c r="KK56" s="13">
        <v>2</v>
      </c>
      <c r="KL56" s="12"/>
      <c r="KM56" s="12"/>
      <c r="KN56" s="12"/>
      <c r="KO56" s="13"/>
    </row>
    <row r="57" spans="1:301" x14ac:dyDescent="0.25">
      <c r="A57" t="s">
        <v>494</v>
      </c>
      <c r="B57" t="s">
        <v>493</v>
      </c>
      <c r="C57" t="s">
        <v>498</v>
      </c>
      <c r="P57" t="s">
        <v>482</v>
      </c>
      <c r="T57" s="14" t="s">
        <v>554</v>
      </c>
      <c r="U57">
        <v>55</v>
      </c>
      <c r="V57" t="s">
        <v>495</v>
      </c>
      <c r="X57" t="str">
        <f>IF(COUNTIF(X$1:X56,X56)&gt;7,REPLACE(X56,LEN(X56),1,VALUE(RIGHT(X56,1))+1),X56)</f>
        <v>A3.3</v>
      </c>
      <c r="Y57" s="43" cm="1">
        <f t="array" ref="Y57">IF(COUNTIFS($X$2:$X57,$X57)=1,"1",VALUE(SUBSTITUTE(INDEX(Y:Y,_xlfn.XMATCH($X57,$X$1:$X56,0,-1)),"A",""))+INDEX(Z:Z,_xlfn.XMATCH($X57,$X$1:$X56,0,-1))+1)</f>
        <v>2</v>
      </c>
      <c r="Z57" s="43" cm="1">
        <f t="array" ref="Z57">SUM(IF(ISNUMBER(FIND("TmAi",$BA$1:$ZZ$1)),IF(IFERROR(ISODD(SUBSTITUTE($BA57:$ZZ57,"A","")),FALSE),IF(ISODD(SUBSTITUTE($BA57:$ZZ57,"A","")),1,0),0)))</f>
        <v>0</v>
      </c>
      <c r="AA57" t="str">
        <f t="shared" ref="AA57:AA67" si="116">CONCATENATE($Y57*2-1,"B")</f>
        <v>3B</v>
      </c>
      <c r="AB57" t="str">
        <f t="shared" ref="AB57:AB67" si="117">CONCATENATE($Y57*2,"B")</f>
        <v>4B</v>
      </c>
      <c r="AL57" t="s">
        <v>137</v>
      </c>
      <c r="AO57" t="s">
        <v>396</v>
      </c>
      <c r="JV57" s="27" t="str">
        <f t="shared" si="113"/>
        <v>XT55</v>
      </c>
      <c r="JY57" t="str">
        <f t="shared" si="114"/>
        <v>F0-AI3-3B</v>
      </c>
      <c r="JZ57" t="str">
        <f t="shared" si="115"/>
        <v>F0-AI3-4B</v>
      </c>
      <c r="KE57" cm="1">
        <f t="array" ref="KE57">IF(COUNTIFS($U$2:$U57,$U57)=1,1,INDEX(KE:KE,_xlfn.XMATCH(U57,U$1:U56,0,-1))+COUNT(KE56:KI56))</f>
        <v>4</v>
      </c>
      <c r="KF57">
        <f>KE57+1</f>
        <v>5</v>
      </c>
      <c r="KG57">
        <f>KF57+1</f>
        <v>6</v>
      </c>
      <c r="KJ57">
        <v>1</v>
      </c>
      <c r="KK57" s="16">
        <v>2</v>
      </c>
      <c r="KO57" s="16"/>
    </row>
    <row r="58" spans="1:301" x14ac:dyDescent="0.25">
      <c r="A58" t="s">
        <v>500</v>
      </c>
      <c r="B58" t="s">
        <v>499</v>
      </c>
      <c r="C58" t="s">
        <v>498</v>
      </c>
      <c r="P58" t="s">
        <v>482</v>
      </c>
      <c r="T58" s="14" t="s">
        <v>554</v>
      </c>
      <c r="U58">
        <v>55</v>
      </c>
      <c r="V58" t="s">
        <v>496</v>
      </c>
      <c r="X58" t="str">
        <f>IF(COUNTIF(X$1:X57,X57)&gt;7,REPLACE(X57,LEN(X57),1,VALUE(RIGHT(X57,1))+1),X57)</f>
        <v>A3.3</v>
      </c>
      <c r="Y58" s="43" cm="1">
        <f t="array" ref="Y58">IF(COUNTIFS($X$2:$X58,$X58)=1,"1",VALUE(SUBSTITUTE(INDEX(Y:Y,_xlfn.XMATCH($X58,$X$1:$X57,0,-1)),"A",""))+INDEX(Z:Z,_xlfn.XMATCH($X58,$X$1:$X57,0,-1))+1)</f>
        <v>3</v>
      </c>
      <c r="Z58" s="43" cm="1">
        <f t="array" ref="Z58">SUM(IF(ISNUMBER(FIND("TmAi",$BA$1:$ZZ$1)),IF(IFERROR(ISODD(SUBSTITUTE($BA58:$ZZ58,"A","")),FALSE),IF(ISODD(SUBSTITUTE($BA58:$ZZ58,"A","")),1,0),0)))</f>
        <v>0</v>
      </c>
      <c r="AA58" t="str">
        <f t="shared" si="116"/>
        <v>5B</v>
      </c>
      <c r="AB58" t="str">
        <f t="shared" si="117"/>
        <v>6B</v>
      </c>
      <c r="AL58" t="s">
        <v>137</v>
      </c>
      <c r="AO58" t="s">
        <v>396</v>
      </c>
      <c r="JV58" s="27" t="str">
        <f t="shared" si="113"/>
        <v>XT55</v>
      </c>
      <c r="JY58" t="str">
        <f t="shared" si="114"/>
        <v>F0-AI3-5B</v>
      </c>
      <c r="JZ58" t="str">
        <f t="shared" si="115"/>
        <v>F0-AI3-6B</v>
      </c>
      <c r="KE58" cm="1">
        <f t="array" ref="KE58">IF(COUNTIFS($U$2:$U58,$U58)=1,1,INDEX(KE:KE,_xlfn.XMATCH(U58,U$1:U57,0,-1))+COUNT(KE57:KI57))</f>
        <v>7</v>
      </c>
      <c r="KF58">
        <f t="shared" ref="KF58:KI68" si="118">KE58+1</f>
        <v>8</v>
      </c>
      <c r="KG58">
        <f t="shared" si="118"/>
        <v>9</v>
      </c>
      <c r="KJ58">
        <v>1</v>
      </c>
      <c r="KK58" s="16">
        <v>2</v>
      </c>
      <c r="KO58" s="16"/>
    </row>
    <row r="59" spans="1:301" x14ac:dyDescent="0.25">
      <c r="A59" t="s">
        <v>502</v>
      </c>
      <c r="B59" s="33" t="s">
        <v>501</v>
      </c>
      <c r="C59" t="s">
        <v>498</v>
      </c>
      <c r="P59" t="s">
        <v>482</v>
      </c>
      <c r="T59" s="14" t="s">
        <v>554</v>
      </c>
      <c r="U59">
        <v>55</v>
      </c>
      <c r="V59" t="s">
        <v>497</v>
      </c>
      <c r="X59" t="str">
        <f>IF(COUNTIF(X$1:X58,X58)&gt;7,REPLACE(X58,LEN(X58),1,VALUE(RIGHT(X58,1))+1),X58)</f>
        <v>A3.3</v>
      </c>
      <c r="Y59" s="43" cm="1">
        <f t="array" ref="Y59">IF(COUNTIFS($X$2:$X59,$X59)=1,"1",VALUE(SUBSTITUTE(INDEX(Y:Y,_xlfn.XMATCH($X59,$X$1:$X58,0,-1)),"A",""))+INDEX(Z:Z,_xlfn.XMATCH($X59,$X$1:$X58,0,-1))+1)</f>
        <v>4</v>
      </c>
      <c r="Z59" s="43" cm="1">
        <f t="array" ref="Z59">SUM(IF(ISNUMBER(FIND("TmAi",$BA$1:$ZZ$1)),IF(IFERROR(ISODD(SUBSTITUTE($BA59:$ZZ59,"A","")),FALSE),IF(ISODD(SUBSTITUTE($BA59:$ZZ59,"A","")),1,0),0)))</f>
        <v>0</v>
      </c>
      <c r="AA59" t="str">
        <f t="shared" si="116"/>
        <v>7B</v>
      </c>
      <c r="AB59" t="str">
        <f t="shared" si="117"/>
        <v>8B</v>
      </c>
      <c r="AL59" t="s">
        <v>137</v>
      </c>
      <c r="AO59" t="s">
        <v>396</v>
      </c>
      <c r="JV59" s="27" t="str">
        <f t="shared" si="113"/>
        <v>XT55</v>
      </c>
      <c r="JY59" t="str">
        <f t="shared" si="114"/>
        <v>F0-AI3-7B</v>
      </c>
      <c r="JZ59" t="str">
        <f t="shared" si="115"/>
        <v>F0-AI3-8B</v>
      </c>
      <c r="KE59" cm="1">
        <f t="array" ref="KE59">IF(COUNTIFS($U$2:$U59,$U59)=1,1,INDEX(KE:KE,_xlfn.XMATCH(U59,U$1:U58,0,-1))+COUNT(KE58:KI58))</f>
        <v>10</v>
      </c>
      <c r="KF59">
        <f t="shared" si="118"/>
        <v>11</v>
      </c>
      <c r="KG59">
        <f t="shared" si="118"/>
        <v>12</v>
      </c>
      <c r="KJ59">
        <v>1</v>
      </c>
      <c r="KK59" s="16">
        <v>2</v>
      </c>
      <c r="KO59" s="16"/>
    </row>
    <row r="60" spans="1:301" x14ac:dyDescent="0.25">
      <c r="A60" t="s">
        <v>511</v>
      </c>
      <c r="B60" s="34" t="s">
        <v>510</v>
      </c>
      <c r="C60" t="s">
        <v>498</v>
      </c>
      <c r="P60" t="s">
        <v>482</v>
      </c>
      <c r="T60" s="14" t="s">
        <v>554</v>
      </c>
      <c r="U60">
        <v>55</v>
      </c>
      <c r="V60" t="s">
        <v>504</v>
      </c>
      <c r="X60" t="str">
        <f>IF(COUNTIF(X$1:X59,X59)&gt;7,REPLACE(X59,LEN(X59),1,VALUE(RIGHT(X59,1))+1),X59)</f>
        <v>A3.3</v>
      </c>
      <c r="Y60" s="43" cm="1">
        <f t="array" ref="Y60">IF(COUNTIFS($X$2:$X60,$X60)=1,"1",VALUE(SUBSTITUTE(INDEX(Y:Y,_xlfn.XMATCH($X60,$X$1:$X59,0,-1)),"A",""))+INDEX(Z:Z,_xlfn.XMATCH($X60,$X$1:$X59,0,-1))+1)</f>
        <v>5</v>
      </c>
      <c r="Z60" s="43" cm="1">
        <f t="array" ref="Z60">SUM(IF(ISNUMBER(FIND("TmAi",$BA$1:$ZZ$1)),IF(IFERROR(ISODD(SUBSTITUTE($BA60:$ZZ60,"A","")),FALSE),IF(ISODD(SUBSTITUTE($BA60:$ZZ60,"A","")),1,0),0)))</f>
        <v>0</v>
      </c>
      <c r="AA60" t="str">
        <f t="shared" si="116"/>
        <v>9B</v>
      </c>
      <c r="AB60" t="str">
        <f t="shared" si="117"/>
        <v>10B</v>
      </c>
      <c r="AL60" t="s">
        <v>137</v>
      </c>
      <c r="AO60" t="s">
        <v>396</v>
      </c>
      <c r="JV60" s="27" t="str">
        <f t="shared" si="113"/>
        <v>XT55</v>
      </c>
      <c r="JY60" t="str">
        <f t="shared" si="114"/>
        <v>F0-AI3-9B</v>
      </c>
      <c r="JZ60" t="str">
        <f t="shared" si="115"/>
        <v>F0-AI3-10B</v>
      </c>
      <c r="KE60" cm="1">
        <f t="array" ref="KE60">IF(COUNTIFS($U$2:$U60,$U60)=1,1,INDEX(KE:KE,_xlfn.XMATCH(U60,U$1:U59,0,-1))+COUNT(KE59:KI59))</f>
        <v>13</v>
      </c>
      <c r="KF60">
        <f t="shared" si="118"/>
        <v>14</v>
      </c>
      <c r="KG60">
        <f t="shared" si="118"/>
        <v>15</v>
      </c>
      <c r="KJ60">
        <v>1</v>
      </c>
      <c r="KK60" s="16">
        <v>2</v>
      </c>
      <c r="KO60" s="16"/>
    </row>
    <row r="61" spans="1:301" x14ac:dyDescent="0.25">
      <c r="A61" t="s">
        <v>513</v>
      </c>
      <c r="B61" t="s">
        <v>512</v>
      </c>
      <c r="C61" t="s">
        <v>498</v>
      </c>
      <c r="P61" t="s">
        <v>482</v>
      </c>
      <c r="T61" s="14" t="s">
        <v>554</v>
      </c>
      <c r="U61">
        <v>55</v>
      </c>
      <c r="V61" t="s">
        <v>505</v>
      </c>
      <c r="X61" t="str">
        <f>IF(COUNTIF(X$1:X60,X60)&gt;7,REPLACE(X60,LEN(X60),1,VALUE(RIGHT(X60,1))+1),X60)</f>
        <v>A3.3</v>
      </c>
      <c r="Y61" s="43" cm="1">
        <f t="array" ref="Y61">IF(COUNTIFS($X$2:$X61,$X61)=1,"1",VALUE(SUBSTITUTE(INDEX(Y:Y,_xlfn.XMATCH($X61,$X$1:$X60,0,-1)),"A",""))+INDEX(Z:Z,_xlfn.XMATCH($X61,$X$1:$X60,0,-1))+1)</f>
        <v>6</v>
      </c>
      <c r="Z61" s="43" cm="1">
        <f t="array" ref="Z61">SUM(IF(ISNUMBER(FIND("TmAi",$BA$1:$ZZ$1)),IF(IFERROR(ISODD(SUBSTITUTE($BA61:$ZZ61,"A","")),FALSE),IF(ISODD(SUBSTITUTE($BA61:$ZZ61,"A","")),1,0),0)))</f>
        <v>0</v>
      </c>
      <c r="AA61" t="str">
        <f t="shared" si="116"/>
        <v>11B</v>
      </c>
      <c r="AB61" t="str">
        <f t="shared" si="117"/>
        <v>12B</v>
      </c>
      <c r="AL61" t="s">
        <v>137</v>
      </c>
      <c r="AO61" t="s">
        <v>396</v>
      </c>
      <c r="JV61" s="27" t="str">
        <f t="shared" si="113"/>
        <v>XT55</v>
      </c>
      <c r="JY61" t="str">
        <f t="shared" si="114"/>
        <v>F0-AI3-11B</v>
      </c>
      <c r="JZ61" t="str">
        <f t="shared" si="115"/>
        <v>F0-AI3-12B</v>
      </c>
      <c r="KE61" cm="1">
        <f t="array" ref="KE61">IF(COUNTIFS($U$2:$U61,$U61)=1,1,INDEX(KE:KE,_xlfn.XMATCH(U61,U$1:U60,0,-1))+COUNT(KE60:KI60))</f>
        <v>16</v>
      </c>
      <c r="KF61">
        <f t="shared" si="118"/>
        <v>17</v>
      </c>
      <c r="KG61">
        <f t="shared" si="118"/>
        <v>18</v>
      </c>
      <c r="KJ61">
        <v>1</v>
      </c>
      <c r="KK61" s="16">
        <v>2</v>
      </c>
      <c r="KO61" s="16"/>
    </row>
    <row r="62" spans="1:301" x14ac:dyDescent="0.25">
      <c r="A62" t="s">
        <v>517</v>
      </c>
      <c r="B62" t="s">
        <v>514</v>
      </c>
      <c r="C62" t="s">
        <v>498</v>
      </c>
      <c r="P62" t="s">
        <v>482</v>
      </c>
      <c r="T62" s="14" t="s">
        <v>554</v>
      </c>
      <c r="U62">
        <v>55</v>
      </c>
      <c r="V62" t="s">
        <v>506</v>
      </c>
      <c r="X62" t="str">
        <f>IF(COUNTIF(X$1:X61,X61)&gt;7,REPLACE(X61,LEN(X61),1,VALUE(RIGHT(X61,1))+1),X61)</f>
        <v>A3.3</v>
      </c>
      <c r="Y62" s="43" cm="1">
        <f t="array" ref="Y62">IF(COUNTIFS($X$2:$X62,$X62)=1,"1",VALUE(SUBSTITUTE(INDEX(Y:Y,_xlfn.XMATCH($X62,$X$1:$X61,0,-1)),"A",""))+INDEX(Z:Z,_xlfn.XMATCH($X62,$X$1:$X61,0,-1))+1)</f>
        <v>7</v>
      </c>
      <c r="Z62" s="43" cm="1">
        <f t="array" ref="Z62">SUM(IF(ISNUMBER(FIND("TmAi",$BA$1:$ZZ$1)),IF(IFERROR(ISODD(SUBSTITUTE($BA62:$ZZ62,"A","")),FALSE),IF(ISODD(SUBSTITUTE($BA62:$ZZ62,"A","")),1,0),0)))</f>
        <v>0</v>
      </c>
      <c r="AA62" t="str">
        <f t="shared" si="116"/>
        <v>13B</v>
      </c>
      <c r="AB62" t="str">
        <f t="shared" si="117"/>
        <v>14B</v>
      </c>
      <c r="AL62" t="s">
        <v>137</v>
      </c>
      <c r="AO62" t="s">
        <v>396</v>
      </c>
      <c r="JV62" s="27" t="str">
        <f t="shared" si="113"/>
        <v>XT55</v>
      </c>
      <c r="JY62" t="str">
        <f t="shared" si="114"/>
        <v>F0-AI3-13B</v>
      </c>
      <c r="JZ62" t="str">
        <f t="shared" si="115"/>
        <v>F0-AI3-14B</v>
      </c>
      <c r="KE62" cm="1">
        <f t="array" ref="KE62">IF(COUNTIFS($U$2:$U62,$U62)=1,1,INDEX(KE:KE,_xlfn.XMATCH(U62,U$1:U61,0,-1))+COUNT(KE61:KI61))</f>
        <v>19</v>
      </c>
      <c r="KF62">
        <f t="shared" si="118"/>
        <v>20</v>
      </c>
      <c r="KG62">
        <f t="shared" si="118"/>
        <v>21</v>
      </c>
      <c r="KJ62">
        <v>1</v>
      </c>
      <c r="KK62" s="16">
        <v>2</v>
      </c>
      <c r="KO62" s="16"/>
    </row>
    <row r="63" spans="1:301" x14ac:dyDescent="0.25">
      <c r="A63" t="s">
        <v>516</v>
      </c>
      <c r="B63" t="s">
        <v>515</v>
      </c>
      <c r="C63" t="s">
        <v>498</v>
      </c>
      <c r="P63" t="s">
        <v>482</v>
      </c>
      <c r="T63" s="14" t="s">
        <v>554</v>
      </c>
      <c r="U63">
        <v>55</v>
      </c>
      <c r="V63" t="s">
        <v>507</v>
      </c>
      <c r="X63" s="33" t="str">
        <f>IF(COUNTIF(X$1:X62,X62)&gt;7,REPLACE(X62,LEN(X62),1,VALUE(RIGHT(X62,1))+1),X62)</f>
        <v>A3.3</v>
      </c>
      <c r="Y63" s="45" cm="1">
        <f t="array" ref="Y63">IF(COUNTIFS($X$2:$X63,$X63)=1,"1",VALUE(SUBSTITUTE(INDEX(Y:Y,_xlfn.XMATCH($X63,$X$1:$X62,0,-1)),"A",""))+INDEX(Z:Z,_xlfn.XMATCH($X63,$X$1:$X62,0,-1))+1)</f>
        <v>8</v>
      </c>
      <c r="Z63" s="43" cm="1">
        <f t="array" ref="Z63">SUM(IF(ISNUMBER(FIND("TmAi",$BA$1:$ZZ$1)),IF(IFERROR(ISODD(SUBSTITUTE($BA63:$ZZ63,"A","")),FALSE),IF(ISODD(SUBSTITUTE($BA63:$ZZ63,"A","")),1,0),0)))</f>
        <v>0</v>
      </c>
      <c r="AA63" t="str">
        <f t="shared" si="116"/>
        <v>15B</v>
      </c>
      <c r="AB63" t="str">
        <f t="shared" si="117"/>
        <v>16B</v>
      </c>
      <c r="AL63" t="s">
        <v>137</v>
      </c>
      <c r="AO63" t="s">
        <v>396</v>
      </c>
      <c r="JV63" s="27" t="str">
        <f t="shared" si="113"/>
        <v>XT55</v>
      </c>
      <c r="JY63" t="str">
        <f t="shared" si="114"/>
        <v>F0-AI3-15B</v>
      </c>
      <c r="JZ63" t="str">
        <f t="shared" si="115"/>
        <v>F0-AI3-16B</v>
      </c>
      <c r="KE63" cm="1">
        <f t="array" ref="KE63">IF(COUNTIFS($U$2:$U63,$U63)=1,1,INDEX(KE:KE,_xlfn.XMATCH(U63,U$1:U62,0,-1))+COUNT(KE62:KI62))</f>
        <v>22</v>
      </c>
      <c r="KF63">
        <f t="shared" si="118"/>
        <v>23</v>
      </c>
      <c r="KG63">
        <f t="shared" si="118"/>
        <v>24</v>
      </c>
      <c r="KJ63">
        <v>1</v>
      </c>
      <c r="KK63" s="16">
        <v>2</v>
      </c>
      <c r="KO63" s="16"/>
    </row>
    <row r="64" spans="1:301" x14ac:dyDescent="0.25">
      <c r="A64" t="s">
        <v>519</v>
      </c>
      <c r="B64" t="s">
        <v>518</v>
      </c>
      <c r="C64" t="s">
        <v>498</v>
      </c>
      <c r="P64" t="s">
        <v>482</v>
      </c>
      <c r="T64" s="14" t="s">
        <v>554</v>
      </c>
      <c r="U64">
        <v>55</v>
      </c>
      <c r="V64" t="s">
        <v>508</v>
      </c>
      <c r="X64" t="str">
        <f>IF(COUNTIF(X$1:X63,X63)&gt;7,REPLACE(X63,LEN(X63),1,VALUE(RIGHT(X63,1))+1),X63)</f>
        <v>A3.4</v>
      </c>
      <c r="Y64" s="43" t="str" cm="1">
        <f t="array" ref="Y64">IF(COUNTIFS($X$2:$X64,$X64)=1,"1",VALUE(SUBSTITUTE(INDEX(Y:Y,_xlfn.XMATCH($X64,$X$1:$X63,0,-1)),"A",""))+INDEX(Z:Z,_xlfn.XMATCH($X64,$X$1:$X63,0,-1))+1)</f>
        <v>1</v>
      </c>
      <c r="Z64" s="43" cm="1">
        <f t="array" ref="Z64">SUM(IF(ISNUMBER(FIND("TmAi",$BA$1:$ZZ$1)),IF(IFERROR(ISODD(SUBSTITUTE($BA64:$ZZ64,"A","")),FALSE),IF(ISODD(SUBSTITUTE($BA64:$ZZ64,"A","")),1,0),0)))</f>
        <v>0</v>
      </c>
      <c r="AA64" t="str">
        <f t="shared" si="116"/>
        <v>1B</v>
      </c>
      <c r="AB64" t="str">
        <f t="shared" si="117"/>
        <v>2B</v>
      </c>
      <c r="AL64" t="s">
        <v>137</v>
      </c>
      <c r="AO64" t="s">
        <v>396</v>
      </c>
      <c r="JV64" s="27" t="str">
        <f t="shared" si="113"/>
        <v>XT55</v>
      </c>
      <c r="JY64" t="str">
        <f t="shared" si="114"/>
        <v>F0-AI4-1B</v>
      </c>
      <c r="JZ64" t="str">
        <f t="shared" si="115"/>
        <v>F0-AI4-2B</v>
      </c>
      <c r="KE64" cm="1">
        <f t="array" ref="KE64">IF(COUNTIFS($U$2:$U64,$U64)=1,1,INDEX(KE:KE,_xlfn.XMATCH(U64,U$1:U63,0,-1))+COUNT(KE63:KI63))</f>
        <v>25</v>
      </c>
      <c r="KF64">
        <f t="shared" si="118"/>
        <v>26</v>
      </c>
      <c r="KG64">
        <f t="shared" si="118"/>
        <v>27</v>
      </c>
      <c r="KJ64">
        <v>1</v>
      </c>
      <c r="KK64" s="16">
        <v>2</v>
      </c>
      <c r="KO64" s="16"/>
    </row>
    <row r="65" spans="1:301" x14ac:dyDescent="0.25">
      <c r="A65" t="s">
        <v>521</v>
      </c>
      <c r="B65" s="33" t="s">
        <v>520</v>
      </c>
      <c r="C65" t="s">
        <v>498</v>
      </c>
      <c r="P65" t="s">
        <v>482</v>
      </c>
      <c r="T65" s="14" t="s">
        <v>554</v>
      </c>
      <c r="U65">
        <v>55</v>
      </c>
      <c r="V65" t="s">
        <v>522</v>
      </c>
      <c r="X65" t="str">
        <f>IF(COUNTIF(X$1:X64,X64)&gt;7,REPLACE(X64,LEN(X64),1,VALUE(RIGHT(X64,1))+1),X64)</f>
        <v>A3.4</v>
      </c>
      <c r="Y65" s="43" cm="1">
        <f t="array" ref="Y65">IF(COUNTIFS($X$2:$X65,$X65)=1,"1",VALUE(SUBSTITUTE(INDEX(Y:Y,_xlfn.XMATCH($X65,$X$1:$X64,0,-1)),"A",""))+INDEX(Z:Z,_xlfn.XMATCH($X65,$X$1:$X64,0,-1))+1)</f>
        <v>2</v>
      </c>
      <c r="Z65" s="43" cm="1">
        <f t="array" ref="Z65">SUM(IF(ISNUMBER(FIND("TmAi",$BA$1:$ZZ$1)),IF(IFERROR(ISODD(SUBSTITUTE($BA65:$ZZ65,"A","")),FALSE),IF(ISODD(SUBSTITUTE($BA65:$ZZ65,"A","")),1,0),0)))</f>
        <v>0</v>
      </c>
      <c r="AA65" t="str">
        <f t="shared" si="116"/>
        <v>3B</v>
      </c>
      <c r="AB65" t="str">
        <f t="shared" si="117"/>
        <v>4B</v>
      </c>
      <c r="AL65" t="s">
        <v>137</v>
      </c>
      <c r="AO65" t="s">
        <v>396</v>
      </c>
      <c r="JV65" s="27" t="str">
        <f t="shared" si="113"/>
        <v>XT55</v>
      </c>
      <c r="JY65" t="str">
        <f t="shared" si="114"/>
        <v>F0-AI4-3B</v>
      </c>
      <c r="JZ65" t="str">
        <f t="shared" si="115"/>
        <v>F0-AI4-4B</v>
      </c>
      <c r="KE65" cm="1">
        <f t="array" ref="KE65">IF(COUNTIFS($U$2:$U65,$U65)=1,1,INDEX(KE:KE,_xlfn.XMATCH(U65,U$1:U64,0,-1))+COUNT(KE64:KI64))</f>
        <v>28</v>
      </c>
      <c r="KF65">
        <f t="shared" si="118"/>
        <v>29</v>
      </c>
      <c r="KG65">
        <f t="shared" si="118"/>
        <v>30</v>
      </c>
      <c r="KJ65">
        <v>1</v>
      </c>
      <c r="KK65" s="16">
        <v>2</v>
      </c>
      <c r="KO65" s="16"/>
    </row>
    <row r="66" spans="1:301" x14ac:dyDescent="0.25">
      <c r="A66" t="s">
        <v>525</v>
      </c>
      <c r="B66" s="34" t="s">
        <v>523</v>
      </c>
      <c r="C66" t="s">
        <v>492</v>
      </c>
      <c r="P66" t="s">
        <v>482</v>
      </c>
      <c r="T66" s="14" t="s">
        <v>554</v>
      </c>
      <c r="U66">
        <v>55</v>
      </c>
      <c r="V66" t="s">
        <v>524</v>
      </c>
      <c r="X66" t="str">
        <f>IF(COUNTIF(X$1:X65,X65)&gt;7,REPLACE(X65,LEN(X65),1,VALUE(RIGHT(X65,1))+1),X65)</f>
        <v>A3.4</v>
      </c>
      <c r="Y66" s="43" cm="1">
        <f t="array" ref="Y66">IF(COUNTIFS($X$2:$X66,$X66)=1,"1",VALUE(SUBSTITUTE(INDEX(Y:Y,_xlfn.XMATCH($X66,$X$1:$X65,0,-1)),"A",""))+INDEX(Z:Z,_xlfn.XMATCH($X66,$X$1:$X65,0,-1))+1)</f>
        <v>3</v>
      </c>
      <c r="Z66" s="43" cm="1">
        <f t="array" ref="Z66">SUM(IF(ISNUMBER(FIND("TmAi",$BA$1:$ZZ$1)),IF(IFERROR(ISODD(SUBSTITUTE($BA66:$ZZ66,"A","")),FALSE),IF(ISODD(SUBSTITUTE($BA66:$ZZ66,"A","")),1,0),0)))</f>
        <v>0</v>
      </c>
      <c r="AA66" t="str">
        <f t="shared" si="116"/>
        <v>5B</v>
      </c>
      <c r="AB66" t="str">
        <f t="shared" si="117"/>
        <v>6B</v>
      </c>
      <c r="AL66" t="s">
        <v>137</v>
      </c>
      <c r="AO66" t="s">
        <v>396</v>
      </c>
      <c r="JV66" s="27" t="str">
        <f t="shared" si="113"/>
        <v>XT55</v>
      </c>
      <c r="JY66" t="str">
        <f t="shared" si="114"/>
        <v>F0-AI4-5B</v>
      </c>
      <c r="JZ66" t="str">
        <f t="shared" si="115"/>
        <v>F0-AI4-6B</v>
      </c>
      <c r="KE66" cm="1">
        <f t="array" ref="KE66">IF(COUNTIFS($U$2:$U66,$U66)=1,1,INDEX(KE:KE,_xlfn.XMATCH(U66,U$1:U65,0,-1))+COUNT(KE65:KI65))</f>
        <v>31</v>
      </c>
      <c r="KF66">
        <f t="shared" si="118"/>
        <v>32</v>
      </c>
      <c r="KG66">
        <f t="shared" si="118"/>
        <v>33</v>
      </c>
      <c r="KJ66">
        <v>1</v>
      </c>
      <c r="KK66" s="16">
        <v>2</v>
      </c>
      <c r="KO66" s="16"/>
    </row>
    <row r="67" spans="1:301" x14ac:dyDescent="0.25">
      <c r="A67" t="s">
        <v>527</v>
      </c>
      <c r="B67" s="33" t="s">
        <v>526</v>
      </c>
      <c r="C67" t="s">
        <v>498</v>
      </c>
      <c r="P67" t="s">
        <v>482</v>
      </c>
      <c r="T67" s="14" t="s">
        <v>554</v>
      </c>
      <c r="U67">
        <v>55</v>
      </c>
      <c r="V67" t="s">
        <v>528</v>
      </c>
      <c r="X67" t="str">
        <f>IF(COUNTIF(X$1:X66,X66)&gt;7,REPLACE(X66,LEN(X66),1,VALUE(RIGHT(X66,1))+1),X66)</f>
        <v>A3.4</v>
      </c>
      <c r="Y67" s="43" cm="1">
        <f t="array" ref="Y67">IF(COUNTIFS($X$2:$X67,$X67)=1,"1",VALUE(SUBSTITUTE(INDEX(Y:Y,_xlfn.XMATCH($X67,$X$1:$X66,0,-1)),"A",""))+INDEX(Z:Z,_xlfn.XMATCH($X67,$X$1:$X66,0,-1))+1)</f>
        <v>4</v>
      </c>
      <c r="Z67" s="43" cm="1">
        <f t="array" ref="Z67">SUM(IF(ISNUMBER(FIND("TmAi",$BA$1:$ZZ$1)),IF(IFERROR(ISODD(SUBSTITUTE($BA67:$ZZ67,"A","")),FALSE),IF(ISODD(SUBSTITUTE($BA67:$ZZ67,"A","")),1,0),0)))</f>
        <v>0</v>
      </c>
      <c r="AA67" t="str">
        <f t="shared" si="116"/>
        <v>7B</v>
      </c>
      <c r="AB67" t="str">
        <f t="shared" si="117"/>
        <v>8B</v>
      </c>
      <c r="AL67" t="s">
        <v>137</v>
      </c>
      <c r="AO67" t="s">
        <v>396</v>
      </c>
      <c r="JV67" s="27" t="str">
        <f t="shared" si="113"/>
        <v>XT55</v>
      </c>
      <c r="JY67" t="str">
        <f t="shared" si="114"/>
        <v>F0-AI4-7B</v>
      </c>
      <c r="JZ67" t="str">
        <f t="shared" si="115"/>
        <v>F0-AI4-8B</v>
      </c>
      <c r="KE67" cm="1">
        <f t="array" ref="KE67">IF(COUNTIFS($U$2:$U67,$U67)=1,1,INDEX(KE:KE,_xlfn.XMATCH(U67,U$1:U66,0,-1))+COUNT(KE66:KI66))</f>
        <v>34</v>
      </c>
      <c r="KF67">
        <f t="shared" si="118"/>
        <v>35</v>
      </c>
      <c r="KG67">
        <f t="shared" si="118"/>
        <v>36</v>
      </c>
      <c r="KJ67">
        <v>1</v>
      </c>
      <c r="KK67" s="16">
        <v>2</v>
      </c>
      <c r="KO67" s="16"/>
    </row>
    <row r="68" spans="1:301" x14ac:dyDescent="0.25">
      <c r="A68" t="s">
        <v>530</v>
      </c>
      <c r="B68" t="s">
        <v>529</v>
      </c>
      <c r="C68" t="s">
        <v>531</v>
      </c>
      <c r="P68" t="s">
        <v>503</v>
      </c>
      <c r="T68" s="14" t="s">
        <v>554</v>
      </c>
      <c r="U68">
        <v>55</v>
      </c>
      <c r="V68" t="s">
        <v>532</v>
      </c>
      <c r="X68" s="33" t="str">
        <f>IF(COUNTIF(X$1:X67,X67)&gt;7,REPLACE(X67,LEN(X67),1,VALUE(RIGHT(X67,1))+1),X67)</f>
        <v>A3.4</v>
      </c>
      <c r="Y68" s="45" cm="1">
        <f t="array" ref="Y68">IF(COUNTIFS($X$2:$X68,$X68)=1,"1",VALUE(SUBSTITUTE(INDEX(Y:Y,_xlfn.XMATCH($X68,$X$1:$X67,0,-1)),"A",""))+INDEX(Z:Z,_xlfn.XMATCH($X68,$X$1:$X67,0,-1))+1)</f>
        <v>5</v>
      </c>
      <c r="Z68" s="43" cm="1">
        <f t="array" ref="Z68">SUM(IF(ISNUMBER(FIND("TmAi",$BA$1:$ZZ$1)),IF(IFERROR(ISODD(SUBSTITUTE($BA68:$ZZ68,"A","")),FALSE),IF(ISODD(SUBSTITUTE($BA68:$ZZ68,"A","")),1,0),0)))</f>
        <v>0</v>
      </c>
      <c r="AA68" t="str">
        <f>CONCATENATE($Y68*2-1,"A")</f>
        <v>9A</v>
      </c>
      <c r="AB68" t="str">
        <f>CONCATENATE($Y68*2-1,"B")</f>
        <v>9B</v>
      </c>
      <c r="AL68" t="s">
        <v>137</v>
      </c>
      <c r="AO68" t="s">
        <v>396</v>
      </c>
      <c r="JV68" s="27" t="str">
        <f t="shared" si="113"/>
        <v>XT55</v>
      </c>
      <c r="JY68" t="str">
        <f t="shared" si="114"/>
        <v>F0-AI4-9A</v>
      </c>
      <c r="JZ68" t="str">
        <f t="shared" si="115"/>
        <v>F0-AI4-9B</v>
      </c>
      <c r="KC68" t="s">
        <v>488</v>
      </c>
      <c r="KD68" t="s">
        <v>487</v>
      </c>
      <c r="KE68" cm="1">
        <f t="array" ref="KE68">IF(COUNTIFS($U$2:$U68,$U68)=1,1,INDEX(KE:KE,_xlfn.XMATCH(U68,U$1:U67,0,-1))+COUNT(KE67:KI67))</f>
        <v>37</v>
      </c>
      <c r="KF68">
        <f t="shared" si="118"/>
        <v>38</v>
      </c>
      <c r="KG68">
        <f t="shared" si="118"/>
        <v>39</v>
      </c>
      <c r="KH68">
        <f t="shared" si="118"/>
        <v>40</v>
      </c>
      <c r="KI68">
        <f t="shared" si="118"/>
        <v>41</v>
      </c>
      <c r="KJ68" t="s">
        <v>547</v>
      </c>
      <c r="KK68" s="16" t="s">
        <v>548</v>
      </c>
      <c r="KL68" t="s">
        <v>547</v>
      </c>
      <c r="KM68" t="s">
        <v>548</v>
      </c>
      <c r="KN68" t="s">
        <v>551</v>
      </c>
      <c r="KO68" s="16" t="s">
        <v>552</v>
      </c>
    </row>
    <row r="69" spans="1:301" x14ac:dyDescent="0.25">
      <c r="A69" t="s">
        <v>534</v>
      </c>
      <c r="B69" t="s">
        <v>533</v>
      </c>
      <c r="C69" t="s">
        <v>537</v>
      </c>
      <c r="P69" t="s">
        <v>542</v>
      </c>
      <c r="T69" s="14" t="s">
        <v>554</v>
      </c>
      <c r="U69">
        <v>55</v>
      </c>
      <c r="V69" t="s">
        <v>543</v>
      </c>
      <c r="X69" t="s">
        <v>1056</v>
      </c>
      <c r="Y69" s="43" t="str" cm="1">
        <f t="array" ref="Y69">IF(COUNTIFS($X$2:$X69,$X69)=1,"1",VALUE(SUBSTITUTE(INDEX(Y:Y,_xlfn.XMATCH($X69,$X$1:$X68,0,-1)),"A",""))+INDEX(Z:Z,_xlfn.XMATCH($X69,$X$1:$X68,0,-1))+1)</f>
        <v>1</v>
      </c>
      <c r="Z69" s="43" cm="1">
        <f t="array" ref="Z69">SUM(IF(ISNUMBER(FIND("TmAi",$BA$1:$ZZ$1)),IF(IFERROR(ISODD(SUBSTITUTE($BA69:$ZZ69,"A","")),FALSE),IF(ISODD(SUBSTITUTE($BA69:$ZZ69,"A","")),1,0),0)))</f>
        <v>0</v>
      </c>
      <c r="AA69" t="str">
        <f>CONCATENATE($Y69*2-1,"A")</f>
        <v>1A</v>
      </c>
      <c r="AB69" t="str">
        <f>CONCATENATE($Y69*2-1,"B")</f>
        <v>1B</v>
      </c>
      <c r="AL69" t="s">
        <v>137</v>
      </c>
      <c r="AO69" t="s">
        <v>396</v>
      </c>
      <c r="JV69" s="27" t="str">
        <f t="shared" si="113"/>
        <v>XT55</v>
      </c>
      <c r="JW69" t="str">
        <f>REPLACE(AA69,1,1,LEFT(AA69,1)+1)</f>
        <v>2A</v>
      </c>
      <c r="JX69" t="str">
        <f>REPLACE(AB69,1,1,LEFT(AB69,1)+1)</f>
        <v>2B</v>
      </c>
      <c r="JY69" t="str">
        <f t="shared" si="114"/>
        <v>F0-AI30-1A</v>
      </c>
      <c r="JZ69" t="str">
        <f t="shared" si="115"/>
        <v>F0-AI30-1B</v>
      </c>
      <c r="KA69" t="str">
        <f>CONCATENATE($T69,"-AI",REPLACE($X69,1,3,""),"-",JW69)</f>
        <v>F0-AI30-2A</v>
      </c>
      <c r="KB69" t="str">
        <f>CONCATENATE($T69,"-AI",REPLACE($X69,1,3,""),"-",JX69)</f>
        <v>F0-AI30-2B</v>
      </c>
      <c r="KE69" cm="1">
        <f t="array" ref="KE69">IF(COUNTIFS($U$2:$U69,$U69)=1,1,INDEX(KE:KE,_xlfn.XMATCH(U69,U$1:U68,0,-1))+COUNT(KE68:KI68))</f>
        <v>42</v>
      </c>
      <c r="KF69">
        <f>KE69+1</f>
        <v>43</v>
      </c>
      <c r="KG69">
        <f>KF69+1</f>
        <v>44</v>
      </c>
      <c r="KH69">
        <f>KG69+1</f>
        <v>45</v>
      </c>
      <c r="KJ69">
        <v>1</v>
      </c>
      <c r="KK69" s="16">
        <v>2</v>
      </c>
      <c r="KL69">
        <v>3</v>
      </c>
      <c r="KM69">
        <v>4</v>
      </c>
      <c r="KO69" s="16"/>
    </row>
    <row r="70" spans="1:301" x14ac:dyDescent="0.25">
      <c r="A70" t="s">
        <v>535</v>
      </c>
      <c r="B70" t="s">
        <v>536</v>
      </c>
      <c r="C70" t="s">
        <v>537</v>
      </c>
      <c r="P70" t="s">
        <v>542</v>
      </c>
      <c r="T70" s="14" t="s">
        <v>554</v>
      </c>
      <c r="U70">
        <v>55</v>
      </c>
      <c r="V70" t="s">
        <v>544</v>
      </c>
      <c r="X70" s="33" t="str">
        <f>IF(COUNTIF(X$1:X69,X69)&gt;3,REPLACE(X69,LEN(X69),1,VALUE(RIGHT(X69,1))+1),X69)</f>
        <v>A3.30</v>
      </c>
      <c r="Y70" s="45" cm="1">
        <f t="array" ref="Y70">IF(COUNTIFS($X$2:$X70,$X70)=1,"1",VALUE(SUBSTITUTE(INDEX(Y:Y,_xlfn.XMATCH($X70,$X$1:$X69,0,-1)),"A",""))+INDEX(Z:Z,_xlfn.XMATCH($X70,$X$1:$X69,0,-1))+1)</f>
        <v>2</v>
      </c>
      <c r="Z70" s="43" cm="1">
        <f t="array" ref="Z70">SUM(IF(ISNUMBER(FIND("TmAi",$BA$1:$ZZ$1)),IF(IFERROR(ISODD(SUBSTITUTE($BA70:$ZZ70,"A","")),FALSE),IF(ISODD(SUBSTITUTE($BA70:$ZZ70,"A","")),1,0),0)))</f>
        <v>0</v>
      </c>
      <c r="AA70" t="str">
        <f>CONCATENATE($Y70*2-1,"A")</f>
        <v>3A</v>
      </c>
      <c r="AB70" t="str">
        <f>CONCATENATE($Y70*2-1,"B")</f>
        <v>3B</v>
      </c>
      <c r="AL70" t="s">
        <v>137</v>
      </c>
      <c r="AO70" t="s">
        <v>396</v>
      </c>
      <c r="JV70" s="27" t="str">
        <f t="shared" si="113"/>
        <v>XT55</v>
      </c>
      <c r="JW70" t="str">
        <f>REPLACE(AA70,1,1,LEFT(AA70,1)+1)</f>
        <v>4A</v>
      </c>
      <c r="JX70" t="str">
        <f>REPLACE(AB70,1,1,LEFT(AB70,1)+1)</f>
        <v>4B</v>
      </c>
      <c r="JY70" t="str">
        <f t="shared" si="114"/>
        <v>F0-AI30-3A</v>
      </c>
      <c r="JZ70" t="str">
        <f t="shared" si="115"/>
        <v>F0-AI30-3B</v>
      </c>
      <c r="KA70" t="str">
        <f>CONCATENATE($T70,"-AI",REPLACE($X70,1,3,""),"-",JW70)</f>
        <v>F0-AI30-4A</v>
      </c>
      <c r="KB70" t="str">
        <f>CONCATENATE($T70,"-AI",REPLACE($X70,1,3,""),"-",JX70)</f>
        <v>F0-AI30-4B</v>
      </c>
      <c r="KE70" cm="1">
        <f t="array" ref="KE70">IF(COUNTIFS($U$2:$U70,$U70)=1,1,INDEX(KE:KE,_xlfn.XMATCH(U70,U$1:U69,0,-1))+COUNT(KE69:KI69))</f>
        <v>46</v>
      </c>
      <c r="KF70">
        <f t="shared" ref="KF70:KI85" si="119">KE70+1</f>
        <v>47</v>
      </c>
      <c r="KG70">
        <f t="shared" si="119"/>
        <v>48</v>
      </c>
      <c r="KH70">
        <f t="shared" si="119"/>
        <v>49</v>
      </c>
      <c r="KJ70">
        <v>1</v>
      </c>
      <c r="KK70" s="16">
        <v>2</v>
      </c>
      <c r="KL70">
        <v>3</v>
      </c>
      <c r="KM70">
        <v>4</v>
      </c>
      <c r="KO70" s="16"/>
    </row>
    <row r="71" spans="1:301" x14ac:dyDescent="0.25">
      <c r="A71" t="s">
        <v>539</v>
      </c>
      <c r="B71" s="34" t="s">
        <v>538</v>
      </c>
      <c r="C71" t="s">
        <v>492</v>
      </c>
      <c r="P71" t="s">
        <v>482</v>
      </c>
      <c r="T71" s="14" t="s">
        <v>554</v>
      </c>
      <c r="U71">
        <v>55</v>
      </c>
      <c r="V71" t="s">
        <v>545</v>
      </c>
      <c r="X71" t="s">
        <v>509</v>
      </c>
      <c r="Y71" s="43" cm="1">
        <f t="array" ref="Y71">IF(COUNTIFS($X$2:$X71,$X71)=1,"1",VALUE(SUBSTITUTE(INDEX(Y:Y,_xlfn.XMATCH($X71,$X$1:$X70,0,-1)),"A",""))+INDEX(Z:Z,_xlfn.XMATCH($X71,$X$1:$X70,0,-1))+1)</f>
        <v>6</v>
      </c>
      <c r="Z71" s="43" cm="1">
        <f t="array" ref="Z71">SUM(IF(ISNUMBER(FIND("TmAi",$BA$1:$ZZ$1)),IF(IFERROR(ISODD(SUBSTITUTE($BA71:$ZZ71,"A","")),FALSE),IF(ISODD(SUBSTITUTE($BA71:$ZZ71,"A","")),1,0),0)))</f>
        <v>0</v>
      </c>
      <c r="AA71" t="str">
        <f t="shared" ref="AA71:AA75" si="120">CONCATENATE($Y71*2-1,"B")</f>
        <v>11B</v>
      </c>
      <c r="AB71" t="str">
        <f t="shared" ref="AB71:AB75" si="121">CONCATENATE($Y71*2,"B")</f>
        <v>12B</v>
      </c>
      <c r="AL71" t="s">
        <v>137</v>
      </c>
      <c r="AO71" t="s">
        <v>396</v>
      </c>
      <c r="JV71" s="27" t="str">
        <f t="shared" si="113"/>
        <v>XT55</v>
      </c>
      <c r="JY71" t="str">
        <f t="shared" si="114"/>
        <v>F0-AI4-11B</v>
      </c>
      <c r="JZ71" t="str">
        <f t="shared" si="115"/>
        <v>F0-AI4-12B</v>
      </c>
      <c r="KE71" cm="1">
        <f t="array" ref="KE71">IF(COUNTIFS($U$2:$U71,$U71)=1,1,INDEX(KE:KE,_xlfn.XMATCH(U71,U$1:U70,0,-1))+COUNT(KE70:KI70))</f>
        <v>50</v>
      </c>
      <c r="KF71">
        <f t="shared" si="119"/>
        <v>51</v>
      </c>
      <c r="KG71">
        <f t="shared" si="119"/>
        <v>52</v>
      </c>
      <c r="KJ71">
        <v>1</v>
      </c>
      <c r="KK71" s="16">
        <v>2</v>
      </c>
      <c r="KO71" s="16"/>
    </row>
    <row r="72" spans="1:301" x14ac:dyDescent="0.25">
      <c r="A72" t="s">
        <v>541</v>
      </c>
      <c r="B72" t="s">
        <v>540</v>
      </c>
      <c r="C72" t="s">
        <v>498</v>
      </c>
      <c r="P72" t="s">
        <v>482</v>
      </c>
      <c r="T72" s="14" t="s">
        <v>554</v>
      </c>
      <c r="U72">
        <v>55</v>
      </c>
      <c r="V72" t="s">
        <v>546</v>
      </c>
      <c r="X72" t="str">
        <f>IF(COUNTIF(X$1:X71,X71)&gt;7,REPLACE(X71,LEN(X71),1,VALUE(RIGHT(X71,1))+1),X71)</f>
        <v>A3.4</v>
      </c>
      <c r="Y72" s="43" cm="1">
        <f t="array" ref="Y72">IF(COUNTIFS($X$2:$X72,$X72)=1,"1",VALUE(SUBSTITUTE(INDEX(Y:Y,_xlfn.XMATCH($X72,$X$1:$X71,0,-1)),"A",""))+INDEX(Z:Z,_xlfn.XMATCH($X72,$X$1:$X71,0,-1))+1)</f>
        <v>7</v>
      </c>
      <c r="Z72" s="43" cm="1">
        <f t="array" ref="Z72">SUM(IF(ISNUMBER(FIND("TmAi",$BA$1:$ZZ$1)),IF(IFERROR(ISODD(SUBSTITUTE($BA72:$ZZ72,"A","")),FALSE),IF(ISODD(SUBSTITUTE($BA72:$ZZ72,"A","")),1,0),0)))</f>
        <v>0</v>
      </c>
      <c r="AA72" t="str">
        <f t="shared" si="120"/>
        <v>13B</v>
      </c>
      <c r="AB72" t="str">
        <f t="shared" si="121"/>
        <v>14B</v>
      </c>
      <c r="AL72" t="s">
        <v>137</v>
      </c>
      <c r="AO72" t="s">
        <v>396</v>
      </c>
      <c r="JV72" s="27" t="str">
        <f t="shared" si="113"/>
        <v>XT55</v>
      </c>
      <c r="JY72" t="str">
        <f t="shared" si="114"/>
        <v>F0-AI4-13B</v>
      </c>
      <c r="JZ72" t="str">
        <f t="shared" si="115"/>
        <v>F0-AI4-14B</v>
      </c>
      <c r="KE72" cm="1">
        <f t="array" ref="KE72">IF(COUNTIFS($U$2:$U72,$U72)=1,1,INDEX(KE:KE,_xlfn.XMATCH(U72,U$1:U71,0,-1))+COUNT(KE71:KI71))</f>
        <v>53</v>
      </c>
      <c r="KF72">
        <f t="shared" si="119"/>
        <v>54</v>
      </c>
      <c r="KG72">
        <f t="shared" si="119"/>
        <v>55</v>
      </c>
      <c r="KJ72">
        <v>1</v>
      </c>
      <c r="KK72" s="16">
        <v>2</v>
      </c>
      <c r="KO72" s="16"/>
    </row>
    <row r="73" spans="1:301" x14ac:dyDescent="0.25">
      <c r="A73" t="s">
        <v>560</v>
      </c>
      <c r="B73" t="s">
        <v>559</v>
      </c>
      <c r="C73" t="s">
        <v>498</v>
      </c>
      <c r="P73" t="s">
        <v>482</v>
      </c>
      <c r="T73" s="14" t="s">
        <v>554</v>
      </c>
      <c r="U73">
        <v>55</v>
      </c>
      <c r="V73" t="s">
        <v>577</v>
      </c>
      <c r="X73" s="33" t="str">
        <f>IF(COUNTIF(X$1:X72,X72)&gt;7,REPLACE(X72,LEN(X72),1,VALUE(RIGHT(X72,1))+1),X72)</f>
        <v>A3.4</v>
      </c>
      <c r="Y73" s="45" cm="1">
        <f t="array" ref="Y73">IF(COUNTIFS($X$2:$X73,$X73)=1,"1",VALUE(SUBSTITUTE(INDEX(Y:Y,_xlfn.XMATCH($X73,$X$1:$X72,0,-1)),"A",""))+INDEX(Z:Z,_xlfn.XMATCH($X73,$X$1:$X72,0,-1))+1)</f>
        <v>8</v>
      </c>
      <c r="Z73" s="43" cm="1">
        <f t="array" ref="Z73">SUM(IF(ISNUMBER(FIND("TmAi",$BA$1:$ZZ$1)),IF(IFERROR(ISODD(SUBSTITUTE($BA73:$ZZ73,"A","")),FALSE),IF(ISODD(SUBSTITUTE($BA73:$ZZ73,"A","")),1,0),0)))</f>
        <v>0</v>
      </c>
      <c r="AA73" t="str">
        <f t="shared" si="120"/>
        <v>15B</v>
      </c>
      <c r="AB73" t="str">
        <f t="shared" si="121"/>
        <v>16B</v>
      </c>
      <c r="AL73" t="s">
        <v>137</v>
      </c>
      <c r="AO73" t="s">
        <v>396</v>
      </c>
      <c r="JV73" s="27" t="str">
        <f t="shared" si="113"/>
        <v>XT55</v>
      </c>
      <c r="JY73" t="str">
        <f t="shared" si="114"/>
        <v>F0-AI4-15B</v>
      </c>
      <c r="JZ73" t="str">
        <f t="shared" si="115"/>
        <v>F0-AI4-16B</v>
      </c>
      <c r="KE73" cm="1">
        <f t="array" ref="KE73">IF(COUNTIFS($U$2:$U73,$U73)=1,1,INDEX(KE:KE,_xlfn.XMATCH(U73,U$1:U72,0,-1))+COUNT(KE72:KI72))</f>
        <v>56</v>
      </c>
      <c r="KF73">
        <f t="shared" si="119"/>
        <v>57</v>
      </c>
      <c r="KG73">
        <f t="shared" si="119"/>
        <v>58</v>
      </c>
      <c r="KJ73">
        <v>1</v>
      </c>
      <c r="KK73" s="16">
        <v>2</v>
      </c>
      <c r="KO73" s="16"/>
    </row>
    <row r="74" spans="1:301" x14ac:dyDescent="0.25">
      <c r="A74" t="s">
        <v>562</v>
      </c>
      <c r="B74" t="s">
        <v>561</v>
      </c>
      <c r="C74" t="s">
        <v>498</v>
      </c>
      <c r="P74" t="s">
        <v>482</v>
      </c>
      <c r="T74" s="14" t="s">
        <v>554</v>
      </c>
      <c r="U74">
        <v>55</v>
      </c>
      <c r="V74" t="s">
        <v>578</v>
      </c>
      <c r="X74" t="str">
        <f>IF(COUNTIF(X$1:X73,X73)&gt;7,REPLACE(X73,LEN(X73),1,VALUE(RIGHT(X73,1))+1),X73)</f>
        <v>A3.5</v>
      </c>
      <c r="Y74" s="43" t="str" cm="1">
        <f t="array" ref="Y74">IF(COUNTIFS($X$2:$X74,$X74)=1,"1",VALUE(SUBSTITUTE(INDEX(Y:Y,_xlfn.XMATCH($X74,$X$1:$X73,0,-1)),"A",""))+INDEX(Z:Z,_xlfn.XMATCH($X74,$X$1:$X73,0,-1))+1)</f>
        <v>1</v>
      </c>
      <c r="Z74" s="43" cm="1">
        <f t="array" ref="Z74">SUM(IF(ISNUMBER(FIND("TmAi",$BA$1:$ZZ$1)),IF(IFERROR(ISODD(SUBSTITUTE($BA74:$ZZ74,"A","")),FALSE),IF(ISODD(SUBSTITUTE($BA74:$ZZ74,"A","")),1,0),0)))</f>
        <v>0</v>
      </c>
      <c r="AA74" t="str">
        <f t="shared" si="120"/>
        <v>1B</v>
      </c>
      <c r="AB74" t="str">
        <f t="shared" si="121"/>
        <v>2B</v>
      </c>
      <c r="AL74" t="s">
        <v>137</v>
      </c>
      <c r="AO74" t="s">
        <v>396</v>
      </c>
      <c r="JV74" s="27" t="str">
        <f t="shared" si="113"/>
        <v>XT55</v>
      </c>
      <c r="JY74" t="str">
        <f t="shared" si="114"/>
        <v>F0-AI5-1B</v>
      </c>
      <c r="JZ74" t="str">
        <f t="shared" si="115"/>
        <v>F0-AI5-2B</v>
      </c>
      <c r="KE74" cm="1">
        <f t="array" ref="KE74">IF(COUNTIFS($U$2:$U74,$U74)=1,1,INDEX(KE:KE,_xlfn.XMATCH(U74,U$1:U73,0,-1))+COUNT(KE73:KI73))</f>
        <v>59</v>
      </c>
      <c r="KF74">
        <f t="shared" si="119"/>
        <v>60</v>
      </c>
      <c r="KG74">
        <f t="shared" si="119"/>
        <v>61</v>
      </c>
      <c r="KJ74">
        <v>1</v>
      </c>
      <c r="KK74" s="16">
        <v>2</v>
      </c>
      <c r="KO74" s="16"/>
    </row>
    <row r="75" spans="1:301" x14ac:dyDescent="0.25">
      <c r="A75" t="s">
        <v>564</v>
      </c>
      <c r="B75" t="s">
        <v>563</v>
      </c>
      <c r="C75" t="s">
        <v>498</v>
      </c>
      <c r="P75" t="s">
        <v>482</v>
      </c>
      <c r="T75" s="14" t="s">
        <v>554</v>
      </c>
      <c r="U75">
        <v>55</v>
      </c>
      <c r="V75" t="s">
        <v>579</v>
      </c>
      <c r="X75" t="str">
        <f>IF(COUNTIF(X$1:X74,X74)&gt;7,REPLACE(X74,LEN(X74),1,VALUE(RIGHT(X74,1))+1),X74)</f>
        <v>A3.5</v>
      </c>
      <c r="Y75" s="43" cm="1">
        <f t="array" ref="Y75">IF(COUNTIFS($X$2:$X75,$X75)=1,"1",VALUE(SUBSTITUTE(INDEX(Y:Y,_xlfn.XMATCH($X75,$X$1:$X74,0,-1)),"A",""))+INDEX(Z:Z,_xlfn.XMATCH($X75,$X$1:$X74,0,-1))+1)</f>
        <v>2</v>
      </c>
      <c r="Z75" s="43" cm="1">
        <f t="array" ref="Z75">SUM(IF(ISNUMBER(FIND("TmAi",$BA$1:$ZZ$1)),IF(IFERROR(ISODD(SUBSTITUTE($BA75:$ZZ75,"A","")),FALSE),IF(ISODD(SUBSTITUTE($BA75:$ZZ75,"A","")),1,0),0)))</f>
        <v>0</v>
      </c>
      <c r="AA75" t="str">
        <f t="shared" si="120"/>
        <v>3B</v>
      </c>
      <c r="AB75" t="str">
        <f t="shared" si="121"/>
        <v>4B</v>
      </c>
      <c r="AL75" t="s">
        <v>137</v>
      </c>
      <c r="AO75" t="s">
        <v>396</v>
      </c>
      <c r="JV75" s="27" t="str">
        <f t="shared" si="113"/>
        <v>XT55</v>
      </c>
      <c r="JY75" t="str">
        <f t="shared" si="114"/>
        <v>F0-AI5-3B</v>
      </c>
      <c r="JZ75" t="str">
        <f t="shared" si="115"/>
        <v>F0-AI5-4B</v>
      </c>
      <c r="KE75" cm="1">
        <f t="array" ref="KE75">IF(COUNTIFS($U$2:$U75,$U75)=1,1,INDEX(KE:KE,_xlfn.XMATCH(U75,U$1:U74,0,-1))+COUNT(KE74:KI74))</f>
        <v>62</v>
      </c>
      <c r="KF75">
        <f t="shared" si="119"/>
        <v>63</v>
      </c>
      <c r="KG75">
        <f t="shared" si="119"/>
        <v>64</v>
      </c>
      <c r="KJ75">
        <v>1</v>
      </c>
      <c r="KK75" s="16">
        <v>2</v>
      </c>
      <c r="KO75" s="16"/>
    </row>
    <row r="76" spans="1:301" x14ac:dyDescent="0.25">
      <c r="A76" t="s">
        <v>566</v>
      </c>
      <c r="B76" t="s">
        <v>565</v>
      </c>
      <c r="C76" t="s">
        <v>531</v>
      </c>
      <c r="P76" t="s">
        <v>503</v>
      </c>
      <c r="T76" s="14" t="s">
        <v>554</v>
      </c>
      <c r="U76">
        <v>55</v>
      </c>
      <c r="V76" t="s">
        <v>580</v>
      </c>
      <c r="X76" t="str">
        <f>IF(COUNTIF(X$1:X75,X75)&gt;7,REPLACE(X75,LEN(X75),1,VALUE(RIGHT(X75,1))+1),X75)</f>
        <v>A3.5</v>
      </c>
      <c r="Y76" s="43" cm="1">
        <f t="array" ref="Y76">IF(COUNTIFS($X$2:$X76,$X76)=1,"1",VALUE(SUBSTITUTE(INDEX(Y:Y,_xlfn.XMATCH($X76,$X$1:$X75,0,-1)),"A",""))+INDEX(Z:Z,_xlfn.XMATCH($X76,$X$1:$X75,0,-1))+1)</f>
        <v>3</v>
      </c>
      <c r="Z76" s="43" cm="1">
        <f t="array" ref="Z76">SUM(IF(ISNUMBER(FIND("TmAi",$BA$1:$ZZ$1)),IF(IFERROR(ISODD(SUBSTITUTE($BA76:$ZZ76,"A","")),FALSE),IF(ISODD(SUBSTITUTE($BA76:$ZZ76,"A","")),1,0),0)))</f>
        <v>0</v>
      </c>
      <c r="AA76" t="str">
        <f>CONCATENATE($Y76*2-1,"A")</f>
        <v>5A</v>
      </c>
      <c r="AB76" t="str">
        <f>CONCATENATE($Y76*2-1,"B")</f>
        <v>5B</v>
      </c>
      <c r="AL76" t="s">
        <v>137</v>
      </c>
      <c r="AO76" t="s">
        <v>396</v>
      </c>
      <c r="JV76" s="27" t="str">
        <f t="shared" si="113"/>
        <v>XT55</v>
      </c>
      <c r="JY76" t="str">
        <f t="shared" si="114"/>
        <v>F0-AI5-5A</v>
      </c>
      <c r="JZ76" t="str">
        <f t="shared" si="115"/>
        <v>F0-AI5-5B</v>
      </c>
      <c r="KC76" t="s">
        <v>488</v>
      </c>
      <c r="KD76" t="s">
        <v>487</v>
      </c>
      <c r="KE76" cm="1">
        <f t="array" ref="KE76">IF(COUNTIFS($U$2:$U76,$U76)=1,1,INDEX(KE:KE,_xlfn.XMATCH(U76,U$1:U75,0,-1))+COUNT(KE75:KI75))</f>
        <v>65</v>
      </c>
      <c r="KF76">
        <f t="shared" si="119"/>
        <v>66</v>
      </c>
      <c r="KG76">
        <f t="shared" si="119"/>
        <v>67</v>
      </c>
      <c r="KH76">
        <f t="shared" si="119"/>
        <v>68</v>
      </c>
      <c r="KI76">
        <f t="shared" si="119"/>
        <v>69</v>
      </c>
      <c r="KJ76" t="s">
        <v>547</v>
      </c>
      <c r="KK76" s="16" t="s">
        <v>548</v>
      </c>
      <c r="KL76" t="s">
        <v>547</v>
      </c>
      <c r="KM76" t="s">
        <v>548</v>
      </c>
      <c r="KN76" t="s">
        <v>551</v>
      </c>
      <c r="KO76" s="16" t="s">
        <v>552</v>
      </c>
    </row>
    <row r="77" spans="1:301" x14ac:dyDescent="0.25">
      <c r="A77" t="s">
        <v>568</v>
      </c>
      <c r="B77" t="s">
        <v>567</v>
      </c>
      <c r="C77" t="s">
        <v>498</v>
      </c>
      <c r="P77" t="s">
        <v>482</v>
      </c>
      <c r="T77" s="14" t="s">
        <v>554</v>
      </c>
      <c r="U77">
        <v>55</v>
      </c>
      <c r="V77" t="s">
        <v>581</v>
      </c>
      <c r="X77" t="str">
        <f>IF(COUNTIF(X$1:X76,X76)&gt;7,REPLACE(X76,LEN(X76),1,VALUE(RIGHT(X76,1))+1),X76)</f>
        <v>A3.5</v>
      </c>
      <c r="Y77" s="43" cm="1">
        <f t="array" ref="Y77">IF(COUNTIFS($X$2:$X77,$X77)=1,"1",VALUE(SUBSTITUTE(INDEX(Y:Y,_xlfn.XMATCH($X77,$X$1:$X76,0,-1)),"A",""))+INDEX(Z:Z,_xlfn.XMATCH($X77,$X$1:$X76,0,-1))+1)</f>
        <v>4</v>
      </c>
      <c r="Z77" s="43" cm="1">
        <f t="array" ref="Z77">SUM(IF(ISNUMBER(FIND("TmAi",$BA$1:$ZZ$1)),IF(IFERROR(ISODD(SUBSTITUTE($BA77:$ZZ77,"A","")),FALSE),IF(ISODD(SUBSTITUTE($BA77:$ZZ77,"A","")),1,0),0)))</f>
        <v>0</v>
      </c>
      <c r="AA77" t="str">
        <f t="shared" ref="AA77:AA88" si="122">CONCATENATE($Y77*2-1,"B")</f>
        <v>7B</v>
      </c>
      <c r="AB77" t="str">
        <f t="shared" ref="AB77:AB88" si="123">CONCATENATE($Y77*2,"B")</f>
        <v>8B</v>
      </c>
      <c r="AL77" t="s">
        <v>137</v>
      </c>
      <c r="AO77" t="s">
        <v>396</v>
      </c>
      <c r="JV77" s="27" t="str">
        <f t="shared" si="113"/>
        <v>XT55</v>
      </c>
      <c r="JY77" t="str">
        <f t="shared" si="114"/>
        <v>F0-AI5-7B</v>
      </c>
      <c r="JZ77" t="str">
        <f t="shared" si="115"/>
        <v>F0-AI5-8B</v>
      </c>
      <c r="KE77" cm="1">
        <f t="array" ref="KE77">IF(COUNTIFS($U$2:$U77,$U77)=1,1,INDEX(KE:KE,_xlfn.XMATCH(U77,U$1:U76,0,-1))+COUNT(KE76:KI76))</f>
        <v>70</v>
      </c>
      <c r="KF77">
        <f t="shared" si="119"/>
        <v>71</v>
      </c>
      <c r="KG77">
        <f t="shared" si="119"/>
        <v>72</v>
      </c>
      <c r="KJ77">
        <v>1</v>
      </c>
      <c r="KK77" s="16">
        <v>2</v>
      </c>
      <c r="KO77" s="16"/>
    </row>
    <row r="78" spans="1:301" x14ac:dyDescent="0.25">
      <c r="A78" t="s">
        <v>570</v>
      </c>
      <c r="B78" s="33" t="s">
        <v>569</v>
      </c>
      <c r="C78" t="s">
        <v>492</v>
      </c>
      <c r="P78" t="s">
        <v>482</v>
      </c>
      <c r="T78" s="14" t="s">
        <v>554</v>
      </c>
      <c r="U78">
        <v>55</v>
      </c>
      <c r="V78" t="s">
        <v>582</v>
      </c>
      <c r="X78" t="str">
        <f>IF(COUNTIF(X$1:X77,X77)&gt;7,REPLACE(X77,LEN(X77),1,VALUE(RIGHT(X77,1))+1),X77)</f>
        <v>A3.5</v>
      </c>
      <c r="Y78" s="43" cm="1">
        <f t="array" ref="Y78">IF(COUNTIFS($X$2:$X78,$X78)=1,"1",VALUE(SUBSTITUTE(INDEX(Y:Y,_xlfn.XMATCH($X78,$X$1:$X77,0,-1)),"A",""))+INDEX(Z:Z,_xlfn.XMATCH($X78,$X$1:$X77,0,-1))+1)</f>
        <v>5</v>
      </c>
      <c r="Z78" s="43" cm="1">
        <f t="array" ref="Z78">SUM(IF(ISNUMBER(FIND("TmAi",$BA$1:$ZZ$1)),IF(IFERROR(ISODD(SUBSTITUTE($BA78:$ZZ78,"A","")),FALSE),IF(ISODD(SUBSTITUTE($BA78:$ZZ78,"A","")),1,0),0)))</f>
        <v>0</v>
      </c>
      <c r="AA78" t="str">
        <f t="shared" si="122"/>
        <v>9B</v>
      </c>
      <c r="AB78" t="str">
        <f t="shared" si="123"/>
        <v>10B</v>
      </c>
      <c r="AL78" t="s">
        <v>137</v>
      </c>
      <c r="AO78" t="s">
        <v>396</v>
      </c>
      <c r="JV78" s="27" t="str">
        <f t="shared" si="113"/>
        <v>XT55</v>
      </c>
      <c r="JY78" t="str">
        <f t="shared" si="114"/>
        <v>F0-AI5-9B</v>
      </c>
      <c r="JZ78" t="str">
        <f t="shared" si="115"/>
        <v>F0-AI5-10B</v>
      </c>
      <c r="KE78" cm="1">
        <f t="array" ref="KE78">IF(COUNTIFS($U$2:$U78,$U78)=1,1,INDEX(KE:KE,_xlfn.XMATCH(U78,U$1:U77,0,-1))+COUNT(KE77:KI77))</f>
        <v>73</v>
      </c>
      <c r="KF78">
        <f t="shared" si="119"/>
        <v>74</v>
      </c>
      <c r="KG78">
        <f t="shared" si="119"/>
        <v>75</v>
      </c>
      <c r="KJ78">
        <v>1</v>
      </c>
      <c r="KK78" s="16">
        <v>2</v>
      </c>
      <c r="KO78" s="16"/>
    </row>
    <row r="79" spans="1:301" x14ac:dyDescent="0.25">
      <c r="A79" t="s">
        <v>572</v>
      </c>
      <c r="B79" t="s">
        <v>571</v>
      </c>
      <c r="C79" t="s">
        <v>492</v>
      </c>
      <c r="P79" t="s">
        <v>482</v>
      </c>
      <c r="T79" s="14" t="s">
        <v>554</v>
      </c>
      <c r="U79">
        <v>55</v>
      </c>
      <c r="V79" t="s">
        <v>583</v>
      </c>
      <c r="X79" t="str">
        <f>IF(COUNTIF(X$1:X78,X78)&gt;7,REPLACE(X78,LEN(X78),1,VALUE(RIGHT(X78,1))+1),X78)</f>
        <v>A3.5</v>
      </c>
      <c r="Y79" s="43" cm="1">
        <f t="array" ref="Y79">IF(COUNTIFS($X$2:$X79,$X79)=1,"1",VALUE(SUBSTITUTE(INDEX(Y:Y,_xlfn.XMATCH($X79,$X$1:$X78,0,-1)),"A",""))+INDEX(Z:Z,_xlfn.XMATCH($X79,$X$1:$X78,0,-1))+1)</f>
        <v>6</v>
      </c>
      <c r="Z79" s="43" cm="1">
        <f t="array" ref="Z79">SUM(IF(ISNUMBER(FIND("TmAi",$BA$1:$ZZ$1)),IF(IFERROR(ISODD(SUBSTITUTE($BA79:$ZZ79,"A","")),FALSE),IF(ISODD(SUBSTITUTE($BA79:$ZZ79,"A","")),1,0),0)))</f>
        <v>0</v>
      </c>
      <c r="AA79" t="str">
        <f t="shared" si="122"/>
        <v>11B</v>
      </c>
      <c r="AB79" t="str">
        <f t="shared" si="123"/>
        <v>12B</v>
      </c>
      <c r="AL79" t="s">
        <v>137</v>
      </c>
      <c r="AO79" t="s">
        <v>396</v>
      </c>
      <c r="JV79" s="27" t="str">
        <f t="shared" si="113"/>
        <v>XT55</v>
      </c>
      <c r="JY79" t="str">
        <f t="shared" si="114"/>
        <v>F0-AI5-11B</v>
      </c>
      <c r="JZ79" t="str">
        <f t="shared" si="115"/>
        <v>F0-AI5-12B</v>
      </c>
      <c r="KE79" cm="1">
        <f t="array" ref="KE79">IF(COUNTIFS($U$2:$U79,$U79)=1,1,INDEX(KE:KE,_xlfn.XMATCH(U79,U$1:U78,0,-1))+COUNT(KE78:KI78))</f>
        <v>76</v>
      </c>
      <c r="KF79">
        <f t="shared" si="119"/>
        <v>77</v>
      </c>
      <c r="KG79">
        <f t="shared" si="119"/>
        <v>78</v>
      </c>
      <c r="KJ79">
        <v>1</v>
      </c>
      <c r="KK79" s="16">
        <v>2</v>
      </c>
      <c r="KO79" s="16"/>
    </row>
    <row r="80" spans="1:301" x14ac:dyDescent="0.25">
      <c r="A80" t="s">
        <v>574</v>
      </c>
      <c r="B80" t="s">
        <v>573</v>
      </c>
      <c r="C80" t="s">
        <v>498</v>
      </c>
      <c r="P80" t="s">
        <v>482</v>
      </c>
      <c r="T80" s="14" t="s">
        <v>554</v>
      </c>
      <c r="U80">
        <v>55</v>
      </c>
      <c r="V80" t="s">
        <v>584</v>
      </c>
      <c r="X80" t="str">
        <f>IF(COUNTIF(X$1:X79,X79)&gt;7,REPLACE(X79,LEN(X79),1,VALUE(RIGHT(X79,1))+1),X79)</f>
        <v>A3.5</v>
      </c>
      <c r="Y80" s="43" cm="1">
        <f t="array" ref="Y80">IF(COUNTIFS($X$2:$X80,$X80)=1,"1",VALUE(SUBSTITUTE(INDEX(Y:Y,_xlfn.XMATCH($X80,$X$1:$X79,0,-1)),"A",""))+INDEX(Z:Z,_xlfn.XMATCH($X80,$X$1:$X79,0,-1))+1)</f>
        <v>7</v>
      </c>
      <c r="Z80" s="43" cm="1">
        <f t="array" ref="Z80">SUM(IF(ISNUMBER(FIND("TmAi",$BA$1:$ZZ$1)),IF(IFERROR(ISODD(SUBSTITUTE($BA80:$ZZ80,"A","")),FALSE),IF(ISODD(SUBSTITUTE($BA80:$ZZ80,"A","")),1,0),0)))</f>
        <v>0</v>
      </c>
      <c r="AA80" t="str">
        <f t="shared" si="122"/>
        <v>13B</v>
      </c>
      <c r="AB80" t="str">
        <f t="shared" si="123"/>
        <v>14B</v>
      </c>
      <c r="AL80" t="s">
        <v>137</v>
      </c>
      <c r="AO80" t="s">
        <v>396</v>
      </c>
      <c r="JV80" s="27" t="str">
        <f t="shared" si="113"/>
        <v>XT55</v>
      </c>
      <c r="JY80" t="str">
        <f t="shared" si="114"/>
        <v>F0-AI5-13B</v>
      </c>
      <c r="JZ80" t="str">
        <f t="shared" si="115"/>
        <v>F0-AI5-14B</v>
      </c>
      <c r="KE80" cm="1">
        <f t="array" ref="KE80">IF(COUNTIFS($U$2:$U80,$U80)=1,1,INDEX(KE:KE,_xlfn.XMATCH(U80,U$1:U79,0,-1))+COUNT(KE79:KI79))</f>
        <v>79</v>
      </c>
      <c r="KF80">
        <f t="shared" si="119"/>
        <v>80</v>
      </c>
      <c r="KG80">
        <f t="shared" si="119"/>
        <v>81</v>
      </c>
      <c r="KJ80">
        <v>1</v>
      </c>
      <c r="KK80" s="16">
        <v>2</v>
      </c>
      <c r="KO80" s="16"/>
    </row>
    <row r="81" spans="1:301" x14ac:dyDescent="0.25">
      <c r="A81" t="s">
        <v>576</v>
      </c>
      <c r="B81" t="s">
        <v>575</v>
      </c>
      <c r="C81" t="s">
        <v>492</v>
      </c>
      <c r="P81" t="s">
        <v>482</v>
      </c>
      <c r="T81" s="14" t="s">
        <v>554</v>
      </c>
      <c r="U81">
        <v>55</v>
      </c>
      <c r="V81" t="s">
        <v>585</v>
      </c>
      <c r="X81" s="33" t="str">
        <f>IF(COUNTIF(X$1:X80,X80)&gt;7,REPLACE(X80,LEN(X80),1,VALUE(RIGHT(X80,1))+1),X80)</f>
        <v>A3.5</v>
      </c>
      <c r="Y81" s="45" cm="1">
        <f t="array" ref="Y81">IF(COUNTIFS($X$2:$X81,$X81)=1,"1",VALUE(SUBSTITUTE(INDEX(Y:Y,_xlfn.XMATCH($X81,$X$1:$X80,0,-1)),"A",""))+INDEX(Z:Z,_xlfn.XMATCH($X81,$X$1:$X80,0,-1))+1)</f>
        <v>8</v>
      </c>
      <c r="Z81" s="43" cm="1">
        <f t="array" ref="Z81">SUM(IF(ISNUMBER(FIND("TmAi",$BA$1:$ZZ$1)),IF(IFERROR(ISODD(SUBSTITUTE($BA81:$ZZ81,"A","")),FALSE),IF(ISODD(SUBSTITUTE($BA81:$ZZ81,"A","")),1,0),0)))</f>
        <v>0</v>
      </c>
      <c r="AA81" t="str">
        <f t="shared" si="122"/>
        <v>15B</v>
      </c>
      <c r="AB81" t="str">
        <f t="shared" si="123"/>
        <v>16B</v>
      </c>
      <c r="AL81" t="s">
        <v>137</v>
      </c>
      <c r="AO81" t="s">
        <v>396</v>
      </c>
      <c r="JV81" s="27" t="str">
        <f t="shared" si="113"/>
        <v>XT55</v>
      </c>
      <c r="JY81" t="str">
        <f t="shared" si="114"/>
        <v>F0-AI5-15B</v>
      </c>
      <c r="JZ81" t="str">
        <f t="shared" si="115"/>
        <v>F0-AI5-16B</v>
      </c>
      <c r="KE81" cm="1">
        <f t="array" ref="KE81">IF(COUNTIFS($U$2:$U81,$U81)=1,1,INDEX(KE:KE,_xlfn.XMATCH(U81,U$1:U80,0,-1))+COUNT(KE80:KI80))</f>
        <v>82</v>
      </c>
      <c r="KF81">
        <f t="shared" si="119"/>
        <v>83</v>
      </c>
      <c r="KG81">
        <f t="shared" si="119"/>
        <v>84</v>
      </c>
      <c r="KJ81">
        <v>1</v>
      </c>
      <c r="KK81" s="16">
        <v>2</v>
      </c>
      <c r="KO81" s="16"/>
    </row>
    <row r="82" spans="1:301" x14ac:dyDescent="0.25">
      <c r="A82" t="s">
        <v>587</v>
      </c>
      <c r="B82" t="s">
        <v>586</v>
      </c>
      <c r="C82" t="s">
        <v>498</v>
      </c>
      <c r="P82" t="s">
        <v>482</v>
      </c>
      <c r="T82" s="14" t="s">
        <v>554</v>
      </c>
      <c r="U82">
        <v>55</v>
      </c>
      <c r="V82" t="s">
        <v>588</v>
      </c>
      <c r="X82" t="str">
        <f>IF(COUNTIF(X$1:X81,X81)&gt;7,REPLACE(X81,LEN(X81),1,VALUE(RIGHT(X81,1))+1),X81)</f>
        <v>A3.6</v>
      </c>
      <c r="Y82" s="43" t="str" cm="1">
        <f t="array" ref="Y82">IF(COUNTIFS($X$2:$X82,$X82)=1,"1",VALUE(SUBSTITUTE(INDEX(Y:Y,_xlfn.XMATCH($X82,$X$1:$X81,0,-1)),"A",""))+INDEX(Z:Z,_xlfn.XMATCH($X82,$X$1:$X81,0,-1))+1)</f>
        <v>1</v>
      </c>
      <c r="Z82" s="43" cm="1">
        <f t="array" ref="Z82">SUM(IF(ISNUMBER(FIND("TmAi",$BA$1:$ZZ$1)),IF(IFERROR(ISODD(SUBSTITUTE($BA82:$ZZ82,"A","")),FALSE),IF(ISODD(SUBSTITUTE($BA82:$ZZ82,"A","")),1,0),0)))</f>
        <v>0</v>
      </c>
      <c r="AA82" t="str">
        <f t="shared" si="122"/>
        <v>1B</v>
      </c>
      <c r="AB82" t="str">
        <f t="shared" si="123"/>
        <v>2B</v>
      </c>
      <c r="AL82" t="s">
        <v>137</v>
      </c>
      <c r="AO82" t="s">
        <v>396</v>
      </c>
      <c r="JV82" s="27" t="str">
        <f t="shared" si="113"/>
        <v>XT55</v>
      </c>
      <c r="JY82" t="str">
        <f t="shared" si="114"/>
        <v>F0-AI6-1B</v>
      </c>
      <c r="JZ82" t="str">
        <f t="shared" si="115"/>
        <v>F0-AI6-2B</v>
      </c>
      <c r="KE82" cm="1">
        <f t="array" ref="KE82">IF(COUNTIFS($U$2:$U82,$U82)=1,1,INDEX(KE:KE,_xlfn.XMATCH(U82,U$1:U81,0,-1))+COUNT(KE81:KI81))</f>
        <v>85</v>
      </c>
      <c r="KF82">
        <f t="shared" si="119"/>
        <v>86</v>
      </c>
      <c r="KG82">
        <f t="shared" si="119"/>
        <v>87</v>
      </c>
      <c r="KJ82">
        <v>1</v>
      </c>
      <c r="KK82" s="16">
        <v>2</v>
      </c>
      <c r="KO82" s="16"/>
    </row>
    <row r="83" spans="1:301" x14ac:dyDescent="0.25">
      <c r="A83" t="s">
        <v>590</v>
      </c>
      <c r="B83" t="s">
        <v>589</v>
      </c>
      <c r="C83" t="s">
        <v>498</v>
      </c>
      <c r="P83" t="s">
        <v>482</v>
      </c>
      <c r="T83" s="14" t="s">
        <v>554</v>
      </c>
      <c r="U83">
        <v>55</v>
      </c>
      <c r="V83" t="s">
        <v>601</v>
      </c>
      <c r="X83" t="str">
        <f>IF(COUNTIF(X$1:X82,X82)&gt;7,REPLACE(X82,LEN(X82),1,VALUE(RIGHT(X82,1))+1),X82)</f>
        <v>A3.6</v>
      </c>
      <c r="Y83" s="43" cm="1">
        <f t="array" ref="Y83">IF(COUNTIFS($X$2:$X83,$X83)=1,"1",VALUE(SUBSTITUTE(INDEX(Y:Y,_xlfn.XMATCH($X83,$X$1:$X82,0,-1)),"A",""))+INDEX(Z:Z,_xlfn.XMATCH($X83,$X$1:$X82,0,-1))+1)</f>
        <v>2</v>
      </c>
      <c r="Z83" s="43" cm="1">
        <f t="array" ref="Z83">SUM(IF(ISNUMBER(FIND("TmAi",$BA$1:$ZZ$1)),IF(IFERROR(ISODD(SUBSTITUTE($BA83:$ZZ83,"A","")),FALSE),IF(ISODD(SUBSTITUTE($BA83:$ZZ83,"A","")),1,0),0)))</f>
        <v>0</v>
      </c>
      <c r="AA83" t="str">
        <f t="shared" si="122"/>
        <v>3B</v>
      </c>
      <c r="AB83" t="str">
        <f t="shared" si="123"/>
        <v>4B</v>
      </c>
      <c r="AL83" t="s">
        <v>137</v>
      </c>
      <c r="AO83" t="s">
        <v>396</v>
      </c>
      <c r="JV83" s="27" t="str">
        <f t="shared" si="113"/>
        <v>XT55</v>
      </c>
      <c r="JY83" t="str">
        <f t="shared" si="114"/>
        <v>F0-AI6-3B</v>
      </c>
      <c r="JZ83" t="str">
        <f t="shared" si="115"/>
        <v>F0-AI6-4B</v>
      </c>
      <c r="KE83" cm="1">
        <f t="array" ref="KE83">IF(COUNTIFS($U$2:$U83,$U83)=1,1,INDEX(KE:KE,_xlfn.XMATCH(U83,U$1:U82,0,-1))+COUNT(KE82:KI82))</f>
        <v>88</v>
      </c>
      <c r="KF83">
        <f t="shared" si="119"/>
        <v>89</v>
      </c>
      <c r="KG83">
        <f t="shared" si="119"/>
        <v>90</v>
      </c>
      <c r="KJ83">
        <v>1</v>
      </c>
      <c r="KK83" s="16">
        <v>2</v>
      </c>
      <c r="KO83" s="16"/>
    </row>
    <row r="84" spans="1:301" x14ac:dyDescent="0.25">
      <c r="A84" t="s">
        <v>592</v>
      </c>
      <c r="B84" t="s">
        <v>591</v>
      </c>
      <c r="C84" t="s">
        <v>498</v>
      </c>
      <c r="P84" t="s">
        <v>482</v>
      </c>
      <c r="T84" s="14" t="s">
        <v>554</v>
      </c>
      <c r="U84">
        <v>55</v>
      </c>
      <c r="V84" t="s">
        <v>602</v>
      </c>
      <c r="X84" t="str">
        <f>IF(COUNTIF(X$1:X83,X83)&gt;7,REPLACE(X83,LEN(X83),1,VALUE(RIGHT(X83,1))+1),X83)</f>
        <v>A3.6</v>
      </c>
      <c r="Y84" s="43" cm="1">
        <f t="array" ref="Y84">IF(COUNTIFS($X$2:$X84,$X84)=1,"1",VALUE(SUBSTITUTE(INDEX(Y:Y,_xlfn.XMATCH($X84,$X$1:$X83,0,-1)),"A",""))+INDEX(Z:Z,_xlfn.XMATCH($X84,$X$1:$X83,0,-1))+1)</f>
        <v>3</v>
      </c>
      <c r="Z84" s="43" cm="1">
        <f t="array" ref="Z84">SUM(IF(ISNUMBER(FIND("TmAi",$BA$1:$ZZ$1)),IF(IFERROR(ISODD(SUBSTITUTE($BA84:$ZZ84,"A","")),FALSE),IF(ISODD(SUBSTITUTE($BA84:$ZZ84,"A","")),1,0),0)))</f>
        <v>0</v>
      </c>
      <c r="AA84" t="str">
        <f t="shared" si="122"/>
        <v>5B</v>
      </c>
      <c r="AB84" t="str">
        <f t="shared" si="123"/>
        <v>6B</v>
      </c>
      <c r="AL84" t="s">
        <v>137</v>
      </c>
      <c r="AO84" t="s">
        <v>396</v>
      </c>
      <c r="JV84" s="27" t="str">
        <f t="shared" si="113"/>
        <v>XT55</v>
      </c>
      <c r="JY84" t="str">
        <f t="shared" si="114"/>
        <v>F0-AI6-5B</v>
      </c>
      <c r="JZ84" t="str">
        <f t="shared" si="115"/>
        <v>F0-AI6-6B</v>
      </c>
      <c r="KE84" cm="1">
        <f t="array" ref="KE84">IF(COUNTIFS($U$2:$U84,$U84)=1,1,INDEX(KE:KE,_xlfn.XMATCH(U84,U$1:U83,0,-1))+COUNT(KE83:KI83))</f>
        <v>91</v>
      </c>
      <c r="KF84">
        <f t="shared" si="119"/>
        <v>92</v>
      </c>
      <c r="KG84">
        <f t="shared" si="119"/>
        <v>93</v>
      </c>
      <c r="KJ84">
        <v>1</v>
      </c>
      <c r="KK84" s="16">
        <v>2</v>
      </c>
      <c r="KO84" s="16"/>
    </row>
    <row r="85" spans="1:301" x14ac:dyDescent="0.25">
      <c r="A85" t="s">
        <v>597</v>
      </c>
      <c r="B85" t="s">
        <v>593</v>
      </c>
      <c r="C85" t="s">
        <v>498</v>
      </c>
      <c r="P85" t="s">
        <v>482</v>
      </c>
      <c r="T85" s="14" t="s">
        <v>554</v>
      </c>
      <c r="U85">
        <v>55</v>
      </c>
      <c r="V85" t="s">
        <v>603</v>
      </c>
      <c r="X85" t="str">
        <f>IF(COUNTIF(X$1:X84,X84)&gt;7,REPLACE(X84,LEN(X84),1,VALUE(RIGHT(X84,1))+1),X84)</f>
        <v>A3.6</v>
      </c>
      <c r="Y85" s="43" cm="1">
        <f t="array" ref="Y85">IF(COUNTIFS($X$2:$X85,$X85)=1,"1",VALUE(SUBSTITUTE(INDEX(Y:Y,_xlfn.XMATCH($X85,$X$1:$X84,0,-1)),"A",""))+INDEX(Z:Z,_xlfn.XMATCH($X85,$X$1:$X84,0,-1))+1)</f>
        <v>4</v>
      </c>
      <c r="Z85" s="43" cm="1">
        <f t="array" ref="Z85">SUM(IF(ISNUMBER(FIND("TmAi",$BA$1:$ZZ$1)),IF(IFERROR(ISODD(SUBSTITUTE($BA85:$ZZ85,"A","")),FALSE),IF(ISODD(SUBSTITUTE($BA85:$ZZ85,"A","")),1,0),0)))</f>
        <v>0</v>
      </c>
      <c r="AA85" t="str">
        <f t="shared" si="122"/>
        <v>7B</v>
      </c>
      <c r="AB85" t="str">
        <f t="shared" si="123"/>
        <v>8B</v>
      </c>
      <c r="AL85" t="s">
        <v>137</v>
      </c>
      <c r="AO85" t="s">
        <v>396</v>
      </c>
      <c r="JV85" s="27" t="str">
        <f t="shared" si="113"/>
        <v>XT55</v>
      </c>
      <c r="JY85" t="str">
        <f t="shared" si="114"/>
        <v>F0-AI6-7B</v>
      </c>
      <c r="JZ85" t="str">
        <f t="shared" si="115"/>
        <v>F0-AI6-8B</v>
      </c>
      <c r="KE85" cm="1">
        <f t="array" ref="KE85">IF(COUNTIFS($U$2:$U85,$U85)=1,1,INDEX(KE:KE,_xlfn.XMATCH(U85,U$1:U84,0,-1))+COUNT(KE84:KI84))</f>
        <v>94</v>
      </c>
      <c r="KF85">
        <f t="shared" si="119"/>
        <v>95</v>
      </c>
      <c r="KG85">
        <f t="shared" si="119"/>
        <v>96</v>
      </c>
      <c r="KJ85">
        <v>1</v>
      </c>
      <c r="KK85" s="16">
        <v>2</v>
      </c>
      <c r="KO85" s="16"/>
    </row>
    <row r="86" spans="1:301" x14ac:dyDescent="0.25">
      <c r="A86" t="s">
        <v>598</v>
      </c>
      <c r="B86" t="s">
        <v>594</v>
      </c>
      <c r="C86" t="s">
        <v>498</v>
      </c>
      <c r="P86" t="s">
        <v>482</v>
      </c>
      <c r="T86" s="14" t="s">
        <v>554</v>
      </c>
      <c r="U86">
        <v>55</v>
      </c>
      <c r="V86" t="s">
        <v>604</v>
      </c>
      <c r="X86" t="str">
        <f>IF(COUNTIF(X$1:X85,X85)&gt;7,REPLACE(X85,LEN(X85),1,VALUE(RIGHT(X85,1))+1),X85)</f>
        <v>A3.6</v>
      </c>
      <c r="Y86" s="43" cm="1">
        <f t="array" ref="Y86">IF(COUNTIFS($X$2:$X86,$X86)=1,"1",VALUE(SUBSTITUTE(INDEX(Y:Y,_xlfn.XMATCH($X86,$X$1:$X85,0,-1)),"A",""))+INDEX(Z:Z,_xlfn.XMATCH($X86,$X$1:$X85,0,-1))+1)</f>
        <v>5</v>
      </c>
      <c r="Z86" s="43" cm="1">
        <f t="array" ref="Z86">SUM(IF(ISNUMBER(FIND("TmAi",$BA$1:$ZZ$1)),IF(IFERROR(ISODD(SUBSTITUTE($BA86:$ZZ86,"A","")),FALSE),IF(ISODD(SUBSTITUTE($BA86:$ZZ86,"A","")),1,0),0)))</f>
        <v>0</v>
      </c>
      <c r="AA86" t="str">
        <f t="shared" si="122"/>
        <v>9B</v>
      </c>
      <c r="AB86" t="str">
        <f t="shared" si="123"/>
        <v>10B</v>
      </c>
      <c r="AL86" t="s">
        <v>137</v>
      </c>
      <c r="AO86" t="s">
        <v>396</v>
      </c>
      <c r="JV86" s="27" t="str">
        <f t="shared" si="113"/>
        <v>XT55</v>
      </c>
      <c r="JY86" t="str">
        <f t="shared" si="114"/>
        <v>F0-AI6-9B</v>
      </c>
      <c r="JZ86" t="str">
        <f t="shared" si="115"/>
        <v>F0-AI6-10B</v>
      </c>
      <c r="KE86" cm="1">
        <f t="array" ref="KE86">IF(COUNTIFS($U$2:$U86,$U86)=1,1,INDEX(KE:KE,_xlfn.XMATCH(U86,U$1:U85,0,-1))+COUNT(KE85:KI85))</f>
        <v>97</v>
      </c>
      <c r="KF86">
        <f t="shared" ref="KF86:KI101" si="124">KE86+1</f>
        <v>98</v>
      </c>
      <c r="KG86">
        <f t="shared" si="124"/>
        <v>99</v>
      </c>
      <c r="KJ86">
        <v>1</v>
      </c>
      <c r="KK86" s="16">
        <v>2</v>
      </c>
      <c r="KO86" s="16"/>
    </row>
    <row r="87" spans="1:301" x14ac:dyDescent="0.25">
      <c r="A87" t="s">
        <v>599</v>
      </c>
      <c r="B87" t="s">
        <v>595</v>
      </c>
      <c r="C87" t="s">
        <v>498</v>
      </c>
      <c r="P87" t="s">
        <v>482</v>
      </c>
      <c r="T87" s="14" t="s">
        <v>554</v>
      </c>
      <c r="U87">
        <v>55</v>
      </c>
      <c r="V87" t="s">
        <v>605</v>
      </c>
      <c r="X87" t="str">
        <f>IF(COUNTIF(X$1:X86,X86)&gt;7,REPLACE(X86,LEN(X86),1,VALUE(RIGHT(X86,1))+1),X86)</f>
        <v>A3.6</v>
      </c>
      <c r="Y87" s="43" cm="1">
        <f t="array" ref="Y87">IF(COUNTIFS($X$2:$X87,$X87)=1,"1",VALUE(SUBSTITUTE(INDEX(Y:Y,_xlfn.XMATCH($X87,$X$1:$X86,0,-1)),"A",""))+INDEX(Z:Z,_xlfn.XMATCH($X87,$X$1:$X86,0,-1))+1)</f>
        <v>6</v>
      </c>
      <c r="Z87" s="43" cm="1">
        <f t="array" ref="Z87">SUM(IF(ISNUMBER(FIND("TmAi",$BA$1:$ZZ$1)),IF(IFERROR(ISODD(SUBSTITUTE($BA87:$ZZ87,"A","")),FALSE),IF(ISODD(SUBSTITUTE($BA87:$ZZ87,"A","")),1,0),0)))</f>
        <v>0</v>
      </c>
      <c r="AA87" t="str">
        <f t="shared" si="122"/>
        <v>11B</v>
      </c>
      <c r="AB87" t="str">
        <f t="shared" si="123"/>
        <v>12B</v>
      </c>
      <c r="AL87" t="s">
        <v>137</v>
      </c>
      <c r="AO87" t="s">
        <v>396</v>
      </c>
      <c r="JV87" s="27" t="str">
        <f t="shared" si="113"/>
        <v>XT55</v>
      </c>
      <c r="JY87" t="str">
        <f t="shared" si="114"/>
        <v>F0-AI6-11B</v>
      </c>
      <c r="JZ87" t="str">
        <f t="shared" si="115"/>
        <v>F0-AI6-12B</v>
      </c>
      <c r="KE87" cm="1">
        <f t="array" ref="KE87">IF(COUNTIFS($U$2:$U87,$U87)=1,1,INDEX(KE:KE,_xlfn.XMATCH(U87,U$1:U86,0,-1))+COUNT(KE86:KI86))</f>
        <v>100</v>
      </c>
      <c r="KF87">
        <f t="shared" si="124"/>
        <v>101</v>
      </c>
      <c r="KG87">
        <f t="shared" si="124"/>
        <v>102</v>
      </c>
      <c r="KJ87">
        <v>1</v>
      </c>
      <c r="KK87" s="16">
        <v>2</v>
      </c>
      <c r="KO87" s="16"/>
    </row>
    <row r="88" spans="1:301" x14ac:dyDescent="0.25">
      <c r="A88" t="s">
        <v>600</v>
      </c>
      <c r="B88" t="s">
        <v>596</v>
      </c>
      <c r="C88" t="s">
        <v>498</v>
      </c>
      <c r="P88" t="s">
        <v>482</v>
      </c>
      <c r="T88" s="14" t="s">
        <v>554</v>
      </c>
      <c r="U88">
        <v>55</v>
      </c>
      <c r="V88" t="s">
        <v>606</v>
      </c>
      <c r="X88" t="str">
        <f>IF(COUNTIF(X$1:X87,X87)&gt;7,REPLACE(X87,LEN(X87),1,VALUE(RIGHT(X87,1))+1),X87)</f>
        <v>A3.6</v>
      </c>
      <c r="Y88" s="43" cm="1">
        <f t="array" ref="Y88">IF(COUNTIFS($X$2:$X88,$X88)=1,"1",VALUE(SUBSTITUTE(INDEX(Y:Y,_xlfn.XMATCH($X88,$X$1:$X87,0,-1)),"A",""))+INDEX(Z:Z,_xlfn.XMATCH($X88,$X$1:$X87,0,-1))+1)</f>
        <v>7</v>
      </c>
      <c r="Z88" s="43" cm="1">
        <f t="array" ref="Z88">SUM(IF(ISNUMBER(FIND("TmAi",$BA$1:$ZZ$1)),IF(IFERROR(ISODD(SUBSTITUTE($BA88:$ZZ88,"A","")),FALSE),IF(ISODD(SUBSTITUTE($BA88:$ZZ88,"A","")),1,0),0)))</f>
        <v>0</v>
      </c>
      <c r="AA88" t="str">
        <f t="shared" si="122"/>
        <v>13B</v>
      </c>
      <c r="AB88" t="str">
        <f t="shared" si="123"/>
        <v>14B</v>
      </c>
      <c r="AL88" t="s">
        <v>137</v>
      </c>
      <c r="AO88" t="s">
        <v>396</v>
      </c>
      <c r="JV88" s="27" t="str">
        <f t="shared" si="113"/>
        <v>XT55</v>
      </c>
      <c r="JY88" t="str">
        <f t="shared" si="114"/>
        <v>F0-AI6-13B</v>
      </c>
      <c r="JZ88" t="str">
        <f t="shared" si="115"/>
        <v>F0-AI6-14B</v>
      </c>
      <c r="KE88" cm="1">
        <f t="array" ref="KE88">IF(COUNTIFS($U$2:$U88,$U88)=1,1,INDEX(KE:KE,_xlfn.XMATCH(U88,U$1:U87,0,-1))+COUNT(KE87:KI87))</f>
        <v>103</v>
      </c>
      <c r="KF88">
        <f t="shared" si="124"/>
        <v>104</v>
      </c>
      <c r="KG88">
        <f t="shared" si="124"/>
        <v>105</v>
      </c>
      <c r="KJ88">
        <v>1</v>
      </c>
      <c r="KK88" s="16">
        <v>2</v>
      </c>
      <c r="KO88" s="16"/>
    </row>
    <row r="89" spans="1:301" x14ac:dyDescent="0.25">
      <c r="A89" t="s">
        <v>608</v>
      </c>
      <c r="B89" t="s">
        <v>607</v>
      </c>
      <c r="C89" t="s">
        <v>531</v>
      </c>
      <c r="P89" t="s">
        <v>503</v>
      </c>
      <c r="T89" s="14" t="s">
        <v>554</v>
      </c>
      <c r="U89">
        <v>55</v>
      </c>
      <c r="V89" t="s">
        <v>609</v>
      </c>
      <c r="X89" s="33" t="str">
        <f>IF(COUNTIF(X$1:X88,X88)&gt;7,REPLACE(X88,LEN(X88),1,VALUE(RIGHT(X88,1))+1),X88)</f>
        <v>A3.6</v>
      </c>
      <c r="Y89" s="45" cm="1">
        <f t="array" ref="Y89">IF(COUNTIFS($X$2:$X89,$X89)=1,"1",VALUE(SUBSTITUTE(INDEX(Y:Y,_xlfn.XMATCH($X89,$X$1:$X88,0,-1)),"A",""))+INDEX(Z:Z,_xlfn.XMATCH($X89,$X$1:$X88,0,-1))+1)</f>
        <v>8</v>
      </c>
      <c r="Z89" s="43" cm="1">
        <f t="array" ref="Z89">SUM(IF(ISNUMBER(FIND("TmAi",$BA$1:$ZZ$1)),IF(IFERROR(ISODD(SUBSTITUTE($BA89:$ZZ89,"A","")),FALSE),IF(ISODD(SUBSTITUTE($BA89:$ZZ89,"A","")),1,0),0)))</f>
        <v>0</v>
      </c>
      <c r="AA89" t="str">
        <f>CONCATENATE($Y89*2-1,"A")</f>
        <v>15A</v>
      </c>
      <c r="AB89" t="str">
        <f>CONCATENATE($Y89*2-1,"B")</f>
        <v>15B</v>
      </c>
      <c r="AL89" t="s">
        <v>137</v>
      </c>
      <c r="AO89" t="s">
        <v>396</v>
      </c>
      <c r="JV89" s="27" t="str">
        <f t="shared" si="113"/>
        <v>XT55</v>
      </c>
      <c r="JY89" t="str">
        <f t="shared" si="114"/>
        <v>F0-AI6-15A</v>
      </c>
      <c r="JZ89" t="str">
        <f t="shared" si="115"/>
        <v>F0-AI6-15B</v>
      </c>
      <c r="KC89" t="s">
        <v>488</v>
      </c>
      <c r="KD89" t="s">
        <v>487</v>
      </c>
      <c r="KE89" cm="1">
        <f t="array" ref="KE89">IF(COUNTIFS($U$2:$U89,$U89)=1,1,INDEX(KE:KE,_xlfn.XMATCH(U89,U$1:U88,0,-1))+COUNT(KE88:KI88))</f>
        <v>106</v>
      </c>
      <c r="KF89">
        <f t="shared" si="124"/>
        <v>107</v>
      </c>
      <c r="KG89">
        <f t="shared" si="124"/>
        <v>108</v>
      </c>
      <c r="KH89">
        <f t="shared" si="124"/>
        <v>109</v>
      </c>
      <c r="KI89">
        <f t="shared" si="124"/>
        <v>110</v>
      </c>
      <c r="KJ89" t="s">
        <v>547</v>
      </c>
      <c r="KK89" s="16" t="s">
        <v>548</v>
      </c>
      <c r="KL89" t="s">
        <v>547</v>
      </c>
      <c r="KM89" t="s">
        <v>548</v>
      </c>
      <c r="KN89" t="s">
        <v>551</v>
      </c>
      <c r="KO89" s="16" t="s">
        <v>552</v>
      </c>
    </row>
    <row r="90" spans="1:301" x14ac:dyDescent="0.25">
      <c r="A90" t="s">
        <v>611</v>
      </c>
      <c r="B90" t="s">
        <v>610</v>
      </c>
      <c r="C90" t="s">
        <v>498</v>
      </c>
      <c r="P90" t="s">
        <v>482</v>
      </c>
      <c r="T90" s="14" t="s">
        <v>554</v>
      </c>
      <c r="U90">
        <v>55</v>
      </c>
      <c r="V90" t="s">
        <v>612</v>
      </c>
      <c r="X90" t="str">
        <f>IF(COUNTIF(X$1:X89,X89)&gt;7,REPLACE(X89,LEN(X89),1,VALUE(RIGHT(X89,1))+1),X89)</f>
        <v>A3.7</v>
      </c>
      <c r="Y90" s="43" t="str" cm="1">
        <f t="array" ref="Y90">IF(COUNTIFS($X$2:$X90,$X90)=1,"1",VALUE(SUBSTITUTE(INDEX(Y:Y,_xlfn.XMATCH($X90,$X$1:$X89,0,-1)),"A",""))+INDEX(Z:Z,_xlfn.XMATCH($X90,$X$1:$X89,0,-1))+1)</f>
        <v>1</v>
      </c>
      <c r="Z90" s="43" cm="1">
        <f t="array" ref="Z90">SUM(IF(ISNUMBER(FIND("TmAi",$BA$1:$ZZ$1)),IF(IFERROR(ISODD(SUBSTITUTE($BA90:$ZZ90,"A","")),FALSE),IF(ISODD(SUBSTITUTE($BA90:$ZZ90,"A","")),1,0),0)))</f>
        <v>0</v>
      </c>
      <c r="AA90" t="str">
        <f t="shared" ref="AA90:AA153" si="125">CONCATENATE($Y90*2-1,"B")</f>
        <v>1B</v>
      </c>
      <c r="AB90" t="str">
        <f t="shared" ref="AB90:AB153" si="126">CONCATENATE($Y90*2,"B")</f>
        <v>2B</v>
      </c>
      <c r="AL90" t="s">
        <v>137</v>
      </c>
      <c r="AO90" t="s">
        <v>396</v>
      </c>
      <c r="JV90" s="27" t="str">
        <f t="shared" si="113"/>
        <v>XT55</v>
      </c>
      <c r="JY90" t="str">
        <f t="shared" si="114"/>
        <v>F0-AI7-1B</v>
      </c>
      <c r="JZ90" t="str">
        <f t="shared" si="115"/>
        <v>F0-AI7-2B</v>
      </c>
      <c r="KE90" cm="1">
        <f t="array" ref="KE90">IF(COUNTIFS($U$2:$U90,$U90)=1,1,INDEX(KE:KE,_xlfn.XMATCH(U90,U$1:U89,0,-1))+COUNT(KE89:KI89))</f>
        <v>111</v>
      </c>
      <c r="KF90">
        <f t="shared" si="124"/>
        <v>112</v>
      </c>
      <c r="KG90">
        <f t="shared" si="124"/>
        <v>113</v>
      </c>
      <c r="KJ90">
        <v>1</v>
      </c>
      <c r="KK90" s="16">
        <v>2</v>
      </c>
      <c r="KO90" s="16"/>
    </row>
    <row r="91" spans="1:301" x14ac:dyDescent="0.25">
      <c r="A91" t="s">
        <v>614</v>
      </c>
      <c r="B91" t="s">
        <v>613</v>
      </c>
      <c r="C91" t="s">
        <v>492</v>
      </c>
      <c r="P91" t="s">
        <v>482</v>
      </c>
      <c r="T91" s="14" t="s">
        <v>554</v>
      </c>
      <c r="U91">
        <v>55</v>
      </c>
      <c r="V91" t="s">
        <v>629</v>
      </c>
      <c r="X91" t="str">
        <f>IF(COUNTIF(X$1:X90,X90)&gt;7,REPLACE(X90,LEN(X90),1,VALUE(RIGHT(X90,1))+1),X90)</f>
        <v>A3.7</v>
      </c>
      <c r="Y91" s="43" cm="1">
        <f t="array" ref="Y91">IF(COUNTIFS($X$2:$X91,$X91)=1,"1",VALUE(SUBSTITUTE(INDEX(Y:Y,_xlfn.XMATCH($X91,$X$1:$X90,0,-1)),"A",""))+INDEX(Z:Z,_xlfn.XMATCH($X91,$X$1:$X90,0,-1))+1)</f>
        <v>2</v>
      </c>
      <c r="Z91" s="43" cm="1">
        <f t="array" ref="Z91">SUM(IF(ISNUMBER(FIND("TmAi",$BA$1:$ZZ$1)),IF(IFERROR(ISODD(SUBSTITUTE($BA91:$ZZ91,"A","")),FALSE),IF(ISODD(SUBSTITUTE($BA91:$ZZ91,"A","")),1,0),0)))</f>
        <v>0</v>
      </c>
      <c r="AA91" t="str">
        <f t="shared" si="125"/>
        <v>3B</v>
      </c>
      <c r="AB91" t="str">
        <f t="shared" si="126"/>
        <v>4B</v>
      </c>
      <c r="AL91" t="s">
        <v>137</v>
      </c>
      <c r="AO91" t="s">
        <v>396</v>
      </c>
      <c r="JV91" s="27" t="str">
        <f t="shared" si="113"/>
        <v>XT55</v>
      </c>
      <c r="JY91" t="str">
        <f t="shared" si="114"/>
        <v>F0-AI7-3B</v>
      </c>
      <c r="JZ91" t="str">
        <f t="shared" si="115"/>
        <v>F0-AI7-4B</v>
      </c>
      <c r="KE91" cm="1">
        <f t="array" ref="KE91">IF(COUNTIFS($U$2:$U91,$U91)=1,1,INDEX(KE:KE,_xlfn.XMATCH(U91,U$1:U90,0,-1))+COUNT(KE90:KI90))</f>
        <v>114</v>
      </c>
      <c r="KF91">
        <f t="shared" si="124"/>
        <v>115</v>
      </c>
      <c r="KG91">
        <f t="shared" si="124"/>
        <v>116</v>
      </c>
      <c r="KJ91">
        <v>1</v>
      </c>
      <c r="KK91" s="16">
        <v>2</v>
      </c>
      <c r="KO91" s="16"/>
    </row>
    <row r="92" spans="1:301" x14ac:dyDescent="0.25">
      <c r="A92" t="s">
        <v>616</v>
      </c>
      <c r="B92" t="s">
        <v>615</v>
      </c>
      <c r="C92" t="s">
        <v>498</v>
      </c>
      <c r="P92" t="s">
        <v>482</v>
      </c>
      <c r="T92" s="14" t="s">
        <v>554</v>
      </c>
      <c r="U92">
        <v>55</v>
      </c>
      <c r="V92" t="s">
        <v>630</v>
      </c>
      <c r="X92" t="str">
        <f>IF(COUNTIF(X$1:X91,X91)&gt;7,REPLACE(X91,LEN(X91),1,VALUE(RIGHT(X91,1))+1),X91)</f>
        <v>A3.7</v>
      </c>
      <c r="Y92" s="43" cm="1">
        <f t="array" ref="Y92">IF(COUNTIFS($X$2:$X92,$X92)=1,"1",VALUE(SUBSTITUTE(INDEX(Y:Y,_xlfn.XMATCH($X92,$X$1:$X91,0,-1)),"A",""))+INDEX(Z:Z,_xlfn.XMATCH($X92,$X$1:$X91,0,-1))+1)</f>
        <v>3</v>
      </c>
      <c r="Z92" s="43" cm="1">
        <f t="array" ref="Z92">SUM(IF(ISNUMBER(FIND("TmAi",$BA$1:$ZZ$1)),IF(IFERROR(ISODD(SUBSTITUTE($BA92:$ZZ92,"A","")),FALSE),IF(ISODD(SUBSTITUTE($BA92:$ZZ92,"A","")),1,0),0)))</f>
        <v>0</v>
      </c>
      <c r="AA92" t="str">
        <f t="shared" si="125"/>
        <v>5B</v>
      </c>
      <c r="AB92" t="str">
        <f t="shared" si="126"/>
        <v>6B</v>
      </c>
      <c r="AL92" t="s">
        <v>137</v>
      </c>
      <c r="AO92" t="s">
        <v>396</v>
      </c>
      <c r="JV92" s="27" t="str">
        <f t="shared" si="113"/>
        <v>XT55</v>
      </c>
      <c r="JY92" t="str">
        <f t="shared" si="114"/>
        <v>F0-AI7-5B</v>
      </c>
      <c r="JZ92" t="str">
        <f t="shared" si="115"/>
        <v>F0-AI7-6B</v>
      </c>
      <c r="KE92" cm="1">
        <f t="array" ref="KE92">IF(COUNTIFS($U$2:$U92,$U92)=1,1,INDEX(KE:KE,_xlfn.XMATCH(U92,U$1:U91,0,-1))+COUNT(KE91:KI91))</f>
        <v>117</v>
      </c>
      <c r="KF92">
        <f t="shared" si="124"/>
        <v>118</v>
      </c>
      <c r="KG92">
        <f t="shared" si="124"/>
        <v>119</v>
      </c>
      <c r="KJ92">
        <v>1</v>
      </c>
      <c r="KK92" s="16">
        <v>2</v>
      </c>
      <c r="KO92" s="16"/>
    </row>
    <row r="93" spans="1:301" x14ac:dyDescent="0.25">
      <c r="A93" t="s">
        <v>618</v>
      </c>
      <c r="B93" t="s">
        <v>617</v>
      </c>
      <c r="C93" t="s">
        <v>492</v>
      </c>
      <c r="P93" t="s">
        <v>482</v>
      </c>
      <c r="T93" s="14" t="s">
        <v>554</v>
      </c>
      <c r="U93">
        <v>55</v>
      </c>
      <c r="V93" t="s">
        <v>631</v>
      </c>
      <c r="X93" t="str">
        <f>IF(COUNTIF(X$1:X92,X92)&gt;7,REPLACE(X92,LEN(X92),1,VALUE(RIGHT(X92,1))+1),X92)</f>
        <v>A3.7</v>
      </c>
      <c r="Y93" s="43" cm="1">
        <f t="array" ref="Y93">IF(COUNTIFS($X$2:$X93,$X93)=1,"1",VALUE(SUBSTITUTE(INDEX(Y:Y,_xlfn.XMATCH($X93,$X$1:$X92,0,-1)),"A",""))+INDEX(Z:Z,_xlfn.XMATCH($X93,$X$1:$X92,0,-1))+1)</f>
        <v>4</v>
      </c>
      <c r="Z93" s="43" cm="1">
        <f t="array" ref="Z93">SUM(IF(ISNUMBER(FIND("TmAi",$BA$1:$ZZ$1)),IF(IFERROR(ISODD(SUBSTITUTE($BA93:$ZZ93,"A","")),FALSE),IF(ISODD(SUBSTITUTE($BA93:$ZZ93,"A","")),1,0),0)))</f>
        <v>0</v>
      </c>
      <c r="AA93" t="str">
        <f t="shared" si="125"/>
        <v>7B</v>
      </c>
      <c r="AB93" t="str">
        <f t="shared" si="126"/>
        <v>8B</v>
      </c>
      <c r="AL93" t="s">
        <v>137</v>
      </c>
      <c r="AO93" t="s">
        <v>396</v>
      </c>
      <c r="JV93" s="27" t="str">
        <f t="shared" si="113"/>
        <v>XT55</v>
      </c>
      <c r="JY93" t="str">
        <f t="shared" si="114"/>
        <v>F0-AI7-7B</v>
      </c>
      <c r="JZ93" t="str">
        <f t="shared" si="115"/>
        <v>F0-AI7-8B</v>
      </c>
      <c r="KE93" cm="1">
        <f t="array" ref="KE93">IF(COUNTIFS($U$2:$U93,$U93)=1,1,INDEX(KE:KE,_xlfn.XMATCH(U93,U$1:U92,0,-1))+COUNT(KE92:KI92))</f>
        <v>120</v>
      </c>
      <c r="KF93">
        <f t="shared" si="124"/>
        <v>121</v>
      </c>
      <c r="KG93">
        <f t="shared" si="124"/>
        <v>122</v>
      </c>
      <c r="KJ93">
        <v>1</v>
      </c>
      <c r="KK93" s="16">
        <v>2</v>
      </c>
      <c r="KO93" s="16"/>
    </row>
    <row r="94" spans="1:301" x14ac:dyDescent="0.25">
      <c r="A94" t="s">
        <v>620</v>
      </c>
      <c r="B94" t="s">
        <v>619</v>
      </c>
      <c r="C94" t="s">
        <v>498</v>
      </c>
      <c r="P94" t="s">
        <v>482</v>
      </c>
      <c r="T94" s="14" t="s">
        <v>554</v>
      </c>
      <c r="U94">
        <v>55</v>
      </c>
      <c r="V94" t="s">
        <v>632</v>
      </c>
      <c r="X94" t="str">
        <f>IF(COUNTIF(X$1:X93,X93)&gt;7,REPLACE(X93,LEN(X93),1,VALUE(RIGHT(X93,1))+1),X93)</f>
        <v>A3.7</v>
      </c>
      <c r="Y94" s="43" cm="1">
        <f t="array" ref="Y94">IF(COUNTIFS($X$2:$X94,$X94)=1,"1",VALUE(SUBSTITUTE(INDEX(Y:Y,_xlfn.XMATCH($X94,$X$1:$X93,0,-1)),"A",""))+INDEX(Z:Z,_xlfn.XMATCH($X94,$X$1:$X93,0,-1))+1)</f>
        <v>5</v>
      </c>
      <c r="Z94" s="43" cm="1">
        <f t="array" ref="Z94">SUM(IF(ISNUMBER(FIND("TmAi",$BA$1:$ZZ$1)),IF(IFERROR(ISODD(SUBSTITUTE($BA94:$ZZ94,"A","")),FALSE),IF(ISODD(SUBSTITUTE($BA94:$ZZ94,"A","")),1,0),0)))</f>
        <v>0</v>
      </c>
      <c r="AA94" t="str">
        <f t="shared" si="125"/>
        <v>9B</v>
      </c>
      <c r="AB94" t="str">
        <f t="shared" si="126"/>
        <v>10B</v>
      </c>
      <c r="AL94" t="s">
        <v>137</v>
      </c>
      <c r="AO94" t="s">
        <v>396</v>
      </c>
      <c r="JV94" s="27" t="str">
        <f t="shared" si="113"/>
        <v>XT55</v>
      </c>
      <c r="JY94" t="str">
        <f t="shared" si="114"/>
        <v>F0-AI7-9B</v>
      </c>
      <c r="JZ94" t="str">
        <f t="shared" si="115"/>
        <v>F0-AI7-10B</v>
      </c>
      <c r="KE94" cm="1">
        <f t="array" ref="KE94">IF(COUNTIFS($U$2:$U94,$U94)=1,1,INDEX(KE:KE,_xlfn.XMATCH(U94,U$1:U93,0,-1))+COUNT(KE93:KI93))</f>
        <v>123</v>
      </c>
      <c r="KF94">
        <f t="shared" si="124"/>
        <v>124</v>
      </c>
      <c r="KG94">
        <f t="shared" si="124"/>
        <v>125</v>
      </c>
      <c r="KJ94">
        <v>1</v>
      </c>
      <c r="KK94" s="16">
        <v>2</v>
      </c>
      <c r="KO94" s="16"/>
    </row>
    <row r="95" spans="1:301" x14ac:dyDescent="0.25">
      <c r="A95" t="s">
        <v>622</v>
      </c>
      <c r="B95" t="s">
        <v>621</v>
      </c>
      <c r="C95" t="s">
        <v>492</v>
      </c>
      <c r="P95" t="s">
        <v>482</v>
      </c>
      <c r="T95" s="14" t="s">
        <v>554</v>
      </c>
      <c r="U95">
        <v>55</v>
      </c>
      <c r="V95" t="s">
        <v>633</v>
      </c>
      <c r="X95" t="str">
        <f>IF(COUNTIF(X$1:X94,X94)&gt;7,REPLACE(X94,LEN(X94),1,VALUE(RIGHT(X94,1))+1),X94)</f>
        <v>A3.7</v>
      </c>
      <c r="Y95" s="43" cm="1">
        <f t="array" ref="Y95">IF(COUNTIFS($X$2:$X95,$X95)=1,"1",VALUE(SUBSTITUTE(INDEX(Y:Y,_xlfn.XMATCH($X95,$X$1:$X94,0,-1)),"A",""))+INDEX(Z:Z,_xlfn.XMATCH($X95,$X$1:$X94,0,-1))+1)</f>
        <v>6</v>
      </c>
      <c r="Z95" s="43" cm="1">
        <f t="array" ref="Z95">SUM(IF(ISNUMBER(FIND("TmAi",$BA$1:$ZZ$1)),IF(IFERROR(ISODD(SUBSTITUTE($BA95:$ZZ95,"A","")),FALSE),IF(ISODD(SUBSTITUTE($BA95:$ZZ95,"A","")),1,0),0)))</f>
        <v>0</v>
      </c>
      <c r="AA95" t="str">
        <f t="shared" si="125"/>
        <v>11B</v>
      </c>
      <c r="AB95" t="str">
        <f t="shared" si="126"/>
        <v>12B</v>
      </c>
      <c r="AL95" t="s">
        <v>137</v>
      </c>
      <c r="AO95" t="s">
        <v>396</v>
      </c>
      <c r="JV95" s="27" t="str">
        <f t="shared" si="113"/>
        <v>XT55</v>
      </c>
      <c r="JY95" t="str">
        <f t="shared" si="114"/>
        <v>F0-AI7-11B</v>
      </c>
      <c r="JZ95" t="str">
        <f t="shared" si="115"/>
        <v>F0-AI7-12B</v>
      </c>
      <c r="KE95" cm="1">
        <f t="array" ref="KE95">IF(COUNTIFS($U$2:$U95,$U95)=1,1,INDEX(KE:KE,_xlfn.XMATCH(U95,U$1:U94,0,-1))+COUNT(KE94:KI94))</f>
        <v>126</v>
      </c>
      <c r="KF95">
        <f t="shared" si="124"/>
        <v>127</v>
      </c>
      <c r="KG95">
        <f t="shared" si="124"/>
        <v>128</v>
      </c>
      <c r="KJ95">
        <v>1</v>
      </c>
      <c r="KK95" s="16">
        <v>2</v>
      </c>
      <c r="KO95" s="16"/>
    </row>
    <row r="96" spans="1:301" x14ac:dyDescent="0.25">
      <c r="A96" t="s">
        <v>624</v>
      </c>
      <c r="B96" t="s">
        <v>623</v>
      </c>
      <c r="C96" t="s">
        <v>498</v>
      </c>
      <c r="P96" t="s">
        <v>482</v>
      </c>
      <c r="T96" s="14" t="s">
        <v>554</v>
      </c>
      <c r="U96">
        <v>55</v>
      </c>
      <c r="V96" t="s">
        <v>634</v>
      </c>
      <c r="X96" t="str">
        <f>IF(COUNTIF(X$1:X95,X95)&gt;7,REPLACE(X95,LEN(X95),1,VALUE(RIGHT(X95,1))+1),X95)</f>
        <v>A3.7</v>
      </c>
      <c r="Y96" s="43" cm="1">
        <f t="array" ref="Y96">IF(COUNTIFS($X$2:$X96,$X96)=1,"1",VALUE(SUBSTITUTE(INDEX(Y:Y,_xlfn.XMATCH($X96,$X$1:$X95,0,-1)),"A",""))+INDEX(Z:Z,_xlfn.XMATCH($X96,$X$1:$X95,0,-1))+1)</f>
        <v>7</v>
      </c>
      <c r="Z96" s="43" cm="1">
        <f t="array" ref="Z96">SUM(IF(ISNUMBER(FIND("TmAi",$BA$1:$ZZ$1)),IF(IFERROR(ISODD(SUBSTITUTE($BA96:$ZZ96,"A","")),FALSE),IF(ISODD(SUBSTITUTE($BA96:$ZZ96,"A","")),1,0),0)))</f>
        <v>0</v>
      </c>
      <c r="AA96" t="str">
        <f t="shared" si="125"/>
        <v>13B</v>
      </c>
      <c r="AB96" t="str">
        <f t="shared" si="126"/>
        <v>14B</v>
      </c>
      <c r="AL96" t="s">
        <v>137</v>
      </c>
      <c r="AO96" t="s">
        <v>396</v>
      </c>
      <c r="JV96" s="27" t="str">
        <f t="shared" si="113"/>
        <v>XT55</v>
      </c>
      <c r="JY96" t="str">
        <f t="shared" si="114"/>
        <v>F0-AI7-13B</v>
      </c>
      <c r="JZ96" t="str">
        <f t="shared" si="115"/>
        <v>F0-AI7-14B</v>
      </c>
      <c r="KE96" cm="1">
        <f t="array" ref="KE96">IF(COUNTIFS($U$2:$U96,$U96)=1,1,INDEX(KE:KE,_xlfn.XMATCH(U96,U$1:U95,0,-1))+COUNT(KE95:KI95))</f>
        <v>129</v>
      </c>
      <c r="KF96">
        <f t="shared" si="124"/>
        <v>130</v>
      </c>
      <c r="KG96">
        <f t="shared" si="124"/>
        <v>131</v>
      </c>
      <c r="KJ96">
        <v>1</v>
      </c>
      <c r="KK96" s="16">
        <v>2</v>
      </c>
      <c r="KO96" s="16"/>
    </row>
    <row r="97" spans="1:301" x14ac:dyDescent="0.25">
      <c r="A97" t="s">
        <v>626</v>
      </c>
      <c r="B97" t="s">
        <v>625</v>
      </c>
      <c r="C97" t="s">
        <v>492</v>
      </c>
      <c r="P97" t="s">
        <v>482</v>
      </c>
      <c r="T97" s="14" t="s">
        <v>554</v>
      </c>
      <c r="U97">
        <v>55</v>
      </c>
      <c r="V97" t="s">
        <v>635</v>
      </c>
      <c r="X97" s="33" t="str">
        <f>IF(COUNTIF(X$1:X96,X96)&gt;7,REPLACE(X96,LEN(X96),1,VALUE(RIGHT(X96,1))+1),X96)</f>
        <v>A3.7</v>
      </c>
      <c r="Y97" s="45" cm="1">
        <f t="array" ref="Y97">IF(COUNTIFS($X$2:$X97,$X97)=1,"1",VALUE(SUBSTITUTE(INDEX(Y:Y,_xlfn.XMATCH($X97,$X$1:$X96,0,-1)),"A",""))+INDEX(Z:Z,_xlfn.XMATCH($X97,$X$1:$X96,0,-1))+1)</f>
        <v>8</v>
      </c>
      <c r="Z97" s="43" cm="1">
        <f t="array" ref="Z97">SUM(IF(ISNUMBER(FIND("TmAi",$BA$1:$ZZ$1)),IF(IFERROR(ISODD(SUBSTITUTE($BA97:$ZZ97,"A","")),FALSE),IF(ISODD(SUBSTITUTE($BA97:$ZZ97,"A","")),1,0),0)))</f>
        <v>0</v>
      </c>
      <c r="AA97" t="str">
        <f t="shared" si="125"/>
        <v>15B</v>
      </c>
      <c r="AB97" t="str">
        <f t="shared" si="126"/>
        <v>16B</v>
      </c>
      <c r="AL97" t="s">
        <v>137</v>
      </c>
      <c r="AO97" t="s">
        <v>396</v>
      </c>
      <c r="JV97" s="27" t="str">
        <f t="shared" si="113"/>
        <v>XT55</v>
      </c>
      <c r="JY97" t="str">
        <f t="shared" si="114"/>
        <v>F0-AI7-15B</v>
      </c>
      <c r="JZ97" t="str">
        <f t="shared" si="115"/>
        <v>F0-AI7-16B</v>
      </c>
      <c r="KE97" cm="1">
        <f t="array" ref="KE97">IF(COUNTIFS($U$2:$U97,$U97)=1,1,INDEX(KE:KE,_xlfn.XMATCH(U97,U$1:U96,0,-1))+COUNT(KE96:KI96))</f>
        <v>132</v>
      </c>
      <c r="KF97">
        <f t="shared" si="124"/>
        <v>133</v>
      </c>
      <c r="KG97">
        <f t="shared" si="124"/>
        <v>134</v>
      </c>
      <c r="KJ97">
        <v>1</v>
      </c>
      <c r="KK97" s="16">
        <v>2</v>
      </c>
      <c r="KO97" s="16"/>
    </row>
    <row r="98" spans="1:301" x14ac:dyDescent="0.25">
      <c r="A98" t="s">
        <v>628</v>
      </c>
      <c r="B98" t="s">
        <v>627</v>
      </c>
      <c r="C98" t="s">
        <v>498</v>
      </c>
      <c r="P98" t="s">
        <v>482</v>
      </c>
      <c r="T98" s="14" t="s">
        <v>554</v>
      </c>
      <c r="U98">
        <v>55</v>
      </c>
      <c r="V98" t="s">
        <v>636</v>
      </c>
      <c r="X98" t="str">
        <f>IF(COUNTIF(X$1:X97,X97)&gt;7,REPLACE(X97,LEN(X97),1,VALUE(RIGHT(X97,1))+1),X97)</f>
        <v>A3.8</v>
      </c>
      <c r="Y98" s="43" t="str" cm="1">
        <f t="array" ref="Y98">IF(COUNTIFS($X$2:$X98,$X98)=1,"1",VALUE(SUBSTITUTE(INDEX(Y:Y,_xlfn.XMATCH($X98,$X$1:$X97,0,-1)),"A",""))+INDEX(Z:Z,_xlfn.XMATCH($X98,$X$1:$X97,0,-1))+1)</f>
        <v>1</v>
      </c>
      <c r="Z98" s="43" cm="1">
        <f t="array" ref="Z98">SUM(IF(ISNUMBER(FIND("TmAi",$BA$1:$ZZ$1)),IF(IFERROR(ISODD(SUBSTITUTE($BA98:$ZZ98,"A","")),FALSE),IF(ISODD(SUBSTITUTE($BA98:$ZZ98,"A","")),1,0),0)))</f>
        <v>0</v>
      </c>
      <c r="AA98" t="str">
        <f t="shared" si="125"/>
        <v>1B</v>
      </c>
      <c r="AB98" t="str">
        <f t="shared" si="126"/>
        <v>2B</v>
      </c>
      <c r="AL98" t="s">
        <v>137</v>
      </c>
      <c r="AO98" t="s">
        <v>396</v>
      </c>
      <c r="JV98" s="27" t="str">
        <f t="shared" si="113"/>
        <v>XT55</v>
      </c>
      <c r="JY98" t="str">
        <f t="shared" si="114"/>
        <v>F0-AI8-1B</v>
      </c>
      <c r="JZ98" t="str">
        <f t="shared" si="115"/>
        <v>F0-AI8-2B</v>
      </c>
      <c r="KE98" cm="1">
        <f t="array" ref="KE98">IF(COUNTIFS($U$2:$U98,$U98)=1,1,INDEX(KE:KE,_xlfn.XMATCH(U98,U$1:U97,0,-1))+COUNT(KE97:KI97))</f>
        <v>135</v>
      </c>
      <c r="KF98">
        <f t="shared" si="124"/>
        <v>136</v>
      </c>
      <c r="KG98">
        <f t="shared" si="124"/>
        <v>137</v>
      </c>
      <c r="KJ98">
        <v>1</v>
      </c>
      <c r="KK98" s="16">
        <v>2</v>
      </c>
      <c r="KO98" s="16"/>
    </row>
    <row r="99" spans="1:301" x14ac:dyDescent="0.25">
      <c r="A99" t="s">
        <v>638</v>
      </c>
      <c r="B99" t="s">
        <v>637</v>
      </c>
      <c r="C99" t="s">
        <v>492</v>
      </c>
      <c r="P99" t="s">
        <v>482</v>
      </c>
      <c r="T99" s="14" t="s">
        <v>554</v>
      </c>
      <c r="U99">
        <v>55</v>
      </c>
      <c r="V99" t="s">
        <v>655</v>
      </c>
      <c r="X99" t="str">
        <f>IF(COUNTIF(X$1:X98,X98)&gt;7,REPLACE(X98,LEN(X98),1,VALUE(RIGHT(X98,1))+1),X98)</f>
        <v>A3.8</v>
      </c>
      <c r="Y99" s="43" cm="1">
        <f t="array" ref="Y99">IF(COUNTIFS($X$2:$X99,$X99)=1,"1",VALUE(SUBSTITUTE(INDEX(Y:Y,_xlfn.XMATCH($X99,$X$1:$X98,0,-1)),"A",""))+INDEX(Z:Z,_xlfn.XMATCH($X99,$X$1:$X98,0,-1))+1)</f>
        <v>2</v>
      </c>
      <c r="Z99" s="43" cm="1">
        <f t="array" ref="Z99">SUM(IF(ISNUMBER(FIND("TmAi",$BA$1:$ZZ$1)),IF(IFERROR(ISODD(SUBSTITUTE($BA99:$ZZ99,"A","")),FALSE),IF(ISODD(SUBSTITUTE($BA99:$ZZ99,"A","")),1,0),0)))</f>
        <v>0</v>
      </c>
      <c r="AA99" t="str">
        <f t="shared" si="125"/>
        <v>3B</v>
      </c>
      <c r="AB99" t="str">
        <f t="shared" si="126"/>
        <v>4B</v>
      </c>
      <c r="AL99" t="s">
        <v>137</v>
      </c>
      <c r="AO99" t="s">
        <v>396</v>
      </c>
      <c r="JV99" s="27" t="str">
        <f t="shared" si="113"/>
        <v>XT55</v>
      </c>
      <c r="JY99" t="str">
        <f t="shared" si="114"/>
        <v>F0-AI8-3B</v>
      </c>
      <c r="JZ99" t="str">
        <f t="shared" si="115"/>
        <v>F0-AI8-4B</v>
      </c>
      <c r="KE99" cm="1">
        <f t="array" ref="KE99">IF(COUNTIFS($U$2:$U99,$U99)=1,1,INDEX(KE:KE,_xlfn.XMATCH(U99,U$1:U98,0,-1))+COUNT(KE98:KI98))</f>
        <v>138</v>
      </c>
      <c r="KF99">
        <f t="shared" si="124"/>
        <v>139</v>
      </c>
      <c r="KG99">
        <f t="shared" si="124"/>
        <v>140</v>
      </c>
      <c r="KJ99">
        <v>1</v>
      </c>
      <c r="KK99" s="16">
        <v>2</v>
      </c>
      <c r="KO99" s="16"/>
    </row>
    <row r="100" spans="1:301" x14ac:dyDescent="0.25">
      <c r="A100" t="s">
        <v>640</v>
      </c>
      <c r="B100" t="s">
        <v>639</v>
      </c>
      <c r="C100" t="s">
        <v>498</v>
      </c>
      <c r="P100" t="s">
        <v>482</v>
      </c>
      <c r="T100" s="14" t="s">
        <v>554</v>
      </c>
      <c r="U100">
        <v>55</v>
      </c>
      <c r="V100" t="s">
        <v>656</v>
      </c>
      <c r="X100" t="str">
        <f>IF(COUNTIF(X$1:X99,X99)&gt;7,REPLACE(X99,LEN(X99),1,VALUE(RIGHT(X99,1))+1),X99)</f>
        <v>A3.8</v>
      </c>
      <c r="Y100" s="43" cm="1">
        <f t="array" ref="Y100">IF(COUNTIFS($X$2:$X100,$X100)=1,"1",VALUE(SUBSTITUTE(INDEX(Y:Y,_xlfn.XMATCH($X100,$X$1:$X99,0,-1)),"A",""))+INDEX(Z:Z,_xlfn.XMATCH($X100,$X$1:$X99,0,-1))+1)</f>
        <v>3</v>
      </c>
      <c r="Z100" s="43" cm="1">
        <f t="array" ref="Z100">SUM(IF(ISNUMBER(FIND("TmAi",$BA$1:$ZZ$1)),IF(IFERROR(ISODD(SUBSTITUTE($BA100:$ZZ100,"A","")),FALSE),IF(ISODD(SUBSTITUTE($BA100:$ZZ100,"A","")),1,0),0)))</f>
        <v>0</v>
      </c>
      <c r="AA100" t="str">
        <f t="shared" si="125"/>
        <v>5B</v>
      </c>
      <c r="AB100" t="str">
        <f t="shared" si="126"/>
        <v>6B</v>
      </c>
      <c r="AL100" t="s">
        <v>137</v>
      </c>
      <c r="AO100" t="s">
        <v>396</v>
      </c>
      <c r="JV100" s="27" t="str">
        <f t="shared" si="113"/>
        <v>XT55</v>
      </c>
      <c r="JY100" t="str">
        <f t="shared" si="114"/>
        <v>F0-AI8-5B</v>
      </c>
      <c r="JZ100" t="str">
        <f t="shared" si="115"/>
        <v>F0-AI8-6B</v>
      </c>
      <c r="KE100" cm="1">
        <f t="array" ref="KE100">IF(COUNTIFS($U$2:$U100,$U100)=1,1,INDEX(KE:KE,_xlfn.XMATCH(U100,U$1:U99,0,-1))+COUNT(KE99:KI99))</f>
        <v>141</v>
      </c>
      <c r="KF100">
        <f t="shared" si="124"/>
        <v>142</v>
      </c>
      <c r="KG100">
        <f t="shared" si="124"/>
        <v>143</v>
      </c>
      <c r="KJ100">
        <v>1</v>
      </c>
      <c r="KK100" s="16">
        <v>2</v>
      </c>
      <c r="KO100" s="16"/>
    </row>
    <row r="101" spans="1:301" x14ac:dyDescent="0.25">
      <c r="A101" t="s">
        <v>642</v>
      </c>
      <c r="B101" t="s">
        <v>641</v>
      </c>
      <c r="C101" t="s">
        <v>492</v>
      </c>
      <c r="P101" t="s">
        <v>482</v>
      </c>
      <c r="T101" s="14" t="s">
        <v>554</v>
      </c>
      <c r="U101">
        <v>55</v>
      </c>
      <c r="V101" t="s">
        <v>657</v>
      </c>
      <c r="X101" t="str">
        <f>IF(COUNTIF(X$1:X100,X100)&gt;7,REPLACE(X100,LEN(X100),1,VALUE(RIGHT(X100,1))+1),X100)</f>
        <v>A3.8</v>
      </c>
      <c r="Y101" s="43" cm="1">
        <f t="array" ref="Y101">IF(COUNTIFS($X$2:$X101,$X101)=1,"1",VALUE(SUBSTITUTE(INDEX(Y:Y,_xlfn.XMATCH($X101,$X$1:$X100,0,-1)),"A",""))+INDEX(Z:Z,_xlfn.XMATCH($X101,$X$1:$X100,0,-1))+1)</f>
        <v>4</v>
      </c>
      <c r="Z101" s="43" cm="1">
        <f t="array" ref="Z101">SUM(IF(ISNUMBER(FIND("TmAi",$BA$1:$ZZ$1)),IF(IFERROR(ISODD(SUBSTITUTE($BA101:$ZZ101,"A","")),FALSE),IF(ISODD(SUBSTITUTE($BA101:$ZZ101,"A","")),1,0),0)))</f>
        <v>0</v>
      </c>
      <c r="AA101" t="str">
        <f t="shared" si="125"/>
        <v>7B</v>
      </c>
      <c r="AB101" t="str">
        <f t="shared" si="126"/>
        <v>8B</v>
      </c>
      <c r="AL101" t="s">
        <v>137</v>
      </c>
      <c r="AO101" t="s">
        <v>396</v>
      </c>
      <c r="JV101" s="27" t="str">
        <f t="shared" si="113"/>
        <v>XT55</v>
      </c>
      <c r="JY101" t="str">
        <f t="shared" si="114"/>
        <v>F0-AI8-7B</v>
      </c>
      <c r="JZ101" t="str">
        <f t="shared" si="115"/>
        <v>F0-AI8-8B</v>
      </c>
      <c r="KE101" cm="1">
        <f t="array" ref="KE101">IF(COUNTIFS($U$2:$U101,$U101)=1,1,INDEX(KE:KE,_xlfn.XMATCH(U101,U$1:U100,0,-1))+COUNT(KE100:KI100))</f>
        <v>144</v>
      </c>
      <c r="KF101">
        <f t="shared" si="124"/>
        <v>145</v>
      </c>
      <c r="KG101">
        <f t="shared" si="124"/>
        <v>146</v>
      </c>
      <c r="KJ101">
        <v>1</v>
      </c>
      <c r="KK101" s="16">
        <v>2</v>
      </c>
      <c r="KO101" s="16"/>
    </row>
    <row r="102" spans="1:301" x14ac:dyDescent="0.25">
      <c r="A102" t="s">
        <v>644</v>
      </c>
      <c r="B102" t="s">
        <v>643</v>
      </c>
      <c r="C102" t="s">
        <v>498</v>
      </c>
      <c r="P102" t="s">
        <v>482</v>
      </c>
      <c r="T102" s="14" t="s">
        <v>554</v>
      </c>
      <c r="U102">
        <v>55</v>
      </c>
      <c r="V102" t="s">
        <v>658</v>
      </c>
      <c r="X102" t="str">
        <f>IF(COUNTIF(X$1:X101,X101)&gt;7,REPLACE(X101,LEN(X101),1,VALUE(RIGHT(X101,1))+1),X101)</f>
        <v>A3.8</v>
      </c>
      <c r="Y102" s="43" cm="1">
        <f t="array" ref="Y102">IF(COUNTIFS($X$2:$X102,$X102)=1,"1",VALUE(SUBSTITUTE(INDEX(Y:Y,_xlfn.XMATCH($X102,$X$1:$X101,0,-1)),"A",""))+INDEX(Z:Z,_xlfn.XMATCH($X102,$X$1:$X101,0,-1))+1)</f>
        <v>5</v>
      </c>
      <c r="Z102" s="43" cm="1">
        <f t="array" ref="Z102">SUM(IF(ISNUMBER(FIND("TmAi",$BA$1:$ZZ$1)),IF(IFERROR(ISODD(SUBSTITUTE($BA102:$ZZ102,"A","")),FALSE),IF(ISODD(SUBSTITUTE($BA102:$ZZ102,"A","")),1,0),0)))</f>
        <v>0</v>
      </c>
      <c r="AA102" t="str">
        <f t="shared" si="125"/>
        <v>9B</v>
      </c>
      <c r="AB102" t="str">
        <f t="shared" si="126"/>
        <v>10B</v>
      </c>
      <c r="AL102" t="s">
        <v>137</v>
      </c>
      <c r="AO102" t="s">
        <v>396</v>
      </c>
      <c r="JV102" s="27" t="str">
        <f t="shared" si="113"/>
        <v>XT55</v>
      </c>
      <c r="JY102" t="str">
        <f t="shared" si="114"/>
        <v>F0-AI8-9B</v>
      </c>
      <c r="JZ102" t="str">
        <f t="shared" si="115"/>
        <v>F0-AI8-10B</v>
      </c>
      <c r="KE102" cm="1">
        <f t="array" ref="KE102">IF(COUNTIFS($U$2:$U102,$U102)=1,1,INDEX(KE:KE,_xlfn.XMATCH(U102,U$1:U101,0,-1))+COUNT(KE101:KI101))</f>
        <v>147</v>
      </c>
      <c r="KF102">
        <f t="shared" ref="KF102:KG122" si="127">KE102+1</f>
        <v>148</v>
      </c>
      <c r="KG102">
        <f t="shared" si="127"/>
        <v>149</v>
      </c>
      <c r="KJ102">
        <v>1</v>
      </c>
      <c r="KK102" s="16">
        <v>2</v>
      </c>
      <c r="KO102" s="16"/>
    </row>
    <row r="103" spans="1:301" x14ac:dyDescent="0.25">
      <c r="A103" t="s">
        <v>646</v>
      </c>
      <c r="B103" t="s">
        <v>645</v>
      </c>
      <c r="C103" t="s">
        <v>492</v>
      </c>
      <c r="P103" t="s">
        <v>482</v>
      </c>
      <c r="T103" s="14" t="s">
        <v>554</v>
      </c>
      <c r="U103">
        <v>55</v>
      </c>
      <c r="V103" t="s">
        <v>659</v>
      </c>
      <c r="X103" t="str">
        <f>IF(COUNTIF(X$1:X102,X102)&gt;7,REPLACE(X102,LEN(X102),1,VALUE(RIGHT(X102,1))+1),X102)</f>
        <v>A3.8</v>
      </c>
      <c r="Y103" s="43" cm="1">
        <f t="array" ref="Y103">IF(COUNTIFS($X$2:$X103,$X103)=1,"1",VALUE(SUBSTITUTE(INDEX(Y:Y,_xlfn.XMATCH($X103,$X$1:$X102,0,-1)),"A",""))+INDEX(Z:Z,_xlfn.XMATCH($X103,$X$1:$X102,0,-1))+1)</f>
        <v>6</v>
      </c>
      <c r="Z103" s="43" cm="1">
        <f t="array" ref="Z103">SUM(IF(ISNUMBER(FIND("TmAi",$BA$1:$ZZ$1)),IF(IFERROR(ISODD(SUBSTITUTE($BA103:$ZZ103,"A","")),FALSE),IF(ISODD(SUBSTITUTE($BA103:$ZZ103,"A","")),1,0),0)))</f>
        <v>0</v>
      </c>
      <c r="AA103" t="str">
        <f t="shared" si="125"/>
        <v>11B</v>
      </c>
      <c r="AB103" t="str">
        <f t="shared" si="126"/>
        <v>12B</v>
      </c>
      <c r="AL103" t="s">
        <v>137</v>
      </c>
      <c r="AO103" t="s">
        <v>396</v>
      </c>
      <c r="JV103" s="27" t="str">
        <f t="shared" si="113"/>
        <v>XT55</v>
      </c>
      <c r="JY103" t="str">
        <f t="shared" si="114"/>
        <v>F0-AI8-11B</v>
      </c>
      <c r="JZ103" t="str">
        <f t="shared" si="115"/>
        <v>F0-AI8-12B</v>
      </c>
      <c r="KE103" cm="1">
        <f t="array" ref="KE103">IF(COUNTIFS($U$2:$U103,$U103)=1,1,INDEX(KE:KE,_xlfn.XMATCH(U103,U$1:U102,0,-1))+COUNT(KE102:KI102))</f>
        <v>150</v>
      </c>
      <c r="KF103">
        <f t="shared" si="127"/>
        <v>151</v>
      </c>
      <c r="KG103">
        <f t="shared" si="127"/>
        <v>152</v>
      </c>
      <c r="KJ103">
        <v>1</v>
      </c>
      <c r="KK103" s="16">
        <v>2</v>
      </c>
      <c r="KO103" s="16"/>
    </row>
    <row r="104" spans="1:301" x14ac:dyDescent="0.25">
      <c r="A104" t="s">
        <v>648</v>
      </c>
      <c r="B104" t="s">
        <v>647</v>
      </c>
      <c r="C104" t="s">
        <v>498</v>
      </c>
      <c r="P104" t="s">
        <v>482</v>
      </c>
      <c r="T104" s="14" t="s">
        <v>554</v>
      </c>
      <c r="U104">
        <v>55</v>
      </c>
      <c r="V104" t="s">
        <v>660</v>
      </c>
      <c r="X104" t="str">
        <f>IF(COUNTIF(X$1:X103,X103)&gt;7,REPLACE(X103,LEN(X103),1,VALUE(RIGHT(X103,1))+1),X103)</f>
        <v>A3.8</v>
      </c>
      <c r="Y104" s="43" cm="1">
        <f t="array" ref="Y104">IF(COUNTIFS($X$2:$X104,$X104)=1,"1",VALUE(SUBSTITUTE(INDEX(Y:Y,_xlfn.XMATCH($X104,$X$1:$X103,0,-1)),"A",""))+INDEX(Z:Z,_xlfn.XMATCH($X104,$X$1:$X103,0,-1))+1)</f>
        <v>7</v>
      </c>
      <c r="Z104" s="43" cm="1">
        <f t="array" ref="Z104">SUM(IF(ISNUMBER(FIND("TmAi",$BA$1:$ZZ$1)),IF(IFERROR(ISODD(SUBSTITUTE($BA104:$ZZ104,"A","")),FALSE),IF(ISODD(SUBSTITUTE($BA104:$ZZ104,"A","")),1,0),0)))</f>
        <v>0</v>
      </c>
      <c r="AA104" t="str">
        <f t="shared" si="125"/>
        <v>13B</v>
      </c>
      <c r="AB104" t="str">
        <f t="shared" si="126"/>
        <v>14B</v>
      </c>
      <c r="AL104" t="s">
        <v>137</v>
      </c>
      <c r="AO104" t="s">
        <v>396</v>
      </c>
      <c r="JV104" s="27" t="str">
        <f t="shared" si="113"/>
        <v>XT55</v>
      </c>
      <c r="JY104" t="str">
        <f t="shared" si="114"/>
        <v>F0-AI8-13B</v>
      </c>
      <c r="JZ104" t="str">
        <f t="shared" si="115"/>
        <v>F0-AI8-14B</v>
      </c>
      <c r="KE104" cm="1">
        <f t="array" ref="KE104">IF(COUNTIFS($U$2:$U104,$U104)=1,1,INDEX(KE:KE,_xlfn.XMATCH(U104,U$1:U103,0,-1))+COUNT(KE103:KI103))</f>
        <v>153</v>
      </c>
      <c r="KF104">
        <f t="shared" si="127"/>
        <v>154</v>
      </c>
      <c r="KG104">
        <f t="shared" si="127"/>
        <v>155</v>
      </c>
      <c r="KJ104">
        <v>1</v>
      </c>
      <c r="KK104" s="16">
        <v>2</v>
      </c>
      <c r="KO104" s="16"/>
    </row>
    <row r="105" spans="1:301" x14ac:dyDescent="0.25">
      <c r="A105" t="s">
        <v>650</v>
      </c>
      <c r="B105" t="s">
        <v>649</v>
      </c>
      <c r="C105" t="s">
        <v>492</v>
      </c>
      <c r="P105" t="s">
        <v>482</v>
      </c>
      <c r="T105" s="14" t="s">
        <v>554</v>
      </c>
      <c r="U105">
        <v>55</v>
      </c>
      <c r="V105" t="s">
        <v>661</v>
      </c>
      <c r="X105" s="33" t="str">
        <f>IF(COUNTIF(X$1:X104,X104)&gt;7,REPLACE(X104,LEN(X104),1,VALUE(RIGHT(X104,1))+1),X104)</f>
        <v>A3.8</v>
      </c>
      <c r="Y105" s="45" cm="1">
        <f t="array" ref="Y105">IF(COUNTIFS($X$2:$X105,$X105)=1,"1",VALUE(SUBSTITUTE(INDEX(Y:Y,_xlfn.XMATCH($X105,$X$1:$X104,0,-1)),"A",""))+INDEX(Z:Z,_xlfn.XMATCH($X105,$X$1:$X104,0,-1))+1)</f>
        <v>8</v>
      </c>
      <c r="Z105" s="43" cm="1">
        <f t="array" ref="Z105">SUM(IF(ISNUMBER(FIND("TmAi",$BA$1:$ZZ$1)),IF(IFERROR(ISODD(SUBSTITUTE($BA105:$ZZ105,"A","")),FALSE),IF(ISODD(SUBSTITUTE($BA105:$ZZ105,"A","")),1,0),0)))</f>
        <v>0</v>
      </c>
      <c r="AA105" t="str">
        <f t="shared" si="125"/>
        <v>15B</v>
      </c>
      <c r="AB105" t="str">
        <f t="shared" si="126"/>
        <v>16B</v>
      </c>
      <c r="AL105" t="s">
        <v>137</v>
      </c>
      <c r="AO105" t="s">
        <v>396</v>
      </c>
      <c r="JV105" s="27" t="str">
        <f t="shared" si="113"/>
        <v>XT55</v>
      </c>
      <c r="JY105" t="str">
        <f t="shared" si="114"/>
        <v>F0-AI8-15B</v>
      </c>
      <c r="JZ105" t="str">
        <f t="shared" si="115"/>
        <v>F0-AI8-16B</v>
      </c>
      <c r="KE105" cm="1">
        <f t="array" ref="KE105">IF(COUNTIFS($U$2:$U105,$U105)=1,1,INDEX(KE:KE,_xlfn.XMATCH(U105,U$1:U104,0,-1))+COUNT(KE104:KI104))</f>
        <v>156</v>
      </c>
      <c r="KF105">
        <f t="shared" si="127"/>
        <v>157</v>
      </c>
      <c r="KG105">
        <f t="shared" si="127"/>
        <v>158</v>
      </c>
      <c r="KJ105">
        <v>1</v>
      </c>
      <c r="KK105" s="16">
        <v>2</v>
      </c>
      <c r="KO105" s="16"/>
    </row>
    <row r="106" spans="1:301" x14ac:dyDescent="0.25">
      <c r="A106" t="s">
        <v>652</v>
      </c>
      <c r="B106" t="s">
        <v>651</v>
      </c>
      <c r="C106" t="s">
        <v>498</v>
      </c>
      <c r="P106" t="s">
        <v>482</v>
      </c>
      <c r="T106" s="14" t="s">
        <v>554</v>
      </c>
      <c r="U106">
        <v>55</v>
      </c>
      <c r="V106" t="s">
        <v>662</v>
      </c>
      <c r="X106" t="str">
        <f>IF(COUNTIF(X$1:X105,X105)&gt;7,REPLACE(X105,LEN(X105),1,VALUE(RIGHT(X105,1))+1),X105)</f>
        <v>A3.9</v>
      </c>
      <c r="Y106" s="43" t="str" cm="1">
        <f t="array" ref="Y106">IF(COUNTIFS($X$2:$X106,$X106)=1,"1",VALUE(SUBSTITUTE(INDEX(Y:Y,_xlfn.XMATCH($X106,$X$1:$X105,0,-1)),"A",""))+INDEX(Z:Z,_xlfn.XMATCH($X106,$X$1:$X105,0,-1))+1)</f>
        <v>1</v>
      </c>
      <c r="Z106" s="43" cm="1">
        <f t="array" ref="Z106">SUM(IF(ISNUMBER(FIND("TmAi",$BA$1:$ZZ$1)),IF(IFERROR(ISODD(SUBSTITUTE($BA106:$ZZ106,"A","")),FALSE),IF(ISODD(SUBSTITUTE($BA106:$ZZ106,"A","")),1,0),0)))</f>
        <v>0</v>
      </c>
      <c r="AA106" t="str">
        <f t="shared" si="125"/>
        <v>1B</v>
      </c>
      <c r="AB106" t="str">
        <f t="shared" si="126"/>
        <v>2B</v>
      </c>
      <c r="AL106" t="s">
        <v>137</v>
      </c>
      <c r="AO106" t="s">
        <v>396</v>
      </c>
      <c r="JV106" s="27" t="str">
        <f t="shared" si="113"/>
        <v>XT55</v>
      </c>
      <c r="JY106" t="str">
        <f t="shared" si="114"/>
        <v>F0-AI9-1B</v>
      </c>
      <c r="JZ106" t="str">
        <f t="shared" si="115"/>
        <v>F0-AI9-2B</v>
      </c>
      <c r="KE106" cm="1">
        <f t="array" ref="KE106">IF(COUNTIFS($U$2:$U106,$U106)=1,1,INDEX(KE:KE,_xlfn.XMATCH(U106,U$1:U105,0,-1))+COUNT(KE105:KI105))</f>
        <v>159</v>
      </c>
      <c r="KF106">
        <f t="shared" si="127"/>
        <v>160</v>
      </c>
      <c r="KG106">
        <f t="shared" si="127"/>
        <v>161</v>
      </c>
      <c r="KJ106">
        <v>1</v>
      </c>
      <c r="KK106" s="16">
        <v>2</v>
      </c>
      <c r="KO106" s="16"/>
    </row>
    <row r="107" spans="1:301" x14ac:dyDescent="0.25">
      <c r="A107" t="s">
        <v>654</v>
      </c>
      <c r="B107" t="s">
        <v>653</v>
      </c>
      <c r="C107" t="s">
        <v>492</v>
      </c>
      <c r="P107" t="s">
        <v>482</v>
      </c>
      <c r="T107" s="14" t="s">
        <v>554</v>
      </c>
      <c r="U107">
        <v>55</v>
      </c>
      <c r="V107" t="s">
        <v>663</v>
      </c>
      <c r="X107" t="str">
        <f>IF(COUNTIF(X$1:X106,X106)&gt;7,REPLACE(X106,LEN(X106),1,VALUE(RIGHT(X106,1))+1),X106)</f>
        <v>A3.9</v>
      </c>
      <c r="Y107" s="43" cm="1">
        <f t="array" ref="Y107">IF(COUNTIFS($X$2:$X107,$X107)=1,"1",VALUE(SUBSTITUTE(INDEX(Y:Y,_xlfn.XMATCH($X107,$X$1:$X106,0,-1)),"A",""))+INDEX(Z:Z,_xlfn.XMATCH($X107,$X$1:$X106,0,-1))+1)</f>
        <v>2</v>
      </c>
      <c r="Z107" s="43" cm="1">
        <f t="array" ref="Z107">SUM(IF(ISNUMBER(FIND("TmAi",$BA$1:$ZZ$1)),IF(IFERROR(ISODD(SUBSTITUTE($BA107:$ZZ107,"A","")),FALSE),IF(ISODD(SUBSTITUTE($BA107:$ZZ107,"A","")),1,0),0)))</f>
        <v>0</v>
      </c>
      <c r="AA107" t="str">
        <f t="shared" si="125"/>
        <v>3B</v>
      </c>
      <c r="AB107" t="str">
        <f t="shared" si="126"/>
        <v>4B</v>
      </c>
      <c r="AL107" t="s">
        <v>137</v>
      </c>
      <c r="AO107" t="s">
        <v>396</v>
      </c>
      <c r="JV107" s="27" t="str">
        <f t="shared" si="113"/>
        <v>XT55</v>
      </c>
      <c r="JY107" t="str">
        <f t="shared" si="114"/>
        <v>F0-AI9-3B</v>
      </c>
      <c r="JZ107" t="str">
        <f t="shared" si="115"/>
        <v>F0-AI9-4B</v>
      </c>
      <c r="KE107" cm="1">
        <f t="array" ref="KE107">IF(COUNTIFS($U$2:$U107,$U107)=1,1,INDEX(KE:KE,_xlfn.XMATCH(U107,U$1:U106,0,-1))+COUNT(KE106:KI106))</f>
        <v>162</v>
      </c>
      <c r="KF107">
        <f t="shared" si="127"/>
        <v>163</v>
      </c>
      <c r="KG107">
        <f t="shared" si="127"/>
        <v>164</v>
      </c>
      <c r="KJ107">
        <v>1</v>
      </c>
      <c r="KK107" s="16">
        <v>2</v>
      </c>
      <c r="KO107" s="16"/>
    </row>
    <row r="108" spans="1:301" x14ac:dyDescent="0.25">
      <c r="A108" t="s">
        <v>665</v>
      </c>
      <c r="B108" s="33" t="s">
        <v>664</v>
      </c>
      <c r="C108" t="s">
        <v>492</v>
      </c>
      <c r="P108" t="s">
        <v>482</v>
      </c>
      <c r="T108" s="14" t="s">
        <v>554</v>
      </c>
      <c r="U108">
        <v>55</v>
      </c>
      <c r="V108" t="s">
        <v>683</v>
      </c>
      <c r="X108" t="str">
        <f>IF(COUNTIF(X$1:X107,X107)&gt;7,REPLACE(X107,LEN(X107),1,VALUE(RIGHT(X107,1))+1),X107)</f>
        <v>A3.9</v>
      </c>
      <c r="Y108" s="43" cm="1">
        <f t="array" ref="Y108">IF(COUNTIFS($X$2:$X108,$X108)=1,"1",VALUE(SUBSTITUTE(INDEX(Y:Y,_xlfn.XMATCH($X108,$X$1:$X107,0,-1)),"A",""))+INDEX(Z:Z,_xlfn.XMATCH($X108,$X$1:$X107,0,-1))+1)</f>
        <v>3</v>
      </c>
      <c r="Z108" s="43" cm="1">
        <f t="array" ref="Z108">SUM(IF(ISNUMBER(FIND("TmAi",$BA$1:$ZZ$1)),IF(IFERROR(ISODD(SUBSTITUTE($BA108:$ZZ108,"A","")),FALSE),IF(ISODD(SUBSTITUTE($BA108:$ZZ108,"A","")),1,0),0)))</f>
        <v>0</v>
      </c>
      <c r="AA108" t="str">
        <f t="shared" si="125"/>
        <v>5B</v>
      </c>
      <c r="AB108" t="str">
        <f t="shared" si="126"/>
        <v>6B</v>
      </c>
      <c r="AL108" t="s">
        <v>137</v>
      </c>
      <c r="AO108" t="s">
        <v>396</v>
      </c>
      <c r="JV108" s="27" t="str">
        <f t="shared" si="113"/>
        <v>XT55</v>
      </c>
      <c r="JY108" t="str">
        <f t="shared" si="114"/>
        <v>F0-AI9-5B</v>
      </c>
      <c r="JZ108" t="str">
        <f t="shared" si="115"/>
        <v>F0-AI9-6B</v>
      </c>
      <c r="KE108" cm="1">
        <f t="array" ref="KE108">IF(COUNTIFS($U$2:$U108,$U108)=1,1,INDEX(KE:KE,_xlfn.XMATCH(U108,U$1:U107,0,-1))+COUNT(KE107:KI107))</f>
        <v>165</v>
      </c>
      <c r="KF108">
        <f t="shared" si="127"/>
        <v>166</v>
      </c>
      <c r="KG108">
        <f t="shared" si="127"/>
        <v>167</v>
      </c>
      <c r="KJ108">
        <v>1</v>
      </c>
      <c r="KK108" s="16">
        <v>2</v>
      </c>
      <c r="KO108" s="16"/>
    </row>
    <row r="109" spans="1:301" x14ac:dyDescent="0.25">
      <c r="A109" t="s">
        <v>667</v>
      </c>
      <c r="B109" t="s">
        <v>666</v>
      </c>
      <c r="C109" t="s">
        <v>492</v>
      </c>
      <c r="P109" t="s">
        <v>482</v>
      </c>
      <c r="T109" s="14" t="s">
        <v>554</v>
      </c>
      <c r="U109">
        <v>55</v>
      </c>
      <c r="V109" t="s">
        <v>684</v>
      </c>
      <c r="X109" t="str">
        <f>IF(COUNTIF(X$1:X108,X108)&gt;7,REPLACE(X108,LEN(X108),1,VALUE(RIGHT(X108,1))+1),X108)</f>
        <v>A3.9</v>
      </c>
      <c r="Y109" s="43" cm="1">
        <f t="array" ref="Y109">IF(COUNTIFS($X$2:$X109,$X109)=1,"1",VALUE(SUBSTITUTE(INDEX(Y:Y,_xlfn.XMATCH($X109,$X$1:$X108,0,-1)),"A",""))+INDEX(Z:Z,_xlfn.XMATCH($X109,$X$1:$X108,0,-1))+1)</f>
        <v>4</v>
      </c>
      <c r="Z109" s="43" cm="1">
        <f t="array" ref="Z109">SUM(IF(ISNUMBER(FIND("TmAi",$BA$1:$ZZ$1)),IF(IFERROR(ISODD(SUBSTITUTE($BA109:$ZZ109,"A","")),FALSE),IF(ISODD(SUBSTITUTE($BA109:$ZZ109,"A","")),1,0),0)))</f>
        <v>0</v>
      </c>
      <c r="AA109" t="str">
        <f t="shared" si="125"/>
        <v>7B</v>
      </c>
      <c r="AB109" t="str">
        <f t="shared" si="126"/>
        <v>8B</v>
      </c>
      <c r="AL109" t="s">
        <v>137</v>
      </c>
      <c r="AO109" t="s">
        <v>396</v>
      </c>
      <c r="JV109" s="27" t="str">
        <f t="shared" si="113"/>
        <v>XT55</v>
      </c>
      <c r="JY109" t="str">
        <f t="shared" si="114"/>
        <v>F0-AI9-7B</v>
      </c>
      <c r="JZ109" t="str">
        <f t="shared" si="115"/>
        <v>F0-AI9-8B</v>
      </c>
      <c r="KE109" cm="1">
        <f t="array" ref="KE109">IF(COUNTIFS($U$2:$U109,$U109)=1,1,INDEX(KE:KE,_xlfn.XMATCH(U109,U$1:U108,0,-1))+COUNT(KE108:KI108))</f>
        <v>168</v>
      </c>
      <c r="KF109">
        <f t="shared" si="127"/>
        <v>169</v>
      </c>
      <c r="KG109">
        <f t="shared" si="127"/>
        <v>170</v>
      </c>
      <c r="KJ109">
        <v>1</v>
      </c>
      <c r="KK109" s="16">
        <v>2</v>
      </c>
      <c r="KO109" s="16"/>
    </row>
    <row r="110" spans="1:301" x14ac:dyDescent="0.25">
      <c r="A110" t="s">
        <v>669</v>
      </c>
      <c r="B110" t="s">
        <v>668</v>
      </c>
      <c r="C110" t="s">
        <v>498</v>
      </c>
      <c r="P110" t="s">
        <v>482</v>
      </c>
      <c r="T110" s="14" t="s">
        <v>554</v>
      </c>
      <c r="U110">
        <v>55</v>
      </c>
      <c r="V110" t="s">
        <v>685</v>
      </c>
      <c r="X110" t="str">
        <f>IF(COUNTIF(X$1:X109,X109)&gt;7,REPLACE(X109,LEN(X109),1,VALUE(RIGHT(X109,1))+1),X109)</f>
        <v>A3.9</v>
      </c>
      <c r="Y110" s="43" cm="1">
        <f t="array" ref="Y110">IF(COUNTIFS($X$2:$X110,$X110)=1,"1",VALUE(SUBSTITUTE(INDEX(Y:Y,_xlfn.XMATCH($X110,$X$1:$X109,0,-1)),"A",""))+INDEX(Z:Z,_xlfn.XMATCH($X110,$X$1:$X109,0,-1))+1)</f>
        <v>5</v>
      </c>
      <c r="Z110" s="43" cm="1">
        <f t="array" ref="Z110">SUM(IF(ISNUMBER(FIND("TmAi",$BA$1:$ZZ$1)),IF(IFERROR(ISODD(SUBSTITUTE($BA110:$ZZ110,"A","")),FALSE),IF(ISODD(SUBSTITUTE($BA110:$ZZ110,"A","")),1,0),0)))</f>
        <v>0</v>
      </c>
      <c r="AA110" t="str">
        <f t="shared" si="125"/>
        <v>9B</v>
      </c>
      <c r="AB110" t="str">
        <f t="shared" si="126"/>
        <v>10B</v>
      </c>
      <c r="AL110" t="s">
        <v>137</v>
      </c>
      <c r="AO110" t="s">
        <v>396</v>
      </c>
      <c r="JV110" s="27" t="str">
        <f t="shared" si="113"/>
        <v>XT55</v>
      </c>
      <c r="JY110" t="str">
        <f t="shared" si="114"/>
        <v>F0-AI9-9B</v>
      </c>
      <c r="JZ110" t="str">
        <f t="shared" si="115"/>
        <v>F0-AI9-10B</v>
      </c>
      <c r="KE110" cm="1">
        <f t="array" ref="KE110">IF(COUNTIFS($U$2:$U110,$U110)=1,1,INDEX(KE:KE,_xlfn.XMATCH(U110,U$1:U109,0,-1))+COUNT(KE109:KI109))</f>
        <v>171</v>
      </c>
      <c r="KF110">
        <f t="shared" si="127"/>
        <v>172</v>
      </c>
      <c r="KG110">
        <f t="shared" si="127"/>
        <v>173</v>
      </c>
      <c r="KJ110">
        <v>1</v>
      </c>
      <c r="KK110" s="16">
        <v>2</v>
      </c>
      <c r="KO110" s="16"/>
    </row>
    <row r="111" spans="1:301" x14ac:dyDescent="0.25">
      <c r="A111" t="s">
        <v>671</v>
      </c>
      <c r="B111" t="s">
        <v>670</v>
      </c>
      <c r="C111" t="s">
        <v>498</v>
      </c>
      <c r="P111" t="s">
        <v>482</v>
      </c>
      <c r="T111" s="14" t="s">
        <v>554</v>
      </c>
      <c r="U111">
        <v>55</v>
      </c>
      <c r="V111" t="s">
        <v>686</v>
      </c>
      <c r="X111" t="str">
        <f>IF(COUNTIF(X$1:X110,X110)&gt;7,REPLACE(X110,LEN(X110),1,VALUE(RIGHT(X110,1))+1),X110)</f>
        <v>A3.9</v>
      </c>
      <c r="Y111" s="43" cm="1">
        <f t="array" ref="Y111">IF(COUNTIFS($X$2:$X111,$X111)=1,"1",VALUE(SUBSTITUTE(INDEX(Y:Y,_xlfn.XMATCH($X111,$X$1:$X110,0,-1)),"A",""))+INDEX(Z:Z,_xlfn.XMATCH($X111,$X$1:$X110,0,-1))+1)</f>
        <v>6</v>
      </c>
      <c r="Z111" s="43" cm="1">
        <f t="array" ref="Z111">SUM(IF(ISNUMBER(FIND("TmAi",$BA$1:$ZZ$1)),IF(IFERROR(ISODD(SUBSTITUTE($BA111:$ZZ111,"A","")),FALSE),IF(ISODD(SUBSTITUTE($BA111:$ZZ111,"A","")),1,0),0)))</f>
        <v>0</v>
      </c>
      <c r="AA111" t="str">
        <f t="shared" si="125"/>
        <v>11B</v>
      </c>
      <c r="AB111" t="str">
        <f t="shared" si="126"/>
        <v>12B</v>
      </c>
      <c r="AL111" t="s">
        <v>137</v>
      </c>
      <c r="AO111" t="s">
        <v>396</v>
      </c>
      <c r="JV111" s="27" t="str">
        <f t="shared" si="113"/>
        <v>XT55</v>
      </c>
      <c r="JY111" t="str">
        <f t="shared" si="114"/>
        <v>F0-AI9-11B</v>
      </c>
      <c r="JZ111" t="str">
        <f t="shared" si="115"/>
        <v>F0-AI9-12B</v>
      </c>
      <c r="KE111" cm="1">
        <f t="array" ref="KE111">IF(COUNTIFS($U$2:$U111,$U111)=1,1,INDEX(KE:KE,_xlfn.XMATCH(U111,U$1:U110,0,-1))+COUNT(KE110:KI110))</f>
        <v>174</v>
      </c>
      <c r="KF111">
        <f t="shared" si="127"/>
        <v>175</v>
      </c>
      <c r="KG111">
        <f t="shared" si="127"/>
        <v>176</v>
      </c>
      <c r="KJ111">
        <v>1</v>
      </c>
      <c r="KK111" s="16">
        <v>2</v>
      </c>
      <c r="KO111" s="16"/>
    </row>
    <row r="112" spans="1:301" x14ac:dyDescent="0.25">
      <c r="A112" t="s">
        <v>673</v>
      </c>
      <c r="B112" t="s">
        <v>672</v>
      </c>
      <c r="C112" t="s">
        <v>498</v>
      </c>
      <c r="P112" t="s">
        <v>482</v>
      </c>
      <c r="T112" s="14" t="s">
        <v>554</v>
      </c>
      <c r="U112">
        <v>55</v>
      </c>
      <c r="V112" t="s">
        <v>687</v>
      </c>
      <c r="X112" t="str">
        <f>IF(COUNTIF(X$1:X111,X111)&gt;7,REPLACE(X111,LEN(X111),1,VALUE(RIGHT(X111,1))+1),X111)</f>
        <v>A3.9</v>
      </c>
      <c r="Y112" s="43" cm="1">
        <f t="array" ref="Y112">IF(COUNTIFS($X$2:$X112,$X112)=1,"1",VALUE(SUBSTITUTE(INDEX(Y:Y,_xlfn.XMATCH($X112,$X$1:$X111,0,-1)),"A",""))+INDEX(Z:Z,_xlfn.XMATCH($X112,$X$1:$X111,0,-1))+1)</f>
        <v>7</v>
      </c>
      <c r="Z112" s="43" cm="1">
        <f t="array" ref="Z112">SUM(IF(ISNUMBER(FIND("TmAi",$BA$1:$ZZ$1)),IF(IFERROR(ISODD(SUBSTITUTE($BA112:$ZZ112,"A","")),FALSE),IF(ISODD(SUBSTITUTE($BA112:$ZZ112,"A","")),1,0),0)))</f>
        <v>0</v>
      </c>
      <c r="AA112" t="str">
        <f t="shared" si="125"/>
        <v>13B</v>
      </c>
      <c r="AB112" t="str">
        <f t="shared" si="126"/>
        <v>14B</v>
      </c>
      <c r="AL112" t="s">
        <v>137</v>
      </c>
      <c r="AO112" t="s">
        <v>396</v>
      </c>
      <c r="JV112" s="27" t="str">
        <f t="shared" si="113"/>
        <v>XT55</v>
      </c>
      <c r="JY112" t="str">
        <f t="shared" si="114"/>
        <v>F0-AI9-13B</v>
      </c>
      <c r="JZ112" t="str">
        <f t="shared" si="115"/>
        <v>F0-AI9-14B</v>
      </c>
      <c r="KE112" cm="1">
        <f t="array" ref="KE112">IF(COUNTIFS($U$2:$U112,$U112)=1,1,INDEX(KE:KE,_xlfn.XMATCH(U112,U$1:U111,0,-1))+COUNT(KE111:KI111))</f>
        <v>177</v>
      </c>
      <c r="KF112">
        <f t="shared" si="127"/>
        <v>178</v>
      </c>
      <c r="KG112">
        <f t="shared" si="127"/>
        <v>179</v>
      </c>
      <c r="KJ112">
        <v>1</v>
      </c>
      <c r="KK112" s="16">
        <v>2</v>
      </c>
      <c r="KO112" s="16"/>
    </row>
    <row r="113" spans="1:301" x14ac:dyDescent="0.25">
      <c r="A113" t="s">
        <v>675</v>
      </c>
      <c r="B113" t="s">
        <v>674</v>
      </c>
      <c r="C113" t="s">
        <v>498</v>
      </c>
      <c r="P113" t="s">
        <v>482</v>
      </c>
      <c r="T113" s="14" t="s">
        <v>554</v>
      </c>
      <c r="U113">
        <v>55</v>
      </c>
      <c r="V113" t="s">
        <v>688</v>
      </c>
      <c r="X113" s="33" t="str">
        <f>IF(COUNTIF(X$1:X112,X112)&gt;7,REPLACE(X112,LEN(X112),1,VALUE(RIGHT(X112,1))+1),X112)</f>
        <v>A3.9</v>
      </c>
      <c r="Y113" s="45" cm="1">
        <f t="array" ref="Y113">IF(COUNTIFS($X$2:$X113,$X113)=1,"1",VALUE(SUBSTITUTE(INDEX(Y:Y,_xlfn.XMATCH($X113,$X$1:$X112,0,-1)),"A",""))+INDEX(Z:Z,_xlfn.XMATCH($X113,$X$1:$X112,0,-1))+1)</f>
        <v>8</v>
      </c>
      <c r="Z113" s="43" cm="1">
        <f t="array" ref="Z113">SUM(IF(ISNUMBER(FIND("TmAi",$BA$1:$ZZ$1)),IF(IFERROR(ISODD(SUBSTITUTE($BA113:$ZZ113,"A","")),FALSE),IF(ISODD(SUBSTITUTE($BA113:$ZZ113,"A","")),1,0),0)))</f>
        <v>0</v>
      </c>
      <c r="AA113" t="str">
        <f t="shared" si="125"/>
        <v>15B</v>
      </c>
      <c r="AB113" t="str">
        <f t="shared" si="126"/>
        <v>16B</v>
      </c>
      <c r="AL113" t="s">
        <v>137</v>
      </c>
      <c r="AO113" t="s">
        <v>396</v>
      </c>
      <c r="JV113" s="27" t="str">
        <f t="shared" si="113"/>
        <v>XT55</v>
      </c>
      <c r="JY113" t="str">
        <f t="shared" si="114"/>
        <v>F0-AI9-15B</v>
      </c>
      <c r="JZ113" t="str">
        <f t="shared" si="115"/>
        <v>F0-AI9-16B</v>
      </c>
      <c r="KE113" cm="1">
        <f t="array" ref="KE113">IF(COUNTIFS($U$2:$U113,$U113)=1,1,INDEX(KE:KE,_xlfn.XMATCH(U113,U$1:U112,0,-1))+COUNT(KE112:KI112))</f>
        <v>180</v>
      </c>
      <c r="KF113">
        <f t="shared" si="127"/>
        <v>181</v>
      </c>
      <c r="KG113">
        <f t="shared" si="127"/>
        <v>182</v>
      </c>
      <c r="KJ113">
        <v>1</v>
      </c>
      <c r="KK113" s="16">
        <v>2</v>
      </c>
      <c r="KO113" s="16"/>
    </row>
    <row r="114" spans="1:301" x14ac:dyDescent="0.25">
      <c r="A114" t="s">
        <v>677</v>
      </c>
      <c r="B114" t="s">
        <v>676</v>
      </c>
      <c r="C114" t="s">
        <v>498</v>
      </c>
      <c r="P114" t="s">
        <v>482</v>
      </c>
      <c r="T114" s="14" t="s">
        <v>554</v>
      </c>
      <c r="U114">
        <v>55</v>
      </c>
      <c r="V114" t="s">
        <v>689</v>
      </c>
      <c r="X114" t="str">
        <f>IF(COUNTIF(X$1:X113,X113)&gt;7,REPLACE(X113,LEN(X113),1,VALUE(RIGHT(X113,1))+1),X113)</f>
        <v>A3.10</v>
      </c>
      <c r="Y114" s="43" t="str" cm="1">
        <f t="array" ref="Y114">IF(COUNTIFS($X$2:$X114,$X114)=1,"1",VALUE(SUBSTITUTE(INDEX(Y:Y,_xlfn.XMATCH($X114,$X$1:$X113,0,-1)),"A",""))+INDEX(Z:Z,_xlfn.XMATCH($X114,$X$1:$X113,0,-1))+1)</f>
        <v>1</v>
      </c>
      <c r="Z114" s="43" cm="1">
        <f t="array" ref="Z114">SUM(IF(ISNUMBER(FIND("TmAi",$BA$1:$ZZ$1)),IF(IFERROR(ISODD(SUBSTITUTE($BA114:$ZZ114,"A","")),FALSE),IF(ISODD(SUBSTITUTE($BA114:$ZZ114,"A","")),1,0),0)))</f>
        <v>0</v>
      </c>
      <c r="AA114" t="str">
        <f t="shared" si="125"/>
        <v>1B</v>
      </c>
      <c r="AB114" t="str">
        <f t="shared" si="126"/>
        <v>2B</v>
      </c>
      <c r="AL114" t="s">
        <v>137</v>
      </c>
      <c r="AO114" t="s">
        <v>396</v>
      </c>
      <c r="JV114" s="27" t="str">
        <f t="shared" si="113"/>
        <v>XT55</v>
      </c>
      <c r="JY114" t="str">
        <f t="shared" si="114"/>
        <v>F0-AI10-1B</v>
      </c>
      <c r="JZ114" t="str">
        <f t="shared" si="115"/>
        <v>F0-AI10-2B</v>
      </c>
      <c r="KE114" cm="1">
        <f t="array" ref="KE114">IF(COUNTIFS($U$2:$U114,$U114)=1,1,INDEX(KE:KE,_xlfn.XMATCH(U114,U$1:U113,0,-1))+COUNT(KE113:KI113))</f>
        <v>183</v>
      </c>
      <c r="KF114">
        <f t="shared" si="127"/>
        <v>184</v>
      </c>
      <c r="KG114">
        <f t="shared" si="127"/>
        <v>185</v>
      </c>
      <c r="KJ114">
        <v>1</v>
      </c>
      <c r="KK114" s="16">
        <v>2</v>
      </c>
      <c r="KO114" s="16"/>
    </row>
    <row r="115" spans="1:301" x14ac:dyDescent="0.25">
      <c r="A115" t="s">
        <v>679</v>
      </c>
      <c r="B115" t="s">
        <v>678</v>
      </c>
      <c r="C115" t="s">
        <v>498</v>
      </c>
      <c r="P115" t="s">
        <v>482</v>
      </c>
      <c r="T115" s="14" t="s">
        <v>554</v>
      </c>
      <c r="U115">
        <v>55</v>
      </c>
      <c r="V115" t="s">
        <v>690</v>
      </c>
      <c r="X115" t="str">
        <f>IF(COUNTIF(X$1:X114,X114)&gt;7,REPLACE(X114,LEN(X114),1,VALUE(RIGHT(X114,1))+1),X114)</f>
        <v>A3.10</v>
      </c>
      <c r="Y115" s="43" cm="1">
        <f t="array" ref="Y115">IF(COUNTIFS($X$2:$X115,$X115)=1,"1",VALUE(SUBSTITUTE(INDEX(Y:Y,_xlfn.XMATCH($X115,$X$1:$X114,0,-1)),"A",""))+INDEX(Z:Z,_xlfn.XMATCH($X115,$X$1:$X114,0,-1))+1)</f>
        <v>2</v>
      </c>
      <c r="Z115" s="43" cm="1">
        <f t="array" ref="Z115">SUM(IF(ISNUMBER(FIND("TmAi",$BA$1:$ZZ$1)),IF(IFERROR(ISODD(SUBSTITUTE($BA115:$ZZ115,"A","")),FALSE),IF(ISODD(SUBSTITUTE($BA115:$ZZ115,"A","")),1,0),0)))</f>
        <v>0</v>
      </c>
      <c r="AA115" t="str">
        <f t="shared" si="125"/>
        <v>3B</v>
      </c>
      <c r="AB115" t="str">
        <f t="shared" si="126"/>
        <v>4B</v>
      </c>
      <c r="AL115" t="s">
        <v>137</v>
      </c>
      <c r="AO115" t="s">
        <v>396</v>
      </c>
      <c r="JV115" s="27" t="str">
        <f t="shared" si="113"/>
        <v>XT55</v>
      </c>
      <c r="JY115" t="str">
        <f t="shared" si="114"/>
        <v>F0-AI10-3B</v>
      </c>
      <c r="JZ115" t="str">
        <f t="shared" si="115"/>
        <v>F0-AI10-4B</v>
      </c>
      <c r="KE115" cm="1">
        <f t="array" ref="KE115">IF(COUNTIFS($U$2:$U115,$U115)=1,1,INDEX(KE:KE,_xlfn.XMATCH(U115,U$1:U114,0,-1))+COUNT(KE114:KI114))</f>
        <v>186</v>
      </c>
      <c r="KF115">
        <f t="shared" si="127"/>
        <v>187</v>
      </c>
      <c r="KG115">
        <f t="shared" si="127"/>
        <v>188</v>
      </c>
      <c r="KJ115">
        <v>1</v>
      </c>
      <c r="KK115" s="16">
        <v>2</v>
      </c>
      <c r="KO115" s="16"/>
    </row>
    <row r="116" spans="1:301" x14ac:dyDescent="0.25">
      <c r="A116" t="s">
        <v>681</v>
      </c>
      <c r="B116" s="33" t="s">
        <v>680</v>
      </c>
      <c r="C116" t="s">
        <v>492</v>
      </c>
      <c r="P116" t="s">
        <v>482</v>
      </c>
      <c r="T116" s="14" t="s">
        <v>554</v>
      </c>
      <c r="U116">
        <v>55</v>
      </c>
      <c r="V116" t="s">
        <v>682</v>
      </c>
      <c r="X116" t="str">
        <f>IF(COUNTIF(X$1:X115,X115)&gt;7,REPLACE(X115,LEN(X115),1,VALUE(RIGHT(X115,1))+1),X115)</f>
        <v>A3.10</v>
      </c>
      <c r="Y116" s="43" cm="1">
        <f t="array" ref="Y116">IF(COUNTIFS($X$2:$X116,$X116)=1,"1",VALUE(SUBSTITUTE(INDEX(Y:Y,_xlfn.XMATCH($X116,$X$1:$X115,0,-1)),"A",""))+INDEX(Z:Z,_xlfn.XMATCH($X116,$X$1:$X115,0,-1))+1)</f>
        <v>3</v>
      </c>
      <c r="Z116" s="43" cm="1">
        <f t="array" ref="Z116">SUM(IF(ISNUMBER(FIND("TmAi",$BA$1:$ZZ$1)),IF(IFERROR(ISODD(SUBSTITUTE($BA116:$ZZ116,"A","")),FALSE),IF(ISODD(SUBSTITUTE($BA116:$ZZ116,"A","")),1,0),0)))</f>
        <v>0</v>
      </c>
      <c r="AA116" t="str">
        <f t="shared" si="125"/>
        <v>5B</v>
      </c>
      <c r="AB116" t="str">
        <f t="shared" si="126"/>
        <v>6B</v>
      </c>
      <c r="AL116" t="s">
        <v>137</v>
      </c>
      <c r="AO116" t="s">
        <v>396</v>
      </c>
      <c r="JV116" s="27" t="str">
        <f t="shared" si="113"/>
        <v>XT55</v>
      </c>
      <c r="JY116" t="str">
        <f t="shared" si="114"/>
        <v>F0-AI10-5B</v>
      </c>
      <c r="JZ116" t="str">
        <f t="shared" si="115"/>
        <v>F0-AI10-6B</v>
      </c>
      <c r="KE116" cm="1">
        <f t="array" ref="KE116">IF(COUNTIFS($U$2:$U116,$U116)=1,1,INDEX(KE:KE,_xlfn.XMATCH(U116,U$1:U115,0,-1))+COUNT(KE115:KI115))</f>
        <v>189</v>
      </c>
      <c r="KF116">
        <f t="shared" si="127"/>
        <v>190</v>
      </c>
      <c r="KG116">
        <f t="shared" si="127"/>
        <v>191</v>
      </c>
      <c r="KJ116">
        <v>1</v>
      </c>
      <c r="KK116" s="16">
        <v>2</v>
      </c>
      <c r="KO116" s="16"/>
    </row>
    <row r="117" spans="1:301" x14ac:dyDescent="0.25">
      <c r="A117" t="s">
        <v>692</v>
      </c>
      <c r="B117" t="s">
        <v>691</v>
      </c>
      <c r="C117" t="s">
        <v>492</v>
      </c>
      <c r="P117" t="s">
        <v>482</v>
      </c>
      <c r="T117" s="14" t="s">
        <v>554</v>
      </c>
      <c r="U117">
        <v>55</v>
      </c>
      <c r="V117" t="s">
        <v>739</v>
      </c>
      <c r="X117" t="str">
        <f>IF(COUNTIF(X$1:X116,X116)&gt;7,REPLACE(X116,LEN(X116),1,VALUE(RIGHT(X116,1))+1),X116)</f>
        <v>A3.10</v>
      </c>
      <c r="Y117" s="43" cm="1">
        <f t="array" ref="Y117">IF(COUNTIFS($X$2:$X117,$X117)=1,"1",VALUE(SUBSTITUTE(INDEX(Y:Y,_xlfn.XMATCH($X117,$X$1:$X116,0,-1)),"A",""))+INDEX(Z:Z,_xlfn.XMATCH($X117,$X$1:$X116,0,-1))+1)</f>
        <v>4</v>
      </c>
      <c r="Z117" s="43" cm="1">
        <f t="array" ref="Z117">SUM(IF(ISNUMBER(FIND("TmAi",$BA$1:$ZZ$1)),IF(IFERROR(ISODD(SUBSTITUTE($BA117:$ZZ117,"A","")),FALSE),IF(ISODD(SUBSTITUTE($BA117:$ZZ117,"A","")),1,0),0)))</f>
        <v>0</v>
      </c>
      <c r="AA117" t="str">
        <f t="shared" si="125"/>
        <v>7B</v>
      </c>
      <c r="AB117" t="str">
        <f t="shared" si="126"/>
        <v>8B</v>
      </c>
      <c r="AL117" t="s">
        <v>137</v>
      </c>
      <c r="AO117" t="s">
        <v>396</v>
      </c>
      <c r="JV117" s="27" t="str">
        <f t="shared" si="113"/>
        <v>XT55</v>
      </c>
      <c r="JY117" t="str">
        <f t="shared" si="114"/>
        <v>F0-AI10-7B</v>
      </c>
      <c r="JZ117" t="str">
        <f t="shared" si="115"/>
        <v>F0-AI10-8B</v>
      </c>
      <c r="KE117" cm="1">
        <f t="array" ref="KE117">IF(COUNTIFS($U$2:$U117,$U117)=1,1,INDEX(KE:KE,_xlfn.XMATCH(U117,U$1:U116,0,-1))+COUNT(KE116:KI116))</f>
        <v>192</v>
      </c>
      <c r="KF117">
        <f t="shared" si="127"/>
        <v>193</v>
      </c>
      <c r="KG117">
        <f t="shared" si="127"/>
        <v>194</v>
      </c>
      <c r="KJ117">
        <v>1</v>
      </c>
      <c r="KK117" s="16">
        <v>2</v>
      </c>
      <c r="KO117" s="16"/>
    </row>
    <row r="118" spans="1:301" x14ac:dyDescent="0.25">
      <c r="A118" t="s">
        <v>694</v>
      </c>
      <c r="B118" t="s">
        <v>693</v>
      </c>
      <c r="C118" t="s">
        <v>498</v>
      </c>
      <c r="P118" t="s">
        <v>482</v>
      </c>
      <c r="T118" s="14" t="s">
        <v>554</v>
      </c>
      <c r="U118">
        <v>55</v>
      </c>
      <c r="V118" t="s">
        <v>740</v>
      </c>
      <c r="X118" t="str">
        <f>IF(COUNTIF(X$1:X117,X117)&gt;7,REPLACE(X117,LEN(X117),1,VALUE(RIGHT(X117,1))+1),X117)</f>
        <v>A3.10</v>
      </c>
      <c r="Y118" s="43" cm="1">
        <f t="array" ref="Y118">IF(COUNTIFS($X$2:$X118,$X118)=1,"1",VALUE(SUBSTITUTE(INDEX(Y:Y,_xlfn.XMATCH($X118,$X$1:$X117,0,-1)),"A",""))+INDEX(Z:Z,_xlfn.XMATCH($X118,$X$1:$X117,0,-1))+1)</f>
        <v>5</v>
      </c>
      <c r="Z118" s="43" cm="1">
        <f t="array" ref="Z118">SUM(IF(ISNUMBER(FIND("TmAi",$BA$1:$ZZ$1)),IF(IFERROR(ISODD(SUBSTITUTE($BA118:$ZZ118,"A","")),FALSE),IF(ISODD(SUBSTITUTE($BA118:$ZZ118,"A","")),1,0),0)))</f>
        <v>0</v>
      </c>
      <c r="AA118" t="str">
        <f t="shared" si="125"/>
        <v>9B</v>
      </c>
      <c r="AB118" t="str">
        <f t="shared" si="126"/>
        <v>10B</v>
      </c>
      <c r="AL118" t="s">
        <v>137</v>
      </c>
      <c r="AO118" t="s">
        <v>396</v>
      </c>
      <c r="JV118" s="27" t="str">
        <f t="shared" si="113"/>
        <v>XT55</v>
      </c>
      <c r="JY118" t="str">
        <f t="shared" si="114"/>
        <v>F0-AI10-9B</v>
      </c>
      <c r="JZ118" t="str">
        <f t="shared" si="115"/>
        <v>F0-AI10-10B</v>
      </c>
      <c r="KE118" cm="1">
        <f t="array" ref="KE118">IF(COUNTIFS($U$2:$U118,$U118)=1,1,INDEX(KE:KE,_xlfn.XMATCH(U118,U$1:U117,0,-1))+COUNT(KE117:KI117))</f>
        <v>195</v>
      </c>
      <c r="KF118">
        <f t="shared" si="127"/>
        <v>196</v>
      </c>
      <c r="KG118">
        <f t="shared" si="127"/>
        <v>197</v>
      </c>
      <c r="KJ118">
        <v>1</v>
      </c>
      <c r="KK118" s="16">
        <v>2</v>
      </c>
      <c r="KO118" s="16"/>
    </row>
    <row r="119" spans="1:301" x14ac:dyDescent="0.25">
      <c r="A119" t="s">
        <v>696</v>
      </c>
      <c r="B119" s="33" t="s">
        <v>695</v>
      </c>
      <c r="C119" t="s">
        <v>492</v>
      </c>
      <c r="P119" t="s">
        <v>482</v>
      </c>
      <c r="T119" s="14" t="s">
        <v>554</v>
      </c>
      <c r="U119">
        <v>55</v>
      </c>
      <c r="V119" t="s">
        <v>741</v>
      </c>
      <c r="X119" t="str">
        <f>IF(COUNTIF(X$1:X118,X118)&gt;7,REPLACE(X118,LEN(X118),1,VALUE(RIGHT(X118,1))+1),X118)</f>
        <v>A3.10</v>
      </c>
      <c r="Y119" s="43" cm="1">
        <f t="array" ref="Y119">IF(COUNTIFS($X$2:$X119,$X119)=1,"1",VALUE(SUBSTITUTE(INDEX(Y:Y,_xlfn.XMATCH($X119,$X$1:$X118,0,-1)),"A",""))+INDEX(Z:Z,_xlfn.XMATCH($X119,$X$1:$X118,0,-1))+1)</f>
        <v>6</v>
      </c>
      <c r="Z119" s="43" cm="1">
        <f t="array" ref="Z119">SUM(IF(ISNUMBER(FIND("TmAi",$BA$1:$ZZ$1)),IF(IFERROR(ISODD(SUBSTITUTE($BA119:$ZZ119,"A","")),FALSE),IF(ISODD(SUBSTITUTE($BA119:$ZZ119,"A","")),1,0),0)))</f>
        <v>0</v>
      </c>
      <c r="AA119" t="str">
        <f t="shared" si="125"/>
        <v>11B</v>
      </c>
      <c r="AB119" t="str">
        <f t="shared" si="126"/>
        <v>12B</v>
      </c>
      <c r="AL119" t="s">
        <v>137</v>
      </c>
      <c r="AO119" t="s">
        <v>396</v>
      </c>
      <c r="JV119" s="27" t="str">
        <f t="shared" si="113"/>
        <v>XT55</v>
      </c>
      <c r="JY119" t="str">
        <f t="shared" si="114"/>
        <v>F0-AI10-11B</v>
      </c>
      <c r="JZ119" t="str">
        <f t="shared" si="115"/>
        <v>F0-AI10-12B</v>
      </c>
      <c r="KE119" cm="1">
        <f t="array" ref="KE119">IF(COUNTIFS($U$2:$U119,$U119)=1,1,INDEX(KE:KE,_xlfn.XMATCH(U119,U$1:U118,0,-1))+COUNT(KE118:KI118))</f>
        <v>198</v>
      </c>
      <c r="KF119">
        <f t="shared" si="127"/>
        <v>199</v>
      </c>
      <c r="KG119">
        <f t="shared" si="127"/>
        <v>200</v>
      </c>
      <c r="KJ119">
        <v>1</v>
      </c>
      <c r="KK119" s="16">
        <v>2</v>
      </c>
      <c r="KO119" s="16"/>
    </row>
    <row r="120" spans="1:301" x14ac:dyDescent="0.25">
      <c r="A120" t="s">
        <v>697</v>
      </c>
      <c r="B120" t="s">
        <v>718</v>
      </c>
      <c r="C120" t="s">
        <v>492</v>
      </c>
      <c r="P120" t="s">
        <v>482</v>
      </c>
      <c r="T120" s="14" t="s">
        <v>554</v>
      </c>
      <c r="U120">
        <v>55</v>
      </c>
      <c r="V120" t="s">
        <v>742</v>
      </c>
      <c r="X120" t="str">
        <f>IF(COUNTIF(X$1:X119,X119)&gt;7,REPLACE(X119,LEN(X119),1,VALUE(RIGHT(X119,1))+1),X119)</f>
        <v>A3.10</v>
      </c>
      <c r="Y120" s="43" cm="1">
        <f t="array" ref="Y120">IF(COUNTIFS($X$2:$X120,$X120)=1,"1",VALUE(SUBSTITUTE(INDEX(Y:Y,_xlfn.XMATCH($X120,$X$1:$X119,0,-1)),"A",""))+INDEX(Z:Z,_xlfn.XMATCH($X120,$X$1:$X119,0,-1))+1)</f>
        <v>7</v>
      </c>
      <c r="Z120" s="43" cm="1">
        <f t="array" ref="Z120">SUM(IF(ISNUMBER(FIND("TmAi",$BA$1:$ZZ$1)),IF(IFERROR(ISODD(SUBSTITUTE($BA120:$ZZ120,"A","")),FALSE),IF(ISODD(SUBSTITUTE($BA120:$ZZ120,"A","")),1,0),0)))</f>
        <v>0</v>
      </c>
      <c r="AA120" t="str">
        <f t="shared" si="125"/>
        <v>13B</v>
      </c>
      <c r="AB120" t="str">
        <f t="shared" si="126"/>
        <v>14B</v>
      </c>
      <c r="AL120" t="s">
        <v>137</v>
      </c>
      <c r="AO120" t="s">
        <v>396</v>
      </c>
      <c r="JV120" s="27" t="str">
        <f t="shared" ref="JV120:JV168" si="128">CONCATENATE("XT",U120)</f>
        <v>XT55</v>
      </c>
      <c r="JY120" t="str">
        <f t="shared" ref="JY120:JY168" si="129">CONCATENATE(T120,"-AI",REPLACE($X120,1,3,""),"-",AA120)</f>
        <v>F0-AI10-13B</v>
      </c>
      <c r="JZ120" t="str">
        <f t="shared" ref="JZ120:JZ168" si="130">CONCATENATE(T120,"-AI",REPLACE($X120,1,3,""),"-",AB120)</f>
        <v>F0-AI10-14B</v>
      </c>
      <c r="KE120" cm="1">
        <f t="array" ref="KE120">IF(COUNTIFS($U$2:$U120,$U120)=1,1,INDEX(KE:KE,_xlfn.XMATCH(U120,U$1:U119,0,-1))+COUNT(KE119:KI119))</f>
        <v>201</v>
      </c>
      <c r="KF120">
        <f t="shared" si="127"/>
        <v>202</v>
      </c>
      <c r="KG120">
        <f t="shared" si="127"/>
        <v>203</v>
      </c>
      <c r="KJ120">
        <v>1</v>
      </c>
      <c r="KK120" s="16">
        <v>2</v>
      </c>
      <c r="KO120" s="16"/>
    </row>
    <row r="121" spans="1:301" x14ac:dyDescent="0.25">
      <c r="A121" t="s">
        <v>698</v>
      </c>
      <c r="B121" t="s">
        <v>719</v>
      </c>
      <c r="C121" t="s">
        <v>498</v>
      </c>
      <c r="P121" t="s">
        <v>482</v>
      </c>
      <c r="T121" s="14" t="s">
        <v>554</v>
      </c>
      <c r="U121">
        <v>55</v>
      </c>
      <c r="V121" t="s">
        <v>743</v>
      </c>
      <c r="X121" s="33" t="str">
        <f>IF(COUNTIF(X$1:X120,X120)&gt;7,REPLACE(X120,LEN(X120),1,VALUE(RIGHT(X120,1))+1),X120)</f>
        <v>A3.10</v>
      </c>
      <c r="Y121" s="45" cm="1">
        <f t="array" ref="Y121">IF(COUNTIFS($X$2:$X121,$X121)=1,"1",VALUE(SUBSTITUTE(INDEX(Y:Y,_xlfn.XMATCH($X121,$X$1:$X120,0,-1)),"A",""))+INDEX(Z:Z,_xlfn.XMATCH($X121,$X$1:$X120,0,-1))+1)</f>
        <v>8</v>
      </c>
      <c r="Z121" s="43" cm="1">
        <f t="array" ref="Z121">SUM(IF(ISNUMBER(FIND("TmAi",$BA$1:$ZZ$1)),IF(IFERROR(ISODD(SUBSTITUTE($BA121:$ZZ121,"A","")),FALSE),IF(ISODD(SUBSTITUTE($BA121:$ZZ121,"A","")),1,0),0)))</f>
        <v>0</v>
      </c>
      <c r="AA121" t="str">
        <f t="shared" si="125"/>
        <v>15B</v>
      </c>
      <c r="AB121" t="str">
        <f t="shared" si="126"/>
        <v>16B</v>
      </c>
      <c r="AL121" t="s">
        <v>137</v>
      </c>
      <c r="AO121" t="s">
        <v>396</v>
      </c>
      <c r="JV121" s="27" t="str">
        <f t="shared" si="128"/>
        <v>XT55</v>
      </c>
      <c r="JY121" t="str">
        <f t="shared" si="129"/>
        <v>F0-AI10-15B</v>
      </c>
      <c r="JZ121" t="str">
        <f t="shared" si="130"/>
        <v>F0-AI10-16B</v>
      </c>
      <c r="KE121" cm="1">
        <f t="array" ref="KE121">IF(COUNTIFS($U$2:$U121,$U121)=1,1,INDEX(KE:KE,_xlfn.XMATCH(U121,U$1:U120,0,-1))+COUNT(KE120:KI120))</f>
        <v>204</v>
      </c>
      <c r="KF121">
        <f t="shared" si="127"/>
        <v>205</v>
      </c>
      <c r="KG121">
        <f t="shared" si="127"/>
        <v>206</v>
      </c>
      <c r="KJ121">
        <v>1</v>
      </c>
      <c r="KK121" s="16">
        <v>2</v>
      </c>
      <c r="KO121" s="16"/>
    </row>
    <row r="122" spans="1:301" x14ac:dyDescent="0.25">
      <c r="A122" t="s">
        <v>699</v>
      </c>
      <c r="B122" s="33" t="s">
        <v>720</v>
      </c>
      <c r="C122" t="s">
        <v>492</v>
      </c>
      <c r="P122" t="s">
        <v>482</v>
      </c>
      <c r="T122" s="14" t="s">
        <v>554</v>
      </c>
      <c r="U122">
        <v>55</v>
      </c>
      <c r="V122" t="s">
        <v>744</v>
      </c>
      <c r="X122" t="str">
        <f>IF(COUNTIF(X$1:X121,X121)&gt;7,REPLACE(X121,LEN(X121),1,VALUE(RIGHT(X121,1))+1),X121)</f>
        <v>A3.11</v>
      </c>
      <c r="Y122" s="43" t="str" cm="1">
        <f t="array" ref="Y122">IF(COUNTIFS($X$2:$X122,$X122)=1,"1",VALUE(SUBSTITUTE(INDEX(Y:Y,_xlfn.XMATCH($X122,$X$1:$X121,0,-1)),"A",""))+INDEX(Z:Z,_xlfn.XMATCH($X122,$X$1:$X121,0,-1))+1)</f>
        <v>1</v>
      </c>
      <c r="Z122" s="43" cm="1">
        <f t="array" ref="Z122">SUM(IF(ISNUMBER(FIND("TmAi",$BA$1:$ZZ$1)),IF(IFERROR(ISODD(SUBSTITUTE($BA122:$ZZ122,"A","")),FALSE),IF(ISODD(SUBSTITUTE($BA122:$ZZ122,"A","")),1,0),0)))</f>
        <v>0</v>
      </c>
      <c r="AA122" t="str">
        <f t="shared" si="125"/>
        <v>1B</v>
      </c>
      <c r="AB122" t="str">
        <f t="shared" si="126"/>
        <v>2B</v>
      </c>
      <c r="AL122" t="s">
        <v>137</v>
      </c>
      <c r="AO122" t="s">
        <v>396</v>
      </c>
      <c r="JV122" s="27" t="str">
        <f t="shared" si="128"/>
        <v>XT55</v>
      </c>
      <c r="JY122" t="str">
        <f t="shared" si="129"/>
        <v>F0-AI11-1B</v>
      </c>
      <c r="JZ122" t="str">
        <f t="shared" si="130"/>
        <v>F0-AI11-2B</v>
      </c>
      <c r="KE122" cm="1">
        <f t="array" ref="KE122">IF(COUNTIFS($U$2:$U122,$U122)=1,1,INDEX(KE:KE,_xlfn.XMATCH(U122,U$1:U121,0,-1))+COUNT(KE121:KI121))</f>
        <v>207</v>
      </c>
      <c r="KF122">
        <f t="shared" si="127"/>
        <v>208</v>
      </c>
      <c r="KG122">
        <f t="shared" si="127"/>
        <v>209</v>
      </c>
      <c r="KJ122">
        <v>1</v>
      </c>
      <c r="KK122" s="16">
        <v>2</v>
      </c>
      <c r="KO122" s="16"/>
    </row>
    <row r="123" spans="1:301" x14ac:dyDescent="0.25">
      <c r="A123" t="s">
        <v>700</v>
      </c>
      <c r="B123" t="s">
        <v>721</v>
      </c>
      <c r="C123" t="s">
        <v>492</v>
      </c>
      <c r="P123" t="s">
        <v>482</v>
      </c>
      <c r="T123" s="14" t="s">
        <v>554</v>
      </c>
      <c r="U123">
        <v>55</v>
      </c>
      <c r="V123" t="s">
        <v>745</v>
      </c>
      <c r="X123" t="str">
        <f>IF(COUNTIF(X$1:X122,X122)&gt;7,REPLACE(X122,LEN(X122),1,VALUE(RIGHT(X122,1))+1),X122)</f>
        <v>A3.11</v>
      </c>
      <c r="Y123" s="43" cm="1">
        <f t="array" ref="Y123">IF(COUNTIFS($X$2:$X123,$X123)=1,"1",VALUE(SUBSTITUTE(INDEX(Y:Y,_xlfn.XMATCH($X123,$X$1:$X122,0,-1)),"A",""))+INDEX(Z:Z,_xlfn.XMATCH($X123,$X$1:$X122,0,-1))+1)</f>
        <v>2</v>
      </c>
      <c r="Z123" s="43" cm="1">
        <f t="array" ref="Z123">SUM(IF(ISNUMBER(FIND("TmAi",$BA$1:$ZZ$1)),IF(IFERROR(ISODD(SUBSTITUTE($BA123:$ZZ123,"A","")),FALSE),IF(ISODD(SUBSTITUTE($BA123:$ZZ123,"A","")),1,0),0)))</f>
        <v>0</v>
      </c>
      <c r="AA123" t="str">
        <f t="shared" si="125"/>
        <v>3B</v>
      </c>
      <c r="AB123" t="str">
        <f t="shared" si="126"/>
        <v>4B</v>
      </c>
      <c r="AL123" t="s">
        <v>137</v>
      </c>
      <c r="AO123" t="s">
        <v>396</v>
      </c>
      <c r="JV123" s="27" t="str">
        <f t="shared" si="128"/>
        <v>XT55</v>
      </c>
      <c r="JY123" t="str">
        <f t="shared" si="129"/>
        <v>F0-AI11-3B</v>
      </c>
      <c r="JZ123" t="str">
        <f t="shared" si="130"/>
        <v>F0-AI11-4B</v>
      </c>
      <c r="KE123" cm="1">
        <f t="array" ref="KE123">IF(COUNTIFS($U$2:$U123,$U123)=1,1,INDEX(KE:KE,_xlfn.XMATCH(U123,U$1:U122,0,-1))+COUNT(KE122:KI122))</f>
        <v>210</v>
      </c>
      <c r="KF123">
        <f t="shared" ref="KF123:KG161" si="131">KE123+1</f>
        <v>211</v>
      </c>
      <c r="KG123">
        <f t="shared" si="131"/>
        <v>212</v>
      </c>
      <c r="KJ123">
        <v>1</v>
      </c>
      <c r="KK123" s="16">
        <v>2</v>
      </c>
      <c r="KO123" s="16"/>
    </row>
    <row r="124" spans="1:301" x14ac:dyDescent="0.25">
      <c r="A124" t="s">
        <v>701</v>
      </c>
      <c r="B124" t="s">
        <v>722</v>
      </c>
      <c r="C124" t="s">
        <v>498</v>
      </c>
      <c r="P124" t="s">
        <v>482</v>
      </c>
      <c r="T124" s="14" t="s">
        <v>554</v>
      </c>
      <c r="U124">
        <v>55</v>
      </c>
      <c r="V124" t="s">
        <v>746</v>
      </c>
      <c r="X124" t="str">
        <f>IF(COUNTIF(X$1:X123,X123)&gt;7,REPLACE(X123,LEN(X123),1,VALUE(RIGHT(X123,1))+1),X123)</f>
        <v>A3.11</v>
      </c>
      <c r="Y124" s="43" cm="1">
        <f t="array" ref="Y124">IF(COUNTIFS($X$2:$X124,$X124)=1,"1",VALUE(SUBSTITUTE(INDEX(Y:Y,_xlfn.XMATCH($X124,$X$1:$X123,0,-1)),"A",""))+INDEX(Z:Z,_xlfn.XMATCH($X124,$X$1:$X123,0,-1))+1)</f>
        <v>3</v>
      </c>
      <c r="Z124" s="43" cm="1">
        <f t="array" ref="Z124">SUM(IF(ISNUMBER(FIND("TmAi",$BA$1:$ZZ$1)),IF(IFERROR(ISODD(SUBSTITUTE($BA124:$ZZ124,"A","")),FALSE),IF(ISODD(SUBSTITUTE($BA124:$ZZ124,"A","")),1,0),0)))</f>
        <v>0</v>
      </c>
      <c r="AA124" t="str">
        <f t="shared" si="125"/>
        <v>5B</v>
      </c>
      <c r="AB124" t="str">
        <f t="shared" si="126"/>
        <v>6B</v>
      </c>
      <c r="AL124" t="s">
        <v>137</v>
      </c>
      <c r="AO124" t="s">
        <v>396</v>
      </c>
      <c r="JV124" s="27" t="str">
        <f t="shared" si="128"/>
        <v>XT55</v>
      </c>
      <c r="JY124" t="str">
        <f t="shared" si="129"/>
        <v>F0-AI11-5B</v>
      </c>
      <c r="JZ124" t="str">
        <f t="shared" si="130"/>
        <v>F0-AI11-6B</v>
      </c>
      <c r="KE124" cm="1">
        <f t="array" ref="KE124">IF(COUNTIFS($U$2:$U124,$U124)=1,1,INDEX(KE:KE,_xlfn.XMATCH(U124,U$1:U123,0,-1))+COUNT(KE123:KI123))</f>
        <v>213</v>
      </c>
      <c r="KF124">
        <f t="shared" si="131"/>
        <v>214</v>
      </c>
      <c r="KG124">
        <f t="shared" si="131"/>
        <v>215</v>
      </c>
      <c r="KJ124">
        <v>1</v>
      </c>
      <c r="KK124" s="16">
        <v>2</v>
      </c>
      <c r="KO124" s="16"/>
    </row>
    <row r="125" spans="1:301" x14ac:dyDescent="0.25">
      <c r="A125" t="s">
        <v>702</v>
      </c>
      <c r="B125" s="33" t="s">
        <v>723</v>
      </c>
      <c r="C125" t="s">
        <v>492</v>
      </c>
      <c r="P125" t="s">
        <v>482</v>
      </c>
      <c r="T125" s="14" t="s">
        <v>554</v>
      </c>
      <c r="U125">
        <v>55</v>
      </c>
      <c r="V125" t="s">
        <v>747</v>
      </c>
      <c r="X125" t="str">
        <f>IF(COUNTIF(X$1:X124,X124)&gt;7,REPLACE(X124,LEN(X124),1,VALUE(RIGHT(X124,1))+1),X124)</f>
        <v>A3.11</v>
      </c>
      <c r="Y125" s="43" cm="1">
        <f t="array" ref="Y125">IF(COUNTIFS($X$2:$X125,$X125)=1,"1",VALUE(SUBSTITUTE(INDEX(Y:Y,_xlfn.XMATCH($X125,$X$1:$X124,0,-1)),"A",""))+INDEX(Z:Z,_xlfn.XMATCH($X125,$X$1:$X124,0,-1))+1)</f>
        <v>4</v>
      </c>
      <c r="Z125" s="43" cm="1">
        <f t="array" ref="Z125">SUM(IF(ISNUMBER(FIND("TmAi",$BA$1:$ZZ$1)),IF(IFERROR(ISODD(SUBSTITUTE($BA125:$ZZ125,"A","")),FALSE),IF(ISODD(SUBSTITUTE($BA125:$ZZ125,"A","")),1,0),0)))</f>
        <v>0</v>
      </c>
      <c r="AA125" t="str">
        <f t="shared" si="125"/>
        <v>7B</v>
      </c>
      <c r="AB125" t="str">
        <f t="shared" si="126"/>
        <v>8B</v>
      </c>
      <c r="AL125" t="s">
        <v>137</v>
      </c>
      <c r="AO125" t="s">
        <v>396</v>
      </c>
      <c r="JV125" s="27" t="str">
        <f t="shared" si="128"/>
        <v>XT55</v>
      </c>
      <c r="JY125" t="str">
        <f t="shared" si="129"/>
        <v>F0-AI11-7B</v>
      </c>
      <c r="JZ125" t="str">
        <f t="shared" si="130"/>
        <v>F0-AI11-8B</v>
      </c>
      <c r="KE125" cm="1">
        <f t="array" ref="KE125">IF(COUNTIFS($U$2:$U125,$U125)=1,1,INDEX(KE:KE,_xlfn.XMATCH(U125,U$1:U124,0,-1))+COUNT(KE124:KI124))</f>
        <v>216</v>
      </c>
      <c r="KF125">
        <f t="shared" si="131"/>
        <v>217</v>
      </c>
      <c r="KG125">
        <f t="shared" si="131"/>
        <v>218</v>
      </c>
      <c r="KJ125">
        <v>1</v>
      </c>
      <c r="KK125" s="16">
        <v>2</v>
      </c>
      <c r="KO125" s="16"/>
    </row>
    <row r="126" spans="1:301" x14ac:dyDescent="0.25">
      <c r="A126" t="s">
        <v>703</v>
      </c>
      <c r="B126" t="s">
        <v>724</v>
      </c>
      <c r="C126" t="s">
        <v>492</v>
      </c>
      <c r="P126" t="s">
        <v>482</v>
      </c>
      <c r="T126" s="14" t="s">
        <v>554</v>
      </c>
      <c r="U126">
        <v>55</v>
      </c>
      <c r="V126" t="s">
        <v>748</v>
      </c>
      <c r="X126" t="str">
        <f>IF(COUNTIF(X$1:X125,X125)&gt;7,REPLACE(X125,LEN(X125),1,VALUE(RIGHT(X125,1))+1),X125)</f>
        <v>A3.11</v>
      </c>
      <c r="Y126" s="43" cm="1">
        <f t="array" ref="Y126">IF(COUNTIFS($X$2:$X126,$X126)=1,"1",VALUE(SUBSTITUTE(INDEX(Y:Y,_xlfn.XMATCH($X126,$X$1:$X125,0,-1)),"A",""))+INDEX(Z:Z,_xlfn.XMATCH($X126,$X$1:$X125,0,-1))+1)</f>
        <v>5</v>
      </c>
      <c r="Z126" s="43" cm="1">
        <f t="array" ref="Z126">SUM(IF(ISNUMBER(FIND("TmAi",$BA$1:$ZZ$1)),IF(IFERROR(ISODD(SUBSTITUTE($BA126:$ZZ126,"A","")),FALSE),IF(ISODD(SUBSTITUTE($BA126:$ZZ126,"A","")),1,0),0)))</f>
        <v>0</v>
      </c>
      <c r="AA126" t="str">
        <f t="shared" si="125"/>
        <v>9B</v>
      </c>
      <c r="AB126" t="str">
        <f t="shared" si="126"/>
        <v>10B</v>
      </c>
      <c r="AL126" t="s">
        <v>137</v>
      </c>
      <c r="AO126" t="s">
        <v>396</v>
      </c>
      <c r="JV126" s="27" t="str">
        <f t="shared" si="128"/>
        <v>XT55</v>
      </c>
      <c r="JY126" t="str">
        <f t="shared" si="129"/>
        <v>F0-AI11-9B</v>
      </c>
      <c r="JZ126" t="str">
        <f t="shared" si="130"/>
        <v>F0-AI11-10B</v>
      </c>
      <c r="KE126" cm="1">
        <f t="array" ref="KE126">IF(COUNTIFS($U$2:$U126,$U126)=1,1,INDEX(KE:KE,_xlfn.XMATCH(U126,U$1:U125,0,-1))+COUNT(KE125:KI125))</f>
        <v>219</v>
      </c>
      <c r="KF126">
        <f t="shared" si="131"/>
        <v>220</v>
      </c>
      <c r="KG126">
        <f t="shared" si="131"/>
        <v>221</v>
      </c>
      <c r="KJ126">
        <v>1</v>
      </c>
      <c r="KK126" s="16">
        <v>2</v>
      </c>
      <c r="KO126" s="16"/>
    </row>
    <row r="127" spans="1:301" x14ac:dyDescent="0.25">
      <c r="A127" t="s">
        <v>704</v>
      </c>
      <c r="B127" t="s">
        <v>725</v>
      </c>
      <c r="C127" t="s">
        <v>498</v>
      </c>
      <c r="P127" t="s">
        <v>482</v>
      </c>
      <c r="T127" s="14" t="s">
        <v>554</v>
      </c>
      <c r="U127">
        <v>55</v>
      </c>
      <c r="V127" t="s">
        <v>749</v>
      </c>
      <c r="X127" t="str">
        <f>IF(COUNTIF(X$1:X126,X126)&gt;7,REPLACE(X126,LEN(X126),1,VALUE(RIGHT(X126,1))+1),X126)</f>
        <v>A3.11</v>
      </c>
      <c r="Y127" s="43" cm="1">
        <f t="array" ref="Y127">IF(COUNTIFS($X$2:$X127,$X127)=1,"1",VALUE(SUBSTITUTE(INDEX(Y:Y,_xlfn.XMATCH($X127,$X$1:$X126,0,-1)),"A",""))+INDEX(Z:Z,_xlfn.XMATCH($X127,$X$1:$X126,0,-1))+1)</f>
        <v>6</v>
      </c>
      <c r="Z127" s="43" cm="1">
        <f t="array" ref="Z127">SUM(IF(ISNUMBER(FIND("TmAi",$BA$1:$ZZ$1)),IF(IFERROR(ISODD(SUBSTITUTE($BA127:$ZZ127,"A","")),FALSE),IF(ISODD(SUBSTITUTE($BA127:$ZZ127,"A","")),1,0),0)))</f>
        <v>0</v>
      </c>
      <c r="AA127" t="str">
        <f t="shared" si="125"/>
        <v>11B</v>
      </c>
      <c r="AB127" t="str">
        <f t="shared" si="126"/>
        <v>12B</v>
      </c>
      <c r="AL127" t="s">
        <v>137</v>
      </c>
      <c r="AO127" t="s">
        <v>396</v>
      </c>
      <c r="JV127" s="27" t="str">
        <f t="shared" si="128"/>
        <v>XT55</v>
      </c>
      <c r="JY127" t="str">
        <f t="shared" si="129"/>
        <v>F0-AI11-11B</v>
      </c>
      <c r="JZ127" t="str">
        <f t="shared" si="130"/>
        <v>F0-AI11-12B</v>
      </c>
      <c r="KE127" cm="1">
        <f t="array" ref="KE127">IF(COUNTIFS($U$2:$U127,$U127)=1,1,INDEX(KE:KE,_xlfn.XMATCH(U127,U$1:U126,0,-1))+COUNT(KE126:KI126))</f>
        <v>222</v>
      </c>
      <c r="KF127">
        <f t="shared" si="131"/>
        <v>223</v>
      </c>
      <c r="KG127">
        <f t="shared" si="131"/>
        <v>224</v>
      </c>
      <c r="KJ127">
        <v>1</v>
      </c>
      <c r="KK127" s="16">
        <v>2</v>
      </c>
      <c r="KO127" s="16"/>
    </row>
    <row r="128" spans="1:301" x14ac:dyDescent="0.25">
      <c r="A128" t="s">
        <v>705</v>
      </c>
      <c r="B128" s="33" t="s">
        <v>726</v>
      </c>
      <c r="C128" t="s">
        <v>492</v>
      </c>
      <c r="P128" t="s">
        <v>482</v>
      </c>
      <c r="T128" s="14" t="s">
        <v>554</v>
      </c>
      <c r="U128">
        <v>55</v>
      </c>
      <c r="V128" t="s">
        <v>750</v>
      </c>
      <c r="X128" t="str">
        <f>IF(COUNTIF(X$1:X127,X127)&gt;7,REPLACE(X127,LEN(X127),1,VALUE(RIGHT(X127,1))+1),X127)</f>
        <v>A3.11</v>
      </c>
      <c r="Y128" s="43" cm="1">
        <f t="array" ref="Y128">IF(COUNTIFS($X$2:$X128,$X128)=1,"1",VALUE(SUBSTITUTE(INDEX(Y:Y,_xlfn.XMATCH($X128,$X$1:$X127,0,-1)),"A",""))+INDEX(Z:Z,_xlfn.XMATCH($X128,$X$1:$X127,0,-1))+1)</f>
        <v>7</v>
      </c>
      <c r="Z128" s="43" cm="1">
        <f t="array" ref="Z128">SUM(IF(ISNUMBER(FIND("TmAi",$BA$1:$ZZ$1)),IF(IFERROR(ISODD(SUBSTITUTE($BA128:$ZZ128,"A","")),FALSE),IF(ISODD(SUBSTITUTE($BA128:$ZZ128,"A","")),1,0),0)))</f>
        <v>0</v>
      </c>
      <c r="AA128" t="str">
        <f t="shared" si="125"/>
        <v>13B</v>
      </c>
      <c r="AB128" t="str">
        <f t="shared" si="126"/>
        <v>14B</v>
      </c>
      <c r="AL128" t="s">
        <v>137</v>
      </c>
      <c r="AO128" t="s">
        <v>396</v>
      </c>
      <c r="JV128" s="27" t="str">
        <f t="shared" si="128"/>
        <v>XT55</v>
      </c>
      <c r="JY128" t="str">
        <f t="shared" si="129"/>
        <v>F0-AI11-13B</v>
      </c>
      <c r="JZ128" t="str">
        <f t="shared" si="130"/>
        <v>F0-AI11-14B</v>
      </c>
      <c r="KE128" cm="1">
        <f t="array" ref="KE128">IF(COUNTIFS($U$2:$U128,$U128)=1,1,INDEX(KE:KE,_xlfn.XMATCH(U128,U$1:U127,0,-1))+COUNT(KE127:KI127))</f>
        <v>225</v>
      </c>
      <c r="KF128">
        <f t="shared" si="131"/>
        <v>226</v>
      </c>
      <c r="KG128">
        <f t="shared" si="131"/>
        <v>227</v>
      </c>
      <c r="KJ128">
        <v>1</v>
      </c>
      <c r="KK128" s="16">
        <v>2</v>
      </c>
      <c r="KO128" s="16"/>
    </row>
    <row r="129" spans="1:301" x14ac:dyDescent="0.25">
      <c r="A129" t="s">
        <v>706</v>
      </c>
      <c r="B129" t="s">
        <v>727</v>
      </c>
      <c r="C129" t="s">
        <v>492</v>
      </c>
      <c r="P129" t="s">
        <v>482</v>
      </c>
      <c r="T129" s="14" t="s">
        <v>554</v>
      </c>
      <c r="U129">
        <v>55</v>
      </c>
      <c r="V129" t="s">
        <v>751</v>
      </c>
      <c r="X129" s="33" t="str">
        <f>IF(COUNTIF(X$1:X128,X128)&gt;7,REPLACE(X128,LEN(X128),1,VALUE(RIGHT(X128,1))+1),X128)</f>
        <v>A3.11</v>
      </c>
      <c r="Y129" s="45" cm="1">
        <f t="array" ref="Y129">IF(COUNTIFS($X$2:$X129,$X129)=1,"1",VALUE(SUBSTITUTE(INDEX(Y:Y,_xlfn.XMATCH($X129,$X$1:$X128,0,-1)),"A",""))+INDEX(Z:Z,_xlfn.XMATCH($X129,$X$1:$X128,0,-1))+1)</f>
        <v>8</v>
      </c>
      <c r="Z129" s="43" cm="1">
        <f t="array" ref="Z129">SUM(IF(ISNUMBER(FIND("TmAi",$BA$1:$ZZ$1)),IF(IFERROR(ISODD(SUBSTITUTE($BA129:$ZZ129,"A","")),FALSE),IF(ISODD(SUBSTITUTE($BA129:$ZZ129,"A","")),1,0),0)))</f>
        <v>0</v>
      </c>
      <c r="AA129" t="str">
        <f t="shared" si="125"/>
        <v>15B</v>
      </c>
      <c r="AB129" t="str">
        <f t="shared" si="126"/>
        <v>16B</v>
      </c>
      <c r="AL129" t="s">
        <v>137</v>
      </c>
      <c r="AO129" t="s">
        <v>396</v>
      </c>
      <c r="JV129" s="27" t="str">
        <f t="shared" si="128"/>
        <v>XT55</v>
      </c>
      <c r="JY129" t="str">
        <f t="shared" si="129"/>
        <v>F0-AI11-15B</v>
      </c>
      <c r="JZ129" t="str">
        <f t="shared" si="130"/>
        <v>F0-AI11-16B</v>
      </c>
      <c r="KE129" cm="1">
        <f t="array" ref="KE129">IF(COUNTIFS($U$2:$U129,$U129)=1,1,INDEX(KE:KE,_xlfn.XMATCH(U129,U$1:U128,0,-1))+COUNT(KE128:KI128))</f>
        <v>228</v>
      </c>
      <c r="KF129">
        <f t="shared" si="131"/>
        <v>229</v>
      </c>
      <c r="KG129">
        <f t="shared" si="131"/>
        <v>230</v>
      </c>
      <c r="KJ129">
        <v>1</v>
      </c>
      <c r="KK129" s="16">
        <v>2</v>
      </c>
      <c r="KO129" s="16"/>
    </row>
    <row r="130" spans="1:301" x14ac:dyDescent="0.25">
      <c r="A130" t="s">
        <v>707</v>
      </c>
      <c r="B130" t="s">
        <v>728</v>
      </c>
      <c r="C130" t="s">
        <v>498</v>
      </c>
      <c r="P130" t="s">
        <v>482</v>
      </c>
      <c r="T130" s="14" t="s">
        <v>554</v>
      </c>
      <c r="U130">
        <v>55</v>
      </c>
      <c r="V130" t="s">
        <v>752</v>
      </c>
      <c r="X130" t="str">
        <f>IF(COUNTIF(X$1:X129,X129)&gt;7,REPLACE(X129,LEN(X129),1,VALUE(RIGHT(X129,1))+1),X129)</f>
        <v>A3.12</v>
      </c>
      <c r="Y130" s="43" t="str" cm="1">
        <f t="array" ref="Y130">IF(COUNTIFS($X$2:$X130,$X130)=1,"1",VALUE(SUBSTITUTE(INDEX(Y:Y,_xlfn.XMATCH($X130,$X$1:$X129,0,-1)),"A",""))+INDEX(Z:Z,_xlfn.XMATCH($X130,$X$1:$X129,0,-1))+1)</f>
        <v>1</v>
      </c>
      <c r="Z130" s="43" cm="1">
        <f t="array" ref="Z130">SUM(IF(ISNUMBER(FIND("TmAi",$BA$1:$ZZ$1)),IF(IFERROR(ISODD(SUBSTITUTE($BA130:$ZZ130,"A","")),FALSE),IF(ISODD(SUBSTITUTE($BA130:$ZZ130,"A","")),1,0),0)))</f>
        <v>0</v>
      </c>
      <c r="AA130" t="str">
        <f t="shared" si="125"/>
        <v>1B</v>
      </c>
      <c r="AB130" t="str">
        <f t="shared" si="126"/>
        <v>2B</v>
      </c>
      <c r="AL130" t="s">
        <v>137</v>
      </c>
      <c r="AO130" t="s">
        <v>396</v>
      </c>
      <c r="JV130" s="27" t="str">
        <f t="shared" si="128"/>
        <v>XT55</v>
      </c>
      <c r="JY130" t="str">
        <f t="shared" si="129"/>
        <v>F0-AI12-1B</v>
      </c>
      <c r="JZ130" t="str">
        <f t="shared" si="130"/>
        <v>F0-AI12-2B</v>
      </c>
      <c r="KE130" cm="1">
        <f t="array" ref="KE130">IF(COUNTIFS($U$2:$U130,$U130)=1,1,INDEX(KE:KE,_xlfn.XMATCH(U130,U$1:U129,0,-1))+COUNT(KE129:KI129))</f>
        <v>231</v>
      </c>
      <c r="KF130">
        <f t="shared" si="131"/>
        <v>232</v>
      </c>
      <c r="KG130">
        <f t="shared" si="131"/>
        <v>233</v>
      </c>
      <c r="KJ130">
        <v>1</v>
      </c>
      <c r="KK130" s="16">
        <v>2</v>
      </c>
      <c r="KO130" s="16"/>
    </row>
    <row r="131" spans="1:301" x14ac:dyDescent="0.25">
      <c r="A131" t="s">
        <v>708</v>
      </c>
      <c r="B131" s="33" t="s">
        <v>729</v>
      </c>
      <c r="C131" t="s">
        <v>492</v>
      </c>
      <c r="P131" t="s">
        <v>482</v>
      </c>
      <c r="T131" s="14" t="s">
        <v>554</v>
      </c>
      <c r="U131">
        <v>55</v>
      </c>
      <c r="V131" t="s">
        <v>753</v>
      </c>
      <c r="X131" t="str">
        <f>IF(COUNTIF(X$1:X130,X130)&gt;7,REPLACE(X130,LEN(X130),1,VALUE(RIGHT(X130,1))+1),X130)</f>
        <v>A3.12</v>
      </c>
      <c r="Y131" s="43" cm="1">
        <f t="array" ref="Y131">IF(COUNTIFS($X$2:$X131,$X131)=1,"1",VALUE(SUBSTITUTE(INDEX(Y:Y,_xlfn.XMATCH($X131,$X$1:$X130,0,-1)),"A",""))+INDEX(Z:Z,_xlfn.XMATCH($X131,$X$1:$X130,0,-1))+1)</f>
        <v>2</v>
      </c>
      <c r="Z131" s="43" cm="1">
        <f t="array" ref="Z131">SUM(IF(ISNUMBER(FIND("TmAi",$BA$1:$ZZ$1)),IF(IFERROR(ISODD(SUBSTITUTE($BA131:$ZZ131,"A","")),FALSE),IF(ISODD(SUBSTITUTE($BA131:$ZZ131,"A","")),1,0),0)))</f>
        <v>0</v>
      </c>
      <c r="AA131" t="str">
        <f t="shared" si="125"/>
        <v>3B</v>
      </c>
      <c r="AB131" t="str">
        <f t="shared" si="126"/>
        <v>4B</v>
      </c>
      <c r="AL131" t="s">
        <v>137</v>
      </c>
      <c r="AO131" t="s">
        <v>396</v>
      </c>
      <c r="JV131" s="27" t="str">
        <f t="shared" si="128"/>
        <v>XT55</v>
      </c>
      <c r="JY131" t="str">
        <f t="shared" si="129"/>
        <v>F0-AI12-3B</v>
      </c>
      <c r="JZ131" t="str">
        <f t="shared" si="130"/>
        <v>F0-AI12-4B</v>
      </c>
      <c r="KE131" cm="1">
        <f t="array" ref="KE131">IF(COUNTIFS($U$2:$U131,$U131)=1,1,INDEX(KE:KE,_xlfn.XMATCH(U131,U$1:U130,0,-1))+COUNT(KE130:KI130))</f>
        <v>234</v>
      </c>
      <c r="KF131">
        <f t="shared" si="131"/>
        <v>235</v>
      </c>
      <c r="KG131">
        <f t="shared" si="131"/>
        <v>236</v>
      </c>
      <c r="KJ131">
        <v>1</v>
      </c>
      <c r="KK131" s="16">
        <v>2</v>
      </c>
      <c r="KO131" s="16"/>
    </row>
    <row r="132" spans="1:301" x14ac:dyDescent="0.25">
      <c r="A132" t="s">
        <v>709</v>
      </c>
      <c r="B132" t="s">
        <v>730</v>
      </c>
      <c r="C132" t="s">
        <v>492</v>
      </c>
      <c r="P132" t="s">
        <v>482</v>
      </c>
      <c r="T132" s="14" t="s">
        <v>554</v>
      </c>
      <c r="U132">
        <v>55</v>
      </c>
      <c r="V132" t="s">
        <v>754</v>
      </c>
      <c r="X132" t="str">
        <f>IF(COUNTIF(X$1:X131,X131)&gt;7,REPLACE(X131,LEN(X131),1,VALUE(RIGHT(X131,1))+1),X131)</f>
        <v>A3.12</v>
      </c>
      <c r="Y132" s="43" cm="1">
        <f t="array" ref="Y132">IF(COUNTIFS($X$2:$X132,$X132)=1,"1",VALUE(SUBSTITUTE(INDEX(Y:Y,_xlfn.XMATCH($X132,$X$1:$X131,0,-1)),"A",""))+INDEX(Z:Z,_xlfn.XMATCH($X132,$X$1:$X131,0,-1))+1)</f>
        <v>3</v>
      </c>
      <c r="Z132" s="43" cm="1">
        <f t="array" ref="Z132">SUM(IF(ISNUMBER(FIND("TmAi",$BA$1:$ZZ$1)),IF(IFERROR(ISODD(SUBSTITUTE($BA132:$ZZ132,"A","")),FALSE),IF(ISODD(SUBSTITUTE($BA132:$ZZ132,"A","")),1,0),0)))</f>
        <v>0</v>
      </c>
      <c r="AA132" t="str">
        <f t="shared" si="125"/>
        <v>5B</v>
      </c>
      <c r="AB132" t="str">
        <f t="shared" si="126"/>
        <v>6B</v>
      </c>
      <c r="AL132" t="s">
        <v>137</v>
      </c>
      <c r="AO132" t="s">
        <v>396</v>
      </c>
      <c r="JV132" s="27" t="str">
        <f t="shared" si="128"/>
        <v>XT55</v>
      </c>
      <c r="JY132" t="str">
        <f t="shared" si="129"/>
        <v>F0-AI12-5B</v>
      </c>
      <c r="JZ132" t="str">
        <f t="shared" si="130"/>
        <v>F0-AI12-6B</v>
      </c>
      <c r="KE132" cm="1">
        <f t="array" ref="KE132">IF(COUNTIFS($U$2:$U132,$U132)=1,1,INDEX(KE:KE,_xlfn.XMATCH(U132,U$1:U131,0,-1))+COUNT(KE131:KI131))</f>
        <v>237</v>
      </c>
      <c r="KF132">
        <f t="shared" si="131"/>
        <v>238</v>
      </c>
      <c r="KG132">
        <f t="shared" si="131"/>
        <v>239</v>
      </c>
      <c r="KJ132">
        <v>1</v>
      </c>
      <c r="KK132" s="16">
        <v>2</v>
      </c>
      <c r="KO132" s="16"/>
    </row>
    <row r="133" spans="1:301" x14ac:dyDescent="0.25">
      <c r="A133" t="s">
        <v>710</v>
      </c>
      <c r="B133" t="s">
        <v>731</v>
      </c>
      <c r="C133" t="s">
        <v>498</v>
      </c>
      <c r="P133" t="s">
        <v>482</v>
      </c>
      <c r="T133" s="14" t="s">
        <v>554</v>
      </c>
      <c r="U133">
        <v>55</v>
      </c>
      <c r="V133" t="s">
        <v>755</v>
      </c>
      <c r="X133" t="str">
        <f>IF(COUNTIF(X$1:X132,X132)&gt;7,REPLACE(X132,LEN(X132),1,VALUE(RIGHT(X132,1))+1),X132)</f>
        <v>A3.12</v>
      </c>
      <c r="Y133" s="43" cm="1">
        <f t="array" ref="Y133">IF(COUNTIFS($X$2:$X133,$X133)=1,"1",VALUE(SUBSTITUTE(INDEX(Y:Y,_xlfn.XMATCH($X133,$X$1:$X132,0,-1)),"A",""))+INDEX(Z:Z,_xlfn.XMATCH($X133,$X$1:$X132,0,-1))+1)</f>
        <v>4</v>
      </c>
      <c r="Z133" s="43" cm="1">
        <f t="array" ref="Z133">SUM(IF(ISNUMBER(FIND("TmAi",$BA$1:$ZZ$1)),IF(IFERROR(ISODD(SUBSTITUTE($BA133:$ZZ133,"A","")),FALSE),IF(ISODD(SUBSTITUTE($BA133:$ZZ133,"A","")),1,0),0)))</f>
        <v>0</v>
      </c>
      <c r="AA133" t="str">
        <f t="shared" si="125"/>
        <v>7B</v>
      </c>
      <c r="AB133" t="str">
        <f t="shared" si="126"/>
        <v>8B</v>
      </c>
      <c r="AL133" t="s">
        <v>137</v>
      </c>
      <c r="AO133" t="s">
        <v>396</v>
      </c>
      <c r="JV133" s="27" t="str">
        <f t="shared" si="128"/>
        <v>XT55</v>
      </c>
      <c r="JY133" t="str">
        <f t="shared" si="129"/>
        <v>F0-AI12-7B</v>
      </c>
      <c r="JZ133" t="str">
        <f t="shared" si="130"/>
        <v>F0-AI12-8B</v>
      </c>
      <c r="KE133" cm="1">
        <f t="array" ref="KE133">IF(COUNTIFS($U$2:$U133,$U133)=1,1,INDEX(KE:KE,_xlfn.XMATCH(U133,U$1:U132,0,-1))+COUNT(KE132:KI132))</f>
        <v>240</v>
      </c>
      <c r="KF133">
        <f t="shared" si="131"/>
        <v>241</v>
      </c>
      <c r="KG133">
        <f t="shared" si="131"/>
        <v>242</v>
      </c>
      <c r="KJ133">
        <v>1</v>
      </c>
      <c r="KK133" s="16">
        <v>2</v>
      </c>
      <c r="KO133" s="16"/>
    </row>
    <row r="134" spans="1:301" x14ac:dyDescent="0.25">
      <c r="A134" t="s">
        <v>711</v>
      </c>
      <c r="B134" s="33" t="s">
        <v>732</v>
      </c>
      <c r="C134" t="s">
        <v>492</v>
      </c>
      <c r="P134" t="s">
        <v>482</v>
      </c>
      <c r="T134" s="14" t="s">
        <v>554</v>
      </c>
      <c r="U134">
        <v>55</v>
      </c>
      <c r="V134" t="s">
        <v>756</v>
      </c>
      <c r="X134" t="str">
        <f>IF(COUNTIF(X$1:X133,X133)&gt;7,REPLACE(X133,LEN(X133),1,VALUE(RIGHT(X133,1))+1),X133)</f>
        <v>A3.12</v>
      </c>
      <c r="Y134" s="43" cm="1">
        <f t="array" ref="Y134">IF(COUNTIFS($X$2:$X134,$X134)=1,"1",VALUE(SUBSTITUTE(INDEX(Y:Y,_xlfn.XMATCH($X134,$X$1:$X133,0,-1)),"A",""))+INDEX(Z:Z,_xlfn.XMATCH($X134,$X$1:$X133,0,-1))+1)</f>
        <v>5</v>
      </c>
      <c r="Z134" s="43" cm="1">
        <f t="array" ref="Z134">SUM(IF(ISNUMBER(FIND("TmAi",$BA$1:$ZZ$1)),IF(IFERROR(ISODD(SUBSTITUTE($BA134:$ZZ134,"A","")),FALSE),IF(ISODD(SUBSTITUTE($BA134:$ZZ134,"A","")),1,0),0)))</f>
        <v>0</v>
      </c>
      <c r="AA134" t="str">
        <f t="shared" si="125"/>
        <v>9B</v>
      </c>
      <c r="AB134" t="str">
        <f t="shared" si="126"/>
        <v>10B</v>
      </c>
      <c r="AL134" t="s">
        <v>137</v>
      </c>
      <c r="AO134" t="s">
        <v>396</v>
      </c>
      <c r="JV134" s="27" t="str">
        <f t="shared" si="128"/>
        <v>XT55</v>
      </c>
      <c r="JY134" t="str">
        <f t="shared" si="129"/>
        <v>F0-AI12-9B</v>
      </c>
      <c r="JZ134" t="str">
        <f t="shared" si="130"/>
        <v>F0-AI12-10B</v>
      </c>
      <c r="KE134" cm="1">
        <f t="array" ref="KE134">IF(COUNTIFS($U$2:$U134,$U134)=1,1,INDEX(KE:KE,_xlfn.XMATCH(U134,U$1:U133,0,-1))+COUNT(KE133:KI133))</f>
        <v>243</v>
      </c>
      <c r="KF134">
        <f t="shared" si="131"/>
        <v>244</v>
      </c>
      <c r="KG134">
        <f t="shared" si="131"/>
        <v>245</v>
      </c>
      <c r="KJ134">
        <v>1</v>
      </c>
      <c r="KK134" s="16">
        <v>2</v>
      </c>
      <c r="KO134" s="16"/>
    </row>
    <row r="135" spans="1:301" x14ac:dyDescent="0.25">
      <c r="A135" t="s">
        <v>712</v>
      </c>
      <c r="B135" t="s">
        <v>733</v>
      </c>
      <c r="C135" t="s">
        <v>492</v>
      </c>
      <c r="P135" t="s">
        <v>482</v>
      </c>
      <c r="T135" s="14" t="s">
        <v>554</v>
      </c>
      <c r="U135">
        <v>55</v>
      </c>
      <c r="V135" t="s">
        <v>757</v>
      </c>
      <c r="X135" t="str">
        <f>IF(COUNTIF(X$1:X134,X134)&gt;7,REPLACE(X134,LEN(X134),1,VALUE(RIGHT(X134,1))+1),X134)</f>
        <v>A3.12</v>
      </c>
      <c r="Y135" s="43" cm="1">
        <f t="array" ref="Y135">IF(COUNTIFS($X$2:$X135,$X135)=1,"1",VALUE(SUBSTITUTE(INDEX(Y:Y,_xlfn.XMATCH($X135,$X$1:$X134,0,-1)),"A",""))+INDEX(Z:Z,_xlfn.XMATCH($X135,$X$1:$X134,0,-1))+1)</f>
        <v>6</v>
      </c>
      <c r="Z135" s="43" cm="1">
        <f t="array" ref="Z135">SUM(IF(ISNUMBER(FIND("TmAi",$BA$1:$ZZ$1)),IF(IFERROR(ISODD(SUBSTITUTE($BA135:$ZZ135,"A","")),FALSE),IF(ISODD(SUBSTITUTE($BA135:$ZZ135,"A","")),1,0),0)))</f>
        <v>0</v>
      </c>
      <c r="AA135" t="str">
        <f t="shared" si="125"/>
        <v>11B</v>
      </c>
      <c r="AB135" t="str">
        <f t="shared" si="126"/>
        <v>12B</v>
      </c>
      <c r="AL135" t="s">
        <v>137</v>
      </c>
      <c r="AO135" t="s">
        <v>396</v>
      </c>
      <c r="JV135" s="27" t="str">
        <f t="shared" si="128"/>
        <v>XT55</v>
      </c>
      <c r="JY135" t="str">
        <f t="shared" si="129"/>
        <v>F0-AI12-11B</v>
      </c>
      <c r="JZ135" t="str">
        <f t="shared" si="130"/>
        <v>F0-AI12-12B</v>
      </c>
      <c r="KE135" cm="1">
        <f t="array" ref="KE135">IF(COUNTIFS($U$2:$U135,$U135)=1,1,INDEX(KE:KE,_xlfn.XMATCH(U135,U$1:U134,0,-1))+COUNT(KE134:KI134))</f>
        <v>246</v>
      </c>
      <c r="KF135">
        <f t="shared" si="131"/>
        <v>247</v>
      </c>
      <c r="KG135">
        <f t="shared" si="131"/>
        <v>248</v>
      </c>
      <c r="KJ135">
        <v>1</v>
      </c>
      <c r="KK135" s="16">
        <v>2</v>
      </c>
      <c r="KO135" s="16"/>
    </row>
    <row r="136" spans="1:301" x14ac:dyDescent="0.25">
      <c r="A136" t="s">
        <v>713</v>
      </c>
      <c r="B136" t="s">
        <v>734</v>
      </c>
      <c r="C136" t="s">
        <v>498</v>
      </c>
      <c r="P136" t="s">
        <v>482</v>
      </c>
      <c r="T136" s="14" t="s">
        <v>554</v>
      </c>
      <c r="U136">
        <v>55</v>
      </c>
      <c r="V136" t="s">
        <v>758</v>
      </c>
      <c r="X136" t="str">
        <f>IF(COUNTIF(X$1:X135,X135)&gt;7,REPLACE(X135,LEN(X135),1,VALUE(RIGHT(X135,1))+1),X135)</f>
        <v>A3.12</v>
      </c>
      <c r="Y136" s="43" cm="1">
        <f t="array" ref="Y136">IF(COUNTIFS($X$2:$X136,$X136)=1,"1",VALUE(SUBSTITUTE(INDEX(Y:Y,_xlfn.XMATCH($X136,$X$1:$X135,0,-1)),"A",""))+INDEX(Z:Z,_xlfn.XMATCH($X136,$X$1:$X135,0,-1))+1)</f>
        <v>7</v>
      </c>
      <c r="Z136" s="43" cm="1">
        <f t="array" ref="Z136">SUM(IF(ISNUMBER(FIND("TmAi",$BA$1:$ZZ$1)),IF(IFERROR(ISODD(SUBSTITUTE($BA136:$ZZ136,"A","")),FALSE),IF(ISODD(SUBSTITUTE($BA136:$ZZ136,"A","")),1,0),0)))</f>
        <v>0</v>
      </c>
      <c r="AA136" t="str">
        <f t="shared" si="125"/>
        <v>13B</v>
      </c>
      <c r="AB136" t="str">
        <f t="shared" si="126"/>
        <v>14B</v>
      </c>
      <c r="AL136" t="s">
        <v>137</v>
      </c>
      <c r="AO136" t="s">
        <v>396</v>
      </c>
      <c r="JV136" s="27" t="str">
        <f t="shared" si="128"/>
        <v>XT55</v>
      </c>
      <c r="JY136" t="str">
        <f t="shared" si="129"/>
        <v>F0-AI12-13B</v>
      </c>
      <c r="JZ136" t="str">
        <f t="shared" si="130"/>
        <v>F0-AI12-14B</v>
      </c>
      <c r="KE136" cm="1">
        <f t="array" ref="KE136">IF(COUNTIFS($U$2:$U136,$U136)=1,1,INDEX(KE:KE,_xlfn.XMATCH(U136,U$1:U135,0,-1))+COUNT(KE135:KI135))</f>
        <v>249</v>
      </c>
      <c r="KF136">
        <f t="shared" si="131"/>
        <v>250</v>
      </c>
      <c r="KG136">
        <f t="shared" si="131"/>
        <v>251</v>
      </c>
      <c r="KJ136">
        <v>1</v>
      </c>
      <c r="KK136" s="16">
        <v>2</v>
      </c>
      <c r="KO136" s="16"/>
    </row>
    <row r="137" spans="1:301" x14ac:dyDescent="0.25">
      <c r="A137" t="s">
        <v>714</v>
      </c>
      <c r="B137" s="33" t="s">
        <v>735</v>
      </c>
      <c r="C137" t="s">
        <v>492</v>
      </c>
      <c r="P137" t="s">
        <v>482</v>
      </c>
      <c r="T137" s="14" t="s">
        <v>554</v>
      </c>
      <c r="U137">
        <v>55</v>
      </c>
      <c r="V137" t="s">
        <v>759</v>
      </c>
      <c r="X137" s="33" t="str">
        <f>IF(COUNTIF(X$1:X136,X136)&gt;7,REPLACE(X136,LEN(X136),1,VALUE(RIGHT(X136,1))+1),X136)</f>
        <v>A3.12</v>
      </c>
      <c r="Y137" s="45" cm="1">
        <f t="array" ref="Y137">IF(COUNTIFS($X$2:$X137,$X137)=1,"1",VALUE(SUBSTITUTE(INDEX(Y:Y,_xlfn.XMATCH($X137,$X$1:$X136,0,-1)),"A",""))+INDEX(Z:Z,_xlfn.XMATCH($X137,$X$1:$X136,0,-1))+1)</f>
        <v>8</v>
      </c>
      <c r="Z137" s="43" cm="1">
        <f t="array" ref="Z137">SUM(IF(ISNUMBER(FIND("TmAi",$BA$1:$ZZ$1)),IF(IFERROR(ISODD(SUBSTITUTE($BA137:$ZZ137,"A","")),FALSE),IF(ISODD(SUBSTITUTE($BA137:$ZZ137,"A","")),1,0),0)))</f>
        <v>0</v>
      </c>
      <c r="AA137" t="str">
        <f t="shared" si="125"/>
        <v>15B</v>
      </c>
      <c r="AB137" t="str">
        <f t="shared" si="126"/>
        <v>16B</v>
      </c>
      <c r="AL137" t="s">
        <v>137</v>
      </c>
      <c r="AO137" t="s">
        <v>396</v>
      </c>
      <c r="JV137" s="27" t="str">
        <f t="shared" si="128"/>
        <v>XT55</v>
      </c>
      <c r="JY137" t="str">
        <f t="shared" si="129"/>
        <v>F0-AI12-15B</v>
      </c>
      <c r="JZ137" t="str">
        <f t="shared" si="130"/>
        <v>F0-AI12-16B</v>
      </c>
      <c r="KE137" cm="1">
        <f t="array" ref="KE137">IF(COUNTIFS($U$2:$U137,$U137)=1,1,INDEX(KE:KE,_xlfn.XMATCH(U137,U$1:U136,0,-1))+COUNT(KE136:KI136))</f>
        <v>252</v>
      </c>
      <c r="KF137">
        <f t="shared" si="131"/>
        <v>253</v>
      </c>
      <c r="KG137">
        <f t="shared" si="131"/>
        <v>254</v>
      </c>
      <c r="KJ137">
        <v>1</v>
      </c>
      <c r="KK137" s="16">
        <v>2</v>
      </c>
      <c r="KO137" s="16"/>
    </row>
    <row r="138" spans="1:301" x14ac:dyDescent="0.25">
      <c r="A138" t="s">
        <v>715</v>
      </c>
      <c r="B138" t="s">
        <v>736</v>
      </c>
      <c r="C138" t="s">
        <v>492</v>
      </c>
      <c r="P138" t="s">
        <v>482</v>
      </c>
      <c r="T138" s="14" t="s">
        <v>554</v>
      </c>
      <c r="U138">
        <v>55</v>
      </c>
      <c r="V138" t="s">
        <v>760</v>
      </c>
      <c r="X138" t="str">
        <f>IF(COUNTIF(X$1:X137,X137)&gt;7,REPLACE(X137,LEN(X137),1,VALUE(RIGHT(X137,1))+1),X137)</f>
        <v>A3.13</v>
      </c>
      <c r="Y138" s="43" t="str" cm="1">
        <f t="array" ref="Y138">IF(COUNTIFS($X$2:$X138,$X138)=1,"1",VALUE(SUBSTITUTE(INDEX(Y:Y,_xlfn.XMATCH($X138,$X$1:$X137,0,-1)),"A",""))+INDEX(Z:Z,_xlfn.XMATCH($X138,$X$1:$X137,0,-1))+1)</f>
        <v>1</v>
      </c>
      <c r="Z138" s="43" cm="1">
        <f t="array" ref="Z138">SUM(IF(ISNUMBER(FIND("TmAi",$BA$1:$ZZ$1)),IF(IFERROR(ISODD(SUBSTITUTE($BA138:$ZZ138,"A","")),FALSE),IF(ISODD(SUBSTITUTE($BA138:$ZZ138,"A","")),1,0),0)))</f>
        <v>0</v>
      </c>
      <c r="AA138" t="str">
        <f t="shared" si="125"/>
        <v>1B</v>
      </c>
      <c r="AB138" t="str">
        <f t="shared" si="126"/>
        <v>2B</v>
      </c>
      <c r="AL138" t="s">
        <v>137</v>
      </c>
      <c r="AO138" t="s">
        <v>396</v>
      </c>
      <c r="JV138" s="27" t="str">
        <f t="shared" si="128"/>
        <v>XT55</v>
      </c>
      <c r="JY138" t="str">
        <f t="shared" si="129"/>
        <v>F0-AI13-1B</v>
      </c>
      <c r="JZ138" t="str">
        <f t="shared" si="130"/>
        <v>F0-AI13-2B</v>
      </c>
      <c r="KE138" cm="1">
        <f t="array" ref="KE138">IF(COUNTIFS($U$2:$U138,$U138)=1,1,INDEX(KE:KE,_xlfn.XMATCH(U138,U$1:U137,0,-1))+COUNT(KE137:KI137))</f>
        <v>255</v>
      </c>
      <c r="KF138">
        <f t="shared" si="131"/>
        <v>256</v>
      </c>
      <c r="KG138">
        <f t="shared" si="131"/>
        <v>257</v>
      </c>
      <c r="KJ138">
        <v>1</v>
      </c>
      <c r="KK138" s="16">
        <v>2</v>
      </c>
      <c r="KO138" s="16"/>
    </row>
    <row r="139" spans="1:301" x14ac:dyDescent="0.25">
      <c r="A139" t="s">
        <v>716</v>
      </c>
      <c r="B139" t="s">
        <v>737</v>
      </c>
      <c r="C139" t="s">
        <v>498</v>
      </c>
      <c r="P139" t="s">
        <v>482</v>
      </c>
      <c r="T139" s="14" t="s">
        <v>554</v>
      </c>
      <c r="U139">
        <v>55</v>
      </c>
      <c r="V139" t="s">
        <v>761</v>
      </c>
      <c r="X139" t="str">
        <f>IF(COUNTIF(X$1:X138,X138)&gt;7,REPLACE(X138,LEN(X138),1,VALUE(RIGHT(X138,1))+1),X138)</f>
        <v>A3.13</v>
      </c>
      <c r="Y139" s="43" cm="1">
        <f t="array" ref="Y139">IF(COUNTIFS($X$2:$X139,$X139)=1,"1",VALUE(SUBSTITUTE(INDEX(Y:Y,_xlfn.XMATCH($X139,$X$1:$X138,0,-1)),"A",""))+INDEX(Z:Z,_xlfn.XMATCH($X139,$X$1:$X138,0,-1))+1)</f>
        <v>2</v>
      </c>
      <c r="Z139" s="43" cm="1">
        <f t="array" ref="Z139">SUM(IF(ISNUMBER(FIND("TmAi",$BA$1:$ZZ$1)),IF(IFERROR(ISODD(SUBSTITUTE($BA139:$ZZ139,"A","")),FALSE),IF(ISODD(SUBSTITUTE($BA139:$ZZ139,"A","")),1,0),0)))</f>
        <v>0</v>
      </c>
      <c r="AA139" t="str">
        <f t="shared" si="125"/>
        <v>3B</v>
      </c>
      <c r="AB139" t="str">
        <f t="shared" si="126"/>
        <v>4B</v>
      </c>
      <c r="AL139" t="s">
        <v>137</v>
      </c>
      <c r="AO139" t="s">
        <v>396</v>
      </c>
      <c r="JV139" s="27" t="str">
        <f t="shared" si="128"/>
        <v>XT55</v>
      </c>
      <c r="JY139" t="str">
        <f t="shared" si="129"/>
        <v>F0-AI13-3B</v>
      </c>
      <c r="JZ139" t="str">
        <f t="shared" si="130"/>
        <v>F0-AI13-4B</v>
      </c>
      <c r="KE139" cm="1">
        <f t="array" ref="KE139">IF(COUNTIFS($U$2:$U139,$U139)=1,1,INDEX(KE:KE,_xlfn.XMATCH(U139,U$1:U138,0,-1))+COUNT(KE138:KI138))</f>
        <v>258</v>
      </c>
      <c r="KF139">
        <f t="shared" si="131"/>
        <v>259</v>
      </c>
      <c r="KG139">
        <f t="shared" si="131"/>
        <v>260</v>
      </c>
      <c r="KJ139">
        <v>1</v>
      </c>
      <c r="KK139" s="16">
        <v>2</v>
      </c>
      <c r="KO139" s="16"/>
    </row>
    <row r="140" spans="1:301" x14ac:dyDescent="0.25">
      <c r="A140" t="s">
        <v>717</v>
      </c>
      <c r="B140" s="33" t="s">
        <v>738</v>
      </c>
      <c r="C140" t="s">
        <v>492</v>
      </c>
      <c r="P140" t="s">
        <v>482</v>
      </c>
      <c r="T140" s="14" t="s">
        <v>554</v>
      </c>
      <c r="U140">
        <v>55</v>
      </c>
      <c r="V140" t="s">
        <v>762</v>
      </c>
      <c r="X140" t="str">
        <f>IF(COUNTIF(X$1:X139,X139)&gt;7,REPLACE(X139,LEN(X139),1,VALUE(RIGHT(X139,1))+1),X139)</f>
        <v>A3.13</v>
      </c>
      <c r="Y140" s="43" cm="1">
        <f t="array" ref="Y140">IF(COUNTIFS($X$2:$X140,$X140)=1,"1",VALUE(SUBSTITUTE(INDEX(Y:Y,_xlfn.XMATCH($X140,$X$1:$X139,0,-1)),"A",""))+INDEX(Z:Z,_xlfn.XMATCH($X140,$X$1:$X139,0,-1))+1)</f>
        <v>3</v>
      </c>
      <c r="Z140" s="43" cm="1">
        <f t="array" ref="Z140">SUM(IF(ISNUMBER(FIND("TmAi",$BA$1:$ZZ$1)),IF(IFERROR(ISODD(SUBSTITUTE($BA140:$ZZ140,"A","")),FALSE),IF(ISODD(SUBSTITUTE($BA140:$ZZ140,"A","")),1,0),0)))</f>
        <v>0</v>
      </c>
      <c r="AA140" t="str">
        <f t="shared" si="125"/>
        <v>5B</v>
      </c>
      <c r="AB140" t="str">
        <f t="shared" si="126"/>
        <v>6B</v>
      </c>
      <c r="AL140" t="s">
        <v>137</v>
      </c>
      <c r="AO140" t="s">
        <v>396</v>
      </c>
      <c r="JV140" s="27" t="str">
        <f t="shared" si="128"/>
        <v>XT55</v>
      </c>
      <c r="JY140" t="str">
        <f t="shared" si="129"/>
        <v>F0-AI13-5B</v>
      </c>
      <c r="JZ140" t="str">
        <f t="shared" si="130"/>
        <v>F0-AI13-6B</v>
      </c>
      <c r="KE140" cm="1">
        <f t="array" ref="KE140">IF(COUNTIFS($U$2:$U140,$U140)=1,1,INDEX(KE:KE,_xlfn.XMATCH(U140,U$1:U139,0,-1))+COUNT(KE139:KI139))</f>
        <v>261</v>
      </c>
      <c r="KF140">
        <f t="shared" si="131"/>
        <v>262</v>
      </c>
      <c r="KG140">
        <f t="shared" si="131"/>
        <v>263</v>
      </c>
      <c r="KJ140">
        <v>1</v>
      </c>
      <c r="KK140" s="16">
        <v>2</v>
      </c>
      <c r="KO140" s="16"/>
    </row>
    <row r="141" spans="1:301" x14ac:dyDescent="0.25">
      <c r="A141" t="s">
        <v>764</v>
      </c>
      <c r="B141" t="s">
        <v>763</v>
      </c>
      <c r="C141" t="s">
        <v>498</v>
      </c>
      <c r="P141" t="s">
        <v>482</v>
      </c>
      <c r="T141" s="14" t="s">
        <v>554</v>
      </c>
      <c r="U141">
        <v>55</v>
      </c>
      <c r="V141" t="s">
        <v>769</v>
      </c>
      <c r="X141" t="str">
        <f>IF(COUNTIF(X$1:X140,X140)&gt;7,REPLACE(X140,LEN(X140),1,VALUE(RIGHT(X140,1))+1),X140)</f>
        <v>A3.13</v>
      </c>
      <c r="Y141" s="43" cm="1">
        <f t="array" ref="Y141">IF(COUNTIFS($X$2:$X141,$X141)=1,"1",VALUE(SUBSTITUTE(INDEX(Y:Y,_xlfn.XMATCH($X141,$X$1:$X140,0,-1)),"A",""))+INDEX(Z:Z,_xlfn.XMATCH($X141,$X$1:$X140,0,-1))+1)</f>
        <v>4</v>
      </c>
      <c r="Z141" s="43" cm="1">
        <f t="array" ref="Z141">SUM(IF(ISNUMBER(FIND("TmAi",$BA$1:$ZZ$1)),IF(IFERROR(ISODD(SUBSTITUTE($BA141:$ZZ141,"A","")),FALSE),IF(ISODD(SUBSTITUTE($BA141:$ZZ141,"A","")),1,0),0)))</f>
        <v>0</v>
      </c>
      <c r="AA141" t="str">
        <f t="shared" si="125"/>
        <v>7B</v>
      </c>
      <c r="AB141" t="str">
        <f t="shared" si="126"/>
        <v>8B</v>
      </c>
      <c r="AL141" t="s">
        <v>137</v>
      </c>
      <c r="AO141" t="s">
        <v>396</v>
      </c>
      <c r="JV141" s="27" t="str">
        <f t="shared" si="128"/>
        <v>XT55</v>
      </c>
      <c r="JY141" t="str">
        <f t="shared" si="129"/>
        <v>F0-AI13-7B</v>
      </c>
      <c r="JZ141" t="str">
        <f t="shared" si="130"/>
        <v>F0-AI13-8B</v>
      </c>
      <c r="KE141" cm="1">
        <f t="array" ref="KE141">IF(COUNTIFS($U$2:$U141,$U141)=1,1,INDEX(KE:KE,_xlfn.XMATCH(U141,U$1:U140,0,-1))+COUNT(KE140:KI140))</f>
        <v>264</v>
      </c>
      <c r="KF141">
        <f t="shared" si="131"/>
        <v>265</v>
      </c>
      <c r="KG141">
        <f t="shared" si="131"/>
        <v>266</v>
      </c>
      <c r="KJ141">
        <v>1</v>
      </c>
      <c r="KK141" s="16">
        <v>2</v>
      </c>
      <c r="KO141" s="16"/>
    </row>
    <row r="142" spans="1:301" x14ac:dyDescent="0.25">
      <c r="A142" t="s">
        <v>766</v>
      </c>
      <c r="B142" s="33" t="s">
        <v>765</v>
      </c>
      <c r="C142" t="s">
        <v>492</v>
      </c>
      <c r="P142" t="s">
        <v>482</v>
      </c>
      <c r="T142" s="14" t="s">
        <v>554</v>
      </c>
      <c r="U142">
        <v>55</v>
      </c>
      <c r="V142" t="s">
        <v>770</v>
      </c>
      <c r="X142" t="str">
        <f>IF(COUNTIF(X$1:X141,X141)&gt;7,REPLACE(X141,LEN(X141),1,VALUE(RIGHT(X141,1))+1),X141)</f>
        <v>A3.13</v>
      </c>
      <c r="Y142" s="43" cm="1">
        <f t="array" ref="Y142">IF(COUNTIFS($X$2:$X142,$X142)=1,"1",VALUE(SUBSTITUTE(INDEX(Y:Y,_xlfn.XMATCH($X142,$X$1:$X141,0,-1)),"A",""))+INDEX(Z:Z,_xlfn.XMATCH($X142,$X$1:$X141,0,-1))+1)</f>
        <v>5</v>
      </c>
      <c r="Z142" s="43" cm="1">
        <f t="array" ref="Z142">SUM(IF(ISNUMBER(FIND("TmAi",$BA$1:$ZZ$1)),IF(IFERROR(ISODD(SUBSTITUTE($BA142:$ZZ142,"A","")),FALSE),IF(ISODD(SUBSTITUTE($BA142:$ZZ142,"A","")),1,0),0)))</f>
        <v>0</v>
      </c>
      <c r="AA142" t="str">
        <f t="shared" si="125"/>
        <v>9B</v>
      </c>
      <c r="AB142" t="str">
        <f t="shared" si="126"/>
        <v>10B</v>
      </c>
      <c r="AL142" t="s">
        <v>137</v>
      </c>
      <c r="AO142" t="s">
        <v>396</v>
      </c>
      <c r="JV142" s="27" t="str">
        <f t="shared" si="128"/>
        <v>XT55</v>
      </c>
      <c r="JY142" t="str">
        <f t="shared" si="129"/>
        <v>F0-AI13-9B</v>
      </c>
      <c r="JZ142" t="str">
        <f t="shared" si="130"/>
        <v>F0-AI13-10B</v>
      </c>
      <c r="KE142" cm="1">
        <f t="array" ref="KE142">IF(COUNTIFS($U$2:$U142,$U142)=1,1,INDEX(KE:KE,_xlfn.XMATCH(U142,U$1:U141,0,-1))+COUNT(KE141:KI141))</f>
        <v>267</v>
      </c>
      <c r="KF142">
        <f t="shared" si="131"/>
        <v>268</v>
      </c>
      <c r="KG142">
        <f t="shared" si="131"/>
        <v>269</v>
      </c>
      <c r="KJ142">
        <v>1</v>
      </c>
      <c r="KK142" s="16">
        <v>2</v>
      </c>
      <c r="KO142" s="16"/>
    </row>
    <row r="143" spans="1:301" x14ac:dyDescent="0.25">
      <c r="A143" t="s">
        <v>768</v>
      </c>
      <c r="B143" t="s">
        <v>771</v>
      </c>
      <c r="C143" t="s">
        <v>498</v>
      </c>
      <c r="P143" t="s">
        <v>482</v>
      </c>
      <c r="T143" s="14" t="s">
        <v>554</v>
      </c>
      <c r="U143">
        <v>55</v>
      </c>
      <c r="V143" t="s">
        <v>767</v>
      </c>
      <c r="X143" t="str">
        <f>IF(COUNTIF(X$1:X142,X142)&gt;7,REPLACE(X142,LEN(X142),1,VALUE(RIGHT(X142,1))+1),X142)</f>
        <v>A3.13</v>
      </c>
      <c r="Y143" s="43" cm="1">
        <f t="array" ref="Y143">IF(COUNTIFS($X$2:$X143,$X143)=1,"1",VALUE(SUBSTITUTE(INDEX(Y:Y,_xlfn.XMATCH($X143,$X$1:$X142,0,-1)),"A",""))+INDEX(Z:Z,_xlfn.XMATCH($X143,$X$1:$X142,0,-1))+1)</f>
        <v>6</v>
      </c>
      <c r="Z143" s="43" cm="1">
        <f t="array" ref="Z143">SUM(IF(ISNUMBER(FIND("TmAi",$BA$1:$ZZ$1)),IF(IFERROR(ISODD(SUBSTITUTE($BA143:$ZZ143,"A","")),FALSE),IF(ISODD(SUBSTITUTE($BA143:$ZZ143,"A","")),1,0),0)))</f>
        <v>0</v>
      </c>
      <c r="AA143" t="str">
        <f t="shared" si="125"/>
        <v>11B</v>
      </c>
      <c r="AB143" t="str">
        <f t="shared" si="126"/>
        <v>12B</v>
      </c>
      <c r="AL143" t="s">
        <v>137</v>
      </c>
      <c r="AO143" t="s">
        <v>396</v>
      </c>
      <c r="JV143" s="27" t="str">
        <f t="shared" si="128"/>
        <v>XT55</v>
      </c>
      <c r="JY143" t="str">
        <f t="shared" si="129"/>
        <v>F0-AI13-11B</v>
      </c>
      <c r="JZ143" t="str">
        <f t="shared" si="130"/>
        <v>F0-AI13-12B</v>
      </c>
      <c r="KE143" cm="1">
        <f t="array" ref="KE143">IF(COUNTIFS($U$2:$U143,$U143)=1,1,INDEX(KE:KE,_xlfn.XMATCH(U143,U$1:U142,0,-1))+COUNT(KE142:KI142))</f>
        <v>270</v>
      </c>
      <c r="KF143">
        <f t="shared" si="131"/>
        <v>271</v>
      </c>
      <c r="KG143">
        <f t="shared" si="131"/>
        <v>272</v>
      </c>
      <c r="KJ143">
        <v>1</v>
      </c>
      <c r="KK143" s="16">
        <v>2</v>
      </c>
      <c r="KO143" s="16"/>
    </row>
    <row r="144" spans="1:301" x14ac:dyDescent="0.25">
      <c r="A144" t="s">
        <v>774</v>
      </c>
      <c r="B144" s="33" t="s">
        <v>772</v>
      </c>
      <c r="C144" t="s">
        <v>492</v>
      </c>
      <c r="P144" t="s">
        <v>482</v>
      </c>
      <c r="T144" s="14" t="s">
        <v>554</v>
      </c>
      <c r="U144">
        <v>55</v>
      </c>
      <c r="V144" t="s">
        <v>773</v>
      </c>
      <c r="X144" t="str">
        <f>IF(COUNTIF(X$1:X143,X143)&gt;7,REPLACE(X143,LEN(X143),1,VALUE(RIGHT(X143,1))+1),X143)</f>
        <v>A3.13</v>
      </c>
      <c r="Y144" s="43" cm="1">
        <f t="array" ref="Y144">IF(COUNTIFS($X$2:$X144,$X144)=1,"1",VALUE(SUBSTITUTE(INDEX(Y:Y,_xlfn.XMATCH($X144,$X$1:$X143,0,-1)),"A",""))+INDEX(Z:Z,_xlfn.XMATCH($X144,$X$1:$X143,0,-1))+1)</f>
        <v>7</v>
      </c>
      <c r="Z144" s="43" cm="1">
        <f t="array" ref="Z144">SUM(IF(ISNUMBER(FIND("TmAi",$BA$1:$ZZ$1)),IF(IFERROR(ISODD(SUBSTITUTE($BA144:$ZZ144,"A","")),FALSE),IF(ISODD(SUBSTITUTE($BA144:$ZZ144,"A","")),1,0),0)))</f>
        <v>0</v>
      </c>
      <c r="AA144" t="str">
        <f t="shared" si="125"/>
        <v>13B</v>
      </c>
      <c r="AB144" t="str">
        <f t="shared" si="126"/>
        <v>14B</v>
      </c>
      <c r="AL144" t="s">
        <v>137</v>
      </c>
      <c r="AO144" t="s">
        <v>396</v>
      </c>
      <c r="JV144" s="27" t="str">
        <f t="shared" si="128"/>
        <v>XT55</v>
      </c>
      <c r="JY144" t="str">
        <f t="shared" si="129"/>
        <v>F0-AI13-13B</v>
      </c>
      <c r="JZ144" t="str">
        <f t="shared" si="130"/>
        <v>F0-AI13-14B</v>
      </c>
      <c r="KE144" cm="1">
        <f t="array" ref="KE144">IF(COUNTIFS($U$2:$U144,$U144)=1,1,INDEX(KE:KE,_xlfn.XMATCH(U144,U$1:U143,0,-1))+COUNT(KE143:KI143))</f>
        <v>273</v>
      </c>
      <c r="KF144">
        <f t="shared" si="131"/>
        <v>274</v>
      </c>
      <c r="KG144">
        <f t="shared" si="131"/>
        <v>275</v>
      </c>
      <c r="KJ144">
        <v>1</v>
      </c>
      <c r="KK144" s="16">
        <v>2</v>
      </c>
      <c r="KO144" s="16"/>
    </row>
    <row r="145" spans="1:301" x14ac:dyDescent="0.25">
      <c r="A145" t="s">
        <v>775</v>
      </c>
      <c r="B145" t="s">
        <v>789</v>
      </c>
      <c r="C145" t="s">
        <v>498</v>
      </c>
      <c r="P145" t="s">
        <v>482</v>
      </c>
      <c r="T145" s="14" t="s">
        <v>554</v>
      </c>
      <c r="U145">
        <v>55</v>
      </c>
      <c r="V145" t="s">
        <v>803</v>
      </c>
      <c r="X145" s="33" t="str">
        <f>IF(COUNTIF(X$1:X144,X144)&gt;7,REPLACE(X144,LEN(X144),1,VALUE(RIGHT(X144,1))+1),X144)</f>
        <v>A3.13</v>
      </c>
      <c r="Y145" s="45" cm="1">
        <f t="array" ref="Y145">IF(COUNTIFS($X$2:$X145,$X145)=1,"1",VALUE(SUBSTITUTE(INDEX(Y:Y,_xlfn.XMATCH($X145,$X$1:$X144,0,-1)),"A",""))+INDEX(Z:Z,_xlfn.XMATCH($X145,$X$1:$X144,0,-1))+1)</f>
        <v>8</v>
      </c>
      <c r="Z145" s="43" cm="1">
        <f t="array" ref="Z145">SUM(IF(ISNUMBER(FIND("TmAi",$BA$1:$ZZ$1)),IF(IFERROR(ISODD(SUBSTITUTE($BA145:$ZZ145,"A","")),FALSE),IF(ISODD(SUBSTITUTE($BA145:$ZZ145,"A","")),1,0),0)))</f>
        <v>0</v>
      </c>
      <c r="AA145" t="str">
        <f t="shared" si="125"/>
        <v>15B</v>
      </c>
      <c r="AB145" t="str">
        <f t="shared" si="126"/>
        <v>16B</v>
      </c>
      <c r="AL145" t="s">
        <v>137</v>
      </c>
      <c r="AO145" t="s">
        <v>396</v>
      </c>
      <c r="JV145" s="27" t="str">
        <f t="shared" si="128"/>
        <v>XT55</v>
      </c>
      <c r="JY145" t="str">
        <f t="shared" si="129"/>
        <v>F0-AI13-15B</v>
      </c>
      <c r="JZ145" t="str">
        <f t="shared" si="130"/>
        <v>F0-AI13-16B</v>
      </c>
      <c r="KE145" cm="1">
        <f t="array" ref="KE145">IF(COUNTIFS($U$2:$U145,$U145)=1,1,INDEX(KE:KE,_xlfn.XMATCH(U145,U$1:U144,0,-1))+COUNT(KE144:KI144))</f>
        <v>276</v>
      </c>
      <c r="KF145">
        <f t="shared" si="131"/>
        <v>277</v>
      </c>
      <c r="KG145">
        <f t="shared" si="131"/>
        <v>278</v>
      </c>
      <c r="KJ145">
        <v>1</v>
      </c>
      <c r="KK145" s="16">
        <v>2</v>
      </c>
      <c r="KO145" s="16"/>
    </row>
    <row r="146" spans="1:301" x14ac:dyDescent="0.25">
      <c r="A146" t="s">
        <v>776</v>
      </c>
      <c r="B146" s="33" t="s">
        <v>790</v>
      </c>
      <c r="C146" t="s">
        <v>492</v>
      </c>
      <c r="P146" t="s">
        <v>482</v>
      </c>
      <c r="T146" s="14" t="s">
        <v>554</v>
      </c>
      <c r="U146">
        <v>55</v>
      </c>
      <c r="V146" t="s">
        <v>804</v>
      </c>
      <c r="X146" t="str">
        <f>IF(COUNTIF(X$1:X145,X145)&gt;7,REPLACE(X145,LEN(X145),1,VALUE(RIGHT(X145,1))+1),X145)</f>
        <v>A3.14</v>
      </c>
      <c r="Y146" s="43" t="str" cm="1">
        <f t="array" ref="Y146">IF(COUNTIFS($X$2:$X146,$X146)=1,"1",VALUE(SUBSTITUTE(INDEX(Y:Y,_xlfn.XMATCH($X146,$X$1:$X145,0,-1)),"A",""))+INDEX(Z:Z,_xlfn.XMATCH($X146,$X$1:$X145,0,-1))+1)</f>
        <v>1</v>
      </c>
      <c r="Z146" s="43" cm="1">
        <f t="array" ref="Z146">SUM(IF(ISNUMBER(FIND("TmAi",$BA$1:$ZZ$1)),IF(IFERROR(ISODD(SUBSTITUTE($BA146:$ZZ146,"A","")),FALSE),IF(ISODD(SUBSTITUTE($BA146:$ZZ146,"A","")),1,0),0)))</f>
        <v>0</v>
      </c>
      <c r="AA146" t="str">
        <f t="shared" si="125"/>
        <v>1B</v>
      </c>
      <c r="AB146" t="str">
        <f t="shared" si="126"/>
        <v>2B</v>
      </c>
      <c r="AL146" t="s">
        <v>137</v>
      </c>
      <c r="AO146" t="s">
        <v>396</v>
      </c>
      <c r="JV146" s="27" t="str">
        <f t="shared" si="128"/>
        <v>XT55</v>
      </c>
      <c r="JY146" t="str">
        <f t="shared" si="129"/>
        <v>F0-AI14-1B</v>
      </c>
      <c r="JZ146" t="str">
        <f t="shared" si="130"/>
        <v>F0-AI14-2B</v>
      </c>
      <c r="KE146" cm="1">
        <f t="array" ref="KE146">IF(COUNTIFS($U$2:$U146,$U146)=1,1,INDEX(KE:KE,_xlfn.XMATCH(U146,U$1:U145,0,-1))+COUNT(KE145:KI145))</f>
        <v>279</v>
      </c>
      <c r="KF146">
        <f t="shared" si="131"/>
        <v>280</v>
      </c>
      <c r="KG146">
        <f t="shared" si="131"/>
        <v>281</v>
      </c>
      <c r="KJ146">
        <v>1</v>
      </c>
      <c r="KK146" s="16">
        <v>2</v>
      </c>
      <c r="KO146" s="16"/>
    </row>
    <row r="147" spans="1:301" x14ac:dyDescent="0.25">
      <c r="A147" t="s">
        <v>777</v>
      </c>
      <c r="B147" t="s">
        <v>791</v>
      </c>
      <c r="C147" t="s">
        <v>498</v>
      </c>
      <c r="P147" t="s">
        <v>482</v>
      </c>
      <c r="T147" s="14" t="s">
        <v>554</v>
      </c>
      <c r="U147">
        <v>55</v>
      </c>
      <c r="V147" t="s">
        <v>805</v>
      </c>
      <c r="X147" t="str">
        <f>IF(COUNTIF(X$1:X146,X146)&gt;7,REPLACE(X146,LEN(X146),1,VALUE(RIGHT(X146,1))+1),X146)</f>
        <v>A3.14</v>
      </c>
      <c r="Y147" s="43" cm="1">
        <f t="array" ref="Y147">IF(COUNTIFS($X$2:$X147,$X147)=1,"1",VALUE(SUBSTITUTE(INDEX(Y:Y,_xlfn.XMATCH($X147,$X$1:$X146,0,-1)),"A",""))+INDEX(Z:Z,_xlfn.XMATCH($X147,$X$1:$X146,0,-1))+1)</f>
        <v>2</v>
      </c>
      <c r="Z147" s="43" cm="1">
        <f t="array" ref="Z147">SUM(IF(ISNUMBER(FIND("TmAi",$BA$1:$ZZ$1)),IF(IFERROR(ISODD(SUBSTITUTE($BA147:$ZZ147,"A","")),FALSE),IF(ISODD(SUBSTITUTE($BA147:$ZZ147,"A","")),1,0),0)))</f>
        <v>0</v>
      </c>
      <c r="AA147" t="str">
        <f t="shared" si="125"/>
        <v>3B</v>
      </c>
      <c r="AB147" t="str">
        <f t="shared" si="126"/>
        <v>4B</v>
      </c>
      <c r="AL147" t="s">
        <v>137</v>
      </c>
      <c r="AO147" t="s">
        <v>396</v>
      </c>
      <c r="JV147" s="27" t="str">
        <f t="shared" si="128"/>
        <v>XT55</v>
      </c>
      <c r="JY147" t="str">
        <f t="shared" si="129"/>
        <v>F0-AI14-3B</v>
      </c>
      <c r="JZ147" t="str">
        <f t="shared" si="130"/>
        <v>F0-AI14-4B</v>
      </c>
      <c r="KE147" cm="1">
        <f t="array" ref="KE147">IF(COUNTIFS($U$2:$U147,$U147)=1,1,INDEX(KE:KE,_xlfn.XMATCH(U147,U$1:U146,0,-1))+COUNT(KE146:KI146))</f>
        <v>282</v>
      </c>
      <c r="KF147">
        <f t="shared" si="131"/>
        <v>283</v>
      </c>
      <c r="KG147">
        <f t="shared" si="131"/>
        <v>284</v>
      </c>
      <c r="KJ147">
        <v>1</v>
      </c>
      <c r="KK147" s="16">
        <v>2</v>
      </c>
      <c r="KO147" s="16"/>
    </row>
    <row r="148" spans="1:301" x14ac:dyDescent="0.25">
      <c r="A148" t="s">
        <v>778</v>
      </c>
      <c r="B148" s="33" t="s">
        <v>792</v>
      </c>
      <c r="C148" t="s">
        <v>492</v>
      </c>
      <c r="P148" t="s">
        <v>482</v>
      </c>
      <c r="T148" s="14" t="s">
        <v>554</v>
      </c>
      <c r="U148">
        <v>55</v>
      </c>
      <c r="V148" t="s">
        <v>806</v>
      </c>
      <c r="X148" t="str">
        <f>IF(COUNTIF(X$1:X147,X147)&gt;7,REPLACE(X147,LEN(X147),1,VALUE(RIGHT(X147,1))+1),X147)</f>
        <v>A3.14</v>
      </c>
      <c r="Y148" s="43" cm="1">
        <f t="array" ref="Y148">IF(COUNTIFS($X$2:$X148,$X148)=1,"1",VALUE(SUBSTITUTE(INDEX(Y:Y,_xlfn.XMATCH($X148,$X$1:$X147,0,-1)),"A",""))+INDEX(Z:Z,_xlfn.XMATCH($X148,$X$1:$X147,0,-1))+1)</f>
        <v>3</v>
      </c>
      <c r="Z148" s="43" cm="1">
        <f t="array" ref="Z148">SUM(IF(ISNUMBER(FIND("TmAi",$BA$1:$ZZ$1)),IF(IFERROR(ISODD(SUBSTITUTE($BA148:$ZZ148,"A","")),FALSE),IF(ISODD(SUBSTITUTE($BA148:$ZZ148,"A","")),1,0),0)))</f>
        <v>0</v>
      </c>
      <c r="AA148" t="str">
        <f t="shared" si="125"/>
        <v>5B</v>
      </c>
      <c r="AB148" t="str">
        <f t="shared" si="126"/>
        <v>6B</v>
      </c>
      <c r="AL148" t="s">
        <v>137</v>
      </c>
      <c r="AO148" t="s">
        <v>396</v>
      </c>
      <c r="JV148" s="27" t="str">
        <f t="shared" si="128"/>
        <v>XT55</v>
      </c>
      <c r="JY148" t="str">
        <f t="shared" si="129"/>
        <v>F0-AI14-5B</v>
      </c>
      <c r="JZ148" t="str">
        <f t="shared" si="130"/>
        <v>F0-AI14-6B</v>
      </c>
      <c r="KE148" cm="1">
        <f t="array" ref="KE148">IF(COUNTIFS($U$2:$U148,$U148)=1,1,INDEX(KE:KE,_xlfn.XMATCH(U148,U$1:U147,0,-1))+COUNT(KE147:KI147))</f>
        <v>285</v>
      </c>
      <c r="KF148">
        <f t="shared" si="131"/>
        <v>286</v>
      </c>
      <c r="KG148">
        <f t="shared" si="131"/>
        <v>287</v>
      </c>
      <c r="KJ148">
        <v>1</v>
      </c>
      <c r="KK148" s="16">
        <v>2</v>
      </c>
      <c r="KO148" s="16"/>
    </row>
    <row r="149" spans="1:301" x14ac:dyDescent="0.25">
      <c r="A149" t="s">
        <v>779</v>
      </c>
      <c r="B149" t="s">
        <v>793</v>
      </c>
      <c r="C149" t="s">
        <v>498</v>
      </c>
      <c r="P149" t="s">
        <v>482</v>
      </c>
      <c r="T149" s="14" t="s">
        <v>554</v>
      </c>
      <c r="U149">
        <v>55</v>
      </c>
      <c r="V149" t="s">
        <v>807</v>
      </c>
      <c r="X149" t="str">
        <f>IF(COUNTIF(X$1:X148,X148)&gt;7,REPLACE(X148,LEN(X148),1,VALUE(RIGHT(X148,1))+1),X148)</f>
        <v>A3.14</v>
      </c>
      <c r="Y149" s="43" cm="1">
        <f t="array" ref="Y149">IF(COUNTIFS($X$2:$X149,$X149)=1,"1",VALUE(SUBSTITUTE(INDEX(Y:Y,_xlfn.XMATCH($X149,$X$1:$X148,0,-1)),"A",""))+INDEX(Z:Z,_xlfn.XMATCH($X149,$X$1:$X148,0,-1))+1)</f>
        <v>4</v>
      </c>
      <c r="Z149" s="43" cm="1">
        <f t="array" ref="Z149">SUM(IF(ISNUMBER(FIND("TmAi",$BA$1:$ZZ$1)),IF(IFERROR(ISODD(SUBSTITUTE($BA149:$ZZ149,"A","")),FALSE),IF(ISODD(SUBSTITUTE($BA149:$ZZ149,"A","")),1,0),0)))</f>
        <v>0</v>
      </c>
      <c r="AA149" t="str">
        <f t="shared" si="125"/>
        <v>7B</v>
      </c>
      <c r="AB149" t="str">
        <f t="shared" si="126"/>
        <v>8B</v>
      </c>
      <c r="AL149" t="s">
        <v>137</v>
      </c>
      <c r="AO149" t="s">
        <v>396</v>
      </c>
      <c r="JV149" s="27" t="str">
        <f t="shared" si="128"/>
        <v>XT55</v>
      </c>
      <c r="JY149" t="str">
        <f t="shared" si="129"/>
        <v>F0-AI14-7B</v>
      </c>
      <c r="JZ149" t="str">
        <f t="shared" si="130"/>
        <v>F0-AI14-8B</v>
      </c>
      <c r="KE149" cm="1">
        <f t="array" ref="KE149">IF(COUNTIFS($U$2:$U149,$U149)=1,1,INDEX(KE:KE,_xlfn.XMATCH(U149,U$1:U148,0,-1))+COUNT(KE148:KI148))</f>
        <v>288</v>
      </c>
      <c r="KF149">
        <f t="shared" si="131"/>
        <v>289</v>
      </c>
      <c r="KG149">
        <f t="shared" si="131"/>
        <v>290</v>
      </c>
      <c r="KJ149">
        <v>1</v>
      </c>
      <c r="KK149" s="16">
        <v>2</v>
      </c>
      <c r="KO149" s="16"/>
    </row>
    <row r="150" spans="1:301" x14ac:dyDescent="0.25">
      <c r="A150" t="s">
        <v>780</v>
      </c>
      <c r="B150" s="33" t="s">
        <v>794</v>
      </c>
      <c r="C150" t="s">
        <v>492</v>
      </c>
      <c r="P150" t="s">
        <v>482</v>
      </c>
      <c r="T150" s="14" t="s">
        <v>554</v>
      </c>
      <c r="U150">
        <v>55</v>
      </c>
      <c r="V150" t="s">
        <v>808</v>
      </c>
      <c r="X150" t="str">
        <f>IF(COUNTIF(X$1:X149,X149)&gt;7,REPLACE(X149,LEN(X149),1,VALUE(RIGHT(X149,1))+1),X149)</f>
        <v>A3.14</v>
      </c>
      <c r="Y150" s="43" cm="1">
        <f t="array" ref="Y150">IF(COUNTIFS($X$2:$X150,$X150)=1,"1",VALUE(SUBSTITUTE(INDEX(Y:Y,_xlfn.XMATCH($X150,$X$1:$X149,0,-1)),"A",""))+INDEX(Z:Z,_xlfn.XMATCH($X150,$X$1:$X149,0,-1))+1)</f>
        <v>5</v>
      </c>
      <c r="Z150" s="43" cm="1">
        <f t="array" ref="Z150">SUM(IF(ISNUMBER(FIND("TmAi",$BA$1:$ZZ$1)),IF(IFERROR(ISODD(SUBSTITUTE($BA150:$ZZ150,"A","")),FALSE),IF(ISODD(SUBSTITUTE($BA150:$ZZ150,"A","")),1,0),0)))</f>
        <v>0</v>
      </c>
      <c r="AA150" t="str">
        <f t="shared" si="125"/>
        <v>9B</v>
      </c>
      <c r="AB150" t="str">
        <f t="shared" si="126"/>
        <v>10B</v>
      </c>
      <c r="AL150" t="s">
        <v>137</v>
      </c>
      <c r="AO150" t="s">
        <v>396</v>
      </c>
      <c r="JV150" s="27" t="str">
        <f t="shared" si="128"/>
        <v>XT55</v>
      </c>
      <c r="JY150" t="str">
        <f t="shared" si="129"/>
        <v>F0-AI14-9B</v>
      </c>
      <c r="JZ150" t="str">
        <f t="shared" si="130"/>
        <v>F0-AI14-10B</v>
      </c>
      <c r="KE150" cm="1">
        <f t="array" ref="KE150">IF(COUNTIFS($U$2:$U150,$U150)=1,1,INDEX(KE:KE,_xlfn.XMATCH(U150,U$1:U149,0,-1))+COUNT(KE149:KI149))</f>
        <v>291</v>
      </c>
      <c r="KF150">
        <f t="shared" si="131"/>
        <v>292</v>
      </c>
      <c r="KG150">
        <f t="shared" si="131"/>
        <v>293</v>
      </c>
      <c r="KJ150">
        <v>1</v>
      </c>
      <c r="KK150" s="16">
        <v>2</v>
      </c>
      <c r="KO150" s="16"/>
    </row>
    <row r="151" spans="1:301" x14ac:dyDescent="0.25">
      <c r="A151" t="s">
        <v>781</v>
      </c>
      <c r="B151" t="s">
        <v>795</v>
      </c>
      <c r="C151" t="s">
        <v>498</v>
      </c>
      <c r="P151" t="s">
        <v>482</v>
      </c>
      <c r="T151" s="14" t="s">
        <v>554</v>
      </c>
      <c r="U151">
        <v>55</v>
      </c>
      <c r="V151" t="s">
        <v>809</v>
      </c>
      <c r="X151" t="str">
        <f>IF(COUNTIF(X$1:X150,X150)&gt;7,REPLACE(X150,LEN(X150),1,VALUE(RIGHT(X150,1))+1),X150)</f>
        <v>A3.14</v>
      </c>
      <c r="Y151" s="43" cm="1">
        <f t="array" ref="Y151">IF(COUNTIFS($X$2:$X151,$X151)=1,"1",VALUE(SUBSTITUTE(INDEX(Y:Y,_xlfn.XMATCH($X151,$X$1:$X150,0,-1)),"A",""))+INDEX(Z:Z,_xlfn.XMATCH($X151,$X$1:$X150,0,-1))+1)</f>
        <v>6</v>
      </c>
      <c r="Z151" s="43" cm="1">
        <f t="array" ref="Z151">SUM(IF(ISNUMBER(FIND("TmAi",$BA$1:$ZZ$1)),IF(IFERROR(ISODD(SUBSTITUTE($BA151:$ZZ151,"A","")),FALSE),IF(ISODD(SUBSTITUTE($BA151:$ZZ151,"A","")),1,0),0)))</f>
        <v>0</v>
      </c>
      <c r="AA151" t="str">
        <f t="shared" si="125"/>
        <v>11B</v>
      </c>
      <c r="AB151" t="str">
        <f t="shared" si="126"/>
        <v>12B</v>
      </c>
      <c r="AL151" t="s">
        <v>137</v>
      </c>
      <c r="AO151" t="s">
        <v>396</v>
      </c>
      <c r="JV151" s="27" t="str">
        <f t="shared" si="128"/>
        <v>XT55</v>
      </c>
      <c r="JY151" t="str">
        <f t="shared" si="129"/>
        <v>F0-AI14-11B</v>
      </c>
      <c r="JZ151" t="str">
        <f t="shared" si="130"/>
        <v>F0-AI14-12B</v>
      </c>
      <c r="KE151" cm="1">
        <f t="array" ref="KE151">IF(COUNTIFS($U$2:$U151,$U151)=1,1,INDEX(KE:KE,_xlfn.XMATCH(U151,U$1:U150,0,-1))+COUNT(KE150:KI150))</f>
        <v>294</v>
      </c>
      <c r="KF151">
        <f t="shared" si="131"/>
        <v>295</v>
      </c>
      <c r="KG151">
        <f t="shared" si="131"/>
        <v>296</v>
      </c>
      <c r="KJ151">
        <v>1</v>
      </c>
      <c r="KK151" s="16">
        <v>2</v>
      </c>
      <c r="KO151" s="16"/>
    </row>
    <row r="152" spans="1:301" x14ac:dyDescent="0.25">
      <c r="A152" t="s">
        <v>782</v>
      </c>
      <c r="B152" s="33" t="s">
        <v>796</v>
      </c>
      <c r="C152" t="s">
        <v>492</v>
      </c>
      <c r="P152" t="s">
        <v>482</v>
      </c>
      <c r="T152" s="14" t="s">
        <v>554</v>
      </c>
      <c r="U152">
        <v>55</v>
      </c>
      <c r="V152" t="s">
        <v>810</v>
      </c>
      <c r="X152" t="str">
        <f>IF(COUNTIF(X$1:X151,X151)&gt;7,REPLACE(X151,LEN(X151),1,VALUE(RIGHT(X151,1))+1),X151)</f>
        <v>A3.14</v>
      </c>
      <c r="Y152" s="43" cm="1">
        <f t="array" ref="Y152">IF(COUNTIFS($X$2:$X152,$X152)=1,"1",VALUE(SUBSTITUTE(INDEX(Y:Y,_xlfn.XMATCH($X152,$X$1:$X151,0,-1)),"A",""))+INDEX(Z:Z,_xlfn.XMATCH($X152,$X$1:$X151,0,-1))+1)</f>
        <v>7</v>
      </c>
      <c r="Z152" s="43" cm="1">
        <f t="array" ref="Z152">SUM(IF(ISNUMBER(FIND("TmAi",$BA$1:$ZZ$1)),IF(IFERROR(ISODD(SUBSTITUTE($BA152:$ZZ152,"A","")),FALSE),IF(ISODD(SUBSTITUTE($BA152:$ZZ152,"A","")),1,0),0)))</f>
        <v>0</v>
      </c>
      <c r="AA152" t="str">
        <f t="shared" si="125"/>
        <v>13B</v>
      </c>
      <c r="AB152" t="str">
        <f t="shared" si="126"/>
        <v>14B</v>
      </c>
      <c r="AL152" t="s">
        <v>137</v>
      </c>
      <c r="AO152" t="s">
        <v>396</v>
      </c>
      <c r="JV152" s="27" t="str">
        <f t="shared" si="128"/>
        <v>XT55</v>
      </c>
      <c r="JY152" t="str">
        <f t="shared" si="129"/>
        <v>F0-AI14-13B</v>
      </c>
      <c r="JZ152" t="str">
        <f t="shared" si="130"/>
        <v>F0-AI14-14B</v>
      </c>
      <c r="KE152" cm="1">
        <f t="array" ref="KE152">IF(COUNTIFS($U$2:$U152,$U152)=1,1,INDEX(KE:KE,_xlfn.XMATCH(U152,U$1:U151,0,-1))+COUNT(KE151:KI151))</f>
        <v>297</v>
      </c>
      <c r="KF152">
        <f t="shared" si="131"/>
        <v>298</v>
      </c>
      <c r="KG152">
        <f t="shared" si="131"/>
        <v>299</v>
      </c>
      <c r="KJ152">
        <v>1</v>
      </c>
      <c r="KK152" s="16">
        <v>2</v>
      </c>
      <c r="KO152" s="16"/>
    </row>
    <row r="153" spans="1:301" x14ac:dyDescent="0.25">
      <c r="A153" t="s">
        <v>783</v>
      </c>
      <c r="B153" t="s">
        <v>797</v>
      </c>
      <c r="C153" t="s">
        <v>498</v>
      </c>
      <c r="P153" t="s">
        <v>482</v>
      </c>
      <c r="T153" s="14" t="s">
        <v>554</v>
      </c>
      <c r="U153">
        <v>55</v>
      </c>
      <c r="V153" t="s">
        <v>811</v>
      </c>
      <c r="X153" s="33" t="str">
        <f>IF(COUNTIF(X$1:X152,X152)&gt;7,REPLACE(X152,LEN(X152),1,VALUE(RIGHT(X152,1))+1),X152)</f>
        <v>A3.14</v>
      </c>
      <c r="Y153" s="45" cm="1">
        <f t="array" ref="Y153">IF(COUNTIFS($X$2:$X153,$X153)=1,"1",VALUE(SUBSTITUTE(INDEX(Y:Y,_xlfn.XMATCH($X153,$X$1:$X152,0,-1)),"A",""))+INDEX(Z:Z,_xlfn.XMATCH($X153,$X$1:$X152,0,-1))+1)</f>
        <v>8</v>
      </c>
      <c r="Z153" s="43" cm="1">
        <f t="array" ref="Z153">SUM(IF(ISNUMBER(FIND("TmAi",$BA$1:$ZZ$1)),IF(IFERROR(ISODD(SUBSTITUTE($BA153:$ZZ153,"A","")),FALSE),IF(ISODD(SUBSTITUTE($BA153:$ZZ153,"A","")),1,0),0)))</f>
        <v>0</v>
      </c>
      <c r="AA153" t="str">
        <f t="shared" si="125"/>
        <v>15B</v>
      </c>
      <c r="AB153" t="str">
        <f t="shared" si="126"/>
        <v>16B</v>
      </c>
      <c r="AL153" t="s">
        <v>137</v>
      </c>
      <c r="AO153" t="s">
        <v>396</v>
      </c>
      <c r="JV153" s="27" t="str">
        <f t="shared" si="128"/>
        <v>XT55</v>
      </c>
      <c r="JY153" t="str">
        <f t="shared" si="129"/>
        <v>F0-AI14-15B</v>
      </c>
      <c r="JZ153" t="str">
        <f t="shared" si="130"/>
        <v>F0-AI14-16B</v>
      </c>
      <c r="KE153" cm="1">
        <f t="array" ref="KE153">IF(COUNTIFS($U$2:$U153,$U153)=1,1,INDEX(KE:KE,_xlfn.XMATCH(U153,U$1:U152,0,-1))+COUNT(KE152:KI152))</f>
        <v>300</v>
      </c>
      <c r="KF153">
        <f t="shared" si="131"/>
        <v>301</v>
      </c>
      <c r="KG153">
        <f t="shared" si="131"/>
        <v>302</v>
      </c>
      <c r="KJ153">
        <v>1</v>
      </c>
      <c r="KK153" s="16">
        <v>2</v>
      </c>
      <c r="KO153" s="16"/>
    </row>
    <row r="154" spans="1:301" x14ac:dyDescent="0.25">
      <c r="A154" t="s">
        <v>784</v>
      </c>
      <c r="B154" s="33" t="s">
        <v>798</v>
      </c>
      <c r="C154" t="s">
        <v>492</v>
      </c>
      <c r="P154" t="s">
        <v>482</v>
      </c>
      <c r="T154" s="14" t="s">
        <v>554</v>
      </c>
      <c r="U154">
        <v>55</v>
      </c>
      <c r="V154" t="s">
        <v>812</v>
      </c>
      <c r="X154" t="str">
        <f>IF(COUNTIF(X$1:X153,X153)&gt;7,REPLACE(X153,LEN(X153),1,VALUE(RIGHT(X153,1))+1),X153)</f>
        <v>A3.15</v>
      </c>
      <c r="Y154" s="43" t="str" cm="1">
        <f t="array" ref="Y154">IF(COUNTIFS($X$2:$X154,$X154)=1,"1",VALUE(SUBSTITUTE(INDEX(Y:Y,_xlfn.XMATCH($X154,$X$1:$X153,0,-1)),"A",""))+INDEX(Z:Z,_xlfn.XMATCH($X154,$X$1:$X153,0,-1))+1)</f>
        <v>1</v>
      </c>
      <c r="Z154" s="43" cm="1">
        <f t="array" ref="Z154">SUM(IF(ISNUMBER(FIND("TmAi",$BA$1:$ZZ$1)),IF(IFERROR(ISODD(SUBSTITUTE($BA154:$ZZ154,"A","")),FALSE),IF(ISODD(SUBSTITUTE($BA154:$ZZ154,"A","")),1,0),0)))</f>
        <v>0</v>
      </c>
      <c r="AA154" t="str">
        <f t="shared" ref="AA154:AA165" si="132">CONCATENATE($Y154*2-1,"B")</f>
        <v>1B</v>
      </c>
      <c r="AB154" t="str">
        <f t="shared" ref="AB154:AB165" si="133">CONCATENATE($Y154*2,"B")</f>
        <v>2B</v>
      </c>
      <c r="AL154" t="s">
        <v>137</v>
      </c>
      <c r="AO154" t="s">
        <v>396</v>
      </c>
      <c r="JV154" s="27" t="str">
        <f t="shared" si="128"/>
        <v>XT55</v>
      </c>
      <c r="JY154" t="str">
        <f t="shared" si="129"/>
        <v>F0-AI15-1B</v>
      </c>
      <c r="JZ154" t="str">
        <f t="shared" si="130"/>
        <v>F0-AI15-2B</v>
      </c>
      <c r="KE154" cm="1">
        <f t="array" ref="KE154">IF(COUNTIFS($U$2:$U154,$U154)=1,1,INDEX(KE:KE,_xlfn.XMATCH(U154,U$1:U153,0,-1))+COUNT(KE153:KI153))</f>
        <v>303</v>
      </c>
      <c r="KF154">
        <f t="shared" si="131"/>
        <v>304</v>
      </c>
      <c r="KG154">
        <f t="shared" si="131"/>
        <v>305</v>
      </c>
      <c r="KJ154">
        <v>1</v>
      </c>
      <c r="KK154" s="16">
        <v>2</v>
      </c>
      <c r="KO154" s="16"/>
    </row>
    <row r="155" spans="1:301" x14ac:dyDescent="0.25">
      <c r="A155" t="s">
        <v>785</v>
      </c>
      <c r="B155" t="s">
        <v>799</v>
      </c>
      <c r="C155" t="s">
        <v>498</v>
      </c>
      <c r="P155" t="s">
        <v>482</v>
      </c>
      <c r="T155" s="14" t="s">
        <v>554</v>
      </c>
      <c r="U155">
        <v>55</v>
      </c>
      <c r="V155" t="s">
        <v>813</v>
      </c>
      <c r="X155" t="str">
        <f>IF(COUNTIF(X$1:X154,X154)&gt;7,REPLACE(X154,LEN(X154),1,VALUE(RIGHT(X154,1))+1),X154)</f>
        <v>A3.15</v>
      </c>
      <c r="Y155" s="43" cm="1">
        <f t="array" ref="Y155">IF(COUNTIFS($X$2:$X155,$X155)=1,"1",VALUE(SUBSTITUTE(INDEX(Y:Y,_xlfn.XMATCH($X155,$X$1:$X154,0,-1)),"A",""))+INDEX(Z:Z,_xlfn.XMATCH($X155,$X$1:$X154,0,-1))+1)</f>
        <v>2</v>
      </c>
      <c r="Z155" s="43" cm="1">
        <f t="array" ref="Z155">SUM(IF(ISNUMBER(FIND("TmAi",$BA$1:$ZZ$1)),IF(IFERROR(ISODD(SUBSTITUTE($BA155:$ZZ155,"A","")),FALSE),IF(ISODD(SUBSTITUTE($BA155:$ZZ155,"A","")),1,0),0)))</f>
        <v>0</v>
      </c>
      <c r="AA155" t="str">
        <f t="shared" si="132"/>
        <v>3B</v>
      </c>
      <c r="AB155" t="str">
        <f t="shared" si="133"/>
        <v>4B</v>
      </c>
      <c r="AL155" t="s">
        <v>137</v>
      </c>
      <c r="AO155" t="s">
        <v>396</v>
      </c>
      <c r="JV155" s="27" t="str">
        <f t="shared" si="128"/>
        <v>XT55</v>
      </c>
      <c r="JY155" t="str">
        <f t="shared" si="129"/>
        <v>F0-AI15-3B</v>
      </c>
      <c r="JZ155" t="str">
        <f t="shared" si="130"/>
        <v>F0-AI15-4B</v>
      </c>
      <c r="KE155" cm="1">
        <f t="array" ref="KE155">IF(COUNTIFS($U$2:$U155,$U155)=1,1,INDEX(KE:KE,_xlfn.XMATCH(U155,U$1:U154,0,-1))+COUNT(KE154:KI154))</f>
        <v>306</v>
      </c>
      <c r="KF155">
        <f t="shared" si="131"/>
        <v>307</v>
      </c>
      <c r="KG155">
        <f t="shared" si="131"/>
        <v>308</v>
      </c>
      <c r="KJ155">
        <v>1</v>
      </c>
      <c r="KK155" s="16">
        <v>2</v>
      </c>
      <c r="KO155" s="16"/>
    </row>
    <row r="156" spans="1:301" x14ac:dyDescent="0.25">
      <c r="A156" t="s">
        <v>786</v>
      </c>
      <c r="B156" s="33" t="s">
        <v>800</v>
      </c>
      <c r="C156" t="s">
        <v>492</v>
      </c>
      <c r="P156" t="s">
        <v>482</v>
      </c>
      <c r="T156" s="14" t="s">
        <v>554</v>
      </c>
      <c r="U156">
        <v>55</v>
      </c>
      <c r="V156" t="s">
        <v>814</v>
      </c>
      <c r="X156" t="str">
        <f>IF(COUNTIF(X$1:X155,X155)&gt;7,REPLACE(X155,LEN(X155),1,VALUE(RIGHT(X155,1))+1),X155)</f>
        <v>A3.15</v>
      </c>
      <c r="Y156" s="43" cm="1">
        <f t="array" ref="Y156">IF(COUNTIFS($X$2:$X156,$X156)=1,"1",VALUE(SUBSTITUTE(INDEX(Y:Y,_xlfn.XMATCH($X156,$X$1:$X155,0,-1)),"A",""))+INDEX(Z:Z,_xlfn.XMATCH($X156,$X$1:$X155,0,-1))+1)</f>
        <v>3</v>
      </c>
      <c r="Z156" s="43" cm="1">
        <f t="array" ref="Z156">SUM(IF(ISNUMBER(FIND("TmAi",$BA$1:$ZZ$1)),IF(IFERROR(ISODD(SUBSTITUTE($BA156:$ZZ156,"A","")),FALSE),IF(ISODD(SUBSTITUTE($BA156:$ZZ156,"A","")),1,0),0)))</f>
        <v>0</v>
      </c>
      <c r="AA156" t="str">
        <f t="shared" si="132"/>
        <v>5B</v>
      </c>
      <c r="AB156" t="str">
        <f t="shared" si="133"/>
        <v>6B</v>
      </c>
      <c r="AL156" t="s">
        <v>137</v>
      </c>
      <c r="AO156" t="s">
        <v>396</v>
      </c>
      <c r="JV156" s="27" t="str">
        <f t="shared" si="128"/>
        <v>XT55</v>
      </c>
      <c r="JY156" t="str">
        <f t="shared" si="129"/>
        <v>F0-AI15-5B</v>
      </c>
      <c r="JZ156" t="str">
        <f t="shared" si="130"/>
        <v>F0-AI15-6B</v>
      </c>
      <c r="KE156" cm="1">
        <f t="array" ref="KE156">IF(COUNTIFS($U$2:$U156,$U156)=1,1,INDEX(KE:KE,_xlfn.XMATCH(U156,U$1:U155,0,-1))+COUNT(KE155:KI155))</f>
        <v>309</v>
      </c>
      <c r="KF156">
        <f t="shared" si="131"/>
        <v>310</v>
      </c>
      <c r="KG156">
        <f t="shared" si="131"/>
        <v>311</v>
      </c>
      <c r="KJ156">
        <v>1</v>
      </c>
      <c r="KK156" s="16">
        <v>2</v>
      </c>
      <c r="KO156" s="16"/>
    </row>
    <row r="157" spans="1:301" x14ac:dyDescent="0.25">
      <c r="A157" t="s">
        <v>787</v>
      </c>
      <c r="B157" t="s">
        <v>801</v>
      </c>
      <c r="C157" t="s">
        <v>498</v>
      </c>
      <c r="P157" t="s">
        <v>482</v>
      </c>
      <c r="T157" s="14" t="s">
        <v>554</v>
      </c>
      <c r="U157">
        <v>55</v>
      </c>
      <c r="V157" t="s">
        <v>815</v>
      </c>
      <c r="X157" t="str">
        <f>IF(COUNTIF(X$1:X156,X156)&gt;7,REPLACE(X156,LEN(X156),1,VALUE(RIGHT(X156,1))+1),X156)</f>
        <v>A3.15</v>
      </c>
      <c r="Y157" s="43" cm="1">
        <f t="array" ref="Y157">IF(COUNTIFS($X$2:$X157,$X157)=1,"1",VALUE(SUBSTITUTE(INDEX(Y:Y,_xlfn.XMATCH($X157,$X$1:$X156,0,-1)),"A",""))+INDEX(Z:Z,_xlfn.XMATCH($X157,$X$1:$X156,0,-1))+1)</f>
        <v>4</v>
      </c>
      <c r="Z157" s="43" cm="1">
        <f t="array" ref="Z157">SUM(IF(ISNUMBER(FIND("TmAi",$BA$1:$ZZ$1)),IF(IFERROR(ISODD(SUBSTITUTE($BA157:$ZZ157,"A","")),FALSE),IF(ISODD(SUBSTITUTE($BA157:$ZZ157,"A","")),1,0),0)))</f>
        <v>0</v>
      </c>
      <c r="AA157" t="str">
        <f t="shared" si="132"/>
        <v>7B</v>
      </c>
      <c r="AB157" t="str">
        <f t="shared" si="133"/>
        <v>8B</v>
      </c>
      <c r="AL157" t="s">
        <v>137</v>
      </c>
      <c r="AO157" t="s">
        <v>396</v>
      </c>
      <c r="JV157" s="27" t="str">
        <f t="shared" si="128"/>
        <v>XT55</v>
      </c>
      <c r="JY157" t="str">
        <f t="shared" si="129"/>
        <v>F0-AI15-7B</v>
      </c>
      <c r="JZ157" t="str">
        <f t="shared" si="130"/>
        <v>F0-AI15-8B</v>
      </c>
      <c r="KE157" cm="1">
        <f t="array" ref="KE157">IF(COUNTIFS($U$2:$U157,$U157)=1,1,INDEX(KE:KE,_xlfn.XMATCH(U157,U$1:U156,0,-1))+COUNT(KE156:KI156))</f>
        <v>312</v>
      </c>
      <c r="KF157">
        <f t="shared" si="131"/>
        <v>313</v>
      </c>
      <c r="KG157">
        <f t="shared" si="131"/>
        <v>314</v>
      </c>
      <c r="KJ157">
        <v>1</v>
      </c>
      <c r="KK157" s="16">
        <v>2</v>
      </c>
      <c r="KO157" s="16"/>
    </row>
    <row r="158" spans="1:301" x14ac:dyDescent="0.25">
      <c r="A158" t="s">
        <v>788</v>
      </c>
      <c r="B158" s="33" t="s">
        <v>802</v>
      </c>
      <c r="C158" t="s">
        <v>492</v>
      </c>
      <c r="P158" t="s">
        <v>482</v>
      </c>
      <c r="T158" s="14" t="s">
        <v>554</v>
      </c>
      <c r="U158">
        <v>55</v>
      </c>
      <c r="V158" t="s">
        <v>816</v>
      </c>
      <c r="X158" t="str">
        <f>IF(COUNTIF(X$1:X157,X157)&gt;7,REPLACE(X157,LEN(X157),1,VALUE(RIGHT(X157,1))+1),X157)</f>
        <v>A3.15</v>
      </c>
      <c r="Y158" s="43" cm="1">
        <f t="array" ref="Y158">IF(COUNTIFS($X$2:$X158,$X158)=1,"1",VALUE(SUBSTITUTE(INDEX(Y:Y,_xlfn.XMATCH($X158,$X$1:$X157,0,-1)),"A",""))+INDEX(Z:Z,_xlfn.XMATCH($X158,$X$1:$X157,0,-1))+1)</f>
        <v>5</v>
      </c>
      <c r="Z158" s="43" cm="1">
        <f t="array" ref="Z158">SUM(IF(ISNUMBER(FIND("TmAi",$BA$1:$ZZ$1)),IF(IFERROR(ISODD(SUBSTITUTE($BA158:$ZZ158,"A","")),FALSE),IF(ISODD(SUBSTITUTE($BA158:$ZZ158,"A","")),1,0),0)))</f>
        <v>0</v>
      </c>
      <c r="AA158" t="str">
        <f t="shared" si="132"/>
        <v>9B</v>
      </c>
      <c r="AB158" t="str">
        <f t="shared" si="133"/>
        <v>10B</v>
      </c>
      <c r="AL158" t="s">
        <v>137</v>
      </c>
      <c r="AO158" t="s">
        <v>396</v>
      </c>
      <c r="JV158" s="27" t="str">
        <f t="shared" si="128"/>
        <v>XT55</v>
      </c>
      <c r="JY158" t="str">
        <f t="shared" si="129"/>
        <v>F0-AI15-9B</v>
      </c>
      <c r="JZ158" t="str">
        <f t="shared" si="130"/>
        <v>F0-AI15-10B</v>
      </c>
      <c r="KE158" cm="1">
        <f t="array" ref="KE158">IF(COUNTIFS($U$2:$U158,$U158)=1,1,INDEX(KE:KE,_xlfn.XMATCH(U158,U$1:U157,0,-1))+COUNT(KE157:KI157))</f>
        <v>315</v>
      </c>
      <c r="KF158">
        <f t="shared" si="131"/>
        <v>316</v>
      </c>
      <c r="KG158">
        <f t="shared" si="131"/>
        <v>317</v>
      </c>
      <c r="KJ158">
        <v>1</v>
      </c>
      <c r="KK158" s="16">
        <v>2</v>
      </c>
      <c r="KO158" s="16"/>
    </row>
    <row r="159" spans="1:301" x14ac:dyDescent="0.25">
      <c r="A159" t="s">
        <v>818</v>
      </c>
      <c r="B159" s="36" t="s">
        <v>817</v>
      </c>
      <c r="C159" t="s">
        <v>492</v>
      </c>
      <c r="P159" t="s">
        <v>482</v>
      </c>
      <c r="T159" s="14" t="s">
        <v>554</v>
      </c>
      <c r="U159">
        <v>55</v>
      </c>
      <c r="V159" t="s">
        <v>838</v>
      </c>
      <c r="X159" t="str">
        <f>IF(COUNTIF(X$1:X158,X158)&gt;7,REPLACE(X158,LEN(X158),1,VALUE(RIGHT(X158,1))+1),X158)</f>
        <v>A3.15</v>
      </c>
      <c r="Y159" s="43" cm="1">
        <f t="array" ref="Y159">IF(COUNTIFS($X$2:$X159,$X159)=1,"1",VALUE(SUBSTITUTE(INDEX(Y:Y,_xlfn.XMATCH($X159,$X$1:$X158,0,-1)),"A",""))+INDEX(Z:Z,_xlfn.XMATCH($X159,$X$1:$X158,0,-1))+1)</f>
        <v>6</v>
      </c>
      <c r="Z159" s="43" cm="1">
        <f t="array" ref="Z159">SUM(IF(ISNUMBER(FIND("TmAi",$BA$1:$ZZ$1)),IF(IFERROR(ISODD(SUBSTITUTE($BA159:$ZZ159,"A","")),FALSE),IF(ISODD(SUBSTITUTE($BA159:$ZZ159,"A","")),1,0),0)))</f>
        <v>0</v>
      </c>
      <c r="AA159" t="str">
        <f t="shared" si="132"/>
        <v>11B</v>
      </c>
      <c r="AB159" t="str">
        <f t="shared" si="133"/>
        <v>12B</v>
      </c>
      <c r="AL159" t="s">
        <v>137</v>
      </c>
      <c r="AO159" t="s">
        <v>396</v>
      </c>
      <c r="JV159" s="27" t="str">
        <f t="shared" si="128"/>
        <v>XT55</v>
      </c>
      <c r="JY159" t="str">
        <f t="shared" si="129"/>
        <v>F0-AI15-11B</v>
      </c>
      <c r="JZ159" t="str">
        <f t="shared" si="130"/>
        <v>F0-AI15-12B</v>
      </c>
      <c r="KE159" cm="1">
        <f t="array" ref="KE159">IF(COUNTIFS($U$2:$U159,$U159)=1,1,INDEX(KE:KE,_xlfn.XMATCH(U159,U$1:U158,0,-1))+COUNT(KE158:KI158))</f>
        <v>318</v>
      </c>
      <c r="KF159">
        <f t="shared" si="131"/>
        <v>319</v>
      </c>
      <c r="KG159">
        <f t="shared" si="131"/>
        <v>320</v>
      </c>
      <c r="KJ159">
        <v>1</v>
      </c>
      <c r="KK159" s="16">
        <v>2</v>
      </c>
      <c r="KO159" s="16"/>
    </row>
    <row r="160" spans="1:301" x14ac:dyDescent="0.25">
      <c r="A160" t="s">
        <v>820</v>
      </c>
      <c r="B160" s="36" t="s">
        <v>819</v>
      </c>
      <c r="C160" t="s">
        <v>492</v>
      </c>
      <c r="P160" t="s">
        <v>482</v>
      </c>
      <c r="T160" s="14" t="s">
        <v>554</v>
      </c>
      <c r="U160">
        <v>55</v>
      </c>
      <c r="V160" t="s">
        <v>839</v>
      </c>
      <c r="X160" t="str">
        <f>IF(COUNTIF(X$1:X159,X159)&gt;7,REPLACE(X159,LEN(X159),1,VALUE(RIGHT(X159,1))+1),X159)</f>
        <v>A3.15</v>
      </c>
      <c r="Y160" s="43" cm="1">
        <f t="array" ref="Y160">IF(COUNTIFS($X$2:$X160,$X160)=1,"1",VALUE(SUBSTITUTE(INDEX(Y:Y,_xlfn.XMATCH($X160,$X$1:$X159,0,-1)),"A",""))+INDEX(Z:Z,_xlfn.XMATCH($X160,$X$1:$X159,0,-1))+1)</f>
        <v>7</v>
      </c>
      <c r="Z160" s="43" cm="1">
        <f t="array" ref="Z160">SUM(IF(ISNUMBER(FIND("TmAi",$BA$1:$ZZ$1)),IF(IFERROR(ISODD(SUBSTITUTE($BA160:$ZZ160,"A","")),FALSE),IF(ISODD(SUBSTITUTE($BA160:$ZZ160,"A","")),1,0),0)))</f>
        <v>0</v>
      </c>
      <c r="AA160" t="str">
        <f t="shared" si="132"/>
        <v>13B</v>
      </c>
      <c r="AB160" t="str">
        <f t="shared" si="133"/>
        <v>14B</v>
      </c>
      <c r="AL160" t="s">
        <v>137</v>
      </c>
      <c r="AO160" t="s">
        <v>396</v>
      </c>
      <c r="JV160" s="27" t="str">
        <f t="shared" si="128"/>
        <v>XT55</v>
      </c>
      <c r="JY160" t="str">
        <f t="shared" si="129"/>
        <v>F0-AI15-13B</v>
      </c>
      <c r="JZ160" t="str">
        <f t="shared" si="130"/>
        <v>F0-AI15-14B</v>
      </c>
      <c r="KE160" cm="1">
        <f t="array" ref="KE160">IF(COUNTIFS($U$2:$U160,$U160)=1,1,INDEX(KE:KE,_xlfn.XMATCH(U160,U$1:U159,0,-1))+COUNT(KE159:KI159))</f>
        <v>321</v>
      </c>
      <c r="KF160">
        <f t="shared" si="131"/>
        <v>322</v>
      </c>
      <c r="KG160">
        <f t="shared" si="131"/>
        <v>323</v>
      </c>
      <c r="KJ160">
        <v>1</v>
      </c>
      <c r="KK160" s="16">
        <v>2</v>
      </c>
      <c r="KO160" s="16"/>
    </row>
    <row r="161" spans="1:330" x14ac:dyDescent="0.25">
      <c r="A161" t="s">
        <v>822</v>
      </c>
      <c r="B161" t="s">
        <v>821</v>
      </c>
      <c r="C161" t="s">
        <v>498</v>
      </c>
      <c r="P161" t="s">
        <v>482</v>
      </c>
      <c r="T161" s="14" t="s">
        <v>554</v>
      </c>
      <c r="U161">
        <v>55</v>
      </c>
      <c r="V161" t="s">
        <v>840</v>
      </c>
      <c r="X161" s="33" t="str">
        <f>IF(COUNTIF(X$1:X160,X160)&gt;7,REPLACE(X160,LEN(X160),1,VALUE(RIGHT(X160,1))+1),X160)</f>
        <v>A3.15</v>
      </c>
      <c r="Y161" s="45" cm="1">
        <f t="array" ref="Y161">IF(COUNTIFS($X$2:$X161,$X161)=1,"1",VALUE(SUBSTITUTE(INDEX(Y:Y,_xlfn.XMATCH($X161,$X$1:$X160,0,-1)),"A",""))+INDEX(Z:Z,_xlfn.XMATCH($X161,$X$1:$X160,0,-1))+1)</f>
        <v>8</v>
      </c>
      <c r="Z161" s="43" cm="1">
        <f t="array" ref="Z161">SUM(IF(ISNUMBER(FIND("TmAi",$BA$1:$ZZ$1)),IF(IFERROR(ISODD(SUBSTITUTE($BA161:$ZZ161,"A","")),FALSE),IF(ISODD(SUBSTITUTE($BA161:$ZZ161,"A","")),1,0),0)))</f>
        <v>0</v>
      </c>
      <c r="AA161" t="str">
        <f t="shared" si="132"/>
        <v>15B</v>
      </c>
      <c r="AB161" t="str">
        <f t="shared" si="133"/>
        <v>16B</v>
      </c>
      <c r="AL161" t="s">
        <v>137</v>
      </c>
      <c r="AO161" t="s">
        <v>396</v>
      </c>
      <c r="JV161" s="27" t="str">
        <f t="shared" si="128"/>
        <v>XT55</v>
      </c>
      <c r="JY161" t="str">
        <f t="shared" si="129"/>
        <v>F0-AI15-15B</v>
      </c>
      <c r="JZ161" t="str">
        <f t="shared" si="130"/>
        <v>F0-AI15-16B</v>
      </c>
      <c r="KE161" cm="1">
        <f t="array" ref="KE161">IF(COUNTIFS($U$2:$U161,$U161)=1,1,INDEX(KE:KE,_xlfn.XMATCH(U161,U$1:U160,0,-1))+COUNT(KE160:KI160))</f>
        <v>324</v>
      </c>
      <c r="KF161">
        <f t="shared" si="131"/>
        <v>325</v>
      </c>
      <c r="KG161">
        <f t="shared" si="131"/>
        <v>326</v>
      </c>
      <c r="KJ161">
        <v>1</v>
      </c>
      <c r="KK161" s="16">
        <v>2</v>
      </c>
      <c r="KO161" s="16"/>
    </row>
    <row r="162" spans="1:330" x14ac:dyDescent="0.25">
      <c r="A162" t="s">
        <v>824</v>
      </c>
      <c r="B162" t="s">
        <v>823</v>
      </c>
      <c r="C162" t="s">
        <v>498</v>
      </c>
      <c r="P162" t="s">
        <v>482</v>
      </c>
      <c r="T162" s="14" t="s">
        <v>554</v>
      </c>
      <c r="U162">
        <v>55</v>
      </c>
      <c r="V162" t="s">
        <v>841</v>
      </c>
      <c r="X162" t="str">
        <f>IF(COUNTIF(X$1:X161,X161)&gt;7,REPLACE(X161,LEN(X161),1,VALUE(RIGHT(X161,1))+1),X161)</f>
        <v>A3.16</v>
      </c>
      <c r="Y162" s="43" t="str" cm="1">
        <f t="array" ref="Y162">IF(COUNTIFS($X$2:$X162,$X162)=1,"1",VALUE(SUBSTITUTE(INDEX(Y:Y,_xlfn.XMATCH($X162,$X$1:$X161,0,-1)),"A",""))+INDEX(Z:Z,_xlfn.XMATCH($X162,$X$1:$X161,0,-1))+1)</f>
        <v>1</v>
      </c>
      <c r="Z162" s="46" cm="1">
        <f t="array" ref="Z162">SUM(IF(ISNUMBER(FIND("TmAi",$BA$1:$ZZ$1)),IF(IFERROR(ISODD(SUBSTITUTE($BA162:$ZZ162,"A","")),FALSE),IF(ISODD(SUBSTITUTE($BA162:$ZZ162,"A","")),1,0),0)))</f>
        <v>0</v>
      </c>
      <c r="AA162" t="str">
        <f t="shared" si="132"/>
        <v>1B</v>
      </c>
      <c r="AB162" t="str">
        <f t="shared" si="133"/>
        <v>2B</v>
      </c>
      <c r="AL162" t="s">
        <v>137</v>
      </c>
      <c r="AO162" t="s">
        <v>396</v>
      </c>
      <c r="JV162" s="27" t="str">
        <f t="shared" si="128"/>
        <v>XT55</v>
      </c>
      <c r="JY162" t="str">
        <f t="shared" si="129"/>
        <v>F0-AI16-1B</v>
      </c>
      <c r="JZ162" t="str">
        <f t="shared" si="130"/>
        <v>F0-AI16-2B</v>
      </c>
      <c r="KE162" cm="1">
        <f t="array" ref="KE162">IF(COUNTIFS($U$2:$U162,$U162)=1,1,INDEX(KE:KE,_xlfn.XMATCH(U162,U$1:U161,0,-1))+COUNT(KE161:KI161))</f>
        <v>327</v>
      </c>
      <c r="KF162">
        <f t="shared" ref="KF162:KH168" si="134">KE162+1</f>
        <v>328</v>
      </c>
      <c r="KG162">
        <f t="shared" si="134"/>
        <v>329</v>
      </c>
      <c r="KJ162">
        <v>1</v>
      </c>
      <c r="KK162" s="16">
        <v>2</v>
      </c>
      <c r="KO162" s="16"/>
    </row>
    <row r="163" spans="1:330" x14ac:dyDescent="0.25">
      <c r="A163" t="s">
        <v>826</v>
      </c>
      <c r="B163" t="s">
        <v>825</v>
      </c>
      <c r="C163" t="s">
        <v>498</v>
      </c>
      <c r="P163" t="s">
        <v>482</v>
      </c>
      <c r="T163" s="14" t="s">
        <v>554</v>
      </c>
      <c r="U163">
        <v>55</v>
      </c>
      <c r="V163" t="s">
        <v>842</v>
      </c>
      <c r="X163" t="str">
        <f>IF(COUNTIF(X$1:X162,X162)&gt;7,REPLACE(X162,LEN(X162),1,VALUE(RIGHT(X162,1))+1),X162)</f>
        <v>A3.16</v>
      </c>
      <c r="Y163" s="43" cm="1">
        <f t="array" ref="Y163">IF(COUNTIFS($X$2:$X163,$X163)=1,"1",VALUE(SUBSTITUTE(INDEX(Y:Y,_xlfn.XMATCH($X163,$X$1:$X162,0,-1)),"A",""))+INDEX(Z:Z,_xlfn.XMATCH($X163,$X$1:$X162,0,-1))+1)</f>
        <v>2</v>
      </c>
      <c r="Z163" s="46" cm="1">
        <f t="array" ref="Z163">SUM(IF(ISNUMBER(FIND("TmAi",$BA$1:$ZZ$1)),IF(IFERROR(ISODD(SUBSTITUTE($BA163:$ZZ163,"A","")),FALSE),IF(ISODD(SUBSTITUTE($BA163:$ZZ163,"A","")),1,0),0)))</f>
        <v>0</v>
      </c>
      <c r="AA163" t="str">
        <f t="shared" si="132"/>
        <v>3B</v>
      </c>
      <c r="AB163" t="str">
        <f t="shared" si="133"/>
        <v>4B</v>
      </c>
      <c r="AL163" t="s">
        <v>137</v>
      </c>
      <c r="AO163" t="s">
        <v>396</v>
      </c>
      <c r="JV163" s="27" t="str">
        <f t="shared" si="128"/>
        <v>XT55</v>
      </c>
      <c r="JY163" t="str">
        <f t="shared" si="129"/>
        <v>F0-AI16-3B</v>
      </c>
      <c r="JZ163" t="str">
        <f t="shared" si="130"/>
        <v>F0-AI16-4B</v>
      </c>
      <c r="KE163" cm="1">
        <f t="array" ref="KE163">IF(COUNTIFS($U$2:$U163,$U163)=1,1,INDEX(KE:KE,_xlfn.XMATCH(U163,U$1:U162,0,-1))+COUNT(KE162:KI162))</f>
        <v>330</v>
      </c>
      <c r="KF163">
        <f t="shared" si="134"/>
        <v>331</v>
      </c>
      <c r="KG163">
        <f t="shared" si="134"/>
        <v>332</v>
      </c>
      <c r="KJ163">
        <v>1</v>
      </c>
      <c r="KK163" s="16">
        <v>2</v>
      </c>
      <c r="KO163" s="16"/>
    </row>
    <row r="164" spans="1:330" x14ac:dyDescent="0.25">
      <c r="A164" t="s">
        <v>828</v>
      </c>
      <c r="B164" s="33" t="s">
        <v>827</v>
      </c>
      <c r="C164" t="s">
        <v>498</v>
      </c>
      <c r="P164" t="s">
        <v>482</v>
      </c>
      <c r="T164" s="14" t="s">
        <v>554</v>
      </c>
      <c r="U164">
        <v>55</v>
      </c>
      <c r="V164" t="s">
        <v>843</v>
      </c>
      <c r="X164" t="str">
        <f>IF(COUNTIF(X$1:X163,X163)&gt;7,REPLACE(X163,LEN(X163),1,VALUE(RIGHT(X163,1))+1),X163)</f>
        <v>A3.16</v>
      </c>
      <c r="Y164" s="43" cm="1">
        <f t="array" ref="Y164">IF(COUNTIFS($X$2:$X164,$X164)=1,"1",VALUE(SUBSTITUTE(INDEX(Y:Y,_xlfn.XMATCH($X164,$X$1:$X163,0,-1)),"A",""))+INDEX(Z:Z,_xlfn.XMATCH($X164,$X$1:$X163,0,-1))+1)</f>
        <v>3</v>
      </c>
      <c r="Z164" s="46" cm="1">
        <f t="array" ref="Z164">SUM(IF(ISNUMBER(FIND("TmAi",$BA$1:$ZZ$1)),IF(IFERROR(ISODD(SUBSTITUTE($BA164:$ZZ164,"A","")),FALSE),IF(ISODD(SUBSTITUTE($BA164:$ZZ164,"A","")),1,0),0)))</f>
        <v>0</v>
      </c>
      <c r="AA164" t="str">
        <f t="shared" si="132"/>
        <v>5B</v>
      </c>
      <c r="AB164" t="str">
        <f t="shared" si="133"/>
        <v>6B</v>
      </c>
      <c r="AL164" t="s">
        <v>137</v>
      </c>
      <c r="AO164" t="s">
        <v>396</v>
      </c>
      <c r="JV164" s="27" t="str">
        <f t="shared" si="128"/>
        <v>XT55</v>
      </c>
      <c r="JY164" t="str">
        <f t="shared" si="129"/>
        <v>F0-AI16-5B</v>
      </c>
      <c r="JZ164" t="str">
        <f t="shared" si="130"/>
        <v>F0-AI16-6B</v>
      </c>
      <c r="KE164" cm="1">
        <f t="array" ref="KE164">IF(COUNTIFS($U$2:$U164,$U164)=1,1,INDEX(KE:KE,_xlfn.XMATCH(U164,U$1:U163,0,-1))+COUNT(KE163:KI163))</f>
        <v>333</v>
      </c>
      <c r="KF164">
        <f t="shared" si="134"/>
        <v>334</v>
      </c>
      <c r="KG164">
        <f t="shared" si="134"/>
        <v>335</v>
      </c>
      <c r="KJ164">
        <v>1</v>
      </c>
      <c r="KK164" s="16">
        <v>2</v>
      </c>
      <c r="KO164" s="16"/>
    </row>
    <row r="165" spans="1:330" x14ac:dyDescent="0.25">
      <c r="A165" t="s">
        <v>830</v>
      </c>
      <c r="B165" t="s">
        <v>829</v>
      </c>
      <c r="C165" t="s">
        <v>498</v>
      </c>
      <c r="P165" t="s">
        <v>482</v>
      </c>
      <c r="T165" s="14" t="s">
        <v>554</v>
      </c>
      <c r="U165">
        <v>55</v>
      </c>
      <c r="V165" t="s">
        <v>844</v>
      </c>
      <c r="X165" s="33" t="str">
        <f>IF(COUNTIF(X$1:X164,X164)&gt;7,REPLACE(X164,LEN(X164),1,VALUE(RIGHT(X164,1))+1),X164)</f>
        <v>A3.16</v>
      </c>
      <c r="Y165" s="45" cm="1">
        <f t="array" ref="Y165">IF(COUNTIFS($X$2:$X165,$X165)=1,"1",VALUE(SUBSTITUTE(INDEX(Y:Y,_xlfn.XMATCH($X165,$X$1:$X164,0,-1)),"A",""))+INDEX(Z:Z,_xlfn.XMATCH($X165,$X$1:$X164,0,-1))+1)</f>
        <v>4</v>
      </c>
      <c r="Z165" s="46" cm="1">
        <f t="array" ref="Z165">SUM(IF(ISNUMBER(FIND("TmAi",$BA$1:$ZZ$1)),IF(IFERROR(ISODD(SUBSTITUTE($BA165:$ZZ165,"A","")),FALSE),IF(ISODD(SUBSTITUTE($BA165:$ZZ165,"A","")),1,0),0)))</f>
        <v>0</v>
      </c>
      <c r="AA165" t="str">
        <f t="shared" si="132"/>
        <v>7B</v>
      </c>
      <c r="AB165" t="str">
        <f t="shared" si="133"/>
        <v>8B</v>
      </c>
      <c r="AL165" t="s">
        <v>137</v>
      </c>
      <c r="AO165" t="s">
        <v>396</v>
      </c>
      <c r="JV165" s="27" t="str">
        <f t="shared" si="128"/>
        <v>XT55</v>
      </c>
      <c r="JY165" t="str">
        <f t="shared" si="129"/>
        <v>F0-AI16-7B</v>
      </c>
      <c r="JZ165" t="str">
        <f t="shared" si="130"/>
        <v>F0-AI16-8B</v>
      </c>
      <c r="KE165" cm="1">
        <f t="array" ref="KE165">IF(COUNTIFS($U$2:$U165,$U165)=1,1,INDEX(KE:KE,_xlfn.XMATCH(U165,U$1:U164,0,-1))+COUNT(KE164:KI164))</f>
        <v>336</v>
      </c>
      <c r="KF165">
        <f t="shared" si="134"/>
        <v>337</v>
      </c>
      <c r="KG165">
        <f t="shared" si="134"/>
        <v>338</v>
      </c>
      <c r="KJ165">
        <v>1</v>
      </c>
      <c r="KK165" s="16">
        <v>2</v>
      </c>
      <c r="KO165" s="16"/>
    </row>
    <row r="166" spans="1:330" x14ac:dyDescent="0.25">
      <c r="A166" t="s">
        <v>832</v>
      </c>
      <c r="B166" t="s">
        <v>831</v>
      </c>
      <c r="C166" t="s">
        <v>537</v>
      </c>
      <c r="P166" t="s">
        <v>542</v>
      </c>
      <c r="T166" s="14" t="s">
        <v>554</v>
      </c>
      <c r="U166">
        <v>55</v>
      </c>
      <c r="V166" t="s">
        <v>845</v>
      </c>
      <c r="X166" t="s">
        <v>1056</v>
      </c>
      <c r="Y166" s="43" cm="1">
        <f t="array" ref="Y166">IF(COUNTIFS($X$2:$X166,$X166)=1,"1",VALUE(SUBSTITUTE(INDEX(Y:Y,_xlfn.XMATCH($X166,$X$1:$X165,0,-1)),"A",""))+INDEX(Z:Z,_xlfn.XMATCH($X166,$X$1:$X165,0,-1))+1)</f>
        <v>3</v>
      </c>
      <c r="Z166" s="46" cm="1">
        <f t="array" ref="Z166">SUM(IF(ISNUMBER(FIND("TmAi",$BA$1:$ZZ$1)),IF(IFERROR(ISODD(SUBSTITUTE($BA166:$ZZ166,"A","")),FALSE),IF(ISODD(SUBSTITUTE($BA166:$ZZ166,"A","")),1,0),0)))</f>
        <v>0</v>
      </c>
      <c r="AA166" t="str">
        <f t="shared" ref="AA166:AA168" si="135">CONCATENATE($Y166*2-1,"A")</f>
        <v>5A</v>
      </c>
      <c r="AB166" t="str">
        <f t="shared" ref="AB166:AB168" si="136">CONCATENATE($Y166*2-1,"B")</f>
        <v>5B</v>
      </c>
      <c r="AL166" t="s">
        <v>137</v>
      </c>
      <c r="AO166" t="s">
        <v>396</v>
      </c>
      <c r="JV166" s="27" t="str">
        <f t="shared" si="128"/>
        <v>XT55</v>
      </c>
      <c r="JW166" t="str">
        <f>REPLACE($AA166,1,1,LEFT($AA166,1)+1)</f>
        <v>6A</v>
      </c>
      <c r="JX166" t="str">
        <f>REPLACE(AB166,1,1,LEFT(AB166,1)+1)</f>
        <v>6B</v>
      </c>
      <c r="JY166" t="str">
        <f t="shared" si="129"/>
        <v>F0-AI30-5A</v>
      </c>
      <c r="JZ166" t="str">
        <f t="shared" si="130"/>
        <v>F0-AI30-5B</v>
      </c>
      <c r="KA166" t="str">
        <f>CONCATENATE($T166,"-AI",REPLACE($X166,1,3,""),"-",JW166)</f>
        <v>F0-AI30-6A</v>
      </c>
      <c r="KB166" t="str">
        <f>CONCATENATE($T166,"-AI",REPLACE($X166,1,3,""),"-",JX166)</f>
        <v>F0-AI30-6B</v>
      </c>
      <c r="KE166" cm="1">
        <f t="array" ref="KE166">IF(COUNTIFS($U$2:$U166,$U166)=1,1,INDEX(KE:KE,_xlfn.XMATCH(U166,U$1:U165,0,-1))+COUNT(KE165:KI165))</f>
        <v>339</v>
      </c>
      <c r="KF166">
        <f t="shared" si="134"/>
        <v>340</v>
      </c>
      <c r="KG166">
        <f t="shared" si="134"/>
        <v>341</v>
      </c>
      <c r="KH166">
        <f>KG166+1</f>
        <v>342</v>
      </c>
      <c r="KJ166">
        <v>1</v>
      </c>
      <c r="KK166" s="16">
        <v>2</v>
      </c>
      <c r="KL166">
        <v>3</v>
      </c>
      <c r="KM166">
        <v>4</v>
      </c>
      <c r="KO166" s="16"/>
    </row>
    <row r="167" spans="1:330" x14ac:dyDescent="0.25">
      <c r="A167" t="s">
        <v>835</v>
      </c>
      <c r="B167" t="s">
        <v>834</v>
      </c>
      <c r="C167" t="s">
        <v>537</v>
      </c>
      <c r="P167" t="s">
        <v>542</v>
      </c>
      <c r="T167" s="14" t="s">
        <v>554</v>
      </c>
      <c r="U167">
        <v>55</v>
      </c>
      <c r="V167" t="s">
        <v>846</v>
      </c>
      <c r="X167" t="str">
        <f>IF(COUNTIF(X$1:X166,X166)&gt;7,REPLACE(X166,LEN(X166),1,VALUE(RIGHT(X166,1))+1),X166)</f>
        <v>A3.30</v>
      </c>
      <c r="Y167" s="43" cm="1">
        <f t="array" ref="Y167">IF(COUNTIFS($X$2:$X167,$X167)=1,"1",VALUE(SUBSTITUTE(INDEX(Y:Y,_xlfn.XMATCH($X167,$X$1:$X166,0,-1)),"A",""))+INDEX(Z:Z,_xlfn.XMATCH($X167,$X$1:$X166,0,-1))+1)</f>
        <v>4</v>
      </c>
      <c r="Z167" s="46" cm="1">
        <f t="array" ref="Z167">SUM(IF(ISNUMBER(FIND("TmAi",$BA$1:$ZZ$1)),IF(IFERROR(ISODD(SUBSTITUTE($BA167:$ZZ167,"A","")),FALSE),IF(ISODD(SUBSTITUTE($BA167:$ZZ167,"A","")),1,0),0)))</f>
        <v>0</v>
      </c>
      <c r="AA167" t="str">
        <f t="shared" si="135"/>
        <v>7A</v>
      </c>
      <c r="AB167" t="str">
        <f t="shared" si="136"/>
        <v>7B</v>
      </c>
      <c r="AL167" t="s">
        <v>137</v>
      </c>
      <c r="AO167" t="s">
        <v>396</v>
      </c>
      <c r="JV167" s="27" t="str">
        <f t="shared" si="128"/>
        <v>XT55</v>
      </c>
      <c r="JW167" t="str">
        <f t="shared" ref="JW167:JX167" si="137">REPLACE(AA167,1,1,LEFT(AA167,1)+1)</f>
        <v>8A</v>
      </c>
      <c r="JX167" t="str">
        <f t="shared" si="137"/>
        <v>8B</v>
      </c>
      <c r="JY167" t="str">
        <f t="shared" si="129"/>
        <v>F0-AI30-7A</v>
      </c>
      <c r="JZ167" t="str">
        <f t="shared" si="130"/>
        <v>F0-AI30-7B</v>
      </c>
      <c r="KA167" t="str">
        <f t="shared" ref="KA167:KB168" si="138">CONCATENATE($T167,"-AI",REPLACE($X167,1,3,""),"-",JW167)</f>
        <v>F0-AI30-8A</v>
      </c>
      <c r="KB167" t="str">
        <f t="shared" si="138"/>
        <v>F0-AI30-8B</v>
      </c>
      <c r="KE167" cm="1">
        <f t="array" ref="KE167">IF(COUNTIFS($U$2:$U167,$U167)=1,1,INDEX(KE:KE,_xlfn.XMATCH(U167,U$1:U166,0,-1))+COUNT(KE166:KI166))</f>
        <v>343</v>
      </c>
      <c r="KF167">
        <f t="shared" si="134"/>
        <v>344</v>
      </c>
      <c r="KG167">
        <f t="shared" si="134"/>
        <v>345</v>
      </c>
      <c r="KH167">
        <f t="shared" si="134"/>
        <v>346</v>
      </c>
      <c r="KJ167">
        <v>1</v>
      </c>
      <c r="KK167" s="16">
        <v>2</v>
      </c>
      <c r="KL167">
        <v>3</v>
      </c>
      <c r="KM167">
        <v>4</v>
      </c>
      <c r="KO167" s="16"/>
    </row>
    <row r="168" spans="1:330" ht="15.75" thickBot="1" x14ac:dyDescent="0.3">
      <c r="A168" t="s">
        <v>837</v>
      </c>
      <c r="B168" s="33" t="s">
        <v>836</v>
      </c>
      <c r="C168" t="s">
        <v>537</v>
      </c>
      <c r="P168" t="s">
        <v>542</v>
      </c>
      <c r="T168" s="14" t="s">
        <v>554</v>
      </c>
      <c r="U168">
        <v>55</v>
      </c>
      <c r="V168" t="s">
        <v>847</v>
      </c>
      <c r="X168" s="33" t="str">
        <f>IF(COUNTIF(X$1:X167,X167)&gt;7,REPLACE(X167,LEN(X167),1,VALUE(RIGHT(X167,1))+1),X167)</f>
        <v>A3.30</v>
      </c>
      <c r="Y168" s="45" cm="1">
        <f t="array" ref="Y168">IF(COUNTIFS($X$2:$X168,$X168)=1,"1",VALUE(SUBSTITUTE(INDEX(Y:Y,_xlfn.XMATCH($X168,$X$1:$X167,0,-1)),"A",""))+INDEX(Z:Z,_xlfn.XMATCH($X168,$X$1:$X167,0,-1))+1)</f>
        <v>5</v>
      </c>
      <c r="Z168" s="46" cm="1">
        <f t="array" ref="Z168">SUM(IF(ISNUMBER(FIND("TmAi",$BA$1:$ZZ$1)),IF(IFERROR(ISODD(SUBSTITUTE($BA168:$ZZ168,"A","")),FALSE),IF(ISODD(SUBSTITUTE($BA168:$ZZ168,"A","")),1,0),0)))</f>
        <v>0</v>
      </c>
      <c r="AA168" t="str">
        <f t="shared" si="135"/>
        <v>9A</v>
      </c>
      <c r="AB168" t="str">
        <f t="shared" si="136"/>
        <v>9B</v>
      </c>
      <c r="AL168" t="s">
        <v>137</v>
      </c>
      <c r="AO168" t="s">
        <v>396</v>
      </c>
      <c r="JV168" s="28" t="str">
        <f t="shared" si="128"/>
        <v>XT55</v>
      </c>
      <c r="JW168" s="19" t="str">
        <f>REPLACE($AA168,1,1,LEFT($AA168,1)+1)</f>
        <v>10A</v>
      </c>
      <c r="JX168" s="19" t="str">
        <f>REPLACE($AB168,1,1,LEFT($AB168,1)+1)</f>
        <v>10B</v>
      </c>
      <c r="JY168" s="19" t="str">
        <f t="shared" si="129"/>
        <v>F0-AI30-9A</v>
      </c>
      <c r="JZ168" s="19" t="str">
        <f t="shared" si="130"/>
        <v>F0-AI30-9B</v>
      </c>
      <c r="KA168" s="19" t="str">
        <f t="shared" si="138"/>
        <v>F0-AI30-10A</v>
      </c>
      <c r="KB168" s="19" t="str">
        <f t="shared" si="138"/>
        <v>F0-AI30-10B</v>
      </c>
      <c r="KC168" s="19"/>
      <c r="KD168" s="19"/>
      <c r="KE168" s="19" cm="1">
        <f t="array" ref="KE168">IF(COUNTIFS($U$2:$U168,$U168)=1,1,INDEX(KE:KE,_xlfn.XMATCH(U168,U$1:U167,0,-1))+COUNT(KE167:KI167))</f>
        <v>347</v>
      </c>
      <c r="KF168" s="19">
        <f t="shared" si="134"/>
        <v>348</v>
      </c>
      <c r="KG168" s="19">
        <f t="shared" si="134"/>
        <v>349</v>
      </c>
      <c r="KH168" s="19">
        <f t="shared" si="134"/>
        <v>350</v>
      </c>
      <c r="KI168" s="19"/>
      <c r="KJ168" s="19">
        <v>1</v>
      </c>
      <c r="KK168" s="20">
        <v>2</v>
      </c>
      <c r="KL168" s="19">
        <v>3</v>
      </c>
      <c r="KM168" s="19">
        <v>4</v>
      </c>
      <c r="KN168" s="19"/>
      <c r="KO168" s="20"/>
    </row>
    <row r="169" spans="1:330" ht="15.75" thickBot="1" x14ac:dyDescent="0.3">
      <c r="A169" t="s">
        <v>852</v>
      </c>
      <c r="B169" t="s">
        <v>851</v>
      </c>
      <c r="C169" t="s">
        <v>850</v>
      </c>
      <c r="P169" t="s">
        <v>849</v>
      </c>
      <c r="T169" s="14" t="s">
        <v>554</v>
      </c>
      <c r="U169">
        <v>56</v>
      </c>
      <c r="V169" t="s">
        <v>848</v>
      </c>
      <c r="Y169" s="43"/>
      <c r="Z169" s="46"/>
      <c r="AC169" t="s">
        <v>853</v>
      </c>
      <c r="AD169" t="s">
        <v>133</v>
      </c>
      <c r="AE169" t="s">
        <v>134</v>
      </c>
      <c r="AL169" t="s">
        <v>137</v>
      </c>
      <c r="AP169" t="s">
        <v>854</v>
      </c>
      <c r="KP169" s="25" t="str">
        <f>CONCATENATE("XT",U169)</f>
        <v>XT56</v>
      </c>
      <c r="KQ169" s="12" t="str">
        <f>CONCATENATE("DI",REPLACE($AC169,1,3,""),"-",$AD169)</f>
        <v>DI12-C1</v>
      </c>
      <c r="KR169" s="12" t="s">
        <v>865</v>
      </c>
      <c r="KS169" s="12" t="str">
        <f>CONCATENATE("K",$U169,"-01")</f>
        <v>K56-01</v>
      </c>
      <c r="KT169" s="12">
        <v>11</v>
      </c>
      <c r="KU169" s="12">
        <v>14</v>
      </c>
      <c r="KV169" s="12" t="s">
        <v>142</v>
      </c>
      <c r="KW169" s="12" t="s">
        <v>143</v>
      </c>
      <c r="KX169" s="12" t="s">
        <v>488</v>
      </c>
      <c r="KY169" s="12" t="s">
        <v>487</v>
      </c>
      <c r="KZ169" s="12" t="s">
        <v>414</v>
      </c>
      <c r="LA169" s="12" t="s">
        <v>413</v>
      </c>
      <c r="LB169" s="12" cm="1">
        <f t="array" ref="LB169">IF(COUNTIFS($U$2:$U169,$U169)=1,1,INDEX(LB:LB,_xlfn.XMATCH(AS169,AS$1:AS168,0,-1))+COUNT(LB168:LF168))</f>
        <v>1</v>
      </c>
      <c r="LC169" s="12">
        <f>LB169+1</f>
        <v>2</v>
      </c>
      <c r="LD169" s="12">
        <f>LC169+1</f>
        <v>3</v>
      </c>
      <c r="LE169" s="12" t="s">
        <v>547</v>
      </c>
      <c r="LF169" s="12" t="s">
        <v>548</v>
      </c>
      <c r="LG169" s="12">
        <v>1</v>
      </c>
      <c r="LH169" s="12">
        <v>2</v>
      </c>
      <c r="LI169" s="13">
        <v>3</v>
      </c>
    </row>
    <row r="170" spans="1:330" x14ac:dyDescent="0.25">
      <c r="A170" t="s">
        <v>868</v>
      </c>
      <c r="B170" t="s">
        <v>867</v>
      </c>
      <c r="P170" t="s">
        <v>869</v>
      </c>
      <c r="T170" s="14" t="s">
        <v>554</v>
      </c>
      <c r="U170">
        <v>57</v>
      </c>
      <c r="V170" t="s">
        <v>866</v>
      </c>
      <c r="X170" t="s">
        <v>833</v>
      </c>
      <c r="Y170" s="43" cm="1">
        <f t="array" ref="Y170">IF(COUNTIFS($X$2:$X170,$X170)=1,"1",VALUE(SUBSTITUTE(INDEX(Y:Y,_xlfn.XMATCH($X170,$X$1:$X169,0,-1)),"A",""))+INDEX(Z:Z,_xlfn.XMATCH($X170,$X$1:$X169,0,-1))+1)</f>
        <v>5</v>
      </c>
      <c r="Z170" s="46" cm="1">
        <f t="array" ref="Z170">SUM(IF(ISNUMBER(FIND("TmAi",$BA$1:$ZZ$1)),IF(IFERROR(ISODD(SUBSTITUTE($BA170:$ZZ170,"A","")),FALSE),IF(ISODD(SUBSTITUTE($BA170:$ZZ170,"A","")),1,0),0)))</f>
        <v>0</v>
      </c>
      <c r="AA170" t="str">
        <f t="shared" ref="AA170:AA176" si="139">CONCATENATE($Y170*2-1,"A")</f>
        <v>9A</v>
      </c>
      <c r="AB170" t="str">
        <f t="shared" ref="AB170:AB176" si="140">CONCATENATE($Y170*2-1,"B")</f>
        <v>9B</v>
      </c>
      <c r="AL170" t="s">
        <v>137</v>
      </c>
      <c r="AM170" t="s">
        <v>873</v>
      </c>
      <c r="AO170" t="s">
        <v>396</v>
      </c>
      <c r="KO170" s="16"/>
      <c r="LJ170" s="25" t="str">
        <f t="shared" ref="LJ170:LJ176" si="141">CONCATENATE("XT",U170)</f>
        <v>XT57</v>
      </c>
      <c r="LK170" s="12" t="str">
        <f t="shared" ref="LK170:LK176" si="142">CONCATENATE(T170,"-AI",REPLACE($X170,1,3,""),"-",AA170)</f>
        <v>F0-AI16-9A</v>
      </c>
      <c r="LL170" s="12" t="str">
        <f t="shared" ref="LL170:LL176" si="143">CONCATENATE(T170,"-AI",REPLACE($X170,1,3,""),"-",AB170)</f>
        <v>F0-AI16-9B</v>
      </c>
      <c r="LM170" s="12">
        <v>1</v>
      </c>
      <c r="LN170" s="12">
        <f t="shared" ref="LN170:LO176" si="144">LM170+1</f>
        <v>2</v>
      </c>
      <c r="LO170" s="12">
        <f t="shared" si="144"/>
        <v>3</v>
      </c>
      <c r="LP170" s="12" t="s">
        <v>870</v>
      </c>
      <c r="LQ170" s="12" t="s">
        <v>871</v>
      </c>
      <c r="LR170" s="13" t="s">
        <v>872</v>
      </c>
    </row>
    <row r="171" spans="1:330" x14ac:dyDescent="0.25">
      <c r="A171" t="s">
        <v>879</v>
      </c>
      <c r="B171" t="s">
        <v>878</v>
      </c>
      <c r="P171" t="s">
        <v>869</v>
      </c>
      <c r="T171" s="14" t="s">
        <v>554</v>
      </c>
      <c r="U171">
        <v>57</v>
      </c>
      <c r="V171" t="s">
        <v>874</v>
      </c>
      <c r="X171" t="str">
        <f>IF(COUNTIF(X$1:X170,X170)&gt;7,REPLACE(X170,LEN(X170),1,VALUE(RIGHT(X170,1))+1),X170)</f>
        <v>A3.16</v>
      </c>
      <c r="Y171" s="43" cm="1">
        <f t="array" ref="Y171">IF(COUNTIFS($X$2:$X171,$X171)=1,"1",VALUE(SUBSTITUTE(INDEX(Y:Y,_xlfn.XMATCH($X171,$X$1:$X170,0,-1)),"A",""))+INDEX(Z:Z,_xlfn.XMATCH($X171,$X$1:$X170,0,-1))+1)</f>
        <v>6</v>
      </c>
      <c r="Z171" s="46" cm="1">
        <f t="array" ref="Z171">SUM(IF(ISNUMBER(FIND("TmAi",$BA$1:$ZZ$1)),IF(IFERROR(ISODD(SUBSTITUTE($BA171:$ZZ171,"A","")),FALSE),IF(ISODD(SUBSTITUTE($BA171:$ZZ171,"A","")),1,0),0)))</f>
        <v>0</v>
      </c>
      <c r="AA171" t="str">
        <f t="shared" si="139"/>
        <v>11A</v>
      </c>
      <c r="AB171" t="str">
        <f t="shared" si="140"/>
        <v>11B</v>
      </c>
      <c r="AL171" t="s">
        <v>137</v>
      </c>
      <c r="AM171" t="s">
        <v>873</v>
      </c>
      <c r="AO171" t="s">
        <v>396</v>
      </c>
      <c r="LJ171" s="27" t="str">
        <f t="shared" si="141"/>
        <v>XT57</v>
      </c>
      <c r="LK171" t="str">
        <f t="shared" si="142"/>
        <v>F0-AI16-11A</v>
      </c>
      <c r="LL171" t="str">
        <f t="shared" si="143"/>
        <v>F0-AI16-11B</v>
      </c>
      <c r="LM171">
        <f>LM170+3</f>
        <v>4</v>
      </c>
      <c r="LN171">
        <f t="shared" si="144"/>
        <v>5</v>
      </c>
      <c r="LO171">
        <f t="shared" si="144"/>
        <v>6</v>
      </c>
      <c r="LP171" t="s">
        <v>892</v>
      </c>
      <c r="LQ171" t="s">
        <v>871</v>
      </c>
      <c r="LR171" s="16" t="s">
        <v>872</v>
      </c>
    </row>
    <row r="172" spans="1:330" x14ac:dyDescent="0.25">
      <c r="A172" t="s">
        <v>881</v>
      </c>
      <c r="B172" t="s">
        <v>880</v>
      </c>
      <c r="P172" t="s">
        <v>869</v>
      </c>
      <c r="T172" s="14" t="s">
        <v>554</v>
      </c>
      <c r="U172">
        <v>57</v>
      </c>
      <c r="V172" t="s">
        <v>875</v>
      </c>
      <c r="X172" t="str">
        <f>IF(COUNTIF(X$1:X171,X171)&gt;7,REPLACE(X171,LEN(X171),1,VALUE(RIGHT(X171,1))+1),X171)</f>
        <v>A3.16</v>
      </c>
      <c r="Y172" s="43" cm="1">
        <f t="array" ref="Y172">IF(COUNTIFS($X$2:$X172,$X172)=1,"1",VALUE(SUBSTITUTE(INDEX(Y:Y,_xlfn.XMATCH($X172,$X$1:$X171,0,-1)),"A",""))+INDEX(Z:Z,_xlfn.XMATCH($X172,$X$1:$X171,0,-1))+1)</f>
        <v>7</v>
      </c>
      <c r="Z172" s="46" cm="1">
        <f t="array" ref="Z172">SUM(IF(ISNUMBER(FIND("TmAi",$BA$1:$ZZ$1)),IF(IFERROR(ISODD(SUBSTITUTE($BA172:$ZZ172,"A","")),FALSE),IF(ISODD(SUBSTITUTE($BA172:$ZZ172,"A","")),1,0),0)))</f>
        <v>0</v>
      </c>
      <c r="AA172" t="str">
        <f t="shared" si="139"/>
        <v>13A</v>
      </c>
      <c r="AB172" t="str">
        <f t="shared" si="140"/>
        <v>13B</v>
      </c>
      <c r="AL172" t="s">
        <v>137</v>
      </c>
      <c r="AM172" t="s">
        <v>873</v>
      </c>
      <c r="AO172" t="s">
        <v>396</v>
      </c>
      <c r="LJ172" s="27" t="str">
        <f t="shared" si="141"/>
        <v>XT57</v>
      </c>
      <c r="LK172" t="str">
        <f t="shared" si="142"/>
        <v>F0-AI16-13A</v>
      </c>
      <c r="LL172" t="str">
        <f t="shared" si="143"/>
        <v>F0-AI16-13B</v>
      </c>
      <c r="LM172">
        <f t="shared" ref="LM172:LM176" si="145">LM171+3</f>
        <v>7</v>
      </c>
      <c r="LN172">
        <f t="shared" si="144"/>
        <v>8</v>
      </c>
      <c r="LO172">
        <f t="shared" si="144"/>
        <v>9</v>
      </c>
      <c r="LP172" t="s">
        <v>893</v>
      </c>
      <c r="LQ172" t="s">
        <v>871</v>
      </c>
      <c r="LR172" s="16" t="s">
        <v>872</v>
      </c>
    </row>
    <row r="173" spans="1:330" x14ac:dyDescent="0.25">
      <c r="A173" t="s">
        <v>883</v>
      </c>
      <c r="B173" t="s">
        <v>882</v>
      </c>
      <c r="P173" t="s">
        <v>869</v>
      </c>
      <c r="T173" s="14" t="s">
        <v>554</v>
      </c>
      <c r="U173">
        <v>57</v>
      </c>
      <c r="V173" t="s">
        <v>876</v>
      </c>
      <c r="X173" s="33" t="str">
        <f>IF(COUNTIF(X$1:X172,X172)&gt;7,REPLACE(X172,LEN(X172),1,VALUE(RIGHT(X172,1))+1),X172)</f>
        <v>A3.16</v>
      </c>
      <c r="Y173" s="45" cm="1">
        <f t="array" ref="Y173">IF(COUNTIFS($X$2:$X173,$X173)=1,"1",VALUE(SUBSTITUTE(INDEX(Y:Y,_xlfn.XMATCH($X173,$X$1:$X172,0,-1)),"A",""))+INDEX(Z:Z,_xlfn.XMATCH($X173,$X$1:$X172,0,-1))+1)</f>
        <v>8</v>
      </c>
      <c r="Z173" s="46" cm="1">
        <f t="array" ref="Z173">SUM(IF(ISNUMBER(FIND("TmAi",$BA$1:$ZZ$1)),IF(IFERROR(ISODD(SUBSTITUTE($BA173:$ZZ173,"A","")),FALSE),IF(ISODD(SUBSTITUTE($BA173:$ZZ173,"A","")),1,0),0)))</f>
        <v>0</v>
      </c>
      <c r="AA173" t="str">
        <f t="shared" si="139"/>
        <v>15A</v>
      </c>
      <c r="AB173" t="str">
        <f t="shared" si="140"/>
        <v>15B</v>
      </c>
      <c r="AL173" t="s">
        <v>137</v>
      </c>
      <c r="AM173" t="s">
        <v>873</v>
      </c>
      <c r="AO173" t="s">
        <v>396</v>
      </c>
      <c r="LJ173" s="27" t="str">
        <f t="shared" si="141"/>
        <v>XT57</v>
      </c>
      <c r="LK173" t="str">
        <f t="shared" si="142"/>
        <v>F0-AI16-15A</v>
      </c>
      <c r="LL173" t="str">
        <f t="shared" si="143"/>
        <v>F0-AI16-15B</v>
      </c>
      <c r="LM173">
        <f t="shared" si="145"/>
        <v>10</v>
      </c>
      <c r="LN173">
        <f t="shared" si="144"/>
        <v>11</v>
      </c>
      <c r="LO173">
        <f t="shared" si="144"/>
        <v>12</v>
      </c>
      <c r="LP173" t="s">
        <v>894</v>
      </c>
      <c r="LQ173" t="s">
        <v>871</v>
      </c>
      <c r="LR173" s="16" t="s">
        <v>872</v>
      </c>
    </row>
    <row r="174" spans="1:330" x14ac:dyDescent="0.25">
      <c r="A174" t="s">
        <v>885</v>
      </c>
      <c r="B174" t="s">
        <v>884</v>
      </c>
      <c r="P174" t="s">
        <v>869</v>
      </c>
      <c r="T174" s="14" t="s">
        <v>554</v>
      </c>
      <c r="U174">
        <v>57</v>
      </c>
      <c r="V174" t="s">
        <v>877</v>
      </c>
      <c r="X174" t="str">
        <f>IF(COUNTIF(X$1:X173,X173)&gt;7,REPLACE(X173,LEN(X173),1,VALUE(RIGHT(X173,1))+1),X173)</f>
        <v>A3.17</v>
      </c>
      <c r="Y174" s="43" t="str" cm="1">
        <f t="array" ref="Y174">IF(COUNTIFS($X$2:$X174,$X174)=1,"1",VALUE(SUBSTITUTE(INDEX(Y:Y,_xlfn.XMATCH($X174,$X$1:$X173,0,-1)),"A",""))+INDEX(Z:Z,_xlfn.XMATCH($X174,$X$1:$X173,0,-1))+1)</f>
        <v>1</v>
      </c>
      <c r="Z174" s="46" cm="1">
        <f t="array" ref="Z174">SUM(IF(ISNUMBER(FIND("TmAi",$BA$1:$ZZ$1)),IF(IFERROR(ISODD(SUBSTITUTE($BA174:$ZZ174,"A","")),FALSE),IF(ISODD(SUBSTITUTE($BA174:$ZZ174,"A","")),1,0),0)))</f>
        <v>0</v>
      </c>
      <c r="AA174" t="str">
        <f t="shared" si="139"/>
        <v>1A</v>
      </c>
      <c r="AB174" t="str">
        <f t="shared" si="140"/>
        <v>1B</v>
      </c>
      <c r="AL174" t="s">
        <v>137</v>
      </c>
      <c r="AM174" t="s">
        <v>873</v>
      </c>
      <c r="AO174" t="s">
        <v>396</v>
      </c>
      <c r="LJ174" s="27" t="str">
        <f t="shared" si="141"/>
        <v>XT57</v>
      </c>
      <c r="LK174" t="str">
        <f t="shared" si="142"/>
        <v>F0-AI17-1A</v>
      </c>
      <c r="LL174" t="str">
        <f t="shared" si="143"/>
        <v>F0-AI17-1B</v>
      </c>
      <c r="LM174">
        <f t="shared" si="145"/>
        <v>13</v>
      </c>
      <c r="LN174">
        <f t="shared" si="144"/>
        <v>14</v>
      </c>
      <c r="LO174">
        <f t="shared" si="144"/>
        <v>15</v>
      </c>
      <c r="LP174" t="s">
        <v>895</v>
      </c>
      <c r="LQ174" t="s">
        <v>871</v>
      </c>
      <c r="LR174" s="16" t="s">
        <v>872</v>
      </c>
    </row>
    <row r="175" spans="1:330" x14ac:dyDescent="0.25">
      <c r="A175" t="s">
        <v>889</v>
      </c>
      <c r="B175" t="s">
        <v>888</v>
      </c>
      <c r="P175" t="s">
        <v>869</v>
      </c>
      <c r="T175" s="14" t="s">
        <v>554</v>
      </c>
      <c r="U175">
        <v>57</v>
      </c>
      <c r="V175" t="s">
        <v>886</v>
      </c>
      <c r="X175" t="str">
        <f>IF(COUNTIF(X$1:X174,X174)&gt;7,REPLACE(X174,LEN(X174),1,VALUE(RIGHT(X174,1))+1),X174)</f>
        <v>A3.17</v>
      </c>
      <c r="Y175" s="43" cm="1">
        <f t="array" ref="Y175">IF(COUNTIFS($X$2:$X175,$X175)=1,"1",VALUE(SUBSTITUTE(INDEX(Y:Y,_xlfn.XMATCH($X175,$X$1:$X174,0,-1)),"A",""))+INDEX(Z:Z,_xlfn.XMATCH($X175,$X$1:$X174,0,-1))+1)</f>
        <v>2</v>
      </c>
      <c r="Z175" s="46" cm="1">
        <f t="array" ref="Z175">SUM(IF(ISNUMBER(FIND("TmAi",$BA$1:$ZZ$1)),IF(IFERROR(ISODD(SUBSTITUTE($BA175:$ZZ175,"A","")),FALSE),IF(ISODD(SUBSTITUTE($BA175:$ZZ175,"A","")),1,0),0)))</f>
        <v>0</v>
      </c>
      <c r="AA175" t="str">
        <f t="shared" si="139"/>
        <v>3A</v>
      </c>
      <c r="AB175" t="str">
        <f t="shared" si="140"/>
        <v>3B</v>
      </c>
      <c r="AL175" t="s">
        <v>137</v>
      </c>
      <c r="AM175" t="s">
        <v>873</v>
      </c>
      <c r="AO175" t="s">
        <v>396</v>
      </c>
      <c r="LJ175" s="27" t="str">
        <f t="shared" si="141"/>
        <v>XT57</v>
      </c>
      <c r="LK175" t="str">
        <f t="shared" si="142"/>
        <v>F0-AI17-3A</v>
      </c>
      <c r="LL175" t="str">
        <f t="shared" si="143"/>
        <v>F0-AI17-3B</v>
      </c>
      <c r="LM175">
        <f t="shared" si="145"/>
        <v>16</v>
      </c>
      <c r="LN175">
        <f t="shared" si="144"/>
        <v>17</v>
      </c>
      <c r="LO175">
        <f t="shared" si="144"/>
        <v>18</v>
      </c>
      <c r="LP175" t="s">
        <v>896</v>
      </c>
      <c r="LQ175" t="s">
        <v>871</v>
      </c>
      <c r="LR175" s="16" t="s">
        <v>872</v>
      </c>
    </row>
    <row r="176" spans="1:330" ht="15.75" thickBot="1" x14ac:dyDescent="0.3">
      <c r="A176" t="s">
        <v>891</v>
      </c>
      <c r="B176" s="33" t="s">
        <v>890</v>
      </c>
      <c r="P176" t="s">
        <v>869</v>
      </c>
      <c r="T176" s="14" t="s">
        <v>554</v>
      </c>
      <c r="U176">
        <v>57</v>
      </c>
      <c r="V176" t="s">
        <v>887</v>
      </c>
      <c r="X176" t="str">
        <f>IF(COUNTIF(X$1:X175,X175)&gt;7,REPLACE(X175,LEN(X175),1,VALUE(RIGHT(X175,1))+1),X175)</f>
        <v>A3.17</v>
      </c>
      <c r="Y176" s="43" cm="1">
        <f t="array" ref="Y176">IF(COUNTIFS($X$2:$X176,$X176)=1,"1",VALUE(SUBSTITUTE(INDEX(Y:Y,_xlfn.XMATCH($X176,$X$1:$X175,0,-1)),"A",""))+INDEX(Z:Z,_xlfn.XMATCH($X176,$X$1:$X175,0,-1))+1)</f>
        <v>3</v>
      </c>
      <c r="Z176" s="46" cm="1">
        <f t="array" ref="Z176">SUM(IF(ISNUMBER(FIND("TmAi",$BA$1:$ZZ$1)),IF(IFERROR(ISODD(SUBSTITUTE($BA176:$ZZ176,"A","")),FALSE),IF(ISODD(SUBSTITUTE($BA176:$ZZ176,"A","")),1,0),0)))</f>
        <v>0</v>
      </c>
      <c r="AA176" t="str">
        <f t="shared" si="139"/>
        <v>5A</v>
      </c>
      <c r="AB176" t="str">
        <f t="shared" si="140"/>
        <v>5B</v>
      </c>
      <c r="AL176" t="s">
        <v>137</v>
      </c>
      <c r="AM176" t="s">
        <v>873</v>
      </c>
      <c r="AO176" t="s">
        <v>396</v>
      </c>
      <c r="LJ176" s="27" t="str">
        <f t="shared" si="141"/>
        <v>XT57</v>
      </c>
      <c r="LK176" t="str">
        <f t="shared" si="142"/>
        <v>F0-AI17-5A</v>
      </c>
      <c r="LL176" t="str">
        <f t="shared" si="143"/>
        <v>F0-AI17-5B</v>
      </c>
      <c r="LM176">
        <f t="shared" si="145"/>
        <v>19</v>
      </c>
      <c r="LN176">
        <f t="shared" si="144"/>
        <v>20</v>
      </c>
      <c r="LO176">
        <f t="shared" si="144"/>
        <v>21</v>
      </c>
      <c r="LP176" t="s">
        <v>897</v>
      </c>
      <c r="LQ176" t="s">
        <v>871</v>
      </c>
      <c r="LR176" s="16" t="s">
        <v>872</v>
      </c>
    </row>
    <row r="177" spans="1:532" x14ac:dyDescent="0.25">
      <c r="A177" t="s">
        <v>901</v>
      </c>
      <c r="B177" t="s">
        <v>900</v>
      </c>
      <c r="C177" t="s">
        <v>899</v>
      </c>
      <c r="P177" t="s">
        <v>898</v>
      </c>
      <c r="T177" s="14" t="s">
        <v>554</v>
      </c>
      <c r="U177">
        <v>56</v>
      </c>
      <c r="V177" t="s">
        <v>904</v>
      </c>
      <c r="Y177" s="43"/>
      <c r="Z177" s="46"/>
      <c r="AC177" t="s">
        <v>853</v>
      </c>
      <c r="AD177" t="s">
        <v>906</v>
      </c>
      <c r="AE177" t="s">
        <v>907</v>
      </c>
      <c r="AL177" t="s">
        <v>137</v>
      </c>
      <c r="AO177" t="s">
        <v>396</v>
      </c>
      <c r="AP177" t="s">
        <v>854</v>
      </c>
      <c r="LS177" s="25" t="str">
        <f>CONCATENATE("XT",U177)</f>
        <v>XT56</v>
      </c>
      <c r="LT177" s="12" t="str">
        <f>CONCATENATE("DI",REPLACE($AC177,1,3,""),"-",$AD177)</f>
        <v>DI12-C2</v>
      </c>
      <c r="LU177" s="12" t="s">
        <v>910</v>
      </c>
      <c r="LV177" s="12" t="str">
        <f>CONCATENATE("K",$U177,"-02")</f>
        <v>K56-02</v>
      </c>
      <c r="LW177" s="12">
        <v>11</v>
      </c>
      <c r="LX177" s="12">
        <v>14</v>
      </c>
      <c r="LY177" s="12" t="s">
        <v>142</v>
      </c>
      <c r="LZ177" s="12" t="s">
        <v>143</v>
      </c>
      <c r="MA177" s="12" t="s">
        <v>488</v>
      </c>
      <c r="MB177" s="12" t="s">
        <v>487</v>
      </c>
      <c r="MC177" s="12" t="s">
        <v>414</v>
      </c>
      <c r="MD177" s="12" t="s">
        <v>413</v>
      </c>
      <c r="ME177" s="12">
        <v>4</v>
      </c>
      <c r="MF177" s="12">
        <f t="shared" ref="MF177:MH178" si="146">ME177+1</f>
        <v>5</v>
      </c>
      <c r="MG177" s="12">
        <f t="shared" si="146"/>
        <v>6</v>
      </c>
      <c r="MH177" s="12">
        <f t="shared" si="146"/>
        <v>7</v>
      </c>
      <c r="MI177" s="12">
        <v>1</v>
      </c>
      <c r="MJ177" s="12">
        <v>2</v>
      </c>
      <c r="MK177" s="12">
        <v>3</v>
      </c>
      <c r="ML177" s="12">
        <v>4</v>
      </c>
      <c r="MM177" s="13">
        <v>5</v>
      </c>
    </row>
    <row r="178" spans="1:532" ht="15.75" thickBot="1" x14ac:dyDescent="0.3">
      <c r="A178" t="s">
        <v>903</v>
      </c>
      <c r="B178" s="33" t="s">
        <v>902</v>
      </c>
      <c r="C178" t="s">
        <v>899</v>
      </c>
      <c r="P178" t="s">
        <v>898</v>
      </c>
      <c r="T178" s="14" t="s">
        <v>554</v>
      </c>
      <c r="U178">
        <v>56</v>
      </c>
      <c r="V178" t="s">
        <v>905</v>
      </c>
      <c r="Y178" s="43"/>
      <c r="Z178" s="46"/>
      <c r="AC178" t="s">
        <v>853</v>
      </c>
      <c r="AD178" t="s">
        <v>908</v>
      </c>
      <c r="AE178" t="s">
        <v>909</v>
      </c>
      <c r="AL178" t="s">
        <v>137</v>
      </c>
      <c r="AO178" t="s">
        <v>396</v>
      </c>
      <c r="AP178" t="s">
        <v>854</v>
      </c>
      <c r="LS178" s="27" t="str">
        <f>CONCATENATE("XT",$U178)</f>
        <v>XT56</v>
      </c>
      <c r="LT178" t="str">
        <f>CONCATENATE("DI",REPLACE($AC178,1,3,""),"-",$AD178)</f>
        <v>DI12-C3</v>
      </c>
      <c r="LU178" t="s">
        <v>911</v>
      </c>
      <c r="LV178" t="str">
        <f>CONCATENATE("K",$U178,"-03")</f>
        <v>K56-03</v>
      </c>
      <c r="LW178">
        <v>11</v>
      </c>
      <c r="LX178">
        <v>14</v>
      </c>
      <c r="LY178" t="s">
        <v>142</v>
      </c>
      <c r="LZ178" t="s">
        <v>143</v>
      </c>
      <c r="MA178" t="s">
        <v>488</v>
      </c>
      <c r="MB178" t="s">
        <v>487</v>
      </c>
      <c r="MC178" t="s">
        <v>414</v>
      </c>
      <c r="MD178" t="s">
        <v>413</v>
      </c>
      <c r="ME178">
        <f>ME177+4</f>
        <v>8</v>
      </c>
      <c r="MF178">
        <f t="shared" si="146"/>
        <v>9</v>
      </c>
      <c r="MG178">
        <f t="shared" si="146"/>
        <v>10</v>
      </c>
      <c r="MH178">
        <f t="shared" si="146"/>
        <v>11</v>
      </c>
      <c r="MI178">
        <v>1</v>
      </c>
      <c r="MJ178">
        <v>2</v>
      </c>
      <c r="MK178">
        <v>3</v>
      </c>
      <c r="ML178">
        <v>4</v>
      </c>
      <c r="MM178" s="16">
        <v>5</v>
      </c>
    </row>
    <row r="179" spans="1:532" ht="15.75" thickBot="1" x14ac:dyDescent="0.3">
      <c r="A179" t="s">
        <v>914</v>
      </c>
      <c r="B179" t="s">
        <v>913</v>
      </c>
      <c r="C179" t="s">
        <v>915</v>
      </c>
      <c r="P179" t="s">
        <v>916</v>
      </c>
      <c r="T179" s="14" t="s">
        <v>554</v>
      </c>
      <c r="U179">
        <v>58</v>
      </c>
      <c r="X179" t="s">
        <v>917</v>
      </c>
      <c r="Y179" s="43" cm="1">
        <f t="array" ref="Y179">IF(COUNTIFS($X$2:$X179,$X179)=1,"1",VALUE(SUBSTITUTE(INDEX(Y:Y,_xlfn.XMATCH($X179,$X$1:$X178,0,-1)),"A",""))+INDEX(Z:Z,_xlfn.XMATCH($X179,$X$1:$X178,0,-1))+1)</f>
        <v>4</v>
      </c>
      <c r="Z179" s="46" cm="1">
        <f t="array" ref="Z179">SUM(IF(ISNUMBER(FIND("TmAi",$BA$1:$ZZ$1)),IF(IFERROR(ISODD(SUBSTITUTE($BA179:$ZZ179,"A","")),FALSE),IF(ISODD(SUBSTITUTE($BA179:$ZZ179,"A","")),1,0),0)))</f>
        <v>1</v>
      </c>
      <c r="AA179" t="str">
        <f t="shared" ref="AA179:AA185" si="147">CONCATENATE($Y179*2-1,"A")</f>
        <v>7A</v>
      </c>
      <c r="AB179" t="str">
        <f t="shared" ref="AB179:AB185" si="148">CONCATENATE($Y179*2-1,"B")</f>
        <v>7B</v>
      </c>
      <c r="AC179" t="s">
        <v>853</v>
      </c>
      <c r="AD179" t="s">
        <v>369</v>
      </c>
      <c r="AE179" t="s">
        <v>370</v>
      </c>
      <c r="AL179" t="s">
        <v>137</v>
      </c>
      <c r="AM179" t="s">
        <v>873</v>
      </c>
      <c r="AO179" t="s">
        <v>396</v>
      </c>
      <c r="AP179" t="s">
        <v>139</v>
      </c>
      <c r="MN179" s="25" t="s">
        <v>926</v>
      </c>
      <c r="MO179" s="12" t="s">
        <v>927</v>
      </c>
      <c r="MP179" s="12" t="s">
        <v>931</v>
      </c>
      <c r="MQ179" s="12" t="s">
        <v>932</v>
      </c>
      <c r="MR179" s="12" t="s">
        <v>912</v>
      </c>
      <c r="MS179" s="12" t="str">
        <f>CONCATENATE("XT",$U179)</f>
        <v>XT58</v>
      </c>
      <c r="MT179" s="12" t="str">
        <f>CONCATENATE("B",REPLACE(AD179,1,1,"")+1)</f>
        <v>B5</v>
      </c>
      <c r="MU179" s="12" t="str">
        <f>CONCATENATE("C",REPLACE(AE179,1,1,"")+1)</f>
        <v>C5</v>
      </c>
      <c r="MV179" s="12" t="str">
        <f>CONCATENATE("B",REPLACE(MT179,1,1,"")+1)</f>
        <v>B6</v>
      </c>
      <c r="MW179" s="12" t="str">
        <f>CONCATENATE("C",REPLACE(MU179,1,1,"")+1)</f>
        <v>C6</v>
      </c>
      <c r="MX179" s="12" t="str">
        <f>CONCATENATE("B",REPLACE(MV179,1,1,"")+1)</f>
        <v>B7</v>
      </c>
      <c r="MY179" s="12" t="str">
        <f>CONCATENATE("C",REPLACE(MW179,1,1,"")+1)</f>
        <v>C7</v>
      </c>
      <c r="MZ179" s="12" t="str">
        <f>REPLACE($AA179,1,1,LEFT($AA179,1)+2)</f>
        <v>9A</v>
      </c>
      <c r="NA179" s="12" t="str">
        <f>REPLACE($AB179,1,1,LEFT($AB179,1)+2)</f>
        <v>9B</v>
      </c>
      <c r="NB179" s="12" t="str">
        <f>CONCATENATE("DI",REPLACE($AC179,1,3,""),"-",$AD179)</f>
        <v>DI12-C4</v>
      </c>
      <c r="NC179" s="12" t="str">
        <f>CONCATENATE("DI",REPLACE($AC179,1,3,""),"-",$MU179)</f>
        <v>DI12-C5</v>
      </c>
      <c r="ND179" s="12" t="str">
        <f>CONCATENATE("DI",REPLACE($AC179,1,3,""),"-",$MW179)</f>
        <v>DI12-C6</v>
      </c>
      <c r="NE179" s="12" t="str">
        <f>CONCATENATE("DI",REPLACE($AC179,1,3,""),"-",$MY179)</f>
        <v>DI12-C7</v>
      </c>
      <c r="NF179" s="12" t="s">
        <v>933</v>
      </c>
      <c r="NG179" s="12" t="s">
        <v>934</v>
      </c>
      <c r="NH179" s="12" t="s">
        <v>947</v>
      </c>
      <c r="NI179" s="12" t="s">
        <v>935</v>
      </c>
      <c r="NJ179" s="12" t="s">
        <v>936</v>
      </c>
      <c r="NK179" s="12" t="s">
        <v>937</v>
      </c>
      <c r="NL179" s="12" t="s">
        <v>938</v>
      </c>
      <c r="NM179" s="12" t="s">
        <v>939</v>
      </c>
      <c r="NN179" s="12" t="s">
        <v>940</v>
      </c>
      <c r="NO179" s="12" t="s">
        <v>941</v>
      </c>
      <c r="NP179" s="12" t="s">
        <v>942</v>
      </c>
      <c r="NQ179" s="12">
        <v>11</v>
      </c>
      <c r="NR179" s="12">
        <v>14</v>
      </c>
      <c r="NS179" s="12" t="s">
        <v>142</v>
      </c>
      <c r="NT179" s="12" t="s">
        <v>143</v>
      </c>
      <c r="NU179" s="12" t="s">
        <v>488</v>
      </c>
      <c r="NV179" s="12" t="s">
        <v>487</v>
      </c>
      <c r="NW179" s="12" t="s">
        <v>414</v>
      </c>
      <c r="NX179" s="13" t="s">
        <v>413</v>
      </c>
    </row>
    <row r="180" spans="1:532" x14ac:dyDescent="0.25">
      <c r="A180" t="s">
        <v>949</v>
      </c>
      <c r="B180" t="s">
        <v>948</v>
      </c>
      <c r="C180" t="s">
        <v>945</v>
      </c>
      <c r="P180" t="s">
        <v>946</v>
      </c>
      <c r="T180" s="14" t="s">
        <v>554</v>
      </c>
      <c r="U180">
        <v>58</v>
      </c>
      <c r="V180" t="s">
        <v>958</v>
      </c>
      <c r="X180" t="str">
        <f>IF(COUNTIF(X$1:X179,X179)&gt;7,REPLACE(X179,LEN(X179),1,VALUE(RIGHT(X179,1))+1),X179)</f>
        <v>A3.17</v>
      </c>
      <c r="Y180" s="43" cm="1">
        <f t="array" ref="Y180">IF(COUNTIFS($X$2:$X180,$X180)=1,"1",VALUE(SUBSTITUTE(INDEX(Y:Y,_xlfn.XMATCH($X180,$X$1:$X179,0,-1)),"A",""))+INDEX(Z:Z,_xlfn.XMATCH($X180,$X$1:$X179,0,-1))+1)</f>
        <v>6</v>
      </c>
      <c r="Z180" s="46" cm="1">
        <f t="array" ref="Z180">SUM(IF(ISNUMBER(FIND("TmAi",$BA$1:$ZZ$1)),IF(IFERROR(ISODD(SUBSTITUTE($BA180:$ZZ180,"A","")),FALSE),IF(ISODD(SUBSTITUTE($BA180:$ZZ180,"A","")),1,0),0)))</f>
        <v>0</v>
      </c>
      <c r="AA180" t="str">
        <f t="shared" si="147"/>
        <v>11A</v>
      </c>
      <c r="AB180" t="str">
        <f t="shared" si="148"/>
        <v>11B</v>
      </c>
      <c r="AC180" t="s">
        <v>853</v>
      </c>
      <c r="AD180" t="s">
        <v>943</v>
      </c>
      <c r="AE180" t="s">
        <v>944</v>
      </c>
      <c r="AL180" t="s">
        <v>137</v>
      </c>
      <c r="AM180" t="s">
        <v>873</v>
      </c>
      <c r="AO180" t="s">
        <v>396</v>
      </c>
      <c r="AP180" t="s">
        <v>139</v>
      </c>
      <c r="MN180" s="25"/>
      <c r="MO180" s="12"/>
      <c r="MP180" s="12" t="s">
        <v>960</v>
      </c>
      <c r="MQ180" s="12"/>
      <c r="MR180" s="12" t="s">
        <v>959</v>
      </c>
      <c r="MS180" s="12" t="str">
        <f>CONCATENATE("XT",$U180)</f>
        <v>XT58</v>
      </c>
      <c r="MT180" s="12" t="str">
        <f>CONCATENATE("B",REPLACE(AD180,1,1,"")+1)</f>
        <v>B9</v>
      </c>
      <c r="MU180" s="12" t="str">
        <f>CONCATENATE("C",REPLACE(AE180,1,1,"")+1)</f>
        <v>C9</v>
      </c>
      <c r="MV180" s="12" t="str">
        <f>CONCATENATE("B",REPLACE(MT180,1,1,"")+1)</f>
        <v>B10</v>
      </c>
      <c r="MW180" s="12" t="str">
        <f>CONCATENATE("C",REPLACE(MU180,1,1,"")+1)</f>
        <v>C10</v>
      </c>
      <c r="MX180" s="12" t="str">
        <f>CONCATENATE("B",REPLACE(MV180,1,1,"")+1)</f>
        <v>B11</v>
      </c>
      <c r="MY180" s="12" t="str">
        <f>CONCATENATE("C",REPLACE(MW180,1,1,"")+1)</f>
        <v>C11</v>
      </c>
      <c r="MZ180" s="12"/>
      <c r="NA180" s="12"/>
      <c r="NB180" s="12" t="str">
        <f>CONCATENATE("DI",REPLACE($AC180,1,3,""),"-",$AD180)</f>
        <v>DI12-C8</v>
      </c>
      <c r="NC180" s="12" t="str">
        <f>CONCATENATE("DI",REPLACE($AC180,1,3,""),"-",$MU180)</f>
        <v>DI12-C9</v>
      </c>
      <c r="ND180" s="12" t="str">
        <f>CONCATENATE("DI",REPLACE($AC180,1,3,""),"-",$MW180)</f>
        <v>DI12-C10</v>
      </c>
      <c r="NE180" s="12" t="str">
        <f>CONCATENATE("DI",REPLACE($AC180,1,3,""),"-",$MY180)</f>
        <v>DI12-C11</v>
      </c>
      <c r="NF180" s="12" t="s">
        <v>952</v>
      </c>
      <c r="NG180" s="12"/>
      <c r="NH180" s="12" t="s">
        <v>957</v>
      </c>
      <c r="NI180" s="12" t="s">
        <v>956</v>
      </c>
      <c r="NJ180" s="12" t="s">
        <v>955</v>
      </c>
      <c r="NK180" s="12"/>
      <c r="NL180" s="12"/>
      <c r="NM180" s="12" t="s">
        <v>950</v>
      </c>
      <c r="NN180" s="12" t="s">
        <v>951</v>
      </c>
      <c r="NO180" s="12"/>
      <c r="NP180" s="12"/>
      <c r="NQ180" s="12">
        <v>11</v>
      </c>
      <c r="NR180" s="12">
        <v>14</v>
      </c>
      <c r="NS180" s="12" t="s">
        <v>142</v>
      </c>
      <c r="NT180" s="12" t="s">
        <v>143</v>
      </c>
      <c r="NU180" s="12" t="s">
        <v>488</v>
      </c>
      <c r="NV180" s="12" t="s">
        <v>487</v>
      </c>
      <c r="NW180" s="12" t="s">
        <v>414</v>
      </c>
      <c r="NX180" s="12" t="s">
        <v>413</v>
      </c>
      <c r="NY180" s="12" t="s">
        <v>144</v>
      </c>
      <c r="NZ180" s="13" t="s">
        <v>961</v>
      </c>
    </row>
    <row r="181" spans="1:532" x14ac:dyDescent="0.25">
      <c r="A181" t="s">
        <v>963</v>
      </c>
      <c r="B181" t="s">
        <v>962</v>
      </c>
      <c r="C181" t="s">
        <v>531</v>
      </c>
      <c r="P181" t="s">
        <v>503</v>
      </c>
      <c r="T181" s="14" t="s">
        <v>554</v>
      </c>
      <c r="U181">
        <v>55</v>
      </c>
      <c r="V181" t="s">
        <v>965</v>
      </c>
      <c r="X181" t="str">
        <f>IF(COUNTIF(X$1:X180,X180)&gt;7,REPLACE(X180,LEN(X180),1,VALUE(RIGHT(X180,1))+1),X180)</f>
        <v>A3.17</v>
      </c>
      <c r="Y181" s="43" cm="1">
        <f t="array" ref="Y181">IF(COUNTIFS($X$2:$X181,$X181)=1,"1",VALUE(SUBSTITUTE(INDEX(Y:Y,_xlfn.XMATCH($X181,$X$1:$X180,0,-1)),"A",""))+INDEX(Z:Z,_xlfn.XMATCH($X181,$X$1:$X180,0,-1))+1)</f>
        <v>7</v>
      </c>
      <c r="Z181" s="46" cm="1">
        <f t="array" ref="Z181">SUM(IF(ISNUMBER(FIND("TmAi",$BA$1:$ZZ$1)),IF(IFERROR(ISODD(SUBSTITUTE($BA181:$ZZ181,"A","")),FALSE),IF(ISODD(SUBSTITUTE($BA181:$ZZ181,"A","")),1,0),0)))</f>
        <v>0</v>
      </c>
      <c r="AA181" t="str">
        <f t="shared" si="147"/>
        <v>13A</v>
      </c>
      <c r="AB181" t="str">
        <f t="shared" si="148"/>
        <v>13B</v>
      </c>
      <c r="AL181" t="s">
        <v>137</v>
      </c>
      <c r="AM181" t="s">
        <v>873</v>
      </c>
      <c r="AO181" t="s">
        <v>396</v>
      </c>
      <c r="JV181" s="27" t="str">
        <f>CONCATENATE("XT",U181)</f>
        <v>XT55</v>
      </c>
      <c r="JY181" t="str">
        <f>CONCATENATE(T181,"-AI",REPLACE($X181,1,3,""),"-",AA181)</f>
        <v>F0-AI17-13A</v>
      </c>
      <c r="JZ181" t="str">
        <f>CONCATENATE(T181,"-AI",REPLACE($X181,1,3,""),"-",AB181)</f>
        <v>F0-AI17-13B</v>
      </c>
      <c r="KC181" t="s">
        <v>488</v>
      </c>
      <c r="KD181" t="s">
        <v>487</v>
      </c>
      <c r="KE181" cm="1">
        <f t="array" ref="KE181">IF(COUNTIFS($U$2:$U181,$U181)=1,1,INDEX(KE:KE,_xlfn.XMATCH(U181,U$1:U180,0,-1))+COUNT(KE168:KI168))</f>
        <v>351</v>
      </c>
      <c r="KF181">
        <f t="shared" ref="KF181:KI182" si="149">KE181+1</f>
        <v>352</v>
      </c>
      <c r="KG181">
        <f t="shared" si="149"/>
        <v>353</v>
      </c>
      <c r="KH181">
        <f t="shared" si="149"/>
        <v>354</v>
      </c>
      <c r="KI181">
        <f t="shared" si="149"/>
        <v>355</v>
      </c>
      <c r="KJ181" t="s">
        <v>547</v>
      </c>
      <c r="KK181" s="16" t="s">
        <v>548</v>
      </c>
      <c r="KL181" t="s">
        <v>547</v>
      </c>
      <c r="KM181" t="s">
        <v>548</v>
      </c>
      <c r="KN181" t="s">
        <v>551</v>
      </c>
      <c r="KO181" s="16" t="s">
        <v>552</v>
      </c>
    </row>
    <row r="182" spans="1:532" ht="15.75" thickBot="1" x14ac:dyDescent="0.3">
      <c r="A182" t="s">
        <v>964</v>
      </c>
      <c r="B182" t="s">
        <v>962</v>
      </c>
      <c r="C182" t="s">
        <v>531</v>
      </c>
      <c r="P182" t="s">
        <v>503</v>
      </c>
      <c r="T182" s="14" t="s">
        <v>554</v>
      </c>
      <c r="U182">
        <v>55</v>
      </c>
      <c r="V182" t="s">
        <v>966</v>
      </c>
      <c r="X182" s="33" t="str">
        <f>IF(COUNTIF(X$1:X181,X181)&gt;7,REPLACE(X181,LEN(X181),1,VALUE(RIGHT(X181,1))+1),X181)</f>
        <v>A3.17</v>
      </c>
      <c r="Y182" s="45" cm="1">
        <f t="array" ref="Y182">IF(COUNTIFS($X$2:$X182,$X182)=1,"1",VALUE(SUBSTITUTE(INDEX(Y:Y,_xlfn.XMATCH($X182,$X$1:$X181,0,-1)),"A",""))+INDEX(Z:Z,_xlfn.XMATCH($X182,$X$1:$X181,0,-1))+1)</f>
        <v>8</v>
      </c>
      <c r="Z182" s="46" cm="1">
        <f t="array" ref="Z182">SUM(IF(ISNUMBER(FIND("TmAi",$BA$1:$ZZ$1)),IF(IFERROR(ISODD(SUBSTITUTE($BA182:$ZZ182,"A","")),FALSE),IF(ISODD(SUBSTITUTE($BA182:$ZZ182,"A","")),1,0),0)))</f>
        <v>0</v>
      </c>
      <c r="AA182" t="str">
        <f t="shared" si="147"/>
        <v>15A</v>
      </c>
      <c r="AB182" t="str">
        <f t="shared" si="148"/>
        <v>15B</v>
      </c>
      <c r="AL182" t="s">
        <v>137</v>
      </c>
      <c r="AM182" t="s">
        <v>873</v>
      </c>
      <c r="AO182" t="s">
        <v>396</v>
      </c>
      <c r="JV182" s="27" t="str">
        <f>CONCATENATE("XT",U182)</f>
        <v>XT55</v>
      </c>
      <c r="JY182" t="str">
        <f>CONCATENATE(T182,"-AI",REPLACE($X182,1,3,""),"-",AA182)</f>
        <v>F0-AI17-15A</v>
      </c>
      <c r="JZ182" t="str">
        <f>CONCATENATE(T182,"-AI",REPLACE($X182,1,3,""),"-",AB182)</f>
        <v>F0-AI17-15B</v>
      </c>
      <c r="KC182" t="s">
        <v>488</v>
      </c>
      <c r="KD182" t="s">
        <v>487</v>
      </c>
      <c r="KE182" cm="1">
        <f t="array" ref="KE182">IF(COUNTIFS($U$2:$U182,$U182)=1,1,INDEX(KE:KE,_xlfn.XMATCH(U182,U$1:U181,0,-1))+COUNT(KE181:KI181))</f>
        <v>356</v>
      </c>
      <c r="KF182">
        <f t="shared" si="149"/>
        <v>357</v>
      </c>
      <c r="KG182">
        <f t="shared" si="149"/>
        <v>358</v>
      </c>
      <c r="KH182">
        <f t="shared" si="149"/>
        <v>359</v>
      </c>
      <c r="KI182">
        <f t="shared" si="149"/>
        <v>360</v>
      </c>
      <c r="KJ182" t="s">
        <v>547</v>
      </c>
      <c r="KK182" s="16" t="s">
        <v>548</v>
      </c>
      <c r="KL182" t="s">
        <v>547</v>
      </c>
      <c r="KM182" t="s">
        <v>548</v>
      </c>
      <c r="KN182" t="s">
        <v>551</v>
      </c>
      <c r="KO182" s="16" t="s">
        <v>552</v>
      </c>
    </row>
    <row r="183" spans="1:532" x14ac:dyDescent="0.25">
      <c r="A183" t="s">
        <v>1027</v>
      </c>
      <c r="B183" s="34" t="s">
        <v>1013</v>
      </c>
      <c r="C183" t="s">
        <v>1012</v>
      </c>
      <c r="P183" t="s">
        <v>1011</v>
      </c>
      <c r="T183" s="14" t="s">
        <v>554</v>
      </c>
      <c r="U183">
        <v>59</v>
      </c>
      <c r="W183" t="s">
        <v>1007</v>
      </c>
      <c r="X183" t="s">
        <v>1057</v>
      </c>
      <c r="Y183" s="43" t="str" cm="1">
        <f t="array" ref="Y183">IF(COUNTIFS($X$2:$X183,$X183)=1,"1",VALUE(SUBSTITUTE(INDEX(Y:Y,_xlfn.XMATCH($X183,$X$1:$X182,0,-1)),"A",""))+INDEX(Z:Z,_xlfn.XMATCH($X183,$X$1:$X182,0,-1))+1)</f>
        <v>1</v>
      </c>
      <c r="Z183" s="46" cm="1">
        <f t="array" ref="Z183">SUM(IF(ISNUMBER(FIND("TmAi",$BA$1:$ZZ$1)),IF(IFERROR(ISODD(SUBSTITUTE($BA183:$ZZ183,"A","")),FALSE),IF(ISODD(SUBSTITUTE($BA183:$ZZ183,"A","")),1,0),0)))</f>
        <v>1</v>
      </c>
      <c r="AA183" t="str">
        <f t="shared" si="147"/>
        <v>1A</v>
      </c>
      <c r="AB183" t="str">
        <f t="shared" si="148"/>
        <v>1B</v>
      </c>
      <c r="AL183" t="s">
        <v>137</v>
      </c>
      <c r="AN183" t="s">
        <v>1023</v>
      </c>
      <c r="AO183" t="s">
        <v>396</v>
      </c>
      <c r="OA183" s="25" t="str">
        <f>CONCATENATE("XT",$U183)</f>
        <v>XT59</v>
      </c>
      <c r="OB183" s="12" t="s">
        <v>1028</v>
      </c>
      <c r="OC183" s="12" t="s">
        <v>1024</v>
      </c>
      <c r="OD183" s="12"/>
      <c r="OE183" s="12"/>
      <c r="OF183" s="12" t="str">
        <f>CONCATENATE(REPLACE($AA183,LEN($AA183),1,"")+1,RIGHT($AA183))</f>
        <v>2A</v>
      </c>
      <c r="OG183" s="12" t="str">
        <f>CONCATENATE(REPLACE($AB183,LEN($AB183),1,"")+1,RIGHT($AB183))</f>
        <v>2B</v>
      </c>
      <c r="OH183" s="12" t="str">
        <f>CONCATENATE(REPLACE(OF183,LEN(OF183),1,"")+1,RIGHT(OF183))</f>
        <v>3A</v>
      </c>
      <c r="OI183" s="12" t="str">
        <f t="shared" ref="OI183:OO185" si="150">CONCATENATE(REPLACE(OG183,LEN(OG183),1,"")+1,RIGHT(OG183))</f>
        <v>3B</v>
      </c>
      <c r="OJ183" s="12" t="str">
        <f t="shared" si="150"/>
        <v>4A</v>
      </c>
      <c r="OK183" s="12" t="str">
        <f t="shared" si="150"/>
        <v>4B</v>
      </c>
      <c r="OL183" s="12"/>
      <c r="OM183" s="12"/>
      <c r="ON183" s="12"/>
      <c r="OO183" s="12"/>
      <c r="OP183" s="12" t="str">
        <f>CONCATENATE($T183,"-AI",REPLACE($X183,1,3,""),"-",$AA183)</f>
        <v>F0-AI31-1A</v>
      </c>
      <c r="OQ183" s="12" t="str">
        <f>CONCATENATE($T183,"-AI",REPLACE($X183,1,3,""),"-",$AB183)</f>
        <v>F0-AI31-1B</v>
      </c>
      <c r="OR183" s="12" t="str">
        <f t="shared" ref="OR183:PA185" si="151">CONCATENATE($T183,"-AI",REPLACE($X183,1,3,""),"-",OF183)</f>
        <v>F0-AI31-2A</v>
      </c>
      <c r="OS183" s="12" t="str">
        <f t="shared" si="151"/>
        <v>F0-AI31-2B</v>
      </c>
      <c r="OT183" s="12" t="str">
        <f t="shared" si="151"/>
        <v>F0-AI31-3A</v>
      </c>
      <c r="OU183" s="12" t="str">
        <f t="shared" si="151"/>
        <v>F0-AI31-3B</v>
      </c>
      <c r="OV183" s="12" t="str">
        <f t="shared" si="151"/>
        <v>F0-AI31-4A</v>
      </c>
      <c r="OW183" s="12" t="str">
        <f t="shared" si="151"/>
        <v>F0-AI31-4B</v>
      </c>
      <c r="OX183" s="12"/>
      <c r="OY183" s="12"/>
      <c r="OZ183" s="12"/>
      <c r="PA183" s="12"/>
      <c r="PB183" s="12" cm="1">
        <f t="array" ref="PB183">IF(COUNTIFS($U$2:$U183,$U183)=1,1,INDEX(PB:PB,_xlfn.XMATCH($U183,$U$1:EB182,0,-1))+COUNT(PB182:PG182))</f>
        <v>1</v>
      </c>
      <c r="PC183" s="12">
        <f t="shared" ref="PC183:PJ185" si="152">PB183+1</f>
        <v>2</v>
      </c>
      <c r="PD183" s="12">
        <f t="shared" si="152"/>
        <v>3</v>
      </c>
      <c r="PE183" s="12">
        <f>PD183+1</f>
        <v>4</v>
      </c>
      <c r="PF183" s="12">
        <f t="shared" ref="PF183:PG183" si="153">PE183+1</f>
        <v>5</v>
      </c>
      <c r="PG183" s="12">
        <f t="shared" si="153"/>
        <v>6</v>
      </c>
      <c r="PH183" s="12"/>
      <c r="PI183" s="12"/>
      <c r="PJ183" s="12"/>
      <c r="PK183" s="12">
        <v>1</v>
      </c>
      <c r="PL183" s="12">
        <v>2</v>
      </c>
      <c r="PM183" s="12">
        <v>3</v>
      </c>
      <c r="PN183" s="12">
        <v>4</v>
      </c>
      <c r="PO183" s="12">
        <v>5</v>
      </c>
      <c r="PP183" s="13">
        <v>6</v>
      </c>
    </row>
    <row r="184" spans="1:532" ht="15.75" thickBot="1" x14ac:dyDescent="0.3">
      <c r="A184" t="s">
        <v>1029</v>
      </c>
      <c r="B184" t="s">
        <v>1025</v>
      </c>
      <c r="C184" t="s">
        <v>1012</v>
      </c>
      <c r="P184" t="s">
        <v>1011</v>
      </c>
      <c r="T184" s="14" t="s">
        <v>554</v>
      </c>
      <c r="U184">
        <v>59</v>
      </c>
      <c r="W184" t="s">
        <v>1008</v>
      </c>
      <c r="X184" t="str">
        <f>IF(COUNTIF(X$1:X183,X183)&gt;7,REPLACE(X183,LEN(X183),1,VALUE(RIGHT(X183,1))+1),X183)</f>
        <v>A3.31</v>
      </c>
      <c r="Y184" s="43" cm="1">
        <f t="array" ref="Y184">IF(COUNTIFS($X$2:$X184,$X184)=1,"1",VALUE(SUBSTITUTE(INDEX(Y:Y,_xlfn.XMATCH($X184,$X$1:$X183,0,-1)),"A",""))+INDEX(Z:Z,_xlfn.XMATCH($X184,$X$1:$X183,0,-1))+1)</f>
        <v>3</v>
      </c>
      <c r="Z184" s="46" cm="1">
        <f t="array" ref="Z184">SUM(IF(ISNUMBER(FIND("TmAi",$BA$1:$ZZ$1)),IF(IFERROR(ISODD(SUBSTITUTE($BA184:$ZZ184,"A","")),FALSE),IF(ISODD(SUBSTITUTE($BA184:$ZZ184,"A","")),1,0),0)))</f>
        <v>1</v>
      </c>
      <c r="AA184" t="str">
        <f t="shared" si="147"/>
        <v>5A</v>
      </c>
      <c r="AB184" t="str">
        <f t="shared" si="148"/>
        <v>5B</v>
      </c>
      <c r="AL184" t="s">
        <v>137</v>
      </c>
      <c r="AN184" t="s">
        <v>1023</v>
      </c>
      <c r="AO184" t="s">
        <v>396</v>
      </c>
      <c r="OA184" s="27" t="str">
        <f t="shared" ref="OA184:OA185" si="154">CONCATENATE("XT",$U184)</f>
        <v>XT59</v>
      </c>
      <c r="OB184" t="s">
        <v>1030</v>
      </c>
      <c r="OC184" t="s">
        <v>1026</v>
      </c>
      <c r="OF184" t="str">
        <f t="shared" ref="OF184:OF185" si="155">CONCATENATE(REPLACE($AA184,LEN($AA184),1,"")+1,RIGHT($AA184))</f>
        <v>6A</v>
      </c>
      <c r="OG184" t="str">
        <f t="shared" ref="OG184:OG185" si="156">CONCATENATE(REPLACE($AB184,LEN($AB184),1,"")+1,RIGHT($AB184))</f>
        <v>6B</v>
      </c>
      <c r="OH184" t="str">
        <f t="shared" ref="OH184:OH185" si="157">CONCATENATE(REPLACE(OF184,LEN(OF184),1,"")+1,RIGHT(OF184))</f>
        <v>7A</v>
      </c>
      <c r="OI184" t="str">
        <f t="shared" si="150"/>
        <v>7B</v>
      </c>
      <c r="OJ184" t="str">
        <f t="shared" si="150"/>
        <v>8A</v>
      </c>
      <c r="OK184" t="str">
        <f t="shared" si="150"/>
        <v>8B</v>
      </c>
      <c r="OP184" t="str">
        <f>CONCATENATE($T184,"-AI",REPLACE($X184,1,3,""),"-",$AA184)</f>
        <v>F0-AI31-5A</v>
      </c>
      <c r="OQ184" t="str">
        <f>CONCATENATE($T184,"-AI",REPLACE($X184,1,3,""),"-",$AB184)</f>
        <v>F0-AI31-5B</v>
      </c>
      <c r="OR184" t="str">
        <f t="shared" si="151"/>
        <v>F0-AI31-6A</v>
      </c>
      <c r="OS184" t="str">
        <f t="shared" si="151"/>
        <v>F0-AI31-6B</v>
      </c>
      <c r="OT184" t="str">
        <f t="shared" si="151"/>
        <v>F0-AI31-7A</v>
      </c>
      <c r="OU184" t="str">
        <f t="shared" si="151"/>
        <v>F0-AI31-7B</v>
      </c>
      <c r="OV184" t="str">
        <f t="shared" si="151"/>
        <v>F0-AI31-8A</v>
      </c>
      <c r="OW184" t="str">
        <f t="shared" si="151"/>
        <v>F0-AI31-8B</v>
      </c>
      <c r="PB184" cm="1">
        <f t="array" ref="PB184">IF(COUNTIFS($U$2:$U184,$U184)=1,1,INDEX(PB:PB,_xlfn.XMATCH($U184,$U$1:$U183,0,-1))+COUNT(PB183:PG183))</f>
        <v>7</v>
      </c>
      <c r="PC184">
        <f t="shared" si="152"/>
        <v>8</v>
      </c>
      <c r="PD184">
        <f t="shared" si="152"/>
        <v>9</v>
      </c>
      <c r="PE184">
        <f t="shared" si="152"/>
        <v>10</v>
      </c>
      <c r="PF184">
        <f t="shared" si="152"/>
        <v>11</v>
      </c>
      <c r="PG184">
        <f t="shared" si="152"/>
        <v>12</v>
      </c>
      <c r="PK184">
        <v>7</v>
      </c>
      <c r="PL184">
        <v>8</v>
      </c>
      <c r="PM184">
        <v>9</v>
      </c>
      <c r="PN184">
        <v>10</v>
      </c>
      <c r="PO184">
        <v>11</v>
      </c>
      <c r="PP184" s="16">
        <v>12</v>
      </c>
    </row>
    <row r="185" spans="1:532" ht="15.75" thickBot="1" x14ac:dyDescent="0.3">
      <c r="A185" t="s">
        <v>1031</v>
      </c>
      <c r="B185" t="s">
        <v>1051</v>
      </c>
      <c r="C185" t="s">
        <v>1012</v>
      </c>
      <c r="P185" t="s">
        <v>1047</v>
      </c>
      <c r="T185" s="14" t="s">
        <v>554</v>
      </c>
      <c r="U185">
        <v>59</v>
      </c>
      <c r="W185" t="s">
        <v>1009</v>
      </c>
      <c r="X185" s="33" t="str">
        <f>IF(COUNTIF(X$1:X184,X184)&gt;7,REPLACE(X184,LEN(X184),1,VALUE(RIGHT(X184,1))+1),X184)</f>
        <v>A3.31</v>
      </c>
      <c r="Y185" s="45" cm="1">
        <f t="array" ref="Y185">IF(COUNTIFS($X$2:$X185,$X185)=1,"1",VALUE(SUBSTITUTE(INDEX(Y:Y,_xlfn.XMATCH($X185,$X$1:$X184,0,-1)),"A",""))+INDEX(Z:Z,_xlfn.XMATCH($X185,$X$1:$X184,0,-1))+1)</f>
        <v>5</v>
      </c>
      <c r="Z185" s="46" cm="1">
        <f t="array" ref="Z185">SUM(IF(ISNUMBER(FIND("TmAi",$BA$1:$ZZ$1)),IF(IFERROR(ISODD(SUBSTITUTE($BA185:$ZZ185,"A","")),FALSE),IF(ISODD(SUBSTITUTE($BA185:$ZZ185,"A","")),1,0),0)))</f>
        <v>2</v>
      </c>
      <c r="AA185" t="str">
        <f t="shared" si="147"/>
        <v>9A</v>
      </c>
      <c r="AB185" t="str">
        <f t="shared" si="148"/>
        <v>9B</v>
      </c>
      <c r="AL185" t="s">
        <v>137</v>
      </c>
      <c r="AN185" t="s">
        <v>1048</v>
      </c>
      <c r="AO185" t="s">
        <v>396</v>
      </c>
      <c r="OA185" s="27" t="str">
        <f t="shared" si="154"/>
        <v>XT59</v>
      </c>
      <c r="OB185" t="s">
        <v>1034</v>
      </c>
      <c r="OC185" t="s">
        <v>1050</v>
      </c>
      <c r="OD185" t="s">
        <v>1035</v>
      </c>
      <c r="OE185" t="s">
        <v>1049</v>
      </c>
      <c r="OF185" t="str">
        <f t="shared" si="155"/>
        <v>10A</v>
      </c>
      <c r="OG185" t="str">
        <f t="shared" si="156"/>
        <v>10B</v>
      </c>
      <c r="OH185" t="str">
        <f t="shared" si="157"/>
        <v>11A</v>
      </c>
      <c r="OI185" t="str">
        <f t="shared" si="150"/>
        <v>11B</v>
      </c>
      <c r="OJ185" t="str">
        <f t="shared" si="150"/>
        <v>12A</v>
      </c>
      <c r="OK185" t="str">
        <f t="shared" si="150"/>
        <v>12B</v>
      </c>
      <c r="OL185" t="str">
        <f t="shared" si="150"/>
        <v>13A</v>
      </c>
      <c r="OM185" t="str">
        <f t="shared" si="150"/>
        <v>13B</v>
      </c>
      <c r="ON185" t="str">
        <f t="shared" si="150"/>
        <v>14A</v>
      </c>
      <c r="OO185" t="str">
        <f t="shared" si="150"/>
        <v>14B</v>
      </c>
      <c r="OP185" t="str">
        <f>CONCATENATE($T185,"-AI",REPLACE($X185,1,3,""),"-",$AA185)</f>
        <v>F0-AI31-9A</v>
      </c>
      <c r="OQ185" t="str">
        <f>CONCATENATE($T185,"-AI",REPLACE($X185,1,3,""),"-",$AB185)</f>
        <v>F0-AI31-9B</v>
      </c>
      <c r="OR185" t="str">
        <f t="shared" si="151"/>
        <v>F0-AI31-10A</v>
      </c>
      <c r="OS185" t="str">
        <f t="shared" si="151"/>
        <v>F0-AI31-10B</v>
      </c>
      <c r="OT185" t="str">
        <f t="shared" si="151"/>
        <v>F0-AI31-11A</v>
      </c>
      <c r="OU185" t="str">
        <f t="shared" si="151"/>
        <v>F0-AI31-11B</v>
      </c>
      <c r="OV185" t="str">
        <f t="shared" si="151"/>
        <v>F0-AI31-12A</v>
      </c>
      <c r="OW185" t="str">
        <f t="shared" si="151"/>
        <v>F0-AI31-12B</v>
      </c>
      <c r="OX185" t="str">
        <f t="shared" si="151"/>
        <v>F0-AI31-13A</v>
      </c>
      <c r="OY185" t="str">
        <f t="shared" si="151"/>
        <v>F0-AI31-13B</v>
      </c>
      <c r="OZ185" t="str">
        <f t="shared" si="151"/>
        <v>F0-AI31-14A</v>
      </c>
      <c r="PA185" t="str">
        <f t="shared" si="151"/>
        <v>F0-AI31-14B</v>
      </c>
      <c r="PB185" cm="1">
        <f t="array" ref="PB185">IF(COUNTIFS($U$2:$U185,$U185)=1,1,INDEX(PB:PB,_xlfn.XMATCH($U185,$U$1:$U184,0,-1))+COUNT(PB184:PG184))</f>
        <v>13</v>
      </c>
      <c r="PC185">
        <f t="shared" si="152"/>
        <v>14</v>
      </c>
      <c r="PD185">
        <f t="shared" si="152"/>
        <v>15</v>
      </c>
      <c r="PE185">
        <f t="shared" si="152"/>
        <v>16</v>
      </c>
      <c r="PF185">
        <f t="shared" si="152"/>
        <v>17</v>
      </c>
      <c r="PG185">
        <f t="shared" si="152"/>
        <v>18</v>
      </c>
      <c r="PH185">
        <f t="shared" si="152"/>
        <v>19</v>
      </c>
      <c r="PI185">
        <f t="shared" si="152"/>
        <v>20</v>
      </c>
      <c r="PJ185">
        <f t="shared" si="152"/>
        <v>21</v>
      </c>
      <c r="PK185">
        <v>1</v>
      </c>
      <c r="PL185">
        <v>2</v>
      </c>
      <c r="PM185">
        <v>3</v>
      </c>
      <c r="PN185">
        <v>4</v>
      </c>
      <c r="PO185">
        <v>5</v>
      </c>
      <c r="PP185">
        <v>6</v>
      </c>
      <c r="PQ185" s="23">
        <v>7</v>
      </c>
      <c r="PR185" s="23">
        <v>8</v>
      </c>
      <c r="PS185" s="24">
        <v>9</v>
      </c>
    </row>
    <row r="186" spans="1:532" ht="15.75" thickBot="1" x14ac:dyDescent="0.3">
      <c r="A186" t="s">
        <v>1054</v>
      </c>
      <c r="B186" t="s">
        <v>1053</v>
      </c>
      <c r="P186" t="s">
        <v>482</v>
      </c>
      <c r="T186" s="14" t="s">
        <v>554</v>
      </c>
      <c r="U186">
        <v>59</v>
      </c>
      <c r="W186" t="s">
        <v>1010</v>
      </c>
      <c r="X186" t="s">
        <v>1055</v>
      </c>
      <c r="Y186" s="43" t="str" cm="1">
        <f t="array" ref="Y186">IF(COUNTIFS($X$2:$X186,$X186)=1,"1",VALUE(SUBSTITUTE(INDEX(Y:Y,_xlfn.XMATCH($X186,$X$1:$X185,0,-1)),"A",""))+INDEX(Z:Z,_xlfn.XMATCH($X186,$X$1:$X185,0,-1))+1)</f>
        <v>1</v>
      </c>
      <c r="Z186" s="46" cm="1">
        <f t="array" ref="Z186">SUM(IF(ISNUMBER(FIND("TmAi",$BA$1:$ZZ$1)),IF(IFERROR(ISODD(SUBSTITUTE($BA186:$ZZ186,"A","")),FALSE),IF(ISODD(SUBSTITUTE($BA186:$ZZ186,"A","")),1,0),0)))</f>
        <v>0</v>
      </c>
      <c r="AA186" t="str">
        <f t="shared" ref="AA186" si="158">CONCATENATE($Y186*2-1,"B")</f>
        <v>1B</v>
      </c>
      <c r="AB186" t="str">
        <f t="shared" ref="AB186" si="159">CONCATENATE($Y186*2,"B")</f>
        <v>2B</v>
      </c>
      <c r="AL186" t="s">
        <v>137</v>
      </c>
      <c r="AM186" t="s">
        <v>1142</v>
      </c>
      <c r="AO186" t="s">
        <v>396</v>
      </c>
      <c r="JV186" s="27" t="str">
        <f>CONCATENATE("XT",U186)</f>
        <v>XT59</v>
      </c>
      <c r="JY186" t="str">
        <f>CONCATENATE(T186,"-AI",REPLACE($X186,1,3,""),"-",AA186)</f>
        <v>F0-AI18-1B</v>
      </c>
      <c r="JZ186" t="str">
        <f>CONCATENATE(T186,"-AI",REPLACE($X186,1,3,""),"-",AB186)</f>
        <v>F0-AI18-2B</v>
      </c>
      <c r="KE186">
        <v>22</v>
      </c>
      <c r="KF186">
        <f t="shared" ref="KF186:KG186" si="160">KE186+1</f>
        <v>23</v>
      </c>
      <c r="KG186">
        <f t="shared" si="160"/>
        <v>24</v>
      </c>
      <c r="KJ186" t="s">
        <v>548</v>
      </c>
      <c r="KK186" s="16" t="s">
        <v>548</v>
      </c>
      <c r="KO186" s="16"/>
      <c r="OA186" s="27"/>
      <c r="PP186" s="16"/>
    </row>
    <row r="187" spans="1:532" ht="15.75" thickBot="1" x14ac:dyDescent="0.3">
      <c r="A187" t="s">
        <v>1141</v>
      </c>
      <c r="B187" s="33" t="s">
        <v>1127</v>
      </c>
      <c r="P187" t="s">
        <v>1061</v>
      </c>
      <c r="T187" s="14" t="s">
        <v>554</v>
      </c>
      <c r="U187">
        <v>59</v>
      </c>
      <c r="W187" t="s">
        <v>1052</v>
      </c>
      <c r="X187" s="33" t="str">
        <f>IF(COUNTIF(X$1:X186,X186)&gt;3,REPLACE(X186,LEN(X186),1,VALUE(RIGHT(X186,1))+1),X186)</f>
        <v>A3.18</v>
      </c>
      <c r="Y187" s="45" cm="1">
        <f t="array" ref="Y187">IF(COUNTIFS($X$2:$X187,$X187)=1,"1",VALUE(SUBSTITUTE(INDEX(Y:Y,_xlfn.XMATCH($X187,$X$1:$X186,0,-1)),"A",""))+INDEX(Z:Z,_xlfn.XMATCH($X187,$X$1:$X186,0,-1))+1)</f>
        <v>2</v>
      </c>
      <c r="Z187" s="46" cm="1">
        <f t="array" ref="Z187">SUM(IF(ISNUMBER(FIND("TmAi",$BA$1:$ZZ$1)),IF(IFERROR(ISODD(SUBSTITUTE($BA187:$ZZ187,"A","")),FALSE),IF(ISODD(SUBSTITUTE($BA187:$ZZ187,"A","")),1,0),0)))</f>
        <v>11</v>
      </c>
      <c r="AA187" t="str">
        <f t="shared" ref="AA187:AA190" si="161">CONCATENATE($Y187*2-1,"A")</f>
        <v>3A</v>
      </c>
      <c r="AB187" t="str">
        <f t="shared" ref="AB187:AB190" si="162">CONCATENATE($Y187*2-1,"B")</f>
        <v>3B</v>
      </c>
      <c r="AN187" t="s">
        <v>1058</v>
      </c>
      <c r="AO187" t="s">
        <v>396</v>
      </c>
      <c r="JV187" s="27"/>
      <c r="KE187" cm="1">
        <f t="array" ref="KE187">IF(COUNTIFS($U$2:$U187,$U187)=1,1,INDEX(KE:KE,_xlfn.XMATCH(U187,U$1:U186,0,-1))+COUNT(KE186:KI186))</f>
        <v>25</v>
      </c>
      <c r="KK187" s="16"/>
      <c r="KO187" s="16"/>
      <c r="PT187" s="25" t="str">
        <f>REPLACE(X187,FIND(".",X187)+1,3,MID(X187,FIND(".",X187)+1,3)+1)</f>
        <v>A3.19</v>
      </c>
      <c r="PU187" s="12" t="str">
        <f>CONCATENATE(VALUE(SUBSTITUTE($AB187,"B",""))+2,"B")</f>
        <v>5B</v>
      </c>
      <c r="PV187" s="12" t="str">
        <f>CONCATENATE(VALUE(SUBSTITUTE($AA187,"A",""))+2,"A")</f>
        <v>5A</v>
      </c>
      <c r="PW187" s="12" t="str">
        <f>CONCATENATE(VALUE(SUBSTITUTE(PU187,"B",""))+2,"B")</f>
        <v>7B</v>
      </c>
      <c r="PX187" s="12" t="str">
        <f>CONCATENATE(VALUE(SUBSTITUTE(PV187,"A",""))+2,"A")</f>
        <v>7A</v>
      </c>
      <c r="PY187" s="12" t="str">
        <f t="shared" ref="PY187" si="163">CONCATENATE(VALUE(SUBSTITUTE(PW187,"B",""))+2,"B")</f>
        <v>9B</v>
      </c>
      <c r="PZ187" s="12" t="str">
        <f t="shared" ref="PZ187" si="164">CONCATENATE(VALUE(SUBSTITUTE(PX187,"A",""))+2,"A")</f>
        <v>9A</v>
      </c>
      <c r="QA187" s="12" t="str">
        <f t="shared" ref="QA187" si="165">CONCATENATE(VALUE(SUBSTITUTE(PY187,"B",""))+2,"B")</f>
        <v>11B</v>
      </c>
      <c r="QB187" s="12" t="str">
        <f t="shared" ref="QB187" si="166">CONCATENATE(VALUE(SUBSTITUTE(PZ187,"A",""))+2,"A")</f>
        <v>11A</v>
      </c>
      <c r="QC187" s="12" t="str">
        <f t="shared" ref="QC187" si="167">CONCATENATE(VALUE(SUBSTITUTE(QA187,"B",""))+2,"B")</f>
        <v>13B</v>
      </c>
      <c r="QD187" s="12" t="str">
        <f t="shared" ref="QD187" si="168">CONCATENATE(VALUE(SUBSTITUTE(QB187,"A",""))+2,"A")</f>
        <v>13A</v>
      </c>
      <c r="QE187" s="12" t="s">
        <v>135</v>
      </c>
      <c r="QF187" s="12" t="s">
        <v>136</v>
      </c>
      <c r="QG187" s="12" t="str">
        <f t="shared" ref="QG187" si="169">CONCATENATE(VALUE(SUBSTITUTE(QE187,"B",""))+2,"B")</f>
        <v>3B</v>
      </c>
      <c r="QH187" s="12" t="str">
        <f t="shared" ref="QH187" si="170">CONCATENATE(VALUE(SUBSTITUTE(QF187,"A",""))+2,"A")</f>
        <v>3A</v>
      </c>
      <c r="QI187" s="12" t="str">
        <f t="shared" ref="QI187" si="171">CONCATENATE(VALUE(SUBSTITUTE(QG187,"B",""))+2,"B")</f>
        <v>5B</v>
      </c>
      <c r="QJ187" s="12" t="str">
        <f t="shared" ref="QJ187" si="172">CONCATENATE(VALUE(SUBSTITUTE(QH187,"A",""))+2,"A")</f>
        <v>5A</v>
      </c>
      <c r="QK187" s="12" t="str">
        <f t="shared" ref="QK187" si="173">CONCATENATE(VALUE(SUBSTITUTE(QI187,"B",""))+2,"B")</f>
        <v>7B</v>
      </c>
      <c r="QL187" s="12" t="str">
        <f t="shared" ref="QL187" si="174">CONCATENATE(VALUE(SUBSTITUTE(QJ187,"A",""))+2,"A")</f>
        <v>7A</v>
      </c>
      <c r="QM187" s="12" t="str">
        <f t="shared" ref="QM187" si="175">CONCATENATE(VALUE(SUBSTITUTE(QK187,"B",""))+2,"B")</f>
        <v>9B</v>
      </c>
      <c r="QN187" s="12" t="str">
        <f t="shared" ref="QN187" si="176">CONCATENATE(VALUE(SUBSTITUTE(QL187,"A",""))+2,"A")</f>
        <v>9A</v>
      </c>
      <c r="QO187" s="12" t="str">
        <f t="shared" ref="QO187" si="177">CONCATENATE(VALUE(SUBSTITUTE(QM187,"B",""))+2,"B")</f>
        <v>11B</v>
      </c>
      <c r="QP187" s="12" t="str">
        <f t="shared" ref="QP187" si="178">CONCATENATE(VALUE(SUBSTITUTE(QN187,"A",""))+2,"A")</f>
        <v>11A</v>
      </c>
      <c r="QQ187" s="12" t="str">
        <f>CONCATENATE($T187,"-AI",REPLACE($X187,1,3,""),"-",AB187)</f>
        <v>F0-AI18-3B</v>
      </c>
      <c r="QR187" s="12" t="str">
        <f>CONCATENATE($T187,"-AI",REPLACE($X187,1,3,""),"-",AA187)</f>
        <v>F0-AI18-3A</v>
      </c>
      <c r="QS187" s="12" t="str">
        <f>CONCATENATE($T187,"-AI",REPLACE($X187,1,3,""),"-",PU187)</f>
        <v>F0-AI18-5B</v>
      </c>
      <c r="QT187" s="12" t="str">
        <f>CONCATENATE($T187,"-AI",REPLACE($X187,1,3,""),"-",PV187)</f>
        <v>F0-AI18-5A</v>
      </c>
      <c r="QU187" s="12" t="str">
        <f t="shared" ref="QU187:RB187" si="179">CONCATENATE($T187,"-AI",REPLACE($X187,1,3,""),"-",PW187)</f>
        <v>F0-AI18-7B</v>
      </c>
      <c r="QV187" s="12" t="str">
        <f t="shared" si="179"/>
        <v>F0-AI18-7A</v>
      </c>
      <c r="QW187" s="12" t="str">
        <f t="shared" si="179"/>
        <v>F0-AI18-9B</v>
      </c>
      <c r="QX187" s="12" t="str">
        <f t="shared" si="179"/>
        <v>F0-AI18-9A</v>
      </c>
      <c r="QY187" s="12" t="str">
        <f t="shared" si="179"/>
        <v>F0-AI18-11B</v>
      </c>
      <c r="QZ187" s="12" t="str">
        <f t="shared" si="179"/>
        <v>F0-AI18-11A</v>
      </c>
      <c r="RA187" s="12" t="str">
        <f t="shared" si="179"/>
        <v>F0-AI18-13B</v>
      </c>
      <c r="RB187" s="12" t="str">
        <f t="shared" si="179"/>
        <v>F0-AI18-13A</v>
      </c>
      <c r="RC187" s="12" t="str">
        <f t="shared" ref="RC187:RN187" si="180">CONCATENATE($T187,"-AI",REPLACE($PT187,1,3,""),"-",QE187)</f>
        <v>F0-AI19-1B</v>
      </c>
      <c r="RD187" s="12" t="str">
        <f t="shared" si="180"/>
        <v>F0-AI19-1A</v>
      </c>
      <c r="RE187" s="12" t="str">
        <f t="shared" si="180"/>
        <v>F0-AI19-3B</v>
      </c>
      <c r="RF187" s="12" t="str">
        <f t="shared" si="180"/>
        <v>F0-AI19-3A</v>
      </c>
      <c r="RG187" s="12" t="str">
        <f t="shared" si="180"/>
        <v>F0-AI19-5B</v>
      </c>
      <c r="RH187" s="12" t="str">
        <f t="shared" si="180"/>
        <v>F0-AI19-5A</v>
      </c>
      <c r="RI187" s="12" t="str">
        <f t="shared" si="180"/>
        <v>F0-AI19-7B</v>
      </c>
      <c r="RJ187" s="12" t="str">
        <f t="shared" si="180"/>
        <v>F0-AI19-7A</v>
      </c>
      <c r="RK187" s="12" t="str">
        <f t="shared" si="180"/>
        <v>F0-AI19-9B</v>
      </c>
      <c r="RL187" s="12" t="str">
        <f t="shared" si="180"/>
        <v>F0-AI19-9A</v>
      </c>
      <c r="RM187" s="12" t="str">
        <f t="shared" si="180"/>
        <v>F0-AI19-11B</v>
      </c>
      <c r="RN187" s="12" t="str">
        <f t="shared" si="180"/>
        <v>F0-AI19-11A</v>
      </c>
      <c r="RO187" s="12" t="str">
        <f t="shared" ref="RO187" si="181">CONCATENATE("XT",$U187)</f>
        <v>XT59</v>
      </c>
      <c r="RP187" s="12">
        <v>22</v>
      </c>
      <c r="RQ187" s="12">
        <v>23</v>
      </c>
      <c r="RR187" s="12">
        <v>24</v>
      </c>
      <c r="RS187" s="12">
        <v>25</v>
      </c>
      <c r="RT187" s="12">
        <v>26</v>
      </c>
      <c r="RU187" s="12">
        <v>27</v>
      </c>
      <c r="RV187" s="12">
        <v>28</v>
      </c>
      <c r="RW187" s="12">
        <v>29</v>
      </c>
      <c r="RX187" s="12">
        <v>30</v>
      </c>
      <c r="RY187" s="12">
        <v>31</v>
      </c>
      <c r="RZ187" s="12">
        <v>32</v>
      </c>
      <c r="SA187" s="12">
        <v>33</v>
      </c>
      <c r="SB187" s="12">
        <v>34</v>
      </c>
      <c r="SC187" s="12">
        <v>35</v>
      </c>
      <c r="SD187" s="12">
        <v>36</v>
      </c>
      <c r="SE187" s="12">
        <v>37</v>
      </c>
      <c r="SF187" s="12">
        <v>38</v>
      </c>
      <c r="SG187" s="12">
        <v>39</v>
      </c>
      <c r="SH187" s="12">
        <v>40</v>
      </c>
      <c r="SI187" s="12">
        <v>41</v>
      </c>
      <c r="SJ187" s="12">
        <v>42</v>
      </c>
      <c r="SK187" s="12">
        <v>43</v>
      </c>
      <c r="SL187" s="12">
        <v>44</v>
      </c>
      <c r="SM187" s="12">
        <v>45</v>
      </c>
      <c r="SN187" s="12">
        <v>46</v>
      </c>
      <c r="SO187" s="12" t="s">
        <v>1060</v>
      </c>
      <c r="SP187" s="12" t="s">
        <v>1116</v>
      </c>
      <c r="SQ187" s="12" t="s">
        <v>1117</v>
      </c>
      <c r="SR187" s="12" t="s">
        <v>1118</v>
      </c>
      <c r="SS187" s="12" t="s">
        <v>1119</v>
      </c>
      <c r="ST187" s="12" t="s">
        <v>1120</v>
      </c>
      <c r="SU187" s="12" t="s">
        <v>1121</v>
      </c>
      <c r="SV187" s="12" t="s">
        <v>1122</v>
      </c>
      <c r="SW187" s="12" t="s">
        <v>1123</v>
      </c>
      <c r="SX187" s="12" t="s">
        <v>1124</v>
      </c>
      <c r="SY187" s="12" t="s">
        <v>1125</v>
      </c>
      <c r="SZ187" s="12" t="s">
        <v>1126</v>
      </c>
      <c r="TA187" s="12" t="s">
        <v>1059</v>
      </c>
      <c r="TB187" s="12" t="s">
        <v>1128</v>
      </c>
      <c r="TC187" s="12" t="s">
        <v>1129</v>
      </c>
      <c r="TD187" s="12" t="s">
        <v>1130</v>
      </c>
      <c r="TE187" s="12" t="s">
        <v>1132</v>
      </c>
      <c r="TF187" s="12" t="s">
        <v>1131</v>
      </c>
      <c r="TG187" s="12" t="s">
        <v>1133</v>
      </c>
      <c r="TH187" s="12" t="s">
        <v>1134</v>
      </c>
      <c r="TI187" s="12" t="s">
        <v>1135</v>
      </c>
      <c r="TJ187" s="12" t="s">
        <v>1136</v>
      </c>
      <c r="TK187" s="12" t="s">
        <v>1137</v>
      </c>
      <c r="TL187" s="13" t="s">
        <v>1138</v>
      </c>
    </row>
    <row r="188" spans="1:532" x14ac:dyDescent="0.25">
      <c r="A188" t="s">
        <v>1169</v>
      </c>
      <c r="B188" s="34" t="s">
        <v>1166</v>
      </c>
      <c r="C188" t="s">
        <v>1012</v>
      </c>
      <c r="P188" t="s">
        <v>1011</v>
      </c>
      <c r="T188" s="14" t="s">
        <v>554</v>
      </c>
      <c r="U188">
        <v>60</v>
      </c>
      <c r="W188" t="s">
        <v>1144</v>
      </c>
      <c r="X188" t="s">
        <v>1178</v>
      </c>
      <c r="Y188" s="43" t="str" cm="1">
        <f t="array" ref="Y188">IF(COUNTIFS($X$2:$X188,$X188)=1,"1",VALUE(SUBSTITUTE(INDEX(Y:Y,_xlfn.XMATCH($X188,$X$1:$X187,0,-1)),"A",""))+INDEX(Z:Z,_xlfn.XMATCH($X188,$X$1:$X187,0,-1))+1)</f>
        <v>1</v>
      </c>
      <c r="Z188" s="46" cm="1">
        <f t="array" ref="Z188">SUM(IF(ISNUMBER(FIND("TmAi",$BA$1:$ZZ$1)),IF(IFERROR(ISODD(SUBSTITUTE($BA188:$ZZ188,"A","")),FALSE),IF(ISODD(SUBSTITUTE($BA188:$ZZ188,"A","")),1,0),0)))</f>
        <v>1</v>
      </c>
      <c r="AA188" t="str">
        <f t="shared" si="161"/>
        <v>1A</v>
      </c>
      <c r="AB188" t="str">
        <f t="shared" si="162"/>
        <v>1B</v>
      </c>
      <c r="AL188" t="s">
        <v>137</v>
      </c>
      <c r="AN188" t="s">
        <v>1152</v>
      </c>
      <c r="AO188" t="s">
        <v>396</v>
      </c>
      <c r="OA188" s="25" t="str">
        <f>CONCATENATE("XT",$U188)</f>
        <v>XT60</v>
      </c>
      <c r="OB188" s="12" t="s">
        <v>1174</v>
      </c>
      <c r="OC188" s="12" t="s">
        <v>1179</v>
      </c>
      <c r="OD188" s="12"/>
      <c r="OE188" s="12"/>
      <c r="OF188" s="12" t="str">
        <f>CONCATENATE(REPLACE($AA188,LEN($AA188),1,"")+1,RIGHT($AA188))</f>
        <v>2A</v>
      </c>
      <c r="OG188" s="12" t="str">
        <f>CONCATENATE(REPLACE($AB188,LEN($AB188),1,"")+1,RIGHT($AB188))</f>
        <v>2B</v>
      </c>
      <c r="OH188" s="12" t="str">
        <f>CONCATENATE(REPLACE(OF188,LEN(OF188),1,"")+1,RIGHT(OF188))</f>
        <v>3A</v>
      </c>
      <c r="OI188" s="12" t="str">
        <f t="shared" ref="OI188:OO190" si="182">CONCATENATE(REPLACE(OG188,LEN(OG188),1,"")+1,RIGHT(OG188))</f>
        <v>3B</v>
      </c>
      <c r="OJ188" s="12" t="str">
        <f t="shared" si="182"/>
        <v>4A</v>
      </c>
      <c r="OK188" s="12" t="str">
        <f t="shared" si="182"/>
        <v>4B</v>
      </c>
      <c r="OL188" s="12"/>
      <c r="OM188" s="12"/>
      <c r="ON188" s="12"/>
      <c r="OO188" s="12"/>
      <c r="OP188" s="12" t="str">
        <f>CONCATENATE($T188,"-AI",REPLACE($X188,1,3,""),"-",$AA188)</f>
        <v>F0-AI32-1A</v>
      </c>
      <c r="OQ188" s="12" t="str">
        <f>CONCATENATE($T188,"-AI",REPLACE($X188,1,3,""),"-",$AB188)</f>
        <v>F0-AI32-1B</v>
      </c>
      <c r="OR188" s="12" t="str">
        <f t="shared" ref="OR188:PA190" si="183">CONCATENATE($T188,"-AI",REPLACE($X188,1,3,""),"-",OF188)</f>
        <v>F0-AI32-2A</v>
      </c>
      <c r="OS188" s="12" t="str">
        <f t="shared" si="183"/>
        <v>F0-AI32-2B</v>
      </c>
      <c r="OT188" s="12" t="str">
        <f t="shared" si="183"/>
        <v>F0-AI32-3A</v>
      </c>
      <c r="OU188" s="12" t="str">
        <f t="shared" si="183"/>
        <v>F0-AI32-3B</v>
      </c>
      <c r="OV188" s="12" t="str">
        <f t="shared" si="183"/>
        <v>F0-AI32-4A</v>
      </c>
      <c r="OW188" s="12" t="str">
        <f t="shared" si="183"/>
        <v>F0-AI32-4B</v>
      </c>
      <c r="OX188" s="12"/>
      <c r="OY188" s="12"/>
      <c r="OZ188" s="12"/>
      <c r="PA188" s="12"/>
      <c r="PB188" s="12" cm="1">
        <f t="array" ref="PB188">IF(COUNTIFS($U$2:$U188,$U188)=1,1,INDEX(PB:PB,_xlfn.XMATCH($U188,$U$1:EB187,0,-1))+COUNT(PB187:PG187))</f>
        <v>1</v>
      </c>
      <c r="PC188" s="12">
        <f t="shared" ref="PC188:PE190" si="184">PB188+1</f>
        <v>2</v>
      </c>
      <c r="PD188" s="12">
        <f t="shared" si="184"/>
        <v>3</v>
      </c>
      <c r="PE188" s="12">
        <f>PD188+1</f>
        <v>4</v>
      </c>
      <c r="PF188" s="12">
        <f t="shared" ref="PF188:PJ190" si="185">PE188+1</f>
        <v>5</v>
      </c>
      <c r="PG188" s="12">
        <f t="shared" si="185"/>
        <v>6</v>
      </c>
      <c r="PH188" s="12"/>
      <c r="PI188" s="12"/>
      <c r="PJ188" s="12"/>
      <c r="PK188" s="12">
        <v>1</v>
      </c>
      <c r="PL188" s="12">
        <v>2</v>
      </c>
      <c r="PM188" s="12">
        <v>3</v>
      </c>
      <c r="PN188" s="12">
        <v>4</v>
      </c>
      <c r="PO188" s="12">
        <v>5</v>
      </c>
      <c r="PP188" s="13">
        <v>6</v>
      </c>
    </row>
    <row r="189" spans="1:532" ht="15.75" thickBot="1" x14ac:dyDescent="0.3">
      <c r="A189" t="s">
        <v>1170</v>
      </c>
      <c r="B189" t="s">
        <v>1167</v>
      </c>
      <c r="C189" t="s">
        <v>1012</v>
      </c>
      <c r="P189" t="s">
        <v>1011</v>
      </c>
      <c r="T189" s="14" t="s">
        <v>554</v>
      </c>
      <c r="U189">
        <v>60</v>
      </c>
      <c r="W189" t="s">
        <v>1146</v>
      </c>
      <c r="X189" t="str">
        <f>IF(COUNTIF(X$1:X188,X188)&gt;7,REPLACE(X188,LEN(X188),1,VALUE(RIGHT(X188,1))+1),X188)</f>
        <v>A3.32</v>
      </c>
      <c r="Y189" s="43" cm="1">
        <f t="array" ref="Y189">IF(COUNTIFS($X$2:$X189,$X189)=1,"1",VALUE(SUBSTITUTE(INDEX(Y:Y,_xlfn.XMATCH($X189,$X$1:$X188,0,-1)),"A",""))+INDEX(Z:Z,_xlfn.XMATCH($X189,$X$1:$X188,0,-1))+1)</f>
        <v>3</v>
      </c>
      <c r="Z189" s="46" cm="1">
        <f t="array" ref="Z189">SUM(IF(ISNUMBER(FIND("TmAi",$BA$1:$ZZ$1)),IF(IFERROR(ISODD(SUBSTITUTE($BA189:$ZZ189,"A","")),FALSE),IF(ISODD(SUBSTITUTE($BA189:$ZZ189,"A","")),1,0),0)))</f>
        <v>1</v>
      </c>
      <c r="AA189" t="str">
        <f t="shared" si="161"/>
        <v>5A</v>
      </c>
      <c r="AB189" t="str">
        <f t="shared" si="162"/>
        <v>5B</v>
      </c>
      <c r="AL189" t="s">
        <v>137</v>
      </c>
      <c r="AN189" t="s">
        <v>1152</v>
      </c>
      <c r="AO189" t="s">
        <v>396</v>
      </c>
      <c r="OA189" s="27" t="str">
        <f t="shared" ref="OA189:OA190" si="186">CONCATENATE("XT",$U189)</f>
        <v>XT60</v>
      </c>
      <c r="OB189" t="s">
        <v>1175</v>
      </c>
      <c r="OC189" t="s">
        <v>1181</v>
      </c>
      <c r="OF189" t="str">
        <f t="shared" ref="OF189:OF190" si="187">CONCATENATE(REPLACE($AA189,LEN($AA189),1,"")+1,RIGHT($AA189))</f>
        <v>6A</v>
      </c>
      <c r="OG189" t="str">
        <f t="shared" ref="OG189:OG190" si="188">CONCATENATE(REPLACE($AB189,LEN($AB189),1,"")+1,RIGHT($AB189))</f>
        <v>6B</v>
      </c>
      <c r="OH189" t="str">
        <f t="shared" ref="OH189:OH190" si="189">CONCATENATE(REPLACE(OF189,LEN(OF189),1,"")+1,RIGHT(OF189))</f>
        <v>7A</v>
      </c>
      <c r="OI189" t="str">
        <f t="shared" si="182"/>
        <v>7B</v>
      </c>
      <c r="OJ189" t="str">
        <f t="shared" si="182"/>
        <v>8A</v>
      </c>
      <c r="OK189" t="str">
        <f t="shared" si="182"/>
        <v>8B</v>
      </c>
      <c r="OP189" t="str">
        <f>CONCATENATE($T189,"-AI",REPLACE($X189,1,3,""),"-",$AA189)</f>
        <v>F0-AI32-5A</v>
      </c>
      <c r="OQ189" t="str">
        <f>CONCATENATE($T189,"-AI",REPLACE($X189,1,3,""),"-",$AB189)</f>
        <v>F0-AI32-5B</v>
      </c>
      <c r="OR189" t="str">
        <f t="shared" si="183"/>
        <v>F0-AI32-6A</v>
      </c>
      <c r="OS189" t="str">
        <f t="shared" si="183"/>
        <v>F0-AI32-6B</v>
      </c>
      <c r="OT189" t="str">
        <f t="shared" si="183"/>
        <v>F0-AI32-7A</v>
      </c>
      <c r="OU189" t="str">
        <f t="shared" si="183"/>
        <v>F0-AI32-7B</v>
      </c>
      <c r="OV189" t="str">
        <f t="shared" si="183"/>
        <v>F0-AI32-8A</v>
      </c>
      <c r="OW189" t="str">
        <f t="shared" si="183"/>
        <v>F0-AI32-8B</v>
      </c>
      <c r="PB189" cm="1">
        <f t="array" ref="PB189">IF(COUNTIFS($U$2:$U189,$U189)=1,1,INDEX(PB:PB,_xlfn.XMATCH($U189,$U$1:$U188,0,-1))+COUNT(PB188:PG188))</f>
        <v>7</v>
      </c>
      <c r="PC189">
        <f t="shared" si="184"/>
        <v>8</v>
      </c>
      <c r="PD189">
        <f t="shared" si="184"/>
        <v>9</v>
      </c>
      <c r="PE189">
        <f t="shared" si="184"/>
        <v>10</v>
      </c>
      <c r="PF189">
        <f t="shared" si="185"/>
        <v>11</v>
      </c>
      <c r="PG189">
        <f t="shared" si="185"/>
        <v>12</v>
      </c>
      <c r="PK189">
        <v>7</v>
      </c>
      <c r="PL189">
        <v>8</v>
      </c>
      <c r="PM189">
        <v>9</v>
      </c>
      <c r="PN189">
        <v>10</v>
      </c>
      <c r="PO189">
        <v>11</v>
      </c>
      <c r="PP189" s="16">
        <v>12</v>
      </c>
    </row>
    <row r="190" spans="1:532" ht="15.75" thickBot="1" x14ac:dyDescent="0.3">
      <c r="A190" t="s">
        <v>1171</v>
      </c>
      <c r="B190" t="s">
        <v>1168</v>
      </c>
      <c r="C190" t="s">
        <v>1012</v>
      </c>
      <c r="P190" t="s">
        <v>1047</v>
      </c>
      <c r="T190" s="14" t="s">
        <v>554</v>
      </c>
      <c r="U190">
        <v>60</v>
      </c>
      <c r="W190" t="s">
        <v>1149</v>
      </c>
      <c r="X190" s="33" t="str">
        <f>IF(COUNTIF(X$1:X189,X189)&gt;7,REPLACE(X189,LEN(X189),1,VALUE(RIGHT(X189,1))+1),X189)</f>
        <v>A3.32</v>
      </c>
      <c r="Y190" s="45" cm="1">
        <f t="array" ref="Y190">IF(COUNTIFS($X$2:$X190,$X190)=1,"1",VALUE(SUBSTITUTE(INDEX(Y:Y,_xlfn.XMATCH($X190,$X$1:$X189,0,-1)),"A",""))+INDEX(Z:Z,_xlfn.XMATCH($X190,$X$1:$X189,0,-1))+1)</f>
        <v>5</v>
      </c>
      <c r="Z190" s="46" cm="1">
        <f t="array" ref="Z190">SUM(IF(ISNUMBER(FIND("TmAi",$BA$1:$ZZ$1)),IF(IFERROR(ISODD(SUBSTITUTE($BA190:$ZZ190,"A","")),FALSE),IF(ISODD(SUBSTITUTE($BA190:$ZZ190,"A","")),1,0),0)))</f>
        <v>2</v>
      </c>
      <c r="AA190" t="str">
        <f t="shared" si="161"/>
        <v>9A</v>
      </c>
      <c r="AB190" t="str">
        <f t="shared" si="162"/>
        <v>9B</v>
      </c>
      <c r="AL190" t="s">
        <v>137</v>
      </c>
      <c r="AN190" t="s">
        <v>1153</v>
      </c>
      <c r="AO190" t="s">
        <v>396</v>
      </c>
      <c r="OA190" s="27" t="str">
        <f t="shared" si="186"/>
        <v>XT60</v>
      </c>
      <c r="OB190" t="s">
        <v>1176</v>
      </c>
      <c r="OC190" t="s">
        <v>1183</v>
      </c>
      <c r="OD190" t="s">
        <v>1320</v>
      </c>
      <c r="OE190" t="s">
        <v>1319</v>
      </c>
      <c r="OF190" t="str">
        <f t="shared" si="187"/>
        <v>10A</v>
      </c>
      <c r="OG190" t="str">
        <f t="shared" si="188"/>
        <v>10B</v>
      </c>
      <c r="OH190" t="str">
        <f t="shared" si="189"/>
        <v>11A</v>
      </c>
      <c r="OI190" t="str">
        <f t="shared" si="182"/>
        <v>11B</v>
      </c>
      <c r="OJ190" t="str">
        <f t="shared" si="182"/>
        <v>12A</v>
      </c>
      <c r="OK190" t="str">
        <f t="shared" si="182"/>
        <v>12B</v>
      </c>
      <c r="OL190" t="str">
        <f t="shared" si="182"/>
        <v>13A</v>
      </c>
      <c r="OM190" t="str">
        <f t="shared" si="182"/>
        <v>13B</v>
      </c>
      <c r="ON190" t="str">
        <f t="shared" si="182"/>
        <v>14A</v>
      </c>
      <c r="OO190" t="str">
        <f t="shared" si="182"/>
        <v>14B</v>
      </c>
      <c r="OP190" t="str">
        <f>CONCATENATE($T190,"-AI",REPLACE($X190,1,3,""),"-",$AA190)</f>
        <v>F0-AI32-9A</v>
      </c>
      <c r="OQ190" t="str">
        <f>CONCATENATE($T190,"-AI",REPLACE($X190,1,3,""),"-",$AB190)</f>
        <v>F0-AI32-9B</v>
      </c>
      <c r="OR190" t="str">
        <f t="shared" si="183"/>
        <v>F0-AI32-10A</v>
      </c>
      <c r="OS190" t="str">
        <f t="shared" si="183"/>
        <v>F0-AI32-10B</v>
      </c>
      <c r="OT190" t="str">
        <f t="shared" si="183"/>
        <v>F0-AI32-11A</v>
      </c>
      <c r="OU190" t="str">
        <f t="shared" si="183"/>
        <v>F0-AI32-11B</v>
      </c>
      <c r="OV190" t="str">
        <f t="shared" si="183"/>
        <v>F0-AI32-12A</v>
      </c>
      <c r="OW190" t="str">
        <f t="shared" si="183"/>
        <v>F0-AI32-12B</v>
      </c>
      <c r="OX190" t="str">
        <f t="shared" si="183"/>
        <v>F0-AI32-13A</v>
      </c>
      <c r="OY190" t="str">
        <f t="shared" si="183"/>
        <v>F0-AI32-13B</v>
      </c>
      <c r="OZ190" t="str">
        <f t="shared" si="183"/>
        <v>F0-AI32-14A</v>
      </c>
      <c r="PA190" t="str">
        <f t="shared" si="183"/>
        <v>F0-AI32-14B</v>
      </c>
      <c r="PB190" cm="1">
        <f t="array" ref="PB190">IF(COUNTIFS($U$2:$U190,$U190)=1,1,INDEX(PB:PB,_xlfn.XMATCH($U190,$U$1:$U189,0,-1))+COUNT(PB189:PG189))</f>
        <v>13</v>
      </c>
      <c r="PC190">
        <f t="shared" si="184"/>
        <v>14</v>
      </c>
      <c r="PD190">
        <f t="shared" si="184"/>
        <v>15</v>
      </c>
      <c r="PE190">
        <f t="shared" si="184"/>
        <v>16</v>
      </c>
      <c r="PF190">
        <f t="shared" si="185"/>
        <v>17</v>
      </c>
      <c r="PG190">
        <f t="shared" si="185"/>
        <v>18</v>
      </c>
      <c r="PH190">
        <f t="shared" si="185"/>
        <v>19</v>
      </c>
      <c r="PI190">
        <f t="shared" si="185"/>
        <v>20</v>
      </c>
      <c r="PJ190">
        <f t="shared" si="185"/>
        <v>21</v>
      </c>
      <c r="PK190">
        <v>1</v>
      </c>
      <c r="PL190">
        <v>2</v>
      </c>
      <c r="PM190">
        <v>3</v>
      </c>
      <c r="PN190">
        <v>4</v>
      </c>
      <c r="PO190">
        <v>5</v>
      </c>
      <c r="PP190">
        <v>6</v>
      </c>
      <c r="PQ190" s="23">
        <v>7</v>
      </c>
      <c r="PR190" s="23">
        <v>8</v>
      </c>
      <c r="PS190" s="24">
        <v>9</v>
      </c>
    </row>
    <row r="191" spans="1:532" ht="15.75" thickBot="1" x14ac:dyDescent="0.3">
      <c r="A191" t="s">
        <v>1172</v>
      </c>
      <c r="B191" t="s">
        <v>1143</v>
      </c>
      <c r="P191" t="s">
        <v>482</v>
      </c>
      <c r="T191" s="14" t="s">
        <v>554</v>
      </c>
      <c r="U191">
        <v>60</v>
      </c>
      <c r="W191" t="s">
        <v>1150</v>
      </c>
      <c r="X191" t="s">
        <v>1148</v>
      </c>
      <c r="Y191" s="43" t="str" cm="1">
        <f t="array" ref="Y191">IF(COUNTIFS($X$2:$X191,$X191)=1,"1",VALUE(SUBSTITUTE(INDEX(Y:Y,_xlfn.XMATCH($X191,$X$1:$X190,0,-1)),"A",""))+INDEX(Z:Z,_xlfn.XMATCH($X191,$X$1:$X190,0,-1))+1)</f>
        <v>1</v>
      </c>
      <c r="Z191" s="46" cm="1">
        <f t="array" ref="Z191">SUM(IF(ISNUMBER(FIND("TmAi",$BA$1:$ZZ$1)),IF(IFERROR(ISODD(SUBSTITUTE($BA191:$ZZ191,"A","")),FALSE),IF(ISODD(SUBSTITUTE($BA191:$ZZ191,"A","")),1,0),0)))</f>
        <v>0</v>
      </c>
      <c r="AA191" t="str">
        <f t="shared" ref="AA191" si="190">CONCATENATE($Y191*2-1,"B")</f>
        <v>1B</v>
      </c>
      <c r="AB191" t="str">
        <f t="shared" ref="AB191" si="191">CONCATENATE($Y191*2,"B")</f>
        <v>2B</v>
      </c>
      <c r="AL191" t="s">
        <v>137</v>
      </c>
      <c r="AM191" t="s">
        <v>1142</v>
      </c>
      <c r="AO191" t="s">
        <v>396</v>
      </c>
      <c r="JV191" s="27" t="str">
        <f>CONCATENATE("XT",U191)</f>
        <v>XT60</v>
      </c>
      <c r="JY191" t="str">
        <f>CONCATENATE(T191,"-AI",REPLACE($X191,1,3,""),"-",AA191)</f>
        <v>F0-AI20-1B</v>
      </c>
      <c r="JZ191" t="str">
        <f>CONCATENATE(T191,"-AI",REPLACE($X191,1,3,""),"-",AB191)</f>
        <v>F0-AI20-2B</v>
      </c>
      <c r="KE191">
        <v>22</v>
      </c>
      <c r="KF191">
        <f t="shared" ref="KF191:KG191" si="192">KE191+1</f>
        <v>23</v>
      </c>
      <c r="KG191">
        <f t="shared" si="192"/>
        <v>24</v>
      </c>
      <c r="KJ191" t="s">
        <v>548</v>
      </c>
      <c r="KK191" s="16" t="s">
        <v>548</v>
      </c>
      <c r="KO191" s="16"/>
      <c r="OA191" s="27"/>
      <c r="PP191" s="16"/>
    </row>
    <row r="192" spans="1:532" ht="15.75" thickBot="1" x14ac:dyDescent="0.3">
      <c r="A192" t="s">
        <v>1173</v>
      </c>
      <c r="B192" s="33" t="s">
        <v>1145</v>
      </c>
      <c r="P192" t="s">
        <v>1061</v>
      </c>
      <c r="T192" s="14" t="s">
        <v>554</v>
      </c>
      <c r="U192">
        <v>60</v>
      </c>
      <c r="W192" t="s">
        <v>1151</v>
      </c>
      <c r="X192" s="33" t="str">
        <f>IF(COUNTIF(X$1:X191,X191)&gt;3,REPLACE(X191,LEN(X191),1,VALUE(RIGHT(X191,1))+1),X191)</f>
        <v>A3.20</v>
      </c>
      <c r="Y192" s="45" cm="1">
        <f t="array" ref="Y192">IF(COUNTIFS($X$2:$X192,$X192)=1,"1",VALUE(SUBSTITUTE(INDEX(Y:Y,_xlfn.XMATCH($X192,$X$1:$X191,0,-1)),"A",""))+INDEX(Z:Z,_xlfn.XMATCH($X192,$X$1:$X191,0,-1))+1)</f>
        <v>2</v>
      </c>
      <c r="Z192" s="46" cm="1">
        <f t="array" ref="Z192">SUM(IF(ISNUMBER(FIND("TmAi",$BA$1:$ZZ$1)),IF(IFERROR(ISODD(SUBSTITUTE($BA192:$ZZ192,"A","")),FALSE),IF(ISODD(SUBSTITUTE($BA192:$ZZ192,"A","")),1,0),0)))</f>
        <v>11</v>
      </c>
      <c r="AA192" t="str">
        <f t="shared" ref="AA192:AA195" si="193">CONCATENATE($Y192*2-1,"A")</f>
        <v>3A</v>
      </c>
      <c r="AB192" t="str">
        <f t="shared" ref="AB192:AB195" si="194">CONCATENATE($Y192*2-1,"B")</f>
        <v>3B</v>
      </c>
      <c r="AN192" t="s">
        <v>1147</v>
      </c>
      <c r="AO192" t="s">
        <v>396</v>
      </c>
      <c r="JV192" s="27"/>
      <c r="KE192" cm="1">
        <f t="array" ref="KE192">IF(COUNTIFS($U$2:$U192,$U192)=1,1,INDEX(KE:KE,_xlfn.XMATCH(U192,U$1:U191,0,-1))+COUNT(KE191:KI191))</f>
        <v>25</v>
      </c>
      <c r="KK192" s="16"/>
      <c r="KO192" s="16"/>
      <c r="PT192" s="25" t="str">
        <f>REPLACE(X192,FIND(".",X192)+1,3,MID(X192,FIND(".",X192)+1,3)+1)</f>
        <v>A3.21</v>
      </c>
      <c r="PU192" s="12" t="str">
        <f>CONCATENATE(VALUE(SUBSTITUTE($AB192,"B",""))+2,"B")</f>
        <v>5B</v>
      </c>
      <c r="PV192" s="12" t="str">
        <f>CONCATENATE(VALUE(SUBSTITUTE($AA192,"A",""))+2,"A")</f>
        <v>5A</v>
      </c>
      <c r="PW192" s="12" t="str">
        <f>CONCATENATE(VALUE(SUBSTITUTE(PU192,"B",""))+2,"B")</f>
        <v>7B</v>
      </c>
      <c r="PX192" s="12" t="str">
        <f>CONCATENATE(VALUE(SUBSTITUTE(PV192,"A",""))+2,"A")</f>
        <v>7A</v>
      </c>
      <c r="PY192" s="12" t="str">
        <f t="shared" ref="PY192" si="195">CONCATENATE(VALUE(SUBSTITUTE(PW192,"B",""))+2,"B")</f>
        <v>9B</v>
      </c>
      <c r="PZ192" s="12" t="str">
        <f t="shared" ref="PZ192" si="196">CONCATENATE(VALUE(SUBSTITUTE(PX192,"A",""))+2,"A")</f>
        <v>9A</v>
      </c>
      <c r="QA192" s="12" t="str">
        <f t="shared" ref="QA192" si="197">CONCATENATE(VALUE(SUBSTITUTE(PY192,"B",""))+2,"B")</f>
        <v>11B</v>
      </c>
      <c r="QB192" s="12" t="str">
        <f t="shared" ref="QB192" si="198">CONCATENATE(VALUE(SUBSTITUTE(PZ192,"A",""))+2,"A")</f>
        <v>11A</v>
      </c>
      <c r="QC192" s="12" t="str">
        <f t="shared" ref="QC192" si="199">CONCATENATE(VALUE(SUBSTITUTE(QA192,"B",""))+2,"B")</f>
        <v>13B</v>
      </c>
      <c r="QD192" s="12" t="str">
        <f t="shared" ref="QD192" si="200">CONCATENATE(VALUE(SUBSTITUTE(QB192,"A",""))+2,"A")</f>
        <v>13A</v>
      </c>
      <c r="QE192" s="12" t="s">
        <v>135</v>
      </c>
      <c r="QF192" s="12" t="s">
        <v>136</v>
      </c>
      <c r="QG192" s="12" t="str">
        <f t="shared" ref="QG192" si="201">CONCATENATE(VALUE(SUBSTITUTE(QE192,"B",""))+2,"B")</f>
        <v>3B</v>
      </c>
      <c r="QH192" s="12" t="str">
        <f t="shared" ref="QH192" si="202">CONCATENATE(VALUE(SUBSTITUTE(QF192,"A",""))+2,"A")</f>
        <v>3A</v>
      </c>
      <c r="QI192" s="12" t="str">
        <f t="shared" ref="QI192" si="203">CONCATENATE(VALUE(SUBSTITUTE(QG192,"B",""))+2,"B")</f>
        <v>5B</v>
      </c>
      <c r="QJ192" s="12" t="str">
        <f t="shared" ref="QJ192" si="204">CONCATENATE(VALUE(SUBSTITUTE(QH192,"A",""))+2,"A")</f>
        <v>5A</v>
      </c>
      <c r="QK192" s="12" t="str">
        <f t="shared" ref="QK192" si="205">CONCATENATE(VALUE(SUBSTITUTE(QI192,"B",""))+2,"B")</f>
        <v>7B</v>
      </c>
      <c r="QL192" s="12" t="str">
        <f t="shared" ref="QL192" si="206">CONCATENATE(VALUE(SUBSTITUTE(QJ192,"A",""))+2,"A")</f>
        <v>7A</v>
      </c>
      <c r="QM192" s="12" t="str">
        <f t="shared" ref="QM192" si="207">CONCATENATE(VALUE(SUBSTITUTE(QK192,"B",""))+2,"B")</f>
        <v>9B</v>
      </c>
      <c r="QN192" s="12" t="str">
        <f t="shared" ref="QN192" si="208">CONCATENATE(VALUE(SUBSTITUTE(QL192,"A",""))+2,"A")</f>
        <v>9A</v>
      </c>
      <c r="QO192" s="12" t="str">
        <f t="shared" ref="QO192" si="209">CONCATENATE(VALUE(SUBSTITUTE(QM192,"B",""))+2,"B")</f>
        <v>11B</v>
      </c>
      <c r="QP192" s="12" t="str">
        <f t="shared" ref="QP192" si="210">CONCATENATE(VALUE(SUBSTITUTE(QN192,"A",""))+2,"A")</f>
        <v>11A</v>
      </c>
      <c r="QQ192" s="12" t="str">
        <f>CONCATENATE($T192,"-AI",REPLACE($X192,1,3,""),"-",AB192)</f>
        <v>F0-AI20-3B</v>
      </c>
      <c r="QR192" s="12" t="str">
        <f>CONCATENATE($T192,"-AI",REPLACE($X192,1,3,""),"-",AA192)</f>
        <v>F0-AI20-3A</v>
      </c>
      <c r="QS192" s="12" t="str">
        <f>CONCATENATE($T192,"-AI",REPLACE($X192,1,3,""),"-",PU192)</f>
        <v>F0-AI20-5B</v>
      </c>
      <c r="QT192" s="12" t="str">
        <f>CONCATENATE($T192,"-AI",REPLACE($X192,1,3,""),"-",PV192)</f>
        <v>F0-AI20-5A</v>
      </c>
      <c r="QU192" s="12" t="str">
        <f t="shared" ref="QU192:RB192" si="211">CONCATENATE($T192,"-AI",REPLACE($X192,1,3,""),"-",PW192)</f>
        <v>F0-AI20-7B</v>
      </c>
      <c r="QV192" s="12" t="str">
        <f t="shared" si="211"/>
        <v>F0-AI20-7A</v>
      </c>
      <c r="QW192" s="12" t="str">
        <f t="shared" si="211"/>
        <v>F0-AI20-9B</v>
      </c>
      <c r="QX192" s="12" t="str">
        <f t="shared" si="211"/>
        <v>F0-AI20-9A</v>
      </c>
      <c r="QY192" s="12" t="str">
        <f t="shared" si="211"/>
        <v>F0-AI20-11B</v>
      </c>
      <c r="QZ192" s="12" t="str">
        <f t="shared" si="211"/>
        <v>F0-AI20-11A</v>
      </c>
      <c r="RA192" s="12" t="str">
        <f t="shared" si="211"/>
        <v>F0-AI20-13B</v>
      </c>
      <c r="RB192" s="12" t="str">
        <f t="shared" si="211"/>
        <v>F0-AI20-13A</v>
      </c>
      <c r="RC192" s="12" t="str">
        <f t="shared" ref="RC192:RN192" si="212">CONCATENATE($T192,"-AI",REPLACE($PT192,1,3,""),"-",QE192)</f>
        <v>F0-AI21-1B</v>
      </c>
      <c r="RD192" s="12" t="str">
        <f t="shared" si="212"/>
        <v>F0-AI21-1A</v>
      </c>
      <c r="RE192" s="12" t="str">
        <f t="shared" si="212"/>
        <v>F0-AI21-3B</v>
      </c>
      <c r="RF192" s="12" t="str">
        <f t="shared" si="212"/>
        <v>F0-AI21-3A</v>
      </c>
      <c r="RG192" s="12" t="str">
        <f t="shared" si="212"/>
        <v>F0-AI21-5B</v>
      </c>
      <c r="RH192" s="12" t="str">
        <f t="shared" si="212"/>
        <v>F0-AI21-5A</v>
      </c>
      <c r="RI192" s="12" t="str">
        <f t="shared" si="212"/>
        <v>F0-AI21-7B</v>
      </c>
      <c r="RJ192" s="12" t="str">
        <f t="shared" si="212"/>
        <v>F0-AI21-7A</v>
      </c>
      <c r="RK192" s="12" t="str">
        <f t="shared" si="212"/>
        <v>F0-AI21-9B</v>
      </c>
      <c r="RL192" s="12" t="str">
        <f t="shared" si="212"/>
        <v>F0-AI21-9A</v>
      </c>
      <c r="RM192" s="12" t="str">
        <f t="shared" si="212"/>
        <v>F0-AI21-11B</v>
      </c>
      <c r="RN192" s="12" t="str">
        <f t="shared" si="212"/>
        <v>F0-AI21-11A</v>
      </c>
      <c r="RO192" s="12" t="str">
        <f t="shared" ref="RO192" si="213">CONCATENATE("XT",$U192)</f>
        <v>XT60</v>
      </c>
      <c r="RP192" s="12">
        <v>22</v>
      </c>
      <c r="RQ192" s="12">
        <v>23</v>
      </c>
      <c r="RR192" s="12">
        <v>24</v>
      </c>
      <c r="RS192" s="12">
        <v>25</v>
      </c>
      <c r="RT192" s="12">
        <v>26</v>
      </c>
      <c r="RU192" s="12">
        <v>27</v>
      </c>
      <c r="RV192" s="12">
        <v>28</v>
      </c>
      <c r="RW192" s="12">
        <v>29</v>
      </c>
      <c r="RX192" s="12">
        <v>30</v>
      </c>
      <c r="RY192" s="12">
        <v>31</v>
      </c>
      <c r="RZ192" s="12">
        <v>32</v>
      </c>
      <c r="SA192" s="12">
        <v>33</v>
      </c>
      <c r="SB192" s="12">
        <v>34</v>
      </c>
      <c r="SC192" s="12">
        <v>35</v>
      </c>
      <c r="SD192" s="12">
        <v>36</v>
      </c>
      <c r="SE192" s="12">
        <v>37</v>
      </c>
      <c r="SF192" s="12">
        <v>38</v>
      </c>
      <c r="SG192" s="12">
        <v>39</v>
      </c>
      <c r="SH192" s="12">
        <v>40</v>
      </c>
      <c r="SI192" s="12">
        <v>41</v>
      </c>
      <c r="SJ192" s="12">
        <v>42</v>
      </c>
      <c r="SK192" s="12">
        <v>43</v>
      </c>
      <c r="SL192" s="12">
        <v>44</v>
      </c>
      <c r="SM192" s="12">
        <v>45</v>
      </c>
      <c r="SN192" s="12">
        <v>46</v>
      </c>
      <c r="SO192" s="12" t="s">
        <v>1154</v>
      </c>
      <c r="SP192" s="12" t="s">
        <v>1155</v>
      </c>
      <c r="SQ192" s="12" t="s">
        <v>1156</v>
      </c>
      <c r="SR192" s="12" t="s">
        <v>1157</v>
      </c>
      <c r="SS192" s="12" t="s">
        <v>1158</v>
      </c>
      <c r="ST192" s="12" t="s">
        <v>1159</v>
      </c>
      <c r="SU192" s="12" t="s">
        <v>1160</v>
      </c>
      <c r="SV192" s="12" t="s">
        <v>1161</v>
      </c>
      <c r="SW192" s="12" t="s">
        <v>1162</v>
      </c>
      <c r="SX192" s="12" t="s">
        <v>1163</v>
      </c>
      <c r="SY192" s="12" t="s">
        <v>1164</v>
      </c>
      <c r="SZ192" s="12" t="s">
        <v>1165</v>
      </c>
      <c r="TA192" s="12" t="s">
        <v>1059</v>
      </c>
      <c r="TB192" s="12" t="s">
        <v>1128</v>
      </c>
      <c r="TC192" s="12" t="s">
        <v>1129</v>
      </c>
      <c r="TD192" s="12" t="s">
        <v>1130</v>
      </c>
      <c r="TE192" s="12" t="s">
        <v>1132</v>
      </c>
      <c r="TF192" s="12" t="s">
        <v>1131</v>
      </c>
      <c r="TG192" s="12" t="s">
        <v>1133</v>
      </c>
      <c r="TH192" s="12" t="s">
        <v>1134</v>
      </c>
      <c r="TI192" s="12" t="s">
        <v>1135</v>
      </c>
      <c r="TJ192" s="12" t="s">
        <v>1136</v>
      </c>
      <c r="TK192" s="12" t="s">
        <v>1137</v>
      </c>
      <c r="TL192" s="13" t="s">
        <v>1138</v>
      </c>
    </row>
    <row r="193" spans="1:532" x14ac:dyDescent="0.25">
      <c r="A193" t="s">
        <v>1186</v>
      </c>
      <c r="B193" s="34" t="s">
        <v>1206</v>
      </c>
      <c r="C193" t="s">
        <v>1012</v>
      </c>
      <c r="P193" t="s">
        <v>1011</v>
      </c>
      <c r="T193" s="14" t="s">
        <v>554</v>
      </c>
      <c r="U193">
        <v>61</v>
      </c>
      <c r="W193" t="s">
        <v>1177</v>
      </c>
      <c r="X193" t="s">
        <v>1252</v>
      </c>
      <c r="Y193" s="43" t="str" cm="1">
        <f t="array" ref="Y193">IF(COUNTIFS($X$2:$X193,$X193)=1,"1",VALUE(SUBSTITUTE(INDEX(Y:Y,_xlfn.XMATCH($X193,$X$1:$X192,0,-1)),"A",""))+INDEX(Z:Z,_xlfn.XMATCH($X193,$X$1:$X192,0,-1))+1)</f>
        <v>1</v>
      </c>
      <c r="Z193" s="46" cm="1">
        <f t="array" ref="Z193">SUM(IF(ISNUMBER(FIND("TmAi",$BA$1:$ZZ$1)),IF(IFERROR(ISODD(SUBSTITUTE($BA193:$ZZ193,"A","")),FALSE),IF(ISODD(SUBSTITUTE($BA193:$ZZ193,"A","")),1,0),0)))</f>
        <v>1</v>
      </c>
      <c r="AA193" t="str">
        <f t="shared" si="193"/>
        <v>1A</v>
      </c>
      <c r="AB193" t="str">
        <f t="shared" si="194"/>
        <v>1B</v>
      </c>
      <c r="AL193" t="s">
        <v>137</v>
      </c>
      <c r="AN193" t="s">
        <v>1207</v>
      </c>
      <c r="AO193" t="s">
        <v>396</v>
      </c>
      <c r="OA193" s="25" t="str">
        <f>CONCATENATE("XT",$U193)</f>
        <v>XT61</v>
      </c>
      <c r="OB193" s="12" t="s">
        <v>1187</v>
      </c>
      <c r="OC193" s="12" t="s">
        <v>1323</v>
      </c>
      <c r="OD193" s="12"/>
      <c r="OE193" s="12"/>
      <c r="OF193" s="12" t="str">
        <f>CONCATENATE(REPLACE($AA193,LEN($AA193),1,"")+1,RIGHT($AA193))</f>
        <v>2A</v>
      </c>
      <c r="OG193" s="12" t="str">
        <f>CONCATENATE(REPLACE($AB193,LEN($AB193),1,"")+1,RIGHT($AB193))</f>
        <v>2B</v>
      </c>
      <c r="OH193" s="12" t="str">
        <f>CONCATENATE(REPLACE(OF193,LEN(OF193),1,"")+1,RIGHT(OF193))</f>
        <v>3A</v>
      </c>
      <c r="OI193" s="12" t="str">
        <f t="shared" ref="OI193:OO195" si="214">CONCATENATE(REPLACE(OG193,LEN(OG193),1,"")+1,RIGHT(OG193))</f>
        <v>3B</v>
      </c>
      <c r="OJ193" s="12" t="str">
        <f t="shared" si="214"/>
        <v>4A</v>
      </c>
      <c r="OK193" s="12" t="str">
        <f t="shared" si="214"/>
        <v>4B</v>
      </c>
      <c r="OL193" s="12"/>
      <c r="OM193" s="12"/>
      <c r="ON193" s="12"/>
      <c r="OO193" s="12"/>
      <c r="OP193" s="12" t="str">
        <f>CONCATENATE($T193,"-AI",REPLACE($X193,1,3,""),"-",$AA193)</f>
        <v>F0-AI33-1A</v>
      </c>
      <c r="OQ193" s="12" t="str">
        <f>CONCATENATE($T193,"-AI",REPLACE($X193,1,3,""),"-",$AB193)</f>
        <v>F0-AI33-1B</v>
      </c>
      <c r="OR193" s="12" t="str">
        <f t="shared" ref="OR193:PA195" si="215">CONCATENATE($T193,"-AI",REPLACE($X193,1,3,""),"-",OF193)</f>
        <v>F0-AI33-2A</v>
      </c>
      <c r="OS193" s="12" t="str">
        <f t="shared" si="215"/>
        <v>F0-AI33-2B</v>
      </c>
      <c r="OT193" s="12" t="str">
        <f t="shared" si="215"/>
        <v>F0-AI33-3A</v>
      </c>
      <c r="OU193" s="12" t="str">
        <f t="shared" si="215"/>
        <v>F0-AI33-3B</v>
      </c>
      <c r="OV193" s="12" t="str">
        <f t="shared" si="215"/>
        <v>F0-AI33-4A</v>
      </c>
      <c r="OW193" s="12" t="str">
        <f t="shared" si="215"/>
        <v>F0-AI33-4B</v>
      </c>
      <c r="OX193" s="12"/>
      <c r="OY193" s="12"/>
      <c r="OZ193" s="12"/>
      <c r="PA193" s="12"/>
      <c r="PB193" s="12" cm="1">
        <f t="array" ref="PB193">IF(COUNTIFS($U$2:$U193,$U193)=1,1,INDEX(PB:PB,_xlfn.XMATCH($U193,$U$1:EB192,0,-1))+COUNT(PB192:PG192))</f>
        <v>1</v>
      </c>
      <c r="PC193" s="12">
        <f t="shared" ref="PC193:PE195" si="216">PB193+1</f>
        <v>2</v>
      </c>
      <c r="PD193" s="12">
        <f t="shared" si="216"/>
        <v>3</v>
      </c>
      <c r="PE193" s="12">
        <f>PD193+1</f>
        <v>4</v>
      </c>
      <c r="PF193" s="12">
        <f t="shared" ref="PF193:PJ195" si="217">PE193+1</f>
        <v>5</v>
      </c>
      <c r="PG193" s="12">
        <f t="shared" si="217"/>
        <v>6</v>
      </c>
      <c r="PH193" s="12"/>
      <c r="PI193" s="12"/>
      <c r="PJ193" s="12"/>
      <c r="PK193" s="12">
        <v>1</v>
      </c>
      <c r="PL193" s="12">
        <v>2</v>
      </c>
      <c r="PM193" s="12">
        <v>3</v>
      </c>
      <c r="PN193" s="12">
        <v>4</v>
      </c>
      <c r="PO193" s="12">
        <v>5</v>
      </c>
      <c r="PP193" s="13">
        <v>6</v>
      </c>
    </row>
    <row r="194" spans="1:532" ht="15.75" thickBot="1" x14ac:dyDescent="0.3">
      <c r="A194" t="s">
        <v>1188</v>
      </c>
      <c r="B194" t="s">
        <v>1208</v>
      </c>
      <c r="C194" t="s">
        <v>1012</v>
      </c>
      <c r="P194" t="s">
        <v>1011</v>
      </c>
      <c r="T194" s="14" t="s">
        <v>554</v>
      </c>
      <c r="U194">
        <v>61</v>
      </c>
      <c r="W194" t="s">
        <v>1180</v>
      </c>
      <c r="X194" t="str">
        <f>IF(COUNTIF(X$1:X193,X193)&gt;7,REPLACE(X193,LEN(X193),1,VALUE(RIGHT(X193,1))+1),X193)</f>
        <v>A3.33</v>
      </c>
      <c r="Y194" s="43" cm="1">
        <f t="array" ref="Y194">IF(COUNTIFS($X$2:$X194,$X194)=1,"1",VALUE(SUBSTITUTE(INDEX(Y:Y,_xlfn.XMATCH($X194,$X$1:$X193,0,-1)),"A",""))+INDEX(Z:Z,_xlfn.XMATCH($X194,$X$1:$X193,0,-1))+1)</f>
        <v>3</v>
      </c>
      <c r="Z194" s="46" cm="1">
        <f t="array" ref="Z194">SUM(IF(ISNUMBER(FIND("TmAi",$BA$1:$ZZ$1)),IF(IFERROR(ISODD(SUBSTITUTE($BA194:$ZZ194,"A","")),FALSE),IF(ISODD(SUBSTITUTE($BA194:$ZZ194,"A","")),1,0),0)))</f>
        <v>1</v>
      </c>
      <c r="AA194" t="str">
        <f t="shared" si="193"/>
        <v>5A</v>
      </c>
      <c r="AB194" t="str">
        <f t="shared" si="194"/>
        <v>5B</v>
      </c>
      <c r="AL194" t="s">
        <v>137</v>
      </c>
      <c r="AN194" t="s">
        <v>1207</v>
      </c>
      <c r="AO194" t="s">
        <v>396</v>
      </c>
      <c r="OA194" s="27" t="str">
        <f t="shared" ref="OA194:OA195" si="218">CONCATENATE("XT",$U194)</f>
        <v>XT61</v>
      </c>
      <c r="OB194" t="s">
        <v>1189</v>
      </c>
      <c r="OC194" t="s">
        <v>1324</v>
      </c>
      <c r="OF194" t="str">
        <f t="shared" ref="OF194:OF195" si="219">CONCATENATE(REPLACE($AA194,LEN($AA194),1,"")+1,RIGHT($AA194))</f>
        <v>6A</v>
      </c>
      <c r="OG194" t="str">
        <f t="shared" ref="OG194:OG195" si="220">CONCATENATE(REPLACE($AB194,LEN($AB194),1,"")+1,RIGHT($AB194))</f>
        <v>6B</v>
      </c>
      <c r="OH194" t="str">
        <f t="shared" ref="OH194:OH195" si="221">CONCATENATE(REPLACE(OF194,LEN(OF194),1,"")+1,RIGHT(OF194))</f>
        <v>7A</v>
      </c>
      <c r="OI194" t="str">
        <f t="shared" si="214"/>
        <v>7B</v>
      </c>
      <c r="OJ194" t="str">
        <f t="shared" si="214"/>
        <v>8A</v>
      </c>
      <c r="OK194" t="str">
        <f t="shared" si="214"/>
        <v>8B</v>
      </c>
      <c r="OP194" t="str">
        <f>CONCATENATE($T194,"-AI",REPLACE($X194,1,3,""),"-",$AA194)</f>
        <v>F0-AI33-5A</v>
      </c>
      <c r="OQ194" t="str">
        <f>CONCATENATE($T194,"-AI",REPLACE($X194,1,3,""),"-",$AB194)</f>
        <v>F0-AI33-5B</v>
      </c>
      <c r="OR194" t="str">
        <f t="shared" si="215"/>
        <v>F0-AI33-6A</v>
      </c>
      <c r="OS194" t="str">
        <f t="shared" si="215"/>
        <v>F0-AI33-6B</v>
      </c>
      <c r="OT194" t="str">
        <f t="shared" si="215"/>
        <v>F0-AI33-7A</v>
      </c>
      <c r="OU194" t="str">
        <f t="shared" si="215"/>
        <v>F0-AI33-7B</v>
      </c>
      <c r="OV194" t="str">
        <f t="shared" si="215"/>
        <v>F0-AI33-8A</v>
      </c>
      <c r="OW194" t="str">
        <f t="shared" si="215"/>
        <v>F0-AI33-8B</v>
      </c>
      <c r="PB194" cm="1">
        <f t="array" ref="PB194">IF(COUNTIFS($U$2:$U194,$U194)=1,1,INDEX(PB:PB,_xlfn.XMATCH($U194,$U$1:$U193,0,-1))+COUNT(PB193:PG193))</f>
        <v>7</v>
      </c>
      <c r="PC194">
        <f t="shared" si="216"/>
        <v>8</v>
      </c>
      <c r="PD194">
        <f t="shared" si="216"/>
        <v>9</v>
      </c>
      <c r="PE194">
        <f t="shared" si="216"/>
        <v>10</v>
      </c>
      <c r="PF194">
        <f t="shared" si="217"/>
        <v>11</v>
      </c>
      <c r="PG194">
        <f t="shared" si="217"/>
        <v>12</v>
      </c>
      <c r="PK194">
        <v>7</v>
      </c>
      <c r="PL194">
        <v>8</v>
      </c>
      <c r="PM194">
        <v>9</v>
      </c>
      <c r="PN194">
        <v>10</v>
      </c>
      <c r="PO194">
        <v>11</v>
      </c>
      <c r="PP194" s="16">
        <v>12</v>
      </c>
    </row>
    <row r="195" spans="1:532" ht="15.75" thickBot="1" x14ac:dyDescent="0.3">
      <c r="A195" t="s">
        <v>1190</v>
      </c>
      <c r="B195" t="s">
        <v>1209</v>
      </c>
      <c r="C195" t="s">
        <v>1012</v>
      </c>
      <c r="P195" t="s">
        <v>1047</v>
      </c>
      <c r="T195" s="14" t="s">
        <v>554</v>
      </c>
      <c r="U195">
        <v>61</v>
      </c>
      <c r="W195" t="s">
        <v>1182</v>
      </c>
      <c r="X195" s="33" t="str">
        <f>IF(COUNTIF(X$1:X194,X194)&gt;7,REPLACE(X194,LEN(X194),1,VALUE(RIGHT(X194,1))+1),X194)</f>
        <v>A3.33</v>
      </c>
      <c r="Y195" s="45" cm="1">
        <f t="array" ref="Y195">IF(COUNTIFS($X$2:$X195,$X195)=1,"1",VALUE(SUBSTITUTE(INDEX(Y:Y,_xlfn.XMATCH($X195,$X$1:$X194,0,-1)),"A",""))+INDEX(Z:Z,_xlfn.XMATCH($X195,$X$1:$X194,0,-1))+1)</f>
        <v>5</v>
      </c>
      <c r="Z195" s="46" cm="1">
        <f t="array" ref="Z195">SUM(IF(ISNUMBER(FIND("TmAi",$BA$1:$ZZ$1)),IF(IFERROR(ISODD(SUBSTITUTE($BA195:$ZZ195,"A","")),FALSE),IF(ISODD(SUBSTITUTE($BA195:$ZZ195,"A","")),1,0),0)))</f>
        <v>2</v>
      </c>
      <c r="AA195" t="str">
        <f t="shared" si="193"/>
        <v>9A</v>
      </c>
      <c r="AB195" t="str">
        <f t="shared" si="194"/>
        <v>9B</v>
      </c>
      <c r="AL195" t="s">
        <v>137</v>
      </c>
      <c r="AN195" t="s">
        <v>1210</v>
      </c>
      <c r="AO195" t="s">
        <v>396</v>
      </c>
      <c r="OA195" s="27" t="str">
        <f t="shared" si="218"/>
        <v>XT61</v>
      </c>
      <c r="OB195" t="s">
        <v>1191</v>
      </c>
      <c r="OC195" t="s">
        <v>1325</v>
      </c>
      <c r="OD195" t="s">
        <v>1321</v>
      </c>
      <c r="OE195" t="s">
        <v>1326</v>
      </c>
      <c r="OF195" t="str">
        <f t="shared" si="219"/>
        <v>10A</v>
      </c>
      <c r="OG195" t="str">
        <f t="shared" si="220"/>
        <v>10B</v>
      </c>
      <c r="OH195" t="str">
        <f t="shared" si="221"/>
        <v>11A</v>
      </c>
      <c r="OI195" t="str">
        <f t="shared" si="214"/>
        <v>11B</v>
      </c>
      <c r="OJ195" t="str">
        <f t="shared" si="214"/>
        <v>12A</v>
      </c>
      <c r="OK195" t="str">
        <f t="shared" si="214"/>
        <v>12B</v>
      </c>
      <c r="OL195" t="str">
        <f t="shared" si="214"/>
        <v>13A</v>
      </c>
      <c r="OM195" t="str">
        <f t="shared" si="214"/>
        <v>13B</v>
      </c>
      <c r="ON195" t="str">
        <f t="shared" si="214"/>
        <v>14A</v>
      </c>
      <c r="OO195" t="str">
        <f t="shared" si="214"/>
        <v>14B</v>
      </c>
      <c r="OP195" t="str">
        <f>CONCATENATE($T195,"-AI",REPLACE($X195,1,3,""),"-",$AA195)</f>
        <v>F0-AI33-9A</v>
      </c>
      <c r="OQ195" t="str">
        <f>CONCATENATE($T195,"-AI",REPLACE($X195,1,3,""),"-",$AB195)</f>
        <v>F0-AI33-9B</v>
      </c>
      <c r="OR195" t="str">
        <f t="shared" si="215"/>
        <v>F0-AI33-10A</v>
      </c>
      <c r="OS195" t="str">
        <f t="shared" si="215"/>
        <v>F0-AI33-10B</v>
      </c>
      <c r="OT195" t="str">
        <f t="shared" si="215"/>
        <v>F0-AI33-11A</v>
      </c>
      <c r="OU195" t="str">
        <f t="shared" si="215"/>
        <v>F0-AI33-11B</v>
      </c>
      <c r="OV195" t="str">
        <f t="shared" si="215"/>
        <v>F0-AI33-12A</v>
      </c>
      <c r="OW195" t="str">
        <f t="shared" si="215"/>
        <v>F0-AI33-12B</v>
      </c>
      <c r="OX195" t="str">
        <f t="shared" si="215"/>
        <v>F0-AI33-13A</v>
      </c>
      <c r="OY195" t="str">
        <f t="shared" si="215"/>
        <v>F0-AI33-13B</v>
      </c>
      <c r="OZ195" t="str">
        <f t="shared" si="215"/>
        <v>F0-AI33-14A</v>
      </c>
      <c r="PA195" t="str">
        <f t="shared" si="215"/>
        <v>F0-AI33-14B</v>
      </c>
      <c r="PB195" cm="1">
        <f t="array" ref="PB195">IF(COUNTIFS($U$2:$U195,$U195)=1,1,INDEX(PB:PB,_xlfn.XMATCH($U195,$U$1:$U194,0,-1))+COUNT(PB194:PG194))</f>
        <v>13</v>
      </c>
      <c r="PC195">
        <f t="shared" si="216"/>
        <v>14</v>
      </c>
      <c r="PD195">
        <f t="shared" si="216"/>
        <v>15</v>
      </c>
      <c r="PE195">
        <f t="shared" si="216"/>
        <v>16</v>
      </c>
      <c r="PF195">
        <f t="shared" si="217"/>
        <v>17</v>
      </c>
      <c r="PG195">
        <f t="shared" si="217"/>
        <v>18</v>
      </c>
      <c r="PH195">
        <f t="shared" si="217"/>
        <v>19</v>
      </c>
      <c r="PI195">
        <f t="shared" si="217"/>
        <v>20</v>
      </c>
      <c r="PJ195">
        <f t="shared" si="217"/>
        <v>21</v>
      </c>
      <c r="PK195">
        <v>1</v>
      </c>
      <c r="PL195">
        <v>2</v>
      </c>
      <c r="PM195">
        <v>3</v>
      </c>
      <c r="PN195">
        <v>4</v>
      </c>
      <c r="PO195">
        <v>5</v>
      </c>
      <c r="PP195">
        <v>6</v>
      </c>
      <c r="PQ195" s="23">
        <v>7</v>
      </c>
      <c r="PR195" s="23">
        <v>8</v>
      </c>
      <c r="PS195" s="24">
        <v>9</v>
      </c>
    </row>
    <row r="196" spans="1:532" ht="15.75" thickBot="1" x14ac:dyDescent="0.3">
      <c r="A196" t="s">
        <v>1192</v>
      </c>
      <c r="B196" t="s">
        <v>1211</v>
      </c>
      <c r="P196" t="s">
        <v>482</v>
      </c>
      <c r="T196" s="14" t="s">
        <v>554</v>
      </c>
      <c r="U196">
        <v>61</v>
      </c>
      <c r="W196" t="s">
        <v>1184</v>
      </c>
      <c r="X196" t="s">
        <v>1214</v>
      </c>
      <c r="Y196" s="43" t="str" cm="1">
        <f t="array" ref="Y196">IF(COUNTIFS($X$2:$X196,$X196)=1,"1",VALUE(SUBSTITUTE(INDEX(Y:Y,_xlfn.XMATCH($X196,$X$1:$X195,0,-1)),"A",""))+INDEX(Z:Z,_xlfn.XMATCH($X196,$X$1:$X195,0,-1))+1)</f>
        <v>1</v>
      </c>
      <c r="Z196" s="46" cm="1">
        <f t="array" ref="Z196">SUM(IF(ISNUMBER(FIND("TmAi",$BA$1:$ZZ$1)),IF(IFERROR(ISODD(SUBSTITUTE($BA196:$ZZ196,"A","")),FALSE),IF(ISODD(SUBSTITUTE($BA196:$ZZ196,"A","")),1,0),0)))</f>
        <v>0</v>
      </c>
      <c r="AA196" t="str">
        <f t="shared" ref="AA196" si="222">CONCATENATE($Y196*2-1,"B")</f>
        <v>1B</v>
      </c>
      <c r="AB196" t="str">
        <f t="shared" ref="AB196" si="223">CONCATENATE($Y196*2,"B")</f>
        <v>2B</v>
      </c>
      <c r="AL196" t="s">
        <v>137</v>
      </c>
      <c r="AM196" t="s">
        <v>1142</v>
      </c>
      <c r="AO196" t="s">
        <v>396</v>
      </c>
      <c r="JV196" s="27" t="str">
        <f>CONCATENATE("XT",U196)</f>
        <v>XT61</v>
      </c>
      <c r="JY196" t="str">
        <f>CONCATENATE(T196,"-AI",REPLACE($X196,1,3,""),"-",AA196)</f>
        <v>F0-AI22-1B</v>
      </c>
      <c r="JZ196" t="str">
        <f>CONCATENATE(T196,"-AI",REPLACE($X196,1,3,""),"-",AB196)</f>
        <v>F0-AI22-2B</v>
      </c>
      <c r="KE196">
        <v>22</v>
      </c>
      <c r="KF196">
        <f t="shared" ref="KF196:KG196" si="224">KE196+1</f>
        <v>23</v>
      </c>
      <c r="KG196">
        <f t="shared" si="224"/>
        <v>24</v>
      </c>
      <c r="KJ196" t="s">
        <v>548</v>
      </c>
      <c r="KK196" s="16" t="s">
        <v>548</v>
      </c>
      <c r="KO196" s="16"/>
      <c r="OA196" s="27"/>
      <c r="PP196" s="16"/>
    </row>
    <row r="197" spans="1:532" ht="15.75" thickBot="1" x14ac:dyDescent="0.3">
      <c r="A197" t="s">
        <v>1193</v>
      </c>
      <c r="B197" s="33" t="s">
        <v>1212</v>
      </c>
      <c r="P197" t="s">
        <v>1061</v>
      </c>
      <c r="T197" s="14" t="s">
        <v>554</v>
      </c>
      <c r="U197">
        <v>61</v>
      </c>
      <c r="W197" t="s">
        <v>1185</v>
      </c>
      <c r="X197" s="33" t="str">
        <f>IF(COUNTIF(X$1:X196,X196)&gt;3,REPLACE(X196,LEN(X196),1,VALUE(RIGHT(X196,1))+1),X196)</f>
        <v>A3.22</v>
      </c>
      <c r="Y197" s="45" cm="1">
        <f t="array" ref="Y197">IF(COUNTIFS($X$2:$X197,$X197)=1,"1",VALUE(SUBSTITUTE(INDEX(Y:Y,_xlfn.XMATCH($X197,$X$1:$X196,0,-1)),"A",""))+INDEX(Z:Z,_xlfn.XMATCH($X197,$X$1:$X196,0,-1))+1)</f>
        <v>2</v>
      </c>
      <c r="Z197" s="46" cm="1">
        <f t="array" ref="Z197">SUM(IF(ISNUMBER(FIND("TmAi",$BA$1:$ZZ$1)),IF(IFERROR(ISODD(SUBSTITUTE($BA197:$ZZ197,"A","")),FALSE),IF(ISODD(SUBSTITUTE($BA197:$ZZ197,"A","")),1,0),0)))</f>
        <v>11</v>
      </c>
      <c r="AA197" t="str">
        <f t="shared" ref="AA197:AA200" si="225">CONCATENATE($Y197*2-1,"A")</f>
        <v>3A</v>
      </c>
      <c r="AB197" t="str">
        <f t="shared" ref="AB197:AB200" si="226">CONCATENATE($Y197*2-1,"B")</f>
        <v>3B</v>
      </c>
      <c r="AN197" t="s">
        <v>1213</v>
      </c>
      <c r="AO197" t="s">
        <v>396</v>
      </c>
      <c r="JV197" s="27"/>
      <c r="KE197" cm="1">
        <f t="array" ref="KE197">IF(COUNTIFS($U$2:$U197,$U197)=1,1,INDEX(KE:KE,_xlfn.XMATCH(U197,U$1:U196,0,-1))+COUNT(KE196:KI196))</f>
        <v>25</v>
      </c>
      <c r="KK197" s="16"/>
      <c r="KO197" s="16"/>
      <c r="PT197" s="25" t="str">
        <f>REPLACE(X197,FIND(".",X197)+1,3,MID(X197,FIND(".",X197)+1,3)+1)</f>
        <v>A3.23</v>
      </c>
      <c r="PU197" s="12" t="str">
        <f>CONCATENATE(VALUE(SUBSTITUTE($AB197,"B",""))+2,"B")</f>
        <v>5B</v>
      </c>
      <c r="PV197" s="12" t="str">
        <f>CONCATENATE(VALUE(SUBSTITUTE($AA197,"A",""))+2,"A")</f>
        <v>5A</v>
      </c>
      <c r="PW197" s="12" t="str">
        <f>CONCATENATE(VALUE(SUBSTITUTE(PU197,"B",""))+2,"B")</f>
        <v>7B</v>
      </c>
      <c r="PX197" s="12" t="str">
        <f>CONCATENATE(VALUE(SUBSTITUTE(PV197,"A",""))+2,"A")</f>
        <v>7A</v>
      </c>
      <c r="PY197" s="12" t="str">
        <f t="shared" ref="PY197" si="227">CONCATENATE(VALUE(SUBSTITUTE(PW197,"B",""))+2,"B")</f>
        <v>9B</v>
      </c>
      <c r="PZ197" s="12" t="str">
        <f t="shared" ref="PZ197" si="228">CONCATENATE(VALUE(SUBSTITUTE(PX197,"A",""))+2,"A")</f>
        <v>9A</v>
      </c>
      <c r="QA197" s="12" t="str">
        <f t="shared" ref="QA197" si="229">CONCATENATE(VALUE(SUBSTITUTE(PY197,"B",""))+2,"B")</f>
        <v>11B</v>
      </c>
      <c r="QB197" s="12" t="str">
        <f t="shared" ref="QB197" si="230">CONCATENATE(VALUE(SUBSTITUTE(PZ197,"A",""))+2,"A")</f>
        <v>11A</v>
      </c>
      <c r="QC197" s="12" t="str">
        <f t="shared" ref="QC197" si="231">CONCATENATE(VALUE(SUBSTITUTE(QA197,"B",""))+2,"B")</f>
        <v>13B</v>
      </c>
      <c r="QD197" s="12" t="str">
        <f t="shared" ref="QD197" si="232">CONCATENATE(VALUE(SUBSTITUTE(QB197,"A",""))+2,"A")</f>
        <v>13A</v>
      </c>
      <c r="QE197" s="12" t="s">
        <v>135</v>
      </c>
      <c r="QF197" s="12" t="s">
        <v>136</v>
      </c>
      <c r="QG197" s="12" t="str">
        <f t="shared" ref="QG197" si="233">CONCATENATE(VALUE(SUBSTITUTE(QE197,"B",""))+2,"B")</f>
        <v>3B</v>
      </c>
      <c r="QH197" s="12" t="str">
        <f t="shared" ref="QH197" si="234">CONCATENATE(VALUE(SUBSTITUTE(QF197,"A",""))+2,"A")</f>
        <v>3A</v>
      </c>
      <c r="QI197" s="12" t="str">
        <f t="shared" ref="QI197" si="235">CONCATENATE(VALUE(SUBSTITUTE(QG197,"B",""))+2,"B")</f>
        <v>5B</v>
      </c>
      <c r="QJ197" s="12" t="str">
        <f t="shared" ref="QJ197" si="236">CONCATENATE(VALUE(SUBSTITUTE(QH197,"A",""))+2,"A")</f>
        <v>5A</v>
      </c>
      <c r="QK197" s="12" t="str">
        <f t="shared" ref="QK197" si="237">CONCATENATE(VALUE(SUBSTITUTE(QI197,"B",""))+2,"B")</f>
        <v>7B</v>
      </c>
      <c r="QL197" s="12" t="str">
        <f t="shared" ref="QL197" si="238">CONCATENATE(VALUE(SUBSTITUTE(QJ197,"A",""))+2,"A")</f>
        <v>7A</v>
      </c>
      <c r="QM197" s="12" t="str">
        <f t="shared" ref="QM197" si="239">CONCATENATE(VALUE(SUBSTITUTE(QK197,"B",""))+2,"B")</f>
        <v>9B</v>
      </c>
      <c r="QN197" s="12" t="str">
        <f t="shared" ref="QN197" si="240">CONCATENATE(VALUE(SUBSTITUTE(QL197,"A",""))+2,"A")</f>
        <v>9A</v>
      </c>
      <c r="QO197" s="12" t="str">
        <f t="shared" ref="QO197" si="241">CONCATENATE(VALUE(SUBSTITUTE(QM197,"B",""))+2,"B")</f>
        <v>11B</v>
      </c>
      <c r="QP197" s="12" t="str">
        <f t="shared" ref="QP197" si="242">CONCATENATE(VALUE(SUBSTITUTE(QN197,"A",""))+2,"A")</f>
        <v>11A</v>
      </c>
      <c r="QQ197" s="12" t="str">
        <f>CONCATENATE($T197,"-AI",REPLACE($X197,1,3,""),"-",AB197)</f>
        <v>F0-AI22-3B</v>
      </c>
      <c r="QR197" s="12" t="str">
        <f>CONCATENATE($T197,"-AI",REPLACE($X197,1,3,""),"-",AA197)</f>
        <v>F0-AI22-3A</v>
      </c>
      <c r="QS197" s="12" t="str">
        <f>CONCATENATE($T197,"-AI",REPLACE($X197,1,3,""),"-",PU197)</f>
        <v>F0-AI22-5B</v>
      </c>
      <c r="QT197" s="12" t="str">
        <f>CONCATENATE($T197,"-AI",REPLACE($X197,1,3,""),"-",PV197)</f>
        <v>F0-AI22-5A</v>
      </c>
      <c r="QU197" s="12" t="str">
        <f t="shared" ref="QU197:RB197" si="243">CONCATENATE($T197,"-AI",REPLACE($X197,1,3,""),"-",PW197)</f>
        <v>F0-AI22-7B</v>
      </c>
      <c r="QV197" s="12" t="str">
        <f t="shared" si="243"/>
        <v>F0-AI22-7A</v>
      </c>
      <c r="QW197" s="12" t="str">
        <f t="shared" si="243"/>
        <v>F0-AI22-9B</v>
      </c>
      <c r="QX197" s="12" t="str">
        <f t="shared" si="243"/>
        <v>F0-AI22-9A</v>
      </c>
      <c r="QY197" s="12" t="str">
        <f t="shared" si="243"/>
        <v>F0-AI22-11B</v>
      </c>
      <c r="QZ197" s="12" t="str">
        <f t="shared" si="243"/>
        <v>F0-AI22-11A</v>
      </c>
      <c r="RA197" s="12" t="str">
        <f t="shared" si="243"/>
        <v>F0-AI22-13B</v>
      </c>
      <c r="RB197" s="12" t="str">
        <f t="shared" si="243"/>
        <v>F0-AI22-13A</v>
      </c>
      <c r="RC197" s="12" t="str">
        <f t="shared" ref="RC197:RN197" si="244">CONCATENATE($T197,"-AI",REPLACE($PT197,1,3,""),"-",QE197)</f>
        <v>F0-AI23-1B</v>
      </c>
      <c r="RD197" s="12" t="str">
        <f t="shared" si="244"/>
        <v>F0-AI23-1A</v>
      </c>
      <c r="RE197" s="12" t="str">
        <f t="shared" si="244"/>
        <v>F0-AI23-3B</v>
      </c>
      <c r="RF197" s="12" t="str">
        <f t="shared" si="244"/>
        <v>F0-AI23-3A</v>
      </c>
      <c r="RG197" s="12" t="str">
        <f t="shared" si="244"/>
        <v>F0-AI23-5B</v>
      </c>
      <c r="RH197" s="12" t="str">
        <f t="shared" si="244"/>
        <v>F0-AI23-5A</v>
      </c>
      <c r="RI197" s="12" t="str">
        <f t="shared" si="244"/>
        <v>F0-AI23-7B</v>
      </c>
      <c r="RJ197" s="12" t="str">
        <f t="shared" si="244"/>
        <v>F0-AI23-7A</v>
      </c>
      <c r="RK197" s="12" t="str">
        <f t="shared" si="244"/>
        <v>F0-AI23-9B</v>
      </c>
      <c r="RL197" s="12" t="str">
        <f t="shared" si="244"/>
        <v>F0-AI23-9A</v>
      </c>
      <c r="RM197" s="12" t="str">
        <f t="shared" si="244"/>
        <v>F0-AI23-11B</v>
      </c>
      <c r="RN197" s="12" t="str">
        <f t="shared" si="244"/>
        <v>F0-AI23-11A</v>
      </c>
      <c r="RO197" s="12" t="str">
        <f t="shared" ref="RO197" si="245">CONCATENATE("XT",$U197)</f>
        <v>XT61</v>
      </c>
      <c r="RP197" s="12">
        <v>22</v>
      </c>
      <c r="RQ197" s="12">
        <v>23</v>
      </c>
      <c r="RR197" s="12">
        <v>24</v>
      </c>
      <c r="RS197" s="12">
        <v>25</v>
      </c>
      <c r="RT197" s="12">
        <v>26</v>
      </c>
      <c r="RU197" s="12">
        <v>27</v>
      </c>
      <c r="RV197" s="12">
        <v>28</v>
      </c>
      <c r="RW197" s="12">
        <v>29</v>
      </c>
      <c r="RX197" s="12">
        <v>30</v>
      </c>
      <c r="RY197" s="12">
        <v>31</v>
      </c>
      <c r="RZ197" s="12">
        <v>32</v>
      </c>
      <c r="SA197" s="12">
        <v>33</v>
      </c>
      <c r="SB197" s="12">
        <v>34</v>
      </c>
      <c r="SC197" s="12">
        <v>35</v>
      </c>
      <c r="SD197" s="12">
        <v>36</v>
      </c>
      <c r="SE197" s="12">
        <v>37</v>
      </c>
      <c r="SF197" s="12">
        <v>38</v>
      </c>
      <c r="SG197" s="12">
        <v>39</v>
      </c>
      <c r="SH197" s="12">
        <v>40</v>
      </c>
      <c r="SI197" s="12">
        <v>41</v>
      </c>
      <c r="SJ197" s="12">
        <v>42</v>
      </c>
      <c r="SK197" s="12">
        <v>43</v>
      </c>
      <c r="SL197" s="12">
        <v>44</v>
      </c>
      <c r="SM197" s="12">
        <v>45</v>
      </c>
      <c r="SN197" s="12">
        <v>46</v>
      </c>
      <c r="SO197" s="12" t="s">
        <v>1194</v>
      </c>
      <c r="SP197" s="12" t="s">
        <v>1195</v>
      </c>
      <c r="SQ197" s="12" t="s">
        <v>1196</v>
      </c>
      <c r="SR197" s="12" t="s">
        <v>1197</v>
      </c>
      <c r="SS197" s="12" t="s">
        <v>1198</v>
      </c>
      <c r="ST197" s="12" t="s">
        <v>1199</v>
      </c>
      <c r="SU197" s="12" t="s">
        <v>1200</v>
      </c>
      <c r="SV197" s="12" t="s">
        <v>1201</v>
      </c>
      <c r="SW197" s="12" t="s">
        <v>1202</v>
      </c>
      <c r="SX197" s="12" t="s">
        <v>1203</v>
      </c>
      <c r="SY197" s="12" t="s">
        <v>1204</v>
      </c>
      <c r="SZ197" s="12" t="s">
        <v>1205</v>
      </c>
      <c r="TA197" s="12" t="s">
        <v>1059</v>
      </c>
      <c r="TB197" s="12" t="s">
        <v>1128</v>
      </c>
      <c r="TC197" s="12" t="s">
        <v>1129</v>
      </c>
      <c r="TD197" s="12" t="s">
        <v>1130</v>
      </c>
      <c r="TE197" s="12" t="s">
        <v>1132</v>
      </c>
      <c r="TF197" s="12" t="s">
        <v>1131</v>
      </c>
      <c r="TG197" s="12" t="s">
        <v>1133</v>
      </c>
      <c r="TH197" s="12" t="s">
        <v>1134</v>
      </c>
      <c r="TI197" s="12" t="s">
        <v>1135</v>
      </c>
      <c r="TJ197" s="12" t="s">
        <v>1136</v>
      </c>
      <c r="TK197" s="12" t="s">
        <v>1137</v>
      </c>
      <c r="TL197" s="13" t="s">
        <v>1138</v>
      </c>
    </row>
    <row r="198" spans="1:532" x14ac:dyDescent="0.25">
      <c r="A198" t="s">
        <v>1223</v>
      </c>
      <c r="B198" s="34" t="s">
        <v>1215</v>
      </c>
      <c r="C198" t="s">
        <v>1012</v>
      </c>
      <c r="P198" t="s">
        <v>1011</v>
      </c>
      <c r="T198" s="14" t="s">
        <v>554</v>
      </c>
      <c r="U198">
        <v>62</v>
      </c>
      <c r="W198" t="s">
        <v>1243</v>
      </c>
      <c r="X198" t="s">
        <v>1281</v>
      </c>
      <c r="Y198" s="43" t="str" cm="1">
        <f t="array" ref="Y198">IF(COUNTIFS($X$2:$X198,$X198)=1,"1",VALUE(SUBSTITUTE(INDEX(Y:Y,_xlfn.XMATCH($X198,$X$1:$X197,0,-1)),"A",""))+INDEX(Z:Z,_xlfn.XMATCH($X198,$X$1:$X197,0,-1))+1)</f>
        <v>1</v>
      </c>
      <c r="Z198" s="46" cm="1">
        <f t="array" ref="Z198">SUM(IF(ISNUMBER(FIND("TmAi",$BA$1:$ZZ$1)),IF(IFERROR(ISODD(SUBSTITUTE($BA198:$ZZ198,"A","")),FALSE),IF(ISODD(SUBSTITUTE($BA198:$ZZ198,"A","")),1,0),0)))</f>
        <v>1</v>
      </c>
      <c r="AA198" t="str">
        <f t="shared" si="225"/>
        <v>1A</v>
      </c>
      <c r="AB198" t="str">
        <f t="shared" si="226"/>
        <v>1B</v>
      </c>
      <c r="AL198" t="s">
        <v>137</v>
      </c>
      <c r="AN198" t="s">
        <v>1216</v>
      </c>
      <c r="AO198" t="s">
        <v>396</v>
      </c>
      <c r="OA198" s="25" t="str">
        <f>CONCATENATE("XT",$U198)</f>
        <v>XT62</v>
      </c>
      <c r="OB198" s="12" t="s">
        <v>1224</v>
      </c>
      <c r="OC198" s="12" t="s">
        <v>1327</v>
      </c>
      <c r="OD198" s="12"/>
      <c r="OE198" s="12"/>
      <c r="OF198" s="12" t="str">
        <f>CONCATENATE(REPLACE($AA198,LEN($AA198),1,"")+1,RIGHT($AA198))</f>
        <v>2A</v>
      </c>
      <c r="OG198" s="12" t="str">
        <f>CONCATENATE(REPLACE($AB198,LEN($AB198),1,"")+1,RIGHT($AB198))</f>
        <v>2B</v>
      </c>
      <c r="OH198" s="12" t="str">
        <f>CONCATENATE(REPLACE(OF198,LEN(OF198),1,"")+1,RIGHT(OF198))</f>
        <v>3A</v>
      </c>
      <c r="OI198" s="12" t="str">
        <f t="shared" ref="OI198:OO200" si="246">CONCATENATE(REPLACE(OG198,LEN(OG198),1,"")+1,RIGHT(OG198))</f>
        <v>3B</v>
      </c>
      <c r="OJ198" s="12" t="str">
        <f t="shared" si="246"/>
        <v>4A</v>
      </c>
      <c r="OK198" s="12" t="str">
        <f t="shared" si="246"/>
        <v>4B</v>
      </c>
      <c r="OL198" s="12"/>
      <c r="OM198" s="12"/>
      <c r="ON198" s="12"/>
      <c r="OO198" s="12"/>
      <c r="OP198" s="12" t="str">
        <f>CONCATENATE($T198,"-AI",REPLACE($X198,1,3,""),"-",$AA198)</f>
        <v>F0-AI34-1A</v>
      </c>
      <c r="OQ198" s="12" t="str">
        <f>CONCATENATE($T198,"-AI",REPLACE($X198,1,3,""),"-",$AB198)</f>
        <v>F0-AI34-1B</v>
      </c>
      <c r="OR198" s="12" t="str">
        <f t="shared" ref="OR198:PA200" si="247">CONCATENATE($T198,"-AI",REPLACE($X198,1,3,""),"-",OF198)</f>
        <v>F0-AI34-2A</v>
      </c>
      <c r="OS198" s="12" t="str">
        <f t="shared" si="247"/>
        <v>F0-AI34-2B</v>
      </c>
      <c r="OT198" s="12" t="str">
        <f t="shared" si="247"/>
        <v>F0-AI34-3A</v>
      </c>
      <c r="OU198" s="12" t="str">
        <f t="shared" si="247"/>
        <v>F0-AI34-3B</v>
      </c>
      <c r="OV198" s="12" t="str">
        <f t="shared" si="247"/>
        <v>F0-AI34-4A</v>
      </c>
      <c r="OW198" s="12" t="str">
        <f t="shared" si="247"/>
        <v>F0-AI34-4B</v>
      </c>
      <c r="OX198" s="12"/>
      <c r="OY198" s="12"/>
      <c r="OZ198" s="12"/>
      <c r="PA198" s="12"/>
      <c r="PB198" s="12" cm="1">
        <f t="array" ref="PB198">IF(COUNTIFS($U$2:$U198,$U198)=1,1,INDEX(PB:PB,_xlfn.XMATCH($U198,$U$1:EB197,0,-1))+COUNT(PB197:PG197))</f>
        <v>1</v>
      </c>
      <c r="PC198" s="12">
        <f t="shared" ref="PC198:PE200" si="248">PB198+1</f>
        <v>2</v>
      </c>
      <c r="PD198" s="12">
        <f t="shared" si="248"/>
        <v>3</v>
      </c>
      <c r="PE198" s="12">
        <f>PD198+1</f>
        <v>4</v>
      </c>
      <c r="PF198" s="12">
        <f t="shared" ref="PF198:PJ200" si="249">PE198+1</f>
        <v>5</v>
      </c>
      <c r="PG198" s="12">
        <f t="shared" si="249"/>
        <v>6</v>
      </c>
      <c r="PH198" s="12"/>
      <c r="PI198" s="12"/>
      <c r="PJ198" s="12"/>
      <c r="PK198" s="12">
        <v>1</v>
      </c>
      <c r="PL198" s="12">
        <v>2</v>
      </c>
      <c r="PM198" s="12">
        <v>3</v>
      </c>
      <c r="PN198" s="12">
        <v>4</v>
      </c>
      <c r="PO198" s="12">
        <v>5</v>
      </c>
      <c r="PP198" s="13">
        <v>6</v>
      </c>
    </row>
    <row r="199" spans="1:532" ht="15.75" thickBot="1" x14ac:dyDescent="0.3">
      <c r="A199" t="s">
        <v>1225</v>
      </c>
      <c r="B199" t="s">
        <v>1217</v>
      </c>
      <c r="C199" t="s">
        <v>1012</v>
      </c>
      <c r="P199" t="s">
        <v>1011</v>
      </c>
      <c r="T199" s="14" t="s">
        <v>554</v>
      </c>
      <c r="U199">
        <v>62</v>
      </c>
      <c r="W199" t="s">
        <v>1244</v>
      </c>
      <c r="X199" t="str">
        <f>IF(COUNTIF(X$1:X198,X198)&gt;7,REPLACE(X198,LEN(X198),1,VALUE(RIGHT(X198,1))+1),X198)</f>
        <v>A3.34</v>
      </c>
      <c r="Y199" s="43" cm="1">
        <f t="array" ref="Y199">IF(COUNTIFS($X$2:$X199,$X199)=1,"1",VALUE(SUBSTITUTE(INDEX(Y:Y,_xlfn.XMATCH($X199,$X$1:$X198,0,-1)),"A",""))+INDEX(Z:Z,_xlfn.XMATCH($X199,$X$1:$X198,0,-1))+1)</f>
        <v>3</v>
      </c>
      <c r="Z199" s="46" cm="1">
        <f t="array" ref="Z199">SUM(IF(ISNUMBER(FIND("TmAi",$BA$1:$ZZ$1)),IF(IFERROR(ISODD(SUBSTITUTE($BA199:$ZZ199,"A","")),FALSE),IF(ISODD(SUBSTITUTE($BA199:$ZZ199,"A","")),1,0),0)))</f>
        <v>1</v>
      </c>
      <c r="AA199" t="str">
        <f t="shared" si="225"/>
        <v>5A</v>
      </c>
      <c r="AB199" t="str">
        <f t="shared" si="226"/>
        <v>5B</v>
      </c>
      <c r="AL199" t="s">
        <v>137</v>
      </c>
      <c r="AN199" t="s">
        <v>1216</v>
      </c>
      <c r="AO199" t="s">
        <v>396</v>
      </c>
      <c r="OA199" s="27" t="str">
        <f t="shared" ref="OA199:OA200" si="250">CONCATENATE("XT",$U199)</f>
        <v>XT62</v>
      </c>
      <c r="OB199" t="s">
        <v>1226</v>
      </c>
      <c r="OC199" t="s">
        <v>1328</v>
      </c>
      <c r="OF199" t="str">
        <f t="shared" ref="OF199:OF200" si="251">CONCATENATE(REPLACE($AA199,LEN($AA199),1,"")+1,RIGHT($AA199))</f>
        <v>6A</v>
      </c>
      <c r="OG199" t="str">
        <f t="shared" ref="OG199:OG200" si="252">CONCATENATE(REPLACE($AB199,LEN($AB199),1,"")+1,RIGHT($AB199))</f>
        <v>6B</v>
      </c>
      <c r="OH199" t="str">
        <f t="shared" ref="OH199:OH200" si="253">CONCATENATE(REPLACE(OF199,LEN(OF199),1,"")+1,RIGHT(OF199))</f>
        <v>7A</v>
      </c>
      <c r="OI199" t="str">
        <f t="shared" si="246"/>
        <v>7B</v>
      </c>
      <c r="OJ199" t="str">
        <f t="shared" si="246"/>
        <v>8A</v>
      </c>
      <c r="OK199" t="str">
        <f t="shared" si="246"/>
        <v>8B</v>
      </c>
      <c r="OP199" t="str">
        <f>CONCATENATE($T199,"-AI",REPLACE($X199,1,3,""),"-",$AA199)</f>
        <v>F0-AI34-5A</v>
      </c>
      <c r="OQ199" t="str">
        <f>CONCATENATE($T199,"-AI",REPLACE($X199,1,3,""),"-",$AB199)</f>
        <v>F0-AI34-5B</v>
      </c>
      <c r="OR199" t="str">
        <f t="shared" si="247"/>
        <v>F0-AI34-6A</v>
      </c>
      <c r="OS199" t="str">
        <f t="shared" si="247"/>
        <v>F0-AI34-6B</v>
      </c>
      <c r="OT199" t="str">
        <f t="shared" si="247"/>
        <v>F0-AI34-7A</v>
      </c>
      <c r="OU199" t="str">
        <f t="shared" si="247"/>
        <v>F0-AI34-7B</v>
      </c>
      <c r="OV199" t="str">
        <f t="shared" si="247"/>
        <v>F0-AI34-8A</v>
      </c>
      <c r="OW199" t="str">
        <f t="shared" si="247"/>
        <v>F0-AI34-8B</v>
      </c>
      <c r="PB199" cm="1">
        <f t="array" ref="PB199">IF(COUNTIFS($U$2:$U199,$U199)=1,1,INDEX(PB:PB,_xlfn.XMATCH($U199,$U$1:$U198,0,-1))+COUNT(PB198:PG198))</f>
        <v>7</v>
      </c>
      <c r="PC199">
        <f t="shared" si="248"/>
        <v>8</v>
      </c>
      <c r="PD199">
        <f t="shared" si="248"/>
        <v>9</v>
      </c>
      <c r="PE199">
        <f t="shared" si="248"/>
        <v>10</v>
      </c>
      <c r="PF199">
        <f t="shared" si="249"/>
        <v>11</v>
      </c>
      <c r="PG199">
        <f t="shared" si="249"/>
        <v>12</v>
      </c>
      <c r="PK199">
        <v>7</v>
      </c>
      <c r="PL199">
        <v>8</v>
      </c>
      <c r="PM199">
        <v>9</v>
      </c>
      <c r="PN199">
        <v>10</v>
      </c>
      <c r="PO199">
        <v>11</v>
      </c>
      <c r="PP199" s="16">
        <v>12</v>
      </c>
    </row>
    <row r="200" spans="1:532" ht="15.75" thickBot="1" x14ac:dyDescent="0.3">
      <c r="A200" t="s">
        <v>1227</v>
      </c>
      <c r="B200" t="s">
        <v>1218</v>
      </c>
      <c r="C200" t="s">
        <v>1012</v>
      </c>
      <c r="P200" t="s">
        <v>1047</v>
      </c>
      <c r="T200" s="14" t="s">
        <v>554</v>
      </c>
      <c r="U200">
        <v>62</v>
      </c>
      <c r="W200" t="s">
        <v>1245</v>
      </c>
      <c r="X200" s="33" t="str">
        <f>IF(COUNTIF(X$1:X199,X199)&gt;7,REPLACE(X199,LEN(X199),1,VALUE(RIGHT(X199,1))+1),X199)</f>
        <v>A3.34</v>
      </c>
      <c r="Y200" s="45" cm="1">
        <f t="array" ref="Y200">IF(COUNTIFS($X$2:$X200,$X200)=1,"1",VALUE(SUBSTITUTE(INDEX(Y:Y,_xlfn.XMATCH($X200,$X$1:$X199,0,-1)),"A",""))+INDEX(Z:Z,_xlfn.XMATCH($X200,$X$1:$X199,0,-1))+1)</f>
        <v>5</v>
      </c>
      <c r="Z200" s="46" cm="1">
        <f t="array" ref="Z200">SUM(IF(ISNUMBER(FIND("TmAi",$BA$1:$ZZ$1)),IF(IFERROR(ISODD(SUBSTITUTE($BA200:$ZZ200,"A","")),FALSE),IF(ISODD(SUBSTITUTE($BA200:$ZZ200,"A","")),1,0),0)))</f>
        <v>2</v>
      </c>
      <c r="AA200" t="str">
        <f t="shared" si="225"/>
        <v>9A</v>
      </c>
      <c r="AB200" t="str">
        <f t="shared" si="226"/>
        <v>9B</v>
      </c>
      <c r="AL200" t="s">
        <v>137</v>
      </c>
      <c r="AN200" t="s">
        <v>1219</v>
      </c>
      <c r="AO200" t="s">
        <v>396</v>
      </c>
      <c r="OA200" s="27" t="str">
        <f t="shared" si="250"/>
        <v>XT62</v>
      </c>
      <c r="OB200" t="s">
        <v>1228</v>
      </c>
      <c r="OC200" t="s">
        <v>1329</v>
      </c>
      <c r="OD200" t="s">
        <v>1322</v>
      </c>
      <c r="OE200" t="s">
        <v>1330</v>
      </c>
      <c r="OF200" t="str">
        <f t="shared" si="251"/>
        <v>10A</v>
      </c>
      <c r="OG200" t="str">
        <f t="shared" si="252"/>
        <v>10B</v>
      </c>
      <c r="OH200" t="str">
        <f t="shared" si="253"/>
        <v>11A</v>
      </c>
      <c r="OI200" t="str">
        <f t="shared" si="246"/>
        <v>11B</v>
      </c>
      <c r="OJ200" t="str">
        <f t="shared" si="246"/>
        <v>12A</v>
      </c>
      <c r="OK200" t="str">
        <f t="shared" si="246"/>
        <v>12B</v>
      </c>
      <c r="OL200" t="str">
        <f t="shared" si="246"/>
        <v>13A</v>
      </c>
      <c r="OM200" t="str">
        <f t="shared" si="246"/>
        <v>13B</v>
      </c>
      <c r="ON200" t="str">
        <f t="shared" si="246"/>
        <v>14A</v>
      </c>
      <c r="OO200" t="str">
        <f t="shared" si="246"/>
        <v>14B</v>
      </c>
      <c r="OP200" t="str">
        <f>CONCATENATE($T200,"-AI",REPLACE($X200,1,3,""),"-",$AA200)</f>
        <v>F0-AI34-9A</v>
      </c>
      <c r="OQ200" t="str">
        <f>CONCATENATE($T200,"-AI",REPLACE($X200,1,3,""),"-",$AB200)</f>
        <v>F0-AI34-9B</v>
      </c>
      <c r="OR200" t="str">
        <f t="shared" si="247"/>
        <v>F0-AI34-10A</v>
      </c>
      <c r="OS200" t="str">
        <f t="shared" si="247"/>
        <v>F0-AI34-10B</v>
      </c>
      <c r="OT200" t="str">
        <f t="shared" si="247"/>
        <v>F0-AI34-11A</v>
      </c>
      <c r="OU200" t="str">
        <f t="shared" si="247"/>
        <v>F0-AI34-11B</v>
      </c>
      <c r="OV200" t="str">
        <f t="shared" si="247"/>
        <v>F0-AI34-12A</v>
      </c>
      <c r="OW200" t="str">
        <f t="shared" si="247"/>
        <v>F0-AI34-12B</v>
      </c>
      <c r="OX200" t="str">
        <f t="shared" si="247"/>
        <v>F0-AI34-13A</v>
      </c>
      <c r="OY200" t="str">
        <f t="shared" si="247"/>
        <v>F0-AI34-13B</v>
      </c>
      <c r="OZ200" t="str">
        <f t="shared" si="247"/>
        <v>F0-AI34-14A</v>
      </c>
      <c r="PA200" t="str">
        <f t="shared" si="247"/>
        <v>F0-AI34-14B</v>
      </c>
      <c r="PB200" cm="1">
        <f t="array" ref="PB200">IF(COUNTIFS($U$2:$U200,$U200)=1,1,INDEX(PB:PB,_xlfn.XMATCH($U200,$U$1:$U199,0,-1))+COUNT(PB199:PG199))</f>
        <v>13</v>
      </c>
      <c r="PC200">
        <f t="shared" si="248"/>
        <v>14</v>
      </c>
      <c r="PD200">
        <f t="shared" si="248"/>
        <v>15</v>
      </c>
      <c r="PE200">
        <f t="shared" si="248"/>
        <v>16</v>
      </c>
      <c r="PF200">
        <f t="shared" si="249"/>
        <v>17</v>
      </c>
      <c r="PG200">
        <f t="shared" si="249"/>
        <v>18</v>
      </c>
      <c r="PH200">
        <f t="shared" si="249"/>
        <v>19</v>
      </c>
      <c r="PI200">
        <f t="shared" si="249"/>
        <v>20</v>
      </c>
      <c r="PJ200">
        <f t="shared" si="249"/>
        <v>21</v>
      </c>
      <c r="PK200">
        <v>1</v>
      </c>
      <c r="PL200">
        <v>2</v>
      </c>
      <c r="PM200">
        <v>3</v>
      </c>
      <c r="PN200">
        <v>4</v>
      </c>
      <c r="PO200">
        <v>5</v>
      </c>
      <c r="PP200">
        <v>6</v>
      </c>
      <c r="PQ200" s="23">
        <v>7</v>
      </c>
      <c r="PR200" s="23">
        <v>8</v>
      </c>
      <c r="PS200" s="24">
        <v>9</v>
      </c>
    </row>
    <row r="201" spans="1:532" ht="15.75" thickBot="1" x14ac:dyDescent="0.3">
      <c r="A201" t="s">
        <v>1229</v>
      </c>
      <c r="B201" t="s">
        <v>1220</v>
      </c>
      <c r="P201" t="s">
        <v>482</v>
      </c>
      <c r="T201" s="14" t="s">
        <v>554</v>
      </c>
      <c r="U201">
        <v>62</v>
      </c>
      <c r="W201" t="s">
        <v>1246</v>
      </c>
      <c r="X201" s="36" t="s">
        <v>1247</v>
      </c>
      <c r="Y201" s="47" t="str" cm="1">
        <f t="array" ref="Y201">IF(COUNTIFS($X$2:$X201,$X201)=1,"1",VALUE(SUBSTITUTE(INDEX(Y:Y,_xlfn.XMATCH($X201,$X$1:$X200,0,-1)),"A",""))+INDEX(Z:Z,_xlfn.XMATCH($X201,$X$1:$X200,0,-1))+1)</f>
        <v>1</v>
      </c>
      <c r="Z201" s="46" cm="1">
        <f t="array" ref="Z201">SUM(IF(ISNUMBER(FIND("TmAi",$BA$1:$ZZ$1)),IF(IFERROR(ISODD(SUBSTITUTE($BA201:$ZZ201,"A","")),FALSE),IF(ISODD(SUBSTITUTE($BA201:$ZZ201,"A","")),1,0),0)))</f>
        <v>0</v>
      </c>
      <c r="AA201" t="str">
        <f t="shared" ref="AA201" si="254">CONCATENATE($Y201*2-1,"B")</f>
        <v>1B</v>
      </c>
      <c r="AB201" t="str">
        <f t="shared" ref="AB201" si="255">CONCATENATE($Y201*2,"B")</f>
        <v>2B</v>
      </c>
      <c r="AL201" t="s">
        <v>137</v>
      </c>
      <c r="AM201" t="s">
        <v>1142</v>
      </c>
      <c r="AO201" t="s">
        <v>396</v>
      </c>
      <c r="JV201" s="27" t="str">
        <f>CONCATENATE("XT",U201)</f>
        <v>XT62</v>
      </c>
      <c r="JY201" t="str">
        <f>CONCATENATE(T201,"-AI",REPLACE($X201,1,3,""),"-",AA201)</f>
        <v>F0-AI24-1B</v>
      </c>
      <c r="JZ201" t="str">
        <f>CONCATENATE(T201,"-AI",REPLACE($X201,1,3,""),"-",AB201)</f>
        <v>F0-AI24-2B</v>
      </c>
      <c r="KE201">
        <v>22</v>
      </c>
      <c r="KF201">
        <f t="shared" ref="KF201:KG201" si="256">KE201+1</f>
        <v>23</v>
      </c>
      <c r="KG201">
        <f t="shared" si="256"/>
        <v>24</v>
      </c>
      <c r="KJ201" t="s">
        <v>548</v>
      </c>
      <c r="KK201" s="16" t="s">
        <v>548</v>
      </c>
      <c r="KO201" s="16"/>
      <c r="OA201" s="27"/>
      <c r="PP201" s="16"/>
    </row>
    <row r="202" spans="1:532" ht="15.75" thickBot="1" x14ac:dyDescent="0.3">
      <c r="A202" t="s">
        <v>1230</v>
      </c>
      <c r="B202" s="33" t="s">
        <v>1221</v>
      </c>
      <c r="P202" t="s">
        <v>1061</v>
      </c>
      <c r="T202" s="14" t="s">
        <v>554</v>
      </c>
      <c r="U202">
        <v>62</v>
      </c>
      <c r="W202" t="s">
        <v>1249</v>
      </c>
      <c r="X202" s="33" t="str">
        <f>IF(COUNTIF(X$1:X201,X201)&gt;3,REPLACE(X201,LEN(X201),1,VALUE(RIGHT(X201,1))+1),X201)</f>
        <v>A3.24</v>
      </c>
      <c r="Y202" s="45" cm="1">
        <f t="array" ref="Y202">IF(COUNTIFS($X$2:$X202,$X202)=1,"1",VALUE(SUBSTITUTE(INDEX(Y:Y,_xlfn.XMATCH($X202,$X$1:$X201,0,-1)),"A",""))+INDEX(Z:Z,_xlfn.XMATCH($X202,$X$1:$X201,0,-1))+1)</f>
        <v>2</v>
      </c>
      <c r="Z202" s="46" cm="1">
        <f t="array" ref="Z202">SUM(IF(ISNUMBER(FIND("TmAi",$BA$1:$ZZ$1)),IF(IFERROR(ISODD(SUBSTITUTE($BA202:$ZZ202,"A","")),FALSE),IF(ISODD(SUBSTITUTE($BA202:$ZZ202,"A","")),1,0),0)))</f>
        <v>11</v>
      </c>
      <c r="AA202" t="str">
        <f t="shared" ref="AA202:AA203" si="257">CONCATENATE($Y202*2-1,"A")</f>
        <v>3A</v>
      </c>
      <c r="AB202" t="str">
        <f t="shared" ref="AB202:AB203" si="258">CONCATENATE($Y202*2-1,"B")</f>
        <v>3B</v>
      </c>
      <c r="AN202" t="s">
        <v>1222</v>
      </c>
      <c r="AO202" t="s">
        <v>396</v>
      </c>
      <c r="JV202" s="27"/>
      <c r="KE202" cm="1">
        <f t="array" ref="KE202">IF(COUNTIFS($U$2:$U202,$U202)=1,1,INDEX(KE:KE,_xlfn.XMATCH(U202,U$1:U201,0,-1))+COUNT(KE201:KI201))</f>
        <v>25</v>
      </c>
      <c r="KK202" s="16"/>
      <c r="KO202" s="16"/>
      <c r="PT202" s="25" t="str">
        <f>REPLACE(X202,FIND(".",X202)+1,3,MID(X202,FIND(".",X202)+1,3)+1)</f>
        <v>A3.25</v>
      </c>
      <c r="PU202" s="12" t="str">
        <f>CONCATENATE(VALUE(SUBSTITUTE($AB202,"B",""))+2,"B")</f>
        <v>5B</v>
      </c>
      <c r="PV202" s="12" t="str">
        <f>CONCATENATE(VALUE(SUBSTITUTE($AA202,"A",""))+2,"A")</f>
        <v>5A</v>
      </c>
      <c r="PW202" s="12" t="str">
        <f>CONCATENATE(VALUE(SUBSTITUTE(PU202,"B",""))+2,"B")</f>
        <v>7B</v>
      </c>
      <c r="PX202" s="12" t="str">
        <f>CONCATENATE(VALUE(SUBSTITUTE(PV202,"A",""))+2,"A")</f>
        <v>7A</v>
      </c>
      <c r="PY202" s="12" t="str">
        <f t="shared" ref="PY202" si="259">CONCATENATE(VALUE(SUBSTITUTE(PW202,"B",""))+2,"B")</f>
        <v>9B</v>
      </c>
      <c r="PZ202" s="12" t="str">
        <f t="shared" ref="PZ202" si="260">CONCATENATE(VALUE(SUBSTITUTE(PX202,"A",""))+2,"A")</f>
        <v>9A</v>
      </c>
      <c r="QA202" s="12" t="str">
        <f t="shared" ref="QA202" si="261">CONCATENATE(VALUE(SUBSTITUTE(PY202,"B",""))+2,"B")</f>
        <v>11B</v>
      </c>
      <c r="QB202" s="12" t="str">
        <f t="shared" ref="QB202" si="262">CONCATENATE(VALUE(SUBSTITUTE(PZ202,"A",""))+2,"A")</f>
        <v>11A</v>
      </c>
      <c r="QC202" s="12" t="str">
        <f t="shared" ref="QC202" si="263">CONCATENATE(VALUE(SUBSTITUTE(QA202,"B",""))+2,"B")</f>
        <v>13B</v>
      </c>
      <c r="QD202" s="12" t="str">
        <f t="shared" ref="QD202" si="264">CONCATENATE(VALUE(SUBSTITUTE(QB202,"A",""))+2,"A")</f>
        <v>13A</v>
      </c>
      <c r="QE202" s="12" t="s">
        <v>135</v>
      </c>
      <c r="QF202" s="12" t="s">
        <v>136</v>
      </c>
      <c r="QG202" s="12" t="str">
        <f t="shared" ref="QG202" si="265">CONCATENATE(VALUE(SUBSTITUTE(QE202,"B",""))+2,"B")</f>
        <v>3B</v>
      </c>
      <c r="QH202" s="12" t="str">
        <f t="shared" ref="QH202" si="266">CONCATENATE(VALUE(SUBSTITUTE(QF202,"A",""))+2,"A")</f>
        <v>3A</v>
      </c>
      <c r="QI202" s="12" t="str">
        <f t="shared" ref="QI202" si="267">CONCATENATE(VALUE(SUBSTITUTE(QG202,"B",""))+2,"B")</f>
        <v>5B</v>
      </c>
      <c r="QJ202" s="12" t="str">
        <f t="shared" ref="QJ202" si="268">CONCATENATE(VALUE(SUBSTITUTE(QH202,"A",""))+2,"A")</f>
        <v>5A</v>
      </c>
      <c r="QK202" s="12" t="str">
        <f t="shared" ref="QK202" si="269">CONCATENATE(VALUE(SUBSTITUTE(QI202,"B",""))+2,"B")</f>
        <v>7B</v>
      </c>
      <c r="QL202" s="12" t="str">
        <f t="shared" ref="QL202" si="270">CONCATENATE(VALUE(SUBSTITUTE(QJ202,"A",""))+2,"A")</f>
        <v>7A</v>
      </c>
      <c r="QM202" s="12" t="str">
        <f t="shared" ref="QM202" si="271">CONCATENATE(VALUE(SUBSTITUTE(QK202,"B",""))+2,"B")</f>
        <v>9B</v>
      </c>
      <c r="QN202" s="12" t="str">
        <f t="shared" ref="QN202" si="272">CONCATENATE(VALUE(SUBSTITUTE(QL202,"A",""))+2,"A")</f>
        <v>9A</v>
      </c>
      <c r="QO202" s="12" t="str">
        <f t="shared" ref="QO202" si="273">CONCATENATE(VALUE(SUBSTITUTE(QM202,"B",""))+2,"B")</f>
        <v>11B</v>
      </c>
      <c r="QP202" s="12" t="str">
        <f t="shared" ref="QP202" si="274">CONCATENATE(VALUE(SUBSTITUTE(QN202,"A",""))+2,"A")</f>
        <v>11A</v>
      </c>
      <c r="QQ202" s="12" t="str">
        <f>CONCATENATE($T202,"-AI",REPLACE($X202,1,3,""),"-",AB202)</f>
        <v>F0-AI24-3B</v>
      </c>
      <c r="QR202" s="12" t="str">
        <f>CONCATENATE($T202,"-AI",REPLACE($X202,1,3,""),"-",AA202)</f>
        <v>F0-AI24-3A</v>
      </c>
      <c r="QS202" s="12" t="str">
        <f>CONCATENATE($T202,"-AI",REPLACE($X202,1,3,""),"-",PU202)</f>
        <v>F0-AI24-5B</v>
      </c>
      <c r="QT202" s="12" t="str">
        <f>CONCATENATE($T202,"-AI",REPLACE($X202,1,3,""),"-",PV202)</f>
        <v>F0-AI24-5A</v>
      </c>
      <c r="QU202" s="12" t="str">
        <f t="shared" ref="QU202:RB202" si="275">CONCATENATE($T202,"-AI",REPLACE($X202,1,3,""),"-",PW202)</f>
        <v>F0-AI24-7B</v>
      </c>
      <c r="QV202" s="12" t="str">
        <f t="shared" si="275"/>
        <v>F0-AI24-7A</v>
      </c>
      <c r="QW202" s="12" t="str">
        <f t="shared" si="275"/>
        <v>F0-AI24-9B</v>
      </c>
      <c r="QX202" s="12" t="str">
        <f t="shared" si="275"/>
        <v>F0-AI24-9A</v>
      </c>
      <c r="QY202" s="12" t="str">
        <f t="shared" si="275"/>
        <v>F0-AI24-11B</v>
      </c>
      <c r="QZ202" s="12" t="str">
        <f t="shared" si="275"/>
        <v>F0-AI24-11A</v>
      </c>
      <c r="RA202" s="12" t="str">
        <f t="shared" si="275"/>
        <v>F0-AI24-13B</v>
      </c>
      <c r="RB202" s="12" t="str">
        <f t="shared" si="275"/>
        <v>F0-AI24-13A</v>
      </c>
      <c r="RC202" s="12" t="str">
        <f t="shared" ref="RC202:RN202" si="276">CONCATENATE($T202,"-AI",REPLACE($PT202,1,3,""),"-",QE202)</f>
        <v>F0-AI25-1B</v>
      </c>
      <c r="RD202" s="12" t="str">
        <f t="shared" si="276"/>
        <v>F0-AI25-1A</v>
      </c>
      <c r="RE202" s="12" t="str">
        <f t="shared" si="276"/>
        <v>F0-AI25-3B</v>
      </c>
      <c r="RF202" s="12" t="str">
        <f t="shared" si="276"/>
        <v>F0-AI25-3A</v>
      </c>
      <c r="RG202" s="12" t="str">
        <f t="shared" si="276"/>
        <v>F0-AI25-5B</v>
      </c>
      <c r="RH202" s="12" t="str">
        <f t="shared" si="276"/>
        <v>F0-AI25-5A</v>
      </c>
      <c r="RI202" s="12" t="str">
        <f t="shared" si="276"/>
        <v>F0-AI25-7B</v>
      </c>
      <c r="RJ202" s="12" t="str">
        <f t="shared" si="276"/>
        <v>F0-AI25-7A</v>
      </c>
      <c r="RK202" s="12" t="str">
        <f t="shared" si="276"/>
        <v>F0-AI25-9B</v>
      </c>
      <c r="RL202" s="12" t="str">
        <f t="shared" si="276"/>
        <v>F0-AI25-9A</v>
      </c>
      <c r="RM202" s="12" t="str">
        <f t="shared" si="276"/>
        <v>F0-AI25-11B</v>
      </c>
      <c r="RN202" s="12" t="str">
        <f t="shared" si="276"/>
        <v>F0-AI25-11A</v>
      </c>
      <c r="RO202" s="12" t="str">
        <f t="shared" ref="RO202" si="277">CONCATENATE("XT",$U202)</f>
        <v>XT62</v>
      </c>
      <c r="RP202" s="12">
        <v>22</v>
      </c>
      <c r="RQ202" s="12">
        <v>23</v>
      </c>
      <c r="RR202" s="12">
        <v>24</v>
      </c>
      <c r="RS202" s="12">
        <v>25</v>
      </c>
      <c r="RT202" s="12">
        <v>26</v>
      </c>
      <c r="RU202" s="12">
        <v>27</v>
      </c>
      <c r="RV202" s="12">
        <v>28</v>
      </c>
      <c r="RW202" s="12">
        <v>29</v>
      </c>
      <c r="RX202" s="12">
        <v>30</v>
      </c>
      <c r="RY202" s="12">
        <v>31</v>
      </c>
      <c r="RZ202" s="12">
        <v>32</v>
      </c>
      <c r="SA202" s="12">
        <v>33</v>
      </c>
      <c r="SB202" s="12">
        <v>34</v>
      </c>
      <c r="SC202" s="12">
        <v>35</v>
      </c>
      <c r="SD202" s="12">
        <v>36</v>
      </c>
      <c r="SE202" s="12">
        <v>37</v>
      </c>
      <c r="SF202" s="12">
        <v>38</v>
      </c>
      <c r="SG202" s="12">
        <v>39</v>
      </c>
      <c r="SH202" s="12">
        <v>40</v>
      </c>
      <c r="SI202" s="12">
        <v>41</v>
      </c>
      <c r="SJ202" s="12">
        <v>42</v>
      </c>
      <c r="SK202" s="12">
        <v>43</v>
      </c>
      <c r="SL202" s="12">
        <v>44</v>
      </c>
      <c r="SM202" s="12">
        <v>45</v>
      </c>
      <c r="SN202" s="12">
        <v>46</v>
      </c>
      <c r="SO202" s="12" t="s">
        <v>1231</v>
      </c>
      <c r="SP202" s="12" t="s">
        <v>1232</v>
      </c>
      <c r="SQ202" s="12" t="s">
        <v>1233</v>
      </c>
      <c r="SR202" s="12" t="s">
        <v>1234</v>
      </c>
      <c r="SS202" s="12" t="s">
        <v>1235</v>
      </c>
      <c r="ST202" s="12" t="s">
        <v>1236</v>
      </c>
      <c r="SU202" s="12" t="s">
        <v>1237</v>
      </c>
      <c r="SV202" s="12" t="s">
        <v>1238</v>
      </c>
      <c r="SW202" s="12" t="s">
        <v>1239</v>
      </c>
      <c r="SX202" s="12" t="s">
        <v>1240</v>
      </c>
      <c r="SY202" s="12" t="s">
        <v>1241</v>
      </c>
      <c r="SZ202" s="12" t="s">
        <v>1242</v>
      </c>
      <c r="TA202" s="12" t="s">
        <v>1059</v>
      </c>
      <c r="TB202" s="12" t="s">
        <v>1128</v>
      </c>
      <c r="TC202" s="12" t="s">
        <v>1129</v>
      </c>
      <c r="TD202" s="12" t="s">
        <v>1130</v>
      </c>
      <c r="TE202" s="12" t="s">
        <v>1132</v>
      </c>
      <c r="TF202" s="12" t="s">
        <v>1131</v>
      </c>
      <c r="TG202" s="12" t="s">
        <v>1133</v>
      </c>
      <c r="TH202" s="12" t="s">
        <v>1134</v>
      </c>
      <c r="TI202" s="12" t="s">
        <v>1135</v>
      </c>
      <c r="TJ202" s="12" t="s">
        <v>1136</v>
      </c>
      <c r="TK202" s="12" t="s">
        <v>1137</v>
      </c>
      <c r="TL202" s="13" t="s">
        <v>1138</v>
      </c>
    </row>
    <row r="203" spans="1:532" x14ac:dyDescent="0.25">
      <c r="A203" t="s">
        <v>1251</v>
      </c>
      <c r="B203" s="34" t="s">
        <v>1310</v>
      </c>
      <c r="C203" t="s">
        <v>1012</v>
      </c>
      <c r="P203" t="s">
        <v>1011</v>
      </c>
      <c r="T203" s="14" t="s">
        <v>554</v>
      </c>
      <c r="U203">
        <v>63</v>
      </c>
      <c r="W203" t="s">
        <v>1250</v>
      </c>
      <c r="X203" s="36" t="s">
        <v>1357</v>
      </c>
      <c r="Y203" s="45" t="str" cm="1">
        <f t="array" ref="Y203">IF(COUNTIFS($X$2:$X203,$X203)=1,"1",VALUE(SUBSTITUTE(INDEX(Y:Y,_xlfn.XMATCH($X203,$X$1:$X202,0,-1)),"A",""))+INDEX(Z:Z,_xlfn.XMATCH($X203,$X$1:$X202,0,-1))+1)</f>
        <v>1</v>
      </c>
      <c r="Z203" s="46" cm="1">
        <f t="array" ref="Z203">SUM(IF(ISNUMBER(FIND("TmAi",$BA$1:$ZZ$1)),IF(IFERROR(ISODD(SUBSTITUTE($BA203:$ZZ203,"A","")),FALSE),IF(ISODD(SUBSTITUTE($BA203:$ZZ203,"A","")),1,0),0)))</f>
        <v>1</v>
      </c>
      <c r="AA203" t="str">
        <f t="shared" si="257"/>
        <v>1A</v>
      </c>
      <c r="AB203" t="str">
        <f t="shared" si="258"/>
        <v>1B</v>
      </c>
      <c r="AL203" t="s">
        <v>137</v>
      </c>
      <c r="AN203" t="s">
        <v>1253</v>
      </c>
      <c r="AO203" t="s">
        <v>396</v>
      </c>
      <c r="OA203" s="25" t="str">
        <f>CONCATENATE("XT",$U203)</f>
        <v>XT63</v>
      </c>
      <c r="OB203" s="12" t="s">
        <v>1259</v>
      </c>
      <c r="OC203" s="12" t="s">
        <v>1312</v>
      </c>
      <c r="OD203" s="12"/>
      <c r="OE203" s="12"/>
      <c r="OF203" s="12" t="str">
        <f>CONCATENATE(REPLACE($AA203,LEN($AA203),1,"")+1,RIGHT($AA203))</f>
        <v>2A</v>
      </c>
      <c r="OG203" s="12" t="str">
        <f>CONCATENATE(REPLACE($AB203,LEN($AB203),1,"")+1,RIGHT($AB203))</f>
        <v>2B</v>
      </c>
      <c r="OH203" s="12" t="str">
        <f>CONCATENATE(REPLACE(OF203,LEN(OF203),1,"")+1,RIGHT(OF203))</f>
        <v>3A</v>
      </c>
      <c r="OI203" s="12" t="str">
        <f t="shared" ref="OI203:OK203" si="278">CONCATENATE(REPLACE(OG203,LEN(OG203),1,"")+1,RIGHT(OG203))</f>
        <v>3B</v>
      </c>
      <c r="OJ203" s="12" t="str">
        <f t="shared" si="278"/>
        <v>4A</v>
      </c>
      <c r="OK203" s="12" t="str">
        <f t="shared" si="278"/>
        <v>4B</v>
      </c>
      <c r="OL203" s="12"/>
      <c r="OM203" s="12"/>
      <c r="ON203" s="12"/>
      <c r="OO203" s="12"/>
      <c r="OP203" s="12" t="str">
        <f>CONCATENATE($T203,"-AI",REPLACE($X203,1,3,""),"-",$AA203)</f>
        <v>F0-AI35-1A</v>
      </c>
      <c r="OQ203" s="12" t="str">
        <f>CONCATENATE($T203,"-AI",REPLACE($X203,1,3,""),"-",$AB203)</f>
        <v>F0-AI35-1B</v>
      </c>
      <c r="OR203" s="12" t="str">
        <f t="shared" ref="OR203:OW203" si="279">CONCATENATE($T203,"-AI",REPLACE($X203,1,3,""),"-",OF203)</f>
        <v>F0-AI35-2A</v>
      </c>
      <c r="OS203" s="12" t="str">
        <f t="shared" si="279"/>
        <v>F0-AI35-2B</v>
      </c>
      <c r="OT203" s="12" t="str">
        <f t="shared" si="279"/>
        <v>F0-AI35-3A</v>
      </c>
      <c r="OU203" s="12" t="str">
        <f t="shared" si="279"/>
        <v>F0-AI35-3B</v>
      </c>
      <c r="OV203" s="12" t="str">
        <f t="shared" si="279"/>
        <v>F0-AI35-4A</v>
      </c>
      <c r="OW203" s="12" t="str">
        <f t="shared" si="279"/>
        <v>F0-AI35-4B</v>
      </c>
      <c r="OX203" s="12"/>
      <c r="OY203" s="12"/>
      <c r="OZ203" s="12"/>
      <c r="PA203" s="12"/>
      <c r="PB203" s="12" cm="1">
        <f t="array" ref="PB203">IF(COUNTIFS($U$2:$U203,$U203)=1,1,INDEX(PB:PB,_xlfn.XMATCH($U203,$U$1:EB202,0,-1))+COUNT(PB202:PG202))</f>
        <v>1</v>
      </c>
      <c r="PC203" s="12">
        <f t="shared" ref="PC203:PD203" si="280">PB203+1</f>
        <v>2</v>
      </c>
      <c r="PD203" s="12">
        <f t="shared" si="280"/>
        <v>3</v>
      </c>
      <c r="PE203" s="12">
        <f>PD203+1</f>
        <v>4</v>
      </c>
      <c r="PF203" s="12">
        <f t="shared" ref="PF203:PG203" si="281">PE203+1</f>
        <v>5</v>
      </c>
      <c r="PG203" s="12">
        <f t="shared" si="281"/>
        <v>6</v>
      </c>
      <c r="PH203" s="12"/>
      <c r="PI203" s="12"/>
      <c r="PJ203" s="12"/>
      <c r="PK203" s="12">
        <v>1</v>
      </c>
      <c r="PL203" s="12">
        <v>2</v>
      </c>
      <c r="PM203" s="12">
        <v>3</v>
      </c>
      <c r="PN203" s="12">
        <v>4</v>
      </c>
      <c r="PO203" s="12">
        <v>5</v>
      </c>
      <c r="PP203" s="13">
        <v>6</v>
      </c>
    </row>
    <row r="204" spans="1:532" ht="15.75" thickBot="1" x14ac:dyDescent="0.3">
      <c r="A204" t="s">
        <v>1255</v>
      </c>
      <c r="B204" s="33" t="s">
        <v>1341</v>
      </c>
      <c r="P204" t="s">
        <v>482</v>
      </c>
      <c r="T204" s="14" t="s">
        <v>554</v>
      </c>
      <c r="U204">
        <v>63</v>
      </c>
      <c r="W204" t="s">
        <v>1256</v>
      </c>
      <c r="X204" s="36" t="s">
        <v>1257</v>
      </c>
      <c r="Y204" s="45" t="str" cm="1">
        <f t="array" ref="Y204">IF(COUNTIFS($X$2:$X204,$X204)=1,"1",VALUE(SUBSTITUTE(INDEX(Y:Y,_xlfn.XMATCH($X204,$X$1:$X203,0,-1)),"A",""))+INDEX(Z:Z,_xlfn.XMATCH($X204,$X$1:$X203,0,-1))+1)</f>
        <v>1</v>
      </c>
      <c r="Z204" s="46" cm="1">
        <f t="array" ref="Z204">SUM(IF(ISNUMBER(FIND("TmAi",$BA$1:$ZZ$1)),IF(IFERROR(ISODD(SUBSTITUTE($BA204:$ZZ204,"A","")),FALSE),IF(ISODD(SUBSTITUTE($BA204:$ZZ204,"A","")),1,0),0)))</f>
        <v>0</v>
      </c>
      <c r="AA204" t="str">
        <f t="shared" ref="AA204" si="282">CONCATENATE($Y204*2-1,"B")</f>
        <v>1B</v>
      </c>
      <c r="AB204" t="str">
        <f t="shared" ref="AB204" si="283">CONCATENATE($Y204*2,"B")</f>
        <v>2B</v>
      </c>
      <c r="AL204" t="s">
        <v>137</v>
      </c>
      <c r="AM204" t="s">
        <v>1258</v>
      </c>
      <c r="AO204" t="s">
        <v>396</v>
      </c>
      <c r="JV204" s="27" t="str">
        <f>CONCATENATE("XT",U204)</f>
        <v>XT63</v>
      </c>
      <c r="JY204" t="str">
        <f>CONCATENATE(T204,"-AI",REPLACE($X204,1,3,""),"-",AA204)</f>
        <v>F0-AI25-1B</v>
      </c>
      <c r="JZ204" t="str">
        <f>CONCATENATE(T204,"-AI",REPLACE($X204,1,3,""),"-",AB204)</f>
        <v>F0-AI25-2B</v>
      </c>
      <c r="KE204">
        <v>7</v>
      </c>
      <c r="KF204">
        <f t="shared" ref="KF204:KG204" si="284">KE204+1</f>
        <v>8</v>
      </c>
      <c r="KG204">
        <f t="shared" si="284"/>
        <v>9</v>
      </c>
      <c r="KJ204" t="s">
        <v>548</v>
      </c>
      <c r="KK204" s="16" t="s">
        <v>548</v>
      </c>
      <c r="KO204" s="16"/>
      <c r="OA204" s="27"/>
      <c r="PP204" s="16"/>
    </row>
    <row r="205" spans="1:532" x14ac:dyDescent="0.25">
      <c r="A205" t="s">
        <v>1263</v>
      </c>
      <c r="B205" s="34" t="s">
        <v>1311</v>
      </c>
      <c r="C205" t="s">
        <v>1012</v>
      </c>
      <c r="P205" t="s">
        <v>1011</v>
      </c>
      <c r="T205" s="14" t="s">
        <v>554</v>
      </c>
      <c r="U205">
        <v>64</v>
      </c>
      <c r="W205" t="s">
        <v>1260</v>
      </c>
      <c r="X205" s="36" t="s">
        <v>1357</v>
      </c>
      <c r="Y205" s="45" cm="1">
        <f t="array" ref="Y205">IF(COUNTIFS($X$2:$X205,$X205)=1,"1",VALUE(SUBSTITUTE(INDEX(Y:Y,_xlfn.XMATCH($X205,$X$1:$X204,0,-1)),"A",""))+INDEX(Z:Z,_xlfn.XMATCH($X205,$X$1:$X204,0,-1))+1)</f>
        <v>3</v>
      </c>
      <c r="Z205" s="46" cm="1">
        <f t="array" ref="Z205">SUM(IF(ISNUMBER(FIND("TmAi",$BA$1:$ZZ$1)),IF(IFERROR(ISODD(SUBSTITUTE($BA205:$ZZ205,"A","")),FALSE),IF(ISODD(SUBSTITUTE($BA205:$ZZ205,"A","")),1,0),0)))</f>
        <v>1</v>
      </c>
      <c r="AA205" t="str">
        <f t="shared" ref="AA205" si="285">CONCATENATE($Y205*2-1,"A")</f>
        <v>5A</v>
      </c>
      <c r="AB205" t="str">
        <f t="shared" ref="AB205" si="286">CONCATENATE($Y205*2-1,"B")</f>
        <v>5B</v>
      </c>
      <c r="AL205" t="s">
        <v>137</v>
      </c>
      <c r="AN205" t="s">
        <v>1261</v>
      </c>
      <c r="AO205" t="s">
        <v>396</v>
      </c>
      <c r="OA205" s="25" t="str">
        <f>CONCATENATE("XT",$U205)</f>
        <v>XT64</v>
      </c>
      <c r="OB205" s="12" t="s">
        <v>1254</v>
      </c>
      <c r="OC205" s="12" t="s">
        <v>1313</v>
      </c>
      <c r="OD205" s="12"/>
      <c r="OE205" s="12"/>
      <c r="OF205" s="12" t="str">
        <f>CONCATENATE(REPLACE($AA205,LEN($AA205),1,"")+1,RIGHT($AA205))</f>
        <v>6A</v>
      </c>
      <c r="OG205" s="12" t="str">
        <f>CONCATENATE(REPLACE($AB205,LEN($AB205),1,"")+1,RIGHT($AB205))</f>
        <v>6B</v>
      </c>
      <c r="OH205" s="12" t="str">
        <f>CONCATENATE(REPLACE(OF205,LEN(OF205),1,"")+1,RIGHT(OF205))</f>
        <v>7A</v>
      </c>
      <c r="OI205" s="12" t="str">
        <f t="shared" ref="OI205:OK205" si="287">CONCATENATE(REPLACE(OG205,LEN(OG205),1,"")+1,RIGHT(OG205))</f>
        <v>7B</v>
      </c>
      <c r="OJ205" s="12" t="str">
        <f t="shared" si="287"/>
        <v>8A</v>
      </c>
      <c r="OK205" s="12" t="str">
        <f t="shared" si="287"/>
        <v>8B</v>
      </c>
      <c r="OL205" s="12"/>
      <c r="OM205" s="12"/>
      <c r="ON205" s="12"/>
      <c r="OO205" s="12"/>
      <c r="OP205" s="12" t="str">
        <f>CONCATENATE($T205,"-AI",REPLACE($X205,1,3,""),"-",$AA205)</f>
        <v>F0-AI35-5A</v>
      </c>
      <c r="OQ205" s="12" t="str">
        <f>CONCATENATE($T205,"-AI",REPLACE($X205,1,3,""),"-",$AB205)</f>
        <v>F0-AI35-5B</v>
      </c>
      <c r="OR205" s="12" t="str">
        <f t="shared" ref="OR205:OW205" si="288">CONCATENATE($T205,"-AI",REPLACE($X205,1,3,""),"-",OF205)</f>
        <v>F0-AI35-6A</v>
      </c>
      <c r="OS205" s="12" t="str">
        <f t="shared" si="288"/>
        <v>F0-AI35-6B</v>
      </c>
      <c r="OT205" s="12" t="str">
        <f t="shared" si="288"/>
        <v>F0-AI35-7A</v>
      </c>
      <c r="OU205" s="12" t="str">
        <f t="shared" si="288"/>
        <v>F0-AI35-7B</v>
      </c>
      <c r="OV205" s="12" t="str">
        <f t="shared" si="288"/>
        <v>F0-AI35-8A</v>
      </c>
      <c r="OW205" s="12" t="str">
        <f t="shared" si="288"/>
        <v>F0-AI35-8B</v>
      </c>
      <c r="OX205" s="12"/>
      <c r="OY205" s="12"/>
      <c r="OZ205" s="12"/>
      <c r="PA205" s="12"/>
      <c r="PB205" s="12" cm="1">
        <f t="array" ref="PB205">IF(COUNTIFS($U$2:$U205,$U205)=1,1,INDEX(PB:PB,_xlfn.XMATCH($U205,$U$1:EB204,0,-1))+COUNT(PB204:PG204))</f>
        <v>1</v>
      </c>
      <c r="PC205" s="12">
        <f t="shared" ref="PC205:PD205" si="289">PB205+1</f>
        <v>2</v>
      </c>
      <c r="PD205" s="12">
        <f t="shared" si="289"/>
        <v>3</v>
      </c>
      <c r="PE205" s="12">
        <f>PD205+1</f>
        <v>4</v>
      </c>
      <c r="PF205" s="12">
        <f t="shared" ref="PF205:PG205" si="290">PE205+1</f>
        <v>5</v>
      </c>
      <c r="PG205" s="12">
        <f t="shared" si="290"/>
        <v>6</v>
      </c>
      <c r="PH205" s="12"/>
      <c r="PI205" s="12"/>
      <c r="PJ205" s="12"/>
      <c r="PK205" s="12">
        <v>1</v>
      </c>
      <c r="PL205" s="12">
        <v>2</v>
      </c>
      <c r="PM205" s="12">
        <v>3</v>
      </c>
      <c r="PN205" s="12">
        <v>4</v>
      </c>
      <c r="PO205" s="12">
        <v>5</v>
      </c>
      <c r="PP205" s="13">
        <v>6</v>
      </c>
    </row>
    <row r="206" spans="1:532" ht="15.75" thickBot="1" x14ac:dyDescent="0.3">
      <c r="A206" t="s">
        <v>1264</v>
      </c>
      <c r="B206" s="33" t="s">
        <v>1342</v>
      </c>
      <c r="P206" t="s">
        <v>482</v>
      </c>
      <c r="T206" s="14" t="s">
        <v>554</v>
      </c>
      <c r="U206">
        <v>64</v>
      </c>
      <c r="W206" t="s">
        <v>1262</v>
      </c>
      <c r="X206" s="33" t="s">
        <v>1257</v>
      </c>
      <c r="Y206" s="45" cm="1">
        <f t="array" ref="Y206">IF(COUNTIFS($X$2:$X206,$X206)=1,"1",VALUE(SUBSTITUTE(INDEX(Y:Y,_xlfn.XMATCH($X206,$X$1:$X205,0,-1)),"A",""))+INDEX(Z:Z,_xlfn.XMATCH($X206,$X$1:$X205,0,-1))+1)</f>
        <v>2</v>
      </c>
      <c r="Z206" s="46" cm="1">
        <f t="array" ref="Z206">SUM(IF(ISNUMBER(FIND("TmAi",$BA$1:$ZZ$1)),IF(IFERROR(ISODD(SUBSTITUTE($BA206:$ZZ206,"A","")),FALSE),IF(ISODD(SUBSTITUTE($BA206:$ZZ206,"A","")),1,0),0)))</f>
        <v>0</v>
      </c>
      <c r="AA206" t="str">
        <f t="shared" ref="AA206" si="291">CONCATENATE($Y206*2-1,"B")</f>
        <v>3B</v>
      </c>
      <c r="AB206" t="str">
        <f t="shared" ref="AB206" si="292">CONCATENATE($Y206*2,"B")</f>
        <v>4B</v>
      </c>
      <c r="AL206" t="s">
        <v>137</v>
      </c>
      <c r="AM206" t="s">
        <v>1258</v>
      </c>
      <c r="AO206" t="s">
        <v>396</v>
      </c>
      <c r="JV206" s="27" t="str">
        <f>CONCATENATE("XT",U206)</f>
        <v>XT64</v>
      </c>
      <c r="JY206" t="str">
        <f>CONCATENATE(T206,"-AI",REPLACE($X206,1,3,""),"-",AA206)</f>
        <v>F0-AI25-3B</v>
      </c>
      <c r="JZ206" t="str">
        <f>CONCATENATE(T206,"-AI",REPLACE($X206,1,3,""),"-",AB206)</f>
        <v>F0-AI25-4B</v>
      </c>
      <c r="KE206">
        <v>7</v>
      </c>
      <c r="KF206">
        <f t="shared" ref="KF206:KG206" si="293">KE206+1</f>
        <v>8</v>
      </c>
      <c r="KG206">
        <f t="shared" si="293"/>
        <v>9</v>
      </c>
      <c r="KJ206" t="s">
        <v>548</v>
      </c>
      <c r="KK206" s="16" t="s">
        <v>548</v>
      </c>
      <c r="KO206" s="16"/>
      <c r="OA206" s="27"/>
      <c r="PP206" s="16"/>
    </row>
    <row r="207" spans="1:532" x14ac:dyDescent="0.25">
      <c r="A207" t="s">
        <v>1276</v>
      </c>
      <c r="B207" s="34" t="s">
        <v>1331</v>
      </c>
      <c r="C207" t="s">
        <v>1012</v>
      </c>
      <c r="P207" t="s">
        <v>1011</v>
      </c>
      <c r="T207" s="14" t="s">
        <v>554</v>
      </c>
      <c r="U207">
        <v>65</v>
      </c>
      <c r="W207" t="s">
        <v>1265</v>
      </c>
      <c r="X207" s="36" t="s">
        <v>1358</v>
      </c>
      <c r="Y207" s="45" t="str" cm="1">
        <f t="array" ref="Y207">IF(COUNTIFS($X$2:$X207,$X207)=1,"1",VALUE(SUBSTITUTE(INDEX(Y:Y,_xlfn.XMATCH($X207,$X$1:$X206,0,-1)),"A",""))+INDEX(Z:Z,_xlfn.XMATCH($X207,$X$1:$X206,0,-1))+1)</f>
        <v>1</v>
      </c>
      <c r="Z207" s="46" cm="1">
        <f t="array" ref="Z207">SUM(IF(ISNUMBER(FIND("TmAi",$BA$1:$ZZ$1)),IF(IFERROR(ISODD(SUBSTITUTE($BA207:$ZZ207,"A","")),FALSE),IF(ISODD(SUBSTITUTE($BA207:$ZZ207,"A","")),1,0),0)))</f>
        <v>1</v>
      </c>
      <c r="AA207" t="str">
        <f t="shared" ref="AA207" si="294">CONCATENATE($Y207*2-1,"A")</f>
        <v>1A</v>
      </c>
      <c r="AB207" t="str">
        <f t="shared" ref="AB207" si="295">CONCATENATE($Y207*2-1,"B")</f>
        <v>1B</v>
      </c>
      <c r="AL207" t="s">
        <v>137</v>
      </c>
      <c r="AN207" t="s">
        <v>1270</v>
      </c>
      <c r="AO207" t="s">
        <v>396</v>
      </c>
      <c r="OA207" s="25" t="str">
        <f>CONCATENATE("XT",$U207)</f>
        <v>XT65</v>
      </c>
      <c r="OB207" s="12" t="s">
        <v>1275</v>
      </c>
      <c r="OC207" s="12" t="s">
        <v>1316</v>
      </c>
      <c r="OD207" s="12"/>
      <c r="OE207" s="12"/>
      <c r="OF207" s="12" t="str">
        <f>CONCATENATE(REPLACE($AA207,LEN($AA207),1,"")+1,RIGHT($AA207))</f>
        <v>2A</v>
      </c>
      <c r="OG207" s="12" t="str">
        <f>CONCATENATE(REPLACE($AB207,LEN($AB207),1,"")+1,RIGHT($AB207))</f>
        <v>2B</v>
      </c>
      <c r="OH207" s="12" t="str">
        <f>CONCATENATE(REPLACE(OF207,LEN(OF207),1,"")+1,RIGHT(OF207))</f>
        <v>3A</v>
      </c>
      <c r="OI207" s="12" t="str">
        <f t="shared" ref="OI207:OK207" si="296">CONCATENATE(REPLACE(OG207,LEN(OG207),1,"")+1,RIGHT(OG207))</f>
        <v>3B</v>
      </c>
      <c r="OJ207" s="12" t="str">
        <f t="shared" si="296"/>
        <v>4A</v>
      </c>
      <c r="OK207" s="12" t="str">
        <f t="shared" si="296"/>
        <v>4B</v>
      </c>
      <c r="OL207" s="12"/>
      <c r="OM207" s="12"/>
      <c r="ON207" s="12"/>
      <c r="OO207" s="12"/>
      <c r="OP207" s="12" t="str">
        <f>CONCATENATE($T207,"-AI",REPLACE($X207,1,3,""),"-",$AA207)</f>
        <v>F0-AI36-1A</v>
      </c>
      <c r="OQ207" s="12" t="str">
        <f>CONCATENATE($T207,"-AI",REPLACE($X207,1,3,""),"-",$AB207)</f>
        <v>F0-AI36-1B</v>
      </c>
      <c r="OR207" s="12" t="str">
        <f t="shared" ref="OR207:OW207" si="297">CONCATENATE($T207,"-AI",REPLACE($X207,1,3,""),"-",OF207)</f>
        <v>F0-AI36-2A</v>
      </c>
      <c r="OS207" s="12" t="str">
        <f t="shared" si="297"/>
        <v>F0-AI36-2B</v>
      </c>
      <c r="OT207" s="12" t="str">
        <f t="shared" si="297"/>
        <v>F0-AI36-3A</v>
      </c>
      <c r="OU207" s="12" t="str">
        <f t="shared" si="297"/>
        <v>F0-AI36-3B</v>
      </c>
      <c r="OV207" s="12" t="str">
        <f t="shared" si="297"/>
        <v>F0-AI36-4A</v>
      </c>
      <c r="OW207" s="12" t="str">
        <f t="shared" si="297"/>
        <v>F0-AI36-4B</v>
      </c>
      <c r="OX207" s="12"/>
      <c r="OY207" s="12"/>
      <c r="OZ207" s="12"/>
      <c r="PA207" s="12"/>
      <c r="PB207" s="12" cm="1">
        <f t="array" ref="PB207">IF(COUNTIFS($U$2:$U207,$U207)=1,1,INDEX(PB:PB,_xlfn.XMATCH($U207,$U$1:EB206,0,-1))+COUNT(PB206:PG206))</f>
        <v>1</v>
      </c>
      <c r="PC207" s="12">
        <f t="shared" ref="PC207:PD207" si="298">PB207+1</f>
        <v>2</v>
      </c>
      <c r="PD207" s="12">
        <f t="shared" si="298"/>
        <v>3</v>
      </c>
      <c r="PE207" s="12">
        <f>PD207+1</f>
        <v>4</v>
      </c>
      <c r="PF207" s="12">
        <f t="shared" ref="PF207:PG207" si="299">PE207+1</f>
        <v>5</v>
      </c>
      <c r="PG207" s="12">
        <f t="shared" si="299"/>
        <v>6</v>
      </c>
      <c r="PH207" s="12"/>
      <c r="PI207" s="12"/>
      <c r="PJ207" s="12"/>
      <c r="PK207" s="12">
        <v>1</v>
      </c>
      <c r="PL207" s="12">
        <v>2</v>
      </c>
      <c r="PM207" s="12">
        <v>3</v>
      </c>
      <c r="PN207" s="12">
        <v>4</v>
      </c>
      <c r="PO207" s="12">
        <v>5</v>
      </c>
      <c r="PP207" s="13">
        <v>6</v>
      </c>
    </row>
    <row r="208" spans="1:532" ht="15.75" thickBot="1" x14ac:dyDescent="0.3">
      <c r="A208" t="s">
        <v>1272</v>
      </c>
      <c r="B208" s="33" t="s">
        <v>1339</v>
      </c>
      <c r="P208" t="s">
        <v>482</v>
      </c>
      <c r="T208" s="14" t="s">
        <v>554</v>
      </c>
      <c r="U208">
        <v>65</v>
      </c>
      <c r="W208" t="s">
        <v>1266</v>
      </c>
      <c r="X208" s="36" t="s">
        <v>1257</v>
      </c>
      <c r="Y208" s="45" cm="1">
        <f t="array" ref="Y208">IF(COUNTIFS($X$2:$X208,$X208)=1,"1",VALUE(SUBSTITUTE(INDEX(Y:Y,_xlfn.XMATCH($X208,$X$1:$X207,0,-1)),"A",""))+INDEX(Z:Z,_xlfn.XMATCH($X208,$X$1:$X207,0,-1))+1)</f>
        <v>3</v>
      </c>
      <c r="Z208" s="46" cm="1">
        <f t="array" ref="Z208">SUM(IF(ISNUMBER(FIND("TmAi",$BA$1:$ZZ$1)),IF(IFERROR(ISODD(SUBSTITUTE($BA208:$ZZ208,"A","")),FALSE),IF(ISODD(SUBSTITUTE($BA208:$ZZ208,"A","")),1,0),0)))</f>
        <v>0</v>
      </c>
      <c r="AA208" t="str">
        <f t="shared" ref="AA208" si="300">CONCATENATE($Y208*2-1,"B")</f>
        <v>5B</v>
      </c>
      <c r="AB208" t="str">
        <f t="shared" ref="AB208" si="301">CONCATENATE($Y208*2,"B")</f>
        <v>6B</v>
      </c>
      <c r="AL208" t="s">
        <v>137</v>
      </c>
      <c r="AM208" t="s">
        <v>1269</v>
      </c>
      <c r="AO208" t="s">
        <v>396</v>
      </c>
      <c r="JV208" s="27" t="str">
        <f>CONCATENATE("XT",U208)</f>
        <v>XT65</v>
      </c>
      <c r="JY208" t="str">
        <f>CONCATENATE(T208,"-AI",REPLACE($X208,1,3,""),"-",AA208)</f>
        <v>F0-AI25-5B</v>
      </c>
      <c r="JZ208" t="str">
        <f>CONCATENATE(T208,"-AI",REPLACE($X208,1,3,""),"-",AB208)</f>
        <v>F0-AI25-6B</v>
      </c>
      <c r="KE208">
        <v>7</v>
      </c>
      <c r="KF208">
        <f t="shared" ref="KF208:KG208" si="302">KE208+1</f>
        <v>8</v>
      </c>
      <c r="KG208">
        <f t="shared" si="302"/>
        <v>9</v>
      </c>
      <c r="KJ208" t="s">
        <v>548</v>
      </c>
      <c r="KK208" s="16" t="s">
        <v>548</v>
      </c>
      <c r="KO208" s="16"/>
      <c r="OA208" s="27"/>
      <c r="PP208" s="16"/>
    </row>
    <row r="209" spans="1:432" x14ac:dyDescent="0.25">
      <c r="A209" t="s">
        <v>1277</v>
      </c>
      <c r="B209" s="34" t="s">
        <v>1332</v>
      </c>
      <c r="C209" t="s">
        <v>1012</v>
      </c>
      <c r="P209" t="s">
        <v>1011</v>
      </c>
      <c r="T209" s="14" t="s">
        <v>554</v>
      </c>
      <c r="U209">
        <v>66</v>
      </c>
      <c r="W209" t="s">
        <v>1267</v>
      </c>
      <c r="X209" s="36" t="s">
        <v>1358</v>
      </c>
      <c r="Y209" s="45" cm="1">
        <f t="array" ref="Y209">IF(COUNTIFS($X$2:$X209,$X209)=1,"1",VALUE(SUBSTITUTE(INDEX(Y:Y,_xlfn.XMATCH($X209,$X$1:$X208,0,-1)),"A",""))+INDEX(Z:Z,_xlfn.XMATCH($X209,$X$1:$X208,0,-1))+1)</f>
        <v>3</v>
      </c>
      <c r="Z209" s="46" cm="1">
        <f t="array" ref="Z209">SUM(IF(ISNUMBER(FIND("TmAi",$BA$1:$ZZ$1)),IF(IFERROR(ISODD(SUBSTITUTE($BA209:$ZZ209,"A","")),FALSE),IF(ISODD(SUBSTITUTE($BA209:$ZZ209,"A","")),1,0),0)))</f>
        <v>1</v>
      </c>
      <c r="AA209" t="str">
        <f t="shared" ref="AA209" si="303">CONCATENATE($Y209*2-1,"A")</f>
        <v>5A</v>
      </c>
      <c r="AB209" t="str">
        <f t="shared" ref="AB209" si="304">CONCATENATE($Y209*2-1,"B")</f>
        <v>5B</v>
      </c>
      <c r="AL209" t="s">
        <v>137</v>
      </c>
      <c r="AN209" t="s">
        <v>1271</v>
      </c>
      <c r="AO209" t="s">
        <v>396</v>
      </c>
      <c r="OA209" s="25" t="str">
        <f>CONCATENATE("XT",$U209)</f>
        <v>XT66</v>
      </c>
      <c r="OB209" s="12" t="s">
        <v>1274</v>
      </c>
      <c r="OC209" s="12" t="s">
        <v>1317</v>
      </c>
      <c r="OD209" s="12"/>
      <c r="OE209" s="12"/>
      <c r="OF209" s="12" t="str">
        <f>CONCATENATE(REPLACE($AA209,LEN($AA209),1,"")+1,RIGHT($AA209))</f>
        <v>6A</v>
      </c>
      <c r="OG209" s="12" t="str">
        <f>CONCATENATE(REPLACE($AB209,LEN($AB209),1,"")+1,RIGHT($AB209))</f>
        <v>6B</v>
      </c>
      <c r="OH209" s="12" t="str">
        <f>CONCATENATE(REPLACE(OF209,LEN(OF209),1,"")+1,RIGHT(OF209))</f>
        <v>7A</v>
      </c>
      <c r="OI209" s="12" t="str">
        <f t="shared" ref="OI209:OK209" si="305">CONCATENATE(REPLACE(OG209,LEN(OG209),1,"")+1,RIGHT(OG209))</f>
        <v>7B</v>
      </c>
      <c r="OJ209" s="12" t="str">
        <f t="shared" si="305"/>
        <v>8A</v>
      </c>
      <c r="OK209" s="12" t="str">
        <f t="shared" si="305"/>
        <v>8B</v>
      </c>
      <c r="OL209" s="12"/>
      <c r="OM209" s="12"/>
      <c r="ON209" s="12"/>
      <c r="OO209" s="12"/>
      <c r="OP209" s="12" t="str">
        <f>CONCATENATE($T209,"-AI",REPLACE($X209,1,3,""),"-",$AA209)</f>
        <v>F0-AI36-5A</v>
      </c>
      <c r="OQ209" s="12" t="str">
        <f>CONCATENATE($T209,"-AI",REPLACE($X209,1,3,""),"-",$AB209)</f>
        <v>F0-AI36-5B</v>
      </c>
      <c r="OR209" s="12" t="str">
        <f t="shared" ref="OR209:OW209" si="306">CONCATENATE($T209,"-AI",REPLACE($X209,1,3,""),"-",OF209)</f>
        <v>F0-AI36-6A</v>
      </c>
      <c r="OS209" s="12" t="str">
        <f t="shared" si="306"/>
        <v>F0-AI36-6B</v>
      </c>
      <c r="OT209" s="12" t="str">
        <f t="shared" si="306"/>
        <v>F0-AI36-7A</v>
      </c>
      <c r="OU209" s="12" t="str">
        <f t="shared" si="306"/>
        <v>F0-AI36-7B</v>
      </c>
      <c r="OV209" s="12" t="str">
        <f t="shared" si="306"/>
        <v>F0-AI36-8A</v>
      </c>
      <c r="OW209" s="12" t="str">
        <f t="shared" si="306"/>
        <v>F0-AI36-8B</v>
      </c>
      <c r="OX209" s="12"/>
      <c r="OY209" s="12"/>
      <c r="OZ209" s="12"/>
      <c r="PA209" s="12"/>
      <c r="PB209" s="12" cm="1">
        <f t="array" ref="PB209">IF(COUNTIFS($U$2:$U209,$U209)=1,1,INDEX(PB:PB,_xlfn.XMATCH($U209,$U$1:EB208,0,-1))+COUNT(PB208:PG208))</f>
        <v>1</v>
      </c>
      <c r="PC209" s="12">
        <f t="shared" ref="PC209:PD209" si="307">PB209+1</f>
        <v>2</v>
      </c>
      <c r="PD209" s="12">
        <f t="shared" si="307"/>
        <v>3</v>
      </c>
      <c r="PE209" s="12">
        <f>PD209+1</f>
        <v>4</v>
      </c>
      <c r="PF209" s="12">
        <f t="shared" ref="PF209:PG209" si="308">PE209+1</f>
        <v>5</v>
      </c>
      <c r="PG209" s="12">
        <f t="shared" si="308"/>
        <v>6</v>
      </c>
      <c r="PH209" s="12"/>
      <c r="PI209" s="12"/>
      <c r="PJ209" s="12"/>
      <c r="PK209" s="12">
        <v>1</v>
      </c>
      <c r="PL209" s="12">
        <v>2</v>
      </c>
      <c r="PM209" s="12">
        <v>3</v>
      </c>
      <c r="PN209" s="12">
        <v>4</v>
      </c>
      <c r="PO209" s="12">
        <v>5</v>
      </c>
      <c r="PP209" s="13">
        <v>6</v>
      </c>
    </row>
    <row r="210" spans="1:432" ht="15.75" thickBot="1" x14ac:dyDescent="0.3">
      <c r="A210" t="s">
        <v>1273</v>
      </c>
      <c r="B210" s="33" t="s">
        <v>1340</v>
      </c>
      <c r="P210" t="s">
        <v>482</v>
      </c>
      <c r="T210" s="14" t="s">
        <v>554</v>
      </c>
      <c r="U210">
        <v>66</v>
      </c>
      <c r="W210" t="s">
        <v>1268</v>
      </c>
      <c r="X210" s="36" t="s">
        <v>1257</v>
      </c>
      <c r="Y210" s="45" cm="1">
        <f t="array" ref="Y210">IF(COUNTIFS($X$2:$X210,$X210)=1,"1",VALUE(SUBSTITUTE(INDEX(Y:Y,_xlfn.XMATCH($X210,$X$1:$X209,0,-1)),"A",""))+INDEX(Z:Z,_xlfn.XMATCH($X210,$X$1:$X209,0,-1))+1)</f>
        <v>4</v>
      </c>
      <c r="Z210" s="46" cm="1">
        <f t="array" ref="Z210">SUM(IF(ISNUMBER(FIND("TmAi",$BA$1:$ZZ$1)),IF(IFERROR(ISODD(SUBSTITUTE($BA210:$ZZ210,"A","")),FALSE),IF(ISODD(SUBSTITUTE($BA210:$ZZ210,"A","")),1,0),0)))</f>
        <v>0</v>
      </c>
      <c r="AA210" t="str">
        <f t="shared" ref="AA210" si="309">CONCATENATE($Y210*2-1,"B")</f>
        <v>7B</v>
      </c>
      <c r="AB210" t="str">
        <f t="shared" ref="AB210" si="310">CONCATENATE($Y210*2,"B")</f>
        <v>8B</v>
      </c>
      <c r="AL210" t="s">
        <v>137</v>
      </c>
      <c r="AM210" t="s">
        <v>1269</v>
      </c>
      <c r="AO210" t="s">
        <v>396</v>
      </c>
      <c r="JV210" s="27" t="str">
        <f>CONCATENATE("XT",U210)</f>
        <v>XT66</v>
      </c>
      <c r="JY210" t="str">
        <f>CONCATENATE(T210,"-AI",REPLACE($X210,1,3,""),"-",AA210)</f>
        <v>F0-AI25-7B</v>
      </c>
      <c r="JZ210" t="str">
        <f>CONCATENATE(T210,"-AI",REPLACE($X210,1,3,""),"-",AB210)</f>
        <v>F0-AI25-8B</v>
      </c>
      <c r="KE210">
        <v>7</v>
      </c>
      <c r="KF210">
        <f t="shared" ref="KF210:KG210" si="311">KE210+1</f>
        <v>8</v>
      </c>
      <c r="KG210">
        <f t="shared" si="311"/>
        <v>9</v>
      </c>
      <c r="KJ210" t="s">
        <v>548</v>
      </c>
      <c r="KK210" s="16" t="s">
        <v>548</v>
      </c>
      <c r="KO210" s="16"/>
      <c r="OA210" s="27"/>
      <c r="PP210" s="16"/>
    </row>
    <row r="211" spans="1:432" x14ac:dyDescent="0.25">
      <c r="A211" t="s">
        <v>1282</v>
      </c>
      <c r="B211" s="34" t="s">
        <v>1333</v>
      </c>
      <c r="C211" t="s">
        <v>1012</v>
      </c>
      <c r="P211" t="s">
        <v>1011</v>
      </c>
      <c r="T211" s="14" t="s">
        <v>554</v>
      </c>
      <c r="U211">
        <v>67</v>
      </c>
      <c r="W211" t="s">
        <v>1279</v>
      </c>
      <c r="X211" s="36" t="s">
        <v>1358</v>
      </c>
      <c r="Y211" s="45" cm="1">
        <f t="array" ref="Y211">IF(COUNTIFS($X$2:$X211,$X211)=1,"1",VALUE(SUBSTITUTE(INDEX(Y:Y,_xlfn.XMATCH($X211,$X$1:$X210,0,-1)),"A",""))+INDEX(Z:Z,_xlfn.XMATCH($X211,$X$1:$X210,0,-1))+1)</f>
        <v>5</v>
      </c>
      <c r="Z211" s="46" cm="1">
        <f t="array" ref="Z211">SUM(IF(ISNUMBER(FIND("TmAi",$BA$1:$ZZ$1)),IF(IFERROR(ISODD(SUBSTITUTE($BA211:$ZZ211,"A","")),FALSE),IF(ISODD(SUBSTITUTE($BA211:$ZZ211,"A","")),1,0),0)))</f>
        <v>1</v>
      </c>
      <c r="AA211" t="str">
        <f t="shared" ref="AA211" si="312">CONCATENATE($Y211*2-1,"A")</f>
        <v>9A</v>
      </c>
      <c r="AB211" t="str">
        <f t="shared" ref="AB211" si="313">CONCATENATE($Y211*2-1,"B")</f>
        <v>9B</v>
      </c>
      <c r="AL211" t="s">
        <v>137</v>
      </c>
      <c r="AN211" t="s">
        <v>1278</v>
      </c>
      <c r="AO211" t="s">
        <v>396</v>
      </c>
      <c r="OA211" s="25" t="str">
        <f>CONCATENATE("XT",$U211)</f>
        <v>XT67</v>
      </c>
      <c r="OB211" s="12" t="s">
        <v>1284</v>
      </c>
      <c r="OC211" s="12" t="s">
        <v>1318</v>
      </c>
      <c r="OD211" s="12"/>
      <c r="OE211" s="12"/>
      <c r="OF211" s="12" t="str">
        <f>CONCATENATE(REPLACE($AA211,LEN($AA211),1,"")+1,RIGHT($AA211))</f>
        <v>10A</v>
      </c>
      <c r="OG211" s="12" t="str">
        <f>CONCATENATE(REPLACE($AB211,LEN($AB211),1,"")+1,RIGHT($AB211))</f>
        <v>10B</v>
      </c>
      <c r="OH211" s="12" t="str">
        <f>CONCATENATE(REPLACE(OF211,LEN(OF211),1,"")+1,RIGHT(OF211))</f>
        <v>11A</v>
      </c>
      <c r="OI211" s="12" t="str">
        <f t="shared" ref="OI211:OK211" si="314">CONCATENATE(REPLACE(OG211,LEN(OG211),1,"")+1,RIGHT(OG211))</f>
        <v>11B</v>
      </c>
      <c r="OJ211" s="12" t="str">
        <f t="shared" si="314"/>
        <v>12A</v>
      </c>
      <c r="OK211" s="12" t="str">
        <f t="shared" si="314"/>
        <v>12B</v>
      </c>
      <c r="OL211" s="12"/>
      <c r="OM211" s="12"/>
      <c r="ON211" s="12"/>
      <c r="OO211" s="12"/>
      <c r="OP211" s="12" t="str">
        <f>CONCATENATE($T211,"-AI",REPLACE($X211,1,3,""),"-",$AA211)</f>
        <v>F0-AI36-9A</v>
      </c>
      <c r="OQ211" s="12" t="str">
        <f>CONCATENATE($T211,"-AI",REPLACE($X211,1,3,""),"-",$AB211)</f>
        <v>F0-AI36-9B</v>
      </c>
      <c r="OR211" s="12" t="str">
        <f t="shared" ref="OR211:OW211" si="315">CONCATENATE($T211,"-AI",REPLACE($X211,1,3,""),"-",OF211)</f>
        <v>F0-AI36-10A</v>
      </c>
      <c r="OS211" s="12" t="str">
        <f t="shared" si="315"/>
        <v>F0-AI36-10B</v>
      </c>
      <c r="OT211" s="12" t="str">
        <f t="shared" si="315"/>
        <v>F0-AI36-11A</v>
      </c>
      <c r="OU211" s="12" t="str">
        <f t="shared" si="315"/>
        <v>F0-AI36-11B</v>
      </c>
      <c r="OV211" s="12" t="str">
        <f t="shared" si="315"/>
        <v>F0-AI36-12A</v>
      </c>
      <c r="OW211" s="12" t="str">
        <f t="shared" si="315"/>
        <v>F0-AI36-12B</v>
      </c>
      <c r="OX211" s="12"/>
      <c r="OY211" s="12"/>
      <c r="OZ211" s="12"/>
      <c r="PA211" s="12"/>
      <c r="PB211" s="12" cm="1">
        <f t="array" ref="PB211">IF(COUNTIFS($U$2:$U211,$U211)=1,1,INDEX(PB:PB,_xlfn.XMATCH($U211,$U$1:EB210,0,-1))+COUNT(PB210:PG210))</f>
        <v>1</v>
      </c>
      <c r="PC211" s="12">
        <f t="shared" ref="PC211:PD211" si="316">PB211+1</f>
        <v>2</v>
      </c>
      <c r="PD211" s="12">
        <f t="shared" si="316"/>
        <v>3</v>
      </c>
      <c r="PE211" s="12">
        <f>PD211+1</f>
        <v>4</v>
      </c>
      <c r="PF211" s="12">
        <f t="shared" ref="PF211:PG211" si="317">PE211+1</f>
        <v>5</v>
      </c>
      <c r="PG211" s="12">
        <f t="shared" si="317"/>
        <v>6</v>
      </c>
      <c r="PH211" s="12"/>
      <c r="PI211" s="12"/>
      <c r="PJ211" s="12"/>
      <c r="PK211" s="12">
        <v>1</v>
      </c>
      <c r="PL211" s="12">
        <v>2</v>
      </c>
      <c r="PM211" s="12">
        <v>3</v>
      </c>
      <c r="PN211" s="12">
        <v>4</v>
      </c>
      <c r="PO211" s="12">
        <v>5</v>
      </c>
      <c r="PP211" s="13">
        <v>6</v>
      </c>
    </row>
    <row r="212" spans="1:432" ht="15.75" thickBot="1" x14ac:dyDescent="0.3">
      <c r="A212" t="s">
        <v>1283</v>
      </c>
      <c r="B212" s="33" t="s">
        <v>1338</v>
      </c>
      <c r="P212" t="s">
        <v>482</v>
      </c>
      <c r="T212" s="14" t="s">
        <v>554</v>
      </c>
      <c r="U212">
        <v>67</v>
      </c>
      <c r="W212" t="s">
        <v>1280</v>
      </c>
      <c r="X212" s="36" t="s">
        <v>1257</v>
      </c>
      <c r="Y212" s="45" cm="1">
        <f t="array" ref="Y212">IF(COUNTIFS($X$2:$X212,$X212)=1,"1",VALUE(SUBSTITUTE(INDEX(Y:Y,_xlfn.XMATCH($X212,$X$1:$X211,0,-1)),"A",""))+INDEX(Z:Z,_xlfn.XMATCH($X212,$X$1:$X211,0,-1))+1)</f>
        <v>5</v>
      </c>
      <c r="Z212" s="46" cm="1">
        <f t="array" ref="Z212">SUM(IF(ISNUMBER(FIND("TmAi",$BA$1:$ZZ$1)),IF(IFERROR(ISODD(SUBSTITUTE($BA212:$ZZ212,"A","")),FALSE),IF(ISODD(SUBSTITUTE($BA212:$ZZ212,"A","")),1,0),0)))</f>
        <v>0</v>
      </c>
      <c r="AA212" t="str">
        <f t="shared" ref="AA212" si="318">CONCATENATE($Y212*2-1,"B")</f>
        <v>9B</v>
      </c>
      <c r="AB212" t="str">
        <f t="shared" ref="AB212" si="319">CONCATENATE($Y212*2,"B")</f>
        <v>10B</v>
      </c>
      <c r="AL212" t="s">
        <v>137</v>
      </c>
      <c r="AM212" t="s">
        <v>1269</v>
      </c>
      <c r="AO212" t="s">
        <v>396</v>
      </c>
      <c r="JV212" s="27" t="str">
        <f>CONCATENATE("XT",U212)</f>
        <v>XT67</v>
      </c>
      <c r="JY212" t="str">
        <f>CONCATENATE(T212,"-AI",REPLACE($X212,1,3,""),"-",AA212)</f>
        <v>F0-AI25-9B</v>
      </c>
      <c r="JZ212" t="str">
        <f>CONCATENATE(T212,"-AI",REPLACE($X212,1,3,""),"-",AB212)</f>
        <v>F0-AI25-10B</v>
      </c>
      <c r="KE212">
        <v>7</v>
      </c>
      <c r="KF212">
        <f t="shared" ref="KF212:KG212" si="320">KE212+1</f>
        <v>8</v>
      </c>
      <c r="KG212">
        <f t="shared" si="320"/>
        <v>9</v>
      </c>
      <c r="KJ212" t="s">
        <v>548</v>
      </c>
      <c r="KK212" s="16" t="s">
        <v>548</v>
      </c>
      <c r="KO212" s="16"/>
      <c r="OA212" s="27"/>
      <c r="PP212" s="16"/>
    </row>
    <row r="213" spans="1:432" x14ac:dyDescent="0.25">
      <c r="A213" t="s">
        <v>1293</v>
      </c>
      <c r="B213" s="34" t="s">
        <v>1334</v>
      </c>
      <c r="C213" t="s">
        <v>1012</v>
      </c>
      <c r="P213" t="s">
        <v>1011</v>
      </c>
      <c r="T213" s="14" t="s">
        <v>554</v>
      </c>
      <c r="U213">
        <v>68</v>
      </c>
      <c r="W213" t="s">
        <v>1285</v>
      </c>
      <c r="X213" s="36" t="s">
        <v>1359</v>
      </c>
      <c r="Y213" s="45" t="str" cm="1">
        <f t="array" ref="Y213">IF(COUNTIFS($X$2:$X213,$X213)=1,"1",VALUE(SUBSTITUTE(INDEX(Y:Y,_xlfn.XMATCH($X213,$X$1:$X212,0,-1)),"A",""))+INDEX(Z:Z,_xlfn.XMATCH($X213,$X$1:$X212,0,-1))+1)</f>
        <v>1</v>
      </c>
      <c r="Z213" s="46" cm="1">
        <f t="array" ref="Z213">SUM(IF(ISNUMBER(FIND("TmAi",$BA$1:$ZZ$1)),IF(IFERROR(ISODD(SUBSTITUTE($BA213:$ZZ213,"A","")),FALSE),IF(ISODD(SUBSTITUTE($BA213:$ZZ213,"A","")),1,0),0)))</f>
        <v>1</v>
      </c>
      <c r="AA213" t="str">
        <f t="shared" ref="AA213" si="321">CONCATENATE($Y213*2-1,"A")</f>
        <v>1A</v>
      </c>
      <c r="AB213" t="str">
        <f t="shared" ref="AB213" si="322">CONCATENATE($Y213*2-1,"B")</f>
        <v>1B</v>
      </c>
      <c r="AL213" t="s">
        <v>137</v>
      </c>
      <c r="AN213" t="s">
        <v>1290</v>
      </c>
      <c r="AO213" t="s">
        <v>396</v>
      </c>
      <c r="OA213" s="25" t="str">
        <f>CONCATENATE("XT",$U213)</f>
        <v>XT68</v>
      </c>
      <c r="OB213" s="12" t="s">
        <v>1297</v>
      </c>
      <c r="OC213" s="12" t="s">
        <v>1314</v>
      </c>
      <c r="OD213" s="12"/>
      <c r="OE213" s="12"/>
      <c r="OF213" s="12" t="str">
        <f>CONCATENATE(REPLACE($AA213,LEN($AA213),1,"")+1,RIGHT($AA213))</f>
        <v>2A</v>
      </c>
      <c r="OG213" s="12" t="str">
        <f>CONCATENATE(REPLACE($AB213,LEN($AB213),1,"")+1,RIGHT($AB213))</f>
        <v>2B</v>
      </c>
      <c r="OH213" s="12" t="str">
        <f>CONCATENATE(REPLACE(OF213,LEN(OF213),1,"")+1,RIGHT(OF213))</f>
        <v>3A</v>
      </c>
      <c r="OI213" s="12" t="str">
        <f t="shared" ref="OI213:OK213" si="323">CONCATENATE(REPLACE(OG213,LEN(OG213),1,"")+1,RIGHT(OG213))</f>
        <v>3B</v>
      </c>
      <c r="OJ213" s="12" t="str">
        <f t="shared" si="323"/>
        <v>4A</v>
      </c>
      <c r="OK213" s="12" t="str">
        <f t="shared" si="323"/>
        <v>4B</v>
      </c>
      <c r="OL213" s="12"/>
      <c r="OM213" s="12"/>
      <c r="ON213" s="12"/>
      <c r="OO213" s="12"/>
      <c r="OP213" s="12" t="str">
        <f>CONCATENATE($T213,"-AI",REPLACE($X213,1,3,""),"-",$AA213)</f>
        <v>F0-AI37-1A</v>
      </c>
      <c r="OQ213" s="12" t="str">
        <f>CONCATENATE($T213,"-AI",REPLACE($X213,1,3,""),"-",$AB213)</f>
        <v>F0-AI37-1B</v>
      </c>
      <c r="OR213" s="12" t="str">
        <f t="shared" ref="OR213:OW213" si="324">CONCATENATE($T213,"-AI",REPLACE($X213,1,3,""),"-",OF213)</f>
        <v>F0-AI37-2A</v>
      </c>
      <c r="OS213" s="12" t="str">
        <f t="shared" si="324"/>
        <v>F0-AI37-2B</v>
      </c>
      <c r="OT213" s="12" t="str">
        <f t="shared" si="324"/>
        <v>F0-AI37-3A</v>
      </c>
      <c r="OU213" s="12" t="str">
        <f t="shared" si="324"/>
        <v>F0-AI37-3B</v>
      </c>
      <c r="OV213" s="12" t="str">
        <f t="shared" si="324"/>
        <v>F0-AI37-4A</v>
      </c>
      <c r="OW213" s="12" t="str">
        <f t="shared" si="324"/>
        <v>F0-AI37-4B</v>
      </c>
      <c r="OX213" s="12"/>
      <c r="OY213" s="12"/>
      <c r="OZ213" s="12"/>
      <c r="PA213" s="12"/>
      <c r="PB213" s="12" cm="1">
        <f t="array" ref="PB213">IF(COUNTIFS($U$2:$U213,$U213)=1,1,INDEX(PB:PB,_xlfn.XMATCH($U213,$U$1:EB212,0,-1))+COUNT(PB212:PG212))</f>
        <v>1</v>
      </c>
      <c r="PC213" s="12">
        <f t="shared" ref="PC213:PD213" si="325">PB213+1</f>
        <v>2</v>
      </c>
      <c r="PD213" s="12">
        <f t="shared" si="325"/>
        <v>3</v>
      </c>
      <c r="PE213" s="12">
        <f>PD213+1</f>
        <v>4</v>
      </c>
      <c r="PF213" s="12">
        <f t="shared" ref="PF213:PG213" si="326">PE213+1</f>
        <v>5</v>
      </c>
      <c r="PG213" s="12">
        <f t="shared" si="326"/>
        <v>6</v>
      </c>
      <c r="PH213" s="12"/>
      <c r="PI213" s="12"/>
      <c r="PJ213" s="12"/>
      <c r="PK213" s="12">
        <v>1</v>
      </c>
      <c r="PL213" s="12">
        <v>2</v>
      </c>
      <c r="PM213" s="12">
        <v>3</v>
      </c>
      <c r="PN213" s="12">
        <v>4</v>
      </c>
      <c r="PO213" s="12">
        <v>5</v>
      </c>
      <c r="PP213" s="13">
        <v>6</v>
      </c>
    </row>
    <row r="214" spans="1:432" ht="15.75" thickBot="1" x14ac:dyDescent="0.3">
      <c r="A214" t="s">
        <v>1294</v>
      </c>
      <c r="B214" s="33" t="s">
        <v>1336</v>
      </c>
      <c r="P214" t="s">
        <v>482</v>
      </c>
      <c r="T214" s="14" t="s">
        <v>554</v>
      </c>
      <c r="U214">
        <v>68</v>
      </c>
      <c r="W214" t="s">
        <v>1286</v>
      </c>
      <c r="X214" s="36" t="s">
        <v>1257</v>
      </c>
      <c r="Y214" s="45" cm="1">
        <f t="array" ref="Y214">IF(COUNTIFS($X$2:$X214,$X214)=1,"1",VALUE(SUBSTITUTE(INDEX(Y:Y,_xlfn.XMATCH($X214,$X$1:$X213,0,-1)),"A",""))+INDEX(Z:Z,_xlfn.XMATCH($X214,$X$1:$X213,0,-1))+1)</f>
        <v>6</v>
      </c>
      <c r="Z214" s="46" cm="1">
        <f t="array" ref="Z214">SUM(IF(ISNUMBER(FIND("TmAi",$BA$1:$ZZ$1)),IF(IFERROR(ISODD(SUBSTITUTE($BA214:$ZZ214,"A","")),FALSE),IF(ISODD(SUBSTITUTE($BA214:$ZZ214,"A","")),1,0),0)))</f>
        <v>0</v>
      </c>
      <c r="AA214" t="str">
        <f t="shared" ref="AA214" si="327">CONCATENATE($Y214*2-1,"B")</f>
        <v>11B</v>
      </c>
      <c r="AB214" t="str">
        <f t="shared" ref="AB214" si="328">CONCATENATE($Y214*2,"B")</f>
        <v>12B</v>
      </c>
      <c r="AL214" t="s">
        <v>137</v>
      </c>
      <c r="AM214" t="s">
        <v>1292</v>
      </c>
      <c r="AO214" t="s">
        <v>396</v>
      </c>
      <c r="JV214" s="27" t="str">
        <f>CONCATENATE("XT",U214)</f>
        <v>XT68</v>
      </c>
      <c r="JY214" t="str">
        <f>CONCATENATE(T214,"-AI",REPLACE($X214,1,3,""),"-",AA214)</f>
        <v>F0-AI25-11B</v>
      </c>
      <c r="JZ214" t="str">
        <f>CONCATENATE(T214,"-AI",REPLACE($X214,1,3,""),"-",AB214)</f>
        <v>F0-AI25-12B</v>
      </c>
      <c r="KE214">
        <v>7</v>
      </c>
      <c r="KF214">
        <f t="shared" ref="KF214:KG214" si="329">KE214+1</f>
        <v>8</v>
      </c>
      <c r="KG214">
        <f t="shared" si="329"/>
        <v>9</v>
      </c>
      <c r="KJ214" t="s">
        <v>548</v>
      </c>
      <c r="KK214" s="16" t="s">
        <v>548</v>
      </c>
      <c r="KO214" s="16"/>
      <c r="OA214" s="27"/>
      <c r="PP214" s="16"/>
    </row>
    <row r="215" spans="1:432" x14ac:dyDescent="0.25">
      <c r="A215" t="s">
        <v>1295</v>
      </c>
      <c r="B215" s="34" t="s">
        <v>1335</v>
      </c>
      <c r="C215" t="s">
        <v>1012</v>
      </c>
      <c r="P215" t="s">
        <v>1011</v>
      </c>
      <c r="T215" s="14" t="s">
        <v>554</v>
      </c>
      <c r="U215">
        <v>69</v>
      </c>
      <c r="W215" t="s">
        <v>1287</v>
      </c>
      <c r="X215" s="36" t="s">
        <v>1359</v>
      </c>
      <c r="Y215" s="45" cm="1">
        <f t="array" ref="Y215">IF(COUNTIFS($X$2:$X215,$X215)=1,"1",VALUE(SUBSTITUTE(INDEX(Y:Y,_xlfn.XMATCH($X215,$X$1:$X214,0,-1)),"A",""))+INDEX(Z:Z,_xlfn.XMATCH($X215,$X$1:$X214,0,-1))+1)</f>
        <v>3</v>
      </c>
      <c r="Z215" s="46" cm="1">
        <f t="array" ref="Z215">SUM(IF(ISNUMBER(FIND("TmAi",$BA$1:$ZZ$1)),IF(IFERROR(ISODD(SUBSTITUTE($BA215:$ZZ215,"A","")),FALSE),IF(ISODD(SUBSTITUTE($BA215:$ZZ215,"A","")),1,0),0)))</f>
        <v>1</v>
      </c>
      <c r="AA215" t="str">
        <f t="shared" ref="AA215" si="330">CONCATENATE($Y215*2-1,"A")</f>
        <v>5A</v>
      </c>
      <c r="AB215" t="str">
        <f t="shared" ref="AB215" si="331">CONCATENATE($Y215*2-1,"B")</f>
        <v>5B</v>
      </c>
      <c r="AL215" t="s">
        <v>137</v>
      </c>
      <c r="AN215" t="s">
        <v>1291</v>
      </c>
      <c r="AO215" t="s">
        <v>396</v>
      </c>
      <c r="OA215" s="25" t="str">
        <f>CONCATENATE("XT",$U215)</f>
        <v>XT69</v>
      </c>
      <c r="OB215" s="12" t="s">
        <v>1298</v>
      </c>
      <c r="OC215" s="12" t="s">
        <v>1315</v>
      </c>
      <c r="OD215" s="12"/>
      <c r="OE215" s="12"/>
      <c r="OF215" s="12" t="str">
        <f>CONCATENATE(REPLACE($AA215,LEN($AA215),1,"")+1,RIGHT($AA215))</f>
        <v>6A</v>
      </c>
      <c r="OG215" s="12" t="str">
        <f>CONCATENATE(REPLACE($AB215,LEN($AB215),1,"")+1,RIGHT($AB215))</f>
        <v>6B</v>
      </c>
      <c r="OH215" s="12" t="str">
        <f>CONCATENATE(REPLACE(OF215,LEN(OF215),1,"")+1,RIGHT(OF215))</f>
        <v>7A</v>
      </c>
      <c r="OI215" s="12" t="str">
        <f t="shared" ref="OI215:OK215" si="332">CONCATENATE(REPLACE(OG215,LEN(OG215),1,"")+1,RIGHT(OG215))</f>
        <v>7B</v>
      </c>
      <c r="OJ215" s="12" t="str">
        <f t="shared" si="332"/>
        <v>8A</v>
      </c>
      <c r="OK215" s="12" t="str">
        <f t="shared" si="332"/>
        <v>8B</v>
      </c>
      <c r="OL215" s="12"/>
      <c r="OM215" s="12"/>
      <c r="ON215" s="12"/>
      <c r="OO215" s="12"/>
      <c r="OP215" s="12" t="str">
        <f>CONCATENATE($T215,"-AI",REPLACE($X215,1,3,""),"-",$AA215)</f>
        <v>F0-AI37-5A</v>
      </c>
      <c r="OQ215" s="12" t="str">
        <f>CONCATENATE($T215,"-AI",REPLACE($X215,1,3,""),"-",$AB215)</f>
        <v>F0-AI37-5B</v>
      </c>
      <c r="OR215" s="12" t="str">
        <f t="shared" ref="OR215:OW215" si="333">CONCATENATE($T215,"-AI",REPLACE($X215,1,3,""),"-",OF215)</f>
        <v>F0-AI37-6A</v>
      </c>
      <c r="OS215" s="12" t="str">
        <f t="shared" si="333"/>
        <v>F0-AI37-6B</v>
      </c>
      <c r="OT215" s="12" t="str">
        <f t="shared" si="333"/>
        <v>F0-AI37-7A</v>
      </c>
      <c r="OU215" s="12" t="str">
        <f t="shared" si="333"/>
        <v>F0-AI37-7B</v>
      </c>
      <c r="OV215" s="12" t="str">
        <f t="shared" si="333"/>
        <v>F0-AI37-8A</v>
      </c>
      <c r="OW215" s="12" t="str">
        <f t="shared" si="333"/>
        <v>F0-AI37-8B</v>
      </c>
      <c r="OX215" s="12"/>
      <c r="OY215" s="12"/>
      <c r="OZ215" s="12"/>
      <c r="PA215" s="12"/>
      <c r="PB215" s="12" cm="1">
        <f t="array" ref="PB215">IF(COUNTIFS($U$2:$U215,$U215)=1,1,INDEX(PB:PB,_xlfn.XMATCH($U215,$U$1:EB214,0,-1))+COUNT(PB214:PG214))</f>
        <v>1</v>
      </c>
      <c r="PC215" s="12">
        <f t="shared" ref="PC215:PD215" si="334">PB215+1</f>
        <v>2</v>
      </c>
      <c r="PD215" s="12">
        <f t="shared" si="334"/>
        <v>3</v>
      </c>
      <c r="PE215" s="12">
        <f>PD215+1</f>
        <v>4</v>
      </c>
      <c r="PF215" s="12">
        <f t="shared" ref="PF215:PG215" si="335">PE215+1</f>
        <v>5</v>
      </c>
      <c r="PG215" s="12">
        <f t="shared" si="335"/>
        <v>6</v>
      </c>
      <c r="PH215" s="12"/>
      <c r="PI215" s="12"/>
      <c r="PJ215" s="12"/>
      <c r="PK215" s="12">
        <v>1</v>
      </c>
      <c r="PL215" s="12">
        <v>2</v>
      </c>
      <c r="PM215" s="12">
        <v>3</v>
      </c>
      <c r="PN215" s="12">
        <v>4</v>
      </c>
      <c r="PO215" s="12">
        <v>5</v>
      </c>
      <c r="PP215" s="13">
        <v>6</v>
      </c>
    </row>
    <row r="216" spans="1:432" x14ac:dyDescent="0.25">
      <c r="A216" t="s">
        <v>1296</v>
      </c>
      <c r="B216" s="33" t="s">
        <v>1337</v>
      </c>
      <c r="P216" t="s">
        <v>482</v>
      </c>
      <c r="T216" s="14" t="s">
        <v>554</v>
      </c>
      <c r="U216">
        <v>69</v>
      </c>
      <c r="W216" t="s">
        <v>1288</v>
      </c>
      <c r="X216" s="36" t="s">
        <v>1257</v>
      </c>
      <c r="Y216" s="45" cm="1">
        <f t="array" ref="Y216">IF(COUNTIFS($X$2:$X216,$X216)=1,"1",VALUE(SUBSTITUTE(INDEX(Y:Y,_xlfn.XMATCH($X216,$X$1:$X215,0,-1)),"A",""))+INDEX(Z:Z,_xlfn.XMATCH($X216,$X$1:$X215,0,-1))+1)</f>
        <v>7</v>
      </c>
      <c r="Z216" s="46" cm="1">
        <f t="array" ref="Z216">SUM(IF(ISNUMBER(FIND("TmAi",$BA$1:$ZZ$1)),IF(IFERROR(ISODD(SUBSTITUTE($BA216:$ZZ216,"A","")),FALSE),IF(ISODD(SUBSTITUTE($BA216:$ZZ216,"A","")),1,0),0)))</f>
        <v>0</v>
      </c>
      <c r="AA216" t="str">
        <f t="shared" ref="AA216:AA220" si="336">CONCATENATE($Y216*2-1,"B")</f>
        <v>13B</v>
      </c>
      <c r="AB216" t="str">
        <f t="shared" ref="AB216:AB220" si="337">CONCATENATE($Y216*2,"B")</f>
        <v>14B</v>
      </c>
      <c r="AL216" t="s">
        <v>137</v>
      </c>
      <c r="AM216" t="s">
        <v>1292</v>
      </c>
      <c r="AO216" t="s">
        <v>396</v>
      </c>
      <c r="JV216" s="27" t="str">
        <f t="shared" ref="JV216:JV224" si="338">CONCATENATE("XT",U216)</f>
        <v>XT69</v>
      </c>
      <c r="JY216" t="str">
        <f t="shared" ref="JY216:JY224" si="339">CONCATENATE(T216,"-AI",REPLACE($X216,1,3,""),"-",AA216)</f>
        <v>F0-AI25-13B</v>
      </c>
      <c r="JZ216" t="str">
        <f t="shared" ref="JZ216:JZ224" si="340">CONCATENATE(T216,"-AI",REPLACE($X216,1,3,""),"-",AB216)</f>
        <v>F0-AI25-14B</v>
      </c>
      <c r="KE216">
        <v>7</v>
      </c>
      <c r="KF216">
        <f t="shared" ref="KF216:KH224" si="341">KE216+1</f>
        <v>8</v>
      </c>
      <c r="KG216">
        <f t="shared" si="341"/>
        <v>9</v>
      </c>
      <c r="KJ216" t="s">
        <v>548</v>
      </c>
      <c r="KK216" s="16" t="s">
        <v>548</v>
      </c>
      <c r="KO216" s="16"/>
      <c r="OA216" s="27"/>
      <c r="PP216" s="16"/>
    </row>
    <row r="217" spans="1:432" x14ac:dyDescent="0.25">
      <c r="A217" t="s">
        <v>1303</v>
      </c>
      <c r="B217" s="33" t="s">
        <v>1343</v>
      </c>
      <c r="P217" t="s">
        <v>482</v>
      </c>
      <c r="T217" s="14" t="s">
        <v>554</v>
      </c>
      <c r="U217">
        <v>70</v>
      </c>
      <c r="W217" t="s">
        <v>1299</v>
      </c>
      <c r="X217" t="str">
        <f>IF(COUNTIF(X$1:X216,X216)&gt;3,REPLACE(X216,LEN(X216),1,VALUE(RIGHT(X216,1))+1),X216)</f>
        <v>A3.26</v>
      </c>
      <c r="Y217" s="43" t="str" cm="1">
        <f t="array" ref="Y217">IF(COUNTIFS($X$2:$X217,$X217)=1,"1",VALUE(SUBSTITUTE(INDEX(Y:Y,_xlfn.XMATCH($X217,$X$1:$X216,0,-1)),"A",""))+INDEX(Z:Z,_xlfn.XMATCH($X217,$X$1:$X216,0,-1))+1)</f>
        <v>1</v>
      </c>
      <c r="Z217" s="46" cm="1">
        <f t="array" ref="Z217">SUM(IF(ISNUMBER(FIND("TmAi",$BA$1:$ZZ$1)),IF(IFERROR(ISODD(SUBSTITUTE($BA217:$ZZ217,"A","")),FALSE),IF(ISODD(SUBSTITUTE($BA217:$ZZ217,"A","")),1,0),0)))</f>
        <v>0</v>
      </c>
      <c r="AA217" t="str">
        <f t="shared" si="336"/>
        <v>1B</v>
      </c>
      <c r="AB217" t="str">
        <f t="shared" si="337"/>
        <v>2B</v>
      </c>
      <c r="AL217" t="s">
        <v>137</v>
      </c>
      <c r="AM217" t="s">
        <v>1307</v>
      </c>
      <c r="AO217" t="s">
        <v>396</v>
      </c>
      <c r="JV217" s="27" t="str">
        <f t="shared" si="338"/>
        <v>XT70</v>
      </c>
      <c r="JY217" t="str">
        <f t="shared" si="339"/>
        <v>F0-AI26-1B</v>
      </c>
      <c r="JZ217" t="str">
        <f t="shared" si="340"/>
        <v>F0-AI26-2B</v>
      </c>
      <c r="KE217">
        <v>1</v>
      </c>
      <c r="KF217">
        <f t="shared" si="341"/>
        <v>2</v>
      </c>
      <c r="KG217">
        <f t="shared" si="341"/>
        <v>3</v>
      </c>
      <c r="KJ217" t="s">
        <v>548</v>
      </c>
      <c r="KK217" s="16" t="s">
        <v>548</v>
      </c>
      <c r="KO217" s="16"/>
      <c r="OA217" s="27"/>
      <c r="PP217" s="16"/>
    </row>
    <row r="218" spans="1:432" x14ac:dyDescent="0.25">
      <c r="A218" t="s">
        <v>1304</v>
      </c>
      <c r="B218" s="33" t="s">
        <v>1344</v>
      </c>
      <c r="P218" t="s">
        <v>482</v>
      </c>
      <c r="T218" s="14" t="s">
        <v>554</v>
      </c>
      <c r="U218">
        <v>70</v>
      </c>
      <c r="W218" t="s">
        <v>1305</v>
      </c>
      <c r="X218" t="str">
        <f>IF(COUNTIF(X$1:X217,X217)&gt;3,REPLACE(X217,LEN(X217),1,VALUE(RIGHT(X217,1))+1),X217)</f>
        <v>A3.26</v>
      </c>
      <c r="Y218" s="43" cm="1">
        <f t="array" ref="Y218">IF(COUNTIFS($X$2:$X218,$X218)=1,"1",VALUE(SUBSTITUTE(INDEX(Y:Y,_xlfn.XMATCH($X218,$X$1:$X217,0,-1)),"A",""))+INDEX(Z:Z,_xlfn.XMATCH($X218,$X$1:$X217,0,-1))+1)</f>
        <v>2</v>
      </c>
      <c r="Z218" s="46" cm="1">
        <f t="array" ref="Z218">SUM(IF(ISNUMBER(FIND("TmAi",$BA$1:$ZZ$1)),IF(IFERROR(ISODD(SUBSTITUTE($BA218:$ZZ218,"A","")),FALSE),IF(ISODD(SUBSTITUTE($BA218:$ZZ218,"A","")),1,0),0)))</f>
        <v>0</v>
      </c>
      <c r="AA218" t="str">
        <f t="shared" si="336"/>
        <v>3B</v>
      </c>
      <c r="AB218" t="str">
        <f t="shared" si="337"/>
        <v>4B</v>
      </c>
      <c r="AL218" t="s">
        <v>137</v>
      </c>
      <c r="AM218" t="s">
        <v>1307</v>
      </c>
      <c r="AO218" t="s">
        <v>396</v>
      </c>
      <c r="JV218" s="27" t="str">
        <f t="shared" si="338"/>
        <v>XT70</v>
      </c>
      <c r="JY218" t="str">
        <f t="shared" si="339"/>
        <v>F0-AI26-3B</v>
      </c>
      <c r="JZ218" t="str">
        <f t="shared" si="340"/>
        <v>F0-AI26-4B</v>
      </c>
      <c r="KE218" cm="1">
        <f t="array" ref="KE218">IF(COUNTIFS($U$2:$U218,$U218)=1,1,INDEX(KE:KE,_xlfn.XMATCH(U218,U$1:U217,0,-1))+COUNT(KE217:KI217))</f>
        <v>4</v>
      </c>
      <c r="KF218">
        <f t="shared" si="341"/>
        <v>5</v>
      </c>
      <c r="KG218">
        <f t="shared" si="341"/>
        <v>6</v>
      </c>
      <c r="KJ218" t="s">
        <v>548</v>
      </c>
      <c r="KK218" s="16" t="s">
        <v>548</v>
      </c>
      <c r="KO218" s="16"/>
      <c r="OA218" s="27"/>
      <c r="PP218" s="16"/>
    </row>
    <row r="219" spans="1:432" x14ac:dyDescent="0.25">
      <c r="A219" t="s">
        <v>1308</v>
      </c>
      <c r="B219" s="36" t="s">
        <v>1345</v>
      </c>
      <c r="P219" t="s">
        <v>482</v>
      </c>
      <c r="T219" s="14" t="s">
        <v>554</v>
      </c>
      <c r="U219">
        <v>70</v>
      </c>
      <c r="W219" t="s">
        <v>1301</v>
      </c>
      <c r="X219" t="str">
        <f>IF(COUNTIF(X$1:X218,X218)&gt;3,REPLACE(X218,LEN(X218),1,VALUE(RIGHT(X218,1))+1),X218)</f>
        <v>A3.26</v>
      </c>
      <c r="Y219" s="43" cm="1">
        <f t="array" ref="Y219">IF(COUNTIFS($X$2:$X219,$X219)=1,"1",VALUE(SUBSTITUTE(INDEX(Y:Y,_xlfn.XMATCH($X219,$X$1:$X218,0,-1)),"A",""))+INDEX(Z:Z,_xlfn.XMATCH($X219,$X$1:$X218,0,-1))+1)</f>
        <v>3</v>
      </c>
      <c r="Z219" s="46" cm="1">
        <f t="array" ref="Z219">SUM(IF(ISNUMBER(FIND("TmAi",$BA$1:$ZZ$1)),IF(IFERROR(ISODD(SUBSTITUTE($BA219:$ZZ219,"A","")),FALSE),IF(ISODD(SUBSTITUTE($BA219:$ZZ219,"A","")),1,0),0)))</f>
        <v>0</v>
      </c>
      <c r="AA219" t="str">
        <f t="shared" si="336"/>
        <v>5B</v>
      </c>
      <c r="AB219" t="str">
        <f t="shared" si="337"/>
        <v>6B</v>
      </c>
      <c r="AL219" t="s">
        <v>137</v>
      </c>
      <c r="AM219" t="s">
        <v>1302</v>
      </c>
      <c r="AO219" t="s">
        <v>396</v>
      </c>
      <c r="JV219" s="27" t="str">
        <f t="shared" si="338"/>
        <v>XT70</v>
      </c>
      <c r="JY219" t="str">
        <f t="shared" si="339"/>
        <v>F0-AI26-5B</v>
      </c>
      <c r="JZ219" t="str">
        <f t="shared" si="340"/>
        <v>F0-AI26-6B</v>
      </c>
      <c r="KE219" cm="1">
        <f t="array" ref="KE219">IF(COUNTIFS($U$2:$U219,$U219)=1,1,INDEX(KE:KE,_xlfn.XMATCH(U219,U$1:U218,0,-1))+COUNT(KE218:KI218))</f>
        <v>7</v>
      </c>
      <c r="KF219">
        <f t="shared" si="341"/>
        <v>8</v>
      </c>
      <c r="KG219">
        <f t="shared" si="341"/>
        <v>9</v>
      </c>
      <c r="KJ219" t="s">
        <v>548</v>
      </c>
      <c r="KK219" s="16" t="s">
        <v>548</v>
      </c>
      <c r="KO219" s="16"/>
      <c r="OA219" s="27"/>
      <c r="PP219" s="16"/>
    </row>
    <row r="220" spans="1:432" x14ac:dyDescent="0.25">
      <c r="A220" t="s">
        <v>1309</v>
      </c>
      <c r="B220" s="36" t="s">
        <v>1346</v>
      </c>
      <c r="P220" t="s">
        <v>482</v>
      </c>
      <c r="T220" s="14" t="s">
        <v>554</v>
      </c>
      <c r="U220">
        <v>70</v>
      </c>
      <c r="W220" t="s">
        <v>1306</v>
      </c>
      <c r="X220" s="33" t="str">
        <f>IF(COUNTIF(X$1:X219,X219)&gt;3,REPLACE(X219,LEN(X219),1,VALUE(RIGHT(X219,1))+1),X219)</f>
        <v>A3.26</v>
      </c>
      <c r="Y220" s="45" cm="1">
        <f t="array" ref="Y220">IF(COUNTIFS($X$2:$X220,$X220)=1,"1",VALUE(SUBSTITUTE(INDEX(Y:Y,_xlfn.XMATCH($X220,$X$1:$X219,0,-1)),"A",""))+INDEX(Z:Z,_xlfn.XMATCH($X220,$X$1:$X219,0,-1))+1)</f>
        <v>4</v>
      </c>
      <c r="Z220" s="46" cm="1">
        <f t="array" ref="Z220">SUM(IF(ISNUMBER(FIND("TmAi",$BA$1:$ZZ$1)),IF(IFERROR(ISODD(SUBSTITUTE($BA220:$ZZ220,"A","")),FALSE),IF(ISODD(SUBSTITUTE($BA220:$ZZ220,"A","")),1,0),0)))</f>
        <v>0</v>
      </c>
      <c r="AA220" t="str">
        <f t="shared" si="336"/>
        <v>7B</v>
      </c>
      <c r="AB220" t="str">
        <f t="shared" si="337"/>
        <v>8B</v>
      </c>
      <c r="AL220" t="s">
        <v>137</v>
      </c>
      <c r="AM220" t="s">
        <v>1302</v>
      </c>
      <c r="AO220" t="s">
        <v>396</v>
      </c>
      <c r="JV220" s="27" t="str">
        <f t="shared" si="338"/>
        <v>XT70</v>
      </c>
      <c r="JY220" t="str">
        <f t="shared" si="339"/>
        <v>F0-AI26-7B</v>
      </c>
      <c r="JZ220" t="str">
        <f t="shared" si="340"/>
        <v>F0-AI26-8B</v>
      </c>
      <c r="KE220" cm="1">
        <f t="array" ref="KE220">IF(COUNTIFS($U$2:$U220,$U220)=1,1,INDEX(KE:KE,_xlfn.XMATCH(U220,U$1:U219,0,-1))+COUNT(KE219:KI219))</f>
        <v>10</v>
      </c>
      <c r="KF220">
        <f t="shared" si="341"/>
        <v>11</v>
      </c>
      <c r="KG220">
        <f t="shared" si="341"/>
        <v>12</v>
      </c>
      <c r="KJ220" t="s">
        <v>548</v>
      </c>
      <c r="KK220" s="16" t="s">
        <v>548</v>
      </c>
      <c r="KO220" s="16"/>
      <c r="OA220" s="27"/>
      <c r="PP220" s="16"/>
    </row>
    <row r="221" spans="1:432" x14ac:dyDescent="0.25">
      <c r="A221" t="s">
        <v>1351</v>
      </c>
      <c r="B221" t="s">
        <v>1347</v>
      </c>
      <c r="C221" t="s">
        <v>1355</v>
      </c>
      <c r="P221" t="s">
        <v>1356</v>
      </c>
      <c r="T221" s="14" t="s">
        <v>554</v>
      </c>
      <c r="U221">
        <v>71</v>
      </c>
      <c r="V221" t="s">
        <v>1360</v>
      </c>
      <c r="X221" t="s">
        <v>1362</v>
      </c>
      <c r="Y221" s="43" t="str" cm="1">
        <f t="array" ref="Y221">IF(COUNTIFS($X$2:$X221,$X221)=1,"1",VALUE(SUBSTITUTE(INDEX(Y:Y,_xlfn.XMATCH($X221,$X$1:$X220,0,-1)),"A",""))+INDEX(Z:Z,_xlfn.XMATCH($X221,$X$1:$X220,0,-1))+1)</f>
        <v>1</v>
      </c>
      <c r="Z221" s="46" cm="1">
        <f t="array" ref="Z221">SUM(IF(ISNUMBER(FIND("TmAi",$BA$1:$ZZ$1)),IF(IFERROR(ISODD(SUBSTITUTE($BA221:$ZZ221,"A","")),FALSE),IF(ISODD(SUBSTITUTE($BA221:$ZZ221,"A","")),1,0),0)))</f>
        <v>0</v>
      </c>
      <c r="AA221" t="str">
        <f>CONCATENATE($Y221*2-1,"A")</f>
        <v>1A</v>
      </c>
      <c r="AB221" t="str">
        <f>CONCATENATE($Y221*2-1,"B")</f>
        <v>1B</v>
      </c>
      <c r="AL221" t="s">
        <v>137</v>
      </c>
      <c r="AO221" t="s">
        <v>396</v>
      </c>
      <c r="JV221" s="27" t="str">
        <f t="shared" si="338"/>
        <v>XT71</v>
      </c>
      <c r="JW221" t="str">
        <f t="shared" ref="JW221:JW222" si="342">REPLACE(AA221,1,1,LEFT(AA221,1)+1)</f>
        <v>2A</v>
      </c>
      <c r="JY221" t="str">
        <f t="shared" si="339"/>
        <v>F0-AI38-1A</v>
      </c>
      <c r="JZ221" t="str">
        <f t="shared" si="340"/>
        <v>F0-AI38-1B</v>
      </c>
      <c r="KA221" t="str">
        <f t="shared" ref="KA221:KB222" si="343">CONCATENATE($T221,"-AI",REPLACE($X221,1,3,""),"-",JW221)</f>
        <v>F0-AI38-2A</v>
      </c>
      <c r="KB221" t="str">
        <f t="shared" si="343"/>
        <v>F0-AI38-</v>
      </c>
      <c r="KE221" cm="1">
        <f t="array" ref="KE221">IF(COUNTIFS($U$2:$U221,$U221)=1,1,INDEX(KE:KE,_xlfn.XMATCH(U221,U$1:U220,0,-1))+COUNT(KE220:KI220))</f>
        <v>1</v>
      </c>
      <c r="KF221">
        <f t="shared" si="341"/>
        <v>2</v>
      </c>
      <c r="KG221">
        <f t="shared" si="341"/>
        <v>3</v>
      </c>
      <c r="KH221">
        <f t="shared" si="341"/>
        <v>4</v>
      </c>
      <c r="KJ221">
        <v>2</v>
      </c>
      <c r="KK221" s="16">
        <v>1</v>
      </c>
      <c r="KL221">
        <v>4</v>
      </c>
      <c r="KM221">
        <v>3</v>
      </c>
      <c r="KO221" s="16"/>
    </row>
    <row r="222" spans="1:432" x14ac:dyDescent="0.25">
      <c r="A222" t="s">
        <v>1352</v>
      </c>
      <c r="B222" t="s">
        <v>1348</v>
      </c>
      <c r="C222" t="s">
        <v>1355</v>
      </c>
      <c r="P222" t="s">
        <v>1356</v>
      </c>
      <c r="T222" s="14" t="s">
        <v>554</v>
      </c>
      <c r="U222">
        <v>71</v>
      </c>
      <c r="V222" t="s">
        <v>1361</v>
      </c>
      <c r="X222" s="33" t="str">
        <f>IF(COUNTIF(X$1:X221,X221)&gt;7,REPLACE(X221,LEN(X221),1,VALUE(RIGHT(X221,1))+1),X221)</f>
        <v>A3.38</v>
      </c>
      <c r="Y222" s="45" cm="1">
        <f t="array" ref="Y222">IF(COUNTIFS($X$2:$X222,$X222)=1,"1",VALUE(SUBSTITUTE(INDEX(Y:Y,_xlfn.XMATCH($X222,$X$1:$X221,0,-1)),"A",""))+INDEX(Z:Z,_xlfn.XMATCH($X222,$X$1:$X221,0,-1))+1)</f>
        <v>2</v>
      </c>
      <c r="Z222" s="46" cm="1">
        <f t="array" ref="Z222">SUM(IF(ISNUMBER(FIND("TmAi",$BA$1:$ZZ$1)),IF(IFERROR(ISODD(SUBSTITUTE($BA222:$ZZ222,"A","")),FALSE),IF(ISODD(SUBSTITUTE($BA222:$ZZ222,"A","")),1,0),0)))</f>
        <v>0</v>
      </c>
      <c r="AA222" t="str">
        <f>CONCATENATE($Y222*2-1,"A")</f>
        <v>3A</v>
      </c>
      <c r="AB222" t="str">
        <f>CONCATENATE($Y222*2-1,"B")</f>
        <v>3B</v>
      </c>
      <c r="AL222" t="s">
        <v>137</v>
      </c>
      <c r="AO222" t="s">
        <v>396</v>
      </c>
      <c r="JV222" s="27" t="str">
        <f t="shared" si="338"/>
        <v>XT71</v>
      </c>
      <c r="JW222" t="str">
        <f t="shared" si="342"/>
        <v>4A</v>
      </c>
      <c r="JY222" t="str">
        <f t="shared" si="339"/>
        <v>F0-AI38-3A</v>
      </c>
      <c r="JZ222" t="str">
        <f t="shared" si="340"/>
        <v>F0-AI38-3B</v>
      </c>
      <c r="KA222" t="str">
        <f t="shared" si="343"/>
        <v>F0-AI38-4A</v>
      </c>
      <c r="KB222" t="str">
        <f t="shared" si="343"/>
        <v>F0-AI38-</v>
      </c>
      <c r="KE222" cm="1">
        <f t="array" ref="KE222">IF(COUNTIFS($U$2:$U222,$U222)=1,1,INDEX(KE:KE,_xlfn.XMATCH(U222,U$1:U221,0,-1))+COUNT(KE221:KI221))</f>
        <v>5</v>
      </c>
      <c r="KF222">
        <f t="shared" si="341"/>
        <v>6</v>
      </c>
      <c r="KG222">
        <f t="shared" si="341"/>
        <v>7</v>
      </c>
      <c r="KH222">
        <f t="shared" si="341"/>
        <v>8</v>
      </c>
      <c r="KJ222">
        <v>2</v>
      </c>
      <c r="KK222" s="16">
        <v>1</v>
      </c>
      <c r="KL222">
        <v>4</v>
      </c>
      <c r="KM222">
        <v>3</v>
      </c>
      <c r="KO222" s="16"/>
    </row>
    <row r="223" spans="1:432" x14ac:dyDescent="0.25">
      <c r="A223" t="s">
        <v>1353</v>
      </c>
      <c r="B223" t="s">
        <v>1349</v>
      </c>
      <c r="C223" t="s">
        <v>1363</v>
      </c>
      <c r="P223" t="s">
        <v>482</v>
      </c>
      <c r="T223" s="14" t="s">
        <v>554</v>
      </c>
      <c r="U223">
        <v>71</v>
      </c>
      <c r="W223" t="s">
        <v>1368</v>
      </c>
      <c r="X223" s="34" t="s">
        <v>1367</v>
      </c>
      <c r="Y223" s="48" t="str" cm="1">
        <f t="array" ref="Y223">IF(COUNTIFS($X$2:$X223,$X223)=1,"1",VALUE(SUBSTITUTE(INDEX(Y:Y,_xlfn.XMATCH($X223,$X$1:$X222,0,-1)),"A",""))+INDEX(Z:Z,_xlfn.XMATCH($X223,$X$1:$X222,0,-1))+1)</f>
        <v>1</v>
      </c>
      <c r="Z223" s="46" cm="1">
        <f t="array" ref="Z223">SUM(IF(ISNUMBER(FIND("TmAi",$BA$1:$ZZ$1)),IF(IFERROR(ISODD(SUBSTITUTE($BA223:$ZZ223,"A","")),FALSE),IF(ISODD(SUBSTITUTE($BA223:$ZZ223,"A","")),1,0),0)))</f>
        <v>0</v>
      </c>
      <c r="AA223" t="str">
        <f t="shared" ref="AA223:AA224" si="344">CONCATENATE($Y223*2-1,"B")</f>
        <v>1B</v>
      </c>
      <c r="AB223" t="str">
        <f t="shared" ref="AB223:AB224" si="345">CONCATENATE($Y223*2,"B")</f>
        <v>2B</v>
      </c>
      <c r="AL223" t="s">
        <v>137</v>
      </c>
      <c r="AO223" t="s">
        <v>396</v>
      </c>
      <c r="JV223" s="27" t="str">
        <f t="shared" si="338"/>
        <v>XT71</v>
      </c>
      <c r="JY223" t="str">
        <f t="shared" si="339"/>
        <v>F0-AI27-1B</v>
      </c>
      <c r="JZ223" t="str">
        <f t="shared" si="340"/>
        <v>F0-AI27-2B</v>
      </c>
      <c r="KE223" cm="1">
        <f t="array" ref="KE223">IF(COUNTIFS($U$2:$U223,$U223)=1,1,INDEX(KE:KE,_xlfn.XMATCH(U223,U$1:U222,0,-1))+COUNT(KE222:KI222))</f>
        <v>9</v>
      </c>
      <c r="KF223">
        <f t="shared" si="341"/>
        <v>10</v>
      </c>
      <c r="KG223">
        <f t="shared" si="341"/>
        <v>11</v>
      </c>
      <c r="KJ223">
        <v>1</v>
      </c>
      <c r="KK223" s="16">
        <v>2</v>
      </c>
      <c r="KO223" s="16"/>
    </row>
    <row r="224" spans="1:432" ht="15.75" thickBot="1" x14ac:dyDescent="0.3">
      <c r="A224" t="s">
        <v>1354</v>
      </c>
      <c r="B224" t="s">
        <v>1350</v>
      </c>
      <c r="C224" t="s">
        <v>1363</v>
      </c>
      <c r="P224" t="s">
        <v>482</v>
      </c>
      <c r="T224" s="14" t="s">
        <v>554</v>
      </c>
      <c r="U224">
        <v>71</v>
      </c>
      <c r="W224" t="s">
        <v>1369</v>
      </c>
      <c r="X224" s="33" t="str">
        <f>IF(COUNTIF(X$1:X223,X223)&gt;3,REPLACE(X223,LEN(X223),1,VALUE(RIGHT(X223,1))+1),X223)</f>
        <v>A3.27</v>
      </c>
      <c r="Y224" s="45" cm="1">
        <f t="array" ref="Y224">IF(COUNTIFS($X$2:$X224,$X224)=1,"1",VALUE(SUBSTITUTE(INDEX(Y:Y,_xlfn.XMATCH($X224,$X$1:$X223,0,-1)),"A",""))+INDEX(Z:Z,_xlfn.XMATCH($X224,$X$1:$X223,0,-1))+1)</f>
        <v>2</v>
      </c>
      <c r="Z224" s="46" cm="1">
        <f t="array" ref="Z224">SUM(IF(ISNUMBER(FIND("TmAi",$BA$1:$ZZ$1)),IF(IFERROR(ISODD(SUBSTITUTE($BA224:$ZZ224,"A","")),FALSE),IF(ISODD(SUBSTITUTE($BA224:$ZZ224,"A","")),1,0),0)))</f>
        <v>0</v>
      </c>
      <c r="AA224" t="str">
        <f t="shared" si="344"/>
        <v>3B</v>
      </c>
      <c r="AB224" t="str">
        <f t="shared" si="345"/>
        <v>4B</v>
      </c>
      <c r="AL224" t="s">
        <v>137</v>
      </c>
      <c r="AO224" t="s">
        <v>396</v>
      </c>
      <c r="JV224" s="27" t="str">
        <f t="shared" si="338"/>
        <v>XT71</v>
      </c>
      <c r="JY224" t="str">
        <f t="shared" si="339"/>
        <v>F0-AI27-3B</v>
      </c>
      <c r="JZ224" t="str">
        <f t="shared" si="340"/>
        <v>F0-AI27-4B</v>
      </c>
      <c r="KE224" cm="1">
        <f t="array" ref="KE224">IF(COUNTIFS($U$2:$U224,$U224)=1,1,INDEX(KE:KE,_xlfn.XMATCH(U224,U$1:U223,0,-1))+COUNT(KE223:KI223))</f>
        <v>12</v>
      </c>
      <c r="KF224">
        <f t="shared" si="341"/>
        <v>13</v>
      </c>
      <c r="KG224">
        <f t="shared" si="341"/>
        <v>14</v>
      </c>
      <c r="KJ224">
        <v>1</v>
      </c>
      <c r="KK224" s="16">
        <v>2</v>
      </c>
      <c r="KO224" s="16"/>
    </row>
    <row r="225" spans="1:351" x14ac:dyDescent="0.25">
      <c r="A225" t="s">
        <v>1372</v>
      </c>
      <c r="B225" t="s">
        <v>1371</v>
      </c>
      <c r="P225" t="s">
        <v>1370</v>
      </c>
      <c r="T225" s="10" t="s">
        <v>554</v>
      </c>
      <c r="U225" s="49">
        <v>72</v>
      </c>
      <c r="V225" s="11" t="s">
        <v>1374</v>
      </c>
      <c r="W225" s="11" t="s">
        <v>1373</v>
      </c>
      <c r="X225" s="12"/>
      <c r="Y225" s="12"/>
      <c r="Z225" s="12"/>
      <c r="AA225" s="12"/>
      <c r="AB225" s="12"/>
      <c r="AC225" s="12" t="s">
        <v>1375</v>
      </c>
      <c r="AD225" s="12" t="s">
        <v>133</v>
      </c>
      <c r="AE225" s="12" t="s">
        <v>134</v>
      </c>
      <c r="AF225" s="12" t="s">
        <v>1376</v>
      </c>
      <c r="AG225" s="12" t="s">
        <v>135</v>
      </c>
      <c r="AH225" s="12" t="s">
        <v>136</v>
      </c>
      <c r="AI225" s="12">
        <v>1</v>
      </c>
      <c r="AJ225" s="12" t="str">
        <f>CONCATENATE(AI225,"XT")</f>
        <v>1XT</v>
      </c>
      <c r="AK225" s="12" t="str">
        <f t="shared" ref="AK225:AK229" si="346">CONCATENATE(AI225,"X")</f>
        <v>1X</v>
      </c>
      <c r="AL225" s="12" t="s">
        <v>137</v>
      </c>
      <c r="AM225" s="12" t="s">
        <v>138</v>
      </c>
      <c r="AN225" s="12"/>
      <c r="AO225" s="12"/>
      <c r="AP225" s="12" t="s">
        <v>139</v>
      </c>
      <c r="AQ225" s="12" t="s">
        <v>140</v>
      </c>
      <c r="AR225" s="12"/>
      <c r="AS225" s="12"/>
      <c r="AT225" s="12"/>
      <c r="AU225" s="12"/>
      <c r="AV225" s="12"/>
      <c r="AW225" s="12"/>
      <c r="AX225" s="12"/>
      <c r="AY225" s="12"/>
      <c r="AZ225" s="13"/>
      <c r="EN225" s="25" t="str">
        <f t="shared" ref="EN225:EN229" si="347">CONCATENATE("XT",U225)</f>
        <v>XT72</v>
      </c>
      <c r="EO225" s="12" t="str">
        <f>CONCATENATE("C",REPLACE(AD225,1,1,"")+1)</f>
        <v>C2</v>
      </c>
      <c r="EP225" s="12" t="str">
        <f>CONCATENATE("B",REPLACE(AE225,1,1,"")+1)</f>
        <v>B2</v>
      </c>
      <c r="EQ225" s="12" t="str">
        <f>CONCATENATE("C",REPLACE(EO225,1,1,"")+1)</f>
        <v>C3</v>
      </c>
      <c r="ER225" s="12" t="str">
        <f>CONCATENATE("B",REPLACE(EP225,1,1,"")+1)</f>
        <v>B3</v>
      </c>
      <c r="ES225" s="12" t="str">
        <f>CONCATENATE(REPLACE(AG225,LEN(AG225),1,"")+1,"B")</f>
        <v>2B</v>
      </c>
      <c r="ET225" s="12" t="str">
        <f>CONCATENATE(REPLACE(AH225,LEN(AH225),1,"")+1,"A")</f>
        <v>2A</v>
      </c>
      <c r="EU225" s="12" t="str">
        <f>CONCATENATE("DI",REPLACE($AC225,1,3,""),"-",AD225)</f>
        <v>DI13-C1</v>
      </c>
      <c r="EV225" s="12" t="str">
        <f>CONCATENATE("DI",REPLACE($AC225,1,3,""),"-",AE225)</f>
        <v>DI13-B1</v>
      </c>
      <c r="EW225" s="12" t="str">
        <f t="shared" ref="EW225:EZ227" si="348">CONCATENATE("DI",REPLACE($AC225,1,3,""),"-",EO225)</f>
        <v>DI13-C2</v>
      </c>
      <c r="EX225" s="12" t="str">
        <f t="shared" si="348"/>
        <v>DI13-B2</v>
      </c>
      <c r="EY225" s="12" t="str">
        <f t="shared" si="348"/>
        <v>DI13-C3</v>
      </c>
      <c r="EZ225" s="12" t="str">
        <f t="shared" si="348"/>
        <v>DI13-B3</v>
      </c>
      <c r="FA225" s="12" t="str">
        <f>CONCATENATE("DO",REPLACE($AF225,1,3,""),"-",AG225)</f>
        <v>DO7-1B</v>
      </c>
      <c r="FB225" s="12" t="str">
        <f>CONCATENATE("DO",REPLACE($AF225,1,3,""),"-",AH225)</f>
        <v>DO7-1A</v>
      </c>
      <c r="FC225" s="12" t="str">
        <f>CONCATENATE("DO",REPLACE($AF225,1,3,""),"-",ES225)</f>
        <v>DO7-2B</v>
      </c>
      <c r="FD225" s="12" t="str">
        <f>CONCATENATE("DO",REPLACE($AF225,1,3,""),"-",ET225)</f>
        <v>DO7-2A</v>
      </c>
      <c r="FE225" s="12" t="str">
        <f>CONCATENATE("K",$U225,"-03")</f>
        <v>K72-03</v>
      </c>
      <c r="FF225" s="12" t="str">
        <f>CONCATENATE("K",$U225,"-04")</f>
        <v>K72-04</v>
      </c>
      <c r="FG225" s="12" t="str">
        <f>CONCATENATE("K",$U225,"-01")</f>
        <v>K72-01</v>
      </c>
      <c r="FH225" s="12" t="str">
        <f>CONCATENATE("K",$U225,"-02")</f>
        <v>K72-02</v>
      </c>
      <c r="FI225" s="12" t="str">
        <f t="shared" ref="FI225:FI229" si="349">CONCATENATE("K",$U225,"-05")</f>
        <v>K72-05</v>
      </c>
      <c r="FJ225" s="12" t="str">
        <f>CONCATENATE($T225,"-M",$U225,"-H1")</f>
        <v>F0-M72-H1</v>
      </c>
      <c r="FK225" s="12" t="str">
        <f>CONCATENATE($T225,"-M",$U225,"-A1")</f>
        <v>F0-M72-A1</v>
      </c>
      <c r="FL225" s="12" t="str">
        <f>CONCATENATE($T225,"-M",$U225,"-3")</f>
        <v>F0-M72-3</v>
      </c>
      <c r="FM225" s="12" t="str">
        <f>CONCATENATE($T225,"-M",$U225,"-2")</f>
        <v>F0-M72-2</v>
      </c>
      <c r="FN225" s="12" t="str">
        <f>CONCATENATE($T225,"-M",$U225,"-16")</f>
        <v>F0-M72-16</v>
      </c>
      <c r="FO225" s="12" t="str">
        <f>CONCATENATE($T225,"-M",$U225,"-15")</f>
        <v>F0-M72-15</v>
      </c>
      <c r="FP225" s="12" t="str">
        <f>CONCATENATE($T225,"-A220-M",$U225,)</f>
        <v>F0-A220-M72</v>
      </c>
      <c r="FQ225" s="12" t="str">
        <f t="shared" ref="FQ225:FQ229" si="350">CONCATENATE($T225,"-M",$U225,"-XM01")</f>
        <v>F0-M72-XM01</v>
      </c>
      <c r="FR225" s="12" t="s">
        <v>142</v>
      </c>
      <c r="FS225" s="12" t="s">
        <v>143</v>
      </c>
      <c r="FT225" s="12">
        <v>11</v>
      </c>
      <c r="FU225" s="12">
        <v>14</v>
      </c>
      <c r="FV225" s="12" t="s">
        <v>145</v>
      </c>
      <c r="FW225" s="12" t="s">
        <v>144</v>
      </c>
      <c r="FX225" s="12">
        <v>1</v>
      </c>
      <c r="FY225" s="12">
        <v>2</v>
      </c>
      <c r="FZ225" s="12">
        <v>3</v>
      </c>
      <c r="GA225" s="12">
        <v>4</v>
      </c>
      <c r="GB225" s="12">
        <v>5</v>
      </c>
      <c r="GC225" s="12">
        <v>6</v>
      </c>
      <c r="GD225" s="12">
        <v>7</v>
      </c>
      <c r="GE225" s="12">
        <v>8</v>
      </c>
      <c r="GF225" s="12">
        <v>9</v>
      </c>
      <c r="GG225" s="12">
        <v>1</v>
      </c>
      <c r="GH225" s="12">
        <v>2</v>
      </c>
      <c r="GI225" s="12">
        <v>3</v>
      </c>
      <c r="GJ225" s="12">
        <v>15</v>
      </c>
      <c r="GK225" s="12">
        <v>16</v>
      </c>
      <c r="GL225" s="12">
        <v>1</v>
      </c>
      <c r="GM225" s="12">
        <v>2</v>
      </c>
      <c r="GN225" s="12">
        <v>4</v>
      </c>
      <c r="GO225" s="13">
        <v>5</v>
      </c>
    </row>
    <row r="226" spans="1:351" x14ac:dyDescent="0.25">
      <c r="A226" t="s">
        <v>1377</v>
      </c>
      <c r="B226" t="s">
        <v>1384</v>
      </c>
      <c r="P226" t="s">
        <v>1370</v>
      </c>
      <c r="T226" s="27" t="s">
        <v>554</v>
      </c>
      <c r="U226">
        <v>73</v>
      </c>
      <c r="V226" t="s">
        <v>1379</v>
      </c>
      <c r="W226" t="s">
        <v>1383</v>
      </c>
      <c r="AC226" t="s">
        <v>1375</v>
      </c>
      <c r="AD226" t="s">
        <v>369</v>
      </c>
      <c r="AE226" t="s">
        <v>370</v>
      </c>
      <c r="AF226" t="s">
        <v>1376</v>
      </c>
      <c r="AG226" t="s">
        <v>384</v>
      </c>
      <c r="AH226" t="s">
        <v>386</v>
      </c>
      <c r="AI226">
        <v>2</v>
      </c>
      <c r="AJ226" t="str">
        <f t="shared" ref="AJ226:AJ229" si="351">CONCATENATE(AI226,"XT")</f>
        <v>2XT</v>
      </c>
      <c r="AK226" t="str">
        <f t="shared" si="346"/>
        <v>2X</v>
      </c>
      <c r="AL226" t="s">
        <v>137</v>
      </c>
      <c r="AM226" t="s">
        <v>138</v>
      </c>
      <c r="AP226" t="s">
        <v>139</v>
      </c>
      <c r="AQ226" t="s">
        <v>140</v>
      </c>
      <c r="EN226" t="str">
        <f t="shared" si="347"/>
        <v>XT73</v>
      </c>
      <c r="EO226" t="str">
        <f t="shared" ref="EO226:EO227" si="352">CONCATENATE("C",REPLACE(AD226,1,1,"")+1)</f>
        <v>C5</v>
      </c>
      <c r="EP226" t="str">
        <f t="shared" ref="EP226:EP227" si="353">CONCATENATE("B",REPLACE(AE226,1,1,"")+1)</f>
        <v>B5</v>
      </c>
      <c r="EQ226" t="str">
        <f t="shared" ref="EQ226:EQ227" si="354">CONCATENATE("C",REPLACE(EO226,1,1,"")+1)</f>
        <v>C6</v>
      </c>
      <c r="ER226" t="str">
        <f t="shared" ref="ER226:ER227" si="355">CONCATENATE("B",REPLACE(EP226,1,1,"")+1)</f>
        <v>B6</v>
      </c>
      <c r="ES226" t="str">
        <f t="shared" ref="ES226:ES227" si="356">CONCATENATE(REPLACE(AG226,LEN(AG226),1,"")+1,"B")</f>
        <v>4B</v>
      </c>
      <c r="ET226" t="str">
        <f t="shared" ref="ET226:ET227" si="357">CONCATENATE(REPLACE(AH226,LEN(AH226),1,"")+1,"A")</f>
        <v>4A</v>
      </c>
      <c r="EU226" t="str">
        <f t="shared" ref="EU226:EV229" si="358">CONCATENATE("DI",REPLACE($AC226,1,3,""),"-",AD226)</f>
        <v>DI13-C4</v>
      </c>
      <c r="EV226" t="str">
        <f t="shared" si="358"/>
        <v>DI13-B4</v>
      </c>
      <c r="EW226" t="str">
        <f t="shared" si="348"/>
        <v>DI13-C5</v>
      </c>
      <c r="EX226" t="str">
        <f t="shared" si="348"/>
        <v>DI13-B5</v>
      </c>
      <c r="EY226" t="str">
        <f t="shared" si="348"/>
        <v>DI13-C6</v>
      </c>
      <c r="EZ226" t="str">
        <f t="shared" si="348"/>
        <v>DI13-B6</v>
      </c>
      <c r="FA226" t="str">
        <f t="shared" ref="FA226:FB229" si="359">CONCATENATE("DO",REPLACE($AF226,1,3,""),"-",AG226)</f>
        <v>DO7-3B</v>
      </c>
      <c r="FB226" t="str">
        <f t="shared" si="359"/>
        <v>DO7-3A</v>
      </c>
      <c r="FC226" t="str">
        <f t="shared" ref="FC226:FD227" si="360">CONCATENATE("DO",REPLACE($AF226,1,3,""),"-",ES226)</f>
        <v>DO7-4B</v>
      </c>
      <c r="FD226" t="str">
        <f t="shared" si="360"/>
        <v>DO7-4A</v>
      </c>
      <c r="FE226" t="str">
        <f t="shared" ref="FE226:FE229" si="361">CONCATENATE("K",$U226,"-03")</f>
        <v>K73-03</v>
      </c>
      <c r="FF226" t="str">
        <f t="shared" ref="FF226:FF227" si="362">CONCATENATE("K",$U226,"-04")</f>
        <v>K73-04</v>
      </c>
      <c r="FG226" t="str">
        <f t="shared" ref="FG226:FG227" si="363">CONCATENATE("K",$U226,"-01")</f>
        <v>K73-01</v>
      </c>
      <c r="FH226" t="str">
        <f t="shared" ref="FH226:FH227" si="364">CONCATENATE("K",$U226,"-02")</f>
        <v>K73-02</v>
      </c>
      <c r="FI226" t="str">
        <f t="shared" si="349"/>
        <v>K73-05</v>
      </c>
      <c r="FJ226" t="str">
        <f t="shared" ref="FJ226:FJ229" si="365">CONCATENATE($T226,"-M",$U226,"-H1")</f>
        <v>F0-M73-H1</v>
      </c>
      <c r="FK226" t="str">
        <f t="shared" ref="FK226:FK229" si="366">CONCATENATE($T226,"-M",$U226,"-A1")</f>
        <v>F0-M73-A1</v>
      </c>
      <c r="FL226" t="str">
        <f t="shared" ref="FL226:FL229" si="367">CONCATENATE($T226,"-M",$U226,"-3")</f>
        <v>F0-M73-3</v>
      </c>
      <c r="FM226" t="str">
        <f t="shared" ref="FM226:FM227" si="368">CONCATENATE($T226,"-M",$U226,"-2")</f>
        <v>F0-M73-2</v>
      </c>
      <c r="FN226" t="str">
        <f t="shared" ref="FN226:FN227" si="369">CONCATENATE($T226,"-M",$U226,"-16")</f>
        <v>F0-M73-16</v>
      </c>
      <c r="FO226" t="str">
        <f t="shared" ref="FO226:FO227" si="370">CONCATENATE($T226,"-M",$U226,"-15")</f>
        <v>F0-M73-15</v>
      </c>
      <c r="FP226" t="str">
        <f t="shared" ref="FP226:FP229" si="371">CONCATENATE($T226,"-A220-M",$U226,)</f>
        <v>F0-A220-M73</v>
      </c>
      <c r="FQ226" t="str">
        <f t="shared" si="350"/>
        <v>F0-M73-XM01</v>
      </c>
      <c r="FR226" t="s">
        <v>142</v>
      </c>
      <c r="FS226" t="s">
        <v>143</v>
      </c>
      <c r="FT226">
        <v>11</v>
      </c>
      <c r="FU226">
        <v>14</v>
      </c>
      <c r="FV226" t="s">
        <v>145</v>
      </c>
      <c r="FW226" t="s">
        <v>144</v>
      </c>
      <c r="FX226">
        <v>1</v>
      </c>
      <c r="FY226">
        <v>2</v>
      </c>
      <c r="FZ226">
        <v>3</v>
      </c>
      <c r="GA226">
        <v>4</v>
      </c>
      <c r="GB226">
        <v>5</v>
      </c>
      <c r="GC226">
        <v>6</v>
      </c>
      <c r="GD226">
        <v>7</v>
      </c>
      <c r="GE226">
        <v>8</v>
      </c>
      <c r="GF226">
        <v>9</v>
      </c>
      <c r="GG226">
        <v>1</v>
      </c>
      <c r="GH226">
        <v>2</v>
      </c>
      <c r="GI226">
        <v>3</v>
      </c>
      <c r="GJ226">
        <v>15</v>
      </c>
      <c r="GK226">
        <v>16</v>
      </c>
      <c r="GL226">
        <v>1</v>
      </c>
      <c r="GM226">
        <v>2</v>
      </c>
      <c r="GN226">
        <v>4</v>
      </c>
      <c r="GO226">
        <v>5</v>
      </c>
    </row>
    <row r="227" spans="1:351" x14ac:dyDescent="0.25">
      <c r="A227" t="s">
        <v>1381</v>
      </c>
      <c r="B227" t="s">
        <v>1385</v>
      </c>
      <c r="P227" t="s">
        <v>1370</v>
      </c>
      <c r="T227" s="27" t="s">
        <v>554</v>
      </c>
      <c r="U227">
        <v>74</v>
      </c>
      <c r="V227" t="s">
        <v>1382</v>
      </c>
      <c r="W227" t="s">
        <v>1386</v>
      </c>
      <c r="AC227" t="s">
        <v>1375</v>
      </c>
      <c r="AD227" t="s">
        <v>148</v>
      </c>
      <c r="AE227" t="s">
        <v>149</v>
      </c>
      <c r="AF227" t="s">
        <v>1376</v>
      </c>
      <c r="AG227" t="s">
        <v>385</v>
      </c>
      <c r="AH227" t="s">
        <v>387</v>
      </c>
      <c r="AI227">
        <v>3</v>
      </c>
      <c r="AJ227" t="str">
        <f t="shared" si="351"/>
        <v>3XT</v>
      </c>
      <c r="AK227" t="str">
        <f t="shared" si="346"/>
        <v>3X</v>
      </c>
      <c r="AL227" t="s">
        <v>137</v>
      </c>
      <c r="AM227" t="s">
        <v>138</v>
      </c>
      <c r="AP227" t="s">
        <v>139</v>
      </c>
      <c r="AQ227" t="s">
        <v>140</v>
      </c>
      <c r="EN227" t="str">
        <f t="shared" si="347"/>
        <v>XT74</v>
      </c>
      <c r="EO227" t="str">
        <f t="shared" si="352"/>
        <v>C8</v>
      </c>
      <c r="EP227" t="str">
        <f t="shared" si="353"/>
        <v>B8</v>
      </c>
      <c r="EQ227" t="str">
        <f t="shared" si="354"/>
        <v>C9</v>
      </c>
      <c r="ER227" t="str">
        <f t="shared" si="355"/>
        <v>B9</v>
      </c>
      <c r="ES227" t="str">
        <f t="shared" si="356"/>
        <v>6B</v>
      </c>
      <c r="ET227" t="str">
        <f t="shared" si="357"/>
        <v>6A</v>
      </c>
      <c r="EU227" t="str">
        <f t="shared" si="358"/>
        <v>DI13-C7</v>
      </c>
      <c r="EV227" t="str">
        <f t="shared" si="358"/>
        <v>DI13-B7</v>
      </c>
      <c r="EW227" t="str">
        <f t="shared" si="348"/>
        <v>DI13-C8</v>
      </c>
      <c r="EX227" t="str">
        <f t="shared" si="348"/>
        <v>DI13-B8</v>
      </c>
      <c r="EY227" t="str">
        <f t="shared" si="348"/>
        <v>DI13-C9</v>
      </c>
      <c r="EZ227" t="str">
        <f t="shared" si="348"/>
        <v>DI13-B9</v>
      </c>
      <c r="FA227" t="str">
        <f t="shared" si="359"/>
        <v>DO7-5B</v>
      </c>
      <c r="FB227" t="str">
        <f t="shared" si="359"/>
        <v>DO7-5A</v>
      </c>
      <c r="FC227" t="str">
        <f t="shared" si="360"/>
        <v>DO7-6B</v>
      </c>
      <c r="FD227" t="str">
        <f t="shared" si="360"/>
        <v>DO7-6A</v>
      </c>
      <c r="FE227" t="str">
        <f t="shared" si="361"/>
        <v>K74-03</v>
      </c>
      <c r="FF227" t="str">
        <f t="shared" si="362"/>
        <v>K74-04</v>
      </c>
      <c r="FG227" t="str">
        <f t="shared" si="363"/>
        <v>K74-01</v>
      </c>
      <c r="FH227" t="str">
        <f t="shared" si="364"/>
        <v>K74-02</v>
      </c>
      <c r="FI227" t="str">
        <f t="shared" si="349"/>
        <v>K74-05</v>
      </c>
      <c r="FJ227" t="str">
        <f t="shared" si="365"/>
        <v>F0-M74-H1</v>
      </c>
      <c r="FK227" t="str">
        <f t="shared" si="366"/>
        <v>F0-M74-A1</v>
      </c>
      <c r="FL227" t="str">
        <f t="shared" si="367"/>
        <v>F0-M74-3</v>
      </c>
      <c r="FM227" t="str">
        <f t="shared" si="368"/>
        <v>F0-M74-2</v>
      </c>
      <c r="FN227" t="str">
        <f t="shared" si="369"/>
        <v>F0-M74-16</v>
      </c>
      <c r="FO227" t="str">
        <f t="shared" si="370"/>
        <v>F0-M74-15</v>
      </c>
      <c r="FP227" t="str">
        <f t="shared" si="371"/>
        <v>F0-A220-M74</v>
      </c>
      <c r="FQ227" t="str">
        <f t="shared" si="350"/>
        <v>F0-M74-XM01</v>
      </c>
      <c r="FR227" t="s">
        <v>142</v>
      </c>
      <c r="FS227" t="s">
        <v>143</v>
      </c>
      <c r="FT227">
        <v>11</v>
      </c>
      <c r="FU227">
        <v>14</v>
      </c>
      <c r="FV227" t="s">
        <v>145</v>
      </c>
      <c r="FW227" t="s">
        <v>144</v>
      </c>
      <c r="FX227">
        <v>1</v>
      </c>
      <c r="FY227">
        <v>2</v>
      </c>
      <c r="FZ227">
        <v>3</v>
      </c>
      <c r="GA227">
        <v>4</v>
      </c>
      <c r="GB227">
        <v>5</v>
      </c>
      <c r="GC227">
        <v>6</v>
      </c>
      <c r="GD227">
        <v>7</v>
      </c>
      <c r="GE227">
        <v>8</v>
      </c>
      <c r="GF227">
        <v>9</v>
      </c>
      <c r="GG227">
        <v>1</v>
      </c>
      <c r="GH227">
        <v>2</v>
      </c>
      <c r="GI227">
        <v>3</v>
      </c>
      <c r="GJ227">
        <v>15</v>
      </c>
      <c r="GK227">
        <v>16</v>
      </c>
      <c r="GL227">
        <v>1</v>
      </c>
      <c r="GM227">
        <v>2</v>
      </c>
      <c r="GN227">
        <v>4</v>
      </c>
      <c r="GO227">
        <v>5</v>
      </c>
    </row>
    <row r="228" spans="1:351" x14ac:dyDescent="0.25">
      <c r="A228" t="s">
        <v>1391</v>
      </c>
      <c r="B228" t="s">
        <v>1389</v>
      </c>
      <c r="P228" t="s">
        <v>1393</v>
      </c>
      <c r="T228" s="27" t="s">
        <v>554</v>
      </c>
      <c r="U228">
        <v>75</v>
      </c>
      <c r="V228" t="s">
        <v>1387</v>
      </c>
      <c r="W228" t="s">
        <v>1398</v>
      </c>
      <c r="AC228" t="s">
        <v>1375</v>
      </c>
      <c r="AD228" t="s">
        <v>377</v>
      </c>
      <c r="AE228" t="s">
        <v>378</v>
      </c>
      <c r="AF228" t="s">
        <v>1376</v>
      </c>
      <c r="AG228" t="s">
        <v>245</v>
      </c>
      <c r="AH228" t="s">
        <v>246</v>
      </c>
      <c r="AI228">
        <v>4</v>
      </c>
      <c r="AJ228" t="str">
        <f t="shared" si="351"/>
        <v>4XT</v>
      </c>
      <c r="AK228" t="str">
        <f t="shared" si="346"/>
        <v>4X</v>
      </c>
      <c r="AL228" t="s">
        <v>137</v>
      </c>
      <c r="AM228" t="s">
        <v>138</v>
      </c>
      <c r="AP228" t="s">
        <v>854</v>
      </c>
      <c r="AQ228" t="s">
        <v>1399</v>
      </c>
      <c r="EN228" t="str">
        <f t="shared" si="347"/>
        <v>XT75</v>
      </c>
      <c r="EU228" t="str">
        <f t="shared" si="358"/>
        <v>DI13-C10</v>
      </c>
      <c r="EV228" t="str">
        <f t="shared" si="358"/>
        <v>DI13-B10</v>
      </c>
      <c r="FA228" t="str">
        <f t="shared" si="359"/>
        <v>DO7-7B</v>
      </c>
      <c r="FB228" t="str">
        <f t="shared" si="359"/>
        <v>DO7-7A</v>
      </c>
      <c r="FE228" t="str">
        <f t="shared" si="361"/>
        <v>K75-03</v>
      </c>
      <c r="FI228" t="str">
        <f t="shared" si="349"/>
        <v>K75-05</v>
      </c>
      <c r="FJ228" t="str">
        <f t="shared" si="365"/>
        <v>F0-M75-H1</v>
      </c>
      <c r="FK228" t="str">
        <f t="shared" si="366"/>
        <v>F0-M75-A1</v>
      </c>
      <c r="FL228" t="str">
        <f t="shared" si="367"/>
        <v>F0-M75-3</v>
      </c>
      <c r="FP228" t="str">
        <f t="shared" si="371"/>
        <v>F0-A220-M75</v>
      </c>
      <c r="FQ228" t="str">
        <f t="shared" si="350"/>
        <v>F0-M75-XM01</v>
      </c>
      <c r="FR228" t="s">
        <v>142</v>
      </c>
      <c r="FS228" t="s">
        <v>143</v>
      </c>
      <c r="FT228">
        <v>11</v>
      </c>
      <c r="FU228">
        <v>14</v>
      </c>
      <c r="FV228" t="s">
        <v>145</v>
      </c>
      <c r="FW228" t="s">
        <v>144</v>
      </c>
      <c r="FX228">
        <v>1</v>
      </c>
      <c r="FY228">
        <v>2</v>
      </c>
      <c r="FZ228">
        <v>3</v>
      </c>
      <c r="GA228">
        <v>4</v>
      </c>
      <c r="GB228">
        <v>5</v>
      </c>
      <c r="GC228">
        <v>6</v>
      </c>
      <c r="GD228">
        <v>7</v>
      </c>
      <c r="GE228">
        <v>8</v>
      </c>
      <c r="GF228">
        <v>9</v>
      </c>
      <c r="GG228">
        <v>1</v>
      </c>
      <c r="GH228">
        <v>2</v>
      </c>
      <c r="GI228">
        <v>3</v>
      </c>
      <c r="GJ228">
        <v>15</v>
      </c>
      <c r="GK228">
        <v>16</v>
      </c>
      <c r="GL228">
        <v>1</v>
      </c>
      <c r="GM228">
        <v>2</v>
      </c>
      <c r="GN228">
        <v>4</v>
      </c>
      <c r="GO228">
        <v>5</v>
      </c>
    </row>
    <row r="229" spans="1:351" ht="15.75" customHeight="1" thickBot="1" x14ac:dyDescent="0.3">
      <c r="A229" t="s">
        <v>1392</v>
      </c>
      <c r="B229" t="s">
        <v>1390</v>
      </c>
      <c r="P229" t="s">
        <v>1393</v>
      </c>
      <c r="T229" s="27" t="s">
        <v>554</v>
      </c>
      <c r="U229">
        <v>76</v>
      </c>
      <c r="V229" t="s">
        <v>1388</v>
      </c>
      <c r="W229" t="s">
        <v>1380</v>
      </c>
      <c r="AC229" t="s">
        <v>1375</v>
      </c>
      <c r="AD229" t="s">
        <v>1394</v>
      </c>
      <c r="AE229" t="s">
        <v>1395</v>
      </c>
      <c r="AF229" t="s">
        <v>1376</v>
      </c>
      <c r="AG229" t="s">
        <v>1396</v>
      </c>
      <c r="AH229" t="s">
        <v>1397</v>
      </c>
      <c r="AI229">
        <v>5</v>
      </c>
      <c r="AJ229" t="str">
        <f t="shared" si="351"/>
        <v>5XT</v>
      </c>
      <c r="AK229" t="str">
        <f t="shared" si="346"/>
        <v>5X</v>
      </c>
      <c r="AL229" t="s">
        <v>137</v>
      </c>
      <c r="AM229" t="s">
        <v>138</v>
      </c>
      <c r="AP229" t="s">
        <v>854</v>
      </c>
      <c r="AQ229" t="s">
        <v>1399</v>
      </c>
      <c r="EN229" t="str">
        <f t="shared" si="347"/>
        <v>XT76</v>
      </c>
      <c r="EU229" t="str">
        <f t="shared" si="358"/>
        <v>DI13-C11</v>
      </c>
      <c r="EV229" t="str">
        <f t="shared" si="358"/>
        <v>DI13-B11</v>
      </c>
      <c r="FA229" t="str">
        <f t="shared" si="359"/>
        <v>DO7-8B</v>
      </c>
      <c r="FB229" t="str">
        <f t="shared" si="359"/>
        <v>DO7-8A</v>
      </c>
      <c r="FE229" t="str">
        <f t="shared" si="361"/>
        <v>K76-03</v>
      </c>
      <c r="FI229" t="str">
        <f t="shared" si="349"/>
        <v>K76-05</v>
      </c>
      <c r="FJ229" t="str">
        <f t="shared" si="365"/>
        <v>F0-M76-H1</v>
      </c>
      <c r="FK229" t="str">
        <f t="shared" si="366"/>
        <v>F0-M76-A1</v>
      </c>
      <c r="FL229" t="str">
        <f t="shared" si="367"/>
        <v>F0-M76-3</v>
      </c>
      <c r="FP229" t="str">
        <f t="shared" si="371"/>
        <v>F0-A220-M76</v>
      </c>
      <c r="FQ229" t="str">
        <f t="shared" si="350"/>
        <v>F0-M76-XM01</v>
      </c>
      <c r="FR229" t="s">
        <v>142</v>
      </c>
      <c r="FS229" t="s">
        <v>143</v>
      </c>
      <c r="FT229">
        <v>11</v>
      </c>
      <c r="FU229">
        <v>14</v>
      </c>
      <c r="FV229" t="s">
        <v>145</v>
      </c>
      <c r="FW229" t="s">
        <v>144</v>
      </c>
      <c r="FX229">
        <v>1</v>
      </c>
      <c r="FY229">
        <v>2</v>
      </c>
      <c r="FZ229">
        <v>3</v>
      </c>
      <c r="GA229">
        <v>4</v>
      </c>
      <c r="GB229">
        <v>5</v>
      </c>
      <c r="GC229">
        <v>6</v>
      </c>
      <c r="GD229">
        <v>7</v>
      </c>
      <c r="GE229">
        <v>8</v>
      </c>
      <c r="GF229">
        <v>9</v>
      </c>
      <c r="GG229">
        <v>1</v>
      </c>
      <c r="GH229">
        <v>2</v>
      </c>
      <c r="GI229">
        <v>3</v>
      </c>
      <c r="GJ229">
        <v>15</v>
      </c>
      <c r="GK229">
        <v>16</v>
      </c>
      <c r="GL229">
        <v>1</v>
      </c>
      <c r="GM229">
        <v>2</v>
      </c>
      <c r="GN229">
        <v>4</v>
      </c>
      <c r="GO229">
        <v>5</v>
      </c>
    </row>
    <row r="230" spans="1:351" ht="15.75" thickBot="1" x14ac:dyDescent="0.3">
      <c r="A230">
        <v>-1</v>
      </c>
      <c r="B230" t="s">
        <v>1402</v>
      </c>
      <c r="P230" t="s">
        <v>1378</v>
      </c>
      <c r="T230" s="14" t="s">
        <v>554</v>
      </c>
      <c r="U230">
        <v>77</v>
      </c>
      <c r="V230" t="s">
        <v>1403</v>
      </c>
      <c r="Y230" s="43"/>
      <c r="Z230" s="46"/>
      <c r="AC230" t="s">
        <v>1375</v>
      </c>
      <c r="AD230" t="s">
        <v>153</v>
      </c>
      <c r="AE230" t="s">
        <v>154</v>
      </c>
      <c r="AL230" t="s">
        <v>137</v>
      </c>
      <c r="AM230" t="s">
        <v>1404</v>
      </c>
      <c r="AP230" t="s">
        <v>854</v>
      </c>
      <c r="LP230" t="s">
        <v>1405</v>
      </c>
      <c r="LS230" s="25" t="str">
        <f>CONCATENATE("XT",U230)</f>
        <v>XT77</v>
      </c>
      <c r="LT230" s="12" t="str">
        <f>CONCATENATE("DI",REPLACE($AC230,1,3,""),"-",$AD230)</f>
        <v>DI13-C13</v>
      </c>
      <c r="LU230" s="12" t="s">
        <v>910</v>
      </c>
      <c r="LV230" s="12" t="s">
        <v>1417</v>
      </c>
      <c r="LW230" s="12">
        <v>11</v>
      </c>
      <c r="LX230" s="12">
        <v>14</v>
      </c>
      <c r="LY230" s="12" t="s">
        <v>142</v>
      </c>
      <c r="LZ230" s="12" t="s">
        <v>143</v>
      </c>
      <c r="MA230" s="12" t="s">
        <v>488</v>
      </c>
      <c r="MB230" s="12" t="s">
        <v>487</v>
      </c>
      <c r="MC230" s="12" t="s">
        <v>414</v>
      </c>
      <c r="MD230" s="12" t="s">
        <v>413</v>
      </c>
      <c r="ME230" s="12">
        <v>1</v>
      </c>
      <c r="MF230" s="12">
        <f t="shared" ref="MF230" si="372">ME230+1</f>
        <v>2</v>
      </c>
      <c r="MG230" s="12"/>
      <c r="MH230" s="12"/>
      <c r="MI230" s="12"/>
      <c r="MJ230" s="12"/>
      <c r="MK230" s="12">
        <v>1</v>
      </c>
      <c r="ML230" s="12">
        <v>2</v>
      </c>
      <c r="MM230" s="13"/>
    </row>
    <row r="231" spans="1:351" ht="15.75" thickBot="1" x14ac:dyDescent="0.3">
      <c r="A231">
        <v>-2</v>
      </c>
      <c r="B231" t="s">
        <v>1411</v>
      </c>
      <c r="P231" t="s">
        <v>1378</v>
      </c>
      <c r="T231" s="14" t="s">
        <v>554</v>
      </c>
      <c r="U231">
        <v>77</v>
      </c>
      <c r="V231" t="s">
        <v>1413</v>
      </c>
      <c r="Y231" s="43"/>
      <c r="Z231" s="46"/>
      <c r="AC231" t="s">
        <v>1375</v>
      </c>
      <c r="AD231" t="s">
        <v>1406</v>
      </c>
      <c r="AE231" t="s">
        <v>1407</v>
      </c>
      <c r="AL231" t="s">
        <v>137</v>
      </c>
      <c r="AM231" t="s">
        <v>1408</v>
      </c>
      <c r="AP231" t="s">
        <v>854</v>
      </c>
      <c r="LP231" t="s">
        <v>1405</v>
      </c>
      <c r="LS231" s="25" t="str">
        <f t="shared" ref="LS231:LS232" si="373">CONCATENATE("XT",U231)</f>
        <v>XT77</v>
      </c>
      <c r="LT231" s="12" t="str">
        <f t="shared" ref="LT231:LT232" si="374">CONCATENATE("DI",REPLACE($AC231,1,3,""),"-",$AD231)</f>
        <v>DI13-C14</v>
      </c>
      <c r="LU231" s="12" t="s">
        <v>911</v>
      </c>
      <c r="LV231" s="12" t="s">
        <v>1418</v>
      </c>
      <c r="LW231" s="12">
        <v>11</v>
      </c>
      <c r="LX231" s="12">
        <v>14</v>
      </c>
      <c r="LY231" s="12" t="s">
        <v>142</v>
      </c>
      <c r="LZ231" s="12" t="s">
        <v>143</v>
      </c>
      <c r="MA231" s="12" t="s">
        <v>488</v>
      </c>
      <c r="MB231" s="12" t="s">
        <v>487</v>
      </c>
      <c r="MC231" s="12" t="s">
        <v>414</v>
      </c>
      <c r="MD231" s="12" t="s">
        <v>413</v>
      </c>
      <c r="ME231" s="12">
        <v>3</v>
      </c>
      <c r="MF231" s="12">
        <v>4</v>
      </c>
      <c r="MG231" s="12"/>
      <c r="MH231" s="12"/>
      <c r="MI231" s="12"/>
      <c r="MJ231" s="12"/>
      <c r="MK231" s="12">
        <v>1</v>
      </c>
      <c r="ML231" s="12">
        <v>2</v>
      </c>
      <c r="MM231" s="13"/>
    </row>
    <row r="232" spans="1:351" x14ac:dyDescent="0.25">
      <c r="A232">
        <v>-3</v>
      </c>
      <c r="B232" t="s">
        <v>1412</v>
      </c>
      <c r="P232" t="s">
        <v>1378</v>
      </c>
      <c r="T232" s="14" t="s">
        <v>554</v>
      </c>
      <c r="U232">
        <v>77</v>
      </c>
      <c r="V232" t="s">
        <v>1414</v>
      </c>
      <c r="Y232" s="43"/>
      <c r="Z232" s="46"/>
      <c r="AC232" t="s">
        <v>1375</v>
      </c>
      <c r="AD232" t="s">
        <v>1409</v>
      </c>
      <c r="AE232" t="s">
        <v>1410</v>
      </c>
      <c r="AL232" t="s">
        <v>137</v>
      </c>
      <c r="AM232" t="s">
        <v>1415</v>
      </c>
      <c r="AP232" t="s">
        <v>854</v>
      </c>
      <c r="LP232" t="s">
        <v>1405</v>
      </c>
      <c r="LS232" s="25" t="str">
        <f t="shared" si="373"/>
        <v>XT77</v>
      </c>
      <c r="LT232" s="12" t="str">
        <f t="shared" si="374"/>
        <v>DI13-C15</v>
      </c>
      <c r="LU232" s="12" t="s">
        <v>1416</v>
      </c>
      <c r="LV232" s="12" t="s">
        <v>1419</v>
      </c>
      <c r="LW232" s="12">
        <v>11</v>
      </c>
      <c r="LX232" s="12">
        <v>14</v>
      </c>
      <c r="LY232" s="12" t="s">
        <v>142</v>
      </c>
      <c r="LZ232" s="12" t="s">
        <v>143</v>
      </c>
      <c r="MA232" s="12" t="s">
        <v>488</v>
      </c>
      <c r="MB232" s="12" t="s">
        <v>487</v>
      </c>
      <c r="MC232" s="12" t="s">
        <v>414</v>
      </c>
      <c r="MD232" s="12" t="s">
        <v>413</v>
      </c>
      <c r="ME232" s="12">
        <v>5</v>
      </c>
      <c r="MF232" s="12">
        <v>6</v>
      </c>
      <c r="MG232" s="12"/>
      <c r="MH232" s="12"/>
      <c r="MI232" s="12"/>
      <c r="MJ232" s="12"/>
      <c r="MK232" s="12">
        <v>1</v>
      </c>
      <c r="ML232" s="12">
        <v>2</v>
      </c>
      <c r="MM232" s="13"/>
    </row>
    <row r="233" spans="1:351" x14ac:dyDescent="0.25">
      <c r="A233" t="s">
        <v>494</v>
      </c>
      <c r="B233" t="s">
        <v>493</v>
      </c>
      <c r="C233" t="s">
        <v>498</v>
      </c>
      <c r="P233" t="s">
        <v>482</v>
      </c>
      <c r="T233" s="14" t="s">
        <v>554</v>
      </c>
      <c r="U233">
        <v>78</v>
      </c>
      <c r="V233" t="s">
        <v>1420</v>
      </c>
      <c r="X233" t="s">
        <v>1366</v>
      </c>
      <c r="Y233" s="43" t="str" cm="1">
        <f t="array" ref="Y233">IF(COUNTIFS($X$2:$X233,$X233)=1,"1",VALUE(SUBSTITUTE(INDEX(Y:Y,_xlfn.XMATCH($X233,$X$1:$X232,0,-1)),"A",""))+INDEX(Z:Z,_xlfn.XMATCH($X233,$X$1:$X232,0,-1))+1)</f>
        <v>1</v>
      </c>
      <c r="Z233" s="43" cm="1">
        <f t="array" ref="Z233">SUM(IF(ISNUMBER(FIND("TmAi",$BA$1:$ZZ$1)),IF(IFERROR(ISODD(SUBSTITUTE($BA233:$ZZ233,"A","")),FALSE),IF(ISODD(SUBSTITUTE($BA233:$ZZ233,"A","")),1,0),0)))</f>
        <v>0</v>
      </c>
      <c r="AA233" t="str">
        <f t="shared" ref="AA233:AA234" si="375">CONCATENATE($Y233*2-1,"B")</f>
        <v>1B</v>
      </c>
      <c r="AB233" t="str">
        <f t="shared" ref="AB233:AB234" si="376">CONCATENATE($Y233*2,"B")</f>
        <v>2B</v>
      </c>
      <c r="AL233" t="s">
        <v>137</v>
      </c>
      <c r="AO233" t="s">
        <v>396</v>
      </c>
      <c r="JV233" s="27" t="str">
        <f t="shared" ref="JV233:JV234" si="377">CONCATENATE("XT",U233)</f>
        <v>XT78</v>
      </c>
      <c r="JY233" t="str">
        <f t="shared" ref="JY233:JY234" si="378">CONCATENATE(T233,"-AI",REPLACE($X233,1,3,""),"-",AA233)</f>
        <v>F0-AI28-1B</v>
      </c>
      <c r="JZ233" t="str">
        <f t="shared" ref="JZ233:JZ234" si="379">CONCATENATE(T233,"-AI",REPLACE($X233,1,3,""),"-",AB233)</f>
        <v>F0-AI28-2B</v>
      </c>
      <c r="KE233" cm="1">
        <f t="array" ref="KE233">IF(COUNTIFS($U$2:$U233,$U233)=1,1,INDEX(KE:KE,_xlfn.XMATCH(U233,U$1:U232,0,-1))+COUNT(KE232:KI232))</f>
        <v>1</v>
      </c>
      <c r="KF233">
        <f>KE233+1</f>
        <v>2</v>
      </c>
      <c r="KG233">
        <f>KF233+1</f>
        <v>3</v>
      </c>
      <c r="KJ233">
        <v>1</v>
      </c>
      <c r="KK233" s="16">
        <v>2</v>
      </c>
      <c r="KO233" s="16"/>
    </row>
    <row r="234" spans="1:351" x14ac:dyDescent="0.25">
      <c r="A234" t="s">
        <v>667</v>
      </c>
      <c r="B234" t="s">
        <v>666</v>
      </c>
      <c r="C234" t="s">
        <v>492</v>
      </c>
      <c r="P234" t="s">
        <v>482</v>
      </c>
      <c r="T234" s="14" t="s">
        <v>554</v>
      </c>
      <c r="U234">
        <v>78</v>
      </c>
      <c r="V234" t="s">
        <v>1421</v>
      </c>
      <c r="X234" t="str">
        <f>IF(COUNTIF(X$1:X233,X233)&gt;7,REPLACE(X233,LEN(X233),1,VALUE(RIGHT(X233,1))+1),X233)</f>
        <v>A3.28</v>
      </c>
      <c r="Y234" s="43" cm="1">
        <f t="array" ref="Y234">IF(COUNTIFS($X$2:$X234,$X234)=1,"1",VALUE(SUBSTITUTE(INDEX(Y:Y,_xlfn.XMATCH($X234,$X$1:$X233,0,-1)),"A",""))+INDEX(Z:Z,_xlfn.XMATCH($X234,$X$1:$X233,0,-1))+1)</f>
        <v>2</v>
      </c>
      <c r="Z234" s="43" cm="1">
        <f t="array" ref="Z234">SUM(IF(ISNUMBER(FIND("TmAi",$BA$1:$ZZ$1)),IF(IFERROR(ISODD(SUBSTITUTE($BA234:$ZZ234,"A","")),FALSE),IF(ISODD(SUBSTITUTE($BA234:$ZZ234,"A","")),1,0),0)))</f>
        <v>0</v>
      </c>
      <c r="AA234" t="str">
        <f t="shared" si="375"/>
        <v>3B</v>
      </c>
      <c r="AB234" t="str">
        <f t="shared" si="376"/>
        <v>4B</v>
      </c>
      <c r="AL234" t="s">
        <v>137</v>
      </c>
      <c r="AO234" t="s">
        <v>396</v>
      </c>
      <c r="JV234" s="27" t="str">
        <f t="shared" si="377"/>
        <v>XT78</v>
      </c>
      <c r="JY234" t="str">
        <f t="shared" si="378"/>
        <v>F0-AI28-3B</v>
      </c>
      <c r="JZ234" t="str">
        <f t="shared" si="379"/>
        <v>F0-AI28-4B</v>
      </c>
      <c r="KE234" cm="1">
        <f t="array" ref="KE234">IF(COUNTIFS($U$2:$U234,$U234)=1,1,INDEX(KE:KE,_xlfn.XMATCH(U234,U$1:U233,0,-1))+COUNT(KE233:KI233))</f>
        <v>4</v>
      </c>
      <c r="KF234">
        <f t="shared" ref="KF234:KG234" si="380">KE234+1</f>
        <v>5</v>
      </c>
      <c r="KG234">
        <f t="shared" si="380"/>
        <v>6</v>
      </c>
      <c r="KJ234">
        <v>1</v>
      </c>
      <c r="KK234" s="16">
        <v>2</v>
      </c>
      <c r="KO234" s="16"/>
    </row>
  </sheetData>
  <autoFilter ref="P1:P224" xr:uid="{00000000-0001-0000-0000-000000000000}"/>
  <conditionalFormatting sqref="A1:A32">
    <cfRule type="duplicateValues" dxfId="4" priority="5"/>
  </conditionalFormatting>
  <conditionalFormatting sqref="A221:A224 A1:A32 A226:A227 A235:A1048576">
    <cfRule type="duplicateValues" dxfId="3" priority="4"/>
  </conditionalFormatting>
  <conditionalFormatting sqref="B1:B56 B221:B229 B235:B1048576">
    <cfRule type="duplicateValues" dxfId="2" priority="3"/>
  </conditionalFormatting>
  <conditionalFormatting sqref="V1:V182 V187 V192 V197 V202 W183:W220 V221:V222 W223:W224 V225:V1048576">
    <cfRule type="duplicateValues" dxfId="1" priority="2"/>
  </conditionalFormatting>
  <conditionalFormatting sqref="Y1:Y1048576">
    <cfRule type="cellIs" dxfId="0" priority="1" operator="equal">
      <formula>"Y:Y+Z:Z&gt;8"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64774-E616-40C5-A368-D4384F05BD61}">
  <dimension ref="A1:E38"/>
  <sheetViews>
    <sheetView workbookViewId="0">
      <selection activeCell="C27" sqref="C27"/>
    </sheetView>
  </sheetViews>
  <sheetFormatPr defaultRowHeight="15" x14ac:dyDescent="0.25"/>
  <cols>
    <col min="1" max="1" width="20.5703125" bestFit="1" customWidth="1"/>
    <col min="2" max="2" width="12.28515625" bestFit="1" customWidth="1"/>
    <col min="3" max="3" width="23.7109375" bestFit="1" customWidth="1"/>
    <col min="4" max="4" width="20.85546875" bestFit="1" customWidth="1"/>
  </cols>
  <sheetData>
    <row r="1" spans="1:5" ht="15.75" thickBot="1" x14ac:dyDescent="0.3">
      <c r="A1" s="4" t="s">
        <v>970</v>
      </c>
      <c r="B1" s="5" t="s">
        <v>972</v>
      </c>
      <c r="C1" s="5" t="s">
        <v>973</v>
      </c>
      <c r="D1" s="9" t="s">
        <v>971</v>
      </c>
    </row>
    <row r="2" spans="1:5" x14ac:dyDescent="0.25">
      <c r="A2" t="s">
        <v>967</v>
      </c>
      <c r="B2" t="s">
        <v>968</v>
      </c>
      <c r="C2" t="s">
        <v>969</v>
      </c>
      <c r="D2" t="s">
        <v>974</v>
      </c>
      <c r="E2" t="s">
        <v>1779</v>
      </c>
    </row>
    <row r="3" spans="1:5" x14ac:dyDescent="0.25">
      <c r="A3" t="s">
        <v>975</v>
      </c>
      <c r="B3" t="s">
        <v>976</v>
      </c>
      <c r="C3" t="s">
        <v>969</v>
      </c>
      <c r="D3" t="s">
        <v>974</v>
      </c>
      <c r="E3" t="s">
        <v>1779</v>
      </c>
    </row>
    <row r="4" spans="1:5" x14ac:dyDescent="0.25">
      <c r="A4" t="s">
        <v>977</v>
      </c>
      <c r="B4" t="s">
        <v>978</v>
      </c>
      <c r="C4" t="s">
        <v>969</v>
      </c>
      <c r="D4" t="s">
        <v>974</v>
      </c>
      <c r="E4" t="s">
        <v>1779</v>
      </c>
    </row>
    <row r="5" spans="1:5" x14ac:dyDescent="0.25">
      <c r="A5" t="s">
        <v>979</v>
      </c>
      <c r="B5" t="s">
        <v>980</v>
      </c>
      <c r="C5" t="s">
        <v>969</v>
      </c>
      <c r="D5" t="s">
        <v>974</v>
      </c>
      <c r="E5" t="s">
        <v>1779</v>
      </c>
    </row>
    <row r="6" spans="1:5" x14ac:dyDescent="0.25">
      <c r="A6" t="s">
        <v>981</v>
      </c>
      <c r="B6" t="s">
        <v>982</v>
      </c>
      <c r="C6" t="s">
        <v>969</v>
      </c>
      <c r="D6" t="s">
        <v>974</v>
      </c>
      <c r="E6" t="s">
        <v>1779</v>
      </c>
    </row>
    <row r="7" spans="1:5" x14ac:dyDescent="0.25">
      <c r="A7" t="s">
        <v>983</v>
      </c>
      <c r="B7" t="s">
        <v>984</v>
      </c>
      <c r="C7" t="s">
        <v>969</v>
      </c>
      <c r="D7" t="s">
        <v>974</v>
      </c>
      <c r="E7" t="s">
        <v>1779</v>
      </c>
    </row>
    <row r="8" spans="1:5" x14ac:dyDescent="0.25">
      <c r="A8" t="s">
        <v>985</v>
      </c>
      <c r="B8" t="s">
        <v>986</v>
      </c>
      <c r="C8" t="s">
        <v>969</v>
      </c>
      <c r="D8" t="s">
        <v>974</v>
      </c>
      <c r="E8" t="s">
        <v>1779</v>
      </c>
    </row>
    <row r="9" spans="1:5" x14ac:dyDescent="0.25">
      <c r="A9" t="s">
        <v>987</v>
      </c>
      <c r="B9" t="s">
        <v>988</v>
      </c>
      <c r="C9" t="s">
        <v>969</v>
      </c>
      <c r="D9" t="s">
        <v>974</v>
      </c>
      <c r="E9" t="s">
        <v>1779</v>
      </c>
    </row>
    <row r="10" spans="1:5" x14ac:dyDescent="0.25">
      <c r="A10" t="s">
        <v>990</v>
      </c>
      <c r="B10" t="s">
        <v>989</v>
      </c>
      <c r="C10" t="s">
        <v>969</v>
      </c>
      <c r="D10" t="s">
        <v>974</v>
      </c>
      <c r="E10" t="s">
        <v>1779</v>
      </c>
    </row>
    <row r="11" spans="1:5" x14ac:dyDescent="0.25">
      <c r="A11" t="s">
        <v>991</v>
      </c>
      <c r="B11" t="s">
        <v>992</v>
      </c>
      <c r="C11" t="s">
        <v>969</v>
      </c>
      <c r="D11" t="s">
        <v>974</v>
      </c>
      <c r="E11" t="s">
        <v>1779</v>
      </c>
    </row>
    <row r="12" spans="1:5" x14ac:dyDescent="0.25">
      <c r="A12" t="s">
        <v>993</v>
      </c>
      <c r="B12" t="s">
        <v>994</v>
      </c>
      <c r="C12" t="s">
        <v>969</v>
      </c>
      <c r="D12" t="s">
        <v>974</v>
      </c>
      <c r="E12" t="s">
        <v>1779</v>
      </c>
    </row>
    <row r="13" spans="1:5" x14ac:dyDescent="0.25">
      <c r="A13" t="s">
        <v>995</v>
      </c>
      <c r="B13" t="s">
        <v>996</v>
      </c>
      <c r="C13" t="s">
        <v>969</v>
      </c>
      <c r="D13" t="s">
        <v>974</v>
      </c>
      <c r="E13" t="s">
        <v>1779</v>
      </c>
    </row>
    <row r="14" spans="1:5" x14ac:dyDescent="0.25">
      <c r="A14" t="s">
        <v>997</v>
      </c>
      <c r="B14" t="s">
        <v>998</v>
      </c>
      <c r="C14" t="s">
        <v>969</v>
      </c>
      <c r="D14" t="s">
        <v>974</v>
      </c>
      <c r="E14" t="s">
        <v>1779</v>
      </c>
    </row>
    <row r="15" spans="1:5" x14ac:dyDescent="0.25">
      <c r="A15" t="s">
        <v>999</v>
      </c>
      <c r="B15" t="s">
        <v>1000</v>
      </c>
      <c r="C15" t="s">
        <v>969</v>
      </c>
      <c r="D15" t="s">
        <v>974</v>
      </c>
      <c r="E15" t="s">
        <v>1779</v>
      </c>
    </row>
    <row r="16" spans="1:5" x14ac:dyDescent="0.25">
      <c r="A16" t="s">
        <v>1001</v>
      </c>
      <c r="B16" t="s">
        <v>1002</v>
      </c>
      <c r="C16" t="s">
        <v>969</v>
      </c>
      <c r="D16" t="s">
        <v>974</v>
      </c>
      <c r="E16" t="s">
        <v>1779</v>
      </c>
    </row>
    <row r="17" spans="1:5" x14ac:dyDescent="0.25">
      <c r="A17" t="s">
        <v>1003</v>
      </c>
      <c r="B17" t="s">
        <v>1004</v>
      </c>
      <c r="C17" t="s">
        <v>969</v>
      </c>
      <c r="D17" t="s">
        <v>974</v>
      </c>
      <c r="E17" t="s">
        <v>1779</v>
      </c>
    </row>
    <row r="18" spans="1:5" x14ac:dyDescent="0.25">
      <c r="A18" t="s">
        <v>1005</v>
      </c>
      <c r="B18" t="s">
        <v>1925</v>
      </c>
      <c r="C18" t="s">
        <v>1006</v>
      </c>
      <c r="D18" t="s">
        <v>974</v>
      </c>
      <c r="E18" t="s">
        <v>1779</v>
      </c>
    </row>
    <row r="19" spans="1:5" x14ac:dyDescent="0.25">
      <c r="A19" t="s">
        <v>1248</v>
      </c>
      <c r="B19" t="s">
        <v>1927</v>
      </c>
      <c r="C19" t="s">
        <v>1006</v>
      </c>
      <c r="D19" t="s">
        <v>974</v>
      </c>
      <c r="E19" t="s">
        <v>1779</v>
      </c>
    </row>
    <row r="20" spans="1:5" x14ac:dyDescent="0.25">
      <c r="A20" t="s">
        <v>1258</v>
      </c>
      <c r="B20" t="s">
        <v>1928</v>
      </c>
      <c r="C20" t="s">
        <v>1006</v>
      </c>
      <c r="D20" t="s">
        <v>974</v>
      </c>
      <c r="E20" t="s">
        <v>1779</v>
      </c>
    </row>
    <row r="21" spans="1:5" x14ac:dyDescent="0.25">
      <c r="A21" t="s">
        <v>1269</v>
      </c>
      <c r="B21" t="s">
        <v>1929</v>
      </c>
      <c r="C21" t="s">
        <v>1006</v>
      </c>
      <c r="D21" t="s">
        <v>974</v>
      </c>
      <c r="E21" t="s">
        <v>1779</v>
      </c>
    </row>
    <row r="22" spans="1:5" x14ac:dyDescent="0.25">
      <c r="A22" t="s">
        <v>1289</v>
      </c>
      <c r="B22" t="s">
        <v>1930</v>
      </c>
      <c r="C22" t="s">
        <v>1006</v>
      </c>
      <c r="D22" t="s">
        <v>974</v>
      </c>
      <c r="E22" t="s">
        <v>1779</v>
      </c>
    </row>
    <row r="23" spans="1:5" x14ac:dyDescent="0.25">
      <c r="A23" t="s">
        <v>1300</v>
      </c>
      <c r="B23" t="s">
        <v>1931</v>
      </c>
      <c r="C23" t="s">
        <v>1006</v>
      </c>
      <c r="D23" t="s">
        <v>974</v>
      </c>
      <c r="E23" t="s">
        <v>1779</v>
      </c>
    </row>
    <row r="24" spans="1:5" x14ac:dyDescent="0.25">
      <c r="A24" t="s">
        <v>1302</v>
      </c>
      <c r="B24" t="s">
        <v>1932</v>
      </c>
      <c r="C24" t="s">
        <v>1006</v>
      </c>
      <c r="D24" t="s">
        <v>974</v>
      </c>
      <c r="E24" t="s">
        <v>1779</v>
      </c>
    </row>
    <row r="25" spans="1:5" x14ac:dyDescent="0.25">
      <c r="A25" t="s">
        <v>1400</v>
      </c>
      <c r="B25" t="s">
        <v>1926</v>
      </c>
      <c r="C25" t="s">
        <v>1401</v>
      </c>
      <c r="D25" t="s">
        <v>974</v>
      </c>
      <c r="E25" t="s">
        <v>1780</v>
      </c>
    </row>
    <row r="26" spans="1:5" x14ac:dyDescent="0.25">
      <c r="A26" t="s">
        <v>1778</v>
      </c>
      <c r="B26" t="s">
        <v>1924</v>
      </c>
      <c r="C26" t="s">
        <v>1006</v>
      </c>
      <c r="D26" t="s">
        <v>974</v>
      </c>
      <c r="E26" t="s">
        <v>1781</v>
      </c>
    </row>
    <row r="27" spans="1:5" x14ac:dyDescent="0.25">
      <c r="A27" t="s">
        <v>1917</v>
      </c>
      <c r="B27" t="s">
        <v>2497</v>
      </c>
      <c r="C27" t="s">
        <v>2511</v>
      </c>
      <c r="D27" t="s">
        <v>974</v>
      </c>
      <c r="E27" t="s">
        <v>1781</v>
      </c>
    </row>
    <row r="28" spans="1:5" x14ac:dyDescent="0.25">
      <c r="A28" t="s">
        <v>1917</v>
      </c>
      <c r="B28" t="s">
        <v>2501</v>
      </c>
      <c r="C28" t="s">
        <v>969</v>
      </c>
      <c r="D28" t="s">
        <v>974</v>
      </c>
      <c r="E28" t="s">
        <v>1781</v>
      </c>
    </row>
    <row r="29" spans="1:5" x14ac:dyDescent="0.25">
      <c r="A29" t="s">
        <v>1918</v>
      </c>
      <c r="B29" t="s">
        <v>2498</v>
      </c>
      <c r="C29" t="s">
        <v>969</v>
      </c>
      <c r="D29" t="s">
        <v>974</v>
      </c>
      <c r="E29" t="s">
        <v>1781</v>
      </c>
    </row>
    <row r="30" spans="1:5" x14ac:dyDescent="0.25">
      <c r="A30" t="s">
        <v>1918</v>
      </c>
      <c r="B30" t="s">
        <v>2502</v>
      </c>
      <c r="C30" t="s">
        <v>969</v>
      </c>
      <c r="D30" t="s">
        <v>974</v>
      </c>
      <c r="E30" t="s">
        <v>1781</v>
      </c>
    </row>
    <row r="31" spans="1:5" x14ac:dyDescent="0.25">
      <c r="A31" t="s">
        <v>1919</v>
      </c>
      <c r="B31" t="s">
        <v>2499</v>
      </c>
      <c r="C31" t="s">
        <v>969</v>
      </c>
      <c r="D31" t="s">
        <v>974</v>
      </c>
      <c r="E31" t="s">
        <v>1779</v>
      </c>
    </row>
    <row r="32" spans="1:5" x14ac:dyDescent="0.25">
      <c r="A32" t="s">
        <v>1919</v>
      </c>
      <c r="B32" t="s">
        <v>2503</v>
      </c>
      <c r="C32" t="s">
        <v>969</v>
      </c>
      <c r="D32" t="s">
        <v>974</v>
      </c>
      <c r="E32" t="s">
        <v>1779</v>
      </c>
    </row>
    <row r="33" spans="1:5" x14ac:dyDescent="0.25">
      <c r="A33" t="s">
        <v>1920</v>
      </c>
      <c r="B33" t="s">
        <v>2500</v>
      </c>
      <c r="C33" t="s">
        <v>969</v>
      </c>
      <c r="D33" t="s">
        <v>974</v>
      </c>
      <c r="E33" t="s">
        <v>1779</v>
      </c>
    </row>
    <row r="34" spans="1:5" x14ac:dyDescent="0.25">
      <c r="A34" t="s">
        <v>1920</v>
      </c>
      <c r="B34" t="s">
        <v>2504</v>
      </c>
      <c r="C34" t="s">
        <v>969</v>
      </c>
      <c r="D34" t="s">
        <v>974</v>
      </c>
      <c r="E34" t="s">
        <v>1779</v>
      </c>
    </row>
    <row r="35" spans="1:5" x14ac:dyDescent="0.25">
      <c r="A35" t="s">
        <v>1921</v>
      </c>
      <c r="C35" t="s">
        <v>969</v>
      </c>
      <c r="D35" t="s">
        <v>1922</v>
      </c>
    </row>
    <row r="36" spans="1:5" x14ac:dyDescent="0.25">
      <c r="A36" t="s">
        <v>1921</v>
      </c>
      <c r="C36" t="s">
        <v>969</v>
      </c>
      <c r="D36" t="s">
        <v>1923</v>
      </c>
    </row>
    <row r="37" spans="1:5" x14ac:dyDescent="0.25">
      <c r="A37" t="s">
        <v>974</v>
      </c>
      <c r="B37" t="s">
        <v>968</v>
      </c>
      <c r="C37" t="s">
        <v>969</v>
      </c>
      <c r="D37" t="s">
        <v>1922</v>
      </c>
    </row>
    <row r="38" spans="1:5" x14ac:dyDescent="0.25">
      <c r="A38" t="s">
        <v>974</v>
      </c>
      <c r="B38" t="s">
        <v>976</v>
      </c>
      <c r="C38" t="s">
        <v>969</v>
      </c>
      <c r="D38" t="s">
        <v>1923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250630</vt:lpstr>
      <vt:lpstr>250620</vt:lpstr>
      <vt:lpstr>Кабеля между шкафами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Илья Чураков</cp:lastModifiedBy>
  <dcterms:created xsi:type="dcterms:W3CDTF">2015-06-05T18:19:34Z</dcterms:created>
  <dcterms:modified xsi:type="dcterms:W3CDTF">2025-07-23T09:25:46Z</dcterms:modified>
</cp:coreProperties>
</file>